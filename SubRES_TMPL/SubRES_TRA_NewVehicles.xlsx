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TIM 2100\SubRES_TMPL\"/>
    </mc:Choice>
  </mc:AlternateContent>
  <xr:revisionPtr revIDLastSave="0" documentId="13_ncr:1_{1D0288FC-28EE-43E4-93D2-26A1CA5367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8" r:id="rId1"/>
    <sheet name="Commodities" sheetId="6" r:id="rId2"/>
    <sheet name="TRA" sheetId="5" r:id="rId3"/>
    <sheet name="Purchase price" sheetId="7" r:id="rId4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8" i="5" l="1"/>
  <c r="F359" i="5" s="1"/>
  <c r="F361" i="5" s="1"/>
  <c r="F363" i="5" s="1"/>
  <c r="G358" i="5"/>
  <c r="G359" i="5" s="1"/>
  <c r="G361" i="5" s="1"/>
  <c r="G363" i="5" s="1"/>
  <c r="H358" i="5"/>
  <c r="H359" i="5"/>
  <c r="H360" i="5"/>
  <c r="H362" i="5" s="1"/>
  <c r="H361" i="5"/>
  <c r="H363" i="5" s="1"/>
  <c r="H349" i="5"/>
  <c r="H351" i="5"/>
  <c r="H353" i="5" s="1"/>
  <c r="H355" i="5" s="1"/>
  <c r="H357" i="5" s="1"/>
  <c r="H348" i="5"/>
  <c r="H350" i="5" s="1"/>
  <c r="H354" i="5" s="1"/>
  <c r="H356" i="5" s="1"/>
  <c r="I212" i="5"/>
  <c r="I218" i="5"/>
  <c r="H184" i="7"/>
  <c r="I184" i="7"/>
  <c r="J184" i="7"/>
  <c r="K184" i="7"/>
  <c r="L184" i="7"/>
  <c r="F346" i="5" s="1"/>
  <c r="F350" i="5" s="1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G348" i="5" s="1"/>
  <c r="G184" i="7"/>
  <c r="N185" i="7"/>
  <c r="O185" i="7"/>
  <c r="P185" i="7"/>
  <c r="Q185" i="7"/>
  <c r="R185" i="7"/>
  <c r="S185" i="7" s="1"/>
  <c r="T185" i="7" s="1"/>
  <c r="U185" i="7" s="1"/>
  <c r="V185" i="7" s="1"/>
  <c r="W185" i="7" s="1"/>
  <c r="X185" i="7" s="1"/>
  <c r="Y185" i="7" s="1"/>
  <c r="Z185" i="7" s="1"/>
  <c r="AA185" i="7" s="1"/>
  <c r="AB185" i="7" s="1"/>
  <c r="AC185" i="7" s="1"/>
  <c r="AD185" i="7" s="1"/>
  <c r="AE185" i="7" s="1"/>
  <c r="M185" i="7"/>
  <c r="I186" i="7"/>
  <c r="J186" i="7"/>
  <c r="K186" i="7"/>
  <c r="L186" i="7"/>
  <c r="M186" i="7"/>
  <c r="N186" i="7" s="1"/>
  <c r="O186" i="7" s="1"/>
  <c r="P186" i="7" s="1"/>
  <c r="Q186" i="7" s="1"/>
  <c r="R186" i="7" s="1"/>
  <c r="S186" i="7" s="1"/>
  <c r="T186" i="7" s="1"/>
  <c r="U186" i="7" s="1"/>
  <c r="V186" i="7" s="1"/>
  <c r="W186" i="7" s="1"/>
  <c r="X186" i="7" s="1"/>
  <c r="Y186" i="7" s="1"/>
  <c r="Z186" i="7" s="1"/>
  <c r="AA186" i="7" s="1"/>
  <c r="AB186" i="7" s="1"/>
  <c r="AC186" i="7" s="1"/>
  <c r="AD186" i="7" s="1"/>
  <c r="AE186" i="7" s="1"/>
  <c r="H186" i="7"/>
  <c r="E104" i="5"/>
  <c r="D104" i="5"/>
  <c r="C339" i="5"/>
  <c r="C338" i="5"/>
  <c r="C337" i="5"/>
  <c r="C336" i="5"/>
  <c r="C358" i="5"/>
  <c r="C359" i="5" s="1"/>
  <c r="C360" i="5" s="1"/>
  <c r="C361" i="5" s="1"/>
  <c r="C362" i="5" s="1"/>
  <c r="C363" i="5" s="1"/>
  <c r="C352" i="5"/>
  <c r="C353" i="5" s="1"/>
  <c r="C354" i="5" s="1"/>
  <c r="C355" i="5" s="1"/>
  <c r="C356" i="5" s="1"/>
  <c r="C357" i="5" s="1"/>
  <c r="C350" i="5"/>
  <c r="C223" i="5"/>
  <c r="C222" i="5"/>
  <c r="C221" i="5"/>
  <c r="C220" i="5"/>
  <c r="C219" i="5"/>
  <c r="C216" i="5"/>
  <c r="C217" i="5" s="1"/>
  <c r="C213" i="5"/>
  <c r="C215" i="5"/>
  <c r="C214" i="5"/>
  <c r="C210" i="5"/>
  <c r="C211" i="5" s="1"/>
  <c r="C212" i="5" s="1"/>
  <c r="C209" i="5"/>
  <c r="C208" i="5"/>
  <c r="W220" i="5"/>
  <c r="R220" i="5"/>
  <c r="J220" i="5"/>
  <c r="B220" i="5"/>
  <c r="I356" i="5"/>
  <c r="F357" i="5"/>
  <c r="G357" i="5"/>
  <c r="I357" i="5"/>
  <c r="E357" i="5"/>
  <c r="I354" i="5"/>
  <c r="F355" i="5"/>
  <c r="G355" i="5"/>
  <c r="I355" i="5"/>
  <c r="E355" i="5"/>
  <c r="G356" i="5"/>
  <c r="F352" i="5"/>
  <c r="F356" i="5" s="1"/>
  <c r="E352" i="5"/>
  <c r="E354" i="5" s="1"/>
  <c r="E358" i="5"/>
  <c r="E360" i="5" s="1"/>
  <c r="E362" i="5" s="1"/>
  <c r="D351" i="5"/>
  <c r="E351" i="5"/>
  <c r="F351" i="5"/>
  <c r="G351" i="5"/>
  <c r="I351" i="5"/>
  <c r="D350" i="5"/>
  <c r="I350" i="5"/>
  <c r="D349" i="5"/>
  <c r="E349" i="5"/>
  <c r="F349" i="5"/>
  <c r="G349" i="5"/>
  <c r="I349" i="5"/>
  <c r="I348" i="5"/>
  <c r="I358" i="5" s="1"/>
  <c r="D348" i="5"/>
  <c r="E346" i="5"/>
  <c r="E350" i="5" s="1"/>
  <c r="R211" i="5"/>
  <c r="R212" i="5"/>
  <c r="R213" i="5"/>
  <c r="R214" i="5"/>
  <c r="R215" i="5"/>
  <c r="R216" i="5"/>
  <c r="R217" i="5"/>
  <c r="R218" i="5"/>
  <c r="R219" i="5"/>
  <c r="R221" i="5"/>
  <c r="R222" i="5"/>
  <c r="R223" i="5"/>
  <c r="R210" i="5"/>
  <c r="B177" i="7"/>
  <c r="F211" i="5"/>
  <c r="F217" i="5" s="1"/>
  <c r="G217" i="5" s="1"/>
  <c r="F212" i="5"/>
  <c r="F218" i="5" s="1"/>
  <c r="G218" i="5" s="1"/>
  <c r="F210" i="5"/>
  <c r="G210" i="5" s="1"/>
  <c r="W211" i="5"/>
  <c r="W217" i="5" s="1"/>
  <c r="W212" i="5"/>
  <c r="W218" i="5" s="1"/>
  <c r="W210" i="5"/>
  <c r="W216" i="5" s="1"/>
  <c r="J212" i="5"/>
  <c r="J218" i="5" s="1"/>
  <c r="J211" i="5"/>
  <c r="J214" i="5" s="1"/>
  <c r="B211" i="5"/>
  <c r="B212" i="5"/>
  <c r="B213" i="5"/>
  <c r="B346" i="5" s="1"/>
  <c r="B347" i="5" s="1"/>
  <c r="B353" i="5" s="1"/>
  <c r="B214" i="5"/>
  <c r="B348" i="5" s="1"/>
  <c r="B349" i="5" s="1"/>
  <c r="B355" i="5" s="1"/>
  <c r="B215" i="5"/>
  <c r="B350" i="5" s="1"/>
  <c r="B351" i="5" s="1"/>
  <c r="B357" i="5" s="1"/>
  <c r="B216" i="5"/>
  <c r="B358" i="5" s="1"/>
  <c r="B359" i="5" s="1"/>
  <c r="B217" i="5"/>
  <c r="B360" i="5" s="1"/>
  <c r="B361" i="5" s="1"/>
  <c r="B218" i="5"/>
  <c r="B362" i="5" s="1"/>
  <c r="B363" i="5" s="1"/>
  <c r="B219" i="5"/>
  <c r="B221" i="5"/>
  <c r="B222" i="5"/>
  <c r="B223" i="5"/>
  <c r="D95" i="5"/>
  <c r="E95" i="5"/>
  <c r="D96" i="5"/>
  <c r="E96" i="5"/>
  <c r="D97" i="5"/>
  <c r="E97" i="5"/>
  <c r="D98" i="5"/>
  <c r="E98" i="5"/>
  <c r="D99" i="5"/>
  <c r="E99" i="5"/>
  <c r="D100" i="5"/>
  <c r="E100" i="5"/>
  <c r="D101" i="5"/>
  <c r="E101" i="5"/>
  <c r="D102" i="5"/>
  <c r="E102" i="5"/>
  <c r="D103" i="5"/>
  <c r="E103" i="5"/>
  <c r="D105" i="5"/>
  <c r="E105" i="5"/>
  <c r="D106" i="5"/>
  <c r="E106" i="5"/>
  <c r="D107" i="5"/>
  <c r="E107" i="5"/>
  <c r="E94" i="5"/>
  <c r="J210" i="5"/>
  <c r="J216" i="5" s="1"/>
  <c r="B210" i="5"/>
  <c r="D94" i="5"/>
  <c r="Q182" i="5"/>
  <c r="P182" i="5"/>
  <c r="O182" i="5"/>
  <c r="Q169" i="5"/>
  <c r="P169" i="5"/>
  <c r="O169" i="5"/>
  <c r="F292" i="5"/>
  <c r="F293" i="5" s="1"/>
  <c r="E293" i="5"/>
  <c r="S201" i="5"/>
  <c r="T201" i="5" s="1"/>
  <c r="S202" i="5"/>
  <c r="T202" i="5" s="1"/>
  <c r="S200" i="5"/>
  <c r="T200" i="5" s="1"/>
  <c r="S193" i="5"/>
  <c r="T193" i="5" s="1"/>
  <c r="S194" i="5"/>
  <c r="T194" i="5" s="1"/>
  <c r="S195" i="5"/>
  <c r="T195" i="5" s="1"/>
  <c r="S196" i="5"/>
  <c r="T196" i="5" s="1"/>
  <c r="S197" i="5"/>
  <c r="T197" i="5" s="1"/>
  <c r="S198" i="5"/>
  <c r="T198" i="5" s="1"/>
  <c r="S192" i="5"/>
  <c r="T192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T190" i="5" s="1"/>
  <c r="S184" i="5"/>
  <c r="T184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76" i="5"/>
  <c r="T176" i="5" s="1"/>
  <c r="S173" i="5"/>
  <c r="T173" i="5" s="1"/>
  <c r="S174" i="5"/>
  <c r="T174" i="5" s="1"/>
  <c r="S172" i="5"/>
  <c r="T172" i="5" s="1"/>
  <c r="S167" i="5"/>
  <c r="T167" i="5" s="1"/>
  <c r="S168" i="5"/>
  <c r="T168" i="5" s="1"/>
  <c r="S169" i="5"/>
  <c r="T169" i="5" s="1"/>
  <c r="S170" i="5"/>
  <c r="T170" i="5" s="1"/>
  <c r="S166" i="5"/>
  <c r="T166" i="5" s="1"/>
  <c r="S146" i="5"/>
  <c r="T146" i="5" s="1"/>
  <c r="S127" i="5"/>
  <c r="T127" i="5" s="1"/>
  <c r="S128" i="5"/>
  <c r="T128" i="5" s="1"/>
  <c r="S129" i="5"/>
  <c r="T129" i="5" s="1"/>
  <c r="S130" i="5"/>
  <c r="T130" i="5" s="1"/>
  <c r="S131" i="5"/>
  <c r="T131" i="5" s="1"/>
  <c r="S132" i="5"/>
  <c r="T132" i="5" s="1"/>
  <c r="S133" i="5"/>
  <c r="T133" i="5" s="1"/>
  <c r="S134" i="5"/>
  <c r="T134" i="5" s="1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 s="1"/>
  <c r="S143" i="5"/>
  <c r="T143" i="5" s="1"/>
  <c r="S144" i="5"/>
  <c r="T144" i="5" s="1"/>
  <c r="S126" i="5"/>
  <c r="T126" i="5" s="1"/>
  <c r="S124" i="5"/>
  <c r="T124" i="5" s="1"/>
  <c r="U124" i="5" s="1"/>
  <c r="S123" i="5"/>
  <c r="T123" i="5" s="1"/>
  <c r="U123" i="5" s="1"/>
  <c r="W185" i="5"/>
  <c r="E190" i="5"/>
  <c r="G267" i="5"/>
  <c r="K140" i="5"/>
  <c r="K141" i="5"/>
  <c r="K142" i="5"/>
  <c r="F360" i="5" l="1"/>
  <c r="F362" i="5" s="1"/>
  <c r="G360" i="5"/>
  <c r="G362" i="5" s="1"/>
  <c r="I217" i="5"/>
  <c r="I211" i="5"/>
  <c r="C218" i="5"/>
  <c r="I210" i="5"/>
  <c r="G354" i="5"/>
  <c r="F354" i="5"/>
  <c r="F221" i="5"/>
  <c r="B352" i="5"/>
  <c r="B356" i="5"/>
  <c r="B354" i="5"/>
  <c r="H210" i="5"/>
  <c r="E356" i="5"/>
  <c r="F348" i="5"/>
  <c r="J223" i="5"/>
  <c r="H212" i="5"/>
  <c r="F223" i="5"/>
  <c r="I223" i="5" s="1"/>
  <c r="H218" i="5"/>
  <c r="E359" i="5"/>
  <c r="E361" i="5" s="1"/>
  <c r="E363" i="5" s="1"/>
  <c r="F219" i="5"/>
  <c r="E348" i="5"/>
  <c r="J217" i="5"/>
  <c r="G212" i="5"/>
  <c r="C347" i="5"/>
  <c r="C351" i="5" s="1"/>
  <c r="J222" i="5"/>
  <c r="I360" i="5"/>
  <c r="I362" i="5" s="1"/>
  <c r="I359" i="5"/>
  <c r="I361" i="5" s="1"/>
  <c r="I363" i="5" s="1"/>
  <c r="W219" i="5"/>
  <c r="H211" i="5"/>
  <c r="W221" i="5"/>
  <c r="C348" i="5"/>
  <c r="G211" i="5"/>
  <c r="J221" i="5"/>
  <c r="H217" i="5"/>
  <c r="F222" i="5"/>
  <c r="I222" i="5" s="1"/>
  <c r="G221" i="5"/>
  <c r="W223" i="5"/>
  <c r="W222" i="5"/>
  <c r="G350" i="5"/>
  <c r="J219" i="5"/>
  <c r="J213" i="5"/>
  <c r="F213" i="5"/>
  <c r="I213" i="5" s="1"/>
  <c r="W213" i="5"/>
  <c r="F215" i="5"/>
  <c r="I215" i="5" s="1"/>
  <c r="W215" i="5"/>
  <c r="F214" i="5"/>
  <c r="I214" i="5" s="1"/>
  <c r="J215" i="5"/>
  <c r="W214" i="5"/>
  <c r="F216" i="5"/>
  <c r="I216" i="5" s="1"/>
  <c r="K177" i="5"/>
  <c r="K178" i="5"/>
  <c r="K179" i="5"/>
  <c r="K180" i="5"/>
  <c r="K181" i="5"/>
  <c r="K182" i="5"/>
  <c r="K193" i="5"/>
  <c r="K194" i="5"/>
  <c r="K195" i="5"/>
  <c r="K196" i="5"/>
  <c r="K197" i="5"/>
  <c r="K198" i="5"/>
  <c r="K201" i="5"/>
  <c r="K202" i="5"/>
  <c r="K200" i="5"/>
  <c r="K192" i="5"/>
  <c r="K176" i="5"/>
  <c r="K172" i="5"/>
  <c r="J184" i="5"/>
  <c r="K173" i="5"/>
  <c r="K174" i="5"/>
  <c r="K167" i="5"/>
  <c r="K168" i="5"/>
  <c r="K169" i="5"/>
  <c r="K170" i="5"/>
  <c r="K16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46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3" i="5"/>
  <c r="K144" i="5"/>
  <c r="C206" i="5"/>
  <c r="C334" i="5"/>
  <c r="C335" i="5" s="1"/>
  <c r="C332" i="5"/>
  <c r="C333" i="5" s="1"/>
  <c r="C330" i="5"/>
  <c r="C331" i="5" s="1"/>
  <c r="C326" i="5"/>
  <c r="C327" i="5" s="1"/>
  <c r="C204" i="5"/>
  <c r="C328" i="5"/>
  <c r="C329" i="5" s="1"/>
  <c r="C324" i="5"/>
  <c r="C325" i="5" s="1"/>
  <c r="C322" i="5"/>
  <c r="C323" i="5" s="1"/>
  <c r="C320" i="5"/>
  <c r="C321" i="5" s="1"/>
  <c r="C318" i="5"/>
  <c r="C319" i="5" s="1"/>
  <c r="C316" i="5"/>
  <c r="C317" i="5" s="1"/>
  <c r="C314" i="5"/>
  <c r="C315" i="5" s="1"/>
  <c r="C312" i="5"/>
  <c r="C313" i="5" s="1"/>
  <c r="C310" i="5"/>
  <c r="C311" i="5" s="1"/>
  <c r="C308" i="5"/>
  <c r="C309" i="5" s="1"/>
  <c r="C306" i="5"/>
  <c r="C307" i="5" s="1"/>
  <c r="C300" i="5"/>
  <c r="C301" i="5" s="1"/>
  <c r="C296" i="5"/>
  <c r="C297" i="5" s="1"/>
  <c r="C302" i="5"/>
  <c r="C303" i="5" s="1"/>
  <c r="C304" i="5"/>
  <c r="C305" i="5" s="1"/>
  <c r="C298" i="5"/>
  <c r="C299" i="5" s="1"/>
  <c r="C294" i="5"/>
  <c r="C295" i="5" s="1"/>
  <c r="C292" i="5"/>
  <c r="C293" i="5" s="1"/>
  <c r="C290" i="5"/>
  <c r="C291" i="5" s="1"/>
  <c r="D264" i="5"/>
  <c r="D290" i="5" s="1"/>
  <c r="E264" i="5"/>
  <c r="F264" i="5"/>
  <c r="G264" i="5"/>
  <c r="H264" i="5"/>
  <c r="D265" i="5"/>
  <c r="D291" i="5" s="1"/>
  <c r="E265" i="5"/>
  <c r="F265" i="5"/>
  <c r="G265" i="5"/>
  <c r="H265" i="5"/>
  <c r="D266" i="5"/>
  <c r="D292" i="5" s="1"/>
  <c r="E266" i="5"/>
  <c r="F266" i="5"/>
  <c r="G266" i="5"/>
  <c r="H266" i="5"/>
  <c r="D267" i="5"/>
  <c r="D293" i="5" s="1"/>
  <c r="E267" i="5"/>
  <c r="F267" i="5"/>
  <c r="H267" i="5"/>
  <c r="D268" i="5"/>
  <c r="E268" i="5"/>
  <c r="F268" i="5"/>
  <c r="G268" i="5"/>
  <c r="H268" i="5"/>
  <c r="D269" i="5"/>
  <c r="E269" i="5"/>
  <c r="F269" i="5"/>
  <c r="G269" i="5"/>
  <c r="H269" i="5"/>
  <c r="D270" i="5"/>
  <c r="E270" i="5"/>
  <c r="F270" i="5"/>
  <c r="G270" i="5"/>
  <c r="H270" i="5"/>
  <c r="D271" i="5"/>
  <c r="E271" i="5"/>
  <c r="F271" i="5"/>
  <c r="G271" i="5"/>
  <c r="H271" i="5"/>
  <c r="D272" i="5"/>
  <c r="E272" i="5"/>
  <c r="F272" i="5"/>
  <c r="G272" i="5"/>
  <c r="H272" i="5"/>
  <c r="D273" i="5"/>
  <c r="E273" i="5"/>
  <c r="F273" i="5"/>
  <c r="G273" i="5"/>
  <c r="H273" i="5"/>
  <c r="D274" i="5"/>
  <c r="E274" i="5"/>
  <c r="F274" i="5"/>
  <c r="G274" i="5"/>
  <c r="H274" i="5"/>
  <c r="D275" i="5"/>
  <c r="E275" i="5"/>
  <c r="F275" i="5"/>
  <c r="G275" i="5"/>
  <c r="H275" i="5"/>
  <c r="D276" i="5"/>
  <c r="E276" i="5"/>
  <c r="F276" i="5"/>
  <c r="G276" i="5"/>
  <c r="H276" i="5"/>
  <c r="D277" i="5"/>
  <c r="E277" i="5"/>
  <c r="F277" i="5"/>
  <c r="G277" i="5"/>
  <c r="H277" i="5"/>
  <c r="D278" i="5"/>
  <c r="E278" i="5"/>
  <c r="F278" i="5"/>
  <c r="G278" i="5"/>
  <c r="H278" i="5"/>
  <c r="D279" i="5"/>
  <c r="E279" i="5"/>
  <c r="F279" i="5"/>
  <c r="G279" i="5"/>
  <c r="H279" i="5"/>
  <c r="D280" i="5"/>
  <c r="E280" i="5"/>
  <c r="F280" i="5"/>
  <c r="G280" i="5"/>
  <c r="H280" i="5"/>
  <c r="D281" i="5"/>
  <c r="E281" i="5"/>
  <c r="F281" i="5"/>
  <c r="G281" i="5"/>
  <c r="H281" i="5"/>
  <c r="D282" i="5"/>
  <c r="E282" i="5"/>
  <c r="F282" i="5"/>
  <c r="G282" i="5"/>
  <c r="H282" i="5"/>
  <c r="D283" i="5"/>
  <c r="E283" i="5"/>
  <c r="F283" i="5"/>
  <c r="G283" i="5"/>
  <c r="H283" i="5"/>
  <c r="D284" i="5"/>
  <c r="E284" i="5"/>
  <c r="F284" i="5"/>
  <c r="G284" i="5"/>
  <c r="H284" i="5"/>
  <c r="D285" i="5"/>
  <c r="E285" i="5"/>
  <c r="F285" i="5"/>
  <c r="G285" i="5"/>
  <c r="H285" i="5"/>
  <c r="D286" i="5"/>
  <c r="E286" i="5"/>
  <c r="F286" i="5"/>
  <c r="G286" i="5"/>
  <c r="H286" i="5"/>
  <c r="D287" i="5"/>
  <c r="E287" i="5"/>
  <c r="F287" i="5"/>
  <c r="G287" i="5"/>
  <c r="H287" i="5"/>
  <c r="D288" i="5"/>
  <c r="E288" i="5"/>
  <c r="F288" i="5"/>
  <c r="G288" i="5"/>
  <c r="H288" i="5"/>
  <c r="D289" i="5"/>
  <c r="E289" i="5"/>
  <c r="F289" i="5"/>
  <c r="G289" i="5"/>
  <c r="H289" i="5"/>
  <c r="C284" i="5"/>
  <c r="C285" i="5"/>
  <c r="C262" i="5"/>
  <c r="C263" i="5" s="1"/>
  <c r="C289" i="5" s="1"/>
  <c r="C260" i="5"/>
  <c r="C261" i="5" s="1"/>
  <c r="C287" i="5" s="1"/>
  <c r="C256" i="5"/>
  <c r="C257" i="5" s="1"/>
  <c r="C283" i="5" s="1"/>
  <c r="C254" i="5"/>
  <c r="C255" i="5" s="1"/>
  <c r="C281" i="5" s="1"/>
  <c r="C252" i="5"/>
  <c r="C253" i="5" s="1"/>
  <c r="C279" i="5" s="1"/>
  <c r="C250" i="5"/>
  <c r="C251" i="5" s="1"/>
  <c r="C277" i="5" s="1"/>
  <c r="C248" i="5"/>
  <c r="C249" i="5" s="1"/>
  <c r="C275" i="5" s="1"/>
  <c r="C246" i="5"/>
  <c r="C247" i="5" s="1"/>
  <c r="C273" i="5" s="1"/>
  <c r="C244" i="5"/>
  <c r="C245" i="5" s="1"/>
  <c r="C271" i="5" s="1"/>
  <c r="C242" i="5"/>
  <c r="C243" i="5" s="1"/>
  <c r="C269" i="5" s="1"/>
  <c r="C240" i="5"/>
  <c r="C241" i="5" s="1"/>
  <c r="C267" i="5" s="1"/>
  <c r="C238" i="5"/>
  <c r="C239" i="5" s="1"/>
  <c r="C265" i="5" s="1"/>
  <c r="C236" i="5"/>
  <c r="C237" i="5" s="1"/>
  <c r="C205" i="5"/>
  <c r="C200" i="5"/>
  <c r="C196" i="5"/>
  <c r="C195" i="5"/>
  <c r="C193" i="5"/>
  <c r="C192" i="5"/>
  <c r="C188" i="5"/>
  <c r="C187" i="5"/>
  <c r="C185" i="5"/>
  <c r="C184" i="5"/>
  <c r="C180" i="5"/>
  <c r="C179" i="5"/>
  <c r="C178" i="5"/>
  <c r="C177" i="5"/>
  <c r="C176" i="5"/>
  <c r="C174" i="5"/>
  <c r="C168" i="5"/>
  <c r="C166" i="5"/>
  <c r="C159" i="5"/>
  <c r="C158" i="5"/>
  <c r="C157" i="5"/>
  <c r="C156" i="5"/>
  <c r="C155" i="5"/>
  <c r="C154" i="5"/>
  <c r="C153" i="5"/>
  <c r="C152" i="5"/>
  <c r="C150" i="5"/>
  <c r="C149" i="5"/>
  <c r="C147" i="5"/>
  <c r="C146" i="5"/>
  <c r="C139" i="5"/>
  <c r="C138" i="5"/>
  <c r="C137" i="5"/>
  <c r="C136" i="5"/>
  <c r="C135" i="5"/>
  <c r="C133" i="5"/>
  <c r="C130" i="5"/>
  <c r="C129" i="5"/>
  <c r="C127" i="5"/>
  <c r="C126" i="5"/>
  <c r="C134" i="5"/>
  <c r="C132" i="5"/>
  <c r="C123" i="5"/>
  <c r="W193" i="5"/>
  <c r="W194" i="5" s="1"/>
  <c r="W195" i="5" s="1"/>
  <c r="W196" i="5" s="1"/>
  <c r="W197" i="5" s="1"/>
  <c r="W198" i="5" s="1"/>
  <c r="M202" i="5"/>
  <c r="W186" i="5"/>
  <c r="W187" i="5" s="1"/>
  <c r="W188" i="5" s="1"/>
  <c r="W189" i="5" s="1"/>
  <c r="W190" i="5" s="1"/>
  <c r="M201" i="5"/>
  <c r="M193" i="5"/>
  <c r="M194" i="5"/>
  <c r="M195" i="5"/>
  <c r="M196" i="5"/>
  <c r="M197" i="5"/>
  <c r="M198" i="5"/>
  <c r="M177" i="5"/>
  <c r="M178" i="5"/>
  <c r="M179" i="5"/>
  <c r="M180" i="5"/>
  <c r="M181" i="5"/>
  <c r="M182" i="5"/>
  <c r="M200" i="5"/>
  <c r="M192" i="5"/>
  <c r="M176" i="5"/>
  <c r="M173" i="5"/>
  <c r="M174" i="5"/>
  <c r="M172" i="5"/>
  <c r="M167" i="5"/>
  <c r="M168" i="5"/>
  <c r="M169" i="5"/>
  <c r="M170" i="5"/>
  <c r="M16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46" i="5"/>
  <c r="M124" i="5"/>
  <c r="M123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D93" i="5"/>
  <c r="E93" i="5"/>
  <c r="E92" i="5"/>
  <c r="D92" i="5"/>
  <c r="D208" i="5"/>
  <c r="B209" i="5"/>
  <c r="B338" i="5" s="1"/>
  <c r="B339" i="5" s="1"/>
  <c r="B208" i="5"/>
  <c r="B336" i="5" s="1"/>
  <c r="B337" i="5" s="1"/>
  <c r="D205" i="5"/>
  <c r="D206" i="5"/>
  <c r="D204" i="5"/>
  <c r="E88" i="5"/>
  <c r="E89" i="5"/>
  <c r="E90" i="5"/>
  <c r="D89" i="5"/>
  <c r="B205" i="5" s="1"/>
  <c r="B328" i="5" s="1"/>
  <c r="B329" i="5" s="1"/>
  <c r="D90" i="5"/>
  <c r="B206" i="5" s="1"/>
  <c r="B330" i="5" s="1"/>
  <c r="B331" i="5" s="1"/>
  <c r="B332" i="5" s="1"/>
  <c r="B333" i="5" s="1"/>
  <c r="B334" i="5" s="1"/>
  <c r="B335" i="5" s="1"/>
  <c r="D88" i="5"/>
  <c r="B204" i="5" s="1"/>
  <c r="B324" i="5" s="1"/>
  <c r="B325" i="5" s="1"/>
  <c r="H221" i="5" l="1"/>
  <c r="I221" i="5"/>
  <c r="F220" i="5"/>
  <c r="I220" i="5" s="1"/>
  <c r="I219" i="5"/>
  <c r="C349" i="5"/>
  <c r="H219" i="5"/>
  <c r="H220" i="5" s="1"/>
  <c r="G219" i="5"/>
  <c r="G220" i="5" s="1"/>
  <c r="G223" i="5"/>
  <c r="H223" i="5"/>
  <c r="H222" i="5"/>
  <c r="G222" i="5"/>
  <c r="G215" i="5"/>
  <c r="H215" i="5"/>
  <c r="G216" i="5"/>
  <c r="H216" i="5"/>
  <c r="G214" i="5"/>
  <c r="H214" i="5"/>
  <c r="G213" i="5"/>
  <c r="H213" i="5"/>
  <c r="B326" i="5"/>
  <c r="B327" i="5" s="1"/>
  <c r="C278" i="5"/>
  <c r="C270" i="5"/>
  <c r="C286" i="5"/>
  <c r="C276" i="5"/>
  <c r="C268" i="5"/>
  <c r="C264" i="5"/>
  <c r="C282" i="5"/>
  <c r="C274" i="5"/>
  <c r="C266" i="5"/>
  <c r="C288" i="5"/>
  <c r="C280" i="5"/>
  <c r="C272" i="5"/>
  <c r="R147" i="5"/>
  <c r="R148" i="5" l="1"/>
  <c r="S147" i="5"/>
  <c r="T147" i="5" s="1"/>
  <c r="D192" i="5"/>
  <c r="D193" i="5" s="1"/>
  <c r="D194" i="5" s="1"/>
  <c r="D195" i="5" s="1"/>
  <c r="D196" i="5" s="1"/>
  <c r="D197" i="5" s="1"/>
  <c r="D198" i="5" s="1"/>
  <c r="D184" i="5"/>
  <c r="D185" i="5" s="1"/>
  <c r="D186" i="5" s="1"/>
  <c r="D187" i="5" s="1"/>
  <c r="D188" i="5" s="1"/>
  <c r="D189" i="5" s="1"/>
  <c r="D190" i="5" s="1"/>
  <c r="D176" i="5"/>
  <c r="D177" i="5" s="1"/>
  <c r="D178" i="5" s="1"/>
  <c r="D179" i="5" s="1"/>
  <c r="D180" i="5" s="1"/>
  <c r="D181" i="5" s="1"/>
  <c r="D182" i="5" s="1"/>
  <c r="R149" i="5" l="1"/>
  <c r="S148" i="5"/>
  <c r="T148" i="5" s="1"/>
  <c r="E184" i="5"/>
  <c r="L184" i="5"/>
  <c r="K184" i="5" s="1"/>
  <c r="N184" i="5"/>
  <c r="O184" i="5"/>
  <c r="O190" i="5" s="1"/>
  <c r="P184" i="5"/>
  <c r="Q184" i="5"/>
  <c r="Y184" i="5"/>
  <c r="E185" i="5"/>
  <c r="J185" i="5"/>
  <c r="L185" i="5"/>
  <c r="N185" i="5"/>
  <c r="O185" i="5"/>
  <c r="P185" i="5"/>
  <c r="Q185" i="5"/>
  <c r="Y185" i="5"/>
  <c r="J186" i="5"/>
  <c r="L186" i="5"/>
  <c r="N186" i="5"/>
  <c r="O186" i="5"/>
  <c r="P186" i="5"/>
  <c r="Q186" i="5"/>
  <c r="Y186" i="5"/>
  <c r="E187" i="5"/>
  <c r="J187" i="5"/>
  <c r="L187" i="5"/>
  <c r="N187" i="5"/>
  <c r="O187" i="5"/>
  <c r="P187" i="5"/>
  <c r="Q187" i="5"/>
  <c r="Y187" i="5"/>
  <c r="E188" i="5"/>
  <c r="J188" i="5"/>
  <c r="L188" i="5"/>
  <c r="N188" i="5"/>
  <c r="O188" i="5"/>
  <c r="P188" i="5"/>
  <c r="Q188" i="5"/>
  <c r="Y188" i="5"/>
  <c r="E189" i="5"/>
  <c r="J189" i="5"/>
  <c r="L189" i="5"/>
  <c r="N189" i="5"/>
  <c r="O189" i="5"/>
  <c r="P189" i="5"/>
  <c r="Q189" i="5"/>
  <c r="Y189" i="5"/>
  <c r="J190" i="5"/>
  <c r="L190" i="5"/>
  <c r="N190" i="5"/>
  <c r="P190" i="5"/>
  <c r="Q190" i="5"/>
  <c r="Y190" i="5"/>
  <c r="D200" i="5"/>
  <c r="D201" i="5" s="1"/>
  <c r="D202" i="5" s="1"/>
  <c r="E68" i="5"/>
  <c r="E69" i="5"/>
  <c r="E70" i="5"/>
  <c r="E71" i="5"/>
  <c r="E72" i="5"/>
  <c r="E73" i="5"/>
  <c r="E74" i="5"/>
  <c r="D69" i="5"/>
  <c r="B185" i="5" s="1"/>
  <c r="D70" i="5"/>
  <c r="B186" i="5" s="1"/>
  <c r="D71" i="5"/>
  <c r="B187" i="5" s="1"/>
  <c r="B310" i="5" s="1"/>
  <c r="B311" i="5" s="1"/>
  <c r="D72" i="5"/>
  <c r="B188" i="5" s="1"/>
  <c r="B312" i="5" s="1"/>
  <c r="B313" i="5" s="1"/>
  <c r="D73" i="5"/>
  <c r="B189" i="5" s="1"/>
  <c r="D74" i="5"/>
  <c r="B190" i="5" s="1"/>
  <c r="D68" i="5"/>
  <c r="B184" i="5" s="1"/>
  <c r="B306" i="5" s="1"/>
  <c r="K189" i="5" l="1"/>
  <c r="K188" i="5"/>
  <c r="K187" i="5"/>
  <c r="K186" i="5"/>
  <c r="R150" i="5"/>
  <c r="S149" i="5"/>
  <c r="T149" i="5" s="1"/>
  <c r="K190" i="5"/>
  <c r="K185" i="5"/>
  <c r="B307" i="5"/>
  <c r="B308" i="5"/>
  <c r="B309" i="5" s="1"/>
  <c r="M184" i="5"/>
  <c r="M185" i="5"/>
  <c r="M190" i="5"/>
  <c r="M187" i="5"/>
  <c r="M189" i="5"/>
  <c r="M188" i="5"/>
  <c r="M186" i="5"/>
  <c r="R151" i="5" l="1"/>
  <c r="S150" i="5"/>
  <c r="T150" i="5" s="1"/>
  <c r="C202" i="5"/>
  <c r="C201" i="5"/>
  <c r="C198" i="5"/>
  <c r="C190" i="5" s="1"/>
  <c r="C197" i="5"/>
  <c r="C189" i="5" s="1"/>
  <c r="C194" i="5"/>
  <c r="C186" i="5" s="1"/>
  <c r="C182" i="5"/>
  <c r="C181" i="5"/>
  <c r="C173" i="5"/>
  <c r="C172" i="5"/>
  <c r="C170" i="5"/>
  <c r="C169" i="5"/>
  <c r="C167" i="5"/>
  <c r="C164" i="5"/>
  <c r="C163" i="5"/>
  <c r="C162" i="5"/>
  <c r="C161" i="5"/>
  <c r="C160" i="5"/>
  <c r="C151" i="5"/>
  <c r="C148" i="5"/>
  <c r="C144" i="5"/>
  <c r="C143" i="5"/>
  <c r="C142" i="5"/>
  <c r="C141" i="5"/>
  <c r="C140" i="5"/>
  <c r="C131" i="5"/>
  <c r="C128" i="5"/>
  <c r="C124" i="5"/>
  <c r="D124" i="5"/>
  <c r="D123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6" i="5"/>
  <c r="D167" i="5"/>
  <c r="D168" i="5"/>
  <c r="D169" i="5"/>
  <c r="D170" i="5"/>
  <c r="D172" i="5"/>
  <c r="D173" i="5"/>
  <c r="D174" i="5"/>
  <c r="R152" i="5" l="1"/>
  <c r="S151" i="5"/>
  <c r="T151" i="5" s="1"/>
  <c r="D80" i="5"/>
  <c r="B196" i="5" s="1"/>
  <c r="B320" i="5" s="1"/>
  <c r="B321" i="5" s="1"/>
  <c r="E80" i="5"/>
  <c r="D81" i="5"/>
  <c r="B197" i="5" s="1"/>
  <c r="E81" i="5"/>
  <c r="D82" i="5"/>
  <c r="B198" i="5" s="1"/>
  <c r="E82" i="5"/>
  <c r="D64" i="5"/>
  <c r="E64" i="5"/>
  <c r="R153" i="5" l="1"/>
  <c r="S152" i="5"/>
  <c r="T152" i="5" s="1"/>
  <c r="B180" i="5"/>
  <c r="K72" i="7"/>
  <c r="K86" i="7" s="1"/>
  <c r="J72" i="7"/>
  <c r="I72" i="7"/>
  <c r="H72" i="7"/>
  <c r="G72" i="7"/>
  <c r="F72" i="7"/>
  <c r="F86" i="7" s="1"/>
  <c r="E72" i="7"/>
  <c r="E86" i="7" s="1"/>
  <c r="D72" i="7"/>
  <c r="D86" i="7" s="1"/>
  <c r="C72" i="7"/>
  <c r="C86" i="7" s="1"/>
  <c r="B72" i="7"/>
  <c r="K71" i="7"/>
  <c r="K85" i="7" s="1"/>
  <c r="J71" i="7"/>
  <c r="I71" i="7"/>
  <c r="H71" i="7"/>
  <c r="G71" i="7"/>
  <c r="G85" i="7" s="1"/>
  <c r="F71" i="7"/>
  <c r="E71" i="7"/>
  <c r="E85" i="7" s="1"/>
  <c r="D71" i="7"/>
  <c r="C71" i="7"/>
  <c r="B71" i="7"/>
  <c r="B85" i="7" s="1"/>
  <c r="K70" i="7"/>
  <c r="K84" i="7" s="1"/>
  <c r="J70" i="7"/>
  <c r="J84" i="7" s="1"/>
  <c r="I70" i="7"/>
  <c r="I84" i="7" s="1"/>
  <c r="H70" i="7"/>
  <c r="G70" i="7"/>
  <c r="F70" i="7"/>
  <c r="E70" i="7"/>
  <c r="D70" i="7"/>
  <c r="C70" i="7"/>
  <c r="C84" i="7" s="1"/>
  <c r="B70" i="7"/>
  <c r="K69" i="7"/>
  <c r="J69" i="7"/>
  <c r="I69" i="7"/>
  <c r="H69" i="7"/>
  <c r="H83" i="7" s="1"/>
  <c r="G69" i="7"/>
  <c r="G83" i="7" s="1"/>
  <c r="F69" i="7"/>
  <c r="F83" i="7" s="1"/>
  <c r="E69" i="7"/>
  <c r="E83" i="7" s="1"/>
  <c r="D69" i="7"/>
  <c r="C69" i="7"/>
  <c r="B69" i="7"/>
  <c r="K68" i="7"/>
  <c r="J68" i="7"/>
  <c r="I68" i="7"/>
  <c r="H68" i="7"/>
  <c r="H82" i="7" s="1"/>
  <c r="G68" i="7"/>
  <c r="F68" i="7"/>
  <c r="E68" i="7"/>
  <c r="D68" i="7"/>
  <c r="D82" i="7" s="1"/>
  <c r="C68" i="7"/>
  <c r="C82" i="7" s="1"/>
  <c r="B68" i="7"/>
  <c r="B82" i="7" s="1"/>
  <c r="K67" i="7"/>
  <c r="K81" i="7" s="1"/>
  <c r="J67" i="7"/>
  <c r="I67" i="7"/>
  <c r="I81" i="7" s="1"/>
  <c r="H67" i="7"/>
  <c r="G67" i="7"/>
  <c r="F67" i="7"/>
  <c r="E67" i="7"/>
  <c r="E81" i="7" s="1"/>
  <c r="D67" i="7"/>
  <c r="C67" i="7"/>
  <c r="B67" i="7"/>
  <c r="K66" i="7"/>
  <c r="J66" i="7"/>
  <c r="J80" i="7" s="1"/>
  <c r="I66" i="7"/>
  <c r="I80" i="7" s="1"/>
  <c r="H66" i="7"/>
  <c r="H80" i="7" s="1"/>
  <c r="G66" i="7"/>
  <c r="G80" i="7" s="1"/>
  <c r="F66" i="7"/>
  <c r="E66" i="7"/>
  <c r="E80" i="7" s="1"/>
  <c r="D66" i="7"/>
  <c r="C66" i="7"/>
  <c r="B66" i="7"/>
  <c r="K65" i="7"/>
  <c r="K79" i="7" s="1"/>
  <c r="J65" i="7"/>
  <c r="J73" i="7" s="1"/>
  <c r="I65" i="7"/>
  <c r="H65" i="7"/>
  <c r="G65" i="7"/>
  <c r="G79" i="7" s="1"/>
  <c r="F65" i="7"/>
  <c r="F73" i="7" s="1"/>
  <c r="E65" i="7"/>
  <c r="E73" i="7" s="1"/>
  <c r="D65" i="7"/>
  <c r="C65" i="7"/>
  <c r="B65" i="7"/>
  <c r="B79" i="7" s="1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I82" i="7"/>
  <c r="D80" i="7"/>
  <c r="J86" i="7"/>
  <c r="B73" i="7"/>
  <c r="D85" i="7" s="1"/>
  <c r="J83" i="7"/>
  <c r="F82" i="7"/>
  <c r="D8" i="5"/>
  <c r="B124" i="5" s="1"/>
  <c r="E7" i="5"/>
  <c r="E8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50" i="5"/>
  <c r="E51" i="5"/>
  <c r="E52" i="5"/>
  <c r="E53" i="5"/>
  <c r="E54" i="5"/>
  <c r="E56" i="5"/>
  <c r="E57" i="5"/>
  <c r="E58" i="5"/>
  <c r="E60" i="5"/>
  <c r="E61" i="5"/>
  <c r="E62" i="5"/>
  <c r="E63" i="5"/>
  <c r="E65" i="5"/>
  <c r="E66" i="5"/>
  <c r="E76" i="5"/>
  <c r="E77" i="5"/>
  <c r="E78" i="5"/>
  <c r="E79" i="5"/>
  <c r="E84" i="5"/>
  <c r="E85" i="5"/>
  <c r="E86" i="5"/>
  <c r="D86" i="5"/>
  <c r="B202" i="5" s="1"/>
  <c r="D18" i="5"/>
  <c r="D19" i="5"/>
  <c r="D20" i="5"/>
  <c r="D21" i="5"/>
  <c r="D22" i="5"/>
  <c r="D23" i="5"/>
  <c r="D24" i="5"/>
  <c r="B140" i="5" s="1"/>
  <c r="D25" i="5"/>
  <c r="B141" i="5" s="1"/>
  <c r="D26" i="5"/>
  <c r="B142" i="5" s="1"/>
  <c r="D27" i="5"/>
  <c r="B143" i="5" s="1"/>
  <c r="D28" i="5"/>
  <c r="B144" i="5" s="1"/>
  <c r="D30" i="5"/>
  <c r="B146" i="5" s="1"/>
  <c r="B264" i="5" s="1"/>
  <c r="B265" i="5" s="1"/>
  <c r="D31" i="5"/>
  <c r="B147" i="5" s="1"/>
  <c r="B266" i="5" s="1"/>
  <c r="B267" i="5" s="1"/>
  <c r="D32" i="5"/>
  <c r="D33" i="5"/>
  <c r="B149" i="5" s="1"/>
  <c r="B270" i="5" s="1"/>
  <c r="B271" i="5" s="1"/>
  <c r="D34" i="5"/>
  <c r="B150" i="5" s="1"/>
  <c r="B272" i="5" s="1"/>
  <c r="B273" i="5" s="1"/>
  <c r="D35" i="5"/>
  <c r="B151" i="5" s="1"/>
  <c r="D36" i="5"/>
  <c r="B152" i="5" s="1"/>
  <c r="B274" i="5" s="1"/>
  <c r="B275" i="5" s="1"/>
  <c r="D37" i="5"/>
  <c r="B153" i="5" s="1"/>
  <c r="B276" i="5" s="1"/>
  <c r="B277" i="5" s="1"/>
  <c r="D38" i="5"/>
  <c r="D39" i="5"/>
  <c r="D40" i="5"/>
  <c r="D41" i="5"/>
  <c r="D42" i="5"/>
  <c r="D43" i="5"/>
  <c r="D44" i="5"/>
  <c r="B160" i="5" s="1"/>
  <c r="D45" i="5"/>
  <c r="B161" i="5" s="1"/>
  <c r="D46" i="5"/>
  <c r="B162" i="5" s="1"/>
  <c r="D47" i="5"/>
  <c r="B163" i="5" s="1"/>
  <c r="D48" i="5"/>
  <c r="B164" i="5" s="1"/>
  <c r="D50" i="5"/>
  <c r="B166" i="5" s="1"/>
  <c r="B290" i="5" s="1"/>
  <c r="B291" i="5" s="1"/>
  <c r="D51" i="5"/>
  <c r="B167" i="5" s="1"/>
  <c r="D52" i="5"/>
  <c r="B168" i="5" s="1"/>
  <c r="B292" i="5" s="1"/>
  <c r="B293" i="5" s="1"/>
  <c r="D53" i="5"/>
  <c r="B169" i="5" s="1"/>
  <c r="D54" i="5"/>
  <c r="B170" i="5" s="1"/>
  <c r="D56" i="5"/>
  <c r="B172" i="5" s="1"/>
  <c r="D57" i="5"/>
  <c r="B173" i="5" s="1"/>
  <c r="D58" i="5"/>
  <c r="B174" i="5" s="1"/>
  <c r="B294" i="5" s="1"/>
  <c r="B295" i="5" s="1"/>
  <c r="D60" i="5"/>
  <c r="B176" i="5" s="1"/>
  <c r="B296" i="5" s="1"/>
  <c r="B297" i="5" s="1"/>
  <c r="D61" i="5"/>
  <c r="B177" i="5" s="1"/>
  <c r="B298" i="5" s="1"/>
  <c r="B299" i="5" s="1"/>
  <c r="D62" i="5"/>
  <c r="D63" i="5"/>
  <c r="B179" i="5" s="1"/>
  <c r="B302" i="5" s="1"/>
  <c r="B303" i="5" s="1"/>
  <c r="D65" i="5"/>
  <c r="B181" i="5" s="1"/>
  <c r="D66" i="5"/>
  <c r="B182" i="5" s="1"/>
  <c r="D76" i="5"/>
  <c r="B192" i="5" s="1"/>
  <c r="B314" i="5" s="1"/>
  <c r="B315" i="5" s="1"/>
  <c r="D77" i="5"/>
  <c r="B193" i="5" s="1"/>
  <c r="B316" i="5" s="1"/>
  <c r="B317" i="5" s="1"/>
  <c r="D78" i="5"/>
  <c r="B194" i="5" s="1"/>
  <c r="D79" i="5"/>
  <c r="B195" i="5" s="1"/>
  <c r="B318" i="5" s="1"/>
  <c r="B319" i="5" s="1"/>
  <c r="D84" i="5"/>
  <c r="B200" i="5" s="1"/>
  <c r="B322" i="5" s="1"/>
  <c r="B323" i="5" s="1"/>
  <c r="D85" i="5"/>
  <c r="B201" i="5" s="1"/>
  <c r="D10" i="5"/>
  <c r="B126" i="5" s="1"/>
  <c r="B238" i="5" s="1"/>
  <c r="B239" i="5" s="1"/>
  <c r="D11" i="5"/>
  <c r="B127" i="5" s="1"/>
  <c r="B240" i="5" s="1"/>
  <c r="B241" i="5" s="1"/>
  <c r="D12" i="5"/>
  <c r="D13" i="5"/>
  <c r="B129" i="5" s="1"/>
  <c r="B244" i="5" s="1"/>
  <c r="B245" i="5" s="1"/>
  <c r="D14" i="5"/>
  <c r="B130" i="5" s="1"/>
  <c r="B246" i="5" s="1"/>
  <c r="B247" i="5" s="1"/>
  <c r="D15" i="5"/>
  <c r="B131" i="5" s="1"/>
  <c r="D16" i="5"/>
  <c r="B132" i="5" s="1"/>
  <c r="B248" i="5" s="1"/>
  <c r="B249" i="5" s="1"/>
  <c r="D17" i="5"/>
  <c r="B133" i="5" s="1"/>
  <c r="B250" i="5" s="1"/>
  <c r="B251" i="5" s="1"/>
  <c r="D7" i="5"/>
  <c r="B123" i="5" s="1"/>
  <c r="B236" i="5" s="1"/>
  <c r="B237" i="5" s="1"/>
  <c r="E82" i="7" l="1"/>
  <c r="F79" i="7"/>
  <c r="K83" i="7"/>
  <c r="G86" i="7"/>
  <c r="H73" i="7"/>
  <c r="G82" i="7"/>
  <c r="H85" i="7"/>
  <c r="I73" i="7"/>
  <c r="I85" i="7"/>
  <c r="F84" i="7"/>
  <c r="C85" i="7"/>
  <c r="G73" i="7"/>
  <c r="C83" i="7"/>
  <c r="C81" i="7"/>
  <c r="J79" i="7"/>
  <c r="F80" i="7"/>
  <c r="F85" i="7"/>
  <c r="E84" i="7"/>
  <c r="I86" i="7"/>
  <c r="D79" i="7"/>
  <c r="H86" i="7"/>
  <c r="K73" i="7"/>
  <c r="D83" i="7"/>
  <c r="B86" i="7"/>
  <c r="F81" i="7"/>
  <c r="B84" i="7"/>
  <c r="G84" i="7"/>
  <c r="C73" i="7"/>
  <c r="C79" i="7"/>
  <c r="B80" i="7"/>
  <c r="B87" i="7" s="1"/>
  <c r="K82" i="7"/>
  <c r="D84" i="7"/>
  <c r="K80" i="7"/>
  <c r="K87" i="7" s="1"/>
  <c r="D81" i="7"/>
  <c r="I83" i="7"/>
  <c r="B83" i="7"/>
  <c r="J85" i="7"/>
  <c r="C80" i="7"/>
  <c r="H84" i="7"/>
  <c r="E79" i="7"/>
  <c r="D73" i="7"/>
  <c r="H81" i="7"/>
  <c r="H79" i="7"/>
  <c r="J81" i="7"/>
  <c r="J82" i="7"/>
  <c r="G81" i="7"/>
  <c r="G87" i="7" s="1"/>
  <c r="I79" i="7"/>
  <c r="B81" i="7"/>
  <c r="R154" i="5"/>
  <c r="S153" i="5"/>
  <c r="T153" i="5" s="1"/>
  <c r="B304" i="5"/>
  <c r="B305" i="5" s="1"/>
  <c r="B157" i="5"/>
  <c r="B156" i="5"/>
  <c r="B128" i="5"/>
  <c r="B155" i="5"/>
  <c r="B138" i="5"/>
  <c r="B154" i="5"/>
  <c r="B137" i="5"/>
  <c r="B136" i="5"/>
  <c r="B148" i="5"/>
  <c r="B135" i="5"/>
  <c r="B158" i="5"/>
  <c r="B139" i="5"/>
  <c r="B178" i="5"/>
  <c r="B159" i="5"/>
  <c r="B134" i="5"/>
  <c r="D87" i="7" l="1"/>
  <c r="I87" i="7"/>
  <c r="F87" i="7"/>
  <c r="H87" i="7"/>
  <c r="B90" i="7"/>
  <c r="C87" i="7"/>
  <c r="J87" i="7"/>
  <c r="E87" i="7"/>
  <c r="R155" i="5"/>
  <c r="S154" i="5"/>
  <c r="T154" i="5" s="1"/>
  <c r="B300" i="5"/>
  <c r="B301" i="5" s="1"/>
  <c r="B282" i="5"/>
  <c r="B283" i="5" s="1"/>
  <c r="B284" i="5"/>
  <c r="B285" i="5" s="1"/>
  <c r="B288" i="5"/>
  <c r="B289" i="5" s="1"/>
  <c r="B280" i="5"/>
  <c r="B281" i="5" s="1"/>
  <c r="B286" i="5"/>
  <c r="B287" i="5" s="1"/>
  <c r="B278" i="5"/>
  <c r="B279" i="5" s="1"/>
  <c r="B268" i="5"/>
  <c r="B269" i="5" s="1"/>
  <c r="B258" i="5"/>
  <c r="B259" i="5" s="1"/>
  <c r="B260" i="5"/>
  <c r="B261" i="5" s="1"/>
  <c r="B262" i="5"/>
  <c r="B263" i="5" s="1"/>
  <c r="B256" i="5"/>
  <c r="B257" i="5" s="1"/>
  <c r="B254" i="5"/>
  <c r="B255" i="5" s="1"/>
  <c r="B252" i="5"/>
  <c r="B253" i="5" s="1"/>
  <c r="B242" i="5"/>
  <c r="B243" i="5" s="1"/>
  <c r="J127" i="5" l="1"/>
  <c r="L127" i="5" s="1"/>
  <c r="B91" i="7"/>
  <c r="J126" i="5" s="1"/>
  <c r="R156" i="5"/>
  <c r="S155" i="5"/>
  <c r="T155" i="5" s="1"/>
  <c r="L126" i="5" l="1"/>
  <c r="N126" i="5" s="1"/>
  <c r="M126" i="5" s="1"/>
  <c r="K127" i="5"/>
  <c r="N127" i="5"/>
  <c r="M127" i="5" s="1"/>
  <c r="R157" i="5"/>
  <c r="S156" i="5"/>
  <c r="T156" i="5" s="1"/>
  <c r="K126" i="5" l="1"/>
  <c r="R158" i="5"/>
  <c r="S157" i="5"/>
  <c r="T157" i="5" s="1"/>
  <c r="R159" i="5" l="1"/>
  <c r="S158" i="5"/>
  <c r="T158" i="5" s="1"/>
  <c r="R160" i="5" l="1"/>
  <c r="S159" i="5"/>
  <c r="T159" i="5" s="1"/>
  <c r="R161" i="5" l="1"/>
  <c r="S160" i="5"/>
  <c r="T160" i="5" s="1"/>
  <c r="R162" i="5" l="1"/>
  <c r="S161" i="5"/>
  <c r="T161" i="5" s="1"/>
  <c r="R163" i="5" l="1"/>
  <c r="S162" i="5"/>
  <c r="T162" i="5" s="1"/>
  <c r="R164" i="5" l="1"/>
  <c r="S164" i="5" s="1"/>
  <c r="T164" i="5" s="1"/>
  <c r="S163" i="5"/>
  <c r="T16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tc={DD5752A7-7C11-45E4-A354-EAE94CA564A8}</author>
    <author>tc={D7DF4013-D8A9-456A-905D-25B0421CB170}</author>
    <author>McDonagh, Shane</author>
  </authors>
  <commentList>
    <comment ref="R126" authorId="0" shapeId="0" xr:uid="{DD5752A7-7C11-45E4-A354-EAE94CA564A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average 2018 vkm/car</t>
      </text>
    </comment>
    <comment ref="U126" authorId="1" shapeId="0" xr:uid="{D7DF4013-D8A9-456A-905D-25B0421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average 2018 vkm/car</t>
      </text>
    </comment>
    <comment ref="O180" authorId="2" shapeId="0" xr:uid="{B1EF7E76-3B15-41F9-828C-665E0AA36C10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Equal to Diesel PHEV O&amp;M</t>
        </r>
      </text>
    </comment>
    <comment ref="B195" authorId="2" shapeId="0" xr:uid="{D7F6B638-06DB-476A-9A7A-52F66837F5FA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Based on Helgeson but with €20k premium as per research</t>
        </r>
      </text>
    </comment>
    <comment ref="B196" authorId="2" shapeId="0" xr:uid="{6D8EE3E3-F20A-4B40-AEF1-B0DBC49210F9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Based on Helgeson but with €20k premium as per research</t>
        </r>
      </text>
    </comment>
    <comment ref="B197" authorId="2" shapeId="0" xr:uid="{F05AAF48-6722-4F63-9F4A-8F55BDFA5340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New technology option</t>
        </r>
      </text>
    </comment>
    <comment ref="O197" authorId="2" shapeId="0" xr:uid="{94EFD0A5-4D87-471B-B4DE-580DE3E7310B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Equal to CNG</t>
        </r>
      </text>
    </comment>
    <comment ref="B198" authorId="2" shapeId="0" xr:uid="{EB52D973-615A-43D8-8856-25EE78A9CC7E}">
      <text>
        <r>
          <rPr>
            <b/>
            <sz val="9"/>
            <color indexed="81"/>
            <rFont val="Tahoma"/>
            <family val="2"/>
          </rPr>
          <t>McDonagh, Shane:</t>
        </r>
        <r>
          <rPr>
            <sz val="9"/>
            <color indexed="81"/>
            <rFont val="Tahoma"/>
            <family val="2"/>
          </rPr>
          <t xml:space="preserve">
New technology option</t>
        </r>
      </text>
    </comment>
  </commentList>
</comments>
</file>

<file path=xl/sharedStrings.xml><?xml version="1.0" encoding="utf-8"?>
<sst xmlns="http://schemas.openxmlformats.org/spreadsheetml/2006/main" count="1035" uniqueCount="526">
  <si>
    <t>~FI_T</t>
  </si>
  <si>
    <t>TechName</t>
  </si>
  <si>
    <t>TechDesc</t>
  </si>
  <si>
    <t>Comm-IN</t>
  </si>
  <si>
    <t>Comm-OUT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</si>
  <si>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</si>
  <si>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</si>
  <si>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</si>
  <si>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</si>
  <si>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</si>
  <si>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</si>
  <si>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</si>
  <si>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</si>
  <si>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</si>
  <si>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</si>
  <si>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</si>
  <si>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</si>
  <si>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</si>
  <si>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</si>
  <si>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</si>
  <si>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CAP2ACT</t>
  </si>
  <si>
    <t>Efficiency</t>
  </si>
  <si>
    <t>Capacity to Activity Factor</t>
  </si>
  <si>
    <t>Region</t>
  </si>
  <si>
    <t>*Process Set Membership</t>
  </si>
  <si>
    <t>Region Name</t>
  </si>
  <si>
    <t>TimeSlice level of Process Activity</t>
  </si>
  <si>
    <t>Primary Commodity Group</t>
  </si>
  <si>
    <t>DMD</t>
  </si>
  <si>
    <t>ACTFLO~DEMO</t>
  </si>
  <si>
    <t>LIFE</t>
  </si>
  <si>
    <t>*Technology Name</t>
  </si>
  <si>
    <t>Utilisation Factor</t>
  </si>
  <si>
    <t>Activity to Flo</t>
  </si>
  <si>
    <t>Lifetime</t>
  </si>
  <si>
    <t>*Units</t>
  </si>
  <si>
    <t>'000 km</t>
  </si>
  <si>
    <t>Years</t>
  </si>
  <si>
    <t>bvkm/mvkm</t>
  </si>
  <si>
    <t>TRAELC</t>
  </si>
  <si>
    <t xml:space="preserve">Commodities 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</si>
  <si>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</si>
  <si>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</si>
  <si>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</si>
  <si>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</si>
  <si>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</si>
  <si>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</si>
  <si>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</si>
  <si>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</si>
  <si>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</si>
  <si>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</si>
  <si>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</si>
  <si>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Balance equation</t>
  </si>
  <si>
    <t>Timeslice Level</t>
  </si>
  <si>
    <t>Peak Monitoring</t>
  </si>
  <si>
    <t>Electricity Indicator</t>
  </si>
  <si>
    <t>End-use technologies</t>
  </si>
  <si>
    <t>Description</t>
  </si>
  <si>
    <t>NRG</t>
  </si>
  <si>
    <t>TRAWLK</t>
  </si>
  <si>
    <t>PJ</t>
  </si>
  <si>
    <t>TRACYC</t>
  </si>
  <si>
    <t>TRAGSL</t>
  </si>
  <si>
    <t>TRADST</t>
  </si>
  <si>
    <t>Diesel</t>
  </si>
  <si>
    <t>TRAETH</t>
  </si>
  <si>
    <t>TRABDL</t>
  </si>
  <si>
    <t>TRACNG</t>
  </si>
  <si>
    <t>Private cars</t>
  </si>
  <si>
    <t>TRABNG</t>
  </si>
  <si>
    <t>DAYNITE</t>
  </si>
  <si>
    <t>ELC</t>
  </si>
  <si>
    <t>TRAKER</t>
  </si>
  <si>
    <t>DEM</t>
  </si>
  <si>
    <t>Transport Demand: Goods vehicle for freight</t>
  </si>
  <si>
    <t>Freights</t>
  </si>
  <si>
    <t>TTURS</t>
  </si>
  <si>
    <t xml:space="preserve">Transport Demand: Turism fuel </t>
  </si>
  <si>
    <t>TNAV</t>
  </si>
  <si>
    <t xml:space="preserve">Transport Demand: Navigation fuel </t>
  </si>
  <si>
    <t>TOTH</t>
  </si>
  <si>
    <t>Transport Demand: Unspecified fuel</t>
  </si>
  <si>
    <t>TAVIDOM</t>
  </si>
  <si>
    <t>Transport Demand: Aviation domestic</t>
  </si>
  <si>
    <t>TAVIINT</t>
  </si>
  <si>
    <t>Transport Demand: Aviation international</t>
  </si>
  <si>
    <t>ENV</t>
  </si>
  <si>
    <t>TRACO2N</t>
  </si>
  <si>
    <t>Carbon Dioxide - Combustion (TRA)</t>
  </si>
  <si>
    <t>kt</t>
  </si>
  <si>
    <t>TRACH4N</t>
  </si>
  <si>
    <t>Methane (TRA)</t>
  </si>
  <si>
    <t>TRASO2N</t>
  </si>
  <si>
    <t>Sulphur Oxides (TRA)</t>
  </si>
  <si>
    <t>TRANOXN</t>
  </si>
  <si>
    <t>Nitrogen Oxide (TRA)</t>
  </si>
  <si>
    <t>TRAPM10</t>
  </si>
  <si>
    <t>Particulate Matter &lt;10 µm (TRA)</t>
  </si>
  <si>
    <t>TRAPM25</t>
  </si>
  <si>
    <t>Particulate Matter &lt;2.5 µm (TRA)</t>
  </si>
  <si>
    <t>Vehicle type (New technologies)</t>
  </si>
  <si>
    <t>EFF~2030</t>
  </si>
  <si>
    <t>EFF~2050</t>
  </si>
  <si>
    <t>INVCOST~2030</t>
  </si>
  <si>
    <t>INVCOST~2050</t>
  </si>
  <si>
    <t>FIXOM~2030</t>
  </si>
  <si>
    <t>FIXOM~2050</t>
  </si>
  <si>
    <t>EFF~2018</t>
  </si>
  <si>
    <t>INVCOST~2018</t>
  </si>
  <si>
    <t>Purchase price</t>
  </si>
  <si>
    <t>FIXOM~2018</t>
  </si>
  <si>
    <t>Fixed O&amp;M cost</t>
  </si>
  <si>
    <t>*Two-wheelers</t>
  </si>
  <si>
    <t>*Private cars</t>
  </si>
  <si>
    <t>*Taxis</t>
  </si>
  <si>
    <t>*Buses</t>
  </si>
  <si>
    <t>*Train</t>
  </si>
  <si>
    <t>*Light trucks</t>
  </si>
  <si>
    <t>*Heavy trucks</t>
  </si>
  <si>
    <t>*Rail trucks</t>
  </si>
  <si>
    <t>TRALNG</t>
  </si>
  <si>
    <t>New Private Cars (Number) by Car Make and Engine Capacity cc in 2018</t>
  </si>
  <si>
    <t xml:space="preserve"> </t>
  </si>
  <si>
    <t>All capacities</t>
  </si>
  <si>
    <t>Up to 900 cc</t>
  </si>
  <si>
    <t>901-1000 cc</t>
  </si>
  <si>
    <t>1001-1300 cc</t>
  </si>
  <si>
    <t>1301-1400 cc</t>
  </si>
  <si>
    <t>1401-1500 cc</t>
  </si>
  <si>
    <t>1501-1600 cc</t>
  </si>
  <si>
    <t>1601-2000 cc</t>
  </si>
  <si>
    <t>2001-2400 cc</t>
  </si>
  <si>
    <t>&gt;2400 cc</t>
  </si>
  <si>
    <t>All makes</t>
  </si>
  <si>
    <t>All other makes</t>
  </si>
  <si>
    <t>Alfa Romeo</t>
  </si>
  <si>
    <t>Audi</t>
  </si>
  <si>
    <t>BMW</t>
  </si>
  <si>
    <t>Chevrolet</t>
  </si>
  <si>
    <t>Chrysler Jeep</t>
  </si>
  <si>
    <t>Chrysler</t>
  </si>
  <si>
    <t>Citroen</t>
  </si>
  <si>
    <t>Dacia</t>
  </si>
  <si>
    <t>Fiat</t>
  </si>
  <si>
    <t>Ford</t>
  </si>
  <si>
    <t>Honda</t>
  </si>
  <si>
    <t>Hyundai</t>
  </si>
  <si>
    <t>Infiniti</t>
  </si>
  <si>
    <t>Jaguar</t>
  </si>
  <si>
    <t>Jeep</t>
  </si>
  <si>
    <t>Kia</t>
  </si>
  <si>
    <t>Land Rover</t>
  </si>
  <si>
    <t>Lexus</t>
  </si>
  <si>
    <t>Maserati</t>
  </si>
  <si>
    <t>Mazda</t>
  </si>
  <si>
    <t>Mercedes Benz</t>
  </si>
  <si>
    <t>Mini</t>
  </si>
  <si>
    <t>Mitsubishi</t>
  </si>
  <si>
    <t>Nissan</t>
  </si>
  <si>
    <t>Opel</t>
  </si>
  <si>
    <t>Peugeot</t>
  </si>
  <si>
    <t>Porsche</t>
  </si>
  <si>
    <t>Renault</t>
  </si>
  <si>
    <t>Saab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</si>
  <si>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</si>
  <si>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</si>
  <si>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</si>
  <si>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</si>
  <si>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</si>
  <si>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</si>
  <si>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</si>
  <si>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</si>
  <si>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Vauxhall</t>
  </si>
  <si>
    <t>Volkswagen</t>
  </si>
  <si>
    <t>Volvo</t>
  </si>
  <si>
    <r>
      <rPr>
        <b/>
        <sz val="11"/>
        <color indexed="8"/>
        <rFont val="Calibri"/>
        <family val="2"/>
      </rPr>
      <t xml:space="preserve">Source: </t>
    </r>
    <r>
      <rPr>
        <sz val="10"/>
        <rFont val="Arial"/>
        <family val="2"/>
      </rPr>
      <t>CSO, Table: TEA29</t>
    </r>
  </si>
  <si>
    <t>Purchase price in 2018 (Euro/vehicle)</t>
  </si>
  <si>
    <t>Total</t>
  </si>
  <si>
    <t>New Private Cars (share) by Car Make and Engine Capacity cc in 2018</t>
  </si>
  <si>
    <t>Petrol</t>
  </si>
  <si>
    <t>Helgeson B, Peter J. The role of electricity in decarbonizing European road transport–Development and assessment of an integrated multi-sectoral model. Applied Energy. 2020 Mar 15;262:114365.</t>
  </si>
  <si>
    <t>Passenger or tonnage/Vehicle</t>
  </si>
  <si>
    <r>
      <rPr>
        <b/>
        <sz val="10"/>
        <rFont val="Arial"/>
        <family val="2"/>
      </rPr>
      <t>Source:</t>
    </r>
    <r>
      <rPr>
        <sz val="10"/>
        <rFont val="Arial"/>
        <family val="2"/>
      </rPr>
      <t xml:space="preserve"> SIMI (Society of the Irish Motor Industry), https://www.simi.ie/en/motorstats/recommended-price-guide</t>
    </r>
  </si>
  <si>
    <t>Bpkm</t>
  </si>
  <si>
    <t>000_Units</t>
  </si>
  <si>
    <r>
      <t>M€</t>
    </r>
    <r>
      <rPr>
        <vertAlign val="subscript"/>
        <sz val="11"/>
        <rFont val="Calibri"/>
        <family val="2"/>
      </rPr>
      <t>2018</t>
    </r>
    <r>
      <rPr>
        <sz val="11"/>
        <rFont val="Calibri"/>
        <family val="2"/>
      </rPr>
      <t>/000_units</t>
    </r>
  </si>
  <si>
    <r>
      <t>M€</t>
    </r>
    <r>
      <rPr>
        <vertAlign val="subscript"/>
        <sz val="11"/>
        <rFont val="Calibri"/>
        <family val="2"/>
      </rPr>
      <t>2018</t>
    </r>
    <r>
      <rPr>
        <sz val="11"/>
        <rFont val="Calibri"/>
        <family val="2"/>
      </rPr>
      <t>/000_units</t>
    </r>
    <r>
      <rPr>
        <i/>
        <sz val="10"/>
        <rFont val="Calibri"/>
        <family val="2"/>
      </rPr>
      <t>/a</t>
    </r>
  </si>
  <si>
    <t>TRAPS</t>
  </si>
  <si>
    <t>Transport Demand: Short-range passenger travels</t>
  </si>
  <si>
    <t>TRAPM</t>
  </si>
  <si>
    <t>Transport Demand: Medium-range passenger travels</t>
  </si>
  <si>
    <t>TRAPL</t>
  </si>
  <si>
    <t>Transport Demand: Long-range passenger travels</t>
  </si>
  <si>
    <t>Btkm</t>
  </si>
  <si>
    <t>BV*km/PJ</t>
  </si>
  <si>
    <t>UP</t>
  </si>
  <si>
    <t>Walking (TRA)</t>
  </si>
  <si>
    <t>Cycling (TRA)</t>
  </si>
  <si>
    <t>Gasoline (TRA)</t>
  </si>
  <si>
    <t>Diesel (TRA)</t>
  </si>
  <si>
    <t>BioEthanol (TRA)</t>
  </si>
  <si>
    <t>BioDiesel (TRA)</t>
  </si>
  <si>
    <t>CNG (TRA)</t>
  </si>
  <si>
    <t>BioCNG (TRA)</t>
  </si>
  <si>
    <t>Electricity (TRA)</t>
  </si>
  <si>
    <t>LNG (TRA)</t>
  </si>
  <si>
    <t>Hydrogen (TRA)</t>
  </si>
  <si>
    <t>Kerosene (TRA)</t>
  </si>
  <si>
    <t>Passenger</t>
  </si>
  <si>
    <t>Two-wheelers</t>
  </si>
  <si>
    <t>T-MOT-ICE_GSL01</t>
  </si>
  <si>
    <t>TRA Motorcycles: Gasoline ICEs - New</t>
  </si>
  <si>
    <t>T-MOT-EV_ELC01</t>
  </si>
  <si>
    <t>TRA Motorcycles: Electric - New</t>
  </si>
  <si>
    <t>T-CAR-ICE_GSL21</t>
  </si>
  <si>
    <t>TRA Cars: Gasoline ICEs - New</t>
  </si>
  <si>
    <t>T-CAR-ICE_DST21</t>
  </si>
  <si>
    <t>TRA Cars: Diesel ICEs - New</t>
  </si>
  <si>
    <t>T-CAR-ICE_DF21</t>
  </si>
  <si>
    <t>TRA Cars: Dual fuel ICEs (CNG/BCNG &amp; Gasoline) - New</t>
  </si>
  <si>
    <t>T-CAR-ICE_NGB21</t>
  </si>
  <si>
    <t>TRA Cars: BioCNG and CNG ICEs - New</t>
  </si>
  <si>
    <t>T-CAR-ICE_E8521</t>
  </si>
  <si>
    <t>TRA Cars: Flex fuel ICEs - New</t>
  </si>
  <si>
    <t>T-CAR-ICE_B10021</t>
  </si>
  <si>
    <t>TRA Cars: Biodiesel ICEs - New</t>
  </si>
  <si>
    <t>T-CAR-HEV_GSL21</t>
  </si>
  <si>
    <t>TRA Cars: Gasoline HEVs - New</t>
  </si>
  <si>
    <t>T-CAR-HEV_DST21</t>
  </si>
  <si>
    <t>TRA Cars: Diesel HEVs - New</t>
  </si>
  <si>
    <t>T-CAR-PHEV10_GSL21</t>
  </si>
  <si>
    <t>TRA Cars: Gasoline PHEV, 10-mile all-electric range - New</t>
  </si>
  <si>
    <t>T-CAR-PHEV20_GSL21</t>
  </si>
  <si>
    <t>TRA Cars: Gasoline PHEV, 20-mile all-electric range - New</t>
  </si>
  <si>
    <t>T-CAR-PHEV40_GSL21</t>
  </si>
  <si>
    <t>TRA Cars: Gasoline PHEV, 40-mile all-electric range - New</t>
  </si>
  <si>
    <t>T-CAR-PHEV10_DST21</t>
  </si>
  <si>
    <t>TRA Cars: Diesel PHEV, 10-mile all-electric range - New</t>
  </si>
  <si>
    <t>T-CAR-PHEV20_DST21</t>
  </si>
  <si>
    <t>TRA Cars: Diesel PHEV, 20-mile all-electric range - New</t>
  </si>
  <si>
    <t>T-CAR-PHEV40_DST21</t>
  </si>
  <si>
    <t>TRA Cars: Diesel PHEV, 40-mile all-electric range - New</t>
  </si>
  <si>
    <t>T-CAR-BEV100_ELC21</t>
  </si>
  <si>
    <t>TRA Cars: BEV 100 mile (160 km) all-electric range - New</t>
  </si>
  <si>
    <t>TRA Cars: BEV 150 mile (240 km) all-electric range - New</t>
  </si>
  <si>
    <t>TRA Cars: BEV 250 mile (400 km) all-electric range - New</t>
  </si>
  <si>
    <t>T-CAR-ICE_HYD21</t>
  </si>
  <si>
    <t>TRA Cars: Hydrogen ICEs - New</t>
  </si>
  <si>
    <t>T-CAR-FCV_HYD21</t>
  </si>
  <si>
    <t>TRA Cars: Fuel cell vehicles - New</t>
  </si>
  <si>
    <t> Taxis</t>
  </si>
  <si>
    <t>T-TAX-ICE_GSL31</t>
  </si>
  <si>
    <t>TRA Taxis:  Gasoline ICEs - New</t>
  </si>
  <si>
    <t>TRA Taxis: Diesel ICEs - New</t>
  </si>
  <si>
    <t>TRA Taxis: Dual fuel ICEs (CNG/BCNG &amp; Gasoline) - New</t>
  </si>
  <si>
    <t>TRA Taxis: BioCNG and CNG ICEs - New</t>
  </si>
  <si>
    <t>TRA Taxis: Flex fuel ICEs - New</t>
  </si>
  <si>
    <t>TRA Taxis: Biodiesel ICEs - New</t>
  </si>
  <si>
    <t>TRA Taxis: Gasoline HEVs - New</t>
  </si>
  <si>
    <t>TRA Taxis: Diesel HEV - New</t>
  </si>
  <si>
    <t>TRA Taxis: Gasoline PHEV, 10-mile all-electric range - New</t>
  </si>
  <si>
    <t>TRA Taxis: Gasoline PHEV, 20-mile all-electric range - New</t>
  </si>
  <si>
    <t>TRA Taxis: Gasoline PHEV, 40-mile all-electric range - New</t>
  </si>
  <si>
    <t>TRA Taxis: Diesel PHEV, 10-mile all-electric range - New</t>
  </si>
  <si>
    <t>TRA Taxis: Diesel PHEV, 20-mile all-electric range - New</t>
  </si>
  <si>
    <t>TRA Taxis: Diesel PHEV, 40-mile all-electric range - New</t>
  </si>
  <si>
    <t>TRA Taxis: BEV 100 mile (160 km) all-electric range - New</t>
  </si>
  <si>
    <t>TRA Taxis: BEV 150 mile (240 km) all-electric range - New</t>
  </si>
  <si>
    <t>TRA Taxis: BEV 250 mile (400 km) all-electric range - New</t>
  </si>
  <si>
    <t>TRA Taxis: Hydrogen ICEs - New</t>
  </si>
  <si>
    <t>TRA Taxis: Fuel cell vehicles - New</t>
  </si>
  <si>
    <t> Buses</t>
  </si>
  <si>
    <t>T-BUS-ICE_DST41</t>
  </si>
  <si>
    <t>TRA BUS: Diesel ICEs - New</t>
  </si>
  <si>
    <t>T-BUS-ICE_B10041</t>
  </si>
  <si>
    <t>TRA BUS: Biodiesel ICEs - New</t>
  </si>
  <si>
    <t>T-BUS-ICE_NGB41</t>
  </si>
  <si>
    <t>TRA BUS: BioCNG and CNG ICEs - New</t>
  </si>
  <si>
    <t>T-BUS-BEV_ELC41</t>
  </si>
  <si>
    <t>TRA BUS: BEV - New</t>
  </si>
  <si>
    <t>T-BUS-FCV_HYD41</t>
  </si>
  <si>
    <t>TRA BUS: Fuel Cell Vehicles - New</t>
  </si>
  <si>
    <t> Passenger Train</t>
  </si>
  <si>
    <t>TRA Light Passenger Train: Electric - New</t>
  </si>
  <si>
    <t>TRA Heavy Passenger Train: Electric - New</t>
  </si>
  <si>
    <t>T-HPT-ICE_DST51</t>
  </si>
  <si>
    <t>TRA Heavy Passenger Train: Diesel - New</t>
  </si>
  <si>
    <t> Light Goods Trucks</t>
  </si>
  <si>
    <t>T-LGT-ICE_DST61</t>
  </si>
  <si>
    <t>TRA Light Goods Truck: Diesel ICE - New</t>
  </si>
  <si>
    <t>T-LGT-HEV_DST61</t>
  </si>
  <si>
    <t>TRA Light Goods Truck: Diesel HEV - New</t>
  </si>
  <si>
    <t>T-LGT-PHEV_DST61</t>
  </si>
  <si>
    <t>TRA Light Goods Truck: Diesel Plug in Hybrid - New</t>
  </si>
  <si>
    <t>TRA Light Goods Truck: BioCNG and CNG ICE - New</t>
  </si>
  <si>
    <t>T-LGT-PHEV_NGB61</t>
  </si>
  <si>
    <t>TRA Light Goods Truck: BioCNG and CNG PHEV - New</t>
  </si>
  <si>
    <t>T-LGT-FCV_HYD61</t>
  </si>
  <si>
    <t>TRA Light Goods Truck: Fuel Cell Vehicle - New</t>
  </si>
  <si>
    <t>T-LGT-BEV_ELC61</t>
  </si>
  <si>
    <t>TRA Light Goods Truck: Battery Electric Vehicle - New</t>
  </si>
  <si>
    <t> Heavy Goods Trucks</t>
  </si>
  <si>
    <t>TRA Heavy Goods Truck: Diesel ICE - New</t>
  </si>
  <si>
    <t>TRA Heavy Goods Truck: Diesel HEV - New</t>
  </si>
  <si>
    <t>TRA Heavy Goods Truck: Hydrogen FCV - New</t>
  </si>
  <si>
    <t>TRA Heavy Goods Truck: BioCNG and CNG ICE - New</t>
  </si>
  <si>
    <t>TRA Heavy Goods Truck: BioCNG and CNG HEV - New</t>
  </si>
  <si>
    <t>TRA Heavy Goods Truck: LNG ICE - New</t>
  </si>
  <si>
    <t>TRA Heavy Goods Truck: Battery Electric Vehicle - New</t>
  </si>
  <si>
    <t> Goods Train</t>
  </si>
  <si>
    <t>TRA Goods Train: ICE Diesel Train - New</t>
  </si>
  <si>
    <t>TRA Goods Train: Electric Train - New</t>
  </si>
  <si>
    <t>TRA Goods Train: Hydrogen Fuel Cell Train - New</t>
  </si>
  <si>
    <t>T-TAX-ICE_DF31</t>
  </si>
  <si>
    <t>T-TAX-ICE_NGB31</t>
  </si>
  <si>
    <t>T-TAX-ICE_E8531</t>
  </si>
  <si>
    <t>T-TAX-ICE_B10031</t>
  </si>
  <si>
    <t>T-TAX-HEV_GSL31</t>
  </si>
  <si>
    <t>T-TAX-HEV_DST31</t>
  </si>
  <si>
    <t>T-TAX-PHEV10_GSL31</t>
  </si>
  <si>
    <t>T-TAX-PHEV20_GSL31</t>
  </si>
  <si>
    <t>T-TAX-PHEV40_GSL31</t>
  </si>
  <si>
    <t>T-TAX-PHEV10_DST31</t>
  </si>
  <si>
    <t>T-TAX-PHEV20_DST31</t>
  </si>
  <si>
    <t>T-TAX-PHEV40_DST31</t>
  </si>
  <si>
    <t>T-TAX-ICE_HYD31</t>
  </si>
  <si>
    <t>T-TAX-FCV_HYD31</t>
  </si>
  <si>
    <t>T-TAX-ICE_DST31</t>
  </si>
  <si>
    <t>*Medium trucks</t>
  </si>
  <si>
    <t> Medium Goods Trucks</t>
  </si>
  <si>
    <t>TRA Medium Goods Truck: Diesel ICE - New</t>
  </si>
  <si>
    <t>TRA Medium Goods Truck: Diesel HEV - New</t>
  </si>
  <si>
    <t>TRA Medium Goods Truck: BioCNG and CNG ICE - New</t>
  </si>
  <si>
    <t>TRA Medium Goods Truck: Battery Electric Vehicle - New</t>
  </si>
  <si>
    <t>T-HGT-ICE_DST81</t>
  </si>
  <si>
    <t>T-HGT-HEV_DST81</t>
  </si>
  <si>
    <t>T-HGT-FCV_HYD81</t>
  </si>
  <si>
    <t>T-HGT-ICE_NGB81</t>
  </si>
  <si>
    <t>T-HGT-HEV_NGB81</t>
  </si>
  <si>
    <t>T-HGT-ICE_LNG81</t>
  </si>
  <si>
    <t>T-HGT-BEV_ELC81</t>
  </si>
  <si>
    <t>T-GTR-ICE_DST91</t>
  </si>
  <si>
    <t>T-GTR-FCV_HYD91</t>
  </si>
  <si>
    <t>TRA Medium Goods Truck: Hydrogen FCV - New</t>
  </si>
  <si>
    <t>TRA Medium Goods Truck: BioCNG and CNG HEV - New</t>
  </si>
  <si>
    <t>TRA Medium Goods Truck: LNG ICE - New</t>
  </si>
  <si>
    <t>T-MGT-ICE_DST71</t>
  </si>
  <si>
    <t>T-MGT-HEV_DST71</t>
  </si>
  <si>
    <t>T-MGT-FCV_HYD71</t>
  </si>
  <si>
    <t>T-MGT-ICE_NGB71</t>
  </si>
  <si>
    <t>T-MGT-HEV_NGB71</t>
  </si>
  <si>
    <t>T-MGT-ICE_LNG71</t>
  </si>
  <si>
    <t>T-MGT-BEV_ELC71</t>
  </si>
  <si>
    <t>TRAF</t>
  </si>
  <si>
    <t>LO</t>
  </si>
  <si>
    <t>T-CAR-BEV150_ELC21</t>
  </si>
  <si>
    <t>T-CAR-BEV250_ELC21</t>
  </si>
  <si>
    <t>T-TAX-BEV100_ELC31</t>
  </si>
  <si>
    <t>T-TAX-BEV150_ELC31</t>
  </si>
  <si>
    <t>T-TAX-BEV250_ELC31</t>
  </si>
  <si>
    <t>T-LPT-BEV_ELC51</t>
  </si>
  <si>
    <t>T-HPT-BEV_ELC51</t>
  </si>
  <si>
    <t>T-GTR-BEV_ELC91</t>
  </si>
  <si>
    <t>*Turism, Navigation &amp; Others</t>
  </si>
  <si>
    <t>Others</t>
  </si>
  <si>
    <t>TRA Tourism: Advanced Tourism Vehicles - New</t>
  </si>
  <si>
    <t>TRA Navigation: Advanced Navigation Vehicles - New</t>
  </si>
  <si>
    <t xml:space="preserve">TRA Unspecified: Advanced Unspecified Vehicles - New </t>
  </si>
  <si>
    <t>Turism, Navigation &amp; Others</t>
  </si>
  <si>
    <t>PJa</t>
  </si>
  <si>
    <t>Aviation</t>
  </si>
  <si>
    <t>Aviation domestic - New</t>
  </si>
  <si>
    <t>Aviation international - New</t>
  </si>
  <si>
    <t>*Aviation</t>
  </si>
  <si>
    <t>T-NAV_NEW</t>
  </si>
  <si>
    <t>T-OTH_NEW</t>
  </si>
  <si>
    <t>T-TUR_NEW</t>
  </si>
  <si>
    <t>T-AVI_DOM_NEW</t>
  </si>
  <si>
    <t>T-AVI_INT_NEW</t>
  </si>
  <si>
    <t>TRABJK</t>
  </si>
  <si>
    <t>INVCOST~2035</t>
  </si>
  <si>
    <t>T-LGT-ICE_NGB61</t>
  </si>
  <si>
    <t>Share-I~2018</t>
  </si>
  <si>
    <t>Share-I~2020</t>
  </si>
  <si>
    <t>Share-I~2030</t>
  </si>
  <si>
    <t>Share-I~0</t>
  </si>
  <si>
    <t>INVCOST~2025</t>
  </si>
  <si>
    <t>TRAH2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</si>
  <si>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</si>
  <si>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</si>
  <si>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</si>
  <si>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</si>
  <si>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</si>
  <si>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</si>
  <si>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</si>
  <si>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</si>
  <si>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</si>
  <si>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</si>
  <si>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</si>
  <si>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</si>
  <si>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Vahid Aryanpur (UCC, vahid.aryanpur@ucc.ie)</t>
  </si>
  <si>
    <t>Techno-economic data for new vehicles</t>
  </si>
  <si>
    <t>New Technologies</t>
  </si>
  <si>
    <t>Transport sector (TRA)</t>
  </si>
  <si>
    <t>AFA~2018</t>
  </si>
  <si>
    <t>AFA~2021</t>
  </si>
  <si>
    <t>AFA~2022</t>
  </si>
  <si>
    <t>AFA~0</t>
  </si>
  <si>
    <t>AFA~2027</t>
  </si>
  <si>
    <t>RCAP_BND~0</t>
  </si>
  <si>
    <t>TAVIINTS</t>
  </si>
  <si>
    <t>AircraftID</t>
  </si>
  <si>
    <t>Size class</t>
  </si>
  <si>
    <t>Size_Name</t>
  </si>
  <si>
    <t>RepACName</t>
  </si>
  <si>
    <t>Avg_Seats</t>
  </si>
  <si>
    <t>Seat_cat_lower_limit</t>
  </si>
  <si>
    <t>Seat_cat_upper_limit</t>
  </si>
  <si>
    <t>OpCostFinance_2015dollarperyear</t>
  </si>
  <si>
    <t>OpCostMaint_AirframeEngine_2015dollarperhr</t>
  </si>
  <si>
    <t>OpCostMaint_Labour_2015dollarperhr</t>
  </si>
  <si>
    <t>OpCostMaint_HeavyComponent_2015dollarpercycle</t>
  </si>
  <si>
    <t>OpCostPilots_2015dollarperhr</t>
  </si>
  <si>
    <t>OpCostCabinCrew_2015dollarperhr</t>
  </si>
  <si>
    <t>Equip_Utilisation</t>
  </si>
  <si>
    <t>DiscountedListPrice_USD2015</t>
  </si>
  <si>
    <t>SmallRJ</t>
  </si>
  <si>
    <t>CRJ700</t>
  </si>
  <si>
    <t>LargeRJ</t>
  </si>
  <si>
    <t>Embraer190</t>
  </si>
  <si>
    <t>SmallSA</t>
  </si>
  <si>
    <t>A319</t>
  </si>
  <si>
    <t>MediumSA</t>
  </si>
  <si>
    <t>A320</t>
  </si>
  <si>
    <t>LargeSA</t>
  </si>
  <si>
    <t>B737-800</t>
  </si>
  <si>
    <t>SmallTA</t>
  </si>
  <si>
    <t>B787-800</t>
  </si>
  <si>
    <t>MediumTA</t>
  </si>
  <si>
    <t>A330-300</t>
  </si>
  <si>
    <t>LargeTA</t>
  </si>
  <si>
    <t>777-300ER</t>
  </si>
  <si>
    <t>VLA</t>
  </si>
  <si>
    <t>A380-800</t>
  </si>
  <si>
    <t>AIM Model</t>
  </si>
  <si>
    <t>T-SAVI_INT_JETK_NEW</t>
  </si>
  <si>
    <t>Aviation international - Fossil Jet Kerosene - Small Aircraft - New</t>
  </si>
  <si>
    <t>T-MAVI_INT_JETK_NEW</t>
  </si>
  <si>
    <t>T-LAVI_INT_JETK_NEW</t>
  </si>
  <si>
    <t>Aviation international - Fossil Jet Kerosene - Medium Aircraft - New</t>
  </si>
  <si>
    <t>Aviation international - Fossil Jet Kerosene - Large Aircraft - New</t>
  </si>
  <si>
    <t>T-SAVI_INT_SAF_NEW</t>
  </si>
  <si>
    <t>T-MAVI_INT_SAF_NEW</t>
  </si>
  <si>
    <t>T-LAVI_INT_SAF_NEW</t>
  </si>
  <si>
    <t>Aviation international - SAF - Small Aircraft - New</t>
  </si>
  <si>
    <t>Aviation international - SAF - Medium Aircraft - New</t>
  </si>
  <si>
    <t>Aviation international - SAF - Large Aircraft - New</t>
  </si>
  <si>
    <t>T-SAVI_INT_SYN-FUEL_NEW</t>
  </si>
  <si>
    <t>T-MAVI_INT_SYN-FUEL_NEW</t>
  </si>
  <si>
    <t>T-LAVI_INT_SYN-FUEL_NEW</t>
  </si>
  <si>
    <t>Aviation international - Synthetic Fuel - Small Aircraft - New</t>
  </si>
  <si>
    <t>Aviation international - Synthetic Fuel - Medium Aircraft - New</t>
  </si>
  <si>
    <t>Aviation international - Synthetic Fuel - Large Aircraft - New</t>
  </si>
  <si>
    <t>T-SAVI_INT_ELC_NEW</t>
  </si>
  <si>
    <t>Aviation international - Electric - Small Aircraft - New</t>
  </si>
  <si>
    <t>T-SAVI_INT_H2_NEW</t>
  </si>
  <si>
    <t>T-MAVI_INT_H2_NEW</t>
  </si>
  <si>
    <t>T-LAVI_INT_H2_NEW</t>
  </si>
  <si>
    <t>Aviation international - Hydrogen - Small Aircraft - New</t>
  </si>
  <si>
    <t>Aviation international - Hydrogen - Medium Aircraft - New</t>
  </si>
  <si>
    <t>Aviation international - Hydrogen - Large Aircraft - New</t>
  </si>
  <si>
    <t>Average passenger per flight</t>
  </si>
  <si>
    <t>Regional Flights (&lt;500km)</t>
  </si>
  <si>
    <t>Intracontinental Flights (&gt;500km and &lt;3000km)</t>
  </si>
  <si>
    <t>Intercontinental Flights (&gt;3000km)</t>
  </si>
  <si>
    <t>Calibration of average fuel cunsumption</t>
  </si>
  <si>
    <t>Bpkm/PJ</t>
  </si>
  <si>
    <t>Load factor</t>
  </si>
  <si>
    <t>MVkm/PJ</t>
  </si>
  <si>
    <t>PJ/Bpkm</t>
  </si>
  <si>
    <r>
      <t>Question:</t>
    </r>
    <r>
      <rPr>
        <sz val="9"/>
        <rFont val="Georgia"/>
        <family val="1"/>
      </rPr>
      <t> How many miles does an airplane like a 777 fly over the course of its lifetime?</t>
    </r>
  </si>
  <si>
    <t>3,500 hours a year as an average</t>
  </si>
  <si>
    <t>An average speed of 500 miles per hour</t>
  </si>
  <si>
    <t>Avergae (km/yr)</t>
  </si>
  <si>
    <t>Share-I~2025</t>
  </si>
  <si>
    <t>Share-I~2050</t>
  </si>
  <si>
    <t>Share of SAF and PtL in ReFuelEU Aviation Regulation</t>
  </si>
  <si>
    <t>SAF</t>
  </si>
  <si>
    <t>PtL</t>
  </si>
  <si>
    <t>TAVIINTM</t>
  </si>
  <si>
    <t>TAVIINTL</t>
  </si>
  <si>
    <t>SEC</t>
  </si>
  <si>
    <t>Technology</t>
  </si>
  <si>
    <t>toe/MVkm</t>
  </si>
  <si>
    <t>MVkm/toe</t>
  </si>
  <si>
    <t>Conventional</t>
  </si>
  <si>
    <t>Modified Conventional 1</t>
  </si>
  <si>
    <t>Modified Conventional 2</t>
  </si>
  <si>
    <t>Modified Conventional 3</t>
  </si>
  <si>
    <t>Modified Conventional 4</t>
  </si>
  <si>
    <t>Modified Conventional 5</t>
  </si>
  <si>
    <t>Modified Conventional 6</t>
  </si>
  <si>
    <t>Modified Conventional 7</t>
  </si>
  <si>
    <t>Hybrid Aircrafts</t>
  </si>
  <si>
    <t>All Electric Aircrafts</t>
  </si>
  <si>
    <t>Hydrogen Fuel Cell</t>
  </si>
  <si>
    <t>Hybrid Fuel Cell &amp; H2 propulsion</t>
  </si>
  <si>
    <t>Hydrogen Turbine</t>
  </si>
  <si>
    <t>TRAPtLKER</t>
  </si>
  <si>
    <t>Power to Liquid, pure synthetic kerosene (TRA)</t>
  </si>
  <si>
    <r>
      <t>Bio Jet Kerosene (TRA)_</t>
    </r>
    <r>
      <rPr>
        <sz val="10"/>
        <color rgb="FF00B0F0"/>
        <rFont val="Arial"/>
        <family val="2"/>
      </rPr>
      <t>SAF</t>
    </r>
  </si>
  <si>
    <t>T-MAVI_INT_ELC_NEW</t>
  </si>
  <si>
    <t>Aviation international - Electric - Medium Aircraft - New</t>
  </si>
  <si>
    <t>AVIKER</t>
  </si>
  <si>
    <t>Kerosene for Aviation</t>
  </si>
  <si>
    <t>AVIBJK</t>
  </si>
  <si>
    <t>Biojet kerosene or SAF for Aviation</t>
  </si>
  <si>
    <t>AVIELC</t>
  </si>
  <si>
    <t>Electricity for Aviation</t>
  </si>
  <si>
    <t>AVIH2</t>
  </si>
  <si>
    <t>Hydrogen for Aviation</t>
  </si>
  <si>
    <t>AVIPtL</t>
  </si>
  <si>
    <t>Syntethic fuel for Aviation</t>
  </si>
  <si>
    <t>https://transport.ec.europa.eu/transport-modes/air/environment/refueleu-aviation_en</t>
  </si>
  <si>
    <t>Share-I~2070</t>
  </si>
  <si>
    <t>EFF~2070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</si>
</sst>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€&quot;* #,##0_-;\-&quot;€&quot;* #,##0_-;_-&quot;€&quot;* &quot;-&quot;_-;_-@_-"/>
    <numFmt numFmtId="41" formatCode="_-* #,##0_-;\-* #,##0_-;_-* &quot;-&quot;_-;_-@_-"/>
    <numFmt numFmtId="44" formatCode="_-&quot;€&quot;* #,##0.00_-;\-&quot;€&quot;* #,##0.00_-;_-&quot;€&quot;* &quot;-&quot;??_-;_-@_-"/>
    <numFmt numFmtId="43" formatCode="_-* #,##0.00_-;\-* #,##0.00_-;_-* &quot;-&quot;??_-;_-@_-"/>
    <numFmt numFmtId="164" formatCode="_(* #,##0_);_(* \(#,##0\);_(* &quot;-&quot;_);_(@_)"/>
    <numFmt numFmtId="165" formatCode="0.000"/>
    <numFmt numFmtId="166" formatCode="\Te\x\t"/>
    <numFmt numFmtId="167" formatCode="_-* #,##0_-;\-* #,##0_-;_-* &quot;-&quot;??_-;_-@_-"/>
    <numFmt numFmtId="168" formatCode="_-* #,##0.000_-;\-* #,##0.000_-;_-* &quot;-&quot;??_-;_-@_-"/>
    <numFmt numFmtId="169" formatCode="0.0"/>
    <numFmt numFmtId="170" formatCode="0.0%"/>
    <numFmt numFmtId="171" formatCode="_(&quot;$&quot;* #,##0.00_);_(&quot;$&quot;* \(#,##0.00\);_(&quot;$&quot;* &quot;-&quot;??_);_(@_)"/>
    <numFmt numFmtId="172" formatCode="0.00_)"/>
    <numFmt numFmtId="173" formatCode="0.0000"/>
    <numFmt numFmtId="174" formatCode="0.000%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vertAlign val="subscript"/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sz val="12"/>
      <name val="Arial"/>
      <family val="2"/>
    </font>
    <font>
      <sz val="10"/>
      <name val="Arial"/>
      <family val="2"/>
    </font>
    <font>
      <i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sz val="16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rgb="FF222222"/>
      <name val="Arial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2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50"/>
      <name val="Arial"/>
      <family val="2"/>
    </font>
    <font>
      <sz val="10"/>
      <name val="Arial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B0F0"/>
      <name val="Calibri"/>
      <family val="2"/>
      <scheme val="minor"/>
    </font>
    <font>
      <sz val="10"/>
      <color rgb="FF00B0F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</font>
    <font>
      <u/>
      <sz val="11"/>
      <color theme="10"/>
      <name val="Calibri"/>
      <family val="2"/>
    </font>
    <font>
      <sz val="9"/>
      <name val="Georgia"/>
      <family val="1"/>
    </font>
    <font>
      <b/>
      <sz val="9"/>
      <name val="Georgia"/>
      <family val="1"/>
    </font>
    <font>
      <sz val="11"/>
      <color theme="1"/>
      <name val="Calibri"/>
      <family val="2"/>
    </font>
    <font>
      <sz val="11"/>
      <color rgb="FF00B0F0"/>
      <name val="Calibri"/>
      <family val="2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b/>
      <sz val="11"/>
      <color rgb="FF222222"/>
      <name val="Times New Roman"/>
      <family val="1"/>
    </font>
  </fonts>
  <fills count="4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2">
    <xf numFmtId="0" fontId="0" fillId="0" borderId="0"/>
    <xf numFmtId="0" fontId="18" fillId="3" borderId="0" applyNumberFormat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5" fillId="0" borderId="0"/>
    <xf numFmtId="0" fontId="35" fillId="0" borderId="0" applyNumberFormat="0" applyFill="0" applyBorder="0" applyAlignment="0" applyProtection="0"/>
    <xf numFmtId="0" fontId="4" fillId="3" borderId="0" applyNumberFormat="0" applyBorder="0" applyAlignment="0" applyProtection="0"/>
    <xf numFmtId="0" fontId="4" fillId="0" borderId="0"/>
    <xf numFmtId="43" fontId="4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172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4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45" fillId="20" borderId="0" applyNumberFormat="0" applyBorder="0" applyAlignment="0" applyProtection="0"/>
    <xf numFmtId="0" fontId="46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9" fillId="0" borderId="0" applyBorder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3" fillId="0" borderId="0"/>
    <xf numFmtId="0" fontId="49" fillId="0" borderId="0" applyBorder="0"/>
    <xf numFmtId="43" fontId="49" fillId="0" borderId="0" applyFont="0" applyFill="0" applyBorder="0" applyAlignment="0" applyProtection="0"/>
    <xf numFmtId="0" fontId="49" fillId="0" borderId="0" applyBorder="0"/>
    <xf numFmtId="0" fontId="6" fillId="0" borderId="0"/>
    <xf numFmtId="0" fontId="49" fillId="0" borderId="0" applyBorder="0"/>
    <xf numFmtId="43" fontId="49" fillId="0" borderId="0" applyFont="0" applyFill="0" applyBorder="0" applyAlignment="0" applyProtection="0"/>
    <xf numFmtId="0" fontId="52" fillId="0" borderId="0" applyNumberForma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 applyBorder="0"/>
    <xf numFmtId="43" fontId="49" fillId="0" borderId="0" applyFont="0" applyFill="0" applyBorder="0" applyAlignment="0" applyProtection="0"/>
    <xf numFmtId="0" fontId="49" fillId="0" borderId="0" applyBorder="0"/>
    <xf numFmtId="43" fontId="49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43" fontId="6" fillId="0" borderId="0" applyFont="0" applyFill="0" applyBorder="0" applyAlignment="0" applyProtection="0"/>
    <xf numFmtId="172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0" fontId="1" fillId="0" borderId="0"/>
    <xf numFmtId="0" fontId="1" fillId="3" borderId="0" applyNumberFormat="0" applyBorder="0" applyAlignment="0" applyProtection="0"/>
    <xf numFmtId="0" fontId="1" fillId="0" borderId="0"/>
    <xf numFmtId="43" fontId="4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2" fillId="48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3" fillId="45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2" fillId="33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2" fillId="29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8" fillId="26" borderId="13" applyNumberFormat="0" applyAlignment="0" applyProtection="0">
      <alignment vertical="center"/>
    </xf>
    <xf numFmtId="0" fontId="67" fillId="0" borderId="12" applyNumberFormat="0" applyFill="0" applyAlignment="0" applyProtection="0">
      <alignment vertical="center"/>
    </xf>
    <xf numFmtId="0" fontId="66" fillId="25" borderId="10" applyNumberFormat="0" applyAlignment="0" applyProtection="0">
      <alignment vertical="center"/>
    </xf>
    <xf numFmtId="0" fontId="65" fillId="25" borderId="11" applyNumberFormat="0" applyAlignment="0" applyProtection="0">
      <alignment vertical="center"/>
    </xf>
    <xf numFmtId="0" fontId="64" fillId="24" borderId="10" applyNumberFormat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2" fillId="22" borderId="0" applyNumberFormat="0" applyBorder="0" applyAlignment="0" applyProtection="0">
      <alignment vertical="center"/>
    </xf>
    <xf numFmtId="0" fontId="61" fillId="21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9" applyNumberFormat="0" applyFill="0" applyAlignment="0" applyProtection="0">
      <alignment vertical="center"/>
    </xf>
    <xf numFmtId="0" fontId="59" fillId="0" borderId="8" applyNumberFormat="0" applyFill="0" applyAlignment="0" applyProtection="0">
      <alignment vertical="center"/>
    </xf>
    <xf numFmtId="0" fontId="58" fillId="0" borderId="7" applyNumberFormat="0" applyFill="0" applyAlignment="0" applyProtection="0">
      <alignment vertical="center"/>
    </xf>
    <xf numFmtId="43" fontId="43" fillId="0" borderId="0" applyFont="0" applyFill="0" applyBorder="0" applyAlignment="0" applyProtection="0"/>
    <xf numFmtId="0" fontId="4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1" fillId="0" borderId="0"/>
    <xf numFmtId="43" fontId="49" fillId="0" borderId="0" applyFont="0" applyFill="0" applyBorder="0" applyAlignment="0" applyProtection="0"/>
    <xf numFmtId="0" fontId="6" fillId="0" borderId="0"/>
    <xf numFmtId="43" fontId="49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1" fillId="0" borderId="0"/>
    <xf numFmtId="0" fontId="57" fillId="0" borderId="0" applyNumberFormat="0" applyFill="0" applyBorder="0" applyAlignment="0" applyProtection="0">
      <alignment vertical="center"/>
    </xf>
    <xf numFmtId="0" fontId="43" fillId="0" borderId="0"/>
    <xf numFmtId="43" fontId="6" fillId="0" borderId="0" applyFont="0" applyFill="0" applyBorder="0" applyAlignment="0" applyProtection="0"/>
  </cellStyleXfs>
  <cellXfs count="164">
    <xf numFmtId="0" fontId="0" fillId="0" borderId="0" xfId="0"/>
    <xf numFmtId="166" fontId="7" fillId="0" borderId="0" xfId="0" applyNumberFormat="1" applyFont="1"/>
    <xf numFmtId="166" fontId="8" fillId="0" borderId="0" xfId="0" applyNumberFormat="1" applyFont="1"/>
    <xf numFmtId="166" fontId="9" fillId="2" borderId="1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66" fontId="20" fillId="3" borderId="3" xfId="1" applyNumberFormat="1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/>
    </xf>
    <xf numFmtId="0" fontId="21" fillId="0" borderId="0" xfId="0" applyFont="1"/>
    <xf numFmtId="166" fontId="0" fillId="0" borderId="0" xfId="0" applyNumberFormat="1"/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20" fillId="3" borderId="1" xfId="1" applyFont="1" applyBorder="1" applyAlignment="1">
      <alignment horizontal="left" wrapText="1"/>
    </xf>
    <xf numFmtId="0" fontId="20" fillId="3" borderId="1" xfId="1" applyFont="1" applyBorder="1" applyAlignment="1">
      <alignment horizontal="right" wrapText="1"/>
    </xf>
    <xf numFmtId="0" fontId="20" fillId="3" borderId="2" xfId="1" applyFont="1" applyBorder="1" applyAlignment="1">
      <alignment horizontal="right" wrapText="1"/>
    </xf>
    <xf numFmtId="0" fontId="20" fillId="0" borderId="0" xfId="1" applyFont="1" applyFill="1" applyBorder="1" applyAlignment="1">
      <alignment horizontal="right" wrapText="1"/>
    </xf>
    <xf numFmtId="0" fontId="22" fillId="4" borderId="0" xfId="0" applyFont="1" applyFill="1"/>
    <xf numFmtId="0" fontId="0" fillId="4" borderId="0" xfId="0" applyFill="1"/>
    <xf numFmtId="0" fontId="19" fillId="0" borderId="0" xfId="0" applyFont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23" fillId="5" borderId="2" xfId="0" applyFont="1" applyFill="1" applyBorder="1" applyAlignment="1">
      <alignment vertical="center"/>
    </xf>
    <xf numFmtId="0" fontId="19" fillId="6" borderId="0" xfId="0" applyFont="1" applyFill="1" applyAlignment="1">
      <alignment wrapText="1"/>
    </xf>
    <xf numFmtId="0" fontId="23" fillId="5" borderId="3" xfId="0" applyFont="1" applyFill="1" applyBorder="1" applyAlignment="1">
      <alignment vertical="center"/>
    </xf>
    <xf numFmtId="0" fontId="19" fillId="6" borderId="0" xfId="0" applyFont="1" applyFill="1"/>
    <xf numFmtId="0" fontId="0" fillId="0" borderId="4" xfId="0" applyBorder="1" applyAlignment="1">
      <alignment vertical="center"/>
    </xf>
    <xf numFmtId="0" fontId="0" fillId="0" borderId="4" xfId="0" applyBorder="1"/>
    <xf numFmtId="0" fontId="18" fillId="0" borderId="0" xfId="0" applyFont="1" applyAlignment="1">
      <alignment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166" fontId="24" fillId="7" borderId="3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  <xf numFmtId="166" fontId="24" fillId="7" borderId="3" xfId="0" applyNumberFormat="1" applyFont="1" applyFill="1" applyBorder="1" applyAlignment="1">
      <alignment horizontal="left" vertical="top"/>
    </xf>
    <xf numFmtId="0" fontId="20" fillId="3" borderId="1" xfId="1" applyFont="1" applyBorder="1" applyAlignment="1">
      <alignment horizontal="left" vertical="top" wrapText="1"/>
    </xf>
    <xf numFmtId="166" fontId="24" fillId="7" borderId="3" xfId="0" applyNumberFormat="1" applyFont="1" applyFill="1" applyBorder="1" applyAlignment="1">
      <alignment horizontal="right" vertical="center"/>
    </xf>
    <xf numFmtId="9" fontId="0" fillId="0" borderId="0" xfId="2" applyFont="1"/>
    <xf numFmtId="9" fontId="16" fillId="8" borderId="0" xfId="2" applyFont="1" applyFill="1"/>
    <xf numFmtId="164" fontId="15" fillId="0" borderId="0" xfId="0" applyNumberFormat="1" applyFont="1"/>
    <xf numFmtId="0" fontId="19" fillId="0" borderId="0" xfId="0" applyFont="1"/>
    <xf numFmtId="9" fontId="19" fillId="0" borderId="0" xfId="0" applyNumberFormat="1" applyFont="1"/>
    <xf numFmtId="9" fontId="19" fillId="0" borderId="0" xfId="2" applyFont="1"/>
    <xf numFmtId="164" fontId="25" fillId="8" borderId="0" xfId="0" applyNumberFormat="1" applyFont="1" applyFill="1"/>
    <xf numFmtId="0" fontId="26" fillId="0" borderId="0" xfId="0" applyFont="1"/>
    <xf numFmtId="166" fontId="24" fillId="7" borderId="3" xfId="0" applyNumberFormat="1" applyFont="1" applyFill="1" applyBorder="1" applyAlignment="1">
      <alignment horizontal="right" vertical="center" wrapText="1"/>
    </xf>
    <xf numFmtId="165" fontId="0" fillId="0" borderId="0" xfId="0" applyNumberFormat="1"/>
    <xf numFmtId="0" fontId="6" fillId="0" borderId="0" xfId="0" applyFont="1"/>
    <xf numFmtId="0" fontId="30" fillId="0" borderId="0" xfId="0" applyFont="1" applyAlignment="1">
      <alignment vertical="center"/>
    </xf>
    <xf numFmtId="0" fontId="9" fillId="9" borderId="6" xfId="0" applyFont="1" applyFill="1" applyBorder="1" applyAlignment="1">
      <alignment vertical="center" wrapText="1"/>
    </xf>
    <xf numFmtId="0" fontId="6" fillId="9" borderId="6" xfId="0" applyFont="1" applyFill="1" applyBorder="1" applyAlignment="1">
      <alignment vertical="center" wrapText="1"/>
    </xf>
    <xf numFmtId="0" fontId="31" fillId="10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31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165" fontId="19" fillId="6" borderId="0" xfId="0" applyNumberFormat="1" applyFont="1" applyFill="1"/>
    <xf numFmtId="166" fontId="6" fillId="0" borderId="0" xfId="0" applyNumberFormat="1" applyFont="1"/>
    <xf numFmtId="0" fontId="30" fillId="0" borderId="4" xfId="0" applyFont="1" applyBorder="1" applyAlignment="1">
      <alignment vertical="center"/>
    </xf>
    <xf numFmtId="0" fontId="33" fillId="12" borderId="1" xfId="0" applyFont="1" applyFill="1" applyBorder="1"/>
    <xf numFmtId="165" fontId="33" fillId="11" borderId="0" xfId="0" applyNumberFormat="1" applyFont="1" applyFill="1"/>
    <xf numFmtId="165" fontId="33" fillId="12" borderId="4" xfId="0" applyNumberFormat="1" applyFont="1" applyFill="1" applyBorder="1"/>
    <xf numFmtId="0" fontId="33" fillId="12" borderId="0" xfId="0" applyFont="1" applyFill="1"/>
    <xf numFmtId="0" fontId="33" fillId="11" borderId="0" xfId="0" applyFont="1" applyFill="1" applyAlignment="1">
      <alignment horizontal="right"/>
    </xf>
    <xf numFmtId="0" fontId="33" fillId="12" borderId="4" xfId="0" applyFont="1" applyFill="1" applyBorder="1" applyAlignment="1">
      <alignment horizontal="right"/>
    </xf>
    <xf numFmtId="165" fontId="33" fillId="12" borderId="1" xfId="0" applyNumberFormat="1" applyFont="1" applyFill="1" applyBorder="1"/>
    <xf numFmtId="0" fontId="6" fillId="12" borderId="4" xfId="0" applyFont="1" applyFill="1" applyBorder="1"/>
    <xf numFmtId="0" fontId="33" fillId="11" borderId="0" xfId="0" applyFont="1" applyFill="1"/>
    <xf numFmtId="165" fontId="33" fillId="12" borderId="0" xfId="0" applyNumberFormat="1" applyFont="1" applyFill="1"/>
    <xf numFmtId="0" fontId="33" fillId="12" borderId="1" xfId="0" applyFont="1" applyFill="1" applyBorder="1" applyAlignment="1">
      <alignment horizontal="right"/>
    </xf>
    <xf numFmtId="0" fontId="6" fillId="12" borderId="0" xfId="0" applyFont="1" applyFill="1"/>
    <xf numFmtId="0" fontId="33" fillId="12" borderId="4" xfId="0" applyFont="1" applyFill="1" applyBorder="1"/>
    <xf numFmtId="0" fontId="33" fillId="12" borderId="0" xfId="0" applyFont="1" applyFill="1" applyAlignment="1">
      <alignment horizontal="right"/>
    </xf>
    <xf numFmtId="167" fontId="0" fillId="0" borderId="0" xfId="0" applyNumberFormat="1"/>
    <xf numFmtId="168" fontId="0" fillId="0" borderId="0" xfId="0" applyNumberFormat="1"/>
    <xf numFmtId="0" fontId="32" fillId="4" borderId="0" xfId="0" applyFont="1" applyFill="1"/>
    <xf numFmtId="0" fontId="23" fillId="5" borderId="2" xfId="0" applyFont="1" applyFill="1" applyBorder="1" applyAlignment="1">
      <alignment horizontal="right" vertical="center"/>
    </xf>
    <xf numFmtId="0" fontId="5" fillId="12" borderId="0" xfId="3" applyFont="1" applyFill="1" applyAlignment="1">
      <alignment vertical="center"/>
    </xf>
    <xf numFmtId="0" fontId="5" fillId="11" borderId="0" xfId="3" applyFont="1" applyFill="1" applyAlignment="1">
      <alignment vertical="center"/>
    </xf>
    <xf numFmtId="0" fontId="5" fillId="0" borderId="0" xfId="4"/>
    <xf numFmtId="0" fontId="34" fillId="11" borderId="0" xfId="3" applyFont="1" applyFill="1" applyAlignment="1">
      <alignment vertical="center"/>
    </xf>
    <xf numFmtId="0" fontId="35" fillId="11" borderId="0" xfId="3" applyFont="1" applyFill="1" applyAlignment="1">
      <alignment vertical="center"/>
    </xf>
    <xf numFmtId="0" fontId="5" fillId="13" borderId="0" xfId="3" applyFont="1" applyFill="1" applyAlignment="1">
      <alignment vertical="center"/>
    </xf>
    <xf numFmtId="0" fontId="23" fillId="11" borderId="0" xfId="3" applyFont="1" applyFill="1" applyAlignment="1">
      <alignment vertical="center"/>
    </xf>
    <xf numFmtId="0" fontId="36" fillId="11" borderId="0" xfId="3" applyFont="1" applyFill="1" applyAlignment="1">
      <alignment vertical="center"/>
    </xf>
    <xf numFmtId="0" fontId="37" fillId="12" borderId="0" xfId="3" applyFont="1" applyFill="1" applyAlignment="1">
      <alignment vertical="center"/>
    </xf>
    <xf numFmtId="0" fontId="38" fillId="11" borderId="0" xfId="3" applyFont="1" applyFill="1" applyAlignment="1">
      <alignment vertical="center"/>
    </xf>
    <xf numFmtId="0" fontId="39" fillId="11" borderId="0" xfId="3" applyFont="1" applyFill="1" applyAlignment="1">
      <alignment vertical="center"/>
    </xf>
    <xf numFmtId="0" fontId="38" fillId="12" borderId="0" xfId="3" applyFont="1" applyFill="1" applyAlignment="1">
      <alignment vertical="center"/>
    </xf>
    <xf numFmtId="169" fontId="38" fillId="12" borderId="0" xfId="3" applyNumberFormat="1" applyFont="1" applyFill="1" applyAlignment="1">
      <alignment horizontal="left" vertical="center"/>
    </xf>
    <xf numFmtId="0" fontId="40" fillId="11" borderId="0" xfId="3" applyFont="1" applyFill="1" applyAlignment="1">
      <alignment vertical="center"/>
    </xf>
    <xf numFmtId="0" fontId="41" fillId="12" borderId="0" xfId="3" applyFont="1" applyFill="1" applyAlignment="1">
      <alignment vertical="center"/>
    </xf>
    <xf numFmtId="0" fontId="35" fillId="12" borderId="0" xfId="5" applyFill="1" applyAlignment="1">
      <alignment vertical="center"/>
    </xf>
    <xf numFmtId="0" fontId="23" fillId="6" borderId="0" xfId="0" applyFont="1" applyFill="1"/>
    <xf numFmtId="165" fontId="42" fillId="0" borderId="0" xfId="0" applyNumberFormat="1" applyFont="1"/>
    <xf numFmtId="1" fontId="42" fillId="0" borderId="0" xfId="0" applyNumberFormat="1" applyFont="1"/>
    <xf numFmtId="0" fontId="9" fillId="2" borderId="0" xfId="0" applyFont="1" applyFill="1" applyAlignment="1">
      <alignment horizontal="right" vertical="center"/>
    </xf>
    <xf numFmtId="0" fontId="47" fillId="0" borderId="0" xfId="9" applyFont="1"/>
    <xf numFmtId="0" fontId="48" fillId="0" borderId="0" xfId="0" applyFont="1"/>
    <xf numFmtId="166" fontId="48" fillId="0" borderId="0" xfId="0" applyNumberFormat="1" applyFont="1"/>
    <xf numFmtId="0" fontId="48" fillId="0" borderId="0" xfId="0" applyFont="1" applyAlignment="1">
      <alignment vertical="center"/>
    </xf>
    <xf numFmtId="165" fontId="48" fillId="0" borderId="0" xfId="0" applyNumberFormat="1" applyFont="1"/>
    <xf numFmtId="1" fontId="48" fillId="0" borderId="0" xfId="0" applyNumberFormat="1" applyFont="1"/>
    <xf numFmtId="173" fontId="48" fillId="0" borderId="0" xfId="0" applyNumberFormat="1" applyFont="1"/>
    <xf numFmtId="0" fontId="49" fillId="0" borderId="0" xfId="361"/>
    <xf numFmtId="167" fontId="49" fillId="0" borderId="0" xfId="363" applyNumberFormat="1" applyFont="1"/>
    <xf numFmtId="0" fontId="49" fillId="8" borderId="0" xfId="361" applyFill="1"/>
    <xf numFmtId="167" fontId="49" fillId="8" borderId="0" xfId="363" applyNumberFormat="1" applyFont="1" applyFill="1"/>
    <xf numFmtId="0" fontId="54" fillId="0" borderId="0" xfId="0" applyFont="1" applyAlignment="1">
      <alignment vertical="center"/>
    </xf>
    <xf numFmtId="0" fontId="49" fillId="0" borderId="0" xfId="367"/>
    <xf numFmtId="0" fontId="50" fillId="0" borderId="0" xfId="367" applyFont="1"/>
    <xf numFmtId="1" fontId="49" fillId="0" borderId="4" xfId="367" applyNumberFormat="1" applyBorder="1"/>
    <xf numFmtId="0" fontId="50" fillId="0" borderId="4" xfId="367" applyFont="1" applyBorder="1"/>
    <xf numFmtId="1" fontId="49" fillId="0" borderId="4" xfId="367" applyNumberFormat="1" applyBorder="1" applyAlignment="1">
      <alignment horizontal="right" vertical="center"/>
    </xf>
    <xf numFmtId="1" fontId="49" fillId="0" borderId="0" xfId="367" applyNumberFormat="1" applyAlignment="1">
      <alignment horizontal="right" vertical="center"/>
    </xf>
    <xf numFmtId="1" fontId="51" fillId="0" borderId="4" xfId="367" applyNumberFormat="1" applyFont="1" applyBorder="1" applyAlignment="1">
      <alignment horizontal="right" vertical="center"/>
    </xf>
    <xf numFmtId="1" fontId="51" fillId="0" borderId="0" xfId="367" applyNumberFormat="1" applyFont="1" applyAlignment="1">
      <alignment horizontal="right" vertical="center"/>
    </xf>
    <xf numFmtId="0" fontId="49" fillId="0" borderId="0" xfId="369"/>
    <xf numFmtId="0" fontId="50" fillId="0" borderId="0" xfId="369" applyFont="1"/>
    <xf numFmtId="1" fontId="49" fillId="0" borderId="4" xfId="369" applyNumberFormat="1" applyBorder="1"/>
    <xf numFmtId="0" fontId="50" fillId="0" borderId="4" xfId="369" applyFont="1" applyBorder="1"/>
    <xf numFmtId="169" fontId="49" fillId="0" borderId="4" xfId="369" applyNumberFormat="1" applyBorder="1" applyAlignment="1">
      <alignment horizontal="right" vertical="center"/>
    </xf>
    <xf numFmtId="1" fontId="49" fillId="0" borderId="4" xfId="369" applyNumberFormat="1" applyBorder="1" applyAlignment="1">
      <alignment horizontal="right" vertical="center"/>
    </xf>
    <xf numFmtId="2" fontId="49" fillId="0" borderId="0" xfId="369" applyNumberFormat="1" applyAlignment="1">
      <alignment horizontal="right" vertical="center"/>
    </xf>
    <xf numFmtId="0" fontId="49" fillId="0" borderId="0" xfId="369" applyAlignment="1">
      <alignment horizontal="right" vertical="center"/>
    </xf>
    <xf numFmtId="169" fontId="49" fillId="0" borderId="0" xfId="369" applyNumberFormat="1" applyAlignment="1">
      <alignment horizontal="right" vertical="center"/>
    </xf>
    <xf numFmtId="1" fontId="49" fillId="0" borderId="0" xfId="369" applyNumberFormat="1" applyAlignment="1">
      <alignment horizontal="right" vertical="center"/>
    </xf>
    <xf numFmtId="2" fontId="49" fillId="0" borderId="4" xfId="369" applyNumberFormat="1" applyBorder="1" applyAlignment="1">
      <alignment horizontal="right" vertical="center"/>
    </xf>
    <xf numFmtId="0" fontId="49" fillId="0" borderId="4" xfId="369" applyBorder="1" applyAlignment="1">
      <alignment horizontal="right" vertical="center"/>
    </xf>
    <xf numFmtId="0" fontId="48" fillId="0" borderId="4" xfId="0" applyFont="1" applyBorder="1"/>
    <xf numFmtId="167" fontId="0" fillId="0" borderId="0" xfId="8" applyNumberFormat="1" applyFont="1"/>
    <xf numFmtId="0" fontId="49" fillId="0" borderId="0" xfId="381"/>
    <xf numFmtId="0" fontId="50" fillId="0" borderId="0" xfId="381" applyFont="1"/>
    <xf numFmtId="9" fontId="49" fillId="0" borderId="0" xfId="362" applyFont="1"/>
    <xf numFmtId="9" fontId="49" fillId="0" borderId="4" xfId="362" applyFont="1" applyBorder="1"/>
    <xf numFmtId="0" fontId="50" fillId="0" borderId="4" xfId="381" applyFont="1" applyBorder="1"/>
    <xf numFmtId="170" fontId="49" fillId="0" borderId="0" xfId="362" applyNumberFormat="1" applyFont="1"/>
    <xf numFmtId="9" fontId="50" fillId="0" borderId="0" xfId="362" applyFont="1"/>
    <xf numFmtId="9" fontId="50" fillId="0" borderId="4" xfId="362" applyFont="1" applyBorder="1"/>
    <xf numFmtId="0" fontId="2" fillId="0" borderId="0" xfId="383"/>
    <xf numFmtId="0" fontId="55" fillId="0" borderId="0" xfId="383" applyFont="1"/>
    <xf numFmtId="0" fontId="51" fillId="0" borderId="4" xfId="383" applyFont="1" applyBorder="1" applyAlignment="1">
      <alignment horizontal="right"/>
    </xf>
    <xf numFmtId="0" fontId="51" fillId="0" borderId="2" xfId="383" applyFont="1" applyBorder="1"/>
    <xf numFmtId="0" fontId="51" fillId="0" borderId="4" xfId="383" applyFont="1" applyBorder="1" applyAlignment="1">
      <alignment horizontal="right" vertical="center"/>
    </xf>
    <xf numFmtId="0" fontId="51" fillId="0" borderId="0" xfId="383" applyFont="1"/>
    <xf numFmtId="1" fontId="50" fillId="0" borderId="0" xfId="383" applyNumberFormat="1" applyFont="1" applyAlignment="1">
      <alignment horizontal="right" vertical="center"/>
    </xf>
    <xf numFmtId="1" fontId="50" fillId="0" borderId="0" xfId="383" applyNumberFormat="1" applyFont="1"/>
    <xf numFmtId="165" fontId="2" fillId="0" borderId="0" xfId="383" applyNumberFormat="1"/>
    <xf numFmtId="1" fontId="48" fillId="0" borderId="4" xfId="0" applyNumberFormat="1" applyFont="1" applyBorder="1"/>
    <xf numFmtId="165" fontId="48" fillId="0" borderId="4" xfId="0" applyNumberFormat="1" applyFont="1" applyBorder="1"/>
    <xf numFmtId="0" fontId="48" fillId="0" borderId="1" xfId="0" applyFont="1" applyBorder="1"/>
    <xf numFmtId="173" fontId="48" fillId="0" borderId="4" xfId="0" applyNumberFormat="1" applyFont="1" applyBorder="1"/>
    <xf numFmtId="0" fontId="0" fillId="0" borderId="1" xfId="0" applyBorder="1"/>
    <xf numFmtId="1" fontId="48" fillId="0" borderId="1" xfId="0" applyNumberFormat="1" applyFont="1" applyBorder="1"/>
    <xf numFmtId="173" fontId="48" fillId="0" borderId="1" xfId="0" applyNumberFormat="1" applyFont="1" applyBorder="1"/>
    <xf numFmtId="0" fontId="56" fillId="0" borderId="4" xfId="384" applyFont="1" applyBorder="1" applyAlignment="1">
      <alignment vertical="center"/>
    </xf>
    <xf numFmtId="0" fontId="56" fillId="0" borderId="0" xfId="384" applyFont="1" applyAlignment="1">
      <alignment vertical="center"/>
    </xf>
    <xf numFmtId="170" fontId="49" fillId="0" borderId="4" xfId="362" applyNumberFormat="1" applyFont="1" applyBorder="1"/>
    <xf numFmtId="174" fontId="0" fillId="0" borderId="0" xfId="0" applyNumberFormat="1"/>
    <xf numFmtId="10" fontId="0" fillId="0" borderId="0" xfId="2" applyNumberFormat="1" applyFont="1"/>
    <xf numFmtId="0" fontId="74" fillId="0" borderId="0" xfId="0" applyFont="1"/>
    <xf numFmtId="0" fontId="38" fillId="12" borderId="0" xfId="3" applyFont="1" applyFill="1" applyAlignment="1">
      <alignment vertical="center"/>
    </xf>
    <xf numFmtId="0" fontId="34" fillId="12" borderId="0" xfId="3" applyFont="1" applyFill="1" applyAlignment="1">
      <alignment horizontal="center" vertical="center"/>
    </xf>
    <xf numFmtId="0" fontId="35" fillId="12" borderId="0" xfId="5" applyFill="1" applyAlignment="1">
      <alignment vertical="center"/>
    </xf>
    <xf numFmtId="0" fontId="27" fillId="4" borderId="4" xfId="0" applyFont="1" applyFill="1" applyBorder="1" applyAlignment="1">
      <alignment horizontal="center"/>
    </xf>
  </cellXfs>
  <cellStyles count="472">
    <cellStyle name="20% - Accent1 2" xfId="430" xr:uid="{4FE77E57-E568-4EBB-B509-CEFCD7A1DEDD}"/>
    <cellStyle name="20% - Accent2 2" xfId="426" xr:uid="{1FC4076D-871D-4078-B1CB-835B0730BD7E}"/>
    <cellStyle name="20% - Accent3 2" xfId="422" xr:uid="{464D4F2C-8272-4B96-97B6-5207269F4732}"/>
    <cellStyle name="20% - Accent4 2" xfId="418" xr:uid="{A78BCABF-1745-4E09-BFE5-3CE2E43FCAB4}"/>
    <cellStyle name="20% - Accent5" xfId="1" builtinId="46"/>
    <cellStyle name="20% - Accent5 2" xfId="6" xr:uid="{1C62B09C-B10B-4810-991B-4B8016C6894F}"/>
    <cellStyle name="20% - Accent5 2 2" xfId="400" xr:uid="{100365FD-2BB7-4BFE-A821-CC882E166EA8}"/>
    <cellStyle name="20% - Accent5 3" xfId="414" xr:uid="{58A1F680-F996-43C3-9B85-5B9AE696E668}"/>
    <cellStyle name="20% - Accent5 4" xfId="387" xr:uid="{CF2B968E-BDED-402C-A5DA-47D62C75388E}"/>
    <cellStyle name="20% - Accent6 2" xfId="410" xr:uid="{80DD40C5-7651-4CF5-9464-759AA8E12C00}"/>
    <cellStyle name="40% - Accent1 2" xfId="429" xr:uid="{5E20F1A7-D028-4499-8837-881C06328A7D}"/>
    <cellStyle name="40% - Accent2 2" xfId="425" xr:uid="{C7AC87EE-18AC-4CE1-8E4A-A64AEDE07CB9}"/>
    <cellStyle name="40% - Accent3 2" xfId="421" xr:uid="{56DE8F39-EC3F-423E-8C8F-463F9C5F59CC}"/>
    <cellStyle name="40% - Accent4 2" xfId="417" xr:uid="{16807AA6-8705-4BE8-BB12-081A73DB1FC5}"/>
    <cellStyle name="40% - Accent5 2" xfId="413" xr:uid="{3CFE5AC1-0563-4016-92D8-1A4645709CA2}"/>
    <cellStyle name="40% - Accent6 2" xfId="409" xr:uid="{F94703F1-FB81-45B6-A8DE-9BAC44BCB26F}"/>
    <cellStyle name="60% - Accent1 2" xfId="352" xr:uid="{7518E513-ABFF-4024-8534-C3FEBFAF2121}"/>
    <cellStyle name="60% - Accent1 3" xfId="428" xr:uid="{3B69605D-D494-42CC-9481-379A540AB6EE}"/>
    <cellStyle name="60% - Accent2 2" xfId="351" xr:uid="{26D17AAE-B286-4FA2-BDE5-4852DDADC351}"/>
    <cellStyle name="60% - Accent2 3" xfId="424" xr:uid="{1A97CE05-00A8-46BA-BA53-B5DCD26D8C7B}"/>
    <cellStyle name="60% - Accent3 2" xfId="350" xr:uid="{0BDCA1A4-394A-423E-8CBB-E58EB66BB144}"/>
    <cellStyle name="60% - Accent3 3" xfId="420" xr:uid="{11B291F6-9BC7-4BE6-81C3-6AE120793899}"/>
    <cellStyle name="60% - Accent4 2" xfId="349" xr:uid="{333D8E28-8354-4073-84AF-545FF593118C}"/>
    <cellStyle name="60% - Accent4 3" xfId="416" xr:uid="{06D58BCF-0763-4EB7-BC7E-7C95F8A178B3}"/>
    <cellStyle name="60% - Accent5 2" xfId="348" xr:uid="{FB4E9AC6-3B52-4B3E-AF5F-E29C6951D402}"/>
    <cellStyle name="60% - Accent5 3" xfId="412" xr:uid="{6AEDC7C2-A2FC-49B2-9046-36FBC16462C1}"/>
    <cellStyle name="60% - Accent6 2" xfId="347" xr:uid="{9EB349B8-743D-4637-84DE-1FF2B050E687}"/>
    <cellStyle name="60% - Accent6 3" xfId="408" xr:uid="{08F31CDB-06CD-479F-8D11-DB2AE2895A48}"/>
    <cellStyle name="Accent2 2" xfId="427" xr:uid="{F43B7667-A891-4C4E-A87F-8D54D63A0BB8}"/>
    <cellStyle name="Accent3 2" xfId="423" xr:uid="{4670B270-A296-411D-8157-A04042872AAF}"/>
    <cellStyle name="Accent4 2" xfId="419" xr:uid="{BD18BBFC-F075-47C4-8403-BD7F0484F9B2}"/>
    <cellStyle name="Accent5 2" xfId="415" xr:uid="{0BB50375-8C43-4433-B7A6-B20F8576FAD7}"/>
    <cellStyle name="Accent6 2" xfId="411" xr:uid="{074BA16D-0756-439B-9796-384E096B9A62}"/>
    <cellStyle name="Bad 2" xfId="440" xr:uid="{538260B1-AD04-481A-820B-DC21DF15ACA5}"/>
    <cellStyle name="Calculation 2" xfId="436" xr:uid="{B4D1676B-411D-47A4-BDC0-1EF1F73516AA}"/>
    <cellStyle name="Check Cell 2" xfId="434" xr:uid="{C90C0746-4C64-4919-9305-8CC45FE2F303}"/>
    <cellStyle name="Comma" xfId="8" builtinId="3"/>
    <cellStyle name="Comma [0] 2" xfId="375" xr:uid="{59B52598-0CA7-49B6-A57E-50EC6E1AFC25}"/>
    <cellStyle name="Comma [0] 2 2" xfId="462" xr:uid="{86205546-F086-43D4-BE40-425752795E8D}"/>
    <cellStyle name="Comma 10" xfId="380" xr:uid="{09B5F463-138B-4D8F-94FC-ABD07D3AB78E}"/>
    <cellStyle name="Comma 10 2" xfId="466" xr:uid="{78A76D78-3640-4237-89B5-E02403784729}"/>
    <cellStyle name="Comma 11" xfId="378" xr:uid="{CA2ECBB3-20E7-439B-8BF0-968D0847349C}"/>
    <cellStyle name="Comma 11 2" xfId="465" xr:uid="{18CD8569-31FB-4B24-AA9D-D2D0C10D1C55}"/>
    <cellStyle name="Comma 12" xfId="382" xr:uid="{A4B6EF7D-B17D-4243-A766-BCC008E68541}"/>
    <cellStyle name="Comma 12 2" xfId="467" xr:uid="{2804B57E-44C2-4771-8CED-C3315B84802E}"/>
    <cellStyle name="Comma 13" xfId="402" xr:uid="{5387ECC2-71DA-48FC-BC88-0E9CAA838867}"/>
    <cellStyle name="Comma 14" xfId="446" xr:uid="{F145CF6C-9BCC-49C3-91FD-37A405559697}"/>
    <cellStyle name="Comma 15" xfId="398" xr:uid="{8BC111D0-4DB5-43DB-A412-F2E8EDF425CA}"/>
    <cellStyle name="Comma 16" xfId="407" xr:uid="{73259511-4B88-473D-BF4C-E32744812FA5}"/>
    <cellStyle name="Comma 17" xfId="471" xr:uid="{82A077A8-D4A7-4A55-9BFC-C2664E8154D4}"/>
    <cellStyle name="Comma 18" xfId="385" xr:uid="{E67B688C-5292-492D-B3E2-2EA9BCD4E27B}"/>
    <cellStyle name="Comma 2" xfId="12" xr:uid="{4E7B5846-EC29-4EB4-9A0B-A40454034435}"/>
    <cellStyle name="Comma 2 2" xfId="358" xr:uid="{932D2769-F7B1-422C-BE20-F2EDCA386E2C}"/>
    <cellStyle name="Comma 2 2 2" xfId="451" xr:uid="{311956CF-26F9-4817-9B2A-3CEB7709E423}"/>
    <cellStyle name="Comma 2 2 3" xfId="394" xr:uid="{BC00F610-3BEB-4BAB-96D4-08F41F98F0BE}"/>
    <cellStyle name="Comma 2 3" xfId="406" xr:uid="{69BDF693-D4E0-41FC-AC9D-164DEE9E1013}"/>
    <cellStyle name="Comma 2 4" xfId="390" xr:uid="{213F7E66-DF95-42E7-AEA5-454F64D4D9A9}"/>
    <cellStyle name="Comma 3" xfId="355" xr:uid="{F6487698-4451-4E10-9AC2-F7937F8C1A59}"/>
    <cellStyle name="Comma 3 2" xfId="359" xr:uid="{B6042FB9-ED9F-4BB6-BCE9-3EFCBB59A1A7}"/>
    <cellStyle name="Comma 3 2 2" xfId="452" xr:uid="{4D5FAEC0-DE44-4B88-AD8D-4F646AA34166}"/>
    <cellStyle name="Comma 3 2 3" xfId="395" xr:uid="{EA8B4CD2-64CE-48D2-B2A3-B475CB453FDB}"/>
    <cellStyle name="Comma 3 3" xfId="448" xr:uid="{75256D74-B801-47E0-A822-39D6088634B2}"/>
    <cellStyle name="Comma 3 4" xfId="388" xr:uid="{8DD8B879-DF3C-4FE0-8019-F6372C66EE57}"/>
    <cellStyle name="Comma 4" xfId="356" xr:uid="{5E46A2D1-B83E-4227-9882-3E8EF0379E26}"/>
    <cellStyle name="Comma 4 2" xfId="360" xr:uid="{F0FC85A6-100F-4B13-A6CE-5E8200C8CCCD}"/>
    <cellStyle name="Comma 4 2 2" xfId="453" xr:uid="{F326569C-E9C9-4B10-9299-4582CDCC27FD}"/>
    <cellStyle name="Comma 4 2 3" xfId="396" xr:uid="{CD7D160E-68A5-4307-AD73-9D2EC00C1DBC}"/>
    <cellStyle name="Comma 4 3" xfId="449" xr:uid="{53534DE1-1CD4-4186-8E83-258FEE239E21}"/>
    <cellStyle name="Comma 4 4" xfId="392" xr:uid="{A3B6BA61-349B-477F-8872-FC3D6E0C09B4}"/>
    <cellStyle name="Comma 5" xfId="357" xr:uid="{F903B249-3F1F-4FA3-98A5-0FD508C51062}"/>
    <cellStyle name="Comma 5 2" xfId="374" xr:uid="{A70138F9-7D24-426D-9EE3-0D2D21320115}"/>
    <cellStyle name="Comma 5 2 2" xfId="461" xr:uid="{C982F5CD-27EF-4CEA-B95D-FD5B84E53801}"/>
    <cellStyle name="Comma 5 3" xfId="450" xr:uid="{9B0D8132-72C6-422F-A2FE-9F1245F9563E}"/>
    <cellStyle name="Comma 5 4" xfId="393" xr:uid="{467D3FC9-6EFC-438C-8008-B7551F4B2DF2}"/>
    <cellStyle name="Comma 6" xfId="11" xr:uid="{FEA0B46A-626A-4372-B94D-71E942256BB4}"/>
    <cellStyle name="Comma 6 2" xfId="377" xr:uid="{811E4906-C5C1-415D-84CD-D4586DC43F5F}"/>
    <cellStyle name="Comma 6 2 2" xfId="464" xr:uid="{F701E77C-366C-41AB-8328-9F7908BB1C7E}"/>
    <cellStyle name="Comma 6 3" xfId="405" xr:uid="{B8C7E136-C6B3-4F1B-9DD7-9B150CFE4CF7}"/>
    <cellStyle name="Comma 7" xfId="363" xr:uid="{87C110AB-CDC0-4E64-ADB4-812EE5212A5C}"/>
    <cellStyle name="Comma 7 2" xfId="454" xr:uid="{4858B2FF-FB18-41DA-AAC5-A68720F68160}"/>
    <cellStyle name="Comma 8" xfId="366" xr:uid="{86F803DE-F74E-46C9-8F43-35186F5143C6}"/>
    <cellStyle name="Comma 8 2" xfId="456" xr:uid="{0247346E-35F6-4A4D-A7D6-2C3CECA91CAC}"/>
    <cellStyle name="Comma 9" xfId="370" xr:uid="{46AC8ABD-2E59-4BD4-88EF-2995897EB36A}"/>
    <cellStyle name="Comma 9 2" xfId="458" xr:uid="{63628E2D-2BFE-48CB-91C5-3612C14D276F}"/>
    <cellStyle name="Currency [0] 2" xfId="373" xr:uid="{0E7F5FE0-1F2B-4E6A-90B9-8E6572AFBAC3}"/>
    <cellStyle name="Currency [0] 2 2" xfId="460" xr:uid="{97BEDB97-5867-4705-9682-D004889DE056}"/>
    <cellStyle name="Currency 2" xfId="13" xr:uid="{1C8E8FF3-D861-4B54-B629-4649AF66E60A}"/>
    <cellStyle name="Currency 2 2" xfId="14" xr:uid="{267A515A-241D-448B-A560-DBBDF3C776F8}"/>
    <cellStyle name="Currency 2 3" xfId="372" xr:uid="{04B09952-C2C6-4D86-9A96-2596A2E86E49}"/>
    <cellStyle name="Currency 2 3 2" xfId="459" xr:uid="{E5575E29-8666-4C1E-9071-AE986B713532}"/>
    <cellStyle name="Currency 3" xfId="15" xr:uid="{31D96E8A-5D9F-403F-ACD9-2793D0225006}"/>
    <cellStyle name="Currency 3 2" xfId="376" xr:uid="{57D68BCF-C801-4EAF-A1CC-1B8329CB510E}"/>
    <cellStyle name="Currency 3 2 2" xfId="463" xr:uid="{CEDF4662-07D3-4057-853F-846F66E6B2EE}"/>
    <cellStyle name="Currency 4" xfId="16" xr:uid="{54737FE4-68B8-45F8-B634-D44FECBA4F4C}"/>
    <cellStyle name="Currency 4 2" xfId="17" xr:uid="{7257F089-397C-4DFC-894D-6645BCA566EB}"/>
    <cellStyle name="Currency 4 3" xfId="18" xr:uid="{84FECF0F-9BC5-4148-961C-AF97C474C021}"/>
    <cellStyle name="Explanatory Text 2" xfId="432" xr:uid="{1DD17D72-4C53-436E-A930-1BF480D6E5BD}"/>
    <cellStyle name="Good 2" xfId="441" xr:uid="{AC2796E2-C876-4D02-8B76-2F02D6A005CA}"/>
    <cellStyle name="Heading 1 2" xfId="445" xr:uid="{833678AB-C69B-4DAC-9BBD-0E33D099AC67}"/>
    <cellStyle name="Heading 2 2" xfId="444" xr:uid="{0A3CD885-346E-4AB1-A8F0-BF3399D2C660}"/>
    <cellStyle name="Heading 3 2" xfId="443" xr:uid="{91148D31-DBF6-451B-A087-77C8EA723065}"/>
    <cellStyle name="Heading 4 2" xfId="442" xr:uid="{E96CF796-CFCA-4A04-9AEF-59479C13D923}"/>
    <cellStyle name="Hyperlink 2" xfId="5" xr:uid="{77FA5721-ED27-4BBF-BAB4-BF809B24DF7C}"/>
    <cellStyle name="Hyperlink 3" xfId="371" xr:uid="{492D2B0D-D325-45EC-869F-521D60932E2A}"/>
    <cellStyle name="Input 2" xfId="438" xr:uid="{BA8B223B-1E26-4B4A-8264-22EB34220F9C}"/>
    <cellStyle name="Linked Cell 2" xfId="435" xr:uid="{B0964F2C-B582-46E4-8CA2-15517F0EB523}"/>
    <cellStyle name="Neutral 2" xfId="353" xr:uid="{6FBEB9BC-25B6-446A-B117-5CA0F67AB641}"/>
    <cellStyle name="Neutral 3" xfId="439" xr:uid="{E4EF8477-C62E-4387-B87E-680F3700A474}"/>
    <cellStyle name="Normal" xfId="0" builtinId="0"/>
    <cellStyle name="Normal 10" xfId="19" xr:uid="{0DF989C7-90A0-4B57-90B9-B082AE45B306}"/>
    <cellStyle name="Normal 10 2" xfId="20" xr:uid="{074A277A-0773-497D-A309-EE11AA8B3163}"/>
    <cellStyle name="Normal 10 2 2" xfId="21" xr:uid="{48F9A703-ED87-4F20-8C85-879ABFCB577C}"/>
    <cellStyle name="Normal 10 2_BOS Workings" xfId="22" xr:uid="{FD101D4C-8E94-4FBB-BF0B-C5B4808BA0A3}"/>
    <cellStyle name="Normal 10 3" xfId="23" xr:uid="{34CE996E-A52D-461B-BBDF-BC284D74EA29}"/>
    <cellStyle name="Normal 10_BOS Workings" xfId="24" xr:uid="{A1065A0C-D8C6-4841-A571-05DA68BB505C}"/>
    <cellStyle name="Normal 100" xfId="25" xr:uid="{AE22AA13-5DF4-4536-BA94-D339976E5AA1}"/>
    <cellStyle name="Normal 100 2" xfId="26" xr:uid="{28353B62-9DA0-401F-A287-1B8E210F5F42}"/>
    <cellStyle name="Normal 101" xfId="27" xr:uid="{25A3BB09-146E-4CE0-99D6-1EF94B9762B8}"/>
    <cellStyle name="Normal 101 2" xfId="28" xr:uid="{6DFDDB22-6D76-4317-B310-AC61440169C2}"/>
    <cellStyle name="Normal 102" xfId="29" xr:uid="{B96793AB-C144-44D7-A658-A4DA3F46643B}"/>
    <cellStyle name="Normal 102 2" xfId="30" xr:uid="{DE0E80A7-66FB-4154-8A59-ED209E020CDE}"/>
    <cellStyle name="Normal 103" xfId="31" xr:uid="{78466748-3776-4112-BB94-74D81BFC3055}"/>
    <cellStyle name="Normal 103 2" xfId="32" xr:uid="{39F4BDE1-25E2-4853-B8C7-8E1E61F2FB05}"/>
    <cellStyle name="Normal 104" xfId="33" xr:uid="{A8DFD265-316B-4650-BFC3-6B93A6EC3758}"/>
    <cellStyle name="Normal 104 2" xfId="34" xr:uid="{657C7396-65F4-4382-99A0-F11088545358}"/>
    <cellStyle name="Normal 105" xfId="35" xr:uid="{432F3F4F-4235-4B1C-AD8C-3D509CCF2A08}"/>
    <cellStyle name="Normal 105 2" xfId="36" xr:uid="{FD4149C7-1BD4-4EBD-9242-38956C7E6FAC}"/>
    <cellStyle name="Normal 106" xfId="37" xr:uid="{092600A3-1BC9-44AB-A4CA-98BFC1756943}"/>
    <cellStyle name="Normal 106 2" xfId="38" xr:uid="{E9FC7DF4-A89F-4451-9875-A3BBD03C111E}"/>
    <cellStyle name="Normal 107" xfId="39" xr:uid="{14B6C009-6A39-4166-9D20-0DB59629AC67}"/>
    <cellStyle name="Normal 107 2" xfId="40" xr:uid="{DC76517B-337F-4423-8352-E5ED71A1021A}"/>
    <cellStyle name="Normal 108" xfId="41" xr:uid="{D95A866D-EB2D-4101-9D6E-2AD6E9ED5458}"/>
    <cellStyle name="Normal 108 2" xfId="42" xr:uid="{74A739B1-F6A6-4347-868D-8C00EDA5B79F}"/>
    <cellStyle name="Normal 109" xfId="43" xr:uid="{BF2A1ED6-5FB7-4907-8B7D-A27ABBD0143F}"/>
    <cellStyle name="Normal 11" xfId="44" xr:uid="{F1687666-F98E-457F-B896-4BCACE06F0E8}"/>
    <cellStyle name="Normal 11 2" xfId="45" xr:uid="{F001B14C-C30B-43E3-A993-6BEF095F2EA2}"/>
    <cellStyle name="Normal 11 2 2" xfId="46" xr:uid="{AE440BE7-2253-4FB7-83F0-C533C2BF73E5}"/>
    <cellStyle name="Normal 11 2_BOS Workings" xfId="47" xr:uid="{5ACC0826-9439-4D72-9A2D-1AC458D41C23}"/>
    <cellStyle name="Normal 11 3" xfId="48" xr:uid="{D757DE38-ADC9-414B-8C8F-2A239FA5D12D}"/>
    <cellStyle name="Normal 11_BOS Workings" xfId="49" xr:uid="{03DAB918-851E-4DCC-AE25-E23FBC91CFE4}"/>
    <cellStyle name="Normal 110" xfId="50" xr:uid="{DEA3629F-CB5A-47B9-AB25-BDAB80857BB9}"/>
    <cellStyle name="Normal 111" xfId="51" xr:uid="{10ECE719-B39D-468A-AB23-AEC6BD7B35D1}"/>
    <cellStyle name="Normal 112" xfId="52" xr:uid="{2784F593-F481-4BAF-BF77-6461A20FA3C6}"/>
    <cellStyle name="Normal 113" xfId="53" xr:uid="{3622B9EA-B929-43ED-9173-DECB16DF4557}"/>
    <cellStyle name="Normal 114" xfId="54" xr:uid="{E9E9EECE-9BD6-4C83-88D6-B751ACC3A2B6}"/>
    <cellStyle name="Normal 115" xfId="55" xr:uid="{B6ED7CD3-206E-4824-BDA5-F096760622B5}"/>
    <cellStyle name="Normal 116" xfId="56" xr:uid="{E4EDC4A9-E571-4997-B609-A90D65706A38}"/>
    <cellStyle name="Normal 117" xfId="57" xr:uid="{230690A5-B500-46E4-AC7F-AFF83621055A}"/>
    <cellStyle name="Normal 118" xfId="58" xr:uid="{0F902D97-847B-414C-9414-35704DE480F0}"/>
    <cellStyle name="Normal 119" xfId="59" xr:uid="{689E6D6B-DD7F-43F0-A797-363509CEA55E}"/>
    <cellStyle name="Normal 12" xfId="60" xr:uid="{31DAB53C-2DFC-4257-89DC-79BAA5066040}"/>
    <cellStyle name="Normal 12 2" xfId="61" xr:uid="{9FD8DF4E-B179-4FD5-ABCF-C01C6D6F0D4E}"/>
    <cellStyle name="Normal 12 2 2" xfId="62" xr:uid="{388E3836-67CD-4AEC-8233-5C92592243E4}"/>
    <cellStyle name="Normal 12 2_BOS Workings" xfId="63" xr:uid="{7065C955-9E2D-4F58-BD01-268DE6439B0E}"/>
    <cellStyle name="Normal 12 3" xfId="64" xr:uid="{920BE10B-AC4B-47C7-9F40-6E1786535D06}"/>
    <cellStyle name="Normal 12_BOS Workings" xfId="65" xr:uid="{89611F0A-F0E7-466E-A132-9CD522AB63A3}"/>
    <cellStyle name="Normal 120" xfId="9" xr:uid="{E3BFDD7F-ABDC-4876-A3F1-480C019B3FB2}"/>
    <cellStyle name="Normal 120 2" xfId="403" xr:uid="{1D176FBF-2185-46E7-BD74-0551E7C3A5C5}"/>
    <cellStyle name="Normal 121" xfId="361" xr:uid="{E82BDF7C-D147-407D-8C97-11532FEBAD93}"/>
    <cellStyle name="Normal 122" xfId="365" xr:uid="{9764688E-51CC-4C13-B58E-4C6E8031C936}"/>
    <cellStyle name="Normal 123" xfId="367" xr:uid="{D00325C9-A0E9-4D4E-AF26-F6CACC84B115}"/>
    <cellStyle name="Normal 124" xfId="379" xr:uid="{16412DDE-6D5B-4821-AFA3-7C2200E9CBE3}"/>
    <cellStyle name="Normal 125" xfId="369" xr:uid="{5224332E-0C79-4C97-889F-19080FF5883C}"/>
    <cellStyle name="Normal 126" xfId="381" xr:uid="{AE9A4AB9-9EB2-4104-881C-8C9445863749}"/>
    <cellStyle name="Normal 127" xfId="383" xr:uid="{613F504E-D04A-4204-B5F8-5CF778A5369A}"/>
    <cellStyle name="Normal 127 2" xfId="468" xr:uid="{DE319FB2-BBF3-449B-93D5-27AD8BC6E1C7}"/>
    <cellStyle name="Normal 128" xfId="397" xr:uid="{1BB14B3D-52E3-464C-B54B-7B6AD3769BFB}"/>
    <cellStyle name="Normal 129" xfId="447" xr:uid="{827851D0-88A1-4817-8AF2-9BF90C994DDF}"/>
    <cellStyle name="Normal 13" xfId="66" xr:uid="{E0D9CB90-91CA-4C8F-92D1-9F23BEF082DF}"/>
    <cellStyle name="Normal 13 2" xfId="67" xr:uid="{B1FD983D-BC36-43AD-927A-D93638C5E546}"/>
    <cellStyle name="Normal 13 2 2" xfId="68" xr:uid="{F5179DFB-188C-4F78-ADB9-8E289728EA9A}"/>
    <cellStyle name="Normal 13 2_BOS Workings" xfId="69" xr:uid="{35F2D446-D253-46C2-B2A0-887BB8116494}"/>
    <cellStyle name="Normal 13 3" xfId="70" xr:uid="{A303A37C-7B8F-452D-AED5-B3BE172308E6}"/>
    <cellStyle name="Normal 13_BOS Workings" xfId="71" xr:uid="{7321C853-5524-4428-9383-38AF72306C39}"/>
    <cellStyle name="Normal 130" xfId="470" xr:uid="{A8C4CF7C-52BC-4937-8269-DC63BE90238A}"/>
    <cellStyle name="Normal 131" xfId="384" xr:uid="{9E786AF8-5A62-46CE-AA28-327B71F0A69E}"/>
    <cellStyle name="Normal 14" xfId="72" xr:uid="{E8C097CC-35BA-4112-B657-6BF0A6896A7C}"/>
    <cellStyle name="Normal 14 2" xfId="73" xr:uid="{6ED585A4-4856-41EA-8B09-8ED797372F73}"/>
    <cellStyle name="Normal 14_BOS Workings" xfId="74" xr:uid="{D7FAB752-77EC-44B0-992A-FD05E9780192}"/>
    <cellStyle name="Normal 15" xfId="75" xr:uid="{68E12D2F-7D01-415F-A602-858E91CA906A}"/>
    <cellStyle name="Normal 15 2" xfId="76" xr:uid="{5792A457-89A7-4E38-8168-07CF8F39A4CF}"/>
    <cellStyle name="Normal 15_BOS Workings" xfId="77" xr:uid="{CE4EAEBC-A99E-457A-8BBE-C8133608FFE3}"/>
    <cellStyle name="Normal 16" xfId="78" xr:uid="{A678C774-7C1A-4C22-8103-336BC2970387}"/>
    <cellStyle name="Normal 16 2" xfId="79" xr:uid="{D11FC966-778A-4F61-94F4-806FF6158593}"/>
    <cellStyle name="Normal 16_BOS Workings" xfId="80" xr:uid="{05E03F7A-7F89-446D-A9F4-C73B0DD6985F}"/>
    <cellStyle name="Normal 17" xfId="81" xr:uid="{68E249C3-99EF-47CD-BBD3-A7E033A6FA88}"/>
    <cellStyle name="Normal 17 2" xfId="82" xr:uid="{BD1B6582-4595-466A-AF49-F68C5D90943B}"/>
    <cellStyle name="Normal 17_BOS Workings" xfId="83" xr:uid="{D2E81F6F-BAF0-46AA-87B9-B3E16AFB97AC}"/>
    <cellStyle name="Normal 18" xfId="84" xr:uid="{F6026894-01E7-400D-89B4-092A3E1E8D84}"/>
    <cellStyle name="Normal 18 2" xfId="85" xr:uid="{41F3814D-53AA-41B4-A3A0-1C3F839A7A64}"/>
    <cellStyle name="Normal 18_BOS Workings" xfId="86" xr:uid="{47BACA8F-3885-4910-ADBE-0961A8159AD7}"/>
    <cellStyle name="Normal 19" xfId="87" xr:uid="{DDDADFE5-AA9E-4823-965A-6A293BF4F909}"/>
    <cellStyle name="Normal 19 2" xfId="88" xr:uid="{8A743A86-53DF-4622-B878-641576CB819C}"/>
    <cellStyle name="Normal 19_BOS Workings" xfId="89" xr:uid="{1DB89060-C041-440A-9350-DC19A09080AD}"/>
    <cellStyle name="Normal 2" xfId="3" xr:uid="{B27F781B-264D-46E9-B886-9942F0325FDF}"/>
    <cellStyle name="Normal 2 2" xfId="90" xr:uid="{57080A54-AEE3-4295-A79D-9777FF67B73D}"/>
    <cellStyle name="Normal 2 2 2" xfId="368" xr:uid="{38CBA729-B114-4B6E-B34E-5AC1741E0195}"/>
    <cellStyle name="Normal 2 2 2 2" xfId="457" xr:uid="{72FF93E8-11A4-456F-BEC1-DDD74734EE91}"/>
    <cellStyle name="Normal 2 2 2 3" xfId="391" xr:uid="{23AF72E7-277E-443F-B56F-A821520BBC9E}"/>
    <cellStyle name="Normal 2 2 3" xfId="389" xr:uid="{C0D0ED35-2C33-48B4-84A6-D3CFAFB28C60}"/>
    <cellStyle name="Normal 20" xfId="91" xr:uid="{D54C733C-6340-4B7A-93D7-F51F2B04A09D}"/>
    <cellStyle name="Normal 20 2" xfId="92" xr:uid="{19F3016A-ECF0-458C-8C5F-411C6A388781}"/>
    <cellStyle name="Normal 20_BOS Workings" xfId="93" xr:uid="{BA3E0A41-0B4C-4D19-AF5D-4D7898BA8E81}"/>
    <cellStyle name="Normal 21" xfId="94" xr:uid="{B54ED2BA-A5DF-4B43-84A3-0D8826B40F0D}"/>
    <cellStyle name="Normal 21 2" xfId="95" xr:uid="{ACD2774B-EFC3-4101-A4D7-35F52BA5D920}"/>
    <cellStyle name="Normal 21_BOS Workings" xfId="96" xr:uid="{BBD98533-F71C-4881-92C2-C451EDF95308}"/>
    <cellStyle name="Normal 22" xfId="97" xr:uid="{4B68AEF5-3340-4A0C-A753-50F4C9676FD7}"/>
    <cellStyle name="Normal 22 2" xfId="98" xr:uid="{60F38582-EC07-4F2B-A6F1-97284AD12B25}"/>
    <cellStyle name="Normal 22_BOS Workings" xfId="99" xr:uid="{675B2F4F-23F7-4B1B-ADD0-B431AF9D2EFA}"/>
    <cellStyle name="Normal 23" xfId="100" xr:uid="{4E44E032-EF1A-4059-9CFE-34AED7804426}"/>
    <cellStyle name="Normal 23 2" xfId="101" xr:uid="{2BB487CB-931F-4626-8631-1CFCE869A389}"/>
    <cellStyle name="Normal 23_BOS Workings" xfId="102" xr:uid="{3D83BA41-3DD4-4FDC-B208-98A87897AB5F}"/>
    <cellStyle name="Normal 24" xfId="103" xr:uid="{DD237FC8-D8D8-48ED-87B3-45FD02FCABE1}"/>
    <cellStyle name="Normal 24 2" xfId="104" xr:uid="{5737F84B-81F6-4A49-8A21-60D1BCB77E43}"/>
    <cellStyle name="Normal 24_BOS Workings" xfId="105" xr:uid="{B2DF9FE7-A376-4A86-92D2-A837291A8520}"/>
    <cellStyle name="Normal 25" xfId="106" xr:uid="{0E148A71-ECED-4C5B-8106-E61317FADE43}"/>
    <cellStyle name="Normal 25 2" xfId="107" xr:uid="{7C47EB09-4F18-44AC-9188-8E6E9EFE9CFE}"/>
    <cellStyle name="Normal 25_BOS Workings" xfId="108" xr:uid="{BAE40406-761B-4F3F-B2CF-E781DDD4DC7C}"/>
    <cellStyle name="Normal 26" xfId="109" xr:uid="{AEBE5B73-1FD4-45C3-90C0-5C8225FC8470}"/>
    <cellStyle name="Normal 26 2" xfId="110" xr:uid="{33C87957-FD7B-4DC3-B692-B9F0841AFAB2}"/>
    <cellStyle name="Normal 26_BOS Workings" xfId="111" xr:uid="{56E7F951-8F34-44CF-9BF5-131BCB21F699}"/>
    <cellStyle name="Normal 27" xfId="112" xr:uid="{9B2F4988-FDD6-42EC-B6E5-8A29FA59F7A4}"/>
    <cellStyle name="Normal 27 2" xfId="113" xr:uid="{A8F2781B-521D-4868-887A-333E51635938}"/>
    <cellStyle name="Normal 27_BOS Workings" xfId="114" xr:uid="{483EBBA9-7B3C-40AF-90E2-160414857FE6}"/>
    <cellStyle name="Normal 28" xfId="115" xr:uid="{7F7FB020-F998-4DA5-B912-C6059B0E0E8E}"/>
    <cellStyle name="Normal 28 2" xfId="116" xr:uid="{713A4356-53A4-43D8-8DD4-6FF448E901D2}"/>
    <cellStyle name="Normal 28_BOS Workings" xfId="117" xr:uid="{7E2467AB-CDC7-45E0-884F-7B228C5C28E3}"/>
    <cellStyle name="Normal 29" xfId="118" xr:uid="{53196252-9AE9-4652-BE92-3AE27664B4C8}"/>
    <cellStyle name="Normal 29 2" xfId="119" xr:uid="{8C07E1C5-2DBA-4F5B-B218-5B2625E003C5}"/>
    <cellStyle name="Normal 29_BOS Workings" xfId="120" xr:uid="{456F7197-F651-438C-9EDA-FFE10C9C7EFD}"/>
    <cellStyle name="Normal 3" xfId="4" xr:uid="{883658D8-A533-4F6F-B6FA-6A7DC997A745}"/>
    <cellStyle name="Normal 3 2" xfId="7" xr:uid="{3B7238EF-3652-4293-A3A9-7098E67A9975}"/>
    <cellStyle name="Normal 3 2 2" xfId="122" xr:uid="{E80CDDA7-5E8B-488C-B6D8-2E89932FA31C}"/>
    <cellStyle name="Normal 3 2 3" xfId="401" xr:uid="{5BE3518A-F900-4BFB-A488-346CD25952C6}"/>
    <cellStyle name="Normal 3 3" xfId="121" xr:uid="{716C5F65-E96B-4D4B-AD1C-D81477318BDB}"/>
    <cellStyle name="Normal 3 4" xfId="364" xr:uid="{B94D9A43-8FD6-42F2-8E4E-F0C8876F8243}"/>
    <cellStyle name="Normal 3 4 2" xfId="455" xr:uid="{E8C6F574-DB5F-4830-8B91-D93F552C831F}"/>
    <cellStyle name="Normal 3 5" xfId="399" xr:uid="{A818E1CA-08F3-4BD2-A515-DF5E53A29062}"/>
    <cellStyle name="Normal 30" xfId="123" xr:uid="{674A43CB-4B22-4938-9B6E-4D7B2D6378EA}"/>
    <cellStyle name="Normal 30 2" xfId="124" xr:uid="{5E3129C3-4A44-4A0D-8AC5-60EDBAA22D06}"/>
    <cellStyle name="Normal 30_BOS Workings" xfId="125" xr:uid="{98124A2A-7342-411E-95AA-78D374F0A40D}"/>
    <cellStyle name="Normal 31" xfId="126" xr:uid="{93648AF8-7054-43E0-9494-9C4306499BB2}"/>
    <cellStyle name="Normal 31 2" xfId="127" xr:uid="{B999DA96-E9D5-4A1F-BC23-D2622D1E5946}"/>
    <cellStyle name="Normal 31_BOS Workings" xfId="128" xr:uid="{FA8EFF0D-499F-4942-9D72-B49020E6EBC8}"/>
    <cellStyle name="Normal 32" xfId="129" xr:uid="{303758F7-05C5-4A4A-B158-F4DAD473094E}"/>
    <cellStyle name="Normal 32 2" xfId="130" xr:uid="{581C07FE-67F1-401C-9D8B-1132F1FF946B}"/>
    <cellStyle name="Normal 32_BOS Workings" xfId="131" xr:uid="{9852385F-B1F0-48E0-87E3-45A14D69C690}"/>
    <cellStyle name="Normal 33" xfId="132" xr:uid="{1C74D2E4-FB09-4893-8C7A-B8A6E761A5A4}"/>
    <cellStyle name="Normal 33 2" xfId="133" xr:uid="{CAF80C14-F7DF-4765-A431-49334B264204}"/>
    <cellStyle name="Normal 33_BOS Workings" xfId="134" xr:uid="{2577BB0A-B002-4383-9867-9C9B4AE7D223}"/>
    <cellStyle name="Normal 34" xfId="135" xr:uid="{4936D31E-41BE-4134-8093-341B082616BC}"/>
    <cellStyle name="Normal 34 2" xfId="136" xr:uid="{99EC60AE-D04D-4B47-8A8C-EB29E316591B}"/>
    <cellStyle name="Normal 34_BOS Workings" xfId="137" xr:uid="{13283678-4680-4BAF-9186-FEACFDCEE55F}"/>
    <cellStyle name="Normal 35" xfId="138" xr:uid="{24202E80-A720-4303-9D8E-1D825E8A45DF}"/>
    <cellStyle name="Normal 35 2" xfId="139" xr:uid="{611730B2-22E1-4024-9491-B7FC0527032E}"/>
    <cellStyle name="Normal 35_BOS Workings" xfId="140" xr:uid="{F2D94D46-6258-4F7D-B6CC-38E74A1557EA}"/>
    <cellStyle name="Normal 36" xfId="141" xr:uid="{A5C49D2A-8F4A-414A-B5FE-ACD80926C67B}"/>
    <cellStyle name="Normal 36 2" xfId="142" xr:uid="{99007F0E-69F1-4B96-948A-293E24074212}"/>
    <cellStyle name="Normal 36_BOS Workings" xfId="143" xr:uid="{8BAB206D-685A-4F9C-9B73-C7C7B0152B9C}"/>
    <cellStyle name="Normal 37" xfId="144" xr:uid="{8C27BE21-5934-42E3-802D-A84ACC284107}"/>
    <cellStyle name="Normal 37 2" xfId="145" xr:uid="{C4C4B0B2-7B2A-48A8-AC95-D5340DEA6ED6}"/>
    <cellStyle name="Normal 37_BOS Workings" xfId="146" xr:uid="{79721677-45C8-4C84-B3B8-6FCFBD6A039F}"/>
    <cellStyle name="Normal 38" xfId="147" xr:uid="{1F259840-3657-41B7-B358-688799E99FD5}"/>
    <cellStyle name="Normal 38 2" xfId="148" xr:uid="{C7B4981D-4303-4625-8F00-E686FDB67492}"/>
    <cellStyle name="Normal 38_BOS Workings" xfId="149" xr:uid="{C1E4EE0F-6B8A-4EDF-AE51-690DC6F3CDB5}"/>
    <cellStyle name="Normal 39" xfId="150" xr:uid="{7185CE8A-03DF-40A7-857A-FE0610BF1121}"/>
    <cellStyle name="Normal 39 2" xfId="151" xr:uid="{94DF97AB-93FE-466D-BF2D-DBBDB6A55336}"/>
    <cellStyle name="Normal 39_BOS Workings" xfId="152" xr:uid="{D3B080F5-E3F8-41F8-A870-9ABF9AB644B1}"/>
    <cellStyle name="Normal 4" xfId="153" xr:uid="{9AA4774A-B03E-4284-B678-A24690F81D03}"/>
    <cellStyle name="Normal 4 2" xfId="154" xr:uid="{79EA5344-80A3-4D72-829A-569ECCB86719}"/>
    <cellStyle name="Normal 4 3" xfId="155" xr:uid="{5B46AAD1-B06A-42B9-B128-D717D51C0C11}"/>
    <cellStyle name="Normal 4_BOS Workings" xfId="156" xr:uid="{A74619A1-F6D1-410D-8AC3-71FE69471623}"/>
    <cellStyle name="Normal 40" xfId="157" xr:uid="{441686DF-7D31-431E-AED9-2A8E9ACD0F44}"/>
    <cellStyle name="Normal 40 2" xfId="158" xr:uid="{5FD87F53-28DE-49D8-B90B-BF5FC9464A7E}"/>
    <cellStyle name="Normal 40_BOS Workings" xfId="159" xr:uid="{CE3B32A0-4FCF-47B9-8B5D-BED1A2A26258}"/>
    <cellStyle name="Normal 41" xfId="160" xr:uid="{58B8F3E5-791A-4F1E-9C4B-0CC23CE02D5A}"/>
    <cellStyle name="Normal 41 2" xfId="161" xr:uid="{D476FF9F-ECE4-47B8-83A3-B2C9C487B48A}"/>
    <cellStyle name="Normal 41_BOS Workings" xfId="162" xr:uid="{41999B59-E359-420A-A786-75097A74CB25}"/>
    <cellStyle name="Normal 42" xfId="163" xr:uid="{FACB5E62-5D5A-4525-B7FF-9C354BF51243}"/>
    <cellStyle name="Normal 42 2" xfId="164" xr:uid="{B9D7CA03-5B0E-4AE7-8845-8994FA53CFB3}"/>
    <cellStyle name="Normal 42_BOS Workings" xfId="165" xr:uid="{6CA0B623-D8BC-446A-81AC-EDEC7631E9E8}"/>
    <cellStyle name="Normal 43" xfId="166" xr:uid="{68B59B05-D53D-477B-A898-67E1FE7AA100}"/>
    <cellStyle name="Normal 43 2" xfId="167" xr:uid="{6DE59693-A757-4275-9654-E7DEA3657B72}"/>
    <cellStyle name="Normal 43_BOS Workings" xfId="168" xr:uid="{EC64910D-BBAE-44A7-BCB1-5538D673BCD4}"/>
    <cellStyle name="Normal 44" xfId="169" xr:uid="{B2939190-D393-44A0-B033-15D940FFAEE1}"/>
    <cellStyle name="Normal 44 2" xfId="170" xr:uid="{4AB30ADD-5F7D-49DB-B76E-0D91AA4FB92D}"/>
    <cellStyle name="Normal 44_BOS Workings" xfId="171" xr:uid="{0BA1C647-A6EA-4D90-84E2-668E2AB2DC75}"/>
    <cellStyle name="Normal 45" xfId="172" xr:uid="{414DD482-CF83-4A50-AE87-CE28F1760ED2}"/>
    <cellStyle name="Normal 45 2" xfId="173" xr:uid="{B2207C14-4B27-4FE8-BBC4-C6DBC75AF7B4}"/>
    <cellStyle name="Normal 45_BOS Workings" xfId="174" xr:uid="{E0EE84A0-34BB-465E-95FC-A5738B53F297}"/>
    <cellStyle name="Normal 46" xfId="175" xr:uid="{D615A719-941F-4254-BD2D-01FDCFA0D679}"/>
    <cellStyle name="Normal 46 2" xfId="176" xr:uid="{F300C28D-C24A-440B-BF21-3D000E2D2973}"/>
    <cellStyle name="Normal 46_BOS Workings" xfId="177" xr:uid="{2121C38A-096B-42F4-8B09-4ED72EDFD0E1}"/>
    <cellStyle name="Normal 47" xfId="178" xr:uid="{FB0AF754-28BF-4E4B-80BD-0C7D3A8EFCA5}"/>
    <cellStyle name="Normal 47 2" xfId="179" xr:uid="{6570A52F-C845-4EE3-B077-B54A70A56FD4}"/>
    <cellStyle name="Normal 47_BOS Workings" xfId="180" xr:uid="{E139F6EA-EEB2-49B4-8D80-E5645A869447}"/>
    <cellStyle name="Normal 48" xfId="181" xr:uid="{378515BE-9EFB-47A0-9370-9DAC389EEA41}"/>
    <cellStyle name="Normal 48 2" xfId="182" xr:uid="{A15B08D7-A235-4B88-837B-594433EEFD94}"/>
    <cellStyle name="Normal 48_BOS Workings" xfId="183" xr:uid="{AC52B2F2-3816-4FDE-9B1C-78D4352EBD59}"/>
    <cellStyle name="Normal 49" xfId="184" xr:uid="{BD3675D9-A098-4F7B-A550-4B06130079BD}"/>
    <cellStyle name="Normal 49 2" xfId="185" xr:uid="{1722C21A-FB6A-4CB7-BF36-23A017DFE11A}"/>
    <cellStyle name="Normal 49_BOS Workings" xfId="186" xr:uid="{4D8C086B-083C-46E5-98EF-1A14F9F171E8}"/>
    <cellStyle name="Normal 5" xfId="187" xr:uid="{C29B0767-859C-4A4A-B61D-D4EDA952E172}"/>
    <cellStyle name="Normal 5 2" xfId="188" xr:uid="{9257BF71-6FF4-46DD-B11A-358245FA8C28}"/>
    <cellStyle name="Normal 5_BOS Workings" xfId="189" xr:uid="{54DAA22F-4B81-427E-9354-0058390A22AA}"/>
    <cellStyle name="Normal 50" xfId="190" xr:uid="{02C25759-582D-49C2-99F3-5FFF74D005E0}"/>
    <cellStyle name="Normal 50 2" xfId="191" xr:uid="{6BB4F28A-1A78-4A4B-A976-9647CA642711}"/>
    <cellStyle name="Normal 50_BOS Workings" xfId="192" xr:uid="{F1D223DE-E46C-4DE0-8FC9-596F8076BC81}"/>
    <cellStyle name="Normal 51" xfId="193" xr:uid="{8C485F4C-9F48-4A82-9284-5B98B762D398}"/>
    <cellStyle name="Normal 51 2" xfId="194" xr:uid="{F336D7C5-7F9B-49B0-85C4-2F3C83724B30}"/>
    <cellStyle name="Normal 51_BOS Workings" xfId="195" xr:uid="{8AA31599-AAC5-484B-8373-3B2159B38F02}"/>
    <cellStyle name="Normal 52" xfId="196" xr:uid="{CCA15A30-5C4E-4CE5-BDF7-884697042C4A}"/>
    <cellStyle name="Normal 52 2" xfId="197" xr:uid="{6F564095-8F0D-43AF-9C02-F2DF74F0915F}"/>
    <cellStyle name="Normal 52_BOS Workings" xfId="198" xr:uid="{94767DFB-E364-46DD-B832-2889E3E038D5}"/>
    <cellStyle name="Normal 53" xfId="199" xr:uid="{8D452772-1565-405F-B1CC-0A57BA9DE0D2}"/>
    <cellStyle name="Normal 53 2" xfId="200" xr:uid="{32097B98-E620-4B6A-A63E-2BD8B427A94B}"/>
    <cellStyle name="Normal 53_BOS Workings" xfId="201" xr:uid="{F59D10D3-3357-414F-9107-5C9ABE27C591}"/>
    <cellStyle name="Normal 54" xfId="202" xr:uid="{49EE5957-17F7-413F-B344-CBC53EBB4C46}"/>
    <cellStyle name="Normal 54 2" xfId="203" xr:uid="{DBDE7380-C83E-45CD-9685-9894FADC68D2}"/>
    <cellStyle name="Normal 54_BOS Workings" xfId="204" xr:uid="{215A5523-AB1C-4275-B3C0-4FB013FEDFF3}"/>
    <cellStyle name="Normal 55" xfId="205" xr:uid="{A256551A-2C6A-4D5E-8241-2C57039F694C}"/>
    <cellStyle name="Normal 55 2" xfId="206" xr:uid="{6572EBAD-39CD-40D2-B3BA-650386DD784A}"/>
    <cellStyle name="Normal 55_BOS Workings" xfId="207" xr:uid="{2C1FD9B6-4E70-4607-BAEC-CE83551441B5}"/>
    <cellStyle name="Normal 56" xfId="208" xr:uid="{1390E604-89FF-4DC5-BBC6-B87ACE33D4F4}"/>
    <cellStyle name="Normal 56 2" xfId="209" xr:uid="{23317448-DDEA-456B-BC61-474475B10494}"/>
    <cellStyle name="Normal 56_BOS Workings" xfId="210" xr:uid="{B7640791-4A10-426B-863E-72DC051588A6}"/>
    <cellStyle name="Normal 57" xfId="211" xr:uid="{188BCEDE-7664-4A8A-B83C-DE3DDFA098EF}"/>
    <cellStyle name="Normal 57 2" xfId="212" xr:uid="{E754BC40-4089-4630-B80C-F7F632747C93}"/>
    <cellStyle name="Normal 57_BOS Workings" xfId="213" xr:uid="{E49F4A46-E3B3-45DE-BC0D-A9D4E09C4B17}"/>
    <cellStyle name="Normal 58" xfId="214" xr:uid="{67CA9E28-5BCB-4E10-B45B-066B812949C9}"/>
    <cellStyle name="Normal 58 2" xfId="215" xr:uid="{63558D7B-86AB-422D-8E85-7C57E38B1B1C}"/>
    <cellStyle name="Normal 58_BOS Workings" xfId="216" xr:uid="{F3786BDD-20D2-461D-8E2D-3C6E8F1B0E05}"/>
    <cellStyle name="Normal 59" xfId="217" xr:uid="{7ED90610-9E86-45E7-8030-69000163E311}"/>
    <cellStyle name="Normal 59 2" xfId="218" xr:uid="{EBA8B4EE-C7CD-4E92-AEB3-F9708004184F}"/>
    <cellStyle name="Normal 59_BOS Workings" xfId="219" xr:uid="{D36F8FFB-69F5-4AE1-8AAB-398DF8AD51D4}"/>
    <cellStyle name="Normal 6" xfId="220" xr:uid="{E3094321-C9E3-4EB6-BDA9-B48C78C2951F}"/>
    <cellStyle name="Normal 6 2" xfId="221" xr:uid="{3D2D1B35-98FE-41EA-996E-464B37FAE98A}"/>
    <cellStyle name="Normal 6_BOS Workings" xfId="222" xr:uid="{5FC0AD53-CE74-43C1-8601-8FD83C9CDE92}"/>
    <cellStyle name="Normal 60" xfId="223" xr:uid="{68F3C7A2-B521-4061-8876-CF2405B14429}"/>
    <cellStyle name="Normal 60 2" xfId="224" xr:uid="{FE2C1ECF-006A-42C7-875A-0E9D441FBA8C}"/>
    <cellStyle name="Normal 60_BOS Workings" xfId="225" xr:uid="{21723145-622C-4989-B2E3-6C3C715517C0}"/>
    <cellStyle name="Normal 61" xfId="226" xr:uid="{B0C316C8-D1A1-4F71-80F4-938B6A7F1B08}"/>
    <cellStyle name="Normal 61 2" xfId="227" xr:uid="{B7EFF5C0-7BB3-4D2C-9526-3C027E8B7911}"/>
    <cellStyle name="Normal 61_BOS Workings" xfId="228" xr:uid="{120CC005-A690-4CBF-9A0C-4EDE755FA68F}"/>
    <cellStyle name="Normal 62" xfId="229" xr:uid="{BA3133C2-9225-429A-B142-B003CC19C026}"/>
    <cellStyle name="Normal 62 2" xfId="230" xr:uid="{D3F31926-A777-415A-88C1-6B05D0E9F9D9}"/>
    <cellStyle name="Normal 62_BOS Workings" xfId="231" xr:uid="{132C50ED-9BB9-419B-82B3-65A161C586E5}"/>
    <cellStyle name="Normal 63" xfId="232" xr:uid="{9C85B1DA-E5AF-406B-B672-2B2E5FC92F5E}"/>
    <cellStyle name="Normal 63 2" xfId="233" xr:uid="{8CFAA8DE-41FE-4F5A-9AEA-B9CE2E328EE4}"/>
    <cellStyle name="Normal 63_BOS Workings" xfId="234" xr:uid="{446C2ACC-FABC-41A4-965D-64D5961DECAA}"/>
    <cellStyle name="Normal 64" xfId="235" xr:uid="{F1EF3F81-03CC-4485-AD01-1CB212FF0629}"/>
    <cellStyle name="Normal 64 2" xfId="236" xr:uid="{C6220E16-3031-4B5D-A2E6-99B447214BE6}"/>
    <cellStyle name="Normal 64_BOS Workings" xfId="237" xr:uid="{8FB46354-AA66-4C6E-8B28-670ED1F036C1}"/>
    <cellStyle name="Normal 65" xfId="238" xr:uid="{B7F7071D-DE6B-42EF-86FA-32E9587D635F}"/>
    <cellStyle name="Normal 65 2" xfId="239" xr:uid="{67B1A730-C5AA-4B71-9543-0EE45C14FC1E}"/>
    <cellStyle name="Normal 65_BOS Workings" xfId="240" xr:uid="{3BE5CBAC-26DD-40F5-B3EE-81E8E003E3FA}"/>
    <cellStyle name="Normal 66" xfId="241" xr:uid="{2BFFC171-804D-4E6B-8B51-CAF23D3F11BD}"/>
    <cellStyle name="Normal 66 2" xfId="242" xr:uid="{056A7036-303F-4AD6-887D-163578337B67}"/>
    <cellStyle name="Normal 66_BOS Workings" xfId="243" xr:uid="{E1D6771F-DC32-4C9C-90F9-8C533BB0A420}"/>
    <cellStyle name="Normal 67" xfId="244" xr:uid="{4CA68A36-71A8-4364-A16C-FBFA129E486F}"/>
    <cellStyle name="Normal 67 2" xfId="245" xr:uid="{557847F2-9FBA-4DA3-89B4-8B10CC69FDAE}"/>
    <cellStyle name="Normal 67_BOS Workings" xfId="246" xr:uid="{8EC33AEE-4D23-4F84-9F4C-A94FB173B97B}"/>
    <cellStyle name="Normal 68" xfId="247" xr:uid="{F0E5E223-A870-4EFF-9BFB-89BFE2D5630F}"/>
    <cellStyle name="Normal 68 2" xfId="248" xr:uid="{CF6642FF-EB21-46E9-8C1E-F9643EB9E4C8}"/>
    <cellStyle name="Normal 68_BOS Workings" xfId="249" xr:uid="{9F9B81C5-D964-4714-99A9-32675B6FC5AF}"/>
    <cellStyle name="Normal 69" xfId="250" xr:uid="{07A3F9DF-9A6E-4EE9-8A9C-FDC0F99611DA}"/>
    <cellStyle name="Normal 69 2" xfId="251" xr:uid="{AB21360F-6F9A-4390-A737-132FA59A1C1E}"/>
    <cellStyle name="Normal 69_BOS Workings" xfId="252" xr:uid="{18569E82-1E7E-4668-9468-018B7546CCAE}"/>
    <cellStyle name="Normal 7" xfId="253" xr:uid="{464CCCBA-42F9-4F9E-9439-17F955F3DD86}"/>
    <cellStyle name="Normal 7 2" xfId="254" xr:uid="{AA9332C5-D21B-40CA-BD00-AC1D6D177F64}"/>
    <cellStyle name="Normal 7_BOS Workings" xfId="255" xr:uid="{607D15C8-D3AE-493F-9D82-335190EC7390}"/>
    <cellStyle name="Normal 70" xfId="256" xr:uid="{D8D00A83-149E-4BB2-BFF5-39B6E566224D}"/>
    <cellStyle name="Normal 70 2" xfId="257" xr:uid="{746BF706-6A99-4E6E-A03A-2340E9207DFE}"/>
    <cellStyle name="Normal 70_BOS Workings" xfId="258" xr:uid="{E936EFD4-848F-49B5-B0D4-671E4779DAC4}"/>
    <cellStyle name="Normal 71" xfId="259" xr:uid="{2FAC1ADA-EFAE-4CED-9910-CE799F5603FC}"/>
    <cellStyle name="Normal 71 2" xfId="260" xr:uid="{BDBF7CD4-B271-43B8-A457-6D97969DB619}"/>
    <cellStyle name="Normal 71_BOS Workings" xfId="261" xr:uid="{A4F48E3A-F67B-4C5F-91B0-B3C0B114D582}"/>
    <cellStyle name="Normal 72" xfId="262" xr:uid="{F11E6089-4437-4C38-AD90-ACAE07B2C4FF}"/>
    <cellStyle name="Normal 72 2" xfId="263" xr:uid="{EE110CDD-5B74-47E2-B814-7D41BDA84550}"/>
    <cellStyle name="Normal 72_BOS Workings" xfId="264" xr:uid="{64E5AB65-8821-4668-8BB2-6CCAAAA06969}"/>
    <cellStyle name="Normal 73" xfId="265" xr:uid="{C625424E-5DEB-4C7F-A6E9-31F656C00482}"/>
    <cellStyle name="Normal 73 2" xfId="266" xr:uid="{41091F72-921C-4BF5-9D15-85E192E02D46}"/>
    <cellStyle name="Normal 73_BOS Workings" xfId="267" xr:uid="{C14C8C26-85DC-4118-9490-BB36562C2831}"/>
    <cellStyle name="Normal 74" xfId="268" xr:uid="{BE01FFE1-6DED-4B96-8979-0402AB7FF70E}"/>
    <cellStyle name="Normal 74 2" xfId="269" xr:uid="{85EF27A2-A409-463E-97B7-6C250FA7799E}"/>
    <cellStyle name="Normal 74_BOS Workings" xfId="270" xr:uid="{BADBF6AA-2DC7-4E81-8D8C-813E2520AE45}"/>
    <cellStyle name="Normal 75" xfId="271" xr:uid="{D1681C4B-85A0-4209-B1E3-DBFDD4B03EA3}"/>
    <cellStyle name="Normal 75 2" xfId="272" xr:uid="{EE3E0142-6B39-48FD-9C4B-61962C005641}"/>
    <cellStyle name="Normal 75_BOS Workings" xfId="273" xr:uid="{2F1A12B8-D68D-4235-856E-9F705E5F9855}"/>
    <cellStyle name="Normal 76" xfId="274" xr:uid="{6F53DE12-4C8F-4ED4-B25A-2E94954349DC}"/>
    <cellStyle name="Normal 76 2" xfId="275" xr:uid="{10D82B97-2E1B-4F16-983D-C4989E4EEFC8}"/>
    <cellStyle name="Normal 76_BOS Workings" xfId="276" xr:uid="{9064D651-925F-47DE-93B0-3895CADA3B11}"/>
    <cellStyle name="Normal 77" xfId="277" xr:uid="{CA5E19A6-11BC-402A-B1CF-1356DDAF38DB}"/>
    <cellStyle name="Normal 77 2" xfId="278" xr:uid="{1D93898D-9512-4095-B3EC-857ED81BFCE7}"/>
    <cellStyle name="Normal 77_BOS Workings" xfId="279" xr:uid="{EEAE06EE-4288-46E4-BB80-B6B0246B7360}"/>
    <cellStyle name="Normal 78" xfId="280" xr:uid="{76ACD67D-177B-4145-A33A-B80E24D95ED1}"/>
    <cellStyle name="Normal 78 2" xfId="281" xr:uid="{17F49042-128F-4C99-B44A-7DE4BF2AD6F6}"/>
    <cellStyle name="Normal 78_BOS Workings" xfId="282" xr:uid="{3C82A306-7F39-408C-8700-E62D51CD00D5}"/>
    <cellStyle name="Normal 79" xfId="283" xr:uid="{5FB4C454-1C28-44A0-AF0C-61BF7EE50125}"/>
    <cellStyle name="Normal 79 2" xfId="284" xr:uid="{81782885-4D4E-45C0-90A2-C09B2089726F}"/>
    <cellStyle name="Normal 79_BOS Workings" xfId="285" xr:uid="{E34FAC85-98DB-47D8-8A12-FFAA52DEB826}"/>
    <cellStyle name="Normal 8" xfId="286" xr:uid="{6B5A0CD2-B2EE-42B1-9721-1F8D77D3B6C7}"/>
    <cellStyle name="Normal 8 2" xfId="287" xr:uid="{7A3FB29A-2558-4820-AE3F-391E6AABAF3E}"/>
    <cellStyle name="Normal 8_BOS Workings" xfId="288" xr:uid="{0E01CB76-0499-4191-A290-9F14A91614A8}"/>
    <cellStyle name="Normal 80" xfId="289" xr:uid="{512CAAB3-F40F-4AC4-9ED6-FF8AC2720246}"/>
    <cellStyle name="Normal 80 2" xfId="290" xr:uid="{6FF3E084-5015-4A2A-A81F-603686379A35}"/>
    <cellStyle name="Normal 80_BOS Workings" xfId="291" xr:uid="{AB470660-BC83-490F-86A7-BFA5611A76CB}"/>
    <cellStyle name="Normal 81" xfId="292" xr:uid="{3CCF1F87-83F9-42E5-B213-899C72A3758B}"/>
    <cellStyle name="Normal 81 2" xfId="293" xr:uid="{06A6D811-40B5-40AF-BF42-502AB2ED1370}"/>
    <cellStyle name="Normal 81_BOS Workings" xfId="294" xr:uid="{8C0403A5-F165-4347-B438-A9BB3475C627}"/>
    <cellStyle name="Normal 82" xfId="295" xr:uid="{5B8D4850-C7C1-41A5-95EB-54D0C9E2E022}"/>
    <cellStyle name="Normal 82 2" xfId="296" xr:uid="{FE93714A-3A46-4432-A9E4-F2698C40EB05}"/>
    <cellStyle name="Normal 82_BOS Workings" xfId="297" xr:uid="{FD82303B-2359-46F9-93E4-013EBE457397}"/>
    <cellStyle name="Normal 83" xfId="298" xr:uid="{1E3D51DD-0577-4ADD-9BC3-D63E6ACF1B57}"/>
    <cellStyle name="Normal 83 2" xfId="299" xr:uid="{622FD883-9253-4DEB-81CD-2E2958146AF0}"/>
    <cellStyle name="Normal 83_BOS Workings" xfId="300" xr:uid="{898A182A-92FA-43DF-9D2F-1DCA2BB7DD1F}"/>
    <cellStyle name="Normal 84" xfId="301" xr:uid="{408027E9-E8F4-4EA9-8110-7897D1E66132}"/>
    <cellStyle name="Normal 84 2" xfId="302" xr:uid="{38152AD6-8391-44FE-91A1-E1F52BEB661C}"/>
    <cellStyle name="Normal 84_BOS Workings" xfId="303" xr:uid="{8345EE8F-4327-408B-B4A3-1598F599946A}"/>
    <cellStyle name="Normal 85" xfId="304" xr:uid="{242B4F28-7FD9-4B71-96E3-A407A49F4A2B}"/>
    <cellStyle name="Normal 85 2" xfId="305" xr:uid="{5694C894-B95E-48B2-9271-F16863D6C2E3}"/>
    <cellStyle name="Normal 85_BOS Workings" xfId="306" xr:uid="{29EECE35-5755-4AFD-A3F9-8336B9F1FB4C}"/>
    <cellStyle name="Normal 86" xfId="307" xr:uid="{ED94FFEA-DC86-449A-9EA9-7903A5CAF205}"/>
    <cellStyle name="Normal 86 2" xfId="308" xr:uid="{69B38415-33B4-4AF7-B4AA-1E260225F288}"/>
    <cellStyle name="Normal 86_BOS Workings" xfId="309" xr:uid="{4AF7EF19-BD82-4012-9419-69E8DFE8A232}"/>
    <cellStyle name="Normal 87" xfId="310" xr:uid="{F7B06ABF-08A9-4FF7-BEA8-E42BE98FCC44}"/>
    <cellStyle name="Normal 87 2" xfId="311" xr:uid="{AB43219E-4BCC-45C3-99B2-7BDA89D81C50}"/>
    <cellStyle name="Normal 87_BOS Workings" xfId="312" xr:uid="{65D74CAA-52D5-4EAC-926D-C2B5FAA9D0E8}"/>
    <cellStyle name="Normal 88" xfId="313" xr:uid="{F2F5497E-EBE8-4F5F-8A8F-B7AA45E31085}"/>
    <cellStyle name="Normal 88 2" xfId="314" xr:uid="{D0F2BC2E-B141-44A0-B781-90FEACB4DFA4}"/>
    <cellStyle name="Normal 88_BOS Workings" xfId="315" xr:uid="{0B5C7676-9D69-4322-BDE2-A5A6D292BC97}"/>
    <cellStyle name="Normal 89" xfId="316" xr:uid="{EFA2E944-7D39-4C6D-95F3-DEDEE8A6A60D}"/>
    <cellStyle name="Normal 89 2" xfId="317" xr:uid="{76B413CD-E747-40F9-8B05-5B61B61BD4DE}"/>
    <cellStyle name="Normal 89_BOS Workings" xfId="318" xr:uid="{DAF4E946-750A-4169-AE2B-840AC409A142}"/>
    <cellStyle name="Normal 9" xfId="319" xr:uid="{0C7EEAA4-B511-4113-B935-3D3F7BDF3C05}"/>
    <cellStyle name="Normal 9 2" xfId="320" xr:uid="{CB46BA8C-4A98-4F6A-8405-606E38E902A6}"/>
    <cellStyle name="Normal 9 3" xfId="321" xr:uid="{369FA36D-991C-4E2B-8D34-B08E97BB68BB}"/>
    <cellStyle name="Normal 9 3 2" xfId="322" xr:uid="{53610D22-318E-4AB6-87FC-4335B7691E1E}"/>
    <cellStyle name="Normal 9 3_BOS Workings" xfId="323" xr:uid="{15EE2CE5-AE56-4021-A83F-1DF32B9022E9}"/>
    <cellStyle name="Normal 90" xfId="324" xr:uid="{B4D4DDD9-412D-4B5B-B5D8-1A6A24AF282C}"/>
    <cellStyle name="Normal 90 2" xfId="325" xr:uid="{0D16EDBC-AEB2-4DE8-BE83-8998F32CB3A0}"/>
    <cellStyle name="Normal 91" xfId="326" xr:uid="{A905E550-1231-4F60-A946-2E25B4EF187D}"/>
    <cellStyle name="Normal 91 2" xfId="327" xr:uid="{51CDF86D-1785-46A5-A2BA-8B48FD281400}"/>
    <cellStyle name="Normal 92" xfId="328" xr:uid="{41B033D8-7C3A-4051-AA2B-AD7AD52165C1}"/>
    <cellStyle name="Normal 92 2" xfId="329" xr:uid="{7AF45DCE-2053-405E-9CD0-738B1B0658DB}"/>
    <cellStyle name="Normal 93" xfId="330" xr:uid="{42BEC354-BB82-4FBD-A9D7-73FEB67A4EAE}"/>
    <cellStyle name="Normal 93 2" xfId="331" xr:uid="{7A2AF032-7108-418F-BD49-C4D2616F9270}"/>
    <cellStyle name="Normal 94" xfId="332" xr:uid="{75980DFA-B4DA-4B67-8588-A7562C8D861E}"/>
    <cellStyle name="Normal 94 2" xfId="333" xr:uid="{5E25BB40-96AF-4B39-8FA1-6C5B2D636DEB}"/>
    <cellStyle name="Normal 95" xfId="334" xr:uid="{FBF9F6FA-61AF-484B-801B-ABBA56275798}"/>
    <cellStyle name="Normal 95 2" xfId="335" xr:uid="{F6508F5E-96E4-4145-B532-45F7352FE28C}"/>
    <cellStyle name="Normal 95 3" xfId="336" xr:uid="{F55237D2-9BC2-4274-8483-DC8DECB47E8A}"/>
    <cellStyle name="Normal 96" xfId="337" xr:uid="{59AAE61E-06C4-4603-81C6-D9E57FC1A9F7}"/>
    <cellStyle name="Normal 96 2" xfId="338" xr:uid="{5A1C7A41-0E04-4BF5-A1C1-166895E93C6A}"/>
    <cellStyle name="Normal 96 3" xfId="339" xr:uid="{FDEA62B2-3B71-49B2-BDE2-BA3A153F865A}"/>
    <cellStyle name="Normal 97" xfId="340" xr:uid="{8A0BA691-A411-4486-B270-CB6D3C50CE56}"/>
    <cellStyle name="Normal 97 2" xfId="341" xr:uid="{6206D43E-F94E-45C4-B340-F98695D29DB3}"/>
    <cellStyle name="Normal 98" xfId="342" xr:uid="{3E7795F7-42B2-4233-AD38-D8BF2CBDCF8C}"/>
    <cellStyle name="Normal 98 2" xfId="343" xr:uid="{4D01F4B1-8A14-4073-A906-13EF0492FFD5}"/>
    <cellStyle name="Normal 99" xfId="344" xr:uid="{511183C9-BBC3-4051-AEF5-7ECC6AFADEAB}"/>
    <cellStyle name="Normal 99 2" xfId="345" xr:uid="{4015A1B0-954F-4D1B-B198-D461A9475772}"/>
    <cellStyle name="Output 2" xfId="437" xr:uid="{58A78C3D-9537-405D-B412-D52BA38F5FBC}"/>
    <cellStyle name="Percent" xfId="2" builtinId="5"/>
    <cellStyle name="Percent 2" xfId="346" xr:uid="{CE80FBD3-CE57-4762-BBFD-7927FC74D458}"/>
    <cellStyle name="Percent 3" xfId="10" xr:uid="{124AFA30-092D-4478-A8C2-F06FD58968B5}"/>
    <cellStyle name="Percent 3 2" xfId="404" xr:uid="{6BDCD2DC-A1AB-477F-949E-E79D76B4A987}"/>
    <cellStyle name="Percent 4" xfId="362" xr:uid="{6BA01A0B-7CBD-43FF-9EFD-D44D32DA11AC}"/>
    <cellStyle name="Percent 5" xfId="386" xr:uid="{9CFE365D-0667-48C3-9836-F9E717360CB1}"/>
    <cellStyle name="Title 2" xfId="354" xr:uid="{1242D0CD-F42D-4FA4-BE31-D2E90EC818B9}"/>
    <cellStyle name="Title 3" xfId="469" xr:uid="{A347F7B5-5415-41A7-93A8-8647180023EF}"/>
    <cellStyle name="Total 2" xfId="431" xr:uid="{3D8B88E7-6F34-4956-B265-75DA92B14A23}"/>
    <cellStyle name="Warning Text 2" xfId="433" xr:uid="{117E822E-4CBA-4BDB-97BF-FA840DC0234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725B-32E0-439B-9130-271F76E15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6F424F-9AA0-438F-BF37-9EB112AD0E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BCF21C-6486-4F5A-869F-74AD892A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F061C4-8222-491F-8EB2-E7256BA08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F89AB3-E759-4279-ACD8-EA02AB2644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29BFE6-095F-4A16-B634-DF9C377D6CF6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94</xdr:row>
      <xdr:rowOff>76200</xdr:rowOff>
    </xdr:from>
    <xdr:to>
      <xdr:col>6</xdr:col>
      <xdr:colOff>715917</xdr:colOff>
      <xdr:row>133</xdr:row>
      <xdr:rowOff>53340</xdr:rowOff>
    </xdr:to>
    <xdr:pic>
      <xdr:nvPicPr>
        <xdr:cNvPr id="3096" name="Picture 1">
          <a:extLst>
            <a:ext uri="{FF2B5EF4-FFF2-40B4-BE49-F238E27FC236}">
              <a16:creationId xmlns:a16="http://schemas.microsoft.com/office/drawing/2014/main" id="{162F1724-67F2-4609-86C7-F272B10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16184880"/>
          <a:ext cx="7589520" cy="651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ly, Hannah E." id="{37EF901C-DE86-4021-A1F2-BBBCAC486477}" userId="S::h.daly@ucc.ie::524ee022-a37e-4c78-862e-198b12713a7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26" dT="2021-04-29T08:43:56.24" personId="{37EF901C-DE86-4021-A1F2-BBBCAC486477}" id="{DD5752A7-7C11-45E4-A354-EAE94CA564A8}">
    <text>Changed to average 2018 vkm/car</text>
  </threadedComment>
  <threadedComment ref="U126" dT="2021-04-29T08:43:56.24" personId="{37EF901C-DE86-4021-A1F2-BBBCAC486477}" id="{D7DF4013-D8A9-456A-905D-25B0421CB170}">
    <text>Changed to average 2018 vkm/car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AADF5-6ADD-4D31-A7A7-24B8240AB9AE}">
  <sheetPr codeName="Sheet4"/>
  <dimension ref="A1:Z99"/>
  <sheetViews>
    <sheetView showGridLines="0" topLeftCell="A13" zoomScaleNormal="100" workbookViewId="0">
      <selection activeCell="D21" sqref="D21"/>
    </sheetView>
  </sheetViews>
  <sheetFormatPr defaultColWidth="8.77734375" defaultRowHeight="14.4"/>
  <cols>
    <col min="1" max="4" width="21.77734375" style="78" customWidth="1"/>
    <col min="5" max="6" width="14.21875" style="78" customWidth="1"/>
    <col min="7" max="7" width="12.21875" style="78" customWidth="1"/>
    <col min="8" max="10" width="8.21875" style="78" customWidth="1"/>
    <col min="11" max="11" width="9.77734375" style="78" customWidth="1"/>
    <col min="12" max="12" width="8.21875" style="78" customWidth="1"/>
    <col min="13" max="13" width="10" style="78" customWidth="1"/>
    <col min="14" max="14" width="11.44140625" style="78" customWidth="1"/>
    <col min="15" max="15" width="13.44140625" style="78" customWidth="1"/>
    <col min="16" max="16384" width="8.77734375" style="78"/>
  </cols>
  <sheetData>
    <row r="1" spans="1:26">
      <c r="A1" s="76"/>
      <c r="B1" s="76"/>
      <c r="C1" s="76"/>
      <c r="D1" s="76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>
      <c r="A2" s="76"/>
      <c r="B2" s="76"/>
      <c r="C2" s="76"/>
      <c r="D2" s="76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>
      <c r="A3" s="76"/>
      <c r="B3" s="76"/>
      <c r="C3" s="76"/>
      <c r="D3" s="76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spans="1:26">
      <c r="A4" s="76"/>
      <c r="B4" s="76"/>
      <c r="C4" s="76"/>
      <c r="D4" s="76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>
      <c r="A5" s="76"/>
      <c r="B5" s="76"/>
      <c r="C5" s="76"/>
      <c r="D5" s="76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>
      <c r="A6" s="76"/>
      <c r="B6" s="76"/>
      <c r="C6" s="76"/>
      <c r="D6" s="76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>
      <c r="A7" s="76"/>
      <c r="B7" s="76"/>
      <c r="C7" s="76"/>
      <c r="D7" s="76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>
      <c r="A8" s="76"/>
      <c r="B8" s="76"/>
      <c r="C8" s="76"/>
      <c r="D8" s="76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>
      <c r="A9" s="76"/>
      <c r="B9" s="76"/>
      <c r="C9" s="76"/>
      <c r="D9" s="76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>
      <c r="A10" s="76"/>
      <c r="B10" s="76"/>
      <c r="C10" s="76"/>
      <c r="D10" s="76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>
      <c r="A11" s="76"/>
      <c r="B11" s="76"/>
      <c r="C11" s="76"/>
      <c r="D11" s="76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>
      <c r="A12" s="76"/>
      <c r="B12" s="76"/>
      <c r="C12" s="76"/>
      <c r="D12" s="76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>
      <c r="A13" s="76"/>
      <c r="B13" s="76"/>
      <c r="C13" s="76"/>
      <c r="D13" s="76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>
      <c r="A14" s="76"/>
      <c r="B14" s="76"/>
      <c r="C14" s="76"/>
      <c r="D14" s="76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>
      <c r="A15" s="76"/>
      <c r="B15" s="76"/>
      <c r="C15" s="76"/>
      <c r="D15" s="76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102.75" customHeight="1">
      <c r="A16" s="161" t="s">
        <v>388</v>
      </c>
      <c r="B16" s="161"/>
      <c r="C16" s="161"/>
      <c r="D16" s="161"/>
      <c r="E16" s="79"/>
      <c r="F16" s="79"/>
      <c r="G16" s="80"/>
      <c r="H16" s="80"/>
      <c r="I16" s="80"/>
      <c r="J16" s="80"/>
      <c r="K16" s="80"/>
      <c r="L16" s="80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7.25" customHeight="1">
      <c r="A17" s="81"/>
      <c r="B17" s="81"/>
      <c r="C17" s="81"/>
      <c r="D17" s="81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17.25" customHeight="1">
      <c r="A18" s="81"/>
      <c r="B18" s="81"/>
      <c r="C18" s="81"/>
      <c r="D18" s="81"/>
      <c r="E18" s="82"/>
      <c r="F18" s="82"/>
      <c r="G18" s="83"/>
      <c r="H18" s="83"/>
      <c r="I18" s="83"/>
      <c r="J18" s="83"/>
      <c r="K18" s="83"/>
      <c r="L18" s="83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spans="1:26" ht="17.25" customHeight="1">
      <c r="A19" s="84" t="s">
        <v>389</v>
      </c>
      <c r="B19" s="160" t="s">
        <v>402</v>
      </c>
      <c r="C19" s="160"/>
      <c r="D19" s="160"/>
      <c r="E19" s="85"/>
      <c r="F19" s="85"/>
      <c r="G19" s="86"/>
      <c r="H19" s="86"/>
      <c r="I19" s="86"/>
      <c r="J19" s="86"/>
      <c r="K19" s="86"/>
      <c r="L19" s="86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spans="1:26" ht="17.25" customHeight="1">
      <c r="A20" s="84" t="s">
        <v>390</v>
      </c>
      <c r="B20" s="160" t="s">
        <v>403</v>
      </c>
      <c r="C20" s="160"/>
      <c r="D20" s="160"/>
      <c r="E20" s="85"/>
      <c r="F20" s="85"/>
      <c r="G20" s="86"/>
      <c r="H20" s="86"/>
      <c r="I20" s="86"/>
      <c r="J20" s="86"/>
      <c r="K20" s="86"/>
      <c r="L20" s="86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spans="1:26" ht="17.25" customHeight="1">
      <c r="A21" s="84" t="s">
        <v>391</v>
      </c>
      <c r="B21" s="87" t="s">
        <v>401</v>
      </c>
      <c r="C21" s="87"/>
      <c r="D21" s="87"/>
      <c r="E21" s="85"/>
      <c r="F21" s="85"/>
      <c r="G21" s="86"/>
      <c r="H21" s="86"/>
      <c r="I21" s="86"/>
      <c r="J21" s="86"/>
      <c r="K21" s="86"/>
      <c r="L21" s="86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spans="1:26" ht="17.25" customHeight="1">
      <c r="A22" s="84"/>
      <c r="B22" s="87"/>
      <c r="C22" s="87"/>
      <c r="D22" s="87"/>
      <c r="E22" s="85"/>
      <c r="F22" s="85"/>
      <c r="G22" s="86"/>
      <c r="H22" s="86"/>
      <c r="I22" s="86"/>
      <c r="J22" s="86"/>
      <c r="K22" s="86"/>
      <c r="L22" s="86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spans="1:26" ht="17.25" customHeight="1">
      <c r="A23" s="84" t="s">
        <v>392</v>
      </c>
      <c r="B23" s="160" t="s">
        <v>400</v>
      </c>
      <c r="C23" s="160"/>
      <c r="D23" s="160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spans="1:26" ht="17.25" customHeight="1">
      <c r="A24" s="84"/>
      <c r="B24" s="87"/>
      <c r="C24" s="87"/>
      <c r="D24" s="8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spans="1:26" ht="17.25" customHeight="1">
      <c r="A25" s="84"/>
      <c r="B25" s="87"/>
      <c r="C25" s="87"/>
      <c r="D25" s="8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17.25" customHeight="1">
      <c r="A26" s="84" t="s">
        <v>393</v>
      </c>
      <c r="B26" s="160" t="s">
        <v>400</v>
      </c>
      <c r="C26" s="160"/>
      <c r="D26" s="160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spans="1:26" ht="17.25" customHeight="1">
      <c r="A27" s="84"/>
      <c r="B27" s="160"/>
      <c r="C27" s="160"/>
      <c r="D27" s="160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17.25" customHeight="1">
      <c r="A28" s="84"/>
      <c r="B28" s="87"/>
      <c r="C28" s="87"/>
      <c r="D28" s="8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spans="1:26" ht="17.25" customHeight="1">
      <c r="A29" s="84" t="s">
        <v>394</v>
      </c>
      <c r="B29" s="88">
        <v>1</v>
      </c>
      <c r="C29" s="87"/>
      <c r="D29" s="8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17.25" customHeight="1">
      <c r="A30" s="84" t="s">
        <v>395</v>
      </c>
      <c r="B30" s="162" t="s">
        <v>396</v>
      </c>
      <c r="C30" s="160"/>
      <c r="D30" s="160"/>
      <c r="E30" s="89"/>
      <c r="F30" s="89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spans="1:26" ht="17.25" customHeight="1">
      <c r="A31" s="84" t="s">
        <v>397</v>
      </c>
      <c r="B31" s="160" t="s">
        <v>398</v>
      </c>
      <c r="C31" s="160"/>
      <c r="D31" s="160"/>
      <c r="E31" s="89"/>
      <c r="F31" s="89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17.25" customHeight="1">
      <c r="A32" s="90"/>
      <c r="B32" s="91" t="s">
        <v>399</v>
      </c>
      <c r="C32" s="90"/>
      <c r="D32" s="90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spans="1:26">
      <c r="A33" s="76"/>
      <c r="B33" s="76"/>
      <c r="C33" s="76"/>
      <c r="D33" s="76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spans="1:26">
      <c r="A34" s="76"/>
      <c r="B34" s="76"/>
      <c r="C34" s="76"/>
      <c r="D34" s="76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spans="1:26">
      <c r="A35" s="76"/>
      <c r="B35" s="76"/>
      <c r="C35" s="76"/>
      <c r="D35" s="76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spans="1:26">
      <c r="A36" s="76"/>
      <c r="B36" s="76"/>
      <c r="C36" s="76"/>
      <c r="D36" s="76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spans="1:26">
      <c r="A37" s="76"/>
      <c r="B37" s="76"/>
      <c r="C37" s="76"/>
      <c r="D37" s="76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spans="1:26">
      <c r="A38" s="76"/>
      <c r="B38" s="76"/>
      <c r="C38" s="76"/>
      <c r="D38" s="76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spans="1:26">
      <c r="A39" s="76"/>
      <c r="B39" s="76"/>
      <c r="C39" s="76"/>
      <c r="D39" s="76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spans="1:26">
      <c r="A40" s="76"/>
      <c r="B40" s="76"/>
      <c r="C40" s="76"/>
      <c r="D40" s="76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spans="1:26">
      <c r="A41" s="76"/>
      <c r="B41" s="76"/>
      <c r="C41" s="76"/>
      <c r="D41" s="76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spans="1:26">
      <c r="A42" s="76"/>
      <c r="B42" s="76"/>
      <c r="C42" s="76"/>
      <c r="D42" s="76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spans="1:26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spans="1:26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spans="1:26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spans="1:2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spans="1:26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spans="1:26">
      <c r="A48" s="77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spans="1:26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spans="1:26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spans="1:26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spans="1:26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spans="1:26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spans="1:26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spans="1:26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spans="1:2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spans="1:26">
      <c r="A57" s="77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spans="1:26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spans="1:26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spans="1:26">
      <c r="A60" s="77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spans="1:26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spans="1:26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spans="1:26">
      <c r="A63" s="77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spans="1:26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spans="1:26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spans="1:26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spans="1:26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spans="1:26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spans="1:26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spans="1:26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spans="1:26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spans="1:26">
      <c r="A72" s="77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spans="1:26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spans="1:26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spans="1:26">
      <c r="A75" s="77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spans="1:2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spans="1:26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spans="1:26">
      <c r="A78" s="77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spans="1:26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spans="1:26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spans="1:26">
      <c r="A81" s="77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spans="1:26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spans="1:26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spans="1:26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spans="1:26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spans="1:2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spans="1:26">
      <c r="A87" s="77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spans="1:26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spans="1:26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spans="1:26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spans="1:26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spans="1:26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spans="1:26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spans="1:26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spans="1:26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spans="1:26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spans="1:26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spans="1:26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spans="1:26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</sheetData>
  <mergeCells count="8">
    <mergeCell ref="B31:D31"/>
    <mergeCell ref="A16:D16"/>
    <mergeCell ref="B19:D19"/>
    <mergeCell ref="B20:D20"/>
    <mergeCell ref="B23:D23"/>
    <mergeCell ref="B26:D26"/>
    <mergeCell ref="B30:D30"/>
    <mergeCell ref="B27:D27"/>
  </mergeCells>
  <hyperlinks>
    <hyperlink ref="B30" r:id="rId1" xr:uid="{9977AFC0-7753-489E-A5E0-BDDC48C64E56}"/>
    <hyperlink ref="B32" r:id="rId2" xr:uid="{63F72DCC-05C3-4F76-9F0C-79809991FA04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3"/>
  <sheetViews>
    <sheetView topLeftCell="A124" zoomScale="85" zoomScaleNormal="85" workbookViewId="0">
      <selection activeCell="B150" sqref="B149:B150"/>
    </sheetView>
  </sheetViews>
  <sheetFormatPr defaultRowHeight="13.2"/>
  <cols>
    <col min="1" max="1" width="16.21875" customWidth="1"/>
    <col min="2" max="2" width="26.77734375" customWidth="1"/>
    <col min="3" max="3" width="60.77734375" customWidth="1"/>
    <col min="6" max="6" width="10.77734375" customWidth="1"/>
    <col min="7" max="7" width="11" customWidth="1"/>
    <col min="8" max="8" width="10.44140625" customWidth="1"/>
    <col min="11" max="11" width="26" bestFit="1" customWidth="1"/>
    <col min="12" max="12" width="60.21875" bestFit="1" customWidth="1"/>
    <col min="13" max="13" width="8.77734375" customWidth="1"/>
  </cols>
  <sheetData>
    <row r="1" spans="1:8" ht="21">
      <c r="A1" s="18" t="s">
        <v>40</v>
      </c>
      <c r="B1" s="19"/>
    </row>
    <row r="2" spans="1:8" ht="14.4">
      <c r="A2" s="20"/>
      <c r="B2" s="21"/>
      <c r="C2" s="21"/>
      <c r="D2" s="22"/>
      <c r="E2" s="21"/>
      <c r="F2" s="21"/>
      <c r="G2" s="21"/>
      <c r="H2" s="21"/>
    </row>
    <row r="3" spans="1:8" ht="14.4">
      <c r="A3" s="20"/>
      <c r="B3" s="21"/>
      <c r="C3" s="21"/>
      <c r="D3" s="22"/>
      <c r="E3" s="21"/>
      <c r="F3" s="21"/>
      <c r="G3" s="21"/>
      <c r="H3" s="21"/>
    </row>
    <row r="4" spans="1:8" ht="14.4">
      <c r="A4" s="23" t="s">
        <v>41</v>
      </c>
      <c r="B4" s="23" t="s">
        <v>42</v>
      </c>
      <c r="C4" s="23" t="s">
        <v>43</v>
      </c>
      <c r="D4" s="23" t="s">
        <v>44</v>
      </c>
      <c r="E4" s="23" t="s">
        <v>45</v>
      </c>
      <c r="F4" s="23" t="s">
        <v>46</v>
      </c>
      <c r="G4" s="23" t="s">
        <v>47</v>
      </c>
      <c r="H4" s="23" t="s">
        <v>48</v>
      </c>
    </row>
    <row r="5" spans="1:8" ht="28.8">
      <c r="A5" s="24" t="s">
        <v>49</v>
      </c>
      <c r="B5" s="24" t="s">
        <v>50</v>
      </c>
      <c r="C5" s="24" t="s">
        <v>51</v>
      </c>
      <c r="D5" s="24" t="s">
        <v>44</v>
      </c>
      <c r="E5" s="24" t="s">
        <v>52</v>
      </c>
      <c r="F5" s="24" t="s">
        <v>53</v>
      </c>
      <c r="G5" s="24" t="s">
        <v>54</v>
      </c>
      <c r="H5" s="24" t="s">
        <v>55</v>
      </c>
    </row>
    <row r="6" spans="1:8">
      <c r="A6" s="21" t="s">
        <v>58</v>
      </c>
      <c r="B6" s="48" t="s">
        <v>59</v>
      </c>
      <c r="C6" s="48" t="s">
        <v>196</v>
      </c>
      <c r="D6" s="21" t="s">
        <v>60</v>
      </c>
      <c r="E6" s="21"/>
      <c r="F6" s="21"/>
      <c r="G6" s="21"/>
      <c r="H6" s="21"/>
    </row>
    <row r="7" spans="1:8">
      <c r="A7" s="21"/>
      <c r="B7" s="48" t="s">
        <v>61</v>
      </c>
      <c r="C7" s="48" t="s">
        <v>197</v>
      </c>
      <c r="D7" s="21" t="s">
        <v>60</v>
      </c>
      <c r="E7" s="21"/>
      <c r="F7" s="21"/>
      <c r="G7" s="21"/>
      <c r="H7" s="21"/>
    </row>
    <row r="8" spans="1:8">
      <c r="B8" s="48" t="s">
        <v>62</v>
      </c>
      <c r="C8" s="48" t="s">
        <v>198</v>
      </c>
      <c r="D8" s="21" t="s">
        <v>60</v>
      </c>
      <c r="E8" s="21"/>
      <c r="F8" s="21"/>
      <c r="G8" s="21"/>
      <c r="H8" s="21"/>
    </row>
    <row r="9" spans="1:8">
      <c r="A9" s="21"/>
      <c r="B9" s="48" t="s">
        <v>63</v>
      </c>
      <c r="C9" s="48" t="s">
        <v>199</v>
      </c>
      <c r="D9" s="21" t="s">
        <v>60</v>
      </c>
      <c r="E9" s="21"/>
      <c r="F9" s="21"/>
      <c r="G9" s="21"/>
      <c r="H9" s="21"/>
    </row>
    <row r="10" spans="1:8">
      <c r="A10" s="21"/>
      <c r="B10" s="48" t="s">
        <v>65</v>
      </c>
      <c r="C10" s="48" t="s">
        <v>200</v>
      </c>
      <c r="D10" s="21" t="s">
        <v>60</v>
      </c>
      <c r="E10" s="21"/>
      <c r="F10" s="21"/>
      <c r="G10" s="21"/>
      <c r="H10" s="21"/>
    </row>
    <row r="11" spans="1:8">
      <c r="A11" s="21"/>
      <c r="B11" s="48" t="s">
        <v>66</v>
      </c>
      <c r="C11" s="48" t="s">
        <v>201</v>
      </c>
      <c r="D11" s="21" t="s">
        <v>60</v>
      </c>
      <c r="E11" s="21"/>
      <c r="F11" s="21"/>
      <c r="G11" s="21"/>
      <c r="H11" s="21"/>
    </row>
    <row r="12" spans="1:8">
      <c r="A12" s="21"/>
      <c r="B12" s="48" t="s">
        <v>379</v>
      </c>
      <c r="C12" s="48" t="s">
        <v>510</v>
      </c>
      <c r="D12" s="21" t="s">
        <v>60</v>
      </c>
      <c r="E12" s="21"/>
      <c r="F12" s="21"/>
      <c r="G12" s="21"/>
      <c r="H12" s="21"/>
    </row>
    <row r="13" spans="1:8">
      <c r="A13" s="21"/>
      <c r="B13" s="48" t="s">
        <v>67</v>
      </c>
      <c r="C13" s="48" t="s">
        <v>202</v>
      </c>
      <c r="D13" s="21" t="s">
        <v>60</v>
      </c>
      <c r="E13" s="21"/>
      <c r="F13" s="21"/>
      <c r="G13" s="21"/>
      <c r="H13" s="21"/>
    </row>
    <row r="14" spans="1:8">
      <c r="A14" s="21"/>
      <c r="B14" s="99" t="s">
        <v>508</v>
      </c>
      <c r="C14" s="99" t="s">
        <v>509</v>
      </c>
      <c r="D14" s="99" t="s">
        <v>60</v>
      </c>
      <c r="E14" s="21"/>
      <c r="F14" s="21"/>
      <c r="G14" s="21"/>
      <c r="H14" s="21"/>
    </row>
    <row r="15" spans="1:8">
      <c r="A15" s="21"/>
      <c r="B15" s="48" t="s">
        <v>69</v>
      </c>
      <c r="C15" s="48" t="s">
        <v>203</v>
      </c>
      <c r="D15" s="21" t="s">
        <v>60</v>
      </c>
      <c r="E15" s="21"/>
      <c r="F15" s="21"/>
      <c r="G15" s="21"/>
      <c r="H15" s="21"/>
    </row>
    <row r="16" spans="1:8">
      <c r="A16" s="21"/>
      <c r="B16" s="48" t="s">
        <v>39</v>
      </c>
      <c r="C16" s="48" t="s">
        <v>204</v>
      </c>
      <c r="D16" s="21" t="s">
        <v>60</v>
      </c>
      <c r="E16" s="21"/>
      <c r="F16" s="21" t="s">
        <v>70</v>
      </c>
      <c r="G16" s="21"/>
      <c r="H16" s="21" t="s">
        <v>71</v>
      </c>
    </row>
    <row r="17" spans="1:9">
      <c r="B17" s="48" t="s">
        <v>120</v>
      </c>
      <c r="C17" s="48" t="s">
        <v>205</v>
      </c>
      <c r="D17" s="21" t="s">
        <v>60</v>
      </c>
      <c r="E17" s="21"/>
      <c r="F17" s="21"/>
    </row>
    <row r="18" spans="1:9">
      <c r="B18" s="48" t="s">
        <v>387</v>
      </c>
      <c r="C18" s="48" t="s">
        <v>206</v>
      </c>
      <c r="D18" s="21" t="s">
        <v>60</v>
      </c>
      <c r="E18" s="21"/>
      <c r="F18" s="21"/>
    </row>
    <row r="19" spans="1:9">
      <c r="A19" s="28"/>
      <c r="B19" s="57" t="s">
        <v>72</v>
      </c>
      <c r="C19" s="57" t="s">
        <v>207</v>
      </c>
      <c r="D19" s="28" t="s">
        <v>60</v>
      </c>
      <c r="E19" s="28"/>
      <c r="F19" s="28"/>
      <c r="G19" s="28"/>
      <c r="H19" s="28"/>
    </row>
    <row r="20" spans="1:9">
      <c r="A20" s="21" t="s">
        <v>73</v>
      </c>
      <c r="B20" s="21" t="s">
        <v>187</v>
      </c>
      <c r="C20" s="9" t="s">
        <v>188</v>
      </c>
      <c r="D20" t="s">
        <v>183</v>
      </c>
      <c r="E20" s="21"/>
      <c r="F20" s="21"/>
      <c r="G20" s="21"/>
      <c r="H20" s="21"/>
    </row>
    <row r="21" spans="1:9">
      <c r="A21" s="21"/>
      <c r="B21" s="21" t="s">
        <v>189</v>
      </c>
      <c r="C21" s="9" t="s">
        <v>190</v>
      </c>
      <c r="D21" t="s">
        <v>183</v>
      </c>
      <c r="E21" s="21"/>
      <c r="F21" s="21"/>
      <c r="G21" s="21"/>
      <c r="H21" s="21"/>
      <c r="I21" s="21"/>
    </row>
    <row r="22" spans="1:9">
      <c r="A22" s="21"/>
      <c r="B22" s="21" t="s">
        <v>191</v>
      </c>
      <c r="C22" s="9" t="s">
        <v>192</v>
      </c>
      <c r="D22" t="s">
        <v>183</v>
      </c>
      <c r="E22" s="21"/>
      <c r="F22" s="21"/>
      <c r="G22" s="21"/>
      <c r="H22" s="21"/>
      <c r="I22" s="21"/>
    </row>
    <row r="23" spans="1:9">
      <c r="B23" s="21" t="s">
        <v>353</v>
      </c>
      <c r="C23" s="21" t="s">
        <v>74</v>
      </c>
      <c r="D23" t="s">
        <v>193</v>
      </c>
      <c r="E23" s="21"/>
      <c r="F23" s="21"/>
      <c r="G23" s="21"/>
      <c r="H23" s="21"/>
      <c r="I23" s="21"/>
    </row>
    <row r="24" spans="1:9">
      <c r="B24" s="21" t="s">
        <v>76</v>
      </c>
      <c r="C24" s="21" t="s">
        <v>77</v>
      </c>
      <c r="D24" t="s">
        <v>60</v>
      </c>
      <c r="E24" s="21"/>
      <c r="F24" s="21"/>
      <c r="G24" s="21"/>
      <c r="H24" s="21"/>
    </row>
    <row r="25" spans="1:9">
      <c r="B25" t="s">
        <v>78</v>
      </c>
      <c r="C25" t="s">
        <v>79</v>
      </c>
      <c r="D25" t="s">
        <v>60</v>
      </c>
      <c r="E25" s="21"/>
      <c r="F25" s="21"/>
      <c r="G25" s="21"/>
      <c r="H25" s="21"/>
    </row>
    <row r="26" spans="1:9">
      <c r="B26" t="s">
        <v>80</v>
      </c>
      <c r="C26" t="s">
        <v>81</v>
      </c>
      <c r="D26" t="s">
        <v>60</v>
      </c>
      <c r="E26" s="21"/>
      <c r="F26" s="21"/>
      <c r="G26" s="21"/>
      <c r="H26" s="21"/>
    </row>
    <row r="27" spans="1:9">
      <c r="B27" t="s">
        <v>82</v>
      </c>
      <c r="C27" t="s">
        <v>83</v>
      </c>
      <c r="D27" t="s">
        <v>60</v>
      </c>
      <c r="E27" s="21"/>
      <c r="F27" s="21"/>
      <c r="G27" s="21"/>
      <c r="H27" s="21"/>
    </row>
    <row r="28" spans="1:9">
      <c r="A28" s="28"/>
      <c r="B28" s="28" t="s">
        <v>84</v>
      </c>
      <c r="C28" s="28" t="s">
        <v>85</v>
      </c>
      <c r="D28" s="28" t="s">
        <v>60</v>
      </c>
      <c r="E28" s="27"/>
      <c r="F28" s="27"/>
      <c r="G28" s="27"/>
      <c r="H28" s="27"/>
    </row>
    <row r="29" spans="1:9" ht="14.4">
      <c r="A29" t="s">
        <v>86</v>
      </c>
      <c r="B29" s="29" t="s">
        <v>87</v>
      </c>
      <c r="C29" s="21" t="s">
        <v>88</v>
      </c>
      <c r="D29" t="s">
        <v>89</v>
      </c>
      <c r="E29" s="21"/>
      <c r="F29" s="21"/>
      <c r="G29" s="21"/>
      <c r="H29" s="21"/>
    </row>
    <row r="30" spans="1:9" ht="14.4">
      <c r="B30" s="29" t="s">
        <v>90</v>
      </c>
      <c r="C30" s="21" t="s">
        <v>91</v>
      </c>
      <c r="D30" t="s">
        <v>89</v>
      </c>
      <c r="E30" s="21"/>
      <c r="F30" s="21"/>
      <c r="G30" s="21"/>
      <c r="H30" s="21"/>
    </row>
    <row r="31" spans="1:9" ht="14.4">
      <c r="B31" s="29" t="s">
        <v>92</v>
      </c>
      <c r="C31" s="21" t="s">
        <v>93</v>
      </c>
      <c r="D31" t="s">
        <v>89</v>
      </c>
      <c r="E31" s="21"/>
      <c r="F31" s="21"/>
      <c r="G31" s="21"/>
      <c r="H31" s="21"/>
    </row>
    <row r="32" spans="1:9" ht="14.4">
      <c r="B32" s="29" t="s">
        <v>94</v>
      </c>
      <c r="C32" s="21" t="s">
        <v>95</v>
      </c>
      <c r="D32" t="s">
        <v>89</v>
      </c>
      <c r="E32" s="21"/>
      <c r="F32" s="21"/>
      <c r="G32" s="21"/>
      <c r="H32" s="21"/>
    </row>
    <row r="33" spans="1:8">
      <c r="B33" s="21" t="s">
        <v>96</v>
      </c>
      <c r="C33" s="21" t="s">
        <v>97</v>
      </c>
      <c r="D33" t="s">
        <v>89</v>
      </c>
      <c r="E33" s="21"/>
      <c r="F33" s="21"/>
      <c r="G33" s="21"/>
      <c r="H33" s="21"/>
    </row>
    <row r="34" spans="1:8" ht="13.8" thickBot="1">
      <c r="A34" s="30"/>
      <c r="B34" s="31" t="s">
        <v>98</v>
      </c>
      <c r="C34" s="31" t="s">
        <v>99</v>
      </c>
      <c r="D34" s="30" t="s">
        <v>89</v>
      </c>
      <c r="E34" s="31"/>
      <c r="F34" s="31"/>
      <c r="G34" s="31"/>
      <c r="H34" s="31"/>
    </row>
    <row r="35" spans="1:8" ht="14.4">
      <c r="B35" s="155" t="s">
        <v>513</v>
      </c>
      <c r="C35" s="155" t="s">
        <v>514</v>
      </c>
      <c r="E35" s="21"/>
      <c r="F35" s="21"/>
      <c r="G35" s="21"/>
      <c r="H35" s="21"/>
    </row>
    <row r="36" spans="1:8" ht="14.4">
      <c r="B36" s="155" t="s">
        <v>515</v>
      </c>
      <c r="C36" s="155" t="s">
        <v>516</v>
      </c>
      <c r="E36" s="21"/>
      <c r="F36" s="21"/>
      <c r="G36" s="21"/>
      <c r="H36" s="21"/>
    </row>
    <row r="37" spans="1:8" ht="14.4">
      <c r="B37" s="155" t="s">
        <v>517</v>
      </c>
      <c r="C37" s="155" t="s">
        <v>518</v>
      </c>
      <c r="E37" s="21"/>
      <c r="F37" s="21"/>
      <c r="G37" s="21"/>
      <c r="H37" s="21"/>
    </row>
    <row r="38" spans="1:8" ht="14.4">
      <c r="B38" s="155" t="s">
        <v>519</v>
      </c>
      <c r="C38" s="155" t="s">
        <v>520</v>
      </c>
      <c r="E38" s="21"/>
      <c r="F38" s="21"/>
      <c r="G38" s="21"/>
      <c r="H38" s="21"/>
    </row>
    <row r="39" spans="1:8" ht="14.4">
      <c r="A39" s="28"/>
      <c r="B39" s="154" t="s">
        <v>521</v>
      </c>
      <c r="C39" s="154" t="s">
        <v>522</v>
      </c>
      <c r="D39" s="28"/>
      <c r="E39" s="27"/>
      <c r="F39" s="27"/>
      <c r="G39" s="27"/>
      <c r="H39" s="27"/>
    </row>
    <row r="40" spans="1:8">
      <c r="B40" s="21"/>
      <c r="C40" s="21"/>
      <c r="E40" s="21"/>
      <c r="F40" s="21"/>
      <c r="G40" s="21"/>
      <c r="H40" s="21"/>
    </row>
    <row r="41" spans="1:8">
      <c r="B41" s="21"/>
      <c r="C41" s="21"/>
      <c r="E41" s="21"/>
      <c r="F41" s="21"/>
      <c r="G41" s="21"/>
      <c r="H41" s="21"/>
    </row>
    <row r="42" spans="1:8">
      <c r="B42" s="21"/>
      <c r="C42" s="21"/>
      <c r="E42" s="21"/>
      <c r="F42" s="21"/>
      <c r="G42" s="21"/>
      <c r="H42" s="21"/>
    </row>
    <row r="43" spans="1:8">
      <c r="B43" s="21"/>
      <c r="C43" s="21"/>
      <c r="D43" s="21"/>
      <c r="E43" s="21"/>
      <c r="F43" s="21"/>
      <c r="G43" s="21"/>
      <c r="H43" s="21"/>
    </row>
    <row r="44" spans="1:8">
      <c r="B44" s="21"/>
      <c r="C44" s="21"/>
      <c r="E44" s="21"/>
      <c r="F44" s="21"/>
      <c r="G44" s="21"/>
      <c r="H44" s="21"/>
    </row>
    <row r="47" spans="1:8" ht="21">
      <c r="B47" s="163" t="s">
        <v>100</v>
      </c>
      <c r="C47" s="163"/>
    </row>
    <row r="48" spans="1:8" ht="15" thickBot="1">
      <c r="B48" s="25" t="s">
        <v>56</v>
      </c>
      <c r="C48" s="25" t="s">
        <v>57</v>
      </c>
    </row>
    <row r="49" spans="2:9" ht="13.8" thickBot="1">
      <c r="B49" s="49" t="s">
        <v>208</v>
      </c>
      <c r="C49" s="50"/>
    </row>
    <row r="50" spans="2:9">
      <c r="B50" s="51" t="s">
        <v>209</v>
      </c>
      <c r="C50" s="51"/>
    </row>
    <row r="51" spans="2:9">
      <c r="B51" s="52" t="s">
        <v>210</v>
      </c>
      <c r="C51" s="52" t="s">
        <v>211</v>
      </c>
    </row>
    <row r="52" spans="2:9">
      <c r="B52" s="52" t="s">
        <v>212</v>
      </c>
      <c r="C52" s="52" t="s">
        <v>213</v>
      </c>
    </row>
    <row r="53" spans="2:9">
      <c r="B53" s="51" t="s">
        <v>68</v>
      </c>
      <c r="C53" s="51"/>
    </row>
    <row r="54" spans="2:9">
      <c r="B54" s="52" t="s">
        <v>214</v>
      </c>
      <c r="C54" s="52" t="s">
        <v>215</v>
      </c>
      <c r="I54" s="21"/>
    </row>
    <row r="55" spans="2:9">
      <c r="B55" s="52" t="s">
        <v>216</v>
      </c>
      <c r="C55" s="52" t="s">
        <v>217</v>
      </c>
      <c r="I55" s="21"/>
    </row>
    <row r="56" spans="2:9">
      <c r="B56" s="52" t="s">
        <v>218</v>
      </c>
      <c r="C56" s="52" t="s">
        <v>219</v>
      </c>
    </row>
    <row r="57" spans="2:9">
      <c r="B57" s="52" t="s">
        <v>220</v>
      </c>
      <c r="C57" s="52" t="s">
        <v>221</v>
      </c>
    </row>
    <row r="58" spans="2:9">
      <c r="B58" s="52" t="s">
        <v>222</v>
      </c>
      <c r="C58" s="52" t="s">
        <v>223</v>
      </c>
    </row>
    <row r="59" spans="2:9">
      <c r="B59" s="52" t="s">
        <v>224</v>
      </c>
      <c r="C59" s="52" t="s">
        <v>225</v>
      </c>
    </row>
    <row r="60" spans="2:9">
      <c r="B60" s="52" t="s">
        <v>226</v>
      </c>
      <c r="C60" s="52" t="s">
        <v>227</v>
      </c>
    </row>
    <row r="61" spans="2:9">
      <c r="B61" s="52" t="s">
        <v>228</v>
      </c>
      <c r="C61" s="52" t="s">
        <v>229</v>
      </c>
    </row>
    <row r="62" spans="2:9">
      <c r="B62" s="52" t="s">
        <v>230</v>
      </c>
      <c r="C62" s="52" t="s">
        <v>231</v>
      </c>
    </row>
    <row r="63" spans="2:9">
      <c r="B63" s="52" t="s">
        <v>232</v>
      </c>
      <c r="C63" s="52" t="s">
        <v>233</v>
      </c>
    </row>
    <row r="64" spans="2:9">
      <c r="B64" s="52" t="s">
        <v>234</v>
      </c>
      <c r="C64" s="52" t="s">
        <v>235</v>
      </c>
    </row>
    <row r="65" spans="2:3">
      <c r="B65" s="52" t="s">
        <v>236</v>
      </c>
      <c r="C65" s="52" t="s">
        <v>237</v>
      </c>
    </row>
    <row r="66" spans="2:3">
      <c r="B66" s="52" t="s">
        <v>238</v>
      </c>
      <c r="C66" s="52" t="s">
        <v>239</v>
      </c>
    </row>
    <row r="67" spans="2:3">
      <c r="B67" s="52" t="s">
        <v>240</v>
      </c>
      <c r="C67" s="52" t="s">
        <v>241</v>
      </c>
    </row>
    <row r="68" spans="2:3">
      <c r="B68" s="52" t="s">
        <v>242</v>
      </c>
      <c r="C68" s="52" t="s">
        <v>243</v>
      </c>
    </row>
    <row r="69" spans="2:3">
      <c r="B69" s="52" t="s">
        <v>355</v>
      </c>
      <c r="C69" s="52" t="s">
        <v>244</v>
      </c>
    </row>
    <row r="70" spans="2:3">
      <c r="B70" s="52" t="s">
        <v>356</v>
      </c>
      <c r="C70" s="52" t="s">
        <v>245</v>
      </c>
    </row>
    <row r="71" spans="2:3">
      <c r="B71" s="52" t="s">
        <v>246</v>
      </c>
      <c r="C71" s="52" t="s">
        <v>247</v>
      </c>
    </row>
    <row r="72" spans="2:3">
      <c r="B72" s="52" t="s">
        <v>248</v>
      </c>
      <c r="C72" s="52" t="s">
        <v>249</v>
      </c>
    </row>
    <row r="73" spans="2:3">
      <c r="B73" s="51" t="s">
        <v>250</v>
      </c>
      <c r="C73" s="51"/>
    </row>
    <row r="74" spans="2:3">
      <c r="B74" s="52" t="s">
        <v>251</v>
      </c>
      <c r="C74" s="52" t="s">
        <v>252</v>
      </c>
    </row>
    <row r="75" spans="2:3">
      <c r="B75" s="52" t="s">
        <v>327</v>
      </c>
      <c r="C75" s="52" t="s">
        <v>253</v>
      </c>
    </row>
    <row r="76" spans="2:3">
      <c r="B76" s="52" t="s">
        <v>313</v>
      </c>
      <c r="C76" s="52" t="s">
        <v>254</v>
      </c>
    </row>
    <row r="77" spans="2:3">
      <c r="B77" s="52" t="s">
        <v>314</v>
      </c>
      <c r="C77" s="52" t="s">
        <v>255</v>
      </c>
    </row>
    <row r="78" spans="2:3">
      <c r="B78" s="52" t="s">
        <v>315</v>
      </c>
      <c r="C78" s="52" t="s">
        <v>256</v>
      </c>
    </row>
    <row r="79" spans="2:3">
      <c r="B79" s="52" t="s">
        <v>316</v>
      </c>
      <c r="C79" s="52" t="s">
        <v>257</v>
      </c>
    </row>
    <row r="80" spans="2:3">
      <c r="B80" s="52" t="s">
        <v>317</v>
      </c>
      <c r="C80" s="52" t="s">
        <v>258</v>
      </c>
    </row>
    <row r="81" spans="2:3">
      <c r="B81" s="52" t="s">
        <v>318</v>
      </c>
      <c r="C81" s="52" t="s">
        <v>259</v>
      </c>
    </row>
    <row r="82" spans="2:3">
      <c r="B82" s="52" t="s">
        <v>319</v>
      </c>
      <c r="C82" s="52" t="s">
        <v>260</v>
      </c>
    </row>
    <row r="83" spans="2:3">
      <c r="B83" s="52" t="s">
        <v>320</v>
      </c>
      <c r="C83" s="52" t="s">
        <v>261</v>
      </c>
    </row>
    <row r="84" spans="2:3">
      <c r="B84" s="52" t="s">
        <v>321</v>
      </c>
      <c r="C84" s="52" t="s">
        <v>262</v>
      </c>
    </row>
    <row r="85" spans="2:3">
      <c r="B85" s="52" t="s">
        <v>322</v>
      </c>
      <c r="C85" s="52" t="s">
        <v>263</v>
      </c>
    </row>
    <row r="86" spans="2:3">
      <c r="B86" s="52" t="s">
        <v>323</v>
      </c>
      <c r="C86" s="52" t="s">
        <v>264</v>
      </c>
    </row>
    <row r="87" spans="2:3">
      <c r="B87" s="52" t="s">
        <v>324</v>
      </c>
      <c r="C87" s="52" t="s">
        <v>265</v>
      </c>
    </row>
    <row r="88" spans="2:3">
      <c r="B88" s="52" t="s">
        <v>357</v>
      </c>
      <c r="C88" s="52" t="s">
        <v>266</v>
      </c>
    </row>
    <row r="89" spans="2:3">
      <c r="B89" s="52" t="s">
        <v>358</v>
      </c>
      <c r="C89" s="52" t="s">
        <v>267</v>
      </c>
    </row>
    <row r="90" spans="2:3">
      <c r="B90" s="52" t="s">
        <v>359</v>
      </c>
      <c r="C90" s="52" t="s">
        <v>268</v>
      </c>
    </row>
    <row r="91" spans="2:3">
      <c r="B91" s="52" t="s">
        <v>325</v>
      </c>
      <c r="C91" s="52" t="s">
        <v>269</v>
      </c>
    </row>
    <row r="92" spans="2:3">
      <c r="B92" s="52" t="s">
        <v>326</v>
      </c>
      <c r="C92" s="52" t="s">
        <v>270</v>
      </c>
    </row>
    <row r="93" spans="2:3">
      <c r="B93" s="51" t="s">
        <v>271</v>
      </c>
      <c r="C93" s="51"/>
    </row>
    <row r="94" spans="2:3">
      <c r="B94" s="52" t="s">
        <v>272</v>
      </c>
      <c r="C94" s="52" t="s">
        <v>273</v>
      </c>
    </row>
    <row r="95" spans="2:3">
      <c r="B95" s="52" t="s">
        <v>274</v>
      </c>
      <c r="C95" s="52" t="s">
        <v>275</v>
      </c>
    </row>
    <row r="96" spans="2:3">
      <c r="B96" s="52" t="s">
        <v>276</v>
      </c>
      <c r="C96" s="52" t="s">
        <v>277</v>
      </c>
    </row>
    <row r="97" spans="2:3">
      <c r="B97" s="52" t="s">
        <v>278</v>
      </c>
      <c r="C97" s="52" t="s">
        <v>279</v>
      </c>
    </row>
    <row r="98" spans="2:3">
      <c r="B98" s="52" t="s">
        <v>280</v>
      </c>
      <c r="C98" s="52" t="s">
        <v>281</v>
      </c>
    </row>
    <row r="99" spans="2:3">
      <c r="B99" s="51" t="s">
        <v>282</v>
      </c>
      <c r="C99" s="51"/>
    </row>
    <row r="100" spans="2:3">
      <c r="B100" s="52" t="s">
        <v>360</v>
      </c>
      <c r="C100" s="52" t="s">
        <v>283</v>
      </c>
    </row>
    <row r="101" spans="2:3">
      <c r="B101" s="52" t="s">
        <v>361</v>
      </c>
      <c r="C101" s="52" t="s">
        <v>284</v>
      </c>
    </row>
    <row r="102" spans="2:3">
      <c r="B102" s="52" t="s">
        <v>285</v>
      </c>
      <c r="C102" s="52" t="s">
        <v>286</v>
      </c>
    </row>
    <row r="103" spans="2:3">
      <c r="B103" s="53" t="s">
        <v>75</v>
      </c>
      <c r="C103" s="54"/>
    </row>
    <row r="104" spans="2:3">
      <c r="B104" s="51" t="s">
        <v>287</v>
      </c>
      <c r="C104" s="51"/>
    </row>
    <row r="105" spans="2:3">
      <c r="B105" s="52" t="s">
        <v>288</v>
      </c>
      <c r="C105" s="52" t="s">
        <v>289</v>
      </c>
    </row>
    <row r="106" spans="2:3">
      <c r="B106" s="52" t="s">
        <v>290</v>
      </c>
      <c r="C106" s="52" t="s">
        <v>291</v>
      </c>
    </row>
    <row r="107" spans="2:3">
      <c r="B107" s="52" t="s">
        <v>292</v>
      </c>
      <c r="C107" s="52" t="s">
        <v>293</v>
      </c>
    </row>
    <row r="108" spans="2:3">
      <c r="B108" s="52" t="s">
        <v>381</v>
      </c>
      <c r="C108" s="52" t="s">
        <v>294</v>
      </c>
    </row>
    <row r="109" spans="2:3">
      <c r="B109" s="52" t="s">
        <v>295</v>
      </c>
      <c r="C109" s="52" t="s">
        <v>296</v>
      </c>
    </row>
    <row r="110" spans="2:3">
      <c r="B110" s="52" t="s">
        <v>297</v>
      </c>
      <c r="C110" s="52" t="s">
        <v>298</v>
      </c>
    </row>
    <row r="111" spans="2:3">
      <c r="B111" s="52" t="s">
        <v>299</v>
      </c>
      <c r="C111" s="52" t="s">
        <v>300</v>
      </c>
    </row>
    <row r="112" spans="2:3">
      <c r="B112" s="51" t="s">
        <v>329</v>
      </c>
      <c r="C112" s="51"/>
    </row>
    <row r="113" spans="2:10">
      <c r="B113" s="52" t="s">
        <v>346</v>
      </c>
      <c r="C113" s="52" t="s">
        <v>330</v>
      </c>
    </row>
    <row r="114" spans="2:10">
      <c r="B114" s="52" t="s">
        <v>347</v>
      </c>
      <c r="C114" s="52" t="s">
        <v>331</v>
      </c>
      <c r="J114" s="21"/>
    </row>
    <row r="115" spans="2:10">
      <c r="B115" s="52" t="s">
        <v>348</v>
      </c>
      <c r="C115" s="52" t="s">
        <v>343</v>
      </c>
      <c r="J115" s="21"/>
    </row>
    <row r="116" spans="2:10">
      <c r="B116" s="52" t="s">
        <v>349</v>
      </c>
      <c r="C116" s="52" t="s">
        <v>332</v>
      </c>
      <c r="J116" s="21"/>
    </row>
    <row r="117" spans="2:10">
      <c r="B117" s="52" t="s">
        <v>350</v>
      </c>
      <c r="C117" s="52" t="s">
        <v>344</v>
      </c>
      <c r="J117" s="21"/>
    </row>
    <row r="118" spans="2:10">
      <c r="B118" s="52" t="s">
        <v>351</v>
      </c>
      <c r="C118" s="52" t="s">
        <v>345</v>
      </c>
      <c r="J118" s="21"/>
    </row>
    <row r="119" spans="2:10">
      <c r="B119" s="52" t="s">
        <v>352</v>
      </c>
      <c r="C119" s="52" t="s">
        <v>333</v>
      </c>
      <c r="J119" s="21"/>
    </row>
    <row r="120" spans="2:10">
      <c r="B120" s="51" t="s">
        <v>301</v>
      </c>
      <c r="C120" s="51"/>
      <c r="J120" s="21"/>
    </row>
    <row r="121" spans="2:10">
      <c r="B121" s="52" t="s">
        <v>334</v>
      </c>
      <c r="C121" s="52" t="s">
        <v>302</v>
      </c>
      <c r="J121" s="21"/>
    </row>
    <row r="122" spans="2:10">
      <c r="B122" s="52" t="s">
        <v>335</v>
      </c>
      <c r="C122" s="52" t="s">
        <v>303</v>
      </c>
      <c r="J122" s="21"/>
    </row>
    <row r="123" spans="2:10">
      <c r="B123" s="52" t="s">
        <v>336</v>
      </c>
      <c r="C123" s="52" t="s">
        <v>304</v>
      </c>
      <c r="J123" s="21"/>
    </row>
    <row r="124" spans="2:10">
      <c r="B124" s="52" t="s">
        <v>337</v>
      </c>
      <c r="C124" s="52" t="s">
        <v>305</v>
      </c>
      <c r="J124" s="21"/>
    </row>
    <row r="125" spans="2:10">
      <c r="B125" s="52" t="s">
        <v>338</v>
      </c>
      <c r="C125" s="52" t="s">
        <v>306</v>
      </c>
      <c r="J125" s="21"/>
    </row>
    <row r="126" spans="2:10">
      <c r="B126" s="52" t="s">
        <v>339</v>
      </c>
      <c r="C126" s="52" t="s">
        <v>307</v>
      </c>
      <c r="J126" s="21"/>
    </row>
    <row r="127" spans="2:10">
      <c r="B127" s="52" t="s">
        <v>340</v>
      </c>
      <c r="C127" s="52" t="s">
        <v>308</v>
      </c>
      <c r="J127" s="21"/>
    </row>
    <row r="128" spans="2:10">
      <c r="B128" s="51" t="s">
        <v>309</v>
      </c>
      <c r="C128" s="51"/>
      <c r="J128" s="21"/>
    </row>
    <row r="129" spans="2:3">
      <c r="B129" s="52" t="s">
        <v>341</v>
      </c>
      <c r="C129" s="52" t="s">
        <v>310</v>
      </c>
    </row>
    <row r="130" spans="2:3">
      <c r="B130" s="52" t="s">
        <v>362</v>
      </c>
      <c r="C130" s="52" t="s">
        <v>311</v>
      </c>
    </row>
    <row r="131" spans="2:3">
      <c r="B131" s="52" t="s">
        <v>342</v>
      </c>
      <c r="C131" s="52" t="s">
        <v>312</v>
      </c>
    </row>
    <row r="132" spans="2:3">
      <c r="B132" s="53" t="s">
        <v>364</v>
      </c>
      <c r="C132" s="54"/>
    </row>
    <row r="133" spans="2:3">
      <c r="B133" s="51" t="s">
        <v>368</v>
      </c>
      <c r="C133" s="51"/>
    </row>
    <row r="134" spans="2:3">
      <c r="B134" s="52" t="s">
        <v>376</v>
      </c>
      <c r="C134" s="52" t="s">
        <v>365</v>
      </c>
    </row>
    <row r="135" spans="2:3">
      <c r="B135" s="52" t="s">
        <v>374</v>
      </c>
      <c r="C135" s="52" t="s">
        <v>366</v>
      </c>
    </row>
    <row r="136" spans="2:3">
      <c r="B136" s="52" t="s">
        <v>375</v>
      </c>
      <c r="C136" s="52" t="s">
        <v>367</v>
      </c>
    </row>
    <row r="137" spans="2:3">
      <c r="B137" s="51" t="s">
        <v>370</v>
      </c>
      <c r="C137" s="51"/>
    </row>
    <row r="138" spans="2:3">
      <c r="B138" t="s">
        <v>377</v>
      </c>
      <c r="C138" t="s">
        <v>371</v>
      </c>
    </row>
    <row r="139" spans="2:3">
      <c r="B139" t="s">
        <v>378</v>
      </c>
      <c r="C139" t="s">
        <v>372</v>
      </c>
    </row>
    <row r="140" spans="2:3">
      <c r="B140" s="97" t="s">
        <v>445</v>
      </c>
      <c r="C140" s="97" t="s">
        <v>446</v>
      </c>
    </row>
    <row r="141" spans="2:3">
      <c r="B141" s="97" t="s">
        <v>447</v>
      </c>
      <c r="C141" s="97" t="s">
        <v>449</v>
      </c>
    </row>
    <row r="142" spans="2:3">
      <c r="B142" s="97" t="s">
        <v>448</v>
      </c>
      <c r="C142" s="97" t="s">
        <v>450</v>
      </c>
    </row>
    <row r="143" spans="2:3">
      <c r="B143" s="97" t="s">
        <v>451</v>
      </c>
      <c r="C143" s="97" t="s">
        <v>454</v>
      </c>
    </row>
    <row r="144" spans="2:3">
      <c r="B144" s="97" t="s">
        <v>452</v>
      </c>
      <c r="C144" s="97" t="s">
        <v>455</v>
      </c>
    </row>
    <row r="145" spans="2:3">
      <c r="B145" s="97" t="s">
        <v>453</v>
      </c>
      <c r="C145" s="97" t="s">
        <v>456</v>
      </c>
    </row>
    <row r="146" spans="2:3">
      <c r="B146" s="97" t="s">
        <v>457</v>
      </c>
      <c r="C146" s="97" t="s">
        <v>460</v>
      </c>
    </row>
    <row r="147" spans="2:3">
      <c r="B147" s="97" t="s">
        <v>458</v>
      </c>
      <c r="C147" s="97" t="s">
        <v>461</v>
      </c>
    </row>
    <row r="148" spans="2:3">
      <c r="B148" s="97" t="s">
        <v>459</v>
      </c>
      <c r="C148" s="97" t="s">
        <v>462</v>
      </c>
    </row>
    <row r="149" spans="2:3">
      <c r="B149" s="97" t="s">
        <v>463</v>
      </c>
      <c r="C149" s="97" t="s">
        <v>464</v>
      </c>
    </row>
    <row r="150" spans="2:3">
      <c r="B150" s="97" t="s">
        <v>511</v>
      </c>
      <c r="C150" s="97" t="s">
        <v>512</v>
      </c>
    </row>
    <row r="151" spans="2:3">
      <c r="B151" s="97" t="s">
        <v>465</v>
      </c>
      <c r="C151" s="97" t="s">
        <v>468</v>
      </c>
    </row>
    <row r="152" spans="2:3">
      <c r="B152" s="97" t="s">
        <v>466</v>
      </c>
      <c r="C152" s="97" t="s">
        <v>469</v>
      </c>
    </row>
    <row r="153" spans="2:3">
      <c r="B153" s="97" t="s">
        <v>467</v>
      </c>
      <c r="C153" s="97" t="s">
        <v>470</v>
      </c>
    </row>
  </sheetData>
  <mergeCells count="1">
    <mergeCell ref="B47:C47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Z366"/>
  <sheetViews>
    <sheetView tabSelected="1" topLeftCell="A327" zoomScale="70" zoomScaleNormal="70" workbookViewId="0">
      <selection activeCell="H356" sqref="H356"/>
    </sheetView>
  </sheetViews>
  <sheetFormatPr defaultRowHeight="13.2"/>
  <cols>
    <col min="1" max="1" width="3.21875" customWidth="1"/>
    <col min="2" max="2" width="25.77734375" customWidth="1"/>
    <col min="3" max="3" width="49.77734375" bestFit="1" customWidth="1"/>
    <col min="4" max="4" width="32.6640625" customWidth="1"/>
    <col min="5" max="5" width="19.5546875" customWidth="1"/>
    <col min="6" max="8" width="13.44140625" customWidth="1"/>
    <col min="9" max="11" width="18.21875" customWidth="1"/>
    <col min="12" max="14" width="19.77734375" customWidth="1"/>
    <col min="16" max="16" width="16.21875" customWidth="1"/>
    <col min="17" max="17" width="12.21875" customWidth="1"/>
    <col min="18" max="18" width="15.21875" customWidth="1"/>
    <col min="19" max="19" width="14" customWidth="1"/>
    <col min="20" max="20" width="14.21875" customWidth="1"/>
    <col min="21" max="21" width="14.5546875" customWidth="1"/>
    <col min="22" max="22" width="18.21875" customWidth="1"/>
    <col min="24" max="24" width="11.77734375" customWidth="1"/>
    <col min="25" max="25" width="10.77734375" customWidth="1"/>
    <col min="34" max="34" width="21.77734375" bestFit="1" customWidth="1"/>
    <col min="35" max="35" width="22.21875" bestFit="1" customWidth="1"/>
    <col min="36" max="36" width="10.77734375" customWidth="1"/>
  </cols>
  <sheetData>
    <row r="3" spans="2:13">
      <c r="B3" s="1" t="s">
        <v>7</v>
      </c>
      <c r="C3" s="1"/>
      <c r="D3" s="9"/>
      <c r="E3" s="9"/>
      <c r="F3" s="9"/>
      <c r="G3" s="9"/>
      <c r="H3" s="9"/>
      <c r="I3" s="9"/>
      <c r="J3" s="9"/>
    </row>
    <row r="4" spans="2:13">
      <c r="B4" s="3" t="s">
        <v>6</v>
      </c>
      <c r="C4" s="4" t="s">
        <v>23</v>
      </c>
      <c r="D4" s="3" t="s">
        <v>1</v>
      </c>
      <c r="E4" s="3" t="s">
        <v>2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</row>
    <row r="5" spans="2:13" ht="29.1" customHeight="1" thickBot="1">
      <c r="B5" s="5" t="s">
        <v>24</v>
      </c>
      <c r="C5" s="5" t="s">
        <v>25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26</v>
      </c>
      <c r="I5" s="5" t="s">
        <v>27</v>
      </c>
      <c r="J5" s="5" t="s">
        <v>17</v>
      </c>
    </row>
    <row r="6" spans="2:13" ht="15" customHeight="1">
      <c r="B6" s="26" t="s">
        <v>112</v>
      </c>
      <c r="C6" s="26"/>
      <c r="D6" s="26"/>
      <c r="E6" s="26"/>
      <c r="F6" s="26"/>
      <c r="G6" s="26"/>
      <c r="H6" s="26"/>
      <c r="I6" s="26"/>
      <c r="J6" s="26"/>
    </row>
    <row r="7" spans="2:13">
      <c r="B7" s="2" t="s">
        <v>28</v>
      </c>
      <c r="C7" s="9"/>
      <c r="D7" t="str">
        <f>Commodities!B51</f>
        <v>T-MOT-ICE_GSL01</v>
      </c>
      <c r="E7" t="str">
        <f>Commodities!C51</f>
        <v>TRA Motorcycles: Gasoline ICEs - New</v>
      </c>
      <c r="F7" s="9" t="s">
        <v>183</v>
      </c>
      <c r="G7" s="9" t="s">
        <v>184</v>
      </c>
      <c r="H7" s="9"/>
      <c r="I7" s="9"/>
      <c r="J7" s="9"/>
    </row>
    <row r="8" spans="2:13">
      <c r="B8" s="2" t="s">
        <v>28</v>
      </c>
      <c r="C8" s="9"/>
      <c r="D8" t="str">
        <f>Commodities!B52</f>
        <v>T-MOT-EV_ELC01</v>
      </c>
      <c r="E8" t="str">
        <f>Commodities!C52</f>
        <v>TRA Motorcycles: Electric - New</v>
      </c>
      <c r="F8" s="9" t="s">
        <v>183</v>
      </c>
      <c r="G8" s="9" t="s">
        <v>184</v>
      </c>
      <c r="H8" s="9"/>
      <c r="I8" s="9"/>
      <c r="J8" s="9"/>
    </row>
    <row r="9" spans="2:13" ht="14.4">
      <c r="B9" s="26" t="s">
        <v>113</v>
      </c>
      <c r="C9" s="26"/>
      <c r="D9" s="26"/>
      <c r="E9" s="26"/>
      <c r="F9" s="26"/>
      <c r="G9" s="26"/>
      <c r="H9" s="26"/>
      <c r="I9" s="26"/>
      <c r="J9" s="26"/>
    </row>
    <row r="10" spans="2:13">
      <c r="B10" s="2" t="s">
        <v>28</v>
      </c>
      <c r="D10" t="str">
        <f>Commodities!B54</f>
        <v>T-CAR-ICE_GSL21</v>
      </c>
      <c r="E10" t="str">
        <f>Commodities!C54</f>
        <v>TRA Cars: Gasoline ICEs - New</v>
      </c>
      <c r="F10" s="9" t="s">
        <v>183</v>
      </c>
      <c r="G10" s="9" t="s">
        <v>184</v>
      </c>
      <c r="I10" s="9"/>
    </row>
    <row r="11" spans="2:13">
      <c r="B11" s="2" t="s">
        <v>28</v>
      </c>
      <c r="D11" t="str">
        <f>Commodities!B55</f>
        <v>T-CAR-ICE_DST21</v>
      </c>
      <c r="E11" t="str">
        <f>Commodities!C55</f>
        <v>TRA Cars: Diesel ICEs - New</v>
      </c>
      <c r="F11" s="9" t="s">
        <v>183</v>
      </c>
      <c r="G11" s="9" t="s">
        <v>184</v>
      </c>
      <c r="I11" s="9"/>
    </row>
    <row r="12" spans="2:13">
      <c r="B12" s="2" t="s">
        <v>28</v>
      </c>
      <c r="D12" t="str">
        <f>Commodities!B56</f>
        <v>T-CAR-ICE_DF21</v>
      </c>
      <c r="E12" t="str">
        <f>Commodities!C56</f>
        <v>TRA Cars: Dual fuel ICEs (CNG/BCNG &amp; Gasoline) - New</v>
      </c>
      <c r="F12" s="9" t="s">
        <v>183</v>
      </c>
      <c r="G12" s="9" t="s">
        <v>184</v>
      </c>
      <c r="I12" s="9"/>
      <c r="M12" s="13"/>
    </row>
    <row r="13" spans="2:13">
      <c r="B13" s="2" t="s">
        <v>28</v>
      </c>
      <c r="D13" t="str">
        <f>Commodities!B57</f>
        <v>T-CAR-ICE_NGB21</v>
      </c>
      <c r="E13" t="str">
        <f>Commodities!C57</f>
        <v>TRA Cars: BioCNG and CNG ICEs - New</v>
      </c>
      <c r="F13" s="9" t="s">
        <v>183</v>
      </c>
      <c r="G13" s="9" t="s">
        <v>184</v>
      </c>
      <c r="I13" s="9"/>
      <c r="M13" s="17"/>
    </row>
    <row r="14" spans="2:13">
      <c r="B14" s="2" t="s">
        <v>28</v>
      </c>
      <c r="D14" t="str">
        <f>Commodities!B58</f>
        <v>T-CAR-ICE_E8521</v>
      </c>
      <c r="E14" t="str">
        <f>Commodities!C58</f>
        <v>TRA Cars: Flex fuel ICEs - New</v>
      </c>
      <c r="F14" s="9" t="s">
        <v>183</v>
      </c>
      <c r="G14" s="9" t="s">
        <v>184</v>
      </c>
      <c r="I14" s="9"/>
      <c r="M14" s="17"/>
    </row>
    <row r="15" spans="2:13">
      <c r="B15" s="2" t="s">
        <v>28</v>
      </c>
      <c r="D15" t="str">
        <f>Commodities!B59</f>
        <v>T-CAR-ICE_B10021</v>
      </c>
      <c r="E15" t="str">
        <f>Commodities!C59</f>
        <v>TRA Cars: Biodiesel ICEs - New</v>
      </c>
      <c r="F15" s="9" t="s">
        <v>183</v>
      </c>
      <c r="G15" s="9" t="s">
        <v>184</v>
      </c>
      <c r="I15" s="9"/>
    </row>
    <row r="16" spans="2:13">
      <c r="B16" s="2" t="s">
        <v>28</v>
      </c>
      <c r="D16" t="str">
        <f>Commodities!B60</f>
        <v>T-CAR-HEV_GSL21</v>
      </c>
      <c r="E16" t="str">
        <f>Commodities!C60</f>
        <v>TRA Cars: Gasoline HEVs - New</v>
      </c>
      <c r="F16" s="9" t="s">
        <v>183</v>
      </c>
      <c r="G16" s="9" t="s">
        <v>184</v>
      </c>
      <c r="I16" s="9"/>
    </row>
    <row r="17" spans="2:10">
      <c r="B17" s="2" t="s">
        <v>28</v>
      </c>
      <c r="D17" t="str">
        <f>Commodities!B61</f>
        <v>T-CAR-HEV_DST21</v>
      </c>
      <c r="E17" t="str">
        <f>Commodities!C61</f>
        <v>TRA Cars: Diesel HEVs - New</v>
      </c>
      <c r="F17" s="9" t="s">
        <v>183</v>
      </c>
      <c r="G17" s="9" t="s">
        <v>184</v>
      </c>
      <c r="I17" s="9"/>
    </row>
    <row r="18" spans="2:10">
      <c r="B18" s="2" t="s">
        <v>28</v>
      </c>
      <c r="D18" t="str">
        <f>Commodities!B62</f>
        <v>T-CAR-PHEV10_GSL21</v>
      </c>
      <c r="E18" t="str">
        <f>Commodities!C62</f>
        <v>TRA Cars: Gasoline PHEV, 10-mile all-electric range - New</v>
      </c>
      <c r="F18" s="9" t="s">
        <v>183</v>
      </c>
      <c r="G18" s="9" t="s">
        <v>184</v>
      </c>
      <c r="I18" s="9"/>
    </row>
    <row r="19" spans="2:10">
      <c r="B19" s="2" t="s">
        <v>28</v>
      </c>
      <c r="D19" t="str">
        <f>Commodities!B63</f>
        <v>T-CAR-PHEV20_GSL21</v>
      </c>
      <c r="E19" t="str">
        <f>Commodities!C63</f>
        <v>TRA Cars: Gasoline PHEV, 20-mile all-electric range - New</v>
      </c>
      <c r="F19" s="9" t="s">
        <v>183</v>
      </c>
      <c r="G19" s="9" t="s">
        <v>184</v>
      </c>
      <c r="I19" s="9"/>
    </row>
    <row r="20" spans="2:10">
      <c r="B20" s="2" t="s">
        <v>28</v>
      </c>
      <c r="D20" t="str">
        <f>Commodities!B64</f>
        <v>T-CAR-PHEV40_GSL21</v>
      </c>
      <c r="E20" t="str">
        <f>Commodities!C64</f>
        <v>TRA Cars: Gasoline PHEV, 40-mile all-electric range - New</v>
      </c>
      <c r="F20" s="9" t="s">
        <v>183</v>
      </c>
      <c r="G20" s="9" t="s">
        <v>184</v>
      </c>
      <c r="I20" s="9"/>
    </row>
    <row r="21" spans="2:10">
      <c r="B21" s="2" t="s">
        <v>28</v>
      </c>
      <c r="D21" t="str">
        <f>Commodities!B65</f>
        <v>T-CAR-PHEV10_DST21</v>
      </c>
      <c r="E21" t="str">
        <f>Commodities!C65</f>
        <v>TRA Cars: Diesel PHEV, 10-mile all-electric range - New</v>
      </c>
      <c r="F21" s="9" t="s">
        <v>183</v>
      </c>
      <c r="G21" s="9" t="s">
        <v>184</v>
      </c>
      <c r="I21" s="9"/>
    </row>
    <row r="22" spans="2:10">
      <c r="B22" s="2" t="s">
        <v>28</v>
      </c>
      <c r="D22" t="str">
        <f>Commodities!B66</f>
        <v>T-CAR-PHEV20_DST21</v>
      </c>
      <c r="E22" t="str">
        <f>Commodities!C66</f>
        <v>TRA Cars: Diesel PHEV, 20-mile all-electric range - New</v>
      </c>
      <c r="F22" s="9" t="s">
        <v>183</v>
      </c>
      <c r="G22" s="9" t="s">
        <v>184</v>
      </c>
      <c r="I22" s="9"/>
    </row>
    <row r="23" spans="2:10">
      <c r="B23" s="2" t="s">
        <v>28</v>
      </c>
      <c r="D23" t="str">
        <f>Commodities!B67</f>
        <v>T-CAR-PHEV40_DST21</v>
      </c>
      <c r="E23" t="str">
        <f>Commodities!C67</f>
        <v>TRA Cars: Diesel PHEV, 40-mile all-electric range - New</v>
      </c>
      <c r="F23" s="9" t="s">
        <v>183</v>
      </c>
      <c r="G23" s="9" t="s">
        <v>184</v>
      </c>
      <c r="I23" s="9"/>
    </row>
    <row r="24" spans="2:10">
      <c r="B24" s="2" t="s">
        <v>28</v>
      </c>
      <c r="D24" t="str">
        <f>Commodities!B68</f>
        <v>T-CAR-BEV100_ELC21</v>
      </c>
      <c r="E24" t="str">
        <f>Commodities!C68</f>
        <v>TRA Cars: BEV 100 mile (160 km) all-electric range - New</v>
      </c>
      <c r="F24" s="9" t="s">
        <v>183</v>
      </c>
      <c r="G24" s="9" t="s">
        <v>184</v>
      </c>
      <c r="I24" s="9"/>
    </row>
    <row r="25" spans="2:10">
      <c r="B25" s="2" t="s">
        <v>28</v>
      </c>
      <c r="D25" t="str">
        <f>Commodities!B69</f>
        <v>T-CAR-BEV150_ELC21</v>
      </c>
      <c r="E25" t="str">
        <f>Commodities!C69</f>
        <v>TRA Cars: BEV 150 mile (240 km) all-electric range - New</v>
      </c>
      <c r="F25" s="9" t="s">
        <v>183</v>
      </c>
      <c r="G25" s="9" t="s">
        <v>184</v>
      </c>
      <c r="I25" s="9"/>
    </row>
    <row r="26" spans="2:10">
      <c r="B26" s="2" t="s">
        <v>28</v>
      </c>
      <c r="D26" t="str">
        <f>Commodities!B70</f>
        <v>T-CAR-BEV250_ELC21</v>
      </c>
      <c r="E26" t="str">
        <f>Commodities!C70</f>
        <v>TRA Cars: BEV 250 mile (400 km) all-electric range - New</v>
      </c>
      <c r="F26" s="9" t="s">
        <v>183</v>
      </c>
      <c r="G26" s="9" t="s">
        <v>184</v>
      </c>
      <c r="I26" s="9"/>
    </row>
    <row r="27" spans="2:10">
      <c r="B27" s="2" t="s">
        <v>28</v>
      </c>
      <c r="D27" t="str">
        <f>Commodities!B71</f>
        <v>T-CAR-ICE_HYD21</v>
      </c>
      <c r="E27" t="str">
        <f>Commodities!C71</f>
        <v>TRA Cars: Hydrogen ICEs - New</v>
      </c>
      <c r="F27" s="9" t="s">
        <v>183</v>
      </c>
      <c r="G27" s="9" t="s">
        <v>184</v>
      </c>
      <c r="I27" s="9"/>
    </row>
    <row r="28" spans="2:10">
      <c r="B28" s="2" t="s">
        <v>28</v>
      </c>
      <c r="D28" t="str">
        <f>Commodities!B72</f>
        <v>T-CAR-FCV_HYD21</v>
      </c>
      <c r="E28" t="str">
        <f>Commodities!C72</f>
        <v>TRA Cars: Fuel cell vehicles - New</v>
      </c>
      <c r="F28" s="9" t="s">
        <v>183</v>
      </c>
      <c r="G28" s="9" t="s">
        <v>184</v>
      </c>
      <c r="I28" s="9"/>
    </row>
    <row r="29" spans="2:10" ht="14.4">
      <c r="B29" s="26" t="s">
        <v>114</v>
      </c>
      <c r="C29" s="26"/>
      <c r="D29" s="26"/>
      <c r="E29" s="26"/>
      <c r="F29" s="26"/>
      <c r="G29" s="26"/>
      <c r="H29" s="26"/>
      <c r="I29" s="26"/>
      <c r="J29" s="26"/>
    </row>
    <row r="30" spans="2:10">
      <c r="B30" s="2" t="s">
        <v>28</v>
      </c>
      <c r="D30" t="str">
        <f>Commodities!B74</f>
        <v>T-TAX-ICE_GSL31</v>
      </c>
      <c r="E30" t="str">
        <f>Commodities!C74</f>
        <v>TRA Taxis:  Gasoline ICEs - New</v>
      </c>
      <c r="F30" s="9" t="s">
        <v>183</v>
      </c>
      <c r="G30" s="9" t="s">
        <v>184</v>
      </c>
      <c r="I30" s="9"/>
    </row>
    <row r="31" spans="2:10">
      <c r="B31" s="2" t="s">
        <v>28</v>
      </c>
      <c r="D31" t="str">
        <f>Commodities!B75</f>
        <v>T-TAX-ICE_DST31</v>
      </c>
      <c r="E31" t="str">
        <f>Commodities!C75</f>
        <v>TRA Taxis: Diesel ICEs - New</v>
      </c>
      <c r="F31" s="9" t="s">
        <v>183</v>
      </c>
      <c r="G31" s="9" t="s">
        <v>184</v>
      </c>
      <c r="I31" s="9"/>
    </row>
    <row r="32" spans="2:10">
      <c r="B32" s="2" t="s">
        <v>28</v>
      </c>
      <c r="D32" t="str">
        <f>Commodities!B76</f>
        <v>T-TAX-ICE_DF31</v>
      </c>
      <c r="E32" t="str">
        <f>Commodities!C76</f>
        <v>TRA Taxis: Dual fuel ICEs (CNG/BCNG &amp; Gasoline) - New</v>
      </c>
      <c r="F32" s="9" t="s">
        <v>183</v>
      </c>
      <c r="G32" s="9" t="s">
        <v>184</v>
      </c>
      <c r="I32" s="9"/>
    </row>
    <row r="33" spans="2:9">
      <c r="B33" s="2" t="s">
        <v>28</v>
      </c>
      <c r="D33" t="str">
        <f>Commodities!B77</f>
        <v>T-TAX-ICE_NGB31</v>
      </c>
      <c r="E33" t="str">
        <f>Commodities!C77</f>
        <v>TRA Taxis: BioCNG and CNG ICEs - New</v>
      </c>
      <c r="F33" s="9" t="s">
        <v>183</v>
      </c>
      <c r="G33" s="9" t="s">
        <v>184</v>
      </c>
      <c r="I33" s="9"/>
    </row>
    <row r="34" spans="2:9">
      <c r="B34" s="2" t="s">
        <v>28</v>
      </c>
      <c r="D34" t="str">
        <f>Commodities!B78</f>
        <v>T-TAX-ICE_E8531</v>
      </c>
      <c r="E34" t="str">
        <f>Commodities!C78</f>
        <v>TRA Taxis: Flex fuel ICEs - New</v>
      </c>
      <c r="F34" s="9" t="s">
        <v>183</v>
      </c>
      <c r="G34" s="9" t="s">
        <v>184</v>
      </c>
      <c r="I34" s="9"/>
    </row>
    <row r="35" spans="2:9">
      <c r="B35" s="2" t="s">
        <v>28</v>
      </c>
      <c r="D35" t="str">
        <f>Commodities!B79</f>
        <v>T-TAX-ICE_B10031</v>
      </c>
      <c r="E35" t="str">
        <f>Commodities!C79</f>
        <v>TRA Taxis: Biodiesel ICEs - New</v>
      </c>
      <c r="F35" s="9" t="s">
        <v>183</v>
      </c>
      <c r="G35" s="9" t="s">
        <v>184</v>
      </c>
      <c r="I35" s="9"/>
    </row>
    <row r="36" spans="2:9">
      <c r="B36" s="2" t="s">
        <v>28</v>
      </c>
      <c r="D36" t="str">
        <f>Commodities!B80</f>
        <v>T-TAX-HEV_GSL31</v>
      </c>
      <c r="E36" t="str">
        <f>Commodities!C80</f>
        <v>TRA Taxis: Gasoline HEVs - New</v>
      </c>
      <c r="F36" s="9" t="s">
        <v>183</v>
      </c>
      <c r="G36" s="9" t="s">
        <v>184</v>
      </c>
      <c r="I36" s="9"/>
    </row>
    <row r="37" spans="2:9">
      <c r="B37" s="2" t="s">
        <v>28</v>
      </c>
      <c r="D37" t="str">
        <f>Commodities!B81</f>
        <v>T-TAX-HEV_DST31</v>
      </c>
      <c r="E37" t="str">
        <f>Commodities!C81</f>
        <v>TRA Taxis: Diesel HEV - New</v>
      </c>
      <c r="F37" s="9" t="s">
        <v>183</v>
      </c>
      <c r="G37" s="9" t="s">
        <v>184</v>
      </c>
      <c r="I37" s="9"/>
    </row>
    <row r="38" spans="2:9">
      <c r="B38" s="2" t="s">
        <v>28</v>
      </c>
      <c r="D38" t="str">
        <f>Commodities!B82</f>
        <v>T-TAX-PHEV10_GSL31</v>
      </c>
      <c r="E38" t="str">
        <f>Commodities!C82</f>
        <v>TRA Taxis: Gasoline PHEV, 10-mile all-electric range - New</v>
      </c>
      <c r="F38" s="9" t="s">
        <v>183</v>
      </c>
      <c r="G38" s="9" t="s">
        <v>184</v>
      </c>
      <c r="I38" s="9"/>
    </row>
    <row r="39" spans="2:9">
      <c r="B39" s="2" t="s">
        <v>28</v>
      </c>
      <c r="D39" t="str">
        <f>Commodities!B83</f>
        <v>T-TAX-PHEV20_GSL31</v>
      </c>
      <c r="E39" t="str">
        <f>Commodities!C83</f>
        <v>TRA Taxis: Gasoline PHEV, 20-mile all-electric range - New</v>
      </c>
      <c r="F39" s="9" t="s">
        <v>183</v>
      </c>
      <c r="G39" s="9" t="s">
        <v>184</v>
      </c>
      <c r="I39" s="9"/>
    </row>
    <row r="40" spans="2:9">
      <c r="B40" s="2" t="s">
        <v>28</v>
      </c>
      <c r="D40" t="str">
        <f>Commodities!B84</f>
        <v>T-TAX-PHEV40_GSL31</v>
      </c>
      <c r="E40" t="str">
        <f>Commodities!C84</f>
        <v>TRA Taxis: Gasoline PHEV, 40-mile all-electric range - New</v>
      </c>
      <c r="F40" s="9" t="s">
        <v>183</v>
      </c>
      <c r="G40" s="9" t="s">
        <v>184</v>
      </c>
      <c r="I40" s="9"/>
    </row>
    <row r="41" spans="2:9">
      <c r="B41" s="2" t="s">
        <v>28</v>
      </c>
      <c r="D41" t="str">
        <f>Commodities!B85</f>
        <v>T-TAX-PHEV10_DST31</v>
      </c>
      <c r="E41" t="str">
        <f>Commodities!C85</f>
        <v>TRA Taxis: Diesel PHEV, 10-mile all-electric range - New</v>
      </c>
      <c r="F41" s="9" t="s">
        <v>183</v>
      </c>
      <c r="G41" s="9" t="s">
        <v>184</v>
      </c>
      <c r="I41" s="9"/>
    </row>
    <row r="42" spans="2:9">
      <c r="B42" s="2" t="s">
        <v>28</v>
      </c>
      <c r="D42" t="str">
        <f>Commodities!B86</f>
        <v>T-TAX-PHEV20_DST31</v>
      </c>
      <c r="E42" t="str">
        <f>Commodities!C86</f>
        <v>TRA Taxis: Diesel PHEV, 20-mile all-electric range - New</v>
      </c>
      <c r="F42" s="9" t="s">
        <v>183</v>
      </c>
      <c r="G42" s="9" t="s">
        <v>184</v>
      </c>
      <c r="I42" s="9"/>
    </row>
    <row r="43" spans="2:9">
      <c r="B43" s="2" t="s">
        <v>28</v>
      </c>
      <c r="D43" t="str">
        <f>Commodities!B87</f>
        <v>T-TAX-PHEV40_DST31</v>
      </c>
      <c r="E43" t="str">
        <f>Commodities!C87</f>
        <v>TRA Taxis: Diesel PHEV, 40-mile all-electric range - New</v>
      </c>
      <c r="F43" s="9" t="s">
        <v>183</v>
      </c>
      <c r="G43" s="9" t="s">
        <v>184</v>
      </c>
      <c r="I43" s="9"/>
    </row>
    <row r="44" spans="2:9">
      <c r="B44" s="2" t="s">
        <v>28</v>
      </c>
      <c r="D44" t="str">
        <f>Commodities!B88</f>
        <v>T-TAX-BEV100_ELC31</v>
      </c>
      <c r="E44" t="str">
        <f>Commodities!C88</f>
        <v>TRA Taxis: BEV 100 mile (160 km) all-electric range - New</v>
      </c>
      <c r="F44" s="9" t="s">
        <v>183</v>
      </c>
      <c r="G44" s="9" t="s">
        <v>184</v>
      </c>
      <c r="I44" s="9"/>
    </row>
    <row r="45" spans="2:9">
      <c r="B45" s="2" t="s">
        <v>28</v>
      </c>
      <c r="D45" t="str">
        <f>Commodities!B89</f>
        <v>T-TAX-BEV150_ELC31</v>
      </c>
      <c r="E45" t="str">
        <f>Commodities!C89</f>
        <v>TRA Taxis: BEV 150 mile (240 km) all-electric range - New</v>
      </c>
      <c r="F45" s="9" t="s">
        <v>183</v>
      </c>
      <c r="G45" s="9" t="s">
        <v>184</v>
      </c>
      <c r="I45" s="9"/>
    </row>
    <row r="46" spans="2:9">
      <c r="B46" s="2" t="s">
        <v>28</v>
      </c>
      <c r="D46" t="str">
        <f>Commodities!B90</f>
        <v>T-TAX-BEV250_ELC31</v>
      </c>
      <c r="E46" t="str">
        <f>Commodities!C90</f>
        <v>TRA Taxis: BEV 250 mile (400 km) all-electric range - New</v>
      </c>
      <c r="F46" s="9" t="s">
        <v>183</v>
      </c>
      <c r="G46" s="9" t="s">
        <v>184</v>
      </c>
      <c r="I46" s="9"/>
    </row>
    <row r="47" spans="2:9">
      <c r="B47" s="2" t="s">
        <v>28</v>
      </c>
      <c r="D47" t="str">
        <f>Commodities!B91</f>
        <v>T-TAX-ICE_HYD31</v>
      </c>
      <c r="E47" t="str">
        <f>Commodities!C91</f>
        <v>TRA Taxis: Hydrogen ICEs - New</v>
      </c>
      <c r="F47" s="9" t="s">
        <v>183</v>
      </c>
      <c r="G47" s="9" t="s">
        <v>184</v>
      </c>
      <c r="I47" s="9"/>
    </row>
    <row r="48" spans="2:9">
      <c r="B48" s="2" t="s">
        <v>28</v>
      </c>
      <c r="D48" t="str">
        <f>Commodities!B92</f>
        <v>T-TAX-FCV_HYD31</v>
      </c>
      <c r="E48" t="str">
        <f>Commodities!C92</f>
        <v>TRA Taxis: Fuel cell vehicles - New</v>
      </c>
      <c r="F48" s="9" t="s">
        <v>183</v>
      </c>
      <c r="G48" s="9" t="s">
        <v>184</v>
      </c>
      <c r="I48" s="9"/>
    </row>
    <row r="49" spans="2:10" ht="14.4">
      <c r="B49" s="26" t="s">
        <v>115</v>
      </c>
      <c r="C49" s="26"/>
      <c r="D49" s="26"/>
      <c r="E49" s="26"/>
      <c r="F49" s="26"/>
      <c r="G49" s="26"/>
      <c r="H49" s="26"/>
      <c r="I49" s="26"/>
      <c r="J49" s="26"/>
    </row>
    <row r="50" spans="2:10">
      <c r="B50" s="2" t="s">
        <v>28</v>
      </c>
      <c r="D50" t="str">
        <f>Commodities!B94</f>
        <v>T-BUS-ICE_DST41</v>
      </c>
      <c r="E50" t="str">
        <f>Commodities!C94</f>
        <v>TRA BUS: Diesel ICEs - New</v>
      </c>
      <c r="F50" s="9" t="s">
        <v>183</v>
      </c>
      <c r="G50" s="9" t="s">
        <v>184</v>
      </c>
      <c r="I50" s="9"/>
    </row>
    <row r="51" spans="2:10">
      <c r="B51" s="2" t="s">
        <v>28</v>
      </c>
      <c r="D51" t="str">
        <f>Commodities!B95</f>
        <v>T-BUS-ICE_B10041</v>
      </c>
      <c r="E51" t="str">
        <f>Commodities!C95</f>
        <v>TRA BUS: Biodiesel ICEs - New</v>
      </c>
      <c r="F51" s="9" t="s">
        <v>183</v>
      </c>
      <c r="G51" s="9" t="s">
        <v>184</v>
      </c>
      <c r="I51" s="9"/>
    </row>
    <row r="52" spans="2:10">
      <c r="B52" s="2" t="s">
        <v>28</v>
      </c>
      <c r="D52" t="str">
        <f>Commodities!B96</f>
        <v>T-BUS-ICE_NGB41</v>
      </c>
      <c r="E52" t="str">
        <f>Commodities!C96</f>
        <v>TRA BUS: BioCNG and CNG ICEs - New</v>
      </c>
      <c r="F52" s="9" t="s">
        <v>183</v>
      </c>
      <c r="G52" s="9" t="s">
        <v>184</v>
      </c>
      <c r="I52" s="9"/>
    </row>
    <row r="53" spans="2:10">
      <c r="B53" s="2" t="s">
        <v>28</v>
      </c>
      <c r="D53" t="str">
        <f>Commodities!B97</f>
        <v>T-BUS-BEV_ELC41</v>
      </c>
      <c r="E53" t="str">
        <f>Commodities!C97</f>
        <v>TRA BUS: BEV - New</v>
      </c>
      <c r="F53" s="9" t="s">
        <v>183</v>
      </c>
      <c r="G53" s="9" t="s">
        <v>184</v>
      </c>
      <c r="I53" s="9"/>
    </row>
    <row r="54" spans="2:10">
      <c r="B54" s="2" t="s">
        <v>28</v>
      </c>
      <c r="D54" t="str">
        <f>Commodities!B98</f>
        <v>T-BUS-FCV_HYD41</v>
      </c>
      <c r="E54" t="str">
        <f>Commodities!C98</f>
        <v>TRA BUS: Fuel Cell Vehicles - New</v>
      </c>
      <c r="F54" s="9" t="s">
        <v>183</v>
      </c>
      <c r="G54" s="9" t="s">
        <v>184</v>
      </c>
      <c r="I54" s="9"/>
    </row>
    <row r="55" spans="2:10" ht="14.4">
      <c r="B55" s="26" t="s">
        <v>116</v>
      </c>
      <c r="C55" s="26"/>
      <c r="D55" s="26"/>
      <c r="E55" s="26"/>
      <c r="F55" s="26"/>
      <c r="G55" s="26"/>
      <c r="H55" s="26"/>
      <c r="I55" s="26"/>
      <c r="J55" s="26"/>
    </row>
    <row r="56" spans="2:10">
      <c r="B56" s="2" t="s">
        <v>28</v>
      </c>
      <c r="D56" t="str">
        <f>Commodities!B100</f>
        <v>T-LPT-BEV_ELC51</v>
      </c>
      <c r="E56" t="str">
        <f>Commodities!C100</f>
        <v>TRA Light Passenger Train: Electric - New</v>
      </c>
      <c r="F56" s="9" t="s">
        <v>183</v>
      </c>
      <c r="G56" s="9" t="s">
        <v>184</v>
      </c>
      <c r="I56" s="9"/>
    </row>
    <row r="57" spans="2:10">
      <c r="B57" s="2" t="s">
        <v>28</v>
      </c>
      <c r="D57" t="str">
        <f>Commodities!B101</f>
        <v>T-HPT-BEV_ELC51</v>
      </c>
      <c r="E57" t="str">
        <f>Commodities!C101</f>
        <v>TRA Heavy Passenger Train: Electric - New</v>
      </c>
      <c r="F57" s="9" t="s">
        <v>183</v>
      </c>
      <c r="G57" s="9" t="s">
        <v>184</v>
      </c>
      <c r="I57" s="9"/>
    </row>
    <row r="58" spans="2:10">
      <c r="B58" s="2" t="s">
        <v>28</v>
      </c>
      <c r="D58" t="str">
        <f>Commodities!B102</f>
        <v>T-HPT-ICE_DST51</v>
      </c>
      <c r="E58" t="str">
        <f>Commodities!C102</f>
        <v>TRA Heavy Passenger Train: Diesel - New</v>
      </c>
      <c r="F58" s="9" t="s">
        <v>183</v>
      </c>
      <c r="G58" s="9" t="s">
        <v>184</v>
      </c>
      <c r="I58" s="9"/>
    </row>
    <row r="59" spans="2:10" ht="14.4">
      <c r="B59" s="26" t="s">
        <v>117</v>
      </c>
      <c r="C59" s="26"/>
      <c r="D59" s="26"/>
      <c r="E59" s="26"/>
      <c r="F59" s="26"/>
      <c r="G59" s="26"/>
      <c r="H59" s="26"/>
      <c r="I59" s="26"/>
      <c r="J59" s="26"/>
    </row>
    <row r="60" spans="2:10">
      <c r="B60" s="2" t="s">
        <v>28</v>
      </c>
      <c r="D60" t="str">
        <f>Commodities!B105</f>
        <v>T-LGT-ICE_DST61</v>
      </c>
      <c r="E60" t="str">
        <f>Commodities!C105</f>
        <v>TRA Light Goods Truck: Diesel ICE - New</v>
      </c>
      <c r="F60" s="9" t="s">
        <v>193</v>
      </c>
      <c r="G60" s="9" t="s">
        <v>184</v>
      </c>
      <c r="I60" s="9"/>
    </row>
    <row r="61" spans="2:10">
      <c r="B61" s="2" t="s">
        <v>28</v>
      </c>
      <c r="D61" t="str">
        <f>Commodities!B106</f>
        <v>T-LGT-HEV_DST61</v>
      </c>
      <c r="E61" t="str">
        <f>Commodities!C106</f>
        <v>TRA Light Goods Truck: Diesel HEV - New</v>
      </c>
      <c r="F61" s="9" t="s">
        <v>193</v>
      </c>
      <c r="G61" s="9" t="s">
        <v>184</v>
      </c>
      <c r="I61" s="9"/>
    </row>
    <row r="62" spans="2:10">
      <c r="B62" s="2" t="s">
        <v>28</v>
      </c>
      <c r="D62" t="str">
        <f>Commodities!B107</f>
        <v>T-LGT-PHEV_DST61</v>
      </c>
      <c r="E62" t="str">
        <f>Commodities!C107</f>
        <v>TRA Light Goods Truck: Diesel Plug in Hybrid - New</v>
      </c>
      <c r="F62" s="9" t="s">
        <v>193</v>
      </c>
      <c r="G62" s="9" t="s">
        <v>184</v>
      </c>
      <c r="I62" s="9"/>
    </row>
    <row r="63" spans="2:10">
      <c r="B63" s="2" t="s">
        <v>28</v>
      </c>
      <c r="D63" t="str">
        <f>Commodities!B108</f>
        <v>T-LGT-ICE_NGB61</v>
      </c>
      <c r="E63" t="str">
        <f>Commodities!C108</f>
        <v>TRA Light Goods Truck: BioCNG and CNG ICE - New</v>
      </c>
      <c r="F63" s="9" t="s">
        <v>193</v>
      </c>
      <c r="G63" s="9" t="s">
        <v>184</v>
      </c>
      <c r="I63" s="9"/>
    </row>
    <row r="64" spans="2:10">
      <c r="B64" s="2" t="s">
        <v>28</v>
      </c>
      <c r="D64" t="str">
        <f>Commodities!B109</f>
        <v>T-LGT-PHEV_NGB61</v>
      </c>
      <c r="E64" t="str">
        <f>Commodities!C109</f>
        <v>TRA Light Goods Truck: BioCNG and CNG PHEV - New</v>
      </c>
      <c r="F64" s="9" t="s">
        <v>193</v>
      </c>
      <c r="G64" s="9" t="s">
        <v>184</v>
      </c>
      <c r="I64" s="9"/>
    </row>
    <row r="65" spans="2:10">
      <c r="B65" s="2" t="s">
        <v>28</v>
      </c>
      <c r="D65" t="str">
        <f>Commodities!B110</f>
        <v>T-LGT-FCV_HYD61</v>
      </c>
      <c r="E65" t="str">
        <f>Commodities!C110</f>
        <v>TRA Light Goods Truck: Fuel Cell Vehicle - New</v>
      </c>
      <c r="F65" s="9" t="s">
        <v>193</v>
      </c>
      <c r="G65" s="9" t="s">
        <v>184</v>
      </c>
      <c r="I65" s="9"/>
    </row>
    <row r="66" spans="2:10">
      <c r="B66" s="2" t="s">
        <v>28</v>
      </c>
      <c r="D66" t="str">
        <f>Commodities!B111</f>
        <v>T-LGT-BEV_ELC61</v>
      </c>
      <c r="E66" t="str">
        <f>Commodities!C111</f>
        <v>TRA Light Goods Truck: Battery Electric Vehicle - New</v>
      </c>
      <c r="F66" s="9" t="s">
        <v>193</v>
      </c>
      <c r="G66" s="9" t="s">
        <v>184</v>
      </c>
      <c r="I66" s="9"/>
    </row>
    <row r="67" spans="2:10" ht="14.4">
      <c r="B67" s="26" t="s">
        <v>328</v>
      </c>
      <c r="C67" s="26"/>
      <c r="D67" s="26"/>
      <c r="E67" s="26"/>
      <c r="F67" s="26"/>
      <c r="G67" s="26"/>
      <c r="H67" s="26"/>
      <c r="I67" s="26"/>
      <c r="J67" s="26"/>
    </row>
    <row r="68" spans="2:10">
      <c r="B68" s="2" t="s">
        <v>28</v>
      </c>
      <c r="D68" t="str">
        <f>Commodities!B113</f>
        <v>T-MGT-ICE_DST71</v>
      </c>
      <c r="E68" t="str">
        <f>Commodities!C113</f>
        <v>TRA Medium Goods Truck: Diesel ICE - New</v>
      </c>
      <c r="F68" s="9" t="s">
        <v>193</v>
      </c>
      <c r="G68" s="9" t="s">
        <v>184</v>
      </c>
      <c r="I68" s="9"/>
    </row>
    <row r="69" spans="2:10">
      <c r="B69" s="2" t="s">
        <v>28</v>
      </c>
      <c r="D69" t="str">
        <f>Commodities!B114</f>
        <v>T-MGT-HEV_DST71</v>
      </c>
      <c r="E69" t="str">
        <f>Commodities!C114</f>
        <v>TRA Medium Goods Truck: Diesel HEV - New</v>
      </c>
      <c r="F69" s="9" t="s">
        <v>193</v>
      </c>
      <c r="G69" s="9" t="s">
        <v>184</v>
      </c>
      <c r="I69" s="9"/>
    </row>
    <row r="70" spans="2:10">
      <c r="B70" s="2" t="s">
        <v>28</v>
      </c>
      <c r="D70" t="str">
        <f>Commodities!B115</f>
        <v>T-MGT-FCV_HYD71</v>
      </c>
      <c r="E70" t="str">
        <f>Commodities!C115</f>
        <v>TRA Medium Goods Truck: Hydrogen FCV - New</v>
      </c>
      <c r="F70" s="9" t="s">
        <v>193</v>
      </c>
      <c r="G70" s="9" t="s">
        <v>184</v>
      </c>
      <c r="I70" s="9"/>
    </row>
    <row r="71" spans="2:10">
      <c r="B71" s="2" t="s">
        <v>28</v>
      </c>
      <c r="D71" t="str">
        <f>Commodities!B116</f>
        <v>T-MGT-ICE_NGB71</v>
      </c>
      <c r="E71" t="str">
        <f>Commodities!C116</f>
        <v>TRA Medium Goods Truck: BioCNG and CNG ICE - New</v>
      </c>
      <c r="F71" s="9" t="s">
        <v>193</v>
      </c>
      <c r="G71" s="9" t="s">
        <v>184</v>
      </c>
      <c r="I71" s="9"/>
    </row>
    <row r="72" spans="2:10">
      <c r="B72" s="2" t="s">
        <v>28</v>
      </c>
      <c r="D72" t="str">
        <f>Commodities!B117</f>
        <v>T-MGT-HEV_NGB71</v>
      </c>
      <c r="E72" t="str">
        <f>Commodities!C117</f>
        <v>TRA Medium Goods Truck: BioCNG and CNG HEV - New</v>
      </c>
      <c r="F72" s="9" t="s">
        <v>193</v>
      </c>
      <c r="G72" s="9" t="s">
        <v>184</v>
      </c>
      <c r="I72" s="9"/>
    </row>
    <row r="73" spans="2:10">
      <c r="B73" s="2" t="s">
        <v>28</v>
      </c>
      <c r="D73" t="str">
        <f>Commodities!B118</f>
        <v>T-MGT-ICE_LNG71</v>
      </c>
      <c r="E73" t="str">
        <f>Commodities!C118</f>
        <v>TRA Medium Goods Truck: LNG ICE - New</v>
      </c>
      <c r="F73" s="9" t="s">
        <v>193</v>
      </c>
      <c r="G73" s="9" t="s">
        <v>184</v>
      </c>
      <c r="I73" s="9"/>
    </row>
    <row r="74" spans="2:10">
      <c r="B74" s="2" t="s">
        <v>28</v>
      </c>
      <c r="D74" t="str">
        <f>Commodities!B119</f>
        <v>T-MGT-BEV_ELC71</v>
      </c>
      <c r="E74" t="str">
        <f>Commodities!C119</f>
        <v>TRA Medium Goods Truck: Battery Electric Vehicle - New</v>
      </c>
      <c r="F74" s="9" t="s">
        <v>193</v>
      </c>
      <c r="G74" s="9" t="s">
        <v>184</v>
      </c>
      <c r="I74" s="9"/>
    </row>
    <row r="75" spans="2:10" ht="14.4">
      <c r="B75" s="26" t="s">
        <v>118</v>
      </c>
      <c r="C75" s="26"/>
      <c r="D75" s="26"/>
      <c r="E75" s="26"/>
      <c r="F75" s="26"/>
      <c r="G75" s="26"/>
      <c r="H75" s="26"/>
      <c r="I75" s="26"/>
      <c r="J75" s="26"/>
    </row>
    <row r="76" spans="2:10">
      <c r="B76" s="2" t="s">
        <v>28</v>
      </c>
      <c r="D76" t="str">
        <f>Commodities!B121</f>
        <v>T-HGT-ICE_DST81</v>
      </c>
      <c r="E76" t="str">
        <f>Commodities!C121</f>
        <v>TRA Heavy Goods Truck: Diesel ICE - New</v>
      </c>
      <c r="F76" s="9" t="s">
        <v>193</v>
      </c>
      <c r="G76" s="9" t="s">
        <v>184</v>
      </c>
      <c r="I76" s="9"/>
    </row>
    <row r="77" spans="2:10">
      <c r="B77" s="2" t="s">
        <v>28</v>
      </c>
      <c r="D77" t="str">
        <f>Commodities!B122</f>
        <v>T-HGT-HEV_DST81</v>
      </c>
      <c r="E77" t="str">
        <f>Commodities!C122</f>
        <v>TRA Heavy Goods Truck: Diesel HEV - New</v>
      </c>
      <c r="F77" s="9" t="s">
        <v>193</v>
      </c>
      <c r="G77" s="9" t="s">
        <v>184</v>
      </c>
      <c r="I77" s="9"/>
    </row>
    <row r="78" spans="2:10">
      <c r="B78" s="2" t="s">
        <v>28</v>
      </c>
      <c r="D78" t="str">
        <f>Commodities!B123</f>
        <v>T-HGT-FCV_HYD81</v>
      </c>
      <c r="E78" t="str">
        <f>Commodities!C123</f>
        <v>TRA Heavy Goods Truck: Hydrogen FCV - New</v>
      </c>
      <c r="F78" s="9" t="s">
        <v>193</v>
      </c>
      <c r="G78" s="9" t="s">
        <v>184</v>
      </c>
      <c r="I78" s="9"/>
    </row>
    <row r="79" spans="2:10">
      <c r="B79" s="2" t="s">
        <v>28</v>
      </c>
      <c r="D79" t="str">
        <f>Commodities!B124</f>
        <v>T-HGT-ICE_NGB81</v>
      </c>
      <c r="E79" t="str">
        <f>Commodities!C124</f>
        <v>TRA Heavy Goods Truck: BioCNG and CNG ICE - New</v>
      </c>
      <c r="F79" s="9" t="s">
        <v>193</v>
      </c>
      <c r="G79" s="9" t="s">
        <v>184</v>
      </c>
      <c r="I79" s="9"/>
    </row>
    <row r="80" spans="2:10">
      <c r="B80" s="2" t="s">
        <v>28</v>
      </c>
      <c r="D80" t="str">
        <f>Commodities!B125</f>
        <v>T-HGT-HEV_NGB81</v>
      </c>
      <c r="E80" t="str">
        <f>Commodities!C125</f>
        <v>TRA Heavy Goods Truck: BioCNG and CNG HEV - New</v>
      </c>
      <c r="F80" s="9" t="s">
        <v>193</v>
      </c>
      <c r="G80" s="9" t="s">
        <v>184</v>
      </c>
      <c r="I80" s="9"/>
    </row>
    <row r="81" spans="2:16">
      <c r="B81" s="2" t="s">
        <v>28</v>
      </c>
      <c r="D81" t="str">
        <f>Commodities!B126</f>
        <v>T-HGT-ICE_LNG81</v>
      </c>
      <c r="E81" t="str">
        <f>Commodities!C126</f>
        <v>TRA Heavy Goods Truck: LNG ICE - New</v>
      </c>
      <c r="F81" s="9" t="s">
        <v>193</v>
      </c>
      <c r="G81" s="9" t="s">
        <v>184</v>
      </c>
      <c r="I81" s="9"/>
    </row>
    <row r="82" spans="2:16">
      <c r="B82" s="2" t="s">
        <v>28</v>
      </c>
      <c r="D82" t="str">
        <f>Commodities!B127</f>
        <v>T-HGT-BEV_ELC81</v>
      </c>
      <c r="E82" t="str">
        <f>Commodities!C127</f>
        <v>TRA Heavy Goods Truck: Battery Electric Vehicle - New</v>
      </c>
      <c r="F82" s="9" t="s">
        <v>193</v>
      </c>
      <c r="G82" s="9" t="s">
        <v>184</v>
      </c>
      <c r="I82" s="9"/>
    </row>
    <row r="83" spans="2:16" ht="14.4">
      <c r="B83" s="26" t="s">
        <v>119</v>
      </c>
      <c r="C83" s="26"/>
      <c r="D83" s="26"/>
      <c r="E83" s="26"/>
      <c r="F83" s="26"/>
      <c r="G83" s="26"/>
      <c r="H83" s="26"/>
      <c r="I83" s="26"/>
      <c r="J83" s="26"/>
    </row>
    <row r="84" spans="2:16">
      <c r="B84" s="2" t="s">
        <v>28</v>
      </c>
      <c r="D84" t="str">
        <f>Commodities!B129</f>
        <v>T-GTR-ICE_DST91</v>
      </c>
      <c r="E84" t="str">
        <f>Commodities!C129</f>
        <v>TRA Goods Train: ICE Diesel Train - New</v>
      </c>
      <c r="F84" s="9" t="s">
        <v>193</v>
      </c>
      <c r="G84" s="9" t="s">
        <v>184</v>
      </c>
      <c r="I84" s="9"/>
    </row>
    <row r="85" spans="2:16">
      <c r="B85" s="2" t="s">
        <v>28</v>
      </c>
      <c r="D85" t="str">
        <f>Commodities!B130</f>
        <v>T-GTR-BEV_ELC91</v>
      </c>
      <c r="E85" t="str">
        <f>Commodities!C130</f>
        <v>TRA Goods Train: Electric Train - New</v>
      </c>
      <c r="F85" s="9" t="s">
        <v>193</v>
      </c>
      <c r="G85" s="9" t="s">
        <v>184</v>
      </c>
      <c r="I85" s="9"/>
    </row>
    <row r="86" spans="2:16">
      <c r="B86" s="2" t="s">
        <v>28</v>
      </c>
      <c r="D86" t="str">
        <f>Commodities!B131</f>
        <v>T-GTR-FCV_HYD91</v>
      </c>
      <c r="E86" t="str">
        <f>Commodities!C131</f>
        <v>TRA Goods Train: Hydrogen Fuel Cell Train - New</v>
      </c>
      <c r="F86" s="9" t="s">
        <v>193</v>
      </c>
      <c r="G86" s="9" t="s">
        <v>184</v>
      </c>
      <c r="I86" s="9"/>
    </row>
    <row r="87" spans="2:16" ht="14.4">
      <c r="B87" s="26" t="s">
        <v>363</v>
      </c>
      <c r="C87" s="26"/>
      <c r="D87" s="26"/>
      <c r="E87" s="26"/>
      <c r="F87" s="26"/>
      <c r="G87" s="26"/>
      <c r="H87" s="26"/>
      <c r="I87" s="26"/>
      <c r="J87" s="26"/>
      <c r="P87" s="21"/>
    </row>
    <row r="88" spans="2:16">
      <c r="B88" s="2" t="s">
        <v>28</v>
      </c>
      <c r="D88" t="str">
        <f>Commodities!B134</f>
        <v>T-TUR_NEW</v>
      </c>
      <c r="E88" t="str">
        <f>Commodities!C134</f>
        <v>TRA Tourism: Advanced Tourism Vehicles - New</v>
      </c>
      <c r="F88" s="9" t="s">
        <v>60</v>
      </c>
      <c r="G88" s="9" t="s">
        <v>369</v>
      </c>
      <c r="P88" s="21"/>
    </row>
    <row r="89" spans="2:16">
      <c r="B89" s="2" t="s">
        <v>28</v>
      </c>
      <c r="D89" t="str">
        <f>Commodities!B135</f>
        <v>T-NAV_NEW</v>
      </c>
      <c r="E89" t="str">
        <f>Commodities!C135</f>
        <v>TRA Navigation: Advanced Navigation Vehicles - New</v>
      </c>
      <c r="F89" s="9" t="s">
        <v>60</v>
      </c>
      <c r="G89" s="9" t="s">
        <v>369</v>
      </c>
      <c r="P89" s="21"/>
    </row>
    <row r="90" spans="2:16">
      <c r="B90" s="2" t="s">
        <v>28</v>
      </c>
      <c r="D90" t="str">
        <f>Commodities!B136</f>
        <v>T-OTH_NEW</v>
      </c>
      <c r="E90" t="str">
        <f>Commodities!C136</f>
        <v xml:space="preserve">TRA Unspecified: Advanced Unspecified Vehicles - New </v>
      </c>
      <c r="F90" s="9" t="s">
        <v>60</v>
      </c>
      <c r="G90" s="9" t="s">
        <v>369</v>
      </c>
      <c r="P90" s="21"/>
    </row>
    <row r="91" spans="2:16" ht="14.4">
      <c r="B91" s="26" t="s">
        <v>373</v>
      </c>
      <c r="C91" s="26"/>
      <c r="D91" s="26"/>
      <c r="E91" s="26"/>
      <c r="F91" s="26"/>
      <c r="G91" s="26"/>
      <c r="H91" s="26"/>
      <c r="I91" s="26"/>
      <c r="J91" s="26"/>
      <c r="P91" s="21"/>
    </row>
    <row r="92" spans="2:16">
      <c r="B92" s="56" t="s">
        <v>28</v>
      </c>
      <c r="D92" t="str">
        <f>Commodities!B138</f>
        <v>T-AVI_DOM_NEW</v>
      </c>
      <c r="E92" t="str">
        <f>Commodities!C138</f>
        <v>Aviation domestic - New</v>
      </c>
      <c r="F92" s="9" t="s">
        <v>60</v>
      </c>
      <c r="G92" s="9" t="s">
        <v>369</v>
      </c>
      <c r="P92" s="21"/>
    </row>
    <row r="93" spans="2:16">
      <c r="B93" s="56" t="s">
        <v>28</v>
      </c>
      <c r="D93" t="str">
        <f>Commodities!B139</f>
        <v>T-AVI_INT_NEW</v>
      </c>
      <c r="E93" t="str">
        <f>Commodities!C139</f>
        <v>Aviation international - New</v>
      </c>
      <c r="F93" s="9" t="s">
        <v>60</v>
      </c>
      <c r="G93" s="9" t="s">
        <v>369</v>
      </c>
      <c r="K93" s="46"/>
      <c r="P93" s="21"/>
    </row>
    <row r="94" spans="2:16">
      <c r="B94" s="98" t="s">
        <v>28</v>
      </c>
      <c r="D94" s="97" t="str">
        <f>Commodities!B140</f>
        <v>T-SAVI_INT_JETK_NEW</v>
      </c>
      <c r="E94" s="97" t="str">
        <f>Commodities!C140</f>
        <v>Aviation international - Fossil Jet Kerosene - Small Aircraft - New</v>
      </c>
      <c r="F94" s="98" t="s">
        <v>183</v>
      </c>
      <c r="G94" s="98" t="s">
        <v>184</v>
      </c>
      <c r="K94" s="46"/>
      <c r="P94" s="21"/>
    </row>
    <row r="95" spans="2:16">
      <c r="B95" s="98" t="s">
        <v>28</v>
      </c>
      <c r="D95" s="97" t="str">
        <f>Commodities!B141</f>
        <v>T-MAVI_INT_JETK_NEW</v>
      </c>
      <c r="E95" s="97" t="str">
        <f>Commodities!C141</f>
        <v>Aviation international - Fossil Jet Kerosene - Medium Aircraft - New</v>
      </c>
      <c r="F95" s="98" t="s">
        <v>183</v>
      </c>
      <c r="G95" s="98" t="s">
        <v>184</v>
      </c>
      <c r="K95" s="46"/>
      <c r="P95" s="21"/>
    </row>
    <row r="96" spans="2:16">
      <c r="B96" s="98" t="s">
        <v>28</v>
      </c>
      <c r="D96" s="97" t="str">
        <f>Commodities!B142</f>
        <v>T-LAVI_INT_JETK_NEW</v>
      </c>
      <c r="E96" s="97" t="str">
        <f>Commodities!C142</f>
        <v>Aviation international - Fossil Jet Kerosene - Large Aircraft - New</v>
      </c>
      <c r="F96" s="98" t="s">
        <v>183</v>
      </c>
      <c r="G96" s="98" t="s">
        <v>184</v>
      </c>
      <c r="K96" s="46"/>
      <c r="P96" s="21"/>
    </row>
    <row r="97" spans="2:16">
      <c r="B97" s="98" t="s">
        <v>28</v>
      </c>
      <c r="D97" s="97" t="str">
        <f>Commodities!B143</f>
        <v>T-SAVI_INT_SAF_NEW</v>
      </c>
      <c r="E97" s="97" t="str">
        <f>Commodities!C143</f>
        <v>Aviation international - SAF - Small Aircraft - New</v>
      </c>
      <c r="F97" s="98" t="s">
        <v>183</v>
      </c>
      <c r="G97" s="98" t="s">
        <v>184</v>
      </c>
      <c r="K97" s="46"/>
      <c r="P97" s="21"/>
    </row>
    <row r="98" spans="2:16">
      <c r="B98" s="98" t="s">
        <v>28</v>
      </c>
      <c r="D98" s="97" t="str">
        <f>Commodities!B144</f>
        <v>T-MAVI_INT_SAF_NEW</v>
      </c>
      <c r="E98" s="97" t="str">
        <f>Commodities!C144</f>
        <v>Aviation international - SAF - Medium Aircraft - New</v>
      </c>
      <c r="F98" s="98" t="s">
        <v>183</v>
      </c>
      <c r="G98" s="98" t="s">
        <v>184</v>
      </c>
      <c r="M98">
        <v>2</v>
      </c>
      <c r="P98" s="21"/>
    </row>
    <row r="99" spans="2:16">
      <c r="B99" s="98" t="s">
        <v>28</v>
      </c>
      <c r="D99" s="97" t="str">
        <f>Commodities!B145</f>
        <v>T-LAVI_INT_SAF_NEW</v>
      </c>
      <c r="E99" s="97" t="str">
        <f>Commodities!C145</f>
        <v>Aviation international - SAF - Large Aircraft - New</v>
      </c>
      <c r="F99" s="98" t="s">
        <v>183</v>
      </c>
      <c r="G99" s="98" t="s">
        <v>184</v>
      </c>
      <c r="P99" s="21"/>
    </row>
    <row r="100" spans="2:16">
      <c r="B100" s="98" t="s">
        <v>28</v>
      </c>
      <c r="D100" s="97" t="str">
        <f>Commodities!B146</f>
        <v>T-SAVI_INT_SYN-FUEL_NEW</v>
      </c>
      <c r="E100" s="97" t="str">
        <f>Commodities!C146</f>
        <v>Aviation international - Synthetic Fuel - Small Aircraft - New</v>
      </c>
      <c r="F100" s="98" t="s">
        <v>183</v>
      </c>
      <c r="G100" s="98" t="s">
        <v>184</v>
      </c>
      <c r="P100" s="21"/>
    </row>
    <row r="101" spans="2:16">
      <c r="B101" s="98" t="s">
        <v>28</v>
      </c>
      <c r="D101" s="97" t="str">
        <f>Commodities!B147</f>
        <v>T-MAVI_INT_SYN-FUEL_NEW</v>
      </c>
      <c r="E101" s="97" t="str">
        <f>Commodities!C147</f>
        <v>Aviation international - Synthetic Fuel - Medium Aircraft - New</v>
      </c>
      <c r="F101" s="98" t="s">
        <v>183</v>
      </c>
      <c r="G101" s="98" t="s">
        <v>184</v>
      </c>
      <c r="P101" s="21"/>
    </row>
    <row r="102" spans="2:16">
      <c r="B102" s="98" t="s">
        <v>28</v>
      </c>
      <c r="D102" s="97" t="str">
        <f>Commodities!B148</f>
        <v>T-LAVI_INT_SYN-FUEL_NEW</v>
      </c>
      <c r="E102" s="97" t="str">
        <f>Commodities!C148</f>
        <v>Aviation international - Synthetic Fuel - Large Aircraft - New</v>
      </c>
      <c r="F102" s="98" t="s">
        <v>183</v>
      </c>
      <c r="G102" s="98" t="s">
        <v>184</v>
      </c>
      <c r="P102" s="21"/>
    </row>
    <row r="103" spans="2:16">
      <c r="B103" s="98" t="s">
        <v>28</v>
      </c>
      <c r="D103" s="97" t="str">
        <f>Commodities!B149</f>
        <v>T-SAVI_INT_ELC_NEW</v>
      </c>
      <c r="E103" s="97" t="str">
        <f>Commodities!C149</f>
        <v>Aviation international - Electric - Small Aircraft - New</v>
      </c>
      <c r="F103" s="98" t="s">
        <v>183</v>
      </c>
      <c r="G103" s="98" t="s">
        <v>184</v>
      </c>
      <c r="P103" s="21"/>
    </row>
    <row r="104" spans="2:16">
      <c r="B104" s="98" t="s">
        <v>28</v>
      </c>
      <c r="D104" s="97" t="str">
        <f>Commodities!B150</f>
        <v>T-MAVI_INT_ELC_NEW</v>
      </c>
      <c r="E104" s="97" t="str">
        <f>Commodities!C150</f>
        <v>Aviation international - Electric - Medium Aircraft - New</v>
      </c>
      <c r="F104" s="98" t="s">
        <v>183</v>
      </c>
      <c r="G104" s="98" t="s">
        <v>184</v>
      </c>
      <c r="P104" s="21"/>
    </row>
    <row r="105" spans="2:16">
      <c r="B105" s="98" t="s">
        <v>28</v>
      </c>
      <c r="D105" s="97" t="str">
        <f>Commodities!B151</f>
        <v>T-SAVI_INT_H2_NEW</v>
      </c>
      <c r="E105" s="97" t="str">
        <f>Commodities!C151</f>
        <v>Aviation international - Hydrogen - Small Aircraft - New</v>
      </c>
      <c r="F105" s="98" t="s">
        <v>183</v>
      </c>
      <c r="G105" s="98" t="s">
        <v>184</v>
      </c>
      <c r="P105" s="21"/>
    </row>
    <row r="106" spans="2:16">
      <c r="B106" s="98" t="s">
        <v>28</v>
      </c>
      <c r="D106" s="97" t="str">
        <f>Commodities!B152</f>
        <v>T-MAVI_INT_H2_NEW</v>
      </c>
      <c r="E106" s="97" t="str">
        <f>Commodities!C152</f>
        <v>Aviation international - Hydrogen - Medium Aircraft - New</v>
      </c>
      <c r="F106" s="98" t="s">
        <v>183</v>
      </c>
      <c r="G106" s="98" t="s">
        <v>184</v>
      </c>
      <c r="P106" s="21"/>
    </row>
    <row r="107" spans="2:16">
      <c r="B107" s="98" t="s">
        <v>28</v>
      </c>
      <c r="D107" s="97" t="str">
        <f>Commodities!B153</f>
        <v>T-LAVI_INT_H2_NEW</v>
      </c>
      <c r="E107" s="97" t="str">
        <f>Commodities!C153</f>
        <v>Aviation international - Hydrogen - Large Aircraft - New</v>
      </c>
      <c r="F107" s="98" t="s">
        <v>183</v>
      </c>
      <c r="G107" s="98" t="s">
        <v>184</v>
      </c>
      <c r="P107" s="21"/>
    </row>
    <row r="108" spans="2:16">
      <c r="B108" s="98"/>
      <c r="D108" s="97"/>
      <c r="E108" s="97"/>
      <c r="F108" s="98"/>
      <c r="G108" s="98"/>
      <c r="P108" s="21"/>
    </row>
    <row r="109" spans="2:16">
      <c r="B109" s="98"/>
      <c r="D109" s="97"/>
      <c r="E109" s="97"/>
      <c r="F109" s="98"/>
      <c r="G109" s="98"/>
      <c r="P109" s="21"/>
    </row>
    <row r="110" spans="2:16">
      <c r="B110" s="98"/>
      <c r="D110" s="97"/>
      <c r="E110" s="97"/>
      <c r="F110" s="98"/>
      <c r="G110" s="98"/>
      <c r="P110" s="21"/>
    </row>
    <row r="111" spans="2:16">
      <c r="B111" s="98"/>
      <c r="D111" s="97"/>
      <c r="E111" s="97"/>
      <c r="F111" s="98"/>
      <c r="G111" s="98"/>
      <c r="P111" s="21"/>
    </row>
    <row r="112" spans="2:16">
      <c r="B112" s="98"/>
      <c r="D112" s="97"/>
      <c r="E112" s="97"/>
      <c r="F112" s="98"/>
      <c r="G112" s="98"/>
      <c r="P112" s="21"/>
    </row>
    <row r="113" spans="2:26">
      <c r="B113" s="98"/>
      <c r="D113" s="97"/>
      <c r="E113" s="97"/>
      <c r="F113" s="98"/>
      <c r="G113" s="98"/>
      <c r="P113" s="21"/>
    </row>
    <row r="114" spans="2:26">
      <c r="B114" s="98"/>
      <c r="D114" s="97"/>
      <c r="E114" s="97"/>
      <c r="F114" s="98"/>
      <c r="G114" s="98"/>
      <c r="P114" s="21"/>
    </row>
    <row r="115" spans="2:26">
      <c r="B115" s="98"/>
      <c r="D115" s="97"/>
      <c r="E115" s="97"/>
      <c r="F115" s="98"/>
      <c r="G115" s="98"/>
      <c r="P115" s="21"/>
    </row>
    <row r="116" spans="2:26">
      <c r="B116" s="98"/>
      <c r="D116" s="97"/>
      <c r="E116" s="97"/>
      <c r="F116" s="98"/>
      <c r="G116" s="98"/>
      <c r="P116" s="21"/>
    </row>
    <row r="117" spans="2:26">
      <c r="P117" s="21"/>
    </row>
    <row r="118" spans="2:26">
      <c r="D118" s="6" t="s">
        <v>0</v>
      </c>
      <c r="E118" s="6"/>
      <c r="G118" s="6"/>
      <c r="J118" s="7"/>
      <c r="L118" s="8"/>
    </row>
    <row r="119" spans="2:26">
      <c r="B119" s="10" t="s">
        <v>1</v>
      </c>
      <c r="C119" s="10" t="s">
        <v>3</v>
      </c>
      <c r="D119" s="10" t="s">
        <v>4</v>
      </c>
      <c r="E119" s="10" t="s">
        <v>5</v>
      </c>
      <c r="F119" s="11" t="s">
        <v>107</v>
      </c>
      <c r="G119" s="11" t="s">
        <v>101</v>
      </c>
      <c r="H119" s="11" t="s">
        <v>102</v>
      </c>
      <c r="I119" s="11" t="s">
        <v>525</v>
      </c>
      <c r="J119" s="11" t="s">
        <v>108</v>
      </c>
      <c r="K119" s="11" t="s">
        <v>386</v>
      </c>
      <c r="L119" s="11" t="s">
        <v>103</v>
      </c>
      <c r="M119" s="11" t="s">
        <v>380</v>
      </c>
      <c r="N119" s="11" t="s">
        <v>104</v>
      </c>
      <c r="O119" s="33" t="s">
        <v>110</v>
      </c>
      <c r="P119" s="33" t="s">
        <v>105</v>
      </c>
      <c r="Q119" s="33" t="s">
        <v>106</v>
      </c>
      <c r="R119" s="11" t="s">
        <v>404</v>
      </c>
      <c r="S119" s="11" t="s">
        <v>405</v>
      </c>
      <c r="T119" s="11" t="s">
        <v>406</v>
      </c>
      <c r="U119" s="11" t="s">
        <v>408</v>
      </c>
      <c r="V119" s="11" t="s">
        <v>407</v>
      </c>
      <c r="W119" s="11" t="s">
        <v>29</v>
      </c>
      <c r="X119" s="12" t="s">
        <v>30</v>
      </c>
      <c r="Y119" s="12" t="s">
        <v>20</v>
      </c>
      <c r="Z119" s="95" t="s">
        <v>409</v>
      </c>
    </row>
    <row r="120" spans="2:26" ht="21">
      <c r="B120" s="35" t="s">
        <v>31</v>
      </c>
      <c r="C120" s="14" t="s">
        <v>18</v>
      </c>
      <c r="D120" s="14" t="s">
        <v>19</v>
      </c>
      <c r="E120" s="14"/>
      <c r="F120" s="15" t="s">
        <v>21</v>
      </c>
      <c r="G120" s="15" t="s">
        <v>21</v>
      </c>
      <c r="H120" s="15" t="s">
        <v>21</v>
      </c>
      <c r="I120" s="15" t="s">
        <v>21</v>
      </c>
      <c r="J120" s="15" t="s">
        <v>109</v>
      </c>
      <c r="K120" s="15" t="s">
        <v>109</v>
      </c>
      <c r="L120" s="15" t="s">
        <v>109</v>
      </c>
      <c r="M120" s="15" t="s">
        <v>109</v>
      </c>
      <c r="N120" s="15" t="s">
        <v>109</v>
      </c>
      <c r="O120" s="15" t="s">
        <v>111</v>
      </c>
      <c r="P120" s="15" t="s">
        <v>111</v>
      </c>
      <c r="Q120" s="15" t="s">
        <v>111</v>
      </c>
      <c r="R120" s="16" t="s">
        <v>32</v>
      </c>
      <c r="S120" s="16" t="s">
        <v>32</v>
      </c>
      <c r="T120" s="16" t="s">
        <v>32</v>
      </c>
      <c r="U120" s="16" t="s">
        <v>32</v>
      </c>
      <c r="V120" s="16" t="s">
        <v>32</v>
      </c>
      <c r="W120" s="16" t="s">
        <v>33</v>
      </c>
      <c r="X120" s="15" t="s">
        <v>34</v>
      </c>
      <c r="Y120" s="15" t="s">
        <v>22</v>
      </c>
    </row>
    <row r="121" spans="2:26" ht="55.8" thickBot="1">
      <c r="B121" s="34" t="s">
        <v>35</v>
      </c>
      <c r="C121" s="32"/>
      <c r="D121" s="32"/>
      <c r="E121" s="32"/>
      <c r="F121" s="36" t="s">
        <v>194</v>
      </c>
      <c r="G121" s="36" t="s">
        <v>194</v>
      </c>
      <c r="H121" s="36" t="s">
        <v>194</v>
      </c>
      <c r="I121" s="36" t="s">
        <v>194</v>
      </c>
      <c r="J121" s="36" t="s">
        <v>185</v>
      </c>
      <c r="K121" s="36" t="s">
        <v>185</v>
      </c>
      <c r="L121" s="36" t="s">
        <v>185</v>
      </c>
      <c r="M121" s="36" t="s">
        <v>185</v>
      </c>
      <c r="N121" s="36" t="s">
        <v>185</v>
      </c>
      <c r="O121" s="36" t="s">
        <v>186</v>
      </c>
      <c r="P121" s="36" t="s">
        <v>186</v>
      </c>
      <c r="Q121" s="36" t="s">
        <v>186</v>
      </c>
      <c r="R121" s="36" t="s">
        <v>36</v>
      </c>
      <c r="S121" s="36" t="s">
        <v>36</v>
      </c>
      <c r="T121" s="36" t="s">
        <v>36</v>
      </c>
      <c r="U121" s="36" t="s">
        <v>36</v>
      </c>
      <c r="V121" s="36" t="s">
        <v>36</v>
      </c>
      <c r="W121" s="45" t="s">
        <v>181</v>
      </c>
      <c r="X121" s="36" t="s">
        <v>37</v>
      </c>
      <c r="Y121" s="36" t="s">
        <v>38</v>
      </c>
    </row>
    <row r="122" spans="2:26" ht="14.4">
      <c r="B122" s="26" t="s">
        <v>112</v>
      </c>
      <c r="C122" s="26"/>
      <c r="D122" s="26"/>
      <c r="E122" s="26"/>
      <c r="F122" s="26"/>
      <c r="G122" s="26"/>
      <c r="H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2:26">
      <c r="B123" t="str">
        <f>D7</f>
        <v>T-MOT-ICE_GSL01</v>
      </c>
      <c r="C123" t="str">
        <f>Commodities!B8&amp;","&amp;Commodities!B10</f>
        <v>TRAGSL,TRAETH</v>
      </c>
      <c r="D123" t="str">
        <f>Commodities!B20&amp;","&amp;Commodities!B21</f>
        <v>TRAPS,TRAPM</v>
      </c>
      <c r="E123">
        <v>2019</v>
      </c>
      <c r="F123" s="46">
        <v>0.92589999999999995</v>
      </c>
      <c r="G123" s="46">
        <v>0.95669999999999999</v>
      </c>
      <c r="H123" s="46">
        <v>0.95669999999999999</v>
      </c>
      <c r="J123" s="46">
        <v>3.4222950817033455</v>
      </c>
      <c r="K123" s="46">
        <v>3.4222950817033455</v>
      </c>
      <c r="L123" s="46">
        <v>3.4222950817033455</v>
      </c>
      <c r="M123" s="46">
        <f>L123-((L123-N123)/4)</f>
        <v>3.4222950817033455</v>
      </c>
      <c r="N123" s="46">
        <v>3.4222950817033455</v>
      </c>
      <c r="O123" s="46">
        <v>0.3422293899248452</v>
      </c>
      <c r="P123" s="46">
        <v>0.3422293899248452</v>
      </c>
      <c r="Q123" s="46">
        <v>0.3422293899248452</v>
      </c>
      <c r="R123" s="46">
        <v>2.7309999999999999</v>
      </c>
      <c r="S123" s="46">
        <f>R123</f>
        <v>2.7309999999999999</v>
      </c>
      <c r="T123" s="46">
        <f t="shared" ref="T123:U123" si="0">S123</f>
        <v>2.7309999999999999</v>
      </c>
      <c r="U123" s="46">
        <f t="shared" si="0"/>
        <v>2.7309999999999999</v>
      </c>
      <c r="V123" s="46">
        <v>5</v>
      </c>
      <c r="W123" s="46">
        <v>1</v>
      </c>
      <c r="X123">
        <v>15</v>
      </c>
      <c r="Y123">
        <v>1E-3</v>
      </c>
    </row>
    <row r="124" spans="2:26">
      <c r="B124" t="str">
        <f>D8</f>
        <v>T-MOT-EV_ELC01</v>
      </c>
      <c r="C124" t="str">
        <f>Commodities!B16</f>
        <v>TRAELC</v>
      </c>
      <c r="D124" t="str">
        <f>Commodities!B20&amp;","&amp;Commodities!B21</f>
        <v>TRAPS,TRAPM</v>
      </c>
      <c r="E124">
        <v>2019</v>
      </c>
      <c r="F124" s="46">
        <v>8.1395999999999997</v>
      </c>
      <c r="G124" s="46">
        <v>8.4863</v>
      </c>
      <c r="H124" s="46">
        <v>9.2248000000000001</v>
      </c>
      <c r="J124" s="46">
        <v>4.6090790626979734</v>
      </c>
      <c r="K124" s="46">
        <v>4.6090790626979734</v>
      </c>
      <c r="L124" s="46">
        <v>4.3665433408192547</v>
      </c>
      <c r="M124" s="46">
        <f>L124-((L124-N124)/4)</f>
        <v>4.3691260637053775</v>
      </c>
      <c r="N124" s="46">
        <v>4.3768742323637451</v>
      </c>
      <c r="O124" s="46">
        <v>0.44354152667015678</v>
      </c>
      <c r="P124" s="46">
        <v>0.44354152667015678</v>
      </c>
      <c r="Q124" s="46">
        <v>0.44354152667015678</v>
      </c>
      <c r="R124" s="46">
        <v>2.7309999999999999</v>
      </c>
      <c r="S124" s="46">
        <f>R124</f>
        <v>2.7309999999999999</v>
      </c>
      <c r="T124" s="46">
        <f t="shared" ref="T124:U124" si="1">S124</f>
        <v>2.7309999999999999</v>
      </c>
      <c r="U124" s="46">
        <f t="shared" si="1"/>
        <v>2.7309999999999999</v>
      </c>
      <c r="V124" s="46">
        <v>5</v>
      </c>
      <c r="W124" s="46">
        <v>1</v>
      </c>
      <c r="X124">
        <v>15</v>
      </c>
      <c r="Y124">
        <v>1E-3</v>
      </c>
    </row>
    <row r="125" spans="2:26" ht="14.4">
      <c r="B125" s="26" t="s">
        <v>113</v>
      </c>
      <c r="C125" s="26"/>
      <c r="D125" s="26"/>
      <c r="E125" s="26"/>
      <c r="F125" s="26"/>
      <c r="G125" s="26"/>
      <c r="H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2:26">
      <c r="B126" t="str">
        <f t="shared" ref="B126:B144" si="2">D10</f>
        <v>T-CAR-ICE_GSL21</v>
      </c>
      <c r="C126" t="str">
        <f>Commodities!B8&amp;","&amp;Commodities!B10</f>
        <v>TRAGSL,TRAETH</v>
      </c>
      <c r="D126" t="str">
        <f>Commodities!B20&amp;","&amp;Commodities!B21&amp;","&amp;Commodities!B22</f>
        <v>TRAPS,TRAPM,TRAPL</v>
      </c>
      <c r="E126">
        <v>2019</v>
      </c>
      <c r="F126" s="46">
        <v>0.41317922700087906</v>
      </c>
      <c r="G126" s="46">
        <v>0.41317922700087906</v>
      </c>
      <c r="H126" s="46">
        <v>0.44341185336679706</v>
      </c>
      <c r="J126" s="46">
        <f>'Purchase price'!B91/1000</f>
        <v>20.290144783549959</v>
      </c>
      <c r="K126" s="46">
        <f>AVERAGE(J126,L126)</f>
        <v>20.290144783549959</v>
      </c>
      <c r="L126" s="46">
        <f>J126</f>
        <v>20.290144783549959</v>
      </c>
      <c r="M126" s="46">
        <f>L126-((L126-N126)/4)</f>
        <v>20.290144783549959</v>
      </c>
      <c r="N126" s="46">
        <f>L126</f>
        <v>20.290144783549959</v>
      </c>
      <c r="O126" s="46">
        <v>1.0145072391774981</v>
      </c>
      <c r="P126" s="46">
        <v>1.0145072391774981</v>
      </c>
      <c r="Q126" s="46">
        <v>1.0145072391774981</v>
      </c>
      <c r="R126" s="46">
        <v>16.7</v>
      </c>
      <c r="S126" s="46">
        <f>R126</f>
        <v>16.7</v>
      </c>
      <c r="T126" s="46">
        <f>S126*0.7</f>
        <v>11.69</v>
      </c>
      <c r="U126" s="46">
        <v>16.7</v>
      </c>
      <c r="V126" s="46">
        <v>5</v>
      </c>
      <c r="W126" s="46">
        <v>1.4</v>
      </c>
      <c r="X126">
        <v>25</v>
      </c>
      <c r="Y126">
        <v>1E-3</v>
      </c>
    </row>
    <row r="127" spans="2:26">
      <c r="B127" t="str">
        <f t="shared" si="2"/>
        <v>T-CAR-ICE_DST21</v>
      </c>
      <c r="C127" t="str">
        <f>Commodities!B9&amp;","&amp;Commodities!B11</f>
        <v>TRADST,TRABDL</v>
      </c>
      <c r="D127" t="str">
        <f>Commodities!B20&amp;","&amp;Commodities!B21&amp;","&amp;Commodities!B22</f>
        <v>TRAPS,TRAPM,TRAPL</v>
      </c>
      <c r="E127">
        <v>2019</v>
      </c>
      <c r="F127" s="46">
        <v>0.57280851694001578</v>
      </c>
      <c r="G127" s="46">
        <v>0.57280851694001578</v>
      </c>
      <c r="H127" s="46">
        <v>0.61472133525270012</v>
      </c>
      <c r="J127" s="46">
        <f>'Purchase price'!B90/1000</f>
        <v>21.831587082756254</v>
      </c>
      <c r="K127" s="46">
        <f t="shared" ref="K127:K144" si="3">AVERAGE(J127,L127)</f>
        <v>21.831587082756254</v>
      </c>
      <c r="L127" s="46">
        <f>J127</f>
        <v>21.831587082756254</v>
      </c>
      <c r="M127" s="46">
        <f t="shared" ref="M127:M164" si="4">L127-((L127-N127)/4)</f>
        <v>21.831587082756254</v>
      </c>
      <c r="N127" s="46">
        <f>L127</f>
        <v>21.831587082756254</v>
      </c>
      <c r="O127" s="46">
        <v>1.0915793541378127</v>
      </c>
      <c r="P127" s="46">
        <v>1.0915793541378127</v>
      </c>
      <c r="Q127" s="46">
        <v>1.0915793541378127</v>
      </c>
      <c r="R127" s="46">
        <v>16.7</v>
      </c>
      <c r="S127" s="46">
        <f t="shared" ref="S127:S144" si="5">R127</f>
        <v>16.7</v>
      </c>
      <c r="T127" s="46">
        <f t="shared" ref="T127:T144" si="6">S127*0.7</f>
        <v>11.69</v>
      </c>
      <c r="U127" s="46">
        <v>16.7</v>
      </c>
      <c r="V127" s="46">
        <v>5</v>
      </c>
      <c r="W127" s="46">
        <v>1.4</v>
      </c>
      <c r="X127">
        <v>25</v>
      </c>
      <c r="Y127">
        <v>1E-3</v>
      </c>
    </row>
    <row r="128" spans="2:26">
      <c r="B128" t="str">
        <f t="shared" si="2"/>
        <v>T-CAR-ICE_DF21</v>
      </c>
      <c r="C128" t="str">
        <f>Commodities!B8&amp;","&amp;Commodities!B13</f>
        <v>TRAGSL,TRACNG</v>
      </c>
      <c r="D128" t="str">
        <f>Commodities!B20&amp;","&amp;Commodities!B21&amp;","&amp;Commodities!B22</f>
        <v>TRAPS,TRAPM,TRAPL</v>
      </c>
      <c r="E128">
        <v>2019</v>
      </c>
      <c r="F128" s="46">
        <v>0.41317922700087906</v>
      </c>
      <c r="G128" s="46">
        <v>0.41317922700087906</v>
      </c>
      <c r="H128" s="46">
        <v>0.44341185336679706</v>
      </c>
      <c r="J128" s="46">
        <v>21.831587082756254</v>
      </c>
      <c r="K128" s="46">
        <f t="shared" si="3"/>
        <v>21.831587082756254</v>
      </c>
      <c r="L128" s="46">
        <v>21.831587082756254</v>
      </c>
      <c r="M128" s="46">
        <f t="shared" si="4"/>
        <v>21.831587082756254</v>
      </c>
      <c r="N128" s="46">
        <v>21.831587082756254</v>
      </c>
      <c r="O128" s="46">
        <v>1.0915793541378127</v>
      </c>
      <c r="P128" s="46">
        <v>1.0915793541378127</v>
      </c>
      <c r="Q128" s="46">
        <v>1.0915793541378127</v>
      </c>
      <c r="R128" s="46">
        <v>16.7</v>
      </c>
      <c r="S128" s="46">
        <f t="shared" si="5"/>
        <v>16.7</v>
      </c>
      <c r="T128" s="46">
        <f t="shared" si="6"/>
        <v>11.69</v>
      </c>
      <c r="U128" s="46">
        <v>16.7</v>
      </c>
      <c r="V128" s="46">
        <v>5</v>
      </c>
      <c r="W128" s="46">
        <v>1.4</v>
      </c>
      <c r="X128">
        <v>25</v>
      </c>
      <c r="Y128">
        <v>1E-3</v>
      </c>
    </row>
    <row r="129" spans="2:25">
      <c r="B129" t="str">
        <f t="shared" si="2"/>
        <v>T-CAR-ICE_NGB21</v>
      </c>
      <c r="C129" t="str">
        <f>Commodities!B13&amp;","&amp;Commodities!B15</f>
        <v>TRACNG,TRABNG</v>
      </c>
      <c r="D129" t="str">
        <f>Commodities!B20&amp;","&amp;Commodities!B21&amp;","&amp;Commodities!B22</f>
        <v>TRAPS,TRAPM,TRAPL</v>
      </c>
      <c r="E129" s="94">
        <v>2030</v>
      </c>
      <c r="F129" s="46">
        <v>0.41317922700087906</v>
      </c>
      <c r="G129" s="46">
        <v>0.41317922700087906</v>
      </c>
      <c r="H129" s="46">
        <v>0.44341185336679706</v>
      </c>
      <c r="J129" s="46">
        <v>24.631</v>
      </c>
      <c r="K129" s="46">
        <f t="shared" si="3"/>
        <v>24.631</v>
      </c>
      <c r="L129" s="46">
        <v>24.631</v>
      </c>
      <c r="M129" s="46">
        <f t="shared" si="4"/>
        <v>24.631</v>
      </c>
      <c r="N129" s="46">
        <v>24.631</v>
      </c>
      <c r="O129" s="46">
        <v>1.2315500000000001</v>
      </c>
      <c r="P129" s="46">
        <v>1.2315500000000001</v>
      </c>
      <c r="Q129" s="46">
        <v>1.2315500000000001</v>
      </c>
      <c r="R129" s="46">
        <v>16.7</v>
      </c>
      <c r="S129" s="46">
        <f t="shared" si="5"/>
        <v>16.7</v>
      </c>
      <c r="T129" s="46">
        <f t="shared" si="6"/>
        <v>11.69</v>
      </c>
      <c r="U129" s="46">
        <v>16.7</v>
      </c>
      <c r="V129" s="46">
        <v>5</v>
      </c>
      <c r="W129" s="46">
        <v>1.4</v>
      </c>
      <c r="X129">
        <v>25</v>
      </c>
      <c r="Y129">
        <v>1E-3</v>
      </c>
    </row>
    <row r="130" spans="2:25">
      <c r="B130" t="str">
        <f t="shared" si="2"/>
        <v>T-CAR-ICE_E8521</v>
      </c>
      <c r="C130" t="str">
        <f>Commodities!B8&amp;","&amp;Commodities!B10</f>
        <v>TRAGSL,TRAETH</v>
      </c>
      <c r="D130" t="str">
        <f>Commodities!B20&amp;","&amp;Commodities!B21&amp;","&amp;Commodities!B22</f>
        <v>TRAPS,TRAPM,TRAPL</v>
      </c>
      <c r="E130" s="94">
        <v>2030</v>
      </c>
      <c r="F130" s="46">
        <v>0.38903594158617399</v>
      </c>
      <c r="G130" s="46">
        <v>0.38903594158617399</v>
      </c>
      <c r="H130" s="46">
        <v>0.41750198609247946</v>
      </c>
      <c r="J130" s="46">
        <v>20.290144783549959</v>
      </c>
      <c r="K130" s="46">
        <f t="shared" si="3"/>
        <v>20.290144783549959</v>
      </c>
      <c r="L130" s="46">
        <v>20.290144783549959</v>
      </c>
      <c r="M130" s="46">
        <f t="shared" si="4"/>
        <v>20.290144783549959</v>
      </c>
      <c r="N130" s="46">
        <v>20.290144783549959</v>
      </c>
      <c r="O130" s="46">
        <v>1.0145072391774981</v>
      </c>
      <c r="P130" s="46">
        <v>1.0145072391774981</v>
      </c>
      <c r="Q130" s="46">
        <v>1.0145072391774981</v>
      </c>
      <c r="R130" s="46">
        <v>16.7</v>
      </c>
      <c r="S130" s="46">
        <f t="shared" si="5"/>
        <v>16.7</v>
      </c>
      <c r="T130" s="46">
        <f t="shared" si="6"/>
        <v>11.69</v>
      </c>
      <c r="U130" s="46">
        <v>16.7</v>
      </c>
      <c r="V130" s="46">
        <v>5</v>
      </c>
      <c r="W130" s="46">
        <v>1.4</v>
      </c>
      <c r="X130">
        <v>25</v>
      </c>
      <c r="Y130">
        <v>1E-3</v>
      </c>
    </row>
    <row r="131" spans="2:25">
      <c r="B131" t="str">
        <f t="shared" si="2"/>
        <v>T-CAR-ICE_B10021</v>
      </c>
      <c r="C131" t="str">
        <f>Commodities!B11</f>
        <v>TRABDL</v>
      </c>
      <c r="D131" t="str">
        <f>Commodities!B20&amp;","&amp;Commodities!B21&amp;","&amp;Commodities!B22</f>
        <v>TRAPS,TRAPM,TRAPL</v>
      </c>
      <c r="E131" s="94">
        <v>2050</v>
      </c>
      <c r="F131" s="46">
        <v>0.55562426143181531</v>
      </c>
      <c r="G131" s="46">
        <v>0.55562426143181531</v>
      </c>
      <c r="H131" s="46">
        <v>0.59627969519511903</v>
      </c>
      <c r="J131" s="46">
        <v>21.831587082756254</v>
      </c>
      <c r="K131" s="46">
        <f t="shared" si="3"/>
        <v>21.831587082756254</v>
      </c>
      <c r="L131" s="46">
        <v>21.831587082756254</v>
      </c>
      <c r="M131" s="46">
        <f t="shared" si="4"/>
        <v>21.831587082756254</v>
      </c>
      <c r="N131" s="46">
        <v>21.831587082756254</v>
      </c>
      <c r="O131" s="46">
        <v>1.0915793541378127</v>
      </c>
      <c r="P131" s="46">
        <v>1.0915793541378127</v>
      </c>
      <c r="Q131" s="46">
        <v>1.0915793541378127</v>
      </c>
      <c r="R131" s="46">
        <v>16.7</v>
      </c>
      <c r="S131" s="46">
        <f t="shared" si="5"/>
        <v>16.7</v>
      </c>
      <c r="T131" s="46">
        <f t="shared" si="6"/>
        <v>11.69</v>
      </c>
      <c r="U131" s="46">
        <v>16.7</v>
      </c>
      <c r="V131" s="46">
        <v>5</v>
      </c>
      <c r="W131" s="46">
        <v>1.4</v>
      </c>
      <c r="X131">
        <v>25</v>
      </c>
      <c r="Y131">
        <v>1E-3</v>
      </c>
    </row>
    <row r="132" spans="2:25">
      <c r="B132" t="str">
        <f t="shared" si="2"/>
        <v>T-CAR-HEV_GSL21</v>
      </c>
      <c r="C132" t="str">
        <f>Commodities!B8&amp;","&amp;Commodities!B10</f>
        <v>TRAGSL,TRAETH</v>
      </c>
      <c r="D132" t="str">
        <f>Commodities!B20&amp;","&amp;Commodities!B21&amp;","&amp;Commodities!B22</f>
        <v>TRAPS,TRAPM,TRAPL</v>
      </c>
      <c r="E132">
        <v>2019</v>
      </c>
      <c r="F132" s="46">
        <v>0.55576563083739139</v>
      </c>
      <c r="G132" s="46">
        <v>0.55576563083739139</v>
      </c>
      <c r="H132" s="46">
        <v>0.59643140870354205</v>
      </c>
      <c r="J132" s="46">
        <v>23.751999999999999</v>
      </c>
      <c r="K132" s="46">
        <f t="shared" si="3"/>
        <v>23.613999999999997</v>
      </c>
      <c r="L132" s="46">
        <v>23.475999999999999</v>
      </c>
      <c r="M132" s="46">
        <f t="shared" si="4"/>
        <v>23.299250000000001</v>
      </c>
      <c r="N132" s="46">
        <v>22.768999999999998</v>
      </c>
      <c r="O132" s="46">
        <v>1.1876000000000002</v>
      </c>
      <c r="P132" s="46">
        <v>1.1738</v>
      </c>
      <c r="Q132" s="46">
        <v>1.13845</v>
      </c>
      <c r="R132" s="46">
        <v>16.7</v>
      </c>
      <c r="S132" s="46">
        <f t="shared" si="5"/>
        <v>16.7</v>
      </c>
      <c r="T132" s="46">
        <f t="shared" si="6"/>
        <v>11.69</v>
      </c>
      <c r="U132" s="46">
        <v>16.7</v>
      </c>
      <c r="V132" s="46">
        <v>5</v>
      </c>
      <c r="W132" s="46">
        <v>1.4</v>
      </c>
      <c r="X132">
        <v>25</v>
      </c>
      <c r="Y132">
        <v>1E-3</v>
      </c>
    </row>
    <row r="133" spans="2:25">
      <c r="B133" t="str">
        <f t="shared" si="2"/>
        <v>T-CAR-HEV_DST21</v>
      </c>
      <c r="C133" t="str">
        <f>Commodities!B9&amp;","&amp;Commodities!B11</f>
        <v>TRADST,TRABDL</v>
      </c>
      <c r="D133" t="str">
        <f>Commodities!B20&amp;","&amp;Commodities!B21&amp;","&amp;Commodities!B22</f>
        <v>TRAPS,TRAPM,TRAPL</v>
      </c>
      <c r="E133">
        <v>2019</v>
      </c>
      <c r="F133" s="46">
        <v>0.7191140687029639</v>
      </c>
      <c r="G133" s="46">
        <v>0.7191140687029639</v>
      </c>
      <c r="H133" s="46">
        <v>0.7717321712909857</v>
      </c>
      <c r="J133" s="46">
        <v>25.646000000000001</v>
      </c>
      <c r="K133" s="46">
        <f t="shared" si="3"/>
        <v>25.489000000000001</v>
      </c>
      <c r="L133" s="46">
        <v>25.332000000000001</v>
      </c>
      <c r="M133" s="46">
        <f t="shared" si="4"/>
        <v>25.141249999999999</v>
      </c>
      <c r="N133" s="46">
        <v>24.568999999999999</v>
      </c>
      <c r="O133" s="46">
        <v>1.2823000000000002</v>
      </c>
      <c r="P133" s="46">
        <v>1.2666000000000002</v>
      </c>
      <c r="Q133" s="46">
        <v>1.22845</v>
      </c>
      <c r="R133" s="46">
        <v>16.7</v>
      </c>
      <c r="S133" s="46">
        <f t="shared" si="5"/>
        <v>16.7</v>
      </c>
      <c r="T133" s="46">
        <f t="shared" si="6"/>
        <v>11.69</v>
      </c>
      <c r="U133" s="46">
        <v>16.7</v>
      </c>
      <c r="V133" s="46">
        <v>5</v>
      </c>
      <c r="W133" s="46">
        <v>1.4</v>
      </c>
      <c r="X133">
        <v>25</v>
      </c>
      <c r="Y133">
        <v>1E-3</v>
      </c>
    </row>
    <row r="134" spans="2:25">
      <c r="B134" t="str">
        <f t="shared" si="2"/>
        <v>T-CAR-PHEV10_GSL21</v>
      </c>
      <c r="C134" t="str">
        <f>Commodities!B8&amp;","&amp;Commodities!B16</f>
        <v>TRAGSL,TRAELC</v>
      </c>
      <c r="D134" t="str">
        <f>Commodities!B20&amp;","&amp;Commodities!B21&amp;","&amp;Commodities!B22</f>
        <v>TRAPS,TRAPM,TRAPL</v>
      </c>
      <c r="E134">
        <v>2019</v>
      </c>
      <c r="F134" s="46">
        <v>0.66746450139399738</v>
      </c>
      <c r="G134" s="46">
        <v>0.71490114421226547</v>
      </c>
      <c r="H134" s="46">
        <v>0.76730227520164618</v>
      </c>
      <c r="J134" s="46">
        <v>30.9495</v>
      </c>
      <c r="K134" s="46">
        <f t="shared" si="3"/>
        <v>28.889250000000001</v>
      </c>
      <c r="L134" s="46">
        <v>26.829000000000001</v>
      </c>
      <c r="M134" s="46">
        <f t="shared" si="4"/>
        <v>26.464500000000001</v>
      </c>
      <c r="N134" s="46">
        <v>25.370999999999999</v>
      </c>
      <c r="O134" s="46">
        <v>1.5474750000000002</v>
      </c>
      <c r="P134" s="46">
        <v>1.34145</v>
      </c>
      <c r="Q134" s="46">
        <v>1.2685500000000003</v>
      </c>
      <c r="R134" s="46">
        <v>16.7</v>
      </c>
      <c r="S134" s="46">
        <f t="shared" si="5"/>
        <v>16.7</v>
      </c>
      <c r="T134" s="46">
        <f t="shared" si="6"/>
        <v>11.69</v>
      </c>
      <c r="U134" s="46">
        <v>16.7</v>
      </c>
      <c r="V134" s="46">
        <v>5</v>
      </c>
      <c r="W134" s="46">
        <v>1.4</v>
      </c>
      <c r="X134">
        <v>25</v>
      </c>
      <c r="Y134">
        <v>1E-3</v>
      </c>
    </row>
    <row r="135" spans="2:25">
      <c r="B135" t="str">
        <f t="shared" si="2"/>
        <v>T-CAR-PHEV20_GSL21</v>
      </c>
      <c r="C135" t="str">
        <f>Commodities!B8&amp;","&amp;Commodities!B16</f>
        <v>TRAGSL,TRAELC</v>
      </c>
      <c r="D135" t="str">
        <f>Commodities!B20&amp;","&amp;Commodities!B21&amp;","&amp;Commodities!B22</f>
        <v>TRAPS,TRAPM,TRAPL</v>
      </c>
      <c r="E135">
        <v>2019</v>
      </c>
      <c r="F135" s="46">
        <v>0.94004558122126858</v>
      </c>
      <c r="G135" s="46">
        <v>1.0068545371674693</v>
      </c>
      <c r="H135" s="46">
        <v>1.0806553932949277</v>
      </c>
      <c r="J135" s="46">
        <v>30.9495</v>
      </c>
      <c r="K135" s="46">
        <f t="shared" si="3"/>
        <v>28.889250000000001</v>
      </c>
      <c r="L135" s="46">
        <v>26.829000000000001</v>
      </c>
      <c r="M135" s="46">
        <f t="shared" si="4"/>
        <v>26.464500000000001</v>
      </c>
      <c r="N135" s="46">
        <v>25.370999999999999</v>
      </c>
      <c r="O135" s="46">
        <v>1.5474750000000002</v>
      </c>
      <c r="P135" s="46">
        <v>1.34145</v>
      </c>
      <c r="Q135" s="46">
        <v>1.2685500000000003</v>
      </c>
      <c r="R135" s="46">
        <v>16.7</v>
      </c>
      <c r="S135" s="46">
        <f t="shared" si="5"/>
        <v>16.7</v>
      </c>
      <c r="T135" s="46">
        <f t="shared" si="6"/>
        <v>11.69</v>
      </c>
      <c r="U135" s="46">
        <v>16.7</v>
      </c>
      <c r="V135" s="46">
        <v>5</v>
      </c>
      <c r="W135" s="46">
        <v>1.4</v>
      </c>
      <c r="X135">
        <v>25</v>
      </c>
      <c r="Y135">
        <v>1E-3</v>
      </c>
    </row>
    <row r="136" spans="2:25">
      <c r="B136" t="str">
        <f t="shared" si="2"/>
        <v>T-CAR-PHEV40_GSL21</v>
      </c>
      <c r="C136" t="str">
        <f>Commodities!B8&amp;","&amp;Commodities!B16</f>
        <v>TRAGSL,TRAELC</v>
      </c>
      <c r="D136" t="str">
        <f>Commodities!B20&amp;","&amp;Commodities!B21&amp;","&amp;Commodities!B22</f>
        <v>TRAPS,TRAPM,TRAPL</v>
      </c>
      <c r="E136">
        <v>2019</v>
      </c>
      <c r="F136" s="46">
        <v>1.1256490393255483</v>
      </c>
      <c r="G136" s="46">
        <v>1.205648816550694</v>
      </c>
      <c r="H136" s="46">
        <v>1.2940209811146188</v>
      </c>
      <c r="J136" s="46">
        <v>30.9495</v>
      </c>
      <c r="K136" s="46">
        <f t="shared" si="3"/>
        <v>28.889250000000001</v>
      </c>
      <c r="L136" s="46">
        <v>26.829000000000001</v>
      </c>
      <c r="M136" s="46">
        <f t="shared" si="4"/>
        <v>26.464500000000001</v>
      </c>
      <c r="N136" s="46">
        <v>25.370999999999999</v>
      </c>
      <c r="O136" s="46">
        <v>1.5474750000000002</v>
      </c>
      <c r="P136" s="46">
        <v>1.34145</v>
      </c>
      <c r="Q136" s="46">
        <v>1.2685500000000003</v>
      </c>
      <c r="R136" s="46">
        <v>16.7</v>
      </c>
      <c r="S136" s="46">
        <f t="shared" si="5"/>
        <v>16.7</v>
      </c>
      <c r="T136" s="46">
        <f t="shared" si="6"/>
        <v>11.69</v>
      </c>
      <c r="U136" s="46">
        <v>16.7</v>
      </c>
      <c r="V136" s="46">
        <v>5</v>
      </c>
      <c r="W136" s="46">
        <v>1.4</v>
      </c>
      <c r="X136">
        <v>25</v>
      </c>
      <c r="Y136">
        <v>1E-3</v>
      </c>
    </row>
    <row r="137" spans="2:25">
      <c r="B137" t="str">
        <f t="shared" si="2"/>
        <v>T-CAR-PHEV10_DST21</v>
      </c>
      <c r="C137" t="str">
        <f>Commodities!B9&amp;","&amp;Commodities!B16</f>
        <v>TRADST,TRAELC</v>
      </c>
      <c r="D137" t="str">
        <f>Commodities!B20&amp;","&amp;Commodities!B21&amp;","&amp;Commodities!B22</f>
        <v>TRAPS,TRAPM,TRAPL</v>
      </c>
      <c r="E137">
        <v>2019</v>
      </c>
      <c r="F137" s="46">
        <v>1.0317522356667617</v>
      </c>
      <c r="G137" s="46">
        <v>1.1050787753974236</v>
      </c>
      <c r="H137" s="46">
        <v>1.1860793139082293</v>
      </c>
      <c r="J137" s="46">
        <v>33.423499999999997</v>
      </c>
      <c r="K137" s="46">
        <f t="shared" si="3"/>
        <v>31.186749999999996</v>
      </c>
      <c r="L137" s="46">
        <v>28.95</v>
      </c>
      <c r="M137" s="46">
        <f t="shared" si="4"/>
        <v>28.556750000000001</v>
      </c>
      <c r="N137" s="46">
        <v>27.376999999999999</v>
      </c>
      <c r="O137" s="46">
        <v>1.6711750000000001</v>
      </c>
      <c r="P137" s="46">
        <v>1.4475</v>
      </c>
      <c r="Q137" s="46">
        <v>1.3688500000000001</v>
      </c>
      <c r="R137" s="46">
        <v>16.7</v>
      </c>
      <c r="S137" s="46">
        <f t="shared" si="5"/>
        <v>16.7</v>
      </c>
      <c r="T137" s="46">
        <f t="shared" si="6"/>
        <v>11.69</v>
      </c>
      <c r="U137" s="46">
        <v>16.7</v>
      </c>
      <c r="V137" s="46">
        <v>5</v>
      </c>
      <c r="W137" s="46">
        <v>1.4</v>
      </c>
      <c r="X137">
        <v>25</v>
      </c>
      <c r="Y137">
        <v>1E-3</v>
      </c>
    </row>
    <row r="138" spans="2:25">
      <c r="B138" t="str">
        <f t="shared" si="2"/>
        <v>T-CAR-PHEV20_DST21</v>
      </c>
      <c r="C138" t="str">
        <f>Commodities!B9&amp;","&amp;Commodities!B16</f>
        <v>TRADST,TRAELC</v>
      </c>
      <c r="D138" t="str">
        <f>Commodities!B20&amp;","&amp;Commodities!B21&amp;","&amp;Commodities!B22</f>
        <v>TRAPS,TRAPM,TRAPL</v>
      </c>
      <c r="E138">
        <v>2019</v>
      </c>
      <c r="F138" s="46">
        <v>1.2163400634539354</v>
      </c>
      <c r="G138" s="46">
        <v>1.3027852437071312</v>
      </c>
      <c r="H138" s="46">
        <v>1.3982773558113184</v>
      </c>
      <c r="J138" s="46">
        <v>33.423499999999997</v>
      </c>
      <c r="K138" s="46">
        <f t="shared" si="3"/>
        <v>31.186749999999996</v>
      </c>
      <c r="L138" s="46">
        <v>28.95</v>
      </c>
      <c r="M138" s="46">
        <f t="shared" si="4"/>
        <v>28.556750000000001</v>
      </c>
      <c r="N138" s="46">
        <v>27.376999999999999</v>
      </c>
      <c r="O138" s="46">
        <v>1.6711750000000001</v>
      </c>
      <c r="P138" s="46">
        <v>1.4475</v>
      </c>
      <c r="Q138" s="46">
        <v>1.3688500000000001</v>
      </c>
      <c r="R138" s="46">
        <v>16.7</v>
      </c>
      <c r="S138" s="46">
        <f t="shared" si="5"/>
        <v>16.7</v>
      </c>
      <c r="T138" s="46">
        <f t="shared" si="6"/>
        <v>11.69</v>
      </c>
      <c r="U138" s="46">
        <v>16.7</v>
      </c>
      <c r="V138" s="46">
        <v>5</v>
      </c>
      <c r="W138" s="46">
        <v>1.4</v>
      </c>
      <c r="X138">
        <v>25</v>
      </c>
      <c r="Y138">
        <v>1E-3</v>
      </c>
    </row>
    <row r="139" spans="2:25">
      <c r="B139" t="str">
        <f t="shared" si="2"/>
        <v>T-CAR-PHEV40_DST21</v>
      </c>
      <c r="C139" t="str">
        <f>Commodities!B9&amp;","&amp;Commodities!B16</f>
        <v>TRADST,TRAELC</v>
      </c>
      <c r="D139" t="str">
        <f>Commodities!B20&amp;","&amp;Commodities!B21&amp;","&amp;Commodities!B22</f>
        <v>TRAPS,TRAPM,TRAPL</v>
      </c>
      <c r="E139">
        <v>2019</v>
      </c>
      <c r="F139" s="46">
        <v>1.2298935814529692</v>
      </c>
      <c r="G139" s="46">
        <v>1.3173020090262975</v>
      </c>
      <c r="H139" s="46">
        <v>1.4138581772271772</v>
      </c>
      <c r="J139" s="46">
        <v>33.423499999999997</v>
      </c>
      <c r="K139" s="46">
        <f t="shared" si="3"/>
        <v>31.186749999999996</v>
      </c>
      <c r="L139" s="46">
        <v>28.95</v>
      </c>
      <c r="M139" s="46">
        <f t="shared" si="4"/>
        <v>28.556750000000001</v>
      </c>
      <c r="N139" s="46">
        <v>27.376999999999999</v>
      </c>
      <c r="O139" s="46">
        <v>1.6711750000000001</v>
      </c>
      <c r="P139" s="46">
        <v>1.4475</v>
      </c>
      <c r="Q139" s="46">
        <v>1.3688500000000001</v>
      </c>
      <c r="R139" s="46">
        <v>16.7</v>
      </c>
      <c r="S139" s="46">
        <f t="shared" si="5"/>
        <v>16.7</v>
      </c>
      <c r="T139" s="46">
        <f t="shared" si="6"/>
        <v>11.69</v>
      </c>
      <c r="U139" s="46">
        <v>16.7</v>
      </c>
      <c r="V139" s="46">
        <v>5</v>
      </c>
      <c r="W139" s="46">
        <v>1.4</v>
      </c>
      <c r="X139">
        <v>25</v>
      </c>
      <c r="Y139">
        <v>1E-3</v>
      </c>
    </row>
    <row r="140" spans="2:25">
      <c r="B140" t="str">
        <f t="shared" si="2"/>
        <v>T-CAR-BEV100_ELC21</v>
      </c>
      <c r="C140" t="str">
        <f>Commodities!B16</f>
        <v>TRAELC</v>
      </c>
      <c r="D140" t="str">
        <f>Commodities!B20&amp;","&amp;Commodities!B21&amp;","&amp;Commodities!B22</f>
        <v>TRAPS,TRAPM,TRAPL</v>
      </c>
      <c r="E140">
        <v>2019</v>
      </c>
      <c r="F140" s="46">
        <v>1.6228513192037117</v>
      </c>
      <c r="G140" s="46">
        <v>1.7464971340001851</v>
      </c>
      <c r="H140" s="46">
        <v>1.8856843622815582</v>
      </c>
      <c r="J140" s="46">
        <v>32.970999999999997</v>
      </c>
      <c r="K140" s="46">
        <f t="shared" si="3"/>
        <v>30.275999999999996</v>
      </c>
      <c r="L140" s="46">
        <v>27.581</v>
      </c>
      <c r="M140" s="46">
        <f t="shared" si="4"/>
        <v>26.847249999999999</v>
      </c>
      <c r="N140" s="46">
        <v>24.646000000000001</v>
      </c>
      <c r="O140" s="46">
        <v>0.82427499999999998</v>
      </c>
      <c r="P140" s="46">
        <v>0.68952500000000005</v>
      </c>
      <c r="Q140" s="46">
        <v>0.61615000000000009</v>
      </c>
      <c r="R140" s="46">
        <v>16.7</v>
      </c>
      <c r="S140" s="46">
        <f t="shared" si="5"/>
        <v>16.7</v>
      </c>
      <c r="T140" s="46">
        <f t="shared" si="6"/>
        <v>11.69</v>
      </c>
      <c r="U140" s="46">
        <v>16.7</v>
      </c>
      <c r="V140" s="46">
        <v>5</v>
      </c>
      <c r="W140" s="46">
        <v>1.4</v>
      </c>
      <c r="X140">
        <v>25</v>
      </c>
      <c r="Y140">
        <v>1E-3</v>
      </c>
    </row>
    <row r="141" spans="2:25">
      <c r="B141" t="str">
        <f t="shared" si="2"/>
        <v>T-CAR-BEV150_ELC21</v>
      </c>
      <c r="C141" t="str">
        <f>Commodities!B16</f>
        <v>TRAELC</v>
      </c>
      <c r="D141" t="str">
        <f>Commodities!B20&amp;","&amp;Commodities!B21&amp;","&amp;Commodities!B22</f>
        <v>TRAPS,TRAPM,TRAPL</v>
      </c>
      <c r="E141">
        <v>2019</v>
      </c>
      <c r="F141" s="46">
        <v>1.6228513192037117</v>
      </c>
      <c r="G141" s="46">
        <v>1.7464971340001851</v>
      </c>
      <c r="H141" s="46">
        <v>1.8856843622815582</v>
      </c>
      <c r="J141" s="46">
        <v>32.970999999999997</v>
      </c>
      <c r="K141" s="46">
        <f t="shared" si="3"/>
        <v>30.275999999999996</v>
      </c>
      <c r="L141" s="46">
        <v>27.581</v>
      </c>
      <c r="M141" s="46">
        <f t="shared" si="4"/>
        <v>26.847249999999999</v>
      </c>
      <c r="N141" s="46">
        <v>24.646000000000001</v>
      </c>
      <c r="O141" s="46">
        <v>0.82427500000000009</v>
      </c>
      <c r="P141" s="46">
        <v>0.68952500000000005</v>
      </c>
      <c r="Q141" s="46">
        <v>0.61615000000000009</v>
      </c>
      <c r="R141" s="46">
        <v>16.7</v>
      </c>
      <c r="S141" s="46">
        <f t="shared" si="5"/>
        <v>16.7</v>
      </c>
      <c r="T141" s="46">
        <f t="shared" si="6"/>
        <v>11.69</v>
      </c>
      <c r="U141" s="46">
        <v>16.7</v>
      </c>
      <c r="V141" s="46">
        <v>5</v>
      </c>
      <c r="W141" s="46">
        <v>1.4</v>
      </c>
      <c r="X141">
        <v>25</v>
      </c>
      <c r="Y141">
        <v>1E-3</v>
      </c>
    </row>
    <row r="142" spans="2:25">
      <c r="B142" t="str">
        <f t="shared" si="2"/>
        <v>T-CAR-BEV250_ELC21</v>
      </c>
      <c r="C142" t="str">
        <f>Commodities!B16</f>
        <v>TRAELC</v>
      </c>
      <c r="D142" t="str">
        <f>Commodities!B20&amp;","&amp;Commodities!B21&amp;","&amp;Commodities!B22</f>
        <v>TRAPS,TRAPM,TRAPL</v>
      </c>
      <c r="E142">
        <v>2019</v>
      </c>
      <c r="F142" s="46">
        <v>1.6228513192037117</v>
      </c>
      <c r="G142" s="46">
        <v>1.7464971340001851</v>
      </c>
      <c r="H142" s="46">
        <v>1.8856843622815582</v>
      </c>
      <c r="J142" s="46">
        <v>32.970999999999997</v>
      </c>
      <c r="K142" s="46">
        <f t="shared" si="3"/>
        <v>30.275999999999996</v>
      </c>
      <c r="L142" s="46">
        <v>27.581</v>
      </c>
      <c r="M142" s="46">
        <f t="shared" si="4"/>
        <v>26.847249999999999</v>
      </c>
      <c r="N142" s="46">
        <v>24.646000000000001</v>
      </c>
      <c r="O142" s="46">
        <v>0.82427500000000009</v>
      </c>
      <c r="P142" s="46">
        <v>0.68952500000000005</v>
      </c>
      <c r="Q142" s="46">
        <v>0.61615000000000009</v>
      </c>
      <c r="R142" s="46">
        <v>16.7</v>
      </c>
      <c r="S142" s="46">
        <f t="shared" si="5"/>
        <v>16.7</v>
      </c>
      <c r="T142" s="46">
        <f t="shared" si="6"/>
        <v>11.69</v>
      </c>
      <c r="U142" s="46">
        <v>16.7</v>
      </c>
      <c r="V142" s="46">
        <v>5</v>
      </c>
      <c r="W142" s="46">
        <v>1.4</v>
      </c>
      <c r="X142">
        <v>25</v>
      </c>
      <c r="Y142">
        <v>1E-3</v>
      </c>
    </row>
    <row r="143" spans="2:25">
      <c r="B143" t="str">
        <f t="shared" si="2"/>
        <v>T-CAR-ICE_HYD21</v>
      </c>
      <c r="C143" t="str">
        <f>Commodities!B18</f>
        <v>TRAH2</v>
      </c>
      <c r="D143" t="str">
        <f>Commodities!B20&amp;","&amp;Commodities!B21&amp;","&amp;Commodities!B22</f>
        <v>TRAPS,TRAPM,TRAPL</v>
      </c>
      <c r="E143">
        <v>2030</v>
      </c>
      <c r="F143" s="46">
        <v>0.66724203897835621</v>
      </c>
      <c r="G143" s="46">
        <v>0.66724203897835621</v>
      </c>
      <c r="H143" s="46">
        <v>0.7160646271962845</v>
      </c>
      <c r="J143" s="46">
        <v>60.819000000000003</v>
      </c>
      <c r="K143" s="46">
        <f t="shared" si="3"/>
        <v>46.0015</v>
      </c>
      <c r="L143" s="46">
        <v>31.184000000000001</v>
      </c>
      <c r="M143" s="46">
        <f t="shared" si="4"/>
        <v>29.587</v>
      </c>
      <c r="N143" s="46">
        <v>24.795999999999999</v>
      </c>
      <c r="O143" s="46">
        <v>3.0409500000000005</v>
      </c>
      <c r="P143" s="46">
        <v>1.5592000000000001</v>
      </c>
      <c r="Q143" s="46">
        <v>1.2398000000000002</v>
      </c>
      <c r="R143" s="46">
        <v>16.7</v>
      </c>
      <c r="S143" s="46">
        <f t="shared" si="5"/>
        <v>16.7</v>
      </c>
      <c r="T143" s="46">
        <f t="shared" si="6"/>
        <v>11.69</v>
      </c>
      <c r="U143" s="46">
        <v>16.7</v>
      </c>
      <c r="V143" s="46">
        <v>5</v>
      </c>
      <c r="W143" s="46">
        <v>1.4</v>
      </c>
      <c r="X143">
        <v>25</v>
      </c>
      <c r="Y143">
        <v>1E-3</v>
      </c>
    </row>
    <row r="144" spans="2:25">
      <c r="B144" t="str">
        <f t="shared" si="2"/>
        <v>T-CAR-FCV_HYD21</v>
      </c>
      <c r="C144" t="str">
        <f>Commodities!B18</f>
        <v>TRAH2</v>
      </c>
      <c r="D144" t="str">
        <f>Commodities!B20&amp;","&amp;Commodities!B21&amp;","&amp;Commodities!B22</f>
        <v>TRAPS,TRAPM,TRAPL</v>
      </c>
      <c r="E144">
        <v>2030</v>
      </c>
      <c r="F144" s="46">
        <v>0.82180053029786837</v>
      </c>
      <c r="G144" s="46">
        <v>0.89793463937178508</v>
      </c>
      <c r="H144" s="46">
        <v>1.0117875960385425</v>
      </c>
      <c r="J144" s="46">
        <v>60.819000000000003</v>
      </c>
      <c r="K144" s="46">
        <f t="shared" si="3"/>
        <v>46.0015</v>
      </c>
      <c r="L144" s="46">
        <v>31.184000000000001</v>
      </c>
      <c r="M144" s="46">
        <f t="shared" si="4"/>
        <v>29.587</v>
      </c>
      <c r="N144" s="46">
        <v>24.795999999999999</v>
      </c>
      <c r="O144" s="46">
        <v>3.0409500000000005</v>
      </c>
      <c r="P144" s="46">
        <v>1.5592000000000001</v>
      </c>
      <c r="Q144" s="46">
        <v>1.2398000000000002</v>
      </c>
      <c r="R144" s="46">
        <v>16.7</v>
      </c>
      <c r="S144" s="46">
        <f t="shared" si="5"/>
        <v>16.7</v>
      </c>
      <c r="T144" s="46">
        <f t="shared" si="6"/>
        <v>11.69</v>
      </c>
      <c r="U144" s="46">
        <v>16.7</v>
      </c>
      <c r="V144" s="46">
        <v>5</v>
      </c>
      <c r="W144" s="46">
        <v>1.4</v>
      </c>
      <c r="X144">
        <v>25</v>
      </c>
      <c r="Y144">
        <v>1E-3</v>
      </c>
    </row>
    <row r="145" spans="2:25" ht="14.4">
      <c r="B145" s="26" t="s">
        <v>114</v>
      </c>
      <c r="C145" s="26"/>
      <c r="D145" s="26"/>
      <c r="E145" s="26"/>
      <c r="F145" s="26"/>
      <c r="G145" s="26"/>
      <c r="H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2:25">
      <c r="B146" t="str">
        <f t="shared" ref="B146:B164" si="7">D30</f>
        <v>T-TAX-ICE_GSL31</v>
      </c>
      <c r="C146" t="str">
        <f>Commodities!B8&amp;","&amp;Commodities!B10</f>
        <v>TRAGSL,TRAETH</v>
      </c>
      <c r="D146" t="str">
        <f>Commodities!B20&amp;","&amp;Commodities!B21&amp;","&amp;Commodities!B22</f>
        <v>TRAPS,TRAPM,TRAPL</v>
      </c>
      <c r="E146">
        <v>2019</v>
      </c>
      <c r="F146" s="46">
        <v>0.41317922700087906</v>
      </c>
      <c r="G146" s="46">
        <v>0.41317922700087906</v>
      </c>
      <c r="H146" s="46">
        <v>0.44341185336679706</v>
      </c>
      <c r="J146" s="46">
        <v>20.290144783549959</v>
      </c>
      <c r="K146" s="46">
        <f>AVERAGE(J146,L146)</f>
        <v>20.290144783549959</v>
      </c>
      <c r="L146" s="46">
        <v>20.290144783549959</v>
      </c>
      <c r="M146" s="46">
        <f t="shared" si="4"/>
        <v>20.290144783549959</v>
      </c>
      <c r="N146" s="46">
        <v>20.290144783549959</v>
      </c>
      <c r="O146" s="46">
        <v>1.0145072391774981</v>
      </c>
      <c r="P146" s="46">
        <v>1.0145072391774981</v>
      </c>
      <c r="Q146" s="46">
        <v>1.0145072391774981</v>
      </c>
      <c r="R146" s="46">
        <v>39.93</v>
      </c>
      <c r="S146" s="46">
        <f>R146</f>
        <v>39.93</v>
      </c>
      <c r="T146" s="46">
        <f>S146</f>
        <v>39.93</v>
      </c>
      <c r="U146" s="46">
        <v>39.93</v>
      </c>
      <c r="V146" s="46">
        <v>5</v>
      </c>
      <c r="W146" s="46">
        <v>1.49</v>
      </c>
      <c r="X146">
        <v>15</v>
      </c>
      <c r="Y146">
        <v>1E-3</v>
      </c>
    </row>
    <row r="147" spans="2:25">
      <c r="B147" t="str">
        <f t="shared" si="7"/>
        <v>T-TAX-ICE_DST31</v>
      </c>
      <c r="C147" t="str">
        <f>Commodities!B9&amp;","&amp;Commodities!B11</f>
        <v>TRADST,TRABDL</v>
      </c>
      <c r="D147" t="str">
        <f>Commodities!B20&amp;","&amp;Commodities!B21&amp;","&amp;Commodities!B22</f>
        <v>TRAPS,TRAPM,TRAPL</v>
      </c>
      <c r="E147">
        <v>2019</v>
      </c>
      <c r="F147" s="46">
        <v>0.57280851694001578</v>
      </c>
      <c r="G147" s="46">
        <v>0.57280851694001578</v>
      </c>
      <c r="H147" s="46">
        <v>0.61472133525270012</v>
      </c>
      <c r="J147" s="46">
        <v>21.831587082756254</v>
      </c>
      <c r="K147" s="46">
        <f t="shared" ref="K147:K164" si="8">AVERAGE(J147,L147)</f>
        <v>21.831587082756254</v>
      </c>
      <c r="L147" s="46">
        <v>21.831587082756254</v>
      </c>
      <c r="M147" s="46">
        <f t="shared" si="4"/>
        <v>21.831587082756254</v>
      </c>
      <c r="N147" s="46">
        <v>21.831587082756254</v>
      </c>
      <c r="O147" s="46">
        <v>1.0915793541378127</v>
      </c>
      <c r="P147" s="46">
        <v>1.0915793541378127</v>
      </c>
      <c r="Q147" s="46">
        <v>1.0915793541378127</v>
      </c>
      <c r="R147" s="46">
        <f>R146</f>
        <v>39.93</v>
      </c>
      <c r="S147" s="46">
        <f t="shared" ref="S147:T164" si="9">R147</f>
        <v>39.93</v>
      </c>
      <c r="T147" s="46">
        <f t="shared" si="9"/>
        <v>39.93</v>
      </c>
      <c r="U147" s="46">
        <v>39.93</v>
      </c>
      <c r="V147" s="46">
        <v>5</v>
      </c>
      <c r="W147" s="46">
        <v>1.49</v>
      </c>
      <c r="X147">
        <v>15</v>
      </c>
      <c r="Y147">
        <v>1E-3</v>
      </c>
    </row>
    <row r="148" spans="2:25">
      <c r="B148" t="str">
        <f t="shared" si="7"/>
        <v>T-TAX-ICE_DF31</v>
      </c>
      <c r="C148" t="str">
        <f>Commodities!B8&amp;","&amp;Commodities!B13</f>
        <v>TRAGSL,TRACNG</v>
      </c>
      <c r="D148" t="str">
        <f>Commodities!B20&amp;","&amp;Commodities!B21&amp;","&amp;Commodities!B22</f>
        <v>TRAPS,TRAPM,TRAPL</v>
      </c>
      <c r="E148">
        <v>2019</v>
      </c>
      <c r="F148" s="46">
        <v>0.41317922700087906</v>
      </c>
      <c r="G148" s="46">
        <v>0.41317922700087906</v>
      </c>
      <c r="H148" s="46">
        <v>0.44341185336679706</v>
      </c>
      <c r="J148" s="46">
        <v>21.831587082756254</v>
      </c>
      <c r="K148" s="46">
        <f t="shared" si="8"/>
        <v>21.831587082756254</v>
      </c>
      <c r="L148" s="46">
        <v>21.831587082756254</v>
      </c>
      <c r="M148" s="46">
        <f t="shared" si="4"/>
        <v>21.831587082756254</v>
      </c>
      <c r="N148" s="46">
        <v>21.831587082756254</v>
      </c>
      <c r="O148" s="46">
        <v>1.0915793541378127</v>
      </c>
      <c r="P148" s="46">
        <v>1.0915793541378127</v>
      </c>
      <c r="Q148" s="46">
        <v>1.0915793541378127</v>
      </c>
      <c r="R148" s="46">
        <f t="shared" ref="R148:R164" si="10">R147</f>
        <v>39.93</v>
      </c>
      <c r="S148" s="46">
        <f t="shared" si="9"/>
        <v>39.93</v>
      </c>
      <c r="T148" s="46">
        <f t="shared" si="9"/>
        <v>39.93</v>
      </c>
      <c r="U148" s="46">
        <v>39.93</v>
      </c>
      <c r="V148" s="46">
        <v>5</v>
      </c>
      <c r="W148" s="46">
        <v>1.49</v>
      </c>
      <c r="X148">
        <v>15</v>
      </c>
      <c r="Y148">
        <v>1E-3</v>
      </c>
    </row>
    <row r="149" spans="2:25">
      <c r="B149" t="str">
        <f t="shared" si="7"/>
        <v>T-TAX-ICE_NGB31</v>
      </c>
      <c r="C149" t="str">
        <f>Commodities!B13&amp;","&amp;Commodities!B15</f>
        <v>TRACNG,TRABNG</v>
      </c>
      <c r="D149" t="str">
        <f>Commodities!B20&amp;","&amp;Commodities!B21&amp;","&amp;Commodities!B22</f>
        <v>TRAPS,TRAPM,TRAPL</v>
      </c>
      <c r="E149">
        <v>2027</v>
      </c>
      <c r="F149" s="46">
        <v>0.41317922700087906</v>
      </c>
      <c r="G149" s="46">
        <v>0.41317922700087906</v>
      </c>
      <c r="H149" s="46">
        <v>0.44341185336679706</v>
      </c>
      <c r="J149" s="46">
        <v>24.631</v>
      </c>
      <c r="K149" s="46">
        <f t="shared" si="8"/>
        <v>24.631</v>
      </c>
      <c r="L149" s="46">
        <v>24.631</v>
      </c>
      <c r="M149" s="46">
        <f t="shared" si="4"/>
        <v>24.631</v>
      </c>
      <c r="N149" s="46">
        <v>24.631</v>
      </c>
      <c r="O149" s="46">
        <v>1.2315500000000001</v>
      </c>
      <c r="P149" s="46">
        <v>1.2315500000000001</v>
      </c>
      <c r="Q149" s="46">
        <v>1.2315500000000001</v>
      </c>
      <c r="R149" s="46">
        <f t="shared" si="10"/>
        <v>39.93</v>
      </c>
      <c r="S149" s="46">
        <f t="shared" si="9"/>
        <v>39.93</v>
      </c>
      <c r="T149" s="46">
        <f t="shared" si="9"/>
        <v>39.93</v>
      </c>
      <c r="U149" s="46">
        <v>39.93</v>
      </c>
      <c r="V149" s="46">
        <v>5</v>
      </c>
      <c r="W149" s="46">
        <v>1.49</v>
      </c>
      <c r="X149">
        <v>15</v>
      </c>
      <c r="Y149">
        <v>1E-3</v>
      </c>
    </row>
    <row r="150" spans="2:25">
      <c r="B150" t="str">
        <f t="shared" si="7"/>
        <v>T-TAX-ICE_E8531</v>
      </c>
      <c r="C150" t="str">
        <f>Commodities!B8&amp;","&amp;Commodities!B10</f>
        <v>TRAGSL,TRAETH</v>
      </c>
      <c r="D150" t="str">
        <f>Commodities!B20&amp;","&amp;Commodities!B21&amp;","&amp;Commodities!B22</f>
        <v>TRAPS,TRAPM,TRAPL</v>
      </c>
      <c r="E150">
        <v>2027</v>
      </c>
      <c r="F150" s="46">
        <v>0.38903594158617399</v>
      </c>
      <c r="G150" s="46">
        <v>0.38903594158617399</v>
      </c>
      <c r="H150" s="46">
        <v>0.41750198609247946</v>
      </c>
      <c r="J150" s="46">
        <v>20.290144783549959</v>
      </c>
      <c r="K150" s="46">
        <f t="shared" si="8"/>
        <v>20.290144783549959</v>
      </c>
      <c r="L150" s="46">
        <v>20.290144783549959</v>
      </c>
      <c r="M150" s="46">
        <f t="shared" si="4"/>
        <v>20.290144783549959</v>
      </c>
      <c r="N150" s="46">
        <v>20.290144783549959</v>
      </c>
      <c r="O150" s="46">
        <v>1.0145072391774981</v>
      </c>
      <c r="P150" s="46">
        <v>1.0145072391774981</v>
      </c>
      <c r="Q150" s="46">
        <v>1.0145072391774981</v>
      </c>
      <c r="R150" s="46">
        <f t="shared" si="10"/>
        <v>39.93</v>
      </c>
      <c r="S150" s="46">
        <f t="shared" si="9"/>
        <v>39.93</v>
      </c>
      <c r="T150" s="46">
        <f t="shared" si="9"/>
        <v>39.93</v>
      </c>
      <c r="U150" s="46">
        <v>39.93</v>
      </c>
      <c r="V150" s="46">
        <v>5</v>
      </c>
      <c r="W150" s="46">
        <v>1.49</v>
      </c>
      <c r="X150">
        <v>15</v>
      </c>
      <c r="Y150">
        <v>1E-3</v>
      </c>
    </row>
    <row r="151" spans="2:25">
      <c r="B151" t="str">
        <f t="shared" si="7"/>
        <v>T-TAX-ICE_B10031</v>
      </c>
      <c r="C151" t="str">
        <f>Commodities!B11</f>
        <v>TRABDL</v>
      </c>
      <c r="D151" t="str">
        <f>Commodities!B20&amp;","&amp;Commodities!B21&amp;","&amp;Commodities!B22</f>
        <v>TRAPS,TRAPM,TRAPL</v>
      </c>
      <c r="E151">
        <v>2019</v>
      </c>
      <c r="F151" s="46">
        <v>0.55562426143181531</v>
      </c>
      <c r="G151" s="46">
        <v>0.55562426143181531</v>
      </c>
      <c r="H151" s="46">
        <v>0.59627969519511903</v>
      </c>
      <c r="J151" s="46">
        <v>21.831587082756254</v>
      </c>
      <c r="K151" s="46">
        <f t="shared" si="8"/>
        <v>21.831587082756254</v>
      </c>
      <c r="L151" s="46">
        <v>21.831587082756254</v>
      </c>
      <c r="M151" s="46">
        <f t="shared" si="4"/>
        <v>21.831587082756254</v>
      </c>
      <c r="N151" s="46">
        <v>21.831587082756254</v>
      </c>
      <c r="O151" s="46">
        <v>1.0915793541378127</v>
      </c>
      <c r="P151" s="46">
        <v>1.0915793541378127</v>
      </c>
      <c r="Q151" s="46">
        <v>1.0915793541378127</v>
      </c>
      <c r="R151" s="46">
        <f t="shared" si="10"/>
        <v>39.93</v>
      </c>
      <c r="S151" s="46">
        <f t="shared" si="9"/>
        <v>39.93</v>
      </c>
      <c r="T151" s="46">
        <f t="shared" si="9"/>
        <v>39.93</v>
      </c>
      <c r="U151" s="46">
        <v>39.93</v>
      </c>
      <c r="V151" s="46">
        <v>5</v>
      </c>
      <c r="W151" s="46">
        <v>1.49</v>
      </c>
      <c r="X151">
        <v>15</v>
      </c>
      <c r="Y151">
        <v>1E-3</v>
      </c>
    </row>
    <row r="152" spans="2:25">
      <c r="B152" t="str">
        <f t="shared" si="7"/>
        <v>T-TAX-HEV_GSL31</v>
      </c>
      <c r="C152" t="str">
        <f>Commodities!B8&amp;","&amp;Commodities!B10</f>
        <v>TRAGSL,TRAETH</v>
      </c>
      <c r="D152" t="str">
        <f>Commodities!B20&amp;","&amp;Commodities!B21&amp;","&amp;Commodities!B22</f>
        <v>TRAPS,TRAPM,TRAPL</v>
      </c>
      <c r="E152">
        <v>2019</v>
      </c>
      <c r="F152" s="46">
        <v>0.55576563083739139</v>
      </c>
      <c r="G152" s="46">
        <v>0.55576563083739139</v>
      </c>
      <c r="H152" s="46">
        <v>0.59643140870354205</v>
      </c>
      <c r="J152" s="46">
        <v>23.751999999999999</v>
      </c>
      <c r="K152" s="46">
        <f t="shared" si="8"/>
        <v>23.613999999999997</v>
      </c>
      <c r="L152" s="46">
        <v>23.475999999999999</v>
      </c>
      <c r="M152" s="46">
        <f t="shared" si="4"/>
        <v>23.299250000000001</v>
      </c>
      <c r="N152" s="46">
        <v>22.768999999999998</v>
      </c>
      <c r="O152" s="46">
        <v>1.1876000000000002</v>
      </c>
      <c r="P152" s="46">
        <v>1.1738</v>
      </c>
      <c r="Q152" s="46">
        <v>1.13845</v>
      </c>
      <c r="R152" s="46">
        <f t="shared" si="10"/>
        <v>39.93</v>
      </c>
      <c r="S152" s="46">
        <f t="shared" si="9"/>
        <v>39.93</v>
      </c>
      <c r="T152" s="46">
        <f t="shared" si="9"/>
        <v>39.93</v>
      </c>
      <c r="U152" s="46">
        <v>39.93</v>
      </c>
      <c r="V152" s="46">
        <v>5</v>
      </c>
      <c r="W152" s="46">
        <v>1.49</v>
      </c>
      <c r="X152">
        <v>15</v>
      </c>
      <c r="Y152">
        <v>1E-3</v>
      </c>
    </row>
    <row r="153" spans="2:25">
      <c r="B153" t="str">
        <f t="shared" si="7"/>
        <v>T-TAX-HEV_DST31</v>
      </c>
      <c r="C153" t="str">
        <f>Commodities!B9&amp;","&amp;Commodities!B11</f>
        <v>TRADST,TRABDL</v>
      </c>
      <c r="D153" t="str">
        <f>Commodities!B20&amp;","&amp;Commodities!B21&amp;","&amp;Commodities!B22</f>
        <v>TRAPS,TRAPM,TRAPL</v>
      </c>
      <c r="E153">
        <v>2019</v>
      </c>
      <c r="F153" s="46">
        <v>0.7191140687029639</v>
      </c>
      <c r="G153" s="46">
        <v>0.7191140687029639</v>
      </c>
      <c r="H153" s="46">
        <v>0.7717321712909857</v>
      </c>
      <c r="J153" s="46">
        <v>25.646000000000001</v>
      </c>
      <c r="K153" s="46">
        <f t="shared" si="8"/>
        <v>25.489000000000001</v>
      </c>
      <c r="L153" s="46">
        <v>25.332000000000001</v>
      </c>
      <c r="M153" s="46">
        <f t="shared" si="4"/>
        <v>25.141249999999999</v>
      </c>
      <c r="N153" s="46">
        <v>24.568999999999999</v>
      </c>
      <c r="O153" s="46">
        <v>1.2823000000000002</v>
      </c>
      <c r="P153" s="46">
        <v>1.2666000000000002</v>
      </c>
      <c r="Q153" s="46">
        <v>1.22845</v>
      </c>
      <c r="R153" s="46">
        <f t="shared" si="10"/>
        <v>39.93</v>
      </c>
      <c r="S153" s="46">
        <f t="shared" si="9"/>
        <v>39.93</v>
      </c>
      <c r="T153" s="46">
        <f t="shared" si="9"/>
        <v>39.93</v>
      </c>
      <c r="U153" s="46">
        <v>39.93</v>
      </c>
      <c r="V153" s="46">
        <v>5</v>
      </c>
      <c r="W153" s="46">
        <v>1.49</v>
      </c>
      <c r="X153">
        <v>15</v>
      </c>
      <c r="Y153">
        <v>1E-3</v>
      </c>
    </row>
    <row r="154" spans="2:25">
      <c r="B154" t="str">
        <f t="shared" si="7"/>
        <v>T-TAX-PHEV10_GSL31</v>
      </c>
      <c r="C154" t="str">
        <f>Commodities!B8&amp;","&amp;Commodities!B16</f>
        <v>TRAGSL,TRAELC</v>
      </c>
      <c r="D154" t="str">
        <f>Commodities!B20&amp;","&amp;Commodities!B21&amp;","&amp;Commodities!B22</f>
        <v>TRAPS,TRAPM,TRAPL</v>
      </c>
      <c r="E154">
        <v>2019</v>
      </c>
      <c r="F154" s="46">
        <v>0.66746450139399738</v>
      </c>
      <c r="G154" s="46">
        <v>0.71490114421226547</v>
      </c>
      <c r="H154" s="46">
        <v>0.76730227520164618</v>
      </c>
      <c r="J154" s="46">
        <v>30.9495</v>
      </c>
      <c r="K154" s="46">
        <f t="shared" si="8"/>
        <v>28.889250000000001</v>
      </c>
      <c r="L154" s="46">
        <v>26.829000000000001</v>
      </c>
      <c r="M154" s="46">
        <f t="shared" si="4"/>
        <v>26.464500000000001</v>
      </c>
      <c r="N154" s="46">
        <v>25.370999999999999</v>
      </c>
      <c r="O154" s="46">
        <v>1.5474750000000002</v>
      </c>
      <c r="P154" s="46">
        <v>1.34145</v>
      </c>
      <c r="Q154" s="46">
        <v>1.2685500000000003</v>
      </c>
      <c r="R154" s="46">
        <f t="shared" si="10"/>
        <v>39.93</v>
      </c>
      <c r="S154" s="46">
        <f t="shared" si="9"/>
        <v>39.93</v>
      </c>
      <c r="T154" s="46">
        <f t="shared" si="9"/>
        <v>39.93</v>
      </c>
      <c r="U154" s="46">
        <v>39.93</v>
      </c>
      <c r="V154" s="46">
        <v>5</v>
      </c>
      <c r="W154" s="46">
        <v>1.49</v>
      </c>
      <c r="X154">
        <v>15</v>
      </c>
      <c r="Y154">
        <v>1E-3</v>
      </c>
    </row>
    <row r="155" spans="2:25">
      <c r="B155" t="str">
        <f t="shared" si="7"/>
        <v>T-TAX-PHEV20_GSL31</v>
      </c>
      <c r="C155" t="str">
        <f>Commodities!B8&amp;","&amp;Commodities!B16</f>
        <v>TRAGSL,TRAELC</v>
      </c>
      <c r="D155" t="str">
        <f>Commodities!B20&amp;","&amp;Commodities!B21&amp;","&amp;Commodities!B22</f>
        <v>TRAPS,TRAPM,TRAPL</v>
      </c>
      <c r="E155">
        <v>2019</v>
      </c>
      <c r="F155" s="46">
        <v>0.94004558122126858</v>
      </c>
      <c r="G155" s="46">
        <v>1.0068545371674693</v>
      </c>
      <c r="H155" s="46">
        <v>1.0806553932949277</v>
      </c>
      <c r="J155" s="46">
        <v>30.9495</v>
      </c>
      <c r="K155" s="46">
        <f t="shared" si="8"/>
        <v>28.889250000000001</v>
      </c>
      <c r="L155" s="46">
        <v>26.829000000000001</v>
      </c>
      <c r="M155" s="46">
        <f t="shared" si="4"/>
        <v>26.464500000000001</v>
      </c>
      <c r="N155" s="46">
        <v>25.370999999999999</v>
      </c>
      <c r="O155" s="46">
        <v>1.5474750000000002</v>
      </c>
      <c r="P155" s="46">
        <v>1.34145</v>
      </c>
      <c r="Q155" s="46">
        <v>1.2685500000000003</v>
      </c>
      <c r="R155" s="46">
        <f t="shared" si="10"/>
        <v>39.93</v>
      </c>
      <c r="S155" s="46">
        <f t="shared" si="9"/>
        <v>39.93</v>
      </c>
      <c r="T155" s="46">
        <f t="shared" si="9"/>
        <v>39.93</v>
      </c>
      <c r="U155" s="46">
        <v>39.93</v>
      </c>
      <c r="V155" s="46">
        <v>5</v>
      </c>
      <c r="W155" s="46">
        <v>1.49</v>
      </c>
      <c r="X155">
        <v>15</v>
      </c>
      <c r="Y155">
        <v>1E-3</v>
      </c>
    </row>
    <row r="156" spans="2:25">
      <c r="B156" t="str">
        <f t="shared" si="7"/>
        <v>T-TAX-PHEV40_GSL31</v>
      </c>
      <c r="C156" t="str">
        <f>Commodities!B8&amp;","&amp;Commodities!B16</f>
        <v>TRAGSL,TRAELC</v>
      </c>
      <c r="D156" t="str">
        <f>Commodities!B20&amp;","&amp;Commodities!B21&amp;","&amp;Commodities!B22</f>
        <v>TRAPS,TRAPM,TRAPL</v>
      </c>
      <c r="E156">
        <v>2019</v>
      </c>
      <c r="F156" s="46">
        <v>1.1256490393255483</v>
      </c>
      <c r="G156" s="46">
        <v>1.205648816550694</v>
      </c>
      <c r="H156" s="46">
        <v>1.2940209811146188</v>
      </c>
      <c r="J156" s="46">
        <v>30.9495</v>
      </c>
      <c r="K156" s="46">
        <f t="shared" si="8"/>
        <v>28.889250000000001</v>
      </c>
      <c r="L156" s="46">
        <v>26.829000000000001</v>
      </c>
      <c r="M156" s="46">
        <f t="shared" si="4"/>
        <v>26.464500000000001</v>
      </c>
      <c r="N156" s="46">
        <v>25.370999999999999</v>
      </c>
      <c r="O156" s="46">
        <v>1.5474750000000002</v>
      </c>
      <c r="P156" s="46">
        <v>1.34145</v>
      </c>
      <c r="Q156" s="46">
        <v>1.2685500000000003</v>
      </c>
      <c r="R156" s="46">
        <f t="shared" si="10"/>
        <v>39.93</v>
      </c>
      <c r="S156" s="46">
        <f t="shared" si="9"/>
        <v>39.93</v>
      </c>
      <c r="T156" s="46">
        <f t="shared" si="9"/>
        <v>39.93</v>
      </c>
      <c r="U156" s="46">
        <v>39.93</v>
      </c>
      <c r="V156" s="46">
        <v>5</v>
      </c>
      <c r="W156" s="46">
        <v>1.49</v>
      </c>
      <c r="X156">
        <v>15</v>
      </c>
      <c r="Y156">
        <v>1E-3</v>
      </c>
    </row>
    <row r="157" spans="2:25">
      <c r="B157" t="str">
        <f t="shared" si="7"/>
        <v>T-TAX-PHEV10_DST31</v>
      </c>
      <c r="C157" t="str">
        <f>Commodities!B9&amp;","&amp;Commodities!B16</f>
        <v>TRADST,TRAELC</v>
      </c>
      <c r="D157" t="str">
        <f>Commodities!B20&amp;","&amp;Commodities!B21&amp;","&amp;Commodities!B22</f>
        <v>TRAPS,TRAPM,TRAPL</v>
      </c>
      <c r="E157">
        <v>2019</v>
      </c>
      <c r="F157" s="46">
        <v>1.0317522356667617</v>
      </c>
      <c r="G157" s="46">
        <v>1.1050787753974236</v>
      </c>
      <c r="H157" s="46">
        <v>1.1860793139082293</v>
      </c>
      <c r="J157" s="46">
        <v>33.423499999999997</v>
      </c>
      <c r="K157" s="46">
        <f t="shared" si="8"/>
        <v>31.186749999999996</v>
      </c>
      <c r="L157" s="46">
        <v>28.95</v>
      </c>
      <c r="M157" s="46">
        <f t="shared" si="4"/>
        <v>28.556750000000001</v>
      </c>
      <c r="N157" s="46">
        <v>27.376999999999999</v>
      </c>
      <c r="O157" s="46">
        <v>1.6711750000000001</v>
      </c>
      <c r="P157" s="46">
        <v>1.4475</v>
      </c>
      <c r="Q157" s="46">
        <v>1.3688500000000001</v>
      </c>
      <c r="R157" s="46">
        <f t="shared" si="10"/>
        <v>39.93</v>
      </c>
      <c r="S157" s="46">
        <f t="shared" si="9"/>
        <v>39.93</v>
      </c>
      <c r="T157" s="46">
        <f t="shared" si="9"/>
        <v>39.93</v>
      </c>
      <c r="U157" s="46">
        <v>39.93</v>
      </c>
      <c r="V157" s="46">
        <v>5</v>
      </c>
      <c r="W157" s="46">
        <v>1.49</v>
      </c>
      <c r="X157">
        <v>15</v>
      </c>
      <c r="Y157">
        <v>1E-3</v>
      </c>
    </row>
    <row r="158" spans="2:25">
      <c r="B158" t="str">
        <f t="shared" si="7"/>
        <v>T-TAX-PHEV20_DST31</v>
      </c>
      <c r="C158" t="str">
        <f>Commodities!B9&amp;","&amp;Commodities!B16</f>
        <v>TRADST,TRAELC</v>
      </c>
      <c r="D158" t="str">
        <f>Commodities!B20&amp;","&amp;Commodities!B21&amp;","&amp;Commodities!B22</f>
        <v>TRAPS,TRAPM,TRAPL</v>
      </c>
      <c r="E158">
        <v>2019</v>
      </c>
      <c r="F158" s="46">
        <v>1.2163400634539354</v>
      </c>
      <c r="G158" s="46">
        <v>1.3027852437071312</v>
      </c>
      <c r="H158" s="46">
        <v>1.3982773558113184</v>
      </c>
      <c r="J158" s="46">
        <v>33.423499999999997</v>
      </c>
      <c r="K158" s="46">
        <f t="shared" si="8"/>
        <v>31.186749999999996</v>
      </c>
      <c r="L158" s="46">
        <v>28.95</v>
      </c>
      <c r="M158" s="46">
        <f t="shared" si="4"/>
        <v>28.556750000000001</v>
      </c>
      <c r="N158" s="46">
        <v>27.376999999999999</v>
      </c>
      <c r="O158" s="46">
        <v>1.6711750000000001</v>
      </c>
      <c r="P158" s="46">
        <v>1.4475</v>
      </c>
      <c r="Q158" s="46">
        <v>1.3688500000000001</v>
      </c>
      <c r="R158" s="46">
        <f t="shared" si="10"/>
        <v>39.93</v>
      </c>
      <c r="S158" s="46">
        <f t="shared" si="9"/>
        <v>39.93</v>
      </c>
      <c r="T158" s="46">
        <f t="shared" si="9"/>
        <v>39.93</v>
      </c>
      <c r="U158" s="46">
        <v>39.93</v>
      </c>
      <c r="V158" s="46">
        <v>5</v>
      </c>
      <c r="W158" s="46">
        <v>1.49</v>
      </c>
      <c r="X158">
        <v>15</v>
      </c>
      <c r="Y158">
        <v>1E-3</v>
      </c>
    </row>
    <row r="159" spans="2:25">
      <c r="B159" t="str">
        <f t="shared" si="7"/>
        <v>T-TAX-PHEV40_DST31</v>
      </c>
      <c r="C159" t="str">
        <f>Commodities!B9&amp;","&amp;Commodities!B16</f>
        <v>TRADST,TRAELC</v>
      </c>
      <c r="D159" t="str">
        <f>Commodities!B20&amp;","&amp;Commodities!B21&amp;","&amp;Commodities!B22</f>
        <v>TRAPS,TRAPM,TRAPL</v>
      </c>
      <c r="E159">
        <v>2019</v>
      </c>
      <c r="F159" s="46">
        <v>1.2298935814529692</v>
      </c>
      <c r="G159" s="46">
        <v>1.3173020090262975</v>
      </c>
      <c r="H159" s="46">
        <v>1.4138581772271772</v>
      </c>
      <c r="J159" s="46">
        <v>33.423499999999997</v>
      </c>
      <c r="K159" s="46">
        <f t="shared" si="8"/>
        <v>31.186749999999996</v>
      </c>
      <c r="L159" s="46">
        <v>28.95</v>
      </c>
      <c r="M159" s="46">
        <f t="shared" si="4"/>
        <v>28.556750000000001</v>
      </c>
      <c r="N159" s="46">
        <v>27.376999999999999</v>
      </c>
      <c r="O159" s="46">
        <v>1.6711750000000001</v>
      </c>
      <c r="P159" s="46">
        <v>1.4475</v>
      </c>
      <c r="Q159" s="46">
        <v>1.3688500000000001</v>
      </c>
      <c r="R159" s="46">
        <f t="shared" si="10"/>
        <v>39.93</v>
      </c>
      <c r="S159" s="46">
        <f t="shared" si="9"/>
        <v>39.93</v>
      </c>
      <c r="T159" s="46">
        <f t="shared" si="9"/>
        <v>39.93</v>
      </c>
      <c r="U159" s="46">
        <v>39.93</v>
      </c>
      <c r="V159" s="46">
        <v>5</v>
      </c>
      <c r="W159" s="46">
        <v>1.49</v>
      </c>
      <c r="X159">
        <v>15</v>
      </c>
      <c r="Y159">
        <v>1E-3</v>
      </c>
    </row>
    <row r="160" spans="2:25">
      <c r="B160" t="str">
        <f t="shared" si="7"/>
        <v>T-TAX-BEV100_ELC31</v>
      </c>
      <c r="C160" t="str">
        <f>Commodities!B16</f>
        <v>TRAELC</v>
      </c>
      <c r="D160" t="str">
        <f>Commodities!B20&amp;","&amp;Commodities!B21&amp;","&amp;Commodities!B22</f>
        <v>TRAPS,TRAPM,TRAPL</v>
      </c>
      <c r="E160">
        <v>2019</v>
      </c>
      <c r="F160" s="46">
        <v>1.6228513192037117</v>
      </c>
      <c r="G160" s="46">
        <v>1.7464971340001851</v>
      </c>
      <c r="H160" s="46">
        <v>1.8856843622815582</v>
      </c>
      <c r="J160" s="46">
        <v>32.970999999999997</v>
      </c>
      <c r="K160" s="46">
        <f t="shared" si="8"/>
        <v>30.275999999999996</v>
      </c>
      <c r="L160" s="46">
        <v>27.581</v>
      </c>
      <c r="M160" s="46">
        <f t="shared" si="4"/>
        <v>26.847249999999999</v>
      </c>
      <c r="N160" s="46">
        <v>24.646000000000001</v>
      </c>
      <c r="O160">
        <v>0.82427500000000009</v>
      </c>
      <c r="P160">
        <v>0.68952500000000005</v>
      </c>
      <c r="Q160">
        <v>0.61615000000000009</v>
      </c>
      <c r="R160" s="46">
        <f t="shared" si="10"/>
        <v>39.93</v>
      </c>
      <c r="S160" s="46">
        <f t="shared" si="9"/>
        <v>39.93</v>
      </c>
      <c r="T160" s="46">
        <f t="shared" si="9"/>
        <v>39.93</v>
      </c>
      <c r="U160" s="46">
        <v>39.93</v>
      </c>
      <c r="V160" s="46">
        <v>5</v>
      </c>
      <c r="W160" s="46">
        <v>1.49</v>
      </c>
      <c r="X160">
        <v>15</v>
      </c>
      <c r="Y160">
        <v>1E-3</v>
      </c>
    </row>
    <row r="161" spans="2:25">
      <c r="B161" t="str">
        <f t="shared" si="7"/>
        <v>T-TAX-BEV150_ELC31</v>
      </c>
      <c r="C161" t="str">
        <f>Commodities!B16</f>
        <v>TRAELC</v>
      </c>
      <c r="D161" t="str">
        <f>Commodities!B20&amp;","&amp;Commodities!B21&amp;","&amp;Commodities!B22</f>
        <v>TRAPS,TRAPM,TRAPL</v>
      </c>
      <c r="E161">
        <v>2019</v>
      </c>
      <c r="F161" s="46">
        <v>1.6228513192037117</v>
      </c>
      <c r="G161" s="46">
        <v>1.7464971340001851</v>
      </c>
      <c r="H161" s="46">
        <v>1.8856843622815582</v>
      </c>
      <c r="J161" s="46">
        <v>32.970999999999997</v>
      </c>
      <c r="K161" s="46">
        <f t="shared" si="8"/>
        <v>30.275999999999996</v>
      </c>
      <c r="L161" s="46">
        <v>27.581</v>
      </c>
      <c r="M161" s="46">
        <f t="shared" si="4"/>
        <v>26.847249999999999</v>
      </c>
      <c r="N161" s="46">
        <v>24.646000000000001</v>
      </c>
      <c r="O161">
        <v>0.82427500000000009</v>
      </c>
      <c r="P161">
        <v>0.68952500000000005</v>
      </c>
      <c r="Q161">
        <v>0.61615000000000009</v>
      </c>
      <c r="R161" s="46">
        <f t="shared" si="10"/>
        <v>39.93</v>
      </c>
      <c r="S161" s="46">
        <f t="shared" si="9"/>
        <v>39.93</v>
      </c>
      <c r="T161" s="46">
        <f t="shared" si="9"/>
        <v>39.93</v>
      </c>
      <c r="U161" s="46">
        <v>39.93</v>
      </c>
      <c r="V161" s="46">
        <v>5</v>
      </c>
      <c r="W161" s="46">
        <v>1.49</v>
      </c>
      <c r="X161">
        <v>15</v>
      </c>
      <c r="Y161">
        <v>1E-3</v>
      </c>
    </row>
    <row r="162" spans="2:25">
      <c r="B162" t="str">
        <f t="shared" si="7"/>
        <v>T-TAX-BEV250_ELC31</v>
      </c>
      <c r="C162" t="str">
        <f>Commodities!B16</f>
        <v>TRAELC</v>
      </c>
      <c r="D162" t="str">
        <f>Commodities!B20&amp;","&amp;Commodities!B21&amp;","&amp;Commodities!B22</f>
        <v>TRAPS,TRAPM,TRAPL</v>
      </c>
      <c r="E162">
        <v>2019</v>
      </c>
      <c r="F162" s="46">
        <v>1.6228513192037117</v>
      </c>
      <c r="G162" s="46">
        <v>1.7464971340001851</v>
      </c>
      <c r="H162" s="46">
        <v>1.8856843622815582</v>
      </c>
      <c r="J162" s="46">
        <v>32.970999999999997</v>
      </c>
      <c r="K162" s="46">
        <f t="shared" si="8"/>
        <v>30.275999999999996</v>
      </c>
      <c r="L162" s="46">
        <v>27.581</v>
      </c>
      <c r="M162" s="46">
        <f t="shared" si="4"/>
        <v>26.847249999999999</v>
      </c>
      <c r="N162" s="46">
        <v>24.646000000000001</v>
      </c>
      <c r="O162">
        <v>0.82427500000000009</v>
      </c>
      <c r="P162">
        <v>0.68952500000000005</v>
      </c>
      <c r="Q162">
        <v>0.61615000000000009</v>
      </c>
      <c r="R162" s="46">
        <f t="shared" si="10"/>
        <v>39.93</v>
      </c>
      <c r="S162" s="46">
        <f t="shared" si="9"/>
        <v>39.93</v>
      </c>
      <c r="T162" s="46">
        <f t="shared" si="9"/>
        <v>39.93</v>
      </c>
      <c r="U162" s="46">
        <v>39.93</v>
      </c>
      <c r="V162" s="46">
        <v>5</v>
      </c>
      <c r="W162" s="46">
        <v>1.49</v>
      </c>
      <c r="X162">
        <v>15</v>
      </c>
      <c r="Y162">
        <v>1E-3</v>
      </c>
    </row>
    <row r="163" spans="2:25">
      <c r="B163" t="str">
        <f t="shared" si="7"/>
        <v>T-TAX-ICE_HYD31</v>
      </c>
      <c r="C163" t="str">
        <f>Commodities!B18</f>
        <v>TRAH2</v>
      </c>
      <c r="D163" t="str">
        <f>Commodities!B20&amp;","&amp;Commodities!B21&amp;","&amp;Commodities!B22</f>
        <v>TRAPS,TRAPM,TRAPL</v>
      </c>
      <c r="E163">
        <v>2030</v>
      </c>
      <c r="F163" s="46">
        <v>0.66724203897835621</v>
      </c>
      <c r="G163" s="46">
        <v>0.66724203897835621</v>
      </c>
      <c r="H163" s="46">
        <v>0.7160646271962845</v>
      </c>
      <c r="J163" s="46">
        <v>60.819000000000003</v>
      </c>
      <c r="K163" s="46">
        <f t="shared" si="8"/>
        <v>46.0015</v>
      </c>
      <c r="L163" s="46">
        <v>31.184000000000001</v>
      </c>
      <c r="M163" s="46">
        <f t="shared" si="4"/>
        <v>29.587</v>
      </c>
      <c r="N163" s="46">
        <v>24.795999999999999</v>
      </c>
      <c r="O163" s="46">
        <v>3.0409500000000005</v>
      </c>
      <c r="P163" s="46">
        <v>1.5592000000000001</v>
      </c>
      <c r="Q163" s="46">
        <v>1.2398000000000002</v>
      </c>
      <c r="R163" s="46">
        <f t="shared" si="10"/>
        <v>39.93</v>
      </c>
      <c r="S163" s="46">
        <f t="shared" si="9"/>
        <v>39.93</v>
      </c>
      <c r="T163" s="46">
        <f t="shared" si="9"/>
        <v>39.93</v>
      </c>
      <c r="U163" s="46">
        <v>39.93</v>
      </c>
      <c r="V163" s="46">
        <v>5</v>
      </c>
      <c r="W163" s="46">
        <v>1.49</v>
      </c>
      <c r="X163">
        <v>15</v>
      </c>
      <c r="Y163">
        <v>1E-3</v>
      </c>
    </row>
    <row r="164" spans="2:25">
      <c r="B164" t="str">
        <f t="shared" si="7"/>
        <v>T-TAX-FCV_HYD31</v>
      </c>
      <c r="C164" t="str">
        <f>Commodities!B18</f>
        <v>TRAH2</v>
      </c>
      <c r="D164" t="str">
        <f>Commodities!B20&amp;","&amp;Commodities!B21&amp;","&amp;Commodities!B22</f>
        <v>TRAPS,TRAPM,TRAPL</v>
      </c>
      <c r="E164">
        <v>2030</v>
      </c>
      <c r="F164" s="46">
        <v>0.82180053029786837</v>
      </c>
      <c r="G164" s="46">
        <v>0.89793463937178508</v>
      </c>
      <c r="H164" s="46">
        <v>1.0117875960385425</v>
      </c>
      <c r="J164" s="46">
        <v>60.819000000000003</v>
      </c>
      <c r="K164" s="46">
        <f t="shared" si="8"/>
        <v>46.0015</v>
      </c>
      <c r="L164" s="46">
        <v>31.184000000000001</v>
      </c>
      <c r="M164" s="46">
        <f t="shared" si="4"/>
        <v>29.587</v>
      </c>
      <c r="N164" s="46">
        <v>24.795999999999999</v>
      </c>
      <c r="O164" s="46">
        <v>3.0409500000000005</v>
      </c>
      <c r="P164" s="46">
        <v>1.5592000000000001</v>
      </c>
      <c r="Q164" s="46">
        <v>1.2398000000000002</v>
      </c>
      <c r="R164" s="46">
        <f t="shared" si="10"/>
        <v>39.93</v>
      </c>
      <c r="S164" s="46">
        <f t="shared" si="9"/>
        <v>39.93</v>
      </c>
      <c r="T164" s="46">
        <f t="shared" si="9"/>
        <v>39.93</v>
      </c>
      <c r="U164" s="46">
        <v>39.93</v>
      </c>
      <c r="V164" s="46">
        <v>5</v>
      </c>
      <c r="W164" s="46">
        <v>1.49</v>
      </c>
      <c r="X164">
        <v>15</v>
      </c>
      <c r="Y164">
        <v>1E-3</v>
      </c>
    </row>
    <row r="165" spans="2:25" ht="14.4">
      <c r="B165" s="26" t="s">
        <v>115</v>
      </c>
      <c r="C165" s="26"/>
      <c r="D165" s="26"/>
      <c r="E165" s="26"/>
      <c r="F165" s="26"/>
      <c r="G165" s="26"/>
      <c r="H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2:25">
      <c r="B166" t="str">
        <f>D50</f>
        <v>T-BUS-ICE_DST41</v>
      </c>
      <c r="C166" t="str">
        <f>Commodities!B9&amp;","&amp;Commodities!B11</f>
        <v>TRADST,TRABDL</v>
      </c>
      <c r="D166" t="str">
        <f>Commodities!B20&amp;","&amp;Commodities!B21&amp;","&amp;Commodities!B22</f>
        <v>TRAPS,TRAPM,TRAPL</v>
      </c>
      <c r="E166">
        <v>2019</v>
      </c>
      <c r="F166" s="46">
        <v>0.10615946270319708</v>
      </c>
      <c r="G166" s="46">
        <v>0.10615946270319708</v>
      </c>
      <c r="H166" s="46">
        <v>0.11392722826684568</v>
      </c>
      <c r="J166" s="46">
        <v>109.959</v>
      </c>
      <c r="K166" s="46">
        <f>AVERAGE(J166,L166)</f>
        <v>111.762</v>
      </c>
      <c r="L166" s="46">
        <v>113.565</v>
      </c>
      <c r="M166" s="46">
        <f>L166-((L166-N166)/4)</f>
        <v>113.565</v>
      </c>
      <c r="N166" s="46">
        <v>113.565</v>
      </c>
      <c r="O166" s="46">
        <v>5.4979500000000003</v>
      </c>
      <c r="P166" s="46">
        <v>5.6782500000000002</v>
      </c>
      <c r="Q166" s="46">
        <v>5.6782500000000002</v>
      </c>
      <c r="R166" s="46">
        <v>36.094999999999999</v>
      </c>
      <c r="S166" s="46">
        <f>R166</f>
        <v>36.094999999999999</v>
      </c>
      <c r="T166" s="46">
        <f>S166</f>
        <v>36.094999999999999</v>
      </c>
      <c r="U166" s="46">
        <v>36.094999999999999</v>
      </c>
      <c r="V166" s="46">
        <v>5</v>
      </c>
      <c r="W166" s="46">
        <v>27.25</v>
      </c>
      <c r="X166">
        <v>15</v>
      </c>
      <c r="Y166">
        <v>1E-3</v>
      </c>
    </row>
    <row r="167" spans="2:25">
      <c r="B167" t="str">
        <f>D51</f>
        <v>T-BUS-ICE_B10041</v>
      </c>
      <c r="C167" t="str">
        <f>Commodities!B11</f>
        <v>TRABDL</v>
      </c>
      <c r="D167" t="str">
        <f>Commodities!B20&amp;","&amp;Commodities!B21&amp;","&amp;Commodities!B22</f>
        <v>TRAPS,TRAPM,TRAPL</v>
      </c>
      <c r="E167">
        <v>2019</v>
      </c>
      <c r="F167" s="46">
        <v>0.10615946270319708</v>
      </c>
      <c r="G167" s="46">
        <v>0.10615946270319708</v>
      </c>
      <c r="H167" s="46">
        <v>0.11392722826684568</v>
      </c>
      <c r="J167" s="46">
        <v>109.959</v>
      </c>
      <c r="K167" s="46">
        <f t="shared" ref="K167:K170" si="11">AVERAGE(J167,L167)</f>
        <v>111.762</v>
      </c>
      <c r="L167" s="46">
        <v>113.565</v>
      </c>
      <c r="M167" s="46">
        <f t="shared" ref="M167:M182" si="12">L167-((L167-N167)/4)</f>
        <v>113.565</v>
      </c>
      <c r="N167" s="46">
        <v>113.565</v>
      </c>
      <c r="O167" s="46">
        <v>5.4979500000000003</v>
      </c>
      <c r="P167" s="46">
        <v>5.6782500000000002</v>
      </c>
      <c r="Q167" s="46">
        <v>5.6782500000000002</v>
      </c>
      <c r="R167" s="46">
        <v>36.094999999999999</v>
      </c>
      <c r="S167" s="46">
        <f t="shared" ref="S167:T170" si="13">R167</f>
        <v>36.094999999999999</v>
      </c>
      <c r="T167" s="46">
        <f t="shared" si="13"/>
        <v>36.094999999999999</v>
      </c>
      <c r="U167" s="46">
        <v>36.094999999999999</v>
      </c>
      <c r="V167" s="46">
        <v>5</v>
      </c>
      <c r="W167" s="46">
        <v>27.25</v>
      </c>
      <c r="X167">
        <v>15</v>
      </c>
      <c r="Y167">
        <v>1E-3</v>
      </c>
    </row>
    <row r="168" spans="2:25">
      <c r="B168" t="str">
        <f>D52</f>
        <v>T-BUS-ICE_NGB41</v>
      </c>
      <c r="C168" t="str">
        <f>Commodities!B13&amp;","&amp;Commodities!B15</f>
        <v>TRACNG,TRABNG</v>
      </c>
      <c r="D168" t="str">
        <f>Commodities!B20&amp;","&amp;Commodities!B21&amp;","&amp;Commodities!B22</f>
        <v>TRAPS,TRAPM,TRAPL</v>
      </c>
      <c r="E168">
        <v>2019</v>
      </c>
      <c r="F168" s="46">
        <v>0.10085148956803722</v>
      </c>
      <c r="G168" s="46">
        <v>0.10085148956803722</v>
      </c>
      <c r="H168" s="46">
        <v>0.10823086685350339</v>
      </c>
      <c r="J168" s="46">
        <v>109.959</v>
      </c>
      <c r="K168" s="46">
        <f t="shared" si="11"/>
        <v>111.762</v>
      </c>
      <c r="L168" s="46">
        <v>113.565</v>
      </c>
      <c r="M168" s="46">
        <f t="shared" si="12"/>
        <v>113.565</v>
      </c>
      <c r="N168" s="46">
        <v>113.565</v>
      </c>
      <c r="O168" s="46">
        <v>5.4979500000000003</v>
      </c>
      <c r="P168" s="46">
        <v>5.6782500000000002</v>
      </c>
      <c r="Q168" s="46">
        <v>5.6782500000000002</v>
      </c>
      <c r="R168" s="46">
        <v>36.094999999999999</v>
      </c>
      <c r="S168" s="46">
        <f t="shared" si="13"/>
        <v>36.094999999999999</v>
      </c>
      <c r="T168" s="46">
        <f t="shared" si="13"/>
        <v>36.094999999999999</v>
      </c>
      <c r="U168" s="46">
        <v>36.094999999999999</v>
      </c>
      <c r="V168" s="46">
        <v>5</v>
      </c>
      <c r="W168" s="46">
        <v>27.25</v>
      </c>
      <c r="X168">
        <v>15</v>
      </c>
      <c r="Y168">
        <v>1E-3</v>
      </c>
    </row>
    <row r="169" spans="2:25">
      <c r="B169" t="str">
        <f>D53</f>
        <v>T-BUS-BEV_ELC41</v>
      </c>
      <c r="C169" t="str">
        <f>Commodities!B16</f>
        <v>TRAELC</v>
      </c>
      <c r="D169" t="str">
        <f>Commodities!B20&amp;","&amp;Commodities!B21&amp;","&amp;Commodities!B22</f>
        <v>TRAPS,TRAPM,TRAPL</v>
      </c>
      <c r="E169">
        <v>2019</v>
      </c>
      <c r="F169" s="46">
        <v>0.33656203588640399</v>
      </c>
      <c r="G169" s="46">
        <v>0.36220485766822502</v>
      </c>
      <c r="H169" s="46">
        <v>0.391070802666039</v>
      </c>
      <c r="J169" s="46">
        <v>397.21899999999999</v>
      </c>
      <c r="K169" s="46">
        <f t="shared" si="11"/>
        <v>323.60950000000003</v>
      </c>
      <c r="L169" s="46">
        <v>250</v>
      </c>
      <c r="M169" s="46">
        <f t="shared" si="12"/>
        <v>220</v>
      </c>
      <c r="N169" s="46">
        <v>130</v>
      </c>
      <c r="O169" s="46">
        <f>+O166*0.8</f>
        <v>4.3983600000000003</v>
      </c>
      <c r="P169" s="46">
        <f>+P166*0.8</f>
        <v>4.5426000000000002</v>
      </c>
      <c r="Q169" s="46">
        <f>+Q166*0.8</f>
        <v>4.5426000000000002</v>
      </c>
      <c r="R169" s="46">
        <v>36.094999999999999</v>
      </c>
      <c r="S169" s="46">
        <f t="shared" si="13"/>
        <v>36.094999999999999</v>
      </c>
      <c r="T169" s="46">
        <f t="shared" si="13"/>
        <v>36.094999999999999</v>
      </c>
      <c r="U169" s="46">
        <v>36.094999999999999</v>
      </c>
      <c r="V169" s="46">
        <v>5</v>
      </c>
      <c r="W169" s="46">
        <v>27.25</v>
      </c>
      <c r="X169">
        <v>15</v>
      </c>
      <c r="Y169">
        <v>1E-3</v>
      </c>
    </row>
    <row r="170" spans="2:25">
      <c r="B170" t="str">
        <f>D54</f>
        <v>T-BUS-FCV_HYD41</v>
      </c>
      <c r="C170" t="str">
        <f>Commodities!B18</f>
        <v>TRAH2</v>
      </c>
      <c r="D170" t="str">
        <f>Commodities!B20&amp;","&amp;Commodities!B21&amp;","&amp;Commodities!B22</f>
        <v>TRAPS,TRAPM,TRAPL</v>
      </c>
      <c r="E170">
        <v>2030</v>
      </c>
      <c r="F170" s="46">
        <v>0.19205070620555917</v>
      </c>
      <c r="G170" s="46">
        <v>0.20984286972324045</v>
      </c>
      <c r="H170" s="46">
        <v>0.23644974076470388</v>
      </c>
      <c r="J170" s="46">
        <v>397.21899999999999</v>
      </c>
      <c r="K170" s="46">
        <f t="shared" si="11"/>
        <v>352.79750000000001</v>
      </c>
      <c r="L170" s="46">
        <v>308.37599999999998</v>
      </c>
      <c r="M170" s="46">
        <f t="shared" si="12"/>
        <v>263.95425</v>
      </c>
      <c r="N170" s="46">
        <v>130.68899999999999</v>
      </c>
      <c r="O170" s="46">
        <v>19.860949999999999</v>
      </c>
      <c r="P170" s="46">
        <v>15.418800000000001</v>
      </c>
      <c r="Q170" s="46">
        <v>6.5344500000000005</v>
      </c>
      <c r="R170" s="46">
        <v>36.094999999999999</v>
      </c>
      <c r="S170" s="46">
        <f t="shared" si="13"/>
        <v>36.094999999999999</v>
      </c>
      <c r="T170" s="46">
        <f t="shared" si="13"/>
        <v>36.094999999999999</v>
      </c>
      <c r="U170" s="46">
        <v>36.094999999999999</v>
      </c>
      <c r="V170" s="46">
        <v>5</v>
      </c>
      <c r="W170" s="46">
        <v>27.25</v>
      </c>
      <c r="X170">
        <v>15</v>
      </c>
      <c r="Y170">
        <v>1E-3</v>
      </c>
    </row>
    <row r="171" spans="2:25" ht="14.4">
      <c r="B171" s="26" t="s">
        <v>116</v>
      </c>
      <c r="C171" s="26"/>
      <c r="D171" s="26"/>
      <c r="E171" s="26"/>
      <c r="F171" s="26"/>
      <c r="G171" s="26"/>
      <c r="H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2:25">
      <c r="B172" t="str">
        <f>D56</f>
        <v>T-LPT-BEV_ELC51</v>
      </c>
      <c r="C172" t="str">
        <f>Commodities!B16</f>
        <v>TRAELC</v>
      </c>
      <c r="D172" t="str">
        <f>Commodities!B20&amp;","&amp;Commodities!B21</f>
        <v>TRAPS,TRAPM</v>
      </c>
      <c r="E172">
        <v>2019</v>
      </c>
      <c r="F172" s="46">
        <v>2.06E-2</v>
      </c>
      <c r="G172" s="46">
        <v>2.06E-2</v>
      </c>
      <c r="H172" s="46">
        <v>2.06E-2</v>
      </c>
      <c r="J172" s="46">
        <v>231.58335558726841</v>
      </c>
      <c r="K172" s="46">
        <f>AVERAGE(J172,L172)</f>
        <v>231.58335558726841</v>
      </c>
      <c r="L172" s="46">
        <v>231.58335558726841</v>
      </c>
      <c r="M172" s="46">
        <f t="shared" si="12"/>
        <v>231.58335558726841</v>
      </c>
      <c r="N172" s="46">
        <v>231.58335558726841</v>
      </c>
      <c r="O172" s="46">
        <v>11.579167779363422</v>
      </c>
      <c r="P172" s="46">
        <v>11.579167779363422</v>
      </c>
      <c r="Q172" s="46">
        <v>11.579167779363422</v>
      </c>
      <c r="R172" s="46">
        <v>55.691000000000003</v>
      </c>
      <c r="S172" s="46">
        <f>R172</f>
        <v>55.691000000000003</v>
      </c>
      <c r="T172" s="46">
        <f>S172</f>
        <v>55.691000000000003</v>
      </c>
      <c r="U172" s="46">
        <v>55.691000000000003</v>
      </c>
      <c r="V172" s="46">
        <v>5</v>
      </c>
      <c r="W172" s="46">
        <v>78.019401157895544</v>
      </c>
      <c r="X172">
        <v>15</v>
      </c>
      <c r="Y172">
        <v>1E-3</v>
      </c>
    </row>
    <row r="173" spans="2:25">
      <c r="B173" t="str">
        <f>D57</f>
        <v>T-HPT-BEV_ELC51</v>
      </c>
      <c r="C173" t="str">
        <f>Commodities!B16</f>
        <v>TRAELC</v>
      </c>
      <c r="D173" t="str">
        <f>Commodities!B22</f>
        <v>TRAPL</v>
      </c>
      <c r="E173">
        <v>2019</v>
      </c>
      <c r="F173" s="46">
        <v>2.06E-2</v>
      </c>
      <c r="G173" s="46">
        <v>2.06E-2</v>
      </c>
      <c r="H173" s="46">
        <v>2.06E-2</v>
      </c>
      <c r="J173" s="46">
        <v>935.5223742338045</v>
      </c>
      <c r="K173" s="46">
        <f t="shared" ref="K173:K174" si="14">AVERAGE(J173,L173)</f>
        <v>935.5223742338045</v>
      </c>
      <c r="L173" s="46">
        <v>935.5223742338045</v>
      </c>
      <c r="M173" s="46">
        <f t="shared" si="12"/>
        <v>935.5223742338045</v>
      </c>
      <c r="N173" s="46">
        <v>935.5223742338045</v>
      </c>
      <c r="O173" s="46">
        <v>46.776118711690231</v>
      </c>
      <c r="P173" s="46">
        <v>46.776118711690231</v>
      </c>
      <c r="Q173" s="46">
        <v>46.776118711690231</v>
      </c>
      <c r="R173" s="46">
        <v>158.476</v>
      </c>
      <c r="S173" s="46">
        <f t="shared" ref="S173:T174" si="15">R173</f>
        <v>158.476</v>
      </c>
      <c r="T173" s="46">
        <f t="shared" si="15"/>
        <v>158.476</v>
      </c>
      <c r="U173" s="46">
        <v>158.476</v>
      </c>
      <c r="V173" s="46">
        <v>5</v>
      </c>
      <c r="W173" s="46">
        <v>78.019401157895544</v>
      </c>
      <c r="X173">
        <v>15</v>
      </c>
      <c r="Y173">
        <v>1E-3</v>
      </c>
    </row>
    <row r="174" spans="2:25">
      <c r="B174" t="str">
        <f>D58</f>
        <v>T-HPT-ICE_DST51</v>
      </c>
      <c r="C174" t="str">
        <f>Commodities!B9&amp;","&amp;Commodities!B11</f>
        <v>TRADST,TRABDL</v>
      </c>
      <c r="D174" t="str">
        <f>Commodities!B22</f>
        <v>TRAPL</v>
      </c>
      <c r="E174">
        <v>2019</v>
      </c>
      <c r="F174" s="46">
        <v>7.7000000000000002E-3</v>
      </c>
      <c r="G174" s="46">
        <v>7.7000000000000002E-3</v>
      </c>
      <c r="H174" s="46">
        <v>7.7000000000000002E-3</v>
      </c>
      <c r="J174" s="46">
        <v>989.2715097553122</v>
      </c>
      <c r="K174" s="46">
        <f t="shared" si="14"/>
        <v>989.2715097553122</v>
      </c>
      <c r="L174" s="46">
        <v>989.2715097553122</v>
      </c>
      <c r="M174" s="46">
        <f t="shared" si="12"/>
        <v>989.2715097553122</v>
      </c>
      <c r="N174" s="46">
        <v>989.2715097553122</v>
      </c>
      <c r="O174" s="46">
        <v>49.463575487765617</v>
      </c>
      <c r="P174" s="46">
        <v>49.463575487765617</v>
      </c>
      <c r="Q174" s="46">
        <v>49.463575487765617</v>
      </c>
      <c r="R174" s="46">
        <v>73.884</v>
      </c>
      <c r="S174" s="46">
        <f t="shared" si="15"/>
        <v>73.884</v>
      </c>
      <c r="T174" s="46">
        <f t="shared" si="15"/>
        <v>73.884</v>
      </c>
      <c r="U174" s="46">
        <v>73.884</v>
      </c>
      <c r="V174" s="46">
        <v>5</v>
      </c>
      <c r="W174" s="46">
        <v>120</v>
      </c>
      <c r="X174">
        <v>15</v>
      </c>
      <c r="Y174">
        <v>1E-3</v>
      </c>
    </row>
    <row r="175" spans="2:25" ht="14.4">
      <c r="B175" s="26" t="s">
        <v>117</v>
      </c>
      <c r="C175" s="26"/>
      <c r="D175" s="26"/>
      <c r="E175" s="26"/>
      <c r="F175" s="26"/>
      <c r="G175" s="26"/>
      <c r="H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2:25">
      <c r="B176" t="str">
        <f t="shared" ref="B176:B182" si="16">D60</f>
        <v>T-LGT-ICE_DST61</v>
      </c>
      <c r="C176" t="str">
        <f>Commodities!B9&amp;","&amp;Commodities!B11</f>
        <v>TRADST,TRABDL</v>
      </c>
      <c r="D176" t="str">
        <f>Commodities!B23</f>
        <v>TRAF</v>
      </c>
      <c r="E176">
        <v>2019</v>
      </c>
      <c r="F176" s="46">
        <v>0.51000446210607897</v>
      </c>
      <c r="G176" s="46">
        <v>0.57000498705973535</v>
      </c>
      <c r="H176" s="46">
        <v>0.61737382254946405</v>
      </c>
      <c r="J176" s="46">
        <v>23.135000000000002</v>
      </c>
      <c r="K176" s="46">
        <f>AVERAGE(J176,L176)</f>
        <v>23.9</v>
      </c>
      <c r="L176" s="46">
        <v>24.664999999999999</v>
      </c>
      <c r="M176" s="46">
        <f t="shared" si="12"/>
        <v>24.664999999999999</v>
      </c>
      <c r="N176" s="46">
        <v>24.664999999999999</v>
      </c>
      <c r="O176" s="46">
        <v>0.50484614131470373</v>
      </c>
      <c r="P176" s="46">
        <v>0.51755174200814014</v>
      </c>
      <c r="Q176" s="46">
        <v>0.51755174200814014</v>
      </c>
      <c r="R176" s="46">
        <v>20.794499999999999</v>
      </c>
      <c r="S176" s="46">
        <f>R176</f>
        <v>20.794499999999999</v>
      </c>
      <c r="T176" s="46">
        <f>S176*0.65</f>
        <v>13.516425</v>
      </c>
      <c r="U176" s="46">
        <v>20.794499999999999</v>
      </c>
      <c r="V176" s="46">
        <v>5</v>
      </c>
      <c r="W176" s="93">
        <v>0.04</v>
      </c>
      <c r="X176">
        <v>20</v>
      </c>
      <c r="Y176">
        <v>1E-3</v>
      </c>
    </row>
    <row r="177" spans="2:26">
      <c r="B177" t="str">
        <f t="shared" si="16"/>
        <v>T-LGT-HEV_DST61</v>
      </c>
      <c r="C177" t="str">
        <f>Commodities!B9&amp;","&amp;Commodities!B11</f>
        <v>TRADST,TRABDL</v>
      </c>
      <c r="D177" t="str">
        <f>D176</f>
        <v>TRAF</v>
      </c>
      <c r="E177">
        <v>2019</v>
      </c>
      <c r="F177" s="46">
        <v>0.63632135674535562</v>
      </c>
      <c r="G177" s="46">
        <v>0.71842733826088534</v>
      </c>
      <c r="H177" s="46">
        <v>0.76895409611659593</v>
      </c>
      <c r="J177" s="46">
        <v>26.946999999999999</v>
      </c>
      <c r="K177" s="46">
        <f t="shared" ref="K177:K182" si="17">AVERAGE(J177,L177)</f>
        <v>27.027999999999999</v>
      </c>
      <c r="L177" s="46">
        <v>27.109000000000002</v>
      </c>
      <c r="M177" s="46">
        <f t="shared" si="12"/>
        <v>26.498000000000001</v>
      </c>
      <c r="N177" s="46">
        <v>24.664999999999999</v>
      </c>
      <c r="O177" s="46">
        <v>0.52029163519242105</v>
      </c>
      <c r="P177" s="46">
        <v>0.52356187325580883</v>
      </c>
      <c r="Q177" s="46">
        <v>0.51121564564909838</v>
      </c>
      <c r="R177" s="46">
        <v>20.794499999999999</v>
      </c>
      <c r="S177" s="46">
        <f t="shared" ref="S177:S182" si="18">R177</f>
        <v>20.794499999999999</v>
      </c>
      <c r="T177" s="46">
        <f t="shared" ref="T177:T182" si="19">S177*0.65</f>
        <v>13.516425</v>
      </c>
      <c r="U177" s="46">
        <v>20.794499999999999</v>
      </c>
      <c r="V177" s="46">
        <v>5</v>
      </c>
      <c r="W177" s="93">
        <v>0.04</v>
      </c>
      <c r="X177">
        <v>20</v>
      </c>
      <c r="Y177">
        <v>1E-3</v>
      </c>
    </row>
    <row r="178" spans="2:26">
      <c r="B178" t="str">
        <f t="shared" si="16"/>
        <v>T-LGT-PHEV_DST61</v>
      </c>
      <c r="C178" t="str">
        <f>Commodities!B9&amp;","&amp;Commodities!B16</f>
        <v>TRADST,TRAELC</v>
      </c>
      <c r="D178" t="str">
        <f t="shared" ref="D178:D182" si="20">D177</f>
        <v>TRAF</v>
      </c>
      <c r="E178">
        <v>2019</v>
      </c>
      <c r="F178" s="46">
        <v>0.89527099075587235</v>
      </c>
      <c r="G178" s="46">
        <v>1.0436933419570225</v>
      </c>
      <c r="H178" s="46">
        <v>1.1542206247663893</v>
      </c>
      <c r="J178" s="46">
        <v>33.524000000000001</v>
      </c>
      <c r="K178" s="46">
        <f t="shared" si="17"/>
        <v>31.293500000000002</v>
      </c>
      <c r="L178" s="46">
        <v>29.062999999999999</v>
      </c>
      <c r="M178" s="46">
        <f t="shared" si="12"/>
        <v>28.66825</v>
      </c>
      <c r="N178" s="46">
        <v>27.484000000000002</v>
      </c>
      <c r="O178" s="46">
        <v>0.6161122895888177</v>
      </c>
      <c r="P178" s="46">
        <v>0.60299617144343154</v>
      </c>
      <c r="Q178" s="46">
        <v>0.5684028228063388</v>
      </c>
      <c r="R178" s="46">
        <v>20.794499999999999</v>
      </c>
      <c r="S178" s="46">
        <f t="shared" si="18"/>
        <v>20.794499999999999</v>
      </c>
      <c r="T178" s="46">
        <f t="shared" si="19"/>
        <v>13.516425</v>
      </c>
      <c r="U178" s="46">
        <v>20.794499999999999</v>
      </c>
      <c r="V178" s="46">
        <v>5</v>
      </c>
      <c r="W178" s="93">
        <v>0.04</v>
      </c>
      <c r="X178">
        <v>20</v>
      </c>
      <c r="Y178">
        <v>1E-3</v>
      </c>
    </row>
    <row r="179" spans="2:26">
      <c r="B179" t="str">
        <f t="shared" si="16"/>
        <v>T-LGT-ICE_NGB61</v>
      </c>
      <c r="C179" t="str">
        <f>Commodities!B13&amp;","&amp;Commodities!B15</f>
        <v>TRACNG,TRABNG</v>
      </c>
      <c r="D179" t="str">
        <f t="shared" si="20"/>
        <v>TRAF</v>
      </c>
      <c r="E179">
        <v>2019</v>
      </c>
      <c r="F179" s="46">
        <v>0.36000314972193814</v>
      </c>
      <c r="G179" s="46">
        <v>0.37421380036885671</v>
      </c>
      <c r="H179" s="46">
        <v>0.42631951940755836</v>
      </c>
      <c r="J179" s="46">
        <v>28.097999999999999</v>
      </c>
      <c r="K179" s="46">
        <f t="shared" si="17"/>
        <v>26.765499999999999</v>
      </c>
      <c r="L179" s="46">
        <v>25.433</v>
      </c>
      <c r="M179" s="46">
        <f t="shared" si="12"/>
        <v>25.394750000000002</v>
      </c>
      <c r="N179" s="46">
        <v>25.28</v>
      </c>
      <c r="O179" s="46">
        <v>0.52670753132871073</v>
      </c>
      <c r="P179" s="46">
        <v>0.53670515183033241</v>
      </c>
      <c r="Q179" s="46">
        <v>0.53670515183033241</v>
      </c>
      <c r="R179" s="46">
        <v>20.794499999999999</v>
      </c>
      <c r="S179" s="46">
        <f t="shared" si="18"/>
        <v>20.794499999999999</v>
      </c>
      <c r="T179" s="46">
        <f t="shared" si="19"/>
        <v>13.516425</v>
      </c>
      <c r="U179" s="46">
        <v>20.794499999999999</v>
      </c>
      <c r="V179" s="46">
        <v>5</v>
      </c>
      <c r="W179" s="93">
        <v>0.04</v>
      </c>
      <c r="X179">
        <v>20</v>
      </c>
      <c r="Y179">
        <v>1E-3</v>
      </c>
    </row>
    <row r="180" spans="2:26">
      <c r="B180" t="str">
        <f t="shared" si="16"/>
        <v>T-LGT-PHEV_NGB61</v>
      </c>
      <c r="C180" t="str">
        <f>Commodities!B13&amp;","&amp;Commodities!B16</f>
        <v>TRACNG,TRAELC</v>
      </c>
      <c r="D180" t="str">
        <f t="shared" si="20"/>
        <v>TRAF</v>
      </c>
      <c r="E180">
        <v>2019</v>
      </c>
      <c r="F180" s="46">
        <v>0.73105902772481302</v>
      </c>
      <c r="G180" s="46">
        <v>0.78316474676351455</v>
      </c>
      <c r="H180" s="46">
        <v>0.89527099075587235</v>
      </c>
      <c r="J180" s="46">
        <v>36.548000000000002</v>
      </c>
      <c r="K180" s="46">
        <f t="shared" si="17"/>
        <v>33.258000000000003</v>
      </c>
      <c r="L180" s="46">
        <v>29.968</v>
      </c>
      <c r="M180" s="46">
        <f t="shared" si="12"/>
        <v>29.539249999999999</v>
      </c>
      <c r="N180" s="46">
        <v>28.253</v>
      </c>
      <c r="O180" s="46">
        <v>0.6161122895888177</v>
      </c>
      <c r="P180" s="46">
        <v>0.60299617144343154</v>
      </c>
      <c r="Q180" s="46">
        <v>0.5684028228063388</v>
      </c>
      <c r="R180" s="46">
        <v>20.794499999999999</v>
      </c>
      <c r="S180" s="46">
        <f t="shared" si="18"/>
        <v>20.794499999999999</v>
      </c>
      <c r="T180" s="46">
        <f t="shared" si="19"/>
        <v>13.516425</v>
      </c>
      <c r="U180" s="46">
        <v>20.794499999999999</v>
      </c>
      <c r="V180" s="46">
        <v>5</v>
      </c>
      <c r="W180" s="93">
        <v>0.04</v>
      </c>
      <c r="X180">
        <v>20</v>
      </c>
      <c r="Y180">
        <v>1E-3</v>
      </c>
    </row>
    <row r="181" spans="2:26">
      <c r="B181" t="str">
        <f t="shared" si="16"/>
        <v>T-LGT-FCV_HYD61</v>
      </c>
      <c r="C181" t="str">
        <f>Commodities!B18</f>
        <v>TRAH2</v>
      </c>
      <c r="D181" t="str">
        <f t="shared" si="20"/>
        <v>TRAF</v>
      </c>
      <c r="E181">
        <v>2030</v>
      </c>
      <c r="F181" s="46">
        <v>0.84316527171717093</v>
      </c>
      <c r="G181" s="46">
        <v>0.95369255452653778</v>
      </c>
      <c r="H181" s="46">
        <v>1.0200089242121579</v>
      </c>
      <c r="J181" s="46">
        <v>56.146000000000001</v>
      </c>
      <c r="K181" s="46">
        <f t="shared" si="17"/>
        <v>44.363</v>
      </c>
      <c r="L181" s="46">
        <v>32.58</v>
      </c>
      <c r="M181" s="46">
        <f t="shared" si="12"/>
        <v>30.911749999999998</v>
      </c>
      <c r="N181" s="46">
        <v>25.907</v>
      </c>
      <c r="O181" s="46">
        <v>0.71457314373327263</v>
      </c>
      <c r="P181" s="46">
        <v>0.66403369812656132</v>
      </c>
      <c r="Q181" s="46">
        <v>0.56295480691313882</v>
      </c>
      <c r="R181" s="46">
        <v>20.794499999999999</v>
      </c>
      <c r="S181" s="46">
        <f t="shared" si="18"/>
        <v>20.794499999999999</v>
      </c>
      <c r="T181" s="46">
        <f t="shared" si="19"/>
        <v>13.516425</v>
      </c>
      <c r="U181" s="46">
        <v>20.794499999999999</v>
      </c>
      <c r="V181" s="46">
        <v>5</v>
      </c>
      <c r="W181" s="93">
        <v>0.04</v>
      </c>
      <c r="X181">
        <v>20</v>
      </c>
      <c r="Y181">
        <v>1E-3</v>
      </c>
    </row>
    <row r="182" spans="2:26">
      <c r="B182" t="str">
        <f t="shared" si="16"/>
        <v>T-LGT-BEV_ELC61</v>
      </c>
      <c r="C182" t="str">
        <f>Commodities!B16</f>
        <v>TRAELC</v>
      </c>
      <c r="D182" t="str">
        <f t="shared" si="20"/>
        <v>TRAF</v>
      </c>
      <c r="E182">
        <v>2019</v>
      </c>
      <c r="F182" s="46">
        <v>1.462118055449626</v>
      </c>
      <c r="G182" s="46">
        <v>1.7542258743029528</v>
      </c>
      <c r="H182" s="46">
        <v>1.9942279741175781</v>
      </c>
      <c r="J182" s="46">
        <v>32.17</v>
      </c>
      <c r="K182" s="46">
        <f t="shared" si="17"/>
        <v>30.351500000000001</v>
      </c>
      <c r="L182" s="46">
        <v>28.533000000000001</v>
      </c>
      <c r="M182" s="46">
        <f t="shared" si="12"/>
        <v>27.774000000000001</v>
      </c>
      <c r="N182" s="46">
        <v>25.497</v>
      </c>
      <c r="O182" s="46">
        <f>+O176*0.8</f>
        <v>0.40387691305176299</v>
      </c>
      <c r="P182" s="46">
        <f>+P176*0.8</f>
        <v>0.41404139360651215</v>
      </c>
      <c r="Q182" s="46">
        <f>+Q176*0.8</f>
        <v>0.41404139360651215</v>
      </c>
      <c r="R182" s="46">
        <v>20.794499999999999</v>
      </c>
      <c r="S182" s="46">
        <f t="shared" si="18"/>
        <v>20.794499999999999</v>
      </c>
      <c r="T182" s="46">
        <f t="shared" si="19"/>
        <v>13.516425</v>
      </c>
      <c r="U182" s="46">
        <v>20.794499999999999</v>
      </c>
      <c r="V182" s="46">
        <v>5</v>
      </c>
      <c r="W182" s="93">
        <v>0.04</v>
      </c>
      <c r="X182">
        <v>20</v>
      </c>
      <c r="Y182">
        <v>1E-3</v>
      </c>
    </row>
    <row r="183" spans="2:26" ht="14.4">
      <c r="B183" s="26" t="s">
        <v>328</v>
      </c>
      <c r="C183" s="26"/>
      <c r="D183" s="26"/>
      <c r="E183" s="26"/>
      <c r="F183" s="26"/>
      <c r="G183" s="26"/>
      <c r="H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92"/>
      <c r="X183" s="26"/>
      <c r="Y183" s="26"/>
    </row>
    <row r="184" spans="2:26">
      <c r="B184" t="str">
        <f t="shared" ref="B184:B190" si="21">D68</f>
        <v>T-MGT-ICE_DST71</v>
      </c>
      <c r="C184" t="str">
        <f>Commodities!B9&amp;","&amp;Commodities!B11</f>
        <v>TRADST,TRABDL</v>
      </c>
      <c r="D184" t="str">
        <f>Commodities!B23</f>
        <v>TRAF</v>
      </c>
      <c r="E184">
        <f t="shared" ref="E184" si="22">E192</f>
        <v>2019</v>
      </c>
      <c r="F184" s="46">
        <v>2.2955699033471548E-2</v>
      </c>
      <c r="G184" s="46">
        <v>2.5042580763787146E-2</v>
      </c>
      <c r="H184" s="46">
        <v>2.9785493787231682E-2</v>
      </c>
      <c r="J184">
        <f t="shared" ref="J184:J190" si="23">J192</f>
        <v>95.69</v>
      </c>
      <c r="K184" s="46">
        <f>AVERAGE(J184,L184)</f>
        <v>98.32</v>
      </c>
      <c r="L184">
        <f t="shared" ref="L184:L190" si="24">L192</f>
        <v>100.95</v>
      </c>
      <c r="M184" s="46">
        <f t="shared" ref="M184:M190" si="25">L184-((L184-N184)/4)</f>
        <v>100.95</v>
      </c>
      <c r="N184">
        <f t="shared" ref="N184:Q190" si="26">N192</f>
        <v>100.95</v>
      </c>
      <c r="O184" s="46">
        <f t="shared" si="26"/>
        <v>2.1157042474212369</v>
      </c>
      <c r="P184" s="46">
        <f t="shared" si="26"/>
        <v>2.1689507539373367</v>
      </c>
      <c r="Q184" s="46">
        <f t="shared" si="26"/>
        <v>2.1689507539373367</v>
      </c>
      <c r="R184" s="46">
        <v>29.397500000000001</v>
      </c>
      <c r="S184" s="46">
        <f>R184</f>
        <v>29.397500000000001</v>
      </c>
      <c r="T184" s="46">
        <f>S184</f>
        <v>29.397500000000001</v>
      </c>
      <c r="U184" s="46">
        <v>29.397500000000001</v>
      </c>
      <c r="V184" s="46">
        <v>5</v>
      </c>
      <c r="W184" s="46">
        <v>3.4220000000000002</v>
      </c>
      <c r="X184">
        <v>20</v>
      </c>
      <c r="Y184">
        <f t="shared" ref="Y184:Y190" si="27">Y192</f>
        <v>1E-3</v>
      </c>
      <c r="Z184" s="46">
        <v>0</v>
      </c>
    </row>
    <row r="185" spans="2:26">
      <c r="B185" t="str">
        <f t="shared" si="21"/>
        <v>T-MGT-HEV_DST71</v>
      </c>
      <c r="C185" t="str">
        <f>Commodities!B9&amp;","&amp;Commodities!B11</f>
        <v>TRADST,TRABDL</v>
      </c>
      <c r="D185" t="str">
        <f>D184</f>
        <v>TRAF</v>
      </c>
      <c r="E185">
        <f t="shared" ref="C185:E190" si="28">E193</f>
        <v>2019</v>
      </c>
      <c r="F185" s="46">
        <v>3.2820958122236184E-2</v>
      </c>
      <c r="G185" s="46">
        <v>3.5856422457240689E-2</v>
      </c>
      <c r="H185" s="46">
        <v>4.2496500690063034E-2</v>
      </c>
      <c r="J185">
        <f t="shared" si="23"/>
        <v>124.73</v>
      </c>
      <c r="K185" s="46">
        <f t="shared" ref="K185:K190" si="29">AVERAGE(J185,L185)</f>
        <v>124.92500000000001</v>
      </c>
      <c r="L185">
        <f t="shared" si="24"/>
        <v>125.12</v>
      </c>
      <c r="M185" s="46">
        <f>L185-((L185-N185)/4)</f>
        <v>123.88250000000001</v>
      </c>
      <c r="N185">
        <f t="shared" si="26"/>
        <v>120.17</v>
      </c>
      <c r="O185" s="46">
        <f t="shared" si="26"/>
        <v>3.5721072259038325</v>
      </c>
      <c r="P185" s="46">
        <f t="shared" si="26"/>
        <v>3.0618061936318557</v>
      </c>
      <c r="Q185" s="46">
        <f t="shared" si="26"/>
        <v>2.3858458293310703</v>
      </c>
      <c r="R185" s="46">
        <v>29.397500000000001</v>
      </c>
      <c r="S185" s="46">
        <f t="shared" ref="S185:T190" si="30">R185</f>
        <v>29.397500000000001</v>
      </c>
      <c r="T185" s="46">
        <f t="shared" si="30"/>
        <v>29.397500000000001</v>
      </c>
      <c r="U185" s="46">
        <v>29.397500000000001</v>
      </c>
      <c r="V185" s="46">
        <v>5</v>
      </c>
      <c r="W185" s="46">
        <f>W184</f>
        <v>3.4220000000000002</v>
      </c>
      <c r="X185">
        <v>20</v>
      </c>
      <c r="Y185">
        <f t="shared" si="27"/>
        <v>1E-3</v>
      </c>
      <c r="Z185" s="46">
        <v>0</v>
      </c>
    </row>
    <row r="186" spans="2:26">
      <c r="B186" t="str">
        <f t="shared" si="21"/>
        <v>T-MGT-FCV_HYD71</v>
      </c>
      <c r="C186" t="str">
        <f t="shared" si="28"/>
        <v>TRAH2</v>
      </c>
      <c r="D186" t="str">
        <f t="shared" ref="D186:D190" si="31">D185</f>
        <v>TRAF</v>
      </c>
      <c r="E186">
        <v>2030</v>
      </c>
      <c r="F186" s="46">
        <v>3.8133020708494066E-2</v>
      </c>
      <c r="G186" s="46">
        <v>4.1737634606311913E-2</v>
      </c>
      <c r="H186" s="46">
        <v>4.9705728485698729E-2</v>
      </c>
      <c r="J186">
        <f t="shared" si="23"/>
        <v>345.67</v>
      </c>
      <c r="K186" s="46">
        <f t="shared" si="29"/>
        <v>283.94499999999999</v>
      </c>
      <c r="L186">
        <f t="shared" si="24"/>
        <v>222.22</v>
      </c>
      <c r="M186" s="46">
        <f t="shared" si="25"/>
        <v>195.70750000000001</v>
      </c>
      <c r="N186">
        <f t="shared" si="26"/>
        <v>116.17</v>
      </c>
      <c r="O186" s="46">
        <f t="shared" si="26"/>
        <v>3.5721072259038325</v>
      </c>
      <c r="P186" s="46">
        <f t="shared" si="26"/>
        <v>3.0618061936318557</v>
      </c>
      <c r="Q186" s="46">
        <f t="shared" si="26"/>
        <v>2.3858458293310703</v>
      </c>
      <c r="R186" s="46">
        <v>29.397500000000001</v>
      </c>
      <c r="S186" s="46">
        <f t="shared" si="30"/>
        <v>29.397500000000001</v>
      </c>
      <c r="T186" s="46">
        <f t="shared" si="30"/>
        <v>29.397500000000001</v>
      </c>
      <c r="U186" s="46">
        <v>29.397500000000001</v>
      </c>
      <c r="V186" s="46">
        <v>5</v>
      </c>
      <c r="W186" s="46">
        <f t="shared" ref="W186:W190" si="32">W185</f>
        <v>3.4220000000000002</v>
      </c>
      <c r="X186">
        <v>20</v>
      </c>
      <c r="Y186">
        <f t="shared" si="27"/>
        <v>1E-3</v>
      </c>
      <c r="Z186" s="46">
        <v>0</v>
      </c>
    </row>
    <row r="187" spans="2:26">
      <c r="B187" t="str">
        <f t="shared" si="21"/>
        <v>T-MGT-ICE_NGB71</v>
      </c>
      <c r="C187" t="str">
        <f>Commodities!B13&amp;","&amp;Commodities!B15</f>
        <v>TRACNG,TRABNG</v>
      </c>
      <c r="D187" t="str">
        <f t="shared" si="31"/>
        <v>TRAF</v>
      </c>
      <c r="E187">
        <f t="shared" si="28"/>
        <v>2019</v>
      </c>
      <c r="F187" s="46">
        <v>2.2386549470658205E-2</v>
      </c>
      <c r="G187" s="46">
        <v>2.6750029452227177E-2</v>
      </c>
      <c r="H187" s="46">
        <v>2.9406060745356118E-2</v>
      </c>
      <c r="J187">
        <f t="shared" si="23"/>
        <v>115.69</v>
      </c>
      <c r="K187" s="46">
        <f t="shared" si="29"/>
        <v>118.32</v>
      </c>
      <c r="L187">
        <f t="shared" si="24"/>
        <v>120.95</v>
      </c>
      <c r="M187" s="46">
        <f t="shared" si="25"/>
        <v>120.95</v>
      </c>
      <c r="N187">
        <f t="shared" si="26"/>
        <v>120.95</v>
      </c>
      <c r="O187" s="46">
        <f t="shared" si="26"/>
        <v>5.0989820625747049</v>
      </c>
      <c r="P187" s="46">
        <f t="shared" si="26"/>
        <v>3.5538821890369761</v>
      </c>
      <c r="Q187" s="46">
        <f t="shared" si="26"/>
        <v>2.3292245236828353</v>
      </c>
      <c r="R187" s="46">
        <v>29.397500000000001</v>
      </c>
      <c r="S187" s="46">
        <f t="shared" si="30"/>
        <v>29.397500000000001</v>
      </c>
      <c r="T187" s="46">
        <f t="shared" si="30"/>
        <v>29.397500000000001</v>
      </c>
      <c r="U187" s="46">
        <v>29.397500000000001</v>
      </c>
      <c r="V187" s="46">
        <v>5</v>
      </c>
      <c r="W187" s="46">
        <f t="shared" si="32"/>
        <v>3.4220000000000002</v>
      </c>
      <c r="X187">
        <v>20</v>
      </c>
      <c r="Y187">
        <f t="shared" si="27"/>
        <v>1E-3</v>
      </c>
      <c r="Z187" s="46">
        <v>0</v>
      </c>
    </row>
    <row r="188" spans="2:26">
      <c r="B188" t="str">
        <f t="shared" si="21"/>
        <v>T-MGT-HEV_NGB71</v>
      </c>
      <c r="C188" t="str">
        <f>Commodities!B13&amp;","&amp;Commodities!B15</f>
        <v>TRACNG,TRABNG</v>
      </c>
      <c r="D188" t="str">
        <f t="shared" si="31"/>
        <v>TRAF</v>
      </c>
      <c r="E188">
        <f t="shared" si="28"/>
        <v>2019</v>
      </c>
      <c r="F188" s="46">
        <v>3.1872375517547277E-2</v>
      </c>
      <c r="G188" s="46">
        <v>3.8133020708494066E-2</v>
      </c>
      <c r="H188" s="46">
        <v>4.211706764818747E-2</v>
      </c>
      <c r="J188">
        <f t="shared" si="23"/>
        <v>144.72999999999999</v>
      </c>
      <c r="K188" s="46">
        <f t="shared" si="29"/>
        <v>144.92500000000001</v>
      </c>
      <c r="L188">
        <f t="shared" si="24"/>
        <v>145.12</v>
      </c>
      <c r="M188" s="46">
        <f t="shared" si="25"/>
        <v>143.88249999999999</v>
      </c>
      <c r="N188">
        <f t="shared" si="26"/>
        <v>140.16999999999999</v>
      </c>
      <c r="O188" s="46">
        <f t="shared" si="26"/>
        <v>5.0989820625747049</v>
      </c>
      <c r="P188" s="46">
        <f t="shared" si="26"/>
        <v>3.5538821890369761</v>
      </c>
      <c r="Q188" s="46">
        <f t="shared" si="26"/>
        <v>2.3292245236828353</v>
      </c>
      <c r="R188" s="46">
        <v>29.397500000000001</v>
      </c>
      <c r="S188" s="46">
        <f t="shared" si="30"/>
        <v>29.397500000000001</v>
      </c>
      <c r="T188" s="46">
        <f t="shared" si="30"/>
        <v>29.397500000000001</v>
      </c>
      <c r="U188" s="46">
        <v>29.397500000000001</v>
      </c>
      <c r="V188" s="46">
        <v>5</v>
      </c>
      <c r="W188" s="46">
        <f t="shared" si="32"/>
        <v>3.4220000000000002</v>
      </c>
      <c r="X188">
        <v>20</v>
      </c>
      <c r="Y188">
        <f t="shared" si="27"/>
        <v>1E-3</v>
      </c>
      <c r="Z188" s="46">
        <v>0</v>
      </c>
    </row>
    <row r="189" spans="2:26">
      <c r="B189" t="str">
        <f t="shared" si="21"/>
        <v>T-MGT-ICE_LNG71</v>
      </c>
      <c r="C189" t="str">
        <f t="shared" si="28"/>
        <v>TRALNG</v>
      </c>
      <c r="D189" t="str">
        <f t="shared" si="31"/>
        <v>TRAF</v>
      </c>
      <c r="E189">
        <f t="shared" si="28"/>
        <v>2050</v>
      </c>
      <c r="F189" s="46">
        <v>2.2386549470658205E-2</v>
      </c>
      <c r="G189" s="46">
        <v>2.6750029452227177E-2</v>
      </c>
      <c r="H189" s="46">
        <v>2.9406060745356118E-2</v>
      </c>
      <c r="J189">
        <f t="shared" si="23"/>
        <v>130.68600000000001</v>
      </c>
      <c r="K189" s="46">
        <f t="shared" si="29"/>
        <v>129.72200000000001</v>
      </c>
      <c r="L189">
        <f t="shared" si="24"/>
        <v>128.75800000000001</v>
      </c>
      <c r="M189" s="46">
        <f t="shared" si="25"/>
        <v>128.11425</v>
      </c>
      <c r="N189">
        <f t="shared" si="26"/>
        <v>126.18300000000001</v>
      </c>
      <c r="O189" s="46">
        <f t="shared" si="26"/>
        <v>5.0989820625747049</v>
      </c>
      <c r="P189" s="46">
        <f t="shared" si="26"/>
        <v>3.5538821890369761</v>
      </c>
      <c r="Q189" s="46">
        <f t="shared" si="26"/>
        <v>2.3292245236828353</v>
      </c>
      <c r="R189" s="46">
        <v>29.397500000000001</v>
      </c>
      <c r="S189" s="46">
        <f t="shared" si="30"/>
        <v>29.397500000000001</v>
      </c>
      <c r="T189" s="46">
        <f t="shared" si="30"/>
        <v>29.397500000000001</v>
      </c>
      <c r="U189" s="46">
        <v>29.397500000000001</v>
      </c>
      <c r="V189" s="46">
        <v>5</v>
      </c>
      <c r="W189" s="46">
        <f t="shared" si="32"/>
        <v>3.4220000000000002</v>
      </c>
      <c r="X189">
        <v>20</v>
      </c>
      <c r="Y189">
        <f t="shared" si="27"/>
        <v>1E-3</v>
      </c>
      <c r="Z189" s="46">
        <v>0</v>
      </c>
    </row>
    <row r="190" spans="2:26">
      <c r="B190" t="str">
        <f t="shared" si="21"/>
        <v>T-MGT-BEV_ELC71</v>
      </c>
      <c r="C190" t="str">
        <f t="shared" si="28"/>
        <v>TRAELC</v>
      </c>
      <c r="D190" t="str">
        <f t="shared" si="31"/>
        <v>TRAF</v>
      </c>
      <c r="E190">
        <f>E198</f>
        <v>2025</v>
      </c>
      <c r="F190" s="46">
        <v>6.5831632765410139E-2</v>
      </c>
      <c r="G190" s="46">
        <v>6.5831632765410139E-2</v>
      </c>
      <c r="H190" s="46">
        <v>6.5831632765410139E-2</v>
      </c>
      <c r="J190">
        <f t="shared" si="23"/>
        <v>345.67</v>
      </c>
      <c r="K190" s="46">
        <f t="shared" si="29"/>
        <v>309.89</v>
      </c>
      <c r="L190">
        <f t="shared" si="24"/>
        <v>274.11</v>
      </c>
      <c r="M190" s="46">
        <f t="shared" si="25"/>
        <v>234.625</v>
      </c>
      <c r="N190">
        <f t="shared" si="26"/>
        <v>116.17</v>
      </c>
      <c r="O190" s="46">
        <f>+O184*0.8</f>
        <v>1.6925633979369896</v>
      </c>
      <c r="P190" s="46">
        <f t="shared" si="26"/>
        <v>3.0618061936318557</v>
      </c>
      <c r="Q190" s="46">
        <f t="shared" si="26"/>
        <v>2.3858458293310703</v>
      </c>
      <c r="R190" s="46">
        <v>29.397500000000001</v>
      </c>
      <c r="S190" s="46">
        <f t="shared" si="30"/>
        <v>29.397500000000001</v>
      </c>
      <c r="T190" s="46">
        <f t="shared" si="30"/>
        <v>29.397500000000001</v>
      </c>
      <c r="U190" s="46">
        <v>29.397500000000001</v>
      </c>
      <c r="V190" s="46">
        <v>5</v>
      </c>
      <c r="W190" s="46">
        <f t="shared" si="32"/>
        <v>3.4220000000000002</v>
      </c>
      <c r="X190">
        <v>20</v>
      </c>
      <c r="Y190">
        <f t="shared" si="27"/>
        <v>1E-3</v>
      </c>
      <c r="Z190" s="46">
        <v>0</v>
      </c>
    </row>
    <row r="191" spans="2:26" ht="14.4">
      <c r="B191" s="26" t="s">
        <v>118</v>
      </c>
      <c r="C191" s="26"/>
      <c r="D191" s="26"/>
      <c r="E191" s="26"/>
      <c r="F191" s="26"/>
      <c r="G191" s="26"/>
      <c r="H191" s="26"/>
      <c r="J191" s="26"/>
      <c r="K191" s="26"/>
      <c r="L191" s="26"/>
      <c r="M191" s="26"/>
      <c r="N191" s="26"/>
      <c r="O191" s="55"/>
      <c r="P191" s="55"/>
      <c r="Q191" s="55"/>
      <c r="R191" s="26"/>
      <c r="S191" s="26"/>
      <c r="T191" s="26"/>
      <c r="U191" s="26"/>
      <c r="V191" s="26"/>
      <c r="W191" s="92"/>
      <c r="X191" s="26"/>
      <c r="Y191" s="26"/>
    </row>
    <row r="192" spans="2:26">
      <c r="B192" t="str">
        <f t="shared" ref="B192:B198" si="33">D76</f>
        <v>T-HGT-ICE_DST81</v>
      </c>
      <c r="C192" t="str">
        <f>Commodities!B9&amp;","&amp;Commodities!B11</f>
        <v>TRADST,TRABDL</v>
      </c>
      <c r="D192" t="str">
        <f>Commodities!B23</f>
        <v>TRAF</v>
      </c>
      <c r="E192">
        <v>2019</v>
      </c>
      <c r="F192" s="46">
        <v>2.2955699033471548E-2</v>
      </c>
      <c r="G192" s="46">
        <v>2.5042580763787146E-2</v>
      </c>
      <c r="H192" s="46">
        <v>2.9785493787231682E-2</v>
      </c>
      <c r="J192" s="46">
        <v>95.69</v>
      </c>
      <c r="K192" s="46">
        <f>AVERAGE(J192,L192)</f>
        <v>98.32</v>
      </c>
      <c r="L192" s="46">
        <v>100.95</v>
      </c>
      <c r="M192" s="46">
        <f t="shared" ref="M192:M198" si="34">L192-((L192-N192)/4)</f>
        <v>100.95</v>
      </c>
      <c r="N192" s="46">
        <v>100.95</v>
      </c>
      <c r="O192" s="46">
        <v>2.1157042474212369</v>
      </c>
      <c r="P192" s="46">
        <v>2.1689507539373367</v>
      </c>
      <c r="Q192" s="46">
        <v>2.1689507539373367</v>
      </c>
      <c r="R192" s="46">
        <v>50.915999999999997</v>
      </c>
      <c r="S192" s="46">
        <f>R192</f>
        <v>50.915999999999997</v>
      </c>
      <c r="T192" s="46">
        <f>S192*0.7</f>
        <v>35.641199999999998</v>
      </c>
      <c r="U192" s="46">
        <v>50.915999999999997</v>
      </c>
      <c r="V192" s="46">
        <v>5</v>
      </c>
      <c r="W192" s="93">
        <v>8.5139999999999993</v>
      </c>
      <c r="X192">
        <v>20</v>
      </c>
      <c r="Y192">
        <v>1E-3</v>
      </c>
      <c r="Z192" s="46">
        <v>0</v>
      </c>
    </row>
    <row r="193" spans="2:26">
      <c r="B193" t="str">
        <f t="shared" si="33"/>
        <v>T-HGT-HEV_DST81</v>
      </c>
      <c r="C193" t="str">
        <f>Commodities!B9&amp;","&amp;Commodities!B11</f>
        <v>TRADST,TRABDL</v>
      </c>
      <c r="D193" t="str">
        <f>D192</f>
        <v>TRAF</v>
      </c>
      <c r="E193">
        <v>2019</v>
      </c>
      <c r="F193" s="46">
        <v>3.2820958122236184E-2</v>
      </c>
      <c r="G193" s="46">
        <v>3.5856422457240689E-2</v>
      </c>
      <c r="H193" s="46">
        <v>4.2496500690063034E-2</v>
      </c>
      <c r="J193" s="46">
        <v>124.73</v>
      </c>
      <c r="K193" s="46">
        <f t="shared" ref="K193:K198" si="35">AVERAGE(J193,L193)</f>
        <v>124.92500000000001</v>
      </c>
      <c r="L193" s="46">
        <v>125.12</v>
      </c>
      <c r="M193" s="46">
        <f t="shared" si="34"/>
        <v>123.88250000000001</v>
      </c>
      <c r="N193" s="46">
        <v>120.17</v>
      </c>
      <c r="O193" s="46">
        <v>3.5721072259038325</v>
      </c>
      <c r="P193" s="46">
        <v>3.0618061936318557</v>
      </c>
      <c r="Q193" s="46">
        <v>2.3858458293310703</v>
      </c>
      <c r="R193" s="46">
        <v>50.915999999999997</v>
      </c>
      <c r="S193" s="46">
        <f t="shared" ref="S193:S198" si="36">R193</f>
        <v>50.915999999999997</v>
      </c>
      <c r="T193" s="46">
        <f t="shared" ref="T193:T198" si="37">S193*0.7</f>
        <v>35.641199999999998</v>
      </c>
      <c r="U193" s="46">
        <v>50.915999999999997</v>
      </c>
      <c r="V193" s="46">
        <v>5</v>
      </c>
      <c r="W193" s="93">
        <f>W192</f>
        <v>8.5139999999999993</v>
      </c>
      <c r="X193">
        <v>20</v>
      </c>
      <c r="Y193">
        <v>1E-3</v>
      </c>
      <c r="Z193" s="46">
        <v>0</v>
      </c>
    </row>
    <row r="194" spans="2:26">
      <c r="B194" t="str">
        <f t="shared" si="33"/>
        <v>T-HGT-FCV_HYD81</v>
      </c>
      <c r="C194" t="str">
        <f>Commodities!B18</f>
        <v>TRAH2</v>
      </c>
      <c r="D194" t="str">
        <f t="shared" ref="D194:D198" si="38">D193</f>
        <v>TRAF</v>
      </c>
      <c r="E194">
        <v>2030</v>
      </c>
      <c r="F194" s="46">
        <v>3.8133020708494066E-2</v>
      </c>
      <c r="G194" s="46">
        <v>4.1737634606311913E-2</v>
      </c>
      <c r="H194" s="46">
        <v>4.9705728485698729E-2</v>
      </c>
      <c r="J194" s="46">
        <v>345.67</v>
      </c>
      <c r="K194" s="46">
        <f t="shared" si="35"/>
        <v>283.94499999999999</v>
      </c>
      <c r="L194" s="46">
        <v>222.22</v>
      </c>
      <c r="M194" s="46">
        <f t="shared" si="34"/>
        <v>195.70750000000001</v>
      </c>
      <c r="N194" s="46">
        <v>116.17</v>
      </c>
      <c r="O194" s="46">
        <v>3.5721072259038325</v>
      </c>
      <c r="P194" s="46">
        <v>3.0618061936318557</v>
      </c>
      <c r="Q194" s="46">
        <v>2.3858458293310703</v>
      </c>
      <c r="R194" s="46">
        <v>50.915999999999997</v>
      </c>
      <c r="S194" s="46">
        <f t="shared" si="36"/>
        <v>50.915999999999997</v>
      </c>
      <c r="T194" s="46">
        <f t="shared" si="37"/>
        <v>35.641199999999998</v>
      </c>
      <c r="U194" s="46">
        <v>50.915999999999997</v>
      </c>
      <c r="V194" s="46">
        <v>5</v>
      </c>
      <c r="W194" s="93">
        <f t="shared" ref="W194:W198" si="39">W193</f>
        <v>8.5139999999999993</v>
      </c>
      <c r="X194">
        <v>20</v>
      </c>
      <c r="Y194">
        <v>1E-3</v>
      </c>
      <c r="Z194" s="46">
        <v>0</v>
      </c>
    </row>
    <row r="195" spans="2:26">
      <c r="B195" t="str">
        <f t="shared" si="33"/>
        <v>T-HGT-ICE_NGB81</v>
      </c>
      <c r="C195" t="str">
        <f>Commodities!B13&amp;","&amp;Commodities!B15</f>
        <v>TRACNG,TRABNG</v>
      </c>
      <c r="D195" t="str">
        <f t="shared" si="38"/>
        <v>TRAF</v>
      </c>
      <c r="E195">
        <v>2019</v>
      </c>
      <c r="F195" s="46">
        <v>2.2386549470658205E-2</v>
      </c>
      <c r="G195" s="46">
        <v>2.6750029452227177E-2</v>
      </c>
      <c r="H195" s="46">
        <v>2.9406060745356118E-2</v>
      </c>
      <c r="J195" s="46">
        <v>115.69</v>
      </c>
      <c r="K195" s="46">
        <f t="shared" si="35"/>
        <v>118.32</v>
      </c>
      <c r="L195" s="46">
        <v>120.95</v>
      </c>
      <c r="M195" s="46">
        <f t="shared" si="34"/>
        <v>120.95</v>
      </c>
      <c r="N195" s="46">
        <v>120.95</v>
      </c>
      <c r="O195" s="46">
        <v>5.0989820625747049</v>
      </c>
      <c r="P195" s="46">
        <v>3.5538821890369761</v>
      </c>
      <c r="Q195" s="46">
        <v>2.3292245236828353</v>
      </c>
      <c r="R195" s="46">
        <v>50.915999999999997</v>
      </c>
      <c r="S195" s="46">
        <f t="shared" si="36"/>
        <v>50.915999999999997</v>
      </c>
      <c r="T195" s="46">
        <f t="shared" si="37"/>
        <v>35.641199999999998</v>
      </c>
      <c r="U195" s="46">
        <v>50.915999999999997</v>
      </c>
      <c r="V195" s="46">
        <v>5</v>
      </c>
      <c r="W195" s="93">
        <f t="shared" si="39"/>
        <v>8.5139999999999993</v>
      </c>
      <c r="X195">
        <v>20</v>
      </c>
      <c r="Y195">
        <v>1E-3</v>
      </c>
      <c r="Z195" s="46">
        <v>0</v>
      </c>
    </row>
    <row r="196" spans="2:26">
      <c r="B196" t="str">
        <f t="shared" si="33"/>
        <v>T-HGT-HEV_NGB81</v>
      </c>
      <c r="C196" t="str">
        <f>Commodities!B13&amp;","&amp;Commodities!B15</f>
        <v>TRACNG,TRABNG</v>
      </c>
      <c r="D196" t="str">
        <f t="shared" si="38"/>
        <v>TRAF</v>
      </c>
      <c r="E196">
        <v>2019</v>
      </c>
      <c r="F196" s="46">
        <v>3.1872375517547277E-2</v>
      </c>
      <c r="G196" s="46">
        <v>3.8133020708494066E-2</v>
      </c>
      <c r="H196" s="46">
        <v>4.211706764818747E-2</v>
      </c>
      <c r="J196" s="46">
        <v>144.72999999999999</v>
      </c>
      <c r="K196" s="46">
        <f t="shared" si="35"/>
        <v>144.92500000000001</v>
      </c>
      <c r="L196" s="46">
        <v>145.12</v>
      </c>
      <c r="M196" s="46">
        <f t="shared" si="34"/>
        <v>143.88249999999999</v>
      </c>
      <c r="N196" s="46">
        <v>140.16999999999999</v>
      </c>
      <c r="O196" s="46">
        <v>5.0989820625747049</v>
      </c>
      <c r="P196" s="46">
        <v>3.5538821890369761</v>
      </c>
      <c r="Q196" s="46">
        <v>2.3292245236828353</v>
      </c>
      <c r="R196" s="46">
        <v>50.915999999999997</v>
      </c>
      <c r="S196" s="46">
        <f t="shared" si="36"/>
        <v>50.915999999999997</v>
      </c>
      <c r="T196" s="46">
        <f t="shared" si="37"/>
        <v>35.641199999999998</v>
      </c>
      <c r="U196" s="46">
        <v>50.915999999999997</v>
      </c>
      <c r="V196" s="46">
        <v>5</v>
      </c>
      <c r="W196" s="93">
        <f t="shared" si="39"/>
        <v>8.5139999999999993</v>
      </c>
      <c r="X196">
        <v>20</v>
      </c>
      <c r="Y196">
        <v>1E-3</v>
      </c>
      <c r="Z196" s="46">
        <v>0</v>
      </c>
    </row>
    <row r="197" spans="2:26">
      <c r="B197" t="str">
        <f t="shared" si="33"/>
        <v>T-HGT-ICE_LNG81</v>
      </c>
      <c r="C197" t="str">
        <f>Commodities!B17</f>
        <v>TRALNG</v>
      </c>
      <c r="D197" t="str">
        <f t="shared" si="38"/>
        <v>TRAF</v>
      </c>
      <c r="E197" s="8">
        <v>2050</v>
      </c>
      <c r="F197" s="46">
        <v>2.2386549470658205E-2</v>
      </c>
      <c r="G197" s="46">
        <v>2.6750029452227177E-2</v>
      </c>
      <c r="H197" s="46">
        <v>2.9406060745356118E-2</v>
      </c>
      <c r="J197" s="46">
        <v>130.68600000000001</v>
      </c>
      <c r="K197" s="46">
        <f t="shared" si="35"/>
        <v>129.72200000000001</v>
      </c>
      <c r="L197" s="46">
        <v>128.75800000000001</v>
      </c>
      <c r="M197" s="46">
        <f t="shared" si="34"/>
        <v>128.11425</v>
      </c>
      <c r="N197" s="46">
        <v>126.18300000000001</v>
      </c>
      <c r="O197" s="46">
        <v>5.0989820625747049</v>
      </c>
      <c r="P197" s="46">
        <v>3.5538821890369761</v>
      </c>
      <c r="Q197" s="46">
        <v>2.3292245236828353</v>
      </c>
      <c r="R197" s="46">
        <v>50.915999999999997</v>
      </c>
      <c r="S197" s="46">
        <f t="shared" si="36"/>
        <v>50.915999999999997</v>
      </c>
      <c r="T197" s="46">
        <f t="shared" si="37"/>
        <v>35.641199999999998</v>
      </c>
      <c r="U197" s="46">
        <v>50.915999999999997</v>
      </c>
      <c r="V197" s="46">
        <v>5</v>
      </c>
      <c r="W197" s="93">
        <f t="shared" si="39"/>
        <v>8.5139999999999993</v>
      </c>
      <c r="X197">
        <v>20</v>
      </c>
      <c r="Y197">
        <v>1E-3</v>
      </c>
      <c r="Z197" s="46">
        <v>0</v>
      </c>
    </row>
    <row r="198" spans="2:26">
      <c r="B198" t="str">
        <f t="shared" si="33"/>
        <v>T-HGT-BEV_ELC81</v>
      </c>
      <c r="C198" t="str">
        <f>Commodities!B16</f>
        <v>TRAELC</v>
      </c>
      <c r="D198" t="str">
        <f t="shared" si="38"/>
        <v>TRAF</v>
      </c>
      <c r="E198">
        <v>2025</v>
      </c>
      <c r="F198" s="46">
        <v>6.5831632765410139E-2</v>
      </c>
      <c r="G198" s="46">
        <v>6.5831632765410139E-2</v>
      </c>
      <c r="H198" s="46">
        <v>6.5831632765410139E-2</v>
      </c>
      <c r="J198" s="46">
        <v>345.67</v>
      </c>
      <c r="K198" s="46">
        <f t="shared" si="35"/>
        <v>309.89</v>
      </c>
      <c r="L198" s="46">
        <v>274.11</v>
      </c>
      <c r="M198" s="46">
        <f t="shared" si="34"/>
        <v>234.625</v>
      </c>
      <c r="N198" s="46">
        <v>116.17</v>
      </c>
      <c r="O198" s="46">
        <v>3.5721072259038325</v>
      </c>
      <c r="P198" s="46">
        <v>3.0618061936318557</v>
      </c>
      <c r="Q198" s="46">
        <v>2.3858458293310703</v>
      </c>
      <c r="R198" s="46">
        <v>50.915999999999997</v>
      </c>
      <c r="S198" s="46">
        <f t="shared" si="36"/>
        <v>50.915999999999997</v>
      </c>
      <c r="T198" s="46">
        <f t="shared" si="37"/>
        <v>35.641199999999998</v>
      </c>
      <c r="U198" s="46">
        <v>50.915999999999997</v>
      </c>
      <c r="V198" s="46">
        <v>5</v>
      </c>
      <c r="W198" s="93">
        <f t="shared" si="39"/>
        <v>8.5139999999999993</v>
      </c>
      <c r="X198">
        <v>20</v>
      </c>
      <c r="Y198">
        <v>1E-3</v>
      </c>
      <c r="Z198" s="46">
        <v>0</v>
      </c>
    </row>
    <row r="199" spans="2:26" ht="14.4">
      <c r="B199" s="26" t="s">
        <v>119</v>
      </c>
      <c r="C199" s="26"/>
      <c r="D199" s="26"/>
      <c r="E199" s="26"/>
      <c r="F199" s="26"/>
      <c r="G199" s="26"/>
      <c r="H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2:26">
      <c r="B200" t="str">
        <f>D84</f>
        <v>T-GTR-ICE_DST91</v>
      </c>
      <c r="C200" t="str">
        <f>Commodities!B9&amp;","&amp;Commodities!B11</f>
        <v>TRADST,TRABDL</v>
      </c>
      <c r="D200" t="str">
        <f>Commodities!B23</f>
        <v>TRAF</v>
      </c>
      <c r="E200">
        <v>2019</v>
      </c>
      <c r="F200" s="46">
        <v>7.4999999999999997E-3</v>
      </c>
      <c r="G200" s="46">
        <v>7.7000000000000002E-3</v>
      </c>
      <c r="H200" s="46">
        <v>7.7999999999999996E-3</v>
      </c>
      <c r="J200" s="46">
        <v>469.60386878903267</v>
      </c>
      <c r="K200" s="46">
        <f>AVERAGE(J200,L200)</f>
        <v>469.60386878903267</v>
      </c>
      <c r="L200" s="46">
        <v>469.60386878903267</v>
      </c>
      <c r="M200" s="46">
        <f t="shared" ref="M200:M201" si="40">L200-((L200-N200)/4)</f>
        <v>469.60386878903267</v>
      </c>
      <c r="N200" s="46">
        <v>469.60386878903267</v>
      </c>
      <c r="O200" s="46">
        <v>23.480193439451636</v>
      </c>
      <c r="P200" s="46">
        <v>23.480193439451636</v>
      </c>
      <c r="Q200" s="46">
        <v>23.480193439451636</v>
      </c>
      <c r="R200" s="46">
        <v>39.363999999999997</v>
      </c>
      <c r="S200" s="46">
        <f>R200</f>
        <v>39.363999999999997</v>
      </c>
      <c r="T200" s="46">
        <f>S200</f>
        <v>39.363999999999997</v>
      </c>
      <c r="U200" s="46">
        <v>39.363999999999997</v>
      </c>
      <c r="V200" s="46">
        <v>5</v>
      </c>
      <c r="W200" s="46">
        <v>164.83335026928157</v>
      </c>
      <c r="X200">
        <v>30</v>
      </c>
      <c r="Y200">
        <v>1E-3</v>
      </c>
    </row>
    <row r="201" spans="2:26">
      <c r="B201" t="str">
        <f>D85</f>
        <v>T-GTR-BEV_ELC91</v>
      </c>
      <c r="C201" t="str">
        <f>Commodities!B16</f>
        <v>TRAELC</v>
      </c>
      <c r="D201" t="str">
        <f>D200</f>
        <v>TRAF</v>
      </c>
      <c r="E201">
        <v>2019</v>
      </c>
      <c r="F201" s="46">
        <v>1.9800000000000002E-2</v>
      </c>
      <c r="G201" s="46">
        <v>2.0299999999999999E-2</v>
      </c>
      <c r="H201" s="46">
        <v>2.0500000000000001E-2</v>
      </c>
      <c r="J201" s="46">
        <v>438.88212036358203</v>
      </c>
      <c r="K201" s="46">
        <f t="shared" ref="K201:K202" si="41">AVERAGE(J201,L201)</f>
        <v>438.88212036358203</v>
      </c>
      <c r="L201" s="46">
        <v>438.88212036358203</v>
      </c>
      <c r="M201" s="46">
        <f t="shared" si="40"/>
        <v>438.88212036358203</v>
      </c>
      <c r="N201" s="46">
        <v>438.88212036358203</v>
      </c>
      <c r="O201" s="46">
        <v>21.944106018179102</v>
      </c>
      <c r="P201" s="46">
        <v>21.944106018179102</v>
      </c>
      <c r="Q201" s="46">
        <v>21.944106018179102</v>
      </c>
      <c r="R201" s="46">
        <v>39.363999999999997</v>
      </c>
      <c r="S201" s="46">
        <f t="shared" ref="S201:T202" si="42">R201</f>
        <v>39.363999999999997</v>
      </c>
      <c r="T201" s="46">
        <f t="shared" si="42"/>
        <v>39.363999999999997</v>
      </c>
      <c r="U201" s="46">
        <v>39.363999999999997</v>
      </c>
      <c r="V201" s="46">
        <v>5</v>
      </c>
      <c r="W201" s="46">
        <v>164.83335026928157</v>
      </c>
      <c r="X201">
        <v>30</v>
      </c>
      <c r="Y201">
        <v>1E-3</v>
      </c>
    </row>
    <row r="202" spans="2:26">
      <c r="B202" t="str">
        <f>D86</f>
        <v>T-GTR-FCV_HYD91</v>
      </c>
      <c r="C202" t="str">
        <f>Commodities!B18</f>
        <v>TRAH2</v>
      </c>
      <c r="D202" t="str">
        <f>D201</f>
        <v>TRAF</v>
      </c>
      <c r="E202">
        <v>2030</v>
      </c>
      <c r="F202" s="46">
        <v>1.1393475951168699E-2</v>
      </c>
      <c r="G202" s="46">
        <v>1.17796954749371E-2</v>
      </c>
      <c r="H202" s="46">
        <v>1.26364006003871E-2</v>
      </c>
      <c r="J202" s="46">
        <v>682.10068176688696</v>
      </c>
      <c r="K202" s="46">
        <f t="shared" si="41"/>
        <v>653.58396473256948</v>
      </c>
      <c r="L202" s="46">
        <v>625.067247698252</v>
      </c>
      <c r="M202" s="46">
        <f>L202-((L202-N202)/4)</f>
        <v>617.48355288613323</v>
      </c>
      <c r="N202" s="46">
        <v>594.732468449777</v>
      </c>
      <c r="O202" s="46">
        <v>29.105034088344368</v>
      </c>
      <c r="P202" s="46">
        <v>26.253362384912613</v>
      </c>
      <c r="Q202" s="46">
        <v>24.736623422488833</v>
      </c>
      <c r="R202" s="46">
        <v>39.363999999999997</v>
      </c>
      <c r="S202" s="46">
        <f t="shared" si="42"/>
        <v>39.363999999999997</v>
      </c>
      <c r="T202" s="46">
        <f t="shared" si="42"/>
        <v>39.363999999999997</v>
      </c>
      <c r="U202" s="46">
        <v>39.363999999999997</v>
      </c>
      <c r="V202" s="46">
        <v>5</v>
      </c>
      <c r="W202" s="46">
        <v>164.83335026928157</v>
      </c>
      <c r="X202">
        <v>30</v>
      </c>
      <c r="Y202">
        <v>1E-3</v>
      </c>
    </row>
    <row r="203" spans="2:26" ht="14.4">
      <c r="B203" s="26" t="s">
        <v>363</v>
      </c>
      <c r="C203" s="26"/>
      <c r="D203" s="26"/>
      <c r="E203" s="26"/>
      <c r="F203" s="26"/>
      <c r="G203" s="26"/>
      <c r="H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2:26">
      <c r="B204" t="str">
        <f>D88</f>
        <v>T-TUR_NEW</v>
      </c>
      <c r="C204" t="str">
        <f>Commodities!B9&amp;","&amp;Commodities!B11&amp;","&amp;Commodities!B16</f>
        <v>TRADST,TRABDL,TRAELC</v>
      </c>
      <c r="D204" t="str">
        <f>Commodities!B24</f>
        <v>TTURS</v>
      </c>
      <c r="E204">
        <v>2019</v>
      </c>
      <c r="F204" s="46">
        <v>1</v>
      </c>
      <c r="G204" s="46">
        <v>1.05</v>
      </c>
      <c r="H204" s="46">
        <v>1.1000000000000001</v>
      </c>
      <c r="T204" s="46"/>
      <c r="Y204">
        <v>1</v>
      </c>
    </row>
    <row r="205" spans="2:26">
      <c r="B205" t="str">
        <f>D89</f>
        <v>T-NAV_NEW</v>
      </c>
      <c r="C205" t="str">
        <f>Commodities!B9&amp;","&amp;Commodities!B11</f>
        <v>TRADST,TRABDL</v>
      </c>
      <c r="D205" t="str">
        <f>Commodities!B25</f>
        <v>TNAV</v>
      </c>
      <c r="E205">
        <v>2019</v>
      </c>
      <c r="F205" s="46">
        <v>1</v>
      </c>
      <c r="G205" s="46">
        <v>1.1000000000000001</v>
      </c>
      <c r="H205" s="46">
        <v>1.3</v>
      </c>
      <c r="T205" s="46"/>
      <c r="Y205">
        <v>1</v>
      </c>
    </row>
    <row r="206" spans="2:26">
      <c r="B206" t="str">
        <f>D90</f>
        <v>T-OTH_NEW</v>
      </c>
      <c r="C206" t="str">
        <f>Commodities!B8&amp;","&amp;Commodities!B10&amp;","&amp;Commodities!B9&amp;","&amp;Commodities!B11</f>
        <v>TRAGSL,TRAETH,TRADST,TRABDL</v>
      </c>
      <c r="D206" t="str">
        <f>Commodities!B26</f>
        <v>TOTH</v>
      </c>
      <c r="E206">
        <v>2019</v>
      </c>
      <c r="F206" s="46">
        <v>1</v>
      </c>
      <c r="G206" s="46">
        <v>1.05</v>
      </c>
      <c r="H206" s="46">
        <v>1.1000000000000001</v>
      </c>
      <c r="T206" s="46"/>
      <c r="Y206">
        <v>1</v>
      </c>
    </row>
    <row r="207" spans="2:26" ht="14.4">
      <c r="B207" s="26" t="s">
        <v>373</v>
      </c>
      <c r="C207" s="26"/>
      <c r="D207" s="26"/>
      <c r="E207" s="26"/>
      <c r="F207" s="26"/>
      <c r="G207" s="26"/>
      <c r="H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2:26">
      <c r="B208" t="str">
        <f>Commodities!B138</f>
        <v>T-AVI_DOM_NEW</v>
      </c>
      <c r="C208" s="97" t="str">
        <f>Commodities!B35&amp;","&amp;Commodities!B36</f>
        <v>AVIKER,AVIBJK</v>
      </c>
      <c r="D208" t="str">
        <f>Commodities!B27</f>
        <v>TAVIDOM</v>
      </c>
      <c r="E208">
        <v>2019</v>
      </c>
      <c r="F208" s="46">
        <v>1</v>
      </c>
      <c r="G208" s="46">
        <v>1.05</v>
      </c>
      <c r="H208" s="46">
        <v>1.1499999999999999</v>
      </c>
      <c r="I208" s="46">
        <v>1.25</v>
      </c>
      <c r="T208" s="46"/>
      <c r="Y208">
        <v>1</v>
      </c>
    </row>
    <row r="209" spans="2:25">
      <c r="B209" t="str">
        <f>Commodities!B139</f>
        <v>T-AVI_INT_NEW</v>
      </c>
      <c r="C209" s="97" t="str">
        <f>Commodities!B35&amp;","&amp;Commodities!B36</f>
        <v>AVIKER,AVIBJK</v>
      </c>
      <c r="D209" t="s">
        <v>84</v>
      </c>
      <c r="E209">
        <v>2019</v>
      </c>
      <c r="F209" s="46">
        <v>1</v>
      </c>
      <c r="G209" s="46">
        <v>1.05</v>
      </c>
      <c r="H209" s="46">
        <v>1.1499999999999999</v>
      </c>
      <c r="I209" s="46">
        <v>1.25</v>
      </c>
      <c r="Y209">
        <v>1</v>
      </c>
    </row>
    <row r="210" spans="2:25">
      <c r="B210" s="97" t="str">
        <f>Commodities!B140</f>
        <v>T-SAVI_INT_JETK_NEW</v>
      </c>
      <c r="C210" s="97" t="str">
        <f>Commodities!B35</f>
        <v>AVIKER</v>
      </c>
      <c r="D210" s="97" t="s">
        <v>410</v>
      </c>
      <c r="E210" s="97">
        <v>2024</v>
      </c>
      <c r="F210" s="102">
        <f>'Purchase price'!E167/1000</f>
        <v>2.7498625979502011E-3</v>
      </c>
      <c r="G210" s="102">
        <f>F210*$G$208</f>
        <v>2.8873557278477112E-3</v>
      </c>
      <c r="H210" s="102">
        <f>F210*$H$208</f>
        <v>3.162341987642731E-3</v>
      </c>
      <c r="I210" s="102">
        <f>F210*$I$208</f>
        <v>3.4373282474377516E-3</v>
      </c>
      <c r="J210" s="101">
        <f>'Purchase price'!E145/1000</f>
        <v>63300</v>
      </c>
      <c r="R210" s="97">
        <f>'Purchase price'!$B$177/1000</f>
        <v>2800</v>
      </c>
      <c r="S210" s="97"/>
      <c r="T210" s="97"/>
      <c r="U210" s="97"/>
      <c r="V210" s="97"/>
      <c r="W210" s="101">
        <f>'Purchase price'!L158</f>
        <v>117.3485401459854</v>
      </c>
      <c r="X210" s="97">
        <v>30</v>
      </c>
      <c r="Y210" s="97">
        <v>1E-3</v>
      </c>
    </row>
    <row r="211" spans="2:25">
      <c r="B211" s="97" t="str">
        <f>Commodities!B141</f>
        <v>T-MAVI_INT_JETK_NEW</v>
      </c>
      <c r="C211" s="97" t="str">
        <f>C210</f>
        <v>AVIKER</v>
      </c>
      <c r="D211" s="97" t="s">
        <v>489</v>
      </c>
      <c r="E211" s="97">
        <v>2024</v>
      </c>
      <c r="F211" s="102">
        <f>'Purchase price'!E168/1000</f>
        <v>4.7486280200945844E-3</v>
      </c>
      <c r="G211" s="102">
        <f t="shared" ref="G211:G223" si="43">F211*$G$208</f>
        <v>4.9860594210993136E-3</v>
      </c>
      <c r="H211" s="102">
        <f t="shared" ref="H211:H223" si="44">F211*$H$208</f>
        <v>5.4609222231087719E-3</v>
      </c>
      <c r="I211" s="102">
        <f>F211*$I$208</f>
        <v>5.9357850251182303E-3</v>
      </c>
      <c r="J211" s="101">
        <f>'Purchase price'!E147/1000</f>
        <v>81410</v>
      </c>
      <c r="R211" s="97">
        <f>'Purchase price'!$B$177/1000</f>
        <v>2800</v>
      </c>
      <c r="S211" s="97"/>
      <c r="T211" s="97"/>
      <c r="U211" s="97"/>
      <c r="V211" s="97"/>
      <c r="W211" s="101">
        <f>'Purchase price'!L159</f>
        <v>149.65088757396452</v>
      </c>
      <c r="X211" s="97">
        <v>30</v>
      </c>
      <c r="Y211" s="97">
        <v>1E-3</v>
      </c>
    </row>
    <row r="212" spans="2:25">
      <c r="B212" s="128" t="str">
        <f>Commodities!B142</f>
        <v>T-LAVI_INT_JETK_NEW</v>
      </c>
      <c r="C212" s="128" t="str">
        <f>C211</f>
        <v>AVIKER</v>
      </c>
      <c r="D212" s="128" t="s">
        <v>490</v>
      </c>
      <c r="E212" s="128">
        <v>2024</v>
      </c>
      <c r="F212" s="150">
        <f>'Purchase price'!E169/1000</f>
        <v>2.9246030305958657E-3</v>
      </c>
      <c r="G212" s="150">
        <f t="shared" si="43"/>
        <v>3.070833182125659E-3</v>
      </c>
      <c r="H212" s="150">
        <f t="shared" si="44"/>
        <v>3.3632934851852451E-3</v>
      </c>
      <c r="I212" s="150">
        <f t="shared" ref="I212:I223" si="45">F212*$I$208</f>
        <v>3.6557537882448321E-3</v>
      </c>
      <c r="J212" s="147">
        <f>'Purchase price'!E150/1000</f>
        <v>224140</v>
      </c>
      <c r="K212" s="28"/>
      <c r="R212" s="97">
        <f>'Purchase price'!$B$177/1000</f>
        <v>2800</v>
      </c>
      <c r="S212" s="97"/>
      <c r="T212" s="97"/>
      <c r="U212" s="97"/>
      <c r="V212" s="97"/>
      <c r="W212" s="101">
        <f>'Purchase price'!L160</f>
        <v>220.27433628318585</v>
      </c>
      <c r="X212" s="97">
        <v>30</v>
      </c>
      <c r="Y212" s="97">
        <v>1E-3</v>
      </c>
    </row>
    <row r="213" spans="2:25">
      <c r="B213" s="97" t="str">
        <f>Commodities!B143</f>
        <v>T-SAVI_INT_SAF_NEW</v>
      </c>
      <c r="C213" s="97" t="str">
        <f>Commodities!B35&amp;","&amp;Commodities!B36&amp;","&amp;Commodities!B39</f>
        <v>AVIKER,AVIBJK,AVIPtL</v>
      </c>
      <c r="D213" s="97" t="s">
        <v>410</v>
      </c>
      <c r="E213" s="97">
        <v>2024</v>
      </c>
      <c r="F213" s="102">
        <f>F210</f>
        <v>2.7498625979502011E-3</v>
      </c>
      <c r="G213" s="102">
        <f t="shared" si="43"/>
        <v>2.8873557278477112E-3</v>
      </c>
      <c r="H213" s="102">
        <f t="shared" si="44"/>
        <v>3.162341987642731E-3</v>
      </c>
      <c r="I213" s="102">
        <f t="shared" si="45"/>
        <v>3.4373282474377516E-3</v>
      </c>
      <c r="J213" s="101">
        <f>J210*1.1</f>
        <v>69630</v>
      </c>
      <c r="R213" s="97">
        <f>'Purchase price'!$B$177/1000</f>
        <v>2800</v>
      </c>
      <c r="S213" s="97"/>
      <c r="T213" s="97"/>
      <c r="U213" s="97"/>
      <c r="V213" s="97"/>
      <c r="W213" s="101">
        <f>W210</f>
        <v>117.3485401459854</v>
      </c>
      <c r="X213" s="97">
        <v>30</v>
      </c>
      <c r="Y213" s="97">
        <v>1E-3</v>
      </c>
    </row>
    <row r="214" spans="2:25">
      <c r="B214" s="97" t="str">
        <f>Commodities!B144</f>
        <v>T-MAVI_INT_SAF_NEW</v>
      </c>
      <c r="C214" s="97" t="str">
        <f>C213</f>
        <v>AVIKER,AVIBJK,AVIPtL</v>
      </c>
      <c r="D214" s="97" t="s">
        <v>489</v>
      </c>
      <c r="E214" s="97">
        <v>2024</v>
      </c>
      <c r="F214" s="102">
        <f t="shared" ref="F214:F215" si="46">F211</f>
        <v>4.7486280200945844E-3</v>
      </c>
      <c r="G214" s="102">
        <f t="shared" si="43"/>
        <v>4.9860594210993136E-3</v>
      </c>
      <c r="H214" s="102">
        <f t="shared" si="44"/>
        <v>5.4609222231087719E-3</v>
      </c>
      <c r="I214" s="102">
        <f t="shared" si="45"/>
        <v>5.9357850251182303E-3</v>
      </c>
      <c r="J214" s="101">
        <f t="shared" ref="J214:J215" si="47">J211*1.1</f>
        <v>89551</v>
      </c>
      <c r="R214" s="97">
        <f>'Purchase price'!$B$177/1000</f>
        <v>2800</v>
      </c>
      <c r="S214" s="97"/>
      <c r="T214" s="97"/>
      <c r="U214" s="97"/>
      <c r="V214" s="97"/>
      <c r="W214" s="101">
        <f t="shared" ref="W214:W215" si="48">W211</f>
        <v>149.65088757396452</v>
      </c>
      <c r="X214" s="97">
        <v>30</v>
      </c>
      <c r="Y214" s="97">
        <v>1E-3</v>
      </c>
    </row>
    <row r="215" spans="2:25">
      <c r="B215" s="128" t="str">
        <f>Commodities!B145</f>
        <v>T-LAVI_INT_SAF_NEW</v>
      </c>
      <c r="C215" s="128" t="str">
        <f>C213</f>
        <v>AVIKER,AVIBJK,AVIPtL</v>
      </c>
      <c r="D215" s="128" t="s">
        <v>490</v>
      </c>
      <c r="E215" s="128">
        <v>2024</v>
      </c>
      <c r="F215" s="150">
        <f t="shared" si="46"/>
        <v>2.9246030305958657E-3</v>
      </c>
      <c r="G215" s="150">
        <f t="shared" si="43"/>
        <v>3.070833182125659E-3</v>
      </c>
      <c r="H215" s="150">
        <f t="shared" si="44"/>
        <v>3.3632934851852451E-3</v>
      </c>
      <c r="I215" s="150">
        <f t="shared" si="45"/>
        <v>3.6557537882448321E-3</v>
      </c>
      <c r="J215" s="147">
        <f t="shared" si="47"/>
        <v>246554.00000000003</v>
      </c>
      <c r="K215" s="28"/>
      <c r="R215" s="97">
        <f>'Purchase price'!$B$177/1000</f>
        <v>2800</v>
      </c>
      <c r="S215" s="97"/>
      <c r="T215" s="97"/>
      <c r="U215" s="97"/>
      <c r="V215" s="97"/>
      <c r="W215" s="101">
        <f t="shared" si="48"/>
        <v>220.27433628318585</v>
      </c>
      <c r="X215" s="97">
        <v>30</v>
      </c>
      <c r="Y215" s="97">
        <v>1E-3</v>
      </c>
    </row>
    <row r="216" spans="2:25">
      <c r="B216" s="149" t="str">
        <f>Commodities!B146</f>
        <v>T-SAVI_INT_SYN-FUEL_NEW</v>
      </c>
      <c r="C216" s="149" t="str">
        <f>Commodities!B35&amp;","&amp;Commodities!B39</f>
        <v>AVIKER,AVIPtL</v>
      </c>
      <c r="D216" s="149" t="s">
        <v>410</v>
      </c>
      <c r="E216" s="149">
        <v>2024</v>
      </c>
      <c r="F216" s="153">
        <f>F210</f>
        <v>2.7498625979502011E-3</v>
      </c>
      <c r="G216" s="153">
        <f t="shared" si="43"/>
        <v>2.8873557278477112E-3</v>
      </c>
      <c r="H216" s="153">
        <f t="shared" si="44"/>
        <v>3.162341987642731E-3</v>
      </c>
      <c r="I216" s="102">
        <f t="shared" si="45"/>
        <v>3.4373282474377516E-3</v>
      </c>
      <c r="J216" s="152">
        <f>J210*1.1</f>
        <v>69630</v>
      </c>
      <c r="K216" s="151"/>
      <c r="R216" s="97">
        <f>'Purchase price'!$B$177/1000</f>
        <v>2800</v>
      </c>
      <c r="S216" s="97"/>
      <c r="T216" s="97"/>
      <c r="U216" s="97"/>
      <c r="V216" s="97"/>
      <c r="W216" s="101">
        <f>W210</f>
        <v>117.3485401459854</v>
      </c>
      <c r="X216" s="97">
        <v>30</v>
      </c>
      <c r="Y216" s="97">
        <v>1E-3</v>
      </c>
    </row>
    <row r="217" spans="2:25">
      <c r="B217" s="97" t="str">
        <f>Commodities!B147</f>
        <v>T-MAVI_INT_SYN-FUEL_NEW</v>
      </c>
      <c r="C217" s="97" t="str">
        <f>C216</f>
        <v>AVIKER,AVIPtL</v>
      </c>
      <c r="D217" s="97" t="s">
        <v>489</v>
      </c>
      <c r="E217" s="97">
        <v>2024</v>
      </c>
      <c r="F217" s="102">
        <f t="shared" ref="F217:F218" si="49">F211</f>
        <v>4.7486280200945844E-3</v>
      </c>
      <c r="G217" s="102">
        <f t="shared" si="43"/>
        <v>4.9860594210993136E-3</v>
      </c>
      <c r="H217" s="102">
        <f t="shared" si="44"/>
        <v>5.4609222231087719E-3</v>
      </c>
      <c r="I217" s="102">
        <f t="shared" si="45"/>
        <v>5.9357850251182303E-3</v>
      </c>
      <c r="J217" s="101">
        <f t="shared" ref="J217:J218" si="50">J211*1.1</f>
        <v>89551</v>
      </c>
      <c r="R217" s="97">
        <f>'Purchase price'!$B$177/1000</f>
        <v>2800</v>
      </c>
      <c r="S217" s="97"/>
      <c r="T217" s="97"/>
      <c r="U217" s="97"/>
      <c r="V217" s="97"/>
      <c r="W217" s="101">
        <f t="shared" ref="W217:W218" si="51">W211</f>
        <v>149.65088757396452</v>
      </c>
      <c r="X217" s="97">
        <v>30</v>
      </c>
      <c r="Y217" s="97">
        <v>1E-3</v>
      </c>
    </row>
    <row r="218" spans="2:25">
      <c r="B218" s="128" t="str">
        <f>Commodities!B148</f>
        <v>T-LAVI_INT_SYN-FUEL_NEW</v>
      </c>
      <c r="C218" s="128" t="str">
        <f>C216</f>
        <v>AVIKER,AVIPtL</v>
      </c>
      <c r="D218" s="128" t="s">
        <v>490</v>
      </c>
      <c r="E218" s="128">
        <v>2024</v>
      </c>
      <c r="F218" s="150">
        <f t="shared" si="49"/>
        <v>2.9246030305958657E-3</v>
      </c>
      <c r="G218" s="150">
        <f t="shared" si="43"/>
        <v>3.070833182125659E-3</v>
      </c>
      <c r="H218" s="150">
        <f t="shared" si="44"/>
        <v>3.3632934851852451E-3</v>
      </c>
      <c r="I218" s="150">
        <f t="shared" si="45"/>
        <v>3.6557537882448321E-3</v>
      </c>
      <c r="J218" s="147">
        <f t="shared" si="50"/>
        <v>246554.00000000003</v>
      </c>
      <c r="K218" s="28"/>
      <c r="R218" s="97">
        <f>'Purchase price'!$B$177/1000</f>
        <v>2800</v>
      </c>
      <c r="S218" s="97"/>
      <c r="T218" s="97"/>
      <c r="U218" s="97"/>
      <c r="V218" s="97"/>
      <c r="W218" s="101">
        <f t="shared" si="51"/>
        <v>220.27433628318585</v>
      </c>
      <c r="X218" s="97">
        <v>30</v>
      </c>
      <c r="Y218" s="97">
        <v>1E-3</v>
      </c>
    </row>
    <row r="219" spans="2:25">
      <c r="B219" s="149" t="str">
        <f>Commodities!B149</f>
        <v>T-SAVI_INT_ELC_NEW</v>
      </c>
      <c r="C219" s="149" t="str">
        <f>Commodities!B37</f>
        <v>AVIELC</v>
      </c>
      <c r="D219" s="149" t="s">
        <v>410</v>
      </c>
      <c r="E219" s="149">
        <v>2035</v>
      </c>
      <c r="F219" s="153">
        <f>F210*'Purchase price'!B201/'Purchase price'!B207</f>
        <v>3.9996704699250211E-3</v>
      </c>
      <c r="G219" s="153">
        <f t="shared" si="43"/>
        <v>4.1996539934212726E-3</v>
      </c>
      <c r="H219" s="153">
        <f t="shared" si="44"/>
        <v>4.5996210404137738E-3</v>
      </c>
      <c r="I219" s="102">
        <f t="shared" si="45"/>
        <v>4.9995880874062759E-3</v>
      </c>
      <c r="J219" s="152">
        <f>J210*2</f>
        <v>126600</v>
      </c>
      <c r="K219" s="151"/>
      <c r="R219" s="97">
        <f>'Purchase price'!$B$177/1000</f>
        <v>2800</v>
      </c>
      <c r="S219" s="97"/>
      <c r="T219" s="97"/>
      <c r="U219" s="97"/>
      <c r="V219" s="97"/>
      <c r="W219" s="101">
        <f>W210</f>
        <v>117.3485401459854</v>
      </c>
      <c r="X219" s="97">
        <v>30</v>
      </c>
      <c r="Y219" s="97">
        <v>1E-3</v>
      </c>
    </row>
    <row r="220" spans="2:25">
      <c r="B220" s="128" t="str">
        <f>Commodities!B150</f>
        <v>T-MAVI_INT_ELC_NEW</v>
      </c>
      <c r="C220" s="128" t="str">
        <f>Commodities!B37</f>
        <v>AVIELC</v>
      </c>
      <c r="D220" s="128" t="s">
        <v>489</v>
      </c>
      <c r="E220" s="128">
        <v>2045</v>
      </c>
      <c r="F220" s="150">
        <f>F219</f>
        <v>3.9996704699250211E-3</v>
      </c>
      <c r="G220" s="150">
        <f t="shared" ref="G220:H220" si="52">G219</f>
        <v>4.1996539934212726E-3</v>
      </c>
      <c r="H220" s="150">
        <f t="shared" si="52"/>
        <v>4.5996210404137738E-3</v>
      </c>
      <c r="I220" s="150">
        <f t="shared" si="45"/>
        <v>4.9995880874062759E-3</v>
      </c>
      <c r="J220" s="147">
        <f>J211*2</f>
        <v>162820</v>
      </c>
      <c r="K220" s="28"/>
      <c r="R220" s="97">
        <f>'Purchase price'!$B$177/1000</f>
        <v>2800</v>
      </c>
      <c r="S220" s="97"/>
      <c r="T220" s="97"/>
      <c r="U220" s="97"/>
      <c r="V220" s="97"/>
      <c r="W220" s="101">
        <f>W211</f>
        <v>149.65088757396452</v>
      </c>
      <c r="X220" s="97">
        <v>30</v>
      </c>
      <c r="Y220" s="97">
        <v>1E-3</v>
      </c>
    </row>
    <row r="221" spans="2:25">
      <c r="B221" s="149" t="str">
        <f>Commodities!B151</f>
        <v>T-SAVI_INT_H2_NEW</v>
      </c>
      <c r="C221" s="149" t="str">
        <f>Commodities!B38</f>
        <v>AVIH2</v>
      </c>
      <c r="D221" s="149" t="s">
        <v>410</v>
      </c>
      <c r="E221" s="149">
        <v>2045</v>
      </c>
      <c r="F221" s="153">
        <f>F210</f>
        <v>2.7498625979502011E-3</v>
      </c>
      <c r="G221" s="153">
        <f t="shared" si="43"/>
        <v>2.8873557278477112E-3</v>
      </c>
      <c r="H221" s="153">
        <f t="shared" si="44"/>
        <v>3.162341987642731E-3</v>
      </c>
      <c r="I221" s="102">
        <f t="shared" si="45"/>
        <v>3.4373282474377516E-3</v>
      </c>
      <c r="J221" s="152">
        <f>J210*3</f>
        <v>189900</v>
      </c>
      <c r="K221" s="151"/>
      <c r="R221" s="97">
        <f>'Purchase price'!$B$177/1000</f>
        <v>2800</v>
      </c>
      <c r="S221" s="97"/>
      <c r="T221" s="97"/>
      <c r="U221" s="97"/>
      <c r="V221" s="97"/>
      <c r="W221" s="101">
        <f>W210</f>
        <v>117.3485401459854</v>
      </c>
      <c r="X221" s="97">
        <v>30</v>
      </c>
      <c r="Y221" s="97">
        <v>1E-3</v>
      </c>
    </row>
    <row r="222" spans="2:25">
      <c r="B222" s="97" t="str">
        <f>Commodities!B152</f>
        <v>T-MAVI_INT_H2_NEW</v>
      </c>
      <c r="C222" s="97" t="str">
        <f>Commodities!B38</f>
        <v>AVIH2</v>
      </c>
      <c r="D222" s="97" t="s">
        <v>489</v>
      </c>
      <c r="E222" s="97">
        <v>2045</v>
      </c>
      <c r="F222" s="102">
        <f>F211</f>
        <v>4.7486280200945844E-3</v>
      </c>
      <c r="G222" s="102">
        <f t="shared" si="43"/>
        <v>4.9860594210993136E-3</v>
      </c>
      <c r="H222" s="102">
        <f t="shared" si="44"/>
        <v>5.4609222231087719E-3</v>
      </c>
      <c r="I222" s="102">
        <f>F222*$I$208</f>
        <v>5.9357850251182303E-3</v>
      </c>
      <c r="J222" s="101">
        <f>J211*3</f>
        <v>244230</v>
      </c>
      <c r="R222" s="97">
        <f>'Purchase price'!$B$177/1000</f>
        <v>2800</v>
      </c>
      <c r="S222" s="97"/>
      <c r="T222" s="97"/>
      <c r="U222" s="97"/>
      <c r="V222" s="97"/>
      <c r="W222" s="101">
        <f>W211</f>
        <v>149.65088757396452</v>
      </c>
      <c r="X222" s="97">
        <v>30</v>
      </c>
      <c r="Y222" s="97">
        <v>1E-3</v>
      </c>
    </row>
    <row r="223" spans="2:25">
      <c r="B223" s="128" t="str">
        <f>Commodities!B153</f>
        <v>T-LAVI_INT_H2_NEW</v>
      </c>
      <c r="C223" s="128" t="str">
        <f>Commodities!B38</f>
        <v>AVIH2</v>
      </c>
      <c r="D223" s="128" t="s">
        <v>490</v>
      </c>
      <c r="E223" s="128">
        <v>2045</v>
      </c>
      <c r="F223" s="150">
        <f>F212</f>
        <v>2.9246030305958657E-3</v>
      </c>
      <c r="G223" s="150">
        <f t="shared" si="43"/>
        <v>3.070833182125659E-3</v>
      </c>
      <c r="H223" s="150">
        <f t="shared" si="44"/>
        <v>3.3632934851852451E-3</v>
      </c>
      <c r="I223" s="150">
        <f t="shared" si="45"/>
        <v>3.6557537882448321E-3</v>
      </c>
      <c r="J223" s="147">
        <f>J212*3</f>
        <v>672420</v>
      </c>
      <c r="K223" s="28"/>
      <c r="R223" s="97">
        <f>'Purchase price'!$B$177/1000</f>
        <v>2800</v>
      </c>
      <c r="S223" s="97"/>
      <c r="T223" s="97"/>
      <c r="U223" s="97"/>
      <c r="V223" s="97"/>
      <c r="W223" s="101">
        <f>W212</f>
        <v>220.27433628318585</v>
      </c>
      <c r="X223" s="97">
        <v>30</v>
      </c>
      <c r="Y223" s="97">
        <v>1E-3</v>
      </c>
    </row>
    <row r="224" spans="2:25">
      <c r="B224" s="97"/>
      <c r="C224" s="97"/>
      <c r="D224" s="97"/>
      <c r="E224" s="97"/>
      <c r="F224" s="100"/>
      <c r="G224" s="100"/>
      <c r="H224" s="100"/>
      <c r="I224" s="101"/>
    </row>
    <row r="225" spans="2:18">
      <c r="B225" s="97"/>
      <c r="C225" s="97"/>
      <c r="D225" s="97"/>
      <c r="E225" s="97"/>
      <c r="F225" s="100"/>
      <c r="G225" s="100"/>
      <c r="H225" s="100"/>
      <c r="I225" s="101"/>
    </row>
    <row r="226" spans="2:18">
      <c r="B226" s="97"/>
      <c r="C226" s="97"/>
      <c r="D226" s="97"/>
      <c r="E226" s="97"/>
      <c r="F226" s="100"/>
      <c r="G226" s="100"/>
      <c r="H226" s="100"/>
      <c r="I226" s="101"/>
    </row>
    <row r="227" spans="2:18">
      <c r="B227" s="97"/>
      <c r="C227" s="97"/>
      <c r="D227" s="97"/>
      <c r="E227" s="97"/>
      <c r="F227" s="100"/>
      <c r="G227" s="100"/>
      <c r="H227" s="100"/>
    </row>
    <row r="228" spans="2:18">
      <c r="B228" s="97"/>
      <c r="C228" s="97"/>
      <c r="D228" s="97"/>
      <c r="E228" s="97"/>
      <c r="F228" s="100"/>
      <c r="G228" s="100"/>
      <c r="H228" s="100"/>
    </row>
    <row r="229" spans="2:18">
      <c r="B229" s="97"/>
      <c r="C229" s="97"/>
      <c r="D229" s="97"/>
      <c r="E229" s="97"/>
      <c r="F229" s="100"/>
      <c r="G229" s="100"/>
      <c r="H229" s="100"/>
    </row>
    <row r="230" spans="2:18">
      <c r="B230" s="97"/>
      <c r="C230" s="97"/>
      <c r="D230" s="97"/>
      <c r="E230" s="97"/>
      <c r="F230" s="100"/>
      <c r="G230" s="100"/>
      <c r="H230" s="100"/>
    </row>
    <row r="231" spans="2:18">
      <c r="R231" s="46"/>
    </row>
    <row r="234" spans="2:18" ht="14.4">
      <c r="D234" s="74" t="s">
        <v>0</v>
      </c>
      <c r="F234" s="73"/>
      <c r="G234" s="72"/>
      <c r="H234" s="72"/>
      <c r="I234" s="72"/>
    </row>
    <row r="235" spans="2:18" ht="14.4">
      <c r="B235" s="23" t="s">
        <v>1</v>
      </c>
      <c r="C235" s="23" t="s">
        <v>3</v>
      </c>
      <c r="D235" s="75" t="s">
        <v>45</v>
      </c>
      <c r="E235" s="75" t="s">
        <v>382</v>
      </c>
      <c r="F235" s="75" t="s">
        <v>383</v>
      </c>
      <c r="G235" s="75" t="s">
        <v>384</v>
      </c>
      <c r="H235" s="75" t="s">
        <v>385</v>
      </c>
      <c r="K235" s="96"/>
    </row>
    <row r="236" spans="2:18" ht="14.4">
      <c r="B236" s="58" t="str">
        <f>B123</f>
        <v>T-MOT-ICE_GSL01</v>
      </c>
      <c r="C236" s="58" t="str">
        <f>Commodities!B8</f>
        <v>TRAGSL</v>
      </c>
      <c r="D236" s="68" t="s">
        <v>195</v>
      </c>
      <c r="E236" s="64">
        <v>0.96784365458672328</v>
      </c>
      <c r="F236" s="64">
        <v>1</v>
      </c>
      <c r="G236" s="64">
        <v>1</v>
      </c>
      <c r="H236" s="58">
        <v>5</v>
      </c>
      <c r="K236" s="96"/>
    </row>
    <row r="237" spans="2:18" ht="14.4">
      <c r="B237" s="61" t="str">
        <f>B236</f>
        <v>T-MOT-ICE_GSL01</v>
      </c>
      <c r="C237" s="61" t="str">
        <f>C236</f>
        <v>TRAGSL</v>
      </c>
      <c r="D237" s="71" t="s">
        <v>354</v>
      </c>
      <c r="E237" s="67">
        <v>0.96784365458672328</v>
      </c>
      <c r="F237" s="67">
        <v>0.95</v>
      </c>
      <c r="G237" s="67">
        <v>0.9</v>
      </c>
      <c r="H237" s="61">
        <v>5</v>
      </c>
      <c r="K237" s="96"/>
    </row>
    <row r="238" spans="2:18">
      <c r="B238" s="66" t="str">
        <f>B126</f>
        <v>T-CAR-ICE_GSL21</v>
      </c>
      <c r="C238" s="66" t="str">
        <f>Commodities!B8</f>
        <v>TRAGSL</v>
      </c>
      <c r="D238" s="62" t="s">
        <v>195</v>
      </c>
      <c r="E238" s="59">
        <v>0.96784365458672328</v>
      </c>
      <c r="F238" s="59">
        <v>1</v>
      </c>
      <c r="G238" s="59">
        <v>1</v>
      </c>
      <c r="H238" s="66">
        <v>5</v>
      </c>
    </row>
    <row r="239" spans="2:18">
      <c r="B239" s="66" t="str">
        <f>B238</f>
        <v>T-CAR-ICE_GSL21</v>
      </c>
      <c r="C239" s="66" t="str">
        <f>C238</f>
        <v>TRAGSL</v>
      </c>
      <c r="D239" s="62" t="s">
        <v>354</v>
      </c>
      <c r="E239" s="59">
        <v>0.96784365458672328</v>
      </c>
      <c r="F239" s="59">
        <v>0.95</v>
      </c>
      <c r="G239" s="59">
        <v>0.9</v>
      </c>
      <c r="H239" s="66">
        <v>5</v>
      </c>
    </row>
    <row r="240" spans="2:18">
      <c r="B240" s="66" t="str">
        <f>B127</f>
        <v>T-CAR-ICE_DST21</v>
      </c>
      <c r="C240" s="66" t="str">
        <f>Commodities!B9</f>
        <v>TRADST</v>
      </c>
      <c r="D240" s="62" t="s">
        <v>195</v>
      </c>
      <c r="E240" s="59">
        <v>0.95903634682608185</v>
      </c>
      <c r="F240" s="59">
        <v>1</v>
      </c>
      <c r="G240" s="59">
        <v>1</v>
      </c>
      <c r="H240" s="66">
        <v>5</v>
      </c>
    </row>
    <row r="241" spans="2:8">
      <c r="B241" s="66" t="str">
        <f>B240</f>
        <v>T-CAR-ICE_DST21</v>
      </c>
      <c r="C241" s="66" t="str">
        <f>C240</f>
        <v>TRADST</v>
      </c>
      <c r="D241" s="62" t="s">
        <v>354</v>
      </c>
      <c r="E241" s="59">
        <v>0.95903634682608185</v>
      </c>
      <c r="F241" s="59">
        <v>0.95</v>
      </c>
      <c r="G241" s="59">
        <v>0.8</v>
      </c>
      <c r="H241" s="66">
        <v>5</v>
      </c>
    </row>
    <row r="242" spans="2:8">
      <c r="B242" s="66" t="str">
        <f>B128</f>
        <v>T-CAR-ICE_DF21</v>
      </c>
      <c r="C242" s="66" t="str">
        <f>Commodities!B13</f>
        <v>TRACNG</v>
      </c>
      <c r="D242" s="62" t="s">
        <v>195</v>
      </c>
      <c r="E242" s="59">
        <v>0.5</v>
      </c>
      <c r="F242" s="59">
        <v>0.5</v>
      </c>
      <c r="G242" s="59">
        <v>0.8</v>
      </c>
      <c r="H242" s="66">
        <v>5</v>
      </c>
    </row>
    <row r="243" spans="2:8">
      <c r="B243" s="66" t="str">
        <f>B242</f>
        <v>T-CAR-ICE_DF21</v>
      </c>
      <c r="C243" s="66" t="str">
        <f>C242</f>
        <v>TRACNG</v>
      </c>
      <c r="D243" s="62" t="s">
        <v>354</v>
      </c>
      <c r="E243" s="59">
        <v>0.4</v>
      </c>
      <c r="F243" s="59">
        <v>0.4</v>
      </c>
      <c r="G243" s="59">
        <v>0.4</v>
      </c>
      <c r="H243" s="66">
        <v>5</v>
      </c>
    </row>
    <row r="244" spans="2:8">
      <c r="B244" s="66" t="str">
        <f>B129</f>
        <v>T-CAR-ICE_NGB21</v>
      </c>
      <c r="C244" s="66" t="str">
        <f>Commodities!B13</f>
        <v>TRACNG</v>
      </c>
      <c r="D244" s="62" t="s">
        <v>195</v>
      </c>
      <c r="E244" s="59">
        <v>0.5</v>
      </c>
      <c r="F244" s="59">
        <v>0.5</v>
      </c>
      <c r="G244" s="59">
        <v>1</v>
      </c>
      <c r="H244" s="66">
        <v>5</v>
      </c>
    </row>
    <row r="245" spans="2:8">
      <c r="B245" s="66" t="str">
        <f>B244</f>
        <v>T-CAR-ICE_NGB21</v>
      </c>
      <c r="C245" s="66" t="str">
        <f>C244</f>
        <v>TRACNG</v>
      </c>
      <c r="D245" s="62" t="s">
        <v>354</v>
      </c>
      <c r="E245" s="59">
        <v>0.5</v>
      </c>
      <c r="F245" s="59">
        <v>0.5</v>
      </c>
      <c r="G245" s="59">
        <v>0</v>
      </c>
      <c r="H245" s="66">
        <v>5</v>
      </c>
    </row>
    <row r="246" spans="2:8">
      <c r="B246" s="66" t="str">
        <f>TRA!B130</f>
        <v>T-CAR-ICE_E8521</v>
      </c>
      <c r="C246" s="66" t="str">
        <f>Commodities!B10</f>
        <v>TRAETH</v>
      </c>
      <c r="D246" s="62" t="s">
        <v>195</v>
      </c>
      <c r="E246" s="59">
        <v>0.85</v>
      </c>
      <c r="F246" s="59">
        <v>0.85</v>
      </c>
      <c r="G246" s="59">
        <v>0.85</v>
      </c>
      <c r="H246" s="66">
        <v>5</v>
      </c>
    </row>
    <row r="247" spans="2:8">
      <c r="B247" s="66" t="str">
        <f>B246</f>
        <v>T-CAR-ICE_E8521</v>
      </c>
      <c r="C247" s="66" t="str">
        <f>C246</f>
        <v>TRAETH</v>
      </c>
      <c r="D247" s="62" t="s">
        <v>354</v>
      </c>
      <c r="E247" s="59">
        <v>0</v>
      </c>
      <c r="F247" s="59">
        <v>0</v>
      </c>
      <c r="G247" s="59">
        <v>0</v>
      </c>
      <c r="H247" s="66">
        <v>5</v>
      </c>
    </row>
    <row r="248" spans="2:8">
      <c r="B248" s="66" t="str">
        <f>B132</f>
        <v>T-CAR-HEV_GSL21</v>
      </c>
      <c r="C248" s="66" t="str">
        <f>Commodities!B8</f>
        <v>TRAGSL</v>
      </c>
      <c r="D248" s="62" t="s">
        <v>195</v>
      </c>
      <c r="E248" s="59">
        <v>0.96784365458672328</v>
      </c>
      <c r="F248" s="59">
        <v>1</v>
      </c>
      <c r="G248" s="59">
        <v>1</v>
      </c>
      <c r="H248" s="66">
        <v>5</v>
      </c>
    </row>
    <row r="249" spans="2:8" ht="15" customHeight="1">
      <c r="B249" s="66" t="str">
        <f>B248</f>
        <v>T-CAR-HEV_GSL21</v>
      </c>
      <c r="C249" s="66" t="str">
        <f>C248</f>
        <v>TRAGSL</v>
      </c>
      <c r="D249" s="62" t="s">
        <v>354</v>
      </c>
      <c r="E249" s="59">
        <v>0.96784365458672328</v>
      </c>
      <c r="F249" s="59">
        <v>0.95</v>
      </c>
      <c r="G249" s="59">
        <v>0.9</v>
      </c>
      <c r="H249" s="66">
        <v>5</v>
      </c>
    </row>
    <row r="250" spans="2:8">
      <c r="B250" s="66" t="str">
        <f>B133</f>
        <v>T-CAR-HEV_DST21</v>
      </c>
      <c r="C250" s="66" t="str">
        <f>Commodities!B9</f>
        <v>TRADST</v>
      </c>
      <c r="D250" s="62" t="s">
        <v>195</v>
      </c>
      <c r="E250" s="59">
        <v>0.95903634682608185</v>
      </c>
      <c r="F250" s="59">
        <v>1</v>
      </c>
      <c r="G250" s="59">
        <v>1</v>
      </c>
      <c r="H250" s="66">
        <v>5</v>
      </c>
    </row>
    <row r="251" spans="2:8">
      <c r="B251" s="66" t="str">
        <f>B250</f>
        <v>T-CAR-HEV_DST21</v>
      </c>
      <c r="C251" s="66" t="str">
        <f>C250</f>
        <v>TRADST</v>
      </c>
      <c r="D251" s="62" t="s">
        <v>354</v>
      </c>
      <c r="E251" s="59">
        <v>0.95903634682608185</v>
      </c>
      <c r="F251" s="59">
        <v>0.95</v>
      </c>
      <c r="G251" s="59">
        <v>0.8</v>
      </c>
      <c r="H251" s="66">
        <v>5</v>
      </c>
    </row>
    <row r="252" spans="2:8">
      <c r="B252" s="66" t="str">
        <f>B134</f>
        <v>T-CAR-PHEV10_GSL21</v>
      </c>
      <c r="C252" s="66" t="str">
        <f>Commodities!B16</f>
        <v>TRAELC</v>
      </c>
      <c r="D252" s="62" t="s">
        <v>195</v>
      </c>
      <c r="E252" s="59">
        <v>0.5</v>
      </c>
      <c r="F252" s="59">
        <v>0.6</v>
      </c>
      <c r="G252" s="59">
        <v>0.8</v>
      </c>
      <c r="H252" s="66">
        <v>5</v>
      </c>
    </row>
    <row r="253" spans="2:8">
      <c r="B253" s="66" t="str">
        <f>B252</f>
        <v>T-CAR-PHEV10_GSL21</v>
      </c>
      <c r="C253" s="66" t="str">
        <f>C252</f>
        <v>TRAELC</v>
      </c>
      <c r="D253" s="62" t="s">
        <v>354</v>
      </c>
      <c r="E253" s="59">
        <v>0.3</v>
      </c>
      <c r="F253" s="59">
        <v>0.3</v>
      </c>
      <c r="G253" s="59">
        <v>0.3</v>
      </c>
      <c r="H253" s="66">
        <v>5</v>
      </c>
    </row>
    <row r="254" spans="2:8">
      <c r="B254" s="66" t="str">
        <f>B135</f>
        <v>T-CAR-PHEV20_GSL21</v>
      </c>
      <c r="C254" s="66" t="str">
        <f>Commodities!B16</f>
        <v>TRAELC</v>
      </c>
      <c r="D254" s="62" t="s">
        <v>195</v>
      </c>
      <c r="E254" s="59">
        <v>0.5</v>
      </c>
      <c r="F254" s="59">
        <v>0.6</v>
      </c>
      <c r="G254" s="59">
        <v>0.8</v>
      </c>
      <c r="H254" s="66">
        <v>5</v>
      </c>
    </row>
    <row r="255" spans="2:8">
      <c r="B255" s="66" t="str">
        <f>B254</f>
        <v>T-CAR-PHEV20_GSL21</v>
      </c>
      <c r="C255" s="66" t="str">
        <f>C254</f>
        <v>TRAELC</v>
      </c>
      <c r="D255" s="62" t="s">
        <v>354</v>
      </c>
      <c r="E255" s="59">
        <v>0.3</v>
      </c>
      <c r="F255" s="59">
        <v>0.3</v>
      </c>
      <c r="G255" s="59">
        <v>0.3</v>
      </c>
      <c r="H255" s="66">
        <v>5</v>
      </c>
    </row>
    <row r="256" spans="2:8">
      <c r="B256" s="66" t="str">
        <f>B136</f>
        <v>T-CAR-PHEV40_GSL21</v>
      </c>
      <c r="C256" s="66" t="str">
        <f>Commodities!B16</f>
        <v>TRAELC</v>
      </c>
      <c r="D256" s="62" t="s">
        <v>195</v>
      </c>
      <c r="E256" s="59">
        <v>0.5</v>
      </c>
      <c r="F256" s="59">
        <v>0.6</v>
      </c>
      <c r="G256" s="59">
        <v>0.8</v>
      </c>
      <c r="H256" s="66">
        <v>5</v>
      </c>
    </row>
    <row r="257" spans="2:8">
      <c r="B257" s="66" t="str">
        <f>B256</f>
        <v>T-CAR-PHEV40_GSL21</v>
      </c>
      <c r="C257" s="66" t="str">
        <f>C256</f>
        <v>TRAELC</v>
      </c>
      <c r="D257" s="62" t="s">
        <v>354</v>
      </c>
      <c r="E257" s="59">
        <v>0.3</v>
      </c>
      <c r="F257" s="59">
        <v>0.3</v>
      </c>
      <c r="G257" s="59">
        <v>0.3</v>
      </c>
      <c r="H257" s="66">
        <v>5</v>
      </c>
    </row>
    <row r="258" spans="2:8">
      <c r="B258" s="66" t="str">
        <f>B137</f>
        <v>T-CAR-PHEV10_DST21</v>
      </c>
      <c r="C258" s="66" t="s">
        <v>39</v>
      </c>
      <c r="D258" s="62" t="s">
        <v>195</v>
      </c>
      <c r="E258" s="59">
        <v>0.5</v>
      </c>
      <c r="F258" s="59">
        <v>0.6</v>
      </c>
      <c r="G258" s="59">
        <v>0.8</v>
      </c>
      <c r="H258" s="66">
        <v>5</v>
      </c>
    </row>
    <row r="259" spans="2:8">
      <c r="B259" s="66" t="str">
        <f>B258</f>
        <v>T-CAR-PHEV10_DST21</v>
      </c>
      <c r="C259" s="66" t="s">
        <v>39</v>
      </c>
      <c r="D259" s="62" t="s">
        <v>354</v>
      </c>
      <c r="E259" s="59">
        <v>0.3</v>
      </c>
      <c r="F259" s="59">
        <v>0.3</v>
      </c>
      <c r="G259" s="59">
        <v>0.3</v>
      </c>
      <c r="H259" s="66">
        <v>5</v>
      </c>
    </row>
    <row r="260" spans="2:8">
      <c r="B260" s="66" t="str">
        <f>B138</f>
        <v>T-CAR-PHEV20_DST21</v>
      </c>
      <c r="C260" s="66" t="str">
        <f>Commodities!B16</f>
        <v>TRAELC</v>
      </c>
      <c r="D260" s="62" t="s">
        <v>195</v>
      </c>
      <c r="E260" s="59">
        <v>0.5</v>
      </c>
      <c r="F260" s="59">
        <v>0.6</v>
      </c>
      <c r="G260" s="59">
        <v>0.8</v>
      </c>
      <c r="H260" s="66">
        <v>5</v>
      </c>
    </row>
    <row r="261" spans="2:8">
      <c r="B261" s="66" t="str">
        <f>B260</f>
        <v>T-CAR-PHEV20_DST21</v>
      </c>
      <c r="C261" s="66" t="str">
        <f>C260</f>
        <v>TRAELC</v>
      </c>
      <c r="D261" s="62" t="s">
        <v>354</v>
      </c>
      <c r="E261" s="59">
        <v>0.3</v>
      </c>
      <c r="F261" s="59">
        <v>0.3</v>
      </c>
      <c r="G261" s="59">
        <v>0.3</v>
      </c>
      <c r="H261" s="66">
        <v>5</v>
      </c>
    </row>
    <row r="262" spans="2:8">
      <c r="B262" s="66" t="str">
        <f>B139</f>
        <v>T-CAR-PHEV40_DST21</v>
      </c>
      <c r="C262" s="66" t="str">
        <f>Commodities!B16</f>
        <v>TRAELC</v>
      </c>
      <c r="D262" s="62" t="s">
        <v>195</v>
      </c>
      <c r="E262" s="59">
        <v>0.5</v>
      </c>
      <c r="F262" s="59">
        <v>0.6</v>
      </c>
      <c r="G262" s="59">
        <v>0.8</v>
      </c>
      <c r="H262" s="66">
        <v>5</v>
      </c>
    </row>
    <row r="263" spans="2:8">
      <c r="B263" s="66" t="str">
        <f>B262</f>
        <v>T-CAR-PHEV40_DST21</v>
      </c>
      <c r="C263" s="66" t="str">
        <f>C262</f>
        <v>TRAELC</v>
      </c>
      <c r="D263" s="62" t="s">
        <v>354</v>
      </c>
      <c r="E263" s="59">
        <v>0.3</v>
      </c>
      <c r="F263" s="59">
        <v>0.3</v>
      </c>
      <c r="G263" s="59">
        <v>0.3</v>
      </c>
      <c r="H263" s="66">
        <v>5</v>
      </c>
    </row>
    <row r="264" spans="2:8">
      <c r="B264" s="61" t="str">
        <f>B146</f>
        <v>T-TAX-ICE_GSL31</v>
      </c>
      <c r="C264" s="61" t="str">
        <f>C238</f>
        <v>TRAGSL</v>
      </c>
      <c r="D264" s="71" t="str">
        <f t="shared" ref="D264:H264" si="53">D238</f>
        <v>UP</v>
      </c>
      <c r="E264" s="67">
        <f t="shared" si="53"/>
        <v>0.96784365458672328</v>
      </c>
      <c r="F264" s="67">
        <f t="shared" si="53"/>
        <v>1</v>
      </c>
      <c r="G264" s="67">
        <f t="shared" si="53"/>
        <v>1</v>
      </c>
      <c r="H264" s="61">
        <f t="shared" si="53"/>
        <v>5</v>
      </c>
    </row>
    <row r="265" spans="2:8">
      <c r="B265" s="61" t="str">
        <f>B264</f>
        <v>T-TAX-ICE_GSL31</v>
      </c>
      <c r="C265" s="61" t="str">
        <f t="shared" ref="C265:H289" si="54">C239</f>
        <v>TRAGSL</v>
      </c>
      <c r="D265" s="71" t="str">
        <f t="shared" si="54"/>
        <v>LO</v>
      </c>
      <c r="E265" s="67">
        <f t="shared" si="54"/>
        <v>0.96784365458672328</v>
      </c>
      <c r="F265" s="67">
        <f t="shared" si="54"/>
        <v>0.95</v>
      </c>
      <c r="G265" s="67">
        <f t="shared" si="54"/>
        <v>0.9</v>
      </c>
      <c r="H265" s="61">
        <f t="shared" si="54"/>
        <v>5</v>
      </c>
    </row>
    <row r="266" spans="2:8">
      <c r="B266" s="61" t="str">
        <f>B147</f>
        <v>T-TAX-ICE_DST31</v>
      </c>
      <c r="C266" s="61" t="str">
        <f t="shared" si="54"/>
        <v>TRADST</v>
      </c>
      <c r="D266" s="71" t="str">
        <f t="shared" si="54"/>
        <v>UP</v>
      </c>
      <c r="E266" s="67">
        <f t="shared" si="54"/>
        <v>0.95903634682608185</v>
      </c>
      <c r="F266" s="67">
        <f t="shared" si="54"/>
        <v>1</v>
      </c>
      <c r="G266" s="67">
        <f t="shared" si="54"/>
        <v>1</v>
      </c>
      <c r="H266" s="61">
        <f t="shared" si="54"/>
        <v>5</v>
      </c>
    </row>
    <row r="267" spans="2:8">
      <c r="B267" s="61" t="str">
        <f>B266</f>
        <v>T-TAX-ICE_DST31</v>
      </c>
      <c r="C267" s="61" t="str">
        <f t="shared" si="54"/>
        <v>TRADST</v>
      </c>
      <c r="D267" s="71" t="str">
        <f t="shared" si="54"/>
        <v>LO</v>
      </c>
      <c r="E267" s="67">
        <f t="shared" si="54"/>
        <v>0.95903634682608185</v>
      </c>
      <c r="F267" s="67">
        <f t="shared" si="54"/>
        <v>0.95</v>
      </c>
      <c r="G267" s="67">
        <f>G241</f>
        <v>0.8</v>
      </c>
      <c r="H267" s="61">
        <f t="shared" si="54"/>
        <v>5</v>
      </c>
    </row>
    <row r="268" spans="2:8">
      <c r="B268" s="61" t="str">
        <f>B148</f>
        <v>T-TAX-ICE_DF31</v>
      </c>
      <c r="C268" s="61" t="str">
        <f t="shared" si="54"/>
        <v>TRACNG</v>
      </c>
      <c r="D268" s="71" t="str">
        <f t="shared" si="54"/>
        <v>UP</v>
      </c>
      <c r="E268" s="67">
        <f t="shared" si="54"/>
        <v>0.5</v>
      </c>
      <c r="F268" s="67">
        <f t="shared" si="54"/>
        <v>0.5</v>
      </c>
      <c r="G268" s="67">
        <f t="shared" si="54"/>
        <v>0.8</v>
      </c>
      <c r="H268" s="61">
        <f t="shared" si="54"/>
        <v>5</v>
      </c>
    </row>
    <row r="269" spans="2:8">
      <c r="B269" s="61" t="str">
        <f>B268</f>
        <v>T-TAX-ICE_DF31</v>
      </c>
      <c r="C269" s="61" t="str">
        <f t="shared" si="54"/>
        <v>TRACNG</v>
      </c>
      <c r="D269" s="71" t="str">
        <f t="shared" si="54"/>
        <v>LO</v>
      </c>
      <c r="E269" s="67">
        <f t="shared" si="54"/>
        <v>0.4</v>
      </c>
      <c r="F269" s="67">
        <f t="shared" si="54"/>
        <v>0.4</v>
      </c>
      <c r="G269" s="67">
        <f t="shared" si="54"/>
        <v>0.4</v>
      </c>
      <c r="H269" s="61">
        <f t="shared" si="54"/>
        <v>5</v>
      </c>
    </row>
    <row r="270" spans="2:8">
      <c r="B270" s="61" t="str">
        <f>B149</f>
        <v>T-TAX-ICE_NGB31</v>
      </c>
      <c r="C270" s="61" t="str">
        <f t="shared" si="54"/>
        <v>TRACNG</v>
      </c>
      <c r="D270" s="71" t="str">
        <f t="shared" si="54"/>
        <v>UP</v>
      </c>
      <c r="E270" s="67">
        <f t="shared" si="54"/>
        <v>0.5</v>
      </c>
      <c r="F270" s="67">
        <f t="shared" si="54"/>
        <v>0.5</v>
      </c>
      <c r="G270" s="67">
        <f t="shared" si="54"/>
        <v>1</v>
      </c>
      <c r="H270" s="61">
        <f t="shared" si="54"/>
        <v>5</v>
      </c>
    </row>
    <row r="271" spans="2:8">
      <c r="B271" s="61" t="str">
        <f>B270</f>
        <v>T-TAX-ICE_NGB31</v>
      </c>
      <c r="C271" s="61" t="str">
        <f t="shared" si="54"/>
        <v>TRACNG</v>
      </c>
      <c r="D271" s="71" t="str">
        <f t="shared" si="54"/>
        <v>LO</v>
      </c>
      <c r="E271" s="67">
        <f t="shared" si="54"/>
        <v>0.5</v>
      </c>
      <c r="F271" s="67">
        <f t="shared" si="54"/>
        <v>0.5</v>
      </c>
      <c r="G271" s="67">
        <f t="shared" si="54"/>
        <v>0</v>
      </c>
      <c r="H271" s="61">
        <f t="shared" si="54"/>
        <v>5</v>
      </c>
    </row>
    <row r="272" spans="2:8">
      <c r="B272" s="61" t="str">
        <f>B150</f>
        <v>T-TAX-ICE_E8531</v>
      </c>
      <c r="C272" s="61" t="str">
        <f t="shared" si="54"/>
        <v>TRAETH</v>
      </c>
      <c r="D272" s="71" t="str">
        <f t="shared" si="54"/>
        <v>UP</v>
      </c>
      <c r="E272" s="67">
        <f t="shared" si="54"/>
        <v>0.85</v>
      </c>
      <c r="F272" s="67">
        <f t="shared" si="54"/>
        <v>0.85</v>
      </c>
      <c r="G272" s="67">
        <f t="shared" si="54"/>
        <v>0.85</v>
      </c>
      <c r="H272" s="61">
        <f t="shared" si="54"/>
        <v>5</v>
      </c>
    </row>
    <row r="273" spans="2:8">
      <c r="B273" s="61" t="str">
        <f>B272</f>
        <v>T-TAX-ICE_E8531</v>
      </c>
      <c r="C273" s="61" t="str">
        <f t="shared" si="54"/>
        <v>TRAETH</v>
      </c>
      <c r="D273" s="71" t="str">
        <f t="shared" si="54"/>
        <v>LO</v>
      </c>
      <c r="E273" s="67">
        <f t="shared" si="54"/>
        <v>0</v>
      </c>
      <c r="F273" s="67">
        <f t="shared" si="54"/>
        <v>0</v>
      </c>
      <c r="G273" s="67">
        <f t="shared" si="54"/>
        <v>0</v>
      </c>
      <c r="H273" s="61">
        <f t="shared" si="54"/>
        <v>5</v>
      </c>
    </row>
    <row r="274" spans="2:8">
      <c r="B274" s="61" t="str">
        <f>B152</f>
        <v>T-TAX-HEV_GSL31</v>
      </c>
      <c r="C274" s="61" t="str">
        <f t="shared" si="54"/>
        <v>TRAGSL</v>
      </c>
      <c r="D274" s="71" t="str">
        <f t="shared" si="54"/>
        <v>UP</v>
      </c>
      <c r="E274" s="67">
        <f t="shared" si="54"/>
        <v>0.96784365458672328</v>
      </c>
      <c r="F274" s="67">
        <f t="shared" si="54"/>
        <v>1</v>
      </c>
      <c r="G274" s="67">
        <f t="shared" si="54"/>
        <v>1</v>
      </c>
      <c r="H274" s="61">
        <f t="shared" si="54"/>
        <v>5</v>
      </c>
    </row>
    <row r="275" spans="2:8">
      <c r="B275" s="61" t="str">
        <f>B274</f>
        <v>T-TAX-HEV_GSL31</v>
      </c>
      <c r="C275" s="61" t="str">
        <f t="shared" si="54"/>
        <v>TRAGSL</v>
      </c>
      <c r="D275" s="71" t="str">
        <f t="shared" si="54"/>
        <v>LO</v>
      </c>
      <c r="E275" s="67">
        <f t="shared" si="54"/>
        <v>0.96784365458672328</v>
      </c>
      <c r="F275" s="67">
        <f t="shared" si="54"/>
        <v>0.95</v>
      </c>
      <c r="G275" s="67">
        <f t="shared" si="54"/>
        <v>0.9</v>
      </c>
      <c r="H275" s="61">
        <f t="shared" si="54"/>
        <v>5</v>
      </c>
    </row>
    <row r="276" spans="2:8">
      <c r="B276" s="61" t="str">
        <f>B153</f>
        <v>T-TAX-HEV_DST31</v>
      </c>
      <c r="C276" s="61" t="str">
        <f t="shared" si="54"/>
        <v>TRADST</v>
      </c>
      <c r="D276" s="71" t="str">
        <f t="shared" si="54"/>
        <v>UP</v>
      </c>
      <c r="E276" s="67">
        <f t="shared" si="54"/>
        <v>0.95903634682608185</v>
      </c>
      <c r="F276" s="67">
        <f t="shared" si="54"/>
        <v>1</v>
      </c>
      <c r="G276" s="67">
        <f t="shared" si="54"/>
        <v>1</v>
      </c>
      <c r="H276" s="61">
        <f t="shared" si="54"/>
        <v>5</v>
      </c>
    </row>
    <row r="277" spans="2:8">
      <c r="B277" s="61" t="str">
        <f>B276</f>
        <v>T-TAX-HEV_DST31</v>
      </c>
      <c r="C277" s="61" t="str">
        <f t="shared" si="54"/>
        <v>TRADST</v>
      </c>
      <c r="D277" s="71" t="str">
        <f t="shared" si="54"/>
        <v>LO</v>
      </c>
      <c r="E277" s="67">
        <f t="shared" si="54"/>
        <v>0.95903634682608185</v>
      </c>
      <c r="F277" s="67">
        <f t="shared" si="54"/>
        <v>0.95</v>
      </c>
      <c r="G277" s="67">
        <f t="shared" si="54"/>
        <v>0.8</v>
      </c>
      <c r="H277" s="61">
        <f t="shared" si="54"/>
        <v>5</v>
      </c>
    </row>
    <row r="278" spans="2:8">
      <c r="B278" s="61" t="str">
        <f>B154</f>
        <v>T-TAX-PHEV10_GSL31</v>
      </c>
      <c r="C278" s="61" t="str">
        <f t="shared" si="54"/>
        <v>TRAELC</v>
      </c>
      <c r="D278" s="71" t="str">
        <f t="shared" si="54"/>
        <v>UP</v>
      </c>
      <c r="E278" s="67">
        <f t="shared" si="54"/>
        <v>0.5</v>
      </c>
      <c r="F278" s="67">
        <f t="shared" si="54"/>
        <v>0.6</v>
      </c>
      <c r="G278" s="67">
        <f t="shared" si="54"/>
        <v>0.8</v>
      </c>
      <c r="H278" s="61">
        <f t="shared" si="54"/>
        <v>5</v>
      </c>
    </row>
    <row r="279" spans="2:8">
      <c r="B279" s="61" t="str">
        <f>B278</f>
        <v>T-TAX-PHEV10_GSL31</v>
      </c>
      <c r="C279" s="61" t="str">
        <f t="shared" si="54"/>
        <v>TRAELC</v>
      </c>
      <c r="D279" s="71" t="str">
        <f t="shared" si="54"/>
        <v>LO</v>
      </c>
      <c r="E279" s="67">
        <f t="shared" si="54"/>
        <v>0.3</v>
      </c>
      <c r="F279" s="67">
        <f t="shared" si="54"/>
        <v>0.3</v>
      </c>
      <c r="G279" s="67">
        <f t="shared" si="54"/>
        <v>0.3</v>
      </c>
      <c r="H279" s="61">
        <f t="shared" si="54"/>
        <v>5</v>
      </c>
    </row>
    <row r="280" spans="2:8">
      <c r="B280" s="61" t="str">
        <f>B155</f>
        <v>T-TAX-PHEV20_GSL31</v>
      </c>
      <c r="C280" s="61" t="str">
        <f t="shared" si="54"/>
        <v>TRAELC</v>
      </c>
      <c r="D280" s="71" t="str">
        <f t="shared" si="54"/>
        <v>UP</v>
      </c>
      <c r="E280" s="67">
        <f t="shared" si="54"/>
        <v>0.5</v>
      </c>
      <c r="F280" s="67">
        <f t="shared" si="54"/>
        <v>0.6</v>
      </c>
      <c r="G280" s="67">
        <f t="shared" si="54"/>
        <v>0.8</v>
      </c>
      <c r="H280" s="61">
        <f t="shared" si="54"/>
        <v>5</v>
      </c>
    </row>
    <row r="281" spans="2:8">
      <c r="B281" s="61" t="str">
        <f>B280</f>
        <v>T-TAX-PHEV20_GSL31</v>
      </c>
      <c r="C281" s="61" t="str">
        <f t="shared" si="54"/>
        <v>TRAELC</v>
      </c>
      <c r="D281" s="71" t="str">
        <f t="shared" si="54"/>
        <v>LO</v>
      </c>
      <c r="E281" s="67">
        <f t="shared" si="54"/>
        <v>0.3</v>
      </c>
      <c r="F281" s="67">
        <f t="shared" si="54"/>
        <v>0.3</v>
      </c>
      <c r="G281" s="67">
        <f t="shared" si="54"/>
        <v>0.3</v>
      </c>
      <c r="H281" s="61">
        <f t="shared" si="54"/>
        <v>5</v>
      </c>
    </row>
    <row r="282" spans="2:8">
      <c r="B282" s="61" t="str">
        <f>B156</f>
        <v>T-TAX-PHEV40_GSL31</v>
      </c>
      <c r="C282" s="61" t="str">
        <f t="shared" si="54"/>
        <v>TRAELC</v>
      </c>
      <c r="D282" s="71" t="str">
        <f t="shared" si="54"/>
        <v>UP</v>
      </c>
      <c r="E282" s="67">
        <f t="shared" si="54"/>
        <v>0.5</v>
      </c>
      <c r="F282" s="67">
        <f t="shared" si="54"/>
        <v>0.6</v>
      </c>
      <c r="G282" s="67">
        <f t="shared" si="54"/>
        <v>0.8</v>
      </c>
      <c r="H282" s="61">
        <f t="shared" si="54"/>
        <v>5</v>
      </c>
    </row>
    <row r="283" spans="2:8">
      <c r="B283" s="61" t="str">
        <f>B282</f>
        <v>T-TAX-PHEV40_GSL31</v>
      </c>
      <c r="C283" s="61" t="str">
        <f t="shared" si="54"/>
        <v>TRAELC</v>
      </c>
      <c r="D283" s="71" t="str">
        <f t="shared" si="54"/>
        <v>LO</v>
      </c>
      <c r="E283" s="67">
        <f t="shared" si="54"/>
        <v>0.3</v>
      </c>
      <c r="F283" s="67">
        <f t="shared" si="54"/>
        <v>0.3</v>
      </c>
      <c r="G283" s="67">
        <f t="shared" si="54"/>
        <v>0.3</v>
      </c>
      <c r="H283" s="61">
        <f t="shared" si="54"/>
        <v>5</v>
      </c>
    </row>
    <row r="284" spans="2:8">
      <c r="B284" s="61" t="str">
        <f>B157</f>
        <v>T-TAX-PHEV10_DST31</v>
      </c>
      <c r="C284" s="61" t="str">
        <f t="shared" si="54"/>
        <v>TRAELC</v>
      </c>
      <c r="D284" s="71" t="str">
        <f t="shared" si="54"/>
        <v>UP</v>
      </c>
      <c r="E284" s="67">
        <f t="shared" si="54"/>
        <v>0.5</v>
      </c>
      <c r="F284" s="67">
        <f t="shared" si="54"/>
        <v>0.6</v>
      </c>
      <c r="G284" s="67">
        <f t="shared" si="54"/>
        <v>0.8</v>
      </c>
      <c r="H284" s="61">
        <f t="shared" si="54"/>
        <v>5</v>
      </c>
    </row>
    <row r="285" spans="2:8">
      <c r="B285" s="61" t="str">
        <f>B284</f>
        <v>T-TAX-PHEV10_DST31</v>
      </c>
      <c r="C285" s="61" t="str">
        <f t="shared" si="54"/>
        <v>TRAELC</v>
      </c>
      <c r="D285" s="71" t="str">
        <f t="shared" si="54"/>
        <v>LO</v>
      </c>
      <c r="E285" s="67">
        <f t="shared" si="54"/>
        <v>0.3</v>
      </c>
      <c r="F285" s="67">
        <f t="shared" si="54"/>
        <v>0.3</v>
      </c>
      <c r="G285" s="67">
        <f t="shared" si="54"/>
        <v>0.3</v>
      </c>
      <c r="H285" s="61">
        <f t="shared" si="54"/>
        <v>5</v>
      </c>
    </row>
    <row r="286" spans="2:8">
      <c r="B286" s="61" t="str">
        <f>B158</f>
        <v>T-TAX-PHEV20_DST31</v>
      </c>
      <c r="C286" s="61" t="str">
        <f t="shared" si="54"/>
        <v>TRAELC</v>
      </c>
      <c r="D286" s="71" t="str">
        <f t="shared" si="54"/>
        <v>UP</v>
      </c>
      <c r="E286" s="67">
        <f t="shared" si="54"/>
        <v>0.5</v>
      </c>
      <c r="F286" s="67">
        <f t="shared" si="54"/>
        <v>0.6</v>
      </c>
      <c r="G286" s="67">
        <f t="shared" si="54"/>
        <v>0.8</v>
      </c>
      <c r="H286" s="61">
        <f t="shared" si="54"/>
        <v>5</v>
      </c>
    </row>
    <row r="287" spans="2:8">
      <c r="B287" s="61" t="str">
        <f>B286</f>
        <v>T-TAX-PHEV20_DST31</v>
      </c>
      <c r="C287" s="61" t="str">
        <f t="shared" si="54"/>
        <v>TRAELC</v>
      </c>
      <c r="D287" s="71" t="str">
        <f t="shared" si="54"/>
        <v>LO</v>
      </c>
      <c r="E287" s="67">
        <f t="shared" si="54"/>
        <v>0.3</v>
      </c>
      <c r="F287" s="67">
        <f t="shared" si="54"/>
        <v>0.3</v>
      </c>
      <c r="G287" s="67">
        <f t="shared" si="54"/>
        <v>0.3</v>
      </c>
      <c r="H287" s="61">
        <f t="shared" si="54"/>
        <v>5</v>
      </c>
    </row>
    <row r="288" spans="2:8">
      <c r="B288" s="61" t="str">
        <f>B159</f>
        <v>T-TAX-PHEV40_DST31</v>
      </c>
      <c r="C288" s="61" t="str">
        <f t="shared" si="54"/>
        <v>TRAELC</v>
      </c>
      <c r="D288" s="71" t="str">
        <f t="shared" si="54"/>
        <v>UP</v>
      </c>
      <c r="E288" s="67">
        <f t="shared" si="54"/>
        <v>0.5</v>
      </c>
      <c r="F288" s="67">
        <f t="shared" si="54"/>
        <v>0.6</v>
      </c>
      <c r="G288" s="67">
        <f t="shared" si="54"/>
        <v>0.8</v>
      </c>
      <c r="H288" s="61">
        <f t="shared" si="54"/>
        <v>5</v>
      </c>
    </row>
    <row r="289" spans="2:8">
      <c r="B289" s="61" t="str">
        <f>B288</f>
        <v>T-TAX-PHEV40_DST31</v>
      </c>
      <c r="C289" s="61" t="str">
        <f t="shared" si="54"/>
        <v>TRAELC</v>
      </c>
      <c r="D289" s="71" t="str">
        <f t="shared" si="54"/>
        <v>LO</v>
      </c>
      <c r="E289" s="67">
        <f t="shared" si="54"/>
        <v>0.3</v>
      </c>
      <c r="F289" s="67">
        <f t="shared" si="54"/>
        <v>0.3</v>
      </c>
      <c r="G289" s="67">
        <f t="shared" si="54"/>
        <v>0.3</v>
      </c>
      <c r="H289" s="61">
        <f t="shared" si="54"/>
        <v>5</v>
      </c>
    </row>
    <row r="290" spans="2:8">
      <c r="B290" s="66" t="str">
        <f>B166</f>
        <v>T-BUS-ICE_DST41</v>
      </c>
      <c r="C290" s="66" t="str">
        <f>Commodities!B9</f>
        <v>TRADST</v>
      </c>
      <c r="D290" s="62" t="str">
        <f t="shared" ref="D290" si="55">D264</f>
        <v>UP</v>
      </c>
      <c r="E290" s="59">
        <v>1</v>
      </c>
      <c r="F290" s="59">
        <v>1</v>
      </c>
      <c r="G290" s="59">
        <v>1</v>
      </c>
      <c r="H290" s="66">
        <v>5</v>
      </c>
    </row>
    <row r="291" spans="2:8">
      <c r="B291" s="66" t="str">
        <f>B290</f>
        <v>T-BUS-ICE_DST41</v>
      </c>
      <c r="C291" s="66" t="str">
        <f>C290</f>
        <v>TRADST</v>
      </c>
      <c r="D291" s="62" t="str">
        <f t="shared" ref="D291" si="56">D265</f>
        <v>LO</v>
      </c>
      <c r="E291" s="59">
        <v>0.95903634682608185</v>
      </c>
      <c r="F291" s="59">
        <v>0.95</v>
      </c>
      <c r="G291" s="59">
        <v>0.8</v>
      </c>
      <c r="H291" s="66">
        <v>5</v>
      </c>
    </row>
    <row r="292" spans="2:8">
      <c r="B292" s="66" t="str">
        <f>B168</f>
        <v>T-BUS-ICE_NGB41</v>
      </c>
      <c r="C292" s="66" t="str">
        <f>Commodities!B13</f>
        <v>TRACNG</v>
      </c>
      <c r="D292" s="62" t="str">
        <f t="shared" ref="D292" si="57">D266</f>
        <v>UP</v>
      </c>
      <c r="E292" s="59">
        <v>0.95</v>
      </c>
      <c r="F292" s="59">
        <f>E292</f>
        <v>0.95</v>
      </c>
      <c r="G292" s="59">
        <v>1</v>
      </c>
      <c r="H292" s="66">
        <v>5</v>
      </c>
    </row>
    <row r="293" spans="2:8">
      <c r="B293" s="66" t="str">
        <f>B292</f>
        <v>T-BUS-ICE_NGB41</v>
      </c>
      <c r="C293" s="66" t="str">
        <f>C292</f>
        <v>TRACNG</v>
      </c>
      <c r="D293" s="62" t="str">
        <f t="shared" ref="D293" si="58">D267</f>
        <v>LO</v>
      </c>
      <c r="E293" s="59">
        <f>E292</f>
        <v>0.95</v>
      </c>
      <c r="F293" s="59">
        <f>F292</f>
        <v>0.95</v>
      </c>
      <c r="G293" s="59">
        <v>0</v>
      </c>
      <c r="H293" s="66">
        <v>5</v>
      </c>
    </row>
    <row r="294" spans="2:8">
      <c r="B294" s="61" t="str">
        <f>B174</f>
        <v>T-HPT-ICE_DST51</v>
      </c>
      <c r="C294" s="61" t="str">
        <f>Commodities!B9</f>
        <v>TRADST</v>
      </c>
      <c r="D294" s="71" t="s">
        <v>195</v>
      </c>
      <c r="E294" s="67">
        <v>1</v>
      </c>
      <c r="F294" s="67">
        <v>1</v>
      </c>
      <c r="G294" s="67">
        <v>1</v>
      </c>
      <c r="H294" s="61">
        <v>5</v>
      </c>
    </row>
    <row r="295" spans="2:8">
      <c r="B295" s="61" t="str">
        <f>B294</f>
        <v>T-HPT-ICE_DST51</v>
      </c>
      <c r="C295" s="61" t="str">
        <f>C294</f>
        <v>TRADST</v>
      </c>
      <c r="D295" s="71" t="s">
        <v>354</v>
      </c>
      <c r="E295" s="67">
        <v>1</v>
      </c>
      <c r="F295" s="67">
        <v>1</v>
      </c>
      <c r="G295" s="67">
        <v>0.95</v>
      </c>
      <c r="H295" s="61">
        <v>5</v>
      </c>
    </row>
    <row r="296" spans="2:8">
      <c r="B296" s="66" t="str">
        <f>B176</f>
        <v>T-LGT-ICE_DST61</v>
      </c>
      <c r="C296" s="66" t="str">
        <f>Commodities!B9</f>
        <v>TRADST</v>
      </c>
      <c r="D296" s="62" t="s">
        <v>195</v>
      </c>
      <c r="E296" s="59">
        <v>0.95903634682608185</v>
      </c>
      <c r="F296" s="59">
        <v>1</v>
      </c>
      <c r="G296" s="59">
        <v>1</v>
      </c>
      <c r="H296" s="66">
        <v>5</v>
      </c>
    </row>
    <row r="297" spans="2:8">
      <c r="B297" s="66" t="str">
        <f>B296</f>
        <v>T-LGT-ICE_DST61</v>
      </c>
      <c r="C297" s="66" t="str">
        <f>C296</f>
        <v>TRADST</v>
      </c>
      <c r="D297" s="62" t="s">
        <v>354</v>
      </c>
      <c r="E297" s="59">
        <v>0.95903634682608185</v>
      </c>
      <c r="F297" s="59">
        <v>0.95</v>
      </c>
      <c r="G297" s="59">
        <v>0.8</v>
      </c>
      <c r="H297" s="66">
        <v>5</v>
      </c>
    </row>
    <row r="298" spans="2:8">
      <c r="B298" s="66" t="str">
        <f>B177</f>
        <v>T-LGT-HEV_DST61</v>
      </c>
      <c r="C298" s="66" t="str">
        <f>Commodities!B9</f>
        <v>TRADST</v>
      </c>
      <c r="D298" s="62" t="s">
        <v>195</v>
      </c>
      <c r="E298" s="59">
        <v>0.95903634682608185</v>
      </c>
      <c r="F298" s="59">
        <v>1</v>
      </c>
      <c r="G298" s="59">
        <v>1</v>
      </c>
      <c r="H298" s="66">
        <v>5</v>
      </c>
    </row>
    <row r="299" spans="2:8">
      <c r="B299" s="66" t="str">
        <f>B298</f>
        <v>T-LGT-HEV_DST61</v>
      </c>
      <c r="C299" s="66" t="str">
        <f>C298</f>
        <v>TRADST</v>
      </c>
      <c r="D299" s="62" t="s">
        <v>354</v>
      </c>
      <c r="E299" s="59">
        <v>0.95903634682608185</v>
      </c>
      <c r="F299" s="59">
        <v>0.95</v>
      </c>
      <c r="G299" s="59">
        <v>0.8</v>
      </c>
      <c r="H299" s="66">
        <v>5</v>
      </c>
    </row>
    <row r="300" spans="2:8">
      <c r="B300" s="66" t="str">
        <f>B178</f>
        <v>T-LGT-PHEV_DST61</v>
      </c>
      <c r="C300" s="66" t="str">
        <f>Commodities!B16</f>
        <v>TRAELC</v>
      </c>
      <c r="D300" s="62" t="s">
        <v>195</v>
      </c>
      <c r="E300" s="59">
        <v>0.5</v>
      </c>
      <c r="F300" s="59">
        <v>0.6</v>
      </c>
      <c r="G300" s="59">
        <v>0.8</v>
      </c>
      <c r="H300" s="66">
        <v>5</v>
      </c>
    </row>
    <row r="301" spans="2:8">
      <c r="B301" s="66" t="str">
        <f>B300</f>
        <v>T-LGT-PHEV_DST61</v>
      </c>
      <c r="C301" s="66" t="str">
        <f>C300</f>
        <v>TRAELC</v>
      </c>
      <c r="D301" s="62" t="s">
        <v>354</v>
      </c>
      <c r="E301" s="59">
        <v>0.3</v>
      </c>
      <c r="F301" s="59">
        <v>0.3</v>
      </c>
      <c r="G301" s="59">
        <v>0.3</v>
      </c>
      <c r="H301" s="66">
        <v>5</v>
      </c>
    </row>
    <row r="302" spans="2:8">
      <c r="B302" s="66" t="str">
        <f>B179</f>
        <v>T-LGT-ICE_NGB61</v>
      </c>
      <c r="C302" s="66" t="str">
        <f>Commodities!B13</f>
        <v>TRACNG</v>
      </c>
      <c r="D302" s="62" t="s">
        <v>195</v>
      </c>
      <c r="E302" s="59">
        <v>0.5</v>
      </c>
      <c r="F302" s="59">
        <v>0.5</v>
      </c>
      <c r="G302" s="59">
        <v>1</v>
      </c>
      <c r="H302" s="66">
        <v>5</v>
      </c>
    </row>
    <row r="303" spans="2:8">
      <c r="B303" s="66" t="str">
        <f>B302</f>
        <v>T-LGT-ICE_NGB61</v>
      </c>
      <c r="C303" s="66" t="str">
        <f>C302</f>
        <v>TRACNG</v>
      </c>
      <c r="D303" s="62" t="s">
        <v>354</v>
      </c>
      <c r="E303" s="59">
        <v>0.5</v>
      </c>
      <c r="F303" s="59">
        <v>0.5</v>
      </c>
      <c r="G303" s="59">
        <v>0</v>
      </c>
      <c r="H303" s="66">
        <v>5</v>
      </c>
    </row>
    <row r="304" spans="2:8">
      <c r="B304" s="66" t="str">
        <f>B180</f>
        <v>T-LGT-PHEV_NGB61</v>
      </c>
      <c r="C304" s="66" t="str">
        <f>Commodities!B16</f>
        <v>TRAELC</v>
      </c>
      <c r="D304" s="62" t="s">
        <v>195</v>
      </c>
      <c r="E304" s="59">
        <v>0.5</v>
      </c>
      <c r="F304" s="59">
        <v>0.6</v>
      </c>
      <c r="G304" s="59">
        <v>0.8</v>
      </c>
      <c r="H304" s="66">
        <v>5</v>
      </c>
    </row>
    <row r="305" spans="2:8">
      <c r="B305" s="66" t="str">
        <f>B304</f>
        <v>T-LGT-PHEV_NGB61</v>
      </c>
      <c r="C305" s="66" t="str">
        <f>C304</f>
        <v>TRAELC</v>
      </c>
      <c r="D305" s="62" t="s">
        <v>354</v>
      </c>
      <c r="E305" s="59">
        <v>0.3</v>
      </c>
      <c r="F305" s="59">
        <v>0.3</v>
      </c>
      <c r="G305" s="59">
        <v>0.3</v>
      </c>
      <c r="H305" s="66">
        <v>5</v>
      </c>
    </row>
    <row r="306" spans="2:8">
      <c r="B306" s="61" t="str">
        <f>B184</f>
        <v>T-MGT-ICE_DST71</v>
      </c>
      <c r="C306" s="61" t="str">
        <f>Commodities!B9</f>
        <v>TRADST</v>
      </c>
      <c r="D306" s="71" t="s">
        <v>195</v>
      </c>
      <c r="E306" s="67">
        <v>0.95903634682608174</v>
      </c>
      <c r="F306" s="67">
        <v>1</v>
      </c>
      <c r="G306" s="67">
        <v>1</v>
      </c>
      <c r="H306" s="61">
        <v>5</v>
      </c>
    </row>
    <row r="307" spans="2:8">
      <c r="B307" s="61" t="str">
        <f>B306</f>
        <v>T-MGT-ICE_DST71</v>
      </c>
      <c r="C307" s="61" t="str">
        <f>C306</f>
        <v>TRADST</v>
      </c>
      <c r="D307" s="71" t="s">
        <v>354</v>
      </c>
      <c r="E307" s="67">
        <v>0.95903634682608174</v>
      </c>
      <c r="F307" s="67">
        <v>0.95</v>
      </c>
      <c r="G307" s="67">
        <v>0.8</v>
      </c>
      <c r="H307" s="61">
        <v>5</v>
      </c>
    </row>
    <row r="308" spans="2:8">
      <c r="B308" s="61" t="str">
        <f>B185</f>
        <v>T-MGT-HEV_DST71</v>
      </c>
      <c r="C308" s="61" t="str">
        <f>Commodities!B9</f>
        <v>TRADST</v>
      </c>
      <c r="D308" s="71" t="s">
        <v>195</v>
      </c>
      <c r="E308" s="67">
        <v>0.95903634682608174</v>
      </c>
      <c r="F308" s="67">
        <v>1</v>
      </c>
      <c r="G308" s="67">
        <v>1</v>
      </c>
      <c r="H308" s="61">
        <v>5</v>
      </c>
    </row>
    <row r="309" spans="2:8">
      <c r="B309" s="61" t="str">
        <f>B308</f>
        <v>T-MGT-HEV_DST71</v>
      </c>
      <c r="C309" s="61" t="str">
        <f>C308</f>
        <v>TRADST</v>
      </c>
      <c r="D309" s="71" t="s">
        <v>354</v>
      </c>
      <c r="E309" s="67">
        <v>0.95903634682608174</v>
      </c>
      <c r="F309" s="67">
        <v>0.95</v>
      </c>
      <c r="G309" s="67">
        <v>0.8</v>
      </c>
      <c r="H309" s="61">
        <v>5</v>
      </c>
    </row>
    <row r="310" spans="2:8">
      <c r="B310" s="61" t="str">
        <f>B187</f>
        <v>T-MGT-ICE_NGB71</v>
      </c>
      <c r="C310" s="61" t="str">
        <f>Commodities!B13</f>
        <v>TRACNG</v>
      </c>
      <c r="D310" s="71" t="s">
        <v>195</v>
      </c>
      <c r="E310" s="67">
        <v>0.5</v>
      </c>
      <c r="F310" s="67">
        <v>0.5</v>
      </c>
      <c r="G310" s="67">
        <v>1</v>
      </c>
      <c r="H310" s="61">
        <v>5</v>
      </c>
    </row>
    <row r="311" spans="2:8">
      <c r="B311" s="61" t="str">
        <f>B310</f>
        <v>T-MGT-ICE_NGB71</v>
      </c>
      <c r="C311" s="61" t="str">
        <f>C310</f>
        <v>TRACNG</v>
      </c>
      <c r="D311" s="71" t="s">
        <v>354</v>
      </c>
      <c r="E311" s="67">
        <v>0.5</v>
      </c>
      <c r="F311" s="67">
        <v>0.5</v>
      </c>
      <c r="G311" s="67">
        <v>0</v>
      </c>
      <c r="H311" s="61">
        <v>5</v>
      </c>
    </row>
    <row r="312" spans="2:8">
      <c r="B312" s="61" t="str">
        <f>B188</f>
        <v>T-MGT-HEV_NGB71</v>
      </c>
      <c r="C312" s="61" t="str">
        <f>Commodities!B13</f>
        <v>TRACNG</v>
      </c>
      <c r="D312" s="71" t="s">
        <v>195</v>
      </c>
      <c r="E312" s="67">
        <v>0.5</v>
      </c>
      <c r="F312" s="67">
        <v>0.5</v>
      </c>
      <c r="G312" s="67">
        <v>1</v>
      </c>
      <c r="H312" s="61">
        <v>5</v>
      </c>
    </row>
    <row r="313" spans="2:8">
      <c r="B313" s="61" t="str">
        <f>B312</f>
        <v>T-MGT-HEV_NGB71</v>
      </c>
      <c r="C313" s="61" t="str">
        <f>C312</f>
        <v>TRACNG</v>
      </c>
      <c r="D313" s="71" t="s">
        <v>354</v>
      </c>
      <c r="E313" s="67">
        <v>0.5</v>
      </c>
      <c r="F313" s="67">
        <v>0.5</v>
      </c>
      <c r="G313" s="67">
        <v>0</v>
      </c>
      <c r="H313" s="61">
        <v>5</v>
      </c>
    </row>
    <row r="314" spans="2:8">
      <c r="B314" s="66" t="str">
        <f>B192</f>
        <v>T-HGT-ICE_DST81</v>
      </c>
      <c r="C314" s="66" t="str">
        <f>Commodities!B9</f>
        <v>TRADST</v>
      </c>
      <c r="D314" s="62" t="s">
        <v>195</v>
      </c>
      <c r="E314" s="59">
        <v>0.95903634682608174</v>
      </c>
      <c r="F314" s="59">
        <v>1</v>
      </c>
      <c r="G314" s="59">
        <v>1</v>
      </c>
      <c r="H314" s="66">
        <v>5</v>
      </c>
    </row>
    <row r="315" spans="2:8">
      <c r="B315" s="66" t="str">
        <f>B314</f>
        <v>T-HGT-ICE_DST81</v>
      </c>
      <c r="C315" s="66" t="str">
        <f>C314</f>
        <v>TRADST</v>
      </c>
      <c r="D315" s="62" t="s">
        <v>354</v>
      </c>
      <c r="E315" s="59">
        <v>0.95903634682608174</v>
      </c>
      <c r="F315" s="59">
        <v>0.95</v>
      </c>
      <c r="G315" s="59">
        <v>0.8</v>
      </c>
      <c r="H315" s="66">
        <v>5</v>
      </c>
    </row>
    <row r="316" spans="2:8">
      <c r="B316" s="66" t="str">
        <f>B193</f>
        <v>T-HGT-HEV_DST81</v>
      </c>
      <c r="C316" s="66" t="str">
        <f>Commodities!B9</f>
        <v>TRADST</v>
      </c>
      <c r="D316" s="62" t="s">
        <v>195</v>
      </c>
      <c r="E316" s="59">
        <v>0.95903634682608174</v>
      </c>
      <c r="F316" s="59">
        <v>1</v>
      </c>
      <c r="G316" s="59">
        <v>1</v>
      </c>
      <c r="H316" s="66">
        <v>5</v>
      </c>
    </row>
    <row r="317" spans="2:8">
      <c r="B317" s="66" t="str">
        <f>B316</f>
        <v>T-HGT-HEV_DST81</v>
      </c>
      <c r="C317" s="66" t="str">
        <f>C316</f>
        <v>TRADST</v>
      </c>
      <c r="D317" s="62" t="s">
        <v>354</v>
      </c>
      <c r="E317" s="59">
        <v>0.95903634682608174</v>
      </c>
      <c r="F317" s="59">
        <v>0.95</v>
      </c>
      <c r="G317" s="59">
        <v>0.8</v>
      </c>
      <c r="H317" s="66">
        <v>5</v>
      </c>
    </row>
    <row r="318" spans="2:8">
      <c r="B318" s="66" t="str">
        <f>B195</f>
        <v>T-HGT-ICE_NGB81</v>
      </c>
      <c r="C318" s="66" t="str">
        <f>Commodities!B13</f>
        <v>TRACNG</v>
      </c>
      <c r="D318" s="62" t="s">
        <v>195</v>
      </c>
      <c r="E318" s="59">
        <v>0.5</v>
      </c>
      <c r="F318" s="59">
        <v>0.5</v>
      </c>
      <c r="G318" s="59">
        <v>1</v>
      </c>
      <c r="H318" s="66">
        <v>5</v>
      </c>
    </row>
    <row r="319" spans="2:8">
      <c r="B319" s="66" t="str">
        <f>B318</f>
        <v>T-HGT-ICE_NGB81</v>
      </c>
      <c r="C319" s="66" t="str">
        <f>C318</f>
        <v>TRACNG</v>
      </c>
      <c r="D319" s="62" t="s">
        <v>354</v>
      </c>
      <c r="E319" s="59">
        <v>0.5</v>
      </c>
      <c r="F319" s="59">
        <v>0.5</v>
      </c>
      <c r="G319" s="59">
        <v>0</v>
      </c>
      <c r="H319" s="66">
        <v>5</v>
      </c>
    </row>
    <row r="320" spans="2:8">
      <c r="B320" s="66" t="str">
        <f>B196</f>
        <v>T-HGT-HEV_NGB81</v>
      </c>
      <c r="C320" s="66" t="str">
        <f>Commodities!B13</f>
        <v>TRACNG</v>
      </c>
      <c r="D320" s="62" t="s">
        <v>195</v>
      </c>
      <c r="E320" s="59">
        <v>0.5</v>
      </c>
      <c r="F320" s="59">
        <v>0.5</v>
      </c>
      <c r="G320" s="59">
        <v>1</v>
      </c>
      <c r="H320" s="66">
        <v>5</v>
      </c>
    </row>
    <row r="321" spans="2:8">
      <c r="B321" s="66" t="str">
        <f>B320</f>
        <v>T-HGT-HEV_NGB81</v>
      </c>
      <c r="C321" s="66" t="str">
        <f>C320</f>
        <v>TRACNG</v>
      </c>
      <c r="D321" s="62" t="s">
        <v>354</v>
      </c>
      <c r="E321" s="59">
        <v>0.5</v>
      </c>
      <c r="F321" s="59">
        <v>0.5</v>
      </c>
      <c r="G321" s="59">
        <v>0</v>
      </c>
      <c r="H321" s="66">
        <v>5</v>
      </c>
    </row>
    <row r="322" spans="2:8">
      <c r="B322" s="61" t="str">
        <f>B200</f>
        <v>T-GTR-ICE_DST91</v>
      </c>
      <c r="C322" s="61" t="str">
        <f>Commodities!B9</f>
        <v>TRADST</v>
      </c>
      <c r="D322" s="71" t="s">
        <v>195</v>
      </c>
      <c r="E322" s="67">
        <v>1</v>
      </c>
      <c r="F322" s="67">
        <v>1</v>
      </c>
      <c r="G322" s="67">
        <v>1</v>
      </c>
      <c r="H322" s="61">
        <v>5</v>
      </c>
    </row>
    <row r="323" spans="2:8">
      <c r="B323" s="61" t="str">
        <f>B322</f>
        <v>T-GTR-ICE_DST91</v>
      </c>
      <c r="C323" s="61" t="str">
        <f>C322</f>
        <v>TRADST</v>
      </c>
      <c r="D323" s="71" t="s">
        <v>354</v>
      </c>
      <c r="E323" s="67">
        <v>1</v>
      </c>
      <c r="F323" s="67">
        <v>1</v>
      </c>
      <c r="G323" s="67">
        <v>0.95</v>
      </c>
      <c r="H323" s="61">
        <v>5</v>
      </c>
    </row>
    <row r="324" spans="2:8">
      <c r="B324" s="66" t="str">
        <f>B204</f>
        <v>T-TUR_NEW</v>
      </c>
      <c r="C324" s="66" t="str">
        <f>Commodities!B9</f>
        <v>TRADST</v>
      </c>
      <c r="D324" s="62" t="s">
        <v>195</v>
      </c>
      <c r="E324" s="59">
        <v>0.95903634682608174</v>
      </c>
      <c r="F324" s="59">
        <v>1</v>
      </c>
      <c r="G324" s="59">
        <v>1</v>
      </c>
      <c r="H324" s="66">
        <v>5</v>
      </c>
    </row>
    <row r="325" spans="2:8">
      <c r="B325" s="66" t="str">
        <f>B324</f>
        <v>T-TUR_NEW</v>
      </c>
      <c r="C325" s="66" t="str">
        <f>C324</f>
        <v>TRADST</v>
      </c>
      <c r="D325" s="62" t="s">
        <v>354</v>
      </c>
      <c r="E325" s="59">
        <v>0.95903634682608174</v>
      </c>
      <c r="F325" s="59">
        <v>0.95</v>
      </c>
      <c r="G325" s="59">
        <v>0</v>
      </c>
      <c r="H325" s="66">
        <v>5</v>
      </c>
    </row>
    <row r="326" spans="2:8">
      <c r="B326" s="66" t="str">
        <f>B204</f>
        <v>T-TUR_NEW</v>
      </c>
      <c r="C326" s="66" t="str">
        <f>Commodities!B16</f>
        <v>TRAELC</v>
      </c>
      <c r="D326" s="62" t="s">
        <v>195</v>
      </c>
      <c r="E326" s="59">
        <v>0</v>
      </c>
      <c r="F326" s="59">
        <v>0</v>
      </c>
      <c r="G326" s="59">
        <v>0.5</v>
      </c>
      <c r="H326" s="66">
        <v>5</v>
      </c>
    </row>
    <row r="327" spans="2:8">
      <c r="B327" s="66" t="str">
        <f>B326</f>
        <v>T-TUR_NEW</v>
      </c>
      <c r="C327" s="66" t="str">
        <f>C326</f>
        <v>TRAELC</v>
      </c>
      <c r="D327" s="62" t="s">
        <v>354</v>
      </c>
      <c r="E327" s="59">
        <v>0</v>
      </c>
      <c r="F327" s="59">
        <v>0</v>
      </c>
      <c r="G327" s="59">
        <v>0</v>
      </c>
      <c r="H327" s="66">
        <v>5</v>
      </c>
    </row>
    <row r="328" spans="2:8">
      <c r="B328" s="61" t="str">
        <f>B205</f>
        <v>T-NAV_NEW</v>
      </c>
      <c r="C328" s="61" t="str">
        <f>Commodities!B9</f>
        <v>TRADST</v>
      </c>
      <c r="D328" s="71" t="s">
        <v>195</v>
      </c>
      <c r="E328" s="67">
        <v>1</v>
      </c>
      <c r="F328" s="67">
        <v>1</v>
      </c>
      <c r="G328" s="67">
        <v>1</v>
      </c>
      <c r="H328" s="61">
        <v>5</v>
      </c>
    </row>
    <row r="329" spans="2:8">
      <c r="B329" s="61" t="str">
        <f>B328</f>
        <v>T-NAV_NEW</v>
      </c>
      <c r="C329" s="61" t="str">
        <f>C328</f>
        <v>TRADST</v>
      </c>
      <c r="D329" s="71" t="s">
        <v>354</v>
      </c>
      <c r="E329" s="67">
        <v>1</v>
      </c>
      <c r="F329" s="67">
        <v>1</v>
      </c>
      <c r="G329" s="67">
        <v>0</v>
      </c>
      <c r="H329" s="61">
        <v>5</v>
      </c>
    </row>
    <row r="330" spans="2:8">
      <c r="B330" s="66" t="str">
        <f>B206</f>
        <v>T-OTH_NEW</v>
      </c>
      <c r="C330" s="66" t="str">
        <f>Commodities!B8</f>
        <v>TRAGSL</v>
      </c>
      <c r="D330" s="62" t="s">
        <v>195</v>
      </c>
      <c r="E330" s="59">
        <v>0.27039385491167939</v>
      </c>
      <c r="F330" s="59">
        <v>0.27039385491167939</v>
      </c>
      <c r="G330" s="59">
        <v>0.3</v>
      </c>
      <c r="H330" s="66">
        <v>5</v>
      </c>
    </row>
    <row r="331" spans="2:8">
      <c r="B331" s="66" t="str">
        <f>B330</f>
        <v>T-OTH_NEW</v>
      </c>
      <c r="C331" s="66" t="str">
        <f>C330</f>
        <v>TRAGSL</v>
      </c>
      <c r="D331" s="62" t="s">
        <v>354</v>
      </c>
      <c r="E331" s="59">
        <v>0.27039385491167939</v>
      </c>
      <c r="F331" s="59">
        <v>0.27039385491167939</v>
      </c>
      <c r="G331" s="59">
        <v>0</v>
      </c>
      <c r="H331" s="66">
        <v>5</v>
      </c>
    </row>
    <row r="332" spans="2:8">
      <c r="B332" s="66" t="str">
        <f t="shared" ref="B332:B335" si="59">B331</f>
        <v>T-OTH_NEW</v>
      </c>
      <c r="C332" s="66" t="str">
        <f>Commodities!B9</f>
        <v>TRADST</v>
      </c>
      <c r="D332" s="62" t="s">
        <v>195</v>
      </c>
      <c r="E332" s="59">
        <v>0.64957427938717227</v>
      </c>
      <c r="F332" s="59">
        <v>0.64957427938717227</v>
      </c>
      <c r="G332" s="59">
        <v>0.7</v>
      </c>
      <c r="H332" s="66">
        <v>5</v>
      </c>
    </row>
    <row r="333" spans="2:8">
      <c r="B333" s="66" t="str">
        <f t="shared" si="59"/>
        <v>T-OTH_NEW</v>
      </c>
      <c r="C333" s="66" t="str">
        <f>C332</f>
        <v>TRADST</v>
      </c>
      <c r="D333" s="62" t="s">
        <v>354</v>
      </c>
      <c r="E333" s="59">
        <v>0.64957427938717227</v>
      </c>
      <c r="F333" s="59">
        <v>0.64957427938717227</v>
      </c>
      <c r="G333" s="59">
        <v>0</v>
      </c>
      <c r="H333" s="66">
        <v>5</v>
      </c>
    </row>
    <row r="334" spans="2:8">
      <c r="B334" s="66" t="str">
        <f t="shared" si="59"/>
        <v>T-OTH_NEW</v>
      </c>
      <c r="C334" s="66" t="str">
        <f>Commodities!B11</f>
        <v>TRABDL</v>
      </c>
      <c r="D334" s="62" t="s">
        <v>195</v>
      </c>
      <c r="E334" s="59">
        <v>2.774549221160999E-2</v>
      </c>
      <c r="F334" s="59">
        <v>2.774549221160999E-2</v>
      </c>
      <c r="G334" s="59">
        <v>0.2</v>
      </c>
      <c r="H334" s="66">
        <v>5</v>
      </c>
    </row>
    <row r="335" spans="2:8">
      <c r="B335" s="66" t="str">
        <f t="shared" si="59"/>
        <v>T-OTH_NEW</v>
      </c>
      <c r="C335" s="66" t="str">
        <f>C334</f>
        <v>TRABDL</v>
      </c>
      <c r="D335" s="62" t="s">
        <v>354</v>
      </c>
      <c r="E335" s="59">
        <v>2.774549221160999E-2</v>
      </c>
      <c r="F335" s="59">
        <v>2.774549221160999E-2</v>
      </c>
      <c r="G335" s="59">
        <v>0</v>
      </c>
      <c r="H335" s="66">
        <v>5</v>
      </c>
    </row>
    <row r="336" spans="2:8">
      <c r="B336" s="61" t="str">
        <f>B208</f>
        <v>T-AVI_DOM_NEW</v>
      </c>
      <c r="C336" s="69" t="str">
        <f>Commodities!B35</f>
        <v>AVIKER</v>
      </c>
      <c r="D336" s="71" t="s">
        <v>195</v>
      </c>
      <c r="E336" s="67">
        <v>1</v>
      </c>
      <c r="F336" s="67">
        <v>1</v>
      </c>
      <c r="G336" s="67">
        <v>1</v>
      </c>
      <c r="H336" s="61">
        <v>5</v>
      </c>
    </row>
    <row r="337" spans="2:9">
      <c r="B337" s="61" t="str">
        <f>B336</f>
        <v>T-AVI_DOM_NEW</v>
      </c>
      <c r="C337" s="69" t="str">
        <f>Commodities!B35</f>
        <v>AVIKER</v>
      </c>
      <c r="D337" s="71" t="s">
        <v>354</v>
      </c>
      <c r="E337" s="67">
        <v>1</v>
      </c>
      <c r="F337" s="67">
        <v>1</v>
      </c>
      <c r="G337" s="67">
        <v>0</v>
      </c>
      <c r="H337" s="61">
        <v>5</v>
      </c>
    </row>
    <row r="338" spans="2:9">
      <c r="B338" s="61" t="str">
        <f>B209</f>
        <v>T-AVI_INT_NEW</v>
      </c>
      <c r="C338" s="69" t="str">
        <f>Commodities!B35</f>
        <v>AVIKER</v>
      </c>
      <c r="D338" s="71" t="s">
        <v>195</v>
      </c>
      <c r="E338" s="67">
        <v>1</v>
      </c>
      <c r="F338" s="67">
        <v>1</v>
      </c>
      <c r="G338" s="67">
        <v>1</v>
      </c>
      <c r="H338" s="61">
        <v>5</v>
      </c>
    </row>
    <row r="339" spans="2:9">
      <c r="B339" s="65" t="str">
        <f>B338</f>
        <v>T-AVI_INT_NEW</v>
      </c>
      <c r="C339" s="65" t="str">
        <f>Commodities!B35</f>
        <v>AVIKER</v>
      </c>
      <c r="D339" s="63" t="s">
        <v>354</v>
      </c>
      <c r="E339" s="60">
        <v>1</v>
      </c>
      <c r="F339" s="60">
        <v>1</v>
      </c>
      <c r="G339" s="60">
        <v>0</v>
      </c>
      <c r="H339" s="70">
        <v>5</v>
      </c>
    </row>
    <row r="344" spans="2:9" ht="14.4">
      <c r="D344" s="74" t="s">
        <v>0</v>
      </c>
      <c r="F344" s="73"/>
      <c r="G344" s="72"/>
      <c r="H344" s="72"/>
    </row>
    <row r="345" spans="2:9" ht="14.4">
      <c r="B345" s="23" t="s">
        <v>1</v>
      </c>
      <c r="C345" s="23" t="s">
        <v>3</v>
      </c>
      <c r="D345" s="75" t="s">
        <v>45</v>
      </c>
      <c r="E345" s="75" t="s">
        <v>484</v>
      </c>
      <c r="F345" s="75" t="s">
        <v>384</v>
      </c>
      <c r="G345" s="75" t="s">
        <v>485</v>
      </c>
      <c r="H345" s="75" t="s">
        <v>524</v>
      </c>
      <c r="I345" s="75" t="s">
        <v>385</v>
      </c>
    </row>
    <row r="346" spans="2:9">
      <c r="B346" s="97" t="str">
        <f>B213</f>
        <v>T-SAVI_INT_SAF_NEW</v>
      </c>
      <c r="C346" s="97" t="s">
        <v>515</v>
      </c>
      <c r="D346" s="97" t="s">
        <v>195</v>
      </c>
      <c r="E346" s="100">
        <f>'Purchase price'!G184</f>
        <v>0.02</v>
      </c>
      <c r="F346" s="100">
        <f>'Purchase price'!L184</f>
        <v>0.14400000000000002</v>
      </c>
      <c r="G346" s="100">
        <v>0.7</v>
      </c>
      <c r="H346" s="100">
        <v>1</v>
      </c>
      <c r="I346" s="97">
        <v>5</v>
      </c>
    </row>
    <row r="347" spans="2:9">
      <c r="B347" s="97" t="str">
        <f>B346</f>
        <v>T-SAVI_INT_SAF_NEW</v>
      </c>
      <c r="C347" s="97" t="str">
        <f>C346</f>
        <v>AVIBJK</v>
      </c>
      <c r="D347" s="97" t="s">
        <v>354</v>
      </c>
      <c r="E347" s="100">
        <v>0</v>
      </c>
      <c r="F347" s="100">
        <v>0</v>
      </c>
      <c r="G347" s="100">
        <v>0</v>
      </c>
      <c r="H347" s="100">
        <v>0</v>
      </c>
      <c r="I347" s="97">
        <v>5</v>
      </c>
    </row>
    <row r="348" spans="2:9">
      <c r="B348" s="97" t="str">
        <f>B214</f>
        <v>T-MAVI_INT_SAF_NEW</v>
      </c>
      <c r="C348" s="97" t="str">
        <f>C346</f>
        <v>AVIBJK</v>
      </c>
      <c r="D348" s="97" t="str">
        <f>D346</f>
        <v>UP</v>
      </c>
      <c r="E348" s="100">
        <f t="shared" ref="E348:H349" si="60">E346</f>
        <v>0.02</v>
      </c>
      <c r="F348" s="100">
        <f t="shared" si="60"/>
        <v>0.14400000000000002</v>
      </c>
      <c r="G348" s="100">
        <f t="shared" si="60"/>
        <v>0.7</v>
      </c>
      <c r="H348" s="100">
        <f>H346</f>
        <v>1</v>
      </c>
      <c r="I348" s="97">
        <f>I346</f>
        <v>5</v>
      </c>
    </row>
    <row r="349" spans="2:9">
      <c r="B349" s="97" t="str">
        <f>B348</f>
        <v>T-MAVI_INT_SAF_NEW</v>
      </c>
      <c r="C349" s="97" t="str">
        <f>C347</f>
        <v>AVIBJK</v>
      </c>
      <c r="D349" s="97" t="str">
        <f>D347</f>
        <v>LO</v>
      </c>
      <c r="E349" s="100">
        <f t="shared" si="60"/>
        <v>0</v>
      </c>
      <c r="F349" s="100">
        <f t="shared" si="60"/>
        <v>0</v>
      </c>
      <c r="G349" s="100">
        <f t="shared" si="60"/>
        <v>0</v>
      </c>
      <c r="H349" s="100">
        <f t="shared" si="60"/>
        <v>0</v>
      </c>
      <c r="I349" s="97">
        <f>I347</f>
        <v>5</v>
      </c>
    </row>
    <row r="350" spans="2:9">
      <c r="B350" s="97" t="str">
        <f>B215</f>
        <v>T-LAVI_INT_SAF_NEW</v>
      </c>
      <c r="C350" s="97" t="str">
        <f>C346</f>
        <v>AVIBJK</v>
      </c>
      <c r="D350" s="97" t="str">
        <f t="shared" ref="D350:G351" si="61">D346</f>
        <v>UP</v>
      </c>
      <c r="E350" s="100">
        <f t="shared" si="61"/>
        <v>0.02</v>
      </c>
      <c r="F350" s="100">
        <f t="shared" si="61"/>
        <v>0.14400000000000002</v>
      </c>
      <c r="G350" s="100">
        <f t="shared" si="61"/>
        <v>0.7</v>
      </c>
      <c r="H350" s="100">
        <f t="shared" ref="H350:H357" si="62">H348</f>
        <v>1</v>
      </c>
      <c r="I350" s="97">
        <f>I346</f>
        <v>5</v>
      </c>
    </row>
    <row r="351" spans="2:9">
      <c r="B351" s="128" t="str">
        <f>B350</f>
        <v>T-LAVI_INT_SAF_NEW</v>
      </c>
      <c r="C351" s="128" t="str">
        <f>C347</f>
        <v>AVIBJK</v>
      </c>
      <c r="D351" s="128" t="str">
        <f t="shared" si="61"/>
        <v>LO</v>
      </c>
      <c r="E351" s="148">
        <f t="shared" si="61"/>
        <v>0</v>
      </c>
      <c r="F351" s="148">
        <f t="shared" si="61"/>
        <v>0</v>
      </c>
      <c r="G351" s="148">
        <f t="shared" si="61"/>
        <v>0</v>
      </c>
      <c r="H351" s="148">
        <f t="shared" si="62"/>
        <v>0</v>
      </c>
      <c r="I351" s="128">
        <f>I347</f>
        <v>5</v>
      </c>
    </row>
    <row r="352" spans="2:9">
      <c r="B352" s="149" t="str">
        <f t="shared" ref="B352:B357" si="63">B346</f>
        <v>T-SAVI_INT_SAF_NEW</v>
      </c>
      <c r="C352" s="97" t="str">
        <f>Commodities!B39</f>
        <v>AVIPtL</v>
      </c>
      <c r="D352" s="97" t="s">
        <v>195</v>
      </c>
      <c r="E352" s="100">
        <f>'Purchase price'!G185</f>
        <v>0</v>
      </c>
      <c r="F352" s="100">
        <f>'Purchase price'!L185</f>
        <v>1.2E-2</v>
      </c>
      <c r="G352" s="100">
        <v>0.35</v>
      </c>
      <c r="H352" s="100">
        <v>0.5</v>
      </c>
      <c r="I352" s="97">
        <v>5</v>
      </c>
    </row>
    <row r="353" spans="2:9">
      <c r="B353" s="97" t="str">
        <f t="shared" si="63"/>
        <v>T-SAVI_INT_SAF_NEW</v>
      </c>
      <c r="C353" s="97" t="str">
        <f>C352</f>
        <v>AVIPtL</v>
      </c>
      <c r="D353" s="97" t="s">
        <v>354</v>
      </c>
      <c r="E353" s="100">
        <v>0</v>
      </c>
      <c r="F353" s="100">
        <v>0</v>
      </c>
      <c r="G353" s="100">
        <v>0</v>
      </c>
      <c r="H353" s="100">
        <f>H351</f>
        <v>0</v>
      </c>
      <c r="I353" s="97">
        <v>5</v>
      </c>
    </row>
    <row r="354" spans="2:9">
      <c r="B354" s="97" t="str">
        <f t="shared" si="63"/>
        <v>T-MAVI_INT_SAF_NEW</v>
      </c>
      <c r="C354" s="97" t="str">
        <f t="shared" ref="C354:C356" si="64">C353</f>
        <v>AVIPtL</v>
      </c>
      <c r="D354" s="97" t="s">
        <v>195</v>
      </c>
      <c r="E354" s="100">
        <f>E352</f>
        <v>0</v>
      </c>
      <c r="F354" s="100">
        <f t="shared" ref="F354:G354" si="65">F352</f>
        <v>1.2E-2</v>
      </c>
      <c r="G354" s="100">
        <f t="shared" si="65"/>
        <v>0.35</v>
      </c>
      <c r="H354" s="100">
        <f t="shared" si="62"/>
        <v>0.5</v>
      </c>
      <c r="I354" s="101">
        <f>I352</f>
        <v>5</v>
      </c>
    </row>
    <row r="355" spans="2:9">
      <c r="B355" s="97" t="str">
        <f t="shared" si="63"/>
        <v>T-MAVI_INT_SAF_NEW</v>
      </c>
      <c r="C355" s="97" t="str">
        <f t="shared" si="64"/>
        <v>AVIPtL</v>
      </c>
      <c r="D355" s="97" t="s">
        <v>354</v>
      </c>
      <c r="E355" s="100">
        <f>E353</f>
        <v>0</v>
      </c>
      <c r="F355" s="100">
        <f t="shared" ref="F355:G355" si="66">F353</f>
        <v>0</v>
      </c>
      <c r="G355" s="100">
        <f t="shared" si="66"/>
        <v>0</v>
      </c>
      <c r="H355" s="100">
        <f t="shared" si="62"/>
        <v>0</v>
      </c>
      <c r="I355" s="101">
        <f>I353</f>
        <v>5</v>
      </c>
    </row>
    <row r="356" spans="2:9">
      <c r="B356" s="97" t="str">
        <f t="shared" si="63"/>
        <v>T-LAVI_INT_SAF_NEW</v>
      </c>
      <c r="C356" s="97" t="str">
        <f t="shared" si="64"/>
        <v>AVIPtL</v>
      </c>
      <c r="D356" s="97" t="s">
        <v>195</v>
      </c>
      <c r="E356" s="100">
        <f>E352</f>
        <v>0</v>
      </c>
      <c r="F356" s="100">
        <f t="shared" ref="F356:G356" si="67">F352</f>
        <v>1.2E-2</v>
      </c>
      <c r="G356" s="100">
        <f t="shared" si="67"/>
        <v>0.35</v>
      </c>
      <c r="H356" s="100">
        <f t="shared" si="62"/>
        <v>0.5</v>
      </c>
      <c r="I356" s="101">
        <f>I352</f>
        <v>5</v>
      </c>
    </row>
    <row r="357" spans="2:9">
      <c r="B357" s="128" t="str">
        <f t="shared" si="63"/>
        <v>T-LAVI_INT_SAF_NEW</v>
      </c>
      <c r="C357" s="128" t="str">
        <f>C356</f>
        <v>AVIPtL</v>
      </c>
      <c r="D357" s="128" t="s">
        <v>354</v>
      </c>
      <c r="E357" s="148">
        <f>E353</f>
        <v>0</v>
      </c>
      <c r="F357" s="148">
        <f t="shared" ref="F357:G357" si="68">F353</f>
        <v>0</v>
      </c>
      <c r="G357" s="148">
        <f t="shared" si="68"/>
        <v>0</v>
      </c>
      <c r="H357" s="148">
        <f t="shared" si="62"/>
        <v>0</v>
      </c>
      <c r="I357" s="147">
        <f>I353</f>
        <v>5</v>
      </c>
    </row>
    <row r="358" spans="2:9">
      <c r="B358" s="97" t="str">
        <f>B216</f>
        <v>T-SAVI_INT_SYN-FUEL_NEW</v>
      </c>
      <c r="C358" s="97" t="str">
        <f>Commodities!B39</f>
        <v>AVIPtL</v>
      </c>
      <c r="D358" s="97" t="s">
        <v>195</v>
      </c>
      <c r="E358" s="100">
        <f>'Purchase price'!G185</f>
        <v>0</v>
      </c>
      <c r="F358" s="100">
        <f>'Purchase price'!H185</f>
        <v>0</v>
      </c>
      <c r="G358" s="100">
        <f>'Purchase price'!I185</f>
        <v>0</v>
      </c>
      <c r="H358" s="100">
        <f>'Purchase price'!J185</f>
        <v>0</v>
      </c>
      <c r="I358" s="97">
        <f>I348</f>
        <v>5</v>
      </c>
    </row>
    <row r="359" spans="2:9">
      <c r="B359" s="97" t="str">
        <f>B358</f>
        <v>T-SAVI_INT_SYN-FUEL_NEW</v>
      </c>
      <c r="C359" s="97" t="str">
        <f>C358</f>
        <v>AVIPtL</v>
      </c>
      <c r="D359" s="97" t="s">
        <v>354</v>
      </c>
      <c r="E359" s="100">
        <f>E358</f>
        <v>0</v>
      </c>
      <c r="F359" s="100">
        <f t="shared" ref="F359:H359" si="69">F358</f>
        <v>0</v>
      </c>
      <c r="G359" s="100">
        <f t="shared" si="69"/>
        <v>0</v>
      </c>
      <c r="H359" s="100">
        <f t="shared" si="69"/>
        <v>0</v>
      </c>
      <c r="I359" s="97">
        <f t="shared" ref="I359" si="70">I358</f>
        <v>5</v>
      </c>
    </row>
    <row r="360" spans="2:9">
      <c r="B360" s="97" t="str">
        <f>B217</f>
        <v>T-MAVI_INT_SYN-FUEL_NEW</v>
      </c>
      <c r="C360" s="97" t="str">
        <f t="shared" ref="C360:C363" si="71">C359</f>
        <v>AVIPtL</v>
      </c>
      <c r="D360" s="97" t="s">
        <v>195</v>
      </c>
      <c r="E360" s="100">
        <f>E358</f>
        <v>0</v>
      </c>
      <c r="F360" s="100">
        <f t="shared" ref="F360:H360" si="72">F358</f>
        <v>0</v>
      </c>
      <c r="G360" s="100">
        <f t="shared" si="72"/>
        <v>0</v>
      </c>
      <c r="H360" s="100">
        <f t="shared" si="72"/>
        <v>0</v>
      </c>
      <c r="I360" s="97">
        <f>I358</f>
        <v>5</v>
      </c>
    </row>
    <row r="361" spans="2:9">
      <c r="B361" s="97" t="str">
        <f>B360</f>
        <v>T-MAVI_INT_SYN-FUEL_NEW</v>
      </c>
      <c r="C361" s="97" t="str">
        <f t="shared" si="71"/>
        <v>AVIPtL</v>
      </c>
      <c r="D361" s="97" t="s">
        <v>354</v>
      </c>
      <c r="E361" s="100">
        <f>E359</f>
        <v>0</v>
      </c>
      <c r="F361" s="100">
        <f t="shared" ref="F361:H361" si="73">F359</f>
        <v>0</v>
      </c>
      <c r="G361" s="100">
        <f t="shared" si="73"/>
        <v>0</v>
      </c>
      <c r="H361" s="100">
        <f t="shared" si="73"/>
        <v>0</v>
      </c>
      <c r="I361" s="97">
        <f>I359</f>
        <v>5</v>
      </c>
    </row>
    <row r="362" spans="2:9">
      <c r="B362" s="97" t="str">
        <f>B218</f>
        <v>T-LAVI_INT_SYN-FUEL_NEW</v>
      </c>
      <c r="C362" s="97" t="str">
        <f t="shared" si="71"/>
        <v>AVIPtL</v>
      </c>
      <c r="D362" s="97" t="s">
        <v>195</v>
      </c>
      <c r="E362" s="100">
        <f>E360</f>
        <v>0</v>
      </c>
      <c r="F362" s="100">
        <f t="shared" ref="F362:H362" si="74">F360</f>
        <v>0</v>
      </c>
      <c r="G362" s="100">
        <f t="shared" si="74"/>
        <v>0</v>
      </c>
      <c r="H362" s="100">
        <f t="shared" si="74"/>
        <v>0</v>
      </c>
      <c r="I362" s="97">
        <f>I360</f>
        <v>5</v>
      </c>
    </row>
    <row r="363" spans="2:9">
      <c r="B363" s="128" t="str">
        <f>B362</f>
        <v>T-LAVI_INT_SYN-FUEL_NEW</v>
      </c>
      <c r="C363" s="128" t="str">
        <f t="shared" si="71"/>
        <v>AVIPtL</v>
      </c>
      <c r="D363" s="128" t="s">
        <v>354</v>
      </c>
      <c r="E363" s="148">
        <f>E361</f>
        <v>0</v>
      </c>
      <c r="F363" s="148">
        <f t="shared" ref="F363:H363" si="75">F361</f>
        <v>0</v>
      </c>
      <c r="G363" s="148">
        <f t="shared" si="75"/>
        <v>0</v>
      </c>
      <c r="H363" s="148">
        <f t="shared" si="75"/>
        <v>0</v>
      </c>
      <c r="I363" s="128">
        <f>I361</f>
        <v>5</v>
      </c>
    </row>
    <row r="365" spans="2:9">
      <c r="C365" s="47"/>
    </row>
    <row r="366" spans="2:9" ht="13.8">
      <c r="C366" s="159"/>
    </row>
  </sheetData>
  <phoneticPr fontId="13" type="noConversion"/>
  <pageMargins left="0.7" right="0.7" top="0.75" bottom="0.75" header="0.3" footer="0.3"/>
  <pageSetup orientation="portrait" horizontalDpi="4294967295" verticalDpi="4294967295" r:id="rId1"/>
  <ignoredErrors>
    <ignoredError sqref="D184:D190 C213 H350:H351 H356:H357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210"/>
  <sheetViews>
    <sheetView topLeftCell="A174" zoomScale="70" zoomScaleNormal="70" workbookViewId="0">
      <selection activeCell="A182" sqref="A182:AG186"/>
    </sheetView>
  </sheetViews>
  <sheetFormatPr defaultRowHeight="13.2"/>
  <cols>
    <col min="1" max="1" width="30" customWidth="1"/>
    <col min="2" max="2" width="15.21875" customWidth="1"/>
    <col min="3" max="11" width="14.21875" customWidth="1"/>
    <col min="15" max="15" width="14.5546875" customWidth="1"/>
  </cols>
  <sheetData>
    <row r="1" spans="1:12">
      <c r="A1" t="s">
        <v>121</v>
      </c>
    </row>
    <row r="2" spans="1:12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 t="s">
        <v>132</v>
      </c>
    </row>
    <row r="3" spans="1:12">
      <c r="A3" t="s">
        <v>133</v>
      </c>
      <c r="B3">
        <v>121157</v>
      </c>
      <c r="C3">
        <v>2439</v>
      </c>
      <c r="D3">
        <v>20545</v>
      </c>
      <c r="E3">
        <v>13872</v>
      </c>
      <c r="F3">
        <v>7002</v>
      </c>
      <c r="G3">
        <v>20335</v>
      </c>
      <c r="H3">
        <v>20414</v>
      </c>
      <c r="I3">
        <v>30556</v>
      </c>
      <c r="J3">
        <v>3420</v>
      </c>
      <c r="K3">
        <v>2574</v>
      </c>
    </row>
    <row r="4" spans="1:12">
      <c r="A4" t="s">
        <v>134</v>
      </c>
      <c r="B4">
        <v>49</v>
      </c>
      <c r="C4">
        <v>13</v>
      </c>
      <c r="D4">
        <v>0</v>
      </c>
      <c r="E4">
        <v>6</v>
      </c>
      <c r="F4">
        <v>10</v>
      </c>
      <c r="G4">
        <v>1</v>
      </c>
      <c r="H4">
        <v>0</v>
      </c>
      <c r="I4">
        <v>8</v>
      </c>
      <c r="J4">
        <v>0</v>
      </c>
      <c r="K4">
        <v>11</v>
      </c>
      <c r="L4" s="37">
        <f>B4/$B$3</f>
        <v>4.044339163234481E-4</v>
      </c>
    </row>
    <row r="5" spans="1:12">
      <c r="A5" t="s">
        <v>135</v>
      </c>
      <c r="B5">
        <v>86</v>
      </c>
      <c r="C5">
        <v>1</v>
      </c>
      <c r="D5">
        <v>0</v>
      </c>
      <c r="E5">
        <v>2</v>
      </c>
      <c r="F5">
        <v>16</v>
      </c>
      <c r="G5">
        <v>0</v>
      </c>
      <c r="H5">
        <v>11</v>
      </c>
      <c r="I5">
        <v>22</v>
      </c>
      <c r="J5">
        <v>29</v>
      </c>
      <c r="K5">
        <v>5</v>
      </c>
      <c r="L5" s="37">
        <f t="shared" ref="L5:L44" si="0">B5/$B$3</f>
        <v>7.0982279191462321E-4</v>
      </c>
    </row>
    <row r="6" spans="1:12">
      <c r="A6" t="s">
        <v>136</v>
      </c>
      <c r="B6">
        <v>4806</v>
      </c>
      <c r="C6">
        <v>0</v>
      </c>
      <c r="D6">
        <v>483</v>
      </c>
      <c r="E6">
        <v>0</v>
      </c>
      <c r="F6">
        <v>197</v>
      </c>
      <c r="G6">
        <v>114</v>
      </c>
      <c r="H6">
        <v>810</v>
      </c>
      <c r="I6">
        <v>2776</v>
      </c>
      <c r="J6">
        <v>0</v>
      </c>
      <c r="K6">
        <v>426</v>
      </c>
      <c r="L6" s="37">
        <f t="shared" si="0"/>
        <v>3.9667538813275338E-2</v>
      </c>
    </row>
    <row r="7" spans="1:12">
      <c r="A7" t="s">
        <v>137</v>
      </c>
      <c r="B7">
        <v>4128</v>
      </c>
      <c r="C7">
        <v>76</v>
      </c>
      <c r="D7">
        <v>0</v>
      </c>
      <c r="E7">
        <v>0</v>
      </c>
      <c r="F7">
        <v>0</v>
      </c>
      <c r="G7">
        <v>556</v>
      </c>
      <c r="H7">
        <v>0</v>
      </c>
      <c r="I7">
        <v>3210</v>
      </c>
      <c r="J7">
        <v>0</v>
      </c>
      <c r="K7">
        <v>286</v>
      </c>
      <c r="L7" s="37">
        <f t="shared" si="0"/>
        <v>3.4071494011901911E-2</v>
      </c>
    </row>
    <row r="8" spans="1:12">
      <c r="A8" t="s">
        <v>138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37">
        <f t="shared" si="0"/>
        <v>0</v>
      </c>
    </row>
    <row r="9" spans="1:12">
      <c r="A9" t="s">
        <v>139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37">
        <f t="shared" si="0"/>
        <v>0</v>
      </c>
    </row>
    <row r="10" spans="1:12">
      <c r="A10" t="s">
        <v>140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37">
        <f t="shared" si="0"/>
        <v>0</v>
      </c>
    </row>
    <row r="11" spans="1:12">
      <c r="A11" t="s">
        <v>141</v>
      </c>
      <c r="B11">
        <v>1186</v>
      </c>
      <c r="C11">
        <v>1</v>
      </c>
      <c r="D11">
        <v>20</v>
      </c>
      <c r="E11">
        <v>401</v>
      </c>
      <c r="F11">
        <v>0</v>
      </c>
      <c r="G11">
        <v>0</v>
      </c>
      <c r="H11">
        <v>742</v>
      </c>
      <c r="I11">
        <v>22</v>
      </c>
      <c r="J11">
        <v>0</v>
      </c>
      <c r="K11">
        <v>0</v>
      </c>
      <c r="L11" s="37">
        <f t="shared" si="0"/>
        <v>9.7889515257063141E-3</v>
      </c>
    </row>
    <row r="12" spans="1:12">
      <c r="A12" t="s">
        <v>142</v>
      </c>
      <c r="B12">
        <v>3411</v>
      </c>
      <c r="C12">
        <v>274</v>
      </c>
      <c r="D12">
        <v>683</v>
      </c>
      <c r="E12">
        <v>1</v>
      </c>
      <c r="F12">
        <v>0</v>
      </c>
      <c r="G12">
        <v>2451</v>
      </c>
      <c r="H12">
        <v>2</v>
      </c>
      <c r="I12">
        <v>0</v>
      </c>
      <c r="J12">
        <v>0</v>
      </c>
      <c r="K12">
        <v>0</v>
      </c>
      <c r="L12" s="37">
        <f t="shared" si="0"/>
        <v>2.81535528281486E-2</v>
      </c>
    </row>
    <row r="13" spans="1:12">
      <c r="A13" t="s">
        <v>143</v>
      </c>
      <c r="B13">
        <v>698</v>
      </c>
      <c r="C13">
        <v>3</v>
      </c>
      <c r="D13">
        <v>1</v>
      </c>
      <c r="E13">
        <v>489</v>
      </c>
      <c r="F13">
        <v>56</v>
      </c>
      <c r="G13">
        <v>0</v>
      </c>
      <c r="H13">
        <v>147</v>
      </c>
      <c r="I13">
        <v>0</v>
      </c>
      <c r="J13">
        <v>2</v>
      </c>
      <c r="K13">
        <v>0</v>
      </c>
      <c r="L13" s="37">
        <f t="shared" si="0"/>
        <v>5.7611198692605467E-3</v>
      </c>
    </row>
    <row r="14" spans="1:12">
      <c r="A14" t="s">
        <v>144</v>
      </c>
      <c r="B14">
        <v>10746</v>
      </c>
      <c r="C14">
        <v>0</v>
      </c>
      <c r="D14">
        <v>1293</v>
      </c>
      <c r="E14">
        <v>2645</v>
      </c>
      <c r="F14">
        <v>0</v>
      </c>
      <c r="G14">
        <v>5833</v>
      </c>
      <c r="H14">
        <v>1</v>
      </c>
      <c r="I14">
        <v>928</v>
      </c>
      <c r="J14">
        <v>44</v>
      </c>
      <c r="K14">
        <v>2</v>
      </c>
      <c r="L14" s="38">
        <f>B14/$B$3</f>
        <v>8.8694833975750467E-2</v>
      </c>
    </row>
    <row r="15" spans="1:12">
      <c r="A15" t="s">
        <v>145</v>
      </c>
      <c r="B15">
        <v>1260</v>
      </c>
      <c r="C15">
        <v>2</v>
      </c>
      <c r="D15">
        <v>328</v>
      </c>
      <c r="E15">
        <v>0</v>
      </c>
      <c r="F15">
        <v>237</v>
      </c>
      <c r="G15">
        <v>232</v>
      </c>
      <c r="H15">
        <v>456</v>
      </c>
      <c r="I15">
        <v>5</v>
      </c>
      <c r="J15">
        <v>0</v>
      </c>
      <c r="K15">
        <v>0</v>
      </c>
      <c r="L15" s="37">
        <f t="shared" si="0"/>
        <v>1.0399729276888665E-2</v>
      </c>
    </row>
    <row r="16" spans="1:12">
      <c r="A16" t="s">
        <v>146</v>
      </c>
      <c r="B16">
        <v>10950</v>
      </c>
      <c r="C16">
        <v>92</v>
      </c>
      <c r="D16">
        <v>3571</v>
      </c>
      <c r="E16">
        <v>1027</v>
      </c>
      <c r="F16">
        <v>806</v>
      </c>
      <c r="G16">
        <v>0</v>
      </c>
      <c r="H16">
        <v>1171</v>
      </c>
      <c r="I16">
        <v>3853</v>
      </c>
      <c r="J16">
        <v>429</v>
      </c>
      <c r="K16">
        <v>1</v>
      </c>
      <c r="L16" s="38">
        <f t="shared" si="0"/>
        <v>9.0378599668199111E-2</v>
      </c>
    </row>
    <row r="17" spans="1:12">
      <c r="A17" t="s">
        <v>147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7">
        <f t="shared" si="0"/>
        <v>0</v>
      </c>
    </row>
    <row r="18" spans="1:12">
      <c r="A18" t="s">
        <v>148</v>
      </c>
      <c r="B18">
        <v>594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584</v>
      </c>
      <c r="J18">
        <v>0</v>
      </c>
      <c r="K18">
        <v>7</v>
      </c>
      <c r="L18" s="37">
        <f t="shared" si="0"/>
        <v>4.9027295162475133E-3</v>
      </c>
    </row>
    <row r="19" spans="1:12">
      <c r="A19" t="s">
        <v>149</v>
      </c>
      <c r="B19">
        <v>92</v>
      </c>
      <c r="C19">
        <v>0</v>
      </c>
      <c r="D19">
        <v>0</v>
      </c>
      <c r="E19">
        <v>0</v>
      </c>
      <c r="F19">
        <v>17</v>
      </c>
      <c r="G19">
        <v>0</v>
      </c>
      <c r="H19">
        <v>61</v>
      </c>
      <c r="I19">
        <v>11</v>
      </c>
      <c r="J19">
        <v>1</v>
      </c>
      <c r="K19">
        <v>2</v>
      </c>
      <c r="L19" s="37">
        <f t="shared" si="0"/>
        <v>7.5934531228075966E-4</v>
      </c>
    </row>
    <row r="20" spans="1:12">
      <c r="A20" t="s">
        <v>150</v>
      </c>
      <c r="B20">
        <v>7005</v>
      </c>
      <c r="C20">
        <v>0</v>
      </c>
      <c r="D20">
        <v>613</v>
      </c>
      <c r="E20">
        <v>506</v>
      </c>
      <c r="F20">
        <v>1090</v>
      </c>
      <c r="G20">
        <v>0</v>
      </c>
      <c r="H20">
        <v>947</v>
      </c>
      <c r="I20">
        <v>3245</v>
      </c>
      <c r="J20">
        <v>602</v>
      </c>
      <c r="K20">
        <v>2</v>
      </c>
      <c r="L20" s="38">
        <f t="shared" si="0"/>
        <v>5.7817542527464363E-2</v>
      </c>
    </row>
    <row r="21" spans="1:12">
      <c r="A21" t="s">
        <v>151</v>
      </c>
      <c r="B21">
        <v>1001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729</v>
      </c>
      <c r="J21">
        <v>0</v>
      </c>
      <c r="K21">
        <v>272</v>
      </c>
      <c r="L21" s="37">
        <f t="shared" si="0"/>
        <v>8.2620071477504387E-3</v>
      </c>
    </row>
    <row r="22" spans="1:12">
      <c r="A22" t="s">
        <v>152</v>
      </c>
      <c r="B22">
        <v>471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57</v>
      </c>
      <c r="J22">
        <v>0</v>
      </c>
      <c r="K22">
        <v>414</v>
      </c>
      <c r="L22" s="37">
        <f t="shared" si="0"/>
        <v>3.8875178487417154E-3</v>
      </c>
    </row>
    <row r="23" spans="1:12">
      <c r="A23" t="s">
        <v>153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37">
        <f t="shared" si="0"/>
        <v>0</v>
      </c>
    </row>
    <row r="24" spans="1:12">
      <c r="A24" t="s">
        <v>154</v>
      </c>
      <c r="B24">
        <v>2162</v>
      </c>
      <c r="C24">
        <v>0</v>
      </c>
      <c r="D24">
        <v>0</v>
      </c>
      <c r="E24">
        <v>0</v>
      </c>
      <c r="F24">
        <v>0</v>
      </c>
      <c r="G24">
        <v>721</v>
      </c>
      <c r="H24">
        <v>0</v>
      </c>
      <c r="I24">
        <v>323</v>
      </c>
      <c r="J24">
        <v>1118</v>
      </c>
      <c r="K24">
        <v>0</v>
      </c>
      <c r="L24" s="37">
        <f t="shared" si="0"/>
        <v>1.7844614838597853E-2</v>
      </c>
    </row>
    <row r="25" spans="1:12">
      <c r="A25" t="s">
        <v>155</v>
      </c>
      <c r="B25">
        <v>3953</v>
      </c>
      <c r="C25">
        <v>0</v>
      </c>
      <c r="D25">
        <v>0</v>
      </c>
      <c r="E25">
        <v>0</v>
      </c>
      <c r="F25">
        <v>42</v>
      </c>
      <c r="G25">
        <v>487</v>
      </c>
      <c r="H25">
        <v>964</v>
      </c>
      <c r="I25">
        <v>1459</v>
      </c>
      <c r="J25">
        <v>863</v>
      </c>
      <c r="K25">
        <v>138</v>
      </c>
      <c r="L25" s="37">
        <f t="shared" si="0"/>
        <v>3.2627087167889597E-2</v>
      </c>
    </row>
    <row r="26" spans="1:12">
      <c r="A26" t="s">
        <v>156</v>
      </c>
      <c r="B26">
        <v>577</v>
      </c>
      <c r="C26">
        <v>0</v>
      </c>
      <c r="D26">
        <v>0</v>
      </c>
      <c r="E26">
        <v>5</v>
      </c>
      <c r="F26">
        <v>0</v>
      </c>
      <c r="G26">
        <v>469</v>
      </c>
      <c r="H26">
        <v>1</v>
      </c>
      <c r="I26">
        <v>102</v>
      </c>
      <c r="J26">
        <v>0</v>
      </c>
      <c r="K26">
        <v>0</v>
      </c>
      <c r="L26" s="37">
        <f t="shared" si="0"/>
        <v>4.7624157085434599E-3</v>
      </c>
    </row>
    <row r="27" spans="1:12">
      <c r="A27" t="s">
        <v>157</v>
      </c>
      <c r="B27">
        <v>741</v>
      </c>
      <c r="C27">
        <v>0</v>
      </c>
      <c r="D27">
        <v>37</v>
      </c>
      <c r="E27">
        <v>26</v>
      </c>
      <c r="F27">
        <v>0</v>
      </c>
      <c r="G27">
        <v>185</v>
      </c>
      <c r="H27">
        <v>254</v>
      </c>
      <c r="I27">
        <v>12</v>
      </c>
      <c r="J27">
        <v>217</v>
      </c>
      <c r="K27">
        <v>10</v>
      </c>
      <c r="L27" s="37">
        <f t="shared" si="0"/>
        <v>6.1160312652178582E-3</v>
      </c>
    </row>
    <row r="28" spans="1:12">
      <c r="A28" t="s">
        <v>158</v>
      </c>
      <c r="B28">
        <v>9277</v>
      </c>
      <c r="C28">
        <v>985</v>
      </c>
      <c r="D28">
        <v>1885</v>
      </c>
      <c r="E28">
        <v>3043</v>
      </c>
      <c r="F28">
        <v>0</v>
      </c>
      <c r="G28">
        <v>2224</v>
      </c>
      <c r="H28">
        <v>1102</v>
      </c>
      <c r="I28">
        <v>17</v>
      </c>
      <c r="J28">
        <v>21</v>
      </c>
      <c r="K28">
        <v>0</v>
      </c>
      <c r="L28" s="38">
        <f t="shared" si="0"/>
        <v>7.6570070239441387E-2</v>
      </c>
    </row>
    <row r="29" spans="1:12">
      <c r="A29" t="s">
        <v>159</v>
      </c>
      <c r="B29">
        <v>4893</v>
      </c>
      <c r="C29">
        <v>0</v>
      </c>
      <c r="D29">
        <v>390</v>
      </c>
      <c r="E29">
        <v>426</v>
      </c>
      <c r="F29">
        <v>1541</v>
      </c>
      <c r="G29">
        <v>83</v>
      </c>
      <c r="H29">
        <v>2209</v>
      </c>
      <c r="I29">
        <v>226</v>
      </c>
      <c r="J29">
        <v>18</v>
      </c>
      <c r="K29">
        <v>0</v>
      </c>
      <c r="L29" s="37">
        <f t="shared" si="0"/>
        <v>4.0385615358584315E-2</v>
      </c>
    </row>
    <row r="30" spans="1:12">
      <c r="A30" t="s">
        <v>160</v>
      </c>
      <c r="B30">
        <v>5374</v>
      </c>
      <c r="C30">
        <v>0</v>
      </c>
      <c r="D30">
        <v>30</v>
      </c>
      <c r="E30">
        <v>2143</v>
      </c>
      <c r="F30">
        <v>0</v>
      </c>
      <c r="G30">
        <v>508</v>
      </c>
      <c r="H30">
        <v>2614</v>
      </c>
      <c r="I30">
        <v>79</v>
      </c>
      <c r="J30">
        <v>0</v>
      </c>
      <c r="K30">
        <v>0</v>
      </c>
      <c r="L30" s="37">
        <f t="shared" si="0"/>
        <v>4.4355670741269594E-2</v>
      </c>
    </row>
    <row r="31" spans="1:12">
      <c r="A31" t="s">
        <v>161</v>
      </c>
      <c r="B31">
        <v>73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9</v>
      </c>
      <c r="J31">
        <v>0</v>
      </c>
      <c r="K31">
        <v>64</v>
      </c>
      <c r="L31" s="37">
        <f t="shared" si="0"/>
        <v>6.0252399778799404E-4</v>
      </c>
    </row>
    <row r="32" spans="1:12">
      <c r="A32" t="s">
        <v>162</v>
      </c>
      <c r="B32">
        <v>7075</v>
      </c>
      <c r="C32">
        <v>794</v>
      </c>
      <c r="D32">
        <v>2</v>
      </c>
      <c r="E32">
        <v>1441</v>
      </c>
      <c r="F32">
        <v>0</v>
      </c>
      <c r="G32">
        <v>4248</v>
      </c>
      <c r="H32">
        <v>450</v>
      </c>
      <c r="I32">
        <v>95</v>
      </c>
      <c r="J32">
        <v>45</v>
      </c>
      <c r="K32">
        <v>0</v>
      </c>
      <c r="L32" s="38">
        <f t="shared" si="0"/>
        <v>5.8395305265069287E-2</v>
      </c>
    </row>
    <row r="33" spans="1:12">
      <c r="A33" t="s">
        <v>163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37">
        <f t="shared" si="0"/>
        <v>0</v>
      </c>
    </row>
    <row r="34" spans="1:12">
      <c r="A34" t="s">
        <v>164</v>
      </c>
      <c r="B34">
        <v>3600</v>
      </c>
      <c r="C34">
        <v>0</v>
      </c>
      <c r="D34">
        <v>1587</v>
      </c>
      <c r="E34">
        <v>240</v>
      </c>
      <c r="F34">
        <v>190</v>
      </c>
      <c r="G34">
        <v>44</v>
      </c>
      <c r="H34">
        <v>1121</v>
      </c>
      <c r="I34">
        <v>418</v>
      </c>
      <c r="J34">
        <v>0</v>
      </c>
      <c r="K34">
        <v>0</v>
      </c>
      <c r="L34" s="37">
        <f t="shared" si="0"/>
        <v>2.9713512219681899E-2</v>
      </c>
    </row>
    <row r="35" spans="1:12">
      <c r="A35" t="s">
        <v>165</v>
      </c>
      <c r="B35">
        <v>8668</v>
      </c>
      <c r="C35">
        <v>0</v>
      </c>
      <c r="D35">
        <v>3027</v>
      </c>
      <c r="E35">
        <v>238</v>
      </c>
      <c r="F35">
        <v>266</v>
      </c>
      <c r="G35">
        <v>266</v>
      </c>
      <c r="H35">
        <v>2962</v>
      </c>
      <c r="I35">
        <v>1909</v>
      </c>
      <c r="J35">
        <v>0</v>
      </c>
      <c r="K35">
        <v>0</v>
      </c>
      <c r="L35" s="38">
        <f t="shared" si="0"/>
        <v>7.1543534422278537E-2</v>
      </c>
    </row>
    <row r="36" spans="1:12">
      <c r="A36" t="s">
        <v>166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37">
        <f t="shared" si="0"/>
        <v>8.253753394356084E-6</v>
      </c>
    </row>
    <row r="37" spans="1:12">
      <c r="A37" t="s">
        <v>167</v>
      </c>
      <c r="B37">
        <v>74</v>
      </c>
      <c r="C37">
        <v>0</v>
      </c>
      <c r="D37">
        <v>0</v>
      </c>
      <c r="E37">
        <v>0</v>
      </c>
      <c r="F37">
        <v>0</v>
      </c>
      <c r="G37">
        <v>0</v>
      </c>
      <c r="H37">
        <v>57</v>
      </c>
      <c r="I37">
        <v>0</v>
      </c>
      <c r="J37">
        <v>17</v>
      </c>
      <c r="K37">
        <v>0</v>
      </c>
      <c r="L37" s="37">
        <f t="shared" si="0"/>
        <v>6.1077775118235022E-4</v>
      </c>
    </row>
    <row r="38" spans="1:12">
      <c r="A38" t="s">
        <v>168</v>
      </c>
      <c r="B38">
        <v>187</v>
      </c>
      <c r="C38">
        <v>0</v>
      </c>
      <c r="D38">
        <v>0</v>
      </c>
      <c r="E38">
        <v>0</v>
      </c>
      <c r="F38">
        <v>0</v>
      </c>
      <c r="G38">
        <v>0</v>
      </c>
      <c r="H38">
        <v>53</v>
      </c>
      <c r="I38">
        <v>126</v>
      </c>
      <c r="J38">
        <v>0</v>
      </c>
      <c r="K38">
        <v>8</v>
      </c>
      <c r="L38" s="37">
        <f t="shared" si="0"/>
        <v>1.5434518847445876E-3</v>
      </c>
    </row>
    <row r="39" spans="1:12">
      <c r="A39" t="s">
        <v>169</v>
      </c>
      <c r="B39">
        <v>1229</v>
      </c>
      <c r="C39">
        <v>0</v>
      </c>
      <c r="D39">
        <v>400</v>
      </c>
      <c r="E39">
        <v>271</v>
      </c>
      <c r="F39">
        <v>71</v>
      </c>
      <c r="G39">
        <v>0</v>
      </c>
      <c r="H39">
        <v>487</v>
      </c>
      <c r="I39">
        <v>0</v>
      </c>
      <c r="J39">
        <v>0</v>
      </c>
      <c r="K39">
        <v>0</v>
      </c>
      <c r="L39" s="37">
        <f t="shared" si="0"/>
        <v>1.0143862921663627E-2</v>
      </c>
    </row>
    <row r="40" spans="1:12">
      <c r="A40" t="s">
        <v>170</v>
      </c>
      <c r="B40">
        <v>120</v>
      </c>
      <c r="C40">
        <v>120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37">
        <f t="shared" si="0"/>
        <v>9.9045040732272994E-4</v>
      </c>
    </row>
    <row r="41" spans="1:12">
      <c r="A41" t="s">
        <v>171</v>
      </c>
      <c r="B41">
        <v>11484</v>
      </c>
      <c r="C41">
        <v>0</v>
      </c>
      <c r="D41">
        <v>1636</v>
      </c>
      <c r="E41">
        <v>794</v>
      </c>
      <c r="F41">
        <v>2107</v>
      </c>
      <c r="G41">
        <v>1448</v>
      </c>
      <c r="H41">
        <v>229</v>
      </c>
      <c r="I41">
        <v>4391</v>
      </c>
      <c r="J41">
        <v>13</v>
      </c>
      <c r="K41">
        <v>866</v>
      </c>
      <c r="L41" s="38">
        <f t="shared" si="0"/>
        <v>9.4786103980785269E-2</v>
      </c>
    </row>
    <row r="42" spans="1:12">
      <c r="A42" t="s">
        <v>172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37">
        <f t="shared" si="0"/>
        <v>0</v>
      </c>
    </row>
    <row r="43" spans="1:12">
      <c r="A43" t="s">
        <v>173</v>
      </c>
      <c r="B43">
        <v>13496</v>
      </c>
      <c r="C43">
        <v>75</v>
      </c>
      <c r="D43">
        <v>4558</v>
      </c>
      <c r="E43">
        <v>168</v>
      </c>
      <c r="F43">
        <v>356</v>
      </c>
      <c r="G43">
        <v>407</v>
      </c>
      <c r="H43">
        <v>3563</v>
      </c>
      <c r="I43">
        <v>4309</v>
      </c>
      <c r="J43">
        <v>0</v>
      </c>
      <c r="K43">
        <v>60</v>
      </c>
      <c r="L43" s="38">
        <f t="shared" si="0"/>
        <v>0.1113926558102297</v>
      </c>
    </row>
    <row r="44" spans="1:12">
      <c r="A44" t="s">
        <v>174</v>
      </c>
      <c r="B44">
        <v>1690</v>
      </c>
      <c r="C44">
        <v>0</v>
      </c>
      <c r="D44">
        <v>0</v>
      </c>
      <c r="E44">
        <v>0</v>
      </c>
      <c r="F44">
        <v>0</v>
      </c>
      <c r="G44">
        <v>58</v>
      </c>
      <c r="H44">
        <v>0</v>
      </c>
      <c r="I44">
        <v>1631</v>
      </c>
      <c r="J44">
        <v>1</v>
      </c>
      <c r="K44">
        <v>0</v>
      </c>
      <c r="L44" s="37">
        <f t="shared" si="0"/>
        <v>1.3948843236461781E-2</v>
      </c>
    </row>
    <row r="45" spans="1:12" ht="14.4">
      <c r="A45" t="s">
        <v>175</v>
      </c>
    </row>
    <row r="50" spans="1:11">
      <c r="A50" t="s">
        <v>176</v>
      </c>
    </row>
    <row r="51" spans="1:11">
      <c r="B51" t="s">
        <v>123</v>
      </c>
      <c r="C51" t="s">
        <v>124</v>
      </c>
      <c r="D51" t="s">
        <v>125</v>
      </c>
      <c r="E51" t="s">
        <v>126</v>
      </c>
      <c r="F51" t="s">
        <v>127</v>
      </c>
      <c r="G51" t="s">
        <v>128</v>
      </c>
      <c r="H51" t="s">
        <v>129</v>
      </c>
      <c r="I51" t="s">
        <v>130</v>
      </c>
      <c r="J51" t="s">
        <v>131</v>
      </c>
      <c r="K51" t="s">
        <v>132</v>
      </c>
    </row>
    <row r="52" spans="1:11" ht="15">
      <c r="A52" t="s">
        <v>144</v>
      </c>
      <c r="C52" s="39">
        <v>16650</v>
      </c>
      <c r="D52" s="39">
        <v>19600</v>
      </c>
      <c r="E52" s="39">
        <v>19600</v>
      </c>
      <c r="F52" s="39">
        <v>20835</v>
      </c>
      <c r="G52" s="39">
        <v>20835</v>
      </c>
      <c r="H52" s="39">
        <v>20835</v>
      </c>
      <c r="I52" s="39">
        <v>27990</v>
      </c>
      <c r="J52" s="39">
        <v>53175</v>
      </c>
      <c r="K52" s="39">
        <v>61500</v>
      </c>
    </row>
    <row r="53" spans="1:11" ht="15">
      <c r="A53" t="s">
        <v>146</v>
      </c>
      <c r="C53" s="39">
        <v>11995</v>
      </c>
      <c r="D53" s="39">
        <v>12995</v>
      </c>
      <c r="E53" s="39">
        <v>13995</v>
      </c>
      <c r="F53" s="39">
        <v>17495</v>
      </c>
      <c r="G53" s="39">
        <v>18995</v>
      </c>
      <c r="H53" s="39">
        <v>20495</v>
      </c>
      <c r="I53" s="39">
        <v>25495</v>
      </c>
      <c r="J53" s="39">
        <v>35995</v>
      </c>
      <c r="K53" s="39">
        <v>43995</v>
      </c>
    </row>
    <row r="54" spans="1:11" ht="15">
      <c r="A54" t="s">
        <v>150</v>
      </c>
      <c r="C54" s="39">
        <v>11685</v>
      </c>
      <c r="D54" s="39">
        <v>12810</v>
      </c>
      <c r="E54" s="39">
        <v>15550</v>
      </c>
      <c r="F54" s="39">
        <v>18190</v>
      </c>
      <c r="G54" s="39">
        <v>19035</v>
      </c>
      <c r="H54" s="39">
        <v>20280</v>
      </c>
      <c r="I54" s="39">
        <v>26025</v>
      </c>
      <c r="J54" s="39">
        <v>38625</v>
      </c>
      <c r="K54" s="39">
        <v>41670</v>
      </c>
    </row>
    <row r="55" spans="1:11" ht="15">
      <c r="A55" t="s">
        <v>158</v>
      </c>
      <c r="C55" s="39">
        <v>15895</v>
      </c>
      <c r="D55" s="39">
        <v>15895</v>
      </c>
      <c r="E55" s="39">
        <v>16395</v>
      </c>
      <c r="F55" s="39">
        <v>18545</v>
      </c>
      <c r="G55" s="39">
        <v>19195</v>
      </c>
      <c r="H55" s="39">
        <v>19995</v>
      </c>
      <c r="I55" s="39">
        <v>27520</v>
      </c>
      <c r="J55" s="39">
        <v>30520</v>
      </c>
      <c r="K55" s="39">
        <v>37720</v>
      </c>
    </row>
    <row r="56" spans="1:11" ht="15">
      <c r="A56" t="s">
        <v>162</v>
      </c>
      <c r="C56" s="39">
        <v>12990</v>
      </c>
      <c r="D56" s="39">
        <v>13590</v>
      </c>
      <c r="E56" s="39">
        <v>16390</v>
      </c>
      <c r="F56" s="39">
        <v>18090</v>
      </c>
      <c r="G56" s="39">
        <v>19990</v>
      </c>
      <c r="H56" s="39">
        <v>22390</v>
      </c>
      <c r="I56" s="39">
        <v>28490</v>
      </c>
      <c r="J56" s="39">
        <v>31990</v>
      </c>
      <c r="K56" s="39">
        <v>37990</v>
      </c>
    </row>
    <row r="57" spans="1:11" ht="15">
      <c r="A57" t="s">
        <v>165</v>
      </c>
      <c r="C57" s="39">
        <v>11095</v>
      </c>
      <c r="D57" s="39">
        <v>12155</v>
      </c>
      <c r="E57" s="39">
        <v>15600</v>
      </c>
      <c r="F57" s="39">
        <v>18285</v>
      </c>
      <c r="G57" s="39">
        <v>27485</v>
      </c>
      <c r="H57" s="39">
        <v>27250</v>
      </c>
      <c r="I57" s="39">
        <v>33065</v>
      </c>
      <c r="J57" s="39">
        <v>39725</v>
      </c>
      <c r="K57" s="39">
        <v>42025</v>
      </c>
    </row>
    <row r="58" spans="1:11" ht="15">
      <c r="A58" t="s">
        <v>171</v>
      </c>
      <c r="C58" s="39">
        <v>13360</v>
      </c>
      <c r="D58" s="39">
        <v>14580</v>
      </c>
      <c r="E58" s="39">
        <v>23500</v>
      </c>
      <c r="F58" s="39">
        <v>23500</v>
      </c>
      <c r="G58" s="39">
        <v>26000</v>
      </c>
      <c r="H58" s="39">
        <v>26790</v>
      </c>
      <c r="I58" s="39">
        <v>31630</v>
      </c>
      <c r="J58" s="39">
        <v>36500</v>
      </c>
      <c r="K58" s="39">
        <v>40395</v>
      </c>
    </row>
    <row r="59" spans="1:11" ht="15">
      <c r="A59" t="s">
        <v>173</v>
      </c>
      <c r="C59" s="39">
        <v>13770</v>
      </c>
      <c r="D59" s="39">
        <v>13770</v>
      </c>
      <c r="E59" s="39">
        <v>17928</v>
      </c>
      <c r="F59" s="39">
        <v>21445</v>
      </c>
      <c r="G59" s="39">
        <v>28265</v>
      </c>
      <c r="H59" s="39">
        <v>24662</v>
      </c>
      <c r="I59" s="39">
        <v>31420</v>
      </c>
      <c r="J59" s="39">
        <v>38700</v>
      </c>
      <c r="K59" s="39">
        <v>73975</v>
      </c>
    </row>
    <row r="60" spans="1:11">
      <c r="A60" s="47" t="s">
        <v>182</v>
      </c>
    </row>
    <row r="63" spans="1:11">
      <c r="A63" t="s">
        <v>121</v>
      </c>
    </row>
    <row r="64" spans="1:11">
      <c r="B64" t="s">
        <v>123</v>
      </c>
      <c r="C64" t="s">
        <v>124</v>
      </c>
      <c r="D64" t="s">
        <v>125</v>
      </c>
      <c r="E64" t="s">
        <v>126</v>
      </c>
      <c r="F64" t="s">
        <v>127</v>
      </c>
      <c r="G64" t="s">
        <v>128</v>
      </c>
      <c r="H64" t="s">
        <v>129</v>
      </c>
      <c r="I64" t="s">
        <v>130</v>
      </c>
      <c r="J64" t="s">
        <v>131</v>
      </c>
      <c r="K64" t="s">
        <v>132</v>
      </c>
    </row>
    <row r="65" spans="1:11">
      <c r="A65" t="s">
        <v>144</v>
      </c>
      <c r="B65">
        <f>B14</f>
        <v>10746</v>
      </c>
      <c r="C65">
        <f t="shared" ref="C65:K65" si="1">C14</f>
        <v>0</v>
      </c>
      <c r="D65">
        <f t="shared" si="1"/>
        <v>1293</v>
      </c>
      <c r="E65">
        <f t="shared" si="1"/>
        <v>2645</v>
      </c>
      <c r="F65">
        <f t="shared" si="1"/>
        <v>0</v>
      </c>
      <c r="G65">
        <f t="shared" si="1"/>
        <v>5833</v>
      </c>
      <c r="H65">
        <f t="shared" si="1"/>
        <v>1</v>
      </c>
      <c r="I65">
        <f t="shared" si="1"/>
        <v>928</v>
      </c>
      <c r="J65">
        <f t="shared" si="1"/>
        <v>44</v>
      </c>
      <c r="K65">
        <f t="shared" si="1"/>
        <v>2</v>
      </c>
    </row>
    <row r="66" spans="1:11">
      <c r="A66" t="s">
        <v>146</v>
      </c>
      <c r="B66">
        <f>B16</f>
        <v>10950</v>
      </c>
      <c r="C66">
        <f t="shared" ref="C66:K66" si="2">C16</f>
        <v>92</v>
      </c>
      <c r="D66">
        <f t="shared" si="2"/>
        <v>3571</v>
      </c>
      <c r="E66">
        <f t="shared" si="2"/>
        <v>1027</v>
      </c>
      <c r="F66">
        <f t="shared" si="2"/>
        <v>806</v>
      </c>
      <c r="G66">
        <f t="shared" si="2"/>
        <v>0</v>
      </c>
      <c r="H66">
        <f t="shared" si="2"/>
        <v>1171</v>
      </c>
      <c r="I66">
        <f t="shared" si="2"/>
        <v>3853</v>
      </c>
      <c r="J66">
        <f t="shared" si="2"/>
        <v>429</v>
      </c>
      <c r="K66">
        <f t="shared" si="2"/>
        <v>1</v>
      </c>
    </row>
    <row r="67" spans="1:11">
      <c r="A67" t="s">
        <v>150</v>
      </c>
      <c r="B67">
        <f>B20</f>
        <v>7005</v>
      </c>
      <c r="C67">
        <f t="shared" ref="C67:K67" si="3">C20</f>
        <v>0</v>
      </c>
      <c r="D67">
        <f t="shared" si="3"/>
        <v>613</v>
      </c>
      <c r="E67">
        <f t="shared" si="3"/>
        <v>506</v>
      </c>
      <c r="F67">
        <f t="shared" si="3"/>
        <v>1090</v>
      </c>
      <c r="G67">
        <f t="shared" si="3"/>
        <v>0</v>
      </c>
      <c r="H67">
        <f t="shared" si="3"/>
        <v>947</v>
      </c>
      <c r="I67">
        <f t="shared" si="3"/>
        <v>3245</v>
      </c>
      <c r="J67">
        <f t="shared" si="3"/>
        <v>602</v>
      </c>
      <c r="K67">
        <f t="shared" si="3"/>
        <v>2</v>
      </c>
    </row>
    <row r="68" spans="1:11">
      <c r="A68" t="s">
        <v>158</v>
      </c>
      <c r="B68">
        <f>B28</f>
        <v>9277</v>
      </c>
      <c r="C68">
        <f t="shared" ref="C68:K68" si="4">C28</f>
        <v>985</v>
      </c>
      <c r="D68">
        <f t="shared" si="4"/>
        <v>1885</v>
      </c>
      <c r="E68">
        <f t="shared" si="4"/>
        <v>3043</v>
      </c>
      <c r="F68">
        <f t="shared" si="4"/>
        <v>0</v>
      </c>
      <c r="G68">
        <f t="shared" si="4"/>
        <v>2224</v>
      </c>
      <c r="H68">
        <f t="shared" si="4"/>
        <v>1102</v>
      </c>
      <c r="I68">
        <f t="shared" si="4"/>
        <v>17</v>
      </c>
      <c r="J68">
        <f t="shared" si="4"/>
        <v>21</v>
      </c>
      <c r="K68">
        <f t="shared" si="4"/>
        <v>0</v>
      </c>
    </row>
    <row r="69" spans="1:11">
      <c r="A69" t="s">
        <v>162</v>
      </c>
      <c r="B69">
        <f>B32</f>
        <v>7075</v>
      </c>
      <c r="C69">
        <f t="shared" ref="C69:K69" si="5">C32</f>
        <v>794</v>
      </c>
      <c r="D69">
        <f t="shared" si="5"/>
        <v>2</v>
      </c>
      <c r="E69">
        <f t="shared" si="5"/>
        <v>1441</v>
      </c>
      <c r="F69">
        <f t="shared" si="5"/>
        <v>0</v>
      </c>
      <c r="G69">
        <f t="shared" si="5"/>
        <v>4248</v>
      </c>
      <c r="H69">
        <f t="shared" si="5"/>
        <v>450</v>
      </c>
      <c r="I69">
        <f t="shared" si="5"/>
        <v>95</v>
      </c>
      <c r="J69">
        <f t="shared" si="5"/>
        <v>45</v>
      </c>
      <c r="K69">
        <f t="shared" si="5"/>
        <v>0</v>
      </c>
    </row>
    <row r="70" spans="1:11">
      <c r="A70" t="s">
        <v>165</v>
      </c>
      <c r="B70">
        <f>B35</f>
        <v>8668</v>
      </c>
      <c r="C70">
        <f t="shared" ref="C70:K70" si="6">C35</f>
        <v>0</v>
      </c>
      <c r="D70">
        <f t="shared" si="6"/>
        <v>3027</v>
      </c>
      <c r="E70">
        <f t="shared" si="6"/>
        <v>238</v>
      </c>
      <c r="F70">
        <f t="shared" si="6"/>
        <v>266</v>
      </c>
      <c r="G70">
        <f t="shared" si="6"/>
        <v>266</v>
      </c>
      <c r="H70">
        <f t="shared" si="6"/>
        <v>2962</v>
      </c>
      <c r="I70">
        <f t="shared" si="6"/>
        <v>1909</v>
      </c>
      <c r="J70">
        <f t="shared" si="6"/>
        <v>0</v>
      </c>
      <c r="K70">
        <f t="shared" si="6"/>
        <v>0</v>
      </c>
    </row>
    <row r="71" spans="1:11">
      <c r="A71" t="s">
        <v>171</v>
      </c>
      <c r="B71">
        <f>B41</f>
        <v>11484</v>
      </c>
      <c r="C71">
        <f t="shared" ref="C71:K71" si="7">C41</f>
        <v>0</v>
      </c>
      <c r="D71">
        <f t="shared" si="7"/>
        <v>1636</v>
      </c>
      <c r="E71">
        <f t="shared" si="7"/>
        <v>794</v>
      </c>
      <c r="F71">
        <f t="shared" si="7"/>
        <v>2107</v>
      </c>
      <c r="G71">
        <f t="shared" si="7"/>
        <v>1448</v>
      </c>
      <c r="H71">
        <f t="shared" si="7"/>
        <v>229</v>
      </c>
      <c r="I71">
        <f t="shared" si="7"/>
        <v>4391</v>
      </c>
      <c r="J71">
        <f t="shared" si="7"/>
        <v>13</v>
      </c>
      <c r="K71">
        <f t="shared" si="7"/>
        <v>866</v>
      </c>
    </row>
    <row r="72" spans="1:11">
      <c r="A72" t="s">
        <v>173</v>
      </c>
      <c r="B72">
        <f>B43</f>
        <v>13496</v>
      </c>
      <c r="C72">
        <f t="shared" ref="C72:K72" si="8">C43</f>
        <v>75</v>
      </c>
      <c r="D72">
        <f t="shared" si="8"/>
        <v>4558</v>
      </c>
      <c r="E72">
        <f t="shared" si="8"/>
        <v>168</v>
      </c>
      <c r="F72">
        <f t="shared" si="8"/>
        <v>356</v>
      </c>
      <c r="G72">
        <f t="shared" si="8"/>
        <v>407</v>
      </c>
      <c r="H72">
        <f t="shared" si="8"/>
        <v>3563</v>
      </c>
      <c r="I72">
        <f t="shared" si="8"/>
        <v>4309</v>
      </c>
      <c r="J72">
        <f t="shared" si="8"/>
        <v>0</v>
      </c>
      <c r="K72">
        <f t="shared" si="8"/>
        <v>60</v>
      </c>
    </row>
    <row r="73" spans="1:11" ht="14.4">
      <c r="A73" s="40" t="s">
        <v>177</v>
      </c>
      <c r="B73" s="40">
        <f>SUM(B65:B72)</f>
        <v>78701</v>
      </c>
      <c r="C73" s="40">
        <f t="shared" ref="C73:K73" si="9">SUM(C65:C72)</f>
        <v>1946</v>
      </c>
      <c r="D73" s="40">
        <f t="shared" si="9"/>
        <v>16585</v>
      </c>
      <c r="E73" s="40">
        <f t="shared" si="9"/>
        <v>9862</v>
      </c>
      <c r="F73" s="40">
        <f t="shared" si="9"/>
        <v>4625</v>
      </c>
      <c r="G73" s="40">
        <f t="shared" si="9"/>
        <v>14426</v>
      </c>
      <c r="H73" s="40">
        <f t="shared" si="9"/>
        <v>10425</v>
      </c>
      <c r="I73" s="40">
        <f t="shared" si="9"/>
        <v>18747</v>
      </c>
      <c r="J73" s="40">
        <f t="shared" si="9"/>
        <v>1154</v>
      </c>
      <c r="K73" s="40">
        <f t="shared" si="9"/>
        <v>931</v>
      </c>
    </row>
    <row r="77" spans="1:11">
      <c r="A77" t="s">
        <v>178</v>
      </c>
    </row>
    <row r="78" spans="1:11">
      <c r="B78" t="s">
        <v>123</v>
      </c>
      <c r="C78" t="s">
        <v>124</v>
      </c>
      <c r="D78" t="s">
        <v>125</v>
      </c>
      <c r="E78" t="s">
        <v>126</v>
      </c>
      <c r="F78" t="s">
        <v>127</v>
      </c>
      <c r="G78" t="s">
        <v>128</v>
      </c>
      <c r="H78" t="s">
        <v>129</v>
      </c>
      <c r="I78" t="s">
        <v>130</v>
      </c>
      <c r="J78" t="s">
        <v>131</v>
      </c>
      <c r="K78" t="s">
        <v>132</v>
      </c>
    </row>
    <row r="79" spans="1:11">
      <c r="A79" t="s">
        <v>144</v>
      </c>
      <c r="B79" s="37">
        <f>B65/$B$73</f>
        <v>0.13654210238751732</v>
      </c>
      <c r="C79" s="37">
        <f t="shared" ref="C79:K79" si="10">C65/$B$73</f>
        <v>0</v>
      </c>
      <c r="D79" s="37">
        <f t="shared" si="10"/>
        <v>1.6429270276108309E-2</v>
      </c>
      <c r="E79" s="37">
        <f t="shared" si="10"/>
        <v>3.3608213364506166E-2</v>
      </c>
      <c r="F79" s="37">
        <f t="shared" si="10"/>
        <v>0</v>
      </c>
      <c r="G79" s="37">
        <f t="shared" si="10"/>
        <v>7.4115957865846682E-2</v>
      </c>
      <c r="H79" s="37">
        <f t="shared" si="10"/>
        <v>1.270631885236528E-5</v>
      </c>
      <c r="I79" s="37">
        <f t="shared" si="10"/>
        <v>1.1791463894994981E-2</v>
      </c>
      <c r="J79" s="37">
        <f t="shared" si="10"/>
        <v>5.5907802950407232E-4</v>
      </c>
      <c r="K79" s="37">
        <f t="shared" si="10"/>
        <v>2.5412637704730561E-5</v>
      </c>
    </row>
    <row r="80" spans="1:11">
      <c r="A80" t="s">
        <v>146</v>
      </c>
      <c r="B80" s="37">
        <f t="shared" ref="B80:K86" si="11">B66/$B$73</f>
        <v>0.13913419143339983</v>
      </c>
      <c r="C80" s="37">
        <f t="shared" si="11"/>
        <v>1.1689813344176059E-3</v>
      </c>
      <c r="D80" s="37">
        <f t="shared" si="11"/>
        <v>4.5374264621796417E-2</v>
      </c>
      <c r="E80" s="37">
        <f t="shared" si="11"/>
        <v>1.3049389461379143E-2</v>
      </c>
      <c r="F80" s="37">
        <f t="shared" si="11"/>
        <v>1.0241292995006417E-2</v>
      </c>
      <c r="G80" s="37">
        <f t="shared" si="11"/>
        <v>0</v>
      </c>
      <c r="H80" s="37">
        <f t="shared" si="11"/>
        <v>1.4879099376119745E-2</v>
      </c>
      <c r="I80" s="37">
        <f t="shared" si="11"/>
        <v>4.8957446538163425E-2</v>
      </c>
      <c r="J80" s="37">
        <f t="shared" si="11"/>
        <v>5.4510107876647061E-3</v>
      </c>
      <c r="K80" s="37">
        <f t="shared" si="11"/>
        <v>1.270631885236528E-5</v>
      </c>
    </row>
    <row r="81" spans="1:11">
      <c r="A81" t="s">
        <v>150</v>
      </c>
      <c r="B81" s="37">
        <f t="shared" si="11"/>
        <v>8.9007763560818798E-2</v>
      </c>
      <c r="C81" s="37">
        <f t="shared" si="11"/>
        <v>0</v>
      </c>
      <c r="D81" s="37">
        <f t="shared" si="11"/>
        <v>7.7889734564999171E-3</v>
      </c>
      <c r="E81" s="37">
        <f t="shared" si="11"/>
        <v>6.4293973392968327E-3</v>
      </c>
      <c r="F81" s="37">
        <f t="shared" si="11"/>
        <v>1.3849887549078156E-2</v>
      </c>
      <c r="G81" s="37">
        <f t="shared" si="11"/>
        <v>0</v>
      </c>
      <c r="H81" s="37">
        <f t="shared" si="11"/>
        <v>1.2032883953189921E-2</v>
      </c>
      <c r="I81" s="37">
        <f t="shared" si="11"/>
        <v>4.1232004675925339E-2</v>
      </c>
      <c r="J81" s="37">
        <f t="shared" si="11"/>
        <v>7.6492039491238995E-3</v>
      </c>
      <c r="K81" s="37">
        <f t="shared" si="11"/>
        <v>2.5412637704730561E-5</v>
      </c>
    </row>
    <row r="82" spans="1:11">
      <c r="A82" t="s">
        <v>158</v>
      </c>
      <c r="B82" s="37">
        <f t="shared" si="11"/>
        <v>0.11787651999339271</v>
      </c>
      <c r="C82" s="37">
        <f t="shared" si="11"/>
        <v>1.2515724069579803E-2</v>
      </c>
      <c r="D82" s="37">
        <f t="shared" si="11"/>
        <v>2.3951411036708555E-2</v>
      </c>
      <c r="E82" s="37">
        <f t="shared" si="11"/>
        <v>3.8665328267747552E-2</v>
      </c>
      <c r="F82" s="37">
        <f t="shared" si="11"/>
        <v>0</v>
      </c>
      <c r="G82" s="37">
        <f t="shared" si="11"/>
        <v>2.8258853127660386E-2</v>
      </c>
      <c r="H82" s="37">
        <f t="shared" si="11"/>
        <v>1.400236337530654E-2</v>
      </c>
      <c r="I82" s="37">
        <f t="shared" si="11"/>
        <v>2.1600742049020978E-4</v>
      </c>
      <c r="J82" s="37">
        <f t="shared" si="11"/>
        <v>2.6683269589967089E-4</v>
      </c>
      <c r="K82" s="37">
        <f t="shared" si="11"/>
        <v>0</v>
      </c>
    </row>
    <row r="83" spans="1:11">
      <c r="A83" t="s">
        <v>162</v>
      </c>
      <c r="B83" s="37">
        <f t="shared" si="11"/>
        <v>8.989720588048436E-2</v>
      </c>
      <c r="C83" s="37">
        <f t="shared" si="11"/>
        <v>1.0088817168778033E-2</v>
      </c>
      <c r="D83" s="37">
        <f t="shared" si="11"/>
        <v>2.5412637704730561E-5</v>
      </c>
      <c r="E83" s="37">
        <f t="shared" si="11"/>
        <v>1.8309805466258371E-2</v>
      </c>
      <c r="F83" s="37">
        <f t="shared" si="11"/>
        <v>0</v>
      </c>
      <c r="G83" s="37">
        <f t="shared" si="11"/>
        <v>5.3976442484847717E-2</v>
      </c>
      <c r="H83" s="37">
        <f t="shared" si="11"/>
        <v>5.7178434835643763E-3</v>
      </c>
      <c r="I83" s="37">
        <f t="shared" si="11"/>
        <v>1.2071002909747018E-3</v>
      </c>
      <c r="J83" s="37">
        <f t="shared" si="11"/>
        <v>5.7178434835643765E-4</v>
      </c>
      <c r="K83" s="37">
        <f t="shared" si="11"/>
        <v>0</v>
      </c>
    </row>
    <row r="84" spans="1:11">
      <c r="A84" t="s">
        <v>165</v>
      </c>
      <c r="B84" s="37">
        <f t="shared" si="11"/>
        <v>0.11013837181230225</v>
      </c>
      <c r="C84" s="37">
        <f t="shared" si="11"/>
        <v>0</v>
      </c>
      <c r="D84" s="37">
        <f t="shared" si="11"/>
        <v>3.8462027166109705E-2</v>
      </c>
      <c r="E84" s="37">
        <f t="shared" si="11"/>
        <v>3.024103886862937E-3</v>
      </c>
      <c r="F84" s="37">
        <f t="shared" si="11"/>
        <v>3.3798808147291648E-3</v>
      </c>
      <c r="G84" s="37">
        <f t="shared" si="11"/>
        <v>3.3798808147291648E-3</v>
      </c>
      <c r="H84" s="37">
        <f t="shared" si="11"/>
        <v>3.7636116440705962E-2</v>
      </c>
      <c r="I84" s="37">
        <f t="shared" si="11"/>
        <v>2.4256362689165322E-2</v>
      </c>
      <c r="J84" s="37">
        <f t="shared" si="11"/>
        <v>0</v>
      </c>
      <c r="K84" s="37">
        <f t="shared" si="11"/>
        <v>0</v>
      </c>
    </row>
    <row r="85" spans="1:11">
      <c r="A85" t="s">
        <v>171</v>
      </c>
      <c r="B85" s="37">
        <f t="shared" si="11"/>
        <v>0.14591936570056288</v>
      </c>
      <c r="C85" s="37">
        <f t="shared" si="11"/>
        <v>0</v>
      </c>
      <c r="D85" s="37">
        <f t="shared" si="11"/>
        <v>2.07875376424696E-2</v>
      </c>
      <c r="E85" s="37">
        <f t="shared" si="11"/>
        <v>1.0088817168778033E-2</v>
      </c>
      <c r="F85" s="37">
        <f t="shared" si="11"/>
        <v>2.6772213821933649E-2</v>
      </c>
      <c r="G85" s="37">
        <f t="shared" si="11"/>
        <v>1.8398749698224928E-2</v>
      </c>
      <c r="H85" s="37">
        <f t="shared" si="11"/>
        <v>2.9097470171916494E-3</v>
      </c>
      <c r="I85" s="37">
        <f t="shared" si="11"/>
        <v>5.5793446080735949E-2</v>
      </c>
      <c r="J85" s="37">
        <f t="shared" si="11"/>
        <v>1.6518214508074865E-4</v>
      </c>
      <c r="K85" s="37">
        <f t="shared" si="11"/>
        <v>1.1003672126148334E-2</v>
      </c>
    </row>
    <row r="86" spans="1:11">
      <c r="A86" t="s">
        <v>173</v>
      </c>
      <c r="B86" s="37">
        <f t="shared" si="11"/>
        <v>0.17148447923152182</v>
      </c>
      <c r="C86" s="37">
        <f t="shared" si="11"/>
        <v>9.5297391392739608E-4</v>
      </c>
      <c r="D86" s="37">
        <f t="shared" si="11"/>
        <v>5.7915401329080955E-2</v>
      </c>
      <c r="E86" s="37">
        <f t="shared" si="11"/>
        <v>2.1346615671973671E-3</v>
      </c>
      <c r="F86" s="37">
        <f t="shared" si="11"/>
        <v>4.5234495114420403E-3</v>
      </c>
      <c r="G86" s="37">
        <f t="shared" si="11"/>
        <v>5.1714717729126692E-3</v>
      </c>
      <c r="H86" s="37">
        <f t="shared" si="11"/>
        <v>4.5272614070977497E-2</v>
      </c>
      <c r="I86" s="37">
        <f t="shared" si="11"/>
        <v>5.4751527934841997E-2</v>
      </c>
      <c r="J86" s="37">
        <f t="shared" si="11"/>
        <v>0</v>
      </c>
      <c r="K86" s="37">
        <f t="shared" si="11"/>
        <v>7.6237913114191687E-4</v>
      </c>
    </row>
    <row r="87" spans="1:11" ht="14.4">
      <c r="A87" s="40" t="s">
        <v>177</v>
      </c>
      <c r="B87" s="41">
        <f>SUM(B79:B86)</f>
        <v>1</v>
      </c>
      <c r="C87" s="42">
        <f t="shared" ref="C87:K87" si="12">SUM(C79:C86)</f>
        <v>2.4726496486702838E-2</v>
      </c>
      <c r="D87" s="42">
        <f t="shared" si="12"/>
        <v>0.21073429816647821</v>
      </c>
      <c r="E87" s="42">
        <f t="shared" si="12"/>
        <v>0.12530971652202638</v>
      </c>
      <c r="F87" s="42">
        <f t="shared" si="12"/>
        <v>5.8766724692189423E-2</v>
      </c>
      <c r="G87" s="42">
        <f t="shared" si="12"/>
        <v>0.18330135576422152</v>
      </c>
      <c r="H87" s="42">
        <f t="shared" si="12"/>
        <v>0.13246337403590805</v>
      </c>
      <c r="I87" s="42">
        <f t="shared" si="12"/>
        <v>0.23820535952529193</v>
      </c>
      <c r="J87" s="42">
        <f t="shared" si="12"/>
        <v>1.4663091955629537E-2</v>
      </c>
      <c r="K87" s="42">
        <f t="shared" si="12"/>
        <v>1.1829582851552077E-2</v>
      </c>
    </row>
    <row r="90" spans="1:11" ht="18">
      <c r="A90" s="43" t="s">
        <v>64</v>
      </c>
      <c r="B90" s="43">
        <f>SUMPRODUCT(C79:K86,C52:K59)</f>
        <v>21831.587082756254</v>
      </c>
    </row>
    <row r="91" spans="1:11" ht="18">
      <c r="A91" s="43" t="s">
        <v>179</v>
      </c>
      <c r="B91" s="43">
        <f>B90/1.07597</f>
        <v>20290.14478354996</v>
      </c>
    </row>
    <row r="94" spans="1:11">
      <c r="A94" s="44" t="s">
        <v>180</v>
      </c>
    </row>
    <row r="95" spans="1:11">
      <c r="D95" s="37"/>
      <c r="E95" s="37"/>
      <c r="F95" s="37"/>
      <c r="G95" s="37"/>
      <c r="H95" s="37"/>
      <c r="I95" s="37"/>
      <c r="J95" s="37"/>
      <c r="K95" s="37"/>
    </row>
    <row r="96" spans="1:11"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141" spans="1:15">
      <c r="A141" s="47" t="s">
        <v>444</v>
      </c>
    </row>
    <row r="142" spans="1:15" ht="14.4">
      <c r="A142" s="103" t="s">
        <v>411</v>
      </c>
      <c r="B142" s="103" t="s">
        <v>412</v>
      </c>
      <c r="C142" s="103" t="s">
        <v>413</v>
      </c>
      <c r="D142" s="103" t="s">
        <v>414</v>
      </c>
      <c r="E142" s="103" t="s">
        <v>425</v>
      </c>
      <c r="F142" s="103" t="s">
        <v>415</v>
      </c>
      <c r="G142" s="103" t="s">
        <v>416</v>
      </c>
      <c r="H142" s="103" t="s">
        <v>417</v>
      </c>
      <c r="I142" s="103" t="s">
        <v>418</v>
      </c>
      <c r="J142" s="103" t="s">
        <v>419</v>
      </c>
      <c r="K142" s="103" t="s">
        <v>420</v>
      </c>
      <c r="L142" s="103" t="s">
        <v>421</v>
      </c>
      <c r="M142" s="103" t="s">
        <v>422</v>
      </c>
      <c r="N142" s="103" t="s">
        <v>423</v>
      </c>
      <c r="O142" s="103" t="s">
        <v>424</v>
      </c>
    </row>
    <row r="143" spans="1:15" ht="14.4">
      <c r="A143" s="103">
        <v>0</v>
      </c>
      <c r="B143" s="103">
        <v>1</v>
      </c>
      <c r="C143" s="103" t="s">
        <v>426</v>
      </c>
      <c r="D143" s="103" t="s">
        <v>427</v>
      </c>
      <c r="E143" s="104">
        <v>28980000</v>
      </c>
      <c r="F143" s="103">
        <v>56</v>
      </c>
      <c r="G143" s="103">
        <v>30</v>
      </c>
      <c r="H143" s="103">
        <v>69</v>
      </c>
      <c r="I143" s="103">
        <v>1250000</v>
      </c>
      <c r="J143" s="103">
        <v>581.5</v>
      </c>
      <c r="K143" s="103">
        <v>120.5</v>
      </c>
      <c r="L143" s="103">
        <v>153</v>
      </c>
      <c r="M143" s="103">
        <v>304.10000000000002</v>
      </c>
      <c r="N143" s="103">
        <v>141.49</v>
      </c>
      <c r="O143" s="103">
        <v>0.26497999999999999</v>
      </c>
    </row>
    <row r="144" spans="1:15" ht="14.4">
      <c r="A144" s="103">
        <v>1</v>
      </c>
      <c r="B144" s="103">
        <v>2</v>
      </c>
      <c r="C144" s="103" t="s">
        <v>428</v>
      </c>
      <c r="D144" s="103" t="s">
        <v>429</v>
      </c>
      <c r="E144" s="104">
        <v>32340000</v>
      </c>
      <c r="F144" s="103">
        <v>93</v>
      </c>
      <c r="G144" s="103">
        <v>70</v>
      </c>
      <c r="H144" s="103">
        <v>109</v>
      </c>
      <c r="I144" s="103">
        <v>1400000</v>
      </c>
      <c r="J144" s="103">
        <v>581.5</v>
      </c>
      <c r="K144" s="103">
        <v>123</v>
      </c>
      <c r="L144" s="103">
        <v>111</v>
      </c>
      <c r="M144" s="103">
        <v>535.79999999999995</v>
      </c>
      <c r="N144" s="103">
        <v>206.91</v>
      </c>
      <c r="O144" s="103">
        <v>0.28517999999999999</v>
      </c>
    </row>
    <row r="145" spans="1:15" ht="14.4">
      <c r="A145" s="105">
        <v>2</v>
      </c>
      <c r="B145" s="105">
        <v>3</v>
      </c>
      <c r="C145" s="105" t="s">
        <v>430</v>
      </c>
      <c r="D145" s="105" t="s">
        <v>431</v>
      </c>
      <c r="E145" s="106">
        <v>63300000</v>
      </c>
      <c r="F145" s="105">
        <v>132</v>
      </c>
      <c r="G145" s="105">
        <v>110</v>
      </c>
      <c r="H145" s="105">
        <v>129</v>
      </c>
      <c r="I145" s="105">
        <v>2130000</v>
      </c>
      <c r="J145" s="105">
        <v>620.1</v>
      </c>
      <c r="K145" s="105">
        <v>247</v>
      </c>
      <c r="L145" s="105">
        <v>171</v>
      </c>
      <c r="M145" s="105">
        <v>616.9</v>
      </c>
      <c r="N145" s="105">
        <v>268.57</v>
      </c>
      <c r="O145" s="105">
        <v>0.33089000000000002</v>
      </c>
    </row>
    <row r="146" spans="1:15" ht="14.4">
      <c r="A146" s="103">
        <v>3</v>
      </c>
      <c r="B146" s="103">
        <v>4</v>
      </c>
      <c r="C146" s="103" t="s">
        <v>432</v>
      </c>
      <c r="D146" s="103" t="s">
        <v>433</v>
      </c>
      <c r="E146" s="104">
        <v>69300000</v>
      </c>
      <c r="F146" s="103">
        <v>158</v>
      </c>
      <c r="G146" s="103">
        <v>130</v>
      </c>
      <c r="H146" s="103">
        <v>159</v>
      </c>
      <c r="I146" s="103">
        <v>2830000</v>
      </c>
      <c r="J146" s="103">
        <v>644.5</v>
      </c>
      <c r="K146" s="103">
        <v>260</v>
      </c>
      <c r="L146" s="103">
        <v>180</v>
      </c>
      <c r="M146" s="103">
        <v>610.6</v>
      </c>
      <c r="N146" s="103">
        <v>319.35000000000002</v>
      </c>
      <c r="O146" s="103">
        <v>0.44319999999999998</v>
      </c>
    </row>
    <row r="147" spans="1:15" ht="14.4">
      <c r="A147" s="105">
        <v>4</v>
      </c>
      <c r="B147" s="105">
        <v>5</v>
      </c>
      <c r="C147" s="105" t="s">
        <v>434</v>
      </c>
      <c r="D147" s="105" t="s">
        <v>435</v>
      </c>
      <c r="E147" s="106">
        <v>81410000</v>
      </c>
      <c r="F147" s="105">
        <v>186</v>
      </c>
      <c r="G147" s="105">
        <v>160</v>
      </c>
      <c r="H147" s="105">
        <v>199</v>
      </c>
      <c r="I147" s="105">
        <v>2810000</v>
      </c>
      <c r="J147" s="105">
        <v>737.7</v>
      </c>
      <c r="K147" s="105">
        <v>130</v>
      </c>
      <c r="L147" s="105">
        <v>254</v>
      </c>
      <c r="M147" s="105">
        <v>709.8</v>
      </c>
      <c r="N147" s="105">
        <v>325.2</v>
      </c>
      <c r="O147" s="105">
        <v>0.38018999999999997</v>
      </c>
    </row>
    <row r="148" spans="1:15" ht="14.4">
      <c r="A148" s="103">
        <v>5</v>
      </c>
      <c r="B148" s="103">
        <v>6</v>
      </c>
      <c r="C148" s="103" t="s">
        <v>436</v>
      </c>
      <c r="D148" s="103" t="s">
        <v>437</v>
      </c>
      <c r="E148" s="104">
        <v>157220000</v>
      </c>
      <c r="F148" s="103">
        <v>248</v>
      </c>
      <c r="G148" s="103">
        <v>200</v>
      </c>
      <c r="H148" s="103">
        <v>249</v>
      </c>
      <c r="I148" s="103">
        <v>8760000</v>
      </c>
      <c r="J148" s="103">
        <v>470.9</v>
      </c>
      <c r="K148" s="103">
        <v>187</v>
      </c>
      <c r="L148" s="103">
        <v>377</v>
      </c>
      <c r="M148" s="103">
        <v>1265.7</v>
      </c>
      <c r="N148" s="103">
        <v>465.02</v>
      </c>
      <c r="O148" s="103">
        <v>0.47917999999999999</v>
      </c>
    </row>
    <row r="149" spans="1:15" ht="14.4">
      <c r="A149" s="103">
        <v>6</v>
      </c>
      <c r="B149" s="103">
        <v>7</v>
      </c>
      <c r="C149" s="103" t="s">
        <v>438</v>
      </c>
      <c r="D149" s="103" t="s">
        <v>439</v>
      </c>
      <c r="E149" s="104">
        <v>181300000</v>
      </c>
      <c r="F149" s="103">
        <v>263</v>
      </c>
      <c r="G149" s="103">
        <v>250</v>
      </c>
      <c r="H149" s="103">
        <v>299</v>
      </c>
      <c r="I149" s="103">
        <v>6020000</v>
      </c>
      <c r="J149" s="103">
        <v>869</v>
      </c>
      <c r="K149" s="103">
        <v>204</v>
      </c>
      <c r="L149" s="103">
        <v>612</v>
      </c>
      <c r="M149" s="103">
        <v>1178.2</v>
      </c>
      <c r="N149" s="103">
        <v>612.37</v>
      </c>
      <c r="O149" s="103">
        <v>0.46943000000000001</v>
      </c>
    </row>
    <row r="150" spans="1:15" ht="14.4">
      <c r="A150" s="105">
        <v>7</v>
      </c>
      <c r="B150" s="105">
        <v>8</v>
      </c>
      <c r="C150" s="105" t="s">
        <v>440</v>
      </c>
      <c r="D150" s="105" t="s">
        <v>441</v>
      </c>
      <c r="E150" s="106">
        <v>224140000</v>
      </c>
      <c r="F150" s="105">
        <v>326</v>
      </c>
      <c r="G150" s="105">
        <v>300</v>
      </c>
      <c r="H150" s="105">
        <v>399</v>
      </c>
      <c r="I150" s="105">
        <v>9960000</v>
      </c>
      <c r="J150" s="105">
        <v>1034.2</v>
      </c>
      <c r="K150" s="105">
        <v>212</v>
      </c>
      <c r="L150" s="105">
        <v>913</v>
      </c>
      <c r="M150" s="105">
        <v>1731</v>
      </c>
      <c r="N150" s="105">
        <v>649.70000000000005</v>
      </c>
      <c r="O150" s="105">
        <v>0.50285000000000002</v>
      </c>
    </row>
    <row r="151" spans="1:15" ht="14.4">
      <c r="A151" s="103">
        <v>8</v>
      </c>
      <c r="B151" s="103">
        <v>9</v>
      </c>
      <c r="C151" s="103" t="s">
        <v>442</v>
      </c>
      <c r="D151" s="103" t="s">
        <v>443</v>
      </c>
      <c r="E151" s="104">
        <v>305830000</v>
      </c>
      <c r="F151" s="103">
        <v>414</v>
      </c>
      <c r="G151" s="103">
        <v>400</v>
      </c>
      <c r="H151" s="103">
        <v>999</v>
      </c>
      <c r="I151" s="103">
        <v>14760000</v>
      </c>
      <c r="J151" s="103">
        <v>916</v>
      </c>
      <c r="K151" s="103">
        <v>308</v>
      </c>
      <c r="L151" s="103">
        <v>972</v>
      </c>
      <c r="M151" s="103">
        <v>1256</v>
      </c>
      <c r="N151" s="103">
        <v>865.26</v>
      </c>
      <c r="O151" s="103">
        <v>0.53568000000000005</v>
      </c>
    </row>
    <row r="156" spans="1:15" ht="14.4">
      <c r="A156" s="109" t="s">
        <v>471</v>
      </c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</row>
    <row r="157" spans="1:15" ht="14.4">
      <c r="A157" s="110"/>
      <c r="B157" s="112">
        <v>2013</v>
      </c>
      <c r="C157" s="112">
        <v>2014</v>
      </c>
      <c r="D157" s="112">
        <v>2015</v>
      </c>
      <c r="E157" s="112">
        <v>2016</v>
      </c>
      <c r="F157" s="112">
        <v>2017</v>
      </c>
      <c r="G157" s="112">
        <v>2018</v>
      </c>
      <c r="H157" s="112">
        <v>2019</v>
      </c>
      <c r="I157" s="112">
        <v>2020</v>
      </c>
      <c r="J157" s="112">
        <v>2021</v>
      </c>
      <c r="K157" s="112">
        <v>2022</v>
      </c>
      <c r="L157" s="114">
        <v>2023</v>
      </c>
    </row>
    <row r="158" spans="1:15" ht="14.4">
      <c r="A158" s="109" t="s">
        <v>472</v>
      </c>
      <c r="B158" s="113">
        <v>94.797687861271669</v>
      </c>
      <c r="C158" s="113">
        <v>95.706521739130451</v>
      </c>
      <c r="D158" s="113">
        <v>104.96415770609319</v>
      </c>
      <c r="E158" s="113">
        <v>106.72203947368422</v>
      </c>
      <c r="F158" s="113">
        <v>110.39049235993208</v>
      </c>
      <c r="G158" s="113">
        <v>111.03025210084034</v>
      </c>
      <c r="H158" s="113">
        <v>112.03839732888147</v>
      </c>
      <c r="I158" s="113">
        <v>76.20289855072464</v>
      </c>
      <c r="J158" s="113">
        <v>84.853658536585357</v>
      </c>
      <c r="K158" s="113">
        <v>115.43832599118944</v>
      </c>
      <c r="L158" s="115">
        <v>117.3485401459854</v>
      </c>
    </row>
    <row r="159" spans="1:15" ht="14.4">
      <c r="A159" s="109" t="s">
        <v>473</v>
      </c>
      <c r="B159" s="113">
        <v>138.40792540792543</v>
      </c>
      <c r="C159" s="113">
        <v>139.75784753363229</v>
      </c>
      <c r="D159" s="113">
        <v>145.77479338842974</v>
      </c>
      <c r="E159" s="113">
        <v>149.39885496183206</v>
      </c>
      <c r="F159" s="113">
        <v>148.6929982046679</v>
      </c>
      <c r="G159" s="113">
        <v>149.10588235294119</v>
      </c>
      <c r="H159" s="113">
        <v>148.55102040816323</v>
      </c>
      <c r="I159" s="113">
        <v>91.681415929203538</v>
      </c>
      <c r="J159" s="113">
        <v>101.80898876404493</v>
      </c>
      <c r="K159" s="113">
        <v>140.7924836601307</v>
      </c>
      <c r="L159" s="115">
        <v>149.65088757396452</v>
      </c>
    </row>
    <row r="160" spans="1:15" ht="14.4">
      <c r="A160" s="111" t="s">
        <v>474</v>
      </c>
      <c r="B160" s="112">
        <v>211.20000000000002</v>
      </c>
      <c r="C160" s="112">
        <v>200.97590361445782</v>
      </c>
      <c r="D160" s="112">
        <v>201.24468085106383</v>
      </c>
      <c r="E160" s="112">
        <v>205.98989898989899</v>
      </c>
      <c r="F160" s="112">
        <v>201.82905982905982</v>
      </c>
      <c r="G160" s="112">
        <v>203.40000000000003</v>
      </c>
      <c r="H160" s="112">
        <v>220.2644628099174</v>
      </c>
      <c r="I160" s="112">
        <v>118.08333333333334</v>
      </c>
      <c r="J160" s="112">
        <v>118.02941176470587</v>
      </c>
      <c r="K160" s="112">
        <v>205.70093457943926</v>
      </c>
      <c r="L160" s="114">
        <v>220.27433628318585</v>
      </c>
    </row>
    <row r="165" spans="1:7" ht="14.4">
      <c r="A165" s="117" t="s">
        <v>475</v>
      </c>
      <c r="B165" s="116"/>
      <c r="C165" s="116"/>
      <c r="D165" s="116"/>
      <c r="E165" s="116"/>
      <c r="F165" s="116"/>
      <c r="G165" s="116"/>
    </row>
    <row r="166" spans="1:7" ht="14.4">
      <c r="A166" s="118"/>
      <c r="B166" s="121" t="s">
        <v>476</v>
      </c>
      <c r="C166" s="121" t="s">
        <v>164</v>
      </c>
      <c r="D166" s="121" t="s">
        <v>477</v>
      </c>
      <c r="E166" s="121" t="s">
        <v>478</v>
      </c>
      <c r="F166" s="121" t="s">
        <v>479</v>
      </c>
      <c r="G166" s="121" t="s">
        <v>60</v>
      </c>
    </row>
    <row r="167" spans="1:7" ht="14.4">
      <c r="A167" s="117" t="s">
        <v>472</v>
      </c>
      <c r="B167" s="122">
        <v>0.34978252245926555</v>
      </c>
      <c r="C167" s="123">
        <v>159</v>
      </c>
      <c r="D167" s="123">
        <v>0.8</v>
      </c>
      <c r="E167" s="124">
        <v>2.7498625979502012</v>
      </c>
      <c r="F167" s="122">
        <v>2.8589192878167791</v>
      </c>
      <c r="G167" s="125">
        <v>8.438181471299</v>
      </c>
    </row>
    <row r="168" spans="1:7" ht="14.4">
      <c r="A168" s="117" t="s">
        <v>473</v>
      </c>
      <c r="B168" s="122">
        <v>0.75598158079905786</v>
      </c>
      <c r="C168" s="123">
        <v>199</v>
      </c>
      <c r="D168" s="123">
        <v>0.8</v>
      </c>
      <c r="E168" s="124">
        <v>4.7486280200945847</v>
      </c>
      <c r="F168" s="122">
        <v>1.322783551079405</v>
      </c>
      <c r="G168" s="125">
        <v>17.561905391884046</v>
      </c>
    </row>
    <row r="169" spans="1:7" ht="14.4">
      <c r="A169" s="119" t="s">
        <v>474</v>
      </c>
      <c r="B169" s="126">
        <v>0.69956504491853111</v>
      </c>
      <c r="C169" s="127">
        <v>299</v>
      </c>
      <c r="D169" s="127">
        <v>0.8</v>
      </c>
      <c r="E169" s="120">
        <v>2.9246030305958657</v>
      </c>
      <c r="F169" s="126">
        <v>1.4294596439083895</v>
      </c>
      <c r="G169" s="121">
        <v>20.201770089364334</v>
      </c>
    </row>
    <row r="173" spans="1:7">
      <c r="A173" s="107" t="s">
        <v>480</v>
      </c>
    </row>
    <row r="174" spans="1:7">
      <c r="A174" s="107" t="s">
        <v>481</v>
      </c>
    </row>
    <row r="175" spans="1:7">
      <c r="A175" s="107" t="s">
        <v>482</v>
      </c>
    </row>
    <row r="176" spans="1:7">
      <c r="A176" s="107"/>
    </row>
    <row r="177" spans="1:33">
      <c r="A177" s="107" t="s">
        <v>483</v>
      </c>
      <c r="B177" s="129">
        <f>3500*500*1.6</f>
        <v>2800000</v>
      </c>
    </row>
    <row r="182" spans="1:33" ht="14.4">
      <c r="A182" s="131" t="s">
        <v>486</v>
      </c>
      <c r="B182" s="130"/>
      <c r="C182" s="130"/>
      <c r="D182" s="130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spans="1:33" ht="14.4">
      <c r="A183" s="134"/>
      <c r="B183" s="134">
        <v>2020</v>
      </c>
      <c r="C183" s="134">
        <v>2021</v>
      </c>
      <c r="D183" s="134">
        <v>2022</v>
      </c>
      <c r="E183" s="134">
        <v>2023</v>
      </c>
      <c r="F183" s="134">
        <v>2024</v>
      </c>
      <c r="G183" s="134">
        <v>2025</v>
      </c>
      <c r="H183" s="134">
        <v>2026</v>
      </c>
      <c r="I183" s="134">
        <v>2027</v>
      </c>
      <c r="J183" s="134">
        <v>2028</v>
      </c>
      <c r="K183" s="134">
        <v>2029</v>
      </c>
      <c r="L183" s="134">
        <v>2030</v>
      </c>
      <c r="M183" s="134">
        <v>2031</v>
      </c>
      <c r="N183" s="134">
        <v>2032</v>
      </c>
      <c r="O183" s="134">
        <v>2033</v>
      </c>
      <c r="P183" s="134">
        <v>2034</v>
      </c>
      <c r="Q183" s="134">
        <v>2035</v>
      </c>
      <c r="R183" s="134">
        <v>2036</v>
      </c>
      <c r="S183" s="134">
        <v>2037</v>
      </c>
      <c r="T183" s="134">
        <v>2038</v>
      </c>
      <c r="U183" s="134">
        <v>2039</v>
      </c>
      <c r="V183" s="134">
        <v>2040</v>
      </c>
      <c r="W183" s="134">
        <v>2041</v>
      </c>
      <c r="X183" s="134">
        <v>2042</v>
      </c>
      <c r="Y183" s="134">
        <v>2043</v>
      </c>
      <c r="Z183" s="134">
        <v>2044</v>
      </c>
      <c r="AA183" s="134">
        <v>2045</v>
      </c>
      <c r="AB183" s="134">
        <v>2046</v>
      </c>
      <c r="AC183" s="134">
        <v>2047</v>
      </c>
      <c r="AD183" s="134">
        <v>2048</v>
      </c>
      <c r="AE183" s="134">
        <v>2049</v>
      </c>
      <c r="AF183" s="134">
        <v>2050</v>
      </c>
    </row>
    <row r="184" spans="1:33" ht="14.4">
      <c r="A184" s="136" t="s">
        <v>487</v>
      </c>
      <c r="B184" s="132">
        <v>0</v>
      </c>
      <c r="C184" s="132">
        <v>0</v>
      </c>
      <c r="D184" s="132">
        <v>0</v>
      </c>
      <c r="E184" s="132">
        <v>0</v>
      </c>
      <c r="F184" s="132">
        <v>0</v>
      </c>
      <c r="G184" s="135">
        <f>G186-G185</f>
        <v>0.02</v>
      </c>
      <c r="H184" s="135">
        <f t="shared" ref="H184:AF184" si="13">H186-H185</f>
        <v>4.7200000000000006E-2</v>
      </c>
      <c r="I184" s="135">
        <f t="shared" si="13"/>
        <v>7.4400000000000008E-2</v>
      </c>
      <c r="J184" s="135">
        <f t="shared" si="13"/>
        <v>0.10160000000000001</v>
      </c>
      <c r="K184" s="135">
        <f t="shared" si="13"/>
        <v>0.12880000000000003</v>
      </c>
      <c r="L184" s="135">
        <f t="shared" si="13"/>
        <v>0.14400000000000002</v>
      </c>
      <c r="M184" s="135">
        <f t="shared" si="13"/>
        <v>0.15430000000000002</v>
      </c>
      <c r="N184" s="135">
        <f t="shared" si="13"/>
        <v>0.16460000000000002</v>
      </c>
      <c r="O184" s="135">
        <f t="shared" si="13"/>
        <v>0.17490000000000006</v>
      </c>
      <c r="P184" s="135">
        <f t="shared" si="13"/>
        <v>0.18520000000000003</v>
      </c>
      <c r="Q184" s="135">
        <f t="shared" si="13"/>
        <v>0.19550000000000006</v>
      </c>
      <c r="R184" s="135">
        <f t="shared" si="13"/>
        <v>0.20580000000000004</v>
      </c>
      <c r="S184" s="135">
        <f t="shared" si="13"/>
        <v>0.21610000000000007</v>
      </c>
      <c r="T184" s="135">
        <f t="shared" si="13"/>
        <v>0.22640000000000007</v>
      </c>
      <c r="U184" s="135">
        <f t="shared" si="13"/>
        <v>0.23670000000000008</v>
      </c>
      <c r="V184" s="135">
        <f t="shared" si="13"/>
        <v>0.24700000000000008</v>
      </c>
      <c r="W184" s="135">
        <f t="shared" si="13"/>
        <v>0.25730000000000008</v>
      </c>
      <c r="X184" s="135">
        <f t="shared" si="13"/>
        <v>0.26760000000000006</v>
      </c>
      <c r="Y184" s="135">
        <f t="shared" si="13"/>
        <v>0.27790000000000009</v>
      </c>
      <c r="Z184" s="135">
        <f t="shared" si="13"/>
        <v>0.28820000000000012</v>
      </c>
      <c r="AA184" s="135">
        <f t="shared" si="13"/>
        <v>0.2985000000000001</v>
      </c>
      <c r="AB184" s="135">
        <f t="shared" si="13"/>
        <v>0.30880000000000007</v>
      </c>
      <c r="AC184" s="135">
        <f t="shared" si="13"/>
        <v>0.31910000000000005</v>
      </c>
      <c r="AD184" s="135">
        <f t="shared" si="13"/>
        <v>0.32940000000000003</v>
      </c>
      <c r="AE184" s="135">
        <f t="shared" si="13"/>
        <v>0.3397</v>
      </c>
      <c r="AF184" s="135">
        <f t="shared" si="13"/>
        <v>0.35</v>
      </c>
    </row>
    <row r="185" spans="1:33" ht="14.4">
      <c r="A185" s="136" t="s">
        <v>488</v>
      </c>
      <c r="B185" s="132">
        <v>0</v>
      </c>
      <c r="C185" s="132">
        <v>0</v>
      </c>
      <c r="D185" s="132">
        <v>0</v>
      </c>
      <c r="E185" s="132">
        <v>0</v>
      </c>
      <c r="F185" s="132">
        <v>0</v>
      </c>
      <c r="G185" s="132">
        <v>0</v>
      </c>
      <c r="H185" s="132">
        <v>0</v>
      </c>
      <c r="I185" s="132">
        <v>0</v>
      </c>
      <c r="J185" s="132">
        <v>0</v>
      </c>
      <c r="K185" s="132">
        <v>0</v>
      </c>
      <c r="L185" s="135">
        <v>1.2E-2</v>
      </c>
      <c r="M185" s="135">
        <f>L185+1.69%</f>
        <v>2.8899999999999999E-2</v>
      </c>
      <c r="N185" s="135">
        <f t="shared" ref="N185:AE185" si="14">M185+1.69%</f>
        <v>4.5799999999999993E-2</v>
      </c>
      <c r="O185" s="135">
        <f t="shared" si="14"/>
        <v>6.2699999999999992E-2</v>
      </c>
      <c r="P185" s="135">
        <f t="shared" si="14"/>
        <v>7.959999999999999E-2</v>
      </c>
      <c r="Q185" s="135">
        <f t="shared" si="14"/>
        <v>9.6499999999999989E-2</v>
      </c>
      <c r="R185" s="135">
        <f t="shared" si="14"/>
        <v>0.11339999999999999</v>
      </c>
      <c r="S185" s="135">
        <f t="shared" si="14"/>
        <v>0.13029999999999997</v>
      </c>
      <c r="T185" s="135">
        <f t="shared" si="14"/>
        <v>0.14719999999999997</v>
      </c>
      <c r="U185" s="135">
        <f t="shared" si="14"/>
        <v>0.16409999999999997</v>
      </c>
      <c r="V185" s="135">
        <f t="shared" si="14"/>
        <v>0.18099999999999997</v>
      </c>
      <c r="W185" s="135">
        <f t="shared" si="14"/>
        <v>0.19789999999999996</v>
      </c>
      <c r="X185" s="135">
        <f t="shared" si="14"/>
        <v>0.21479999999999996</v>
      </c>
      <c r="Y185" s="135">
        <f t="shared" si="14"/>
        <v>0.23169999999999996</v>
      </c>
      <c r="Z185" s="135">
        <f t="shared" si="14"/>
        <v>0.24859999999999996</v>
      </c>
      <c r="AA185" s="135">
        <f t="shared" si="14"/>
        <v>0.26549999999999996</v>
      </c>
      <c r="AB185" s="135">
        <f t="shared" si="14"/>
        <v>0.28239999999999998</v>
      </c>
      <c r="AC185" s="135">
        <f t="shared" si="14"/>
        <v>0.29930000000000001</v>
      </c>
      <c r="AD185" s="135">
        <f t="shared" si="14"/>
        <v>0.31620000000000004</v>
      </c>
      <c r="AE185" s="135">
        <f t="shared" si="14"/>
        <v>0.33310000000000006</v>
      </c>
      <c r="AF185" s="132">
        <v>0.35</v>
      </c>
    </row>
    <row r="186" spans="1:33" ht="14.4">
      <c r="A186" s="137" t="s">
        <v>177</v>
      </c>
      <c r="B186" s="133">
        <v>0</v>
      </c>
      <c r="C186" s="133">
        <v>0</v>
      </c>
      <c r="D186" s="133">
        <v>0</v>
      </c>
      <c r="E186" s="133">
        <v>0</v>
      </c>
      <c r="F186" s="133">
        <v>0</v>
      </c>
      <c r="G186" s="156">
        <v>0.02</v>
      </c>
      <c r="H186" s="156">
        <f>G186+2.72%</f>
        <v>4.7200000000000006E-2</v>
      </c>
      <c r="I186" s="156">
        <f t="shared" ref="I186:AE186" si="15">H186+2.72%</f>
        <v>7.4400000000000008E-2</v>
      </c>
      <c r="J186" s="156">
        <f t="shared" si="15"/>
        <v>0.10160000000000001</v>
      </c>
      <c r="K186" s="156">
        <f t="shared" si="15"/>
        <v>0.12880000000000003</v>
      </c>
      <c r="L186" s="156">
        <f t="shared" si="15"/>
        <v>0.15600000000000003</v>
      </c>
      <c r="M186" s="156">
        <f t="shared" si="15"/>
        <v>0.18320000000000003</v>
      </c>
      <c r="N186" s="156">
        <f t="shared" si="15"/>
        <v>0.21040000000000003</v>
      </c>
      <c r="O186" s="156">
        <f t="shared" si="15"/>
        <v>0.23760000000000003</v>
      </c>
      <c r="P186" s="156">
        <f t="shared" si="15"/>
        <v>0.26480000000000004</v>
      </c>
      <c r="Q186" s="156">
        <f t="shared" si="15"/>
        <v>0.29200000000000004</v>
      </c>
      <c r="R186" s="156">
        <f t="shared" si="15"/>
        <v>0.31920000000000004</v>
      </c>
      <c r="S186" s="156">
        <f t="shared" si="15"/>
        <v>0.34640000000000004</v>
      </c>
      <c r="T186" s="156">
        <f t="shared" si="15"/>
        <v>0.37360000000000004</v>
      </c>
      <c r="U186" s="156">
        <f t="shared" si="15"/>
        <v>0.40080000000000005</v>
      </c>
      <c r="V186" s="156">
        <f t="shared" si="15"/>
        <v>0.42800000000000005</v>
      </c>
      <c r="W186" s="156">
        <f t="shared" si="15"/>
        <v>0.45520000000000005</v>
      </c>
      <c r="X186" s="156">
        <f t="shared" si="15"/>
        <v>0.48240000000000005</v>
      </c>
      <c r="Y186" s="156">
        <f t="shared" si="15"/>
        <v>0.50960000000000005</v>
      </c>
      <c r="Z186" s="156">
        <f t="shared" si="15"/>
        <v>0.53680000000000005</v>
      </c>
      <c r="AA186" s="156">
        <f t="shared" si="15"/>
        <v>0.56400000000000006</v>
      </c>
      <c r="AB186" s="156">
        <f t="shared" si="15"/>
        <v>0.59120000000000006</v>
      </c>
      <c r="AC186" s="156">
        <f t="shared" si="15"/>
        <v>0.61840000000000006</v>
      </c>
      <c r="AD186" s="156">
        <f t="shared" si="15"/>
        <v>0.64560000000000006</v>
      </c>
      <c r="AE186" s="156">
        <f t="shared" si="15"/>
        <v>0.67280000000000006</v>
      </c>
      <c r="AF186" s="156">
        <v>0.7</v>
      </c>
      <c r="AG186" t="s">
        <v>523</v>
      </c>
    </row>
    <row r="192" spans="1:33">
      <c r="M192" s="157"/>
    </row>
    <row r="193" spans="1:13">
      <c r="M193" s="158"/>
    </row>
    <row r="196" spans="1:13" ht="14.4">
      <c r="A196" s="139"/>
      <c r="B196" s="140" t="s">
        <v>491</v>
      </c>
      <c r="C196" s="138"/>
      <c r="D196" s="138"/>
    </row>
    <row r="197" spans="1:13" ht="14.4">
      <c r="A197" s="141" t="s">
        <v>492</v>
      </c>
      <c r="B197" s="142" t="s">
        <v>493</v>
      </c>
      <c r="C197" s="138" t="s">
        <v>494</v>
      </c>
      <c r="D197" s="138" t="s">
        <v>478</v>
      </c>
    </row>
    <row r="198" spans="1:13" ht="14.4">
      <c r="A198" s="143" t="s">
        <v>495</v>
      </c>
      <c r="B198" s="144">
        <v>3736.1888234674457</v>
      </c>
      <c r="C198" s="138">
        <v>2.6765242530540245E-4</v>
      </c>
      <c r="D198" s="146">
        <v>6.4031680695072364</v>
      </c>
    </row>
    <row r="199" spans="1:13" ht="14.4">
      <c r="A199" s="143" t="s">
        <v>496</v>
      </c>
      <c r="B199" s="145">
        <v>3644.6724139136859</v>
      </c>
      <c r="C199" s="138">
        <v>2.7437308115331823E-4</v>
      </c>
      <c r="D199" s="146">
        <v>6.5639493098879962</v>
      </c>
    </row>
    <row r="200" spans="1:13" ht="14.4">
      <c r="A200" s="143" t="s">
        <v>497</v>
      </c>
      <c r="B200" s="145">
        <v>3383.1391962709649</v>
      </c>
      <c r="C200" s="138">
        <v>2.9558346316410541E-4</v>
      </c>
      <c r="D200" s="146">
        <v>7.0713747168446277</v>
      </c>
    </row>
    <row r="201" spans="1:13" ht="14.4">
      <c r="A201" s="143" t="s">
        <v>498</v>
      </c>
      <c r="B201" s="145">
        <v>3121.605978628244</v>
      </c>
      <c r="C201" s="138">
        <v>3.2034792566595455E-4</v>
      </c>
      <c r="D201" s="146">
        <v>7.6638259728697271</v>
      </c>
    </row>
    <row r="202" spans="1:13" ht="14.4">
      <c r="A202" s="143" t="s">
        <v>499</v>
      </c>
      <c r="B202" s="145">
        <v>2897.4346492201971</v>
      </c>
      <c r="C202" s="138">
        <v>3.4513289204611937E-4</v>
      </c>
      <c r="D202" s="146">
        <v>8.2567677522995062</v>
      </c>
    </row>
    <row r="203" spans="1:13" ht="14.4">
      <c r="A203" s="143" t="s">
        <v>500</v>
      </c>
      <c r="B203" s="145">
        <v>2710.6252080468248</v>
      </c>
      <c r="C203" s="138">
        <v>3.6891857901689133E-4</v>
      </c>
      <c r="D203" s="146">
        <v>8.8258033257629496</v>
      </c>
    </row>
    <row r="204" spans="1:13" ht="14.4">
      <c r="A204" s="143" t="s">
        <v>501</v>
      </c>
      <c r="B204" s="145">
        <v>2523.8157668734525</v>
      </c>
      <c r="C204" s="138">
        <v>3.9622543496462009E-4</v>
      </c>
      <c r="D204" s="146">
        <v>9.479077391498091</v>
      </c>
    </row>
    <row r="205" spans="1:13" ht="14.4">
      <c r="A205" s="143" t="s">
        <v>502</v>
      </c>
      <c r="B205" s="145">
        <v>2262.2825492307311</v>
      </c>
      <c r="C205" s="138">
        <v>4.4203143428748148E-4</v>
      </c>
      <c r="D205" s="146">
        <v>10.574914695872764</v>
      </c>
    </row>
    <row r="206" spans="1:13" ht="14.4">
      <c r="A206" s="143" t="s">
        <v>503</v>
      </c>
      <c r="B206" s="145">
        <v>2431.5116863126136</v>
      </c>
      <c r="C206" s="138">
        <v>4.112667875006184E-4</v>
      </c>
      <c r="D206" s="146">
        <v>9.8389183612588145</v>
      </c>
    </row>
    <row r="207" spans="1:13" ht="14.4">
      <c r="A207" s="143" t="s">
        <v>504</v>
      </c>
      <c r="B207" s="145">
        <v>2146.1736887360275</v>
      </c>
      <c r="C207" s="138">
        <v>4.6594551282051283E-4</v>
      </c>
      <c r="D207" s="146">
        <v>11.147021837811312</v>
      </c>
    </row>
    <row r="208" spans="1:13" ht="14.4">
      <c r="A208" s="143" t="s">
        <v>505</v>
      </c>
      <c r="B208" s="145">
        <v>2303.6110087932198</v>
      </c>
      <c r="C208" s="138">
        <v>4.3410106835870026E-4</v>
      </c>
      <c r="D208" s="146">
        <v>10.385193022935413</v>
      </c>
    </row>
    <row r="209" spans="1:4" ht="14.4">
      <c r="A209" s="143" t="s">
        <v>506</v>
      </c>
      <c r="B209" s="145">
        <v>2781.537263251389</v>
      </c>
      <c r="C209" s="138">
        <v>3.5951342921470767E-4</v>
      </c>
      <c r="D209" s="146">
        <v>8.600799741978653</v>
      </c>
    </row>
    <row r="210" spans="1:4" ht="14.4">
      <c r="A210" s="143" t="s">
        <v>507</v>
      </c>
      <c r="B210" s="145">
        <v>4114.3572018926798</v>
      </c>
      <c r="C210" s="138">
        <v>2.4305133242684464E-4</v>
      </c>
      <c r="D210" s="146">
        <v>5.8146251776757092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Commodities</vt:lpstr>
      <vt:lpstr>TRA</vt:lpstr>
      <vt:lpstr>Purchase price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Vahid Aryanpur</cp:lastModifiedBy>
  <dcterms:created xsi:type="dcterms:W3CDTF">2005-06-03T09:41:13Z</dcterms:created>
  <dcterms:modified xsi:type="dcterms:W3CDTF">2026-08-07T14:31:51Z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807064235210418</vt:r8>
  </property>
</Properties>
</file>