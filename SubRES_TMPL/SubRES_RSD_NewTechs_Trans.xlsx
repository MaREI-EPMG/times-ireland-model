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trProps/ctrProp1.xml" ContentType="application/vnd.ms-excel.controlproperties+xml"/>
  <Override PartName="/xl/drawings/drawing2.xml" ContentType="application/vnd.openxmlformats-officedocument.drawing+xml"/>
  <Default Extension="vml" ContentType="application/vnd.openxmlformats-officedocument.vmlDrawi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3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bRES_TMPL\"/>
    </mc:Choice>
  </mc:AlternateContent>
  <bookViews>
    <workbookView xWindow="-120" yWindow="-120" windowWidth="29040" windowHeight="15720" tabRatio="819" firstSheet="3" activeTab="5"/>
  </bookViews>
  <sheets>
    <sheet name="Cover" sheetId="65" r:id="rId3"/>
    <sheet name="LOG" sheetId="64" r:id="rId4"/>
    <sheet name="Regions" sheetId="46" r:id="rId5"/>
    <sheet name="TechSelection" sheetId="34" r:id="rId6"/>
    <sheet name="FillTable" sheetId="47" r:id="rId7"/>
    <sheet name="AF" sheetId="48" r:id="rId8"/>
    <sheet name="EFF" sheetId="61" r:id="rId9"/>
    <sheet name="BY-RSD-WH_AF" sheetId="63" r:id="rId10"/>
    <sheet name="BY-RSD-SH_AF" sheetId="62" r:id="rId11"/>
    <sheet name="BY-RSD-EFF" sheetId="60" r:id="rId12"/>
    <sheet name="BY-RSD-DW" sheetId="57" r:id="rId13"/>
    <sheet name="BY-RSD-PF" sheetId="56" r:id="rId14"/>
    <sheet name="BY-RSD-CD" sheetId="55" r:id="rId15"/>
    <sheet name="BY-RSD-LT" sheetId="54" r:id="rId16"/>
    <sheet name="BY-RSD-CW" sheetId="53" r:id="rId17"/>
    <sheet name="BY-RSD-CK" sheetId="52" r:id="rId18"/>
    <sheet name="BY-RSD-RF" sheetId="50" r:id="rId19"/>
    <sheet name="BY-RSD-OE" sheetId="59" r:id="rId20"/>
  </sheets>
  <externalReferences>
    <externalReference r:id="rId22"/>
  </externalReference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FID_1">[1]AGR_Fuels!$A$2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6" l="1" a="1"/>
</calcChain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D129" authorId="0" shapeId="0" xr:uid="{252C524F-867C-494B-8549-0779FBA2A96C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High value compared to others</t>
        </r>
      </text>
    </comment>
    <comment ref="H131" authorId="0" shapeId="0" xr:uid="{08155CC9-5232-4BA3-8E7D-2782073BC52D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2" authorId="0" shapeId="0" xr:uid="{18A1B250-FDBD-4085-B842-EA94AB62C50C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3" authorId="0" shapeId="0" xr:uid="{D04A0774-4BB1-4E99-9BCD-45E2F1A6AC6C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5" authorId="0" shapeId="0" xr:uid="{E2B5B631-C1AB-456E-AC2B-816F7B2C69C1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6" authorId="0" shapeId="0" xr:uid="{C376D617-8F0A-44E5-83D3-958CBFADFD31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7" authorId="0" shapeId="0" xr:uid="{5B2CC33F-B70C-4EB5-AF3E-09C8B0B59273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E15" authorId="0" shapeId="0" xr:uid="{5E2488D4-DAF1-46AB-A539-E1B33B9CF9CE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E28" authorId="0" shapeId="0" xr:uid="{72AF12B7-FF49-4C3A-877A-D8A005AB53A6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E41" authorId="0" shapeId="0" xr:uid="{DDA93A61-A192-4B5A-A9C6-7534D45425BD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C45" authorId="0" shapeId="0" xr:uid="{BA046F56-930E-400A-AD12-09FFC020522B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C46" authorId="0" shapeId="0" xr:uid="{94D89044-7C02-4598-B515-F0F41C96DDB9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C47" authorId="0" shapeId="0" xr:uid="{E1715506-B648-4363-9AAA-D649CCF116C2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C54" authorId="0" shapeId="0" xr:uid="{B58C443F-21A2-4147-A880-076E4DF04589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No Heat Pump water heater are available in the current SubRes database. Worth to be added?
</t>
        </r>
      </text>
    </comment>
    <comment ref="C68" authorId="0" shapeId="0" xr:uid="{0DD5D787-E27C-427D-B84E-7F6CF1D88354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No Heat Pump water heater are available in the current SubRes database. Worth to be added?
</t>
        </r>
      </text>
    </comment>
    <comment ref="C82" authorId="0" shapeId="0" xr:uid="{9E13BE91-087D-4B6E-A1F6-311C43A2D39E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No Heat Pump water heater are available in the current SubRes database. Worth to be added?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<sst xmlns="http://schemas.openxmlformats.org/spreadsheetml/2006/main" count="2950" uniqueCount="304">
  <si>
    <t>IE</t>
  </si>
  <si>
    <t>*</t>
  </si>
  <si>
    <t>~TFM_AVA</t>
  </si>
  <si>
    <t>PSET_SET</t>
  </si>
  <si>
    <t>PSET_PN</t>
  </si>
  <si>
    <t>PSET_PD</t>
  </si>
  <si>
    <t>PSET_CO</t>
  </si>
  <si>
    <t>PSET_CI</t>
  </si>
  <si>
    <t>Allregions</t>
  </si>
  <si>
    <t>National</t>
  </si>
  <si>
    <t>Development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</si>
  <si>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</si>
  <si>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</si>
  <si>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</si>
  <si>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</si>
  <si>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</si>
  <si>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</si>
  <si>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</si>
  <si>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</si>
  <si>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</si>
  <si>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</si>
  <si>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</si>
  <si>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</si>
  <si>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</si>
  <si>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</si>
  <si>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</si>
  <si>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</si>
  <si>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</si>
  <si>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</si>
  <si>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</si>
  <si>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</si>
  <si>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</si>
  <si>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</si>
  <si>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</si>
  <si>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</si>
  <si>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</si>
  <si>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</si>
  <si>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</si>
  <si>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</si>
  <si>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</si>
  <si>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</si>
  <si>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</si>
  <si>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</si>
  <si>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</si>
  <si>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</si>
  <si>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</si>
  <si>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</si>
  <si>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</si>
  <si>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</si>
  <si>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</si>
  <si>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</si>
  <si>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</si>
  <si>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</si>
  <si>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</si>
  <si>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</si>
  <si>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</si>
  <si>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</si>
  <si>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</si>
  <si>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</si>
  <si>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</si>
  <si>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</si>
  <si>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</si>
  <si>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</si>
  <si>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</si>
  <si>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</si>
  <si>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</si>
  <si>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</si>
  <si>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</si>
  <si>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Scenario</t>
  </si>
  <si>
    <t>LimType</t>
  </si>
  <si>
    <t>Attribute</t>
  </si>
  <si>
    <t>Year</t>
  </si>
  <si>
    <t>AllRegions</t>
  </si>
  <si>
    <t>Pset_CI</t>
  </si>
  <si>
    <t>Pset_PN</t>
  </si>
  <si>
    <t>Pset_CO</t>
  </si>
  <si>
    <t>Cset_CN</t>
  </si>
  <si>
    <t>BASE</t>
  </si>
  <si>
    <t>AFA</t>
  </si>
  <si>
    <t>Type</t>
  </si>
  <si>
    <t>Fuel</t>
  </si>
  <si>
    <t>PSet_PN</t>
  </si>
  <si>
    <t>COA</t>
  </si>
  <si>
    <t>ELC</t>
  </si>
  <si>
    <t>HET</t>
  </si>
  <si>
    <t>~TFM_Fill-R: w=BY-RSD-SH_AF; Hcol=Region</t>
  </si>
  <si>
    <t>R-SH*</t>
  </si>
  <si>
    <t>~TFM_Fill-R: w=BY-RSD-WH_AF; Hcol=Region</t>
  </si>
  <si>
    <t>R-WH*</t>
  </si>
  <si>
    <t>R-LT*</t>
  </si>
  <si>
    <t>R-PF*</t>
  </si>
  <si>
    <t>Fill Table to capture Base-Year Availability</t>
  </si>
  <si>
    <t>~TFM_Fill-R: w=BY-RSD-RF; Hcol=Region</t>
  </si>
  <si>
    <t>R-RSDRF*</t>
  </si>
  <si>
    <t>~TFM_Fill-R: w=BY-RSD-CK; Hcol=Region</t>
  </si>
  <si>
    <t>R-RSDCK*</t>
  </si>
  <si>
    <t>~TFM_Fill-R: w=BY-RSD-CW; Hcol=Region</t>
  </si>
  <si>
    <t>R-RSDCW*</t>
  </si>
  <si>
    <t>~TFM_Fill-R: w=BY-RSD-CD; Hcol=Region</t>
  </si>
  <si>
    <t>R-RSDCD*</t>
  </si>
  <si>
    <t>~TFM_Fill-R: w=BY-RSD-DW; Hcol=Region</t>
  </si>
  <si>
    <t>R-RSDDW*</t>
  </si>
  <si>
    <t>R-RSDOE*</t>
  </si>
  <si>
    <t>R-RSDOA*</t>
  </si>
  <si>
    <t>Reference Tech</t>
  </si>
  <si>
    <t>Att</t>
  </si>
  <si>
    <t>*Appliances</t>
  </si>
  <si>
    <t>AFA for RSD techs</t>
  </si>
  <si>
    <t>**~TFM_Fill-R: w=BY-RSD-SC_AF; Hcol=Region</t>
  </si>
  <si>
    <t>Apt</t>
  </si>
  <si>
    <t>PEA</t>
  </si>
  <si>
    <t>SMF</t>
  </si>
  <si>
    <t>*Attached Space Heat</t>
  </si>
  <si>
    <t>*Detached Space Heat</t>
  </si>
  <si>
    <t>Det</t>
  </si>
  <si>
    <t>*Apartment Water Heat</t>
  </si>
  <si>
    <t>*Attached Water Heat</t>
  </si>
  <si>
    <t>*Detached Water Heat</t>
  </si>
  <si>
    <t>~TFM_Fill-R: w=BY-RSD-LT; Hcol=Region</t>
  </si>
  <si>
    <t>~TFM_Fill-R: w=BY-RSD-PF; Hcol=Region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</si>
  <si>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</si>
  <si>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</si>
  <si>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</si>
  <si>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</si>
  <si>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</si>
  <si>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</si>
  <si>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</si>
  <si>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</si>
  <si>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</si>
  <si>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</si>
  <si>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</si>
  <si>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-</t>
  </si>
  <si>
    <t>UP</t>
  </si>
  <si>
    <t>R-SH_Apt_COA_X0</t>
  </si>
  <si>
    <t>R-SH_Apt_ELC_X0</t>
  </si>
  <si>
    <t>R-SH_Apt_ELC_X1</t>
  </si>
  <si>
    <t>R-SH_Apt_HET_X0</t>
  </si>
  <si>
    <t>R-SH_Apt_PEA_X0</t>
  </si>
  <si>
    <t>R-SH_Apt_SMF_X0</t>
  </si>
  <si>
    <t>R-SH_Att_COA_X0</t>
  </si>
  <si>
    <t>R-SH_Att_ELC_X0</t>
  </si>
  <si>
    <t>R-SH_Att_ELC_X1</t>
  </si>
  <si>
    <t>R-SH_Det_COA_X0</t>
  </si>
  <si>
    <t>R-SH_Det_ELC_X0</t>
  </si>
  <si>
    <t>R-SH_Det_ELC_X1</t>
  </si>
  <si>
    <t>R-RSDRF_X0</t>
  </si>
  <si>
    <t>R-WH_Apt_COA_X0</t>
  </si>
  <si>
    <t>R-WH_Apt_ELC_X0</t>
  </si>
  <si>
    <t>R-WH_Apt_ELC_X1</t>
  </si>
  <si>
    <t>R-WH_Apt_HET_X0</t>
  </si>
  <si>
    <t>R-WH_Apt_PEA_X0</t>
  </si>
  <si>
    <t>R-WH_Apt_SMF_X0</t>
  </si>
  <si>
    <t>R-WH_Att_COA_X0</t>
  </si>
  <si>
    <t>R-WH_Att_ELC_X0</t>
  </si>
  <si>
    <t>R-WH_Att_ELC_X1</t>
  </si>
  <si>
    <t>R-WH_Att_HET_X0</t>
  </si>
  <si>
    <t>R-WH_Att_PEA_X0</t>
  </si>
  <si>
    <t>R-WH_Att_SMF_X0</t>
  </si>
  <si>
    <t>R-WH_Det_COA_X0</t>
  </si>
  <si>
    <t>R-WH_Det_ELC_X0</t>
  </si>
  <si>
    <t>R-WH_Det_ELC_X1</t>
  </si>
  <si>
    <t>R-WH_Det_HET_X0</t>
  </si>
  <si>
    <t>R-WH_Det_PEA_X0</t>
  </si>
  <si>
    <t>R-WH_Det_SMF_X0</t>
  </si>
  <si>
    <t>R-RSDCW_X0</t>
  </si>
  <si>
    <t>R-LT_Apt_X0</t>
  </si>
  <si>
    <t>R-LT_Att_X0</t>
  </si>
  <si>
    <t>R-LT_Det_X0</t>
  </si>
  <si>
    <t>R-RSDCD_X0</t>
  </si>
  <si>
    <t>R-PF_Apt_X0</t>
  </si>
  <si>
    <t>R-PF_Att_X0</t>
  </si>
  <si>
    <t>R-PF_Det_X0</t>
  </si>
  <si>
    <t>R-RSDDW_X0</t>
  </si>
  <si>
    <t>~TFM_Fill-R: w=BY-RSD-OE; Hcol=Region</t>
  </si>
  <si>
    <t>**~TFM_Fill-R: w=BY-RSD-OA; Hcol=Region</t>
  </si>
  <si>
    <t>R-RSDOE_X0</t>
  </si>
  <si>
    <t>~TFM_UPD</t>
  </si>
  <si>
    <t>EFF</t>
  </si>
  <si>
    <t>~TFM_Fill-R: w=BY-RSD-EFF; Hcol=Region</t>
  </si>
  <si>
    <t>ANNUAL</t>
  </si>
  <si>
    <t>Update Table to capture Base-Year Efficiency</t>
  </si>
  <si>
    <t>EFF for RSD techs</t>
  </si>
  <si>
    <t>CEFF</t>
  </si>
  <si>
    <t>*Apartment Heat</t>
  </si>
  <si>
    <t>R-LT_Apt*</t>
  </si>
  <si>
    <t>R-LT_Att*</t>
  </si>
  <si>
    <t>R-LT_Det*</t>
  </si>
  <si>
    <t>R-PF_Apt*</t>
  </si>
  <si>
    <t>R-PF_Att*</t>
  </si>
  <si>
    <t>R-PF_Det*</t>
  </si>
  <si>
    <t>ETH</t>
  </si>
  <si>
    <t>BDL</t>
  </si>
  <si>
    <t>LPG</t>
  </si>
  <si>
    <t>KER</t>
  </si>
  <si>
    <t>GAS</t>
  </si>
  <si>
    <t>WOO</t>
  </si>
  <si>
    <t>R-S*</t>
  </si>
  <si>
    <t>R-?C*</t>
  </si>
  <si>
    <t>NCAP_AFC</t>
  </si>
  <si>
    <t>R-SH_Apt_BDL_X0</t>
  </si>
  <si>
    <t>R-SH_Apt_ETH_X0</t>
  </si>
  <si>
    <t>R-SH_Apt_GAS_X0</t>
  </si>
  <si>
    <t>R-SH_Apt_KER_X0</t>
  </si>
  <si>
    <t>R-SH_Apt_LPG_X0</t>
  </si>
  <si>
    <t>R-SH_Apt_WOO_X0</t>
  </si>
  <si>
    <t>R-SH_Att_BDL_X0</t>
  </si>
  <si>
    <t>R-SH_Att_ETH_X0</t>
  </si>
  <si>
    <t>R-SH_Att_LPG_X0</t>
  </si>
  <si>
    <t>R-SH_Det_BDL_X0</t>
  </si>
  <si>
    <t>R-SH_Det_ETH_X0</t>
  </si>
  <si>
    <t>R-SH_Det_LPG_X0</t>
  </si>
  <si>
    <t>R-WH_Apt_BDL_X0</t>
  </si>
  <si>
    <t>R-WH_Apt_ETH_X0</t>
  </si>
  <si>
    <t>R-WH_Apt_GAS_X0</t>
  </si>
  <si>
    <t>R-WH_Apt_KER_X0</t>
  </si>
  <si>
    <t>R-WH_Apt_LPG_X0</t>
  </si>
  <si>
    <t>R-WH_Apt_SOL_X0</t>
  </si>
  <si>
    <t>R-WH_Apt_WOO_X0</t>
  </si>
  <si>
    <t>R-WH_Att_BDL_X0</t>
  </si>
  <si>
    <t>R-WH_Att_ETH_X0</t>
  </si>
  <si>
    <t>R-WH_Att_GAS_X0</t>
  </si>
  <si>
    <t>R-WH_Att_KER_X0</t>
  </si>
  <si>
    <t>R-WH_Att_LPG_X0</t>
  </si>
  <si>
    <t>R-WH_Att_SOL_X0</t>
  </si>
  <si>
    <t>R-WH_Att_WOO_X0</t>
  </si>
  <si>
    <t>R-WH_Det_BDL_X0</t>
  </si>
  <si>
    <t>R-WH_Det_ETH_X0</t>
  </si>
  <si>
    <t>R-WH_Det_GAS_X0</t>
  </si>
  <si>
    <t>R-WH_Det_KER_X0</t>
  </si>
  <si>
    <t>R-WH_Det_LPG_X0</t>
  </si>
  <si>
    <t>R-WH_Det_WOO_X0</t>
  </si>
  <si>
    <t>SOL</t>
  </si>
  <si>
    <t>Date</t>
  </si>
  <si>
    <t>Name</t>
  </si>
  <si>
    <t>Sheet Name</t>
  </si>
  <si>
    <t>Cells</t>
  </si>
  <si>
    <t>Comments</t>
  </si>
  <si>
    <t>Olex</t>
  </si>
  <si>
    <t>AF</t>
  </si>
  <si>
    <t>Disabled these tables, because commodity group is not specified</t>
  </si>
  <si>
    <t>Ale</t>
  </si>
  <si>
    <t>AF,EFF</t>
  </si>
  <si>
    <t>Corrected issues and enabled</t>
  </si>
  <si>
    <t>~TFM_INS</t>
  </si>
  <si>
    <t>NCAP_AFA</t>
  </si>
  <si>
    <t>AFC</t>
  </si>
  <si>
    <t>*Space Cooling</t>
  </si>
  <si>
    <t>*Space Cooling (dual techs)</t>
  </si>
  <si>
    <t xml:space="preserve">*Apartment Space Heat </t>
  </si>
  <si>
    <t>*Detached Space Heat (dual techs)</t>
  </si>
  <si>
    <t>*Attached Space Heat (dual techs)</t>
  </si>
  <si>
    <t>*Apartment Space Heat (dual techs)</t>
  </si>
  <si>
    <t>*Space Heating (dual techs)</t>
  </si>
  <si>
    <t>R-RSDCK_ELC_X0</t>
  </si>
  <si>
    <t>R-RSDCK_GAS_X0</t>
  </si>
  <si>
    <t>R-RSDCK_LPG_X0</t>
  </si>
  <si>
    <t>R-SH_Att_GAS_X0</t>
  </si>
  <si>
    <t>R-SH_Att_HET_X0</t>
  </si>
  <si>
    <t>R-SH_Att_KER_X0</t>
  </si>
  <si>
    <t>R-SH_Att_PEA_X0</t>
  </si>
  <si>
    <t>R-SH_Att_SMF_X0</t>
  </si>
  <si>
    <t>R-SH_Att_WOO_X0</t>
  </si>
  <si>
    <t>R-SH_Det_GAS_X0</t>
  </si>
  <si>
    <t>R-SH_Det_HET_X0</t>
  </si>
  <si>
    <t>R-SH_Det_KER_X0</t>
  </si>
  <si>
    <t>R-SH_Det_PEA_X0</t>
  </si>
  <si>
    <t>R-SH_Det_SMF_X0</t>
  </si>
  <si>
    <t>R-SH_Det_WOO_X0</t>
  </si>
  <si>
    <t>R-WH_Det_SOL_X0</t>
  </si>
  <si>
    <t>R-SH_Att_FPL*</t>
  </si>
  <si>
    <t>R-SH_Det_FPL*</t>
  </si>
  <si>
    <t>R-SW_Att_FPL*</t>
  </si>
  <si>
    <t>R-SW_Det_FPL*</t>
  </si>
  <si>
    <t>R-SH_Att_HVO*</t>
  </si>
  <si>
    <t>R-SH_Det_HVO*</t>
  </si>
  <si>
    <t>R-SW_Att_HVO*</t>
  </si>
  <si>
    <t>R-SW_Det_HVO*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</si>
  <si>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</si>
  <si>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</si>
  <si>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</si>
  <si>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</si>
  <si>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</si>
  <si>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</si>
  <si>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</si>
  <si>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</si>
  <si>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</si>
  <si>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</si>
  <si>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</si>
  <si>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</si>
  <si>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Residential sector (RSD)</t>
  </si>
  <si>
    <t xml:space="preserve">Jason Mc Guire ( MaREI, jason.mcguire@ucc.ie) </t>
  </si>
  <si>
    <t xml:space="preserve">Alessandro Chiodi ( E4SMA, alessandro.chiodi@e4sma.com) </t>
  </si>
  <si>
    <t xml:space="preserve">Olexandr Balyk ( MaREI, olexandr.balyk@ucc.ie) </t>
  </si>
  <si>
    <t xml:space="preserve">Assigns new technology data (AF and EFF), relative to base year data. </t>
  </si>
  <si>
    <t>New Technologies - Transformation</t>
  </si>
  <si>
    <t>RSDSH_Apt-AB,RSDSH_Apt-C,RSDSH_Apt-D,RSDSH_Apt-E,RSDSH_Apt-F,RSDSH_Apt-G</t>
  </si>
  <si>
    <t>RSDSH_Apt-AB,RSDSH_Apt-C,RSDSH_Apt-D,RSDSH_Apt-E,RSDSH_Apt-F,RSDSH_Apt-G,RSDWH_Apt</t>
  </si>
  <si>
    <t>RSDSH_Att-AB,RSDSH_Att-C,RSDSH_Att-D,RSDSH_Att-E,RSDSH_Att-F,RSDSH_Att-G</t>
  </si>
  <si>
    <t>RSDSH_Att-AB,RSDSH_Att-C,RSDSH_Att-D,RSDSH_Att-E,RSDSH_Att-F,RSDSH_Att-G,RSDWH_Att</t>
  </si>
  <si>
    <t>RSDSH_Det-AB,RSDSH_Det-C,RSDSH_Det-D,RSDSH_Det-E,RSDSH_Det-F,RSDSH_Det-G</t>
  </si>
  <si>
    <t>RSDSH_Det-AB,RSDSH_Det-C,RSDSH_Det-D,RSDSH_Det-E,RSDSH_Det-F,RSDSH_Det-G,RSDWH_Det</t>
  </si>
  <si>
    <t>*1</t>
  </si>
  <si>
    <t>2018</t>
  </si>
  <si>
    <t>*0.8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</si>
</sst>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3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rgb="FFFF0000"/>
      <name val="Calibri"/>
      <family val="2"/>
      <scheme val="minor"/>
    </font>
    <font>
      <sz val="24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359995126724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color theme="7" tint="-0.49935999512672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500036239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theme="0" tint="-0.0493699982762337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0" tint="-0.1493799984455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theme="0"/>
      </top>
      <bottom style="medium">
        <color theme="0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15" fillId="0" borderId="0" applyNumberFormat="0" applyFill="0" applyBorder="0" applyAlignment="0" applyProtection="0"/>
  </cellStyleXfs>
  <cellXfs count="59">
    <xf numFmtId="0" fontId="0" fillId="0" borderId="0" xfId="0"/>
    <xf numFmtId="0" fontId="15" fillId="2" borderId="0" xfId="22" applyFill="1" applyAlignment="1">
      <alignment vertical="center"/>
    </xf>
    <xf numFmtId="0" fontId="14" fillId="2" borderId="0" xfId="20" applyFont="1" applyFill="1" applyAlignment="1">
      <alignment horizontal="center" vertical="center"/>
      <protection/>
    </xf>
    <xf numFmtId="0" fontId="9" fillId="2" borderId="0" xfId="20" applyFont="1" applyFill="1" applyAlignment="1">
      <alignment vertical="center"/>
      <protection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 applyProtection="1">
      <alignment horizontal="left" vertical="center"/>
      <protection locked="0"/>
    </xf>
    <xf numFmtId="0" fontId="5" fillId="6" borderId="1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7" borderId="7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6" fillId="7" borderId="7" xfId="0" applyFont="1" applyFill="1" applyBorder="1" applyAlignment="1">
      <alignment vertical="center" wrapText="1"/>
    </xf>
    <xf numFmtId="0" fontId="0" fillId="8" borderId="0" xfId="0" applyFill="1" applyAlignment="1">
      <alignment horizontal="left"/>
    </xf>
    <xf numFmtId="0" fontId="9" fillId="8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/>
    </xf>
    <xf numFmtId="0" fontId="5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2" fontId="0" fillId="9" borderId="0" xfId="0" applyNumberFormat="1" applyFill="1" applyAlignment="1">
      <alignment horizontal="left" vertical="center"/>
    </xf>
    <xf numFmtId="0" fontId="9" fillId="10" borderId="0" xfId="0" applyFont="1" applyFill="1"/>
    <xf numFmtId="0" fontId="9" fillId="0" borderId="0" xfId="0" applyFont="1"/>
    <xf numFmtId="14" fontId="0" fillId="0" borderId="0" xfId="0" applyNumberFormat="1" applyAlignment="1">
      <alignment horizontal="left"/>
    </xf>
    <xf numFmtId="0" fontId="13" fillId="10" borderId="0" xfId="0" applyFont="1" applyFill="1"/>
    <xf numFmtId="0" fontId="9" fillId="10" borderId="3" xfId="0" applyFont="1" applyFill="1" applyBorder="1"/>
    <xf numFmtId="0" fontId="13" fillId="10" borderId="3" xfId="0" applyFont="1" applyFill="1" applyBorder="1"/>
    <xf numFmtId="0" fontId="2" fillId="2" borderId="0" xfId="20" applyFont="1" applyFill="1" applyAlignment="1">
      <alignment vertical="center"/>
      <protection/>
    </xf>
    <xf numFmtId="0" fontId="2" fillId="11" borderId="0" xfId="20" applyFont="1" applyFill="1" applyAlignment="1">
      <alignment vertical="center"/>
      <protection/>
    </xf>
    <xf numFmtId="0" fontId="2" fillId="0" borderId="0" xfId="21">
      <alignment/>
      <protection/>
    </xf>
    <xf numFmtId="0" fontId="14" fillId="11" borderId="0" xfId="20" applyFont="1" applyFill="1" applyAlignment="1">
      <alignment vertical="center"/>
      <protection/>
    </xf>
    <xf numFmtId="0" fontId="15" fillId="11" borderId="0" xfId="20" applyFont="1" applyFill="1" applyAlignment="1">
      <alignment vertical="center"/>
      <protection/>
    </xf>
    <xf numFmtId="0" fontId="2" fillId="12" borderId="0" xfId="20" applyFont="1" applyFill="1" applyAlignment="1">
      <alignment vertical="center"/>
      <protection/>
    </xf>
    <xf numFmtId="0" fontId="16" fillId="11" borderId="0" xfId="20" applyFont="1" applyFill="1" applyAlignment="1">
      <alignment vertical="center"/>
      <protection/>
    </xf>
    <xf numFmtId="0" fontId="17" fillId="11" borderId="0" xfId="20" applyFont="1" applyFill="1" applyAlignment="1">
      <alignment vertical="center"/>
      <protection/>
    </xf>
    <xf numFmtId="0" fontId="18" fillId="2" borderId="0" xfId="20" applyFont="1" applyFill="1" applyAlignment="1">
      <alignment vertical="center"/>
      <protection/>
    </xf>
    <xf numFmtId="0" fontId="9" fillId="11" borderId="0" xfId="20" applyFont="1" applyFill="1" applyAlignment="1">
      <alignment vertical="center"/>
      <protection/>
    </xf>
    <xf numFmtId="0" fontId="19" fillId="11" borderId="0" xfId="20" applyFont="1" applyFill="1" applyAlignment="1">
      <alignment vertical="center"/>
      <protection/>
    </xf>
    <xf numFmtId="0" fontId="9" fillId="2" borderId="0" xfId="20" applyFont="1" applyFill="1" applyAlignment="1">
      <alignment vertical="center"/>
      <protection/>
    </xf>
    <xf numFmtId="164" fontId="9" fillId="2" borderId="0" xfId="20" applyNumberFormat="1" applyFont="1" applyFill="1" applyAlignment="1">
      <alignment horizontal="left" vertical="center"/>
      <protection/>
    </xf>
    <xf numFmtId="0" fontId="20" fillId="11" borderId="0" xfId="20" applyFont="1" applyFill="1" applyAlignment="1">
      <alignment vertical="center"/>
      <protection/>
    </xf>
    <xf numFmtId="0" fontId="21" fillId="2" borderId="0" xfId="20" applyFont="1" applyFill="1" applyAlignment="1">
      <alignment vertical="center"/>
      <protection/>
    </xf>
    <xf numFmtId="0" fontId="15" fillId="2" borderId="0" xfId="22" applyFill="1" applyAlignment="1">
      <alignment vertical="center"/>
    </xf>
    <xf numFmtId="165" fontId="9" fillId="10" borderId="0" xfId="0" applyNumberFormat="1" applyFont="1" applyFill="1"/>
    <xf numFmtId="165" fontId="9" fillId="0" borderId="0" xfId="0" applyNumberFormat="1" applyFont="1"/>
    <xf numFmtId="165" fontId="9" fillId="13" borderId="3" xfId="0" applyNumberFormat="1" applyFont="1" applyFill="1" applyBorder="1"/>
    <xf numFmtId="165" fontId="0" fillId="9" borderId="0" xfId="0" applyNumberFormat="1" applyFill="1" applyAlignment="1">
      <alignment vertic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Hyperlink 2" xfId="2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4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18" Type="http://schemas.openxmlformats.org/officeDocument/2006/relationships/worksheet" Target="worksheets/sheet16.xml" /><Relationship Id="rId24" Type="http://schemas.openxmlformats.org/officeDocument/2006/relationships/sheetMetadata" Target="metadata.xml" /><Relationship Id="rId5" Type="http://schemas.openxmlformats.org/officeDocument/2006/relationships/worksheet" Target="worksheets/sheet3.xml" /><Relationship Id="rId20" Type="http://schemas.openxmlformats.org/officeDocument/2006/relationships/worksheet" Target="worksheets/sheet18.xml" /><Relationship Id="rId21" Type="http://schemas.openxmlformats.org/officeDocument/2006/relationships/sharedStrings" Target="sharedStrings.xml" /><Relationship Id="rId22" Type="http://schemas.openxmlformats.org/officeDocument/2006/relationships/externalLink" Target="externalLinks/externalLink1.xml" /><Relationship Id="rId23" Type="http://schemas.openxmlformats.org/officeDocument/2006/relationships/calcChain" Target="calcChain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9" Type="http://schemas.openxmlformats.org/officeDocument/2006/relationships/worksheet" Target="worksheets/sheet17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5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528" t="8843" r="7656" b="12835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78" t="6474" r="3921" b="6250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909" t="26109" r="3909" b="26107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>
          <xdr:nvSpPr>
            <xdr:cNvPr id="89089" name="Drop Down 1" hidden="1">
              <a:extLst>
                <a:ext uri="{63B3BB69-23CF-44E3-9099-C40C66FF867C}">
                  <a14:compatExt spid="_x0000_s89089"/>
                </a:ext>
                <a:ext uri="{FF2B5EF4-FFF2-40B4-BE49-F238E27FC236}">
                  <a16:creationId xmlns:a16="http://schemas.microsoft.com/office/drawing/2014/main" id="{00000000-0008-0000-0200-0000015c01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23850"/>
              <a:ext cx="838200" cy="190500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3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trlProp" Target="../ctrProps/ctrProp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B48242-23DB-4559-9BA6-D78DB6245827}">
  <sheetPr codeName="Sheet18"/>
  <dimension ref="A1:Z99"/>
  <sheetViews>
    <sheetView showGridLines="0" workbookViewId="0" topLeftCell="A1"/>
  </sheetViews>
  <sheetFormatPr defaultColWidth="8.85428571428571" defaultRowHeight="15"/>
  <cols>
    <col min="1" max="4" width="21.5714285714286" style="41" customWidth="1"/>
    <col min="5" max="6" width="14.1428571428571" style="41" customWidth="1"/>
    <col min="7" max="7" width="12.1428571428571" style="41" customWidth="1"/>
    <col min="8" max="10" width="8.14285714285714" style="41" customWidth="1"/>
    <col min="11" max="11" width="9.57142857142857" style="41" customWidth="1"/>
    <col min="12" max="12" width="8.14285714285714" style="41" customWidth="1"/>
    <col min="13" max="13" width="10" style="41" customWidth="1"/>
    <col min="14" max="14" width="11.4285714285714" style="41" customWidth="1"/>
    <col min="15" max="15" width="13.4285714285714" style="41" customWidth="1"/>
    <col min="16" max="16384" width="8.85714285714286" style="41"/>
  </cols>
  <sheetData>
    <row r="1" spans="1:26" ht="15">
      <c r="A1" s="39"/>
      <c r="B1" s="39"/>
      <c r="C1" s="39"/>
      <c r="D1" s="39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">
      <c r="A2" s="39"/>
      <c r="B2" s="39"/>
      <c r="C2" s="39"/>
      <c r="D2" s="39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">
      <c r="A3" s="39"/>
      <c r="B3" s="39"/>
      <c r="C3" s="39"/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">
      <c r="A4" s="39"/>
      <c r="B4" s="39"/>
      <c r="C4" s="39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">
      <c r="A5" s="39"/>
      <c r="B5" s="39"/>
      <c r="C5" s="39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">
      <c r="A6" s="39"/>
      <c r="B6" s="39"/>
      <c r="C6" s="39"/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">
      <c r="A7" s="39"/>
      <c r="B7" s="39"/>
      <c r="C7" s="39"/>
      <c r="D7" s="39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">
      <c r="A8" s="39"/>
      <c r="B8" s="39"/>
      <c r="C8" s="39"/>
      <c r="D8" s="39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">
      <c r="A9" s="39"/>
      <c r="B9" s="39"/>
      <c r="C9" s="39"/>
      <c r="D9" s="39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">
      <c r="A10" s="39"/>
      <c r="B10" s="39"/>
      <c r="C10" s="39"/>
      <c r="D10" s="39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">
      <c r="A11" s="39"/>
      <c r="B11" s="39"/>
      <c r="C11" s="39"/>
      <c r="D11" s="39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">
      <c r="A12" s="39"/>
      <c r="B12" s="39"/>
      <c r="C12" s="39"/>
      <c r="D12" s="39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">
      <c r="A13" s="39"/>
      <c r="B13" s="39"/>
      <c r="C13" s="39"/>
      <c r="D13" s="39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">
      <c r="A14" s="39"/>
      <c r="B14" s="39"/>
      <c r="C14" s="39"/>
      <c r="D14" s="39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">
      <c r="A15" s="39"/>
      <c r="B15" s="39"/>
      <c r="C15" s="39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02.75" customHeight="1">
      <c r="A16" s="2" t="s">
        <v>277</v>
      </c>
      <c r="B16" s="2"/>
      <c r="C16" s="2"/>
      <c r="D16" s="2"/>
      <c r="E16" s="42"/>
      <c r="F16" s="42"/>
      <c r="G16" s="43"/>
      <c r="H16" s="43"/>
      <c r="I16" s="43"/>
      <c r="J16" s="43"/>
      <c r="K16" s="43"/>
      <c r="L16" s="43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7.25" customHeight="1">
      <c r="A17" s="44"/>
      <c r="B17" s="44"/>
      <c r="C17" s="44"/>
      <c r="D17" s="44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7.25" customHeight="1">
      <c r="A18" s="44"/>
      <c r="B18" s="44"/>
      <c r="C18" s="44"/>
      <c r="D18" s="44"/>
      <c r="E18" s="45"/>
      <c r="F18" s="45"/>
      <c r="G18" s="46"/>
      <c r="H18" s="46"/>
      <c r="I18" s="46"/>
      <c r="J18" s="46"/>
      <c r="K18" s="46"/>
      <c r="L18" s="46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7.25" customHeight="1">
      <c r="A19" s="47" t="s">
        <v>278</v>
      </c>
      <c r="B19" s="3" t="s">
        <v>294</v>
      </c>
      <c r="C19" s="3"/>
      <c r="D19" s="3"/>
      <c r="E19" s="48"/>
      <c r="F19" s="48"/>
      <c r="G19" s="49"/>
      <c r="H19" s="49"/>
      <c r="I19" s="49"/>
      <c r="J19" s="49"/>
      <c r="K19" s="49"/>
      <c r="L19" s="49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7.25" customHeight="1">
      <c r="A20" s="47" t="s">
        <v>279</v>
      </c>
      <c r="B20" s="3" t="s">
        <v>289</v>
      </c>
      <c r="C20" s="3"/>
      <c r="D20" s="3"/>
      <c r="E20" s="48"/>
      <c r="F20" s="48"/>
      <c r="G20" s="49"/>
      <c r="H20" s="49"/>
      <c r="I20" s="49"/>
      <c r="J20" s="49"/>
      <c r="K20" s="49"/>
      <c r="L20" s="49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7.25" customHeight="1">
      <c r="A21" s="47" t="s">
        <v>280</v>
      </c>
      <c r="B21" s="50" t="s">
        <v>293</v>
      </c>
      <c r="C21" s="50"/>
      <c r="D21" s="50"/>
      <c r="E21" s="48"/>
      <c r="F21" s="48"/>
      <c r="G21" s="49"/>
      <c r="H21" s="49"/>
      <c r="I21" s="49"/>
      <c r="J21" s="49"/>
      <c r="K21" s="49"/>
      <c r="L21" s="49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7.25" customHeight="1">
      <c r="A22" s="47"/>
      <c r="B22" s="50"/>
      <c r="C22" s="50"/>
      <c r="D22" s="50"/>
      <c r="E22" s="48"/>
      <c r="F22" s="48"/>
      <c r="G22" s="49"/>
      <c r="H22" s="49"/>
      <c r="I22" s="49"/>
      <c r="J22" s="49"/>
      <c r="K22" s="49"/>
      <c r="L22" s="49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7.25" customHeight="1">
      <c r="A23" s="47" t="s">
        <v>281</v>
      </c>
      <c r="B23" s="3" t="s">
        <v>290</v>
      </c>
      <c r="C23" s="3"/>
      <c r="D23" s="3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7.25" customHeight="1">
      <c r="A24" s="47"/>
      <c r="B24" s="3" t="s">
        <v>291</v>
      </c>
      <c r="C24" s="3"/>
      <c r="D24" s="3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7.25" customHeight="1">
      <c r="A25" s="47"/>
      <c r="B25" s="3" t="s">
        <v>292</v>
      </c>
      <c r="C25" s="3"/>
      <c r="D25" s="3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7.25" customHeight="1">
      <c r="A26" s="47" t="s">
        <v>282</v>
      </c>
      <c r="B26" s="3" t="s">
        <v>290</v>
      </c>
      <c r="C26" s="3"/>
      <c r="D26" s="3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7.25" customHeight="1">
      <c r="A27" s="47"/>
      <c r="B27" s="3" t="s">
        <v>292</v>
      </c>
      <c r="C27" s="3"/>
      <c r="D27" s="3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7.25" customHeight="1">
      <c r="A28" s="47"/>
      <c r="B28" s="50"/>
      <c r="C28" s="50"/>
      <c r="D28" s="5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7.25" customHeight="1">
      <c r="A29" s="47" t="s">
        <v>283</v>
      </c>
      <c r="B29" s="51">
        <v>1</v>
      </c>
      <c r="C29" s="50"/>
      <c r="D29" s="5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7.25" customHeight="1">
      <c r="A30" s="47" t="s">
        <v>284</v>
      </c>
      <c r="B30" s="1" t="s">
        <v>285</v>
      </c>
      <c r="C30" s="3"/>
      <c r="D30" s="3"/>
      <c r="E30" s="52"/>
      <c r="F30" s="5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7.25" customHeight="1">
      <c r="A31" s="47" t="s">
        <v>286</v>
      </c>
      <c r="B31" s="3" t="s">
        <v>287</v>
      </c>
      <c r="C31" s="3"/>
      <c r="D31" s="3"/>
      <c r="E31" s="52"/>
      <c r="F31" s="5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7.25" customHeight="1">
      <c r="A32" s="53"/>
      <c r="B32" s="54" t="s">
        <v>288</v>
      </c>
      <c r="C32" s="53"/>
      <c r="D32" s="53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">
      <c r="A33" s="39"/>
      <c r="B33" s="39"/>
      <c r="C33" s="39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">
      <c r="A34" s="39"/>
      <c r="B34" s="39"/>
      <c r="C34" s="39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">
      <c r="A35" s="39"/>
      <c r="B35" s="39"/>
      <c r="C35" s="39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">
      <c r="A36" s="39"/>
      <c r="B36" s="39"/>
      <c r="C36" s="39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">
      <c r="A37" s="39"/>
      <c r="B37" s="39"/>
      <c r="C37" s="39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">
      <c r="A38" s="39"/>
      <c r="B38" s="39"/>
      <c r="C38" s="39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">
      <c r="A39" s="39"/>
      <c r="B39" s="39"/>
      <c r="C39" s="39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">
      <c r="A40" s="39"/>
      <c r="B40" s="39"/>
      <c r="C40" s="39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">
      <c r="A41" s="39"/>
      <c r="B41" s="39"/>
      <c r="C41" s="39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">
      <c r="A42" s="39"/>
      <c r="B42" s="39"/>
      <c r="C42" s="39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</sheetData>
  <mergeCells count="10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  <mergeCell ref="B25:D25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48C771-2846-4EF3-9D47-8D21B3EEDA44}">
  <sheetPr codeName="Sheet3">
    <tabColor theme="9"/>
  </sheetPr>
  <dimension ref="A3:E5"/>
  <sheetViews>
    <sheetView workbookViewId="0" topLeftCell="A1">
      <selection pane="topLeft" activeCell="C21" sqref="C21"/>
    </sheetView>
  </sheetViews>
  <sheetFormatPr defaultRowHeight="12.75"/>
  <cols>
    <col min="1" max="1" width="11.5714285714286" customWidth="1"/>
    <col min="2" max="2" width="15.5714285714286" customWidth="1"/>
    <col min="3" max="3" width="13.8571428571429" customWidth="1"/>
    <col min="4" max="4" width="19.8571428571429" customWidth="1"/>
    <col min="5" max="5" width="60.4285714285714" customWidth="1"/>
  </cols>
  <sheetData>
    <row r="3" spans="1:5" ht="12.75">
      <c r="A3" s="8" t="s">
        <v>232</v>
      </c>
      <c r="B3" s="8" t="s">
        <v>233</v>
      </c>
      <c r="C3" s="8" t="s">
        <v>234</v>
      </c>
      <c r="D3" s="8" t="s">
        <v>235</v>
      </c>
      <c r="E3" s="8" t="s">
        <v>236</v>
      </c>
    </row>
    <row r="4" spans="1:5" ht="12.75">
      <c r="A4" s="35">
        <v>44237</v>
      </c>
      <c r="B4" s="20" t="s">
        <v>240</v>
      </c>
      <c r="C4" s="20" t="s">
        <v>241</v>
      </c>
      <c r="D4" s="20"/>
      <c r="E4" s="20" t="s">
        <v>242</v>
      </c>
    </row>
    <row r="5" spans="1:5" s="20" customFormat="1" ht="12.75">
      <c r="A5" s="35">
        <v>44232</v>
      </c>
      <c r="B5" s="20" t="s">
        <v>237</v>
      </c>
      <c r="C5" s="20" t="s">
        <v>238</v>
      </c>
      <c r="D5" s="20" t="str">
        <f>ADDRESS(ROW(AF!A3),COLUMN(AF!A3),4,1)&amp;","&amp;ADDRESS(ROW(AF!J3),COLUMN(AF!J3),4,1)&amp;","&amp;ADDRESS(ROW(AF!J17),COLUMN(AF!J17),4,1)</f>
        <v>A3,J3,J17</v>
      </c>
      <c r="E5" s="20" t="s">
        <v>239</v>
      </c>
    </row>
  </sheetData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227F1A-FF79-40D3-BC21-2994503EB412}">
  <sheetPr codeName="Sheet1"/>
  <dimension ref="A3:AD37"/>
  <sheetViews>
    <sheetView workbookViewId="0" topLeftCell="A1">
      <selection pane="topLeft" activeCell="J13" sqref="J13"/>
    </sheetView>
  </sheetViews>
  <sheetFormatPr defaultColWidth="9.14428571428571" defaultRowHeight="12.75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5">
      <c r="C3" s="11" t="str" cm="1">
        <f t="array" ref="C3">INDEX(C5:C7,$A$4)</f>
        <v>IE</v>
      </c>
      <c r="D3" s="11" t="str" cm="1">
        <f t="array" ref="D3">INDEX(D5:D7,$A$4)</f>
        <v>National</v>
      </c>
      <c r="E3" s="11" t="str" cm="1">
        <f t="array" ref="E3">INDEX(E5:E7,$A$4)</f>
        <v>IE-CW</v>
      </c>
      <c r="F3" s="11" t="str" cm="1">
        <f t="array" ref="F3">INDEX(F5:F7,$A$4)</f>
        <v>IE-D</v>
      </c>
      <c r="G3" s="11" t="str" cm="1">
        <f t="array" ref="G3">INDEX(G5:G7,$A$4)</f>
        <v>IE-KE</v>
      </c>
      <c r="H3" s="11" t="str" cm="1">
        <f t="array" ref="H3">INDEX(H5:H7,$A$4)</f>
        <v>IE-KK</v>
      </c>
      <c r="I3" s="11" t="str" cm="1">
        <f t="array" ref="I3">INDEX(I5:I7,$A$4)</f>
        <v>IE-LS</v>
      </c>
      <c r="J3" s="11" t="str" cm="1">
        <f t="array" ref="J3">INDEX(J5:J7,$A$4)</f>
        <v>IE-LD</v>
      </c>
      <c r="K3" s="11" t="str" cm="1">
        <f t="array" ref="K3">INDEX(K5:K7,$A$4)</f>
        <v>IE-LH</v>
      </c>
      <c r="L3" s="11" t="str" cm="1">
        <f t="array" ref="L3">INDEX(L5:L7,$A$4)</f>
        <v>IE-MH</v>
      </c>
      <c r="M3" s="11" t="str" cm="1">
        <f t="array" ref="M3">INDEX(M5:M7,$A$4)</f>
        <v>IE-OY</v>
      </c>
      <c r="N3" s="11" t="str" cm="1">
        <f t="array" ref="N3">INDEX(N5:N7,$A$4)</f>
        <v>IE-WH</v>
      </c>
      <c r="O3" s="11" t="str" cm="1">
        <f t="array" ref="O3">INDEX(O5:O7,$A$4)</f>
        <v>IE-WX</v>
      </c>
      <c r="P3" s="11" t="str" cm="1">
        <f t="array" ref="P3">INDEX(P5:P7,$A$4)</f>
        <v>IE-WW</v>
      </c>
      <c r="Q3" s="11" t="str" cm="1">
        <f t="array" ref="Q3">INDEX(Q5:Q7,$A$4)</f>
        <v>IE-CE</v>
      </c>
      <c r="R3" s="11" t="str" cm="1">
        <f t="array" ref="R3">INDEX(R5:R7,$A$4)</f>
        <v>IE-CO</v>
      </c>
      <c r="S3" s="11" t="str" cm="1">
        <f t="array" ref="S3">INDEX(S5:S7,$A$4)</f>
        <v>IE-KY</v>
      </c>
      <c r="T3" s="11" t="str" cm="1">
        <f t="array" ref="T3">INDEX(T5:T7,$A$4)</f>
        <v>IE-LK</v>
      </c>
      <c r="U3" s="11" t="str" cm="1">
        <f t="array" ref="U3">INDEX(U5:U7,$A$4)</f>
        <v>IE-TA</v>
      </c>
      <c r="V3" s="11" t="str" cm="1">
        <f t="array" ref="V3">INDEX(V5:V7,$A$4)</f>
        <v>IE-WD</v>
      </c>
      <c r="W3" s="11" t="str" cm="1">
        <f t="array" ref="W3">INDEX(W5:W7,$A$4)</f>
        <v>IE-G</v>
      </c>
      <c r="X3" s="11" t="str" cm="1">
        <f t="array" ref="X3">INDEX(X5:X7,$A$4)</f>
        <v>IE-LM</v>
      </c>
      <c r="Y3" s="11" t="str" cm="1">
        <f t="array" ref="Y3">INDEX(Y5:Y7,$A$4)</f>
        <v>IE-MO</v>
      </c>
      <c r="Z3" s="11" t="str" cm="1">
        <f t="array" ref="Z3">INDEX(Z5:Z7,$A$4)</f>
        <v>IE-RN</v>
      </c>
      <c r="AA3" s="11" t="str" cm="1">
        <f t="array" ref="AA3">INDEX(AA5:AA7,$A$4)</f>
        <v>IE-SO</v>
      </c>
      <c r="AB3" s="11" t="str" cm="1">
        <f t="array" ref="AB3">INDEX(AB5:AB7,$A$4)</f>
        <v>IE-CN</v>
      </c>
      <c r="AC3" s="11" t="str" cm="1">
        <f t="array" ref="AC3">INDEX(AC5:AC7,$A$4)</f>
        <v>IE-DL</v>
      </c>
      <c r="AD3" s="11" t="str" cm="1">
        <f t="array" ref="AD3">INDEX(AD5:AD7,$A$4)</f>
        <v>IE-MN</v>
      </c>
    </row>
    <row r="4" spans="1:1" ht="12.75">
      <c r="A4">
        <v>1</v>
      </c>
    </row>
    <row r="5" spans="1:30" ht="15">
      <c r="A5" t="s">
        <v>10</v>
      </c>
      <c r="C5" s="12" t="s">
        <v>0</v>
      </c>
      <c r="D5" s="12" t="s">
        <v>9</v>
      </c>
      <c r="E5" s="11" t="str">
        <f>Regions!A11</f>
        <v>IE-CW</v>
      </c>
      <c r="F5" s="11" t="str">
        <f>Regions!A16</f>
        <v>IE-D</v>
      </c>
      <c r="G5" s="11" t="str">
        <f>Regions!A19</f>
        <v>IE-KE</v>
      </c>
      <c r="H5" s="11" t="str">
        <f>Regions!A20</f>
        <v>IE-KK</v>
      </c>
      <c r="I5" s="11" t="str">
        <f>Regions!A21</f>
        <v>IE-LS</v>
      </c>
      <c r="J5" s="11" t="str">
        <f>Regions!A24</f>
        <v>IE-LD</v>
      </c>
      <c r="K5" s="11" t="str">
        <f>Regions!A25</f>
        <v>IE-LH</v>
      </c>
      <c r="L5" s="11" t="str">
        <f>Regions!A27</f>
        <v>IE-MH</v>
      </c>
      <c r="M5" s="11" t="str">
        <f>Regions!A29</f>
        <v>IE-OY</v>
      </c>
      <c r="N5" s="11" t="str">
        <f>Regions!A34</f>
        <v>IE-WH</v>
      </c>
      <c r="O5" s="11" t="str">
        <f>Regions!A35</f>
        <v>IE-WX</v>
      </c>
      <c r="P5" s="11" t="str">
        <f>Regions!A36</f>
        <v>IE-WW</v>
      </c>
      <c r="Q5" s="11" t="str">
        <f>Regions!A13</f>
        <v>IE-CE</v>
      </c>
      <c r="R5" s="11" t="str">
        <f>Regions!A14</f>
        <v>IE-CO</v>
      </c>
      <c r="S5" s="11" t="str">
        <f>Regions!A18</f>
        <v>IE-KY</v>
      </c>
      <c r="T5" s="11" t="str">
        <f>Regions!A23</f>
        <v>IE-LK</v>
      </c>
      <c r="U5" s="11" t="str">
        <f>Regions!A32</f>
        <v>IE-TA</v>
      </c>
      <c r="V5" s="11" t="str">
        <f>Regions!A33</f>
        <v>IE-WD</v>
      </c>
      <c r="W5" s="11" t="str">
        <f>Regions!A17</f>
        <v>IE-G</v>
      </c>
      <c r="X5" s="11" t="str">
        <f>Regions!A22</f>
        <v>IE-LM</v>
      </c>
      <c r="Y5" s="11" t="str">
        <f>Regions!A26</f>
        <v>IE-MO</v>
      </c>
      <c r="Z5" s="11" t="str">
        <f>Regions!A30</f>
        <v>IE-RN</v>
      </c>
      <c r="AA5" s="11" t="str">
        <f>Regions!A31</f>
        <v>IE-SO</v>
      </c>
      <c r="AB5" s="11" t="str">
        <f>Regions!A12</f>
        <v>IE-CN</v>
      </c>
      <c r="AC5" s="11" t="str">
        <f>Regions!A15</f>
        <v>IE-DL</v>
      </c>
      <c r="AD5" s="11" t="str">
        <f>Regions!A28</f>
        <v>IE-MN</v>
      </c>
    </row>
    <row r="6" spans="1:30" ht="15">
      <c r="A6" t="s">
        <v>11</v>
      </c>
      <c r="C6" s="11" t="str">
        <f>C5</f>
        <v>IE</v>
      </c>
      <c r="D6" s="11" t="str">
        <f>"*"&amp;D5</f>
        <v>*National</v>
      </c>
      <c r="E6" s="11" t="str">
        <f t="shared" si="0" ref="E6:AD6">"*"&amp;E5</f>
        <v>*IE-CW</v>
      </c>
      <c r="F6" s="11" t="str">
        <f t="shared" si="0"/>
        <v>*IE-D</v>
      </c>
      <c r="G6" s="11" t="str">
        <f t="shared" si="0"/>
        <v>*IE-KE</v>
      </c>
      <c r="H6" s="11" t="str">
        <f t="shared" si="0"/>
        <v>*IE-KK</v>
      </c>
      <c r="I6" s="11" t="str">
        <f t="shared" si="0"/>
        <v>*IE-LS</v>
      </c>
      <c r="J6" s="11" t="str">
        <f t="shared" si="0"/>
        <v>*IE-LD</v>
      </c>
      <c r="K6" s="11" t="str">
        <f t="shared" si="0"/>
        <v>*IE-LH</v>
      </c>
      <c r="L6" s="11" t="str">
        <f t="shared" si="0"/>
        <v>*IE-MH</v>
      </c>
      <c r="M6" s="11" t="str">
        <f t="shared" si="0"/>
        <v>*IE-OY</v>
      </c>
      <c r="N6" s="11" t="str">
        <f t="shared" si="0"/>
        <v>*IE-WH</v>
      </c>
      <c r="O6" s="11" t="str">
        <f t="shared" si="0"/>
        <v>*IE-WX</v>
      </c>
      <c r="P6" s="11" t="str">
        <f t="shared" si="0"/>
        <v>*IE-WW</v>
      </c>
      <c r="Q6" s="11" t="str">
        <f t="shared" si="0"/>
        <v>*IE-CE</v>
      </c>
      <c r="R6" s="11" t="str">
        <f t="shared" si="0"/>
        <v>*IE-CO</v>
      </c>
      <c r="S6" s="11" t="str">
        <f t="shared" si="0"/>
        <v>*IE-KY</v>
      </c>
      <c r="T6" s="11" t="str">
        <f t="shared" si="0"/>
        <v>*IE-LK</v>
      </c>
      <c r="U6" s="11" t="str">
        <f t="shared" si="0"/>
        <v>*IE-TA</v>
      </c>
      <c r="V6" s="11" t="str">
        <f t="shared" si="0"/>
        <v>*IE-WD</v>
      </c>
      <c r="W6" s="11" t="str">
        <f t="shared" si="0"/>
        <v>*IE-G</v>
      </c>
      <c r="X6" s="11" t="str">
        <f t="shared" si="0"/>
        <v>*IE-LM</v>
      </c>
      <c r="Y6" s="11" t="str">
        <f t="shared" si="0"/>
        <v>*IE-MO</v>
      </c>
      <c r="Z6" s="11" t="str">
        <f t="shared" si="0"/>
        <v>*IE-RN</v>
      </c>
      <c r="AA6" s="11" t="str">
        <f t="shared" si="0"/>
        <v>*IE-SO</v>
      </c>
      <c r="AB6" s="11" t="str">
        <f t="shared" si="0"/>
        <v>*IE-CN</v>
      </c>
      <c r="AC6" s="11" t="str">
        <f t="shared" si="0"/>
        <v>*IE-DL</v>
      </c>
      <c r="AD6" s="11" t="str">
        <f t="shared" si="0"/>
        <v>*IE-MN</v>
      </c>
    </row>
    <row r="7" spans="1:30" ht="15">
      <c r="A7" t="s">
        <v>12</v>
      </c>
      <c r="C7" s="11" t="str">
        <f>"*"&amp;C5</f>
        <v>*IE</v>
      </c>
      <c r="D7" s="11" t="str">
        <f>D5</f>
        <v>National</v>
      </c>
      <c r="E7" s="11" t="str">
        <f t="shared" si="1" ref="E7:AD7">E5</f>
        <v>IE-CW</v>
      </c>
      <c r="F7" s="11" t="str">
        <f t="shared" si="1"/>
        <v>IE-D</v>
      </c>
      <c r="G7" s="11" t="str">
        <f t="shared" si="1"/>
        <v>IE-KE</v>
      </c>
      <c r="H7" s="11" t="str">
        <f t="shared" si="1"/>
        <v>IE-KK</v>
      </c>
      <c r="I7" s="11" t="str">
        <f t="shared" si="1"/>
        <v>IE-LS</v>
      </c>
      <c r="J7" s="11" t="str">
        <f t="shared" si="1"/>
        <v>IE-LD</v>
      </c>
      <c r="K7" s="11" t="str">
        <f t="shared" si="1"/>
        <v>IE-LH</v>
      </c>
      <c r="L7" s="11" t="str">
        <f t="shared" si="1"/>
        <v>IE-MH</v>
      </c>
      <c r="M7" s="11" t="str">
        <f t="shared" si="1"/>
        <v>IE-OY</v>
      </c>
      <c r="N7" s="11" t="str">
        <f t="shared" si="1"/>
        <v>IE-WH</v>
      </c>
      <c r="O7" s="11" t="str">
        <f t="shared" si="1"/>
        <v>IE-WX</v>
      </c>
      <c r="P7" s="11" t="str">
        <f t="shared" si="1"/>
        <v>IE-WW</v>
      </c>
      <c r="Q7" s="11" t="str">
        <f t="shared" si="1"/>
        <v>IE-CE</v>
      </c>
      <c r="R7" s="11" t="str">
        <f t="shared" si="1"/>
        <v>IE-CO</v>
      </c>
      <c r="S7" s="11" t="str">
        <f t="shared" si="1"/>
        <v>IE-KY</v>
      </c>
      <c r="T7" s="11" t="str">
        <f t="shared" si="1"/>
        <v>IE-LK</v>
      </c>
      <c r="U7" s="11" t="str">
        <f t="shared" si="1"/>
        <v>IE-TA</v>
      </c>
      <c r="V7" s="11" t="str">
        <f t="shared" si="1"/>
        <v>IE-WD</v>
      </c>
      <c r="W7" s="11" t="str">
        <f t="shared" si="1"/>
        <v>IE-G</v>
      </c>
      <c r="X7" s="11" t="str">
        <f t="shared" si="1"/>
        <v>IE-LM</v>
      </c>
      <c r="Y7" s="11" t="str">
        <f t="shared" si="1"/>
        <v>IE-MO</v>
      </c>
      <c r="Z7" s="11" t="str">
        <f t="shared" si="1"/>
        <v>IE-RN</v>
      </c>
      <c r="AA7" s="11" t="str">
        <f t="shared" si="1"/>
        <v>IE-SO</v>
      </c>
      <c r="AB7" s="11" t="str">
        <f t="shared" si="1"/>
        <v>IE-CN</v>
      </c>
      <c r="AC7" s="11" t="str">
        <f t="shared" si="1"/>
        <v>IE-DL</v>
      </c>
      <c r="AD7" s="11" t="str">
        <f t="shared" si="1"/>
        <v>IE-MN</v>
      </c>
    </row>
    <row r="10" spans="1:2" ht="15.75" thickBot="1">
      <c r="A10" s="13" t="s">
        <v>13</v>
      </c>
      <c r="B10" s="13" t="s">
        <v>14</v>
      </c>
    </row>
    <row r="11" spans="1:2" ht="12.75">
      <c r="A11" s="14" t="s">
        <v>15</v>
      </c>
      <c r="B11" s="14" t="s">
        <v>16</v>
      </c>
    </row>
    <row r="12" spans="1:2" ht="12.75">
      <c r="A12" s="15" t="s">
        <v>17</v>
      </c>
      <c r="B12" s="15" t="s">
        <v>18</v>
      </c>
    </row>
    <row r="13" spans="1:2" ht="12.75">
      <c r="A13" s="15" t="s">
        <v>19</v>
      </c>
      <c r="B13" s="15" t="s">
        <v>20</v>
      </c>
    </row>
    <row r="14" spans="1:2" ht="12.75">
      <c r="A14" s="15" t="s">
        <v>21</v>
      </c>
      <c r="B14" s="15" t="s">
        <v>22</v>
      </c>
    </row>
    <row r="15" spans="1:2" ht="12.75">
      <c r="A15" s="15" t="s">
        <v>23</v>
      </c>
      <c r="B15" s="15" t="s">
        <v>24</v>
      </c>
    </row>
    <row r="16" spans="1:2" ht="12.75">
      <c r="A16" s="15" t="s">
        <v>25</v>
      </c>
      <c r="B16" s="15" t="s">
        <v>26</v>
      </c>
    </row>
    <row r="17" spans="1:2" ht="12.75">
      <c r="A17" s="15" t="s">
        <v>27</v>
      </c>
      <c r="B17" s="15" t="s">
        <v>28</v>
      </c>
    </row>
    <row r="18" spans="1:2" ht="12.75">
      <c r="A18" s="15" t="s">
        <v>29</v>
      </c>
      <c r="B18" s="15" t="s">
        <v>30</v>
      </c>
    </row>
    <row r="19" spans="1:2" ht="12.75">
      <c r="A19" s="15" t="s">
        <v>31</v>
      </c>
      <c r="B19" s="15" t="s">
        <v>32</v>
      </c>
    </row>
    <row r="20" spans="1:2" ht="12.75">
      <c r="A20" s="15" t="s">
        <v>33</v>
      </c>
      <c r="B20" s="15" t="s">
        <v>34</v>
      </c>
    </row>
    <row r="21" spans="1:2" ht="12.75">
      <c r="A21" s="15" t="s">
        <v>35</v>
      </c>
      <c r="B21" s="15" t="s">
        <v>36</v>
      </c>
    </row>
    <row r="22" spans="1:2" ht="12.75">
      <c r="A22" s="15" t="s">
        <v>37</v>
      </c>
      <c r="B22" s="15" t="s">
        <v>38</v>
      </c>
    </row>
    <row r="23" spans="1:2" ht="12.75">
      <c r="A23" s="15" t="s">
        <v>39</v>
      </c>
      <c r="B23" s="15" t="s">
        <v>40</v>
      </c>
    </row>
    <row r="24" spans="1:2" ht="12.75">
      <c r="A24" s="15" t="s">
        <v>41</v>
      </c>
      <c r="B24" s="15" t="s">
        <v>42</v>
      </c>
    </row>
    <row r="25" spans="1:2" ht="12.75">
      <c r="A25" s="15" t="s">
        <v>43</v>
      </c>
      <c r="B25" s="15" t="s">
        <v>44</v>
      </c>
    </row>
    <row r="26" spans="1:2" ht="12.75">
      <c r="A26" s="15" t="s">
        <v>45</v>
      </c>
      <c r="B26" s="15" t="s">
        <v>46</v>
      </c>
    </row>
    <row r="27" spans="1:2" ht="12.75">
      <c r="A27" s="15" t="s">
        <v>47</v>
      </c>
      <c r="B27" s="15" t="s">
        <v>48</v>
      </c>
    </row>
    <row r="28" spans="1:2" ht="12.75">
      <c r="A28" s="15" t="s">
        <v>49</v>
      </c>
      <c r="B28" s="15" t="s">
        <v>50</v>
      </c>
    </row>
    <row r="29" spans="1:2" ht="12.75">
      <c r="A29" s="15" t="s">
        <v>51</v>
      </c>
      <c r="B29" s="15" t="s">
        <v>52</v>
      </c>
    </row>
    <row r="30" spans="1:2" ht="12.75">
      <c r="A30" s="15" t="s">
        <v>53</v>
      </c>
      <c r="B30" s="15" t="s">
        <v>54</v>
      </c>
    </row>
    <row r="31" spans="1:2" ht="12.75">
      <c r="A31" s="15" t="s">
        <v>55</v>
      </c>
      <c r="B31" s="15" t="s">
        <v>56</v>
      </c>
    </row>
    <row r="32" spans="1:2" ht="12.75">
      <c r="A32" s="15" t="s">
        <v>57</v>
      </c>
      <c r="B32" s="15" t="s">
        <v>58</v>
      </c>
    </row>
    <row r="33" spans="1:2" ht="12.75">
      <c r="A33" s="15" t="s">
        <v>59</v>
      </c>
      <c r="B33" s="15" t="s">
        <v>60</v>
      </c>
    </row>
    <row r="34" spans="1:2" ht="12.75">
      <c r="A34" s="15" t="s">
        <v>61</v>
      </c>
      <c r="B34" s="15" t="s">
        <v>62</v>
      </c>
    </row>
    <row r="35" spans="1:2" ht="12.75">
      <c r="A35" s="15" t="s">
        <v>63</v>
      </c>
      <c r="B35" s="15" t="s">
        <v>64</v>
      </c>
    </row>
    <row r="36" spans="1:2" ht="12.75">
      <c r="A36" s="15" t="s">
        <v>65</v>
      </c>
      <c r="B36" s="15" t="s">
        <v>66</v>
      </c>
    </row>
    <row r="37" spans="1:1" ht="15">
      <c r="A37" s="16" t="s">
        <v>67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89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A7"/>
  <sheetViews>
    <sheetView workbookViewId="0" topLeftCell="A1">
      <selection pane="topLeft" activeCell="D31" sqref="D31"/>
    </sheetView>
  </sheetViews>
  <sheetFormatPr defaultRowHeight="12.75"/>
  <cols>
    <col min="1" max="1" width="2.42857142857143" customWidth="1"/>
    <col min="2" max="2" width="10" customWidth="1"/>
    <col min="3" max="3" width="23.4285714285714" bestFit="1" customWidth="1"/>
    <col min="4" max="4" width="9.42857142857143" bestFit="1" customWidth="1"/>
    <col min="5" max="5" width="9.57142857142857" bestFit="1" customWidth="1"/>
    <col min="6" max="6" width="8.57142857142857" bestFit="1" customWidth="1"/>
    <col min="7" max="7" width="8.57142857142857" customWidth="1"/>
    <col min="8" max="8" width="2.57142857142857" style="5" bestFit="1" customWidth="1"/>
    <col min="9" max="9" width="8.57142857142857" style="5" bestFit="1" customWidth="1"/>
    <col min="10" max="11" width="3.57142857142857" style="5" bestFit="1" customWidth="1"/>
    <col min="12" max="13" width="3.42857142857143" style="5" bestFit="1" customWidth="1"/>
    <col min="14" max="15" width="3.57142857142857" style="5" bestFit="1" customWidth="1"/>
    <col min="16" max="17" width="3.42857142857143" style="5" bestFit="1" customWidth="1"/>
    <col min="18" max="18" width="2.57142857142857" style="5" bestFit="1" customWidth="1"/>
    <col min="19" max="19" width="3.42857142857143" style="5" bestFit="1" customWidth="1"/>
    <col min="20" max="21" width="3.57142857142857" style="5" bestFit="1" customWidth="1"/>
    <col min="22" max="24" width="2.57142857142857" style="5" bestFit="1" customWidth="1"/>
    <col min="25" max="27" width="3.42857142857143" style="5" bestFit="1" customWidth="1"/>
    <col min="28" max="28" width="3.57142857142857" bestFit="1" customWidth="1"/>
    <col min="29" max="29" width="3.42857142857143" bestFit="1" customWidth="1"/>
    <col min="30" max="30" width="3.57142857142857" bestFit="1" customWidth="1"/>
    <col min="31" max="32" width="3.42857142857143" bestFit="1" customWidth="1"/>
    <col min="33" max="33" width="3.57142857142857" bestFit="1" customWidth="1"/>
    <col min="34" max="34" width="3.42857142857143" bestFit="1" customWidth="1"/>
    <col min="35" max="35" width="2.57142857142857" bestFit="1" customWidth="1"/>
    <col min="36" max="37" width="3.57142857142857" bestFit="1" customWidth="1"/>
  </cols>
  <sheetData>
    <row r="3" spans="2:27" ht="12.75">
      <c r="B3" s="6" t="s">
        <v>2</v>
      </c>
      <c r="I3" s="4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2:27" ht="13.5" thickBot="1"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9" t="s">
        <v>8</v>
      </c>
      <c r="H4" s="9" t="str">
        <f>Regions!C3</f>
        <v>IE</v>
      </c>
      <c r="I4" s="10" t="str">
        <f>Regions!D3</f>
        <v>National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3:27" ht="12.75">
      <c r="C5" s="8" t="s">
        <v>1</v>
      </c>
      <c r="G5">
        <v>0</v>
      </c>
      <c r="H5">
        <v>1</v>
      </c>
      <c r="I5" s="4">
        <v>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0:27" ht="12.75"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0:27" ht="12.75"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B2D9AA-4BE5-4F38-9B6C-B8B42CE79AC5}">
  <sheetPr codeName="Sheet4">
    <tabColor rgb="FFFFC000"/>
  </sheetPr>
  <dimension ref="B1:AD35"/>
  <sheetViews>
    <sheetView workbookViewId="0" topLeftCell="A1">
      <selection pane="topLeft" activeCell="X18" sqref="X18"/>
    </sheetView>
  </sheetViews>
  <sheetFormatPr defaultColWidth="9.14428571428571" defaultRowHeight="12.75"/>
  <cols>
    <col min="1" max="5" width="9.14285714285714" style="18"/>
    <col min="6" max="6" width="12.8571428571429" style="18" customWidth="1"/>
    <col min="7" max="15" width="9.14285714285714" style="18"/>
    <col min="16" max="16" width="11.4285714285714" style="18" customWidth="1"/>
    <col min="17" max="25" width="9.14285714285714" style="18"/>
    <col min="26" max="26" width="11.5714285714286" style="18" customWidth="1"/>
    <col min="27" max="16384" width="9.14285714285714" style="18"/>
  </cols>
  <sheetData>
    <row r="1" spans="2:22" ht="23.25">
      <c r="B1" s="17" t="s">
        <v>91</v>
      </c>
      <c r="L1" s="17" t="s">
        <v>91</v>
      </c>
      <c r="V1" s="17" t="s">
        <v>180</v>
      </c>
    </row>
    <row r="3" spans="2:30" ht="15">
      <c r="B3" s="19" t="s">
        <v>85</v>
      </c>
      <c r="C3" s="19"/>
      <c r="D3" s="19"/>
      <c r="E3" s="19"/>
      <c r="F3" s="20"/>
      <c r="G3" s="20"/>
      <c r="H3" s="20"/>
      <c r="I3" s="20"/>
      <c r="J3" s="20"/>
      <c r="L3" s="19" t="s">
        <v>92</v>
      </c>
      <c r="M3" s="19"/>
      <c r="N3" s="19"/>
      <c r="O3" s="19"/>
      <c r="P3" s="20"/>
      <c r="Q3" s="20"/>
      <c r="R3" s="20"/>
      <c r="S3" s="20"/>
      <c r="T3" s="20"/>
      <c r="V3" s="19" t="s">
        <v>178</v>
      </c>
      <c r="W3" s="19"/>
      <c r="X3" s="19"/>
      <c r="Y3" s="19"/>
      <c r="Z3" s="20"/>
      <c r="AA3" s="20"/>
      <c r="AB3" s="20"/>
      <c r="AC3" s="20"/>
      <c r="AD3" s="20"/>
    </row>
    <row r="4" spans="2:30" ht="18" customHeight="1" thickBot="1">
      <c r="B4" s="21" t="s">
        <v>68</v>
      </c>
      <c r="C4" s="21" t="s">
        <v>69</v>
      </c>
      <c r="D4" s="21" t="s">
        <v>70</v>
      </c>
      <c r="E4" s="21" t="s">
        <v>71</v>
      </c>
      <c r="F4" s="21" t="s">
        <v>72</v>
      </c>
      <c r="G4" s="21" t="s">
        <v>73</v>
      </c>
      <c r="H4" s="21" t="s">
        <v>74</v>
      </c>
      <c r="I4" s="21" t="s">
        <v>75</v>
      </c>
      <c r="J4" s="21" t="s">
        <v>76</v>
      </c>
      <c r="L4" s="21" t="s">
        <v>68</v>
      </c>
      <c r="M4" s="21" t="s">
        <v>69</v>
      </c>
      <c r="N4" s="21" t="s">
        <v>70</v>
      </c>
      <c r="O4" s="21" t="s">
        <v>71</v>
      </c>
      <c r="P4" s="21" t="s">
        <v>72</v>
      </c>
      <c r="Q4" s="21" t="s">
        <v>73</v>
      </c>
      <c r="R4" s="21" t="s">
        <v>74</v>
      </c>
      <c r="S4" s="21" t="s">
        <v>75</v>
      </c>
      <c r="T4" s="21" t="s">
        <v>76</v>
      </c>
      <c r="V4" s="21" t="s">
        <v>68</v>
      </c>
      <c r="W4" s="21" t="s">
        <v>69</v>
      </c>
      <c r="X4" s="21" t="s">
        <v>70</v>
      </c>
      <c r="Y4" s="21" t="s">
        <v>71</v>
      </c>
      <c r="Z4" s="21" t="s">
        <v>72</v>
      </c>
      <c r="AA4" s="21" t="s">
        <v>73</v>
      </c>
      <c r="AB4" s="21" t="s">
        <v>74</v>
      </c>
      <c r="AC4" s="21" t="s">
        <v>75</v>
      </c>
      <c r="AD4" s="21" t="s">
        <v>76</v>
      </c>
    </row>
    <row r="5" spans="2:30" ht="15">
      <c r="B5" s="27" t="s">
        <v>77</v>
      </c>
      <c r="C5" s="27"/>
      <c r="D5" s="28" t="s">
        <v>78</v>
      </c>
      <c r="E5" s="27">
        <v>2018</v>
      </c>
      <c r="F5" s="27">
        <v>1</v>
      </c>
      <c r="G5" s="29"/>
      <c r="H5" s="29" t="s">
        <v>196</v>
      </c>
      <c r="I5" s="29"/>
      <c r="J5" s="29"/>
      <c r="L5" s="27" t="s">
        <v>77</v>
      </c>
      <c r="M5" s="27"/>
      <c r="N5" s="28" t="s">
        <v>78</v>
      </c>
      <c r="O5" s="27">
        <v>2018</v>
      </c>
      <c r="P5" s="27">
        <v>1</v>
      </c>
      <c r="Q5" s="29"/>
      <c r="R5" s="29" t="s">
        <v>93</v>
      </c>
      <c r="S5" s="29"/>
      <c r="T5" s="29"/>
      <c r="V5" s="27" t="s">
        <v>77</v>
      </c>
      <c r="W5" s="27"/>
      <c r="X5" s="28" t="s">
        <v>177</v>
      </c>
      <c r="Y5" s="27">
        <v>2018</v>
      </c>
      <c r="Z5" s="27">
        <v>1</v>
      </c>
      <c r="AA5" s="29"/>
      <c r="AB5" s="29" t="s">
        <v>86</v>
      </c>
      <c r="AC5" s="29"/>
      <c r="AD5" s="29"/>
    </row>
    <row r="6" spans="2:30" ht="15">
      <c r="B6" s="20"/>
      <c r="C6" s="20"/>
      <c r="D6" s="22"/>
      <c r="E6" s="20"/>
      <c r="F6" s="20"/>
      <c r="G6" s="22"/>
      <c r="H6" s="22"/>
      <c r="I6" s="20"/>
      <c r="J6" s="20"/>
      <c r="V6" s="27" t="s">
        <v>77</v>
      </c>
      <c r="W6" s="27"/>
      <c r="X6" s="28" t="s">
        <v>177</v>
      </c>
      <c r="Y6" s="27">
        <v>2018</v>
      </c>
      <c r="Z6" s="27">
        <v>1</v>
      </c>
      <c r="AA6" s="29"/>
      <c r="AB6" s="29" t="s">
        <v>88</v>
      </c>
      <c r="AC6" s="29"/>
      <c r="AD6" s="29"/>
    </row>
    <row r="8" spans="2:20" ht="15">
      <c r="B8" s="19" t="s">
        <v>87</v>
      </c>
      <c r="C8" s="19"/>
      <c r="D8" s="19"/>
      <c r="E8" s="19"/>
      <c r="F8" s="20"/>
      <c r="G8" s="20"/>
      <c r="H8" s="20"/>
      <c r="I8" s="20"/>
      <c r="J8" s="20"/>
      <c r="L8" s="19" t="s">
        <v>94</v>
      </c>
      <c r="M8" s="19"/>
      <c r="N8" s="19"/>
      <c r="O8" s="19"/>
      <c r="P8" s="20"/>
      <c r="Q8" s="20"/>
      <c r="R8" s="20"/>
      <c r="S8" s="20"/>
      <c r="T8" s="20"/>
    </row>
    <row r="9" spans="2:20" ht="15.75" thickBot="1">
      <c r="B9" s="21" t="s">
        <v>68</v>
      </c>
      <c r="C9" s="21" t="s">
        <v>69</v>
      </c>
      <c r="D9" s="21" t="s">
        <v>70</v>
      </c>
      <c r="E9" s="21" t="s">
        <v>71</v>
      </c>
      <c r="F9" s="21" t="s">
        <v>72</v>
      </c>
      <c r="G9" s="21" t="s">
        <v>73</v>
      </c>
      <c r="H9" s="21" t="s">
        <v>74</v>
      </c>
      <c r="I9" s="21" t="s">
        <v>75</v>
      </c>
      <c r="J9" s="21" t="s">
        <v>76</v>
      </c>
      <c r="L9" s="21" t="s">
        <v>68</v>
      </c>
      <c r="M9" s="21" t="s">
        <v>69</v>
      </c>
      <c r="N9" s="21" t="s">
        <v>70</v>
      </c>
      <c r="O9" s="21" t="s">
        <v>71</v>
      </c>
      <c r="P9" s="21" t="s">
        <v>72</v>
      </c>
      <c r="Q9" s="21" t="s">
        <v>73</v>
      </c>
      <c r="R9" s="21" t="s">
        <v>74</v>
      </c>
      <c r="S9" s="21" t="s">
        <v>75</v>
      </c>
      <c r="T9" s="21" t="s">
        <v>76</v>
      </c>
    </row>
    <row r="10" spans="2:20" ht="15">
      <c r="B10" s="27" t="s">
        <v>77</v>
      </c>
      <c r="C10" s="27"/>
      <c r="D10" s="28" t="s">
        <v>78</v>
      </c>
      <c r="E10" s="27">
        <v>2018</v>
      </c>
      <c r="F10" s="27">
        <v>1</v>
      </c>
      <c r="G10" s="29"/>
      <c r="H10" s="29" t="s">
        <v>88</v>
      </c>
      <c r="I10" s="29"/>
      <c r="J10" s="29"/>
      <c r="L10" s="27" t="s">
        <v>77</v>
      </c>
      <c r="M10" s="27"/>
      <c r="N10" s="28" t="s">
        <v>78</v>
      </c>
      <c r="O10" s="27">
        <v>2018</v>
      </c>
      <c r="P10" s="27">
        <v>1</v>
      </c>
      <c r="Q10" s="29"/>
      <c r="R10" s="29" t="s">
        <v>95</v>
      </c>
      <c r="S10" s="29"/>
      <c r="T10" s="29"/>
    </row>
    <row r="13" spans="2:20" ht="15">
      <c r="B13" s="19" t="s">
        <v>108</v>
      </c>
      <c r="C13" s="19"/>
      <c r="D13" s="19"/>
      <c r="E13" s="19"/>
      <c r="F13" s="20"/>
      <c r="G13" s="20"/>
      <c r="H13" s="20"/>
      <c r="I13" s="20"/>
      <c r="J13" s="20"/>
      <c r="L13" s="19" t="s">
        <v>96</v>
      </c>
      <c r="M13" s="19"/>
      <c r="N13" s="19"/>
      <c r="O13" s="19"/>
      <c r="P13" s="20"/>
      <c r="Q13" s="20"/>
      <c r="R13" s="20"/>
      <c r="S13" s="20"/>
      <c r="T13" s="20"/>
    </row>
    <row r="14" spans="2:20" ht="15.75" thickBot="1">
      <c r="B14" s="21" t="s">
        <v>68</v>
      </c>
      <c r="C14" s="21" t="s">
        <v>69</v>
      </c>
      <c r="D14" s="21" t="s">
        <v>70</v>
      </c>
      <c r="E14" s="21" t="s">
        <v>71</v>
      </c>
      <c r="F14" s="21" t="s">
        <v>72</v>
      </c>
      <c r="G14" s="21" t="s">
        <v>73</v>
      </c>
      <c r="H14" s="21" t="s">
        <v>74</v>
      </c>
      <c r="I14" s="21" t="s">
        <v>75</v>
      </c>
      <c r="J14" s="21" t="s">
        <v>76</v>
      </c>
      <c r="L14" s="21" t="s">
        <v>68</v>
      </c>
      <c r="M14" s="21" t="s">
        <v>69</v>
      </c>
      <c r="N14" s="21" t="s">
        <v>70</v>
      </c>
      <c r="O14" s="21" t="s">
        <v>71</v>
      </c>
      <c r="P14" s="21" t="s">
        <v>72</v>
      </c>
      <c r="Q14" s="21" t="s">
        <v>73</v>
      </c>
      <c r="R14" s="21" t="s">
        <v>74</v>
      </c>
      <c r="S14" s="21" t="s">
        <v>75</v>
      </c>
      <c r="T14" s="21" t="s">
        <v>76</v>
      </c>
    </row>
    <row r="15" spans="2:20" ht="15">
      <c r="B15" s="27" t="s">
        <v>77</v>
      </c>
      <c r="C15" s="27"/>
      <c r="D15" s="28" t="s">
        <v>78</v>
      </c>
      <c r="E15" s="27">
        <v>2018</v>
      </c>
      <c r="F15" s="27">
        <v>1</v>
      </c>
      <c r="G15" s="29"/>
      <c r="H15" s="29" t="s">
        <v>197</v>
      </c>
      <c r="I15" s="29"/>
      <c r="J15" s="29"/>
      <c r="L15" s="27" t="s">
        <v>77</v>
      </c>
      <c r="M15" s="27"/>
      <c r="N15" s="28" t="s">
        <v>78</v>
      </c>
      <c r="O15" s="27">
        <v>2018</v>
      </c>
      <c r="P15" s="27">
        <v>1</v>
      </c>
      <c r="Q15" s="29"/>
      <c r="R15" s="29" t="s">
        <v>97</v>
      </c>
      <c r="S15" s="29"/>
      <c r="T15" s="29"/>
    </row>
    <row r="18" spans="2:20" ht="15">
      <c r="B18" s="19" t="s">
        <v>118</v>
      </c>
      <c r="C18" s="19"/>
      <c r="D18" s="19"/>
      <c r="E18" s="19"/>
      <c r="F18" s="20"/>
      <c r="G18" s="20"/>
      <c r="H18" s="20"/>
      <c r="I18" s="20"/>
      <c r="J18" s="20"/>
      <c r="L18" s="19" t="s">
        <v>98</v>
      </c>
      <c r="M18" s="19"/>
      <c r="N18" s="19"/>
      <c r="O18" s="19"/>
      <c r="P18" s="20"/>
      <c r="Q18" s="20"/>
      <c r="R18" s="20"/>
      <c r="S18" s="20"/>
      <c r="T18" s="20"/>
    </row>
    <row r="19" spans="2:20" ht="15.75" thickBot="1">
      <c r="B19" s="21" t="s">
        <v>68</v>
      </c>
      <c r="C19" s="21" t="s">
        <v>69</v>
      </c>
      <c r="D19" s="21" t="s">
        <v>70</v>
      </c>
      <c r="E19" s="21" t="s">
        <v>71</v>
      </c>
      <c r="F19" s="21" t="s">
        <v>72</v>
      </c>
      <c r="G19" s="21" t="s">
        <v>73</v>
      </c>
      <c r="H19" s="21" t="s">
        <v>74</v>
      </c>
      <c r="I19" s="21" t="s">
        <v>75</v>
      </c>
      <c r="J19" s="21" t="s">
        <v>76</v>
      </c>
      <c r="L19" s="21" t="s">
        <v>68</v>
      </c>
      <c r="M19" s="21" t="s">
        <v>69</v>
      </c>
      <c r="N19" s="21" t="s">
        <v>70</v>
      </c>
      <c r="O19" s="21" t="s">
        <v>71</v>
      </c>
      <c r="P19" s="21" t="s">
        <v>72</v>
      </c>
      <c r="Q19" s="21" t="s">
        <v>73</v>
      </c>
      <c r="R19" s="21" t="s">
        <v>74</v>
      </c>
      <c r="S19" s="21" t="s">
        <v>75</v>
      </c>
      <c r="T19" s="21" t="s">
        <v>76</v>
      </c>
    </row>
    <row r="20" spans="2:20" ht="15">
      <c r="B20" s="27" t="s">
        <v>77</v>
      </c>
      <c r="C20" s="27"/>
      <c r="D20" s="28" t="s">
        <v>78</v>
      </c>
      <c r="E20" s="27">
        <v>2018</v>
      </c>
      <c r="F20" s="27">
        <v>1</v>
      </c>
      <c r="G20" s="29"/>
      <c r="H20" s="29" t="s">
        <v>89</v>
      </c>
      <c r="I20" s="29"/>
      <c r="J20" s="29"/>
      <c r="L20" s="27" t="s">
        <v>77</v>
      </c>
      <c r="M20" s="27"/>
      <c r="N20" s="28" t="s">
        <v>78</v>
      </c>
      <c r="O20" s="27">
        <v>2018</v>
      </c>
      <c r="P20" s="27">
        <v>1</v>
      </c>
      <c r="Q20" s="29"/>
      <c r="R20" s="29" t="s">
        <v>99</v>
      </c>
      <c r="S20" s="29"/>
      <c r="T20" s="29"/>
    </row>
    <row r="23" spans="2:20" ht="15">
      <c r="B23" s="19" t="s">
        <v>119</v>
      </c>
      <c r="C23" s="19"/>
      <c r="D23" s="19"/>
      <c r="E23" s="19"/>
      <c r="F23" s="20"/>
      <c r="G23" s="20"/>
      <c r="H23" s="20"/>
      <c r="I23" s="20"/>
      <c r="J23" s="20"/>
      <c r="L23" s="19" t="s">
        <v>100</v>
      </c>
      <c r="M23" s="19"/>
      <c r="N23" s="19"/>
      <c r="O23" s="19"/>
      <c r="P23" s="20"/>
      <c r="Q23" s="20"/>
      <c r="R23" s="20"/>
      <c r="S23" s="20"/>
      <c r="T23" s="20"/>
    </row>
    <row r="24" spans="2:20" ht="15.75" thickBot="1">
      <c r="B24" s="21" t="s">
        <v>68</v>
      </c>
      <c r="C24" s="21" t="s">
        <v>69</v>
      </c>
      <c r="D24" s="21" t="s">
        <v>70</v>
      </c>
      <c r="E24" s="21" t="s">
        <v>71</v>
      </c>
      <c r="F24" s="21" t="s">
        <v>72</v>
      </c>
      <c r="G24" s="21" t="s">
        <v>73</v>
      </c>
      <c r="H24" s="21" t="s">
        <v>74</v>
      </c>
      <c r="I24" s="21" t="s">
        <v>75</v>
      </c>
      <c r="J24" s="21" t="s">
        <v>76</v>
      </c>
      <c r="L24" s="21" t="s">
        <v>68</v>
      </c>
      <c r="M24" s="21" t="s">
        <v>69</v>
      </c>
      <c r="N24" s="21" t="s">
        <v>70</v>
      </c>
      <c r="O24" s="21" t="s">
        <v>71</v>
      </c>
      <c r="P24" s="21" t="s">
        <v>72</v>
      </c>
      <c r="Q24" s="21" t="s">
        <v>73</v>
      </c>
      <c r="R24" s="21" t="s">
        <v>74</v>
      </c>
      <c r="S24" s="21" t="s">
        <v>75</v>
      </c>
      <c r="T24" s="21" t="s">
        <v>76</v>
      </c>
    </row>
    <row r="25" spans="2:20" ht="15">
      <c r="B25" s="27" t="s">
        <v>77</v>
      </c>
      <c r="C25" s="27"/>
      <c r="D25" s="28" t="s">
        <v>78</v>
      </c>
      <c r="E25" s="27">
        <v>2018</v>
      </c>
      <c r="F25" s="27">
        <v>1</v>
      </c>
      <c r="G25" s="29"/>
      <c r="H25" s="29" t="s">
        <v>90</v>
      </c>
      <c r="I25" s="29"/>
      <c r="J25" s="29"/>
      <c r="L25" s="27" t="s">
        <v>77</v>
      </c>
      <c r="M25" s="27"/>
      <c r="N25" s="28" t="s">
        <v>78</v>
      </c>
      <c r="O25" s="27">
        <v>2018</v>
      </c>
      <c r="P25" s="27">
        <v>1</v>
      </c>
      <c r="Q25" s="29"/>
      <c r="R25" s="29" t="s">
        <v>101</v>
      </c>
      <c r="S25" s="29"/>
      <c r="T25" s="29"/>
    </row>
    <row r="28" spans="12:20" ht="15">
      <c r="L28" s="19" t="s">
        <v>173</v>
      </c>
      <c r="M28" s="19"/>
      <c r="N28" s="19"/>
      <c r="O28" s="19"/>
      <c r="P28" s="20"/>
      <c r="Q28" s="20"/>
      <c r="R28" s="20"/>
      <c r="S28" s="20"/>
      <c r="T28" s="20"/>
    </row>
    <row r="29" spans="12:20" ht="15.75" thickBot="1">
      <c r="L29" s="21" t="s">
        <v>68</v>
      </c>
      <c r="M29" s="21" t="s">
        <v>69</v>
      </c>
      <c r="N29" s="21" t="s">
        <v>70</v>
      </c>
      <c r="O29" s="21" t="s">
        <v>71</v>
      </c>
      <c r="P29" s="21" t="s">
        <v>72</v>
      </c>
      <c r="Q29" s="21" t="s">
        <v>73</v>
      </c>
      <c r="R29" s="21" t="s">
        <v>74</v>
      </c>
      <c r="S29" s="21" t="s">
        <v>75</v>
      </c>
      <c r="T29" s="21" t="s">
        <v>76</v>
      </c>
    </row>
    <row r="30" spans="12:20" ht="15">
      <c r="L30" s="27" t="s">
        <v>77</v>
      </c>
      <c r="M30" s="27"/>
      <c r="N30" s="28" t="s">
        <v>78</v>
      </c>
      <c r="O30" s="27">
        <v>2018</v>
      </c>
      <c r="P30" s="27">
        <v>1</v>
      </c>
      <c r="Q30" s="29"/>
      <c r="R30" s="29" t="s">
        <v>102</v>
      </c>
      <c r="S30" s="29"/>
      <c r="T30" s="29"/>
    </row>
    <row r="33" spans="12:20" ht="15">
      <c r="L33" s="19" t="s">
        <v>174</v>
      </c>
      <c r="M33" s="19"/>
      <c r="N33" s="19"/>
      <c r="O33" s="19"/>
      <c r="P33" s="20"/>
      <c r="Q33" s="20"/>
      <c r="R33" s="20"/>
      <c r="S33" s="20"/>
      <c r="T33" s="20"/>
    </row>
    <row r="34" spans="12:20" ht="15.75" thickBot="1">
      <c r="L34" s="21" t="s">
        <v>68</v>
      </c>
      <c r="M34" s="21" t="s">
        <v>69</v>
      </c>
      <c r="N34" s="21" t="s">
        <v>70</v>
      </c>
      <c r="O34" s="21" t="s">
        <v>71</v>
      </c>
      <c r="P34" s="21" t="s">
        <v>72</v>
      </c>
      <c r="Q34" s="21" t="s">
        <v>73</v>
      </c>
      <c r="R34" s="21" t="s">
        <v>74</v>
      </c>
      <c r="S34" s="21" t="s">
        <v>75</v>
      </c>
      <c r="T34" s="21" t="s">
        <v>76</v>
      </c>
    </row>
    <row r="35" spans="12:20" ht="15">
      <c r="L35" s="27" t="s">
        <v>77</v>
      </c>
      <c r="M35" s="27"/>
      <c r="N35" s="28" t="s">
        <v>78</v>
      </c>
      <c r="O35" s="27">
        <v>2018</v>
      </c>
      <c r="P35" s="27">
        <v>1</v>
      </c>
      <c r="Q35" s="29"/>
      <c r="R35" s="29" t="s">
        <v>103</v>
      </c>
      <c r="S35" s="29"/>
      <c r="T35" s="29"/>
    </row>
  </sheetData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FD3173-2D6F-48A2-940D-F2E05DDC5B9F}">
  <sheetPr codeName="Sheet5">
    <tabColor rgb="FF92D050"/>
  </sheetPr>
  <dimension ref="A1:L141"/>
  <sheetViews>
    <sheetView tabSelected="1" workbookViewId="0" topLeftCell="A1">
      <selection pane="topLeft" activeCell="A9" sqref="A9"/>
    </sheetView>
  </sheetViews>
  <sheetFormatPr defaultColWidth="9.14428571428571" defaultRowHeight="12.75"/>
  <cols>
    <col min="1" max="1" width="12.4285714285714" style="24" customWidth="1"/>
    <col min="2" max="2" width="37.8571428571429" style="24" customWidth="1"/>
    <col min="3" max="3" width="22.5714285714286" style="24" customWidth="1"/>
    <col min="4" max="4" width="12.4285714285714" style="24" customWidth="1"/>
    <col min="5" max="5" width="9.42857142857143" style="24" customWidth="1"/>
    <col min="6" max="6" width="13.5714285714286" style="24" customWidth="1"/>
    <col min="7" max="7" width="18.1428571428571" style="24" bestFit="1" customWidth="1"/>
    <col min="8" max="8" width="31.4285714285714" style="24" customWidth="1"/>
    <col min="9" max="9" width="9.14285714285714" style="24"/>
    <col min="10" max="10" width="13.1428571428571" style="24" customWidth="1"/>
    <col min="11" max="11" width="15.1428571428571" style="24" customWidth="1"/>
    <col min="12" max="12" width="13" style="24" customWidth="1"/>
    <col min="13" max="16384" width="9.14285714285714" style="24"/>
  </cols>
  <sheetData>
    <row r="1" spans="1:1" ht="23.25">
      <c r="A1" s="23" t="s">
        <v>107</v>
      </c>
    </row>
    <row r="2" spans="1:8" ht="12" customHeight="1">
      <c r="A2" s="23"/>
      <c r="H2" s="25"/>
    </row>
    <row r="3" spans="1:10" ht="15">
      <c r="A3" s="19" t="s">
        <v>243</v>
      </c>
      <c r="J3" s="19" t="s">
        <v>243</v>
      </c>
    </row>
    <row r="4" spans="1:12" ht="15.75" thickBot="1">
      <c r="A4" s="26" t="s">
        <v>70</v>
      </c>
      <c r="B4" s="26" t="s">
        <v>81</v>
      </c>
      <c r="C4" s="26" t="s">
        <v>76</v>
      </c>
      <c r="D4" s="26" t="s">
        <v>72</v>
      </c>
      <c r="F4" s="26" t="s">
        <v>79</v>
      </c>
      <c r="G4" s="26" t="s">
        <v>80</v>
      </c>
      <c r="H4" s="26" t="s">
        <v>104</v>
      </c>
      <c r="J4" s="26" t="s">
        <v>70</v>
      </c>
      <c r="K4" s="26" t="s">
        <v>81</v>
      </c>
      <c r="L4" s="26" t="s">
        <v>72</v>
      </c>
    </row>
    <row r="5" spans="1:12" ht="15">
      <c r="A5" s="30" t="s">
        <v>248</v>
      </c>
      <c r="B5" s="31"/>
      <c r="C5" s="31"/>
      <c r="D5" s="32"/>
      <c r="F5" s="31"/>
      <c r="G5" s="31"/>
      <c r="H5" s="31"/>
      <c r="J5" s="30" t="s">
        <v>106</v>
      </c>
      <c r="K5" s="31"/>
      <c r="L5" s="32"/>
    </row>
    <row r="6" spans="1:12" ht="15">
      <c r="A6" s="33" t="s">
        <v>1</v>
      </c>
      <c r="B6" s="33" t="str">
        <f>"R-SH*"&amp;F6&amp;"_"&amp;G6&amp;"*"</f>
        <v>R-SH*Apt_COA*</v>
      </c>
      <c r="C6" s="33"/>
      <c r="D6" s="55">
        <f>AVERAGEIFS('BY-RSD-SH_AF'!$L$2:$L$100,'BY-RSD-SH_AF'!$C$2:$C$100,B6,'BY-RSD-SH_AF'!$A$2:$A$100,"BASE")</f>
        <v>0.12</v>
      </c>
      <c r="F6" s="33" t="s">
        <v>109</v>
      </c>
      <c r="G6" s="33" t="s">
        <v>82</v>
      </c>
      <c r="H6" s="33" t="str">
        <f t="shared" si="0" ref="H6:H12">"R-S*_"&amp;F6&amp;"_"&amp;G6&amp;"*"</f>
        <v>R-S*_Apt_COA*</v>
      </c>
      <c r="J6" s="33" t="s">
        <v>78</v>
      </c>
      <c r="K6" s="33" t="str">
        <f>FillTable!R5</f>
        <v>R-RSDRF*</v>
      </c>
      <c r="L6" s="33">
        <f>AVERAGEIFS('BY-RSD-RF'!$L$2:$L$100,'BY-RSD-RF'!$C$2:$C$100,AF!K6,'BY-RSD-RF'!$A$2:$A$100,"BASE")</f>
        <v>0.117199391171994</v>
      </c>
    </row>
    <row r="7" spans="1:12" ht="15">
      <c r="A7" s="34" t="s">
        <v>1</v>
      </c>
      <c r="B7" s="34" t="str">
        <f>"R-SH*"&amp;F7&amp;"_"&amp;G7&amp;"*"</f>
        <v>R-SH*Apt_BDL*</v>
      </c>
      <c r="C7" s="34"/>
      <c r="D7" s="56">
        <f>AVERAGEIFS('BY-RSD-SH_AF'!$L$2:$L$100,'BY-RSD-SH_AF'!$C$2:$C$100,B7,'BY-RSD-SH_AF'!$A$2:$A$100,"BASE")</f>
        <v>0.12</v>
      </c>
      <c r="F7" s="34" t="s">
        <v>109</v>
      </c>
      <c r="G7" s="34" t="s">
        <v>191</v>
      </c>
      <c r="H7" s="34" t="str">
        <f t="shared" si="0"/>
        <v>R-S*_Apt_BDL*</v>
      </c>
      <c r="J7" s="34" t="s">
        <v>78</v>
      </c>
      <c r="K7" s="34" t="str">
        <f>FillTable!R10&amp;"ELC*"</f>
        <v>R-RSDCK*ELC*</v>
      </c>
      <c r="L7" s="34">
        <f>AVERAGEIFS('BY-RSD-CK'!$L$2:$L$100,'BY-RSD-CK'!$C$2:$C$100,AF!K7,'BY-RSD-CK'!$A$2:$A$100,"BASE")</f>
        <v>0.0121865123037202</v>
      </c>
    </row>
    <row r="8" spans="1:12" ht="15">
      <c r="A8" s="33" t="s">
        <v>1</v>
      </c>
      <c r="B8" s="33" t="str">
        <f>"R-SH*"&amp;F8&amp;"_"&amp;G8&amp;"*"</f>
        <v>R-SH*Apt_ETH*</v>
      </c>
      <c r="C8" s="33"/>
      <c r="D8" s="55">
        <f>AVERAGEIFS('BY-RSD-SH_AF'!$L$2:$L$100,'BY-RSD-SH_AF'!$C$2:$C$100,B8,'BY-RSD-SH_AF'!$A$2:$A$100,"BASE")</f>
        <v>0.12</v>
      </c>
      <c r="F8" s="33" t="s">
        <v>109</v>
      </c>
      <c r="G8" s="33" t="s">
        <v>190</v>
      </c>
      <c r="H8" s="33" t="str">
        <f t="shared" si="0"/>
        <v>R-S*_Apt_ETH*</v>
      </c>
      <c r="J8" s="33" t="s">
        <v>78</v>
      </c>
      <c r="K8" s="33" t="str">
        <f>FillTable!R10&amp;"GAS*"</f>
        <v>R-RSDCK*GAS*</v>
      </c>
      <c r="L8" s="33">
        <f>AVERAGEIFS('BY-RSD-CK'!$L$2:$L$100,'BY-RSD-CK'!$C$2:$C$100,AF!K8,'BY-RSD-CK'!$A$2:$A$100,"BASE")</f>
        <v>0.0104455975746106</v>
      </c>
    </row>
    <row r="9" spans="1:12" ht="15">
      <c r="A9" s="34" t="s">
        <v>244</v>
      </c>
      <c r="B9" s="34" t="str">
        <f>"R-SH*"&amp;F9&amp;"_"&amp;G9&amp;"*"</f>
        <v>R-SH*Apt_LPG*</v>
      </c>
      <c r="C9" s="34"/>
      <c r="D9" s="56">
        <f>AVERAGEIFS('BY-RSD-SH_AF'!$L$2:$L$100,'BY-RSD-SH_AF'!$C$2:$C$100,B9,'BY-RSD-SH_AF'!$A$2:$A$100,"BASE")</f>
        <v>0.12</v>
      </c>
      <c r="F9" s="34" t="s">
        <v>109</v>
      </c>
      <c r="G9" s="34" t="s">
        <v>192</v>
      </c>
      <c r="H9" s="34" t="str">
        <f>"R-S*_"&amp;F9&amp;"_"&amp;G9&amp;"*"</f>
        <v>R-S*_Apt_LPG*</v>
      </c>
      <c r="J9" s="34" t="s">
        <v>78</v>
      </c>
      <c r="K9" s="34" t="str">
        <f>FillTable!R10&amp;"LPG*"</f>
        <v>R-RSDCK*LPG*</v>
      </c>
      <c r="L9" s="34">
        <f>AVERAGEIFS('BY-RSD-CK'!$L$2:$L$100,'BY-RSD-CK'!$C$2:$C$100,AF!K9,'BY-RSD-CK'!$A$2:$A$100,"BASE")</f>
        <v>0.010445583301088201</v>
      </c>
    </row>
    <row r="10" spans="1:12" ht="15">
      <c r="A10" s="33" t="s">
        <v>244</v>
      </c>
      <c r="B10" s="33" t="str">
        <f>"R-*_"&amp;F10&amp;"*"&amp;"HPN*"</f>
        <v>R-*_Apt*HPN*</v>
      </c>
      <c r="C10" s="33"/>
      <c r="D10" s="55">
        <f>AVERAGEIFS('BY-RSD-SH_AF'!$L$2:$L$100,'BY-RSD-SH_AF'!$C$2:$C$100,H10,'BY-RSD-SH_AF'!$A$2:$A$100,"BASE")</f>
        <v>0.18130269923092601</v>
      </c>
      <c r="F10" s="33" t="s">
        <v>109</v>
      </c>
      <c r="G10" s="33" t="s">
        <v>83</v>
      </c>
      <c r="H10" s="33" t="str">
        <f>"R-SH*"&amp;F10&amp;"_"&amp;G10&amp;"*X1"</f>
        <v>R-SH*Apt_ELC*X1</v>
      </c>
      <c r="J10" s="33" t="s">
        <v>78</v>
      </c>
      <c r="K10" s="33" t="str">
        <f>FillTable!R15</f>
        <v>R-RSDCW*</v>
      </c>
      <c r="L10" s="33">
        <f>AVERAGEIFS('BY-RSD-CW'!$L$2:$L$100,'BY-RSD-CW'!$C$2:$C$100,AF!K10,'BY-RSD-RF'!$A$2:$A$100,"BASE")</f>
        <v>0.0067195931921959296</v>
      </c>
    </row>
    <row r="11" spans="1:12" ht="15">
      <c r="A11" s="34" t="s">
        <v>244</v>
      </c>
      <c r="B11" s="34" t="str">
        <f>"R-S*_"&amp;F11&amp;"_"&amp;G11&amp;"_N1"&amp;",-R-SC*"</f>
        <v>R-S*_Apt_ELC_N1,-R-SC*</v>
      </c>
      <c r="C11" s="34"/>
      <c r="D11" s="56">
        <f>AVERAGEIFS('BY-RSD-SH_AF'!$L$2:$L$100,'BY-RSD-SH_AF'!$C$2:$C$100,H11,'BY-RSD-SH_AF'!$A$2:$A$100,"BASE")</f>
        <v>0.013931119040235</v>
      </c>
      <c r="F11" s="34" t="s">
        <v>109</v>
      </c>
      <c r="G11" s="34" t="s">
        <v>83</v>
      </c>
      <c r="H11" s="34" t="str">
        <f>"R-SH*"&amp;F10&amp;"_"&amp;G10&amp;"*X0"</f>
        <v>R-SH*Apt_ELC*X0</v>
      </c>
      <c r="J11" s="34" t="s">
        <v>78</v>
      </c>
      <c r="K11" s="34" t="str">
        <f>FillTable!R20</f>
        <v>R-RSDCD*</v>
      </c>
      <c r="L11" s="34">
        <f>AVERAGEIFS('BY-RSD-CD'!$L$2:$L$100,'BY-RSD-CD'!$C$2:$C$100,AF!K11,'BY-RSD-CD'!$A$2:$A$100,"BASE")</f>
        <v>0.0118630136986301</v>
      </c>
    </row>
    <row r="12" spans="1:12" ht="15">
      <c r="A12" s="33" t="s">
        <v>244</v>
      </c>
      <c r="B12" s="33" t="str">
        <f t="shared" si="1" ref="B12:B17">"R-SH*"&amp;F12&amp;"_"&amp;G12&amp;"*"</f>
        <v>R-SH*Apt_KER*</v>
      </c>
      <c r="C12" s="33"/>
      <c r="D12" s="55">
        <f>AVERAGEIFS('BY-RSD-SH_AF'!$L$2:$L$100,'BY-RSD-SH_AF'!$C$2:$C$100,B12,'BY-RSD-SH_AF'!$A$2:$A$100,"BASE")</f>
        <v>0.066604254563694898</v>
      </c>
      <c r="F12" s="33" t="s">
        <v>109</v>
      </c>
      <c r="G12" s="33" t="s">
        <v>193</v>
      </c>
      <c r="H12" s="33" t="str">
        <f t="shared" si="0"/>
        <v>R-S*_Apt_KER*</v>
      </c>
      <c r="J12" s="33" t="s">
        <v>78</v>
      </c>
      <c r="K12" s="33" t="str">
        <f>FillTable!R25</f>
        <v>R-RSDDW*</v>
      </c>
      <c r="L12" s="33">
        <f>AVERAGEIFS('BY-RSD-DW'!$L$2:$L$100,'BY-RSD-DW'!$C$2:$C$100,AF!K12,'BY-RSD-DW'!$A$2:$A$100,"BASE")</f>
        <v>0.010896637608966401</v>
      </c>
    </row>
    <row r="13" spans="1:12" ht="15">
      <c r="A13" s="34" t="s">
        <v>244</v>
      </c>
      <c r="B13" s="34" t="str">
        <f t="shared" si="1"/>
        <v>R-SH*Apt_GAS*</v>
      </c>
      <c r="C13" s="34"/>
      <c r="D13" s="56">
        <f>AVERAGEIFS('BY-RSD-SH_AF'!$L$2:$L$100,'BY-RSD-SH_AF'!$C$2:$C$100,B13,'BY-RSD-SH_AF'!$A$2:$A$100,"BASE")</f>
        <v>0.025618485673577399</v>
      </c>
      <c r="F13" s="34" t="s">
        <v>109</v>
      </c>
      <c r="G13" s="34" t="s">
        <v>194</v>
      </c>
      <c r="H13" s="34" t="str">
        <f>"R-S*_"&amp;F12&amp;"_"&amp;G13&amp;"*"</f>
        <v>R-S*_Apt_GAS*</v>
      </c>
      <c r="J13" s="34" t="s">
        <v>78</v>
      </c>
      <c r="K13" s="34" t="str">
        <f>FillTable!R30</f>
        <v>R-RSDOE*</v>
      </c>
      <c r="L13" s="34">
        <f>AVERAGEIFS('BY-RSD-OE'!$L$2:$L$100,'BY-RSD-OE'!$C$2:$C$100,AF!K13,'BY-RSD-OE'!$A$2:$A$100,"BASE")</f>
        <v>0.93569571451266098</v>
      </c>
    </row>
    <row r="14" spans="1:12" ht="15">
      <c r="A14" s="33" t="s">
        <v>1</v>
      </c>
      <c r="B14" s="33" t="str">
        <f t="shared" si="1"/>
        <v>R-SH*Apt_PEA*</v>
      </c>
      <c r="C14" s="33"/>
      <c r="D14" s="55">
        <f>AVERAGEIFS('BY-RSD-SH_AF'!$L$2:$L$100,'BY-RSD-SH_AF'!$C$2:$C$100,B14,'BY-RSD-SH_AF'!$A$2:$A$100,"BASE")</f>
        <v>0.161743747694956</v>
      </c>
      <c r="F14" s="33" t="s">
        <v>109</v>
      </c>
      <c r="G14" s="33" t="s">
        <v>110</v>
      </c>
      <c r="H14" s="33" t="str">
        <f>"R-S*_"&amp;F14&amp;"_"&amp;G14&amp;"*"</f>
        <v>R-S*_Apt_PEA*</v>
      </c>
      <c r="J14" s="33" t="s">
        <v>1</v>
      </c>
      <c r="K14" s="33" t="str">
        <f>FillTable!R35</f>
        <v>R-RSDOA*</v>
      </c>
      <c r="L14" s="33" t="e">
        <f>AVERAGEIFS('BY-RSD-RF'!$L$2:$L$100,'BY-RSD-RF'!$C$2:$C$100,AF!K14,'BY-RSD-RF'!$A$2:$A$100,"BASE")</f>
        <v>#DIV/0!</v>
      </c>
    </row>
    <row r="15" spans="1:8" ht="15">
      <c r="A15" s="34" t="s">
        <v>1</v>
      </c>
      <c r="B15" s="34" t="str">
        <f t="shared" si="1"/>
        <v>R-SH*Apt_SMF*</v>
      </c>
      <c r="C15" s="34"/>
      <c r="D15" s="56">
        <f>AVERAGEIFS('BY-RSD-SH_AF'!$L$2:$L$100,'BY-RSD-SH_AF'!$C$2:$C$100,B15,'BY-RSD-SH_AF'!$A$2:$A$100,"BASE")</f>
        <v>0.12</v>
      </c>
      <c r="F15" s="34" t="s">
        <v>109</v>
      </c>
      <c r="G15" s="34" t="s">
        <v>111</v>
      </c>
      <c r="H15" s="34" t="str">
        <f>"R-S*_"&amp;F15&amp;"_"&amp;G15&amp;"*"</f>
        <v>R-S*_Apt_SMF*</v>
      </c>
    </row>
    <row r="16" spans="1:8" ht="15">
      <c r="A16" s="33" t="s">
        <v>244</v>
      </c>
      <c r="B16" s="33" t="str">
        <f t="shared" si="1"/>
        <v>R-SH*Apt_WOO*</v>
      </c>
      <c r="C16" s="33"/>
      <c r="D16" s="55">
        <f>AVERAGEIFS('BY-RSD-SH_AF'!$L$2:$L$100,'BY-RSD-SH_AF'!$C$2:$C$100,B16,'BY-RSD-SH_AF'!$A$2:$A$100,"BASE")</f>
        <v>0.12</v>
      </c>
      <c r="F16" s="33" t="s">
        <v>109</v>
      </c>
      <c r="G16" s="33" t="s">
        <v>195</v>
      </c>
      <c r="H16" s="33" t="str">
        <f>"R-S*_"&amp;F16&amp;"_"&amp;G16&amp;"*"</f>
        <v>R-S*_Apt_WOO*</v>
      </c>
    </row>
    <row r="17" spans="1:10" ht="15">
      <c r="A17" s="34" t="s">
        <v>1</v>
      </c>
      <c r="B17" s="34" t="str">
        <f t="shared" si="1"/>
        <v>R-SH*Apt_HET*</v>
      </c>
      <c r="C17" s="34"/>
      <c r="D17" s="56">
        <f>AVERAGEIFS('BY-RSD-SH_AF'!$L$2:$L$100,'BY-RSD-SH_AF'!$C$2:$C$100,B17,'BY-RSD-SH_AF'!$A$2:$A$100,"BASE")</f>
        <v>0.12</v>
      </c>
      <c r="F17" s="34" t="s">
        <v>109</v>
      </c>
      <c r="G17" s="34" t="s">
        <v>84</v>
      </c>
      <c r="H17" s="34" t="str">
        <f>"R-S*_"&amp;F17&amp;"_"&amp;G17&amp;"*"</f>
        <v>R-S*_Apt_HET*</v>
      </c>
      <c r="J17" s="19" t="s">
        <v>243</v>
      </c>
    </row>
    <row r="18" spans="1:12" ht="15.75" thickBot="1">
      <c r="A18" s="30" t="s">
        <v>112</v>
      </c>
      <c r="B18" s="31"/>
      <c r="C18" s="31"/>
      <c r="D18" s="31"/>
      <c r="E18" s="31"/>
      <c r="F18" s="31"/>
      <c r="G18" s="31"/>
      <c r="H18" s="31"/>
      <c r="J18" s="26" t="s">
        <v>70</v>
      </c>
      <c r="K18" s="26" t="s">
        <v>81</v>
      </c>
      <c r="L18" s="26" t="s">
        <v>72</v>
      </c>
    </row>
    <row r="19" spans="1:12" ht="15">
      <c r="A19" s="33" t="s">
        <v>1</v>
      </c>
      <c r="B19" s="33" t="str">
        <f>"R-SH*"&amp;F19&amp;"_"&amp;G19&amp;"*"</f>
        <v>R-SH*Att_COA*</v>
      </c>
      <c r="C19" s="33"/>
      <c r="D19" s="55">
        <f>AVERAGEIFS('BY-RSD-SH_AF'!$L$2:$L$100,'BY-RSD-SH_AF'!$C$2:$C$100,H19,'BY-RSD-SH_AF'!$A$2:$A$100,"BASE")</f>
        <v>0.30984484845142601</v>
      </c>
      <c r="F19" s="33" t="s">
        <v>105</v>
      </c>
      <c r="G19" s="33" t="s">
        <v>82</v>
      </c>
      <c r="H19" s="33" t="str">
        <f t="shared" si="2" ref="H19:H22">"R-S*_"&amp;F19&amp;"_"&amp;G19&amp;"*"</f>
        <v>R-S*_Att_COA*</v>
      </c>
      <c r="J19" s="30" t="s">
        <v>106</v>
      </c>
      <c r="K19" s="31"/>
      <c r="L19" s="32"/>
    </row>
    <row r="20" spans="1:12" ht="15">
      <c r="A20" s="34" t="s">
        <v>1</v>
      </c>
      <c r="B20" s="34" t="str">
        <f>"R-SH*"&amp;F20&amp;"_"&amp;G20&amp;"*"</f>
        <v>R-SH*Att_BDL*</v>
      </c>
      <c r="C20" s="34"/>
      <c r="D20" s="56">
        <f>AVERAGEIFS('BY-RSD-SH_AF'!$L$2:$L$100,'BY-RSD-SH_AF'!$C$2:$C$100,H20,'BY-RSD-SH_AF'!$A$2:$A$100,"BASE")</f>
        <v>0.12</v>
      </c>
      <c r="F20" s="34" t="s">
        <v>105</v>
      </c>
      <c r="G20" s="34" t="s">
        <v>191</v>
      </c>
      <c r="H20" s="34" t="str">
        <f t="shared" si="2"/>
        <v>R-S*_Att_BDL*</v>
      </c>
      <c r="J20" s="33" t="s">
        <v>78</v>
      </c>
      <c r="K20" s="33" t="s">
        <v>184</v>
      </c>
      <c r="L20" s="33">
        <f>AVERAGEIFS('BY-RSD-LT'!$L$2:$L$100,'BY-RSD-LT'!$C$2:$C$100,AF!K20,'BY-RSD-LT'!$A$2:$A$100,"BASE")</f>
        <v>0.21098594733224099</v>
      </c>
    </row>
    <row r="21" spans="1:12" ht="15">
      <c r="A21" s="33" t="s">
        <v>1</v>
      </c>
      <c r="B21" s="33" t="str">
        <f>"R-SH*"&amp;F21&amp;"_"&amp;G21&amp;"*"</f>
        <v>R-SH*Att_ETH*</v>
      </c>
      <c r="C21" s="33"/>
      <c r="D21" s="55">
        <f>AVERAGEIFS('BY-RSD-SH_AF'!$L$2:$L$100,'BY-RSD-SH_AF'!$C$2:$C$100,H21,'BY-RSD-SH_AF'!$A$2:$A$100,"BASE")</f>
        <v>0.12</v>
      </c>
      <c r="F21" s="33" t="s">
        <v>105</v>
      </c>
      <c r="G21" s="33" t="s">
        <v>190</v>
      </c>
      <c r="H21" s="33" t="str">
        <f t="shared" si="2"/>
        <v>R-S*_Att_ETH*</v>
      </c>
      <c r="J21" s="34" t="s">
        <v>78</v>
      </c>
      <c r="K21" s="34" t="s">
        <v>185</v>
      </c>
      <c r="L21" s="34">
        <f>AVERAGEIFS('BY-RSD-LT'!$L$2:$L$100,'BY-RSD-LT'!$C$2:$C$100,AF!K21,'BY-RSD-LT'!$A$2:$A$100,"BASE")</f>
        <v>0.29847129365993402</v>
      </c>
    </row>
    <row r="22" spans="1:12" ht="15">
      <c r="A22" s="34" t="s">
        <v>244</v>
      </c>
      <c r="B22" s="34" t="str">
        <f>"R-SH*"&amp;F22&amp;"_"&amp;G22&amp;"*"</f>
        <v>R-SH*Att_LPG*</v>
      </c>
      <c r="C22" s="34"/>
      <c r="D22" s="56">
        <f>AVERAGEIFS('BY-RSD-SH_AF'!$L$2:$L$100,'BY-RSD-SH_AF'!$C$2:$C$100,H22,'BY-RSD-SH_AF'!$A$2:$A$100,"BASE")</f>
        <v>0.048109166237074001</v>
      </c>
      <c r="F22" s="34" t="s">
        <v>105</v>
      </c>
      <c r="G22" s="34" t="s">
        <v>192</v>
      </c>
      <c r="H22" s="34" t="str">
        <f t="shared" si="2"/>
        <v>R-S*_Att_LPG*</v>
      </c>
      <c r="J22" s="33" t="s">
        <v>78</v>
      </c>
      <c r="K22" s="33" t="s">
        <v>186</v>
      </c>
      <c r="L22" s="33">
        <f>AVERAGEIFS('BY-RSD-LT'!$L$2:$L$100,'BY-RSD-LT'!$C$2:$C$100,AF!K22,'BY-RSD-LT'!$A$2:$A$100,"BASE")</f>
        <v>0.49065561985780998</v>
      </c>
    </row>
    <row r="23" spans="1:12" ht="15">
      <c r="A23" s="33" t="s">
        <v>244</v>
      </c>
      <c r="B23" s="33" t="str">
        <f>"R-*_"&amp;F23&amp;"*"&amp;"HPN*"</f>
        <v>R-*_Att*HPN*</v>
      </c>
      <c r="C23" s="33"/>
      <c r="D23" s="55">
        <f>AVERAGEIFS('BY-RSD-SH_AF'!$L$2:$L$100,'BY-RSD-SH_AF'!$C$2:$C$100,H23,'BY-RSD-SH_AF'!$A$2:$A$100,"BASE")</f>
        <v>0.11404303534564</v>
      </c>
      <c r="F23" s="33" t="s">
        <v>105</v>
      </c>
      <c r="G23" s="33" t="s">
        <v>83</v>
      </c>
      <c r="H23" s="33" t="str">
        <f>"R-SH*"&amp;F23&amp;"_"&amp;G23&amp;"*X1"</f>
        <v>R-SH*Att_ELC*X1</v>
      </c>
      <c r="J23" s="34" t="s">
        <v>78</v>
      </c>
      <c r="K23" s="34" t="s">
        <v>187</v>
      </c>
      <c r="L23" s="34">
        <f>AVERAGEIFS('BY-RSD-PF'!$L$2:$L$100,'BY-RSD-PF'!$C$2:$C$100,AF!K23,'BY-RSD-PF'!$A$2:$A$100,"BASE")</f>
        <v>0.12716586319930701</v>
      </c>
    </row>
    <row r="24" spans="1:12" ht="15">
      <c r="A24" s="34" t="s">
        <v>244</v>
      </c>
      <c r="B24" s="34" t="str">
        <f>"R-S*_"&amp;F24&amp;"_"&amp;G24&amp;"_N1"&amp;",-R-SC*"</f>
        <v>R-S*_Att_ELC_N1,-R-SC*</v>
      </c>
      <c r="C24" s="34"/>
      <c r="D24" s="56">
        <f>AVERAGEIFS('BY-RSD-SH_AF'!$L$2:$L$100,'BY-RSD-SH_AF'!$C$2:$C$100,H24,'BY-RSD-SH_AF'!$A$2:$A$100,"BASE")</f>
        <v>0.035156391297092499</v>
      </c>
      <c r="F24" s="34" t="s">
        <v>105</v>
      </c>
      <c r="G24" s="34" t="s">
        <v>83</v>
      </c>
      <c r="H24" s="34" t="str">
        <f>"R-SH*"&amp;F23&amp;"_"&amp;G23&amp;"*X0"</f>
        <v>R-SH*Att_ELC*X0</v>
      </c>
      <c r="J24" s="33" t="s">
        <v>78</v>
      </c>
      <c r="K24" s="33" t="s">
        <v>188</v>
      </c>
      <c r="L24" s="33">
        <f>AVERAGEIFS('BY-RSD-PF'!$L$2:$L$100,'BY-RSD-PF'!$C$2:$C$100,AF!K24,'BY-RSD-PF'!$A$2:$A$100,"BASE")</f>
        <v>0.24175608869574</v>
      </c>
    </row>
    <row r="25" spans="1:12" ht="15">
      <c r="A25" s="33" t="s">
        <v>244</v>
      </c>
      <c r="B25" s="33" t="str">
        <f t="shared" si="3" ref="B25:B32">"R-SH*"&amp;F25&amp;"_"&amp;G25&amp;"*"</f>
        <v>R-SH*Att_KER*</v>
      </c>
      <c r="C25" s="33"/>
      <c r="D25" s="55">
        <f>AVERAGEIFS('BY-RSD-SH_AF'!$L$2:$L$100,'BY-RSD-SH_AF'!$C$2:$C$100,H25,'BY-RSD-SH_AF'!$A$2:$A$100,"BASE")</f>
        <v>0.047079298490866298</v>
      </c>
      <c r="F25" s="33" t="s">
        <v>105</v>
      </c>
      <c r="G25" s="33" t="s">
        <v>193</v>
      </c>
      <c r="H25" s="33" t="str">
        <f t="shared" si="4" ref="H25">"R-S*_"&amp;F25&amp;"_"&amp;G25&amp;"*"</f>
        <v>R-S*_Att_KER*</v>
      </c>
      <c r="J25" s="34" t="s">
        <v>78</v>
      </c>
      <c r="K25" s="34" t="s">
        <v>189</v>
      </c>
      <c r="L25" s="34">
        <f>AVERAGEIFS('BY-RSD-PF'!$L$2:$L$100,'BY-RSD-PF'!$C$2:$C$100,AF!K25,'BY-RSD-PF'!$A$2:$A$100,"BASE")</f>
        <v>0.29872122806778101</v>
      </c>
    </row>
    <row r="26" spans="1:12" ht="15">
      <c r="A26" s="34" t="s">
        <v>244</v>
      </c>
      <c r="B26" s="34" t="s">
        <v>273</v>
      </c>
      <c r="C26" s="34"/>
      <c r="D26" s="56">
        <f>D25</f>
        <v>0.047079298490866298</v>
      </c>
      <c r="F26" s="34"/>
      <c r="G26" s="34"/>
      <c r="H26" s="34"/>
      <c r="J26" s="34"/>
      <c r="K26" s="34"/>
      <c r="L26" s="34"/>
    </row>
    <row r="27" spans="1:8" ht="15">
      <c r="A27" s="33" t="s">
        <v>244</v>
      </c>
      <c r="B27" s="33" t="str">
        <f t="shared" si="3"/>
        <v>R-SH*Att_GAS*</v>
      </c>
      <c r="C27" s="33"/>
      <c r="D27" s="55">
        <f>AVERAGEIFS('BY-RSD-SH_AF'!$L$2:$L$100,'BY-RSD-SH_AF'!$C$2:$C$100,H27,'BY-RSD-SH_AF'!$A$2:$A$100,"BASE")</f>
        <v>0.035964557684536103</v>
      </c>
      <c r="F27" s="33" t="s">
        <v>105</v>
      </c>
      <c r="G27" s="33" t="s">
        <v>194</v>
      </c>
      <c r="H27" s="33" t="str">
        <f>"R-S*_"&amp;F25&amp;"_"&amp;G27&amp;"*"</f>
        <v>R-S*_Att_GAS*</v>
      </c>
    </row>
    <row r="28" spans="1:8" ht="15">
      <c r="A28" s="34" t="s">
        <v>1</v>
      </c>
      <c r="B28" s="34" t="str">
        <f t="shared" si="3"/>
        <v>R-SH*Att_PEA*</v>
      </c>
      <c r="C28" s="34"/>
      <c r="D28" s="56">
        <f>AVERAGEIFS('BY-RSD-SH_AF'!$L$2:$L$100,'BY-RSD-SH_AF'!$C$2:$C$100,H28,'BY-RSD-SH_AF'!$A$2:$A$100,"BASE")</f>
        <v>0.0727790788417393</v>
      </c>
      <c r="F28" s="34" t="s">
        <v>105</v>
      </c>
      <c r="G28" s="34" t="s">
        <v>110</v>
      </c>
      <c r="H28" s="34" t="str">
        <f>"R-S*_"&amp;F28&amp;"_"&amp;G28&amp;"*"</f>
        <v>R-S*_Att_PEA*</v>
      </c>
    </row>
    <row r="29" spans="1:8" ht="15">
      <c r="A29" s="33" t="s">
        <v>1</v>
      </c>
      <c r="B29" s="33" t="str">
        <f t="shared" si="3"/>
        <v>R-SH*Att_SMF*</v>
      </c>
      <c r="C29" s="33"/>
      <c r="D29" s="55">
        <f>AVERAGEIFS('BY-RSD-SH_AF'!$L$2:$L$100,'BY-RSD-SH_AF'!$C$2:$C$100,H29,'BY-RSD-SH_AF'!$A$2:$A$100,"BASE")</f>
        <v>0.072438724233275797</v>
      </c>
      <c r="F29" s="33" t="s">
        <v>105</v>
      </c>
      <c r="G29" s="33" t="s">
        <v>111</v>
      </c>
      <c r="H29" s="33" t="str">
        <f>"R-S*_"&amp;F29&amp;"_"&amp;G29&amp;"*"</f>
        <v>R-S*_Att_SMF*</v>
      </c>
    </row>
    <row r="30" spans="1:8" ht="15">
      <c r="A30" s="34" t="s">
        <v>244</v>
      </c>
      <c r="B30" s="34" t="str">
        <f>"R-SH*"&amp;F30&amp;"_"&amp;G30&amp;"*"</f>
        <v>R-SH*Att_WOO*</v>
      </c>
      <c r="C30" s="34"/>
      <c r="D30" s="56">
        <f>AVERAGEIFS('BY-RSD-SH_AF'!$L$2:$L$100,'BY-RSD-SH_AF'!$C$2:$C$100,H30,'BY-RSD-SH_AF'!$A$2:$A$100,"BASE")</f>
        <v>0.12</v>
      </c>
      <c r="F30" s="34" t="s">
        <v>105</v>
      </c>
      <c r="G30" s="34" t="s">
        <v>195</v>
      </c>
      <c r="H30" s="34" t="str">
        <f>"R-S*_"&amp;F30&amp;"_"&amp;G30&amp;"*"</f>
        <v>R-S*_Att_WOO*</v>
      </c>
    </row>
    <row r="31" spans="1:8" ht="15">
      <c r="A31" s="33" t="s">
        <v>244</v>
      </c>
      <c r="B31" s="33" t="s">
        <v>269</v>
      </c>
      <c r="C31" s="33"/>
      <c r="D31" s="55">
        <f>D30</f>
        <v>0.12</v>
      </c>
      <c r="F31" s="33"/>
      <c r="G31" s="33"/>
      <c r="H31" s="33"/>
    </row>
    <row r="32" spans="1:8" ht="15">
      <c r="A32" s="34" t="s">
        <v>1</v>
      </c>
      <c r="B32" s="34" t="str">
        <f t="shared" si="3"/>
        <v>R-SH*Att_HET*</v>
      </c>
      <c r="C32" s="34"/>
      <c r="D32" s="56">
        <f>AVERAGEIFS('BY-RSD-SH_AF'!$L$2:$L$100,'BY-RSD-SH_AF'!$C$2:$C$100,H32,'BY-RSD-SH_AF'!$A$2:$A$100,"BASE")</f>
        <v>0.12</v>
      </c>
      <c r="F32" s="34" t="s">
        <v>105</v>
      </c>
      <c r="G32" s="34" t="s">
        <v>84</v>
      </c>
      <c r="H32" s="34" t="str">
        <f>"R-S*_"&amp;F32&amp;"_"&amp;G32&amp;"*"</f>
        <v>R-S*_Att_HET*</v>
      </c>
    </row>
    <row r="33" spans="1:8" ht="15">
      <c r="A33" s="30" t="s">
        <v>113</v>
      </c>
      <c r="B33" s="31"/>
      <c r="C33" s="31"/>
      <c r="D33" s="31"/>
      <c r="E33" s="31"/>
      <c r="F33" s="31"/>
      <c r="G33" s="31"/>
      <c r="H33" s="31"/>
    </row>
    <row r="34" spans="1:8" ht="15">
      <c r="A34" s="33" t="s">
        <v>1</v>
      </c>
      <c r="B34" s="33" t="str">
        <f>"R-SH*"&amp;F34&amp;"_"&amp;G34&amp;"*"</f>
        <v>R-SH*Det_COA*</v>
      </c>
      <c r="C34" s="33"/>
      <c r="D34" s="55">
        <f>AVERAGEIFS('BY-RSD-SH_AF'!$L$2:$L$100,'BY-RSD-SH_AF'!$C$2:$C$100,H34,'BY-RSD-SH_AF'!$A$2:$A$100,"BASE")</f>
        <v>0.46414376338591401</v>
      </c>
      <c r="F34" s="33" t="s">
        <v>114</v>
      </c>
      <c r="G34" s="33" t="s">
        <v>82</v>
      </c>
      <c r="H34" s="33" t="str">
        <f t="shared" si="5" ref="H34:H37">"R-S*_"&amp;F34&amp;"_"&amp;G34&amp;"*"</f>
        <v>R-S*_Det_COA*</v>
      </c>
    </row>
    <row r="35" spans="1:8" ht="15">
      <c r="A35" s="34" t="s">
        <v>1</v>
      </c>
      <c r="B35" s="34" t="str">
        <f>"R-SH*"&amp;F35&amp;"_"&amp;G35&amp;"*"</f>
        <v>R-SH*Det_BDL*</v>
      </c>
      <c r="C35" s="34"/>
      <c r="D35" s="56">
        <f>AVERAGEIFS('BY-RSD-SH_AF'!$L$2:$L$100,'BY-RSD-SH_AF'!$C$2:$C$100,H35,'BY-RSD-SH_AF'!$A$2:$A$100,"BASE")</f>
        <v>0.0697946718860816</v>
      </c>
      <c r="F35" s="34" t="s">
        <v>114</v>
      </c>
      <c r="G35" s="34" t="s">
        <v>191</v>
      </c>
      <c r="H35" s="34" t="str">
        <f t="shared" si="5"/>
        <v>R-S*_Det_BDL*</v>
      </c>
    </row>
    <row r="36" spans="1:8" ht="15">
      <c r="A36" s="33" t="s">
        <v>1</v>
      </c>
      <c r="B36" s="33" t="str">
        <f>"R-SH*"&amp;F36&amp;"_"&amp;G36&amp;"*"</f>
        <v>R-SH*Det_ETH*</v>
      </c>
      <c r="C36" s="33"/>
      <c r="D36" s="55">
        <f>AVERAGEIFS('BY-RSD-SH_AF'!$L$2:$L$100,'BY-RSD-SH_AF'!$C$2:$C$100,H36,'BY-RSD-SH_AF'!$A$2:$A$100,"BASE")</f>
        <v>0.0697946718860816</v>
      </c>
      <c r="F36" s="33" t="s">
        <v>114</v>
      </c>
      <c r="G36" s="33" t="s">
        <v>190</v>
      </c>
      <c r="H36" s="33" t="str">
        <f t="shared" si="5"/>
        <v>R-S*_Det_ETH*</v>
      </c>
    </row>
    <row r="37" spans="1:8" ht="15">
      <c r="A37" s="34" t="s">
        <v>244</v>
      </c>
      <c r="B37" s="34" t="str">
        <f>"R-SH*"&amp;F37&amp;"_"&amp;G37&amp;"*"</f>
        <v>R-SH*Det_LPG*</v>
      </c>
      <c r="C37" s="34"/>
      <c r="D37" s="56">
        <f>AVERAGEIFS('BY-RSD-SH_AF'!$L$2:$L$100,'BY-RSD-SH_AF'!$C$2:$C$100,H37,'BY-RSD-SH_AF'!$A$2:$A$100,"BASE")</f>
        <v>0.0697946718860816</v>
      </c>
      <c r="F37" s="34" t="s">
        <v>114</v>
      </c>
      <c r="G37" s="34" t="s">
        <v>192</v>
      </c>
      <c r="H37" s="34" t="str">
        <f t="shared" si="5"/>
        <v>R-S*_Det_LPG*</v>
      </c>
    </row>
    <row r="38" spans="1:8" ht="15">
      <c r="A38" s="33" t="s">
        <v>244</v>
      </c>
      <c r="B38" s="33" t="str">
        <f>"R-*_"&amp;F38&amp;"*"&amp;"HPN*"</f>
        <v>R-*_Det*HPN*</v>
      </c>
      <c r="C38" s="33"/>
      <c r="D38" s="55">
        <f>AVERAGEIFS('BY-RSD-SH_AF'!$L$2:$L$100,'BY-RSD-SH_AF'!$C$2:$C$100,H38,'BY-RSD-SH_AF'!$A$2:$A$100,"BASE")</f>
        <v>0.138319067250922</v>
      </c>
      <c r="F38" s="33" t="s">
        <v>114</v>
      </c>
      <c r="G38" s="33" t="s">
        <v>83</v>
      </c>
      <c r="H38" s="33" t="str">
        <f>"R-SH*"&amp;F38&amp;"_"&amp;G38&amp;"*X1"</f>
        <v>R-SH*Det_ELC*X1</v>
      </c>
    </row>
    <row r="39" spans="1:8" ht="15">
      <c r="A39" s="34" t="s">
        <v>244</v>
      </c>
      <c r="B39" s="34" t="str">
        <f>"R-S*_"&amp;F39&amp;"_"&amp;G39&amp;"_N1"&amp;",-R-SC*"</f>
        <v>R-S*_Det_ELC_N1,-R-SC*</v>
      </c>
      <c r="C39" s="34"/>
      <c r="D39" s="56">
        <f>AVERAGEIFS('BY-RSD-SH_AF'!$L$2:$L$100,'BY-RSD-SH_AF'!$C$2:$C$100,H39,'BY-RSD-SH_AF'!$A$2:$A$100,"BASE")</f>
        <v>0.043843217634644903</v>
      </c>
      <c r="F39" s="34" t="s">
        <v>114</v>
      </c>
      <c r="G39" s="34" t="s">
        <v>83</v>
      </c>
      <c r="H39" s="34" t="str">
        <f>"R-SH*"&amp;F38&amp;"_"&amp;G38&amp;"*X0"</f>
        <v>R-SH*Det_ELC*X0</v>
      </c>
    </row>
    <row r="40" spans="1:8" ht="15">
      <c r="A40" s="33" t="s">
        <v>244</v>
      </c>
      <c r="B40" s="33" t="str">
        <f t="shared" si="6" ref="B40:B47">"R-SH*"&amp;F40&amp;"_"&amp;G40&amp;"*"</f>
        <v>R-SH*Det_KER*</v>
      </c>
      <c r="C40" s="33"/>
      <c r="D40" s="55">
        <f>AVERAGEIFS('BY-RSD-SH_AF'!$L$2:$L$100,'BY-RSD-SH_AF'!$C$2:$C$100,H40,'BY-RSD-SH_AF'!$A$2:$A$100,"BASE")</f>
        <v>0.0537535468762151</v>
      </c>
      <c r="F40" s="33" t="s">
        <v>114</v>
      </c>
      <c r="G40" s="33" t="s">
        <v>193</v>
      </c>
      <c r="H40" s="33" t="str">
        <f t="shared" si="7" ref="H40">"R-S*_"&amp;F40&amp;"_"&amp;G40&amp;"*"</f>
        <v>R-S*_Det_KER*</v>
      </c>
    </row>
    <row r="41" spans="1:8" ht="15">
      <c r="A41" s="34" t="s">
        <v>244</v>
      </c>
      <c r="B41" s="34" t="s">
        <v>274</v>
      </c>
      <c r="C41" s="34"/>
      <c r="D41" s="56">
        <f>D40</f>
        <v>0.0537535468762151</v>
      </c>
      <c r="F41" s="34"/>
      <c r="G41" s="34"/>
      <c r="H41" s="34"/>
    </row>
    <row r="42" spans="1:8" ht="15">
      <c r="A42" s="33" t="s">
        <v>244</v>
      </c>
      <c r="B42" s="33" t="str">
        <f t="shared" si="6"/>
        <v>R-SH*Det_GAS*</v>
      </c>
      <c r="C42" s="33"/>
      <c r="D42" s="55">
        <f>AVERAGEIFS('BY-RSD-SH_AF'!$L$2:$L$100,'BY-RSD-SH_AF'!$C$2:$C$100,H42,'BY-RSD-SH_AF'!$A$2:$A$100,"BASE")</f>
        <v>0.0396720040920054</v>
      </c>
      <c r="F42" s="33" t="s">
        <v>114</v>
      </c>
      <c r="G42" s="33" t="s">
        <v>194</v>
      </c>
      <c r="H42" s="33" t="str">
        <f>"R-S*_"&amp;F40&amp;"_"&amp;G42&amp;"*"</f>
        <v>R-S*_Det_GAS*</v>
      </c>
    </row>
    <row r="43" spans="1:8" ht="15">
      <c r="A43" s="34" t="s">
        <v>1</v>
      </c>
      <c r="B43" s="34" t="str">
        <f t="shared" si="6"/>
        <v>R-SH*Det_PEA*</v>
      </c>
      <c r="C43" s="34"/>
      <c r="D43" s="56">
        <f>AVERAGEIFS('BY-RSD-SH_AF'!$L$2:$L$100,'BY-RSD-SH_AF'!$C$2:$C$100,H43,'BY-RSD-SH_AF'!$A$2:$A$100,"BASE")</f>
        <v>0.101539467044872</v>
      </c>
      <c r="F43" s="34" t="s">
        <v>114</v>
      </c>
      <c r="G43" s="34" t="s">
        <v>110</v>
      </c>
      <c r="H43" s="34" t="str">
        <f>"R-S*_"&amp;F43&amp;"_"&amp;G43&amp;"*"</f>
        <v>R-S*_Det_PEA*</v>
      </c>
    </row>
    <row r="44" spans="1:8" ht="15">
      <c r="A44" s="33" t="s">
        <v>1</v>
      </c>
      <c r="B44" s="33" t="str">
        <f t="shared" si="6"/>
        <v>R-SH*Det_SMF*</v>
      </c>
      <c r="C44" s="33"/>
      <c r="D44" s="55">
        <f>AVERAGEIFS('BY-RSD-SH_AF'!$L$2:$L$100,'BY-RSD-SH_AF'!$C$2:$C$100,H44,'BY-RSD-SH_AF'!$A$2:$A$100,"BASE")</f>
        <v>0.13495608652757701</v>
      </c>
      <c r="F44" s="33" t="s">
        <v>114</v>
      </c>
      <c r="G44" s="33" t="s">
        <v>111</v>
      </c>
      <c r="H44" s="33" t="str">
        <f>"R-S*_"&amp;F44&amp;"_"&amp;G44&amp;"*"</f>
        <v>R-S*_Det_SMF*</v>
      </c>
    </row>
    <row r="45" spans="1:8" ht="15">
      <c r="A45" s="34" t="s">
        <v>244</v>
      </c>
      <c r="B45" s="34" t="str">
        <f t="shared" si="6"/>
        <v>R-SH*Det_WOO*</v>
      </c>
      <c r="C45" s="34"/>
      <c r="D45" s="56">
        <f>AVERAGEIFS('BY-RSD-SH_AF'!$L$2:$L$100,'BY-RSD-SH_AF'!$C$2:$C$100,H45,'BY-RSD-SH_AF'!$A$2:$A$100,"BASE")</f>
        <v>0.094687203541950801</v>
      </c>
      <c r="F45" s="34" t="s">
        <v>114</v>
      </c>
      <c r="G45" s="34" t="s">
        <v>195</v>
      </c>
      <c r="H45" s="34" t="str">
        <f>"R-S*_"&amp;F45&amp;"_"&amp;G45&amp;"*"</f>
        <v>R-S*_Det_WOO*</v>
      </c>
    </row>
    <row r="46" spans="1:8" ht="15">
      <c r="A46" s="33" t="s">
        <v>244</v>
      </c>
      <c r="B46" s="33" t="s">
        <v>270</v>
      </c>
      <c r="C46" s="33"/>
      <c r="D46" s="55">
        <f>D45</f>
        <v>0.094687203541950801</v>
      </c>
      <c r="F46" s="33"/>
      <c r="G46" s="33"/>
      <c r="H46" s="33"/>
    </row>
    <row r="47" spans="1:8" ht="15">
      <c r="A47" s="34" t="s">
        <v>1</v>
      </c>
      <c r="B47" s="34" t="str">
        <f t="shared" si="6"/>
        <v>R-SH*Det_HET*</v>
      </c>
      <c r="C47" s="34"/>
      <c r="D47" s="56">
        <f>AVERAGEIFS('BY-RSD-SH_AF'!$L$2:$L$100,'BY-RSD-SH_AF'!$C$2:$C$100,H47,'BY-RSD-SH_AF'!$A$2:$A$100,"BASE")</f>
        <v>0.12</v>
      </c>
      <c r="F47" s="34" t="s">
        <v>114</v>
      </c>
      <c r="G47" s="34" t="s">
        <v>84</v>
      </c>
      <c r="H47" s="34" t="str">
        <f>"R-S*_"&amp;F47&amp;"_"&amp;G47&amp;"*"</f>
        <v>R-S*_Det_HET*</v>
      </c>
    </row>
    <row r="48" spans="1:8" ht="15">
      <c r="A48" s="30" t="s">
        <v>251</v>
      </c>
      <c r="B48" s="31"/>
      <c r="C48" s="31"/>
      <c r="D48" s="32"/>
      <c r="F48" s="31"/>
      <c r="G48" s="31"/>
      <c r="H48" s="31"/>
    </row>
    <row r="49" spans="1:8" ht="15">
      <c r="A49" s="33" t="s">
        <v>1</v>
      </c>
      <c r="B49" s="33" t="str">
        <f>"R-SW*"&amp;F49&amp;"_"&amp;G49&amp;"*"</f>
        <v>R-SW*Apt_COA*</v>
      </c>
      <c r="C49" s="33" t="s">
        <v>296</v>
      </c>
      <c r="D49" s="55">
        <f>D6</f>
        <v>0.12</v>
      </c>
      <c r="F49" s="33" t="s">
        <v>109</v>
      </c>
      <c r="G49" s="33" t="s">
        <v>82</v>
      </c>
      <c r="H49" s="33" t="str">
        <f t="shared" si="8" ref="H49:H52">"R-S*_"&amp;F49&amp;"_"&amp;G49&amp;"*"</f>
        <v>R-S*_Apt_COA*</v>
      </c>
    </row>
    <row r="50" spans="1:8" ht="15">
      <c r="A50" s="34" t="s">
        <v>1</v>
      </c>
      <c r="B50" s="34" t="str">
        <f>"R-SW*"&amp;F50&amp;"_"&amp;G50&amp;"*"</f>
        <v>R-SW*Apt_BDL*</v>
      </c>
      <c r="C50" s="34" t="s">
        <v>296</v>
      </c>
      <c r="D50" s="56">
        <f t="shared" si="9" ref="D50:D59">D7</f>
        <v>0.12</v>
      </c>
      <c r="F50" s="34" t="s">
        <v>109</v>
      </c>
      <c r="G50" s="34" t="s">
        <v>191</v>
      </c>
      <c r="H50" s="34" t="str">
        <f t="shared" si="8"/>
        <v>R-S*_Apt_BDL*</v>
      </c>
    </row>
    <row r="51" spans="1:8" ht="15">
      <c r="A51" s="33" t="s">
        <v>1</v>
      </c>
      <c r="B51" s="33" t="str">
        <f>"R-SW*"&amp;F51&amp;"_"&amp;G51&amp;"*"</f>
        <v>R-SW*Apt_ETH*</v>
      </c>
      <c r="C51" s="33" t="s">
        <v>296</v>
      </c>
      <c r="D51" s="55">
        <f t="shared" si="9"/>
        <v>0.12</v>
      </c>
      <c r="F51" s="33" t="s">
        <v>109</v>
      </c>
      <c r="G51" s="33" t="s">
        <v>190</v>
      </c>
      <c r="H51" s="33" t="str">
        <f t="shared" si="8"/>
        <v>R-S*_Apt_ETH*</v>
      </c>
    </row>
    <row r="52" spans="1:8" ht="15">
      <c r="A52" s="34" t="s">
        <v>198</v>
      </c>
      <c r="B52" s="34" t="str">
        <f>"R-SW*"&amp;F52&amp;"_"&amp;G52&amp;"*"</f>
        <v>R-SW*Apt_LPG*</v>
      </c>
      <c r="C52" s="34" t="s">
        <v>296</v>
      </c>
      <c r="D52" s="56">
        <f t="shared" si="9"/>
        <v>0.12</v>
      </c>
      <c r="F52" s="34" t="s">
        <v>109</v>
      </c>
      <c r="G52" s="34" t="s">
        <v>192</v>
      </c>
      <c r="H52" s="34" t="str">
        <f t="shared" si="8"/>
        <v>R-S*_Apt_LPG*</v>
      </c>
    </row>
    <row r="53" spans="1:8" ht="15">
      <c r="A53" s="33" t="s">
        <v>198</v>
      </c>
      <c r="B53" s="33" t="str">
        <f>"R-*_"&amp;F53&amp;"*"&amp;"HPN*"</f>
        <v>R-*_Apt*HPN*</v>
      </c>
      <c r="C53" s="33" t="s">
        <v>296</v>
      </c>
      <c r="D53" s="55">
        <f>D10</f>
        <v>0.18130269923092601</v>
      </c>
      <c r="F53" s="33" t="s">
        <v>109</v>
      </c>
      <c r="G53" s="33" t="s">
        <v>83</v>
      </c>
      <c r="H53" s="33" t="str">
        <f>"R-SW*"&amp;F53&amp;"_"&amp;G53&amp;"*X1"</f>
        <v>R-SW*Apt_ELC*X1</v>
      </c>
    </row>
    <row r="54" spans="1:8" ht="15">
      <c r="A54" s="34" t="s">
        <v>198</v>
      </c>
      <c r="B54" s="34" t="str">
        <f>"R-S*_"&amp;F54&amp;"_"&amp;G54&amp;"_N1"&amp;",-R-SC*"</f>
        <v>R-S*_Apt_ELC_N1,-R-SC*</v>
      </c>
      <c r="C54" s="34" t="s">
        <v>296</v>
      </c>
      <c r="D54" s="56">
        <f t="shared" si="9"/>
        <v>0.013931119040235</v>
      </c>
      <c r="F54" s="34" t="s">
        <v>109</v>
      </c>
      <c r="G54" s="34" t="s">
        <v>83</v>
      </c>
      <c r="H54" s="34" t="str">
        <f>"R-SW*"&amp;F53&amp;"_"&amp;G53&amp;"*X0"</f>
        <v>R-SW*Apt_ELC*X0</v>
      </c>
    </row>
    <row r="55" spans="1:8" ht="15">
      <c r="A55" s="33" t="s">
        <v>198</v>
      </c>
      <c r="B55" s="33" t="str">
        <f t="shared" si="10" ref="B55:B60">"R-SW*"&amp;F55&amp;"_"&amp;G55&amp;"*"</f>
        <v>R-SW*Apt_KER*</v>
      </c>
      <c r="C55" s="33" t="s">
        <v>296</v>
      </c>
      <c r="D55" s="55">
        <f t="shared" si="9"/>
        <v>0.066604254563694898</v>
      </c>
      <c r="F55" s="33" t="s">
        <v>109</v>
      </c>
      <c r="G55" s="33" t="s">
        <v>193</v>
      </c>
      <c r="H55" s="33" t="str">
        <f t="shared" si="11" ref="H55">"R-S*_"&amp;F55&amp;"_"&amp;G55&amp;"*"</f>
        <v>R-S*_Apt_KER*</v>
      </c>
    </row>
    <row r="56" spans="1:8" ht="15">
      <c r="A56" s="34" t="s">
        <v>198</v>
      </c>
      <c r="B56" s="34" t="str">
        <f t="shared" si="10"/>
        <v>R-SW*Apt_GAS*</v>
      </c>
      <c r="C56" s="34" t="s">
        <v>296</v>
      </c>
      <c r="D56" s="56">
        <f t="shared" si="9"/>
        <v>0.025618485673577399</v>
      </c>
      <c r="F56" s="34" t="s">
        <v>109</v>
      </c>
      <c r="G56" s="34" t="s">
        <v>194</v>
      </c>
      <c r="H56" s="34" t="str">
        <f>"R-S*_"&amp;F55&amp;"_"&amp;G56&amp;"*"</f>
        <v>R-S*_Apt_GAS*</v>
      </c>
    </row>
    <row r="57" spans="1:8" ht="15">
      <c r="A57" s="33" t="s">
        <v>1</v>
      </c>
      <c r="B57" s="33" t="str">
        <f t="shared" si="10"/>
        <v>R-SW*Apt_PEA*</v>
      </c>
      <c r="C57" s="33" t="s">
        <v>296</v>
      </c>
      <c r="D57" s="55">
        <f t="shared" si="9"/>
        <v>0.161743747694956</v>
      </c>
      <c r="F57" s="33" t="s">
        <v>109</v>
      </c>
      <c r="G57" s="33" t="s">
        <v>110</v>
      </c>
      <c r="H57" s="33" t="str">
        <f>"R-S*_"&amp;F57&amp;"_"&amp;G57&amp;"*"</f>
        <v>R-S*_Apt_PEA*</v>
      </c>
    </row>
    <row r="58" spans="1:8" ht="15">
      <c r="A58" s="34" t="s">
        <v>1</v>
      </c>
      <c r="B58" s="34" t="str">
        <f t="shared" si="10"/>
        <v>R-SW*Apt_SMF*</v>
      </c>
      <c r="C58" s="34" t="s">
        <v>296</v>
      </c>
      <c r="D58" s="56">
        <f t="shared" si="9"/>
        <v>0.12</v>
      </c>
      <c r="F58" s="34" t="s">
        <v>109</v>
      </c>
      <c r="G58" s="34" t="s">
        <v>111</v>
      </c>
      <c r="H58" s="34" t="str">
        <f>"R-S*_"&amp;F58&amp;"_"&amp;G58&amp;"*"</f>
        <v>R-S*_Apt_SMF*</v>
      </c>
    </row>
    <row r="59" spans="1:8" ht="15">
      <c r="A59" s="33" t="s">
        <v>198</v>
      </c>
      <c r="B59" s="33" t="str">
        <f t="shared" si="10"/>
        <v>R-SW*Apt_WOO*</v>
      </c>
      <c r="C59" s="33" t="s">
        <v>296</v>
      </c>
      <c r="D59" s="55">
        <f t="shared" si="9"/>
        <v>0.12</v>
      </c>
      <c r="F59" s="33" t="s">
        <v>109</v>
      </c>
      <c r="G59" s="33" t="s">
        <v>195</v>
      </c>
      <c r="H59" s="33" t="str">
        <f>"R-S*_"&amp;F59&amp;"_"&amp;G59&amp;"*"</f>
        <v>R-S*_Apt_WOO*</v>
      </c>
    </row>
    <row r="60" spans="1:8" ht="15">
      <c r="A60" s="34" t="s">
        <v>198</v>
      </c>
      <c r="B60" s="34" t="str">
        <f t="shared" si="10"/>
        <v>R-SW*Apt_HET*</v>
      </c>
      <c r="C60" s="34" t="s">
        <v>296</v>
      </c>
      <c r="D60" s="56">
        <f>D17</f>
        <v>0.12</v>
      </c>
      <c r="F60" s="34" t="s">
        <v>109</v>
      </c>
      <c r="G60" s="34" t="s">
        <v>84</v>
      </c>
      <c r="H60" s="34" t="str">
        <f>"R-S*_"&amp;F60&amp;"_"&amp;G60&amp;"*"</f>
        <v>R-S*_Apt_HET*</v>
      </c>
    </row>
    <row r="61" spans="1:8" ht="15">
      <c r="A61" s="30" t="s">
        <v>250</v>
      </c>
      <c r="B61" s="31"/>
      <c r="C61" s="31"/>
      <c r="D61" s="31"/>
      <c r="E61" s="31"/>
      <c r="F61" s="31"/>
      <c r="G61" s="31"/>
      <c r="H61" s="31"/>
    </row>
    <row r="62" spans="1:8" ht="15">
      <c r="A62" s="33" t="s">
        <v>1</v>
      </c>
      <c r="B62" s="33" t="str">
        <f>"R-SW*"&amp;F62&amp;"_"&amp;G62&amp;"*"</f>
        <v>R-SW*Att_COA*</v>
      </c>
      <c r="C62" s="33" t="s">
        <v>298</v>
      </c>
      <c r="D62" s="55">
        <f>D19</f>
        <v>0.30984484845142601</v>
      </c>
      <c r="F62" s="33" t="s">
        <v>105</v>
      </c>
      <c r="G62" s="33" t="s">
        <v>82</v>
      </c>
      <c r="H62" s="33" t="str">
        <f t="shared" si="12" ref="H62:H65">"R-S*_"&amp;F62&amp;"_"&amp;G62&amp;"*"</f>
        <v>R-S*_Att_COA*</v>
      </c>
    </row>
    <row r="63" spans="1:8" ht="15">
      <c r="A63" s="34" t="s">
        <v>1</v>
      </c>
      <c r="B63" s="34" t="str">
        <f>"R-SW*"&amp;F63&amp;"_"&amp;G63&amp;"*"</f>
        <v>R-SW*Att_BDL*</v>
      </c>
      <c r="C63" s="34" t="s">
        <v>298</v>
      </c>
      <c r="D63" s="56">
        <f t="shared" si="13" ref="D63:D75">D20</f>
        <v>0.12</v>
      </c>
      <c r="F63" s="34" t="s">
        <v>105</v>
      </c>
      <c r="G63" s="34" t="s">
        <v>191</v>
      </c>
      <c r="H63" s="34" t="str">
        <f t="shared" si="12"/>
        <v>R-S*_Att_BDL*</v>
      </c>
    </row>
    <row r="64" spans="1:8" ht="15">
      <c r="A64" s="33" t="s">
        <v>1</v>
      </c>
      <c r="B64" s="33" t="str">
        <f>"R-SW*"&amp;F64&amp;"_"&amp;G64&amp;"*"</f>
        <v>R-SW*Att_ETH*</v>
      </c>
      <c r="C64" s="33" t="s">
        <v>298</v>
      </c>
      <c r="D64" s="55">
        <f t="shared" si="13"/>
        <v>0.12</v>
      </c>
      <c r="F64" s="33" t="s">
        <v>105</v>
      </c>
      <c r="G64" s="33" t="s">
        <v>190</v>
      </c>
      <c r="H64" s="33" t="str">
        <f t="shared" si="12"/>
        <v>R-S*_Att_ETH*</v>
      </c>
    </row>
    <row r="65" spans="1:8" ht="15">
      <c r="A65" s="34" t="s">
        <v>198</v>
      </c>
      <c r="B65" s="34" t="str">
        <f>"R-SW*"&amp;F65&amp;"_"&amp;G65&amp;"*"</f>
        <v>R-SW*Att_LPG*</v>
      </c>
      <c r="C65" s="34" t="s">
        <v>298</v>
      </c>
      <c r="D65" s="56">
        <f t="shared" si="13"/>
        <v>0.048109166237074001</v>
      </c>
      <c r="F65" s="34" t="s">
        <v>105</v>
      </c>
      <c r="G65" s="34" t="s">
        <v>192</v>
      </c>
      <c r="H65" s="34" t="str">
        <f t="shared" si="12"/>
        <v>R-S*_Att_LPG*</v>
      </c>
    </row>
    <row r="66" spans="1:8" ht="15">
      <c r="A66" s="33" t="s">
        <v>198</v>
      </c>
      <c r="B66" s="33" t="str">
        <f>"R-*_"&amp;F66&amp;"*"&amp;"HPN*"</f>
        <v>R-*_Att*HPN*</v>
      </c>
      <c r="C66" s="33" t="s">
        <v>298</v>
      </c>
      <c r="D66" s="55">
        <f t="shared" si="13"/>
        <v>0.11404303534564</v>
      </c>
      <c r="F66" s="33" t="s">
        <v>105</v>
      </c>
      <c r="G66" s="33" t="s">
        <v>83</v>
      </c>
      <c r="H66" s="33" t="str">
        <f>"R-SW*"&amp;F53&amp;"_"&amp;G53&amp;"*X1"</f>
        <v>R-SW*Apt_ELC*X1</v>
      </c>
    </row>
    <row r="67" spans="1:8" ht="15">
      <c r="A67" s="34" t="s">
        <v>198</v>
      </c>
      <c r="B67" s="34" t="str">
        <f>"R-S*_"&amp;F67&amp;"_"&amp;G67&amp;"_N1"&amp;",-R-SC*"</f>
        <v>R-S*_Att_ELC_N1,-R-SC*</v>
      </c>
      <c r="C67" s="34" t="s">
        <v>298</v>
      </c>
      <c r="D67" s="56">
        <f t="shared" si="13"/>
        <v>0.035156391297092499</v>
      </c>
      <c r="F67" s="34" t="s">
        <v>105</v>
      </c>
      <c r="G67" s="34" t="s">
        <v>83</v>
      </c>
      <c r="H67" s="34" t="str">
        <f>"R-SW*"&amp;F53&amp;"_"&amp;G53&amp;"*X0"</f>
        <v>R-SW*Apt_ELC*X0</v>
      </c>
    </row>
    <row r="68" spans="1:8" ht="15">
      <c r="A68" s="33" t="s">
        <v>198</v>
      </c>
      <c r="B68" s="33" t="str">
        <f t="shared" si="14" ref="B68:B75">"R-SW*"&amp;F68&amp;"_"&amp;G68&amp;"*"</f>
        <v>R-SW*Att_KER*</v>
      </c>
      <c r="C68" s="33" t="s">
        <v>298</v>
      </c>
      <c r="D68" s="55">
        <f t="shared" si="13"/>
        <v>0.047079298490866298</v>
      </c>
      <c r="F68" s="33" t="s">
        <v>105</v>
      </c>
      <c r="G68" s="33" t="s">
        <v>193</v>
      </c>
      <c r="H68" s="33" t="str">
        <f t="shared" si="15" ref="H68">"R-S*_"&amp;F68&amp;"_"&amp;G68&amp;"*"</f>
        <v>R-S*_Att_KER*</v>
      </c>
    </row>
    <row r="69" spans="1:8" ht="15">
      <c r="A69" s="34" t="s">
        <v>198</v>
      </c>
      <c r="B69" s="34" t="s">
        <v>275</v>
      </c>
      <c r="C69" s="34" t="s">
        <v>298</v>
      </c>
      <c r="D69" s="56">
        <f t="shared" si="13"/>
        <v>0.047079298490866298</v>
      </c>
      <c r="F69" s="34"/>
      <c r="G69" s="34"/>
      <c r="H69" s="34"/>
    </row>
    <row r="70" spans="1:8" ht="15">
      <c r="A70" s="33" t="s">
        <v>198</v>
      </c>
      <c r="B70" s="33" t="str">
        <f t="shared" si="14"/>
        <v>R-SW*Att_GAS*</v>
      </c>
      <c r="C70" s="33" t="s">
        <v>298</v>
      </c>
      <c r="D70" s="55">
        <f t="shared" si="13"/>
        <v>0.035964557684536103</v>
      </c>
      <c r="F70" s="33" t="s">
        <v>105</v>
      </c>
      <c r="G70" s="33" t="s">
        <v>194</v>
      </c>
      <c r="H70" s="33" t="str">
        <f>"R-S*_"&amp;F68&amp;"_"&amp;G70&amp;"*"</f>
        <v>R-S*_Att_GAS*</v>
      </c>
    </row>
    <row r="71" spans="1:8" ht="15">
      <c r="A71" s="34" t="s">
        <v>1</v>
      </c>
      <c r="B71" s="34" t="str">
        <f t="shared" si="14"/>
        <v>R-SW*Att_PEA*</v>
      </c>
      <c r="C71" s="34" t="s">
        <v>298</v>
      </c>
      <c r="D71" s="56">
        <f t="shared" si="13"/>
        <v>0.0727790788417393</v>
      </c>
      <c r="F71" s="34" t="s">
        <v>105</v>
      </c>
      <c r="G71" s="34" t="s">
        <v>110</v>
      </c>
      <c r="H71" s="34" t="str">
        <f>"R-S*_"&amp;F71&amp;"_"&amp;G71&amp;"*"</f>
        <v>R-S*_Att_PEA*</v>
      </c>
    </row>
    <row r="72" spans="1:8" ht="15">
      <c r="A72" s="33" t="s">
        <v>1</v>
      </c>
      <c r="B72" s="33" t="str">
        <f t="shared" si="14"/>
        <v>R-SW*Att_SMF*</v>
      </c>
      <c r="C72" s="33" t="s">
        <v>298</v>
      </c>
      <c r="D72" s="55">
        <f t="shared" si="13"/>
        <v>0.072438724233275797</v>
      </c>
      <c r="F72" s="33" t="s">
        <v>105</v>
      </c>
      <c r="G72" s="33" t="s">
        <v>111</v>
      </c>
      <c r="H72" s="33" t="str">
        <f>"R-S*_"&amp;F72&amp;"_"&amp;G72&amp;"*"</f>
        <v>R-S*_Att_SMF*</v>
      </c>
    </row>
    <row r="73" spans="1:8" ht="15">
      <c r="A73" s="34" t="s">
        <v>198</v>
      </c>
      <c r="B73" s="34" t="str">
        <f t="shared" si="14"/>
        <v>R-SW*Att_WOO*</v>
      </c>
      <c r="C73" s="34" t="s">
        <v>298</v>
      </c>
      <c r="D73" s="56">
        <f t="shared" si="13"/>
        <v>0.12</v>
      </c>
      <c r="F73" s="34" t="s">
        <v>105</v>
      </c>
      <c r="G73" s="34" t="s">
        <v>195</v>
      </c>
      <c r="H73" s="34" t="str">
        <f>"R-S*_"&amp;F73&amp;"_"&amp;G73&amp;"*"</f>
        <v>R-S*_Att_WOO*</v>
      </c>
    </row>
    <row r="74" spans="1:8" ht="15">
      <c r="A74" s="33" t="s">
        <v>198</v>
      </c>
      <c r="B74" s="33" t="s">
        <v>271</v>
      </c>
      <c r="C74" s="33" t="s">
        <v>298</v>
      </c>
      <c r="D74" s="55">
        <f t="shared" si="13"/>
        <v>0.12</v>
      </c>
      <c r="F74" s="33"/>
      <c r="G74" s="33"/>
      <c r="H74" s="33"/>
    </row>
    <row r="75" spans="1:8" ht="15">
      <c r="A75" s="34" t="s">
        <v>198</v>
      </c>
      <c r="B75" s="34" t="str">
        <f t="shared" si="14"/>
        <v>R-SW*Att_HET*</v>
      </c>
      <c r="C75" s="34" t="s">
        <v>298</v>
      </c>
      <c r="D75" s="56">
        <f t="shared" si="13"/>
        <v>0.12</v>
      </c>
      <c r="F75" s="34" t="s">
        <v>105</v>
      </c>
      <c r="G75" s="34" t="s">
        <v>84</v>
      </c>
      <c r="H75" s="34" t="str">
        <f>"R-S*_"&amp;F75&amp;"_"&amp;G75&amp;"*"</f>
        <v>R-S*_Att_HET*</v>
      </c>
    </row>
    <row r="76" spans="1:8" ht="15">
      <c r="A76" s="30" t="s">
        <v>249</v>
      </c>
      <c r="B76" s="31"/>
      <c r="C76" s="31"/>
      <c r="D76" s="31"/>
      <c r="E76" s="31"/>
      <c r="F76" s="31"/>
      <c r="G76" s="31"/>
      <c r="H76" s="31"/>
    </row>
    <row r="77" spans="1:8" ht="15">
      <c r="A77" s="33" t="s">
        <v>1</v>
      </c>
      <c r="B77" s="33" t="str">
        <f>"R-SW*"&amp;F77&amp;"_"&amp;G77&amp;"*"</f>
        <v>R-SW*Det_COA*</v>
      </c>
      <c r="C77" s="33" t="s">
        <v>300</v>
      </c>
      <c r="D77" s="55">
        <f>D34</f>
        <v>0.46414376338591401</v>
      </c>
      <c r="F77" s="33" t="s">
        <v>114</v>
      </c>
      <c r="G77" s="33" t="s">
        <v>82</v>
      </c>
      <c r="H77" s="33" t="str">
        <f t="shared" si="16" ref="H77:H80">"R-S*_"&amp;F77&amp;"_"&amp;G77&amp;"*"</f>
        <v>R-S*_Det_COA*</v>
      </c>
    </row>
    <row r="78" spans="1:8" ht="15">
      <c r="A78" s="34" t="s">
        <v>1</v>
      </c>
      <c r="B78" s="34" t="str">
        <f>"R-SW*"&amp;F78&amp;"_"&amp;G78&amp;"*"</f>
        <v>R-SW*Det_BDL*</v>
      </c>
      <c r="C78" s="34" t="s">
        <v>300</v>
      </c>
      <c r="D78" s="56">
        <f t="shared" si="17" ref="D78:D90">D35</f>
        <v>0.0697946718860816</v>
      </c>
      <c r="F78" s="34" t="s">
        <v>114</v>
      </c>
      <c r="G78" s="34" t="s">
        <v>191</v>
      </c>
      <c r="H78" s="34" t="str">
        <f t="shared" si="16"/>
        <v>R-S*_Det_BDL*</v>
      </c>
    </row>
    <row r="79" spans="1:8" ht="15">
      <c r="A79" s="33" t="s">
        <v>1</v>
      </c>
      <c r="B79" s="33" t="str">
        <f>"R-SW*"&amp;F79&amp;"_"&amp;G79&amp;"*"</f>
        <v>R-SW*Det_ETH*</v>
      </c>
      <c r="C79" s="33" t="s">
        <v>300</v>
      </c>
      <c r="D79" s="55">
        <f t="shared" si="17"/>
        <v>0.0697946718860816</v>
      </c>
      <c r="F79" s="33" t="s">
        <v>114</v>
      </c>
      <c r="G79" s="33" t="s">
        <v>190</v>
      </c>
      <c r="H79" s="33" t="str">
        <f t="shared" si="16"/>
        <v>R-S*_Det_ETH*</v>
      </c>
    </row>
    <row r="80" spans="1:8" ht="15">
      <c r="A80" s="34" t="s">
        <v>198</v>
      </c>
      <c r="B80" s="34" t="str">
        <f>"R-SW*"&amp;F80&amp;"_"&amp;G80&amp;"*"</f>
        <v>R-SW*Det_LPG*</v>
      </c>
      <c r="C80" s="34" t="s">
        <v>300</v>
      </c>
      <c r="D80" s="56">
        <f t="shared" si="17"/>
        <v>0.0697946718860816</v>
      </c>
      <c r="F80" s="34" t="s">
        <v>114</v>
      </c>
      <c r="G80" s="34" t="s">
        <v>192</v>
      </c>
      <c r="H80" s="34" t="str">
        <f t="shared" si="16"/>
        <v>R-S*_Det_LPG*</v>
      </c>
    </row>
    <row r="81" spans="1:8" ht="15">
      <c r="A81" s="33" t="s">
        <v>198</v>
      </c>
      <c r="B81" s="33" t="str">
        <f>"R-*_"&amp;F81&amp;"*"&amp;"HPN*"</f>
        <v>R-*_Det*HPN*</v>
      </c>
      <c r="C81" s="33" t="s">
        <v>300</v>
      </c>
      <c r="D81" s="55">
        <f t="shared" si="17"/>
        <v>0.138319067250922</v>
      </c>
      <c r="F81" s="33" t="s">
        <v>114</v>
      </c>
      <c r="G81" s="33" t="s">
        <v>83</v>
      </c>
      <c r="H81" s="33" t="str">
        <f>"R-SW*"&amp;F81&amp;"_"&amp;G81&amp;"*X1"</f>
        <v>R-SW*Det_ELC*X1</v>
      </c>
    </row>
    <row r="82" spans="1:8" ht="15">
      <c r="A82" s="34" t="s">
        <v>198</v>
      </c>
      <c r="B82" s="34" t="str">
        <f>"R-S*_"&amp;F82&amp;"_"&amp;G82&amp;"_N1"&amp;",-R-SC*"</f>
        <v>R-S*_Det_ELC_N1,-R-SC*</v>
      </c>
      <c r="C82" s="34" t="s">
        <v>300</v>
      </c>
      <c r="D82" s="56">
        <f t="shared" si="17"/>
        <v>0.043843217634644903</v>
      </c>
      <c r="F82" s="34" t="s">
        <v>114</v>
      </c>
      <c r="G82" s="34" t="s">
        <v>83</v>
      </c>
      <c r="H82" s="34" t="str">
        <f>"R-SW*"&amp;F82&amp;"_"&amp;G82&amp;"*X0"</f>
        <v>R-SW*Det_ELC*X0</v>
      </c>
    </row>
    <row r="83" spans="1:8" ht="15">
      <c r="A83" s="33" t="s">
        <v>198</v>
      </c>
      <c r="B83" s="33" t="str">
        <f t="shared" si="18" ref="B83:B90">"R-SW*"&amp;F83&amp;"_"&amp;G83&amp;"*"</f>
        <v>R-SW*Det_KER*</v>
      </c>
      <c r="C83" s="33" t="s">
        <v>300</v>
      </c>
      <c r="D83" s="55">
        <f t="shared" si="17"/>
        <v>0.0537535468762151</v>
      </c>
      <c r="F83" s="33" t="s">
        <v>114</v>
      </c>
      <c r="G83" s="33" t="s">
        <v>193</v>
      </c>
      <c r="H83" s="33" t="str">
        <f t="shared" si="19" ref="H83">"R-S*_"&amp;F83&amp;"_"&amp;G83&amp;"*"</f>
        <v>R-S*_Det_KER*</v>
      </c>
    </row>
    <row r="84" spans="1:8" ht="15">
      <c r="A84" s="34" t="s">
        <v>198</v>
      </c>
      <c r="B84" s="34" t="s">
        <v>276</v>
      </c>
      <c r="C84" s="34" t="s">
        <v>300</v>
      </c>
      <c r="D84" s="56">
        <f t="shared" si="17"/>
        <v>0.0537535468762151</v>
      </c>
      <c r="F84" s="34"/>
      <c r="G84" s="34"/>
      <c r="H84" s="34"/>
    </row>
    <row r="85" spans="1:8" ht="15">
      <c r="A85" s="33" t="s">
        <v>198</v>
      </c>
      <c r="B85" s="33" t="str">
        <f t="shared" si="18"/>
        <v>R-SW*Det_GAS*</v>
      </c>
      <c r="C85" s="33" t="s">
        <v>300</v>
      </c>
      <c r="D85" s="55">
        <f t="shared" si="17"/>
        <v>0.0396720040920054</v>
      </c>
      <c r="F85" s="33" t="s">
        <v>114</v>
      </c>
      <c r="G85" s="33" t="s">
        <v>194</v>
      </c>
      <c r="H85" s="33" t="str">
        <f>"R-S*_"&amp;F83&amp;"_"&amp;G85&amp;"*"</f>
        <v>R-S*_Det_GAS*</v>
      </c>
    </row>
    <row r="86" spans="1:8" ht="15">
      <c r="A86" s="34" t="s">
        <v>1</v>
      </c>
      <c r="B86" s="34" t="str">
        <f t="shared" si="18"/>
        <v>R-SW*Det_PEA*</v>
      </c>
      <c r="C86" s="34" t="s">
        <v>300</v>
      </c>
      <c r="D86" s="56">
        <f t="shared" si="17"/>
        <v>0.101539467044872</v>
      </c>
      <c r="F86" s="34" t="s">
        <v>114</v>
      </c>
      <c r="G86" s="34" t="s">
        <v>110</v>
      </c>
      <c r="H86" s="34" t="str">
        <f>"R-S*_"&amp;F86&amp;"_"&amp;G86&amp;"*"</f>
        <v>R-S*_Det_PEA*</v>
      </c>
    </row>
    <row r="87" spans="1:8" ht="15">
      <c r="A87" s="33" t="s">
        <v>1</v>
      </c>
      <c r="B87" s="33" t="str">
        <f t="shared" si="18"/>
        <v>R-SW*Det_SMF*</v>
      </c>
      <c r="C87" s="33" t="s">
        <v>300</v>
      </c>
      <c r="D87" s="55">
        <f t="shared" si="17"/>
        <v>0.13495608652757701</v>
      </c>
      <c r="F87" s="33" t="s">
        <v>114</v>
      </c>
      <c r="G87" s="33" t="s">
        <v>111</v>
      </c>
      <c r="H87" s="33" t="str">
        <f>"R-S*_"&amp;F87&amp;"_"&amp;G87&amp;"*"</f>
        <v>R-S*_Det_SMF*</v>
      </c>
    </row>
    <row r="88" spans="1:8" ht="15">
      <c r="A88" s="34" t="s">
        <v>198</v>
      </c>
      <c r="B88" s="34" t="str">
        <f t="shared" si="18"/>
        <v>R-SW*Det_WOO*</v>
      </c>
      <c r="C88" s="34" t="s">
        <v>300</v>
      </c>
      <c r="D88" s="56">
        <f t="shared" si="17"/>
        <v>0.094687203541950801</v>
      </c>
      <c r="F88" s="34" t="s">
        <v>114</v>
      </c>
      <c r="G88" s="34" t="s">
        <v>195</v>
      </c>
      <c r="H88" s="34" t="str">
        <f>"R-S*_"&amp;F88&amp;"_"&amp;G88&amp;"*"</f>
        <v>R-S*_Det_WOO*</v>
      </c>
    </row>
    <row r="89" spans="1:8" ht="15">
      <c r="A89" s="33" t="s">
        <v>198</v>
      </c>
      <c r="B89" s="33" t="s">
        <v>272</v>
      </c>
      <c r="C89" s="33" t="s">
        <v>300</v>
      </c>
      <c r="D89" s="55">
        <f t="shared" si="17"/>
        <v>0.094687203541950801</v>
      </c>
      <c r="F89" s="33"/>
      <c r="G89" s="33"/>
      <c r="H89" s="33"/>
    </row>
    <row r="90" spans="1:8" ht="15">
      <c r="A90" s="34" t="s">
        <v>198</v>
      </c>
      <c r="B90" s="34" t="str">
        <f t="shared" si="18"/>
        <v>R-SW*Det_HET*</v>
      </c>
      <c r="C90" s="34" t="s">
        <v>300</v>
      </c>
      <c r="D90" s="56">
        <f t="shared" si="17"/>
        <v>0.12</v>
      </c>
      <c r="F90" s="34" t="s">
        <v>114</v>
      </c>
      <c r="G90" s="34" t="s">
        <v>84</v>
      </c>
      <c r="H90" s="34" t="str">
        <f>"R-S*_"&amp;F90&amp;"_"&amp;G90&amp;"*"</f>
        <v>R-S*_Det_HET*</v>
      </c>
    </row>
    <row r="91" spans="1:8" ht="15">
      <c r="A91" s="30" t="s">
        <v>115</v>
      </c>
      <c r="B91" s="31"/>
      <c r="C91" s="31"/>
      <c r="D91" s="32"/>
      <c r="F91" s="31"/>
      <c r="G91" s="31"/>
      <c r="H91" s="31"/>
    </row>
    <row r="92" spans="1:8" ht="15">
      <c r="A92" s="33" t="s">
        <v>1</v>
      </c>
      <c r="B92" s="33" t="str">
        <f t="shared" si="20" ref="B92:B102">"R-WH_"&amp;F92&amp;"_"&amp;G92&amp;"*"</f>
        <v>R-WH_Apt_COA*</v>
      </c>
      <c r="C92" s="33"/>
      <c r="D92" s="55">
        <f>AVERAGEIFS('BY-RSD-WH_AF'!$L$2:$L$100,'BY-RSD-WH_AF'!$C$2:$C$100,H92,'BY-RSD-WH_AF'!$A$2:$A$100,"BASE")</f>
        <v>0.12</v>
      </c>
      <c r="F92" s="33" t="s">
        <v>109</v>
      </c>
      <c r="G92" s="33" t="s">
        <v>82</v>
      </c>
      <c r="H92" s="33" t="str">
        <f t="shared" si="21" ref="H92:H97">"R-WH_"&amp;F92&amp;"_"&amp;G92&amp;"*"</f>
        <v>R-WH_Apt_COA*</v>
      </c>
    </row>
    <row r="93" spans="1:8" ht="15">
      <c r="A93" s="34" t="s">
        <v>1</v>
      </c>
      <c r="B93" s="34" t="str">
        <f t="shared" si="20"/>
        <v>R-WH_Apt_BDL*</v>
      </c>
      <c r="C93" s="34"/>
      <c r="D93" s="56">
        <f>AVERAGEIFS('BY-RSD-WH_AF'!$L$2:$L$100,'BY-RSD-WH_AF'!$C$2:$C$100,H93,'BY-RSD-WH_AF'!$A$2:$A$100,"BASE")</f>
        <v>0.12</v>
      </c>
      <c r="F93" s="34" t="s">
        <v>109</v>
      </c>
      <c r="G93" s="34" t="s">
        <v>191</v>
      </c>
      <c r="H93" s="34" t="str">
        <f t="shared" si="21"/>
        <v>R-WH_Apt_BDL*</v>
      </c>
    </row>
    <row r="94" spans="1:8" ht="15">
      <c r="A94" s="33" t="s">
        <v>1</v>
      </c>
      <c r="B94" s="33" t="str">
        <f t="shared" si="20"/>
        <v>R-WH_Apt_ETH*</v>
      </c>
      <c r="C94" s="33"/>
      <c r="D94" s="55">
        <f>AVERAGEIFS('BY-RSD-WH_AF'!$L$2:$L$100,'BY-RSD-WH_AF'!$C$2:$C$100,H94,'BY-RSD-WH_AF'!$A$2:$A$100,"BASE")</f>
        <v>0.12</v>
      </c>
      <c r="F94" s="33" t="s">
        <v>109</v>
      </c>
      <c r="G94" s="33" t="s">
        <v>190</v>
      </c>
      <c r="H94" s="33" t="str">
        <f t="shared" si="21"/>
        <v>R-WH_Apt_ETH*</v>
      </c>
    </row>
    <row r="95" spans="1:8" ht="15">
      <c r="A95" s="34" t="s">
        <v>1</v>
      </c>
      <c r="B95" s="34" t="str">
        <f t="shared" si="20"/>
        <v>R-WH_Apt_LPG*</v>
      </c>
      <c r="C95" s="34"/>
      <c r="D95" s="56">
        <f>AVERAGEIFS('BY-RSD-WH_AF'!$L$2:$L$100,'BY-RSD-WH_AF'!$C$2:$C$100,H95,'BY-RSD-WH_AF'!$A$2:$A$100,"BASE")</f>
        <v>0.12</v>
      </c>
      <c r="F95" s="34" t="s">
        <v>109</v>
      </c>
      <c r="G95" s="34" t="s">
        <v>192</v>
      </c>
      <c r="H95" s="34" t="str">
        <f t="shared" si="21"/>
        <v>R-WH_Apt_LPG*</v>
      </c>
    </row>
    <row r="96" spans="1:8" ht="15">
      <c r="A96" s="33" t="s">
        <v>244</v>
      </c>
      <c r="B96" s="33" t="str">
        <f>"R-WH_"&amp;F96&amp;"_"&amp;G96&amp;"*"</f>
        <v>R-WH_Apt_ELC*</v>
      </c>
      <c r="C96" s="33"/>
      <c r="D96" s="55">
        <f>AVERAGEIFS('BY-RSD-WH_AF'!$L$2:$L$100,'BY-RSD-WH_AF'!$C$2:$C$100,H96,'BY-RSD-WH_AF'!$A$2:$A$100,"BASE")</f>
        <v>0.053377456313566302</v>
      </c>
      <c r="F96" s="33" t="s">
        <v>109</v>
      </c>
      <c r="G96" s="33" t="s">
        <v>83</v>
      </c>
      <c r="H96" s="33" t="str">
        <f>"R-WH_"&amp;F96&amp;"_"&amp;G96&amp;"*X0"</f>
        <v>R-WH_Apt_ELC*X0</v>
      </c>
    </row>
    <row r="97" spans="1:8" ht="15">
      <c r="A97" s="34" t="s">
        <v>1</v>
      </c>
      <c r="B97" s="34" t="str">
        <f t="shared" si="20"/>
        <v>R-WH_Apt_KER*</v>
      </c>
      <c r="C97" s="34"/>
      <c r="D97" s="56">
        <f>AVERAGEIFS('BY-RSD-WH_AF'!$L$2:$L$100,'BY-RSD-WH_AF'!$C$2:$C$100,H97,'BY-RSD-WH_AF'!$A$2:$A$100,"BASE")</f>
        <v>0.12</v>
      </c>
      <c r="F97" s="34" t="s">
        <v>109</v>
      </c>
      <c r="G97" s="34" t="s">
        <v>193</v>
      </c>
      <c r="H97" s="34" t="str">
        <f t="shared" si="21"/>
        <v>R-WH_Apt_KER*</v>
      </c>
    </row>
    <row r="98" spans="1:8" ht="15">
      <c r="A98" s="33" t="s">
        <v>1</v>
      </c>
      <c r="B98" s="33" t="str">
        <f t="shared" si="20"/>
        <v>R-WH_Apt_GAS*</v>
      </c>
      <c r="C98" s="33"/>
      <c r="D98" s="55">
        <f>AVERAGEIFS('BY-RSD-WH_AF'!$L$2:$L$100,'BY-RSD-WH_AF'!$C$2:$C$100,H98,'BY-RSD-WH_AF'!$A$2:$A$100,"BASE")</f>
        <v>0.060645497051149098</v>
      </c>
      <c r="F98" s="33" t="s">
        <v>109</v>
      </c>
      <c r="G98" s="33" t="s">
        <v>194</v>
      </c>
      <c r="H98" s="33" t="str">
        <f>"R-WH_"&amp;F97&amp;"_"&amp;G98&amp;"*"</f>
        <v>R-WH_Apt_GAS*</v>
      </c>
    </row>
    <row r="99" spans="1:8" ht="15">
      <c r="A99" s="34" t="s">
        <v>1</v>
      </c>
      <c r="B99" s="34" t="str">
        <f t="shared" si="20"/>
        <v>R-WH_Apt_PEA*</v>
      </c>
      <c r="C99" s="34"/>
      <c r="D99" s="56">
        <f>AVERAGEIFS('BY-RSD-WH_AF'!$L$2:$L$100,'BY-RSD-WH_AF'!$C$2:$C$100,H99,'BY-RSD-WH_AF'!$A$2:$A$100,"BASE")</f>
        <v>0.12</v>
      </c>
      <c r="F99" s="34" t="s">
        <v>109</v>
      </c>
      <c r="G99" s="34" t="s">
        <v>110</v>
      </c>
      <c r="H99" s="34" t="str">
        <f t="shared" si="22" ref="H99:H103">"R-WH_"&amp;F99&amp;"_"&amp;G99&amp;"*"</f>
        <v>R-WH_Apt_PEA*</v>
      </c>
    </row>
    <row r="100" spans="1:8" ht="15">
      <c r="A100" s="33" t="s">
        <v>1</v>
      </c>
      <c r="B100" s="33" t="str">
        <f t="shared" si="20"/>
        <v>R-WH_Apt_SMF*</v>
      </c>
      <c r="C100" s="33"/>
      <c r="D100" s="55">
        <f>AVERAGEIFS('BY-RSD-WH_AF'!$L$2:$L$100,'BY-RSD-WH_AF'!$C$2:$C$100,H100,'BY-RSD-WH_AF'!$A$2:$A$100,"BASE")</f>
        <v>0.12</v>
      </c>
      <c r="F100" s="33" t="s">
        <v>109</v>
      </c>
      <c r="G100" s="33" t="s">
        <v>111</v>
      </c>
      <c r="H100" s="33" t="str">
        <f t="shared" si="22"/>
        <v>R-WH_Apt_SMF*</v>
      </c>
    </row>
    <row r="101" spans="1:8" ht="15">
      <c r="A101" s="34" t="s">
        <v>1</v>
      </c>
      <c r="B101" s="34" t="str">
        <f t="shared" si="20"/>
        <v>R-WH_Apt_WOO*</v>
      </c>
      <c r="C101" s="34"/>
      <c r="D101" s="56">
        <f>AVERAGEIFS('BY-RSD-WH_AF'!$L$2:$L$100,'BY-RSD-WH_AF'!$C$2:$C$100,H101,'BY-RSD-WH_AF'!$A$2:$A$100,"BASE")</f>
        <v>0.12</v>
      </c>
      <c r="F101" s="34" t="s">
        <v>109</v>
      </c>
      <c r="G101" s="34" t="s">
        <v>195</v>
      </c>
      <c r="H101" s="34" t="str">
        <f t="shared" si="22"/>
        <v>R-WH_Apt_WOO*</v>
      </c>
    </row>
    <row r="102" spans="1:8" ht="15">
      <c r="A102" s="33" t="s">
        <v>1</v>
      </c>
      <c r="B102" s="33" t="str">
        <f t="shared" si="20"/>
        <v>R-WH_Apt_HET*</v>
      </c>
      <c r="C102" s="33"/>
      <c r="D102" s="55">
        <f>AVERAGEIFS('BY-RSD-WH_AF'!$L$2:$L$100,'BY-RSD-WH_AF'!$C$2:$C$100,H102,'BY-RSD-WH_AF'!$A$2:$A$100,"BASE")</f>
        <v>0.12</v>
      </c>
      <c r="F102" s="33" t="s">
        <v>109</v>
      </c>
      <c r="G102" s="33" t="s">
        <v>84</v>
      </c>
      <c r="H102" s="33" t="str">
        <f t="shared" si="22"/>
        <v>R-WH_Apt_HET*</v>
      </c>
    </row>
    <row r="103" spans="1:8" ht="15">
      <c r="A103" s="33" t="s">
        <v>244</v>
      </c>
      <c r="B103" s="33" t="str">
        <f>"R-WH_"&amp;F103&amp;"_"&amp;G103&amp;"*"</f>
        <v>R-WH_Apt_SOL*</v>
      </c>
      <c r="C103" s="33"/>
      <c r="D103" s="55">
        <f>AVERAGEIFS('BY-RSD-WH_AF'!$L$2:$L$100,'BY-RSD-WH_AF'!$C$2:$C$100,H103,'BY-RSD-WH_AF'!$A$2:$A$100,"BASE")</f>
        <v>0.13976565562716001</v>
      </c>
      <c r="F103" s="33" t="s">
        <v>109</v>
      </c>
      <c r="G103" s="33" t="s">
        <v>231</v>
      </c>
      <c r="H103" s="33" t="str">
        <f t="shared" si="22"/>
        <v>R-WH_Apt_SOL*</v>
      </c>
    </row>
    <row r="104" spans="1:8" ht="15">
      <c r="A104" s="30" t="s">
        <v>116</v>
      </c>
      <c r="B104" s="31"/>
      <c r="C104" s="31"/>
      <c r="D104" s="31"/>
      <c r="E104" s="31"/>
      <c r="F104" s="31"/>
      <c r="G104" s="31"/>
      <c r="H104" s="31"/>
    </row>
    <row r="105" spans="1:8" ht="15">
      <c r="A105" s="33" t="s">
        <v>1</v>
      </c>
      <c r="B105" s="33" t="str">
        <f t="shared" si="23" ref="B105:B115">"R-WH_"&amp;F105&amp;"_"&amp;G105&amp;"*"</f>
        <v>R-WH_Att_COA*</v>
      </c>
      <c r="C105" s="33"/>
      <c r="D105" s="55">
        <f>AVERAGEIFS('BY-RSD-WH_AF'!$L$2:$L$100,'BY-RSD-WH_AF'!$C$2:$C$100,H105,'BY-RSD-WH_AF'!$A$2:$A$100,"BASE")</f>
        <v>0.10081773520747001</v>
      </c>
      <c r="F105" s="33" t="s">
        <v>105</v>
      </c>
      <c r="G105" s="33" t="s">
        <v>82</v>
      </c>
      <c r="H105" s="33" t="str">
        <f t="shared" si="24" ref="H105:H110">"R-WH_"&amp;F105&amp;"_"&amp;G105&amp;"*"</f>
        <v>R-WH_Att_COA*</v>
      </c>
    </row>
    <row r="106" spans="1:8" ht="15">
      <c r="A106" s="34" t="s">
        <v>1</v>
      </c>
      <c r="B106" s="34" t="str">
        <f t="shared" si="23"/>
        <v>R-WH_Att_BDL*</v>
      </c>
      <c r="C106" s="34"/>
      <c r="D106" s="56">
        <f>AVERAGEIFS('BY-RSD-WH_AF'!$L$2:$L$100,'BY-RSD-WH_AF'!$C$2:$C$100,H106,'BY-RSD-WH_AF'!$A$2:$A$100,"BASE")</f>
        <v>0.12</v>
      </c>
      <c r="F106" s="34" t="s">
        <v>105</v>
      </c>
      <c r="G106" s="34" t="s">
        <v>191</v>
      </c>
      <c r="H106" s="34" t="str">
        <f t="shared" si="24"/>
        <v>R-WH_Att_BDL*</v>
      </c>
    </row>
    <row r="107" spans="1:8" ht="15">
      <c r="A107" s="33" t="s">
        <v>1</v>
      </c>
      <c r="B107" s="33" t="str">
        <f t="shared" si="23"/>
        <v>R-WH_Att_ETH*</v>
      </c>
      <c r="C107" s="33"/>
      <c r="D107" s="55">
        <f>AVERAGEIFS('BY-RSD-WH_AF'!$L$2:$L$100,'BY-RSD-WH_AF'!$C$2:$C$100,H107,'BY-RSD-WH_AF'!$A$2:$A$100,"BASE")</f>
        <v>0.12</v>
      </c>
      <c r="F107" s="33" t="s">
        <v>105</v>
      </c>
      <c r="G107" s="33" t="s">
        <v>190</v>
      </c>
      <c r="H107" s="33" t="str">
        <f t="shared" si="24"/>
        <v>R-WH_Att_ETH*</v>
      </c>
    </row>
    <row r="108" spans="1:8" ht="15">
      <c r="A108" s="34" t="s">
        <v>1</v>
      </c>
      <c r="B108" s="34" t="str">
        <f t="shared" si="23"/>
        <v>R-WH_Att_LPG*</v>
      </c>
      <c r="C108" s="34"/>
      <c r="D108" s="56">
        <f>AVERAGEIFS('BY-RSD-WH_AF'!$L$2:$L$100,'BY-RSD-WH_AF'!$C$2:$C$100,H108,'BY-RSD-WH_AF'!$A$2:$A$100,"BASE")</f>
        <v>0.12</v>
      </c>
      <c r="F108" s="34" t="s">
        <v>105</v>
      </c>
      <c r="G108" s="34" t="s">
        <v>192</v>
      </c>
      <c r="H108" s="34" t="str">
        <f t="shared" si="24"/>
        <v>R-WH_Att_LPG*</v>
      </c>
    </row>
    <row r="109" spans="1:8" ht="15">
      <c r="A109" s="33" t="s">
        <v>244</v>
      </c>
      <c r="B109" s="33" t="str">
        <f t="shared" si="23"/>
        <v>R-WH_Att_ELC*</v>
      </c>
      <c r="C109" s="33"/>
      <c r="D109" s="55">
        <f>AVERAGEIFS('BY-RSD-WH_AF'!$L$2:$L$100,'BY-RSD-WH_AF'!$C$2:$C$100,H109,'BY-RSD-WH_AF'!$A$2:$A$100,"BASE")</f>
        <v>0.062077936363827101</v>
      </c>
      <c r="F109" s="33" t="s">
        <v>105</v>
      </c>
      <c r="G109" s="33" t="s">
        <v>83</v>
      </c>
      <c r="H109" s="33" t="str">
        <f>"R-WH_"&amp;F109&amp;"_"&amp;G109&amp;"*X0"</f>
        <v>R-WH_Att_ELC*X0</v>
      </c>
    </row>
    <row r="110" spans="1:8" ht="15">
      <c r="A110" s="34" t="s">
        <v>1</v>
      </c>
      <c r="B110" s="34" t="str">
        <f t="shared" si="23"/>
        <v>R-WH_Att_KER*</v>
      </c>
      <c r="C110" s="34"/>
      <c r="D110" s="56">
        <f>AVERAGEIFS('BY-RSD-WH_AF'!$L$2:$L$100,'BY-RSD-WH_AF'!$C$2:$C$100,H110,'BY-RSD-WH_AF'!$A$2:$A$100,"BASE")</f>
        <v>0.069903120588175702</v>
      </c>
      <c r="F110" s="34" t="s">
        <v>105</v>
      </c>
      <c r="G110" s="34" t="s">
        <v>193</v>
      </c>
      <c r="H110" s="34" t="str">
        <f t="shared" si="24"/>
        <v>R-WH_Att_KER*</v>
      </c>
    </row>
    <row r="111" spans="1:8" ht="15">
      <c r="A111" s="33" t="s">
        <v>1</v>
      </c>
      <c r="B111" s="33" t="str">
        <f t="shared" si="23"/>
        <v>R-WH_Att_GAS*</v>
      </c>
      <c r="C111" s="33"/>
      <c r="D111" s="55">
        <f>AVERAGEIFS('BY-RSD-WH_AF'!$L$2:$L$100,'BY-RSD-WH_AF'!$C$2:$C$100,H111,'BY-RSD-WH_AF'!$A$2:$A$100,"BASE")</f>
        <v>0.049806776874505597</v>
      </c>
      <c r="F111" s="33" t="s">
        <v>105</v>
      </c>
      <c r="G111" s="33" t="s">
        <v>194</v>
      </c>
      <c r="H111" s="33" t="str">
        <f>"R-WH_"&amp;F110&amp;"_"&amp;G111&amp;"*"</f>
        <v>R-WH_Att_GAS*</v>
      </c>
    </row>
    <row r="112" spans="1:8" ht="15">
      <c r="A112" s="34" t="s">
        <v>1</v>
      </c>
      <c r="B112" s="34" t="str">
        <f t="shared" si="23"/>
        <v>R-WH_Att_PEA*</v>
      </c>
      <c r="C112" s="34"/>
      <c r="D112" s="56">
        <f>AVERAGEIFS('BY-RSD-WH_AF'!$L$2:$L$100,'BY-RSD-WH_AF'!$C$2:$C$100,H112,'BY-RSD-WH_AF'!$A$2:$A$100,"BASE")</f>
        <v>0.12</v>
      </c>
      <c r="F112" s="34" t="s">
        <v>105</v>
      </c>
      <c r="G112" s="34" t="s">
        <v>110</v>
      </c>
      <c r="H112" s="34" t="str">
        <f t="shared" si="25" ref="H112:H116">"R-WH_"&amp;F112&amp;"_"&amp;G112&amp;"*"</f>
        <v>R-WH_Att_PEA*</v>
      </c>
    </row>
    <row r="113" spans="1:8" ht="15">
      <c r="A113" s="33" t="s">
        <v>1</v>
      </c>
      <c r="B113" s="33" t="str">
        <f t="shared" si="23"/>
        <v>R-WH_Att_SMF*</v>
      </c>
      <c r="C113" s="33"/>
      <c r="D113" s="55">
        <f>AVERAGEIFS('BY-RSD-WH_AF'!$L$2:$L$100,'BY-RSD-WH_AF'!$C$2:$C$100,H113,'BY-RSD-WH_AF'!$A$2:$A$100,"BASE")</f>
        <v>0.057147241043066198</v>
      </c>
      <c r="F113" s="33" t="s">
        <v>105</v>
      </c>
      <c r="G113" s="33" t="s">
        <v>111</v>
      </c>
      <c r="H113" s="33" t="str">
        <f t="shared" si="25"/>
        <v>R-WH_Att_SMF*</v>
      </c>
    </row>
    <row r="114" spans="1:8" ht="15">
      <c r="A114" s="34" t="s">
        <v>1</v>
      </c>
      <c r="B114" s="34" t="str">
        <f t="shared" si="23"/>
        <v>R-WH_Att_WOO*</v>
      </c>
      <c r="C114" s="34"/>
      <c r="D114" s="56">
        <f>AVERAGEIFS('BY-RSD-WH_AF'!$L$2:$L$100,'BY-RSD-WH_AF'!$C$2:$C$100,H114,'BY-RSD-WH_AF'!$A$2:$A$100,"BASE")</f>
        <v>0.12</v>
      </c>
      <c r="F114" s="34" t="s">
        <v>105</v>
      </c>
      <c r="G114" s="34" t="s">
        <v>195</v>
      </c>
      <c r="H114" s="34" t="str">
        <f t="shared" si="25"/>
        <v>R-WH_Att_WOO*</v>
      </c>
    </row>
    <row r="115" spans="1:8" ht="15">
      <c r="A115" s="33" t="s">
        <v>1</v>
      </c>
      <c r="B115" s="33" t="str">
        <f t="shared" si="23"/>
        <v>R-WH_Att_HET*</v>
      </c>
      <c r="C115" s="33"/>
      <c r="D115" s="55">
        <f>AVERAGEIFS('BY-RSD-WH_AF'!$L$2:$L$100,'BY-RSD-WH_AF'!$C$2:$C$100,H115,'BY-RSD-WH_AF'!$A$2:$A$100,"BASE")</f>
        <v>0.12</v>
      </c>
      <c r="F115" s="33" t="s">
        <v>105</v>
      </c>
      <c r="G115" s="33" t="s">
        <v>84</v>
      </c>
      <c r="H115" s="33" t="str">
        <f t="shared" si="25"/>
        <v>R-WH_Att_HET*</v>
      </c>
    </row>
    <row r="116" spans="1:8" ht="15">
      <c r="A116" s="34" t="s">
        <v>244</v>
      </c>
      <c r="B116" s="34" t="str">
        <f>"R-WH_"&amp;F116&amp;"_"&amp;G116&amp;"*"</f>
        <v>R-WH_Att_SOL*</v>
      </c>
      <c r="C116" s="34"/>
      <c r="D116" s="56">
        <f>AVERAGEIFS('BY-RSD-WH_AF'!$L$2:$L$100,'BY-RSD-WH_AF'!$C$2:$C$100,H116,'BY-RSD-WH_AF'!$A$2:$A$100,"BASE")</f>
        <v>0.21413130493478699</v>
      </c>
      <c r="F116" s="34" t="s">
        <v>105</v>
      </c>
      <c r="G116" s="34" t="s">
        <v>231</v>
      </c>
      <c r="H116" s="34" t="str">
        <f t="shared" si="25"/>
        <v>R-WH_Att_SOL*</v>
      </c>
    </row>
    <row r="117" spans="1:8" ht="15">
      <c r="A117" s="30" t="s">
        <v>117</v>
      </c>
      <c r="B117" s="31"/>
      <c r="C117" s="31"/>
      <c r="D117" s="31"/>
      <c r="E117" s="31"/>
      <c r="F117" s="31"/>
      <c r="G117" s="31"/>
      <c r="H117" s="31"/>
    </row>
    <row r="118" spans="1:8" ht="15">
      <c r="A118" s="33" t="s">
        <v>1</v>
      </c>
      <c r="B118" s="33" t="str">
        <f t="shared" si="26" ref="B118:B128">"R-WH_"&amp;F118&amp;"_"&amp;G118&amp;"*"</f>
        <v>R-WH_Det_COA*</v>
      </c>
      <c r="C118" s="33"/>
      <c r="D118" s="55">
        <f>AVERAGEIFS('BY-RSD-WH_AF'!$L$2:$L$100,'BY-RSD-WH_AF'!$C$2:$C$100,H118,'BY-RSD-WH_AF'!$A$2:$A$100,"BASE")</f>
        <v>0.12</v>
      </c>
      <c r="F118" s="33" t="s">
        <v>114</v>
      </c>
      <c r="G118" s="33" t="s">
        <v>82</v>
      </c>
      <c r="H118" s="33" t="str">
        <f t="shared" si="27" ref="H118:H123">"R-WH_"&amp;F118&amp;"_"&amp;G118&amp;"*"</f>
        <v>R-WH_Det_COA*</v>
      </c>
    </row>
    <row r="119" spans="1:8" ht="15">
      <c r="A119" s="34" t="s">
        <v>1</v>
      </c>
      <c r="B119" s="34" t="str">
        <f t="shared" si="26"/>
        <v>R-WH_Det_BDL*</v>
      </c>
      <c r="C119" s="34"/>
      <c r="D119" s="56">
        <f>AVERAGEIFS('BY-RSD-WH_AF'!$L$2:$L$100,'BY-RSD-WH_AF'!$C$2:$C$100,H119,'BY-RSD-WH_AF'!$A$2:$A$100,"BASE")</f>
        <v>0.12</v>
      </c>
      <c r="F119" s="34" t="s">
        <v>114</v>
      </c>
      <c r="G119" s="34" t="s">
        <v>191</v>
      </c>
      <c r="H119" s="34" t="str">
        <f t="shared" si="27"/>
        <v>R-WH_Det_BDL*</v>
      </c>
    </row>
    <row r="120" spans="1:8" ht="15">
      <c r="A120" s="33" t="s">
        <v>1</v>
      </c>
      <c r="B120" s="33" t="str">
        <f t="shared" si="26"/>
        <v>R-WH_Det_ETH*</v>
      </c>
      <c r="C120" s="33"/>
      <c r="D120" s="55">
        <f>AVERAGEIFS('BY-RSD-WH_AF'!$L$2:$L$100,'BY-RSD-WH_AF'!$C$2:$C$100,H120,'BY-RSD-WH_AF'!$A$2:$A$100,"BASE")</f>
        <v>0.12</v>
      </c>
      <c r="F120" s="33" t="s">
        <v>114</v>
      </c>
      <c r="G120" s="33" t="s">
        <v>190</v>
      </c>
      <c r="H120" s="33" t="str">
        <f t="shared" si="27"/>
        <v>R-WH_Det_ETH*</v>
      </c>
    </row>
    <row r="121" spans="1:8" ht="15">
      <c r="A121" s="34" t="s">
        <v>1</v>
      </c>
      <c r="B121" s="34" t="str">
        <f t="shared" si="26"/>
        <v>R-WH_Det_LPG*</v>
      </c>
      <c r="C121" s="34"/>
      <c r="D121" s="56">
        <f>AVERAGEIFS('BY-RSD-WH_AF'!$L$2:$L$100,'BY-RSD-WH_AF'!$C$2:$C$100,H121,'BY-RSD-WH_AF'!$A$2:$A$100,"BASE")</f>
        <v>0.12</v>
      </c>
      <c r="F121" s="34" t="s">
        <v>114</v>
      </c>
      <c r="G121" s="34" t="s">
        <v>192</v>
      </c>
      <c r="H121" s="34" t="str">
        <f t="shared" si="27"/>
        <v>R-WH_Det_LPG*</v>
      </c>
    </row>
    <row r="122" spans="1:8" ht="15">
      <c r="A122" s="33" t="s">
        <v>244</v>
      </c>
      <c r="B122" s="33" t="str">
        <f t="shared" si="26"/>
        <v>R-WH_Det_ELC*</v>
      </c>
      <c r="C122" s="33"/>
      <c r="D122" s="55">
        <f>AVERAGEIFS('BY-RSD-WH_AF'!$L$2:$L$100,'BY-RSD-WH_AF'!$C$2:$C$100,H122,'BY-RSD-WH_AF'!$A$2:$A$100,"BASE")</f>
        <v>0.12</v>
      </c>
      <c r="F122" s="33" t="s">
        <v>114</v>
      </c>
      <c r="G122" s="33" t="s">
        <v>83</v>
      </c>
      <c r="H122" s="33" t="str">
        <f>"R-WH_"&amp;F122&amp;"_"&amp;G122&amp;"*X0"</f>
        <v>R-WH_Det_ELC*X0</v>
      </c>
    </row>
    <row r="123" spans="1:8" ht="15">
      <c r="A123" s="34" t="s">
        <v>1</v>
      </c>
      <c r="B123" s="34" t="str">
        <f t="shared" si="26"/>
        <v>R-WH_Det_KER*</v>
      </c>
      <c r="C123" s="34"/>
      <c r="D123" s="56">
        <f>AVERAGEIFS('BY-RSD-WH_AF'!$L$2:$L$100,'BY-RSD-WH_AF'!$C$2:$C$100,H123,'BY-RSD-WH_AF'!$A$2:$A$100,"BASE")</f>
        <v>0.0537114750791833</v>
      </c>
      <c r="F123" s="34" t="s">
        <v>114</v>
      </c>
      <c r="G123" s="34" t="s">
        <v>193</v>
      </c>
      <c r="H123" s="34" t="str">
        <f t="shared" si="27"/>
        <v>R-WH_Det_KER*</v>
      </c>
    </row>
    <row r="124" spans="1:8" ht="15">
      <c r="A124" s="33" t="s">
        <v>1</v>
      </c>
      <c r="B124" s="33" t="str">
        <f t="shared" si="26"/>
        <v>R-WH_Det_GAS*</v>
      </c>
      <c r="C124" s="33"/>
      <c r="D124" s="55">
        <f>AVERAGEIFS('BY-RSD-WH_AF'!$L$2:$L$100,'BY-RSD-WH_AF'!$C$2:$C$100,H124,'BY-RSD-WH_AF'!$A$2:$A$100,"BASE")</f>
        <v>0.042554933846820402</v>
      </c>
      <c r="F124" s="33" t="s">
        <v>114</v>
      </c>
      <c r="G124" s="33" t="s">
        <v>194</v>
      </c>
      <c r="H124" s="33" t="str">
        <f>"R-WH_"&amp;F123&amp;"_"&amp;G124&amp;"*"</f>
        <v>R-WH_Det_GAS*</v>
      </c>
    </row>
    <row r="125" spans="1:8" ht="15">
      <c r="A125" s="34" t="s">
        <v>1</v>
      </c>
      <c r="B125" s="34" t="str">
        <f t="shared" si="26"/>
        <v>R-WH_Det_PEA*</v>
      </c>
      <c r="C125" s="34"/>
      <c r="D125" s="56">
        <f>AVERAGEIFS('BY-RSD-WH_AF'!$L$2:$L$100,'BY-RSD-WH_AF'!$C$2:$C$100,H125,'BY-RSD-WH_AF'!$A$2:$A$100,"BASE")</f>
        <v>0.12</v>
      </c>
      <c r="F125" s="34" t="s">
        <v>114</v>
      </c>
      <c r="G125" s="34" t="s">
        <v>110</v>
      </c>
      <c r="H125" s="34" t="str">
        <f t="shared" si="28" ref="H125:H129">"R-WH_"&amp;F125&amp;"_"&amp;G125&amp;"*"</f>
        <v>R-WH_Det_PEA*</v>
      </c>
    </row>
    <row r="126" spans="1:8" ht="15">
      <c r="A126" s="33" t="s">
        <v>1</v>
      </c>
      <c r="B126" s="33" t="str">
        <f t="shared" si="26"/>
        <v>R-WH_Det_SMF*</v>
      </c>
      <c r="C126" s="33"/>
      <c r="D126" s="55">
        <f>AVERAGEIFS('BY-RSD-WH_AF'!$L$2:$L$100,'BY-RSD-WH_AF'!$C$2:$C$100,H126,'BY-RSD-WH_AF'!$A$2:$A$100,"BASE")</f>
        <v>0.043752307505030202</v>
      </c>
      <c r="F126" s="33" t="s">
        <v>114</v>
      </c>
      <c r="G126" s="33" t="s">
        <v>111</v>
      </c>
      <c r="H126" s="33" t="str">
        <f t="shared" si="28"/>
        <v>R-WH_Det_SMF*</v>
      </c>
    </row>
    <row r="127" spans="1:8" ht="15">
      <c r="A127" s="34" t="s">
        <v>1</v>
      </c>
      <c r="B127" s="34" t="str">
        <f t="shared" si="26"/>
        <v>R-WH_Det_WOO*</v>
      </c>
      <c r="C127" s="34"/>
      <c r="D127" s="56">
        <f>AVERAGEIFS('BY-RSD-WH_AF'!$L$2:$L$100,'BY-RSD-WH_AF'!$C$2:$C$100,H127,'BY-RSD-WH_AF'!$A$2:$A$100,"BASE")</f>
        <v>0.12</v>
      </c>
      <c r="F127" s="34" t="s">
        <v>114</v>
      </c>
      <c r="G127" s="34" t="s">
        <v>195</v>
      </c>
      <c r="H127" s="34" t="str">
        <f t="shared" si="28"/>
        <v>R-WH_Det_WOO*</v>
      </c>
    </row>
    <row r="128" spans="1:8" ht="15">
      <c r="A128" s="33" t="s">
        <v>1</v>
      </c>
      <c r="B128" s="33" t="str">
        <f t="shared" si="26"/>
        <v>R-WH_Det_HET*</v>
      </c>
      <c r="C128" s="33"/>
      <c r="D128" s="55">
        <f>AVERAGEIFS('BY-RSD-WH_AF'!$L$2:$L$100,'BY-RSD-WH_AF'!$C$2:$C$100,H128,'BY-RSD-WH_AF'!$A$2:$A$100,"BASE")</f>
        <v>0.12</v>
      </c>
      <c r="F128" s="33" t="s">
        <v>114</v>
      </c>
      <c r="G128" s="33" t="s">
        <v>84</v>
      </c>
      <c r="H128" s="33" t="str">
        <f t="shared" si="28"/>
        <v>R-WH_Det_HET*</v>
      </c>
    </row>
    <row r="129" spans="1:8" ht="15">
      <c r="A129" s="34" t="s">
        <v>244</v>
      </c>
      <c r="B129" s="34" t="str">
        <f>"R-WH_"&amp;F129&amp;"_"&amp;G129&amp;"*"</f>
        <v>R-WH_Det_SOL*</v>
      </c>
      <c r="C129" s="34"/>
      <c r="D129" s="57">
        <f>AVERAGEIFS('BY-RSD-WH_AF'!$L$2:$L$100,'BY-RSD-WH_AF'!$C$2:$C$100,H129,'BY-RSD-WH_AF'!$A$2:$A$100,"BASE")</f>
        <v>0.14341496381045399</v>
      </c>
      <c r="F129" s="34" t="s">
        <v>114</v>
      </c>
      <c r="G129" s="34" t="s">
        <v>231</v>
      </c>
      <c r="H129" s="34" t="str">
        <f t="shared" si="28"/>
        <v>R-WH_Det_SOL*</v>
      </c>
    </row>
    <row r="130" spans="1:8" ht="15">
      <c r="A130" s="30" t="s">
        <v>246</v>
      </c>
      <c r="B130" s="31"/>
      <c r="C130" s="32"/>
      <c r="D130" s="31"/>
      <c r="E130" s="31"/>
      <c r="F130" s="31"/>
      <c r="G130" s="31"/>
      <c r="H130" s="31"/>
    </row>
    <row r="131" spans="1:8" ht="15">
      <c r="A131" s="33" t="s">
        <v>78</v>
      </c>
      <c r="B131" s="33" t="str">
        <f>"R-SC_"&amp;F131&amp;"_"&amp;G131&amp;"_N1"</f>
        <v>R-SC_Apt_ELC_N1</v>
      </c>
      <c r="C131" s="33"/>
      <c r="D131" s="55">
        <f>AVERAGEIFS('BY-RSD-SH_AF'!$L$2:$L$100,'BY-RSD-SH_AF'!$C$2:$C$100,H131,'BY-RSD-SH_AF'!$A$2:$A$100,"BASE")</f>
        <v>0.18130269923092601</v>
      </c>
      <c r="F131" s="33" t="s">
        <v>109</v>
      </c>
      <c r="G131" s="33" t="s">
        <v>83</v>
      </c>
      <c r="H131" s="33" t="str">
        <f t="shared" si="29" ref="H131:H133">"R-SH_"&amp;F131&amp;"_"&amp;G131&amp;"*X1"</f>
        <v>R-SH_Apt_ELC*X1</v>
      </c>
    </row>
    <row r="132" spans="1:8" ht="15">
      <c r="A132" s="34" t="s">
        <v>78</v>
      </c>
      <c r="B132" s="34" t="str">
        <f>"R-SC_"&amp;F132&amp;"_"&amp;G132&amp;"_N1"</f>
        <v>R-SC_Att_ELC_N1</v>
      </c>
      <c r="C132" s="34"/>
      <c r="D132" s="56">
        <f>AVERAGEIFS('BY-RSD-SH_AF'!$L$2:$L$100,'BY-RSD-SH_AF'!$C$2:$C$100,H132,'BY-RSD-SH_AF'!$A$2:$A$100,"BASE")</f>
        <v>0.11404303534564</v>
      </c>
      <c r="F132" s="34" t="s">
        <v>105</v>
      </c>
      <c r="G132" s="34" t="s">
        <v>83</v>
      </c>
      <c r="H132" s="34" t="str">
        <f t="shared" si="29"/>
        <v>R-SH_Att_ELC*X1</v>
      </c>
    </row>
    <row r="133" spans="1:8" ht="15">
      <c r="A133" s="33" t="s">
        <v>78</v>
      </c>
      <c r="B133" s="33" t="str">
        <f>"R-SC_"&amp;F133&amp;"_"&amp;G133&amp;"_N1"</f>
        <v>R-SC_Det_ELC_N1</v>
      </c>
      <c r="C133" s="33"/>
      <c r="D133" s="55">
        <f>AVERAGEIFS('BY-RSD-SH_AF'!$L$2:$L$100,'BY-RSD-SH_AF'!$C$2:$C$100,H133,'BY-RSD-SH_AF'!$A$2:$A$100,"BASE")</f>
        <v>0.138319067250922</v>
      </c>
      <c r="F133" s="33" t="s">
        <v>114</v>
      </c>
      <c r="G133" s="33" t="s">
        <v>83</v>
      </c>
      <c r="H133" s="33" t="str">
        <f t="shared" si="29"/>
        <v>R-SH_Det_ELC*X1</v>
      </c>
    </row>
    <row r="134" spans="1:8" ht="15">
      <c r="A134" s="30" t="s">
        <v>247</v>
      </c>
      <c r="B134" s="31"/>
      <c r="C134" s="32"/>
      <c r="D134" s="58"/>
      <c r="E134" s="31"/>
      <c r="F134" s="31"/>
      <c r="G134" s="31"/>
      <c r="H134" s="31"/>
    </row>
    <row r="135" spans="1:8" ht="15">
      <c r="A135" s="33" t="s">
        <v>245</v>
      </c>
      <c r="B135" s="33" t="str">
        <f>"R-HC_"&amp;F135&amp;"_"&amp;G135&amp;"_HPN*"</f>
        <v>R-HC_Apt_ELC_HPN*</v>
      </c>
      <c r="C135" s="33" t="str">
        <f>"RSDSC_"&amp;F135</f>
        <v>RSDSC_Apt</v>
      </c>
      <c r="D135" s="55">
        <f>AVERAGEIFS('BY-RSD-SH_AF'!$L$2:$L$100,'BY-RSD-SH_AF'!$C$2:$C$100,H135,'BY-RSD-SH_AF'!$A$2:$A$100,"BASE")</f>
        <v>0.18130269923092601</v>
      </c>
      <c r="F135" s="33" t="s">
        <v>109</v>
      </c>
      <c r="G135" s="33" t="s">
        <v>83</v>
      </c>
      <c r="H135" s="33" t="str">
        <f t="shared" si="30" ref="H135:H137">"R-SH_"&amp;F135&amp;"_"&amp;G135&amp;"*X1"</f>
        <v>R-SH_Apt_ELC*X1</v>
      </c>
    </row>
    <row r="136" spans="1:8" ht="15">
      <c r="A136" s="34" t="s">
        <v>245</v>
      </c>
      <c r="B136" s="34" t="str">
        <f>"R-HC_"&amp;F136&amp;"_"&amp;G136&amp;"_HPN*"</f>
        <v>R-HC_Att_ELC_HPN*</v>
      </c>
      <c r="C136" s="34" t="str">
        <f>"RSDSC_"&amp;F136</f>
        <v>RSDSC_Att</v>
      </c>
      <c r="D136" s="56">
        <f>AVERAGEIFS('BY-RSD-SH_AF'!$L$2:$L$100,'BY-RSD-SH_AF'!$C$2:$C$100,H136,'BY-RSD-SH_AF'!$A$2:$A$100,"BASE")</f>
        <v>0.11404303534564</v>
      </c>
      <c r="F136" s="34" t="s">
        <v>105</v>
      </c>
      <c r="G136" s="34" t="s">
        <v>83</v>
      </c>
      <c r="H136" s="34" t="str">
        <f t="shared" si="30"/>
        <v>R-SH_Att_ELC*X1</v>
      </c>
    </row>
    <row r="137" spans="1:8" ht="15">
      <c r="A137" s="33" t="s">
        <v>245</v>
      </c>
      <c r="B137" s="33" t="str">
        <f>"R-HC_"&amp;F137&amp;"_"&amp;G137&amp;"_HPN*"</f>
        <v>R-HC_Det_ELC_HPN*</v>
      </c>
      <c r="C137" s="33" t="str">
        <f>"RSDSC_"&amp;F137</f>
        <v>RSDSC_Det</v>
      </c>
      <c r="D137" s="55">
        <f>AVERAGEIFS('BY-RSD-SH_AF'!$L$2:$L$100,'BY-RSD-SH_AF'!$C$2:$C$100,H137,'BY-RSD-SH_AF'!$A$2:$A$100,"BASE")</f>
        <v>0.138319067250922</v>
      </c>
      <c r="F137" s="33" t="s">
        <v>114</v>
      </c>
      <c r="G137" s="33" t="s">
        <v>83</v>
      </c>
      <c r="H137" s="33" t="str">
        <f t="shared" si="30"/>
        <v>R-SH_Det_ELC*X1</v>
      </c>
    </row>
    <row r="138" spans="1:8" ht="15">
      <c r="A138" s="30" t="s">
        <v>252</v>
      </c>
      <c r="B138" s="31"/>
      <c r="C138" s="32"/>
      <c r="D138" s="58"/>
      <c r="E138" s="31"/>
      <c r="F138" s="31"/>
      <c r="G138" s="31"/>
      <c r="H138" s="31"/>
    </row>
    <row r="139" spans="1:8" ht="15">
      <c r="A139" s="33" t="s">
        <v>245</v>
      </c>
      <c r="B139" s="33" t="str">
        <f>"R-HC_"&amp;F139&amp;"_"&amp;G139&amp;"_HPN*"</f>
        <v>R-HC_Apt_ELC_HPN*</v>
      </c>
      <c r="C139" s="33" t="s">
        <v>295</v>
      </c>
      <c r="D139" s="55">
        <f>AVERAGEIFS('BY-RSD-SH_AF'!$L$2:$L$100,'BY-RSD-SH_AF'!$C$2:$C$100,H139,'BY-RSD-SH_AF'!$A$2:$A$100,"BASE")</f>
        <v>0.18130269923092601</v>
      </c>
      <c r="F139" s="33" t="s">
        <v>109</v>
      </c>
      <c r="G139" s="33" t="s">
        <v>83</v>
      </c>
      <c r="H139" s="33" t="str">
        <f t="shared" si="31" ref="H139:H141">"R-SH_"&amp;F139&amp;"_"&amp;G139&amp;"*X1"</f>
        <v>R-SH_Apt_ELC*X1</v>
      </c>
    </row>
    <row r="140" spans="1:8" ht="15">
      <c r="A140" s="34" t="s">
        <v>245</v>
      </c>
      <c r="B140" s="34" t="str">
        <f>"R-HC_"&amp;F140&amp;"_"&amp;G140&amp;"_HPN*"</f>
        <v>R-HC_Att_ELC_HPN*</v>
      </c>
      <c r="C140" s="34" t="s">
        <v>297</v>
      </c>
      <c r="D140" s="56">
        <f>AVERAGEIFS('BY-RSD-SH_AF'!$L$2:$L$100,'BY-RSD-SH_AF'!$C$2:$C$100,H140,'BY-RSD-SH_AF'!$A$2:$A$100,"BASE")</f>
        <v>0.11404303534564</v>
      </c>
      <c r="F140" s="34" t="s">
        <v>105</v>
      </c>
      <c r="G140" s="34" t="s">
        <v>83</v>
      </c>
      <c r="H140" s="34" t="str">
        <f t="shared" si="31"/>
        <v>R-SH_Att_ELC*X1</v>
      </c>
    </row>
    <row r="141" spans="1:8" ht="15">
      <c r="A141" s="33" t="s">
        <v>245</v>
      </c>
      <c r="B141" s="33" t="str">
        <f>"R-HC_"&amp;F141&amp;"_"&amp;G141&amp;"_HPN*"</f>
        <v>R-HC_Det_ELC_HPN*</v>
      </c>
      <c r="C141" s="33" t="s">
        <v>299</v>
      </c>
      <c r="D141" s="55">
        <f>AVERAGEIFS('BY-RSD-SH_AF'!$L$2:$L$100,'BY-RSD-SH_AF'!$C$2:$C$100,H141,'BY-RSD-SH_AF'!$A$2:$A$100,"BASE")</f>
        <v>0.138319067250922</v>
      </c>
      <c r="F141" s="33" t="s">
        <v>114</v>
      </c>
      <c r="G141" s="33" t="s">
        <v>83</v>
      </c>
      <c r="H141" s="33" t="str">
        <f t="shared" si="31"/>
        <v>R-SH_Det_ELC*X1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6A0CE7-7648-4CEA-AE2D-8669560BEC50}">
  <sheetPr codeName="Sheet6">
    <tabColor rgb="FF92D050"/>
  </sheetPr>
  <dimension ref="A1:G89"/>
  <sheetViews>
    <sheetView workbookViewId="0" topLeftCell="A74">
      <selection pane="topLeft" activeCell="E27" sqref="E27"/>
    </sheetView>
  </sheetViews>
  <sheetFormatPr defaultColWidth="9.14428571428571" defaultRowHeight="12.75"/>
  <cols>
    <col min="1" max="1" width="13.5714285714286" style="24" customWidth="1"/>
    <col min="2" max="2" width="18.1428571428571" style="24" bestFit="1" customWidth="1"/>
    <col min="3" max="3" width="20.5714285714286" style="24" customWidth="1"/>
    <col min="4" max="4" width="9.14285714285714" style="24"/>
    <col min="5" max="5" width="11.1428571428571" style="24" customWidth="1"/>
    <col min="6" max="6" width="23.5714285714286" style="24" customWidth="1"/>
    <col min="7" max="7" width="18.4285714285714" style="24" customWidth="1"/>
    <col min="8" max="16384" width="9.14285714285714" style="24"/>
  </cols>
  <sheetData>
    <row r="1" spans="1:1" ht="23.25">
      <c r="A1" s="23" t="s">
        <v>181</v>
      </c>
    </row>
    <row r="2" spans="3:3" ht="12" customHeight="1">
      <c r="C2" s="25"/>
    </row>
    <row r="3" spans="5:5" ht="15">
      <c r="E3" s="19" t="s">
        <v>176</v>
      </c>
    </row>
    <row r="4" spans="1:7" ht="15.75" thickBot="1">
      <c r="A4" s="26" t="s">
        <v>79</v>
      </c>
      <c r="B4" s="26" t="s">
        <v>80</v>
      </c>
      <c r="C4" s="26" t="s">
        <v>104</v>
      </c>
      <c r="E4" s="26" t="s">
        <v>70</v>
      </c>
      <c r="F4" s="26" t="s">
        <v>81</v>
      </c>
      <c r="G4" s="26" t="s">
        <v>72</v>
      </c>
    </row>
    <row r="5" spans="1:7" ht="15">
      <c r="A5" s="31"/>
      <c r="B5" s="31"/>
      <c r="C5" s="31"/>
      <c r="E5" s="30" t="s">
        <v>183</v>
      </c>
      <c r="F5" s="31"/>
      <c r="G5" s="32"/>
    </row>
    <row r="6" spans="1:7" ht="15">
      <c r="A6" s="33" t="s">
        <v>109</v>
      </c>
      <c r="B6" s="33" t="s">
        <v>82</v>
      </c>
      <c r="C6" s="33" t="str">
        <f t="shared" si="0" ref="C6:C16">"R-SH_"&amp;A6&amp;"_"&amp;B6&amp;"*"</f>
        <v>R-SH_Apt_COA*</v>
      </c>
      <c r="E6" s="34" t="s">
        <v>182</v>
      </c>
      <c r="F6" s="33" t="str">
        <f>"R-S*"&amp;A6&amp;"_"&amp;B6&amp;"*"</f>
        <v>R-S*Apt_COA*</v>
      </c>
      <c r="G6" s="33" t="str">
        <f>IFERROR("*"&amp;AVERAGEIFS('BY-RSD-EFF'!$L$2:$L$100,'BY-RSD-EFF'!$C$2:$C$100,EFF!C6,'BY-RSD-EFF'!$A$2:$A$100,"BASE"),"")</f>
        <v>*0.590188034188034</v>
      </c>
    </row>
    <row r="7" spans="1:7" ht="15">
      <c r="A7" s="34" t="s">
        <v>109</v>
      </c>
      <c r="B7" s="34" t="s">
        <v>191</v>
      </c>
      <c r="C7" s="34" t="str">
        <f t="shared" si="0"/>
        <v>R-SH_Apt_BDL*</v>
      </c>
      <c r="E7" s="34" t="s">
        <v>182</v>
      </c>
      <c r="F7" s="34" t="str">
        <f>"R-S*_"&amp;A7&amp;"_"&amp;B7&amp;"*"</f>
        <v>R-S*_Apt_BDL*</v>
      </c>
      <c r="G7" s="34" t="s">
        <v>303</v>
      </c>
    </row>
    <row r="8" spans="1:7" ht="15">
      <c r="A8" s="33" t="s">
        <v>109</v>
      </c>
      <c r="B8" s="33" t="s">
        <v>190</v>
      </c>
      <c r="C8" s="33" t="str">
        <f t="shared" si="0"/>
        <v>R-SH_Apt_ETH*</v>
      </c>
      <c r="E8" s="34" t="s">
        <v>182</v>
      </c>
      <c r="F8" s="33" t="str">
        <f>"R-S*_"&amp;A8&amp;"_"&amp;B8&amp;"*"</f>
        <v>R-S*_Apt_ETH*</v>
      </c>
      <c r="G8" s="34" t="s">
        <v>303</v>
      </c>
    </row>
    <row r="9" spans="1:7" ht="15">
      <c r="A9" s="34" t="s">
        <v>109</v>
      </c>
      <c r="B9" s="34" t="s">
        <v>192</v>
      </c>
      <c r="C9" s="34" t="str">
        <f t="shared" si="0"/>
        <v>R-SH_Apt_LPG*</v>
      </c>
      <c r="E9" s="34" t="s">
        <v>182</v>
      </c>
      <c r="F9" s="34" t="str">
        <f>"R-S*_"&amp;A9&amp;"_"&amp;B9&amp;"*"</f>
        <v>R-S*_Apt_LPG*</v>
      </c>
      <c r="G9" s="34" t="str">
        <f>IFERROR("*"&amp;AVERAGEIFS('BY-RSD-EFF'!$L$2:$L$100,'BY-RSD-EFF'!$C$2:$C$100,EFF!C9,'BY-RSD-EFF'!$A$2:$A$100,"BASE"),"")</f>
        <v>*0.806779026217228</v>
      </c>
    </row>
    <row r="10" spans="1:7" ht="15">
      <c r="A10" s="33" t="s">
        <v>109</v>
      </c>
      <c r="B10" s="33" t="s">
        <v>83</v>
      </c>
      <c r="C10" s="33" t="str">
        <f>"R-SH_"&amp;A10&amp;"_"&amp;B10&amp;"*X1"</f>
        <v>R-SH_Apt_ELC*X1</v>
      </c>
      <c r="E10" s="33" t="s">
        <v>182</v>
      </c>
      <c r="F10" s="33" t="str">
        <f>"R-*_"&amp;A10&amp;"*"&amp;"HPN*"&amp;",-*GAS*"</f>
        <v>R-*_Apt*HPN*,-*GAS*</v>
      </c>
      <c r="G10" s="33" t="str">
        <f>IFERROR("*"&amp;AVERAGEIFS('BY-RSD-EFF'!$L$2:$L$100,'BY-RSD-EFF'!$C$2:$C$100,EFF!C10,'BY-RSD-EFF'!$A$2:$A$100,"BASE"),"")</f>
        <v>*3.07019607843137</v>
      </c>
    </row>
    <row r="11" spans="1:7" ht="15">
      <c r="A11" s="34" t="s">
        <v>109</v>
      </c>
      <c r="B11" s="34" t="s">
        <v>193</v>
      </c>
      <c r="C11" s="34" t="str">
        <f t="shared" si="0"/>
        <v>R-SH_Apt_KER*</v>
      </c>
      <c r="E11" s="34" t="s">
        <v>182</v>
      </c>
      <c r="F11" s="34" t="str">
        <f>"R-S*_"&amp;A11&amp;"_"&amp;B11&amp;"*"</f>
        <v>R-S*_Apt_KER*</v>
      </c>
      <c r="G11" s="34" t="str">
        <f>IFERROR("*"&amp;AVERAGEIFS('BY-RSD-EFF'!$L$2:$L$100,'BY-RSD-EFF'!$C$2:$C$100,EFF!C11,'BY-RSD-EFF'!$A$2:$A$100,"BASE"),"")</f>
        <v>*0.810162162162162</v>
      </c>
    </row>
    <row r="12" spans="1:7" ht="15">
      <c r="A12" s="33" t="s">
        <v>109</v>
      </c>
      <c r="B12" s="33" t="s">
        <v>194</v>
      </c>
      <c r="C12" s="33" t="str">
        <f t="shared" si="0"/>
        <v>R-SH_Apt_GAS*</v>
      </c>
      <c r="E12" s="33" t="s">
        <v>182</v>
      </c>
      <c r="F12" s="33" t="str">
        <f>"R-S*_"&amp;A12&amp;"_"&amp;B12&amp;"*"</f>
        <v>R-S*_Apt_GAS*</v>
      </c>
      <c r="G12" s="33" t="str">
        <f>IFERROR("*"&amp;AVERAGEIFS('BY-RSD-EFF'!$L$2:$L$100,'BY-RSD-EFF'!$C$2:$C$100,EFF!C12,'BY-RSD-EFF'!$A$2:$A$100,"BASE"),"")</f>
        <v>*0.810268817204301</v>
      </c>
    </row>
    <row r="13" spans="1:7" ht="15">
      <c r="A13" s="34" t="s">
        <v>109</v>
      </c>
      <c r="B13" s="34" t="s">
        <v>110</v>
      </c>
      <c r="C13" s="34" t="str">
        <f t="shared" si="0"/>
        <v>R-SH_Apt_PEA*</v>
      </c>
      <c r="E13" s="34" t="s">
        <v>182</v>
      </c>
      <c r="F13" s="34" t="str">
        <f>"R-S*_"&amp;A13&amp;"_"&amp;B13&amp;"*"</f>
        <v>R-S*_Apt_PEA*</v>
      </c>
      <c r="G13" s="34" t="str">
        <f>IFERROR("*"&amp;AVERAGEIFS('BY-RSD-EFF'!$L$2:$L$100,'BY-RSD-EFF'!$C$2:$C$100,EFF!C13,'BY-RSD-EFF'!$A$2:$A$100,"BASE"),"")</f>
        <v>*0.525</v>
      </c>
    </row>
    <row r="14" spans="1:7" ht="15">
      <c r="A14" s="33" t="s">
        <v>109</v>
      </c>
      <c r="B14" s="33" t="s">
        <v>111</v>
      </c>
      <c r="C14" s="33" t="str">
        <f t="shared" si="0"/>
        <v>R-SH_Apt_SMF*</v>
      </c>
      <c r="E14" s="34" t="s">
        <v>182</v>
      </c>
      <c r="F14" s="33" t="str">
        <f>"R-S*_"&amp;A14&amp;"_"&amp;B14&amp;"*"</f>
        <v>R-S*_Apt_SMF*</v>
      </c>
      <c r="G14" s="33" t="str">
        <f>IFERROR("*"&amp;AVERAGEIFS('BY-RSD-EFF'!$L$2:$L$100,'BY-RSD-EFF'!$C$2:$C$100,EFF!C14,'BY-RSD-EFF'!$A$2:$A$100,"BASE"),"")</f>
        <v>*0.581777777777778</v>
      </c>
    </row>
    <row r="15" spans="1:7" ht="15">
      <c r="A15" s="34" t="s">
        <v>109</v>
      </c>
      <c r="B15" s="34" t="s">
        <v>195</v>
      </c>
      <c r="C15" s="34" t="str">
        <f t="shared" si="0"/>
        <v>R-SH_Apt_WOO*</v>
      </c>
      <c r="E15" s="34" t="s">
        <v>182</v>
      </c>
      <c r="F15" s="34" t="str">
        <f>"R-S*_"&amp;A15&amp;"_"&amp;B15&amp;"*"</f>
        <v>R-S*_Apt_WOO*</v>
      </c>
      <c r="G15" s="34" t="str">
        <f>IFERROR("*"&amp;AVERAGEIFS('BY-RSD-EFF'!$L$2:$L$100,'BY-RSD-EFF'!$C$2:$C$100,EFF!C15,'BY-RSD-EFF'!$A$2:$A$100,"BASE"),"")</f>
        <v>*0.688045112781955</v>
      </c>
    </row>
    <row r="16" spans="1:7" ht="15">
      <c r="A16" s="33" t="s">
        <v>109</v>
      </c>
      <c r="B16" s="33" t="s">
        <v>84</v>
      </c>
      <c r="C16" s="33" t="str">
        <f t="shared" si="0"/>
        <v>R-SH_Apt_HET*</v>
      </c>
      <c r="E16" s="33" t="s">
        <v>182</v>
      </c>
      <c r="F16" s="33" t="str">
        <f>"R-S*_"&amp;A16&amp;"_*"&amp;B16&amp;"*"</f>
        <v>R-S*_Apt_*HET*</v>
      </c>
      <c r="G16" s="33" t="s">
        <v>301</v>
      </c>
    </row>
    <row r="17" spans="1:7" ht="15">
      <c r="A17" s="33" t="s">
        <v>109</v>
      </c>
      <c r="B17" s="33" t="s">
        <v>83</v>
      </c>
      <c r="C17" s="33" t="str">
        <f>"R-SH_"&amp;A17&amp;"_"&amp;B17&amp;"*X0"</f>
        <v>R-SH_Apt_ELC*X0</v>
      </c>
      <c r="E17" s="33" t="s">
        <v>182</v>
      </c>
      <c r="F17" s="33" t="str">
        <f>"R-S*_"&amp;A17&amp;"_"&amp;B17&amp;"_N1"&amp;",-R-SC*"</f>
        <v>R-S*_Apt_ELC_N1,-R-SC*</v>
      </c>
      <c r="G17" s="33" t="str">
        <f>IFERROR("*"&amp;AVERAGEIFS('BY-RSD-EFF'!$L$2:$L$100,'BY-RSD-EFF'!$C$2:$C$100,EFF!C17,'BY-RSD-EFF'!$A$2:$A$100,"BASE"),"")</f>
        <v>*1</v>
      </c>
    </row>
    <row r="18" spans="1:7" ht="15">
      <c r="A18" s="31"/>
      <c r="B18" s="31"/>
      <c r="C18" s="31"/>
      <c r="E18" s="30" t="s">
        <v>112</v>
      </c>
      <c r="F18" s="31"/>
      <c r="G18" s="31"/>
    </row>
    <row r="19" spans="1:7" ht="15">
      <c r="A19" s="33" t="s">
        <v>105</v>
      </c>
      <c r="B19" s="33" t="s">
        <v>82</v>
      </c>
      <c r="C19" s="33" t="str">
        <f t="shared" si="1" ref="C19:C42">"R-SH_"&amp;A19&amp;"_"&amp;B19&amp;"*"</f>
        <v>R-SH_Att_COA*</v>
      </c>
      <c r="E19" s="34" t="s">
        <v>182</v>
      </c>
      <c r="F19" s="33" t="str">
        <f>"R-S*_"&amp;A19&amp;"_"&amp;B19&amp;"*"</f>
        <v>R-S*_Att_COA*</v>
      </c>
      <c r="G19" s="33" t="str">
        <f>IFERROR("*"&amp;AVERAGEIFS('BY-RSD-EFF'!$L$2:$L$100,'BY-RSD-EFF'!$C$2:$C$100,EFF!C19,'BY-RSD-EFF'!$A$2:$A$100,"BASE"),"")</f>
        <v>*0.557980879057327</v>
      </c>
    </row>
    <row r="20" spans="1:7" ht="15">
      <c r="A20" s="34" t="s">
        <v>105</v>
      </c>
      <c r="B20" s="34" t="s">
        <v>191</v>
      </c>
      <c r="C20" s="34" t="str">
        <f t="shared" si="1"/>
        <v>R-SH_Att_BDL*</v>
      </c>
      <c r="E20" s="34" t="s">
        <v>182</v>
      </c>
      <c r="F20" s="34" t="str">
        <f>"R-S*_"&amp;A20&amp;"_"&amp;B20&amp;"*"</f>
        <v>R-S*_Att_BDL*</v>
      </c>
      <c r="G20" s="34" t="s">
        <v>303</v>
      </c>
    </row>
    <row r="21" spans="1:7" ht="15">
      <c r="A21" s="33" t="s">
        <v>105</v>
      </c>
      <c r="B21" s="33" t="s">
        <v>190</v>
      </c>
      <c r="C21" s="33" t="str">
        <f t="shared" si="1"/>
        <v>R-SH_Att_ETH*</v>
      </c>
      <c r="E21" s="34" t="s">
        <v>182</v>
      </c>
      <c r="F21" s="33" t="str">
        <f>"R-S*_"&amp;A21&amp;"_"&amp;B21&amp;"*"</f>
        <v>R-S*_Att_ETH*</v>
      </c>
      <c r="G21" s="34" t="s">
        <v>303</v>
      </c>
    </row>
    <row r="22" spans="1:7" ht="15">
      <c r="A22" s="34" t="s">
        <v>105</v>
      </c>
      <c r="B22" s="34" t="s">
        <v>192</v>
      </c>
      <c r="C22" s="34" t="str">
        <f t="shared" si="1"/>
        <v>R-SH_Att_LPG*</v>
      </c>
      <c r="E22" s="34" t="s">
        <v>182</v>
      </c>
      <c r="F22" s="34" t="str">
        <f>"R-S*_"&amp;A22&amp;"_"&amp;B22&amp;"*"</f>
        <v>R-S*_Att_LPG*</v>
      </c>
      <c r="G22" s="34" t="str">
        <f>IFERROR("*"&amp;AVERAGEIFS('BY-RSD-EFF'!$L$2:$L$100,'BY-RSD-EFF'!$C$2:$C$100,EFF!C22,'BY-RSD-EFF'!$A$2:$A$100,"BASE"),"")</f>
        <v>*0.807075774336283</v>
      </c>
    </row>
    <row r="23" spans="1:7" ht="15">
      <c r="A23" s="33" t="s">
        <v>105</v>
      </c>
      <c r="B23" s="33" t="s">
        <v>83</v>
      </c>
      <c r="C23" s="33" t="str">
        <f>"R-SH_"&amp;A23&amp;"_"&amp;B23&amp;"*X1"</f>
        <v>R-SH_Att_ELC*X1</v>
      </c>
      <c r="E23" s="33" t="s">
        <v>182</v>
      </c>
      <c r="F23" s="33" t="str">
        <f>"R-*_"&amp;A23&amp;"*"&amp;"HPN*"&amp;",-*GAS*"</f>
        <v>R-*_Att*HPN*,-*GAS*</v>
      </c>
      <c r="G23" s="33" t="str">
        <f>IFERROR("*"&amp;AVERAGEIFS('BY-RSD-EFF'!$L$2:$L$100,'BY-RSD-EFF'!$C$2:$C$100,EFF!C23,'BY-RSD-EFF'!$A$2:$A$100,"BASE"),"")</f>
        <v>*3.11576271186441</v>
      </c>
    </row>
    <row r="24" spans="1:7" ht="15">
      <c r="A24" s="34" t="s">
        <v>105</v>
      </c>
      <c r="B24" s="34" t="s">
        <v>193</v>
      </c>
      <c r="C24" s="34" t="str">
        <f t="shared" si="1"/>
        <v>R-SH_Att_KER*</v>
      </c>
      <c r="E24" s="34" t="s">
        <v>182</v>
      </c>
      <c r="F24" s="34" t="str">
        <f>"R-S*_"&amp;A24&amp;"_"&amp;B24&amp;"*"</f>
        <v>R-S*_Att_KER*</v>
      </c>
      <c r="G24" s="34" t="str">
        <f>IFERROR("*"&amp;AVERAGEIFS('BY-RSD-EFF'!$L$2:$L$100,'BY-RSD-EFF'!$C$2:$C$100,EFF!C24,'BY-RSD-EFF'!$A$2:$A$100,"BASE"),"")</f>
        <v>*0.819415584415584</v>
      </c>
    </row>
    <row r="25" spans="1:7" ht="15">
      <c r="A25" s="33" t="s">
        <v>105</v>
      </c>
      <c r="B25" s="33" t="s">
        <v>194</v>
      </c>
      <c r="C25" s="33" t="str">
        <f t="shared" si="1"/>
        <v>R-SH_Att_GAS*</v>
      </c>
      <c r="E25" s="33" t="s">
        <v>182</v>
      </c>
      <c r="F25" s="33" t="str">
        <f>"R-S*_"&amp;A25&amp;"_"&amp;B25&amp;"*"</f>
        <v>R-S*_Att_GAS*</v>
      </c>
      <c r="G25" s="33" t="str">
        <f>IFERROR("*"&amp;AVERAGEIFS('BY-RSD-EFF'!$L$2:$L$100,'BY-RSD-EFF'!$C$2:$C$100,EFF!C25,'BY-RSD-EFF'!$A$2:$A$100,"BASE"),"")</f>
        <v>*0.817294117647059</v>
      </c>
    </row>
    <row r="26" spans="1:7" ht="15">
      <c r="A26" s="34" t="s">
        <v>105</v>
      </c>
      <c r="B26" s="34" t="s">
        <v>110</v>
      </c>
      <c r="C26" s="34" t="str">
        <f t="shared" si="1"/>
        <v>R-SH_Att_PEA*</v>
      </c>
      <c r="E26" s="34" t="s">
        <v>182</v>
      </c>
      <c r="F26" s="34" t="str">
        <f>"R-S*_"&amp;A26&amp;"_"&amp;B26&amp;"*"</f>
        <v>R-S*_Att_PEA*</v>
      </c>
      <c r="G26" s="34" t="str">
        <f>IFERROR("*"&amp;AVERAGEIFS('BY-RSD-EFF'!$L$2:$L$100,'BY-RSD-EFF'!$C$2:$C$100,EFF!C26,'BY-RSD-EFF'!$A$2:$A$100,"BASE"),"")</f>
        <v>*0.550929487179487</v>
      </c>
    </row>
    <row r="27" spans="1:7" ht="15">
      <c r="A27" s="33" t="s">
        <v>105</v>
      </c>
      <c r="B27" s="33" t="s">
        <v>111</v>
      </c>
      <c r="C27" s="33" t="str">
        <f t="shared" si="1"/>
        <v>R-SH_Att_SMF*</v>
      </c>
      <c r="E27" s="34" t="s">
        <v>182</v>
      </c>
      <c r="F27" s="33" t="str">
        <f>"R-S*_"&amp;A27&amp;"_"&amp;B27&amp;"*"</f>
        <v>R-S*_Att_SMF*</v>
      </c>
      <c r="G27" s="33" t="str">
        <f>IFERROR("*"&amp;AVERAGEIFS('BY-RSD-EFF'!$L$2:$L$100,'BY-RSD-EFF'!$C$2:$C$100,EFF!C27,'BY-RSD-EFF'!$A$2:$A$100,"BASE"),"")</f>
        <v>*0.571137724550898</v>
      </c>
    </row>
    <row r="28" spans="1:7" ht="15">
      <c r="A28" s="34" t="s">
        <v>105</v>
      </c>
      <c r="B28" s="34" t="s">
        <v>195</v>
      </c>
      <c r="C28" s="34" t="str">
        <f t="shared" si="1"/>
        <v>R-SH_Att_WOO*</v>
      </c>
      <c r="E28" s="34" t="s">
        <v>182</v>
      </c>
      <c r="F28" s="34" t="str">
        <f>"R-S*_"&amp;A28&amp;"_"&amp;B28&amp;"*"</f>
        <v>R-S*_Att_WOO*</v>
      </c>
      <c r="G28" s="34" t="str">
        <f>IFERROR("*"&amp;AVERAGEIFS('BY-RSD-EFF'!$L$2:$L$100,'BY-RSD-EFF'!$C$2:$C$100,EFF!C28,'BY-RSD-EFF'!$A$2:$A$100,"BASE"),"")</f>
        <v>*0.704006568144499</v>
      </c>
    </row>
    <row r="29" spans="1:7" ht="15">
      <c r="A29" s="33" t="s">
        <v>105</v>
      </c>
      <c r="B29" s="33" t="s">
        <v>84</v>
      </c>
      <c r="C29" s="33" t="str">
        <f t="shared" si="1"/>
        <v>R-SH_Att_HET*</v>
      </c>
      <c r="E29" s="33" t="s">
        <v>182</v>
      </c>
      <c r="F29" s="33" t="str">
        <f>"R-S*_"&amp;A29&amp;"_*"&amp;B29&amp;"*"</f>
        <v>R-S*_Att_*HET*</v>
      </c>
      <c r="G29" s="33" t="s">
        <v>301</v>
      </c>
    </row>
    <row r="30" spans="1:7" ht="15">
      <c r="A30" s="33" t="s">
        <v>105</v>
      </c>
      <c r="B30" s="33" t="s">
        <v>83</v>
      </c>
      <c r="C30" s="33" t="str">
        <f>"R-SH_"&amp;A30&amp;"_"&amp;B30&amp;"*X0"</f>
        <v>R-SH_Att_ELC*X0</v>
      </c>
      <c r="E30" s="33" t="s">
        <v>182</v>
      </c>
      <c r="F30" s="33" t="str">
        <f>"R-S*_"&amp;A30&amp;"_"&amp;B30&amp;"_N1"&amp;",-R-SC*"</f>
        <v>R-S*_Att_ELC_N1,-R-SC*</v>
      </c>
      <c r="G30" s="33" t="str">
        <f>IFERROR("*"&amp;AVERAGEIFS('BY-RSD-EFF'!$L$2:$L$100,'BY-RSD-EFF'!$C$2:$C$100,EFF!C30,'BY-RSD-EFF'!$A$2:$A$100,"BASE"),"")</f>
        <v>*1</v>
      </c>
    </row>
    <row r="31" spans="1:7" ht="15">
      <c r="A31" s="31"/>
      <c r="B31" s="31"/>
      <c r="C31" s="31"/>
      <c r="E31" s="30" t="s">
        <v>113</v>
      </c>
      <c r="F31" s="31"/>
      <c r="G31" s="31"/>
    </row>
    <row r="32" spans="1:7" ht="15">
      <c r="A32" s="33" t="s">
        <v>114</v>
      </c>
      <c r="B32" s="33" t="s">
        <v>82</v>
      </c>
      <c r="C32" s="33" t="str">
        <f t="shared" si="1"/>
        <v>R-SH_Det_COA*</v>
      </c>
      <c r="E32" s="34" t="s">
        <v>182</v>
      </c>
      <c r="F32" s="33" t="str">
        <f>"R-S*_"&amp;A32&amp;"_"&amp;B32&amp;"*"</f>
        <v>R-S*_Det_COA*</v>
      </c>
      <c r="G32" s="33" t="str">
        <f>IFERROR("*"&amp;AVERAGEIFS('BY-RSD-EFF'!$L$2:$L$100,'BY-RSD-EFF'!$C$2:$C$100,EFF!C32,'BY-RSD-EFF'!$A$2:$A$100,"BASE"),"")</f>
        <v>*0.619863294600137</v>
      </c>
    </row>
    <row r="33" spans="1:7" ht="15">
      <c r="A33" s="34" t="s">
        <v>114</v>
      </c>
      <c r="B33" s="34" t="s">
        <v>191</v>
      </c>
      <c r="C33" s="34" t="str">
        <f t="shared" si="1"/>
        <v>R-SH_Det_BDL*</v>
      </c>
      <c r="E33" s="34" t="s">
        <v>182</v>
      </c>
      <c r="F33" s="34" t="str">
        <f>"R-S*_"&amp;A33&amp;"_"&amp;B33&amp;"*"</f>
        <v>R-S*_Det_BDL*</v>
      </c>
      <c r="G33" s="34" t="s">
        <v>303</v>
      </c>
    </row>
    <row r="34" spans="1:7" ht="15">
      <c r="A34" s="33" t="s">
        <v>114</v>
      </c>
      <c r="B34" s="33" t="s">
        <v>190</v>
      </c>
      <c r="C34" s="33" t="str">
        <f t="shared" si="1"/>
        <v>R-SH_Det_ETH*</v>
      </c>
      <c r="E34" s="34" t="s">
        <v>182</v>
      </c>
      <c r="F34" s="33" t="str">
        <f>"R-S*_"&amp;A34&amp;"_"&amp;B34&amp;"*"</f>
        <v>R-S*_Det_ETH*</v>
      </c>
      <c r="G34" s="34" t="s">
        <v>303</v>
      </c>
    </row>
    <row r="35" spans="1:7" ht="15">
      <c r="A35" s="34" t="s">
        <v>114</v>
      </c>
      <c r="B35" s="34" t="s">
        <v>192</v>
      </c>
      <c r="C35" s="34" t="str">
        <f t="shared" si="1"/>
        <v>R-SH_Det_LPG*</v>
      </c>
      <c r="E35" s="34" t="s">
        <v>182</v>
      </c>
      <c r="F35" s="34" t="str">
        <f>"R-S*_"&amp;A35&amp;"_"&amp;B35&amp;"*"</f>
        <v>R-S*_Det_LPG*</v>
      </c>
      <c r="G35" s="34" t="str">
        <f>IFERROR("*"&amp;AVERAGEIFS('BY-RSD-EFF'!$L$2:$L$100,'BY-RSD-EFF'!$C$2:$C$100,EFF!C35,'BY-RSD-EFF'!$A$2:$A$100,"BASE"),"")</f>
        <v>*0.826617747626993</v>
      </c>
    </row>
    <row r="36" spans="1:7" ht="15">
      <c r="A36" s="33" t="s">
        <v>114</v>
      </c>
      <c r="B36" s="33" t="s">
        <v>83</v>
      </c>
      <c r="C36" s="33" t="str">
        <f>"R-SH_"&amp;A36&amp;"_"&amp;B36&amp;"*X1"</f>
        <v>R-SH_Det_ELC*X1</v>
      </c>
      <c r="E36" s="34" t="s">
        <v>182</v>
      </c>
      <c r="F36" s="33" t="str">
        <f>"R-*_"&amp;A36&amp;"*"&amp;"HPN*"&amp;",-*GAS*"</f>
        <v>R-*_Det*HPN*,-*GAS*</v>
      </c>
      <c r="G36" s="33" t="str">
        <f>IFERROR("*"&amp;AVERAGEIFS('BY-RSD-EFF'!$L$2:$L$100,'BY-RSD-EFF'!$C$2:$C$100,EFF!C36,'BY-RSD-EFF'!$A$2:$A$100,"BASE"),"")</f>
        <v>*3.08978378378378</v>
      </c>
    </row>
    <row r="37" spans="1:7" ht="15">
      <c r="A37" s="34" t="s">
        <v>114</v>
      </c>
      <c r="B37" s="34" t="s">
        <v>193</v>
      </c>
      <c r="C37" s="34" t="str">
        <f t="shared" si="1"/>
        <v>R-SH_Det_KER*</v>
      </c>
      <c r="E37" s="34" t="s">
        <v>182</v>
      </c>
      <c r="F37" s="34" t="str">
        <f>"R-S*_"&amp;A37&amp;"_"&amp;B37&amp;"*"</f>
        <v>R-S*_Det_KER*</v>
      </c>
      <c r="G37" s="34" t="str">
        <f>IFERROR("*"&amp;AVERAGEIFS('BY-RSD-EFF'!$L$2:$L$100,'BY-RSD-EFF'!$C$2:$C$100,EFF!C37,'BY-RSD-EFF'!$A$2:$A$100,"BASE"),"")</f>
        <v>*0.822803738317757</v>
      </c>
    </row>
    <row r="38" spans="1:7" ht="15">
      <c r="A38" s="33" t="s">
        <v>114</v>
      </c>
      <c r="B38" s="33" t="s">
        <v>194</v>
      </c>
      <c r="C38" s="33" t="str">
        <f t="shared" si="1"/>
        <v>R-SH_Det_GAS*</v>
      </c>
      <c r="E38" s="34" t="s">
        <v>182</v>
      </c>
      <c r="F38" s="33" t="str">
        <f>"R-S*_"&amp;A38&amp;"_"&amp;B38&amp;"*"</f>
        <v>R-S*_Det_GAS*</v>
      </c>
      <c r="G38" s="33" t="str">
        <f>IFERROR("*"&amp;AVERAGEIFS('BY-RSD-EFF'!$L$2:$L$100,'BY-RSD-EFF'!$C$2:$C$100,EFF!C38,'BY-RSD-EFF'!$A$2:$A$100,"BASE"),"")</f>
        <v>*0.827287581699346</v>
      </c>
    </row>
    <row r="39" spans="1:7" ht="15">
      <c r="A39" s="34" t="s">
        <v>114</v>
      </c>
      <c r="B39" s="34" t="s">
        <v>110</v>
      </c>
      <c r="C39" s="34" t="str">
        <f t="shared" si="1"/>
        <v>R-SH_Det_PEA*</v>
      </c>
      <c r="E39" s="34" t="s">
        <v>182</v>
      </c>
      <c r="F39" s="34" t="str">
        <f>"R-S*_"&amp;A39&amp;"_"&amp;B39&amp;"*"</f>
        <v>R-S*_Det_PEA*</v>
      </c>
      <c r="G39" s="34" t="str">
        <f>IFERROR("*"&amp;AVERAGEIFS('BY-RSD-EFF'!$L$2:$L$100,'BY-RSD-EFF'!$C$2:$C$100,EFF!C39,'BY-RSD-EFF'!$A$2:$A$100,"BASE"),"")</f>
        <v>*0.545789473684211</v>
      </c>
    </row>
    <row r="40" spans="1:7" ht="15">
      <c r="A40" s="33" t="s">
        <v>114</v>
      </c>
      <c r="B40" s="33" t="s">
        <v>111</v>
      </c>
      <c r="C40" s="33" t="str">
        <f t="shared" si="1"/>
        <v>R-SH_Det_SMF*</v>
      </c>
      <c r="E40" s="34" t="s">
        <v>182</v>
      </c>
      <c r="F40" s="33" t="str">
        <f>"R-S*_"&amp;A40&amp;"_"&amp;B40&amp;"*"</f>
        <v>R-S*_Det_SMF*</v>
      </c>
      <c r="G40" s="33" t="str">
        <f>IFERROR("*"&amp;AVERAGEIFS('BY-RSD-EFF'!$L$2:$L$100,'BY-RSD-EFF'!$C$2:$C$100,EFF!C40,'BY-RSD-EFF'!$A$2:$A$100,"BASE"),"")</f>
        <v>*0.614742268041237</v>
      </c>
    </row>
    <row r="41" spans="1:7" ht="15">
      <c r="A41" s="34" t="s">
        <v>114</v>
      </c>
      <c r="B41" s="34" t="s">
        <v>195</v>
      </c>
      <c r="C41" s="34" t="str">
        <f t="shared" si="1"/>
        <v>R-SH_Det_WOO*</v>
      </c>
      <c r="E41" s="34" t="s">
        <v>182</v>
      </c>
      <c r="F41" s="34" t="str">
        <f>"R-S*_"&amp;A41&amp;"_"&amp;B41&amp;"*"</f>
        <v>R-S*_Det_WOO*</v>
      </c>
      <c r="G41" s="34" t="str">
        <f>IFERROR("*"&amp;AVERAGEIFS('BY-RSD-EFF'!$L$2:$L$100,'BY-RSD-EFF'!$C$2:$C$100,EFF!C41,'BY-RSD-EFF'!$A$2:$A$100,"BASE"),"")</f>
        <v>*0.729286096921694</v>
      </c>
    </row>
    <row r="42" spans="1:7" ht="15">
      <c r="A42" s="33" t="s">
        <v>114</v>
      </c>
      <c r="B42" s="33" t="s">
        <v>84</v>
      </c>
      <c r="C42" s="33" t="str">
        <f t="shared" si="1"/>
        <v>R-SH_Det_HET*</v>
      </c>
      <c r="E42" s="33" t="s">
        <v>182</v>
      </c>
      <c r="F42" s="33" t="str">
        <f>"R-S*_"&amp;A42&amp;"_*"&amp;B42&amp;"*"</f>
        <v>R-S*_Det_*HET*</v>
      </c>
      <c r="G42" s="33" t="s">
        <v>301</v>
      </c>
    </row>
    <row r="43" spans="1:7" ht="15">
      <c r="A43" s="33" t="s">
        <v>114</v>
      </c>
      <c r="B43" s="33" t="s">
        <v>83</v>
      </c>
      <c r="C43" s="33" t="str">
        <f>"R-SH_"&amp;A43&amp;"_"&amp;B43&amp;"*X0"</f>
        <v>R-SH_Det_ELC*X0</v>
      </c>
      <c r="E43" s="33" t="s">
        <v>182</v>
      </c>
      <c r="F43" s="33" t="str">
        <f>"R-S*_"&amp;A43&amp;"_"&amp;B43&amp;"_N1"&amp;",-R-SC*"</f>
        <v>R-S*_Det_ELC_N1,-R-SC*</v>
      </c>
      <c r="G43" s="33" t="str">
        <f>IFERROR("*"&amp;AVERAGEIFS('BY-RSD-EFF'!$L$2:$L$100,'BY-RSD-EFF'!$C$2:$C$100,EFF!C43,'BY-RSD-EFF'!$A$2:$A$100,"BASE"),"")</f>
        <v>*0.999520958083832</v>
      </c>
    </row>
    <row r="44" spans="1:7" ht="15">
      <c r="A44" s="31"/>
      <c r="B44" s="31"/>
      <c r="C44" s="31"/>
      <c r="E44" s="30" t="s">
        <v>246</v>
      </c>
      <c r="F44" s="31"/>
      <c r="G44" s="32"/>
    </row>
    <row r="45" spans="1:7" ht="15">
      <c r="A45" s="33" t="s">
        <v>109</v>
      </c>
      <c r="B45" s="33" t="s">
        <v>83</v>
      </c>
      <c r="C45" s="36" t="str">
        <f>"R-SH_"&amp;A45&amp;"_"&amp;B45&amp;"*X1"</f>
        <v>R-SH_Apt_ELC*X1</v>
      </c>
      <c r="E45" s="33" t="s">
        <v>182</v>
      </c>
      <c r="F45" s="33" t="str">
        <f t="shared" si="2" ref="F45:F47">"R-SC_"&amp;A45&amp;"_"&amp;B45&amp;"_N1"</f>
        <v>R-SC_Apt_ELC_N1</v>
      </c>
      <c r="G45" s="33" t="str">
        <f>IFERROR("*"&amp;AVERAGEIFS('BY-RSD-EFF'!$L$2:$L$100,'BY-RSD-EFF'!$C$2:$C$100,EFF!C45,'BY-RSD-EFF'!$A$2:$A$100,"BASE"),"")</f>
        <v>*3.07019607843137</v>
      </c>
    </row>
    <row r="46" spans="1:7" ht="15">
      <c r="A46" s="33" t="s">
        <v>105</v>
      </c>
      <c r="B46" s="33" t="s">
        <v>83</v>
      </c>
      <c r="C46" s="36" t="str">
        <f>"R-SH_"&amp;A46&amp;"_"&amp;B46&amp;"*X1"</f>
        <v>R-SH_Att_ELC*X1</v>
      </c>
      <c r="E46" s="33" t="s">
        <v>182</v>
      </c>
      <c r="F46" s="33" t="str">
        <f t="shared" si="2"/>
        <v>R-SC_Att_ELC_N1</v>
      </c>
      <c r="G46" s="33" t="str">
        <f>IFERROR("*"&amp;AVERAGEIFS('BY-RSD-EFF'!$L$2:$L$100,'BY-RSD-EFF'!$C$2:$C$100,EFF!C46,'BY-RSD-EFF'!$A$2:$A$100,"BASE"),"")</f>
        <v>*3.11576271186441</v>
      </c>
    </row>
    <row r="47" spans="1:7" ht="15">
      <c r="A47" s="37" t="s">
        <v>114</v>
      </c>
      <c r="B47" s="37" t="s">
        <v>83</v>
      </c>
      <c r="C47" s="38" t="str">
        <f>"R-SH_"&amp;A47&amp;"_"&amp;B47&amp;"*X1"</f>
        <v>R-SH_Det_ELC*X1</v>
      </c>
      <c r="E47" s="37" t="s">
        <v>182</v>
      </c>
      <c r="F47" s="37" t="str">
        <f t="shared" si="2"/>
        <v>R-SC_Det_ELC_N1</v>
      </c>
      <c r="G47" s="37" t="str">
        <f>IFERROR("*"&amp;AVERAGEIFS('BY-RSD-EFF'!$L$2:$L$100,'BY-RSD-EFF'!$C$2:$C$100,EFF!C47,'BY-RSD-EFF'!$A$2:$A$100,"BASE"),"")</f>
        <v>*3.08978378378378</v>
      </c>
    </row>
    <row r="48" spans="1:7" ht="15">
      <c r="A48" s="31"/>
      <c r="B48" s="31"/>
      <c r="C48" s="31"/>
      <c r="E48" s="30" t="s">
        <v>115</v>
      </c>
      <c r="F48" s="31"/>
      <c r="G48" s="32"/>
    </row>
    <row r="49" spans="1:7" ht="15">
      <c r="A49" s="33" t="s">
        <v>109</v>
      </c>
      <c r="B49" s="33" t="s">
        <v>82</v>
      </c>
      <c r="C49" s="33" t="str">
        <f>"R-WH_"&amp;A49&amp;"_"&amp;B49&amp;"*"</f>
        <v>R-WH_Apt_COA*</v>
      </c>
      <c r="E49" s="34" t="s">
        <v>182</v>
      </c>
      <c r="F49" s="33" t="str">
        <f>"R-WH_"&amp;A49&amp;"_"&amp;B49&amp;"*"</f>
        <v>R-WH_Apt_COA*</v>
      </c>
      <c r="G49" s="33" t="str">
        <f>IFERROR("*"&amp;AVERAGEIFS('BY-RSD-EFF'!$L$2:$L$100,'BY-RSD-EFF'!$C$2:$C$100,EFF!C49,'BY-RSD-EFF'!$A$2:$A$100,"BASE"),"")</f>
        <v>*0.590188034188034</v>
      </c>
    </row>
    <row r="50" spans="1:7" ht="15">
      <c r="A50" s="34" t="s">
        <v>109</v>
      </c>
      <c r="B50" s="34" t="s">
        <v>191</v>
      </c>
      <c r="C50" s="34" t="str">
        <f t="shared" si="3" ref="C50:C61">"R-WH_"&amp;A50&amp;"_"&amp;B50&amp;"*"</f>
        <v>R-WH_Apt_BDL*</v>
      </c>
      <c r="E50" s="34" t="s">
        <v>182</v>
      </c>
      <c r="F50" s="34" t="str">
        <f t="shared" si="4" ref="F50:F61">"R-WH_"&amp;A50&amp;"_"&amp;B50&amp;"*"</f>
        <v>R-WH_Apt_BDL*</v>
      </c>
      <c r="G50" s="34" t="s">
        <v>303</v>
      </c>
    </row>
    <row r="51" spans="1:7" ht="15">
      <c r="A51" s="33" t="s">
        <v>109</v>
      </c>
      <c r="B51" s="33" t="s">
        <v>190</v>
      </c>
      <c r="C51" s="33" t="str">
        <f t="shared" si="3"/>
        <v>R-WH_Apt_ETH*</v>
      </c>
      <c r="E51" s="34" t="s">
        <v>182</v>
      </c>
      <c r="F51" s="33" t="str">
        <f t="shared" si="4"/>
        <v>R-WH_Apt_ETH*</v>
      </c>
      <c r="G51" s="34" t="s">
        <v>303</v>
      </c>
    </row>
    <row r="52" spans="1:7" ht="15">
      <c r="A52" s="34" t="s">
        <v>109</v>
      </c>
      <c r="B52" s="34" t="s">
        <v>192</v>
      </c>
      <c r="C52" s="34" t="str">
        <f t="shared" si="3"/>
        <v>R-WH_Apt_LPG*</v>
      </c>
      <c r="E52" s="34" t="s">
        <v>182</v>
      </c>
      <c r="F52" s="34" t="str">
        <f t="shared" si="4"/>
        <v>R-WH_Apt_LPG*</v>
      </c>
      <c r="G52" s="34" t="str">
        <f>IFERROR("*"&amp;AVERAGEIFS('BY-RSD-EFF'!$L$2:$L$100,'BY-RSD-EFF'!$C$2:$C$100,EFF!C52,'BY-RSD-EFF'!$A$2:$A$100,"BASE"),"")</f>
        <v>*0.806779026217228</v>
      </c>
    </row>
    <row r="53" spans="1:7" ht="15">
      <c r="A53" s="33" t="s">
        <v>109</v>
      </c>
      <c r="B53" s="33" t="s">
        <v>83</v>
      </c>
      <c r="C53" s="33" t="str">
        <f>"R-WH_"&amp;A53&amp;"_"&amp;B53&amp;"*X0"</f>
        <v>R-WH_Apt_ELC*X0</v>
      </c>
      <c r="E53" s="34" t="s">
        <v>182</v>
      </c>
      <c r="F53" s="33" t="str">
        <f t="shared" si="4"/>
        <v>R-WH_Apt_ELC*</v>
      </c>
      <c r="G53" s="33" t="str">
        <f>IFERROR("*"&amp;AVERAGEIFS('BY-RSD-EFF'!$L$2:$L$100,'BY-RSD-EFF'!$C$2:$C$100,EFF!C53,'BY-RSD-EFF'!$A$2:$A$100,"BASE"),"")</f>
        <v>*1</v>
      </c>
    </row>
    <row r="54" spans="1:7" ht="15">
      <c r="A54" s="33" t="s">
        <v>109</v>
      </c>
      <c r="B54" s="33" t="s">
        <v>83</v>
      </c>
      <c r="C54" s="36" t="str">
        <f>"R-WH_"&amp;A54&amp;"_"&amp;B54&amp;"*X1"</f>
        <v>R-WH_Apt_ELC*X1</v>
      </c>
      <c r="E54" s="34" t="s">
        <v>182</v>
      </c>
      <c r="F54" s="33" t="str">
        <f t="shared" si="4"/>
        <v>R-WH_Apt_ELC*</v>
      </c>
      <c r="G54" s="33" t="str">
        <f>IFERROR("*"&amp;AVERAGEIFS('BY-RSD-EFF'!$L$2:$L$100,'BY-RSD-EFF'!$C$2:$C$100,EFF!C54,'BY-RSD-EFF'!$A$2:$A$100,"BASE"),"")</f>
        <v>*3.07019607843137</v>
      </c>
    </row>
    <row r="55" spans="1:7" ht="15">
      <c r="A55" s="34" t="s">
        <v>109</v>
      </c>
      <c r="B55" s="34" t="s">
        <v>193</v>
      </c>
      <c r="C55" s="34" t="str">
        <f t="shared" si="3"/>
        <v>R-WH_Apt_KER*</v>
      </c>
      <c r="E55" s="34" t="s">
        <v>182</v>
      </c>
      <c r="F55" s="34" t="str">
        <f t="shared" si="4"/>
        <v>R-WH_Apt_KER*</v>
      </c>
      <c r="G55" s="34" t="str">
        <f>IFERROR("*"&amp;AVERAGEIFS('BY-RSD-EFF'!$L$2:$L$100,'BY-RSD-EFF'!$C$2:$C$100,EFF!C55,'BY-RSD-EFF'!$A$2:$A$100,"BASE"),"")</f>
        <v>*0.810162162162162</v>
      </c>
    </row>
    <row r="56" spans="1:7" ht="15">
      <c r="A56" s="33" t="s">
        <v>109</v>
      </c>
      <c r="B56" s="33" t="s">
        <v>194</v>
      </c>
      <c r="C56" s="33" t="str">
        <f t="shared" si="3"/>
        <v>R-WH_Apt_GAS*</v>
      </c>
      <c r="E56" s="34" t="s">
        <v>182</v>
      </c>
      <c r="F56" s="33" t="str">
        <f>"R-WH_"&amp;A56&amp;"_"&amp;B56&amp;",-*HPN*"</f>
        <v>R-WH_Apt_GAS,-*HPN*</v>
      </c>
      <c r="G56" s="33" t="str">
        <f>IFERROR("*"&amp;AVERAGEIFS('BY-RSD-EFF'!$L$2:$L$100,'BY-RSD-EFF'!$C$2:$C$100,EFF!C56,'BY-RSD-EFF'!$A$2:$A$100,"BASE"),"")</f>
        <v>*0.810268817204301</v>
      </c>
    </row>
    <row r="57" spans="1:7" ht="15">
      <c r="A57" s="34" t="s">
        <v>109</v>
      </c>
      <c r="B57" s="34" t="s">
        <v>110</v>
      </c>
      <c r="C57" s="34" t="str">
        <f t="shared" si="3"/>
        <v>R-WH_Apt_PEA*</v>
      </c>
      <c r="E57" s="34" t="s">
        <v>182</v>
      </c>
      <c r="F57" s="34" t="str">
        <f t="shared" si="4"/>
        <v>R-WH_Apt_PEA*</v>
      </c>
      <c r="G57" s="34" t="str">
        <f>IFERROR("*"&amp;AVERAGEIFS('BY-RSD-EFF'!$L$2:$L$100,'BY-RSD-EFF'!$C$2:$C$100,EFF!C57,'BY-RSD-EFF'!$A$2:$A$100,"BASE"),"")</f>
        <v>*0.525</v>
      </c>
    </row>
    <row r="58" spans="1:7" ht="15">
      <c r="A58" s="33" t="s">
        <v>109</v>
      </c>
      <c r="B58" s="33" t="s">
        <v>111</v>
      </c>
      <c r="C58" s="33" t="str">
        <f t="shared" si="3"/>
        <v>R-WH_Apt_SMF*</v>
      </c>
      <c r="E58" s="34" t="s">
        <v>182</v>
      </c>
      <c r="F58" s="33" t="str">
        <f t="shared" si="4"/>
        <v>R-WH_Apt_SMF*</v>
      </c>
      <c r="G58" s="33" t="str">
        <f>IFERROR("*"&amp;AVERAGEIFS('BY-RSD-EFF'!$L$2:$L$100,'BY-RSD-EFF'!$C$2:$C$100,EFF!C58,'BY-RSD-EFF'!$A$2:$A$100,"BASE"),"")</f>
        <v>*0.581777777777778</v>
      </c>
    </row>
    <row r="59" spans="1:7" ht="15">
      <c r="A59" s="34" t="s">
        <v>109</v>
      </c>
      <c r="B59" s="34" t="s">
        <v>195</v>
      </c>
      <c r="C59" s="34" t="str">
        <f t="shared" si="3"/>
        <v>R-WH_Apt_WOO*</v>
      </c>
      <c r="E59" s="34" t="s">
        <v>182</v>
      </c>
      <c r="F59" s="34" t="str">
        <f t="shared" si="4"/>
        <v>R-WH_Apt_WOO*</v>
      </c>
      <c r="G59" s="34" t="str">
        <f>IFERROR("*"&amp;AVERAGEIFS('BY-RSD-EFF'!$L$2:$L$100,'BY-RSD-EFF'!$C$2:$C$100,EFF!C59,'BY-RSD-EFF'!$A$2:$A$100,"BASE"),"")</f>
        <v>*0.688045112781955</v>
      </c>
    </row>
    <row r="60" spans="1:7" ht="15">
      <c r="A60" s="33" t="s">
        <v>109</v>
      </c>
      <c r="B60" s="33" t="s">
        <v>84</v>
      </c>
      <c r="C60" s="33" t="str">
        <f t="shared" si="3"/>
        <v>R-WH_Apt_HET*</v>
      </c>
      <c r="E60" s="34" t="s">
        <v>182</v>
      </c>
      <c r="F60" s="33" t="str">
        <f t="shared" si="4"/>
        <v>R-WH_Apt_HET*</v>
      </c>
      <c r="G60" s="33" t="s">
        <v>301</v>
      </c>
    </row>
    <row r="61" spans="1:7" ht="15">
      <c r="A61" s="34" t="s">
        <v>109</v>
      </c>
      <c r="B61" s="34" t="s">
        <v>231</v>
      </c>
      <c r="C61" s="34" t="str">
        <f t="shared" si="3"/>
        <v>R-WH_Apt_SOL*</v>
      </c>
      <c r="E61" s="34" t="s">
        <v>182</v>
      </c>
      <c r="F61" s="34" t="str">
        <f t="shared" si="4"/>
        <v>R-WH_Apt_SOL*</v>
      </c>
      <c r="G61" s="34" t="str">
        <f>IFERROR("*"&amp;AVERAGEIFS('BY-RSD-EFF'!$L$2:$L$100,'BY-RSD-EFF'!$C$2:$C$100,EFF!C61,'BY-RSD-EFF'!$A$2:$A$100,"BASE"),"")</f>
        <v>*1</v>
      </c>
    </row>
    <row r="62" spans="1:7" ht="15">
      <c r="A62" s="31"/>
      <c r="B62" s="31"/>
      <c r="C62" s="31"/>
      <c r="E62" s="30" t="s">
        <v>116</v>
      </c>
      <c r="F62" s="31"/>
      <c r="G62" s="32"/>
    </row>
    <row r="63" spans="1:7" ht="15">
      <c r="A63" s="33" t="s">
        <v>105</v>
      </c>
      <c r="B63" s="33" t="s">
        <v>82</v>
      </c>
      <c r="C63" s="33" t="str">
        <f>"R-WH_"&amp;A63&amp;"_"&amp;B63&amp;"*"</f>
        <v>R-WH_Att_COA*</v>
      </c>
      <c r="E63" s="34" t="s">
        <v>182</v>
      </c>
      <c r="F63" s="33" t="str">
        <f>"R-WH_"&amp;A63&amp;"_"&amp;B63&amp;"*"</f>
        <v>R-WH_Att_COA*</v>
      </c>
      <c r="G63" s="33" t="str">
        <f>IFERROR("*"&amp;AVERAGEIFS('BY-RSD-EFF'!$L$2:$L$100,'BY-RSD-EFF'!$C$2:$C$100,EFF!C63,'BY-RSD-EFF'!$A$2:$A$100,"BASE"),"")</f>
        <v>*0.557980879057327</v>
      </c>
    </row>
    <row r="64" spans="1:7" ht="15">
      <c r="A64" s="34" t="s">
        <v>105</v>
      </c>
      <c r="B64" s="34" t="s">
        <v>191</v>
      </c>
      <c r="C64" s="34" t="str">
        <f t="shared" si="5" ref="C64:C66">"R-WH_"&amp;A64&amp;"_"&amp;B64&amp;"*"</f>
        <v>R-WH_Att_BDL*</v>
      </c>
      <c r="E64" s="34" t="s">
        <v>182</v>
      </c>
      <c r="F64" s="34" t="str">
        <f t="shared" si="6" ref="F64:F75">"R-WH_"&amp;A64&amp;"_"&amp;B64&amp;"*"</f>
        <v>R-WH_Att_BDL*</v>
      </c>
      <c r="G64" s="34" t="s">
        <v>303</v>
      </c>
    </row>
    <row r="65" spans="1:7" ht="15">
      <c r="A65" s="33" t="s">
        <v>105</v>
      </c>
      <c r="B65" s="33" t="s">
        <v>190</v>
      </c>
      <c r="C65" s="33" t="str">
        <f t="shared" si="5"/>
        <v>R-WH_Att_ETH*</v>
      </c>
      <c r="E65" s="34" t="s">
        <v>182</v>
      </c>
      <c r="F65" s="33" t="str">
        <f t="shared" si="6"/>
        <v>R-WH_Att_ETH*</v>
      </c>
      <c r="G65" s="34" t="s">
        <v>303</v>
      </c>
    </row>
    <row r="66" spans="1:7" ht="15">
      <c r="A66" s="34" t="s">
        <v>105</v>
      </c>
      <c r="B66" s="34" t="s">
        <v>192</v>
      </c>
      <c r="C66" s="34" t="str">
        <f t="shared" si="5"/>
        <v>R-WH_Att_LPG*</v>
      </c>
      <c r="E66" s="34" t="s">
        <v>182</v>
      </c>
      <c r="F66" s="34" t="str">
        <f t="shared" si="6"/>
        <v>R-WH_Att_LPG*</v>
      </c>
      <c r="G66" s="34" t="str">
        <f>IFERROR("*"&amp;AVERAGEIFS('BY-RSD-EFF'!$L$2:$L$100,'BY-RSD-EFF'!$C$2:$C$100,EFF!C66,'BY-RSD-EFF'!$A$2:$A$100,"BASE"),"")</f>
        <v>*0.807075774336283</v>
      </c>
    </row>
    <row r="67" spans="1:7" ht="15">
      <c r="A67" s="33" t="s">
        <v>105</v>
      </c>
      <c r="B67" s="33" t="s">
        <v>83</v>
      </c>
      <c r="C67" s="33" t="str">
        <f>"R-WH_"&amp;A67&amp;"_"&amp;B67&amp;"*X0"</f>
        <v>R-WH_Att_ELC*X0</v>
      </c>
      <c r="E67" s="34" t="s">
        <v>182</v>
      </c>
      <c r="F67" s="33" t="str">
        <f t="shared" si="6"/>
        <v>R-WH_Att_ELC*</v>
      </c>
      <c r="G67" s="33" t="str">
        <f>IFERROR("*"&amp;AVERAGEIFS('BY-RSD-EFF'!$L$2:$L$100,'BY-RSD-EFF'!$C$2:$C$100,EFF!C67,'BY-RSD-EFF'!$A$2:$A$100,"BASE"),"")</f>
        <v>*1</v>
      </c>
    </row>
    <row r="68" spans="1:7" ht="15">
      <c r="A68" s="33" t="s">
        <v>105</v>
      </c>
      <c r="B68" s="33" t="s">
        <v>83</v>
      </c>
      <c r="C68" s="36" t="str">
        <f>"R-WH_"&amp;A68&amp;"_"&amp;B68&amp;"*X1"</f>
        <v>R-WH_Att_ELC*X1</v>
      </c>
      <c r="E68" s="34" t="s">
        <v>182</v>
      </c>
      <c r="F68" s="33" t="str">
        <f t="shared" si="6"/>
        <v>R-WH_Att_ELC*</v>
      </c>
      <c r="G68" s="33" t="str">
        <f>IFERROR("*"&amp;AVERAGEIFS('BY-RSD-EFF'!$L$2:$L$100,'BY-RSD-EFF'!$C$2:$C$100,EFF!C68,'BY-RSD-EFF'!$A$2:$A$100,"BASE"),"")</f>
        <v>*3.11576271186441</v>
      </c>
    </row>
    <row r="69" spans="1:7" ht="15">
      <c r="A69" s="34" t="s">
        <v>105</v>
      </c>
      <c r="B69" s="34" t="s">
        <v>193</v>
      </c>
      <c r="C69" s="34" t="str">
        <f t="shared" si="7" ref="C69:C75">"R-WH_"&amp;A69&amp;"_"&amp;B69&amp;"*"</f>
        <v>R-WH_Att_KER*</v>
      </c>
      <c r="E69" s="34" t="s">
        <v>182</v>
      </c>
      <c r="F69" s="34" t="str">
        <f t="shared" si="6"/>
        <v>R-WH_Att_KER*</v>
      </c>
      <c r="G69" s="34" t="str">
        <f>IFERROR("*"&amp;AVERAGEIFS('BY-RSD-EFF'!$L$2:$L$100,'BY-RSD-EFF'!$C$2:$C$100,EFF!C69,'BY-RSD-EFF'!$A$2:$A$100,"BASE"),"")</f>
        <v>*0.819415584415584</v>
      </c>
    </row>
    <row r="70" spans="1:7" ht="15">
      <c r="A70" s="33" t="s">
        <v>105</v>
      </c>
      <c r="B70" s="33" t="s">
        <v>194</v>
      </c>
      <c r="C70" s="33" t="str">
        <f t="shared" si="7"/>
        <v>R-WH_Att_GAS*</v>
      </c>
      <c r="E70" s="34" t="s">
        <v>182</v>
      </c>
      <c r="F70" s="33" t="str">
        <f>"R-WH_"&amp;A70&amp;"_"&amp;B70&amp;",-*HPN*"</f>
        <v>R-WH_Att_GAS,-*HPN*</v>
      </c>
      <c r="G70" s="33" t="str">
        <f>IFERROR("*"&amp;AVERAGEIFS('BY-RSD-EFF'!$L$2:$L$100,'BY-RSD-EFF'!$C$2:$C$100,EFF!C70,'BY-RSD-EFF'!$A$2:$A$100,"BASE"),"")</f>
        <v>*0.817294117647059</v>
      </c>
    </row>
    <row r="71" spans="1:7" ht="15">
      <c r="A71" s="34" t="s">
        <v>105</v>
      </c>
      <c r="B71" s="34" t="s">
        <v>110</v>
      </c>
      <c r="C71" s="34" t="str">
        <f t="shared" si="7"/>
        <v>R-WH_Att_PEA*</v>
      </c>
      <c r="E71" s="34" t="s">
        <v>182</v>
      </c>
      <c r="F71" s="34" t="str">
        <f t="shared" si="6"/>
        <v>R-WH_Att_PEA*</v>
      </c>
      <c r="G71" s="34" t="str">
        <f>IFERROR("*"&amp;AVERAGEIFS('BY-RSD-EFF'!$L$2:$L$100,'BY-RSD-EFF'!$C$2:$C$100,EFF!C71,'BY-RSD-EFF'!$A$2:$A$100,"BASE"),"")</f>
        <v>*0.550929487179487</v>
      </c>
    </row>
    <row r="72" spans="1:7" ht="15">
      <c r="A72" s="33" t="s">
        <v>105</v>
      </c>
      <c r="B72" s="33" t="s">
        <v>111</v>
      </c>
      <c r="C72" s="33" t="str">
        <f t="shared" si="7"/>
        <v>R-WH_Att_SMF*</v>
      </c>
      <c r="E72" s="34" t="s">
        <v>182</v>
      </c>
      <c r="F72" s="33" t="str">
        <f t="shared" si="6"/>
        <v>R-WH_Att_SMF*</v>
      </c>
      <c r="G72" s="33" t="str">
        <f>IFERROR("*"&amp;AVERAGEIFS('BY-RSD-EFF'!$L$2:$L$100,'BY-RSD-EFF'!$C$2:$C$100,EFF!C72,'BY-RSD-EFF'!$A$2:$A$100,"BASE"),"")</f>
        <v>*0.571137724550898</v>
      </c>
    </row>
    <row r="73" spans="1:7" ht="15">
      <c r="A73" s="34" t="s">
        <v>105</v>
      </c>
      <c r="B73" s="34" t="s">
        <v>195</v>
      </c>
      <c r="C73" s="34" t="str">
        <f t="shared" si="7"/>
        <v>R-WH_Att_WOO*</v>
      </c>
      <c r="E73" s="34" t="s">
        <v>182</v>
      </c>
      <c r="F73" s="34" t="str">
        <f t="shared" si="6"/>
        <v>R-WH_Att_WOO*</v>
      </c>
      <c r="G73" s="34" t="str">
        <f>IFERROR("*"&amp;AVERAGEIFS('BY-RSD-EFF'!$L$2:$L$100,'BY-RSD-EFF'!$C$2:$C$100,EFF!C73,'BY-RSD-EFF'!$A$2:$A$100,"BASE"),"")</f>
        <v>*0.704006568144499</v>
      </c>
    </row>
    <row r="74" spans="1:7" ht="15">
      <c r="A74" s="33" t="s">
        <v>105</v>
      </c>
      <c r="B74" s="33" t="s">
        <v>84</v>
      </c>
      <c r="C74" s="33" t="str">
        <f t="shared" si="7"/>
        <v>R-WH_Att_HET*</v>
      </c>
      <c r="E74" s="34" t="s">
        <v>182</v>
      </c>
      <c r="F74" s="33" t="str">
        <f t="shared" si="6"/>
        <v>R-WH_Att_HET*</v>
      </c>
      <c r="G74" s="33" t="s">
        <v>301</v>
      </c>
    </row>
    <row r="75" spans="1:7" ht="15">
      <c r="A75" s="34" t="s">
        <v>105</v>
      </c>
      <c r="B75" s="34" t="s">
        <v>231</v>
      </c>
      <c r="C75" s="34" t="str">
        <f t="shared" si="7"/>
        <v>R-WH_Att_SOL*</v>
      </c>
      <c r="E75" s="34" t="s">
        <v>182</v>
      </c>
      <c r="F75" s="34" t="str">
        <f t="shared" si="6"/>
        <v>R-WH_Att_SOL*</v>
      </c>
      <c r="G75" s="34" t="str">
        <f>IFERROR("*"&amp;AVERAGEIFS('BY-RSD-EFF'!$L$2:$L$100,'BY-RSD-EFF'!$C$2:$C$100,EFF!C75,'BY-RSD-EFF'!$A$2:$A$100,"BASE"),"")</f>
        <v>*1</v>
      </c>
    </row>
    <row r="76" spans="1:7" ht="15">
      <c r="A76" s="31"/>
      <c r="B76" s="31"/>
      <c r="C76" s="31"/>
      <c r="E76" s="30" t="s">
        <v>117</v>
      </c>
      <c r="F76" s="31"/>
      <c r="G76" s="32"/>
    </row>
    <row r="77" spans="1:7" ht="15">
      <c r="A77" s="33" t="s">
        <v>114</v>
      </c>
      <c r="B77" s="33" t="s">
        <v>82</v>
      </c>
      <c r="C77" s="33" t="str">
        <f>"R-WH_"&amp;A77&amp;"_"&amp;B77&amp;"*"</f>
        <v>R-WH_Det_COA*</v>
      </c>
      <c r="E77" s="34" t="s">
        <v>182</v>
      </c>
      <c r="F77" s="33" t="str">
        <f>"R-WH_"&amp;A77&amp;"_"&amp;B77&amp;"*"</f>
        <v>R-WH_Det_COA*</v>
      </c>
      <c r="G77" s="33" t="str">
        <f>IFERROR("*"&amp;AVERAGEIFS('BY-RSD-EFF'!$L$2:$L$100,'BY-RSD-EFF'!$C$2:$C$100,EFF!C77,'BY-RSD-EFF'!$A$2:$A$100,"BASE"),"")</f>
        <v>*0.619863294600137</v>
      </c>
    </row>
    <row r="78" spans="1:7" ht="15">
      <c r="A78" s="34" t="s">
        <v>114</v>
      </c>
      <c r="B78" s="34" t="s">
        <v>191</v>
      </c>
      <c r="C78" s="34" t="str">
        <f t="shared" si="8" ref="C78:C80">"R-WH_"&amp;A78&amp;"_"&amp;B78&amp;"*"</f>
        <v>R-WH_Det_BDL*</v>
      </c>
      <c r="E78" s="34" t="s">
        <v>182</v>
      </c>
      <c r="F78" s="34" t="str">
        <f t="shared" si="9" ref="F78:F89">"R-WH_"&amp;A78&amp;"_"&amp;B78&amp;"*"</f>
        <v>R-WH_Det_BDL*</v>
      </c>
      <c r="G78" s="34" t="s">
        <v>303</v>
      </c>
    </row>
    <row r="79" spans="1:7" ht="15">
      <c r="A79" s="33" t="s">
        <v>114</v>
      </c>
      <c r="B79" s="33" t="s">
        <v>190</v>
      </c>
      <c r="C79" s="33" t="str">
        <f t="shared" si="8"/>
        <v>R-WH_Det_ETH*</v>
      </c>
      <c r="E79" s="34" t="s">
        <v>182</v>
      </c>
      <c r="F79" s="33" t="str">
        <f t="shared" si="9"/>
        <v>R-WH_Det_ETH*</v>
      </c>
      <c r="G79" s="34" t="s">
        <v>303</v>
      </c>
    </row>
    <row r="80" spans="1:7" ht="15">
      <c r="A80" s="34" t="s">
        <v>114</v>
      </c>
      <c r="B80" s="34" t="s">
        <v>192</v>
      </c>
      <c r="C80" s="34" t="str">
        <f t="shared" si="8"/>
        <v>R-WH_Det_LPG*</v>
      </c>
      <c r="E80" s="34" t="s">
        <v>182</v>
      </c>
      <c r="F80" s="34" t="str">
        <f t="shared" si="9"/>
        <v>R-WH_Det_LPG*</v>
      </c>
      <c r="G80" s="34" t="str">
        <f>IFERROR("*"&amp;AVERAGEIFS('BY-RSD-EFF'!$L$2:$L$100,'BY-RSD-EFF'!$C$2:$C$100,EFF!C80,'BY-RSD-EFF'!$A$2:$A$100,"BASE"),"")</f>
        <v>*0.826617747626993</v>
      </c>
    </row>
    <row r="81" spans="1:7" ht="15">
      <c r="A81" s="33" t="s">
        <v>114</v>
      </c>
      <c r="B81" s="33" t="s">
        <v>83</v>
      </c>
      <c r="C81" s="33" t="str">
        <f>"R-WH_"&amp;A81&amp;"_"&amp;B81&amp;"*X0"</f>
        <v>R-WH_Det_ELC*X0</v>
      </c>
      <c r="E81" s="34" t="s">
        <v>182</v>
      </c>
      <c r="F81" s="33" t="str">
        <f t="shared" si="9"/>
        <v>R-WH_Det_ELC*</v>
      </c>
      <c r="G81" s="33" t="str">
        <f>IFERROR("*"&amp;AVERAGEIFS('BY-RSD-EFF'!$L$2:$L$100,'BY-RSD-EFF'!$C$2:$C$100,EFF!C81,'BY-RSD-EFF'!$A$2:$A$100,"BASE"),"")</f>
        <v>*0.999520958083832</v>
      </c>
    </row>
    <row r="82" spans="1:7" ht="15">
      <c r="A82" s="33" t="s">
        <v>114</v>
      </c>
      <c r="B82" s="33" t="s">
        <v>83</v>
      </c>
      <c r="C82" s="36" t="str">
        <f>"R-WH_"&amp;A82&amp;"_"&amp;B82&amp;"*X1"</f>
        <v>R-WH_Det_ELC*X1</v>
      </c>
      <c r="E82" s="34" t="s">
        <v>182</v>
      </c>
      <c r="F82" s="33" t="str">
        <f t="shared" si="9"/>
        <v>R-WH_Det_ELC*</v>
      </c>
      <c r="G82" s="33" t="str">
        <f>IFERROR("*"&amp;AVERAGEIFS('BY-RSD-EFF'!$L$2:$L$100,'BY-RSD-EFF'!$C$2:$C$100,EFF!C82,'BY-RSD-EFF'!$A$2:$A$100,"BASE"),"")</f>
        <v>*3.08978378378378</v>
      </c>
    </row>
    <row r="83" spans="1:7" ht="15">
      <c r="A83" s="34" t="s">
        <v>114</v>
      </c>
      <c r="B83" s="34" t="s">
        <v>193</v>
      </c>
      <c r="C83" s="34" t="str">
        <f t="shared" si="10" ref="C83:C89">"R-WH_"&amp;A83&amp;"_"&amp;B83&amp;"*"</f>
        <v>R-WH_Det_KER*</v>
      </c>
      <c r="E83" s="34" t="s">
        <v>182</v>
      </c>
      <c r="F83" s="34" t="str">
        <f t="shared" si="9"/>
        <v>R-WH_Det_KER*</v>
      </c>
      <c r="G83" s="34" t="str">
        <f>IFERROR("*"&amp;AVERAGEIFS('BY-RSD-EFF'!$L$2:$L$100,'BY-RSD-EFF'!$C$2:$C$100,EFF!C83,'BY-RSD-EFF'!$A$2:$A$100,"BASE"),"")</f>
        <v>*0.822803738317757</v>
      </c>
    </row>
    <row r="84" spans="1:7" ht="15">
      <c r="A84" s="33" t="s">
        <v>114</v>
      </c>
      <c r="B84" s="33" t="s">
        <v>194</v>
      </c>
      <c r="C84" s="33" t="str">
        <f t="shared" si="10"/>
        <v>R-WH_Det_GAS*</v>
      </c>
      <c r="E84" s="34" t="s">
        <v>182</v>
      </c>
      <c r="F84" s="33" t="str">
        <f>"R-WH_"&amp;A84&amp;"_"&amp;B84&amp;",-*HPN*"</f>
        <v>R-WH_Det_GAS,-*HPN*</v>
      </c>
      <c r="G84" s="33" t="str">
        <f>IFERROR("*"&amp;AVERAGEIFS('BY-RSD-EFF'!$L$2:$L$100,'BY-RSD-EFF'!$C$2:$C$100,EFF!C84,'BY-RSD-EFF'!$A$2:$A$100,"BASE"),"")</f>
        <v>*0.827287581699346</v>
      </c>
    </row>
    <row r="85" spans="1:7" ht="15">
      <c r="A85" s="34" t="s">
        <v>114</v>
      </c>
      <c r="B85" s="34" t="s">
        <v>110</v>
      </c>
      <c r="C85" s="34" t="str">
        <f t="shared" si="10"/>
        <v>R-WH_Det_PEA*</v>
      </c>
      <c r="E85" s="34" t="s">
        <v>182</v>
      </c>
      <c r="F85" s="34" t="str">
        <f t="shared" si="9"/>
        <v>R-WH_Det_PEA*</v>
      </c>
      <c r="G85" s="34" t="str">
        <f>IFERROR("*"&amp;AVERAGEIFS('BY-RSD-EFF'!$L$2:$L$100,'BY-RSD-EFF'!$C$2:$C$100,EFF!C85,'BY-RSD-EFF'!$A$2:$A$100,"BASE"),"")</f>
        <v>*0.545789473684211</v>
      </c>
    </row>
    <row r="86" spans="1:7" ht="15">
      <c r="A86" s="33" t="s">
        <v>114</v>
      </c>
      <c r="B86" s="33" t="s">
        <v>111</v>
      </c>
      <c r="C86" s="33" t="str">
        <f t="shared" si="10"/>
        <v>R-WH_Det_SMF*</v>
      </c>
      <c r="E86" s="34" t="s">
        <v>182</v>
      </c>
      <c r="F86" s="33" t="str">
        <f t="shared" si="9"/>
        <v>R-WH_Det_SMF*</v>
      </c>
      <c r="G86" s="33" t="str">
        <f>IFERROR("*"&amp;AVERAGEIFS('BY-RSD-EFF'!$L$2:$L$100,'BY-RSD-EFF'!$C$2:$C$100,EFF!C86,'BY-RSD-EFF'!$A$2:$A$100,"BASE"),"")</f>
        <v>*0.614742268041237</v>
      </c>
    </row>
    <row r="87" spans="1:7" ht="15">
      <c r="A87" s="34" t="s">
        <v>114</v>
      </c>
      <c r="B87" s="34" t="s">
        <v>195</v>
      </c>
      <c r="C87" s="34" t="str">
        <f t="shared" si="10"/>
        <v>R-WH_Det_WOO*</v>
      </c>
      <c r="E87" s="34" t="s">
        <v>182</v>
      </c>
      <c r="F87" s="34" t="str">
        <f t="shared" si="9"/>
        <v>R-WH_Det_WOO*</v>
      </c>
      <c r="G87" s="34" t="str">
        <f>IFERROR("*"&amp;AVERAGEIFS('BY-RSD-EFF'!$L$2:$L$100,'BY-RSD-EFF'!$C$2:$C$100,EFF!C87,'BY-RSD-EFF'!$A$2:$A$100,"BASE"),"")</f>
        <v>*0.729286096921694</v>
      </c>
    </row>
    <row r="88" spans="1:7" ht="15">
      <c r="A88" s="33" t="s">
        <v>114</v>
      </c>
      <c r="B88" s="33" t="s">
        <v>84</v>
      </c>
      <c r="C88" s="33" t="str">
        <f t="shared" si="10"/>
        <v>R-WH_Det_HET*</v>
      </c>
      <c r="E88" s="34" t="s">
        <v>182</v>
      </c>
      <c r="F88" s="33" t="str">
        <f t="shared" si="9"/>
        <v>R-WH_Det_HET*</v>
      </c>
      <c r="G88" s="33" t="s">
        <v>301</v>
      </c>
    </row>
    <row r="89" spans="1:7" ht="15">
      <c r="A89" s="34" t="s">
        <v>114</v>
      </c>
      <c r="B89" s="34" t="s">
        <v>231</v>
      </c>
      <c r="C89" s="34" t="str">
        <f t="shared" si="10"/>
        <v>R-WH_Det_SOL*</v>
      </c>
      <c r="E89" s="34" t="s">
        <v>182</v>
      </c>
      <c r="F89" s="34" t="str">
        <f t="shared" si="9"/>
        <v>R-WH_Det_SOL*</v>
      </c>
      <c r="G89" s="34" t="str">
        <f>IFERROR("*"&amp;AVERAGEIFS('BY-RSD-EFF'!$L$2:$L$100,'BY-RSD-EFF'!$C$2:$C$100,EFF!C89,'BY-RSD-EFF'!$A$2:$A$100,"BASE"),"")</f>
        <v>*1</v>
      </c>
    </row>
  </sheetData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717B6A-07FB-44A5-8C85-4A36192AAC9D}">
  <sheetPr codeName="Sheet7"/>
  <dimension ref="A1:N40"/>
  <sheetViews>
    <sheetView workbookViewId="0" topLeftCell="A1">
      <selection pane="topLeft" activeCell="A4" sqref="A4:XFD4"/>
    </sheetView>
  </sheetViews>
  <sheetFormatPr defaultRowHeight="12.75"/>
  <cols>
    <col min="3" max="3" width="23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211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0.12</v>
      </c>
      <c r="M2">
        <v>0.12</v>
      </c>
    </row>
    <row r="3" spans="1:14" ht="12.75">
      <c r="A3" t="s">
        <v>77</v>
      </c>
      <c r="B3" t="s">
        <v>78</v>
      </c>
      <c r="C3" t="s">
        <v>146</v>
      </c>
      <c r="D3" t="s">
        <v>131</v>
      </c>
      <c r="E3" t="s">
        <v>132</v>
      </c>
      <c r="F3" t="s">
        <v>131</v>
      </c>
      <c r="G3" t="s">
        <v>302</v>
      </c>
      <c r="H3" t="s">
        <v>131</v>
      </c>
      <c r="I3" t="s">
        <v>131</v>
      </c>
      <c r="J3" t="s">
        <v>131</v>
      </c>
      <c r="K3" t="s">
        <v>131</v>
      </c>
      <c r="L3">
        <v>0.12</v>
      </c>
      <c r="M3">
        <v>0.12</v>
      </c>
    </row>
    <row r="4" spans="1:14" ht="12.75">
      <c r="A4" t="s">
        <v>77</v>
      </c>
      <c r="B4" t="s">
        <v>78</v>
      </c>
      <c r="C4" t="s">
        <v>147</v>
      </c>
      <c r="D4" t="s">
        <v>131</v>
      </c>
      <c r="E4" t="s">
        <v>132</v>
      </c>
      <c r="F4" t="s">
        <v>131</v>
      </c>
      <c r="G4" t="s">
        <v>302</v>
      </c>
      <c r="H4" t="s">
        <v>131</v>
      </c>
      <c r="I4" t="s">
        <v>131</v>
      </c>
      <c r="J4" t="s">
        <v>131</v>
      </c>
      <c r="K4" t="s">
        <v>131</v>
      </c>
      <c r="L4">
        <v>0.053377456313566302</v>
      </c>
      <c r="M4">
        <v>0.053377456313566302</v>
      </c>
    </row>
    <row r="5" spans="1:14" ht="12.75">
      <c r="A5" t="s">
        <v>77</v>
      </c>
      <c r="B5" t="s">
        <v>78</v>
      </c>
      <c r="C5" t="s">
        <v>148</v>
      </c>
      <c r="D5" t="s">
        <v>131</v>
      </c>
      <c r="E5" t="s">
        <v>132</v>
      </c>
      <c r="F5" t="s">
        <v>131</v>
      </c>
      <c r="G5" t="s">
        <v>302</v>
      </c>
      <c r="H5" t="s">
        <v>131</v>
      </c>
      <c r="I5" t="s">
        <v>131</v>
      </c>
      <c r="J5" t="s">
        <v>131</v>
      </c>
      <c r="K5" t="s">
        <v>131</v>
      </c>
      <c r="L5">
        <v>0.49058779213070902</v>
      </c>
      <c r="M5">
        <v>0.49058779213070902</v>
      </c>
    </row>
    <row r="6" spans="1:14" ht="12.75">
      <c r="A6" t="s">
        <v>77</v>
      </c>
      <c r="B6" t="s">
        <v>78</v>
      </c>
      <c r="C6" t="s">
        <v>212</v>
      </c>
      <c r="D6" t="s">
        <v>131</v>
      </c>
      <c r="E6" t="s">
        <v>132</v>
      </c>
      <c r="F6" t="s">
        <v>131</v>
      </c>
      <c r="G6" t="s">
        <v>302</v>
      </c>
      <c r="H6" t="s">
        <v>131</v>
      </c>
      <c r="I6" t="s">
        <v>131</v>
      </c>
      <c r="J6" t="s">
        <v>131</v>
      </c>
      <c r="K6" t="s">
        <v>131</v>
      </c>
      <c r="L6">
        <v>0.12</v>
      </c>
      <c r="M6">
        <v>0.12</v>
      </c>
    </row>
    <row r="7" spans="1:14" ht="12.75">
      <c r="A7" t="s">
        <v>77</v>
      </c>
      <c r="B7" t="s">
        <v>78</v>
      </c>
      <c r="C7" t="s">
        <v>213</v>
      </c>
      <c r="D7" t="s">
        <v>131</v>
      </c>
      <c r="E7" t="s">
        <v>132</v>
      </c>
      <c r="F7" t="s">
        <v>131</v>
      </c>
      <c r="G7" t="s">
        <v>302</v>
      </c>
      <c r="H7" t="s">
        <v>131</v>
      </c>
      <c r="I7" t="s">
        <v>131</v>
      </c>
      <c r="J7" t="s">
        <v>131</v>
      </c>
      <c r="K7" t="s">
        <v>131</v>
      </c>
      <c r="L7">
        <v>0.060645497051149098</v>
      </c>
      <c r="M7">
        <v>0.060645497051149098</v>
      </c>
    </row>
    <row r="8" spans="1:14" ht="12.75">
      <c r="A8" t="s">
        <v>77</v>
      </c>
      <c r="B8" t="s">
        <v>78</v>
      </c>
      <c r="C8" t="s">
        <v>149</v>
      </c>
      <c r="D8" t="s">
        <v>131</v>
      </c>
      <c r="E8" t="s">
        <v>132</v>
      </c>
      <c r="F8" t="s">
        <v>131</v>
      </c>
      <c r="G8" t="s">
        <v>302</v>
      </c>
      <c r="H8" t="s">
        <v>131</v>
      </c>
      <c r="I8" t="s">
        <v>131</v>
      </c>
      <c r="J8" t="s">
        <v>131</v>
      </c>
      <c r="K8" t="s">
        <v>131</v>
      </c>
      <c r="L8">
        <v>0.12</v>
      </c>
      <c r="M8">
        <v>0.12</v>
      </c>
    </row>
    <row r="9" spans="1:14" ht="12.75">
      <c r="A9" t="s">
        <v>77</v>
      </c>
      <c r="B9" t="s">
        <v>78</v>
      </c>
      <c r="C9" t="s">
        <v>214</v>
      </c>
      <c r="D9" t="s">
        <v>131</v>
      </c>
      <c r="E9" t="s">
        <v>132</v>
      </c>
      <c r="F9" t="s">
        <v>131</v>
      </c>
      <c r="G9" t="s">
        <v>302</v>
      </c>
      <c r="H9" t="s">
        <v>131</v>
      </c>
      <c r="I9" t="s">
        <v>131</v>
      </c>
      <c r="J9" t="s">
        <v>131</v>
      </c>
      <c r="K9" t="s">
        <v>131</v>
      </c>
      <c r="L9">
        <v>0.12</v>
      </c>
      <c r="M9">
        <v>0.12</v>
      </c>
    </row>
    <row r="10" spans="1:14" ht="12.75">
      <c r="A10" t="s">
        <v>77</v>
      </c>
      <c r="B10" t="s">
        <v>78</v>
      </c>
      <c r="C10" t="s">
        <v>215</v>
      </c>
      <c r="D10" t="s">
        <v>131</v>
      </c>
      <c r="E10" t="s">
        <v>132</v>
      </c>
      <c r="F10" t="s">
        <v>131</v>
      </c>
      <c r="G10" t="s">
        <v>302</v>
      </c>
      <c r="H10" t="s">
        <v>131</v>
      </c>
      <c r="I10" t="s">
        <v>131</v>
      </c>
      <c r="J10" t="s">
        <v>131</v>
      </c>
      <c r="K10" t="s">
        <v>131</v>
      </c>
      <c r="L10">
        <v>0.12</v>
      </c>
      <c r="M10">
        <v>0.12</v>
      </c>
    </row>
    <row r="11" spans="1:14" ht="12.75">
      <c r="A11" t="s">
        <v>77</v>
      </c>
      <c r="B11" t="s">
        <v>78</v>
      </c>
      <c r="C11" t="s">
        <v>150</v>
      </c>
      <c r="D11" t="s">
        <v>131</v>
      </c>
      <c r="E11" t="s">
        <v>132</v>
      </c>
      <c r="F11" t="s">
        <v>131</v>
      </c>
      <c r="G11" t="s">
        <v>302</v>
      </c>
      <c r="H11" t="s">
        <v>131</v>
      </c>
      <c r="I11" t="s">
        <v>131</v>
      </c>
      <c r="J11" t="s">
        <v>131</v>
      </c>
      <c r="K11" t="s">
        <v>131</v>
      </c>
      <c r="L11">
        <v>0.12</v>
      </c>
      <c r="M11">
        <v>0.12</v>
      </c>
    </row>
    <row r="12" spans="1:14" ht="12.75">
      <c r="A12" t="s">
        <v>77</v>
      </c>
      <c r="B12" t="s">
        <v>78</v>
      </c>
      <c r="C12" t="s">
        <v>151</v>
      </c>
      <c r="D12" t="s">
        <v>131</v>
      </c>
      <c r="E12" t="s">
        <v>132</v>
      </c>
      <c r="F12" t="s">
        <v>131</v>
      </c>
      <c r="G12" t="s">
        <v>302</v>
      </c>
      <c r="H12" t="s">
        <v>131</v>
      </c>
      <c r="I12" t="s">
        <v>131</v>
      </c>
      <c r="J12" t="s">
        <v>131</v>
      </c>
      <c r="K12" t="s">
        <v>131</v>
      </c>
      <c r="L12">
        <v>0.12</v>
      </c>
      <c r="M12">
        <v>0.12</v>
      </c>
    </row>
    <row r="13" spans="1:14" ht="12.75">
      <c r="A13" t="s">
        <v>77</v>
      </c>
      <c r="B13" t="s">
        <v>78</v>
      </c>
      <c r="C13" t="s">
        <v>216</v>
      </c>
      <c r="D13" t="s">
        <v>131</v>
      </c>
      <c r="E13" t="s">
        <v>132</v>
      </c>
      <c r="F13" t="s">
        <v>131</v>
      </c>
      <c r="G13" t="s">
        <v>302</v>
      </c>
      <c r="H13" t="s">
        <v>131</v>
      </c>
      <c r="I13" t="s">
        <v>131</v>
      </c>
      <c r="J13" t="s">
        <v>131</v>
      </c>
      <c r="K13" t="s">
        <v>131</v>
      </c>
      <c r="L13">
        <v>0.13976565562716001</v>
      </c>
      <c r="M13">
        <v>0.13976565562716001</v>
      </c>
    </row>
    <row r="14" spans="1:14" ht="12.75">
      <c r="A14" t="s">
        <v>77</v>
      </c>
      <c r="B14" t="s">
        <v>78</v>
      </c>
      <c r="C14" t="s">
        <v>217</v>
      </c>
      <c r="D14" t="s">
        <v>131</v>
      </c>
      <c r="E14" t="s">
        <v>132</v>
      </c>
      <c r="F14" t="s">
        <v>131</v>
      </c>
      <c r="G14" t="s">
        <v>302</v>
      </c>
      <c r="H14" t="s">
        <v>131</v>
      </c>
      <c r="I14" t="s">
        <v>131</v>
      </c>
      <c r="J14" t="s">
        <v>131</v>
      </c>
      <c r="K14" t="s">
        <v>131</v>
      </c>
      <c r="L14">
        <v>0.12</v>
      </c>
      <c r="M14">
        <v>0.12</v>
      </c>
    </row>
    <row r="15" spans="1:14" ht="12.75">
      <c r="A15" t="s">
        <v>77</v>
      </c>
      <c r="B15" t="s">
        <v>78</v>
      </c>
      <c r="C15" t="s">
        <v>218</v>
      </c>
      <c r="D15" t="s">
        <v>131</v>
      </c>
      <c r="E15" t="s">
        <v>132</v>
      </c>
      <c r="F15" t="s">
        <v>131</v>
      </c>
      <c r="G15" t="s">
        <v>302</v>
      </c>
      <c r="H15" t="s">
        <v>131</v>
      </c>
      <c r="I15" t="s">
        <v>131</v>
      </c>
      <c r="J15" t="s">
        <v>131</v>
      </c>
      <c r="K15" t="s">
        <v>131</v>
      </c>
      <c r="L15">
        <v>0.12</v>
      </c>
      <c r="M15">
        <v>0.12</v>
      </c>
    </row>
    <row r="16" spans="1:14" ht="12.75">
      <c r="A16" t="s">
        <v>77</v>
      </c>
      <c r="B16" t="s">
        <v>78</v>
      </c>
      <c r="C16" t="s">
        <v>152</v>
      </c>
      <c r="D16" t="s">
        <v>131</v>
      </c>
      <c r="E16" t="s">
        <v>132</v>
      </c>
      <c r="F16" t="s">
        <v>131</v>
      </c>
      <c r="G16" t="s">
        <v>302</v>
      </c>
      <c r="H16" t="s">
        <v>131</v>
      </c>
      <c r="I16" t="s">
        <v>131</v>
      </c>
      <c r="J16" t="s">
        <v>131</v>
      </c>
      <c r="K16" t="s">
        <v>131</v>
      </c>
      <c r="L16">
        <v>0.10081773520747001</v>
      </c>
      <c r="M16">
        <v>0.10081773520747001</v>
      </c>
    </row>
    <row r="17" spans="1:14" ht="12.75">
      <c r="A17" t="s">
        <v>77</v>
      </c>
      <c r="B17" t="s">
        <v>78</v>
      </c>
      <c r="C17" t="s">
        <v>153</v>
      </c>
      <c r="D17" t="s">
        <v>131</v>
      </c>
      <c r="E17" t="s">
        <v>132</v>
      </c>
      <c r="F17" t="s">
        <v>131</v>
      </c>
      <c r="G17" t="s">
        <v>302</v>
      </c>
      <c r="H17" t="s">
        <v>131</v>
      </c>
      <c r="I17" t="s">
        <v>131</v>
      </c>
      <c r="J17" t="s">
        <v>131</v>
      </c>
      <c r="K17" t="s">
        <v>131</v>
      </c>
      <c r="L17">
        <v>0.062077936363827101</v>
      </c>
      <c r="M17">
        <v>0.062077936363827101</v>
      </c>
    </row>
    <row r="18" spans="1:14" ht="12.75">
      <c r="A18" t="s">
        <v>77</v>
      </c>
      <c r="B18" t="s">
        <v>78</v>
      </c>
      <c r="C18" t="s">
        <v>154</v>
      </c>
      <c r="D18" t="s">
        <v>131</v>
      </c>
      <c r="E18" t="s">
        <v>132</v>
      </c>
      <c r="F18" t="s">
        <v>131</v>
      </c>
      <c r="G18" t="s">
        <v>302</v>
      </c>
      <c r="H18" t="s">
        <v>131</v>
      </c>
      <c r="I18" t="s">
        <v>131</v>
      </c>
      <c r="J18" t="s">
        <v>131</v>
      </c>
      <c r="K18" t="s">
        <v>131</v>
      </c>
      <c r="L18">
        <v>0.66299984214582297</v>
      </c>
      <c r="M18">
        <v>0.66299984214582297</v>
      </c>
    </row>
    <row r="19" spans="1:14" ht="12.75">
      <c r="A19" t="s">
        <v>77</v>
      </c>
      <c r="B19" t="s">
        <v>78</v>
      </c>
      <c r="C19" t="s">
        <v>219</v>
      </c>
      <c r="D19" t="s">
        <v>131</v>
      </c>
      <c r="E19" t="s">
        <v>132</v>
      </c>
      <c r="F19" t="s">
        <v>131</v>
      </c>
      <c r="G19" t="s">
        <v>302</v>
      </c>
      <c r="H19" t="s">
        <v>131</v>
      </c>
      <c r="I19" t="s">
        <v>131</v>
      </c>
      <c r="J19" t="s">
        <v>131</v>
      </c>
      <c r="K19" t="s">
        <v>131</v>
      </c>
      <c r="L19">
        <v>0.12</v>
      </c>
      <c r="M19">
        <v>0.12</v>
      </c>
    </row>
    <row r="20" spans="1:14" ht="12.75">
      <c r="A20" t="s">
        <v>77</v>
      </c>
      <c r="B20" t="s">
        <v>78</v>
      </c>
      <c r="C20" t="s">
        <v>220</v>
      </c>
      <c r="D20" t="s">
        <v>131</v>
      </c>
      <c r="E20" t="s">
        <v>132</v>
      </c>
      <c r="F20" t="s">
        <v>131</v>
      </c>
      <c r="G20" t="s">
        <v>302</v>
      </c>
      <c r="H20" t="s">
        <v>131</v>
      </c>
      <c r="I20" t="s">
        <v>131</v>
      </c>
      <c r="J20" t="s">
        <v>131</v>
      </c>
      <c r="K20" t="s">
        <v>131</v>
      </c>
      <c r="L20">
        <v>0.049806776874505597</v>
      </c>
      <c r="M20">
        <v>0.049806776874505597</v>
      </c>
    </row>
    <row r="21" spans="1:14" ht="12.75">
      <c r="A21" t="s">
        <v>77</v>
      </c>
      <c r="B21" t="s">
        <v>78</v>
      </c>
      <c r="C21" t="s">
        <v>155</v>
      </c>
      <c r="D21" t="s">
        <v>131</v>
      </c>
      <c r="E21" t="s">
        <v>132</v>
      </c>
      <c r="F21" t="s">
        <v>131</v>
      </c>
      <c r="G21" t="s">
        <v>302</v>
      </c>
      <c r="H21" t="s">
        <v>131</v>
      </c>
      <c r="I21" t="s">
        <v>131</v>
      </c>
      <c r="J21" t="s">
        <v>131</v>
      </c>
      <c r="K21" t="s">
        <v>131</v>
      </c>
      <c r="L21">
        <v>0.12</v>
      </c>
      <c r="M21">
        <v>0.12</v>
      </c>
    </row>
    <row r="22" spans="1:14" ht="12.75">
      <c r="A22" t="s">
        <v>77</v>
      </c>
      <c r="B22" t="s">
        <v>78</v>
      </c>
      <c r="C22" t="s">
        <v>221</v>
      </c>
      <c r="D22" t="s">
        <v>131</v>
      </c>
      <c r="E22" t="s">
        <v>132</v>
      </c>
      <c r="F22" t="s">
        <v>131</v>
      </c>
      <c r="G22" t="s">
        <v>302</v>
      </c>
      <c r="H22" t="s">
        <v>131</v>
      </c>
      <c r="I22" t="s">
        <v>131</v>
      </c>
      <c r="J22" t="s">
        <v>131</v>
      </c>
      <c r="K22" t="s">
        <v>131</v>
      </c>
      <c r="L22">
        <v>0.069903120588175702</v>
      </c>
      <c r="M22">
        <v>0.069903120588175702</v>
      </c>
    </row>
    <row r="23" spans="1:14" ht="12.75">
      <c r="A23" t="s">
        <v>77</v>
      </c>
      <c r="B23" t="s">
        <v>78</v>
      </c>
      <c r="C23" t="s">
        <v>222</v>
      </c>
      <c r="D23" t="s">
        <v>131</v>
      </c>
      <c r="E23" t="s">
        <v>132</v>
      </c>
      <c r="F23" t="s">
        <v>131</v>
      </c>
      <c r="G23" t="s">
        <v>302</v>
      </c>
      <c r="H23" t="s">
        <v>131</v>
      </c>
      <c r="I23" t="s">
        <v>131</v>
      </c>
      <c r="J23" t="s">
        <v>131</v>
      </c>
      <c r="K23" t="s">
        <v>131</v>
      </c>
      <c r="L23">
        <v>0.12</v>
      </c>
      <c r="M23">
        <v>0.12</v>
      </c>
    </row>
    <row r="24" spans="1:14" ht="12.75">
      <c r="A24" t="s">
        <v>77</v>
      </c>
      <c r="B24" t="s">
        <v>78</v>
      </c>
      <c r="C24" t="s">
        <v>156</v>
      </c>
      <c r="D24" t="s">
        <v>131</v>
      </c>
      <c r="E24" t="s">
        <v>132</v>
      </c>
      <c r="F24" t="s">
        <v>131</v>
      </c>
      <c r="G24" t="s">
        <v>302</v>
      </c>
      <c r="H24" t="s">
        <v>131</v>
      </c>
      <c r="I24" t="s">
        <v>131</v>
      </c>
      <c r="J24" t="s">
        <v>131</v>
      </c>
      <c r="K24" t="s">
        <v>131</v>
      </c>
      <c r="L24">
        <v>0.12</v>
      </c>
      <c r="M24">
        <v>0.12</v>
      </c>
    </row>
    <row r="25" spans="1:14" ht="12.75">
      <c r="A25" t="s">
        <v>77</v>
      </c>
      <c r="B25" t="s">
        <v>78</v>
      </c>
      <c r="C25" t="s">
        <v>157</v>
      </c>
      <c r="D25" t="s">
        <v>131</v>
      </c>
      <c r="E25" t="s">
        <v>132</v>
      </c>
      <c r="F25" t="s">
        <v>131</v>
      </c>
      <c r="G25" t="s">
        <v>302</v>
      </c>
      <c r="H25" t="s">
        <v>131</v>
      </c>
      <c r="I25" t="s">
        <v>131</v>
      </c>
      <c r="J25" t="s">
        <v>131</v>
      </c>
      <c r="K25" t="s">
        <v>131</v>
      </c>
      <c r="L25">
        <v>0.057147241043066198</v>
      </c>
      <c r="M25">
        <v>0.057147241043066198</v>
      </c>
    </row>
    <row r="26" spans="1:14" ht="12.75">
      <c r="A26" t="s">
        <v>77</v>
      </c>
      <c r="B26" t="s">
        <v>78</v>
      </c>
      <c r="C26" t="s">
        <v>223</v>
      </c>
      <c r="D26" t="s">
        <v>131</v>
      </c>
      <c r="E26" t="s">
        <v>132</v>
      </c>
      <c r="F26" t="s">
        <v>131</v>
      </c>
      <c r="G26" t="s">
        <v>302</v>
      </c>
      <c r="H26" t="s">
        <v>131</v>
      </c>
      <c r="I26" t="s">
        <v>131</v>
      </c>
      <c r="J26" t="s">
        <v>131</v>
      </c>
      <c r="K26" t="s">
        <v>131</v>
      </c>
      <c r="L26">
        <v>0.21413130493478699</v>
      </c>
      <c r="M26">
        <v>0.21413130493478699</v>
      </c>
    </row>
    <row r="27" spans="1:14" ht="12.75">
      <c r="A27" t="s">
        <v>77</v>
      </c>
      <c r="B27" t="s">
        <v>78</v>
      </c>
      <c r="C27" t="s">
        <v>224</v>
      </c>
      <c r="D27" t="s">
        <v>131</v>
      </c>
      <c r="E27" t="s">
        <v>132</v>
      </c>
      <c r="F27" t="s">
        <v>131</v>
      </c>
      <c r="G27" t="s">
        <v>302</v>
      </c>
      <c r="H27" t="s">
        <v>131</v>
      </c>
      <c r="I27" t="s">
        <v>131</v>
      </c>
      <c r="J27" t="s">
        <v>131</v>
      </c>
      <c r="K27" t="s">
        <v>131</v>
      </c>
      <c r="L27">
        <v>0.12</v>
      </c>
      <c r="M27">
        <v>0.12</v>
      </c>
    </row>
    <row r="28" spans="1:14" ht="12.75">
      <c r="A28" t="s">
        <v>77</v>
      </c>
      <c r="B28" t="s">
        <v>78</v>
      </c>
      <c r="C28" t="s">
        <v>225</v>
      </c>
      <c r="D28" t="s">
        <v>131</v>
      </c>
      <c r="E28" t="s">
        <v>132</v>
      </c>
      <c r="F28" t="s">
        <v>131</v>
      </c>
      <c r="G28" t="s">
        <v>302</v>
      </c>
      <c r="H28" t="s">
        <v>131</v>
      </c>
      <c r="I28" t="s">
        <v>131</v>
      </c>
      <c r="J28" t="s">
        <v>131</v>
      </c>
      <c r="K28" t="s">
        <v>131</v>
      </c>
      <c r="L28">
        <v>0.12</v>
      </c>
      <c r="M28">
        <v>0.12</v>
      </c>
    </row>
    <row r="29" spans="1:14" ht="12.75">
      <c r="A29" t="s">
        <v>77</v>
      </c>
      <c r="B29" t="s">
        <v>78</v>
      </c>
      <c r="C29" t="s">
        <v>158</v>
      </c>
      <c r="D29" t="s">
        <v>131</v>
      </c>
      <c r="E29" t="s">
        <v>132</v>
      </c>
      <c r="F29" t="s">
        <v>131</v>
      </c>
      <c r="G29" t="s">
        <v>302</v>
      </c>
      <c r="H29" t="s">
        <v>131</v>
      </c>
      <c r="I29" t="s">
        <v>131</v>
      </c>
      <c r="J29" t="s">
        <v>131</v>
      </c>
      <c r="K29" t="s">
        <v>131</v>
      </c>
      <c r="L29">
        <v>0.12</v>
      </c>
      <c r="M29">
        <v>0.12</v>
      </c>
    </row>
    <row r="30" spans="1:14" ht="12.75">
      <c r="A30" t="s">
        <v>77</v>
      </c>
      <c r="B30" t="s">
        <v>78</v>
      </c>
      <c r="C30" t="s">
        <v>159</v>
      </c>
      <c r="D30" t="s">
        <v>131</v>
      </c>
      <c r="E30" t="s">
        <v>132</v>
      </c>
      <c r="F30" t="s">
        <v>131</v>
      </c>
      <c r="G30" t="s">
        <v>302</v>
      </c>
      <c r="H30" t="s">
        <v>131</v>
      </c>
      <c r="I30" t="s">
        <v>131</v>
      </c>
      <c r="J30" t="s">
        <v>131</v>
      </c>
      <c r="K30" t="s">
        <v>131</v>
      </c>
      <c r="L30">
        <v>0.12</v>
      </c>
      <c r="M30">
        <v>0.12</v>
      </c>
    </row>
    <row r="31" spans="1:14" ht="12.75">
      <c r="A31" t="s">
        <v>77</v>
      </c>
      <c r="B31" t="s">
        <v>78</v>
      </c>
      <c r="C31" t="s">
        <v>160</v>
      </c>
      <c r="D31" t="s">
        <v>131</v>
      </c>
      <c r="E31" t="s">
        <v>132</v>
      </c>
      <c r="F31" t="s">
        <v>131</v>
      </c>
      <c r="G31" t="s">
        <v>302</v>
      </c>
      <c r="H31" t="s">
        <v>131</v>
      </c>
      <c r="I31" t="s">
        <v>131</v>
      </c>
      <c r="J31" t="s">
        <v>131</v>
      </c>
      <c r="K31" t="s">
        <v>131</v>
      </c>
      <c r="L31">
        <v>0.12</v>
      </c>
      <c r="M31">
        <v>0.12</v>
      </c>
    </row>
    <row r="32" spans="1:14" ht="12.75">
      <c r="A32" t="s">
        <v>77</v>
      </c>
      <c r="B32" t="s">
        <v>78</v>
      </c>
      <c r="C32" t="s">
        <v>226</v>
      </c>
      <c r="D32" t="s">
        <v>131</v>
      </c>
      <c r="E32" t="s">
        <v>132</v>
      </c>
      <c r="F32" t="s">
        <v>131</v>
      </c>
      <c r="G32" t="s">
        <v>302</v>
      </c>
      <c r="H32" t="s">
        <v>131</v>
      </c>
      <c r="I32" t="s">
        <v>131</v>
      </c>
      <c r="J32" t="s">
        <v>131</v>
      </c>
      <c r="K32" t="s">
        <v>131</v>
      </c>
      <c r="L32">
        <v>0.12</v>
      </c>
      <c r="M32">
        <v>0.12</v>
      </c>
    </row>
    <row r="33" spans="1:14" ht="12.75">
      <c r="A33" t="s">
        <v>77</v>
      </c>
      <c r="B33" t="s">
        <v>78</v>
      </c>
      <c r="C33" t="s">
        <v>227</v>
      </c>
      <c r="D33" t="s">
        <v>131</v>
      </c>
      <c r="E33" t="s">
        <v>132</v>
      </c>
      <c r="F33" t="s">
        <v>131</v>
      </c>
      <c r="G33" t="s">
        <v>302</v>
      </c>
      <c r="H33" t="s">
        <v>131</v>
      </c>
      <c r="I33" t="s">
        <v>131</v>
      </c>
      <c r="J33" t="s">
        <v>131</v>
      </c>
      <c r="K33" t="s">
        <v>131</v>
      </c>
      <c r="L33">
        <v>0.042554933846820402</v>
      </c>
      <c r="M33">
        <v>0.042554933846820402</v>
      </c>
    </row>
    <row r="34" spans="1:14" ht="12.75">
      <c r="A34" t="s">
        <v>77</v>
      </c>
      <c r="B34" t="s">
        <v>78</v>
      </c>
      <c r="C34" t="s">
        <v>161</v>
      </c>
      <c r="D34" t="s">
        <v>131</v>
      </c>
      <c r="E34" t="s">
        <v>132</v>
      </c>
      <c r="F34" t="s">
        <v>131</v>
      </c>
      <c r="G34" t="s">
        <v>302</v>
      </c>
      <c r="H34" t="s">
        <v>131</v>
      </c>
      <c r="I34" t="s">
        <v>131</v>
      </c>
      <c r="J34" t="s">
        <v>131</v>
      </c>
      <c r="K34" t="s">
        <v>131</v>
      </c>
      <c r="L34">
        <v>0.12</v>
      </c>
      <c r="M34">
        <v>0.12</v>
      </c>
    </row>
    <row r="35" spans="1:14" ht="12.75">
      <c r="A35" t="s">
        <v>77</v>
      </c>
      <c r="B35" t="s">
        <v>78</v>
      </c>
      <c r="C35" t="s">
        <v>228</v>
      </c>
      <c r="D35" t="s">
        <v>131</v>
      </c>
      <c r="E35" t="s">
        <v>132</v>
      </c>
      <c r="F35" t="s">
        <v>131</v>
      </c>
      <c r="G35" t="s">
        <v>302</v>
      </c>
      <c r="H35" t="s">
        <v>131</v>
      </c>
      <c r="I35" t="s">
        <v>131</v>
      </c>
      <c r="J35" t="s">
        <v>131</v>
      </c>
      <c r="K35" t="s">
        <v>131</v>
      </c>
      <c r="L35">
        <v>0.0537114750791833</v>
      </c>
      <c r="M35">
        <v>0.0537114750791833</v>
      </c>
    </row>
    <row r="36" spans="1:14" ht="12.75">
      <c r="A36" t="s">
        <v>77</v>
      </c>
      <c r="B36" t="s">
        <v>78</v>
      </c>
      <c r="C36" t="s">
        <v>229</v>
      </c>
      <c r="D36" t="s">
        <v>131</v>
      </c>
      <c r="E36" t="s">
        <v>132</v>
      </c>
      <c r="F36" t="s">
        <v>131</v>
      </c>
      <c r="G36" t="s">
        <v>302</v>
      </c>
      <c r="H36" t="s">
        <v>131</v>
      </c>
      <c r="I36" t="s">
        <v>131</v>
      </c>
      <c r="J36" t="s">
        <v>131</v>
      </c>
      <c r="K36" t="s">
        <v>131</v>
      </c>
      <c r="L36">
        <v>0.12</v>
      </c>
      <c r="M36">
        <v>0.12</v>
      </c>
    </row>
    <row r="37" spans="1:14" ht="12.75">
      <c r="A37" t="s">
        <v>77</v>
      </c>
      <c r="B37" t="s">
        <v>78</v>
      </c>
      <c r="C37" t="s">
        <v>162</v>
      </c>
      <c r="D37" t="s">
        <v>131</v>
      </c>
      <c r="E37" t="s">
        <v>132</v>
      </c>
      <c r="F37" t="s">
        <v>131</v>
      </c>
      <c r="G37" t="s">
        <v>302</v>
      </c>
      <c r="H37" t="s">
        <v>131</v>
      </c>
      <c r="I37" t="s">
        <v>131</v>
      </c>
      <c r="J37" t="s">
        <v>131</v>
      </c>
      <c r="K37" t="s">
        <v>131</v>
      </c>
      <c r="L37">
        <v>0.12</v>
      </c>
      <c r="M37">
        <v>0.12</v>
      </c>
    </row>
    <row r="38" spans="1:14" ht="12.75">
      <c r="A38" t="s">
        <v>77</v>
      </c>
      <c r="B38" t="s">
        <v>78</v>
      </c>
      <c r="C38" t="s">
        <v>163</v>
      </c>
      <c r="D38" t="s">
        <v>131</v>
      </c>
      <c r="E38" t="s">
        <v>132</v>
      </c>
      <c r="F38" t="s">
        <v>131</v>
      </c>
      <c r="G38" t="s">
        <v>302</v>
      </c>
      <c r="H38" t="s">
        <v>131</v>
      </c>
      <c r="I38" t="s">
        <v>131</v>
      </c>
      <c r="J38" t="s">
        <v>131</v>
      </c>
      <c r="K38" t="s">
        <v>131</v>
      </c>
      <c r="L38">
        <v>0.043752307505030202</v>
      </c>
      <c r="M38">
        <v>0.043752307505030202</v>
      </c>
    </row>
    <row r="39" spans="1:14" ht="12.75">
      <c r="A39" t="s">
        <v>77</v>
      </c>
      <c r="B39" t="s">
        <v>78</v>
      </c>
      <c r="C39" t="s">
        <v>268</v>
      </c>
      <c r="D39" t="s">
        <v>131</v>
      </c>
      <c r="E39" t="s">
        <v>132</v>
      </c>
      <c r="F39" t="s">
        <v>131</v>
      </c>
      <c r="G39" t="s">
        <v>302</v>
      </c>
      <c r="H39" t="s">
        <v>131</v>
      </c>
      <c r="I39" t="s">
        <v>131</v>
      </c>
      <c r="J39" t="s">
        <v>131</v>
      </c>
      <c r="K39" t="s">
        <v>131</v>
      </c>
      <c r="L39">
        <v>0.14341496381045399</v>
      </c>
      <c r="M39">
        <v>0.14341496381045399</v>
      </c>
    </row>
    <row r="40" spans="1:14" ht="12.75">
      <c r="A40" t="s">
        <v>77</v>
      </c>
      <c r="B40" t="s">
        <v>78</v>
      </c>
      <c r="C40" t="s">
        <v>230</v>
      </c>
      <c r="D40" t="s">
        <v>131</v>
      </c>
      <c r="E40" t="s">
        <v>132</v>
      </c>
      <c r="F40" t="s">
        <v>131</v>
      </c>
      <c r="G40" t="s">
        <v>302</v>
      </c>
      <c r="H40" t="s">
        <v>131</v>
      </c>
      <c r="I40" t="s">
        <v>131</v>
      </c>
      <c r="J40" t="s">
        <v>131</v>
      </c>
      <c r="K40" t="s">
        <v>131</v>
      </c>
      <c r="L40">
        <v>0.12</v>
      </c>
      <c r="M40">
        <v>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798645-A7BE-46E5-8441-577006E99D5D}">
  <sheetPr codeName="Sheet8"/>
  <dimension ref="A1:N37"/>
  <sheetViews>
    <sheetView workbookViewId="0" topLeftCell="A1"/>
  </sheetViews>
  <sheetFormatPr defaultRowHeight="12.75"/>
  <cols>
    <col min="3" max="3" width="19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199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0.12</v>
      </c>
      <c r="M2">
        <v>0.12</v>
      </c>
    </row>
    <row r="3" spans="1:14" ht="12.75">
      <c r="A3" t="s">
        <v>77</v>
      </c>
      <c r="B3" t="s">
        <v>78</v>
      </c>
      <c r="C3" t="s">
        <v>133</v>
      </c>
      <c r="D3" t="s">
        <v>131</v>
      </c>
      <c r="E3" t="s">
        <v>132</v>
      </c>
      <c r="F3" t="s">
        <v>131</v>
      </c>
      <c r="G3" t="s">
        <v>302</v>
      </c>
      <c r="H3" t="s">
        <v>131</v>
      </c>
      <c r="I3" t="s">
        <v>131</v>
      </c>
      <c r="J3" t="s">
        <v>131</v>
      </c>
      <c r="K3" t="s">
        <v>131</v>
      </c>
      <c r="L3">
        <v>0.12</v>
      </c>
      <c r="M3">
        <v>0.12</v>
      </c>
    </row>
    <row r="4" spans="1:14" ht="12.75">
      <c r="A4" t="s">
        <v>77</v>
      </c>
      <c r="B4" t="s">
        <v>78</v>
      </c>
      <c r="C4" t="s">
        <v>134</v>
      </c>
      <c r="D4" t="s">
        <v>131</v>
      </c>
      <c r="E4" t="s">
        <v>132</v>
      </c>
      <c r="F4" t="s">
        <v>131</v>
      </c>
      <c r="G4" t="s">
        <v>302</v>
      </c>
      <c r="H4" t="s">
        <v>131</v>
      </c>
      <c r="I4" t="s">
        <v>131</v>
      </c>
      <c r="J4" t="s">
        <v>131</v>
      </c>
      <c r="K4" t="s">
        <v>131</v>
      </c>
      <c r="L4">
        <v>0.013931119040235</v>
      </c>
      <c r="M4">
        <v>0.013931119040235</v>
      </c>
    </row>
    <row r="5" spans="1:14" ht="12.75">
      <c r="A5" t="s">
        <v>77</v>
      </c>
      <c r="B5" t="s">
        <v>78</v>
      </c>
      <c r="C5" t="s">
        <v>135</v>
      </c>
      <c r="D5" t="s">
        <v>131</v>
      </c>
      <c r="E5" t="s">
        <v>132</v>
      </c>
      <c r="F5" t="s">
        <v>131</v>
      </c>
      <c r="G5" t="s">
        <v>302</v>
      </c>
      <c r="H5" t="s">
        <v>131</v>
      </c>
      <c r="I5" t="s">
        <v>131</v>
      </c>
      <c r="J5" t="s">
        <v>131</v>
      </c>
      <c r="K5" t="s">
        <v>131</v>
      </c>
      <c r="L5">
        <v>0.18130269923092601</v>
      </c>
      <c r="M5">
        <v>0.18130269923092601</v>
      </c>
    </row>
    <row r="6" spans="1:14" ht="12.75">
      <c r="A6" t="s">
        <v>77</v>
      </c>
      <c r="B6" t="s">
        <v>78</v>
      </c>
      <c r="C6" t="s">
        <v>200</v>
      </c>
      <c r="D6" t="s">
        <v>131</v>
      </c>
      <c r="E6" t="s">
        <v>132</v>
      </c>
      <c r="F6" t="s">
        <v>131</v>
      </c>
      <c r="G6" t="s">
        <v>302</v>
      </c>
      <c r="H6" t="s">
        <v>131</v>
      </c>
      <c r="I6" t="s">
        <v>131</v>
      </c>
      <c r="J6" t="s">
        <v>131</v>
      </c>
      <c r="K6" t="s">
        <v>131</v>
      </c>
      <c r="L6">
        <v>0.12</v>
      </c>
      <c r="M6">
        <v>0.12</v>
      </c>
    </row>
    <row r="7" spans="1:14" ht="12.75">
      <c r="A7" t="s">
        <v>77</v>
      </c>
      <c r="B7" t="s">
        <v>78</v>
      </c>
      <c r="C7" t="s">
        <v>201</v>
      </c>
      <c r="D7" t="s">
        <v>131</v>
      </c>
      <c r="E7" t="s">
        <v>132</v>
      </c>
      <c r="F7" t="s">
        <v>131</v>
      </c>
      <c r="G7" t="s">
        <v>302</v>
      </c>
      <c r="H7" t="s">
        <v>131</v>
      </c>
      <c r="I7" t="s">
        <v>131</v>
      </c>
      <c r="J7" t="s">
        <v>131</v>
      </c>
      <c r="K7" t="s">
        <v>131</v>
      </c>
      <c r="L7">
        <v>0.025618485673577399</v>
      </c>
      <c r="M7">
        <v>0.025618485673577399</v>
      </c>
    </row>
    <row r="8" spans="1:14" ht="12.75">
      <c r="A8" t="s">
        <v>77</v>
      </c>
      <c r="B8" t="s">
        <v>78</v>
      </c>
      <c r="C8" t="s">
        <v>136</v>
      </c>
      <c r="D8" t="s">
        <v>131</v>
      </c>
      <c r="E8" t="s">
        <v>132</v>
      </c>
      <c r="F8" t="s">
        <v>131</v>
      </c>
      <c r="G8" t="s">
        <v>302</v>
      </c>
      <c r="H8" t="s">
        <v>131</v>
      </c>
      <c r="I8" t="s">
        <v>131</v>
      </c>
      <c r="J8" t="s">
        <v>131</v>
      </c>
      <c r="K8" t="s">
        <v>131</v>
      </c>
      <c r="L8">
        <v>0.12</v>
      </c>
      <c r="M8">
        <v>0.12</v>
      </c>
    </row>
    <row r="9" spans="1:14" ht="12.75">
      <c r="A9" t="s">
        <v>77</v>
      </c>
      <c r="B9" t="s">
        <v>78</v>
      </c>
      <c r="C9" t="s">
        <v>202</v>
      </c>
      <c r="D9" t="s">
        <v>131</v>
      </c>
      <c r="E9" t="s">
        <v>132</v>
      </c>
      <c r="F9" t="s">
        <v>131</v>
      </c>
      <c r="G9" t="s">
        <v>302</v>
      </c>
      <c r="H9" t="s">
        <v>131</v>
      </c>
      <c r="I9" t="s">
        <v>131</v>
      </c>
      <c r="J9" t="s">
        <v>131</v>
      </c>
      <c r="K9" t="s">
        <v>131</v>
      </c>
      <c r="L9">
        <v>0.066604254563694898</v>
      </c>
      <c r="M9">
        <v>0.066604254563694898</v>
      </c>
    </row>
    <row r="10" spans="1:14" ht="12.75">
      <c r="A10" t="s">
        <v>77</v>
      </c>
      <c r="B10" t="s">
        <v>78</v>
      </c>
      <c r="C10" t="s">
        <v>203</v>
      </c>
      <c r="D10" t="s">
        <v>131</v>
      </c>
      <c r="E10" t="s">
        <v>132</v>
      </c>
      <c r="F10" t="s">
        <v>131</v>
      </c>
      <c r="G10" t="s">
        <v>302</v>
      </c>
      <c r="H10" t="s">
        <v>131</v>
      </c>
      <c r="I10" t="s">
        <v>131</v>
      </c>
      <c r="J10" t="s">
        <v>131</v>
      </c>
      <c r="K10" t="s">
        <v>131</v>
      </c>
      <c r="L10">
        <v>0.12</v>
      </c>
      <c r="M10">
        <v>0.12</v>
      </c>
    </row>
    <row r="11" spans="1:14" ht="12.75">
      <c r="A11" t="s">
        <v>77</v>
      </c>
      <c r="B11" t="s">
        <v>78</v>
      </c>
      <c r="C11" t="s">
        <v>137</v>
      </c>
      <c r="D11" t="s">
        <v>131</v>
      </c>
      <c r="E11" t="s">
        <v>132</v>
      </c>
      <c r="F11" t="s">
        <v>131</v>
      </c>
      <c r="G11" t="s">
        <v>302</v>
      </c>
      <c r="H11" t="s">
        <v>131</v>
      </c>
      <c r="I11" t="s">
        <v>131</v>
      </c>
      <c r="J11" t="s">
        <v>131</v>
      </c>
      <c r="K11" t="s">
        <v>131</v>
      </c>
      <c r="L11">
        <v>0.161743747694956</v>
      </c>
      <c r="M11">
        <v>0.161743747694956</v>
      </c>
    </row>
    <row r="12" spans="1:14" ht="12.75">
      <c r="A12" t="s">
        <v>77</v>
      </c>
      <c r="B12" t="s">
        <v>78</v>
      </c>
      <c r="C12" t="s">
        <v>138</v>
      </c>
      <c r="D12" t="s">
        <v>131</v>
      </c>
      <c r="E12" t="s">
        <v>132</v>
      </c>
      <c r="F12" t="s">
        <v>131</v>
      </c>
      <c r="G12" t="s">
        <v>302</v>
      </c>
      <c r="H12" t="s">
        <v>131</v>
      </c>
      <c r="I12" t="s">
        <v>131</v>
      </c>
      <c r="J12" t="s">
        <v>131</v>
      </c>
      <c r="K12" t="s">
        <v>131</v>
      </c>
      <c r="L12">
        <v>0.12</v>
      </c>
      <c r="M12">
        <v>0.12</v>
      </c>
    </row>
    <row r="13" spans="1:14" ht="12.75">
      <c r="A13" t="s">
        <v>77</v>
      </c>
      <c r="B13" t="s">
        <v>78</v>
      </c>
      <c r="C13" t="s">
        <v>204</v>
      </c>
      <c r="D13" t="s">
        <v>131</v>
      </c>
      <c r="E13" t="s">
        <v>132</v>
      </c>
      <c r="F13" t="s">
        <v>131</v>
      </c>
      <c r="G13" t="s">
        <v>302</v>
      </c>
      <c r="H13" t="s">
        <v>131</v>
      </c>
      <c r="I13" t="s">
        <v>131</v>
      </c>
      <c r="J13" t="s">
        <v>131</v>
      </c>
      <c r="K13" t="s">
        <v>131</v>
      </c>
      <c r="L13">
        <v>0.12</v>
      </c>
      <c r="M13">
        <v>0.12</v>
      </c>
    </row>
    <row r="14" spans="1:14" ht="12.75">
      <c r="A14" t="s">
        <v>77</v>
      </c>
      <c r="B14" t="s">
        <v>78</v>
      </c>
      <c r="C14" t="s">
        <v>205</v>
      </c>
      <c r="D14" t="s">
        <v>131</v>
      </c>
      <c r="E14" t="s">
        <v>132</v>
      </c>
      <c r="F14" t="s">
        <v>131</v>
      </c>
      <c r="G14" t="s">
        <v>302</v>
      </c>
      <c r="H14" t="s">
        <v>131</v>
      </c>
      <c r="I14" t="s">
        <v>131</v>
      </c>
      <c r="J14" t="s">
        <v>131</v>
      </c>
      <c r="K14" t="s">
        <v>131</v>
      </c>
      <c r="L14">
        <v>0.12</v>
      </c>
      <c r="M14">
        <v>0.12</v>
      </c>
    </row>
    <row r="15" spans="1:14" ht="12.75">
      <c r="A15" t="s">
        <v>77</v>
      </c>
      <c r="B15" t="s">
        <v>78</v>
      </c>
      <c r="C15" t="s">
        <v>139</v>
      </c>
      <c r="D15" t="s">
        <v>131</v>
      </c>
      <c r="E15" t="s">
        <v>132</v>
      </c>
      <c r="F15" t="s">
        <v>131</v>
      </c>
      <c r="G15" t="s">
        <v>302</v>
      </c>
      <c r="H15" t="s">
        <v>131</v>
      </c>
      <c r="I15" t="s">
        <v>131</v>
      </c>
      <c r="J15" t="s">
        <v>131</v>
      </c>
      <c r="K15" t="s">
        <v>131</v>
      </c>
      <c r="L15">
        <v>0.30984484845142601</v>
      </c>
      <c r="M15">
        <v>0.30984484845142601</v>
      </c>
    </row>
    <row r="16" spans="1:14" ht="12.75">
      <c r="A16" t="s">
        <v>77</v>
      </c>
      <c r="B16" t="s">
        <v>78</v>
      </c>
      <c r="C16" t="s">
        <v>140</v>
      </c>
      <c r="D16" t="s">
        <v>131</v>
      </c>
      <c r="E16" t="s">
        <v>132</v>
      </c>
      <c r="F16" t="s">
        <v>131</v>
      </c>
      <c r="G16" t="s">
        <v>302</v>
      </c>
      <c r="H16" t="s">
        <v>131</v>
      </c>
      <c r="I16" t="s">
        <v>131</v>
      </c>
      <c r="J16" t="s">
        <v>131</v>
      </c>
      <c r="K16" t="s">
        <v>131</v>
      </c>
      <c r="L16">
        <v>0.035156391297092499</v>
      </c>
      <c r="M16">
        <v>0.035156391297092499</v>
      </c>
    </row>
    <row r="17" spans="1:14" ht="12.75">
      <c r="A17" t="s">
        <v>77</v>
      </c>
      <c r="B17" t="s">
        <v>78</v>
      </c>
      <c r="C17" t="s">
        <v>141</v>
      </c>
      <c r="D17" t="s">
        <v>131</v>
      </c>
      <c r="E17" t="s">
        <v>132</v>
      </c>
      <c r="F17" t="s">
        <v>131</v>
      </c>
      <c r="G17" t="s">
        <v>302</v>
      </c>
      <c r="H17" t="s">
        <v>131</v>
      </c>
      <c r="I17" t="s">
        <v>131</v>
      </c>
      <c r="J17" t="s">
        <v>131</v>
      </c>
      <c r="K17" t="s">
        <v>131</v>
      </c>
      <c r="L17">
        <v>0.11404303534564</v>
      </c>
      <c r="M17">
        <v>0.11404303534564</v>
      </c>
    </row>
    <row r="18" spans="1:14" ht="12.75">
      <c r="A18" t="s">
        <v>77</v>
      </c>
      <c r="B18" t="s">
        <v>78</v>
      </c>
      <c r="C18" t="s">
        <v>206</v>
      </c>
      <c r="D18" t="s">
        <v>131</v>
      </c>
      <c r="E18" t="s">
        <v>132</v>
      </c>
      <c r="F18" t="s">
        <v>131</v>
      </c>
      <c r="G18" t="s">
        <v>302</v>
      </c>
      <c r="H18" t="s">
        <v>131</v>
      </c>
      <c r="I18" t="s">
        <v>131</v>
      </c>
      <c r="J18" t="s">
        <v>131</v>
      </c>
      <c r="K18" t="s">
        <v>131</v>
      </c>
      <c r="L18">
        <v>0.12</v>
      </c>
      <c r="M18">
        <v>0.12</v>
      </c>
    </row>
    <row r="19" spans="1:14" ht="12.75">
      <c r="A19" t="s">
        <v>77</v>
      </c>
      <c r="B19" t="s">
        <v>78</v>
      </c>
      <c r="C19" t="s">
        <v>256</v>
      </c>
      <c r="D19" t="s">
        <v>131</v>
      </c>
      <c r="E19" t="s">
        <v>132</v>
      </c>
      <c r="F19" t="s">
        <v>131</v>
      </c>
      <c r="G19" t="s">
        <v>302</v>
      </c>
      <c r="H19" t="s">
        <v>131</v>
      </c>
      <c r="I19" t="s">
        <v>131</v>
      </c>
      <c r="J19" t="s">
        <v>131</v>
      </c>
      <c r="K19" t="s">
        <v>131</v>
      </c>
      <c r="L19">
        <v>0.035964557684536103</v>
      </c>
      <c r="M19">
        <v>0.035964557684536103</v>
      </c>
    </row>
    <row r="20" spans="1:14" ht="12.75">
      <c r="A20" t="s">
        <v>77</v>
      </c>
      <c r="B20" t="s">
        <v>78</v>
      </c>
      <c r="C20" t="s">
        <v>257</v>
      </c>
      <c r="D20" t="s">
        <v>131</v>
      </c>
      <c r="E20" t="s">
        <v>132</v>
      </c>
      <c r="F20" t="s">
        <v>131</v>
      </c>
      <c r="G20" t="s">
        <v>302</v>
      </c>
      <c r="H20" t="s">
        <v>131</v>
      </c>
      <c r="I20" t="s">
        <v>131</v>
      </c>
      <c r="J20" t="s">
        <v>131</v>
      </c>
      <c r="K20" t="s">
        <v>131</v>
      </c>
      <c r="L20">
        <v>0.12</v>
      </c>
      <c r="M20">
        <v>0.12</v>
      </c>
    </row>
    <row r="21" spans="1:14" ht="12.75">
      <c r="A21" t="s">
        <v>77</v>
      </c>
      <c r="B21" t="s">
        <v>78</v>
      </c>
      <c r="C21" t="s">
        <v>258</v>
      </c>
      <c r="D21" t="s">
        <v>131</v>
      </c>
      <c r="E21" t="s">
        <v>132</v>
      </c>
      <c r="F21" t="s">
        <v>131</v>
      </c>
      <c r="G21" t="s">
        <v>302</v>
      </c>
      <c r="H21" t="s">
        <v>131</v>
      </c>
      <c r="I21" t="s">
        <v>131</v>
      </c>
      <c r="J21" t="s">
        <v>131</v>
      </c>
      <c r="K21" t="s">
        <v>131</v>
      </c>
      <c r="L21">
        <v>0.047079298490866298</v>
      </c>
      <c r="M21">
        <v>0.047079298490866298</v>
      </c>
    </row>
    <row r="22" spans="1:14" ht="12.75">
      <c r="A22" t="s">
        <v>77</v>
      </c>
      <c r="B22" t="s">
        <v>78</v>
      </c>
      <c r="C22" t="s">
        <v>207</v>
      </c>
      <c r="D22" t="s">
        <v>131</v>
      </c>
      <c r="E22" t="s">
        <v>132</v>
      </c>
      <c r="F22" t="s">
        <v>131</v>
      </c>
      <c r="G22" t="s">
        <v>302</v>
      </c>
      <c r="H22" t="s">
        <v>131</v>
      </c>
      <c r="I22" t="s">
        <v>131</v>
      </c>
      <c r="J22" t="s">
        <v>131</v>
      </c>
      <c r="K22" t="s">
        <v>131</v>
      </c>
      <c r="L22">
        <v>0.048109166237074001</v>
      </c>
      <c r="M22">
        <v>0.048109166237074001</v>
      </c>
    </row>
    <row r="23" spans="1:14" ht="12.75">
      <c r="A23" t="s">
        <v>77</v>
      </c>
      <c r="B23" t="s">
        <v>78</v>
      </c>
      <c r="C23" t="s">
        <v>259</v>
      </c>
      <c r="D23" t="s">
        <v>131</v>
      </c>
      <c r="E23" t="s">
        <v>132</v>
      </c>
      <c r="F23" t="s">
        <v>131</v>
      </c>
      <c r="G23" t="s">
        <v>302</v>
      </c>
      <c r="H23" t="s">
        <v>131</v>
      </c>
      <c r="I23" t="s">
        <v>131</v>
      </c>
      <c r="J23" t="s">
        <v>131</v>
      </c>
      <c r="K23" t="s">
        <v>131</v>
      </c>
      <c r="L23">
        <v>0.0727790788417393</v>
      </c>
      <c r="M23">
        <v>0.0727790788417393</v>
      </c>
    </row>
    <row r="24" spans="1:14" ht="12.75">
      <c r="A24" t="s">
        <v>77</v>
      </c>
      <c r="B24" t="s">
        <v>78</v>
      </c>
      <c r="C24" t="s">
        <v>260</v>
      </c>
      <c r="D24" t="s">
        <v>131</v>
      </c>
      <c r="E24" t="s">
        <v>132</v>
      </c>
      <c r="F24" t="s">
        <v>131</v>
      </c>
      <c r="G24" t="s">
        <v>302</v>
      </c>
      <c r="H24" t="s">
        <v>131</v>
      </c>
      <c r="I24" t="s">
        <v>131</v>
      </c>
      <c r="J24" t="s">
        <v>131</v>
      </c>
      <c r="K24" t="s">
        <v>131</v>
      </c>
      <c r="L24">
        <v>0.072438724233275797</v>
      </c>
      <c r="M24">
        <v>0.072438724233275797</v>
      </c>
    </row>
    <row r="25" spans="1:14" ht="12.75">
      <c r="A25" t="s">
        <v>77</v>
      </c>
      <c r="B25" t="s">
        <v>78</v>
      </c>
      <c r="C25" t="s">
        <v>261</v>
      </c>
      <c r="D25" t="s">
        <v>131</v>
      </c>
      <c r="E25" t="s">
        <v>132</v>
      </c>
      <c r="F25" t="s">
        <v>131</v>
      </c>
      <c r="G25" t="s">
        <v>302</v>
      </c>
      <c r="H25" t="s">
        <v>131</v>
      </c>
      <c r="I25" t="s">
        <v>131</v>
      </c>
      <c r="J25" t="s">
        <v>131</v>
      </c>
      <c r="K25" t="s">
        <v>131</v>
      </c>
      <c r="L25">
        <v>0.12</v>
      </c>
      <c r="M25">
        <v>0.12</v>
      </c>
    </row>
    <row r="26" spans="1:14" ht="12.75">
      <c r="A26" t="s">
        <v>77</v>
      </c>
      <c r="B26" t="s">
        <v>78</v>
      </c>
      <c r="C26" t="s">
        <v>208</v>
      </c>
      <c r="D26" t="s">
        <v>131</v>
      </c>
      <c r="E26" t="s">
        <v>132</v>
      </c>
      <c r="F26" t="s">
        <v>131</v>
      </c>
      <c r="G26" t="s">
        <v>302</v>
      </c>
      <c r="H26" t="s">
        <v>131</v>
      </c>
      <c r="I26" t="s">
        <v>131</v>
      </c>
      <c r="J26" t="s">
        <v>131</v>
      </c>
      <c r="K26" t="s">
        <v>131</v>
      </c>
      <c r="L26">
        <v>0.0697946718860816</v>
      </c>
      <c r="M26">
        <v>0.0697946718860816</v>
      </c>
    </row>
    <row r="27" spans="1:14" ht="12.75">
      <c r="A27" t="s">
        <v>77</v>
      </c>
      <c r="B27" t="s">
        <v>78</v>
      </c>
      <c r="C27" t="s">
        <v>142</v>
      </c>
      <c r="D27" t="s">
        <v>131</v>
      </c>
      <c r="E27" t="s">
        <v>132</v>
      </c>
      <c r="F27" t="s">
        <v>131</v>
      </c>
      <c r="G27" t="s">
        <v>302</v>
      </c>
      <c r="H27" t="s">
        <v>131</v>
      </c>
      <c r="I27" t="s">
        <v>131</v>
      </c>
      <c r="J27" t="s">
        <v>131</v>
      </c>
      <c r="K27" t="s">
        <v>131</v>
      </c>
      <c r="L27">
        <v>0.46414376338591401</v>
      </c>
      <c r="M27">
        <v>0.46414376338591401</v>
      </c>
    </row>
    <row r="28" spans="1:14" ht="12.75">
      <c r="A28" t="s">
        <v>77</v>
      </c>
      <c r="B28" t="s">
        <v>78</v>
      </c>
      <c r="C28" t="s">
        <v>143</v>
      </c>
      <c r="D28" t="s">
        <v>131</v>
      </c>
      <c r="E28" t="s">
        <v>132</v>
      </c>
      <c r="F28" t="s">
        <v>131</v>
      </c>
      <c r="G28" t="s">
        <v>302</v>
      </c>
      <c r="H28" t="s">
        <v>131</v>
      </c>
      <c r="I28" t="s">
        <v>131</v>
      </c>
      <c r="J28" t="s">
        <v>131</v>
      </c>
      <c r="K28" t="s">
        <v>131</v>
      </c>
      <c r="L28">
        <v>0.043843217634644903</v>
      </c>
      <c r="M28">
        <v>0.043843217634644903</v>
      </c>
    </row>
    <row r="29" spans="1:14" ht="12.75">
      <c r="A29" t="s">
        <v>77</v>
      </c>
      <c r="B29" t="s">
        <v>78</v>
      </c>
      <c r="C29" t="s">
        <v>144</v>
      </c>
      <c r="D29" t="s">
        <v>131</v>
      </c>
      <c r="E29" t="s">
        <v>132</v>
      </c>
      <c r="F29" t="s">
        <v>131</v>
      </c>
      <c r="G29" t="s">
        <v>302</v>
      </c>
      <c r="H29" t="s">
        <v>131</v>
      </c>
      <c r="I29" t="s">
        <v>131</v>
      </c>
      <c r="J29" t="s">
        <v>131</v>
      </c>
      <c r="K29" t="s">
        <v>131</v>
      </c>
      <c r="L29">
        <v>0.138319067250922</v>
      </c>
      <c r="M29">
        <v>0.138319067250922</v>
      </c>
    </row>
    <row r="30" spans="1:14" ht="12.75">
      <c r="A30" t="s">
        <v>77</v>
      </c>
      <c r="B30" t="s">
        <v>78</v>
      </c>
      <c r="C30" t="s">
        <v>209</v>
      </c>
      <c r="D30" t="s">
        <v>131</v>
      </c>
      <c r="E30" t="s">
        <v>132</v>
      </c>
      <c r="F30" t="s">
        <v>131</v>
      </c>
      <c r="G30" t="s">
        <v>302</v>
      </c>
      <c r="H30" t="s">
        <v>131</v>
      </c>
      <c r="I30" t="s">
        <v>131</v>
      </c>
      <c r="J30" t="s">
        <v>131</v>
      </c>
      <c r="K30" t="s">
        <v>131</v>
      </c>
      <c r="L30">
        <v>0.0697946718860816</v>
      </c>
      <c r="M30">
        <v>0.0697946718860816</v>
      </c>
    </row>
    <row r="31" spans="1:14" ht="12.75">
      <c r="A31" t="s">
        <v>77</v>
      </c>
      <c r="B31" t="s">
        <v>78</v>
      </c>
      <c r="C31" t="s">
        <v>262</v>
      </c>
      <c r="D31" t="s">
        <v>131</v>
      </c>
      <c r="E31" t="s">
        <v>132</v>
      </c>
      <c r="F31" t="s">
        <v>131</v>
      </c>
      <c r="G31" t="s">
        <v>302</v>
      </c>
      <c r="H31" t="s">
        <v>131</v>
      </c>
      <c r="I31" t="s">
        <v>131</v>
      </c>
      <c r="J31" t="s">
        <v>131</v>
      </c>
      <c r="K31" t="s">
        <v>131</v>
      </c>
      <c r="L31">
        <v>0.0396720040920054</v>
      </c>
      <c r="M31">
        <v>0.0396720040920054</v>
      </c>
    </row>
    <row r="32" spans="1:14" ht="12.75">
      <c r="A32" t="s">
        <v>77</v>
      </c>
      <c r="B32" t="s">
        <v>78</v>
      </c>
      <c r="C32" t="s">
        <v>263</v>
      </c>
      <c r="D32" t="s">
        <v>131</v>
      </c>
      <c r="E32" t="s">
        <v>132</v>
      </c>
      <c r="F32" t="s">
        <v>131</v>
      </c>
      <c r="G32" t="s">
        <v>302</v>
      </c>
      <c r="H32" t="s">
        <v>131</v>
      </c>
      <c r="I32" t="s">
        <v>131</v>
      </c>
      <c r="J32" t="s">
        <v>131</v>
      </c>
      <c r="K32" t="s">
        <v>131</v>
      </c>
      <c r="L32">
        <v>0.12</v>
      </c>
      <c r="M32">
        <v>0.12</v>
      </c>
    </row>
    <row r="33" spans="1:14" ht="12.75">
      <c r="A33" t="s">
        <v>77</v>
      </c>
      <c r="B33" t="s">
        <v>78</v>
      </c>
      <c r="C33" t="s">
        <v>264</v>
      </c>
      <c r="D33" t="s">
        <v>131</v>
      </c>
      <c r="E33" t="s">
        <v>132</v>
      </c>
      <c r="F33" t="s">
        <v>131</v>
      </c>
      <c r="G33" t="s">
        <v>302</v>
      </c>
      <c r="H33" t="s">
        <v>131</v>
      </c>
      <c r="I33" t="s">
        <v>131</v>
      </c>
      <c r="J33" t="s">
        <v>131</v>
      </c>
      <c r="K33" t="s">
        <v>131</v>
      </c>
      <c r="L33">
        <v>0.0537535468762151</v>
      </c>
      <c r="M33">
        <v>0.0537535468762151</v>
      </c>
    </row>
    <row r="34" spans="1:14" ht="12.75">
      <c r="A34" t="s">
        <v>77</v>
      </c>
      <c r="B34" t="s">
        <v>78</v>
      </c>
      <c r="C34" t="s">
        <v>210</v>
      </c>
      <c r="D34" t="s">
        <v>131</v>
      </c>
      <c r="E34" t="s">
        <v>132</v>
      </c>
      <c r="F34" t="s">
        <v>131</v>
      </c>
      <c r="G34" t="s">
        <v>302</v>
      </c>
      <c r="H34" t="s">
        <v>131</v>
      </c>
      <c r="I34" t="s">
        <v>131</v>
      </c>
      <c r="J34" t="s">
        <v>131</v>
      </c>
      <c r="K34" t="s">
        <v>131</v>
      </c>
      <c r="L34">
        <v>0.0697946718860816</v>
      </c>
      <c r="M34">
        <v>0.0697946718860816</v>
      </c>
    </row>
    <row r="35" spans="1:14" ht="12.75">
      <c r="A35" t="s">
        <v>77</v>
      </c>
      <c r="B35" t="s">
        <v>78</v>
      </c>
      <c r="C35" t="s">
        <v>265</v>
      </c>
      <c r="D35" t="s">
        <v>131</v>
      </c>
      <c r="E35" t="s">
        <v>132</v>
      </c>
      <c r="F35" t="s">
        <v>131</v>
      </c>
      <c r="G35" t="s">
        <v>302</v>
      </c>
      <c r="H35" t="s">
        <v>131</v>
      </c>
      <c r="I35" t="s">
        <v>131</v>
      </c>
      <c r="J35" t="s">
        <v>131</v>
      </c>
      <c r="K35" t="s">
        <v>131</v>
      </c>
      <c r="L35">
        <v>0.101539467044872</v>
      </c>
      <c r="M35">
        <v>0.101539467044872</v>
      </c>
    </row>
    <row r="36" spans="1:14" ht="12.75">
      <c r="A36" t="s">
        <v>77</v>
      </c>
      <c r="B36" t="s">
        <v>78</v>
      </c>
      <c r="C36" t="s">
        <v>266</v>
      </c>
      <c r="D36" t="s">
        <v>131</v>
      </c>
      <c r="E36" t="s">
        <v>132</v>
      </c>
      <c r="F36" t="s">
        <v>131</v>
      </c>
      <c r="G36" t="s">
        <v>302</v>
      </c>
      <c r="H36" t="s">
        <v>131</v>
      </c>
      <c r="I36" t="s">
        <v>131</v>
      </c>
      <c r="J36" t="s">
        <v>131</v>
      </c>
      <c r="K36" t="s">
        <v>131</v>
      </c>
      <c r="L36">
        <v>0.13495608652757701</v>
      </c>
      <c r="M36">
        <v>0.13495608652757701</v>
      </c>
    </row>
    <row r="37" spans="1:14" ht="12.75">
      <c r="A37" t="s">
        <v>77</v>
      </c>
      <c r="B37" t="s">
        <v>78</v>
      </c>
      <c r="C37" t="s">
        <v>267</v>
      </c>
      <c r="D37" t="s">
        <v>131</v>
      </c>
      <c r="E37" t="s">
        <v>132</v>
      </c>
      <c r="F37" t="s">
        <v>131</v>
      </c>
      <c r="G37" t="s">
        <v>302</v>
      </c>
      <c r="H37" t="s">
        <v>131</v>
      </c>
      <c r="I37" t="s">
        <v>131</v>
      </c>
      <c r="J37" t="s">
        <v>131</v>
      </c>
      <c r="K37" t="s">
        <v>131</v>
      </c>
      <c r="L37">
        <v>0.094687203541950801</v>
      </c>
      <c r="M37">
        <v>0.094687203541950801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9C6FC2-EA1E-4C97-AFD6-725E147BEBCD}">
  <sheetPr codeName="Sheet9"/>
  <dimension ref="A1:N76"/>
  <sheetViews>
    <sheetView workbookViewId="0" topLeftCell="A1"/>
  </sheetViews>
  <sheetFormatPr defaultRowHeight="12.75"/>
  <cols>
    <col min="3" max="3" width="22.1428571428571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177</v>
      </c>
      <c r="C2" t="s">
        <v>199</v>
      </c>
      <c r="D2" t="s">
        <v>131</v>
      </c>
      <c r="E2" t="s">
        <v>131</v>
      </c>
      <c r="F2" t="s">
        <v>179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0.90000000000000002</v>
      </c>
      <c r="M2">
        <v>0.90000000000000002</v>
      </c>
    </row>
    <row r="3" spans="1:14" ht="12.75">
      <c r="A3" t="s">
        <v>77</v>
      </c>
      <c r="B3" t="s">
        <v>177</v>
      </c>
      <c r="C3" t="s">
        <v>133</v>
      </c>
      <c r="D3" t="s">
        <v>131</v>
      </c>
      <c r="E3" t="s">
        <v>131</v>
      </c>
      <c r="F3" t="s">
        <v>179</v>
      </c>
      <c r="G3" t="s">
        <v>302</v>
      </c>
      <c r="H3" t="s">
        <v>131</v>
      </c>
      <c r="I3" t="s">
        <v>131</v>
      </c>
      <c r="J3" t="s">
        <v>131</v>
      </c>
      <c r="K3" t="s">
        <v>131</v>
      </c>
      <c r="L3">
        <v>0.59018803418803401</v>
      </c>
      <c r="M3">
        <v>0.59018803418803401</v>
      </c>
    </row>
    <row r="4" spans="1:14" ht="12.75">
      <c r="A4" t="s">
        <v>77</v>
      </c>
      <c r="B4" t="s">
        <v>177</v>
      </c>
      <c r="C4" t="s">
        <v>134</v>
      </c>
      <c r="D4" t="s">
        <v>131</v>
      </c>
      <c r="E4" t="s">
        <v>131</v>
      </c>
      <c r="F4" t="s">
        <v>179</v>
      </c>
      <c r="G4" t="s">
        <v>302</v>
      </c>
      <c r="H4" t="s">
        <v>131</v>
      </c>
      <c r="I4" t="s">
        <v>131</v>
      </c>
      <c r="J4" t="s">
        <v>131</v>
      </c>
      <c r="K4" t="s">
        <v>131</v>
      </c>
      <c r="L4">
        <v>1</v>
      </c>
      <c r="M4">
        <v>1</v>
      </c>
    </row>
    <row r="5" spans="1:14" ht="12.75">
      <c r="A5" t="s">
        <v>77</v>
      </c>
      <c r="B5" t="s">
        <v>177</v>
      </c>
      <c r="C5" t="s">
        <v>135</v>
      </c>
      <c r="D5" t="s">
        <v>131</v>
      </c>
      <c r="E5" t="s">
        <v>131</v>
      </c>
      <c r="F5" t="s">
        <v>179</v>
      </c>
      <c r="G5" t="s">
        <v>302</v>
      </c>
      <c r="H5" t="s">
        <v>131</v>
      </c>
      <c r="I5" t="s">
        <v>131</v>
      </c>
      <c r="J5" t="s">
        <v>131</v>
      </c>
      <c r="K5" t="s">
        <v>131</v>
      </c>
      <c r="L5">
        <v>3.07019607843137</v>
      </c>
      <c r="M5">
        <v>3.07019607843137</v>
      </c>
    </row>
    <row r="6" spans="1:14" ht="12.75">
      <c r="A6" t="s">
        <v>77</v>
      </c>
      <c r="B6" t="s">
        <v>177</v>
      </c>
      <c r="C6" t="s">
        <v>200</v>
      </c>
      <c r="D6" t="s">
        <v>131</v>
      </c>
      <c r="E6" t="s">
        <v>131</v>
      </c>
      <c r="F6" t="s">
        <v>179</v>
      </c>
      <c r="G6" t="s">
        <v>302</v>
      </c>
      <c r="H6" t="s">
        <v>131</v>
      </c>
      <c r="I6" t="s">
        <v>131</v>
      </c>
      <c r="J6" t="s">
        <v>131</v>
      </c>
      <c r="K6" t="s">
        <v>131</v>
      </c>
      <c r="L6">
        <v>0.90000000000000002</v>
      </c>
      <c r="M6">
        <v>0.90000000000000002</v>
      </c>
    </row>
    <row r="7" spans="1:14" ht="12.75">
      <c r="A7" t="s">
        <v>77</v>
      </c>
      <c r="B7" t="s">
        <v>177</v>
      </c>
      <c r="C7" t="s">
        <v>201</v>
      </c>
      <c r="D7" t="s">
        <v>131</v>
      </c>
      <c r="E7" t="s">
        <v>131</v>
      </c>
      <c r="F7" t="s">
        <v>179</v>
      </c>
      <c r="G7" t="s">
        <v>302</v>
      </c>
      <c r="H7" t="s">
        <v>131</v>
      </c>
      <c r="I7" t="s">
        <v>131</v>
      </c>
      <c r="J7" t="s">
        <v>131</v>
      </c>
      <c r="K7" t="s">
        <v>131</v>
      </c>
      <c r="L7">
        <v>0.810268817204301</v>
      </c>
      <c r="M7">
        <v>0.810268817204301</v>
      </c>
    </row>
    <row r="8" spans="1:14" ht="12.75">
      <c r="A8" t="s">
        <v>77</v>
      </c>
      <c r="B8" t="s">
        <v>177</v>
      </c>
      <c r="C8" t="s">
        <v>136</v>
      </c>
      <c r="D8" t="s">
        <v>131</v>
      </c>
      <c r="E8" t="s">
        <v>131</v>
      </c>
      <c r="F8" t="s">
        <v>179</v>
      </c>
      <c r="G8" t="s">
        <v>302</v>
      </c>
      <c r="H8" t="s">
        <v>131</v>
      </c>
      <c r="I8" t="s">
        <v>131</v>
      </c>
      <c r="J8" t="s">
        <v>131</v>
      </c>
      <c r="K8" t="s">
        <v>131</v>
      </c>
      <c r="L8">
        <v>0.39838442187649997</v>
      </c>
      <c r="M8">
        <v>0.39838442187649997</v>
      </c>
    </row>
    <row r="9" spans="1:14" ht="12.75">
      <c r="A9" t="s">
        <v>77</v>
      </c>
      <c r="B9" t="s">
        <v>177</v>
      </c>
      <c r="C9" t="s">
        <v>202</v>
      </c>
      <c r="D9" t="s">
        <v>131</v>
      </c>
      <c r="E9" t="s">
        <v>131</v>
      </c>
      <c r="F9" t="s">
        <v>179</v>
      </c>
      <c r="G9" t="s">
        <v>302</v>
      </c>
      <c r="H9" t="s">
        <v>131</v>
      </c>
      <c r="I9" t="s">
        <v>131</v>
      </c>
      <c r="J9" t="s">
        <v>131</v>
      </c>
      <c r="K9" t="s">
        <v>131</v>
      </c>
      <c r="L9">
        <v>0.81016216216216197</v>
      </c>
      <c r="M9">
        <v>0.81016216216216197</v>
      </c>
    </row>
    <row r="10" spans="1:14" ht="12.75">
      <c r="A10" t="s">
        <v>77</v>
      </c>
      <c r="B10" t="s">
        <v>177</v>
      </c>
      <c r="C10" t="s">
        <v>203</v>
      </c>
      <c r="D10" t="s">
        <v>131</v>
      </c>
      <c r="E10" t="s">
        <v>131</v>
      </c>
      <c r="F10" t="s">
        <v>179</v>
      </c>
      <c r="G10" t="s">
        <v>302</v>
      </c>
      <c r="H10" t="s">
        <v>131</v>
      </c>
      <c r="I10" t="s">
        <v>131</v>
      </c>
      <c r="J10" t="s">
        <v>131</v>
      </c>
      <c r="K10" t="s">
        <v>131</v>
      </c>
      <c r="L10">
        <v>0.80677902621722797</v>
      </c>
      <c r="M10">
        <v>0.80677902621722797</v>
      </c>
    </row>
    <row r="11" spans="1:14" ht="12.75">
      <c r="A11" t="s">
        <v>77</v>
      </c>
      <c r="B11" t="s">
        <v>177</v>
      </c>
      <c r="C11" t="s">
        <v>137</v>
      </c>
      <c r="D11" t="s">
        <v>131</v>
      </c>
      <c r="E11" t="s">
        <v>131</v>
      </c>
      <c r="F11" t="s">
        <v>179</v>
      </c>
      <c r="G11" t="s">
        <v>302</v>
      </c>
      <c r="H11" t="s">
        <v>131</v>
      </c>
      <c r="I11" t="s">
        <v>131</v>
      </c>
      <c r="J11" t="s">
        <v>131</v>
      </c>
      <c r="K11" t="s">
        <v>131</v>
      </c>
      <c r="L11">
        <v>0.52500000000000002</v>
      </c>
      <c r="M11">
        <v>0.52500000000000002</v>
      </c>
    </row>
    <row r="12" spans="1:14" ht="12.75">
      <c r="A12" t="s">
        <v>77</v>
      </c>
      <c r="B12" t="s">
        <v>177</v>
      </c>
      <c r="C12" t="s">
        <v>138</v>
      </c>
      <c r="D12" t="s">
        <v>131</v>
      </c>
      <c r="E12" t="s">
        <v>131</v>
      </c>
      <c r="F12" t="s">
        <v>179</v>
      </c>
      <c r="G12" t="s">
        <v>302</v>
      </c>
      <c r="H12" t="s">
        <v>131</v>
      </c>
      <c r="I12" t="s">
        <v>131</v>
      </c>
      <c r="J12" t="s">
        <v>131</v>
      </c>
      <c r="K12" t="s">
        <v>131</v>
      </c>
      <c r="L12">
        <v>0.58177777777777795</v>
      </c>
      <c r="M12">
        <v>0.58177777777777795</v>
      </c>
    </row>
    <row r="13" spans="1:14" ht="12.75">
      <c r="A13" t="s">
        <v>77</v>
      </c>
      <c r="B13" t="s">
        <v>177</v>
      </c>
      <c r="C13" t="s">
        <v>204</v>
      </c>
      <c r="D13" t="s">
        <v>131</v>
      </c>
      <c r="E13" t="s">
        <v>131</v>
      </c>
      <c r="F13" t="s">
        <v>179</v>
      </c>
      <c r="G13" t="s">
        <v>302</v>
      </c>
      <c r="H13" t="s">
        <v>131</v>
      </c>
      <c r="I13" t="s">
        <v>131</v>
      </c>
      <c r="J13" t="s">
        <v>131</v>
      </c>
      <c r="K13" t="s">
        <v>131</v>
      </c>
      <c r="L13">
        <v>0.68804511278195502</v>
      </c>
      <c r="M13">
        <v>0.68804511278195502</v>
      </c>
    </row>
    <row r="14" spans="1:14" ht="12.75">
      <c r="A14" t="s">
        <v>77</v>
      </c>
      <c r="B14" t="s">
        <v>177</v>
      </c>
      <c r="C14" t="s">
        <v>205</v>
      </c>
      <c r="D14" t="s">
        <v>131</v>
      </c>
      <c r="E14" t="s">
        <v>131</v>
      </c>
      <c r="F14" t="s">
        <v>179</v>
      </c>
      <c r="G14" t="s">
        <v>302</v>
      </c>
      <c r="H14" t="s">
        <v>131</v>
      </c>
      <c r="I14" t="s">
        <v>131</v>
      </c>
      <c r="J14" t="s">
        <v>131</v>
      </c>
      <c r="K14" t="s">
        <v>131</v>
      </c>
      <c r="L14">
        <v>1</v>
      </c>
      <c r="M14">
        <v>1</v>
      </c>
    </row>
    <row r="15" spans="1:14" ht="12.75">
      <c r="A15" t="s">
        <v>77</v>
      </c>
      <c r="B15" t="s">
        <v>177</v>
      </c>
      <c r="C15" t="s">
        <v>139</v>
      </c>
      <c r="D15" t="s">
        <v>131</v>
      </c>
      <c r="E15" t="s">
        <v>131</v>
      </c>
      <c r="F15" t="s">
        <v>179</v>
      </c>
      <c r="G15" t="s">
        <v>302</v>
      </c>
      <c r="H15" t="s">
        <v>131</v>
      </c>
      <c r="I15" t="s">
        <v>131</v>
      </c>
      <c r="J15" t="s">
        <v>131</v>
      </c>
      <c r="K15" t="s">
        <v>131</v>
      </c>
      <c r="L15">
        <v>0.55798087905732696</v>
      </c>
      <c r="M15">
        <v>0.55798087905732696</v>
      </c>
    </row>
    <row r="16" spans="1:14" ht="12.75">
      <c r="A16" t="s">
        <v>77</v>
      </c>
      <c r="B16" t="s">
        <v>177</v>
      </c>
      <c r="C16" t="s">
        <v>140</v>
      </c>
      <c r="D16" t="s">
        <v>131</v>
      </c>
      <c r="E16" t="s">
        <v>131</v>
      </c>
      <c r="F16" t="s">
        <v>179</v>
      </c>
      <c r="G16" t="s">
        <v>302</v>
      </c>
      <c r="H16" t="s">
        <v>131</v>
      </c>
      <c r="I16" t="s">
        <v>131</v>
      </c>
      <c r="J16" t="s">
        <v>131</v>
      </c>
      <c r="K16" t="s">
        <v>131</v>
      </c>
      <c r="L16">
        <v>1</v>
      </c>
      <c r="M16">
        <v>1</v>
      </c>
    </row>
    <row r="17" spans="1:14" ht="12.75">
      <c r="A17" t="s">
        <v>77</v>
      </c>
      <c r="B17" t="s">
        <v>177</v>
      </c>
      <c r="C17" t="s">
        <v>141</v>
      </c>
      <c r="D17" t="s">
        <v>131</v>
      </c>
      <c r="E17" t="s">
        <v>131</v>
      </c>
      <c r="F17" t="s">
        <v>179</v>
      </c>
      <c r="G17" t="s">
        <v>302</v>
      </c>
      <c r="H17" t="s">
        <v>131</v>
      </c>
      <c r="I17" t="s">
        <v>131</v>
      </c>
      <c r="J17" t="s">
        <v>131</v>
      </c>
      <c r="K17" t="s">
        <v>131</v>
      </c>
      <c r="L17">
        <v>3.1157627118644098</v>
      </c>
      <c r="M17">
        <v>3.1157627118644098</v>
      </c>
    </row>
    <row r="18" spans="1:14" ht="12.75">
      <c r="A18" t="s">
        <v>77</v>
      </c>
      <c r="B18" t="s">
        <v>177</v>
      </c>
      <c r="C18" t="s">
        <v>206</v>
      </c>
      <c r="D18" t="s">
        <v>131</v>
      </c>
      <c r="E18" t="s">
        <v>131</v>
      </c>
      <c r="F18" t="s">
        <v>179</v>
      </c>
      <c r="G18" t="s">
        <v>302</v>
      </c>
      <c r="H18" t="s">
        <v>131</v>
      </c>
      <c r="I18" t="s">
        <v>131</v>
      </c>
      <c r="J18" t="s">
        <v>131</v>
      </c>
      <c r="K18" t="s">
        <v>131</v>
      </c>
      <c r="L18">
        <v>0.90000000000000002</v>
      </c>
      <c r="M18">
        <v>0.90000000000000002</v>
      </c>
    </row>
    <row r="19" spans="1:14" ht="12.75">
      <c r="A19" t="s">
        <v>77</v>
      </c>
      <c r="B19" t="s">
        <v>177</v>
      </c>
      <c r="C19" t="s">
        <v>256</v>
      </c>
      <c r="D19" t="s">
        <v>131</v>
      </c>
      <c r="E19" t="s">
        <v>131</v>
      </c>
      <c r="F19" t="s">
        <v>179</v>
      </c>
      <c r="G19" t="s">
        <v>302</v>
      </c>
      <c r="H19" t="s">
        <v>131</v>
      </c>
      <c r="I19" t="s">
        <v>131</v>
      </c>
      <c r="J19" t="s">
        <v>131</v>
      </c>
      <c r="K19" t="s">
        <v>131</v>
      </c>
      <c r="L19">
        <v>0.81729411764705895</v>
      </c>
      <c r="M19">
        <v>0.81729411764705895</v>
      </c>
    </row>
    <row r="20" spans="1:14" ht="12.75">
      <c r="A20" t="s">
        <v>77</v>
      </c>
      <c r="B20" t="s">
        <v>177</v>
      </c>
      <c r="C20" t="s">
        <v>257</v>
      </c>
      <c r="D20" t="s">
        <v>131</v>
      </c>
      <c r="E20" t="s">
        <v>131</v>
      </c>
      <c r="F20" t="s">
        <v>179</v>
      </c>
      <c r="G20" t="s">
        <v>302</v>
      </c>
      <c r="H20" t="s">
        <v>131</v>
      </c>
      <c r="I20" t="s">
        <v>131</v>
      </c>
      <c r="J20" t="s">
        <v>131</v>
      </c>
      <c r="K20" t="s">
        <v>131</v>
      </c>
      <c r="L20">
        <v>0.60949973059968399</v>
      </c>
      <c r="M20">
        <v>0.60949973059968399</v>
      </c>
    </row>
    <row r="21" spans="1:14" ht="12.75">
      <c r="A21" t="s">
        <v>77</v>
      </c>
      <c r="B21" t="s">
        <v>177</v>
      </c>
      <c r="C21" t="s">
        <v>258</v>
      </c>
      <c r="D21" t="s">
        <v>131</v>
      </c>
      <c r="E21" t="s">
        <v>131</v>
      </c>
      <c r="F21" t="s">
        <v>179</v>
      </c>
      <c r="G21" t="s">
        <v>302</v>
      </c>
      <c r="H21" t="s">
        <v>131</v>
      </c>
      <c r="I21" t="s">
        <v>131</v>
      </c>
      <c r="J21" t="s">
        <v>131</v>
      </c>
      <c r="K21" t="s">
        <v>131</v>
      </c>
      <c r="L21">
        <v>0.81941558441558404</v>
      </c>
      <c r="M21">
        <v>0.81941558441558404</v>
      </c>
    </row>
    <row r="22" spans="1:14" ht="12.75">
      <c r="A22" t="s">
        <v>77</v>
      </c>
      <c r="B22" t="s">
        <v>177</v>
      </c>
      <c r="C22" t="s">
        <v>207</v>
      </c>
      <c r="D22" t="s">
        <v>131</v>
      </c>
      <c r="E22" t="s">
        <v>131</v>
      </c>
      <c r="F22" t="s">
        <v>179</v>
      </c>
      <c r="G22" t="s">
        <v>302</v>
      </c>
      <c r="H22" t="s">
        <v>131</v>
      </c>
      <c r="I22" t="s">
        <v>131</v>
      </c>
      <c r="J22" t="s">
        <v>131</v>
      </c>
      <c r="K22" t="s">
        <v>131</v>
      </c>
      <c r="L22">
        <v>0.80707577433628297</v>
      </c>
      <c r="M22">
        <v>0.80707577433628297</v>
      </c>
    </row>
    <row r="23" spans="1:14" ht="12.75">
      <c r="A23" t="s">
        <v>77</v>
      </c>
      <c r="B23" t="s">
        <v>177</v>
      </c>
      <c r="C23" t="s">
        <v>259</v>
      </c>
      <c r="D23" t="s">
        <v>131</v>
      </c>
      <c r="E23" t="s">
        <v>131</v>
      </c>
      <c r="F23" t="s">
        <v>179</v>
      </c>
      <c r="G23" t="s">
        <v>302</v>
      </c>
      <c r="H23" t="s">
        <v>131</v>
      </c>
      <c r="I23" t="s">
        <v>131</v>
      </c>
      <c r="J23" t="s">
        <v>131</v>
      </c>
      <c r="K23" t="s">
        <v>131</v>
      </c>
      <c r="L23">
        <v>0.55092948717948698</v>
      </c>
      <c r="M23">
        <v>0.55092948717948698</v>
      </c>
    </row>
    <row r="24" spans="1:14" ht="12.75">
      <c r="A24" t="s">
        <v>77</v>
      </c>
      <c r="B24" t="s">
        <v>177</v>
      </c>
      <c r="C24" t="s">
        <v>260</v>
      </c>
      <c r="D24" t="s">
        <v>131</v>
      </c>
      <c r="E24" t="s">
        <v>131</v>
      </c>
      <c r="F24" t="s">
        <v>179</v>
      </c>
      <c r="G24" t="s">
        <v>302</v>
      </c>
      <c r="H24" t="s">
        <v>131</v>
      </c>
      <c r="I24" t="s">
        <v>131</v>
      </c>
      <c r="J24" t="s">
        <v>131</v>
      </c>
      <c r="K24" t="s">
        <v>131</v>
      </c>
      <c r="L24">
        <v>0.57113772455089795</v>
      </c>
      <c r="M24">
        <v>0.57113772455089795</v>
      </c>
    </row>
    <row r="25" spans="1:14" ht="12.75">
      <c r="A25" t="s">
        <v>77</v>
      </c>
      <c r="B25" t="s">
        <v>177</v>
      </c>
      <c r="C25" t="s">
        <v>261</v>
      </c>
      <c r="D25" t="s">
        <v>131</v>
      </c>
      <c r="E25" t="s">
        <v>131</v>
      </c>
      <c r="F25" t="s">
        <v>179</v>
      </c>
      <c r="G25" t="s">
        <v>302</v>
      </c>
      <c r="H25" t="s">
        <v>131</v>
      </c>
      <c r="I25" t="s">
        <v>131</v>
      </c>
      <c r="J25" t="s">
        <v>131</v>
      </c>
      <c r="K25" t="s">
        <v>131</v>
      </c>
      <c r="L25">
        <v>0.70400656814449902</v>
      </c>
      <c r="M25">
        <v>0.70400656814449902</v>
      </c>
    </row>
    <row r="26" spans="1:14" ht="12.75">
      <c r="A26" t="s">
        <v>77</v>
      </c>
      <c r="B26" t="s">
        <v>177</v>
      </c>
      <c r="C26" t="s">
        <v>208</v>
      </c>
      <c r="D26" t="s">
        <v>131</v>
      </c>
      <c r="E26" t="s">
        <v>131</v>
      </c>
      <c r="F26" t="s">
        <v>179</v>
      </c>
      <c r="G26" t="s">
        <v>302</v>
      </c>
      <c r="H26" t="s">
        <v>131</v>
      </c>
      <c r="I26" t="s">
        <v>131</v>
      </c>
      <c r="J26" t="s">
        <v>131</v>
      </c>
      <c r="K26" t="s">
        <v>131</v>
      </c>
      <c r="L26">
        <v>0.90000000000000002</v>
      </c>
      <c r="M26">
        <v>0.90000000000000002</v>
      </c>
    </row>
    <row r="27" spans="1:14" ht="12.75">
      <c r="A27" t="s">
        <v>77</v>
      </c>
      <c r="B27" t="s">
        <v>177</v>
      </c>
      <c r="C27" t="s">
        <v>142</v>
      </c>
      <c r="D27" t="s">
        <v>131</v>
      </c>
      <c r="E27" t="s">
        <v>131</v>
      </c>
      <c r="F27" t="s">
        <v>179</v>
      </c>
      <c r="G27" t="s">
        <v>302</v>
      </c>
      <c r="H27" t="s">
        <v>131</v>
      </c>
      <c r="I27" t="s">
        <v>131</v>
      </c>
      <c r="J27" t="s">
        <v>131</v>
      </c>
      <c r="K27" t="s">
        <v>131</v>
      </c>
      <c r="L27">
        <v>0.619863294600137</v>
      </c>
      <c r="M27">
        <v>0.619863294600137</v>
      </c>
    </row>
    <row r="28" spans="1:14" ht="12.75">
      <c r="A28" t="s">
        <v>77</v>
      </c>
      <c r="B28" t="s">
        <v>177</v>
      </c>
      <c r="C28" t="s">
        <v>143</v>
      </c>
      <c r="D28" t="s">
        <v>131</v>
      </c>
      <c r="E28" t="s">
        <v>131</v>
      </c>
      <c r="F28" t="s">
        <v>179</v>
      </c>
      <c r="G28" t="s">
        <v>302</v>
      </c>
      <c r="H28" t="s">
        <v>131</v>
      </c>
      <c r="I28" t="s">
        <v>131</v>
      </c>
      <c r="J28" t="s">
        <v>131</v>
      </c>
      <c r="K28" t="s">
        <v>131</v>
      </c>
      <c r="L28">
        <v>0.99952095808383201</v>
      </c>
      <c r="M28">
        <v>0.99952095808383201</v>
      </c>
    </row>
    <row r="29" spans="1:14" ht="12.75">
      <c r="A29" t="s">
        <v>77</v>
      </c>
      <c r="B29" t="s">
        <v>177</v>
      </c>
      <c r="C29" t="s">
        <v>144</v>
      </c>
      <c r="D29" t="s">
        <v>131</v>
      </c>
      <c r="E29" t="s">
        <v>131</v>
      </c>
      <c r="F29" t="s">
        <v>179</v>
      </c>
      <c r="G29" t="s">
        <v>302</v>
      </c>
      <c r="H29" t="s">
        <v>131</v>
      </c>
      <c r="I29" t="s">
        <v>131</v>
      </c>
      <c r="J29" t="s">
        <v>131</v>
      </c>
      <c r="K29" t="s">
        <v>131</v>
      </c>
      <c r="L29">
        <v>3.0897837837837798</v>
      </c>
      <c r="M29">
        <v>3.0897837837837798</v>
      </c>
    </row>
    <row r="30" spans="1:14" ht="12.75">
      <c r="A30" t="s">
        <v>77</v>
      </c>
      <c r="B30" t="s">
        <v>177</v>
      </c>
      <c r="C30" t="s">
        <v>209</v>
      </c>
      <c r="D30" t="s">
        <v>131</v>
      </c>
      <c r="E30" t="s">
        <v>131</v>
      </c>
      <c r="F30" t="s">
        <v>179</v>
      </c>
      <c r="G30" t="s">
        <v>302</v>
      </c>
      <c r="H30" t="s">
        <v>131</v>
      </c>
      <c r="I30" t="s">
        <v>131</v>
      </c>
      <c r="J30" t="s">
        <v>131</v>
      </c>
      <c r="K30" t="s">
        <v>131</v>
      </c>
      <c r="L30">
        <v>0.90000000000000002</v>
      </c>
      <c r="M30">
        <v>0.90000000000000002</v>
      </c>
    </row>
    <row r="31" spans="1:14" ht="12.75">
      <c r="A31" t="s">
        <v>77</v>
      </c>
      <c r="B31" t="s">
        <v>177</v>
      </c>
      <c r="C31" t="s">
        <v>262</v>
      </c>
      <c r="D31" t="s">
        <v>131</v>
      </c>
      <c r="E31" t="s">
        <v>131</v>
      </c>
      <c r="F31" t="s">
        <v>179</v>
      </c>
      <c r="G31" t="s">
        <v>302</v>
      </c>
      <c r="H31" t="s">
        <v>131</v>
      </c>
      <c r="I31" t="s">
        <v>131</v>
      </c>
      <c r="J31" t="s">
        <v>131</v>
      </c>
      <c r="K31" t="s">
        <v>131</v>
      </c>
      <c r="L31">
        <v>0.82728758169934602</v>
      </c>
      <c r="M31">
        <v>0.82728758169934602</v>
      </c>
    </row>
    <row r="32" spans="1:14" ht="12.75">
      <c r="A32" t="s">
        <v>77</v>
      </c>
      <c r="B32" t="s">
        <v>177</v>
      </c>
      <c r="C32" t="s">
        <v>263</v>
      </c>
      <c r="D32" t="s">
        <v>131</v>
      </c>
      <c r="E32" t="s">
        <v>131</v>
      </c>
      <c r="F32" t="s">
        <v>179</v>
      </c>
      <c r="G32" t="s">
        <v>302</v>
      </c>
      <c r="H32" t="s">
        <v>131</v>
      </c>
      <c r="I32" t="s">
        <v>131</v>
      </c>
      <c r="J32" t="s">
        <v>131</v>
      </c>
      <c r="K32" t="s">
        <v>131</v>
      </c>
      <c r="L32">
        <v>0.65865731206453004</v>
      </c>
      <c r="M32">
        <v>0.65865731206453004</v>
      </c>
    </row>
    <row r="33" spans="1:14" ht="12.75">
      <c r="A33" t="s">
        <v>77</v>
      </c>
      <c r="B33" t="s">
        <v>177</v>
      </c>
      <c r="C33" t="s">
        <v>264</v>
      </c>
      <c r="D33" t="s">
        <v>131</v>
      </c>
      <c r="E33" t="s">
        <v>131</v>
      </c>
      <c r="F33" t="s">
        <v>179</v>
      </c>
      <c r="G33" t="s">
        <v>302</v>
      </c>
      <c r="H33" t="s">
        <v>131</v>
      </c>
      <c r="I33" t="s">
        <v>131</v>
      </c>
      <c r="J33" t="s">
        <v>131</v>
      </c>
      <c r="K33" t="s">
        <v>131</v>
      </c>
      <c r="L33">
        <v>0.82280373831775699</v>
      </c>
      <c r="M33">
        <v>0.82280373831775699</v>
      </c>
    </row>
    <row r="34" spans="1:14" ht="12.75">
      <c r="A34" t="s">
        <v>77</v>
      </c>
      <c r="B34" t="s">
        <v>177</v>
      </c>
      <c r="C34" t="s">
        <v>210</v>
      </c>
      <c r="D34" t="s">
        <v>131</v>
      </c>
      <c r="E34" t="s">
        <v>131</v>
      </c>
      <c r="F34" t="s">
        <v>179</v>
      </c>
      <c r="G34" t="s">
        <v>302</v>
      </c>
      <c r="H34" t="s">
        <v>131</v>
      </c>
      <c r="I34" t="s">
        <v>131</v>
      </c>
      <c r="J34" t="s">
        <v>131</v>
      </c>
      <c r="K34" t="s">
        <v>131</v>
      </c>
      <c r="L34">
        <v>0.82661774762699303</v>
      </c>
      <c r="M34">
        <v>0.82661774762699303</v>
      </c>
    </row>
    <row r="35" spans="1:14" ht="12.75">
      <c r="A35" t="s">
        <v>77</v>
      </c>
      <c r="B35" t="s">
        <v>177</v>
      </c>
      <c r="C35" t="s">
        <v>265</v>
      </c>
      <c r="D35" t="s">
        <v>131</v>
      </c>
      <c r="E35" t="s">
        <v>131</v>
      </c>
      <c r="F35" t="s">
        <v>179</v>
      </c>
      <c r="G35" t="s">
        <v>302</v>
      </c>
      <c r="H35" t="s">
        <v>131</v>
      </c>
      <c r="I35" t="s">
        <v>131</v>
      </c>
      <c r="J35" t="s">
        <v>131</v>
      </c>
      <c r="K35" t="s">
        <v>131</v>
      </c>
      <c r="L35">
        <v>0.54578947368421105</v>
      </c>
      <c r="M35">
        <v>0.54578947368421105</v>
      </c>
    </row>
    <row r="36" spans="1:14" ht="12.75">
      <c r="A36" t="s">
        <v>77</v>
      </c>
      <c r="B36" t="s">
        <v>177</v>
      </c>
      <c r="C36" t="s">
        <v>266</v>
      </c>
      <c r="D36" t="s">
        <v>131</v>
      </c>
      <c r="E36" t="s">
        <v>131</v>
      </c>
      <c r="F36" t="s">
        <v>179</v>
      </c>
      <c r="G36" t="s">
        <v>302</v>
      </c>
      <c r="H36" t="s">
        <v>131</v>
      </c>
      <c r="I36" t="s">
        <v>131</v>
      </c>
      <c r="J36" t="s">
        <v>131</v>
      </c>
      <c r="K36" t="s">
        <v>131</v>
      </c>
      <c r="L36">
        <v>0.61474226804123699</v>
      </c>
      <c r="M36">
        <v>0.61474226804123699</v>
      </c>
    </row>
    <row r="37" spans="1:14" ht="12.75">
      <c r="A37" t="s">
        <v>77</v>
      </c>
      <c r="B37" t="s">
        <v>177</v>
      </c>
      <c r="C37" t="s">
        <v>267</v>
      </c>
      <c r="D37" t="s">
        <v>131</v>
      </c>
      <c r="E37" t="s">
        <v>131</v>
      </c>
      <c r="F37" t="s">
        <v>179</v>
      </c>
      <c r="G37" t="s">
        <v>302</v>
      </c>
      <c r="H37" t="s">
        <v>131</v>
      </c>
      <c r="I37" t="s">
        <v>131</v>
      </c>
      <c r="J37" t="s">
        <v>131</v>
      </c>
      <c r="K37" t="s">
        <v>131</v>
      </c>
      <c r="L37">
        <v>0.72928609692169399</v>
      </c>
      <c r="M37">
        <v>0.72928609692169399</v>
      </c>
    </row>
    <row r="38" spans="1:14" ht="12.75">
      <c r="A38" t="s">
        <v>77</v>
      </c>
      <c r="B38" t="s">
        <v>177</v>
      </c>
      <c r="C38" t="s">
        <v>211</v>
      </c>
      <c r="D38" t="s">
        <v>131</v>
      </c>
      <c r="E38" t="s">
        <v>131</v>
      </c>
      <c r="F38" t="s">
        <v>179</v>
      </c>
      <c r="G38" t="s">
        <v>302</v>
      </c>
      <c r="H38" t="s">
        <v>131</v>
      </c>
      <c r="I38" t="s">
        <v>131</v>
      </c>
      <c r="J38" t="s">
        <v>131</v>
      </c>
      <c r="K38" t="s">
        <v>131</v>
      </c>
      <c r="L38">
        <v>0.90000000000000002</v>
      </c>
      <c r="M38">
        <v>0.90000000000000002</v>
      </c>
    </row>
    <row r="39" spans="1:14" ht="12.75">
      <c r="A39" t="s">
        <v>77</v>
      </c>
      <c r="B39" t="s">
        <v>177</v>
      </c>
      <c r="C39" t="s">
        <v>146</v>
      </c>
      <c r="D39" t="s">
        <v>131</v>
      </c>
      <c r="E39" t="s">
        <v>131</v>
      </c>
      <c r="F39" t="s">
        <v>179</v>
      </c>
      <c r="G39" t="s">
        <v>302</v>
      </c>
      <c r="H39" t="s">
        <v>131</v>
      </c>
      <c r="I39" t="s">
        <v>131</v>
      </c>
      <c r="J39" t="s">
        <v>131</v>
      </c>
      <c r="K39" t="s">
        <v>131</v>
      </c>
      <c r="L39">
        <v>0.59018803418803401</v>
      </c>
      <c r="M39">
        <v>0.59018803418803401</v>
      </c>
    </row>
    <row r="40" spans="1:14" ht="12.75">
      <c r="A40" t="s">
        <v>77</v>
      </c>
      <c r="B40" t="s">
        <v>177</v>
      </c>
      <c r="C40" t="s">
        <v>147</v>
      </c>
      <c r="D40" t="s">
        <v>131</v>
      </c>
      <c r="E40" t="s">
        <v>131</v>
      </c>
      <c r="F40" t="s">
        <v>179</v>
      </c>
      <c r="G40" t="s">
        <v>302</v>
      </c>
      <c r="H40" t="s">
        <v>131</v>
      </c>
      <c r="I40" t="s">
        <v>131</v>
      </c>
      <c r="J40" t="s">
        <v>131</v>
      </c>
      <c r="K40" t="s">
        <v>131</v>
      </c>
      <c r="L40">
        <v>1</v>
      </c>
      <c r="M40">
        <v>1</v>
      </c>
    </row>
    <row r="41" spans="1:14" ht="12.75">
      <c r="A41" t="s">
        <v>77</v>
      </c>
      <c r="B41" t="s">
        <v>177</v>
      </c>
      <c r="C41" t="s">
        <v>148</v>
      </c>
      <c r="D41" t="s">
        <v>131</v>
      </c>
      <c r="E41" t="s">
        <v>131</v>
      </c>
      <c r="F41" t="s">
        <v>179</v>
      </c>
      <c r="G41" t="s">
        <v>302</v>
      </c>
      <c r="H41" t="s">
        <v>131</v>
      </c>
      <c r="I41" t="s">
        <v>131</v>
      </c>
      <c r="J41" t="s">
        <v>131</v>
      </c>
      <c r="K41" t="s">
        <v>131</v>
      </c>
      <c r="L41">
        <v>3.07019607843137</v>
      </c>
      <c r="M41">
        <v>3.07019607843137</v>
      </c>
    </row>
    <row r="42" spans="1:14" ht="12.75">
      <c r="A42" t="s">
        <v>77</v>
      </c>
      <c r="B42" t="s">
        <v>177</v>
      </c>
      <c r="C42" t="s">
        <v>212</v>
      </c>
      <c r="D42" t="s">
        <v>131</v>
      </c>
      <c r="E42" t="s">
        <v>131</v>
      </c>
      <c r="F42" t="s">
        <v>179</v>
      </c>
      <c r="G42" t="s">
        <v>302</v>
      </c>
      <c r="H42" t="s">
        <v>131</v>
      </c>
      <c r="I42" t="s">
        <v>131</v>
      </c>
      <c r="J42" t="s">
        <v>131</v>
      </c>
      <c r="K42" t="s">
        <v>131</v>
      </c>
      <c r="L42">
        <v>0.90000000000000002</v>
      </c>
      <c r="M42">
        <v>0.90000000000000002</v>
      </c>
    </row>
    <row r="43" spans="1:14" ht="12.75">
      <c r="A43" t="s">
        <v>77</v>
      </c>
      <c r="B43" t="s">
        <v>177</v>
      </c>
      <c r="C43" t="s">
        <v>213</v>
      </c>
      <c r="D43" t="s">
        <v>131</v>
      </c>
      <c r="E43" t="s">
        <v>131</v>
      </c>
      <c r="F43" t="s">
        <v>179</v>
      </c>
      <c r="G43" t="s">
        <v>302</v>
      </c>
      <c r="H43" t="s">
        <v>131</v>
      </c>
      <c r="I43" t="s">
        <v>131</v>
      </c>
      <c r="J43" t="s">
        <v>131</v>
      </c>
      <c r="K43" t="s">
        <v>131</v>
      </c>
      <c r="L43">
        <v>0.810268817204301</v>
      </c>
      <c r="M43">
        <v>0.810268817204301</v>
      </c>
    </row>
    <row r="44" spans="1:14" ht="12.75">
      <c r="A44" t="s">
        <v>77</v>
      </c>
      <c r="B44" t="s">
        <v>177</v>
      </c>
      <c r="C44" t="s">
        <v>149</v>
      </c>
      <c r="D44" t="s">
        <v>131</v>
      </c>
      <c r="E44" t="s">
        <v>131</v>
      </c>
      <c r="F44" t="s">
        <v>179</v>
      </c>
      <c r="G44" t="s">
        <v>302</v>
      </c>
      <c r="H44" t="s">
        <v>131</v>
      </c>
      <c r="I44" t="s">
        <v>131</v>
      </c>
      <c r="J44" t="s">
        <v>131</v>
      </c>
      <c r="K44" t="s">
        <v>131</v>
      </c>
      <c r="L44">
        <v>0.39838442187649997</v>
      </c>
      <c r="M44">
        <v>0.39838442187649997</v>
      </c>
    </row>
    <row r="45" spans="1:14" ht="12.75">
      <c r="A45" t="s">
        <v>77</v>
      </c>
      <c r="B45" t="s">
        <v>177</v>
      </c>
      <c r="C45" t="s">
        <v>214</v>
      </c>
      <c r="D45" t="s">
        <v>131</v>
      </c>
      <c r="E45" t="s">
        <v>131</v>
      </c>
      <c r="F45" t="s">
        <v>179</v>
      </c>
      <c r="G45" t="s">
        <v>302</v>
      </c>
      <c r="H45" t="s">
        <v>131</v>
      </c>
      <c r="I45" t="s">
        <v>131</v>
      </c>
      <c r="J45" t="s">
        <v>131</v>
      </c>
      <c r="K45" t="s">
        <v>131</v>
      </c>
      <c r="L45">
        <v>0.81016216216216197</v>
      </c>
      <c r="M45">
        <v>0.81016216216216197</v>
      </c>
    </row>
    <row r="46" spans="1:14" ht="12.75">
      <c r="A46" t="s">
        <v>77</v>
      </c>
      <c r="B46" t="s">
        <v>177</v>
      </c>
      <c r="C46" t="s">
        <v>215</v>
      </c>
      <c r="D46" t="s">
        <v>131</v>
      </c>
      <c r="E46" t="s">
        <v>131</v>
      </c>
      <c r="F46" t="s">
        <v>179</v>
      </c>
      <c r="G46" t="s">
        <v>302</v>
      </c>
      <c r="H46" t="s">
        <v>131</v>
      </c>
      <c r="I46" t="s">
        <v>131</v>
      </c>
      <c r="J46" t="s">
        <v>131</v>
      </c>
      <c r="K46" t="s">
        <v>131</v>
      </c>
      <c r="L46">
        <v>0.80677902621722797</v>
      </c>
      <c r="M46">
        <v>0.80677902621722797</v>
      </c>
    </row>
    <row r="47" spans="1:14" ht="12.75">
      <c r="A47" t="s">
        <v>77</v>
      </c>
      <c r="B47" t="s">
        <v>177</v>
      </c>
      <c r="C47" t="s">
        <v>150</v>
      </c>
      <c r="D47" t="s">
        <v>131</v>
      </c>
      <c r="E47" t="s">
        <v>131</v>
      </c>
      <c r="F47" t="s">
        <v>179</v>
      </c>
      <c r="G47" t="s">
        <v>302</v>
      </c>
      <c r="H47" t="s">
        <v>131</v>
      </c>
      <c r="I47" t="s">
        <v>131</v>
      </c>
      <c r="J47" t="s">
        <v>131</v>
      </c>
      <c r="K47" t="s">
        <v>131</v>
      </c>
      <c r="L47">
        <v>0.52500000000000002</v>
      </c>
      <c r="M47">
        <v>0.52500000000000002</v>
      </c>
    </row>
    <row r="48" spans="1:14" ht="12.75">
      <c r="A48" t="s">
        <v>77</v>
      </c>
      <c r="B48" t="s">
        <v>177</v>
      </c>
      <c r="C48" t="s">
        <v>151</v>
      </c>
      <c r="D48" t="s">
        <v>131</v>
      </c>
      <c r="E48" t="s">
        <v>131</v>
      </c>
      <c r="F48" t="s">
        <v>179</v>
      </c>
      <c r="G48" t="s">
        <v>302</v>
      </c>
      <c r="H48" t="s">
        <v>131</v>
      </c>
      <c r="I48" t="s">
        <v>131</v>
      </c>
      <c r="J48" t="s">
        <v>131</v>
      </c>
      <c r="K48" t="s">
        <v>131</v>
      </c>
      <c r="L48">
        <v>0.58177777777777795</v>
      </c>
      <c r="M48">
        <v>0.58177777777777795</v>
      </c>
    </row>
    <row r="49" spans="1:14" ht="12.75">
      <c r="A49" t="s">
        <v>77</v>
      </c>
      <c r="B49" t="s">
        <v>177</v>
      </c>
      <c r="C49" t="s">
        <v>216</v>
      </c>
      <c r="D49" t="s">
        <v>131</v>
      </c>
      <c r="E49" t="s">
        <v>131</v>
      </c>
      <c r="F49" t="s">
        <v>179</v>
      </c>
      <c r="G49" t="s">
        <v>302</v>
      </c>
      <c r="H49" t="s">
        <v>131</v>
      </c>
      <c r="I49" t="s">
        <v>131</v>
      </c>
      <c r="J49" t="s">
        <v>131</v>
      </c>
      <c r="K49" t="s">
        <v>131</v>
      </c>
      <c r="L49">
        <v>1</v>
      </c>
      <c r="M49">
        <v>1</v>
      </c>
    </row>
    <row r="50" spans="1:14" ht="12.75">
      <c r="A50" t="s">
        <v>77</v>
      </c>
      <c r="B50" t="s">
        <v>177</v>
      </c>
      <c r="C50" t="s">
        <v>217</v>
      </c>
      <c r="D50" t="s">
        <v>131</v>
      </c>
      <c r="E50" t="s">
        <v>131</v>
      </c>
      <c r="F50" t="s">
        <v>179</v>
      </c>
      <c r="G50" t="s">
        <v>302</v>
      </c>
      <c r="H50" t="s">
        <v>131</v>
      </c>
      <c r="I50" t="s">
        <v>131</v>
      </c>
      <c r="J50" t="s">
        <v>131</v>
      </c>
      <c r="K50" t="s">
        <v>131</v>
      </c>
      <c r="L50">
        <v>0.68804511278195502</v>
      </c>
      <c r="M50">
        <v>0.68804511278195502</v>
      </c>
    </row>
    <row r="51" spans="1:14" ht="12.75">
      <c r="A51" t="s">
        <v>77</v>
      </c>
      <c r="B51" t="s">
        <v>177</v>
      </c>
      <c r="C51" t="s">
        <v>218</v>
      </c>
      <c r="D51" t="s">
        <v>131</v>
      </c>
      <c r="E51" t="s">
        <v>131</v>
      </c>
      <c r="F51" t="s">
        <v>179</v>
      </c>
      <c r="G51" t="s">
        <v>302</v>
      </c>
      <c r="H51" t="s">
        <v>131</v>
      </c>
      <c r="I51" t="s">
        <v>131</v>
      </c>
      <c r="J51" t="s">
        <v>131</v>
      </c>
      <c r="K51" t="s">
        <v>131</v>
      </c>
      <c r="L51">
        <v>1</v>
      </c>
      <c r="M51">
        <v>1</v>
      </c>
    </row>
    <row r="52" spans="1:14" ht="12.75">
      <c r="A52" t="s">
        <v>77</v>
      </c>
      <c r="B52" t="s">
        <v>177</v>
      </c>
      <c r="C52" t="s">
        <v>152</v>
      </c>
      <c r="D52" t="s">
        <v>131</v>
      </c>
      <c r="E52" t="s">
        <v>131</v>
      </c>
      <c r="F52" t="s">
        <v>179</v>
      </c>
      <c r="G52" t="s">
        <v>302</v>
      </c>
      <c r="H52" t="s">
        <v>131</v>
      </c>
      <c r="I52" t="s">
        <v>131</v>
      </c>
      <c r="J52" t="s">
        <v>131</v>
      </c>
      <c r="K52" t="s">
        <v>131</v>
      </c>
      <c r="L52">
        <v>0.55798087905732696</v>
      </c>
      <c r="M52">
        <v>0.55798087905732696</v>
      </c>
    </row>
    <row r="53" spans="1:14" ht="12.75">
      <c r="A53" t="s">
        <v>77</v>
      </c>
      <c r="B53" t="s">
        <v>177</v>
      </c>
      <c r="C53" t="s">
        <v>153</v>
      </c>
      <c r="D53" t="s">
        <v>131</v>
      </c>
      <c r="E53" t="s">
        <v>131</v>
      </c>
      <c r="F53" t="s">
        <v>179</v>
      </c>
      <c r="G53" t="s">
        <v>302</v>
      </c>
      <c r="H53" t="s">
        <v>131</v>
      </c>
      <c r="I53" t="s">
        <v>131</v>
      </c>
      <c r="J53" t="s">
        <v>131</v>
      </c>
      <c r="K53" t="s">
        <v>131</v>
      </c>
      <c r="L53">
        <v>1</v>
      </c>
      <c r="M53">
        <v>1</v>
      </c>
    </row>
    <row r="54" spans="1:14" ht="12.75">
      <c r="A54" t="s">
        <v>77</v>
      </c>
      <c r="B54" t="s">
        <v>177</v>
      </c>
      <c r="C54" t="s">
        <v>154</v>
      </c>
      <c r="D54" t="s">
        <v>131</v>
      </c>
      <c r="E54" t="s">
        <v>131</v>
      </c>
      <c r="F54" t="s">
        <v>179</v>
      </c>
      <c r="G54" t="s">
        <v>302</v>
      </c>
      <c r="H54" t="s">
        <v>131</v>
      </c>
      <c r="I54" t="s">
        <v>131</v>
      </c>
      <c r="J54" t="s">
        <v>131</v>
      </c>
      <c r="K54" t="s">
        <v>131</v>
      </c>
      <c r="L54">
        <v>3.1157627118644098</v>
      </c>
      <c r="M54">
        <v>3.1157627118644098</v>
      </c>
    </row>
    <row r="55" spans="1:14" ht="12.75">
      <c r="A55" t="s">
        <v>77</v>
      </c>
      <c r="B55" t="s">
        <v>177</v>
      </c>
      <c r="C55" t="s">
        <v>219</v>
      </c>
      <c r="D55" t="s">
        <v>131</v>
      </c>
      <c r="E55" t="s">
        <v>131</v>
      </c>
      <c r="F55" t="s">
        <v>179</v>
      </c>
      <c r="G55" t="s">
        <v>302</v>
      </c>
      <c r="H55" t="s">
        <v>131</v>
      </c>
      <c r="I55" t="s">
        <v>131</v>
      </c>
      <c r="J55" t="s">
        <v>131</v>
      </c>
      <c r="K55" t="s">
        <v>131</v>
      </c>
      <c r="L55">
        <v>0.90000000000000002</v>
      </c>
      <c r="M55">
        <v>0.90000000000000002</v>
      </c>
    </row>
    <row r="56" spans="1:14" ht="12.75">
      <c r="A56" t="s">
        <v>77</v>
      </c>
      <c r="B56" t="s">
        <v>177</v>
      </c>
      <c r="C56" t="s">
        <v>220</v>
      </c>
      <c r="D56" t="s">
        <v>131</v>
      </c>
      <c r="E56" t="s">
        <v>131</v>
      </c>
      <c r="F56" t="s">
        <v>179</v>
      </c>
      <c r="G56" t="s">
        <v>302</v>
      </c>
      <c r="H56" t="s">
        <v>131</v>
      </c>
      <c r="I56" t="s">
        <v>131</v>
      </c>
      <c r="J56" t="s">
        <v>131</v>
      </c>
      <c r="K56" t="s">
        <v>131</v>
      </c>
      <c r="L56">
        <v>0.81729411764705895</v>
      </c>
      <c r="M56">
        <v>0.81729411764705895</v>
      </c>
    </row>
    <row r="57" spans="1:14" ht="12.75">
      <c r="A57" t="s">
        <v>77</v>
      </c>
      <c r="B57" t="s">
        <v>177</v>
      </c>
      <c r="C57" t="s">
        <v>155</v>
      </c>
      <c r="D57" t="s">
        <v>131</v>
      </c>
      <c r="E57" t="s">
        <v>131</v>
      </c>
      <c r="F57" t="s">
        <v>179</v>
      </c>
      <c r="G57" t="s">
        <v>302</v>
      </c>
      <c r="H57" t="s">
        <v>131</v>
      </c>
      <c r="I57" t="s">
        <v>131</v>
      </c>
      <c r="J57" t="s">
        <v>131</v>
      </c>
      <c r="K57" t="s">
        <v>131</v>
      </c>
      <c r="L57">
        <v>0.60949973059968399</v>
      </c>
      <c r="M57">
        <v>0.60949973059968399</v>
      </c>
    </row>
    <row r="58" spans="1:14" ht="12.75">
      <c r="A58" t="s">
        <v>77</v>
      </c>
      <c r="B58" t="s">
        <v>177</v>
      </c>
      <c r="C58" t="s">
        <v>221</v>
      </c>
      <c r="D58" t="s">
        <v>131</v>
      </c>
      <c r="E58" t="s">
        <v>131</v>
      </c>
      <c r="F58" t="s">
        <v>179</v>
      </c>
      <c r="G58" t="s">
        <v>302</v>
      </c>
      <c r="H58" t="s">
        <v>131</v>
      </c>
      <c r="I58" t="s">
        <v>131</v>
      </c>
      <c r="J58" t="s">
        <v>131</v>
      </c>
      <c r="K58" t="s">
        <v>131</v>
      </c>
      <c r="L58">
        <v>0.81941558441558404</v>
      </c>
      <c r="M58">
        <v>0.81941558441558404</v>
      </c>
    </row>
    <row r="59" spans="1:14" ht="12.75">
      <c r="A59" t="s">
        <v>77</v>
      </c>
      <c r="B59" t="s">
        <v>177</v>
      </c>
      <c r="C59" t="s">
        <v>222</v>
      </c>
      <c r="D59" t="s">
        <v>131</v>
      </c>
      <c r="E59" t="s">
        <v>131</v>
      </c>
      <c r="F59" t="s">
        <v>179</v>
      </c>
      <c r="G59" t="s">
        <v>302</v>
      </c>
      <c r="H59" t="s">
        <v>131</v>
      </c>
      <c r="I59" t="s">
        <v>131</v>
      </c>
      <c r="J59" t="s">
        <v>131</v>
      </c>
      <c r="K59" t="s">
        <v>131</v>
      </c>
      <c r="L59">
        <v>0.80707577433628297</v>
      </c>
      <c r="M59">
        <v>0.80707577433628297</v>
      </c>
    </row>
    <row r="60" spans="1:14" ht="12.75">
      <c r="A60" t="s">
        <v>77</v>
      </c>
      <c r="B60" t="s">
        <v>177</v>
      </c>
      <c r="C60" t="s">
        <v>156</v>
      </c>
      <c r="D60" t="s">
        <v>131</v>
      </c>
      <c r="E60" t="s">
        <v>131</v>
      </c>
      <c r="F60" t="s">
        <v>179</v>
      </c>
      <c r="G60" t="s">
        <v>302</v>
      </c>
      <c r="H60" t="s">
        <v>131</v>
      </c>
      <c r="I60" t="s">
        <v>131</v>
      </c>
      <c r="J60" t="s">
        <v>131</v>
      </c>
      <c r="K60" t="s">
        <v>131</v>
      </c>
      <c r="L60">
        <v>0.55092948717948698</v>
      </c>
      <c r="M60">
        <v>0.55092948717948698</v>
      </c>
    </row>
    <row r="61" spans="1:14" ht="12.75">
      <c r="A61" t="s">
        <v>77</v>
      </c>
      <c r="B61" t="s">
        <v>177</v>
      </c>
      <c r="C61" t="s">
        <v>157</v>
      </c>
      <c r="D61" t="s">
        <v>131</v>
      </c>
      <c r="E61" t="s">
        <v>131</v>
      </c>
      <c r="F61" t="s">
        <v>179</v>
      </c>
      <c r="G61" t="s">
        <v>302</v>
      </c>
      <c r="H61" t="s">
        <v>131</v>
      </c>
      <c r="I61" t="s">
        <v>131</v>
      </c>
      <c r="J61" t="s">
        <v>131</v>
      </c>
      <c r="K61" t="s">
        <v>131</v>
      </c>
      <c r="L61">
        <v>0.57113772455089795</v>
      </c>
      <c r="M61">
        <v>0.57113772455089795</v>
      </c>
    </row>
    <row r="62" spans="1:14" ht="12.75">
      <c r="A62" t="s">
        <v>77</v>
      </c>
      <c r="B62" t="s">
        <v>177</v>
      </c>
      <c r="C62" t="s">
        <v>223</v>
      </c>
      <c r="D62" t="s">
        <v>131</v>
      </c>
      <c r="E62" t="s">
        <v>131</v>
      </c>
      <c r="F62" t="s">
        <v>179</v>
      </c>
      <c r="G62" t="s">
        <v>302</v>
      </c>
      <c r="H62" t="s">
        <v>131</v>
      </c>
      <c r="I62" t="s">
        <v>131</v>
      </c>
      <c r="J62" t="s">
        <v>131</v>
      </c>
      <c r="K62" t="s">
        <v>131</v>
      </c>
      <c r="L62">
        <v>1</v>
      </c>
      <c r="M62">
        <v>1</v>
      </c>
    </row>
    <row r="63" spans="1:14" ht="12.75">
      <c r="A63" t="s">
        <v>77</v>
      </c>
      <c r="B63" t="s">
        <v>177</v>
      </c>
      <c r="C63" t="s">
        <v>224</v>
      </c>
      <c r="D63" t="s">
        <v>131</v>
      </c>
      <c r="E63" t="s">
        <v>131</v>
      </c>
      <c r="F63" t="s">
        <v>179</v>
      </c>
      <c r="G63" t="s">
        <v>302</v>
      </c>
      <c r="H63" t="s">
        <v>131</v>
      </c>
      <c r="I63" t="s">
        <v>131</v>
      </c>
      <c r="J63" t="s">
        <v>131</v>
      </c>
      <c r="K63" t="s">
        <v>131</v>
      </c>
      <c r="L63">
        <v>0.70400656814449902</v>
      </c>
      <c r="M63">
        <v>0.70400656814449902</v>
      </c>
    </row>
    <row r="64" spans="1:14" ht="12.75">
      <c r="A64" t="s">
        <v>77</v>
      </c>
      <c r="B64" t="s">
        <v>177</v>
      </c>
      <c r="C64" t="s">
        <v>225</v>
      </c>
      <c r="D64" t="s">
        <v>131</v>
      </c>
      <c r="E64" t="s">
        <v>131</v>
      </c>
      <c r="F64" t="s">
        <v>179</v>
      </c>
      <c r="G64" t="s">
        <v>302</v>
      </c>
      <c r="H64" t="s">
        <v>131</v>
      </c>
      <c r="I64" t="s">
        <v>131</v>
      </c>
      <c r="J64" t="s">
        <v>131</v>
      </c>
      <c r="K64" t="s">
        <v>131</v>
      </c>
      <c r="L64">
        <v>0.90000000000000002</v>
      </c>
      <c r="M64">
        <v>0.90000000000000002</v>
      </c>
    </row>
    <row r="65" spans="1:14" ht="12.75">
      <c r="A65" t="s">
        <v>77</v>
      </c>
      <c r="B65" t="s">
        <v>177</v>
      </c>
      <c r="C65" t="s">
        <v>158</v>
      </c>
      <c r="D65" t="s">
        <v>131</v>
      </c>
      <c r="E65" t="s">
        <v>131</v>
      </c>
      <c r="F65" t="s">
        <v>179</v>
      </c>
      <c r="G65" t="s">
        <v>302</v>
      </c>
      <c r="H65" t="s">
        <v>131</v>
      </c>
      <c r="I65" t="s">
        <v>131</v>
      </c>
      <c r="J65" t="s">
        <v>131</v>
      </c>
      <c r="K65" t="s">
        <v>131</v>
      </c>
      <c r="L65">
        <v>0.619863294600137</v>
      </c>
      <c r="M65">
        <v>0.619863294600137</v>
      </c>
    </row>
    <row r="66" spans="1:14" ht="12.75">
      <c r="A66" t="s">
        <v>77</v>
      </c>
      <c r="B66" t="s">
        <v>177</v>
      </c>
      <c r="C66" t="s">
        <v>159</v>
      </c>
      <c r="D66" t="s">
        <v>131</v>
      </c>
      <c r="E66" t="s">
        <v>131</v>
      </c>
      <c r="F66" t="s">
        <v>179</v>
      </c>
      <c r="G66" t="s">
        <v>302</v>
      </c>
      <c r="H66" t="s">
        <v>131</v>
      </c>
      <c r="I66" t="s">
        <v>131</v>
      </c>
      <c r="J66" t="s">
        <v>131</v>
      </c>
      <c r="K66" t="s">
        <v>131</v>
      </c>
      <c r="L66">
        <v>0.99952095808383201</v>
      </c>
      <c r="M66">
        <v>0.99952095808383201</v>
      </c>
    </row>
    <row r="67" spans="1:14" ht="12.75">
      <c r="A67" t="s">
        <v>77</v>
      </c>
      <c r="B67" t="s">
        <v>177</v>
      </c>
      <c r="C67" t="s">
        <v>160</v>
      </c>
      <c r="D67" t="s">
        <v>131</v>
      </c>
      <c r="E67" t="s">
        <v>131</v>
      </c>
      <c r="F67" t="s">
        <v>179</v>
      </c>
      <c r="G67" t="s">
        <v>302</v>
      </c>
      <c r="H67" t="s">
        <v>131</v>
      </c>
      <c r="I67" t="s">
        <v>131</v>
      </c>
      <c r="J67" t="s">
        <v>131</v>
      </c>
      <c r="K67" t="s">
        <v>131</v>
      </c>
      <c r="L67">
        <v>3.0897837837837798</v>
      </c>
      <c r="M67">
        <v>3.0897837837837798</v>
      </c>
    </row>
    <row r="68" spans="1:14" ht="12.75">
      <c r="A68" t="s">
        <v>77</v>
      </c>
      <c r="B68" t="s">
        <v>177</v>
      </c>
      <c r="C68" t="s">
        <v>226</v>
      </c>
      <c r="D68" t="s">
        <v>131</v>
      </c>
      <c r="E68" t="s">
        <v>131</v>
      </c>
      <c r="F68" t="s">
        <v>179</v>
      </c>
      <c r="G68" t="s">
        <v>302</v>
      </c>
      <c r="H68" t="s">
        <v>131</v>
      </c>
      <c r="I68" t="s">
        <v>131</v>
      </c>
      <c r="J68" t="s">
        <v>131</v>
      </c>
      <c r="K68" t="s">
        <v>131</v>
      </c>
      <c r="L68">
        <v>0.90000000000000002</v>
      </c>
      <c r="M68">
        <v>0.90000000000000002</v>
      </c>
    </row>
    <row r="69" spans="1:14" ht="12.75">
      <c r="A69" t="s">
        <v>77</v>
      </c>
      <c r="B69" t="s">
        <v>177</v>
      </c>
      <c r="C69" t="s">
        <v>227</v>
      </c>
      <c r="D69" t="s">
        <v>131</v>
      </c>
      <c r="E69" t="s">
        <v>131</v>
      </c>
      <c r="F69" t="s">
        <v>179</v>
      </c>
      <c r="G69" t="s">
        <v>302</v>
      </c>
      <c r="H69" t="s">
        <v>131</v>
      </c>
      <c r="I69" t="s">
        <v>131</v>
      </c>
      <c r="J69" t="s">
        <v>131</v>
      </c>
      <c r="K69" t="s">
        <v>131</v>
      </c>
      <c r="L69">
        <v>0.82728758169934602</v>
      </c>
      <c r="M69">
        <v>0.82728758169934602</v>
      </c>
    </row>
    <row r="70" spans="1:14" ht="12.75">
      <c r="A70" t="s">
        <v>77</v>
      </c>
      <c r="B70" t="s">
        <v>177</v>
      </c>
      <c r="C70" t="s">
        <v>161</v>
      </c>
      <c r="D70" t="s">
        <v>131</v>
      </c>
      <c r="E70" t="s">
        <v>131</v>
      </c>
      <c r="F70" t="s">
        <v>179</v>
      </c>
      <c r="G70" t="s">
        <v>302</v>
      </c>
      <c r="H70" t="s">
        <v>131</v>
      </c>
      <c r="I70" t="s">
        <v>131</v>
      </c>
      <c r="J70" t="s">
        <v>131</v>
      </c>
      <c r="K70" t="s">
        <v>131</v>
      </c>
      <c r="L70">
        <v>0.65865731206453004</v>
      </c>
      <c r="M70">
        <v>0.65865731206453004</v>
      </c>
    </row>
    <row r="71" spans="1:14" ht="12.75">
      <c r="A71" t="s">
        <v>77</v>
      </c>
      <c r="B71" t="s">
        <v>177</v>
      </c>
      <c r="C71" t="s">
        <v>228</v>
      </c>
      <c r="D71" t="s">
        <v>131</v>
      </c>
      <c r="E71" t="s">
        <v>131</v>
      </c>
      <c r="F71" t="s">
        <v>179</v>
      </c>
      <c r="G71" t="s">
        <v>302</v>
      </c>
      <c r="H71" t="s">
        <v>131</v>
      </c>
      <c r="I71" t="s">
        <v>131</v>
      </c>
      <c r="J71" t="s">
        <v>131</v>
      </c>
      <c r="K71" t="s">
        <v>131</v>
      </c>
      <c r="L71">
        <v>0.82280373831775699</v>
      </c>
      <c r="M71">
        <v>0.82280373831775699</v>
      </c>
    </row>
    <row r="72" spans="1:14" ht="12.75">
      <c r="A72" t="s">
        <v>77</v>
      </c>
      <c r="B72" t="s">
        <v>177</v>
      </c>
      <c r="C72" t="s">
        <v>229</v>
      </c>
      <c r="D72" t="s">
        <v>131</v>
      </c>
      <c r="E72" t="s">
        <v>131</v>
      </c>
      <c r="F72" t="s">
        <v>179</v>
      </c>
      <c r="G72" t="s">
        <v>302</v>
      </c>
      <c r="H72" t="s">
        <v>131</v>
      </c>
      <c r="I72" t="s">
        <v>131</v>
      </c>
      <c r="J72" t="s">
        <v>131</v>
      </c>
      <c r="K72" t="s">
        <v>131</v>
      </c>
      <c r="L72">
        <v>0.82661774762699303</v>
      </c>
      <c r="M72">
        <v>0.82661774762699303</v>
      </c>
    </row>
    <row r="73" spans="1:14" ht="12.75">
      <c r="A73" t="s">
        <v>77</v>
      </c>
      <c r="B73" t="s">
        <v>177</v>
      </c>
      <c r="C73" t="s">
        <v>162</v>
      </c>
      <c r="D73" t="s">
        <v>131</v>
      </c>
      <c r="E73" t="s">
        <v>131</v>
      </c>
      <c r="F73" t="s">
        <v>179</v>
      </c>
      <c r="G73" t="s">
        <v>302</v>
      </c>
      <c r="H73" t="s">
        <v>131</v>
      </c>
      <c r="I73" t="s">
        <v>131</v>
      </c>
      <c r="J73" t="s">
        <v>131</v>
      </c>
      <c r="K73" t="s">
        <v>131</v>
      </c>
      <c r="L73">
        <v>0.54578947368421105</v>
      </c>
      <c r="M73">
        <v>0.54578947368421105</v>
      </c>
    </row>
    <row r="74" spans="1:14" ht="12.75">
      <c r="A74" t="s">
        <v>77</v>
      </c>
      <c r="B74" t="s">
        <v>177</v>
      </c>
      <c r="C74" t="s">
        <v>163</v>
      </c>
      <c r="D74" t="s">
        <v>131</v>
      </c>
      <c r="E74" t="s">
        <v>131</v>
      </c>
      <c r="F74" t="s">
        <v>179</v>
      </c>
      <c r="G74" t="s">
        <v>302</v>
      </c>
      <c r="H74" t="s">
        <v>131</v>
      </c>
      <c r="I74" t="s">
        <v>131</v>
      </c>
      <c r="J74" t="s">
        <v>131</v>
      </c>
      <c r="K74" t="s">
        <v>131</v>
      </c>
      <c r="L74">
        <v>0.61474226804123699</v>
      </c>
      <c r="M74">
        <v>0.61474226804123699</v>
      </c>
    </row>
    <row r="75" spans="1:14" ht="12.75">
      <c r="A75" t="s">
        <v>77</v>
      </c>
      <c r="B75" t="s">
        <v>177</v>
      </c>
      <c r="C75" t="s">
        <v>268</v>
      </c>
      <c r="D75" t="s">
        <v>131</v>
      </c>
      <c r="E75" t="s">
        <v>131</v>
      </c>
      <c r="F75" t="s">
        <v>179</v>
      </c>
      <c r="G75" t="s">
        <v>302</v>
      </c>
      <c r="H75" t="s">
        <v>131</v>
      </c>
      <c r="I75" t="s">
        <v>131</v>
      </c>
      <c r="J75" t="s">
        <v>131</v>
      </c>
      <c r="K75" t="s">
        <v>131</v>
      </c>
      <c r="L75">
        <v>1</v>
      </c>
      <c r="M75">
        <v>1</v>
      </c>
    </row>
    <row r="76" spans="1:14" ht="12.75">
      <c r="A76" t="s">
        <v>77</v>
      </c>
      <c r="B76" t="s">
        <v>177</v>
      </c>
      <c r="C76" t="s">
        <v>230</v>
      </c>
      <c r="D76" t="s">
        <v>131</v>
      </c>
      <c r="E76" t="s">
        <v>131</v>
      </c>
      <c r="F76" t="s">
        <v>179</v>
      </c>
      <c r="G76" t="s">
        <v>302</v>
      </c>
      <c r="H76" t="s">
        <v>131</v>
      </c>
      <c r="I76" t="s">
        <v>131</v>
      </c>
      <c r="J76" t="s">
        <v>131</v>
      </c>
      <c r="K76" t="s">
        <v>131</v>
      </c>
      <c r="L76">
        <v>0.72928609692169399</v>
      </c>
      <c r="M76">
        <v>0.72928609692169399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429258-A02E-4988-82C1-0A77E14DD528}">
  <sheetPr codeName="Sheet10"/>
  <dimension ref="A1:N2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172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0.010896637608966401</v>
      </c>
      <c r="M2">
        <v>0.010896637608966401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076EF3-A195-4397-AD9A-EC5D0F2DC108}">
  <sheetPr codeName="Sheet11"/>
  <dimension ref="A1:N4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169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0.12716586319930701</v>
      </c>
      <c r="M2">
        <v>0.12716586319930701</v>
      </c>
    </row>
    <row r="3" spans="1:14" ht="12.75">
      <c r="A3" t="s">
        <v>77</v>
      </c>
      <c r="B3" t="s">
        <v>78</v>
      </c>
      <c r="C3" t="s">
        <v>170</v>
      </c>
      <c r="D3" t="s">
        <v>131</v>
      </c>
      <c r="E3" t="s">
        <v>132</v>
      </c>
      <c r="F3" t="s">
        <v>131</v>
      </c>
      <c r="G3" t="s">
        <v>302</v>
      </c>
      <c r="H3" t="s">
        <v>131</v>
      </c>
      <c r="I3" t="s">
        <v>131</v>
      </c>
      <c r="J3" t="s">
        <v>131</v>
      </c>
      <c r="K3" t="s">
        <v>131</v>
      </c>
      <c r="L3">
        <v>0.24175608869574</v>
      </c>
      <c r="M3">
        <v>0.24175608869574</v>
      </c>
    </row>
    <row r="4" spans="1:14" ht="12.75">
      <c r="A4" t="s">
        <v>77</v>
      </c>
      <c r="B4" t="s">
        <v>78</v>
      </c>
      <c r="C4" t="s">
        <v>171</v>
      </c>
      <c r="D4" t="s">
        <v>131</v>
      </c>
      <c r="E4" t="s">
        <v>132</v>
      </c>
      <c r="F4" t="s">
        <v>131</v>
      </c>
      <c r="G4" t="s">
        <v>302</v>
      </c>
      <c r="H4" t="s">
        <v>131</v>
      </c>
      <c r="I4" t="s">
        <v>131</v>
      </c>
      <c r="J4" t="s">
        <v>131</v>
      </c>
      <c r="K4" t="s">
        <v>131</v>
      </c>
      <c r="L4">
        <v>0.29872122806778101</v>
      </c>
      <c r="M4">
        <v>0.29872122806778101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DF976D-9BA7-415B-84DA-001C1A906A30}">
  <sheetPr codeName="Sheet12"/>
  <dimension ref="A1:N2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168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0.0118630136986301</v>
      </c>
      <c r="M2">
        <v>0.0118630136986301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33C8A0-6F39-4FB7-B653-B5172ACE9A22}">
  <sheetPr codeName="Sheet13"/>
  <dimension ref="A1:N4"/>
  <sheetViews>
    <sheetView workbookViewId="0" topLeftCell="A1">
      <selection pane="topLeft" activeCell="C2" sqref="C2"/>
    </sheetView>
  </sheetViews>
  <sheetFormatPr defaultRowHeight="12.75"/>
  <cols>
    <col min="3" max="3" width="14.1428571428571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165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0.21098594733224099</v>
      </c>
      <c r="M2">
        <v>0.21098594733224099</v>
      </c>
    </row>
    <row r="3" spans="1:14" ht="12.75">
      <c r="A3" t="s">
        <v>77</v>
      </c>
      <c r="B3" t="s">
        <v>78</v>
      </c>
      <c r="C3" t="s">
        <v>166</v>
      </c>
      <c r="D3" t="s">
        <v>131</v>
      </c>
      <c r="E3" t="s">
        <v>132</v>
      </c>
      <c r="F3" t="s">
        <v>131</v>
      </c>
      <c r="G3" t="s">
        <v>302</v>
      </c>
      <c r="H3" t="s">
        <v>131</v>
      </c>
      <c r="I3" t="s">
        <v>131</v>
      </c>
      <c r="J3" t="s">
        <v>131</v>
      </c>
      <c r="K3" t="s">
        <v>131</v>
      </c>
      <c r="L3">
        <v>0.29847129365993402</v>
      </c>
      <c r="M3">
        <v>0.29847129365993402</v>
      </c>
    </row>
    <row r="4" spans="1:14" ht="12.75">
      <c r="A4" t="s">
        <v>77</v>
      </c>
      <c r="B4" t="s">
        <v>78</v>
      </c>
      <c r="C4" t="s">
        <v>167</v>
      </c>
      <c r="D4" t="s">
        <v>131</v>
      </c>
      <c r="E4" t="s">
        <v>132</v>
      </c>
      <c r="F4" t="s">
        <v>131</v>
      </c>
      <c r="G4" t="s">
        <v>302</v>
      </c>
      <c r="H4" t="s">
        <v>131</v>
      </c>
      <c r="I4" t="s">
        <v>131</v>
      </c>
      <c r="J4" t="s">
        <v>131</v>
      </c>
      <c r="K4" t="s">
        <v>131</v>
      </c>
      <c r="L4">
        <v>0.49065561985780998</v>
      </c>
      <c r="M4">
        <v>0.49065561985780998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7C97CC-9D61-4655-83D0-3753B9DE28B3}">
  <sheetPr codeName="Sheet14"/>
  <dimension ref="A1:N2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164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0.0067195931921959296</v>
      </c>
      <c r="M2">
        <v>0.0067195931921959296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AFE0BD-7396-4A40-957F-AD6D95EB14F4}">
  <sheetPr codeName="Sheet15"/>
  <dimension ref="A1:N4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253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0.0121865123037202</v>
      </c>
      <c r="M2">
        <v>0.0121865123037202</v>
      </c>
    </row>
    <row r="3" spans="1:14" ht="12.75">
      <c r="A3" t="s">
        <v>77</v>
      </c>
      <c r="B3" t="s">
        <v>78</v>
      </c>
      <c r="C3" t="s">
        <v>254</v>
      </c>
      <c r="D3" t="s">
        <v>131</v>
      </c>
      <c r="E3" t="s">
        <v>132</v>
      </c>
      <c r="F3" t="s">
        <v>131</v>
      </c>
      <c r="G3" t="s">
        <v>302</v>
      </c>
      <c r="H3" t="s">
        <v>131</v>
      </c>
      <c r="I3" t="s">
        <v>131</v>
      </c>
      <c r="J3" t="s">
        <v>131</v>
      </c>
      <c r="K3" t="s">
        <v>131</v>
      </c>
      <c r="L3">
        <v>0.0104455975746106</v>
      </c>
      <c r="M3">
        <v>0.0104455975746106</v>
      </c>
    </row>
    <row r="4" spans="1:14" ht="12.75">
      <c r="A4" t="s">
        <v>77</v>
      </c>
      <c r="B4" t="s">
        <v>78</v>
      </c>
      <c r="C4" t="s">
        <v>255</v>
      </c>
      <c r="D4" t="s">
        <v>131</v>
      </c>
      <c r="E4" t="s">
        <v>132</v>
      </c>
      <c r="F4" t="s">
        <v>131</v>
      </c>
      <c r="G4" t="s">
        <v>302</v>
      </c>
      <c r="H4" t="s">
        <v>131</v>
      </c>
      <c r="I4" t="s">
        <v>131</v>
      </c>
      <c r="J4" t="s">
        <v>131</v>
      </c>
      <c r="K4" t="s">
        <v>131</v>
      </c>
      <c r="L4">
        <v>0.010445583301088201</v>
      </c>
      <c r="M4">
        <v>0.010445583301088201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C2F285-9307-42EA-A5DF-0946A8C3784D}">
  <sheetPr codeName="Sheet16"/>
  <dimension ref="A1:N2"/>
  <sheetViews>
    <sheetView workbookViewId="0" topLeftCell="A1">
      <selection pane="topLeft" activeCell="L14" sqref="L14"/>
    </sheetView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145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0.117199391171994</v>
      </c>
      <c r="M2">
        <v>0.117199391171994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0718C5-D068-4563-B06A-974D1CF3294C}">
  <sheetPr codeName="Sheet17"/>
  <dimension ref="A1:N2"/>
  <sheetViews>
    <sheetView workbookViewId="0" topLeftCell="A1">
      <selection pane="topLeft" activeCell="I37" sqref="I37"/>
    </sheetView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</row>
    <row r="2" spans="1:14" ht="12.75">
      <c r="A2" t="s">
        <v>77</v>
      </c>
      <c r="B2" t="s">
        <v>78</v>
      </c>
      <c r="C2" t="s">
        <v>175</v>
      </c>
      <c r="D2" t="s">
        <v>131</v>
      </c>
      <c r="E2" t="s">
        <v>132</v>
      </c>
      <c r="F2" t="s">
        <v>131</v>
      </c>
      <c r="G2" t="s">
        <v>302</v>
      </c>
      <c r="H2" t="s">
        <v>131</v>
      </c>
      <c r="I2" t="s">
        <v>131</v>
      </c>
      <c r="J2" t="s">
        <v>131</v>
      </c>
      <c r="K2" t="s">
        <v>131</v>
      </c>
      <c r="L2">
        <v>0.93569571451266098</v>
      </c>
      <c r="M2">
        <v>0.93569571451266098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LOG</vt:lpstr>
      <vt:lpstr>Regions</vt:lpstr>
      <vt:lpstr>TechSelection</vt:lpstr>
      <vt:lpstr>FillTable</vt:lpstr>
      <vt:lpstr>AF</vt:lpstr>
      <vt:lpstr>EFF</vt:lpstr>
      <vt:lpstr>BY-RSD-WH_AF</vt:lpstr>
      <vt:lpstr>BY-RSD-SH_AF</vt:lpstr>
      <vt:lpstr>BY-RSD-EFF</vt:lpstr>
      <vt:lpstr>BY-RSD-DW</vt:lpstr>
      <vt:lpstr>BY-RSD-PF</vt:lpstr>
      <vt:lpstr>BY-RSD-CD</vt:lpstr>
      <vt:lpstr>BY-RSD-LT</vt:lpstr>
      <vt:lpstr>BY-RSD-CW</vt:lpstr>
      <vt:lpstr>BY-RSD-CK</vt:lpstr>
      <vt:lpstr>BY-RSD-RF</vt:lpstr>
      <vt:lpstr>BY-RSD-OE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Bakytzhan Suleimenov</cp:lastModifiedBy>
  <cp:lastPrinted>2007-01-05T10:33:44Z</cp:lastPrinted>
  <dcterms:created xsi:type="dcterms:W3CDTF">2001-09-28T18:48:17Z</dcterms:created>
  <dcterms:modified xsi:type="dcterms:W3CDTF">2024-03-14T10:41:29Z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138210475444793</vt:r8>
  </property>
</Properties>
</file>