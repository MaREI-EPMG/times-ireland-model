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Suleimenov\Documents\GitHub\times-ireland-model\SuppXLS\"/>
    </mc:Choice>
  </mc:AlternateContent>
  <xr:revisionPtr revIDLastSave="0" documentId="13_ncr:1_{F87FDBEF-FABF-4698-9580-5EEC6465C73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24" r:id="rId1"/>
    <sheet name="Regions" sheetId="15" r:id="rId2"/>
    <sheet name="config" sheetId="20" r:id="rId3"/>
    <sheet name="FF2price" sheetId="23" r:id="rId4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3" l="1"/>
  <c r="J8" i="20"/>
  <c r="J9" i="20"/>
  <c r="J10" i="20"/>
  <c r="J11" i="20"/>
  <c r="J12" i="20"/>
  <c r="J7" i="20"/>
  <c r="E4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/>
  <c r="V7" i="15"/>
  <c r="U7" i="15"/>
  <c r="T7" i="15"/>
  <c r="S7" i="15"/>
  <c r="R6" i="15"/>
  <c r="P6" i="15"/>
  <c r="O3" i="15" a="1"/>
  <c r="O3" i="15"/>
  <c r="N7" i="15"/>
  <c r="M7" i="15"/>
  <c r="L7" i="15"/>
  <c r="K7" i="15"/>
  <c r="J6" i="15"/>
  <c r="H6" i="15"/>
  <c r="G3" i="15" a="1"/>
  <c r="G3" i="15"/>
  <c r="F7" i="15"/>
  <c r="E7" i="15"/>
  <c r="AD3" i="15" a="1"/>
  <c r="AD3" i="15"/>
  <c r="AB3" i="15" a="1"/>
  <c r="AB3" i="15"/>
  <c r="AA3" i="15" a="1"/>
  <c r="AA3" i="15"/>
  <c r="X3" i="15" a="1"/>
  <c r="X3" i="15"/>
  <c r="V3" i="15" a="1"/>
  <c r="V3" i="15"/>
  <c r="Q3" i="15" a="1"/>
  <c r="Q3" i="15"/>
  <c r="P3" i="15" a="1"/>
  <c r="P3" i="15"/>
  <c r="H3" i="15" a="1"/>
  <c r="H3" i="15"/>
  <c r="D3" i="15" a="1"/>
  <c r="D3" i="15"/>
  <c r="C3" i="15" a="1"/>
  <c r="C3" i="15"/>
  <c r="I3" i="15" a="1"/>
  <c r="I3" i="15"/>
  <c r="Y3" i="15" a="1"/>
  <c r="Y3" i="15"/>
  <c r="J3" i="15" a="1"/>
  <c r="J3" i="15"/>
  <c r="K3" i="15" a="1"/>
  <c r="K3" i="15"/>
  <c r="T3" i="15" a="1"/>
  <c r="T3" i="15"/>
  <c r="E3" i="15" a="1"/>
  <c r="E3" i="15"/>
  <c r="N3" i="15" a="1"/>
  <c r="N3" i="15"/>
  <c r="R3" i="15" a="1"/>
  <c r="R3" i="15"/>
  <c r="S3" i="15" a="1"/>
  <c r="S3" i="15"/>
  <c r="F3" i="15" a="1"/>
  <c r="F3" i="15"/>
  <c r="Z3" i="15" a="1"/>
  <c r="Z3" i="15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<sst xmlns="http://schemas.openxmlformats.org/spreadsheetml/2006/main" count="92" uniqueCount="90">
  <si>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</si>
  <si>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</si>
  <si>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</si>
  <si>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</si>
  <si>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</si>
  <si>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</si>
  <si>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</si>
  <si>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</si>
  <si>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</si>
  <si>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</si>
  <si>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</si>
  <si>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</si>
  <si>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</si>
  <si>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</si>
  <si>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</si>
  <si>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</si>
  <si>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</si>
  <si>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</si>
  <si>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</si>
  <si>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</si>
  <si>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</si>
  <si>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</si>
  <si>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</si>
  <si>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</si>
  <si>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</si>
  <si>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</si>
  <si>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</si>
  <si>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</si>
  <si>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</si>
  <si>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</si>
  <si>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</si>
  <si>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</si>
  <si>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</si>
  <si>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</si>
  <si>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</si>
  <si>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</si>
  <si>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</si>
  <si>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</si>
  <si>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</si>
  <si>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</si>
  <si>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</si>
  <si>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</si>
  <si>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</si>
  <si>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</si>
  <si>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</si>
  <si>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</si>
  <si>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</si>
  <si>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</si>
  <si>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</si>
  <si>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</si>
  <si>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</si>
  <si>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</si>
  <si>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</si>
  <si>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</si>
  <si>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</si>
  <si>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</si>
  <si>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</si>
  <si>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</si>
  <si>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</si>
  <si>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</si>
  <si>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</si>
  <si>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Cset_CN</t>
  </si>
  <si>
    <t>TimeSlice</t>
  </si>
  <si>
    <t>Attribute</t>
  </si>
  <si>
    <t>Case #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</si>
  <si>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</si>
  <si>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</si>
  <si>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</si>
  <si>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</si>
  <si>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</si>
  <si>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</si>
  <si>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</si>
  <si>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</si>
  <si>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</si>
  <si>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</si>
  <si>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</si>
  <si>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</si>
  <si>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 - Parametric</t>
  </si>
  <si>
    <t>All</t>
  </si>
  <si>
    <t>Bakytzhan Suleimenov (UCC, bsuleimenov@ucc.ie)</t>
  </si>
  <si>
    <t>Specify carbon price and tax on sectoral basis</t>
  </si>
  <si>
    <t>FF_price</t>
  </si>
  <si>
    <t>~TFM_UPD</t>
  </si>
  <si>
    <t>Pset_PN</t>
  </si>
  <si>
    <t>IRE_PRICE</t>
  </si>
  <si>
    <t>IMPOIL*,IMPGAS*</t>
  </si>
  <si>
    <t>AllRegions</t>
  </si>
  <si>
    <t>~InputCell:1,4</t>
  </si>
  <si>
    <t>ELC, BIO</t>
  </si>
  <si>
    <t>IMPELC*,IMPBIO*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</si>
</sst>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1" fillId="5" borderId="1" xfId="0" applyFont="1" applyFill="1" applyBorder="1"/>
    <xf numFmtId="1" fontId="0" fillId="0" borderId="0" xfId="0" applyNumberFormat="1"/>
    <xf numFmtId="0" fontId="5" fillId="6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7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164" fontId="11" fillId="6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6" borderId="0" xfId="2" applyFont="1" applyFill="1" applyAlignment="1">
      <alignment vertical="center"/>
    </xf>
    <xf numFmtId="0" fontId="6" fillId="6" borderId="0" xfId="1" applyFill="1" applyAlignment="1">
      <alignment vertical="center"/>
    </xf>
    <xf numFmtId="165" fontId="0" fillId="0" borderId="0" xfId="0" applyNumberFormat="1"/>
    <xf numFmtId="2" fontId="0" fillId="0" borderId="0" xfId="0" applyNumberFormat="1"/>
    <xf numFmtId="0" fontId="1" fillId="5" borderId="0" xfId="0" applyFont="1" applyFill="1"/>
    <xf numFmtId="0" fontId="11" fillId="6" borderId="0" xfId="2" applyFont="1" applyFill="1" applyAlignment="1">
      <alignment vertical="center"/>
    </xf>
    <xf numFmtId="0" fontId="7" fillId="6" borderId="0" xfId="2" applyFont="1" applyFill="1" applyAlignment="1">
      <alignment horizontal="center" vertical="center"/>
    </xf>
    <xf numFmtId="0" fontId="6" fillId="6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1494D221-184F-44A1-8114-99305ADA40B4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5D97-54F2-4C7A-839A-18DE73A7A25B}">
  <sheetPr codeName="Sheet5"/>
  <dimension ref="A1:Z99"/>
  <sheetViews>
    <sheetView showGridLines="0" topLeftCell="A8" zoomScaleNormal="100" workbookViewId="0">
      <selection activeCell="B22" sqref="B22"/>
    </sheetView>
  </sheetViews>
  <sheetFormatPr defaultColWidth="8.77734375" defaultRowHeight="14.4" x14ac:dyDescent="0.3"/>
  <cols>
    <col min="1" max="4" width="21.77734375" customWidth="1"/>
    <col min="5" max="6" width="14.21875" customWidth="1"/>
    <col min="7" max="7" width="12.21875" customWidth="1"/>
    <col min="8" max="10" width="8.21875" customWidth="1"/>
    <col min="11" max="11" width="9.77734375" customWidth="1"/>
    <col min="12" max="12" width="8.21875" customWidth="1"/>
    <col min="13" max="13" width="10" customWidth="1"/>
    <col min="14" max="14" width="11.44140625" customWidth="1"/>
    <col min="15" max="15" width="13.44140625" customWidth="1"/>
  </cols>
  <sheetData>
    <row r="1" spans="1:26" x14ac:dyDescent="0.3">
      <c r="A1" s="11"/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">
      <c r="A2" s="11"/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3">
      <c r="A3" s="11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3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">
      <c r="A5" s="11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">
      <c r="A6" s="11"/>
      <c r="B6" s="11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">
      <c r="A7" s="11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3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">
      <c r="A15" s="11"/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02.75" customHeight="1" x14ac:dyDescent="0.3">
      <c r="A16" s="30" t="s">
        <v>65</v>
      </c>
      <c r="B16" s="30"/>
      <c r="C16" s="30"/>
      <c r="D16" s="30"/>
      <c r="E16" s="13"/>
      <c r="F16" s="13"/>
      <c r="G16" s="14"/>
      <c r="H16" s="14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25" customHeight="1" x14ac:dyDescent="0.3">
      <c r="A17" s="15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25" customHeight="1" x14ac:dyDescent="0.3">
      <c r="A18" s="15"/>
      <c r="B18" s="15"/>
      <c r="C18" s="15"/>
      <c r="D18" s="15"/>
      <c r="E18" s="16"/>
      <c r="F18" s="16"/>
      <c r="G18" s="17"/>
      <c r="H18" s="17"/>
      <c r="I18" s="17"/>
      <c r="J18" s="17"/>
      <c r="K18" s="17"/>
      <c r="L18" s="1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25" customHeight="1" x14ac:dyDescent="0.3">
      <c r="A19" s="18" t="s">
        <v>66</v>
      </c>
      <c r="B19" s="29" t="s">
        <v>77</v>
      </c>
      <c r="C19" s="29"/>
      <c r="D19" s="29"/>
      <c r="E19" s="19"/>
      <c r="F19" s="19"/>
      <c r="G19" s="20"/>
      <c r="H19" s="20"/>
      <c r="I19" s="20"/>
      <c r="J19" s="20"/>
      <c r="K19" s="20"/>
      <c r="L19" s="2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25" customHeight="1" x14ac:dyDescent="0.3">
      <c r="A20" s="18" t="s">
        <v>67</v>
      </c>
      <c r="B20" s="29" t="s">
        <v>78</v>
      </c>
      <c r="C20" s="29"/>
      <c r="D20" s="29"/>
      <c r="E20" s="19"/>
      <c r="F20" s="19"/>
      <c r="G20" s="20"/>
      <c r="H20" s="20"/>
      <c r="I20" s="20"/>
      <c r="J20" s="20"/>
      <c r="K20" s="20"/>
      <c r="L20" s="20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25" customHeight="1" x14ac:dyDescent="0.3">
      <c r="A21" s="18" t="s">
        <v>68</v>
      </c>
      <c r="B21" s="21" t="s">
        <v>80</v>
      </c>
      <c r="C21" s="21"/>
      <c r="D21" s="21"/>
      <c r="E21" s="19"/>
      <c r="F21" s="19"/>
      <c r="G21" s="20"/>
      <c r="H21" s="20"/>
      <c r="I21" s="20"/>
      <c r="J21" s="20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7.25" customHeight="1" x14ac:dyDescent="0.3">
      <c r="A22" s="18"/>
      <c r="B22" s="21"/>
      <c r="C22" s="21"/>
      <c r="D22" s="21"/>
      <c r="E22" s="19"/>
      <c r="F22" s="19"/>
      <c r="G22" s="20"/>
      <c r="H22" s="20"/>
      <c r="I22" s="20"/>
      <c r="J22" s="20"/>
      <c r="K22" s="20"/>
      <c r="L22" s="2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25" customHeight="1" x14ac:dyDescent="0.3">
      <c r="A23" s="18" t="s">
        <v>69</v>
      </c>
      <c r="B23" s="29" t="s">
        <v>79</v>
      </c>
      <c r="C23" s="29"/>
      <c r="D23" s="29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25" customHeight="1" x14ac:dyDescent="0.3">
      <c r="A24" s="18"/>
      <c r="B24" s="21"/>
      <c r="C24" s="21"/>
      <c r="D24" s="2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25" customHeight="1" x14ac:dyDescent="0.3">
      <c r="A25" s="18"/>
      <c r="B25" s="21"/>
      <c r="C25" s="21"/>
      <c r="D25" s="2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25" customHeight="1" x14ac:dyDescent="0.3">
      <c r="A26" s="18" t="s">
        <v>70</v>
      </c>
      <c r="B26" s="29" t="s">
        <v>79</v>
      </c>
      <c r="C26" s="29"/>
      <c r="D26" s="2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25" customHeight="1" x14ac:dyDescent="0.3">
      <c r="A27" s="18"/>
      <c r="B27" s="21"/>
      <c r="C27" s="21"/>
      <c r="D27" s="2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25" customHeight="1" x14ac:dyDescent="0.3">
      <c r="A28" s="18"/>
      <c r="B28" s="21"/>
      <c r="C28" s="21"/>
      <c r="D28" s="2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x14ac:dyDescent="0.3">
      <c r="A29" s="18" t="s">
        <v>71</v>
      </c>
      <c r="B29" s="22">
        <v>1</v>
      </c>
      <c r="C29" s="21"/>
      <c r="D29" s="2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25" customHeight="1" x14ac:dyDescent="0.3">
      <c r="A30" s="18" t="s">
        <v>72</v>
      </c>
      <c r="B30" s="31" t="s">
        <v>73</v>
      </c>
      <c r="C30" s="29"/>
      <c r="D30" s="29"/>
      <c r="E30" s="23"/>
      <c r="F30" s="2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25" customHeight="1" x14ac:dyDescent="0.3">
      <c r="A31" s="18" t="s">
        <v>74</v>
      </c>
      <c r="B31" s="29" t="s">
        <v>75</v>
      </c>
      <c r="C31" s="29"/>
      <c r="D31" s="29"/>
      <c r="E31" s="23"/>
      <c r="F31" s="2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25" customHeight="1" x14ac:dyDescent="0.3">
      <c r="A32" s="24"/>
      <c r="B32" s="25" t="s">
        <v>76</v>
      </c>
      <c r="C32" s="24"/>
      <c r="D32" s="24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1CEE63B2-BDCF-4EB6-A1B1-F680A139503F}"/>
    <hyperlink ref="B32" r:id="rId2" xr:uid="{B034561A-DFA3-4D47-B1D7-18312A7C8D0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21875" defaultRowHeight="14.4" x14ac:dyDescent="0.3"/>
  <cols>
    <col min="1" max="1" width="12.21875" customWidth="1"/>
    <col min="2" max="2" width="11.77734375" customWidth="1"/>
    <col min="3" max="3" width="3.21875" bestFit="1" customWidth="1"/>
    <col min="4" max="4" width="8.5546875" bestFit="1" customWidth="1"/>
    <col min="5" max="5" width="6.44140625" bestFit="1" customWidth="1"/>
    <col min="6" max="6" width="4.77734375" bestFit="1" customWidth="1"/>
    <col min="7" max="8" width="5.77734375" bestFit="1" customWidth="1"/>
    <col min="9" max="9" width="5.44140625" bestFit="1" customWidth="1"/>
    <col min="10" max="11" width="5.77734375" bestFit="1" customWidth="1"/>
    <col min="12" max="12" width="6.5546875" bestFit="1" customWidth="1"/>
    <col min="13" max="13" width="6.21875" bestFit="1" customWidth="1"/>
    <col min="14" max="14" width="6.77734375" bestFit="1" customWidth="1"/>
    <col min="15" max="15" width="6.5546875" bestFit="1" customWidth="1"/>
    <col min="16" max="16" width="7.21875" bestFit="1" customWidth="1"/>
    <col min="17" max="17" width="5.77734375" bestFit="1" customWidth="1"/>
    <col min="18" max="18" width="6.21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6.77734375" bestFit="1" customWidth="1"/>
    <col min="23" max="23" width="4.77734375" bestFit="1" customWidth="1"/>
    <col min="24" max="24" width="7.5546875" customWidth="1"/>
    <col min="25" max="25" width="6.77734375" bestFit="1" customWidth="1"/>
    <col min="26" max="26" width="6.21875" bestFit="1" customWidth="1"/>
    <col min="27" max="28" width="6" bestFit="1" customWidth="1"/>
    <col min="29" max="29" width="5.77734375" bestFit="1" customWidth="1"/>
    <col min="30" max="30" width="6.77734375" bestFit="1" customWidth="1"/>
  </cols>
  <sheetData>
    <row r="3" spans="1:30" x14ac:dyDescent="0.3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">
      <c r="A4">
        <v>1</v>
      </c>
    </row>
    <row r="5" spans="1:30" x14ac:dyDescent="0.3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35">
      <c r="A10" s="3" t="s">
        <v>32</v>
      </c>
      <c r="B10" s="3" t="s">
        <v>33</v>
      </c>
    </row>
    <row r="11" spans="1:30" x14ac:dyDescent="0.3">
      <c r="A11" s="4" t="s">
        <v>34</v>
      </c>
      <c r="B11" s="4" t="s">
        <v>26</v>
      </c>
    </row>
    <row r="12" spans="1:30" x14ac:dyDescent="0.3">
      <c r="A12" s="5" t="s">
        <v>35</v>
      </c>
      <c r="B12" s="5" t="s">
        <v>25</v>
      </c>
    </row>
    <row r="13" spans="1:30" x14ac:dyDescent="0.3">
      <c r="A13" s="5" t="s">
        <v>36</v>
      </c>
      <c r="B13" s="5" t="s">
        <v>24</v>
      </c>
    </row>
    <row r="14" spans="1:30" x14ac:dyDescent="0.3">
      <c r="A14" s="5" t="s">
        <v>37</v>
      </c>
      <c r="B14" s="5" t="s">
        <v>23</v>
      </c>
    </row>
    <row r="15" spans="1:30" x14ac:dyDescent="0.3">
      <c r="A15" s="5" t="s">
        <v>38</v>
      </c>
      <c r="B15" s="5" t="s">
        <v>22</v>
      </c>
    </row>
    <row r="16" spans="1:30" x14ac:dyDescent="0.3">
      <c r="A16" s="5" t="s">
        <v>39</v>
      </c>
      <c r="B16" s="5" t="s">
        <v>21</v>
      </c>
    </row>
    <row r="17" spans="1:2" x14ac:dyDescent="0.3">
      <c r="A17" s="5" t="s">
        <v>40</v>
      </c>
      <c r="B17" s="5" t="s">
        <v>20</v>
      </c>
    </row>
    <row r="18" spans="1:2" x14ac:dyDescent="0.3">
      <c r="A18" s="5" t="s">
        <v>41</v>
      </c>
      <c r="B18" s="5" t="s">
        <v>19</v>
      </c>
    </row>
    <row r="19" spans="1:2" x14ac:dyDescent="0.3">
      <c r="A19" s="5" t="s">
        <v>42</v>
      </c>
      <c r="B19" s="5" t="s">
        <v>18</v>
      </c>
    </row>
    <row r="20" spans="1:2" x14ac:dyDescent="0.3">
      <c r="A20" s="5" t="s">
        <v>43</v>
      </c>
      <c r="B20" s="5" t="s">
        <v>17</v>
      </c>
    </row>
    <row r="21" spans="1:2" x14ac:dyDescent="0.3">
      <c r="A21" s="5" t="s">
        <v>44</v>
      </c>
      <c r="B21" s="5" t="s">
        <v>16</v>
      </c>
    </row>
    <row r="22" spans="1:2" x14ac:dyDescent="0.3">
      <c r="A22" s="5" t="s">
        <v>45</v>
      </c>
      <c r="B22" s="5" t="s">
        <v>15</v>
      </c>
    </row>
    <row r="23" spans="1:2" x14ac:dyDescent="0.3">
      <c r="A23" s="5" t="s">
        <v>46</v>
      </c>
      <c r="B23" s="5" t="s">
        <v>14</v>
      </c>
    </row>
    <row r="24" spans="1:2" x14ac:dyDescent="0.3">
      <c r="A24" s="5" t="s">
        <v>47</v>
      </c>
      <c r="B24" s="5" t="s">
        <v>13</v>
      </c>
    </row>
    <row r="25" spans="1:2" x14ac:dyDescent="0.3">
      <c r="A25" s="5" t="s">
        <v>48</v>
      </c>
      <c r="B25" s="5" t="s">
        <v>12</v>
      </c>
    </row>
    <row r="26" spans="1:2" x14ac:dyDescent="0.3">
      <c r="A26" s="5" t="s">
        <v>49</v>
      </c>
      <c r="B26" s="5" t="s">
        <v>11</v>
      </c>
    </row>
    <row r="27" spans="1:2" x14ac:dyDescent="0.3">
      <c r="A27" s="5" t="s">
        <v>50</v>
      </c>
      <c r="B27" s="5" t="s">
        <v>10</v>
      </c>
    </row>
    <row r="28" spans="1:2" x14ac:dyDescent="0.3">
      <c r="A28" s="5" t="s">
        <v>51</v>
      </c>
      <c r="B28" s="5" t="s">
        <v>9</v>
      </c>
    </row>
    <row r="29" spans="1:2" x14ac:dyDescent="0.3">
      <c r="A29" s="5" t="s">
        <v>52</v>
      </c>
      <c r="B29" s="5" t="s">
        <v>8</v>
      </c>
    </row>
    <row r="30" spans="1:2" x14ac:dyDescent="0.3">
      <c r="A30" s="5" t="s">
        <v>53</v>
      </c>
      <c r="B30" s="5" t="s">
        <v>7</v>
      </c>
    </row>
    <row r="31" spans="1:2" x14ac:dyDescent="0.3">
      <c r="A31" s="5" t="s">
        <v>54</v>
      </c>
      <c r="B31" s="5" t="s">
        <v>6</v>
      </c>
    </row>
    <row r="32" spans="1:2" x14ac:dyDescent="0.3">
      <c r="A32" s="5" t="s">
        <v>55</v>
      </c>
      <c r="B32" s="5" t="s">
        <v>5</v>
      </c>
    </row>
    <row r="33" spans="1:2" x14ac:dyDescent="0.3">
      <c r="A33" s="5" t="s">
        <v>56</v>
      </c>
      <c r="B33" s="5" t="s">
        <v>4</v>
      </c>
    </row>
    <row r="34" spans="1:2" x14ac:dyDescent="0.3">
      <c r="A34" s="5" t="s">
        <v>57</v>
      </c>
      <c r="B34" s="5" t="s">
        <v>3</v>
      </c>
    </row>
    <row r="35" spans="1:2" x14ac:dyDescent="0.3">
      <c r="A35" s="5" t="s">
        <v>58</v>
      </c>
      <c r="B35" s="5" t="s">
        <v>2</v>
      </c>
    </row>
    <row r="36" spans="1:2" x14ac:dyDescent="0.3">
      <c r="A36" s="5" t="s">
        <v>59</v>
      </c>
      <c r="B36" s="5" t="s">
        <v>1</v>
      </c>
    </row>
    <row r="37" spans="1:2" x14ac:dyDescent="0.3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2:J48"/>
  <sheetViews>
    <sheetView workbookViewId="0">
      <selection activeCell="L12" sqref="L12"/>
    </sheetView>
  </sheetViews>
  <sheetFormatPr defaultColWidth="9.21875" defaultRowHeight="14.4" x14ac:dyDescent="0.3"/>
  <cols>
    <col min="2" max="2" width="14.5546875" bestFit="1" customWidth="1"/>
    <col min="3" max="3" width="30.21875" bestFit="1" customWidth="1"/>
    <col min="4" max="4" width="28" bestFit="1" customWidth="1"/>
    <col min="9" max="9" width="18.77734375" bestFit="1" customWidth="1"/>
    <col min="13" max="13" width="10.5546875" bestFit="1" customWidth="1"/>
    <col min="14" max="14" width="12" bestFit="1" customWidth="1"/>
  </cols>
  <sheetData>
    <row r="2" spans="2:10" x14ac:dyDescent="0.3">
      <c r="B2" t="s">
        <v>87</v>
      </c>
    </row>
    <row r="3" spans="2:10" x14ac:dyDescent="0.3">
      <c r="B3">
        <v>4</v>
      </c>
    </row>
    <row r="6" spans="2:10" x14ac:dyDescent="0.3">
      <c r="H6" t="s">
        <v>64</v>
      </c>
      <c r="I6" t="s">
        <v>81</v>
      </c>
      <c r="J6" t="s">
        <v>88</v>
      </c>
    </row>
    <row r="7" spans="2:10" x14ac:dyDescent="0.3">
      <c r="H7">
        <v>1</v>
      </c>
      <c r="I7" s="27">
        <v>1.2</v>
      </c>
      <c r="J7" s="27">
        <f>1+(I7-1)*0.75</f>
        <v>1.1499999999999999</v>
      </c>
    </row>
    <row r="8" spans="2:10" x14ac:dyDescent="0.3">
      <c r="H8">
        <v>2</v>
      </c>
      <c r="I8" s="27">
        <v>1.3</v>
      </c>
      <c r="J8" s="27">
        <f t="shared" ref="J8:J12" si="0">1+(I8-1)*0.75</f>
        <v>1.2250000000000001</v>
      </c>
    </row>
    <row r="9" spans="2:10" x14ac:dyDescent="0.3">
      <c r="H9">
        <v>3</v>
      </c>
      <c r="I9" s="27">
        <v>1.4</v>
      </c>
      <c r="J9" s="27">
        <f t="shared" si="0"/>
        <v>1.2999999999999998</v>
      </c>
    </row>
    <row r="10" spans="2:10" x14ac:dyDescent="0.3">
      <c r="H10">
        <v>4</v>
      </c>
      <c r="I10" s="27">
        <v>1.5</v>
      </c>
      <c r="J10" s="27">
        <f t="shared" si="0"/>
        <v>1.375</v>
      </c>
    </row>
    <row r="11" spans="2:10" x14ac:dyDescent="0.3">
      <c r="H11">
        <v>5</v>
      </c>
      <c r="I11" s="27">
        <v>1.6</v>
      </c>
      <c r="J11" s="27">
        <f t="shared" si="0"/>
        <v>1.4500000000000002</v>
      </c>
    </row>
    <row r="12" spans="2:10" x14ac:dyDescent="0.3">
      <c r="H12">
        <v>6</v>
      </c>
      <c r="I12" s="27">
        <v>2</v>
      </c>
      <c r="J12" s="27">
        <f t="shared" si="0"/>
        <v>1.75</v>
      </c>
    </row>
    <row r="23" spans="10:10" x14ac:dyDescent="0.3">
      <c r="J23" s="10"/>
    </row>
    <row r="24" spans="10:10" x14ac:dyDescent="0.3">
      <c r="J24" s="10"/>
    </row>
    <row r="25" spans="10:10" x14ac:dyDescent="0.3">
      <c r="J25" s="10"/>
    </row>
    <row r="26" spans="10:10" x14ac:dyDescent="0.3">
      <c r="J26" s="10"/>
    </row>
    <row r="27" spans="10:10" x14ac:dyDescent="0.3">
      <c r="J27" s="10"/>
    </row>
    <row r="28" spans="10:10" x14ac:dyDescent="0.3">
      <c r="J28" s="10"/>
    </row>
    <row r="29" spans="10:10" x14ac:dyDescent="0.3">
      <c r="J29" s="10"/>
    </row>
    <row r="30" spans="10:10" x14ac:dyDescent="0.3">
      <c r="J30" s="10"/>
    </row>
    <row r="31" spans="10:10" x14ac:dyDescent="0.3">
      <c r="J31" s="10"/>
    </row>
    <row r="32" spans="10:10" x14ac:dyDescent="0.3">
      <c r="J32" s="10"/>
    </row>
    <row r="34" spans="10:10" x14ac:dyDescent="0.3">
      <c r="J34" s="10"/>
    </row>
    <row r="35" spans="10:10" x14ac:dyDescent="0.3">
      <c r="J35" s="10"/>
    </row>
    <row r="36" spans="10:10" x14ac:dyDescent="0.3">
      <c r="J36" s="10"/>
    </row>
    <row r="37" spans="10:10" x14ac:dyDescent="0.3">
      <c r="J37" s="10"/>
    </row>
    <row r="38" spans="10:10" x14ac:dyDescent="0.3">
      <c r="J38" s="10"/>
    </row>
    <row r="39" spans="10:10" x14ac:dyDescent="0.3">
      <c r="J39" s="10"/>
    </row>
    <row r="40" spans="10:10" x14ac:dyDescent="0.3">
      <c r="J40" s="10"/>
    </row>
    <row r="41" spans="10:10" x14ac:dyDescent="0.3">
      <c r="J41" s="10"/>
    </row>
    <row r="42" spans="10:10" x14ac:dyDescent="0.3">
      <c r="J42" s="10"/>
    </row>
    <row r="43" spans="10:10" x14ac:dyDescent="0.3">
      <c r="J43" s="10"/>
    </row>
    <row r="44" spans="10:10" x14ac:dyDescent="0.3">
      <c r="J44" s="10"/>
    </row>
    <row r="45" spans="10:10" x14ac:dyDescent="0.3">
      <c r="J45" s="10"/>
    </row>
    <row r="46" spans="10:10" x14ac:dyDescent="0.3">
      <c r="J46" s="10"/>
    </row>
    <row r="47" spans="10:10" x14ac:dyDescent="0.3">
      <c r="J47" s="10"/>
    </row>
    <row r="48" spans="10:10" x14ac:dyDescent="0.3">
      <c r="J48" s="10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AM10"/>
  <sheetViews>
    <sheetView tabSelected="1" workbookViewId="0">
      <selection activeCell="G6" sqref="G6"/>
    </sheetView>
  </sheetViews>
  <sheetFormatPr defaultRowHeight="14.4" x14ac:dyDescent="0.3"/>
  <cols>
    <col min="2" max="2" width="10.21875" bestFit="1" customWidth="1"/>
    <col min="4" max="4" width="13.77734375" bestFit="1" customWidth="1"/>
    <col min="5" max="5" width="10" customWidth="1"/>
    <col min="6" max="6" width="10.21875" bestFit="1" customWidth="1"/>
  </cols>
  <sheetData>
    <row r="2" spans="2:39" x14ac:dyDescent="0.3">
      <c r="B2" s="8" t="s">
        <v>82</v>
      </c>
    </row>
    <row r="3" spans="2:39" ht="15" thickBot="1" x14ac:dyDescent="0.35">
      <c r="B3" s="9" t="s">
        <v>62</v>
      </c>
      <c r="C3" s="9" t="s">
        <v>0</v>
      </c>
      <c r="D3" s="9" t="s">
        <v>63</v>
      </c>
      <c r="E3" s="9" t="s">
        <v>86</v>
      </c>
      <c r="F3" s="9" t="s">
        <v>61</v>
      </c>
      <c r="G3" s="28" t="s">
        <v>83</v>
      </c>
      <c r="AM3">
        <v>2050</v>
      </c>
    </row>
    <row r="4" spans="2:39" x14ac:dyDescent="0.3">
      <c r="C4" s="7"/>
      <c r="D4" t="s">
        <v>84</v>
      </c>
      <c r="E4" t="str">
        <f>"*"&amp;VLOOKUP(config!$B$3,config!$H$6:$I$12,2,FALSE)</f>
        <v>*1.5</v>
      </c>
      <c r="G4" s="26" t="s">
        <v>85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2:39" x14ac:dyDescent="0.3">
      <c r="D5" t="s">
        <v>84</v>
      </c>
      <c r="E5" t="str">
        <f>"*"&amp;VLOOKUP(config!$B$3,config!$H$6:$J$12,3,FALSE)</f>
        <v>*1.375</v>
      </c>
      <c r="G5" s="26" t="s">
        <v>89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10" spans="2:39" x14ac:dyDescent="0.3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Regions</vt:lpstr>
      <vt:lpstr>config</vt:lpstr>
      <vt:lpstr>FF2price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2026-05-08T12:43:09Z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527377903461456</vt:r8>
  </property>
</Properties>
</file>