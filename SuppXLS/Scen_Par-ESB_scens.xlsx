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ppXLS\"/>
    </mc:Choice>
  </mc:AlternateContent>
  <xr:revisionPtr revIDLastSave="0" documentId="13_ncr:1_{68BF2FA7-82AE-4802-9C2E-4C83E7DC3C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oller" sheetId="15" r:id="rId1"/>
    <sheet name="scens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1" l="1"/>
  <c r="H19" i="11"/>
  <c r="H10" i="11"/>
  <c r="H11" i="11"/>
  <c r="H12" i="11"/>
  <c r="H13" i="11"/>
  <c r="H9" i="11"/>
  <c r="H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I7" authorId="0" shapeId="0" xr:uid="{4313B424-3FAC-4E38-AF2C-4248E1D7653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7" authorId="0" shapeId="0" xr:uid="{A431A0C3-D766-4882-8C64-4A2025E79707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<sst xmlns="http://schemas.openxmlformats.org/spreadsheetml/2006/main" count="205" uniqueCount="67">
  <si>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</si>
  <si>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</si>
  <si>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</si>
  <si>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</si>
  <si>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</si>
  <si>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</si>
  <si>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</si>
  <si>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</si>
  <si>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</si>
  <si>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</si>
  <si>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</si>
  <si>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</si>
  <si>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</si>
  <si>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</si>
  <si>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</si>
  <si>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</si>
  <si>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</si>
  <si>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Trans - Update</t>
  </si>
  <si>
    <t>G_DRATE</t>
  </si>
  <si>
    <t>NCAP_DRATE</t>
  </si>
  <si>
    <t>Default</t>
  </si>
  <si>
    <t>300Mt-BaU</t>
  </si>
  <si>
    <t>Default DR, EU reference scenario 2020</t>
  </si>
  <si>
    <t>No change</t>
  </si>
  <si>
    <t>Industry</t>
  </si>
  <si>
    <t>Households</t>
  </si>
  <si>
    <t>Power generation</t>
  </si>
  <si>
    <t>Freight transport</t>
  </si>
  <si>
    <t>Commercial services</t>
  </si>
  <si>
    <t>300Mt-LED</t>
  </si>
  <si>
    <t>High DR</t>
  </si>
  <si>
    <t>NoCB-BaU</t>
  </si>
  <si>
    <t>Mixed high DR</t>
  </si>
  <si>
    <t>NoCB-LED</t>
  </si>
  <si>
    <t>TRAF</t>
  </si>
  <si>
    <t>I-*</t>
  </si>
  <si>
    <t>R-*</t>
  </si>
  <si>
    <t>P-*</t>
  </si>
  <si>
    <t>S-*</t>
  </si>
  <si>
    <t>T-*</t>
  </si>
  <si>
    <t>PRE</t>
  </si>
  <si>
    <t>~UC_Sets: R_E: IE</t>
  </si>
  <si>
    <t>~UC_Sets: T_S:</t>
  </si>
  <si>
    <t>UC_N</t>
  </si>
  <si>
    <t>Other_indexes</t>
  </si>
  <si>
    <t>UC_CUMCOM</t>
  </si>
  <si>
    <t>UC_CUMFLO</t>
  </si>
  <si>
    <t>UC_RHSR</t>
  </si>
  <si>
    <t>UC_Desc</t>
  </si>
  <si>
    <t>*Units</t>
  </si>
  <si>
    <t>*kt</t>
  </si>
  <si>
    <t>UC_CB_300_Mt_2021-2050_Single</t>
  </si>
  <si>
    <t>TOTCO2</t>
  </si>
  <si>
    <t>ENV</t>
  </si>
  <si>
    <t>NET</t>
  </si>
  <si>
    <t>UP</t>
  </si>
  <si>
    <t>Carbon budget 300 Mt 2021-2050 - Single</t>
  </si>
  <si>
    <t>2021-2060</t>
  </si>
  <si>
    <t>UC_CB_165_Mt_2021-2025_Single</t>
  </si>
  <si>
    <t>2021-2025</t>
  </si>
  <si>
    <t>Carbon budget 165 Mt 2021-2025 - Single</t>
  </si>
  <si>
    <t>Carbon budget 1</t>
  </si>
  <si>
    <t>UC_CB_109_Mt_2026-2030_Single</t>
  </si>
  <si>
    <t>2026-2030</t>
  </si>
  <si>
    <t>Carbon budget 109 Mt 2026-2030 - Single</t>
  </si>
  <si>
    <t>Carbon budget 2</t>
  </si>
  <si>
    <t>~InputCell:1-4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</si>
</sst>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-* #,##0.00\ _€_-;\-* #,##0.00\ _€_-;_-* &quot;-&quot;??\ _€_-;_-@_-"/>
    <numFmt numFmtId="166" formatCode="0.0%"/>
    <numFmt numFmtId="167" formatCode="_ &quot;kr&quot;\ * #,##0_ ;_ &quot;kr&quot;\ * \-#,##0_ ;_ &quot;kr&quot;\ * &quot;-&quot;_ ;_ @_ "/>
    <numFmt numFmtId="168" formatCode="_ &quot;kr&quot;\ * #,##0.00_ ;_ &quot;kr&quot;\ * \-#,##0.00_ ;_ &quot;kr&quot;\ * &quot;-&quot;??_ ;_ @_ "/>
    <numFmt numFmtId="169" formatCode="_([$€]* #,##0.00_);_([$€]* \(#,##0.00\);_([$€]* &quot;-&quot;??_);_(@_)"/>
    <numFmt numFmtId="170" formatCode="_-[$€-2]\ * #,##0.00_-;\-[$€-2]\ * #,##0.00_-;_-[$€-2]\ * &quot;-&quot;??_-"/>
    <numFmt numFmtId="171" formatCode="#,##0;\-\ #,##0;_-\ &quot;- &quot;"/>
    <numFmt numFmtId="172" formatCode="_-&quot;€&quot;\ * #,##0.00_-;\-&quot;€&quot;\ * #,##0.00_-;_-&quot;€&quot;\ * &quot;-&quot;??_-;_-@_-"/>
    <numFmt numFmtId="173" formatCode="_-&quot;$&quot;* #,##0.00_-;\-&quot;$&quot;* #,##0.00_-;_-&quot;$&quot;* &quot;-&quot;??_-;_-@_-"/>
    <numFmt numFmtId="174" formatCode="_([$€-2]* #,##0.00_);_([$€-2]* \(#,##0.00\);_([$€-2]* &quot;-&quot;??_)"/>
    <numFmt numFmtId="175" formatCode="General_)"/>
    <numFmt numFmtId="176" formatCode="_-[$€]* #,##0.00_-;\-[$€]* #,##0.00_-;_-[$€]* &quot;-&quot;??_-;_-@_-"/>
  </numFmts>
  <fonts count="4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11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60"/>
      <name val="Calibri"/>
      <family val="2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1796">
    <xf numFmtId="0" fontId="0" fillId="0" borderId="0"/>
    <xf numFmtId="0" fontId="3" fillId="0" borderId="0"/>
    <xf numFmtId="0" fontId="6" fillId="4" borderId="2" applyNumberFormat="0" applyAlignment="0" applyProtection="0"/>
    <xf numFmtId="0" fontId="8" fillId="0" borderId="0"/>
    <xf numFmtId="0" fontId="3" fillId="0" borderId="0"/>
    <xf numFmtId="0" fontId="7" fillId="0" borderId="0"/>
    <xf numFmtId="0" fontId="10" fillId="0" borderId="0" applyNumberFormat="0" applyFill="0" applyBorder="0" applyAlignment="0" applyProtection="0"/>
    <xf numFmtId="0" fontId="8" fillId="0" borderId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6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22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23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0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4" fontId="31" fillId="29" borderId="5">
      <alignment horizontal="right" vertical="center"/>
    </xf>
    <xf numFmtId="4" fontId="31" fillId="29" borderId="5">
      <alignment horizontal="right" vertical="center"/>
    </xf>
    <xf numFmtId="0" fontId="15" fillId="9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6" fillId="30" borderId="6" applyNumberFormat="0" applyAlignment="0" applyProtection="0"/>
    <xf numFmtId="0" fontId="34" fillId="31" borderId="6" applyNumberFormat="0" applyAlignment="0" applyProtection="0"/>
    <xf numFmtId="0" fontId="34" fillId="31" borderId="6" applyNumberFormat="0" applyAlignment="0" applyProtection="0"/>
    <xf numFmtId="0" fontId="34" fillId="31" borderId="6" applyNumberFormat="0" applyAlignment="0" applyProtection="0"/>
    <xf numFmtId="0" fontId="34" fillId="31" borderId="6" applyNumberFormat="0" applyAlignment="0" applyProtection="0"/>
    <xf numFmtId="0" fontId="34" fillId="31" borderId="6" applyNumberFormat="0" applyAlignment="0" applyProtection="0"/>
    <xf numFmtId="0" fontId="34" fillId="31" borderId="6" applyNumberFormat="0" applyAlignment="0" applyProtection="0"/>
    <xf numFmtId="0" fontId="34" fillId="31" borderId="6" applyNumberFormat="0" applyAlignment="0" applyProtection="0"/>
    <xf numFmtId="0" fontId="34" fillId="31" borderId="6" applyNumberFormat="0" applyAlignment="0" applyProtection="0"/>
    <xf numFmtId="0" fontId="34" fillId="31" borderId="6" applyNumberFormat="0" applyAlignment="0" applyProtection="0"/>
    <xf numFmtId="0" fontId="34" fillId="31" borderId="6" applyNumberFormat="0" applyAlignment="0" applyProtection="0"/>
    <xf numFmtId="0" fontId="17" fillId="32" borderId="7" applyNumberFormat="0" applyAlignment="0" applyProtection="0"/>
    <xf numFmtId="0" fontId="17" fillId="32" borderId="7" applyNumberFormat="0" applyAlignment="0" applyProtection="0"/>
    <xf numFmtId="0" fontId="17" fillId="32" borderId="7" applyNumberFormat="0" applyAlignment="0" applyProtection="0"/>
    <xf numFmtId="0" fontId="17" fillId="32" borderId="7" applyNumberFormat="0" applyAlignment="0" applyProtection="0"/>
    <xf numFmtId="0" fontId="17" fillId="32" borderId="7" applyNumberFormat="0" applyAlignment="0" applyProtection="0"/>
    <xf numFmtId="0" fontId="17" fillId="32" borderId="7" applyNumberFormat="0" applyAlignment="0" applyProtection="0"/>
    <xf numFmtId="0" fontId="17" fillId="32" borderId="7" applyNumberFormat="0" applyAlignment="0" applyProtection="0"/>
    <xf numFmtId="0" fontId="17" fillId="32" borderId="7" applyNumberFormat="0" applyAlignment="0" applyProtection="0"/>
    <xf numFmtId="0" fontId="17" fillId="32" borderId="7" applyNumberFormat="0" applyAlignment="0" applyProtection="0"/>
    <xf numFmtId="0" fontId="17" fillId="32" borderId="7" applyNumberFormat="0" applyAlignment="0" applyProtection="0"/>
    <xf numFmtId="0" fontId="17" fillId="32" borderId="7" applyNumberFormat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3" fillId="0" borderId="0" applyFont="0" applyFill="0" applyBorder="0" applyAlignment="0" applyProtection="0"/>
    <xf numFmtId="0" fontId="32" fillId="0" borderId="8">
      <alignment horizontal="left" vertical="center" wrapText="1" indent="2"/>
    </xf>
    <xf numFmtId="169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19" fillId="11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20" fillId="0" borderId="9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21" fillId="0" borderId="11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22" fillId="0" borderId="13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2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14" borderId="6" applyNumberFormat="0" applyAlignment="0" applyProtection="0"/>
    <xf numFmtId="0" fontId="23" fillId="17" borderId="6" applyNumberFormat="0" applyAlignment="0" applyProtection="0"/>
    <xf numFmtId="0" fontId="23" fillId="17" borderId="6" applyNumberFormat="0" applyAlignment="0" applyProtection="0"/>
    <xf numFmtId="0" fontId="23" fillId="17" borderId="6" applyNumberFormat="0" applyAlignment="0" applyProtection="0"/>
    <xf numFmtId="0" fontId="23" fillId="17" borderId="6" applyNumberFormat="0" applyAlignment="0" applyProtection="0"/>
    <xf numFmtId="0" fontId="23" fillId="17" borderId="6" applyNumberFormat="0" applyAlignment="0" applyProtection="0"/>
    <xf numFmtId="0" fontId="23" fillId="17" borderId="6" applyNumberFormat="0" applyAlignment="0" applyProtection="0"/>
    <xf numFmtId="0" fontId="23" fillId="17" borderId="6" applyNumberFormat="0" applyAlignment="0" applyProtection="0"/>
    <xf numFmtId="0" fontId="23" fillId="17" borderId="6" applyNumberFormat="0" applyAlignment="0" applyProtection="0"/>
    <xf numFmtId="0" fontId="23" fillId="17" borderId="6" applyNumberFormat="0" applyAlignment="0" applyProtection="0"/>
    <xf numFmtId="0" fontId="23" fillId="17" borderId="6" applyNumberFormat="0" applyAlignment="0" applyProtection="0"/>
    <xf numFmtId="4" fontId="32" fillId="0" borderId="0" applyBorder="0">
      <alignment horizontal="right" vertical="center"/>
    </xf>
    <xf numFmtId="0" fontId="24" fillId="0" borderId="15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165" fontId="3" fillId="0" borderId="0" applyFont="0" applyFill="0" applyBorder="0" applyAlignment="0" applyProtection="0"/>
    <xf numFmtId="0" fontId="12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164" fontId="4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0" fontId="7" fillId="0" borderId="0"/>
    <xf numFmtId="166" fontId="4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40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5" fontId="40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2" fillId="0" borderId="5" applyFill="0" applyBorder="0" applyProtection="0">
      <alignment horizontal="right" vertical="center"/>
    </xf>
    <xf numFmtId="0" fontId="33" fillId="0" borderId="0" applyNumberFormat="0" applyFill="0" applyBorder="0" applyProtection="0">
      <alignment horizontal="left" vertical="center"/>
    </xf>
    <xf numFmtId="0" fontId="3" fillId="33" borderId="0" applyNumberFormat="0" applyFont="0" applyBorder="0" applyAlignment="0" applyProtection="0"/>
    <xf numFmtId="0" fontId="13" fillId="0" borderId="0"/>
    <xf numFmtId="0" fontId="1" fillId="12" borderId="17" applyNumberFormat="0" applyFont="0" applyAlignment="0" applyProtection="0"/>
    <xf numFmtId="0" fontId="3" fillId="12" borderId="17" applyNumberFormat="0" applyFont="0" applyAlignment="0" applyProtection="0"/>
    <xf numFmtId="0" fontId="3" fillId="12" borderId="17" applyNumberFormat="0" applyFont="0" applyAlignment="0" applyProtection="0"/>
    <xf numFmtId="0" fontId="3" fillId="12" borderId="17" applyNumberFormat="0" applyFont="0" applyAlignment="0" applyProtection="0"/>
    <xf numFmtId="0" fontId="3" fillId="12" borderId="17" applyNumberFormat="0" applyFont="0" applyAlignment="0" applyProtection="0"/>
    <xf numFmtId="0" fontId="3" fillId="12" borderId="17" applyNumberFormat="0" applyFont="0" applyAlignment="0" applyProtection="0"/>
    <xf numFmtId="0" fontId="3" fillId="12" borderId="17" applyNumberFormat="0" applyFont="0" applyAlignment="0" applyProtection="0"/>
    <xf numFmtId="0" fontId="3" fillId="12" borderId="17" applyNumberFormat="0" applyFont="0" applyAlignment="0" applyProtection="0"/>
    <xf numFmtId="0" fontId="3" fillId="12" borderId="17" applyNumberFormat="0" applyFont="0" applyAlignment="0" applyProtection="0"/>
    <xf numFmtId="0" fontId="3" fillId="12" borderId="17" applyNumberFormat="0" applyFont="0" applyAlignment="0" applyProtection="0"/>
    <xf numFmtId="0" fontId="3" fillId="12" borderId="17" applyNumberFormat="0" applyFont="0" applyAlignment="0" applyProtection="0"/>
    <xf numFmtId="0" fontId="3" fillId="12" borderId="17" applyNumberFormat="0" applyFont="0" applyAlignment="0" applyProtection="0"/>
    <xf numFmtId="0" fontId="3" fillId="12" borderId="17" applyNumberFormat="0" applyFont="0" applyAlignment="0" applyProtection="0"/>
    <xf numFmtId="0" fontId="3" fillId="12" borderId="17" applyNumberFormat="0" applyFont="0" applyAlignment="0" applyProtection="0"/>
    <xf numFmtId="0" fontId="3" fillId="12" borderId="17" applyNumberFormat="0" applyFont="0" applyAlignment="0" applyProtection="0"/>
    <xf numFmtId="0" fontId="3" fillId="12" borderId="17" applyNumberFormat="0" applyFont="0" applyAlignment="0" applyProtection="0"/>
    <xf numFmtId="0" fontId="3" fillId="12" borderId="17" applyNumberFormat="0" applyFont="0" applyAlignment="0" applyProtection="0"/>
    <xf numFmtId="0" fontId="3" fillId="12" borderId="17" applyNumberFormat="0" applyFont="0" applyAlignment="0" applyProtection="0"/>
    <xf numFmtId="0" fontId="3" fillId="12" borderId="17" applyNumberFormat="0" applyFont="0" applyAlignment="0" applyProtection="0"/>
    <xf numFmtId="0" fontId="3" fillId="12" borderId="17" applyNumberFormat="0" applyFont="0" applyAlignment="0" applyProtection="0"/>
    <xf numFmtId="0" fontId="3" fillId="12" borderId="17" applyNumberFormat="0" applyFont="0" applyAlignment="0" applyProtection="0"/>
    <xf numFmtId="0" fontId="3" fillId="12" borderId="17" applyNumberFormat="0" applyFont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25" fillId="30" borderId="18" applyNumberFormat="0" applyAlignment="0" applyProtection="0"/>
    <xf numFmtId="0" fontId="25" fillId="31" borderId="18" applyNumberFormat="0" applyAlignment="0" applyProtection="0"/>
    <xf numFmtId="0" fontId="25" fillId="31" borderId="18" applyNumberFormat="0" applyAlignment="0" applyProtection="0"/>
    <xf numFmtId="0" fontId="25" fillId="31" borderId="18" applyNumberFormat="0" applyAlignment="0" applyProtection="0"/>
    <xf numFmtId="0" fontId="25" fillId="31" borderId="18" applyNumberFormat="0" applyAlignment="0" applyProtection="0"/>
    <xf numFmtId="0" fontId="25" fillId="31" borderId="18" applyNumberFormat="0" applyAlignment="0" applyProtection="0"/>
    <xf numFmtId="0" fontId="25" fillId="31" borderId="18" applyNumberFormat="0" applyAlignment="0" applyProtection="0"/>
    <xf numFmtId="0" fontId="25" fillId="31" borderId="18" applyNumberFormat="0" applyAlignment="0" applyProtection="0"/>
    <xf numFmtId="0" fontId="25" fillId="31" borderId="18" applyNumberFormat="0" applyAlignment="0" applyProtection="0"/>
    <xf numFmtId="0" fontId="25" fillId="31" borderId="18" applyNumberFormat="0" applyAlignment="0" applyProtection="0"/>
    <xf numFmtId="0" fontId="25" fillId="31" borderId="18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0" fontId="3" fillId="0" borderId="0"/>
    <xf numFmtId="0" fontId="3" fillId="0" borderId="5" applyNumberFormat="0" applyFill="0" applyProtection="0">
      <alignment horizontal="right"/>
    </xf>
    <xf numFmtId="0" fontId="3" fillId="0" borderId="5" applyNumberFormat="0" applyFill="0" applyProtection="0">
      <alignment horizontal="right"/>
    </xf>
    <xf numFmtId="0" fontId="3" fillId="0" borderId="5" applyNumberFormat="0" applyFill="0" applyProtection="0">
      <alignment horizontal="right"/>
    </xf>
    <xf numFmtId="0" fontId="3" fillId="0" borderId="5" applyNumberFormat="0" applyFill="0" applyProtection="0">
      <alignment horizontal="right"/>
    </xf>
    <xf numFmtId="0" fontId="2" fillId="34" borderId="5" applyNumberFormat="0" applyProtection="0">
      <alignment horizontal="right"/>
    </xf>
    <xf numFmtId="0" fontId="30" fillId="34" borderId="0" applyNumberFormat="0" applyBorder="0" applyProtection="0">
      <alignment horizontal="left"/>
    </xf>
    <xf numFmtId="0" fontId="2" fillId="34" borderId="5" applyNumberFormat="0" applyProtection="0">
      <alignment horizontal="left"/>
    </xf>
    <xf numFmtId="0" fontId="3" fillId="0" borderId="5" applyNumberFormat="0" applyFill="0" applyProtection="0">
      <alignment horizontal="right"/>
    </xf>
    <xf numFmtId="0" fontId="3" fillId="0" borderId="5" applyNumberFormat="0" applyFill="0" applyProtection="0">
      <alignment horizontal="right"/>
    </xf>
    <xf numFmtId="0" fontId="3" fillId="0" borderId="5" applyNumberFormat="0" applyFill="0" applyProtection="0">
      <alignment horizontal="right"/>
    </xf>
    <xf numFmtId="0" fontId="3" fillId="0" borderId="5" applyNumberFormat="0" applyFill="0" applyProtection="0">
      <alignment horizontal="right"/>
    </xf>
    <xf numFmtId="0" fontId="28" fillId="35" borderId="0" applyNumberFormat="0" applyBorder="0" applyProtection="0">
      <alignment horizontal="left"/>
    </xf>
    <xf numFmtId="0" fontId="26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1" fillId="0" borderId="19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168" fontId="2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4" fontId="32" fillId="0" borderId="0"/>
    <xf numFmtId="0" fontId="42" fillId="0" borderId="0" applyNumberFormat="0" applyFill="0" applyBorder="0" applyAlignment="0" applyProtection="0">
      <alignment vertical="center"/>
    </xf>
    <xf numFmtId="0" fontId="7" fillId="0" borderId="0"/>
    <xf numFmtId="0" fontId="3" fillId="0" borderId="0"/>
  </cellStyleXfs>
  <cellXfs count="19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6" fillId="4" borderId="2" xfId="2"/>
    <xf numFmtId="0" fontId="9" fillId="0" borderId="3" xfId="3" applyFont="1" applyBorder="1"/>
    <xf numFmtId="10" fontId="0" fillId="0" borderId="0" xfId="0" applyNumberFormat="1"/>
    <xf numFmtId="9" fontId="0" fillId="0" borderId="0" xfId="0" applyNumberFormat="1"/>
    <xf numFmtId="0" fontId="0" fillId="0" borderId="4" xfId="0" applyBorder="1"/>
    <xf numFmtId="0" fontId="3" fillId="0" borderId="0" xfId="0" applyFont="1"/>
    <xf numFmtId="0" fontId="11" fillId="0" borderId="0" xfId="0" applyFont="1"/>
    <xf numFmtId="0" fontId="2" fillId="5" borderId="0" xfId="0" applyFont="1" applyFill="1"/>
    <xf numFmtId="0" fontId="2" fillId="6" borderId="0" xfId="0" applyFont="1" applyFill="1"/>
    <xf numFmtId="0" fontId="2" fillId="0" borderId="0" xfId="0" applyFont="1"/>
    <xf numFmtId="0" fontId="2" fillId="0" borderId="4" xfId="0" applyFont="1" applyBorder="1"/>
    <xf numFmtId="1" fontId="0" fillId="0" borderId="0" xfId="0" applyNumberFormat="1"/>
  </cellXfs>
  <cellStyles count="1796">
    <cellStyle name="20% - Accent1 2" xfId="8" xr:uid="{34E2C83D-38DB-4C35-B871-1B2BEE6E66A7}"/>
    <cellStyle name="20% - Accent1 2 10" xfId="9" xr:uid="{6F779B89-9402-47C2-A474-C9602056F057}"/>
    <cellStyle name="20% - Accent1 2 11" xfId="10" xr:uid="{C150E038-7417-4FCC-87AB-FBD9753E1EA2}"/>
    <cellStyle name="20% - Accent1 2 12" xfId="11" xr:uid="{FE863680-1954-402C-9BCA-50B1951DA478}"/>
    <cellStyle name="20% - Accent1 2 13" xfId="12" xr:uid="{8ED6ABB9-7D01-4FCA-BA2D-A82136337AE7}"/>
    <cellStyle name="20% - Accent1 2 14" xfId="13" xr:uid="{3BF0687C-0AC9-4395-813B-7A55940B8258}"/>
    <cellStyle name="20% - Accent1 2 15" xfId="14" xr:uid="{24660F82-C55C-48D1-8432-3ABB58763692}"/>
    <cellStyle name="20% - Accent1 2 2" xfId="15" xr:uid="{6D1BBE43-2562-4A2C-849F-5F9139749DBF}"/>
    <cellStyle name="20% - Accent1 2 3" xfId="16" xr:uid="{5468553E-C4F7-468E-A1D1-21AAB991FA6A}"/>
    <cellStyle name="20% - Accent1 2 4" xfId="17" xr:uid="{8E94F7ED-8A78-4DEB-BDA0-F854E64BA39D}"/>
    <cellStyle name="20% - Accent1 2 5" xfId="18" xr:uid="{23620555-7844-420D-A5B1-A6E06666826F}"/>
    <cellStyle name="20% - Accent1 2 6" xfId="19" xr:uid="{3BCA4BDC-1F7C-442F-84AD-0BB862F0294F}"/>
    <cellStyle name="20% - Accent1 2 7" xfId="20" xr:uid="{7C54B8CA-4B0B-4F1E-A146-6491949FDB16}"/>
    <cellStyle name="20% - Accent1 2 8" xfId="21" xr:uid="{898DE67C-7C60-4405-8349-09728AFD81C0}"/>
    <cellStyle name="20% - Accent1 2 9" xfId="22" xr:uid="{05EBC0A7-E078-49C9-937A-044681147B6E}"/>
    <cellStyle name="20% - Accent1 3" xfId="23" xr:uid="{94149CA3-D605-4279-9FD4-76BE5854928A}"/>
    <cellStyle name="20% - Accent1 4" xfId="24" xr:uid="{2526E21E-D519-4ED8-9E37-5542EA162E30}"/>
    <cellStyle name="20% - Accent1 5" xfId="25" xr:uid="{42A19549-569E-44E2-91E5-8D7253A76624}"/>
    <cellStyle name="20% - Accent1 6" xfId="26" xr:uid="{3B506B9D-5EFA-4A75-9173-1F456A597CB2}"/>
    <cellStyle name="20% - Accent1 7" xfId="27" xr:uid="{9C66C7A3-9925-4809-BF37-BD99A54D3006}"/>
    <cellStyle name="20% - Accent1 8" xfId="28" xr:uid="{EA30B049-CC0E-49C3-B7CE-0A6DD147DCDA}"/>
    <cellStyle name="20% - Accent2 2" xfId="29" xr:uid="{74A008FC-0479-4540-810E-30B36A25AA28}"/>
    <cellStyle name="20% - Accent2 2 10" xfId="30" xr:uid="{F0EBDDD1-F6B2-469B-B401-44204BBA00C1}"/>
    <cellStyle name="20% - Accent2 2 11" xfId="31" xr:uid="{A7664CF6-7485-42F6-8130-1AB81B5D63AD}"/>
    <cellStyle name="20% - Accent2 2 12" xfId="32" xr:uid="{67499DBC-842C-47FA-B26D-86A983CC8735}"/>
    <cellStyle name="20% - Accent2 2 13" xfId="33" xr:uid="{FBCE1605-9FD4-4944-B2F0-FD585BB89FC9}"/>
    <cellStyle name="20% - Accent2 2 14" xfId="34" xr:uid="{A4AC513A-C864-47D2-AB70-36109E4F5FC8}"/>
    <cellStyle name="20% - Accent2 2 15" xfId="35" xr:uid="{405133DD-B541-4F38-9654-3FFD301A51CE}"/>
    <cellStyle name="20% - Accent2 2 2" xfId="36" xr:uid="{5CA9EC60-037A-4FAF-AE01-625330CDB7EF}"/>
    <cellStyle name="20% - Accent2 2 3" xfId="37" xr:uid="{54FDA38E-495E-43A0-84AC-1739002522AC}"/>
    <cellStyle name="20% - Accent2 2 4" xfId="38" xr:uid="{3C74307E-4DC8-4575-9D16-3B89FC1013B9}"/>
    <cellStyle name="20% - Accent2 2 5" xfId="39" xr:uid="{28B6C2D3-D1E5-423A-AB2E-253FF68E9DA6}"/>
    <cellStyle name="20% - Accent2 2 6" xfId="40" xr:uid="{BBB79F67-066D-42F7-B7FF-653A3B1A54A0}"/>
    <cellStyle name="20% - Accent2 2 7" xfId="41" xr:uid="{3F22DAC8-2CDE-46A8-9159-6661F2E5BBC5}"/>
    <cellStyle name="20% - Accent2 2 8" xfId="42" xr:uid="{FB07F598-7C92-4927-AB9E-9499A480AF53}"/>
    <cellStyle name="20% - Accent2 2 9" xfId="43" xr:uid="{96B3D154-D535-4564-9A03-F963B2492527}"/>
    <cellStyle name="20% - Accent2 3" xfId="44" xr:uid="{74E2A0A9-8D9F-4B1F-B293-E0FF84FBBDD3}"/>
    <cellStyle name="20% - Accent2 4" xfId="45" xr:uid="{F062CBB7-0C22-4C2C-AC01-AC83D8E2F6BF}"/>
    <cellStyle name="20% - Accent2 5" xfId="46" xr:uid="{32641E81-A2F3-4345-A9C7-406082BCC113}"/>
    <cellStyle name="20% - Accent2 6" xfId="47" xr:uid="{BF421247-63AD-469C-8D21-432CCC50A281}"/>
    <cellStyle name="20% - Accent2 7" xfId="48" xr:uid="{7723A62E-BE09-41C1-9DE1-B6247C797D69}"/>
    <cellStyle name="20% - Accent2 8" xfId="49" xr:uid="{ACBB9332-4AC3-45B7-A01F-BD9797B21613}"/>
    <cellStyle name="20% - Accent3 2" xfId="50" xr:uid="{64B74B5F-B42E-4014-AFD7-EFBD0CF8C545}"/>
    <cellStyle name="20% - Accent3 2 10" xfId="51" xr:uid="{FA926B93-968B-4DD0-A92C-CA3A9E454D2F}"/>
    <cellStyle name="20% - Accent3 2 11" xfId="52" xr:uid="{FFF67475-BAAD-49A7-A5D3-505D5C8EDC94}"/>
    <cellStyle name="20% - Accent3 2 12" xfId="53" xr:uid="{B112E073-D0A4-4FDB-87B6-824E20927A66}"/>
    <cellStyle name="20% - Accent3 2 13" xfId="54" xr:uid="{FE8C3904-2A89-40E1-99DC-CAA34AD835E9}"/>
    <cellStyle name="20% - Accent3 2 14" xfId="55" xr:uid="{8D5F325A-79A6-47AB-8613-C9D5FC3B3A95}"/>
    <cellStyle name="20% - Accent3 2 15" xfId="56" xr:uid="{D7794078-38F7-48C3-93EF-108814AAD0C8}"/>
    <cellStyle name="20% - Accent3 2 2" xfId="57" xr:uid="{E88E6E29-D032-486B-8E0A-D23C5CBA97AC}"/>
    <cellStyle name="20% - Accent3 2 3" xfId="58" xr:uid="{3883101C-B42D-474D-B63F-8731C82CB1AC}"/>
    <cellStyle name="20% - Accent3 2 4" xfId="59" xr:uid="{4F9D37FD-1C92-4C2C-B7B1-BCE62672B91D}"/>
    <cellStyle name="20% - Accent3 2 5" xfId="60" xr:uid="{8074848D-FFCA-4E13-AEEB-CA0DE04C0007}"/>
    <cellStyle name="20% - Accent3 2 6" xfId="61" xr:uid="{7490A998-1EE8-44E9-B1EA-7A345BD1C5E2}"/>
    <cellStyle name="20% - Accent3 2 7" xfId="62" xr:uid="{CE42CE11-B913-4258-B448-68213F4EFFDE}"/>
    <cellStyle name="20% - Accent3 2 8" xfId="63" xr:uid="{AC9F4278-0A2E-4CDD-9087-1D2BF3A40ED2}"/>
    <cellStyle name="20% - Accent3 2 9" xfId="64" xr:uid="{A3931B04-E6B6-4E94-8635-5C51799E9306}"/>
    <cellStyle name="20% - Accent3 3" xfId="65" xr:uid="{8210FDB5-7BE9-412E-AC6E-3A001FC656ED}"/>
    <cellStyle name="20% - Accent3 4" xfId="66" xr:uid="{9A825FDA-BCA4-4ABC-8475-692F0B1155EE}"/>
    <cellStyle name="20% - Accent3 5" xfId="67" xr:uid="{A6C4940E-0230-4DB7-8A3D-D439727FE518}"/>
    <cellStyle name="20% - Accent3 6" xfId="68" xr:uid="{A74181DE-234F-41DF-8F63-BBB53285FAD1}"/>
    <cellStyle name="20% - Accent3 7" xfId="69" xr:uid="{CA5B58EE-C0C0-492C-8F83-7B7B73FE6FC9}"/>
    <cellStyle name="20% - Accent3 8" xfId="70" xr:uid="{33515F71-962D-4B70-A855-E89D0CE812BD}"/>
    <cellStyle name="20% - Accent4 2" xfId="71" xr:uid="{20078E8A-334A-4741-BC8B-84784D73100F}"/>
    <cellStyle name="20% - Accent4 2 10" xfId="72" xr:uid="{9535CF03-2A3F-4E5D-B4CC-E9E8E3F9C76C}"/>
    <cellStyle name="20% - Accent4 2 11" xfId="73" xr:uid="{71F9C2B2-646A-4CCA-B69C-ED67A9A13059}"/>
    <cellStyle name="20% - Accent4 2 12" xfId="74" xr:uid="{04C9D7AC-8315-4624-99B1-7EA4B0A2CC76}"/>
    <cellStyle name="20% - Accent4 2 13" xfId="75" xr:uid="{9F7E365D-679D-4DFF-BE88-EE195EB2B09D}"/>
    <cellStyle name="20% - Accent4 2 14" xfId="76" xr:uid="{4B1D7E52-58D7-49EA-8D04-FC0BC147766F}"/>
    <cellStyle name="20% - Accent4 2 15" xfId="77" xr:uid="{B144A828-F788-408C-B0C3-1FCBDEA6E409}"/>
    <cellStyle name="20% - Accent4 2 2" xfId="78" xr:uid="{649C83DA-0328-44AC-B42D-64BD74667E73}"/>
    <cellStyle name="20% - Accent4 2 3" xfId="79" xr:uid="{60648AAB-66EA-4FDA-BF34-E1D2168DF932}"/>
    <cellStyle name="20% - Accent4 2 4" xfId="80" xr:uid="{1AD991B3-294E-4D1F-B906-4B90D75710EA}"/>
    <cellStyle name="20% - Accent4 2 5" xfId="81" xr:uid="{A61FB415-25D8-41C7-85A1-837BDEF25B2A}"/>
    <cellStyle name="20% - Accent4 2 6" xfId="82" xr:uid="{C65C19A5-851A-4A86-8C5C-025FA66B0B42}"/>
    <cellStyle name="20% - Accent4 2 7" xfId="83" xr:uid="{2258AD10-BE98-42E4-BA6C-3F87E0123D5E}"/>
    <cellStyle name="20% - Accent4 2 8" xfId="84" xr:uid="{07D79942-1B6B-4079-84AD-7BF66CC4BF71}"/>
    <cellStyle name="20% - Accent4 2 9" xfId="85" xr:uid="{F4CF479B-D695-441D-BDD7-B91CCFEFF188}"/>
    <cellStyle name="20% - Accent4 3" xfId="86" xr:uid="{47BC5914-73D1-4880-9636-5C329DDBDC73}"/>
    <cellStyle name="20% - Accent4 4" xfId="87" xr:uid="{EBA688BD-F23E-4C02-96A5-DD29CD5FC203}"/>
    <cellStyle name="20% - Accent4 5" xfId="88" xr:uid="{F2EEAB9D-8C88-4F4E-87A2-C6EE491A7044}"/>
    <cellStyle name="20% - Accent4 6" xfId="89" xr:uid="{D36FCE84-7183-4407-83AE-046E9BCACE5A}"/>
    <cellStyle name="20% - Accent4 7" xfId="90" xr:uid="{EC722BE5-C58F-4570-B7C1-1ABFB1A95D92}"/>
    <cellStyle name="20% - Accent4 8" xfId="91" xr:uid="{F4FE7A61-B326-4EE8-BECB-6ADA11BB880C}"/>
    <cellStyle name="20% - Accent5 2" xfId="92" xr:uid="{1B9DA709-52FA-49B1-8374-EA111B7F059C}"/>
    <cellStyle name="20% - Accent5 2 10" xfId="93" xr:uid="{A2E85C0D-CAF5-4715-B47D-B1026D6C08BF}"/>
    <cellStyle name="20% - Accent5 2 11" xfId="94" xr:uid="{DD117758-34CC-4BBB-9DE8-25E2F4DF1079}"/>
    <cellStyle name="20% - Accent5 2 12" xfId="95" xr:uid="{D17B5816-CB9E-49E7-A4FA-9BF35B61786F}"/>
    <cellStyle name="20% - Accent5 2 13" xfId="96" xr:uid="{AA6FB880-A51C-494D-B141-92CB2A555EF5}"/>
    <cellStyle name="20% - Accent5 2 14" xfId="97" xr:uid="{E47E70AA-82DA-4342-A34E-24D6C33405AE}"/>
    <cellStyle name="20% - Accent5 2 15" xfId="98" xr:uid="{8F0831B8-5981-48BF-9C61-B8291D800902}"/>
    <cellStyle name="20% - Accent5 2 2" xfId="99" xr:uid="{5A95DD38-D1F8-405D-82BD-10B2F03A6751}"/>
    <cellStyle name="20% - Accent5 2 3" xfId="100" xr:uid="{92937EC7-8926-43A8-8A31-65995F4C7111}"/>
    <cellStyle name="20% - Accent5 2 4" xfId="101" xr:uid="{1B0AD972-6B2E-4A06-A159-4E0F2B44EFFD}"/>
    <cellStyle name="20% - Accent5 2 5" xfId="102" xr:uid="{7DE07585-11AE-4090-876C-621399D86C2C}"/>
    <cellStyle name="20% - Accent5 2 6" xfId="103" xr:uid="{0DC85A0D-3A0A-4F96-B351-785076CCCE6F}"/>
    <cellStyle name="20% - Accent5 2 7" xfId="104" xr:uid="{7967D195-4F90-49F5-AE3B-254ED9DFD883}"/>
    <cellStyle name="20% - Accent5 2 8" xfId="105" xr:uid="{B95A2D17-2F52-4013-BE67-A78A8D2D43C9}"/>
    <cellStyle name="20% - Accent5 2 9" xfId="106" xr:uid="{B4C0864E-F49B-4BF6-B895-477E9838269C}"/>
    <cellStyle name="20% - Accent5 3" xfId="107" xr:uid="{E2142CF6-9C9D-41F6-8F7D-866BA786997E}"/>
    <cellStyle name="20% - Accent5 4" xfId="108" xr:uid="{BDD9FB83-DE41-48C2-9E4B-374D29901FC0}"/>
    <cellStyle name="20% - Accent5 5" xfId="109" xr:uid="{3F365BD4-7FD5-475D-A302-D64525A278F7}"/>
    <cellStyle name="20% - Accent5 6" xfId="110" xr:uid="{32EB5303-24F3-471C-8A36-98D68ED68656}"/>
    <cellStyle name="20% - Accent5 7" xfId="111" xr:uid="{5BD15B17-EF2F-4576-8A26-2F1D50DAD158}"/>
    <cellStyle name="20% - Accent5 8" xfId="112" xr:uid="{C133CA8D-63A6-42BB-B72A-30F084C46F55}"/>
    <cellStyle name="20% - Accent6 2" xfId="113" xr:uid="{EBD56C2F-8653-484B-A86D-825A7B9C0A08}"/>
    <cellStyle name="20% - Accent6 2 10" xfId="114" xr:uid="{BCAACC1C-F81D-4747-955B-6F93C43B54CE}"/>
    <cellStyle name="20% - Accent6 2 11" xfId="115" xr:uid="{E44F9B40-6232-455E-8E77-F6E362473C15}"/>
    <cellStyle name="20% - Accent6 2 12" xfId="116" xr:uid="{70FCB5AE-773B-4662-B00C-95FCB87E48F0}"/>
    <cellStyle name="20% - Accent6 2 13" xfId="117" xr:uid="{8F68D2E0-0000-4F59-9C41-2D27D2CB6038}"/>
    <cellStyle name="20% - Accent6 2 14" xfId="118" xr:uid="{79C2B4F1-CA76-443D-8074-B4F5C4F8032D}"/>
    <cellStyle name="20% - Accent6 2 15" xfId="119" xr:uid="{00449A97-A518-4246-8545-8EE53E3BAD0F}"/>
    <cellStyle name="20% - Accent6 2 2" xfId="120" xr:uid="{B240E549-3DF3-4343-96DF-4B76F39E4B0F}"/>
    <cellStyle name="20% - Accent6 2 3" xfId="121" xr:uid="{6E1666D4-EE1D-4823-B1E0-B6D6048950C8}"/>
    <cellStyle name="20% - Accent6 2 4" xfId="122" xr:uid="{5E1E2C49-8633-4A95-8A29-FCDE0B1B37BC}"/>
    <cellStyle name="20% - Accent6 2 5" xfId="123" xr:uid="{457CB9FD-119A-4F3E-944B-C6F5A855EDCC}"/>
    <cellStyle name="20% - Accent6 2 6" xfId="124" xr:uid="{A3AA4BF6-6F36-4AA1-8399-5E1CEA665688}"/>
    <cellStyle name="20% - Accent6 2 7" xfId="125" xr:uid="{6F9335ED-A39E-4BF6-8562-9000E35D9EC3}"/>
    <cellStyle name="20% - Accent6 2 8" xfId="126" xr:uid="{B49CA6F1-6B73-4C4F-AEE9-78A9DC6F1B38}"/>
    <cellStyle name="20% - Accent6 2 9" xfId="127" xr:uid="{A119BE8E-7B5E-4E9A-A62C-7D1F03245A5B}"/>
    <cellStyle name="20% - Accent6 3" xfId="128" xr:uid="{31491F5E-C656-4696-9C8B-3F2EB3BD0EB3}"/>
    <cellStyle name="20% - Accent6 4" xfId="129" xr:uid="{D8D2BB82-0A2C-4A22-BD02-AE8DEB15B13D}"/>
    <cellStyle name="20% - Accent6 5" xfId="130" xr:uid="{883452F3-5450-4B51-AD5D-A6FFB01612E3}"/>
    <cellStyle name="20% - Accent6 6" xfId="131" xr:uid="{CE1374A9-E65E-4305-BC49-2F2F9FBCC4F3}"/>
    <cellStyle name="20% - Accent6 7" xfId="132" xr:uid="{254322CF-04CF-4347-B8DD-718CDF9A83D5}"/>
    <cellStyle name="20% - Accent6 8" xfId="133" xr:uid="{7014D689-0B67-4872-8513-569C60FAA698}"/>
    <cellStyle name="40% - Accent1 2" xfId="134" xr:uid="{FB045EEC-3A6C-4268-B40C-EC5DF4534F2D}"/>
    <cellStyle name="40% - Accent1 2 10" xfId="135" xr:uid="{03F17341-2DB3-4F3B-9981-DCC05A0B22F1}"/>
    <cellStyle name="40% - Accent1 2 11" xfId="136" xr:uid="{03D3989E-0AE5-42D6-96A9-D221CD4C98A7}"/>
    <cellStyle name="40% - Accent1 2 12" xfId="137" xr:uid="{C868DD9D-0F27-47C3-9669-C4E91981FAA1}"/>
    <cellStyle name="40% - Accent1 2 13" xfId="138" xr:uid="{FDF5DB0F-356D-4F4A-ABBD-C07AF147671E}"/>
    <cellStyle name="40% - Accent1 2 14" xfId="139" xr:uid="{55E9982B-9D6E-4161-AB98-3C105EE57DB9}"/>
    <cellStyle name="40% - Accent1 2 15" xfId="140" xr:uid="{E7F6DB7F-B432-4E54-AED0-AD1724EF004F}"/>
    <cellStyle name="40% - Accent1 2 2" xfId="141" xr:uid="{509736C3-EAA9-40AC-961E-1AC5416C7E7B}"/>
    <cellStyle name="40% - Accent1 2 3" xfId="142" xr:uid="{1D390A89-6409-4F8A-92ED-5698E96D5082}"/>
    <cellStyle name="40% - Accent1 2 4" xfId="143" xr:uid="{BF4880D2-EBA1-4632-B36E-B3F638FE91AF}"/>
    <cellStyle name="40% - Accent1 2 5" xfId="144" xr:uid="{1580EA6A-961B-44CA-B9E1-485B96AD3905}"/>
    <cellStyle name="40% - Accent1 2 6" xfId="145" xr:uid="{C786D9F1-1211-45F9-9ADB-A745D170A14E}"/>
    <cellStyle name="40% - Accent1 2 7" xfId="146" xr:uid="{92AF0E18-548E-4C58-8DAC-F40983A3040A}"/>
    <cellStyle name="40% - Accent1 2 8" xfId="147" xr:uid="{69300004-7E0F-42E8-854A-4558E3E59677}"/>
    <cellStyle name="40% - Accent1 2 9" xfId="148" xr:uid="{CD1B1DD1-4765-448E-8FEF-A1084813CE48}"/>
    <cellStyle name="40% - Accent1 3" xfId="149" xr:uid="{A120966C-FE72-403F-BDF0-E7FCD494B3E0}"/>
    <cellStyle name="40% - Accent1 4" xfId="150" xr:uid="{3E5B1189-EF91-4D64-87B3-B7506CD26EBE}"/>
    <cellStyle name="40% - Accent1 5" xfId="151" xr:uid="{66D19D0F-86DD-4522-811A-E27BAF893CA1}"/>
    <cellStyle name="40% - Accent1 6" xfId="152" xr:uid="{71235F6E-DC03-4B60-93E6-AAE613C1E1DD}"/>
    <cellStyle name="40% - Accent1 7" xfId="153" xr:uid="{B5CE8882-09A0-494A-918C-159C1BA36754}"/>
    <cellStyle name="40% - Accent1 8" xfId="154" xr:uid="{B8286BA5-2C2C-45DC-8AAC-71AF8B29148E}"/>
    <cellStyle name="40% - Accent2 2" xfId="155" xr:uid="{B0568F6B-80B4-45A1-AEEC-89FEEE9A967C}"/>
    <cellStyle name="40% - Accent2 2 10" xfId="156" xr:uid="{11EB1C1F-E058-4D3A-8660-2816D99446A4}"/>
    <cellStyle name="40% - Accent2 2 11" xfId="157" xr:uid="{BC40479F-8ADF-4AC3-AE76-1F5B97F266F0}"/>
    <cellStyle name="40% - Accent2 2 12" xfId="158" xr:uid="{85E0B595-1365-411C-8AEE-E9FB5C42DB3D}"/>
    <cellStyle name="40% - Accent2 2 13" xfId="159" xr:uid="{3F1E33DA-A782-4D25-BD3F-1B3D765111C9}"/>
    <cellStyle name="40% - Accent2 2 14" xfId="160" xr:uid="{5AB7939E-400D-437F-A5E2-7B0068966075}"/>
    <cellStyle name="40% - Accent2 2 15" xfId="161" xr:uid="{F1398182-3F50-4C90-93C9-B115CBC0F8FF}"/>
    <cellStyle name="40% - Accent2 2 2" xfId="162" xr:uid="{6241EC19-61A1-4049-9BA5-520BCEAEA7D7}"/>
    <cellStyle name="40% - Accent2 2 3" xfId="163" xr:uid="{AF7E706A-538E-48A9-BCB8-795761234765}"/>
    <cellStyle name="40% - Accent2 2 4" xfId="164" xr:uid="{E4BFD7DE-9968-4B1D-ACBA-35EBC884F55A}"/>
    <cellStyle name="40% - Accent2 2 5" xfId="165" xr:uid="{B281C7E8-6CB2-49A4-AF38-E78DCE10E35F}"/>
    <cellStyle name="40% - Accent2 2 6" xfId="166" xr:uid="{C8369382-5E7E-41D0-8926-27A3625EE495}"/>
    <cellStyle name="40% - Accent2 2 7" xfId="167" xr:uid="{B6E0F6BB-90A9-498D-AA2D-A70709B92093}"/>
    <cellStyle name="40% - Accent2 2 8" xfId="168" xr:uid="{2D0900C0-1EC9-459B-8B4E-9419EE9CCE28}"/>
    <cellStyle name="40% - Accent2 2 9" xfId="169" xr:uid="{4F0EE67A-369D-44B4-8D12-AB288E9CE23E}"/>
    <cellStyle name="40% - Accent2 3" xfId="170" xr:uid="{DB123C82-BC6A-400C-A5E3-B06FDCD81160}"/>
    <cellStyle name="40% - Accent2 4" xfId="171" xr:uid="{90226CA5-062E-4640-A423-5075465B70CB}"/>
    <cellStyle name="40% - Accent2 5" xfId="172" xr:uid="{4E3996E8-6708-4609-8F8A-6E5264EEA367}"/>
    <cellStyle name="40% - Accent2 6" xfId="173" xr:uid="{7DD3B422-279F-4A66-BD39-97C216A0B18C}"/>
    <cellStyle name="40% - Accent2 7" xfId="174" xr:uid="{5DEAEDB8-5FCF-4F1F-A75E-4C2CEB10AB17}"/>
    <cellStyle name="40% - Accent2 8" xfId="175" xr:uid="{B5413E31-3AFD-431C-A025-5CB8C0BA20AB}"/>
    <cellStyle name="40% - Accent3 2" xfId="176" xr:uid="{F78A7DE9-CE5A-438D-96D0-6B45E70747BA}"/>
    <cellStyle name="40% - Accent3 2 10" xfId="177" xr:uid="{846934FE-6D8C-41EF-BAB8-7679538ABBC4}"/>
    <cellStyle name="40% - Accent3 2 11" xfId="178" xr:uid="{7D2D8B93-A2D1-42BC-B1B1-EC3F03BEBCDB}"/>
    <cellStyle name="40% - Accent3 2 12" xfId="179" xr:uid="{D5532FEC-97F4-4E55-B5A0-1822E2AC9F69}"/>
    <cellStyle name="40% - Accent3 2 13" xfId="180" xr:uid="{860D0471-FF33-49B0-BB52-75F195BD562E}"/>
    <cellStyle name="40% - Accent3 2 14" xfId="181" xr:uid="{40DB5A13-FCD0-44E2-A94D-DB4665CDA165}"/>
    <cellStyle name="40% - Accent3 2 15" xfId="182" xr:uid="{F32CB5D5-AC67-4D64-A855-0D838FE7F6B6}"/>
    <cellStyle name="40% - Accent3 2 2" xfId="183" xr:uid="{16CD5EEC-02EE-43E9-9273-3AE7238E68E3}"/>
    <cellStyle name="40% - Accent3 2 3" xfId="184" xr:uid="{86585A93-14F8-414C-82D0-A3F8432FCBF2}"/>
    <cellStyle name="40% - Accent3 2 4" xfId="185" xr:uid="{4233EA40-B9FF-4CAC-8185-91149D73140D}"/>
    <cellStyle name="40% - Accent3 2 5" xfId="186" xr:uid="{0B3C0DFA-2C87-4360-BF47-C27402B47CFB}"/>
    <cellStyle name="40% - Accent3 2 6" xfId="187" xr:uid="{F33A4E19-CF81-42F4-A4E8-1DEC3A4F7845}"/>
    <cellStyle name="40% - Accent3 2 7" xfId="188" xr:uid="{D4301893-5986-4675-86E1-539CD731AB9D}"/>
    <cellStyle name="40% - Accent3 2 8" xfId="189" xr:uid="{2002705D-ED8A-4C39-BE27-287EB866A08C}"/>
    <cellStyle name="40% - Accent3 2 9" xfId="190" xr:uid="{E4C869FA-21CD-4334-97A5-329088F55C3E}"/>
    <cellStyle name="40% - Accent3 3" xfId="191" xr:uid="{12D2DBBA-582B-434C-A903-48735CC9AFEF}"/>
    <cellStyle name="40% - Accent3 4" xfId="192" xr:uid="{D408141B-C894-490A-8093-701A92749EEC}"/>
    <cellStyle name="40% - Accent3 5" xfId="193" xr:uid="{B0126EEE-1CE1-44AC-8EBF-5134C46106BC}"/>
    <cellStyle name="40% - Accent3 6" xfId="194" xr:uid="{9650512F-BDAB-4C75-9887-3681C377ED16}"/>
    <cellStyle name="40% - Accent3 7" xfId="195" xr:uid="{7FFE0E67-77F4-4501-9A25-3BBC3DC03C0B}"/>
    <cellStyle name="40% - Accent3 8" xfId="196" xr:uid="{B1BB225E-EFBD-46B1-9F23-73FBD0812B97}"/>
    <cellStyle name="40% - Accent4 2" xfId="197" xr:uid="{254D9D88-70C1-4052-A593-F41270C71E11}"/>
    <cellStyle name="40% - Accent4 2 10" xfId="198" xr:uid="{632CCB52-B153-4163-966A-DB0FD4EE437C}"/>
    <cellStyle name="40% - Accent4 2 11" xfId="199" xr:uid="{E4A761C5-E59F-445C-B494-84D4F82206B1}"/>
    <cellStyle name="40% - Accent4 2 12" xfId="200" xr:uid="{D7DD3EF2-6A28-43D0-95C0-44DB5897051A}"/>
    <cellStyle name="40% - Accent4 2 13" xfId="201" xr:uid="{120A0927-08FC-4BF8-A8D9-5C90581EE2F0}"/>
    <cellStyle name="40% - Accent4 2 14" xfId="202" xr:uid="{5C20CFDC-1FCF-4BCA-84B4-666E1485CB5B}"/>
    <cellStyle name="40% - Accent4 2 15" xfId="203" xr:uid="{AAAF02AE-0941-4880-89EF-FADD215AF682}"/>
    <cellStyle name="40% - Accent4 2 2" xfId="204" xr:uid="{55F0F376-C491-46E3-B229-E098410218E0}"/>
    <cellStyle name="40% - Accent4 2 3" xfId="205" xr:uid="{85A67225-ABD4-4422-B000-B1F11517FF1A}"/>
    <cellStyle name="40% - Accent4 2 4" xfId="206" xr:uid="{C311B6F4-DA86-4FBA-B2FF-D4B77BF178D7}"/>
    <cellStyle name="40% - Accent4 2 5" xfId="207" xr:uid="{95D5DBD3-FCE3-4B8D-9C9E-9CB404AD70F6}"/>
    <cellStyle name="40% - Accent4 2 6" xfId="208" xr:uid="{2BB069A0-5449-4458-931F-62E3E1724B30}"/>
    <cellStyle name="40% - Accent4 2 7" xfId="209" xr:uid="{50EDDCDA-857A-458A-83A0-B47B875E1A88}"/>
    <cellStyle name="40% - Accent4 2 8" xfId="210" xr:uid="{91076C5F-21DD-4311-BEA0-5B48A4E1CA54}"/>
    <cellStyle name="40% - Accent4 2 9" xfId="211" xr:uid="{3F178BF8-B23C-48B4-AB91-E39EE09095CE}"/>
    <cellStyle name="40% - Accent4 3" xfId="212" xr:uid="{AAFD7BA1-71D9-41A0-B2D8-815E70797DE0}"/>
    <cellStyle name="40% - Accent4 4" xfId="213" xr:uid="{635A0433-D742-49B4-8853-334853AF7E90}"/>
    <cellStyle name="40% - Accent4 5" xfId="214" xr:uid="{7F913231-8739-43A1-B124-6457ED91D636}"/>
    <cellStyle name="40% - Accent4 6" xfId="215" xr:uid="{6AF43F76-8A4C-44C8-85F6-DBDFFCA2901C}"/>
    <cellStyle name="40% - Accent4 7" xfId="216" xr:uid="{C33803F5-9195-4A45-9EF2-5D1D165B1547}"/>
    <cellStyle name="40% - Accent4 8" xfId="217" xr:uid="{D349B80B-C9AC-451E-A694-E4019B641933}"/>
    <cellStyle name="40% - Accent5 2" xfId="218" xr:uid="{F62B9025-0490-4D79-8902-2CF22F498AB4}"/>
    <cellStyle name="40% - Accent5 2 10" xfId="219" xr:uid="{36A5A76B-29CB-433D-B57E-F2597104822F}"/>
    <cellStyle name="40% - Accent5 2 11" xfId="220" xr:uid="{E69641E5-D9B7-4DBD-BB2C-B8F2B67EA823}"/>
    <cellStyle name="40% - Accent5 2 12" xfId="221" xr:uid="{62443245-26E7-48F7-8312-7FD539A4C25B}"/>
    <cellStyle name="40% - Accent5 2 13" xfId="222" xr:uid="{8048E3C1-74AF-4674-8702-ACE226BE27C8}"/>
    <cellStyle name="40% - Accent5 2 14" xfId="223" xr:uid="{F09A89B9-7C6B-43A0-973A-6A77F8F1A5B0}"/>
    <cellStyle name="40% - Accent5 2 15" xfId="224" xr:uid="{4D269A3F-0670-4F84-B90F-82AEA0229E0A}"/>
    <cellStyle name="40% - Accent5 2 2" xfId="225" xr:uid="{3FCBB415-5472-47AD-8A6C-EC6B4443CF67}"/>
    <cellStyle name="40% - Accent5 2 3" xfId="226" xr:uid="{522577C9-FF56-44AB-8CC3-F4A00D6F887A}"/>
    <cellStyle name="40% - Accent5 2 4" xfId="227" xr:uid="{4E1CF806-21B6-47B2-8451-6985825F54F8}"/>
    <cellStyle name="40% - Accent5 2 5" xfId="228" xr:uid="{40203AD1-1159-4CD6-AC4A-1C2A53CDE192}"/>
    <cellStyle name="40% - Accent5 2 6" xfId="229" xr:uid="{5BFF0521-C74C-43E5-83A8-6466232A2202}"/>
    <cellStyle name="40% - Accent5 2 7" xfId="230" xr:uid="{E0E41A55-864A-49EE-A974-1436EACC688B}"/>
    <cellStyle name="40% - Accent5 2 8" xfId="231" xr:uid="{11D2F4D1-6BE4-472B-B71B-F195AF1EF500}"/>
    <cellStyle name="40% - Accent5 2 9" xfId="232" xr:uid="{9BA5EEAE-EAA3-4EF1-9634-C844517F431D}"/>
    <cellStyle name="40% - Accent5 3" xfId="233" xr:uid="{AFC90CC5-7244-4E32-AC64-A9696EBFDA75}"/>
    <cellStyle name="40% - Accent5 4" xfId="234" xr:uid="{72D183B5-2294-4AF9-8D91-F1352CE50705}"/>
    <cellStyle name="40% - Accent5 5" xfId="235" xr:uid="{B5562E70-8A3D-445E-90DD-8DAB7D7CDEE1}"/>
    <cellStyle name="40% - Accent5 6" xfId="236" xr:uid="{7547A2C4-39C1-4BF3-8716-04F4D84A9E66}"/>
    <cellStyle name="40% - Accent5 7" xfId="237" xr:uid="{15FC7EFD-6DC8-4A5F-9788-C0F3647E8A22}"/>
    <cellStyle name="40% - Accent5 8" xfId="238" xr:uid="{70784340-E5EC-444F-97EE-81FF73849286}"/>
    <cellStyle name="40% - Accent6 2" xfId="239" xr:uid="{1F9070E3-A97F-47AE-B5FE-99A7FDCA521F}"/>
    <cellStyle name="40% - Accent6 2 10" xfId="240" xr:uid="{D2E690D1-A86A-46AF-8F7C-775525329C88}"/>
    <cellStyle name="40% - Accent6 2 11" xfId="241" xr:uid="{73FFAE25-135E-4112-B99E-C93EB7438674}"/>
    <cellStyle name="40% - Accent6 2 12" xfId="242" xr:uid="{D60DC129-DE6D-4BBF-AD4D-F490CA00D221}"/>
    <cellStyle name="40% - Accent6 2 13" xfId="243" xr:uid="{C4EBE319-BCB6-4874-84BA-55248EB9B65F}"/>
    <cellStyle name="40% - Accent6 2 14" xfId="244" xr:uid="{00F35238-FA6E-43BD-A320-DC2773DA30C3}"/>
    <cellStyle name="40% - Accent6 2 15" xfId="245" xr:uid="{75E9EA02-B7E7-4D4C-83DC-D770194C5723}"/>
    <cellStyle name="40% - Accent6 2 2" xfId="246" xr:uid="{3179F351-E13B-4770-AA85-FF14EF8F0D8A}"/>
    <cellStyle name="40% - Accent6 2 3" xfId="247" xr:uid="{2C5CBFE5-087A-4D14-A20C-01126A654C84}"/>
    <cellStyle name="40% - Accent6 2 4" xfId="248" xr:uid="{64B285D9-3B37-43ED-8EFB-FD6515A204F8}"/>
    <cellStyle name="40% - Accent6 2 5" xfId="249" xr:uid="{B0D674FB-1C06-4CE7-91E6-EBA4DD96693F}"/>
    <cellStyle name="40% - Accent6 2 6" xfId="250" xr:uid="{78F99617-FEA7-4FD9-B8D4-D8D3F3750C77}"/>
    <cellStyle name="40% - Accent6 2 7" xfId="251" xr:uid="{47FA68CD-269C-4183-A9FD-BC53A54DAB22}"/>
    <cellStyle name="40% - Accent6 2 8" xfId="252" xr:uid="{65ACB357-21A9-42D3-B82D-7983326B9A0C}"/>
    <cellStyle name="40% - Accent6 2 9" xfId="253" xr:uid="{444D2D76-0FEE-4605-9868-89ACCC54D70F}"/>
    <cellStyle name="40% - Accent6 3" xfId="254" xr:uid="{01BDE8D4-83B6-42D2-9EDC-DBE6965C2BD0}"/>
    <cellStyle name="40% - Accent6 4" xfId="255" xr:uid="{F7BCF78A-B69D-4EE6-A3F3-B2E06F0F00D4}"/>
    <cellStyle name="40% - Accent6 5" xfId="256" xr:uid="{ED500466-8DE5-4123-9AAD-DDA29D8D98D8}"/>
    <cellStyle name="40% - Accent6 6" xfId="257" xr:uid="{F5FEA6E5-E910-4CAA-B76E-0E48EE8908E7}"/>
    <cellStyle name="40% - Accent6 7" xfId="258" xr:uid="{0321790F-4747-4A71-84A7-1DBF1DB6D575}"/>
    <cellStyle name="40% - Accent6 8" xfId="259" xr:uid="{2CFC25C3-F235-4139-B821-6C55CA7812A0}"/>
    <cellStyle name="5x indented GHG Textfiels" xfId="260" xr:uid="{33EEDECC-4064-4780-9DF1-A3CE57BE5825}"/>
    <cellStyle name="60% - Accent1 2" xfId="261" xr:uid="{6A4F2B58-5D66-4740-AB6F-AD1E3FA320CC}"/>
    <cellStyle name="60% - Accent1 2 10" xfId="262" xr:uid="{4B0E8E3D-E20A-40EE-A058-1FFC2689169D}"/>
    <cellStyle name="60% - Accent1 2 2" xfId="263" xr:uid="{BAF2197B-A182-4DB8-A7BE-F9A5389F5D82}"/>
    <cellStyle name="60% - Accent1 2 3" xfId="264" xr:uid="{8563208F-8838-4532-8012-AFF3C33B4332}"/>
    <cellStyle name="60% - Accent1 2 4" xfId="265" xr:uid="{4A96C415-E055-4AEF-8EA8-BFD060486A5B}"/>
    <cellStyle name="60% - Accent1 2 5" xfId="266" xr:uid="{FE898A6E-CD59-4FC5-A780-495373FE1ABF}"/>
    <cellStyle name="60% - Accent1 2 6" xfId="267" xr:uid="{5C54B83D-E06C-4004-9414-5EE6BA3D2AB3}"/>
    <cellStyle name="60% - Accent1 2 7" xfId="268" xr:uid="{CD314788-3282-4198-9F2C-234891CA0661}"/>
    <cellStyle name="60% - Accent1 2 8" xfId="269" xr:uid="{0A8A083F-9339-4D93-AC70-5DDA25E829C2}"/>
    <cellStyle name="60% - Accent1 2 9" xfId="270" xr:uid="{5B34FA7D-49B6-4A02-8A0F-967E1FA4A14F}"/>
    <cellStyle name="60% - Accent1 3" xfId="271" xr:uid="{9105108D-CE45-42AA-A64C-744C3322CE12}"/>
    <cellStyle name="60% - Accent2 2" xfId="272" xr:uid="{674A562B-9CB9-4087-8ADC-625CEE7C270A}"/>
    <cellStyle name="60% - Accent2 2 10" xfId="273" xr:uid="{5A35E753-A755-4B7E-A3C8-FB54B69BDCA0}"/>
    <cellStyle name="60% - Accent2 2 2" xfId="274" xr:uid="{675B850F-1705-4273-8E1F-2164BD356C33}"/>
    <cellStyle name="60% - Accent2 2 3" xfId="275" xr:uid="{C9361683-1941-4EEB-B9A4-2C02F9BFCB3A}"/>
    <cellStyle name="60% - Accent2 2 4" xfId="276" xr:uid="{3C6E00C0-8616-4B57-9D8F-51447AFECC40}"/>
    <cellStyle name="60% - Accent2 2 5" xfId="277" xr:uid="{6DFF6A88-F5B4-4F5A-A4E5-6117A5B14F54}"/>
    <cellStyle name="60% - Accent2 2 6" xfId="278" xr:uid="{75F51CCA-A28D-4899-A8A5-6FEF0F74DAFB}"/>
    <cellStyle name="60% - Accent2 2 7" xfId="279" xr:uid="{1D2786B2-ACB5-434D-839B-DAB9C1784F2C}"/>
    <cellStyle name="60% - Accent2 2 8" xfId="280" xr:uid="{E72B5988-313D-497F-9811-E104C631A87C}"/>
    <cellStyle name="60% - Accent2 2 9" xfId="281" xr:uid="{053CFD8C-6B58-4397-9135-0CADFE27C1DE}"/>
    <cellStyle name="60% - Accent2 3" xfId="282" xr:uid="{3DA625D4-E47D-4CCD-9872-039C9A516A86}"/>
    <cellStyle name="60% - Accent3 2" xfId="283" xr:uid="{D1E3A459-3FE0-4183-97C0-DAD2E5617387}"/>
    <cellStyle name="60% - Accent3 2 10" xfId="284" xr:uid="{6AC3F136-981F-4AB0-9E91-DB70AFD7F586}"/>
    <cellStyle name="60% - Accent3 2 2" xfId="285" xr:uid="{974C02A6-4E45-4FB5-A163-9CE2B8340315}"/>
    <cellStyle name="60% - Accent3 2 3" xfId="286" xr:uid="{DC7F93E2-6387-47F6-9550-35B8EAF8A94B}"/>
    <cellStyle name="60% - Accent3 2 4" xfId="287" xr:uid="{AFCC3C69-C218-4DD1-957B-DEFD25B96315}"/>
    <cellStyle name="60% - Accent3 2 5" xfId="288" xr:uid="{05976981-88CB-4F56-BE62-B763064634BC}"/>
    <cellStyle name="60% - Accent3 2 6" xfId="289" xr:uid="{43B8443D-FBD4-4D0F-9FA3-88001F85B8FF}"/>
    <cellStyle name="60% - Accent3 2 7" xfId="290" xr:uid="{2C1A9370-F892-4D40-A38C-1F66F751335E}"/>
    <cellStyle name="60% - Accent3 2 8" xfId="291" xr:uid="{7FB7EEDC-CCAA-46AE-A500-D117698C1438}"/>
    <cellStyle name="60% - Accent3 2 9" xfId="292" xr:uid="{CF6D0DFB-AA46-41BF-A8E6-47B8ADD44A52}"/>
    <cellStyle name="60% - Accent3 3" xfId="293" xr:uid="{43D82969-59CD-4FE6-9398-6B041EC4BF98}"/>
    <cellStyle name="60% - Accent4 2" xfId="294" xr:uid="{9B506F5C-3A3C-4C7A-8017-FB71D67A7F34}"/>
    <cellStyle name="60% - Accent4 2 10" xfId="295" xr:uid="{36AAC574-40F9-4A00-87B2-8990EC4DC853}"/>
    <cellStyle name="60% - Accent4 2 2" xfId="296" xr:uid="{D2A10557-94A5-48B7-8A29-CFECF53DAAA8}"/>
    <cellStyle name="60% - Accent4 2 3" xfId="297" xr:uid="{511D21F5-37A2-4B10-8CFE-1DC97BC29348}"/>
    <cellStyle name="60% - Accent4 2 4" xfId="298" xr:uid="{8FEF5C19-5D0A-4179-B59F-5D8AB125801C}"/>
    <cellStyle name="60% - Accent4 2 5" xfId="299" xr:uid="{B0CE947A-0F57-4C32-BB5B-2997650AD126}"/>
    <cellStyle name="60% - Accent4 2 6" xfId="300" xr:uid="{A594A23F-E56E-4AB2-B79C-C663F78D4CA2}"/>
    <cellStyle name="60% - Accent4 2 7" xfId="301" xr:uid="{7AB663CF-6F0F-4753-B54C-AEA327611815}"/>
    <cellStyle name="60% - Accent4 2 8" xfId="302" xr:uid="{1D438EA7-DFE1-437C-8F08-B482D675C0F2}"/>
    <cellStyle name="60% - Accent4 2 9" xfId="303" xr:uid="{29036794-803B-4BBD-8DAF-4B471A383E29}"/>
    <cellStyle name="60% - Accent4 3" xfId="304" xr:uid="{32EC6F76-DF49-4EDB-942D-1837FA775395}"/>
    <cellStyle name="60% - Accent5 2" xfId="305" xr:uid="{D5247D49-CB05-45B2-964E-49CD26ED336B}"/>
    <cellStyle name="60% - Accent5 2 10" xfId="306" xr:uid="{6BDA5610-ADF2-4D44-9C33-D80F497FCF79}"/>
    <cellStyle name="60% - Accent5 2 2" xfId="307" xr:uid="{96C592B6-014E-4FFA-8CF8-EC40ED881651}"/>
    <cellStyle name="60% - Accent5 2 3" xfId="308" xr:uid="{132D087C-B475-4C75-933A-C400749253C9}"/>
    <cellStyle name="60% - Accent5 2 4" xfId="309" xr:uid="{1FEF7F8D-1EC6-46A0-871C-72B8FC89A3E7}"/>
    <cellStyle name="60% - Accent5 2 5" xfId="310" xr:uid="{FEC7FB79-8B3A-4356-847C-7FCEF2AC8949}"/>
    <cellStyle name="60% - Accent5 2 6" xfId="311" xr:uid="{1462C33F-C834-4B5F-A22E-723A44251B6E}"/>
    <cellStyle name="60% - Accent5 2 7" xfId="312" xr:uid="{097EF3F0-5AB8-470C-933F-1C225E55D02E}"/>
    <cellStyle name="60% - Accent5 2 8" xfId="313" xr:uid="{F33FFB10-4B34-454C-ADF4-B26E6F6D7E57}"/>
    <cellStyle name="60% - Accent5 2 9" xfId="314" xr:uid="{9B10CA4D-5D8D-41BF-8D82-85333F7BA6FB}"/>
    <cellStyle name="60% - Accent5 3" xfId="315" xr:uid="{A506F41F-FC5A-4AC3-8332-9499B4CDB8EA}"/>
    <cellStyle name="60% - Accent6 2" xfId="316" xr:uid="{F7E6B74E-90BE-4F74-9F27-CA1580AE9453}"/>
    <cellStyle name="60% - Accent6 2 10" xfId="317" xr:uid="{A40D66BF-B1B8-45D0-8FF6-7DE0FAFF15FF}"/>
    <cellStyle name="60% - Accent6 2 2" xfId="318" xr:uid="{97327311-8D32-44EB-B47D-BA13ABD56DD9}"/>
    <cellStyle name="60% - Accent6 2 3" xfId="319" xr:uid="{88C27A28-7909-4868-A316-25795C03ACDB}"/>
    <cellStyle name="60% - Accent6 2 4" xfId="320" xr:uid="{AADD1480-EFC3-4648-A2EC-6430E652BB8E}"/>
    <cellStyle name="60% - Accent6 2 5" xfId="321" xr:uid="{39F8BA68-F6AD-4C44-90D5-A9308ABAEFB3}"/>
    <cellStyle name="60% - Accent6 2 6" xfId="322" xr:uid="{A2B54376-BD96-419B-935B-40D39E0920BB}"/>
    <cellStyle name="60% - Accent6 2 7" xfId="323" xr:uid="{4D054FC8-CF0B-4D67-A633-35325ED56FD8}"/>
    <cellStyle name="60% - Accent6 2 8" xfId="324" xr:uid="{E9A94276-1784-446E-86FF-8848F124DB53}"/>
    <cellStyle name="60% - Accent6 2 9" xfId="325" xr:uid="{653F0B99-FBEE-432C-BBE6-08011D1E2708}"/>
    <cellStyle name="60% - Accent6 3" xfId="326" xr:uid="{B7C7EC2C-6ED8-4BA7-93A3-4BAD6A288E81}"/>
    <cellStyle name="Accent1 2" xfId="327" xr:uid="{21632BA7-D958-44C1-9C73-BFAA993D603E}"/>
    <cellStyle name="Accent1 2 10" xfId="328" xr:uid="{97CAFF79-4AE7-4FAB-94A9-54A39339310C}"/>
    <cellStyle name="Accent1 2 2" xfId="329" xr:uid="{186284B5-A293-4A9F-A7D0-8C480CC7882F}"/>
    <cellStyle name="Accent1 2 3" xfId="330" xr:uid="{66FF3F26-BE36-4DC9-9063-A3BBC1A0038C}"/>
    <cellStyle name="Accent1 2 4" xfId="331" xr:uid="{53CEE250-9093-4CF5-8250-56B0D504F683}"/>
    <cellStyle name="Accent1 2 5" xfId="332" xr:uid="{2A09EADC-1CB3-4618-B84A-79CC0B1BD429}"/>
    <cellStyle name="Accent1 2 6" xfId="333" xr:uid="{BE6E8D78-5189-4E50-BE5F-1693C6E92863}"/>
    <cellStyle name="Accent1 2 7" xfId="334" xr:uid="{F3F009DF-B8CD-4F9E-838C-8F82F413F89A}"/>
    <cellStyle name="Accent1 2 8" xfId="335" xr:uid="{B0C87049-309D-414F-98DF-45669557B54E}"/>
    <cellStyle name="Accent1 2 9" xfId="336" xr:uid="{4DA7580D-FB3F-4176-B601-8A4727B5405C}"/>
    <cellStyle name="Accent1 3" xfId="337" xr:uid="{3BCD7F67-C9B7-45F8-9098-C2D0C7E4026E}"/>
    <cellStyle name="Accent2 2" xfId="338" xr:uid="{CBF7161B-C323-455D-B214-8B3D1D785EBD}"/>
    <cellStyle name="Accent2 2 10" xfId="339" xr:uid="{BC3F3793-9FA2-422E-AC80-9566A076F278}"/>
    <cellStyle name="Accent2 2 2" xfId="340" xr:uid="{02C3C2C1-A59E-41AC-8D61-F98C2E399E77}"/>
    <cellStyle name="Accent2 2 3" xfId="341" xr:uid="{3C12A600-7509-4417-A53F-AD63A7E55069}"/>
    <cellStyle name="Accent2 2 4" xfId="342" xr:uid="{9558D9D9-63F8-4C3D-BF36-A8579C371391}"/>
    <cellStyle name="Accent2 2 5" xfId="343" xr:uid="{3DFDEAE1-D302-482F-B31D-B4ABD79EE3D1}"/>
    <cellStyle name="Accent2 2 6" xfId="344" xr:uid="{40433869-91F1-464E-A9CB-0C08392D6905}"/>
    <cellStyle name="Accent2 2 7" xfId="345" xr:uid="{0DA6EE7C-E248-4F86-9C62-FEFE779C7A77}"/>
    <cellStyle name="Accent2 2 8" xfId="346" xr:uid="{D305CB7A-C332-472F-A697-19917A196BA6}"/>
    <cellStyle name="Accent2 2 9" xfId="347" xr:uid="{EDC7DD75-0E6C-4EC2-9167-D9D127AFC8E8}"/>
    <cellStyle name="Accent2 3" xfId="348" xr:uid="{CA58C249-77B6-457D-B5C4-8CC447099807}"/>
    <cellStyle name="Accent3 2" xfId="349" xr:uid="{B51BE5AA-EF31-49C7-B2F2-7B55030B581D}"/>
    <cellStyle name="Accent3 2 10" xfId="350" xr:uid="{DD29DE5E-AD49-46E2-8E45-653EB3040E16}"/>
    <cellStyle name="Accent3 2 2" xfId="351" xr:uid="{B2AB7C08-BB47-42AC-9EB2-30CF7EC86DE7}"/>
    <cellStyle name="Accent3 2 3" xfId="352" xr:uid="{1F400386-0727-466E-861E-4DCE83ACCD36}"/>
    <cellStyle name="Accent3 2 4" xfId="353" xr:uid="{2A5EF784-14C9-44A0-9500-AFE007361D12}"/>
    <cellStyle name="Accent3 2 5" xfId="354" xr:uid="{47EEF849-8797-49A8-ADAB-37F64380C0F9}"/>
    <cellStyle name="Accent3 2 6" xfId="355" xr:uid="{92976535-1FF8-4E2F-925B-61188313B0D6}"/>
    <cellStyle name="Accent3 2 7" xfId="356" xr:uid="{A56D77AA-5B5A-413A-8A30-522D403765C2}"/>
    <cellStyle name="Accent3 2 8" xfId="357" xr:uid="{970C2680-1503-4F81-B593-9D09AB99E2BC}"/>
    <cellStyle name="Accent3 2 9" xfId="358" xr:uid="{F96A7DA3-C73F-4618-B3DA-8A631331F08A}"/>
    <cellStyle name="Accent3 3" xfId="359" xr:uid="{A111BFC3-04B7-42FE-BE52-25B71D08E194}"/>
    <cellStyle name="Accent4 2" xfId="360" xr:uid="{0A55AD3C-B1FC-4505-875B-5188E35E4B69}"/>
    <cellStyle name="Accent4 2 10" xfId="361" xr:uid="{8198A515-B98A-4BFC-BA20-0EFEABBC8A5D}"/>
    <cellStyle name="Accent4 2 2" xfId="362" xr:uid="{A7E97422-9174-43F4-8882-6EA0CFBFE454}"/>
    <cellStyle name="Accent4 2 3" xfId="363" xr:uid="{F7F5D94A-1221-40C9-89F2-DC451103E6D3}"/>
    <cellStyle name="Accent4 2 4" xfId="364" xr:uid="{2CE0BCF8-FD2E-410C-815B-80E38D17018E}"/>
    <cellStyle name="Accent4 2 5" xfId="365" xr:uid="{0A1E93E7-D584-4DD2-96A8-8083247EA52F}"/>
    <cellStyle name="Accent4 2 6" xfId="366" xr:uid="{147216F3-E81C-4D4A-950C-D7A896089D23}"/>
    <cellStyle name="Accent4 2 7" xfId="367" xr:uid="{F7E5DAFA-A553-4352-8C70-6481F8B7B18B}"/>
    <cellStyle name="Accent4 2 8" xfId="368" xr:uid="{B1FB92AE-FE34-4EDD-8586-CFACAA032340}"/>
    <cellStyle name="Accent4 2 9" xfId="369" xr:uid="{8AF52EC0-8092-43D9-B346-6E5531CDE40F}"/>
    <cellStyle name="Accent4 3" xfId="370" xr:uid="{8258773C-8568-4F20-81D8-DF58EF1E1C5E}"/>
    <cellStyle name="Accent5 2" xfId="371" xr:uid="{C0CDCBD9-EC4A-4B52-982D-37944E6BF4D5}"/>
    <cellStyle name="Accent5 2 10" xfId="372" xr:uid="{E60C8826-0D42-46B1-9E6F-1171935369CE}"/>
    <cellStyle name="Accent5 2 2" xfId="373" xr:uid="{D8232CF2-9205-4C71-884C-AE76E0F13814}"/>
    <cellStyle name="Accent5 2 3" xfId="374" xr:uid="{105B7C36-C20F-451C-967F-7F395E7D6916}"/>
    <cellStyle name="Accent5 2 4" xfId="375" xr:uid="{F2613E4A-8302-452E-8519-0BFB88F3B45C}"/>
    <cellStyle name="Accent5 2 5" xfId="376" xr:uid="{DB5AED78-605D-4879-8201-5A14F455B0B2}"/>
    <cellStyle name="Accent5 2 6" xfId="377" xr:uid="{C3DE8AF7-FF71-43B7-8128-5BD9AD24E72C}"/>
    <cellStyle name="Accent5 2 7" xfId="378" xr:uid="{06F9EE14-1D4D-415A-8D28-7F42F1D6CCCB}"/>
    <cellStyle name="Accent5 2 8" xfId="379" xr:uid="{D69D7461-0F09-46B2-91C1-F4595E866274}"/>
    <cellStyle name="Accent5 2 9" xfId="380" xr:uid="{6F56E92C-0E44-4979-99B6-754400CB8AFE}"/>
    <cellStyle name="Accent5 3" xfId="381" xr:uid="{9466E7C0-370D-428B-995E-3D9B058066CC}"/>
    <cellStyle name="Accent6 2" xfId="382" xr:uid="{CDA6F9CA-DCC3-48FC-9109-E7D0DFEFD0E7}"/>
    <cellStyle name="Accent6 2 10" xfId="383" xr:uid="{0EC66A7E-C4C9-46B0-9143-EF7EE20DD0B0}"/>
    <cellStyle name="Accent6 2 2" xfId="384" xr:uid="{7F5B2164-C993-4997-8BE3-F478A8D2CF25}"/>
    <cellStyle name="Accent6 2 3" xfId="385" xr:uid="{D299D0D3-0CC6-4EF1-97C7-F415BF6252D9}"/>
    <cellStyle name="Accent6 2 4" xfId="386" xr:uid="{E81A0758-90B0-4E50-9A1E-3ABF0F63D790}"/>
    <cellStyle name="Accent6 2 5" xfId="387" xr:uid="{FE362B45-CBD1-46D4-AF4E-BD6C55DAD55B}"/>
    <cellStyle name="Accent6 2 6" xfId="388" xr:uid="{E0542AA6-BD90-4518-994F-4CFA65E00B71}"/>
    <cellStyle name="Accent6 2 7" xfId="389" xr:uid="{30057C93-41F6-4045-B4EE-F4EAA98AFD9F}"/>
    <cellStyle name="Accent6 2 8" xfId="390" xr:uid="{8EF49320-C533-45C7-9D37-A73F45A03331}"/>
    <cellStyle name="Accent6 2 9" xfId="391" xr:uid="{940C6413-8C65-4D12-89A1-8323F7AC94D4}"/>
    <cellStyle name="Accent6 3" xfId="392" xr:uid="{2411DB25-1E2B-4B96-8241-31400511D0D6}"/>
    <cellStyle name="AggOrange_CRFReport-template" xfId="393" xr:uid="{E8236252-3F98-4A16-99F8-566A3080BA65}"/>
    <cellStyle name="AggOrange9_CRFReport-template" xfId="394" xr:uid="{89D4E14E-9D31-4528-978B-75FB5F684B71}"/>
    <cellStyle name="Bad 2" xfId="395" xr:uid="{E97CBFD2-2B1C-4785-9D6A-8A4CB13D28C9}"/>
    <cellStyle name="Bad 2 10" xfId="396" xr:uid="{3538B974-6B49-4BF6-91A4-97B31A58C65F}"/>
    <cellStyle name="Bad 2 2" xfId="397" xr:uid="{5E5D37EF-1A4F-4310-8E1A-AA9F87B4D35A}"/>
    <cellStyle name="Bad 2 3" xfId="398" xr:uid="{D630F407-F43F-4F49-B295-74F6B7C26E6B}"/>
    <cellStyle name="Bad 2 4" xfId="399" xr:uid="{F14AF290-5FC1-42B8-BC2B-8977C42227F5}"/>
    <cellStyle name="Bad 2 5" xfId="400" xr:uid="{A2E66209-E8FD-44C1-BC2A-234A903AEF1A}"/>
    <cellStyle name="Bad 2 6" xfId="401" xr:uid="{AB856941-677E-4F3E-96A6-27632CC611B3}"/>
    <cellStyle name="Bad 2 7" xfId="402" xr:uid="{499488AF-5268-4097-A7DF-6685A2087869}"/>
    <cellStyle name="Bad 2 8" xfId="403" xr:uid="{A170F788-ACC9-452E-8A3A-D77662790631}"/>
    <cellStyle name="Bad 2 9" xfId="404" xr:uid="{72276373-9AAF-43BF-8747-665E73D84BD0}"/>
    <cellStyle name="Bad 3" xfId="405" xr:uid="{4F8A23CA-F31D-4C47-9DD9-F4DAB12202C3}"/>
    <cellStyle name="Calculation 2" xfId="406" xr:uid="{BB50882A-9E29-4FF7-8749-0010667A666D}"/>
    <cellStyle name="Calculation 2 10" xfId="407" xr:uid="{00B01FDB-61D1-46A4-8336-C7D5AD4E790B}"/>
    <cellStyle name="Calculation 2 2" xfId="408" xr:uid="{DFFCEDCE-9C05-46B5-A830-124FAE6CA272}"/>
    <cellStyle name="Calculation 2 3" xfId="409" xr:uid="{0C616520-3909-4EE6-A4E5-28EA053F9C26}"/>
    <cellStyle name="Calculation 2 4" xfId="410" xr:uid="{44DCC9E7-0E70-47D3-9B6C-1D52E0907735}"/>
    <cellStyle name="Calculation 2 5" xfId="411" xr:uid="{CC87E16B-BE1A-45D5-9D2F-6D779D88ABA9}"/>
    <cellStyle name="Calculation 2 6" xfId="412" xr:uid="{9F94462B-50C9-433A-BBB6-E75985C05C9E}"/>
    <cellStyle name="Calculation 2 7" xfId="413" xr:uid="{CA68EC67-E746-4097-9829-ECD7F2C643E3}"/>
    <cellStyle name="Calculation 2 8" xfId="414" xr:uid="{E9590F28-80BA-43EB-946B-169B0677E1C9}"/>
    <cellStyle name="Calculation 2 9" xfId="415" xr:uid="{323B8F1A-1EA4-4827-9352-341930AD70A3}"/>
    <cellStyle name="Calculation 3" xfId="416" xr:uid="{D3895B26-EFD5-4B29-818E-A3EC9D05D5D2}"/>
    <cellStyle name="Check Cell 2" xfId="417" xr:uid="{6656385D-E0A5-492B-84D3-37BE35CF9432}"/>
    <cellStyle name="Check Cell 2 10" xfId="418" xr:uid="{513F54EF-0669-4911-8973-CE8FFA560D41}"/>
    <cellStyle name="Check Cell 2 2" xfId="419" xr:uid="{199CEB13-A2A8-4513-A593-454A3EB4499D}"/>
    <cellStyle name="Check Cell 2 3" xfId="420" xr:uid="{7164D572-0203-4FD7-8982-335683862564}"/>
    <cellStyle name="Check Cell 2 4" xfId="421" xr:uid="{CA18A0D7-4AD6-4853-9324-989CF0CA3231}"/>
    <cellStyle name="Check Cell 2 5" xfId="422" xr:uid="{7CDB38A1-9DDA-4B83-8A62-F8E9B8DA36EB}"/>
    <cellStyle name="Check Cell 2 6" xfId="423" xr:uid="{AB1D40A4-3FE6-4F3A-9C7C-6DD511695F65}"/>
    <cellStyle name="Check Cell 2 7" xfId="424" xr:uid="{6A7C4EA0-E7F0-41A6-9AE8-79DA10242750}"/>
    <cellStyle name="Check Cell 2 8" xfId="425" xr:uid="{FB2FF9D6-78B6-40F2-A02E-7AE97A6BE7FA}"/>
    <cellStyle name="Check Cell 2 9" xfId="426" xr:uid="{C488852A-99F6-4A81-A662-AED1DC29E1F6}"/>
    <cellStyle name="Check Cell 3" xfId="427" xr:uid="{1B941288-1235-49D5-8567-D5E0C6B072E3}"/>
    <cellStyle name="Comma [0] 2 10" xfId="428" xr:uid="{C79CE130-C781-4833-B42E-6E296C74C02E}"/>
    <cellStyle name="Comma [0] 2 2" xfId="429" xr:uid="{1F5AD14C-3070-4BA9-AF8D-AF15076197AB}"/>
    <cellStyle name="Comma [0] 2 3" xfId="430" xr:uid="{3018DB15-3AC5-4922-A467-95ECA128C958}"/>
    <cellStyle name="Comma [0] 2 4" xfId="431" xr:uid="{B5184E66-E807-40D3-850D-AFF4EB545392}"/>
    <cellStyle name="Comma [0] 2 5" xfId="432" xr:uid="{A71431D7-F6AE-4F9E-B9DD-C4FF393727DF}"/>
    <cellStyle name="Comma [0] 2 6" xfId="433" xr:uid="{4044F33A-97CA-468D-8AF3-B4219CD6AA94}"/>
    <cellStyle name="Comma [0] 2 7" xfId="434" xr:uid="{50171870-C754-4AE7-820B-9196B05AEF3A}"/>
    <cellStyle name="Comma [0] 2 8" xfId="435" xr:uid="{5FB93EF5-A831-431F-ACA2-5F3460FB1CEC}"/>
    <cellStyle name="Comma [0] 2 9" xfId="436" xr:uid="{A2653C83-8488-47BB-97A0-12EAE6B2A2A6}"/>
    <cellStyle name="Comma 10" xfId="437" xr:uid="{AC05488C-E73C-47B4-9D64-4B172425C6D5}"/>
    <cellStyle name="Comma 10 2" xfId="438" xr:uid="{BF5D21BF-C1A0-4269-90D9-4B104A83434A}"/>
    <cellStyle name="Comma 10 2 10" xfId="439" xr:uid="{BA65E6FB-3889-495A-954E-0648962D33F8}"/>
    <cellStyle name="Comma 10 2 11" xfId="440" xr:uid="{5EEECF0A-8120-4DE0-B918-956D8BBA2C0B}"/>
    <cellStyle name="Comma 10 2 12" xfId="441" xr:uid="{642031D1-7821-4C11-8993-4E709F1D364A}"/>
    <cellStyle name="Comma 10 2 13" xfId="442" xr:uid="{102E703A-6104-4E00-A1CF-99BDA79BA361}"/>
    <cellStyle name="Comma 10 2 14" xfId="443" xr:uid="{C1213D74-6E19-407C-9E4B-736485ECA200}"/>
    <cellStyle name="Comma 10 2 15" xfId="444" xr:uid="{316A69B7-8B47-4985-B43B-2115359575D2}"/>
    <cellStyle name="Comma 10 2 16" xfId="445" xr:uid="{8B482FAC-E491-4944-A636-BA7718AA8336}"/>
    <cellStyle name="Comma 10 2 17" xfId="446" xr:uid="{8F92BE3D-4EF0-4CB1-88BE-F1B1C1D590A4}"/>
    <cellStyle name="Comma 10 2 2" xfId="447" xr:uid="{076AFA67-9FD9-4CD8-9FBC-498F0F6AFA7F}"/>
    <cellStyle name="Comma 10 2 3" xfId="448" xr:uid="{B73E93CA-D12C-4129-BFAF-5CCD7BB73A5E}"/>
    <cellStyle name="Comma 10 2 4" xfId="449" xr:uid="{EB5CE696-7D20-4F80-93B9-43250E5E44EB}"/>
    <cellStyle name="Comma 10 2 5" xfId="450" xr:uid="{6435AC25-1207-4FAD-B211-E249F21FD543}"/>
    <cellStyle name="Comma 10 2 6" xfId="451" xr:uid="{AC1E5757-6383-48ED-96C6-A541B7B5357C}"/>
    <cellStyle name="Comma 10 2 7" xfId="452" xr:uid="{CCC5F48B-4401-4FF1-A2F4-18D8FE2353A3}"/>
    <cellStyle name="Comma 10 2 8" xfId="453" xr:uid="{4D24118C-7C51-44F0-99E5-336A93127308}"/>
    <cellStyle name="Comma 10 2 9" xfId="454" xr:uid="{C6A8A81A-99FA-476B-A663-DD01AA9DB25A}"/>
    <cellStyle name="Comma 10 3" xfId="455" xr:uid="{C755D8E4-3A85-4D93-95DB-E6A2A69FD66B}"/>
    <cellStyle name="Comma 10 3 10" xfId="456" xr:uid="{82E89E52-AE89-42D9-B408-0E1CF0C22FC3}"/>
    <cellStyle name="Comma 10 3 11" xfId="457" xr:uid="{B3D6E21C-B72B-481C-AEE6-B8A699AEEAD4}"/>
    <cellStyle name="Comma 10 3 12" xfId="458" xr:uid="{AB88EC63-F9C5-486B-B8B3-1B5D57095483}"/>
    <cellStyle name="Comma 10 3 13" xfId="459" xr:uid="{EF5224CE-41C7-4DC5-9E51-33DB721CD5AC}"/>
    <cellStyle name="Comma 10 3 14" xfId="460" xr:uid="{1B899C16-8CC7-413C-A2CE-ABD361F62BF4}"/>
    <cellStyle name="Comma 10 3 15" xfId="461" xr:uid="{8C6C80C6-4845-49CD-9379-957F4A2FA28F}"/>
    <cellStyle name="Comma 10 3 16" xfId="462" xr:uid="{2383DCDD-D1B5-46D2-9E16-1D1D0ECB94D9}"/>
    <cellStyle name="Comma 10 3 17" xfId="463" xr:uid="{7AE6CA31-C619-48C7-B4DA-22F4705AC7E4}"/>
    <cellStyle name="Comma 10 3 2" xfId="464" xr:uid="{D77FB335-930D-434B-88E5-D0CB6005A59C}"/>
    <cellStyle name="Comma 10 3 3" xfId="465" xr:uid="{E2E7BB24-06DF-4C27-9459-79EBAC72698B}"/>
    <cellStyle name="Comma 10 3 4" xfId="466" xr:uid="{301832A1-5323-4DB0-B3FA-706B0B89AAD1}"/>
    <cellStyle name="Comma 10 3 5" xfId="467" xr:uid="{F20FF3E4-26CA-479B-B90A-3FCBA3A64BD0}"/>
    <cellStyle name="Comma 10 3 6" xfId="468" xr:uid="{09CCB482-55BF-4109-B7E0-1C7A3D85BF0B}"/>
    <cellStyle name="Comma 10 3 7" xfId="469" xr:uid="{71EACCB0-8534-451C-BAE2-9BFB21B687B6}"/>
    <cellStyle name="Comma 10 3 8" xfId="470" xr:uid="{13778D24-A008-4714-A059-5DE204105ACC}"/>
    <cellStyle name="Comma 10 3 9" xfId="471" xr:uid="{177313DA-C264-42B7-9D2F-BA5DB155BB77}"/>
    <cellStyle name="Comma 10 4" xfId="472" xr:uid="{F4C7202E-A82B-49CC-95DA-1FE62E4A0A48}"/>
    <cellStyle name="Comma 10 4 10" xfId="473" xr:uid="{2EE01898-321D-4C2A-8D90-84741043E707}"/>
    <cellStyle name="Comma 10 4 11" xfId="474" xr:uid="{94F0D9F8-AA31-4C71-9808-5CC0FC0C751E}"/>
    <cellStyle name="Comma 10 4 12" xfId="475" xr:uid="{33E65733-657F-4EDE-98BA-99623993E5FF}"/>
    <cellStyle name="Comma 10 4 13" xfId="476" xr:uid="{90C0B9D8-EA09-486B-9971-2BA8B5D289E0}"/>
    <cellStyle name="Comma 10 4 14" xfId="477" xr:uid="{03F0F34D-9326-411E-A381-871939C324ED}"/>
    <cellStyle name="Comma 10 4 15" xfId="478" xr:uid="{69FCCD7A-DB7E-4C97-AEDC-E7FC7DED9AD0}"/>
    <cellStyle name="Comma 10 4 16" xfId="479" xr:uid="{9C41B341-E076-4148-B6EC-1999FA76C8D9}"/>
    <cellStyle name="Comma 10 4 17" xfId="480" xr:uid="{C43F7D9C-2FE5-4948-AE29-38C803796627}"/>
    <cellStyle name="Comma 10 4 2" xfId="481" xr:uid="{792E4613-3673-4146-A60E-B12B2229B2EB}"/>
    <cellStyle name="Comma 10 4 3" xfId="482" xr:uid="{44A443C6-2E93-434B-B63E-181B952A0527}"/>
    <cellStyle name="Comma 10 4 4" xfId="483" xr:uid="{94D8C841-197F-49AA-8914-407FD7F9351A}"/>
    <cellStyle name="Comma 10 4 5" xfId="484" xr:uid="{F2CB598D-9C41-47EB-A137-2E158D31F930}"/>
    <cellStyle name="Comma 10 4 6" xfId="485" xr:uid="{381A70C5-D8BE-4BB6-A27D-503E6BA02CB1}"/>
    <cellStyle name="Comma 10 4 7" xfId="486" xr:uid="{26A4D2D8-31C7-4957-A203-28AA2832C924}"/>
    <cellStyle name="Comma 10 4 8" xfId="487" xr:uid="{F4A6AAEF-7F99-4E11-807A-5071BD3073DD}"/>
    <cellStyle name="Comma 10 4 9" xfId="488" xr:uid="{8A4EAF33-A87B-4A31-9F3E-F976AD4EE0D1}"/>
    <cellStyle name="Comma 10 5" xfId="489" xr:uid="{F1AB9960-7FEB-4BF7-B20C-723BD3006DAA}"/>
    <cellStyle name="Comma 10 5 10" xfId="490" xr:uid="{EF5B215F-9849-4C25-9E43-410951409823}"/>
    <cellStyle name="Comma 10 5 11" xfId="491" xr:uid="{0DDB85EE-FF09-40CF-AD1C-E344757148B0}"/>
    <cellStyle name="Comma 10 5 12" xfId="492" xr:uid="{6D20968E-4182-4498-8EC0-F846B06DCE38}"/>
    <cellStyle name="Comma 10 5 13" xfId="493" xr:uid="{764DD032-DD4F-4ED6-938C-7D8236C500C4}"/>
    <cellStyle name="Comma 10 5 14" xfId="494" xr:uid="{6DE50509-CAF6-423F-8659-2A3FBA5F2207}"/>
    <cellStyle name="Comma 10 5 15" xfId="495" xr:uid="{6551B964-3B76-403C-AAFB-C146A7C4672B}"/>
    <cellStyle name="Comma 10 5 16" xfId="496" xr:uid="{CBF31847-4F23-474E-B294-C1070AF4B0F6}"/>
    <cellStyle name="Comma 10 5 17" xfId="497" xr:uid="{B0F069AD-1F31-44D7-A982-37F2995F0C10}"/>
    <cellStyle name="Comma 10 5 2" xfId="498" xr:uid="{9B797A37-153A-49AB-8E95-4CEDF870797C}"/>
    <cellStyle name="Comma 10 5 3" xfId="499" xr:uid="{20F7C843-23B3-4DC5-AE3D-2FFE4DC1A12D}"/>
    <cellStyle name="Comma 10 5 4" xfId="500" xr:uid="{08F4462A-AC70-4B86-97DB-8D8E1DF43C52}"/>
    <cellStyle name="Comma 10 5 5" xfId="501" xr:uid="{91D6C1B0-FAB5-4576-822E-AE241D74CBE9}"/>
    <cellStyle name="Comma 10 5 6" xfId="502" xr:uid="{AB2C0A7C-D4D0-46E7-BE0F-5EEE662DFFC3}"/>
    <cellStyle name="Comma 10 5 7" xfId="503" xr:uid="{CCC7BD17-36B0-4E83-B47E-755F3B6A45ED}"/>
    <cellStyle name="Comma 10 5 8" xfId="504" xr:uid="{92C88197-A001-49EA-81FD-3F5B780FB427}"/>
    <cellStyle name="Comma 10 5 9" xfId="505" xr:uid="{CAA7013A-86C8-450E-9573-213EC64E9899}"/>
    <cellStyle name="Comma 10 6" xfId="506" xr:uid="{0E53D9F1-2CBE-4917-A585-BC9D7499BF36}"/>
    <cellStyle name="Comma 10 6 10" xfId="507" xr:uid="{9D530CFE-F612-4E48-AAA3-0E90A8EC9F5D}"/>
    <cellStyle name="Comma 10 6 11" xfId="508" xr:uid="{8B068A89-1DCE-4773-B4D6-3FE637681B8D}"/>
    <cellStyle name="Comma 10 6 12" xfId="509" xr:uid="{C50FF0BA-8616-42A0-A5B8-71100685DFD4}"/>
    <cellStyle name="Comma 10 6 13" xfId="510" xr:uid="{57F8306D-788F-47CD-B517-F2DC806A48C5}"/>
    <cellStyle name="Comma 10 6 14" xfId="511" xr:uid="{E0E36CC2-DFA1-4BE4-9229-93C26DFB6376}"/>
    <cellStyle name="Comma 10 6 15" xfId="512" xr:uid="{918DCDB2-9689-4EF7-8182-41DED625B0A2}"/>
    <cellStyle name="Comma 10 6 16" xfId="513" xr:uid="{4FB9F546-2427-49E3-89D0-F0B772B72D77}"/>
    <cellStyle name="Comma 10 6 17" xfId="514" xr:uid="{A0C37EEA-F501-4E34-B413-EB6AFB52329C}"/>
    <cellStyle name="Comma 10 6 2" xfId="515" xr:uid="{45A308DC-2D40-4DC6-911C-9CFC5A993B5E}"/>
    <cellStyle name="Comma 10 6 3" xfId="516" xr:uid="{9C9BF670-4CEB-43B9-B641-01E8D4DA6A7C}"/>
    <cellStyle name="Comma 10 6 4" xfId="517" xr:uid="{63C211FC-361D-41E8-A2B0-81CFE31DECE4}"/>
    <cellStyle name="Comma 10 6 5" xfId="518" xr:uid="{9D8AF57A-A9C7-4C29-9AFA-2B351CE4E045}"/>
    <cellStyle name="Comma 10 6 6" xfId="519" xr:uid="{89060FF0-ECC2-4AC0-B421-134D07C1E897}"/>
    <cellStyle name="Comma 10 6 7" xfId="520" xr:uid="{0030C306-0F67-40BB-B8A8-693F17FF2471}"/>
    <cellStyle name="Comma 10 6 8" xfId="521" xr:uid="{F6F5E2EF-5008-4D6B-AE38-D4EF756BBCF8}"/>
    <cellStyle name="Comma 10 6 9" xfId="522" xr:uid="{4BCC68F0-4483-4CD1-B076-EC3F888974FE}"/>
    <cellStyle name="Comma 10 7" xfId="523" xr:uid="{D7A75D0E-396E-46C4-BE20-688A7D1D1F60}"/>
    <cellStyle name="Comma 10 7 10" xfId="524" xr:uid="{95B1158B-AB5B-4376-BBA1-E24616949DC4}"/>
    <cellStyle name="Comma 10 7 11" xfId="525" xr:uid="{C239C753-C8B0-4CDE-9778-529DDBE689D6}"/>
    <cellStyle name="Comma 10 7 12" xfId="526" xr:uid="{0E28D589-31C8-4962-B14C-BE5D8D5AD83B}"/>
    <cellStyle name="Comma 10 7 13" xfId="527" xr:uid="{0B72A051-2E85-4130-A89B-A54010650E48}"/>
    <cellStyle name="Comma 10 7 14" xfId="528" xr:uid="{35A59005-8FAF-474C-9DC5-6B824EC5C5B8}"/>
    <cellStyle name="Comma 10 7 15" xfId="529" xr:uid="{975D9FE3-3E8A-4F63-98E5-AF56E73B9F72}"/>
    <cellStyle name="Comma 10 7 16" xfId="530" xr:uid="{B5FC9069-AD10-4E1D-8A71-9178A35F6F63}"/>
    <cellStyle name="Comma 10 7 17" xfId="531" xr:uid="{EC528141-452E-40D4-84A3-D4E1412CBD52}"/>
    <cellStyle name="Comma 10 7 2" xfId="532" xr:uid="{86F30CA4-35CF-4CE9-8E59-2797359861D7}"/>
    <cellStyle name="Comma 10 7 3" xfId="533" xr:uid="{98A2003D-FA3E-46BD-8CD8-3B313F8463C6}"/>
    <cellStyle name="Comma 10 7 4" xfId="534" xr:uid="{503F3CF4-D2FB-4595-B9BD-06F288A8CAD9}"/>
    <cellStyle name="Comma 10 7 5" xfId="535" xr:uid="{8E1ADD59-DE6A-4F26-8CC4-3C44B3BB7BFB}"/>
    <cellStyle name="Comma 10 7 6" xfId="536" xr:uid="{5976267B-69F4-46AE-A0C4-54DFE9E61E44}"/>
    <cellStyle name="Comma 10 7 7" xfId="537" xr:uid="{C04006B9-530D-44F1-84AE-25A24F419F8D}"/>
    <cellStyle name="Comma 10 7 8" xfId="538" xr:uid="{8618BA42-12EC-454F-A462-DC9C6FAE5864}"/>
    <cellStyle name="Comma 10 7 9" xfId="539" xr:uid="{6840FABA-AB21-40A3-B213-8E9E141C93FA}"/>
    <cellStyle name="Comma 10 8" xfId="540" xr:uid="{78E86624-67A3-48CE-8EBC-DE496B5AF8AE}"/>
    <cellStyle name="Comma 10 8 10" xfId="541" xr:uid="{9B6DD82A-A3AC-4EF2-B34A-F3EF41174831}"/>
    <cellStyle name="Comma 10 8 11" xfId="542" xr:uid="{9C72A96E-6830-46CE-915F-8661181DDD51}"/>
    <cellStyle name="Comma 10 8 12" xfId="543" xr:uid="{637B8A3D-419F-4795-97D6-9EB7D3910723}"/>
    <cellStyle name="Comma 10 8 13" xfId="544" xr:uid="{3940FF32-1F7B-4C4A-A2FA-9F67F14C79D5}"/>
    <cellStyle name="Comma 10 8 14" xfId="545" xr:uid="{1E642C59-0060-4A85-A281-8F2DFA33E435}"/>
    <cellStyle name="Comma 10 8 15" xfId="546" xr:uid="{1E3FAC4B-A85F-4883-8FB5-2EEC4DF7DE86}"/>
    <cellStyle name="Comma 10 8 16" xfId="547" xr:uid="{14B931CE-4067-442E-A8F3-CE098FFA7FBD}"/>
    <cellStyle name="Comma 10 8 17" xfId="548" xr:uid="{01972226-CBDE-470D-A285-763DFB103D87}"/>
    <cellStyle name="Comma 10 8 2" xfId="549" xr:uid="{1532C69E-E160-4061-AB6F-68971FE2E5BE}"/>
    <cellStyle name="Comma 10 8 3" xfId="550" xr:uid="{70D9C9A3-5CD2-4B39-AB40-5A1EC6C68B90}"/>
    <cellStyle name="Comma 10 8 4" xfId="551" xr:uid="{01E25D00-A702-4CE4-B559-B435FDD8F1CB}"/>
    <cellStyle name="Comma 10 8 5" xfId="552" xr:uid="{037BE4FB-DA76-425A-A64B-160106769DDF}"/>
    <cellStyle name="Comma 10 8 6" xfId="553" xr:uid="{D94EDD0E-A83C-4F80-BC5A-47AA24A42B50}"/>
    <cellStyle name="Comma 10 8 7" xfId="554" xr:uid="{906DFB94-F9C9-41D8-A621-ACF825A1F4B3}"/>
    <cellStyle name="Comma 10 8 8" xfId="555" xr:uid="{0B458E83-2470-4659-9467-ADFF062205CA}"/>
    <cellStyle name="Comma 10 8 9" xfId="556" xr:uid="{20B07278-E5C0-4626-8D9F-AB3C734AF1F2}"/>
    <cellStyle name="Comma 11" xfId="557" xr:uid="{9A0FB0FB-0778-4255-85DB-A0D993603C85}"/>
    <cellStyle name="Comma 12" xfId="558" xr:uid="{B2FB6839-D83A-4AF4-9882-638A643D6044}"/>
    <cellStyle name="Comma 13" xfId="559" xr:uid="{6254BA5C-9085-466E-A412-E3D269E0F080}"/>
    <cellStyle name="Comma 14" xfId="560" xr:uid="{E3499BE2-E3DE-4B14-9946-F9E61B0DE762}"/>
    <cellStyle name="Comma 15" xfId="561" xr:uid="{2CB65C44-C728-4F72-9CCA-0649B09B5070}"/>
    <cellStyle name="Comma 16" xfId="562" xr:uid="{95A53634-60FC-44F9-9202-4E021EC7ABB5}"/>
    <cellStyle name="Comma 17" xfId="563" xr:uid="{1B8F7BFB-3A17-46EE-BFD6-530CB4A10C14}"/>
    <cellStyle name="Comma 18" xfId="564" xr:uid="{93D53F4D-9C67-4C5A-9208-8E3A33392654}"/>
    <cellStyle name="Comma 19" xfId="565" xr:uid="{87B3463D-4349-4847-8809-DC7E5B82456B}"/>
    <cellStyle name="Comma 2" xfId="566" xr:uid="{08CA09BA-D392-4118-8ECB-F9E992EDC783}"/>
    <cellStyle name="Comma 2 10" xfId="567" xr:uid="{5CA1425D-5A27-4B35-88AC-6B3A9569A6F6}"/>
    <cellStyle name="Comma 2 11" xfId="568" xr:uid="{9B2AACB2-DDA4-4145-98F4-6F4EF120CEE2}"/>
    <cellStyle name="Comma 2 12" xfId="569" xr:uid="{B1293A44-6C81-4584-AA26-9F7F9C45986F}"/>
    <cellStyle name="Comma 2 13" xfId="570" xr:uid="{D5B837B5-65A0-40B2-947E-116D4D7E10C8}"/>
    <cellStyle name="Comma 2 14" xfId="571" xr:uid="{FD576C7B-FABF-4DB7-99EF-91F3C0C56B4C}"/>
    <cellStyle name="Comma 2 15" xfId="572" xr:uid="{FDD83C18-D7A7-458C-B60A-983A1DB5E1AA}"/>
    <cellStyle name="Comma 2 16" xfId="573" xr:uid="{359679A7-02CE-4711-881B-61137A7EF2CA}"/>
    <cellStyle name="Comma 2 17" xfId="574" xr:uid="{CCBEB724-2636-4AF3-BDE5-AE09D63360D8}"/>
    <cellStyle name="Comma 2 18" xfId="575" xr:uid="{07365B14-3C1E-44DC-A6B3-BD2455536434}"/>
    <cellStyle name="Comma 2 19" xfId="576" xr:uid="{C0BFF527-5C5B-44DB-B78B-92A123A69BF0}"/>
    <cellStyle name="Comma 2 19 2" xfId="577" xr:uid="{F2B24CF3-3983-4E87-B130-9E240910D309}"/>
    <cellStyle name="Comma 2 19 3" xfId="578" xr:uid="{7DA4537B-5002-44D7-AF9A-D97297683C9D}"/>
    <cellStyle name="Comma 2 2" xfId="579" xr:uid="{5BE434D0-26D3-4711-9FC1-D87299FD6E04}"/>
    <cellStyle name="Comma 2 2 2" xfId="580" xr:uid="{188DC4A2-D1EA-47E4-A788-9BD65780146F}"/>
    <cellStyle name="Comma 2 2 3" xfId="581" xr:uid="{35A8A785-40BE-4F5B-8761-67C2AF4A8D35}"/>
    <cellStyle name="Comma 2 2 4" xfId="582" xr:uid="{3B833046-72A2-4ECF-9F9D-8B20BA734962}"/>
    <cellStyle name="Comma 2 2 5" xfId="583" xr:uid="{4BCD3AE1-5C76-4D85-8A5A-541DA85A8BFA}"/>
    <cellStyle name="Comma 2 20" xfId="584" xr:uid="{C67CC343-61D9-4170-8489-238101907663}"/>
    <cellStyle name="Comma 2 21" xfId="585" xr:uid="{336169B8-E298-4BD1-946E-1E6BB1842F8A}"/>
    <cellStyle name="Comma 2 3" xfId="586" xr:uid="{95475DDA-244E-4F96-AAAF-9FB71EA93CE3}"/>
    <cellStyle name="Comma 2 3 2" xfId="587" xr:uid="{744CB4EC-BB52-4807-B31F-E04C4C83CE5E}"/>
    <cellStyle name="Comma 2 3 3" xfId="588" xr:uid="{568932DB-3A1D-4E8F-B669-9D4F203C00F2}"/>
    <cellStyle name="Comma 2 4" xfId="589" xr:uid="{E3B189A8-DAC7-4107-867C-567D97CBE2AC}"/>
    <cellStyle name="Comma 2 5" xfId="590" xr:uid="{0EF31AFF-BD36-414D-A497-72D30A63F0F8}"/>
    <cellStyle name="Comma 2 6" xfId="591" xr:uid="{17111440-1EAB-4447-A5E6-548772AAB81E}"/>
    <cellStyle name="Comma 2 7" xfId="592" xr:uid="{5703E82B-466F-4752-B5B4-03BD38A35535}"/>
    <cellStyle name="Comma 2 8" xfId="593" xr:uid="{100EFB3A-8698-42F4-B7C9-AA653DE5CA38}"/>
    <cellStyle name="Comma 2 9" xfId="594" xr:uid="{D9F35904-70F3-463D-B85A-8E00E7E34786}"/>
    <cellStyle name="Comma 3" xfId="595" xr:uid="{044CFDAB-D733-4055-B158-00642FB2F31B}"/>
    <cellStyle name="Comma 3 10" xfId="596" xr:uid="{6703124B-BBD7-4F6C-A4BC-71A1386564F2}"/>
    <cellStyle name="Comma 3 2" xfId="597" xr:uid="{D778B929-4B23-4461-8E78-BAE3FD4C2FE4}"/>
    <cellStyle name="Comma 3 3" xfId="598" xr:uid="{634ADE58-9E27-46F5-BB91-899A7C2C81DD}"/>
    <cellStyle name="Comma 3 4" xfId="599" xr:uid="{20DABCD3-7B03-4E0B-B0AF-DD201A9C9EE9}"/>
    <cellStyle name="Comma 3 5" xfId="600" xr:uid="{94F490F6-7396-4BCE-A6F8-F3F08DDAABBE}"/>
    <cellStyle name="Comma 3 6" xfId="601" xr:uid="{0B7BD7A8-B9F2-451A-A312-00AA381ED4E3}"/>
    <cellStyle name="Comma 3 7" xfId="602" xr:uid="{584B9CC1-BB8E-4245-9A50-925CB3AC9087}"/>
    <cellStyle name="Comma 3 8" xfId="603" xr:uid="{23650E73-BE5E-4A25-B56B-2E83D59BE3E2}"/>
    <cellStyle name="Comma 3 9" xfId="604" xr:uid="{3DA2D45A-B63E-40CA-AE8A-8686345E9376}"/>
    <cellStyle name="Comma 4" xfId="605" xr:uid="{6798FBC6-FDC9-41D5-A993-39874BCDBB83}"/>
    <cellStyle name="Comma 4 2" xfId="606" xr:uid="{C877763C-4EEC-40D3-8B11-32C0E4C13C24}"/>
    <cellStyle name="Comma 4 3" xfId="607" xr:uid="{2716097F-D96A-4150-A779-276EBA6C23BD}"/>
    <cellStyle name="Comma 4 4" xfId="608" xr:uid="{B79FA2CE-5DE5-48F8-84C5-883B1255F639}"/>
    <cellStyle name="Comma 4 5" xfId="609" xr:uid="{0342A53C-9858-4BA1-BD77-E5B993A921AB}"/>
    <cellStyle name="Comma 4 6" xfId="610" xr:uid="{2FE3779A-2A4F-42D9-9DC5-E7D141612E98}"/>
    <cellStyle name="Comma 4 7" xfId="611" xr:uid="{8F3EEBF9-0EC1-4F78-B454-B72754CB5F32}"/>
    <cellStyle name="Comma 4 8" xfId="612" xr:uid="{4244BBBF-BE9E-4098-BD08-E9AD3D958DAD}"/>
    <cellStyle name="Comma 4 9" xfId="613" xr:uid="{6347A006-2082-48C1-9B96-4F408D5EAE56}"/>
    <cellStyle name="Comma 5" xfId="614" xr:uid="{C18C14EA-1403-4F87-BB6F-49F148DB337C}"/>
    <cellStyle name="Comma 5 2" xfId="615" xr:uid="{B21F9E2B-E243-4166-8BEF-B74CB73F865F}"/>
    <cellStyle name="Comma 5 3" xfId="616" xr:uid="{A5E3E4AF-1221-4836-9C64-BBBCB7D6DF82}"/>
    <cellStyle name="Comma 5 4" xfId="617" xr:uid="{DD9DD8AF-BD46-4692-BB79-4D88716D6F1D}"/>
    <cellStyle name="Comma 5 5" xfId="618" xr:uid="{1027AB27-7BD2-45B0-9FCC-831F9DBACF6D}"/>
    <cellStyle name="Comma 5 6" xfId="619" xr:uid="{9A3381E3-1AE4-49DA-A084-00318A99325D}"/>
    <cellStyle name="Comma 5 7" xfId="620" xr:uid="{C0965A0D-CC49-47B2-8B46-B91BA77327A9}"/>
    <cellStyle name="Comma 5 8" xfId="621" xr:uid="{9DC666D0-D7BE-4EC7-84E9-034D05A88537}"/>
    <cellStyle name="Comma 6" xfId="622" xr:uid="{B81E9DA2-8890-40E9-9EBB-F5F018EA1573}"/>
    <cellStyle name="Comma 6 2" xfId="623" xr:uid="{D9548812-D8E6-464E-B05F-650FBAD3CDA2}"/>
    <cellStyle name="Comma 6 3" xfId="624" xr:uid="{207043C0-B4B4-401A-B5F1-2DEBD96555D2}"/>
    <cellStyle name="Comma 6 4" xfId="625" xr:uid="{33262763-59B6-4014-87E0-511738C283C7}"/>
    <cellStyle name="Comma 6 5" xfId="626" xr:uid="{3DB8E54A-2253-4637-8B1A-B51D780BE9F3}"/>
    <cellStyle name="Comma 6 6" xfId="627" xr:uid="{4907BD80-099D-4552-A67E-F145C46FC0AA}"/>
    <cellStyle name="Comma 6 7" xfId="628" xr:uid="{F4BBB8E1-74C5-4C71-AB8C-D3DD65606B83}"/>
    <cellStyle name="Comma 6 8" xfId="629" xr:uid="{8EF9DB99-F5EC-4EA2-BDBC-BFC2FDA6F6E2}"/>
    <cellStyle name="Comma 7" xfId="630" xr:uid="{39938F46-4D54-4867-B528-4032F04856EE}"/>
    <cellStyle name="Comma 7 10" xfId="631" xr:uid="{52C96D60-40C5-4309-BB4E-6304FD9BD0A4}"/>
    <cellStyle name="Comma 7 11" xfId="632" xr:uid="{7C01A1B7-F467-4F27-82D7-1EAE120922A5}"/>
    <cellStyle name="Comma 7 12" xfId="633" xr:uid="{159997E3-693D-4688-B7F4-C7228618E335}"/>
    <cellStyle name="Comma 7 13" xfId="634" xr:uid="{7FD3F276-115B-4C6E-9EBE-539A03B48288}"/>
    <cellStyle name="Comma 7 14" xfId="635" xr:uid="{EBA02668-214A-426F-B855-66CD71AEF310}"/>
    <cellStyle name="Comma 7 15" xfId="636" xr:uid="{D82EA358-CA94-4BC7-A7D4-BA05A50DFB91}"/>
    <cellStyle name="Comma 7 16" xfId="637" xr:uid="{423B943E-F1E7-4526-9BFC-43BBC7E920B6}"/>
    <cellStyle name="Comma 7 17" xfId="638" xr:uid="{E9E7C165-1454-4DFA-AEA6-469847972730}"/>
    <cellStyle name="Comma 7 18" xfId="639" xr:uid="{187594B3-57E9-4826-95A8-A4EDD619EBB7}"/>
    <cellStyle name="Comma 7 19" xfId="640" xr:uid="{655FE4BD-CF4A-42DE-9F09-6ACBD7128193}"/>
    <cellStyle name="Comma 7 2" xfId="641" xr:uid="{B8FD8A8D-58A5-454A-B76A-809D1BAFEE1B}"/>
    <cellStyle name="Comma 7 20" xfId="642" xr:uid="{A994D4B8-5277-4A08-9F1E-771A89EE3AAE}"/>
    <cellStyle name="Comma 7 21" xfId="643" xr:uid="{EA71B03A-CE12-4474-BAD7-A6B242B48ED3}"/>
    <cellStyle name="Comma 7 3" xfId="644" xr:uid="{A9410725-B18F-4AD2-98C4-84FB303A25DB}"/>
    <cellStyle name="Comma 7 3 10" xfId="645" xr:uid="{AB4503D5-A4E2-4135-B60F-2CDF866B9EF0}"/>
    <cellStyle name="Comma 7 3 11" xfId="646" xr:uid="{AB4C6C72-993D-475E-8B8F-EE407DD900DB}"/>
    <cellStyle name="Comma 7 3 12" xfId="647" xr:uid="{757EE57C-27C0-43D6-B806-2248B042CFC4}"/>
    <cellStyle name="Comma 7 3 13" xfId="648" xr:uid="{82BEB674-D616-4F2E-8495-CA21A33E9DCE}"/>
    <cellStyle name="Comma 7 3 14" xfId="649" xr:uid="{5ACDDE3C-22A6-4004-94B6-07AC9199AEDF}"/>
    <cellStyle name="Comma 7 3 15" xfId="650" xr:uid="{31450832-4386-4CC7-8162-24034A7759F7}"/>
    <cellStyle name="Comma 7 3 2" xfId="651" xr:uid="{8E67D223-F1F9-456A-A829-1EED9DFC63D3}"/>
    <cellStyle name="Comma 7 3 3" xfId="652" xr:uid="{4625550E-97E7-4AC0-A4F9-A03C7A43C643}"/>
    <cellStyle name="Comma 7 3 4" xfId="653" xr:uid="{C20E8554-1CAD-4E04-A2E5-8E28306A9524}"/>
    <cellStyle name="Comma 7 3 5" xfId="654" xr:uid="{69E04AAE-2CD6-44A4-BFF8-6117C4E822CA}"/>
    <cellStyle name="Comma 7 3 6" xfId="655" xr:uid="{DA83038A-0D0C-4559-B159-B71179652C3C}"/>
    <cellStyle name="Comma 7 3 7" xfId="656" xr:uid="{3412FB07-2F72-415C-B523-4015F0A4D6B2}"/>
    <cellStyle name="Comma 7 3 8" xfId="657" xr:uid="{B7E197E6-25AA-44FD-A34A-A18EE8A7FBE0}"/>
    <cellStyle name="Comma 7 3 9" xfId="658" xr:uid="{40374328-81D8-4A67-87AC-C08753439E16}"/>
    <cellStyle name="Comma 7 4" xfId="659" xr:uid="{C52523BE-CF1D-43A8-B8C4-A81A1D416EEE}"/>
    <cellStyle name="Comma 7 5" xfId="660" xr:uid="{34A3B2A3-AA10-4BF3-AC8A-8BF311F717C6}"/>
    <cellStyle name="Comma 7 6" xfId="661" xr:uid="{5E1C9BEE-FD1C-4507-9AA6-21156CD99EA4}"/>
    <cellStyle name="Comma 7 7" xfId="662" xr:uid="{67C94D47-F99F-4989-B759-207E01DEA43B}"/>
    <cellStyle name="Comma 7 8" xfId="663" xr:uid="{6090A04C-AE64-463E-B97F-49ECFA815CAB}"/>
    <cellStyle name="Comma 7 9" xfId="664" xr:uid="{431E68A8-EF27-4F8A-859F-C9D4D1D5E4B4}"/>
    <cellStyle name="Comma 8" xfId="665" xr:uid="{A04E49BB-EADB-4981-B7FF-7FFA3004EE67}"/>
    <cellStyle name="Comma 8 2" xfId="666" xr:uid="{9A897762-EA50-452A-ADC8-E19B3E6579BB}"/>
    <cellStyle name="Comma 8 3" xfId="667" xr:uid="{1711ACB3-C422-449A-8D6B-2D0A8B07EBDB}"/>
    <cellStyle name="Comma 8 4" xfId="668" xr:uid="{C61741A0-A2EF-420C-BFEB-8EE561BBA12A}"/>
    <cellStyle name="Comma 8 5" xfId="669" xr:uid="{0543AE43-62E0-4399-BCF4-AED040956780}"/>
    <cellStyle name="Comma 8 6" xfId="670" xr:uid="{A8857B6F-A14D-4D74-9E29-148DCBB9E3A8}"/>
    <cellStyle name="Comma 8 7" xfId="671" xr:uid="{26495B7A-5FCD-4E6B-9E5F-91C602599181}"/>
    <cellStyle name="Comma 8 8" xfId="672" xr:uid="{7872E4B6-9B59-4BE6-8470-ABF82A959DBE}"/>
    <cellStyle name="Comma 9" xfId="673" xr:uid="{F3CE2A31-7618-4D51-ABB0-5BEC9892551D}"/>
    <cellStyle name="Comma 9 2" xfId="674" xr:uid="{13377082-D86B-41DF-9333-F6696D6B2698}"/>
    <cellStyle name="Comma 9 3" xfId="675" xr:uid="{3EAFE907-F96F-40C1-A816-FF0FCE9F827D}"/>
    <cellStyle name="Comma 9 4" xfId="676" xr:uid="{57663EE1-F4E9-4006-B3AF-D9C88EF3AB3C}"/>
    <cellStyle name="Comma 9 5" xfId="677" xr:uid="{500D2D39-0357-4462-B35C-1812D0A725CF}"/>
    <cellStyle name="Comma 9 6" xfId="678" xr:uid="{BE0FF989-2832-467D-95D9-D25DBE8F8521}"/>
    <cellStyle name="Comma 9 7" xfId="679" xr:uid="{2813F3DE-75D9-4EF3-B193-EF33A6DF44FC}"/>
    <cellStyle name="Comma 9 8" xfId="680" xr:uid="{29EED239-401C-456A-9504-149C4EAA43C3}"/>
    <cellStyle name="Comma 9 9" xfId="681" xr:uid="{3146B093-CD38-4C8B-A64F-00BA01EA6C87}"/>
    <cellStyle name="Currency 2 2" xfId="682" xr:uid="{2D6008CF-1C43-424D-BBDA-3A2504ECE1F0}"/>
    <cellStyle name="CustomizationCells" xfId="683" xr:uid="{AFF6591A-DB3B-4964-8085-E820A41DB8AE}"/>
    <cellStyle name="Euro" xfId="684" xr:uid="{0CF3063C-3E87-47C7-8FBD-FB8A2D507F4F}"/>
    <cellStyle name="Euro 2" xfId="685" xr:uid="{B88FCE57-CE11-4C5D-A502-28B445E1BE9F}"/>
    <cellStyle name="Euro 2 2" xfId="686" xr:uid="{15380A37-0C2B-4610-B01B-B302335829FD}"/>
    <cellStyle name="Euro 2 2 2" xfId="687" xr:uid="{5A5AB314-1660-4ECC-91FA-E56D49E85990}"/>
    <cellStyle name="Euro 3" xfId="688" xr:uid="{D6C6EC50-DB18-4C23-8118-05033A3BB904}"/>
    <cellStyle name="Euro 3 2" xfId="689" xr:uid="{A9725CD3-9113-4B6B-8A73-1B93DC1DDBC8}"/>
    <cellStyle name="Euro 3 3" xfId="690" xr:uid="{DB4616BB-36A6-4C55-8A36-A4F03E6AC231}"/>
    <cellStyle name="Euro 4" xfId="691" xr:uid="{DCEB04A9-6C1B-4FBC-848C-11B65258B440}"/>
    <cellStyle name="Euro 4 2" xfId="692" xr:uid="{08E600ED-00A7-4339-B23B-90F298796A3B}"/>
    <cellStyle name="Euro 4 3" xfId="693" xr:uid="{C0015158-5DD9-4BAC-84B8-D016851096C3}"/>
    <cellStyle name="Euro 4 4" xfId="694" xr:uid="{BD1AACE8-B149-4344-9882-E7B9CCDC4C20}"/>
    <cellStyle name="Euro 5" xfId="695" xr:uid="{38C7E918-F87C-417C-84F5-EBF8606B38C2}"/>
    <cellStyle name="Euro 6" xfId="696" xr:uid="{588D99DD-0BC3-4529-B1BB-0923CCAF04AB}"/>
    <cellStyle name="Euro_UC_ICM" xfId="697" xr:uid="{19CC3E86-CBAF-49EF-AA9F-D9FC3EC1CDE3}"/>
    <cellStyle name="Explanatory Text 2" xfId="698" xr:uid="{5CFB58B3-2D2D-4DC7-80C7-0C3D4BFFA1B2}"/>
    <cellStyle name="Explanatory Text 2 10" xfId="699" xr:uid="{724D19C2-F683-4A80-B059-A3FD49B7B1C7}"/>
    <cellStyle name="Explanatory Text 2 2" xfId="700" xr:uid="{A4AD0242-3DE5-4C58-89C0-7842B8DD8788}"/>
    <cellStyle name="Explanatory Text 2 3" xfId="701" xr:uid="{F032C123-00D3-47DC-94B0-E3F0A6B6B790}"/>
    <cellStyle name="Explanatory Text 2 4" xfId="702" xr:uid="{4AE50BE2-6C3A-43B3-8433-E03A1ABEF71A}"/>
    <cellStyle name="Explanatory Text 2 5" xfId="703" xr:uid="{0A9DDEB1-9F11-439F-8BCB-74A4B1278625}"/>
    <cellStyle name="Explanatory Text 2 6" xfId="704" xr:uid="{EDAB14D7-F3C6-4CC3-9847-A7900230558F}"/>
    <cellStyle name="Explanatory Text 2 7" xfId="705" xr:uid="{17D3EDBA-C5CB-428F-839C-A1F88DA12D07}"/>
    <cellStyle name="Explanatory Text 2 8" xfId="706" xr:uid="{73A0B2C2-AFBA-43F5-80D6-CC12E3F039C5}"/>
    <cellStyle name="Explanatory Text 2 9" xfId="707" xr:uid="{6809CE0D-5AE1-4447-9D28-EA224029780B}"/>
    <cellStyle name="Explanatory Text 3" xfId="708" xr:uid="{A86724C2-C841-4F90-AC2F-4D41A1910770}"/>
    <cellStyle name="Float" xfId="709" xr:uid="{2ABCDB7F-E402-4ED8-98DD-C23FCB98FDC5}"/>
    <cellStyle name="Float 2" xfId="710" xr:uid="{8DD57803-3E8A-4476-96B5-CCB43508FF37}"/>
    <cellStyle name="Float 2 2" xfId="711" xr:uid="{BF4DC6C7-A13E-4AAF-B1BC-9F3B1E9C8B25}"/>
    <cellStyle name="Float 3" xfId="712" xr:uid="{FED4A336-CC52-41FA-9589-45AC041A492E}"/>
    <cellStyle name="Good 2" xfId="713" xr:uid="{C46F674F-922B-4587-86C2-96545509C254}"/>
    <cellStyle name="Good 2 10" xfId="714" xr:uid="{6658049D-F074-4991-9D4A-0922E0AD37DA}"/>
    <cellStyle name="Good 2 2" xfId="715" xr:uid="{4178952D-5791-4CCA-A479-90683F2AB6B2}"/>
    <cellStyle name="Good 2 3" xfId="716" xr:uid="{6B4462E6-DCBF-480F-A2DE-5BE0BF61A422}"/>
    <cellStyle name="Good 2 4" xfId="717" xr:uid="{9B26C20D-D66D-4F2F-B4F8-00EEAC4FBACA}"/>
    <cellStyle name="Good 2 5" xfId="718" xr:uid="{A2CC47AC-9C92-415E-9945-27A9E21894B1}"/>
    <cellStyle name="Good 2 6" xfId="719" xr:uid="{3D87DEF1-6B89-4E0B-9E66-64EA3F39CFB7}"/>
    <cellStyle name="Good 2 7" xfId="720" xr:uid="{C686B5A8-3EE2-42E1-8CB2-BB5E528C5D40}"/>
    <cellStyle name="Good 2 8" xfId="721" xr:uid="{404D9A27-052A-42A7-A48F-C85934F95DE8}"/>
    <cellStyle name="Good 2 9" xfId="722" xr:uid="{E48D3DE8-0520-4730-B1A7-9EA076102893}"/>
    <cellStyle name="Good 3" xfId="723" xr:uid="{83FDE77B-8FA5-474E-AAF7-55BBF6FB9407}"/>
    <cellStyle name="Heading 1 2" xfId="724" xr:uid="{9CEA302A-A5DA-4F86-9413-4EA6AA46497A}"/>
    <cellStyle name="Heading 1 2 10" xfId="725" xr:uid="{3B42BA5D-A835-4F5E-8564-FD8464048FAC}"/>
    <cellStyle name="Heading 1 2 2" xfId="726" xr:uid="{5D722EAA-B7CC-4A9C-BCC0-5C4440E05955}"/>
    <cellStyle name="Heading 1 2 3" xfId="727" xr:uid="{1ADB23AB-0E54-4FF4-B6FA-DCBBFBB533F9}"/>
    <cellStyle name="Heading 1 2 4" xfId="728" xr:uid="{605EA345-5EC7-49B1-847C-12FC14BD44F8}"/>
    <cellStyle name="Heading 1 2 5" xfId="729" xr:uid="{625CAEED-A2DE-49C5-9B3D-178878C48B8A}"/>
    <cellStyle name="Heading 1 2 6" xfId="730" xr:uid="{CBF9215D-5E92-4EB6-B844-E71F6277F3A6}"/>
    <cellStyle name="Heading 1 2 7" xfId="731" xr:uid="{B070951C-8D16-4C33-A7AC-27F5276799AC}"/>
    <cellStyle name="Heading 1 2 8" xfId="732" xr:uid="{0090486D-CA76-4A27-96D7-6A48DC43473E}"/>
    <cellStyle name="Heading 1 2 9" xfId="733" xr:uid="{2D04ECF0-3402-4EBF-8918-DE6185F99269}"/>
    <cellStyle name="Heading 1 3" xfId="734" xr:uid="{F1AD369D-081D-4375-93E4-489EDF10386D}"/>
    <cellStyle name="Heading 2 2" xfId="735" xr:uid="{32EE8F0A-9119-4792-A2F5-120804B0CB5C}"/>
    <cellStyle name="Heading 2 2 10" xfId="736" xr:uid="{2C80F7B8-75D0-436B-8B06-6EDCB0C9567E}"/>
    <cellStyle name="Heading 2 2 2" xfId="737" xr:uid="{73F5E7D5-9B45-4D6B-A315-B5A351928599}"/>
    <cellStyle name="Heading 2 2 3" xfId="738" xr:uid="{1C8B125E-35BE-4E48-956E-3FEA291463A4}"/>
    <cellStyle name="Heading 2 2 4" xfId="739" xr:uid="{5C36229B-7478-460F-BB90-9EFB34277F7B}"/>
    <cellStyle name="Heading 2 2 5" xfId="740" xr:uid="{50723C9B-E3C4-48C4-8620-69C7270F7BC8}"/>
    <cellStyle name="Heading 2 2 6" xfId="741" xr:uid="{A11C60A6-34B0-4B39-A395-5E699AC00246}"/>
    <cellStyle name="Heading 2 2 7" xfId="742" xr:uid="{E35A6AF7-6E40-4FA3-A9E7-F854EBF03377}"/>
    <cellStyle name="Heading 2 2 8" xfId="743" xr:uid="{4A3AB982-482B-4510-A86A-C63FB941E815}"/>
    <cellStyle name="Heading 2 2 9" xfId="744" xr:uid="{6C4B3ABE-4B98-49ED-8852-2F185042AEFC}"/>
    <cellStyle name="Heading 2 3" xfId="745" xr:uid="{5500FA13-44D5-4420-AD13-9C515995F560}"/>
    <cellStyle name="Heading 3 2" xfId="746" xr:uid="{CB8E6271-AC14-470C-9465-245CF0E84B12}"/>
    <cellStyle name="Heading 3 2 10" xfId="747" xr:uid="{057D2974-3448-4AF4-8C64-27AC687E4A38}"/>
    <cellStyle name="Heading 3 2 2" xfId="748" xr:uid="{06D21CBD-F809-4EA6-AEB6-23A2395BDBB4}"/>
    <cellStyle name="Heading 3 2 3" xfId="749" xr:uid="{D1DFA8B4-1AFA-4CEB-B12E-0ADE408D0325}"/>
    <cellStyle name="Heading 3 2 4" xfId="750" xr:uid="{74593567-0697-4E7F-A7A2-5705354EF701}"/>
    <cellStyle name="Heading 3 2 5" xfId="751" xr:uid="{B3937DE4-0168-45C9-A7D7-8275FB73AFDE}"/>
    <cellStyle name="Heading 3 2 6" xfId="752" xr:uid="{DC0FC022-3D92-47B5-9782-3FB6C3D960C3}"/>
    <cellStyle name="Heading 3 2 7" xfId="753" xr:uid="{5532DFB0-AECE-4947-A3FA-CF74E02A29ED}"/>
    <cellStyle name="Heading 3 2 8" xfId="754" xr:uid="{9F16874A-E3D3-401B-A243-E28C602C9356}"/>
    <cellStyle name="Heading 3 2 9" xfId="755" xr:uid="{9F0AC59D-0158-4972-9821-B776594F27B5}"/>
    <cellStyle name="Heading 3 3" xfId="756" xr:uid="{18809333-9C18-45CA-9F1E-DB0920B18A13}"/>
    <cellStyle name="Heading 4 2" xfId="757" xr:uid="{68C7ACB6-1927-4DF6-8F19-D27B8A1E36C7}"/>
    <cellStyle name="Heading 4 2 10" xfId="758" xr:uid="{BAE1EA81-6F3D-43BE-A90B-37B874151C31}"/>
    <cellStyle name="Heading 4 2 2" xfId="759" xr:uid="{B9D73B0E-46B3-4D9C-B675-EE8DEB7E2BCB}"/>
    <cellStyle name="Heading 4 2 3" xfId="760" xr:uid="{72578367-21BD-460F-A768-BAAE55597741}"/>
    <cellStyle name="Heading 4 2 4" xfId="761" xr:uid="{DADE2975-73D4-4FC8-B7D5-C4B813337CD1}"/>
    <cellStyle name="Heading 4 2 5" xfId="762" xr:uid="{8578BA59-F2A7-4B3E-B7F6-B9DA46FA7225}"/>
    <cellStyle name="Heading 4 2 6" xfId="763" xr:uid="{0423957E-3A34-4410-9A8B-CD1B77EF7087}"/>
    <cellStyle name="Heading 4 2 7" xfId="764" xr:uid="{EDCE7A3C-4BB2-4A7A-9E45-8D4B78010098}"/>
    <cellStyle name="Heading 4 2 8" xfId="765" xr:uid="{77FE43E4-5D01-4717-ACA5-50CB398954BA}"/>
    <cellStyle name="Heading 4 2 9" xfId="766" xr:uid="{A33D65D5-B591-404A-84FF-D1D0D8A02970}"/>
    <cellStyle name="Heading 4 3" xfId="767" xr:uid="{1068A917-F704-4097-8D37-03FFC213FD04}"/>
    <cellStyle name="Hyperlink 2" xfId="6" xr:uid="{33D7DC08-B47C-45B9-9339-53A913161F76}"/>
    <cellStyle name="Input" xfId="2" builtinId="20"/>
    <cellStyle name="Input 2" xfId="768" xr:uid="{A0A4D6F2-3DBE-4AC9-BA4C-3ABB9D90070A}"/>
    <cellStyle name="Input 2 10" xfId="769" xr:uid="{4C1326DA-AA0F-4743-8655-6ABA760ECD37}"/>
    <cellStyle name="Input 2 2" xfId="770" xr:uid="{5B309106-54A0-4133-93FB-32DD3E9BA688}"/>
    <cellStyle name="Input 2 3" xfId="771" xr:uid="{452B90D0-2445-4F33-9D98-7CDBD9029EC5}"/>
    <cellStyle name="Input 2 4" xfId="772" xr:uid="{4E9A9604-6174-4C7E-82CA-E7C4EF052066}"/>
    <cellStyle name="Input 2 5" xfId="773" xr:uid="{E4861E45-5EE2-4D67-B5D4-D528F283B87E}"/>
    <cellStyle name="Input 2 6" xfId="774" xr:uid="{C56E707E-6B7C-4F6C-A228-66144FA2043F}"/>
    <cellStyle name="Input 2 7" xfId="775" xr:uid="{DBDC7262-6FB4-48F5-B6BA-4B9FCC3D2C95}"/>
    <cellStyle name="Input 2 8" xfId="776" xr:uid="{0F2B3305-506A-4BEC-8F70-8F849855EC4F}"/>
    <cellStyle name="Input 2 9" xfId="777" xr:uid="{B996A4EE-A3DF-4B19-B7AC-16B7F3929391}"/>
    <cellStyle name="Input 3" xfId="778" xr:uid="{CEAEC06F-BF7C-4435-9204-C7775689F3CC}"/>
    <cellStyle name="InputCells" xfId="779" xr:uid="{A1008457-D359-4142-B027-865BC75510EB}"/>
    <cellStyle name="Linked Cell 2" xfId="780" xr:uid="{4D494E2C-A09F-40EE-A159-C43B15AA948C}"/>
    <cellStyle name="Linked Cell 2 10" xfId="781" xr:uid="{2F8859BA-A071-4D4C-8758-4186351B63CD}"/>
    <cellStyle name="Linked Cell 2 2" xfId="782" xr:uid="{DE4BB7F1-D3CF-4F5F-86E6-54356E23282F}"/>
    <cellStyle name="Linked Cell 2 3" xfId="783" xr:uid="{8B2B89FC-9E1D-436C-B778-60A2246ED299}"/>
    <cellStyle name="Linked Cell 2 4" xfId="784" xr:uid="{C4310A8D-F206-4F23-B125-E37C3A483629}"/>
    <cellStyle name="Linked Cell 2 5" xfId="785" xr:uid="{718481C5-86F8-4A43-8774-F893C1696038}"/>
    <cellStyle name="Linked Cell 2 6" xfId="786" xr:uid="{63BC8C4E-9E9E-4E16-8D19-A02C09761BE8}"/>
    <cellStyle name="Linked Cell 2 7" xfId="787" xr:uid="{94DB31A3-4186-4C9F-87F5-50B0B323CBD3}"/>
    <cellStyle name="Linked Cell 2 8" xfId="788" xr:uid="{33DC1A1F-13A1-41E2-8C82-C3BCC118E22D}"/>
    <cellStyle name="Linked Cell 2 9" xfId="789" xr:uid="{6374E2E0-1067-4966-983C-2069D187E533}"/>
    <cellStyle name="Linked Cell 3" xfId="790" xr:uid="{23683878-0C80-45CF-97B3-292284F6C7EC}"/>
    <cellStyle name="Migliaia_Oil&amp;Gas IFE ARC POLITO" xfId="791" xr:uid="{3BD29AF4-DD73-4A9D-94CC-CD8225AAA3F8}"/>
    <cellStyle name="Neutral 2" xfId="792" xr:uid="{5A34F81F-5492-4453-9F66-882BF411E89F}"/>
    <cellStyle name="Neutral 2 10" xfId="793" xr:uid="{12B345D4-F306-40FE-8D23-7A1737D4605F}"/>
    <cellStyle name="Neutral 2 2" xfId="794" xr:uid="{83AB7713-3BF1-4CFD-861B-4C93BA05BE72}"/>
    <cellStyle name="Neutral 2 3" xfId="795" xr:uid="{AF541F49-1213-41D7-B7F6-9FEFE0B99111}"/>
    <cellStyle name="Neutral 2 4" xfId="796" xr:uid="{B0787515-6C98-4F5E-9D6C-B61CCD462BEE}"/>
    <cellStyle name="Neutral 2 5" xfId="797" xr:uid="{467EB6AB-33B0-4B69-AD48-2ED27225C8C0}"/>
    <cellStyle name="Neutral 2 6" xfId="798" xr:uid="{3D55E3A0-CB4E-458A-9F17-DE276E2F1CE7}"/>
    <cellStyle name="Neutral 2 7" xfId="799" xr:uid="{FEB1F1BE-9F45-4234-90DA-68B550F1AFB6}"/>
    <cellStyle name="Neutral 2 8" xfId="800" xr:uid="{D8B2F4EC-7524-4BEE-8E7D-8A31A82AB7E5}"/>
    <cellStyle name="Neutral 2 9" xfId="801" xr:uid="{E2262796-2204-4E0C-84DF-5E7BE2911164}"/>
    <cellStyle name="Neutral 3" xfId="802" xr:uid="{3B7E11CF-C031-4521-BFE9-EE0D190D5443}"/>
    <cellStyle name="Normal" xfId="0" builtinId="0"/>
    <cellStyle name="Normal 10" xfId="1" xr:uid="{00000000-0005-0000-0000-000001000000}"/>
    <cellStyle name="Normal 10 2" xfId="803" xr:uid="{2D28E5DA-BB8E-44E0-B3C9-5DD42AA5989D}"/>
    <cellStyle name="Normal 10 2 2 2 2 2" xfId="1795" xr:uid="{CF4DE176-7429-4649-AE72-06C36C180AA3}"/>
    <cellStyle name="Normal 10 3" xfId="804" xr:uid="{C2F7A736-5CC3-48C4-A23D-02EFF2A8E878}"/>
    <cellStyle name="Normal 10 4" xfId="805" xr:uid="{AFE1F6A9-DB46-4311-A2B8-48145D9EE547}"/>
    <cellStyle name="Normal 10 5" xfId="806" xr:uid="{258474A9-8F33-4B88-BEBB-1028AC5DDABE}"/>
    <cellStyle name="Normal 10 6" xfId="807" xr:uid="{823F3503-77FB-4983-ADC4-178CE189D0F1}"/>
    <cellStyle name="Normal 10 7" xfId="808" xr:uid="{D1742313-45E2-40D4-9BCE-8CCECFEAA3AD}"/>
    <cellStyle name="Normal 10 8" xfId="809" xr:uid="{7C6525CB-F73F-48D4-B66A-1F4C5424FF61}"/>
    <cellStyle name="Normal 10 9" xfId="810" xr:uid="{061B5B65-F4DA-48AD-9D41-EA26F2566DF0}"/>
    <cellStyle name="Normal 11" xfId="811" xr:uid="{C48DA7C3-435B-45C3-B050-97D67E83ECB9}"/>
    <cellStyle name="Normal 11 2" xfId="812" xr:uid="{970A5521-421C-4239-B3D0-878F80D60CEC}"/>
    <cellStyle name="Normal 11 3" xfId="813" xr:uid="{4D46FEA1-C1BD-4A2C-BC00-4649E8BE5CD6}"/>
    <cellStyle name="Normal 11 4" xfId="814" xr:uid="{24EDC323-9566-48AC-8437-1499E2FFA89E}"/>
    <cellStyle name="Normal 11 5" xfId="815" xr:uid="{58CBDE55-F084-44C0-B2DA-750AC8A95221}"/>
    <cellStyle name="Normal 11 6" xfId="816" xr:uid="{F158ABF9-2BA2-4771-9DF6-F55FE1ABB25E}"/>
    <cellStyle name="Normal 11 7" xfId="817" xr:uid="{1EC88783-4382-499D-9982-C219A933B25C}"/>
    <cellStyle name="Normal 11 8" xfId="818" xr:uid="{F0187845-8CB0-4760-9997-09A713ABD70E}"/>
    <cellStyle name="Normal 12" xfId="819" xr:uid="{11BBC2F9-BBF8-4FA2-A82C-F7354E1340E2}"/>
    <cellStyle name="Normal 12 2" xfId="820" xr:uid="{D6E966F2-8258-4DA0-90E9-426331CB0674}"/>
    <cellStyle name="Normal 12 3" xfId="821" xr:uid="{B66D6CAE-F8D2-4ABE-B292-658AA52C33FD}"/>
    <cellStyle name="Normal 12 4" xfId="822" xr:uid="{3FCDFA78-A5D5-48F4-BA2F-3D6B4091D2CC}"/>
    <cellStyle name="Normal 12 5" xfId="823" xr:uid="{DD3F4964-C18C-4010-84FB-6AB9CB5D2D19}"/>
    <cellStyle name="Normal 12 6" xfId="824" xr:uid="{8D052118-3201-4E26-8D8E-EDD02CCB54DE}"/>
    <cellStyle name="Normal 12 7" xfId="825" xr:uid="{D9B8CDD0-646F-401B-A0C0-A5BA23C393DE}"/>
    <cellStyle name="Normal 12 8" xfId="826" xr:uid="{F29D533E-DD3A-4507-AB57-6BD39C446CEB}"/>
    <cellStyle name="Normal 13" xfId="827" xr:uid="{3DA53EA1-F67E-483C-A86B-5D80637FC4BC}"/>
    <cellStyle name="Normal 13 10" xfId="828" xr:uid="{4FBFA255-A5E4-4D3D-A8F8-BBDA4CDE9331}"/>
    <cellStyle name="Normal 13 11" xfId="829" xr:uid="{147108C8-87FB-4C21-8873-CCF88FD1F9DB}"/>
    <cellStyle name="Normal 13 12" xfId="830" xr:uid="{052CB5A7-BD87-4AB2-964A-2FDE3A6BED52}"/>
    <cellStyle name="Normal 13 13" xfId="831" xr:uid="{1E0B7C6B-4E8C-4009-9AB7-D73435A421A4}"/>
    <cellStyle name="Normal 13 14" xfId="832" xr:uid="{0C5D64F8-AD9E-46D9-9BE7-981922D7B50F}"/>
    <cellStyle name="Normal 13 15" xfId="833" xr:uid="{54912C35-E0FC-4D0A-8C3A-55B9A50D22F6}"/>
    <cellStyle name="Normal 13 16" xfId="834" xr:uid="{F0CA4643-CA2C-4A76-ADF9-221D13EA7BD6}"/>
    <cellStyle name="Normal 13 17" xfId="835" xr:uid="{85F77EF5-39C4-4BD6-9C24-0ECD0B2FF3B4}"/>
    <cellStyle name="Normal 13 18" xfId="836" xr:uid="{BC5485A5-4E6B-4303-863F-8EC2BA661807}"/>
    <cellStyle name="Normal 13 19" xfId="837" xr:uid="{787212BF-94FA-4C2D-97E5-989E91D4B9B0}"/>
    <cellStyle name="Normal 13 2" xfId="838" xr:uid="{B7826667-7038-49A2-BA64-FB72930125CE}"/>
    <cellStyle name="Normal 13 2 2" xfId="839" xr:uid="{2948FFAB-2BC1-4C38-B7F2-969DA2A3C05E}"/>
    <cellStyle name="Normal 13 2 3" xfId="840" xr:uid="{57A57E34-B066-4C0D-BD13-130475C1D206}"/>
    <cellStyle name="Normal 13 2 4" xfId="841" xr:uid="{1D685A04-F166-437C-9846-E30C5D0FD81D}"/>
    <cellStyle name="Normal 13 2 5" xfId="842" xr:uid="{6B508041-E11E-478E-8B16-D1B319AE7C66}"/>
    <cellStyle name="Normal 13 2 6" xfId="843" xr:uid="{E52C43DB-7190-4769-8EF3-D561B77B9D4F}"/>
    <cellStyle name="Normal 13 2 7" xfId="844" xr:uid="{63324B18-C2E4-4F13-B7A8-9B2149B54E4E}"/>
    <cellStyle name="Normal 13 2 8" xfId="845" xr:uid="{89C20492-E0E5-4352-8AE6-FCE87AA4545F}"/>
    <cellStyle name="Normal 13 20" xfId="846" xr:uid="{6FF9C9A9-8E6A-42AF-97A1-7E0878931217}"/>
    <cellStyle name="Normal 13 21" xfId="847" xr:uid="{495CECD5-080D-4AF4-94F2-C164655BF303}"/>
    <cellStyle name="Normal 13 22" xfId="848" xr:uid="{7EA40E7E-0B61-4519-A821-368A7C91375F}"/>
    <cellStyle name="Normal 13 23" xfId="849" xr:uid="{DFF1BE56-1ACC-4545-B740-D48ED78DE390}"/>
    <cellStyle name="Normal 13 24" xfId="850" xr:uid="{94F2CB45-E769-4310-9543-948F5428F0D5}"/>
    <cellStyle name="Normal 13 25" xfId="851" xr:uid="{9B403D1A-2BEF-4763-BA98-1F738D5AABC3}"/>
    <cellStyle name="Normal 13 26" xfId="852" xr:uid="{1FCE85DB-8C6F-49E1-A5CF-EAAE0ACC31E5}"/>
    <cellStyle name="Normal 13 27" xfId="853" xr:uid="{C27E689B-956D-43D5-B311-5022A32212E5}"/>
    <cellStyle name="Normal 13 28" xfId="854" xr:uid="{9824966A-AA86-45F6-8CE7-C23CDCAFE5A6}"/>
    <cellStyle name="Normal 13 29" xfId="855" xr:uid="{B31DAD6E-66FC-435C-B87D-0E2E5E15D086}"/>
    <cellStyle name="Normal 13 3" xfId="856" xr:uid="{7E01386E-EBF6-4924-95DD-B82BC653B2B3}"/>
    <cellStyle name="Normal 13 30" xfId="857" xr:uid="{1EB3E273-45FB-474D-9F90-F2680C27342D}"/>
    <cellStyle name="Normal 13 31" xfId="858" xr:uid="{29B635A7-29C7-42DE-B4CE-8CC4086C7A1A}"/>
    <cellStyle name="Normal 13 32" xfId="859" xr:uid="{C015F03E-840E-47D4-9BA6-23668D38B93A}"/>
    <cellStyle name="Normal 13 33" xfId="860" xr:uid="{C61270D3-F6C1-419D-9675-38702A7FF210}"/>
    <cellStyle name="Normal 13 34" xfId="861" xr:uid="{E908A5A9-AA9F-4FDC-89B3-9424E16627A9}"/>
    <cellStyle name="Normal 13 35" xfId="862" xr:uid="{5CBA25A5-287C-451D-87FE-EEC2B49D838F}"/>
    <cellStyle name="Normal 13 36" xfId="863" xr:uid="{B2ACB429-2B21-4E73-89EC-E27110E168CB}"/>
    <cellStyle name="Normal 13 37" xfId="864" xr:uid="{25EECBED-4B10-4AE3-AF8A-9554FC490A35}"/>
    <cellStyle name="Normal 13 38" xfId="865" xr:uid="{0A0EC601-ED6C-4658-84A1-6DF2CBD3EEFA}"/>
    <cellStyle name="Normal 13 4" xfId="866" xr:uid="{AC7F035E-3EF2-4264-B465-71300726AA0A}"/>
    <cellStyle name="Normal 13 5" xfId="867" xr:uid="{BDF1A5AA-FB90-4B27-97DC-84ABBF4170C0}"/>
    <cellStyle name="Normal 13 6" xfId="868" xr:uid="{B1B7CB29-05B7-45DF-B567-04141BFFF7B1}"/>
    <cellStyle name="Normal 13 7" xfId="869" xr:uid="{F4F9663A-F063-4391-AC2D-B958860A2085}"/>
    <cellStyle name="Normal 13 8" xfId="870" xr:uid="{BC9A529D-EF42-43A1-B813-7F7AD9EA56C1}"/>
    <cellStyle name="Normal 13 9" xfId="871" xr:uid="{684CE819-849C-4602-81AB-3F5F9A699E09}"/>
    <cellStyle name="Normal 14" xfId="872" xr:uid="{DCDE5FC2-1BE5-46D6-B7DD-624D9E8D8005}"/>
    <cellStyle name="Normal 14 10" xfId="873" xr:uid="{A99BFDE1-5593-45D9-8B3D-D37028894157}"/>
    <cellStyle name="Normal 14 11" xfId="874" xr:uid="{80EBCAB1-0B49-4D56-8E62-74A5DB67C08C}"/>
    <cellStyle name="Normal 14 12" xfId="875" xr:uid="{CAAD7919-47EB-4C43-BFF4-703298564FDA}"/>
    <cellStyle name="Normal 14 13" xfId="876" xr:uid="{DFF6E7A3-CD80-4307-A9B4-9A2966C435EF}"/>
    <cellStyle name="Normal 14 14" xfId="877" xr:uid="{7E52AFD6-3704-43C5-830E-7D0236A74F4D}"/>
    <cellStyle name="Normal 14 15" xfId="878" xr:uid="{B467E0D7-BCF5-4DBC-B05B-78FE09045896}"/>
    <cellStyle name="Normal 14 2" xfId="879" xr:uid="{3A917B6A-81BC-43F7-97D6-9831F1383015}"/>
    <cellStyle name="Normal 14 2 2" xfId="880" xr:uid="{EFBD5A4C-0EE4-424F-BAF8-ABD797FE7F92}"/>
    <cellStyle name="Normal 14 2 3" xfId="881" xr:uid="{DE33BF2F-3B74-44C6-A389-3367DB2A7CD0}"/>
    <cellStyle name="Normal 14 2 4" xfId="882" xr:uid="{90D15E1B-37BB-4AD8-9CFA-C243D0ADB442}"/>
    <cellStyle name="Normal 14 2 5" xfId="883" xr:uid="{38AC4756-37FD-45C0-AFA3-3DC5D1B9385C}"/>
    <cellStyle name="Normal 14 2 6" xfId="884" xr:uid="{1E447CAD-948E-451D-8521-0F63E9C13F84}"/>
    <cellStyle name="Normal 14 2 7" xfId="885" xr:uid="{C2F809E6-E67B-4E0D-90CA-A366521772C6}"/>
    <cellStyle name="Normal 14 3" xfId="886" xr:uid="{ED0F1CBC-20EE-4B19-9DB1-138795E12F12}"/>
    <cellStyle name="Normal 14 4" xfId="887" xr:uid="{EB91DAC9-96EF-4936-8CB5-AB7C2567C23C}"/>
    <cellStyle name="Normal 14 5" xfId="888" xr:uid="{22129085-1764-44FA-9C09-F996635E8EEB}"/>
    <cellStyle name="Normal 14 6" xfId="889" xr:uid="{B8C253C3-02DC-4D20-8119-02C98909B54E}"/>
    <cellStyle name="Normal 14 7" xfId="890" xr:uid="{1DBE821E-CB6A-4B75-977D-A84EECE866D1}"/>
    <cellStyle name="Normal 14 8" xfId="891" xr:uid="{3DA329FB-1FD3-4906-996E-EB28C21690B7}"/>
    <cellStyle name="Normal 14 9" xfId="892" xr:uid="{A192F286-51B3-4B89-ABDD-547024783A2D}"/>
    <cellStyle name="Normal 15" xfId="893" xr:uid="{3F728B31-6F71-4F7C-AA60-16642F4DC7E7}"/>
    <cellStyle name="Normal 15 2" xfId="894" xr:uid="{4DA1DE69-94FB-40CE-BA09-ED831D3CFB53}"/>
    <cellStyle name="Normal 15 3" xfId="895" xr:uid="{8D054A6B-D462-4335-B940-D5F135B9B672}"/>
    <cellStyle name="Normal 15 4" xfId="896" xr:uid="{EE8DCA3D-D6F0-4547-9C7B-BF8F3FFF6A2E}"/>
    <cellStyle name="Normal 15 5" xfId="897" xr:uid="{2E853C74-3412-4D45-8DCC-9AF72DE777A7}"/>
    <cellStyle name="Normal 15 6" xfId="898" xr:uid="{70C0C596-1DF0-4764-8004-9F55C7EF3AB7}"/>
    <cellStyle name="Normal 16" xfId="899" xr:uid="{2F6D2AD2-76AF-4049-B361-4218EE777CFF}"/>
    <cellStyle name="Normal 16 2" xfId="900" xr:uid="{C0FECDEE-6266-43AE-9332-B55A7D9BC0C2}"/>
    <cellStyle name="Normal 16 3" xfId="901" xr:uid="{9F144D45-E21B-4E22-BAD8-6C5808F0750D}"/>
    <cellStyle name="Normal 16 4" xfId="902" xr:uid="{CE6F0262-2F96-4AAF-BFCA-361377BC1A29}"/>
    <cellStyle name="Normal 16 5" xfId="903" xr:uid="{30F65055-B0EE-46D1-97FB-D14A5CAE0A62}"/>
    <cellStyle name="Normal 16 6" xfId="904" xr:uid="{6457B755-05D4-4AA4-8AD9-E1D4F3750171}"/>
    <cellStyle name="Normal 17" xfId="905" xr:uid="{E97448C1-F657-4558-9261-17E3CDC3DA6A}"/>
    <cellStyle name="Normal 17 10" xfId="906" xr:uid="{34B5A4C3-0CBD-4997-8BDD-E957C4A527E5}"/>
    <cellStyle name="Normal 17 11" xfId="907" xr:uid="{1F98224A-8272-4713-9204-47A50229D304}"/>
    <cellStyle name="Normal 17 12" xfId="908" xr:uid="{074CAF08-70D1-4638-9681-8CD4F24535A2}"/>
    <cellStyle name="Normal 17 13" xfId="909" xr:uid="{428A319A-EBE7-4C66-884A-D2FDB8BC3F2D}"/>
    <cellStyle name="Normal 17 2" xfId="910" xr:uid="{1AFA3709-DB13-4F3D-8CB1-78C46E86C65F}"/>
    <cellStyle name="Normal 17 3" xfId="911" xr:uid="{FBE7FB94-89CE-46F0-869C-459A62703E6E}"/>
    <cellStyle name="Normal 17 4" xfId="912" xr:uid="{F88C21CA-F5EB-4D0A-AAAB-9C7F6DB4B31D}"/>
    <cellStyle name="Normal 17 5" xfId="913" xr:uid="{DAD3A486-6996-4FD2-8B37-F9390BE4973C}"/>
    <cellStyle name="Normal 17 6" xfId="914" xr:uid="{0435CF25-936B-4A01-A007-96527EFC9BDB}"/>
    <cellStyle name="Normal 17 7" xfId="915" xr:uid="{3D1A9EC0-28F3-4292-B549-CF16E704BB8E}"/>
    <cellStyle name="Normal 17 8" xfId="916" xr:uid="{5B29D467-537B-4985-BAF6-6D5A3E5645E7}"/>
    <cellStyle name="Normal 17 9" xfId="917" xr:uid="{F66A299A-0E3F-47DE-8C44-4AD8E0820AA2}"/>
    <cellStyle name="Normal 18" xfId="918" xr:uid="{401B002D-B967-4981-B2F9-787830C22606}"/>
    <cellStyle name="Normal 19" xfId="919" xr:uid="{C7ACECC8-E1D9-4043-A99A-CD397CD73B94}"/>
    <cellStyle name="Normal 2" xfId="4" xr:uid="{8592314B-9B28-4AA3-986A-6582A5D67798}"/>
    <cellStyle name="Normal 2 10" xfId="921" xr:uid="{F9AFB30F-18D7-471E-AAEB-97E920904630}"/>
    <cellStyle name="Normal 2 11" xfId="922" xr:uid="{854F5478-C962-468F-9C4D-1CD53EB5901C}"/>
    <cellStyle name="Normal 2 12" xfId="923" xr:uid="{41FECB80-5E99-4CE3-9823-F8071D58C12D}"/>
    <cellStyle name="Normal 2 13" xfId="924" xr:uid="{FF6F703A-0386-4D96-B09C-CD0952F0A8F4}"/>
    <cellStyle name="Normal 2 14" xfId="925" xr:uid="{807CA910-508D-44AA-94DE-51986B0B4083}"/>
    <cellStyle name="Normal 2 15" xfId="926" xr:uid="{39FDA15F-E23B-44A6-8102-74891B4A61DE}"/>
    <cellStyle name="Normal 2 16" xfId="927" xr:uid="{81EE9746-23ED-4D48-B3AB-2771973E42BC}"/>
    <cellStyle name="Normal 2 17" xfId="928" xr:uid="{C4934C50-F237-478B-8DA1-BDB8702C6ECF}"/>
    <cellStyle name="Normal 2 18" xfId="929" xr:uid="{7CD9015D-ED72-4C32-A930-17E3BBD2AC0A}"/>
    <cellStyle name="Normal 2 19" xfId="930" xr:uid="{7BBDDB4F-BE13-4A55-AD96-775BA3AA85C0}"/>
    <cellStyle name="Normal 2 2" xfId="931" xr:uid="{51E4D0C4-A78C-4BE3-82E0-C6B4AB2E4E4A}"/>
    <cellStyle name="Normal 2 2 10" xfId="932" xr:uid="{12B47FF1-C4FD-440E-9957-62DDFE5D3A0A}"/>
    <cellStyle name="Normal 2 2 11" xfId="933" xr:uid="{F70E7628-DCE3-41C0-AC06-92F8A8FEA82C}"/>
    <cellStyle name="Normal 2 2 12" xfId="934" xr:uid="{931745CE-82AA-447A-AADC-21A42E1AB63C}"/>
    <cellStyle name="Normal 2 2 13" xfId="935" xr:uid="{8DA91314-DEC0-4ACC-8E4C-E2731FE3D1A0}"/>
    <cellStyle name="Normal 2 2 14" xfId="936" xr:uid="{86A74A14-5553-4AB8-9F4F-DA1BD79CFC9E}"/>
    <cellStyle name="Normal 2 2 2" xfId="937" xr:uid="{5FDD219A-4FA4-4C34-A5B5-135A8613AFB4}"/>
    <cellStyle name="Normal 2 2 2 2" xfId="938" xr:uid="{0DB49B6E-0A4E-4214-8F50-ACAF2ED6F6B3}"/>
    <cellStyle name="Normal 2 2 3" xfId="939" xr:uid="{D9285CE2-C9C4-49BA-AE7A-8061CDAFD9CC}"/>
    <cellStyle name="Normal 2 2 4" xfId="940" xr:uid="{0367F719-7E7C-413A-92D1-F72BBF93B34A}"/>
    <cellStyle name="Normal 2 2 5" xfId="941" xr:uid="{74AEB233-EC3C-470C-824D-CDBA71927479}"/>
    <cellStyle name="Normal 2 2 6" xfId="942" xr:uid="{2AE06994-473C-4DD8-8FAF-E94CDB8A5580}"/>
    <cellStyle name="Normal 2 2 7" xfId="943" xr:uid="{3412C579-9263-4FCE-8B52-8FE30C15E082}"/>
    <cellStyle name="Normal 2 2 8" xfId="944" xr:uid="{F555F12A-1FD3-4235-AC8A-9811C44F5324}"/>
    <cellStyle name="Normal 2 2 9" xfId="945" xr:uid="{7323D542-D29C-4A75-BE6F-0438FCFCF712}"/>
    <cellStyle name="Normal 2 20" xfId="920" xr:uid="{A460A0EB-3934-45B6-941B-2A17FA368FB2}"/>
    <cellStyle name="Normal 2 3" xfId="946" xr:uid="{E56F3AB9-434B-4809-96A3-09C1455C3EE6}"/>
    <cellStyle name="Normal 2 3 10" xfId="947" xr:uid="{D3386492-F09F-487A-AF08-B74FDFE73C27}"/>
    <cellStyle name="Normal 2 3 11" xfId="948" xr:uid="{67540B52-A228-4262-9443-CEDED3D2243D}"/>
    <cellStyle name="Normal 2 3 12" xfId="949" xr:uid="{4DAAB65A-244B-4681-A094-4F2FC1061742}"/>
    <cellStyle name="Normal 2 3 13" xfId="950" xr:uid="{0F20C230-A794-4522-A284-F9D77725DFE1}"/>
    <cellStyle name="Normal 2 3 14" xfId="951" xr:uid="{B7B7768C-F413-4D35-8741-2AE0AE0433B6}"/>
    <cellStyle name="Normal 2 3 2" xfId="952" xr:uid="{E63CFB2D-82C9-495A-9B3D-4FB56B992C70}"/>
    <cellStyle name="Normal 2 3 2 2" xfId="953" xr:uid="{C8793B86-F4B1-4B73-8812-B13CA98CB757}"/>
    <cellStyle name="Normal 2 3 3" xfId="954" xr:uid="{D42F8EFD-369A-4902-B1AF-5377CDA2C4EA}"/>
    <cellStyle name="Normal 2 3 4" xfId="955" xr:uid="{4995CA60-A7FC-4ED0-A416-6FEE9799FEF7}"/>
    <cellStyle name="Normal 2 3 4 2" xfId="956" xr:uid="{B4919163-F410-4B68-A8F5-DA2637DF4C0C}"/>
    <cellStyle name="Normal 2 3 5" xfId="957" xr:uid="{A54B1BD8-D420-414B-AC4C-432A915D0628}"/>
    <cellStyle name="Normal 2 3 6" xfId="958" xr:uid="{E6601538-3D0E-494D-8965-014C2670D028}"/>
    <cellStyle name="Normal 2 3 7" xfId="959" xr:uid="{3B11F657-747A-4DC1-8AAA-8F70E8301B9F}"/>
    <cellStyle name="Normal 2 3 8" xfId="960" xr:uid="{A8DDE80B-35C3-47CF-87E4-73DC5AAAF273}"/>
    <cellStyle name="Normal 2 3 9" xfId="961" xr:uid="{5A4BF205-A2B4-472A-89D4-2C12900E6017}"/>
    <cellStyle name="Normal 2 4" xfId="962" xr:uid="{EB0E8673-C8FC-467C-8095-4FBA234B88F2}"/>
    <cellStyle name="Normal 2 4 10" xfId="963" xr:uid="{85B5BF33-765C-4545-9F09-4D3795C3449F}"/>
    <cellStyle name="Normal 2 4 11" xfId="964" xr:uid="{C30559A4-487F-44BB-AD4D-D55836C95D81}"/>
    <cellStyle name="Normal 2 4 12" xfId="965" xr:uid="{DF06D2A9-AF0A-4726-9FF7-6C3DFD594672}"/>
    <cellStyle name="Normal 2 4 13" xfId="966" xr:uid="{5FCA1D38-9A53-438C-BFDE-BDA64B5E6210}"/>
    <cellStyle name="Normal 2 4 2" xfId="967" xr:uid="{68D02A8B-CF62-4D54-818E-ADB921AEBFAA}"/>
    <cellStyle name="Normal 2 4 3" xfId="968" xr:uid="{D2591CC5-5EEA-4EEE-B930-57B7BBDB5912}"/>
    <cellStyle name="Normal 2 4 4" xfId="969" xr:uid="{06DDE6E3-CFE4-4C1D-8EB9-971E16081ED4}"/>
    <cellStyle name="Normal 2 4 5" xfId="970" xr:uid="{A511EA2D-559E-42D7-B912-1CA715EDF889}"/>
    <cellStyle name="Normal 2 4 6" xfId="971" xr:uid="{B0551B45-571E-4845-BBF2-381BD3B1510E}"/>
    <cellStyle name="Normal 2 4 7" xfId="972" xr:uid="{8F9FCF34-E002-4E2D-AE2E-65141A882E1C}"/>
    <cellStyle name="Normal 2 4 8" xfId="973" xr:uid="{593F6CDB-A603-4615-BD86-0327A9782154}"/>
    <cellStyle name="Normal 2 4 9" xfId="974" xr:uid="{FF1F432F-D16F-4CEF-A8EF-B0A7B02DE320}"/>
    <cellStyle name="Normal 2 5" xfId="975" xr:uid="{1AA71583-641F-46D6-BBF1-6B0E77841D1D}"/>
    <cellStyle name="Normal 2 5 2" xfId="976" xr:uid="{43675313-09AB-4C23-8E54-54CD03713D4D}"/>
    <cellStyle name="Normal 2 6" xfId="977" xr:uid="{442D04A0-F03D-4991-81DB-644839BCF469}"/>
    <cellStyle name="Normal 2 6 2" xfId="978" xr:uid="{44462F5B-9549-4E70-BC67-79531764C308}"/>
    <cellStyle name="Normal 2 7" xfId="979" xr:uid="{7A76267A-3F13-48F0-9338-769CA46502E4}"/>
    <cellStyle name="Normal 2 7 2" xfId="980" xr:uid="{F9529ED2-87C5-47EB-991B-627FA3A8F26E}"/>
    <cellStyle name="Normal 2 8" xfId="981" xr:uid="{1035E711-C0B4-4FE0-8FED-15BD3F88E76A}"/>
    <cellStyle name="Normal 2 9" xfId="982" xr:uid="{F943DA79-9E55-4F27-8BE0-6A1500934B8E}"/>
    <cellStyle name="Normal 2_FILL-ICM" xfId="983" xr:uid="{B18D42FA-5962-4D65-A7FF-262403948156}"/>
    <cellStyle name="Normal 20" xfId="984" xr:uid="{E2849FBC-5E0E-4AEA-8355-9B112709058B}"/>
    <cellStyle name="Normal 21" xfId="985" xr:uid="{46E1F30B-22B8-483E-9317-1E1ECD10C032}"/>
    <cellStyle name="Normal 26" xfId="986" xr:uid="{EF26B19B-40E8-4950-A875-3B45B0B23371}"/>
    <cellStyle name="Normal 3" xfId="5" xr:uid="{5634BCB3-08FB-46AF-8ECC-D784DE32CB09}"/>
    <cellStyle name="Normal 3 10" xfId="987" xr:uid="{1FB4C7C0-2FE5-4CE5-857A-BA2EA5F081CA}"/>
    <cellStyle name="Normal 3 11" xfId="988" xr:uid="{88606D57-FF67-4BDE-A73A-CB5A4AF71B4F}"/>
    <cellStyle name="Normal 3 12" xfId="989" xr:uid="{AC88E1E6-681C-4390-9493-83F78491725E}"/>
    <cellStyle name="Normal 3 13" xfId="7" xr:uid="{5254523E-9B40-433C-BB7D-704880B23AC0}"/>
    <cellStyle name="Normal 3 2" xfId="990" xr:uid="{860E2481-CB0F-43D4-BCDF-914A76B9A58E}"/>
    <cellStyle name="Normal 3 2 10" xfId="991" xr:uid="{40631D8D-131A-4BA6-B097-35A647C0CF5B}"/>
    <cellStyle name="Normal 3 2 2" xfId="992" xr:uid="{DFE5508C-5D07-452B-B6AC-EA04FBF2D8E9}"/>
    <cellStyle name="Normal 3 2 3" xfId="993" xr:uid="{A7D0DAF7-D384-41B4-899A-6FBF4E3AC787}"/>
    <cellStyle name="Normal 3 2 4" xfId="994" xr:uid="{2E8DB12E-D9DC-4207-8508-7E070B583AB6}"/>
    <cellStyle name="Normal 3 2 5" xfId="995" xr:uid="{4C8E2D13-178A-4F99-8EB1-5C1E782DC53C}"/>
    <cellStyle name="Normal 3 2 6" xfId="996" xr:uid="{C0DA3C01-BBF1-4FE4-B9F6-F92866B3625F}"/>
    <cellStyle name="Normal 3 2 7" xfId="997" xr:uid="{12E91B92-22EE-4F08-A1D5-94ADCAAC6C63}"/>
    <cellStyle name="Normal 3 2 8" xfId="998" xr:uid="{CA2FBA70-1DFF-430F-90B3-46DF202530D4}"/>
    <cellStyle name="Normal 3 2 9" xfId="999" xr:uid="{6CE5CD10-5A35-4C69-A17C-5A8454020398}"/>
    <cellStyle name="Normal 3 2 9 2" xfId="1000" xr:uid="{EB844836-60E8-4639-A1EC-58358FAF8147}"/>
    <cellStyle name="Normal 3 3" xfId="1001" xr:uid="{A269B4A9-4BB6-4BDF-AFEE-F93D80319987}"/>
    <cellStyle name="Normal 3 3 2" xfId="1002" xr:uid="{AD7646B4-2D66-42F0-BF87-299FB29418EA}"/>
    <cellStyle name="Normal 3 3 3" xfId="1003" xr:uid="{EEBB3332-72FF-439F-A40C-A2FA275A77F0}"/>
    <cellStyle name="Normal 3 3 4" xfId="1004" xr:uid="{B6EEB55C-301D-43C2-8B68-97FC5A501DFD}"/>
    <cellStyle name="Normal 3 3 5" xfId="1005" xr:uid="{033FA2FB-EB1B-4351-B419-D1DBF421E3C7}"/>
    <cellStyle name="Normal 3 3 6" xfId="1006" xr:uid="{CE823DC4-3106-4D3A-A66D-993D5F3ECFE3}"/>
    <cellStyle name="Normal 3 3 7" xfId="1007" xr:uid="{D541DAD8-F30E-4EAB-A6AE-ECF71F12FB1D}"/>
    <cellStyle name="Normal 3 3 8" xfId="1008" xr:uid="{33759F21-43F7-4B26-BED9-9D9E35981911}"/>
    <cellStyle name="Normal 3 3 9" xfId="1009" xr:uid="{3B0C5EBE-3972-4705-9363-09043D7A708E}"/>
    <cellStyle name="Normal 3 4" xfId="1010" xr:uid="{488FD96D-76CF-48D4-82CF-E16643290F1C}"/>
    <cellStyle name="Normal 3 4 2" xfId="1011" xr:uid="{6A37F376-246A-4397-B012-E84B5E852791}"/>
    <cellStyle name="Normal 3 4 3" xfId="1012" xr:uid="{15AE7DE8-9D5D-4C7E-BD35-28B2E75B8126}"/>
    <cellStyle name="Normal 3 4 4" xfId="1013" xr:uid="{8ECCD64F-B93D-4749-95EB-3A16F70D89CF}"/>
    <cellStyle name="Normal 3 4 5" xfId="1014" xr:uid="{76407A4F-2CEE-4FFE-87D3-28726904EF0A}"/>
    <cellStyle name="Normal 3 4 6" xfId="1015" xr:uid="{381DE29A-3ECC-4C21-8526-C3DBC862C012}"/>
    <cellStyle name="Normal 3 4 7" xfId="1016" xr:uid="{87EA51FB-DD55-4504-9BB7-D9379FFC5DBE}"/>
    <cellStyle name="Normal 3 4 8" xfId="1017" xr:uid="{BE3777D3-99B7-4F8A-9E72-E8D8D1B0F811}"/>
    <cellStyle name="Normal 3 5" xfId="1018" xr:uid="{071794E5-D64C-4D0B-82B3-67BE0EBB4477}"/>
    <cellStyle name="Normal 3 5 2" xfId="1019" xr:uid="{572E7D98-6860-4BA4-9186-2FD9BAE6DA12}"/>
    <cellStyle name="Normal 3 5 3" xfId="1020" xr:uid="{8828BD96-149C-4460-A271-71C0E62E13E1}"/>
    <cellStyle name="Normal 3 5 4" xfId="1021" xr:uid="{B3DA2E3F-444A-4E2F-9098-058A53A3C646}"/>
    <cellStyle name="Normal 3 5 5" xfId="1022" xr:uid="{891572D8-7942-4E2B-A15E-75F34284B06A}"/>
    <cellStyle name="Normal 3 5 6" xfId="1023" xr:uid="{EB6FE0A8-66D1-4043-9B9E-71F60F4FCF5B}"/>
    <cellStyle name="Normal 3 5 7" xfId="1024" xr:uid="{C1B9B60C-563C-470D-9E7D-81572BDE180F}"/>
    <cellStyle name="Normal 3 5 8" xfId="1025" xr:uid="{A2FF19E9-237B-41FE-AA23-2828E086B496}"/>
    <cellStyle name="Normal 3 6" xfId="1026" xr:uid="{BDABC72C-2FC7-4139-A61F-BD868F5DE3B3}"/>
    <cellStyle name="Normal 3 7" xfId="1027" xr:uid="{2ED19807-564E-47EB-897F-46B5212B7B08}"/>
    <cellStyle name="Normal 3 8" xfId="1028" xr:uid="{E64046D7-A690-4F72-98D7-4B595CA8EE65}"/>
    <cellStyle name="Normal 3 9" xfId="1029" xr:uid="{AD63AA57-04F8-4CC6-A227-1BD596079C93}"/>
    <cellStyle name="Normal 4" xfId="3" xr:uid="{F2D0702F-682F-4A26-817B-081E73C21DDC}"/>
    <cellStyle name="Normal 4 10" xfId="1031" xr:uid="{699A16AB-B7CD-48C0-A101-421FE7EFD449}"/>
    <cellStyle name="Normal 4 11" xfId="1032" xr:uid="{BC6BE5FB-5A72-420D-9219-6EB4642A8AC2}"/>
    <cellStyle name="Normal 4 12" xfId="1033" xr:uid="{CD29BC68-94F0-4E2A-8C9D-D31FC13B024E}"/>
    <cellStyle name="Normal 4 13" xfId="1030" xr:uid="{D8B8098E-5573-4F8B-B283-F0B8BFBD645F}"/>
    <cellStyle name="Normal 4 2" xfId="1034" xr:uid="{7745CD6C-1DEA-43A9-A6F7-F128B82B1A07}"/>
    <cellStyle name="Normal 4 2 2" xfId="1035" xr:uid="{40A4A127-CDEA-43C0-AF6A-1AEC2B272B12}"/>
    <cellStyle name="Normal 4 2 2 10" xfId="1036" xr:uid="{3331130C-5AEB-493B-AF2B-A212070E26C7}"/>
    <cellStyle name="Normal 4 2 2 11" xfId="1037" xr:uid="{C8C2F8E4-A79D-4BB7-AEC0-97B28812C5B9}"/>
    <cellStyle name="Normal 4 2 2 12" xfId="1038" xr:uid="{2AB519DE-AD59-49E2-9838-EC1268EB3E10}"/>
    <cellStyle name="Normal 4 2 2 13" xfId="1039" xr:uid="{E40A0D33-50B5-4200-AA2F-E99E573093F7}"/>
    <cellStyle name="Normal 4 2 2 2" xfId="1040" xr:uid="{E561B31D-3ED4-43DA-A459-10F6E274E841}"/>
    <cellStyle name="Normal 4 2 2 2 10" xfId="1041" xr:uid="{A8518B31-E97D-43CF-9D98-F23DB149DCE8}"/>
    <cellStyle name="Normal 4 2 2 2 11" xfId="1042" xr:uid="{D99DFB8D-3CD3-430B-8E9A-63B92C516F97}"/>
    <cellStyle name="Normal 4 2 2 2 12" xfId="1043" xr:uid="{4C4952E1-7859-4108-8022-E248670AD5CE}"/>
    <cellStyle name="Normal 4 2 2 2 13" xfId="1044" xr:uid="{7B34986A-1E4D-4A92-8056-C86695F37FFA}"/>
    <cellStyle name="Normal 4 2 2 2 2" xfId="1045" xr:uid="{975DC9E9-757B-4FF9-81BF-2D44BA41ED6A}"/>
    <cellStyle name="Normal 4 2 2 2 3" xfId="1046" xr:uid="{99D9C273-7807-4A41-A7B4-D96FD13185B2}"/>
    <cellStyle name="Normal 4 2 2 2 4" xfId="1047" xr:uid="{CCDCD19D-BB3F-40AA-9792-1F045B32078C}"/>
    <cellStyle name="Normal 4 2 2 2 5" xfId="1048" xr:uid="{4DDB672C-2B11-493A-8D63-CDD4EBDC5E0C}"/>
    <cellStyle name="Normal 4 2 2 2 6" xfId="1049" xr:uid="{8EAA9C60-9985-4536-935F-D318A8FAA874}"/>
    <cellStyle name="Normal 4 2 2 2 7" xfId="1050" xr:uid="{2C8C753A-1239-4633-A57C-A53F293CB673}"/>
    <cellStyle name="Normal 4 2 2 2 8" xfId="1051" xr:uid="{8DFDB52E-6713-4C14-9DFB-29314EDCB0BE}"/>
    <cellStyle name="Normal 4 2 2 2 9" xfId="1052" xr:uid="{6E308C6B-F921-4CC0-B06F-CA10E47ED6FA}"/>
    <cellStyle name="Normal 4 2 2 3" xfId="1053" xr:uid="{5AA73CC5-D5B7-4E5E-8F35-D856D26A1081}"/>
    <cellStyle name="Normal 4 2 2 4" xfId="1054" xr:uid="{4DF15AAD-A562-4575-B9F0-9555B627E96A}"/>
    <cellStyle name="Normal 4 2 2 5" xfId="1055" xr:uid="{C0A83BB4-3C1F-44DE-AC04-9837B8163516}"/>
    <cellStyle name="Normal 4 2 2 6" xfId="1056" xr:uid="{7F866CC3-9B18-46E0-AD67-64FA8779F011}"/>
    <cellStyle name="Normal 4 2 2 7" xfId="1057" xr:uid="{9D2B54B8-C6D2-48CB-AAF5-57711E33BDD4}"/>
    <cellStyle name="Normal 4 2 2 8" xfId="1058" xr:uid="{373E11B7-09FE-4B01-894A-729A1710B381}"/>
    <cellStyle name="Normal 4 2 2 9" xfId="1059" xr:uid="{9D60A752-C9C2-4339-ACD9-0D6D2BC1B796}"/>
    <cellStyle name="Normal 4 2 3" xfId="1060" xr:uid="{C5A84D15-828B-41CD-AE6F-9A849CFF48AB}"/>
    <cellStyle name="Normal 4 2 4" xfId="1061" xr:uid="{F5B470CE-A410-47C3-A697-647A96C84F57}"/>
    <cellStyle name="Normal 4 2 5" xfId="1062" xr:uid="{BB6DD5A6-3755-40F0-BBAA-80AA9A9D6439}"/>
    <cellStyle name="Normal 4 2 6" xfId="1063" xr:uid="{C2A78F51-BDED-49DA-BE43-ED31CE501209}"/>
    <cellStyle name="Normal 4 2 7" xfId="1064" xr:uid="{4F9B4D54-5B30-4291-A54D-58531577F009}"/>
    <cellStyle name="Normal 4 2 8" xfId="1065" xr:uid="{FBBAE8DA-99FF-4924-BE44-C0D505F965E4}"/>
    <cellStyle name="Normal 4 2 9" xfId="1066" xr:uid="{CB90B39F-1156-463B-BD16-C7D3F328BD30}"/>
    <cellStyle name="Normal 4 3" xfId="1067" xr:uid="{4E125300-9D42-463B-B969-C0C7F38BE367}"/>
    <cellStyle name="Normal 4 3 2" xfId="1068" xr:uid="{9D05C27B-B2F4-483B-BF41-357B7564D92E}"/>
    <cellStyle name="Normal 4 3 3" xfId="1069" xr:uid="{0DC4325F-4AF3-4759-B7E1-29427BF0755A}"/>
    <cellStyle name="Normal 4 3 4" xfId="1070" xr:uid="{BB1CEC28-C35D-4855-A5DC-49233226950A}"/>
    <cellStyle name="Normal 4 3 5" xfId="1071" xr:uid="{D77CBE01-BB2E-4E83-8481-1327FA6C773F}"/>
    <cellStyle name="Normal 4 3 6" xfId="1072" xr:uid="{646615AE-2BBC-464A-B672-C2D3C126EE6B}"/>
    <cellStyle name="Normal 4 3 7" xfId="1073" xr:uid="{D158C971-29CC-4FD8-923C-038582A45AB3}"/>
    <cellStyle name="Normal 4 3 8" xfId="1074" xr:uid="{7B53CE7B-05AD-4A23-BA3D-B62F0D597DE2}"/>
    <cellStyle name="Normal 4 4" xfId="1075" xr:uid="{5B196EC2-3466-49C0-87BE-9C624076B360}"/>
    <cellStyle name="Normal 4 4 2" xfId="1076" xr:uid="{E15CA4BC-BF2F-42BC-97E6-6419578795E4}"/>
    <cellStyle name="Normal 4 4 3" xfId="1077" xr:uid="{DD255DE7-4E3E-4D97-929C-F09676B4D6AD}"/>
    <cellStyle name="Normal 4 4 4" xfId="1078" xr:uid="{DC29C3F3-A4B3-426C-A9E6-A48EFD384E13}"/>
    <cellStyle name="Normal 4 4 5" xfId="1079" xr:uid="{44A48D4E-1F3C-4433-9B83-10DA06692D6E}"/>
    <cellStyle name="Normal 4 4 6" xfId="1080" xr:uid="{6C528305-43BB-4AF8-BCBF-5CF20607BE8D}"/>
    <cellStyle name="Normal 4 4 7" xfId="1081" xr:uid="{B2F088DC-DD39-4F78-B4C9-7FA8D8D2FC09}"/>
    <cellStyle name="Normal 4 4 8" xfId="1082" xr:uid="{CC2E9CE7-EE83-4042-82EC-AD4C7AF396E5}"/>
    <cellStyle name="Normal 4 5" xfId="1083" xr:uid="{C2904D79-218D-4513-83F6-ADCF9A8A0E8D}"/>
    <cellStyle name="Normal 4 5 2" xfId="1084" xr:uid="{15809565-09D6-4AD4-A223-8C712224A96B}"/>
    <cellStyle name="Normal 4 5 3" xfId="1085" xr:uid="{47B68034-E709-418F-8CD1-A76F88177CA3}"/>
    <cellStyle name="Normal 4 5 4" xfId="1086" xr:uid="{3D7EBD08-38B0-4ADC-B552-51C9581BB3E5}"/>
    <cellStyle name="Normal 4 5 5" xfId="1087" xr:uid="{3578ADFE-E5D6-4E59-AAE8-577F9859C52E}"/>
    <cellStyle name="Normal 4 5 6" xfId="1088" xr:uid="{DE536F10-CE12-4B25-B0D7-D995C6639F7F}"/>
    <cellStyle name="Normal 4 5 7" xfId="1089" xr:uid="{FF230EF3-B890-46E5-9008-1926380A2A31}"/>
    <cellStyle name="Normal 4 5 8" xfId="1090" xr:uid="{4733533F-69E9-4689-BBA3-E9633E1592E6}"/>
    <cellStyle name="Normal 4 6" xfId="1091" xr:uid="{928B9E31-BB05-4256-B537-84E2058DC1B7}"/>
    <cellStyle name="Normal 4 7" xfId="1092" xr:uid="{2725F580-D58D-4AE9-B843-BBF23472D311}"/>
    <cellStyle name="Normal 4 8" xfId="1093" xr:uid="{87C538C6-46D0-4CAC-918A-FE78D13D53E2}"/>
    <cellStyle name="Normal 4 9" xfId="1094" xr:uid="{C3AB17FF-89EC-4BEA-97E6-A3F625B42416}"/>
    <cellStyle name="Normal 4_SUP" xfId="1095" xr:uid="{3F828CB3-34C0-443B-8AC3-543DFECB5D6B}"/>
    <cellStyle name="Normal 41" xfId="1794" xr:uid="{66CA90F3-5481-4C19-BD5D-0BD70DD8B594}"/>
    <cellStyle name="Normal 5" xfId="1096" xr:uid="{A33A2999-67AF-4558-AC35-AC724827B3D1}"/>
    <cellStyle name="Normal 5 10" xfId="1097" xr:uid="{1A10ECFE-AF20-45F5-848D-FA9CCDB04C3C}"/>
    <cellStyle name="Normal 5 11" xfId="1098" xr:uid="{BC2BEFF4-93CA-4229-8E41-0BE1975606BF}"/>
    <cellStyle name="Normal 5 12" xfId="1099" xr:uid="{E0B98889-F483-4E0F-B339-66B02E15DF62}"/>
    <cellStyle name="Normal 5 2" xfId="1100" xr:uid="{A247064E-081A-4BC0-8AED-67507E21B22F}"/>
    <cellStyle name="Normal 5 2 2" xfId="1101" xr:uid="{74EDF6E8-0333-4899-AA2D-71E6EA1B26E2}"/>
    <cellStyle name="Normal 5 2 2 10" xfId="1102" xr:uid="{62252240-01FF-4101-B9FE-78C9E3D6AD12}"/>
    <cellStyle name="Normal 5 2 2 11" xfId="1103" xr:uid="{8FED1491-2ADD-4D6C-A446-74C1B2FE1C86}"/>
    <cellStyle name="Normal 5 2 2 12" xfId="1104" xr:uid="{B66B00AE-15D6-439A-9C04-07A7F6F221D1}"/>
    <cellStyle name="Normal 5 2 2 13" xfId="1105" xr:uid="{09EDB9D7-0A28-418C-B39C-24427048B297}"/>
    <cellStyle name="Normal 5 2 2 2" xfId="1106" xr:uid="{F273BB41-1EC1-488C-A52F-301652D05C89}"/>
    <cellStyle name="Normal 5 2 2 2 10" xfId="1107" xr:uid="{F5B51F3B-8990-4F29-9708-BD310A201A37}"/>
    <cellStyle name="Normal 5 2 2 2 11" xfId="1108" xr:uid="{18166C8A-DECD-458D-AD52-A385248424EC}"/>
    <cellStyle name="Normal 5 2 2 2 12" xfId="1109" xr:uid="{00E83C58-C60D-4119-9267-6A7BBC0BEB3C}"/>
    <cellStyle name="Normal 5 2 2 2 13" xfId="1110" xr:uid="{D122A43E-DAC7-4B03-9C7E-AFCDE4A6A529}"/>
    <cellStyle name="Normal 5 2 2 2 2" xfId="1111" xr:uid="{DD931115-850E-4512-AAA1-9670B3D9DA8B}"/>
    <cellStyle name="Normal 5 2 2 2 3" xfId="1112" xr:uid="{8360ABE9-16D1-426F-A679-ACBB19D62E6C}"/>
    <cellStyle name="Normal 5 2 2 2 4" xfId="1113" xr:uid="{D046B42D-8FCA-44A1-861F-31BBC0045CF0}"/>
    <cellStyle name="Normal 5 2 2 2 5" xfId="1114" xr:uid="{00A0C549-71AA-4880-890B-920E5079E89F}"/>
    <cellStyle name="Normal 5 2 2 2 6" xfId="1115" xr:uid="{F5B87651-EA83-4CF1-91EC-9473959D98CD}"/>
    <cellStyle name="Normal 5 2 2 2 7" xfId="1116" xr:uid="{B5FCFA7A-F4CA-4650-B161-E00B9596344B}"/>
    <cellStyle name="Normal 5 2 2 2 8" xfId="1117" xr:uid="{1CD9C912-67E5-4043-BBEB-5A5E411F6FFB}"/>
    <cellStyle name="Normal 5 2 2 2 9" xfId="1118" xr:uid="{9F9BEF3E-105C-4218-9272-3ED1782B4600}"/>
    <cellStyle name="Normal 5 2 2 3" xfId="1119" xr:uid="{708E3D36-7E11-4AAF-BF20-932BFD4F031C}"/>
    <cellStyle name="Normal 5 2 2 4" xfId="1120" xr:uid="{3943A01C-D054-4342-B43E-DA7270248C39}"/>
    <cellStyle name="Normal 5 2 2 5" xfId="1121" xr:uid="{82839BDD-05EA-43BB-88A0-49894407F93F}"/>
    <cellStyle name="Normal 5 2 2 6" xfId="1122" xr:uid="{D3633371-E769-4FEF-86A8-52E63D67DB67}"/>
    <cellStyle name="Normal 5 2 2 7" xfId="1123" xr:uid="{424B61A3-83CD-41E2-B911-B4149E2A6A31}"/>
    <cellStyle name="Normal 5 2 2 8" xfId="1124" xr:uid="{53BA6A1C-F781-4968-9BF4-EDC0E55FBFA5}"/>
    <cellStyle name="Normal 5 2 2 9" xfId="1125" xr:uid="{3EC9A2C4-E722-4882-9234-41378D36FBC0}"/>
    <cellStyle name="Normal 5 2 3" xfId="1126" xr:uid="{1DEA058A-DED0-41EB-A60D-E6FC957D0C1B}"/>
    <cellStyle name="Normal 5 2 4" xfId="1127" xr:uid="{711E2CE4-7C99-45AE-A6F2-7A2B852983CB}"/>
    <cellStyle name="Normal 5 2 5" xfId="1128" xr:uid="{35D0A69E-DBF4-4E49-8381-3CCB3A83D07A}"/>
    <cellStyle name="Normal 5 2 6" xfId="1129" xr:uid="{076FAD5B-3954-4900-B2DE-EA776EC18C49}"/>
    <cellStyle name="Normal 5 2 7" xfId="1130" xr:uid="{47FCF4C3-3C4D-4504-8F36-E73E122E4238}"/>
    <cellStyle name="Normal 5 2 8" xfId="1131" xr:uid="{CEB2CB39-F750-4D9C-978B-3251E870DF9B}"/>
    <cellStyle name="Normal 5 3" xfId="1132" xr:uid="{D717EF52-3E9E-43E1-8DBF-90EC3446F996}"/>
    <cellStyle name="Normal 5 3 2" xfId="1133" xr:uid="{7739724C-0836-430F-B719-9A8B91509FDF}"/>
    <cellStyle name="Normal 5 3 3" xfId="1134" xr:uid="{1860450C-1E7E-4793-A5C7-4C9DCD6579D4}"/>
    <cellStyle name="Normal 5 3 4" xfId="1135" xr:uid="{2279EA87-4018-453D-AB26-9A67D21451EF}"/>
    <cellStyle name="Normal 5 3 5" xfId="1136" xr:uid="{32EA3A31-BDEA-43CE-9C37-09B30AA1F5B6}"/>
    <cellStyle name="Normal 5 3 6" xfId="1137" xr:uid="{8F200583-ADCD-4CE2-BE05-574F264E85D0}"/>
    <cellStyle name="Normal 5 3 7" xfId="1138" xr:uid="{9E74A4C4-EA0A-4126-A8F2-274E19C5DF63}"/>
    <cellStyle name="Normal 5 3 8" xfId="1139" xr:uid="{AEB406EE-F2C9-4D70-A5A3-3AC223681077}"/>
    <cellStyle name="Normal 5 4" xfId="1140" xr:uid="{80B7FB0D-43E7-49A4-970A-31D9D86DE1C2}"/>
    <cellStyle name="Normal 5 4 2" xfId="1141" xr:uid="{D8AA6511-8F63-4828-8825-5AA1F8638C0E}"/>
    <cellStyle name="Normal 5 4 3" xfId="1142" xr:uid="{164EAB2B-3787-4627-B8A9-B91480485655}"/>
    <cellStyle name="Normal 5 4 4" xfId="1143" xr:uid="{29AC1832-3CFF-4042-BB8D-19806AA91C05}"/>
    <cellStyle name="Normal 5 4 5" xfId="1144" xr:uid="{A64A05AF-3EFD-42D3-8C13-CFE210ED1EBE}"/>
    <cellStyle name="Normal 5 4 6" xfId="1145" xr:uid="{7B71EA42-CB26-4E8C-A77F-FCBEE7A6D39A}"/>
    <cellStyle name="Normal 5 4 7" xfId="1146" xr:uid="{C7B6DE29-31C9-42CE-8088-FCA6D532B144}"/>
    <cellStyle name="Normal 5 4 8" xfId="1147" xr:uid="{759D4B4D-36C8-4DE1-A3C2-C562891BA983}"/>
    <cellStyle name="Normal 5 5" xfId="1148" xr:uid="{9C5F5E04-660A-4B19-AB2B-CC607871BD62}"/>
    <cellStyle name="Normal 5 5 2" xfId="1149" xr:uid="{1DEA2907-EE6D-48EC-8B7B-AEBA49C539AA}"/>
    <cellStyle name="Normal 5 5 3" xfId="1150" xr:uid="{89317FD4-D378-41D4-90C9-5649558D0A69}"/>
    <cellStyle name="Normal 5 5 4" xfId="1151" xr:uid="{C3052F08-750D-4792-8351-C415C47A6C4C}"/>
    <cellStyle name="Normal 5 5 5" xfId="1152" xr:uid="{3C71191B-92F3-440A-A9E7-38A036691D65}"/>
    <cellStyle name="Normal 5 5 6" xfId="1153" xr:uid="{4A61E0D5-B8E2-49C6-93C3-1CE185774D52}"/>
    <cellStyle name="Normal 5 5 7" xfId="1154" xr:uid="{F16B3182-239D-43F9-BC5C-7EA53B866EC2}"/>
    <cellStyle name="Normal 5 5 8" xfId="1155" xr:uid="{38E2CBAD-E311-44D1-9841-E85E261697CC}"/>
    <cellStyle name="Normal 5 6" xfId="1156" xr:uid="{318C1A20-6DA0-4FC3-835B-A6B597BBB247}"/>
    <cellStyle name="Normal 5 7" xfId="1157" xr:uid="{440DE29E-510D-46C3-8AD9-25FF857D2B65}"/>
    <cellStyle name="Normal 5 8" xfId="1158" xr:uid="{E8F935A0-DF6F-4387-B847-15CCD1337941}"/>
    <cellStyle name="Normal 5 9" xfId="1159" xr:uid="{715E184F-D050-4469-8528-156439553B4F}"/>
    <cellStyle name="Normal 6" xfId="1160" xr:uid="{A1AF8955-8C7D-4E55-8FDF-DD2C4ECAE5D2}"/>
    <cellStyle name="Normal 6 10" xfId="1161" xr:uid="{BCC80655-FD09-4733-B481-3D8C7FAA00F2}"/>
    <cellStyle name="Normal 6 11" xfId="1162" xr:uid="{A7BE1ECB-8078-4F1B-9807-ED9036328FCE}"/>
    <cellStyle name="Normal 6 12" xfId="1163" xr:uid="{145B9DB0-9A74-445D-A167-03D17B670B6B}"/>
    <cellStyle name="Normal 6 2" xfId="1164" xr:uid="{8FE30BA3-694D-4975-B4F0-31E034ADD36F}"/>
    <cellStyle name="Normal 6 2 2" xfId="1165" xr:uid="{F5208553-9323-4D0B-9451-EF9355BF8E20}"/>
    <cellStyle name="Normal 6 2 2 10" xfId="1166" xr:uid="{E7D24CA2-03D2-4914-ABC9-ED7371660C27}"/>
    <cellStyle name="Normal 6 2 2 11" xfId="1167" xr:uid="{679E7230-9069-4267-BE15-ECC722FA395E}"/>
    <cellStyle name="Normal 6 2 2 12" xfId="1168" xr:uid="{871E506D-E7F7-4276-B733-C68DBDD6D0A2}"/>
    <cellStyle name="Normal 6 2 2 13" xfId="1169" xr:uid="{4A464867-9AF2-44A0-81FF-1D9B511F3C2F}"/>
    <cellStyle name="Normal 6 2 2 2" xfId="1170" xr:uid="{B8A1EE88-3BEA-45B7-AEA2-16F5CDDFD10C}"/>
    <cellStyle name="Normal 6 2 2 3" xfId="1171" xr:uid="{D8044519-B8B2-4577-932D-397BCE6872D8}"/>
    <cellStyle name="Normal 6 2 2 4" xfId="1172" xr:uid="{E8930D83-0672-4526-A537-4BD399070362}"/>
    <cellStyle name="Normal 6 2 2 5" xfId="1173" xr:uid="{25BD32A8-BC74-4D70-86F2-2F13D37DB145}"/>
    <cellStyle name="Normal 6 2 2 6" xfId="1174" xr:uid="{50EFE4D2-9EE3-44BF-88E9-06E863AB6BF6}"/>
    <cellStyle name="Normal 6 2 2 7" xfId="1175" xr:uid="{497BA7B1-745C-4729-B7C4-61CE0C825CD2}"/>
    <cellStyle name="Normal 6 2 2 8" xfId="1176" xr:uid="{8C98318D-43B8-45DD-B70B-B0BAE1E8CAB3}"/>
    <cellStyle name="Normal 6 2 2 9" xfId="1177" xr:uid="{6C13F30A-60B2-46B7-B1C8-0FFB523629DF}"/>
    <cellStyle name="Normal 6 2 3" xfId="1178" xr:uid="{6AC4010D-F8CA-42BA-A3C7-CA2D77A80C2B}"/>
    <cellStyle name="Normal 6 2 4" xfId="1179" xr:uid="{ADB365E5-EC92-47CE-889A-68A5523C8874}"/>
    <cellStyle name="Normal 6 2 5" xfId="1180" xr:uid="{32DC6CD7-E6C1-4A0E-BE75-EA76DA4117DE}"/>
    <cellStyle name="Normal 6 2 6" xfId="1181" xr:uid="{0535C244-8D56-4557-A5F6-36D029F73BA6}"/>
    <cellStyle name="Normal 6 2 7" xfId="1182" xr:uid="{81B26C20-7521-49E0-A140-0BE72901AC3E}"/>
    <cellStyle name="Normal 6 2 8" xfId="1183" xr:uid="{3533F45C-5352-478A-BC18-7978A31B1CC7}"/>
    <cellStyle name="Normal 6 3" xfId="1184" xr:uid="{EFC841AC-6453-47A1-9ACA-0D930D21D8EC}"/>
    <cellStyle name="Normal 6 3 2" xfId="1185" xr:uid="{5A5DB158-19DD-4581-8FB4-C14FBEBD3496}"/>
    <cellStyle name="Normal 6 3 3" xfId="1186" xr:uid="{5FD8AE55-36F6-4F07-AA9D-AF17A14F4C52}"/>
    <cellStyle name="Normal 6 3 4" xfId="1187" xr:uid="{E8FBB2ED-27DE-48BC-96FA-79E68B2F5C43}"/>
    <cellStyle name="Normal 6 3 5" xfId="1188" xr:uid="{F52061AD-6E4F-4439-B7B8-DE965D350DFF}"/>
    <cellStyle name="Normal 6 3 6" xfId="1189" xr:uid="{0EF159BB-21EA-43C2-8C4A-5D73E8A022AC}"/>
    <cellStyle name="Normal 6 3 7" xfId="1190" xr:uid="{310FA788-2311-49BD-8B35-58200976FC58}"/>
    <cellStyle name="Normal 6 3 8" xfId="1191" xr:uid="{C265907A-93A3-4E67-8167-E61207A74CC9}"/>
    <cellStyle name="Normal 6 4" xfId="1192" xr:uid="{34B4C65D-1F8A-4F28-86E2-B73470F9AD38}"/>
    <cellStyle name="Normal 6 4 2" xfId="1193" xr:uid="{08CCE9B4-8F9F-4278-A710-AC8D8B937DFC}"/>
    <cellStyle name="Normal 6 4 3" xfId="1194" xr:uid="{D35E0FB7-1E56-490A-B6F8-85ED14B1F388}"/>
    <cellStyle name="Normal 6 4 4" xfId="1195" xr:uid="{AE4B4878-0A26-4427-9F7D-7DEB309F2C69}"/>
    <cellStyle name="Normal 6 4 5" xfId="1196" xr:uid="{E31B905B-E14B-4F71-BE97-A05F8DB4BEC0}"/>
    <cellStyle name="Normal 6 4 6" xfId="1197" xr:uid="{F640D69F-8A2B-4951-B2FE-385835E2EB15}"/>
    <cellStyle name="Normal 6 4 7" xfId="1198" xr:uid="{DB88F243-A86D-46FA-934B-E434730CB576}"/>
    <cellStyle name="Normal 6 4 8" xfId="1199" xr:uid="{5FACB510-35A7-486E-9528-9BE3ADC906F4}"/>
    <cellStyle name="Normal 6 5" xfId="1200" xr:uid="{42BA6F83-94AD-41C0-A447-1DCB67DA7284}"/>
    <cellStyle name="Normal 6 5 2" xfId="1201" xr:uid="{51F8339D-C44A-4F4E-B3CE-92C96AA12DB8}"/>
    <cellStyle name="Normal 6 5 3" xfId="1202" xr:uid="{B5E36C1A-D465-4414-B6A7-EAB056DE0E04}"/>
    <cellStyle name="Normal 6 5 4" xfId="1203" xr:uid="{FF42B17A-697E-4377-AC27-95C95ECFD1EC}"/>
    <cellStyle name="Normal 6 5 5" xfId="1204" xr:uid="{DD516967-9F7E-4EC1-A78B-73DCE21B136F}"/>
    <cellStyle name="Normal 6 5 6" xfId="1205" xr:uid="{FBF0F0E5-7AE6-4BF9-AE03-2B19AE87B6AB}"/>
    <cellStyle name="Normal 6 5 7" xfId="1206" xr:uid="{C6AF4C85-8099-4DA1-82C5-32555A9F3AC1}"/>
    <cellStyle name="Normal 6 5 8" xfId="1207" xr:uid="{0548241A-20DE-46D1-9216-FBE787A913CE}"/>
    <cellStyle name="Normal 6 6" xfId="1208" xr:uid="{D81945EF-5054-4178-97E1-C8E21AA46C17}"/>
    <cellStyle name="Normal 6 7" xfId="1209" xr:uid="{397ED304-3A48-4C0E-A036-97D8DF3EC77A}"/>
    <cellStyle name="Normal 6 8" xfId="1210" xr:uid="{85042340-401F-4486-8173-486C52C03C1A}"/>
    <cellStyle name="Normal 6 9" xfId="1211" xr:uid="{DD318C8E-C266-4D24-842B-351098680204}"/>
    <cellStyle name="Normal 7" xfId="1212" xr:uid="{DCCCBE5E-92C9-4FC4-88CB-50026E766D71}"/>
    <cellStyle name="Normal 7 10" xfId="1213" xr:uid="{086067A2-FD5A-4988-A471-9273B0DBA4B0}"/>
    <cellStyle name="Normal 7 11" xfId="1214" xr:uid="{D8AE1D57-7FAF-4E4B-8C29-456AF110C22F}"/>
    <cellStyle name="Normal 7 12" xfId="1215" xr:uid="{7D46BD41-F167-4C55-8F37-CBB07311B1AE}"/>
    <cellStyle name="Normal 7 13" xfId="1216" xr:uid="{B408302F-A5E7-4A9B-90D4-9AEFE0467822}"/>
    <cellStyle name="Normal 7 2" xfId="1217" xr:uid="{BD19D97C-2DAC-4D56-B081-A02FFF1558AB}"/>
    <cellStyle name="Normal 7 2 2" xfId="1218" xr:uid="{C970B44F-E526-4239-9F65-1F361C51F8EB}"/>
    <cellStyle name="Normal 7 2 3" xfId="1219" xr:uid="{D118DD40-E93F-4165-9344-CBCFAD0CB81E}"/>
    <cellStyle name="Normal 7 2 4" xfId="1220" xr:uid="{580C26F4-27FF-4EF2-9AFB-2E49E920CF8F}"/>
    <cellStyle name="Normal 7 2 5" xfId="1221" xr:uid="{E9438993-1693-4BBB-BE1D-2FB103883465}"/>
    <cellStyle name="Normal 7 2 6" xfId="1222" xr:uid="{CFA83109-7441-4910-A9B5-783828C4E5C9}"/>
    <cellStyle name="Normal 7 2 7" xfId="1223" xr:uid="{B1042BC2-6BE1-4D69-AD06-11589F1C2327}"/>
    <cellStyle name="Normal 7 2 8" xfId="1224" xr:uid="{BB353AC9-A278-4C2E-8B5E-292BE1B33B14}"/>
    <cellStyle name="Normal 7 2 9" xfId="1225" xr:uid="{46A47982-F93D-4EEF-9925-ECA52251EC74}"/>
    <cellStyle name="Normal 7 3" xfId="1226" xr:uid="{ECB263CB-84C4-4F5B-8B8A-3B558A7C3B49}"/>
    <cellStyle name="Normal 7 3 2" xfId="1227" xr:uid="{FE9A8A1C-9D95-4564-A891-9D8ECAB5F368}"/>
    <cellStyle name="Normal 7 3 3" xfId="1228" xr:uid="{AE1B41D2-2757-4B25-99EC-F69283EF32B9}"/>
    <cellStyle name="Normal 7 3 4" xfId="1229" xr:uid="{EE624B72-A3E7-46B2-84B3-85D8F87A9F3C}"/>
    <cellStyle name="Normal 7 3 5" xfId="1230" xr:uid="{29AA9066-F8D8-464B-AB7E-6AF0DD11854B}"/>
    <cellStyle name="Normal 7 3 6" xfId="1231" xr:uid="{60354D6E-EDCC-429E-8F3E-F52020E5D16F}"/>
    <cellStyle name="Normal 7 3 7" xfId="1232" xr:uid="{27728557-1079-4636-AE89-5B6707A11D7B}"/>
    <cellStyle name="Normal 7 3 8" xfId="1233" xr:uid="{9A12B113-65AB-4EC9-8570-AAC1535C1E10}"/>
    <cellStyle name="Normal 7 4" xfId="1234" xr:uid="{3723BC56-E326-412F-957B-CB25CFC6EDCB}"/>
    <cellStyle name="Normal 7 4 2" xfId="1235" xr:uid="{A042EE3A-2528-432D-904C-53FD5AA04B4A}"/>
    <cellStyle name="Normal 7 4 3" xfId="1236" xr:uid="{59329F51-8280-4C1D-B2E4-A099ED382C82}"/>
    <cellStyle name="Normal 7 4 4" xfId="1237" xr:uid="{7D23D030-FBF5-459F-AC3F-F74430983F38}"/>
    <cellStyle name="Normal 7 4 5" xfId="1238" xr:uid="{36B59077-D378-46EF-89FA-B1F98D6CE3D1}"/>
    <cellStyle name="Normal 7 4 6" xfId="1239" xr:uid="{93446086-5DF4-4AEB-8480-0A1ADCA1D009}"/>
    <cellStyle name="Normal 7 4 7" xfId="1240" xr:uid="{A5D096EB-22BC-478C-A593-A15E6493E692}"/>
    <cellStyle name="Normal 7 4 8" xfId="1241" xr:uid="{72B9E621-8156-4D94-AD9F-DE4D975DD119}"/>
    <cellStyle name="Normal 7 5" xfId="1242" xr:uid="{8C486CD5-C284-463D-9E0C-F9A148789F6E}"/>
    <cellStyle name="Normal 7 5 2" xfId="1243" xr:uid="{8F8410F8-385D-4D72-B8ED-E94493EC7D62}"/>
    <cellStyle name="Normal 7 5 3" xfId="1244" xr:uid="{B9FD311D-4BA1-46C7-9F9E-5FAB8D3FEA12}"/>
    <cellStyle name="Normal 7 5 4" xfId="1245" xr:uid="{335B15B7-C144-446F-A1EF-B9EDADB089A1}"/>
    <cellStyle name="Normal 7 5 5" xfId="1246" xr:uid="{50B764C7-8F7A-4515-A8DA-7B701014ADA5}"/>
    <cellStyle name="Normal 7 5 6" xfId="1247" xr:uid="{D12D7D8C-60B5-4866-AD2B-D1ECAEF510A2}"/>
    <cellStyle name="Normal 7 5 7" xfId="1248" xr:uid="{031F7F37-0068-41A5-B2D3-CE3053AA78DE}"/>
    <cellStyle name="Normal 7 5 8" xfId="1249" xr:uid="{9E4239CA-014A-4E5E-BCED-4DED690B15DB}"/>
    <cellStyle name="Normal 7 6" xfId="1250" xr:uid="{5E09C524-0676-4A4F-A9DA-C15FF7AC531B}"/>
    <cellStyle name="Normal 7 7" xfId="1251" xr:uid="{04BFEBC9-539F-42AC-89F0-2EB43E2D529D}"/>
    <cellStyle name="Normal 7 8" xfId="1252" xr:uid="{4E175968-78C3-4B73-A437-E441ACF1EABA}"/>
    <cellStyle name="Normal 7 9" xfId="1253" xr:uid="{52D1C7CA-63EE-4196-9436-F28CB9980883}"/>
    <cellStyle name="Normal 8" xfId="1254" xr:uid="{C1C58EB4-9EDA-4398-BBBF-7F3F68BE9AFE}"/>
    <cellStyle name="Normal 8 10" xfId="1255" xr:uid="{4A169451-D178-43AB-8F46-A02A31E5EDDC}"/>
    <cellStyle name="Normal 8 11" xfId="1256" xr:uid="{8AF653EA-0A9B-4845-AF98-08E5926A9D08}"/>
    <cellStyle name="Normal 8 12" xfId="1257" xr:uid="{15EB8C2A-84BD-42B7-ACAB-1DFD640990F7}"/>
    <cellStyle name="Normal 8 13" xfId="1258" xr:uid="{20A8C988-3A81-4B60-98F7-D1D675BC4680}"/>
    <cellStyle name="Normal 8 2" xfId="1259" xr:uid="{A84C0292-2761-4CCA-AF4E-3473ED57A867}"/>
    <cellStyle name="Normal 8 2 2" xfId="1260" xr:uid="{4A787970-899B-490C-BF4C-26F2E2AFA597}"/>
    <cellStyle name="Normal 8 2 3" xfId="1261" xr:uid="{0429932B-2DB5-433F-A0B7-F77117687229}"/>
    <cellStyle name="Normal 8 2 4" xfId="1262" xr:uid="{53D40DC6-0859-4BEE-AA57-3D4AD0324C42}"/>
    <cellStyle name="Normal 8 2 5" xfId="1263" xr:uid="{D5FA9809-7819-4863-9CAA-1C38A3042B3F}"/>
    <cellStyle name="Normal 8 2 6" xfId="1264" xr:uid="{970902E6-53E2-415C-9131-D2063FB17413}"/>
    <cellStyle name="Normal 8 2 7" xfId="1265" xr:uid="{9B8E0811-E9FE-4855-A200-99A37C4DD8CB}"/>
    <cellStyle name="Normal 8 2 8" xfId="1266" xr:uid="{E6E4C999-3A35-4B88-8997-674F5702BF37}"/>
    <cellStyle name="Normal 8 2 9" xfId="1267" xr:uid="{8187E33D-DF62-4F22-9F07-3B460F8ECD2E}"/>
    <cellStyle name="Normal 8 3" xfId="1268" xr:uid="{665AC8A2-18DE-4C71-89A1-7C640A49CCCB}"/>
    <cellStyle name="Normal 8 3 2" xfId="1269" xr:uid="{835E46D6-AC9D-4C7E-B018-E763BE7B0999}"/>
    <cellStyle name="Normal 8 3 3" xfId="1270" xr:uid="{0AD3FEA2-7749-4DD9-8CAD-42C1FFA3F10F}"/>
    <cellStyle name="Normal 8 3 4" xfId="1271" xr:uid="{6F113978-8C9F-4B1E-B77D-28B8D12AFEEB}"/>
    <cellStyle name="Normal 8 3 5" xfId="1272" xr:uid="{1DF3CA0A-42EA-4853-A1D5-77865D571A88}"/>
    <cellStyle name="Normal 8 3 6" xfId="1273" xr:uid="{75DC6490-E5DF-4776-B9E7-779733305D2A}"/>
    <cellStyle name="Normal 8 3 7" xfId="1274" xr:uid="{A6CD3E66-82A8-4AF4-816D-019FBEBE9D2C}"/>
    <cellStyle name="Normal 8 3 8" xfId="1275" xr:uid="{8970F561-87FB-4DBE-936D-B8ED81772535}"/>
    <cellStyle name="Normal 8 4" xfId="1276" xr:uid="{8A8C4BA3-AF7A-46EB-B6AB-A597C2D0EE87}"/>
    <cellStyle name="Normal 8 4 2" xfId="1277" xr:uid="{984A6836-1610-4362-AA2A-0C13831537AE}"/>
    <cellStyle name="Normal 8 4 3" xfId="1278" xr:uid="{21A8CD66-1157-4827-84EF-A198F387533A}"/>
    <cellStyle name="Normal 8 4 4" xfId="1279" xr:uid="{C04A5F46-6F07-4E28-B631-846778BFD806}"/>
    <cellStyle name="Normal 8 4 5" xfId="1280" xr:uid="{1109D02C-6202-4174-82E3-5F7A955E7E62}"/>
    <cellStyle name="Normal 8 4 6" xfId="1281" xr:uid="{20AC9E8F-07F9-4DD4-A25D-A90D48C6E980}"/>
    <cellStyle name="Normal 8 4 7" xfId="1282" xr:uid="{18120FCC-A7E7-4CE0-8758-0B8BBD4C17D6}"/>
    <cellStyle name="Normal 8 4 8" xfId="1283" xr:uid="{5E4D2C68-FAB1-4B5F-A66A-A5BABE12C7D1}"/>
    <cellStyle name="Normal 8 5" xfId="1284" xr:uid="{9D8F082E-BB39-4FCC-BD1E-55B708006ED2}"/>
    <cellStyle name="Normal 8 5 2" xfId="1285" xr:uid="{CBCF7436-86BE-4BB9-805B-1698CC74D60F}"/>
    <cellStyle name="Normal 8 5 3" xfId="1286" xr:uid="{5B24ED67-C826-4BE1-BBEC-50E977483F29}"/>
    <cellStyle name="Normal 8 5 4" xfId="1287" xr:uid="{8CBF401F-E634-4D08-AC1F-FE375A77497E}"/>
    <cellStyle name="Normal 8 5 5" xfId="1288" xr:uid="{63171C08-9854-4BEC-86C9-D19E735B88CF}"/>
    <cellStyle name="Normal 8 5 6" xfId="1289" xr:uid="{BF75915E-F952-4151-B27F-09C19433FD4D}"/>
    <cellStyle name="Normal 8 5 7" xfId="1290" xr:uid="{CEB70406-06EA-4B31-9336-35A90EFC6E50}"/>
    <cellStyle name="Normal 8 5 8" xfId="1291" xr:uid="{F5A8B68E-D477-4593-9C27-67949F73007D}"/>
    <cellStyle name="Normal 8 6" xfId="1292" xr:uid="{489A7E1E-1D19-4A5C-BD0F-C949BEE637E6}"/>
    <cellStyle name="Normal 8 7" xfId="1293" xr:uid="{A3BFE33D-7F30-4B25-9910-400FB24B1FD2}"/>
    <cellStyle name="Normal 8 8" xfId="1294" xr:uid="{5309B43A-2D52-462C-BF9C-A75C37C60DA8}"/>
    <cellStyle name="Normal 8 9" xfId="1295" xr:uid="{25E8A261-6E9A-4E97-B1CA-28C554FB5708}"/>
    <cellStyle name="Normal 9" xfId="1296" xr:uid="{4251ABE1-EC60-4A0C-92DC-8BF3B5FDEA99}"/>
    <cellStyle name="Normal 9 2" xfId="1297" xr:uid="{39048121-E5F3-45EE-BAC9-EF72F3B54915}"/>
    <cellStyle name="Normal 9 3" xfId="1298" xr:uid="{F96EDD9B-F7A2-4CFC-9D1A-5394605C9124}"/>
    <cellStyle name="Normal 9 4" xfId="1299" xr:uid="{B9B04573-BB4D-4F36-A299-8E9EDD2F71D3}"/>
    <cellStyle name="Normal 9 5" xfId="1300" xr:uid="{D910FAE7-D1B1-40EF-B804-99E4067E3875}"/>
    <cellStyle name="Normal 9 6" xfId="1301" xr:uid="{C3F11D75-9617-4E46-97F3-486611B5B3C3}"/>
    <cellStyle name="Normal 9 7" xfId="1302" xr:uid="{E20DC6F5-C83C-43E3-8EB9-71396CAA2507}"/>
    <cellStyle name="Normal 9 8" xfId="1303" xr:uid="{8F5BD4FC-7043-4A88-ACCF-0CD8A6DBD65B}"/>
    <cellStyle name="Normal GHG Numbers (0.00)" xfId="1304" xr:uid="{AD301F01-7B99-4966-8415-7B34C05B4014}"/>
    <cellStyle name="Normal GHG Textfiels Bold" xfId="1305" xr:uid="{DDCFA46B-B4C2-4E3B-B0E3-9733A10E52D5}"/>
    <cellStyle name="Normal GHG-Shade" xfId="1306" xr:uid="{77506728-1E65-4909-94A2-B27D8E45E264}"/>
    <cellStyle name="Normale_B2020" xfId="1307" xr:uid="{39F3B661-B40F-4B94-96AB-CA0054190C47}"/>
    <cellStyle name="Note 2" xfId="1308" xr:uid="{D753D2C0-2A1C-4CE6-BB4E-322657CD772D}"/>
    <cellStyle name="Note 2 10" xfId="1309" xr:uid="{258067BE-F6A6-4A71-9C28-22D73C73ABFB}"/>
    <cellStyle name="Note 2 11" xfId="1310" xr:uid="{937B0389-C9EF-4B2F-8A06-2DF7A041691A}"/>
    <cellStyle name="Note 2 12" xfId="1311" xr:uid="{9641C6FA-D9CE-44AB-AC19-75EA0314BBE1}"/>
    <cellStyle name="Note 2 13" xfId="1312" xr:uid="{108B3512-BA3B-48D1-BE65-D01A47189B09}"/>
    <cellStyle name="Note 2 14" xfId="1313" xr:uid="{AE18BC82-10D9-4339-9B58-1FB148CC06EB}"/>
    <cellStyle name="Note 2 15" xfId="1314" xr:uid="{2A2970DF-C610-4883-873A-5C83A441E0DE}"/>
    <cellStyle name="Note 2 2" xfId="1315" xr:uid="{4AA48A90-0450-4EA4-8494-888DDA434A98}"/>
    <cellStyle name="Note 2 3" xfId="1316" xr:uid="{310371A8-FDC6-4728-BB0D-58D75DF4429A}"/>
    <cellStyle name="Note 2 4" xfId="1317" xr:uid="{38E123B6-9DA8-47FC-AC5F-7BD193A9C980}"/>
    <cellStyle name="Note 2 5" xfId="1318" xr:uid="{D4D588D2-C827-4D12-89DF-89960E9C0E48}"/>
    <cellStyle name="Note 2 6" xfId="1319" xr:uid="{CF431054-67FA-48D7-888C-C701C92FF50E}"/>
    <cellStyle name="Note 2 7" xfId="1320" xr:uid="{00D22D4F-35D3-48DF-8FD5-4F89A9288F0F}"/>
    <cellStyle name="Note 2 8" xfId="1321" xr:uid="{BC027B49-3E09-4001-AE10-CDFBEFC8C1B5}"/>
    <cellStyle name="Note 2 9" xfId="1322" xr:uid="{F858E2D7-214D-40C3-8F9D-551EDC55B6CF}"/>
    <cellStyle name="Note 3" xfId="1323" xr:uid="{01D49DCD-48AC-4A82-BB1C-C485B8F8D3C2}"/>
    <cellStyle name="Note 3 2" xfId="1324" xr:uid="{0BB4DDD3-EE4F-4DBE-B512-DCE979DC952B}"/>
    <cellStyle name="Note 4" xfId="1325" xr:uid="{65D62824-843C-46AE-A896-64209B8EF0F5}"/>
    <cellStyle name="Note 5" xfId="1326" xr:uid="{9D8E91A8-7C27-4EC2-BCEA-FAC7A0895AAA}"/>
    <cellStyle name="Note 6" xfId="1327" xr:uid="{A813228B-F73C-4804-93EF-B777C4DE6F5C}"/>
    <cellStyle name="Note 7" xfId="1328" xr:uid="{F13CA555-D060-458F-95AA-EEBFB26D4C04}"/>
    <cellStyle name="Note 8" xfId="1329" xr:uid="{5EFC2B93-0D28-4DF7-937D-47A78762D02C}"/>
    <cellStyle name="Nuovo" xfId="1330" xr:uid="{02A14BDD-E1C3-45D2-8B2D-806C336BC6C4}"/>
    <cellStyle name="Nuovo 2" xfId="1331" xr:uid="{DFC0DCB0-8CC5-4AD5-87B2-445BE12AA30E}"/>
    <cellStyle name="Output 2" xfId="1332" xr:uid="{39ADFC32-9233-4F1D-A692-D4592DA3F8BA}"/>
    <cellStyle name="Output 2 10" xfId="1333" xr:uid="{E6B8FF63-2559-4509-A333-12C6461DA74D}"/>
    <cellStyle name="Output 2 2" xfId="1334" xr:uid="{4A911EE9-36E2-4CD9-8D90-3436EDA25D70}"/>
    <cellStyle name="Output 2 3" xfId="1335" xr:uid="{04FCAB00-C411-435D-B26F-467A9F706D51}"/>
    <cellStyle name="Output 2 4" xfId="1336" xr:uid="{B968C709-2114-465E-885B-7FFAD65DA0EA}"/>
    <cellStyle name="Output 2 5" xfId="1337" xr:uid="{ABDC813D-880D-487B-99A7-A9F9F208AD4E}"/>
    <cellStyle name="Output 2 6" xfId="1338" xr:uid="{4DF9ACD6-783E-442A-9E89-FA25D00FA4C6}"/>
    <cellStyle name="Output 2 7" xfId="1339" xr:uid="{3484A8ED-6D96-428E-AF56-CFF902553526}"/>
    <cellStyle name="Output 2 8" xfId="1340" xr:uid="{A97E0F6B-EA89-48BC-BCC1-E937A46A975C}"/>
    <cellStyle name="Output 2 9" xfId="1341" xr:uid="{315EF870-7275-44FC-9079-9D7F3465A8A5}"/>
    <cellStyle name="Output 3" xfId="1342" xr:uid="{14CC4006-0962-4DA2-B218-9CC3E7330C0F}"/>
    <cellStyle name="Percent 10" xfId="1343" xr:uid="{7DEB0D26-ED4C-401C-BFBA-B05FE35CD9A4}"/>
    <cellStyle name="Percent 10 2" xfId="1344" xr:uid="{2FD898C5-D597-4C7D-A8F5-EB7E35754A0C}"/>
    <cellStyle name="Percent 10 3" xfId="1345" xr:uid="{E07EF2FE-5C75-4DFA-B5D3-FA3694F4E214}"/>
    <cellStyle name="Percent 10 4" xfId="1346" xr:uid="{68EECAAF-522B-48E3-B5A7-C16D48AD824F}"/>
    <cellStyle name="Percent 10 5" xfId="1347" xr:uid="{92F93C85-BA33-4E7D-BF8B-E5626041C9B3}"/>
    <cellStyle name="Percent 10 6" xfId="1348" xr:uid="{C93D1CF0-94EA-4F1A-94A1-F91F12D0B1AB}"/>
    <cellStyle name="Percent 10 7" xfId="1349" xr:uid="{650FB917-5198-4D6D-8CEC-EC8FE613710F}"/>
    <cellStyle name="Percent 10 8" xfId="1350" xr:uid="{B2970FA4-ED74-4F02-806D-87BD7DADF719}"/>
    <cellStyle name="Percent 11" xfId="1351" xr:uid="{E5688E6D-E1E3-4D45-8A6C-8BB16782705F}"/>
    <cellStyle name="Percent 11 2" xfId="1352" xr:uid="{99E4CEDC-036D-462B-8373-04D0E3D5D3D8}"/>
    <cellStyle name="Percent 11 3" xfId="1353" xr:uid="{8857C32C-2A92-48AA-B941-41A36709D2D5}"/>
    <cellStyle name="Percent 11 4" xfId="1354" xr:uid="{14CD220A-5B54-4B14-8A3B-F430817CC9B3}"/>
    <cellStyle name="Percent 11 5" xfId="1355" xr:uid="{A15503C6-46DD-4C19-A29B-914D9E74B216}"/>
    <cellStyle name="Percent 11 6" xfId="1356" xr:uid="{833D4BB6-2D41-414E-9C9B-FA506EE858E4}"/>
    <cellStyle name="Percent 11 7" xfId="1357" xr:uid="{E049FDC9-94FB-44C1-B9F1-9DD30156F593}"/>
    <cellStyle name="Percent 11 8" xfId="1358" xr:uid="{E0ED410D-4E73-40E8-9DEA-94DAC9CCAA76}"/>
    <cellStyle name="Percent 12" xfId="1359" xr:uid="{45E52545-E6F3-4AEB-863F-D4FD3D8664D9}"/>
    <cellStyle name="Percent 12 2" xfId="1360" xr:uid="{C67E7D1A-456A-4F65-895B-AD70FA12A9D0}"/>
    <cellStyle name="Percent 12 3" xfId="1361" xr:uid="{0D92DAEF-E9AD-4F29-AC48-916C99288550}"/>
    <cellStyle name="Percent 12 4" xfId="1362" xr:uid="{58142F8D-E77F-47F4-9BB4-94F94B31D8C3}"/>
    <cellStyle name="Percent 12 5" xfId="1363" xr:uid="{238F4F6F-7D6F-4627-AFFE-3FA821813650}"/>
    <cellStyle name="Percent 12 6" xfId="1364" xr:uid="{7BA60FB4-D064-46D0-BCA8-ACA7BC612C5C}"/>
    <cellStyle name="Percent 12 7" xfId="1365" xr:uid="{114C0B06-D7AC-4094-BB4A-06FFA6B55926}"/>
    <cellStyle name="Percent 12 8" xfId="1366" xr:uid="{5F37CD89-12C7-4385-8153-7DFC09D8322E}"/>
    <cellStyle name="Percent 13" xfId="1367" xr:uid="{968BEA87-8153-4D57-A06A-D58526AD8CD9}"/>
    <cellStyle name="Percent 13 2" xfId="1368" xr:uid="{FAD317CA-8C6F-4A32-B9DD-8B4686628D9A}"/>
    <cellStyle name="Percent 13 3" xfId="1369" xr:uid="{E12C70AB-C1D5-45CB-9D8F-B3EF47F962BD}"/>
    <cellStyle name="Percent 13 4" xfId="1370" xr:uid="{54CF7187-15C4-4B42-B714-D0A490FC62CA}"/>
    <cellStyle name="Percent 13 5" xfId="1371" xr:uid="{2503407D-8E36-4633-B4CE-3D89E5A268E8}"/>
    <cellStyle name="Percent 13 6" xfId="1372" xr:uid="{08AB7FA0-12FD-46F7-AB80-05A86910DB1D}"/>
    <cellStyle name="Percent 13 7" xfId="1373" xr:uid="{8776469E-56B1-456E-9547-F17F75F7B0B0}"/>
    <cellStyle name="Percent 13 8" xfId="1374" xr:uid="{6753F3F5-EF02-41A1-A16E-7843A0D4984A}"/>
    <cellStyle name="Percent 14" xfId="1375" xr:uid="{4FFF1ECE-7CDD-4027-AEFC-7A52346E45FA}"/>
    <cellStyle name="Percent 14 2" xfId="1376" xr:uid="{4BE05F62-A803-4AB7-9BDF-EE9384F9B058}"/>
    <cellStyle name="Percent 14 3" xfId="1377" xr:uid="{BD6E834B-F633-4E4A-AE1C-578D99D2C838}"/>
    <cellStyle name="Percent 14 4" xfId="1378" xr:uid="{C85300ED-6854-4BB9-BB94-A05ED0564431}"/>
    <cellStyle name="Percent 14 5" xfId="1379" xr:uid="{3ED2864B-F80E-4AD8-8257-2668AD61BCC0}"/>
    <cellStyle name="Percent 14 6" xfId="1380" xr:uid="{E941FA84-7A36-45A7-A96B-133330FD6AC8}"/>
    <cellStyle name="Percent 14 7" xfId="1381" xr:uid="{E56DD43A-D7DF-4771-8225-189F9FA4D1C9}"/>
    <cellStyle name="Percent 14 8" xfId="1382" xr:uid="{3D649366-52AF-41AB-ABFD-4D0B2CC2F49A}"/>
    <cellStyle name="Percent 15" xfId="1383" xr:uid="{3D81FD95-A5C3-48F1-A2DE-9B4241CAD03F}"/>
    <cellStyle name="Percent 15 10" xfId="1384" xr:uid="{459620F2-4C59-471E-9237-46ABB95CA207}"/>
    <cellStyle name="Percent 15 11" xfId="1385" xr:uid="{B691AB9D-5454-4BEC-B5C2-1021D356B8A7}"/>
    <cellStyle name="Percent 15 12" xfId="1386" xr:uid="{742D6A5D-299E-4BD3-9836-302D4EF22515}"/>
    <cellStyle name="Percent 15 13" xfId="1387" xr:uid="{5869CB6F-04B4-4BBC-A3C1-5AE568EF4E19}"/>
    <cellStyle name="Percent 15 14" xfId="1388" xr:uid="{DD4E97DA-C5E8-4DC6-AC9E-81DD858ABB75}"/>
    <cellStyle name="Percent 15 2" xfId="1389" xr:uid="{51EA1969-ADC5-40F9-8FF2-723125A0E5E4}"/>
    <cellStyle name="Percent 15 2 2" xfId="1390" xr:uid="{ECC939DB-591F-4D9C-B6ED-DC81E4D4A445}"/>
    <cellStyle name="Percent 15 2 3" xfId="1391" xr:uid="{FB88FA68-D797-4FC9-A4D1-7D980E3E7BDD}"/>
    <cellStyle name="Percent 15 2 4" xfId="1392" xr:uid="{C88CDECE-DE0B-4668-944B-3D377A6E4C36}"/>
    <cellStyle name="Percent 15 2 5" xfId="1393" xr:uid="{C7862F80-6E39-4A4A-BB77-27D7DC9B7103}"/>
    <cellStyle name="Percent 15 2 6" xfId="1394" xr:uid="{7D99918D-B697-4117-9D6F-09D2B45BFBD1}"/>
    <cellStyle name="Percent 15 2 7" xfId="1395" xr:uid="{BED87788-B138-4B04-8A0B-C35131220EF1}"/>
    <cellStyle name="Percent 15 3" xfId="1396" xr:uid="{1A9F0DFB-AA11-4FFC-9FE9-FC74E79B5CC1}"/>
    <cellStyle name="Percent 15 4" xfId="1397" xr:uid="{BF8BEA16-AE16-424A-A6AB-DD1E5DDF5152}"/>
    <cellStyle name="Percent 15 5" xfId="1398" xr:uid="{D3417C24-2A00-42DD-A17A-38CA923BE252}"/>
    <cellStyle name="Percent 15 6" xfId="1399" xr:uid="{99A8AA6C-1EFC-4F91-B131-B1BE474B5F4E}"/>
    <cellStyle name="Percent 15 7" xfId="1400" xr:uid="{4076B4B6-A41F-4CCC-B013-73EF6CA898AF}"/>
    <cellStyle name="Percent 15 8" xfId="1401" xr:uid="{4BBEA8E9-88EC-48A0-894D-EB11D0E1F29A}"/>
    <cellStyle name="Percent 15 9" xfId="1402" xr:uid="{A6F1FF06-485C-422D-81BB-B7FAE5827990}"/>
    <cellStyle name="Percent 16" xfId="1403" xr:uid="{222B51EA-E71B-49F4-B6C1-AE2F7B7CE10C}"/>
    <cellStyle name="Percent 16 2" xfId="1404" xr:uid="{82AC6DD9-87A8-4BAF-B752-EEBC776C9F08}"/>
    <cellStyle name="Percent 16 3" xfId="1405" xr:uid="{04434CDC-464D-4250-9456-8EAE3BEB132F}"/>
    <cellStyle name="Percent 16 3 10" xfId="1406" xr:uid="{424A9091-D327-4223-A0F5-8AE5447AE26F}"/>
    <cellStyle name="Percent 16 3 11" xfId="1407" xr:uid="{12EC8468-A83F-4505-BB9D-8F270FDC8910}"/>
    <cellStyle name="Percent 16 3 12" xfId="1408" xr:uid="{626D8F53-6630-40B2-818E-F16ACC400890}"/>
    <cellStyle name="Percent 16 3 13" xfId="1409" xr:uid="{5F0A44C8-3C6D-4FCC-A739-D1FCED3B3501}"/>
    <cellStyle name="Percent 16 3 14" xfId="1410" xr:uid="{EC82B4EB-C3FB-4AFF-9FF9-A5F243AC9219}"/>
    <cellStyle name="Percent 16 3 15" xfId="1411" xr:uid="{0EFAA756-3387-4AA5-A897-01E7454A6E02}"/>
    <cellStyle name="Percent 16 3 16" xfId="1412" xr:uid="{B0414286-79E4-4464-A3A3-31582A014B2E}"/>
    <cellStyle name="Percent 16 3 17" xfId="1413" xr:uid="{878B9952-BAD2-40BE-833C-F9EEF80DD446}"/>
    <cellStyle name="Percent 16 3 2" xfId="1414" xr:uid="{FF5BF3A4-A07F-4766-9AB4-8A0A157C6489}"/>
    <cellStyle name="Percent 16 3 3" xfId="1415" xr:uid="{DBB798B5-C2C8-4F71-BEDB-E44306719F98}"/>
    <cellStyle name="Percent 16 3 4" xfId="1416" xr:uid="{0DBCFA1B-A37B-40A7-A750-D1460CC49FD7}"/>
    <cellStyle name="Percent 16 3 5" xfId="1417" xr:uid="{38EF951F-51C7-4129-B007-1231C90493C5}"/>
    <cellStyle name="Percent 16 3 6" xfId="1418" xr:uid="{87DB32EB-B42D-4D1D-AA23-9D82CEDCE712}"/>
    <cellStyle name="Percent 16 3 7" xfId="1419" xr:uid="{27B9B624-89E8-4E47-9710-1F34B27365BA}"/>
    <cellStyle name="Percent 16 3 8" xfId="1420" xr:uid="{AB62866E-8BC1-4CCE-889B-20D099F8F7AA}"/>
    <cellStyle name="Percent 16 3 9" xfId="1421" xr:uid="{DB637E0E-7A3D-4CFC-BF86-A2A5AA036146}"/>
    <cellStyle name="Percent 16 4" xfId="1422" xr:uid="{DC2E84C6-EDFB-4BCC-A0A9-F4E35785A2E7}"/>
    <cellStyle name="Percent 16 4 10" xfId="1423" xr:uid="{506C5C63-E874-4DF3-884F-916E26D2CF9E}"/>
    <cellStyle name="Percent 16 4 11" xfId="1424" xr:uid="{5FB00D06-E7B6-45D3-A174-B1628861D6B8}"/>
    <cellStyle name="Percent 16 4 12" xfId="1425" xr:uid="{071CC42E-B083-45F7-B8B9-5244F235687E}"/>
    <cellStyle name="Percent 16 4 13" xfId="1426" xr:uid="{1C7E733C-BB5F-4457-A9D5-410F486537BE}"/>
    <cellStyle name="Percent 16 4 14" xfId="1427" xr:uid="{42E0774A-6188-4E3D-8A4F-5D7700182A1F}"/>
    <cellStyle name="Percent 16 4 15" xfId="1428" xr:uid="{4C5D00FE-130C-41F2-BCAC-A54AC93BA265}"/>
    <cellStyle name="Percent 16 4 16" xfId="1429" xr:uid="{41EF30EE-1D98-43D0-B65F-BA927A77D78F}"/>
    <cellStyle name="Percent 16 4 17" xfId="1430" xr:uid="{3573E051-DE70-4664-95B9-848F9FD4F2F1}"/>
    <cellStyle name="Percent 16 4 2" xfId="1431" xr:uid="{6F55CFE4-CA17-45D4-BA38-2CD30874A889}"/>
    <cellStyle name="Percent 16 4 3" xfId="1432" xr:uid="{F7A3B4EE-F068-4D15-B493-B2425910ECA0}"/>
    <cellStyle name="Percent 16 4 4" xfId="1433" xr:uid="{AC136D5E-B00B-4AFE-9C4C-D1F280D2BF6F}"/>
    <cellStyle name="Percent 16 4 5" xfId="1434" xr:uid="{908577AD-9A64-4080-9BB5-1B2E61EDC6FA}"/>
    <cellStyle name="Percent 16 4 6" xfId="1435" xr:uid="{F3EAD97E-7B7A-442B-8A0C-9D61415F548D}"/>
    <cellStyle name="Percent 16 4 7" xfId="1436" xr:uid="{1B479B8B-F302-4A85-8DDF-56542F178BCC}"/>
    <cellStyle name="Percent 16 4 8" xfId="1437" xr:uid="{78597C5A-957F-4E26-BD4E-D43686A07756}"/>
    <cellStyle name="Percent 16 4 9" xfId="1438" xr:uid="{AEAEC3FC-0218-4797-BACD-DBDAC1A6CCA0}"/>
    <cellStyle name="Percent 16 5" xfId="1439" xr:uid="{7A4F4603-27AF-452B-8CC2-8EF3BEE6DE02}"/>
    <cellStyle name="Percent 16 5 10" xfId="1440" xr:uid="{B79C066B-7C96-490A-94B6-033B35D0D3B7}"/>
    <cellStyle name="Percent 16 5 11" xfId="1441" xr:uid="{D4F0A2EA-19BA-465B-9541-62E77FF5D871}"/>
    <cellStyle name="Percent 16 5 12" xfId="1442" xr:uid="{AC1C842C-1497-4ED7-BD0D-0C873DFCE623}"/>
    <cellStyle name="Percent 16 5 13" xfId="1443" xr:uid="{F5F74830-09E1-4F4C-9658-0DAA80745886}"/>
    <cellStyle name="Percent 16 5 14" xfId="1444" xr:uid="{DDA78296-B4A3-4C75-BF7F-69945DC667FE}"/>
    <cellStyle name="Percent 16 5 15" xfId="1445" xr:uid="{21D38972-51CD-46D0-8326-C4BCE215472A}"/>
    <cellStyle name="Percent 16 5 16" xfId="1446" xr:uid="{BD38F08D-F4AA-411E-9B00-3C19526C0BBF}"/>
    <cellStyle name="Percent 16 5 17" xfId="1447" xr:uid="{7A12ECC3-E757-4AD8-8F48-B5FE11A1C46D}"/>
    <cellStyle name="Percent 16 5 2" xfId="1448" xr:uid="{0E3BC0D0-4FB4-46EA-BDDA-C06FA62896B8}"/>
    <cellStyle name="Percent 16 5 3" xfId="1449" xr:uid="{8406FB34-130F-4B00-84D4-58AC6425FDD7}"/>
    <cellStyle name="Percent 16 5 4" xfId="1450" xr:uid="{E27686C9-66F1-4D7B-8A65-0BAB18E650D1}"/>
    <cellStyle name="Percent 16 5 5" xfId="1451" xr:uid="{4F516B98-5D25-4C2C-9B47-FE87E8673103}"/>
    <cellStyle name="Percent 16 5 6" xfId="1452" xr:uid="{2AD8BEE8-8224-48DA-B9D3-28E894EAEC2B}"/>
    <cellStyle name="Percent 16 5 7" xfId="1453" xr:uid="{0C5617AE-F098-4C11-9EE6-8A1835879500}"/>
    <cellStyle name="Percent 16 5 8" xfId="1454" xr:uid="{20ED8735-833B-4760-9B75-CBCECBC46577}"/>
    <cellStyle name="Percent 16 5 9" xfId="1455" xr:uid="{A1F6FD55-9875-49F6-8856-6106F061A272}"/>
    <cellStyle name="Percent 16 6" xfId="1456" xr:uid="{4B2C07E1-5F70-4AAE-8E65-D7A22D1C4E93}"/>
    <cellStyle name="Percent 16 6 10" xfId="1457" xr:uid="{08943895-563E-436C-8DD1-355DF6165632}"/>
    <cellStyle name="Percent 16 6 11" xfId="1458" xr:uid="{01CEC384-8F23-40B0-8A68-1CCE52607CD2}"/>
    <cellStyle name="Percent 16 6 12" xfId="1459" xr:uid="{0BBB7ED8-5936-4292-9E71-8378FD158BD4}"/>
    <cellStyle name="Percent 16 6 13" xfId="1460" xr:uid="{DEA67FCD-2D34-4F94-8F8E-7A6939F529BC}"/>
    <cellStyle name="Percent 16 6 14" xfId="1461" xr:uid="{73722790-2314-49B6-81CF-3C55EAC193EB}"/>
    <cellStyle name="Percent 16 6 15" xfId="1462" xr:uid="{C0BAEFC0-2175-447F-9D2E-608341274830}"/>
    <cellStyle name="Percent 16 6 16" xfId="1463" xr:uid="{F041BE7B-2358-4AA5-A4E3-A55A89A07E8A}"/>
    <cellStyle name="Percent 16 6 17" xfId="1464" xr:uid="{5ACB0C59-5085-4226-B304-D41228923944}"/>
    <cellStyle name="Percent 16 6 2" xfId="1465" xr:uid="{0B8CCC30-684B-4FAB-BFE1-DD1527E74739}"/>
    <cellStyle name="Percent 16 6 3" xfId="1466" xr:uid="{1844F68C-47AD-4B21-A039-235EA84882FF}"/>
    <cellStyle name="Percent 16 6 4" xfId="1467" xr:uid="{0A3439DC-702B-42CC-BB54-50C656C943CC}"/>
    <cellStyle name="Percent 16 6 5" xfId="1468" xr:uid="{066A1F53-CB23-4641-9D16-C49D224068B3}"/>
    <cellStyle name="Percent 16 6 6" xfId="1469" xr:uid="{94DD20B4-D58C-43FA-BC65-38D176C571E1}"/>
    <cellStyle name="Percent 16 6 7" xfId="1470" xr:uid="{99C59A31-771E-4E04-AFFE-04CFFD48C81D}"/>
    <cellStyle name="Percent 16 6 8" xfId="1471" xr:uid="{79714D9E-0A9F-454A-B0A0-1877CA3DA422}"/>
    <cellStyle name="Percent 16 6 9" xfId="1472" xr:uid="{16D913C0-472E-438E-ADEF-87CADFF0996F}"/>
    <cellStyle name="Percent 16 7" xfId="1473" xr:uid="{A9745319-DEA6-402B-812B-7D85BAEC2234}"/>
    <cellStyle name="Percent 16 7 10" xfId="1474" xr:uid="{F7B1A061-D930-4672-A063-46F177FB1140}"/>
    <cellStyle name="Percent 16 7 11" xfId="1475" xr:uid="{1ECBD7C2-2046-4234-B682-37FB73403C81}"/>
    <cellStyle name="Percent 16 7 12" xfId="1476" xr:uid="{D294514B-C05F-4134-9E8F-7D7117D69596}"/>
    <cellStyle name="Percent 16 7 13" xfId="1477" xr:uid="{47326FB6-CF28-469F-8028-9DB57246D63B}"/>
    <cellStyle name="Percent 16 7 14" xfId="1478" xr:uid="{5688A9A5-6015-454F-AB56-F49359063E2D}"/>
    <cellStyle name="Percent 16 7 15" xfId="1479" xr:uid="{2A7976A0-9FCC-4AE4-82E4-D704717F5C2A}"/>
    <cellStyle name="Percent 16 7 16" xfId="1480" xr:uid="{30C15390-A758-4CBA-9376-525CFD63D63C}"/>
    <cellStyle name="Percent 16 7 17" xfId="1481" xr:uid="{CB1220E9-859F-46FF-889E-9903CB4E3D95}"/>
    <cellStyle name="Percent 16 7 2" xfId="1482" xr:uid="{704087E5-D365-49FC-A6AB-104EC9C0EB28}"/>
    <cellStyle name="Percent 16 7 3" xfId="1483" xr:uid="{393FFBC7-D3B3-4D23-AECB-23748A20D3A5}"/>
    <cellStyle name="Percent 16 7 4" xfId="1484" xr:uid="{81D86436-7305-4E11-B02F-4B1D53077359}"/>
    <cellStyle name="Percent 16 7 5" xfId="1485" xr:uid="{8616C093-C822-4924-B76D-138EAD72999A}"/>
    <cellStyle name="Percent 16 7 6" xfId="1486" xr:uid="{2FC7E56A-3720-4A55-BC33-D89907333B1D}"/>
    <cellStyle name="Percent 16 7 7" xfId="1487" xr:uid="{110BBA2F-6866-40B4-95DD-ACBA289F119C}"/>
    <cellStyle name="Percent 16 7 8" xfId="1488" xr:uid="{727A3B87-58F2-431D-8638-8B3F3A1C78B3}"/>
    <cellStyle name="Percent 16 7 9" xfId="1489" xr:uid="{82788928-9FA0-42DD-BE0F-103E38DB6B2E}"/>
    <cellStyle name="Percent 16 8" xfId="1490" xr:uid="{9C31D1AF-3A74-4EEC-8995-9576348CC914}"/>
    <cellStyle name="Percent 16 8 10" xfId="1491" xr:uid="{E004F5D4-32BD-478C-801B-03E15143A830}"/>
    <cellStyle name="Percent 16 8 11" xfId="1492" xr:uid="{34558D49-4F16-47BC-8D22-9D08F6D7F9D5}"/>
    <cellStyle name="Percent 16 8 12" xfId="1493" xr:uid="{168A445A-800E-4C17-AB89-5B97744FBCCD}"/>
    <cellStyle name="Percent 16 8 13" xfId="1494" xr:uid="{DEAA88C0-1721-441E-B27B-722EE7EEDB0F}"/>
    <cellStyle name="Percent 16 8 14" xfId="1495" xr:uid="{C9CD64DF-F9C9-49B3-8368-E3D76B6E1964}"/>
    <cellStyle name="Percent 16 8 15" xfId="1496" xr:uid="{649127D7-E226-4D0B-9FFA-EF0D0C27FC5B}"/>
    <cellStyle name="Percent 16 8 16" xfId="1497" xr:uid="{4919ED64-CC80-4829-8A29-92EF0765E172}"/>
    <cellStyle name="Percent 16 8 17" xfId="1498" xr:uid="{AAF7221E-1349-48E4-B3EB-99DCD15C08F2}"/>
    <cellStyle name="Percent 16 8 2" xfId="1499" xr:uid="{40CD4500-C987-4B83-A0BD-0B99790969ED}"/>
    <cellStyle name="Percent 16 8 3" xfId="1500" xr:uid="{C7377F00-3E81-4F3A-9D42-EA5699B06807}"/>
    <cellStyle name="Percent 16 8 4" xfId="1501" xr:uid="{03786460-A11C-4957-B024-9DD6A7997ED3}"/>
    <cellStyle name="Percent 16 8 5" xfId="1502" xr:uid="{8259F6CA-F950-4785-A1A9-54A0806FC9A4}"/>
    <cellStyle name="Percent 16 8 6" xfId="1503" xr:uid="{2FE1CC3A-08C4-4B33-8672-C0810FB7A397}"/>
    <cellStyle name="Percent 16 8 7" xfId="1504" xr:uid="{0A708ECB-0E23-4FD7-A08C-8E5EB3B6875E}"/>
    <cellStyle name="Percent 16 8 8" xfId="1505" xr:uid="{4D91832B-1CCD-46AF-8C97-143BC1A0F6F6}"/>
    <cellStyle name="Percent 16 8 9" xfId="1506" xr:uid="{98F71C9A-FFDE-497E-81EF-D5AF72198713}"/>
    <cellStyle name="Percent 16 9" xfId="1507" xr:uid="{0686C494-9B50-4913-81E3-B72ACCE3BA6F}"/>
    <cellStyle name="Percent 16 9 10" xfId="1508" xr:uid="{AF6D4BB2-5DC3-4E0C-B571-5B754D901156}"/>
    <cellStyle name="Percent 16 9 11" xfId="1509" xr:uid="{434B4369-E5ED-4E1D-BBEF-715D80EF8ACA}"/>
    <cellStyle name="Percent 16 9 12" xfId="1510" xr:uid="{8FA4F511-3F15-41F3-8DF2-11A65B66D459}"/>
    <cellStyle name="Percent 16 9 13" xfId="1511" xr:uid="{D972BE5C-E8A7-48B2-B45B-21C6AC4060D1}"/>
    <cellStyle name="Percent 16 9 14" xfId="1512" xr:uid="{0F2B3B04-B0FD-48E9-B950-F4700465B7EA}"/>
    <cellStyle name="Percent 16 9 15" xfId="1513" xr:uid="{D546F411-4A8D-469C-AF9D-4F7582824CC9}"/>
    <cellStyle name="Percent 16 9 16" xfId="1514" xr:uid="{BDEEE7C4-3274-4A44-B801-1240A46593F9}"/>
    <cellStyle name="Percent 16 9 17" xfId="1515" xr:uid="{C06ADCD2-4B0F-4761-AA14-5F8E7281DC57}"/>
    <cellStyle name="Percent 16 9 2" xfId="1516" xr:uid="{902657E4-F81B-478F-A1F3-C6BB98D440BC}"/>
    <cellStyle name="Percent 16 9 3" xfId="1517" xr:uid="{F2DB9859-B947-408C-82CF-40D42D31BC14}"/>
    <cellStyle name="Percent 16 9 4" xfId="1518" xr:uid="{586EF5F6-D0B7-4AE8-ABB3-3E48DC6D5749}"/>
    <cellStyle name="Percent 16 9 5" xfId="1519" xr:uid="{62974EF4-CCA7-4AA6-AD37-57083CAAEBFD}"/>
    <cellStyle name="Percent 16 9 6" xfId="1520" xr:uid="{5C5BFF52-3D14-4B0B-9B4F-839AA0897C41}"/>
    <cellStyle name="Percent 16 9 7" xfId="1521" xr:uid="{593957E6-24A3-443B-A7C4-571131A1B907}"/>
    <cellStyle name="Percent 16 9 8" xfId="1522" xr:uid="{B196100E-4126-4B55-849A-2B5D7A8BDF88}"/>
    <cellStyle name="Percent 16 9 9" xfId="1523" xr:uid="{9E25A122-7B89-40EF-B86D-C9D9221EF1AA}"/>
    <cellStyle name="Percent 17" xfId="1524" xr:uid="{6DDA2952-413C-4AB2-A651-401268C2C15B}"/>
    <cellStyle name="Percent 18" xfId="1525" xr:uid="{904D96BC-C1B2-4353-A686-CD524120CE49}"/>
    <cellStyle name="Percent 18 2" xfId="1526" xr:uid="{77187E4F-BEB7-4547-917F-1694359D5EAE}"/>
    <cellStyle name="Percent 19" xfId="1527" xr:uid="{07AA42E9-5643-48F9-8312-503F14F9445A}"/>
    <cellStyle name="Percent 2" xfId="1528" xr:uid="{2551F942-9859-4F25-8E08-1FB2E21F8FD2}"/>
    <cellStyle name="Percent 2 10" xfId="1529" xr:uid="{D7C4A768-F19C-4F59-8CED-37DBB6656602}"/>
    <cellStyle name="Percent 2 10 2" xfId="1530" xr:uid="{F3BD3461-000A-4ADF-B7AD-0A325D47F7CC}"/>
    <cellStyle name="Percent 2 10 3" xfId="1531" xr:uid="{A05E7800-3D09-4D87-9015-C4990EE1C0C8}"/>
    <cellStyle name="Percent 2 10 4" xfId="1532" xr:uid="{0FFF6EC9-BB7D-4341-956D-40F99C8491E7}"/>
    <cellStyle name="Percent 2 10 5" xfId="1533" xr:uid="{06A537C1-7873-4F30-8CCE-11130C7C18A3}"/>
    <cellStyle name="Percent 2 10 6" xfId="1534" xr:uid="{9377F358-3DE2-4AA3-9AAA-748451307978}"/>
    <cellStyle name="Percent 2 10 7" xfId="1535" xr:uid="{B607E7B0-1EB1-44F7-BE62-A922AA8BF8FB}"/>
    <cellStyle name="Percent 2 10 8" xfId="1536" xr:uid="{48E3E0E6-A718-4CD3-87A9-68D7F4D61527}"/>
    <cellStyle name="Percent 2 11" xfId="1537" xr:uid="{40CC535A-FFB0-4E7B-ABF9-CE62BDEFD15B}"/>
    <cellStyle name="Percent 2 11 2" xfId="1538" xr:uid="{F96374FC-4571-4E31-9321-E25D173FC86D}"/>
    <cellStyle name="Percent 2 11 3" xfId="1539" xr:uid="{329FD098-A6D9-4925-947C-1CEC9132F5CB}"/>
    <cellStyle name="Percent 2 11 4" xfId="1540" xr:uid="{80A60551-46C0-4245-A927-463F4380E7C2}"/>
    <cellStyle name="Percent 2 11 5" xfId="1541" xr:uid="{0020DE46-530B-4A97-9CB6-FB4CE4F3E65A}"/>
    <cellStyle name="Percent 2 11 6" xfId="1542" xr:uid="{D4DB218C-96F9-4CBF-9844-97C3181A4749}"/>
    <cellStyle name="Percent 2 11 7" xfId="1543" xr:uid="{DBCEF88C-B39C-40D3-9D24-EDB8E58A97B6}"/>
    <cellStyle name="Percent 2 11 8" xfId="1544" xr:uid="{EF3CB0EE-CD29-4720-938E-E1B9C4183CA1}"/>
    <cellStyle name="Percent 2 12" xfId="1545" xr:uid="{8408513D-F29D-4E3F-A076-86ED4A52C934}"/>
    <cellStyle name="Percent 2 13" xfId="1546" xr:uid="{9627A744-DA46-4368-B14A-DDF9702852BB}"/>
    <cellStyle name="Percent 2 14" xfId="1547" xr:uid="{62F55E5E-708C-47B5-9589-3A55B2770312}"/>
    <cellStyle name="Percent 2 15" xfId="1548" xr:uid="{3F546A73-E8E8-4422-965D-9F08280012D6}"/>
    <cellStyle name="Percent 2 16" xfId="1549" xr:uid="{F57BF028-9B4C-4725-81D4-A06546773137}"/>
    <cellStyle name="Percent 2 17" xfId="1550" xr:uid="{1AC19CFA-F40E-4DEE-98D1-0F3DEDA794C6}"/>
    <cellStyle name="Percent 2 18" xfId="1551" xr:uid="{DFBA1943-7C79-4278-8C28-16C8D6B2AF1B}"/>
    <cellStyle name="Percent 2 19" xfId="1552" xr:uid="{557E2FF9-FB6F-42BE-AB6E-4DB326C2C641}"/>
    <cellStyle name="Percent 2 2" xfId="1553" xr:uid="{054179FB-2C69-4819-BD04-6252644A3871}"/>
    <cellStyle name="Percent 2 2 2" xfId="1554" xr:uid="{B272C7E0-3BEC-4A9F-90D1-2AC5D32B632E}"/>
    <cellStyle name="Percent 2 2 3" xfId="1555" xr:uid="{A2BDF2E3-89DB-4C4E-AC41-E82A3AD1403C}"/>
    <cellStyle name="Percent 2 2 3 2" xfId="1556" xr:uid="{321F8379-3CE7-47F2-98BB-3F077DDFD5AE}"/>
    <cellStyle name="Percent 2 2 4" xfId="1557" xr:uid="{DADEBDD1-402E-45E8-87E2-84B80B06BA17}"/>
    <cellStyle name="Percent 2 2 5" xfId="1558" xr:uid="{0AB9BCF3-860F-439D-9891-43937534529C}"/>
    <cellStyle name="Percent 2 2 6" xfId="1559" xr:uid="{3B474DAA-A2BE-4EBB-9F82-19B0934D8166}"/>
    <cellStyle name="Percent 2 2 7" xfId="1560" xr:uid="{E9B534E7-7D2E-4DAB-8F23-C947AC4EB819}"/>
    <cellStyle name="Percent 2 2 8" xfId="1561" xr:uid="{9CB3F52E-3C2F-42AA-B4E6-24112D5E18F3}"/>
    <cellStyle name="Percent 2 2 9" xfId="1562" xr:uid="{0EDCB720-FBD0-4E37-96C0-4A03DFEA8008}"/>
    <cellStyle name="Percent 2 3" xfId="1563" xr:uid="{62271D2E-4684-4741-98B7-C9C1DF7ADBC4}"/>
    <cellStyle name="Percent 2 3 2" xfId="1564" xr:uid="{45344E31-023E-4BDE-935C-CA57C99F01A9}"/>
    <cellStyle name="Percent 2 3 3" xfId="1565" xr:uid="{F9B83CD5-7E81-4C29-95AB-4DA8F925A2C1}"/>
    <cellStyle name="Percent 2 3 3 2" xfId="1566" xr:uid="{1DBF6DB5-E83A-469F-A2D5-0BA0DE2696A0}"/>
    <cellStyle name="Percent 2 3 3 3" xfId="1567" xr:uid="{7A691857-2CEC-43AA-9EBA-133570A2DCCC}"/>
    <cellStyle name="Percent 2 3 4" xfId="1568" xr:uid="{D3DADBCD-F380-452D-BF2A-8C0F0609BB4E}"/>
    <cellStyle name="Percent 2 3 5" xfId="1569" xr:uid="{E3B0DE73-F111-47F2-B308-42E11A6BCB72}"/>
    <cellStyle name="Percent 2 3 6" xfId="1570" xr:uid="{FF4BC449-146D-47A9-94A8-148AD631B594}"/>
    <cellStyle name="Percent 2 3 7" xfId="1571" xr:uid="{E3F981C4-AF13-42A3-B593-EEB5F528F5F4}"/>
    <cellStyle name="Percent 2 3 8" xfId="1572" xr:uid="{78577111-3D84-4D0D-B5DF-6481AD11CAE1}"/>
    <cellStyle name="Percent 2 4" xfId="1573" xr:uid="{030D84BA-7D78-4491-B56D-E683F92129EA}"/>
    <cellStyle name="Percent 2 4 2" xfId="1574" xr:uid="{FAF73D06-56E5-4ECB-9F66-7775A2CDA393}"/>
    <cellStyle name="Percent 2 4 3" xfId="1575" xr:uid="{92F6423D-B8E6-4EBD-A5A3-58DA764508A9}"/>
    <cellStyle name="Percent 2 4 4" xfId="1576" xr:uid="{E0E0F29E-A2F6-4E9A-8872-112F7CE3DF34}"/>
    <cellStyle name="Percent 2 4 5" xfId="1577" xr:uid="{96892864-D840-4C3C-868E-2D3BDFB0427E}"/>
    <cellStyle name="Percent 2 4 6" xfId="1578" xr:uid="{E214CC56-9D54-4BF3-B36C-991B6BD9E465}"/>
    <cellStyle name="Percent 2 4 7" xfId="1579" xr:uid="{B6966B82-B05E-4E19-85A5-BC713C76E8EB}"/>
    <cellStyle name="Percent 2 4 8" xfId="1580" xr:uid="{931325FA-6BB4-4BB7-955B-0C38A5AE1909}"/>
    <cellStyle name="Percent 2 5" xfId="1581" xr:uid="{920D2358-80FB-4865-8B53-AB7A2C9BF546}"/>
    <cellStyle name="Percent 2 5 2" xfId="1582" xr:uid="{8C19D772-E85C-4531-9824-A578AAA8AE00}"/>
    <cellStyle name="Percent 2 5 3" xfId="1583" xr:uid="{88CC28E4-31B0-4DE5-8166-35880C6288ED}"/>
    <cellStyle name="Percent 2 5 4" xfId="1584" xr:uid="{EE45F8A4-6BCB-4FAC-844D-E758D8375550}"/>
    <cellStyle name="Percent 2 5 5" xfId="1585" xr:uid="{66793892-B963-4AD1-A459-7EA5A754BCC5}"/>
    <cellStyle name="Percent 2 5 6" xfId="1586" xr:uid="{7B921D84-0F92-4C92-8A6F-6656DEEFA150}"/>
    <cellStyle name="Percent 2 5 7" xfId="1587" xr:uid="{5CB3394A-A6FD-4464-9DA2-193C4F650264}"/>
    <cellStyle name="Percent 2 5 8" xfId="1588" xr:uid="{DD2D00CF-BEC7-449A-A110-FA443AE2C9D0}"/>
    <cellStyle name="Percent 2 6" xfId="1589" xr:uid="{8466D357-98C6-46F5-AA5C-76DA28E7E453}"/>
    <cellStyle name="Percent 2 6 2" xfId="1590" xr:uid="{280125DC-39BD-45C5-960D-1CE15DBDA33D}"/>
    <cellStyle name="Percent 2 6 3" xfId="1591" xr:uid="{16160171-6963-4059-A729-687CC741E9C4}"/>
    <cellStyle name="Percent 2 6 4" xfId="1592" xr:uid="{5FB61E2D-D287-4B41-8AED-74B1760904A0}"/>
    <cellStyle name="Percent 2 6 5" xfId="1593" xr:uid="{E3D8ACC0-7256-4963-8B28-55656EF3CC9E}"/>
    <cellStyle name="Percent 2 6 6" xfId="1594" xr:uid="{C171E0A5-D8C7-4F1F-9C33-93E9CFAAA74A}"/>
    <cellStyle name="Percent 2 6 7" xfId="1595" xr:uid="{FEAC1101-06CF-4460-B1AF-693E3564CEF9}"/>
    <cellStyle name="Percent 2 6 8" xfId="1596" xr:uid="{1B812FBC-A8D6-44C1-B4B2-89A1B674074C}"/>
    <cellStyle name="Percent 2 7" xfId="1597" xr:uid="{A56D24C7-E501-4E68-ADD9-404763CD9AB2}"/>
    <cellStyle name="Percent 2 7 2" xfId="1598" xr:uid="{C4CDE8B3-CAE5-4EFE-AE70-EB4EF120E7F6}"/>
    <cellStyle name="Percent 2 7 3" xfId="1599" xr:uid="{8190276F-3660-4450-8DBB-F7EACB47640A}"/>
    <cellStyle name="Percent 2 7 4" xfId="1600" xr:uid="{22765715-5E65-47DB-A27E-011AEB4458F1}"/>
    <cellStyle name="Percent 2 7 5" xfId="1601" xr:uid="{469B9FAC-32B2-495E-92EA-25C5AFA5E312}"/>
    <cellStyle name="Percent 2 7 6" xfId="1602" xr:uid="{950238C8-94D5-425F-B318-D784EDBF495B}"/>
    <cellStyle name="Percent 2 7 7" xfId="1603" xr:uid="{1936E9E1-9BA6-436A-8CC0-685DABAE2011}"/>
    <cellStyle name="Percent 2 7 8" xfId="1604" xr:uid="{3053B664-4A0D-4919-8047-E8F9A3B49591}"/>
    <cellStyle name="Percent 2 8" xfId="1605" xr:uid="{B32FCC23-BA24-474D-A2CF-679DB2AB2E1D}"/>
    <cellStyle name="Percent 2 8 2" xfId="1606" xr:uid="{D5B94FC0-5E94-4F95-A702-75813028E1E1}"/>
    <cellStyle name="Percent 2 8 3" xfId="1607" xr:uid="{0A27FA70-FC2F-4114-AED0-776C8D13FA3A}"/>
    <cellStyle name="Percent 2 8 4" xfId="1608" xr:uid="{DCAB5627-D657-4133-9B23-00063A65CF7F}"/>
    <cellStyle name="Percent 2 8 5" xfId="1609" xr:uid="{B9728312-5344-43BB-A12A-B42B1FCBCAC1}"/>
    <cellStyle name="Percent 2 8 6" xfId="1610" xr:uid="{7DDE82C1-3361-4D4F-8980-2BC226E8342D}"/>
    <cellStyle name="Percent 2 8 7" xfId="1611" xr:uid="{85319E0B-FE46-412D-B252-EEDDB1A6ECCC}"/>
    <cellStyle name="Percent 2 8 8" xfId="1612" xr:uid="{0E9182A7-D6DD-4935-8A42-2BEE131BCEB2}"/>
    <cellStyle name="Percent 2 9" xfId="1613" xr:uid="{890180DC-C108-4E92-9B03-0676B24A987C}"/>
    <cellStyle name="Percent 2 9 2" xfId="1614" xr:uid="{AE288C1E-9ABF-4511-A2FA-096ACE0F9C89}"/>
    <cellStyle name="Percent 2 9 3" xfId="1615" xr:uid="{83F1E2BF-A64E-482D-8462-E9F333477CFB}"/>
    <cellStyle name="Percent 2 9 4" xfId="1616" xr:uid="{14CD2A06-B15A-41C4-985F-3EFE7EAD44D0}"/>
    <cellStyle name="Percent 2 9 5" xfId="1617" xr:uid="{5C68746C-C8D6-4A42-8DE5-F2686A6EB3ED}"/>
    <cellStyle name="Percent 2 9 6" xfId="1618" xr:uid="{FD2FA0C5-9F44-4883-A34B-F6F8A7F8FDE0}"/>
    <cellStyle name="Percent 2 9 7" xfId="1619" xr:uid="{0740856A-E9CC-4D21-8CF9-FCB3CE62C3A4}"/>
    <cellStyle name="Percent 2 9 8" xfId="1620" xr:uid="{CC8D6439-9FA1-4160-A585-66A07F69B139}"/>
    <cellStyle name="Percent 3" xfId="1621" xr:uid="{A39A63CE-8BA2-48BF-A2F3-1A9F40D40018}"/>
    <cellStyle name="Percent 3 2" xfId="1622" xr:uid="{931E9E42-DA34-499C-A53C-F3365A8A81EF}"/>
    <cellStyle name="Percent 3 2 2" xfId="1623" xr:uid="{43C8ED98-9901-4E8C-ABCD-6159E590AB5E}"/>
    <cellStyle name="Percent 3 2 2 2" xfId="1624" xr:uid="{25EB6E18-9990-45D3-A395-059FB1273DDF}"/>
    <cellStyle name="Percent 3 2 3" xfId="1625" xr:uid="{F20472A7-18DE-4598-9CA9-F5684F93B299}"/>
    <cellStyle name="Percent 3 2 4" xfId="1626" xr:uid="{BCD91CD3-9E95-4B25-9D1D-9CD3C98EC8D2}"/>
    <cellStyle name="Percent 3 3" xfId="1627" xr:uid="{9D4A5A2F-723E-459E-92CA-652A9D3C7D8E}"/>
    <cellStyle name="Percent 3 3 2" xfId="1628" xr:uid="{21637676-0A01-4296-8E44-90F9602032DB}"/>
    <cellStyle name="Percent 3 3 3" xfId="1629" xr:uid="{51D70368-D5A8-4C7D-9C2E-30A9B3CF3F26}"/>
    <cellStyle name="Percent 3 3 3 2" xfId="1630" xr:uid="{4810E670-0782-41CA-B3D6-FFEBEC3E705C}"/>
    <cellStyle name="Percent 3 3 3 3" xfId="1631" xr:uid="{6765EEDD-130A-44A3-949E-83CE61DD1587}"/>
    <cellStyle name="Percent 3 3 4" xfId="1632" xr:uid="{60BBAA4A-91A6-488F-AB6C-BD54A7E715B7}"/>
    <cellStyle name="Percent 3 4" xfId="1633" xr:uid="{7B1CB0BA-33BD-458F-91EA-526EC0E67BB4}"/>
    <cellStyle name="Percent 3 4 2" xfId="1634" xr:uid="{394F9FC8-8F8E-4583-B180-3044A5EC6D32}"/>
    <cellStyle name="Percent 3 5" xfId="1635" xr:uid="{FEC06B97-23AC-4EC2-8628-85A8B5A801AA}"/>
    <cellStyle name="Percent 3 6" xfId="1636" xr:uid="{14DE4751-03E5-4B10-9370-02FABF12AFE9}"/>
    <cellStyle name="Percent 3 7" xfId="1637" xr:uid="{8285F9B1-04D7-4E4C-A53A-F9130E1D922F}"/>
    <cellStyle name="Percent 3 8" xfId="1638" xr:uid="{4A2BEE3B-3E57-475A-ADDB-D44D960E32FF}"/>
    <cellStyle name="Percent 4" xfId="1639" xr:uid="{7D6FFC42-2FB9-4855-A989-EEFC92E64136}"/>
    <cellStyle name="Percent 4 10" xfId="1640" xr:uid="{B6FAE8AE-019E-4634-8A55-E226F70EEDD1}"/>
    <cellStyle name="Percent 4 11" xfId="1641" xr:uid="{7B4A7EDC-2002-4608-95B8-8429D4DF9C8A}"/>
    <cellStyle name="Percent 4 12" xfId="1642" xr:uid="{E92093D5-D1E9-4729-9107-D88960C4B945}"/>
    <cellStyle name="Percent 4 13" xfId="1643" xr:uid="{FAA147CA-7880-45AD-A929-4CD168D0D89B}"/>
    <cellStyle name="Percent 4 14" xfId="1644" xr:uid="{55F1C821-7B86-49B8-B72C-DB6E267EB151}"/>
    <cellStyle name="Percent 4 15" xfId="1645" xr:uid="{A2869C2C-8054-4B60-891B-7F8050CCFA7F}"/>
    <cellStyle name="Percent 4 16" xfId="1646" xr:uid="{3EF19712-1417-46FD-9F87-25A396031AF9}"/>
    <cellStyle name="Percent 4 16 2" xfId="1647" xr:uid="{80724A8D-CA77-4492-BF67-A0782800CB7C}"/>
    <cellStyle name="Percent 4 16 3" xfId="1648" xr:uid="{F3CA30E9-3320-48D9-8F3A-9FFDAD252BF8}"/>
    <cellStyle name="Percent 4 17" xfId="1649" xr:uid="{7A0F07C8-20A8-45D5-889E-6646C2288609}"/>
    <cellStyle name="Percent 4 18" xfId="1650" xr:uid="{5842BAA4-B7B2-4071-BA5A-D3F55E64E431}"/>
    <cellStyle name="Percent 4 2" xfId="1651" xr:uid="{7CBE781A-F643-4D79-BA1F-6BF7F46239E7}"/>
    <cellStyle name="Percent 4 2 2" xfId="1652" xr:uid="{66CD1544-FCF1-4ECB-9F1C-ECF488930DF6}"/>
    <cellStyle name="Percent 4 2 3" xfId="1653" xr:uid="{81AD0F9E-E8CA-4277-93FA-62D965494C5C}"/>
    <cellStyle name="Percent 4 2 4" xfId="1654" xr:uid="{FE42417B-ABE0-4F72-A94B-A81DEB3C7B56}"/>
    <cellStyle name="Percent 4 2 5" xfId="1655" xr:uid="{8FAB9163-14F0-4E4A-90ED-5FCDBE2C240A}"/>
    <cellStyle name="Percent 4 2 6" xfId="1656" xr:uid="{452A11F6-AF67-4900-8053-F04E43401068}"/>
    <cellStyle name="Percent 4 2 7" xfId="1657" xr:uid="{B8DA7D80-D732-47D5-B97F-BD67D475CD47}"/>
    <cellStyle name="Percent 4 2 8" xfId="1658" xr:uid="{152283CA-5691-4E78-B067-AE4A94A17FE1}"/>
    <cellStyle name="Percent 4 2 9" xfId="1659" xr:uid="{B7FFCE5B-9323-490F-9C5A-27F65C949BF2}"/>
    <cellStyle name="Percent 4 3" xfId="1660" xr:uid="{5EE9072D-87F2-499A-AAEF-D980772D0D62}"/>
    <cellStyle name="Percent 4 3 2" xfId="1661" xr:uid="{A7EA3267-B31C-445C-9B7C-450DE4CC8C88}"/>
    <cellStyle name="Percent 4 3 3" xfId="1662" xr:uid="{11054602-63CB-4AF8-AD64-3D121FB9B570}"/>
    <cellStyle name="Percent 4 3 4" xfId="1663" xr:uid="{7AACD413-2B5A-4730-AC2B-61CB0E8F7B8E}"/>
    <cellStyle name="Percent 4 3 5" xfId="1664" xr:uid="{FD922D54-D477-430B-B128-76BFD27239E0}"/>
    <cellStyle name="Percent 4 3 6" xfId="1665" xr:uid="{635674A0-BE24-4AC5-9D8C-5FAB2A0282C3}"/>
    <cellStyle name="Percent 4 3 7" xfId="1666" xr:uid="{A96FA2E5-467F-4529-8E90-8CBA33B8A481}"/>
    <cellStyle name="Percent 4 3 8" xfId="1667" xr:uid="{761DA229-9DED-4C4A-83AC-EE40788E5D4E}"/>
    <cellStyle name="Percent 4 4" xfId="1668" xr:uid="{0E281C6A-01C1-4493-B09F-9DB9DC0DA05B}"/>
    <cellStyle name="Percent 4 4 2" xfId="1669" xr:uid="{547A4716-2169-480F-8AC0-6B22DE52369D}"/>
    <cellStyle name="Percent 4 4 3" xfId="1670" xr:uid="{0C2FC411-92AB-4BBB-9718-48849EABADE6}"/>
    <cellStyle name="Percent 4 4 4" xfId="1671" xr:uid="{E2B070BB-776D-4C69-A8E5-F0A6E3F4D7E9}"/>
    <cellStyle name="Percent 4 4 5" xfId="1672" xr:uid="{6E4CB7C5-3399-4774-927A-6D0A11ED500D}"/>
    <cellStyle name="Percent 4 4 6" xfId="1673" xr:uid="{EC278786-9DDD-4CE1-9063-E5CDBF7115F1}"/>
    <cellStyle name="Percent 4 4 7" xfId="1674" xr:uid="{392C828F-8A2D-42EA-85C7-46D2B7FFB258}"/>
    <cellStyle name="Percent 4 4 8" xfId="1675" xr:uid="{6F27FD15-99E7-45BB-8C96-BEE052F216B8}"/>
    <cellStyle name="Percent 4 5" xfId="1676" xr:uid="{9408E142-1BD5-461A-8B50-DFE877B50F36}"/>
    <cellStyle name="Percent 4 5 2" xfId="1677" xr:uid="{BD6AACFE-1917-4961-85DF-697AB92635EC}"/>
    <cellStyle name="Percent 4 5 3" xfId="1678" xr:uid="{703A185A-DE13-45F1-958A-5DFAF7784832}"/>
    <cellStyle name="Percent 4 5 4" xfId="1679" xr:uid="{E5DDC3B2-F630-4C1D-9011-203E83B9B3BD}"/>
    <cellStyle name="Percent 4 5 5" xfId="1680" xr:uid="{7F69305D-3741-43EA-B27C-C29C4179A4F8}"/>
    <cellStyle name="Percent 4 5 6" xfId="1681" xr:uid="{C3A09FBB-4BD2-4885-94DB-2DB2FA8C67C9}"/>
    <cellStyle name="Percent 4 5 7" xfId="1682" xr:uid="{6B056BB6-13E8-482E-AB86-D8B824E71EFE}"/>
    <cellStyle name="Percent 4 5 8" xfId="1683" xr:uid="{D4A52DD7-E580-416D-869C-8FB23D27013C}"/>
    <cellStyle name="Percent 4 6" xfId="1684" xr:uid="{C033642B-DBC1-4A55-9D53-EFA5E24A0B39}"/>
    <cellStyle name="Percent 4 6 2" xfId="1685" xr:uid="{12895E48-B524-465D-A97C-A274016A0E17}"/>
    <cellStyle name="Percent 4 6 3" xfId="1686" xr:uid="{4FB35B6B-00E8-4485-BE48-4AE112501E5C}"/>
    <cellStyle name="Percent 4 6 4" xfId="1687" xr:uid="{1833CF78-AC63-4E3E-A94E-754052E865F7}"/>
    <cellStyle name="Percent 4 6 5" xfId="1688" xr:uid="{6A5AE40D-CE35-4E19-A9B9-F0497C5E0BBF}"/>
    <cellStyle name="Percent 4 6 6" xfId="1689" xr:uid="{963FEE5D-215C-4976-8C35-C8FB443074EA}"/>
    <cellStyle name="Percent 4 6 7" xfId="1690" xr:uid="{30714E5E-84E1-49EE-912D-12D22E3CB420}"/>
    <cellStyle name="Percent 4 6 8" xfId="1691" xr:uid="{E4381F87-77A2-4BDC-951D-5E24E44B2A63}"/>
    <cellStyle name="Percent 4 7" xfId="1692" xr:uid="{155E1729-597B-40DD-B980-8F73349F4640}"/>
    <cellStyle name="Percent 4 8" xfId="1693" xr:uid="{F342C39A-5326-4327-B2A1-94282CF190C7}"/>
    <cellStyle name="Percent 4 9" xfId="1694" xr:uid="{4154F24C-48F6-4958-B54C-3EB811C84233}"/>
    <cellStyle name="Percent 5" xfId="1695" xr:uid="{016FDA54-503D-4BD4-B644-1C3EAF87B3CB}"/>
    <cellStyle name="Percent 5 10" xfId="1696" xr:uid="{ACD2A84A-67F8-4036-BA28-C7079E37D301}"/>
    <cellStyle name="Percent 5 11" xfId="1697" xr:uid="{AA3B6BA2-C771-4B30-8689-D264EBE5DD25}"/>
    <cellStyle name="Percent 5 12" xfId="1698" xr:uid="{F736E50F-BEA3-4073-8F8F-F43E0F9FE43E}"/>
    <cellStyle name="Percent 5 2" xfId="1699" xr:uid="{334EBACE-2767-4B1C-9559-67F73CDD3FC0}"/>
    <cellStyle name="Percent 5 3" xfId="1700" xr:uid="{4DA86543-2B85-4DF1-848A-CDAFE7E3CA0B}"/>
    <cellStyle name="Percent 5 4" xfId="1701" xr:uid="{FABD249B-D84A-4E4D-8390-98810999723F}"/>
    <cellStyle name="Percent 5 5" xfId="1702" xr:uid="{CCBF5B7D-D66F-49FF-B735-861AEFD49FEF}"/>
    <cellStyle name="Percent 5 6" xfId="1703" xr:uid="{F07BBA04-30BE-4221-BC25-5D675DE4BE31}"/>
    <cellStyle name="Percent 5 7" xfId="1704" xr:uid="{8EF7467D-6F58-4732-9B07-119A77275550}"/>
    <cellStyle name="Percent 5 8" xfId="1705" xr:uid="{350D3C3D-6C43-4F40-9023-F6549D86F752}"/>
    <cellStyle name="Percent 5 9" xfId="1706" xr:uid="{3C98159B-4C20-4BD4-B41F-8EACC03B2EF4}"/>
    <cellStyle name="Percent 5 9 2" xfId="1707" xr:uid="{A74CD391-E707-4752-BBC7-F2A710E05FEC}"/>
    <cellStyle name="Percent 5 9 2 2" xfId="1708" xr:uid="{A39620AB-DC23-4FDC-AC75-EA96AB1DB759}"/>
    <cellStyle name="Percent 6" xfId="1709" xr:uid="{A0354061-E176-4999-B87E-68095A322DC5}"/>
    <cellStyle name="Percent 6 2" xfId="1710" xr:uid="{E2662289-0505-4644-BBA8-384B109F0195}"/>
    <cellStyle name="Percent 6 3" xfId="1711" xr:uid="{9D300275-C56E-4283-96C2-A8FF017823EE}"/>
    <cellStyle name="Percent 6 4" xfId="1712" xr:uid="{1296B88A-B2F1-427A-AC72-98B17D33E0D5}"/>
    <cellStyle name="Percent 6 5" xfId="1713" xr:uid="{6291B37A-D35E-41CD-B0DD-C84B28B66A41}"/>
    <cellStyle name="Percent 6 6" xfId="1714" xr:uid="{A5555228-AA39-4C53-A0E2-662ED49478C7}"/>
    <cellStyle name="Percent 6 7" xfId="1715" xr:uid="{F3397CED-2A14-4A43-AA32-757F1397FE28}"/>
    <cellStyle name="Percent 6 8" xfId="1716" xr:uid="{52ABD741-5B6E-4809-ACBB-9CA0276FC336}"/>
    <cellStyle name="Percent 6 9" xfId="1717" xr:uid="{A101E6DC-777C-478A-913B-B3458239D63B}"/>
    <cellStyle name="Percent 7" xfId="1718" xr:uid="{FE79A6C3-9F2F-4DCD-A899-A2D4FE58DF78}"/>
    <cellStyle name="Percent 7 2" xfId="1719" xr:uid="{858F9D45-B898-4AB8-A25C-303FBEAD7888}"/>
    <cellStyle name="Percent 7 3" xfId="1720" xr:uid="{6B8BC664-3942-4019-A43F-1F608366F0B4}"/>
    <cellStyle name="Percent 7 4" xfId="1721" xr:uid="{56906566-276B-4E6D-BEE5-91426A3C896F}"/>
    <cellStyle name="Percent 7 5" xfId="1722" xr:uid="{DD01CF4A-AEE0-400B-85A8-3881E4F1C469}"/>
    <cellStyle name="Percent 7 6" xfId="1723" xr:uid="{0F9B79D6-9820-473F-A6DC-049871546323}"/>
    <cellStyle name="Percent 7 7" xfId="1724" xr:uid="{DC07D262-8298-46F2-95C9-3C0D2C21E903}"/>
    <cellStyle name="Percent 7 8" xfId="1725" xr:uid="{C2C1BF84-2597-46B5-B406-7402712BD734}"/>
    <cellStyle name="Percent 8" xfId="1726" xr:uid="{6A936F25-800D-4020-8BC0-9F63CD520FD5}"/>
    <cellStyle name="Percent 8 2" xfId="1727" xr:uid="{F82895F1-8641-4192-844C-36639A10DF56}"/>
    <cellStyle name="Percent 8 3" xfId="1728" xr:uid="{506EAA57-01B0-48F4-A870-F6B9E1E1BB73}"/>
    <cellStyle name="Percent 8 4" xfId="1729" xr:uid="{6FCA76B9-4B7D-4856-9C07-075284EFAC4A}"/>
    <cellStyle name="Percent 8 5" xfId="1730" xr:uid="{D0D1EA37-58A7-4A6C-A2A9-92F42DF61AB1}"/>
    <cellStyle name="Percent 8 6" xfId="1731" xr:uid="{1D616BFA-9E4C-4E4F-B2ED-C02DBA57A3B5}"/>
    <cellStyle name="Percent 8 7" xfId="1732" xr:uid="{1F1D3F5E-AD24-4C9E-92AD-C8BE62B7339E}"/>
    <cellStyle name="Percent 8 8" xfId="1733" xr:uid="{CEF05300-D6F8-4FD3-88E2-CDA8BE49B1B6}"/>
    <cellStyle name="Percent 9" xfId="1734" xr:uid="{344E2CCC-B357-4991-848D-306F190991EF}"/>
    <cellStyle name="Percent 9 2" xfId="1735" xr:uid="{3B68C4E9-B727-4D0A-863A-1C66BA55C7F4}"/>
    <cellStyle name="Percent 9 3" xfId="1736" xr:uid="{EF82289E-8C49-4C88-B964-6242BE5DD651}"/>
    <cellStyle name="Percent 9 4" xfId="1737" xr:uid="{D6BE94B8-A97C-4960-9B2C-FB574C5E4D09}"/>
    <cellStyle name="Percent 9 5" xfId="1738" xr:uid="{B4AAC6E5-3DE6-4E12-94AF-C9BA052C50D6}"/>
    <cellStyle name="Percent 9 6" xfId="1739" xr:uid="{BF8ACCA7-ED5A-48DE-A8AE-EB06869274D4}"/>
    <cellStyle name="Percent 9 7" xfId="1740" xr:uid="{EF50EE45-9CAA-48A6-80F3-E589E272E2FD}"/>
    <cellStyle name="Percent 9 8" xfId="1741" xr:uid="{C294A488-59C3-4BB0-94B6-C45373A80CDE}"/>
    <cellStyle name="Pilkku_Layo9704" xfId="1742" xr:uid="{12FB953E-DA3B-48C7-8953-4B03858DD0F5}"/>
    <cellStyle name="Pyör. luku_Layo9704" xfId="1743" xr:uid="{60E6129C-846C-41F9-B504-4B717CAF58D3}"/>
    <cellStyle name="Pyör. valuutta_Layo9704" xfId="1744" xr:uid="{4B557C57-2E7F-4E38-B15B-43549A026B50}"/>
    <cellStyle name="Standard_Sce_D_Extraction" xfId="1745" xr:uid="{6E8DA857-792F-46AA-B839-77262B0276C4}"/>
    <cellStyle name="Style 21" xfId="1746" xr:uid="{F2CC4323-F0ED-4B81-9A73-87F437F9C083}"/>
    <cellStyle name="Style 21 2" xfId="1747" xr:uid="{C9C4321C-1123-4D4C-A785-26D9A0988460}"/>
    <cellStyle name="Style 21 2 2" xfId="1748" xr:uid="{0B3A1109-156E-448D-A137-F9925AE639C6}"/>
    <cellStyle name="Style 21 3" xfId="1749" xr:uid="{D830C18B-5A3A-4AAC-8242-7892B313CC3E}"/>
    <cellStyle name="Style 22" xfId="1750" xr:uid="{267A3A1A-C541-4F05-AC1D-85A0ED15C2FB}"/>
    <cellStyle name="Style 23" xfId="1751" xr:uid="{25DAC133-7812-40FB-963C-00FF95967798}"/>
    <cellStyle name="Style 24" xfId="1752" xr:uid="{33D8F683-CC7F-4258-A9C8-A40D09D14673}"/>
    <cellStyle name="Style 25" xfId="1753" xr:uid="{7F4E1358-A9C3-4FD3-B711-5F11695B99A5}"/>
    <cellStyle name="Style 25 2" xfId="1754" xr:uid="{4637A634-67CA-45ED-B52D-E7CE2FD14090}"/>
    <cellStyle name="Style 25 2 2" xfId="1755" xr:uid="{2457221F-3501-4BD4-9589-E3406E97C252}"/>
    <cellStyle name="Style 25 3" xfId="1756" xr:uid="{49247F1E-4613-4374-8359-7EBB99BA1BFF}"/>
    <cellStyle name="Style 26" xfId="1757" xr:uid="{5F259E4C-D609-4E57-9286-6C7ACA53589B}"/>
    <cellStyle name="Title 2" xfId="1758" xr:uid="{5689445C-E2D4-47E3-A29B-59D295D487AC}"/>
    <cellStyle name="Title 2 10" xfId="1759" xr:uid="{C4E486A4-96AA-4710-A9D5-6945700A0995}"/>
    <cellStyle name="Title 2 2" xfId="1760" xr:uid="{7D20767D-D049-47CA-8907-F31D9B89639F}"/>
    <cellStyle name="Title 2 3" xfId="1761" xr:uid="{49492225-6F24-4D81-91CE-711383677166}"/>
    <cellStyle name="Title 2 4" xfId="1762" xr:uid="{E7BD7351-B95B-4CE8-A432-07B7A337393D}"/>
    <cellStyle name="Title 2 5" xfId="1763" xr:uid="{4283816A-5FE8-40D7-9F35-B400BBDE9332}"/>
    <cellStyle name="Title 2 6" xfId="1764" xr:uid="{35C66A46-57C5-45B1-B414-FD29948A4BE9}"/>
    <cellStyle name="Title 2 7" xfId="1765" xr:uid="{7708D676-FD51-485A-B29A-3B4DE09B0FB4}"/>
    <cellStyle name="Title 2 8" xfId="1766" xr:uid="{AB77B39B-307A-41A3-96EB-0EA2F46AE78A}"/>
    <cellStyle name="Title 2 9" xfId="1767" xr:uid="{DF78AFAC-884D-4942-BE2C-7764A6989A8C}"/>
    <cellStyle name="Title 3" xfId="1768" xr:uid="{40CD6B4D-8579-4832-9584-F24AC4F554F6}"/>
    <cellStyle name="Total 2" xfId="1769" xr:uid="{B3B69B2F-C3DA-4A07-AAD5-FC0F4B8A5139}"/>
    <cellStyle name="Total 2 10" xfId="1770" xr:uid="{3A00702D-4894-4760-B744-BCB32DD6C516}"/>
    <cellStyle name="Total 2 2" xfId="1771" xr:uid="{562C23FE-935F-48B7-B1B8-33649D0E23AD}"/>
    <cellStyle name="Total 2 3" xfId="1772" xr:uid="{B33E04BE-3B28-4CC6-B9AA-02BE266FAB5E}"/>
    <cellStyle name="Total 2 4" xfId="1773" xr:uid="{04663EB8-A7FF-4B87-BEF2-3AF0F265910E}"/>
    <cellStyle name="Total 2 5" xfId="1774" xr:uid="{A6C37EC0-9471-466C-829D-BA7985B663FC}"/>
    <cellStyle name="Total 2 6" xfId="1775" xr:uid="{4CE3C85E-BBA9-4FBC-965E-F0E453BD34B6}"/>
    <cellStyle name="Total 2 7" xfId="1776" xr:uid="{D220BBEA-1651-4AD2-8D51-95EA1F90EDF6}"/>
    <cellStyle name="Total 2 8" xfId="1777" xr:uid="{7AE5167F-B810-42B0-83E0-D8835A3620CC}"/>
    <cellStyle name="Total 2 9" xfId="1778" xr:uid="{AB35A4AC-FEA0-4DD9-AA1E-56F18F102031}"/>
    <cellStyle name="Total 3" xfId="1779" xr:uid="{E5DAA716-5CE4-4319-A5A0-CF626D0EFF7D}"/>
    <cellStyle name="Valuutta_Layo9704" xfId="1780" xr:uid="{DF67CD94-1D40-463E-97E2-55FCFF8A8A46}"/>
    <cellStyle name="Warning Text 2" xfId="1781" xr:uid="{419CB944-E706-40E7-A525-7CBB8504DE6B}"/>
    <cellStyle name="Warning Text 2 10" xfId="1782" xr:uid="{92039D83-E34C-457A-A79A-8DFD1CA3B406}"/>
    <cellStyle name="Warning Text 2 2" xfId="1783" xr:uid="{BC699F4B-E8F7-4992-951A-17A207A469D9}"/>
    <cellStyle name="Warning Text 2 3" xfId="1784" xr:uid="{83B95C8F-8A9B-446F-B2BB-0F8288944CC6}"/>
    <cellStyle name="Warning Text 2 4" xfId="1785" xr:uid="{5FB40201-9D06-4AD1-9E21-933036EDE638}"/>
    <cellStyle name="Warning Text 2 5" xfId="1786" xr:uid="{C86F726A-7525-4B71-A8BF-5206A796D6B4}"/>
    <cellStyle name="Warning Text 2 6" xfId="1787" xr:uid="{9CC0C4C3-A7BA-420A-923F-9E2E61566E43}"/>
    <cellStyle name="Warning Text 2 7" xfId="1788" xr:uid="{597ECA3D-BB96-4E8C-A8A3-6A51BEF4A610}"/>
    <cellStyle name="Warning Text 2 8" xfId="1789" xr:uid="{4C3BCADA-C76F-4AA0-B535-AA91FA51E8B8}"/>
    <cellStyle name="Warning Text 2 9" xfId="1790" xr:uid="{753141D6-326A-484C-A689-60A9E9B34983}"/>
    <cellStyle name="Warning Text 3" xfId="1791" xr:uid="{308FD256-1B2A-4B7D-B9D2-5996EA385014}"/>
    <cellStyle name="Обычный_CRF2002 (1)" xfId="1792" xr:uid="{353A3159-DFCE-47DC-BB95-F9DF995AF810}"/>
    <cellStyle name="已访问的超链接" xfId="1793" xr:uid="{B06DA3CC-08CC-40CF-9186-4EE7A410F35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DFE3-E70E-4667-81B2-903C73B99371}">
  <dimension ref="B3:K31"/>
  <sheetViews>
    <sheetView tabSelected="1" workbookViewId="0">
      <selection activeCell="O14" sqref="O14"/>
    </sheetView>
  </sheetViews>
  <sheetFormatPr defaultRowHeight="15"/>
  <cols>
    <col min="7" max="7" width="17.85546875" bestFit="1" customWidth="1"/>
    <col min="8" max="8" width="10.140625" bestFit="1" customWidth="1"/>
    <col min="9" max="9" width="33.85546875" bestFit="1" customWidth="1"/>
  </cols>
  <sheetData>
    <row r="3" spans="2:11">
      <c r="B3" t="s">
        <v>66</v>
      </c>
    </row>
    <row r="4" spans="2:11">
      <c r="B4" s="7">
        <v>2</v>
      </c>
    </row>
    <row r="8" spans="2:11">
      <c r="F8">
        <v>1</v>
      </c>
      <c r="G8" t="s">
        <v>20</v>
      </c>
      <c r="H8" t="s">
        <v>21</v>
      </c>
      <c r="I8" t="s">
        <v>22</v>
      </c>
      <c r="J8" s="9">
        <v>0.04</v>
      </c>
      <c r="K8" t="s">
        <v>23</v>
      </c>
    </row>
    <row r="9" spans="2:11">
      <c r="F9">
        <v>1</v>
      </c>
      <c r="G9" t="s">
        <v>24</v>
      </c>
      <c r="H9" t="s">
        <v>21</v>
      </c>
      <c r="I9" t="s">
        <v>22</v>
      </c>
      <c r="J9" s="9">
        <v>0.04</v>
      </c>
      <c r="K9" t="s">
        <v>23</v>
      </c>
    </row>
    <row r="10" spans="2:11">
      <c r="F10">
        <v>1</v>
      </c>
      <c r="G10" t="s">
        <v>25</v>
      </c>
      <c r="H10" t="s">
        <v>21</v>
      </c>
      <c r="I10" t="s">
        <v>22</v>
      </c>
      <c r="J10" s="9">
        <v>0.04</v>
      </c>
      <c r="K10" t="s">
        <v>23</v>
      </c>
    </row>
    <row r="11" spans="2:11">
      <c r="F11">
        <v>1</v>
      </c>
      <c r="G11" t="s">
        <v>26</v>
      </c>
      <c r="H11" t="s">
        <v>21</v>
      </c>
      <c r="I11" t="s">
        <v>22</v>
      </c>
      <c r="J11" s="9">
        <v>0.04</v>
      </c>
      <c r="K11" t="s">
        <v>23</v>
      </c>
    </row>
    <row r="12" spans="2:11">
      <c r="F12">
        <v>1</v>
      </c>
      <c r="G12" t="s">
        <v>27</v>
      </c>
      <c r="H12" t="s">
        <v>21</v>
      </c>
      <c r="I12" t="s">
        <v>22</v>
      </c>
      <c r="J12" s="9">
        <v>0.04</v>
      </c>
      <c r="K12" t="s">
        <v>23</v>
      </c>
    </row>
    <row r="13" spans="2:11">
      <c r="F13">
        <v>1</v>
      </c>
      <c r="G13" t="s">
        <v>28</v>
      </c>
      <c r="H13" t="s">
        <v>21</v>
      </c>
      <c r="I13" t="s">
        <v>22</v>
      </c>
      <c r="J13" s="9">
        <v>0.04</v>
      </c>
      <c r="K13" t="s">
        <v>23</v>
      </c>
    </row>
    <row r="14" spans="2:11">
      <c r="F14">
        <v>2</v>
      </c>
      <c r="G14" t="s">
        <v>20</v>
      </c>
      <c r="H14" t="s">
        <v>29</v>
      </c>
      <c r="I14" t="s">
        <v>30</v>
      </c>
      <c r="J14" s="10">
        <v>0.15</v>
      </c>
      <c r="K14" t="s">
        <v>23</v>
      </c>
    </row>
    <row r="15" spans="2:11">
      <c r="F15">
        <v>2</v>
      </c>
      <c r="G15" t="s">
        <v>24</v>
      </c>
      <c r="H15" t="s">
        <v>29</v>
      </c>
      <c r="I15" t="s">
        <v>30</v>
      </c>
      <c r="J15" s="10">
        <v>0.15</v>
      </c>
      <c r="K15" t="s">
        <v>23</v>
      </c>
    </row>
    <row r="16" spans="2:11">
      <c r="F16">
        <v>2</v>
      </c>
      <c r="G16" t="s">
        <v>25</v>
      </c>
      <c r="H16" t="s">
        <v>29</v>
      </c>
      <c r="I16" t="s">
        <v>30</v>
      </c>
      <c r="J16" s="10">
        <v>0.15</v>
      </c>
      <c r="K16" t="s">
        <v>23</v>
      </c>
    </row>
    <row r="17" spans="6:11">
      <c r="F17">
        <v>2</v>
      </c>
      <c r="G17" t="s">
        <v>26</v>
      </c>
      <c r="H17" t="s">
        <v>29</v>
      </c>
      <c r="I17" t="s">
        <v>30</v>
      </c>
      <c r="J17" s="10">
        <v>0.15</v>
      </c>
      <c r="K17" t="s">
        <v>23</v>
      </c>
    </row>
    <row r="18" spans="6:11">
      <c r="F18">
        <v>2</v>
      </c>
      <c r="G18" t="s">
        <v>27</v>
      </c>
      <c r="H18" t="s">
        <v>29</v>
      </c>
      <c r="I18" t="s">
        <v>30</v>
      </c>
      <c r="J18" s="10">
        <v>0.15</v>
      </c>
      <c r="K18" t="s">
        <v>23</v>
      </c>
    </row>
    <row r="19" spans="6:11">
      <c r="F19">
        <v>2</v>
      </c>
      <c r="G19" t="s">
        <v>28</v>
      </c>
      <c r="H19" t="s">
        <v>29</v>
      </c>
      <c r="I19" t="s">
        <v>30</v>
      </c>
      <c r="J19" s="10">
        <v>0.15</v>
      </c>
      <c r="K19" t="s">
        <v>23</v>
      </c>
    </row>
    <row r="20" spans="6:11">
      <c r="F20">
        <v>3</v>
      </c>
      <c r="G20" t="s">
        <v>20</v>
      </c>
      <c r="H20" t="s">
        <v>31</v>
      </c>
      <c r="I20" t="s">
        <v>32</v>
      </c>
      <c r="J20" s="9">
        <v>7.4999999999999997E-2</v>
      </c>
      <c r="K20" t="s">
        <v>23</v>
      </c>
    </row>
    <row r="21" spans="6:11">
      <c r="F21">
        <v>3</v>
      </c>
      <c r="G21" t="s">
        <v>24</v>
      </c>
      <c r="H21" t="s">
        <v>31</v>
      </c>
      <c r="I21" t="s">
        <v>32</v>
      </c>
      <c r="J21" s="9">
        <v>7.4999999999999997E-2</v>
      </c>
      <c r="K21" t="s">
        <v>23</v>
      </c>
    </row>
    <row r="22" spans="6:11">
      <c r="F22">
        <v>3</v>
      </c>
      <c r="G22" t="s">
        <v>25</v>
      </c>
      <c r="H22" t="s">
        <v>31</v>
      </c>
      <c r="I22" t="s">
        <v>32</v>
      </c>
      <c r="J22" s="10">
        <v>0.15</v>
      </c>
      <c r="K22" t="s">
        <v>23</v>
      </c>
    </row>
    <row r="23" spans="6:11">
      <c r="F23">
        <v>3</v>
      </c>
      <c r="G23" t="s">
        <v>26</v>
      </c>
      <c r="H23" t="s">
        <v>31</v>
      </c>
      <c r="I23" t="s">
        <v>32</v>
      </c>
      <c r="J23" s="10">
        <v>0.15</v>
      </c>
      <c r="K23" t="s">
        <v>23</v>
      </c>
    </row>
    <row r="24" spans="6:11">
      <c r="F24">
        <v>3</v>
      </c>
      <c r="G24" t="s">
        <v>27</v>
      </c>
      <c r="H24" t="s">
        <v>31</v>
      </c>
      <c r="I24" t="s">
        <v>32</v>
      </c>
      <c r="J24" s="9">
        <v>7.4999999999999997E-2</v>
      </c>
      <c r="K24" t="s">
        <v>23</v>
      </c>
    </row>
    <row r="25" spans="6:11">
      <c r="F25">
        <v>3</v>
      </c>
      <c r="G25" t="s">
        <v>28</v>
      </c>
      <c r="H25" t="s">
        <v>31</v>
      </c>
      <c r="I25" t="s">
        <v>32</v>
      </c>
      <c r="J25" s="9">
        <v>7.4999999999999997E-2</v>
      </c>
      <c r="K25" t="s">
        <v>23</v>
      </c>
    </row>
    <row r="26" spans="6:11">
      <c r="F26">
        <v>4</v>
      </c>
      <c r="G26" t="s">
        <v>20</v>
      </c>
      <c r="H26" t="s">
        <v>33</v>
      </c>
      <c r="I26" t="s">
        <v>30</v>
      </c>
      <c r="J26" s="10">
        <v>0.15</v>
      </c>
      <c r="K26" t="s">
        <v>23</v>
      </c>
    </row>
    <row r="27" spans="6:11">
      <c r="F27">
        <v>4</v>
      </c>
      <c r="G27" t="s">
        <v>24</v>
      </c>
      <c r="H27" t="s">
        <v>33</v>
      </c>
      <c r="I27" t="s">
        <v>30</v>
      </c>
      <c r="J27" s="10">
        <v>0.15</v>
      </c>
      <c r="K27" t="s">
        <v>23</v>
      </c>
    </row>
    <row r="28" spans="6:11">
      <c r="F28">
        <v>4</v>
      </c>
      <c r="G28" t="s">
        <v>25</v>
      </c>
      <c r="H28" t="s">
        <v>33</v>
      </c>
      <c r="I28" t="s">
        <v>30</v>
      </c>
      <c r="J28" s="10">
        <v>0.15</v>
      </c>
      <c r="K28" t="s">
        <v>23</v>
      </c>
    </row>
    <row r="29" spans="6:11">
      <c r="F29">
        <v>4</v>
      </c>
      <c r="G29" t="s">
        <v>26</v>
      </c>
      <c r="H29" t="s">
        <v>33</v>
      </c>
      <c r="I29" t="s">
        <v>30</v>
      </c>
      <c r="J29" s="10">
        <v>0.15</v>
      </c>
      <c r="K29" t="s">
        <v>23</v>
      </c>
    </row>
    <row r="30" spans="6:11">
      <c r="F30">
        <v>4</v>
      </c>
      <c r="G30" t="s">
        <v>27</v>
      </c>
      <c r="H30" t="s">
        <v>33</v>
      </c>
      <c r="I30" t="s">
        <v>30</v>
      </c>
      <c r="J30" s="10">
        <v>0.15</v>
      </c>
      <c r="K30" t="s">
        <v>23</v>
      </c>
    </row>
    <row r="31" spans="6:11">
      <c r="F31">
        <v>4</v>
      </c>
      <c r="G31" t="s">
        <v>28</v>
      </c>
      <c r="H31" t="s">
        <v>33</v>
      </c>
      <c r="I31" t="s">
        <v>30</v>
      </c>
      <c r="J31" s="10">
        <v>0.15</v>
      </c>
      <c r="K3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2"/>
  <sheetViews>
    <sheetView workbookViewId="0">
      <selection activeCell="H29" sqref="H29"/>
    </sheetView>
  </sheetViews>
  <sheetFormatPr defaultRowHeight="15"/>
  <cols>
    <col min="2" max="2" width="29.5703125" bestFit="1" customWidth="1"/>
    <col min="3" max="3" width="8.85546875" bestFit="1" customWidth="1"/>
    <col min="4" max="4" width="16.42578125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18">
      <c r="A1" t="s">
        <v>17</v>
      </c>
    </row>
    <row r="2" spans="1:18">
      <c r="B2" s="1" t="s">
        <v>16</v>
      </c>
      <c r="I2" s="2"/>
      <c r="J2" s="3"/>
      <c r="K2" s="3"/>
      <c r="L2" s="3"/>
      <c r="M2" s="3"/>
      <c r="N2" s="3"/>
      <c r="O2" s="3"/>
      <c r="P2" s="3"/>
    </row>
    <row r="3" spans="1:18" ht="15.75" thickBot="1">
      <c r="B3" s="4" t="s">
        <v>9</v>
      </c>
      <c r="C3" s="4" t="s">
        <v>7</v>
      </c>
      <c r="D3" s="4" t="s">
        <v>6</v>
      </c>
      <c r="E3" s="4" t="s">
        <v>1</v>
      </c>
      <c r="F3" s="4" t="s">
        <v>14</v>
      </c>
      <c r="G3" s="4" t="s">
        <v>15</v>
      </c>
      <c r="H3" s="5" t="s">
        <v>10</v>
      </c>
      <c r="I3" s="6" t="s">
        <v>3</v>
      </c>
      <c r="J3" s="6" t="s">
        <v>2</v>
      </c>
      <c r="K3" s="6" t="s">
        <v>11</v>
      </c>
      <c r="L3" s="6" t="s">
        <v>0</v>
      </c>
      <c r="M3" s="6" t="s">
        <v>5</v>
      </c>
      <c r="N3" s="6" t="s">
        <v>12</v>
      </c>
      <c r="O3" s="6" t="s">
        <v>4</v>
      </c>
      <c r="P3" s="6" t="s">
        <v>13</v>
      </c>
    </row>
    <row r="4" spans="1:18">
      <c r="D4" s="8" t="s">
        <v>18</v>
      </c>
      <c r="H4">
        <f>+VLOOKUP(controller!$B$4,controller!$F$8:$J$31,5,FALSE)</f>
        <v>0.15</v>
      </c>
    </row>
    <row r="7" spans="1:18">
      <c r="B7" s="1" t="s">
        <v>8</v>
      </c>
      <c r="I7" s="2"/>
      <c r="J7" s="3"/>
      <c r="K7" s="3"/>
      <c r="L7" s="3"/>
      <c r="M7" s="3"/>
      <c r="N7" s="3"/>
      <c r="O7" s="3"/>
      <c r="P7" s="3"/>
    </row>
    <row r="8" spans="1:18" ht="15.75" thickBot="1">
      <c r="B8" s="4" t="s">
        <v>9</v>
      </c>
      <c r="C8" s="4" t="s">
        <v>7</v>
      </c>
      <c r="D8" s="4" t="s">
        <v>6</v>
      </c>
      <c r="E8" s="4" t="s">
        <v>1</v>
      </c>
      <c r="F8" s="4" t="s">
        <v>14</v>
      </c>
      <c r="G8" s="4" t="s">
        <v>15</v>
      </c>
      <c r="H8" s="5" t="s">
        <v>10</v>
      </c>
      <c r="I8" s="6" t="s">
        <v>3</v>
      </c>
      <c r="J8" s="6" t="s">
        <v>2</v>
      </c>
      <c r="K8" s="6" t="s">
        <v>11</v>
      </c>
      <c r="L8" s="6" t="s">
        <v>0</v>
      </c>
      <c r="M8" s="6" t="s">
        <v>5</v>
      </c>
      <c r="N8" s="6" t="s">
        <v>12</v>
      </c>
      <c r="O8" s="6" t="s">
        <v>4</v>
      </c>
      <c r="P8" s="6" t="s">
        <v>13</v>
      </c>
    </row>
    <row r="9" spans="1:18">
      <c r="D9" t="s">
        <v>19</v>
      </c>
      <c r="E9">
        <v>2018</v>
      </c>
      <c r="H9" s="9">
        <f>+SUMIFS(controller!$J$8:$J$31,controller!$F$8:$F$31,controller!$B$4,controller!$G$8:$G$31,scens!R9)</f>
        <v>0.15</v>
      </c>
      <c r="I9" t="s">
        <v>40</v>
      </c>
      <c r="J9" t="s">
        <v>35</v>
      </c>
      <c r="R9" t="s">
        <v>24</v>
      </c>
    </row>
    <row r="10" spans="1:18">
      <c r="D10" t="s">
        <v>19</v>
      </c>
      <c r="E10">
        <v>2018</v>
      </c>
      <c r="H10" s="9">
        <f>+SUMIFS(controller!$J$8:$J$31,controller!$F$8:$F$31,controller!$B$4,controller!$G$8:$G$31,scens!R10)</f>
        <v>0.15</v>
      </c>
      <c r="I10" t="s">
        <v>40</v>
      </c>
      <c r="J10" t="s">
        <v>36</v>
      </c>
      <c r="R10" t="s">
        <v>25</v>
      </c>
    </row>
    <row r="11" spans="1:18">
      <c r="D11" t="s">
        <v>19</v>
      </c>
      <c r="E11">
        <v>2018</v>
      </c>
      <c r="H11" s="9">
        <f>+SUMIFS(controller!$J$8:$J$31,controller!$F$8:$F$31,controller!$B$4,controller!$G$8:$G$31,scens!R11)</f>
        <v>0.15</v>
      </c>
      <c r="I11" t="s">
        <v>40</v>
      </c>
      <c r="J11" t="s">
        <v>37</v>
      </c>
      <c r="R11" t="s">
        <v>26</v>
      </c>
    </row>
    <row r="12" spans="1:18">
      <c r="D12" t="s">
        <v>19</v>
      </c>
      <c r="E12">
        <v>2018</v>
      </c>
      <c r="H12" s="9">
        <f>+SUMIFS(controller!$J$8:$J$31,controller!$F$8:$F$31,controller!$B$4,controller!$G$8:$G$31,scens!R12)</f>
        <v>0.15</v>
      </c>
      <c r="I12" t="s">
        <v>40</v>
      </c>
      <c r="J12" t="s">
        <v>39</v>
      </c>
      <c r="M12" t="s">
        <v>34</v>
      </c>
      <c r="R12" t="s">
        <v>27</v>
      </c>
    </row>
    <row r="13" spans="1:18">
      <c r="D13" t="s">
        <v>19</v>
      </c>
      <c r="E13">
        <v>2018</v>
      </c>
      <c r="H13" s="9">
        <f>+SUMIFS(controller!$J$8:$J$31,controller!$F$8:$F$31,controller!$B$4,controller!$G$8:$G$31,scens!R13)</f>
        <v>0.15</v>
      </c>
      <c r="I13" t="s">
        <v>40</v>
      </c>
      <c r="J13" t="s">
        <v>38</v>
      </c>
      <c r="R13" t="s">
        <v>28</v>
      </c>
    </row>
    <row r="17" spans="2:14">
      <c r="B17" s="13" t="s">
        <v>41</v>
      </c>
    </row>
    <row r="18" spans="2:14">
      <c r="B18" s="13" t="s">
        <v>42</v>
      </c>
    </row>
    <row r="19" spans="2:14">
      <c r="H19" t="str">
        <f>IF(controller!B4&lt;3,"~UC_T","")</f>
        <v>~UC_T</v>
      </c>
    </row>
    <row r="20" spans="2:14">
      <c r="B20" s="14" t="s">
        <v>43</v>
      </c>
      <c r="C20" s="15" t="s">
        <v>4</v>
      </c>
      <c r="D20" s="15" t="s">
        <v>12</v>
      </c>
      <c r="E20" s="15" t="s">
        <v>2</v>
      </c>
      <c r="F20" s="15" t="s">
        <v>1</v>
      </c>
      <c r="G20" s="15" t="s">
        <v>44</v>
      </c>
      <c r="H20" s="15" t="s">
        <v>7</v>
      </c>
      <c r="I20" s="16" t="s">
        <v>45</v>
      </c>
      <c r="J20" s="16" t="s">
        <v>46</v>
      </c>
      <c r="K20" s="12" t="s">
        <v>47</v>
      </c>
      <c r="L20" s="14" t="s">
        <v>48</v>
      </c>
    </row>
    <row r="21" spans="2:14">
      <c r="B21" s="11" t="s">
        <v>49</v>
      </c>
      <c r="C21" s="11"/>
      <c r="D21" s="11"/>
      <c r="E21" s="11"/>
      <c r="F21" s="11"/>
      <c r="G21" s="11"/>
      <c r="H21" s="11"/>
      <c r="I21" s="11"/>
      <c r="J21" s="11"/>
      <c r="K21" s="11" t="s">
        <v>50</v>
      </c>
      <c r="L21" s="17"/>
    </row>
    <row r="22" spans="2:14">
      <c r="B22" t="s">
        <v>51</v>
      </c>
      <c r="C22" t="s">
        <v>52</v>
      </c>
      <c r="D22" t="s">
        <v>53</v>
      </c>
      <c r="F22" t="s">
        <v>57</v>
      </c>
      <c r="G22" t="s">
        <v>54</v>
      </c>
      <c r="H22" t="s">
        <v>55</v>
      </c>
      <c r="I22">
        <v>1</v>
      </c>
      <c r="K22" s="18">
        <v>300000</v>
      </c>
      <c r="L22" t="s">
        <v>56</v>
      </c>
    </row>
    <row r="26" spans="2:14">
      <c r="B26" s="13" t="s">
        <v>41</v>
      </c>
    </row>
    <row r="27" spans="2:14">
      <c r="B27" s="13" t="s">
        <v>42</v>
      </c>
    </row>
    <row r="28" spans="2:14">
      <c r="H28" t="str">
        <f>IF(controller!B4&lt;3,"~UC_T","")</f>
        <v>~UC_T</v>
      </c>
    </row>
    <row r="29" spans="2:14">
      <c r="B29" s="14" t="s">
        <v>43</v>
      </c>
      <c r="C29" s="15" t="s">
        <v>4</v>
      </c>
      <c r="D29" s="15" t="s">
        <v>12</v>
      </c>
      <c r="E29" s="15" t="s">
        <v>2</v>
      </c>
      <c r="F29" s="15" t="s">
        <v>1</v>
      </c>
      <c r="G29" s="15" t="s">
        <v>44</v>
      </c>
      <c r="H29" s="15" t="s">
        <v>7</v>
      </c>
      <c r="I29" s="16" t="s">
        <v>45</v>
      </c>
      <c r="J29" s="16" t="s">
        <v>46</v>
      </c>
      <c r="K29" s="12" t="s">
        <v>47</v>
      </c>
      <c r="L29" s="14" t="s">
        <v>48</v>
      </c>
    </row>
    <row r="30" spans="2:14">
      <c r="B30" s="11" t="s">
        <v>49</v>
      </c>
      <c r="C30" s="11"/>
      <c r="D30" s="11"/>
      <c r="E30" s="11"/>
      <c r="F30" s="11"/>
      <c r="G30" s="11"/>
      <c r="H30" s="11"/>
      <c r="I30" s="11"/>
      <c r="J30" s="11"/>
      <c r="K30" s="11" t="s">
        <v>50</v>
      </c>
      <c r="L30" s="17"/>
    </row>
    <row r="31" spans="2:14">
      <c r="B31" t="s">
        <v>58</v>
      </c>
      <c r="C31" t="s">
        <v>52</v>
      </c>
      <c r="D31" t="s">
        <v>53</v>
      </c>
      <c r="F31" t="s">
        <v>59</v>
      </c>
      <c r="G31" t="s">
        <v>54</v>
      </c>
      <c r="H31" t="s">
        <v>55</v>
      </c>
      <c r="I31">
        <v>1</v>
      </c>
      <c r="K31" s="18">
        <v>165200</v>
      </c>
      <c r="L31" t="s">
        <v>60</v>
      </c>
      <c r="N31" t="s">
        <v>61</v>
      </c>
    </row>
    <row r="32" spans="2:14">
      <c r="B32" t="s">
        <v>62</v>
      </c>
      <c r="C32" t="s">
        <v>52</v>
      </c>
      <c r="D32" t="s">
        <v>53</v>
      </c>
      <c r="F32" t="s">
        <v>63</v>
      </c>
      <c r="G32" t="s">
        <v>54</v>
      </c>
      <c r="H32" t="s">
        <v>55</v>
      </c>
      <c r="I32">
        <v>1</v>
      </c>
      <c r="K32" s="18">
        <v>109000</v>
      </c>
      <c r="L32" t="s">
        <v>64</v>
      </c>
      <c r="N32" t="s">
        <v>65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controller</vt:lpstr>
      <vt:lpstr>scens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Bakytzhan Suleimenov</cp:lastModifiedBy>
  <dcterms:created xsi:type="dcterms:W3CDTF">2009-05-27T15:40:55Z</dcterms:created>
  <dcterms:modified xsi:type="dcterms:W3CDTF">2025-05-16T10:56:16Z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