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Suleimenov\Downloads\"/>
    </mc:Choice>
  </mc:AlternateContent>
  <xr:revisionPtr revIDLastSave="0" documentId="13_ncr:1_{358D9D0D-C544-4D7C-B120-06B98A7D13A4}" xr6:coauthVersionLast="47" xr6:coauthVersionMax="47" xr10:uidLastSave="{00000000-0000-0000-0000-000000000000}"/>
  <bookViews>
    <workbookView xWindow="-108" yWindow="-108" windowWidth="23256" windowHeight="12456" activeTab="2" xr2:uid="{7812BA41-55B8-46D4-BAE7-23C056EFFF14}"/>
  </bookViews>
  <sheets>
    <sheet name="WEM_WAM deployments" sheetId="1" r:id="rId1"/>
    <sheet name="Calculations" sheetId="2" r:id="rId2"/>
    <sheet name="Yearl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3" l="1"/>
  <c r="J38" i="3"/>
  <c r="K38" i="3"/>
  <c r="L38" i="3"/>
  <c r="M38" i="3"/>
  <c r="N38" i="3"/>
  <c r="O38" i="3"/>
  <c r="H38" i="3"/>
  <c r="O37" i="3"/>
  <c r="N37" i="3"/>
  <c r="M37" i="3"/>
  <c r="L37" i="3"/>
  <c r="K37" i="3"/>
  <c r="O36" i="3"/>
  <c r="N36" i="3"/>
  <c r="M36" i="3"/>
  <c r="L36" i="3"/>
  <c r="K36" i="3"/>
  <c r="J36" i="3"/>
  <c r="I36" i="3"/>
  <c r="H36" i="3"/>
  <c r="G36" i="3"/>
  <c r="F36" i="3"/>
  <c r="E36" i="3"/>
  <c r="D36" i="3"/>
  <c r="E35" i="3"/>
  <c r="F35" i="3"/>
  <c r="G35" i="3"/>
  <c r="H35" i="3"/>
  <c r="I35" i="3"/>
  <c r="J35" i="3"/>
  <c r="K35" i="3"/>
  <c r="L35" i="3"/>
  <c r="M35" i="3"/>
  <c r="N35" i="3"/>
  <c r="O35" i="3"/>
  <c r="D35" i="3"/>
  <c r="K34" i="3"/>
  <c r="O34" i="3"/>
  <c r="N34" i="3"/>
  <c r="M34" i="3"/>
  <c r="L34" i="3"/>
  <c r="K33" i="3"/>
  <c r="L33" i="3" s="1"/>
  <c r="M33" i="3" s="1"/>
  <c r="N33" i="3" s="1"/>
  <c r="K32" i="3"/>
  <c r="L32" i="3" s="1"/>
  <c r="M32" i="3" s="1"/>
  <c r="N32" i="3" s="1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J29" i="3"/>
  <c r="O28" i="3"/>
  <c r="N28" i="3"/>
  <c r="M28" i="3"/>
  <c r="L28" i="3"/>
  <c r="K28" i="3"/>
  <c r="O27" i="3"/>
  <c r="N27" i="3"/>
  <c r="M27" i="3"/>
  <c r="L27" i="3"/>
  <c r="K27" i="3"/>
  <c r="O26" i="3"/>
  <c r="N26" i="3"/>
  <c r="M26" i="3"/>
  <c r="L26" i="3"/>
  <c r="K26" i="3"/>
  <c r="O25" i="3"/>
  <c r="N25" i="3"/>
  <c r="M25" i="3"/>
  <c r="L25" i="3"/>
  <c r="K25" i="3"/>
  <c r="J24" i="3"/>
  <c r="K24" i="3"/>
  <c r="L24" i="3"/>
  <c r="M24" i="3"/>
  <c r="N24" i="3"/>
  <c r="O24" i="3"/>
  <c r="I24" i="3"/>
  <c r="H24" i="3"/>
  <c r="K23" i="3"/>
  <c r="L23" i="3"/>
  <c r="M23" i="3"/>
  <c r="N23" i="3"/>
  <c r="O23" i="3"/>
  <c r="L22" i="3"/>
  <c r="M22" i="3"/>
  <c r="N22" i="3"/>
  <c r="O22" i="3"/>
  <c r="K22" i="3"/>
  <c r="L18" i="3"/>
  <c r="M18" i="3" s="1"/>
  <c r="N18" i="3" s="1"/>
  <c r="H18" i="3"/>
  <c r="I18" i="3" s="1"/>
  <c r="J18" i="3" s="1"/>
  <c r="K17" i="3"/>
  <c r="L17" i="3" s="1"/>
  <c r="M17" i="3" s="1"/>
  <c r="N17" i="3" s="1"/>
  <c r="K16" i="3"/>
  <c r="L16" i="3" s="1"/>
  <c r="M16" i="3" s="1"/>
  <c r="N16" i="3" s="1"/>
  <c r="O15" i="3"/>
  <c r="N15" i="3"/>
  <c r="M15" i="3"/>
  <c r="L15" i="3"/>
  <c r="K15" i="3"/>
  <c r="K14" i="3"/>
  <c r="L14" i="3" s="1"/>
  <c r="M14" i="3" s="1"/>
  <c r="N14" i="3" s="1"/>
  <c r="K13" i="3"/>
  <c r="L13" i="3" s="1"/>
  <c r="M13" i="3" s="1"/>
  <c r="N13" i="3" s="1"/>
  <c r="K12" i="3"/>
  <c r="L12" i="3" s="1"/>
  <c r="M12" i="3" s="1"/>
  <c r="N12" i="3" s="1"/>
  <c r="L8" i="3"/>
  <c r="M8" i="3" s="1"/>
  <c r="N8" i="3" s="1"/>
  <c r="K8" i="3"/>
  <c r="K7" i="3"/>
  <c r="L7" i="3" s="1"/>
  <c r="M7" i="3" s="1"/>
  <c r="N7" i="3" s="1"/>
  <c r="O6" i="3"/>
  <c r="J6" i="3"/>
  <c r="K6" i="3" s="1"/>
  <c r="L6" i="3" s="1"/>
  <c r="M6" i="3" s="1"/>
  <c r="N6" i="3" s="1"/>
  <c r="L5" i="3"/>
  <c r="M5" i="3" s="1"/>
  <c r="N5" i="3" s="1"/>
  <c r="K5" i="3"/>
  <c r="J4" i="3"/>
  <c r="K4" i="3" s="1"/>
  <c r="L4" i="3" s="1"/>
  <c r="M4" i="3" s="1"/>
  <c r="N4" i="3" s="1"/>
  <c r="O4" i="3" s="1"/>
  <c r="L3" i="3"/>
  <c r="M3" i="3" s="1"/>
  <c r="N3" i="3" s="1"/>
  <c r="K3" i="3"/>
  <c r="M2" i="3"/>
  <c r="N2" i="3" s="1"/>
  <c r="L2" i="3"/>
  <c r="K2" i="3"/>
  <c r="L15" i="1"/>
  <c r="M15" i="1"/>
  <c r="N15" i="1"/>
  <c r="O15" i="1"/>
  <c r="K15" i="1"/>
  <c r="L3" i="2"/>
  <c r="M3" i="2"/>
  <c r="N3" i="2"/>
  <c r="O3" i="2"/>
  <c r="K3" i="2"/>
  <c r="L4" i="2"/>
  <c r="M4" i="2"/>
  <c r="N4" i="2"/>
  <c r="O4" i="2"/>
  <c r="K4" i="2"/>
  <c r="E4" i="2"/>
  <c r="F4" i="2"/>
  <c r="G4" i="2"/>
  <c r="H4" i="2"/>
  <c r="I4" i="2"/>
  <c r="J4" i="2"/>
  <c r="D4" i="2"/>
  <c r="K24" i="1"/>
  <c r="L24" i="1"/>
  <c r="M24" i="1"/>
  <c r="N24" i="1"/>
  <c r="J24" i="1"/>
  <c r="K4" i="1"/>
  <c r="L4" i="1" s="1"/>
  <c r="M4" i="1" s="1"/>
  <c r="N4" i="1" s="1"/>
  <c r="O4" i="1" s="1"/>
  <c r="J4" i="1"/>
  <c r="I24" i="1"/>
  <c r="H24" i="1"/>
  <c r="M38" i="1"/>
  <c r="N38" i="1" s="1"/>
  <c r="L38" i="1"/>
  <c r="I38" i="1"/>
  <c r="J38" i="1"/>
  <c r="H38" i="1"/>
  <c r="J26" i="1"/>
  <c r="K23" i="1"/>
  <c r="L23" i="1"/>
  <c r="M23" i="1"/>
  <c r="N23" i="1"/>
  <c r="K25" i="1"/>
  <c r="L25" i="1" s="1"/>
  <c r="M25" i="1" s="1"/>
  <c r="N25" i="1" s="1"/>
  <c r="K26" i="1"/>
  <c r="L26" i="1" s="1"/>
  <c r="M26" i="1" s="1"/>
  <c r="N26" i="1" s="1"/>
  <c r="K27" i="1"/>
  <c r="L27" i="1"/>
  <c r="M27" i="1"/>
  <c r="N27" i="1" s="1"/>
  <c r="K28" i="1"/>
  <c r="L28" i="1" s="1"/>
  <c r="M28" i="1" s="1"/>
  <c r="N28" i="1" s="1"/>
  <c r="K32" i="1"/>
  <c r="L32" i="1"/>
  <c r="M32" i="1"/>
  <c r="N32" i="1"/>
  <c r="K33" i="1"/>
  <c r="L33" i="1"/>
  <c r="M33" i="1"/>
  <c r="N33" i="1" s="1"/>
  <c r="K34" i="1"/>
  <c r="L34" i="1" s="1"/>
  <c r="M34" i="1" s="1"/>
  <c r="N34" i="1" s="1"/>
  <c r="K35" i="1"/>
  <c r="L35" i="1"/>
  <c r="M35" i="1"/>
  <c r="N35" i="1"/>
  <c r="K36" i="1"/>
  <c r="L36" i="1"/>
  <c r="M36" i="1"/>
  <c r="N36" i="1" s="1"/>
  <c r="K37" i="1"/>
  <c r="L37" i="1" s="1"/>
  <c r="M37" i="1" s="1"/>
  <c r="N37" i="1" s="1"/>
  <c r="N22" i="1"/>
  <c r="L22" i="1"/>
  <c r="M22" i="1"/>
  <c r="K22" i="1"/>
  <c r="M18" i="1"/>
  <c r="N18" i="1" s="1"/>
  <c r="L18" i="1"/>
  <c r="I18" i="1"/>
  <c r="J18" i="1" s="1"/>
  <c r="H18" i="1"/>
  <c r="K16" i="1"/>
  <c r="L16" i="1" s="1"/>
  <c r="M16" i="1" s="1"/>
  <c r="N16" i="1" s="1"/>
  <c r="K17" i="1"/>
  <c r="L17" i="1" s="1"/>
  <c r="M17" i="1" s="1"/>
  <c r="N17" i="1" s="1"/>
  <c r="K3" i="1"/>
  <c r="L3" i="1"/>
  <c r="M3" i="1"/>
  <c r="N3" i="1" s="1"/>
  <c r="K5" i="1"/>
  <c r="L5" i="1"/>
  <c r="M5" i="1" s="1"/>
  <c r="N5" i="1" s="1"/>
  <c r="K6" i="1"/>
  <c r="L6" i="1"/>
  <c r="M6" i="1"/>
  <c r="N6" i="1" s="1"/>
  <c r="K7" i="1"/>
  <c r="L7" i="1"/>
  <c r="M7" i="1"/>
  <c r="N7" i="1" s="1"/>
  <c r="K8" i="1"/>
  <c r="L8" i="1"/>
  <c r="M8" i="1" s="1"/>
  <c r="N8" i="1" s="1"/>
  <c r="K12" i="1"/>
  <c r="L12" i="1"/>
  <c r="M12" i="1"/>
  <c r="N12" i="1" s="1"/>
  <c r="K13" i="1"/>
  <c r="L13" i="1"/>
  <c r="M13" i="1"/>
  <c r="N13" i="1" s="1"/>
  <c r="K14" i="1"/>
  <c r="L14" i="1"/>
  <c r="M14" i="1" s="1"/>
  <c r="N14" i="1" s="1"/>
  <c r="N2" i="1"/>
  <c r="M2" i="1"/>
  <c r="L2" i="1"/>
  <c r="K2" i="1"/>
  <c r="D36" i="1"/>
  <c r="E36" i="1"/>
  <c r="F36" i="1"/>
  <c r="G36" i="1"/>
  <c r="H36" i="1"/>
  <c r="I36" i="1"/>
  <c r="J36" i="1"/>
  <c r="C36" i="1"/>
  <c r="C35" i="1"/>
  <c r="E35" i="1"/>
  <c r="F35" i="1"/>
  <c r="G35" i="1"/>
  <c r="H35" i="1"/>
  <c r="I35" i="1"/>
  <c r="D35" i="1"/>
  <c r="B36" i="1"/>
  <c r="K38" i="1"/>
  <c r="G38" i="1"/>
  <c r="B33" i="1"/>
  <c r="A33" i="1"/>
  <c r="O26" i="1"/>
  <c r="J6" i="1"/>
  <c r="O6" i="1"/>
  <c r="A22" i="1"/>
  <c r="A23" i="1"/>
  <c r="A24" i="1"/>
  <c r="A25" i="1"/>
  <c r="A26" i="1"/>
  <c r="A27" i="1"/>
  <c r="A28" i="1"/>
  <c r="A29" i="1"/>
  <c r="A30" i="1"/>
  <c r="A31" i="1"/>
  <c r="A32" i="1"/>
  <c r="A34" i="1"/>
  <c r="A35" i="1"/>
  <c r="A36" i="1"/>
  <c r="A37" i="1"/>
  <c r="A38" i="1"/>
  <c r="B25" i="1"/>
  <c r="B27" i="1"/>
  <c r="B28" i="1"/>
  <c r="B29" i="1"/>
  <c r="B30" i="1"/>
  <c r="B31" i="1"/>
  <c r="B32" i="1"/>
  <c r="B34" i="1"/>
  <c r="B35" i="1"/>
  <c r="B37" i="1"/>
  <c r="B38" i="1"/>
  <c r="B23" i="1"/>
  <c r="B24" i="1"/>
  <c r="B26" i="1"/>
  <c r="B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Maguire</author>
  </authors>
  <commentList>
    <comment ref="A9" authorId="0" shapeId="0" xr:uid="{48199C65-68B5-4FC5-9D85-BE172455A1D1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>WEM assumes 60.0% RES-E by 2030 modelled with
the following capacities. Applies to On/Offshore/Solar</t>
        </r>
      </text>
    </comment>
    <comment ref="K15" authorId="0" shapeId="0" xr:uid="{28AA7520-7341-4929-A9C5-E586085AD448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 xml:space="preserve">Expected to "continue at their current level until end of 2030"
</t>
        </r>
      </text>
    </comment>
    <comment ref="O24" authorId="0" shapeId="0" xr:uid="{81295A32-81BB-4629-B315-4101C227EDEA}">
      <text>
        <r>
          <rPr>
            <b/>
            <sz val="9"/>
            <color indexed="81"/>
            <rFont val="Tahoma"/>
            <family val="2"/>
          </rPr>
          <t>Tomas Mac Uidhir:
1344</t>
        </r>
        <r>
          <rPr>
            <sz val="9"/>
            <color indexed="81"/>
            <rFont val="Tahoma"/>
            <family val="2"/>
          </rPr>
          <t xml:space="preserve"> figure obtained from 2024 EPA WEM/WAM assumptions report: https://www.epa.ie/publications/monitoring--assessment/climate-change/air-emissions/Input-Assumptions-for-Irelands-Greenhouse-Gas-Emissions-2023-2050.pdf
Assumption Excluded from 2025 report
</t>
        </r>
      </text>
    </comment>
    <comment ref="A29" authorId="0" shapeId="0" xr:uid="{DFCA0026-A432-4A6D-9DF8-5B3A320A113F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>WAM assumes 68.3% RES-E by 2030 modelled with
the following capacities. Applies to On/Offshore/Solar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Maguire</author>
  </authors>
  <commentList>
    <comment ref="A9" authorId="0" shapeId="0" xr:uid="{9BB92EDC-0439-4CB9-969A-BA163907C81A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>WEM assumes 60.0% RES-E by 2030 modelled with
the following capacities. Applies to On/Offshore/Solar</t>
        </r>
      </text>
    </comment>
    <comment ref="K15" authorId="0" shapeId="0" xr:uid="{41BEF64A-C792-432F-B2FA-0F17A15FF948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 xml:space="preserve">Expected to "continue at their current level until end of 2030"
</t>
        </r>
      </text>
    </comment>
    <comment ref="A29" authorId="0" shapeId="0" xr:uid="{64AFBF22-C571-4601-B2A7-97867B9E5F38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>WEM assumes 60.0% RES-E by 2030 modelled with
the following capacities. Applies to On/Offshore/Solar</t>
        </r>
      </text>
    </comment>
    <comment ref="K35" authorId="0" shapeId="0" xr:uid="{92FDB44E-4A67-4437-9132-5CA432803F4F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 xml:space="preserve">Expected to "continue at their current level until end of 2030"
</t>
        </r>
      </text>
    </comment>
    <comment ref="K36" authorId="0" shapeId="0" xr:uid="{BB94D4D7-94A0-4CEF-A79D-22B3C510F7D4}">
      <text>
        <r>
          <rPr>
            <b/>
            <sz val="9"/>
            <color indexed="81"/>
            <rFont val="Tahoma"/>
            <family val="2"/>
          </rPr>
          <t xml:space="preserve">Tomas Mac Uidhir:
</t>
        </r>
        <r>
          <rPr>
            <sz val="9"/>
            <color indexed="81"/>
            <rFont val="Tahoma"/>
            <family val="2"/>
          </rPr>
          <t xml:space="preserve">Expected to "continue at their current level until end of 2030"
</t>
        </r>
      </text>
    </comment>
  </commentList>
</comments>
</file>

<file path=xl/sharedStrings.xml><?xml version="1.0" encoding="utf-8"?>
<sst xmlns="http://schemas.openxmlformats.org/spreadsheetml/2006/main" count="124" uniqueCount="32">
  <si>
    <t>WEM</t>
  </si>
  <si>
    <t>Units</t>
  </si>
  <si>
    <t>BEVs</t>
  </si>
  <si>
    <t># vehicles</t>
  </si>
  <si>
    <t>SEAI</t>
  </si>
  <si>
    <t>PHEVs</t>
  </si>
  <si>
    <t>EPA</t>
  </si>
  <si>
    <t>Electric Buses</t>
  </si>
  <si>
    <t>European Alternative Fuels Observatory</t>
  </si>
  <si>
    <t>PHEV LGV</t>
  </si>
  <si>
    <t>calculated</t>
  </si>
  <si>
    <t>Battery Electric Trucks (LGV + HGV)</t>
  </si>
  <si>
    <t>LGV</t>
  </si>
  <si>
    <t>HGV</t>
  </si>
  <si>
    <t>Onshore wind</t>
  </si>
  <si>
    <t>MW</t>
  </si>
  <si>
    <t>Offshore wind</t>
  </si>
  <si>
    <t>Solar</t>
  </si>
  <si>
    <t>Biofuel Blending Ethanol (transport)</t>
  </si>
  <si>
    <t>% share</t>
  </si>
  <si>
    <t>Biofuel Blending Biodiesel (transport)</t>
  </si>
  <si>
    <t>Biomethane</t>
  </si>
  <si>
    <t>TWh</t>
  </si>
  <si>
    <t>Retrofits</t>
  </si>
  <si>
    <t># Homes B2 (total)</t>
  </si>
  <si>
    <t>Heat Pumps (Residential)</t>
  </si>
  <si>
    <t># Heat Pumps (total)</t>
  </si>
  <si>
    <t>District Heating (Residential)</t>
  </si>
  <si>
    <t>District Heating (Commercial)</t>
  </si>
  <si>
    <t>WAM</t>
  </si>
  <si>
    <t>(annual)</t>
  </si>
  <si>
    <t>elec gen renewables copied from 2025 SEAI dess rates of gen tech deployment report:  https://www.seai.ie/sites/default/files/publications/dess-rates-of-generation-technology-deployment.pdf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</si>
</sst>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0" fillId="2" borderId="0" xfId="0" applyFill="1"/>
    <xf numFmtId="1" fontId="0" fillId="0" borderId="0" xfId="0" applyNumberForma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1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3" xfId="0" applyBorder="1" applyAlignment="1">
      <alignment horizontal="right"/>
    </xf>
    <xf numFmtId="0" fontId="0" fillId="3" borderId="0" xfId="0" applyFill="1"/>
    <xf numFmtId="0" fontId="0" fillId="2" borderId="4" xfId="0" applyFill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3" borderId="6" xfId="0" applyFill="1" applyBorder="1"/>
    <xf numFmtId="0" fontId="0" fillId="4" borderId="6" xfId="0" applyFill="1" applyBorder="1"/>
    <xf numFmtId="0" fontId="0" fillId="2" borderId="6" xfId="0" applyFill="1" applyBorder="1"/>
    <xf numFmtId="0" fontId="0" fillId="2" borderId="7" xfId="0" applyFill="1" applyBorder="1"/>
    <xf numFmtId="165" fontId="0" fillId="2" borderId="2" xfId="0" applyNumberFormat="1" applyFill="1" applyBorder="1"/>
    <xf numFmtId="164" fontId="0" fillId="3" borderId="2" xfId="0" applyNumberFormat="1" applyFill="1" applyBorder="1"/>
    <xf numFmtId="166" fontId="0" fillId="4" borderId="2" xfId="0" applyNumberFormat="1" applyFill="1" applyBorder="1"/>
    <xf numFmtId="0" fontId="1" fillId="0" borderId="8" xfId="0" applyFont="1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5" borderId="8" xfId="0" applyFill="1" applyBorder="1"/>
    <xf numFmtId="3" fontId="0" fillId="3" borderId="8" xfId="0" applyNumberFormat="1" applyFill="1" applyBorder="1"/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3" borderId="10" xfId="0" applyFill="1" applyBorder="1"/>
    <xf numFmtId="0" fontId="0" fillId="4" borderId="1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3" borderId="13" xfId="0" applyFill="1" applyBorder="1"/>
    <xf numFmtId="0" fontId="0" fillId="4" borderId="13" xfId="0" applyFill="1" applyBorder="1"/>
    <xf numFmtId="0" fontId="0" fillId="2" borderId="13" xfId="0" applyFill="1" applyBorder="1"/>
    <xf numFmtId="0" fontId="0" fillId="2" borderId="14" xfId="0" applyFill="1" applyBorder="1"/>
    <xf numFmtId="164" fontId="0" fillId="0" borderId="8" xfId="0" applyNumberFormat="1" applyBorder="1"/>
    <xf numFmtId="166" fontId="0" fillId="4" borderId="8" xfId="0" applyNumberFormat="1" applyFill="1" applyBorder="1"/>
    <xf numFmtId="166" fontId="0" fillId="3" borderId="8" xfId="0" applyNumberFormat="1" applyFill="1" applyBorder="1"/>
    <xf numFmtId="164" fontId="0" fillId="3" borderId="8" xfId="0" applyNumberFormat="1" applyFill="1" applyBorder="1"/>
    <xf numFmtId="0" fontId="1" fillId="0" borderId="2" xfId="0" applyFont="1" applyBorder="1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8" xfId="0" applyFont="1" applyFill="1" applyBorder="1"/>
    <xf numFmtId="0" fontId="1" fillId="6" borderId="2" xfId="0" applyFont="1" applyFill="1" applyBorder="1"/>
    <xf numFmtId="0" fontId="1" fillId="6" borderId="8" xfId="0" applyFont="1" applyFill="1" applyBorder="1"/>
    <xf numFmtId="165" fontId="0" fillId="4" borderId="2" xfId="0" applyNumberFormat="1" applyFill="1" applyBorder="1"/>
    <xf numFmtId="165" fontId="0" fillId="3" borderId="2" xfId="0" applyNumberFormat="1" applyFill="1" applyBorder="1"/>
    <xf numFmtId="164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Calculations!$B$4</c:f>
              <c:strCache>
                <c:ptCount val="1"/>
                <c:pt idx="0">
                  <c:v>(annual)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517869641294838"/>
                  <c:y val="-4.7222586759988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Calculations!$C$4:$J$4</c:f>
              <c:numCache>
                <c:formatCode>General</c:formatCode>
                <c:ptCount val="8"/>
                <c:pt idx="0">
                  <c:v>811</c:v>
                </c:pt>
                <c:pt idx="1">
                  <c:v>2423</c:v>
                </c:pt>
                <c:pt idx="2">
                  <c:v>3275</c:v>
                </c:pt>
                <c:pt idx="3">
                  <c:v>4339</c:v>
                </c:pt>
                <c:pt idx="4">
                  <c:v>8476</c:v>
                </c:pt>
                <c:pt idx="5">
                  <c:v>17600</c:v>
                </c:pt>
                <c:pt idx="6">
                  <c:v>21817</c:v>
                </c:pt>
                <c:pt idx="7">
                  <c:v>26232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B-46BA-B418-626B890E2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944016"/>
        <c:axId val="1226942576"/>
      </c:scatterChart>
      <c:valAx>
        <c:axId val="122694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42576"/>
        <c:crosses val="autoZero"/>
        <c:crossBetween val="midCat"/>
      </c:valAx>
      <c:valAx>
        <c:axId val="12269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4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338137</xdr:colOff>
      <xdr:row>2</xdr:row>
      <xdr:rowOff>166687</xdr:rowOff>
    </xdr:from>
    <xdr:to>
      <xdr:col>23</xdr:col>
      <xdr:colOff>33337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BDC45-B47A-454C-41F9-C61B5135D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15</xdr:col>
      <xdr:colOff>513142</xdr:colOff>
      <xdr:row>53</xdr:row>
      <xdr:rowOff>56429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CA7690-74D7-A6A3-6A0E-500667D06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4381500"/>
          <a:ext cx="9666667" cy="577142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31</xdr:col>
      <xdr:colOff>541714</xdr:colOff>
      <xdr:row>52</xdr:row>
      <xdr:rowOff>27881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0FFABB-26DC-40C5-AE00-DBB1630B4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0" y="4381500"/>
          <a:ext cx="9685714" cy="5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53</xdr:row>
      <xdr:rowOff>180975</xdr:rowOff>
    </xdr:from>
    <xdr:to>
      <xdr:col>16</xdr:col>
      <xdr:colOff>122596</xdr:colOff>
      <xdr:row>86</xdr:row>
      <xdr:rowOff>8761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1B2C78-10C0-D65A-9321-825BC8076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275" y="10277475"/>
          <a:ext cx="9828571" cy="6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0A1B-3A91-48F7-8A66-CB2818A278C2}">
  <dimension ref="A1:AL38"/>
  <sheetViews>
    <sheetView workbookViewId="0">
      <selection activeCell="W22" sqref="W22"/>
    </sheetView>
  </sheetViews>
  <sheetFormatPr defaultRowHeight="14.4" x14ac:dyDescent="0.3"/>
  <cols>
    <col min="1" max="1" width="34.33203125" bestFit="1" customWidth="1"/>
    <col min="2" max="2" width="19.109375" style="1" bestFit="1" customWidth="1"/>
    <col min="3" max="5" width="5" bestFit="1" customWidth="1"/>
    <col min="6" max="6" width="6" bestFit="1" customWidth="1"/>
    <col min="7" max="7" width="6.5546875" bestFit="1" customWidth="1"/>
    <col min="8" max="9" width="6" bestFit="1" customWidth="1"/>
    <col min="10" max="17" width="7" bestFit="1" customWidth="1"/>
    <col min="18" max="23" width="5" bestFit="1" customWidth="1"/>
    <col min="24" max="25" width="6" bestFit="1" customWidth="1"/>
    <col min="26" max="35" width="5" bestFit="1" customWidth="1"/>
    <col min="38" max="38" width="36.109375" style="1" bestFit="1" customWidth="1"/>
  </cols>
  <sheetData>
    <row r="1" spans="1:38" s="4" customFormat="1" x14ac:dyDescent="0.3">
      <c r="A1" s="62" t="s">
        <v>0</v>
      </c>
      <c r="B1" s="57" t="s">
        <v>1</v>
      </c>
      <c r="C1" s="10">
        <v>2018</v>
      </c>
      <c r="D1" s="10">
        <v>2019</v>
      </c>
      <c r="E1" s="10">
        <v>2020</v>
      </c>
      <c r="F1" s="10">
        <v>2021</v>
      </c>
      <c r="G1" s="10">
        <v>2022</v>
      </c>
      <c r="H1" s="10">
        <v>2023</v>
      </c>
      <c r="I1" s="10">
        <v>2024</v>
      </c>
      <c r="J1" s="58">
        <v>2025</v>
      </c>
      <c r="K1" s="10">
        <v>2026</v>
      </c>
      <c r="L1" s="10">
        <v>2027</v>
      </c>
      <c r="M1" s="10">
        <v>2028</v>
      </c>
      <c r="N1" s="10">
        <v>2029</v>
      </c>
      <c r="O1" s="58">
        <v>2030</v>
      </c>
      <c r="P1" s="10">
        <v>2031</v>
      </c>
      <c r="Q1" s="10">
        <v>2032</v>
      </c>
      <c r="R1" s="10">
        <v>2033</v>
      </c>
      <c r="S1" s="10">
        <v>2034</v>
      </c>
      <c r="T1" s="10">
        <v>2035</v>
      </c>
      <c r="U1" s="10">
        <v>2036</v>
      </c>
      <c r="V1" s="10">
        <v>2037</v>
      </c>
      <c r="W1" s="10">
        <v>2038</v>
      </c>
      <c r="X1" s="10">
        <v>2039</v>
      </c>
      <c r="Y1" s="58">
        <v>2040</v>
      </c>
      <c r="Z1" s="10">
        <v>2041</v>
      </c>
      <c r="AA1" s="10">
        <v>2042</v>
      </c>
      <c r="AB1" s="10">
        <v>2043</v>
      </c>
      <c r="AC1" s="10">
        <v>2044</v>
      </c>
      <c r="AD1" s="10">
        <v>2045</v>
      </c>
      <c r="AE1" s="10">
        <v>2046</v>
      </c>
      <c r="AF1" s="10">
        <v>2047</v>
      </c>
      <c r="AG1" s="10">
        <v>2048</v>
      </c>
      <c r="AH1" s="10">
        <v>2049</v>
      </c>
      <c r="AI1" s="58">
        <v>2050</v>
      </c>
      <c r="AL1" s="59"/>
    </row>
    <row r="2" spans="1:38" x14ac:dyDescent="0.3">
      <c r="A2" s="12" t="s">
        <v>2</v>
      </c>
      <c r="B2" s="11" t="s">
        <v>3</v>
      </c>
      <c r="C2" s="12"/>
      <c r="D2" s="12"/>
      <c r="E2" s="12"/>
      <c r="F2" s="12"/>
      <c r="G2" s="12"/>
      <c r="H2" s="12"/>
      <c r="I2" s="12"/>
      <c r="J2" s="14">
        <v>98415</v>
      </c>
      <c r="K2" s="15">
        <f>J2+(($O2-$J2)/5)</f>
        <v>132814.39999999999</v>
      </c>
      <c r="L2" s="15">
        <f>K2+(($O2-$J2)/5)</f>
        <v>167213.79999999999</v>
      </c>
      <c r="M2" s="15">
        <f>L2+(($O2-$J2)/5)</f>
        <v>201613.19999999998</v>
      </c>
      <c r="N2" s="15">
        <f>M2+(($O2-$J2)/5)</f>
        <v>236012.59999999998</v>
      </c>
      <c r="O2" s="14">
        <v>270412</v>
      </c>
      <c r="P2" s="12"/>
      <c r="Q2" s="12"/>
      <c r="R2" s="12"/>
      <c r="S2" s="12"/>
      <c r="T2" s="12"/>
      <c r="U2" s="12"/>
      <c r="V2" s="12"/>
      <c r="W2" s="12"/>
      <c r="X2" s="12"/>
      <c r="Y2" s="13"/>
      <c r="Z2" s="12"/>
      <c r="AA2" s="12"/>
      <c r="AB2" s="12"/>
      <c r="AC2" s="12"/>
      <c r="AD2" s="12"/>
      <c r="AE2" s="12"/>
      <c r="AF2" s="12"/>
      <c r="AG2" s="12"/>
      <c r="AH2" s="12"/>
      <c r="AI2" s="13"/>
      <c r="AL2" s="2" t="s">
        <v>4</v>
      </c>
    </row>
    <row r="3" spans="1:38" x14ac:dyDescent="0.3">
      <c r="A3" s="12" t="s">
        <v>5</v>
      </c>
      <c r="B3" s="11" t="s">
        <v>3</v>
      </c>
      <c r="C3" s="12"/>
      <c r="D3" s="12"/>
      <c r="E3" s="12"/>
      <c r="F3" s="12"/>
      <c r="G3" s="12"/>
      <c r="H3" s="12"/>
      <c r="I3" s="12"/>
      <c r="J3" s="14">
        <v>88430</v>
      </c>
      <c r="K3" s="16">
        <f t="shared" ref="K3:N3" si="0">J3+(($O3-$J3)/5)</f>
        <v>126626</v>
      </c>
      <c r="L3" s="16">
        <f t="shared" si="0"/>
        <v>164822</v>
      </c>
      <c r="M3" s="16">
        <f t="shared" si="0"/>
        <v>203018</v>
      </c>
      <c r="N3" s="16">
        <f t="shared" si="0"/>
        <v>241214</v>
      </c>
      <c r="O3" s="14">
        <v>279410</v>
      </c>
      <c r="P3" s="12"/>
      <c r="Q3" s="12"/>
      <c r="R3" s="12"/>
      <c r="S3" s="12"/>
      <c r="T3" s="12"/>
      <c r="U3" s="12"/>
      <c r="V3" s="12"/>
      <c r="W3" s="12"/>
      <c r="X3" s="12"/>
      <c r="Y3" s="13"/>
      <c r="Z3" s="12"/>
      <c r="AA3" s="12"/>
      <c r="AB3" s="12"/>
      <c r="AC3" s="12"/>
      <c r="AD3" s="12"/>
      <c r="AE3" s="12"/>
      <c r="AF3" s="12"/>
      <c r="AG3" s="12"/>
      <c r="AH3" s="12"/>
      <c r="AI3" s="13"/>
      <c r="AL3" s="3" t="s">
        <v>6</v>
      </c>
    </row>
    <row r="4" spans="1:38" x14ac:dyDescent="0.3">
      <c r="A4" s="12" t="s">
        <v>7</v>
      </c>
      <c r="B4" s="11" t="s">
        <v>3</v>
      </c>
      <c r="C4" s="12"/>
      <c r="D4" s="12"/>
      <c r="E4" s="12"/>
      <c r="F4" s="12"/>
      <c r="G4" s="12"/>
      <c r="H4" s="17">
        <v>61</v>
      </c>
      <c r="I4" s="17">
        <v>282</v>
      </c>
      <c r="J4" s="16">
        <f>I4</f>
        <v>282</v>
      </c>
      <c r="K4" s="16">
        <f t="shared" ref="K4:O4" si="1">J4</f>
        <v>282</v>
      </c>
      <c r="L4" s="16">
        <f t="shared" si="1"/>
        <v>282</v>
      </c>
      <c r="M4" s="16">
        <f t="shared" si="1"/>
        <v>282</v>
      </c>
      <c r="N4" s="16">
        <f t="shared" si="1"/>
        <v>282</v>
      </c>
      <c r="O4" s="16">
        <f t="shared" si="1"/>
        <v>282</v>
      </c>
      <c r="P4" s="12"/>
      <c r="Q4" s="12"/>
      <c r="R4" s="12"/>
      <c r="S4" s="12"/>
      <c r="T4" s="12"/>
      <c r="U4" s="12"/>
      <c r="V4" s="12"/>
      <c r="W4" s="12"/>
      <c r="X4" s="12"/>
      <c r="Y4" s="13"/>
      <c r="Z4" s="12"/>
      <c r="AA4" s="12"/>
      <c r="AB4" s="12"/>
      <c r="AC4" s="12"/>
      <c r="AD4" s="12"/>
      <c r="AE4" s="12"/>
      <c r="AF4" s="12"/>
      <c r="AG4" s="12"/>
      <c r="AH4" s="12"/>
      <c r="AI4" s="13"/>
      <c r="AL4" s="9" t="s">
        <v>8</v>
      </c>
    </row>
    <row r="5" spans="1:38" x14ac:dyDescent="0.3">
      <c r="A5" s="12" t="s">
        <v>9</v>
      </c>
      <c r="B5" s="11" t="s">
        <v>3</v>
      </c>
      <c r="C5" s="12"/>
      <c r="D5" s="12"/>
      <c r="E5" s="12"/>
      <c r="F5" s="12"/>
      <c r="G5" s="12"/>
      <c r="H5" s="12"/>
      <c r="I5" s="12"/>
      <c r="J5" s="14">
        <v>1200</v>
      </c>
      <c r="K5" s="16">
        <f t="shared" ref="K5:N5" si="2">J5+(($O5-$J5)/5)</f>
        <v>1860</v>
      </c>
      <c r="L5" s="16">
        <f t="shared" si="2"/>
        <v>2520</v>
      </c>
      <c r="M5" s="16">
        <f t="shared" si="2"/>
        <v>3180</v>
      </c>
      <c r="N5" s="16">
        <f t="shared" si="2"/>
        <v>3840</v>
      </c>
      <c r="O5" s="14">
        <v>4500</v>
      </c>
      <c r="P5" s="12"/>
      <c r="Q5" s="12"/>
      <c r="R5" s="12"/>
      <c r="S5" s="12"/>
      <c r="T5" s="12"/>
      <c r="U5" s="12"/>
      <c r="V5" s="12"/>
      <c r="W5" s="12"/>
      <c r="X5" s="12"/>
      <c r="Y5" s="13"/>
      <c r="Z5" s="12"/>
      <c r="AA5" s="12"/>
      <c r="AB5" s="12"/>
      <c r="AC5" s="12"/>
      <c r="AD5" s="12"/>
      <c r="AE5" s="12"/>
      <c r="AF5" s="12"/>
      <c r="AG5" s="12"/>
      <c r="AH5" s="12"/>
      <c r="AI5" s="13"/>
      <c r="AL5" s="8" t="s">
        <v>10</v>
      </c>
    </row>
    <row r="6" spans="1:38" x14ac:dyDescent="0.3">
      <c r="A6" s="12" t="s">
        <v>11</v>
      </c>
      <c r="B6" s="11" t="s">
        <v>3</v>
      </c>
      <c r="C6" s="12"/>
      <c r="D6" s="12"/>
      <c r="E6" s="12"/>
      <c r="F6" s="12"/>
      <c r="G6" s="12"/>
      <c r="H6" s="12"/>
      <c r="I6" s="12"/>
      <c r="J6" s="14">
        <f t="shared" ref="J6:O6" si="3">SUM(J7:J8)</f>
        <v>4810</v>
      </c>
      <c r="K6" s="16">
        <f t="shared" ref="K6:N6" si="4">J6+(($O6-$J6)/5)</f>
        <v>5978</v>
      </c>
      <c r="L6" s="16">
        <f t="shared" si="4"/>
        <v>7146</v>
      </c>
      <c r="M6" s="16">
        <f t="shared" si="4"/>
        <v>8314</v>
      </c>
      <c r="N6" s="16">
        <f t="shared" si="4"/>
        <v>9482</v>
      </c>
      <c r="O6" s="14">
        <f t="shared" si="3"/>
        <v>10650</v>
      </c>
      <c r="P6" s="12"/>
      <c r="Q6" s="12"/>
      <c r="R6" s="12"/>
      <c r="S6" s="12"/>
      <c r="T6" s="12"/>
      <c r="U6" s="12"/>
      <c r="V6" s="12"/>
      <c r="W6" s="12"/>
      <c r="X6" s="12"/>
      <c r="Y6" s="13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8" x14ac:dyDescent="0.3">
      <c r="A7" s="18" t="s">
        <v>12</v>
      </c>
      <c r="B7" s="1" t="s">
        <v>3</v>
      </c>
      <c r="J7" s="19">
        <v>4800</v>
      </c>
      <c r="K7" s="5">
        <f t="shared" ref="K7:N7" si="5">J7+(($O7-$J7)/5)</f>
        <v>5940</v>
      </c>
      <c r="L7" s="5">
        <f t="shared" si="5"/>
        <v>7080</v>
      </c>
      <c r="M7" s="5">
        <f t="shared" si="5"/>
        <v>8220</v>
      </c>
      <c r="N7" s="5">
        <f t="shared" si="5"/>
        <v>9360</v>
      </c>
      <c r="O7" s="19">
        <v>10500</v>
      </c>
      <c r="Y7" s="6"/>
      <c r="AI7" s="20"/>
    </row>
    <row r="8" spans="1:38" x14ac:dyDescent="0.3">
      <c r="A8" s="21" t="s">
        <v>13</v>
      </c>
      <c r="B8" s="22" t="s">
        <v>3</v>
      </c>
      <c r="C8" s="23"/>
      <c r="D8" s="23"/>
      <c r="E8" s="23"/>
      <c r="F8" s="23"/>
      <c r="G8" s="23"/>
      <c r="H8" s="23"/>
      <c r="I8" s="23"/>
      <c r="J8" s="24">
        <v>10</v>
      </c>
      <c r="K8" s="25">
        <f t="shared" ref="K8:N8" si="6">J8+(($O8-$J8)/5)</f>
        <v>38</v>
      </c>
      <c r="L8" s="25">
        <f t="shared" si="6"/>
        <v>66</v>
      </c>
      <c r="M8" s="25">
        <f t="shared" si="6"/>
        <v>94</v>
      </c>
      <c r="N8" s="25">
        <f t="shared" si="6"/>
        <v>122</v>
      </c>
      <c r="O8" s="24">
        <v>150</v>
      </c>
      <c r="P8" s="23"/>
      <c r="Q8" s="23"/>
      <c r="R8" s="23"/>
      <c r="S8" s="23"/>
      <c r="T8" s="23"/>
      <c r="U8" s="23"/>
      <c r="V8" s="23"/>
      <c r="W8" s="23"/>
      <c r="X8" s="23"/>
      <c r="Y8" s="26"/>
      <c r="Z8" s="23"/>
      <c r="AA8" s="23"/>
      <c r="AB8" s="23"/>
      <c r="AC8" s="23"/>
      <c r="AD8" s="23"/>
      <c r="AE8" s="23"/>
      <c r="AF8" s="23"/>
      <c r="AG8" s="23"/>
      <c r="AH8" s="23"/>
      <c r="AI8" s="27"/>
    </row>
    <row r="9" spans="1:38" x14ac:dyDescent="0.3">
      <c r="A9" s="12" t="s">
        <v>14</v>
      </c>
      <c r="B9" s="11" t="s">
        <v>15</v>
      </c>
      <c r="C9" s="12"/>
      <c r="D9" s="12"/>
      <c r="E9" s="12"/>
      <c r="F9" s="12"/>
      <c r="G9" s="12"/>
      <c r="H9" s="12"/>
      <c r="I9" s="13">
        <v>5318</v>
      </c>
      <c r="J9" s="13">
        <v>5568</v>
      </c>
      <c r="K9" s="28">
        <v>5818</v>
      </c>
      <c r="L9" s="28">
        <v>6068</v>
      </c>
      <c r="M9" s="28">
        <v>6318</v>
      </c>
      <c r="N9" s="28">
        <v>6568</v>
      </c>
      <c r="O9" s="13">
        <v>6818</v>
      </c>
      <c r="P9" s="13">
        <v>7068</v>
      </c>
      <c r="Q9" s="13">
        <v>7168</v>
      </c>
      <c r="R9" s="13">
        <v>7268</v>
      </c>
      <c r="S9" s="13">
        <v>7368</v>
      </c>
      <c r="T9" s="13">
        <v>7468</v>
      </c>
      <c r="U9" s="13">
        <v>7568</v>
      </c>
      <c r="V9" s="13">
        <v>7668</v>
      </c>
      <c r="W9" s="13">
        <v>7768</v>
      </c>
      <c r="X9" s="13">
        <v>7868</v>
      </c>
      <c r="Y9" s="13">
        <v>7968</v>
      </c>
      <c r="Z9" s="12"/>
      <c r="AA9" s="12"/>
      <c r="AB9" s="12"/>
      <c r="AC9" s="12"/>
      <c r="AD9" s="12"/>
      <c r="AE9" s="12"/>
      <c r="AF9" s="12"/>
      <c r="AG9" s="12"/>
      <c r="AH9" s="12"/>
      <c r="AI9" s="13"/>
    </row>
    <row r="10" spans="1:38" x14ac:dyDescent="0.3">
      <c r="A10" s="12" t="s">
        <v>16</v>
      </c>
      <c r="B10" s="11" t="s">
        <v>15</v>
      </c>
      <c r="C10" s="12"/>
      <c r="D10" s="12"/>
      <c r="E10" s="12"/>
      <c r="F10" s="12"/>
      <c r="G10" s="12"/>
      <c r="H10" s="12"/>
      <c r="I10" s="13">
        <v>25</v>
      </c>
      <c r="J10" s="13">
        <v>25</v>
      </c>
      <c r="K10" s="28">
        <v>25</v>
      </c>
      <c r="L10" s="28">
        <v>25</v>
      </c>
      <c r="M10" s="28">
        <v>25</v>
      </c>
      <c r="N10" s="28">
        <v>850</v>
      </c>
      <c r="O10" s="13">
        <v>2650</v>
      </c>
      <c r="P10" s="13">
        <v>3500</v>
      </c>
      <c r="Q10" s="13">
        <v>3850</v>
      </c>
      <c r="R10" s="13">
        <v>4200</v>
      </c>
      <c r="S10" s="13">
        <v>4550</v>
      </c>
      <c r="T10" s="13">
        <v>4900</v>
      </c>
      <c r="U10" s="13">
        <v>5250</v>
      </c>
      <c r="V10" s="13">
        <v>5600</v>
      </c>
      <c r="W10" s="13">
        <v>5950</v>
      </c>
      <c r="X10" s="13">
        <v>6300</v>
      </c>
      <c r="Y10" s="13">
        <v>6650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3"/>
    </row>
    <row r="11" spans="1:38" x14ac:dyDescent="0.3">
      <c r="A11" s="12" t="s">
        <v>17</v>
      </c>
      <c r="B11" s="11" t="s">
        <v>15</v>
      </c>
      <c r="C11" s="12"/>
      <c r="D11" s="12"/>
      <c r="E11" s="12"/>
      <c r="F11" s="12"/>
      <c r="G11" s="12"/>
      <c r="H11" s="12"/>
      <c r="I11" s="13">
        <v>1140</v>
      </c>
      <c r="J11" s="13">
        <v>2151</v>
      </c>
      <c r="K11" s="13">
        <v>2524</v>
      </c>
      <c r="L11" s="13">
        <v>3544</v>
      </c>
      <c r="M11" s="13">
        <v>4079</v>
      </c>
      <c r="N11" s="13">
        <v>4864</v>
      </c>
      <c r="O11" s="13">
        <v>5700</v>
      </c>
      <c r="P11" s="13">
        <v>5984</v>
      </c>
      <c r="Q11" s="13">
        <v>6184</v>
      </c>
      <c r="R11" s="13">
        <v>6384</v>
      </c>
      <c r="S11" s="13">
        <v>6584</v>
      </c>
      <c r="T11" s="13">
        <v>6784</v>
      </c>
      <c r="U11" s="13">
        <v>6984</v>
      </c>
      <c r="V11" s="13">
        <v>7184</v>
      </c>
      <c r="W11" s="13">
        <v>7384</v>
      </c>
      <c r="X11" s="13">
        <v>7584</v>
      </c>
      <c r="Y11" s="13">
        <v>7784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3"/>
    </row>
    <row r="12" spans="1:38" x14ac:dyDescent="0.3">
      <c r="A12" s="12" t="s">
        <v>18</v>
      </c>
      <c r="B12" s="11" t="s">
        <v>19</v>
      </c>
      <c r="C12" s="12"/>
      <c r="D12" s="12"/>
      <c r="E12" s="12"/>
      <c r="F12" s="12"/>
      <c r="G12" s="12"/>
      <c r="H12" s="12"/>
      <c r="I12" s="12"/>
      <c r="J12" s="14">
        <v>10</v>
      </c>
      <c r="K12" s="16">
        <f t="shared" ref="K12:N12" si="7">J12+(($O12-$J12)/5)</f>
        <v>10</v>
      </c>
      <c r="L12" s="16">
        <f t="shared" si="7"/>
        <v>10</v>
      </c>
      <c r="M12" s="16">
        <f t="shared" si="7"/>
        <v>10</v>
      </c>
      <c r="N12" s="16">
        <f t="shared" si="7"/>
        <v>10</v>
      </c>
      <c r="O12" s="14">
        <v>10</v>
      </c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2"/>
      <c r="AA12" s="12"/>
      <c r="AB12" s="12"/>
      <c r="AC12" s="12"/>
      <c r="AD12" s="12"/>
      <c r="AE12" s="12"/>
      <c r="AF12" s="12"/>
      <c r="AG12" s="12"/>
      <c r="AH12" s="12"/>
      <c r="AI12" s="13"/>
    </row>
    <row r="13" spans="1:38" x14ac:dyDescent="0.3">
      <c r="A13" s="12" t="s">
        <v>20</v>
      </c>
      <c r="B13" s="11" t="s">
        <v>19</v>
      </c>
      <c r="C13" s="12"/>
      <c r="D13" s="12"/>
      <c r="E13" s="12"/>
      <c r="F13" s="12"/>
      <c r="G13" s="12"/>
      <c r="H13" s="12"/>
      <c r="I13" s="12"/>
      <c r="J13" s="14">
        <v>12</v>
      </c>
      <c r="K13" s="16">
        <f t="shared" ref="K13:N13" si="8">J13+(($O13-$J13)/5)</f>
        <v>13.6</v>
      </c>
      <c r="L13" s="16">
        <f t="shared" si="8"/>
        <v>15.2</v>
      </c>
      <c r="M13" s="16">
        <f t="shared" si="8"/>
        <v>16.8</v>
      </c>
      <c r="N13" s="16">
        <f t="shared" si="8"/>
        <v>18.400000000000002</v>
      </c>
      <c r="O13" s="14">
        <v>20</v>
      </c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2"/>
      <c r="AA13" s="12"/>
      <c r="AB13" s="12"/>
      <c r="AC13" s="12"/>
      <c r="AD13" s="12"/>
      <c r="AE13" s="12"/>
      <c r="AF13" s="12"/>
      <c r="AG13" s="12"/>
      <c r="AH13" s="12"/>
      <c r="AI13" s="13"/>
    </row>
    <row r="14" spans="1:38" x14ac:dyDescent="0.3">
      <c r="A14" s="12" t="s">
        <v>21</v>
      </c>
      <c r="B14" s="11" t="s">
        <v>22</v>
      </c>
      <c r="C14" s="12"/>
      <c r="D14" s="12"/>
      <c r="E14" s="12"/>
      <c r="F14" s="12"/>
      <c r="G14" s="12"/>
      <c r="H14" s="12"/>
      <c r="I14" s="12"/>
      <c r="J14" s="14">
        <v>0</v>
      </c>
      <c r="K14" s="16">
        <f t="shared" ref="K14:N14" si="9">J14+(($O14-$J14)/5)</f>
        <v>0.2</v>
      </c>
      <c r="L14" s="16">
        <f t="shared" si="9"/>
        <v>0.4</v>
      </c>
      <c r="M14" s="16">
        <f t="shared" si="9"/>
        <v>0.60000000000000009</v>
      </c>
      <c r="N14" s="16">
        <f t="shared" si="9"/>
        <v>0.8</v>
      </c>
      <c r="O14" s="14">
        <v>1</v>
      </c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2"/>
      <c r="AA14" s="12"/>
      <c r="AB14" s="12"/>
      <c r="AC14" s="12"/>
      <c r="AD14" s="12"/>
      <c r="AE14" s="12"/>
      <c r="AF14" s="12"/>
      <c r="AG14" s="12"/>
      <c r="AH14" s="12"/>
      <c r="AI14" s="13"/>
    </row>
    <row r="15" spans="1:38" x14ac:dyDescent="0.3">
      <c r="A15" s="12" t="s">
        <v>23</v>
      </c>
      <c r="B15" s="11" t="s">
        <v>24</v>
      </c>
      <c r="C15" s="13">
        <v>2566</v>
      </c>
      <c r="D15" s="13">
        <v>4989</v>
      </c>
      <c r="E15" s="13">
        <v>8264</v>
      </c>
      <c r="F15" s="13">
        <v>12603</v>
      </c>
      <c r="G15" s="13">
        <v>21079</v>
      </c>
      <c r="H15" s="13">
        <v>38679</v>
      </c>
      <c r="I15" s="13">
        <v>60496</v>
      </c>
      <c r="J15" s="13">
        <v>86728</v>
      </c>
      <c r="K15" s="16">
        <f>Calculations!K3</f>
        <v>114601.4</v>
      </c>
      <c r="L15" s="16">
        <f>Calculations!L3</f>
        <v>146308.5</v>
      </c>
      <c r="M15" s="16">
        <f>Calculations!M3</f>
        <v>181849.3</v>
      </c>
      <c r="N15" s="16">
        <f>Calculations!N3</f>
        <v>221223.8</v>
      </c>
      <c r="O15" s="16">
        <f>Calculations!O3</f>
        <v>264432</v>
      </c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2"/>
      <c r="AA15" s="12"/>
      <c r="AB15" s="12"/>
      <c r="AC15" s="12"/>
      <c r="AD15" s="12"/>
      <c r="AE15" s="12"/>
      <c r="AF15" s="12"/>
      <c r="AG15" s="12"/>
      <c r="AH15" s="12"/>
      <c r="AI15" s="13"/>
    </row>
    <row r="16" spans="1:38" x14ac:dyDescent="0.3">
      <c r="A16" s="12" t="s">
        <v>25</v>
      </c>
      <c r="B16" s="11" t="s">
        <v>26</v>
      </c>
      <c r="C16" s="13">
        <v>229</v>
      </c>
      <c r="D16" s="13">
        <v>1358</v>
      </c>
      <c r="E16" s="13">
        <v>2813</v>
      </c>
      <c r="F16" s="13">
        <v>4784</v>
      </c>
      <c r="G16" s="13">
        <v>7056</v>
      </c>
      <c r="H16" s="13">
        <v>10823</v>
      </c>
      <c r="I16" s="13">
        <v>14423</v>
      </c>
      <c r="J16" s="13">
        <v>18770</v>
      </c>
      <c r="K16" s="16">
        <f t="shared" ref="K16:N16" si="10">J16+(($O16-$J16)/5)</f>
        <v>31296</v>
      </c>
      <c r="L16" s="16">
        <f t="shared" si="10"/>
        <v>43822</v>
      </c>
      <c r="M16" s="16">
        <f t="shared" si="10"/>
        <v>56348</v>
      </c>
      <c r="N16" s="16">
        <f t="shared" si="10"/>
        <v>68874</v>
      </c>
      <c r="O16" s="14">
        <v>81400</v>
      </c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12"/>
      <c r="AA16" s="12"/>
      <c r="AB16" s="12"/>
      <c r="AC16" s="12"/>
      <c r="AD16" s="12"/>
      <c r="AE16" s="12"/>
      <c r="AF16" s="12"/>
      <c r="AG16" s="12"/>
      <c r="AH16" s="12"/>
      <c r="AI16" s="13"/>
    </row>
    <row r="17" spans="1:38" x14ac:dyDescent="0.3">
      <c r="A17" s="12" t="s">
        <v>27</v>
      </c>
      <c r="B17" s="11" t="s">
        <v>22</v>
      </c>
      <c r="C17" s="12"/>
      <c r="D17" s="12"/>
      <c r="E17" s="12"/>
      <c r="F17" s="12"/>
      <c r="G17" s="12"/>
      <c r="H17" s="12"/>
      <c r="I17" s="12"/>
      <c r="J17" s="14">
        <v>0</v>
      </c>
      <c r="K17" s="16">
        <f t="shared" ref="K17:N17" si="11">J17+(($O17-$J17)/5)</f>
        <v>1.2800000000000001E-2</v>
      </c>
      <c r="L17" s="16">
        <f t="shared" si="11"/>
        <v>2.5600000000000001E-2</v>
      </c>
      <c r="M17" s="16">
        <f t="shared" si="11"/>
        <v>3.8400000000000004E-2</v>
      </c>
      <c r="N17" s="16">
        <f t="shared" si="11"/>
        <v>5.1200000000000002E-2</v>
      </c>
      <c r="O17" s="14">
        <v>6.4000000000000001E-2</v>
      </c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2"/>
      <c r="AA17" s="12"/>
      <c r="AB17" s="12"/>
      <c r="AC17" s="12"/>
      <c r="AD17" s="12"/>
      <c r="AE17" s="12"/>
      <c r="AF17" s="12"/>
      <c r="AG17" s="12"/>
      <c r="AH17" s="12"/>
      <c r="AI17" s="13"/>
    </row>
    <row r="18" spans="1:38" x14ac:dyDescent="0.3">
      <c r="A18" s="12" t="s">
        <v>28</v>
      </c>
      <c r="B18" s="11" t="s">
        <v>22</v>
      </c>
      <c r="C18" s="12"/>
      <c r="D18" s="12"/>
      <c r="E18" s="12"/>
      <c r="F18" s="12"/>
      <c r="G18" s="29">
        <v>4.4999999999999997E-3</v>
      </c>
      <c r="H18" s="16">
        <f>G18+($K$18-$G$18)/4</f>
        <v>5.875E-3</v>
      </c>
      <c r="I18" s="16">
        <f t="shared" ref="I18:J18" si="12">H18+($K$18-$G$18)/4</f>
        <v>7.2500000000000004E-3</v>
      </c>
      <c r="J18" s="16">
        <f t="shared" si="12"/>
        <v>8.6250000000000007E-3</v>
      </c>
      <c r="K18" s="14">
        <v>0.01</v>
      </c>
      <c r="L18" s="30">
        <f>K18+($O$18-$K$18)/4</f>
        <v>0.01</v>
      </c>
      <c r="M18" s="30">
        <f t="shared" ref="M18:N18" si="13">L18+($O$18-$K$18)/4</f>
        <v>0.01</v>
      </c>
      <c r="N18" s="30">
        <f t="shared" si="13"/>
        <v>0.01</v>
      </c>
      <c r="O18" s="14">
        <v>0.01</v>
      </c>
      <c r="P18" s="12"/>
      <c r="Q18" s="12"/>
      <c r="R18" s="12"/>
      <c r="S18" s="12"/>
      <c r="T18" s="12"/>
      <c r="U18" s="12"/>
      <c r="V18" s="12"/>
      <c r="W18" s="12"/>
      <c r="X18" s="12"/>
      <c r="Y18" s="13"/>
      <c r="Z18" s="12"/>
      <c r="AA18" s="12"/>
      <c r="AB18" s="12"/>
      <c r="AC18" s="12"/>
      <c r="AD18" s="12"/>
      <c r="AE18" s="12"/>
      <c r="AF18" s="12"/>
      <c r="AG18" s="12"/>
      <c r="AH18" s="12"/>
      <c r="AI18" s="13"/>
    </row>
    <row r="19" spans="1:38" x14ac:dyDescent="0.3">
      <c r="K19" s="7"/>
      <c r="L19" s="7"/>
      <c r="M19" s="7"/>
      <c r="N19" s="7"/>
      <c r="O19" s="7"/>
    </row>
    <row r="21" spans="1:38" s="4" customFormat="1" x14ac:dyDescent="0.3">
      <c r="A21" s="63" t="s">
        <v>29</v>
      </c>
      <c r="B21" s="60" t="s">
        <v>1</v>
      </c>
      <c r="C21" s="31">
        <v>2018</v>
      </c>
      <c r="D21" s="31">
        <v>2019</v>
      </c>
      <c r="E21" s="31">
        <v>2020</v>
      </c>
      <c r="F21" s="31">
        <v>2021</v>
      </c>
      <c r="G21" s="31">
        <v>2022</v>
      </c>
      <c r="H21" s="31">
        <v>2023</v>
      </c>
      <c r="I21" s="31">
        <v>2024</v>
      </c>
      <c r="J21" s="61">
        <v>2025</v>
      </c>
      <c r="K21" s="31">
        <v>2026</v>
      </c>
      <c r="L21" s="31">
        <v>2027</v>
      </c>
      <c r="M21" s="31">
        <v>2028</v>
      </c>
      <c r="N21" s="31">
        <v>2029</v>
      </c>
      <c r="O21" s="61">
        <v>2030</v>
      </c>
      <c r="P21" s="31">
        <v>2031</v>
      </c>
      <c r="Q21" s="31">
        <v>2032</v>
      </c>
      <c r="R21" s="31">
        <v>2033</v>
      </c>
      <c r="S21" s="31">
        <v>2034</v>
      </c>
      <c r="T21" s="31">
        <v>2035</v>
      </c>
      <c r="U21" s="31">
        <v>2036</v>
      </c>
      <c r="V21" s="31">
        <v>2037</v>
      </c>
      <c r="W21" s="31">
        <v>2038</v>
      </c>
      <c r="X21" s="31">
        <v>2039</v>
      </c>
      <c r="Y21" s="61">
        <v>2040</v>
      </c>
      <c r="Z21" s="31">
        <v>2041</v>
      </c>
      <c r="AA21" s="31">
        <v>2042</v>
      </c>
      <c r="AB21" s="31">
        <v>2043</v>
      </c>
      <c r="AC21" s="31">
        <v>2044</v>
      </c>
      <c r="AD21" s="31">
        <v>2045</v>
      </c>
      <c r="AE21" s="31">
        <v>2046</v>
      </c>
      <c r="AF21" s="31">
        <v>2047</v>
      </c>
      <c r="AG21" s="31">
        <v>2048</v>
      </c>
      <c r="AH21" s="31">
        <v>2049</v>
      </c>
      <c r="AI21" s="61">
        <v>2050</v>
      </c>
      <c r="AL21" s="59"/>
    </row>
    <row r="22" spans="1:38" x14ac:dyDescent="0.3">
      <c r="A22" s="33" t="str">
        <f t="shared" ref="A22:B36" si="14">A2</f>
        <v>BEVs</v>
      </c>
      <c r="B22" s="32" t="str">
        <f t="shared" si="14"/>
        <v># vehicles</v>
      </c>
      <c r="C22" s="33"/>
      <c r="D22" s="33"/>
      <c r="E22" s="33"/>
      <c r="F22" s="33"/>
      <c r="G22" s="33"/>
      <c r="H22" s="33"/>
      <c r="I22" s="33"/>
      <c r="J22" s="35">
        <v>101505</v>
      </c>
      <c r="K22" s="36">
        <f>J22+($O22-$J22)/5</f>
        <v>147352</v>
      </c>
      <c r="L22" s="36">
        <f t="shared" ref="L22:M22" si="15">K22+($O22-$J22)/5</f>
        <v>193199</v>
      </c>
      <c r="M22" s="36">
        <f t="shared" si="15"/>
        <v>239046</v>
      </c>
      <c r="N22" s="36">
        <f>M22+($O22-$J22)/5</f>
        <v>284893</v>
      </c>
      <c r="O22" s="35">
        <v>330740</v>
      </c>
      <c r="P22" s="33"/>
      <c r="Q22" s="33"/>
      <c r="R22" s="33"/>
      <c r="S22" s="33"/>
      <c r="T22" s="33"/>
      <c r="U22" s="33"/>
      <c r="V22" s="33"/>
      <c r="W22" s="33"/>
      <c r="X22" s="33"/>
      <c r="Y22" s="34"/>
      <c r="Z22" s="33"/>
      <c r="AA22" s="33"/>
      <c r="AB22" s="33"/>
      <c r="AC22" s="33"/>
      <c r="AD22" s="33"/>
      <c r="AE22" s="33"/>
      <c r="AF22" s="33"/>
      <c r="AG22" s="33"/>
      <c r="AH22" s="33"/>
      <c r="AI22" s="34"/>
    </row>
    <row r="23" spans="1:38" x14ac:dyDescent="0.3">
      <c r="A23" s="33" t="str">
        <f t="shared" si="14"/>
        <v>PHEVs</v>
      </c>
      <c r="B23" s="32" t="str">
        <f t="shared" si="14"/>
        <v># vehicles</v>
      </c>
      <c r="C23" s="33"/>
      <c r="D23" s="33"/>
      <c r="E23" s="33"/>
      <c r="F23" s="33"/>
      <c r="G23" s="33"/>
      <c r="H23" s="33"/>
      <c r="I23" s="33"/>
      <c r="J23" s="35">
        <v>88430</v>
      </c>
      <c r="K23" s="36">
        <f t="shared" ref="K23:N23" si="16">J23+($O23-$J23)/5</f>
        <v>126626</v>
      </c>
      <c r="L23" s="36">
        <f t="shared" si="16"/>
        <v>164822</v>
      </c>
      <c r="M23" s="36">
        <f t="shared" si="16"/>
        <v>203018</v>
      </c>
      <c r="N23" s="36">
        <f t="shared" si="16"/>
        <v>241214</v>
      </c>
      <c r="O23" s="35">
        <v>279410</v>
      </c>
      <c r="P23" s="33"/>
      <c r="Q23" s="33"/>
      <c r="R23" s="33"/>
      <c r="S23" s="33"/>
      <c r="T23" s="33"/>
      <c r="U23" s="33"/>
      <c r="V23" s="33"/>
      <c r="W23" s="33"/>
      <c r="X23" s="33"/>
      <c r="Y23" s="34"/>
      <c r="Z23" s="33"/>
      <c r="AA23" s="33"/>
      <c r="AB23" s="33"/>
      <c r="AC23" s="33"/>
      <c r="AD23" s="33"/>
      <c r="AE23" s="33"/>
      <c r="AF23" s="33"/>
      <c r="AG23" s="33"/>
      <c r="AH23" s="33"/>
      <c r="AI23" s="34"/>
    </row>
    <row r="24" spans="1:38" x14ac:dyDescent="0.3">
      <c r="A24" s="33" t="str">
        <f t="shared" si="14"/>
        <v>Electric Buses</v>
      </c>
      <c r="B24" s="32" t="str">
        <f t="shared" si="14"/>
        <v># vehicles</v>
      </c>
      <c r="C24" s="33"/>
      <c r="D24" s="33"/>
      <c r="E24" s="33"/>
      <c r="F24" s="33"/>
      <c r="G24" s="33"/>
      <c r="H24" s="37">
        <f>H4</f>
        <v>61</v>
      </c>
      <c r="I24" s="37">
        <f>I4</f>
        <v>282</v>
      </c>
      <c r="J24" s="36">
        <f>I24+($O$24-$I$24)/6</f>
        <v>459</v>
      </c>
      <c r="K24" s="36">
        <f t="shared" ref="K24:N24" si="17">J24+($O$24-$I$24)/6</f>
        <v>636</v>
      </c>
      <c r="L24" s="36">
        <f t="shared" si="17"/>
        <v>813</v>
      </c>
      <c r="M24" s="36">
        <f t="shared" si="17"/>
        <v>990</v>
      </c>
      <c r="N24" s="36">
        <f t="shared" si="17"/>
        <v>1167</v>
      </c>
      <c r="O24" s="38">
        <v>1344</v>
      </c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3"/>
      <c r="AH24" s="33"/>
      <c r="AI24" s="34"/>
    </row>
    <row r="25" spans="1:38" x14ac:dyDescent="0.3">
      <c r="A25" s="33" t="str">
        <f t="shared" si="14"/>
        <v>PHEV LGV</v>
      </c>
      <c r="B25" s="32" t="str">
        <f t="shared" si="14"/>
        <v># vehicles</v>
      </c>
      <c r="C25" s="33"/>
      <c r="D25" s="33"/>
      <c r="E25" s="33"/>
      <c r="F25" s="33"/>
      <c r="G25" s="33"/>
      <c r="H25" s="33"/>
      <c r="I25" s="33"/>
      <c r="J25" s="35">
        <v>1200</v>
      </c>
      <c r="K25" s="36">
        <f t="shared" ref="K25:N25" si="18">J25+($O25-$J25)/5</f>
        <v>2160</v>
      </c>
      <c r="L25" s="36">
        <f t="shared" si="18"/>
        <v>3120</v>
      </c>
      <c r="M25" s="36">
        <f t="shared" si="18"/>
        <v>4080</v>
      </c>
      <c r="N25" s="36">
        <f t="shared" si="18"/>
        <v>5040</v>
      </c>
      <c r="O25" s="35">
        <v>6000</v>
      </c>
      <c r="P25" s="33"/>
      <c r="Q25" s="33"/>
      <c r="R25" s="33"/>
      <c r="S25" s="33"/>
      <c r="T25" s="33"/>
      <c r="U25" s="33"/>
      <c r="V25" s="33"/>
      <c r="W25" s="33"/>
      <c r="X25" s="33"/>
      <c r="Y25" s="34"/>
      <c r="Z25" s="33"/>
      <c r="AA25" s="33"/>
      <c r="AB25" s="33"/>
      <c r="AC25" s="33"/>
      <c r="AD25" s="33"/>
      <c r="AE25" s="33"/>
      <c r="AF25" s="33"/>
      <c r="AG25" s="33"/>
      <c r="AH25" s="33"/>
      <c r="AI25" s="34"/>
    </row>
    <row r="26" spans="1:38" x14ac:dyDescent="0.3">
      <c r="A26" s="33" t="str">
        <f t="shared" si="14"/>
        <v>Battery Electric Trucks (LGV + HGV)</v>
      </c>
      <c r="B26" s="32" t="str">
        <f t="shared" si="14"/>
        <v># vehicles</v>
      </c>
      <c r="C26" s="33"/>
      <c r="D26" s="33"/>
      <c r="E26" s="33"/>
      <c r="F26" s="33"/>
      <c r="G26" s="33"/>
      <c r="H26" s="33"/>
      <c r="I26" s="33"/>
      <c r="J26" s="35">
        <f>SUM(J27:J28)</f>
        <v>4810</v>
      </c>
      <c r="K26" s="36">
        <f t="shared" ref="K26:N26" si="19">J26+($O26-$J26)/5</f>
        <v>8768</v>
      </c>
      <c r="L26" s="36">
        <f t="shared" si="19"/>
        <v>12726</v>
      </c>
      <c r="M26" s="36">
        <f t="shared" si="19"/>
        <v>16684</v>
      </c>
      <c r="N26" s="36">
        <f t="shared" si="19"/>
        <v>20642</v>
      </c>
      <c r="O26" s="35">
        <f t="shared" ref="O26" si="20">SUM(O27:O28)</f>
        <v>24600</v>
      </c>
      <c r="P26" s="33"/>
      <c r="Q26" s="33"/>
      <c r="R26" s="33"/>
      <c r="S26" s="33"/>
      <c r="T26" s="33"/>
      <c r="U26" s="33"/>
      <c r="V26" s="33"/>
      <c r="W26" s="33"/>
      <c r="X26" s="33"/>
      <c r="Y26" s="34"/>
      <c r="Z26" s="33"/>
      <c r="AA26" s="33"/>
      <c r="AB26" s="33"/>
      <c r="AC26" s="33"/>
      <c r="AD26" s="33"/>
      <c r="AE26" s="33"/>
      <c r="AF26" s="33"/>
      <c r="AG26" s="33"/>
      <c r="AH26" s="33"/>
      <c r="AI26" s="34"/>
    </row>
    <row r="27" spans="1:38" x14ac:dyDescent="0.3">
      <c r="A27" s="39" t="str">
        <f t="shared" si="14"/>
        <v>LGV</v>
      </c>
      <c r="B27" s="40" t="str">
        <f t="shared" si="14"/>
        <v># vehicles</v>
      </c>
      <c r="C27" s="41"/>
      <c r="D27" s="41"/>
      <c r="E27" s="41"/>
      <c r="F27" s="41"/>
      <c r="G27" s="41"/>
      <c r="H27" s="41"/>
      <c r="I27" s="41"/>
      <c r="J27" s="42">
        <v>4800</v>
      </c>
      <c r="K27" s="43">
        <f t="shared" ref="K27:N27" si="21">J27+($O27-$J27)/5</f>
        <v>8640</v>
      </c>
      <c r="L27" s="43">
        <f t="shared" si="21"/>
        <v>12480</v>
      </c>
      <c r="M27" s="43">
        <f t="shared" si="21"/>
        <v>16320</v>
      </c>
      <c r="N27" s="43">
        <f t="shared" si="21"/>
        <v>20160</v>
      </c>
      <c r="O27" s="42">
        <v>24000</v>
      </c>
      <c r="P27" s="41"/>
      <c r="Q27" s="41"/>
      <c r="R27" s="41"/>
      <c r="S27" s="41"/>
      <c r="T27" s="41"/>
      <c r="U27" s="41"/>
      <c r="V27" s="41"/>
      <c r="W27" s="41"/>
      <c r="X27" s="41"/>
      <c r="Y27" s="44"/>
      <c r="Z27" s="41"/>
      <c r="AA27" s="41"/>
      <c r="AB27" s="41"/>
      <c r="AC27" s="41"/>
      <c r="AD27" s="41"/>
      <c r="AE27" s="41"/>
      <c r="AF27" s="41"/>
      <c r="AG27" s="41"/>
      <c r="AH27" s="41"/>
      <c r="AI27" s="45"/>
    </row>
    <row r="28" spans="1:38" x14ac:dyDescent="0.3">
      <c r="A28" s="46" t="str">
        <f t="shared" si="14"/>
        <v>HGV</v>
      </c>
      <c r="B28" s="47" t="str">
        <f t="shared" si="14"/>
        <v># vehicles</v>
      </c>
      <c r="C28" s="48"/>
      <c r="D28" s="48"/>
      <c r="E28" s="48"/>
      <c r="F28" s="48"/>
      <c r="G28" s="48"/>
      <c r="H28" s="48"/>
      <c r="I28" s="48"/>
      <c r="J28" s="49">
        <v>10</v>
      </c>
      <c r="K28" s="50">
        <f t="shared" ref="K28:N28" si="22">J28+($O28-$J28)/5</f>
        <v>128</v>
      </c>
      <c r="L28" s="50">
        <f t="shared" si="22"/>
        <v>246</v>
      </c>
      <c r="M28" s="50">
        <f t="shared" si="22"/>
        <v>364</v>
      </c>
      <c r="N28" s="50">
        <f t="shared" si="22"/>
        <v>482</v>
      </c>
      <c r="O28" s="49">
        <v>600</v>
      </c>
      <c r="P28" s="48"/>
      <c r="Q28" s="48"/>
      <c r="R28" s="48"/>
      <c r="S28" s="48"/>
      <c r="T28" s="48"/>
      <c r="U28" s="48"/>
      <c r="V28" s="48"/>
      <c r="W28" s="48"/>
      <c r="X28" s="48"/>
      <c r="Y28" s="51"/>
      <c r="Z28" s="48"/>
      <c r="AA28" s="48"/>
      <c r="AB28" s="48"/>
      <c r="AC28" s="48"/>
      <c r="AD28" s="48"/>
      <c r="AE28" s="48"/>
      <c r="AF28" s="48"/>
      <c r="AG28" s="48"/>
      <c r="AH28" s="48"/>
      <c r="AI28" s="52"/>
    </row>
    <row r="29" spans="1:38" x14ac:dyDescent="0.3">
      <c r="A29" s="33" t="str">
        <f t="shared" si="14"/>
        <v>Onshore wind</v>
      </c>
      <c r="B29" s="32" t="str">
        <f t="shared" si="14"/>
        <v>MW</v>
      </c>
      <c r="C29" s="33"/>
      <c r="D29" s="33"/>
      <c r="E29" s="33"/>
      <c r="F29" s="33"/>
      <c r="G29" s="33"/>
      <c r="H29" s="33"/>
      <c r="I29" s="34">
        <v>5318</v>
      </c>
      <c r="J29" s="34">
        <v>5824</v>
      </c>
      <c r="K29" s="34">
        <v>6065</v>
      </c>
      <c r="L29" s="34">
        <v>6565</v>
      </c>
      <c r="M29" s="34">
        <v>6805</v>
      </c>
      <c r="N29" s="34">
        <v>7105</v>
      </c>
      <c r="O29" s="34">
        <v>7155</v>
      </c>
      <c r="P29" s="34">
        <v>7355</v>
      </c>
      <c r="Q29" s="34">
        <v>7555</v>
      </c>
      <c r="R29" s="34">
        <v>7755</v>
      </c>
      <c r="S29" s="34">
        <v>7955</v>
      </c>
      <c r="T29" s="34">
        <v>8155</v>
      </c>
      <c r="U29" s="34">
        <v>8355</v>
      </c>
      <c r="V29" s="34">
        <v>8555</v>
      </c>
      <c r="W29" s="34">
        <v>8755</v>
      </c>
      <c r="X29" s="34">
        <v>8955</v>
      </c>
      <c r="Y29" s="34">
        <v>9155</v>
      </c>
      <c r="Z29" s="33"/>
      <c r="AA29" s="33"/>
      <c r="AB29" s="33"/>
      <c r="AC29" s="33"/>
      <c r="AD29" s="33"/>
      <c r="AE29" s="33"/>
      <c r="AF29" s="33"/>
      <c r="AG29" s="33"/>
      <c r="AH29" s="33"/>
      <c r="AI29" s="34"/>
    </row>
    <row r="30" spans="1:38" x14ac:dyDescent="0.3">
      <c r="A30" s="33" t="str">
        <f t="shared" si="14"/>
        <v>Offshore wind</v>
      </c>
      <c r="B30" s="32" t="str">
        <f t="shared" si="14"/>
        <v>MW</v>
      </c>
      <c r="C30" s="33"/>
      <c r="D30" s="33"/>
      <c r="E30" s="33"/>
      <c r="F30" s="33"/>
      <c r="G30" s="33"/>
      <c r="H30" s="33"/>
      <c r="I30" s="34">
        <v>25</v>
      </c>
      <c r="J30" s="34">
        <v>25</v>
      </c>
      <c r="K30" s="34">
        <v>25</v>
      </c>
      <c r="L30" s="34">
        <v>25</v>
      </c>
      <c r="M30" s="34">
        <v>850</v>
      </c>
      <c r="N30" s="34">
        <v>2650</v>
      </c>
      <c r="O30" s="34">
        <v>4000</v>
      </c>
      <c r="P30" s="34">
        <v>5000</v>
      </c>
      <c r="Q30" s="34">
        <v>5700</v>
      </c>
      <c r="R30" s="34">
        <v>6500</v>
      </c>
      <c r="S30" s="34">
        <v>7100</v>
      </c>
      <c r="T30" s="34">
        <v>7800</v>
      </c>
      <c r="U30" s="34">
        <v>8500</v>
      </c>
      <c r="V30" s="34">
        <v>9200</v>
      </c>
      <c r="W30" s="34">
        <v>9900</v>
      </c>
      <c r="X30" s="34">
        <v>10600</v>
      </c>
      <c r="Y30" s="34">
        <v>11300</v>
      </c>
      <c r="Z30" s="33"/>
      <c r="AA30" s="33"/>
      <c r="AB30" s="33"/>
      <c r="AC30" s="33"/>
      <c r="AD30" s="33"/>
      <c r="AE30" s="33"/>
      <c r="AF30" s="33"/>
      <c r="AG30" s="33"/>
      <c r="AH30" s="33"/>
      <c r="AI30" s="34"/>
    </row>
    <row r="31" spans="1:38" x14ac:dyDescent="0.3">
      <c r="A31" s="33" t="str">
        <f t="shared" si="14"/>
        <v>Solar</v>
      </c>
      <c r="B31" s="32" t="str">
        <f t="shared" si="14"/>
        <v>MW</v>
      </c>
      <c r="C31" s="33"/>
      <c r="D31" s="33"/>
      <c r="E31" s="33"/>
      <c r="F31" s="33"/>
      <c r="G31" s="33"/>
      <c r="H31" s="33"/>
      <c r="I31" s="34">
        <v>1194</v>
      </c>
      <c r="J31" s="34">
        <v>2249</v>
      </c>
      <c r="K31" s="34">
        <v>2687</v>
      </c>
      <c r="L31" s="34">
        <v>3575</v>
      </c>
      <c r="M31" s="34">
        <v>4192</v>
      </c>
      <c r="N31" s="34">
        <v>5324</v>
      </c>
      <c r="O31" s="34">
        <v>6500</v>
      </c>
      <c r="P31" s="34">
        <v>6750</v>
      </c>
      <c r="Q31" s="34">
        <v>7050</v>
      </c>
      <c r="R31" s="34">
        <v>7350</v>
      </c>
      <c r="S31" s="34">
        <v>7650</v>
      </c>
      <c r="T31" s="34">
        <v>7950</v>
      </c>
      <c r="U31" s="34">
        <v>8250</v>
      </c>
      <c r="V31" s="34">
        <v>8550</v>
      </c>
      <c r="W31" s="34">
        <v>8850</v>
      </c>
      <c r="X31" s="34">
        <v>9150</v>
      </c>
      <c r="Y31" s="34">
        <v>9450</v>
      </c>
      <c r="Z31" s="33"/>
      <c r="AA31" s="33"/>
      <c r="AB31" s="33"/>
      <c r="AC31" s="33"/>
      <c r="AD31" s="33"/>
      <c r="AE31" s="33"/>
      <c r="AF31" s="33"/>
      <c r="AG31" s="33"/>
      <c r="AH31" s="33"/>
      <c r="AI31" s="34"/>
    </row>
    <row r="32" spans="1:38" x14ac:dyDescent="0.3">
      <c r="A32" s="33" t="str">
        <f t="shared" si="14"/>
        <v>Biofuel Blending Ethanol (transport)</v>
      </c>
      <c r="B32" s="32" t="str">
        <f t="shared" si="14"/>
        <v>% share</v>
      </c>
      <c r="C32" s="33"/>
      <c r="D32" s="33"/>
      <c r="E32" s="33"/>
      <c r="F32" s="33"/>
      <c r="G32" s="33"/>
      <c r="H32" s="33"/>
      <c r="I32" s="33"/>
      <c r="J32" s="35">
        <v>10</v>
      </c>
      <c r="K32" s="36">
        <f t="shared" ref="K32:N32" si="23">J32+($O32-$J32)/5</f>
        <v>10</v>
      </c>
      <c r="L32" s="36">
        <f t="shared" si="23"/>
        <v>10</v>
      </c>
      <c r="M32" s="36">
        <f t="shared" si="23"/>
        <v>10</v>
      </c>
      <c r="N32" s="36">
        <f t="shared" si="23"/>
        <v>10</v>
      </c>
      <c r="O32" s="35">
        <v>10</v>
      </c>
      <c r="P32" s="33"/>
      <c r="Q32" s="33"/>
      <c r="R32" s="33"/>
      <c r="S32" s="33"/>
      <c r="T32" s="33"/>
      <c r="U32" s="33"/>
      <c r="V32" s="33"/>
      <c r="W32" s="33"/>
      <c r="X32" s="33"/>
      <c r="Y32" s="34"/>
      <c r="Z32" s="33"/>
      <c r="AA32" s="33"/>
      <c r="AB32" s="33"/>
      <c r="AC32" s="33"/>
      <c r="AD32" s="33"/>
      <c r="AE32" s="33"/>
      <c r="AF32" s="33"/>
      <c r="AG32" s="33"/>
      <c r="AH32" s="33"/>
      <c r="AI32" s="34"/>
    </row>
    <row r="33" spans="1:35" x14ac:dyDescent="0.3">
      <c r="A33" s="33" t="str">
        <f t="shared" si="14"/>
        <v>Biofuel Blending Biodiesel (transport)</v>
      </c>
      <c r="B33" s="32" t="str">
        <f t="shared" si="14"/>
        <v>% share</v>
      </c>
      <c r="C33" s="33"/>
      <c r="D33" s="33"/>
      <c r="E33" s="33"/>
      <c r="F33" s="33"/>
      <c r="G33" s="33"/>
      <c r="H33" s="33"/>
      <c r="I33" s="33"/>
      <c r="J33" s="35">
        <v>12</v>
      </c>
      <c r="K33" s="36">
        <f t="shared" ref="K33:N33" si="24">J33+($O33-$J33)/5</f>
        <v>13.6</v>
      </c>
      <c r="L33" s="36">
        <f t="shared" si="24"/>
        <v>15.2</v>
      </c>
      <c r="M33" s="36">
        <f t="shared" si="24"/>
        <v>16.8</v>
      </c>
      <c r="N33" s="36">
        <f t="shared" si="24"/>
        <v>18.400000000000002</v>
      </c>
      <c r="O33" s="35">
        <v>20</v>
      </c>
      <c r="P33" s="33"/>
      <c r="Q33" s="33"/>
      <c r="R33" s="33"/>
      <c r="S33" s="33"/>
      <c r="T33" s="33"/>
      <c r="U33" s="33"/>
      <c r="V33" s="33"/>
      <c r="W33" s="33"/>
      <c r="X33" s="33"/>
      <c r="Y33" s="34"/>
      <c r="Z33" s="33"/>
      <c r="AA33" s="33"/>
      <c r="AB33" s="33"/>
      <c r="AC33" s="33"/>
      <c r="AD33" s="33"/>
      <c r="AE33" s="33"/>
      <c r="AF33" s="33"/>
      <c r="AG33" s="33"/>
      <c r="AH33" s="33"/>
      <c r="AI33" s="34"/>
    </row>
    <row r="34" spans="1:35" x14ac:dyDescent="0.3">
      <c r="A34" s="33" t="str">
        <f t="shared" si="14"/>
        <v>Biomethane</v>
      </c>
      <c r="B34" s="32" t="str">
        <f t="shared" si="14"/>
        <v>TWh</v>
      </c>
      <c r="C34" s="33"/>
      <c r="D34" s="33"/>
      <c r="E34" s="33"/>
      <c r="F34" s="33"/>
      <c r="G34" s="33"/>
      <c r="H34" s="33"/>
      <c r="I34" s="33"/>
      <c r="J34" s="35">
        <v>0</v>
      </c>
      <c r="K34" s="36">
        <f t="shared" ref="K34:N34" si="25">J34+($O34-$J34)/5</f>
        <v>0.86</v>
      </c>
      <c r="L34" s="36">
        <f t="shared" si="25"/>
        <v>1.72</v>
      </c>
      <c r="M34" s="36">
        <f t="shared" si="25"/>
        <v>2.58</v>
      </c>
      <c r="N34" s="36">
        <f t="shared" si="25"/>
        <v>3.44</v>
      </c>
      <c r="O34" s="35">
        <v>4.3</v>
      </c>
      <c r="P34" s="33"/>
      <c r="Q34" s="33"/>
      <c r="R34" s="33"/>
      <c r="S34" s="33"/>
      <c r="T34" s="33"/>
      <c r="U34" s="33"/>
      <c r="V34" s="33"/>
      <c r="W34" s="33"/>
      <c r="X34" s="33"/>
      <c r="Y34" s="34"/>
      <c r="Z34" s="33"/>
      <c r="AA34" s="33"/>
      <c r="AB34" s="33"/>
      <c r="AC34" s="33"/>
      <c r="AD34" s="33"/>
      <c r="AE34" s="33"/>
      <c r="AF34" s="33"/>
      <c r="AG34" s="33"/>
      <c r="AH34" s="33"/>
      <c r="AI34" s="34"/>
    </row>
    <row r="35" spans="1:35" x14ac:dyDescent="0.3">
      <c r="A35" s="33" t="str">
        <f t="shared" si="14"/>
        <v>Retrofits</v>
      </c>
      <c r="B35" s="32" t="str">
        <f t="shared" si="14"/>
        <v># Homes B2 (total)</v>
      </c>
      <c r="C35" s="34">
        <f>C15</f>
        <v>2566</v>
      </c>
      <c r="D35" s="34">
        <f>D15</f>
        <v>4989</v>
      </c>
      <c r="E35" s="34">
        <f t="shared" ref="E35:I35" si="26">E15</f>
        <v>8264</v>
      </c>
      <c r="F35" s="34">
        <f t="shared" si="26"/>
        <v>12603</v>
      </c>
      <c r="G35" s="34">
        <f t="shared" si="26"/>
        <v>21079</v>
      </c>
      <c r="H35" s="34">
        <f t="shared" si="26"/>
        <v>38679</v>
      </c>
      <c r="I35" s="34">
        <f t="shared" si="26"/>
        <v>60496</v>
      </c>
      <c r="J35" s="35">
        <v>120000</v>
      </c>
      <c r="K35" s="36">
        <f t="shared" ref="K35:N35" si="27">J35+($O35-$J35)/5</f>
        <v>106000</v>
      </c>
      <c r="L35" s="36">
        <f t="shared" si="27"/>
        <v>92000</v>
      </c>
      <c r="M35" s="36">
        <f t="shared" si="27"/>
        <v>78000</v>
      </c>
      <c r="N35" s="36">
        <f t="shared" si="27"/>
        <v>64000</v>
      </c>
      <c r="O35" s="35">
        <v>50000</v>
      </c>
      <c r="P35" s="33"/>
      <c r="Q35" s="33"/>
      <c r="R35" s="33"/>
      <c r="S35" s="33"/>
      <c r="T35" s="33"/>
      <c r="U35" s="33"/>
      <c r="V35" s="33"/>
      <c r="W35" s="33"/>
      <c r="X35" s="33"/>
      <c r="Y35" s="34"/>
      <c r="Z35" s="33"/>
      <c r="AA35" s="33"/>
      <c r="AB35" s="33"/>
      <c r="AC35" s="33"/>
      <c r="AD35" s="33"/>
      <c r="AE35" s="33"/>
      <c r="AF35" s="33"/>
      <c r="AG35" s="33"/>
      <c r="AH35" s="33"/>
      <c r="AI35" s="34"/>
    </row>
    <row r="36" spans="1:35" x14ac:dyDescent="0.3">
      <c r="A36" s="33" t="str">
        <f t="shared" si="14"/>
        <v>Heat Pumps (Residential)</v>
      </c>
      <c r="B36" s="32" t="str">
        <f t="shared" si="14"/>
        <v># Heat Pumps (total)</v>
      </c>
      <c r="C36" s="34">
        <f>C16</f>
        <v>229</v>
      </c>
      <c r="D36" s="34">
        <f t="shared" ref="D36:J36" si="28">D16</f>
        <v>1358</v>
      </c>
      <c r="E36" s="34">
        <f t="shared" si="28"/>
        <v>2813</v>
      </c>
      <c r="F36" s="34">
        <f t="shared" si="28"/>
        <v>4784</v>
      </c>
      <c r="G36" s="34">
        <f t="shared" si="28"/>
        <v>7056</v>
      </c>
      <c r="H36" s="34">
        <f t="shared" si="28"/>
        <v>10823</v>
      </c>
      <c r="I36" s="34">
        <f t="shared" si="28"/>
        <v>14423</v>
      </c>
      <c r="J36" s="34">
        <f t="shared" si="28"/>
        <v>18770</v>
      </c>
      <c r="K36" s="36">
        <f t="shared" ref="K36:N36" si="29">J36+($O36-$J36)/5</f>
        <v>43616</v>
      </c>
      <c r="L36" s="36">
        <f t="shared" si="29"/>
        <v>68462</v>
      </c>
      <c r="M36" s="36">
        <f t="shared" si="29"/>
        <v>93308</v>
      </c>
      <c r="N36" s="36">
        <f t="shared" si="29"/>
        <v>118154</v>
      </c>
      <c r="O36" s="35">
        <v>143000</v>
      </c>
      <c r="P36" s="33"/>
      <c r="Q36" s="33"/>
      <c r="R36" s="33"/>
      <c r="S36" s="33"/>
      <c r="T36" s="33"/>
      <c r="U36" s="33"/>
      <c r="V36" s="33"/>
      <c r="W36" s="33"/>
      <c r="X36" s="33"/>
      <c r="Y36" s="34"/>
      <c r="Z36" s="33"/>
      <c r="AA36" s="33"/>
      <c r="AB36" s="33"/>
      <c r="AC36" s="33"/>
      <c r="AD36" s="33"/>
      <c r="AE36" s="33"/>
      <c r="AF36" s="33"/>
      <c r="AG36" s="33"/>
      <c r="AH36" s="33"/>
      <c r="AI36" s="34"/>
    </row>
    <row r="37" spans="1:35" x14ac:dyDescent="0.3">
      <c r="A37" s="33" t="str">
        <f t="shared" ref="A37:B38" si="30">A17</f>
        <v>District Heating (Residential)</v>
      </c>
      <c r="B37" s="32" t="str">
        <f t="shared" si="30"/>
        <v>TWh</v>
      </c>
      <c r="C37" s="33"/>
      <c r="D37" s="33"/>
      <c r="E37" s="33"/>
      <c r="F37" s="33"/>
      <c r="G37" s="53"/>
      <c r="H37" s="33"/>
      <c r="I37" s="33"/>
      <c r="J37" s="35">
        <v>0</v>
      </c>
      <c r="K37" s="54">
        <f t="shared" ref="K37:N37" si="31">J37+($O37-$J37)/5</f>
        <v>1.2800000000000001E-2</v>
      </c>
      <c r="L37" s="54">
        <f t="shared" si="31"/>
        <v>2.5600000000000001E-2</v>
      </c>
      <c r="M37" s="54">
        <f t="shared" si="31"/>
        <v>3.8400000000000004E-2</v>
      </c>
      <c r="N37" s="54">
        <f t="shared" si="31"/>
        <v>5.1200000000000002E-2</v>
      </c>
      <c r="O37" s="55">
        <v>6.4000000000000001E-2</v>
      </c>
      <c r="P37" s="33"/>
      <c r="Q37" s="33"/>
      <c r="R37" s="33"/>
      <c r="S37" s="33"/>
      <c r="T37" s="33"/>
      <c r="U37" s="33"/>
      <c r="V37" s="33"/>
      <c r="W37" s="33"/>
      <c r="X37" s="33"/>
      <c r="Y37" s="34"/>
      <c r="Z37" s="33"/>
      <c r="AA37" s="33"/>
      <c r="AB37" s="33"/>
      <c r="AC37" s="33"/>
      <c r="AD37" s="33"/>
      <c r="AE37" s="33"/>
      <c r="AF37" s="33"/>
      <c r="AG37" s="33"/>
      <c r="AH37" s="33"/>
      <c r="AI37" s="34"/>
    </row>
    <row r="38" spans="1:35" x14ac:dyDescent="0.3">
      <c r="A38" s="33" t="str">
        <f t="shared" si="30"/>
        <v>District Heating (Commercial)</v>
      </c>
      <c r="B38" s="32" t="str">
        <f t="shared" si="30"/>
        <v>TWh</v>
      </c>
      <c r="C38" s="33"/>
      <c r="D38" s="33"/>
      <c r="E38" s="33"/>
      <c r="F38" s="33"/>
      <c r="G38" s="56">
        <f>G18</f>
        <v>4.4999999999999997E-3</v>
      </c>
      <c r="H38" s="36">
        <f>H18</f>
        <v>5.875E-3</v>
      </c>
      <c r="I38" s="36">
        <f t="shared" ref="I38:J38" si="32">I18</f>
        <v>7.2500000000000004E-3</v>
      </c>
      <c r="J38" s="36">
        <f t="shared" si="32"/>
        <v>8.6250000000000007E-3</v>
      </c>
      <c r="K38" s="35">
        <f t="shared" ref="K38" si="33">K18</f>
        <v>0.01</v>
      </c>
      <c r="L38" s="36">
        <f>K38+($O$38-$K$38)/4</f>
        <v>4.4999999999999998E-2</v>
      </c>
      <c r="M38" s="36">
        <f t="shared" ref="M38:N38" si="34">L38+($O$38-$K$38)/4</f>
        <v>7.9999999999999988E-2</v>
      </c>
      <c r="N38" s="36">
        <f t="shared" si="34"/>
        <v>0.11499999999999999</v>
      </c>
      <c r="O38" s="35">
        <v>0.15</v>
      </c>
      <c r="P38" s="33"/>
      <c r="Q38" s="33"/>
      <c r="R38" s="33"/>
      <c r="S38" s="33"/>
      <c r="T38" s="33"/>
      <c r="U38" s="33"/>
      <c r="V38" s="33"/>
      <c r="W38" s="33"/>
      <c r="X38" s="33"/>
      <c r="Y38" s="34"/>
      <c r="Z38" s="33"/>
      <c r="AA38" s="33"/>
      <c r="AB38" s="33"/>
      <c r="AC38" s="33"/>
      <c r="AD38" s="33"/>
      <c r="AE38" s="33"/>
      <c r="AF38" s="33"/>
      <c r="AG38" s="33"/>
      <c r="AH38" s="33"/>
      <c r="AI38" s="34"/>
    </row>
  </sheetData>
  <pageMargins left="0.7" right="0.7" top="0.75" bottom="0.75" header="0.3" footer="0.3"/>
  <ignoredErrors>
    <ignoredError sqref="J26" formulaRange="1"/>
    <ignoredError sqref="K15:O15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5127-226E-4624-AF46-EF84FB64F08B}">
  <dimension ref="A1:AI22"/>
  <sheetViews>
    <sheetView workbookViewId="0">
      <selection activeCell="K13" sqref="K13"/>
    </sheetView>
  </sheetViews>
  <sheetFormatPr defaultRowHeight="14.4" x14ac:dyDescent="0.3"/>
  <cols>
    <col min="1" max="1" width="9.33203125" customWidth="1"/>
    <col min="2" max="2" width="17.33203125" bestFit="1" customWidth="1"/>
    <col min="3" max="10" width="9.33203125" customWidth="1"/>
  </cols>
  <sheetData>
    <row r="1" spans="1:35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</row>
    <row r="2" spans="1:35" x14ac:dyDescent="0.3">
      <c r="A2" t="s">
        <v>0</v>
      </c>
      <c r="B2" t="s">
        <v>1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I2">
        <v>2024</v>
      </c>
      <c r="J2">
        <v>2025</v>
      </c>
      <c r="K2">
        <v>2026</v>
      </c>
      <c r="L2">
        <v>2027</v>
      </c>
      <c r="M2">
        <v>2028</v>
      </c>
      <c r="N2">
        <v>2029</v>
      </c>
      <c r="O2">
        <v>2030</v>
      </c>
      <c r="P2">
        <v>2031</v>
      </c>
      <c r="Q2">
        <v>2032</v>
      </c>
      <c r="R2">
        <v>2033</v>
      </c>
      <c r="S2">
        <v>2034</v>
      </c>
      <c r="T2">
        <v>2035</v>
      </c>
      <c r="U2">
        <v>2036</v>
      </c>
      <c r="V2">
        <v>2037</v>
      </c>
      <c r="W2">
        <v>2038</v>
      </c>
      <c r="X2">
        <v>2039</v>
      </c>
      <c r="Y2">
        <v>2040</v>
      </c>
      <c r="Z2">
        <v>2041</v>
      </c>
      <c r="AA2">
        <v>2042</v>
      </c>
      <c r="AB2">
        <v>2043</v>
      </c>
      <c r="AC2">
        <v>2044</v>
      </c>
      <c r="AD2">
        <v>2045</v>
      </c>
      <c r="AE2">
        <v>2046</v>
      </c>
      <c r="AF2">
        <v>2047</v>
      </c>
      <c r="AG2">
        <v>2048</v>
      </c>
      <c r="AH2">
        <v>2049</v>
      </c>
      <c r="AI2">
        <v>2050</v>
      </c>
    </row>
    <row r="3" spans="1:35" x14ac:dyDescent="0.3">
      <c r="A3" t="s">
        <v>23</v>
      </c>
      <c r="B3" t="s">
        <v>24</v>
      </c>
      <c r="C3">
        <v>2566</v>
      </c>
      <c r="D3">
        <v>4989</v>
      </c>
      <c r="E3">
        <v>8264</v>
      </c>
      <c r="F3">
        <v>12603</v>
      </c>
      <c r="G3">
        <v>21079</v>
      </c>
      <c r="H3">
        <v>38679</v>
      </c>
      <c r="I3">
        <v>60496</v>
      </c>
      <c r="J3">
        <v>86728</v>
      </c>
      <c r="K3" s="5">
        <f>J3+K4</f>
        <v>114601.4</v>
      </c>
      <c r="L3" s="5">
        <f t="shared" ref="L3:O3" si="0">K3+L4</f>
        <v>146308.5</v>
      </c>
      <c r="M3" s="5">
        <f t="shared" si="0"/>
        <v>181849.3</v>
      </c>
      <c r="N3" s="5">
        <f t="shared" si="0"/>
        <v>221223.8</v>
      </c>
      <c r="O3" s="5">
        <f t="shared" si="0"/>
        <v>264432</v>
      </c>
    </row>
    <row r="4" spans="1:35" x14ac:dyDescent="0.3">
      <c r="B4" t="s">
        <v>30</v>
      </c>
      <c r="C4">
        <v>811</v>
      </c>
      <c r="D4">
        <f>D3-C3</f>
        <v>2423</v>
      </c>
      <c r="E4">
        <f t="shared" ref="E4:J4" si="1">E3-D3</f>
        <v>3275</v>
      </c>
      <c r="F4">
        <f t="shared" si="1"/>
        <v>4339</v>
      </c>
      <c r="G4">
        <f t="shared" si="1"/>
        <v>8476</v>
      </c>
      <c r="H4">
        <f t="shared" si="1"/>
        <v>17600</v>
      </c>
      <c r="I4">
        <f t="shared" si="1"/>
        <v>21817</v>
      </c>
      <c r="J4">
        <f t="shared" si="1"/>
        <v>26232</v>
      </c>
      <c r="K4" s="5">
        <f>(3833.7*K1)-6629.9</f>
        <v>27873.399999999994</v>
      </c>
      <c r="L4" s="5">
        <f t="shared" ref="L4:O4" si="2">(3833.7*L1)-6629.9</f>
        <v>31707.1</v>
      </c>
      <c r="M4" s="5">
        <f t="shared" si="2"/>
        <v>35540.799999999996</v>
      </c>
      <c r="N4" s="5">
        <f t="shared" si="2"/>
        <v>39374.499999999993</v>
      </c>
      <c r="O4" s="5">
        <f t="shared" si="2"/>
        <v>43208.2</v>
      </c>
    </row>
    <row r="22" spans="2:2" x14ac:dyDescent="0.3">
      <c r="B22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987A-E6E4-4CCA-B186-54ECA0E39EED}">
  <dimension ref="A1:AL38"/>
  <sheetViews>
    <sheetView tabSelected="1" topLeftCell="M9" workbookViewId="0">
      <selection activeCell="A21" sqref="A21:AI38"/>
    </sheetView>
  </sheetViews>
  <sheetFormatPr defaultRowHeight="14.4" x14ac:dyDescent="0.3"/>
  <sheetData>
    <row r="1" spans="1:38" x14ac:dyDescent="0.3">
      <c r="A1" s="62" t="s">
        <v>0</v>
      </c>
      <c r="B1" s="57" t="s">
        <v>1</v>
      </c>
      <c r="C1" s="10">
        <v>2018</v>
      </c>
      <c r="D1" s="10">
        <v>2019</v>
      </c>
      <c r="E1" s="10">
        <v>2020</v>
      </c>
      <c r="F1" s="10">
        <v>2021</v>
      </c>
      <c r="G1" s="10">
        <v>2022</v>
      </c>
      <c r="H1" s="10">
        <v>2023</v>
      </c>
      <c r="I1" s="10">
        <v>2024</v>
      </c>
      <c r="J1" s="58">
        <v>2025</v>
      </c>
      <c r="K1" s="10">
        <v>2026</v>
      </c>
      <c r="L1" s="10">
        <v>2027</v>
      </c>
      <c r="M1" s="10">
        <v>2028</v>
      </c>
      <c r="N1" s="10">
        <v>2029</v>
      </c>
      <c r="O1" s="58">
        <v>2030</v>
      </c>
      <c r="P1" s="10">
        <v>2031</v>
      </c>
      <c r="Q1" s="10">
        <v>2032</v>
      </c>
      <c r="R1" s="10">
        <v>2033</v>
      </c>
      <c r="S1" s="10">
        <v>2034</v>
      </c>
      <c r="T1" s="10">
        <v>2035</v>
      </c>
      <c r="U1" s="10">
        <v>2036</v>
      </c>
      <c r="V1" s="10">
        <v>2037</v>
      </c>
      <c r="W1" s="10">
        <v>2038</v>
      </c>
      <c r="X1" s="10">
        <v>2039</v>
      </c>
      <c r="Y1" s="58">
        <v>2040</v>
      </c>
      <c r="Z1" s="10">
        <v>2041</v>
      </c>
      <c r="AA1" s="10">
        <v>2042</v>
      </c>
      <c r="AB1" s="10">
        <v>2043</v>
      </c>
      <c r="AC1" s="10">
        <v>2044</v>
      </c>
      <c r="AD1" s="10">
        <v>2045</v>
      </c>
      <c r="AE1" s="10">
        <v>2046</v>
      </c>
      <c r="AF1" s="10">
        <v>2047</v>
      </c>
      <c r="AG1" s="10">
        <v>2048</v>
      </c>
      <c r="AH1" s="10">
        <v>2049</v>
      </c>
      <c r="AI1" s="58">
        <v>2050</v>
      </c>
      <c r="AJ1" s="4"/>
      <c r="AK1" s="4"/>
      <c r="AL1" s="59"/>
    </row>
    <row r="2" spans="1:38" x14ac:dyDescent="0.3">
      <c r="A2" s="12" t="s">
        <v>2</v>
      </c>
      <c r="B2" s="11" t="s">
        <v>3</v>
      </c>
      <c r="C2" s="12"/>
      <c r="D2" s="12"/>
      <c r="E2" s="12"/>
      <c r="F2" s="12"/>
      <c r="G2" s="12"/>
      <c r="H2" s="12"/>
      <c r="I2" s="12"/>
      <c r="J2" s="14">
        <v>98415</v>
      </c>
      <c r="K2" s="15">
        <f>J2+(($O2-$J2)/5)</f>
        <v>132814.39999999999</v>
      </c>
      <c r="L2" s="15">
        <f>K2+(($O2-$J2)/5)</f>
        <v>167213.79999999999</v>
      </c>
      <c r="M2" s="15">
        <f>L2+(($O2-$J2)/5)</f>
        <v>201613.19999999998</v>
      </c>
      <c r="N2" s="15">
        <f>M2+(($O2-$J2)/5)</f>
        <v>236012.59999999998</v>
      </c>
      <c r="O2" s="14">
        <v>270412</v>
      </c>
      <c r="P2" s="12"/>
      <c r="Q2" s="12"/>
      <c r="R2" s="12"/>
      <c r="S2" s="12"/>
      <c r="T2" s="12"/>
      <c r="U2" s="12"/>
      <c r="V2" s="12"/>
      <c r="W2" s="12"/>
      <c r="X2" s="12"/>
      <c r="Y2" s="13"/>
      <c r="Z2" s="12"/>
      <c r="AA2" s="12"/>
      <c r="AB2" s="12"/>
      <c r="AC2" s="12"/>
      <c r="AD2" s="12"/>
      <c r="AE2" s="12"/>
      <c r="AF2" s="12"/>
      <c r="AG2" s="12"/>
      <c r="AH2" s="12"/>
      <c r="AI2" s="13"/>
      <c r="AL2" s="2" t="s">
        <v>4</v>
      </c>
    </row>
    <row r="3" spans="1:38" x14ac:dyDescent="0.3">
      <c r="A3" s="12" t="s">
        <v>5</v>
      </c>
      <c r="B3" s="11" t="s">
        <v>3</v>
      </c>
      <c r="C3" s="12"/>
      <c r="D3" s="12"/>
      <c r="E3" s="12"/>
      <c r="F3" s="12"/>
      <c r="G3" s="12"/>
      <c r="H3" s="12"/>
      <c r="I3" s="12"/>
      <c r="J3" s="14">
        <v>88430</v>
      </c>
      <c r="K3" s="16">
        <f t="shared" ref="K3:N3" si="0">J3+(($O3-$J3)/5)</f>
        <v>126626</v>
      </c>
      <c r="L3" s="16">
        <f t="shared" si="0"/>
        <v>164822</v>
      </c>
      <c r="M3" s="16">
        <f t="shared" si="0"/>
        <v>203018</v>
      </c>
      <c r="N3" s="16">
        <f t="shared" si="0"/>
        <v>241214</v>
      </c>
      <c r="O3" s="14">
        <v>279410</v>
      </c>
      <c r="P3" s="12"/>
      <c r="Q3" s="12"/>
      <c r="R3" s="12"/>
      <c r="S3" s="12"/>
      <c r="T3" s="12"/>
      <c r="U3" s="12"/>
      <c r="V3" s="12"/>
      <c r="W3" s="12"/>
      <c r="X3" s="12"/>
      <c r="Y3" s="13"/>
      <c r="Z3" s="12"/>
      <c r="AA3" s="12"/>
      <c r="AB3" s="12"/>
      <c r="AC3" s="12"/>
      <c r="AD3" s="12"/>
      <c r="AE3" s="12"/>
      <c r="AF3" s="12"/>
      <c r="AG3" s="12"/>
      <c r="AH3" s="12"/>
      <c r="AI3" s="13"/>
      <c r="AL3" s="3" t="s">
        <v>6</v>
      </c>
    </row>
    <row r="4" spans="1:38" x14ac:dyDescent="0.3">
      <c r="A4" s="12" t="s">
        <v>7</v>
      </c>
      <c r="B4" s="11" t="s">
        <v>3</v>
      </c>
      <c r="C4" s="12"/>
      <c r="D4" s="12"/>
      <c r="E4" s="12"/>
      <c r="F4" s="12"/>
      <c r="G4" s="12"/>
      <c r="H4" s="17">
        <v>61</v>
      </c>
      <c r="I4" s="17">
        <v>282</v>
      </c>
      <c r="J4" s="16">
        <f>I4</f>
        <v>282</v>
      </c>
      <c r="K4" s="16">
        <f t="shared" ref="K4:O4" si="1">J4</f>
        <v>282</v>
      </c>
      <c r="L4" s="16">
        <f t="shared" si="1"/>
        <v>282</v>
      </c>
      <c r="M4" s="16">
        <f t="shared" si="1"/>
        <v>282</v>
      </c>
      <c r="N4" s="16">
        <f t="shared" si="1"/>
        <v>282</v>
      </c>
      <c r="O4" s="16">
        <f t="shared" si="1"/>
        <v>282</v>
      </c>
      <c r="P4" s="12"/>
      <c r="Q4" s="12"/>
      <c r="R4" s="12"/>
      <c r="S4" s="12"/>
      <c r="T4" s="12"/>
      <c r="U4" s="12"/>
      <c r="V4" s="12"/>
      <c r="W4" s="12"/>
      <c r="X4" s="12"/>
      <c r="Y4" s="13"/>
      <c r="Z4" s="12"/>
      <c r="AA4" s="12"/>
      <c r="AB4" s="12"/>
      <c r="AC4" s="12"/>
      <c r="AD4" s="12"/>
      <c r="AE4" s="12"/>
      <c r="AF4" s="12"/>
      <c r="AG4" s="12"/>
      <c r="AH4" s="12"/>
      <c r="AI4" s="13"/>
      <c r="AL4" s="9" t="s">
        <v>8</v>
      </c>
    </row>
    <row r="5" spans="1:38" x14ac:dyDescent="0.3">
      <c r="A5" s="12" t="s">
        <v>9</v>
      </c>
      <c r="B5" s="11" t="s">
        <v>3</v>
      </c>
      <c r="C5" s="12"/>
      <c r="D5" s="12"/>
      <c r="E5" s="12"/>
      <c r="F5" s="12"/>
      <c r="G5" s="12"/>
      <c r="H5" s="12"/>
      <c r="I5" s="12"/>
      <c r="J5" s="14">
        <v>1200</v>
      </c>
      <c r="K5" s="16">
        <f t="shared" ref="K5:N8" si="2">J5+(($O5-$J5)/5)</f>
        <v>1860</v>
      </c>
      <c r="L5" s="16">
        <f t="shared" si="2"/>
        <v>2520</v>
      </c>
      <c r="M5" s="16">
        <f t="shared" si="2"/>
        <v>3180</v>
      </c>
      <c r="N5" s="16">
        <f t="shared" si="2"/>
        <v>3840</v>
      </c>
      <c r="O5" s="14">
        <v>4500</v>
      </c>
      <c r="P5" s="12"/>
      <c r="Q5" s="12"/>
      <c r="R5" s="12"/>
      <c r="S5" s="12"/>
      <c r="T5" s="12"/>
      <c r="U5" s="12"/>
      <c r="V5" s="12"/>
      <c r="W5" s="12"/>
      <c r="X5" s="12"/>
      <c r="Y5" s="13"/>
      <c r="Z5" s="12"/>
      <c r="AA5" s="12"/>
      <c r="AB5" s="12"/>
      <c r="AC5" s="12"/>
      <c r="AD5" s="12"/>
      <c r="AE5" s="12"/>
      <c r="AF5" s="12"/>
      <c r="AG5" s="12"/>
      <c r="AH5" s="12"/>
      <c r="AI5" s="13"/>
      <c r="AL5" s="8" t="s">
        <v>10</v>
      </c>
    </row>
    <row r="6" spans="1:38" x14ac:dyDescent="0.3">
      <c r="A6" s="12" t="s">
        <v>11</v>
      </c>
      <c r="B6" s="11" t="s">
        <v>3</v>
      </c>
      <c r="C6" s="12"/>
      <c r="D6" s="12"/>
      <c r="E6" s="12"/>
      <c r="F6" s="12"/>
      <c r="G6" s="12"/>
      <c r="H6" s="12"/>
      <c r="I6" s="12"/>
      <c r="J6" s="14">
        <f t="shared" ref="J6:O6" si="3">SUM(J7:J8)</f>
        <v>4810</v>
      </c>
      <c r="K6" s="16">
        <f t="shared" si="2"/>
        <v>5978</v>
      </c>
      <c r="L6" s="16">
        <f t="shared" si="2"/>
        <v>7146</v>
      </c>
      <c r="M6" s="16">
        <f t="shared" si="2"/>
        <v>8314</v>
      </c>
      <c r="N6" s="16">
        <f t="shared" si="2"/>
        <v>9482</v>
      </c>
      <c r="O6" s="14">
        <f t="shared" si="3"/>
        <v>10650</v>
      </c>
      <c r="P6" s="12"/>
      <c r="Q6" s="12"/>
      <c r="R6" s="12"/>
      <c r="S6" s="12"/>
      <c r="T6" s="12"/>
      <c r="U6" s="12"/>
      <c r="V6" s="12"/>
      <c r="W6" s="12"/>
      <c r="X6" s="12"/>
      <c r="Y6" s="13"/>
      <c r="Z6" s="12"/>
      <c r="AA6" s="12"/>
      <c r="AB6" s="12"/>
      <c r="AC6" s="12"/>
      <c r="AD6" s="12"/>
      <c r="AE6" s="12"/>
      <c r="AF6" s="12"/>
      <c r="AG6" s="12"/>
      <c r="AH6" s="12"/>
      <c r="AI6" s="13"/>
      <c r="AL6" s="1"/>
    </row>
    <row r="7" spans="1:38" x14ac:dyDescent="0.3">
      <c r="A7" s="18" t="s">
        <v>12</v>
      </c>
      <c r="B7" s="1" t="s">
        <v>3</v>
      </c>
      <c r="J7" s="19">
        <v>4800</v>
      </c>
      <c r="K7" s="5">
        <f t="shared" si="2"/>
        <v>5940</v>
      </c>
      <c r="L7" s="5">
        <f t="shared" si="2"/>
        <v>7080</v>
      </c>
      <c r="M7" s="5">
        <f t="shared" si="2"/>
        <v>8220</v>
      </c>
      <c r="N7" s="5">
        <f t="shared" si="2"/>
        <v>9360</v>
      </c>
      <c r="O7" s="19">
        <v>10500</v>
      </c>
      <c r="Y7" s="6"/>
      <c r="AI7" s="20"/>
      <c r="AL7" s="1"/>
    </row>
    <row r="8" spans="1:38" x14ac:dyDescent="0.3">
      <c r="A8" s="21" t="s">
        <v>13</v>
      </c>
      <c r="B8" s="22" t="s">
        <v>3</v>
      </c>
      <c r="C8" s="23"/>
      <c r="D8" s="23"/>
      <c r="E8" s="23"/>
      <c r="F8" s="23"/>
      <c r="G8" s="23"/>
      <c r="H8" s="23"/>
      <c r="I8" s="23"/>
      <c r="J8" s="24">
        <v>10</v>
      </c>
      <c r="K8" s="25">
        <f t="shared" si="2"/>
        <v>38</v>
      </c>
      <c r="L8" s="25">
        <f t="shared" si="2"/>
        <v>66</v>
      </c>
      <c r="M8" s="25">
        <f t="shared" si="2"/>
        <v>94</v>
      </c>
      <c r="N8" s="25">
        <f t="shared" si="2"/>
        <v>122</v>
      </c>
      <c r="O8" s="24">
        <v>150</v>
      </c>
      <c r="P8" s="23"/>
      <c r="Q8" s="23"/>
      <c r="R8" s="23"/>
      <c r="S8" s="23"/>
      <c r="T8" s="23"/>
      <c r="U8" s="23"/>
      <c r="V8" s="23"/>
      <c r="W8" s="23"/>
      <c r="X8" s="23"/>
      <c r="Y8" s="26"/>
      <c r="Z8" s="23"/>
      <c r="AA8" s="23"/>
      <c r="AB8" s="23"/>
      <c r="AC8" s="23"/>
      <c r="AD8" s="23"/>
      <c r="AE8" s="23"/>
      <c r="AF8" s="23"/>
      <c r="AG8" s="23"/>
      <c r="AH8" s="23"/>
      <c r="AI8" s="27"/>
      <c r="AL8" s="1"/>
    </row>
    <row r="9" spans="1:38" x14ac:dyDescent="0.3">
      <c r="A9" s="12" t="s">
        <v>14</v>
      </c>
      <c r="B9" s="11" t="s">
        <v>15</v>
      </c>
      <c r="C9" s="12"/>
      <c r="D9" s="12"/>
      <c r="E9" s="12"/>
      <c r="F9" s="12"/>
      <c r="G9" s="12"/>
      <c r="H9" s="12"/>
      <c r="I9" s="13">
        <v>5318</v>
      </c>
      <c r="J9" s="13">
        <v>5568</v>
      </c>
      <c r="K9" s="28">
        <v>5818</v>
      </c>
      <c r="L9" s="28">
        <v>6068</v>
      </c>
      <c r="M9" s="28">
        <v>6318</v>
      </c>
      <c r="N9" s="28">
        <v>6568</v>
      </c>
      <c r="O9" s="13">
        <v>6818</v>
      </c>
      <c r="P9" s="13">
        <v>7068</v>
      </c>
      <c r="Q9" s="13">
        <v>7168</v>
      </c>
      <c r="R9" s="13">
        <v>7268</v>
      </c>
      <c r="S9" s="13">
        <v>7368</v>
      </c>
      <c r="T9" s="13">
        <v>7468</v>
      </c>
      <c r="U9" s="13">
        <v>7568</v>
      </c>
      <c r="V9" s="13">
        <v>7668</v>
      </c>
      <c r="W9" s="13">
        <v>7768</v>
      </c>
      <c r="X9" s="13">
        <v>7868</v>
      </c>
      <c r="Y9" s="13">
        <v>7968</v>
      </c>
      <c r="Z9" s="12"/>
      <c r="AA9" s="12"/>
      <c r="AB9" s="12"/>
      <c r="AC9" s="12"/>
      <c r="AD9" s="12"/>
      <c r="AE9" s="12"/>
      <c r="AF9" s="12"/>
      <c r="AG9" s="12"/>
      <c r="AH9" s="12"/>
      <c r="AI9" s="13"/>
      <c r="AL9" s="1"/>
    </row>
    <row r="10" spans="1:38" x14ac:dyDescent="0.3">
      <c r="A10" s="12" t="s">
        <v>16</v>
      </c>
      <c r="B10" s="11" t="s">
        <v>15</v>
      </c>
      <c r="C10" s="12"/>
      <c r="D10" s="12"/>
      <c r="E10" s="12"/>
      <c r="F10" s="12"/>
      <c r="G10" s="12"/>
      <c r="H10" s="12"/>
      <c r="I10" s="13">
        <v>25</v>
      </c>
      <c r="J10" s="13">
        <v>25</v>
      </c>
      <c r="K10" s="28">
        <v>25</v>
      </c>
      <c r="L10" s="28">
        <v>25</v>
      </c>
      <c r="M10" s="28">
        <v>25</v>
      </c>
      <c r="N10" s="28">
        <v>850</v>
      </c>
      <c r="O10" s="13">
        <v>2650</v>
      </c>
      <c r="P10" s="13">
        <v>3500</v>
      </c>
      <c r="Q10" s="13">
        <v>3850</v>
      </c>
      <c r="R10" s="13">
        <v>4200</v>
      </c>
      <c r="S10" s="13">
        <v>4550</v>
      </c>
      <c r="T10" s="13">
        <v>4900</v>
      </c>
      <c r="U10" s="13">
        <v>5250</v>
      </c>
      <c r="V10" s="13">
        <v>5600</v>
      </c>
      <c r="W10" s="13">
        <v>5950</v>
      </c>
      <c r="X10" s="13">
        <v>6300</v>
      </c>
      <c r="Y10" s="13">
        <v>6650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3"/>
      <c r="AL10" s="1"/>
    </row>
    <row r="11" spans="1:38" x14ac:dyDescent="0.3">
      <c r="A11" s="12" t="s">
        <v>17</v>
      </c>
      <c r="B11" s="11" t="s">
        <v>15</v>
      </c>
      <c r="C11" s="12"/>
      <c r="D11" s="12"/>
      <c r="E11" s="12"/>
      <c r="F11" s="12"/>
      <c r="G11" s="12"/>
      <c r="H11" s="12"/>
      <c r="I11" s="13">
        <v>1140</v>
      </c>
      <c r="J11" s="13">
        <v>2151</v>
      </c>
      <c r="K11" s="13">
        <v>2524</v>
      </c>
      <c r="L11" s="13">
        <v>3544</v>
      </c>
      <c r="M11" s="13">
        <v>4079</v>
      </c>
      <c r="N11" s="13">
        <v>4864</v>
      </c>
      <c r="O11" s="13">
        <v>5700</v>
      </c>
      <c r="P11" s="13">
        <v>5984</v>
      </c>
      <c r="Q11" s="13">
        <v>6184</v>
      </c>
      <c r="R11" s="13">
        <v>6384</v>
      </c>
      <c r="S11" s="13">
        <v>6584</v>
      </c>
      <c r="T11" s="13">
        <v>6784</v>
      </c>
      <c r="U11" s="13">
        <v>6984</v>
      </c>
      <c r="V11" s="13">
        <v>7184</v>
      </c>
      <c r="W11" s="13">
        <v>7384</v>
      </c>
      <c r="X11" s="13">
        <v>7584</v>
      </c>
      <c r="Y11" s="13">
        <v>7784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3"/>
      <c r="AL11" s="1"/>
    </row>
    <row r="12" spans="1:38" x14ac:dyDescent="0.3">
      <c r="A12" s="12" t="s">
        <v>18</v>
      </c>
      <c r="B12" s="11" t="s">
        <v>19</v>
      </c>
      <c r="C12" s="12"/>
      <c r="D12" s="12"/>
      <c r="E12" s="12"/>
      <c r="F12" s="12"/>
      <c r="G12" s="12"/>
      <c r="H12" s="12"/>
      <c r="I12" s="12"/>
      <c r="J12" s="14">
        <v>10</v>
      </c>
      <c r="K12" s="16">
        <f t="shared" ref="K12:N14" si="4">J12+(($O12-$J12)/5)</f>
        <v>10</v>
      </c>
      <c r="L12" s="16">
        <f t="shared" si="4"/>
        <v>10</v>
      </c>
      <c r="M12" s="16">
        <f t="shared" si="4"/>
        <v>10</v>
      </c>
      <c r="N12" s="16">
        <f t="shared" si="4"/>
        <v>10</v>
      </c>
      <c r="O12" s="14">
        <v>10</v>
      </c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2"/>
      <c r="AA12" s="12"/>
      <c r="AB12" s="12"/>
      <c r="AC12" s="12"/>
      <c r="AD12" s="12"/>
      <c r="AE12" s="12"/>
      <c r="AF12" s="12"/>
      <c r="AG12" s="12"/>
      <c r="AH12" s="12"/>
      <c r="AI12" s="13"/>
      <c r="AL12" s="1"/>
    </row>
    <row r="13" spans="1:38" x14ac:dyDescent="0.3">
      <c r="A13" s="12" t="s">
        <v>20</v>
      </c>
      <c r="B13" s="11" t="s">
        <v>19</v>
      </c>
      <c r="C13" s="12"/>
      <c r="D13" s="12"/>
      <c r="E13" s="12"/>
      <c r="F13" s="12"/>
      <c r="G13" s="12"/>
      <c r="H13" s="12"/>
      <c r="I13" s="12"/>
      <c r="J13" s="14">
        <v>12</v>
      </c>
      <c r="K13" s="16">
        <f t="shared" si="4"/>
        <v>13.6</v>
      </c>
      <c r="L13" s="16">
        <f t="shared" si="4"/>
        <v>15.2</v>
      </c>
      <c r="M13" s="16">
        <f t="shared" si="4"/>
        <v>16.8</v>
      </c>
      <c r="N13" s="16">
        <f t="shared" si="4"/>
        <v>18.400000000000002</v>
      </c>
      <c r="O13" s="14">
        <v>20</v>
      </c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2"/>
      <c r="AA13" s="12"/>
      <c r="AB13" s="12"/>
      <c r="AC13" s="12"/>
      <c r="AD13" s="12"/>
      <c r="AE13" s="12"/>
      <c r="AF13" s="12"/>
      <c r="AG13" s="12"/>
      <c r="AH13" s="12"/>
      <c r="AI13" s="13"/>
      <c r="AL13" s="1"/>
    </row>
    <row r="14" spans="1:38" x14ac:dyDescent="0.3">
      <c r="A14" s="12" t="s">
        <v>21</v>
      </c>
      <c r="B14" s="11" t="s">
        <v>22</v>
      </c>
      <c r="C14" s="12"/>
      <c r="D14" s="12"/>
      <c r="E14" s="12"/>
      <c r="F14" s="12"/>
      <c r="G14" s="12"/>
      <c r="H14" s="12"/>
      <c r="I14" s="12"/>
      <c r="J14" s="14">
        <v>0</v>
      </c>
      <c r="K14" s="16">
        <f t="shared" si="4"/>
        <v>0.2</v>
      </c>
      <c r="L14" s="16">
        <f t="shared" si="4"/>
        <v>0.4</v>
      </c>
      <c r="M14" s="16">
        <f t="shared" si="4"/>
        <v>0.60000000000000009</v>
      </c>
      <c r="N14" s="16">
        <f t="shared" si="4"/>
        <v>0.8</v>
      </c>
      <c r="O14" s="14">
        <v>1</v>
      </c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2"/>
      <c r="AA14" s="12"/>
      <c r="AB14" s="12"/>
      <c r="AC14" s="12"/>
      <c r="AD14" s="12"/>
      <c r="AE14" s="12"/>
      <c r="AF14" s="12"/>
      <c r="AG14" s="12"/>
      <c r="AH14" s="12"/>
      <c r="AI14" s="13"/>
      <c r="AL14" s="1"/>
    </row>
    <row r="15" spans="1:38" x14ac:dyDescent="0.3">
      <c r="A15" s="12" t="s">
        <v>23</v>
      </c>
      <c r="B15" s="11" t="s">
        <v>24</v>
      </c>
      <c r="C15" s="13">
        <v>2566</v>
      </c>
      <c r="D15" s="13">
        <v>4989</v>
      </c>
      <c r="E15" s="13">
        <v>8264</v>
      </c>
      <c r="F15" s="13">
        <v>12603</v>
      </c>
      <c r="G15" s="13">
        <v>21079</v>
      </c>
      <c r="H15" s="13">
        <v>38679</v>
      </c>
      <c r="I15" s="13">
        <v>60496</v>
      </c>
      <c r="J15" s="13">
        <v>86728</v>
      </c>
      <c r="K15" s="16">
        <f>Calculations!K3</f>
        <v>114601.4</v>
      </c>
      <c r="L15" s="16">
        <f>Calculations!L3</f>
        <v>146308.5</v>
      </c>
      <c r="M15" s="16">
        <f>Calculations!M3</f>
        <v>181849.3</v>
      </c>
      <c r="N15" s="16">
        <f>Calculations!N3</f>
        <v>221223.8</v>
      </c>
      <c r="O15" s="16">
        <f>Calculations!O3</f>
        <v>264432</v>
      </c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2"/>
      <c r="AA15" s="12"/>
      <c r="AB15" s="12"/>
      <c r="AC15" s="12"/>
      <c r="AD15" s="12"/>
      <c r="AE15" s="12"/>
      <c r="AF15" s="12"/>
      <c r="AG15" s="12"/>
      <c r="AH15" s="12"/>
      <c r="AI15" s="13"/>
      <c r="AL15" s="1"/>
    </row>
    <row r="16" spans="1:38" x14ac:dyDescent="0.3">
      <c r="A16" s="12" t="s">
        <v>25</v>
      </c>
      <c r="B16" s="11" t="s">
        <v>26</v>
      </c>
      <c r="C16" s="13">
        <v>229</v>
      </c>
      <c r="D16" s="13">
        <v>1358</v>
      </c>
      <c r="E16" s="13">
        <v>2813</v>
      </c>
      <c r="F16" s="13">
        <v>4784</v>
      </c>
      <c r="G16" s="13">
        <v>7056</v>
      </c>
      <c r="H16" s="13">
        <v>10823</v>
      </c>
      <c r="I16" s="13">
        <v>14423</v>
      </c>
      <c r="J16" s="13">
        <v>18770</v>
      </c>
      <c r="K16" s="16">
        <f t="shared" ref="K16:N17" si="5">J16+(($O16-$J16)/5)</f>
        <v>31296</v>
      </c>
      <c r="L16" s="16">
        <f t="shared" si="5"/>
        <v>43822</v>
      </c>
      <c r="M16" s="16">
        <f t="shared" si="5"/>
        <v>56348</v>
      </c>
      <c r="N16" s="16">
        <f t="shared" si="5"/>
        <v>68874</v>
      </c>
      <c r="O16" s="14">
        <v>81400</v>
      </c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12"/>
      <c r="AA16" s="12"/>
      <c r="AB16" s="12"/>
      <c r="AC16" s="12"/>
      <c r="AD16" s="12"/>
      <c r="AE16" s="12"/>
      <c r="AF16" s="12"/>
      <c r="AG16" s="12"/>
      <c r="AH16" s="12"/>
      <c r="AI16" s="13"/>
      <c r="AL16" s="1"/>
    </row>
    <row r="17" spans="1:38" x14ac:dyDescent="0.3">
      <c r="A17" s="12" t="s">
        <v>27</v>
      </c>
      <c r="B17" s="11" t="s">
        <v>22</v>
      </c>
      <c r="C17" s="12"/>
      <c r="D17" s="12"/>
      <c r="E17" s="12"/>
      <c r="F17" s="12"/>
      <c r="G17" s="12"/>
      <c r="H17" s="12"/>
      <c r="I17" s="12"/>
      <c r="J17" s="14">
        <v>0</v>
      </c>
      <c r="K17" s="16">
        <f t="shared" si="5"/>
        <v>1.2800000000000001E-2</v>
      </c>
      <c r="L17" s="16">
        <f t="shared" si="5"/>
        <v>2.5600000000000001E-2</v>
      </c>
      <c r="M17" s="16">
        <f t="shared" si="5"/>
        <v>3.8400000000000004E-2</v>
      </c>
      <c r="N17" s="16">
        <f t="shared" si="5"/>
        <v>5.1200000000000002E-2</v>
      </c>
      <c r="O17" s="14">
        <v>6.4000000000000001E-2</v>
      </c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2"/>
      <c r="AA17" s="12"/>
      <c r="AB17" s="12"/>
      <c r="AC17" s="12"/>
      <c r="AD17" s="12"/>
      <c r="AE17" s="12"/>
      <c r="AF17" s="12"/>
      <c r="AG17" s="12"/>
      <c r="AH17" s="12"/>
      <c r="AI17" s="13"/>
      <c r="AL17" s="1"/>
    </row>
    <row r="18" spans="1:38" x14ac:dyDescent="0.3">
      <c r="A18" s="12" t="s">
        <v>28</v>
      </c>
      <c r="B18" s="11" t="s">
        <v>22</v>
      </c>
      <c r="C18" s="12"/>
      <c r="D18" s="12"/>
      <c r="E18" s="12"/>
      <c r="F18" s="12"/>
      <c r="G18" s="29">
        <v>4.4999999999999997E-3</v>
      </c>
      <c r="H18" s="16">
        <f>G18+($K$18-$G$18)/4</f>
        <v>5.875E-3</v>
      </c>
      <c r="I18" s="16">
        <f t="shared" ref="I18:J18" si="6">H18+($K$18-$G$18)/4</f>
        <v>7.2500000000000004E-3</v>
      </c>
      <c r="J18" s="16">
        <f t="shared" si="6"/>
        <v>8.6250000000000007E-3</v>
      </c>
      <c r="K18" s="14">
        <v>0.01</v>
      </c>
      <c r="L18" s="30">
        <f>K18+($O$18-$K$18)/4</f>
        <v>0.01</v>
      </c>
      <c r="M18" s="30">
        <f t="shared" ref="M18:N18" si="7">L18+($O$18-$K$18)/4</f>
        <v>0.01</v>
      </c>
      <c r="N18" s="30">
        <f t="shared" si="7"/>
        <v>0.01</v>
      </c>
      <c r="O18" s="14">
        <v>0.01</v>
      </c>
      <c r="P18" s="12"/>
      <c r="Q18" s="12"/>
      <c r="R18" s="12"/>
      <c r="S18" s="12"/>
      <c r="T18" s="12"/>
      <c r="U18" s="12"/>
      <c r="V18" s="12"/>
      <c r="W18" s="12"/>
      <c r="X18" s="12"/>
      <c r="Y18" s="13"/>
      <c r="Z18" s="12"/>
      <c r="AA18" s="12"/>
      <c r="AB18" s="12"/>
      <c r="AC18" s="12"/>
      <c r="AD18" s="12"/>
      <c r="AE18" s="12"/>
      <c r="AF18" s="12"/>
      <c r="AG18" s="12"/>
      <c r="AH18" s="12"/>
      <c r="AI18" s="13"/>
      <c r="AL18" s="1"/>
    </row>
    <row r="21" spans="1:38" x14ac:dyDescent="0.3">
      <c r="A21" s="62" t="s">
        <v>0</v>
      </c>
      <c r="B21" s="57" t="s">
        <v>1</v>
      </c>
      <c r="C21" s="10">
        <v>2018</v>
      </c>
      <c r="D21" s="10">
        <v>2019</v>
      </c>
      <c r="E21" s="10">
        <v>2020</v>
      </c>
      <c r="F21" s="10">
        <v>2021</v>
      </c>
      <c r="G21" s="10">
        <v>2022</v>
      </c>
      <c r="H21" s="10">
        <v>2023</v>
      </c>
      <c r="I21" s="10">
        <v>2024</v>
      </c>
      <c r="J21" s="58">
        <v>2025</v>
      </c>
      <c r="K21" s="10">
        <v>2026</v>
      </c>
      <c r="L21" s="10">
        <v>2027</v>
      </c>
      <c r="M21" s="10">
        <v>2028</v>
      </c>
      <c r="N21" s="10">
        <v>2029</v>
      </c>
      <c r="O21" s="58">
        <v>2030</v>
      </c>
      <c r="P21" s="10">
        <v>2031</v>
      </c>
      <c r="Q21" s="10">
        <v>2032</v>
      </c>
      <c r="R21" s="10">
        <v>2033</v>
      </c>
      <c r="S21" s="10">
        <v>2034</v>
      </c>
      <c r="T21" s="10">
        <v>2035</v>
      </c>
      <c r="U21" s="10">
        <v>2036</v>
      </c>
      <c r="V21" s="10">
        <v>2037</v>
      </c>
      <c r="W21" s="10">
        <v>2038</v>
      </c>
      <c r="X21" s="10">
        <v>2039</v>
      </c>
      <c r="Y21" s="58">
        <v>2040</v>
      </c>
      <c r="Z21" s="10">
        <v>2041</v>
      </c>
      <c r="AA21" s="10">
        <v>2042</v>
      </c>
      <c r="AB21" s="10">
        <v>2043</v>
      </c>
      <c r="AC21" s="10">
        <v>2044</v>
      </c>
      <c r="AD21" s="10">
        <v>2045</v>
      </c>
      <c r="AE21" s="10">
        <v>2046</v>
      </c>
      <c r="AF21" s="10">
        <v>2047</v>
      </c>
      <c r="AG21" s="10">
        <v>2048</v>
      </c>
      <c r="AH21" s="10">
        <v>2049</v>
      </c>
      <c r="AI21" s="58">
        <v>2050</v>
      </c>
    </row>
    <row r="22" spans="1:38" x14ac:dyDescent="0.3">
      <c r="A22" s="12" t="s">
        <v>2</v>
      </c>
      <c r="B22" s="11" t="s">
        <v>3</v>
      </c>
      <c r="C22" s="12"/>
      <c r="D22" s="12"/>
      <c r="E22" s="12"/>
      <c r="F22" s="12"/>
      <c r="G22" s="12"/>
      <c r="H22" s="12"/>
      <c r="I22" s="12"/>
      <c r="J22" s="14"/>
      <c r="K22" s="15">
        <f>+K2-J2</f>
        <v>34399.399999999994</v>
      </c>
      <c r="L22" s="15">
        <f t="shared" ref="L22:O28" si="8">+L2-K2</f>
        <v>34399.399999999994</v>
      </c>
      <c r="M22" s="15">
        <f t="shared" si="8"/>
        <v>34399.399999999994</v>
      </c>
      <c r="N22" s="15">
        <f t="shared" si="8"/>
        <v>34399.399999999994</v>
      </c>
      <c r="O22" s="14">
        <f t="shared" si="8"/>
        <v>34399.400000000023</v>
      </c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12"/>
      <c r="AA22" s="12"/>
      <c r="AB22" s="12"/>
      <c r="AC22" s="12"/>
      <c r="AD22" s="12"/>
      <c r="AE22" s="12"/>
      <c r="AF22" s="12"/>
      <c r="AG22" s="12"/>
      <c r="AH22" s="12"/>
      <c r="AI22" s="13"/>
    </row>
    <row r="23" spans="1:38" x14ac:dyDescent="0.3">
      <c r="A23" s="12" t="s">
        <v>5</v>
      </c>
      <c r="B23" s="11" t="s">
        <v>3</v>
      </c>
      <c r="C23" s="12"/>
      <c r="D23" s="12"/>
      <c r="E23" s="12"/>
      <c r="F23" s="12"/>
      <c r="G23" s="12"/>
      <c r="H23" s="12"/>
      <c r="I23" s="12"/>
      <c r="J23" s="14"/>
      <c r="K23" s="16">
        <f>+K3-J3</f>
        <v>38196</v>
      </c>
      <c r="L23" s="16">
        <f t="shared" si="8"/>
        <v>38196</v>
      </c>
      <c r="M23" s="16">
        <f t="shared" si="8"/>
        <v>38196</v>
      </c>
      <c r="N23" s="16">
        <f t="shared" si="8"/>
        <v>38196</v>
      </c>
      <c r="O23" s="14">
        <f t="shared" si="8"/>
        <v>38196</v>
      </c>
      <c r="P23" s="12"/>
      <c r="Q23" s="12"/>
      <c r="R23" s="12"/>
      <c r="S23" s="12"/>
      <c r="T23" s="12"/>
      <c r="U23" s="12"/>
      <c r="V23" s="12"/>
      <c r="W23" s="12"/>
      <c r="X23" s="12"/>
      <c r="Y23" s="13"/>
      <c r="Z23" s="12"/>
      <c r="AA23" s="12"/>
      <c r="AB23" s="12"/>
      <c r="AC23" s="12"/>
      <c r="AD23" s="12"/>
      <c r="AE23" s="12"/>
      <c r="AF23" s="12"/>
      <c r="AG23" s="12"/>
      <c r="AH23" s="12"/>
      <c r="AI23" s="13"/>
    </row>
    <row r="24" spans="1:38" x14ac:dyDescent="0.3">
      <c r="A24" s="12" t="s">
        <v>7</v>
      </c>
      <c r="B24" s="11" t="s">
        <v>3</v>
      </c>
      <c r="C24" s="12"/>
      <c r="D24" s="12"/>
      <c r="E24" s="12"/>
      <c r="F24" s="12"/>
      <c r="G24" s="12"/>
      <c r="H24" s="17">
        <f>+H4</f>
        <v>61</v>
      </c>
      <c r="I24" s="17">
        <f>+I4-H4</f>
        <v>221</v>
      </c>
      <c r="J24" s="16">
        <f t="shared" ref="J24:O24" si="9">+J4-I4</f>
        <v>0</v>
      </c>
      <c r="K24" s="16">
        <f t="shared" si="9"/>
        <v>0</v>
      </c>
      <c r="L24" s="16">
        <f t="shared" si="9"/>
        <v>0</v>
      </c>
      <c r="M24" s="16">
        <f t="shared" si="9"/>
        <v>0</v>
      </c>
      <c r="N24" s="16">
        <f t="shared" si="9"/>
        <v>0</v>
      </c>
      <c r="O24" s="16">
        <f t="shared" si="9"/>
        <v>0</v>
      </c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12"/>
      <c r="AA24" s="12"/>
      <c r="AB24" s="12"/>
      <c r="AC24" s="12"/>
      <c r="AD24" s="12"/>
      <c r="AE24" s="12"/>
      <c r="AF24" s="12"/>
      <c r="AG24" s="12"/>
      <c r="AH24" s="12"/>
      <c r="AI24" s="13"/>
    </row>
    <row r="25" spans="1:38" x14ac:dyDescent="0.3">
      <c r="A25" s="12" t="s">
        <v>9</v>
      </c>
      <c r="B25" s="11" t="s">
        <v>3</v>
      </c>
      <c r="C25" s="12"/>
      <c r="D25" s="12"/>
      <c r="E25" s="12"/>
      <c r="F25" s="12"/>
      <c r="G25" s="12"/>
      <c r="H25" s="12"/>
      <c r="I25" s="12"/>
      <c r="J25" s="14"/>
      <c r="K25" s="16">
        <f>+K5-J5</f>
        <v>660</v>
      </c>
      <c r="L25" s="16">
        <f t="shared" si="8"/>
        <v>660</v>
      </c>
      <c r="M25" s="16">
        <f t="shared" si="8"/>
        <v>660</v>
      </c>
      <c r="N25" s="16">
        <f t="shared" si="8"/>
        <v>660</v>
      </c>
      <c r="O25" s="14">
        <f t="shared" si="8"/>
        <v>660</v>
      </c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12"/>
      <c r="AA25" s="12"/>
      <c r="AB25" s="12"/>
      <c r="AC25" s="12"/>
      <c r="AD25" s="12"/>
      <c r="AE25" s="12"/>
      <c r="AF25" s="12"/>
      <c r="AG25" s="12"/>
      <c r="AH25" s="12"/>
      <c r="AI25" s="13"/>
    </row>
    <row r="26" spans="1:38" x14ac:dyDescent="0.3">
      <c r="A26" s="12" t="s">
        <v>11</v>
      </c>
      <c r="B26" s="11" t="s">
        <v>3</v>
      </c>
      <c r="C26" s="12"/>
      <c r="D26" s="12"/>
      <c r="E26" s="12"/>
      <c r="F26" s="12"/>
      <c r="G26" s="12"/>
      <c r="H26" s="12"/>
      <c r="I26" s="12"/>
      <c r="J26" s="14"/>
      <c r="K26" s="16">
        <f>+K6-J6</f>
        <v>1168</v>
      </c>
      <c r="L26" s="16">
        <f t="shared" si="8"/>
        <v>1168</v>
      </c>
      <c r="M26" s="16">
        <f t="shared" si="8"/>
        <v>1168</v>
      </c>
      <c r="N26" s="16">
        <f t="shared" si="8"/>
        <v>1168</v>
      </c>
      <c r="O26" s="14">
        <f t="shared" si="8"/>
        <v>1168</v>
      </c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12"/>
      <c r="AA26" s="12"/>
      <c r="AB26" s="12"/>
      <c r="AC26" s="12"/>
      <c r="AD26" s="12"/>
      <c r="AE26" s="12"/>
      <c r="AF26" s="12"/>
      <c r="AG26" s="12"/>
      <c r="AH26" s="12"/>
      <c r="AI26" s="13"/>
    </row>
    <row r="27" spans="1:38" x14ac:dyDescent="0.3">
      <c r="A27" s="18" t="s">
        <v>12</v>
      </c>
      <c r="B27" s="1" t="s">
        <v>3</v>
      </c>
      <c r="J27" s="19"/>
      <c r="K27" s="5">
        <f>+K7-J7</f>
        <v>1140</v>
      </c>
      <c r="L27" s="5">
        <f t="shared" si="8"/>
        <v>1140</v>
      </c>
      <c r="M27" s="5">
        <f t="shared" si="8"/>
        <v>1140</v>
      </c>
      <c r="N27" s="5">
        <f t="shared" si="8"/>
        <v>1140</v>
      </c>
      <c r="O27" s="19">
        <f t="shared" si="8"/>
        <v>1140</v>
      </c>
      <c r="Y27" s="6"/>
      <c r="AI27" s="20"/>
    </row>
    <row r="28" spans="1:38" x14ac:dyDescent="0.3">
      <c r="A28" s="21" t="s">
        <v>13</v>
      </c>
      <c r="B28" s="22" t="s">
        <v>3</v>
      </c>
      <c r="C28" s="23"/>
      <c r="D28" s="23"/>
      <c r="E28" s="23"/>
      <c r="F28" s="23"/>
      <c r="G28" s="23"/>
      <c r="H28" s="23"/>
      <c r="I28" s="23"/>
      <c r="J28" s="24"/>
      <c r="K28" s="25">
        <f>+K8-J8</f>
        <v>28</v>
      </c>
      <c r="L28" s="25">
        <f t="shared" si="8"/>
        <v>28</v>
      </c>
      <c r="M28" s="25">
        <f t="shared" si="8"/>
        <v>28</v>
      </c>
      <c r="N28" s="25">
        <f t="shared" si="8"/>
        <v>28</v>
      </c>
      <c r="O28" s="24">
        <f t="shared" si="8"/>
        <v>28</v>
      </c>
      <c r="P28" s="23"/>
      <c r="Q28" s="23"/>
      <c r="R28" s="23"/>
      <c r="S28" s="23"/>
      <c r="T28" s="23"/>
      <c r="U28" s="23"/>
      <c r="V28" s="23"/>
      <c r="W28" s="23"/>
      <c r="X28" s="23"/>
      <c r="Y28" s="26"/>
      <c r="Z28" s="23"/>
      <c r="AA28" s="23"/>
      <c r="AB28" s="23"/>
      <c r="AC28" s="23"/>
      <c r="AD28" s="23"/>
      <c r="AE28" s="23"/>
      <c r="AF28" s="23"/>
      <c r="AG28" s="23"/>
      <c r="AH28" s="23"/>
      <c r="AI28" s="27"/>
    </row>
    <row r="29" spans="1:38" x14ac:dyDescent="0.3">
      <c r="A29" s="12" t="s">
        <v>14</v>
      </c>
      <c r="B29" s="11" t="s">
        <v>15</v>
      </c>
      <c r="C29" s="12"/>
      <c r="D29" s="12"/>
      <c r="E29" s="12"/>
      <c r="F29" s="12"/>
      <c r="G29" s="12"/>
      <c r="H29" s="12"/>
      <c r="I29" s="13"/>
      <c r="J29" s="13">
        <f>+J9-I9</f>
        <v>250</v>
      </c>
      <c r="K29" s="13">
        <f t="shared" ref="K29:Y31" si="10">+K9-J9</f>
        <v>250</v>
      </c>
      <c r="L29" s="13">
        <f t="shared" si="10"/>
        <v>250</v>
      </c>
      <c r="M29" s="13">
        <f t="shared" si="10"/>
        <v>250</v>
      </c>
      <c r="N29" s="13">
        <f t="shared" si="10"/>
        <v>250</v>
      </c>
      <c r="O29" s="13">
        <f t="shared" si="10"/>
        <v>250</v>
      </c>
      <c r="P29" s="13">
        <f t="shared" si="10"/>
        <v>250</v>
      </c>
      <c r="Q29" s="13">
        <f t="shared" si="10"/>
        <v>100</v>
      </c>
      <c r="R29" s="13">
        <f t="shared" si="10"/>
        <v>100</v>
      </c>
      <c r="S29" s="13">
        <f t="shared" si="10"/>
        <v>100</v>
      </c>
      <c r="T29" s="13">
        <f t="shared" si="10"/>
        <v>100</v>
      </c>
      <c r="U29" s="13">
        <f t="shared" si="10"/>
        <v>100</v>
      </c>
      <c r="V29" s="13">
        <f t="shared" si="10"/>
        <v>100</v>
      </c>
      <c r="W29" s="13">
        <f t="shared" si="10"/>
        <v>100</v>
      </c>
      <c r="X29" s="13">
        <f t="shared" si="10"/>
        <v>100</v>
      </c>
      <c r="Y29" s="13">
        <f t="shared" si="10"/>
        <v>100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3"/>
    </row>
    <row r="30" spans="1:38" x14ac:dyDescent="0.3">
      <c r="A30" s="12" t="s">
        <v>16</v>
      </c>
      <c r="B30" s="11" t="s">
        <v>15</v>
      </c>
      <c r="C30" s="12"/>
      <c r="D30" s="12"/>
      <c r="E30" s="12"/>
      <c r="F30" s="12"/>
      <c r="G30" s="12"/>
      <c r="H30" s="12"/>
      <c r="I30" s="13"/>
      <c r="J30" s="13">
        <f>+J10-I10</f>
        <v>0</v>
      </c>
      <c r="K30" s="13">
        <f t="shared" si="10"/>
        <v>0</v>
      </c>
      <c r="L30" s="13">
        <f t="shared" si="10"/>
        <v>0</v>
      </c>
      <c r="M30" s="13">
        <f t="shared" si="10"/>
        <v>0</v>
      </c>
      <c r="N30" s="13">
        <f t="shared" si="10"/>
        <v>825</v>
      </c>
      <c r="O30" s="13">
        <f t="shared" si="10"/>
        <v>1800</v>
      </c>
      <c r="P30" s="13">
        <f t="shared" si="10"/>
        <v>850</v>
      </c>
      <c r="Q30" s="13">
        <f t="shared" si="10"/>
        <v>350</v>
      </c>
      <c r="R30" s="13">
        <f t="shared" si="10"/>
        <v>350</v>
      </c>
      <c r="S30" s="13">
        <f t="shared" si="10"/>
        <v>350</v>
      </c>
      <c r="T30" s="13">
        <f t="shared" si="10"/>
        <v>350</v>
      </c>
      <c r="U30" s="13">
        <f t="shared" si="10"/>
        <v>350</v>
      </c>
      <c r="V30" s="13">
        <f t="shared" si="10"/>
        <v>350</v>
      </c>
      <c r="W30" s="13">
        <f t="shared" si="10"/>
        <v>350</v>
      </c>
      <c r="X30" s="13">
        <f t="shared" si="10"/>
        <v>350</v>
      </c>
      <c r="Y30" s="13">
        <f t="shared" si="10"/>
        <v>350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3"/>
    </row>
    <row r="31" spans="1:38" x14ac:dyDescent="0.3">
      <c r="A31" s="12" t="s">
        <v>17</v>
      </c>
      <c r="B31" s="11" t="s">
        <v>15</v>
      </c>
      <c r="C31" s="12"/>
      <c r="D31" s="12"/>
      <c r="E31" s="12"/>
      <c r="F31" s="12"/>
      <c r="G31" s="12"/>
      <c r="H31" s="12"/>
      <c r="I31" s="13"/>
      <c r="J31" s="13">
        <f>+J11-I11</f>
        <v>1011</v>
      </c>
      <c r="K31" s="13">
        <f t="shared" si="10"/>
        <v>373</v>
      </c>
      <c r="L31" s="13">
        <f t="shared" si="10"/>
        <v>1020</v>
      </c>
      <c r="M31" s="13">
        <f t="shared" si="10"/>
        <v>535</v>
      </c>
      <c r="N31" s="13">
        <f t="shared" si="10"/>
        <v>785</v>
      </c>
      <c r="O31" s="13">
        <f t="shared" si="10"/>
        <v>836</v>
      </c>
      <c r="P31" s="13">
        <f t="shared" si="10"/>
        <v>284</v>
      </c>
      <c r="Q31" s="13">
        <f t="shared" si="10"/>
        <v>200</v>
      </c>
      <c r="R31" s="13">
        <f t="shared" si="10"/>
        <v>200</v>
      </c>
      <c r="S31" s="13">
        <f t="shared" si="10"/>
        <v>200</v>
      </c>
      <c r="T31" s="13">
        <f t="shared" si="10"/>
        <v>200</v>
      </c>
      <c r="U31" s="13">
        <f t="shared" si="10"/>
        <v>200</v>
      </c>
      <c r="V31" s="13">
        <f t="shared" si="10"/>
        <v>200</v>
      </c>
      <c r="W31" s="13">
        <f t="shared" si="10"/>
        <v>200</v>
      </c>
      <c r="X31" s="13">
        <f t="shared" si="10"/>
        <v>200</v>
      </c>
      <c r="Y31" s="13">
        <f t="shared" si="10"/>
        <v>200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3"/>
    </row>
    <row r="32" spans="1:38" x14ac:dyDescent="0.3">
      <c r="A32" s="12" t="s">
        <v>18</v>
      </c>
      <c r="B32" s="11" t="s">
        <v>19</v>
      </c>
      <c r="C32" s="12"/>
      <c r="D32" s="12"/>
      <c r="E32" s="12"/>
      <c r="F32" s="12"/>
      <c r="G32" s="12"/>
      <c r="H32" s="12"/>
      <c r="I32" s="12"/>
      <c r="J32" s="14">
        <v>10</v>
      </c>
      <c r="K32" s="16">
        <f t="shared" ref="K32:K33" si="11">J32+(($O32-$J32)/5)</f>
        <v>10</v>
      </c>
      <c r="L32" s="16">
        <f t="shared" ref="L32:L33" si="12">K32+(($O32-$J32)/5)</f>
        <v>10</v>
      </c>
      <c r="M32" s="16">
        <f t="shared" ref="M32:M33" si="13">L32+(($O32-$J32)/5)</f>
        <v>10</v>
      </c>
      <c r="N32" s="16">
        <f t="shared" ref="N32:N33" si="14">M32+(($O32-$J32)/5)</f>
        <v>10</v>
      </c>
      <c r="O32" s="14">
        <v>10</v>
      </c>
      <c r="P32" s="12"/>
      <c r="Q32" s="12"/>
      <c r="R32" s="12"/>
      <c r="S32" s="12"/>
      <c r="T32" s="12"/>
      <c r="U32" s="12"/>
      <c r="V32" s="12"/>
      <c r="W32" s="12"/>
      <c r="X32" s="12"/>
      <c r="Y32" s="13"/>
      <c r="Z32" s="12"/>
      <c r="AA32" s="12"/>
      <c r="AB32" s="12"/>
      <c r="AC32" s="12"/>
      <c r="AD32" s="12"/>
      <c r="AE32" s="12"/>
      <c r="AF32" s="12"/>
      <c r="AG32" s="12"/>
      <c r="AH32" s="12"/>
      <c r="AI32" s="13"/>
    </row>
    <row r="33" spans="1:35" x14ac:dyDescent="0.3">
      <c r="A33" s="12" t="s">
        <v>20</v>
      </c>
      <c r="B33" s="11" t="s">
        <v>19</v>
      </c>
      <c r="C33" s="12"/>
      <c r="D33" s="12"/>
      <c r="E33" s="12"/>
      <c r="F33" s="12"/>
      <c r="G33" s="12"/>
      <c r="H33" s="12"/>
      <c r="I33" s="12"/>
      <c r="J33" s="14">
        <v>12</v>
      </c>
      <c r="K33" s="16">
        <f t="shared" si="11"/>
        <v>13.6</v>
      </c>
      <c r="L33" s="16">
        <f t="shared" si="12"/>
        <v>15.2</v>
      </c>
      <c r="M33" s="16">
        <f t="shared" si="13"/>
        <v>16.8</v>
      </c>
      <c r="N33" s="16">
        <f t="shared" si="14"/>
        <v>18.400000000000002</v>
      </c>
      <c r="O33" s="14">
        <v>20</v>
      </c>
      <c r="P33" s="12"/>
      <c r="Q33" s="12"/>
      <c r="R33" s="12"/>
      <c r="S33" s="12"/>
      <c r="T33" s="12"/>
      <c r="U33" s="12"/>
      <c r="V33" s="12"/>
      <c r="W33" s="12"/>
      <c r="X33" s="12"/>
      <c r="Y33" s="13"/>
      <c r="Z33" s="12"/>
      <c r="AA33" s="12"/>
      <c r="AB33" s="12"/>
      <c r="AC33" s="12"/>
      <c r="AD33" s="12"/>
      <c r="AE33" s="12"/>
      <c r="AF33" s="12"/>
      <c r="AG33" s="12"/>
      <c r="AH33" s="12"/>
      <c r="AI33" s="13"/>
    </row>
    <row r="34" spans="1:35" x14ac:dyDescent="0.3">
      <c r="A34" s="12" t="s">
        <v>21</v>
      </c>
      <c r="B34" s="11" t="s">
        <v>22</v>
      </c>
      <c r="C34" s="12"/>
      <c r="D34" s="12"/>
      <c r="E34" s="12"/>
      <c r="F34" s="12"/>
      <c r="G34" s="12"/>
      <c r="H34" s="12"/>
      <c r="I34" s="12"/>
      <c r="J34" s="14"/>
      <c r="K34" s="64">
        <f>+K14-J14</f>
        <v>0.2</v>
      </c>
      <c r="L34" s="64">
        <f t="shared" ref="L34:O34" si="15">+L14-K14</f>
        <v>0.2</v>
      </c>
      <c r="M34" s="64">
        <f t="shared" si="15"/>
        <v>0.20000000000000007</v>
      </c>
      <c r="N34" s="64">
        <f t="shared" si="15"/>
        <v>0.19999999999999996</v>
      </c>
      <c r="O34" s="65">
        <f t="shared" si="15"/>
        <v>0.19999999999999996</v>
      </c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12"/>
      <c r="AA34" s="12"/>
      <c r="AB34" s="12"/>
      <c r="AC34" s="12"/>
      <c r="AD34" s="12"/>
      <c r="AE34" s="12"/>
      <c r="AF34" s="12"/>
      <c r="AG34" s="12"/>
      <c r="AH34" s="12"/>
      <c r="AI34" s="13"/>
    </row>
    <row r="35" spans="1:35" x14ac:dyDescent="0.3">
      <c r="A35" s="12" t="s">
        <v>23</v>
      </c>
      <c r="B35" s="11" t="s">
        <v>24</v>
      </c>
      <c r="C35" s="13"/>
      <c r="D35" s="13">
        <f>+D15-C15</f>
        <v>2423</v>
      </c>
      <c r="E35" s="13">
        <f t="shared" ref="E35:O37" si="16">+E15-D15</f>
        <v>3275</v>
      </c>
      <c r="F35" s="13">
        <f t="shared" si="16"/>
        <v>4339</v>
      </c>
      <c r="G35" s="13">
        <f t="shared" si="16"/>
        <v>8476</v>
      </c>
      <c r="H35" s="13">
        <f t="shared" si="16"/>
        <v>17600</v>
      </c>
      <c r="I35" s="13">
        <f t="shared" si="16"/>
        <v>21817</v>
      </c>
      <c r="J35" s="13">
        <f t="shared" si="16"/>
        <v>26232</v>
      </c>
      <c r="K35" s="16">
        <f t="shared" si="16"/>
        <v>27873.399999999994</v>
      </c>
      <c r="L35" s="16">
        <f t="shared" si="16"/>
        <v>31707.100000000006</v>
      </c>
      <c r="M35" s="16">
        <f t="shared" si="16"/>
        <v>35540.799999999988</v>
      </c>
      <c r="N35" s="16">
        <f t="shared" si="16"/>
        <v>39374.5</v>
      </c>
      <c r="O35" s="16">
        <f t="shared" si="16"/>
        <v>43208.200000000012</v>
      </c>
      <c r="P35" s="12"/>
      <c r="Q35" s="12"/>
      <c r="R35" s="12"/>
      <c r="S35" s="12"/>
      <c r="T35" s="12"/>
      <c r="U35" s="12"/>
      <c r="V35" s="12"/>
      <c r="W35" s="12"/>
      <c r="X35" s="12"/>
      <c r="Y35" s="13"/>
      <c r="Z35" s="12"/>
      <c r="AA35" s="12"/>
      <c r="AB35" s="12"/>
      <c r="AC35" s="12"/>
      <c r="AD35" s="12"/>
      <c r="AE35" s="12"/>
      <c r="AF35" s="12"/>
      <c r="AG35" s="12"/>
      <c r="AH35" s="12"/>
      <c r="AI35" s="13"/>
    </row>
    <row r="36" spans="1:35" x14ac:dyDescent="0.3">
      <c r="A36" s="12" t="s">
        <v>25</v>
      </c>
      <c r="B36" s="11" t="s">
        <v>26</v>
      </c>
      <c r="C36" s="13"/>
      <c r="D36" s="13">
        <f>+D16-C16</f>
        <v>1129</v>
      </c>
      <c r="E36" s="13">
        <f t="shared" si="16"/>
        <v>1455</v>
      </c>
      <c r="F36" s="13">
        <f t="shared" si="16"/>
        <v>1971</v>
      </c>
      <c r="G36" s="13">
        <f t="shared" si="16"/>
        <v>2272</v>
      </c>
      <c r="H36" s="13">
        <f t="shared" si="16"/>
        <v>3767</v>
      </c>
      <c r="I36" s="13">
        <f t="shared" si="16"/>
        <v>3600</v>
      </c>
      <c r="J36" s="13">
        <f t="shared" si="16"/>
        <v>4347</v>
      </c>
      <c r="K36" s="16">
        <f t="shared" si="16"/>
        <v>12526</v>
      </c>
      <c r="L36" s="16">
        <f t="shared" si="16"/>
        <v>12526</v>
      </c>
      <c r="M36" s="16">
        <f t="shared" si="16"/>
        <v>12526</v>
      </c>
      <c r="N36" s="16">
        <f t="shared" si="16"/>
        <v>12526</v>
      </c>
      <c r="O36" s="16">
        <f t="shared" si="16"/>
        <v>12526</v>
      </c>
      <c r="P36" s="12"/>
      <c r="Q36" s="12"/>
      <c r="R36" s="12"/>
      <c r="S36" s="12"/>
      <c r="T36" s="12"/>
      <c r="U36" s="12"/>
      <c r="V36" s="12"/>
      <c r="W36" s="12"/>
      <c r="X36" s="12"/>
      <c r="Y36" s="13"/>
      <c r="Z36" s="12"/>
      <c r="AA36" s="12"/>
      <c r="AB36" s="12"/>
      <c r="AC36" s="12"/>
      <c r="AD36" s="12"/>
      <c r="AE36" s="12"/>
      <c r="AF36" s="12"/>
      <c r="AG36" s="12"/>
      <c r="AH36" s="12"/>
      <c r="AI36" s="13"/>
    </row>
    <row r="37" spans="1:35" x14ac:dyDescent="0.3">
      <c r="A37" s="12" t="s">
        <v>27</v>
      </c>
      <c r="B37" s="11" t="s">
        <v>22</v>
      </c>
      <c r="C37" s="12"/>
      <c r="D37" s="12"/>
      <c r="E37" s="12"/>
      <c r="F37" s="12"/>
      <c r="G37" s="12"/>
      <c r="H37" s="12"/>
      <c r="I37" s="12"/>
      <c r="J37" s="14"/>
      <c r="K37" s="64">
        <f>+K17-J17</f>
        <v>1.2800000000000001E-2</v>
      </c>
      <c r="L37" s="64">
        <f t="shared" si="16"/>
        <v>1.2800000000000001E-2</v>
      </c>
      <c r="M37" s="64">
        <f t="shared" si="16"/>
        <v>1.2800000000000002E-2</v>
      </c>
      <c r="N37" s="64">
        <f t="shared" si="16"/>
        <v>1.2799999999999999E-2</v>
      </c>
      <c r="O37" s="65">
        <f t="shared" si="16"/>
        <v>1.2799999999999999E-2</v>
      </c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12"/>
      <c r="AA37" s="12"/>
      <c r="AB37" s="12"/>
      <c r="AC37" s="12"/>
      <c r="AD37" s="12"/>
      <c r="AE37" s="12"/>
      <c r="AF37" s="12"/>
      <c r="AG37" s="12"/>
      <c r="AH37" s="12"/>
      <c r="AI37" s="13"/>
    </row>
    <row r="38" spans="1:35" x14ac:dyDescent="0.3">
      <c r="A38" s="12" t="s">
        <v>28</v>
      </c>
      <c r="B38" s="11" t="s">
        <v>22</v>
      </c>
      <c r="C38" s="12"/>
      <c r="D38" s="12"/>
      <c r="E38" s="12"/>
      <c r="F38" s="12"/>
      <c r="G38" s="29"/>
      <c r="H38" s="66">
        <f>+H18-G18</f>
        <v>1.3750000000000004E-3</v>
      </c>
      <c r="I38" s="66">
        <f t="shared" ref="I38:O38" si="17">+I18-H18</f>
        <v>1.3750000000000004E-3</v>
      </c>
      <c r="J38" s="66">
        <f t="shared" si="17"/>
        <v>1.3750000000000004E-3</v>
      </c>
      <c r="K38" s="66">
        <f t="shared" si="17"/>
        <v>1.3749999999999995E-3</v>
      </c>
      <c r="L38" s="66">
        <f t="shared" si="17"/>
        <v>0</v>
      </c>
      <c r="M38" s="66">
        <f t="shared" si="17"/>
        <v>0</v>
      </c>
      <c r="N38" s="66">
        <f t="shared" si="17"/>
        <v>0</v>
      </c>
      <c r="O38" s="66">
        <f t="shared" si="17"/>
        <v>0</v>
      </c>
      <c r="P38" s="12"/>
      <c r="Q38" s="12"/>
      <c r="R38" s="12"/>
      <c r="S38" s="12"/>
      <c r="T38" s="12"/>
      <c r="U38" s="12"/>
      <c r="V38" s="12"/>
      <c r="W38" s="12"/>
      <c r="X38" s="12"/>
      <c r="Y38" s="13"/>
      <c r="Z38" s="12"/>
      <c r="AA38" s="12"/>
      <c r="AB38" s="12"/>
      <c r="AC38" s="12"/>
      <c r="AD38" s="12"/>
      <c r="AE38" s="12"/>
      <c r="AF38" s="12"/>
      <c r="AG38" s="12"/>
      <c r="AH38" s="12"/>
      <c r="AI38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WEM_WAM deployments</vt:lpstr>
      <vt:lpstr>Calculations</vt:lpstr>
      <vt:lpstr>Yearly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Mac Uidhir</dc:creator>
  <cp:keywords/>
  <dc:description/>
  <cp:lastModifiedBy>Bakytzhan Suleimenov</cp:lastModifiedBy>
  <cp:revision/>
  <dcterms:created xsi:type="dcterms:W3CDTF">2026-01-28T10:02:06Z</dcterms:created>
  <dcterms:modified xsi:type="dcterms:W3CDTF">2026-02-10T09:12:05Z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374705314636230</vt:r8>
  </property>
</Properties>
</file>