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F4AA7109-26BA-4799-89D9-5C5CACA55A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" sheetId="2" r:id="rId1"/>
    <sheet name="UPD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2" l="1"/>
  <c r="J5" i="2"/>
  <c r="J6" i="2"/>
  <c r="J7" i="2"/>
  <c r="J8" i="2"/>
  <c r="J9" i="2"/>
  <c r="J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<sst xmlns="http://schemas.openxmlformats.org/spreadsheetml/2006/main" count="85" uniqueCount="45">
  <si>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</si>
  <si>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</si>
  <si>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</si>
  <si>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</si>
  <si>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</si>
  <si>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</si>
  <si>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</si>
  <si>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</si>
  <si>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</si>
  <si>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</si>
  <si>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</si>
  <si>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</si>
  <si>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</si>
  <si>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</si>
  <si>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</si>
  <si>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</si>
  <si>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</si>
  <si>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Trans - Insert</t>
  </si>
  <si>
    <t>Trans - Update</t>
  </si>
  <si>
    <t>PRC_NOFF</t>
  </si>
  <si>
    <t>Heat Pumps</t>
  </si>
  <si>
    <t>District Heating</t>
  </si>
  <si>
    <t>Residential</t>
  </si>
  <si>
    <t>Shallow Retrofit</t>
  </si>
  <si>
    <t>R-RTFT-Apt_B3, R-RTFT-Apt_C, R-RTFT-Apt_D, R-RTFT-Att_B3, R-RTFT-Att_C, R-RTFT-Att_D, R-RTFT-Det_B3, R-RTFT-Det_C, R-RTFT-Det_D</t>
  </si>
  <si>
    <t>Deep Retrofit</t>
  </si>
  <si>
    <t>R-RTFT-Apt_E, R-RTFT-Apt_F, R-RTFT-Apt_G, R-RTFT-Att_E, R-RTFT-Att_F, R-RTFT-Att_G, R-RTFT-Det_E, R-RTFT-Det_F, R-RTFT-Det_G</t>
  </si>
  <si>
    <t>Biogas</t>
  </si>
  <si>
    <t>R-SH_Apt_GAS_N1,R-SH_Att_GAS_N1,R-SH_Det_GAS_N1,R-SW_Apt_GAS_HHPN1,R-SW_Apt_GAS_HPN1,R-SW_Apt_GAS_HPN2,R-SW_Apt_GAS_N1,R-SW_Att_GAS_HHPN1,R-SW_Att_GAS_HPN1,R-SW_Att_GAS_HPN2,R-SW_Att_GAS_N1,R-SW_Att_GAS_N2,R-SW_Att_GAS_N3,R-SW_Det_GAS_HHPN1,R-SW_Det_GAS_HPN1,R-SW_Det_GAS_HPN2,R-SW_Det_GAS_N1,R-SW_Det_GAS_N2,R-SW_Det_GAS_N3</t>
  </si>
  <si>
    <t>2021-2050</t>
  </si>
  <si>
    <t>2024-2050</t>
  </si>
  <si>
    <t>region</t>
  </si>
  <si>
    <t>attribute</t>
  </si>
  <si>
    <t>process</t>
  </si>
  <si>
    <t>IE</t>
  </si>
  <si>
    <t>ACT_EFF</t>
  </si>
  <si>
    <t>R-HC_Att_ELC_HPN1, R-HC_Att_ELC_HPN2-AB, R-HC_Att_ELC_HPN2-C, R-HC_Att_ELC_HPN2-D, R-HC_Att_ELC_HPN2-E, R-HC_Att_ELC_HPN2-F, R-HC_Att_ELC_HPN2-G, R-SH_Att_ELC_HPN1, R-SH_Att_ELC_HPN2-AB, R-SH_Att_ELC_HPN2-C, R-SH_Att_ELC_HPN2-D, R-SH_Att_ELC_HPN2-E, R-SH_Att_ELC_HPN2-F, R-SH_Att_ELC_HPN2-G, R-SH_Att_ELC_HPN3-AB, R-SH_Att_ELC_HPN3-C, R-SH_Att_ELC_HPN3-D, R-SH_Att_ELC_HPN3-E, R-SH_Att_ELC_HPN3-F, R-SH_Att_ELC_HPN3-G, R-SW_Att_ELC_HPN1-AB, R-SW_Att_ELC_HPN1-C, R-SW_Att_ELC_HPN1-D, R-SW_Att_ELC_HPN1-E, R-SW_Att_ELC_HPN1-F, R-SW_Att_ELC_HPN1-G, R-SW_Att_ELC_HPN2-AB, R-SW_Att_ELC_HPN2-C, R-SW_Att_ELC_HPN2-D, R-SW_Att_ELC_HPN2-E, R-SW_Att_ELC_HPN2-F, R-SW_Att_ELC_HPN2-G, R-SW_Att_GAS_HHPN1, R-SW_Att_GAS_HPN1, R-SW_Att_GAS_HPN2</t>
  </si>
  <si>
    <t>R-HC_Apt_ELC_HPN1, R-HC_Apt_ELC_HPN2-AB, R-HC_Apt_ELC_HPN2-C, R-HC_Apt_ELC_HPN2-D, R-HC_Apt_ELC_HPN2-E, R-HC_Apt_ELC_HPN2-F, R-HC_Apt_ELC_HPN2-G, R-SH_Apt_ELC_HPN1, R-SH_Apt_ELC_HPN2-AB, R-SH_Apt_ELC_HPN2-C, R-SH_Apt_ELC_HPN2-D, R-SH_Apt_ELC_HPN2-E, R-SH_Apt_ELC_HPN2-F, R-SH_Apt_ELC_HPN2-G, R-SH_Apt_ELC_HPN3-AB, R-SH_Apt_ELC_HPN3-C, R-SH_Apt_ELC_HPN3-D, R-SH_Apt_ELC_HPN3-E, R-SH_Apt_ELC_HPN3-F, R-SH_Apt_ELC_HPN3-G, R-SW_Apt_ELC_HPN1-AB, R-SW_Apt_ELC_HPN1-C, R-SW_Apt_ELC_HPN1-D, R-SW_Apt_ELC_HPN1-E, R-SW_Apt_ELC_HPN1-F, R-SW_Apt_ELC_HPN1-G, R-SW_Apt_GAS_HHPN1, R-SW_Apt_GAS_HPN1, R-SW_Apt_GAS_HPN2</t>
  </si>
  <si>
    <t>R-SW_Apt_HET_N1</t>
  </si>
  <si>
    <t>R-SW_Apt_HET_N2</t>
  </si>
  <si>
    <t>R-SW_Att_HET_N1</t>
  </si>
  <si>
    <t>R-SW_Att_HET_N2</t>
  </si>
  <si>
    <t>R-SW_Det_HET_N1</t>
  </si>
  <si>
    <t>R-SW_Det_HET_N2</t>
  </si>
  <si>
    <t>R-SW_Apt_HET_N1, R-SW_Apt_HET_N2, R-SW_Att_HET_N1, R-SW_Att_HET_N2, R-SW_Det_HET_N1, R-SW_Det_HET_N2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</si>
</sst>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vertical="center" wrapText="1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topLeftCell="C1" workbookViewId="0">
      <selection activeCell="J9" sqref="J9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2.42578125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24" x14ac:dyDescent="0.25">
      <c r="A1" t="s">
        <v>17</v>
      </c>
    </row>
    <row r="2" spans="1:24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24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24" x14ac:dyDescent="0.25">
      <c r="D4" s="7" t="s">
        <v>19</v>
      </c>
      <c r="E4" t="s">
        <v>29</v>
      </c>
      <c r="H4">
        <v>1</v>
      </c>
      <c r="J4" t="str">
        <f>+X4</f>
        <v>R-RTFT-Apt_B3, R-RTFT-Apt_C, R-RTFT-Apt_D, R-RTFT-Att_B3, R-RTFT-Att_C, R-RTFT-Att_D, R-RTFT-Det_B3, R-RTFT-Det_C, R-RTFT-Det_D</v>
      </c>
      <c r="V4" t="s">
        <v>22</v>
      </c>
      <c r="W4" t="s">
        <v>23</v>
      </c>
      <c r="X4" t="s">
        <v>24</v>
      </c>
    </row>
    <row r="5" spans="1:24" x14ac:dyDescent="0.25">
      <c r="D5" s="7" t="s">
        <v>19</v>
      </c>
      <c r="E5" t="s">
        <v>29</v>
      </c>
      <c r="H5">
        <v>1</v>
      </c>
      <c r="J5" t="str">
        <f t="shared" ref="J5:J9" si="0">+X5</f>
        <v>R-RTFT-Apt_E, R-RTFT-Apt_F, R-RTFT-Apt_G, R-RTFT-Att_E, R-RTFT-Att_F, R-RTFT-Att_G, R-RTFT-Det_E, R-RTFT-Det_F, R-RTFT-Det_G</v>
      </c>
      <c r="V5" t="s">
        <v>22</v>
      </c>
      <c r="W5" t="s">
        <v>25</v>
      </c>
      <c r="X5" t="s">
        <v>26</v>
      </c>
    </row>
    <row r="6" spans="1:24" x14ac:dyDescent="0.25">
      <c r="D6" s="7" t="s">
        <v>19</v>
      </c>
      <c r="E6" t="s">
        <v>30</v>
      </c>
      <c r="H6">
        <v>1</v>
      </c>
      <c r="J6" t="str">
        <f t="shared" si="0"/>
        <v>R-HC_Apt_ELC_HPN1, R-HC_Apt_ELC_HPN2-AB, R-HC_Apt_ELC_HPN2-C, R-HC_Apt_ELC_HPN2-D, R-HC_Apt_ELC_HPN2-E, R-HC_Apt_ELC_HPN2-F, R-HC_Apt_ELC_HPN2-G, R-SH_Apt_ELC_HPN1, R-SH_Apt_ELC_HPN2-AB, R-SH_Apt_ELC_HPN2-C, R-SH_Apt_ELC_HPN2-D, R-SH_Apt_ELC_HPN2-E, R-SH_Apt_ELC_HPN2-F, R-SH_Apt_ELC_HPN2-G, R-SH_Apt_ELC_HPN3-AB, R-SH_Apt_ELC_HPN3-C, R-SH_Apt_ELC_HPN3-D, R-SH_Apt_ELC_HPN3-E, R-SH_Apt_ELC_HPN3-F, R-SH_Apt_ELC_HPN3-G, R-SW_Apt_ELC_HPN1-AB, R-SW_Apt_ELC_HPN1-C, R-SW_Apt_ELC_HPN1-D, R-SW_Apt_ELC_HPN1-E, R-SW_Apt_ELC_HPN1-F, R-SW_Apt_ELC_HPN1-G, R-SW_Apt_GAS_HHPN1, R-SW_Apt_GAS_HPN1, R-SW_Apt_GAS_HPN2</v>
      </c>
      <c r="V6" t="s">
        <v>22</v>
      </c>
      <c r="W6" t="s">
        <v>20</v>
      </c>
      <c r="X6" t="s">
        <v>37</v>
      </c>
    </row>
    <row r="7" spans="1:24" x14ac:dyDescent="0.25">
      <c r="D7" s="7" t="s">
        <v>19</v>
      </c>
      <c r="E7" t="s">
        <v>30</v>
      </c>
      <c r="H7">
        <v>1</v>
      </c>
      <c r="J7" t="str">
        <f t="shared" si="0"/>
        <v>R-SH_Apt_GAS_N1,R-SH_Att_GAS_N1,R-SH_Det_GAS_N1,R-SW_Apt_GAS_HHPN1,R-SW_Apt_GAS_HPN1,R-SW_Apt_GAS_HPN2,R-SW_Apt_GAS_N1,R-SW_Att_GAS_HHPN1,R-SW_Att_GAS_HPN1,R-SW_Att_GAS_HPN2,R-SW_Att_GAS_N1,R-SW_Att_GAS_N2,R-SW_Att_GAS_N3,R-SW_Det_GAS_HHPN1,R-SW_Det_GAS_HPN1,R-SW_Det_GAS_HPN2,R-SW_Det_GAS_N1,R-SW_Det_GAS_N2,R-SW_Det_GAS_N3</v>
      </c>
      <c r="V7" t="s">
        <v>22</v>
      </c>
      <c r="W7" t="s">
        <v>27</v>
      </c>
      <c r="X7" t="s">
        <v>28</v>
      </c>
    </row>
    <row r="8" spans="1:24" x14ac:dyDescent="0.25">
      <c r="D8" s="7" t="s">
        <v>19</v>
      </c>
      <c r="E8" t="s">
        <v>30</v>
      </c>
      <c r="H8">
        <v>1</v>
      </c>
      <c r="J8" t="str">
        <f t="shared" si="0"/>
        <v>R-HC_Att_ELC_HPN1, R-HC_Att_ELC_HPN2-AB, R-HC_Att_ELC_HPN2-C, R-HC_Att_ELC_HPN2-D, R-HC_Att_ELC_HPN2-E, R-HC_Att_ELC_HPN2-F, R-HC_Att_ELC_HPN2-G, R-SH_Att_ELC_HPN1, R-SH_Att_ELC_HPN2-AB, R-SH_Att_ELC_HPN2-C, R-SH_Att_ELC_HPN2-D, R-SH_Att_ELC_HPN2-E, R-SH_Att_ELC_HPN2-F, R-SH_Att_ELC_HPN2-G, R-SH_Att_ELC_HPN3-AB, R-SH_Att_ELC_HPN3-C, R-SH_Att_ELC_HPN3-D, R-SH_Att_ELC_HPN3-E, R-SH_Att_ELC_HPN3-F, R-SH_Att_ELC_HPN3-G, R-SW_Att_ELC_HPN1-AB, R-SW_Att_ELC_HPN1-C, R-SW_Att_ELC_HPN1-D, R-SW_Att_ELC_HPN1-E, R-SW_Att_ELC_HPN1-F, R-SW_Att_ELC_HPN1-G, R-SW_Att_ELC_HPN2-AB, R-SW_Att_ELC_HPN2-C, R-SW_Att_ELC_HPN2-D, R-SW_Att_ELC_HPN2-E, R-SW_Att_ELC_HPN2-F, R-SW_Att_ELC_HPN2-G, R-SW_Att_GAS_HHPN1, R-SW_Att_GAS_HPN1, R-SW_Att_GAS_HPN2</v>
      </c>
      <c r="V8" t="s">
        <v>22</v>
      </c>
      <c r="W8" t="s">
        <v>20</v>
      </c>
      <c r="X8" t="s">
        <v>36</v>
      </c>
    </row>
    <row r="9" spans="1:24" x14ac:dyDescent="0.25">
      <c r="D9" s="7" t="s">
        <v>19</v>
      </c>
      <c r="E9" t="s">
        <v>30</v>
      </c>
      <c r="H9">
        <v>1</v>
      </c>
      <c r="J9" t="str">
        <f t="shared" si="0"/>
        <v>R-SW_Apt_HET_N1, R-SW_Apt_HET_N2, R-SW_Att_HET_N1, R-SW_Att_HET_N2, R-SW_Det_HET_N1, R-SW_Det_HET_N2</v>
      </c>
      <c r="V9" t="s">
        <v>22</v>
      </c>
      <c r="W9" t="s">
        <v>21</v>
      </c>
      <c r="X9" t="s">
        <v>44</v>
      </c>
    </row>
    <row r="20" spans="22:28" x14ac:dyDescent="0.25">
      <c r="X20" t="str">
        <f>_xlfn.TEXTJOIN(", ",TRUE,X23:X58)</f>
        <v>R-SW_Apt_HET_N1, R-SW_Apt_HET_N2, R-SW_Att_HET_N1, R-SW_Att_HET_N2, R-SW_Det_HET_N1, R-SW_Det_HET_N2</v>
      </c>
    </row>
    <row r="22" spans="22:28" x14ac:dyDescent="0.25">
      <c r="V22" t="s">
        <v>31</v>
      </c>
      <c r="W22" t="s">
        <v>32</v>
      </c>
      <c r="X22" t="s">
        <v>33</v>
      </c>
      <c r="Y22">
        <v>2018</v>
      </c>
      <c r="Z22">
        <v>2030</v>
      </c>
      <c r="AA22">
        <v>2040</v>
      </c>
      <c r="AB22">
        <v>2050</v>
      </c>
    </row>
    <row r="23" spans="22:28" x14ac:dyDescent="0.25">
      <c r="V23" t="s">
        <v>34</v>
      </c>
      <c r="W23" t="s">
        <v>35</v>
      </c>
      <c r="X23" t="s">
        <v>38</v>
      </c>
      <c r="Y23">
        <v>1</v>
      </c>
      <c r="Z23">
        <v>1</v>
      </c>
      <c r="AA23">
        <v>1</v>
      </c>
      <c r="AB23">
        <v>1</v>
      </c>
    </row>
    <row r="24" spans="22:28" x14ac:dyDescent="0.25">
      <c r="V24" t="s">
        <v>34</v>
      </c>
      <c r="W24" t="s">
        <v>35</v>
      </c>
      <c r="X24" t="s">
        <v>39</v>
      </c>
      <c r="Y24">
        <v>1</v>
      </c>
      <c r="Z24">
        <v>1</v>
      </c>
      <c r="AA24">
        <v>1</v>
      </c>
      <c r="AB24">
        <v>1</v>
      </c>
    </row>
    <row r="25" spans="22:28" x14ac:dyDescent="0.25">
      <c r="V25" t="s">
        <v>34</v>
      </c>
      <c r="W25" t="s">
        <v>35</v>
      </c>
      <c r="X25" t="s">
        <v>40</v>
      </c>
      <c r="Y25">
        <v>1</v>
      </c>
      <c r="Z25">
        <v>1</v>
      </c>
      <c r="AA25">
        <v>1</v>
      </c>
      <c r="AB25">
        <v>1</v>
      </c>
    </row>
    <row r="26" spans="22:28" x14ac:dyDescent="0.25">
      <c r="V26" t="s">
        <v>34</v>
      </c>
      <c r="W26" t="s">
        <v>35</v>
      </c>
      <c r="X26" t="s">
        <v>41</v>
      </c>
      <c r="Y26">
        <v>1</v>
      </c>
      <c r="Z26">
        <v>1</v>
      </c>
      <c r="AA26">
        <v>1</v>
      </c>
      <c r="AB26">
        <v>1</v>
      </c>
    </row>
    <row r="27" spans="22:28" x14ac:dyDescent="0.25">
      <c r="V27" t="s">
        <v>34</v>
      </c>
      <c r="W27" t="s">
        <v>35</v>
      </c>
      <c r="X27" t="s">
        <v>42</v>
      </c>
      <c r="Y27">
        <v>1</v>
      </c>
      <c r="Z27">
        <v>1</v>
      </c>
      <c r="AA27">
        <v>1</v>
      </c>
      <c r="AB27">
        <v>1</v>
      </c>
    </row>
    <row r="28" spans="22:28" x14ac:dyDescent="0.25">
      <c r="V28" t="s">
        <v>34</v>
      </c>
      <c r="W28" t="s">
        <v>35</v>
      </c>
      <c r="X28" t="s">
        <v>43</v>
      </c>
      <c r="Y28">
        <v>1</v>
      </c>
      <c r="Z28">
        <v>1</v>
      </c>
      <c r="AA28">
        <v>1</v>
      </c>
      <c r="AB28">
        <v>1</v>
      </c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18</v>
      </c>
    </row>
    <row r="2" spans="1:16" x14ac:dyDescent="0.25">
      <c r="B2" s="1" t="s">
        <v>16</v>
      </c>
      <c r="I2" s="2"/>
      <c r="J2" s="3"/>
      <c r="K2" s="3"/>
      <c r="L2" s="3"/>
      <c r="M2" s="3"/>
      <c r="N2" s="3"/>
      <c r="O2" s="3"/>
      <c r="P2" s="3"/>
    </row>
    <row r="3" spans="1:16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</vt:lpstr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2025-10-22T08:59:51Z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