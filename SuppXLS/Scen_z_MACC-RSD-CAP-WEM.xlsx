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bsul\Documents\GitHub\times-ireland-model\SuppXLS\"/>
    </mc:Choice>
  </mc:AlternateContent>
  <xr:revisionPtr revIDLastSave="0" documentId="13_ncr:1_{E87AB718-2B4E-488D-8849-D76B9F2012D1}" xr6:coauthVersionLast="47" xr6:coauthVersionMax="47" xr10:uidLastSave="{00000000-0000-0000-0000-000000000000}"/>
  <bookViews>
    <workbookView xWindow="-120" yWindow="-120" windowWidth="29040" windowHeight="15720" xr2:uid="{00000000-000D-0000-FFFF-FFFF00000000}"/>
  </bookViews>
  <sheets>
    <sheet name="data" sheetId="1" r:id="rId1"/>
    <sheet name="caps_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0" i="1" l="1"/>
  <c r="Y50" i="1"/>
  <c r="Z50" i="1"/>
  <c r="AA50" i="1"/>
  <c r="AB50" i="1"/>
  <c r="AC50" i="1"/>
  <c r="AD50" i="1"/>
  <c r="AE50" i="1"/>
  <c r="AF50" i="1"/>
  <c r="AG50" i="1"/>
  <c r="AH50" i="1"/>
  <c r="AI50" i="1"/>
  <c r="AJ50" i="1"/>
  <c r="AK50" i="1"/>
  <c r="W50" i="1"/>
  <c r="V50" i="1"/>
  <c r="AB51" i="1"/>
  <c r="AC51" i="1"/>
  <c r="AD51" i="1"/>
  <c r="AE51" i="1"/>
  <c r="AF51" i="1"/>
  <c r="AG51" i="1"/>
  <c r="AH51" i="1"/>
  <c r="AI51" i="1"/>
  <c r="AJ51" i="1"/>
  <c r="AK51" i="1"/>
  <c r="AB52" i="1"/>
  <c r="AC52" i="1"/>
  <c r="AD52" i="1"/>
  <c r="AE52" i="1"/>
  <c r="AF52" i="1"/>
  <c r="AG52" i="1"/>
  <c r="AH52" i="1"/>
  <c r="AI52" i="1"/>
  <c r="AJ52" i="1"/>
  <c r="AK52" i="1"/>
  <c r="AA52" i="1"/>
  <c r="V51" i="1"/>
  <c r="U52" i="1"/>
  <c r="U51" i="1"/>
  <c r="U50" i="1"/>
  <c r="W51" i="1"/>
  <c r="X51" i="1"/>
  <c r="Y51" i="1"/>
  <c r="Z51" i="1"/>
  <c r="AA51" i="1"/>
  <c r="V52" i="1"/>
  <c r="W52" i="1"/>
  <c r="X52" i="1"/>
  <c r="Y52" i="1"/>
  <c r="Z52" i="1"/>
  <c r="D51" i="1"/>
  <c r="D50" i="1"/>
  <c r="P23" i="1"/>
  <c r="B24" i="1"/>
  <c r="B23" i="1"/>
  <c r="A148" i="2"/>
  <c r="B19" i="1"/>
  <c r="D19" i="1"/>
  <c r="B20" i="1"/>
  <c r="D20" i="1"/>
  <c r="B21" i="1"/>
  <c r="D21" i="1"/>
  <c r="B22" i="1"/>
  <c r="D22" i="1"/>
  <c r="B18" i="1"/>
  <c r="D18" i="1"/>
  <c r="Q5" i="1" a="1"/>
  <c r="U6" i="1" a="1"/>
  <c r="AF8" i="1" a="1"/>
  <c r="Z8" i="1" a="1"/>
  <c r="E9" i="1" a="1"/>
  <c r="Z3" i="1" a="1"/>
  <c r="H6" i="1" a="1"/>
  <c r="L5" i="1" a="1"/>
  <c r="AG6" i="1" a="1"/>
  <c r="F3" i="1" a="1"/>
  <c r="Y6" i="1" a="1"/>
  <c r="AG5" i="1" a="1"/>
  <c r="F6" i="1" a="1"/>
  <c r="AI6" i="1" a="1"/>
  <c r="I9" i="1" a="1"/>
  <c r="I4" i="1" a="1"/>
  <c r="V3" i="1" a="1"/>
  <c r="AC3" i="1" a="1"/>
  <c r="O4" i="1" a="1"/>
  <c r="R8" i="1" a="1"/>
  <c r="M9" i="1" a="1"/>
  <c r="M6" i="1" a="1"/>
  <c r="AA7" i="1" a="1"/>
  <c r="J9" i="1" a="1"/>
  <c r="K9" i="1" a="1"/>
  <c r="X7" i="1" a="1"/>
  <c r="N7" i="1" a="1"/>
  <c r="AA3" i="1" a="1"/>
  <c r="P7" i="1" a="1"/>
  <c r="AF6" i="1" a="1"/>
  <c r="AH5" i="1" a="1"/>
  <c r="X8" i="1" a="1"/>
  <c r="AI5" i="1" a="1"/>
  <c r="N3" i="1" a="1"/>
  <c r="AA9" i="1" a="1"/>
  <c r="I6" i="1" a="1"/>
  <c r="I3" i="1" a="1"/>
  <c r="D9" i="1" a="1"/>
  <c r="E7" i="1" a="1"/>
  <c r="AC7" i="1" a="1"/>
  <c r="H7" i="1" a="1"/>
  <c r="Q7" i="1" a="1"/>
  <c r="R7" i="1" a="1"/>
  <c r="T3" i="1" a="1"/>
  <c r="G9" i="1" a="1"/>
  <c r="D8" i="1" a="1"/>
  <c r="S6" i="1" a="1"/>
  <c r="AE6" i="1" a="1"/>
  <c r="R6" i="1" a="1"/>
  <c r="AI8" i="1" a="1"/>
  <c r="F4" i="1" a="1"/>
  <c r="T9" i="1" a="1"/>
  <c r="O8" i="1" a="1"/>
  <c r="AE7" i="1" a="1"/>
  <c r="AB3" i="1" a="1"/>
  <c r="L8" i="1" a="1"/>
  <c r="P3" i="1" a="1"/>
  <c r="R9" i="1" a="1"/>
  <c r="E5" i="1" a="1"/>
  <c r="U4" i="1" a="1"/>
  <c r="S9" i="1" a="1"/>
  <c r="AD8" i="1" a="1"/>
  <c r="AI3" i="1" a="1"/>
  <c r="W8" i="1" a="1"/>
  <c r="V8" i="1" a="1"/>
  <c r="M4" i="1" a="1"/>
  <c r="U8" i="1" a="1"/>
  <c r="J5" i="1" a="1"/>
  <c r="AD3" i="1" a="1"/>
  <c r="G4" i="1" a="1"/>
  <c r="AG9" i="1" a="1"/>
  <c r="D7" i="1" a="1"/>
  <c r="AD9" i="1" a="1"/>
  <c r="S7" i="1" a="1"/>
  <c r="M3" i="1" a="1"/>
  <c r="K6" i="1" a="1"/>
  <c r="AF9" i="1" a="1"/>
  <c r="O3" i="1" a="1"/>
  <c r="AE8" i="1" a="1"/>
  <c r="X9" i="1" a="1"/>
  <c r="N4" i="1" a="1"/>
  <c r="AB6" i="1" a="1"/>
  <c r="Q3" i="1" a="1"/>
  <c r="E3" i="1" a="1"/>
  <c r="P9" i="1" a="1"/>
  <c r="Z6" i="1" a="1"/>
  <c r="AD5" i="1" a="1"/>
  <c r="R5" i="1" a="1"/>
  <c r="D6" i="1" a="1"/>
  <c r="F9" i="1" a="1"/>
  <c r="J7" i="1" a="1"/>
  <c r="AD7" i="1" a="1"/>
  <c r="AB7" i="1" a="1"/>
  <c r="AF7" i="1" a="1"/>
  <c r="AD6" i="1" a="1"/>
  <c r="O5" i="1" a="1"/>
  <c r="L3" i="1" a="1"/>
  <c r="AI7" i="1" a="1"/>
  <c r="P4" i="1" a="1"/>
  <c r="N9" i="1" a="1"/>
  <c r="Z7" i="1" a="1"/>
  <c r="E8" i="1" a="1"/>
  <c r="J6" i="1" a="1"/>
  <c r="W7" i="1" a="1"/>
  <c r="O6" i="1" a="1"/>
  <c r="S8" i="1" a="1"/>
  <c r="E4" i="1" a="1"/>
  <c r="G7" i="1" a="1"/>
  <c r="M5" i="1" a="1"/>
  <c r="T8" i="1" a="1"/>
  <c r="J3" i="1" a="1"/>
  <c r="T6" i="1" a="1"/>
  <c r="AG3" i="1" a="1"/>
  <c r="Q4" i="1" a="1"/>
  <c r="J4" i="1" a="1"/>
  <c r="L9" i="1" a="1"/>
  <c r="G5" i="1" a="1"/>
  <c r="S3" i="1" a="1"/>
  <c r="AB9" i="1" a="1"/>
  <c r="D5" i="1" a="1"/>
  <c r="H8" i="1" a="1"/>
  <c r="W9" i="1" a="1"/>
  <c r="R4" i="1" a="1"/>
  <c r="X3" i="1" a="1"/>
  <c r="Y3" i="1" a="1"/>
  <c r="AH9" i="1" a="1"/>
  <c r="V6" i="1" a="1"/>
  <c r="W3" i="1" a="1"/>
  <c r="L4" i="1" a="1"/>
  <c r="Q8" i="1" a="1"/>
  <c r="K4" i="1" a="1"/>
  <c r="T5" i="1" a="1"/>
  <c r="U9" i="1" a="1"/>
  <c r="AA6" i="1" a="1"/>
  <c r="P5" i="1" a="1"/>
  <c r="AC6" i="1" a="1"/>
  <c r="AH7" i="1" a="1"/>
  <c r="X6" i="1" a="1"/>
  <c r="AE9" i="1" a="1"/>
  <c r="Y7" i="1" a="1"/>
  <c r="D3" i="1" a="1"/>
  <c r="Y8" i="1" a="1"/>
  <c r="I8" i="1" a="1"/>
  <c r="S4" i="1" a="1"/>
  <c r="AI9" i="1" a="1"/>
  <c r="W6" i="1" a="1"/>
  <c r="U7" i="1" a="1"/>
  <c r="G3" i="1" a="1"/>
  <c r="M8" i="1" a="1"/>
  <c r="AF5" i="1" a="1"/>
  <c r="E6" i="1" a="1"/>
  <c r="T7" i="1" a="1"/>
  <c r="P6" i="1" a="1"/>
  <c r="Y9" i="1" a="1"/>
  <c r="L6" i="1" a="1"/>
  <c r="AC5" i="1" a="1"/>
  <c r="O9" i="1" a="1"/>
  <c r="H3" i="1" a="1"/>
  <c r="AG8" i="1" a="1"/>
  <c r="I7" i="1" a="1"/>
  <c r="J8" i="1" a="1"/>
  <c r="H9" i="1" a="1"/>
  <c r="Z9" i="1" a="1"/>
  <c r="G6" i="1" a="1"/>
  <c r="AH8" i="1" a="1"/>
  <c r="L7" i="1" a="1"/>
  <c r="K3" i="1" a="1"/>
  <c r="AE3" i="1" a="1"/>
  <c r="U3" i="1" a="1"/>
  <c r="O7" i="1" a="1"/>
  <c r="K7" i="1" a="1"/>
  <c r="R3" i="1" a="1"/>
  <c r="F7" i="1" a="1"/>
  <c r="K5" i="1" a="1"/>
  <c r="AF3" i="1" a="1"/>
  <c r="AH3" i="1" a="1"/>
  <c r="N8" i="1" a="1"/>
  <c r="AC9" i="1" a="1"/>
  <c r="V7" i="1" a="1"/>
  <c r="AG7" i="1" a="1"/>
  <c r="Q9" i="1" a="1"/>
  <c r="AE5" i="1" a="1"/>
  <c r="Q6" i="1" a="1"/>
  <c r="M7" i="1" a="1"/>
  <c r="H4" i="1" a="1"/>
  <c r="AH6" i="1" a="1"/>
  <c r="N6" i="1" a="1"/>
  <c r="V9" i="1" a="1"/>
  <c r="N5" i="1" a="1"/>
  <c r="T4" i="1" a="1"/>
  <c r="L9" i="1" l="1"/>
  <c r="U24" i="1" s="1"/>
  <c r="L7" i="1"/>
  <c r="U22" i="1" s="1"/>
  <c r="P6" i="1"/>
  <c r="Y21" i="1" s="1"/>
  <c r="Q4" i="1"/>
  <c r="Z19" i="1" s="1"/>
  <c r="AC5" i="1"/>
  <c r="AL20" i="1" s="1"/>
  <c r="AI9" i="1"/>
  <c r="AR24" i="1" s="1"/>
  <c r="W9" i="1"/>
  <c r="AF24" i="1" s="1"/>
  <c r="AL23" i="1"/>
  <c r="Q8" i="1"/>
  <c r="Z23" i="1" s="1"/>
  <c r="AB6" i="1"/>
  <c r="AK21" i="1" s="1"/>
  <c r="P4" i="1"/>
  <c r="Y19" i="1" s="1"/>
  <c r="AH9" i="1"/>
  <c r="AQ24" i="1" s="1"/>
  <c r="AH7" i="1"/>
  <c r="AQ22" i="1" s="1"/>
  <c r="AD9" i="1"/>
  <c r="AM24" i="1" s="1"/>
  <c r="F9" i="1"/>
  <c r="AF20" i="1"/>
  <c r="V6" i="1"/>
  <c r="AE21" i="1" s="1"/>
  <c r="AC9" i="1"/>
  <c r="AL24" i="1" s="1"/>
  <c r="Q9" i="1"/>
  <c r="Z24" i="1" s="1"/>
  <c r="AI8" i="1"/>
  <c r="AR23" i="1" s="1"/>
  <c r="W8" i="1"/>
  <c r="AF23" i="1" s="1"/>
  <c r="T23" i="1"/>
  <c r="Q7" i="1"/>
  <c r="Z22" i="1" s="1"/>
  <c r="AB9" i="1"/>
  <c r="AK24" i="1" s="1"/>
  <c r="P9" i="1"/>
  <c r="Y24" i="1" s="1"/>
  <c r="AH8" i="1"/>
  <c r="AQ23" i="1" s="1"/>
  <c r="V8" i="1"/>
  <c r="AE23" i="1" s="1"/>
  <c r="J8" i="1"/>
  <c r="S23" i="1" s="1"/>
  <c r="AB7" i="1"/>
  <c r="AK22" i="1" s="1"/>
  <c r="P7" i="1"/>
  <c r="Y22" i="1" s="1"/>
  <c r="Q6" i="1"/>
  <c r="Z21" i="1" s="1"/>
  <c r="AH5" i="1"/>
  <c r="AQ20" i="1" s="1"/>
  <c r="AI3" i="1"/>
  <c r="AR18" i="1" s="1"/>
  <c r="V3" i="1"/>
  <c r="AE18" i="1" s="1"/>
  <c r="Q5" i="1"/>
  <c r="Z20" i="1" s="1"/>
  <c r="AQ19" i="1"/>
  <c r="AI7" i="1"/>
  <c r="AR22" i="1" s="1"/>
  <c r="AL19" i="1"/>
  <c r="K6" i="1"/>
  <c r="T21" i="1" s="1"/>
  <c r="AK20" i="1"/>
  <c r="AC3" i="1"/>
  <c r="AL18" i="1" s="1"/>
  <c r="P3" i="1"/>
  <c r="Y18" i="1" s="1"/>
  <c r="W7" i="1"/>
  <c r="AF22" i="1" s="1"/>
  <c r="J7" i="1"/>
  <c r="S22" i="1" s="1"/>
  <c r="K5" i="1"/>
  <c r="T20" i="1" s="1"/>
  <c r="AK19" i="1"/>
  <c r="P5" i="1"/>
  <c r="Y20" i="1" s="1"/>
  <c r="V7" i="1"/>
  <c r="AE22" i="1" s="1"/>
  <c r="W6" i="1"/>
  <c r="AF21" i="1" s="1"/>
  <c r="J6" i="1"/>
  <c r="K4" i="1"/>
  <c r="T19" i="1" s="1"/>
  <c r="AB3" i="1"/>
  <c r="AK18" i="1" s="1"/>
  <c r="X9" i="1"/>
  <c r="AG24" i="1" s="1"/>
  <c r="AD8" i="1"/>
  <c r="AM23" i="1" s="1"/>
  <c r="R8" i="1"/>
  <c r="AA23" i="1" s="1"/>
  <c r="AC6" i="1"/>
  <c r="AL21" i="1" s="1"/>
  <c r="AH3" i="1"/>
  <c r="AQ18" i="1" s="1"/>
  <c r="Q3" i="1"/>
  <c r="Z18" i="1" s="1"/>
  <c r="V9" i="1"/>
  <c r="AE24" i="1" s="1"/>
  <c r="AK23" i="1"/>
  <c r="Y23" i="1"/>
  <c r="J5" i="1"/>
  <c r="K3" i="1"/>
  <c r="T18" i="1" s="1"/>
  <c r="AD7" i="1"/>
  <c r="AM22" i="1" s="1"/>
  <c r="AI6" i="1"/>
  <c r="AR21" i="1" s="1"/>
  <c r="AF19" i="1"/>
  <c r="J4" i="1"/>
  <c r="S19" i="1" s="1"/>
  <c r="K7" i="1"/>
  <c r="T22" i="1" s="1"/>
  <c r="R7" i="1"/>
  <c r="AA22" i="1" s="1"/>
  <c r="AI5" i="1"/>
  <c r="AR20" i="1" s="1"/>
  <c r="W3" i="1"/>
  <c r="AF18" i="1" s="1"/>
  <c r="J3" i="1"/>
  <c r="S18" i="1" s="1"/>
  <c r="X7" i="1"/>
  <c r="AG22" i="1" s="1"/>
  <c r="K9" i="1"/>
  <c r="T24" i="1" s="1"/>
  <c r="J9" i="1"/>
  <c r="S24" i="1" s="1"/>
  <c r="R9" i="1"/>
  <c r="AA24" i="1" s="1"/>
  <c r="X8" i="1"/>
  <c r="AG23" i="1" s="1"/>
  <c r="L8" i="1"/>
  <c r="U23" i="1" s="1"/>
  <c r="AC7" i="1"/>
  <c r="AL22" i="1" s="1"/>
  <c r="AE20" i="1"/>
  <c r="AH6" i="1"/>
  <c r="AQ21" i="1" s="1"/>
  <c r="AR19" i="1"/>
  <c r="AE19" i="1"/>
  <c r="O7" i="1"/>
  <c r="X22" i="1" s="1"/>
  <c r="AA6" i="1"/>
  <c r="AJ21" i="1" s="1"/>
  <c r="O6" i="1"/>
  <c r="X21" i="1" s="1"/>
  <c r="I6" i="1"/>
  <c r="AP19" i="1"/>
  <c r="AG7" i="1"/>
  <c r="AP22" i="1" s="1"/>
  <c r="O5" i="1"/>
  <c r="X20" i="1" s="1"/>
  <c r="AJ19" i="1"/>
  <c r="U4" i="1"/>
  <c r="AD19" i="1" s="1"/>
  <c r="O4" i="1"/>
  <c r="X19" i="1" s="1"/>
  <c r="I4" i="1"/>
  <c r="R19" i="1" s="1"/>
  <c r="AG3" i="1"/>
  <c r="AP18" i="1" s="1"/>
  <c r="AA3" i="1"/>
  <c r="AJ18" i="1" s="1"/>
  <c r="U3" i="1"/>
  <c r="AD18" i="1" s="1"/>
  <c r="O3" i="1"/>
  <c r="X18" i="1" s="1"/>
  <c r="I3" i="1"/>
  <c r="R18" i="1" s="1"/>
  <c r="AA9" i="1"/>
  <c r="AJ24" i="1" s="1"/>
  <c r="AA7" i="1"/>
  <c r="AJ22" i="1" s="1"/>
  <c r="AJ20" i="1"/>
  <c r="AF9" i="1"/>
  <c r="AO24" i="1" s="1"/>
  <c r="H9" i="1"/>
  <c r="Q24" i="1" s="1"/>
  <c r="T8" i="1"/>
  <c r="AC23" i="1" s="1"/>
  <c r="N8" i="1"/>
  <c r="W23" i="1" s="1"/>
  <c r="H8" i="1"/>
  <c r="Q23" i="1" s="1"/>
  <c r="N7" i="1"/>
  <c r="W22" i="1" s="1"/>
  <c r="AF6" i="1"/>
  <c r="AO21" i="1" s="1"/>
  <c r="Z6" i="1"/>
  <c r="AI21" i="1" s="1"/>
  <c r="N6" i="1"/>
  <c r="W21" i="1" s="1"/>
  <c r="AF5" i="1"/>
  <c r="AO20" i="1" s="1"/>
  <c r="AI20" i="1"/>
  <c r="N5" i="1"/>
  <c r="W20" i="1" s="1"/>
  <c r="AO19" i="1"/>
  <c r="AI19" i="1"/>
  <c r="T4" i="1"/>
  <c r="AC19" i="1" s="1"/>
  <c r="N4" i="1"/>
  <c r="W19" i="1" s="1"/>
  <c r="H4" i="1"/>
  <c r="AF3" i="1"/>
  <c r="AO18" i="1" s="1"/>
  <c r="Z3" i="1"/>
  <c r="AI18" i="1" s="1"/>
  <c r="T3" i="1"/>
  <c r="AC18" i="1" s="1"/>
  <c r="N3" i="1"/>
  <c r="W18" i="1" s="1"/>
  <c r="H3" i="1"/>
  <c r="Q18" i="1" s="1"/>
  <c r="H7" i="1"/>
  <c r="Q22" i="1" s="1"/>
  <c r="T6" i="1"/>
  <c r="AC21" i="1" s="1"/>
  <c r="H6" i="1"/>
  <c r="T5" i="1"/>
  <c r="AC20" i="1" s="1"/>
  <c r="AG9" i="1"/>
  <c r="AP24" i="1" s="1"/>
  <c r="U9" i="1"/>
  <c r="AD24" i="1" s="1"/>
  <c r="O9" i="1"/>
  <c r="X24" i="1" s="1"/>
  <c r="I9" i="1"/>
  <c r="R24" i="1" s="1"/>
  <c r="AG8" i="1"/>
  <c r="AP23" i="1" s="1"/>
  <c r="AJ23" i="1"/>
  <c r="U8" i="1"/>
  <c r="AD23" i="1" s="1"/>
  <c r="O8" i="1"/>
  <c r="X23" i="1" s="1"/>
  <c r="I8" i="1"/>
  <c r="R23" i="1" s="1"/>
  <c r="U7" i="1"/>
  <c r="AD22" i="1" s="1"/>
  <c r="I7" i="1"/>
  <c r="R22" i="1" s="1"/>
  <c r="AG6" i="1"/>
  <c r="AP21" i="1" s="1"/>
  <c r="U6" i="1"/>
  <c r="AD21" i="1" s="1"/>
  <c r="AG5" i="1"/>
  <c r="AP20" i="1" s="1"/>
  <c r="AD20" i="1"/>
  <c r="Z9" i="1"/>
  <c r="AI24" i="1" s="1"/>
  <c r="T9" i="1"/>
  <c r="AC24" i="1" s="1"/>
  <c r="N9" i="1"/>
  <c r="W24" i="1" s="1"/>
  <c r="AF8" i="1"/>
  <c r="AO23" i="1" s="1"/>
  <c r="Z8" i="1"/>
  <c r="AI23" i="1" s="1"/>
  <c r="AF7" i="1"/>
  <c r="AO22" i="1" s="1"/>
  <c r="Z7" i="1"/>
  <c r="AI22" i="1" s="1"/>
  <c r="T7" i="1"/>
  <c r="AC22" i="1" s="1"/>
  <c r="AE9" i="1"/>
  <c r="AN24" i="1" s="1"/>
  <c r="Y9" i="1"/>
  <c r="AH24" i="1" s="1"/>
  <c r="S9" i="1"/>
  <c r="AB24" i="1" s="1"/>
  <c r="M9" i="1"/>
  <c r="V24" i="1" s="1"/>
  <c r="G9" i="1"/>
  <c r="P24" i="1" s="1"/>
  <c r="AE8" i="1"/>
  <c r="AN23" i="1" s="1"/>
  <c r="Y8" i="1"/>
  <c r="AH23" i="1" s="1"/>
  <c r="S8" i="1"/>
  <c r="AB23" i="1" s="1"/>
  <c r="M8" i="1"/>
  <c r="V23" i="1" s="1"/>
  <c r="AE7" i="1"/>
  <c r="AN22" i="1" s="1"/>
  <c r="Y7" i="1"/>
  <c r="AH22" i="1" s="1"/>
  <c r="S7" i="1"/>
  <c r="AB22" i="1" s="1"/>
  <c r="M7" i="1"/>
  <c r="V22" i="1" s="1"/>
  <c r="G7" i="1"/>
  <c r="P22" i="1" s="1"/>
  <c r="AE6" i="1"/>
  <c r="AN21" i="1" s="1"/>
  <c r="Y6" i="1"/>
  <c r="AH21" i="1" s="1"/>
  <c r="S6" i="1"/>
  <c r="AB21" i="1" s="1"/>
  <c r="M6" i="1"/>
  <c r="V21" i="1" s="1"/>
  <c r="G6" i="1"/>
  <c r="AE5" i="1"/>
  <c r="AN20" i="1" s="1"/>
  <c r="AH20" i="1"/>
  <c r="AB20" i="1"/>
  <c r="M5" i="1"/>
  <c r="V20" i="1" s="1"/>
  <c r="G5" i="1"/>
  <c r="AN19" i="1"/>
  <c r="AH19" i="1"/>
  <c r="S4" i="1"/>
  <c r="AB19" i="1" s="1"/>
  <c r="M4" i="1"/>
  <c r="V19" i="1" s="1"/>
  <c r="G4" i="1"/>
  <c r="AE3" i="1"/>
  <c r="AN18" i="1" s="1"/>
  <c r="Y3" i="1"/>
  <c r="AH18" i="1" s="1"/>
  <c r="S3" i="1"/>
  <c r="AB18" i="1" s="1"/>
  <c r="M3" i="1"/>
  <c r="V18" i="1" s="1"/>
  <c r="G3" i="1"/>
  <c r="F7" i="1"/>
  <c r="AD6" i="1"/>
  <c r="AM21" i="1" s="1"/>
  <c r="X6" i="1"/>
  <c r="AG21" i="1" s="1"/>
  <c r="R6" i="1"/>
  <c r="AA21" i="1" s="1"/>
  <c r="L6" i="1"/>
  <c r="U21" i="1" s="1"/>
  <c r="F6" i="1"/>
  <c r="AD5" i="1"/>
  <c r="AM20" i="1" s="1"/>
  <c r="AG20" i="1"/>
  <c r="R5" i="1"/>
  <c r="AA20" i="1" s="1"/>
  <c r="L5" i="1"/>
  <c r="U20" i="1" s="1"/>
  <c r="AM19" i="1"/>
  <c r="AG19" i="1"/>
  <c r="R4" i="1"/>
  <c r="AA19" i="1" s="1"/>
  <c r="L4" i="1"/>
  <c r="U19" i="1" s="1"/>
  <c r="F4" i="1"/>
  <c r="AD3" i="1"/>
  <c r="AM18" i="1" s="1"/>
  <c r="X3" i="1"/>
  <c r="AG18" i="1" s="1"/>
  <c r="R3" i="1"/>
  <c r="AA18" i="1" s="1"/>
  <c r="L3" i="1"/>
  <c r="U18" i="1" s="1"/>
  <c r="F3" i="1"/>
  <c r="D7" i="1"/>
  <c r="D6" i="1"/>
  <c r="D8" i="1"/>
  <c r="D5" i="1"/>
  <c r="D9" i="1"/>
  <c r="D3" i="1"/>
  <c r="E9" i="1"/>
  <c r="E5" i="1"/>
  <c r="E7" i="1"/>
  <c r="E8" i="1"/>
  <c r="E6" i="1"/>
  <c r="E4" i="1"/>
  <c r="E3" i="1"/>
  <c r="P19" i="1" l="1" a="1"/>
  <c r="P19" i="1" s="1"/>
  <c r="Q19" i="1" s="1"/>
  <c r="P18" i="1" a="1"/>
  <c r="P1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<sst xmlns="http://schemas.openxmlformats.org/spreadsheetml/2006/main" count="392" uniqueCount="217">
  <si>
    <t>Sum of Pv</t>
  </si>
  <si>
    <t>Processset</t>
  </si>
  <si>
    <t/>
  </si>
  <si>
    <t>Process</t>
  </si>
  <si>
    <t>Period</t>
  </si>
  <si>
    <t>Coefficient</t>
  </si>
  <si>
    <t>~UC_Sets: R_E: AllRegions</t>
  </si>
  <si>
    <t>~UC_Sets: T_S:</t>
  </si>
  <si>
    <t>~UC_T: UC_RHSRT</t>
  </si>
  <si>
    <t>UC_N</t>
  </si>
  <si>
    <t>Pset_Set</t>
  </si>
  <si>
    <t>Pset_PN</t>
  </si>
  <si>
    <t>Pset_CI</t>
  </si>
  <si>
    <t>Pset_CO</t>
  </si>
  <si>
    <t>Cset_CN</t>
  </si>
  <si>
    <t>Attribute</t>
  </si>
  <si>
    <t>Year</t>
  </si>
  <si>
    <t>LimType</t>
  </si>
  <si>
    <t>UC_NCAP</t>
  </si>
  <si>
    <t>UC_FLO</t>
  </si>
  <si>
    <t>AllRegions</t>
  </si>
  <si>
    <t>UC_RHSRT~0</t>
  </si>
  <si>
    <t>UC_Desc</t>
  </si>
  <si>
    <t>FX</t>
  </si>
  <si>
    <t>RSD_BLD-APT-GAS</t>
  </si>
  <si>
    <t>R-SH_Apt_GAS_N1</t>
  </si>
  <si>
    <t>R-SW_Apt_GAS_HHPN1</t>
  </si>
  <si>
    <t>R-SW_Apt_GAS_HPN1</t>
  </si>
  <si>
    <t>R-SW_Apt_GAS_N1</t>
  </si>
  <si>
    <t>RSD_BLD-APT-HP</t>
  </si>
  <si>
    <t>R-SH_Apt_ELC_HPN2-AB</t>
  </si>
  <si>
    <t>R-SH_Apt_ELC_HPN2-C</t>
  </si>
  <si>
    <t>R-SH_Apt_ELC_HPN2-D</t>
  </si>
  <si>
    <t>R-SH_Apt_ELC_HPN2-E</t>
  </si>
  <si>
    <t>R-SH_Apt_ELC_HPN2-F</t>
  </si>
  <si>
    <t>R-SH_Apt_ELC_HPN2-G</t>
  </si>
  <si>
    <t>R-SH_Apt_ELC_HPN3-AB</t>
  </si>
  <si>
    <t>R-SH_Apt_ELC_HPN3-C</t>
  </si>
  <si>
    <t>R-SH_Apt_ELC_HPN3-D</t>
  </si>
  <si>
    <t>R-SH_Apt_ELC_HPN3-E</t>
  </si>
  <si>
    <t>R-SH_Apt_ELC_HPN3-F</t>
  </si>
  <si>
    <t>R-SH_Apt_ELC_HPN3-G</t>
  </si>
  <si>
    <t>R-SW_Apt_ELC_HPN1-AB</t>
  </si>
  <si>
    <t>R-SW_Apt_ELC_HPN1-C</t>
  </si>
  <si>
    <t>R-SW_Apt_ELC_HPN1-D</t>
  </si>
  <si>
    <t>R-SW_Apt_ELC_HPN1-E</t>
  </si>
  <si>
    <t>R-SW_Apt_ELC_HPN1-F</t>
  </si>
  <si>
    <t>R-SW_Apt_ELC_HPN1-G</t>
  </si>
  <si>
    <t>RSD_BLD-APT-OTH</t>
  </si>
  <si>
    <t>R-SH_Apt_KER_N1</t>
  </si>
  <si>
    <t>R-SH_Apt_LPG_N1</t>
  </si>
  <si>
    <t>R-SH_Apt_WOO_N1</t>
  </si>
  <si>
    <t>R-SW_Apt_HET_N1</t>
  </si>
  <si>
    <t>R-SW_Apt_HET_N2</t>
  </si>
  <si>
    <t>R-SW_Apt_KER_N1</t>
  </si>
  <si>
    <t>R-SW_Apt_LPG_N1</t>
  </si>
  <si>
    <t>R-SW_Apt_WOO_N1</t>
  </si>
  <si>
    <t>RSD_BLD-ATT-GAS</t>
  </si>
  <si>
    <t>R-SH_Att_GAS_N1</t>
  </si>
  <si>
    <t>R-SW_Att_GAS_HHPN1</t>
  </si>
  <si>
    <t>R-SW_Att_GAS_HPN1</t>
  </si>
  <si>
    <t>R-SW_Att_GAS_N1</t>
  </si>
  <si>
    <t>R-SW_Att_GAS_N2</t>
  </si>
  <si>
    <t>R-SW_Att_GAS_N3</t>
  </si>
  <si>
    <t>RSD_BLD-ATT-HP</t>
  </si>
  <si>
    <t>R-SH_Att_ELC_HPN2-AB</t>
  </si>
  <si>
    <t>R-SH_Att_ELC_HPN2-C</t>
  </si>
  <si>
    <t>R-SH_Att_ELC_HPN2-D</t>
  </si>
  <si>
    <t>R-SH_Att_ELC_HPN2-E</t>
  </si>
  <si>
    <t>R-SH_Att_ELC_HPN2-F</t>
  </si>
  <si>
    <t>R-SH_Att_ELC_HPN2-G</t>
  </si>
  <si>
    <t>R-SH_Att_ELC_HPN3-AB</t>
  </si>
  <si>
    <t>R-SH_Att_ELC_HPN3-D</t>
  </si>
  <si>
    <t>R-SH_Att_ELC_HPN3-E</t>
  </si>
  <si>
    <t>R-SH_Att_ELC_HPN3-F</t>
  </si>
  <si>
    <t>R-SH_Att_ELC_HPN3-G</t>
  </si>
  <si>
    <t>R-SW_Att_ELC_HPN1-AB</t>
  </si>
  <si>
    <t>R-SW_Att_ELC_HPN1-C</t>
  </si>
  <si>
    <t>R-SW_Att_ELC_HPN1-D</t>
  </si>
  <si>
    <t>R-SW_Att_ELC_HPN1-E</t>
  </si>
  <si>
    <t>R-SW_Att_ELC_HPN1-F</t>
  </si>
  <si>
    <t>R-SW_Att_ELC_HPN1-G</t>
  </si>
  <si>
    <t>R-SW_Att_ELC_HPN2-AB</t>
  </si>
  <si>
    <t>R-SW_Att_ELC_HPN2-C</t>
  </si>
  <si>
    <t>R-SW_Att_ELC_HPN2-D</t>
  </si>
  <si>
    <t>R-SW_Att_ELC_HPN2-E</t>
  </si>
  <si>
    <t>R-SW_Att_ELC_HPN2-F</t>
  </si>
  <si>
    <t>R-SW_Att_ELC_HPN2-G</t>
  </si>
  <si>
    <t>RSD_BLD-ATT-OTH</t>
  </si>
  <si>
    <t>R-SH_Att_FPL_N1</t>
  </si>
  <si>
    <t>R-SH_Att_HVO_N1</t>
  </si>
  <si>
    <t>R-SH_Att_KER_N1</t>
  </si>
  <si>
    <t>R-SH_Att_LPG_N1</t>
  </si>
  <si>
    <t>R-SH_Att_WOO_N1</t>
  </si>
  <si>
    <t>R-SW_Att_FPL_N1</t>
  </si>
  <si>
    <t>R-SW_Att_HET_N1</t>
  </si>
  <si>
    <t>R-SW_Att_HET_N2</t>
  </si>
  <si>
    <t>R-SW_Att_HVO_N1</t>
  </si>
  <si>
    <t>R-SW_Att_KER_N1</t>
  </si>
  <si>
    <t>R-SW_Att_KER_N2</t>
  </si>
  <si>
    <t>R-SW_Att_KER_N3</t>
  </si>
  <si>
    <t>R-SW_Att_LPG_N1</t>
  </si>
  <si>
    <t>R-SW_Att_WOO_N1</t>
  </si>
  <si>
    <t>RSD_BLD-DET-GAS</t>
  </si>
  <si>
    <t>R-SH_Det_GAS_N1</t>
  </si>
  <si>
    <t>R-SW_Det_GAS_HHPN1</t>
  </si>
  <si>
    <t>R-SW_Det_GAS_HPN1</t>
  </si>
  <si>
    <t>R-SW_Det_GAS_N1</t>
  </si>
  <si>
    <t>R-SW_Det_GAS_N2</t>
  </si>
  <si>
    <t>R-SW_Det_GAS_N3</t>
  </si>
  <si>
    <t>RSD_BLD-DET-HP</t>
  </si>
  <si>
    <t>R-SH_Det_ELC_HPN2-AB</t>
  </si>
  <si>
    <t>R-SH_Det_ELC_HPN2-C</t>
  </si>
  <si>
    <t>R-SH_Det_ELC_HPN2-D</t>
  </si>
  <si>
    <t>R-SH_Det_ELC_HPN2-E</t>
  </si>
  <si>
    <t>R-SH_Det_ELC_HPN2-F</t>
  </si>
  <si>
    <t>R-SH_Det_ELC_HPN2-G</t>
  </si>
  <si>
    <t>R-SH_Det_ELC_HPN3-AB</t>
  </si>
  <si>
    <t>R-SH_Det_ELC_HPN3-C</t>
  </si>
  <si>
    <t>R-SH_Det_ELC_HPN3-D</t>
  </si>
  <si>
    <t>R-SH_Det_ELC_HPN3-E</t>
  </si>
  <si>
    <t>R-SH_Det_ELC_HPN3-F</t>
  </si>
  <si>
    <t>R-SH_Det_ELC_HPN3-G</t>
  </si>
  <si>
    <t>R-SW_Det_ELC_HPN1-AB</t>
  </si>
  <si>
    <t>R-SW_Det_ELC_HPN1-C</t>
  </si>
  <si>
    <t>R-SW_Det_ELC_HPN1-D</t>
  </si>
  <si>
    <t>R-SW_Det_ELC_HPN1-E</t>
  </si>
  <si>
    <t>R-SW_Det_ELC_HPN1-F</t>
  </si>
  <si>
    <t>R-SW_Det_ELC_HPN1-G</t>
  </si>
  <si>
    <t>R-SW_Det_ELC_HPN2-AB</t>
  </si>
  <si>
    <t>R-SW_Det_ELC_HPN2-C</t>
  </si>
  <si>
    <t>R-SW_Det_ELC_HPN2-D</t>
  </si>
  <si>
    <t>R-SW_Det_ELC_HPN2-E</t>
  </si>
  <si>
    <t>R-SW_Det_ELC_HPN2-F</t>
  </si>
  <si>
    <t>R-SW_Det_ELC_HPN2-G</t>
  </si>
  <si>
    <t>RSD_BLD-DET-OTH</t>
  </si>
  <si>
    <t>R-SH_Det_FPL_N1</t>
  </si>
  <si>
    <t>R-SH_Det_HVO_N1</t>
  </si>
  <si>
    <t>R-SH_Det_KER_N1</t>
  </si>
  <si>
    <t>R-SH_Det_LPG_N1</t>
  </si>
  <si>
    <t>R-SH_Det_WOO_N1</t>
  </si>
  <si>
    <t>R-SW_Det_FPL_N1</t>
  </si>
  <si>
    <t>R-SW_Det_HVO_N1</t>
  </si>
  <si>
    <t>R-SW_Det_KER_N1</t>
  </si>
  <si>
    <t>R-SW_Det_KER_N2</t>
  </si>
  <si>
    <t>R-SW_Det_KER_N3</t>
  </si>
  <si>
    <t>R-SW_Det_LPG_N1</t>
  </si>
  <si>
    <t>R-SW_Det_WOO_N1</t>
  </si>
  <si>
    <t>RSD_BLD-XXX_RTFT</t>
  </si>
  <si>
    <t>R-RTFT-Apt_B3</t>
  </si>
  <si>
    <t>R-RTFT-Apt_C</t>
  </si>
  <si>
    <t>R-RTFT-Apt_D</t>
  </si>
  <si>
    <t>R-RTFT-Apt_E</t>
  </si>
  <si>
    <t>R-RTFT-Apt_F</t>
  </si>
  <si>
    <t>R-RTFT-Apt_G</t>
  </si>
  <si>
    <t>R-RTFT-Att_B3</t>
  </si>
  <si>
    <t>R-RTFT-Att_C</t>
  </si>
  <si>
    <t>R-RTFT-Att_D</t>
  </si>
  <si>
    <t>R-RTFT-Att_E</t>
  </si>
  <si>
    <t>R-RTFT-Att_F</t>
  </si>
  <si>
    <t>R-RTFT-Att_G</t>
  </si>
  <si>
    <t>R-RTFT-Det_B3</t>
  </si>
  <si>
    <t>R-RTFT-Det_C</t>
  </si>
  <si>
    <t>R-RTFT-Det_D</t>
  </si>
  <si>
    <t>R-RTFT-Det_E</t>
  </si>
  <si>
    <t>R-RTFT-Det_F</t>
  </si>
  <si>
    <t>R-RTFT-Det_G</t>
  </si>
  <si>
    <t>Shallow Retrofit</t>
  </si>
  <si>
    <t>R-RTFT-Apt_B3, R-RTFT-Apt_C, R-RTFT-Apt_D, R-RTFT-Att_B3, R-RTFT-Att_C, R-RTFT-Att_D, R-RTFT-Det_B3, R-RTFT-Det_C, R-RTFT-Det_D</t>
  </si>
  <si>
    <t>Deep Retrofit</t>
  </si>
  <si>
    <t>R-RTFT-Apt_E, R-RTFT-Apt_F, R-RTFT-Apt_G, R-RTFT-Att_E, R-RTFT-Att_F, R-RTFT-Att_G, R-RTFT-Det_E, R-RTFT-Det_F, R-RTFT-Det_G</t>
  </si>
  <si>
    <t>Heat Pumps</t>
  </si>
  <si>
    <t>Biogas</t>
  </si>
  <si>
    <t>R-SH_Apt_GAS_N1,R-SH_Att_GAS_N1,R-SH_Det_GAS_N1,R-SW_Apt_GAS_HHPN1,R-SW_Apt_GAS_HPN1,R-SW_Apt_GAS_HPN2,R-SW_Apt_GAS_N1,R-SW_Att_GAS_HHPN1,R-SW_Att_GAS_HPN1,R-SW_Att_GAS_HPN2,R-SW_Att_GAS_N1,R-SW_Att_GAS_N2,R-SW_Att_GAS_N3,R-SW_Det_GAS_HHPN1,R-SW_Det_GAS_HPN1,R-SW_Det_GAS_HPN2,R-SW_Det_GAS_N1,R-SW_Det_GAS_N2,R-SW_Det_GAS_N3</t>
  </si>
  <si>
    <t>District Heating</t>
  </si>
  <si>
    <t>R-SW_Apt_HET_N1, R-SW_Apt_HET_N2</t>
  </si>
  <si>
    <t>RSD-SHALLOW</t>
  </si>
  <si>
    <t>RSD-DEEP</t>
  </si>
  <si>
    <t>RSD-APT-HP</t>
  </si>
  <si>
    <t>RSD-BIOGAS</t>
  </si>
  <si>
    <t>RSD-ATT-HP</t>
  </si>
  <si>
    <t>RSD-DH</t>
  </si>
  <si>
    <t>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t>
  </si>
  <si>
    <t>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t>
  </si>
  <si>
    <t>R-SW_Apt_HET_N1, R-SW_Apt_HET_N2, R-SW_Att_HET_N1, R-SW_Att_HET_N2, R-SW_Det_HET_N1, R-SW_Det_HET_N2</t>
  </si>
  <si>
    <t>R-SH_Det_ELC_HPN2-AB, R-SH_Det_ELC_HPN2-C, R-SH_Det_ELC_HPN2-D, R-SH_Det_ELC_HPN2-E, R-SH_Det_ELC_HPN2-F, R-SH_Det_ELC_HPN2-G, R-SH_Det_ELC_HPN3-AB, R-SH_Det_ELC_HPN3-C, R-SH_Det_ELC_HPN3-D, R-SH_Det_ELC_HPN3-E, R-SH_Det_ELC_HPN3-F, R-SH_Det_ELC_HPN3-G, R-SW_Det_ELC_HPN1-AB, R-SW_Det_ELC_HPN1-C, R-SW_Det_ELC_HPN1-D, R-SW_Det_ELC_HPN1-E, R-SW_Det_ELC_HPN1-F, R-SW_Det_ELC_HPN1-G, R-SW_Det_ELC_HPN2-AB, R-SW_Det_ELC_HPN2-C, R-SW_Det_ELC_HPN2-D, R-SW_Det_ELC_HPN2-E, R-SW_Det_ELC_HPN2-F, R-SW_Det_ELC_HPN2-G, R-SW_Det_GAS_HHPN1, R-SW_Det_GAS_HPN1</t>
  </si>
  <si>
    <t>Units</t>
  </si>
  <si>
    <t>BEVs</t>
  </si>
  <si>
    <t># vehicles</t>
  </si>
  <si>
    <t>PHEVs</t>
  </si>
  <si>
    <t>Electric Buses</t>
  </si>
  <si>
    <t>PHEV LGV</t>
  </si>
  <si>
    <t>Battery Electric Trucks (LGV + HGV)</t>
  </si>
  <si>
    <t>LGV</t>
  </si>
  <si>
    <t>HGV</t>
  </si>
  <si>
    <t>Onshore wind</t>
  </si>
  <si>
    <t>MW</t>
  </si>
  <si>
    <t>Offshore wind</t>
  </si>
  <si>
    <t>Solar</t>
  </si>
  <si>
    <t>Biofuel Blending Ethanol (transport)</t>
  </si>
  <si>
    <t>% share</t>
  </si>
  <si>
    <t>Biofuel Blending Biodiesel (transport)</t>
  </si>
  <si>
    <t>Biomethane</t>
  </si>
  <si>
    <t>TWh</t>
  </si>
  <si>
    <t>Retrofits</t>
  </si>
  <si>
    <t># Homes B2 (total)</t>
  </si>
  <si>
    <t>Heat Pumps (Residential)</t>
  </si>
  <si>
    <t># Heat Pumps (total)</t>
  </si>
  <si>
    <t>District Heating (Residential)</t>
  </si>
  <si>
    <t>District Heating (Commercial)</t>
  </si>
  <si>
    <t>UC_CAP</t>
  </si>
  <si>
    <t>WAM NEP25</t>
  </si>
  <si>
    <t>For projected years we have provided here the number of dwellings that undertake energy efficiency measures that bring the dwelling from a BER worse than B2 to one of B2 or better, excluding solar PV. This may not align exactly with the wording of the CAP target  of "B2 cost optimal or carbon equivalent". For 2024 we include an estimate of the cumulative number of dwellings that have undergone upgrade works  from 2018-2024 that improved their BER rating to B2 or better through SEAI schemes or Local Authority schemes, excluding solar PV only upgrades.</t>
  </si>
  <si>
    <t>Assume that this item is for HP retrofits, excluding HP installed in new dwellings. The figure given for 2024 is the total number of HPs installed through SEAI and Local Authority retrofit schemes for 2019-2024.</t>
  </si>
  <si>
    <t>Assume includes public services</t>
  </si>
  <si>
    <t>FT-RSDHET</t>
  </si>
  <si>
    <t>RSDHET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</si>
</sst>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000"/>
    <numFmt numFmtId="165" formatCode="\Te\x\t"/>
  </numFmts>
  <fonts count="3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25"/>
      <color rgb="FF2B2C3C"/>
      <name val="Microsoft Sans Serif"/>
    </font>
    <font>
      <sz val="8.25"/>
      <color rgb="FF000000"/>
      <name val="Microsoft Sans Serif"/>
    </font>
    <font>
      <b/>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indexed="8"/>
      <name val="Calibri"/>
      <family val="2"/>
    </font>
    <font>
      <sz val="11"/>
      <color indexed="8"/>
      <name val="Calibri"/>
      <family val="2"/>
    </font>
    <font>
      <b/>
      <sz val="10"/>
      <name val="Arial"/>
      <family val="2"/>
    </font>
    <font>
      <sz val="10"/>
      <name val="Arial"/>
      <family val="2"/>
    </font>
    <font>
      <u/>
      <sz val="11"/>
      <color theme="10"/>
      <name val="Calibri"/>
      <family val="2"/>
      <scheme val="minor"/>
    </font>
    <font>
      <sz val="10"/>
      <name val="Arial"/>
    </font>
    <font>
      <sz val="8"/>
      <name val="Calibri"/>
      <scheme val="minor"/>
    </font>
  </fonts>
  <fills count="43">
    <fill>
      <patternFill patternType="none"/>
    </fill>
    <fill>
      <patternFill patternType="gray125"/>
    </fill>
    <fill>
      <patternFill patternType="solid">
        <fgColor rgb="FFEFF6FF"/>
        <bgColor rgb="FFEFF6FF"/>
      </patternFill>
    </fill>
    <fill>
      <patternFill patternType="solid">
        <fgColor rgb="FFEAF1FB"/>
        <bgColor rgb="FFEAF1FB"/>
      </patternFill>
    </fill>
    <fill>
      <patternFill patternType="solid">
        <fgColor rgb="FFFFFFFF"/>
        <b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4" tint="0.79998168889431442"/>
        <bgColor indexed="64"/>
      </patternFill>
    </fill>
  </fills>
  <borders count="19">
    <border>
      <left/>
      <right/>
      <top/>
      <bottom/>
      <diagonal/>
    </border>
    <border>
      <left style="thin">
        <color rgb="FF696969"/>
      </left>
      <right style="thin">
        <color rgb="FF696969"/>
      </right>
      <top style="thin">
        <color rgb="FF696969"/>
      </top>
      <bottom style="thin">
        <color rgb="FF69696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174">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xf numFmtId="0" fontId="16" fillId="8" borderId="5" applyNumberFormat="0" applyAlignment="0" applyProtection="0"/>
    <xf numFmtId="0" fontId="17" fillId="9" borderId="6" applyNumberFormat="0" applyAlignment="0" applyProtection="0"/>
    <xf numFmtId="0" fontId="18" fillId="9" borderId="5" applyNumberFormat="0" applyAlignment="0" applyProtection="0"/>
    <xf numFmtId="0" fontId="19" fillId="0" borderId="7" applyNumberFormat="0" applyFill="0" applyAlignment="0" applyProtection="0"/>
    <xf numFmtId="0" fontId="20" fillId="10" borderId="8"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8" fillId="0" borderId="10" applyNumberFormat="0" applyFill="0" applyAlignment="0" applyProtection="0"/>
    <xf numFmtId="0" fontId="23"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3"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3"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3"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3"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3"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0" borderId="0"/>
    <xf numFmtId="0" fontId="27" fillId="0" borderId="0"/>
    <xf numFmtId="0" fontId="25" fillId="0" borderId="0"/>
    <xf numFmtId="0" fontId="5" fillId="11" borderId="9" applyNumberFormat="0" applyFont="0" applyAlignment="0" applyProtection="0"/>
    <xf numFmtId="0" fontId="4" fillId="0" borderId="0"/>
    <xf numFmtId="0" fontId="4" fillId="11" borderId="9" applyNumberFormat="0" applyFont="0" applyAlignment="0" applyProtection="0"/>
    <xf numFmtId="0" fontId="4" fillId="15"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27" fillId="0" borderId="0"/>
    <xf numFmtId="9" fontId="27" fillId="0" borderId="0" applyFont="0" applyFill="0" applyBorder="0" applyAlignment="0" applyProtection="0"/>
    <xf numFmtId="0" fontId="27" fillId="0" borderId="0"/>
    <xf numFmtId="0" fontId="4" fillId="0" borderId="0"/>
    <xf numFmtId="0" fontId="28" fillId="0" borderId="0" applyNumberFormat="0" applyFill="0" applyBorder="0" applyAlignment="0" applyProtection="0"/>
    <xf numFmtId="0" fontId="4" fillId="29" borderId="0" applyNumberFormat="0" applyBorder="0" applyAlignment="0" applyProtection="0"/>
    <xf numFmtId="0" fontId="4" fillId="0" borderId="0"/>
    <xf numFmtId="0" fontId="17" fillId="9" borderId="6" applyNumberFormat="0" applyAlignment="0" applyProtection="0"/>
    <xf numFmtId="0" fontId="18" fillId="9" borderId="5"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8" fillId="0" borderId="10" applyNumberFormat="0" applyFill="0" applyAlignment="0" applyProtection="0"/>
    <xf numFmtId="0" fontId="4" fillId="13" borderId="0" applyNumberFormat="0" applyBorder="0" applyAlignment="0" applyProtection="0"/>
    <xf numFmtId="0" fontId="4" fillId="14" borderId="0" applyNumberFormat="0" applyBorder="0" applyAlignment="0" applyProtection="0"/>
    <xf numFmtId="0" fontId="23" fillId="15"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23" fillId="19"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23" fillId="23"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23" fillId="27"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23" fillId="31"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23" fillId="35" borderId="0" applyNumberFormat="0" applyBorder="0" applyAlignment="0" applyProtection="0"/>
    <xf numFmtId="0" fontId="4" fillId="26" borderId="0" applyNumberFormat="0" applyBorder="0" applyAlignment="0" applyProtection="0"/>
    <xf numFmtId="0" fontId="23" fillId="15" borderId="0" applyNumberFormat="0" applyBorder="0" applyAlignment="0" applyProtection="0"/>
    <xf numFmtId="0" fontId="4" fillId="30" borderId="0" applyNumberFormat="0" applyBorder="0" applyAlignment="0" applyProtection="0"/>
    <xf numFmtId="0" fontId="23" fillId="23" borderId="0" applyNumberFormat="0" applyBorder="0" applyAlignment="0" applyProtection="0"/>
    <xf numFmtId="0" fontId="4" fillId="25" borderId="0" applyNumberFormat="0" applyBorder="0" applyAlignment="0" applyProtection="0"/>
    <xf numFmtId="0" fontId="4" fillId="14" borderId="0" applyNumberFormat="0" applyBorder="0" applyAlignment="0" applyProtection="0"/>
    <xf numFmtId="0" fontId="4" fillId="33" borderId="0" applyNumberFormat="0" applyBorder="0" applyAlignment="0" applyProtection="0"/>
    <xf numFmtId="0" fontId="4" fillId="13" borderId="0" applyNumberFormat="0" applyBorder="0" applyAlignment="0" applyProtection="0"/>
    <xf numFmtId="0" fontId="23" fillId="31" borderId="0" applyNumberFormat="0" applyBorder="0" applyAlignment="0" applyProtection="0"/>
    <xf numFmtId="0" fontId="21" fillId="0" borderId="0" applyNumberFormat="0" applyFill="0" applyBorder="0" applyAlignment="0" applyProtection="0"/>
    <xf numFmtId="0" fontId="23" fillId="35" borderId="0" applyNumberFormat="0" applyBorder="0" applyAlignment="0" applyProtection="0"/>
    <xf numFmtId="0" fontId="4" fillId="18" borderId="0" applyNumberFormat="0" applyBorder="0" applyAlignment="0" applyProtection="0"/>
    <xf numFmtId="0" fontId="4" fillId="21" borderId="0" applyNumberFormat="0" applyBorder="0" applyAlignment="0" applyProtection="0"/>
    <xf numFmtId="0" fontId="23" fillId="23" borderId="0" applyNumberFormat="0" applyBorder="0" applyAlignment="0" applyProtection="0"/>
    <xf numFmtId="0" fontId="4" fillId="29" borderId="0" applyNumberFormat="0" applyBorder="0" applyAlignment="0" applyProtection="0"/>
    <xf numFmtId="0" fontId="4" fillId="25" borderId="0" applyNumberFormat="0" applyBorder="0" applyAlignment="0" applyProtection="0"/>
    <xf numFmtId="0" fontId="23" fillId="19" borderId="0" applyNumberFormat="0" applyBorder="0" applyAlignment="0" applyProtection="0"/>
    <xf numFmtId="0" fontId="23" fillId="27" borderId="0" applyNumberFormat="0" applyBorder="0" applyAlignment="0" applyProtection="0"/>
    <xf numFmtId="0" fontId="4" fillId="17" borderId="0" applyNumberFormat="0" applyBorder="0" applyAlignment="0" applyProtection="0"/>
    <xf numFmtId="0" fontId="4" fillId="34" borderId="0" applyNumberFormat="0" applyBorder="0" applyAlignment="0" applyProtection="0"/>
    <xf numFmtId="0" fontId="4" fillId="30" borderId="0" applyNumberFormat="0" applyBorder="0" applyAlignment="0" applyProtection="0"/>
    <xf numFmtId="0" fontId="23" fillId="19"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4" borderId="0" applyNumberFormat="0" applyBorder="0" applyAlignment="0" applyProtection="0"/>
    <xf numFmtId="0" fontId="4" fillId="22" borderId="0" applyNumberFormat="0" applyBorder="0" applyAlignment="0" applyProtection="0"/>
    <xf numFmtId="0" fontId="22" fillId="0" borderId="0" applyNumberFormat="0" applyFill="0" applyBorder="0" applyAlignment="0" applyProtection="0"/>
    <xf numFmtId="0" fontId="18" fillId="9" borderId="5" applyNumberFormat="0" applyAlignment="0" applyProtection="0"/>
    <xf numFmtId="0" fontId="23" fillId="35" borderId="0" applyNumberFormat="0" applyBorder="0" applyAlignment="0" applyProtection="0"/>
    <xf numFmtId="0" fontId="23" fillId="31"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17" borderId="0" applyNumberFormat="0" applyBorder="0" applyAlignment="0" applyProtection="0"/>
    <xf numFmtId="0" fontId="23" fillId="27" borderId="0" applyNumberFormat="0" applyBorder="0" applyAlignment="0" applyProtection="0"/>
    <xf numFmtId="0" fontId="4" fillId="21" borderId="0" applyNumberFormat="0" applyBorder="0" applyAlignment="0" applyProtection="0"/>
    <xf numFmtId="0" fontId="17" fillId="9" borderId="6" applyNumberFormat="0" applyAlignment="0" applyProtection="0"/>
    <xf numFmtId="0" fontId="4" fillId="33" borderId="0" applyNumberFormat="0" applyBorder="0" applyAlignment="0" applyProtection="0"/>
    <xf numFmtId="0" fontId="4" fillId="21" borderId="0" applyNumberFormat="0" applyBorder="0" applyAlignment="0" applyProtection="0"/>
    <xf numFmtId="0" fontId="4" fillId="14" borderId="0" applyNumberFormat="0" applyBorder="0" applyAlignment="0" applyProtection="0"/>
    <xf numFmtId="0" fontId="4" fillId="33" borderId="0" applyNumberFormat="0" applyBorder="0" applyAlignment="0" applyProtection="0"/>
    <xf numFmtId="0" fontId="23" fillId="27" borderId="0" applyNumberFormat="0" applyBorder="0" applyAlignment="0" applyProtection="0"/>
    <xf numFmtId="0" fontId="4" fillId="14" borderId="0" applyNumberFormat="0" applyBorder="0" applyAlignment="0" applyProtection="0"/>
    <xf numFmtId="0" fontId="4" fillId="25" borderId="0" applyNumberFormat="0" applyBorder="0" applyAlignment="0" applyProtection="0"/>
    <xf numFmtId="0" fontId="23" fillId="31" borderId="0" applyNumberFormat="0" applyBorder="0" applyAlignment="0" applyProtection="0"/>
    <xf numFmtId="0" fontId="23" fillId="35" borderId="0" applyNumberFormat="0" applyBorder="0" applyAlignment="0" applyProtection="0"/>
    <xf numFmtId="0" fontId="4" fillId="29" borderId="0" applyNumberFormat="0" applyBorder="0" applyAlignment="0" applyProtection="0"/>
    <xf numFmtId="0" fontId="23" fillId="23"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23" fillId="19" borderId="0" applyNumberFormat="0" applyBorder="0" applyAlignment="0" applyProtection="0"/>
    <xf numFmtId="0" fontId="4" fillId="26"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8" fillId="0" borderId="10" applyNumberFormat="0" applyFill="0" applyAlignment="0" applyProtection="0"/>
    <xf numFmtId="0" fontId="4" fillId="30" borderId="0" applyNumberFormat="0" applyBorder="0" applyAlignment="0" applyProtection="0"/>
    <xf numFmtId="0" fontId="4" fillId="34" borderId="0" applyNumberFormat="0" applyBorder="0" applyAlignment="0" applyProtection="0"/>
    <xf numFmtId="0" fontId="4" fillId="17" borderId="0" applyNumberFormat="0" applyBorder="0" applyAlignment="0" applyProtection="0"/>
    <xf numFmtId="0" fontId="4" fillId="29" borderId="0" applyNumberFormat="0" applyBorder="0" applyAlignment="0" applyProtection="0"/>
    <xf numFmtId="0" fontId="27" fillId="0" borderId="0"/>
    <xf numFmtId="0" fontId="29" fillId="0" borderId="0"/>
    <xf numFmtId="9" fontId="27"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0" borderId="0"/>
    <xf numFmtId="0" fontId="4" fillId="11" borderId="9" applyNumberFormat="0" applyFont="0" applyAlignment="0" applyProtection="0"/>
    <xf numFmtId="0" fontId="3" fillId="0" borderId="0"/>
    <xf numFmtId="0" fontId="2" fillId="0" borderId="0"/>
    <xf numFmtId="0" fontId="1" fillId="0" borderId="0"/>
    <xf numFmtId="0" fontId="11" fillId="42" borderId="3" applyAlignment="0" applyProtection="0"/>
    <xf numFmtId="0" fontId="1" fillId="29" borderId="0" applyNumberFormat="0" applyBorder="0" applyAlignment="0" applyProtection="0"/>
    <xf numFmtId="43" fontId="27" fillId="0" borderId="0" applyFont="0" applyFill="0" applyBorder="0" applyAlignment="0" applyProtection="0"/>
    <xf numFmtId="0" fontId="1" fillId="0" borderId="0"/>
  </cellStyleXfs>
  <cellXfs count="46">
    <xf numFmtId="0" fontId="0" fillId="0" borderId="0" xfId="0"/>
    <xf numFmtId="0" fontId="5" fillId="0" borderId="0" xfId="41"/>
    <xf numFmtId="49" fontId="6" fillId="2" borderId="1" xfId="0" applyNumberFormat="1" applyFont="1" applyFill="1" applyBorder="1" applyAlignment="1">
      <alignment horizontal="left" vertical="center"/>
    </xf>
    <xf numFmtId="49" fontId="7" fillId="3" borderId="1" xfId="0" applyNumberFormat="1" applyFont="1" applyFill="1" applyBorder="1" applyAlignment="1">
      <alignment horizontal="left" vertical="center"/>
    </xf>
    <xf numFmtId="0" fontId="7" fillId="3" borderId="1" xfId="0" applyFont="1" applyFill="1" applyBorder="1" applyAlignment="1">
      <alignment horizontal="right" vertical="center"/>
    </xf>
    <xf numFmtId="2" fontId="7" fillId="4" borderId="1" xfId="0" applyNumberFormat="1" applyFont="1" applyFill="1" applyBorder="1" applyAlignment="1">
      <alignment horizontal="right" vertical="center"/>
    </xf>
    <xf numFmtId="0" fontId="7" fillId="4" borderId="1" xfId="0" applyFont="1" applyFill="1" applyBorder="1" applyAlignment="1">
      <alignment horizontal="right" vertical="center"/>
    </xf>
    <xf numFmtId="0" fontId="4" fillId="0" borderId="0" xfId="45"/>
    <xf numFmtId="0" fontId="4" fillId="0" borderId="0" xfId="165"/>
    <xf numFmtId="0" fontId="24" fillId="0" borderId="0" xfId="43" applyFont="1"/>
    <xf numFmtId="0" fontId="26" fillId="36" borderId="0" xfId="165" applyFont="1" applyFill="1"/>
    <xf numFmtId="0" fontId="26" fillId="0" borderId="0" xfId="165" applyFont="1" applyAlignment="1">
      <alignment horizontal="right"/>
    </xf>
    <xf numFmtId="0" fontId="26" fillId="37" borderId="0" xfId="165" applyFont="1" applyFill="1"/>
    <xf numFmtId="0" fontId="26" fillId="38" borderId="0" xfId="165" applyFont="1" applyFill="1"/>
    <xf numFmtId="0" fontId="26" fillId="0" borderId="0" xfId="165" applyFont="1"/>
    <xf numFmtId="0" fontId="27" fillId="0" borderId="0" xfId="165" applyFont="1"/>
    <xf numFmtId="2" fontId="4" fillId="0" borderId="0" xfId="165" applyNumberFormat="1"/>
    <xf numFmtId="0" fontId="3" fillId="0" borderId="0" xfId="167"/>
    <xf numFmtId="0" fontId="1" fillId="0" borderId="0" xfId="169"/>
    <xf numFmtId="0" fontId="1" fillId="0" borderId="11" xfId="169" applyBorder="1"/>
    <xf numFmtId="0" fontId="1" fillId="40" borderId="11" xfId="169" applyFill="1" applyBorder="1"/>
    <xf numFmtId="0" fontId="8" fillId="0" borderId="12" xfId="169" applyFont="1" applyBorder="1"/>
    <xf numFmtId="0" fontId="1" fillId="0" borderId="12" xfId="169" applyBorder="1" applyAlignment="1">
      <alignment horizontal="center"/>
    </xf>
    <xf numFmtId="0" fontId="1" fillId="0" borderId="12" xfId="169" applyBorder="1"/>
    <xf numFmtId="0" fontId="1" fillId="39" borderId="12" xfId="169" applyFill="1" applyBorder="1"/>
    <xf numFmtId="0" fontId="1" fillId="40" borderId="12" xfId="169" applyFill="1" applyBorder="1"/>
    <xf numFmtId="0" fontId="1" fillId="41" borderId="12" xfId="169" applyFill="1" applyBorder="1"/>
    <xf numFmtId="0" fontId="1" fillId="0" borderId="13" xfId="169" applyBorder="1" applyAlignment="1">
      <alignment horizontal="right"/>
    </xf>
    <xf numFmtId="0" fontId="1" fillId="0" borderId="14" xfId="169" applyBorder="1" applyAlignment="1">
      <alignment horizontal="center"/>
    </xf>
    <xf numFmtId="0" fontId="1" fillId="0" borderId="14" xfId="169" applyBorder="1"/>
    <xf numFmtId="0" fontId="1" fillId="39" borderId="15" xfId="169" applyFill="1" applyBorder="1"/>
    <xf numFmtId="0" fontId="1" fillId="0" borderId="16" xfId="169" applyBorder="1" applyAlignment="1">
      <alignment horizontal="right"/>
    </xf>
    <xf numFmtId="0" fontId="1" fillId="0" borderId="17" xfId="169" applyBorder="1" applyAlignment="1">
      <alignment horizontal="center"/>
    </xf>
    <xf numFmtId="0" fontId="1" fillId="0" borderId="17" xfId="169" applyBorder="1"/>
    <xf numFmtId="0" fontId="1" fillId="39" borderId="18" xfId="169" applyFill="1" applyBorder="1"/>
    <xf numFmtId="0" fontId="8" fillId="0" borderId="12" xfId="169" applyFont="1" applyBorder="1" applyAlignment="1">
      <alignment horizontal="center"/>
    </xf>
    <xf numFmtId="0" fontId="8" fillId="39" borderId="12" xfId="169" applyFont="1" applyFill="1" applyBorder="1"/>
    <xf numFmtId="0" fontId="8" fillId="37" borderId="12" xfId="169" applyFont="1" applyFill="1" applyBorder="1"/>
    <xf numFmtId="3" fontId="1" fillId="39" borderId="11" xfId="169" applyNumberFormat="1" applyFill="1" applyBorder="1"/>
    <xf numFmtId="0" fontId="1" fillId="0" borderId="14" xfId="169" applyBorder="1" applyAlignment="1">
      <alignment horizontal="right"/>
    </xf>
    <xf numFmtId="0" fontId="1" fillId="0" borderId="17" xfId="169" applyBorder="1" applyAlignment="1">
      <alignment horizontal="right"/>
    </xf>
    <xf numFmtId="164" fontId="1" fillId="39" borderId="11" xfId="169" applyNumberFormat="1" applyFill="1" applyBorder="1"/>
    <xf numFmtId="2" fontId="1" fillId="39" borderId="12" xfId="169" applyNumberFormat="1" applyFill="1" applyBorder="1"/>
    <xf numFmtId="3" fontId="1" fillId="40" borderId="11" xfId="169" applyNumberFormat="1" applyFill="1" applyBorder="1"/>
    <xf numFmtId="3" fontId="1" fillId="0" borderId="12" xfId="169" applyNumberFormat="1" applyBorder="1"/>
    <xf numFmtId="165" fontId="27" fillId="0" borderId="0" xfId="150" applyNumberFormat="1" applyFont="1"/>
  </cellXfs>
  <cellStyles count="174">
    <cellStyle name="20 % - Akzent1" xfId="72" hidden="1" xr:uid="{64AE4B0C-66F8-4587-9F6C-91708716F8BF}"/>
    <cellStyle name="20 % - Akzent1" xfId="97" hidden="1" xr:uid="{59AE85D3-364F-4FD3-B8B0-BF97C62F02A2}"/>
    <cellStyle name="20 % - Akzent1" xfId="138" hidden="1" xr:uid="{29BB96BD-8670-4A73-888B-A972E8A2ED68}"/>
    <cellStyle name="20 % - Akzent1" xfId="139" hidden="1" xr:uid="{79DE2DB2-4EE0-4D8C-9C53-0198878AFFBC}"/>
    <cellStyle name="20 % - Akzent2" xfId="75" hidden="1" xr:uid="{16F8DD8F-7729-4960-9C3B-C7E1F77035A6}"/>
    <cellStyle name="20 % - Akzent2" xfId="108" hidden="1" xr:uid="{02872DAB-9326-4B70-BA37-D61360A9266B}"/>
    <cellStyle name="20 % - Akzent2" xfId="122" hidden="1" xr:uid="{2C48D869-0E93-488B-8537-38C54AB40A5C}"/>
    <cellStyle name="20 % - Akzent2" xfId="147" hidden="1" xr:uid="{3BB19AFB-FCF1-46D8-A302-78DED4954480}"/>
    <cellStyle name="20 % - Akzent3" xfId="78" hidden="1" xr:uid="{228DFACF-0D19-4B91-8561-359B4A7FF4CF}"/>
    <cellStyle name="20 % - Akzent3" xfId="102" hidden="1" xr:uid="{7D16B689-1797-4BC1-BC91-8DA83F7CB0F3}"/>
    <cellStyle name="20 % - Akzent3" xfId="124" hidden="1" xr:uid="{7A5243F2-93ED-4473-9C59-6688C2A882B7}"/>
    <cellStyle name="20 % - Akzent3" xfId="127" hidden="1" xr:uid="{F25C546F-01A0-4B1A-BEE3-1D9CBF12A587}"/>
    <cellStyle name="20 % - Akzent4" xfId="81" hidden="1" xr:uid="{BF1A6216-0E2E-401C-B044-19E8C15A4BB1}"/>
    <cellStyle name="20 % - Akzent4" xfId="94" hidden="1" xr:uid="{89701B9B-54FC-4DE2-819A-9DA56BD334FB}"/>
    <cellStyle name="20 % - Akzent4" xfId="132" hidden="1" xr:uid="{4BFD2E50-DB87-47D2-8FF4-E33D06557826}"/>
    <cellStyle name="20 % - Akzent4" xfId="105" hidden="1" xr:uid="{6E14BD56-B317-438B-8E96-3E5EC1DC3CF4}"/>
    <cellStyle name="20 % - Akzent5" xfId="84" hidden="1" xr:uid="{EEB47A03-1A0F-43CF-8E19-7C44F9824AAC}"/>
    <cellStyle name="20 % - Akzent5" xfId="104" hidden="1" xr:uid="{B491A45A-1B2E-4294-A683-A93F0161BFE1}"/>
    <cellStyle name="20 % - Akzent5" xfId="135" hidden="1" xr:uid="{1798E9A2-7BCE-4612-A610-7A8B89CC0BE7}"/>
    <cellStyle name="20 % - Akzent5" xfId="148" hidden="1" xr:uid="{60BA5559-7204-467D-82EC-631E73BBDD63}"/>
    <cellStyle name="20 % - Akzent6" xfId="87" hidden="1" xr:uid="{37A5D048-A788-451E-8DAE-1942A476F71B}"/>
    <cellStyle name="20 % - Akzent6" xfId="96" hidden="1" xr:uid="{2746947D-2F2F-4D69-BE0F-A487F3280477}"/>
    <cellStyle name="20 % - Akzent6" xfId="129" hidden="1" xr:uid="{E4B9AE15-C5A4-4FF9-8A96-5E735C44C24C}"/>
    <cellStyle name="20 % - Akzent6" xfId="126" hidden="1" xr:uid="{0484056C-DDEE-4028-A244-2E1370967235}"/>
    <cellStyle name="20% - Accent1" xfId="18" builtinId="30" customBuiltin="1"/>
    <cellStyle name="20% - Accent1 2" xfId="48" xr:uid="{6E319772-035A-4CA3-80BF-9DACB61ADDDF}"/>
    <cellStyle name="20% - Accent2" xfId="22" builtinId="34" customBuiltin="1"/>
    <cellStyle name="20% - Accent2 2" xfId="50" xr:uid="{39BFB7F7-43F1-4CEE-B52A-3472880AF0EA}"/>
    <cellStyle name="20% - Accent3" xfId="26" builtinId="38" customBuiltin="1"/>
    <cellStyle name="20% - Accent3 2" xfId="52" xr:uid="{51EEBEE9-9C23-4DEF-91AF-0DB4290A0EE8}"/>
    <cellStyle name="20% - Accent4" xfId="30" builtinId="42" customBuiltin="1"/>
    <cellStyle name="20% - Accent4 2" xfId="54" xr:uid="{D894D753-BF63-4577-8F2D-9F958EF905E5}"/>
    <cellStyle name="20% - Accent5" xfId="34" builtinId="46" customBuiltin="1"/>
    <cellStyle name="20% - Accent5 2" xfId="65" xr:uid="{A18F35A9-0152-448E-A462-C268C0A78E01}"/>
    <cellStyle name="20% - Accent5 3" xfId="56" xr:uid="{2FF2EEBC-2788-4738-AC62-73DBD43DDC89}"/>
    <cellStyle name="20% - Accent5 4" xfId="171" xr:uid="{1CAC032C-6C15-45A9-BBD9-E79857C360BC}"/>
    <cellStyle name="20% - Accent6" xfId="38" builtinId="50" customBuiltin="1"/>
    <cellStyle name="20% - Accent6 2" xfId="58" xr:uid="{28B4310D-C2AB-43B0-B45A-353D0B8E7EAF}"/>
    <cellStyle name="40 % - Akzent1" xfId="73" hidden="1" xr:uid="{C170AF42-CD60-4B6D-BA77-3EB4551BAD43}"/>
    <cellStyle name="40 % - Akzent1" xfId="95" hidden="1" xr:uid="{4ABB94D9-F95D-4888-AAC5-DE4C99250DE6}"/>
    <cellStyle name="40 % - Akzent1" xfId="128" hidden="1" xr:uid="{FC6D2297-48B4-4E69-9F43-310690B8CAA5}"/>
    <cellStyle name="40 % - Akzent1" xfId="131" hidden="1" xr:uid="{2610E4CF-D2C1-41D1-8F65-D561E02B4995}"/>
    <cellStyle name="40 % - Akzent2" xfId="76" hidden="1" xr:uid="{57A1797D-C185-40C2-9253-13D1824F694D}"/>
    <cellStyle name="40 % - Akzent2" xfId="101" hidden="1" xr:uid="{3910FBA6-0689-423F-AE3E-98BB1615B4CB}"/>
    <cellStyle name="40 % - Akzent2" xfId="137" hidden="1" xr:uid="{FCD21F56-C04F-4474-A04B-22F9D628466D}"/>
    <cellStyle name="40 % - Akzent2" xfId="120" hidden="1" xr:uid="{70378719-84A2-4625-8A3A-9D19032F8EF1}"/>
    <cellStyle name="40 % - Akzent3" xfId="79" hidden="1" xr:uid="{0F18FE62-D43B-4AB4-BCF1-2316EE983439}"/>
    <cellStyle name="40 % - Akzent3" xfId="112" hidden="1" xr:uid="{7DD28724-66AA-4211-8D7E-55F087AF4F18}"/>
    <cellStyle name="40 % - Akzent3" xfId="115" hidden="1" xr:uid="{297E1455-A301-47EA-B0FC-838069B7256D}"/>
    <cellStyle name="40 % - Akzent3" xfId="121" hidden="1" xr:uid="{8EE014C8-4545-44E3-B380-7B7073DE0A7C}"/>
    <cellStyle name="40 % - Akzent4" xfId="82" hidden="1" xr:uid="{29D072F6-4B52-45EC-A5A0-4C230DF379D6}"/>
    <cellStyle name="40 % - Akzent4" xfId="90" hidden="1" xr:uid="{FD9F6C33-97C8-4D43-87BA-EAA416457B8A}"/>
    <cellStyle name="40 % - Akzent4" xfId="141" hidden="1" xr:uid="{1D1ABEA5-9D7C-49EB-B598-BFA3A307F92A}"/>
    <cellStyle name="40 % - Akzent4" xfId="113" hidden="1" xr:uid="{0FA66178-39BF-4281-861D-F1DB7741BE10}"/>
    <cellStyle name="40 % - Akzent5" xfId="85" hidden="1" xr:uid="{73E6D3C9-4823-4CD9-93CB-E2C15F80E84C}"/>
    <cellStyle name="40 % - Akzent5" xfId="110" hidden="1" xr:uid="{9D79487B-5EB2-467E-B917-FA44907CB8A7}"/>
    <cellStyle name="40 % - Akzent5" xfId="145" hidden="1" xr:uid="{397145AF-83B7-4B8C-BFB1-1509E8B98294}"/>
    <cellStyle name="40 % - Akzent5" xfId="92" hidden="1" xr:uid="{06814A2A-AE5B-444B-80B4-6088A5A3D3E6}"/>
    <cellStyle name="40 % - Akzent6" xfId="88" hidden="1" xr:uid="{E6940338-47FB-43BD-8AB7-FE43647703F6}"/>
    <cellStyle name="40 % - Akzent6" xfId="109" hidden="1" xr:uid="{B9CEC684-E016-4B26-B38C-CF19A481D846}"/>
    <cellStyle name="40 % - Akzent6" xfId="114" hidden="1" xr:uid="{BA49E780-4E7A-4FA0-A621-F46C8BB76281}"/>
    <cellStyle name="40 % - Akzent6" xfId="146" hidden="1" xr:uid="{27CE7CDA-83DF-4540-B871-2E7899A838C7}"/>
    <cellStyle name="40% - Accent1" xfId="19" builtinId="31" customBuiltin="1"/>
    <cellStyle name="40% - Accent1 2" xfId="49" xr:uid="{E92E7E4A-9B7B-4BB8-8494-51CDEAAD158D}"/>
    <cellStyle name="40% - Accent2" xfId="23" builtinId="35" customBuiltin="1"/>
    <cellStyle name="40% - Accent2 2" xfId="51" xr:uid="{F9A5164D-495C-4B80-8504-5DA80532BACE}"/>
    <cellStyle name="40% - Accent3" xfId="27" builtinId="39" customBuiltin="1"/>
    <cellStyle name="40% - Accent3 2" xfId="53" xr:uid="{A8D7CFC1-3154-4C35-AF52-94035E2F1ED4}"/>
    <cellStyle name="40% - Accent4" xfId="31" builtinId="43" customBuiltin="1"/>
    <cellStyle name="40% - Accent4 2" xfId="55" xr:uid="{B40E59AF-F8DE-4CAB-9C3B-6BEF43076803}"/>
    <cellStyle name="40% - Accent5" xfId="35" builtinId="47" customBuiltin="1"/>
    <cellStyle name="40% - Accent5 2" xfId="57" xr:uid="{BDB2EBB4-2DA4-4E90-89CF-2170A7DA8FF2}"/>
    <cellStyle name="40% - Accent6" xfId="39" builtinId="51" customBuiltin="1"/>
    <cellStyle name="40% - Accent6 2" xfId="59" xr:uid="{B69C9B52-F862-427E-B071-55E5A64578A7}"/>
    <cellStyle name="60 % - Akzent1" xfId="74" hidden="1" xr:uid="{24B4CB62-0633-4971-95B1-66B96D4BFA48}"/>
    <cellStyle name="60 % - Akzent1" xfId="91" hidden="1" xr:uid="{7C24B3D1-B602-4672-9FB9-F41448D5E5A5}"/>
    <cellStyle name="60 % - Akzent1" xfId="143" hidden="1" xr:uid="{06D9343F-9729-4656-9559-967C4B6C2174}"/>
    <cellStyle name="60 % - Akzent1" xfId="142" hidden="1" xr:uid="{667C79C7-25AC-4B6D-B4EA-8CEF1E7FB186}"/>
    <cellStyle name="60 % - Akzent2" xfId="77" hidden="1" xr:uid="{D0472176-94CD-4DF5-8F33-713729391C48}"/>
    <cellStyle name="60 % - Akzent2" xfId="111" hidden="1" xr:uid="{FBA9F08B-240D-41B2-B900-C17531516FCA}"/>
    <cellStyle name="60 % - Akzent2" xfId="140" hidden="1" xr:uid="{FA80CBFE-64DD-42A0-8A44-358530FD8AA5}"/>
    <cellStyle name="60 % - Akzent2" xfId="106" hidden="1" xr:uid="{6BC3BF97-8C9A-4DEF-A171-8C61342A493E}"/>
    <cellStyle name="60 % - Akzent3" xfId="80" hidden="1" xr:uid="{E0509F57-45B5-477E-8661-5D76E17242E3}"/>
    <cellStyle name="60 % - Akzent3" xfId="103" hidden="1" xr:uid="{A1317FC4-7969-4381-B9E1-5DB3C9759F65}"/>
    <cellStyle name="60 % - Akzent3" xfId="136" hidden="1" xr:uid="{2DDCC00C-2CCE-4B5C-8F26-32817126B8E3}"/>
    <cellStyle name="60 % - Akzent3" xfId="93" hidden="1" xr:uid="{0DE8521B-340F-47CF-8F1E-900BFAC5C35C}"/>
    <cellStyle name="60 % - Akzent4" xfId="83" hidden="1" xr:uid="{54D494F5-DA3E-4899-AAB4-B49EBE94E53B}"/>
    <cellStyle name="60 % - Akzent4" xfId="107" hidden="1" xr:uid="{7B1AFF71-B1CF-4EE0-B7DA-23BA9B42A193}"/>
    <cellStyle name="60 % - Akzent4" xfId="130" hidden="1" xr:uid="{D4EE3BB4-5D32-4E36-B054-17FE9AAA1248}"/>
    <cellStyle name="60 % - Akzent4" xfId="123" hidden="1" xr:uid="{CFAC3F48-C295-470E-AECA-7A57F22E58C0}"/>
    <cellStyle name="60 % - Akzent5" xfId="86" hidden="1" xr:uid="{BC324A4D-056E-4052-B143-973DE3A34108}"/>
    <cellStyle name="60 % - Akzent5" xfId="98" hidden="1" xr:uid="{E528E756-F2CF-470A-8086-68B6A9C9680C}"/>
    <cellStyle name="60 % - Akzent5" xfId="133" hidden="1" xr:uid="{FAD18EEC-2860-422D-AA07-E341BD0B12A8}"/>
    <cellStyle name="60 % - Akzent5" xfId="119" hidden="1" xr:uid="{587D4BB4-3DFF-4206-AAC0-FAE0CC873758}"/>
    <cellStyle name="60 % - Akzent6" xfId="89" hidden="1" xr:uid="{2C586340-86FF-40D0-8829-EA30B0DB6A8A}"/>
    <cellStyle name="60 % - Akzent6" xfId="100" hidden="1" xr:uid="{E4BC9E10-FCA3-4E76-9E28-281E711C9471}"/>
    <cellStyle name="60 % - Akzent6" xfId="134" hidden="1" xr:uid="{AE816949-C07A-40C0-B8E9-C7CC60B1E2AB}"/>
    <cellStyle name="60 % - Akzent6" xfId="118" hidden="1" xr:uid="{59D15948-0EAF-4EC8-AB8E-3C4BDBE5199A}"/>
    <cellStyle name="60% - Accent1" xfId="20" builtinId="32" customBuiltin="1"/>
    <cellStyle name="60% - Accent1 2" xfId="47" xr:uid="{78D4BE6D-EA76-4497-848F-6F8059FD9C79}"/>
    <cellStyle name="60% - Accent2" xfId="24" builtinId="36" customBuiltin="1"/>
    <cellStyle name="60% - Accent2 2" xfId="160" xr:uid="{2ABB8496-FB49-44DB-B887-ECE14C915BBE}"/>
    <cellStyle name="60% - Accent3" xfId="28" builtinId="40" customBuiltin="1"/>
    <cellStyle name="60% - Accent3 2" xfId="161" xr:uid="{60365C7C-E9C9-42BD-B777-25BBB76ACBF3}"/>
    <cellStyle name="60% - Accent4" xfId="32" builtinId="44" customBuiltin="1"/>
    <cellStyle name="60% - Accent4 2" xfId="162" xr:uid="{16F4B062-4FD0-4742-96C7-EC7B7DC74C79}"/>
    <cellStyle name="60% - Accent5" xfId="36" builtinId="48" customBuiltin="1"/>
    <cellStyle name="60% - Accent5 2" xfId="163" xr:uid="{980A300D-57B8-446B-8319-0820F376E174}"/>
    <cellStyle name="60% - Accent6" xfId="40" builtinId="52" customBuiltin="1"/>
    <cellStyle name="60% - Accent6 2" xfId="164" xr:uid="{E925469B-3886-465D-8EEE-8E3960821E20}"/>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Ausgabe 7" xfId="67" hidden="1" xr:uid="{001D2D8B-64E5-4D08-A058-71470127B320}"/>
    <cellStyle name="Ausgabe 7" xfId="125" hidden="1" xr:uid="{5A1AC4FD-986F-42B4-9378-FA8A32B44AFA}"/>
    <cellStyle name="Bad" xfId="7" builtinId="27" customBuiltin="1"/>
    <cellStyle name="Berechnung 8" xfId="68" hidden="1" xr:uid="{0600D1DC-E901-46DF-8B73-C50143748C26}"/>
    <cellStyle name="Berechnung 8" xfId="117" hidden="1" xr:uid="{233C22D0-7D1E-490E-92CB-FB72F2E6B36C}"/>
    <cellStyle name="Calculation" xfId="11" builtinId="22" customBuiltin="1"/>
    <cellStyle name="Check Cell" xfId="13" builtinId="23" customBuiltin="1"/>
    <cellStyle name="Comma 2" xfId="155" xr:uid="{7437976E-009C-4D3A-B3A3-0BDCF8765DF2}"/>
    <cellStyle name="Comma 2 2" xfId="156" xr:uid="{2DAB8262-4328-4390-8D16-E5A8558D0F07}"/>
    <cellStyle name="Comma 2 2 2" xfId="159" xr:uid="{8EFB9DC0-6C44-47F8-B231-05FC2337CF94}"/>
    <cellStyle name="Comma 2 3" xfId="158" xr:uid="{139D14AB-63A9-48F9-AC2E-0EEB4B9DE141}"/>
    <cellStyle name="Comma 3" xfId="157" xr:uid="{703859FE-28B4-412C-A532-7F29163E83CB}"/>
    <cellStyle name="Comma 4" xfId="172" xr:uid="{F8C4EFE2-CE1F-441D-96B9-ADBD75A90FF5}"/>
    <cellStyle name="Ergebnis 8" xfId="71" hidden="1" xr:uid="{FF3AE49D-8094-4612-909D-1636D22B6171}"/>
    <cellStyle name="Ergebnis 8" xfId="144" hidden="1" xr:uid="{921B44CB-7ED9-4B7E-933B-39EDCCDB4517}"/>
    <cellStyle name="Erklärender Text 4" xfId="70" hidden="1" xr:uid="{E8E17030-30B1-49A2-B3C2-CCC13159460F}"/>
    <cellStyle name="Erklärender Text 4" xfId="116" hidden="1" xr:uid="{80FB6A8A-5999-42A3-8992-F54BE6FAFB8E}"/>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64" xr:uid="{F43A5F9C-33A0-4E8B-8538-3B5CF00C7C5E}"/>
    <cellStyle name="Input" xfId="9" builtinId="20" customBuiltin="1"/>
    <cellStyle name="Linked Cell" xfId="12" builtinId="24" customBuiltin="1"/>
    <cellStyle name="Neutral" xfId="8" builtinId="28" customBuiltin="1"/>
    <cellStyle name="Normal" xfId="0" builtinId="0"/>
    <cellStyle name="Normal 10" xfId="42" xr:uid="{87145C91-2173-4BBC-A5BF-CBABA237CA17}"/>
    <cellStyle name="Normal 2" xfId="41" xr:uid="{6B4421A1-8F15-4E5B-A04E-A4DC65721E11}"/>
    <cellStyle name="Normal 2 2" xfId="149" xr:uid="{5D6EF558-C02F-4EE7-A1CB-09938BF32966}"/>
    <cellStyle name="Normal 2 3" xfId="62" xr:uid="{3BB2813A-F9A2-4973-925D-5CD29F428799}"/>
    <cellStyle name="Normal 2 4" xfId="165" xr:uid="{3CE1C3ED-45B9-4F55-8529-4AF361732ADF}"/>
    <cellStyle name="Normal 3" xfId="63" xr:uid="{F51B5B94-E77C-4606-96FE-71E161D97B61}"/>
    <cellStyle name="Normal 3 2" xfId="66" xr:uid="{E8F04467-60F7-41C4-8DD1-3091C3C8EE15}"/>
    <cellStyle name="Normal 3 3" xfId="150" xr:uid="{DBAB067D-6568-44A4-8FF5-0B581401EE18}"/>
    <cellStyle name="Normal 3 4" xfId="173" xr:uid="{B44AB211-DA7A-4B2B-B728-33F75B54AC65}"/>
    <cellStyle name="Normal 4" xfId="60" xr:uid="{13E4DEF3-1733-4208-84CC-4643C91F0373}"/>
    <cellStyle name="Normal 5" xfId="152" xr:uid="{1505F113-E93A-427E-9363-750539D86FF9}"/>
    <cellStyle name="Normal 5 2 2" xfId="153" xr:uid="{AF0D67E9-431D-4E01-9F56-C6AD63DC2FE5}"/>
    <cellStyle name="Normal 6" xfId="45" xr:uid="{9BDF725C-B4A7-4DD1-99E3-D6B1E843D8E2}"/>
    <cellStyle name="Normal 7" xfId="167" xr:uid="{4C270A53-0804-48F7-B3D2-5AC68A3D7D8B}"/>
    <cellStyle name="Normal 8" xfId="168" xr:uid="{28CCD77D-C619-4866-96E4-CE8CC73BB77A}"/>
    <cellStyle name="Normal 9" xfId="169" xr:uid="{5A40138A-0D77-4109-9B0A-25D00084DD7D}"/>
    <cellStyle name="Normale_Scen_UC_IND-StrucConst" xfId="43" xr:uid="{100800D8-EC1F-4C74-A177-951125BCCC6D}"/>
    <cellStyle name="Note 2" xfId="44" xr:uid="{400CBDC5-F4D7-4BD6-98FE-7098D08B57B3}"/>
    <cellStyle name="Note 2 2" xfId="166" xr:uid="{D35E2649-4474-4DE6-93B8-2397B6100CDC}"/>
    <cellStyle name="Note 3" xfId="46" xr:uid="{44FA73E2-9DBD-46BD-A74C-5CE729687D72}"/>
    <cellStyle name="Output" xfId="10" builtinId="21" customBuiltin="1"/>
    <cellStyle name="Percent 2" xfId="61" xr:uid="{19B918CE-C7FA-4C36-8A6F-170FFBA54F1C}"/>
    <cellStyle name="Percent 2 2" xfId="151" xr:uid="{8493798D-24B8-4AB5-8995-DC50FCB1CC08}"/>
    <cellStyle name="Percent 3" xfId="154" xr:uid="{98B1F920-8119-499E-8C76-CC18611DC396}"/>
    <cellStyle name="Title" xfId="1" builtinId="15" customBuiltin="1"/>
    <cellStyle name="Total" xfId="16" builtinId="25" customBuiltin="1"/>
    <cellStyle name="Warnender Text 4" xfId="69" hidden="1" xr:uid="{A5085B16-4C2E-4ACB-9174-0B94314B6C94}"/>
    <cellStyle name="Warnender Text 4" xfId="99" hidden="1" xr:uid="{C09DB00A-F599-4D0F-AE67-83064C5636DD}"/>
    <cellStyle name="Warning Text" xfId="14" builtinId="11" customBuiltin="1"/>
    <cellStyle name="Worksheet Title" xfId="170" xr:uid="{894BD633-9C01-4332-A238-412594C72E19}"/>
  </cellStyles>
  <dxfs count="2">
    <dxf>
      <font>
        <color rgb="FF9C0006"/>
      </font>
      <fill>
        <patternFill>
          <bgColor rgb="FFFFC7CE"/>
        </patternFill>
      </fill>
    </dxf>
    <dxf>
      <fill>
        <patternFill>
          <bgColor rgb="FFFFFF00"/>
        </patternFill>
      </fill>
    </dxf>
  </dxfs>
  <tableStyles count="1" defaultTableStyle="TableStyleMedium2" defaultPivotStyle="PivotStyleLight16">
    <tableStyle name="Table Style 1" pivot="0" count="1" xr9:uid="{EDDF6D9B-2950-4B66-AA58-913AB5FEF3B6}">
      <tableStyleElement type="first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6"/>
  <sheetViews>
    <sheetView tabSelected="1" topLeftCell="A25" workbookViewId="0">
      <selection activeCell="AK53" sqref="AK53"/>
    </sheetView>
  </sheetViews>
  <sheetFormatPr defaultColWidth="9.28515625" defaultRowHeight="15" x14ac:dyDescent="0.25"/>
  <cols>
    <col min="1" max="2" width="17.140625" bestFit="1"/>
    <col min="3" max="3" width="29" customWidth="1"/>
    <col min="4" max="35" width="17.140625" bestFit="1"/>
  </cols>
  <sheetData>
    <row r="1" spans="1:40" x14ac:dyDescent="0.25">
      <c r="K1" s="1"/>
      <c r="L1" s="1"/>
      <c r="M1" s="1"/>
      <c r="N1" s="1"/>
      <c r="O1" s="1"/>
    </row>
    <row r="2" spans="1:40" x14ac:dyDescent="0.25">
      <c r="D2" s="4">
        <v>2019</v>
      </c>
      <c r="E2" s="4">
        <v>2020</v>
      </c>
      <c r="F2" s="4">
        <v>2021</v>
      </c>
      <c r="G2" s="4">
        <v>2022</v>
      </c>
      <c r="H2" s="4">
        <v>2023</v>
      </c>
      <c r="I2" s="4">
        <v>2024</v>
      </c>
      <c r="J2" s="4">
        <v>2025</v>
      </c>
      <c r="K2" s="4">
        <v>2026</v>
      </c>
      <c r="L2" s="4">
        <v>2027</v>
      </c>
      <c r="M2" s="4">
        <v>2028</v>
      </c>
      <c r="N2" s="4">
        <v>2029</v>
      </c>
      <c r="O2" s="4">
        <v>2030</v>
      </c>
      <c r="P2" s="4">
        <v>2031</v>
      </c>
      <c r="Q2" s="4">
        <v>2032</v>
      </c>
      <c r="R2" s="4">
        <v>2033</v>
      </c>
      <c r="S2" s="4">
        <v>2034</v>
      </c>
      <c r="T2" s="4">
        <v>2035</v>
      </c>
      <c r="U2" s="4">
        <v>2036</v>
      </c>
      <c r="V2" s="4">
        <v>2037</v>
      </c>
      <c r="W2" s="4">
        <v>2038</v>
      </c>
      <c r="X2" s="4">
        <v>2039</v>
      </c>
      <c r="Y2" s="4">
        <v>2040</v>
      </c>
      <c r="Z2" s="4">
        <v>2041</v>
      </c>
      <c r="AA2" s="4">
        <v>2042</v>
      </c>
      <c r="AB2" s="4">
        <v>2043</v>
      </c>
      <c r="AC2" s="4">
        <v>2044</v>
      </c>
      <c r="AD2" s="4">
        <v>2045</v>
      </c>
      <c r="AE2" s="4">
        <v>2046</v>
      </c>
      <c r="AF2" s="4">
        <v>2047</v>
      </c>
      <c r="AG2" s="4">
        <v>2048</v>
      </c>
      <c r="AH2" s="4">
        <v>2049</v>
      </c>
      <c r="AI2" s="4">
        <v>2050</v>
      </c>
    </row>
    <row r="3" spans="1:40" x14ac:dyDescent="0.25">
      <c r="A3" s="7" t="s">
        <v>176</v>
      </c>
      <c r="B3" s="7" t="s">
        <v>167</v>
      </c>
      <c r="C3" s="7" t="s">
        <v>168</v>
      </c>
      <c r="D3" cm="1">
        <f t="array" aca="1" ref="D3" ca="1">SUMPRODUCT(SUMIF(caps_data!$B:$B,TRIM(MID(SUBSTITUTE($C3,", ",REPT(" ",100)),(ROW(INDIRECT("1:50"))-1)*100+1,100)),caps_data!C:C))</f>
        <v>7.4972968400410007</v>
      </c>
      <c r="E3" cm="1">
        <f t="array" aca="1" ref="E3" ca="1">SUMPRODUCT(SUMIF(caps_data!$B:$B,TRIM(MID(SUBSTITUTE($C3,", ",REPT(" ",100)),(ROW(INDIRECT("1:50"))-1)*100+1,100)),caps_data!D:D))</f>
        <v>6.4511985452419092</v>
      </c>
      <c r="F3" cm="1">
        <f t="array" aca="1" ref="F3" ca="1">SUMPRODUCT(SUMIF(caps_data!$B:$B,TRIM(MID(SUBSTITUTE($C3,", ",REPT(" ",100)),(ROW(INDIRECT("1:50"))-1)*100+1,100)),caps_data!E:E))</f>
        <v>0</v>
      </c>
      <c r="G3" cm="1">
        <f t="array" aca="1" ref="G3" ca="1">SUMPRODUCT(SUMIF(caps_data!$B:$B,TRIM(MID(SUBSTITUTE($C3,", ",REPT(" ",100)),(ROW(INDIRECT("1:50"))-1)*100+1,100)),caps_data!F:F))</f>
        <v>0</v>
      </c>
      <c r="H3" cm="1">
        <f t="array" aca="1" ref="H3" ca="1">SUMPRODUCT(SUMIF(caps_data!$B:$B,TRIM(MID(SUBSTITUTE($C3,", ",REPT(" ",100)),(ROW(INDIRECT("1:50"))-1)*100+1,100)),caps_data!G:G))</f>
        <v>0</v>
      </c>
      <c r="I3" cm="1">
        <f t="array" aca="1" ref="I3" ca="1">SUMPRODUCT(SUMIF(caps_data!$B:$B,TRIM(MID(SUBSTITUTE($C3,", ",REPT(" ",100)),(ROW(INDIRECT("1:50"))-1)*100+1,100)),caps_data!H:H))</f>
        <v>0</v>
      </c>
      <c r="J3" cm="1">
        <f t="array" aca="1" ref="J3" ca="1">SUMPRODUCT(SUMIF(caps_data!$B:$B,TRIM(MID(SUBSTITUTE($C3,", ",REPT(" ",100)),(ROW(INDIRECT("1:50"))-1)*100+1,100)),caps_data!I:I))</f>
        <v>0</v>
      </c>
      <c r="K3" cm="1">
        <f t="array" aca="1" ref="K3" ca="1">SUMPRODUCT(SUMIF(caps_data!$B:$B,TRIM(MID(SUBSTITUTE($C3,", ",REPT(" ",100)),(ROW(INDIRECT("1:50"))-1)*100+1,100)),caps_data!J:J))</f>
        <v>0</v>
      </c>
      <c r="L3" cm="1">
        <f t="array" aca="1" ref="L3" ca="1">SUMPRODUCT(SUMIF(caps_data!$B:$B,TRIM(MID(SUBSTITUTE($C3,", ",REPT(" ",100)),(ROW(INDIRECT("1:50"))-1)*100+1,100)),caps_data!K:K))</f>
        <v>0</v>
      </c>
      <c r="M3" cm="1">
        <f t="array" aca="1" ref="M3" ca="1">SUMPRODUCT(SUMIF(caps_data!$B:$B,TRIM(MID(SUBSTITUTE($C3,", ",REPT(" ",100)),(ROW(INDIRECT("1:50"))-1)*100+1,100)),caps_data!L:L))</f>
        <v>0</v>
      </c>
      <c r="N3" cm="1">
        <f t="array" aca="1" ref="N3" ca="1">SUMPRODUCT(SUMIF(caps_data!$B:$B,TRIM(MID(SUBSTITUTE($C3,", ",REPT(" ",100)),(ROW(INDIRECT("1:50"))-1)*100+1,100)),caps_data!M:M))</f>
        <v>0</v>
      </c>
      <c r="O3" cm="1">
        <f t="array" aca="1" ref="O3" ca="1">SUMPRODUCT(SUMIF(caps_data!$B:$B,TRIM(MID(SUBSTITUTE($C3,", ",REPT(" ",100)),(ROW(INDIRECT("1:50"))-1)*100+1,100)),caps_data!N:N))</f>
        <v>0</v>
      </c>
      <c r="P3" cm="1">
        <f t="array" aca="1" ref="P3" ca="1">SUMPRODUCT(SUMIF(caps_data!$B:$B,TRIM(MID(SUBSTITUTE($C3,", ",REPT(" ",100)),(ROW(INDIRECT("1:50"))-1)*100+1,100)),caps_data!O:O))</f>
        <v>0</v>
      </c>
      <c r="Q3" cm="1">
        <f t="array" aca="1" ref="Q3" ca="1">SUMPRODUCT(SUMIF(caps_data!$B:$B,TRIM(MID(SUBSTITUTE($C3,", ",REPT(" ",100)),(ROW(INDIRECT("1:50"))-1)*100+1,100)),caps_data!P:P))</f>
        <v>0.44463604711407601</v>
      </c>
      <c r="R3" cm="1">
        <f t="array" aca="1" ref="R3" ca="1">SUMPRODUCT(SUMIF(caps_data!$B:$B,TRIM(MID(SUBSTITUTE($C3,", ",REPT(" ",100)),(ROW(INDIRECT("1:50"))-1)*100+1,100)),caps_data!Q:Q))</f>
        <v>0.46046896912073598</v>
      </c>
      <c r="S3" cm="1">
        <f t="array" aca="1" ref="S3" ca="1">SUMPRODUCT(SUMIF(caps_data!$B:$B,TRIM(MID(SUBSTITUTE($C3,", ",REPT(" ",100)),(ROW(INDIRECT("1:50"))-1)*100+1,100)),caps_data!R:R))</f>
        <v>0.46046900129749269</v>
      </c>
      <c r="T3" cm="1">
        <f t="array" aca="1" ref="T3" ca="1">SUMPRODUCT(SUMIF(caps_data!$B:$B,TRIM(MID(SUBSTITUTE($C3,", ",REPT(" ",100)),(ROW(INDIRECT("1:50"))-1)*100+1,100)),caps_data!S:S))</f>
        <v>2.4206011625898549</v>
      </c>
      <c r="U3" cm="1">
        <f t="array" aca="1" ref="U3" ca="1">SUMPRODUCT(SUMIF(caps_data!$B:$B,TRIM(MID(SUBSTITUTE($C3,", ",REPT(" ",100)),(ROW(INDIRECT("1:50"))-1)*100+1,100)),caps_data!T:T))</f>
        <v>2.4206010840894598</v>
      </c>
      <c r="V3" cm="1">
        <f t="array" aca="1" ref="V3" ca="1">SUMPRODUCT(SUMIF(caps_data!$B:$B,TRIM(MID(SUBSTITUTE($C3,", ",REPT(" ",100)),(ROW(INDIRECT("1:50"))-1)*100+1,100)),caps_data!U:U))</f>
        <v>2.4364326056131591</v>
      </c>
      <c r="W3" cm="1">
        <f t="array" aca="1" ref="W3" ca="1">SUMPRODUCT(SUMIF(caps_data!$B:$B,TRIM(MID(SUBSTITUTE($C3,", ",REPT(" ",100)),(ROW(INDIRECT("1:50"))-1)*100+1,100)),caps_data!V:V))</f>
        <v>2.4364340125859707</v>
      </c>
      <c r="X3" cm="1">
        <f t="array" aca="1" ref="X3" ca="1">SUMPRODUCT(SUMIF(caps_data!$B:$B,TRIM(MID(SUBSTITUTE($C3,", ",REPT(" ",100)),(ROW(INDIRECT("1:50"))-1)*100+1,100)),caps_data!W:W))</f>
        <v>2.4364340255450156</v>
      </c>
      <c r="Y3" cm="1">
        <f t="array" aca="1" ref="Y3" ca="1">SUMPRODUCT(SUMIF(caps_data!$B:$B,TRIM(MID(SUBSTITUTE($C3,", ",REPT(" ",100)),(ROW(INDIRECT("1:50"))-1)*100+1,100)),caps_data!X:X))</f>
        <v>2.4364340108380134</v>
      </c>
      <c r="Z3" cm="1">
        <f t="array" aca="1" ref="Z3" ca="1">SUMPRODUCT(SUMIF(caps_data!$B:$B,TRIM(MID(SUBSTITUTE($C3,", ",REPT(" ",100)),(ROW(INDIRECT("1:50"))-1)*100+1,100)),caps_data!Y:Y))</f>
        <v>2.4364340281442716</v>
      </c>
      <c r="AA3" cm="1">
        <f t="array" aca="1" ref="AA3" ca="1">SUMPRODUCT(SUMIF(caps_data!$B:$B,TRIM(MID(SUBSTITUTE($C3,", ",REPT(" ",100)),(ROW(INDIRECT("1:50"))-1)*100+1,100)),caps_data!Z:Z))</f>
        <v>2.4364340278843595</v>
      </c>
      <c r="AB3" cm="1">
        <f t="array" aca="1" ref="AB3" ca="1">SUMPRODUCT(SUMIF(caps_data!$B:$B,TRIM(MID(SUBSTITUTE($C3,", ",REPT(" ",100)),(ROW(INDIRECT("1:50"))-1)*100+1,100)),caps_data!AA:AA))</f>
        <v>2.4364340243871569</v>
      </c>
      <c r="AC3" cm="1">
        <f t="array" aca="1" ref="AC3" ca="1">SUMPRODUCT(SUMIF(caps_data!$B:$B,TRIM(MID(SUBSTITUTE($C3,", ",REPT(" ",100)),(ROW(INDIRECT("1:50"))-1)*100+1,100)),caps_data!AB:AB))</f>
        <v>2.4364340205331261</v>
      </c>
      <c r="AD3" cm="1">
        <f t="array" aca="1" ref="AD3" ca="1">SUMPRODUCT(SUMIF(caps_data!$B:$B,TRIM(MID(SUBSTITUTE($C3,", ",REPT(" ",100)),(ROW(INDIRECT("1:50"))-1)*100+1,100)),caps_data!AC:AC))</f>
        <v>2.4364340182865707</v>
      </c>
      <c r="AE3" cm="1">
        <f t="array" aca="1" ref="AE3" ca="1">SUMPRODUCT(SUMIF(caps_data!$B:$B,TRIM(MID(SUBSTITUTE($C3,", ",REPT(" ",100)),(ROW(INDIRECT("1:50"))-1)*100+1,100)),caps_data!AD:AD))</f>
        <v>2.4364340118990979</v>
      </c>
      <c r="AF3" cm="1">
        <f t="array" aca="1" ref="AF3" ca="1">SUMPRODUCT(SUMIF(caps_data!$B:$B,TRIM(MID(SUBSTITUTE($C3,", ",REPT(" ",100)),(ROW(INDIRECT("1:50"))-1)*100+1,100)),caps_data!AE:AE))</f>
        <v>2.4364340216575533</v>
      </c>
      <c r="AG3" cm="1">
        <f t="array" aca="1" ref="AG3" ca="1">SUMPRODUCT(SUMIF(caps_data!$B:$B,TRIM(MID(SUBSTITUTE($C3,", ",REPT(" ",100)),(ROW(INDIRECT("1:50"))-1)*100+1,100)),caps_data!AF:AF))</f>
        <v>2.4364340366515318</v>
      </c>
      <c r="AH3" cm="1">
        <f t="array" aca="1" ref="AH3" ca="1">SUMPRODUCT(SUMIF(caps_data!$B:$B,TRIM(MID(SUBSTITUTE($C3,", ",REPT(" ",100)),(ROW(INDIRECT("1:50"))-1)*100+1,100)),caps_data!AG:AG))</f>
        <v>2.4364340343988853</v>
      </c>
      <c r="AI3" cm="1">
        <f t="array" aca="1" ref="AI3" ca="1">SUMPRODUCT(SUMIF(caps_data!$B:$B,TRIM(MID(SUBSTITUTE($C3,", ",REPT(" ",100)),(ROW(INDIRECT("1:50"))-1)*100+1,100)),caps_data!AH:AH))</f>
        <v>2.4364340237577919</v>
      </c>
    </row>
    <row r="4" spans="1:40" x14ac:dyDescent="0.25">
      <c r="A4" s="7" t="s">
        <v>177</v>
      </c>
      <c r="B4" s="7" t="s">
        <v>169</v>
      </c>
      <c r="C4" s="7" t="s">
        <v>170</v>
      </c>
      <c r="E4" cm="1">
        <f t="array" aca="1" ref="E4" ca="1">SUMPRODUCT(SUMIF(caps_data!$B:$B,TRIM(MID(SUBSTITUTE($C4,", ",REPT(" ",100)),(ROW(INDIRECT("1:50"))-1)*100+1,100)),caps_data!D:D))</f>
        <v>3.658449809291918</v>
      </c>
      <c r="F4" cm="1">
        <f t="array" aca="1" ref="F4" ca="1">SUMPRODUCT(SUMIF(caps_data!$B:$B,TRIM(MID(SUBSTITUTE($C4,", ",REPT(" ",100)),(ROW(INDIRECT("1:50"))-1)*100+1,100)),caps_data!E:E))</f>
        <v>25.399042121578887</v>
      </c>
      <c r="G4" cm="1">
        <f t="array" aca="1" ref="G4" ca="1">SUMPRODUCT(SUMIF(caps_data!$B:$B,TRIM(MID(SUBSTITUTE($C4,", ",REPT(" ",100)),(ROW(INDIRECT("1:50"))-1)*100+1,100)),caps_data!F:F))</f>
        <v>37.836289178591535</v>
      </c>
      <c r="H4" cm="1">
        <f t="array" aca="1" ref="H4" ca="1">SUMPRODUCT(SUMIF(caps_data!$B:$B,TRIM(MID(SUBSTITUTE($C4,", ",REPT(" ",100)),(ROW(INDIRECT("1:50"))-1)*100+1,100)),caps_data!G:G))</f>
        <v>0</v>
      </c>
      <c r="I4" cm="1">
        <f t="array" aca="1" ref="I4" ca="1">SUMPRODUCT(SUMIF(caps_data!$B:$B,TRIM(MID(SUBSTITUTE($C4,", ",REPT(" ",100)),(ROW(INDIRECT("1:50"))-1)*100+1,100)),caps_data!H:H))</f>
        <v>0</v>
      </c>
      <c r="J4" cm="1">
        <f t="array" aca="1" ref="J4" ca="1">SUMPRODUCT(SUMIF(caps_data!$B:$B,TRIM(MID(SUBSTITUTE($C4,", ",REPT(" ",100)),(ROW(INDIRECT("1:50"))-1)*100+1,100)),caps_data!I:I))</f>
        <v>7.2471677251001623</v>
      </c>
      <c r="K4" cm="1">
        <f t="array" aca="1" ref="K4" ca="1">SUMPRODUCT(SUMIF(caps_data!$B:$B,TRIM(MID(SUBSTITUTE($C4,", ",REPT(" ",100)),(ROW(INDIRECT("1:50"))-1)*100+1,100)),caps_data!J:J))</f>
        <v>22.364961381905236</v>
      </c>
      <c r="L4" cm="1">
        <f t="array" aca="1" ref="L4" ca="1">SUMPRODUCT(SUMIF(caps_data!$B:$B,TRIM(MID(SUBSTITUTE($C4,", ",REPT(" ",100)),(ROW(INDIRECT("1:50"))-1)*100+1,100)),caps_data!K:K))</f>
        <v>7.3921218303180929</v>
      </c>
      <c r="M4" cm="1">
        <f t="array" aca="1" ref="M4" ca="1">SUMPRODUCT(SUMIF(caps_data!$B:$B,TRIM(MID(SUBSTITUTE($C4,", ",REPT(" ",100)),(ROW(INDIRECT("1:50"))-1)*100+1,100)),caps_data!L:L))</f>
        <v>3.1129013029099921</v>
      </c>
      <c r="N4" cm="1">
        <f t="array" aca="1" ref="N4" ca="1">SUMPRODUCT(SUMIF(caps_data!$B:$B,TRIM(MID(SUBSTITUTE($C4,", ",REPT(" ",100)),(ROW(INDIRECT("1:50"))-1)*100+1,100)),caps_data!M:M))</f>
        <v>3.1129013032204691</v>
      </c>
      <c r="O4" cm="1">
        <f t="array" aca="1" ref="O4" ca="1">SUMPRODUCT(SUMIF(caps_data!$B:$B,TRIM(MID(SUBSTITUTE($C4,", ",REPT(" ",100)),(ROW(INDIRECT("1:50"))-1)*100+1,100)),caps_data!N:N))</f>
        <v>0.69717872733106501</v>
      </c>
      <c r="P4" cm="1">
        <f t="array" aca="1" ref="P4" ca="1">SUMPRODUCT(SUMIF(caps_data!$B:$B,TRIM(MID(SUBSTITUTE($C4,", ",REPT(" ",100)),(ROW(INDIRECT("1:50"))-1)*100+1,100)),caps_data!O:O))</f>
        <v>0</v>
      </c>
      <c r="Q4" cm="1">
        <f t="array" aca="1" ref="Q4" ca="1">SUMPRODUCT(SUMIF(caps_data!$B:$B,TRIM(MID(SUBSTITUTE($C4,", ",REPT(" ",100)),(ROW(INDIRECT("1:50"))-1)*100+1,100)),caps_data!P:P))</f>
        <v>3.1665838872884801E-2</v>
      </c>
      <c r="R4" cm="1">
        <f t="array" aca="1" ref="R4" ca="1">SUMPRODUCT(SUMIF(caps_data!$B:$B,TRIM(MID(SUBSTITUTE($C4,", ",REPT(" ",100)),(ROW(INDIRECT("1:50"))-1)*100+1,100)),caps_data!Q:Q))</f>
        <v>1.5832931196827299E-2</v>
      </c>
      <c r="S4" cm="1">
        <f t="array" aca="1" ref="S4" ca="1">SUMPRODUCT(SUMIF(caps_data!$B:$B,TRIM(MID(SUBSTITUTE($C4,", ",REPT(" ",100)),(ROW(INDIRECT("1:50"))-1)*100+1,100)),caps_data!R:R))</f>
        <v>1.5832923423522299E-2</v>
      </c>
      <c r="T4" cm="1">
        <f t="array" aca="1" ref="T4" ca="1">SUMPRODUCT(SUMIF(caps_data!$B:$B,TRIM(MID(SUBSTITUTE($C4,", ",REPT(" ",100)),(ROW(INDIRECT("1:50"))-1)*100+1,100)),caps_data!S:S))</f>
        <v>1.5832880072042099E-2</v>
      </c>
      <c r="U4" cm="1">
        <f t="array" aca="1" ref="U4" ca="1">SUMPRODUCT(SUMIF(caps_data!$B:$B,TRIM(MID(SUBSTITUTE($C4,", ",REPT(" ",100)),(ROW(INDIRECT("1:50"))-1)*100+1,100)),caps_data!T:T))</f>
        <v>1.5832962705996999E-2</v>
      </c>
    </row>
    <row r="5" spans="1:40" x14ac:dyDescent="0.25">
      <c r="A5" s="7" t="s">
        <v>178</v>
      </c>
      <c r="B5" s="7" t="s">
        <v>171</v>
      </c>
      <c r="C5" s="7" t="s">
        <v>183</v>
      </c>
      <c r="D5" cm="1">
        <f t="array" aca="1" ref="D5" ca="1">SUMPRODUCT(SUMIF(caps_data!$B:$B,TRIM(MID(SUBSTITUTE($C5,", ",REPT(" ",100)),(ROW(INDIRECT("1:50"))-1)*100+1,100)),caps_data!C:C))</f>
        <v>0</v>
      </c>
      <c r="E5" cm="1">
        <f t="array" aca="1" ref="E5" ca="1">SUMPRODUCT(SUMIF(caps_data!$B:$B,TRIM(MID(SUBSTITUTE($C5,", ",REPT(" ",100)),(ROW(INDIRECT("1:50"))-1)*100+1,100)),caps_data!D:D))</f>
        <v>0</v>
      </c>
      <c r="G5" cm="1">
        <f t="array" aca="1" ref="G5" ca="1">SUMPRODUCT(SUMIF(caps_data!$B:$B,TRIM(MID(SUBSTITUTE($C5,", ",REPT(" ",100)),(ROW(INDIRECT("1:50"))-1)*100+1,100)),caps_data!F:F))</f>
        <v>3.8060493142390714</v>
      </c>
      <c r="J5" cm="1">
        <f t="array" aca="1" ref="J5" ca="1">SUMPRODUCT(SUMIF(caps_data!$B:$B,TRIM(MID(SUBSTITUTE($C5,", ",REPT(" ",100)),(ROW(INDIRECT("1:50"))-1)*100+1,100)),caps_data!I:I))</f>
        <v>20.788282619861675</v>
      </c>
      <c r="K5" cm="1">
        <f t="array" aca="1" ref="K5" ca="1">SUMPRODUCT(SUMIF(caps_data!$B:$B,TRIM(MID(SUBSTITUTE($C5,", ",REPT(" ",100)),(ROW(INDIRECT("1:50"))-1)*100+1,100)),caps_data!J:J))</f>
        <v>17.116403534175284</v>
      </c>
      <c r="L5" cm="1">
        <f t="array" aca="1" ref="L5" ca="1">SUMPRODUCT(SUMIF(caps_data!$B:$B,TRIM(MID(SUBSTITUTE($C5,", ",REPT(" ",100)),(ROW(INDIRECT("1:50"))-1)*100+1,100)),caps_data!K:K))</f>
        <v>0.10122870843971581</v>
      </c>
      <c r="M5" cm="1">
        <f t="array" aca="1" ref="M5" ca="1">SUMPRODUCT(SUMIF(caps_data!$B:$B,TRIM(MID(SUBSTITUTE($C5,", ",REPT(" ",100)),(ROW(INDIRECT("1:50"))-1)*100+1,100)),caps_data!L:L))</f>
        <v>9.7261719132753124E-2</v>
      </c>
      <c r="N5" cm="1">
        <f t="array" aca="1" ref="N5" ca="1">SUMPRODUCT(SUMIF(caps_data!$B:$B,TRIM(MID(SUBSTITUTE($C5,", ",REPT(" ",100)),(ROW(INDIRECT("1:50"))-1)*100+1,100)),caps_data!M:M))</f>
        <v>9.183375394827363E-2</v>
      </c>
      <c r="O5" cm="1">
        <f t="array" aca="1" ref="O5" ca="1">SUMPRODUCT(SUMIF(caps_data!$B:$B,TRIM(MID(SUBSTITUTE($C5,", ",REPT(" ",100)),(ROW(INDIRECT("1:50"))-1)*100+1,100)),caps_data!N:N))</f>
        <v>8.6427548778169008E-2</v>
      </c>
      <c r="P5" cm="1">
        <f t="array" aca="1" ref="P5" ca="1">SUMPRODUCT(SUMIF(caps_data!$B:$B,TRIM(MID(SUBSTITUTE($C5,", ",REPT(" ",100)),(ROW(INDIRECT("1:50"))-1)*100+1,100)),caps_data!O:O))</f>
        <v>4.0535264804595168E-3</v>
      </c>
      <c r="Q5" cm="1">
        <f t="array" aca="1" ref="Q5" ca="1">SUMPRODUCT(SUMIF(caps_data!$B:$B,TRIM(MID(SUBSTITUTE($C5,", ",REPT(" ",100)),(ROW(INDIRECT("1:50"))-1)*100+1,100)),caps_data!P:P))</f>
        <v>0.32227998351670517</v>
      </c>
      <c r="R5" cm="1">
        <f t="array" aca="1" ref="R5" ca="1">SUMPRODUCT(SUMIF(caps_data!$B:$B,TRIM(MID(SUBSTITUTE($C5,", ",REPT(" ",100)),(ROW(INDIRECT("1:50"))-1)*100+1,100)),caps_data!Q:Q))</f>
        <v>0.13578381309056742</v>
      </c>
      <c r="T5" cm="1">
        <f t="array" aca="1" ref="T5" ca="1">SUMPRODUCT(SUMIF(caps_data!$B:$B,TRIM(MID(SUBSTITUTE($C5,", ",REPT(" ",100)),(ROW(INDIRECT("1:50"))-1)*100+1,100)),caps_data!S:S))</f>
        <v>4.0533582495780231E-3</v>
      </c>
      <c r="AC5" cm="1">
        <f t="array" aca="1" ref="AC5" ca="1">SUMPRODUCT(SUMIF(caps_data!$B:$B,TRIM(MID(SUBSTITUTE($C5,", ",REPT(" ",100)),(ROW(INDIRECT("1:50"))-1)*100+1,100)),caps_data!AB:AB))</f>
        <v>1.5218449798815394</v>
      </c>
      <c r="AD5" cm="1">
        <f t="array" aca="1" ref="AD5" ca="1">SUMPRODUCT(SUMIF(caps_data!$B:$B,TRIM(MID(SUBSTITUTE($C5,", ",REPT(" ",100)),(ROW(INDIRECT("1:50"))-1)*100+1,100)),caps_data!AC:AC))</f>
        <v>18.024512011764671</v>
      </c>
      <c r="AE5" cm="1">
        <f t="array" aca="1" ref="AE5" ca="1">SUMPRODUCT(SUMIF(caps_data!$B:$B,TRIM(MID(SUBSTITUTE($C5,", ",REPT(" ",100)),(ROW(INDIRECT("1:50"))-1)*100+1,100)),caps_data!AD:AD))</f>
        <v>19.424702194124897</v>
      </c>
      <c r="AF5" cm="1">
        <f t="array" aca="1" ref="AF5" ca="1">SUMPRODUCT(SUMIF(caps_data!$B:$B,TRIM(MID(SUBSTITUTE($C5,", ",REPT(" ",100)),(ROW(INDIRECT("1:50"))-1)*100+1,100)),caps_data!AE:AE))</f>
        <v>0.25204396562617726</v>
      </c>
      <c r="AG5" cm="1">
        <f t="array" aca="1" ref="AG5" ca="1">SUMPRODUCT(SUMIF(caps_data!$B:$B,TRIM(MID(SUBSTITUTE($C5,", ",REPT(" ",100)),(ROW(INDIRECT("1:50"))-1)*100+1,100)),caps_data!AF:AF))</f>
        <v>0.24822133354915377</v>
      </c>
      <c r="AH5" cm="1">
        <f t="array" aca="1" ref="AH5" ca="1">SUMPRODUCT(SUMIF(caps_data!$B:$B,TRIM(MID(SUBSTITUTE($C5,", ",REPT(" ",100)),(ROW(INDIRECT("1:50"))-1)*100+1,100)),caps_data!AG:AG))</f>
        <v>0.24253002053769299</v>
      </c>
      <c r="AI5" cm="1">
        <f t="array" aca="1" ref="AI5" ca="1">SUMPRODUCT(SUMIF(caps_data!$B:$B,TRIM(MID(SUBSTITUTE($C5,", ",REPT(" ",100)),(ROW(INDIRECT("1:50"))-1)*100+1,100)),caps_data!AH:AH))</f>
        <v>0.23673320957000143</v>
      </c>
    </row>
    <row r="6" spans="1:40" x14ac:dyDescent="0.25">
      <c r="A6" s="7" t="s">
        <v>179</v>
      </c>
      <c r="B6" s="7" t="s">
        <v>172</v>
      </c>
      <c r="C6" s="7" t="s">
        <v>173</v>
      </c>
      <c r="D6" cm="1">
        <f t="array" aca="1" ref="D6" ca="1">SUMPRODUCT(SUMIF(caps_data!$B:$B,TRIM(MID(SUBSTITUTE($C6,", ",REPT(" ",100)),(ROW(INDIRECT("1:50"))-1)*100+1,100)),caps_data!C:C))</f>
        <v>0</v>
      </c>
      <c r="E6" cm="1">
        <f t="array" aca="1" ref="E6" ca="1">SUMPRODUCT(SUMIF(caps_data!$B:$B,TRIM(MID(SUBSTITUTE($C6,", ",REPT(" ",100)),(ROW(INDIRECT("1:50"))-1)*100+1,100)),caps_data!D:D))</f>
        <v>0</v>
      </c>
      <c r="F6" cm="1">
        <f t="array" aca="1" ref="F6" ca="1">SUMPRODUCT(SUMIF(caps_data!$B:$B,TRIM(MID(SUBSTITUTE($C6,", ",REPT(" ",100)),(ROW(INDIRECT("1:50"))-1)*100+1,100)),caps_data!E:E))</f>
        <v>0</v>
      </c>
      <c r="G6" cm="1">
        <f t="array" aca="1" ref="G6" ca="1">SUMPRODUCT(SUMIF(caps_data!$B:$B,TRIM(MID(SUBSTITUTE($C6,", ",REPT(" ",100)),(ROW(INDIRECT("1:50"))-1)*100+1,100)),caps_data!F:F))</f>
        <v>0</v>
      </c>
      <c r="H6" cm="1">
        <f t="array" aca="1" ref="H6" ca="1">SUMPRODUCT(SUMIF(caps_data!$B:$B,TRIM(MID(SUBSTITUTE($C6,", ",REPT(" ",100)),(ROW(INDIRECT("1:50"))-1)*100+1,100)),caps_data!G:G))</f>
        <v>0</v>
      </c>
      <c r="I6" cm="1">
        <f t="array" aca="1" ref="I6" ca="1">SUMPRODUCT(SUMIF(caps_data!$B:$B,TRIM(MID(SUBSTITUTE($C6,", ",REPT(" ",100)),(ROW(INDIRECT("1:50"))-1)*100+1,100)),caps_data!H:H))</f>
        <v>0</v>
      </c>
      <c r="J6" cm="1">
        <f t="array" aca="1" ref="J6" ca="1">SUMPRODUCT(SUMIF(caps_data!$B:$B,TRIM(MID(SUBSTITUTE($C6,", ",REPT(" ",100)),(ROW(INDIRECT("1:50"))-1)*100+1,100)),caps_data!I:I))</f>
        <v>0</v>
      </c>
      <c r="K6" cm="1">
        <f t="array" aca="1" ref="K6" ca="1">SUMPRODUCT(SUMIF(caps_data!$B:$B,TRIM(MID(SUBSTITUTE($C6,", ",REPT(" ",100)),(ROW(INDIRECT("1:50"))-1)*100+1,100)),caps_data!J:J))</f>
        <v>0</v>
      </c>
      <c r="L6" cm="1">
        <f t="array" aca="1" ref="L6" ca="1">SUMPRODUCT(SUMIF(caps_data!$B:$B,TRIM(MID(SUBSTITUTE($C6,", ",REPT(" ",100)),(ROW(INDIRECT("1:50"))-1)*100+1,100)),caps_data!K:K))</f>
        <v>0</v>
      </c>
      <c r="M6" cm="1">
        <f t="array" aca="1" ref="M6" ca="1">SUMPRODUCT(SUMIF(caps_data!$B:$B,TRIM(MID(SUBSTITUTE($C6,", ",REPT(" ",100)),(ROW(INDIRECT("1:50"))-1)*100+1,100)),caps_data!L:L))</f>
        <v>0</v>
      </c>
      <c r="N6" cm="1">
        <f t="array" aca="1" ref="N6" ca="1">SUMPRODUCT(SUMIF(caps_data!$B:$B,TRIM(MID(SUBSTITUTE($C6,", ",REPT(" ",100)),(ROW(INDIRECT("1:50"))-1)*100+1,100)),caps_data!M:M))</f>
        <v>0</v>
      </c>
      <c r="O6" cm="1">
        <f t="array" aca="1" ref="O6" ca="1">SUMPRODUCT(SUMIF(caps_data!$B:$B,TRIM(MID(SUBSTITUTE($C6,", ",REPT(" ",100)),(ROW(INDIRECT("1:50"))-1)*100+1,100)),caps_data!N:N))</f>
        <v>0</v>
      </c>
      <c r="P6" cm="1">
        <f t="array" aca="1" ref="P6" ca="1">SUMPRODUCT(SUMIF(caps_data!$B:$B,TRIM(MID(SUBSTITUTE($C6,", ",REPT(" ",100)),(ROW(INDIRECT("1:50"))-1)*100+1,100)),caps_data!O:O))</f>
        <v>0</v>
      </c>
      <c r="Q6" cm="1">
        <f t="array" aca="1" ref="Q6" ca="1">SUMPRODUCT(SUMIF(caps_data!$B:$B,TRIM(MID(SUBSTITUTE($C6,", ",REPT(" ",100)),(ROW(INDIRECT("1:50"))-1)*100+1,100)),caps_data!P:P))</f>
        <v>0</v>
      </c>
      <c r="R6" cm="1">
        <f t="array" aca="1" ref="R6" ca="1">SUMPRODUCT(SUMIF(caps_data!$B:$B,TRIM(MID(SUBSTITUTE($C6,", ",REPT(" ",100)),(ROW(INDIRECT("1:50"))-1)*100+1,100)),caps_data!Q:Q))</f>
        <v>0</v>
      </c>
      <c r="S6" cm="1">
        <f t="array" aca="1" ref="S6" ca="1">SUMPRODUCT(SUMIF(caps_data!$B:$B,TRIM(MID(SUBSTITUTE($C6,", ",REPT(" ",100)),(ROW(INDIRECT("1:50"))-1)*100+1,100)),caps_data!R:R))</f>
        <v>0</v>
      </c>
      <c r="T6" cm="1">
        <f t="array" aca="1" ref="T6" ca="1">SUMPRODUCT(SUMIF(caps_data!$B:$B,TRIM(MID(SUBSTITUTE($C6,", ",REPT(" ",100)),(ROW(INDIRECT("1:50"))-1)*100+1,100)),caps_data!S:S))</f>
        <v>0</v>
      </c>
      <c r="U6" cm="1">
        <f t="array" aca="1" ref="U6" ca="1">SUMPRODUCT(SUMIF(caps_data!$B:$B,TRIM(MID(SUBSTITUTE($C6,", ",REPT(" ",100)),(ROW(INDIRECT("1:50"))-1)*100+1,100)),caps_data!T:T))</f>
        <v>0</v>
      </c>
      <c r="V6" cm="1">
        <f t="array" aca="1" ref="V6" ca="1">SUMPRODUCT(SUMIF(caps_data!$B:$B,TRIM(MID(SUBSTITUTE($C6,", ",REPT(" ",100)),(ROW(INDIRECT("1:50"))-1)*100+1,100)),caps_data!U:U))</f>
        <v>0</v>
      </c>
      <c r="W6" cm="1">
        <f t="array" aca="1" ref="W6" ca="1">SUMPRODUCT(SUMIF(caps_data!$B:$B,TRIM(MID(SUBSTITUTE($C6,", ",REPT(" ",100)),(ROW(INDIRECT("1:50"))-1)*100+1,100)),caps_data!V:V))</f>
        <v>0</v>
      </c>
      <c r="X6" cm="1">
        <f t="array" aca="1" ref="X6" ca="1">SUMPRODUCT(SUMIF(caps_data!$B:$B,TRIM(MID(SUBSTITUTE($C6,", ",REPT(" ",100)),(ROW(INDIRECT("1:50"))-1)*100+1,100)),caps_data!W:W))</f>
        <v>0</v>
      </c>
      <c r="Y6" cm="1">
        <f t="array" aca="1" ref="Y6" ca="1">SUMPRODUCT(SUMIF(caps_data!$B:$B,TRIM(MID(SUBSTITUTE($C6,", ",REPT(" ",100)),(ROW(INDIRECT("1:50"))-1)*100+1,100)),caps_data!X:X))</f>
        <v>0</v>
      </c>
      <c r="Z6" cm="1">
        <f t="array" aca="1" ref="Z6" ca="1">SUMPRODUCT(SUMIF(caps_data!$B:$B,TRIM(MID(SUBSTITUTE($C6,", ",REPT(" ",100)),(ROW(INDIRECT("1:50"))-1)*100+1,100)),caps_data!Y:Y))</f>
        <v>0</v>
      </c>
      <c r="AA6" cm="1">
        <f t="array" aca="1" ref="AA6" ca="1">SUMPRODUCT(SUMIF(caps_data!$B:$B,TRIM(MID(SUBSTITUTE($C6,", ",REPT(" ",100)),(ROW(INDIRECT("1:50"))-1)*100+1,100)),caps_data!Z:Z))</f>
        <v>0</v>
      </c>
      <c r="AB6" cm="1">
        <f t="array" aca="1" ref="AB6" ca="1">SUMPRODUCT(SUMIF(caps_data!$B:$B,TRIM(MID(SUBSTITUTE($C6,", ",REPT(" ",100)),(ROW(INDIRECT("1:50"))-1)*100+1,100)),caps_data!AA:AA))</f>
        <v>0</v>
      </c>
      <c r="AC6" cm="1">
        <f t="array" aca="1" ref="AC6" ca="1">SUMPRODUCT(SUMIF(caps_data!$B:$B,TRIM(MID(SUBSTITUTE($C6,", ",REPT(" ",100)),(ROW(INDIRECT("1:50"))-1)*100+1,100)),caps_data!AB:AB))</f>
        <v>0</v>
      </c>
      <c r="AD6" cm="1">
        <f t="array" aca="1" ref="AD6" ca="1">SUMPRODUCT(SUMIF(caps_data!$B:$B,TRIM(MID(SUBSTITUTE($C6,", ",REPT(" ",100)),(ROW(INDIRECT("1:50"))-1)*100+1,100)),caps_data!AC:AC))</f>
        <v>0</v>
      </c>
      <c r="AE6" cm="1">
        <f t="array" aca="1" ref="AE6" ca="1">SUMPRODUCT(SUMIF(caps_data!$B:$B,TRIM(MID(SUBSTITUTE($C6,", ",REPT(" ",100)),(ROW(INDIRECT("1:50"))-1)*100+1,100)),caps_data!AD:AD))</f>
        <v>0</v>
      </c>
      <c r="AF6" cm="1">
        <f t="array" aca="1" ref="AF6" ca="1">SUMPRODUCT(SUMIF(caps_data!$B:$B,TRIM(MID(SUBSTITUTE($C6,", ",REPT(" ",100)),(ROW(INDIRECT("1:50"))-1)*100+1,100)),caps_data!AE:AE))</f>
        <v>0</v>
      </c>
      <c r="AG6" cm="1">
        <f t="array" aca="1" ref="AG6" ca="1">SUMPRODUCT(SUMIF(caps_data!$B:$B,TRIM(MID(SUBSTITUTE($C6,", ",REPT(" ",100)),(ROW(INDIRECT("1:50"))-1)*100+1,100)),caps_data!AF:AF))</f>
        <v>0</v>
      </c>
      <c r="AH6" cm="1">
        <f t="array" aca="1" ref="AH6" ca="1">SUMPRODUCT(SUMIF(caps_data!$B:$B,TRIM(MID(SUBSTITUTE($C6,", ",REPT(" ",100)),(ROW(INDIRECT("1:50"))-1)*100+1,100)),caps_data!AG:AG))</f>
        <v>0</v>
      </c>
      <c r="AI6" cm="1">
        <f t="array" aca="1" ref="AI6" ca="1">SUMPRODUCT(SUMIF(caps_data!$B:$B,TRIM(MID(SUBSTITUTE($C6,", ",REPT(" ",100)),(ROW(INDIRECT("1:50"))-1)*100+1,100)),caps_data!AH:AH))</f>
        <v>0</v>
      </c>
    </row>
    <row r="7" spans="1:40" x14ac:dyDescent="0.25">
      <c r="A7" s="7" t="s">
        <v>180</v>
      </c>
      <c r="B7" s="7" t="s">
        <v>171</v>
      </c>
      <c r="C7" s="17" t="s">
        <v>182</v>
      </c>
      <c r="D7" cm="1">
        <f t="array" aca="1" ref="D7" ca="1">SUMPRODUCT(SUMIF(caps_data!$B:$B,TRIM(MID(SUBSTITUTE($C7,", ",REPT(" ",100)),(ROW(INDIRECT("1:50"))-1)*100+1,100)),caps_data!C:C))</f>
        <v>6.1992245020532222</v>
      </c>
      <c r="E7" cm="1">
        <f t="array" aca="1" ref="E7" ca="1">SUMPRODUCT(SUMIF(caps_data!$B:$B,TRIM(MID(SUBSTITUTE($C7,", ",REPT(" ",100)),(ROW(INDIRECT("1:50"))-1)*100+1,100)),caps_data!D:D))</f>
        <v>52.486207295833736</v>
      </c>
      <c r="F7" cm="1">
        <f t="array" aca="1" ref="F7" ca="1">SUMPRODUCT(SUMIF(caps_data!$B:$B,TRIM(MID(SUBSTITUTE($C7,", ",REPT(" ",100)),(ROW(INDIRECT("1:50"))-1)*100+1,100)),caps_data!E:E))</f>
        <v>48.139252575999855</v>
      </c>
      <c r="G7" cm="1">
        <f t="array" aca="1" ref="G7" ca="1">SUMPRODUCT(SUMIF(caps_data!$B:$B,TRIM(MID(SUBSTITUTE($C7,", ",REPT(" ",100)),(ROW(INDIRECT("1:50"))-1)*100+1,100)),caps_data!F:F))</f>
        <v>48.176539084588171</v>
      </c>
      <c r="H7" cm="1">
        <f t="array" aca="1" ref="H7" ca="1">SUMPRODUCT(SUMIF(caps_data!$B:$B,TRIM(MID(SUBSTITUTE($C7,", ",REPT(" ",100)),(ROW(INDIRECT("1:50"))-1)*100+1,100)),caps_data!G:G))</f>
        <v>47.254031061643474</v>
      </c>
      <c r="I7" cm="1">
        <f t="array" aca="1" ref="I7" ca="1">SUMPRODUCT(SUMIF(caps_data!$B:$B,TRIM(MID(SUBSTITUTE($C7,", ",REPT(" ",100)),(ROW(INDIRECT("1:50"))-1)*100+1,100)),caps_data!H:H))</f>
        <v>36.341222060544069</v>
      </c>
      <c r="J7" cm="1">
        <f t="array" aca="1" ref="J7" ca="1">SUMPRODUCT(SUMIF(caps_data!$B:$B,TRIM(MID(SUBSTITUTE($C7,", ",REPT(" ",100)),(ROW(INDIRECT("1:50"))-1)*100+1,100)),caps_data!I:I))</f>
        <v>34.001223396749722</v>
      </c>
      <c r="K7" cm="1">
        <f t="array" aca="1" ref="K7" ca="1">SUMPRODUCT(SUMIF(caps_data!$B:$B,TRIM(MID(SUBSTITUTE($C7,", ",REPT(" ",100)),(ROW(INDIRECT("1:50"))-1)*100+1,100)),caps_data!J:J))</f>
        <v>19.832350036052215</v>
      </c>
      <c r="L7" cm="1">
        <f t="array" aca="1" ref="L7" ca="1">SUMPRODUCT(SUMIF(caps_data!$B:$B,TRIM(MID(SUBSTITUTE($C7,", ",REPT(" ",100)),(ROW(INDIRECT("1:50"))-1)*100+1,100)),caps_data!K:K))</f>
        <v>0.58261382233976577</v>
      </c>
      <c r="M7" cm="1">
        <f t="array" aca="1" ref="M7" ca="1">SUMPRODUCT(SUMIF(caps_data!$B:$B,TRIM(MID(SUBSTITUTE($C7,", ",REPT(" ",100)),(ROW(INDIRECT("1:50"))-1)*100+1,100)),caps_data!L:L))</f>
        <v>0.62415261350705342</v>
      </c>
      <c r="N7" cm="1">
        <f t="array" aca="1" ref="N7" ca="1">SUMPRODUCT(SUMIF(caps_data!$B:$B,TRIM(MID(SUBSTITUTE($C7,", ",REPT(" ",100)),(ROW(INDIRECT("1:50"))-1)*100+1,100)),caps_data!M:M))</f>
        <v>0.63315861270565099</v>
      </c>
      <c r="O7" cm="1">
        <f t="array" aca="1" ref="O7" ca="1">SUMPRODUCT(SUMIF(caps_data!$B:$B,TRIM(MID(SUBSTITUTE($C7,", ",REPT(" ",100)),(ROW(INDIRECT("1:50"))-1)*100+1,100)),caps_data!N:N))</f>
        <v>0.63217534356507876</v>
      </c>
      <c r="P7" cm="1">
        <f t="array" aca="1" ref="P7" ca="1">SUMPRODUCT(SUMIF(caps_data!$B:$B,TRIM(MID(SUBSTITUTE($C7,", ",REPT(" ",100)),(ROW(INDIRECT("1:50"))-1)*100+1,100)),caps_data!O:O))</f>
        <v>0.46476519170158559</v>
      </c>
      <c r="Q7" cm="1">
        <f t="array" aca="1" ref="Q7" ca="1">SUMPRODUCT(SUMIF(caps_data!$B:$B,TRIM(MID(SUBSTITUTE($C7,", ",REPT(" ",100)),(ROW(INDIRECT("1:50"))-1)*100+1,100)),caps_data!P:P))</f>
        <v>4.7339116770476313</v>
      </c>
      <c r="R7" cm="1">
        <f t="array" aca="1" ref="R7" ca="1">SUMPRODUCT(SUMIF(caps_data!$B:$B,TRIM(MID(SUBSTITUTE($C7,", ",REPT(" ",100)),(ROW(INDIRECT("1:50"))-1)*100+1,100)),caps_data!Q:Q))</f>
        <v>4.4787925911548054</v>
      </c>
      <c r="S7" cm="1">
        <f t="array" aca="1" ref="S7" ca="1">SUMPRODUCT(SUMIF(caps_data!$B:$B,TRIM(MID(SUBSTITUTE($C7,", ",REPT(" ",100)),(ROW(INDIRECT("1:50"))-1)*100+1,100)),caps_data!R:R))</f>
        <v>0.54255292628316576</v>
      </c>
      <c r="T7" cm="1">
        <f t="array" aca="1" ref="T7" ca="1">SUMPRODUCT(SUMIF(caps_data!$B:$B,TRIM(MID(SUBSTITUTE($C7,", ",REPT(" ",100)),(ROW(INDIRECT("1:50"))-1)*100+1,100)),caps_data!S:S))</f>
        <v>0.51895152462753369</v>
      </c>
      <c r="U7" cm="1">
        <f t="array" aca="1" ref="U7" ca="1">SUMPRODUCT(SUMIF(caps_data!$B:$B,TRIM(MID(SUBSTITUTE($C7,", ",REPT(" ",100)),(ROW(INDIRECT("1:50"))-1)*100+1,100)),caps_data!T:T))</f>
        <v>10.607764901314365</v>
      </c>
      <c r="V7" cm="1">
        <f t="array" aca="1" ref="V7" ca="1">SUMPRODUCT(SUMIF(caps_data!$B:$B,TRIM(MID(SUBSTITUTE($C7,", ",REPT(" ",100)),(ROW(INDIRECT("1:50"))-1)*100+1,100)),caps_data!U:U))</f>
        <v>10.684082448510717</v>
      </c>
      <c r="W7" cm="1">
        <f t="array" aca="1" ref="W7" ca="1">SUMPRODUCT(SUMIF(caps_data!$B:$B,TRIM(MID(SUBSTITUTE($C7,", ",REPT(" ",100)),(ROW(INDIRECT("1:50"))-1)*100+1,100)),caps_data!V:V))</f>
        <v>11.399739886893032</v>
      </c>
      <c r="X7" cm="1">
        <f t="array" aca="1" ref="X7" ca="1">SUMPRODUCT(SUMIF(caps_data!$B:$B,TRIM(MID(SUBSTITUTE($C7,", ",REPT(" ",100)),(ROW(INDIRECT("1:50"))-1)*100+1,100)),caps_data!W:W))</f>
        <v>12.110285847437895</v>
      </c>
      <c r="Y7" cm="1">
        <f t="array" aca="1" ref="Y7" ca="1">SUMPRODUCT(SUMIF(caps_data!$B:$B,TRIM(MID(SUBSTITUTE($C7,", ",REPT(" ",100)),(ROW(INDIRECT("1:50"))-1)*100+1,100)),caps_data!X:X))</f>
        <v>59.873935220796213</v>
      </c>
      <c r="Z7" cm="1">
        <f t="array" aca="1" ref="Z7" ca="1">SUMPRODUCT(SUMIF(caps_data!$B:$B,TRIM(MID(SUBSTITUTE($C7,", ",REPT(" ",100)),(ROW(INDIRECT("1:50"))-1)*100+1,100)),caps_data!Y:Y))</f>
        <v>47.45538608557677</v>
      </c>
      <c r="AA7" cm="1">
        <f t="array" aca="1" ref="AA7" ca="1">SUMPRODUCT(SUMIF(caps_data!$B:$B,TRIM(MID(SUBSTITUTE($C7,", ",REPT(" ",100)),(ROW(INDIRECT("1:50"))-1)*100+1,100)),caps_data!Z:Z))</f>
        <v>47.492670285387476</v>
      </c>
      <c r="AB7" cm="1">
        <f t="array" aca="1" ref="AB7" ca="1">SUMPRODUCT(SUMIF(caps_data!$B:$B,TRIM(MID(SUBSTITUTE($C7,", ",REPT(" ",100)),(ROW(INDIRECT("1:50"))-1)*100+1,100)),caps_data!AA:AA))</f>
        <v>46.830456717507921</v>
      </c>
      <c r="AC7" cm="1">
        <f t="array" aca="1" ref="AC7" ca="1">SUMPRODUCT(SUMIF(caps_data!$B:$B,TRIM(MID(SUBSTITUTE($C7,", ",REPT(" ",100)),(ROW(INDIRECT("1:50"))-1)*100+1,100)),caps_data!AB:AB))</f>
        <v>35.901575389164407</v>
      </c>
      <c r="AD7" cm="1">
        <f t="array" aca="1" ref="AD7" ca="1">SUMPRODUCT(SUMIF(caps_data!$B:$B,TRIM(MID(SUBSTITUTE($C7,", ",REPT(" ",100)),(ROW(INDIRECT("1:50"))-1)*100+1,100)),caps_data!AC:AC))</f>
        <v>33.544660014970368</v>
      </c>
      <c r="AE7" cm="1">
        <f t="array" aca="1" ref="AE7" ca="1">SUMPRODUCT(SUMIF(caps_data!$B:$B,TRIM(MID(SUBSTITUTE($C7,", ",REPT(" ",100)),(ROW(INDIRECT("1:50"))-1)*100+1,100)),caps_data!AD:AD))</f>
        <v>19.367588868308498</v>
      </c>
      <c r="AF7" cm="1">
        <f t="array" aca="1" ref="AF7" ca="1">SUMPRODUCT(SUMIF(caps_data!$B:$B,TRIM(MID(SUBSTITUTE($C7,", ",REPT(" ",100)),(ROW(INDIRECT("1:50"))-1)*100+1,100)),caps_data!AE:AE))</f>
        <v>2.2877872170714868</v>
      </c>
      <c r="AG7" cm="1">
        <f t="array" aca="1" ref="AG7" ca="1">SUMPRODUCT(SUMIF(caps_data!$B:$B,TRIM(MID(SUBSTITUTE($C7,", ",REPT(" ",100)),(ROW(INDIRECT("1:50"))-1)*100+1,100)),caps_data!AF:AF))</f>
        <v>0.92469243365947229</v>
      </c>
      <c r="AH7" cm="1">
        <f t="array" aca="1" ref="AH7" ca="1">SUMPRODUCT(SUMIF(caps_data!$B:$B,TRIM(MID(SUBSTITUTE($C7,", ",REPT(" ",100)),(ROW(INDIRECT("1:50"))-1)*100+1,100)),caps_data!AG:AG))</f>
        <v>3.1937179787145529</v>
      </c>
      <c r="AI7" cm="1">
        <f t="array" aca="1" ref="AI7" ca="1">SUMPRODUCT(SUMIF(caps_data!$B:$B,TRIM(MID(SUBSTITUTE($C7,", ",REPT(" ",100)),(ROW(INDIRECT("1:50"))-1)*100+1,100)),caps_data!AH:AH))</f>
        <v>0.95594928565225012</v>
      </c>
    </row>
    <row r="8" spans="1:40" x14ac:dyDescent="0.25">
      <c r="A8" s="7" t="s">
        <v>181</v>
      </c>
      <c r="B8" s="7" t="s">
        <v>174</v>
      </c>
      <c r="C8" s="7" t="s">
        <v>175</v>
      </c>
      <c r="D8" cm="1">
        <f t="array" aca="1" ref="D8" ca="1">SUMPRODUCT(SUMIF(caps_data!$B:$B,TRIM(MID(SUBSTITUTE($C8,", ",REPT(" ",100)),(ROW(INDIRECT("1:50"))-1)*100+1,100)),caps_data!C:C))</f>
        <v>0</v>
      </c>
      <c r="E8" cm="1">
        <f t="array" aca="1" ref="E8" ca="1">SUMPRODUCT(SUMIF(caps_data!$B:$B,TRIM(MID(SUBSTITUTE($C8,", ",REPT(" ",100)),(ROW(INDIRECT("1:50"))-1)*100+1,100)),caps_data!D:D))</f>
        <v>0</v>
      </c>
      <c r="H8" cm="1">
        <f t="array" aca="1" ref="H8" ca="1">SUMPRODUCT(SUMIF(caps_data!$B:$B,TRIM(MID(SUBSTITUTE($C8,", ",REPT(" ",100)),(ROW(INDIRECT("1:50"))-1)*100+1,100)),caps_data!G:G))</f>
        <v>0.30981051123868997</v>
      </c>
      <c r="I8" cm="1">
        <f t="array" aca="1" ref="I8" ca="1">SUMPRODUCT(SUMIF(caps_data!$B:$B,TRIM(MID(SUBSTITUTE($C8,", ",REPT(" ",100)),(ROW(INDIRECT("1:50"))-1)*100+1,100)),caps_data!H:H))</f>
        <v>3.5732957087922799</v>
      </c>
      <c r="J8" cm="1">
        <f t="array" aca="1" ref="J8" ca="1">SUMPRODUCT(SUMIF(caps_data!$B:$B,TRIM(MID(SUBSTITUTE($C8,", ",REPT(" ",100)),(ROW(INDIRECT("1:50"))-1)*100+1,100)),caps_data!I:I))</f>
        <v>1.435171964996264</v>
      </c>
      <c r="L8" cm="1">
        <f t="array" aca="1" ref="L8" ca="1">SUMPRODUCT(SUMIF(caps_data!$B:$B,TRIM(MID(SUBSTITUTE($C8,", ",REPT(" ",100)),(ROW(INDIRECT("1:50"))-1)*100+1,100)),caps_data!K:K))</f>
        <v>0.89317594739064299</v>
      </c>
      <c r="M8" cm="1">
        <f t="array" aca="1" ref="M8" ca="1">SUMPRODUCT(SUMIF(caps_data!$B:$B,TRIM(MID(SUBSTITUTE($C8,", ",REPT(" ",100)),(ROW(INDIRECT("1:50"))-1)*100+1,100)),caps_data!L:L))</f>
        <v>0.7222118041341421</v>
      </c>
      <c r="N8" cm="1">
        <f t="array" aca="1" ref="N8" ca="1">SUMPRODUCT(SUMIF(caps_data!$B:$B,TRIM(MID(SUBSTITUTE($C8,", ",REPT(" ",100)),(ROW(INDIRECT("1:50"))-1)*100+1,100)),caps_data!M:M))</f>
        <v>4.9216740506540502</v>
      </c>
      <c r="O8" cm="1">
        <f t="array" aca="1" ref="O8" ca="1">SUMPRODUCT(SUMIF(caps_data!$B:$B,TRIM(MID(SUBSTITUTE($C8,", ",REPT(" ",100)),(ROW(INDIRECT("1:50"))-1)*100+1,100)),caps_data!N:N))</f>
        <v>1.2658375566048812</v>
      </c>
      <c r="Q8" cm="1">
        <f t="array" aca="1" ref="Q8" ca="1">SUMPRODUCT(SUMIF(caps_data!$B:$B,TRIM(MID(SUBSTITUTE($C8,", ",REPT(" ",100)),(ROW(INDIRECT("1:50"))-1)*100+1,100)),caps_data!P:P))</f>
        <v>2.6974966375748197</v>
      </c>
      <c r="R8" cm="1">
        <f t="array" aca="1" ref="R8" ca="1">SUMPRODUCT(SUMIF(caps_data!$B:$B,TRIM(MID(SUBSTITUTE($C8,", ",REPT(" ",100)),(ROW(INDIRECT("1:50"))-1)*100+1,100)),caps_data!Q:Q))</f>
        <v>3.5008444071753502</v>
      </c>
      <c r="S8" cm="1">
        <f t="array" aca="1" ref="S8" ca="1">SUMPRODUCT(SUMIF(caps_data!$B:$B,TRIM(MID(SUBSTITUTE($C8,", ",REPT(" ",100)),(ROW(INDIRECT("1:50"))-1)*100+1,100)),caps_data!R:R))</f>
        <v>3.6729574578571897</v>
      </c>
      <c r="T8" cm="1">
        <f t="array" aca="1" ref="T8" ca="1">SUMPRODUCT(SUMIF(caps_data!$B:$B,TRIM(MID(SUBSTITUTE($C8,", ",REPT(" ",100)),(ROW(INDIRECT("1:50"))-1)*100+1,100)),caps_data!S:S))</f>
        <v>3.6747754546337799</v>
      </c>
      <c r="U8" cm="1">
        <f t="array" aca="1" ref="U8" ca="1">SUMPRODUCT(SUMIF(caps_data!$B:$B,TRIM(MID(SUBSTITUTE($C8,", ",REPT(" ",100)),(ROW(INDIRECT("1:50"))-1)*100+1,100)),caps_data!T:T))</f>
        <v>3.6812978416712498</v>
      </c>
      <c r="V8" cm="1">
        <f t="array" aca="1" ref="V8" ca="1">SUMPRODUCT(SUMIF(caps_data!$B:$B,TRIM(MID(SUBSTITUTE($C8,", ",REPT(" ",100)),(ROW(INDIRECT("1:50"))-1)*100+1,100)),caps_data!U:U))</f>
        <v>3.69741195771975</v>
      </c>
      <c r="W8" cm="1">
        <f t="array" aca="1" ref="W8" ca="1">SUMPRODUCT(SUMIF(caps_data!$B:$B,TRIM(MID(SUBSTITUTE($C8,", ",REPT(" ",100)),(ROW(INDIRECT("1:50"))-1)*100+1,100)),caps_data!V:V))</f>
        <v>3.7074573520362799</v>
      </c>
      <c r="X8" cm="1">
        <f t="array" aca="1" ref="X8" ca="1">SUMPRODUCT(SUMIF(caps_data!$B:$B,TRIM(MID(SUBSTITUTE($C8,", ",REPT(" ",100)),(ROW(INDIRECT("1:50"))-1)*100+1,100)),caps_data!W:W))</f>
        <v>0.6289541007244579</v>
      </c>
      <c r="Y8" cm="1">
        <f t="array" aca="1" ref="Y8" ca="1">SUMPRODUCT(SUMIF(caps_data!$B:$B,TRIM(MID(SUBSTITUTE($C8,", ",REPT(" ",100)),(ROW(INDIRECT("1:50"))-1)*100+1,100)),caps_data!X:X))</f>
        <v>0.50563414364917003</v>
      </c>
      <c r="Z8" cm="1">
        <f t="array" aca="1" ref="Z8" ca="1">SUMPRODUCT(SUMIF(caps_data!$B:$B,TRIM(MID(SUBSTITUTE($C8,", ",REPT(" ",100)),(ROW(INDIRECT("1:50"))-1)*100+1,100)),caps_data!Y:Y))</f>
        <v>0.1456591625271445</v>
      </c>
      <c r="AD8" cm="1">
        <f t="array" aca="1" ref="AD8" ca="1">SUMPRODUCT(SUMIF(caps_data!$B:$B,TRIM(MID(SUBSTITUTE($C8,", ",REPT(" ",100)),(ROW(INDIRECT("1:50"))-1)*100+1,100)),caps_data!AC:AC))</f>
        <v>1.3464678774611289</v>
      </c>
      <c r="AE8" cm="1">
        <f t="array" aca="1" ref="AE8" ca="1">SUMPRODUCT(SUMIF(caps_data!$B:$B,TRIM(MID(SUBSTITUTE($C8,", ",REPT(" ",100)),(ROW(INDIRECT("1:50"))-1)*100+1,100)),caps_data!AD:AD))</f>
        <v>0.72456075010836396</v>
      </c>
      <c r="AF8" cm="1">
        <f t="array" aca="1" ref="AF8" ca="1">SUMPRODUCT(SUMIF(caps_data!$B:$B,TRIM(MID(SUBSTITUTE($C8,", ",REPT(" ",100)),(ROW(INDIRECT("1:50"))-1)*100+1,100)),caps_data!AE:AE))</f>
        <v>1.6585341205040181</v>
      </c>
      <c r="AG8" cm="1">
        <f t="array" aca="1" ref="AG8" ca="1">SUMPRODUCT(SUMIF(caps_data!$B:$B,TRIM(MID(SUBSTITUTE($C8,", ",REPT(" ",100)),(ROW(INDIRECT("1:50"))-1)*100+1,100)),caps_data!AF:AF))</f>
        <v>1.4650856811858359</v>
      </c>
      <c r="AH8" cm="1">
        <f t="array" aca="1" ref="AH8" ca="1">SUMPRODUCT(SUMIF(caps_data!$B:$B,TRIM(MID(SUBSTITUTE($C8,", ",REPT(" ",100)),(ROW(INDIRECT("1:50"))-1)*100+1,100)),caps_data!AG:AG))</f>
        <v>5.6562457469554204</v>
      </c>
      <c r="AI8" cm="1">
        <f t="array" aca="1" ref="AI8" ca="1">SUMPRODUCT(SUMIF(caps_data!$B:$B,TRIM(MID(SUBSTITUTE($C8,", ",REPT(" ",100)),(ROW(INDIRECT("1:50"))-1)*100+1,100)),caps_data!AH:AH))</f>
        <v>1.9897581518347631</v>
      </c>
    </row>
    <row r="9" spans="1:40" x14ac:dyDescent="0.25">
      <c r="A9" s="3" t="s">
        <v>110</v>
      </c>
      <c r="B9" s="7" t="s">
        <v>171</v>
      </c>
      <c r="C9" t="s">
        <v>185</v>
      </c>
      <c r="D9" cm="1">
        <f t="array" aca="1" ref="D9" ca="1">SUMPRODUCT(SUMIF(caps_data!$B:$B,TRIM(MID(SUBSTITUTE($C9,", ",REPT(" ",100)),(ROW(INDIRECT("1:50"))-1)*100+1,100)),caps_data!C:C))</f>
        <v>32.079368014915858</v>
      </c>
      <c r="E9" cm="1">
        <f t="array" aca="1" ref="E9" ca="1">SUMPRODUCT(SUMIF(caps_data!$B:$B,TRIM(MID(SUBSTITUTE($C9,", ",REPT(" ",100)),(ROW(INDIRECT("1:50"))-1)*100+1,100)),caps_data!D:D))</f>
        <v>42.424051795715833</v>
      </c>
      <c r="F9" cm="1">
        <f t="array" aca="1" ref="F9" ca="1">SUMPRODUCT(SUMIF(caps_data!$B:$B,TRIM(MID(SUBSTITUTE($C9,", ",REPT(" ",100)),(ROW(INDIRECT("1:50"))-1)*100+1,100)),caps_data!E:E))</f>
        <v>41.337958340458592</v>
      </c>
      <c r="G9" cm="1">
        <f t="array" aca="1" ref="G9" ca="1">SUMPRODUCT(SUMIF(caps_data!$B:$B,TRIM(MID(SUBSTITUTE($C9,", ",REPT(" ",100)),(ROW(INDIRECT("1:50"))-1)*100+1,100)),caps_data!F:F))</f>
        <v>41.860192869653623</v>
      </c>
      <c r="H9" cm="1">
        <f t="array" aca="1" ref="H9" ca="1">SUMPRODUCT(SUMIF(caps_data!$B:$B,TRIM(MID(SUBSTITUTE($C9,", ",REPT(" ",100)),(ROW(INDIRECT("1:50"))-1)*100+1,100)),caps_data!G:G))</f>
        <v>42.491091411943891</v>
      </c>
      <c r="I9" cm="1">
        <f t="array" aca="1" ref="I9" ca="1">SUMPRODUCT(SUMIF(caps_data!$B:$B,TRIM(MID(SUBSTITUTE($C9,", ",REPT(" ",100)),(ROW(INDIRECT("1:50"))-1)*100+1,100)),caps_data!H:H))</f>
        <v>42.856940327743928</v>
      </c>
      <c r="J9" cm="1">
        <f t="array" aca="1" ref="J9" ca="1">SUMPRODUCT(SUMIF(caps_data!$B:$B,TRIM(MID(SUBSTITUTE($C9,", ",REPT(" ",100)),(ROW(INDIRECT("1:50"))-1)*100+1,100)),caps_data!I:I))</f>
        <v>42.836404449860076</v>
      </c>
      <c r="K9" cm="1">
        <f t="array" aca="1" ref="K9" ca="1">SUMPRODUCT(SUMIF(caps_data!$B:$B,TRIM(MID(SUBSTITUTE($C9,", ",REPT(" ",100)),(ROW(INDIRECT("1:50"))-1)*100+1,100)),caps_data!J:J))</f>
        <v>43.332715462560728</v>
      </c>
      <c r="L9" cm="1">
        <f t="array" aca="1" ref="L9" ca="1">SUMPRODUCT(SUMIF(caps_data!$B:$B,TRIM(MID(SUBSTITUTE($C9,", ",REPT(" ",100)),(ROW(INDIRECT("1:50"))-1)*100+1,100)),caps_data!K:K))</f>
        <v>43.604720306671609</v>
      </c>
      <c r="M9" cm="1">
        <f t="array" aca="1" ref="M9" ca="1">SUMPRODUCT(SUMIF(caps_data!$B:$B,TRIM(MID(SUBSTITUTE($C9,", ",REPT(" ",100)),(ROW(INDIRECT("1:50"))-1)*100+1,100)),caps_data!L:L))</f>
        <v>41.80329560651829</v>
      </c>
      <c r="N9" cm="1">
        <f t="array" aca="1" ref="N9" ca="1">SUMPRODUCT(SUMIF(caps_data!$B:$B,TRIM(MID(SUBSTITUTE($C9,", ",REPT(" ",100)),(ROW(INDIRECT("1:50"))-1)*100+1,100)),caps_data!M:M))</f>
        <v>36.774870879083451</v>
      </c>
      <c r="O9" cm="1">
        <f t="array" aca="1" ref="O9" ca="1">SUMPRODUCT(SUMIF(caps_data!$B:$B,TRIM(MID(SUBSTITUTE($C9,", ",REPT(" ",100)),(ROW(INDIRECT("1:50"))-1)*100+1,100)),caps_data!N:N))</f>
        <v>36.645657057615843</v>
      </c>
      <c r="P9" cm="1">
        <f t="array" aca="1" ref="P9" ca="1">SUMPRODUCT(SUMIF(caps_data!$B:$B,TRIM(MID(SUBSTITUTE($C9,", ",REPT(" ",100)),(ROW(INDIRECT("1:50"))-1)*100+1,100)),caps_data!O:O))</f>
        <v>30.802554884829213</v>
      </c>
      <c r="Q9" cm="1">
        <f t="array" aca="1" ref="Q9" ca="1">SUMPRODUCT(SUMIF(caps_data!$B:$B,TRIM(MID(SUBSTITUTE($C9,", ",REPT(" ",100)),(ROW(INDIRECT("1:50"))-1)*100+1,100)),caps_data!P:P))</f>
        <v>33.834226973164498</v>
      </c>
      <c r="R9" cm="1">
        <f t="array" aca="1" ref="R9" ca="1">SUMPRODUCT(SUMIF(caps_data!$B:$B,TRIM(MID(SUBSTITUTE($C9,", ",REPT(" ",100)),(ROW(INDIRECT("1:50"))-1)*100+1,100)),caps_data!Q:Q))</f>
        <v>34.060836113885657</v>
      </c>
      <c r="S9" cm="1">
        <f t="array" aca="1" ref="S9" ca="1">SUMPRODUCT(SUMIF(caps_data!$B:$B,TRIM(MID(SUBSTITUTE($C9,", ",REPT(" ",100)),(ROW(INDIRECT("1:50"))-1)*100+1,100)),caps_data!R:R))</f>
        <v>40.535006057331017</v>
      </c>
      <c r="T9" cm="1">
        <f t="array" aca="1" ref="T9" ca="1">SUMPRODUCT(SUMIF(caps_data!$B:$B,TRIM(MID(SUBSTITUTE($C9,", ",REPT(" ",100)),(ROW(INDIRECT("1:50"))-1)*100+1,100)),caps_data!S:S))</f>
        <v>13.811183056022397</v>
      </c>
      <c r="U9" cm="1">
        <f t="array" aca="1" ref="U9" ca="1">SUMPRODUCT(SUMIF(caps_data!$B:$B,TRIM(MID(SUBSTITUTE($C9,", ",REPT(" ",100)),(ROW(INDIRECT("1:50"))-1)*100+1,100)),caps_data!T:T))</f>
        <v>0.16414232588538388</v>
      </c>
      <c r="V9" cm="1">
        <f t="array" aca="1" ref="V9" ca="1">SUMPRODUCT(SUMIF(caps_data!$B:$B,TRIM(MID(SUBSTITUTE($C9,", ",REPT(" ",100)),(ROW(INDIRECT("1:50"))-1)*100+1,100)),caps_data!U:U))</f>
        <v>0.157447052848011</v>
      </c>
      <c r="W9" cm="1">
        <f t="array" aca="1" ref="W9" ca="1">SUMPRODUCT(SUMIF(caps_data!$B:$B,TRIM(MID(SUBSTITUTE($C9,", ",REPT(" ",100)),(ROW(INDIRECT("1:50"))-1)*100+1,100)),caps_data!V:V))</f>
        <v>0.14754486425261068</v>
      </c>
      <c r="X9" cm="1">
        <f t="array" aca="1" ref="X9" ca="1">SUMPRODUCT(SUMIF(caps_data!$B:$B,TRIM(MID(SUBSTITUTE($C9,", ",REPT(" ",100)),(ROW(INDIRECT("1:50"))-1)*100+1,100)),caps_data!W:W))</f>
        <v>30.002650253454799</v>
      </c>
      <c r="Y9" cm="1">
        <f t="array" aca="1" ref="Y9" ca="1">SUMPRODUCT(SUMIF(caps_data!$B:$B,TRIM(MID(SUBSTITUTE($C9,", ",REPT(" ",100)),(ROW(INDIRECT("1:50"))-1)*100+1,100)),caps_data!X:X))</f>
        <v>41.120151822793233</v>
      </c>
      <c r="Z9" cm="1">
        <f t="array" aca="1" ref="Z9" ca="1">SUMPRODUCT(SUMIF(caps_data!$B:$B,TRIM(MID(SUBSTITUTE($C9,", ",REPT(" ",100)),(ROW(INDIRECT("1:50"))-1)*100+1,100)),caps_data!Y:Y))</f>
        <v>39.63970730353067</v>
      </c>
      <c r="AA9" cm="1">
        <f t="array" aca="1" ref="AA9" ca="1">SUMPRODUCT(SUMIF(caps_data!$B:$B,TRIM(MID(SUBSTITUTE($C9,", ",REPT(" ",100)),(ROW(INDIRECT("1:50"))-1)*100+1,100)),caps_data!Z:Z))</f>
        <v>40.160519554830302</v>
      </c>
      <c r="AB9" cm="1">
        <f t="array" aca="1" ref="AB9" ca="1">SUMPRODUCT(SUMIF(caps_data!$B:$B,TRIM(MID(SUBSTITUTE($C9,", ",REPT(" ",100)),(ROW(INDIRECT("1:50"))-1)*100+1,100)),caps_data!AA:AA))</f>
        <v>40.839335054177624</v>
      </c>
      <c r="AC9" cm="1">
        <f t="array" aca="1" ref="AC9" ca="1">SUMPRODUCT(SUMIF(caps_data!$B:$B,TRIM(MID(SUBSTITUTE($C9,", ",REPT(" ",100)),(ROW(INDIRECT("1:50"))-1)*100+1,100)),caps_data!AB:AB))</f>
        <v>41.28381500167847</v>
      </c>
      <c r="AD9" cm="1">
        <f t="array" aca="1" ref="AD9" ca="1">SUMPRODUCT(SUMIF(caps_data!$B:$B,TRIM(MID(SUBSTITUTE($C9,", ",REPT(" ",100)),(ROW(INDIRECT("1:50"))-1)*100+1,100)),caps_data!AC:AC))</f>
        <v>41.247639059736834</v>
      </c>
      <c r="AE9" cm="1">
        <f t="array" aca="1" ref="AE9" ca="1">SUMPRODUCT(SUMIF(caps_data!$B:$B,TRIM(MID(SUBSTITUTE($C9,", ",REPT(" ",100)),(ROW(INDIRECT("1:50"))-1)*100+1,100)),caps_data!AD:AD))</f>
        <v>41.367348876835628</v>
      </c>
      <c r="AF9" cm="1">
        <f t="array" aca="1" ref="AF9" ca="1">SUMPRODUCT(SUMIF(caps_data!$B:$B,TRIM(MID(SUBSTITUTE($C9,", ",REPT(" ",100)),(ROW(INDIRECT("1:50"))-1)*100+1,100)),caps_data!AE:AE))</f>
        <v>41.6226923984349</v>
      </c>
      <c r="AG9" cm="1">
        <f t="array" aca="1" ref="AG9" ca="1">SUMPRODUCT(SUMIF(caps_data!$B:$B,TRIM(MID(SUBSTITUTE($C9,", ",REPT(" ",100)),(ROW(INDIRECT("1:50"))-1)*100+1,100)),caps_data!AF:AF))</f>
        <v>39.804132509174863</v>
      </c>
      <c r="AH9" cm="1">
        <f t="array" aca="1" ref="AH9" ca="1">SUMPRODUCT(SUMIF(caps_data!$B:$B,TRIM(MID(SUBSTITUTE($C9,", ",REPT(" ",100)),(ROW(INDIRECT("1:50"))-1)*100+1,100)),caps_data!AG:AG))</f>
        <v>34.526476206053822</v>
      </c>
      <c r="AI9" cm="1">
        <f t="array" aca="1" ref="AI9" ca="1">SUMPRODUCT(SUMIF(caps_data!$B:$B,TRIM(MID(SUBSTITUTE($C9,", ",REPT(" ",100)),(ROW(INDIRECT("1:50"))-1)*100+1,100)),caps_data!AH:AH))</f>
        <v>34.375212294342475</v>
      </c>
    </row>
    <row r="13" spans="1:40" x14ac:dyDescent="0.25">
      <c r="B13" s="8"/>
      <c r="C13" s="8"/>
      <c r="D13" s="8"/>
      <c r="E13" s="8"/>
      <c r="F13" s="8"/>
      <c r="G13" s="8"/>
      <c r="H13" s="8"/>
      <c r="I13" s="8"/>
      <c r="J13" s="8"/>
      <c r="K13" s="8"/>
      <c r="L13" s="8"/>
      <c r="M13" s="8"/>
      <c r="N13" s="8" t="s">
        <v>5</v>
      </c>
      <c r="O13" s="8">
        <v>0.98</v>
      </c>
      <c r="P13" s="8"/>
      <c r="Q13" s="8"/>
      <c r="R13" s="8"/>
      <c r="S13" s="8"/>
      <c r="T13" s="8"/>
      <c r="U13" s="8"/>
      <c r="V13" s="8"/>
      <c r="W13" s="8"/>
      <c r="X13" s="8"/>
      <c r="Y13" s="8"/>
      <c r="Z13" s="8"/>
      <c r="AA13" s="8"/>
      <c r="AB13" s="8"/>
      <c r="AC13" s="8"/>
      <c r="AD13" s="8"/>
      <c r="AE13" s="8"/>
      <c r="AF13" s="8"/>
      <c r="AG13" s="8"/>
      <c r="AH13" s="8"/>
      <c r="AI13" s="8"/>
      <c r="AJ13" s="8"/>
      <c r="AK13" s="8"/>
      <c r="AL13" s="8"/>
      <c r="AM13" s="8"/>
      <c r="AN13" s="8"/>
    </row>
    <row r="14" spans="1:40" x14ac:dyDescent="0.25">
      <c r="B14" s="9"/>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row>
    <row r="15" spans="1:40" x14ac:dyDescent="0.25">
      <c r="B15" s="9"/>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row>
    <row r="16" spans="1:40" x14ac:dyDescent="0.25">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row>
    <row r="17" spans="2:44" x14ac:dyDescent="0.25">
      <c r="B17" s="13" t="s">
        <v>9</v>
      </c>
      <c r="C17" s="10" t="s">
        <v>10</v>
      </c>
      <c r="D17" s="10" t="s">
        <v>11</v>
      </c>
      <c r="E17" s="10" t="s">
        <v>12</v>
      </c>
      <c r="F17" s="10" t="s">
        <v>13</v>
      </c>
      <c r="G17" s="12" t="s">
        <v>14</v>
      </c>
      <c r="H17" s="12" t="s">
        <v>15</v>
      </c>
      <c r="I17" s="12" t="s">
        <v>16</v>
      </c>
      <c r="J17" s="12" t="s">
        <v>17</v>
      </c>
      <c r="K17" s="11" t="s">
        <v>18</v>
      </c>
      <c r="L17" s="14" t="s">
        <v>19</v>
      </c>
      <c r="M17" s="15" t="s">
        <v>20</v>
      </c>
      <c r="N17" s="15" t="s">
        <v>21</v>
      </c>
      <c r="O17" s="13" t="s">
        <v>22</v>
      </c>
      <c r="P17" s="8">
        <v>2022</v>
      </c>
      <c r="Q17" s="8">
        <v>2023</v>
      </c>
      <c r="R17" s="8">
        <v>2024</v>
      </c>
      <c r="S17" s="8">
        <v>2025</v>
      </c>
      <c r="T17" s="8">
        <v>2026</v>
      </c>
      <c r="U17" s="8">
        <v>2027</v>
      </c>
      <c r="V17" s="8">
        <v>2028</v>
      </c>
      <c r="W17" s="8">
        <v>2029</v>
      </c>
      <c r="X17" s="8">
        <v>2030</v>
      </c>
      <c r="Y17" s="8">
        <v>2031</v>
      </c>
      <c r="Z17" s="8">
        <v>2032</v>
      </c>
      <c r="AA17" s="8">
        <v>2033</v>
      </c>
      <c r="AB17" s="8">
        <v>2034</v>
      </c>
      <c r="AC17" s="8">
        <v>2035</v>
      </c>
      <c r="AD17" s="8">
        <v>2036</v>
      </c>
      <c r="AE17" s="8">
        <v>2037</v>
      </c>
      <c r="AF17" s="8">
        <v>2038</v>
      </c>
      <c r="AG17" s="8">
        <v>2039</v>
      </c>
      <c r="AH17" s="8">
        <v>2040</v>
      </c>
      <c r="AI17" s="8">
        <v>2041</v>
      </c>
      <c r="AJ17" s="8">
        <v>2042</v>
      </c>
      <c r="AK17" s="8">
        <v>2043</v>
      </c>
      <c r="AL17" s="8">
        <v>2044</v>
      </c>
      <c r="AM17" s="8">
        <v>2045</v>
      </c>
      <c r="AN17" s="8">
        <v>2046</v>
      </c>
      <c r="AO17" s="8">
        <v>2047</v>
      </c>
      <c r="AP17" s="8">
        <v>2048</v>
      </c>
      <c r="AQ17" s="8">
        <v>2049</v>
      </c>
      <c r="AR17" s="8">
        <v>2050</v>
      </c>
    </row>
    <row r="18" spans="2:44" x14ac:dyDescent="0.25">
      <c r="B18" s="8" t="str">
        <f>+A3</f>
        <v>RSD-SHALLOW</v>
      </c>
      <c r="D18" t="str">
        <f>+C3</f>
        <v>R-RTFT-Apt_B3, R-RTFT-Apt_C, R-RTFT-Apt_D, R-RTFT-Att_B3, R-RTFT-Att_C, R-RTFT-Att_D, R-RTFT-Det_B3, R-RTFT-Det_C, R-RTFT-Det_D</v>
      </c>
      <c r="J18" s="8" t="s">
        <v>23</v>
      </c>
      <c r="K18" s="8">
        <v>1</v>
      </c>
      <c r="L18" s="8"/>
      <c r="M18" s="8"/>
      <c r="N18" s="8">
        <v>5</v>
      </c>
      <c r="P18" s="16" cm="1">
        <f t="array" aca="1" ref="P18" ca="1">+SUM(D3:G3*$O$13)</f>
        <v>13.669525477577253</v>
      </c>
      <c r="Q18" s="16">
        <f ca="1">+H3*$O$13</f>
        <v>0</v>
      </c>
      <c r="R18" s="16">
        <f t="shared" ref="R18:S19" ca="1" si="0">+I3*$O$13</f>
        <v>0</v>
      </c>
      <c r="S18" s="16">
        <f t="shared" ca="1" si="0"/>
        <v>0</v>
      </c>
      <c r="T18" s="16">
        <f ca="1">+K3*$O$13</f>
        <v>0</v>
      </c>
      <c r="U18" s="16">
        <f t="shared" ref="U18:AR23" ca="1" si="1">+L3*$O$13</f>
        <v>0</v>
      </c>
      <c r="V18" s="16">
        <f t="shared" ca="1" si="1"/>
        <v>0</v>
      </c>
      <c r="W18" s="16">
        <f t="shared" ca="1" si="1"/>
        <v>0</v>
      </c>
      <c r="X18" s="16">
        <f t="shared" ca="1" si="1"/>
        <v>0</v>
      </c>
      <c r="Y18" s="16">
        <f t="shared" ca="1" si="1"/>
        <v>0</v>
      </c>
      <c r="Z18" s="16">
        <f t="shared" ca="1" si="1"/>
        <v>0.43574332617179445</v>
      </c>
      <c r="AA18" s="16">
        <f t="shared" ca="1" si="1"/>
        <v>0.45125958973832125</v>
      </c>
      <c r="AB18" s="16">
        <f t="shared" ca="1" si="1"/>
        <v>0.45125962127154284</v>
      </c>
      <c r="AC18" s="16">
        <f t="shared" ca="1" si="1"/>
        <v>2.3721891393380576</v>
      </c>
      <c r="AD18" s="16">
        <f t="shared" ca="1" si="1"/>
        <v>2.3721890624076707</v>
      </c>
      <c r="AE18" s="16">
        <f t="shared" ca="1" si="1"/>
        <v>2.3877039535008957</v>
      </c>
      <c r="AF18" s="16">
        <f t="shared" ca="1" si="1"/>
        <v>2.3877053323342512</v>
      </c>
      <c r="AG18" s="16">
        <f t="shared" ca="1" si="1"/>
        <v>2.3877053450341155</v>
      </c>
      <c r="AH18" s="16">
        <f t="shared" ca="1" si="1"/>
        <v>2.387705330621253</v>
      </c>
      <c r="AI18" s="16">
        <f t="shared" ca="1" si="1"/>
        <v>2.3877053475813863</v>
      </c>
      <c r="AJ18" s="16">
        <f t="shared" ca="1" si="1"/>
        <v>2.3877053473266723</v>
      </c>
      <c r="AK18" s="16">
        <f t="shared" ca="1" si="1"/>
        <v>2.3877053438994138</v>
      </c>
      <c r="AL18" s="16">
        <f t="shared" ca="1" si="1"/>
        <v>2.3877053401224635</v>
      </c>
      <c r="AM18" s="16">
        <f t="shared" ca="1" si="1"/>
        <v>2.3877053379208393</v>
      </c>
      <c r="AN18" s="16">
        <f t="shared" ca="1" si="1"/>
        <v>2.3877053316611159</v>
      </c>
      <c r="AO18" s="16">
        <f t="shared" ca="1" si="1"/>
        <v>2.387705341224402</v>
      </c>
      <c r="AP18" s="16">
        <f t="shared" ca="1" si="1"/>
        <v>2.3877053559185013</v>
      </c>
      <c r="AQ18" s="16">
        <f t="shared" ca="1" si="1"/>
        <v>2.3877053537109076</v>
      </c>
      <c r="AR18" s="16">
        <f t="shared" ca="1" si="1"/>
        <v>2.3877053432826361</v>
      </c>
    </row>
    <row r="19" spans="2:44" x14ac:dyDescent="0.25">
      <c r="B19" s="8" t="str">
        <f t="shared" ref="B19:B22" si="2">+A4</f>
        <v>RSD-DEEP</v>
      </c>
      <c r="D19" t="str">
        <f t="shared" ref="D19:D22" si="3">+C4</f>
        <v>R-RTFT-Apt_E, R-RTFT-Apt_F, R-RTFT-Apt_G, R-RTFT-Att_E, R-RTFT-Att_F, R-RTFT-Att_G, R-RTFT-Det_E, R-RTFT-Det_F, R-RTFT-Det_G</v>
      </c>
      <c r="J19" s="8" t="s">
        <v>23</v>
      </c>
      <c r="K19" s="8">
        <v>1</v>
      </c>
      <c r="L19" s="8"/>
      <c r="M19" s="8"/>
      <c r="N19" s="8">
        <v>5</v>
      </c>
      <c r="P19" s="16" cm="1">
        <f t="array" aca="1" ref="P19" ca="1">+SUM(D4:G4*$O$13)/2</f>
        <v>32.777952743636547</v>
      </c>
      <c r="Q19" s="16">
        <f ca="1">P19</f>
        <v>32.777952743636547</v>
      </c>
      <c r="R19" s="16">
        <f t="shared" ca="1" si="0"/>
        <v>0</v>
      </c>
      <c r="S19" s="16">
        <f t="shared" ca="1" si="0"/>
        <v>7.1022243705981589</v>
      </c>
      <c r="T19" s="16">
        <f t="shared" ref="T19:T23" ca="1" si="4">+K4*$O$13</f>
        <v>21.917662154267131</v>
      </c>
      <c r="U19" s="16">
        <f t="shared" ca="1" si="1"/>
        <v>7.2442793937117305</v>
      </c>
      <c r="V19" s="16">
        <f t="shared" ca="1" si="1"/>
        <v>3.0506432768517922</v>
      </c>
      <c r="W19" s="16">
        <f t="shared" ca="1" si="1"/>
        <v>3.0506432771560599</v>
      </c>
      <c r="X19" s="16">
        <f t="shared" ca="1" si="1"/>
        <v>0.68323515278444369</v>
      </c>
      <c r="Y19" s="16">
        <f t="shared" ca="1" si="1"/>
        <v>0</v>
      </c>
      <c r="Z19" s="16">
        <f t="shared" ca="1" si="1"/>
        <v>3.1032522095427104E-2</v>
      </c>
      <c r="AA19" s="16">
        <f t="shared" ca="1" si="1"/>
        <v>1.5516272572890753E-2</v>
      </c>
      <c r="AB19" s="16">
        <f t="shared" ca="1" si="1"/>
        <v>1.5516264955051854E-2</v>
      </c>
      <c r="AC19" s="16">
        <f t="shared" ca="1" si="1"/>
        <v>1.5516222470601256E-2</v>
      </c>
      <c r="AD19" s="16">
        <f t="shared" ca="1" si="1"/>
        <v>1.5516303451877059E-2</v>
      </c>
      <c r="AE19" s="16">
        <f t="shared" si="1"/>
        <v>0</v>
      </c>
      <c r="AF19" s="16">
        <f t="shared" si="1"/>
        <v>0</v>
      </c>
      <c r="AG19" s="16">
        <f t="shared" si="1"/>
        <v>0</v>
      </c>
      <c r="AH19" s="16">
        <f t="shared" si="1"/>
        <v>0</v>
      </c>
      <c r="AI19" s="16">
        <f t="shared" si="1"/>
        <v>0</v>
      </c>
      <c r="AJ19" s="16">
        <f t="shared" si="1"/>
        <v>0</v>
      </c>
      <c r="AK19" s="16">
        <f t="shared" si="1"/>
        <v>0</v>
      </c>
      <c r="AL19" s="16">
        <f t="shared" si="1"/>
        <v>0</v>
      </c>
      <c r="AM19" s="16">
        <f t="shared" si="1"/>
        <v>0</v>
      </c>
      <c r="AN19" s="16">
        <f t="shared" si="1"/>
        <v>0</v>
      </c>
      <c r="AO19" s="16">
        <f t="shared" si="1"/>
        <v>0</v>
      </c>
      <c r="AP19" s="16">
        <f t="shared" si="1"/>
        <v>0</v>
      </c>
      <c r="AQ19" s="16">
        <f t="shared" si="1"/>
        <v>0</v>
      </c>
      <c r="AR19" s="16">
        <f t="shared" si="1"/>
        <v>0</v>
      </c>
    </row>
    <row r="20" spans="2:44" x14ac:dyDescent="0.25">
      <c r="B20" s="8" t="str">
        <f t="shared" si="2"/>
        <v>RSD-APT-HP</v>
      </c>
      <c r="D20" t="str">
        <f t="shared" si="3"/>
        <v>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v>
      </c>
      <c r="J20" s="8" t="s">
        <v>23</v>
      </c>
      <c r="K20" s="8">
        <v>1</v>
      </c>
      <c r="N20" s="8">
        <v>5</v>
      </c>
      <c r="P20" s="16"/>
      <c r="Q20" s="16"/>
      <c r="R20" s="16"/>
      <c r="S20" s="16"/>
      <c r="T20" s="16">
        <f t="shared" ca="1" si="4"/>
        <v>16.774075463491776</v>
      </c>
      <c r="U20" s="16">
        <f t="shared" ca="1" si="1"/>
        <v>9.9204134270921493E-2</v>
      </c>
      <c r="V20" s="16">
        <f t="shared" ca="1" si="1"/>
        <v>9.531648475009806E-2</v>
      </c>
      <c r="W20" s="16">
        <f t="shared" ca="1" si="1"/>
        <v>8.9997078869308161E-2</v>
      </c>
      <c r="X20" s="16">
        <f t="shared" ca="1" si="1"/>
        <v>8.4698997802605633E-2</v>
      </c>
      <c r="Y20" s="16">
        <f t="shared" ca="1" si="1"/>
        <v>3.9724559508503262E-3</v>
      </c>
      <c r="Z20" s="16">
        <f t="shared" ca="1" si="1"/>
        <v>0.31583438384637108</v>
      </c>
      <c r="AA20" s="16">
        <f t="shared" ca="1" si="1"/>
        <v>0.13306813682875607</v>
      </c>
      <c r="AB20" s="16">
        <f t="shared" si="1"/>
        <v>0</v>
      </c>
      <c r="AC20" s="16">
        <f t="shared" ca="1" si="1"/>
        <v>3.972291084586463E-3</v>
      </c>
      <c r="AD20" s="16">
        <f t="shared" si="1"/>
        <v>0</v>
      </c>
      <c r="AE20" s="16">
        <f t="shared" si="1"/>
        <v>0</v>
      </c>
      <c r="AF20" s="16">
        <f t="shared" si="1"/>
        <v>0</v>
      </c>
      <c r="AG20" s="16">
        <f t="shared" si="1"/>
        <v>0</v>
      </c>
      <c r="AH20" s="16">
        <f t="shared" si="1"/>
        <v>0</v>
      </c>
      <c r="AI20" s="16">
        <f t="shared" si="1"/>
        <v>0</v>
      </c>
      <c r="AJ20" s="16">
        <f t="shared" si="1"/>
        <v>0</v>
      </c>
      <c r="AK20" s="16">
        <f t="shared" si="1"/>
        <v>0</v>
      </c>
      <c r="AL20" s="16">
        <f t="shared" ca="1" si="1"/>
        <v>1.4914080802839087</v>
      </c>
      <c r="AM20" s="16">
        <f t="shared" ca="1" si="1"/>
        <v>17.664021771529377</v>
      </c>
      <c r="AN20" s="16">
        <f t="shared" ca="1" si="1"/>
        <v>19.036208150242398</v>
      </c>
      <c r="AO20" s="16">
        <f t="shared" ca="1" si="1"/>
        <v>0.2470030863136537</v>
      </c>
      <c r="AP20" s="16">
        <f t="shared" ca="1" si="1"/>
        <v>0.2432569068781707</v>
      </c>
      <c r="AQ20" s="16">
        <f t="shared" ca="1" si="1"/>
        <v>0.23767942012693913</v>
      </c>
      <c r="AR20" s="16">
        <f t="shared" ca="1" si="1"/>
        <v>0.2319985453786014</v>
      </c>
    </row>
    <row r="21" spans="2:44" x14ac:dyDescent="0.25">
      <c r="B21" s="8" t="str">
        <f t="shared" si="2"/>
        <v>RSD-BIOGAS</v>
      </c>
      <c r="D21" t="str">
        <f t="shared" si="3"/>
        <v>R-SH_Apt_GAS_N1,R-SH_Att_GAS_N1,R-SH_Det_GAS_N1,R-SW_Apt_GAS_HHPN1,R-SW_Apt_GAS_HPN1,R-SW_Apt_GAS_HPN2,R-SW_Apt_GAS_N1,R-SW_Att_GAS_HHPN1,R-SW_Att_GAS_HPN1,R-SW_Att_GAS_HPN2,R-SW_Att_GAS_N1,R-SW_Att_GAS_N2,R-SW_Att_GAS_N3,R-SW_Det_GAS_HHPN1,R-SW_Det_GAS_HPN1,R-SW_Det_GAS_HPN2,R-SW_Det_GAS_N1,R-SW_Det_GAS_N2,R-SW_Det_GAS_N3</v>
      </c>
      <c r="J21" s="8" t="s">
        <v>23</v>
      </c>
      <c r="K21" s="8">
        <v>1</v>
      </c>
      <c r="N21" s="8">
        <v>5</v>
      </c>
      <c r="P21" s="16"/>
      <c r="Q21" s="16"/>
      <c r="R21" s="16"/>
      <c r="S21" s="16"/>
      <c r="T21" s="16">
        <f t="shared" ca="1" si="4"/>
        <v>0</v>
      </c>
      <c r="U21" s="16">
        <f t="shared" ca="1" si="1"/>
        <v>0</v>
      </c>
      <c r="V21" s="16">
        <f t="shared" ca="1" si="1"/>
        <v>0</v>
      </c>
      <c r="W21" s="16">
        <f t="shared" ca="1" si="1"/>
        <v>0</v>
      </c>
      <c r="X21" s="16">
        <f t="shared" ca="1" si="1"/>
        <v>0</v>
      </c>
      <c r="Y21" s="16">
        <f t="shared" ca="1" si="1"/>
        <v>0</v>
      </c>
      <c r="Z21" s="16">
        <f t="shared" ca="1" si="1"/>
        <v>0</v>
      </c>
      <c r="AA21" s="16">
        <f t="shared" ca="1" si="1"/>
        <v>0</v>
      </c>
      <c r="AB21" s="16">
        <f t="shared" ca="1" si="1"/>
        <v>0</v>
      </c>
      <c r="AC21" s="16">
        <f t="shared" ca="1" si="1"/>
        <v>0</v>
      </c>
      <c r="AD21" s="16">
        <f t="shared" ca="1" si="1"/>
        <v>0</v>
      </c>
      <c r="AE21" s="16">
        <f t="shared" ca="1" si="1"/>
        <v>0</v>
      </c>
      <c r="AF21" s="16">
        <f t="shared" ca="1" si="1"/>
        <v>0</v>
      </c>
      <c r="AG21" s="16">
        <f t="shared" ca="1" si="1"/>
        <v>0</v>
      </c>
      <c r="AH21" s="16">
        <f t="shared" ca="1" si="1"/>
        <v>0</v>
      </c>
      <c r="AI21" s="16">
        <f t="shared" ca="1" si="1"/>
        <v>0</v>
      </c>
      <c r="AJ21" s="16">
        <f t="shared" ca="1" si="1"/>
        <v>0</v>
      </c>
      <c r="AK21" s="16">
        <f t="shared" ca="1" si="1"/>
        <v>0</v>
      </c>
      <c r="AL21" s="16">
        <f t="shared" ca="1" si="1"/>
        <v>0</v>
      </c>
      <c r="AM21" s="16">
        <f t="shared" ca="1" si="1"/>
        <v>0</v>
      </c>
      <c r="AN21" s="16">
        <f t="shared" ca="1" si="1"/>
        <v>0</v>
      </c>
      <c r="AO21" s="16">
        <f t="shared" ca="1" si="1"/>
        <v>0</v>
      </c>
      <c r="AP21" s="16">
        <f t="shared" ca="1" si="1"/>
        <v>0</v>
      </c>
      <c r="AQ21" s="16">
        <f t="shared" ca="1" si="1"/>
        <v>0</v>
      </c>
      <c r="AR21" s="16">
        <f t="shared" ca="1" si="1"/>
        <v>0</v>
      </c>
    </row>
    <row r="22" spans="2:44" x14ac:dyDescent="0.25">
      <c r="B22" s="8" t="str">
        <f t="shared" si="2"/>
        <v>RSD-ATT-HP</v>
      </c>
      <c r="D22" t="str">
        <f t="shared" si="3"/>
        <v>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v>
      </c>
      <c r="J22" s="8" t="s">
        <v>23</v>
      </c>
      <c r="K22" s="8">
        <v>1</v>
      </c>
      <c r="N22" s="8">
        <v>5</v>
      </c>
      <c r="P22" s="16">
        <f ca="1">+G7*$O$13</f>
        <v>47.213008302896405</v>
      </c>
      <c r="Q22" s="16">
        <f t="shared" ref="Q22:Q23" ca="1" si="5">+H7*$O$13</f>
        <v>46.308950440410605</v>
      </c>
      <c r="R22" s="16">
        <f t="shared" ref="R22:R23" ca="1" si="6">+I7*$O$13</f>
        <v>35.614397619333189</v>
      </c>
      <c r="S22" s="16">
        <f t="shared" ref="S22:S23" ca="1" si="7">+J7*$O$13</f>
        <v>33.321198928814731</v>
      </c>
      <c r="T22" s="16">
        <f t="shared" ca="1" si="4"/>
        <v>19.435703035331169</v>
      </c>
      <c r="U22" s="16">
        <f t="shared" ca="1" si="1"/>
        <v>0.57096154589297043</v>
      </c>
      <c r="V22" s="16">
        <f t="shared" ca="1" si="1"/>
        <v>0.6116695612369123</v>
      </c>
      <c r="W22" s="16">
        <f t="shared" ca="1" si="1"/>
        <v>0.62049544045153793</v>
      </c>
      <c r="X22" s="16">
        <f t="shared" ca="1" si="1"/>
        <v>0.6195318366937772</v>
      </c>
      <c r="Y22" s="16">
        <f t="shared" ca="1" si="1"/>
        <v>0.45546988786755388</v>
      </c>
      <c r="Z22" s="16">
        <f t="shared" ca="1" si="1"/>
        <v>4.6392334435066784</v>
      </c>
      <c r="AA22" s="16">
        <f t="shared" ca="1" si="1"/>
        <v>4.389216739331709</v>
      </c>
      <c r="AB22" s="16">
        <f t="shared" ca="1" si="1"/>
        <v>0.53170186775750239</v>
      </c>
      <c r="AC22" s="16">
        <f t="shared" ca="1" si="1"/>
        <v>0.50857249413498296</v>
      </c>
      <c r="AD22" s="16">
        <f t="shared" ca="1" si="1"/>
        <v>10.395609603288078</v>
      </c>
      <c r="AE22" s="16">
        <f t="shared" ca="1" si="1"/>
        <v>10.470400799540503</v>
      </c>
      <c r="AF22" s="16">
        <f t="shared" ca="1" si="1"/>
        <v>11.171745089155172</v>
      </c>
      <c r="AG22" s="16">
        <f t="shared" ca="1" si="1"/>
        <v>11.868080130489137</v>
      </c>
      <c r="AH22" s="16">
        <f t="shared" ca="1" si="1"/>
        <v>58.676456516380284</v>
      </c>
      <c r="AI22" s="16">
        <f t="shared" ca="1" si="1"/>
        <v>46.506278363865235</v>
      </c>
      <c r="AJ22" s="16">
        <f t="shared" ca="1" si="1"/>
        <v>46.542816879679727</v>
      </c>
      <c r="AK22" s="16">
        <f t="shared" ca="1" si="1"/>
        <v>45.893847583157765</v>
      </c>
      <c r="AL22" s="16">
        <f t="shared" ca="1" si="1"/>
        <v>35.183543881381119</v>
      </c>
      <c r="AM22" s="16">
        <f t="shared" ca="1" si="1"/>
        <v>32.873766814670958</v>
      </c>
      <c r="AN22" s="16">
        <f t="shared" ca="1" si="1"/>
        <v>18.980237090942328</v>
      </c>
      <c r="AO22" s="16">
        <f t="shared" ca="1" si="1"/>
        <v>2.2420314727300572</v>
      </c>
      <c r="AP22" s="16">
        <f t="shared" ca="1" si="1"/>
        <v>0.90619858498628281</v>
      </c>
      <c r="AQ22" s="16">
        <f t="shared" ca="1" si="1"/>
        <v>3.1298436191402619</v>
      </c>
      <c r="AR22" s="16">
        <f t="shared" ca="1" si="1"/>
        <v>0.93683029993920508</v>
      </c>
    </row>
    <row r="23" spans="2:44" x14ac:dyDescent="0.25">
      <c r="B23" s="8" t="str">
        <f>+A8</f>
        <v>RSD-DH</v>
      </c>
      <c r="D23" t="s">
        <v>184</v>
      </c>
      <c r="J23" s="8" t="s">
        <v>23</v>
      </c>
      <c r="K23" s="8">
        <v>1</v>
      </c>
      <c r="N23" s="8">
        <v>5</v>
      </c>
      <c r="P23" s="16">
        <f t="shared" ref="P23" si="8">+G8*$O$13</f>
        <v>0</v>
      </c>
      <c r="Q23" s="16">
        <f t="shared" ca="1" si="5"/>
        <v>0.30361430101391618</v>
      </c>
      <c r="R23" s="16">
        <f t="shared" ca="1" si="6"/>
        <v>3.5018297946164343</v>
      </c>
      <c r="S23" s="16">
        <f t="shared" ca="1" si="7"/>
        <v>1.4064685256963387</v>
      </c>
      <c r="T23" s="16">
        <f t="shared" si="4"/>
        <v>0</v>
      </c>
      <c r="U23" s="16">
        <f t="shared" ca="1" si="1"/>
        <v>0.87531242844283008</v>
      </c>
      <c r="V23" s="16">
        <f t="shared" ca="1" si="1"/>
        <v>0.70776756805145924</v>
      </c>
      <c r="W23" s="16">
        <f t="shared" ca="1" si="1"/>
        <v>4.8232405696409693</v>
      </c>
      <c r="X23" s="16">
        <f t="shared" ca="1" si="1"/>
        <v>1.2405208054727834</v>
      </c>
      <c r="Y23" s="16">
        <f t="shared" si="1"/>
        <v>0</v>
      </c>
      <c r="Z23" s="16">
        <f t="shared" ca="1" si="1"/>
        <v>2.6435467048233234</v>
      </c>
      <c r="AA23" s="16">
        <f t="shared" ca="1" si="1"/>
        <v>3.4308275190318431</v>
      </c>
      <c r="AB23" s="16">
        <f t="shared" ca="1" si="1"/>
        <v>3.5994983087000461</v>
      </c>
      <c r="AC23" s="16">
        <f t="shared" ca="1" si="1"/>
        <v>3.601279945541104</v>
      </c>
      <c r="AD23" s="16">
        <f t="shared" ca="1" si="1"/>
        <v>3.6076718848378246</v>
      </c>
      <c r="AE23" s="16">
        <f t="shared" ca="1" si="1"/>
        <v>3.6234637185653549</v>
      </c>
      <c r="AF23" s="16">
        <f t="shared" ca="1" si="1"/>
        <v>3.6333082049955543</v>
      </c>
      <c r="AG23" s="16">
        <f t="shared" ca="1" si="1"/>
        <v>0.61637501870996869</v>
      </c>
      <c r="AH23" s="16">
        <f t="shared" ca="1" si="1"/>
        <v>0.49552146077618664</v>
      </c>
      <c r="AI23" s="16">
        <f t="shared" ca="1" si="1"/>
        <v>0.1427459792766016</v>
      </c>
      <c r="AJ23" s="16">
        <f t="shared" si="1"/>
        <v>0</v>
      </c>
      <c r="AK23" s="16">
        <f t="shared" si="1"/>
        <v>0</v>
      </c>
      <c r="AL23" s="16">
        <f t="shared" si="1"/>
        <v>0</v>
      </c>
      <c r="AM23" s="16">
        <f t="shared" ca="1" si="1"/>
        <v>1.3195385199119063</v>
      </c>
      <c r="AN23" s="16">
        <f t="shared" ca="1" si="1"/>
        <v>0.71006953510619664</v>
      </c>
      <c r="AO23" s="16">
        <f t="shared" ca="1" si="1"/>
        <v>1.6253634380939377</v>
      </c>
      <c r="AP23" s="16">
        <f t="shared" ca="1" si="1"/>
        <v>1.4357839675621191</v>
      </c>
      <c r="AQ23" s="16">
        <f t="shared" ca="1" si="1"/>
        <v>5.5431208320163119</v>
      </c>
      <c r="AR23" s="16">
        <f t="shared" ca="1" si="1"/>
        <v>1.9499629887980678</v>
      </c>
    </row>
    <row r="24" spans="2:44" x14ac:dyDescent="0.25">
      <c r="B24" s="8" t="str">
        <f>+A9</f>
        <v>RSD_BLD-DET-HP</v>
      </c>
      <c r="D24" t="s">
        <v>185</v>
      </c>
      <c r="J24" s="8" t="s">
        <v>23</v>
      </c>
      <c r="K24" s="8">
        <v>1</v>
      </c>
      <c r="N24" s="8">
        <v>5</v>
      </c>
      <c r="P24">
        <f ca="1">+G9</f>
        <v>41.860192869653623</v>
      </c>
      <c r="Q24">
        <f t="shared" ref="Q24:AR24" ca="1" si="9">+H9</f>
        <v>42.491091411943891</v>
      </c>
      <c r="R24">
        <f t="shared" ca="1" si="9"/>
        <v>42.856940327743928</v>
      </c>
      <c r="S24">
        <f t="shared" ca="1" si="9"/>
        <v>42.836404449860076</v>
      </c>
      <c r="T24">
        <f t="shared" ca="1" si="9"/>
        <v>43.332715462560728</v>
      </c>
      <c r="U24">
        <f t="shared" ca="1" si="9"/>
        <v>43.604720306671609</v>
      </c>
      <c r="V24">
        <f t="shared" ca="1" si="9"/>
        <v>41.80329560651829</v>
      </c>
      <c r="W24">
        <f t="shared" ca="1" si="9"/>
        <v>36.774870879083451</v>
      </c>
      <c r="X24">
        <f t="shared" ca="1" si="9"/>
        <v>36.645657057615843</v>
      </c>
      <c r="Y24">
        <f t="shared" ca="1" si="9"/>
        <v>30.802554884829213</v>
      </c>
      <c r="Z24">
        <f t="shared" ca="1" si="9"/>
        <v>33.834226973164498</v>
      </c>
      <c r="AA24">
        <f t="shared" ca="1" si="9"/>
        <v>34.060836113885657</v>
      </c>
      <c r="AB24">
        <f t="shared" ca="1" si="9"/>
        <v>40.535006057331017</v>
      </c>
      <c r="AC24">
        <f t="shared" ca="1" si="9"/>
        <v>13.811183056022397</v>
      </c>
      <c r="AD24">
        <f t="shared" ca="1" si="9"/>
        <v>0.16414232588538388</v>
      </c>
      <c r="AE24">
        <f t="shared" ca="1" si="9"/>
        <v>0.157447052848011</v>
      </c>
      <c r="AF24">
        <f t="shared" ca="1" si="9"/>
        <v>0.14754486425261068</v>
      </c>
      <c r="AG24">
        <f t="shared" ca="1" si="9"/>
        <v>30.002650253454799</v>
      </c>
      <c r="AH24">
        <f t="shared" ca="1" si="9"/>
        <v>41.120151822793233</v>
      </c>
      <c r="AI24">
        <f t="shared" ca="1" si="9"/>
        <v>39.63970730353067</v>
      </c>
      <c r="AJ24">
        <f t="shared" ca="1" si="9"/>
        <v>40.160519554830302</v>
      </c>
      <c r="AK24">
        <f t="shared" ca="1" si="9"/>
        <v>40.839335054177624</v>
      </c>
      <c r="AL24">
        <f t="shared" ca="1" si="9"/>
        <v>41.28381500167847</v>
      </c>
      <c r="AM24">
        <f t="shared" ca="1" si="9"/>
        <v>41.247639059736834</v>
      </c>
      <c r="AN24">
        <f t="shared" ca="1" si="9"/>
        <v>41.367348876835628</v>
      </c>
      <c r="AO24">
        <f t="shared" ca="1" si="9"/>
        <v>41.6226923984349</v>
      </c>
      <c r="AP24">
        <f t="shared" ca="1" si="9"/>
        <v>39.804132509174863</v>
      </c>
      <c r="AQ24">
        <f t="shared" ca="1" si="9"/>
        <v>34.526476206053822</v>
      </c>
      <c r="AR24">
        <f t="shared" ca="1" si="9"/>
        <v>34.375212294342475</v>
      </c>
    </row>
    <row r="25" spans="2:44" x14ac:dyDescent="0.25">
      <c r="B25" s="8"/>
    </row>
    <row r="27" spans="2:44" x14ac:dyDescent="0.25">
      <c r="C27" s="37" t="s">
        <v>211</v>
      </c>
      <c r="D27" s="37"/>
      <c r="E27" s="35" t="s">
        <v>186</v>
      </c>
      <c r="F27" s="21">
        <v>2018</v>
      </c>
      <c r="G27" s="21">
        <v>2019</v>
      </c>
      <c r="H27" s="21">
        <v>2020</v>
      </c>
      <c r="I27" s="21">
        <v>2021</v>
      </c>
      <c r="J27" s="21">
        <v>2022</v>
      </c>
      <c r="K27" s="21">
        <v>2023</v>
      </c>
      <c r="L27" s="21">
        <v>2024</v>
      </c>
      <c r="M27" s="36">
        <v>2025</v>
      </c>
      <c r="N27" s="21">
        <v>2026</v>
      </c>
      <c r="O27" s="21">
        <v>2027</v>
      </c>
      <c r="P27" s="21">
        <v>2028</v>
      </c>
      <c r="Q27" s="21">
        <v>2029</v>
      </c>
      <c r="R27" s="36">
        <v>2030</v>
      </c>
      <c r="S27" s="21">
        <v>2031</v>
      </c>
      <c r="T27" s="21">
        <v>2032</v>
      </c>
      <c r="U27" s="21">
        <v>2033</v>
      </c>
      <c r="V27" s="21">
        <v>2034</v>
      </c>
      <c r="W27" s="21">
        <v>2035</v>
      </c>
      <c r="X27" s="21">
        <v>2036</v>
      </c>
      <c r="Y27" s="21">
        <v>2037</v>
      </c>
      <c r="Z27" s="21">
        <v>2038</v>
      </c>
      <c r="AA27" s="21">
        <v>2039</v>
      </c>
      <c r="AB27" s="36">
        <v>2040</v>
      </c>
      <c r="AC27" s="21">
        <v>2041</v>
      </c>
      <c r="AD27" s="21">
        <v>2042</v>
      </c>
      <c r="AE27" s="21">
        <v>2043</v>
      </c>
      <c r="AF27" s="21">
        <v>2044</v>
      </c>
      <c r="AG27" s="21">
        <v>2045</v>
      </c>
      <c r="AH27" s="21">
        <v>2046</v>
      </c>
      <c r="AI27" s="21">
        <v>2047</v>
      </c>
      <c r="AJ27" s="21">
        <v>2048</v>
      </c>
      <c r="AK27" s="21">
        <v>2049</v>
      </c>
      <c r="AL27" s="36">
        <v>2050</v>
      </c>
    </row>
    <row r="28" spans="2:44" x14ac:dyDescent="0.25">
      <c r="C28" s="23" t="s">
        <v>187</v>
      </c>
      <c r="D28" s="23"/>
      <c r="E28" s="22" t="s">
        <v>188</v>
      </c>
      <c r="F28" s="38">
        <v>4528</v>
      </c>
      <c r="G28" s="38">
        <v>8473</v>
      </c>
      <c r="H28" s="38">
        <v>12576</v>
      </c>
      <c r="I28" s="38">
        <v>21085</v>
      </c>
      <c r="J28" s="38">
        <v>36002</v>
      </c>
      <c r="K28" s="38">
        <v>57730</v>
      </c>
      <c r="L28" s="38">
        <v>76458.133004706353</v>
      </c>
      <c r="M28" s="38">
        <v>101504.59834396423</v>
      </c>
      <c r="N28" s="38">
        <v>131806.53391912146</v>
      </c>
      <c r="O28" s="38">
        <v>168374.62820670515</v>
      </c>
      <c r="P28" s="38">
        <v>212769.94018992549</v>
      </c>
      <c r="Q28" s="38">
        <v>266253.76204901852</v>
      </c>
      <c r="R28" s="38">
        <v>330739.76204901852</v>
      </c>
      <c r="S28" s="38">
        <v>402894.63103844196</v>
      </c>
      <c r="T28" s="38">
        <v>483270.38586238777</v>
      </c>
      <c r="U28" s="38">
        <v>572769.39329977881</v>
      </c>
      <c r="V28" s="38">
        <v>671364.76917221397</v>
      </c>
      <c r="W28" s="38">
        <v>803011.76917221397</v>
      </c>
      <c r="X28" s="38">
        <v>934123.03147115838</v>
      </c>
      <c r="Y28" s="38">
        <v>1062667.5992603253</v>
      </c>
      <c r="Z28" s="38">
        <v>1188757.2164680006</v>
      </c>
      <c r="AA28" s="38">
        <v>1327958.622256465</v>
      </c>
      <c r="AB28" s="38">
        <v>1470126.1569172072</v>
      </c>
      <c r="AC28" s="23"/>
      <c r="AD28" s="23"/>
      <c r="AE28" s="23"/>
      <c r="AF28" s="23"/>
      <c r="AG28" s="23"/>
      <c r="AH28" s="23"/>
      <c r="AI28" s="23"/>
      <c r="AJ28" s="23"/>
      <c r="AK28" s="23"/>
      <c r="AL28" s="24"/>
    </row>
    <row r="29" spans="2:44" x14ac:dyDescent="0.25">
      <c r="C29" s="23" t="s">
        <v>189</v>
      </c>
      <c r="D29" s="23"/>
      <c r="E29" s="22" t="s">
        <v>188</v>
      </c>
      <c r="F29" s="38">
        <v>2791</v>
      </c>
      <c r="G29" s="38">
        <v>6306</v>
      </c>
      <c r="H29" s="38">
        <v>12228</v>
      </c>
      <c r="I29" s="38">
        <v>23671</v>
      </c>
      <c r="J29" s="38">
        <v>33157</v>
      </c>
      <c r="K29" s="38">
        <v>46227</v>
      </c>
      <c r="L29" s="38">
        <v>65580.100332647708</v>
      </c>
      <c r="M29" s="38">
        <v>88429.861651536645</v>
      </c>
      <c r="N29" s="38">
        <v>115259.45447616215</v>
      </c>
      <c r="O29" s="38">
        <v>146809.32931771784</v>
      </c>
      <c r="P29" s="38">
        <v>183964.44466028124</v>
      </c>
      <c r="Q29" s="38">
        <v>227783.37094489671</v>
      </c>
      <c r="R29" s="38">
        <v>279411.37094489671</v>
      </c>
      <c r="S29" s="38">
        <v>332264.19836038561</v>
      </c>
      <c r="T29" s="38">
        <v>387049.05666471604</v>
      </c>
      <c r="U29" s="38">
        <v>443151.32676393108</v>
      </c>
      <c r="V29" s="38">
        <v>501364.82754287875</v>
      </c>
      <c r="W29" s="38">
        <v>533242.82754287869</v>
      </c>
      <c r="X29" s="38">
        <v>553528.32832182629</v>
      </c>
      <c r="Y29" s="38">
        <v>569779.54423927818</v>
      </c>
      <c r="Z29" s="38">
        <v>578052.04909329861</v>
      </c>
      <c r="AA29" s="38">
        <v>577462.83565678261</v>
      </c>
      <c r="AB29" s="38">
        <v>570363.07433789363</v>
      </c>
      <c r="AC29" s="23"/>
      <c r="AD29" s="23"/>
      <c r="AE29" s="23"/>
      <c r="AF29" s="23"/>
      <c r="AG29" s="23"/>
      <c r="AH29" s="23"/>
      <c r="AI29" s="23"/>
      <c r="AJ29" s="23"/>
      <c r="AK29" s="23"/>
      <c r="AL29" s="24"/>
    </row>
    <row r="30" spans="2:44" x14ac:dyDescent="0.25">
      <c r="C30" s="23" t="s">
        <v>190</v>
      </c>
      <c r="D30" s="19"/>
      <c r="E30" s="22" t="s">
        <v>188</v>
      </c>
      <c r="F30" s="23"/>
      <c r="G30" s="23"/>
      <c r="H30" s="23"/>
      <c r="I30" s="23"/>
      <c r="J30" s="23"/>
      <c r="K30" s="26">
        <v>61</v>
      </c>
      <c r="L30" s="26">
        <v>282</v>
      </c>
      <c r="M30" s="38">
        <v>282</v>
      </c>
      <c r="N30" s="38">
        <v>282</v>
      </c>
      <c r="O30" s="38">
        <v>282</v>
      </c>
      <c r="P30" s="38">
        <v>282</v>
      </c>
      <c r="Q30" s="38">
        <v>282</v>
      </c>
      <c r="R30" s="38">
        <v>282</v>
      </c>
      <c r="S30" s="38">
        <v>282</v>
      </c>
      <c r="T30" s="38">
        <v>282</v>
      </c>
      <c r="U30" s="38">
        <v>282</v>
      </c>
      <c r="V30" s="38">
        <v>282</v>
      </c>
      <c r="W30" s="38">
        <v>282</v>
      </c>
      <c r="X30" s="38">
        <v>282</v>
      </c>
      <c r="Y30" s="38">
        <v>282</v>
      </c>
      <c r="Z30" s="38">
        <v>282</v>
      </c>
      <c r="AA30" s="38">
        <v>282</v>
      </c>
      <c r="AB30" s="38">
        <v>282</v>
      </c>
      <c r="AC30" s="23"/>
      <c r="AD30" s="23"/>
      <c r="AE30" s="23"/>
      <c r="AF30" s="23"/>
      <c r="AG30" s="23"/>
      <c r="AH30" s="23"/>
      <c r="AI30" s="23"/>
      <c r="AJ30" s="23"/>
      <c r="AK30" s="23"/>
      <c r="AL30" s="24"/>
    </row>
    <row r="31" spans="2:44" x14ac:dyDescent="0.25">
      <c r="C31" s="23" t="s">
        <v>191</v>
      </c>
      <c r="D31" s="19"/>
      <c r="E31" s="22" t="s">
        <v>188</v>
      </c>
      <c r="F31" s="38">
        <v>10</v>
      </c>
      <c r="G31" s="38">
        <v>57</v>
      </c>
      <c r="H31" s="38">
        <v>103</v>
      </c>
      <c r="I31" s="38">
        <v>208</v>
      </c>
      <c r="J31" s="38">
        <v>379</v>
      </c>
      <c r="K31" s="38">
        <v>675</v>
      </c>
      <c r="L31" s="38">
        <v>937.5</v>
      </c>
      <c r="M31" s="38">
        <v>1200</v>
      </c>
      <c r="N31" s="38">
        <v>2160</v>
      </c>
      <c r="O31" s="38">
        <v>3120</v>
      </c>
      <c r="P31" s="38">
        <v>4080</v>
      </c>
      <c r="Q31" s="38">
        <v>5040</v>
      </c>
      <c r="R31" s="38">
        <v>6000</v>
      </c>
      <c r="S31" s="38">
        <v>7800</v>
      </c>
      <c r="T31" s="38">
        <v>9600</v>
      </c>
      <c r="U31" s="38">
        <v>11400</v>
      </c>
      <c r="V31" s="38">
        <v>13200</v>
      </c>
      <c r="W31" s="38">
        <v>15000</v>
      </c>
      <c r="X31" s="38">
        <v>14000</v>
      </c>
      <c r="Y31" s="38">
        <v>13000</v>
      </c>
      <c r="Z31" s="38">
        <v>12000</v>
      </c>
      <c r="AA31" s="38">
        <v>11000</v>
      </c>
      <c r="AB31" s="38">
        <v>10000</v>
      </c>
      <c r="AC31" s="23"/>
      <c r="AD31" s="23"/>
      <c r="AE31" s="23"/>
      <c r="AF31" s="23"/>
      <c r="AG31" s="23"/>
      <c r="AH31" s="23"/>
      <c r="AI31" s="23"/>
      <c r="AJ31" s="23"/>
      <c r="AK31" s="23"/>
      <c r="AL31" s="24"/>
    </row>
    <row r="32" spans="2:44" x14ac:dyDescent="0.25">
      <c r="C32" s="23" t="s">
        <v>192</v>
      </c>
      <c r="D32" s="23"/>
      <c r="E32" s="22" t="s">
        <v>188</v>
      </c>
      <c r="F32" s="23">
        <v>167</v>
      </c>
      <c r="G32" s="23">
        <v>454</v>
      </c>
      <c r="H32" s="23">
        <v>878</v>
      </c>
      <c r="I32" s="23">
        <v>1770</v>
      </c>
      <c r="J32" s="23">
        <v>2135</v>
      </c>
      <c r="K32" s="23">
        <v>2856</v>
      </c>
      <c r="L32" s="23">
        <v>3926.2142857142858</v>
      </c>
      <c r="M32" s="23">
        <v>4996.4285714285716</v>
      </c>
      <c r="N32" s="23">
        <v>8917.1428571428569</v>
      </c>
      <c r="O32" s="23">
        <v>12837.857142857143</v>
      </c>
      <c r="P32" s="23">
        <v>16758.571428571428</v>
      </c>
      <c r="Q32" s="23">
        <v>20679.285714285714</v>
      </c>
      <c r="R32" s="23">
        <v>24600</v>
      </c>
      <c r="S32" s="23">
        <v>29090</v>
      </c>
      <c r="T32" s="23">
        <v>33580</v>
      </c>
      <c r="U32" s="23">
        <v>38070</v>
      </c>
      <c r="V32" s="23">
        <v>42560</v>
      </c>
      <c r="W32" s="23">
        <v>47050</v>
      </c>
      <c r="X32" s="23">
        <v>69184.874566279919</v>
      </c>
      <c r="Y32" s="23">
        <v>91319.749132559838</v>
      </c>
      <c r="Z32" s="23">
        <v>113454.62369883976</v>
      </c>
      <c r="AA32" s="23">
        <v>135589.49826511968</v>
      </c>
      <c r="AB32" s="23">
        <v>157724.37283139961</v>
      </c>
      <c r="AC32" s="23"/>
      <c r="AD32" s="23"/>
      <c r="AE32" s="23"/>
      <c r="AF32" s="23"/>
      <c r="AG32" s="23"/>
      <c r="AH32" s="23"/>
      <c r="AI32" s="23"/>
      <c r="AJ32" s="23"/>
      <c r="AK32" s="23"/>
      <c r="AL32" s="24"/>
    </row>
    <row r="33" spans="2:40" x14ac:dyDescent="0.25">
      <c r="C33" s="27" t="s">
        <v>193</v>
      </c>
      <c r="D33" s="39"/>
      <c r="E33" s="28" t="s">
        <v>188</v>
      </c>
      <c r="F33" s="38">
        <v>167</v>
      </c>
      <c r="G33" s="38">
        <v>454</v>
      </c>
      <c r="H33" s="38">
        <v>878</v>
      </c>
      <c r="I33" s="38">
        <v>1770</v>
      </c>
      <c r="J33" s="38">
        <v>2135</v>
      </c>
      <c r="K33" s="38">
        <v>2821</v>
      </c>
      <c r="L33" s="38">
        <v>3810.5</v>
      </c>
      <c r="M33" s="38">
        <v>4800</v>
      </c>
      <c r="N33" s="38">
        <v>8640</v>
      </c>
      <c r="O33" s="38">
        <v>12480</v>
      </c>
      <c r="P33" s="38">
        <v>16320</v>
      </c>
      <c r="Q33" s="38">
        <v>20160</v>
      </c>
      <c r="R33" s="38">
        <v>24000</v>
      </c>
      <c r="S33" s="38">
        <v>28200</v>
      </c>
      <c r="T33" s="38">
        <v>32400</v>
      </c>
      <c r="U33" s="38">
        <v>36600</v>
      </c>
      <c r="V33" s="38">
        <v>40800</v>
      </c>
      <c r="W33" s="38">
        <v>45000</v>
      </c>
      <c r="X33" s="38">
        <v>66844.874566279919</v>
      </c>
      <c r="Y33" s="38">
        <v>88689.749132559838</v>
      </c>
      <c r="Z33" s="38">
        <v>110534.62369883976</v>
      </c>
      <c r="AA33" s="38">
        <v>132379.49826511968</v>
      </c>
      <c r="AB33" s="38">
        <v>154224.37283139961</v>
      </c>
      <c r="AC33" s="29"/>
      <c r="AD33" s="29"/>
      <c r="AE33" s="29"/>
      <c r="AF33" s="29"/>
      <c r="AG33" s="29"/>
      <c r="AH33" s="29"/>
      <c r="AI33" s="29"/>
      <c r="AJ33" s="29"/>
      <c r="AK33" s="29"/>
      <c r="AL33" s="30"/>
    </row>
    <row r="34" spans="2:40" x14ac:dyDescent="0.25">
      <c r="C34" s="31" t="s">
        <v>194</v>
      </c>
      <c r="D34" s="40"/>
      <c r="E34" s="32" t="s">
        <v>188</v>
      </c>
      <c r="F34" s="38">
        <v>0</v>
      </c>
      <c r="G34" s="38">
        <v>0</v>
      </c>
      <c r="H34" s="38">
        <v>0</v>
      </c>
      <c r="I34" s="38">
        <v>0</v>
      </c>
      <c r="J34" s="38">
        <v>0</v>
      </c>
      <c r="K34" s="38">
        <v>35</v>
      </c>
      <c r="L34" s="38">
        <v>115.71428571428571</v>
      </c>
      <c r="M34" s="38">
        <v>196.42857142857142</v>
      </c>
      <c r="N34" s="38">
        <v>277.14285714285711</v>
      </c>
      <c r="O34" s="38">
        <v>357.85714285714283</v>
      </c>
      <c r="P34" s="38">
        <v>438.57142857142856</v>
      </c>
      <c r="Q34" s="38">
        <v>519.28571428571422</v>
      </c>
      <c r="R34" s="38">
        <v>600</v>
      </c>
      <c r="S34" s="38">
        <v>890</v>
      </c>
      <c r="T34" s="38">
        <v>1180</v>
      </c>
      <c r="U34" s="38">
        <v>1470</v>
      </c>
      <c r="V34" s="38">
        <v>1760</v>
      </c>
      <c r="W34" s="38">
        <v>2050</v>
      </c>
      <c r="X34" s="38">
        <v>2340</v>
      </c>
      <c r="Y34" s="38">
        <v>2630</v>
      </c>
      <c r="Z34" s="38">
        <v>2920</v>
      </c>
      <c r="AA34" s="38">
        <v>3210</v>
      </c>
      <c r="AB34" s="38">
        <v>3500</v>
      </c>
      <c r="AC34" s="33"/>
      <c r="AD34" s="33"/>
      <c r="AE34" s="33"/>
      <c r="AF34" s="33"/>
      <c r="AG34" s="33"/>
      <c r="AH34" s="33"/>
      <c r="AI34" s="33"/>
      <c r="AJ34" s="33"/>
      <c r="AK34" s="33"/>
      <c r="AL34" s="34"/>
    </row>
    <row r="35" spans="2:40" x14ac:dyDescent="0.25">
      <c r="C35" s="23" t="s">
        <v>195</v>
      </c>
      <c r="D35" s="23"/>
      <c r="E35" s="22" t="s">
        <v>196</v>
      </c>
      <c r="F35" s="23"/>
      <c r="G35" s="23"/>
      <c r="H35" s="23"/>
      <c r="I35" s="23"/>
      <c r="J35" s="23"/>
      <c r="K35" s="23"/>
      <c r="L35" s="38">
        <v>4740.55</v>
      </c>
      <c r="M35" s="38">
        <v>5044.28125</v>
      </c>
      <c r="N35" s="38">
        <v>5540.25</v>
      </c>
      <c r="O35" s="38">
        <v>5865.5</v>
      </c>
      <c r="P35" s="38">
        <v>6207.875</v>
      </c>
      <c r="Q35" s="38">
        <v>6579.75</v>
      </c>
      <c r="R35" s="38">
        <v>6930.625</v>
      </c>
      <c r="S35" s="38">
        <v>7281.125</v>
      </c>
      <c r="T35" s="38">
        <v>7685.25</v>
      </c>
      <c r="U35" s="38">
        <v>8093.125</v>
      </c>
      <c r="V35" s="38">
        <v>8507.5</v>
      </c>
      <c r="W35" s="38">
        <v>8927.125</v>
      </c>
      <c r="X35" s="38">
        <v>9282</v>
      </c>
      <c r="Y35" s="38">
        <v>9591.5</v>
      </c>
      <c r="Z35" s="38">
        <v>9953.25</v>
      </c>
      <c r="AA35" s="38">
        <v>10242.5</v>
      </c>
      <c r="AB35" s="38">
        <v>10550.5</v>
      </c>
      <c r="AC35" s="23"/>
      <c r="AD35" s="23"/>
      <c r="AE35" s="23"/>
      <c r="AF35" s="23"/>
      <c r="AG35" s="23"/>
      <c r="AH35" s="23"/>
      <c r="AI35" s="23"/>
      <c r="AJ35" s="23"/>
      <c r="AK35" s="23"/>
      <c r="AL35" s="24"/>
    </row>
    <row r="36" spans="2:40" x14ac:dyDescent="0.25">
      <c r="C36" s="23" t="s">
        <v>197</v>
      </c>
      <c r="D36" s="23"/>
      <c r="E36" s="22" t="s">
        <v>196</v>
      </c>
      <c r="F36" s="23"/>
      <c r="G36" s="23"/>
      <c r="H36" s="23"/>
      <c r="I36" s="23"/>
      <c r="J36" s="23"/>
      <c r="K36" s="23"/>
      <c r="L36" s="38">
        <v>25</v>
      </c>
      <c r="M36" s="38">
        <v>25</v>
      </c>
      <c r="N36" s="38">
        <v>25</v>
      </c>
      <c r="O36" s="38">
        <v>25</v>
      </c>
      <c r="P36" s="38">
        <v>25</v>
      </c>
      <c r="Q36" s="38">
        <v>231.25</v>
      </c>
      <c r="R36" s="38">
        <v>1525</v>
      </c>
      <c r="S36" s="38">
        <v>2862.5</v>
      </c>
      <c r="T36" s="38">
        <v>3500</v>
      </c>
      <c r="U36" s="38">
        <v>4000</v>
      </c>
      <c r="V36" s="38">
        <v>4500</v>
      </c>
      <c r="W36" s="38">
        <v>5175</v>
      </c>
      <c r="X36" s="38">
        <v>5875</v>
      </c>
      <c r="Y36" s="38">
        <v>6575</v>
      </c>
      <c r="Z36" s="38">
        <v>7350</v>
      </c>
      <c r="AA36" s="38">
        <v>8350</v>
      </c>
      <c r="AB36" s="38">
        <v>9325</v>
      </c>
      <c r="AC36" s="23"/>
      <c r="AD36" s="23"/>
      <c r="AE36" s="23"/>
      <c r="AF36" s="23"/>
      <c r="AG36" s="23"/>
      <c r="AH36" s="23"/>
      <c r="AI36" s="23"/>
      <c r="AJ36" s="23"/>
      <c r="AK36" s="23"/>
      <c r="AL36" s="24"/>
    </row>
    <row r="37" spans="2:40" x14ac:dyDescent="0.25">
      <c r="C37" s="23" t="s">
        <v>198</v>
      </c>
      <c r="D37" s="23"/>
      <c r="E37" s="22" t="s">
        <v>196</v>
      </c>
      <c r="F37" s="23"/>
      <c r="G37" s="23"/>
      <c r="H37" s="23"/>
      <c r="I37" s="23"/>
      <c r="J37" s="23"/>
      <c r="K37" s="23"/>
      <c r="L37" s="38">
        <v>914.93749999999989</v>
      </c>
      <c r="M37" s="38">
        <v>1680.75</v>
      </c>
      <c r="N37" s="38">
        <v>2789.75</v>
      </c>
      <c r="O37" s="38">
        <v>3543.375</v>
      </c>
      <c r="P37" s="38">
        <v>4296.75</v>
      </c>
      <c r="Q37" s="38">
        <v>5050.375</v>
      </c>
      <c r="R37" s="38">
        <v>5805.25</v>
      </c>
      <c r="S37" s="38">
        <v>6505.5</v>
      </c>
      <c r="T37" s="38">
        <v>7105.375</v>
      </c>
      <c r="U37" s="38">
        <v>7695.375</v>
      </c>
      <c r="V37" s="38">
        <v>8277.75</v>
      </c>
      <c r="W37" s="38">
        <v>8857.625</v>
      </c>
      <c r="X37" s="38">
        <v>9402.375</v>
      </c>
      <c r="Y37" s="38">
        <v>9880</v>
      </c>
      <c r="Z37" s="38">
        <v>10349.75</v>
      </c>
      <c r="AA37" s="38">
        <v>10812.75</v>
      </c>
      <c r="AB37" s="38">
        <v>11268.5</v>
      </c>
      <c r="AC37" s="23"/>
      <c r="AD37" s="23"/>
      <c r="AE37" s="23"/>
      <c r="AF37" s="23"/>
      <c r="AG37" s="23"/>
      <c r="AH37" s="23"/>
      <c r="AI37" s="23"/>
      <c r="AJ37" s="23"/>
      <c r="AK37" s="23"/>
      <c r="AL37" s="24"/>
    </row>
    <row r="38" spans="2:40" x14ac:dyDescent="0.25">
      <c r="C38" s="23" t="s">
        <v>199</v>
      </c>
      <c r="D38" s="23"/>
      <c r="E38" s="22" t="s">
        <v>200</v>
      </c>
      <c r="F38" s="23"/>
      <c r="G38" s="23"/>
      <c r="H38" s="23"/>
      <c r="I38" s="23"/>
      <c r="J38" s="23"/>
      <c r="K38" s="23"/>
      <c r="L38" s="23"/>
      <c r="M38" s="38">
        <v>10</v>
      </c>
      <c r="N38" s="25">
        <v>10</v>
      </c>
      <c r="O38" s="25">
        <v>10</v>
      </c>
      <c r="P38" s="25">
        <v>10</v>
      </c>
      <c r="Q38" s="25">
        <v>10</v>
      </c>
      <c r="R38" s="38">
        <v>10</v>
      </c>
      <c r="S38" s="20">
        <v>10</v>
      </c>
      <c r="T38" s="20">
        <v>10</v>
      </c>
      <c r="U38" s="20">
        <v>10</v>
      </c>
      <c r="V38" s="20">
        <v>10</v>
      </c>
      <c r="W38" s="20">
        <v>10</v>
      </c>
      <c r="X38" s="20">
        <v>10</v>
      </c>
      <c r="Y38" s="20">
        <v>10</v>
      </c>
      <c r="Z38" s="20">
        <v>10</v>
      </c>
      <c r="AA38" s="20">
        <v>10</v>
      </c>
      <c r="AB38" s="20">
        <v>10</v>
      </c>
      <c r="AC38" s="23"/>
      <c r="AD38" s="23"/>
      <c r="AE38" s="23"/>
      <c r="AF38" s="23"/>
      <c r="AG38" s="23"/>
      <c r="AH38" s="23"/>
      <c r="AI38" s="23"/>
      <c r="AJ38" s="23"/>
      <c r="AK38" s="23"/>
      <c r="AL38" s="24"/>
    </row>
    <row r="39" spans="2:40" x14ac:dyDescent="0.25">
      <c r="C39" s="23" t="s">
        <v>201</v>
      </c>
      <c r="D39" s="23"/>
      <c r="E39" s="22" t="s">
        <v>200</v>
      </c>
      <c r="F39" s="23"/>
      <c r="G39" s="23"/>
      <c r="H39" s="23"/>
      <c r="I39" s="23"/>
      <c r="J39" s="23"/>
      <c r="K39" s="23"/>
      <c r="L39" s="23"/>
      <c r="M39" s="38">
        <v>12</v>
      </c>
      <c r="N39" s="25">
        <v>13.6</v>
      </c>
      <c r="O39" s="25">
        <v>15.2</v>
      </c>
      <c r="P39" s="25">
        <v>16.8</v>
      </c>
      <c r="Q39" s="25">
        <v>18.400000000000002</v>
      </c>
      <c r="R39" s="38">
        <v>20</v>
      </c>
      <c r="S39" s="20">
        <v>20</v>
      </c>
      <c r="T39" s="20">
        <v>20</v>
      </c>
      <c r="U39" s="20">
        <v>20</v>
      </c>
      <c r="V39" s="20">
        <v>20</v>
      </c>
      <c r="W39" s="20">
        <v>20</v>
      </c>
      <c r="X39" s="20">
        <v>20</v>
      </c>
      <c r="Y39" s="20">
        <v>20</v>
      </c>
      <c r="Z39" s="20">
        <v>20</v>
      </c>
      <c r="AA39" s="20">
        <v>20</v>
      </c>
      <c r="AB39" s="20">
        <v>20</v>
      </c>
      <c r="AC39" s="23"/>
      <c r="AD39" s="23"/>
      <c r="AE39" s="23"/>
      <c r="AF39" s="23"/>
      <c r="AG39" s="23"/>
      <c r="AH39" s="23"/>
      <c r="AI39" s="23"/>
      <c r="AJ39" s="23"/>
      <c r="AK39" s="23"/>
      <c r="AL39" s="24"/>
    </row>
    <row r="40" spans="2:40" x14ac:dyDescent="0.25">
      <c r="C40" s="23" t="s">
        <v>202</v>
      </c>
      <c r="D40" s="23"/>
      <c r="E40" s="22" t="s">
        <v>203</v>
      </c>
      <c r="F40" s="23"/>
      <c r="G40" s="23"/>
      <c r="H40" s="23"/>
      <c r="I40" s="23"/>
      <c r="J40" s="23"/>
      <c r="K40" s="23"/>
      <c r="L40" s="23"/>
      <c r="M40" s="42">
        <v>0.25</v>
      </c>
      <c r="N40" s="42">
        <v>0.44999999999999996</v>
      </c>
      <c r="O40" s="42">
        <v>0.8</v>
      </c>
      <c r="P40" s="42">
        <v>1.45</v>
      </c>
      <c r="Q40" s="42">
        <v>2.5999999999999996</v>
      </c>
      <c r="R40" s="42">
        <v>4.3</v>
      </c>
      <c r="S40" s="42">
        <v>5.7</v>
      </c>
      <c r="T40" s="42">
        <v>5.7</v>
      </c>
      <c r="U40" s="42">
        <v>5.7</v>
      </c>
      <c r="V40" s="42">
        <v>5.7</v>
      </c>
      <c r="W40" s="42">
        <v>5.7</v>
      </c>
      <c r="X40" s="42">
        <v>5.7</v>
      </c>
      <c r="Y40" s="42">
        <v>5.7</v>
      </c>
      <c r="Z40" s="42">
        <v>5.7</v>
      </c>
      <c r="AA40" s="42">
        <v>5.7</v>
      </c>
      <c r="AB40" s="42">
        <v>5.7</v>
      </c>
      <c r="AC40" s="23"/>
      <c r="AD40" s="23"/>
      <c r="AE40" s="23"/>
      <c r="AF40" s="23"/>
      <c r="AG40" s="23"/>
      <c r="AH40" s="23"/>
      <c r="AI40" s="23"/>
      <c r="AJ40" s="23"/>
      <c r="AK40" s="23"/>
      <c r="AL40" s="24"/>
    </row>
    <row r="41" spans="2:40" x14ac:dyDescent="0.25">
      <c r="C41" s="23" t="s">
        <v>204</v>
      </c>
      <c r="D41" s="19" t="s">
        <v>212</v>
      </c>
      <c r="E41" s="22" t="s">
        <v>205</v>
      </c>
      <c r="F41" s="23"/>
      <c r="G41" s="23"/>
      <c r="H41" s="23"/>
      <c r="I41" s="23"/>
      <c r="J41" s="23"/>
      <c r="K41" s="23"/>
      <c r="L41" s="44">
        <v>30290</v>
      </c>
      <c r="M41" s="38">
        <v>10808</v>
      </c>
      <c r="N41" s="43">
        <v>25024.6</v>
      </c>
      <c r="O41" s="43">
        <v>39241.199999999997</v>
      </c>
      <c r="P41" s="43">
        <v>53457.799999999996</v>
      </c>
      <c r="Q41" s="43">
        <v>67674.399999999994</v>
      </c>
      <c r="R41" s="38">
        <v>81891</v>
      </c>
      <c r="S41" s="43">
        <v>100657.8</v>
      </c>
      <c r="T41" s="43">
        <v>119424.6</v>
      </c>
      <c r="U41" s="43">
        <v>138191.4</v>
      </c>
      <c r="V41" s="43">
        <v>156958.19999999998</v>
      </c>
      <c r="W41" s="43">
        <v>175724.99999999997</v>
      </c>
      <c r="X41" s="43">
        <v>194491.79999999996</v>
      </c>
      <c r="Y41" s="43">
        <v>213258.59999999995</v>
      </c>
      <c r="Z41" s="43">
        <v>232025.39999999994</v>
      </c>
      <c r="AA41" s="43">
        <v>250792.19999999992</v>
      </c>
      <c r="AB41" s="38">
        <v>269559</v>
      </c>
      <c r="AC41" s="23"/>
      <c r="AD41" s="23"/>
      <c r="AE41" s="23"/>
      <c r="AF41" s="23"/>
      <c r="AG41" s="23"/>
      <c r="AH41" s="23"/>
      <c r="AI41" s="23"/>
      <c r="AJ41" s="23"/>
      <c r="AK41" s="23"/>
      <c r="AL41" s="24"/>
    </row>
    <row r="42" spans="2:40" x14ac:dyDescent="0.25">
      <c r="C42" s="23" t="s">
        <v>206</v>
      </c>
      <c r="D42" s="19" t="s">
        <v>213</v>
      </c>
      <c r="E42" s="22" t="s">
        <v>207</v>
      </c>
      <c r="F42" s="18"/>
      <c r="G42" s="18"/>
      <c r="H42" s="18"/>
      <c r="I42" s="18"/>
      <c r="J42" s="18"/>
      <c r="K42" s="18"/>
      <c r="L42" s="38">
        <v>22594</v>
      </c>
      <c r="M42" s="38">
        <v>31445.340470809999</v>
      </c>
      <c r="N42" s="38">
        <v>53015.009948920997</v>
      </c>
      <c r="O42" s="38">
        <v>74768.033133266013</v>
      </c>
      <c r="P42" s="38">
        <v>97085.80137452601</v>
      </c>
      <c r="Q42" s="38">
        <v>119719.602917269</v>
      </c>
      <c r="R42" s="38">
        <v>142350.36580480903</v>
      </c>
      <c r="S42" s="38">
        <v>165081.94181390601</v>
      </c>
      <c r="T42" s="38">
        <v>187346.88963736803</v>
      </c>
      <c r="U42" s="38">
        <v>210029.48462770402</v>
      </c>
      <c r="V42" s="38">
        <v>232675.82927241101</v>
      </c>
      <c r="W42" s="38">
        <v>254838.99066632299</v>
      </c>
      <c r="X42" s="38">
        <v>277005.17211469699</v>
      </c>
      <c r="Y42" s="38">
        <v>299162.26804125699</v>
      </c>
      <c r="Z42" s="38">
        <v>321719.28957132105</v>
      </c>
      <c r="AA42" s="38">
        <v>338758.85337760701</v>
      </c>
      <c r="AB42" s="38">
        <v>407140.970632207</v>
      </c>
      <c r="AC42" s="23"/>
      <c r="AD42" s="23"/>
      <c r="AE42" s="23"/>
      <c r="AF42" s="23"/>
      <c r="AG42" s="23"/>
      <c r="AH42" s="23"/>
      <c r="AI42" s="23"/>
      <c r="AJ42" s="23"/>
      <c r="AK42" s="23"/>
      <c r="AL42" s="24"/>
    </row>
    <row r="43" spans="2:40" x14ac:dyDescent="0.25">
      <c r="C43" s="23" t="s">
        <v>208</v>
      </c>
      <c r="D43" s="23"/>
      <c r="E43" s="22" t="s">
        <v>203</v>
      </c>
      <c r="F43" s="23"/>
      <c r="G43" s="23"/>
      <c r="H43" s="23"/>
      <c r="I43" s="23"/>
      <c r="J43" s="41">
        <v>8.9999999999999998E-4</v>
      </c>
      <c r="K43" s="41">
        <v>8.9999999999999998E-4</v>
      </c>
      <c r="L43" s="41">
        <v>1.4000000000000002E-3</v>
      </c>
      <c r="M43" s="41">
        <v>1.4000000000000002E-3</v>
      </c>
      <c r="N43" s="41">
        <v>1.4000000000000002E-3</v>
      </c>
      <c r="O43" s="41">
        <v>1.4000000000000002E-3</v>
      </c>
      <c r="P43" s="41">
        <v>1.5754000000000001E-2</v>
      </c>
      <c r="Q43" s="41">
        <v>3.0107999999999999E-2</v>
      </c>
      <c r="R43" s="41">
        <v>4.4462000000000002E-2</v>
      </c>
      <c r="S43" s="41">
        <v>9.401580000000001E-2</v>
      </c>
      <c r="T43" s="41">
        <v>0.14356960000000002</v>
      </c>
      <c r="U43" s="41">
        <v>0.1931234</v>
      </c>
      <c r="V43" s="41">
        <v>0.24267720000000001</v>
      </c>
      <c r="W43" s="41">
        <v>0.29223100000000002</v>
      </c>
      <c r="X43" s="41">
        <v>0.3417848</v>
      </c>
      <c r="Y43" s="41">
        <v>0.39133860000000004</v>
      </c>
      <c r="Z43" s="41">
        <v>0.44089240000000002</v>
      </c>
      <c r="AA43" s="41">
        <v>0.4904462</v>
      </c>
      <c r="AB43" s="41">
        <v>0.54</v>
      </c>
      <c r="AC43" s="23"/>
      <c r="AD43" s="23"/>
      <c r="AE43" s="23"/>
      <c r="AF43" s="23"/>
      <c r="AG43" s="23"/>
      <c r="AH43" s="23"/>
      <c r="AI43" s="23"/>
      <c r="AJ43" s="23"/>
      <c r="AK43" s="23"/>
      <c r="AL43" s="24"/>
    </row>
    <row r="44" spans="2:40" x14ac:dyDescent="0.25">
      <c r="C44" s="23" t="s">
        <v>209</v>
      </c>
      <c r="D44" s="19" t="s">
        <v>214</v>
      </c>
      <c r="E44" s="22" t="s">
        <v>203</v>
      </c>
      <c r="F44" s="23"/>
      <c r="G44" s="23"/>
      <c r="H44" s="23"/>
      <c r="I44" s="23"/>
      <c r="J44" s="41">
        <v>3.5999999999999995E-3</v>
      </c>
      <c r="K44" s="41">
        <v>3.5999999999999995E-3</v>
      </c>
      <c r="L44" s="41">
        <v>5.5999999999999999E-3</v>
      </c>
      <c r="M44" s="41">
        <v>5.5999999999999999E-3</v>
      </c>
      <c r="N44" s="41">
        <v>5.5999999999999999E-3</v>
      </c>
      <c r="O44" s="41">
        <v>5.5999999999999999E-3</v>
      </c>
      <c r="P44" s="41">
        <v>6.3015999999999989E-2</v>
      </c>
      <c r="Q44" s="41">
        <v>0.12043199999999998</v>
      </c>
      <c r="R44" s="41">
        <v>0.17784800000000001</v>
      </c>
      <c r="S44" s="41">
        <v>0.37606319999999999</v>
      </c>
      <c r="T44" s="41">
        <v>0.57427839999999997</v>
      </c>
      <c r="U44" s="41">
        <v>0.7724936</v>
      </c>
      <c r="V44" s="41">
        <v>0.97070879999999993</v>
      </c>
      <c r="W44" s="41">
        <v>1.1689240000000001</v>
      </c>
      <c r="X44" s="41">
        <v>1.3671392</v>
      </c>
      <c r="Y44" s="41">
        <v>1.5653543999999999</v>
      </c>
      <c r="Z44" s="41">
        <v>1.7635695999999998</v>
      </c>
      <c r="AA44" s="41">
        <v>1.9617848</v>
      </c>
      <c r="AB44" s="41">
        <v>2.16</v>
      </c>
      <c r="AC44" s="23"/>
      <c r="AD44" s="23"/>
      <c r="AE44" s="23"/>
      <c r="AF44" s="23"/>
      <c r="AG44" s="23"/>
      <c r="AH44" s="23"/>
      <c r="AI44" s="23"/>
      <c r="AJ44" s="23"/>
      <c r="AK44" s="23"/>
      <c r="AL44" s="24"/>
    </row>
    <row r="46" spans="2:40" x14ac:dyDescent="0.25">
      <c r="B46" s="9" t="s">
        <v>6</v>
      </c>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row>
    <row r="47" spans="2:40" x14ac:dyDescent="0.25">
      <c r="B47" s="9" t="s">
        <v>7</v>
      </c>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row>
    <row r="48" spans="2:40" x14ac:dyDescent="0.25">
      <c r="B48" s="8"/>
      <c r="C48" s="8"/>
      <c r="D48" s="8"/>
      <c r="E48" s="8"/>
      <c r="F48" s="8"/>
      <c r="G48" s="8"/>
      <c r="H48" s="8"/>
      <c r="I48" s="8"/>
      <c r="J48" s="8" t="s">
        <v>8</v>
      </c>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row>
    <row r="49" spans="2:44" x14ac:dyDescent="0.25">
      <c r="B49" s="13" t="s">
        <v>9</v>
      </c>
      <c r="C49" s="10" t="s">
        <v>10</v>
      </c>
      <c r="D49" s="10" t="s">
        <v>11</v>
      </c>
      <c r="E49" s="10" t="s">
        <v>12</v>
      </c>
      <c r="F49" s="10" t="s">
        <v>13</v>
      </c>
      <c r="G49" s="12" t="s">
        <v>14</v>
      </c>
      <c r="H49" s="12" t="s">
        <v>15</v>
      </c>
      <c r="I49" s="12" t="s">
        <v>16</v>
      </c>
      <c r="J49" s="12" t="s">
        <v>17</v>
      </c>
      <c r="K49" s="11" t="s">
        <v>210</v>
      </c>
      <c r="L49" s="14" t="s">
        <v>19</v>
      </c>
      <c r="M49" s="15" t="s">
        <v>20</v>
      </c>
      <c r="N49" s="15" t="s">
        <v>21</v>
      </c>
      <c r="O49" s="13" t="s">
        <v>22</v>
      </c>
      <c r="P49" s="8">
        <v>2019</v>
      </c>
      <c r="Q49" s="8">
        <v>2020</v>
      </c>
      <c r="R49" s="8">
        <v>2021</v>
      </c>
      <c r="S49" s="8">
        <v>2022</v>
      </c>
      <c r="T49" s="8">
        <v>2023</v>
      </c>
      <c r="U49" s="8">
        <v>2024</v>
      </c>
      <c r="V49" s="8">
        <v>2025</v>
      </c>
      <c r="W49" s="8">
        <v>2026</v>
      </c>
      <c r="X49" s="8">
        <v>2027</v>
      </c>
      <c r="Y49" s="8">
        <v>2028</v>
      </c>
      <c r="Z49" s="8">
        <v>2029</v>
      </c>
      <c r="AA49" s="8">
        <v>2030</v>
      </c>
      <c r="AB49" s="8">
        <v>2031</v>
      </c>
      <c r="AC49" s="8">
        <v>2032</v>
      </c>
      <c r="AD49" s="8">
        <v>2033</v>
      </c>
      <c r="AE49" s="8">
        <v>2034</v>
      </c>
      <c r="AF49" s="8">
        <v>2035</v>
      </c>
      <c r="AG49" s="8">
        <v>2036</v>
      </c>
      <c r="AH49" s="8">
        <v>2037</v>
      </c>
      <c r="AI49" s="8">
        <v>2038</v>
      </c>
      <c r="AJ49" s="8">
        <v>2039</v>
      </c>
      <c r="AK49" s="8">
        <v>2040</v>
      </c>
      <c r="AL49" s="8">
        <v>2041</v>
      </c>
      <c r="AM49" s="8">
        <v>2042</v>
      </c>
      <c r="AN49" s="8">
        <v>2043</v>
      </c>
      <c r="AO49" s="8">
        <v>2044</v>
      </c>
      <c r="AP49" s="8">
        <v>2045</v>
      </c>
      <c r="AQ49" s="8">
        <v>2046</v>
      </c>
      <c r="AR49" s="8">
        <v>2047</v>
      </c>
    </row>
    <row r="50" spans="2:44" x14ac:dyDescent="0.25">
      <c r="B50" s="8" t="s">
        <v>176</v>
      </c>
      <c r="D50" t="str">
        <f>_xlfn.TEXTJOIN(",",TRUE,D18:D19)</f>
        <v>R-RTFT-Apt_B3, R-RTFT-Apt_C, R-RTFT-Apt_D, R-RTFT-Att_B3, R-RTFT-Att_C, R-RTFT-Att_D, R-RTFT-Det_B3, R-RTFT-Det_C, R-RTFT-Det_D,R-RTFT-Apt_E, R-RTFT-Apt_F, R-RTFT-Apt_G, R-RTFT-Att_E, R-RTFT-Att_F, R-RTFT-Att_G, R-RTFT-Det_E, R-RTFT-Det_F, R-RTFT-Det_G</v>
      </c>
      <c r="J50" s="8" t="s">
        <v>23</v>
      </c>
      <c r="K50" s="8">
        <v>1</v>
      </c>
      <c r="L50" s="8"/>
      <c r="M50" s="8"/>
      <c r="N50" s="8">
        <v>5</v>
      </c>
      <c r="P50" s="16"/>
      <c r="Q50" s="16"/>
      <c r="R50" s="16"/>
      <c r="S50" s="16"/>
      <c r="T50" s="16"/>
      <c r="U50" s="16">
        <f>L41/1000</f>
        <v>30.29</v>
      </c>
      <c r="V50" s="16">
        <f>M41/1000+U50</f>
        <v>41.097999999999999</v>
      </c>
      <c r="W50" s="16">
        <f>N41/1000+$V$50</f>
        <v>66.122600000000006</v>
      </c>
      <c r="X50" s="16">
        <f t="shared" ref="X50:AK50" si="10">O41/1000+$V$50</f>
        <v>80.339200000000005</v>
      </c>
      <c r="Y50" s="16">
        <f t="shared" si="10"/>
        <v>94.555800000000005</v>
      </c>
      <c r="Z50" s="16">
        <f t="shared" si="10"/>
        <v>108.77239999999999</v>
      </c>
      <c r="AA50" s="16">
        <f t="shared" si="10"/>
        <v>122.989</v>
      </c>
      <c r="AB50" s="16">
        <f t="shared" si="10"/>
        <v>141.75580000000002</v>
      </c>
      <c r="AC50" s="16">
        <f t="shared" si="10"/>
        <v>160.52260000000001</v>
      </c>
      <c r="AD50" s="16">
        <f t="shared" si="10"/>
        <v>179.2894</v>
      </c>
      <c r="AE50" s="16">
        <f t="shared" si="10"/>
        <v>198.05619999999999</v>
      </c>
      <c r="AF50" s="16">
        <f t="shared" si="10"/>
        <v>216.82299999999998</v>
      </c>
      <c r="AG50" s="16">
        <f t="shared" si="10"/>
        <v>235.58979999999997</v>
      </c>
      <c r="AH50" s="16">
        <f t="shared" si="10"/>
        <v>254.35659999999996</v>
      </c>
      <c r="AI50" s="16">
        <f t="shared" si="10"/>
        <v>273.12339999999995</v>
      </c>
      <c r="AJ50" s="16">
        <f t="shared" si="10"/>
        <v>291.89019999999994</v>
      </c>
      <c r="AK50" s="16">
        <f t="shared" si="10"/>
        <v>310.65700000000004</v>
      </c>
      <c r="AL50" s="16"/>
      <c r="AM50" s="16"/>
      <c r="AN50" s="16"/>
      <c r="AO50" s="16"/>
      <c r="AP50" s="16"/>
      <c r="AQ50" s="16"/>
      <c r="AR50" s="16"/>
    </row>
    <row r="51" spans="2:44" x14ac:dyDescent="0.25">
      <c r="B51" s="8" t="s">
        <v>178</v>
      </c>
      <c r="D51" t="str">
        <f>_xlfn.TEXTJOIN(",",TRUE,D20,D22,D24)</f>
        <v>R-HC_Apt_ELC_HPN1, R-HC_Apt_ELC_HPN2-AB, R-HC_Apt_ELC_HPN2-C, R-HC_Apt_ELC_HPN2-D, R-HC_Apt_ELC_HPN2-E, R-HC_Apt_ELC_HPN2-F, R-HC_Apt_ELC_HPN2-G, R-SH_Apt_ELC_HPN1, R-SH_Apt_ELC_HPN2-AB, R-SH_Apt_ELC_HPN2-C, R-SH_Apt_ELC_HPN2-D, R-SH_Apt_ELC_HPN2-E, R-SH_Apt_ELC_HPN2-F, R-SH_Apt_ELC_HPN2-G, R-SH_Apt_ELC_HPN3-AB, R-SH_Apt_ELC_HPN3-C, R-SH_Apt_ELC_HPN3-D, R-SH_Apt_ELC_HPN3-E, R-SH_Apt_ELC_HPN3-F, R-SH_Apt_ELC_HPN3-G, R-SW_Apt_ELC_HPN1-AB, R-SW_Apt_ELC_HPN1-C, R-SW_Apt_ELC_HPN1-D, R-SW_Apt_ELC_HPN1-E, R-SW_Apt_ELC_HPN1-F, R-SW_Apt_ELC_HPN1-G, R-SW_Apt_GAS_HHPN1, R-SW_Apt_GAS_HPN1, R-SW_Apt_GAS_HPN2,R-HC_Att_ELC_HPN1, R-HC_Att_ELC_HPN2-AB, R-HC_Att_ELC_HPN2-C, R-HC_Att_ELC_HPN2-D, R-HC_Att_ELC_HPN2-E, R-HC_Att_ELC_HPN2-F, R-HC_Att_ELC_HPN2-G, R-SH_Att_ELC_HPN1, R-SH_Att_ELC_HPN2-AB, R-SH_Att_ELC_HPN2-C, R-SH_Att_ELC_HPN2-D, R-SH_Att_ELC_HPN2-E, R-SH_Att_ELC_HPN2-F, R-SH_Att_ELC_HPN2-G, R-SH_Att_ELC_HPN3-AB, R-SH_Att_ELC_HPN3-C, R-SH_Att_ELC_HPN3-D, R-SH_Att_ELC_HPN3-E, R-SH_Att_ELC_HPN3-F, R-SH_Att_ELC_HPN3-G, R-SW_Att_ELC_HPN1-AB, R-SW_Att_ELC_HPN1-C, R-SW_Att_ELC_HPN1-D, R-SW_Att_ELC_HPN1-E, R-SW_Att_ELC_HPN1-F, R-SW_Att_ELC_HPN1-G, R-SW_Att_ELC_HPN2-AB, R-SW_Att_ELC_HPN2-C, R-SW_Att_ELC_HPN2-D, R-SW_Att_ELC_HPN2-E, R-SW_Att_ELC_HPN2-F, R-SW_Att_ELC_HPN2-G, R-SW_Att_GAS_HHPN1, R-SW_Att_GAS_HPN1, R-SW_Att_GAS_HPN2,R-SH_Det_ELC_HPN2-AB, R-SH_Det_ELC_HPN2-C, R-SH_Det_ELC_HPN2-D, R-SH_Det_ELC_HPN2-E, R-SH_Det_ELC_HPN2-F, R-SH_Det_ELC_HPN2-G, R-SH_Det_ELC_HPN3-AB, R-SH_Det_ELC_HPN3-C, R-SH_Det_ELC_HPN3-D, R-SH_Det_ELC_HPN3-E, R-SH_Det_ELC_HPN3-F, R-SH_Det_ELC_HPN3-G, R-SW_Det_ELC_HPN1-AB, R-SW_Det_ELC_HPN1-C, R-SW_Det_ELC_HPN1-D, R-SW_Det_ELC_HPN1-E, R-SW_Det_ELC_HPN1-F, R-SW_Det_ELC_HPN1-G, R-SW_Det_ELC_HPN2-AB, R-SW_Det_ELC_HPN2-C, R-SW_Det_ELC_HPN2-D, R-SW_Det_ELC_HPN2-E, R-SW_Det_ELC_HPN2-F, R-SW_Det_ELC_HPN2-G, R-SW_Det_GAS_HHPN1, R-SW_Det_GAS_HPN1</v>
      </c>
      <c r="J51" s="8" t="s">
        <v>23</v>
      </c>
      <c r="K51" s="8">
        <v>1</v>
      </c>
      <c r="L51" s="8"/>
      <c r="M51" s="8"/>
      <c r="N51" s="8">
        <v>5</v>
      </c>
      <c r="P51" s="16"/>
      <c r="Q51" s="16"/>
      <c r="R51" s="16"/>
      <c r="S51" s="16"/>
      <c r="T51" s="16"/>
      <c r="U51" s="16">
        <f>L42/1000</f>
        <v>22.594000000000001</v>
      </c>
      <c r="V51" s="16">
        <f>M42/1000</f>
        <v>31.445340470809999</v>
      </c>
      <c r="W51" s="16">
        <f t="shared" ref="W50:AA51" si="11">N42/1000</f>
        <v>53.015009948920998</v>
      </c>
      <c r="X51" s="16">
        <f t="shared" si="11"/>
        <v>74.768033133266016</v>
      </c>
      <c r="Y51" s="16">
        <f t="shared" si="11"/>
        <v>97.085801374526014</v>
      </c>
      <c r="Z51" s="16">
        <f t="shared" si="11"/>
        <v>119.719602917269</v>
      </c>
      <c r="AA51" s="16">
        <f t="shared" si="11"/>
        <v>142.35036580480903</v>
      </c>
      <c r="AB51" s="16">
        <f t="shared" ref="AB50:AB51" si="12">S42/1000</f>
        <v>165.08194181390601</v>
      </c>
      <c r="AC51" s="16">
        <f t="shared" ref="AC50:AC51" si="13">T42/1000</f>
        <v>187.34688963736804</v>
      </c>
      <c r="AD51" s="16">
        <f t="shared" ref="AD50:AD51" si="14">U42/1000</f>
        <v>210.02948462770402</v>
      </c>
      <c r="AE51" s="16">
        <f t="shared" ref="AE50:AE51" si="15">V42/1000</f>
        <v>232.67582927241099</v>
      </c>
      <c r="AF51" s="16">
        <f t="shared" ref="AF50:AF51" si="16">W42/1000</f>
        <v>254.83899066632299</v>
      </c>
      <c r="AG51" s="16">
        <f t="shared" ref="AG50:AG51" si="17">X42/1000</f>
        <v>277.00517211469702</v>
      </c>
      <c r="AH51" s="16">
        <f t="shared" ref="AH50:AH51" si="18">Y42/1000</f>
        <v>299.16226804125699</v>
      </c>
      <c r="AI51" s="16">
        <f t="shared" ref="AI50:AI51" si="19">Z42/1000</f>
        <v>321.71928957132104</v>
      </c>
      <c r="AJ51" s="16">
        <f t="shared" ref="AJ50:AJ51" si="20">AA42/1000</f>
        <v>338.75885337760701</v>
      </c>
      <c r="AK51" s="16">
        <f t="shared" ref="AK50:AK51" si="21">AB42/1000</f>
        <v>407.14097063220697</v>
      </c>
      <c r="AL51" s="16"/>
      <c r="AM51" s="16"/>
      <c r="AN51" s="16"/>
      <c r="AO51" s="16"/>
      <c r="AP51" s="16"/>
      <c r="AQ51" s="16"/>
      <c r="AR51" s="16"/>
    </row>
    <row r="52" spans="2:44" x14ac:dyDescent="0.25">
      <c r="B52" s="8" t="s">
        <v>181</v>
      </c>
      <c r="D52" s="45" t="s">
        <v>215</v>
      </c>
      <c r="G52" s="45" t="s">
        <v>216</v>
      </c>
      <c r="J52" s="8" t="s">
        <v>23</v>
      </c>
      <c r="K52" s="8"/>
      <c r="L52">
        <v>1</v>
      </c>
      <c r="N52" s="8">
        <v>5</v>
      </c>
      <c r="P52" s="16"/>
      <c r="Q52" s="16"/>
      <c r="R52" s="16"/>
      <c r="S52" s="16"/>
      <c r="T52" s="16"/>
      <c r="U52" s="16">
        <f>L43*3.6</f>
        <v>5.0400000000000011E-3</v>
      </c>
      <c r="V52" s="16">
        <f t="shared" ref="V52:Z52" si="22">M43*3.6</f>
        <v>5.0400000000000011E-3</v>
      </c>
      <c r="W52" s="16">
        <f t="shared" si="22"/>
        <v>5.0400000000000011E-3</v>
      </c>
      <c r="X52" s="16">
        <f t="shared" si="22"/>
        <v>5.0400000000000011E-3</v>
      </c>
      <c r="Y52" s="16">
        <f t="shared" si="22"/>
        <v>5.6714400000000005E-2</v>
      </c>
      <c r="Z52" s="16">
        <f t="shared" si="22"/>
        <v>0.10838879999999999</v>
      </c>
      <c r="AA52" s="16">
        <f>R43*3.6</f>
        <v>0.16006320000000002</v>
      </c>
      <c r="AB52" s="16">
        <f t="shared" ref="AB52:AK52" si="23">S43*3.6</f>
        <v>0.33845688000000007</v>
      </c>
      <c r="AC52" s="16">
        <f t="shared" si="23"/>
        <v>0.51685056000000007</v>
      </c>
      <c r="AD52" s="16">
        <f t="shared" si="23"/>
        <v>0.69524424000000007</v>
      </c>
      <c r="AE52" s="16">
        <f t="shared" si="23"/>
        <v>0.87363792000000007</v>
      </c>
      <c r="AF52" s="16">
        <f t="shared" si="23"/>
        <v>1.0520316000000001</v>
      </c>
      <c r="AG52" s="16">
        <f t="shared" si="23"/>
        <v>1.23042528</v>
      </c>
      <c r="AH52" s="16">
        <f t="shared" si="23"/>
        <v>1.4088189600000001</v>
      </c>
      <c r="AI52" s="16">
        <f t="shared" si="23"/>
        <v>1.5872126400000002</v>
      </c>
      <c r="AJ52" s="16">
        <f t="shared" si="23"/>
        <v>1.7656063200000001</v>
      </c>
      <c r="AK52" s="16">
        <f t="shared" si="23"/>
        <v>1.9440000000000002</v>
      </c>
      <c r="AL52" s="16"/>
      <c r="AM52" s="16"/>
      <c r="AN52" s="16"/>
      <c r="AO52" s="16"/>
      <c r="AP52" s="16"/>
      <c r="AQ52" s="16"/>
      <c r="AR52" s="16"/>
    </row>
    <row r="53" spans="2:44" x14ac:dyDescent="0.25">
      <c r="B53" s="8"/>
      <c r="J53" s="8"/>
      <c r="K53" s="8"/>
      <c r="N53" s="8"/>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row>
    <row r="54" spans="2:44" x14ac:dyDescent="0.25">
      <c r="B54" s="8"/>
      <c r="J54" s="8"/>
      <c r="K54" s="8"/>
      <c r="N54" s="8"/>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row>
    <row r="55" spans="2:44" x14ac:dyDescent="0.25">
      <c r="B55" s="8"/>
      <c r="J55" s="8"/>
      <c r="K55" s="8"/>
      <c r="N55" s="8"/>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row>
    <row r="56" spans="2:44" x14ac:dyDescent="0.25">
      <c r="B56" s="8"/>
      <c r="J56" s="8"/>
      <c r="K56" s="8"/>
      <c r="N56" s="8"/>
    </row>
  </sheetData>
  <phoneticPr fontId="30" type="noConversion"/>
  <conditionalFormatting sqref="D3:AI9">
    <cfRule type="cellIs" dxfId="0" priority="2" operator="lessThan">
      <formula>0.001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2C1C-4194-41D2-89A9-1D7E416B4493}">
  <dimension ref="A1:AI148"/>
  <sheetViews>
    <sheetView topLeftCell="A73" workbookViewId="0">
      <selection activeCell="D86" sqref="D86:D95"/>
    </sheetView>
  </sheetViews>
  <sheetFormatPr defaultRowHeight="15" x14ac:dyDescent="0.25"/>
  <cols>
    <col min="1" max="1" width="18.28515625" customWidth="1"/>
    <col min="2" max="2" width="22.28515625" customWidth="1"/>
  </cols>
  <sheetData>
    <row r="1" spans="1:35" x14ac:dyDescent="0.25">
      <c r="A1" s="2" t="s">
        <v>0</v>
      </c>
      <c r="B1" t="s">
        <v>2</v>
      </c>
      <c r="C1" s="2" t="s">
        <v>4</v>
      </c>
    </row>
    <row r="2" spans="1:35" x14ac:dyDescent="0.25">
      <c r="A2" s="2" t="s">
        <v>1</v>
      </c>
      <c r="B2" s="2" t="s">
        <v>3</v>
      </c>
      <c r="C2" s="4">
        <v>2019</v>
      </c>
      <c r="D2" s="4">
        <v>2020</v>
      </c>
      <c r="E2" s="4">
        <v>2021</v>
      </c>
      <c r="F2" s="4">
        <v>2022</v>
      </c>
      <c r="G2" s="4">
        <v>2023</v>
      </c>
      <c r="H2" s="4">
        <v>2024</v>
      </c>
      <c r="I2" s="4">
        <v>2025</v>
      </c>
      <c r="J2" s="4">
        <v>2026</v>
      </c>
      <c r="K2" s="4">
        <v>2027</v>
      </c>
      <c r="L2" s="4">
        <v>2028</v>
      </c>
      <c r="M2" s="4">
        <v>2029</v>
      </c>
      <c r="N2" s="4">
        <v>2030</v>
      </c>
      <c r="O2" s="4">
        <v>2031</v>
      </c>
      <c r="P2" s="4">
        <v>2032</v>
      </c>
      <c r="Q2" s="4">
        <v>2033</v>
      </c>
      <c r="R2" s="4">
        <v>2034</v>
      </c>
      <c r="S2" s="4">
        <v>2035</v>
      </c>
      <c r="T2" s="4">
        <v>2036</v>
      </c>
      <c r="U2" s="4">
        <v>2037</v>
      </c>
      <c r="V2" s="4">
        <v>2038</v>
      </c>
      <c r="W2" s="4">
        <v>2039</v>
      </c>
      <c r="X2" s="4">
        <v>2040</v>
      </c>
      <c r="Y2" s="4">
        <v>2041</v>
      </c>
      <c r="Z2" s="4">
        <v>2042</v>
      </c>
      <c r="AA2" s="4">
        <v>2043</v>
      </c>
      <c r="AB2" s="4">
        <v>2044</v>
      </c>
      <c r="AC2" s="4">
        <v>2045</v>
      </c>
      <c r="AD2" s="4">
        <v>2046</v>
      </c>
      <c r="AE2" s="4">
        <v>2047</v>
      </c>
      <c r="AF2" s="4">
        <v>2048</v>
      </c>
      <c r="AG2" s="4">
        <v>2049</v>
      </c>
      <c r="AH2" s="4">
        <v>2050</v>
      </c>
      <c r="AI2" s="4">
        <v>2051</v>
      </c>
    </row>
    <row r="3" spans="1:35" x14ac:dyDescent="0.25">
      <c r="A3" s="3" t="s">
        <v>24</v>
      </c>
      <c r="B3" s="3" t="s">
        <v>25</v>
      </c>
      <c r="C3" s="5">
        <v>1.71600344388918E-8</v>
      </c>
      <c r="D3" s="5">
        <v>3.8102818835527502E-8</v>
      </c>
      <c r="E3" s="5">
        <v>12.2787972118916</v>
      </c>
      <c r="F3" s="5">
        <v>19.825401544080101</v>
      </c>
      <c r="G3" s="5">
        <v>24.044882597218798</v>
      </c>
      <c r="H3" s="5">
        <v>19.758847408422799</v>
      </c>
      <c r="I3" s="5">
        <v>1.0218077059933299E-6</v>
      </c>
      <c r="J3" s="5">
        <v>2.7234303465905798E-7</v>
      </c>
      <c r="K3" s="5">
        <v>17.689611403907701</v>
      </c>
      <c r="L3" s="5">
        <v>9.7204248779000508</v>
      </c>
      <c r="M3" s="5">
        <v>5.7371397069347696E-7</v>
      </c>
      <c r="N3" s="5">
        <v>3.1707238416592802E-7</v>
      </c>
      <c r="O3" s="5">
        <v>2.4137496135232599E-7</v>
      </c>
      <c r="P3" s="5">
        <v>2.29451892082442E-7</v>
      </c>
      <c r="Q3" s="5">
        <v>2.23764578653713E-7</v>
      </c>
      <c r="R3" s="5">
        <v>2.1291969690757199E-7</v>
      </c>
      <c r="S3" s="5">
        <v>2.3655244375764599E-7</v>
      </c>
      <c r="T3" s="5">
        <v>1.9900107277963699E-7</v>
      </c>
      <c r="U3" s="5">
        <v>2.0624173485171801E-7</v>
      </c>
      <c r="V3" s="5">
        <v>2.1404149304487799E-7</v>
      </c>
      <c r="W3" s="5">
        <v>2.2503014836585E-7</v>
      </c>
      <c r="X3" s="5">
        <v>2.4856520369333201E-7</v>
      </c>
      <c r="Y3" s="5">
        <v>2.3921011796882102E-7</v>
      </c>
      <c r="Z3" s="5">
        <v>2.45696376395314E-7</v>
      </c>
      <c r="AA3" s="5">
        <v>6.5181817060565101E-7</v>
      </c>
      <c r="AB3" s="5">
        <v>15.7488973406252</v>
      </c>
      <c r="AC3" s="5">
        <v>24.3950974569454</v>
      </c>
      <c r="AD3" s="5">
        <v>22.068061968824399</v>
      </c>
      <c r="AE3" s="5">
        <v>1.99768133272174</v>
      </c>
      <c r="AF3" s="5">
        <v>2.1824728112026599</v>
      </c>
      <c r="AG3" s="5">
        <v>19.563299640847699</v>
      </c>
      <c r="AH3" s="5">
        <v>12.036995097626599</v>
      </c>
      <c r="AI3" s="5">
        <v>2.9276261944037E-7</v>
      </c>
    </row>
    <row r="4" spans="1:35" x14ac:dyDescent="0.25">
      <c r="A4" s="3" t="s">
        <v>24</v>
      </c>
      <c r="B4" s="3" t="s">
        <v>26</v>
      </c>
      <c r="C4" s="5">
        <v>1.3715229914930001E-8</v>
      </c>
      <c r="D4" s="5">
        <v>1.9185486424689501E-8</v>
      </c>
      <c r="E4" s="5">
        <v>1.3095954887743101E-7</v>
      </c>
      <c r="F4" s="5">
        <v>1.66454941338377E-7</v>
      </c>
      <c r="G4" s="5">
        <v>1.6787947106755501E-7</v>
      </c>
      <c r="H4" s="5">
        <v>1.78863915758194E-7</v>
      </c>
      <c r="I4" s="5">
        <v>1.8728162792331E-7</v>
      </c>
      <c r="J4" s="5">
        <v>1.8952865869303E-7</v>
      </c>
      <c r="K4" s="5">
        <v>2.3918147870734003E-7</v>
      </c>
      <c r="L4" s="5">
        <v>2.6451057017168699E-7</v>
      </c>
      <c r="M4" s="5">
        <v>2.80014131165201E-7</v>
      </c>
      <c r="N4" s="5">
        <v>2.9643337981349297E-7</v>
      </c>
      <c r="O4" s="5">
        <v>3.1513227607400499E-7</v>
      </c>
      <c r="P4" s="5">
        <v>3.3732518940633497E-7</v>
      </c>
      <c r="Q4" s="5">
        <v>3.5222904003548399E-7</v>
      </c>
      <c r="R4" s="5">
        <v>3.6693381384787101E-7</v>
      </c>
      <c r="S4" s="5">
        <v>3.8230974797940098E-7</v>
      </c>
      <c r="T4" s="5">
        <v>3.98898710435796E-7</v>
      </c>
      <c r="U4" s="5">
        <v>4.1527780874581901E-7</v>
      </c>
      <c r="V4" s="5">
        <v>4.3183090179177401E-7</v>
      </c>
      <c r="W4" s="5">
        <v>4.4815633091678901E-7</v>
      </c>
      <c r="X4" s="5">
        <v>4.6461562652436999E-7</v>
      </c>
      <c r="Y4" s="5">
        <v>4.7808187786257996E-7</v>
      </c>
      <c r="Z4" s="5">
        <v>4.9316100179426796E-7</v>
      </c>
      <c r="AA4" s="5">
        <v>5.0840052942411097E-7</v>
      </c>
      <c r="AB4" s="5">
        <v>5.2358937071290997E-7</v>
      </c>
      <c r="AC4" s="5">
        <v>5.3977745211033901E-7</v>
      </c>
      <c r="AD4" s="5">
        <v>5.5647794774757098E-7</v>
      </c>
      <c r="AE4" s="5">
        <v>5.7232388986782904E-7</v>
      </c>
      <c r="AF4" s="5">
        <v>5.8767911764577798E-7</v>
      </c>
      <c r="AG4" s="5">
        <v>6.0516494011638299E-7</v>
      </c>
      <c r="AH4" s="5">
        <v>6.2108202063812897E-7</v>
      </c>
      <c r="AI4" s="5">
        <v>6.2344680916243996E-7</v>
      </c>
    </row>
    <row r="5" spans="1:35" x14ac:dyDescent="0.25">
      <c r="A5" s="3" t="s">
        <v>24</v>
      </c>
      <c r="B5" s="3" t="s">
        <v>27</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5">
        <v>1.18423581058336E-8</v>
      </c>
      <c r="AI5" s="5">
        <v>1.38728280425417E-8</v>
      </c>
    </row>
    <row r="6" spans="1:35" x14ac:dyDescent="0.25">
      <c r="A6" s="3" t="s">
        <v>24</v>
      </c>
      <c r="B6" s="3" t="s">
        <v>28</v>
      </c>
      <c r="C6" s="5">
        <v>1.52622373787055E-8</v>
      </c>
      <c r="D6" s="5">
        <v>1.51191787479432E-8</v>
      </c>
      <c r="E6" s="5">
        <v>14.819727792272699</v>
      </c>
      <c r="F6" s="5">
        <v>1.16845812796378E-7</v>
      </c>
      <c r="G6" s="5">
        <v>1.50193220679736E-7</v>
      </c>
      <c r="H6" s="5">
        <v>1.32476976232363E-7</v>
      </c>
      <c r="I6" s="5">
        <v>1.17965473485774E-7</v>
      </c>
      <c r="J6" s="5">
        <v>9.4790671116325803E-8</v>
      </c>
      <c r="K6" s="5">
        <v>3.6271754007896002E-7</v>
      </c>
      <c r="L6" s="5">
        <v>7.8588961465574902</v>
      </c>
      <c r="M6" s="5">
        <v>12.991166759847999</v>
      </c>
      <c r="N6" s="5">
        <v>16.261577841470601</v>
      </c>
      <c r="O6" s="5">
        <v>27.8352399662468</v>
      </c>
      <c r="P6" s="5">
        <v>20.397975326375899</v>
      </c>
      <c r="Q6" s="5">
        <v>20.012235728794401</v>
      </c>
      <c r="R6" s="5">
        <v>20.151130146618499</v>
      </c>
      <c r="S6" s="5">
        <v>20.216069643156501</v>
      </c>
      <c r="T6" s="5">
        <v>20.276700587222901</v>
      </c>
      <c r="U6" s="5">
        <v>20.453009071581501</v>
      </c>
      <c r="V6" s="5">
        <v>20.604244579399101</v>
      </c>
      <c r="W6" s="5">
        <v>39.198114951022902</v>
      </c>
      <c r="X6" s="5">
        <v>30.463963758073898</v>
      </c>
      <c r="Y6" s="5">
        <v>3.39064240138726</v>
      </c>
      <c r="Z6" s="5">
        <v>23.871186268802699</v>
      </c>
      <c r="AA6" s="5">
        <v>43.062372465502101</v>
      </c>
      <c r="AB6" s="5">
        <v>20.148851136426899</v>
      </c>
      <c r="AC6" s="5">
        <v>16.712630415525599</v>
      </c>
      <c r="AD6" s="5">
        <v>13.3943353753785</v>
      </c>
      <c r="AE6" s="5">
        <v>13.6972864693871</v>
      </c>
      <c r="AF6" s="5">
        <v>13.543873669474801</v>
      </c>
      <c r="AG6" s="5">
        <v>13.474311025888399</v>
      </c>
      <c r="AH6" s="5">
        <v>21.242618594051098</v>
      </c>
      <c r="AI6" s="5">
        <v>26.345319960574098</v>
      </c>
    </row>
    <row r="7" spans="1:35" x14ac:dyDescent="0.25">
      <c r="A7" s="3" t="s">
        <v>29</v>
      </c>
      <c r="B7" s="3" t="s">
        <v>30</v>
      </c>
      <c r="C7" s="6"/>
      <c r="D7" s="6"/>
      <c r="E7" s="5">
        <v>1.1522512521274799E-8</v>
      </c>
      <c r="F7" s="5">
        <v>2.7696676482813001E-8</v>
      </c>
      <c r="G7" s="5">
        <v>5.3280628327016399E-8</v>
      </c>
      <c r="H7" s="5">
        <v>1.26471524286249E-7</v>
      </c>
      <c r="I7" s="5">
        <v>17.874577612414399</v>
      </c>
      <c r="J7" s="5">
        <v>0.109295431515193</v>
      </c>
      <c r="K7" s="5">
        <v>0.101228403060352</v>
      </c>
      <c r="L7" s="5">
        <v>9.7261507742364403E-2</v>
      </c>
      <c r="M7" s="5">
        <v>9.1833589574941601E-2</v>
      </c>
      <c r="N7" s="5">
        <v>8.6427389689081202E-2</v>
      </c>
      <c r="O7" s="5">
        <v>4.0534341271365997E-3</v>
      </c>
      <c r="P7" s="5">
        <v>0.322279887454266</v>
      </c>
      <c r="Q7" s="5">
        <v>0.13578369686352501</v>
      </c>
      <c r="R7" s="5">
        <v>7.0142981427654399E-7</v>
      </c>
      <c r="S7" s="5">
        <v>4.0532406521378702E-3</v>
      </c>
      <c r="T7" s="5">
        <v>1.8133578935494199E-7</v>
      </c>
      <c r="U7" s="5">
        <v>1.4602839594140901E-7</v>
      </c>
      <c r="V7" s="5">
        <v>1.2174235533796699E-7</v>
      </c>
      <c r="W7" s="5">
        <v>1.03023077169624E-7</v>
      </c>
      <c r="X7" s="5">
        <v>2.0039926934586901E-7</v>
      </c>
      <c r="Y7" s="5">
        <v>7.2151308375248395E-8</v>
      </c>
      <c r="Z7" s="5">
        <v>5.5201908703580497E-8</v>
      </c>
      <c r="AA7" s="5">
        <v>2.0444510634883201E-7</v>
      </c>
      <c r="AB7" s="5">
        <v>1.52184467948946</v>
      </c>
      <c r="AC7" s="5">
        <v>18.0244249604375</v>
      </c>
      <c r="AD7" s="5">
        <v>0.25975663159302698</v>
      </c>
      <c r="AE7" s="5">
        <v>0.25204195152567599</v>
      </c>
      <c r="AF7" s="5">
        <v>0.24822079596684599</v>
      </c>
      <c r="AG7" s="5">
        <v>0.242529527733195</v>
      </c>
      <c r="AH7" s="5">
        <v>0.23673272389598499</v>
      </c>
      <c r="AI7" s="5">
        <v>2.37417519261952E-7</v>
      </c>
    </row>
    <row r="8" spans="1:35" x14ac:dyDescent="0.25">
      <c r="A8" s="3" t="s">
        <v>29</v>
      </c>
      <c r="B8" s="3" t="s">
        <v>31</v>
      </c>
      <c r="C8" s="6"/>
      <c r="D8" s="6"/>
      <c r="E8" s="5">
        <v>1.7445126588953101E-8</v>
      </c>
      <c r="F8" s="5">
        <v>8.3952821156653301E-8</v>
      </c>
      <c r="G8" s="5">
        <v>3.0157090056944601E-7</v>
      </c>
      <c r="H8" s="5">
        <v>9.6173418004590193E-7</v>
      </c>
      <c r="I8" s="5">
        <v>2.9137049562839699</v>
      </c>
      <c r="J8" s="5">
        <v>17.007108046505302</v>
      </c>
      <c r="K8" s="5">
        <v>2.2318180363610199E-7</v>
      </c>
      <c r="L8" s="5">
        <v>1.13366280965782E-7</v>
      </c>
      <c r="M8" s="5">
        <v>7.7988576774683994E-8</v>
      </c>
      <c r="N8" s="5">
        <v>6.0213780619136901E-8</v>
      </c>
      <c r="O8" s="5">
        <v>2.0872897642278199E-8</v>
      </c>
      <c r="P8" s="5">
        <v>2.0392391846919899E-8</v>
      </c>
      <c r="Q8" s="5">
        <v>1.9437912659829101E-8</v>
      </c>
      <c r="R8" s="5">
        <v>1.7268970270868601E-8</v>
      </c>
      <c r="S8" s="5">
        <v>1.71147317683429E-8</v>
      </c>
      <c r="T8" s="5">
        <v>1.5765632937394699E-8</v>
      </c>
      <c r="U8" s="5">
        <v>1.51771060960761E-8</v>
      </c>
      <c r="V8" s="5">
        <v>1.4582609400544599E-8</v>
      </c>
      <c r="W8" s="5">
        <v>1.39699286050961E-8</v>
      </c>
      <c r="X8" s="5">
        <v>1.4933732106303099E-8</v>
      </c>
      <c r="Y8" s="5">
        <v>1.4657025602661201E-8</v>
      </c>
      <c r="Z8" s="5">
        <v>1.6563992938041899E-8</v>
      </c>
      <c r="AA8" s="5">
        <v>2.5393330848712399E-8</v>
      </c>
      <c r="AB8" s="5">
        <v>5.14649117042042E-8</v>
      </c>
      <c r="AC8" s="5">
        <v>8.6790911421594501E-5</v>
      </c>
      <c r="AD8" s="5">
        <v>19.164945278241401</v>
      </c>
      <c r="AE8" s="5">
        <v>1.7015881405622199E-6</v>
      </c>
      <c r="AF8" s="5">
        <v>2.1302274119717E-7</v>
      </c>
      <c r="AG8" s="5">
        <v>1.32694501629412E-7</v>
      </c>
      <c r="AH8" s="5">
        <v>6.8191493578819706E-8</v>
      </c>
      <c r="AI8" s="5">
        <v>2.4130221508066299E-8</v>
      </c>
    </row>
    <row r="9" spans="1:35" x14ac:dyDescent="0.25">
      <c r="A9" s="3" t="s">
        <v>29</v>
      </c>
      <c r="B9" s="3" t="s">
        <v>32</v>
      </c>
      <c r="C9" s="6"/>
      <c r="D9" s="6"/>
      <c r="E9" s="5">
        <v>1.02255327161597E-8</v>
      </c>
      <c r="F9" s="5">
        <v>2.2538504878737399E-8</v>
      </c>
      <c r="G9" s="5">
        <v>3.9988664673963503E-8</v>
      </c>
      <c r="H9" s="5">
        <v>9.8009633710508105E-8</v>
      </c>
      <c r="I9" s="5">
        <v>0.13569612216729701</v>
      </c>
      <c r="J9" s="5">
        <v>4.61751393147886</v>
      </c>
      <c r="K9" s="5">
        <v>2.46672341882755</v>
      </c>
      <c r="L9" s="5">
        <v>2.4651633978528298</v>
      </c>
      <c r="M9" s="5">
        <v>2.4668794514993899</v>
      </c>
      <c r="N9" s="5">
        <v>2.4668772829863501</v>
      </c>
      <c r="O9" s="5">
        <v>2.9729468092031501E-8</v>
      </c>
      <c r="P9" s="5">
        <v>3.1321754007874702E-8</v>
      </c>
      <c r="Q9" s="5">
        <v>3.09495516214548E-8</v>
      </c>
      <c r="R9" s="5">
        <v>2.8624565757384099E-8</v>
      </c>
      <c r="S9" s="5">
        <v>3.0530716241262802E-8</v>
      </c>
      <c r="T9" s="5">
        <v>2.8112014803533499E-8</v>
      </c>
      <c r="U9" s="5">
        <v>2.8374772141654499E-8</v>
      </c>
      <c r="V9" s="5">
        <v>2.8642240929086398E-8</v>
      </c>
      <c r="W9" s="5">
        <v>2.8845195100356299E-8</v>
      </c>
      <c r="X9" s="5">
        <v>3.4576198825355199E-8</v>
      </c>
      <c r="Y9" s="5">
        <v>2.8427456886416102E-8</v>
      </c>
      <c r="Z9" s="5">
        <v>2.75618172887076E-8</v>
      </c>
      <c r="AA9" s="5">
        <v>4.4354145018752103E-8</v>
      </c>
      <c r="AB9" s="5">
        <v>6.3733711529463398E-8</v>
      </c>
      <c r="AC9" s="5">
        <v>1.0537359494197599E-7</v>
      </c>
      <c r="AD9" s="5">
        <v>3.2492196230677098E-7</v>
      </c>
      <c r="AE9" s="5">
        <v>1.0014549095327499E-6</v>
      </c>
      <c r="AF9" s="5">
        <v>5.79924316942142E-7</v>
      </c>
      <c r="AG9" s="5">
        <v>0.36953177881277599</v>
      </c>
      <c r="AH9" s="5">
        <v>1.19268672995032E-6</v>
      </c>
      <c r="AI9" s="5">
        <v>5.3692020542095E-8</v>
      </c>
    </row>
    <row r="10" spans="1:35" x14ac:dyDescent="0.25">
      <c r="A10" s="3" t="s">
        <v>29</v>
      </c>
      <c r="B10" s="3" t="s">
        <v>33</v>
      </c>
      <c r="C10" s="6"/>
      <c r="D10" s="6"/>
      <c r="E10" s="6"/>
      <c r="F10" s="5">
        <v>1.07101928754546E-8</v>
      </c>
      <c r="G10" s="5">
        <v>1.34516295040038E-8</v>
      </c>
      <c r="H10" s="5">
        <v>1.6704031187147399E-8</v>
      </c>
      <c r="I10" s="5">
        <v>2.1296103372330101E-8</v>
      </c>
      <c r="J10" s="5">
        <v>2.28597230731359E-8</v>
      </c>
      <c r="K10" s="5">
        <v>2.5956200491646101E-8</v>
      </c>
      <c r="L10" s="5">
        <v>2.9913098319931699E-8</v>
      </c>
      <c r="M10" s="5">
        <v>3.4821987340357497E-8</v>
      </c>
      <c r="N10" s="5">
        <v>4.1223325592796199E-8</v>
      </c>
      <c r="O10" s="5">
        <v>1.9850242025248802E-8</v>
      </c>
      <c r="P10" s="5">
        <v>2.0939980952747799E-8</v>
      </c>
      <c r="Q10" s="5">
        <v>2.08082779710919E-8</v>
      </c>
      <c r="R10" s="5">
        <v>2.0068166775381499E-8</v>
      </c>
      <c r="S10" s="5">
        <v>2.1335164768639001E-8</v>
      </c>
      <c r="T10" s="5">
        <v>2.0513326126904999E-8</v>
      </c>
      <c r="U10" s="5">
        <v>2.1030610414221001E-8</v>
      </c>
      <c r="V10" s="5">
        <v>2.1585586315489299E-8</v>
      </c>
      <c r="W10" s="5">
        <v>2.2147391021619701E-8</v>
      </c>
      <c r="X10" s="5">
        <v>2.5914931820237899E-8</v>
      </c>
      <c r="Y10" s="5">
        <v>2.29021780179994E-8</v>
      </c>
      <c r="Z10" s="5">
        <v>2.24072797416327E-8</v>
      </c>
      <c r="AA10" s="5">
        <v>3.4174002839210803E-8</v>
      </c>
      <c r="AB10" s="5">
        <v>4.7475387902334002E-8</v>
      </c>
      <c r="AC10" s="5">
        <v>4.93978812057539E-8</v>
      </c>
      <c r="AD10" s="5">
        <v>5.7179104319676897E-8</v>
      </c>
      <c r="AE10" s="5">
        <v>6.6650390602132405E-8</v>
      </c>
      <c r="AF10" s="5">
        <v>6.7317990618630299E-8</v>
      </c>
      <c r="AG10" s="5">
        <v>8.1006283083816106E-8</v>
      </c>
      <c r="AH10" s="5">
        <v>8.6238393502308104E-8</v>
      </c>
      <c r="AI10" s="5">
        <v>3.8617672335569503E-8</v>
      </c>
    </row>
    <row r="11" spans="1:35" x14ac:dyDescent="0.25">
      <c r="A11" s="3" t="s">
        <v>29</v>
      </c>
      <c r="B11" s="3" t="s">
        <v>34</v>
      </c>
      <c r="C11" s="6"/>
      <c r="D11" s="6"/>
      <c r="E11" s="6"/>
      <c r="F11" s="6"/>
      <c r="G11" s="6"/>
      <c r="H11" s="6"/>
      <c r="I11" s="5">
        <v>1.13596941908534E-8</v>
      </c>
      <c r="J11" s="5">
        <v>1.1882988859089699E-8</v>
      </c>
      <c r="K11" s="5">
        <v>1.3735905166963301E-8</v>
      </c>
      <c r="L11" s="5">
        <v>1.6156636930634001E-8</v>
      </c>
      <c r="M11" s="5">
        <v>1.90968532736172E-8</v>
      </c>
      <c r="N11" s="5">
        <v>2.3472609892964701E-8</v>
      </c>
      <c r="O11" s="5">
        <v>1.6419986541819801E-8</v>
      </c>
      <c r="P11" s="5">
        <v>1.7530180726519601E-8</v>
      </c>
      <c r="Q11" s="5">
        <v>1.7722423017806E-8</v>
      </c>
      <c r="R11" s="5">
        <v>1.6786788694702101E-8</v>
      </c>
      <c r="S11" s="5">
        <v>1.77677379161542E-8</v>
      </c>
      <c r="T11" s="5">
        <v>1.7312977620230099E-8</v>
      </c>
      <c r="U11" s="5">
        <v>1.7786548079670699E-8</v>
      </c>
      <c r="V11" s="5">
        <v>1.8291407718663601E-8</v>
      </c>
      <c r="W11" s="5">
        <v>1.8806569681881702E-8</v>
      </c>
      <c r="X11" s="5">
        <v>2.1528198664591701E-8</v>
      </c>
      <c r="Y11" s="5">
        <v>1.9578121286905101E-8</v>
      </c>
      <c r="Z11" s="5">
        <v>1.9334896250270599E-8</v>
      </c>
      <c r="AA11" s="5">
        <v>2.7457566777865399E-8</v>
      </c>
      <c r="AB11" s="5">
        <v>3.5488062302659298E-8</v>
      </c>
      <c r="AC11" s="5">
        <v>3.6932156473730499E-8</v>
      </c>
      <c r="AD11" s="5">
        <v>4.1138986312141902E-8</v>
      </c>
      <c r="AE11" s="5">
        <v>4.7207602509877399E-8</v>
      </c>
      <c r="AF11" s="5">
        <v>4.8451286519183101E-8</v>
      </c>
      <c r="AG11" s="5">
        <v>5.62133321572752E-8</v>
      </c>
      <c r="AH11" s="5">
        <v>6.1065317620788498E-8</v>
      </c>
      <c r="AI11" s="5">
        <v>3.4204854866921698E-8</v>
      </c>
    </row>
    <row r="12" spans="1:35" x14ac:dyDescent="0.25">
      <c r="A12" s="3" t="s">
        <v>29</v>
      </c>
      <c r="B12" s="3" t="s">
        <v>35</v>
      </c>
      <c r="C12" s="6"/>
      <c r="D12" s="6"/>
      <c r="E12" s="6"/>
      <c r="F12" s="6"/>
      <c r="G12" s="6"/>
      <c r="H12" s="6"/>
      <c r="I12" s="6"/>
      <c r="J12" s="6"/>
      <c r="K12" s="6"/>
      <c r="L12" s="5">
        <v>1.1685449745428899E-8</v>
      </c>
      <c r="M12" s="5">
        <v>1.34595222773402E-8</v>
      </c>
      <c r="N12" s="5">
        <v>1.6072226740185798E-8</v>
      </c>
      <c r="O12" s="5">
        <v>1.3878941859594099E-8</v>
      </c>
      <c r="P12" s="5">
        <v>1.4855015306426601E-8</v>
      </c>
      <c r="Q12" s="5">
        <v>1.5131554023684401E-8</v>
      </c>
      <c r="R12" s="5">
        <v>1.4928418647741501E-8</v>
      </c>
      <c r="S12" s="5">
        <v>1.5575309121235E-8</v>
      </c>
      <c r="T12" s="5">
        <v>1.4830742332207699E-8</v>
      </c>
      <c r="U12" s="5">
        <v>1.52729954509792E-8</v>
      </c>
      <c r="V12" s="5">
        <v>1.5733523859577499E-8</v>
      </c>
      <c r="W12" s="5">
        <v>1.6206463081171E-8</v>
      </c>
      <c r="X12" s="5">
        <v>1.8251099541201899E-8</v>
      </c>
      <c r="Y12" s="5">
        <v>1.69618683504885E-8</v>
      </c>
      <c r="Z12" s="5">
        <v>1.6880548982439901E-8</v>
      </c>
      <c r="AA12" s="5">
        <v>2.2745664738872199E-8</v>
      </c>
      <c r="AB12" s="5">
        <v>2.8057875550837102E-8</v>
      </c>
      <c r="AC12" s="5">
        <v>2.9207248956930699E-8</v>
      </c>
      <c r="AD12" s="5">
        <v>3.2026326891994002E-8</v>
      </c>
      <c r="AE12" s="5">
        <v>3.6231744955293599E-8</v>
      </c>
      <c r="AF12" s="5">
        <v>3.75104821243321E-8</v>
      </c>
      <c r="AG12" s="5">
        <v>4.2582125787777203E-8</v>
      </c>
      <c r="AH12" s="5">
        <v>4.6716659714739101E-8</v>
      </c>
      <c r="AI12" s="5">
        <v>3.0495473529944798E-8</v>
      </c>
    </row>
    <row r="13" spans="1:35" x14ac:dyDescent="0.25">
      <c r="A13" s="3" t="s">
        <v>29</v>
      </c>
      <c r="B13" s="3" t="s">
        <v>36</v>
      </c>
      <c r="C13" s="6"/>
      <c r="D13" s="6"/>
      <c r="E13" s="6"/>
      <c r="F13" s="6"/>
      <c r="G13" s="6"/>
      <c r="H13" s="6"/>
      <c r="I13" s="6"/>
      <c r="J13" s="6"/>
      <c r="K13" s="6"/>
      <c r="L13" s="6"/>
      <c r="M13" s="6"/>
      <c r="N13" s="6"/>
      <c r="O13" s="5">
        <v>1.0182155706919E-8</v>
      </c>
      <c r="P13" s="5">
        <v>1.0679225412759301E-8</v>
      </c>
      <c r="Q13" s="5">
        <v>1.0983732908154501E-8</v>
      </c>
      <c r="R13" s="5">
        <v>1.1166793036656301E-8</v>
      </c>
      <c r="S13" s="5">
        <v>1.158195657907E-8</v>
      </c>
      <c r="T13" s="5">
        <v>1.16498508377689E-8</v>
      </c>
      <c r="U13" s="5">
        <v>1.12277662780136E-8</v>
      </c>
      <c r="V13" s="5">
        <v>1.1420624882349699E-8</v>
      </c>
      <c r="W13" s="5">
        <v>1.16010781776009E-8</v>
      </c>
      <c r="X13" s="5">
        <v>1.2480938758131901E-8</v>
      </c>
      <c r="Y13" s="5">
        <v>1.17786274829568E-8</v>
      </c>
      <c r="Z13" s="5">
        <v>1.1629223392105901E-8</v>
      </c>
      <c r="AA13" s="5">
        <v>1.45189167877409E-8</v>
      </c>
      <c r="AB13" s="5">
        <v>1.5824995914851698E-8</v>
      </c>
      <c r="AC13" s="5">
        <v>1.6375748873517801E-8</v>
      </c>
      <c r="AD13" s="5">
        <v>1.69939243371292E-8</v>
      </c>
      <c r="AE13" s="5">
        <v>1.7725290243395399E-8</v>
      </c>
      <c r="AF13" s="5">
        <v>1.8665469035502102E-8</v>
      </c>
      <c r="AG13" s="5">
        <v>1.9803797183906901E-8</v>
      </c>
      <c r="AH13" s="5">
        <v>2.21344485153873E-8</v>
      </c>
      <c r="AI13" s="5">
        <v>2.5476863520809199E-8</v>
      </c>
    </row>
    <row r="14" spans="1:35" x14ac:dyDescent="0.25">
      <c r="A14" s="3" t="s">
        <v>29</v>
      </c>
      <c r="B14" s="3" t="s">
        <v>37</v>
      </c>
      <c r="C14" s="6"/>
      <c r="D14" s="6"/>
      <c r="E14" s="6"/>
      <c r="F14" s="6"/>
      <c r="G14" s="6"/>
      <c r="H14" s="5">
        <v>1.0068953794334001E-8</v>
      </c>
      <c r="I14" s="5">
        <v>1.13794985926018E-8</v>
      </c>
      <c r="J14" s="5">
        <v>1.25139792263412E-8</v>
      </c>
      <c r="K14" s="5">
        <v>1.2377780717445201E-8</v>
      </c>
      <c r="L14" s="5">
        <v>1.2117707883525299E-8</v>
      </c>
      <c r="M14" s="5">
        <v>1.1847990736994601E-8</v>
      </c>
      <c r="N14" s="5">
        <v>1.1553332590096399E-8</v>
      </c>
      <c r="O14" s="6"/>
      <c r="P14" s="6"/>
      <c r="Q14" s="6"/>
      <c r="R14" s="6"/>
      <c r="S14" s="6"/>
      <c r="T14" s="6"/>
      <c r="U14" s="6"/>
      <c r="V14" s="6"/>
      <c r="W14" s="6"/>
      <c r="X14" s="6"/>
      <c r="Y14" s="6"/>
      <c r="Z14" s="6"/>
      <c r="AA14" s="5">
        <v>1.20062173775512E-8</v>
      </c>
      <c r="AB14" s="5">
        <v>1.5310029286560701E-8</v>
      </c>
      <c r="AC14" s="5">
        <v>1.9783752728356498E-8</v>
      </c>
      <c r="AD14" s="5">
        <v>2.0581806912843202E-8</v>
      </c>
      <c r="AE14" s="5">
        <v>2.1322780965209599E-8</v>
      </c>
      <c r="AF14" s="5">
        <v>2.1112228886379398E-8</v>
      </c>
      <c r="AG14" s="5">
        <v>2.1223493757348499E-8</v>
      </c>
      <c r="AH14" s="5">
        <v>2.04702393947883E-8</v>
      </c>
      <c r="AI14" s="5">
        <v>1.5361089085736701E-8</v>
      </c>
    </row>
    <row r="15" spans="1:35" x14ac:dyDescent="0.25">
      <c r="A15" s="3" t="s">
        <v>29</v>
      </c>
      <c r="B15" s="3" t="s">
        <v>38</v>
      </c>
      <c r="C15" s="6"/>
      <c r="D15" s="6"/>
      <c r="E15" s="6"/>
      <c r="F15" s="6"/>
      <c r="G15" s="5">
        <v>1.0914336090127899E-8</v>
      </c>
      <c r="H15" s="5">
        <v>1.41508661344841E-8</v>
      </c>
      <c r="I15" s="5">
        <v>1.85075113999977E-8</v>
      </c>
      <c r="J15" s="5">
        <v>2.14120768216591E-8</v>
      </c>
      <c r="K15" s="5">
        <v>2.0808136152096701E-8</v>
      </c>
      <c r="L15" s="5">
        <v>1.98889348610296E-8</v>
      </c>
      <c r="M15" s="5">
        <v>1.9006392365916199E-8</v>
      </c>
      <c r="N15" s="5">
        <v>1.8107144961750601E-8</v>
      </c>
      <c r="O15" s="5">
        <v>1.11490991410068E-8</v>
      </c>
      <c r="P15" s="5">
        <v>1.16656449156422E-8</v>
      </c>
      <c r="Q15" s="5">
        <v>1.17201010601972E-8</v>
      </c>
      <c r="R15" s="5">
        <v>1.11897305873708E-8</v>
      </c>
      <c r="S15" s="5">
        <v>1.1564126122625099E-8</v>
      </c>
      <c r="T15" s="5">
        <v>1.1789666888672699E-8</v>
      </c>
      <c r="U15" s="5">
        <v>1.2057834358429901E-8</v>
      </c>
      <c r="V15" s="5">
        <v>1.2332615780705299E-8</v>
      </c>
      <c r="W15" s="5">
        <v>1.2605671048945E-8</v>
      </c>
      <c r="X15" s="5">
        <v>1.3762085580946001E-8</v>
      </c>
      <c r="Y15" s="5">
        <v>1.2988898135456201E-8</v>
      </c>
      <c r="Z15" s="5">
        <v>1.29074687567282E-8</v>
      </c>
      <c r="AA15" s="5">
        <v>1.6633940353480801E-8</v>
      </c>
      <c r="AB15" s="5">
        <v>1.8824299693625599E-8</v>
      </c>
      <c r="AC15" s="5">
        <v>2.13117231227993E-8</v>
      </c>
      <c r="AD15" s="5">
        <v>2.4652707615362198E-8</v>
      </c>
      <c r="AE15" s="5">
        <v>2.6746814678200201E-8</v>
      </c>
      <c r="AF15" s="5">
        <v>2.77496076969871E-8</v>
      </c>
      <c r="AG15" s="5">
        <v>3.0774049973775202E-8</v>
      </c>
      <c r="AH15" s="5">
        <v>3.3881203821041099E-8</v>
      </c>
      <c r="AI15" s="5">
        <v>2.5833628581428199E-8</v>
      </c>
    </row>
    <row r="16" spans="1:35" x14ac:dyDescent="0.25">
      <c r="A16" s="3" t="s">
        <v>29</v>
      </c>
      <c r="B16" s="3" t="s">
        <v>39</v>
      </c>
      <c r="C16" s="6"/>
      <c r="D16" s="6"/>
      <c r="E16" s="6"/>
      <c r="F16" s="6"/>
      <c r="G16" s="6"/>
      <c r="H16" s="6"/>
      <c r="I16" s="6"/>
      <c r="J16" s="6"/>
      <c r="K16" s="6"/>
      <c r="L16" s="6"/>
      <c r="M16" s="6"/>
      <c r="N16" s="6"/>
      <c r="O16" s="6"/>
      <c r="P16" s="6"/>
      <c r="Q16" s="6"/>
      <c r="R16" s="6"/>
      <c r="S16" s="6"/>
      <c r="T16" s="6"/>
      <c r="U16" s="6"/>
      <c r="V16" s="6"/>
      <c r="W16" s="6"/>
      <c r="X16" s="6"/>
      <c r="Y16" s="6"/>
      <c r="Z16" s="6"/>
      <c r="AA16" s="5">
        <v>1.0337097024884101E-8</v>
      </c>
      <c r="AB16" s="5">
        <v>1.14872927325186E-8</v>
      </c>
      <c r="AC16" s="5">
        <v>1.1918934405662699E-8</v>
      </c>
      <c r="AD16" s="5">
        <v>1.26199524238151E-8</v>
      </c>
      <c r="AE16" s="5">
        <v>1.34528227946422E-8</v>
      </c>
      <c r="AF16" s="5">
        <v>1.4800346983915299E-8</v>
      </c>
      <c r="AG16" s="5">
        <v>1.6156021538060001E-8</v>
      </c>
      <c r="AH16" s="5">
        <v>1.7587627103671799E-8</v>
      </c>
      <c r="AI16" s="5">
        <v>1.6931259063296699E-8</v>
      </c>
    </row>
    <row r="17" spans="1:35" x14ac:dyDescent="0.25">
      <c r="A17" s="3" t="s">
        <v>29</v>
      </c>
      <c r="B17" s="3" t="s">
        <v>40</v>
      </c>
      <c r="C17" s="6"/>
      <c r="D17" s="6"/>
      <c r="E17" s="6"/>
      <c r="F17" s="6"/>
      <c r="G17" s="6"/>
      <c r="H17" s="6"/>
      <c r="I17" s="6"/>
      <c r="J17" s="6"/>
      <c r="K17" s="6"/>
      <c r="L17" s="6"/>
      <c r="M17" s="6"/>
      <c r="N17" s="6"/>
      <c r="O17" s="6"/>
      <c r="P17" s="6"/>
      <c r="Q17" s="6"/>
      <c r="R17" s="6"/>
      <c r="S17" s="6"/>
      <c r="T17" s="6"/>
      <c r="U17" s="6"/>
      <c r="V17" s="6"/>
      <c r="W17" s="6"/>
      <c r="X17" s="6"/>
      <c r="Y17" s="6"/>
      <c r="Z17" s="6"/>
      <c r="AA17" s="6"/>
      <c r="AB17" s="5">
        <v>1.07419222691364E-8</v>
      </c>
      <c r="AC17" s="5">
        <v>1.11513542632742E-8</v>
      </c>
      <c r="AD17" s="5">
        <v>1.17971369711057E-8</v>
      </c>
      <c r="AE17" s="5">
        <v>1.25652827334582E-8</v>
      </c>
      <c r="AF17" s="5">
        <v>1.38867942882695E-8</v>
      </c>
      <c r="AG17" s="5">
        <v>1.5138234336419899E-8</v>
      </c>
      <c r="AH17" s="5">
        <v>1.6465628555258701E-8</v>
      </c>
      <c r="AI17" s="5">
        <v>1.61270938109049E-8</v>
      </c>
    </row>
    <row r="18" spans="1:35" x14ac:dyDescent="0.25">
      <c r="A18" s="3" t="s">
        <v>29</v>
      </c>
      <c r="B18" s="3" t="s">
        <v>41</v>
      </c>
      <c r="C18" s="6"/>
      <c r="D18" s="6"/>
      <c r="E18" s="6"/>
      <c r="F18" s="6"/>
      <c r="G18" s="6"/>
      <c r="H18" s="6"/>
      <c r="I18" s="6"/>
      <c r="J18" s="6"/>
      <c r="K18" s="6"/>
      <c r="L18" s="6"/>
      <c r="M18" s="6"/>
      <c r="N18" s="6"/>
      <c r="O18" s="6"/>
      <c r="P18" s="6"/>
      <c r="Q18" s="6"/>
      <c r="R18" s="6"/>
      <c r="S18" s="6"/>
      <c r="T18" s="6"/>
      <c r="U18" s="6"/>
      <c r="V18" s="6"/>
      <c r="W18" s="6"/>
      <c r="X18" s="6"/>
      <c r="Y18" s="6"/>
      <c r="Z18" s="6"/>
      <c r="AA18" s="6"/>
      <c r="AB18" s="5">
        <v>1.0046542777453901E-8</v>
      </c>
      <c r="AC18" s="5">
        <v>1.04357729717794E-8</v>
      </c>
      <c r="AD18" s="5">
        <v>1.10322840863321E-8</v>
      </c>
      <c r="AE18" s="5">
        <v>1.17417611929936E-8</v>
      </c>
      <c r="AF18" s="5">
        <v>1.3037324426737901E-8</v>
      </c>
      <c r="AG18" s="5">
        <v>1.4194961666542601E-8</v>
      </c>
      <c r="AH18" s="5">
        <v>1.5423030515080899E-8</v>
      </c>
      <c r="AI18" s="5">
        <v>1.5350818948180001E-8</v>
      </c>
    </row>
    <row r="19" spans="1:35" x14ac:dyDescent="0.25">
      <c r="A19" s="3" t="s">
        <v>29</v>
      </c>
      <c r="B19" s="3" t="s">
        <v>42</v>
      </c>
      <c r="C19" s="6"/>
      <c r="D19" s="6"/>
      <c r="E19" s="5">
        <v>3.3217029454197302E-8</v>
      </c>
      <c r="F19" s="5">
        <v>1.91379800552572</v>
      </c>
      <c r="G19" s="6"/>
      <c r="H19" s="6"/>
      <c r="I19" s="6"/>
      <c r="J19" s="6"/>
      <c r="K19" s="5">
        <v>1.08093483018126E-8</v>
      </c>
      <c r="L19" s="5">
        <v>1.0148555051817101E-8</v>
      </c>
      <c r="M19" s="6"/>
      <c r="N19" s="6"/>
      <c r="O19" s="6"/>
      <c r="P19" s="6"/>
      <c r="Q19" s="5">
        <v>1.0181184982096499E-8</v>
      </c>
      <c r="R19" s="5">
        <v>1.0755830625222E-8</v>
      </c>
      <c r="S19" s="5">
        <v>1.1354486195381E-8</v>
      </c>
      <c r="T19" s="5">
        <v>1.1922199274718601E-8</v>
      </c>
      <c r="U19" s="5">
        <v>1.25892125733092E-8</v>
      </c>
      <c r="V19" s="5">
        <v>1.33287674403436E-8</v>
      </c>
      <c r="W19" s="5">
        <v>1.40749647615427E-8</v>
      </c>
      <c r="X19" s="5">
        <v>1.57686506109442E-8</v>
      </c>
      <c r="Y19" s="5">
        <v>1.61364580187909E-8</v>
      </c>
      <c r="Z19" s="5">
        <v>1.6646515236742801E-8</v>
      </c>
      <c r="AA19" s="5">
        <v>1.71465375782885E-8</v>
      </c>
      <c r="AB19" s="5">
        <v>1.7628869588818599E-8</v>
      </c>
      <c r="AC19" s="5">
        <v>1.82441001302415E-8</v>
      </c>
      <c r="AD19" s="5">
        <v>1.89574294403669E-8</v>
      </c>
      <c r="AE19" s="5">
        <v>1.97097955176622E-8</v>
      </c>
      <c r="AF19" s="5">
        <v>2.0642420263467499E-8</v>
      </c>
      <c r="AG19" s="5">
        <v>2.1220755572686E-8</v>
      </c>
      <c r="AH19" s="5">
        <v>2.30550922996467E-8</v>
      </c>
      <c r="AI19" s="5">
        <v>2.8556410602626698E-8</v>
      </c>
    </row>
    <row r="20" spans="1:35" x14ac:dyDescent="0.25">
      <c r="A20" s="3" t="s">
        <v>29</v>
      </c>
      <c r="B20" s="3" t="s">
        <v>43</v>
      </c>
      <c r="C20" s="6"/>
      <c r="D20" s="6"/>
      <c r="E20" s="5">
        <v>3.3272786644851603E-8</v>
      </c>
      <c r="F20" s="5">
        <v>1.90985089943729</v>
      </c>
      <c r="G20" s="6"/>
      <c r="H20" s="6"/>
      <c r="I20" s="6"/>
      <c r="J20" s="6"/>
      <c r="K20" s="5">
        <v>1.05882057844227E-8</v>
      </c>
      <c r="L20" s="6"/>
      <c r="M20" s="6"/>
      <c r="N20" s="6"/>
      <c r="O20" s="6"/>
      <c r="P20" s="6"/>
      <c r="Q20" s="6"/>
      <c r="R20" s="5">
        <v>1.050288416215E-8</v>
      </c>
      <c r="S20" s="5">
        <v>1.0963023959034599E-8</v>
      </c>
      <c r="T20" s="5">
        <v>1.15920595368719E-8</v>
      </c>
      <c r="U20" s="5">
        <v>1.22115819757288E-8</v>
      </c>
      <c r="V20" s="5">
        <v>1.28958306927183E-8</v>
      </c>
      <c r="W20" s="5">
        <v>1.3576490685083E-8</v>
      </c>
      <c r="X20" s="5">
        <v>1.51848759278802E-8</v>
      </c>
      <c r="Y20" s="5">
        <v>1.5596868977294999E-8</v>
      </c>
      <c r="Z20" s="5">
        <v>1.6247210843684101E-8</v>
      </c>
      <c r="AA20" s="5">
        <v>1.6904528236503801E-8</v>
      </c>
      <c r="AB20" s="5">
        <v>1.7611255151998798E-8</v>
      </c>
      <c r="AC20" s="5">
        <v>1.84620132897026E-8</v>
      </c>
      <c r="AD20" s="5">
        <v>1.9182998312182701E-8</v>
      </c>
      <c r="AE20" s="5">
        <v>1.9934683959853399E-8</v>
      </c>
      <c r="AF20" s="5">
        <v>2.0804588211058301E-8</v>
      </c>
      <c r="AG20" s="5">
        <v>2.0541392091174201E-8</v>
      </c>
      <c r="AH20" s="5">
        <v>2.2933681880763099E-8</v>
      </c>
      <c r="AI20" s="5">
        <v>2.7281445610762001E-8</v>
      </c>
    </row>
    <row r="21" spans="1:35" x14ac:dyDescent="0.25">
      <c r="A21" s="3" t="s">
        <v>29</v>
      </c>
      <c r="B21" s="3" t="s">
        <v>44</v>
      </c>
      <c r="C21" s="6"/>
      <c r="D21" s="6"/>
      <c r="E21" s="5">
        <v>3.3442791157901301E-8</v>
      </c>
      <c r="F21" s="5">
        <v>1.89225117612337</v>
      </c>
      <c r="G21" s="6"/>
      <c r="H21" s="6"/>
      <c r="I21" s="6"/>
      <c r="J21" s="6"/>
      <c r="K21" s="5">
        <v>1.08879700540706E-8</v>
      </c>
      <c r="L21" s="5">
        <v>1.02314328468324E-8</v>
      </c>
      <c r="M21" s="6"/>
      <c r="N21" s="6"/>
      <c r="O21" s="6"/>
      <c r="P21" s="6"/>
      <c r="Q21" s="5">
        <v>1.0241855778672601E-8</v>
      </c>
      <c r="R21" s="5">
        <v>1.0703915129645901E-8</v>
      </c>
      <c r="S21" s="5">
        <v>1.13039276815152E-8</v>
      </c>
      <c r="T21" s="5">
        <v>1.19824897118667E-8</v>
      </c>
      <c r="U21" s="5">
        <v>1.26582213822525E-8</v>
      </c>
      <c r="V21" s="5">
        <v>1.3407686447429401E-8</v>
      </c>
      <c r="W21" s="5">
        <v>1.41660439090094E-8</v>
      </c>
      <c r="X21" s="5">
        <v>1.5876528371096102E-8</v>
      </c>
      <c r="Y21" s="5">
        <v>1.6257352657926301E-8</v>
      </c>
      <c r="Z21" s="5">
        <v>1.6784795655355901E-8</v>
      </c>
      <c r="AA21" s="5">
        <v>1.7306959458712E-8</v>
      </c>
      <c r="AB21" s="5">
        <v>1.78183354127399E-8</v>
      </c>
      <c r="AC21" s="5">
        <v>1.8519902527875401E-8</v>
      </c>
      <c r="AD21" s="5">
        <v>1.93323925341417E-8</v>
      </c>
      <c r="AE21" s="5">
        <v>2.0126468719703101E-8</v>
      </c>
      <c r="AF21" s="5">
        <v>1.98940587817381E-8</v>
      </c>
      <c r="AG21" s="5">
        <v>2.0903147016975602E-8</v>
      </c>
      <c r="AH21" s="5">
        <v>2.35191624078903E-8</v>
      </c>
      <c r="AI21" s="5">
        <v>2.85837034114053E-8</v>
      </c>
    </row>
    <row r="22" spans="1:35" x14ac:dyDescent="0.25">
      <c r="A22" s="3" t="s">
        <v>29</v>
      </c>
      <c r="B22" s="3" t="s">
        <v>45</v>
      </c>
      <c r="C22" s="6"/>
      <c r="D22" s="6"/>
      <c r="E22" s="6"/>
      <c r="F22" s="5">
        <v>1.0230290684951E-8</v>
      </c>
      <c r="G22" s="6"/>
      <c r="H22" s="6"/>
      <c r="I22" s="6"/>
      <c r="J22" s="6"/>
      <c r="K22" s="6"/>
      <c r="L22" s="6"/>
      <c r="M22" s="6"/>
      <c r="N22" s="6"/>
      <c r="O22" s="6"/>
      <c r="P22" s="6"/>
      <c r="Q22" s="6"/>
      <c r="R22" s="6"/>
      <c r="S22" s="6"/>
      <c r="T22" s="6"/>
      <c r="U22" s="6"/>
      <c r="V22" s="6"/>
      <c r="W22" s="6"/>
      <c r="X22" s="5">
        <v>1.09952515856126E-8</v>
      </c>
      <c r="Y22" s="5">
        <v>1.12947413633606E-8</v>
      </c>
      <c r="Z22" s="5">
        <v>1.1706368772942499E-8</v>
      </c>
      <c r="AA22" s="5">
        <v>1.2106253711382501E-8</v>
      </c>
      <c r="AB22" s="5">
        <v>1.25077177920858E-8</v>
      </c>
      <c r="AC22" s="5">
        <v>1.2968933924715899E-8</v>
      </c>
      <c r="AD22" s="5">
        <v>1.3513059709124801E-8</v>
      </c>
      <c r="AE22" s="5">
        <v>1.4102347824516299E-8</v>
      </c>
      <c r="AF22" s="5">
        <v>1.4904933131335101E-8</v>
      </c>
      <c r="AG22" s="5">
        <v>1.4457212807024199E-8</v>
      </c>
      <c r="AH22" s="5">
        <v>1.6554916182682701E-8</v>
      </c>
      <c r="AI22" s="5">
        <v>2.0517308317224301E-8</v>
      </c>
    </row>
    <row r="23" spans="1:35" x14ac:dyDescent="0.25">
      <c r="A23" s="3" t="s">
        <v>29</v>
      </c>
      <c r="B23" s="3" t="s">
        <v>46</v>
      </c>
      <c r="C23" s="6"/>
      <c r="D23" s="6"/>
      <c r="E23" s="6"/>
      <c r="F23" s="6"/>
      <c r="G23" s="6"/>
      <c r="H23" s="6"/>
      <c r="I23" s="6"/>
      <c r="J23" s="6"/>
      <c r="K23" s="6"/>
      <c r="L23" s="6"/>
      <c r="M23" s="6"/>
      <c r="N23" s="6"/>
      <c r="O23" s="6"/>
      <c r="P23" s="6"/>
      <c r="Q23" s="6"/>
      <c r="R23" s="6"/>
      <c r="S23" s="6"/>
      <c r="T23" s="6"/>
      <c r="U23" s="6"/>
      <c r="V23" s="6"/>
      <c r="W23" s="6"/>
      <c r="X23" s="5">
        <v>1.0279113036528099E-8</v>
      </c>
      <c r="Y23" s="5">
        <v>1.05484191211755E-8</v>
      </c>
      <c r="Z23" s="5">
        <v>1.09186608074504E-8</v>
      </c>
      <c r="AA23" s="5">
        <v>1.13207323453914E-8</v>
      </c>
      <c r="AB23" s="5">
        <v>1.17283837871916E-8</v>
      </c>
      <c r="AC23" s="5">
        <v>1.21974745229448E-8</v>
      </c>
      <c r="AD23" s="5">
        <v>1.27525365314608E-8</v>
      </c>
      <c r="AE23" s="5">
        <v>1.33622685865747E-8</v>
      </c>
      <c r="AF23" s="5">
        <v>1.4093908485916201E-8</v>
      </c>
      <c r="AG23" s="5">
        <v>1.3716582956109999E-8</v>
      </c>
      <c r="AH23" s="5">
        <v>1.58505585810727E-8</v>
      </c>
      <c r="AI23" s="5">
        <v>1.98825594177308E-8</v>
      </c>
    </row>
    <row r="24" spans="1:35" x14ac:dyDescent="0.25">
      <c r="A24" s="3" t="s">
        <v>29</v>
      </c>
      <c r="B24" s="3" t="s">
        <v>47</v>
      </c>
      <c r="C24" s="6"/>
      <c r="D24" s="6"/>
      <c r="E24" s="6"/>
      <c r="F24" s="6"/>
      <c r="G24" s="6"/>
      <c r="H24" s="6"/>
      <c r="I24" s="6"/>
      <c r="J24" s="6"/>
      <c r="K24" s="6"/>
      <c r="L24" s="6"/>
      <c r="M24" s="6"/>
      <c r="N24" s="6"/>
      <c r="O24" s="6"/>
      <c r="P24" s="6"/>
      <c r="Q24" s="6"/>
      <c r="R24" s="6"/>
      <c r="S24" s="6"/>
      <c r="T24" s="6"/>
      <c r="U24" s="6"/>
      <c r="V24" s="6"/>
      <c r="W24" s="6"/>
      <c r="X24" s="6"/>
      <c r="Y24" s="5">
        <v>1.0148622458972699E-8</v>
      </c>
      <c r="Z24" s="5">
        <v>1.0508458007835899E-8</v>
      </c>
      <c r="AA24" s="5">
        <v>1.08997455463541E-8</v>
      </c>
      <c r="AB24" s="5">
        <v>1.1297481985947599E-8</v>
      </c>
      <c r="AC24" s="5">
        <v>1.1754514505667799E-8</v>
      </c>
      <c r="AD24" s="5">
        <v>1.22946283201347E-8</v>
      </c>
      <c r="AE24" s="5">
        <v>1.28897704006452E-8</v>
      </c>
      <c r="AF24" s="5">
        <v>1.36049442248818E-8</v>
      </c>
      <c r="AG24" s="5">
        <v>1.394349224453E-8</v>
      </c>
      <c r="AH24" s="5">
        <v>1.5305767821937101E-8</v>
      </c>
      <c r="AI24" s="5">
        <v>2.1258453962934698E-8</v>
      </c>
    </row>
    <row r="25" spans="1:35" x14ac:dyDescent="0.25">
      <c r="A25" s="3" t="s">
        <v>29</v>
      </c>
      <c r="B25" s="3" t="s">
        <v>26</v>
      </c>
      <c r="C25" s="5">
        <v>1.3715229914930001E-8</v>
      </c>
      <c r="D25" s="5">
        <v>1.9185486424689501E-8</v>
      </c>
      <c r="E25" s="5">
        <v>1.3095954887743101E-7</v>
      </c>
      <c r="F25" s="5">
        <v>1.66454941338377E-7</v>
      </c>
      <c r="G25" s="5">
        <v>1.6787947106755501E-7</v>
      </c>
      <c r="H25" s="5">
        <v>1.78863915758194E-7</v>
      </c>
      <c r="I25" s="5">
        <v>1.8728162792331E-7</v>
      </c>
      <c r="J25" s="5">
        <v>1.8952865869303E-7</v>
      </c>
      <c r="K25" s="5">
        <v>2.3918147870734003E-7</v>
      </c>
      <c r="L25" s="5">
        <v>2.6451057017168699E-7</v>
      </c>
      <c r="M25" s="5">
        <v>2.80014131165201E-7</v>
      </c>
      <c r="N25" s="5">
        <v>2.9643337981349297E-7</v>
      </c>
      <c r="O25" s="5">
        <v>3.1513227607400499E-7</v>
      </c>
      <c r="P25" s="5">
        <v>3.3732518940633497E-7</v>
      </c>
      <c r="Q25" s="5">
        <v>3.5222904003548399E-7</v>
      </c>
      <c r="R25" s="5">
        <v>3.6693381384787101E-7</v>
      </c>
      <c r="S25" s="5">
        <v>3.8230974797940098E-7</v>
      </c>
      <c r="T25" s="5">
        <v>3.98898710435796E-7</v>
      </c>
      <c r="U25" s="5">
        <v>4.1527780874581901E-7</v>
      </c>
      <c r="V25" s="5">
        <v>4.3183090179177401E-7</v>
      </c>
      <c r="W25" s="5">
        <v>4.4815633091678901E-7</v>
      </c>
      <c r="X25" s="5">
        <v>4.6461562652436999E-7</v>
      </c>
      <c r="Y25" s="5">
        <v>4.7808187786257996E-7</v>
      </c>
      <c r="Z25" s="5">
        <v>4.9316100179426796E-7</v>
      </c>
      <c r="AA25" s="5">
        <v>5.0840052942411097E-7</v>
      </c>
      <c r="AB25" s="5">
        <v>5.2358937071290997E-7</v>
      </c>
      <c r="AC25" s="5">
        <v>5.3977745211033901E-7</v>
      </c>
      <c r="AD25" s="5">
        <v>5.5647794774757098E-7</v>
      </c>
      <c r="AE25" s="5">
        <v>5.7232388986782904E-7</v>
      </c>
      <c r="AF25" s="5">
        <v>5.8767911764577798E-7</v>
      </c>
      <c r="AG25" s="5">
        <v>6.0516494011638299E-7</v>
      </c>
      <c r="AH25" s="5">
        <v>6.2108202063812897E-7</v>
      </c>
      <c r="AI25" s="5">
        <v>6.2344680916243996E-7</v>
      </c>
    </row>
    <row r="26" spans="1:35" x14ac:dyDescent="0.25">
      <c r="A26" s="3" t="s">
        <v>29</v>
      </c>
      <c r="B26" s="3" t="s">
        <v>27</v>
      </c>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5">
        <v>1.18423581058336E-8</v>
      </c>
      <c r="AI26" s="5">
        <v>1.38728280425417E-8</v>
      </c>
    </row>
    <row r="27" spans="1:35" x14ac:dyDescent="0.25">
      <c r="A27" s="3" t="s">
        <v>48</v>
      </c>
      <c r="B27" s="3" t="s">
        <v>49</v>
      </c>
      <c r="C27" s="5">
        <v>1.31450191741479E-8</v>
      </c>
      <c r="D27" s="5">
        <v>4.0533675332214596E-3</v>
      </c>
      <c r="E27" s="5">
        <v>2.7803365095626901E-8</v>
      </c>
      <c r="F27" s="5">
        <v>4.1719015361626502E-8</v>
      </c>
      <c r="G27" s="5">
        <v>3.0617005980399E-8</v>
      </c>
      <c r="H27" s="5">
        <v>2.9260065130602101E-8</v>
      </c>
      <c r="I27" s="5">
        <v>2.86224283947434E-8</v>
      </c>
      <c r="J27" s="5">
        <v>2.4715087626863099E-8</v>
      </c>
      <c r="K27" s="5">
        <v>3.1906565700954697E-8</v>
      </c>
      <c r="L27" s="5">
        <v>3.3166467888093002E-8</v>
      </c>
      <c r="M27" s="5">
        <v>2.9599881150986199E-8</v>
      </c>
      <c r="N27" s="5">
        <v>2.75116016756247E-8</v>
      </c>
      <c r="O27" s="5">
        <v>2.6605119598148E-8</v>
      </c>
      <c r="P27" s="5">
        <v>2.7229717600785599E-8</v>
      </c>
      <c r="Q27" s="5">
        <v>2.71382476097955E-8</v>
      </c>
      <c r="R27" s="5">
        <v>2.6809633302256099E-8</v>
      </c>
      <c r="S27" s="5">
        <v>2.7931818196618499E-8</v>
      </c>
      <c r="T27" s="5">
        <v>2.6279704121305199E-8</v>
      </c>
      <c r="U27" s="5">
        <v>2.6580022949016301E-8</v>
      </c>
      <c r="V27" s="5">
        <v>2.6865506604002901E-8</v>
      </c>
      <c r="W27" s="5">
        <v>2.7194112482744301E-8</v>
      </c>
      <c r="X27" s="5">
        <v>2.8091333150528899E-8</v>
      </c>
      <c r="Y27" s="5">
        <v>2.7977668362507401E-8</v>
      </c>
      <c r="Z27" s="5">
        <v>2.8530018596794699E-8</v>
      </c>
      <c r="AA27" s="5">
        <v>3.8587701714256902E-8</v>
      </c>
      <c r="AB27" s="5">
        <v>5.0696482128080998E-8</v>
      </c>
      <c r="AC27" s="5">
        <v>5.2450165400469997E-8</v>
      </c>
      <c r="AD27" s="5">
        <v>5.4492317569562498E-8</v>
      </c>
      <c r="AE27" s="5">
        <v>5.6918171211676901E-8</v>
      </c>
      <c r="AF27" s="5">
        <v>6.0160442714696496E-8</v>
      </c>
      <c r="AG27" s="5">
        <v>6.5336329185045596E-8</v>
      </c>
      <c r="AH27" s="5">
        <v>7.3812202402516003E-8</v>
      </c>
      <c r="AI27" s="5">
        <v>5.5039640329224402E-8</v>
      </c>
    </row>
    <row r="28" spans="1:35" x14ac:dyDescent="0.25">
      <c r="A28" s="3" t="s">
        <v>48</v>
      </c>
      <c r="B28" s="3" t="s">
        <v>50</v>
      </c>
      <c r="C28" s="6"/>
      <c r="D28" s="6"/>
      <c r="E28" s="5">
        <v>1.38044959171995E-8</v>
      </c>
      <c r="F28" s="5">
        <v>1.47981196176882E-8</v>
      </c>
      <c r="G28" s="5">
        <v>1.5306883205430601E-8</v>
      </c>
      <c r="H28" s="5">
        <v>1.5603347562015399E-8</v>
      </c>
      <c r="I28" s="5">
        <v>1.5606910286877999E-8</v>
      </c>
      <c r="J28" s="5">
        <v>1.48906071079699E-8</v>
      </c>
      <c r="K28" s="5">
        <v>1.6668656968952399E-8</v>
      </c>
      <c r="L28" s="5">
        <v>1.72094508703971E-8</v>
      </c>
      <c r="M28" s="5">
        <v>1.6957956847899701E-8</v>
      </c>
      <c r="N28" s="5">
        <v>1.7872630057597799E-8</v>
      </c>
      <c r="O28" s="5">
        <v>1.75808856478818E-8</v>
      </c>
      <c r="P28" s="5">
        <v>1.75432543498402E-8</v>
      </c>
      <c r="Q28" s="5">
        <v>1.7529001610619601E-8</v>
      </c>
      <c r="R28" s="5">
        <v>1.7398182190722101E-8</v>
      </c>
      <c r="S28" s="5">
        <v>1.78497471350182E-8</v>
      </c>
      <c r="T28" s="5">
        <v>1.7387881693632599E-8</v>
      </c>
      <c r="U28" s="5">
        <v>1.76119256400728E-8</v>
      </c>
      <c r="V28" s="5">
        <v>1.78601146508013E-8</v>
      </c>
      <c r="W28" s="5">
        <v>1.8150322562035101E-8</v>
      </c>
      <c r="X28" s="5">
        <v>1.8762591568636401E-8</v>
      </c>
      <c r="Y28" s="5">
        <v>1.8913559815379999E-8</v>
      </c>
      <c r="Z28" s="5">
        <v>1.94389476186617E-8</v>
      </c>
      <c r="AA28" s="5">
        <v>2.35178987572171E-8</v>
      </c>
      <c r="AB28" s="5">
        <v>2.7347055709757101E-8</v>
      </c>
      <c r="AC28" s="5">
        <v>2.8682806258595199E-8</v>
      </c>
      <c r="AD28" s="5">
        <v>3.0292395325640699E-8</v>
      </c>
      <c r="AE28" s="5">
        <v>3.2315583072997298E-8</v>
      </c>
      <c r="AF28" s="5">
        <v>3.53877711849317E-8</v>
      </c>
      <c r="AG28" s="5">
        <v>3.9403881193444701E-8</v>
      </c>
      <c r="AH28" s="5">
        <v>4.5661029070589801E-8</v>
      </c>
      <c r="AI28" s="5">
        <v>4.8405508112332502E-8</v>
      </c>
    </row>
    <row r="29" spans="1:35" x14ac:dyDescent="0.25">
      <c r="A29" s="3" t="s">
        <v>48</v>
      </c>
      <c r="B29" s="3" t="s">
        <v>51</v>
      </c>
      <c r="C29" s="6"/>
      <c r="D29" s="6"/>
      <c r="E29" s="5">
        <v>1.4658392446368E-8</v>
      </c>
      <c r="F29" s="5">
        <v>1.7035116314093201E-8</v>
      </c>
      <c r="G29" s="5">
        <v>1.79071318488652E-8</v>
      </c>
      <c r="H29" s="5">
        <v>1.9062099255737201E-8</v>
      </c>
      <c r="I29" s="5">
        <v>1.9919979200199498E-8</v>
      </c>
      <c r="J29" s="5">
        <v>1.9792714869116799E-8</v>
      </c>
      <c r="K29" s="5">
        <v>2.31249842385061E-8</v>
      </c>
      <c r="L29" s="5">
        <v>2.52799918481031E-8</v>
      </c>
      <c r="M29" s="5">
        <v>2.6404832588817799E-8</v>
      </c>
      <c r="N29" s="5">
        <v>2.7572232227239301E-8</v>
      </c>
      <c r="O29" s="5">
        <v>2.8742626275135199E-8</v>
      </c>
      <c r="P29" s="5">
        <v>2.9983769651499198E-8</v>
      </c>
      <c r="Q29" s="5">
        <v>3.1003615273939498E-8</v>
      </c>
      <c r="R29" s="5">
        <v>2.9264827522014599E-8</v>
      </c>
      <c r="S29" s="5">
        <v>2.8576551193250502E-8</v>
      </c>
      <c r="T29" s="5">
        <v>2.7700864373442199E-8</v>
      </c>
      <c r="U29" s="5">
        <v>2.6934032216709001E-8</v>
      </c>
      <c r="V29" s="5">
        <v>2.6231336324863998E-8</v>
      </c>
      <c r="W29" s="5">
        <v>2.56992764496545E-8</v>
      </c>
      <c r="X29" s="5">
        <v>2.6444710966620999E-8</v>
      </c>
      <c r="Y29" s="5">
        <v>2.5387820927937102E-8</v>
      </c>
      <c r="Z29" s="5">
        <v>2.5399336531266201E-8</v>
      </c>
      <c r="AA29" s="5">
        <v>2.8244006948859E-8</v>
      </c>
      <c r="AB29" s="5">
        <v>3.0124335932644503E-8</v>
      </c>
      <c r="AC29" s="5">
        <v>3.130757615154E-8</v>
      </c>
      <c r="AD29" s="5">
        <v>3.2588441752693401E-8</v>
      </c>
      <c r="AE29" s="5">
        <v>3.3803853310285499E-8</v>
      </c>
      <c r="AF29" s="5">
        <v>3.4299883619662499E-8</v>
      </c>
      <c r="AG29" s="5">
        <v>3.5785293022773503E-8</v>
      </c>
      <c r="AH29" s="5">
        <v>3.6986887280155902E-8</v>
      </c>
      <c r="AI29" s="5">
        <v>3.2876273053768699E-8</v>
      </c>
    </row>
    <row r="30" spans="1:35" x14ac:dyDescent="0.25">
      <c r="A30" s="3" t="s">
        <v>48</v>
      </c>
      <c r="B30" s="3" t="s">
        <v>52</v>
      </c>
      <c r="C30" s="6"/>
      <c r="D30" s="6"/>
      <c r="E30" s="5">
        <v>9.9874947257907496E-8</v>
      </c>
      <c r="F30" s="5">
        <v>3.0749568678081402E-7</v>
      </c>
      <c r="G30" s="5">
        <v>0.15490525550991599</v>
      </c>
      <c r="H30" s="5">
        <v>1.7866479235098001</v>
      </c>
      <c r="I30" s="5">
        <v>0.71758598768534498</v>
      </c>
      <c r="J30" s="5">
        <v>4.2566510642091101E-7</v>
      </c>
      <c r="K30" s="5">
        <v>0.44658797133369499</v>
      </c>
      <c r="L30" s="5">
        <v>0.36110590341439902</v>
      </c>
      <c r="M30" s="5">
        <v>2.4608370300467</v>
      </c>
      <c r="N30" s="5">
        <v>0.63291877688159304</v>
      </c>
      <c r="O30" s="5">
        <v>7.8410307553839099E-6</v>
      </c>
      <c r="P30" s="5">
        <v>1.34874832193481</v>
      </c>
      <c r="Q30" s="5">
        <v>1.7504221987292501</v>
      </c>
      <c r="R30" s="5">
        <v>1.83647869348321</v>
      </c>
      <c r="S30" s="5">
        <v>1.8373877148890301</v>
      </c>
      <c r="T30" s="5">
        <v>1.84064890933203</v>
      </c>
      <c r="U30" s="5">
        <v>1.84870601164753</v>
      </c>
      <c r="V30" s="5">
        <v>1.85372867803332</v>
      </c>
      <c r="W30" s="5">
        <v>0.31447705039420998</v>
      </c>
      <c r="X30" s="5">
        <v>0.25281707169240802</v>
      </c>
      <c r="Y30" s="5">
        <v>7.2829581260095602E-2</v>
      </c>
      <c r="Z30" s="5">
        <v>8.1049839576495303E-7</v>
      </c>
      <c r="AA30" s="5">
        <v>1.0972801147372801E-6</v>
      </c>
      <c r="AB30" s="5">
        <v>1.8663516827286699E-6</v>
      </c>
      <c r="AC30" s="5">
        <v>0.67323394264426695</v>
      </c>
      <c r="AD30" s="5">
        <v>0.36228037440815097</v>
      </c>
      <c r="AE30" s="5">
        <v>0.82926706400560102</v>
      </c>
      <c r="AF30" s="5">
        <v>0.73254284094062505</v>
      </c>
      <c r="AG30" s="5">
        <v>2.8281228080796801</v>
      </c>
      <c r="AH30" s="5">
        <v>0.99487908114780699</v>
      </c>
      <c r="AI30" s="5">
        <v>0.36124810429336002</v>
      </c>
    </row>
    <row r="31" spans="1:35" x14ac:dyDescent="0.25">
      <c r="A31" s="3" t="s">
        <v>48</v>
      </c>
      <c r="B31" s="3" t="s">
        <v>53</v>
      </c>
      <c r="C31" s="6"/>
      <c r="D31" s="6"/>
      <c r="E31" s="5">
        <v>9.9874947257906503E-8</v>
      </c>
      <c r="F31" s="5">
        <v>3.0749568678081698E-7</v>
      </c>
      <c r="G31" s="5">
        <v>0.15490525572877401</v>
      </c>
      <c r="H31" s="5">
        <v>1.78664778528248</v>
      </c>
      <c r="I31" s="5">
        <v>0.717585977310919</v>
      </c>
      <c r="J31" s="5">
        <v>4.2566510642091302E-7</v>
      </c>
      <c r="K31" s="5">
        <v>0.446587976056948</v>
      </c>
      <c r="L31" s="5">
        <v>0.36110590071974302</v>
      </c>
      <c r="M31" s="5">
        <v>2.4608370206073502</v>
      </c>
      <c r="N31" s="5">
        <v>0.63291877972328803</v>
      </c>
      <c r="O31" s="5">
        <v>7.8410307553837608E-6</v>
      </c>
      <c r="P31" s="5">
        <v>1.34874831564001</v>
      </c>
      <c r="Q31" s="5">
        <v>1.7504222084461001</v>
      </c>
      <c r="R31" s="5">
        <v>1.8364787643739799</v>
      </c>
      <c r="S31" s="5">
        <v>1.83738773974475</v>
      </c>
      <c r="T31" s="5">
        <v>1.8406489323392199</v>
      </c>
      <c r="U31" s="5">
        <v>1.8487059460722199</v>
      </c>
      <c r="V31" s="5">
        <v>1.8537286740029599</v>
      </c>
      <c r="W31" s="5">
        <v>0.31447705033024798</v>
      </c>
      <c r="X31" s="5">
        <v>0.25281707195676201</v>
      </c>
      <c r="Y31" s="5">
        <v>7.2829581267048901E-2</v>
      </c>
      <c r="Z31" s="5">
        <v>8.1049839576494996E-7</v>
      </c>
      <c r="AA31" s="5">
        <v>1.0972801147372699E-6</v>
      </c>
      <c r="AB31" s="5">
        <v>1.8663516827286401E-6</v>
      </c>
      <c r="AC31" s="5">
        <v>0.673233934816862</v>
      </c>
      <c r="AD31" s="5">
        <v>0.36228037570021299</v>
      </c>
      <c r="AE31" s="5">
        <v>0.82926705649841703</v>
      </c>
      <c r="AF31" s="5">
        <v>0.73254284024521099</v>
      </c>
      <c r="AG31" s="5">
        <v>2.8281229388757398</v>
      </c>
      <c r="AH31" s="5">
        <v>0.99487907068695602</v>
      </c>
      <c r="AI31" s="5">
        <v>0.36124810426378501</v>
      </c>
    </row>
    <row r="32" spans="1:35" x14ac:dyDescent="0.25">
      <c r="A32" s="3" t="s">
        <v>48</v>
      </c>
      <c r="B32" s="3" t="s">
        <v>54</v>
      </c>
      <c r="C32" s="5">
        <v>26.104788807927399</v>
      </c>
      <c r="D32" s="5">
        <v>17.268160112267001</v>
      </c>
      <c r="E32" s="5">
        <v>1.7022085863832101E-8</v>
      </c>
      <c r="F32" s="5">
        <v>1.7777942858039601E-8</v>
      </c>
      <c r="G32" s="5">
        <v>1.7303267704810701E-8</v>
      </c>
      <c r="H32" s="5">
        <v>1.7697803351131901E-8</v>
      </c>
      <c r="I32" s="5">
        <v>1.7668325974123899E-8</v>
      </c>
      <c r="J32" s="5">
        <v>1.6176405977679702E-8</v>
      </c>
      <c r="K32" s="5">
        <v>2.5410895842874698E-8</v>
      </c>
      <c r="L32" s="5">
        <v>3.1600709724341399E-8</v>
      </c>
      <c r="M32" s="5">
        <v>3.2876198683171902E-8</v>
      </c>
      <c r="N32" s="5">
        <v>3.4202530169617098E-8</v>
      </c>
      <c r="O32" s="5">
        <v>3.5564368666304702E-8</v>
      </c>
      <c r="P32" s="5">
        <v>3.76424492717036E-8</v>
      </c>
      <c r="Q32" s="5">
        <v>3.8290053378456698E-8</v>
      </c>
      <c r="R32" s="5">
        <v>3.8933561368812299E-8</v>
      </c>
      <c r="S32" s="5">
        <v>3.9654563570134101E-8</v>
      </c>
      <c r="T32" s="5">
        <v>4.0500511740852199E-8</v>
      </c>
      <c r="U32" s="5">
        <v>4.1339048963150602E-8</v>
      </c>
      <c r="V32" s="5">
        <v>4.2240866674771398E-8</v>
      </c>
      <c r="W32" s="5">
        <v>4.3309787390406403E-8</v>
      </c>
      <c r="X32" s="5">
        <v>4.4556082306719602E-8</v>
      </c>
      <c r="Y32" s="5">
        <v>4.5448810913570103E-8</v>
      </c>
      <c r="Z32" s="5">
        <v>4.6785209580895502E-8</v>
      </c>
      <c r="AA32" s="5">
        <v>4.8192352279307101E-8</v>
      </c>
      <c r="AB32" s="5">
        <v>4.99573320398594E-8</v>
      </c>
      <c r="AC32" s="5">
        <v>5.17178617999264E-8</v>
      </c>
      <c r="AD32" s="5">
        <v>5.3803094166151302E-8</v>
      </c>
      <c r="AE32" s="5">
        <v>5.6368145062918198E-8</v>
      </c>
      <c r="AF32" s="5">
        <v>5.9740382275999704E-8</v>
      </c>
      <c r="AG32" s="5">
        <v>6.47376059783308E-8</v>
      </c>
      <c r="AH32" s="5">
        <v>7.3460455783441506E-8</v>
      </c>
      <c r="AI32" s="5">
        <v>9.7539060100496095E-8</v>
      </c>
    </row>
    <row r="33" spans="1:35" x14ac:dyDescent="0.25">
      <c r="A33" s="3" t="s">
        <v>48</v>
      </c>
      <c r="B33" s="3" t="s">
        <v>55</v>
      </c>
      <c r="C33" s="6"/>
      <c r="D33" s="6"/>
      <c r="E33" s="5">
        <v>1.09887638608292E-8</v>
      </c>
      <c r="F33" s="5">
        <v>1.10226881948364E-8</v>
      </c>
      <c r="G33" s="5">
        <v>1.1817964735041701E-8</v>
      </c>
      <c r="H33" s="5">
        <v>1.19749694804573E-8</v>
      </c>
      <c r="I33" s="5">
        <v>1.2003928546011299E-8</v>
      </c>
      <c r="J33" s="5">
        <v>1.15436917692775E-8</v>
      </c>
      <c r="K33" s="5">
        <v>1.4706361696023901E-8</v>
      </c>
      <c r="L33" s="5">
        <v>1.6333388734474401E-8</v>
      </c>
      <c r="M33" s="5">
        <v>1.6899375107129198E-8</v>
      </c>
      <c r="N33" s="5">
        <v>1.9167221410697E-8</v>
      </c>
      <c r="O33" s="5">
        <v>1.97517780385429E-8</v>
      </c>
      <c r="P33" s="5">
        <v>2.0110703152068201E-8</v>
      </c>
      <c r="Q33" s="5">
        <v>2.0327361095820198E-8</v>
      </c>
      <c r="R33" s="5">
        <v>2.0516752149549501E-8</v>
      </c>
      <c r="S33" s="5">
        <v>2.08459729820115E-8</v>
      </c>
      <c r="T33" s="5">
        <v>2.1305784157481801E-8</v>
      </c>
      <c r="U33" s="5">
        <v>2.1751004487300399E-8</v>
      </c>
      <c r="V33" s="5">
        <v>2.2252655018276E-8</v>
      </c>
      <c r="W33" s="5">
        <v>2.28099044406206E-8</v>
      </c>
      <c r="X33" s="5">
        <v>2.3507703811474698E-8</v>
      </c>
      <c r="Y33" s="5">
        <v>2.4121047945864801E-8</v>
      </c>
      <c r="Z33" s="5">
        <v>2.4976227584833701E-8</v>
      </c>
      <c r="AA33" s="5">
        <v>2.59450905661917E-8</v>
      </c>
      <c r="AB33" s="5">
        <v>2.7028602955734901E-8</v>
      </c>
      <c r="AC33" s="5">
        <v>2.8349791674708199E-8</v>
      </c>
      <c r="AD33" s="5">
        <v>2.9942197643695202E-8</v>
      </c>
      <c r="AE33" s="5">
        <v>3.19296053836347E-8</v>
      </c>
      <c r="AF33" s="5">
        <v>3.45397327652995E-8</v>
      </c>
      <c r="AG33" s="5">
        <v>3.8298459982763598E-8</v>
      </c>
      <c r="AH33" s="5">
        <v>4.4442826260954202E-8</v>
      </c>
      <c r="AI33" s="5">
        <v>5.8633931159297101E-8</v>
      </c>
    </row>
    <row r="34" spans="1:35" x14ac:dyDescent="0.25">
      <c r="A34" s="3" t="s">
        <v>48</v>
      </c>
      <c r="B34" s="3" t="s">
        <v>56</v>
      </c>
      <c r="C34" s="6"/>
      <c r="D34" s="6"/>
      <c r="E34" s="5">
        <v>1.22795477480329E-8</v>
      </c>
      <c r="F34" s="5">
        <v>1.32799669821103E-8</v>
      </c>
      <c r="G34" s="5">
        <v>1.48894711584824E-8</v>
      </c>
      <c r="H34" s="5">
        <v>1.6131847073807701E-8</v>
      </c>
      <c r="I34" s="5">
        <v>1.6858823422984599E-8</v>
      </c>
      <c r="J34" s="5">
        <v>1.6820461316442499E-8</v>
      </c>
      <c r="K34" s="5">
        <v>2.17116310730937E-8</v>
      </c>
      <c r="L34" s="5">
        <v>2.4944126769840699E-8</v>
      </c>
      <c r="M34" s="5">
        <v>2.7089717061423E-8</v>
      </c>
      <c r="N34" s="5">
        <v>2.9471323887087001E-8</v>
      </c>
      <c r="O34" s="5">
        <v>3.1568314822896501E-8</v>
      </c>
      <c r="P34" s="5">
        <v>3.3422970407168802E-8</v>
      </c>
      <c r="Q34" s="5">
        <v>3.4956239989560401E-8</v>
      </c>
      <c r="R34" s="5">
        <v>3.2719740639884801E-8</v>
      </c>
      <c r="S34" s="5">
        <v>3.11650639640829E-8</v>
      </c>
      <c r="T34" s="5">
        <v>3.1107779670685302E-8</v>
      </c>
      <c r="U34" s="5">
        <v>2.9979394304152802E-8</v>
      </c>
      <c r="V34" s="5">
        <v>2.91991631314951E-8</v>
      </c>
      <c r="W34" s="5">
        <v>2.8450006253866702E-8</v>
      </c>
      <c r="X34" s="5">
        <v>2.91719792228418E-8</v>
      </c>
      <c r="Y34" s="5">
        <v>2.7856792762431299E-8</v>
      </c>
      <c r="Z34" s="5">
        <v>2.77906745310875E-8</v>
      </c>
      <c r="AA34" s="5">
        <v>2.8361421238871699E-8</v>
      </c>
      <c r="AB34" s="5">
        <v>2.8647144450565599E-8</v>
      </c>
      <c r="AC34" s="5">
        <v>2.9754461012544701E-8</v>
      </c>
      <c r="AD34" s="5">
        <v>3.0979419840251099E-8</v>
      </c>
      <c r="AE34" s="5">
        <v>3.21339945154843E-8</v>
      </c>
      <c r="AF34" s="5">
        <v>3.2560561984496202E-8</v>
      </c>
      <c r="AG34" s="5">
        <v>3.3944212988202103E-8</v>
      </c>
      <c r="AH34" s="5">
        <v>3.4879690555551002E-8</v>
      </c>
      <c r="AI34" s="5">
        <v>3.5518628999374102E-8</v>
      </c>
    </row>
    <row r="35" spans="1:35" x14ac:dyDescent="0.25">
      <c r="A35" s="3" t="s">
        <v>57</v>
      </c>
      <c r="B35" s="3" t="s">
        <v>58</v>
      </c>
      <c r="C35" s="5">
        <v>8.6338339848721098E-8</v>
      </c>
      <c r="D35" s="5">
        <v>6.5457689446680297E-8</v>
      </c>
      <c r="E35" s="5">
        <v>5.1413126781659903E-8</v>
      </c>
      <c r="F35" s="5">
        <v>3.2544380948518802E-8</v>
      </c>
      <c r="G35" s="5">
        <v>2.40255240723071E-8</v>
      </c>
      <c r="H35" s="5">
        <v>2.3244141137737399E-8</v>
      </c>
      <c r="I35" s="5">
        <v>2.2740184205202201E-8</v>
      </c>
      <c r="J35" s="5">
        <v>2.2248120508109499E-8</v>
      </c>
      <c r="K35" s="5">
        <v>2.6734631695912501E-8</v>
      </c>
      <c r="L35" s="5">
        <v>3.3593840091139698E-8</v>
      </c>
      <c r="M35" s="5">
        <v>4.5365861166026798E-8</v>
      </c>
      <c r="N35" s="5">
        <v>7.4512102103988195E-8</v>
      </c>
      <c r="O35" s="5">
        <v>2.9262414231733398E-7</v>
      </c>
      <c r="P35" s="5">
        <v>3.0264452023119399E-7</v>
      </c>
      <c r="Q35" s="5">
        <v>3.04379448347434E-7</v>
      </c>
      <c r="R35" s="5">
        <v>2.9373746547673597E-7</v>
      </c>
      <c r="S35" s="5">
        <v>2.95540978355192E-7</v>
      </c>
      <c r="T35" s="5">
        <v>3.2217330693905599E-7</v>
      </c>
      <c r="U35" s="5">
        <v>3.3385561208654201E-7</v>
      </c>
      <c r="V35" s="5">
        <v>3.43169978442452E-7</v>
      </c>
      <c r="W35" s="5">
        <v>3.5307808277739499E-7</v>
      </c>
      <c r="X35" s="5">
        <v>2.8551982397995102E-7</v>
      </c>
      <c r="Y35" s="5">
        <v>3.7722992953211002E-7</v>
      </c>
      <c r="Z35" s="5">
        <v>3.9987807623991601E-7</v>
      </c>
      <c r="AA35" s="5">
        <v>4.0853829815267001E-7</v>
      </c>
      <c r="AB35" s="5">
        <v>4.0667163540488098E-7</v>
      </c>
      <c r="AC35" s="5">
        <v>4.1881823693409401E-7</v>
      </c>
      <c r="AD35" s="5">
        <v>4.75861983193095E-7</v>
      </c>
      <c r="AE35" s="5">
        <v>4.37561489332303E-7</v>
      </c>
      <c r="AF35" s="5">
        <v>4.4613362281243901E-7</v>
      </c>
      <c r="AG35" s="5">
        <v>4.2697040876559599E-7</v>
      </c>
      <c r="AH35" s="5">
        <v>4.4999345215822702E-7</v>
      </c>
      <c r="AI35" s="5">
        <v>3.34748050636036E-7</v>
      </c>
    </row>
    <row r="36" spans="1:35" x14ac:dyDescent="0.25">
      <c r="A36" s="3" t="s">
        <v>57</v>
      </c>
      <c r="B36" s="3" t="s">
        <v>59</v>
      </c>
      <c r="C36" s="5">
        <v>3.2230378943218402E-8</v>
      </c>
      <c r="D36" s="5">
        <v>3.54350148465684E-8</v>
      </c>
      <c r="E36" s="5">
        <v>3.89709687107652E-8</v>
      </c>
      <c r="F36" s="5">
        <v>3.9360698744412703E-8</v>
      </c>
      <c r="G36" s="5">
        <v>5.2246345221257497E-8</v>
      </c>
      <c r="H36" s="5">
        <v>5.4536226966528701E-8</v>
      </c>
      <c r="I36" s="5">
        <v>5.71204423850008E-8</v>
      </c>
      <c r="J36" s="5">
        <v>5.9604217410698802E-8</v>
      </c>
      <c r="K36" s="5">
        <v>9.6260341102734094E-8</v>
      </c>
      <c r="L36" s="5">
        <v>1.56051183000511E-7</v>
      </c>
      <c r="M36" s="5">
        <v>2.1844565879430901E-7</v>
      </c>
      <c r="N36" s="5">
        <v>3.1028858106989901E-7</v>
      </c>
      <c r="O36" s="5">
        <v>4.6310488138777002E-7</v>
      </c>
      <c r="P36" s="5">
        <v>4.9134230312225501E-7</v>
      </c>
      <c r="Q36" s="5">
        <v>5.0936150525866603E-7</v>
      </c>
      <c r="R36" s="5">
        <v>5.2754762793482495E-7</v>
      </c>
      <c r="S36" s="5">
        <v>5.4657269510195697E-7</v>
      </c>
      <c r="T36" s="5">
        <v>5.66599381229733E-7</v>
      </c>
      <c r="U36" s="5">
        <v>5.8672837099699201E-7</v>
      </c>
      <c r="V36" s="5">
        <v>6.08027527582155E-7</v>
      </c>
      <c r="W36" s="5">
        <v>6.2995640640299196E-7</v>
      </c>
      <c r="X36" s="5">
        <v>6.29041974714805E-7</v>
      </c>
      <c r="Y36" s="5">
        <v>6.7309557193865098E-7</v>
      </c>
      <c r="Z36" s="5">
        <v>6.8925765718680596E-7</v>
      </c>
      <c r="AA36" s="5">
        <v>7.1019199581330904E-7</v>
      </c>
      <c r="AB36" s="5">
        <v>7.2254951230548603E-7</v>
      </c>
      <c r="AC36" s="5">
        <v>7.3715568534325595E-7</v>
      </c>
      <c r="AD36" s="5">
        <v>7.5341922748726696E-7</v>
      </c>
      <c r="AE36" s="5">
        <v>7.8426120194485003E-7</v>
      </c>
      <c r="AF36" s="5">
        <v>8.0453404600494204E-7</v>
      </c>
      <c r="AG36" s="5">
        <v>8.2624614467161604E-7</v>
      </c>
      <c r="AH36" s="5">
        <v>8.4641480509515799E-7</v>
      </c>
      <c r="AI36" s="5">
        <v>8.64573346059189E-7</v>
      </c>
    </row>
    <row r="37" spans="1:35" x14ac:dyDescent="0.25">
      <c r="A37" s="3" t="s">
        <v>57</v>
      </c>
      <c r="B37" s="3" t="s">
        <v>60</v>
      </c>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5">
        <v>1.05800002141383E-8</v>
      </c>
      <c r="AF37" s="5">
        <v>1.1082579947164E-8</v>
      </c>
      <c r="AG37" s="5">
        <v>1.2036379920199901E-8</v>
      </c>
      <c r="AH37" s="5">
        <v>1.35539771681044E-8</v>
      </c>
      <c r="AI37" s="5">
        <v>1.7097348365783902E-8</v>
      </c>
    </row>
    <row r="38" spans="1:35" x14ac:dyDescent="0.25">
      <c r="A38" s="3" t="s">
        <v>57</v>
      </c>
      <c r="B38" s="3" t="s">
        <v>61</v>
      </c>
      <c r="C38" s="5">
        <v>4.1689666365698201E-8</v>
      </c>
      <c r="D38" s="5">
        <v>3.4893659774404903E-8</v>
      </c>
      <c r="E38" s="5">
        <v>2.8110100954658301E-8</v>
      </c>
      <c r="F38" s="5">
        <v>1.75478777822372E-8</v>
      </c>
      <c r="G38" s="5">
        <v>1.59903285797879E-8</v>
      </c>
      <c r="H38" s="5">
        <v>1.54810634849776E-8</v>
      </c>
      <c r="I38" s="5">
        <v>1.5185894468454599E-8</v>
      </c>
      <c r="J38" s="5">
        <v>1.4915810396313999E-8</v>
      </c>
      <c r="K38" s="5">
        <v>1.87831630949913E-8</v>
      </c>
      <c r="L38" s="5">
        <v>2.5011884589310301E-8</v>
      </c>
      <c r="M38" s="5">
        <v>3.6228610517190603E-8</v>
      </c>
      <c r="N38" s="5">
        <v>6.3411593833164998E-8</v>
      </c>
      <c r="O38" s="5">
        <v>1.0055911947109899E-6</v>
      </c>
      <c r="P38" s="5">
        <v>1.1355180495019499E-6</v>
      </c>
      <c r="Q38" s="5">
        <v>1.2720462380665199E-6</v>
      </c>
      <c r="R38" s="5">
        <v>1.4384547805691199E-6</v>
      </c>
      <c r="S38" s="5">
        <v>1.6626039453793299E-6</v>
      </c>
      <c r="T38" s="5">
        <v>1.97904532566757E-6</v>
      </c>
      <c r="U38" s="5">
        <v>2.4573985287475402E-6</v>
      </c>
      <c r="V38" s="5">
        <v>3.2669283237771298E-6</v>
      </c>
      <c r="W38" s="5">
        <v>5.0388756894160503E-6</v>
      </c>
      <c r="X38" s="5">
        <v>6.7398827315868701E-7</v>
      </c>
      <c r="Y38" s="5">
        <v>2.93789178038215</v>
      </c>
      <c r="Z38" s="5">
        <v>4.2630271876586301</v>
      </c>
      <c r="AA38" s="5">
        <v>9.1794227690353392</v>
      </c>
      <c r="AB38" s="5">
        <v>19.908256602727199</v>
      </c>
      <c r="AC38" s="5">
        <v>21.690993496738798</v>
      </c>
      <c r="AD38" s="5">
        <v>18.028829726361</v>
      </c>
      <c r="AE38" s="5">
        <v>6.3924723012056897E-6</v>
      </c>
      <c r="AF38" s="5">
        <v>0.990839730870684</v>
      </c>
      <c r="AG38" s="5">
        <v>3.9122551317744301E-6</v>
      </c>
      <c r="AH38" s="5">
        <v>5.2969138321460101E-5</v>
      </c>
      <c r="AI38" s="5">
        <v>1.8256939861213899E-6</v>
      </c>
    </row>
    <row r="39" spans="1:35" x14ac:dyDescent="0.25">
      <c r="A39" s="3" t="s">
        <v>57</v>
      </c>
      <c r="B39" s="3" t="s">
        <v>62</v>
      </c>
      <c r="C39" s="6"/>
      <c r="D39" s="6"/>
      <c r="E39" s="6"/>
      <c r="F39" s="6"/>
      <c r="G39" s="6"/>
      <c r="H39" s="6"/>
      <c r="I39" s="6"/>
      <c r="J39" s="6"/>
      <c r="K39" s="6"/>
      <c r="L39" s="6"/>
      <c r="M39" s="5">
        <v>1.1941043965206399E-8</v>
      </c>
      <c r="N39" s="5">
        <v>1.4632024737968E-8</v>
      </c>
      <c r="O39" s="5">
        <v>1.8612327217857201E-8</v>
      </c>
      <c r="P39" s="5">
        <v>1.9514668688820699E-8</v>
      </c>
      <c r="Q39" s="5">
        <v>2.0037353227300199E-8</v>
      </c>
      <c r="R39" s="5">
        <v>2.0548328053959501E-8</v>
      </c>
      <c r="S39" s="5">
        <v>2.14838128462109E-8</v>
      </c>
      <c r="T39" s="5">
        <v>2.2253377504605299E-8</v>
      </c>
      <c r="U39" s="5">
        <v>2.30232327441999E-8</v>
      </c>
      <c r="V39" s="5">
        <v>2.3997667766426699E-8</v>
      </c>
      <c r="W39" s="5">
        <v>2.5299950478546499E-8</v>
      </c>
      <c r="X39" s="5">
        <v>2.6017671204306199E-8</v>
      </c>
      <c r="Y39" s="5">
        <v>2.7677091530393999E-8</v>
      </c>
      <c r="Z39" s="5">
        <v>2.9104810042798699E-8</v>
      </c>
      <c r="AA39" s="5">
        <v>3.0275958578661403E-8</v>
      </c>
      <c r="AB39" s="5">
        <v>3.1596265143522099E-8</v>
      </c>
      <c r="AC39" s="5">
        <v>3.29205396231436E-8</v>
      </c>
      <c r="AD39" s="5">
        <v>3.4155425131216802E-8</v>
      </c>
      <c r="AE39" s="5">
        <v>3.5412808353317797E-8</v>
      </c>
      <c r="AF39" s="5">
        <v>3.66271052916624E-8</v>
      </c>
      <c r="AG39" s="5">
        <v>3.7880342881420998E-8</v>
      </c>
      <c r="AH39" s="5">
        <v>4.0020527700345697E-8</v>
      </c>
      <c r="AI39" s="5">
        <v>4.3729979846871798E-8</v>
      </c>
    </row>
    <row r="40" spans="1:35" x14ac:dyDescent="0.25">
      <c r="A40" s="3" t="s">
        <v>57</v>
      </c>
      <c r="B40" s="3" t="s">
        <v>63</v>
      </c>
      <c r="C40" s="5">
        <v>1.65185721122097E-8</v>
      </c>
      <c r="D40" s="5">
        <v>1.59567668494387E-8</v>
      </c>
      <c r="E40" s="5">
        <v>1.4994351622555E-8</v>
      </c>
      <c r="F40" s="5">
        <v>1.22413662530133E-8</v>
      </c>
      <c r="G40" s="5">
        <v>1.1829115194012299E-8</v>
      </c>
      <c r="H40" s="5">
        <v>1.18185253600957E-8</v>
      </c>
      <c r="I40" s="5">
        <v>1.1878119320788901E-8</v>
      </c>
      <c r="J40" s="5">
        <v>1.19320005016571E-8</v>
      </c>
      <c r="K40" s="5">
        <v>1.4063023875985001E-8</v>
      </c>
      <c r="L40" s="5">
        <v>1.6985829611268601E-8</v>
      </c>
      <c r="M40" s="5">
        <v>2.1015234893027702E-8</v>
      </c>
      <c r="N40" s="5">
        <v>2.6814247160255001E-8</v>
      </c>
      <c r="O40" s="5">
        <v>3.60696379067831E-8</v>
      </c>
      <c r="P40" s="5">
        <v>3.7313288440049899E-8</v>
      </c>
      <c r="Q40" s="5">
        <v>3.7861929756558498E-8</v>
      </c>
      <c r="R40" s="5">
        <v>3.78846950099724E-8</v>
      </c>
      <c r="S40" s="5">
        <v>3.8041493941453098E-8</v>
      </c>
      <c r="T40" s="5">
        <v>3.8767846354052497E-8</v>
      </c>
      <c r="U40" s="5">
        <v>3.9275624492386902E-8</v>
      </c>
      <c r="V40" s="5">
        <v>4.0500924650841603E-8</v>
      </c>
      <c r="W40" s="5">
        <v>4.1771524525396298E-8</v>
      </c>
      <c r="X40" s="5">
        <v>4.2039269925717603E-8</v>
      </c>
      <c r="Y40" s="5">
        <v>4.3972676729415099E-8</v>
      </c>
      <c r="Z40" s="5">
        <v>4.5438847017861902E-8</v>
      </c>
      <c r="AA40" s="5">
        <v>4.6559776845291801E-8</v>
      </c>
      <c r="AB40" s="5">
        <v>4.7766972493089197E-8</v>
      </c>
      <c r="AC40" s="5">
        <v>4.8991613495152001E-8</v>
      </c>
      <c r="AD40" s="5">
        <v>5.0111732551462798E-8</v>
      </c>
      <c r="AE40" s="5">
        <v>5.1155314397617103E-8</v>
      </c>
      <c r="AF40" s="5">
        <v>5.2081726083269799E-8</v>
      </c>
      <c r="AG40" s="5">
        <v>5.2920586412463297E-8</v>
      </c>
      <c r="AH40" s="5">
        <v>5.4613857354248203E-8</v>
      </c>
      <c r="AI40" s="5">
        <v>5.7887707510361198E-8</v>
      </c>
    </row>
    <row r="41" spans="1:35" x14ac:dyDescent="0.25">
      <c r="A41" s="3" t="s">
        <v>64</v>
      </c>
      <c r="B41" s="3" t="s">
        <v>65</v>
      </c>
      <c r="C41" s="5">
        <v>4.57423825465776</v>
      </c>
      <c r="D41" s="5">
        <v>20.619871921687</v>
      </c>
      <c r="E41" s="5">
        <v>47.326747179768297</v>
      </c>
      <c r="F41" s="5">
        <v>1.77674177612657E-5</v>
      </c>
      <c r="G41" s="5">
        <v>0.57513075762394905</v>
      </c>
      <c r="H41" s="5">
        <v>0.578177939362719</v>
      </c>
      <c r="I41" s="5">
        <v>0.55771551396393104</v>
      </c>
      <c r="J41" s="5">
        <v>0.57685409868353599</v>
      </c>
      <c r="K41" s="5">
        <v>0.58260511159125705</v>
      </c>
      <c r="L41" s="5">
        <v>0.62414299555895802</v>
      </c>
      <c r="M41" s="5">
        <v>0.63315449835484505</v>
      </c>
      <c r="N41" s="5">
        <v>0.63217141733314297</v>
      </c>
      <c r="O41" s="5">
        <v>0.46476189336339202</v>
      </c>
      <c r="P41" s="5">
        <v>0.55080843400544499</v>
      </c>
      <c r="Q41" s="5">
        <v>0.55104189399343895</v>
      </c>
      <c r="R41" s="5">
        <v>0.54255017942307104</v>
      </c>
      <c r="S41" s="5">
        <v>0.51894882620253902</v>
      </c>
      <c r="T41" s="5">
        <v>0.49552422565083998</v>
      </c>
      <c r="U41" s="5">
        <v>0.49162062688420799</v>
      </c>
      <c r="V41" s="5">
        <v>0.48341876556585001</v>
      </c>
      <c r="W41" s="5">
        <v>5.0281192622761699</v>
      </c>
      <c r="X41" s="5">
        <v>21.042296162151001</v>
      </c>
      <c r="Y41" s="5">
        <v>47.455366749899902</v>
      </c>
      <c r="Z41" s="5">
        <v>0.12863700591642599</v>
      </c>
      <c r="AA41" s="5">
        <v>0.96404333276429599</v>
      </c>
      <c r="AB41" s="5">
        <v>0.95101989207041904</v>
      </c>
      <c r="AC41" s="5">
        <v>0.91364587954065901</v>
      </c>
      <c r="AD41" s="5">
        <v>0.91552017319128098</v>
      </c>
      <c r="AE41" s="5">
        <v>0.90262908343376902</v>
      </c>
      <c r="AF41" s="5">
        <v>0.92468690827604605</v>
      </c>
      <c r="AG41" s="5">
        <v>0.91180600504035403</v>
      </c>
      <c r="AH41" s="5">
        <v>0.82990895737794002</v>
      </c>
      <c r="AI41" s="5">
        <v>0.64089884338420799</v>
      </c>
    </row>
    <row r="42" spans="1:35" x14ac:dyDescent="0.25">
      <c r="A42" s="3" t="s">
        <v>64</v>
      </c>
      <c r="B42" s="3" t="s">
        <v>66</v>
      </c>
      <c r="C42" s="5">
        <v>1.6249858202402601</v>
      </c>
      <c r="D42" s="5">
        <v>31.866334928505001</v>
      </c>
      <c r="E42" s="5">
        <v>0.81250492720768297</v>
      </c>
      <c r="F42" s="5">
        <v>48.176520837674197</v>
      </c>
      <c r="G42" s="5">
        <v>46.678899787108897</v>
      </c>
      <c r="H42" s="5">
        <v>35.763043561884899</v>
      </c>
      <c r="I42" s="5">
        <v>33.4435072736566</v>
      </c>
      <c r="J42" s="5">
        <v>19.255495278309301</v>
      </c>
      <c r="K42" s="5">
        <v>7.8698621062037099E-6</v>
      </c>
      <c r="L42" s="5">
        <v>8.5016329058883397E-6</v>
      </c>
      <c r="M42" s="5">
        <v>2.7088820835309998E-6</v>
      </c>
      <c r="N42" s="5">
        <v>2.0723790173792199E-6</v>
      </c>
      <c r="O42" s="5">
        <v>5.0279626518747897E-7</v>
      </c>
      <c r="P42" s="5">
        <v>1.2288106806928E-7</v>
      </c>
      <c r="Q42" s="5">
        <v>9.1588824957563994E-8</v>
      </c>
      <c r="R42" s="5">
        <v>6.3259771660891305E-8</v>
      </c>
      <c r="S42" s="5">
        <v>5.1467040402652398E-8</v>
      </c>
      <c r="T42" s="5">
        <v>4.96824636473435E-8</v>
      </c>
      <c r="U42" s="5">
        <v>4.2548843592003502E-8</v>
      </c>
      <c r="V42" s="5">
        <v>7.1464592899930698E-8</v>
      </c>
      <c r="W42" s="5">
        <v>3.4047757069781E-6</v>
      </c>
      <c r="X42" s="5">
        <v>31.053844137376299</v>
      </c>
      <c r="Y42" s="5">
        <v>1.46605002326919E-5</v>
      </c>
      <c r="Z42" s="5">
        <v>47.364029684595899</v>
      </c>
      <c r="AA42" s="5">
        <v>45.866409765376702</v>
      </c>
      <c r="AB42" s="5">
        <v>34.950552124585101</v>
      </c>
      <c r="AC42" s="5">
        <v>32.631010674827998</v>
      </c>
      <c r="AD42" s="5">
        <v>15.261961444097</v>
      </c>
      <c r="AE42" s="5">
        <v>2.2714276605282699E-7</v>
      </c>
      <c r="AF42" s="5">
        <v>9.7727535357688905E-8</v>
      </c>
      <c r="AG42" s="5">
        <v>5.8611312958747998E-8</v>
      </c>
      <c r="AH42" s="5">
        <v>3.5618672623783601E-8</v>
      </c>
      <c r="AI42" s="5">
        <v>2.38715262175896E-8</v>
      </c>
    </row>
    <row r="43" spans="1:35" x14ac:dyDescent="0.25">
      <c r="A43" s="3" t="s">
        <v>64</v>
      </c>
      <c r="B43" s="3" t="s">
        <v>67</v>
      </c>
      <c r="C43" s="5">
        <v>1.90534438906606E-7</v>
      </c>
      <c r="D43" s="5">
        <v>5.1085977700814501E-7</v>
      </c>
      <c r="E43" s="5">
        <v>0.70532944061781999</v>
      </c>
      <c r="F43" s="5">
        <v>0.70533140117986204</v>
      </c>
      <c r="G43" s="5">
        <v>0.70533087640229697</v>
      </c>
      <c r="H43" s="5">
        <v>0.70533158020353404</v>
      </c>
      <c r="I43" s="5">
        <v>0.705332527969734</v>
      </c>
      <c r="J43" s="5">
        <v>18.573334004631501</v>
      </c>
      <c r="K43" s="5">
        <v>31.549371611700501</v>
      </c>
      <c r="L43" s="5">
        <v>35.963152731666298</v>
      </c>
      <c r="M43" s="5">
        <v>40.130614407499401</v>
      </c>
      <c r="N43" s="5">
        <v>42.4912847190216</v>
      </c>
      <c r="O43" s="5">
        <v>0.705333439560761</v>
      </c>
      <c r="P43" s="5">
        <v>29.087018612178898</v>
      </c>
      <c r="Q43" s="5">
        <v>7.1233518698849496E-7</v>
      </c>
      <c r="R43" s="5">
        <v>1.9315221081557301E-7</v>
      </c>
      <c r="S43" s="5">
        <v>1.3467276992570599E-7</v>
      </c>
      <c r="T43" s="5">
        <v>1.6250211960154601E-7</v>
      </c>
      <c r="U43" s="5">
        <v>1.2575801337274299E-7</v>
      </c>
      <c r="V43" s="5">
        <v>1.0147358930760001E-7</v>
      </c>
      <c r="W43" s="5">
        <v>8.6287830367567105E-8</v>
      </c>
      <c r="X43" s="5">
        <v>6.9962010873637205E-8</v>
      </c>
      <c r="Y43" s="5">
        <v>6.4787241831824494E-8</v>
      </c>
      <c r="Z43" s="5">
        <v>7.5351465152887598E-8</v>
      </c>
      <c r="AA43" s="5">
        <v>9.2612827776246806E-8</v>
      </c>
      <c r="AB43" s="5">
        <v>1.2667425411520999E-7</v>
      </c>
      <c r="AC43" s="5">
        <v>2.3014778657970201E-7</v>
      </c>
      <c r="AD43" s="5">
        <v>17.868001316863399</v>
      </c>
      <c r="AE43" s="5">
        <v>30.844041359406798</v>
      </c>
      <c r="AF43" s="5">
        <v>35.257820047924298</v>
      </c>
      <c r="AG43" s="5">
        <v>39.425284416965603</v>
      </c>
      <c r="AH43" s="5">
        <v>41.785952988600599</v>
      </c>
      <c r="AI43" s="5">
        <v>1.6195951627016899E-7</v>
      </c>
    </row>
    <row r="44" spans="1:35" x14ac:dyDescent="0.25">
      <c r="A44" s="3" t="s">
        <v>64</v>
      </c>
      <c r="B44" s="3" t="s">
        <v>68</v>
      </c>
      <c r="C44" s="5">
        <v>2.8345251214017599E-8</v>
      </c>
      <c r="D44" s="5">
        <v>3.24096511952378E-8</v>
      </c>
      <c r="E44" s="5">
        <v>3.81380002100818E-8</v>
      </c>
      <c r="F44" s="5">
        <v>4.38886325369616E-8</v>
      </c>
      <c r="G44" s="5">
        <v>5.27199541071583E-8</v>
      </c>
      <c r="H44" s="5">
        <v>6.7779769290861596E-8</v>
      </c>
      <c r="I44" s="5">
        <v>8.7416338678882602E-8</v>
      </c>
      <c r="J44" s="5">
        <v>1.0845740362617E-7</v>
      </c>
      <c r="K44" s="5">
        <v>1.3254770214978799E-7</v>
      </c>
      <c r="L44" s="5">
        <v>1.72655170599658E-7</v>
      </c>
      <c r="M44" s="5">
        <v>2.2957948258477799E-7</v>
      </c>
      <c r="N44" s="5">
        <v>3.5174342295573102E-7</v>
      </c>
      <c r="O44" s="5">
        <v>7.6442809730697798E-7</v>
      </c>
      <c r="P44" s="5">
        <v>4.1831009388040998</v>
      </c>
      <c r="Q44" s="5">
        <v>3.9277483518326299</v>
      </c>
      <c r="R44" s="5">
        <v>4.2007840708694098E-7</v>
      </c>
      <c r="S44" s="5">
        <v>3.2180792596132801E-7</v>
      </c>
      <c r="T44" s="5">
        <v>10.112238119762299</v>
      </c>
      <c r="U44" s="5">
        <v>10.192459187048801</v>
      </c>
      <c r="V44" s="5">
        <v>10.916318354566</v>
      </c>
      <c r="W44" s="5">
        <v>7.0821603797178296</v>
      </c>
      <c r="X44" s="5">
        <v>7.77779209972699</v>
      </c>
      <c r="Y44" s="5">
        <v>1.71662215886642E-6</v>
      </c>
      <c r="Z44" s="5">
        <v>6.0698123934796198E-7</v>
      </c>
      <c r="AA44" s="5">
        <v>5.5536292876881401E-7</v>
      </c>
      <c r="AB44" s="5">
        <v>2.9719824777668298E-7</v>
      </c>
      <c r="AC44" s="5">
        <v>3.1919035977098799E-7</v>
      </c>
      <c r="AD44" s="5">
        <v>3.19010388225198</v>
      </c>
      <c r="AE44" s="5">
        <v>1.38515438723727</v>
      </c>
      <c r="AF44" s="5">
        <v>1.8557675233265599E-6</v>
      </c>
      <c r="AG44" s="5">
        <v>2.2819081714786802</v>
      </c>
      <c r="AH44" s="5">
        <v>0.12603638690993299</v>
      </c>
      <c r="AI44" s="5">
        <v>1.29040577017814E-7</v>
      </c>
    </row>
    <row r="45" spans="1:35" x14ac:dyDescent="0.25">
      <c r="A45" s="3" t="s">
        <v>64</v>
      </c>
      <c r="B45" s="3" t="s">
        <v>69</v>
      </c>
      <c r="C45" s="5">
        <v>2.2473147806096301E-8</v>
      </c>
      <c r="D45" s="5">
        <v>2.5186396446906999E-8</v>
      </c>
      <c r="E45" s="5">
        <v>2.8988515704268102E-8</v>
      </c>
      <c r="F45" s="5">
        <v>3.2252180268296E-8</v>
      </c>
      <c r="G45" s="5">
        <v>3.7217567669898797E-8</v>
      </c>
      <c r="H45" s="5">
        <v>4.4639907760110203E-8</v>
      </c>
      <c r="I45" s="5">
        <v>5.3093824695143001E-8</v>
      </c>
      <c r="J45" s="5">
        <v>6.1136374096494303E-8</v>
      </c>
      <c r="K45" s="5">
        <v>6.9336629647195996E-8</v>
      </c>
      <c r="L45" s="5">
        <v>8.0438814588449601E-8</v>
      </c>
      <c r="M45" s="5">
        <v>9.2880315309439201E-8</v>
      </c>
      <c r="N45" s="5">
        <v>1.10561603909096E-7</v>
      </c>
      <c r="O45" s="5">
        <v>1.3656897814651699E-7</v>
      </c>
      <c r="P45" s="5">
        <v>1.70721515322959E-7</v>
      </c>
      <c r="Q45" s="5">
        <v>1.7493522268528299E-7</v>
      </c>
      <c r="R45" s="5">
        <v>1.2667791439133401E-7</v>
      </c>
      <c r="S45" s="5">
        <v>1.1821670908412E-7</v>
      </c>
      <c r="T45" s="5">
        <v>1.8857052545894299E-7</v>
      </c>
      <c r="U45" s="5">
        <v>1.9350456744007999E-7</v>
      </c>
      <c r="V45" s="5">
        <v>1.9869348363827699E-7</v>
      </c>
      <c r="W45" s="5">
        <v>2.0361395010104999E-7</v>
      </c>
      <c r="X45" s="5">
        <v>2.0888017474547801E-7</v>
      </c>
      <c r="Y45" s="5">
        <v>1.9025268350485399E-7</v>
      </c>
      <c r="Z45" s="5">
        <v>1.6346256390048699E-7</v>
      </c>
      <c r="AA45" s="5">
        <v>1.6328851850866901E-7</v>
      </c>
      <c r="AB45" s="5">
        <v>1.3323039223442201E-7</v>
      </c>
      <c r="AC45" s="5">
        <v>1.3907470299903899E-7</v>
      </c>
      <c r="AD45" s="5">
        <v>2.5610170272530902E-7</v>
      </c>
      <c r="AE45" s="5">
        <v>2.6904357705385799E-7</v>
      </c>
      <c r="AF45" s="5">
        <v>2.4642934108981901E-7</v>
      </c>
      <c r="AG45" s="5">
        <v>3.0735870003542098E-7</v>
      </c>
      <c r="AH45" s="5">
        <v>3.4428368484700201E-7</v>
      </c>
      <c r="AI45" s="5">
        <v>1.02884221804871E-7</v>
      </c>
    </row>
    <row r="46" spans="1:35" x14ac:dyDescent="0.25">
      <c r="A46" s="3" t="s">
        <v>64</v>
      </c>
      <c r="B46" s="3" t="s">
        <v>70</v>
      </c>
      <c r="C46" s="5">
        <v>1.86272406193711E-8</v>
      </c>
      <c r="D46" s="5">
        <v>2.0615507458726001E-8</v>
      </c>
      <c r="E46" s="5">
        <v>2.3441618682929498E-8</v>
      </c>
      <c r="F46" s="5">
        <v>2.5593929771264601E-8</v>
      </c>
      <c r="G46" s="5">
        <v>2.8900339875237801E-8</v>
      </c>
      <c r="H46" s="5">
        <v>3.3474204362040098E-8</v>
      </c>
      <c r="I46" s="5">
        <v>3.8392372198179197E-8</v>
      </c>
      <c r="J46" s="5">
        <v>4.2910505908950497E-8</v>
      </c>
      <c r="K46" s="5">
        <v>4.7382432290308498E-8</v>
      </c>
      <c r="L46" s="5">
        <v>5.2996016397649999E-8</v>
      </c>
      <c r="M46" s="5">
        <v>5.8936033123267302E-8</v>
      </c>
      <c r="N46" s="5">
        <v>6.6538599276253005E-8</v>
      </c>
      <c r="O46" s="5">
        <v>7.6216078303538205E-8</v>
      </c>
      <c r="P46" s="5">
        <v>8.6634363328967705E-8</v>
      </c>
      <c r="Q46" s="5">
        <v>8.8801368869835803E-8</v>
      </c>
      <c r="R46" s="5">
        <v>7.5521334068233201E-8</v>
      </c>
      <c r="S46" s="5">
        <v>7.3238865407530101E-8</v>
      </c>
      <c r="T46" s="5">
        <v>9.5730393132103199E-8</v>
      </c>
      <c r="U46" s="5">
        <v>9.8225438099374602E-8</v>
      </c>
      <c r="V46" s="5">
        <v>1.00836830795479E-7</v>
      </c>
      <c r="W46" s="5">
        <v>1.0347305524301399E-7</v>
      </c>
      <c r="X46" s="5">
        <v>1.06130185966262E-7</v>
      </c>
      <c r="Y46" s="5">
        <v>1.02560216503643E-7</v>
      </c>
      <c r="Z46" s="5">
        <v>9.5672100567354305E-8</v>
      </c>
      <c r="AA46" s="5">
        <v>9.6884221602671794E-8</v>
      </c>
      <c r="AB46" s="5">
        <v>8.6748007136128203E-8</v>
      </c>
      <c r="AC46" s="5">
        <v>9.0250183840108605E-8</v>
      </c>
      <c r="AD46" s="5">
        <v>1.30104310499918E-7</v>
      </c>
      <c r="AE46" s="5">
        <v>1.3650695757119301E-7</v>
      </c>
      <c r="AF46" s="5">
        <v>1.34048274237172E-7</v>
      </c>
      <c r="AG46" s="5">
        <v>1.5603686249546799E-7</v>
      </c>
      <c r="AH46" s="5">
        <v>1.7542993817367999E-7</v>
      </c>
      <c r="AI46" s="5">
        <v>8.5857671464263097E-8</v>
      </c>
    </row>
    <row r="47" spans="1:35" x14ac:dyDescent="0.25">
      <c r="A47" s="3" t="s">
        <v>64</v>
      </c>
      <c r="B47" s="3" t="s">
        <v>71</v>
      </c>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5">
        <v>1.0819729652401999E-8</v>
      </c>
      <c r="AE47" s="5">
        <v>1.1481791892482E-8</v>
      </c>
      <c r="AF47" s="5">
        <v>1.22825060836787E-8</v>
      </c>
      <c r="AG47" s="5">
        <v>1.33886784216464E-8</v>
      </c>
      <c r="AH47" s="5">
        <v>1.47943560719655E-8</v>
      </c>
      <c r="AI47" s="5">
        <v>1.8692620871293799E-8</v>
      </c>
    </row>
    <row r="48" spans="1:35" x14ac:dyDescent="0.25">
      <c r="A48" s="3" t="s">
        <v>64</v>
      </c>
      <c r="B48" s="3" t="s">
        <v>72</v>
      </c>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5">
        <v>1.02596628980599E-8</v>
      </c>
      <c r="AH48" s="5">
        <v>1.1117965891822701E-8</v>
      </c>
      <c r="AI48" s="5">
        <v>1.33236260932352E-8</v>
      </c>
    </row>
    <row r="49" spans="1:35" x14ac:dyDescent="0.25">
      <c r="A49" s="3" t="s">
        <v>64</v>
      </c>
      <c r="B49" s="3" t="s">
        <v>73</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5">
        <v>1.0486239319074301E-8</v>
      </c>
      <c r="AI49" s="5">
        <v>1.25189871678222E-8</v>
      </c>
    </row>
    <row r="50" spans="1:35" x14ac:dyDescent="0.25">
      <c r="A50" s="3" t="s">
        <v>64</v>
      </c>
      <c r="B50" s="3" t="s">
        <v>74</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5">
        <v>1.0122673288094801E-8</v>
      </c>
      <c r="AI50" s="5">
        <v>1.2118294382059899E-8</v>
      </c>
    </row>
    <row r="51" spans="1:35" x14ac:dyDescent="0.25">
      <c r="A51" s="3" t="s">
        <v>64</v>
      </c>
      <c r="B51" s="3" t="s">
        <v>75</v>
      </c>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5">
        <v>1.17464468323764E-8</v>
      </c>
    </row>
    <row r="52" spans="1:35" x14ac:dyDescent="0.25">
      <c r="A52" s="3" t="s">
        <v>64</v>
      </c>
      <c r="B52" s="3" t="s">
        <v>76</v>
      </c>
      <c r="C52" s="6"/>
      <c r="D52" s="6"/>
      <c r="E52" s="6"/>
      <c r="F52" s="6"/>
      <c r="G52" s="6"/>
      <c r="H52" s="6"/>
      <c r="I52" s="6"/>
      <c r="J52" s="6"/>
      <c r="K52" s="6"/>
      <c r="L52" s="6"/>
      <c r="M52" s="6"/>
      <c r="N52" s="6"/>
      <c r="O52" s="5">
        <v>1.6080962661425001E-8</v>
      </c>
      <c r="P52" s="5">
        <v>1.73414933489554E-8</v>
      </c>
      <c r="Q52" s="5">
        <v>1.5588334972778301E-8</v>
      </c>
      <c r="R52" s="5">
        <v>1.6559300780018499E-8</v>
      </c>
      <c r="S52" s="5">
        <v>1.7621244713719799E-8</v>
      </c>
      <c r="T52" s="5">
        <v>1.9546893475428001E-8</v>
      </c>
      <c r="U52" s="5">
        <v>2.0852542746392802E-8</v>
      </c>
      <c r="V52" s="5">
        <v>2.2151212980579E-8</v>
      </c>
      <c r="W52" s="5">
        <v>2.3537776354393099E-8</v>
      </c>
      <c r="X52" s="5">
        <v>2.2783251273199701E-8</v>
      </c>
      <c r="Y52" s="5">
        <v>2.59582307485037E-8</v>
      </c>
      <c r="Z52" s="5">
        <v>2.6683731817023099E-8</v>
      </c>
      <c r="AA52" s="5">
        <v>2.7848020474728902E-8</v>
      </c>
      <c r="AB52" s="5">
        <v>2.8769193155403302E-8</v>
      </c>
      <c r="AC52" s="5">
        <v>2.9614620090746702E-8</v>
      </c>
      <c r="AD52" s="5">
        <v>3.04909719316943E-8</v>
      </c>
      <c r="AE52" s="5">
        <v>3.3106278855852097E-8</v>
      </c>
      <c r="AF52" s="5">
        <v>3.50394749585261E-8</v>
      </c>
      <c r="AG52" s="5">
        <v>3.6671249523333001E-8</v>
      </c>
      <c r="AH52" s="5">
        <v>4.0694454618278901E-8</v>
      </c>
      <c r="AI52" s="5">
        <v>5.1211136243806203E-8</v>
      </c>
    </row>
    <row r="53" spans="1:35" x14ac:dyDescent="0.25">
      <c r="A53" s="3" t="s">
        <v>64</v>
      </c>
      <c r="B53" s="3" t="s">
        <v>77</v>
      </c>
      <c r="C53" s="6"/>
      <c r="D53" s="6"/>
      <c r="E53" s="6"/>
      <c r="F53" s="6"/>
      <c r="G53" s="6"/>
      <c r="H53" s="6"/>
      <c r="I53" s="6"/>
      <c r="J53" s="6"/>
      <c r="K53" s="6"/>
      <c r="L53" s="6"/>
      <c r="M53" s="6"/>
      <c r="N53" s="6"/>
      <c r="O53" s="5">
        <v>1.0330463029945501E-8</v>
      </c>
      <c r="P53" s="5">
        <v>1.0320576629076601E-8</v>
      </c>
      <c r="Q53" s="6"/>
      <c r="R53" s="5">
        <v>1.0063914929095401E-8</v>
      </c>
      <c r="S53" s="5">
        <v>1.07654848385414E-8</v>
      </c>
      <c r="T53" s="5">
        <v>1.23029915582429E-8</v>
      </c>
      <c r="U53" s="5">
        <v>1.3207274514621101E-8</v>
      </c>
      <c r="V53" s="5">
        <v>1.41946334075262E-8</v>
      </c>
      <c r="W53" s="5">
        <v>1.5286705284073299E-8</v>
      </c>
      <c r="X53" s="5">
        <v>1.5135534769391301E-8</v>
      </c>
      <c r="Y53" s="5">
        <v>1.7026625665448301E-8</v>
      </c>
      <c r="Z53" s="5">
        <v>1.7567458996824498E-8</v>
      </c>
      <c r="AA53" s="5">
        <v>1.8358975963446099E-8</v>
      </c>
      <c r="AB53" s="5">
        <v>1.90458054452904E-8</v>
      </c>
      <c r="AC53" s="5">
        <v>1.9719122467613199E-8</v>
      </c>
      <c r="AD53" s="5">
        <v>2.0446132818106E-8</v>
      </c>
      <c r="AE53" s="5">
        <v>2.2075372181457801E-8</v>
      </c>
      <c r="AF53" s="5">
        <v>2.33968034669171E-8</v>
      </c>
      <c r="AG53" s="5">
        <v>2.4159328668466299E-8</v>
      </c>
      <c r="AH53" s="5">
        <v>2.6728040937270301E-8</v>
      </c>
      <c r="AI53" s="5">
        <v>3.3864823473746698E-8</v>
      </c>
    </row>
    <row r="54" spans="1:35" x14ac:dyDescent="0.25">
      <c r="A54" s="3" t="s">
        <v>64</v>
      </c>
      <c r="B54" s="3" t="s">
        <v>78</v>
      </c>
      <c r="C54" s="6"/>
      <c r="D54" s="6"/>
      <c r="E54" s="6"/>
      <c r="F54" s="6"/>
      <c r="G54" s="6"/>
      <c r="H54" s="6"/>
      <c r="I54" s="6"/>
      <c r="J54" s="6"/>
      <c r="K54" s="6"/>
      <c r="L54" s="6"/>
      <c r="M54" s="6"/>
      <c r="N54" s="6"/>
      <c r="O54" s="6"/>
      <c r="P54" s="6"/>
      <c r="Q54" s="6"/>
      <c r="R54" s="6"/>
      <c r="S54" s="6"/>
      <c r="T54" s="5">
        <v>1.0440950045670899E-8</v>
      </c>
      <c r="U54" s="5">
        <v>1.1237422820196199E-8</v>
      </c>
      <c r="V54" s="5">
        <v>1.1985652851251499E-8</v>
      </c>
      <c r="W54" s="5">
        <v>1.27862727657251E-8</v>
      </c>
      <c r="X54" s="5">
        <v>1.27025080302717E-8</v>
      </c>
      <c r="Y54" s="5">
        <v>1.42535625975181E-8</v>
      </c>
      <c r="Z54" s="5">
        <v>1.4762840910825999E-8</v>
      </c>
      <c r="AA54" s="5">
        <v>1.54824341584633E-8</v>
      </c>
      <c r="AB54" s="5">
        <v>1.6135505548864599E-8</v>
      </c>
      <c r="AC54" s="5">
        <v>1.6798562198396298E-8</v>
      </c>
      <c r="AD54" s="5">
        <v>1.7533252274999E-8</v>
      </c>
      <c r="AE54" s="5">
        <v>1.9028145937314401E-8</v>
      </c>
      <c r="AF54" s="5">
        <v>2.0364071593728501E-8</v>
      </c>
      <c r="AG54" s="5">
        <v>2.1159941899067101E-8</v>
      </c>
      <c r="AH54" s="5">
        <v>2.39282431186117E-8</v>
      </c>
      <c r="AI54" s="5">
        <v>3.1491972776790801E-8</v>
      </c>
    </row>
    <row r="55" spans="1:35" x14ac:dyDescent="0.25">
      <c r="A55" s="3" t="s">
        <v>64</v>
      </c>
      <c r="B55" s="3" t="s">
        <v>79</v>
      </c>
      <c r="C55" s="6"/>
      <c r="D55" s="6"/>
      <c r="E55" s="6"/>
      <c r="F55" s="6"/>
      <c r="G55" s="6"/>
      <c r="H55" s="6"/>
      <c r="I55" s="6"/>
      <c r="J55" s="6"/>
      <c r="K55" s="6"/>
      <c r="L55" s="6"/>
      <c r="M55" s="6"/>
      <c r="N55" s="6"/>
      <c r="O55" s="6"/>
      <c r="P55" s="6"/>
      <c r="Q55" s="6"/>
      <c r="R55" s="6"/>
      <c r="S55" s="6"/>
      <c r="T55" s="6"/>
      <c r="U55" s="6"/>
      <c r="V55" s="5">
        <v>1.01782429006637E-8</v>
      </c>
      <c r="W55" s="5">
        <v>1.08862695428898E-8</v>
      </c>
      <c r="X55" s="5">
        <v>1.0884957161974099E-8</v>
      </c>
      <c r="Y55" s="5">
        <v>1.22219609089667E-8</v>
      </c>
      <c r="Z55" s="5">
        <v>1.26721815782257E-8</v>
      </c>
      <c r="AA55" s="5">
        <v>1.3303820267924901E-8</v>
      </c>
      <c r="AB55" s="5">
        <v>1.3873549301725999E-8</v>
      </c>
      <c r="AC55" s="5">
        <v>1.44682038405921E-8</v>
      </c>
      <c r="AD55" s="5">
        <v>1.5152674431083299E-8</v>
      </c>
      <c r="AE55" s="5">
        <v>1.6486594667845698E-8</v>
      </c>
      <c r="AF55" s="5">
        <v>1.7722812261663399E-8</v>
      </c>
      <c r="AG55" s="5">
        <v>1.8390181064198099E-8</v>
      </c>
      <c r="AH55" s="5">
        <v>2.0952857730359499E-8</v>
      </c>
      <c r="AI55" s="5">
        <v>2.8010536418604E-8</v>
      </c>
    </row>
    <row r="56" spans="1:35" x14ac:dyDescent="0.25">
      <c r="A56" s="3" t="s">
        <v>64</v>
      </c>
      <c r="B56" s="3" t="s">
        <v>80</v>
      </c>
      <c r="C56" s="6"/>
      <c r="D56" s="6"/>
      <c r="E56" s="6"/>
      <c r="F56" s="6"/>
      <c r="G56" s="6"/>
      <c r="H56" s="6"/>
      <c r="I56" s="6"/>
      <c r="J56" s="6"/>
      <c r="K56" s="6"/>
      <c r="L56" s="6"/>
      <c r="M56" s="6"/>
      <c r="N56" s="6"/>
      <c r="O56" s="6"/>
      <c r="P56" s="6"/>
      <c r="Q56" s="6"/>
      <c r="R56" s="6"/>
      <c r="S56" s="6"/>
      <c r="T56" s="6"/>
      <c r="U56" s="6"/>
      <c r="V56" s="6"/>
      <c r="W56" s="5">
        <v>1.0330402641928299E-8</v>
      </c>
      <c r="X56" s="5">
        <v>1.0344676376515699E-8</v>
      </c>
      <c r="Y56" s="5">
        <v>1.16183823762589E-8</v>
      </c>
      <c r="Z56" s="5">
        <v>1.2058189148679601E-8</v>
      </c>
      <c r="AA56" s="5">
        <v>1.26706168487527E-8</v>
      </c>
      <c r="AB56" s="5">
        <v>1.3227858359732E-8</v>
      </c>
      <c r="AC56" s="5">
        <v>1.3811987290778399E-8</v>
      </c>
      <c r="AD56" s="5">
        <v>1.44851657550899E-8</v>
      </c>
      <c r="AE56" s="5">
        <v>1.5775087909867001E-8</v>
      </c>
      <c r="AF56" s="5">
        <v>1.6985119343801E-8</v>
      </c>
      <c r="AG56" s="5">
        <v>1.7613992318189699E-8</v>
      </c>
      <c r="AH56" s="5">
        <v>2.01188928476821E-8</v>
      </c>
      <c r="AI56" s="5">
        <v>2.7040685109087801E-8</v>
      </c>
    </row>
    <row r="57" spans="1:35" x14ac:dyDescent="0.25">
      <c r="A57" s="3" t="s">
        <v>64</v>
      </c>
      <c r="B57" s="3" t="s">
        <v>81</v>
      </c>
      <c r="C57" s="6"/>
      <c r="D57" s="6"/>
      <c r="E57" s="6"/>
      <c r="F57" s="6"/>
      <c r="G57" s="6"/>
      <c r="H57" s="6"/>
      <c r="I57" s="6"/>
      <c r="J57" s="6"/>
      <c r="K57" s="6"/>
      <c r="L57" s="6"/>
      <c r="M57" s="6"/>
      <c r="N57" s="6"/>
      <c r="O57" s="6"/>
      <c r="P57" s="6"/>
      <c r="Q57" s="6"/>
      <c r="R57" s="6"/>
      <c r="S57" s="6"/>
      <c r="T57" s="6"/>
      <c r="U57" s="6"/>
      <c r="V57" s="6"/>
      <c r="W57" s="6"/>
      <c r="X57" s="6"/>
      <c r="Y57" s="5">
        <v>1.1054657598913199E-8</v>
      </c>
      <c r="Z57" s="5">
        <v>1.1484420873670499E-8</v>
      </c>
      <c r="AA57" s="5">
        <v>1.20788209402896E-8</v>
      </c>
      <c r="AB57" s="5">
        <v>1.26241373942874E-8</v>
      </c>
      <c r="AC57" s="5">
        <v>1.31981077693928E-8</v>
      </c>
      <c r="AD57" s="5">
        <v>1.38603951217493E-8</v>
      </c>
      <c r="AE57" s="5">
        <v>1.5109618816965599E-8</v>
      </c>
      <c r="AF57" s="5">
        <v>1.6294986535009101E-8</v>
      </c>
      <c r="AG57" s="5">
        <v>1.6887723222106101E-8</v>
      </c>
      <c r="AH57" s="5">
        <v>1.9338382452360801E-8</v>
      </c>
      <c r="AI57" s="5">
        <v>2.61316478522303E-8</v>
      </c>
    </row>
    <row r="58" spans="1:35" x14ac:dyDescent="0.25">
      <c r="A58" s="3" t="s">
        <v>64</v>
      </c>
      <c r="B58" s="3" t="s">
        <v>82</v>
      </c>
      <c r="C58" s="5">
        <v>8.3705326285485902E-8</v>
      </c>
      <c r="D58" s="5">
        <v>8.4606427928755702E-8</v>
      </c>
      <c r="E58" s="5">
        <v>8.5724529951319002E-8</v>
      </c>
      <c r="F58" s="5">
        <v>8.5065180655752505E-8</v>
      </c>
      <c r="G58" s="5">
        <v>8.3123325140724794E-8</v>
      </c>
      <c r="H58" s="5">
        <v>8.6384514276467901E-8</v>
      </c>
      <c r="I58" s="5">
        <v>8.9982970556627903E-8</v>
      </c>
      <c r="J58" s="5">
        <v>9.3462466291207905E-8</v>
      </c>
      <c r="K58" s="5">
        <v>1.1646132800061201E-7</v>
      </c>
      <c r="L58" s="5">
        <v>1.49807865594858E-7</v>
      </c>
      <c r="M58" s="5">
        <v>1.8102014353184199E-7</v>
      </c>
      <c r="N58" s="5">
        <v>2.2484300761616101E-7</v>
      </c>
      <c r="O58" s="5">
        <v>2.8764725289272201E-7</v>
      </c>
      <c r="P58" s="5">
        <v>3.00963595885413E-7</v>
      </c>
      <c r="Q58" s="5">
        <v>3.0901981159441802E-7</v>
      </c>
      <c r="R58" s="5">
        <v>3.1780948983046102E-7</v>
      </c>
      <c r="S58" s="5">
        <v>3.2618774183767302E-7</v>
      </c>
      <c r="T58" s="5">
        <v>3.3475626557365102E-7</v>
      </c>
      <c r="U58" s="5">
        <v>3.4358376781596099E-7</v>
      </c>
      <c r="V58" s="5">
        <v>3.5292374193489798E-7</v>
      </c>
      <c r="W58" s="5">
        <v>3.61982256666592E-7</v>
      </c>
      <c r="X58" s="5">
        <v>3.6229030260257101E-7</v>
      </c>
      <c r="Y58" s="5">
        <v>3.8683313177385301E-7</v>
      </c>
      <c r="Z58" s="5">
        <v>4.0267965427330102E-7</v>
      </c>
      <c r="AA58" s="5">
        <v>4.1991817740760302E-7</v>
      </c>
      <c r="AB58" s="5">
        <v>4.3637030182456398E-7</v>
      </c>
      <c r="AC58" s="5">
        <v>4.5268675765464302E-7</v>
      </c>
      <c r="AD58" s="5">
        <v>4.6862367438319502E-7</v>
      </c>
      <c r="AE58" s="5">
        <v>4.9383196581106703E-7</v>
      </c>
      <c r="AF58" s="5">
        <v>5.1532283498663297E-7</v>
      </c>
      <c r="AG58" s="5">
        <v>5.3776334777671501E-7</v>
      </c>
      <c r="AH58" s="5">
        <v>5.6199115041914902E-7</v>
      </c>
      <c r="AI58" s="5">
        <v>5.7826192445498002E-7</v>
      </c>
    </row>
    <row r="59" spans="1:35" x14ac:dyDescent="0.25">
      <c r="A59" s="3" t="s">
        <v>64</v>
      </c>
      <c r="B59" s="3" t="s">
        <v>83</v>
      </c>
      <c r="C59" s="5">
        <v>7.8755162528737499E-8</v>
      </c>
      <c r="D59" s="5">
        <v>7.9371688239638205E-8</v>
      </c>
      <c r="E59" s="5">
        <v>8.01892321305604E-8</v>
      </c>
      <c r="F59" s="5">
        <v>7.9473154506967102E-8</v>
      </c>
      <c r="G59" s="5">
        <v>7.7700554469785105E-8</v>
      </c>
      <c r="H59" s="5">
        <v>8.0449298291394306E-8</v>
      </c>
      <c r="I59" s="5">
        <v>8.3476621869940796E-8</v>
      </c>
      <c r="J59" s="5">
        <v>8.6389654975384005E-8</v>
      </c>
      <c r="K59" s="5">
        <v>1.05978196393153E-7</v>
      </c>
      <c r="L59" s="5">
        <v>1.33393222392106E-7</v>
      </c>
      <c r="M59" s="5">
        <v>1.5819762316354799E-7</v>
      </c>
      <c r="N59" s="5">
        <v>1.9139139742237701E-7</v>
      </c>
      <c r="O59" s="5">
        <v>2.4089815631554601E-7</v>
      </c>
      <c r="P59" s="5">
        <v>2.5368426323507402E-7</v>
      </c>
      <c r="Q59" s="5">
        <v>2.6241009604927001E-7</v>
      </c>
      <c r="R59" s="5">
        <v>2.71690326586591E-7</v>
      </c>
      <c r="S59" s="5">
        <v>2.80782941770589E-7</v>
      </c>
      <c r="T59" s="5">
        <v>2.9058669769755799E-7</v>
      </c>
      <c r="U59" s="5">
        <v>3.0031726374366301E-7</v>
      </c>
      <c r="V59" s="5">
        <v>3.1295015169273502E-7</v>
      </c>
      <c r="W59" s="5">
        <v>3.2632416756372197E-7</v>
      </c>
      <c r="X59" s="5">
        <v>3.3054025592666301E-7</v>
      </c>
      <c r="Y59" s="5">
        <v>3.4582849554679499E-7</v>
      </c>
      <c r="Z59" s="5">
        <v>3.5350610372452699E-7</v>
      </c>
      <c r="AA59" s="5">
        <v>3.6162961373624301E-7</v>
      </c>
      <c r="AB59" s="5">
        <v>3.6857181392166299E-7</v>
      </c>
      <c r="AC59" s="5">
        <v>3.7513953016846299E-7</v>
      </c>
      <c r="AD59" s="5">
        <v>3.8099499925481599E-7</v>
      </c>
      <c r="AE59" s="5">
        <v>3.9137129506132198E-7</v>
      </c>
      <c r="AF59" s="5">
        <v>3.9784789698840499E-7</v>
      </c>
      <c r="AG59" s="5">
        <v>4.03297044291124E-7</v>
      </c>
      <c r="AH59" s="5">
        <v>4.0572448518506402E-7</v>
      </c>
      <c r="AI59" s="5">
        <v>4.0088818084145799E-7</v>
      </c>
    </row>
    <row r="60" spans="1:35" x14ac:dyDescent="0.25">
      <c r="A60" s="3" t="s">
        <v>64</v>
      </c>
      <c r="B60" s="3" t="s">
        <v>84</v>
      </c>
      <c r="C60" s="5">
        <v>7.4610520609799094E-8</v>
      </c>
      <c r="D60" s="5">
        <v>7.5431984230881096E-8</v>
      </c>
      <c r="E60" s="5">
        <v>7.63960367823769E-8</v>
      </c>
      <c r="F60" s="5">
        <v>7.5944590846070206E-8</v>
      </c>
      <c r="G60" s="5">
        <v>7.4459382494794297E-8</v>
      </c>
      <c r="H60" s="5">
        <v>7.7155325214069902E-8</v>
      </c>
      <c r="I60" s="5">
        <v>8.0082364617835002E-8</v>
      </c>
      <c r="J60" s="5">
        <v>8.2939074757509998E-8</v>
      </c>
      <c r="K60" s="5">
        <v>1.01247109212433E-7</v>
      </c>
      <c r="L60" s="5">
        <v>1.26583325678931E-7</v>
      </c>
      <c r="M60" s="5">
        <v>1.49382522239389E-7</v>
      </c>
      <c r="N60" s="5">
        <v>1.79484794363392E-7</v>
      </c>
      <c r="O60" s="5">
        <v>2.2370969100994901E-7</v>
      </c>
      <c r="P60" s="5">
        <v>2.3610553561143199E-7</v>
      </c>
      <c r="Q60" s="5">
        <v>2.4424486439917501E-7</v>
      </c>
      <c r="R60" s="5">
        <v>2.5294363833164199E-7</v>
      </c>
      <c r="S60" s="5">
        <v>2.6148050013055303E-7</v>
      </c>
      <c r="T60" s="5">
        <v>2.70661191383539E-7</v>
      </c>
      <c r="U60" s="5">
        <v>2.7991262979033799E-7</v>
      </c>
      <c r="V60" s="5">
        <v>2.89732691066086E-7</v>
      </c>
      <c r="W60" s="5">
        <v>2.99317766305217E-7</v>
      </c>
      <c r="X60" s="5">
        <v>3.0292339536872598E-7</v>
      </c>
      <c r="Y60" s="5">
        <v>3.1625090293556597E-7</v>
      </c>
      <c r="Z60" s="5">
        <v>3.2367523535224302E-7</v>
      </c>
      <c r="AA60" s="5">
        <v>3.3147591121173102E-7</v>
      </c>
      <c r="AB60" s="5">
        <v>3.3784227867404898E-7</v>
      </c>
      <c r="AC60" s="5">
        <v>3.4446422884331801E-7</v>
      </c>
      <c r="AD60" s="5">
        <v>3.5081556980231202E-7</v>
      </c>
      <c r="AE60" s="5">
        <v>3.6129658788803902E-7</v>
      </c>
      <c r="AF60" s="5">
        <v>3.6914149276001698E-7</v>
      </c>
      <c r="AG60" s="5">
        <v>3.7694953387465702E-7</v>
      </c>
      <c r="AH60" s="5">
        <v>3.8505762820992902E-7</v>
      </c>
      <c r="AI60" s="5">
        <v>3.9509064721441002E-7</v>
      </c>
    </row>
    <row r="61" spans="1:35" x14ac:dyDescent="0.25">
      <c r="A61" s="3" t="s">
        <v>64</v>
      </c>
      <c r="B61" s="3" t="s">
        <v>85</v>
      </c>
      <c r="C61" s="5">
        <v>7.0539124555063503E-8</v>
      </c>
      <c r="D61" s="5">
        <v>7.1452159280989897E-8</v>
      </c>
      <c r="E61" s="5">
        <v>7.2526548868412006E-8</v>
      </c>
      <c r="F61" s="5">
        <v>7.2343216181845802E-8</v>
      </c>
      <c r="G61" s="5">
        <v>7.1199486141315699E-8</v>
      </c>
      <c r="H61" s="5">
        <v>7.3863410298572506E-8</v>
      </c>
      <c r="I61" s="5">
        <v>7.6728819301518798E-8</v>
      </c>
      <c r="J61" s="5">
        <v>7.9535895055893197E-8</v>
      </c>
      <c r="K61" s="5">
        <v>9.6647911052721595E-8</v>
      </c>
      <c r="L61" s="5">
        <v>1.2007656035096701E-7</v>
      </c>
      <c r="M61" s="5">
        <v>1.4108024929955701E-7</v>
      </c>
      <c r="N61" s="5">
        <v>1.6847121079734501E-7</v>
      </c>
      <c r="O61" s="5">
        <v>2.0810272041635199E-7</v>
      </c>
      <c r="P61" s="5">
        <v>2.19627467787837E-7</v>
      </c>
      <c r="Q61" s="5">
        <v>2.2716351696365199E-7</v>
      </c>
      <c r="R61" s="5">
        <v>2.35273915906336E-7</v>
      </c>
      <c r="S61" s="5">
        <v>2.4320771926096E-7</v>
      </c>
      <c r="T61" s="5">
        <v>2.5174741284863601E-7</v>
      </c>
      <c r="U61" s="5">
        <v>2.6039812980600899E-7</v>
      </c>
      <c r="V61" s="5">
        <v>2.6963163087576298E-7</v>
      </c>
      <c r="W61" s="5">
        <v>2.78662119305184E-7</v>
      </c>
      <c r="X61" s="5">
        <v>2.8257341593934098E-7</v>
      </c>
      <c r="Y61" s="5">
        <v>2.9482293126551998E-7</v>
      </c>
      <c r="Z61" s="5">
        <v>3.01404504938984E-7</v>
      </c>
      <c r="AA61" s="5">
        <v>3.0826928723348897E-7</v>
      </c>
      <c r="AB61" s="5">
        <v>3.1345159899794602E-7</v>
      </c>
      <c r="AC61" s="5">
        <v>3.1905874445226397E-7</v>
      </c>
      <c r="AD61" s="5">
        <v>3.2476686178886101E-7</v>
      </c>
      <c r="AE61" s="5">
        <v>3.3430697295580803E-7</v>
      </c>
      <c r="AF61" s="5">
        <v>3.4145694101991698E-7</v>
      </c>
      <c r="AG61" s="5">
        <v>3.4880000495012698E-7</v>
      </c>
      <c r="AH61" s="5">
        <v>3.5626977526451497E-7</v>
      </c>
      <c r="AI61" s="5">
        <v>3.6544188416232902E-7</v>
      </c>
    </row>
    <row r="62" spans="1:35" x14ac:dyDescent="0.25">
      <c r="A62" s="3" t="s">
        <v>64</v>
      </c>
      <c r="B62" s="3" t="s">
        <v>86</v>
      </c>
      <c r="C62" s="5">
        <v>6.93439967796152E-8</v>
      </c>
      <c r="D62" s="5">
        <v>7.0304317739986198E-8</v>
      </c>
      <c r="E62" s="5">
        <v>7.14019824125023E-8</v>
      </c>
      <c r="F62" s="5">
        <v>7.1279109509547503E-8</v>
      </c>
      <c r="G62" s="5">
        <v>7.0220656105320699E-8</v>
      </c>
      <c r="H62" s="5">
        <v>7.2862095477841998E-8</v>
      </c>
      <c r="I62" s="5">
        <v>7.5697962028491E-8</v>
      </c>
      <c r="J62" s="5">
        <v>7.8482038147868904E-8</v>
      </c>
      <c r="K62" s="5">
        <v>9.5225739554330602E-8</v>
      </c>
      <c r="L62" s="5">
        <v>1.18069713529814E-7</v>
      </c>
      <c r="M62" s="5">
        <v>1.38521179150801E-7</v>
      </c>
      <c r="N62" s="5">
        <v>1.65084727626329E-7</v>
      </c>
      <c r="O62" s="5">
        <v>2.03327481499519E-7</v>
      </c>
      <c r="P62" s="5">
        <v>2.1455777251790199E-7</v>
      </c>
      <c r="Q62" s="5">
        <v>2.2187349515687599E-7</v>
      </c>
      <c r="R62" s="5">
        <v>2.2976023004781199E-7</v>
      </c>
      <c r="S62" s="5">
        <v>2.37456657724486E-7</v>
      </c>
      <c r="T62" s="5">
        <v>2.4573593484455998E-7</v>
      </c>
      <c r="U62" s="5">
        <v>2.5412412636079902E-7</v>
      </c>
      <c r="V62" s="5">
        <v>2.6308163813637099E-7</v>
      </c>
      <c r="W62" s="5">
        <v>2.7182359435655298E-7</v>
      </c>
      <c r="X62" s="5">
        <v>2.7569514689752102E-7</v>
      </c>
      <c r="Y62" s="5">
        <v>2.8754130101422698E-7</v>
      </c>
      <c r="Z62" s="5">
        <v>2.9399672647177199E-7</v>
      </c>
      <c r="AA62" s="5">
        <v>3.0068874082314001E-7</v>
      </c>
      <c r="AB62" s="5">
        <v>3.0573727338126E-7</v>
      </c>
      <c r="AC62" s="5">
        <v>3.1122112158472701E-7</v>
      </c>
      <c r="AD62" s="5">
        <v>3.1680414219189999E-7</v>
      </c>
      <c r="AE62" s="5">
        <v>3.26062368600185E-7</v>
      </c>
      <c r="AF62" s="5">
        <v>3.3304219878310499E-7</v>
      </c>
      <c r="AG62" s="5">
        <v>3.4020558206525797E-7</v>
      </c>
      <c r="AH62" s="5">
        <v>3.4748856278912699E-7</v>
      </c>
      <c r="AI62" s="5">
        <v>3.5652913303401998E-7</v>
      </c>
    </row>
    <row r="63" spans="1:35" x14ac:dyDescent="0.25">
      <c r="A63" s="3" t="s">
        <v>64</v>
      </c>
      <c r="B63" s="3" t="s">
        <v>87</v>
      </c>
      <c r="C63" s="5">
        <v>6.8200328293548903E-8</v>
      </c>
      <c r="D63" s="5">
        <v>6.9187851275581997E-8</v>
      </c>
      <c r="E63" s="5">
        <v>7.0307216638005397E-8</v>
      </c>
      <c r="F63" s="5">
        <v>7.0241861120660598E-8</v>
      </c>
      <c r="G63" s="5">
        <v>6.9264964831736201E-8</v>
      </c>
      <c r="H63" s="5">
        <v>7.1884269355118001E-8</v>
      </c>
      <c r="I63" s="5">
        <v>7.4691191180769505E-8</v>
      </c>
      <c r="J63" s="5">
        <v>7.7452618439568095E-8</v>
      </c>
      <c r="K63" s="5">
        <v>9.38408679469643E-8</v>
      </c>
      <c r="L63" s="5">
        <v>1.1612342336622301E-7</v>
      </c>
      <c r="M63" s="5">
        <v>1.3604626495424001E-7</v>
      </c>
      <c r="N63" s="5">
        <v>1.6182283697837599E-7</v>
      </c>
      <c r="O63" s="5">
        <v>1.98753086908566E-7</v>
      </c>
      <c r="P63" s="5">
        <v>2.0970344714830201E-7</v>
      </c>
      <c r="Q63" s="5">
        <v>2.16810519454959E-7</v>
      </c>
      <c r="R63" s="5">
        <v>2.24485489800678E-7</v>
      </c>
      <c r="S63" s="5">
        <v>2.3195734560554999E-7</v>
      </c>
      <c r="T63" s="5">
        <v>2.3999053901812499E-7</v>
      </c>
      <c r="U63" s="5">
        <v>2.48130687781689E-7</v>
      </c>
      <c r="V63" s="5">
        <v>2.5682753519530998E-7</v>
      </c>
      <c r="W63" s="5">
        <v>2.6529749333179401E-7</v>
      </c>
      <c r="X63" s="5">
        <v>2.69128688895229E-7</v>
      </c>
      <c r="Y63" s="5">
        <v>2.80595025776455E-7</v>
      </c>
      <c r="Z63" s="5">
        <v>2.8692937330796301E-7</v>
      </c>
      <c r="AA63" s="5">
        <v>2.9345697982849201E-7</v>
      </c>
      <c r="AB63" s="5">
        <v>2.9837753219468898E-7</v>
      </c>
      <c r="AC63" s="5">
        <v>3.0374296430090199E-7</v>
      </c>
      <c r="AD63" s="5">
        <v>3.0920573947885399E-7</v>
      </c>
      <c r="AE63" s="5">
        <v>3.1819749710314199E-7</v>
      </c>
      <c r="AF63" s="5">
        <v>3.2501507880525503E-7</v>
      </c>
      <c r="AG63" s="5">
        <v>3.3200727843450799E-7</v>
      </c>
      <c r="AH63" s="5">
        <v>3.3911254087533298E-7</v>
      </c>
      <c r="AI63" s="5">
        <v>3.4802622205606599E-7</v>
      </c>
    </row>
    <row r="64" spans="1:35" x14ac:dyDescent="0.25">
      <c r="A64" s="3" t="s">
        <v>64</v>
      </c>
      <c r="B64" s="3" t="s">
        <v>59</v>
      </c>
      <c r="C64" s="5">
        <v>3.2230378943218402E-8</v>
      </c>
      <c r="D64" s="5">
        <v>3.54350148465684E-8</v>
      </c>
      <c r="E64" s="5">
        <v>3.89709687107652E-8</v>
      </c>
      <c r="F64" s="5">
        <v>3.9360698744412703E-8</v>
      </c>
      <c r="G64" s="5">
        <v>5.2246345221257497E-8</v>
      </c>
      <c r="H64" s="5">
        <v>5.4536226966528701E-8</v>
      </c>
      <c r="I64" s="5">
        <v>5.71204423850008E-8</v>
      </c>
      <c r="J64" s="5">
        <v>5.9604217410698802E-8</v>
      </c>
      <c r="K64" s="5">
        <v>9.6260341102734094E-8</v>
      </c>
      <c r="L64" s="5">
        <v>1.56051183000511E-7</v>
      </c>
      <c r="M64" s="5">
        <v>2.1844565879430901E-7</v>
      </c>
      <c r="N64" s="5">
        <v>3.1028858106989901E-7</v>
      </c>
      <c r="O64" s="5">
        <v>4.6310488138777002E-7</v>
      </c>
      <c r="P64" s="5">
        <v>4.9134230312225501E-7</v>
      </c>
      <c r="Q64" s="5">
        <v>5.0936150525866603E-7</v>
      </c>
      <c r="R64" s="5">
        <v>5.2754762793482495E-7</v>
      </c>
      <c r="S64" s="5">
        <v>5.4657269510195697E-7</v>
      </c>
      <c r="T64" s="5">
        <v>5.66599381229733E-7</v>
      </c>
      <c r="U64" s="5">
        <v>5.8672837099699201E-7</v>
      </c>
      <c r="V64" s="5">
        <v>6.08027527582155E-7</v>
      </c>
      <c r="W64" s="5">
        <v>6.2995640640299196E-7</v>
      </c>
      <c r="X64" s="5">
        <v>6.29041974714805E-7</v>
      </c>
      <c r="Y64" s="5">
        <v>6.7309557193865098E-7</v>
      </c>
      <c r="Z64" s="5">
        <v>6.8925765718680596E-7</v>
      </c>
      <c r="AA64" s="5">
        <v>7.1019199581330904E-7</v>
      </c>
      <c r="AB64" s="5">
        <v>7.2254951230548603E-7</v>
      </c>
      <c r="AC64" s="5">
        <v>7.3715568534325595E-7</v>
      </c>
      <c r="AD64" s="5">
        <v>7.5341922748726696E-7</v>
      </c>
      <c r="AE64" s="5">
        <v>7.8426120194485003E-7</v>
      </c>
      <c r="AF64" s="5">
        <v>8.0453404600494204E-7</v>
      </c>
      <c r="AG64" s="5">
        <v>8.2624614467161604E-7</v>
      </c>
      <c r="AH64" s="5">
        <v>8.4641480509515799E-7</v>
      </c>
      <c r="AI64" s="5">
        <v>8.64573346059189E-7</v>
      </c>
    </row>
    <row r="65" spans="1:35" x14ac:dyDescent="0.25">
      <c r="A65" s="3" t="s">
        <v>64</v>
      </c>
      <c r="B65" s="3" t="s">
        <v>60</v>
      </c>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5">
        <v>1.05800002141383E-8</v>
      </c>
      <c r="AF65" s="5">
        <v>1.1082579947164E-8</v>
      </c>
      <c r="AG65" s="5">
        <v>1.2036379920199901E-8</v>
      </c>
      <c r="AH65" s="5">
        <v>1.35539771681044E-8</v>
      </c>
      <c r="AI65" s="5">
        <v>1.7097348365783902E-8</v>
      </c>
    </row>
    <row r="66" spans="1:35" x14ac:dyDescent="0.25">
      <c r="A66" s="3" t="s">
        <v>88</v>
      </c>
      <c r="B66" s="3" t="s">
        <v>89</v>
      </c>
      <c r="C66" s="5">
        <v>5.8408881676039298E-8</v>
      </c>
      <c r="D66" s="5">
        <v>1.61241526834385</v>
      </c>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5">
        <v>1.14359473278138E-8</v>
      </c>
    </row>
    <row r="67" spans="1:35" x14ac:dyDescent="0.25">
      <c r="A67" s="3" t="s">
        <v>88</v>
      </c>
      <c r="B67" s="3" t="s">
        <v>90</v>
      </c>
      <c r="C67" s="5">
        <v>1.79502417503745E-8</v>
      </c>
      <c r="D67" s="5">
        <v>1.7740766150852701E-8</v>
      </c>
      <c r="E67" s="5">
        <v>1.86681981333953E-8</v>
      </c>
      <c r="F67" s="5">
        <v>1.7630274135515102E-8</v>
      </c>
      <c r="G67" s="5">
        <v>1.9876779777479402E-8</v>
      </c>
      <c r="H67" s="5">
        <v>1.9700103445756201E-8</v>
      </c>
      <c r="I67" s="5">
        <v>1.9731568732108899E-8</v>
      </c>
      <c r="J67" s="5">
        <v>2.0379452972031199E-8</v>
      </c>
      <c r="K67" s="5">
        <v>2.7991206036394599E-8</v>
      </c>
      <c r="L67" s="5">
        <v>4.4131670141664601E-8</v>
      </c>
      <c r="M67" s="5">
        <v>5.8393515655688397E-8</v>
      </c>
      <c r="N67" s="5">
        <v>8.5683852186491701E-8</v>
      </c>
      <c r="O67" s="5">
        <v>1.84001207567976E-7</v>
      </c>
      <c r="P67" s="5">
        <v>2.0548567676747401E-7</v>
      </c>
      <c r="Q67" s="5">
        <v>2.32497860399091E-7</v>
      </c>
      <c r="R67" s="5">
        <v>2.19483146341698E-7</v>
      </c>
      <c r="S67" s="5">
        <v>2.1212028323081401E-7</v>
      </c>
      <c r="T67" s="5">
        <v>2.1354790431507899E-7</v>
      </c>
      <c r="U67" s="5">
        <v>1.69869939771923E-7</v>
      </c>
      <c r="V67" s="5">
        <v>1.44350793806414E-7</v>
      </c>
      <c r="W67" s="5">
        <v>1.2698146147036599E-7</v>
      </c>
      <c r="X67" s="5">
        <v>1.14520664244979E-7</v>
      </c>
      <c r="Y67" s="5">
        <v>1.0778721397651401E-7</v>
      </c>
      <c r="Z67" s="5">
        <v>1.02500060665243E-7</v>
      </c>
      <c r="AA67" s="5">
        <v>9.8584004097522496E-8</v>
      </c>
      <c r="AB67" s="5">
        <v>9.69774326348576E-8</v>
      </c>
      <c r="AC67" s="5">
        <v>9.4954571627657698E-8</v>
      </c>
      <c r="AD67" s="5">
        <v>9.3693668352713696E-8</v>
      </c>
      <c r="AE67" s="5">
        <v>9.1792118214822296E-8</v>
      </c>
      <c r="AF67" s="5">
        <v>9.6309307401537604E-8</v>
      </c>
      <c r="AG67" s="5">
        <v>1.06372479208255E-7</v>
      </c>
      <c r="AH67" s="5">
        <v>1.4097982920456899E-7</v>
      </c>
      <c r="AI67" s="5">
        <v>1.3979290759314601E-7</v>
      </c>
    </row>
    <row r="68" spans="1:35" x14ac:dyDescent="0.25">
      <c r="A68" s="3" t="s">
        <v>88</v>
      </c>
      <c r="B68" s="3" t="s">
        <v>91</v>
      </c>
      <c r="C68" s="5">
        <v>6.4782404345681306E-8</v>
      </c>
      <c r="D68" s="5">
        <v>4.56782366730743E-8</v>
      </c>
      <c r="E68" s="5">
        <v>1.11475454309019E-8</v>
      </c>
      <c r="F68" s="6"/>
      <c r="G68" s="6"/>
      <c r="H68" s="6"/>
      <c r="I68" s="6"/>
      <c r="J68" s="6"/>
      <c r="K68" s="6"/>
      <c r="L68" s="5">
        <v>1.06030805828072E-8</v>
      </c>
      <c r="M68" s="5">
        <v>1.29495224726696E-8</v>
      </c>
      <c r="N68" s="5">
        <v>1.7323460412969401E-8</v>
      </c>
      <c r="O68" s="5">
        <v>3.0022408080968402E-8</v>
      </c>
      <c r="P68" s="5">
        <v>3.1069523514042402E-8</v>
      </c>
      <c r="Q68" s="5">
        <v>3.1197240023151199E-8</v>
      </c>
      <c r="R68" s="5">
        <v>3.0997752362623399E-8</v>
      </c>
      <c r="S68" s="5">
        <v>3.1095692156843798E-8</v>
      </c>
      <c r="T68" s="5">
        <v>3.1799496949651E-8</v>
      </c>
      <c r="U68" s="5">
        <v>3.2068458199516301E-8</v>
      </c>
      <c r="V68" s="5">
        <v>3.2301574608750797E-8</v>
      </c>
      <c r="W68" s="5">
        <v>3.2514648067312501E-8</v>
      </c>
      <c r="X68" s="5">
        <v>3.0632230664147999E-8</v>
      </c>
      <c r="Y68" s="5">
        <v>3.3256078953686898E-8</v>
      </c>
      <c r="Z68" s="5">
        <v>3.3670759297070902E-8</v>
      </c>
      <c r="AA68" s="5">
        <v>3.4638139500139501E-8</v>
      </c>
      <c r="AB68" s="5">
        <v>3.5157634612782603E-8</v>
      </c>
      <c r="AC68" s="5">
        <v>3.5947610622571202E-8</v>
      </c>
      <c r="AD68" s="5">
        <v>3.7783544255996302E-8</v>
      </c>
      <c r="AE68" s="5">
        <v>3.9953220569211697E-8</v>
      </c>
      <c r="AF68" s="5">
        <v>4.1835760566171401E-8</v>
      </c>
      <c r="AG68" s="5">
        <v>4.5919639446963601E-8</v>
      </c>
      <c r="AH68" s="5">
        <v>5.0898523923528203E-8</v>
      </c>
      <c r="AI68" s="5">
        <v>6.1773177638577702E-8</v>
      </c>
    </row>
    <row r="69" spans="1:35" x14ac:dyDescent="0.25">
      <c r="A69" s="3" t="s">
        <v>88</v>
      </c>
      <c r="B69" s="3" t="s">
        <v>92</v>
      </c>
      <c r="C69" s="5">
        <v>1.0696745848309401E-8</v>
      </c>
      <c r="D69" s="6"/>
      <c r="E69" s="6"/>
      <c r="F69" s="6"/>
      <c r="G69" s="6"/>
      <c r="H69" s="6"/>
      <c r="I69" s="6"/>
      <c r="J69" s="6"/>
      <c r="K69" s="6"/>
      <c r="L69" s="5">
        <v>1.0520432605491601E-8</v>
      </c>
      <c r="M69" s="5">
        <v>1.27084332704143E-8</v>
      </c>
      <c r="N69" s="5">
        <v>1.58835899151258E-8</v>
      </c>
      <c r="O69" s="5">
        <v>2.1576973217480199E-8</v>
      </c>
      <c r="P69" s="5">
        <v>2.2749792581001999E-8</v>
      </c>
      <c r="Q69" s="5">
        <v>2.27702039924619E-8</v>
      </c>
      <c r="R69" s="5">
        <v>2.26398662253852E-8</v>
      </c>
      <c r="S69" s="5">
        <v>2.26770428190256E-8</v>
      </c>
      <c r="T69" s="5">
        <v>2.30154130485057E-8</v>
      </c>
      <c r="U69" s="5">
        <v>2.3109161253291499E-8</v>
      </c>
      <c r="V69" s="5">
        <v>2.3203782770869201E-8</v>
      </c>
      <c r="W69" s="5">
        <v>2.3846207955761501E-8</v>
      </c>
      <c r="X69" s="5">
        <v>2.34516014403158E-8</v>
      </c>
      <c r="Y69" s="5">
        <v>2.4623082408041501E-8</v>
      </c>
      <c r="Z69" s="5">
        <v>2.51427259638175E-8</v>
      </c>
      <c r="AA69" s="5">
        <v>2.59275107505765E-8</v>
      </c>
      <c r="AB69" s="5">
        <v>2.66297905489876E-8</v>
      </c>
      <c r="AC69" s="5">
        <v>2.75742981103301E-8</v>
      </c>
      <c r="AD69" s="5">
        <v>2.9146817042023701E-8</v>
      </c>
      <c r="AE69" s="5">
        <v>3.1107169083775198E-8</v>
      </c>
      <c r="AF69" s="5">
        <v>3.3479905451395999E-8</v>
      </c>
      <c r="AG69" s="5">
        <v>3.7495100299794803E-8</v>
      </c>
      <c r="AH69" s="5">
        <v>4.4701255491701802E-8</v>
      </c>
      <c r="AI69" s="5">
        <v>5.9639871036427597E-8</v>
      </c>
    </row>
    <row r="70" spans="1:35" x14ac:dyDescent="0.25">
      <c r="A70" s="3" t="s">
        <v>88</v>
      </c>
      <c r="B70" s="3" t="s">
        <v>93</v>
      </c>
      <c r="C70" s="6"/>
      <c r="D70" s="6"/>
      <c r="E70" s="6"/>
      <c r="F70" s="6"/>
      <c r="G70" s="6"/>
      <c r="H70" s="6"/>
      <c r="I70" s="6"/>
      <c r="J70" s="6"/>
      <c r="K70" s="6"/>
      <c r="L70" s="6"/>
      <c r="M70" s="6"/>
      <c r="N70" s="6"/>
      <c r="O70" s="6"/>
      <c r="P70" s="6"/>
      <c r="Q70" s="6"/>
      <c r="R70" s="6"/>
      <c r="S70" s="6"/>
      <c r="T70" s="6"/>
      <c r="U70" s="6"/>
      <c r="V70" s="6"/>
      <c r="W70" s="6"/>
      <c r="X70" s="5">
        <v>1.01523326543973E-8</v>
      </c>
      <c r="Y70" s="5">
        <v>1.03270251663551E-8</v>
      </c>
      <c r="Z70" s="5">
        <v>1.06947488725612E-8</v>
      </c>
      <c r="AA70" s="5">
        <v>1.10851791453082E-8</v>
      </c>
      <c r="AB70" s="5">
        <v>1.14778499692284E-8</v>
      </c>
      <c r="AC70" s="5">
        <v>1.19676079147979E-8</v>
      </c>
      <c r="AD70" s="5">
        <v>1.2596797606466299E-8</v>
      </c>
      <c r="AE70" s="5">
        <v>1.3012517332113101E-8</v>
      </c>
      <c r="AF70" s="5">
        <v>1.3481506822359701E-8</v>
      </c>
      <c r="AG70" s="5">
        <v>1.3968745090992399E-8</v>
      </c>
      <c r="AH70" s="5">
        <v>1.48318065489005E-8</v>
      </c>
      <c r="AI70" s="5">
        <v>1.5353687607562898E-8</v>
      </c>
    </row>
    <row r="71" spans="1:35" x14ac:dyDescent="0.25">
      <c r="A71" s="3" t="s">
        <v>88</v>
      </c>
      <c r="B71" s="3" t="s">
        <v>94</v>
      </c>
      <c r="C71" s="5">
        <v>1.7863575664397801E-8</v>
      </c>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5">
        <v>1.34471369925899E-8</v>
      </c>
    </row>
    <row r="72" spans="1:35" x14ac:dyDescent="0.25">
      <c r="A72" s="3" t="s">
        <v>88</v>
      </c>
      <c r="B72" s="3" t="s">
        <v>95</v>
      </c>
      <c r="C72" s="5">
        <v>4.5367738466745502</v>
      </c>
      <c r="D72" s="5">
        <v>2.0855847399615601E-7</v>
      </c>
      <c r="E72" s="5">
        <v>1.2435889302688E-7</v>
      </c>
      <c r="F72" s="5">
        <v>6.8868734515577501E-8</v>
      </c>
      <c r="G72" s="5">
        <v>0.58885949872648302</v>
      </c>
      <c r="H72" s="5">
        <v>6.0686651370134301</v>
      </c>
      <c r="I72" s="5">
        <v>7.0814756136822998</v>
      </c>
      <c r="J72" s="5">
        <v>5.3789242924271603</v>
      </c>
      <c r="K72" s="5">
        <v>8.5599579871800699</v>
      </c>
      <c r="L72" s="5">
        <v>6.6513834503959499</v>
      </c>
      <c r="M72" s="5">
        <v>4.6323755203185897</v>
      </c>
      <c r="N72" s="5">
        <v>3.44497709961884</v>
      </c>
      <c r="O72" s="5">
        <v>23.135659557385601</v>
      </c>
      <c r="P72" s="5">
        <v>7.4712308806785401</v>
      </c>
      <c r="Q72" s="5">
        <v>21.666230253275899</v>
      </c>
      <c r="R72" s="5">
        <v>17.557015396489899</v>
      </c>
      <c r="S72" s="5">
        <v>19.060810244172401</v>
      </c>
      <c r="T72" s="5">
        <v>18.65312255081</v>
      </c>
      <c r="U72" s="5">
        <v>18.584989026832901</v>
      </c>
      <c r="V72" s="5">
        <v>18.164152781616998</v>
      </c>
      <c r="W72" s="5">
        <v>26.404197580599</v>
      </c>
      <c r="X72" s="5">
        <v>7.7362605152999502E-7</v>
      </c>
      <c r="Y72" s="5">
        <v>0.66257487232168799</v>
      </c>
      <c r="Z72" s="5">
        <v>9.2191439476110799E-6</v>
      </c>
      <c r="AA72" s="5">
        <v>3.3322872241100098E-5</v>
      </c>
      <c r="AB72" s="5">
        <v>1.08348492555775E-5</v>
      </c>
      <c r="AC72" s="5">
        <v>4.3882505437443504E-6</v>
      </c>
      <c r="AD72" s="5">
        <v>2.51558571252699E-6</v>
      </c>
      <c r="AE72" s="5">
        <v>10.9672822567582</v>
      </c>
      <c r="AF72" s="5">
        <v>9.1159675146111692</v>
      </c>
      <c r="AG72" s="5">
        <v>6.2941916090082799</v>
      </c>
      <c r="AH72" s="5">
        <v>6.0570891026671996</v>
      </c>
      <c r="AI72" s="5">
        <v>25.6556969499952</v>
      </c>
    </row>
    <row r="73" spans="1:35" x14ac:dyDescent="0.25">
      <c r="A73" s="3" t="s">
        <v>88</v>
      </c>
      <c r="B73" s="3" t="s">
        <v>96</v>
      </c>
      <c r="C73" s="5">
        <v>4.53677409452321</v>
      </c>
      <c r="D73" s="5">
        <v>2.0855847399616001E-7</v>
      </c>
      <c r="E73" s="5">
        <v>1.2435889302688101E-7</v>
      </c>
      <c r="F73" s="5">
        <v>6.8868734515577104E-8</v>
      </c>
      <c r="G73" s="5">
        <v>0.58885949089820999</v>
      </c>
      <c r="H73" s="5">
        <v>6.0686643552497603</v>
      </c>
      <c r="I73" s="5">
        <v>7.08147619139746</v>
      </c>
      <c r="J73" s="5">
        <v>5.3789234649349904</v>
      </c>
      <c r="K73" s="5">
        <v>8.5599622224277994</v>
      </c>
      <c r="L73" s="5">
        <v>6.6513834442391202</v>
      </c>
      <c r="M73" s="5">
        <v>4.6323752303208003</v>
      </c>
      <c r="N73" s="5">
        <v>3.4449770802767601</v>
      </c>
      <c r="O73" s="5">
        <v>23.135659013325999</v>
      </c>
      <c r="P73" s="5">
        <v>7.4712309397715497</v>
      </c>
      <c r="Q73" s="5">
        <v>21.6662266671058</v>
      </c>
      <c r="R73" s="5">
        <v>17.557015282856401</v>
      </c>
      <c r="S73" s="5">
        <v>19.0608094816399</v>
      </c>
      <c r="T73" s="5">
        <v>18.653123086246701</v>
      </c>
      <c r="U73" s="5">
        <v>18.584988842033201</v>
      </c>
      <c r="V73" s="5">
        <v>18.164156305545902</v>
      </c>
      <c r="W73" s="5">
        <v>26.404200622567</v>
      </c>
      <c r="X73" s="5">
        <v>7.7362605152998697E-7</v>
      </c>
      <c r="Y73" s="5">
        <v>0.66257487244832403</v>
      </c>
      <c r="Z73" s="5">
        <v>9.2191439476110596E-6</v>
      </c>
      <c r="AA73" s="5">
        <v>3.3322872241099E-5</v>
      </c>
      <c r="AB73" s="5">
        <v>1.08348492555777E-5</v>
      </c>
      <c r="AC73" s="5">
        <v>4.38825054374438E-6</v>
      </c>
      <c r="AD73" s="5">
        <v>2.51558571252699E-6</v>
      </c>
      <c r="AE73" s="5">
        <v>10.9672821173492</v>
      </c>
      <c r="AF73" s="5">
        <v>9.1159677542669595</v>
      </c>
      <c r="AG73" s="5">
        <v>6.2941915907011703</v>
      </c>
      <c r="AH73" s="5">
        <v>6.0570891091579302</v>
      </c>
      <c r="AI73" s="5">
        <v>25.6556969115044</v>
      </c>
    </row>
    <row r="74" spans="1:35" x14ac:dyDescent="0.25">
      <c r="A74" s="3" t="s">
        <v>88</v>
      </c>
      <c r="B74" s="3" t="s">
        <v>97</v>
      </c>
      <c r="C74" s="6"/>
      <c r="D74" s="5">
        <v>1.0001109048545E-8</v>
      </c>
      <c r="E74" s="5">
        <v>1.0415335877696601E-8</v>
      </c>
      <c r="F74" s="5">
        <v>1.00814828294327E-8</v>
      </c>
      <c r="G74" s="5">
        <v>1.37947637845809E-8</v>
      </c>
      <c r="H74" s="5">
        <v>1.3721195970889E-8</v>
      </c>
      <c r="I74" s="5">
        <v>1.3903806413585E-8</v>
      </c>
      <c r="J74" s="5">
        <v>1.42067019344291E-8</v>
      </c>
      <c r="K74" s="5">
        <v>2.0788864233013101E-8</v>
      </c>
      <c r="L74" s="5">
        <v>3.5205998057921202E-8</v>
      </c>
      <c r="M74" s="5">
        <v>5.2942562039268301E-8</v>
      </c>
      <c r="N74" s="5">
        <v>8.9709365625974898E-8</v>
      </c>
      <c r="O74" s="5">
        <v>7.3703508152677295E-7</v>
      </c>
      <c r="P74" s="5">
        <v>1.1693020936285999E-6</v>
      </c>
      <c r="Q74" s="5">
        <v>0.95573020567388001</v>
      </c>
      <c r="R74" s="5">
        <v>12.979936834652399</v>
      </c>
      <c r="S74" s="5">
        <v>9.6333551423467103</v>
      </c>
      <c r="T74" s="5">
        <v>1.6312250396069001E-5</v>
      </c>
      <c r="U74" s="5">
        <v>5.2074709256421499E-7</v>
      </c>
      <c r="V74" s="5">
        <v>2.9911692425755599E-7</v>
      </c>
      <c r="W74" s="5">
        <v>2.1992399159345799E-7</v>
      </c>
      <c r="X74" s="5">
        <v>1.75228839242746E-7</v>
      </c>
      <c r="Y74" s="5">
        <v>1.5909760873676399E-7</v>
      </c>
      <c r="Z74" s="5">
        <v>1.44135263381835E-7</v>
      </c>
      <c r="AA74" s="5">
        <v>1.33727005314617E-7</v>
      </c>
      <c r="AB74" s="5">
        <v>1.3133201888656499E-7</v>
      </c>
      <c r="AC74" s="5">
        <v>1.2628730140660499E-7</v>
      </c>
      <c r="AD74" s="5">
        <v>1.18296243822345E-7</v>
      </c>
      <c r="AE74" s="5">
        <v>1.19056308564017E-7</v>
      </c>
      <c r="AF74" s="5">
        <v>1.2933771414166201E-7</v>
      </c>
      <c r="AG74" s="5">
        <v>1.4810436672755701E-7</v>
      </c>
      <c r="AH74" s="5">
        <v>1.9727384297259399E-7</v>
      </c>
      <c r="AI74" s="5">
        <v>2.1841159698607701E-7</v>
      </c>
    </row>
    <row r="75" spans="1:35" x14ac:dyDescent="0.25">
      <c r="A75" s="3" t="s">
        <v>88</v>
      </c>
      <c r="B75" s="3" t="s">
        <v>98</v>
      </c>
      <c r="C75" s="5">
        <v>41.774905460854299</v>
      </c>
      <c r="D75" s="5">
        <v>1.4422677459734401E-7</v>
      </c>
      <c r="E75" s="6"/>
      <c r="F75" s="6"/>
      <c r="G75" s="6"/>
      <c r="H75" s="6"/>
      <c r="I75" s="6"/>
      <c r="J75" s="6"/>
      <c r="K75" s="6"/>
      <c r="L75" s="6"/>
      <c r="M75" s="5">
        <v>1.0245553792240801E-8</v>
      </c>
      <c r="N75" s="5">
        <v>1.4518298212827199E-8</v>
      </c>
      <c r="O75" s="5">
        <v>3.2527437088689697E-8</v>
      </c>
      <c r="P75" s="5">
        <v>3.4387166549578199E-8</v>
      </c>
      <c r="Q75" s="5">
        <v>3.5006621284426899E-8</v>
      </c>
      <c r="R75" s="5">
        <v>3.5609166301601901E-8</v>
      </c>
      <c r="S75" s="5">
        <v>3.6293285277574597E-8</v>
      </c>
      <c r="T75" s="5">
        <v>3.7082464241725299E-8</v>
      </c>
      <c r="U75" s="5">
        <v>3.7866825207817699E-8</v>
      </c>
      <c r="V75" s="5">
        <v>3.8744711799502201E-8</v>
      </c>
      <c r="W75" s="5">
        <v>3.9784856846518198E-8</v>
      </c>
      <c r="X75" s="5">
        <v>3.4971777456490701E-8</v>
      </c>
      <c r="Y75" s="5">
        <v>4.1488566386061103E-8</v>
      </c>
      <c r="Z75" s="5">
        <v>4.2012647150616802E-8</v>
      </c>
      <c r="AA75" s="5">
        <v>4.3666986062142802E-8</v>
      </c>
      <c r="AB75" s="5">
        <v>4.5004069513011297E-8</v>
      </c>
      <c r="AC75" s="5">
        <v>4.5605429544243998E-8</v>
      </c>
      <c r="AD75" s="5">
        <v>4.6141579513191202E-8</v>
      </c>
      <c r="AE75" s="5">
        <v>5.0893955449948601E-8</v>
      </c>
      <c r="AF75" s="5">
        <v>5.3779571033015599E-8</v>
      </c>
      <c r="AG75" s="5">
        <v>5.8211327389269402E-8</v>
      </c>
      <c r="AH75" s="5">
        <v>6.6751111246475794E-8</v>
      </c>
      <c r="AI75" s="5">
        <v>8.7515918236056497E-8</v>
      </c>
    </row>
    <row r="76" spans="1:35" x14ac:dyDescent="0.25">
      <c r="A76" s="3" t="s">
        <v>88</v>
      </c>
      <c r="B76" s="3" t="s">
        <v>99</v>
      </c>
      <c r="C76" s="5">
        <v>1.03250233592392E-8</v>
      </c>
      <c r="D76" s="6"/>
      <c r="E76" s="6"/>
      <c r="F76" s="6"/>
      <c r="G76" s="6"/>
      <c r="H76" s="6"/>
      <c r="I76" s="6"/>
      <c r="J76" s="6"/>
      <c r="K76" s="6"/>
      <c r="L76" s="6"/>
      <c r="M76" s="6"/>
      <c r="N76" s="6"/>
      <c r="O76" s="6"/>
      <c r="P76" s="6"/>
      <c r="Q76" s="6"/>
      <c r="R76" s="6"/>
      <c r="S76" s="6"/>
      <c r="T76" s="6"/>
      <c r="U76" s="6"/>
      <c r="V76" s="5">
        <v>1.0022592597348099E-8</v>
      </c>
      <c r="W76" s="5">
        <v>1.0271799671719199E-8</v>
      </c>
      <c r="X76" s="5">
        <v>1.03425945271821E-8</v>
      </c>
      <c r="Y76" s="5">
        <v>1.08247005964658E-8</v>
      </c>
      <c r="Z76" s="5">
        <v>1.11639064520967E-8</v>
      </c>
      <c r="AA76" s="5">
        <v>1.1573670774914E-8</v>
      </c>
      <c r="AB76" s="5">
        <v>1.2005250889015699E-8</v>
      </c>
      <c r="AC76" s="5">
        <v>1.2492385825859601E-8</v>
      </c>
      <c r="AD76" s="5">
        <v>1.30683266941124E-8</v>
      </c>
      <c r="AE76" s="5">
        <v>1.3923912251108901E-8</v>
      </c>
      <c r="AF76" s="5">
        <v>1.5305729060082801E-8</v>
      </c>
      <c r="AG76" s="5">
        <v>1.6797708271490198E-8</v>
      </c>
      <c r="AH76" s="5">
        <v>1.9262834841905898E-8</v>
      </c>
      <c r="AI76" s="5">
        <v>2.4867434067231499E-8</v>
      </c>
    </row>
    <row r="77" spans="1:35" x14ac:dyDescent="0.25">
      <c r="A77" s="3" t="s">
        <v>88</v>
      </c>
      <c r="B77" s="3" t="s">
        <v>100</v>
      </c>
      <c r="C77" s="5">
        <v>1.64597418129217E-8</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5">
        <v>1.12728810012841E-8</v>
      </c>
    </row>
    <row r="78" spans="1:35" x14ac:dyDescent="0.25">
      <c r="A78" s="3" t="s">
        <v>88</v>
      </c>
      <c r="B78" s="3" t="s">
        <v>101</v>
      </c>
      <c r="C78" s="6"/>
      <c r="D78" s="6"/>
      <c r="E78" s="6"/>
      <c r="F78" s="6"/>
      <c r="G78" s="6"/>
      <c r="H78" s="6"/>
      <c r="I78" s="6"/>
      <c r="J78" s="6"/>
      <c r="K78" s="6"/>
      <c r="L78" s="6"/>
      <c r="M78" s="5">
        <v>1.0507822148080599E-8</v>
      </c>
      <c r="N78" s="5">
        <v>1.3794209521681899E-8</v>
      </c>
      <c r="O78" s="5">
        <v>2.12402941161957E-8</v>
      </c>
      <c r="P78" s="5">
        <v>2.28299351609604E-8</v>
      </c>
      <c r="Q78" s="5">
        <v>2.2893200869540601E-8</v>
      </c>
      <c r="R78" s="5">
        <v>2.29594248526791E-8</v>
      </c>
      <c r="S78" s="5">
        <v>2.3158267570980301E-8</v>
      </c>
      <c r="T78" s="5">
        <v>2.3520605666389899E-8</v>
      </c>
      <c r="U78" s="5">
        <v>2.38381632202461E-8</v>
      </c>
      <c r="V78" s="5">
        <v>2.4277335098655198E-8</v>
      </c>
      <c r="W78" s="5">
        <v>2.4860149860205402E-8</v>
      </c>
      <c r="X78" s="5">
        <v>2.3961995448137599E-8</v>
      </c>
      <c r="Y78" s="5">
        <v>2.61310386678364E-8</v>
      </c>
      <c r="Z78" s="5">
        <v>2.6829151260511902E-8</v>
      </c>
      <c r="AA78" s="5">
        <v>2.7908044069252499E-8</v>
      </c>
      <c r="AB78" s="5">
        <v>2.89394922581204E-8</v>
      </c>
      <c r="AC78" s="5">
        <v>3.0053145809990497E-8</v>
      </c>
      <c r="AD78" s="5">
        <v>3.1386604620775202E-8</v>
      </c>
      <c r="AE78" s="5">
        <v>3.4341302062865899E-8</v>
      </c>
      <c r="AF78" s="5">
        <v>3.7712030767739199E-8</v>
      </c>
      <c r="AG78" s="5">
        <v>4.21979786417138E-8</v>
      </c>
      <c r="AH78" s="5">
        <v>4.97887919556635E-8</v>
      </c>
      <c r="AI78" s="5">
        <v>6.6810589238385703E-8</v>
      </c>
    </row>
    <row r="79" spans="1:35" x14ac:dyDescent="0.25">
      <c r="A79" s="3" t="s">
        <v>88</v>
      </c>
      <c r="B79" s="3" t="s">
        <v>102</v>
      </c>
      <c r="C79" s="6"/>
      <c r="D79" s="6"/>
      <c r="E79" s="6"/>
      <c r="F79" s="6"/>
      <c r="G79" s="6"/>
      <c r="H79" s="6"/>
      <c r="I79" s="6"/>
      <c r="J79" s="6"/>
      <c r="K79" s="6"/>
      <c r="L79" s="6"/>
      <c r="M79" s="6"/>
      <c r="N79" s="6"/>
      <c r="O79" s="6"/>
      <c r="P79" s="6"/>
      <c r="Q79" s="5">
        <v>1.0187972164652199E-8</v>
      </c>
      <c r="R79" s="5">
        <v>1.0119403707051901E-8</v>
      </c>
      <c r="S79" s="5">
        <v>1.01112798906779E-8</v>
      </c>
      <c r="T79" s="5">
        <v>1.02884934766367E-8</v>
      </c>
      <c r="U79" s="5">
        <v>1.02993205939898E-8</v>
      </c>
      <c r="V79" s="5">
        <v>1.03921486364954E-8</v>
      </c>
      <c r="W79" s="5">
        <v>1.0603978129865401E-8</v>
      </c>
      <c r="X79" s="5">
        <v>1.09207961128278E-8</v>
      </c>
      <c r="Y79" s="5">
        <v>1.10770279429398E-8</v>
      </c>
      <c r="Z79" s="5">
        <v>1.1458373318152301E-8</v>
      </c>
      <c r="AA79" s="5">
        <v>1.18635458694781E-8</v>
      </c>
      <c r="AB79" s="5">
        <v>1.22751312576852E-8</v>
      </c>
      <c r="AC79" s="5">
        <v>1.2789518695417E-8</v>
      </c>
      <c r="AD79" s="5">
        <v>1.36118262420979E-8</v>
      </c>
      <c r="AE79" s="5">
        <v>1.40493812108225E-8</v>
      </c>
      <c r="AF79" s="5">
        <v>1.45176881091289E-8</v>
      </c>
      <c r="AG79" s="5">
        <v>1.48415746067315E-8</v>
      </c>
      <c r="AH79" s="5">
        <v>1.5489741344718999E-8</v>
      </c>
      <c r="AI79" s="5">
        <v>1.62124219849899E-8</v>
      </c>
    </row>
    <row r="80" spans="1:35" x14ac:dyDescent="0.25">
      <c r="A80" s="3" t="s">
        <v>103</v>
      </c>
      <c r="B80" s="3" t="s">
        <v>104</v>
      </c>
      <c r="C80" s="5">
        <v>2.05050564238013E-8</v>
      </c>
      <c r="D80" s="5">
        <v>1.8963464118901401E-8</v>
      </c>
      <c r="E80" s="5">
        <v>1.68328139602837E-8</v>
      </c>
      <c r="F80" s="5">
        <v>1.29069231435569E-8</v>
      </c>
      <c r="G80" s="5">
        <v>1.01792898001501E-8</v>
      </c>
      <c r="H80" s="5">
        <v>1.00004035991463E-8</v>
      </c>
      <c r="I80" s="6"/>
      <c r="J80" s="6"/>
      <c r="K80" s="5">
        <v>1.14487897414857E-8</v>
      </c>
      <c r="L80" s="5">
        <v>1.36885934449077E-8</v>
      </c>
      <c r="M80" s="5">
        <v>1.7417817374606299E-8</v>
      </c>
      <c r="N80" s="5">
        <v>2.4382885339778499E-8</v>
      </c>
      <c r="O80" s="5">
        <v>4.1448167757943099E-8</v>
      </c>
      <c r="P80" s="5">
        <v>4.3994539063680003E-8</v>
      </c>
      <c r="Q80" s="5">
        <v>4.6875352213733201E-8</v>
      </c>
      <c r="R80" s="5">
        <v>4.9867888421853898E-8</v>
      </c>
      <c r="S80" s="5">
        <v>5.2543453055614501E-8</v>
      </c>
      <c r="T80" s="5">
        <v>5.6312976263937202E-8</v>
      </c>
      <c r="U80" s="5">
        <v>5.9101399925339898E-8</v>
      </c>
      <c r="V80" s="5">
        <v>6.2405162879852298E-8</v>
      </c>
      <c r="W80" s="5">
        <v>6.6424225371943399E-8</v>
      </c>
      <c r="X80" s="5">
        <v>6.6967469811074295E-8</v>
      </c>
      <c r="Y80" s="5">
        <v>7.0240401324754203E-8</v>
      </c>
      <c r="Z80" s="5">
        <v>7.3653253714624104E-8</v>
      </c>
      <c r="AA80" s="5">
        <v>7.5010908064528803E-8</v>
      </c>
      <c r="AB80" s="5">
        <v>7.89242508034363E-8</v>
      </c>
      <c r="AC80" s="5">
        <v>8.1482202195072395E-8</v>
      </c>
      <c r="AD80" s="5">
        <v>8.1397443991264106E-8</v>
      </c>
      <c r="AE80" s="5">
        <v>8.1683534515906098E-8</v>
      </c>
      <c r="AF80" s="5">
        <v>8.7776842956061495E-8</v>
      </c>
      <c r="AG80" s="5">
        <v>9.0591511530221404E-8</v>
      </c>
      <c r="AH80" s="5">
        <v>9.4725933972553204E-8</v>
      </c>
      <c r="AI80" s="5">
        <v>1.15625086846683E-7</v>
      </c>
    </row>
    <row r="81" spans="1:35" x14ac:dyDescent="0.25">
      <c r="A81" s="3" t="s">
        <v>103</v>
      </c>
      <c r="B81" s="3" t="s">
        <v>105</v>
      </c>
      <c r="C81" s="5">
        <v>4.3300665194876302E-8</v>
      </c>
      <c r="D81" s="5">
        <v>4.7058288033999402E-8</v>
      </c>
      <c r="E81" s="5">
        <v>4.8319595285550998E-8</v>
      </c>
      <c r="F81" s="5">
        <v>5.0080695571306798E-8</v>
      </c>
      <c r="G81" s="5">
        <v>4.6596627070709702E-8</v>
      </c>
      <c r="H81" s="5">
        <v>4.9957557226587498E-8</v>
      </c>
      <c r="I81" s="5">
        <v>5.4186787679311201E-8</v>
      </c>
      <c r="J81" s="5">
        <v>5.8416311858981202E-8</v>
      </c>
      <c r="K81" s="5">
        <v>8.2079987071671002E-8</v>
      </c>
      <c r="L81" s="5">
        <v>1.10401448386449E-7</v>
      </c>
      <c r="M81" s="5">
        <v>1.55556301700055E-7</v>
      </c>
      <c r="N81" s="5">
        <v>2.35342316216852E-7</v>
      </c>
      <c r="O81" s="5">
        <v>3.9472931134947598E-7</v>
      </c>
      <c r="P81" s="5">
        <v>4.50252553091547E-7</v>
      </c>
      <c r="Q81" s="5">
        <v>5.1425917882089005E-7</v>
      </c>
      <c r="R81" s="5">
        <v>5.5700444148429102E-7</v>
      </c>
      <c r="S81" s="5">
        <v>5.9097556585941405E-7</v>
      </c>
      <c r="T81" s="5">
        <v>6.2976737116682197E-7</v>
      </c>
      <c r="U81" s="5">
        <v>6.4996706887991296E-7</v>
      </c>
      <c r="V81" s="5">
        <v>6.7097471647224002E-7</v>
      </c>
      <c r="W81" s="5">
        <v>6.9288824633381505E-7</v>
      </c>
      <c r="X81" s="5">
        <v>6.9514289016784198E-7</v>
      </c>
      <c r="Y81" s="5">
        <v>7.0521471868293605E-7</v>
      </c>
      <c r="Z81" s="5">
        <v>7.1452548619741502E-7</v>
      </c>
      <c r="AA81" s="5">
        <v>7.2431061212245402E-7</v>
      </c>
      <c r="AB81" s="5">
        <v>7.5179933613211699E-7</v>
      </c>
      <c r="AC81" s="5">
        <v>7.7410899806233999E-7</v>
      </c>
      <c r="AD81" s="5">
        <v>7.8814334534348798E-7</v>
      </c>
      <c r="AE81" s="5">
        <v>8.0504703491674997E-7</v>
      </c>
      <c r="AF81" s="5">
        <v>8.5109160964607104E-7</v>
      </c>
      <c r="AG81" s="5">
        <v>8.8059871242719998E-7</v>
      </c>
      <c r="AH81" s="5">
        <v>9.0024463632571E-7</v>
      </c>
      <c r="AI81" s="5">
        <v>8.9958493694149599E-7</v>
      </c>
    </row>
    <row r="82" spans="1:35" x14ac:dyDescent="0.25">
      <c r="A82" s="3" t="s">
        <v>103</v>
      </c>
      <c r="B82" s="3" t="s">
        <v>106</v>
      </c>
      <c r="C82" s="6"/>
      <c r="D82" s="6"/>
      <c r="E82" s="6"/>
      <c r="F82" s="6"/>
      <c r="G82" s="6"/>
      <c r="H82" s="6"/>
      <c r="I82" s="6"/>
      <c r="J82" s="6"/>
      <c r="K82" s="6"/>
      <c r="L82" s="6"/>
      <c r="M82" s="6"/>
      <c r="N82" s="6"/>
      <c r="O82" s="6"/>
      <c r="P82" s="6"/>
      <c r="Q82" s="6"/>
      <c r="R82" s="6"/>
      <c r="S82" s="6"/>
      <c r="T82" s="6"/>
      <c r="U82" s="6"/>
      <c r="V82" s="6"/>
      <c r="W82" s="6"/>
      <c r="X82" s="6"/>
      <c r="Y82" s="6"/>
      <c r="Z82" s="6"/>
      <c r="AA82" s="5">
        <v>1.0163035856341101E-8</v>
      </c>
      <c r="AB82" s="5">
        <v>1.1397249339395399E-8</v>
      </c>
      <c r="AC82" s="5">
        <v>1.18289421212128E-8</v>
      </c>
      <c r="AD82" s="5">
        <v>1.21743663185769E-8</v>
      </c>
      <c r="AE82" s="5">
        <v>1.26189888012358E-8</v>
      </c>
      <c r="AF82" s="5">
        <v>1.1972749690333E-8</v>
      </c>
      <c r="AG82" s="5">
        <v>1.3068744381579301E-8</v>
      </c>
      <c r="AH82" s="5">
        <v>1.46709303034162E-8</v>
      </c>
      <c r="AI82" s="5">
        <v>1.6594631038694601E-8</v>
      </c>
    </row>
    <row r="83" spans="1:35" x14ac:dyDescent="0.25">
      <c r="A83" s="3" t="s">
        <v>103</v>
      </c>
      <c r="B83" s="3" t="s">
        <v>107</v>
      </c>
      <c r="C83" s="5">
        <v>14.7573915643337</v>
      </c>
      <c r="D83" s="5">
        <v>2.1460619891492699E-7</v>
      </c>
      <c r="E83" s="5">
        <v>6.9874186237665594E-8</v>
      </c>
      <c r="F83" s="5">
        <v>1.9757746512277601E-8</v>
      </c>
      <c r="G83" s="5">
        <v>1.2758777195616899E-8</v>
      </c>
      <c r="H83" s="5">
        <v>1.27696967541441E-8</v>
      </c>
      <c r="I83" s="5">
        <v>1.3011650692389001E-8</v>
      </c>
      <c r="J83" s="5">
        <v>1.31496524151671E-8</v>
      </c>
      <c r="K83" s="5">
        <v>1.64642555866755E-8</v>
      </c>
      <c r="L83" s="5">
        <v>2.0140947737418798E-8</v>
      </c>
      <c r="M83" s="5">
        <v>2.7036307539778701E-8</v>
      </c>
      <c r="N83" s="5">
        <v>4.4153974160126501E-8</v>
      </c>
      <c r="O83" s="5">
        <v>1.70000110101632E-7</v>
      </c>
      <c r="P83" s="5">
        <v>1.5849269472701599E-7</v>
      </c>
      <c r="Q83" s="5">
        <v>1.6874291086388701E-7</v>
      </c>
      <c r="R83" s="5">
        <v>2.2208853533591599E-7</v>
      </c>
      <c r="S83" s="5">
        <v>3.55780213415246E-7</v>
      </c>
      <c r="T83" s="5">
        <v>2.5998632127605998</v>
      </c>
      <c r="U83" s="5">
        <v>40.110714324380702</v>
      </c>
      <c r="V83" s="5">
        <v>39.1413169036055</v>
      </c>
      <c r="W83" s="5">
        <v>8.9167985968616605</v>
      </c>
      <c r="X83" s="5">
        <v>5.8596755944809698E-7</v>
      </c>
      <c r="Y83" s="5">
        <v>4.4966192800800999E-7</v>
      </c>
      <c r="Z83" s="5">
        <v>3.8623872860235699E-7</v>
      </c>
      <c r="AA83" s="5">
        <v>3.4774214278672299E-7</v>
      </c>
      <c r="AB83" s="5">
        <v>4.3503797572995698E-7</v>
      </c>
      <c r="AC83" s="5">
        <v>4.8028361082205101E-7</v>
      </c>
      <c r="AD83" s="5">
        <v>4.1298267673476699E-7</v>
      </c>
      <c r="AE83" s="5">
        <v>3.8623413585980102E-7</v>
      </c>
      <c r="AF83" s="5">
        <v>1.16344441811208E-6</v>
      </c>
      <c r="AG83" s="5">
        <v>11.014822692223399</v>
      </c>
      <c r="AH83" s="5">
        <v>10.935551981630599</v>
      </c>
      <c r="AI83" s="5">
        <v>10.6124126669445</v>
      </c>
    </row>
    <row r="84" spans="1:35" x14ac:dyDescent="0.25">
      <c r="A84" s="3" t="s">
        <v>103</v>
      </c>
      <c r="B84" s="3" t="s">
        <v>108</v>
      </c>
      <c r="C84" s="5">
        <v>1.1162313959017701E-8</v>
      </c>
      <c r="D84" s="5">
        <v>1.1222531581668201E-8</v>
      </c>
      <c r="E84" s="5">
        <v>1.05858281507869E-8</v>
      </c>
      <c r="F84" s="6"/>
      <c r="G84" s="6"/>
      <c r="H84" s="6"/>
      <c r="I84" s="6"/>
      <c r="J84" s="6"/>
      <c r="K84" s="6"/>
      <c r="L84" s="6"/>
      <c r="M84" s="5">
        <v>1.1082205679930099E-8</v>
      </c>
      <c r="N84" s="5">
        <v>1.3511051793879E-8</v>
      </c>
      <c r="O84" s="5">
        <v>1.71899436449669E-8</v>
      </c>
      <c r="P84" s="5">
        <v>1.7781328443184699E-8</v>
      </c>
      <c r="Q84" s="5">
        <v>1.8221870613765699E-8</v>
      </c>
      <c r="R84" s="5">
        <v>1.8794607006454101E-8</v>
      </c>
      <c r="S84" s="5">
        <v>1.93379331091865E-8</v>
      </c>
      <c r="T84" s="5">
        <v>1.9981866536009199E-8</v>
      </c>
      <c r="U84" s="5">
        <v>2.07073394750731E-8</v>
      </c>
      <c r="V84" s="5">
        <v>2.1617389797847699E-8</v>
      </c>
      <c r="W84" s="5">
        <v>2.2860006379501799E-8</v>
      </c>
      <c r="X84" s="5">
        <v>2.3665665221619398E-8</v>
      </c>
      <c r="Y84" s="5">
        <v>2.49729757447311E-8</v>
      </c>
      <c r="Z84" s="5">
        <v>2.6243443052758699E-8</v>
      </c>
      <c r="AA84" s="5">
        <v>2.7083141060077099E-8</v>
      </c>
      <c r="AB84" s="5">
        <v>2.82192427505118E-8</v>
      </c>
      <c r="AC84" s="5">
        <v>2.9191179592487901E-8</v>
      </c>
      <c r="AD84" s="5">
        <v>2.9933348693419703E-8</v>
      </c>
      <c r="AE84" s="5">
        <v>3.0343165334421199E-8</v>
      </c>
      <c r="AF84" s="5">
        <v>3.1645084436100197E-8</v>
      </c>
      <c r="AG84" s="5">
        <v>3.2989939726087598E-8</v>
      </c>
      <c r="AH84" s="5">
        <v>3.4660774970478903E-8</v>
      </c>
      <c r="AI84" s="5">
        <v>3.3339214119456203E-8</v>
      </c>
    </row>
    <row r="85" spans="1:35" x14ac:dyDescent="0.25">
      <c r="A85" s="3" t="s">
        <v>103</v>
      </c>
      <c r="B85" s="3" t="s">
        <v>109</v>
      </c>
      <c r="C85" s="5">
        <v>2.3123156362619501E-8</v>
      </c>
      <c r="D85" s="5">
        <v>2.22954773627896E-8</v>
      </c>
      <c r="E85" s="5">
        <v>2.0014706401149801E-8</v>
      </c>
      <c r="F85" s="5">
        <v>1.3398263679628599E-8</v>
      </c>
      <c r="G85" s="5">
        <v>1.0450514997892701E-8</v>
      </c>
      <c r="H85" s="5">
        <v>1.06510913801356E-8</v>
      </c>
      <c r="I85" s="5">
        <v>1.0969541671465499E-8</v>
      </c>
      <c r="J85" s="5">
        <v>1.12285419299969E-8</v>
      </c>
      <c r="K85" s="5">
        <v>1.3192649942274099E-8</v>
      </c>
      <c r="L85" s="5">
        <v>1.51308462561376E-8</v>
      </c>
      <c r="M85" s="5">
        <v>1.8039068425273401E-8</v>
      </c>
      <c r="N85" s="5">
        <v>2.26194145479343E-8</v>
      </c>
      <c r="O85" s="5">
        <v>2.9794833405825201E-8</v>
      </c>
      <c r="P85" s="5">
        <v>3.03385682639299E-8</v>
      </c>
      <c r="Q85" s="5">
        <v>3.0744011792959602E-8</v>
      </c>
      <c r="R85" s="5">
        <v>3.0884954085876098E-8</v>
      </c>
      <c r="S85" s="5">
        <v>3.1016851861785199E-8</v>
      </c>
      <c r="T85" s="5">
        <v>3.1275748192776302E-8</v>
      </c>
      <c r="U85" s="5">
        <v>3.1630501950352997E-8</v>
      </c>
      <c r="V85" s="5">
        <v>3.22257538870676E-8</v>
      </c>
      <c r="W85" s="5">
        <v>3.32511390035679E-8</v>
      </c>
      <c r="X85" s="5">
        <v>3.37176798569052E-8</v>
      </c>
      <c r="Y85" s="5">
        <v>3.4895288650352501E-8</v>
      </c>
      <c r="Z85" s="5">
        <v>3.5989096486761297E-8</v>
      </c>
      <c r="AA85" s="5">
        <v>3.6581916049983602E-8</v>
      </c>
      <c r="AB85" s="5">
        <v>3.7457164197179299E-8</v>
      </c>
      <c r="AC85" s="5">
        <v>3.8134265520450101E-8</v>
      </c>
      <c r="AD85" s="5">
        <v>3.85869100608318E-8</v>
      </c>
      <c r="AE85" s="5">
        <v>3.8656735758893298E-8</v>
      </c>
      <c r="AF85" s="5">
        <v>3.9579330821968897E-8</v>
      </c>
      <c r="AG85" s="5">
        <v>4.0555398939241301E-8</v>
      </c>
      <c r="AH85" s="5">
        <v>4.1674405700021803E-8</v>
      </c>
      <c r="AI85" s="5">
        <v>3.8263619003980001E-8</v>
      </c>
    </row>
    <row r="86" spans="1:35" x14ac:dyDescent="0.25">
      <c r="A86" s="3" t="s">
        <v>110</v>
      </c>
      <c r="B86" s="3" t="s">
        <v>111</v>
      </c>
      <c r="C86" s="5">
        <v>29.8808373051545</v>
      </c>
      <c r="D86" s="5">
        <v>0.81724706496669697</v>
      </c>
      <c r="E86" s="5">
        <v>39.718657001103701</v>
      </c>
      <c r="F86" s="5">
        <v>8.0398623437764202E-2</v>
      </c>
      <c r="G86" s="5">
        <v>3.2474365993392401E-2</v>
      </c>
      <c r="H86" s="5">
        <v>0.24674098274957901</v>
      </c>
      <c r="I86" s="5">
        <v>0.24560879045453701</v>
      </c>
      <c r="J86" s="5">
        <v>0.27298315336929002</v>
      </c>
      <c r="K86" s="5">
        <v>0.28798482296701</v>
      </c>
      <c r="L86" s="5">
        <v>0.32905384739607701</v>
      </c>
      <c r="M86" s="5">
        <v>0.34362319059044499</v>
      </c>
      <c r="N86" s="5">
        <v>0.34946627835215299</v>
      </c>
      <c r="O86" s="5">
        <v>7.1059170196327404E-2</v>
      </c>
      <c r="P86" s="5">
        <v>0.221510150394364</v>
      </c>
      <c r="Q86" s="5">
        <v>0.21775357306752999</v>
      </c>
      <c r="R86" s="5">
        <v>0.20736067545842399</v>
      </c>
      <c r="S86" s="5">
        <v>0.185606502526382</v>
      </c>
      <c r="T86" s="5">
        <v>0.164137150503497</v>
      </c>
      <c r="U86" s="5">
        <v>0.15744300407855999</v>
      </c>
      <c r="V86" s="5">
        <v>0.14754112896805599</v>
      </c>
      <c r="W86" s="5">
        <v>30.0026435041102</v>
      </c>
      <c r="X86" s="5">
        <v>0.91210192849273697</v>
      </c>
      <c r="Y86" s="5">
        <v>39.639689499694498</v>
      </c>
      <c r="Z86" s="5">
        <v>9.0177304709895707E-6</v>
      </c>
      <c r="AA86" s="5">
        <v>1.64211383704475E-6</v>
      </c>
      <c r="AB86" s="5">
        <v>0.29289917879196697</v>
      </c>
      <c r="AC86" s="5">
        <v>0.27612707510192502</v>
      </c>
      <c r="AD86" s="5">
        <v>0.28771677220473302</v>
      </c>
      <c r="AE86" s="5">
        <v>0.28605658968726799</v>
      </c>
      <c r="AF86" s="5">
        <v>0.30998999368263302</v>
      </c>
      <c r="AG86" s="5">
        <v>0.30583248597609602</v>
      </c>
      <c r="AH86" s="5">
        <v>0.28963003283134903</v>
      </c>
      <c r="AI86" s="5">
        <v>3.4079543821511303E-8</v>
      </c>
    </row>
    <row r="87" spans="1:35" x14ac:dyDescent="0.25">
      <c r="A87" s="3" t="s">
        <v>110</v>
      </c>
      <c r="B87" s="3" t="s">
        <v>112</v>
      </c>
      <c r="C87" s="5">
        <v>1.5995423350126901</v>
      </c>
      <c r="D87" s="5">
        <v>41.0078157870959</v>
      </c>
      <c r="E87" s="5">
        <v>0.79978373292798199</v>
      </c>
      <c r="F87" s="5">
        <v>40.960276552805098</v>
      </c>
      <c r="G87" s="5">
        <v>41.6390993997367</v>
      </c>
      <c r="H87" s="5">
        <v>41.790681642069899</v>
      </c>
      <c r="I87" s="5">
        <v>41.771277644516402</v>
      </c>
      <c r="J87" s="5">
        <v>21.514951422782399</v>
      </c>
      <c r="K87" s="5">
        <v>0.79976958882183402</v>
      </c>
      <c r="L87" s="5">
        <v>0.79976897746206199</v>
      </c>
      <c r="M87" s="5">
        <v>0.79976887723544299</v>
      </c>
      <c r="N87" s="5">
        <v>0.799769446812298</v>
      </c>
      <c r="O87" s="5">
        <v>3.7016530350436402E-7</v>
      </c>
      <c r="P87" s="5">
        <v>8.0851818899774595E-8</v>
      </c>
      <c r="Q87" s="5">
        <v>6.3536619269671298E-8</v>
      </c>
      <c r="R87" s="5">
        <v>5.0821534907406703E-8</v>
      </c>
      <c r="S87" s="5">
        <v>4.1950365204394201E-8</v>
      </c>
      <c r="T87" s="5">
        <v>3.4947801027358902E-8</v>
      </c>
      <c r="U87" s="5">
        <v>2.97441405626491E-8</v>
      </c>
      <c r="V87" s="5">
        <v>4.5115261650174402E-8</v>
      </c>
      <c r="W87" s="5">
        <v>3.1648783280550501E-6</v>
      </c>
      <c r="X87" s="5">
        <v>40.208046401612002</v>
      </c>
      <c r="Y87" s="5">
        <v>1.4351596199100099E-5</v>
      </c>
      <c r="Z87" s="5">
        <v>40.160507093631303</v>
      </c>
      <c r="AA87" s="5">
        <v>40.839329932164603</v>
      </c>
      <c r="AB87" s="5">
        <v>40.990912238932601</v>
      </c>
      <c r="AC87" s="5">
        <v>40.971508238195703</v>
      </c>
      <c r="AD87" s="5">
        <v>20.715181104022498</v>
      </c>
      <c r="AE87" s="5">
        <v>1.7547216579477799E-7</v>
      </c>
      <c r="AF87" s="5">
        <v>7.9360882979975298E-8</v>
      </c>
      <c r="AG87" s="5">
        <v>4.5710259013385698E-8</v>
      </c>
      <c r="AH87" s="5">
        <v>2.8847286869475501E-8</v>
      </c>
      <c r="AI87" s="5">
        <v>1.8596059595957501E-8</v>
      </c>
    </row>
    <row r="88" spans="1:35" x14ac:dyDescent="0.25">
      <c r="A88" s="3" t="s">
        <v>110</v>
      </c>
      <c r="B88" s="3" t="s">
        <v>113</v>
      </c>
      <c r="C88" s="5">
        <v>0.59898788387639301</v>
      </c>
      <c r="D88" s="5">
        <v>0.59898842154304599</v>
      </c>
      <c r="E88" s="5">
        <v>0.81951707570006305</v>
      </c>
      <c r="F88" s="5">
        <v>0.81951713639401602</v>
      </c>
      <c r="G88" s="5">
        <v>0.81951716472006397</v>
      </c>
      <c r="H88" s="5">
        <v>0.81951714242095997</v>
      </c>
      <c r="I88" s="5">
        <v>0.81951723832465995</v>
      </c>
      <c r="J88" s="5">
        <v>21.183964775673498</v>
      </c>
      <c r="K88" s="5">
        <v>42.156148993560301</v>
      </c>
      <c r="L88" s="5">
        <v>40.3136554826634</v>
      </c>
      <c r="M88" s="5">
        <v>35.040156391005702</v>
      </c>
      <c r="N88" s="5">
        <v>29.574963826350501</v>
      </c>
      <c r="O88" s="5">
        <v>0.819515810069541</v>
      </c>
      <c r="P88" s="5">
        <v>3.11410024308939E-7</v>
      </c>
      <c r="Q88" s="5">
        <v>2.0067752095898201E-7</v>
      </c>
      <c r="R88" s="5">
        <v>1.3680462680772901E-7</v>
      </c>
      <c r="S88" s="5">
        <v>1.02052035225118E-7</v>
      </c>
      <c r="T88" s="5">
        <v>7.7273554701722001E-8</v>
      </c>
      <c r="U88" s="5">
        <v>6.1487322959236705E-8</v>
      </c>
      <c r="V88" s="5">
        <v>5.0442162444020999E-8</v>
      </c>
      <c r="W88" s="5">
        <v>4.5274838688922602E-8</v>
      </c>
      <c r="X88" s="5">
        <v>4.99267591486708E-8</v>
      </c>
      <c r="Y88" s="5">
        <v>5.5467359388142599E-8</v>
      </c>
      <c r="Z88" s="5">
        <v>6.4687287476143806E-8</v>
      </c>
      <c r="AA88" s="5">
        <v>7.9423100991242995E-8</v>
      </c>
      <c r="AB88" s="5">
        <v>1.08604539030851E-7</v>
      </c>
      <c r="AC88" s="5">
        <v>1.9594096241327901E-7</v>
      </c>
      <c r="AD88" s="5">
        <v>20.364447401335401</v>
      </c>
      <c r="AE88" s="5">
        <v>41.336631961343002</v>
      </c>
      <c r="AF88" s="5">
        <v>39.494138578583097</v>
      </c>
      <c r="AG88" s="5">
        <v>34.220639642686798</v>
      </c>
      <c r="AH88" s="5">
        <v>28.755445393296501</v>
      </c>
      <c r="AI88" s="5">
        <v>8.0072290675408095E-8</v>
      </c>
    </row>
    <row r="89" spans="1:35" x14ac:dyDescent="0.25">
      <c r="A89" s="3" t="s">
        <v>110</v>
      </c>
      <c r="B89" s="3" t="s">
        <v>114</v>
      </c>
      <c r="C89" s="5">
        <v>3.0815884992094902E-8</v>
      </c>
      <c r="D89" s="5">
        <v>3.8477852940599298E-8</v>
      </c>
      <c r="E89" s="5">
        <v>4.43540895971709E-8</v>
      </c>
      <c r="F89" s="5">
        <v>5.4739316761001299E-8</v>
      </c>
      <c r="G89" s="5">
        <v>7.6125247187304896E-8</v>
      </c>
      <c r="H89" s="5">
        <v>1.21502198800182E-7</v>
      </c>
      <c r="I89" s="5">
        <v>2.8931542833388798E-7</v>
      </c>
      <c r="J89" s="5">
        <v>0.36081554740914201</v>
      </c>
      <c r="K89" s="5">
        <v>0.36081614564790498</v>
      </c>
      <c r="L89" s="5">
        <v>0.360816086825273</v>
      </c>
      <c r="M89" s="5">
        <v>0.36081602093052301</v>
      </c>
      <c r="N89" s="5">
        <v>5.6909495542178297</v>
      </c>
      <c r="O89" s="5">
        <v>29.681471465075202</v>
      </c>
      <c r="P89" s="5">
        <v>33.612712452817597</v>
      </c>
      <c r="Q89" s="5">
        <v>32.381647472348803</v>
      </c>
      <c r="R89" s="5">
        <v>2.4697921817509701E-6</v>
      </c>
      <c r="S89" s="5">
        <v>1.0119279640745899E-6</v>
      </c>
      <c r="T89" s="5">
        <v>4.7911250983849597E-7</v>
      </c>
      <c r="U89" s="5">
        <v>3.0397139426757301E-7</v>
      </c>
      <c r="V89" s="5">
        <v>2.17523348827049E-7</v>
      </c>
      <c r="W89" s="5">
        <v>1.6466766426080399E-7</v>
      </c>
      <c r="X89" s="5">
        <v>1.29916523134587E-7</v>
      </c>
      <c r="Y89" s="5">
        <v>1.04531470061516E-7</v>
      </c>
      <c r="Z89" s="5">
        <v>8.6044660427192595E-8</v>
      </c>
      <c r="AA89" s="5">
        <v>7.1546022429638098E-8</v>
      </c>
      <c r="AB89" s="5">
        <v>5.9729931556445094E-8</v>
      </c>
      <c r="AC89" s="5">
        <v>4.9863998692845801E-8</v>
      </c>
      <c r="AD89" s="5">
        <v>4.7687216996099898E-8</v>
      </c>
      <c r="AE89" s="5">
        <v>5.5077896020882703E-8</v>
      </c>
      <c r="AF89" s="5">
        <v>7.0430430794535103E-8</v>
      </c>
      <c r="AG89" s="5">
        <v>1.13647982641307E-7</v>
      </c>
      <c r="AH89" s="5">
        <v>5.3301327690342202</v>
      </c>
      <c r="AI89" s="5">
        <v>29.3206550316151</v>
      </c>
    </row>
    <row r="90" spans="1:35" x14ac:dyDescent="0.25">
      <c r="A90" s="3" t="s">
        <v>110</v>
      </c>
      <c r="B90" s="3" t="s">
        <v>115</v>
      </c>
      <c r="C90" s="5">
        <v>2.3423755755451401E-8</v>
      </c>
      <c r="D90" s="5">
        <v>2.80578194582877E-8</v>
      </c>
      <c r="E90" s="5">
        <v>3.0994148643728E-8</v>
      </c>
      <c r="F90" s="5">
        <v>3.55874768937791E-8</v>
      </c>
      <c r="G90" s="5">
        <v>4.4353885454891402E-8</v>
      </c>
      <c r="H90" s="5">
        <v>5.7607427220112703E-8</v>
      </c>
      <c r="I90" s="5">
        <v>8.1184250491135605E-8</v>
      </c>
      <c r="J90" s="5">
        <v>1.3473203577104201E-7</v>
      </c>
      <c r="K90" s="5">
        <v>2.18716562778237E-7</v>
      </c>
      <c r="L90" s="5">
        <v>5.5223102597168504E-7</v>
      </c>
      <c r="M90" s="5">
        <v>0.23050555230348199</v>
      </c>
      <c r="N90" s="5">
        <v>0.23050679443331501</v>
      </c>
      <c r="O90" s="5">
        <v>0.23050633771008999</v>
      </c>
      <c r="P90" s="5">
        <v>2.03151136562504E-6</v>
      </c>
      <c r="Q90" s="5">
        <v>1.4614326300787699</v>
      </c>
      <c r="R90" s="5">
        <v>40.327640381007598</v>
      </c>
      <c r="S90" s="5">
        <v>13.6255729147233</v>
      </c>
      <c r="T90" s="5">
        <v>1.9332655665588198E-6</v>
      </c>
      <c r="U90" s="5">
        <v>9.1752685163451905E-7</v>
      </c>
      <c r="V90" s="5">
        <v>5.8401700286057604E-7</v>
      </c>
      <c r="W90" s="5">
        <v>4.1742469196901798E-7</v>
      </c>
      <c r="X90" s="5">
        <v>3.1429208120700699E-7</v>
      </c>
      <c r="Y90" s="5">
        <v>2.4416622673571499E-7</v>
      </c>
      <c r="Z90" s="5">
        <v>1.9630368716326E-7</v>
      </c>
      <c r="AA90" s="5">
        <v>1.6020766523838099E-7</v>
      </c>
      <c r="AB90" s="5">
        <v>1.31474188927149E-7</v>
      </c>
      <c r="AC90" s="5">
        <v>1.08028525677698E-7</v>
      </c>
      <c r="AD90" s="5">
        <v>8.8478061094306097E-8</v>
      </c>
      <c r="AE90" s="5">
        <v>7.1672934135175601E-8</v>
      </c>
      <c r="AF90" s="5">
        <v>5.8137993600162398E-8</v>
      </c>
      <c r="AG90" s="5">
        <v>5.47717388325266E-8</v>
      </c>
      <c r="AH90" s="5">
        <v>1.0016877079689799E-7</v>
      </c>
      <c r="AI90" s="5">
        <v>1.0530482765080101E-7</v>
      </c>
    </row>
    <row r="91" spans="1:35" x14ac:dyDescent="0.25">
      <c r="A91" s="3" t="s">
        <v>110</v>
      </c>
      <c r="B91" s="3" t="s">
        <v>116</v>
      </c>
      <c r="C91" s="5">
        <v>1.8908147202532801E-8</v>
      </c>
      <c r="D91" s="5">
        <v>2.2091070695006499E-8</v>
      </c>
      <c r="E91" s="5">
        <v>2.3904712978161299E-8</v>
      </c>
      <c r="F91" s="5">
        <v>2.6472122460034998E-8</v>
      </c>
      <c r="G91" s="5">
        <v>3.1472896107157397E-8</v>
      </c>
      <c r="H91" s="5">
        <v>3.7998222159908397E-8</v>
      </c>
      <c r="I91" s="5">
        <v>4.76059432797576E-8</v>
      </c>
      <c r="J91" s="5">
        <v>6.30589230541549E-8</v>
      </c>
      <c r="K91" s="5">
        <v>7.8639575092621294E-8</v>
      </c>
      <c r="L91" s="5">
        <v>1.0316736822203499E-7</v>
      </c>
      <c r="M91" s="5">
        <v>1.5931585334542601E-7</v>
      </c>
      <c r="N91" s="5">
        <v>5.8449599918127899E-7</v>
      </c>
      <c r="O91" s="5">
        <v>0.55177544527232103</v>
      </c>
      <c r="P91" s="5">
        <v>5.29574518015782E-7</v>
      </c>
      <c r="Q91" s="5">
        <v>1.03023070292565E-6</v>
      </c>
      <c r="R91" s="5">
        <v>2.0415354649007498E-6</v>
      </c>
      <c r="S91" s="5">
        <v>24.129161586593401</v>
      </c>
      <c r="T91" s="5">
        <v>38.595256412095303</v>
      </c>
      <c r="U91" s="5">
        <v>0.96973197066982197</v>
      </c>
      <c r="V91" s="5">
        <v>1.7695017911758</v>
      </c>
      <c r="W91" s="5">
        <v>23.198247005912101</v>
      </c>
      <c r="X91" s="5">
        <v>10.3447751748804</v>
      </c>
      <c r="Y91" s="5">
        <v>1.87949431242118</v>
      </c>
      <c r="Z91" s="5">
        <v>1.8551334913219399</v>
      </c>
      <c r="AA91" s="5">
        <v>2.6759874281015499</v>
      </c>
      <c r="AB91" s="5">
        <v>4.0229988185072498</v>
      </c>
      <c r="AC91" s="5">
        <v>3.7550742572970299</v>
      </c>
      <c r="AD91" s="5">
        <v>3.8454860542108298</v>
      </c>
      <c r="AE91" s="5">
        <v>3.5600555789839698</v>
      </c>
      <c r="AF91" s="5">
        <v>5.8125461330822397</v>
      </c>
      <c r="AG91" s="5">
        <v>4.9919081969120003E-7</v>
      </c>
      <c r="AH91" s="5">
        <v>8.2867300433259602E-8</v>
      </c>
      <c r="AI91" s="5">
        <v>3.8055174727453503E-8</v>
      </c>
    </row>
    <row r="92" spans="1:35" x14ac:dyDescent="0.25">
      <c r="A92" s="3" t="s">
        <v>110</v>
      </c>
      <c r="B92" s="3" t="s">
        <v>117</v>
      </c>
      <c r="C92" s="6"/>
      <c r="D92" s="6"/>
      <c r="E92" s="6"/>
      <c r="F92" s="6"/>
      <c r="G92" s="6"/>
      <c r="H92" s="6"/>
      <c r="I92" s="6"/>
      <c r="J92" s="6"/>
      <c r="K92" s="6"/>
      <c r="L92" s="6"/>
      <c r="M92" s="6"/>
      <c r="N92" s="6"/>
      <c r="O92" s="6"/>
      <c r="P92" s="6"/>
      <c r="Q92" s="6"/>
      <c r="R92" s="6"/>
      <c r="S92" s="6"/>
      <c r="T92" s="6"/>
      <c r="U92" s="6"/>
      <c r="V92" s="6"/>
      <c r="W92" s="6"/>
      <c r="X92" s="6"/>
      <c r="Y92" s="6"/>
      <c r="Z92" s="6"/>
      <c r="AA92" s="6"/>
      <c r="AB92" s="6"/>
      <c r="AC92" s="5">
        <v>1.03356037213021E-8</v>
      </c>
      <c r="AD92" s="5">
        <v>1.09426968548756E-8</v>
      </c>
      <c r="AE92" s="5">
        <v>1.1673498936328201E-8</v>
      </c>
      <c r="AF92" s="5">
        <v>1.2503391331741499E-8</v>
      </c>
      <c r="AG92" s="5">
        <v>1.37913330205435E-8</v>
      </c>
      <c r="AH92" s="5">
        <v>1.6212827207257E-8</v>
      </c>
      <c r="AI92" s="5">
        <v>1.3751454578610901E-8</v>
      </c>
    </row>
    <row r="93" spans="1:35" x14ac:dyDescent="0.25">
      <c r="A93" s="3" t="s">
        <v>110</v>
      </c>
      <c r="B93" s="3" t="s">
        <v>118</v>
      </c>
      <c r="C93" s="5">
        <v>1.79975908909463E-8</v>
      </c>
      <c r="D93" s="5">
        <v>2.19828626753627E-8</v>
      </c>
      <c r="E93" s="5">
        <v>2.2007060423434899E-8</v>
      </c>
      <c r="F93" s="5">
        <v>2.1944740667933699E-8</v>
      </c>
      <c r="G93" s="6"/>
      <c r="H93" s="6"/>
      <c r="I93" s="6"/>
      <c r="J93" s="6"/>
      <c r="K93" s="6"/>
      <c r="L93" s="6"/>
      <c r="M93" s="6"/>
      <c r="N93" s="6"/>
      <c r="O93" s="6"/>
      <c r="P93" s="6"/>
      <c r="Q93" s="6"/>
      <c r="R93" s="6"/>
      <c r="S93" s="6"/>
      <c r="T93" s="6"/>
      <c r="U93" s="6"/>
      <c r="V93" s="5">
        <v>1.0324075656544999E-8</v>
      </c>
      <c r="W93" s="5">
        <v>1.28611961049794E-8</v>
      </c>
      <c r="X93" s="5">
        <v>1.34476344628971E-8</v>
      </c>
      <c r="Y93" s="5">
        <v>1.3848119503759199E-8</v>
      </c>
      <c r="Z93" s="5">
        <v>1.43124536920034E-8</v>
      </c>
      <c r="AA93" s="5">
        <v>1.4809430991605001E-8</v>
      </c>
      <c r="AB93" s="5">
        <v>1.5394376969351602E-8</v>
      </c>
      <c r="AC93" s="5">
        <v>1.6049445037316301E-8</v>
      </c>
      <c r="AD93" s="5">
        <v>1.6808109007779699E-8</v>
      </c>
      <c r="AE93" s="5">
        <v>1.63970149896891E-8</v>
      </c>
      <c r="AF93" s="5">
        <v>1.5799429480844199E-8</v>
      </c>
      <c r="AG93" s="5">
        <v>1.48679885463526E-8</v>
      </c>
      <c r="AH93" s="5">
        <v>1.3463412640023799E-8</v>
      </c>
      <c r="AI93" s="5">
        <v>-3.4536481415138899E-7</v>
      </c>
    </row>
    <row r="94" spans="1:35" x14ac:dyDescent="0.25">
      <c r="A94" s="3" t="s">
        <v>110</v>
      </c>
      <c r="B94" s="3" t="s">
        <v>119</v>
      </c>
      <c r="C94" s="5">
        <v>1.3474909970203499E-8</v>
      </c>
      <c r="D94" s="5">
        <v>1.5892882843654901E-8</v>
      </c>
      <c r="E94" s="5">
        <v>1.5972355227835699E-8</v>
      </c>
      <c r="F94" s="5">
        <v>1.59964006354565E-8</v>
      </c>
      <c r="G94" s="6"/>
      <c r="H94" s="6"/>
      <c r="I94" s="6"/>
      <c r="J94" s="6"/>
      <c r="K94" s="6"/>
      <c r="L94" s="6"/>
      <c r="M94" s="6"/>
      <c r="N94" s="6"/>
      <c r="O94" s="6"/>
      <c r="P94" s="6"/>
      <c r="Q94" s="6"/>
      <c r="R94" s="6"/>
      <c r="S94" s="6"/>
      <c r="T94" s="6"/>
      <c r="U94" s="6"/>
      <c r="V94" s="6"/>
      <c r="W94" s="6"/>
      <c r="X94" s="5">
        <v>1.0196484608802001E-8</v>
      </c>
      <c r="Y94" s="5">
        <v>1.06053791306055E-8</v>
      </c>
      <c r="Z94" s="5">
        <v>1.10993125778139E-8</v>
      </c>
      <c r="AA94" s="5">
        <v>1.16741379951527E-8</v>
      </c>
      <c r="AB94" s="5">
        <v>1.2406724918990799E-8</v>
      </c>
      <c r="AC94" s="5">
        <v>1.3326731822176001E-8</v>
      </c>
      <c r="AD94" s="5">
        <v>1.45587977722902E-8</v>
      </c>
      <c r="AE94" s="5">
        <v>1.5236481794001101E-8</v>
      </c>
      <c r="AF94" s="5">
        <v>1.6156015917072398E-8</v>
      </c>
      <c r="AG94" s="5">
        <v>1.74402001542891E-8</v>
      </c>
      <c r="AH94" s="5">
        <v>1.96757415462275E-8</v>
      </c>
      <c r="AI94" s="6"/>
    </row>
    <row r="95" spans="1:35" x14ac:dyDescent="0.25">
      <c r="A95" s="3" t="s">
        <v>110</v>
      </c>
      <c r="B95" s="3" t="s">
        <v>120</v>
      </c>
      <c r="C95" s="6"/>
      <c r="D95" s="6"/>
      <c r="E95" s="6"/>
      <c r="F95" s="5">
        <v>1.04180220042286E-8</v>
      </c>
      <c r="G95" s="6"/>
      <c r="H95" s="6"/>
      <c r="I95" s="6"/>
      <c r="J95" s="6"/>
      <c r="K95" s="6"/>
      <c r="L95" s="6"/>
      <c r="M95" s="6"/>
      <c r="N95" s="6"/>
      <c r="O95" s="6"/>
      <c r="P95" s="6"/>
      <c r="Q95" s="6"/>
      <c r="R95" s="6"/>
      <c r="S95" s="6"/>
      <c r="T95" s="6"/>
      <c r="U95" s="6"/>
      <c r="V95" s="6"/>
      <c r="W95" s="5">
        <v>1.0107869338873401E-8</v>
      </c>
      <c r="X95" s="5">
        <v>1.03460773543695E-8</v>
      </c>
      <c r="Y95" s="5">
        <v>1.0467963362402599E-8</v>
      </c>
      <c r="Z95" s="5">
        <v>1.05823943492004E-8</v>
      </c>
      <c r="AA95" s="5">
        <v>1.0676810944518299E-8</v>
      </c>
      <c r="AB95" s="5">
        <v>1.0760529830323201E-8</v>
      </c>
      <c r="AC95" s="5">
        <v>1.0798938106245E-8</v>
      </c>
      <c r="AD95" s="5">
        <v>1.10587017989802E-8</v>
      </c>
      <c r="AE95" s="5">
        <v>1.1749418069542301E-8</v>
      </c>
      <c r="AF95" s="5">
        <v>1.2773310693002799E-8</v>
      </c>
      <c r="AG95" s="5">
        <v>1.4401108187784901E-8</v>
      </c>
      <c r="AH95" s="5">
        <v>1.78944566770504E-8</v>
      </c>
      <c r="AI95" s="5">
        <v>1.06587449177478E-8</v>
      </c>
    </row>
    <row r="96" spans="1:35" x14ac:dyDescent="0.25">
      <c r="A96" s="3" t="s">
        <v>110</v>
      </c>
      <c r="B96" s="3" t="s">
        <v>121</v>
      </c>
      <c r="C96" s="6"/>
      <c r="D96" s="6"/>
      <c r="E96" s="6"/>
      <c r="F96" s="6"/>
      <c r="G96" s="6"/>
      <c r="H96" s="6"/>
      <c r="I96" s="6"/>
      <c r="J96" s="6"/>
      <c r="K96" s="6"/>
      <c r="L96" s="6"/>
      <c r="M96" s="6"/>
      <c r="N96" s="6"/>
      <c r="O96" s="6"/>
      <c r="P96" s="6"/>
      <c r="Q96" s="6"/>
      <c r="R96" s="6"/>
      <c r="S96" s="6"/>
      <c r="T96" s="6"/>
      <c r="U96" s="6"/>
      <c r="V96" s="6"/>
      <c r="W96" s="5">
        <v>1.0113797435387201E-8</v>
      </c>
      <c r="X96" s="5">
        <v>1.0428242774297701E-8</v>
      </c>
      <c r="Y96" s="5">
        <v>1.06397253343912E-8</v>
      </c>
      <c r="Z96" s="5">
        <v>1.0859614476998E-8</v>
      </c>
      <c r="AA96" s="5">
        <v>1.10808998410393E-8</v>
      </c>
      <c r="AB96" s="5">
        <v>1.13193985261509E-8</v>
      </c>
      <c r="AC96" s="5">
        <v>1.1546285036993599E-8</v>
      </c>
      <c r="AD96" s="5">
        <v>1.17527118391861E-8</v>
      </c>
      <c r="AE96" s="5">
        <v>1.1947987865602799E-8</v>
      </c>
      <c r="AF96" s="5">
        <v>1.21538071313243E-8</v>
      </c>
      <c r="AG96" s="5">
        <v>1.2781496180430299E-8</v>
      </c>
      <c r="AH96" s="5">
        <v>1.5404713795934599E-8</v>
      </c>
      <c r="AI96" s="6"/>
    </row>
    <row r="97" spans="1:35" x14ac:dyDescent="0.25">
      <c r="A97" s="3" t="s">
        <v>110</v>
      </c>
      <c r="B97" s="3" t="s">
        <v>122</v>
      </c>
      <c r="C97" s="6"/>
      <c r="D97" s="6"/>
      <c r="E97" s="6"/>
      <c r="F97" s="6"/>
      <c r="G97" s="6"/>
      <c r="H97" s="6"/>
      <c r="I97" s="6"/>
      <c r="J97" s="6"/>
      <c r="K97" s="6"/>
      <c r="L97" s="6"/>
      <c r="M97" s="6"/>
      <c r="N97" s="6"/>
      <c r="O97" s="6"/>
      <c r="P97" s="6"/>
      <c r="Q97" s="6"/>
      <c r="R97" s="6"/>
      <c r="S97" s="6"/>
      <c r="T97" s="6"/>
      <c r="U97" s="6"/>
      <c r="V97" s="6"/>
      <c r="W97" s="5">
        <v>1.0042016264092401E-8</v>
      </c>
      <c r="X97" s="5">
        <v>1.04178171827739E-8</v>
      </c>
      <c r="Y97" s="5">
        <v>1.0706345048340399E-8</v>
      </c>
      <c r="Z97" s="5">
        <v>1.10246182794926E-8</v>
      </c>
      <c r="AA97" s="5">
        <v>1.13705678874419E-8</v>
      </c>
      <c r="AB97" s="5">
        <v>1.17703953071909E-8</v>
      </c>
      <c r="AC97" s="5">
        <v>1.2207484385612701E-8</v>
      </c>
      <c r="AD97" s="5">
        <v>1.2699303851460201E-8</v>
      </c>
      <c r="AE97" s="5">
        <v>1.3297844444181E-8</v>
      </c>
      <c r="AF97" s="5">
        <v>1.41096839634777E-8</v>
      </c>
      <c r="AG97" s="5">
        <v>1.4815994943878899E-8</v>
      </c>
      <c r="AH97" s="5">
        <v>1.44219733345721E-8</v>
      </c>
      <c r="AI97" s="6"/>
    </row>
    <row r="98" spans="1:35" x14ac:dyDescent="0.25">
      <c r="A98" s="3" t="s">
        <v>110</v>
      </c>
      <c r="B98" s="3" t="s">
        <v>123</v>
      </c>
      <c r="C98" s="6"/>
      <c r="D98" s="6"/>
      <c r="E98" s="6"/>
      <c r="F98" s="6"/>
      <c r="G98" s="6"/>
      <c r="H98" s="6"/>
      <c r="I98" s="6"/>
      <c r="J98" s="6"/>
      <c r="K98" s="6"/>
      <c r="L98" s="6"/>
      <c r="M98" s="6"/>
      <c r="N98" s="6"/>
      <c r="O98" s="6"/>
      <c r="P98" s="5">
        <v>1.08153396862276E-8</v>
      </c>
      <c r="Q98" s="5">
        <v>1.3922133633840599E-8</v>
      </c>
      <c r="R98" s="5">
        <v>1.6176174542537501E-8</v>
      </c>
      <c r="S98" s="5">
        <v>1.80572762453165E-8</v>
      </c>
      <c r="T98" s="5">
        <v>2.0424214203021598E-8</v>
      </c>
      <c r="U98" s="5">
        <v>2.1559211037188501E-8</v>
      </c>
      <c r="V98" s="5">
        <v>2.2722314040168801E-8</v>
      </c>
      <c r="W98" s="5">
        <v>2.39477829507704E-8</v>
      </c>
      <c r="X98" s="5">
        <v>2.3852379350941601E-8</v>
      </c>
      <c r="Y98" s="5">
        <v>2.3984814354303899E-8</v>
      </c>
      <c r="Z98" s="5">
        <v>2.41522086429115E-8</v>
      </c>
      <c r="AA98" s="5">
        <v>2.5101771092005501E-8</v>
      </c>
      <c r="AB98" s="5">
        <v>2.6708174030261899E-8</v>
      </c>
      <c r="AC98" s="5">
        <v>2.7974267504209999E-8</v>
      </c>
      <c r="AD98" s="5">
        <v>2.8601731479768101E-8</v>
      </c>
      <c r="AE98" s="5">
        <v>2.9724822025000001E-8</v>
      </c>
      <c r="AF98" s="5">
        <v>3.3218067510397502E-8</v>
      </c>
      <c r="AG98" s="5">
        <v>3.6419579826496302E-8</v>
      </c>
      <c r="AH98" s="5">
        <v>4.0292394154667403E-8</v>
      </c>
      <c r="AI98" s="5">
        <v>4.5850981304886798E-8</v>
      </c>
    </row>
    <row r="99" spans="1:35" x14ac:dyDescent="0.25">
      <c r="A99" s="3" t="s">
        <v>110</v>
      </c>
      <c r="B99" s="3" t="s">
        <v>124</v>
      </c>
      <c r="C99" s="6"/>
      <c r="D99" s="6"/>
      <c r="E99" s="6"/>
      <c r="F99" s="6"/>
      <c r="G99" s="6"/>
      <c r="H99" s="6"/>
      <c r="I99" s="6"/>
      <c r="J99" s="6"/>
      <c r="K99" s="6"/>
      <c r="L99" s="6"/>
      <c r="M99" s="6"/>
      <c r="N99" s="6"/>
      <c r="O99" s="6"/>
      <c r="P99" s="6"/>
      <c r="Q99" s="6"/>
      <c r="R99" s="5">
        <v>1.1186753172672899E-8</v>
      </c>
      <c r="S99" s="5">
        <v>1.23152259878477E-8</v>
      </c>
      <c r="T99" s="5">
        <v>1.36796301479737E-8</v>
      </c>
      <c r="U99" s="5">
        <v>1.4386479398356499E-8</v>
      </c>
      <c r="V99" s="5">
        <v>1.5316107194723899E-8</v>
      </c>
      <c r="W99" s="5">
        <v>1.6414632594699199E-8</v>
      </c>
      <c r="X99" s="5">
        <v>1.65848964503428E-8</v>
      </c>
      <c r="Y99" s="5">
        <v>1.67711683702095E-8</v>
      </c>
      <c r="Z99" s="5">
        <v>1.6975487874464101E-8</v>
      </c>
      <c r="AA99" s="5">
        <v>1.7959330599675601E-8</v>
      </c>
      <c r="AB99" s="5">
        <v>1.8978225069582101E-8</v>
      </c>
      <c r="AC99" s="5">
        <v>1.9830001608614199E-8</v>
      </c>
      <c r="AD99" s="5">
        <v>2.0357091683668E-8</v>
      </c>
      <c r="AE99" s="5">
        <v>2.10782217646096E-8</v>
      </c>
      <c r="AF99" s="5">
        <v>2.2790475464506499E-8</v>
      </c>
      <c r="AG99" s="5">
        <v>2.4448944892586301E-8</v>
      </c>
      <c r="AH99" s="5">
        <v>2.6289497065771199E-8</v>
      </c>
      <c r="AI99" s="5">
        <v>3.17500035677006E-8</v>
      </c>
    </row>
    <row r="100" spans="1:35" x14ac:dyDescent="0.25">
      <c r="A100" s="3" t="s">
        <v>110</v>
      </c>
      <c r="B100" s="3" t="s">
        <v>125</v>
      </c>
      <c r="C100" s="6"/>
      <c r="D100" s="6"/>
      <c r="E100" s="6"/>
      <c r="F100" s="6"/>
      <c r="G100" s="6"/>
      <c r="H100" s="6"/>
      <c r="I100" s="6"/>
      <c r="J100" s="6"/>
      <c r="K100" s="6"/>
      <c r="L100" s="6"/>
      <c r="M100" s="6"/>
      <c r="N100" s="6"/>
      <c r="O100" s="6"/>
      <c r="P100" s="6"/>
      <c r="Q100" s="6"/>
      <c r="R100" s="6"/>
      <c r="S100" s="5">
        <v>1.07887158702696E-8</v>
      </c>
      <c r="T100" s="5">
        <v>1.27208937759634E-8</v>
      </c>
      <c r="U100" s="5">
        <v>1.3364034357933899E-8</v>
      </c>
      <c r="V100" s="5">
        <v>1.3999264048895299E-8</v>
      </c>
      <c r="W100" s="5">
        <v>1.46772814381179E-8</v>
      </c>
      <c r="X100" s="5">
        <v>1.4878046944368E-8</v>
      </c>
      <c r="Y100" s="5">
        <v>1.5096386443601301E-8</v>
      </c>
      <c r="Z100" s="5">
        <v>1.53284115131166E-8</v>
      </c>
      <c r="AA100" s="5">
        <v>1.5591979924598399E-8</v>
      </c>
      <c r="AB100" s="5">
        <v>1.6489360977392001E-8</v>
      </c>
      <c r="AC100" s="5">
        <v>1.7272166653058998E-8</v>
      </c>
      <c r="AD100" s="5">
        <v>1.78220122682074E-8</v>
      </c>
      <c r="AE100" s="5">
        <v>1.85704966889464E-8</v>
      </c>
      <c r="AF100" s="5">
        <v>2.00927225355932E-8</v>
      </c>
      <c r="AG100" s="5">
        <v>2.1811711144144398E-8</v>
      </c>
      <c r="AH100" s="5">
        <v>2.4057142283909301E-8</v>
      </c>
      <c r="AI100" s="5">
        <v>2.9931967705968801E-8</v>
      </c>
    </row>
    <row r="101" spans="1:35" x14ac:dyDescent="0.25">
      <c r="A101" s="3" t="s">
        <v>110</v>
      </c>
      <c r="B101" s="3" t="s">
        <v>126</v>
      </c>
      <c r="C101" s="6"/>
      <c r="D101" s="6"/>
      <c r="E101" s="6"/>
      <c r="F101" s="6"/>
      <c r="G101" s="6"/>
      <c r="H101" s="6"/>
      <c r="I101" s="6"/>
      <c r="J101" s="6"/>
      <c r="K101" s="6"/>
      <c r="L101" s="6"/>
      <c r="M101" s="6"/>
      <c r="N101" s="6"/>
      <c r="O101" s="6"/>
      <c r="P101" s="6"/>
      <c r="Q101" s="6"/>
      <c r="R101" s="6"/>
      <c r="S101" s="6"/>
      <c r="T101" s="5">
        <v>1.12236963676932E-8</v>
      </c>
      <c r="U101" s="5">
        <v>1.18077105028514E-8</v>
      </c>
      <c r="V101" s="5">
        <v>1.2385299563470301E-8</v>
      </c>
      <c r="W101" s="5">
        <v>1.29914450536596E-8</v>
      </c>
      <c r="X101" s="5">
        <v>1.31684821190016E-8</v>
      </c>
      <c r="Y101" s="5">
        <v>1.33615198020735E-8</v>
      </c>
      <c r="Z101" s="5">
        <v>1.3557115203458899E-8</v>
      </c>
      <c r="AA101" s="5">
        <v>1.3775492271784801E-8</v>
      </c>
      <c r="AB101" s="5">
        <v>1.44996784418379E-8</v>
      </c>
      <c r="AC101" s="5">
        <v>1.5114631907209101E-8</v>
      </c>
      <c r="AD101" s="5">
        <v>1.5560175726483798E-8</v>
      </c>
      <c r="AE101" s="5">
        <v>1.6267133900617799E-8</v>
      </c>
      <c r="AF101" s="5">
        <v>1.7525185090165899E-8</v>
      </c>
      <c r="AG101" s="5">
        <v>1.90935095508815E-8</v>
      </c>
      <c r="AH101" s="5">
        <v>2.1249242290912501E-8</v>
      </c>
      <c r="AI101" s="5">
        <v>2.72821943456455E-8</v>
      </c>
    </row>
    <row r="102" spans="1:35" x14ac:dyDescent="0.25">
      <c r="A102" s="3" t="s">
        <v>110</v>
      </c>
      <c r="B102" s="3" t="s">
        <v>127</v>
      </c>
      <c r="C102" s="6"/>
      <c r="D102" s="6"/>
      <c r="E102" s="6"/>
      <c r="F102" s="6"/>
      <c r="G102" s="6"/>
      <c r="H102" s="6"/>
      <c r="I102" s="6"/>
      <c r="J102" s="6"/>
      <c r="K102" s="6"/>
      <c r="L102" s="6"/>
      <c r="M102" s="6"/>
      <c r="N102" s="6"/>
      <c r="O102" s="6"/>
      <c r="P102" s="6"/>
      <c r="Q102" s="6"/>
      <c r="R102" s="6"/>
      <c r="S102" s="6"/>
      <c r="T102" s="5">
        <v>1.08060725065485E-8</v>
      </c>
      <c r="U102" s="5">
        <v>1.13720202336123E-8</v>
      </c>
      <c r="V102" s="5">
        <v>1.19313795907027E-8</v>
      </c>
      <c r="W102" s="5">
        <v>1.2519830122465901E-8</v>
      </c>
      <c r="X102" s="5">
        <v>1.2706406236106201E-8</v>
      </c>
      <c r="Y102" s="5">
        <v>1.29103597108337E-8</v>
      </c>
      <c r="Z102" s="5">
        <v>1.31177079713942E-8</v>
      </c>
      <c r="AA102" s="5">
        <v>1.33498537679909E-8</v>
      </c>
      <c r="AB102" s="5">
        <v>1.4069027349502901E-8</v>
      </c>
      <c r="AC102" s="5">
        <v>1.46919350581548E-8</v>
      </c>
      <c r="AD102" s="5">
        <v>1.51285546214868E-8</v>
      </c>
      <c r="AE102" s="5">
        <v>1.5768826150945799E-8</v>
      </c>
      <c r="AF102" s="5">
        <v>1.6867119878292599E-8</v>
      </c>
      <c r="AG102" s="5">
        <v>1.8277633908676801E-8</v>
      </c>
      <c r="AH102" s="5">
        <v>2.0337932814950901E-8</v>
      </c>
      <c r="AI102" s="5">
        <v>2.6155861404411799E-8</v>
      </c>
    </row>
    <row r="103" spans="1:35" x14ac:dyDescent="0.25">
      <c r="A103" s="3" t="s">
        <v>110</v>
      </c>
      <c r="B103" s="3" t="s">
        <v>128</v>
      </c>
      <c r="C103" s="6"/>
      <c r="D103" s="6"/>
      <c r="E103" s="6"/>
      <c r="F103" s="6"/>
      <c r="G103" s="6"/>
      <c r="H103" s="6"/>
      <c r="I103" s="6"/>
      <c r="J103" s="6"/>
      <c r="K103" s="6"/>
      <c r="L103" s="6"/>
      <c r="M103" s="6"/>
      <c r="N103" s="6"/>
      <c r="O103" s="6"/>
      <c r="P103" s="6"/>
      <c r="Q103" s="6"/>
      <c r="R103" s="6"/>
      <c r="S103" s="6"/>
      <c r="T103" s="5">
        <v>1.04067653252907E-8</v>
      </c>
      <c r="U103" s="5">
        <v>1.0954836145552501E-8</v>
      </c>
      <c r="V103" s="5">
        <v>1.1495906544119001E-8</v>
      </c>
      <c r="W103" s="5">
        <v>1.2066294566472901E-8</v>
      </c>
      <c r="X103" s="5">
        <v>1.2260116399460199E-8</v>
      </c>
      <c r="Y103" s="5">
        <v>1.24724007989159E-8</v>
      </c>
      <c r="Z103" s="5">
        <v>1.2688620888510299E-8</v>
      </c>
      <c r="AA103" s="5">
        <v>1.2931181627750001E-8</v>
      </c>
      <c r="AB103" s="5">
        <v>1.36418243977946E-8</v>
      </c>
      <c r="AC103" s="5">
        <v>1.42675831330473E-8</v>
      </c>
      <c r="AD103" s="5">
        <v>1.47247652982118E-8</v>
      </c>
      <c r="AE103" s="5">
        <v>1.53914608259302E-8</v>
      </c>
      <c r="AF103" s="5">
        <v>1.6507387653334198E-8</v>
      </c>
      <c r="AG103" s="5">
        <v>1.7902189080646299E-8</v>
      </c>
      <c r="AH103" s="5">
        <v>1.96114046615131E-8</v>
      </c>
      <c r="AI103" s="5">
        <v>2.4913737872745701E-8</v>
      </c>
    </row>
    <row r="104" spans="1:35" x14ac:dyDescent="0.25">
      <c r="A104" s="3" t="s">
        <v>110</v>
      </c>
      <c r="B104" s="3" t="s">
        <v>129</v>
      </c>
      <c r="C104" s="5">
        <v>7.0683092067174995E-8</v>
      </c>
      <c r="D104" s="5">
        <v>7.1768717568274396E-8</v>
      </c>
      <c r="E104" s="5">
        <v>7.0951404195348596E-8</v>
      </c>
      <c r="F104" s="5">
        <v>7.0175381368310794E-8</v>
      </c>
      <c r="G104" s="5">
        <v>5.8248400667831297E-8</v>
      </c>
      <c r="H104" s="5">
        <v>6.1346907880417699E-8</v>
      </c>
      <c r="I104" s="5">
        <v>6.5045391608816895E-8</v>
      </c>
      <c r="J104" s="5">
        <v>6.8250506142482206E-8</v>
      </c>
      <c r="K104" s="5">
        <v>8.2633746682321001E-8</v>
      </c>
      <c r="L104" s="5">
        <v>9.8626800444899294E-8</v>
      </c>
      <c r="M104" s="5">
        <v>1.22705735383298E-7</v>
      </c>
      <c r="N104" s="5">
        <v>1.62083121657842E-7</v>
      </c>
      <c r="O104" s="5">
        <v>2.31278695665252E-7</v>
      </c>
      <c r="P104" s="5">
        <v>2.55096603886041E-7</v>
      </c>
      <c r="Q104" s="5">
        <v>2.8067876845758401E-7</v>
      </c>
      <c r="R104" s="5">
        <v>2.9808602968796899E-7</v>
      </c>
      <c r="S104" s="5">
        <v>3.1165226096256899E-7</v>
      </c>
      <c r="T104" s="5">
        <v>3.2678658348578602E-7</v>
      </c>
      <c r="U104" s="5">
        <v>3.3523764590433601E-7</v>
      </c>
      <c r="V104" s="5">
        <v>3.4385179080668298E-7</v>
      </c>
      <c r="W104" s="5">
        <v>3.5236333019477202E-7</v>
      </c>
      <c r="X104" s="5">
        <v>3.5521295762400599E-7</v>
      </c>
      <c r="Y104" s="5">
        <v>3.66651639171118E-7</v>
      </c>
      <c r="Z104" s="5">
        <v>3.7846875513535402E-7</v>
      </c>
      <c r="AA104" s="5">
        <v>3.9061661929036899E-7</v>
      </c>
      <c r="AB104" s="5">
        <v>4.1053795036107601E-7</v>
      </c>
      <c r="AC104" s="5">
        <v>4.2934273204196102E-7</v>
      </c>
      <c r="AD104" s="5">
        <v>4.4504225779910698E-7</v>
      </c>
      <c r="AE104" s="5">
        <v>4.6328205661209099E-7</v>
      </c>
      <c r="AF104" s="5">
        <v>4.96317178165013E-7</v>
      </c>
      <c r="AG104" s="5">
        <v>5.2354650196474402E-7</v>
      </c>
      <c r="AH104" s="5">
        <v>5.4797771313137696E-7</v>
      </c>
      <c r="AI104" s="5">
        <v>5.1308409486057797E-7</v>
      </c>
    </row>
    <row r="105" spans="1:35" x14ac:dyDescent="0.25">
      <c r="A105" s="3" t="s">
        <v>110</v>
      </c>
      <c r="B105" s="3" t="s">
        <v>130</v>
      </c>
      <c r="C105" s="5">
        <v>6.7235379253237498E-8</v>
      </c>
      <c r="D105" s="5">
        <v>6.8063738077928403E-8</v>
      </c>
      <c r="E105" s="5">
        <v>6.7190173349584196E-8</v>
      </c>
      <c r="F105" s="5">
        <v>6.6374750781110203E-8</v>
      </c>
      <c r="G105" s="5">
        <v>5.5434150998191701E-8</v>
      </c>
      <c r="H105" s="5">
        <v>5.8196431767495801E-8</v>
      </c>
      <c r="I105" s="5">
        <v>6.1483286401728696E-8</v>
      </c>
      <c r="J105" s="5">
        <v>6.4313758167608204E-8</v>
      </c>
      <c r="K105" s="5">
        <v>7.7044692818027105E-8</v>
      </c>
      <c r="L105" s="5">
        <v>9.09034660532253E-8</v>
      </c>
      <c r="M105" s="5">
        <v>1.11221443947055E-7</v>
      </c>
      <c r="N105" s="5">
        <v>1.4309017159393E-7</v>
      </c>
      <c r="O105" s="5">
        <v>1.98130955074653E-7</v>
      </c>
      <c r="P105" s="5">
        <v>2.1782469321550199E-7</v>
      </c>
      <c r="Q105" s="5">
        <v>2.3899385956701499E-7</v>
      </c>
      <c r="R105" s="5">
        <v>2.5438491168471201E-7</v>
      </c>
      <c r="S105" s="5">
        <v>2.6703360406080201E-7</v>
      </c>
      <c r="T105" s="5">
        <v>2.8089946070839502E-7</v>
      </c>
      <c r="U105" s="5">
        <v>2.8980444990791901E-7</v>
      </c>
      <c r="V105" s="5">
        <v>3.0228255923908299E-7</v>
      </c>
      <c r="W105" s="5">
        <v>3.17098053074081E-7</v>
      </c>
      <c r="X105" s="5">
        <v>3.2344258760955901E-7</v>
      </c>
      <c r="Y105" s="5">
        <v>3.2777344173968398E-7</v>
      </c>
      <c r="Z105" s="5">
        <v>3.3215555239916702E-7</v>
      </c>
      <c r="AA105" s="5">
        <v>3.3660573340949398E-7</v>
      </c>
      <c r="AB105" s="5">
        <v>3.4613426804052302E-7</v>
      </c>
      <c r="AC105" s="5">
        <v>3.5445713974731701E-7</v>
      </c>
      <c r="AD105" s="5">
        <v>3.6022169508664802E-7</v>
      </c>
      <c r="AE105" s="5">
        <v>3.6554640148356201E-7</v>
      </c>
      <c r="AF105" s="5">
        <v>3.7829986039499101E-7</v>
      </c>
      <c r="AG105" s="5">
        <v>3.8456902138003399E-7</v>
      </c>
      <c r="AH105" s="5">
        <v>3.8401932848061101E-7</v>
      </c>
      <c r="AI105" s="5">
        <v>3.6854963965962899E-7</v>
      </c>
    </row>
    <row r="106" spans="1:35" x14ac:dyDescent="0.25">
      <c r="A106" s="3" t="s">
        <v>110</v>
      </c>
      <c r="B106" s="3" t="s">
        <v>131</v>
      </c>
      <c r="C106" s="5">
        <v>6.4177604993178503E-8</v>
      </c>
      <c r="D106" s="5">
        <v>6.5100433323808496E-8</v>
      </c>
      <c r="E106" s="5">
        <v>6.4452182900743398E-8</v>
      </c>
      <c r="F106" s="5">
        <v>6.3860941115930001E-8</v>
      </c>
      <c r="G106" s="5">
        <v>5.3691035572454699E-8</v>
      </c>
      <c r="H106" s="5">
        <v>5.6368998969669202E-8</v>
      </c>
      <c r="I106" s="5">
        <v>5.9553743520779499E-8</v>
      </c>
      <c r="J106" s="5">
        <v>6.2306367547565001E-8</v>
      </c>
      <c r="K106" s="5">
        <v>7.4399713974975298E-8</v>
      </c>
      <c r="L106" s="5">
        <v>8.74883512855543E-8</v>
      </c>
      <c r="M106" s="5">
        <v>1.0649338971351E-7</v>
      </c>
      <c r="N106" s="5">
        <v>1.35880684166882E-7</v>
      </c>
      <c r="O106" s="5">
        <v>1.8565840639555001E-7</v>
      </c>
      <c r="P106" s="5">
        <v>2.04059161063864E-7</v>
      </c>
      <c r="Q106" s="5">
        <v>2.2319472157109299E-7</v>
      </c>
      <c r="R106" s="5">
        <v>2.3729864282081901E-7</v>
      </c>
      <c r="S106" s="5">
        <v>2.4900665439783E-7</v>
      </c>
      <c r="T106" s="5">
        <v>2.6185598574178199E-7</v>
      </c>
      <c r="U106" s="5">
        <v>2.7041999701437399E-7</v>
      </c>
      <c r="V106" s="5">
        <v>2.7924271384718298E-7</v>
      </c>
      <c r="W106" s="5">
        <v>2.8823478446979499E-7</v>
      </c>
      <c r="X106" s="5">
        <v>2.9432984604259902E-7</v>
      </c>
      <c r="Y106" s="5">
        <v>2.9876612087153902E-7</v>
      </c>
      <c r="Z106" s="5">
        <v>3.03237155325084E-7</v>
      </c>
      <c r="AA106" s="5">
        <v>3.0799238721145799E-7</v>
      </c>
      <c r="AB106" s="5">
        <v>3.1707027127367798E-7</v>
      </c>
      <c r="AC106" s="5">
        <v>3.2540886877691399E-7</v>
      </c>
      <c r="AD106" s="5">
        <v>3.3187524410081797E-7</v>
      </c>
      <c r="AE106" s="5">
        <v>3.3841993373505901E-7</v>
      </c>
      <c r="AF106" s="5">
        <v>3.5224484993202502E-7</v>
      </c>
      <c r="AG106" s="5">
        <v>3.62232113334192E-7</v>
      </c>
      <c r="AH106" s="5">
        <v>3.7031861176446099E-7</v>
      </c>
      <c r="AI106" s="5">
        <v>3.6736157099014902E-7</v>
      </c>
    </row>
    <row r="107" spans="1:35" x14ac:dyDescent="0.25">
      <c r="A107" s="3" t="s">
        <v>110</v>
      </c>
      <c r="B107" s="3" t="s">
        <v>132</v>
      </c>
      <c r="C107" s="5">
        <v>6.1097634941042306E-8</v>
      </c>
      <c r="D107" s="5">
        <v>6.2121675407311004E-8</v>
      </c>
      <c r="E107" s="5">
        <v>6.1695865210989302E-8</v>
      </c>
      <c r="F107" s="5">
        <v>6.1316513853129202E-8</v>
      </c>
      <c r="G107" s="5">
        <v>5.1930903268463601E-8</v>
      </c>
      <c r="H107" s="5">
        <v>5.4555893340577699E-8</v>
      </c>
      <c r="I107" s="5">
        <v>5.7665855500638498E-8</v>
      </c>
      <c r="J107" s="5">
        <v>6.0364248457421902E-8</v>
      </c>
      <c r="K107" s="5">
        <v>7.18484216750889E-8</v>
      </c>
      <c r="L107" s="5">
        <v>8.4212369474074601E-8</v>
      </c>
      <c r="M107" s="5">
        <v>1.0200313368697301E-7</v>
      </c>
      <c r="N107" s="5">
        <v>1.2914757963082101E-7</v>
      </c>
      <c r="O107" s="5">
        <v>1.7415608936194101E-7</v>
      </c>
      <c r="P107" s="5">
        <v>1.9106949063768299E-7</v>
      </c>
      <c r="Q107" s="5">
        <v>2.0831494532947399E-7</v>
      </c>
      <c r="R107" s="5">
        <v>2.2118727419846699E-7</v>
      </c>
      <c r="S107" s="5">
        <v>2.3195145037350699E-7</v>
      </c>
      <c r="T107" s="5">
        <v>2.4376068966388401E-7</v>
      </c>
      <c r="U107" s="5">
        <v>2.51884873154062E-7</v>
      </c>
      <c r="V107" s="5">
        <v>2.6032735797947502E-7</v>
      </c>
      <c r="W107" s="5">
        <v>2.6876331404378301E-7</v>
      </c>
      <c r="X107" s="5">
        <v>2.7396837069008698E-7</v>
      </c>
      <c r="Y107" s="5">
        <v>2.77672768297663E-7</v>
      </c>
      <c r="Z107" s="5">
        <v>2.8124282616587502E-7</v>
      </c>
      <c r="AA107" s="5">
        <v>2.8493495322548098E-7</v>
      </c>
      <c r="AB107" s="5">
        <v>2.92076429178267E-7</v>
      </c>
      <c r="AC107" s="5">
        <v>2.98264744209858E-7</v>
      </c>
      <c r="AD107" s="5">
        <v>3.0301855727871299E-7</v>
      </c>
      <c r="AE107" s="5">
        <v>3.0945131106828499E-7</v>
      </c>
      <c r="AF107" s="5">
        <v>3.2226286048551799E-7</v>
      </c>
      <c r="AG107" s="5">
        <v>3.3235654772956299E-7</v>
      </c>
      <c r="AH107" s="5">
        <v>3.42037529380779E-7</v>
      </c>
      <c r="AI107" s="5">
        <v>3.4679343290262298E-7</v>
      </c>
    </row>
    <row r="108" spans="1:35" x14ac:dyDescent="0.25">
      <c r="A108" s="3" t="s">
        <v>110</v>
      </c>
      <c r="B108" s="3" t="s">
        <v>133</v>
      </c>
      <c r="C108" s="5">
        <v>6.0205613360379302E-8</v>
      </c>
      <c r="D108" s="5">
        <v>6.1242508082102496E-8</v>
      </c>
      <c r="E108" s="5">
        <v>6.0865990174142298E-8</v>
      </c>
      <c r="F108" s="5">
        <v>6.0533714878501703E-8</v>
      </c>
      <c r="G108" s="5">
        <v>5.1375965825720899E-8</v>
      </c>
      <c r="H108" s="5">
        <v>5.3974640554844303E-8</v>
      </c>
      <c r="I108" s="5">
        <v>5.7050090363596397E-8</v>
      </c>
      <c r="J108" s="5">
        <v>5.9731305516512395E-8</v>
      </c>
      <c r="K108" s="5">
        <v>7.1046637222924905E-8</v>
      </c>
      <c r="L108" s="5">
        <v>8.3222245564928099E-8</v>
      </c>
      <c r="M108" s="5">
        <v>1.0068739324272201E-7</v>
      </c>
      <c r="N108" s="5">
        <v>1.2719463839465201E-7</v>
      </c>
      <c r="O108" s="5">
        <v>1.70875504921078E-7</v>
      </c>
      <c r="P108" s="5">
        <v>1.8728265873173599E-7</v>
      </c>
      <c r="Q108" s="5">
        <v>2.0398592066661399E-7</v>
      </c>
      <c r="R108" s="5">
        <v>2.1649716234246999E-7</v>
      </c>
      <c r="S108" s="5">
        <v>2.2697662618817401E-7</v>
      </c>
      <c r="T108" s="5">
        <v>2.3846972870186702E-7</v>
      </c>
      <c r="U108" s="5">
        <v>2.4644025732530402E-7</v>
      </c>
      <c r="V108" s="5">
        <v>2.5474007763680898E-7</v>
      </c>
      <c r="W108" s="5">
        <v>2.63049186115063E-7</v>
      </c>
      <c r="X108" s="5">
        <v>2.6829084013011798E-7</v>
      </c>
      <c r="Y108" s="5">
        <v>2.7211417348650101E-7</v>
      </c>
      <c r="Z108" s="5">
        <v>2.7583406081403399E-7</v>
      </c>
      <c r="AA108" s="5">
        <v>2.7972094635728698E-7</v>
      </c>
      <c r="AB108" s="5">
        <v>2.8699932085228999E-7</v>
      </c>
      <c r="AC108" s="5">
        <v>2.9346389937072302E-7</v>
      </c>
      <c r="AD108" s="5">
        <v>2.9806157553090702E-7</v>
      </c>
      <c r="AE108" s="5">
        <v>3.0338424263613502E-7</v>
      </c>
      <c r="AF108" s="5">
        <v>3.1423769979280198E-7</v>
      </c>
      <c r="AG108" s="5">
        <v>3.2232743060100402E-7</v>
      </c>
      <c r="AH108" s="5">
        <v>3.3134844863199399E-7</v>
      </c>
      <c r="AI108" s="5">
        <v>3.3521409730565399E-7</v>
      </c>
    </row>
    <row r="109" spans="1:35" x14ac:dyDescent="0.25">
      <c r="A109" s="3" t="s">
        <v>110</v>
      </c>
      <c r="B109" s="3" t="s">
        <v>134</v>
      </c>
      <c r="C109" s="5">
        <v>5.9337074385880299E-8</v>
      </c>
      <c r="D109" s="5">
        <v>6.03855448868567E-8</v>
      </c>
      <c r="E109" s="5">
        <v>6.0056568025358195E-8</v>
      </c>
      <c r="F109" s="5">
        <v>5.9769031887332304E-8</v>
      </c>
      <c r="G109" s="5">
        <v>5.0831926902507197E-8</v>
      </c>
      <c r="H109" s="5">
        <v>5.3404874645986303E-8</v>
      </c>
      <c r="I109" s="5">
        <v>5.6446593292093801E-8</v>
      </c>
      <c r="J109" s="5">
        <v>5.9101922811319097E-8</v>
      </c>
      <c r="K109" s="5">
        <v>7.02245307841016E-8</v>
      </c>
      <c r="L109" s="5">
        <v>8.2172674337654305E-8</v>
      </c>
      <c r="M109" s="5">
        <v>9.9287545668694898E-8</v>
      </c>
      <c r="N109" s="5">
        <v>1.25249608574837E-7</v>
      </c>
      <c r="O109" s="5">
        <v>1.6771288651170599E-7</v>
      </c>
      <c r="P109" s="5">
        <v>1.83585443212228E-7</v>
      </c>
      <c r="Q109" s="5">
        <v>1.9976242954587801E-7</v>
      </c>
      <c r="R109" s="5">
        <v>2.11919465046253E-7</v>
      </c>
      <c r="S109" s="5">
        <v>2.2211605822573301E-7</v>
      </c>
      <c r="T109" s="5">
        <v>2.33293673871495E-7</v>
      </c>
      <c r="U109" s="5">
        <v>2.4110179638154299E-7</v>
      </c>
      <c r="V109" s="5">
        <v>2.4924651326112002E-7</v>
      </c>
      <c r="W109" s="5">
        <v>2.5741179903030497E-7</v>
      </c>
      <c r="X109" s="5">
        <v>2.6266273974606199E-7</v>
      </c>
      <c r="Y109" s="5">
        <v>2.6657050842874799E-7</v>
      </c>
      <c r="Z109" s="5">
        <v>2.7039950851548398E-7</v>
      </c>
      <c r="AA109" s="5">
        <v>2.7443179295641798E-7</v>
      </c>
      <c r="AB109" s="5">
        <v>2.8178545118091898E-7</v>
      </c>
      <c r="AC109" s="5">
        <v>2.8844716095158602E-7</v>
      </c>
      <c r="AD109" s="5">
        <v>2.9342642862175301E-7</v>
      </c>
      <c r="AE109" s="5">
        <v>2.9929748170907601E-7</v>
      </c>
      <c r="AF109" s="5">
        <v>3.1091591217287299E-7</v>
      </c>
      <c r="AG109" s="5">
        <v>3.1894984178989299E-7</v>
      </c>
      <c r="AH109" s="5">
        <v>3.2269340936236601E-7</v>
      </c>
      <c r="AI109" s="5">
        <v>3.21187700750945E-7</v>
      </c>
    </row>
    <row r="110" spans="1:35" x14ac:dyDescent="0.25">
      <c r="A110" s="3" t="s">
        <v>110</v>
      </c>
      <c r="B110" s="3" t="s">
        <v>105</v>
      </c>
      <c r="C110" s="5">
        <v>4.3300665194876302E-8</v>
      </c>
      <c r="D110" s="5">
        <v>4.7058288033999402E-8</v>
      </c>
      <c r="E110" s="5">
        <v>4.8319595285550998E-8</v>
      </c>
      <c r="F110" s="5">
        <v>5.0080695571306798E-8</v>
      </c>
      <c r="G110" s="5">
        <v>4.6596627070709702E-8</v>
      </c>
      <c r="H110" s="5">
        <v>4.9957557226587498E-8</v>
      </c>
      <c r="I110" s="5">
        <v>5.4186787679311201E-8</v>
      </c>
      <c r="J110" s="5">
        <v>5.8416311858981202E-8</v>
      </c>
      <c r="K110" s="5">
        <v>8.2079987071671002E-8</v>
      </c>
      <c r="L110" s="5">
        <v>1.10401448386449E-7</v>
      </c>
      <c r="M110" s="5">
        <v>1.55556301700055E-7</v>
      </c>
      <c r="N110" s="5">
        <v>2.35342316216852E-7</v>
      </c>
      <c r="O110" s="5">
        <v>3.9472931134947598E-7</v>
      </c>
      <c r="P110" s="5">
        <v>4.50252553091547E-7</v>
      </c>
      <c r="Q110" s="5">
        <v>5.1425917882089005E-7</v>
      </c>
      <c r="R110" s="5">
        <v>5.5700444148429102E-7</v>
      </c>
      <c r="S110" s="5">
        <v>5.9097556585941405E-7</v>
      </c>
      <c r="T110" s="5">
        <v>6.2976737116682197E-7</v>
      </c>
      <c r="U110" s="5">
        <v>6.4996706887991296E-7</v>
      </c>
      <c r="V110" s="5">
        <v>6.7097471647224002E-7</v>
      </c>
      <c r="W110" s="5">
        <v>6.9288824633381505E-7</v>
      </c>
      <c r="X110" s="5">
        <v>6.9514289016784198E-7</v>
      </c>
      <c r="Y110" s="5">
        <v>7.0521471868293605E-7</v>
      </c>
      <c r="Z110" s="5">
        <v>7.1452548619741502E-7</v>
      </c>
      <c r="AA110" s="5">
        <v>7.2431061212245402E-7</v>
      </c>
      <c r="AB110" s="5">
        <v>7.5179933613211699E-7</v>
      </c>
      <c r="AC110" s="5">
        <v>7.7410899806233999E-7</v>
      </c>
      <c r="AD110" s="5">
        <v>7.8814334534348798E-7</v>
      </c>
      <c r="AE110" s="5">
        <v>8.0504703491674997E-7</v>
      </c>
      <c r="AF110" s="5">
        <v>8.5109160964607104E-7</v>
      </c>
      <c r="AG110" s="5">
        <v>8.8059871242719998E-7</v>
      </c>
      <c r="AH110" s="5">
        <v>9.0024463632571E-7</v>
      </c>
      <c r="AI110" s="5">
        <v>8.9958493694149599E-7</v>
      </c>
    </row>
    <row r="111" spans="1:35" x14ac:dyDescent="0.25">
      <c r="A111" s="3" t="s">
        <v>110</v>
      </c>
      <c r="B111" s="3" t="s">
        <v>106</v>
      </c>
      <c r="C111" s="6"/>
      <c r="D111" s="6"/>
      <c r="E111" s="6"/>
      <c r="F111" s="6"/>
      <c r="G111" s="6"/>
      <c r="H111" s="6"/>
      <c r="I111" s="6"/>
      <c r="J111" s="6"/>
      <c r="K111" s="6"/>
      <c r="L111" s="6"/>
      <c r="M111" s="6"/>
      <c r="N111" s="6"/>
      <c r="O111" s="6"/>
      <c r="P111" s="6"/>
      <c r="Q111" s="6"/>
      <c r="R111" s="6"/>
      <c r="S111" s="6"/>
      <c r="T111" s="6"/>
      <c r="U111" s="6"/>
      <c r="V111" s="6"/>
      <c r="W111" s="6"/>
      <c r="X111" s="6"/>
      <c r="Y111" s="6"/>
      <c r="Z111" s="6"/>
      <c r="AA111" s="5">
        <v>1.0163035856341101E-8</v>
      </c>
      <c r="AB111" s="5">
        <v>1.1397249339395399E-8</v>
      </c>
      <c r="AC111" s="5">
        <v>1.18289421212128E-8</v>
      </c>
      <c r="AD111" s="5">
        <v>1.21743663185769E-8</v>
      </c>
      <c r="AE111" s="5">
        <v>1.26189888012358E-8</v>
      </c>
      <c r="AF111" s="5">
        <v>1.1972749690333E-8</v>
      </c>
      <c r="AG111" s="5">
        <v>1.3068744381579301E-8</v>
      </c>
      <c r="AH111" s="5">
        <v>1.46709303034162E-8</v>
      </c>
      <c r="AI111" s="5">
        <v>1.6594631038694601E-8</v>
      </c>
    </row>
    <row r="112" spans="1:35" x14ac:dyDescent="0.25">
      <c r="A112" s="3" t="s">
        <v>135</v>
      </c>
      <c r="B112" s="3" t="s">
        <v>136</v>
      </c>
      <c r="C112" s="5">
        <v>2.9673315852320602E-8</v>
      </c>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5">
        <v>1.1202546423463801E-8</v>
      </c>
    </row>
    <row r="113" spans="1:35" x14ac:dyDescent="0.25">
      <c r="A113" s="3" t="s">
        <v>135</v>
      </c>
      <c r="B113" s="3" t="s">
        <v>137</v>
      </c>
      <c r="C113" s="6"/>
      <c r="D113" s="6"/>
      <c r="E113" s="6"/>
      <c r="F113" s="6"/>
      <c r="G113" s="6"/>
      <c r="H113" s="6"/>
      <c r="I113" s="6"/>
      <c r="J113" s="6"/>
      <c r="K113" s="5">
        <v>1.31503311388455E-8</v>
      </c>
      <c r="L113" s="5">
        <v>1.96423324657233E-8</v>
      </c>
      <c r="M113" s="5">
        <v>2.3440294706769801E-8</v>
      </c>
      <c r="N113" s="5">
        <v>2.8650505455086299E-8</v>
      </c>
      <c r="O113" s="5">
        <v>3.7709874662590601E-8</v>
      </c>
      <c r="P113" s="5">
        <v>4.0651445092975098E-8</v>
      </c>
      <c r="Q113" s="5">
        <v>4.3564240932521398E-8</v>
      </c>
      <c r="R113" s="5">
        <v>4.5358085245248297E-8</v>
      </c>
      <c r="S113" s="5">
        <v>4.6607143368703699E-8</v>
      </c>
      <c r="T113" s="5">
        <v>4.51511601904475E-8</v>
      </c>
      <c r="U113" s="5">
        <v>4.2797379702279703E-8</v>
      </c>
      <c r="V113" s="5">
        <v>4.1141229389582502E-8</v>
      </c>
      <c r="W113" s="5">
        <v>3.9922985723018699E-8</v>
      </c>
      <c r="X113" s="5">
        <v>3.8716642795490602E-8</v>
      </c>
      <c r="Y113" s="5">
        <v>3.8373072578808601E-8</v>
      </c>
      <c r="Z113" s="5">
        <v>3.79739664251632E-8</v>
      </c>
      <c r="AA113" s="5">
        <v>3.7395087535902701E-8</v>
      </c>
      <c r="AB113" s="5">
        <v>3.7992044134946398E-8</v>
      </c>
      <c r="AC113" s="5">
        <v>3.7673030951168897E-8</v>
      </c>
      <c r="AD113" s="5">
        <v>3.6494893543969402E-8</v>
      </c>
      <c r="AE113" s="5">
        <v>3.6840808600225E-8</v>
      </c>
      <c r="AF113" s="5">
        <v>3.9247682737950297E-8</v>
      </c>
      <c r="AG113" s="5">
        <v>4.26186931878842E-8</v>
      </c>
      <c r="AH113" s="5">
        <v>5.2370168547358301E-8</v>
      </c>
      <c r="AI113" s="5">
        <v>6.1851716541714699E-8</v>
      </c>
    </row>
    <row r="114" spans="1:35" x14ac:dyDescent="0.25">
      <c r="A114" s="3" t="s">
        <v>135</v>
      </c>
      <c r="B114" s="3" t="s">
        <v>138</v>
      </c>
      <c r="C114" s="6"/>
      <c r="D114" s="6"/>
      <c r="E114" s="6"/>
      <c r="F114" s="6"/>
      <c r="G114" s="6"/>
      <c r="H114" s="6"/>
      <c r="I114" s="6"/>
      <c r="J114" s="6"/>
      <c r="K114" s="6"/>
      <c r="L114" s="6"/>
      <c r="M114" s="6"/>
      <c r="N114" s="6"/>
      <c r="O114" s="5">
        <v>1.0574736326706E-8</v>
      </c>
      <c r="P114" s="5">
        <v>1.1335528242383399E-8</v>
      </c>
      <c r="Q114" s="5">
        <v>1.1928842304215699E-8</v>
      </c>
      <c r="R114" s="5">
        <v>1.2590541947257999E-8</v>
      </c>
      <c r="S114" s="5">
        <v>1.31711579986381E-8</v>
      </c>
      <c r="T114" s="5">
        <v>1.3900355073059801E-8</v>
      </c>
      <c r="U114" s="5">
        <v>1.41832356818853E-8</v>
      </c>
      <c r="V114" s="5">
        <v>1.44966376628928E-8</v>
      </c>
      <c r="W114" s="5">
        <v>1.4832857746600899E-8</v>
      </c>
      <c r="X114" s="5">
        <v>1.4707506288321401E-8</v>
      </c>
      <c r="Y114" s="5">
        <v>1.4914365369732801E-8</v>
      </c>
      <c r="Z114" s="5">
        <v>1.51546846299878E-8</v>
      </c>
      <c r="AA114" s="5">
        <v>1.54257214711311E-8</v>
      </c>
      <c r="AB114" s="5">
        <v>1.6600467922113901E-8</v>
      </c>
      <c r="AC114" s="5">
        <v>1.7329355453082301E-8</v>
      </c>
      <c r="AD114" s="5">
        <v>1.7876017056679801E-8</v>
      </c>
      <c r="AE114" s="5">
        <v>1.8679693824572801E-8</v>
      </c>
      <c r="AF114" s="5">
        <v>2.0316433104174799E-8</v>
      </c>
      <c r="AG114" s="5">
        <v>2.2448201388711001E-8</v>
      </c>
      <c r="AH114" s="5">
        <v>2.5898243619555099E-8</v>
      </c>
      <c r="AI114" s="5">
        <v>4.2902810978011898E-8</v>
      </c>
    </row>
    <row r="115" spans="1:35" x14ac:dyDescent="0.25">
      <c r="A115" s="3" t="s">
        <v>135</v>
      </c>
      <c r="B115" s="3" t="s">
        <v>139</v>
      </c>
      <c r="C115" s="6"/>
      <c r="D115" s="6"/>
      <c r="E115" s="6"/>
      <c r="F115" s="6"/>
      <c r="G115" s="6"/>
      <c r="H115" s="6"/>
      <c r="I115" s="6"/>
      <c r="J115" s="6"/>
      <c r="K115" s="6"/>
      <c r="L115" s="6"/>
      <c r="M115" s="6"/>
      <c r="N115" s="6"/>
      <c r="O115" s="5">
        <v>1.08441831314008E-8</v>
      </c>
      <c r="P115" s="5">
        <v>1.12066482195555E-8</v>
      </c>
      <c r="Q115" s="5">
        <v>1.11497198101489E-8</v>
      </c>
      <c r="R115" s="5">
        <v>1.137629001688E-8</v>
      </c>
      <c r="S115" s="5">
        <v>1.16617562736872E-8</v>
      </c>
      <c r="T115" s="5">
        <v>1.2024955882659801E-8</v>
      </c>
      <c r="U115" s="5">
        <v>1.22175713425744E-8</v>
      </c>
      <c r="V115" s="5">
        <v>1.24569880330403E-8</v>
      </c>
      <c r="W115" s="5">
        <v>1.2728775404183299E-8</v>
      </c>
      <c r="X115" s="5">
        <v>1.2745115367483201E-8</v>
      </c>
      <c r="Y115" s="5">
        <v>1.29738998224316E-8</v>
      </c>
      <c r="Z115" s="5">
        <v>1.3238552414509899E-8</v>
      </c>
      <c r="AA115" s="5">
        <v>1.35413430669226E-8</v>
      </c>
      <c r="AB115" s="5">
        <v>1.4190993490085799E-8</v>
      </c>
      <c r="AC115" s="5">
        <v>1.4843989048039399E-8</v>
      </c>
      <c r="AD115" s="5">
        <v>1.5449955133606201E-8</v>
      </c>
      <c r="AE115" s="5">
        <v>1.6299720477601599E-8</v>
      </c>
      <c r="AF115" s="5">
        <v>1.8072067036913599E-8</v>
      </c>
      <c r="AG115" s="5">
        <v>2.0143032517101899E-8</v>
      </c>
      <c r="AH115" s="5">
        <v>2.31193223193078E-8</v>
      </c>
      <c r="AI115" s="5">
        <v>3.5768004935687102E-8</v>
      </c>
    </row>
    <row r="116" spans="1:35" x14ac:dyDescent="0.25">
      <c r="A116" s="3" t="s">
        <v>135</v>
      </c>
      <c r="B116" s="3" t="s">
        <v>140</v>
      </c>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5">
        <v>1.01226293935909E-8</v>
      </c>
      <c r="AF116" s="5">
        <v>1.04201384164273E-8</v>
      </c>
      <c r="AG116" s="5">
        <v>1.06765947385572E-8</v>
      </c>
      <c r="AH116" s="5">
        <v>1.11964384217717E-8</v>
      </c>
      <c r="AI116" s="5">
        <v>1.1618876324439499E-8</v>
      </c>
    </row>
    <row r="117" spans="1:35" x14ac:dyDescent="0.25">
      <c r="A117" s="3" t="s">
        <v>135</v>
      </c>
      <c r="B117" s="3" t="s">
        <v>141</v>
      </c>
      <c r="C117" s="5">
        <v>4.5489382992127998E-8</v>
      </c>
      <c r="D117" s="5">
        <v>0.21320810870446999</v>
      </c>
      <c r="E117" s="5">
        <v>4.6431212631974E-2</v>
      </c>
      <c r="F117" s="6"/>
      <c r="G117" s="6"/>
      <c r="H117" s="5">
        <v>1.0717067277697701</v>
      </c>
      <c r="I117" s="5">
        <v>3.8438602963355</v>
      </c>
      <c r="J117" s="5">
        <v>4.1617901380446396</v>
      </c>
      <c r="K117" s="5">
        <v>3.68515041182726</v>
      </c>
      <c r="L117" s="5">
        <v>3.0725831869915399</v>
      </c>
      <c r="M117" s="5">
        <v>2.74656382082253</v>
      </c>
      <c r="N117" s="5">
        <v>8.4006771824046496</v>
      </c>
      <c r="O117" s="5">
        <v>4.2391035679224702E-8</v>
      </c>
      <c r="P117" s="5">
        <v>1.2987227597678401E-8</v>
      </c>
      <c r="Q117" s="6"/>
      <c r="R117" s="6"/>
      <c r="S117" s="6"/>
      <c r="T117" s="6"/>
      <c r="U117" s="6"/>
      <c r="V117" s="6"/>
      <c r="W117" s="6"/>
      <c r="X117" s="6"/>
      <c r="Y117" s="6"/>
      <c r="Z117" s="6"/>
      <c r="AA117" s="6"/>
      <c r="AB117" s="6"/>
      <c r="AC117" s="6"/>
      <c r="AD117" s="6"/>
      <c r="AE117" s="6"/>
      <c r="AF117" s="6"/>
      <c r="AG117" s="6"/>
      <c r="AH117" s="6"/>
      <c r="AI117" s="5">
        <v>1.38053363603909E-8</v>
      </c>
    </row>
    <row r="118" spans="1:35" x14ac:dyDescent="0.25">
      <c r="A118" s="3" t="s">
        <v>135</v>
      </c>
      <c r="B118" s="3" t="s">
        <v>142</v>
      </c>
      <c r="C118" s="5">
        <v>2.2961187477682401E-8</v>
      </c>
      <c r="D118" s="5">
        <v>2.24059722268681E-8</v>
      </c>
      <c r="E118" s="5">
        <v>1.91990112043611E-8</v>
      </c>
      <c r="F118" s="5">
        <v>1.7082135534799901E-8</v>
      </c>
      <c r="G118" s="5">
        <v>1.7084959454058001E-8</v>
      </c>
      <c r="H118" s="5">
        <v>1.8414316857957601E-8</v>
      </c>
      <c r="I118" s="5">
        <v>2.0613975102995299E-8</v>
      </c>
      <c r="J118" s="5">
        <v>2.3151393699053502E-8</v>
      </c>
      <c r="K118" s="5">
        <v>4.9539395473086299E-8</v>
      </c>
      <c r="L118" s="5">
        <v>2.54603993088574</v>
      </c>
      <c r="M118" s="5">
        <v>7.8386184000280297</v>
      </c>
      <c r="N118" s="5">
        <v>8.0737710314561806</v>
      </c>
      <c r="O118" s="5">
        <v>8.3173487327101707</v>
      </c>
      <c r="P118" s="5">
        <v>8.5652559789172802</v>
      </c>
      <c r="Q118" s="5">
        <v>8.2705340393255593</v>
      </c>
      <c r="R118" s="5">
        <v>1.6079320625590501</v>
      </c>
      <c r="S118" s="5">
        <v>3.8081748882490101</v>
      </c>
      <c r="T118" s="5">
        <v>3.3952836324444298E-7</v>
      </c>
      <c r="U118" s="5">
        <v>1.7035539166097801E-7</v>
      </c>
      <c r="V118" s="5">
        <v>1.20435155204569E-7</v>
      </c>
      <c r="W118" s="5">
        <v>9.6957323845716797E-8</v>
      </c>
      <c r="X118" s="5">
        <v>8.5555838919229996E-8</v>
      </c>
      <c r="Y118" s="5">
        <v>8.0494514205276494E-8</v>
      </c>
      <c r="Z118" s="5">
        <v>7.5753676426747197E-8</v>
      </c>
      <c r="AA118" s="5">
        <v>7.08857087153015E-8</v>
      </c>
      <c r="AB118" s="5">
        <v>7.1734896657392402E-8</v>
      </c>
      <c r="AC118" s="5">
        <v>6.8931028068270901E-8</v>
      </c>
      <c r="AD118" s="5">
        <v>6.3163941868959805E-8</v>
      </c>
      <c r="AE118" s="5">
        <v>6.2952698561090901E-8</v>
      </c>
      <c r="AF118" s="5">
        <v>7.44887217441763E-8</v>
      </c>
      <c r="AG118" s="5">
        <v>8.5208124892123599E-8</v>
      </c>
      <c r="AH118" s="5">
        <v>1.0102266538909299E-7</v>
      </c>
      <c r="AI118" s="5">
        <v>9.7436451039399295E-8</v>
      </c>
    </row>
    <row r="119" spans="1:35" x14ac:dyDescent="0.25">
      <c r="A119" s="3" t="s">
        <v>135</v>
      </c>
      <c r="B119" s="3" t="s">
        <v>143</v>
      </c>
      <c r="C119" s="5">
        <v>3.3319045240267999</v>
      </c>
      <c r="D119" s="5">
        <v>2.8231965409148598E-7</v>
      </c>
      <c r="E119" s="6"/>
      <c r="F119" s="6"/>
      <c r="G119" s="6"/>
      <c r="H119" s="6"/>
      <c r="I119" s="6"/>
      <c r="J119" s="6"/>
      <c r="K119" s="6"/>
      <c r="L119" s="6"/>
      <c r="M119" s="6"/>
      <c r="N119" s="6"/>
      <c r="O119" s="5">
        <v>1.54149861101257E-8</v>
      </c>
      <c r="P119" s="5">
        <v>1.7213106223293198E-8</v>
      </c>
      <c r="Q119" s="5">
        <v>2.00810556920961E-8</v>
      </c>
      <c r="R119" s="5">
        <v>2.40793179502113E-8</v>
      </c>
      <c r="S119" s="5">
        <v>2.7689001893695298E-8</v>
      </c>
      <c r="T119" s="5">
        <v>3.3481011230418499E-8</v>
      </c>
      <c r="U119" s="5">
        <v>3.4471358666912297E-8</v>
      </c>
      <c r="V119" s="5">
        <v>3.5335785035427703E-8</v>
      </c>
      <c r="W119" s="5">
        <v>3.62473599653172E-8</v>
      </c>
      <c r="X119" s="5">
        <v>3.2452084872511002E-8</v>
      </c>
      <c r="Y119" s="5">
        <v>3.1439131027550501E-8</v>
      </c>
      <c r="Z119" s="5">
        <v>3.0700084228836397E-8</v>
      </c>
      <c r="AA119" s="5">
        <v>3.0138646974980797E-8</v>
      </c>
      <c r="AB119" s="5">
        <v>3.2935543165884601E-8</v>
      </c>
      <c r="AC119" s="5">
        <v>3.49451337297892E-8</v>
      </c>
      <c r="AD119" s="5">
        <v>3.49193032988306E-8</v>
      </c>
      <c r="AE119" s="5">
        <v>3.61732920879475E-8</v>
      </c>
      <c r="AF119" s="5">
        <v>4.57971186315899E-8</v>
      </c>
      <c r="AG119" s="5">
        <v>5.33299532264061E-8</v>
      </c>
      <c r="AH119" s="5">
        <v>6.0993534205021506E-8</v>
      </c>
      <c r="AI119" s="5">
        <v>8.2118010267464594E-8</v>
      </c>
    </row>
    <row r="120" spans="1:35" x14ac:dyDescent="0.25">
      <c r="A120" s="3" t="s">
        <v>135</v>
      </c>
      <c r="B120" s="3" t="s">
        <v>144</v>
      </c>
      <c r="C120" s="5">
        <v>1.2050070160106799E-8</v>
      </c>
      <c r="D120" s="5">
        <v>1.13807122311317E-8</v>
      </c>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5">
        <v>1.0463571864801501E-8</v>
      </c>
      <c r="AF120" s="5">
        <v>1.13764115922921E-8</v>
      </c>
      <c r="AG120" s="5">
        <v>1.23462446752322E-8</v>
      </c>
      <c r="AH120" s="5">
        <v>1.42398715253157E-8</v>
      </c>
      <c r="AI120" s="5">
        <v>1.81404722487046E-8</v>
      </c>
    </row>
    <row r="121" spans="1:35" x14ac:dyDescent="0.25">
      <c r="A121" s="3" t="s">
        <v>135</v>
      </c>
      <c r="B121" s="3" t="s">
        <v>145</v>
      </c>
      <c r="C121" s="5">
        <v>8.1276000242176902</v>
      </c>
      <c r="D121" s="5">
        <v>5.7080919206605696</v>
      </c>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spans="1:35" x14ac:dyDescent="0.25">
      <c r="A122" s="3" t="s">
        <v>135</v>
      </c>
      <c r="B122" s="3" t="s">
        <v>146</v>
      </c>
      <c r="C122" s="6"/>
      <c r="D122" s="6"/>
      <c r="E122" s="6"/>
      <c r="F122" s="6"/>
      <c r="G122" s="6"/>
      <c r="H122" s="6"/>
      <c r="I122" s="6"/>
      <c r="J122" s="6"/>
      <c r="K122" s="6"/>
      <c r="L122" s="6"/>
      <c r="M122" s="6"/>
      <c r="N122" s="5">
        <v>1.0737514528582899E-8</v>
      </c>
      <c r="O122" s="5">
        <v>1.6264624815935201E-8</v>
      </c>
      <c r="P122" s="5">
        <v>1.61399280763042E-8</v>
      </c>
      <c r="Q122" s="5">
        <v>1.55586198006442E-8</v>
      </c>
      <c r="R122" s="5">
        <v>1.65591054053405E-8</v>
      </c>
      <c r="S122" s="5">
        <v>1.76321172720969E-8</v>
      </c>
      <c r="T122" s="5">
        <v>1.91148301746706E-8</v>
      </c>
      <c r="U122" s="5">
        <v>1.9458429494588599E-8</v>
      </c>
      <c r="V122" s="5">
        <v>1.9829726688885101E-8</v>
      </c>
      <c r="W122" s="5">
        <v>2.02664761974201E-8</v>
      </c>
      <c r="X122" s="5">
        <v>1.9606250111039601E-8</v>
      </c>
      <c r="Y122" s="5">
        <v>1.9625563967522599E-8</v>
      </c>
      <c r="Z122" s="5">
        <v>1.97206659824932E-8</v>
      </c>
      <c r="AA122" s="5">
        <v>1.98814030069149E-8</v>
      </c>
      <c r="AB122" s="5">
        <v>2.1102865869915099E-8</v>
      </c>
      <c r="AC122" s="5">
        <v>2.2083202227892201E-8</v>
      </c>
      <c r="AD122" s="5">
        <v>2.2873873914768699E-8</v>
      </c>
      <c r="AE122" s="5">
        <v>2.3934475858649799E-8</v>
      </c>
      <c r="AF122" s="5">
        <v>2.73443263591417E-8</v>
      </c>
      <c r="AG122" s="5">
        <v>3.0592031250706903E-8</v>
      </c>
      <c r="AH122" s="5">
        <v>3.48501784471963E-8</v>
      </c>
      <c r="AI122" s="5">
        <v>4.5994102665324899E-8</v>
      </c>
    </row>
    <row r="123" spans="1:35" x14ac:dyDescent="0.25">
      <c r="A123" s="3" t="s">
        <v>135</v>
      </c>
      <c r="B123" s="3" t="s">
        <v>147</v>
      </c>
      <c r="C123" s="6"/>
      <c r="D123" s="6"/>
      <c r="E123" s="6"/>
      <c r="F123" s="6"/>
      <c r="G123" s="6"/>
      <c r="H123" s="6"/>
      <c r="I123" s="6"/>
      <c r="J123" s="6"/>
      <c r="K123" s="6"/>
      <c r="L123" s="6"/>
      <c r="M123" s="6"/>
      <c r="N123" s="6"/>
      <c r="O123" s="6"/>
      <c r="P123" s="6"/>
      <c r="Q123" s="6"/>
      <c r="R123" s="6"/>
      <c r="S123" s="6"/>
      <c r="T123" s="6"/>
      <c r="U123" s="6"/>
      <c r="V123" s="6"/>
      <c r="W123" s="6"/>
      <c r="X123" s="6"/>
      <c r="Y123" s="6"/>
      <c r="Z123" s="6"/>
      <c r="AA123" s="5">
        <v>1.02356507469547E-8</v>
      </c>
      <c r="AB123" s="5">
        <v>1.0463339690505599E-8</v>
      </c>
      <c r="AC123" s="5">
        <v>1.0637775362248101E-8</v>
      </c>
      <c r="AD123" s="5">
        <v>1.10357528433799E-8</v>
      </c>
      <c r="AE123" s="5">
        <v>1.13657909959293E-8</v>
      </c>
      <c r="AF123" s="5">
        <v>1.1794053212194201E-8</v>
      </c>
      <c r="AG123" s="5">
        <v>1.22087220413803E-8</v>
      </c>
      <c r="AH123" s="5">
        <v>1.26513454592348E-8</v>
      </c>
      <c r="AI123" s="5">
        <v>1.1998312701122701E-8</v>
      </c>
    </row>
    <row r="124" spans="1:35" x14ac:dyDescent="0.25">
      <c r="A124" s="3" t="s">
        <v>148</v>
      </c>
      <c r="B124" s="3" t="s">
        <v>149</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5">
        <v>1.11263468721061E-8</v>
      </c>
      <c r="AG124" s="5">
        <v>1.43731766143212E-8</v>
      </c>
      <c r="AH124" s="5">
        <v>2.1293962331056101E-8</v>
      </c>
      <c r="AI124" s="5">
        <v>4.4609943742344597E-8</v>
      </c>
    </row>
    <row r="125" spans="1:35" x14ac:dyDescent="0.25">
      <c r="A125" s="3" t="s">
        <v>148</v>
      </c>
      <c r="B125" s="3" t="s">
        <v>150</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5">
        <v>1.151780691787E-8</v>
      </c>
      <c r="AG125" s="5">
        <v>1.4784609151192599E-8</v>
      </c>
      <c r="AH125" s="5">
        <v>2.15927948196586E-8</v>
      </c>
      <c r="AI125" s="5">
        <v>4.2503969682107097E-8</v>
      </c>
    </row>
    <row r="126" spans="1:35" x14ac:dyDescent="0.25">
      <c r="A126" s="3" t="s">
        <v>148</v>
      </c>
      <c r="B126" s="3" t="s">
        <v>151</v>
      </c>
      <c r="C126" s="5">
        <v>1.4656570524458901</v>
      </c>
      <c r="D126" s="5">
        <v>0.41955889363576898</v>
      </c>
      <c r="E126" s="6"/>
      <c r="F126" s="6"/>
      <c r="G126" s="6"/>
      <c r="H126" s="6"/>
      <c r="I126" s="6"/>
      <c r="J126" s="6"/>
      <c r="K126" s="6"/>
      <c r="L126" s="6"/>
      <c r="M126" s="6"/>
      <c r="N126" s="6"/>
      <c r="O126" s="6"/>
      <c r="P126" s="5">
        <v>0.44463604711407601</v>
      </c>
      <c r="Q126" s="5">
        <v>0.46046896912073598</v>
      </c>
      <c r="R126" s="5">
        <v>0.46046897696468903</v>
      </c>
      <c r="S126" s="5">
        <v>0.46046902019799202</v>
      </c>
      <c r="T126" s="5">
        <v>0.46046893775835301</v>
      </c>
      <c r="U126" s="5">
        <v>0.47630045971645202</v>
      </c>
      <c r="V126" s="5">
        <v>0.47630186676589498</v>
      </c>
      <c r="W126" s="5">
        <v>0.47630187982976502</v>
      </c>
      <c r="X126" s="5">
        <v>0.476301865640679</v>
      </c>
      <c r="Y126" s="5">
        <v>0.47630188341749102</v>
      </c>
      <c r="Z126" s="5">
        <v>0.47630188372964199</v>
      </c>
      <c r="AA126" s="5">
        <v>0.47630188104724802</v>
      </c>
      <c r="AB126" s="5">
        <v>0.47630187816904801</v>
      </c>
      <c r="AC126" s="5">
        <v>0.47630187723057998</v>
      </c>
      <c r="AD126" s="5">
        <v>0.47630187272888203</v>
      </c>
      <c r="AE126" s="5">
        <v>0.47630186311615003</v>
      </c>
      <c r="AF126" s="5">
        <v>0.47630185361367799</v>
      </c>
      <c r="AG126" s="5">
        <v>0.476301831806833</v>
      </c>
      <c r="AH126" s="5">
        <v>0.47630179875498102</v>
      </c>
      <c r="AI126" s="5">
        <v>0.476301723116409</v>
      </c>
    </row>
    <row r="127" spans="1:35" x14ac:dyDescent="0.25">
      <c r="A127" s="3" t="s">
        <v>148</v>
      </c>
      <c r="B127" s="3" t="s">
        <v>152</v>
      </c>
      <c r="C127" s="6"/>
      <c r="D127" s="5">
        <v>2.47868883253997E-8</v>
      </c>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5">
        <v>1.64945320072844E-8</v>
      </c>
    </row>
    <row r="128" spans="1:35" x14ac:dyDescent="0.25">
      <c r="A128" s="3" t="s">
        <v>148</v>
      </c>
      <c r="B128" s="3" t="s">
        <v>153</v>
      </c>
      <c r="C128" s="6"/>
      <c r="D128" s="5">
        <v>0.50181413189534396</v>
      </c>
      <c r="E128" s="5">
        <v>3.65995682311745</v>
      </c>
      <c r="F128" s="5">
        <v>0.565178782478157</v>
      </c>
      <c r="G128" s="6"/>
      <c r="H128" s="6"/>
      <c r="I128" s="6"/>
      <c r="J128" s="5">
        <v>4.3641750392946502E-2</v>
      </c>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5">
        <v>1.5715784687223301E-8</v>
      </c>
    </row>
    <row r="129" spans="1:35" x14ac:dyDescent="0.25">
      <c r="A129" s="3" t="s">
        <v>148</v>
      </c>
      <c r="B129" s="3" t="s">
        <v>154</v>
      </c>
      <c r="C129" s="6"/>
      <c r="D129" s="5">
        <v>0.54428401013863403</v>
      </c>
      <c r="E129" s="5">
        <v>4.5894866009720898</v>
      </c>
      <c r="F129" s="5">
        <v>0.69717873564420696</v>
      </c>
      <c r="G129" s="6"/>
      <c r="H129" s="6"/>
      <c r="I129" s="5">
        <v>1.11100429743919E-8</v>
      </c>
      <c r="J129" s="5">
        <v>2.7887148930200301</v>
      </c>
      <c r="K129" s="5">
        <v>0.69717872667696201</v>
      </c>
      <c r="L129" s="5">
        <v>0.69717872639289202</v>
      </c>
      <c r="M129" s="5">
        <v>0.69717872671293901</v>
      </c>
      <c r="N129" s="5">
        <v>0.69717872733106501</v>
      </c>
      <c r="O129" s="6"/>
      <c r="P129" s="5">
        <v>3.1665838872884801E-2</v>
      </c>
      <c r="Q129" s="5">
        <v>1.5832931196827299E-2</v>
      </c>
      <c r="R129" s="5">
        <v>1.5832923423522299E-2</v>
      </c>
      <c r="S129" s="5">
        <v>1.5832880072042099E-2</v>
      </c>
      <c r="T129" s="5">
        <v>1.5832962705996999E-2</v>
      </c>
      <c r="U129" s="5">
        <v>1.44024075560419E-6</v>
      </c>
      <c r="V129" s="5">
        <v>3.2693036495675699E-8</v>
      </c>
      <c r="W129" s="5">
        <v>1.8781560911813899E-8</v>
      </c>
      <c r="X129" s="5">
        <v>3.3129406391300001E-8</v>
      </c>
      <c r="Y129" s="5">
        <v>1.3495184335882299E-8</v>
      </c>
      <c r="Z129" s="5">
        <v>1.1888708359335101E-8</v>
      </c>
      <c r="AA129" s="5">
        <v>1.31983092611764E-8</v>
      </c>
      <c r="AB129" s="5">
        <v>1.3550974671077801E-8</v>
      </c>
      <c r="AC129" s="5">
        <v>1.34173368198872E-8</v>
      </c>
      <c r="AD129" s="5">
        <v>1.6109860058381499E-8</v>
      </c>
      <c r="AE129" s="5">
        <v>2.1905536043133299E-8</v>
      </c>
      <c r="AF129" s="5">
        <v>2.52432482070837E-8</v>
      </c>
      <c r="AG129" s="5">
        <v>3.7785577544150098E-8</v>
      </c>
      <c r="AH129" s="5">
        <v>5.1545690459053103E-8</v>
      </c>
      <c r="AI129" s="5">
        <v>6.7255276663617106E-8</v>
      </c>
    </row>
    <row r="130" spans="1:35" x14ac:dyDescent="0.25">
      <c r="A130" s="3" t="s">
        <v>148</v>
      </c>
      <c r="B130" s="3" t="s">
        <v>155</v>
      </c>
      <c r="C130" s="6"/>
      <c r="D130" s="6"/>
      <c r="E130" s="6"/>
      <c r="F130" s="6"/>
      <c r="G130" s="6"/>
      <c r="H130" s="6"/>
      <c r="I130" s="6"/>
      <c r="J130" s="6"/>
      <c r="K130" s="6"/>
      <c r="L130" s="6"/>
      <c r="M130" s="6"/>
      <c r="N130" s="6"/>
      <c r="O130" s="6"/>
      <c r="P130" s="6"/>
      <c r="Q130" s="6"/>
      <c r="R130" s="5">
        <v>1.1437990202133701E-8</v>
      </c>
      <c r="S130" s="5">
        <v>1.78098082733608E-7</v>
      </c>
      <c r="T130" s="5">
        <v>1.4177354667573999E-7</v>
      </c>
      <c r="U130" s="5">
        <v>2.09771176934919E-7</v>
      </c>
      <c r="V130" s="5">
        <v>9.5075005588589802E-8</v>
      </c>
      <c r="W130" s="5">
        <v>5.8071190694681603E-8</v>
      </c>
      <c r="X130" s="5">
        <v>6.1965844647791796E-8</v>
      </c>
      <c r="Y130" s="5">
        <v>6.8283270751005302E-8</v>
      </c>
      <c r="Z130" s="5">
        <v>7.3965277522430506E-8</v>
      </c>
      <c r="AA130" s="5">
        <v>8.1333168790458603E-8</v>
      </c>
      <c r="AB130" s="5">
        <v>9.00157078730671E-8</v>
      </c>
      <c r="AC130" s="5">
        <v>1.01034730614092E-7</v>
      </c>
      <c r="AD130" s="5">
        <v>1.1585728611751799E-7</v>
      </c>
      <c r="AE130" s="5">
        <v>1.6017739786704201E-7</v>
      </c>
      <c r="AF130" s="5">
        <v>2.6238451170413802E-7</v>
      </c>
      <c r="AG130" s="5">
        <v>6.41456799422872E-7</v>
      </c>
      <c r="AH130" s="5">
        <v>1.9601309279529899</v>
      </c>
      <c r="AI130" s="5">
        <v>1.96013174319261</v>
      </c>
    </row>
    <row r="131" spans="1:35" x14ac:dyDescent="0.25">
      <c r="A131" s="3" t="s">
        <v>148</v>
      </c>
      <c r="B131" s="3" t="s">
        <v>156</v>
      </c>
      <c r="C131" s="6"/>
      <c r="D131" s="6"/>
      <c r="E131" s="6"/>
      <c r="F131" s="6"/>
      <c r="G131" s="6"/>
      <c r="H131" s="6"/>
      <c r="I131" s="6"/>
      <c r="J131" s="6"/>
      <c r="K131" s="6"/>
      <c r="L131" s="6"/>
      <c r="M131" s="6"/>
      <c r="N131" s="6"/>
      <c r="O131" s="6"/>
      <c r="P131" s="6"/>
      <c r="Q131" s="6"/>
      <c r="R131" s="5">
        <v>1.28948134463315E-8</v>
      </c>
      <c r="S131" s="5">
        <v>1.96013196429378</v>
      </c>
      <c r="T131" s="5">
        <v>1.9601320045575601</v>
      </c>
      <c r="U131" s="5">
        <v>1.96013193612553</v>
      </c>
      <c r="V131" s="5">
        <v>1.9601320507450699</v>
      </c>
      <c r="W131" s="5">
        <v>1.96013208764406</v>
      </c>
      <c r="X131" s="5">
        <v>1.9601320832314899</v>
      </c>
      <c r="Y131" s="5">
        <v>1.96013207644351</v>
      </c>
      <c r="Z131" s="5">
        <v>1.96013207018944</v>
      </c>
      <c r="AA131" s="5">
        <v>1.96013206200674</v>
      </c>
      <c r="AB131" s="5">
        <v>1.9601320523483701</v>
      </c>
      <c r="AC131" s="5">
        <v>1.9601320400212601</v>
      </c>
      <c r="AD131" s="5">
        <v>1.96013202331293</v>
      </c>
      <c r="AE131" s="5">
        <v>1.9601319765913501</v>
      </c>
      <c r="AF131" s="5">
        <v>1.96013187072416</v>
      </c>
      <c r="AG131" s="5">
        <v>1.96013148537176</v>
      </c>
      <c r="AH131" s="5">
        <v>1.1862264392761201E-6</v>
      </c>
      <c r="AI131" s="5">
        <v>3.40050840175113E-7</v>
      </c>
    </row>
    <row r="132" spans="1:35" x14ac:dyDescent="0.25">
      <c r="A132" s="3" t="s">
        <v>148</v>
      </c>
      <c r="B132" s="3" t="s">
        <v>157</v>
      </c>
      <c r="C132" s="5">
        <v>6.0316397875951102</v>
      </c>
      <c r="D132" s="5">
        <v>6.0316396516061399</v>
      </c>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5">
        <v>1.11473821479721E-8</v>
      </c>
      <c r="AH132" s="5">
        <v>1.7365686090369701E-8</v>
      </c>
      <c r="AI132" s="5">
        <v>3.30983956644373E-8</v>
      </c>
    </row>
    <row r="133" spans="1:35" x14ac:dyDescent="0.25">
      <c r="A133" s="3" t="s">
        <v>148</v>
      </c>
      <c r="B133" s="3" t="s">
        <v>158</v>
      </c>
      <c r="C133" s="6"/>
      <c r="D133" s="5">
        <v>1.03524070862047E-8</v>
      </c>
      <c r="E133" s="5">
        <v>0.341812269882869</v>
      </c>
      <c r="F133" s="5">
        <v>1.06819715570476E-8</v>
      </c>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row>
    <row r="134" spans="1:35" x14ac:dyDescent="0.25">
      <c r="A134" s="3" t="s">
        <v>148</v>
      </c>
      <c r="B134" s="3" t="s">
        <v>159</v>
      </c>
      <c r="C134" s="6"/>
      <c r="D134" s="5">
        <v>1.1882745781875099E-8</v>
      </c>
      <c r="E134" s="5">
        <v>5.6532072718783599</v>
      </c>
      <c r="F134" s="5">
        <v>13.5609183609012</v>
      </c>
      <c r="G134" s="6"/>
      <c r="H134" s="6"/>
      <c r="I134" s="6"/>
      <c r="J134" s="5">
        <v>9.1893644308493592</v>
      </c>
      <c r="K134" s="5">
        <v>2.2973411046328698</v>
      </c>
      <c r="L134" s="6"/>
      <c r="M134" s="6"/>
      <c r="N134" s="6"/>
      <c r="O134" s="6"/>
      <c r="P134" s="6"/>
      <c r="Q134" s="6"/>
      <c r="R134" s="6"/>
      <c r="S134" s="6"/>
      <c r="T134" s="6"/>
      <c r="U134" s="6"/>
      <c r="V134" s="6"/>
      <c r="W134" s="6"/>
      <c r="X134" s="6"/>
      <c r="Y134" s="6"/>
      <c r="Z134" s="6"/>
      <c r="AA134" s="6"/>
      <c r="AB134" s="6"/>
      <c r="AC134" s="6"/>
      <c r="AD134" s="6"/>
      <c r="AE134" s="6"/>
      <c r="AF134" s="6"/>
      <c r="AG134" s="6"/>
      <c r="AH134" s="6"/>
      <c r="AI134" s="6"/>
    </row>
    <row r="135" spans="1:35" x14ac:dyDescent="0.25">
      <c r="A135" s="3" t="s">
        <v>148</v>
      </c>
      <c r="B135" s="3" t="s">
        <v>160</v>
      </c>
      <c r="C135" s="6"/>
      <c r="D135" s="5">
        <v>1.26808031199756E-7</v>
      </c>
      <c r="E135" s="5">
        <v>8.8098449387535496</v>
      </c>
      <c r="F135" s="5">
        <v>11.394380117255301</v>
      </c>
      <c r="G135" s="6"/>
      <c r="H135" s="6"/>
      <c r="I135" s="5">
        <v>7.2471677139901196</v>
      </c>
      <c r="J135" s="5">
        <v>2.41572258818191</v>
      </c>
      <c r="K135" s="5">
        <v>2.41572257674208</v>
      </c>
      <c r="L135" s="5">
        <v>2.4157225765171</v>
      </c>
      <c r="M135" s="5">
        <v>2.4157225765075299</v>
      </c>
      <c r="N135" s="6"/>
      <c r="O135" s="6"/>
      <c r="P135" s="6"/>
      <c r="Q135" s="6"/>
      <c r="R135" s="6"/>
      <c r="S135" s="6"/>
      <c r="T135" s="6"/>
      <c r="U135" s="6"/>
      <c r="V135" s="6"/>
      <c r="W135" s="6"/>
      <c r="X135" s="6"/>
      <c r="Y135" s="6"/>
      <c r="Z135" s="6"/>
      <c r="AA135" s="6"/>
      <c r="AB135" s="6"/>
      <c r="AC135" s="6"/>
      <c r="AD135" s="6"/>
      <c r="AE135" s="6"/>
      <c r="AF135" s="6"/>
      <c r="AG135" s="6"/>
      <c r="AH135" s="6"/>
      <c r="AI135" s="5">
        <v>1.5743746751152199E-8</v>
      </c>
    </row>
    <row r="136" spans="1:35" x14ac:dyDescent="0.25">
      <c r="A136" s="3" t="s">
        <v>148</v>
      </c>
      <c r="B136" s="3" t="s">
        <v>161</v>
      </c>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5">
        <v>1.06176185947409E-8</v>
      </c>
      <c r="AF136" s="5">
        <v>1.3385194261494001E-8</v>
      </c>
      <c r="AG136" s="5">
        <v>1.7574213196478299E-8</v>
      </c>
      <c r="AH136" s="5">
        <v>2.5566983616956099E-8</v>
      </c>
      <c r="AI136" s="5">
        <v>6.3199901340324095E-8</v>
      </c>
    </row>
    <row r="137" spans="1:35" x14ac:dyDescent="0.25">
      <c r="A137" s="3" t="s">
        <v>148</v>
      </c>
      <c r="B137" s="3" t="s">
        <v>162</v>
      </c>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5">
        <v>1.1155036264401101E-8</v>
      </c>
      <c r="AF137" s="5">
        <v>1.38998339549985E-8</v>
      </c>
      <c r="AG137" s="5">
        <v>1.78841118369713E-8</v>
      </c>
      <c r="AH137" s="5">
        <v>2.5003954379936101E-8</v>
      </c>
      <c r="AI137" s="5">
        <v>6.0354627544003797E-8</v>
      </c>
    </row>
    <row r="138" spans="1:35" x14ac:dyDescent="0.25">
      <c r="A138" s="3" t="s">
        <v>148</v>
      </c>
      <c r="B138" s="3" t="s">
        <v>163</v>
      </c>
      <c r="C138" s="5">
        <v>4.0028249064499901</v>
      </c>
      <c r="D138" s="6"/>
      <c r="E138" s="6"/>
      <c r="F138" s="6"/>
      <c r="G138" s="6"/>
      <c r="H138" s="6"/>
      <c r="I138" s="6"/>
      <c r="J138" s="6"/>
      <c r="K138" s="6"/>
      <c r="L138" s="6"/>
      <c r="M138" s="6"/>
      <c r="N138" s="6"/>
      <c r="O138" s="6"/>
      <c r="P138" s="6"/>
      <c r="Q138" s="6"/>
      <c r="R138" s="6"/>
      <c r="S138" s="6"/>
      <c r="T138" s="6"/>
      <c r="U138" s="6"/>
      <c r="V138" s="6"/>
      <c r="W138" s="6"/>
      <c r="X138" s="5">
        <v>2.2817607947832899E-8</v>
      </c>
      <c r="Y138" s="5">
        <v>1.82670117366308</v>
      </c>
      <c r="Z138" s="5">
        <v>1.82670117621618</v>
      </c>
      <c r="AA138" s="5">
        <v>1.82670117630843</v>
      </c>
      <c r="AB138" s="5">
        <v>1.8267011749409201</v>
      </c>
      <c r="AC138" s="5">
        <v>1.8267011731938001</v>
      </c>
      <c r="AD138" s="5">
        <v>1.8267011710758601</v>
      </c>
      <c r="AE138" s="5">
        <v>1.8267011666189299</v>
      </c>
      <c r="AF138" s="5">
        <v>1.8267011591318001</v>
      </c>
      <c r="AG138" s="5">
        <v>1.82670114785684</v>
      </c>
      <c r="AH138" s="5">
        <v>1.8267011274062701</v>
      </c>
      <c r="AI138" s="5">
        <v>1.8267010389501499</v>
      </c>
    </row>
    <row r="139" spans="1:35" x14ac:dyDescent="0.25">
      <c r="A139" s="3" t="s">
        <v>148</v>
      </c>
      <c r="B139" s="3" t="s">
        <v>164</v>
      </c>
      <c r="C139" s="5">
        <v>1.41874955899535E-8</v>
      </c>
      <c r="D139" s="5">
        <v>1.7203997485628399E-8</v>
      </c>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5">
        <v>1.24704889938966E-8</v>
      </c>
    </row>
    <row r="140" spans="1:35" x14ac:dyDescent="0.25">
      <c r="A140" s="3" t="s">
        <v>148</v>
      </c>
      <c r="B140" s="3" t="s">
        <v>165</v>
      </c>
      <c r="C140" s="5">
        <v>1.3899673837412299E-8</v>
      </c>
      <c r="D140" s="5">
        <v>2.61235147622387</v>
      </c>
      <c r="E140" s="5">
        <v>2.3447342169745702</v>
      </c>
      <c r="F140" s="5">
        <v>11.6186331716307</v>
      </c>
      <c r="G140" s="6"/>
      <c r="H140" s="6"/>
      <c r="I140" s="6"/>
      <c r="J140" s="5">
        <v>7.9275177194609903</v>
      </c>
      <c r="K140" s="5">
        <v>1.98187942226618</v>
      </c>
      <c r="L140" s="6"/>
      <c r="M140" s="6"/>
      <c r="N140" s="6"/>
      <c r="O140" s="6"/>
      <c r="P140" s="6"/>
      <c r="Q140" s="6"/>
      <c r="R140" s="6"/>
      <c r="S140" s="6"/>
      <c r="T140" s="6"/>
      <c r="U140" s="6"/>
      <c r="V140" s="6"/>
      <c r="W140" s="6"/>
      <c r="X140" s="6"/>
      <c r="Y140" s="6"/>
      <c r="Z140" s="6"/>
      <c r="AA140" s="6"/>
      <c r="AB140" s="6"/>
      <c r="AC140" s="6"/>
      <c r="AD140" s="6"/>
      <c r="AE140" s="6"/>
      <c r="AF140" s="6"/>
      <c r="AG140" s="6"/>
      <c r="AH140" s="6"/>
      <c r="AI140" s="6"/>
    </row>
    <row r="141" spans="1:35" x14ac:dyDescent="0.25">
      <c r="A141" s="3" t="s">
        <v>148</v>
      </c>
      <c r="B141" s="3" t="s">
        <v>166</v>
      </c>
      <c r="C141" s="5">
        <v>1.6182264943663001</v>
      </c>
      <c r="D141" s="5">
        <v>3.0086999425279299</v>
      </c>
      <c r="E141" s="5">
        <v>3.2763172249386301</v>
      </c>
      <c r="F141" s="5">
        <v>22.163710825810298</v>
      </c>
      <c r="G141" s="6"/>
      <c r="H141" s="6"/>
      <c r="I141" s="5">
        <v>2.3496230270334402</v>
      </c>
      <c r="J141" s="5">
        <v>12.0302247682038</v>
      </c>
      <c r="K141" s="5">
        <v>3.5949619497980798</v>
      </c>
      <c r="L141" s="5">
        <v>3.5949619497873599</v>
      </c>
      <c r="M141" s="5">
        <v>3.5949619496196199</v>
      </c>
      <c r="N141" s="6"/>
      <c r="O141" s="6"/>
      <c r="P141" s="6"/>
      <c r="Q141" s="6"/>
      <c r="R141" s="6"/>
      <c r="S141" s="6"/>
      <c r="T141" s="6"/>
      <c r="U141" s="6"/>
      <c r="V141" s="6"/>
      <c r="W141" s="6"/>
      <c r="X141" s="6"/>
      <c r="Y141" s="6"/>
      <c r="Z141" s="6"/>
      <c r="AA141" s="6"/>
      <c r="AB141" s="6"/>
      <c r="AC141" s="6"/>
      <c r="AD141" s="6"/>
      <c r="AE141" s="6"/>
      <c r="AF141" s="6"/>
      <c r="AG141" s="6"/>
      <c r="AH141" s="6"/>
      <c r="AI141" s="5">
        <v>1.16397577785782E-8</v>
      </c>
    </row>
    <row r="148" spans="1:1" x14ac:dyDescent="0.25">
      <c r="A148" t="str">
        <f>+_xlfn.TEXTJOIN(", ",TRUE,B86:B111)</f>
        <v>R-SH_Det_ELC_HPN2-AB, R-SH_Det_ELC_HPN2-C, R-SH_Det_ELC_HPN2-D, R-SH_Det_ELC_HPN2-E, R-SH_Det_ELC_HPN2-F, R-SH_Det_ELC_HPN2-G, R-SH_Det_ELC_HPN3-AB, R-SH_Det_ELC_HPN3-C, R-SH_Det_ELC_HPN3-D, R-SH_Det_ELC_HPN3-E, R-SH_Det_ELC_HPN3-F, R-SH_Det_ELC_HPN3-G, R-SW_Det_ELC_HPN1-AB, R-SW_Det_ELC_HPN1-C, R-SW_Det_ELC_HPN1-D, R-SW_Det_ELC_HPN1-E, R-SW_Det_ELC_HPN1-F, R-SW_Det_ELC_HPN1-G, R-SW_Det_ELC_HPN2-AB, R-SW_Det_ELC_HPN2-C, R-SW_Det_ELC_HPN2-D, R-SW_Det_ELC_HPN2-E, R-SW_Det_ELC_HPN2-F, R-SW_Det_ELC_HPN2-G, R-SW_Det_GAS_HHPN1, R-SW_Det_GAS_HPN1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caps_data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Bakytzhan Suleimenov</dc:creator>
  <cp:lastModifiedBy>Bakytzhan Suleimenov</cp:lastModifiedBy>
  <dcterms:created xsi:type="dcterms:W3CDTF">2025-08-11T08:46:57Z</dcterms:created>
  <dcterms:modified xsi:type="dcterms:W3CDTF">2026-03-23T11:12:59Z</dcterms:modified>
</cp:coreProperties>
</file>