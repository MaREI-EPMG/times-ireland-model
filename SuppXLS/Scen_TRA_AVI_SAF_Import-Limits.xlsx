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Veda_models\TIM 2100\SuppXLS\"/>
    </mc:Choice>
  </mc:AlternateContent>
  <xr:revisionPtr revIDLastSave="0" documentId="13_ncr:1_{3F57EA02-4B33-4386-A34B-708FD43360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S" sheetId="2" r:id="rId1"/>
    <sheet name="UPD" sheetId="11" r:id="rId2"/>
    <sheet name="UCT1" sheetId="1" r:id="rId3"/>
    <sheet name="UCT2" sheetId="12" r:id="rId4"/>
    <sheet name="UCT3" sheetId="13" r:id="rId5"/>
    <sheet name="UCT4" sheetId="1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2" l="1"/>
  <c r="F10" i="2"/>
  <c r="F14" i="2"/>
  <c r="F9" i="2"/>
  <c r="H31" i="2"/>
  <c r="H10" i="2"/>
  <c r="G30" i="2"/>
  <c r="G29" i="2"/>
  <c r="F30" i="2"/>
  <c r="F13" i="2" s="1"/>
  <c r="F29" i="2"/>
  <c r="F31" i="2" s="1"/>
  <c r="D30" i="2"/>
  <c r="D29" i="2"/>
  <c r="E30" i="2"/>
  <c r="E29" i="2"/>
  <c r="F7" i="2" s="1"/>
  <c r="H13" i="2"/>
  <c r="H14" i="2" s="1"/>
  <c r="H16" i="2" s="1"/>
  <c r="H7" i="2"/>
  <c r="H9" i="2" s="1"/>
  <c r="H11" i="2" s="1"/>
  <c r="D31" i="2" l="1"/>
  <c r="E31" i="2"/>
  <c r="H15" i="2"/>
  <c r="G31" i="2"/>
  <c r="F8" i="2"/>
  <c r="H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4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</authors>
  <commentList>
    <comment ref="I2" authorId="0" shapeId="0" xr:uid="{00000000-0006-0000-0100-000001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2" authorId="0" shapeId="0" xr:uid="{00000000-0006-0000-0100-000002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<sst xmlns="http://schemas.openxmlformats.org/spreadsheetml/2006/main" count="150" uniqueCount="57">
  <si>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</si>
  <si>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</si>
  <si>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</si>
  <si>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</si>
  <si>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</si>
  <si>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</si>
  <si>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</si>
  <si>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</si>
  <si>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~UC_T</t>
  </si>
  <si>
    <t>UC_CAP</t>
  </si>
  <si>
    <t>UC_FLO</t>
  </si>
  <si>
    <t>Attribute</t>
  </si>
  <si>
    <t>LimType</t>
  </si>
  <si>
    <t>~UC_Sets: T_E:</t>
  </si>
  <si>
    <t>UC_Desc</t>
  </si>
  <si>
    <t>~UC_Sets: R_S: AllRegions</t>
  </si>
  <si>
    <t>TimeSlice</t>
  </si>
  <si>
    <t>AllRegions</t>
  </si>
  <si>
    <t>Pset_PD</t>
  </si>
  <si>
    <t>Cset_Set</t>
  </si>
  <si>
    <t>Cset_CD</t>
  </si>
  <si>
    <t>Attrib_Cond</t>
  </si>
  <si>
    <t>Val_Cond</t>
  </si>
  <si>
    <t>~TFM_UPD</t>
  </si>
  <si>
    <t>UC - Each Region/Period</t>
  </si>
  <si>
    <t>~UC_Sets: T_S:</t>
  </si>
  <si>
    <t>UC - Each Region/All Periods</t>
  </si>
  <si>
    <t>UC - All Regions/Each Period</t>
  </si>
  <si>
    <t>UC - All Regions/Periods</t>
  </si>
  <si>
    <t>UC_RHSRTS</t>
  </si>
  <si>
    <t>UC_RHSR</t>
  </si>
  <si>
    <t>UC_RHSTS</t>
  </si>
  <si>
    <t>UC_RHS</t>
  </si>
  <si>
    <t>Trans - Update</t>
  </si>
  <si>
    <t>Imported Zero Emissions Jet Fuel potentials (PJ)</t>
  </si>
  <si>
    <t>PJ</t>
  </si>
  <si>
    <t>IMPBIOJKR_S1</t>
  </si>
  <si>
    <t>IMPPtLKER</t>
  </si>
  <si>
    <t>SEAI balance sheet</t>
  </si>
  <si>
    <t>Import of jet kerosene (ktoe)</t>
  </si>
  <si>
    <t>Share of SAF and PtL in ReFuelEU Aviation Regulation</t>
  </si>
  <si>
    <t>SAF</t>
  </si>
  <si>
    <t>PtL</t>
  </si>
  <si>
    <t>Total</t>
  </si>
  <si>
    <t>ACT_BND</t>
  </si>
  <si>
    <t>UP</t>
  </si>
  <si>
    <t>~TFM_INS</t>
  </si>
  <si>
    <t>*notes</t>
  </si>
  <si>
    <t>max SAF import</t>
  </si>
  <si>
    <t>max PtL import</t>
  </si>
  <si>
    <t>Global availability factor</t>
  </si>
  <si>
    <t>Ample</t>
  </si>
  <si>
    <t>Constrained</t>
  </si>
  <si>
    <t>Source: IATA Annual General Meeting, Media Briefing, SAF and Net Zero updates</t>
  </si>
  <si>
    <t>IATA</t>
  </si>
  <si>
    <t>Moderate (IATA)</t>
  </si>
  <si>
    <t>https://transport.ec.europa.eu/transport-modes/air/environment/refueleu-aviation_en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</si>
</sst>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2" formatCode="_-&quot;€&quot;* #,##0_-;\-&quot;€&quot;* #,##0_-;_-&quot;€&quot;* &quot;-&quot;_-;_-@_-"/>
    <numFmt numFmtId="41" formatCode="_-* #,##0_-;\-* #,##0_-;_-* &quot;-&quot;_-;_-@_-"/>
    <numFmt numFmtId="44" formatCode="_-&quot;€&quot;* #,##0.00_-;\-&quot;€&quot;* #,##0.00_-;_-&quot;€&quot;* &quot;-&quot;??_-;_-@_-"/>
    <numFmt numFmtId="43" formatCode="_-* #,##0.00_-;\-* #,##0.00_-;_-* &quot;-&quot;??_-;_-@_-"/>
    <numFmt numFmtId="164" formatCode="0.0"/>
    <numFmt numFmtId="165" formatCode="\Te\x\t"/>
    <numFmt numFmtId="166" formatCode="0.0%"/>
    <numFmt numFmtId="167" formatCode="_(&quot;$&quot;* #,##0.00_);_(&quot;$&quot;* \(#,##0.00\);_(&quot;$&quot;* &quot;-&quot;??_);_(@_)"/>
    <numFmt numFmtId="168" formatCode="0.00_)"/>
  </numFmts>
  <fonts count="44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4"/>
      <color theme="0"/>
      <name val="Calibri"/>
      <family val="2"/>
      <scheme val="minor"/>
    </font>
    <font>
      <sz val="10"/>
      <name val="Myriad Pro"/>
      <family val="2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MS Sans Serif"/>
      <family val="2"/>
    </font>
    <font>
      <sz val="10"/>
      <name val="Arial"/>
    </font>
    <font>
      <sz val="9"/>
      <name val="Times New Roman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u/>
      <sz val="11"/>
      <color theme="10"/>
      <name val="Calibri"/>
      <family val="2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Arial"/>
      <family val="2"/>
    </font>
    <font>
      <sz val="11"/>
      <color rgb="FF9C650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8"/>
      <color theme="3"/>
      <name val="Cambria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</fonts>
  <fills count="44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EB9C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1">
    <xf numFmtId="0" fontId="0" fillId="0" borderId="0"/>
    <xf numFmtId="0" fontId="5" fillId="0" borderId="0"/>
    <xf numFmtId="0" fontId="2" fillId="0" borderId="0"/>
    <xf numFmtId="0" fontId="5" fillId="0" borderId="0"/>
    <xf numFmtId="0" fontId="16" fillId="0" borderId="0"/>
    <xf numFmtId="0" fontId="17" fillId="0" borderId="0"/>
    <xf numFmtId="9" fontId="5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9" fontId="18" fillId="0" borderId="2" applyNumberFormat="0" applyFont="0" applyFill="0" applyBorder="0" applyProtection="0">
      <alignment horizontal="left" vertical="center" indent="2"/>
    </xf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9" fillId="0" borderId="0" applyBorder="0"/>
    <xf numFmtId="9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15" fillId="0" borderId="0" applyNumberForma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0" fontId="21" fillId="0" borderId="0" applyNumberForma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9" fillId="30" borderId="0" applyNumberFormat="0" applyBorder="0" applyAlignment="0" applyProtection="0"/>
    <xf numFmtId="43" fontId="17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8" fontId="5" fillId="0" borderId="0"/>
    <xf numFmtId="168" fontId="5" fillId="0" borderId="0"/>
    <xf numFmtId="0" fontId="5" fillId="0" borderId="0"/>
    <xf numFmtId="0" fontId="24" fillId="0" borderId="0"/>
    <xf numFmtId="0" fontId="24" fillId="0" borderId="0"/>
    <xf numFmtId="0" fontId="2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8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3" fillId="37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23" fillId="41" borderId="0" applyNumberFormat="0" applyBorder="0" applyAlignment="0" applyProtection="0"/>
    <xf numFmtId="0" fontId="23" fillId="42" borderId="0" applyNumberFormat="0" applyBorder="0" applyAlignment="0" applyProtection="0"/>
    <xf numFmtId="0" fontId="25" fillId="43" borderId="0" applyNumberFormat="0" applyBorder="0" applyAlignment="0" applyProtection="0"/>
    <xf numFmtId="0" fontId="26" fillId="0" borderId="0" applyNumberForma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9" fillId="0" borderId="0" applyBorder="0"/>
    <xf numFmtId="0" fontId="17" fillId="0" borderId="0"/>
    <xf numFmtId="43" fontId="19" fillId="0" borderId="0" applyFont="0" applyFill="0" applyBorder="0" applyAlignment="0" applyProtection="0"/>
    <xf numFmtId="0" fontId="9" fillId="0" borderId="0"/>
    <xf numFmtId="0" fontId="19" fillId="0" borderId="0" applyBorder="0"/>
    <xf numFmtId="43" fontId="19" fillId="0" borderId="0" applyFont="0" applyFill="0" applyBorder="0" applyAlignment="0" applyProtection="0"/>
    <xf numFmtId="0" fontId="19" fillId="0" borderId="0" applyBorder="0"/>
    <xf numFmtId="0" fontId="5" fillId="0" borderId="0"/>
    <xf numFmtId="0" fontId="19" fillId="0" borderId="0" applyBorder="0"/>
    <xf numFmtId="43" fontId="19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 applyBorder="0"/>
    <xf numFmtId="43" fontId="19" fillId="0" borderId="0" applyFont="0" applyFill="0" applyBorder="0" applyAlignment="0" applyProtection="0"/>
    <xf numFmtId="0" fontId="19" fillId="0" borderId="0" applyBorder="0"/>
    <xf numFmtId="43" fontId="1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30" borderId="0" applyNumberFormat="0" applyBorder="0" applyAlignment="0" applyProtection="0"/>
    <xf numFmtId="43" fontId="9" fillId="0" borderId="0" applyFont="0" applyFill="0" applyBorder="0" applyAlignment="0" applyProtection="0"/>
    <xf numFmtId="0" fontId="17" fillId="0" borderId="0"/>
    <xf numFmtId="43" fontId="5" fillId="0" borderId="0" applyFont="0" applyFill="0" applyBorder="0" applyAlignment="0" applyProtection="0"/>
    <xf numFmtId="168" fontId="5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0" fontId="9" fillId="0" borderId="0"/>
    <xf numFmtId="0" fontId="9" fillId="30" borderId="0" applyNumberFormat="0" applyBorder="0" applyAlignment="0" applyProtection="0"/>
    <xf numFmtId="0" fontId="9" fillId="0" borderId="0"/>
    <xf numFmtId="43" fontId="17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42" fillId="36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8" fillId="13" borderId="10" applyNumberFormat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6" fillId="12" borderId="7" applyNumberFormat="0" applyAlignment="0" applyProtection="0">
      <alignment vertical="center"/>
    </xf>
    <xf numFmtId="0" fontId="35" fillId="12" borderId="8" applyNumberFormat="0" applyAlignment="0" applyProtection="0">
      <alignment vertical="center"/>
    </xf>
    <xf numFmtId="0" fontId="34" fillId="11" borderId="7" applyNumberFormat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29" fillId="0" borderId="5" applyNumberFormat="0" applyFill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43" fontId="17" fillId="0" borderId="0" applyFont="0" applyFill="0" applyBorder="0" applyAlignment="0" applyProtection="0"/>
    <xf numFmtId="0" fontId="17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9" fillId="0" borderId="0"/>
    <xf numFmtId="43" fontId="19" fillId="0" borderId="0" applyFont="0" applyFill="0" applyBorder="0" applyAlignment="0" applyProtection="0"/>
    <xf numFmtId="0" fontId="5" fillId="0" borderId="0"/>
    <xf numFmtId="43" fontId="19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9" fillId="0" borderId="0"/>
    <xf numFmtId="0" fontId="27" fillId="0" borderId="0" applyNumberFormat="0" applyFill="0" applyBorder="0" applyAlignment="0" applyProtection="0">
      <alignment vertical="center"/>
    </xf>
    <xf numFmtId="0" fontId="17" fillId="0" borderId="0"/>
    <xf numFmtId="43" fontId="5" fillId="0" borderId="0" applyFont="0" applyFill="0" applyBorder="0" applyAlignment="0" applyProtection="0"/>
  </cellStyleXfs>
  <cellXfs count="46">
    <xf numFmtId="0" fontId="0" fillId="0" borderId="0" xfId="0"/>
    <xf numFmtId="0" fontId="3" fillId="0" borderId="0" xfId="2" applyFont="1"/>
    <xf numFmtId="0" fontId="4" fillId="2" borderId="0" xfId="0" applyFont="1" applyFill="1"/>
    <xf numFmtId="0" fontId="4" fillId="0" borderId="0" xfId="0" applyFont="1" applyAlignment="1">
      <alignment horizontal="right"/>
    </xf>
    <xf numFmtId="0" fontId="4" fillId="5" borderId="0" xfId="0" applyFont="1" applyFill="1"/>
    <xf numFmtId="0" fontId="4" fillId="6" borderId="0" xfId="0" applyFont="1" applyFill="1"/>
    <xf numFmtId="0" fontId="4" fillId="0" borderId="0" xfId="0" applyFont="1"/>
    <xf numFmtId="0" fontId="1" fillId="0" borderId="0" xfId="2" applyFont="1"/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3" borderId="1" xfId="0" applyFont="1" applyFill="1" applyBorder="1"/>
    <xf numFmtId="0" fontId="4" fillId="4" borderId="1" xfId="0" applyFont="1" applyFill="1" applyBorder="1"/>
    <xf numFmtId="0" fontId="5" fillId="3" borderId="1" xfId="0" applyFont="1" applyFill="1" applyBorder="1"/>
    <xf numFmtId="165" fontId="14" fillId="0" borderId="0" xfId="0" applyNumberFormat="1" applyFont="1" applyAlignment="1">
      <alignment vertical="center"/>
    </xf>
    <xf numFmtId="165" fontId="0" fillId="0" borderId="0" xfId="0" applyNumberFormat="1" applyAlignment="1">
      <alignment vertical="center"/>
    </xf>
    <xf numFmtId="2" fontId="0" fillId="0" borderId="0" xfId="0" applyNumberFormat="1"/>
    <xf numFmtId="0" fontId="0" fillId="0" borderId="3" xfId="0" applyBorder="1" applyAlignment="1">
      <alignment vertical="center"/>
    </xf>
    <xf numFmtId="164" fontId="0" fillId="0" borderId="0" xfId="0" applyNumberFormat="1"/>
    <xf numFmtId="0" fontId="11" fillId="0" borderId="0" xfId="0" applyFont="1" applyAlignment="1">
      <alignment vertical="center"/>
    </xf>
    <xf numFmtId="38" fontId="13" fillId="0" borderId="0" xfId="4" applyNumberFormat="1" applyFont="1" applyAlignment="1">
      <alignment horizontal="center"/>
    </xf>
    <xf numFmtId="1" fontId="0" fillId="0" borderId="3" xfId="0" applyNumberFormat="1" applyBorder="1" applyAlignment="1">
      <alignment horizontal="center" vertical="center"/>
    </xf>
    <xf numFmtId="0" fontId="10" fillId="0" borderId="0" xfId="0" applyFont="1" applyAlignment="1">
      <alignment vertical="center"/>
    </xf>
    <xf numFmtId="38" fontId="13" fillId="0" borderId="0" xfId="3" applyNumberFormat="1" applyFont="1"/>
    <xf numFmtId="0" fontId="5" fillId="0" borderId="3" xfId="5" applyFont="1" applyBorder="1"/>
    <xf numFmtId="1" fontId="13" fillId="0" borderId="3" xfId="4" applyNumberFormat="1" applyFont="1" applyBorder="1" applyAlignment="1">
      <alignment horizontal="center"/>
    </xf>
    <xf numFmtId="0" fontId="19" fillId="0" borderId="0" xfId="18"/>
    <xf numFmtId="0" fontId="20" fillId="0" borderId="0" xfId="18" applyFont="1"/>
    <xf numFmtId="9" fontId="19" fillId="0" borderId="0" xfId="19" applyFont="1"/>
    <xf numFmtId="9" fontId="19" fillId="0" borderId="3" xfId="19" applyFont="1" applyBorder="1"/>
    <xf numFmtId="0" fontId="20" fillId="0" borderId="3" xfId="18" applyFont="1" applyBorder="1"/>
    <xf numFmtId="166" fontId="19" fillId="0" borderId="0" xfId="19" applyNumberFormat="1" applyFont="1"/>
    <xf numFmtId="9" fontId="20" fillId="0" borderId="0" xfId="19" applyFont="1"/>
    <xf numFmtId="9" fontId="20" fillId="0" borderId="3" xfId="19" applyFont="1" applyBorder="1"/>
    <xf numFmtId="0" fontId="0" fillId="0" borderId="3" xfId="0" applyBorder="1"/>
    <xf numFmtId="2" fontId="19" fillId="0" borderId="0" xfId="19" applyNumberFormat="1" applyFont="1"/>
    <xf numFmtId="2" fontId="19" fillId="0" borderId="3" xfId="19" applyNumberFormat="1" applyFont="1" applyBorder="1"/>
    <xf numFmtId="9" fontId="20" fillId="0" borderId="0" xfId="19" applyFont="1" applyFill="1" applyBorder="1"/>
    <xf numFmtId="2" fontId="19" fillId="0" borderId="0" xfId="19" applyNumberFormat="1" applyFont="1" applyFill="1" applyBorder="1"/>
    <xf numFmtId="0" fontId="17" fillId="0" borderId="0" xfId="402"/>
    <xf numFmtId="0" fontId="19" fillId="0" borderId="0" xfId="420"/>
    <xf numFmtId="0" fontId="20" fillId="0" borderId="0" xfId="420" applyFont="1"/>
    <xf numFmtId="0" fontId="20" fillId="0" borderId="3" xfId="420" applyFont="1" applyBorder="1"/>
    <xf numFmtId="166" fontId="19" fillId="0" borderId="3" xfId="19" applyNumberFormat="1" applyFont="1" applyBorder="1"/>
    <xf numFmtId="0" fontId="12" fillId="7" borderId="0" xfId="0" quotePrefix="1" applyFont="1" applyFill="1" applyAlignment="1">
      <alignment horizontal="center" vertical="center"/>
    </xf>
  </cellXfs>
  <cellStyles count="511">
    <cellStyle name="20% - Accent1 2" xfId="469" xr:uid="{EBD0B941-474A-48C4-BDAF-EF3B8D9FA8F2}"/>
    <cellStyle name="20% - Accent2 2" xfId="465" xr:uid="{A7852000-BB94-4CFF-9AF1-47957A8E8391}"/>
    <cellStyle name="20% - Accent3 2" xfId="461" xr:uid="{99706262-D58C-477E-A8DC-8576D92F9416}"/>
    <cellStyle name="20% - Accent4 2" xfId="457" xr:uid="{494976F0-A56E-43B6-B8C2-6C66A10E95B4}"/>
    <cellStyle name="20% - Accent5 2" xfId="50" xr:uid="{9C296305-8D1E-4CC9-B564-FE99B0DC28AE}"/>
    <cellStyle name="20% - Accent5 2 2" xfId="439" xr:uid="{B23AB2A0-EB94-4726-9951-877C450D0588}"/>
    <cellStyle name="20% - Accent5 3" xfId="453" xr:uid="{ACCCF3FD-1BB6-4CBB-BCD1-DFD5678094A6}"/>
    <cellStyle name="20% - Accent5 4" xfId="426" xr:uid="{1E37D806-2A2C-4F25-82A2-B0A1A7C1F675}"/>
    <cellStyle name="20% - Accent6 2" xfId="449" xr:uid="{43B088A4-02DD-4167-8B7E-393330C1F850}"/>
    <cellStyle name="2x indented GHG Textfiels" xfId="15" xr:uid="{42D33A5E-7532-4706-B9A5-8C30D167C0AA}"/>
    <cellStyle name="40% - Accent1 2" xfId="468" xr:uid="{CC01609E-8C19-4EE7-84F8-02C67363319C}"/>
    <cellStyle name="40% - Accent2 2" xfId="464" xr:uid="{70E9BEC1-81C8-43D3-AC35-98C471A964E3}"/>
    <cellStyle name="40% - Accent3 2" xfId="460" xr:uid="{32EFEBA2-341C-4A45-9581-1443CEDD752F}"/>
    <cellStyle name="40% - Accent4 2" xfId="456" xr:uid="{82E15998-2264-475C-9B29-4970BB7C23B1}"/>
    <cellStyle name="40% - Accent5 2" xfId="452" xr:uid="{7DB5FF9C-9742-4F43-BFC1-830F6371DDE7}"/>
    <cellStyle name="40% - Accent6 2" xfId="448" xr:uid="{B493BA46-9C45-49F0-8256-0E7FE34CBCFC}"/>
    <cellStyle name="60% - Accent1 2" xfId="392" xr:uid="{002BF7B8-5E39-4674-88D3-6DB99E3D6CAD}"/>
    <cellStyle name="60% - Accent1 3" xfId="467" xr:uid="{38A5760A-C170-457F-B973-6D7EFF076E46}"/>
    <cellStyle name="60% - Accent2 2" xfId="391" xr:uid="{8EDAA89F-27EB-4AF0-AC1D-AF0CDECF78FF}"/>
    <cellStyle name="60% - Accent2 3" xfId="463" xr:uid="{F8F1F26E-8866-41E1-92DD-A3DCF2145E20}"/>
    <cellStyle name="60% - Accent3 2" xfId="390" xr:uid="{C425EE9D-C906-493A-A39D-83B308BD00EF}"/>
    <cellStyle name="60% - Accent3 3" xfId="459" xr:uid="{7D773EA5-0690-4607-AF63-46B49BB1C6CF}"/>
    <cellStyle name="60% - Accent4 2" xfId="389" xr:uid="{C617A359-487D-43D5-9B23-D17326F172D9}"/>
    <cellStyle name="60% - Accent4 3" xfId="455" xr:uid="{C27D7C03-539E-478B-8505-2A57FCA83F50}"/>
    <cellStyle name="60% - Accent5 2" xfId="388" xr:uid="{C47FB450-2ACA-4F6D-B065-B76FB09F8B1F}"/>
    <cellStyle name="60% - Accent5 3" xfId="451" xr:uid="{0B761CED-5748-4A87-BF72-266FBBD76336}"/>
    <cellStyle name="60% - Accent6 2" xfId="387" xr:uid="{31118279-F0E6-4594-8AB4-C3688E108DFD}"/>
    <cellStyle name="60% - Accent6 3" xfId="447" xr:uid="{F46A179A-AB9D-43BD-BE0E-6423798927B5}"/>
    <cellStyle name="Accent2 2" xfId="466" xr:uid="{6D4C1229-F269-422C-9B8B-2EA32F65A86C}"/>
    <cellStyle name="Accent3 2" xfId="462" xr:uid="{A49D767B-75F6-487E-A68E-05EF0A9BA81D}"/>
    <cellStyle name="Accent4 2" xfId="458" xr:uid="{9D7CFAA3-9D17-49E1-8A21-DB3BAC837863}"/>
    <cellStyle name="Accent5 2" xfId="454" xr:uid="{BBA56472-C72D-41D0-B2E9-442CF4F2A8AE}"/>
    <cellStyle name="Accent6 2" xfId="450" xr:uid="{DCAB0703-B33F-40F1-8557-1DD9BB53F074}"/>
    <cellStyle name="Bad 2" xfId="479" xr:uid="{C11BA342-27AE-427A-A145-AE1D799ED64F}"/>
    <cellStyle name="Calculation 2" xfId="475" xr:uid="{1FD1F4EB-056E-4DF5-9CF4-DC2C91CC14D1}"/>
    <cellStyle name="Check Cell 2" xfId="473" xr:uid="{9B5DBFFC-494F-4779-A29F-68522E9859FA}"/>
    <cellStyle name="Comma [0] 2" xfId="30" xr:uid="{477220B7-3CCC-4719-AEF6-B4D4F48114FB}"/>
    <cellStyle name="Comma [0] 2 2" xfId="46" xr:uid="{8C203E43-76C1-428A-A4BC-D6A3E1A074C3}"/>
    <cellStyle name="Comma [0] 2 2 2" xfId="501" xr:uid="{4A123D70-D85B-4FF9-B306-657BD5628802}"/>
    <cellStyle name="Comma [0] 2 3" xfId="414" xr:uid="{929144F9-0390-41C4-BFB5-D33C39931F2A}"/>
    <cellStyle name="Comma 10" xfId="419" xr:uid="{88DEA918-6DD2-4C8A-A01F-4155F6E94441}"/>
    <cellStyle name="Comma 10 2" xfId="505" xr:uid="{2DEBD09B-40AF-4EE9-A77D-1EE67A76DACC}"/>
    <cellStyle name="Comma 11" xfId="417" xr:uid="{69EFD9D4-0EF7-48C6-93AB-3CDC41165AB5}"/>
    <cellStyle name="Comma 11 2" xfId="504" xr:uid="{E0DFFC75-6BD5-4D8F-97BC-92D6FB6998A3}"/>
    <cellStyle name="Comma 12" xfId="421" xr:uid="{0E6BBC11-B36F-496D-9C22-F412703B48BF}"/>
    <cellStyle name="Comma 12 2" xfId="506" xr:uid="{6862AE2D-7C1C-4239-885C-CC639B9AAE66}"/>
    <cellStyle name="Comma 13" xfId="441" xr:uid="{C3972C1C-5731-45E6-9FB1-9047131923FD}"/>
    <cellStyle name="Comma 14" xfId="485" xr:uid="{2C4CFD46-ED84-4169-BB4C-9A975CA50E24}"/>
    <cellStyle name="Comma 15" xfId="437" xr:uid="{FED980CC-BAD6-4A32-B71C-6130D40DB855}"/>
    <cellStyle name="Comma 16" xfId="446" xr:uid="{6729B450-5D0A-4D68-A228-46A3DDE9244C}"/>
    <cellStyle name="Comma 17" xfId="510" xr:uid="{D6F650F0-5EAB-434E-8E01-A1EBDDCAE4F7}"/>
    <cellStyle name="Comma 18" xfId="424" xr:uid="{A0EADE87-3201-4FF5-80BD-9549C6B8995F}"/>
    <cellStyle name="Comma 19" xfId="51" xr:uid="{906BF47D-F69D-4F0B-994E-00F43C7A8779}"/>
    <cellStyle name="Comma 2" xfId="10" xr:uid="{E0E6E83B-12D9-45A0-B341-D76C1B1D17D1}"/>
    <cellStyle name="Comma 2 2" xfId="11" xr:uid="{2FABADFC-24B9-4A67-B936-CFB4C62BCA4F}"/>
    <cellStyle name="Comma 2 2 2" xfId="14" xr:uid="{B799C69C-AEAD-4F2C-988C-05FE9EEB2072}"/>
    <cellStyle name="Comma 2 2 2 2" xfId="37" xr:uid="{40CA4D78-91A8-47C5-9D93-989D0E635C32}"/>
    <cellStyle name="Comma 2 2 2 3" xfId="490" xr:uid="{63627FC6-11F7-460F-B389-316A95A35B32}"/>
    <cellStyle name="Comma 2 2 3" xfId="34" xr:uid="{2E8C09BC-DFAD-40EB-A2D3-EBF4989813A7}"/>
    <cellStyle name="Comma 2 2 3 2" xfId="433" xr:uid="{A7B2CD27-9F4D-41B4-8A8E-1FA923A5AF40}"/>
    <cellStyle name="Comma 2 2 4" xfId="398" xr:uid="{86266CCC-3CEB-4DCD-AC6D-B44C05FF2DF8}"/>
    <cellStyle name="Comma 2 3" xfId="13" xr:uid="{ADB11814-1209-4875-BAD7-ACB25F435C2D}"/>
    <cellStyle name="Comma 2 3 2" xfId="36" xr:uid="{F8A182FA-922D-4424-957B-2063A820B0F3}"/>
    <cellStyle name="Comma 2 3 3" xfId="445" xr:uid="{2852503F-8242-41BD-84F6-858BAEA15A79}"/>
    <cellStyle name="Comma 2 4" xfId="17" xr:uid="{5909997D-BD11-4981-B3CA-D3FC2E9AA080}"/>
    <cellStyle name="Comma 2 4 2" xfId="39" xr:uid="{2F903DAE-FD85-4F75-869D-8AFCE459B84F}"/>
    <cellStyle name="Comma 2 4 3" xfId="429" xr:uid="{42439AC7-0530-4CC6-B0BD-4FBB382EEEAD}"/>
    <cellStyle name="Comma 2 5" xfId="33" xr:uid="{88E3BDA5-D71E-4238-BF29-6FECA2A08525}"/>
    <cellStyle name="Comma 2 6" xfId="54" xr:uid="{1D836F80-B883-4FC3-9410-CC85E7B6A6B3}"/>
    <cellStyle name="Comma 20" xfId="49" xr:uid="{F23623E6-57AA-47C7-A748-D82D82830C6A}"/>
    <cellStyle name="Comma 3" xfId="12" xr:uid="{67D721DA-2928-4668-932C-955262851758}"/>
    <cellStyle name="Comma 3 2" xfId="24" xr:uid="{E2E497E5-1854-4948-B5B9-F555A4862F59}"/>
    <cellStyle name="Comma 3 2 2" xfId="42" xr:uid="{6AC1B140-8CA7-49AD-BC75-7DD8D4C5721C}"/>
    <cellStyle name="Comma 3 2 2 2" xfId="491" xr:uid="{B87B54CA-AC25-4C5B-A8EF-D161BE0EF7B2}"/>
    <cellStyle name="Comma 3 2 3" xfId="434" xr:uid="{97360562-37D4-455F-A03B-F645785E70A3}"/>
    <cellStyle name="Comma 3 2 4" xfId="399" xr:uid="{AD8D8017-4EB3-440F-B783-BD003276665E}"/>
    <cellStyle name="Comma 3 3" xfId="35" xr:uid="{82E7EED5-1233-48D5-953C-4AB404E1B0A2}"/>
    <cellStyle name="Comma 3 3 2" xfId="487" xr:uid="{72E755E9-AE5E-4DC3-BD0C-C7528C23DFCC}"/>
    <cellStyle name="Comma 3 4" xfId="427" xr:uid="{F476FF5B-305E-4CDF-B3A5-16BF8B05C363}"/>
    <cellStyle name="Comma 3 5" xfId="395" xr:uid="{F6ECDC6E-67CB-4417-A41F-22E3CFEED48F}"/>
    <cellStyle name="Comma 4" xfId="16" xr:uid="{D6881DB7-2F1C-4517-9D2B-DA3B49751E8B}"/>
    <cellStyle name="Comma 4 2" xfId="22" xr:uid="{30F63D44-9073-4F4A-A72C-CE8778C77C46}"/>
    <cellStyle name="Comma 4 2 2" xfId="41" xr:uid="{1BD551FB-8893-4478-AA85-75F2D69233CF}"/>
    <cellStyle name="Comma 4 2 2 2" xfId="492" xr:uid="{DB5DC90F-3857-4C07-83E8-81AC22E9387C}"/>
    <cellStyle name="Comma 4 2 3" xfId="435" xr:uid="{04F1FB77-DF94-4828-8FC0-D40276D10543}"/>
    <cellStyle name="Comma 4 2 4" xfId="400" xr:uid="{37B66F08-A145-4053-8928-66029D5B09DD}"/>
    <cellStyle name="Comma 4 3" xfId="38" xr:uid="{75B41EAD-915D-474C-9B79-92B0BA9ACA43}"/>
    <cellStyle name="Comma 4 3 2" xfId="488" xr:uid="{38A48CF4-049E-42B7-8E41-D119A299B9E2}"/>
    <cellStyle name="Comma 4 4" xfId="431" xr:uid="{31B697DA-4FC5-4AB8-98D8-A71D1A501BA4}"/>
    <cellStyle name="Comma 4 5" xfId="396" xr:uid="{E8C180D9-C08D-4F51-8880-0FADE141F93E}"/>
    <cellStyle name="Comma 5" xfId="29" xr:uid="{7610883B-9733-4B98-83E2-0D1141D67134}"/>
    <cellStyle name="Comma 5 2" xfId="45" xr:uid="{99DFA639-7109-4883-BB41-3958BD333A04}"/>
    <cellStyle name="Comma 5 2 2" xfId="500" xr:uid="{0898707D-71EF-4860-9AFA-9416581BC245}"/>
    <cellStyle name="Comma 5 2 3" xfId="413" xr:uid="{32C1D8A3-1395-4771-8FBA-38669B0DBA48}"/>
    <cellStyle name="Comma 5 3" xfId="489" xr:uid="{55030FC3-548B-4035-8347-67DAAD314D31}"/>
    <cellStyle name="Comma 5 4" xfId="432" xr:uid="{5BFBCC50-E3F4-4198-A7AF-7FFD3057A16E}"/>
    <cellStyle name="Comma 5 5" xfId="397" xr:uid="{E6BF10F2-7387-44D1-8EE5-54019A7AB62C}"/>
    <cellStyle name="Comma 6" xfId="32" xr:uid="{5888BFD1-9FC8-476C-81E7-1C082D6545FB}"/>
    <cellStyle name="Comma 6 2" xfId="48" xr:uid="{B4B1B4B1-EC36-46E7-A019-5225E6258216}"/>
    <cellStyle name="Comma 6 2 2" xfId="503" xr:uid="{5D4D16A4-1A44-4BFF-B1E6-ED9C23C07A9A}"/>
    <cellStyle name="Comma 6 2 3" xfId="416" xr:uid="{50F355EE-C3D8-4408-A11B-1EFC445378D2}"/>
    <cellStyle name="Comma 6 3" xfId="444" xr:uid="{D76BED89-2BB0-40A9-9AA3-0D19CE692831}"/>
    <cellStyle name="Comma 6 4" xfId="53" xr:uid="{371914AD-A393-450D-89F9-D3F5DAD162A8}"/>
    <cellStyle name="Comma 7" xfId="20" xr:uid="{05B0AFEE-294B-420D-AE72-C5A576A04206}"/>
    <cellStyle name="Comma 7 2" xfId="40" xr:uid="{81F3B65D-BF06-4191-82C3-0E096C1512FA}"/>
    <cellStyle name="Comma 7 2 2" xfId="493" xr:uid="{E8AE1D9D-79E3-4113-BE99-42855EA16F9C}"/>
    <cellStyle name="Comma 7 3" xfId="403" xr:uid="{C38E5069-C066-4677-88E2-02DC2DCFBB60}"/>
    <cellStyle name="Comma 8" xfId="406" xr:uid="{F78BBBAF-DB6C-45A9-8421-F5A401894210}"/>
    <cellStyle name="Comma 8 2" xfId="495" xr:uid="{BA60C495-6927-4A80-A9E1-D894DB9DBB5B}"/>
    <cellStyle name="Comma 9" xfId="410" xr:uid="{2F4BB419-1A5F-4C81-88B7-8EE48733B940}"/>
    <cellStyle name="Comma 9 2" xfId="497" xr:uid="{3628D40E-383F-4E25-8950-FE39DE1A7FF9}"/>
    <cellStyle name="Currency [0] 2" xfId="28" xr:uid="{5740B1FC-2479-48F7-839C-016BC7E205B7}"/>
    <cellStyle name="Currency [0] 2 2" xfId="44" xr:uid="{95D7D668-3603-445F-A4ED-4ECE368ABE54}"/>
    <cellStyle name="Currency [0] 2 2 2" xfId="499" xr:uid="{BDF5998F-0A04-4B49-B264-9382870CC682}"/>
    <cellStyle name="Currency [0] 2 3" xfId="412" xr:uid="{6FC676F2-3768-4D0A-A69E-1D2C5E5EEA78}"/>
    <cellStyle name="Currency 2" xfId="27" xr:uid="{98938210-0E92-49E3-8B16-37318FF57C0D}"/>
    <cellStyle name="Currency 2 2" xfId="43" xr:uid="{2F39405C-9A1A-4F56-ABDF-E4E64F2D7AF8}"/>
    <cellStyle name="Currency 2 2 2" xfId="56" xr:uid="{48A3C196-F797-4DA3-BF9E-4658B4A70166}"/>
    <cellStyle name="Currency 2 3" xfId="411" xr:uid="{112646A3-CBBA-47F5-B4D8-C21ACE9E73D2}"/>
    <cellStyle name="Currency 2 3 2" xfId="498" xr:uid="{369F125E-29AE-49AB-8B35-C6AF7AD6C135}"/>
    <cellStyle name="Currency 2 4" xfId="55" xr:uid="{0C2A457B-6193-4A34-B91D-841815952273}"/>
    <cellStyle name="Currency 3" xfId="31" xr:uid="{3A355C1F-45D8-458F-A980-7D0D6AE5B9A2}"/>
    <cellStyle name="Currency 3 2" xfId="47" xr:uid="{248E1E57-9D59-41CE-814D-A1EE3DA46146}"/>
    <cellStyle name="Currency 3 2 2" xfId="502" xr:uid="{A6B9E06D-51A1-4FF8-82EE-A54E7EBE762F}"/>
    <cellStyle name="Currency 3 2 3" xfId="415" xr:uid="{4ADFFB99-868D-4B81-9C8C-8B229626BC92}"/>
    <cellStyle name="Currency 3 3" xfId="57" xr:uid="{2BD814B7-16A6-45CF-AB2E-6A6335C4DAF1}"/>
    <cellStyle name="Currency 4" xfId="58" xr:uid="{7D9E4050-E685-4F77-94A8-3C10AEF5EB14}"/>
    <cellStyle name="Currency 4 2" xfId="59" xr:uid="{B03D2105-11A1-4D16-89AE-CA25E035AD88}"/>
    <cellStyle name="Currency 4 3" xfId="60" xr:uid="{00329532-FC7C-48AA-A189-A043908424AA}"/>
    <cellStyle name="Explanatory Text 2" xfId="471" xr:uid="{FB55A053-CAE8-4F1F-B830-4FB0F6519F7C}"/>
    <cellStyle name="Good 2" xfId="480" xr:uid="{50349DD9-4C3D-4E74-92E4-862F48AFD9E4}"/>
    <cellStyle name="Heading 1 2" xfId="484" xr:uid="{8F2588BA-0C44-469C-BA77-5767B4DFF959}"/>
    <cellStyle name="Heading 2 2" xfId="483" xr:uid="{A5B8493B-DB1E-43C7-A488-3C4347C796FD}"/>
    <cellStyle name="Heading 3 2" xfId="482" xr:uid="{99EAF0FC-CA18-4C9C-AB32-BCCC7014CA1B}"/>
    <cellStyle name="Heading 4 2" xfId="481" xr:uid="{FA9CD634-C667-4B2A-B6B6-33EEC9987592}"/>
    <cellStyle name="Hyperlink 2" xfId="23" xr:uid="{44F7F7C2-3B0D-4D61-80DD-F2EFA3A6C52B}"/>
    <cellStyle name="Hyperlink 3" xfId="26" xr:uid="{37B5FB01-BB85-464D-86AD-78BED198E499}"/>
    <cellStyle name="Input 2" xfId="477" xr:uid="{A68FBE67-C8AD-4377-A35A-7803FFC49059}"/>
    <cellStyle name="Linked Cell 2" xfId="474" xr:uid="{66A8C2F4-B67A-4E10-9DDE-4A4173F34256}"/>
    <cellStyle name="Neutral 2" xfId="393" xr:uid="{5ED24210-1221-48A6-A101-ED2B2A393C3F}"/>
    <cellStyle name="Neutral 3" xfId="478" xr:uid="{376461A0-3603-4987-B610-E81D395DC999}"/>
    <cellStyle name="Normal" xfId="0" builtinId="0"/>
    <cellStyle name="Normal 10" xfId="1" xr:uid="{00000000-0005-0000-0000-000001000000}"/>
    <cellStyle name="Normal 10 2" xfId="61" xr:uid="{6CA6CECB-297A-497C-8F0D-2ABF67A9AC3F}"/>
    <cellStyle name="Normal 10 2 2" xfId="62" xr:uid="{5378A913-B6A9-4941-92F4-0D43EFADDF72}"/>
    <cellStyle name="Normal 10 2_BOS Workings" xfId="63" xr:uid="{4485C9C1-0DA9-4D63-91CC-F54776C6996E}"/>
    <cellStyle name="Normal 10 3" xfId="64" xr:uid="{CF59FD20-6414-4B38-91E7-27A25BC737AD}"/>
    <cellStyle name="Normal 10_BOS Workings" xfId="65" xr:uid="{B5BBF984-9CC3-44C9-8157-123949BB1FE4}"/>
    <cellStyle name="Normal 100" xfId="66" xr:uid="{DBADEB0B-3BD3-43BD-89AC-008EECA775A3}"/>
    <cellStyle name="Normal 100 2" xfId="67" xr:uid="{68C12B69-4C74-47E9-A7A1-D2301A2ACBA1}"/>
    <cellStyle name="Normal 101" xfId="68" xr:uid="{1C6E49E4-A307-4341-8673-C27F5853F3B7}"/>
    <cellStyle name="Normal 101 2" xfId="69" xr:uid="{4F152F43-ED61-457D-AAF6-839F1CD236C5}"/>
    <cellStyle name="Normal 102" xfId="70" xr:uid="{1167EF4C-905A-4E8D-AAAF-F745E05C7847}"/>
    <cellStyle name="Normal 102 2" xfId="71" xr:uid="{318DB15F-0CBE-4911-8792-A9DFB984C616}"/>
    <cellStyle name="Normal 103" xfId="72" xr:uid="{98FF5190-4435-4E9A-8F06-C17F2E597135}"/>
    <cellStyle name="Normal 103 2" xfId="73" xr:uid="{51FE591B-13FE-451A-A70F-92F39FD426B4}"/>
    <cellStyle name="Normal 104" xfId="74" xr:uid="{F8478972-76E6-4FD9-97A0-0D3EEB0ED244}"/>
    <cellStyle name="Normal 104 2" xfId="75" xr:uid="{0122AAD0-183E-44FF-9ECC-33F14E4E7C88}"/>
    <cellStyle name="Normal 105" xfId="76" xr:uid="{DBA625D7-9C7D-496F-8B03-757681C08A93}"/>
    <cellStyle name="Normal 105 2" xfId="77" xr:uid="{0BC6D168-D892-4AB1-B5A7-A667A55A6A98}"/>
    <cellStyle name="Normal 106" xfId="78" xr:uid="{B972C218-69C7-4954-8E90-0B01F94A9CA2}"/>
    <cellStyle name="Normal 106 2" xfId="79" xr:uid="{F6F927F5-3029-4414-A762-0BD5890EFA4D}"/>
    <cellStyle name="Normal 107" xfId="80" xr:uid="{0535A560-EF91-424C-9590-F3A8BD359A0B}"/>
    <cellStyle name="Normal 107 2" xfId="81" xr:uid="{565637C6-2C9B-4BED-A2B6-930E9A66FFED}"/>
    <cellStyle name="Normal 108" xfId="82" xr:uid="{78C4D32F-B862-40AA-AD05-B2692BFC3F4D}"/>
    <cellStyle name="Normal 108 2" xfId="83" xr:uid="{A689FCF4-D3DF-4579-985D-7D5549662EE2}"/>
    <cellStyle name="Normal 109" xfId="84" xr:uid="{64253B98-3FB8-447E-9B4D-5A004109EBB5}"/>
    <cellStyle name="Normal 11" xfId="85" xr:uid="{7ABBD1FB-5794-401E-8188-345101F09795}"/>
    <cellStyle name="Normal 11 2" xfId="86" xr:uid="{BF100257-ECDA-4C94-AD0E-F41CCD2AC1FD}"/>
    <cellStyle name="Normal 11 2 2" xfId="87" xr:uid="{822FAFD5-7BFE-4D0D-A2B9-A5D8A9FDCFA7}"/>
    <cellStyle name="Normal 11 2_BOS Workings" xfId="88" xr:uid="{432511A7-58DA-4D81-BD97-9991EB72C242}"/>
    <cellStyle name="Normal 11 3" xfId="89" xr:uid="{78487D0E-6BC7-4933-A4C7-F049AFB5DE71}"/>
    <cellStyle name="Normal 11_BOS Workings" xfId="90" xr:uid="{07E9CC3D-0E65-4225-9C64-D810C305B946}"/>
    <cellStyle name="Normal 110" xfId="91" xr:uid="{BEFD9C48-88ED-43ED-ADF7-01AC3234C39D}"/>
    <cellStyle name="Normal 111" xfId="92" xr:uid="{0F1DDF6F-E448-4469-9770-9F500093E8E7}"/>
    <cellStyle name="Normal 112" xfId="93" xr:uid="{8101CCEC-1917-4FFF-8F83-46E2313F6078}"/>
    <cellStyle name="Normal 113" xfId="94" xr:uid="{DFD0EF58-D098-4959-AE18-A9400344B46C}"/>
    <cellStyle name="Normal 114" xfId="95" xr:uid="{EF1FDD7D-9B73-42C2-91AA-E306262F6A8C}"/>
    <cellStyle name="Normal 115" xfId="96" xr:uid="{DAB95C56-8FF0-4DC9-BA13-69903F2328DA}"/>
    <cellStyle name="Normal 116" xfId="97" xr:uid="{AFB7A79E-C194-4D05-BDD2-84F71D8B0991}"/>
    <cellStyle name="Normal 117" xfId="98" xr:uid="{B5267FA4-0BDF-4784-A079-2402E30EB997}"/>
    <cellStyle name="Normal 118" xfId="99" xr:uid="{80580CCB-2214-43B6-A889-A10BF720BA07}"/>
    <cellStyle name="Normal 119" xfId="100" xr:uid="{5CBB600E-237F-4C6F-B126-24B03F095B13}"/>
    <cellStyle name="Normal 12" xfId="101" xr:uid="{BF3CA1C3-FE51-409F-874D-9A4D43528AA1}"/>
    <cellStyle name="Normal 12 2" xfId="102" xr:uid="{66E7E27E-5AB9-48C4-A4C1-99D43712BEC5}"/>
    <cellStyle name="Normal 12 2 2" xfId="103" xr:uid="{D2EB79D0-C508-49D7-872A-361E5A469D03}"/>
    <cellStyle name="Normal 12 2_BOS Workings" xfId="104" xr:uid="{EF809D14-4FDA-4DD2-80C7-878DF9E87912}"/>
    <cellStyle name="Normal 12 3" xfId="105" xr:uid="{AD196382-6004-4DE8-80F3-207A5722F67A}"/>
    <cellStyle name="Normal 12_BOS Workings" xfId="106" xr:uid="{B99038C0-0000-412B-9DB4-B90DB3897AF6}"/>
    <cellStyle name="Normal 120" xfId="52" xr:uid="{3B12B468-59A0-4373-8EFA-237D91E5C864}"/>
    <cellStyle name="Normal 120 2" xfId="442" xr:uid="{C263A83F-AD18-4343-9F0A-293A18F7F003}"/>
    <cellStyle name="Normal 121" xfId="401" xr:uid="{C6FDF6BA-D963-416F-B86B-C0BD7B12D214}"/>
    <cellStyle name="Normal 122" xfId="405" xr:uid="{034D0419-F6E1-4FFD-A52C-87D235055229}"/>
    <cellStyle name="Normal 123" xfId="407" xr:uid="{1A0639A1-EB87-44C4-9121-FC23AD48DF79}"/>
    <cellStyle name="Normal 124" xfId="418" xr:uid="{23F11F80-9275-4E46-9AC4-6DC9960F8A53}"/>
    <cellStyle name="Normal 125" xfId="409" xr:uid="{781526A0-35E2-4022-9ECC-1EA3C250D3C1}"/>
    <cellStyle name="Normal 126" xfId="420" xr:uid="{3C594DE2-C406-41AE-BC31-E09C952FEA4F}"/>
    <cellStyle name="Normal 127" xfId="422" xr:uid="{F8FE54DA-79FC-4095-AB7A-5641971F8D11}"/>
    <cellStyle name="Normal 127 2" xfId="507" xr:uid="{B92DCAC1-9073-4930-A5FD-AC9478AE5E08}"/>
    <cellStyle name="Normal 128" xfId="436" xr:uid="{686E26EE-755F-4584-921F-DAC1E3A3C780}"/>
    <cellStyle name="Normal 129" xfId="486" xr:uid="{3E4337B3-FE5F-4F21-B507-478EF8FD0021}"/>
    <cellStyle name="Normal 13" xfId="107" xr:uid="{96B31846-1320-4282-A3F0-017942D28949}"/>
    <cellStyle name="Normal 13 2" xfId="108" xr:uid="{395A4535-D87D-44FD-B0DB-22381B6FD6CF}"/>
    <cellStyle name="Normal 13 2 2" xfId="109" xr:uid="{D8FA2683-2041-4C60-A67F-889BF08447C3}"/>
    <cellStyle name="Normal 13 2_BOS Workings" xfId="110" xr:uid="{720F8E83-09C4-48E3-B749-70526F3DB709}"/>
    <cellStyle name="Normal 13 3" xfId="111" xr:uid="{71BD92FF-1280-480B-8756-F1AB0A1B60B7}"/>
    <cellStyle name="Normal 13_BOS Workings" xfId="112" xr:uid="{665C6A0A-1F24-4302-AA11-BB7310D16DEA}"/>
    <cellStyle name="Normal 130" xfId="509" xr:uid="{DBCC9388-1CFA-46BB-AC92-E8397852E8E7}"/>
    <cellStyle name="Normal 131" xfId="423" xr:uid="{12780AA7-D262-4B79-A982-96A87CB18E57}"/>
    <cellStyle name="Normal 132" xfId="402" xr:uid="{8484F860-F0C3-48B7-B6DF-3D16BCF2C78A}"/>
    <cellStyle name="Normal 14" xfId="113" xr:uid="{06830A70-FA73-466E-AE9B-71083DDA56F1}"/>
    <cellStyle name="Normal 14 2" xfId="114" xr:uid="{8DCB57E0-09DA-43F0-ABD7-7D1388C9A5A9}"/>
    <cellStyle name="Normal 14_BOS Workings" xfId="115" xr:uid="{1675165E-2BB4-4E2D-A7AA-BD1FEDA197E3}"/>
    <cellStyle name="Normal 15" xfId="116" xr:uid="{1CB4748B-434B-4AE3-9052-7D8C66314225}"/>
    <cellStyle name="Normal 15 2" xfId="117" xr:uid="{E4865075-767E-4B55-B626-3BF245C1521B}"/>
    <cellStyle name="Normal 15_BOS Workings" xfId="118" xr:uid="{FF053070-9E12-4B15-8513-98460D0213F5}"/>
    <cellStyle name="Normal 16" xfId="119" xr:uid="{847A3246-2B09-4F5F-85F2-3F77F374033B}"/>
    <cellStyle name="Normal 16 2" xfId="120" xr:uid="{542F1C12-284B-4F09-A465-B422DB2D7F71}"/>
    <cellStyle name="Normal 16_BOS Workings" xfId="121" xr:uid="{012C6C4C-432D-4133-A0E7-0131261382A5}"/>
    <cellStyle name="Normal 17" xfId="122" xr:uid="{833E80B7-2C3E-4952-AF06-808AEF602F46}"/>
    <cellStyle name="Normal 17 2" xfId="123" xr:uid="{F966BFA0-AD31-4A1B-9ACD-32AC05E8CDC7}"/>
    <cellStyle name="Normal 17_BOS Workings" xfId="124" xr:uid="{AFF5D464-9AD3-49E0-BF47-6969E1765FDE}"/>
    <cellStyle name="Normal 18" xfId="125" xr:uid="{7A44E6A5-8BE0-41F0-958A-6E8062C220D7}"/>
    <cellStyle name="Normal 18 2" xfId="126" xr:uid="{C40F2728-2364-4B38-8A9C-C11C96C211C6}"/>
    <cellStyle name="Normal 18_BOS Workings" xfId="127" xr:uid="{3B854995-2F95-4EF9-9203-1B532DE6FA00}"/>
    <cellStyle name="Normal 19" xfId="128" xr:uid="{C258A9E8-4CAC-4042-80C7-40231B029BC5}"/>
    <cellStyle name="Normal 19 2" xfId="129" xr:uid="{BFC6CDFF-A65E-4B59-9527-C7CE7BDCE4AA}"/>
    <cellStyle name="Normal 19_BOS Workings" xfId="130" xr:uid="{61B368B7-CB2D-453F-A355-FA5200633FA8}"/>
    <cellStyle name="Normal 2" xfId="3" xr:uid="{B4AF0B4F-83DE-4A95-910C-C18C10FDD50F}"/>
    <cellStyle name="Normal 2 2" xfId="25" xr:uid="{B9F356AF-6140-4FD8-AB24-2855DA566D5B}"/>
    <cellStyle name="Normal 2 2 2" xfId="408" xr:uid="{7F4CF486-15C6-4DC9-AFAA-3BA9C80A4EDB}"/>
    <cellStyle name="Normal 2 2 2 2" xfId="496" xr:uid="{1A67ACC7-7889-40C4-A2B5-0B466A8647C5}"/>
    <cellStyle name="Normal 2 2 2 3" xfId="430" xr:uid="{28B396A3-40F3-4ED7-A3A2-2C0F871DFBCE}"/>
    <cellStyle name="Normal 2 2 3" xfId="428" xr:uid="{E199C0A9-C7E2-4BCD-BBBD-AB8CC016D636}"/>
    <cellStyle name="Normal 2 2 4" xfId="131" xr:uid="{948DE706-4681-4893-BD64-6843BFB0476B}"/>
    <cellStyle name="Normal 20" xfId="132" xr:uid="{35772F9B-7CDC-4E54-9928-0E4A53E2C713}"/>
    <cellStyle name="Normal 20 2" xfId="133" xr:uid="{47ACA2B5-5EBE-44E4-B646-59045D63E1A1}"/>
    <cellStyle name="Normal 20_BOS Workings" xfId="134" xr:uid="{BE8CF8B3-4071-44D1-8EE3-277FD5563AED}"/>
    <cellStyle name="Normal 21" xfId="135" xr:uid="{D7A02C6A-ADA5-4652-9D86-D8FDD96D77BC}"/>
    <cellStyle name="Normal 21 2" xfId="136" xr:uid="{359F9ABF-28F9-42ED-89DF-3A898EFA8BC9}"/>
    <cellStyle name="Normal 21_BOS Workings" xfId="137" xr:uid="{5C5186DE-5E4A-4B23-836C-EFC484AF4D70}"/>
    <cellStyle name="Normal 22" xfId="138" xr:uid="{001EDB20-7594-43F9-B13F-CCE8DE14365B}"/>
    <cellStyle name="Normal 22 2" xfId="139" xr:uid="{8BA2728B-A3D2-4C6C-9580-F9DDDBA24A78}"/>
    <cellStyle name="Normal 22_BOS Workings" xfId="140" xr:uid="{9733945D-41C9-40E5-80EA-83F44519D571}"/>
    <cellStyle name="Normal 23" xfId="141" xr:uid="{3FD82010-6392-4DCC-9B74-B6CC7E1BE258}"/>
    <cellStyle name="Normal 23 2" xfId="142" xr:uid="{D3A9E46D-E318-44FF-B248-33A214BFF4A0}"/>
    <cellStyle name="Normal 23_BOS Workings" xfId="143" xr:uid="{7AECD6BC-AFFE-433B-B296-EE9E06A71FBE}"/>
    <cellStyle name="Normal 24" xfId="144" xr:uid="{8589B0F8-F709-41E4-82D9-E2ECB323BEB9}"/>
    <cellStyle name="Normal 24 2" xfId="145" xr:uid="{36A802DA-EAC6-4A33-9369-786CADFB5A7E}"/>
    <cellStyle name="Normal 24_BOS Workings" xfId="146" xr:uid="{AEE3E296-4073-450F-AEC7-38DB0DDA29E0}"/>
    <cellStyle name="Normal 25" xfId="147" xr:uid="{79BB5841-3F33-4E51-9D83-AB192BD28971}"/>
    <cellStyle name="Normal 25 2" xfId="148" xr:uid="{430D611C-4026-492F-A81C-89A285313408}"/>
    <cellStyle name="Normal 25_BOS Workings" xfId="149" xr:uid="{AE4A044C-8DD3-48D1-B1DD-0901FC74B64C}"/>
    <cellStyle name="Normal 26" xfId="150" xr:uid="{7BF6F1B3-8AE7-451F-9EF3-FEAF7EFC28AA}"/>
    <cellStyle name="Normal 26 2" xfId="151" xr:uid="{ABD527EE-D199-49A0-B0FF-46CDD93ADCCF}"/>
    <cellStyle name="Normal 26_BOS Workings" xfId="152" xr:uid="{1AAEDC1F-7226-42EA-A127-8573416F5E0F}"/>
    <cellStyle name="Normal 27" xfId="153" xr:uid="{AD55A3F3-3C96-4018-855E-CE892EFC197E}"/>
    <cellStyle name="Normal 27 2" xfId="154" xr:uid="{74CC7B57-A210-4884-9781-BF4C5595E5A9}"/>
    <cellStyle name="Normal 27_BOS Workings" xfId="155" xr:uid="{CB0464D3-7A3B-470F-82E3-6966C1655D08}"/>
    <cellStyle name="Normal 28" xfId="156" xr:uid="{B548AAC7-7B3D-48B9-AC1E-22B2D68A55B6}"/>
    <cellStyle name="Normal 28 2" xfId="157" xr:uid="{0E65C64F-BD42-4AE8-9535-4A39A01EB290}"/>
    <cellStyle name="Normal 28_BOS Workings" xfId="158" xr:uid="{07C801DB-7A86-45AF-BC4F-8F683E8461E4}"/>
    <cellStyle name="Normal 29" xfId="159" xr:uid="{67E4EEED-28C4-47D5-B02E-F5A577C0BED9}"/>
    <cellStyle name="Normal 29 2" xfId="160" xr:uid="{D9BC8F7F-CB82-4455-929C-6E88BD696934}"/>
    <cellStyle name="Normal 29_BOS Workings" xfId="161" xr:uid="{361512DA-FBD7-4F6A-AD61-81115ABD88B3}"/>
    <cellStyle name="Normal 3" xfId="5" xr:uid="{8D216678-F3D1-411A-8B34-415D086FE892}"/>
    <cellStyle name="Normal 3 2" xfId="21" xr:uid="{FECEAD8B-2AD5-4F3C-BD5A-C5254761E6E0}"/>
    <cellStyle name="Normal 3 2 2" xfId="163" xr:uid="{2BAB450B-831B-41D0-86A5-B9B4DCD2B6F3}"/>
    <cellStyle name="Normal 3 2 3" xfId="440" xr:uid="{5916845F-6578-46A4-9FAE-DD1B9BD23572}"/>
    <cellStyle name="Normal 3 3" xfId="162" xr:uid="{FCFA005B-2F45-4C1E-BF81-295C1FCE855C}"/>
    <cellStyle name="Normal 3 4" xfId="404" xr:uid="{16884EBD-0120-48BF-823A-859DE1616352}"/>
    <cellStyle name="Normal 3 4 2" xfId="494" xr:uid="{536ACC0E-3DAC-491A-8AD0-CA563424D846}"/>
    <cellStyle name="Normal 3 5" xfId="438" xr:uid="{36E654DE-3AC0-4EA5-B135-90E95B1E9ABD}"/>
    <cellStyle name="Normal 30" xfId="164" xr:uid="{28036057-113F-4CAD-87F4-3CDB07E02876}"/>
    <cellStyle name="Normal 30 2" xfId="165" xr:uid="{CFCCD0FE-A415-422A-915B-79ACA949B6F4}"/>
    <cellStyle name="Normal 30_BOS Workings" xfId="166" xr:uid="{C8FE2294-78FE-4F73-BBE6-E29A7996CC12}"/>
    <cellStyle name="Normal 31" xfId="167" xr:uid="{2B8436C5-6580-47F9-9E18-803FBB4D0E4E}"/>
    <cellStyle name="Normal 31 2" xfId="168" xr:uid="{7B45014E-6221-468F-ADB6-13035913B6AF}"/>
    <cellStyle name="Normal 31_BOS Workings" xfId="169" xr:uid="{EAC540B7-7A03-4A4C-BA5F-3C92480EF51A}"/>
    <cellStyle name="Normal 32" xfId="170" xr:uid="{286CE9A0-6223-4911-A36C-143381C10C7D}"/>
    <cellStyle name="Normal 32 2" xfId="171" xr:uid="{5B3F8D88-854B-4056-AB4C-4FB0688F8B18}"/>
    <cellStyle name="Normal 32_BOS Workings" xfId="172" xr:uid="{C6110E05-D29A-4CD9-88F8-6B3F3E9680E6}"/>
    <cellStyle name="Normal 33" xfId="173" xr:uid="{79B43E88-F204-4821-97BF-0CBC7E7A3599}"/>
    <cellStyle name="Normal 33 2" xfId="174" xr:uid="{0BF1F71E-F00A-4717-9AA7-73D97D1EF70A}"/>
    <cellStyle name="Normal 33_BOS Workings" xfId="175" xr:uid="{D6EB7FED-46C3-408E-B9E8-34017C42A297}"/>
    <cellStyle name="Normal 34" xfId="176" xr:uid="{D02FE0A8-76BC-465D-BC39-307AF2829432}"/>
    <cellStyle name="Normal 34 2" xfId="177" xr:uid="{D57B6336-F849-4C25-A7D2-9A1B889515FF}"/>
    <cellStyle name="Normal 34_BOS Workings" xfId="178" xr:uid="{B4607C1D-F2D0-41D5-A2BD-11CBEB67CE4F}"/>
    <cellStyle name="Normal 35" xfId="179" xr:uid="{4A4519A7-40D5-496B-81C6-D707938C1715}"/>
    <cellStyle name="Normal 35 2" xfId="180" xr:uid="{34B39E1C-09B4-4D63-9666-9C8CEE8308A1}"/>
    <cellStyle name="Normal 35_BOS Workings" xfId="181" xr:uid="{3CF64D8A-E1A6-45A0-B959-DA87F3451870}"/>
    <cellStyle name="Normal 36" xfId="182" xr:uid="{E31B4F8E-2245-441E-8193-D3E1488F388C}"/>
    <cellStyle name="Normal 36 2" xfId="183" xr:uid="{1FF681F5-D4A3-46A0-91D1-C4D05FE766F3}"/>
    <cellStyle name="Normal 36_BOS Workings" xfId="184" xr:uid="{8E1D5974-A2DB-4AAB-BCE7-2B0763C54E00}"/>
    <cellStyle name="Normal 37" xfId="185" xr:uid="{90F71F74-C6F5-47B7-8531-5127FC817E7B}"/>
    <cellStyle name="Normal 37 2" xfId="186" xr:uid="{F41BEBB2-E3B2-4B7A-A1F1-C7097A58466E}"/>
    <cellStyle name="Normal 37_BOS Workings" xfId="187" xr:uid="{206CCCF5-DB95-47B7-B909-3357E9CDACE5}"/>
    <cellStyle name="Normal 38" xfId="188" xr:uid="{F4D14561-967E-40E5-8EAA-AF2DA20BB3CA}"/>
    <cellStyle name="Normal 38 2" xfId="189" xr:uid="{C9A4B911-DAE3-4E21-B956-E7607FC3FF7A}"/>
    <cellStyle name="Normal 38_BOS Workings" xfId="190" xr:uid="{A516586E-C0A4-4F60-843D-3DBD5C3AA94E}"/>
    <cellStyle name="Normal 39" xfId="191" xr:uid="{5207780C-5B69-40F8-8181-98937D151824}"/>
    <cellStyle name="Normal 39 2" xfId="192" xr:uid="{1DFB1B0B-9F13-473F-BF0A-151DF57CB819}"/>
    <cellStyle name="Normal 39_BOS Workings" xfId="193" xr:uid="{2BC24F01-0C86-4B9A-AAC0-5303B587C8F4}"/>
    <cellStyle name="Normal 4" xfId="18" xr:uid="{BAEC95B1-3EB9-48B5-B741-51DC38AF8406}"/>
    <cellStyle name="Normal 4 2" xfId="195" xr:uid="{09082A2D-1B15-4700-9CE8-0D9E6432E10D}"/>
    <cellStyle name="Normal 4 3" xfId="196" xr:uid="{684A3E36-F45D-441D-8AB1-3BD385343AF9}"/>
    <cellStyle name="Normal 4 4" xfId="194" xr:uid="{B3024C3B-C6E2-434E-A30F-CE1B552B1568}"/>
    <cellStyle name="Normal 4_BOS Workings" xfId="197" xr:uid="{1DA8E33E-7E39-49DC-8678-BEE230915437}"/>
    <cellStyle name="Normal 40" xfId="198" xr:uid="{D9FC4E6C-A1C1-476E-ADD6-F0DE151C52A8}"/>
    <cellStyle name="Normal 40 2" xfId="199" xr:uid="{95DA7B66-22B4-4E4A-B618-08B2F9BAED0D}"/>
    <cellStyle name="Normal 40_BOS Workings" xfId="200" xr:uid="{6FE63C2A-A70A-4FDD-89A6-79413162801E}"/>
    <cellStyle name="Normal 41" xfId="201" xr:uid="{067D9D0A-7CA5-444D-A258-CBF2DE20224C}"/>
    <cellStyle name="Normal 41 2" xfId="202" xr:uid="{FB48DC88-5710-4070-8F1D-692DB87179F7}"/>
    <cellStyle name="Normal 41_BOS Workings" xfId="203" xr:uid="{A1371A81-D6AB-4524-A46C-BA6842CE9C37}"/>
    <cellStyle name="Normal 42" xfId="204" xr:uid="{EDC25D46-7476-44E1-965E-4954C4ACF23C}"/>
    <cellStyle name="Normal 42 2" xfId="205" xr:uid="{F8397D10-8AB5-4D12-AB2B-9C2BBC3F4DB8}"/>
    <cellStyle name="Normal 42_BOS Workings" xfId="206" xr:uid="{C77B19DE-30AB-4D81-B3E5-E80347E6AE4B}"/>
    <cellStyle name="Normal 43" xfId="207" xr:uid="{AFBF9990-79A7-42B6-9F0D-210E80B49040}"/>
    <cellStyle name="Normal 43 2" xfId="208" xr:uid="{58EDC6EC-AE81-4B16-A604-CAA7F76194BF}"/>
    <cellStyle name="Normal 43_BOS Workings" xfId="209" xr:uid="{89F2094F-9B00-4AAC-A9D1-515D0281016E}"/>
    <cellStyle name="Normal 44" xfId="210" xr:uid="{75160752-AA1E-4C61-99A2-69156291BC74}"/>
    <cellStyle name="Normal 44 2" xfId="211" xr:uid="{271E1A3C-7A11-443B-AC22-52452E5ADC10}"/>
    <cellStyle name="Normal 44_BOS Workings" xfId="212" xr:uid="{49A3A758-7083-4519-9A70-25D21D377F28}"/>
    <cellStyle name="Normal 45" xfId="213" xr:uid="{EFDD6E04-6B87-41D0-AF89-D6C634DD5D0F}"/>
    <cellStyle name="Normal 45 2" xfId="214" xr:uid="{7FD32BA5-4A70-4925-B1DB-61C80E9C32A1}"/>
    <cellStyle name="Normal 45_BOS Workings" xfId="215" xr:uid="{065B9094-1236-4963-9519-60E51F5ED6B2}"/>
    <cellStyle name="Normal 46" xfId="216" xr:uid="{B3AFDC9D-950D-46D4-B933-949998C13360}"/>
    <cellStyle name="Normal 46 2" xfId="217" xr:uid="{89EC4927-249A-402D-BD3F-A81A4D63963C}"/>
    <cellStyle name="Normal 46_BOS Workings" xfId="218" xr:uid="{E2F57E20-7292-4E3C-A72B-727664DDCEE4}"/>
    <cellStyle name="Normal 47" xfId="219" xr:uid="{2A16892C-30EC-478B-BBBB-FD44C3841B98}"/>
    <cellStyle name="Normal 47 2" xfId="220" xr:uid="{5E8B21EA-9F3B-44F8-BEBE-432F71F5D7D2}"/>
    <cellStyle name="Normal 47_BOS Workings" xfId="221" xr:uid="{EA9F67B2-9A6D-4410-B3A9-4B6CC08179DC}"/>
    <cellStyle name="Normal 48" xfId="222" xr:uid="{6100F4C7-5E91-4DA9-BD57-5C5C821F0118}"/>
    <cellStyle name="Normal 48 2" xfId="223" xr:uid="{3D3A11E9-57F1-4159-9B32-93ECD903C4EC}"/>
    <cellStyle name="Normal 48_BOS Workings" xfId="224" xr:uid="{65BFAA21-C77C-4DBD-BF6A-37F1C744728F}"/>
    <cellStyle name="Normal 49" xfId="225" xr:uid="{4884AD2E-63F7-40D1-AA01-CAE201AB7DF4}"/>
    <cellStyle name="Normal 49 2" xfId="226" xr:uid="{0DE7E58A-2CE3-445C-AE8C-E92B7ECE43A1}"/>
    <cellStyle name="Normal 49_BOS Workings" xfId="227" xr:uid="{E549B9BE-9BA8-4F1F-9A3A-C255D015C3D3}"/>
    <cellStyle name="Normal 5" xfId="7" xr:uid="{37F86698-7F06-4BA8-A7B9-2496029A5880}"/>
    <cellStyle name="Normal 5 2" xfId="229" xr:uid="{29FE01C4-4BD0-4DC1-964F-FEE217C4CBF1}"/>
    <cellStyle name="Normal 5 2 2" xfId="8" xr:uid="{558DA106-4280-443B-B76F-FB3B88FD01FC}"/>
    <cellStyle name="Normal 5 3" xfId="228" xr:uid="{19B81BE2-FD7D-4F64-9659-ED86F8641F55}"/>
    <cellStyle name="Normal 5_BOS Workings" xfId="230" xr:uid="{7FC75D4E-E1E9-4F32-8473-F66E5C93B984}"/>
    <cellStyle name="Normal 50" xfId="231" xr:uid="{39F2A3CB-1FE1-4619-BF51-352A992144F5}"/>
    <cellStyle name="Normal 50 2" xfId="232" xr:uid="{3D76D501-56D1-4DBE-9E98-34AC6036A107}"/>
    <cellStyle name="Normal 50_BOS Workings" xfId="233" xr:uid="{62F2EA15-216B-426D-B94C-4031CBD7EB5B}"/>
    <cellStyle name="Normal 51" xfId="234" xr:uid="{FFDC3F32-F07E-4DA8-86AE-2412C51A0F7B}"/>
    <cellStyle name="Normal 51 2" xfId="235" xr:uid="{5D001301-29DD-4CD6-8626-ACDE864B2BE2}"/>
    <cellStyle name="Normal 51_BOS Workings" xfId="236" xr:uid="{E1B23DAF-8C04-4354-82B3-E91549E1BBEF}"/>
    <cellStyle name="Normal 52" xfId="237" xr:uid="{9844FEC6-3F55-4465-AB13-C1CAE208921F}"/>
    <cellStyle name="Normal 52 2" xfId="238" xr:uid="{DCB8227E-FD03-44B6-A638-3EDE78186250}"/>
    <cellStyle name="Normal 52_BOS Workings" xfId="239" xr:uid="{E517EF8D-4F80-4A8A-98C8-5B0551F50F41}"/>
    <cellStyle name="Normal 53" xfId="240" xr:uid="{2C235AC5-4D97-4120-A22A-927F92F89123}"/>
    <cellStyle name="Normal 53 2" xfId="241" xr:uid="{349A03BA-1978-4986-9AEA-9C435FB5D415}"/>
    <cellStyle name="Normal 53_BOS Workings" xfId="242" xr:uid="{F4D2AF2B-099B-47BE-A151-47767459D922}"/>
    <cellStyle name="Normal 54" xfId="243" xr:uid="{1C5F6B9A-667F-4EFF-85F8-FA41F5196398}"/>
    <cellStyle name="Normal 54 2" xfId="244" xr:uid="{C892EAB3-1FEB-4B10-A64D-09D670601B09}"/>
    <cellStyle name="Normal 54_BOS Workings" xfId="245" xr:uid="{0BD52BCF-2E46-40B8-BBD3-440308619213}"/>
    <cellStyle name="Normal 55" xfId="246" xr:uid="{CA0D3308-F36D-450F-93B9-45051A4EE7D7}"/>
    <cellStyle name="Normal 55 2" xfId="247" xr:uid="{7815521A-5C61-407C-AD97-1C85F48AEC3D}"/>
    <cellStyle name="Normal 55_BOS Workings" xfId="248" xr:uid="{2E2BF4BC-DE96-4F60-82E2-8245D49A5A5E}"/>
    <cellStyle name="Normal 56" xfId="249" xr:uid="{D413FA93-6EEB-4BAC-BA74-1B6128AE38C2}"/>
    <cellStyle name="Normal 56 2" xfId="250" xr:uid="{042D33F7-CF8F-486B-ADD9-065580EE048F}"/>
    <cellStyle name="Normal 56_BOS Workings" xfId="251" xr:uid="{9D67EC13-CA83-4587-B86C-3D5ADF3B2FED}"/>
    <cellStyle name="Normal 57" xfId="252" xr:uid="{27647CB7-857C-486E-9FEE-BFA2652966BE}"/>
    <cellStyle name="Normal 57 2" xfId="253" xr:uid="{733F019F-C6F0-4721-B144-ABA22A88C839}"/>
    <cellStyle name="Normal 57_BOS Workings" xfId="254" xr:uid="{E9D1CA72-C33E-4A22-9AD6-809195D70606}"/>
    <cellStyle name="Normal 58" xfId="255" xr:uid="{59E35943-A05E-47BA-85CF-15C46242C388}"/>
    <cellStyle name="Normal 58 2" xfId="256" xr:uid="{E691952E-6F92-489A-984B-A6A063054D6C}"/>
    <cellStyle name="Normal 58_BOS Workings" xfId="257" xr:uid="{00BB37D3-E11B-4812-9715-1CD507C6D84D}"/>
    <cellStyle name="Normal 59" xfId="258" xr:uid="{D9CF6488-7DA4-4F45-AE99-D958CA1A96D8}"/>
    <cellStyle name="Normal 59 2" xfId="259" xr:uid="{274B6D98-0002-460B-A2FE-67E1C186FEF6}"/>
    <cellStyle name="Normal 59_BOS Workings" xfId="260" xr:uid="{FE246233-861D-4E84-BE77-9BB7B3A2A75C}"/>
    <cellStyle name="Normal 6" xfId="261" xr:uid="{04E3B399-B564-4A1B-A28E-9D78560A951A}"/>
    <cellStyle name="Normal 6 2" xfId="262" xr:uid="{CBEDD65F-7439-4DF5-B52F-286CAF50D4ED}"/>
    <cellStyle name="Normal 6_BOS Workings" xfId="263" xr:uid="{6F652675-9537-4897-81D5-B36F58F92E61}"/>
    <cellStyle name="Normal 60" xfId="264" xr:uid="{D1D415CC-70D4-42F4-92E5-6BA0786A6E37}"/>
    <cellStyle name="Normal 60 2" xfId="265" xr:uid="{4D72D534-8B08-439E-879C-9D05B3789364}"/>
    <cellStyle name="Normal 60_BOS Workings" xfId="266" xr:uid="{62436B46-A3A2-4349-8531-5BD1D180CF20}"/>
    <cellStyle name="Normal 61" xfId="267" xr:uid="{0E322EF5-6721-4290-A30A-7E2782CA9503}"/>
    <cellStyle name="Normal 61 2" xfId="268" xr:uid="{B158F709-1259-4F25-ABD7-4DD2E527248F}"/>
    <cellStyle name="Normal 61_BOS Workings" xfId="269" xr:uid="{95ACBD90-4724-462C-9B75-1C69EED1C1F3}"/>
    <cellStyle name="Normal 62" xfId="270" xr:uid="{D0B4D4EA-E151-4A41-A910-7E294CB41E7D}"/>
    <cellStyle name="Normal 62 2" xfId="271" xr:uid="{81D7FD3E-1431-4376-98A6-6F322032357F}"/>
    <cellStyle name="Normal 62_BOS Workings" xfId="272" xr:uid="{08095F34-649B-4149-8646-EF5E0CD46EC7}"/>
    <cellStyle name="Normal 63" xfId="273" xr:uid="{2B2B9293-0F9C-4319-B616-C60A7B01DF94}"/>
    <cellStyle name="Normal 63 2" xfId="274" xr:uid="{7797F08B-B158-4AFD-8E33-0FC464B7B301}"/>
    <cellStyle name="Normal 63_BOS Workings" xfId="275" xr:uid="{2875FDAF-0E5B-481A-8676-FFFFD21AB728}"/>
    <cellStyle name="Normal 64" xfId="276" xr:uid="{C0AD5F42-6AEE-477C-BA7F-3E9A75215C07}"/>
    <cellStyle name="Normal 64 2" xfId="277" xr:uid="{375E3B1E-D2A0-41CC-B00A-A594BCD2396A}"/>
    <cellStyle name="Normal 64_BOS Workings" xfId="278" xr:uid="{767E1082-C563-4CBA-8CDB-FF05251B1494}"/>
    <cellStyle name="Normal 65" xfId="279" xr:uid="{1EE09E24-5B06-4155-9AD3-1773918E0099}"/>
    <cellStyle name="Normal 65 2" xfId="280" xr:uid="{E5937DF4-BAC8-433F-8AD2-BEA3A6208CD4}"/>
    <cellStyle name="Normal 65_BOS Workings" xfId="281" xr:uid="{1F70F017-EB3C-4A46-AADD-7374988789D5}"/>
    <cellStyle name="Normal 66" xfId="282" xr:uid="{2DA46047-4E57-4015-99D1-73AEFF03DFF2}"/>
    <cellStyle name="Normal 66 2" xfId="283" xr:uid="{EDB6C848-0F92-472C-B42F-DD0FDAC85E27}"/>
    <cellStyle name="Normal 66_BOS Workings" xfId="284" xr:uid="{F09B8C60-D24B-424E-AE4E-91F60D814C1F}"/>
    <cellStyle name="Normal 67" xfId="285" xr:uid="{3E104848-A217-4292-9510-DBB30BA3EBF1}"/>
    <cellStyle name="Normal 67 2" xfId="286" xr:uid="{FAD38620-3BE9-4A6C-BC7C-CC6216D173FA}"/>
    <cellStyle name="Normal 67_BOS Workings" xfId="287" xr:uid="{529F22DF-0F0F-43D7-B47C-63A4E7BD962F}"/>
    <cellStyle name="Normal 68" xfId="288" xr:uid="{4501E37F-D220-4E28-AD4D-1954026D34C7}"/>
    <cellStyle name="Normal 68 2" xfId="289" xr:uid="{C5C1ADA9-23C9-4660-92CD-60EAE93AA5EF}"/>
    <cellStyle name="Normal 68_BOS Workings" xfId="290" xr:uid="{299AC60D-32D2-4F6B-9317-9E2F3360F0E7}"/>
    <cellStyle name="Normal 69" xfId="291" xr:uid="{F9FEDE43-BAF7-407C-8027-84748362E356}"/>
    <cellStyle name="Normal 69 2" xfId="292" xr:uid="{C182A7B3-5CC5-4283-8FE1-E5191DBF6B59}"/>
    <cellStyle name="Normal 69_BOS Workings" xfId="293" xr:uid="{2524ADA7-7F66-4763-B701-39237BBA74D0}"/>
    <cellStyle name="Normal 7" xfId="294" xr:uid="{B135649E-8483-4C21-B2DF-2F817F53B36F}"/>
    <cellStyle name="Normal 7 2" xfId="295" xr:uid="{9C84D2D4-3C65-446D-A699-2B7D85F632F4}"/>
    <cellStyle name="Normal 7_BOS Workings" xfId="296" xr:uid="{AA822391-75CC-4FF0-90D5-93EED1C9DCB1}"/>
    <cellStyle name="Normal 70" xfId="297" xr:uid="{17490F5A-8FAF-4AC2-8F6B-CC096CCCA835}"/>
    <cellStyle name="Normal 70 2" xfId="298" xr:uid="{A77A9190-DFA2-41B0-9E63-C3FFA9FAECBD}"/>
    <cellStyle name="Normal 70_BOS Workings" xfId="299" xr:uid="{502773D4-18FB-4693-9E2B-916CE2BD37EF}"/>
    <cellStyle name="Normal 71" xfId="300" xr:uid="{60DE38B3-A884-45B0-8C96-9ABDED1A6E4F}"/>
    <cellStyle name="Normal 71 2" xfId="301" xr:uid="{BA324B57-B399-440B-94D7-1A312D77A345}"/>
    <cellStyle name="Normal 71_BOS Workings" xfId="302" xr:uid="{12567444-40EC-4A38-96C0-503B0B61E816}"/>
    <cellStyle name="Normal 72" xfId="303" xr:uid="{F48A0588-B4F8-48AE-8C5C-6BD90BD84AC4}"/>
    <cellStyle name="Normal 72 2" xfId="304" xr:uid="{4921A1CF-71EF-484C-BFAF-7E1601B6C08C}"/>
    <cellStyle name="Normal 72_BOS Workings" xfId="305" xr:uid="{A245E588-4E42-4005-9BA0-904ECB77D69A}"/>
    <cellStyle name="Normal 73" xfId="306" xr:uid="{624605A1-4C66-42D7-80B7-BC87F886EDB4}"/>
    <cellStyle name="Normal 73 2" xfId="307" xr:uid="{B5E8479D-5F43-4301-A7B1-58BD3F7324E0}"/>
    <cellStyle name="Normal 73_BOS Workings" xfId="308" xr:uid="{AF8F29B8-3486-49DC-BE8B-121ECBAE8796}"/>
    <cellStyle name="Normal 74" xfId="309" xr:uid="{7430F3BA-669A-43CA-98F1-FECE9C54C05F}"/>
    <cellStyle name="Normal 74 2" xfId="310" xr:uid="{B5084439-2BFA-4385-BB33-66DE23C45795}"/>
    <cellStyle name="Normal 74_BOS Workings" xfId="311" xr:uid="{8AC4DD14-D1FA-4AFD-A325-DB39334352D3}"/>
    <cellStyle name="Normal 75" xfId="312" xr:uid="{CFD1193B-350F-4073-AE46-46924237F93F}"/>
    <cellStyle name="Normal 75 2" xfId="313" xr:uid="{32BE6EB8-1133-495E-96B3-8F3BF8AEBB99}"/>
    <cellStyle name="Normal 75_BOS Workings" xfId="314" xr:uid="{5F08819D-303F-4E48-AB2E-44D32B04C118}"/>
    <cellStyle name="Normal 76" xfId="315" xr:uid="{C52C623F-27F6-4F2E-9289-2BEC2B7C0811}"/>
    <cellStyle name="Normal 76 2" xfId="316" xr:uid="{8DE4E166-E4DA-4FFE-8668-4EFC4DE8D120}"/>
    <cellStyle name="Normal 76_BOS Workings" xfId="317" xr:uid="{D7105074-1298-4049-A797-341EEA423B67}"/>
    <cellStyle name="Normal 77" xfId="318" xr:uid="{73D68F8A-B4D0-4083-86FE-88E1AA44F433}"/>
    <cellStyle name="Normal 77 2" xfId="319" xr:uid="{752EC4B2-0B77-43E4-A6B5-0E9D4A064628}"/>
    <cellStyle name="Normal 77_BOS Workings" xfId="320" xr:uid="{F4006341-A6CB-4BC8-85DD-D2B6F6A302B5}"/>
    <cellStyle name="Normal 78" xfId="321" xr:uid="{FCBF56A2-D505-400F-BA1B-9251F78D52A4}"/>
    <cellStyle name="Normal 78 2" xfId="322" xr:uid="{BC5E70C1-5EA7-440D-BD36-C5F19F3F74F4}"/>
    <cellStyle name="Normal 78_BOS Workings" xfId="323" xr:uid="{3D4B1C3B-BA80-4CEA-9C55-266C204953F4}"/>
    <cellStyle name="Normal 79" xfId="324" xr:uid="{90EB2728-4CBE-4190-9C5C-194B4405A4AC}"/>
    <cellStyle name="Normal 79 2" xfId="325" xr:uid="{EFC6FC23-5A95-48D7-A77D-AA9C5F806E9E}"/>
    <cellStyle name="Normal 79_BOS Workings" xfId="326" xr:uid="{414069CE-4B52-4353-B6A3-F76FE7765ECB}"/>
    <cellStyle name="Normal 8" xfId="327" xr:uid="{690735C3-731B-4A4D-84E2-14DDBC348908}"/>
    <cellStyle name="Normal 8 2" xfId="328" xr:uid="{F8C690FF-D6A9-48A3-8170-33340FAE86D3}"/>
    <cellStyle name="Normal 8_BOS Workings" xfId="329" xr:uid="{0559F971-F4AD-4879-BF90-B5F84A383757}"/>
    <cellStyle name="Normal 80" xfId="330" xr:uid="{AB507CF5-1525-44DC-A52A-A6E8622C0B39}"/>
    <cellStyle name="Normal 80 2" xfId="331" xr:uid="{3B808296-42F4-4C07-9FA6-10AB0BCCCE5B}"/>
    <cellStyle name="Normal 80_BOS Workings" xfId="332" xr:uid="{A3FB8CF9-F233-4CD0-AC5A-6CEB767631F4}"/>
    <cellStyle name="Normal 81" xfId="333" xr:uid="{9039DD73-AF3B-4F9C-A151-75515B0C1EAD}"/>
    <cellStyle name="Normal 81 2" xfId="334" xr:uid="{092BA742-074C-43D7-BF2F-1AAE21225CD3}"/>
    <cellStyle name="Normal 81_BOS Workings" xfId="335" xr:uid="{A9526488-C521-4270-B0A6-3F7DFD2DE753}"/>
    <cellStyle name="Normal 82" xfId="336" xr:uid="{E1ED8036-9412-46E0-AF29-81F39673AC9F}"/>
    <cellStyle name="Normal 82 2" xfId="337" xr:uid="{42E1A771-067F-478C-9AD1-92386B4120A6}"/>
    <cellStyle name="Normal 82_BOS Workings" xfId="338" xr:uid="{E3F47703-1D93-4FD4-9692-1395F6F3BCBE}"/>
    <cellStyle name="Normal 83" xfId="339" xr:uid="{74917080-9928-4933-9616-78DC0B55B0CD}"/>
    <cellStyle name="Normal 83 2" xfId="340" xr:uid="{8A1A7C98-5AB3-4B5C-BE98-134F68AB786E}"/>
    <cellStyle name="Normal 83_BOS Workings" xfId="341" xr:uid="{8371A413-1E1C-48C3-8E4B-29912009F5FA}"/>
    <cellStyle name="Normal 84" xfId="342" xr:uid="{048115A3-4646-4588-819F-DB908970BA05}"/>
    <cellStyle name="Normal 84 2" xfId="343" xr:uid="{FE32EBF8-64AA-4057-BEBA-A9CD80EFDB56}"/>
    <cellStyle name="Normal 84_BOS Workings" xfId="344" xr:uid="{1E9B9E4A-C164-470E-B6EF-0937FBBB8DAA}"/>
    <cellStyle name="Normal 85" xfId="345" xr:uid="{68BB7387-76F4-4B5E-A5AA-10178967F8BD}"/>
    <cellStyle name="Normal 85 2" xfId="346" xr:uid="{51AEE309-DE1E-487F-A35C-BEB49A9B50C7}"/>
    <cellStyle name="Normal 85_BOS Workings" xfId="347" xr:uid="{E40D3E55-126A-4617-9F51-EBA66A8F0DB7}"/>
    <cellStyle name="Normal 86" xfId="348" xr:uid="{094F280B-8A81-4FC0-A7C9-84B485C2E258}"/>
    <cellStyle name="Normal 86 2" xfId="349" xr:uid="{B30CE418-F3C8-4DEE-88B3-C5BE6A619322}"/>
    <cellStyle name="Normal 86_BOS Workings" xfId="350" xr:uid="{692E5009-5F90-4DA8-AB36-5B29880B1361}"/>
    <cellStyle name="Normal 87" xfId="351" xr:uid="{FEA1244A-0A8A-4FB8-A2F3-65B6ED20EDAE}"/>
    <cellStyle name="Normal 87 2" xfId="352" xr:uid="{6997D969-368B-4EB4-8A86-C67B6508CED3}"/>
    <cellStyle name="Normal 87_BOS Workings" xfId="353" xr:uid="{3FEC3C82-C1F1-4C6D-9BC3-94F2A65C24A5}"/>
    <cellStyle name="Normal 88" xfId="354" xr:uid="{483C925D-F0C3-4769-9FE9-0A1B4CD44E72}"/>
    <cellStyle name="Normal 88 2" xfId="355" xr:uid="{E62309CB-BABF-4554-8C74-FFBEB7BAE609}"/>
    <cellStyle name="Normal 88_BOS Workings" xfId="356" xr:uid="{34E39BA4-8DA6-4CC1-BB82-5E8B39EE91BF}"/>
    <cellStyle name="Normal 89" xfId="357" xr:uid="{2A97F113-CD7C-4AE1-B17D-B3CC67D489D3}"/>
    <cellStyle name="Normal 89 2" xfId="358" xr:uid="{E26BFE70-91D1-4E63-BCE9-E3E6B88BF867}"/>
    <cellStyle name="Normal 89_BOS Workings" xfId="359" xr:uid="{A5574A0D-B82C-43B0-93B8-D6F32AE29BC1}"/>
    <cellStyle name="Normal 9" xfId="360" xr:uid="{D14E0BBC-9EEE-4E75-956B-ADE8FAC8426C}"/>
    <cellStyle name="Normal 9 2" xfId="361" xr:uid="{50FADEEE-C907-4967-9B24-11AA7E302A93}"/>
    <cellStyle name="Normal 9 3" xfId="362" xr:uid="{B790CD96-0940-4579-8856-92EA14DA2C97}"/>
    <cellStyle name="Normal 9 3 2" xfId="363" xr:uid="{65ADDA5E-C766-47FD-82B3-F01A3A191D3E}"/>
    <cellStyle name="Normal 9 3_BOS Workings" xfId="364" xr:uid="{D1C31514-58CD-45B8-9FEA-AE53B006B3A0}"/>
    <cellStyle name="Normal 90" xfId="365" xr:uid="{B768C9E4-724B-4140-A694-8E015E4A8ACD}"/>
    <cellStyle name="Normal 90 2" xfId="366" xr:uid="{AF78E6C4-0D25-4F84-90D3-EA123F0BAF8D}"/>
    <cellStyle name="Normal 91" xfId="367" xr:uid="{67928ED2-D69E-42FE-8C92-E8DDC9D1576F}"/>
    <cellStyle name="Normal 91 2" xfId="368" xr:uid="{07F1A882-2F22-4649-A95E-5260342DAD40}"/>
    <cellStyle name="Normal 92" xfId="369" xr:uid="{D588D323-A2D9-435B-8140-618FA5DEED95}"/>
    <cellStyle name="Normal 92 2" xfId="370" xr:uid="{80DB5FBC-B7C1-4A4F-93D3-6F8CEB233DB8}"/>
    <cellStyle name="Normal 93" xfId="371" xr:uid="{753E5153-5D50-41FC-AFFB-F5A2958C559E}"/>
    <cellStyle name="Normal 93 2" xfId="372" xr:uid="{C5A0DFDE-7724-4C0C-9D7B-EFCB1CFF6A88}"/>
    <cellStyle name="Normal 94" xfId="373" xr:uid="{44FC1F39-5D85-4809-85B5-E3DAEE899F56}"/>
    <cellStyle name="Normal 94 2" xfId="374" xr:uid="{7691BA88-04D3-461B-8B57-36D94CF72B22}"/>
    <cellStyle name="Normal 95" xfId="375" xr:uid="{A4995F56-F84F-4BD7-BE7B-43CEE4CD10B8}"/>
    <cellStyle name="Normal 95 2" xfId="376" xr:uid="{2C791637-E9A6-4164-9074-9944FB3124C2}"/>
    <cellStyle name="Normal 95 3" xfId="377" xr:uid="{30790D34-2069-4131-B0C9-DE9E474EFFD9}"/>
    <cellStyle name="Normal 96" xfId="378" xr:uid="{0ED04AA8-979E-46E2-ABFD-49E1BF021825}"/>
    <cellStyle name="Normal 96 2" xfId="379" xr:uid="{9008E301-FA44-4EB3-8B10-ED1234011C27}"/>
    <cellStyle name="Normal 96 3" xfId="380" xr:uid="{7DC2EA9F-038C-4782-90CB-5921D1D189F3}"/>
    <cellStyle name="Normal 97" xfId="381" xr:uid="{E9BE6540-B00A-4DB9-B153-521FCC65811C}"/>
    <cellStyle name="Normal 97 2" xfId="382" xr:uid="{CD4B60EE-7E80-4B9E-8D17-99FF757EE529}"/>
    <cellStyle name="Normal 98" xfId="383" xr:uid="{D061868D-1229-46C3-8D68-1690022D5438}"/>
    <cellStyle name="Normal 98 2" xfId="384" xr:uid="{3DE90B63-9E0B-4B96-9035-B1B80F723B4D}"/>
    <cellStyle name="Normal 99" xfId="385" xr:uid="{4623ED44-1F0E-4041-B095-1E572D4601E9}"/>
    <cellStyle name="Normal 99 2" xfId="386" xr:uid="{06AFF857-5664-4092-9D69-4EBDA95DA6CA}"/>
    <cellStyle name="Normal_2000balx" xfId="4" xr:uid="{C4055E96-FF16-4BF2-ABF1-E25001D57872}"/>
    <cellStyle name="Normale_Scen_UC_IND-StrucConst" xfId="2" xr:uid="{00000000-0005-0000-0000-000002000000}"/>
    <cellStyle name="Output 2" xfId="476" xr:uid="{E7BE5688-E89B-4B3A-B0A5-04B99F0A8086}"/>
    <cellStyle name="Percent 2" xfId="6" xr:uid="{FE15CECB-BA10-40AD-8C72-1147074873DA}"/>
    <cellStyle name="Percent 3" xfId="9" xr:uid="{9689E51A-2A46-4B4E-ADC4-D3DB11EBAF15}"/>
    <cellStyle name="Percent 3 2" xfId="443" xr:uid="{96F40276-7721-4866-B7DD-4BB611AADDBF}"/>
    <cellStyle name="Percent 4" xfId="19" xr:uid="{9CACD9F4-F197-449F-9527-F7019C88CE5E}"/>
    <cellStyle name="Percent 5" xfId="425" xr:uid="{4A3687E8-54F5-4465-9449-56960A0EEE17}"/>
    <cellStyle name="Title 2" xfId="394" xr:uid="{30D3E545-6EE2-4541-B903-9921955170AF}"/>
    <cellStyle name="Title 3" xfId="508" xr:uid="{6BC732C1-A7E0-4D72-9BD1-4A2295CFD9E2}"/>
    <cellStyle name="Total 2" xfId="470" xr:uid="{5556A42C-9B02-48F9-9721-F2CFFCB9951D}"/>
    <cellStyle name="Warning Text 2" xfId="472" xr:uid="{46DA1A37-DBB7-40BB-8A02-2AD30C99E58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382270</xdr:colOff>
      <xdr:row>25</xdr:row>
      <xdr:rowOff>13464</xdr:rowOff>
    </xdr:from>
    <xdr:to>
      <xdr:col>16</xdr:col>
      <xdr:colOff>237579</xdr:colOff>
      <xdr:row>39</xdr:row>
      <xdr:rowOff>35039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7417DF-441D-140B-63A6-11F3F6D26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08950" y="4638804"/>
          <a:ext cx="4625429" cy="2581895"/>
        </a:xfrm>
        <a:prstGeom prst="rect">
          <a:avLst/>
        </a:prstGeom>
      </xdr:spPr>
    </xdr:pic>
    <xdr:clientData/>
  </xdr:twoCellAnchor>
  <xdr:twoCellAnchor>
    <xdr:from>
      <xdr:col>9</xdr:col>
      <xdr:colOff>749300</xdr:colOff>
      <xdr:row>32</xdr:row>
      <xdr:rowOff>113030</xdr:rowOff>
    </xdr:from>
    <xdr:to>
      <xdr:col>12</xdr:col>
      <xdr:colOff>483870</xdr:colOff>
      <xdr:row>32</xdr:row>
      <xdr:rowOff>113030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1A86324C-8618-D6B0-4A2D-770759A2F1E2}"/>
            </a:ext>
          </a:extLst>
        </xdr:cNvPr>
        <xdr:cNvCxnSpPr/>
      </xdr:nvCxnSpPr>
      <xdr:spPr>
        <a:xfrm flipH="1" flipV="1">
          <a:off x="8475980" y="6018530"/>
          <a:ext cx="2157730" cy="0"/>
        </a:xfrm>
        <a:prstGeom prst="straightConnector1">
          <a:avLst/>
        </a:prstGeom>
        <a:ln w="28575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2"/>
  <sheetViews>
    <sheetView tabSelected="1" topLeftCell="A6" workbookViewId="0">
      <selection activeCell="F16" sqref="F16"/>
    </sheetView>
  </sheetViews>
  <sheetFormatPr defaultRowHeight="14.4"/>
  <cols>
    <col min="2" max="2" width="10.21875" bestFit="1" customWidth="1"/>
    <col min="3" max="3" width="19.33203125" customWidth="1"/>
    <col min="4" max="4" width="15.77734375" customWidth="1"/>
    <col min="5" max="5" width="15.21875" customWidth="1"/>
    <col min="6" max="6" width="11.5546875" bestFit="1" customWidth="1"/>
    <col min="7" max="7" width="9.77734375" bestFit="1" customWidth="1"/>
    <col min="8" max="8" width="13.109375" customWidth="1"/>
    <col min="9" max="9" width="8.77734375" bestFit="1" customWidth="1"/>
    <col min="10" max="10" width="15.5546875" customWidth="1"/>
    <col min="11" max="11" width="12.21875" customWidth="1"/>
    <col min="12" max="12" width="7.5546875" bestFit="1" customWidth="1"/>
    <col min="13" max="13" width="8.5546875" bestFit="1" customWidth="1"/>
    <col min="14" max="14" width="8.77734375" bestFit="1" customWidth="1"/>
    <col min="15" max="16" width="8.44140625" bestFit="1" customWidth="1"/>
  </cols>
  <sheetData>
    <row r="1" spans="2:12" ht="18">
      <c r="B1" s="45" t="s">
        <v>34</v>
      </c>
      <c r="C1" s="45"/>
      <c r="D1" s="45"/>
      <c r="E1" s="45"/>
      <c r="F1" s="45"/>
      <c r="G1" s="45"/>
    </row>
    <row r="4" spans="2:12">
      <c r="B4" s="9" t="s">
        <v>46</v>
      </c>
      <c r="I4" s="10"/>
    </row>
    <row r="5" spans="2:12" ht="15" thickBot="1">
      <c r="B5" s="12" t="s">
        <v>16</v>
      </c>
      <c r="C5" s="12" t="s">
        <v>12</v>
      </c>
      <c r="D5" s="12" t="s">
        <v>11</v>
      </c>
      <c r="E5" s="12" t="s">
        <v>3</v>
      </c>
      <c r="F5" s="13" t="s">
        <v>17</v>
      </c>
      <c r="G5" s="14" t="s">
        <v>5</v>
      </c>
      <c r="H5" s="14" t="s">
        <v>4</v>
      </c>
      <c r="I5" s="14" t="s">
        <v>47</v>
      </c>
    </row>
    <row r="6" spans="2:12">
      <c r="C6" t="s">
        <v>45</v>
      </c>
      <c r="D6" t="s">
        <v>44</v>
      </c>
      <c r="E6">
        <v>2018</v>
      </c>
      <c r="F6">
        <v>0</v>
      </c>
      <c r="H6" t="s">
        <v>36</v>
      </c>
      <c r="I6" s="15" t="s">
        <v>48</v>
      </c>
    </row>
    <row r="7" spans="2:12">
      <c r="C7" t="s">
        <v>45</v>
      </c>
      <c r="D7" t="s">
        <v>44</v>
      </c>
      <c r="E7">
        <v>2025</v>
      </c>
      <c r="F7" s="17">
        <f>D21*E29*D37</f>
        <v>1.2338425999491855</v>
      </c>
      <c r="H7" t="str">
        <f>H6</f>
        <v>IMPBIOJKR_S1</v>
      </c>
      <c r="I7" s="15" t="s">
        <v>48</v>
      </c>
    </row>
    <row r="8" spans="2:12">
      <c r="C8" t="s">
        <v>45</v>
      </c>
      <c r="D8" t="s">
        <v>44</v>
      </c>
      <c r="E8">
        <v>2030</v>
      </c>
      <c r="F8" s="17">
        <f>D21*F29*F37</f>
        <v>8.883666719634137</v>
      </c>
      <c r="H8" t="str">
        <f>H7</f>
        <v>IMPBIOJKR_S1</v>
      </c>
      <c r="I8" s="15" t="s">
        <v>48</v>
      </c>
    </row>
    <row r="9" spans="2:12">
      <c r="C9" t="s">
        <v>45</v>
      </c>
      <c r="D9" t="s">
        <v>44</v>
      </c>
      <c r="E9">
        <v>2050</v>
      </c>
      <c r="F9" s="19">
        <f>D21*G29*G37*1.2</f>
        <v>25.910694598932896</v>
      </c>
      <c r="H9" t="str">
        <f>H7</f>
        <v>IMPBIOJKR_S1</v>
      </c>
      <c r="I9" s="15" t="s">
        <v>48</v>
      </c>
    </row>
    <row r="10" spans="2:12">
      <c r="C10" t="s">
        <v>45</v>
      </c>
      <c r="D10" t="s">
        <v>44</v>
      </c>
      <c r="E10">
        <v>2070</v>
      </c>
      <c r="F10" s="19">
        <f>D21*H29*H37*1.15</f>
        <v>35.47297474853908</v>
      </c>
      <c r="H10" t="str">
        <f>H8</f>
        <v>IMPBIOJKR_S1</v>
      </c>
      <c r="I10" s="15" t="s">
        <v>48</v>
      </c>
    </row>
    <row r="11" spans="2:12">
      <c r="B11" s="35"/>
      <c r="C11" s="35" t="s">
        <v>45</v>
      </c>
      <c r="D11" s="35" t="s">
        <v>44</v>
      </c>
      <c r="E11" s="35">
        <v>0</v>
      </c>
      <c r="F11" s="35">
        <v>5</v>
      </c>
      <c r="G11" s="35"/>
      <c r="H11" s="35" t="str">
        <f>H9</f>
        <v>IMPBIOJKR_S1</v>
      </c>
      <c r="I11" s="35"/>
    </row>
    <row r="12" spans="2:12">
      <c r="C12" t="s">
        <v>45</v>
      </c>
      <c r="D12" t="s">
        <v>44</v>
      </c>
      <c r="E12">
        <v>2018</v>
      </c>
      <c r="F12">
        <v>0</v>
      </c>
      <c r="H12" t="s">
        <v>37</v>
      </c>
      <c r="I12" s="15" t="s">
        <v>49</v>
      </c>
    </row>
    <row r="13" spans="2:12">
      <c r="C13" t="s">
        <v>45</v>
      </c>
      <c r="D13" t="s">
        <v>44</v>
      </c>
      <c r="E13">
        <v>2030</v>
      </c>
      <c r="F13" s="17">
        <f>D21*F30*F37</f>
        <v>0.74030555996951131</v>
      </c>
      <c r="H13" t="str">
        <f>H12</f>
        <v>IMPPtLKER</v>
      </c>
      <c r="I13" s="15" t="s">
        <v>49</v>
      </c>
      <c r="J13" s="16"/>
      <c r="K13" s="16"/>
      <c r="L13" s="16"/>
    </row>
    <row r="14" spans="2:12">
      <c r="C14" t="s">
        <v>45</v>
      </c>
      <c r="D14" t="s">
        <v>44</v>
      </c>
      <c r="E14">
        <v>2050</v>
      </c>
      <c r="F14" s="19">
        <f>D21*G30*G37*1.2</f>
        <v>25.910694598932896</v>
      </c>
      <c r="H14" t="str">
        <f>H13</f>
        <v>IMPPtLKER</v>
      </c>
      <c r="I14" s="15" t="s">
        <v>49</v>
      </c>
    </row>
    <row r="15" spans="2:12">
      <c r="C15" t="s">
        <v>45</v>
      </c>
      <c r="D15" t="s">
        <v>44</v>
      </c>
      <c r="E15">
        <v>2070</v>
      </c>
      <c r="F15" s="19">
        <f>D21*H30*H37*1.15</f>
        <v>35.47297474853908</v>
      </c>
      <c r="H15" t="str">
        <f>H14</f>
        <v>IMPPtLKER</v>
      </c>
      <c r="I15" s="15" t="s">
        <v>49</v>
      </c>
    </row>
    <row r="16" spans="2:12">
      <c r="B16" s="35"/>
      <c r="C16" s="35" t="s">
        <v>45</v>
      </c>
      <c r="D16" s="35" t="s">
        <v>44</v>
      </c>
      <c r="E16" s="35">
        <v>0</v>
      </c>
      <c r="F16" s="35">
        <v>5</v>
      </c>
      <c r="G16" s="35"/>
      <c r="H16" s="35" t="str">
        <f>H14</f>
        <v>IMPPtLKER</v>
      </c>
      <c r="I16" s="35"/>
    </row>
    <row r="18" spans="3:35">
      <c r="C18" s="23" t="s">
        <v>38</v>
      </c>
      <c r="D18" s="20"/>
      <c r="E18" s="20"/>
    </row>
    <row r="19" spans="3:35">
      <c r="C19" s="25"/>
      <c r="D19" s="26">
        <v>2024</v>
      </c>
      <c r="E19" s="26">
        <v>2023</v>
      </c>
    </row>
    <row r="20" spans="3:35">
      <c r="C20" s="24" t="s">
        <v>39</v>
      </c>
      <c r="D20" s="21">
        <v>1473.4912104103198</v>
      </c>
      <c r="E20" s="21">
        <v>1437.4366418671198</v>
      </c>
    </row>
    <row r="21" spans="3:35">
      <c r="C21" s="18" t="s">
        <v>35</v>
      </c>
      <c r="D21" s="22">
        <v>61.692129997459276</v>
      </c>
      <c r="E21" s="22">
        <v>60.182597321692576</v>
      </c>
    </row>
    <row r="24" spans="3:35">
      <c r="J24" t="s">
        <v>53</v>
      </c>
    </row>
    <row r="27" spans="3:35">
      <c r="C27" s="28" t="s">
        <v>40</v>
      </c>
      <c r="D27" s="27"/>
      <c r="E27" s="27"/>
      <c r="F27" s="27"/>
      <c r="G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</row>
    <row r="28" spans="3:35">
      <c r="C28" s="31"/>
      <c r="D28" s="31">
        <v>2020</v>
      </c>
      <c r="E28" s="31">
        <v>2025</v>
      </c>
      <c r="F28" s="31">
        <v>2030</v>
      </c>
      <c r="G28" s="31">
        <v>2050</v>
      </c>
      <c r="H28" s="31">
        <v>2070</v>
      </c>
    </row>
    <row r="29" spans="3:35">
      <c r="C29" s="33" t="s">
        <v>41</v>
      </c>
      <c r="D29" s="29">
        <f>B50</f>
        <v>0</v>
      </c>
      <c r="E29" s="32">
        <f>G50</f>
        <v>0.02</v>
      </c>
      <c r="F29" s="32">
        <f>L50</f>
        <v>0.14400000000000002</v>
      </c>
      <c r="G29" s="29">
        <f>AF50</f>
        <v>0.35</v>
      </c>
      <c r="H29" s="29">
        <v>0.5</v>
      </c>
    </row>
    <row r="30" spans="3:35">
      <c r="C30" s="33" t="s">
        <v>42</v>
      </c>
      <c r="D30" s="29">
        <f>B51</f>
        <v>0</v>
      </c>
      <c r="E30" s="32">
        <f>G51</f>
        <v>0</v>
      </c>
      <c r="F30" s="32">
        <f>L51</f>
        <v>1.2E-2</v>
      </c>
      <c r="G30" s="29">
        <f>AF51</f>
        <v>0.35</v>
      </c>
      <c r="H30" s="29">
        <v>0.5</v>
      </c>
    </row>
    <row r="31" spans="3:35">
      <c r="C31" s="34" t="s">
        <v>43</v>
      </c>
      <c r="D31" s="30">
        <f>D30+D29</f>
        <v>0</v>
      </c>
      <c r="E31" s="30">
        <f t="shared" ref="E31:H31" si="0">E30+E29</f>
        <v>0.02</v>
      </c>
      <c r="F31" s="30">
        <f t="shared" si="0"/>
        <v>0.15600000000000003</v>
      </c>
      <c r="G31" s="30">
        <f t="shared" si="0"/>
        <v>0.7</v>
      </c>
      <c r="H31" s="30">
        <f t="shared" si="0"/>
        <v>1</v>
      </c>
    </row>
    <row r="35" spans="1:33">
      <c r="C35" s="28" t="s">
        <v>50</v>
      </c>
      <c r="D35" s="27"/>
      <c r="E35" s="27"/>
      <c r="F35" s="27"/>
      <c r="G35" s="27"/>
    </row>
    <row r="36" spans="1:33">
      <c r="C36" s="31"/>
      <c r="D36" s="31">
        <v>2020</v>
      </c>
      <c r="E36" s="31">
        <v>2025</v>
      </c>
      <c r="F36" s="31">
        <v>2030</v>
      </c>
      <c r="G36" s="31">
        <v>2050</v>
      </c>
      <c r="H36" s="31">
        <v>2070</v>
      </c>
    </row>
    <row r="37" spans="1:33">
      <c r="C37" s="33" t="s">
        <v>51</v>
      </c>
      <c r="D37" s="36">
        <v>1</v>
      </c>
      <c r="E37" s="36">
        <v>1</v>
      </c>
      <c r="F37" s="36">
        <v>1</v>
      </c>
      <c r="G37" s="36">
        <v>1</v>
      </c>
      <c r="H37" s="36">
        <v>1</v>
      </c>
    </row>
    <row r="38" spans="1:33">
      <c r="C38" s="33" t="s">
        <v>55</v>
      </c>
      <c r="D38" s="36">
        <v>0.5</v>
      </c>
      <c r="E38" s="36">
        <v>0.5</v>
      </c>
      <c r="F38" s="36">
        <v>0.5</v>
      </c>
      <c r="G38" s="36">
        <v>0.5</v>
      </c>
      <c r="H38" s="36">
        <v>0.5</v>
      </c>
    </row>
    <row r="39" spans="1:33">
      <c r="C39" s="34" t="s">
        <v>52</v>
      </c>
      <c r="D39" s="37">
        <v>0.25</v>
      </c>
      <c r="E39" s="37">
        <v>0.25</v>
      </c>
      <c r="F39" s="37">
        <v>0.25</v>
      </c>
      <c r="G39" s="37">
        <v>0.25</v>
      </c>
      <c r="H39" s="37">
        <v>0.25</v>
      </c>
    </row>
    <row r="41" spans="1:33">
      <c r="F41" s="38" t="s">
        <v>54</v>
      </c>
      <c r="G41" s="39">
        <v>0.5</v>
      </c>
    </row>
    <row r="48" spans="1:33">
      <c r="A48" s="42" t="s">
        <v>40</v>
      </c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0"/>
    </row>
    <row r="49" spans="1:33">
      <c r="A49" s="43"/>
      <c r="B49" s="43">
        <v>2020</v>
      </c>
      <c r="C49" s="43">
        <v>2021</v>
      </c>
      <c r="D49" s="43">
        <v>2022</v>
      </c>
      <c r="E49" s="43">
        <v>2023</v>
      </c>
      <c r="F49" s="43">
        <v>2024</v>
      </c>
      <c r="G49" s="43">
        <v>2025</v>
      </c>
      <c r="H49" s="43">
        <v>2026</v>
      </c>
      <c r="I49" s="43">
        <v>2027</v>
      </c>
      <c r="J49" s="43">
        <v>2028</v>
      </c>
      <c r="K49" s="43">
        <v>2029</v>
      </c>
      <c r="L49" s="43">
        <v>2030</v>
      </c>
      <c r="M49" s="43">
        <v>2031</v>
      </c>
      <c r="N49" s="43">
        <v>2032</v>
      </c>
      <c r="O49" s="43">
        <v>2033</v>
      </c>
      <c r="P49" s="43">
        <v>2034</v>
      </c>
      <c r="Q49" s="43">
        <v>2035</v>
      </c>
      <c r="R49" s="43">
        <v>2036</v>
      </c>
      <c r="S49" s="43">
        <v>2037</v>
      </c>
      <c r="T49" s="43">
        <v>2038</v>
      </c>
      <c r="U49" s="43">
        <v>2039</v>
      </c>
      <c r="V49" s="43">
        <v>2040</v>
      </c>
      <c r="W49" s="43">
        <v>2041</v>
      </c>
      <c r="X49" s="43">
        <v>2042</v>
      </c>
      <c r="Y49" s="43">
        <v>2043</v>
      </c>
      <c r="Z49" s="43">
        <v>2044</v>
      </c>
      <c r="AA49" s="43">
        <v>2045</v>
      </c>
      <c r="AB49" s="43">
        <v>2046</v>
      </c>
      <c r="AC49" s="43">
        <v>2047</v>
      </c>
      <c r="AD49" s="43">
        <v>2048</v>
      </c>
      <c r="AE49" s="43">
        <v>2049</v>
      </c>
      <c r="AF49" s="43">
        <v>2050</v>
      </c>
      <c r="AG49" s="40"/>
    </row>
    <row r="50" spans="1:33">
      <c r="A50" s="33" t="s">
        <v>41</v>
      </c>
      <c r="B50" s="29">
        <v>0</v>
      </c>
      <c r="C50" s="29">
        <v>0</v>
      </c>
      <c r="D50" s="29">
        <v>0</v>
      </c>
      <c r="E50" s="29">
        <v>0</v>
      </c>
      <c r="F50" s="29">
        <v>0</v>
      </c>
      <c r="G50" s="32">
        <v>0.02</v>
      </c>
      <c r="H50" s="32">
        <v>4.7200000000000006E-2</v>
      </c>
      <c r="I50" s="32">
        <v>7.4400000000000008E-2</v>
      </c>
      <c r="J50" s="32">
        <v>0.10160000000000001</v>
      </c>
      <c r="K50" s="32">
        <v>0.12880000000000003</v>
      </c>
      <c r="L50" s="32">
        <v>0.14400000000000002</v>
      </c>
      <c r="M50" s="32">
        <v>0.15430000000000002</v>
      </c>
      <c r="N50" s="32">
        <v>0.16460000000000002</v>
      </c>
      <c r="O50" s="32">
        <v>0.17490000000000006</v>
      </c>
      <c r="P50" s="32">
        <v>0.18520000000000003</v>
      </c>
      <c r="Q50" s="32">
        <v>0.19550000000000006</v>
      </c>
      <c r="R50" s="32">
        <v>0.20580000000000004</v>
      </c>
      <c r="S50" s="32">
        <v>0.21610000000000007</v>
      </c>
      <c r="T50" s="32">
        <v>0.22640000000000007</v>
      </c>
      <c r="U50" s="32">
        <v>0.23670000000000008</v>
      </c>
      <c r="V50" s="32">
        <v>0.24700000000000008</v>
      </c>
      <c r="W50" s="32">
        <v>0.25730000000000008</v>
      </c>
      <c r="X50" s="32">
        <v>0.26760000000000006</v>
      </c>
      <c r="Y50" s="32">
        <v>0.27790000000000009</v>
      </c>
      <c r="Z50" s="32">
        <v>0.28820000000000012</v>
      </c>
      <c r="AA50" s="32">
        <v>0.2985000000000001</v>
      </c>
      <c r="AB50" s="32">
        <v>0.30880000000000007</v>
      </c>
      <c r="AC50" s="32">
        <v>0.31910000000000005</v>
      </c>
      <c r="AD50" s="32">
        <v>0.32940000000000003</v>
      </c>
      <c r="AE50" s="32">
        <v>0.3397</v>
      </c>
      <c r="AF50" s="32">
        <v>0.35</v>
      </c>
      <c r="AG50" s="40"/>
    </row>
    <row r="51" spans="1:33">
      <c r="A51" s="33" t="s">
        <v>42</v>
      </c>
      <c r="B51" s="29">
        <v>0</v>
      </c>
      <c r="C51" s="29">
        <v>0</v>
      </c>
      <c r="D51" s="29">
        <v>0</v>
      </c>
      <c r="E51" s="29">
        <v>0</v>
      </c>
      <c r="F51" s="29">
        <v>0</v>
      </c>
      <c r="G51" s="29">
        <v>0</v>
      </c>
      <c r="H51" s="29">
        <v>0</v>
      </c>
      <c r="I51" s="29">
        <v>0</v>
      </c>
      <c r="J51" s="29">
        <v>0</v>
      </c>
      <c r="K51" s="29">
        <v>0</v>
      </c>
      <c r="L51" s="32">
        <v>1.2E-2</v>
      </c>
      <c r="M51" s="32">
        <v>2.8899999999999999E-2</v>
      </c>
      <c r="N51" s="32">
        <v>4.5799999999999993E-2</v>
      </c>
      <c r="O51" s="32">
        <v>6.2699999999999992E-2</v>
      </c>
      <c r="P51" s="32">
        <v>7.959999999999999E-2</v>
      </c>
      <c r="Q51" s="32">
        <v>9.6499999999999989E-2</v>
      </c>
      <c r="R51" s="32">
        <v>0.11339999999999999</v>
      </c>
      <c r="S51" s="32">
        <v>0.13029999999999997</v>
      </c>
      <c r="T51" s="32">
        <v>0.14719999999999997</v>
      </c>
      <c r="U51" s="32">
        <v>0.16409999999999997</v>
      </c>
      <c r="V51" s="32">
        <v>0.18099999999999997</v>
      </c>
      <c r="W51" s="32">
        <v>0.19789999999999996</v>
      </c>
      <c r="X51" s="32">
        <v>0.21479999999999996</v>
      </c>
      <c r="Y51" s="32">
        <v>0.23169999999999996</v>
      </c>
      <c r="Z51" s="32">
        <v>0.24859999999999996</v>
      </c>
      <c r="AA51" s="32">
        <v>0.26549999999999996</v>
      </c>
      <c r="AB51" s="32">
        <v>0.28239999999999998</v>
      </c>
      <c r="AC51" s="32">
        <v>0.29930000000000001</v>
      </c>
      <c r="AD51" s="32">
        <v>0.31620000000000004</v>
      </c>
      <c r="AE51" s="32">
        <v>0.33310000000000006</v>
      </c>
      <c r="AF51" s="29">
        <v>0.35</v>
      </c>
      <c r="AG51" s="40"/>
    </row>
    <row r="52" spans="1:33">
      <c r="A52" s="34" t="s">
        <v>43</v>
      </c>
      <c r="B52" s="30">
        <v>0</v>
      </c>
      <c r="C52" s="30">
        <v>0</v>
      </c>
      <c r="D52" s="30">
        <v>0</v>
      </c>
      <c r="E52" s="30">
        <v>0</v>
      </c>
      <c r="F52" s="30">
        <v>0</v>
      </c>
      <c r="G52" s="44">
        <v>0.02</v>
      </c>
      <c r="H52" s="44">
        <v>4.7200000000000006E-2</v>
      </c>
      <c r="I52" s="44">
        <v>7.4400000000000008E-2</v>
      </c>
      <c r="J52" s="44">
        <v>0.10160000000000001</v>
      </c>
      <c r="K52" s="44">
        <v>0.12880000000000003</v>
      </c>
      <c r="L52" s="44">
        <v>0.15600000000000003</v>
      </c>
      <c r="M52" s="44">
        <v>0.18320000000000003</v>
      </c>
      <c r="N52" s="44">
        <v>0.21040000000000003</v>
      </c>
      <c r="O52" s="44">
        <v>0.23760000000000003</v>
      </c>
      <c r="P52" s="44">
        <v>0.26480000000000004</v>
      </c>
      <c r="Q52" s="44">
        <v>0.29200000000000004</v>
      </c>
      <c r="R52" s="44">
        <v>0.31920000000000004</v>
      </c>
      <c r="S52" s="44">
        <v>0.34640000000000004</v>
      </c>
      <c r="T52" s="44">
        <v>0.37360000000000004</v>
      </c>
      <c r="U52" s="44">
        <v>0.40080000000000005</v>
      </c>
      <c r="V52" s="44">
        <v>0.42800000000000005</v>
      </c>
      <c r="W52" s="44">
        <v>0.45520000000000005</v>
      </c>
      <c r="X52" s="44">
        <v>0.48240000000000005</v>
      </c>
      <c r="Y52" s="44">
        <v>0.50960000000000005</v>
      </c>
      <c r="Z52" s="44">
        <v>0.53680000000000005</v>
      </c>
      <c r="AA52" s="44">
        <v>0.56400000000000006</v>
      </c>
      <c r="AB52" s="44">
        <v>0.59120000000000006</v>
      </c>
      <c r="AC52" s="44">
        <v>0.61840000000000006</v>
      </c>
      <c r="AD52" s="44">
        <v>0.64560000000000006</v>
      </c>
      <c r="AE52" s="44">
        <v>0.67280000000000006</v>
      </c>
      <c r="AF52" s="44">
        <v>0.7</v>
      </c>
      <c r="AG52" s="40" t="s">
        <v>56</v>
      </c>
    </row>
  </sheetData>
  <mergeCells count="1">
    <mergeCell ref="B1:G1"/>
  </mergeCells>
  <phoneticPr fontId="22" type="noConversion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"/>
  <sheetViews>
    <sheetView workbookViewId="0">
      <selection activeCell="B1" sqref="B1:G1"/>
    </sheetView>
  </sheetViews>
  <sheetFormatPr defaultRowHeight="14.4"/>
  <cols>
    <col min="2" max="2" width="10.21875" bestFit="1" customWidth="1"/>
    <col min="3" max="4" width="8.77734375" bestFit="1" customWidth="1"/>
    <col min="5" max="5" width="5.21875" bestFit="1" customWidth="1"/>
    <col min="6" max="6" width="11.5546875" bestFit="1" customWidth="1"/>
    <col min="7" max="7" width="9.77734375" bestFit="1" customWidth="1"/>
    <col min="8" max="8" width="10.77734375" bestFit="1" customWidth="1"/>
    <col min="9" max="9" width="8.77734375" bestFit="1" customWidth="1"/>
    <col min="10" max="11" width="8.44140625" bestFit="1" customWidth="1"/>
    <col min="12" max="12" width="7.5546875" bestFit="1" customWidth="1"/>
    <col min="13" max="13" width="8.5546875" bestFit="1" customWidth="1"/>
    <col min="14" max="14" width="8.77734375" bestFit="1" customWidth="1"/>
    <col min="15" max="16" width="8.44140625" bestFit="1" customWidth="1"/>
  </cols>
  <sheetData>
    <row r="1" spans="1:16">
      <c r="A1" t="s">
        <v>33</v>
      </c>
    </row>
    <row r="2" spans="1:16">
      <c r="B2" s="9" t="s">
        <v>23</v>
      </c>
      <c r="I2" s="10"/>
      <c r="J2" s="11"/>
      <c r="K2" s="11"/>
      <c r="L2" s="11"/>
      <c r="M2" s="11"/>
      <c r="N2" s="11"/>
      <c r="O2" s="11"/>
      <c r="P2" s="11"/>
    </row>
    <row r="3" spans="1:16" ht="15" thickBot="1">
      <c r="B3" s="12" t="s">
        <v>16</v>
      </c>
      <c r="C3" s="12" t="s">
        <v>12</v>
      </c>
      <c r="D3" s="12" t="s">
        <v>11</v>
      </c>
      <c r="E3" s="12" t="s">
        <v>3</v>
      </c>
      <c r="F3" s="12" t="s">
        <v>21</v>
      </c>
      <c r="G3" s="12" t="s">
        <v>22</v>
      </c>
      <c r="H3" s="13" t="s">
        <v>17</v>
      </c>
      <c r="I3" s="14" t="s">
        <v>5</v>
      </c>
      <c r="J3" s="14" t="s">
        <v>4</v>
      </c>
      <c r="K3" s="14" t="s">
        <v>18</v>
      </c>
      <c r="L3" s="14" t="s">
        <v>2</v>
      </c>
      <c r="M3" s="14" t="s">
        <v>7</v>
      </c>
      <c r="N3" s="14" t="s">
        <v>19</v>
      </c>
      <c r="O3" s="14" t="s">
        <v>6</v>
      </c>
      <c r="P3" s="14" t="s">
        <v>20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"/>
  <sheetViews>
    <sheetView workbookViewId="0">
      <selection activeCell="B1" sqref="B1:G1"/>
    </sheetView>
  </sheetViews>
  <sheetFormatPr defaultRowHeight="14.4"/>
  <cols>
    <col min="13" max="13" width="10.5546875" bestFit="1" customWidth="1"/>
    <col min="14" max="14" width="12" bestFit="1" customWidth="1"/>
  </cols>
  <sheetData>
    <row r="1" spans="1:15">
      <c r="A1" t="s">
        <v>24</v>
      </c>
    </row>
    <row r="2" spans="1:15">
      <c r="B2" s="1" t="s">
        <v>0</v>
      </c>
    </row>
    <row r="3" spans="1:15">
      <c r="B3" s="7" t="s">
        <v>13</v>
      </c>
    </row>
    <row r="4" spans="1:15">
      <c r="J4" t="s">
        <v>8</v>
      </c>
    </row>
    <row r="5" spans="1:1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17</v>
      </c>
      <c r="N5" s="8" t="s">
        <v>29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"/>
  <sheetViews>
    <sheetView workbookViewId="0"/>
  </sheetViews>
  <sheetFormatPr defaultRowHeight="14.4"/>
  <cols>
    <col min="13" max="13" width="10.5546875" bestFit="1" customWidth="1"/>
    <col min="14" max="14" width="12" bestFit="1" customWidth="1"/>
  </cols>
  <sheetData>
    <row r="1" spans="1:15">
      <c r="A1" t="s">
        <v>26</v>
      </c>
    </row>
    <row r="2" spans="1:15">
      <c r="B2" s="1" t="s">
        <v>0</v>
      </c>
    </row>
    <row r="3" spans="1:15">
      <c r="B3" s="7" t="s">
        <v>25</v>
      </c>
    </row>
    <row r="4" spans="1:15">
      <c r="J4" t="s">
        <v>8</v>
      </c>
    </row>
    <row r="5" spans="1:1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17</v>
      </c>
      <c r="N5" s="8" t="s">
        <v>30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"/>
  <sheetViews>
    <sheetView workbookViewId="0"/>
  </sheetViews>
  <sheetFormatPr defaultRowHeight="14.4"/>
  <cols>
    <col min="13" max="13" width="10.5546875" bestFit="1" customWidth="1"/>
    <col min="14" max="14" width="10.77734375" bestFit="1" customWidth="1"/>
  </cols>
  <sheetData>
    <row r="1" spans="1:15">
      <c r="A1" t="s">
        <v>27</v>
      </c>
    </row>
    <row r="2" spans="1:15">
      <c r="B2" s="7" t="s">
        <v>15</v>
      </c>
    </row>
    <row r="3" spans="1:15">
      <c r="B3" s="7" t="s">
        <v>13</v>
      </c>
    </row>
    <row r="4" spans="1:15">
      <c r="J4" t="s">
        <v>8</v>
      </c>
    </row>
    <row r="5" spans="1:1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17</v>
      </c>
      <c r="N5" s="8" t="s">
        <v>31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"/>
  <sheetViews>
    <sheetView workbookViewId="0">
      <selection activeCell="E22" sqref="E22"/>
    </sheetView>
  </sheetViews>
  <sheetFormatPr defaultRowHeight="14.4"/>
  <cols>
    <col min="13" max="13" width="10.5546875" bestFit="1" customWidth="1"/>
  </cols>
  <sheetData>
    <row r="1" spans="1:15">
      <c r="A1" t="s">
        <v>28</v>
      </c>
    </row>
    <row r="2" spans="1:15">
      <c r="B2" s="7" t="s">
        <v>15</v>
      </c>
    </row>
    <row r="3" spans="1:15">
      <c r="B3" s="7" t="s">
        <v>25</v>
      </c>
    </row>
    <row r="4" spans="1:15">
      <c r="J4" t="s">
        <v>8</v>
      </c>
    </row>
    <row r="5" spans="1:1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17</v>
      </c>
      <c r="N5" s="8" t="s">
        <v>32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</vt:lpstr>
      <vt:lpstr>UPD</vt:lpstr>
      <vt:lpstr>UCT1</vt:lpstr>
      <vt:lpstr>UCT2</vt:lpstr>
      <vt:lpstr>UCT3</vt:lpstr>
      <vt:lpstr>UCT4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Vahid Aryanpur</cp:lastModifiedBy>
  <dcterms:created xsi:type="dcterms:W3CDTF">2009-05-27T15:40:55Z</dcterms:created>
  <dcterms:modified xsi:type="dcterms:W3CDTF">2026-08-07T13:33:58Z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975490748882293</vt:r8>
  </property>
</Properties>
</file>