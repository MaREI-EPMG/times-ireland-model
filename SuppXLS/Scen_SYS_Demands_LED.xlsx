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trProps/ctrProp1.xml" ContentType="application/vnd.ms-excel.controlproperties+xml"/>
  <Override PartName="/xl/drawings/drawing1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429"/>
  <workbookPr updateLinks="never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bookViews>
    <workbookView xWindow="-120" yWindow="-120" windowWidth="29040" windowHeight="15720" activeTab="4"/>
  </bookViews>
  <sheets>
    <sheet name="BY-Demands" sheetId="5" r:id="rId4"/>
    <sheet name="REG_TRA_DEMANDS" sheetId="6" r:id="rId5"/>
    <sheet name="Regions" sheetId="7" r:id="rId6"/>
    <sheet name="DEMANDS" sheetId="1" r:id="rId7"/>
    <sheet name="Residential" sheetId="8" r:id="rId8"/>
    <sheet name="Inputs_RSD" sheetId="11" r:id="rId9"/>
    <sheet name="Fill_data" sheetId="10" r:id="rId10"/>
    <sheet name="Services" sheetId="9" r:id="rId11"/>
    <sheet name="Inputs_SRV" sheetId="12" r:id="rId12"/>
  </sheets>
  <definedNames>
    <definedName name="__123Graph_AEUMILKPN" localSheetId="0" hidden="1">#REF!</definedName>
    <definedName name="__123Graph_AEUMILKPN" localSheetId="1" hidden="1">#REF!</definedName>
    <definedName name="__123Graph_AEUMILKPN" localSheetId="2" hidden="1">#REF!</definedName>
    <definedName name="__123Graph_AEUMILKPN" hidden="1">#REF!</definedName>
    <definedName name="_Regression_Y" localSheetId="0" hidden="1">#REF!</definedName>
    <definedName name="_Regression_Y" localSheetId="1" hidden="1">#REF!</definedName>
    <definedName name="_Regression_Y" localSheetId="2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V_alku">"1.10."</definedName>
    <definedName name="IV_loppu">"31.12."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tc={EE47C40C-5DEB-40BD-AEEA-BC74DDB7B88B}</author>
    <author>tc={A742DC92-1298-4154-AADF-F8E803920668}</author>
    <author>tc={FFC535D2-2499-4955-B5BC-EDEFAB18BEAB}</author>
  </authors>
  <commentList>
    <comment ref="K68" authorId="0" shapeId="0" xr:uid="{7E3C98BF-964D-41A8-B469-6C64B6EE8233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I71" authorId="1" shapeId="0" xr:uid="{EE47C40C-5DEB-40BD-AEEA-BC74DDB7B88B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71" authorId="2" shapeId="0" xr:uid="{A742DC92-1298-4154-AADF-F8E803920668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K71" authorId="3" shapeId="0" xr:uid="{FFC535D2-2499-4955-B5BC-EDEFAB18BEAB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sharedStrings.xml><?xml version="1.0" encoding="utf-8"?>
<sst xmlns="http://schemas.openxmlformats.org/spreadsheetml/2006/main" count="3220" uniqueCount="286">
  <si>
    <t xml:space="preserve"> </t>
  </si>
  <si>
    <t>LimType</t>
  </si>
  <si>
    <t>Attribute</t>
  </si>
  <si>
    <t>Region</t>
  </si>
  <si>
    <t>Cset_CN</t>
  </si>
  <si>
    <t>*Description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</si>
  <si>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</si>
  <si>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</si>
  <si>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</si>
  <si>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</si>
  <si>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</si>
  <si>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</si>
  <si>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</si>
  <si>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</si>
  <si>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</si>
  <si>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</si>
  <si>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</si>
  <si>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</si>
  <si>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</si>
  <si>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</si>
  <si>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</si>
  <si>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</si>
  <si>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</si>
  <si>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</si>
  <si>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</si>
  <si>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</si>
  <si>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</si>
  <si>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</si>
  <si>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</si>
  <si>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</si>
  <si>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</si>
  <si>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</si>
  <si>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</si>
  <si>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</si>
  <si>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</si>
  <si>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</si>
  <si>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</si>
  <si>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</si>
  <si>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</si>
  <si>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</si>
  <si>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</si>
  <si>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</si>
  <si>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</si>
  <si>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</si>
  <si>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</si>
  <si>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</si>
  <si>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</si>
  <si>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</si>
  <si>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</si>
  <si>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</si>
  <si>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</si>
  <si>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</si>
  <si>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</si>
  <si>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</si>
  <si>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</si>
  <si>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</si>
  <si>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</si>
  <si>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</si>
  <si>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IE</t>
  </si>
  <si>
    <t>COM_PROJ</t>
  </si>
  <si>
    <t>National</t>
  </si>
  <si>
    <t>Year</t>
  </si>
  <si>
    <t>~TFM_FILL</t>
  </si>
  <si>
    <t>Operation_Sum_Avg_Count</t>
  </si>
  <si>
    <t>Scenario Name</t>
  </si>
  <si>
    <t>TimeSlice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</si>
  <si>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</si>
  <si>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</si>
  <si>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</si>
  <si>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</si>
  <si>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</si>
  <si>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</si>
  <si>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</si>
  <si>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</si>
  <si>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</si>
  <si>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~TFM_DINS</t>
  </si>
  <si>
    <t>IE-CW</t>
  </si>
  <si>
    <t>IE-D</t>
  </si>
  <si>
    <t>IE-KE</t>
  </si>
  <si>
    <t>IE-KK</t>
  </si>
  <si>
    <t>IE-LS</t>
  </si>
  <si>
    <t>IE-LD</t>
  </si>
  <si>
    <t>IE-LH</t>
  </si>
  <si>
    <t>IE-MH</t>
  </si>
  <si>
    <t>IE-OY</t>
  </si>
  <si>
    <t>IE-WH</t>
  </si>
  <si>
    <t>IE-WX</t>
  </si>
  <si>
    <t>IE-WW</t>
  </si>
  <si>
    <t>IE-CE</t>
  </si>
  <si>
    <t>IE-CO</t>
  </si>
  <si>
    <t>IE-KY</t>
  </si>
  <si>
    <t>IE-LK</t>
  </si>
  <si>
    <t>IE-TA</t>
  </si>
  <si>
    <t>IE-WD</t>
  </si>
  <si>
    <t>IE-G</t>
  </si>
  <si>
    <t>IE-LM</t>
  </si>
  <si>
    <t>IE-MO</t>
  </si>
  <si>
    <t>IE-RN</t>
  </si>
  <si>
    <t>IE-SO</t>
  </si>
  <si>
    <t>IE-CN</t>
  </si>
  <si>
    <t>IE-DL</t>
  </si>
  <si>
    <t>IE-MN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</si>
  <si>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</si>
  <si>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</si>
  <si>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</si>
  <si>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</si>
  <si>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</si>
  <si>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</si>
  <si>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</si>
  <si>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</si>
  <si>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</si>
  <si>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</si>
  <si>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</si>
  <si>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</si>
  <si>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</si>
  <si>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</si>
  <si>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</si>
  <si>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</si>
  <si>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</si>
  <si>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</si>
  <si>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</si>
  <si>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</si>
  <si>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</si>
  <si>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</si>
  <si>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</si>
  <si>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</si>
  <si>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</si>
  <si>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</si>
  <si>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</si>
  <si>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County name</t>
  </si>
  <si>
    <t>Code</t>
  </si>
  <si>
    <t>Multi-region</t>
  </si>
  <si>
    <t>Single-region</t>
  </si>
  <si>
    <t>Development</t>
  </si>
  <si>
    <t>RSDSC_Apt</t>
  </si>
  <si>
    <t>RSDSC_Att</t>
  </si>
  <si>
    <t>RSDSC_Det</t>
  </si>
  <si>
    <t>RSDWH_Apt</t>
  </si>
  <si>
    <t>RSDWH_Att</t>
  </si>
  <si>
    <t>RSDWH_Det</t>
  </si>
  <si>
    <t>RSDLT_Apt</t>
  </si>
  <si>
    <t>RSDLT_Att</t>
  </si>
  <si>
    <t>RSDLT_Det</t>
  </si>
  <si>
    <t>RSDPF_Apt</t>
  </si>
  <si>
    <t>RSDPF_Att</t>
  </si>
  <si>
    <t>RSDPF_Det</t>
  </si>
  <si>
    <t>~TFM_INS-TS</t>
  </si>
  <si>
    <t>~TFM_INS</t>
  </si>
  <si>
    <t>Pset_PN</t>
  </si>
  <si>
    <t>Other_indexes</t>
  </si>
  <si>
    <t>*Unit</t>
  </si>
  <si>
    <t>INPUT</t>
  </si>
  <si>
    <t>PJ/000 dwelling</t>
  </si>
  <si>
    <t>Pset_CI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</si>
  <si>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</si>
  <si>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</si>
  <si>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</si>
  <si>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</si>
  <si>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</si>
  <si>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</si>
  <si>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</si>
  <si>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</si>
  <si>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PJ/Mm2</t>
  </si>
  <si>
    <t>SRVSH-CS</t>
  </si>
  <si>
    <t>SRVWH-CS</t>
  </si>
  <si>
    <t>SRVSC-CS</t>
  </si>
  <si>
    <t>SRVCK-CS</t>
  </si>
  <si>
    <t>SRVLIG-CS</t>
  </si>
  <si>
    <t>SRVREF-CS</t>
  </si>
  <si>
    <t>SRVOEL-CS</t>
  </si>
  <si>
    <t>SRVSH-PU</t>
  </si>
  <si>
    <t>SRVWH-PU</t>
  </si>
  <si>
    <t>SRVSC-PU</t>
  </si>
  <si>
    <t>SRVCK-PU</t>
  </si>
  <si>
    <t>SRVLIG-PU</t>
  </si>
  <si>
    <t>SRVREF-PU</t>
  </si>
  <si>
    <t>SRVOEL-PU</t>
  </si>
  <si>
    <t>Attrib_Cond</t>
  </si>
  <si>
    <t>Val_Cond</t>
  </si>
  <si>
    <t>IE,National</t>
  </si>
  <si>
    <t>TS_Filter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</si>
  <si>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</si>
  <si>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</si>
  <si>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</si>
  <si>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</si>
  <si>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</si>
  <si>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</si>
  <si>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</si>
  <si>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RSDSH*</t>
  </si>
  <si>
    <t>RSDSC*</t>
  </si>
  <si>
    <t>RSDWH*</t>
  </si>
  <si>
    <t>RSDLT*</t>
  </si>
  <si>
    <t>RSDPF*</t>
  </si>
  <si>
    <t>Scenario</t>
  </si>
  <si>
    <t>AllRegions</t>
  </si>
  <si>
    <t>Pset_CO</t>
  </si>
  <si>
    <t>-*N1</t>
  </si>
  <si>
    <t>*N1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</si>
  <si>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</si>
  <si>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</si>
  <si>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</si>
  <si>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</si>
  <si>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</si>
  <si>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</si>
  <si>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</si>
  <si>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</si>
  <si>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</si>
  <si>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</si>
  <si>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</si>
  <si>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R-BLD_Apt_A</t>
  </si>
  <si>
    <t>-</t>
  </si>
  <si>
    <t>ANNUAL</t>
  </si>
  <si>
    <t>RSDSH_Apt-AB</t>
  </si>
  <si>
    <t>R-BLD_Apt_B1</t>
  </si>
  <si>
    <t>R-BLD_Apt_B2</t>
  </si>
  <si>
    <t>R-BLD_Apt_B3</t>
  </si>
  <si>
    <t>R-BLD_Apt_C</t>
  </si>
  <si>
    <t>RSDSH_Apt-C</t>
  </si>
  <si>
    <t>R-BLD_Apt_D</t>
  </si>
  <si>
    <t>RSDSH_Apt-D</t>
  </si>
  <si>
    <t>R-BLD_Apt_E</t>
  </si>
  <si>
    <t>RSDSH_Apt-E</t>
  </si>
  <si>
    <t>R-BLD_Apt_F</t>
  </si>
  <si>
    <t>RSDSH_Apt-F</t>
  </si>
  <si>
    <t>R-BLD_Apt_G</t>
  </si>
  <si>
    <t>RSDSH_Apt-G</t>
  </si>
  <si>
    <t>R-BLD_Att_A</t>
  </si>
  <si>
    <t>RSDSH_Att-AB</t>
  </si>
  <si>
    <t>R-BLD_Att_B1</t>
  </si>
  <si>
    <t>R-BLD_Att_B2</t>
  </si>
  <si>
    <t>R-BLD_Att_B3</t>
  </si>
  <si>
    <t>R-BLD_Att_C</t>
  </si>
  <si>
    <t>RSDSH_Att-C</t>
  </si>
  <si>
    <t>R-BLD_Att_D</t>
  </si>
  <si>
    <t>RSDSH_Att-D</t>
  </si>
  <si>
    <t>R-BLD_Att_E</t>
  </si>
  <si>
    <t>RSDSH_Att-E</t>
  </si>
  <si>
    <t>R-BLD_Att_F</t>
  </si>
  <si>
    <t>RSDSH_Att-F</t>
  </si>
  <si>
    <t>R-BLD_Att_G</t>
  </si>
  <si>
    <t>RSDSH_Att-G</t>
  </si>
  <si>
    <t>R-BLD_Det_A</t>
  </si>
  <si>
    <t>RSDSH_Det-AB</t>
  </si>
  <si>
    <t>R-BLD_Det_B1</t>
  </si>
  <si>
    <t>R-BLD_Det_B2</t>
  </si>
  <si>
    <t>R-BLD_Det_B3</t>
  </si>
  <si>
    <t>R-BLD_Det_C</t>
  </si>
  <si>
    <t>RSDSH_Det-C</t>
  </si>
  <si>
    <t>R-BLD_Det_D</t>
  </si>
  <si>
    <t>RSDSH_Det-D</t>
  </si>
  <si>
    <t>R-BLD_Det_E</t>
  </si>
  <si>
    <t>RSDSH_Det-E</t>
  </si>
  <si>
    <t>R-BLD_Det_F</t>
  </si>
  <si>
    <t>RSDSH_Det-F</t>
  </si>
  <si>
    <t>R-BLD_Det_G</t>
  </si>
  <si>
    <t>RSDSH_Det-G</t>
  </si>
  <si>
    <t>RSD_NewTechs</t>
  </si>
  <si>
    <t>R-BLD_AptN1</t>
  </si>
  <si>
    <t>R-BLD_Att-N1</t>
  </si>
  <si>
    <t>R-BLD_Det-N1</t>
  </si>
  <si>
    <t>Reduction</t>
  </si>
  <si>
    <t>B</t>
  </si>
  <si>
    <t>C</t>
  </si>
  <si>
    <t>D</t>
  </si>
  <si>
    <t>E</t>
  </si>
  <si>
    <t>F</t>
  </si>
  <si>
    <t>G</t>
  </si>
  <si>
    <t>N</t>
  </si>
  <si>
    <t>Building Energy Rating</t>
  </si>
  <si>
    <t>Weight</t>
  </si>
  <si>
    <t>Reduction for building type</t>
  </si>
  <si>
    <t>ESD</t>
  </si>
  <si>
    <t>Commodity</t>
  </si>
  <si>
    <t>Process</t>
  </si>
  <si>
    <t>deact~TFM_Fill-R: w=Inputs_RSD; Hcol=Region</t>
  </si>
  <si>
    <t>S-BLD_CS</t>
  </si>
  <si>
    <t>S-BLD_PU</t>
  </si>
  <si>
    <t>%</t>
  </si>
  <si>
    <t>deact~TFM_Fill-R: w=Inputs_SRV; Hcol=Region</t>
  </si>
  <si>
    <t>CommName</t>
  </si>
  <si>
    <t>IELC</t>
  </si>
  <si>
    <t>IOIL</t>
  </si>
  <si>
    <t>ICEM</t>
  </si>
  <si>
    <t>IFAP</t>
  </si>
  <si>
    <t>ILIM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</si>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</sst>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\Te\x\t"/>
    <numFmt numFmtId="166" formatCode="0.00000"/>
    <numFmt numFmtId="177" formatCode="0%"/>
  </numFmts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3264FF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8100042343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5" tint="0.59981000423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81000423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6000061035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  <border>
      <left/>
      <right/>
      <top style="medium">
        <color auto="1"/>
      </top>
      <bottom/>
    </border>
    <border>
      <left/>
      <right/>
      <top style="thin">
        <color theme="0"/>
      </top>
      <bottom style="medium">
        <color theme="0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4" fillId="2" borderId="1">
      <alignment horizontal="center" vertical="center" wrapText="1"/>
      <protection/>
    </xf>
    <xf numFmtId="9" fontId="0" fillId="0" borderId="0" applyFont="0" applyFill="0" applyBorder="0" applyAlignment="0" applyProtection="0"/>
    <xf numFmtId="0" fontId="4" fillId="0" borderId="0">
      <alignment/>
      <protection/>
    </xf>
    <xf numFmtId="0" fontId="0" fillId="0" borderId="0">
      <alignment/>
      <protection/>
    </xf>
    <xf numFmtId="0" fontId="15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5" fillId="0" borderId="0" xfId="20" applyFont="1">
      <alignment/>
      <protection/>
    </xf>
    <xf numFmtId="0" fontId="4" fillId="0" borderId="0" xfId="20">
      <alignment/>
      <protection/>
    </xf>
    <xf numFmtId="0" fontId="6" fillId="0" borderId="0" xfId="20" applyFont="1">
      <alignment/>
      <protection/>
    </xf>
    <xf numFmtId="0" fontId="7" fillId="3" borderId="2" xfId="20" applyFont="1" applyFill="1" applyBorder="1">
      <alignment/>
      <protection/>
    </xf>
    <xf numFmtId="0" fontId="8" fillId="4" borderId="2" xfId="20" applyFont="1" applyFill="1" applyBorder="1">
      <alignment/>
      <protection/>
    </xf>
    <xf numFmtId="0" fontId="4" fillId="4" borderId="2" xfId="20" applyFill="1" applyBorder="1">
      <alignment/>
      <protection/>
    </xf>
    <xf numFmtId="0" fontId="8" fillId="5" borderId="2" xfId="20" applyFont="1" applyFill="1" applyBorder="1">
      <alignment/>
      <protection/>
    </xf>
    <xf numFmtId="0" fontId="8" fillId="0" borderId="0" xfId="20" applyFont="1">
      <alignment/>
      <protection/>
    </xf>
    <xf numFmtId="0" fontId="0" fillId="0" borderId="0" xfId="20" applyFont="1">
      <alignment/>
      <protection/>
    </xf>
    <xf numFmtId="0" fontId="4" fillId="0" borderId="3" xfId="20" applyBorder="1">
      <alignment/>
      <protection/>
    </xf>
    <xf numFmtId="0" fontId="9" fillId="4" borderId="2" xfId="20" applyFont="1" applyFill="1" applyBorder="1" applyAlignment="1">
      <alignment vertical="center"/>
      <protection/>
    </xf>
    <xf numFmtId="164" fontId="4" fillId="0" borderId="0" xfId="20" applyNumberFormat="1">
      <alignment/>
      <protection/>
    </xf>
    <xf numFmtId="0" fontId="4" fillId="0" borderId="4" xfId="20" applyBorder="1">
      <alignment/>
      <protection/>
    </xf>
    <xf numFmtId="0" fontId="4" fillId="0" borderId="5" xfId="20" applyBorder="1">
      <alignment/>
      <protection/>
    </xf>
    <xf numFmtId="0" fontId="4" fillId="0" borderId="6" xfId="20" applyBorder="1">
      <alignment/>
      <protection/>
    </xf>
    <xf numFmtId="0" fontId="3" fillId="6" borderId="2" xfId="20" applyFont="1" applyFill="1" applyBorder="1">
      <alignment/>
      <protection/>
    </xf>
    <xf numFmtId="0" fontId="3" fillId="7" borderId="3" xfId="20" applyFont="1" applyFill="1" applyBorder="1" applyAlignment="1">
      <alignment horizontal="left" vertical="center"/>
      <protection/>
    </xf>
    <xf numFmtId="0" fontId="3" fillId="7" borderId="3" xfId="20" applyFont="1" applyFill="1" applyBorder="1" applyAlignment="1" applyProtection="1">
      <alignment horizontal="left" vertical="center"/>
      <protection locked="0"/>
    </xf>
    <xf numFmtId="2" fontId="3" fillId="8" borderId="0" xfId="0" applyNumberFormat="1" applyFont="1" applyFill="1"/>
    <xf numFmtId="0" fontId="3" fillId="8" borderId="0" xfId="0" applyFont="1" applyFill="1"/>
    <xf numFmtId="0" fontId="10" fillId="0" borderId="0" xfId="0" applyFont="1"/>
    <xf numFmtId="0" fontId="3" fillId="0" borderId="0" xfId="0" applyFont="1"/>
    <xf numFmtId="165" fontId="11" fillId="9" borderId="7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2" fillId="10" borderId="8" xfId="21" applyFont="1" applyFill="1" applyBorder="1" applyAlignment="1">
      <alignment horizontal="center" vertical="center" wrapText="1"/>
      <protection/>
    </xf>
    <xf numFmtId="0" fontId="0" fillId="0" borderId="3" xfId="0" applyBorder="1"/>
    <xf numFmtId="9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0" fillId="11" borderId="0" xfId="0" applyFill="1"/>
    <xf numFmtId="0" fontId="0" fillId="0" borderId="0" xfId="0" quotePrefix="1"/>
    <xf numFmtId="0" fontId="12" fillId="10" borderId="8" xfId="0" applyFont="1" applyFill="1" applyBorder="1"/>
    <xf numFmtId="0" fontId="16" fillId="0" borderId="0" xfId="23" applyFont="1" applyAlignment="1">
      <alignment horizontal="left" vertical="center"/>
      <protection/>
    </xf>
    <xf numFmtId="0" fontId="4" fillId="0" borderId="0" xfId="23" applyAlignment="1">
      <alignment horizontal="left"/>
      <protection/>
    </xf>
    <xf numFmtId="0" fontId="13" fillId="12" borderId="9" xfId="23" applyFont="1" applyFill="1" applyBorder="1" applyAlignment="1">
      <alignment horizontal="left" vertical="center" wrapText="1"/>
      <protection/>
    </xf>
    <xf numFmtId="0" fontId="4" fillId="13" borderId="0" xfId="23" applyFill="1" applyAlignment="1">
      <alignment horizontal="left"/>
      <protection/>
    </xf>
    <xf numFmtId="0" fontId="14" fillId="13" borderId="0" xfId="23" applyFont="1" applyFill="1" applyAlignment="1">
      <alignment horizontal="left" vertical="center"/>
      <protection/>
    </xf>
    <xf numFmtId="0" fontId="14" fillId="13" borderId="0" xfId="23" applyFont="1" applyFill="1" applyAlignment="1">
      <alignment horizontal="left"/>
      <protection/>
    </xf>
    <xf numFmtId="0" fontId="16" fillId="14" borderId="0" xfId="23" applyFont="1" applyFill="1" applyAlignment="1">
      <alignment horizontal="left" vertical="center"/>
      <protection/>
    </xf>
    <xf numFmtId="1" fontId="4" fillId="13" borderId="0" xfId="23" applyNumberFormat="1" applyFill="1" applyAlignment="1">
      <alignment horizontal="right"/>
      <protection/>
    </xf>
    <xf numFmtId="166" fontId="0" fillId="0" borderId="0" xfId="0" applyNumberFormat="1"/>
    <xf numFmtId="0" fontId="0" fillId="15" borderId="0" xfId="0" applyFill="1"/>
    <xf numFmtId="166" fontId="0" fillId="15" borderId="0" xfId="0" applyNumberFormat="1" applyFill="1"/>
    <xf numFmtId="0" fontId="0" fillId="14" borderId="0" xfId="0" applyFill="1"/>
    <xf numFmtId="2" fontId="14" fillId="0" borderId="0" xfId="0" applyNumberFormat="1" applyFont="1"/>
    <xf numFmtId="2" fontId="0" fillId="14" borderId="0" xfId="0" applyNumberFormat="1" applyFill="1"/>
    <xf numFmtId="9" fontId="0" fillId="0" borderId="0" xfId="15" applyFont="1"/>
    <xf numFmtId="0" fontId="11" fillId="9" borderId="7" xfId="0" applyFont="1" applyFill="1" applyBorder="1" applyAlignment="1">
      <alignment horizontal="left" vertical="center"/>
    </xf>
    <xf numFmtId="165" fontId="4" fillId="0" borderId="0" xfId="0" applyNumberFormat="1" applyFont="1"/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Attrib" xfId="21"/>
    <cellStyle name="Percent 2" xfId="22"/>
    <cellStyle name="Normal 4" xfId="23"/>
    <cellStyle name="Normal 3" xfId="24"/>
    <cellStyle name="Hyperlink 2" xfId="25"/>
  </cellStyles>
  <dxfs count="1">
    <dxf>
      <numFmt numFmtId="177" formatCode="0%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2" Type="http://schemas.microsoft.com/office/2017/10/relationships/person" Target="persons/person.xml" /><Relationship Id="rId4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sharedStrings" Target="sharedStrings.xml" /><Relationship Id="rId3" Type="http://schemas.openxmlformats.org/officeDocument/2006/relationships/styles" Target="styles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73AF6A3D-02D2-4078-ADD3-99BA49BC29C9}" userId="Balyk, Olexandr" providerId="None"/>
</personList>
</file>

<file path=xl/tables/table1.xml><?xml version="1.0" encoding="utf-8"?>
<table xmlns="http://schemas.openxmlformats.org/spreadsheetml/2006/main" id="1" name="Table1" displayName="Table1" ref="V14:W22" totalsRowShown="0">
  <autoFilter ref="V14:W22"/>
  <tableColumns count="2">
    <tableColumn id="1" name="Weight"/>
    <tableColumn id="2" name="Building Energy Rating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S6:T11" totalsRowShown="0">
  <autoFilter ref="S6:T11"/>
  <tableColumns count="2">
    <tableColumn id="1" name="ESD"/>
    <tableColumn id="2" name="Reduction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R14:T137" totalsRowShown="0">
  <autoFilter ref="R14:T137"/>
  <tableColumns count="3">
    <tableColumn id="1" name="Commodity"/>
    <tableColumn id="2" name="Process"/>
    <tableColumn id="3" name="Reduction for building typ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I71" dT="2022-10-12T22:37:02.29" personId="{73AF6A3D-02D2-4078-ADD3-99BA49BC29C9}" id="{EE47C40C-5DEB-40BD-AEEA-BC74DDB7B88B}">
    <text>Sum of Eurostat tables: 
1) ROAD_GO_TA_TOTT
2) RAIL_GO_TOTAL</text>
  </threadedComment>
  <threadedComment ref="J71" dT="2022-10-12T22:37:46.05" personId="{73AF6A3D-02D2-4078-ADD3-99BA49BC29C9}" id="{A742DC92-1298-4154-AADF-F8E803920668}">
    <text>Sum of Eurostat tables: 
1) ROAD_GO_TA_TOTT
2) RAIL_GO_TOTAL</text>
  </threadedComment>
  <threadedComment ref="K71" dT="2022-10-12T22:37:54.36" personId="{73AF6A3D-02D2-4078-ADD3-99BA49BC29C9}" id="{FFC535D2-2499-4955-B5BC-EDEFAB18BEAB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microsoft.com/office/2017/10/relationships/threadedComment" Target="../threadedComments/threadedComments4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 /><Relationship Id="rId3" Type="http://schemas.openxmlformats.org/officeDocument/2006/relationships/table" Target="../tables/table3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26CF39-0357-4B21-823B-1B3093B14EE8}">
  <dimension ref="C4:AK42"/>
  <sheetViews>
    <sheetView workbookViewId="0" topLeftCell="A1">
      <selection pane="topLeft" activeCell="J25" sqref="J25"/>
    </sheetView>
  </sheetViews>
  <sheetFormatPr defaultColWidth="9.14428571428571" defaultRowHeight="12.75"/>
  <cols>
    <col min="1" max="6" width="9.14285714285714" style="3"/>
    <col min="7" max="7" width="10.5714285714286" style="3" bestFit="1" customWidth="1"/>
    <col min="8" max="8" width="9.14285714285714" style="3"/>
    <col min="9" max="9" width="11.5714285714286" style="3" bestFit="1" customWidth="1"/>
    <col min="10" max="16384" width="9.14285714285714" style="3"/>
  </cols>
  <sheetData>
    <row r="4" spans="3:3" ht="12.75">
      <c r="C4" s="2" t="s">
        <v>62</v>
      </c>
    </row>
    <row r="5" spans="3:37" ht="15.75" thickBot="1">
      <c r="C5" s="4" t="s">
        <v>63</v>
      </c>
      <c r="D5" s="5" t="s">
        <v>64</v>
      </c>
      <c r="E5" s="6" t="s">
        <v>65</v>
      </c>
      <c r="F5" s="6" t="s">
        <v>1</v>
      </c>
      <c r="G5" s="6" t="s">
        <v>2</v>
      </c>
      <c r="H5" s="6" t="s">
        <v>61</v>
      </c>
      <c r="I5" s="7" t="s">
        <v>4</v>
      </c>
      <c r="J5" s="8" t="str">
        <f>Regions!C$3</f>
        <v>IE</v>
      </c>
      <c r="K5" s="8" t="str">
        <f>Regions!D$3</f>
        <v>National</v>
      </c>
      <c r="L5" s="8" t="str">
        <f>Regions!E$3</f>
        <v>IE-CW</v>
      </c>
      <c r="M5" s="8" t="str">
        <f>Regions!F$3</f>
        <v>IE-D</v>
      </c>
      <c r="N5" s="8" t="str">
        <f>Regions!G$3</f>
        <v>IE-KE</v>
      </c>
      <c r="O5" s="8" t="str">
        <f>Regions!H$3</f>
        <v>IE-KK</v>
      </c>
      <c r="P5" s="8" t="str">
        <f>Regions!I$3</f>
        <v>IE-LS</v>
      </c>
      <c r="Q5" s="8" t="str">
        <f>Regions!J$3</f>
        <v>IE-LD</v>
      </c>
      <c r="R5" s="8" t="str">
        <f>Regions!K$3</f>
        <v>IE-LH</v>
      </c>
      <c r="S5" s="8" t="str">
        <f>Regions!L$3</f>
        <v>IE-MH</v>
      </c>
      <c r="T5" s="8" t="str">
        <f>Regions!M$3</f>
        <v>IE-OY</v>
      </c>
      <c r="U5" s="8" t="str">
        <f>Regions!N$3</f>
        <v>IE-WH</v>
      </c>
      <c r="V5" s="8" t="str">
        <f>Regions!O$3</f>
        <v>IE-WX</v>
      </c>
      <c r="W5" s="8" t="str">
        <f>Regions!P$3</f>
        <v>IE-WW</v>
      </c>
      <c r="X5" s="8" t="str">
        <f>Regions!Q$3</f>
        <v>IE-CE</v>
      </c>
      <c r="Y5" s="8" t="str">
        <f>Regions!R$3</f>
        <v>IE-CO</v>
      </c>
      <c r="Z5" s="8" t="str">
        <f>Regions!S$3</f>
        <v>IE-KY</v>
      </c>
      <c r="AA5" s="8" t="str">
        <f>Regions!T$3</f>
        <v>IE-LK</v>
      </c>
      <c r="AB5" s="8" t="str">
        <f>Regions!U$3</f>
        <v>IE-TA</v>
      </c>
      <c r="AC5" s="8" t="str">
        <f>Regions!V$3</f>
        <v>IE-WD</v>
      </c>
      <c r="AD5" s="8" t="str">
        <f>Regions!W$3</f>
        <v>IE-G</v>
      </c>
      <c r="AE5" s="8" t="str">
        <f>Regions!X$3</f>
        <v>IE-LM</v>
      </c>
      <c r="AF5" s="8" t="str">
        <f>Regions!Y$3</f>
        <v>IE-MO</v>
      </c>
      <c r="AG5" s="8" t="str">
        <f>Regions!Z$3</f>
        <v>IE-RN</v>
      </c>
      <c r="AH5" s="8" t="str">
        <f>Regions!AA$3</f>
        <v>IE-SO</v>
      </c>
      <c r="AI5" s="8" t="str">
        <f>Regions!AB$3</f>
        <v>IE-CN</v>
      </c>
      <c r="AJ5" s="8" t="str">
        <f>Regions!AC$3</f>
        <v>IE-DL</v>
      </c>
      <c r="AK5" s="8" t="str">
        <f>Regions!AD$3</f>
        <v>IE-MN</v>
      </c>
    </row>
    <row r="6" spans="3:37" ht="15">
      <c r="C6" s="3" t="s">
        <v>66</v>
      </c>
      <c r="D6" s="22" t="s">
        <v>67</v>
      </c>
      <c r="G6" s="10" t="s">
        <v>59</v>
      </c>
      <c r="H6" s="3">
        <v>2018</v>
      </c>
      <c r="I6" s="3" t="s">
        <v>34</v>
      </c>
      <c r="J6" s="20">
        <v>14.5565610923972</v>
      </c>
      <c r="K6" s="21"/>
      <c r="L6" s="20">
        <v>0.19075815329593299</v>
      </c>
      <c r="M6" s="20">
        <v>3.8137077787050999</v>
      </c>
      <c r="N6" s="20">
        <v>0.70334338163959498</v>
      </c>
      <c r="O6" s="20">
        <v>0.32630593319176299</v>
      </c>
      <c r="P6" s="20">
        <v>0.25725946218495199</v>
      </c>
      <c r="Q6" s="20">
        <v>0.129264106093787</v>
      </c>
      <c r="R6" s="20">
        <v>0.37066642356770202</v>
      </c>
      <c r="S6" s="20">
        <v>0.61012642539130302</v>
      </c>
      <c r="T6" s="20">
        <v>0.25256357827040099</v>
      </c>
      <c r="U6" s="20">
        <v>0.28627808516599801</v>
      </c>
      <c r="V6" s="20">
        <v>0.49824919039150301</v>
      </c>
      <c r="W6" s="20">
        <v>0.44072764898712002</v>
      </c>
      <c r="X6" s="20">
        <v>0.38789417997018399</v>
      </c>
      <c r="Y6" s="20">
        <v>1.6403528726431</v>
      </c>
      <c r="Z6" s="20">
        <v>0.50223766282260596</v>
      </c>
      <c r="AA6" s="20">
        <v>0.59887772521592197</v>
      </c>
      <c r="AB6" s="20">
        <v>0.54597893159747002</v>
      </c>
      <c r="AC6" s="20">
        <v>0.36254754715780002</v>
      </c>
      <c r="AD6" s="20">
        <v>0.81031808544859996</v>
      </c>
      <c r="AE6" s="20">
        <v>0.103998215898054</v>
      </c>
      <c r="AF6" s="20">
        <v>0.43396473286285803</v>
      </c>
      <c r="AG6" s="20">
        <v>0.22701130303233</v>
      </c>
      <c r="AH6" s="20">
        <v>0.20014421509334299</v>
      </c>
      <c r="AI6" s="20">
        <v>0.22324073939976699</v>
      </c>
      <c r="AJ6" s="20">
        <v>0.43304852577361902</v>
      </c>
      <c r="AK6" s="20">
        <v>0.20769618859639599</v>
      </c>
    </row>
    <row r="7" spans="3:37" ht="15">
      <c r="C7" s="3" t="s">
        <v>66</v>
      </c>
      <c r="D7" s="22" t="s">
        <v>67</v>
      </c>
      <c r="G7" s="10" t="s">
        <v>59</v>
      </c>
      <c r="H7" s="3">
        <v>2018</v>
      </c>
      <c r="I7" s="3" t="s">
        <v>36</v>
      </c>
      <c r="J7" s="20">
        <v>31.276118540281001</v>
      </c>
      <c r="K7" s="21"/>
      <c r="L7" s="20">
        <v>0.43519149385547101</v>
      </c>
      <c r="M7" s="20">
        <v>7.6211536449989303</v>
      </c>
      <c r="N7" s="20">
        <v>1.55190938276765</v>
      </c>
      <c r="O7" s="20">
        <v>0.73703191607760699</v>
      </c>
      <c r="P7" s="20">
        <v>0.55451713599955699</v>
      </c>
      <c r="Q7" s="20">
        <v>0.28568437258778701</v>
      </c>
      <c r="R7" s="20">
        <v>0.76950577172521395</v>
      </c>
      <c r="S7" s="20">
        <v>1.33594997982505</v>
      </c>
      <c r="T7" s="20">
        <v>0.56616320344762305</v>
      </c>
      <c r="U7" s="20">
        <v>0.63911185847442997</v>
      </c>
      <c r="V7" s="20">
        <v>1.1334816009734401</v>
      </c>
      <c r="W7" s="20">
        <v>0.96185938421931305</v>
      </c>
      <c r="X7" s="20">
        <v>0.87235861089184197</v>
      </c>
      <c r="Y7" s="20">
        <v>3.5254749048173299</v>
      </c>
      <c r="Z7" s="20">
        <v>1.15388698840036</v>
      </c>
      <c r="AA7" s="20">
        <v>1.29957366713114</v>
      </c>
      <c r="AB7" s="20">
        <v>1.2604324784412999</v>
      </c>
      <c r="AC7" s="20">
        <v>0.79517788054022298</v>
      </c>
      <c r="AD7" s="20">
        <v>1.7803554187858499</v>
      </c>
      <c r="AE7" s="20">
        <v>0.23333731031609201</v>
      </c>
      <c r="AF7" s="20">
        <v>0.98601597898071303</v>
      </c>
      <c r="AG7" s="20">
        <v>0.53090140271719199</v>
      </c>
      <c r="AH7" s="20">
        <v>0.43310682655274901</v>
      </c>
      <c r="AI7" s="20">
        <v>0.47060177269377002</v>
      </c>
      <c r="AJ7" s="20">
        <v>0.86668930093951202</v>
      </c>
      <c r="AK7" s="20">
        <v>0.47664625412085698</v>
      </c>
    </row>
    <row r="8" spans="3:37" ht="15">
      <c r="C8" s="3" t="s">
        <v>66</v>
      </c>
      <c r="D8" s="22" t="s">
        <v>67</v>
      </c>
      <c r="G8" s="10" t="s">
        <v>59</v>
      </c>
      <c r="H8" s="3">
        <v>2018</v>
      </c>
      <c r="I8" s="3" t="s">
        <v>38</v>
      </c>
      <c r="J8" s="20">
        <v>27.131577542973599</v>
      </c>
      <c r="K8" s="21"/>
      <c r="L8" s="20">
        <v>0.373897486374975</v>
      </c>
      <c r="M8" s="20">
        <v>6.66074493403499</v>
      </c>
      <c r="N8" s="20">
        <v>1.3457957919305099</v>
      </c>
      <c r="O8" s="20">
        <v>0.64805463087287196</v>
      </c>
      <c r="P8" s="20">
        <v>0.48149946813234101</v>
      </c>
      <c r="Q8" s="20">
        <v>0.247929982488685</v>
      </c>
      <c r="R8" s="20">
        <v>0.67368745787157902</v>
      </c>
      <c r="S8" s="20">
        <v>1.1456149031137799</v>
      </c>
      <c r="T8" s="20">
        <v>0.49378011021821799</v>
      </c>
      <c r="U8" s="20">
        <v>0.54722173482691405</v>
      </c>
      <c r="V8" s="20">
        <v>0.97262646758485305</v>
      </c>
      <c r="W8" s="20">
        <v>0.83286416374941896</v>
      </c>
      <c r="X8" s="20">
        <v>0.74674766413249005</v>
      </c>
      <c r="Y8" s="20">
        <v>3.0449422514531701</v>
      </c>
      <c r="Z8" s="20">
        <v>1.0126394376791299</v>
      </c>
      <c r="AA8" s="20">
        <v>1.1217784798314201</v>
      </c>
      <c r="AB8" s="20">
        <v>1.08524276473925</v>
      </c>
      <c r="AC8" s="20">
        <v>0.68342924139985906</v>
      </c>
      <c r="AD8" s="20">
        <v>1.55274051805081</v>
      </c>
      <c r="AE8" s="20">
        <v>0.20031586047476799</v>
      </c>
      <c r="AF8" s="20">
        <v>0.86102306186829503</v>
      </c>
      <c r="AG8" s="20">
        <v>0.451316097288886</v>
      </c>
      <c r="AH8" s="20">
        <v>0.37617525772313698</v>
      </c>
      <c r="AI8" s="20">
        <v>0.40231788404487301</v>
      </c>
      <c r="AJ8" s="20">
        <v>0.74109890371757103</v>
      </c>
      <c r="AK8" s="20">
        <v>0.42809298937083901</v>
      </c>
    </row>
    <row r="9" spans="3:37" ht="15">
      <c r="C9" s="3" t="s">
        <v>66</v>
      </c>
      <c r="D9" s="22" t="s">
        <v>67</v>
      </c>
      <c r="G9" s="10" t="s">
        <v>59</v>
      </c>
      <c r="H9" s="3">
        <v>2018</v>
      </c>
      <c r="I9" s="3" t="s">
        <v>40</v>
      </c>
      <c r="J9" s="20">
        <v>10.702591</v>
      </c>
      <c r="K9" s="21"/>
      <c r="L9" s="20">
        <v>0.17794099599204999</v>
      </c>
      <c r="M9" s="20">
        <v>2.6576907930321299</v>
      </c>
      <c r="N9" s="20">
        <v>0.48228404218784598</v>
      </c>
      <c r="O9" s="20">
        <v>0.31014966827589202</v>
      </c>
      <c r="P9" s="20">
        <v>0.22090468018989401</v>
      </c>
      <c r="Q9" s="20">
        <v>0.106603976450188</v>
      </c>
      <c r="R9" s="20">
        <v>0.27935990585939302</v>
      </c>
      <c r="S9" s="20">
        <v>0.43225128206324598</v>
      </c>
      <c r="T9" s="20">
        <v>0.20333600685129699</v>
      </c>
      <c r="U9" s="20">
        <v>0.23152778091853199</v>
      </c>
      <c r="V9" s="20">
        <v>0.46795618987426502</v>
      </c>
      <c r="W9" s="20">
        <v>0.30871042636808299</v>
      </c>
      <c r="X9" s="20">
        <v>0.30378726686741397</v>
      </c>
      <c r="Y9" s="20">
        <v>1.6254277052660899</v>
      </c>
      <c r="Z9" s="20">
        <v>0.44225677339931202</v>
      </c>
      <c r="AA9" s="20">
        <v>0.49831113834882401</v>
      </c>
      <c r="AB9" s="20">
        <v>0.40793968700183098</v>
      </c>
      <c r="AC9" s="20">
        <v>0.3789208277735</v>
      </c>
      <c r="AD9" s="20">
        <v>0.60506096800451603</v>
      </c>
      <c r="AE9" s="20">
        <v>0.080693470189707697</v>
      </c>
      <c r="AF9" s="20">
        <v>0.34078379979033402</v>
      </c>
      <c r="AG9" s="20">
        <v>0.15133440977952001</v>
      </c>
      <c r="AH9" s="20">
        <v>0.16503078794415499</v>
      </c>
      <c r="AI9" s="20">
        <v>0.19182704360164701</v>
      </c>
      <c r="AJ9" s="20">
        <v>0.40087863270627699</v>
      </c>
      <c r="AK9" s="20">
        <v>0.154582741264056</v>
      </c>
    </row>
    <row r="10" spans="3:37" ht="15">
      <c r="C10" s="3" t="s">
        <v>66</v>
      </c>
      <c r="D10" s="22" t="s">
        <v>67</v>
      </c>
      <c r="G10" s="10" t="s">
        <v>59</v>
      </c>
      <c r="H10" s="3">
        <v>2018</v>
      </c>
      <c r="I10" s="3" t="s">
        <v>42</v>
      </c>
      <c r="J10" s="20">
        <v>7.7105748259750104</v>
      </c>
      <c r="K10" s="21"/>
      <c r="L10" s="20">
        <v>0.092186243413538399</v>
      </c>
      <c r="M10" s="20">
        <v>2.1816898183696698</v>
      </c>
      <c r="N10" s="20">
        <v>0.360286094015421</v>
      </c>
      <c r="O10" s="20">
        <v>0.160679851514302</v>
      </c>
      <c r="P10" s="20">
        <v>0.13714428192223099</v>
      </c>
      <c r="Q10" s="20">
        <v>0.066182960848759104</v>
      </c>
      <c r="R10" s="20">
        <v>0.20869338502266699</v>
      </c>
      <c r="S10" s="20">
        <v>0.31582192194811698</v>
      </c>
      <c r="T10" s="20">
        <v>0.12623712012159899</v>
      </c>
      <c r="U10" s="20">
        <v>0.14373942295756001</v>
      </c>
      <c r="V10" s="20">
        <v>0.24243498799202201</v>
      </c>
      <c r="W10" s="20">
        <v>0.23061943578608199</v>
      </c>
      <c r="X10" s="20">
        <v>0.19239255398837901</v>
      </c>
      <c r="Y10" s="20">
        <v>0.879030450176013</v>
      </c>
      <c r="Z10" s="20">
        <v>0.23917223101039001</v>
      </c>
      <c r="AA10" s="20">
        <v>0.31558713298417801</v>
      </c>
      <c r="AB10" s="20">
        <v>0.25835367974707202</v>
      </c>
      <c r="AC10" s="20">
        <v>0.188116156376225</v>
      </c>
      <c r="AD10" s="20">
        <v>0.41785634797321203</v>
      </c>
      <c r="AE10" s="20">
        <v>0.051886741796237999</v>
      </c>
      <c r="AF10" s="20">
        <v>0.21132140218454701</v>
      </c>
      <c r="AG10" s="20">
        <v>0.104511854403208</v>
      </c>
      <c r="AH10" s="20">
        <v>0.106116515529162</v>
      </c>
      <c r="AI10" s="20">
        <v>0.123346787013801</v>
      </c>
      <c r="AJ10" s="20">
        <v>0.257769136188576</v>
      </c>
      <c r="AK10" s="20">
        <v>0.099398312692044299</v>
      </c>
    </row>
    <row r="11" spans="3:37" ht="15">
      <c r="C11" s="3" t="s">
        <v>66</v>
      </c>
      <c r="D11" s="22" t="s">
        <v>67</v>
      </c>
      <c r="G11" s="10" t="s">
        <v>59</v>
      </c>
      <c r="H11" s="3">
        <v>2018</v>
      </c>
      <c r="I11" s="3" t="s">
        <v>44</v>
      </c>
      <c r="J11" s="20">
        <v>3.5132998087277101</v>
      </c>
      <c r="K11" s="21"/>
      <c r="L11" s="20">
        <v>0.042004379525771102</v>
      </c>
      <c r="M11" s="20">
        <v>0.99408028513777102</v>
      </c>
      <c r="N11" s="20">
        <v>0.16416325549782501</v>
      </c>
      <c r="O11" s="20">
        <v>0.073213282321037701</v>
      </c>
      <c r="P11" s="20">
        <v>0.062489372105217399</v>
      </c>
      <c r="Q11" s="20">
        <v>0.030156063450376601</v>
      </c>
      <c r="R11" s="20">
        <v>0.095090501840783506</v>
      </c>
      <c r="S11" s="20">
        <v>0.143903291650118</v>
      </c>
      <c r="T11" s="20">
        <v>0.0575195572298293</v>
      </c>
      <c r="U11" s="20">
        <v>0.065494427922832596</v>
      </c>
      <c r="V11" s="20">
        <v>0.110464759912835</v>
      </c>
      <c r="W11" s="20">
        <v>0.105081039730871</v>
      </c>
      <c r="X11" s="20">
        <v>0.087663078095158206</v>
      </c>
      <c r="Y11" s="20">
        <v>0.40052753292342302</v>
      </c>
      <c r="Z11" s="20">
        <v>0.108978094685117</v>
      </c>
      <c r="AA11" s="20">
        <v>0.14379631077765201</v>
      </c>
      <c r="AB11" s="20">
        <v>0.117718063066032</v>
      </c>
      <c r="AC11" s="20">
        <v>0.085714550618035304</v>
      </c>
      <c r="AD11" s="20">
        <v>0.190394965426499</v>
      </c>
      <c r="AE11" s="20">
        <v>0.0236420350158753</v>
      </c>
      <c r="AF11" s="20">
        <v>0.096287949813282703</v>
      </c>
      <c r="AG11" s="20">
        <v>0.047620506430678201</v>
      </c>
      <c r="AH11" s="20">
        <v>0.048351665359049598</v>
      </c>
      <c r="AI11" s="20">
        <v>0.056202585799816303</v>
      </c>
      <c r="AJ11" s="20">
        <v>0.117451717583548</v>
      </c>
      <c r="AK11" s="20">
        <v>0.045290536808279797</v>
      </c>
    </row>
    <row r="12" spans="3:37" ht="15">
      <c r="C12" s="3" t="s">
        <v>66</v>
      </c>
      <c r="D12" s="22" t="s">
        <v>67</v>
      </c>
      <c r="G12" s="10" t="s">
        <v>59</v>
      </c>
      <c r="H12" s="3">
        <v>2018</v>
      </c>
      <c r="I12" s="3" t="s">
        <v>46</v>
      </c>
      <c r="J12" s="20">
        <v>20.831454920682301</v>
      </c>
      <c r="K12" s="21"/>
      <c r="L12" s="20">
        <v>0.24905712185126699</v>
      </c>
      <c r="M12" s="20">
        <v>5.8942133534813896</v>
      </c>
      <c r="N12" s="20">
        <v>0.97337535727524804</v>
      </c>
      <c r="O12" s="20">
        <v>0.434104481057138</v>
      </c>
      <c r="P12" s="20">
        <v>0.37051905869171597</v>
      </c>
      <c r="Q12" s="20">
        <v>0.17880474498396101</v>
      </c>
      <c r="R12" s="20">
        <v>0.56382136746783496</v>
      </c>
      <c r="S12" s="20">
        <v>0.85324768626358805</v>
      </c>
      <c r="T12" s="20">
        <v>0.34105146976474798</v>
      </c>
      <c r="U12" s="20">
        <v>0.38833697580863102</v>
      </c>
      <c r="V12" s="20">
        <v>0.654980158747549</v>
      </c>
      <c r="W12" s="20">
        <v>0.62305839562402099</v>
      </c>
      <c r="X12" s="20">
        <v>0.51978184583366205</v>
      </c>
      <c r="Y12" s="20">
        <v>2.3748531866991098</v>
      </c>
      <c r="Z12" s="20">
        <v>0.64616525499341604</v>
      </c>
      <c r="AA12" s="20">
        <v>0.85261336316465597</v>
      </c>
      <c r="AB12" s="20">
        <v>0.69798726485518303</v>
      </c>
      <c r="AC12" s="20">
        <v>0.50822841614896397</v>
      </c>
      <c r="AD12" s="20">
        <v>1.1289113811335301</v>
      </c>
      <c r="AE12" s="20">
        <v>0.140181030222055</v>
      </c>
      <c r="AF12" s="20">
        <v>0.57092141153381903</v>
      </c>
      <c r="AG12" s="20">
        <v>0.28235689722420099</v>
      </c>
      <c r="AH12" s="20">
        <v>0.28669216750725102</v>
      </c>
      <c r="AI12" s="20">
        <v>0.33324273368478402</v>
      </c>
      <c r="AJ12" s="20">
        <v>0.69640801907094396</v>
      </c>
      <c r="AK12" s="20">
        <v>0.268541777593654</v>
      </c>
    </row>
    <row r="13" spans="3:37" ht="15">
      <c r="C13" s="3" t="s">
        <v>66</v>
      </c>
      <c r="D13" s="22" t="s">
        <v>67</v>
      </c>
      <c r="G13" s="10" t="s">
        <v>59</v>
      </c>
      <c r="H13" s="3">
        <v>2018</v>
      </c>
      <c r="I13" s="3" t="s">
        <v>48</v>
      </c>
      <c r="J13" s="20">
        <v>0.23349320028657899</v>
      </c>
      <c r="K13" s="21"/>
      <c r="L13" s="20">
        <v>0</v>
      </c>
      <c r="M13" s="20">
        <v>0.13599128494106499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0.047489540821759602</v>
      </c>
      <c r="Y13" s="20">
        <v>0.00047056267691773199</v>
      </c>
      <c r="Z13" s="20">
        <v>0.047235778638893701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9.4112535383546506E-05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</row>
    <row r="14" spans="3:37" ht="15">
      <c r="C14" s="3" t="s">
        <v>66</v>
      </c>
      <c r="D14" s="22" t="s">
        <v>67</v>
      </c>
      <c r="G14" s="10" t="s">
        <v>59</v>
      </c>
      <c r="H14" s="3">
        <v>2018</v>
      </c>
      <c r="I14" s="11" t="s">
        <v>50</v>
      </c>
      <c r="J14" s="20">
        <v>45.9683637522608</v>
      </c>
      <c r="K14" s="21"/>
      <c r="L14" s="20">
        <v>0</v>
      </c>
      <c r="M14" s="20">
        <v>40.4401628128524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2.39450762427477</v>
      </c>
      <c r="Y14" s="20">
        <v>2.2140070109418901</v>
      </c>
      <c r="Z14" s="20">
        <v>0.24127325087308299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0.68881548910784596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</row>
    <row r="15" spans="3:37" ht="15">
      <c r="C15" s="3" t="s">
        <v>66</v>
      </c>
      <c r="D15" s="23" t="s">
        <v>67</v>
      </c>
      <c r="G15" s="10" t="s">
        <v>59</v>
      </c>
      <c r="H15" s="3">
        <v>2018</v>
      </c>
      <c r="I15" s="3" t="s">
        <v>68</v>
      </c>
      <c r="J15" s="20">
        <v>1.1544546193487999</v>
      </c>
      <c r="K15" s="20">
        <v>1.1544546193487999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3:37" ht="15">
      <c r="C16" s="3" t="s">
        <v>66</v>
      </c>
      <c r="D16" s="23" t="s">
        <v>67</v>
      </c>
      <c r="G16" s="10" t="s">
        <v>59</v>
      </c>
      <c r="H16" s="3">
        <v>2018</v>
      </c>
      <c r="I16" s="3" t="s">
        <v>69</v>
      </c>
      <c r="J16" s="20">
        <v>2.0006897535500099</v>
      </c>
      <c r="K16" s="20">
        <v>2.0006897535500099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3:37" ht="15">
      <c r="C17" s="3" t="s">
        <v>66</v>
      </c>
      <c r="D17" s="23" t="s">
        <v>67</v>
      </c>
      <c r="G17" s="10" t="s">
        <v>59</v>
      </c>
      <c r="H17" s="3">
        <v>2018</v>
      </c>
      <c r="I17" s="3" t="s">
        <v>70</v>
      </c>
      <c r="J17" s="20">
        <v>0.78876799986757495</v>
      </c>
      <c r="K17" s="20">
        <v>0.78876799986757495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3:37" ht="15">
      <c r="C18" s="3" t="s">
        <v>66</v>
      </c>
      <c r="D18" s="23" t="s">
        <v>67</v>
      </c>
      <c r="G18" s="10" t="s">
        <v>59</v>
      </c>
      <c r="H18" s="3">
        <v>2018</v>
      </c>
      <c r="I18" s="3" t="s">
        <v>71</v>
      </c>
      <c r="J18" s="20">
        <v>1.05169316530962</v>
      </c>
      <c r="K18" s="20">
        <v>1.05169316530962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3:37" ht="15">
      <c r="C19" s="3" t="s">
        <v>66</v>
      </c>
      <c r="D19" s="23" t="s">
        <v>67</v>
      </c>
      <c r="G19" s="10" t="s">
        <v>59</v>
      </c>
      <c r="H19" s="3">
        <v>2018</v>
      </c>
      <c r="I19" s="3" t="s">
        <v>72</v>
      </c>
      <c r="J19" s="20">
        <v>0.84878652127122001</v>
      </c>
      <c r="K19" s="20">
        <v>0.84878652127122001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3:37" ht="15">
      <c r="C20" s="3" t="s">
        <v>66</v>
      </c>
      <c r="D20" s="23" t="s">
        <v>67</v>
      </c>
      <c r="G20" s="10" t="s">
        <v>59</v>
      </c>
      <c r="H20" s="3">
        <v>2018</v>
      </c>
      <c r="I20" s="3" t="s">
        <v>73</v>
      </c>
      <c r="J20" s="20">
        <v>9.2169270601308995</v>
      </c>
      <c r="K20" s="20">
        <v>9.2169270601308995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3:37" ht="15">
      <c r="C21" s="3" t="s">
        <v>66</v>
      </c>
      <c r="D21" s="23" t="s">
        <v>67</v>
      </c>
      <c r="G21" s="10" t="s">
        <v>59</v>
      </c>
      <c r="H21" s="3">
        <v>2018</v>
      </c>
      <c r="I21" s="3" t="s">
        <v>74</v>
      </c>
      <c r="J21" s="20">
        <v>0</v>
      </c>
      <c r="K21" s="20">
        <v>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3:37" ht="15">
      <c r="C22" s="3" t="s">
        <v>66</v>
      </c>
      <c r="D22" s="22" t="s">
        <v>67</v>
      </c>
      <c r="G22" s="10" t="s">
        <v>59</v>
      </c>
      <c r="H22" s="3">
        <v>2018</v>
      </c>
      <c r="I22" s="3" t="s">
        <v>52</v>
      </c>
      <c r="J22" s="20">
        <v>211.819885</v>
      </c>
      <c r="K22" s="20">
        <v>211.819885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3:37" ht="15">
      <c r="C23" s="3" t="s">
        <v>66</v>
      </c>
      <c r="D23" s="22" t="s">
        <v>67</v>
      </c>
      <c r="G23" s="10" t="s">
        <v>59</v>
      </c>
      <c r="H23" s="3">
        <v>2018</v>
      </c>
      <c r="I23" s="3" t="s">
        <v>54</v>
      </c>
      <c r="J23" s="20">
        <v>788.06472099999996</v>
      </c>
      <c r="K23" s="20">
        <v>788.06472099999996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3:37" ht="15">
      <c r="C24" s="3" t="s">
        <v>66</v>
      </c>
      <c r="D24" s="22" t="s">
        <v>67</v>
      </c>
      <c r="G24" s="10" t="s">
        <v>59</v>
      </c>
      <c r="H24" s="3">
        <v>2018</v>
      </c>
      <c r="I24" s="3" t="s">
        <v>56</v>
      </c>
      <c r="J24" s="20">
        <v>735.40672900000004</v>
      </c>
      <c r="K24" s="20">
        <v>735.40672900000004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3:37" ht="15">
      <c r="C25" s="3" t="s">
        <v>66</v>
      </c>
      <c r="D25" s="22" t="s">
        <v>67</v>
      </c>
      <c r="G25" s="10" t="s">
        <v>59</v>
      </c>
      <c r="H25" s="3">
        <v>2018</v>
      </c>
      <c r="I25" s="3" t="s">
        <v>6</v>
      </c>
      <c r="J25" s="20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3:37" ht="15">
      <c r="C26" s="3" t="s">
        <v>66</v>
      </c>
      <c r="D26" s="22" t="s">
        <v>67</v>
      </c>
      <c r="G26" s="10" t="s">
        <v>59</v>
      </c>
      <c r="H26" s="3">
        <v>2018</v>
      </c>
      <c r="I26" s="3" t="s">
        <v>8</v>
      </c>
      <c r="J26" s="20"/>
      <c r="K26" s="20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3:37" ht="15">
      <c r="C27" s="3" t="s">
        <v>66</v>
      </c>
      <c r="D27" s="22" t="s">
        <v>67</v>
      </c>
      <c r="G27" s="10" t="s">
        <v>59</v>
      </c>
      <c r="H27" s="3">
        <v>2018</v>
      </c>
      <c r="I27" s="3" t="s">
        <v>10</v>
      </c>
      <c r="J27" s="20"/>
      <c r="K27" s="20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3:37" ht="15">
      <c r="C28" s="3" t="s">
        <v>66</v>
      </c>
      <c r="D28" s="22" t="s">
        <v>67</v>
      </c>
      <c r="G28" s="10" t="s">
        <v>59</v>
      </c>
      <c r="H28" s="3">
        <v>2018</v>
      </c>
      <c r="I28" s="3" t="s">
        <v>12</v>
      </c>
      <c r="J28" s="20">
        <v>5</v>
      </c>
      <c r="K28" s="20">
        <v>5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3:37" ht="15">
      <c r="C29" s="3" t="s">
        <v>66</v>
      </c>
      <c r="D29" s="22" t="s">
        <v>67</v>
      </c>
      <c r="G29" s="10" t="s">
        <v>59</v>
      </c>
      <c r="H29" s="3">
        <v>2018</v>
      </c>
      <c r="I29" s="3" t="s">
        <v>14</v>
      </c>
      <c r="J29" s="20"/>
      <c r="K29" s="20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3:37" ht="15">
      <c r="C30" s="3" t="s">
        <v>66</v>
      </c>
      <c r="D30" s="22" t="s">
        <v>67</v>
      </c>
      <c r="G30" s="10" t="s">
        <v>59</v>
      </c>
      <c r="H30" s="3">
        <v>2018</v>
      </c>
      <c r="I30" s="3" t="s">
        <v>16</v>
      </c>
      <c r="J30" s="20">
        <v>5.7000000000000002</v>
      </c>
      <c r="K30" s="20">
        <v>5.7000000000000002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3:37" ht="15">
      <c r="C31" s="3" t="s">
        <v>66</v>
      </c>
      <c r="D31" s="22" t="s">
        <v>67</v>
      </c>
      <c r="G31" s="10" t="s">
        <v>59</v>
      </c>
      <c r="H31" s="3">
        <v>2018</v>
      </c>
      <c r="I31" s="3" t="s">
        <v>18</v>
      </c>
      <c r="J31" s="20"/>
      <c r="K31" s="20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3:37" ht="15">
      <c r="C32" s="3" t="s">
        <v>66</v>
      </c>
      <c r="D32" s="22" t="s">
        <v>67</v>
      </c>
      <c r="G32" s="10" t="s">
        <v>59</v>
      </c>
      <c r="H32" s="3">
        <v>2018</v>
      </c>
      <c r="I32" s="3" t="s">
        <v>20</v>
      </c>
      <c r="J32" s="20">
        <v>2.3999999999999999</v>
      </c>
      <c r="K32" s="20">
        <v>2.3999999999999999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pans="3:37" ht="15">
      <c r="C33" s="3" t="s">
        <v>66</v>
      </c>
      <c r="D33" s="22" t="s">
        <v>67</v>
      </c>
      <c r="G33" s="10" t="s">
        <v>59</v>
      </c>
      <c r="H33" s="3">
        <v>2018</v>
      </c>
      <c r="I33" s="3" t="s">
        <v>22</v>
      </c>
      <c r="J33" s="20">
        <v>16.5</v>
      </c>
      <c r="K33" s="20">
        <v>16.5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pans="3:37" ht="15">
      <c r="C34" s="3" t="s">
        <v>66</v>
      </c>
      <c r="D34" s="22" t="s">
        <v>67</v>
      </c>
      <c r="G34" s="10" t="s">
        <v>59</v>
      </c>
      <c r="H34" s="3">
        <v>2018</v>
      </c>
      <c r="I34" s="3" t="s">
        <v>24</v>
      </c>
      <c r="J34" s="20"/>
      <c r="K34" s="20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3:37" ht="15">
      <c r="C35" s="3" t="s">
        <v>66</v>
      </c>
      <c r="D35" s="22" t="s">
        <v>67</v>
      </c>
      <c r="G35" s="10" t="s">
        <v>59</v>
      </c>
      <c r="H35" s="3">
        <v>2018</v>
      </c>
      <c r="I35" s="3" t="s">
        <v>26</v>
      </c>
      <c r="J35" s="20"/>
      <c r="K35" s="2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3:37" ht="15">
      <c r="C36" s="3" t="s">
        <v>66</v>
      </c>
      <c r="D36" s="22" t="s">
        <v>67</v>
      </c>
      <c r="G36" s="10" t="s">
        <v>59</v>
      </c>
      <c r="H36" s="3">
        <v>2018</v>
      </c>
      <c r="I36" s="3" t="s">
        <v>28</v>
      </c>
      <c r="J36" s="20"/>
      <c r="K36" s="20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3:37" ht="15">
      <c r="C37" s="3" t="s">
        <v>66</v>
      </c>
      <c r="D37" s="22" t="s">
        <v>67</v>
      </c>
      <c r="G37" s="10" t="s">
        <v>59</v>
      </c>
      <c r="H37" s="3">
        <v>2018</v>
      </c>
      <c r="I37" s="3" t="s">
        <v>30</v>
      </c>
      <c r="J37" s="20">
        <v>3.7999999999999998</v>
      </c>
      <c r="K37" s="20">
        <v>3.7999999999999998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3:37" ht="15">
      <c r="C38" s="3" t="s">
        <v>66</v>
      </c>
      <c r="D38" s="22" t="s">
        <v>67</v>
      </c>
      <c r="G38" s="10" t="s">
        <v>59</v>
      </c>
      <c r="H38" s="3">
        <v>2018</v>
      </c>
      <c r="I38" s="3" t="s">
        <v>32</v>
      </c>
      <c r="J38" s="20"/>
      <c r="K38" s="20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pans="3:37" ht="15">
      <c r="C39" s="3" t="s">
        <v>66</v>
      </c>
      <c r="D39" s="9" t="s">
        <v>67</v>
      </c>
      <c r="G39" s="10" t="s">
        <v>59</v>
      </c>
      <c r="H39" s="3">
        <v>2018</v>
      </c>
      <c r="I39" s="3" t="s">
        <v>154</v>
      </c>
      <c r="J39" s="21">
        <v>28.901664567933999</v>
      </c>
      <c r="K39" s="21">
        <v>28.901664567933999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pans="3:37" ht="15">
      <c r="C40" s="3" t="s">
        <v>66</v>
      </c>
      <c r="D40" s="9" t="s">
        <v>67</v>
      </c>
      <c r="G40" s="10" t="s">
        <v>59</v>
      </c>
      <c r="H40" s="3">
        <v>2018</v>
      </c>
      <c r="I40" s="3" t="s">
        <v>156</v>
      </c>
      <c r="J40" s="21">
        <v>58.151541961987597</v>
      </c>
      <c r="K40" s="21">
        <v>58.151541961987597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pans="3:37" ht="15">
      <c r="C41" s="3" t="s">
        <v>66</v>
      </c>
      <c r="D41" s="9" t="s">
        <v>67</v>
      </c>
      <c r="G41" s="10" t="s">
        <v>59</v>
      </c>
      <c r="H41" s="3">
        <v>2018</v>
      </c>
      <c r="I41" s="3" t="s">
        <v>158</v>
      </c>
      <c r="J41" s="21">
        <v>5.6291760000000002</v>
      </c>
      <c r="K41" s="21">
        <v>5.6291760000000002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3:37" ht="15">
      <c r="C42" s="3" t="s">
        <v>66</v>
      </c>
      <c r="D42" s="9" t="s">
        <v>67</v>
      </c>
      <c r="G42" s="10" t="s">
        <v>59</v>
      </c>
      <c r="H42" s="3">
        <v>2018</v>
      </c>
      <c r="I42" s="3" t="s">
        <v>160</v>
      </c>
      <c r="J42" s="21">
        <v>0.47999999999999998</v>
      </c>
      <c r="K42" s="21">
        <v>0.47999999999999998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</sheetData>
  <pageMargins left="0.7" right="0.7" top="0.75" bottom="0.75" header="0.3" footer="0.3"/>
  <pageSetup orientation="portrait" paperSize="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A64845-990F-4F8F-9F7F-F4DBD3794313}">
  <dimension ref="B2:AF39"/>
  <sheetViews>
    <sheetView workbookViewId="0" topLeftCell="A1">
      <selection pane="topLeft" activeCell="J31" sqref="J31"/>
    </sheetView>
  </sheetViews>
  <sheetFormatPr defaultColWidth="9.14428571428571" defaultRowHeight="12.75"/>
  <cols>
    <col min="1" max="3" width="9.14285714285714" style="3"/>
    <col min="4" max="4" width="11.1428571428571" style="3" bestFit="1" customWidth="1"/>
    <col min="5" max="16384" width="9.14285714285714" style="3"/>
  </cols>
  <sheetData>
    <row r="2" spans="2:2" ht="12.75">
      <c r="B2" s="3" t="s">
        <v>75</v>
      </c>
    </row>
    <row r="3" spans="2:32" ht="15.75" thickBot="1">
      <c r="B3" s="12" t="s">
        <v>65</v>
      </c>
      <c r="C3" s="12" t="s">
        <v>1</v>
      </c>
      <c r="D3" s="12" t="s">
        <v>2</v>
      </c>
      <c r="E3" s="12" t="s">
        <v>4</v>
      </c>
      <c r="F3" s="12" t="s">
        <v>61</v>
      </c>
      <c r="G3" s="8" t="str">
        <f>Regions!E$3</f>
        <v>IE-CW</v>
      </c>
      <c r="H3" s="8" t="str">
        <f>Regions!F$3</f>
        <v>IE-D</v>
      </c>
      <c r="I3" s="8" t="str">
        <f>Regions!G$3</f>
        <v>IE-KE</v>
      </c>
      <c r="J3" s="8" t="str">
        <f>Regions!H$3</f>
        <v>IE-KK</v>
      </c>
      <c r="K3" s="8" t="str">
        <f>Regions!I$3</f>
        <v>IE-LS</v>
      </c>
      <c r="L3" s="8" t="str">
        <f>Regions!J$3</f>
        <v>IE-LD</v>
      </c>
      <c r="M3" s="8" t="str">
        <f>Regions!K$3</f>
        <v>IE-LH</v>
      </c>
      <c r="N3" s="8" t="str">
        <f>Regions!L$3</f>
        <v>IE-MH</v>
      </c>
      <c r="O3" s="8" t="str">
        <f>Regions!M$3</f>
        <v>IE-OY</v>
      </c>
      <c r="P3" s="8" t="str">
        <f>Regions!N$3</f>
        <v>IE-WH</v>
      </c>
      <c r="Q3" s="8" t="str">
        <f>Regions!O$3</f>
        <v>IE-WX</v>
      </c>
      <c r="R3" s="8" t="str">
        <f>Regions!P$3</f>
        <v>IE-WW</v>
      </c>
      <c r="S3" s="8" t="str">
        <f>Regions!Q$3</f>
        <v>IE-CE</v>
      </c>
      <c r="T3" s="8" t="str">
        <f>Regions!R$3</f>
        <v>IE-CO</v>
      </c>
      <c r="U3" s="8" t="str">
        <f>Regions!S$3</f>
        <v>IE-KY</v>
      </c>
      <c r="V3" s="8" t="str">
        <f>Regions!T$3</f>
        <v>IE-LK</v>
      </c>
      <c r="W3" s="8" t="str">
        <f>Regions!U$3</f>
        <v>IE-TA</v>
      </c>
      <c r="X3" s="8" t="str">
        <f>Regions!V$3</f>
        <v>IE-WD</v>
      </c>
      <c r="Y3" s="8" t="str">
        <f>Regions!W$3</f>
        <v>IE-G</v>
      </c>
      <c r="Z3" s="8" t="str">
        <f>Regions!X$3</f>
        <v>IE-LM</v>
      </c>
      <c r="AA3" s="8" t="str">
        <f>Regions!Y$3</f>
        <v>IE-MO</v>
      </c>
      <c r="AB3" s="8" t="str">
        <f>Regions!Z$3</f>
        <v>IE-RN</v>
      </c>
      <c r="AC3" s="8" t="str">
        <f>Regions!AA$3</f>
        <v>IE-SO</v>
      </c>
      <c r="AD3" s="8" t="str">
        <f>Regions!AB$3</f>
        <v>IE-CN</v>
      </c>
      <c r="AE3" s="8" t="str">
        <f>Regions!AC$3</f>
        <v>IE-DL</v>
      </c>
      <c r="AF3" s="8" t="str">
        <f>Regions!AD$3</f>
        <v>IE-MN</v>
      </c>
    </row>
    <row r="4" spans="4:32" s="0" customFormat="1" ht="15">
      <c r="D4" s="3" t="s">
        <v>59</v>
      </c>
      <c r="E4" s="3" t="str">
        <f>DEMANDS!$F$17</f>
        <v>TRAPS</v>
      </c>
      <c r="F4" s="3">
        <v>2019</v>
      </c>
      <c r="G4" s="13">
        <f>HLOOKUP(REG_TRA_DEMANDS!G$3,'BY-Demands'!$J$5:$AK$14,MATCH($E4,'BY-Demands'!$I$5:$I$14,0),FALSE)*HLOOKUP(REG_TRA_DEMANDS!$F4,DEMANDS!$H$2:$CO$25,MATCH($E4,DEMANDS!$F$2:$F$25,0),FALSE)/HLOOKUP(2018,DEMANDS!$H$2:$CO$25,MATCH($E4,DEMANDS!$F$2:$F$25,0),FALSE)</f>
        <v>0.19494949782577736</v>
      </c>
      <c r="H4" s="13">
        <f>HLOOKUP(REG_TRA_DEMANDS!H$3,'BY-Demands'!$J$5:$AK$14,MATCH($E4,'BY-Demands'!$I$5:$I$14,0),FALSE)*HLOOKUP(REG_TRA_DEMANDS!$F4,DEMANDS!$H$2:$CO$25,MATCH($E4,DEMANDS!$F$2:$F$25,0),FALSE)/HLOOKUP(2018,DEMANDS!$H$2:$CO$25,MATCH($E4,DEMANDS!$F$2:$F$25,0),FALSE)</f>
        <v>3.8975026936826151</v>
      </c>
      <c r="I4" s="13">
        <f>HLOOKUP(REG_TRA_DEMANDS!I$3,'BY-Demands'!$J$5:$AK$14,MATCH($E4,'BY-Demands'!$I$5:$I$14,0),FALSE)*HLOOKUP(REG_TRA_DEMANDS!$F4,DEMANDS!$H$2:$CO$25,MATCH($E4,DEMANDS!$F$2:$F$25,0),FALSE)/HLOOKUP(2018,DEMANDS!$H$2:$CO$25,MATCH($E4,DEMANDS!$F$2:$F$25,0),FALSE)</f>
        <v>0.71879726596538862</v>
      </c>
      <c r="J4" s="13">
        <f>HLOOKUP(REG_TRA_DEMANDS!J$3,'BY-Demands'!$J$5:$AK$14,MATCH($E4,'BY-Demands'!$I$5:$I$14,0),FALSE)*HLOOKUP(REG_TRA_DEMANDS!$F4,DEMANDS!$H$2:$CO$25,MATCH($E4,DEMANDS!$F$2:$F$25,0),FALSE)/HLOOKUP(2018,DEMANDS!$H$2:$CO$25,MATCH($E4,DEMANDS!$F$2:$F$25,0),FALSE)</f>
        <v>0.33347553807893826</v>
      </c>
      <c r="K4" s="13">
        <f>HLOOKUP(REG_TRA_DEMANDS!K$3,'BY-Demands'!$J$5:$AK$14,MATCH($E4,'BY-Demands'!$I$5:$I$14,0),FALSE)*HLOOKUP(REG_TRA_DEMANDS!$F4,DEMANDS!$H$2:$CO$25,MATCH($E4,DEMANDS!$F$2:$F$25,0),FALSE)/HLOOKUP(2018,DEMANDS!$H$2:$CO$25,MATCH($E4,DEMANDS!$F$2:$F$25,0),FALSE)</f>
        <v>0.2629119756998361</v>
      </c>
      <c r="L4" s="13">
        <f>HLOOKUP(REG_TRA_DEMANDS!L$3,'BY-Demands'!$J$5:$AK$14,MATCH($E4,'BY-Demands'!$I$5:$I$14,0),FALSE)*HLOOKUP(REG_TRA_DEMANDS!$F4,DEMANDS!$H$2:$CO$25,MATCH($E4,DEMANDS!$F$2:$F$25,0),FALSE)/HLOOKUP(2018,DEMANDS!$H$2:$CO$25,MATCH($E4,DEMANDS!$F$2:$F$25,0),FALSE)</f>
        <v>0.13210430135999357</v>
      </c>
      <c r="M4" s="13">
        <f>HLOOKUP(REG_TRA_DEMANDS!M$3,'BY-Demands'!$J$5:$AK$14,MATCH($E4,'BY-Demands'!$I$5:$I$14,0),FALSE)*HLOOKUP(REG_TRA_DEMANDS!$F4,DEMANDS!$H$2:$CO$25,MATCH($E4,DEMANDS!$F$2:$F$25,0),FALSE)/HLOOKUP(2018,DEMANDS!$H$2:$CO$25,MATCH($E4,DEMANDS!$F$2:$F$25,0),FALSE)</f>
        <v>0.37881071863438415</v>
      </c>
      <c r="N4" s="13">
        <f>HLOOKUP(REG_TRA_DEMANDS!N$3,'BY-Demands'!$J$5:$AK$14,MATCH($E4,'BY-Demands'!$I$5:$I$14,0),FALSE)*HLOOKUP(REG_TRA_DEMANDS!$F4,DEMANDS!$H$2:$CO$25,MATCH($E4,DEMANDS!$F$2:$F$25,0),FALSE)/HLOOKUP(2018,DEMANDS!$H$2:$CO$25,MATCH($E4,DEMANDS!$F$2:$F$25,0),FALSE)</f>
        <v>0.62353214363397302</v>
      </c>
      <c r="O4" s="13">
        <f>HLOOKUP(REG_TRA_DEMANDS!O$3,'BY-Demands'!$J$5:$AK$14,MATCH($E4,'BY-Demands'!$I$5:$I$14,0),FALSE)*HLOOKUP(REG_TRA_DEMANDS!$F4,DEMANDS!$H$2:$CO$25,MATCH($E4,DEMANDS!$F$2:$F$25,0),FALSE)/HLOOKUP(2018,DEMANDS!$H$2:$CO$25,MATCH($E4,DEMANDS!$F$2:$F$25,0),FALSE)</f>
        <v>0.25811291366671996</v>
      </c>
      <c r="P4" s="13">
        <f>HLOOKUP(REG_TRA_DEMANDS!P$3,'BY-Demands'!$J$5:$AK$14,MATCH($E4,'BY-Demands'!$I$5:$I$14,0),FALSE)*HLOOKUP(REG_TRA_DEMANDS!$F4,DEMANDS!$H$2:$CO$25,MATCH($E4,DEMANDS!$F$2:$F$25,0),FALSE)/HLOOKUP(2018,DEMANDS!$H$2:$CO$25,MATCH($E4,DEMANDS!$F$2:$F$25,0),FALSE)</f>
        <v>0.29256819683641966</v>
      </c>
      <c r="Q4" s="13">
        <f>HLOOKUP(REG_TRA_DEMANDS!Q$3,'BY-Demands'!$J$5:$AK$14,MATCH($E4,'BY-Demands'!$I$5:$I$14,0),FALSE)*HLOOKUP(REG_TRA_DEMANDS!$F4,DEMANDS!$H$2:$CO$25,MATCH($E4,DEMANDS!$F$2:$F$25,0),FALSE)/HLOOKUP(2018,DEMANDS!$H$2:$CO$25,MATCH($E4,DEMANDS!$F$2:$F$25,0),FALSE)</f>
        <v>0.50919673828166878</v>
      </c>
      <c r="R4" s="13">
        <f>HLOOKUP(REG_TRA_DEMANDS!R$3,'BY-Demands'!$J$5:$AK$14,MATCH($E4,'BY-Demands'!$I$5:$I$14,0),FALSE)*HLOOKUP(REG_TRA_DEMANDS!$F4,DEMANDS!$H$2:$CO$25,MATCH($E4,DEMANDS!$F$2:$F$25,0),FALSE)/HLOOKUP(2018,DEMANDS!$H$2:$CO$25,MATCH($E4,DEMANDS!$F$2:$F$25,0),FALSE)</f>
        <v>0.45041133164401598</v>
      </c>
      <c r="S4" s="13">
        <f>HLOOKUP(REG_TRA_DEMANDS!S$3,'BY-Demands'!$J$5:$AK$14,MATCH($E4,'BY-Demands'!$I$5:$I$14,0),FALSE)*HLOOKUP(REG_TRA_DEMANDS!$F4,DEMANDS!$H$2:$CO$25,MATCH($E4,DEMANDS!$F$2:$F$25,0),FALSE)/HLOOKUP(2018,DEMANDS!$H$2:$CO$25,MATCH($E4,DEMANDS!$F$2:$F$25,0),FALSE)</f>
        <v>0.39641700387724033</v>
      </c>
      <c r="T4" s="13">
        <f>HLOOKUP(REG_TRA_DEMANDS!T$3,'BY-Demands'!$J$5:$AK$14,MATCH($E4,'BY-Demands'!$I$5:$I$14,0),FALSE)*HLOOKUP(REG_TRA_DEMANDS!$F4,DEMANDS!$H$2:$CO$25,MATCH($E4,DEMANDS!$F$2:$F$25,0),FALSE)/HLOOKUP(2018,DEMANDS!$H$2:$CO$25,MATCH($E4,DEMANDS!$F$2:$F$25,0),FALSE)</f>
        <v>1.6763947608716003</v>
      </c>
      <c r="U4" s="13">
        <f>HLOOKUP(REG_TRA_DEMANDS!U$3,'BY-Demands'!$J$5:$AK$14,MATCH($E4,'BY-Demands'!$I$5:$I$14,0),FALSE)*HLOOKUP(REG_TRA_DEMANDS!$F4,DEMANDS!$H$2:$CO$25,MATCH($E4,DEMANDS!$F$2:$F$25,0),FALSE)/HLOOKUP(2018,DEMANDS!$H$2:$CO$25,MATCH($E4,DEMANDS!$F$2:$F$25,0),FALSE)</f>
        <v>0.51327284556254194</v>
      </c>
      <c r="V4" s="13">
        <f>HLOOKUP(REG_TRA_DEMANDS!V$3,'BY-Demands'!$J$5:$AK$14,MATCH($E4,'BY-Demands'!$I$5:$I$14,0),FALSE)*HLOOKUP(REG_TRA_DEMANDS!$F4,DEMANDS!$H$2:$CO$25,MATCH($E4,DEMANDS!$F$2:$F$25,0),FALSE)/HLOOKUP(2018,DEMANDS!$H$2:$CO$25,MATCH($E4,DEMANDS!$F$2:$F$25,0),FALSE)</f>
        <v>0.61203628664178844</v>
      </c>
      <c r="W4" s="13">
        <f>HLOOKUP(REG_TRA_DEMANDS!W$3,'BY-Demands'!$J$5:$AK$14,MATCH($E4,'BY-Demands'!$I$5:$I$14,0),FALSE)*HLOOKUP(REG_TRA_DEMANDS!$F4,DEMANDS!$H$2:$CO$25,MATCH($E4,DEMANDS!$F$2:$F$25,0),FALSE)/HLOOKUP(2018,DEMANDS!$H$2:$CO$25,MATCH($E4,DEMANDS!$F$2:$F$25,0),FALSE)</f>
        <v>0.55797519895916559</v>
      </c>
      <c r="X4" s="13">
        <f>HLOOKUP(REG_TRA_DEMANDS!X$3,'BY-Demands'!$J$5:$AK$14,MATCH($E4,'BY-Demands'!$I$5:$I$14,0),FALSE)*HLOOKUP(REG_TRA_DEMANDS!$F4,DEMANDS!$H$2:$CO$25,MATCH($E4,DEMANDS!$F$2:$F$25,0),FALSE)/HLOOKUP(2018,DEMANDS!$H$2:$CO$25,MATCH($E4,DEMANDS!$F$2:$F$25,0),FALSE)</f>
        <v>0.37051345400022451</v>
      </c>
      <c r="Y4" s="13">
        <f>HLOOKUP(REG_TRA_DEMANDS!Y$3,'BY-Demands'!$J$5:$AK$14,MATCH($E4,'BY-Demands'!$I$5:$I$14,0),FALSE)*HLOOKUP(REG_TRA_DEMANDS!$F4,DEMANDS!$H$2:$CO$25,MATCH($E4,DEMANDS!$F$2:$F$25,0),FALSE)/HLOOKUP(2018,DEMANDS!$H$2:$CO$25,MATCH($E4,DEMANDS!$F$2:$F$25,0),FALSE)</f>
        <v>0.82812242154746152</v>
      </c>
      <c r="Z4" s="13">
        <f>HLOOKUP(REG_TRA_DEMANDS!Z$3,'BY-Demands'!$J$5:$AK$14,MATCH($E4,'BY-Demands'!$I$5:$I$14,0),FALSE)*HLOOKUP(REG_TRA_DEMANDS!$F4,DEMANDS!$H$2:$CO$25,MATCH($E4,DEMANDS!$F$2:$F$25,0),FALSE)/HLOOKUP(2018,DEMANDS!$H$2:$CO$25,MATCH($E4,DEMANDS!$F$2:$F$25,0),FALSE)</f>
        <v>0.10628326817910465</v>
      </c>
      <c r="AA4" s="13">
        <f>HLOOKUP(REG_TRA_DEMANDS!AA$3,'BY-Demands'!$J$5:$AK$14,MATCH($E4,'BY-Demands'!$I$5:$I$14,0),FALSE)*HLOOKUP(REG_TRA_DEMANDS!$F4,DEMANDS!$H$2:$CO$25,MATCH($E4,DEMANDS!$F$2:$F$25,0),FALSE)/HLOOKUP(2018,DEMANDS!$H$2:$CO$25,MATCH($E4,DEMANDS!$F$2:$F$25,0),FALSE)</f>
        <v>0.44349982050028319</v>
      </c>
      <c r="AB4" s="13">
        <f>HLOOKUP(REG_TRA_DEMANDS!AB$3,'BY-Demands'!$J$5:$AK$14,MATCH($E4,'BY-Demands'!$I$5:$I$14,0),FALSE)*HLOOKUP(REG_TRA_DEMANDS!$F4,DEMANDS!$H$2:$CO$25,MATCH($E4,DEMANDS!$F$2:$F$25,0),FALSE)/HLOOKUP(2018,DEMANDS!$H$2:$CO$25,MATCH($E4,DEMANDS!$F$2:$F$25,0),FALSE)</f>
        <v>0.23199920298175605</v>
      </c>
      <c r="AC4" s="13">
        <f>HLOOKUP(REG_TRA_DEMANDS!AC$3,'BY-Demands'!$J$5:$AK$14,MATCH($E4,'BY-Demands'!$I$5:$I$14,0),FALSE)*HLOOKUP(REG_TRA_DEMANDS!$F4,DEMANDS!$H$2:$CO$25,MATCH($E4,DEMANDS!$F$2:$F$25,0),FALSE)/HLOOKUP(2018,DEMANDS!$H$2:$CO$25,MATCH($E4,DEMANDS!$F$2:$F$25,0),FALSE)</f>
        <v>0.20454179048719831</v>
      </c>
      <c r="AD4" s="13">
        <f>HLOOKUP(REG_TRA_DEMANDS!AD$3,'BY-Demands'!$J$5:$AK$14,MATCH($E4,'BY-Demands'!$I$5:$I$14,0),FALSE)*HLOOKUP(REG_TRA_DEMANDS!$F4,DEMANDS!$H$2:$CO$25,MATCH($E4,DEMANDS!$F$2:$F$25,0),FALSE)/HLOOKUP(2018,DEMANDS!$H$2:$CO$25,MATCH($E4,DEMANDS!$F$2:$F$25,0),FALSE)</f>
        <v>0.22814579239883884</v>
      </c>
      <c r="AE4" s="13">
        <f>HLOOKUP(REG_TRA_DEMANDS!AE$3,'BY-Demands'!$J$5:$AK$14,MATCH($E4,'BY-Demands'!$I$5:$I$14,0),FALSE)*HLOOKUP(REG_TRA_DEMANDS!$F4,DEMANDS!$H$2:$CO$25,MATCH($E4,DEMANDS!$F$2:$F$25,0),FALSE)/HLOOKUP(2018,DEMANDS!$H$2:$CO$25,MATCH($E4,DEMANDS!$F$2:$F$25,0),FALSE)</f>
        <v>0.44256348247820942</v>
      </c>
      <c r="AF4" s="13">
        <f>HLOOKUP(REG_TRA_DEMANDS!AF$3,'BY-Demands'!$J$5:$AK$14,MATCH($E4,'BY-Demands'!$I$5:$I$14,0),FALSE)*HLOOKUP(REG_TRA_DEMANDS!$F4,DEMANDS!$H$2:$CO$25,MATCH($E4,DEMANDS!$F$2:$F$25,0),FALSE)/HLOOKUP(2018,DEMANDS!$H$2:$CO$25,MATCH($E4,DEMANDS!$F$2:$F$25,0),FALSE)</f>
        <v>0.2122596962048626</v>
      </c>
    </row>
    <row r="5" spans="4:32" s="0" customFormat="1" ht="15">
      <c r="D5" s="3" t="s">
        <v>59</v>
      </c>
      <c r="E5" s="3" t="str">
        <f>DEMANDS!$F$17</f>
        <v>TRAPS</v>
      </c>
      <c r="F5" s="3">
        <v>2020</v>
      </c>
      <c r="G5" s="13">
        <f>HLOOKUP(REG_TRA_DEMANDS!G$3,'BY-Demands'!$J$5:$AK$14,MATCH($E5,'BY-Demands'!$I$5:$I$14,0),FALSE)*HLOOKUP(REG_TRA_DEMANDS!$F5,DEMANDS!$H$2:$CO$25,MATCH($E5,DEMANDS!$F$2:$F$25,0),FALSE)/HLOOKUP(2018,DEMANDS!$H$2:$CO$25,MATCH($E5,DEMANDS!$F$2:$F$25,0),FALSE)</f>
        <v>0.14102260336618419</v>
      </c>
      <c r="H5" s="13">
        <f>HLOOKUP(REG_TRA_DEMANDS!H$3,'BY-Demands'!$J$5:$AK$14,MATCH($E5,'BY-Demands'!$I$5:$I$14,0),FALSE)*HLOOKUP(REG_TRA_DEMANDS!$F5,DEMANDS!$H$2:$CO$25,MATCH($E5,DEMANDS!$F$2:$F$25,0),FALSE)/HLOOKUP(2018,DEMANDS!$H$2:$CO$25,MATCH($E5,DEMANDS!$F$2:$F$25,0),FALSE)</f>
        <v>2.8193762108637852</v>
      </c>
      <c r="I5" s="13">
        <f>HLOOKUP(REG_TRA_DEMANDS!I$3,'BY-Demands'!$J$5:$AK$14,MATCH($E5,'BY-Demands'!$I$5:$I$14,0),FALSE)*HLOOKUP(REG_TRA_DEMANDS!$F5,DEMANDS!$H$2:$CO$25,MATCH($E5,DEMANDS!$F$2:$F$25,0),FALSE)/HLOOKUP(2018,DEMANDS!$H$2:$CO$25,MATCH($E5,DEMANDS!$F$2:$F$25,0),FALSE)</f>
        <v>0.51996369762144268</v>
      </c>
      <c r="J5" s="13">
        <f>HLOOKUP(REG_TRA_DEMANDS!J$3,'BY-Demands'!$J$5:$AK$14,MATCH($E5,'BY-Demands'!$I$5:$I$14,0),FALSE)*HLOOKUP(REG_TRA_DEMANDS!$F5,DEMANDS!$H$2:$CO$25,MATCH($E5,DEMANDS!$F$2:$F$25,0),FALSE)/HLOOKUP(2018,DEMANDS!$H$2:$CO$25,MATCH($E5,DEMANDS!$F$2:$F$25,0),FALSE)</f>
        <v>0.2412295956815371</v>
      </c>
      <c r="K5" s="13">
        <f>HLOOKUP(REG_TRA_DEMANDS!K$3,'BY-Demands'!$J$5:$AK$14,MATCH($E5,'BY-Demands'!$I$5:$I$14,0),FALSE)*HLOOKUP(REG_TRA_DEMANDS!$F5,DEMANDS!$H$2:$CO$25,MATCH($E5,DEMANDS!$F$2:$F$25,0),FALSE)/HLOOKUP(2018,DEMANDS!$H$2:$CO$25,MATCH($E5,DEMANDS!$F$2:$F$25,0),FALSE)</f>
        <v>0.19018531303154435</v>
      </c>
      <c r="L5" s="13">
        <f>HLOOKUP(REG_TRA_DEMANDS!L$3,'BY-Demands'!$J$5:$AK$14,MATCH($E5,'BY-Demands'!$I$5:$I$14,0),FALSE)*HLOOKUP(REG_TRA_DEMANDS!$F5,DEMANDS!$H$2:$CO$25,MATCH($E5,DEMANDS!$F$2:$F$25,0),FALSE)/HLOOKUP(2018,DEMANDS!$H$2:$CO$25,MATCH($E5,DEMANDS!$F$2:$F$25,0),FALSE)</f>
        <v>0.095561633661176384</v>
      </c>
      <c r="M5" s="13">
        <f>HLOOKUP(REG_TRA_DEMANDS!M$3,'BY-Demands'!$J$5:$AK$14,MATCH($E5,'BY-Demands'!$I$5:$I$14,0),FALSE)*HLOOKUP(REG_TRA_DEMANDS!$F5,DEMANDS!$H$2:$CO$25,MATCH($E5,DEMANDS!$F$2:$F$25,0),FALSE)/HLOOKUP(2018,DEMANDS!$H$2:$CO$25,MATCH($E5,DEMANDS!$F$2:$F$25,0),FALSE)</f>
        <v>0.27402416687719383</v>
      </c>
      <c r="N5" s="13">
        <f>HLOOKUP(REG_TRA_DEMANDS!N$3,'BY-Demands'!$J$5:$AK$14,MATCH($E5,'BY-Demands'!$I$5:$I$14,0),FALSE)*HLOOKUP(REG_TRA_DEMANDS!$F5,DEMANDS!$H$2:$CO$25,MATCH($E5,DEMANDS!$F$2:$F$25,0),FALSE)/HLOOKUP(2018,DEMANDS!$H$2:$CO$25,MATCH($E5,DEMANDS!$F$2:$F$25,0),FALSE)</f>
        <v>0.45105079601868803</v>
      </c>
      <c r="O5" s="13">
        <f>HLOOKUP(REG_TRA_DEMANDS!O$3,'BY-Demands'!$J$5:$AK$14,MATCH($E5,'BY-Demands'!$I$5:$I$14,0),FALSE)*HLOOKUP(REG_TRA_DEMANDS!$F5,DEMANDS!$H$2:$CO$25,MATCH($E5,DEMANDS!$F$2:$F$25,0),FALSE)/HLOOKUP(2018,DEMANDS!$H$2:$CO$25,MATCH($E5,DEMANDS!$F$2:$F$25,0),FALSE)</f>
        <v>0.18671376666095213</v>
      </c>
      <c r="P5" s="13">
        <f>HLOOKUP(REG_TRA_DEMANDS!P$3,'BY-Demands'!$J$5:$AK$14,MATCH($E5,'BY-Demands'!$I$5:$I$14,0),FALSE)*HLOOKUP(REG_TRA_DEMANDS!$F5,DEMANDS!$H$2:$CO$25,MATCH($E5,DEMANDS!$F$2:$F$25,0),FALSE)/HLOOKUP(2018,DEMANDS!$H$2:$CO$25,MATCH($E5,DEMANDS!$F$2:$F$25,0),FALSE)</f>
        <v>0.21163803569729758</v>
      </c>
      <c r="Q5" s="13">
        <f>HLOOKUP(REG_TRA_DEMANDS!Q$3,'BY-Demands'!$J$5:$AK$14,MATCH($E5,'BY-Demands'!$I$5:$I$14,0),FALSE)*HLOOKUP(REG_TRA_DEMANDS!$F5,DEMANDS!$H$2:$CO$25,MATCH($E5,DEMANDS!$F$2:$F$25,0),FALSE)/HLOOKUP(2018,DEMANDS!$H$2:$CO$25,MATCH($E5,DEMANDS!$F$2:$F$25,0),FALSE)</f>
        <v>0.36834282959899767</v>
      </c>
      <c r="R5" s="13">
        <f>HLOOKUP(REG_TRA_DEMANDS!R$3,'BY-Demands'!$J$5:$AK$14,MATCH($E5,'BY-Demands'!$I$5:$I$14,0),FALSE)*HLOOKUP(REG_TRA_DEMANDS!$F5,DEMANDS!$H$2:$CO$25,MATCH($E5,DEMANDS!$F$2:$F$25,0),FALSE)/HLOOKUP(2018,DEMANDS!$H$2:$CO$25,MATCH($E5,DEMANDS!$F$2:$F$25,0),FALSE)</f>
        <v>0.32581863140183054</v>
      </c>
      <c r="S5" s="13">
        <f>HLOOKUP(REG_TRA_DEMANDS!S$3,'BY-Demands'!$J$5:$AK$14,MATCH($E5,'BY-Demands'!$I$5:$I$14,0),FALSE)*HLOOKUP(REG_TRA_DEMANDS!$F5,DEMANDS!$H$2:$CO$25,MATCH($E5,DEMANDS!$F$2:$F$25,0),FALSE)/HLOOKUP(2018,DEMANDS!$H$2:$CO$25,MATCH($E5,DEMANDS!$F$2:$F$25,0),FALSE)</f>
        <v>0.28676020471389613</v>
      </c>
      <c r="T5" s="13">
        <f>HLOOKUP(REG_TRA_DEMANDS!T$3,'BY-Demands'!$J$5:$AK$14,MATCH($E5,'BY-Demands'!$I$5:$I$14,0),FALSE)*HLOOKUP(REG_TRA_DEMANDS!$F5,DEMANDS!$H$2:$CO$25,MATCH($E5,DEMANDS!$F$2:$F$25,0),FALSE)/HLOOKUP(2018,DEMANDS!$H$2:$CO$25,MATCH($E5,DEMANDS!$F$2:$F$25,0),FALSE)</f>
        <v>1.2126707484972317</v>
      </c>
      <c r="U5" s="13">
        <f>HLOOKUP(REG_TRA_DEMANDS!U$3,'BY-Demands'!$J$5:$AK$14,MATCH($E5,'BY-Demands'!$I$5:$I$14,0),FALSE)*HLOOKUP(REG_TRA_DEMANDS!$F5,DEMANDS!$H$2:$CO$25,MATCH($E5,DEMANDS!$F$2:$F$25,0),FALSE)/HLOOKUP(2018,DEMANDS!$H$2:$CO$25,MATCH($E5,DEMANDS!$F$2:$F$25,0),FALSE)</f>
        <v>0.37129140482878509</v>
      </c>
      <c r="V5" s="13">
        <f>HLOOKUP(REG_TRA_DEMANDS!V$3,'BY-Demands'!$J$5:$AK$14,MATCH($E5,'BY-Demands'!$I$5:$I$14,0),FALSE)*HLOOKUP(REG_TRA_DEMANDS!$F5,DEMANDS!$H$2:$CO$25,MATCH($E5,DEMANDS!$F$2:$F$25,0),FALSE)/HLOOKUP(2018,DEMANDS!$H$2:$CO$25,MATCH($E5,DEMANDS!$F$2:$F$25,0),FALSE)</f>
        <v>0.44273492088669852</v>
      </c>
      <c r="W5" s="13">
        <f>HLOOKUP(REG_TRA_DEMANDS!W$3,'BY-Demands'!$J$5:$AK$14,MATCH($E5,'BY-Demands'!$I$5:$I$14,0),FALSE)*HLOOKUP(REG_TRA_DEMANDS!$F5,DEMANDS!$H$2:$CO$25,MATCH($E5,DEMANDS!$F$2:$F$25,0),FALSE)/HLOOKUP(2018,DEMANDS!$H$2:$CO$25,MATCH($E5,DEMANDS!$F$2:$F$25,0),FALSE)</f>
        <v>0.40362820139863753</v>
      </c>
      <c r="X5" s="13">
        <f>HLOOKUP(REG_TRA_DEMANDS!X$3,'BY-Demands'!$J$5:$AK$14,MATCH($E5,'BY-Demands'!$I$5:$I$14,0),FALSE)*HLOOKUP(REG_TRA_DEMANDS!$F5,DEMANDS!$H$2:$CO$25,MATCH($E5,DEMANDS!$F$2:$F$25,0),FALSE)/HLOOKUP(2018,DEMANDS!$H$2:$CO$25,MATCH($E5,DEMANDS!$F$2:$F$25,0),FALSE)</f>
        <v>0.26802209006972721</v>
      </c>
      <c r="Y5" s="13">
        <f>HLOOKUP(REG_TRA_DEMANDS!Y$3,'BY-Demands'!$J$5:$AK$14,MATCH($E5,'BY-Demands'!$I$5:$I$14,0),FALSE)*HLOOKUP(REG_TRA_DEMANDS!$F5,DEMANDS!$H$2:$CO$25,MATCH($E5,DEMANDS!$F$2:$F$25,0),FALSE)/HLOOKUP(2018,DEMANDS!$H$2:$CO$25,MATCH($E5,DEMANDS!$F$2:$F$25,0),FALSE)</f>
        <v>0.59904734864666986</v>
      </c>
      <c r="Z5" s="13">
        <f>HLOOKUP(REG_TRA_DEMANDS!Z$3,'BY-Demands'!$J$5:$AK$14,MATCH($E5,'BY-Demands'!$I$5:$I$14,0),FALSE)*HLOOKUP(REG_TRA_DEMANDS!$F5,DEMANDS!$H$2:$CO$25,MATCH($E5,DEMANDS!$F$2:$F$25,0),FALSE)/HLOOKUP(2018,DEMANDS!$H$2:$CO$25,MATCH($E5,DEMANDS!$F$2:$F$25,0),FALSE)</f>
        <v>0.076883209959732524</v>
      </c>
      <c r="AA5" s="13">
        <f>HLOOKUP(REG_TRA_DEMANDS!AA$3,'BY-Demands'!$J$5:$AK$14,MATCH($E5,'BY-Demands'!$I$5:$I$14,0),FALSE)*HLOOKUP(REG_TRA_DEMANDS!$F5,DEMANDS!$H$2:$CO$25,MATCH($E5,DEMANDS!$F$2:$F$25,0),FALSE)/HLOOKUP(2018,DEMANDS!$H$2:$CO$25,MATCH($E5,DEMANDS!$F$2:$F$25,0),FALSE)</f>
        <v>0.32081898120752922</v>
      </c>
      <c r="AB5" s="13">
        <f>HLOOKUP(REG_TRA_DEMANDS!AB$3,'BY-Demands'!$J$5:$AK$14,MATCH($E5,'BY-Demands'!$I$5:$I$14,0),FALSE)*HLOOKUP(REG_TRA_DEMANDS!$F5,DEMANDS!$H$2:$CO$25,MATCH($E5,DEMANDS!$F$2:$F$25,0),FALSE)/HLOOKUP(2018,DEMANDS!$H$2:$CO$25,MATCH($E5,DEMANDS!$F$2:$F$25,0),FALSE)</f>
        <v>0.1678236258531208</v>
      </c>
      <c r="AC5" s="13">
        <f>HLOOKUP(REG_TRA_DEMANDS!AC$3,'BY-Demands'!$J$5:$AK$14,MATCH($E5,'BY-Demands'!$I$5:$I$14,0),FALSE)*HLOOKUP(REG_TRA_DEMANDS!$F5,DEMANDS!$H$2:$CO$25,MATCH($E5,DEMANDS!$F$2:$F$25,0),FALSE)/HLOOKUP(2018,DEMANDS!$H$2:$CO$25,MATCH($E5,DEMANDS!$F$2:$F$25,0),FALSE)</f>
        <v>0.14796147778469043</v>
      </c>
      <c r="AD5" s="13">
        <f>HLOOKUP(REG_TRA_DEMANDS!AD$3,'BY-Demands'!$J$5:$AK$14,MATCH($E5,'BY-Demands'!$I$5:$I$14,0),FALSE)*HLOOKUP(REG_TRA_DEMANDS!$F5,DEMANDS!$H$2:$CO$25,MATCH($E5,DEMANDS!$F$2:$F$25,0),FALSE)/HLOOKUP(2018,DEMANDS!$H$2:$CO$25,MATCH($E5,DEMANDS!$F$2:$F$25,0),FALSE)</f>
        <v>0.16503614500140071</v>
      </c>
      <c r="AE5" s="13">
        <f>HLOOKUP(REG_TRA_DEMANDS!AE$3,'BY-Demands'!$J$5:$AK$14,MATCH($E5,'BY-Demands'!$I$5:$I$14,0),FALSE)*HLOOKUP(REG_TRA_DEMANDS!$F5,DEMANDS!$H$2:$CO$25,MATCH($E5,DEMANDS!$F$2:$F$25,0),FALSE)/HLOOKUP(2018,DEMANDS!$H$2:$CO$25,MATCH($E5,DEMANDS!$F$2:$F$25,0),FALSE)</f>
        <v>0.32014165283799628</v>
      </c>
      <c r="AF5" s="13">
        <f>HLOOKUP(REG_TRA_DEMANDS!AF$3,'BY-Demands'!$J$5:$AK$14,MATCH($E5,'BY-Demands'!$I$5:$I$14,0),FALSE)*HLOOKUP(REG_TRA_DEMANDS!$F5,DEMANDS!$H$2:$CO$25,MATCH($E5,DEMANDS!$F$2:$F$25,0),FALSE)/HLOOKUP(2018,DEMANDS!$H$2:$CO$25,MATCH($E5,DEMANDS!$F$2:$F$25,0),FALSE)</f>
        <v>0.15354445783325901</v>
      </c>
    </row>
    <row r="6" spans="4:32" s="0" customFormat="1" ht="15">
      <c r="D6" s="3" t="s">
        <v>59</v>
      </c>
      <c r="E6" s="3" t="str">
        <f>DEMANDS!$F$17</f>
        <v>TRAPS</v>
      </c>
      <c r="F6" s="3">
        <v>2030</v>
      </c>
      <c r="G6" s="13">
        <f>HLOOKUP(REG_TRA_DEMANDS!G$3,'BY-Demands'!$J$5:$AK$14,MATCH($E6,'BY-Demands'!$I$5:$I$14,0),FALSE)*HLOOKUP(REG_TRA_DEMANDS!$F6,DEMANDS!$H$2:$CO$25,MATCH($E6,DEMANDS!$F$2:$F$25,0),FALSE)/HLOOKUP(2018,DEMANDS!$H$2:$CO$25,MATCH($E6,DEMANDS!$F$2:$F$25,0),FALSE)</f>
        <v>0.22013337234900038</v>
      </c>
      <c r="H6" s="13">
        <f>HLOOKUP(REG_TRA_DEMANDS!H$3,'BY-Demands'!$J$5:$AK$14,MATCH($E6,'BY-Demands'!$I$5:$I$14,0),FALSE)*HLOOKUP(REG_TRA_DEMANDS!$F6,DEMANDS!$H$2:$CO$25,MATCH($E6,DEMANDS!$F$2:$F$25,0),FALSE)/HLOOKUP(2018,DEMANDS!$H$2:$CO$25,MATCH($E6,DEMANDS!$F$2:$F$25,0),FALSE)</f>
        <v>4.4009880572578792</v>
      </c>
      <c r="I6" s="13">
        <f>HLOOKUP(REG_TRA_DEMANDS!I$3,'BY-Demands'!$J$5:$AK$14,MATCH($E6,'BY-Demands'!$I$5:$I$14,0),FALSE)*HLOOKUP(REG_TRA_DEMANDS!$F6,DEMANDS!$H$2:$CO$25,MATCH($E6,DEMANDS!$F$2:$F$25,0),FALSE)/HLOOKUP(2018,DEMANDS!$H$2:$CO$25,MATCH($E6,DEMANDS!$F$2:$F$25,0),FALSE)</f>
        <v>0.81165259699007086</v>
      </c>
      <c r="J6" s="13">
        <f>HLOOKUP(REG_TRA_DEMANDS!J$3,'BY-Demands'!$J$5:$AK$14,MATCH($E6,'BY-Demands'!$I$5:$I$14,0),FALSE)*HLOOKUP(REG_TRA_DEMANDS!$F6,DEMANDS!$H$2:$CO$25,MATCH($E6,DEMANDS!$F$2:$F$25,0),FALSE)/HLOOKUP(2018,DEMANDS!$H$2:$CO$25,MATCH($E6,DEMANDS!$F$2:$F$25,0),FALSE)</f>
        <v>0.37655441851313964</v>
      </c>
      <c r="K6" s="13">
        <f>HLOOKUP(REG_TRA_DEMANDS!K$3,'BY-Demands'!$J$5:$AK$14,MATCH($E6,'BY-Demands'!$I$5:$I$14,0),FALSE)*HLOOKUP(REG_TRA_DEMANDS!$F6,DEMANDS!$H$2:$CO$25,MATCH($E6,DEMANDS!$F$2:$F$25,0),FALSE)/HLOOKUP(2018,DEMANDS!$H$2:$CO$25,MATCH($E6,DEMANDS!$F$2:$F$25,0),FALSE)</f>
        <v>0.29687534713972835</v>
      </c>
      <c r="L6" s="13">
        <f>HLOOKUP(REG_TRA_DEMANDS!L$3,'BY-Demands'!$J$5:$AK$14,MATCH($E6,'BY-Demands'!$I$5:$I$14,0),FALSE)*HLOOKUP(REG_TRA_DEMANDS!$F6,DEMANDS!$H$2:$CO$25,MATCH($E6,DEMANDS!$F$2:$F$25,0),FALSE)/HLOOKUP(2018,DEMANDS!$H$2:$CO$25,MATCH($E6,DEMANDS!$F$2:$F$25,0),FALSE)</f>
        <v>0.14916973721149449</v>
      </c>
      <c r="M6" s="13">
        <f>HLOOKUP(REG_TRA_DEMANDS!M$3,'BY-Demands'!$J$5:$AK$14,MATCH($E6,'BY-Demands'!$I$5:$I$14,0),FALSE)*HLOOKUP(REG_TRA_DEMANDS!$F6,DEMANDS!$H$2:$CO$25,MATCH($E6,DEMANDS!$F$2:$F$25,0),FALSE)/HLOOKUP(2018,DEMANDS!$H$2:$CO$25,MATCH($E6,DEMANDS!$F$2:$F$25,0),FALSE)</f>
        <v>0.42774606708378576</v>
      </c>
      <c r="N6" s="13">
        <f>HLOOKUP(REG_TRA_DEMANDS!N$3,'BY-Demands'!$J$5:$AK$14,MATCH($E6,'BY-Demands'!$I$5:$I$14,0),FALSE)*HLOOKUP(REG_TRA_DEMANDS!$F6,DEMANDS!$H$2:$CO$25,MATCH($E6,DEMANDS!$F$2:$F$25,0),FALSE)/HLOOKUP(2018,DEMANDS!$H$2:$CO$25,MATCH($E6,DEMANDS!$F$2:$F$25,0),FALSE)</f>
        <v>0.70408098034094257</v>
      </c>
      <c r="O6" s="13">
        <f>HLOOKUP(REG_TRA_DEMANDS!O$3,'BY-Demands'!$J$5:$AK$14,MATCH($E6,'BY-Demands'!$I$5:$I$14,0),FALSE)*HLOOKUP(REG_TRA_DEMANDS!$F6,DEMANDS!$H$2:$CO$25,MATCH($E6,DEMANDS!$F$2:$F$25,0),FALSE)/HLOOKUP(2018,DEMANDS!$H$2:$CO$25,MATCH($E6,DEMANDS!$F$2:$F$25,0),FALSE)</f>
        <v>0.29145633492762191</v>
      </c>
      <c r="P6" s="13">
        <f>HLOOKUP(REG_TRA_DEMANDS!P$3,'BY-Demands'!$J$5:$AK$14,MATCH($E6,'BY-Demands'!$I$5:$I$14,0),FALSE)*HLOOKUP(REG_TRA_DEMANDS!$F6,DEMANDS!$H$2:$CO$25,MATCH($E6,DEMANDS!$F$2:$F$25,0),FALSE)/HLOOKUP(2018,DEMANDS!$H$2:$CO$25,MATCH($E6,DEMANDS!$F$2:$F$25,0),FALSE)</f>
        <v>0.33036260431521525</v>
      </c>
      <c r="Q6" s="13">
        <f>HLOOKUP(REG_TRA_DEMANDS!Q$3,'BY-Demands'!$J$5:$AK$14,MATCH($E6,'BY-Demands'!$I$5:$I$14,0),FALSE)*HLOOKUP(REG_TRA_DEMANDS!$F6,DEMANDS!$H$2:$CO$25,MATCH($E6,DEMANDS!$F$2:$F$25,0),FALSE)/HLOOKUP(2018,DEMANDS!$H$2:$CO$25,MATCH($E6,DEMANDS!$F$2:$F$25,0),FALSE)</f>
        <v>0.57497555232088293</v>
      </c>
      <c r="R6" s="13">
        <f>HLOOKUP(REG_TRA_DEMANDS!R$3,'BY-Demands'!$J$5:$AK$14,MATCH($E6,'BY-Demands'!$I$5:$I$14,0),FALSE)*HLOOKUP(REG_TRA_DEMANDS!$F6,DEMANDS!$H$2:$CO$25,MATCH($E6,DEMANDS!$F$2:$F$25,0),FALSE)/HLOOKUP(2018,DEMANDS!$H$2:$CO$25,MATCH($E6,DEMANDS!$F$2:$F$25,0),FALSE)</f>
        <v>0.50859615687551163</v>
      </c>
      <c r="S6" s="13">
        <f>HLOOKUP(REG_TRA_DEMANDS!S$3,'BY-Demands'!$J$5:$AK$14,MATCH($E6,'BY-Demands'!$I$5:$I$14,0),FALSE)*HLOOKUP(REG_TRA_DEMANDS!$F6,DEMANDS!$H$2:$CO$25,MATCH($E6,DEMANDS!$F$2:$F$25,0),FALSE)/HLOOKUP(2018,DEMANDS!$H$2:$CO$25,MATCH($E6,DEMANDS!$F$2:$F$25,0),FALSE)</f>
        <v>0.44762675920289052</v>
      </c>
      <c r="T6" s="13">
        <f>HLOOKUP(REG_TRA_DEMANDS!T$3,'BY-Demands'!$J$5:$AK$14,MATCH($E6,'BY-Demands'!$I$5:$I$14,0),FALSE)*HLOOKUP(REG_TRA_DEMANDS!$F6,DEMANDS!$H$2:$CO$25,MATCH($E6,DEMANDS!$F$2:$F$25,0),FALSE)/HLOOKUP(2018,DEMANDS!$H$2:$CO$25,MATCH($E6,DEMANDS!$F$2:$F$25,0),FALSE)</f>
        <v>1.8929540020085456</v>
      </c>
      <c r="U6" s="13">
        <f>HLOOKUP(REG_TRA_DEMANDS!U$3,'BY-Demands'!$J$5:$AK$14,MATCH($E6,'BY-Demands'!$I$5:$I$14,0),FALSE)*HLOOKUP(REG_TRA_DEMANDS!$F6,DEMANDS!$H$2:$CO$25,MATCH($E6,DEMANDS!$F$2:$F$25,0),FALSE)/HLOOKUP(2018,DEMANDS!$H$2:$CO$25,MATCH($E6,DEMANDS!$F$2:$F$25,0),FALSE)</f>
        <v>0.57957821737928084</v>
      </c>
      <c r="V6" s="13">
        <f>HLOOKUP(REG_TRA_DEMANDS!V$3,'BY-Demands'!$J$5:$AK$14,MATCH($E6,'BY-Demands'!$I$5:$I$14,0),FALSE)*HLOOKUP(REG_TRA_DEMANDS!$F6,DEMANDS!$H$2:$CO$25,MATCH($E6,DEMANDS!$F$2:$F$25,0),FALSE)/HLOOKUP(2018,DEMANDS!$H$2:$CO$25,MATCH($E6,DEMANDS!$F$2:$F$25,0),FALSE)</f>
        <v>0.69110007094669024</v>
      </c>
      <c r="W6" s="13">
        <f>HLOOKUP(REG_TRA_DEMANDS!W$3,'BY-Demands'!$J$5:$AK$14,MATCH($E6,'BY-Demands'!$I$5:$I$14,0),FALSE)*HLOOKUP(REG_TRA_DEMANDS!$F6,DEMANDS!$H$2:$CO$25,MATCH($E6,DEMANDS!$F$2:$F$25,0),FALSE)/HLOOKUP(2018,DEMANDS!$H$2:$CO$25,MATCH($E6,DEMANDS!$F$2:$F$25,0),FALSE)</f>
        <v>0.63005528921010856</v>
      </c>
      <c r="X6" s="13">
        <f>HLOOKUP(REG_TRA_DEMANDS!X$3,'BY-Demands'!$J$5:$AK$14,MATCH($E6,'BY-Demands'!$I$5:$I$14,0),FALSE)*HLOOKUP(REG_TRA_DEMANDS!$F6,DEMANDS!$H$2:$CO$25,MATCH($E6,DEMANDS!$F$2:$F$25,0),FALSE)/HLOOKUP(2018,DEMANDS!$H$2:$CO$25,MATCH($E6,DEMANDS!$F$2:$F$25,0),FALSE)</f>
        <v>0.41837694910420542</v>
      </c>
      <c r="Y6" s="13">
        <f>HLOOKUP(REG_TRA_DEMANDS!Y$3,'BY-Demands'!$J$5:$AK$14,MATCH($E6,'BY-Demands'!$I$5:$I$14,0),FALSE)*HLOOKUP(REG_TRA_DEMANDS!$F6,DEMANDS!$H$2:$CO$25,MATCH($E6,DEMANDS!$F$2:$F$25,0),FALSE)/HLOOKUP(2018,DEMANDS!$H$2:$CO$25,MATCH($E6,DEMANDS!$F$2:$F$25,0),FALSE)</f>
        <v>0.93510054350577965</v>
      </c>
      <c r="Z6" s="13">
        <f>HLOOKUP(REG_TRA_DEMANDS!Z$3,'BY-Demands'!$J$5:$AK$14,MATCH($E6,'BY-Demands'!$I$5:$I$14,0),FALSE)*HLOOKUP(REG_TRA_DEMANDS!$F6,DEMANDS!$H$2:$CO$25,MATCH($E6,DEMANDS!$F$2:$F$25,0),FALSE)/HLOOKUP(2018,DEMANDS!$H$2:$CO$25,MATCH($E6,DEMANDS!$F$2:$F$25,0),FALSE)</f>
        <v>0.1200131034420438</v>
      </c>
      <c r="AA6" s="13">
        <f>HLOOKUP(REG_TRA_DEMANDS!AA$3,'BY-Demands'!$J$5:$AK$14,MATCH($E6,'BY-Demands'!$I$5:$I$14,0),FALSE)*HLOOKUP(REG_TRA_DEMANDS!$F6,DEMANDS!$H$2:$CO$25,MATCH($E6,DEMANDS!$F$2:$F$25,0),FALSE)/HLOOKUP(2018,DEMANDS!$H$2:$CO$25,MATCH($E6,DEMANDS!$F$2:$F$25,0),FALSE)</f>
        <v>0.50079180614331698</v>
      </c>
      <c r="AB6" s="13">
        <f>HLOOKUP(REG_TRA_DEMANDS!AB$3,'BY-Demands'!$J$5:$AK$14,MATCH($E6,'BY-Demands'!$I$5:$I$14,0),FALSE)*HLOOKUP(REG_TRA_DEMANDS!$F6,DEMANDS!$H$2:$CO$25,MATCH($E6,DEMANDS!$F$2:$F$25,0),FALSE)/HLOOKUP(2018,DEMANDS!$H$2:$CO$25,MATCH($E6,DEMANDS!$F$2:$F$25,0),FALSE)</f>
        <v>0.26196921512614108</v>
      </c>
      <c r="AC6" s="13">
        <f>HLOOKUP(REG_TRA_DEMANDS!AC$3,'BY-Demands'!$J$5:$AK$14,MATCH($E6,'BY-Demands'!$I$5:$I$14,0),FALSE)*HLOOKUP(REG_TRA_DEMANDS!$F6,DEMANDS!$H$2:$CO$25,MATCH($E6,DEMANDS!$F$2:$F$25,0),FALSE)/HLOOKUP(2018,DEMANDS!$H$2:$CO$25,MATCH($E6,DEMANDS!$F$2:$F$25,0),FALSE)</f>
        <v>0.23096481205860275</v>
      </c>
      <c r="AD6" s="13">
        <f>HLOOKUP(REG_TRA_DEMANDS!AD$3,'BY-Demands'!$J$5:$AK$14,MATCH($E6,'BY-Demands'!$I$5:$I$14,0),FALSE)*HLOOKUP(REG_TRA_DEMANDS!$F6,DEMANDS!$H$2:$CO$25,MATCH($E6,DEMANDS!$F$2:$F$25,0),FALSE)/HLOOKUP(2018,DEMANDS!$H$2:$CO$25,MATCH($E6,DEMANDS!$F$2:$F$25,0),FALSE)</f>
        <v>0.25761801506600557</v>
      </c>
      <c r="AE6" s="13">
        <f>HLOOKUP(REG_TRA_DEMANDS!AE$3,'BY-Demands'!$J$5:$AK$14,MATCH($E6,'BY-Demands'!$I$5:$I$14,0),FALSE)*HLOOKUP(REG_TRA_DEMANDS!$F6,DEMANDS!$H$2:$CO$25,MATCH($E6,DEMANDS!$F$2:$F$25,0),FALSE)/HLOOKUP(2018,DEMANDS!$H$2:$CO$25,MATCH($E6,DEMANDS!$F$2:$F$25,0),FALSE)</f>
        <v>0.49973451054237167</v>
      </c>
      <c r="AF6" s="13">
        <f>HLOOKUP(REG_TRA_DEMANDS!AF$3,'BY-Demands'!$J$5:$AK$14,MATCH($E6,'BY-Demands'!$I$5:$I$14,0),FALSE)*HLOOKUP(REG_TRA_DEMANDS!$F6,DEMANDS!$H$2:$CO$25,MATCH($E6,DEMANDS!$F$2:$F$25,0),FALSE)/HLOOKUP(2018,DEMANDS!$H$2:$CO$25,MATCH($E6,DEMANDS!$F$2:$F$25,0),FALSE)</f>
        <v>0.23967972865007509</v>
      </c>
    </row>
    <row r="7" spans="4:32" ht="12.75">
      <c r="D7" s="3" t="s">
        <v>59</v>
      </c>
      <c r="E7" s="3" t="str">
        <f>DEMANDS!$F$17</f>
        <v>TRAPS</v>
      </c>
      <c r="F7" s="3">
        <v>2050</v>
      </c>
      <c r="G7" s="13">
        <f>HLOOKUP(REG_TRA_DEMANDS!G$3,'BY-Demands'!$J$5:$AK$14,MATCH($E7,'BY-Demands'!$I$5:$I$14,0),FALSE)*HLOOKUP(REG_TRA_DEMANDS!$F7,DEMANDS!$H$2:$CO$25,MATCH($E7,DEMANDS!$F$2:$F$25,0),FALSE)/HLOOKUP(2018,DEMANDS!$H$2:$CO$25,MATCH($E7,DEMANDS!$F$2:$F$25,0),FALSE)</f>
        <v>0.24309913348208881</v>
      </c>
      <c r="H7" s="13">
        <f>HLOOKUP(REG_TRA_DEMANDS!H$3,'BY-Demands'!$J$5:$AK$14,MATCH($E7,'BY-Demands'!$I$5:$I$14,0),FALSE)*HLOOKUP(REG_TRA_DEMANDS!$F7,DEMANDS!$H$2:$CO$25,MATCH($E7,DEMANDS!$F$2:$F$25,0),FALSE)/HLOOKUP(2018,DEMANDS!$H$2:$CO$25,MATCH($E7,DEMANDS!$F$2:$F$25,0),FALSE)</f>
        <v>4.8601280749391584</v>
      </c>
      <c r="I7" s="13">
        <f>HLOOKUP(REG_TRA_DEMANDS!I$3,'BY-Demands'!$J$5:$AK$14,MATCH($E7,'BY-Demands'!$I$5:$I$14,0),FALSE)*HLOOKUP(REG_TRA_DEMANDS!$F7,DEMANDS!$H$2:$CO$25,MATCH($E7,DEMANDS!$F$2:$F$25,0),FALSE)/HLOOKUP(2018,DEMANDS!$H$2:$CO$25,MATCH($E7,DEMANDS!$F$2:$F$25,0),FALSE)</f>
        <v>0.89632953382440306</v>
      </c>
      <c r="J7" s="13">
        <f>HLOOKUP(REG_TRA_DEMANDS!J$3,'BY-Demands'!$J$5:$AK$14,MATCH($E7,'BY-Demands'!$I$5:$I$14,0),FALSE)*HLOOKUP(REG_TRA_DEMANDS!$F7,DEMANDS!$H$2:$CO$25,MATCH($E7,DEMANDS!$F$2:$F$25,0),FALSE)/HLOOKUP(2018,DEMANDS!$H$2:$CO$25,MATCH($E7,DEMANDS!$F$2:$F$25,0),FALSE)</f>
        <v>0.41583905190108156</v>
      </c>
      <c r="K7" s="13">
        <f>HLOOKUP(REG_TRA_DEMANDS!K$3,'BY-Demands'!$J$5:$AK$14,MATCH($E7,'BY-Demands'!$I$5:$I$14,0),FALSE)*HLOOKUP(REG_TRA_DEMANDS!$F7,DEMANDS!$H$2:$CO$25,MATCH($E7,DEMANDS!$F$2:$F$25,0),FALSE)/HLOOKUP(2018,DEMANDS!$H$2:$CO$25,MATCH($E7,DEMANDS!$F$2:$F$25,0),FALSE)</f>
        <v>0.32784733578443265</v>
      </c>
      <c r="L7" s="13">
        <f>HLOOKUP(REG_TRA_DEMANDS!L$3,'BY-Demands'!$J$5:$AK$14,MATCH($E7,'BY-Demands'!$I$5:$I$14,0),FALSE)*HLOOKUP(REG_TRA_DEMANDS!$F7,DEMANDS!$H$2:$CO$25,MATCH($E7,DEMANDS!$F$2:$F$25,0),FALSE)/HLOOKUP(2018,DEMANDS!$H$2:$CO$25,MATCH($E7,DEMANDS!$F$2:$F$25,0),FALSE)</f>
        <v>0.16473210522743295</v>
      </c>
      <c r="M7" s="13">
        <f>HLOOKUP(REG_TRA_DEMANDS!M$3,'BY-Demands'!$J$5:$AK$14,MATCH($E7,'BY-Demands'!$I$5:$I$14,0),FALSE)*HLOOKUP(REG_TRA_DEMANDS!$F7,DEMANDS!$H$2:$CO$25,MATCH($E7,DEMANDS!$F$2:$F$25,0),FALSE)/HLOOKUP(2018,DEMANDS!$H$2:$CO$25,MATCH($E7,DEMANDS!$F$2:$F$25,0),FALSE)</f>
        <v>0.47237134991773067</v>
      </c>
      <c r="N7" s="13">
        <f>HLOOKUP(REG_TRA_DEMANDS!N$3,'BY-Demands'!$J$5:$AK$14,MATCH($E7,'BY-Demands'!$I$5:$I$14,0),FALSE)*HLOOKUP(REG_TRA_DEMANDS!$F7,DEMANDS!$H$2:$CO$25,MATCH($E7,DEMANDS!$F$2:$F$25,0),FALSE)/HLOOKUP(2018,DEMANDS!$H$2:$CO$25,MATCH($E7,DEMANDS!$F$2:$F$25,0),FALSE)</f>
        <v>0.77753533867069746</v>
      </c>
      <c r="O7" s="13">
        <f>HLOOKUP(REG_TRA_DEMANDS!O$3,'BY-Demands'!$J$5:$AK$14,MATCH($E7,'BY-Demands'!$I$5:$I$14,0),FALSE)*HLOOKUP(REG_TRA_DEMANDS!$F7,DEMANDS!$H$2:$CO$25,MATCH($E7,DEMANDS!$F$2:$F$25,0),FALSE)/HLOOKUP(2018,DEMANDS!$H$2:$CO$25,MATCH($E7,DEMANDS!$F$2:$F$25,0),FALSE)</f>
        <v>0.32186297657967117</v>
      </c>
      <c r="P7" s="13">
        <f>HLOOKUP(REG_TRA_DEMANDS!P$3,'BY-Demands'!$J$5:$AK$14,MATCH($E7,'BY-Demands'!$I$5:$I$14,0),FALSE)*HLOOKUP(REG_TRA_DEMANDS!$F7,DEMANDS!$H$2:$CO$25,MATCH($E7,DEMANDS!$F$2:$F$25,0),FALSE)/HLOOKUP(2018,DEMANDS!$H$2:$CO$25,MATCH($E7,DEMANDS!$F$2:$F$25,0),FALSE)</f>
        <v>0.36482820386083858</v>
      </c>
      <c r="Q7" s="13">
        <f>HLOOKUP(REG_TRA_DEMANDS!Q$3,'BY-Demands'!$J$5:$AK$14,MATCH($E7,'BY-Demands'!$I$5:$I$14,0),FALSE)*HLOOKUP(REG_TRA_DEMANDS!$F7,DEMANDS!$H$2:$CO$25,MATCH($E7,DEMANDS!$F$2:$F$25,0),FALSE)/HLOOKUP(2018,DEMANDS!$H$2:$CO$25,MATCH($E7,DEMANDS!$F$2:$F$25,0),FALSE)</f>
        <v>0.63496078332453143</v>
      </c>
      <c r="R7" s="13">
        <f>HLOOKUP(REG_TRA_DEMANDS!R$3,'BY-Demands'!$J$5:$AK$14,MATCH($E7,'BY-Demands'!$I$5:$I$14,0),FALSE)*HLOOKUP(REG_TRA_DEMANDS!$F7,DEMANDS!$H$2:$CO$25,MATCH($E7,DEMANDS!$F$2:$F$25,0),FALSE)/HLOOKUP(2018,DEMANDS!$H$2:$CO$25,MATCH($E7,DEMANDS!$F$2:$F$25,0),FALSE)</f>
        <v>0.56165625279541498</v>
      </c>
      <c r="S7" s="13">
        <f>HLOOKUP(REG_TRA_DEMANDS!S$3,'BY-Demands'!$J$5:$AK$14,MATCH($E7,'BY-Demands'!$I$5:$I$14,0),FALSE)*HLOOKUP(REG_TRA_DEMANDS!$F7,DEMANDS!$H$2:$CO$25,MATCH($E7,DEMANDS!$F$2:$F$25,0),FALSE)/HLOOKUP(2018,DEMANDS!$H$2:$CO$25,MATCH($E7,DEMANDS!$F$2:$F$25,0),FALSE)</f>
        <v>0.49432612658610575</v>
      </c>
      <c r="T7" s="13">
        <f>HLOOKUP(REG_TRA_DEMANDS!T$3,'BY-Demands'!$J$5:$AK$14,MATCH($E7,'BY-Demands'!$I$5:$I$14,0),FALSE)*HLOOKUP(REG_TRA_DEMANDS!$F7,DEMANDS!$H$2:$CO$25,MATCH($E7,DEMANDS!$F$2:$F$25,0),FALSE)/HLOOKUP(2018,DEMANDS!$H$2:$CO$25,MATCH($E7,DEMANDS!$F$2:$F$25,0),FALSE)</f>
        <v>2.0904394127037014</v>
      </c>
      <c r="U7" s="13">
        <f>HLOOKUP(REG_TRA_DEMANDS!U$3,'BY-Demands'!$J$5:$AK$14,MATCH($E7,'BY-Demands'!$I$5:$I$14,0),FALSE)*HLOOKUP(REG_TRA_DEMANDS!$F7,DEMANDS!$H$2:$CO$25,MATCH($E7,DEMANDS!$F$2:$F$25,0),FALSE)/HLOOKUP(2018,DEMANDS!$H$2:$CO$25,MATCH($E7,DEMANDS!$F$2:$F$25,0),FALSE)</f>
        <v>0.64004362867171904</v>
      </c>
      <c r="V7" s="13">
        <f>HLOOKUP(REG_TRA_DEMANDS!V$3,'BY-Demands'!$J$5:$AK$14,MATCH($E7,'BY-Demands'!$I$5:$I$14,0),FALSE)*HLOOKUP(REG_TRA_DEMANDS!$F7,DEMANDS!$H$2:$CO$25,MATCH($E7,DEMANDS!$F$2:$F$25,0),FALSE)/HLOOKUP(2018,DEMANDS!$H$2:$CO$25,MATCH($E7,DEMANDS!$F$2:$F$25,0),FALSE)</f>
        <v>0.7632001754381581</v>
      </c>
      <c r="W7" s="13">
        <f>HLOOKUP(REG_TRA_DEMANDS!W$3,'BY-Demands'!$J$5:$AK$14,MATCH($E7,'BY-Demands'!$I$5:$I$14,0),FALSE)*HLOOKUP(REG_TRA_DEMANDS!$F7,DEMANDS!$H$2:$CO$25,MATCH($E7,DEMANDS!$F$2:$F$25,0),FALSE)/HLOOKUP(2018,DEMANDS!$H$2:$CO$25,MATCH($E7,DEMANDS!$F$2:$F$25,0),FALSE)</f>
        <v>0.6957868006035649</v>
      </c>
      <c r="X7" s="13">
        <f>HLOOKUP(REG_TRA_DEMANDS!X$3,'BY-Demands'!$J$5:$AK$14,MATCH($E7,'BY-Demands'!$I$5:$I$14,0),FALSE)*HLOOKUP(REG_TRA_DEMANDS!$F7,DEMANDS!$H$2:$CO$25,MATCH($E7,DEMANDS!$F$2:$F$25,0),FALSE)/HLOOKUP(2018,DEMANDS!$H$2:$CO$25,MATCH($E7,DEMANDS!$F$2:$F$25,0),FALSE)</f>
        <v>0.46202478393355773</v>
      </c>
      <c r="Y7" s="13">
        <f>HLOOKUP(REG_TRA_DEMANDS!Y$3,'BY-Demands'!$J$5:$AK$14,MATCH($E7,'BY-Demands'!$I$5:$I$14,0),FALSE)*HLOOKUP(REG_TRA_DEMANDS!$F7,DEMANDS!$H$2:$CO$25,MATCH($E7,DEMANDS!$F$2:$F$25,0),FALSE)/HLOOKUP(2018,DEMANDS!$H$2:$CO$25,MATCH($E7,DEMANDS!$F$2:$F$25,0),FALSE)</f>
        <v>1.0326563819886783</v>
      </c>
      <c r="Z7" s="13">
        <f>HLOOKUP(REG_TRA_DEMANDS!Z$3,'BY-Demands'!$J$5:$AK$14,MATCH($E7,'BY-Demands'!$I$5:$I$14,0),FALSE)*HLOOKUP(REG_TRA_DEMANDS!$F7,DEMANDS!$H$2:$CO$25,MATCH($E7,DEMANDS!$F$2:$F$25,0),FALSE)/HLOOKUP(2018,DEMANDS!$H$2:$CO$25,MATCH($E7,DEMANDS!$F$2:$F$25,0),FALSE)</f>
        <v>0.13253365967156872</v>
      </c>
      <c r="AA7" s="13">
        <f>HLOOKUP(REG_TRA_DEMANDS!AA$3,'BY-Demands'!$J$5:$AK$14,MATCH($E7,'BY-Demands'!$I$5:$I$14,0),FALSE)*HLOOKUP(REG_TRA_DEMANDS!$F7,DEMANDS!$H$2:$CO$25,MATCH($E7,DEMANDS!$F$2:$F$25,0),FALSE)/HLOOKUP(2018,DEMANDS!$H$2:$CO$25,MATCH($E7,DEMANDS!$F$2:$F$25,0),FALSE)</f>
        <v>0.55303770086872694</v>
      </c>
      <c r="AB7" s="13">
        <f>HLOOKUP(REG_TRA_DEMANDS!AB$3,'BY-Demands'!$J$5:$AK$14,MATCH($E7,'BY-Demands'!$I$5:$I$14,0),FALSE)*HLOOKUP(REG_TRA_DEMANDS!$F7,DEMANDS!$H$2:$CO$25,MATCH($E7,DEMANDS!$F$2:$F$25,0),FALSE)/HLOOKUP(2018,DEMANDS!$H$2:$CO$25,MATCH($E7,DEMANDS!$F$2:$F$25,0),FALSE)</f>
        <v>0.2892995665154402</v>
      </c>
      <c r="AC7" s="13">
        <f>HLOOKUP(REG_TRA_DEMANDS!AC$3,'BY-Demands'!$J$5:$AK$14,MATCH($E7,'BY-Demands'!$I$5:$I$14,0),FALSE)*HLOOKUP(REG_TRA_DEMANDS!$F7,DEMANDS!$H$2:$CO$25,MATCH($E7,DEMANDS!$F$2:$F$25,0),FALSE)/HLOOKUP(2018,DEMANDS!$H$2:$CO$25,MATCH($E7,DEMANDS!$F$2:$F$25,0),FALSE)</f>
        <v>0.2550605802162681</v>
      </c>
      <c r="AD7" s="13">
        <f>HLOOKUP(REG_TRA_DEMANDS!AD$3,'BY-Demands'!$J$5:$AK$14,MATCH($E7,'BY-Demands'!$I$5:$I$14,0),FALSE)*HLOOKUP(REG_TRA_DEMANDS!$F7,DEMANDS!$H$2:$CO$25,MATCH($E7,DEMANDS!$F$2:$F$25,0),FALSE)/HLOOKUP(2018,DEMANDS!$H$2:$CO$25,MATCH($E7,DEMANDS!$F$2:$F$25,0),FALSE)</f>
        <v>0.28449442064891911</v>
      </c>
      <c r="AE7" s="13">
        <f>HLOOKUP(REG_TRA_DEMANDS!AE$3,'BY-Demands'!$J$5:$AK$14,MATCH($E7,'BY-Demands'!$I$5:$I$14,0),FALSE)*HLOOKUP(REG_TRA_DEMANDS!$F7,DEMANDS!$H$2:$CO$25,MATCH($E7,DEMANDS!$F$2:$F$25,0),FALSE)/HLOOKUP(2018,DEMANDS!$H$2:$CO$25,MATCH($E7,DEMANDS!$F$2:$F$25,0),FALSE)</f>
        <v>0.55187010123727831</v>
      </c>
      <c r="AF7" s="13">
        <f>HLOOKUP(REG_TRA_DEMANDS!AF$3,'BY-Demands'!$J$5:$AK$14,MATCH($E7,'BY-Demands'!$I$5:$I$14,0),FALSE)*HLOOKUP(REG_TRA_DEMANDS!$F7,DEMANDS!$H$2:$CO$25,MATCH($E7,DEMANDS!$F$2:$F$25,0),FALSE)/HLOOKUP(2018,DEMANDS!$H$2:$CO$25,MATCH($E7,DEMANDS!$F$2:$F$25,0),FALSE)</f>
        <v>0.26468469422110324</v>
      </c>
    </row>
    <row r="8" spans="4:32" ht="12.75">
      <c r="D8" s="3" t="s">
        <v>59</v>
      </c>
      <c r="E8" s="3" t="str">
        <f>DEMANDS!$F$18</f>
        <v>TRAPM</v>
      </c>
      <c r="F8" s="3">
        <v>2019</v>
      </c>
      <c r="G8" s="13">
        <f>HLOOKUP(REG_TRA_DEMANDS!G$3,'BY-Demands'!$J$5:$AK$14,MATCH($E8,'BY-Demands'!$I$5:$I$14,0),FALSE)*HLOOKUP(REG_TRA_DEMANDS!$F8,DEMANDS!$H$2:$CO$25,MATCH($E8,DEMANDS!$F$2:$F$25,0),FALSE)/HLOOKUP(2018,DEMANDS!$H$2:$CO$25,MATCH($E8,DEMANDS!$F$2:$F$25,0),FALSE)</f>
        <v>0.44504487721842145</v>
      </c>
      <c r="H8" s="13">
        <f>HLOOKUP(REG_TRA_DEMANDS!H$3,'BY-Demands'!$J$5:$AK$14,MATCH($E8,'BY-Demands'!$I$5:$I$14,0),FALSE)*HLOOKUP(REG_TRA_DEMANDS!$F8,DEMANDS!$H$2:$CO$25,MATCH($E8,DEMANDS!$F$2:$F$25,0),FALSE)/HLOOKUP(2018,DEMANDS!$H$2:$CO$25,MATCH($E8,DEMANDS!$F$2:$F$25,0),FALSE)</f>
        <v>7.7937079104025209</v>
      </c>
      <c r="I8" s="13">
        <f>HLOOKUP(REG_TRA_DEMANDS!I$3,'BY-Demands'!$J$5:$AK$14,MATCH($E8,'BY-Demands'!$I$5:$I$14,0),FALSE)*HLOOKUP(REG_TRA_DEMANDS!$F8,DEMANDS!$H$2:$CO$25,MATCH($E8,DEMANDS!$F$2:$F$25,0),FALSE)/HLOOKUP(2018,DEMANDS!$H$2:$CO$25,MATCH($E8,DEMANDS!$F$2:$F$25,0),FALSE)</f>
        <v>1.5870469217794945</v>
      </c>
      <c r="J8" s="13">
        <f>HLOOKUP(REG_TRA_DEMANDS!J$3,'BY-Demands'!$J$5:$AK$14,MATCH($E8,'BY-Demands'!$I$5:$I$14,0),FALSE)*HLOOKUP(REG_TRA_DEMANDS!$F8,DEMANDS!$H$2:$CO$25,MATCH($E8,DEMANDS!$F$2:$F$25,0),FALSE)/HLOOKUP(2018,DEMANDS!$H$2:$CO$25,MATCH($E8,DEMANDS!$F$2:$F$25,0),FALSE)</f>
        <v>0.75371941599977788</v>
      </c>
      <c r="K8" s="13">
        <f>HLOOKUP(REG_TRA_DEMANDS!K$3,'BY-Demands'!$J$5:$AK$14,MATCH($E8,'BY-Demands'!$I$5:$I$14,0),FALSE)*HLOOKUP(REG_TRA_DEMANDS!$F8,DEMANDS!$H$2:$CO$25,MATCH($E8,DEMANDS!$F$2:$F$25,0),FALSE)/HLOOKUP(2018,DEMANDS!$H$2:$CO$25,MATCH($E8,DEMANDS!$F$2:$F$25,0),FALSE)</f>
        <v>0.56707222956060799</v>
      </c>
      <c r="L8" s="13">
        <f>HLOOKUP(REG_TRA_DEMANDS!L$3,'BY-Demands'!$J$5:$AK$14,MATCH($E8,'BY-Demands'!$I$5:$I$14,0),FALSE)*HLOOKUP(REG_TRA_DEMANDS!$F8,DEMANDS!$H$2:$CO$25,MATCH($E8,DEMANDS!$F$2:$F$25,0),FALSE)/HLOOKUP(2018,DEMANDS!$H$2:$CO$25,MATCH($E8,DEMANDS!$F$2:$F$25,0),FALSE)</f>
        <v>0.29215269212908374</v>
      </c>
      <c r="M8" s="13">
        <f>HLOOKUP(REG_TRA_DEMANDS!M$3,'BY-Demands'!$J$5:$AK$14,MATCH($E8,'BY-Demands'!$I$5:$I$14,0),FALSE)*HLOOKUP(REG_TRA_DEMANDS!$F8,DEMANDS!$H$2:$CO$25,MATCH($E8,DEMANDS!$F$2:$F$25,0),FALSE)/HLOOKUP(2018,DEMANDS!$H$2:$CO$25,MATCH($E8,DEMANDS!$F$2:$F$25,0),FALSE)</f>
        <v>0.78692852808848446</v>
      </c>
      <c r="N8" s="13">
        <f>HLOOKUP(REG_TRA_DEMANDS!N$3,'BY-Demands'!$J$5:$AK$14,MATCH($E8,'BY-Demands'!$I$5:$I$14,0),FALSE)*HLOOKUP(REG_TRA_DEMANDS!$F8,DEMANDS!$H$2:$CO$25,MATCH($E8,DEMANDS!$F$2:$F$25,0),FALSE)/HLOOKUP(2018,DEMANDS!$H$2:$CO$25,MATCH($E8,DEMANDS!$F$2:$F$25,0),FALSE)</f>
        <v>1.3661978764195406</v>
      </c>
      <c r="O8" s="13">
        <f>HLOOKUP(REG_TRA_DEMANDS!O$3,'BY-Demands'!$J$5:$AK$14,MATCH($E8,'BY-Demands'!$I$5:$I$14,0),FALSE)*HLOOKUP(REG_TRA_DEMANDS!$F8,DEMANDS!$H$2:$CO$25,MATCH($E8,DEMANDS!$F$2:$F$25,0),FALSE)/HLOOKUP(2018,DEMANDS!$H$2:$CO$25,MATCH($E8,DEMANDS!$F$2:$F$25,0),FALSE)</f>
        <v>0.57898198131513856</v>
      </c>
      <c r="P8" s="13">
        <f>HLOOKUP(REG_TRA_DEMANDS!P$3,'BY-Demands'!$J$5:$AK$14,MATCH($E8,'BY-Demands'!$I$5:$I$14,0),FALSE)*HLOOKUP(REG_TRA_DEMANDS!$F8,DEMANDS!$H$2:$CO$25,MATCH($E8,DEMANDS!$F$2:$F$25,0),FALSE)/HLOOKUP(2018,DEMANDS!$H$2:$CO$25,MATCH($E8,DEMANDS!$F$2:$F$25,0),FALSE)</f>
        <v>0.65358230250256555</v>
      </c>
      <c r="Q8" s="13">
        <f>HLOOKUP(REG_TRA_DEMANDS!Q$3,'BY-Demands'!$J$5:$AK$14,MATCH($E8,'BY-Demands'!$I$5:$I$14,0),FALSE)*HLOOKUP(REG_TRA_DEMANDS!$F8,DEMANDS!$H$2:$CO$25,MATCH($E8,DEMANDS!$F$2:$F$25,0),FALSE)/HLOOKUP(2018,DEMANDS!$H$2:$CO$25,MATCH($E8,DEMANDS!$F$2:$F$25,0),FALSE)</f>
        <v>1.1591453120223312</v>
      </c>
      <c r="R8" s="13">
        <f>HLOOKUP(REG_TRA_DEMANDS!R$3,'BY-Demands'!$J$5:$AK$14,MATCH($E8,'BY-Demands'!$I$5:$I$14,0),FALSE)*HLOOKUP(REG_TRA_DEMANDS!$F8,DEMANDS!$H$2:$CO$25,MATCH($E8,DEMANDS!$F$2:$F$25,0),FALSE)/HLOOKUP(2018,DEMANDS!$H$2:$CO$25,MATCH($E8,DEMANDS!$F$2:$F$25,0),FALSE)</f>
        <v>0.98363731275831134</v>
      </c>
      <c r="S8" s="13">
        <f>HLOOKUP(REG_TRA_DEMANDS!S$3,'BY-Demands'!$J$5:$AK$14,MATCH($E8,'BY-Demands'!$I$5:$I$14,0),FALSE)*HLOOKUP(REG_TRA_DEMANDS!$F8,DEMANDS!$H$2:$CO$25,MATCH($E8,DEMANDS!$F$2:$F$25,0),FALSE)/HLOOKUP(2018,DEMANDS!$H$2:$CO$25,MATCH($E8,DEMANDS!$F$2:$F$25,0),FALSE)</f>
        <v>0.89211010866799778</v>
      </c>
      <c r="T8" s="13">
        <f>HLOOKUP(REG_TRA_DEMANDS!T$3,'BY-Demands'!$J$5:$AK$14,MATCH($E8,'BY-Demands'!$I$5:$I$14,0),FALSE)*HLOOKUP(REG_TRA_DEMANDS!$F8,DEMANDS!$H$2:$CO$25,MATCH($E8,DEMANDS!$F$2:$F$25,0),FALSE)/HLOOKUP(2018,DEMANDS!$H$2:$CO$25,MATCH($E8,DEMANDS!$F$2:$F$25,0),FALSE)</f>
        <v>3.6052969056240896</v>
      </c>
      <c r="U8" s="13">
        <f>HLOOKUP(REG_TRA_DEMANDS!U$3,'BY-Demands'!$J$5:$AK$14,MATCH($E8,'BY-Demands'!$I$5:$I$14,0),FALSE)*HLOOKUP(REG_TRA_DEMANDS!$F8,DEMANDS!$H$2:$CO$25,MATCH($E8,DEMANDS!$F$2:$F$25,0),FALSE)/HLOOKUP(2018,DEMANDS!$H$2:$CO$25,MATCH($E8,DEMANDS!$F$2:$F$25,0),FALSE)</f>
        <v>1.1800127078014957</v>
      </c>
      <c r="V8" s="13">
        <f>HLOOKUP(REG_TRA_DEMANDS!V$3,'BY-Demands'!$J$5:$AK$14,MATCH($E8,'BY-Demands'!$I$5:$I$14,0),FALSE)*HLOOKUP(REG_TRA_DEMANDS!$F8,DEMANDS!$H$2:$CO$25,MATCH($E8,DEMANDS!$F$2:$F$25,0),FALSE)/HLOOKUP(2018,DEMANDS!$H$2:$CO$25,MATCH($E8,DEMANDS!$F$2:$F$25,0),FALSE)</f>
        <v>1.3289979498467648</v>
      </c>
      <c r="W8" s="13">
        <f>HLOOKUP(REG_TRA_DEMANDS!W$3,'BY-Demands'!$J$5:$AK$14,MATCH($E8,'BY-Demands'!$I$5:$I$14,0),FALSE)*HLOOKUP(REG_TRA_DEMANDS!$F8,DEMANDS!$H$2:$CO$25,MATCH($E8,DEMANDS!$F$2:$F$25,0),FALSE)/HLOOKUP(2018,DEMANDS!$H$2:$CO$25,MATCH($E8,DEMANDS!$F$2:$F$25,0),FALSE)</f>
        <v>1.2889705463689798</v>
      </c>
      <c r="X8" s="13">
        <f>HLOOKUP(REG_TRA_DEMANDS!X$3,'BY-Demands'!$J$5:$AK$14,MATCH($E8,'BY-Demands'!$I$5:$I$14,0),FALSE)*HLOOKUP(REG_TRA_DEMANDS!$F8,DEMANDS!$H$2:$CO$25,MATCH($E8,DEMANDS!$F$2:$F$25,0),FALSE)/HLOOKUP(2018,DEMANDS!$H$2:$CO$25,MATCH($E8,DEMANDS!$F$2:$F$25,0),FALSE)</f>
        <v>0.81318189166940957</v>
      </c>
      <c r="Y8" s="13">
        <f>HLOOKUP(REG_TRA_DEMANDS!Y$3,'BY-Demands'!$J$5:$AK$14,MATCH($E8,'BY-Demands'!$I$5:$I$14,0),FALSE)*HLOOKUP(REG_TRA_DEMANDS!$F8,DEMANDS!$H$2:$CO$25,MATCH($E8,DEMANDS!$F$2:$F$25,0),FALSE)/HLOOKUP(2018,DEMANDS!$H$2:$CO$25,MATCH($E8,DEMANDS!$F$2:$F$25,0),FALSE)</f>
        <v>1.8206653161788104</v>
      </c>
      <c r="Z8" s="13">
        <f>HLOOKUP(REG_TRA_DEMANDS!Z$3,'BY-Demands'!$J$5:$AK$14,MATCH($E8,'BY-Demands'!$I$5:$I$14,0),FALSE)*HLOOKUP(REG_TRA_DEMANDS!$F8,DEMANDS!$H$2:$CO$25,MATCH($E8,DEMANDS!$F$2:$F$25,0),FALSE)/HLOOKUP(2018,DEMANDS!$H$2:$CO$25,MATCH($E8,DEMANDS!$F$2:$F$25,0),FALSE)</f>
        <v>0.23862041442976697</v>
      </c>
      <c r="AA8" s="13">
        <f>HLOOKUP(REG_TRA_DEMANDS!AA$3,'BY-Demands'!$J$5:$AK$14,MATCH($E8,'BY-Demands'!$I$5:$I$14,0),FALSE)*HLOOKUP(REG_TRA_DEMANDS!$F8,DEMANDS!$H$2:$CO$25,MATCH($E8,DEMANDS!$F$2:$F$25,0),FALSE)/HLOOKUP(2018,DEMANDS!$H$2:$CO$25,MATCH($E8,DEMANDS!$F$2:$F$25,0),FALSE)</f>
        <v>1.0083408487910557</v>
      </c>
      <c r="AB8" s="13">
        <f>HLOOKUP(REG_TRA_DEMANDS!AB$3,'BY-Demands'!$J$5:$AK$14,MATCH($E8,'BY-Demands'!$I$5:$I$14,0),FALSE)*HLOOKUP(REG_TRA_DEMANDS!$F8,DEMANDS!$H$2:$CO$25,MATCH($E8,DEMANDS!$F$2:$F$25,0),FALSE)/HLOOKUP(2018,DEMANDS!$H$2:$CO$25,MATCH($E8,DEMANDS!$F$2:$F$25,0),FALSE)</f>
        <v>0.54292180091605458</v>
      </c>
      <c r="AC8" s="13">
        <f>HLOOKUP(REG_TRA_DEMANDS!AC$3,'BY-Demands'!$J$5:$AK$14,MATCH($E8,'BY-Demands'!$I$5:$I$14,0),FALSE)*HLOOKUP(REG_TRA_DEMANDS!$F8,DEMANDS!$H$2:$CO$25,MATCH($E8,DEMANDS!$F$2:$F$25,0),FALSE)/HLOOKUP(2018,DEMANDS!$H$2:$CO$25,MATCH($E8,DEMANDS!$F$2:$F$25,0),FALSE)</f>
        <v>0.44291300994417443</v>
      </c>
      <c r="AD8" s="13">
        <f>HLOOKUP(REG_TRA_DEMANDS!AD$3,'BY-Demands'!$J$5:$AK$14,MATCH($E8,'BY-Demands'!$I$5:$I$14,0),FALSE)*HLOOKUP(REG_TRA_DEMANDS!$F8,DEMANDS!$H$2:$CO$25,MATCH($E8,DEMANDS!$F$2:$F$25,0),FALSE)/HLOOKUP(2018,DEMANDS!$H$2:$CO$25,MATCH($E8,DEMANDS!$F$2:$F$25,0),FALSE)</f>
        <v>0.48125689749079964</v>
      </c>
      <c r="AE8" s="13">
        <f>HLOOKUP(REG_TRA_DEMANDS!AE$3,'BY-Demands'!$J$5:$AK$14,MATCH($E8,'BY-Demands'!$I$5:$I$14,0),FALSE)*HLOOKUP(REG_TRA_DEMANDS!$F8,DEMANDS!$H$2:$CO$25,MATCH($E8,DEMANDS!$F$2:$F$25,0),FALSE)/HLOOKUP(2018,DEMANDS!$H$2:$CO$25,MATCH($E8,DEMANDS!$F$2:$F$25,0),FALSE)</f>
        <v>0.88631243709750096</v>
      </c>
      <c r="AF8" s="13">
        <f>HLOOKUP(REG_TRA_DEMANDS!AF$3,'BY-Demands'!$J$5:$AK$14,MATCH($E8,'BY-Demands'!$I$5:$I$14,0),FALSE)*HLOOKUP(REG_TRA_DEMANDS!$F8,DEMANDS!$H$2:$CO$25,MATCH($E8,DEMANDS!$F$2:$F$25,0),FALSE)/HLOOKUP(2018,DEMANDS!$H$2:$CO$25,MATCH($E8,DEMANDS!$F$2:$F$25,0),FALSE)</f>
        <v>0.48743823497682215</v>
      </c>
    </row>
    <row r="9" spans="4:32" ht="12.75">
      <c r="D9" s="3" t="s">
        <v>59</v>
      </c>
      <c r="E9" s="3" t="str">
        <f>DEMANDS!$F$18</f>
        <v>TRAPM</v>
      </c>
      <c r="F9" s="3">
        <v>2020</v>
      </c>
      <c r="G9" s="13">
        <f>HLOOKUP(REG_TRA_DEMANDS!G$3,'BY-Demands'!$J$5:$AK$14,MATCH($E9,'BY-Demands'!$I$5:$I$14,0),FALSE)*HLOOKUP(REG_TRA_DEMANDS!$F9,DEMANDS!$H$2:$CO$25,MATCH($E9,DEMANDS!$F$2:$F$25,0),FALSE)/HLOOKUP(2018,DEMANDS!$H$2:$CO$25,MATCH($E9,DEMANDS!$F$2:$F$25,0),FALSE)</f>
        <v>0.32193664473309486</v>
      </c>
      <c r="H9" s="13">
        <f>HLOOKUP(REG_TRA_DEMANDS!H$3,'BY-Demands'!$J$5:$AK$14,MATCH($E9,'BY-Demands'!$I$5:$I$14,0),FALSE)*HLOOKUP(REG_TRA_DEMANDS!$F9,DEMANDS!$H$2:$CO$25,MATCH($E9,DEMANDS!$F$2:$F$25,0),FALSE)/HLOOKUP(2018,DEMANDS!$H$2:$CO$25,MATCH($E9,DEMANDS!$F$2:$F$25,0),FALSE)</f>
        <v>5.637813854608976</v>
      </c>
      <c r="I9" s="13">
        <f>HLOOKUP(REG_TRA_DEMANDS!I$3,'BY-Demands'!$J$5:$AK$14,MATCH($E9,'BY-Demands'!$I$5:$I$14,0),FALSE)*HLOOKUP(REG_TRA_DEMANDS!$F9,DEMANDS!$H$2:$CO$25,MATCH($E9,DEMANDS!$F$2:$F$25,0),FALSE)/HLOOKUP(2018,DEMANDS!$H$2:$CO$25,MATCH($E9,DEMANDS!$F$2:$F$25,0),FALSE)</f>
        <v>1.1480382927336128</v>
      </c>
      <c r="J9" s="13">
        <f>HLOOKUP(REG_TRA_DEMANDS!J$3,'BY-Demands'!$J$5:$AK$14,MATCH($E9,'BY-Demands'!$I$5:$I$14,0),FALSE)*HLOOKUP(REG_TRA_DEMANDS!$F9,DEMANDS!$H$2:$CO$25,MATCH($E9,DEMANDS!$F$2:$F$25,0),FALSE)/HLOOKUP(2018,DEMANDS!$H$2:$CO$25,MATCH($E9,DEMANDS!$F$2:$F$25,0),FALSE)</f>
        <v>0.54522568908947855</v>
      </c>
      <c r="K9" s="13">
        <f>HLOOKUP(REG_TRA_DEMANDS!K$3,'BY-Demands'!$J$5:$AK$14,MATCH($E9,'BY-Demands'!$I$5:$I$14,0),FALSE)*HLOOKUP(REG_TRA_DEMANDS!$F9,DEMANDS!$H$2:$CO$25,MATCH($E9,DEMANDS!$F$2:$F$25,0),FALSE)/HLOOKUP(2018,DEMANDS!$H$2:$CO$25,MATCH($E9,DEMANDS!$F$2:$F$25,0),FALSE)</f>
        <v>0.41020881320348074</v>
      </c>
      <c r="L9" s="13">
        <f>HLOOKUP(REG_TRA_DEMANDS!L$3,'BY-Demands'!$J$5:$AK$14,MATCH($E9,'BY-Demands'!$I$5:$I$14,0),FALSE)*HLOOKUP(REG_TRA_DEMANDS!$F9,DEMANDS!$H$2:$CO$25,MATCH($E9,DEMANDS!$F$2:$F$25,0),FALSE)/HLOOKUP(2018,DEMANDS!$H$2:$CO$25,MATCH($E9,DEMANDS!$F$2:$F$25,0),FALSE)</f>
        <v>0.21133746790128183</v>
      </c>
      <c r="M9" s="13">
        <f>HLOOKUP(REG_TRA_DEMANDS!M$3,'BY-Demands'!$J$5:$AK$14,MATCH($E9,'BY-Demands'!$I$5:$I$14,0),FALSE)*HLOOKUP(REG_TRA_DEMANDS!$F9,DEMANDS!$H$2:$CO$25,MATCH($E9,DEMANDS!$F$2:$F$25,0),FALSE)/HLOOKUP(2018,DEMANDS!$H$2:$CO$25,MATCH($E9,DEMANDS!$F$2:$F$25,0),FALSE)</f>
        <v>0.56924850267004323</v>
      </c>
      <c r="N9" s="13">
        <f>HLOOKUP(REG_TRA_DEMANDS!N$3,'BY-Demands'!$J$5:$AK$14,MATCH($E9,'BY-Demands'!$I$5:$I$14,0),FALSE)*HLOOKUP(REG_TRA_DEMANDS!$F9,DEMANDS!$H$2:$CO$25,MATCH($E9,DEMANDS!$F$2:$F$25,0),FALSE)/HLOOKUP(2018,DEMANDS!$H$2:$CO$25,MATCH($E9,DEMANDS!$F$2:$F$25,0),FALSE)</f>
        <v>0.98828046988197249</v>
      </c>
      <c r="O9" s="13">
        <f>HLOOKUP(REG_TRA_DEMANDS!O$3,'BY-Demands'!$J$5:$AK$14,MATCH($E9,'BY-Demands'!$I$5:$I$14,0),FALSE)*HLOOKUP(REG_TRA_DEMANDS!$F9,DEMANDS!$H$2:$CO$25,MATCH($E9,DEMANDS!$F$2:$F$25,0),FALSE)/HLOOKUP(2018,DEMANDS!$H$2:$CO$25,MATCH($E9,DEMANDS!$F$2:$F$25,0),FALSE)</f>
        <v>0.41882409160736161</v>
      </c>
      <c r="P9" s="13">
        <f>HLOOKUP(REG_TRA_DEMANDS!P$3,'BY-Demands'!$J$5:$AK$14,MATCH($E9,'BY-Demands'!$I$5:$I$14,0),FALSE)*HLOOKUP(REG_TRA_DEMANDS!$F9,DEMANDS!$H$2:$CO$25,MATCH($E9,DEMANDS!$F$2:$F$25,0),FALSE)/HLOOKUP(2018,DEMANDS!$H$2:$CO$25,MATCH($E9,DEMANDS!$F$2:$F$25,0),FALSE)</f>
        <v>0.47278848560105868</v>
      </c>
      <c r="Q9" s="13">
        <f>HLOOKUP(REG_TRA_DEMANDS!Q$3,'BY-Demands'!$J$5:$AK$14,MATCH($E9,'BY-Demands'!$I$5:$I$14,0),FALSE)*HLOOKUP(REG_TRA_DEMANDS!$F9,DEMANDS!$H$2:$CO$25,MATCH($E9,DEMANDS!$F$2:$F$25,0),FALSE)/HLOOKUP(2018,DEMANDS!$H$2:$CO$25,MATCH($E9,DEMANDS!$F$2:$F$25,0),FALSE)</f>
        <v>0.83850274795415447</v>
      </c>
      <c r="R9" s="13">
        <f>HLOOKUP(REG_TRA_DEMANDS!R$3,'BY-Demands'!$J$5:$AK$14,MATCH($E9,'BY-Demands'!$I$5:$I$14,0),FALSE)*HLOOKUP(REG_TRA_DEMANDS!$F9,DEMANDS!$H$2:$CO$25,MATCH($E9,DEMANDS!$F$2:$F$25,0),FALSE)/HLOOKUP(2018,DEMANDS!$H$2:$CO$25,MATCH($E9,DEMANDS!$F$2:$F$25,0),FALSE)</f>
        <v>0.71154373932557857</v>
      </c>
      <c r="S9" s="13">
        <f>HLOOKUP(REG_TRA_DEMANDS!S$3,'BY-Demands'!$J$5:$AK$14,MATCH($E9,'BY-Demands'!$I$5:$I$14,0),FALSE)*HLOOKUP(REG_TRA_DEMANDS!$F9,DEMANDS!$H$2:$CO$25,MATCH($E9,DEMANDS!$F$2:$F$25,0),FALSE)/HLOOKUP(2018,DEMANDS!$H$2:$CO$25,MATCH($E9,DEMANDS!$F$2:$F$25,0),FALSE)</f>
        <v>0.64533477367968184</v>
      </c>
      <c r="T9" s="13">
        <f>HLOOKUP(REG_TRA_DEMANDS!T$3,'BY-Demands'!$J$5:$AK$14,MATCH($E9,'BY-Demands'!$I$5:$I$14,0),FALSE)*HLOOKUP(REG_TRA_DEMANDS!$F9,DEMANDS!$H$2:$CO$25,MATCH($E9,DEMANDS!$F$2:$F$25,0),FALSE)/HLOOKUP(2018,DEMANDS!$H$2:$CO$25,MATCH($E9,DEMANDS!$F$2:$F$25,0),FALSE)</f>
        <v>2.6080003354214218</v>
      </c>
      <c r="U9" s="13">
        <f>HLOOKUP(REG_TRA_DEMANDS!U$3,'BY-Demands'!$J$5:$AK$14,MATCH($E9,'BY-Demands'!$I$5:$I$14,0),FALSE)*HLOOKUP(REG_TRA_DEMANDS!$F9,DEMANDS!$H$2:$CO$25,MATCH($E9,DEMANDS!$F$2:$F$25,0),FALSE)/HLOOKUP(2018,DEMANDS!$H$2:$CO$25,MATCH($E9,DEMANDS!$F$2:$F$25,0),FALSE)</f>
        <v>0.8535978085319772</v>
      </c>
      <c r="V9" s="13">
        <f>HLOOKUP(REG_TRA_DEMANDS!V$3,'BY-Demands'!$J$5:$AK$14,MATCH($E9,'BY-Demands'!$I$5:$I$14,0),FALSE)*HLOOKUP(REG_TRA_DEMANDS!$F9,DEMANDS!$H$2:$CO$25,MATCH($E9,DEMANDS!$F$2:$F$25,0),FALSE)/HLOOKUP(2018,DEMANDS!$H$2:$CO$25,MATCH($E9,DEMANDS!$F$2:$F$25,0),FALSE)</f>
        <v>0.96137078018953437</v>
      </c>
      <c r="W9" s="13">
        <f>HLOOKUP(REG_TRA_DEMANDS!W$3,'BY-Demands'!$J$5:$AK$14,MATCH($E9,'BY-Demands'!$I$5:$I$14,0),FALSE)*HLOOKUP(REG_TRA_DEMANDS!$F9,DEMANDS!$H$2:$CO$25,MATCH($E9,DEMANDS!$F$2:$F$25,0),FALSE)/HLOOKUP(2018,DEMANDS!$H$2:$CO$25,MATCH($E9,DEMANDS!$F$2:$F$25,0),FALSE)</f>
        <v>0.932415749736074</v>
      </c>
      <c r="X9" s="13">
        <f>HLOOKUP(REG_TRA_DEMANDS!X$3,'BY-Demands'!$J$5:$AK$14,MATCH($E9,'BY-Demands'!$I$5:$I$14,0),FALSE)*HLOOKUP(REG_TRA_DEMANDS!$F9,DEMANDS!$H$2:$CO$25,MATCH($E9,DEMANDS!$F$2:$F$25,0),FALSE)/HLOOKUP(2018,DEMANDS!$H$2:$CO$25,MATCH($E9,DEMANDS!$F$2:$F$25,0),FALSE)</f>
        <v>0.58823966562202801</v>
      </c>
      <c r="Y9" s="13">
        <f>HLOOKUP(REG_TRA_DEMANDS!Y$3,'BY-Demands'!$J$5:$AK$14,MATCH($E9,'BY-Demands'!$I$5:$I$14,0),FALSE)*HLOOKUP(REG_TRA_DEMANDS!$F9,DEMANDS!$H$2:$CO$25,MATCH($E9,DEMANDS!$F$2:$F$25,0),FALSE)/HLOOKUP(2018,DEMANDS!$H$2:$CO$25,MATCH($E9,DEMANDS!$F$2:$F$25,0),FALSE)</f>
        <v>1.3170332096303565</v>
      </c>
      <c r="Z9" s="13">
        <f>HLOOKUP(REG_TRA_DEMANDS!Z$3,'BY-Demands'!$J$5:$AK$14,MATCH($E9,'BY-Demands'!$I$5:$I$14,0),FALSE)*HLOOKUP(REG_TRA_DEMANDS!$F9,DEMANDS!$H$2:$CO$25,MATCH($E9,DEMANDS!$F$2:$F$25,0),FALSE)/HLOOKUP(2018,DEMANDS!$H$2:$CO$25,MATCH($E9,DEMANDS!$F$2:$F$25,0),FALSE)</f>
        <v>0.17261327906182664</v>
      </c>
      <c r="AA9" s="13">
        <f>HLOOKUP(REG_TRA_DEMANDS!AA$3,'BY-Demands'!$J$5:$AK$14,MATCH($E9,'BY-Demands'!$I$5:$I$14,0),FALSE)*HLOOKUP(REG_TRA_DEMANDS!$F9,DEMANDS!$H$2:$CO$25,MATCH($E9,DEMANDS!$F$2:$F$25,0),FALSE)/HLOOKUP(2018,DEMANDS!$H$2:$CO$25,MATCH($E9,DEMANDS!$F$2:$F$25,0),FALSE)</f>
        <v>0.72941378774211518</v>
      </c>
      <c r="AB9" s="13">
        <f>HLOOKUP(REG_TRA_DEMANDS!AB$3,'BY-Demands'!$J$5:$AK$14,MATCH($E9,'BY-Demands'!$I$5:$I$14,0),FALSE)*HLOOKUP(REG_TRA_DEMANDS!$F9,DEMANDS!$H$2:$CO$25,MATCH($E9,DEMANDS!$F$2:$F$25,0),FALSE)/HLOOKUP(2018,DEMANDS!$H$2:$CO$25,MATCH($E9,DEMANDS!$F$2:$F$25,0),FALSE)</f>
        <v>0.39273887171064176</v>
      </c>
      <c r="AC9" s="13">
        <f>HLOOKUP(REG_TRA_DEMANDS!AC$3,'BY-Demands'!$J$5:$AK$14,MATCH($E9,'BY-Demands'!$I$5:$I$14,0),FALSE)*HLOOKUP(REG_TRA_DEMANDS!$F9,DEMANDS!$H$2:$CO$25,MATCH($E9,DEMANDS!$F$2:$F$25,0),FALSE)/HLOOKUP(2018,DEMANDS!$H$2:$CO$25,MATCH($E9,DEMANDS!$F$2:$F$25,0),FALSE)</f>
        <v>0.32039449419408184</v>
      </c>
      <c r="AD9" s="13">
        <f>HLOOKUP(REG_TRA_DEMANDS!AD$3,'BY-Demands'!$J$5:$AK$14,MATCH($E9,'BY-Demands'!$I$5:$I$14,0),FALSE)*HLOOKUP(REG_TRA_DEMANDS!$F9,DEMANDS!$H$2:$CO$25,MATCH($E9,DEMANDS!$F$2:$F$25,0),FALSE)/HLOOKUP(2018,DEMANDS!$H$2:$CO$25,MATCH($E9,DEMANDS!$F$2:$F$25,0),FALSE)</f>
        <v>0.34813170258514758</v>
      </c>
      <c r="AE9" s="13">
        <f>HLOOKUP(REG_TRA_DEMANDS!AE$3,'BY-Demands'!$J$5:$AK$14,MATCH($E9,'BY-Demands'!$I$5:$I$14,0),FALSE)*HLOOKUP(REG_TRA_DEMANDS!$F9,DEMANDS!$H$2:$CO$25,MATCH($E9,DEMANDS!$F$2:$F$25,0),FALSE)/HLOOKUP(2018,DEMANDS!$H$2:$CO$25,MATCH($E9,DEMANDS!$F$2:$F$25,0),FALSE)</f>
        <v>0.64114085295794276</v>
      </c>
      <c r="AF9" s="13">
        <f>HLOOKUP(REG_TRA_DEMANDS!AF$3,'BY-Demands'!$J$5:$AK$14,MATCH($E9,'BY-Demands'!$I$5:$I$14,0),FALSE)*HLOOKUP(REG_TRA_DEMANDS!$F9,DEMANDS!$H$2:$CO$25,MATCH($E9,DEMANDS!$F$2:$F$25,0),FALSE)/HLOOKUP(2018,DEMANDS!$H$2:$CO$25,MATCH($E9,DEMANDS!$F$2:$F$25,0),FALSE)</f>
        <v>0.35260315962707711</v>
      </c>
    </row>
    <row r="10" spans="4:32" ht="12.75">
      <c r="D10" s="3" t="s">
        <v>59</v>
      </c>
      <c r="E10" s="3" t="str">
        <f>DEMANDS!$F$18</f>
        <v>TRAPM</v>
      </c>
      <c r="F10" s="3">
        <v>2030</v>
      </c>
      <c r="G10" s="13">
        <f>HLOOKUP(REG_TRA_DEMANDS!G$3,'BY-Demands'!$J$5:$AK$14,MATCH($E10,'BY-Demands'!$I$5:$I$14,0),FALSE)*HLOOKUP(REG_TRA_DEMANDS!$F10,DEMANDS!$H$2:$CO$25,MATCH($E10,DEMANDS!$F$2:$F$25,0),FALSE)/HLOOKUP(2018,DEMANDS!$H$2:$CO$25,MATCH($E10,DEMANDS!$F$2:$F$25,0),FALSE)</f>
        <v>0.41768976034488769</v>
      </c>
      <c r="H10" s="13">
        <f>HLOOKUP(REG_TRA_DEMANDS!H$3,'BY-Demands'!$J$5:$AK$14,MATCH($E10,'BY-Demands'!$I$5:$I$14,0),FALSE)*HLOOKUP(REG_TRA_DEMANDS!$F10,DEMANDS!$H$2:$CO$25,MATCH($E10,DEMANDS!$F$2:$F$25,0),FALSE)/HLOOKUP(2018,DEMANDS!$H$2:$CO$25,MATCH($E10,DEMANDS!$F$2:$F$25,0),FALSE)</f>
        <v>7.3146600622399829</v>
      </c>
      <c r="I10" s="13">
        <f>HLOOKUP(REG_TRA_DEMANDS!I$3,'BY-Demands'!$J$5:$AK$14,MATCH($E10,'BY-Demands'!$I$5:$I$14,0),FALSE)*HLOOKUP(REG_TRA_DEMANDS!$F10,DEMANDS!$H$2:$CO$25,MATCH($E10,DEMANDS!$F$2:$F$25,0),FALSE)/HLOOKUP(2018,DEMANDS!$H$2:$CO$25,MATCH($E10,DEMANDS!$F$2:$F$25,0),FALSE)</f>
        <v>1.4894975368716143</v>
      </c>
      <c r="J10" s="13">
        <f>HLOOKUP(REG_TRA_DEMANDS!J$3,'BY-Demands'!$J$5:$AK$14,MATCH($E10,'BY-Demands'!$I$5:$I$14,0),FALSE)*HLOOKUP(REG_TRA_DEMANDS!$F10,DEMANDS!$H$2:$CO$25,MATCH($E10,DEMANDS!$F$2:$F$25,0),FALSE)/HLOOKUP(2018,DEMANDS!$H$2:$CO$25,MATCH($E10,DEMANDS!$F$2:$F$25,0),FALSE)</f>
        <v>0.70739131793607068</v>
      </c>
      <c r="K10" s="13">
        <f>HLOOKUP(REG_TRA_DEMANDS!K$3,'BY-Demands'!$J$5:$AK$14,MATCH($E10,'BY-Demands'!$I$5:$I$14,0),FALSE)*HLOOKUP(REG_TRA_DEMANDS!$F10,DEMANDS!$H$2:$CO$25,MATCH($E10,DEMANDS!$F$2:$F$25,0),FALSE)/HLOOKUP(2018,DEMANDS!$H$2:$CO$25,MATCH($E10,DEMANDS!$F$2:$F$25,0),FALSE)</f>
        <v>0.53221658261479987</v>
      </c>
      <c r="L10" s="13">
        <f>HLOOKUP(REG_TRA_DEMANDS!L$3,'BY-Demands'!$J$5:$AK$14,MATCH($E10,'BY-Demands'!$I$5:$I$14,0),FALSE)*HLOOKUP(REG_TRA_DEMANDS!$F10,DEMANDS!$H$2:$CO$25,MATCH($E10,DEMANDS!$F$2:$F$25,0),FALSE)/HLOOKUP(2018,DEMANDS!$H$2:$CO$25,MATCH($E10,DEMANDS!$F$2:$F$25,0),FALSE)</f>
        <v>0.27419524233647252</v>
      </c>
      <c r="M10" s="13">
        <f>HLOOKUP(REG_TRA_DEMANDS!M$3,'BY-Demands'!$J$5:$AK$14,MATCH($E10,'BY-Demands'!$I$5:$I$14,0),FALSE)*HLOOKUP(REG_TRA_DEMANDS!$F10,DEMANDS!$H$2:$CO$25,MATCH($E10,DEMANDS!$F$2:$F$25,0),FALSE)/HLOOKUP(2018,DEMANDS!$H$2:$CO$25,MATCH($E10,DEMANDS!$F$2:$F$25,0),FALSE)</f>
        <v>0.73855919960295846</v>
      </c>
      <c r="N10" s="13">
        <f>HLOOKUP(REG_TRA_DEMANDS!N$3,'BY-Demands'!$J$5:$AK$14,MATCH($E10,'BY-Demands'!$I$5:$I$14,0),FALSE)*HLOOKUP(REG_TRA_DEMANDS!$F10,DEMANDS!$H$2:$CO$25,MATCH($E10,DEMANDS!$F$2:$F$25,0),FALSE)/HLOOKUP(2018,DEMANDS!$H$2:$CO$25,MATCH($E10,DEMANDS!$F$2:$F$25,0),FALSE)</f>
        <v>1.2822231932023955</v>
      </c>
      <c r="O10" s="13">
        <f>HLOOKUP(REG_TRA_DEMANDS!O$3,'BY-Demands'!$J$5:$AK$14,MATCH($E10,'BY-Demands'!$I$5:$I$14,0),FALSE)*HLOOKUP(REG_TRA_DEMANDS!$F10,DEMANDS!$H$2:$CO$25,MATCH($E10,DEMANDS!$F$2:$F$25,0),FALSE)/HLOOKUP(2018,DEMANDS!$H$2:$CO$25,MATCH($E10,DEMANDS!$F$2:$F$25,0),FALSE)</f>
        <v>0.54339428987706229</v>
      </c>
      <c r="P10" s="13">
        <f>HLOOKUP(REG_TRA_DEMANDS!P$3,'BY-Demands'!$J$5:$AK$14,MATCH($E10,'BY-Demands'!$I$5:$I$14,0),FALSE)*HLOOKUP(REG_TRA_DEMANDS!$F10,DEMANDS!$H$2:$CO$25,MATCH($E10,DEMANDS!$F$2:$F$25,0),FALSE)/HLOOKUP(2018,DEMANDS!$H$2:$CO$25,MATCH($E10,DEMANDS!$F$2:$F$25,0),FALSE)</f>
        <v>0.61340922965837164</v>
      </c>
      <c r="Q10" s="13">
        <f>HLOOKUP(REG_TRA_DEMANDS!Q$3,'BY-Demands'!$J$5:$AK$14,MATCH($E10,'BY-Demands'!$I$5:$I$14,0),FALSE)*HLOOKUP(REG_TRA_DEMANDS!$F10,DEMANDS!$H$2:$CO$25,MATCH($E10,DEMANDS!$F$2:$F$25,0),FALSE)/HLOOKUP(2018,DEMANDS!$H$2:$CO$25,MATCH($E10,DEMANDS!$F$2:$F$25,0),FALSE)</f>
        <v>1.0878973163551044</v>
      </c>
      <c r="R10" s="13">
        <f>HLOOKUP(REG_TRA_DEMANDS!R$3,'BY-Demands'!$J$5:$AK$14,MATCH($E10,'BY-Demands'!$I$5:$I$14,0),FALSE)*HLOOKUP(REG_TRA_DEMANDS!$F10,DEMANDS!$H$2:$CO$25,MATCH($E10,DEMANDS!$F$2:$F$25,0),FALSE)/HLOOKUP(2018,DEMANDS!$H$2:$CO$25,MATCH($E10,DEMANDS!$F$2:$F$25,0),FALSE)</f>
        <v>0.92317708721915415</v>
      </c>
      <c r="S10" s="13">
        <f>HLOOKUP(REG_TRA_DEMANDS!S$3,'BY-Demands'!$J$5:$AK$14,MATCH($E10,'BY-Demands'!$I$5:$I$14,0),FALSE)*HLOOKUP(REG_TRA_DEMANDS!$F10,DEMANDS!$H$2:$CO$25,MATCH($E10,DEMANDS!$F$2:$F$25,0),FALSE)/HLOOKUP(2018,DEMANDS!$H$2:$CO$25,MATCH($E10,DEMANDS!$F$2:$F$25,0),FALSE)</f>
        <v>0.83727569188018924</v>
      </c>
      <c r="T10" s="13">
        <f>HLOOKUP(REG_TRA_DEMANDS!T$3,'BY-Demands'!$J$5:$AK$14,MATCH($E10,'BY-Demands'!$I$5:$I$14,0),FALSE)*HLOOKUP(REG_TRA_DEMANDS!$F10,DEMANDS!$H$2:$CO$25,MATCH($E10,DEMANDS!$F$2:$F$25,0),FALSE)/HLOOKUP(2018,DEMANDS!$H$2:$CO$25,MATCH($E10,DEMANDS!$F$2:$F$25,0),FALSE)</f>
        <v>3.383693819585794</v>
      </c>
      <c r="U10" s="13">
        <f>HLOOKUP(REG_TRA_DEMANDS!U$3,'BY-Demands'!$J$5:$AK$14,MATCH($E10,'BY-Demands'!$I$5:$I$14,0),FALSE)*HLOOKUP(REG_TRA_DEMANDS!$F10,DEMANDS!$H$2:$CO$25,MATCH($E10,DEMANDS!$F$2:$F$25,0),FALSE)/HLOOKUP(2018,DEMANDS!$H$2:$CO$25,MATCH($E10,DEMANDS!$F$2:$F$25,0),FALSE)</f>
        <v>1.1074820773268463</v>
      </c>
      <c r="V10" s="13">
        <f>HLOOKUP(REG_TRA_DEMANDS!V$3,'BY-Demands'!$J$5:$AK$14,MATCH($E10,'BY-Demands'!$I$5:$I$14,0),FALSE)*HLOOKUP(REG_TRA_DEMANDS!$F10,DEMANDS!$H$2:$CO$25,MATCH($E10,DEMANDS!$F$2:$F$25,0),FALSE)/HLOOKUP(2018,DEMANDS!$H$2:$CO$25,MATCH($E10,DEMANDS!$F$2:$F$25,0),FALSE)</f>
        <v>1.247309796350949</v>
      </c>
      <c r="W10" s="13">
        <f>HLOOKUP(REG_TRA_DEMANDS!W$3,'BY-Demands'!$J$5:$AK$14,MATCH($E10,'BY-Demands'!$I$5:$I$14,0),FALSE)*HLOOKUP(REG_TRA_DEMANDS!$F10,DEMANDS!$H$2:$CO$25,MATCH($E10,DEMANDS!$F$2:$F$25,0),FALSE)/HLOOKUP(2018,DEMANDS!$H$2:$CO$25,MATCH($E10,DEMANDS!$F$2:$F$25,0),FALSE)</f>
        <v>1.209742716216559</v>
      </c>
      <c r="X10" s="13">
        <f>HLOOKUP(REG_TRA_DEMANDS!X$3,'BY-Demands'!$J$5:$AK$14,MATCH($E10,'BY-Demands'!$I$5:$I$14,0),FALSE)*HLOOKUP(REG_TRA_DEMANDS!$F10,DEMANDS!$H$2:$CO$25,MATCH($E10,DEMANDS!$F$2:$F$25,0),FALSE)/HLOOKUP(2018,DEMANDS!$H$2:$CO$25,MATCH($E10,DEMANDS!$F$2:$F$25,0),FALSE)</f>
        <v>0.76319887461933211</v>
      </c>
      <c r="Y10" s="13">
        <f>HLOOKUP(REG_TRA_DEMANDS!Y$3,'BY-Demands'!$J$5:$AK$14,MATCH($E10,'BY-Demands'!$I$5:$I$14,0),FALSE)*HLOOKUP(REG_TRA_DEMANDS!$F10,DEMANDS!$H$2:$CO$25,MATCH($E10,DEMANDS!$F$2:$F$25,0),FALSE)/HLOOKUP(2018,DEMANDS!$H$2:$CO$25,MATCH($E10,DEMANDS!$F$2:$F$25,0),FALSE)</f>
        <v>1.7087563491035254</v>
      </c>
      <c r="Z10" s="13">
        <f>HLOOKUP(REG_TRA_DEMANDS!Z$3,'BY-Demands'!$J$5:$AK$14,MATCH($E10,'BY-Demands'!$I$5:$I$14,0),FALSE)*HLOOKUP(REG_TRA_DEMANDS!$F10,DEMANDS!$H$2:$CO$25,MATCH($E10,DEMANDS!$F$2:$F$25,0),FALSE)/HLOOKUP(2018,DEMANDS!$H$2:$CO$25,MATCH($E10,DEMANDS!$F$2:$F$25,0),FALSE)</f>
        <v>0.22395337822898009</v>
      </c>
      <c r="AA10" s="13">
        <f>HLOOKUP(REG_TRA_DEMANDS!AA$3,'BY-Demands'!$J$5:$AK$14,MATCH($E10,'BY-Demands'!$I$5:$I$14,0),FALSE)*HLOOKUP(REG_TRA_DEMANDS!$F10,DEMANDS!$H$2:$CO$25,MATCH($E10,DEMANDS!$F$2:$F$25,0),FALSE)/HLOOKUP(2018,DEMANDS!$H$2:$CO$25,MATCH($E10,DEMANDS!$F$2:$F$25,0),FALSE)</f>
        <v>0.94636219634720298</v>
      </c>
      <c r="AB10" s="13">
        <f>HLOOKUP(REG_TRA_DEMANDS!AB$3,'BY-Demands'!$J$5:$AK$14,MATCH($E10,'BY-Demands'!$I$5:$I$14,0),FALSE)*HLOOKUP(REG_TRA_DEMANDS!$F10,DEMANDS!$H$2:$CO$25,MATCH($E10,DEMANDS!$F$2:$F$25,0),FALSE)/HLOOKUP(2018,DEMANDS!$H$2:$CO$25,MATCH($E10,DEMANDS!$F$2:$F$25,0),FALSE)</f>
        <v>0.50955058359057326</v>
      </c>
      <c r="AC10" s="13">
        <f>HLOOKUP(REG_TRA_DEMANDS!AC$3,'BY-Demands'!$J$5:$AK$14,MATCH($E10,'BY-Demands'!$I$5:$I$14,0),FALSE)*HLOOKUP(REG_TRA_DEMANDS!$F10,DEMANDS!$H$2:$CO$25,MATCH($E10,DEMANDS!$F$2:$F$25,0),FALSE)/HLOOKUP(2018,DEMANDS!$H$2:$CO$25,MATCH($E10,DEMANDS!$F$2:$F$25,0),FALSE)</f>
        <v>0.41568893036919446</v>
      </c>
      <c r="AD10" s="13">
        <f>HLOOKUP(REG_TRA_DEMANDS!AD$3,'BY-Demands'!$J$5:$AK$14,MATCH($E10,'BY-Demands'!$I$5:$I$14,0),FALSE)*HLOOKUP(REG_TRA_DEMANDS!$F10,DEMANDS!$H$2:$CO$25,MATCH($E10,DEMANDS!$F$2:$F$25,0),FALSE)/HLOOKUP(2018,DEMANDS!$H$2:$CO$25,MATCH($E10,DEMANDS!$F$2:$F$25,0),FALSE)</f>
        <v>0.45167597351895944</v>
      </c>
      <c r="AE10" s="13">
        <f>HLOOKUP(REG_TRA_DEMANDS!AE$3,'BY-Demands'!$J$5:$AK$14,MATCH($E10,'BY-Demands'!$I$5:$I$14,0),FALSE)*HLOOKUP(REG_TRA_DEMANDS!$F10,DEMANDS!$H$2:$CO$25,MATCH($E10,DEMANDS!$F$2:$F$25,0),FALSE)/HLOOKUP(2018,DEMANDS!$H$2:$CO$25,MATCH($E10,DEMANDS!$F$2:$F$25,0),FALSE)</f>
        <v>0.83183437983998654</v>
      </c>
      <c r="AF10" s="13">
        <f>HLOOKUP(REG_TRA_DEMANDS!AF$3,'BY-Demands'!$J$5:$AK$14,MATCH($E10,'BY-Demands'!$I$5:$I$14,0),FALSE)*HLOOKUP(REG_TRA_DEMANDS!$F10,DEMANDS!$H$2:$CO$25,MATCH($E10,DEMANDS!$F$2:$F$25,0),FALSE)/HLOOKUP(2018,DEMANDS!$H$2:$CO$25,MATCH($E10,DEMANDS!$F$2:$F$25,0),FALSE)</f>
        <v>0.45747736907548092</v>
      </c>
    </row>
    <row r="11" spans="4:32" ht="12.75">
      <c r="D11" s="3" t="s">
        <v>59</v>
      </c>
      <c r="E11" s="3" t="str">
        <f>DEMANDS!$F$18</f>
        <v>TRAPM</v>
      </c>
      <c r="F11" s="3">
        <v>2050</v>
      </c>
      <c r="G11" s="13">
        <f>HLOOKUP(REG_TRA_DEMANDS!G$3,'BY-Demands'!$J$5:$AK$14,MATCH($E11,'BY-Demands'!$I$5:$I$14,0),FALSE)*HLOOKUP(REG_TRA_DEMANDS!$F11,DEMANDS!$H$2:$CO$25,MATCH($E11,DEMANDS!$F$2:$F$25,0),FALSE)/HLOOKUP(2018,DEMANDS!$H$2:$CO$25,MATCH($E11,DEMANDS!$F$2:$F$25,0),FALSE)</f>
        <v>0.41759598665646924</v>
      </c>
      <c r="H11" s="13">
        <f>HLOOKUP(REG_TRA_DEMANDS!H$3,'BY-Demands'!$J$5:$AK$14,MATCH($E11,'BY-Demands'!$I$5:$I$14,0),FALSE)*HLOOKUP(REG_TRA_DEMANDS!$F11,DEMANDS!$H$2:$CO$25,MATCH($E11,DEMANDS!$F$2:$F$25,0),FALSE)/HLOOKUP(2018,DEMANDS!$H$2:$CO$25,MATCH($E11,DEMANDS!$F$2:$F$25,0),FALSE)</f>
        <v>7.3130178801261643</v>
      </c>
      <c r="I11" s="13">
        <f>HLOOKUP(REG_TRA_DEMANDS!I$3,'BY-Demands'!$J$5:$AK$14,MATCH($E11,'BY-Demands'!$I$5:$I$14,0),FALSE)*HLOOKUP(REG_TRA_DEMANDS!$F11,DEMANDS!$H$2:$CO$25,MATCH($E11,DEMANDS!$F$2:$F$25,0),FALSE)/HLOOKUP(2018,DEMANDS!$H$2:$CO$25,MATCH($E11,DEMANDS!$F$2:$F$25,0),FALSE)</f>
        <v>1.4891631363399678</v>
      </c>
      <c r="J11" s="13">
        <f>HLOOKUP(REG_TRA_DEMANDS!J$3,'BY-Demands'!$J$5:$AK$14,MATCH($E11,'BY-Demands'!$I$5:$I$14,0),FALSE)*HLOOKUP(REG_TRA_DEMANDS!$F11,DEMANDS!$H$2:$CO$25,MATCH($E11,DEMANDS!$F$2:$F$25,0),FALSE)/HLOOKUP(2018,DEMANDS!$H$2:$CO$25,MATCH($E11,DEMANDS!$F$2:$F$25,0),FALSE)</f>
        <v>0.70723250462692167</v>
      </c>
      <c r="K11" s="13">
        <f>HLOOKUP(REG_TRA_DEMANDS!K$3,'BY-Demands'!$J$5:$AK$14,MATCH($E11,'BY-Demands'!$I$5:$I$14,0),FALSE)*HLOOKUP(REG_TRA_DEMANDS!$F11,DEMANDS!$H$2:$CO$25,MATCH($E11,DEMANDS!$F$2:$F$25,0),FALSE)/HLOOKUP(2018,DEMANDS!$H$2:$CO$25,MATCH($E11,DEMANDS!$F$2:$F$25,0),FALSE)</f>
        <v>0.5320970970139367</v>
      </c>
      <c r="L11" s="13">
        <f>HLOOKUP(REG_TRA_DEMANDS!L$3,'BY-Demands'!$J$5:$AK$14,MATCH($E11,'BY-Demands'!$I$5:$I$14,0),FALSE)*HLOOKUP(REG_TRA_DEMANDS!$F11,DEMANDS!$H$2:$CO$25,MATCH($E11,DEMANDS!$F$2:$F$25,0),FALSE)/HLOOKUP(2018,DEMANDS!$H$2:$CO$25,MATCH($E11,DEMANDS!$F$2:$F$25,0),FALSE)</f>
        <v>0.27413368397028359</v>
      </c>
      <c r="M11" s="13">
        <f>HLOOKUP(REG_TRA_DEMANDS!M$3,'BY-Demands'!$J$5:$AK$14,MATCH($E11,'BY-Demands'!$I$5:$I$14,0),FALSE)*HLOOKUP(REG_TRA_DEMANDS!$F11,DEMANDS!$H$2:$CO$25,MATCH($E11,DEMANDS!$F$2:$F$25,0),FALSE)/HLOOKUP(2018,DEMANDS!$H$2:$CO$25,MATCH($E11,DEMANDS!$F$2:$F$25,0),FALSE)</f>
        <v>0.73839338892997242</v>
      </c>
      <c r="N11" s="13">
        <f>HLOOKUP(REG_TRA_DEMANDS!N$3,'BY-Demands'!$J$5:$AK$14,MATCH($E11,'BY-Demands'!$I$5:$I$14,0),FALSE)*HLOOKUP(REG_TRA_DEMANDS!$F11,DEMANDS!$H$2:$CO$25,MATCH($E11,DEMANDS!$F$2:$F$25,0),FALSE)/HLOOKUP(2018,DEMANDS!$H$2:$CO$25,MATCH($E11,DEMANDS!$F$2:$F$25,0),FALSE)</f>
        <v>1.2819353269207252</v>
      </c>
      <c r="O11" s="13">
        <f>HLOOKUP(REG_TRA_DEMANDS!O$3,'BY-Demands'!$J$5:$AK$14,MATCH($E11,'BY-Demands'!$I$5:$I$14,0),FALSE)*HLOOKUP(REG_TRA_DEMANDS!$F11,DEMANDS!$H$2:$CO$25,MATCH($E11,DEMANDS!$F$2:$F$25,0),FALSE)/HLOOKUP(2018,DEMANDS!$H$2:$CO$25,MATCH($E11,DEMANDS!$F$2:$F$25,0),FALSE)</f>
        <v>0.54327229481837269</v>
      </c>
      <c r="P11" s="13">
        <f>HLOOKUP(REG_TRA_DEMANDS!P$3,'BY-Demands'!$J$5:$AK$14,MATCH($E11,'BY-Demands'!$I$5:$I$14,0),FALSE)*HLOOKUP(REG_TRA_DEMANDS!$F11,DEMANDS!$H$2:$CO$25,MATCH($E11,DEMANDS!$F$2:$F$25,0),FALSE)/HLOOKUP(2018,DEMANDS!$H$2:$CO$25,MATCH($E11,DEMANDS!$F$2:$F$25,0),FALSE)</f>
        <v>0.61327151585392625</v>
      </c>
      <c r="Q11" s="13">
        <f>HLOOKUP(REG_TRA_DEMANDS!Q$3,'BY-Demands'!$J$5:$AK$14,MATCH($E11,'BY-Demands'!$I$5:$I$14,0),FALSE)*HLOOKUP(REG_TRA_DEMANDS!$F11,DEMANDS!$H$2:$CO$25,MATCH($E11,DEMANDS!$F$2:$F$25,0),FALSE)/HLOOKUP(2018,DEMANDS!$H$2:$CO$25,MATCH($E11,DEMANDS!$F$2:$F$25,0),FALSE)</f>
        <v>1.0876530773201545</v>
      </c>
      <c r="R11" s="13">
        <f>HLOOKUP(REG_TRA_DEMANDS!R$3,'BY-Demands'!$J$5:$AK$14,MATCH($E11,'BY-Demands'!$I$5:$I$14,0),FALSE)*HLOOKUP(REG_TRA_DEMANDS!$F11,DEMANDS!$H$2:$CO$25,MATCH($E11,DEMANDS!$F$2:$F$25,0),FALSE)/HLOOKUP(2018,DEMANDS!$H$2:$CO$25,MATCH($E11,DEMANDS!$F$2:$F$25,0),FALSE)</f>
        <v>0.92296982879735212</v>
      </c>
      <c r="S11" s="13">
        <f>HLOOKUP(REG_TRA_DEMANDS!S$3,'BY-Demands'!$J$5:$AK$14,MATCH($E11,'BY-Demands'!$I$5:$I$14,0),FALSE)*HLOOKUP(REG_TRA_DEMANDS!$F11,DEMANDS!$H$2:$CO$25,MATCH($E11,DEMANDS!$F$2:$F$25,0),FALSE)/HLOOKUP(2018,DEMANDS!$H$2:$CO$25,MATCH($E11,DEMANDS!$F$2:$F$25,0),FALSE)</f>
        <v>0.83708771880230992</v>
      </c>
      <c r="T11" s="13">
        <f>HLOOKUP(REG_TRA_DEMANDS!T$3,'BY-Demands'!$J$5:$AK$14,MATCH($E11,'BY-Demands'!$I$5:$I$14,0),FALSE)*HLOOKUP(REG_TRA_DEMANDS!$F11,DEMANDS!$H$2:$CO$25,MATCH($E11,DEMANDS!$F$2:$F$25,0),FALSE)/HLOOKUP(2018,DEMANDS!$H$2:$CO$25,MATCH($E11,DEMANDS!$F$2:$F$25,0),FALSE)</f>
        <v>3.3829341613895312</v>
      </c>
      <c r="U11" s="13">
        <f>HLOOKUP(REG_TRA_DEMANDS!U$3,'BY-Demands'!$J$5:$AK$14,MATCH($E11,'BY-Demands'!$I$5:$I$14,0),FALSE)*HLOOKUP(REG_TRA_DEMANDS!$F11,DEMANDS!$H$2:$CO$25,MATCH($E11,DEMANDS!$F$2:$F$25,0),FALSE)/HLOOKUP(2018,DEMANDS!$H$2:$CO$25,MATCH($E11,DEMANDS!$F$2:$F$25,0),FALSE)</f>
        <v>1.1072334414034699</v>
      </c>
      <c r="V11" s="13">
        <f>HLOOKUP(REG_TRA_DEMANDS!V$3,'BY-Demands'!$J$5:$AK$14,MATCH($E11,'BY-Demands'!$I$5:$I$14,0),FALSE)*HLOOKUP(REG_TRA_DEMANDS!$F11,DEMANDS!$H$2:$CO$25,MATCH($E11,DEMANDS!$F$2:$F$25,0),FALSE)/HLOOKUP(2018,DEMANDS!$H$2:$CO$25,MATCH($E11,DEMANDS!$F$2:$F$25,0),FALSE)</f>
        <v>1.2470297683222329</v>
      </c>
      <c r="W11" s="13">
        <f>HLOOKUP(REG_TRA_DEMANDS!W$3,'BY-Demands'!$J$5:$AK$14,MATCH($E11,'BY-Demands'!$I$5:$I$14,0),FALSE)*HLOOKUP(REG_TRA_DEMANDS!$F11,DEMANDS!$H$2:$CO$25,MATCH($E11,DEMANDS!$F$2:$F$25,0),FALSE)/HLOOKUP(2018,DEMANDS!$H$2:$CO$25,MATCH($E11,DEMANDS!$F$2:$F$25,0),FALSE)</f>
        <v>1.2094711222075432</v>
      </c>
      <c r="X11" s="13">
        <f>HLOOKUP(REG_TRA_DEMANDS!X$3,'BY-Demands'!$J$5:$AK$14,MATCH($E11,'BY-Demands'!$I$5:$I$14,0),FALSE)*HLOOKUP(REG_TRA_DEMANDS!$F11,DEMANDS!$H$2:$CO$25,MATCH($E11,DEMANDS!$F$2:$F$25,0),FALSE)/HLOOKUP(2018,DEMANDS!$H$2:$CO$25,MATCH($E11,DEMANDS!$F$2:$F$25,0),FALSE)</f>
        <v>0.76302753220143149</v>
      </c>
      <c r="Y11" s="13">
        <f>HLOOKUP(REG_TRA_DEMANDS!Y$3,'BY-Demands'!$J$5:$AK$14,MATCH($E11,'BY-Demands'!$I$5:$I$14,0),FALSE)*HLOOKUP(REG_TRA_DEMANDS!$F11,DEMANDS!$H$2:$CO$25,MATCH($E11,DEMANDS!$F$2:$F$25,0),FALSE)/HLOOKUP(2018,DEMANDS!$H$2:$CO$25,MATCH($E11,DEMANDS!$F$2:$F$25,0),FALSE)</f>
        <v>1.7083727237416502</v>
      </c>
      <c r="Z11" s="13">
        <f>HLOOKUP(REG_TRA_DEMANDS!Z$3,'BY-Demands'!$J$5:$AK$14,MATCH($E11,'BY-Demands'!$I$5:$I$14,0),FALSE)*HLOOKUP(REG_TRA_DEMANDS!$F11,DEMANDS!$H$2:$CO$25,MATCH($E11,DEMANDS!$F$2:$F$25,0),FALSE)/HLOOKUP(2018,DEMANDS!$H$2:$CO$25,MATCH($E11,DEMANDS!$F$2:$F$25,0),FALSE)</f>
        <v>0.22390309944241621</v>
      </c>
      <c r="AA11" s="13">
        <f>HLOOKUP(REG_TRA_DEMANDS!AA$3,'BY-Demands'!$J$5:$AK$14,MATCH($E11,'BY-Demands'!$I$5:$I$14,0),FALSE)*HLOOKUP(REG_TRA_DEMANDS!$F11,DEMANDS!$H$2:$CO$25,MATCH($E11,DEMANDS!$F$2:$F$25,0),FALSE)/HLOOKUP(2018,DEMANDS!$H$2:$CO$25,MATCH($E11,DEMANDS!$F$2:$F$25,0),FALSE)</f>
        <v>0.94614973273866743</v>
      </c>
      <c r="AB11" s="13">
        <f>HLOOKUP(REG_TRA_DEMANDS!AB$3,'BY-Demands'!$J$5:$AK$14,MATCH($E11,'BY-Demands'!$I$5:$I$14,0),FALSE)*HLOOKUP(REG_TRA_DEMANDS!$F11,DEMANDS!$H$2:$CO$25,MATCH($E11,DEMANDS!$F$2:$F$25,0),FALSE)/HLOOKUP(2018,DEMANDS!$H$2:$CO$25,MATCH($E11,DEMANDS!$F$2:$F$25,0),FALSE)</f>
        <v>0.50943618663332069</v>
      </c>
      <c r="AC11" s="13">
        <f>HLOOKUP(REG_TRA_DEMANDS!AC$3,'BY-Demands'!$J$5:$AK$14,MATCH($E11,'BY-Demands'!$I$5:$I$14,0),FALSE)*HLOOKUP(REG_TRA_DEMANDS!$F11,DEMANDS!$H$2:$CO$25,MATCH($E11,DEMANDS!$F$2:$F$25,0),FALSE)/HLOOKUP(2018,DEMANDS!$H$2:$CO$25,MATCH($E11,DEMANDS!$F$2:$F$25,0),FALSE)</f>
        <v>0.41559560587830136</v>
      </c>
      <c r="AD11" s="13">
        <f>HLOOKUP(REG_TRA_DEMANDS!AD$3,'BY-Demands'!$J$5:$AK$14,MATCH($E11,'BY-Demands'!$I$5:$I$14,0),FALSE)*HLOOKUP(REG_TRA_DEMANDS!$F11,DEMANDS!$H$2:$CO$25,MATCH($E11,DEMANDS!$F$2:$F$25,0),FALSE)/HLOOKUP(2018,DEMANDS!$H$2:$CO$25,MATCH($E11,DEMANDS!$F$2:$F$25,0),FALSE)</f>
        <v>0.45157456973551047</v>
      </c>
      <c r="AE11" s="13">
        <f>HLOOKUP(REG_TRA_DEMANDS!AE$3,'BY-Demands'!$J$5:$AK$14,MATCH($E11,'BY-Demands'!$I$5:$I$14,0),FALSE)*HLOOKUP(REG_TRA_DEMANDS!$F11,DEMANDS!$H$2:$CO$25,MATCH($E11,DEMANDS!$F$2:$F$25,0),FALSE)/HLOOKUP(2018,DEMANDS!$H$2:$CO$25,MATCH($E11,DEMANDS!$F$2:$F$25,0),FALSE)</f>
        <v>0.83164762836710771</v>
      </c>
      <c r="AF11" s="13">
        <f>HLOOKUP(REG_TRA_DEMANDS!AF$3,'BY-Demands'!$J$5:$AK$14,MATCH($E11,'BY-Demands'!$I$5:$I$14,0),FALSE)*HLOOKUP(REG_TRA_DEMANDS!$F11,DEMANDS!$H$2:$CO$25,MATCH($E11,DEMANDS!$F$2:$F$25,0),FALSE)/HLOOKUP(2018,DEMANDS!$H$2:$CO$25,MATCH($E11,DEMANDS!$F$2:$F$25,0),FALSE)</f>
        <v>0.45737466284626727</v>
      </c>
    </row>
    <row r="12" spans="4:32" ht="12.75">
      <c r="D12" s="3" t="s">
        <v>59</v>
      </c>
      <c r="E12" s="3" t="str">
        <f>DEMANDS!$F$19</f>
        <v>TRAPL</v>
      </c>
      <c r="F12" s="3">
        <v>2019</v>
      </c>
      <c r="G12" s="13">
        <f>HLOOKUP(REG_TRA_DEMANDS!G$3,'BY-Demands'!$J$5:$AK$14,MATCH($E12,'BY-Demands'!$I$5:$I$14,0),FALSE)*HLOOKUP(REG_TRA_DEMANDS!$F12,DEMANDS!$H$2:$CO$25,MATCH($E12,DEMANDS!$F$2:$F$25,0),FALSE)/HLOOKUP(2018,DEMANDS!$H$2:$CO$25,MATCH($E12,DEMANDS!$F$2:$F$25,0),FALSE)</f>
        <v>0.34134184844786503</v>
      </c>
      <c r="H12" s="13">
        <f>HLOOKUP(REG_TRA_DEMANDS!H$3,'BY-Demands'!$J$5:$AK$14,MATCH($E12,'BY-Demands'!$I$5:$I$14,0),FALSE)*HLOOKUP(REG_TRA_DEMANDS!$F12,DEMANDS!$H$2:$CO$25,MATCH($E12,DEMANDS!$F$2:$F$25,0),FALSE)/HLOOKUP(2018,DEMANDS!$H$2:$CO$25,MATCH($E12,DEMANDS!$F$2:$F$25,0),FALSE)</f>
        <v>6.0807870356825928</v>
      </c>
      <c r="I12" s="13">
        <f>HLOOKUP(REG_TRA_DEMANDS!I$3,'BY-Demands'!$J$5:$AK$14,MATCH($E12,'BY-Demands'!$I$5:$I$14,0),FALSE)*HLOOKUP(REG_TRA_DEMANDS!$F12,DEMANDS!$H$2:$CO$25,MATCH($E12,DEMANDS!$F$2:$F$25,0),FALSE)/HLOOKUP(2018,DEMANDS!$H$2:$CO$25,MATCH($E12,DEMANDS!$F$2:$F$25,0),FALSE)</f>
        <v>1.2286159709301132</v>
      </c>
      <c r="J12" s="13">
        <f>HLOOKUP(REG_TRA_DEMANDS!J$3,'BY-Demands'!$J$5:$AK$14,MATCH($E12,'BY-Demands'!$I$5:$I$14,0),FALSE)*HLOOKUP(REG_TRA_DEMANDS!$F12,DEMANDS!$H$2:$CO$25,MATCH($E12,DEMANDS!$F$2:$F$25,0),FALSE)/HLOOKUP(2018,DEMANDS!$H$2:$CO$25,MATCH($E12,DEMANDS!$F$2:$F$25,0),FALSE)</f>
        <v>0.59162784896472764</v>
      </c>
      <c r="K12" s="13">
        <f>HLOOKUP(REG_TRA_DEMANDS!K$3,'BY-Demands'!$J$5:$AK$14,MATCH($E12,'BY-Demands'!$I$5:$I$14,0),FALSE)*HLOOKUP(REG_TRA_DEMANDS!$F12,DEMANDS!$H$2:$CO$25,MATCH($E12,DEMANDS!$F$2:$F$25,0),FALSE)/HLOOKUP(2018,DEMANDS!$H$2:$CO$25,MATCH($E12,DEMANDS!$F$2:$F$25,0),FALSE)</f>
        <v>0.43957481520516994</v>
      </c>
      <c r="L12" s="13">
        <f>HLOOKUP(REG_TRA_DEMANDS!L$3,'BY-Demands'!$J$5:$AK$14,MATCH($E12,'BY-Demands'!$I$5:$I$14,0),FALSE)*HLOOKUP(REG_TRA_DEMANDS!$F12,DEMANDS!$H$2:$CO$25,MATCH($E12,DEMANDS!$F$2:$F$25,0),FALSE)/HLOOKUP(2018,DEMANDS!$H$2:$CO$25,MATCH($E12,DEMANDS!$F$2:$F$25,0),FALSE)</f>
        <v>0.22634246442475892</v>
      </c>
      <c r="M12" s="13">
        <f>HLOOKUP(REG_TRA_DEMANDS!M$3,'BY-Demands'!$J$5:$AK$14,MATCH($E12,'BY-Demands'!$I$5:$I$14,0),FALSE)*HLOOKUP(REG_TRA_DEMANDS!$F12,DEMANDS!$H$2:$CO$25,MATCH($E12,DEMANDS!$F$2:$F$25,0),FALSE)/HLOOKUP(2018,DEMANDS!$H$2:$CO$25,MATCH($E12,DEMANDS!$F$2:$F$25,0),FALSE)</f>
        <v>0.61502879940574828</v>
      </c>
      <c r="N12" s="13">
        <f>HLOOKUP(REG_TRA_DEMANDS!N$3,'BY-Demands'!$J$5:$AK$14,MATCH($E12,'BY-Demands'!$I$5:$I$14,0),FALSE)*HLOOKUP(REG_TRA_DEMANDS!$F12,DEMANDS!$H$2:$CO$25,MATCH($E12,DEMANDS!$F$2:$F$25,0),FALSE)/HLOOKUP(2018,DEMANDS!$H$2:$CO$25,MATCH($E12,DEMANDS!$F$2:$F$25,0),FALSE)</f>
        <v>1.0458650375790606</v>
      </c>
      <c r="O12" s="13">
        <f>HLOOKUP(REG_TRA_DEMANDS!O$3,'BY-Demands'!$J$5:$AK$14,MATCH($E12,'BY-Demands'!$I$5:$I$14,0),FALSE)*HLOOKUP(REG_TRA_DEMANDS!$F12,DEMANDS!$H$2:$CO$25,MATCH($E12,DEMANDS!$F$2:$F$25,0),FALSE)/HLOOKUP(2018,DEMANDS!$H$2:$CO$25,MATCH($E12,DEMANDS!$F$2:$F$25,0),FALSE)</f>
        <v>0.45078616917911968</v>
      </c>
      <c r="P12" s="13">
        <f>HLOOKUP(REG_TRA_DEMANDS!P$3,'BY-Demands'!$J$5:$AK$14,MATCH($E12,'BY-Demands'!$I$5:$I$14,0),FALSE)*HLOOKUP(REG_TRA_DEMANDS!$F12,DEMANDS!$H$2:$CO$25,MATCH($E12,DEMANDS!$F$2:$F$25,0),FALSE)/HLOOKUP(2018,DEMANDS!$H$2:$CO$25,MATCH($E12,DEMANDS!$F$2:$F$25,0),FALSE)</f>
        <v>0.49957457667778576</v>
      </c>
      <c r="Q12" s="13">
        <f>HLOOKUP(REG_TRA_DEMANDS!Q$3,'BY-Demands'!$J$5:$AK$14,MATCH($E12,'BY-Demands'!$I$5:$I$14,0),FALSE)*HLOOKUP(REG_TRA_DEMANDS!$F12,DEMANDS!$H$2:$CO$25,MATCH($E12,DEMANDS!$F$2:$F$25,0),FALSE)/HLOOKUP(2018,DEMANDS!$H$2:$CO$25,MATCH($E12,DEMANDS!$F$2:$F$25,0),FALSE)</f>
        <v>0.88793888269624899</v>
      </c>
      <c r="R12" s="13">
        <f>HLOOKUP(REG_TRA_DEMANDS!R$3,'BY-Demands'!$J$5:$AK$14,MATCH($E12,'BY-Demands'!$I$5:$I$14,0),FALSE)*HLOOKUP(REG_TRA_DEMANDS!$F12,DEMANDS!$H$2:$CO$25,MATCH($E12,DEMANDS!$F$2:$F$25,0),FALSE)/HLOOKUP(2018,DEMANDS!$H$2:$CO$25,MATCH($E12,DEMANDS!$F$2:$F$25,0),FALSE)</f>
        <v>0.76034582611529355</v>
      </c>
      <c r="S12" s="13">
        <f>HLOOKUP(REG_TRA_DEMANDS!S$3,'BY-Demands'!$J$5:$AK$14,MATCH($E12,'BY-Demands'!$I$5:$I$14,0),FALSE)*HLOOKUP(REG_TRA_DEMANDS!$F12,DEMANDS!$H$2:$CO$25,MATCH($E12,DEMANDS!$F$2:$F$25,0),FALSE)/HLOOKUP(2018,DEMANDS!$H$2:$CO$25,MATCH($E12,DEMANDS!$F$2:$F$25,0),FALSE)</f>
        <v>0.68172757851460619</v>
      </c>
      <c r="T12" s="13">
        <f>HLOOKUP(REG_TRA_DEMANDS!T$3,'BY-Demands'!$J$5:$AK$14,MATCH($E12,'BY-Demands'!$I$5:$I$14,0),FALSE)*HLOOKUP(REG_TRA_DEMANDS!$F12,DEMANDS!$H$2:$CO$25,MATCH($E12,DEMANDS!$F$2:$F$25,0),FALSE)/HLOOKUP(2018,DEMANDS!$H$2:$CO$25,MATCH($E12,DEMANDS!$F$2:$F$25,0),FALSE)</f>
        <v>2.7798160041270448</v>
      </c>
      <c r="U12" s="13">
        <f>HLOOKUP(REG_TRA_DEMANDS!U$3,'BY-Demands'!$J$5:$AK$14,MATCH($E12,'BY-Demands'!$I$5:$I$14,0),FALSE)*HLOOKUP(REG_TRA_DEMANDS!$F12,DEMANDS!$H$2:$CO$25,MATCH($E12,DEMANDS!$F$2:$F$25,0),FALSE)/HLOOKUP(2018,DEMANDS!$H$2:$CO$25,MATCH($E12,DEMANDS!$F$2:$F$25,0),FALSE)</f>
        <v>0.92446788241295785</v>
      </c>
      <c r="V12" s="13">
        <f>HLOOKUP(REG_TRA_DEMANDS!V$3,'BY-Demands'!$J$5:$AK$14,MATCH($E12,'BY-Demands'!$I$5:$I$14,0),FALSE)*HLOOKUP(REG_TRA_DEMANDS!$F12,DEMANDS!$H$2:$CO$25,MATCH($E12,DEMANDS!$F$2:$F$25,0),FALSE)/HLOOKUP(2018,DEMANDS!$H$2:$CO$25,MATCH($E12,DEMANDS!$F$2:$F$25,0),FALSE)</f>
        <v>1.0241040761388795</v>
      </c>
      <c r="W12" s="13">
        <f>HLOOKUP(REG_TRA_DEMANDS!W$3,'BY-Demands'!$J$5:$AK$14,MATCH($E12,'BY-Demands'!$I$5:$I$14,0),FALSE)*HLOOKUP(REG_TRA_DEMANDS!$F12,DEMANDS!$H$2:$CO$25,MATCH($E12,DEMANDS!$F$2:$F$25,0),FALSE)/HLOOKUP(2018,DEMANDS!$H$2:$CO$25,MATCH($E12,DEMANDS!$F$2:$F$25,0),FALSE)</f>
        <v>0.99074956326200292</v>
      </c>
      <c r="X12" s="13">
        <f>HLOOKUP(REG_TRA_DEMANDS!X$3,'BY-Demands'!$J$5:$AK$14,MATCH($E12,'BY-Demands'!$I$5:$I$14,0),FALSE)*HLOOKUP(REG_TRA_DEMANDS!$F12,DEMANDS!$H$2:$CO$25,MATCH($E12,DEMANDS!$F$2:$F$25,0),FALSE)/HLOOKUP(2018,DEMANDS!$H$2:$CO$25,MATCH($E12,DEMANDS!$F$2:$F$25,0),FALSE)</f>
        <v>0.62392235584273181</v>
      </c>
      <c r="Y12" s="13">
        <f>HLOOKUP(REG_TRA_DEMANDS!Y$3,'BY-Demands'!$J$5:$AK$14,MATCH($E12,'BY-Demands'!$I$5:$I$14,0),FALSE)*HLOOKUP(REG_TRA_DEMANDS!$F12,DEMANDS!$H$2:$CO$25,MATCH($E12,DEMANDS!$F$2:$F$25,0),FALSE)/HLOOKUP(2018,DEMANDS!$H$2:$CO$25,MATCH($E12,DEMANDS!$F$2:$F$25,0),FALSE)</f>
        <v>1.4175418073279487</v>
      </c>
      <c r="Z12" s="13">
        <f>HLOOKUP(REG_TRA_DEMANDS!Z$3,'BY-Demands'!$J$5:$AK$14,MATCH($E12,'BY-Demands'!$I$5:$I$14,0),FALSE)*HLOOKUP(REG_TRA_DEMANDS!$F12,DEMANDS!$H$2:$CO$25,MATCH($E12,DEMANDS!$F$2:$F$25,0),FALSE)/HLOOKUP(2018,DEMANDS!$H$2:$CO$25,MATCH($E12,DEMANDS!$F$2:$F$25,0),FALSE)</f>
        <v>0.18287415288828315</v>
      </c>
      <c r="AA12" s="13">
        <f>HLOOKUP(REG_TRA_DEMANDS!AA$3,'BY-Demands'!$J$5:$AK$14,MATCH($E12,'BY-Demands'!$I$5:$I$14,0),FALSE)*HLOOKUP(REG_TRA_DEMANDS!$F12,DEMANDS!$H$2:$CO$25,MATCH($E12,DEMANDS!$F$2:$F$25,0),FALSE)/HLOOKUP(2018,DEMANDS!$H$2:$CO$25,MATCH($E12,DEMANDS!$F$2:$F$25,0),FALSE)</f>
        <v>0.78605290007115514</v>
      </c>
      <c r="AB12" s="13">
        <f>HLOOKUP(REG_TRA_DEMANDS!AB$3,'BY-Demands'!$J$5:$AK$14,MATCH($E12,'BY-Demands'!$I$5:$I$14,0),FALSE)*HLOOKUP(REG_TRA_DEMANDS!$F12,DEMANDS!$H$2:$CO$25,MATCH($E12,DEMANDS!$F$2:$F$25,0),FALSE)/HLOOKUP(2018,DEMANDS!$H$2:$CO$25,MATCH($E12,DEMANDS!$F$2:$F$25,0),FALSE)</f>
        <v>0.41201954144288583</v>
      </c>
      <c r="AC12" s="13">
        <f>HLOOKUP(REG_TRA_DEMANDS!AC$3,'BY-Demands'!$J$5:$AK$14,MATCH($E12,'BY-Demands'!$I$5:$I$14,0),FALSE)*HLOOKUP(REG_TRA_DEMANDS!$F12,DEMANDS!$H$2:$CO$25,MATCH($E12,DEMANDS!$F$2:$F$25,0),FALSE)/HLOOKUP(2018,DEMANDS!$H$2:$CO$25,MATCH($E12,DEMANDS!$F$2:$F$25,0),FALSE)</f>
        <v>0.34342129190671589</v>
      </c>
      <c r="AD12" s="13">
        <f>HLOOKUP(REG_TRA_DEMANDS!AD$3,'BY-Demands'!$J$5:$AK$14,MATCH($E12,'BY-Demands'!$I$5:$I$14,0),FALSE)*HLOOKUP(REG_TRA_DEMANDS!$F12,DEMANDS!$H$2:$CO$25,MATCH($E12,DEMANDS!$F$2:$F$25,0),FALSE)/HLOOKUP(2018,DEMANDS!$H$2:$CO$25,MATCH($E12,DEMANDS!$F$2:$F$25,0),FALSE)</f>
        <v>0.36728765292042403</v>
      </c>
      <c r="AE12" s="13">
        <f>HLOOKUP(REG_TRA_DEMANDS!AE$3,'BY-Demands'!$J$5:$AK$14,MATCH($E12,'BY-Demands'!$I$5:$I$14,0),FALSE)*HLOOKUP(REG_TRA_DEMANDS!$F12,DEMANDS!$H$2:$CO$25,MATCH($E12,DEMANDS!$F$2:$F$25,0),FALSE)/HLOOKUP(2018,DEMANDS!$H$2:$CO$25,MATCH($E12,DEMANDS!$F$2:$F$25,0),FALSE)</f>
        <v>0.6765706614672049</v>
      </c>
      <c r="AF12" s="13">
        <f>HLOOKUP(REG_TRA_DEMANDS!AF$3,'BY-Demands'!$J$5:$AK$14,MATCH($E12,'BY-Demands'!$I$5:$I$14,0),FALSE)*HLOOKUP(REG_TRA_DEMANDS!$F12,DEMANDS!$H$2:$CO$25,MATCH($E12,DEMANDS!$F$2:$F$25,0),FALSE)/HLOOKUP(2018,DEMANDS!$H$2:$CO$25,MATCH($E12,DEMANDS!$F$2:$F$25,0),FALSE)</f>
        <v>0.39081849336870716</v>
      </c>
    </row>
    <row r="13" spans="4:32" ht="12.75">
      <c r="D13" s="3" t="s">
        <v>59</v>
      </c>
      <c r="E13" s="3" t="str">
        <f>DEMANDS!$F$19</f>
        <v>TRAPL</v>
      </c>
      <c r="F13" s="3">
        <v>2020</v>
      </c>
      <c r="G13" s="13">
        <f>HLOOKUP(REG_TRA_DEMANDS!G$3,'BY-Demands'!$J$5:$AK$14,MATCH($E13,'BY-Demands'!$I$5:$I$14,0),FALSE)*HLOOKUP(REG_TRA_DEMANDS!$F13,DEMANDS!$H$2:$CO$25,MATCH($E13,DEMANDS!$F$2:$F$25,0),FALSE)/HLOOKUP(2018,DEMANDS!$H$2:$CO$25,MATCH($E13,DEMANDS!$F$2:$F$25,0),FALSE)</f>
        <v>0.24691992873589347</v>
      </c>
      <c r="H13" s="13">
        <f>HLOOKUP(REG_TRA_DEMANDS!H$3,'BY-Demands'!$J$5:$AK$14,MATCH($E13,'BY-Demands'!$I$5:$I$14,0),FALSE)*HLOOKUP(REG_TRA_DEMANDS!$F13,DEMANDS!$H$2:$CO$25,MATCH($E13,DEMANDS!$F$2:$F$25,0),FALSE)/HLOOKUP(2018,DEMANDS!$H$2:$CO$25,MATCH($E13,DEMANDS!$F$2:$F$25,0),FALSE)</f>
        <v>4.3987208375893516</v>
      </c>
      <c r="I13" s="13">
        <f>HLOOKUP(REG_TRA_DEMANDS!I$3,'BY-Demands'!$J$5:$AK$14,MATCH($E13,'BY-Demands'!$I$5:$I$14,0),FALSE)*HLOOKUP(REG_TRA_DEMANDS!$F13,DEMANDS!$H$2:$CO$25,MATCH($E13,DEMANDS!$F$2:$F$25,0),FALSE)/HLOOKUP(2018,DEMANDS!$H$2:$CO$25,MATCH($E13,DEMANDS!$F$2:$F$25,0),FALSE)</f>
        <v>0.88875644567261247</v>
      </c>
      <c r="J13" s="13">
        <f>HLOOKUP(REG_TRA_DEMANDS!J$3,'BY-Demands'!$J$5:$AK$14,MATCH($E13,'BY-Demands'!$I$5:$I$14,0),FALSE)*HLOOKUP(REG_TRA_DEMANDS!$F13,DEMANDS!$H$2:$CO$25,MATCH($E13,DEMANDS!$F$2:$F$25,0),FALSE)/HLOOKUP(2018,DEMANDS!$H$2:$CO$25,MATCH($E13,DEMANDS!$F$2:$F$25,0),FALSE)</f>
        <v>0.42797186154821204</v>
      </c>
      <c r="K13" s="13">
        <f>HLOOKUP(REG_TRA_DEMANDS!K$3,'BY-Demands'!$J$5:$AK$14,MATCH($E13,'BY-Demands'!$I$5:$I$14,0),FALSE)*HLOOKUP(REG_TRA_DEMANDS!$F13,DEMANDS!$H$2:$CO$25,MATCH($E13,DEMANDS!$F$2:$F$25,0),FALSE)/HLOOKUP(2018,DEMANDS!$H$2:$CO$25,MATCH($E13,DEMANDS!$F$2:$F$25,0),FALSE)</f>
        <v>0.3179797101881926</v>
      </c>
      <c r="L13" s="13">
        <f>HLOOKUP(REG_TRA_DEMANDS!L$3,'BY-Demands'!$J$5:$AK$14,MATCH($E13,'BY-Demands'!$I$5:$I$14,0),FALSE)*HLOOKUP(REG_TRA_DEMANDS!$F13,DEMANDS!$H$2:$CO$25,MATCH($E13,DEMANDS!$F$2:$F$25,0),FALSE)/HLOOKUP(2018,DEMANDS!$H$2:$CO$25,MATCH($E13,DEMANDS!$F$2:$F$25,0),FALSE)</f>
        <v>0.16373165329654596</v>
      </c>
      <c r="M13" s="13">
        <f>HLOOKUP(REG_TRA_DEMANDS!M$3,'BY-Demands'!$J$5:$AK$14,MATCH($E13,'BY-Demands'!$I$5:$I$14,0),FALSE)*HLOOKUP(REG_TRA_DEMANDS!$F13,DEMANDS!$H$2:$CO$25,MATCH($E13,DEMANDS!$F$2:$F$25,0),FALSE)/HLOOKUP(2018,DEMANDS!$H$2:$CO$25,MATCH($E13,DEMANDS!$F$2:$F$25,0),FALSE)</f>
        <v>0.44489964535650628</v>
      </c>
      <c r="N13" s="13">
        <f>HLOOKUP(REG_TRA_DEMANDS!N$3,'BY-Demands'!$J$5:$AK$14,MATCH($E13,'BY-Demands'!$I$5:$I$14,0),FALSE)*HLOOKUP(REG_TRA_DEMANDS!$F13,DEMANDS!$H$2:$CO$25,MATCH($E13,DEMANDS!$F$2:$F$25,0),FALSE)/HLOOKUP(2018,DEMANDS!$H$2:$CO$25,MATCH($E13,DEMANDS!$F$2:$F$25,0),FALSE)</f>
        <v>0.75655804209376709</v>
      </c>
      <c r="O13" s="13">
        <f>HLOOKUP(REG_TRA_DEMANDS!O$3,'BY-Demands'!$J$5:$AK$14,MATCH($E13,'BY-Demands'!$I$5:$I$14,0),FALSE)*HLOOKUP(REG_TRA_DEMANDS!$F13,DEMANDS!$H$2:$CO$25,MATCH($E13,DEMANDS!$F$2:$F$25,0),FALSE)/HLOOKUP(2018,DEMANDS!$H$2:$CO$25,MATCH($E13,DEMANDS!$F$2:$F$25,0),FALSE)</f>
        <v>0.32608978147557938</v>
      </c>
      <c r="P13" s="13">
        <f>HLOOKUP(REG_TRA_DEMANDS!P$3,'BY-Demands'!$J$5:$AK$14,MATCH($E13,'BY-Demands'!$I$5:$I$14,0),FALSE)*HLOOKUP(REG_TRA_DEMANDS!$F13,DEMANDS!$H$2:$CO$25,MATCH($E13,DEMANDS!$F$2:$F$25,0),FALSE)/HLOOKUP(2018,DEMANDS!$H$2:$CO$25,MATCH($E13,DEMANDS!$F$2:$F$25,0),FALSE)</f>
        <v>0.36138234861168406</v>
      </c>
      <c r="Q13" s="13">
        <f>HLOOKUP(REG_TRA_DEMANDS!Q$3,'BY-Demands'!$J$5:$AK$14,MATCH($E13,'BY-Demands'!$I$5:$I$14,0),FALSE)*HLOOKUP(REG_TRA_DEMANDS!$F13,DEMANDS!$H$2:$CO$25,MATCH($E13,DEMANDS!$F$2:$F$25,0),FALSE)/HLOOKUP(2018,DEMANDS!$H$2:$CO$25,MATCH($E13,DEMANDS!$F$2:$F$25,0),FALSE)</f>
        <v>0.6423173913018575</v>
      </c>
      <c r="R13" s="13">
        <f>HLOOKUP(REG_TRA_DEMANDS!R$3,'BY-Demands'!$J$5:$AK$14,MATCH($E13,'BY-Demands'!$I$5:$I$14,0),FALSE)*HLOOKUP(REG_TRA_DEMANDS!$F13,DEMANDS!$H$2:$CO$25,MATCH($E13,DEMANDS!$F$2:$F$25,0),FALSE)/HLOOKUP(2018,DEMANDS!$H$2:$CO$25,MATCH($E13,DEMANDS!$F$2:$F$25,0),FALSE)</f>
        <v>0.55001910270518006</v>
      </c>
      <c r="S13" s="13">
        <f>HLOOKUP(REG_TRA_DEMANDS!S$3,'BY-Demands'!$J$5:$AK$14,MATCH($E13,'BY-Demands'!$I$5:$I$14,0),FALSE)*HLOOKUP(REG_TRA_DEMANDS!$F13,DEMANDS!$H$2:$CO$25,MATCH($E13,DEMANDS!$F$2:$F$25,0),FALSE)/HLOOKUP(2018,DEMANDS!$H$2:$CO$25,MATCH($E13,DEMANDS!$F$2:$F$25,0),FALSE)</f>
        <v>0.4931482203824476</v>
      </c>
      <c r="T13" s="13">
        <f>HLOOKUP(REG_TRA_DEMANDS!T$3,'BY-Demands'!$J$5:$AK$14,MATCH($E13,'BY-Demands'!$I$5:$I$14,0),FALSE)*HLOOKUP(REG_TRA_DEMANDS!$F13,DEMANDS!$H$2:$CO$25,MATCH($E13,DEMANDS!$F$2:$F$25,0),FALSE)/HLOOKUP(2018,DEMANDS!$H$2:$CO$25,MATCH($E13,DEMANDS!$F$2:$F$25,0),FALSE)</f>
        <v>2.0108638092840883</v>
      </c>
      <c r="U13" s="13">
        <f>HLOOKUP(REG_TRA_DEMANDS!U$3,'BY-Demands'!$J$5:$AK$14,MATCH($E13,'BY-Demands'!$I$5:$I$14,0),FALSE)*HLOOKUP(REG_TRA_DEMANDS!$F13,DEMANDS!$H$2:$CO$25,MATCH($E13,DEMANDS!$F$2:$F$25,0),FALSE)/HLOOKUP(2018,DEMANDS!$H$2:$CO$25,MATCH($E13,DEMANDS!$F$2:$F$25,0),FALSE)</f>
        <v>0.66874174579532897</v>
      </c>
      <c r="V13" s="13">
        <f>HLOOKUP(REG_TRA_DEMANDS!V$3,'BY-Demands'!$J$5:$AK$14,MATCH($E13,'BY-Demands'!$I$5:$I$14,0),FALSE)*HLOOKUP(REG_TRA_DEMANDS!$F13,DEMANDS!$H$2:$CO$25,MATCH($E13,DEMANDS!$F$2:$F$25,0),FALSE)/HLOOKUP(2018,DEMANDS!$H$2:$CO$25,MATCH($E13,DEMANDS!$F$2:$F$25,0),FALSE)</f>
        <v>0.74081659382873055</v>
      </c>
      <c r="W13" s="13">
        <f>HLOOKUP(REG_TRA_DEMANDS!W$3,'BY-Demands'!$J$5:$AK$14,MATCH($E13,'BY-Demands'!$I$5:$I$14,0),FALSE)*HLOOKUP(REG_TRA_DEMANDS!$F13,DEMANDS!$H$2:$CO$25,MATCH($E13,DEMANDS!$F$2:$F$25,0),FALSE)/HLOOKUP(2018,DEMANDS!$H$2:$CO$25,MATCH($E13,DEMANDS!$F$2:$F$25,0),FALSE)</f>
        <v>0.71668860020583103</v>
      </c>
      <c r="X13" s="13">
        <f>HLOOKUP(REG_TRA_DEMANDS!X$3,'BY-Demands'!$J$5:$AK$14,MATCH($E13,'BY-Demands'!$I$5:$I$14,0),FALSE)*HLOOKUP(REG_TRA_DEMANDS!$F13,DEMANDS!$H$2:$CO$25,MATCH($E13,DEMANDS!$F$2:$F$25,0),FALSE)/HLOOKUP(2018,DEMANDS!$H$2:$CO$25,MATCH($E13,DEMANDS!$F$2:$F$25,0),FALSE)</f>
        <v>0.45133306783785199</v>
      </c>
      <c r="Y13" s="13">
        <f>HLOOKUP(REG_TRA_DEMANDS!Y$3,'BY-Demands'!$J$5:$AK$14,MATCH($E13,'BY-Demands'!$I$5:$I$14,0),FALSE)*HLOOKUP(REG_TRA_DEMANDS!$F13,DEMANDS!$H$2:$CO$25,MATCH($E13,DEMANDS!$F$2:$F$25,0),FALSE)/HLOOKUP(2018,DEMANDS!$H$2:$CO$25,MATCH($E13,DEMANDS!$F$2:$F$25,0),FALSE)</f>
        <v>1.0254216517463635</v>
      </c>
      <c r="Z13" s="13">
        <f>HLOOKUP(REG_TRA_DEMANDS!Z$3,'BY-Demands'!$J$5:$AK$14,MATCH($E13,'BY-Demands'!$I$5:$I$14,0),FALSE)*HLOOKUP(REG_TRA_DEMANDS!$F13,DEMANDS!$H$2:$CO$25,MATCH($E13,DEMANDS!$F$2:$F$25,0),FALSE)/HLOOKUP(2018,DEMANDS!$H$2:$CO$25,MATCH($E13,DEMANDS!$F$2:$F$25,0),FALSE)</f>
        <v>0.13228753815021471</v>
      </c>
      <c r="AA13" s="13">
        <f>HLOOKUP(REG_TRA_DEMANDS!AA$3,'BY-Demands'!$J$5:$AK$14,MATCH($E13,'BY-Demands'!$I$5:$I$14,0),FALSE)*HLOOKUP(REG_TRA_DEMANDS!$F13,DEMANDS!$H$2:$CO$25,MATCH($E13,DEMANDS!$F$2:$F$25,0),FALSE)/HLOOKUP(2018,DEMANDS!$H$2:$CO$25,MATCH($E13,DEMANDS!$F$2:$F$25,0),FALSE)</f>
        <v>0.56861509056325599</v>
      </c>
      <c r="AB13" s="13">
        <f>HLOOKUP(REG_TRA_DEMANDS!AB$3,'BY-Demands'!$J$5:$AK$14,MATCH($E13,'BY-Demands'!$I$5:$I$14,0),FALSE)*HLOOKUP(REG_TRA_DEMANDS!$F13,DEMANDS!$H$2:$CO$25,MATCH($E13,DEMANDS!$F$2:$F$25,0),FALSE)/HLOOKUP(2018,DEMANDS!$H$2:$CO$25,MATCH($E13,DEMANDS!$F$2:$F$25,0),FALSE)</f>
        <v>0.29804677121625045</v>
      </c>
      <c r="AC13" s="13">
        <f>HLOOKUP(REG_TRA_DEMANDS!AC$3,'BY-Demands'!$J$5:$AK$14,MATCH($E13,'BY-Demands'!$I$5:$I$14,0),FALSE)*HLOOKUP(REG_TRA_DEMANDS!$F13,DEMANDS!$H$2:$CO$25,MATCH($E13,DEMANDS!$F$2:$F$25,0),FALSE)/HLOOKUP(2018,DEMANDS!$H$2:$CO$25,MATCH($E13,DEMANDS!$F$2:$F$25,0),FALSE)</f>
        <v>0.24842415692533032</v>
      </c>
      <c r="AD13" s="13">
        <f>HLOOKUP(REG_TRA_DEMANDS!AD$3,'BY-Demands'!$J$5:$AK$14,MATCH($E13,'BY-Demands'!$I$5:$I$14,0),FALSE)*HLOOKUP(REG_TRA_DEMANDS!$F13,DEMANDS!$H$2:$CO$25,MATCH($E13,DEMANDS!$F$2:$F$25,0),FALSE)/HLOOKUP(2018,DEMANDS!$H$2:$CO$25,MATCH($E13,DEMANDS!$F$2:$F$25,0),FALSE)</f>
        <v>0.2656886095187837</v>
      </c>
      <c r="AE13" s="13">
        <f>HLOOKUP(REG_TRA_DEMANDS!AE$3,'BY-Demands'!$J$5:$AK$14,MATCH($E13,'BY-Demands'!$I$5:$I$14,0),FALSE)*HLOOKUP(REG_TRA_DEMANDS!$F13,DEMANDS!$H$2:$CO$25,MATCH($E13,DEMANDS!$F$2:$F$25,0),FALSE)/HLOOKUP(2018,DEMANDS!$H$2:$CO$25,MATCH($E13,DEMANDS!$F$2:$F$25,0),FALSE)</f>
        <v>0.48941780878588725</v>
      </c>
      <c r="AF13" s="13">
        <f>HLOOKUP(REG_TRA_DEMANDS!AF$3,'BY-Demands'!$J$5:$AK$14,MATCH($E13,'BY-Demands'!$I$5:$I$14,0),FALSE)*HLOOKUP(REG_TRA_DEMANDS!$F13,DEMANDS!$H$2:$CO$25,MATCH($E13,DEMANDS!$F$2:$F$25,0),FALSE)/HLOOKUP(2018,DEMANDS!$H$2:$CO$25,MATCH($E13,DEMANDS!$F$2:$F$25,0),FALSE)</f>
        <v>0.28271035318427856</v>
      </c>
    </row>
    <row r="14" spans="4:32" ht="12.75">
      <c r="D14" s="3" t="s">
        <v>59</v>
      </c>
      <c r="E14" s="3" t="str">
        <f>DEMANDS!$F$19</f>
        <v>TRAPL</v>
      </c>
      <c r="F14" s="3">
        <v>2030</v>
      </c>
      <c r="G14" s="13">
        <f>HLOOKUP(REG_TRA_DEMANDS!G$3,'BY-Demands'!$J$5:$AK$14,MATCH($E14,'BY-Demands'!$I$5:$I$14,0),FALSE)*HLOOKUP(REG_TRA_DEMANDS!$F14,DEMANDS!$H$2:$CO$25,MATCH($E14,DEMANDS!$F$2:$F$25,0),FALSE)/HLOOKUP(2018,DEMANDS!$H$2:$CO$25,MATCH($E14,DEMANDS!$F$2:$F$25,0),FALSE)</f>
        <v>0.35633571356022747</v>
      </c>
      <c r="H14" s="13">
        <f>HLOOKUP(REG_TRA_DEMANDS!H$3,'BY-Demands'!$J$5:$AK$14,MATCH($E14,'BY-Demands'!$I$5:$I$14,0),FALSE)*HLOOKUP(REG_TRA_DEMANDS!$F14,DEMANDS!$H$2:$CO$25,MATCH($E14,DEMANDS!$F$2:$F$25,0),FALSE)/HLOOKUP(2018,DEMANDS!$H$2:$CO$25,MATCH($E14,DEMANDS!$F$2:$F$25,0),FALSE)</f>
        <v>6.3478931669835497</v>
      </c>
      <c r="I14" s="13">
        <f>HLOOKUP(REG_TRA_DEMANDS!I$3,'BY-Demands'!$J$5:$AK$14,MATCH($E14,'BY-Demands'!$I$5:$I$14,0),FALSE)*HLOOKUP(REG_TRA_DEMANDS!$F14,DEMANDS!$H$2:$CO$25,MATCH($E14,DEMANDS!$F$2:$F$25,0),FALSE)/HLOOKUP(2018,DEMANDS!$H$2:$CO$25,MATCH($E14,DEMANDS!$F$2:$F$25,0),FALSE)</f>
        <v>1.2825844550957279</v>
      </c>
      <c r="J14" s="13">
        <f>HLOOKUP(REG_TRA_DEMANDS!J$3,'BY-Demands'!$J$5:$AK$14,MATCH($E14,'BY-Demands'!$I$5:$I$14,0),FALSE)*HLOOKUP(REG_TRA_DEMANDS!$F14,DEMANDS!$H$2:$CO$25,MATCH($E14,DEMANDS!$F$2:$F$25,0),FALSE)/HLOOKUP(2018,DEMANDS!$H$2:$CO$25,MATCH($E14,DEMANDS!$F$2:$F$25,0),FALSE)</f>
        <v>0.61761583785161944</v>
      </c>
      <c r="K14" s="13">
        <f>HLOOKUP(REG_TRA_DEMANDS!K$3,'BY-Demands'!$J$5:$AK$14,MATCH($E14,'BY-Demands'!$I$5:$I$14,0),FALSE)*HLOOKUP(REG_TRA_DEMANDS!$F14,DEMANDS!$H$2:$CO$25,MATCH($E14,DEMANDS!$F$2:$F$25,0),FALSE)/HLOOKUP(2018,DEMANDS!$H$2:$CO$25,MATCH($E14,DEMANDS!$F$2:$F$25,0),FALSE)</f>
        <v>0.4588836855237316</v>
      </c>
      <c r="L14" s="13">
        <f>HLOOKUP(REG_TRA_DEMANDS!L$3,'BY-Demands'!$J$5:$AK$14,MATCH($E14,'BY-Demands'!$I$5:$I$14,0),FALSE)*HLOOKUP(REG_TRA_DEMANDS!$F14,DEMANDS!$H$2:$CO$25,MATCH($E14,DEMANDS!$F$2:$F$25,0),FALSE)/HLOOKUP(2018,DEMANDS!$H$2:$CO$25,MATCH($E14,DEMANDS!$F$2:$F$25,0),FALSE)</f>
        <v>0.23628483860541222</v>
      </c>
      <c r="M14" s="13">
        <f>HLOOKUP(REG_TRA_DEMANDS!M$3,'BY-Demands'!$J$5:$AK$14,MATCH($E14,'BY-Demands'!$I$5:$I$14,0),FALSE)*HLOOKUP(REG_TRA_DEMANDS!$F14,DEMANDS!$H$2:$CO$25,MATCH($E14,DEMANDS!$F$2:$F$25,0),FALSE)/HLOOKUP(2018,DEMANDS!$H$2:$CO$25,MATCH($E14,DEMANDS!$F$2:$F$25,0),FALSE)</f>
        <v>0.64204470413714976</v>
      </c>
      <c r="N14" s="13">
        <f>HLOOKUP(REG_TRA_DEMANDS!N$3,'BY-Demands'!$J$5:$AK$14,MATCH($E14,'BY-Demands'!$I$5:$I$14,0),FALSE)*HLOOKUP(REG_TRA_DEMANDS!$F14,DEMANDS!$H$2:$CO$25,MATCH($E14,DEMANDS!$F$2:$F$25,0),FALSE)/HLOOKUP(2018,DEMANDS!$H$2:$CO$25,MATCH($E14,DEMANDS!$F$2:$F$25,0),FALSE)</f>
        <v>1.0918059597674847</v>
      </c>
      <c r="O14" s="13">
        <f>HLOOKUP(REG_TRA_DEMANDS!O$3,'BY-Demands'!$J$5:$AK$14,MATCH($E14,'BY-Demands'!$I$5:$I$14,0),FALSE)*HLOOKUP(REG_TRA_DEMANDS!$F14,DEMANDS!$H$2:$CO$25,MATCH($E14,DEMANDS!$F$2:$F$25,0),FALSE)/HLOOKUP(2018,DEMANDS!$H$2:$CO$25,MATCH($E14,DEMANDS!$F$2:$F$25,0),FALSE)</f>
        <v>0.47058751216101496</v>
      </c>
      <c r="P14" s="13">
        <f>HLOOKUP(REG_TRA_DEMANDS!P$3,'BY-Demands'!$J$5:$AK$14,MATCH($E14,'BY-Demands'!$I$5:$I$14,0),FALSE)*HLOOKUP(REG_TRA_DEMANDS!$F14,DEMANDS!$H$2:$CO$25,MATCH($E14,DEMANDS!$F$2:$F$25,0),FALSE)/HLOOKUP(2018,DEMANDS!$H$2:$CO$25,MATCH($E14,DEMANDS!$F$2:$F$25,0),FALSE)</f>
        <v>0.52151901112182775</v>
      </c>
      <c r="Q14" s="13">
        <f>HLOOKUP(REG_TRA_DEMANDS!Q$3,'BY-Demands'!$J$5:$AK$14,MATCH($E14,'BY-Demands'!$I$5:$I$14,0),FALSE)*HLOOKUP(REG_TRA_DEMANDS!$F14,DEMANDS!$H$2:$CO$25,MATCH($E14,DEMANDS!$F$2:$F$25,0),FALSE)/HLOOKUP(2018,DEMANDS!$H$2:$CO$25,MATCH($E14,DEMANDS!$F$2:$F$25,0),FALSE)</f>
        <v>0.92694270216845409</v>
      </c>
      <c r="R14" s="13">
        <f>HLOOKUP(REG_TRA_DEMANDS!R$3,'BY-Demands'!$J$5:$AK$14,MATCH($E14,'BY-Demands'!$I$5:$I$14,0),FALSE)*HLOOKUP(REG_TRA_DEMANDS!$F14,DEMANDS!$H$2:$CO$25,MATCH($E14,DEMANDS!$F$2:$F$25,0),FALSE)/HLOOKUP(2018,DEMANDS!$H$2:$CO$25,MATCH($E14,DEMANDS!$F$2:$F$25,0),FALSE)</f>
        <v>0.79374496192990407</v>
      </c>
      <c r="S14" s="13">
        <f>HLOOKUP(REG_TRA_DEMANDS!S$3,'BY-Demands'!$J$5:$AK$14,MATCH($E14,'BY-Demands'!$I$5:$I$14,0),FALSE)*HLOOKUP(REG_TRA_DEMANDS!$F14,DEMANDS!$H$2:$CO$25,MATCH($E14,DEMANDS!$F$2:$F$25,0),FALSE)/HLOOKUP(2018,DEMANDS!$H$2:$CO$25,MATCH($E14,DEMANDS!$F$2:$F$25,0),FALSE)</f>
        <v>0.71167331005061707</v>
      </c>
      <c r="T14" s="13">
        <f>HLOOKUP(REG_TRA_DEMANDS!T$3,'BY-Demands'!$J$5:$AK$14,MATCH($E14,'BY-Demands'!$I$5:$I$14,0),FALSE)*HLOOKUP(REG_TRA_DEMANDS!$F14,DEMANDS!$H$2:$CO$25,MATCH($E14,DEMANDS!$F$2:$F$25,0),FALSE)/HLOOKUP(2018,DEMANDS!$H$2:$CO$25,MATCH($E14,DEMANDS!$F$2:$F$25,0),FALSE)</f>
        <v>2.9019228784894868</v>
      </c>
      <c r="U14" s="13">
        <f>HLOOKUP(REG_TRA_DEMANDS!U$3,'BY-Demands'!$J$5:$AK$14,MATCH($E14,'BY-Demands'!$I$5:$I$14,0),FALSE)*HLOOKUP(REG_TRA_DEMANDS!$F14,DEMANDS!$H$2:$CO$25,MATCH($E14,DEMANDS!$F$2:$F$25,0),FALSE)/HLOOKUP(2018,DEMANDS!$H$2:$CO$25,MATCH($E14,DEMANDS!$F$2:$F$25,0),FALSE)</f>
        <v>0.965076283617325</v>
      </c>
      <c r="V14" s="13">
        <f>HLOOKUP(REG_TRA_DEMANDS!V$3,'BY-Demands'!$J$5:$AK$14,MATCH($E14,'BY-Demands'!$I$5:$I$14,0),FALSE)*HLOOKUP(REG_TRA_DEMANDS!$F14,DEMANDS!$H$2:$CO$25,MATCH($E14,DEMANDS!$F$2:$F$25,0),FALSE)/HLOOKUP(2018,DEMANDS!$H$2:$CO$25,MATCH($E14,DEMANDS!$F$2:$F$25,0),FALSE)</f>
        <v>1.0690891210387938</v>
      </c>
      <c r="W14" s="13">
        <f>HLOOKUP(REG_TRA_DEMANDS!W$3,'BY-Demands'!$J$5:$AK$14,MATCH($E14,'BY-Demands'!$I$5:$I$14,0),FALSE)*HLOOKUP(REG_TRA_DEMANDS!$F14,DEMANDS!$H$2:$CO$25,MATCH($E14,DEMANDS!$F$2:$F$25,0),FALSE)/HLOOKUP(2018,DEMANDS!$H$2:$CO$25,MATCH($E14,DEMANDS!$F$2:$F$25,0),FALSE)</f>
        <v>1.0342694697113035</v>
      </c>
      <c r="X14" s="13">
        <f>HLOOKUP(REG_TRA_DEMANDS!X$3,'BY-Demands'!$J$5:$AK$14,MATCH($E14,'BY-Demands'!$I$5:$I$14,0),FALSE)*HLOOKUP(REG_TRA_DEMANDS!$F14,DEMANDS!$H$2:$CO$25,MATCH($E14,DEMANDS!$F$2:$F$25,0),FALSE)/HLOOKUP(2018,DEMANDS!$H$2:$CO$25,MATCH($E14,DEMANDS!$F$2:$F$25,0),FALSE)</f>
        <v>0.65132892109874119</v>
      </c>
      <c r="Y14" s="13">
        <f>HLOOKUP(REG_TRA_DEMANDS!Y$3,'BY-Demands'!$J$5:$AK$14,MATCH($E14,'BY-Demands'!$I$5:$I$14,0),FALSE)*HLOOKUP(REG_TRA_DEMANDS!$F14,DEMANDS!$H$2:$CO$25,MATCH($E14,DEMANDS!$F$2:$F$25,0),FALSE)/HLOOKUP(2018,DEMANDS!$H$2:$CO$25,MATCH($E14,DEMANDS!$F$2:$F$25,0),FALSE)</f>
        <v>1.4798090937648649</v>
      </c>
      <c r="Z14" s="13">
        <f>HLOOKUP(REG_TRA_DEMANDS!Z$3,'BY-Demands'!$J$5:$AK$14,MATCH($E14,'BY-Demands'!$I$5:$I$14,0),FALSE)*HLOOKUP(REG_TRA_DEMANDS!$F14,DEMANDS!$H$2:$CO$25,MATCH($E14,DEMANDS!$F$2:$F$25,0),FALSE)/HLOOKUP(2018,DEMANDS!$H$2:$CO$25,MATCH($E14,DEMANDS!$F$2:$F$25,0),FALSE)</f>
        <v>0.19090712743685584</v>
      </c>
      <c r="AA14" s="13">
        <f>HLOOKUP(REG_TRA_DEMANDS!AA$3,'BY-Demands'!$J$5:$AK$14,MATCH($E14,'BY-Demands'!$I$5:$I$14,0),FALSE)*HLOOKUP(REG_TRA_DEMANDS!$F14,DEMANDS!$H$2:$CO$25,MATCH($E14,DEMANDS!$F$2:$F$25,0),FALSE)/HLOOKUP(2018,DEMANDS!$H$2:$CO$25,MATCH($E14,DEMANDS!$F$2:$F$25,0),FALSE)</f>
        <v>0.82058125107306379</v>
      </c>
      <c r="AB14" s="13">
        <f>HLOOKUP(REG_TRA_DEMANDS!AB$3,'BY-Demands'!$J$5:$AK$14,MATCH($E14,'BY-Demands'!$I$5:$I$14,0),FALSE)*HLOOKUP(REG_TRA_DEMANDS!$F14,DEMANDS!$H$2:$CO$25,MATCH($E14,DEMANDS!$F$2:$F$25,0),FALSE)/HLOOKUP(2018,DEMANDS!$H$2:$CO$25,MATCH($E14,DEMANDS!$F$2:$F$25,0),FALSE)</f>
        <v>0.43011801209962869</v>
      </c>
      <c r="AC14" s="13">
        <f>HLOOKUP(REG_TRA_DEMANDS!AC$3,'BY-Demands'!$J$5:$AK$14,MATCH($E14,'BY-Demands'!$I$5:$I$14,0),FALSE)*HLOOKUP(REG_TRA_DEMANDS!$F14,DEMANDS!$H$2:$CO$25,MATCH($E14,DEMANDS!$F$2:$F$25,0),FALSE)/HLOOKUP(2018,DEMANDS!$H$2:$CO$25,MATCH($E14,DEMANDS!$F$2:$F$25,0),FALSE)</f>
        <v>0.35850649915855681</v>
      </c>
      <c r="AD14" s="13">
        <f>HLOOKUP(REG_TRA_DEMANDS!AD$3,'BY-Demands'!$J$5:$AK$14,MATCH($E14,'BY-Demands'!$I$5:$I$14,0),FALSE)*HLOOKUP(REG_TRA_DEMANDS!$F14,DEMANDS!$H$2:$CO$25,MATCH($E14,DEMANDS!$F$2:$F$25,0),FALSE)/HLOOKUP(2018,DEMANDS!$H$2:$CO$25,MATCH($E14,DEMANDS!$F$2:$F$25,0),FALSE)</f>
        <v>0.38342121975486437</v>
      </c>
      <c r="AE14" s="13">
        <f>HLOOKUP(REG_TRA_DEMANDS!AE$3,'BY-Demands'!$J$5:$AK$14,MATCH($E14,'BY-Demands'!$I$5:$I$14,0),FALSE)*HLOOKUP(REG_TRA_DEMANDS!$F14,DEMANDS!$H$2:$CO$25,MATCH($E14,DEMANDS!$F$2:$F$25,0),FALSE)/HLOOKUP(2018,DEMANDS!$H$2:$CO$25,MATCH($E14,DEMANDS!$F$2:$F$25,0),FALSE)</f>
        <v>0.70628986900987611</v>
      </c>
      <c r="AF14" s="13">
        <f>HLOOKUP(REG_TRA_DEMANDS!AF$3,'BY-Demands'!$J$5:$AK$14,MATCH($E14,'BY-Demands'!$I$5:$I$14,0),FALSE)*HLOOKUP(REG_TRA_DEMANDS!$F14,DEMANDS!$H$2:$CO$25,MATCH($E14,DEMANDS!$F$2:$F$25,0),FALSE)/HLOOKUP(2018,DEMANDS!$H$2:$CO$25,MATCH($E14,DEMANDS!$F$2:$F$25,0),FALSE)</f>
        <v>0.4079856816277293</v>
      </c>
    </row>
    <row r="15" spans="4:32" ht="12.75">
      <c r="D15" s="3" t="s">
        <v>59</v>
      </c>
      <c r="E15" s="3" t="str">
        <f>DEMANDS!$F$19</f>
        <v>TRAPL</v>
      </c>
      <c r="F15" s="3">
        <v>2050</v>
      </c>
      <c r="G15" s="13">
        <f>HLOOKUP(REG_TRA_DEMANDS!G$3,'BY-Demands'!$J$5:$AK$14,MATCH($E15,'BY-Demands'!$I$5:$I$14,0),FALSE)*HLOOKUP(REG_TRA_DEMANDS!$F15,DEMANDS!$H$2:$CO$25,MATCH($E15,DEMANDS!$F$2:$F$25,0),FALSE)/HLOOKUP(2018,DEMANDS!$H$2:$CO$25,MATCH($E15,DEMANDS!$F$2:$F$25,0),FALSE)</f>
        <v>0.35538578065388149</v>
      </c>
      <c r="H15" s="13">
        <f>HLOOKUP(REG_TRA_DEMANDS!H$3,'BY-Demands'!$J$5:$AK$14,MATCH($E15,'BY-Demands'!$I$5:$I$14,0),FALSE)*HLOOKUP(REG_TRA_DEMANDS!$F15,DEMANDS!$H$2:$CO$25,MATCH($E15,DEMANDS!$F$2:$F$25,0),FALSE)/HLOOKUP(2018,DEMANDS!$H$2:$CO$25,MATCH($E15,DEMANDS!$F$2:$F$25,0),FALSE)</f>
        <v>6.3309707189217512</v>
      </c>
      <c r="I15" s="13">
        <f>HLOOKUP(REG_TRA_DEMANDS!I$3,'BY-Demands'!$J$5:$AK$14,MATCH($E15,'BY-Demands'!$I$5:$I$14,0),FALSE)*HLOOKUP(REG_TRA_DEMANDS!$F15,DEMANDS!$H$2:$CO$25,MATCH($E15,DEMANDS!$F$2:$F$25,0),FALSE)/HLOOKUP(2018,DEMANDS!$H$2:$CO$25,MATCH($E15,DEMANDS!$F$2:$F$25,0),FALSE)</f>
        <v>1.2791652940835176</v>
      </c>
      <c r="J15" s="13">
        <f>HLOOKUP(REG_TRA_DEMANDS!J$3,'BY-Demands'!$J$5:$AK$14,MATCH($E15,'BY-Demands'!$I$5:$I$14,0),FALSE)*HLOOKUP(REG_TRA_DEMANDS!$F15,DEMANDS!$H$2:$CO$25,MATCH($E15,DEMANDS!$F$2:$F$25,0),FALSE)/HLOOKUP(2018,DEMANDS!$H$2:$CO$25,MATCH($E15,DEMANDS!$F$2:$F$25,0),FALSE)</f>
        <v>0.61596937473964586</v>
      </c>
      <c r="K15" s="13">
        <f>HLOOKUP(REG_TRA_DEMANDS!K$3,'BY-Demands'!$J$5:$AK$14,MATCH($E15,'BY-Demands'!$I$5:$I$14,0),FALSE)*HLOOKUP(REG_TRA_DEMANDS!$F15,DEMANDS!$H$2:$CO$25,MATCH($E15,DEMANDS!$F$2:$F$25,0),FALSE)/HLOOKUP(2018,DEMANDS!$H$2:$CO$25,MATCH($E15,DEMANDS!$F$2:$F$25,0),FALSE)</f>
        <v>0.45766037644615121</v>
      </c>
      <c r="L15" s="13">
        <f>HLOOKUP(REG_TRA_DEMANDS!L$3,'BY-Demands'!$J$5:$AK$14,MATCH($E15,'BY-Demands'!$I$5:$I$14,0),FALSE)*HLOOKUP(REG_TRA_DEMANDS!$F15,DEMANDS!$H$2:$CO$25,MATCH($E15,DEMANDS!$F$2:$F$25,0),FALSE)/HLOOKUP(2018,DEMANDS!$H$2:$CO$25,MATCH($E15,DEMANDS!$F$2:$F$25,0),FALSE)</f>
        <v>0.23565494175555857</v>
      </c>
      <c r="M15" s="13">
        <f>HLOOKUP(REG_TRA_DEMANDS!M$3,'BY-Demands'!$J$5:$AK$14,MATCH($E15,'BY-Demands'!$I$5:$I$14,0),FALSE)*HLOOKUP(REG_TRA_DEMANDS!$F15,DEMANDS!$H$2:$CO$25,MATCH($E15,DEMANDS!$F$2:$F$25,0),FALSE)/HLOOKUP(2018,DEMANDS!$H$2:$CO$25,MATCH($E15,DEMANDS!$F$2:$F$25,0),FALSE)</f>
        <v>0.64033311765116041</v>
      </c>
      <c r="N15" s="13">
        <f>HLOOKUP(REG_TRA_DEMANDS!N$3,'BY-Demands'!$J$5:$AK$14,MATCH($E15,'BY-Demands'!$I$5:$I$14,0),FALSE)*HLOOKUP(REG_TRA_DEMANDS!$F15,DEMANDS!$H$2:$CO$25,MATCH($E15,DEMANDS!$F$2:$F$25,0),FALSE)/HLOOKUP(2018,DEMANDS!$H$2:$CO$25,MATCH($E15,DEMANDS!$F$2:$F$25,0),FALSE)</f>
        <v>1.0888953831144585</v>
      </c>
      <c r="O15" s="13">
        <f>HLOOKUP(REG_TRA_DEMANDS!O$3,'BY-Demands'!$J$5:$AK$14,MATCH($E15,'BY-Demands'!$I$5:$I$14,0),FALSE)*HLOOKUP(REG_TRA_DEMANDS!$F15,DEMANDS!$H$2:$CO$25,MATCH($E15,DEMANDS!$F$2:$F$25,0),FALSE)/HLOOKUP(2018,DEMANDS!$H$2:$CO$25,MATCH($E15,DEMANDS!$F$2:$F$25,0),FALSE)</f>
        <v>0.46933300259010807</v>
      </c>
      <c r="P15" s="13">
        <f>HLOOKUP(REG_TRA_DEMANDS!P$3,'BY-Demands'!$J$5:$AK$14,MATCH($E15,'BY-Demands'!$I$5:$I$14,0),FALSE)*HLOOKUP(REG_TRA_DEMANDS!$F15,DEMANDS!$H$2:$CO$25,MATCH($E15,DEMANDS!$F$2:$F$25,0),FALSE)/HLOOKUP(2018,DEMANDS!$H$2:$CO$25,MATCH($E15,DEMANDS!$F$2:$F$25,0),FALSE)</f>
        <v>0.52012872647985364</v>
      </c>
      <c r="Q15" s="13">
        <f>HLOOKUP(REG_TRA_DEMANDS!Q$3,'BY-Demands'!$J$5:$AK$14,MATCH($E15,'BY-Demands'!$I$5:$I$14,0),FALSE)*HLOOKUP(REG_TRA_DEMANDS!$F15,DEMANDS!$H$2:$CO$25,MATCH($E15,DEMANDS!$F$2:$F$25,0),FALSE)/HLOOKUP(2018,DEMANDS!$H$2:$CO$25,MATCH($E15,DEMANDS!$F$2:$F$25,0),FALSE)</f>
        <v>0.92447162407670325</v>
      </c>
      <c r="R15" s="13">
        <f>HLOOKUP(REG_TRA_DEMANDS!R$3,'BY-Demands'!$J$5:$AK$14,MATCH($E15,'BY-Demands'!$I$5:$I$14,0),FALSE)*HLOOKUP(REG_TRA_DEMANDS!$F15,DEMANDS!$H$2:$CO$25,MATCH($E15,DEMANDS!$F$2:$F$25,0),FALSE)/HLOOKUP(2018,DEMANDS!$H$2:$CO$25,MATCH($E15,DEMANDS!$F$2:$F$25,0),FALSE)</f>
        <v>0.79162896729369392</v>
      </c>
      <c r="S15" s="13">
        <f>HLOOKUP(REG_TRA_DEMANDS!S$3,'BY-Demands'!$J$5:$AK$14,MATCH($E15,'BY-Demands'!$I$5:$I$14,0),FALSE)*HLOOKUP(REG_TRA_DEMANDS!$F15,DEMANDS!$H$2:$CO$25,MATCH($E15,DEMANDS!$F$2:$F$25,0),FALSE)/HLOOKUP(2018,DEMANDS!$H$2:$CO$25,MATCH($E15,DEMANDS!$F$2:$F$25,0),FALSE)</f>
        <v>0.709776105055275</v>
      </c>
      <c r="T15" s="13">
        <f>HLOOKUP(REG_TRA_DEMANDS!T$3,'BY-Demands'!$J$5:$AK$14,MATCH($E15,'BY-Demands'!$I$5:$I$14,0),FALSE)*HLOOKUP(REG_TRA_DEMANDS!$F15,DEMANDS!$H$2:$CO$25,MATCH($E15,DEMANDS!$F$2:$F$25,0),FALSE)/HLOOKUP(2018,DEMANDS!$H$2:$CO$25,MATCH($E15,DEMANDS!$F$2:$F$25,0),FALSE)</f>
        <v>2.8941868252984846</v>
      </c>
      <c r="U15" s="13">
        <f>HLOOKUP(REG_TRA_DEMANDS!U$3,'BY-Demands'!$J$5:$AK$14,MATCH($E15,'BY-Demands'!$I$5:$I$14,0),FALSE)*HLOOKUP(REG_TRA_DEMANDS!$F15,DEMANDS!$H$2:$CO$25,MATCH($E15,DEMANDS!$F$2:$F$25,0),FALSE)/HLOOKUP(2018,DEMANDS!$H$2:$CO$25,MATCH($E15,DEMANDS!$F$2:$F$25,0),FALSE)</f>
        <v>0.9625035476156969</v>
      </c>
      <c r="V15" s="13">
        <f>HLOOKUP(REG_TRA_DEMANDS!V$3,'BY-Demands'!$J$5:$AK$14,MATCH($E15,'BY-Demands'!$I$5:$I$14,0),FALSE)*HLOOKUP(REG_TRA_DEMANDS!$F15,DEMANDS!$H$2:$CO$25,MATCH($E15,DEMANDS!$F$2:$F$25,0),FALSE)/HLOOKUP(2018,DEMANDS!$H$2:$CO$25,MATCH($E15,DEMANDS!$F$2:$F$25,0),FALSE)</f>
        <v>1.0662391037734891</v>
      </c>
      <c r="W15" s="13">
        <f>HLOOKUP(REG_TRA_DEMANDS!W$3,'BY-Demands'!$J$5:$AK$14,MATCH($E15,'BY-Demands'!$I$5:$I$14,0),FALSE)*HLOOKUP(REG_TRA_DEMANDS!$F15,DEMANDS!$H$2:$CO$25,MATCH($E15,DEMANDS!$F$2:$F$25,0),FALSE)/HLOOKUP(2018,DEMANDS!$H$2:$CO$25,MATCH($E15,DEMANDS!$F$2:$F$25,0),FALSE)</f>
        <v>1.0315122759585598</v>
      </c>
      <c r="X15" s="13">
        <f>HLOOKUP(REG_TRA_DEMANDS!X$3,'BY-Demands'!$J$5:$AK$14,MATCH($E15,'BY-Demands'!$I$5:$I$14,0),FALSE)*HLOOKUP(REG_TRA_DEMANDS!$F15,DEMANDS!$H$2:$CO$25,MATCH($E15,DEMANDS!$F$2:$F$25,0),FALSE)/HLOOKUP(2018,DEMANDS!$H$2:$CO$25,MATCH($E15,DEMANDS!$F$2:$F$25,0),FALSE)</f>
        <v>0.64959258440426626</v>
      </c>
      <c r="Y15" s="13">
        <f>HLOOKUP(REG_TRA_DEMANDS!Y$3,'BY-Demands'!$J$5:$AK$14,MATCH($E15,'BY-Demands'!$I$5:$I$14,0),FALSE)*HLOOKUP(REG_TRA_DEMANDS!$F15,DEMANDS!$H$2:$CO$25,MATCH($E15,DEMANDS!$F$2:$F$25,0),FALSE)/HLOOKUP(2018,DEMANDS!$H$2:$CO$25,MATCH($E15,DEMANDS!$F$2:$F$25,0),FALSE)</f>
        <v>1.4758641640264663</v>
      </c>
      <c r="Z15" s="13">
        <f>HLOOKUP(REG_TRA_DEMANDS!Z$3,'BY-Demands'!$J$5:$AK$14,MATCH($E15,'BY-Demands'!$I$5:$I$14,0),FALSE)*HLOOKUP(REG_TRA_DEMANDS!$F15,DEMANDS!$H$2:$CO$25,MATCH($E15,DEMANDS!$F$2:$F$25,0),FALSE)/HLOOKUP(2018,DEMANDS!$H$2:$CO$25,MATCH($E15,DEMANDS!$F$2:$F$25,0),FALSE)</f>
        <v>0.19039820016544551</v>
      </c>
      <c r="AA15" s="13">
        <f>HLOOKUP(REG_TRA_DEMANDS!AA$3,'BY-Demands'!$J$5:$AK$14,MATCH($E15,'BY-Demands'!$I$5:$I$14,0),FALSE)*HLOOKUP(REG_TRA_DEMANDS!$F15,DEMANDS!$H$2:$CO$25,MATCH($E15,DEMANDS!$F$2:$F$25,0),FALSE)/HLOOKUP(2018,DEMANDS!$H$2:$CO$25,MATCH($E15,DEMANDS!$F$2:$F$25,0),FALSE)</f>
        <v>0.81839371526606663</v>
      </c>
      <c r="AB15" s="13">
        <f>HLOOKUP(REG_TRA_DEMANDS!AB$3,'BY-Demands'!$J$5:$AK$14,MATCH($E15,'BY-Demands'!$I$5:$I$14,0),FALSE)*HLOOKUP(REG_TRA_DEMANDS!$F15,DEMANDS!$H$2:$CO$25,MATCH($E15,DEMANDS!$F$2:$F$25,0),FALSE)/HLOOKUP(2018,DEMANDS!$H$2:$CO$25,MATCH($E15,DEMANDS!$F$2:$F$25,0),FALSE)</f>
        <v>0.4289713876167125</v>
      </c>
      <c r="AC15" s="13">
        <f>HLOOKUP(REG_TRA_DEMANDS!AC$3,'BY-Demands'!$J$5:$AK$14,MATCH($E15,'BY-Demands'!$I$5:$I$14,0),FALSE)*HLOOKUP(REG_TRA_DEMANDS!$F15,DEMANDS!$H$2:$CO$25,MATCH($E15,DEMANDS!$F$2:$F$25,0),FALSE)/HLOOKUP(2018,DEMANDS!$H$2:$CO$25,MATCH($E15,DEMANDS!$F$2:$F$25,0),FALSE)</f>
        <v>0.35755077929178558</v>
      </c>
      <c r="AD15" s="13">
        <f>HLOOKUP(REG_TRA_DEMANDS!AD$3,'BY-Demands'!$J$5:$AK$14,MATCH($E15,'BY-Demands'!$I$5:$I$14,0),FALSE)*HLOOKUP(REG_TRA_DEMANDS!$F15,DEMANDS!$H$2:$CO$25,MATCH($E15,DEMANDS!$F$2:$F$25,0),FALSE)/HLOOKUP(2018,DEMANDS!$H$2:$CO$25,MATCH($E15,DEMANDS!$F$2:$F$25,0),FALSE)</f>
        <v>0.38239908130571088</v>
      </c>
      <c r="AE15" s="13">
        <f>HLOOKUP(REG_TRA_DEMANDS!AE$3,'BY-Demands'!$J$5:$AK$14,MATCH($E15,'BY-Demands'!$I$5:$I$14,0),FALSE)*HLOOKUP(REG_TRA_DEMANDS!$F15,DEMANDS!$H$2:$CO$25,MATCH($E15,DEMANDS!$F$2:$F$25,0),FALSE)/HLOOKUP(2018,DEMANDS!$H$2:$CO$25,MATCH($E15,DEMANDS!$F$2:$F$25,0),FALSE)</f>
        <v>0.70440701539049588</v>
      </c>
      <c r="AF15" s="13">
        <f>HLOOKUP(REG_TRA_DEMANDS!AF$3,'BY-Demands'!$J$5:$AK$14,MATCH($E15,'BY-Demands'!$I$5:$I$14,0),FALSE)*HLOOKUP(REG_TRA_DEMANDS!$F15,DEMANDS!$H$2:$CO$25,MATCH($E15,DEMANDS!$F$2:$F$25,0),FALSE)/HLOOKUP(2018,DEMANDS!$H$2:$CO$25,MATCH($E15,DEMANDS!$F$2:$F$25,0),FALSE)</f>
        <v>0.40689805832883513</v>
      </c>
    </row>
    <row r="16" spans="4:32" ht="12.75">
      <c r="D16" s="3" t="s">
        <v>59</v>
      </c>
      <c r="E16" s="3" t="str">
        <f>DEMANDS!$F$20</f>
        <v>TRAF</v>
      </c>
      <c r="F16" s="3">
        <v>2019</v>
      </c>
      <c r="G16" s="13">
        <f>HLOOKUP(REG_TRA_DEMANDS!G$3,'BY-Demands'!$J$5:$AK$14,MATCH($E16,'BY-Demands'!$I$5:$I$14,0),FALSE)*HLOOKUP(REG_TRA_DEMANDS!$F16,DEMANDS!$H$2:$CO$25,MATCH($E16,DEMANDS!$F$2:$F$25,0),FALSE)/HLOOKUP(2018,DEMANDS!$H$2:$CO$25,MATCH($E16,DEMANDS!$F$2:$F$25,0),FALSE)</f>
        <v>0.17687708331197771</v>
      </c>
      <c r="H16" s="13">
        <f>HLOOKUP(REG_TRA_DEMANDS!H$3,'BY-Demands'!$J$5:$AK$14,MATCH($E16,'BY-Demands'!$I$5:$I$14,0),FALSE)*HLOOKUP(REG_TRA_DEMANDS!$F16,DEMANDS!$H$2:$CO$25,MATCH($E16,DEMANDS!$F$2:$F$25,0),FALSE)/HLOOKUP(2018,DEMANDS!$H$2:$CO$25,MATCH($E16,DEMANDS!$F$2:$F$25,0),FALSE)</f>
        <v>2.6418004080275157</v>
      </c>
      <c r="I16" s="13">
        <f>HLOOKUP(REG_TRA_DEMANDS!I$3,'BY-Demands'!$J$5:$AK$14,MATCH($E16,'BY-Demands'!$I$5:$I$14,0),FALSE)*HLOOKUP(REG_TRA_DEMANDS!$F16,DEMANDS!$H$2:$CO$25,MATCH($E16,DEMANDS!$F$2:$F$25,0),FALSE)/HLOOKUP(2018,DEMANDS!$H$2:$CO$25,MATCH($E16,DEMANDS!$F$2:$F$25,0),FALSE)</f>
        <v>0.47940045650811269</v>
      </c>
      <c r="J16" s="13">
        <f>HLOOKUP(REG_TRA_DEMANDS!J$3,'BY-Demands'!$J$5:$AK$14,MATCH($E16,'BY-Demands'!$I$5:$I$14,0),FALSE)*HLOOKUP(REG_TRA_DEMANDS!$F16,DEMANDS!$H$2:$CO$25,MATCH($E16,DEMANDS!$F$2:$F$25,0),FALSE)/HLOOKUP(2018,DEMANDS!$H$2:$CO$25,MATCH($E16,DEMANDS!$F$2:$F$25,0),FALSE)</f>
        <v>0.30829527736974205</v>
      </c>
      <c r="K16" s="13">
        <f>HLOOKUP(REG_TRA_DEMANDS!K$3,'BY-Demands'!$J$5:$AK$14,MATCH($E16,'BY-Demands'!$I$5:$I$14,0),FALSE)*HLOOKUP(REG_TRA_DEMANDS!$F16,DEMANDS!$H$2:$CO$25,MATCH($E16,DEMANDS!$F$2:$F$25,0),FALSE)/HLOOKUP(2018,DEMANDS!$H$2:$CO$25,MATCH($E16,DEMANDS!$F$2:$F$25,0),FALSE)</f>
        <v>0.21958388680537325</v>
      </c>
      <c r="L16" s="13">
        <f>HLOOKUP(REG_TRA_DEMANDS!L$3,'BY-Demands'!$J$5:$AK$14,MATCH($E16,'BY-Demands'!$I$5:$I$14,0),FALSE)*HLOOKUP(REG_TRA_DEMANDS!$F16,DEMANDS!$H$2:$CO$25,MATCH($E16,DEMANDS!$F$2:$F$25,0),FALSE)/HLOOKUP(2018,DEMANDS!$H$2:$CO$25,MATCH($E16,DEMANDS!$F$2:$F$25,0),FALSE)</f>
        <v>0.10596658919909861</v>
      </c>
      <c r="M16" s="13">
        <f>HLOOKUP(REG_TRA_DEMANDS!M$3,'BY-Demands'!$J$5:$AK$14,MATCH($E16,'BY-Demands'!$I$5:$I$14,0),FALSE)*HLOOKUP(REG_TRA_DEMANDS!$F16,DEMANDS!$H$2:$CO$25,MATCH($E16,DEMANDS!$F$2:$F$25,0),FALSE)/HLOOKUP(2018,DEMANDS!$H$2:$CO$25,MATCH($E16,DEMANDS!$F$2:$F$25,0),FALSE)</f>
        <v>0.27768960754229877</v>
      </c>
      <c r="N16" s="13">
        <f>HLOOKUP(REG_TRA_DEMANDS!N$3,'BY-Demands'!$J$5:$AK$14,MATCH($E16,'BY-Demands'!$I$5:$I$14,0),FALSE)*HLOOKUP(REG_TRA_DEMANDS!$F16,DEMANDS!$H$2:$CO$25,MATCH($E16,DEMANDS!$F$2:$F$25,0),FALSE)/HLOOKUP(2018,DEMANDS!$H$2:$CO$25,MATCH($E16,DEMANDS!$F$2:$F$25,0),FALSE)</f>
        <v>0.42966684323058296</v>
      </c>
      <c r="O16" s="13">
        <f>HLOOKUP(REG_TRA_DEMANDS!O$3,'BY-Demands'!$J$5:$AK$14,MATCH($E16,'BY-Demands'!$I$5:$I$14,0),FALSE)*HLOOKUP(REG_TRA_DEMANDS!$F16,DEMANDS!$H$2:$CO$25,MATCH($E16,DEMANDS!$F$2:$F$25,0),FALSE)/HLOOKUP(2018,DEMANDS!$H$2:$CO$25,MATCH($E16,DEMANDS!$F$2:$F$25,0),FALSE)</f>
        <v>0.20212025690678156</v>
      </c>
      <c r="P16" s="13">
        <f>HLOOKUP(REG_TRA_DEMANDS!P$3,'BY-Demands'!$J$5:$AK$14,MATCH($E16,'BY-Demands'!$I$5:$I$14,0),FALSE)*HLOOKUP(REG_TRA_DEMANDS!$F16,DEMANDS!$H$2:$CO$25,MATCH($E16,DEMANDS!$F$2:$F$25,0),FALSE)/HLOOKUP(2018,DEMANDS!$H$2:$CO$25,MATCH($E16,DEMANDS!$F$2:$F$25,0),FALSE)</f>
        <v>0.2301434718078916</v>
      </c>
      <c r="Q16" s="13">
        <f>HLOOKUP(REG_TRA_DEMANDS!Q$3,'BY-Demands'!$J$5:$AK$14,MATCH($E16,'BY-Demands'!$I$5:$I$14,0),FALSE)*HLOOKUP(REG_TRA_DEMANDS!$F16,DEMANDS!$H$2:$CO$25,MATCH($E16,DEMANDS!$F$2:$F$25,0),FALSE)/HLOOKUP(2018,DEMANDS!$H$2:$CO$25,MATCH($E16,DEMANDS!$F$2:$F$25,0),FALSE)</f>
        <v>0.46515827070252019</v>
      </c>
      <c r="R16" s="13">
        <f>HLOOKUP(REG_TRA_DEMANDS!R$3,'BY-Demands'!$J$5:$AK$14,MATCH($E16,'BY-Demands'!$I$5:$I$14,0),FALSE)*HLOOKUP(REG_TRA_DEMANDS!$F16,DEMANDS!$H$2:$CO$25,MATCH($E16,DEMANDS!$F$2:$F$25,0),FALSE)/HLOOKUP(2018,DEMANDS!$H$2:$CO$25,MATCH($E16,DEMANDS!$F$2:$F$25,0),FALSE)</f>
        <v>0.30686464071732605</v>
      </c>
      <c r="S16" s="13">
        <f>HLOOKUP(REG_TRA_DEMANDS!S$3,'BY-Demands'!$J$5:$AK$14,MATCH($E16,'BY-Demands'!$I$5:$I$14,0),FALSE)*HLOOKUP(REG_TRA_DEMANDS!$F16,DEMANDS!$H$2:$CO$25,MATCH($E16,DEMANDS!$F$2:$F$25,0),FALSE)/HLOOKUP(2018,DEMANDS!$H$2:$CO$25,MATCH($E16,DEMANDS!$F$2:$F$25,0),FALSE)</f>
        <v>0.30197091688318001</v>
      </c>
      <c r="T16" s="13">
        <f>HLOOKUP(REG_TRA_DEMANDS!T$3,'BY-Demands'!$J$5:$AK$14,MATCH($E16,'BY-Demands'!$I$5:$I$14,0),FALSE)*HLOOKUP(REG_TRA_DEMANDS!$F16,DEMANDS!$H$2:$CO$25,MATCH($E16,DEMANDS!$F$2:$F$25,0),FALSE)/HLOOKUP(2018,DEMANDS!$H$2:$CO$25,MATCH($E16,DEMANDS!$F$2:$F$25,0),FALSE)</f>
        <v>1.6157092413644345</v>
      </c>
      <c r="U16" s="13">
        <f>HLOOKUP(REG_TRA_DEMANDS!U$3,'BY-Demands'!$J$5:$AK$14,MATCH($E16,'BY-Demands'!$I$5:$I$14,0),FALSE)*HLOOKUP(REG_TRA_DEMANDS!$F16,DEMANDS!$H$2:$CO$25,MATCH($E16,DEMANDS!$F$2:$F$25,0),FALSE)/HLOOKUP(2018,DEMANDS!$H$2:$CO$25,MATCH($E16,DEMANDS!$F$2:$F$25,0),FALSE)</f>
        <v>0.43961251153911435</v>
      </c>
      <c r="V16" s="13">
        <f>HLOOKUP(REG_TRA_DEMANDS!V$3,'BY-Demands'!$J$5:$AK$14,MATCH($E16,'BY-Demands'!$I$5:$I$14,0),FALSE)*HLOOKUP(REG_TRA_DEMANDS!$F16,DEMANDS!$H$2:$CO$25,MATCH($E16,DEMANDS!$F$2:$F$25,0),FALSE)/HLOOKUP(2018,DEMANDS!$H$2:$CO$25,MATCH($E16,DEMANDS!$F$2:$F$25,0),FALSE)</f>
        <v>0.49533172634904943</v>
      </c>
      <c r="W16" s="13">
        <f>HLOOKUP(REG_TRA_DEMANDS!W$3,'BY-Demands'!$J$5:$AK$14,MATCH($E16,'BY-Demands'!$I$5:$I$14,0),FALSE)*HLOOKUP(REG_TRA_DEMANDS!$F16,DEMANDS!$H$2:$CO$25,MATCH($E16,DEMANDS!$F$2:$F$25,0),FALSE)/HLOOKUP(2018,DEMANDS!$H$2:$CO$25,MATCH($E16,DEMANDS!$F$2:$F$25,0),FALSE)</f>
        <v>0.40550060766945861</v>
      </c>
      <c r="X16" s="13">
        <f>HLOOKUP(REG_TRA_DEMANDS!X$3,'BY-Demands'!$J$5:$AK$14,MATCH($E16,'BY-Demands'!$I$5:$I$14,0),FALSE)*HLOOKUP(REG_TRA_DEMANDS!$F16,DEMANDS!$H$2:$CO$25,MATCH($E16,DEMANDS!$F$2:$F$25,0),FALSE)/HLOOKUP(2018,DEMANDS!$H$2:$CO$25,MATCH($E16,DEMANDS!$F$2:$F$25,0),FALSE)</f>
        <v>0.37665525276553663</v>
      </c>
      <c r="Y16" s="13">
        <f>HLOOKUP(REG_TRA_DEMANDS!Y$3,'BY-Demands'!$J$5:$AK$14,MATCH($E16,'BY-Demands'!$I$5:$I$14,0),FALSE)*HLOOKUP(REG_TRA_DEMANDS!$F16,DEMANDS!$H$2:$CO$25,MATCH($E16,DEMANDS!$F$2:$F$25,0),FALSE)/HLOOKUP(2018,DEMANDS!$H$2:$CO$25,MATCH($E16,DEMANDS!$F$2:$F$25,0),FALSE)</f>
        <v>0.60144329669449614</v>
      </c>
      <c r="Z16" s="13">
        <f>HLOOKUP(REG_TRA_DEMANDS!Z$3,'BY-Demands'!$J$5:$AK$14,MATCH($E16,'BY-Demands'!$I$5:$I$14,0),FALSE)*HLOOKUP(REG_TRA_DEMANDS!$F16,DEMANDS!$H$2:$CO$25,MATCH($E16,DEMANDS!$F$2:$F$25,0),FALSE)/HLOOKUP(2018,DEMANDS!$H$2:$CO$25,MATCH($E16,DEMANDS!$F$2:$F$25,0),FALSE)</f>
        <v>0.080211002360103673</v>
      </c>
      <c r="AA16" s="13">
        <f>HLOOKUP(REG_TRA_DEMANDS!AA$3,'BY-Demands'!$J$5:$AK$14,MATCH($E16,'BY-Demands'!$I$5:$I$14,0),FALSE)*HLOOKUP(REG_TRA_DEMANDS!$F16,DEMANDS!$H$2:$CO$25,MATCH($E16,DEMANDS!$F$2:$F$25,0),FALSE)/HLOOKUP(2018,DEMANDS!$H$2:$CO$25,MATCH($E16,DEMANDS!$F$2:$F$25,0),FALSE)</f>
        <v>0.33874624681532234</v>
      </c>
      <c r="AB16" s="13">
        <f>HLOOKUP(REG_TRA_DEMANDS!AB$3,'BY-Demands'!$J$5:$AK$14,MATCH($E16,'BY-Demands'!$I$5:$I$14,0),FALSE)*HLOOKUP(REG_TRA_DEMANDS!$F16,DEMANDS!$H$2:$CO$25,MATCH($E16,DEMANDS!$F$2:$F$25,0),FALSE)/HLOOKUP(2018,DEMANDS!$H$2:$CO$25,MATCH($E16,DEMANDS!$F$2:$F$25,0),FALSE)</f>
        <v>0.15042957839652113</v>
      </c>
      <c r="AC16" s="13">
        <f>HLOOKUP(REG_TRA_DEMANDS!AC$3,'BY-Demands'!$J$5:$AK$14,MATCH($E16,'BY-Demands'!$I$5:$I$14,0),FALSE)*HLOOKUP(REG_TRA_DEMANDS!$F16,DEMANDS!$H$2:$CO$25,MATCH($E16,DEMANDS!$F$2:$F$25,0),FALSE)/HLOOKUP(2018,DEMANDS!$H$2:$CO$25,MATCH($E16,DEMANDS!$F$2:$F$25,0),FALSE)</f>
        <v>0.16404406564940091</v>
      </c>
      <c r="AD16" s="13">
        <f>HLOOKUP(REG_TRA_DEMANDS!AD$3,'BY-Demands'!$J$5:$AK$14,MATCH($E16,'BY-Demands'!$I$5:$I$14,0),FALSE)*HLOOKUP(REG_TRA_DEMANDS!$F16,DEMANDS!$H$2:$CO$25,MATCH($E16,DEMANDS!$F$2:$F$25,0),FALSE)/HLOOKUP(2018,DEMANDS!$H$2:$CO$25,MATCH($E16,DEMANDS!$F$2:$F$25,0),FALSE)</f>
        <v>0.1906801059725147</v>
      </c>
      <c r="AE16" s="13">
        <f>HLOOKUP(REG_TRA_DEMANDS!AE$3,'BY-Demands'!$J$5:$AK$14,MATCH($E16,'BY-Demands'!$I$5:$I$14,0),FALSE)*HLOOKUP(REG_TRA_DEMANDS!$F16,DEMANDS!$H$2:$CO$25,MATCH($E16,DEMANDS!$F$2:$F$25,0),FALSE)/HLOOKUP(2018,DEMANDS!$H$2:$CO$25,MATCH($E16,DEMANDS!$F$2:$F$25,0),FALSE)</f>
        <v>0.39848177155503733</v>
      </c>
      <c r="AF16" s="13">
        <f>HLOOKUP(REG_TRA_DEMANDS!AF$3,'BY-Demands'!$J$5:$AK$14,MATCH($E16,'BY-Demands'!$I$5:$I$14,0),FALSE)*HLOOKUP(REG_TRA_DEMANDS!$F16,DEMANDS!$H$2:$CO$25,MATCH($E16,DEMANDS!$F$2:$F$25,0),FALSE)/HLOOKUP(2018,DEMANDS!$H$2:$CO$25,MATCH($E16,DEMANDS!$F$2:$F$25,0),FALSE)</f>
        <v>0.15365848804385648</v>
      </c>
    </row>
    <row r="17" spans="4:32" ht="12.75">
      <c r="D17" s="3" t="s">
        <v>59</v>
      </c>
      <c r="E17" s="3" t="str">
        <f>DEMANDS!$F$20</f>
        <v>TRAF</v>
      </c>
      <c r="F17" s="3">
        <v>2020</v>
      </c>
      <c r="G17" s="13">
        <f>HLOOKUP(REG_TRA_DEMANDS!G$3,'BY-Demands'!$J$5:$AK$14,MATCH($E17,'BY-Demands'!$I$5:$I$14,0),FALSE)*HLOOKUP(REG_TRA_DEMANDS!$F17,DEMANDS!$H$2:$CO$25,MATCH($E17,DEMANDS!$F$2:$F$25,0),FALSE)/HLOOKUP(2018,DEMANDS!$H$2:$CO$25,MATCH($E17,DEMANDS!$F$2:$F$25,0),FALSE)</f>
        <v>0.17204890056295077</v>
      </c>
      <c r="H17" s="13">
        <f>HLOOKUP(REG_TRA_DEMANDS!H$3,'BY-Demands'!$J$5:$AK$14,MATCH($E17,'BY-Demands'!$I$5:$I$14,0),FALSE)*HLOOKUP(REG_TRA_DEMANDS!$F17,DEMANDS!$H$2:$CO$25,MATCH($E17,DEMANDS!$F$2:$F$25,0),FALSE)/HLOOKUP(2018,DEMANDS!$H$2:$CO$25,MATCH($E17,DEMANDS!$F$2:$F$25,0),FALSE)</f>
        <v>2.569687645211808</v>
      </c>
      <c r="I17" s="13">
        <f>HLOOKUP(REG_TRA_DEMANDS!I$3,'BY-Demands'!$J$5:$AK$14,MATCH($E17,'BY-Demands'!$I$5:$I$14,0),FALSE)*HLOOKUP(REG_TRA_DEMANDS!$F17,DEMANDS!$H$2:$CO$25,MATCH($E17,DEMANDS!$F$2:$F$25,0),FALSE)/HLOOKUP(2018,DEMANDS!$H$2:$CO$25,MATCH($E17,DEMANDS!$F$2:$F$25,0),FALSE)</f>
        <v>0.46631434625206813</v>
      </c>
      <c r="J17" s="13">
        <f>HLOOKUP(REG_TRA_DEMANDS!J$3,'BY-Demands'!$J$5:$AK$14,MATCH($E17,'BY-Demands'!$I$5:$I$14,0),FALSE)*HLOOKUP(REG_TRA_DEMANDS!$F17,DEMANDS!$H$2:$CO$25,MATCH($E17,DEMANDS!$F$2:$F$25,0),FALSE)/HLOOKUP(2018,DEMANDS!$H$2:$CO$25,MATCH($E17,DEMANDS!$F$2:$F$25,0),FALSE)</f>
        <v>0.29987979520590724</v>
      </c>
      <c r="K17" s="13">
        <f>HLOOKUP(REG_TRA_DEMANDS!K$3,'BY-Demands'!$J$5:$AK$14,MATCH($E17,'BY-Demands'!$I$5:$I$14,0),FALSE)*HLOOKUP(REG_TRA_DEMANDS!$F17,DEMANDS!$H$2:$CO$25,MATCH($E17,DEMANDS!$F$2:$F$25,0),FALSE)/HLOOKUP(2018,DEMANDS!$H$2:$CO$25,MATCH($E17,DEMANDS!$F$2:$F$25,0),FALSE)</f>
        <v>0.21358994392489267</v>
      </c>
      <c r="L17" s="13">
        <f>HLOOKUP(REG_TRA_DEMANDS!L$3,'BY-Demands'!$J$5:$AK$14,MATCH($E17,'BY-Demands'!$I$5:$I$14,0),FALSE)*HLOOKUP(REG_TRA_DEMANDS!$F17,DEMANDS!$H$2:$CO$25,MATCH($E17,DEMANDS!$F$2:$F$25,0),FALSE)/HLOOKUP(2018,DEMANDS!$H$2:$CO$25,MATCH($E17,DEMANDS!$F$2:$F$25,0),FALSE)</f>
        <v>0.10307403778223755</v>
      </c>
      <c r="M17" s="13">
        <f>HLOOKUP(REG_TRA_DEMANDS!M$3,'BY-Demands'!$J$5:$AK$14,MATCH($E17,'BY-Demands'!$I$5:$I$14,0),FALSE)*HLOOKUP(REG_TRA_DEMANDS!$F17,DEMANDS!$H$2:$CO$25,MATCH($E17,DEMANDS!$F$2:$F$25,0),FALSE)/HLOOKUP(2018,DEMANDS!$H$2:$CO$25,MATCH($E17,DEMANDS!$F$2:$F$25,0),FALSE)</f>
        <v>0.2701095629847175</v>
      </c>
      <c r="N17" s="13">
        <f>HLOOKUP(REG_TRA_DEMANDS!N$3,'BY-Demands'!$J$5:$AK$14,MATCH($E17,'BY-Demands'!$I$5:$I$14,0),FALSE)*HLOOKUP(REG_TRA_DEMANDS!$F17,DEMANDS!$H$2:$CO$25,MATCH($E17,DEMANDS!$F$2:$F$25,0),FALSE)/HLOOKUP(2018,DEMANDS!$H$2:$CO$25,MATCH($E17,DEMANDS!$F$2:$F$25,0),FALSE)</f>
        <v>0.41793830270136295</v>
      </c>
      <c r="O17" s="13">
        <f>HLOOKUP(REG_TRA_DEMANDS!O$3,'BY-Demands'!$J$5:$AK$14,MATCH($E17,'BY-Demands'!$I$5:$I$14,0),FALSE)*HLOOKUP(REG_TRA_DEMANDS!$F17,DEMANDS!$H$2:$CO$25,MATCH($E17,DEMANDS!$F$2:$F$25,0),FALSE)/HLOOKUP(2018,DEMANDS!$H$2:$CO$25,MATCH($E17,DEMANDS!$F$2:$F$25,0),FALSE)</f>
        <v>0.1966030156714941</v>
      </c>
      <c r="P17" s="13">
        <f>HLOOKUP(REG_TRA_DEMANDS!P$3,'BY-Demands'!$J$5:$AK$14,MATCH($E17,'BY-Demands'!$I$5:$I$14,0),FALSE)*HLOOKUP(REG_TRA_DEMANDS!$F17,DEMANDS!$H$2:$CO$25,MATCH($E17,DEMANDS!$F$2:$F$25,0),FALSE)/HLOOKUP(2018,DEMANDS!$H$2:$CO$25,MATCH($E17,DEMANDS!$F$2:$F$25,0),FALSE)</f>
        <v>0.22386128578595152</v>
      </c>
      <c r="Q17" s="13">
        <f>HLOOKUP(REG_TRA_DEMANDS!Q$3,'BY-Demands'!$J$5:$AK$14,MATCH($E17,'BY-Demands'!$I$5:$I$14,0),FALSE)*HLOOKUP(REG_TRA_DEMANDS!$F17,DEMANDS!$H$2:$CO$25,MATCH($E17,DEMANDS!$F$2:$F$25,0),FALSE)/HLOOKUP(2018,DEMANDS!$H$2:$CO$25,MATCH($E17,DEMANDS!$F$2:$F$25,0),FALSE)</f>
        <v>0.45246092689675516</v>
      </c>
      <c r="R17" s="13">
        <f>HLOOKUP(REG_TRA_DEMANDS!R$3,'BY-Demands'!$J$5:$AK$14,MATCH($E17,'BY-Demands'!$I$5:$I$14,0),FALSE)*HLOOKUP(REG_TRA_DEMANDS!$F17,DEMANDS!$H$2:$CO$25,MATCH($E17,DEMANDS!$F$2:$F$25,0),FALSE)/HLOOKUP(2018,DEMANDS!$H$2:$CO$25,MATCH($E17,DEMANDS!$F$2:$F$25,0),FALSE)</f>
        <v>0.29848821039150208</v>
      </c>
      <c r="S17" s="13">
        <f>HLOOKUP(REG_TRA_DEMANDS!S$3,'BY-Demands'!$J$5:$AK$14,MATCH($E17,'BY-Demands'!$I$5:$I$14,0),FALSE)*HLOOKUP(REG_TRA_DEMANDS!$F17,DEMANDS!$H$2:$CO$25,MATCH($E17,DEMANDS!$F$2:$F$25,0),FALSE)/HLOOKUP(2018,DEMANDS!$H$2:$CO$25,MATCH($E17,DEMANDS!$F$2:$F$25,0),FALSE)</f>
        <v>0.29372806967933029</v>
      </c>
      <c r="T17" s="13">
        <f>HLOOKUP(REG_TRA_DEMANDS!T$3,'BY-Demands'!$J$5:$AK$14,MATCH($E17,'BY-Demands'!$I$5:$I$14,0),FALSE)*HLOOKUP(REG_TRA_DEMANDS!$F17,DEMANDS!$H$2:$CO$25,MATCH($E17,DEMANDS!$F$2:$F$25,0),FALSE)/HLOOKUP(2018,DEMANDS!$H$2:$CO$25,MATCH($E17,DEMANDS!$F$2:$F$25,0),FALSE)</f>
        <v>1.5716055093233545</v>
      </c>
      <c r="U17" s="13">
        <f>HLOOKUP(REG_TRA_DEMANDS!U$3,'BY-Demands'!$J$5:$AK$14,MATCH($E17,'BY-Demands'!$I$5:$I$14,0),FALSE)*HLOOKUP(REG_TRA_DEMANDS!$F17,DEMANDS!$H$2:$CO$25,MATCH($E17,DEMANDS!$F$2:$F$25,0),FALSE)/HLOOKUP(2018,DEMANDS!$H$2:$CO$25,MATCH($E17,DEMANDS!$F$2:$F$25,0),FALSE)</f>
        <v>0.4276124858448539</v>
      </c>
      <c r="V17" s="13">
        <f>HLOOKUP(REG_TRA_DEMANDS!V$3,'BY-Demands'!$J$5:$AK$14,MATCH($E17,'BY-Demands'!$I$5:$I$14,0),FALSE)*HLOOKUP(REG_TRA_DEMANDS!$F17,DEMANDS!$H$2:$CO$25,MATCH($E17,DEMANDS!$F$2:$F$25,0),FALSE)/HLOOKUP(2018,DEMANDS!$H$2:$CO$25,MATCH($E17,DEMANDS!$F$2:$F$25,0),FALSE)</f>
        <v>0.48181074301179039</v>
      </c>
      <c r="W17" s="13">
        <f>HLOOKUP(REG_TRA_DEMANDS!W$3,'BY-Demands'!$J$5:$AK$14,MATCH($E17,'BY-Demands'!$I$5:$I$14,0),FALSE)*HLOOKUP(REG_TRA_DEMANDS!$F17,DEMANDS!$H$2:$CO$25,MATCH($E17,DEMANDS!$F$2:$F$25,0),FALSE)/HLOOKUP(2018,DEMANDS!$H$2:$CO$25,MATCH($E17,DEMANDS!$F$2:$F$25,0),FALSE)</f>
        <v>0.39443172863770537</v>
      </c>
      <c r="X17" s="13">
        <f>HLOOKUP(REG_TRA_DEMANDS!X$3,'BY-Demands'!$J$5:$AK$14,MATCH($E17,'BY-Demands'!$I$5:$I$14,0),FALSE)*HLOOKUP(REG_TRA_DEMANDS!$F17,DEMANDS!$H$2:$CO$25,MATCH($E17,DEMANDS!$F$2:$F$25,0),FALSE)/HLOOKUP(2018,DEMANDS!$H$2:$CO$25,MATCH($E17,DEMANDS!$F$2:$F$25,0),FALSE)</f>
        <v>0.36637376033202923</v>
      </c>
      <c r="Y17" s="13">
        <f>HLOOKUP(REG_TRA_DEMANDS!Y$3,'BY-Demands'!$J$5:$AK$14,MATCH($E17,'BY-Demands'!$I$5:$I$14,0),FALSE)*HLOOKUP(REG_TRA_DEMANDS!$F17,DEMANDS!$H$2:$CO$25,MATCH($E17,DEMANDS!$F$2:$F$25,0),FALSE)/HLOOKUP(2018,DEMANDS!$H$2:$CO$25,MATCH($E17,DEMANDS!$F$2:$F$25,0),FALSE)</f>
        <v>0.58502580441542917</v>
      </c>
      <c r="Z17" s="13">
        <f>HLOOKUP(REG_TRA_DEMANDS!Z$3,'BY-Demands'!$J$5:$AK$14,MATCH($E17,'BY-Demands'!$I$5:$I$14,0),FALSE)*HLOOKUP(REG_TRA_DEMANDS!$F17,DEMANDS!$H$2:$CO$25,MATCH($E17,DEMANDS!$F$2:$F$25,0),FALSE)/HLOOKUP(2018,DEMANDS!$H$2:$CO$25,MATCH($E17,DEMANDS!$F$2:$F$25,0),FALSE)</f>
        <v>0.07802149668403971</v>
      </c>
      <c r="AA17" s="13">
        <f>HLOOKUP(REG_TRA_DEMANDS!AA$3,'BY-Demands'!$J$5:$AK$14,MATCH($E17,'BY-Demands'!$I$5:$I$14,0),FALSE)*HLOOKUP(REG_TRA_DEMANDS!$F17,DEMANDS!$H$2:$CO$25,MATCH($E17,DEMANDS!$F$2:$F$25,0),FALSE)/HLOOKUP(2018,DEMANDS!$H$2:$CO$25,MATCH($E17,DEMANDS!$F$2:$F$25,0),FALSE)</f>
        <v>0.32949954987444952</v>
      </c>
      <c r="AB17" s="13">
        <f>HLOOKUP(REG_TRA_DEMANDS!AB$3,'BY-Demands'!$J$5:$AK$14,MATCH($E17,'BY-Demands'!$I$5:$I$14,0),FALSE)*HLOOKUP(REG_TRA_DEMANDS!$F17,DEMANDS!$H$2:$CO$25,MATCH($E17,DEMANDS!$F$2:$F$25,0),FALSE)/HLOOKUP(2018,DEMANDS!$H$2:$CO$25,MATCH($E17,DEMANDS!$F$2:$F$25,0),FALSE)</f>
        <v>0.14632332855477975</v>
      </c>
      <c r="AC17" s="13">
        <f>HLOOKUP(REG_TRA_DEMANDS!AC$3,'BY-Demands'!$J$5:$AK$14,MATCH($E17,'BY-Demands'!$I$5:$I$14,0),FALSE)*HLOOKUP(REG_TRA_DEMANDS!$F17,DEMANDS!$H$2:$CO$25,MATCH($E17,DEMANDS!$F$2:$F$25,0),FALSE)/HLOOKUP(2018,DEMANDS!$H$2:$CO$25,MATCH($E17,DEMANDS!$F$2:$F$25,0),FALSE)</f>
        <v>0.15956618353478186</v>
      </c>
      <c r="AD17" s="13">
        <f>HLOOKUP(REG_TRA_DEMANDS!AD$3,'BY-Demands'!$J$5:$AK$14,MATCH($E17,'BY-Demands'!$I$5:$I$14,0),FALSE)*HLOOKUP(REG_TRA_DEMANDS!$F17,DEMANDS!$H$2:$CO$25,MATCH($E17,DEMANDS!$F$2:$F$25,0),FALSE)/HLOOKUP(2018,DEMANDS!$H$2:$CO$25,MATCH($E17,DEMANDS!$F$2:$F$25,0),FALSE)</f>
        <v>0.18547514453262426</v>
      </c>
      <c r="AE17" s="13">
        <f>HLOOKUP(REG_TRA_DEMANDS!AE$3,'BY-Demands'!$J$5:$AK$14,MATCH($E17,'BY-Demands'!$I$5:$I$14,0),FALSE)*HLOOKUP(REG_TRA_DEMANDS!$F17,DEMANDS!$H$2:$CO$25,MATCH($E17,DEMANDS!$F$2:$F$25,0),FALSE)/HLOOKUP(2018,DEMANDS!$H$2:$CO$25,MATCH($E17,DEMANDS!$F$2:$F$25,0),FALSE)</f>
        <v>0.38760448446279</v>
      </c>
      <c r="AF17" s="13">
        <f>HLOOKUP(REG_TRA_DEMANDS!AF$3,'BY-Demands'!$J$5:$AK$14,MATCH($E17,'BY-Demands'!$I$5:$I$14,0),FALSE)*HLOOKUP(REG_TRA_DEMANDS!$F17,DEMANDS!$H$2:$CO$25,MATCH($E17,DEMANDS!$F$2:$F$25,0),FALSE)/HLOOKUP(2018,DEMANDS!$H$2:$CO$25,MATCH($E17,DEMANDS!$F$2:$F$25,0),FALSE)</f>
        <v>0.1494640992212731</v>
      </c>
    </row>
    <row r="18" spans="4:32" ht="12.75">
      <c r="D18" s="3" t="s">
        <v>59</v>
      </c>
      <c r="E18" s="3" t="str">
        <f>DEMANDS!$F$20</f>
        <v>TRAF</v>
      </c>
      <c r="F18" s="3">
        <v>2030</v>
      </c>
      <c r="G18" s="13">
        <f>HLOOKUP(REG_TRA_DEMANDS!G$3,'BY-Demands'!$J$5:$AK$14,MATCH($E18,'BY-Demands'!$I$5:$I$14,0),FALSE)*HLOOKUP(REG_TRA_DEMANDS!$F18,DEMANDS!$H$2:$CO$25,MATCH($E18,DEMANDS!$F$2:$F$25,0),FALSE)/HLOOKUP(2018,DEMANDS!$H$2:$CO$25,MATCH($E18,DEMANDS!$F$2:$F$25,0),FALSE)</f>
        <v>0.16707108405104074</v>
      </c>
      <c r="H18" s="13">
        <f>HLOOKUP(REG_TRA_DEMANDS!H$3,'BY-Demands'!$J$5:$AK$14,MATCH($E18,'BY-Demands'!$I$5:$I$14,0),FALSE)*HLOOKUP(REG_TRA_DEMANDS!$F18,DEMANDS!$H$2:$CO$25,MATCH($E18,DEMANDS!$F$2:$F$25,0),FALSE)/HLOOKUP(2018,DEMANDS!$H$2:$CO$25,MATCH($E18,DEMANDS!$F$2:$F$25,0),FALSE)</f>
        <v>2.4953399827220593</v>
      </c>
      <c r="I18" s="13">
        <f>HLOOKUP(REG_TRA_DEMANDS!I$3,'BY-Demands'!$J$5:$AK$14,MATCH($E18,'BY-Demands'!$I$5:$I$14,0),FALSE)*HLOOKUP(REG_TRA_DEMANDS!$F18,DEMANDS!$H$2:$CO$25,MATCH($E18,DEMANDS!$F$2:$F$25,0),FALSE)/HLOOKUP(2018,DEMANDS!$H$2:$CO$25,MATCH($E18,DEMANDS!$F$2:$F$25,0),FALSE)</f>
        <v>0.45282267472775767</v>
      </c>
      <c r="J18" s="13">
        <f>HLOOKUP(REG_TRA_DEMANDS!J$3,'BY-Demands'!$J$5:$AK$14,MATCH($E18,'BY-Demands'!$I$5:$I$14,0),FALSE)*HLOOKUP(REG_TRA_DEMANDS!$F18,DEMANDS!$H$2:$CO$25,MATCH($E18,DEMANDS!$F$2:$F$25,0),FALSE)/HLOOKUP(2018,DEMANDS!$H$2:$CO$25,MATCH($E18,DEMANDS!$F$2:$F$25,0),FALSE)</f>
        <v>0.2912035026444329</v>
      </c>
      <c r="K18" s="13">
        <f>HLOOKUP(REG_TRA_DEMANDS!K$3,'BY-Demands'!$J$5:$AK$14,MATCH($E18,'BY-Demands'!$I$5:$I$14,0),FALSE)*HLOOKUP(REG_TRA_DEMANDS!$F18,DEMANDS!$H$2:$CO$25,MATCH($E18,DEMANDS!$F$2:$F$25,0),FALSE)/HLOOKUP(2018,DEMANDS!$H$2:$CO$25,MATCH($E18,DEMANDS!$F$2:$F$25,0),FALSE)</f>
        <v>0.20741023835183528</v>
      </c>
      <c r="L18" s="13">
        <f>HLOOKUP(REG_TRA_DEMANDS!L$3,'BY-Demands'!$J$5:$AK$14,MATCH($E18,'BY-Demands'!$I$5:$I$14,0),FALSE)*HLOOKUP(REG_TRA_DEMANDS!$F18,DEMANDS!$H$2:$CO$25,MATCH($E18,DEMANDS!$F$2:$F$25,0),FALSE)/HLOOKUP(2018,DEMANDS!$H$2:$CO$25,MATCH($E18,DEMANDS!$F$2:$F$25,0),FALSE)</f>
        <v>0.10009184117683738</v>
      </c>
      <c r="M18" s="13">
        <f>HLOOKUP(REG_TRA_DEMANDS!M$3,'BY-Demands'!$J$5:$AK$14,MATCH($E18,'BY-Demands'!$I$5:$I$14,0),FALSE)*HLOOKUP(REG_TRA_DEMANDS!$F18,DEMANDS!$H$2:$CO$25,MATCH($E18,DEMANDS!$F$2:$F$25,0),FALSE)/HLOOKUP(2018,DEMANDS!$H$2:$CO$25,MATCH($E18,DEMANDS!$F$2:$F$25,0),FALSE)</f>
        <v>0.26229459969084762</v>
      </c>
      <c r="N18" s="13">
        <f>HLOOKUP(REG_TRA_DEMANDS!N$3,'BY-Demands'!$J$5:$AK$14,MATCH($E18,'BY-Demands'!$I$5:$I$14,0),FALSE)*HLOOKUP(REG_TRA_DEMANDS!$F18,DEMANDS!$H$2:$CO$25,MATCH($E18,DEMANDS!$F$2:$F$25,0),FALSE)/HLOOKUP(2018,DEMANDS!$H$2:$CO$25,MATCH($E18,DEMANDS!$F$2:$F$25,0),FALSE)</f>
        <v>0.40584627434582393</v>
      </c>
      <c r="O18" s="13">
        <f>HLOOKUP(REG_TRA_DEMANDS!O$3,'BY-Demands'!$J$5:$AK$14,MATCH($E18,'BY-Demands'!$I$5:$I$14,0),FALSE)*HLOOKUP(REG_TRA_DEMANDS!$F18,DEMANDS!$H$2:$CO$25,MATCH($E18,DEMANDS!$F$2:$F$25,0),FALSE)/HLOOKUP(2018,DEMANDS!$H$2:$CO$25,MATCH($E18,DEMANDS!$F$2:$F$25,0),FALSE)</f>
        <v>0.19091478555494767</v>
      </c>
      <c r="P18" s="13">
        <f>HLOOKUP(REG_TRA_DEMANDS!P$3,'BY-Demands'!$J$5:$AK$14,MATCH($E18,'BY-Demands'!$I$5:$I$14,0),FALSE)*HLOOKUP(REG_TRA_DEMANDS!$F18,DEMANDS!$H$2:$CO$25,MATCH($E18,DEMANDS!$F$2:$F$25,0),FALSE)/HLOOKUP(2018,DEMANDS!$H$2:$CO$25,MATCH($E18,DEMANDS!$F$2:$F$25,0),FALSE)</f>
        <v>0.21738440391622407</v>
      </c>
      <c r="Q18" s="13">
        <f>HLOOKUP(REG_TRA_DEMANDS!Q$3,'BY-Demands'!$J$5:$AK$14,MATCH($E18,'BY-Demands'!$I$5:$I$14,0),FALSE)*HLOOKUP(REG_TRA_DEMANDS!$F18,DEMANDS!$H$2:$CO$25,MATCH($E18,DEMANDS!$F$2:$F$25,0),FALSE)/HLOOKUP(2018,DEMANDS!$H$2:$CO$25,MATCH($E18,DEMANDS!$F$2:$F$25,0),FALSE)</f>
        <v>0.43937007036973708</v>
      </c>
      <c r="R18" s="13">
        <f>HLOOKUP(REG_TRA_DEMANDS!R$3,'BY-Demands'!$J$5:$AK$14,MATCH($E18,'BY-Demands'!$I$5:$I$14,0),FALSE)*HLOOKUP(REG_TRA_DEMANDS!$F18,DEMANDS!$H$2:$CO$25,MATCH($E18,DEMANDS!$F$2:$F$25,0),FALSE)/HLOOKUP(2018,DEMANDS!$H$2:$CO$25,MATCH($E18,DEMANDS!$F$2:$F$25,0),FALSE)</f>
        <v>0.28985217995227441</v>
      </c>
      <c r="S18" s="13">
        <f>HLOOKUP(REG_TRA_DEMANDS!S$3,'BY-Demands'!$J$5:$AK$14,MATCH($E18,'BY-Demands'!$I$5:$I$14,0),FALSE)*HLOOKUP(REG_TRA_DEMANDS!$F18,DEMANDS!$H$2:$CO$25,MATCH($E18,DEMANDS!$F$2:$F$25,0),FALSE)/HLOOKUP(2018,DEMANDS!$H$2:$CO$25,MATCH($E18,DEMANDS!$F$2:$F$25,0),FALSE)</f>
        <v>0.28522976233486541</v>
      </c>
      <c r="T18" s="13">
        <f>HLOOKUP(REG_TRA_DEMANDS!T$3,'BY-Demands'!$J$5:$AK$14,MATCH($E18,'BY-Demands'!$I$5:$I$14,0),FALSE)*HLOOKUP(REG_TRA_DEMANDS!$F18,DEMANDS!$H$2:$CO$25,MATCH($E18,DEMANDS!$F$2:$F$25,0),FALSE)/HLOOKUP(2018,DEMANDS!$H$2:$CO$25,MATCH($E18,DEMANDS!$F$2:$F$25,0),FALSE)</f>
        <v>1.5261349260826547</v>
      </c>
      <c r="U18" s="13">
        <f>HLOOKUP(REG_TRA_DEMANDS!U$3,'BY-Demands'!$J$5:$AK$14,MATCH($E18,'BY-Demands'!$I$5:$I$14,0),FALSE)*HLOOKUP(REG_TRA_DEMANDS!$F18,DEMANDS!$H$2:$CO$25,MATCH($E18,DEMANDS!$F$2:$F$25,0),FALSE)/HLOOKUP(2018,DEMANDS!$H$2:$CO$25,MATCH($E18,DEMANDS!$F$2:$F$25,0),FALSE)</f>
        <v>0.41524055852783748</v>
      </c>
      <c r="V18" s="13">
        <f>HLOOKUP(REG_TRA_DEMANDS!V$3,'BY-Demands'!$J$5:$AK$14,MATCH($E18,'BY-Demands'!$I$5:$I$14,0),FALSE)*HLOOKUP(REG_TRA_DEMANDS!$F18,DEMANDS!$H$2:$CO$25,MATCH($E18,DEMANDS!$F$2:$F$25,0),FALSE)/HLOOKUP(2018,DEMANDS!$H$2:$CO$25,MATCH($E18,DEMANDS!$F$2:$F$25,0),FALSE)</f>
        <v>0.46787072093474025</v>
      </c>
      <c r="W18" s="13">
        <f>HLOOKUP(REG_TRA_DEMANDS!W$3,'BY-Demands'!$J$5:$AK$14,MATCH($E18,'BY-Demands'!$I$5:$I$14,0),FALSE)*HLOOKUP(REG_TRA_DEMANDS!$F18,DEMANDS!$H$2:$CO$25,MATCH($E18,DEMANDS!$F$2:$F$25,0),FALSE)/HLOOKUP(2018,DEMANDS!$H$2:$CO$25,MATCH($E18,DEMANDS!$F$2:$F$25,0),FALSE)</f>
        <v>0.38301980583430678</v>
      </c>
      <c r="X18" s="13">
        <f>HLOOKUP(REG_TRA_DEMANDS!X$3,'BY-Demands'!$J$5:$AK$14,MATCH($E18,'BY-Demands'!$I$5:$I$14,0),FALSE)*HLOOKUP(REG_TRA_DEMANDS!$F18,DEMANDS!$H$2:$CO$25,MATCH($E18,DEMANDS!$F$2:$F$25,0),FALSE)/HLOOKUP(2018,DEMANDS!$H$2:$CO$25,MATCH($E18,DEMANDS!$F$2:$F$25,0),FALSE)</f>
        <v>0.35577362660409495</v>
      </c>
      <c r="Y18" s="13">
        <f>HLOOKUP(REG_TRA_DEMANDS!Y$3,'BY-Demands'!$J$5:$AK$14,MATCH($E18,'BY-Demands'!$I$5:$I$14,0),FALSE)*HLOOKUP(REG_TRA_DEMANDS!$F18,DEMANDS!$H$2:$CO$25,MATCH($E18,DEMANDS!$F$2:$F$25,0),FALSE)/HLOOKUP(2018,DEMANDS!$H$2:$CO$25,MATCH($E18,DEMANDS!$F$2:$F$25,0),FALSE)</f>
        <v>0.56809950555746558</v>
      </c>
      <c r="Z18" s="13">
        <f>HLOOKUP(REG_TRA_DEMANDS!Z$3,'BY-Demands'!$J$5:$AK$14,MATCH($E18,'BY-Demands'!$I$5:$I$14,0),FALSE)*HLOOKUP(REG_TRA_DEMANDS!$F18,DEMANDS!$H$2:$CO$25,MATCH($E18,DEMANDS!$F$2:$F$25,0),FALSE)/HLOOKUP(2018,DEMANDS!$H$2:$CO$25,MATCH($E18,DEMANDS!$F$2:$F$25,0),FALSE)</f>
        <v>0.075764134427105986</v>
      </c>
      <c r="AA18" s="13">
        <f>HLOOKUP(REG_TRA_DEMANDS!AA$3,'BY-Demands'!$J$5:$AK$14,MATCH($E18,'BY-Demands'!$I$5:$I$14,0),FALSE)*HLOOKUP(REG_TRA_DEMANDS!$F18,DEMANDS!$H$2:$CO$25,MATCH($E18,DEMANDS!$F$2:$F$25,0),FALSE)/HLOOKUP(2018,DEMANDS!$H$2:$CO$25,MATCH($E18,DEMANDS!$F$2:$F$25,0),FALSE)</f>
        <v>0.31996628174739261</v>
      </c>
      <c r="AB18" s="13">
        <f>HLOOKUP(REG_TRA_DEMANDS!AB$3,'BY-Demands'!$J$5:$AK$14,MATCH($E18,'BY-Demands'!$I$5:$I$14,0),FALSE)*HLOOKUP(REG_TRA_DEMANDS!$F18,DEMANDS!$H$2:$CO$25,MATCH($E18,DEMANDS!$F$2:$F$25,0),FALSE)/HLOOKUP(2018,DEMANDS!$H$2:$CO$25,MATCH($E18,DEMANDS!$F$2:$F$25,0),FALSE)</f>
        <v>0.14208981890389352</v>
      </c>
      <c r="AC18" s="13">
        <f>HLOOKUP(REG_TRA_DEMANDS!AC$3,'BY-Demands'!$J$5:$AK$14,MATCH($E18,'BY-Demands'!$I$5:$I$14,0),FALSE)*HLOOKUP(REG_TRA_DEMANDS!$F18,DEMANDS!$H$2:$CO$25,MATCH($E18,DEMANDS!$F$2:$F$25,0),FALSE)/HLOOKUP(2018,DEMANDS!$H$2:$CO$25,MATCH($E18,DEMANDS!$F$2:$F$25,0),FALSE)</f>
        <v>0.15494952408189985</v>
      </c>
      <c r="AD18" s="13">
        <f>HLOOKUP(REG_TRA_DEMANDS!AD$3,'BY-Demands'!$J$5:$AK$14,MATCH($E18,'BY-Demands'!$I$5:$I$14,0),FALSE)*HLOOKUP(REG_TRA_DEMANDS!$F18,DEMANDS!$H$2:$CO$25,MATCH($E18,DEMANDS!$F$2:$F$25,0),FALSE)/HLOOKUP(2018,DEMANDS!$H$2:$CO$25,MATCH($E18,DEMANDS!$F$2:$F$25,0),FALSE)</f>
        <v>0.18010887230430747</v>
      </c>
      <c r="AE18" s="13">
        <f>HLOOKUP(REG_TRA_DEMANDS!AE$3,'BY-Demands'!$J$5:$AK$14,MATCH($E18,'BY-Demands'!$I$5:$I$14,0),FALSE)*HLOOKUP(REG_TRA_DEMANDS!$F18,DEMANDS!$H$2:$CO$25,MATCH($E18,DEMANDS!$F$2:$F$25,0),FALSE)/HLOOKUP(2018,DEMANDS!$H$2:$CO$25,MATCH($E18,DEMANDS!$F$2:$F$25,0),FALSE)</f>
        <v>0.37639009136561752</v>
      </c>
      <c r="AF18" s="13">
        <f>HLOOKUP(REG_TRA_DEMANDS!AF$3,'BY-Demands'!$J$5:$AK$14,MATCH($E18,'BY-Demands'!$I$5:$I$14,0),FALSE)*HLOOKUP(REG_TRA_DEMANDS!$F18,DEMANDS!$H$2:$CO$25,MATCH($E18,DEMANDS!$F$2:$F$25,0),FALSE)/HLOOKUP(2018,DEMANDS!$H$2:$CO$25,MATCH($E18,DEMANDS!$F$2:$F$25,0),FALSE)</f>
        <v>0.14513971900956002</v>
      </c>
    </row>
    <row r="19" spans="4:32" ht="12.75">
      <c r="D19" s="3" t="s">
        <v>59</v>
      </c>
      <c r="E19" s="3" t="str">
        <f>DEMANDS!$F$20</f>
        <v>TRAF</v>
      </c>
      <c r="F19" s="3">
        <v>2050</v>
      </c>
      <c r="G19" s="13">
        <f>HLOOKUP(REG_TRA_DEMANDS!G$3,'BY-Demands'!$J$5:$AK$14,MATCH($E19,'BY-Demands'!$I$5:$I$14,0),FALSE)*HLOOKUP(REG_TRA_DEMANDS!$F19,DEMANDS!$H$2:$CO$25,MATCH($E19,DEMANDS!$F$2:$F$25,0),FALSE)/HLOOKUP(2018,DEMANDS!$H$2:$CO$25,MATCH($E19,DEMANDS!$F$2:$F$25,0),FALSE)</f>
        <v>0.15711545102722063</v>
      </c>
      <c r="H19" s="13">
        <f>HLOOKUP(REG_TRA_DEMANDS!H$3,'BY-Demands'!$J$5:$AK$14,MATCH($E19,'BY-Demands'!$I$5:$I$14,0),FALSE)*HLOOKUP(REG_TRA_DEMANDS!$F19,DEMANDS!$H$2:$CO$25,MATCH($E19,DEMANDS!$F$2:$F$25,0),FALSE)/HLOOKUP(2018,DEMANDS!$H$2:$CO$25,MATCH($E19,DEMANDS!$F$2:$F$25,0),FALSE)</f>
        <v>2.3466446577425621</v>
      </c>
      <c r="I19" s="13">
        <f>HLOOKUP(REG_TRA_DEMANDS!I$3,'BY-Demands'!$J$5:$AK$14,MATCH($E19,'BY-Demands'!$I$5:$I$14,0),FALSE)*HLOOKUP(REG_TRA_DEMANDS!$F19,DEMANDS!$H$2:$CO$25,MATCH($E19,DEMANDS!$F$2:$F$25,0),FALSE)/HLOOKUP(2018,DEMANDS!$H$2:$CO$25,MATCH($E19,DEMANDS!$F$2:$F$25,0),FALSE)</f>
        <v>0.42583933167913679</v>
      </c>
      <c r="J19" s="13">
        <f>HLOOKUP(REG_TRA_DEMANDS!J$3,'BY-Demands'!$J$5:$AK$14,MATCH($E19,'BY-Demands'!$I$5:$I$14,0),FALSE)*HLOOKUP(REG_TRA_DEMANDS!$F19,DEMANDS!$H$2:$CO$25,MATCH($E19,DEMANDS!$F$2:$F$25,0),FALSE)/HLOOKUP(2018,DEMANDS!$H$2:$CO$25,MATCH($E19,DEMANDS!$F$2:$F$25,0),FALSE)</f>
        <v>0.27385091752148422</v>
      </c>
      <c r="K19" s="13">
        <f>HLOOKUP(REG_TRA_DEMANDS!K$3,'BY-Demands'!$J$5:$AK$14,MATCH($E19,'BY-Demands'!$I$5:$I$14,0),FALSE)*HLOOKUP(REG_TRA_DEMANDS!$F19,DEMANDS!$H$2:$CO$25,MATCH($E19,DEMANDS!$F$2:$F$25,0),FALSE)/HLOOKUP(2018,DEMANDS!$H$2:$CO$25,MATCH($E19,DEMANDS!$F$2:$F$25,0),FALSE)</f>
        <v>0.19505082720572037</v>
      </c>
      <c r="L19" s="13">
        <f>HLOOKUP(REG_TRA_DEMANDS!L$3,'BY-Demands'!$J$5:$AK$14,MATCH($E19,'BY-Demands'!$I$5:$I$14,0),FALSE)*HLOOKUP(REG_TRA_DEMANDS!$F19,DEMANDS!$H$2:$CO$25,MATCH($E19,DEMANDS!$F$2:$F$25,0),FALSE)/HLOOKUP(2018,DEMANDS!$H$2:$CO$25,MATCH($E19,DEMANDS!$F$2:$F$25,0),FALSE)</f>
        <v>0.094127447966037059</v>
      </c>
      <c r="M19" s="13">
        <f>HLOOKUP(REG_TRA_DEMANDS!M$3,'BY-Demands'!$J$5:$AK$14,MATCH($E19,'BY-Demands'!$I$5:$I$14,0),FALSE)*HLOOKUP(REG_TRA_DEMANDS!$F19,DEMANDS!$H$2:$CO$25,MATCH($E19,DEMANDS!$F$2:$F$25,0),FALSE)/HLOOKUP(2018,DEMANDS!$H$2:$CO$25,MATCH($E19,DEMANDS!$F$2:$F$25,0),FALSE)</f>
        <v>0.24666467310310786</v>
      </c>
      <c r="N19" s="13">
        <f>HLOOKUP(REG_TRA_DEMANDS!N$3,'BY-Demands'!$J$5:$AK$14,MATCH($E19,'BY-Demands'!$I$5:$I$14,0),FALSE)*HLOOKUP(REG_TRA_DEMANDS!$F19,DEMANDS!$H$2:$CO$25,MATCH($E19,DEMANDS!$F$2:$F$25,0),FALSE)/HLOOKUP(2018,DEMANDS!$H$2:$CO$25,MATCH($E19,DEMANDS!$F$2:$F$25,0),FALSE)</f>
        <v>0.38166221763474606</v>
      </c>
      <c r="O19" s="13">
        <f>HLOOKUP(REG_TRA_DEMANDS!O$3,'BY-Demands'!$J$5:$AK$14,MATCH($E19,'BY-Demands'!$I$5:$I$14,0),FALSE)*HLOOKUP(REG_TRA_DEMANDS!$F19,DEMANDS!$H$2:$CO$25,MATCH($E19,DEMANDS!$F$2:$F$25,0),FALSE)/HLOOKUP(2018,DEMANDS!$H$2:$CO$25,MATCH($E19,DEMANDS!$F$2:$F$25,0),FALSE)</f>
        <v>0.1795383253218549</v>
      </c>
      <c r="P19" s="13">
        <f>HLOOKUP(REG_TRA_DEMANDS!P$3,'BY-Demands'!$J$5:$AK$14,MATCH($E19,'BY-Demands'!$I$5:$I$14,0),FALSE)*HLOOKUP(REG_TRA_DEMANDS!$F19,DEMANDS!$H$2:$CO$25,MATCH($E19,DEMANDS!$F$2:$F$25,0),FALSE)/HLOOKUP(2018,DEMANDS!$H$2:$CO$25,MATCH($E19,DEMANDS!$F$2:$F$25,0),FALSE)</f>
        <v>0.20443064017676907</v>
      </c>
      <c r="Q19" s="13">
        <f>HLOOKUP(REG_TRA_DEMANDS!Q$3,'BY-Demands'!$J$5:$AK$14,MATCH($E19,'BY-Demands'!$I$5:$I$14,0),FALSE)*HLOOKUP(REG_TRA_DEMANDS!$F19,DEMANDS!$H$2:$CO$25,MATCH($E19,DEMANDS!$F$2:$F$25,0),FALSE)/HLOOKUP(2018,DEMANDS!$H$2:$CO$25,MATCH($E19,DEMANDS!$F$2:$F$25,0),FALSE)</f>
        <v>0.41318835731570086</v>
      </c>
      <c r="R19" s="13">
        <f>HLOOKUP(REG_TRA_DEMANDS!R$3,'BY-Demands'!$J$5:$AK$14,MATCH($E19,'BY-Demands'!$I$5:$I$14,0),FALSE)*HLOOKUP(REG_TRA_DEMANDS!$F19,DEMANDS!$H$2:$CO$25,MATCH($E19,DEMANDS!$F$2:$F$25,0),FALSE)/HLOOKUP(2018,DEMANDS!$H$2:$CO$25,MATCH($E19,DEMANDS!$F$2:$F$25,0),FALSE)</f>
        <v>0.27258011907381902</v>
      </c>
      <c r="S19" s="13">
        <f>HLOOKUP(REG_TRA_DEMANDS!S$3,'BY-Demands'!$J$5:$AK$14,MATCH($E19,'BY-Demands'!$I$5:$I$14,0),FALSE)*HLOOKUP(REG_TRA_DEMANDS!$F19,DEMANDS!$H$2:$CO$25,MATCH($E19,DEMANDS!$F$2:$F$25,0),FALSE)/HLOOKUP(2018,DEMANDS!$H$2:$CO$25,MATCH($E19,DEMANDS!$F$2:$F$25,0),FALSE)</f>
        <v>0.26823314764593564</v>
      </c>
      <c r="T19" s="13">
        <f>HLOOKUP(REG_TRA_DEMANDS!T$3,'BY-Demands'!$J$5:$AK$14,MATCH($E19,'BY-Demands'!$I$5:$I$14,0),FALSE)*HLOOKUP(REG_TRA_DEMANDS!$F19,DEMANDS!$H$2:$CO$25,MATCH($E19,DEMANDS!$F$2:$F$25,0),FALSE)/HLOOKUP(2018,DEMANDS!$H$2:$CO$25,MATCH($E19,DEMANDS!$F$2:$F$25,0),FALSE)</f>
        <v>1.4351937596012545</v>
      </c>
      <c r="U19" s="13">
        <f>HLOOKUP(REG_TRA_DEMANDS!U$3,'BY-Demands'!$J$5:$AK$14,MATCH($E19,'BY-Demands'!$I$5:$I$14,0),FALSE)*HLOOKUP(REG_TRA_DEMANDS!$F19,DEMANDS!$H$2:$CO$25,MATCH($E19,DEMANDS!$F$2:$F$25,0),FALSE)/HLOOKUP(2018,DEMANDS!$H$2:$CO$25,MATCH($E19,DEMANDS!$F$2:$F$25,0),FALSE)</f>
        <v>0.39049670389380464</v>
      </c>
      <c r="V19" s="13">
        <f>HLOOKUP(REG_TRA_DEMANDS!V$3,'BY-Demands'!$J$5:$AK$14,MATCH($E19,'BY-Demands'!$I$5:$I$14,0),FALSE)*HLOOKUP(REG_TRA_DEMANDS!$F19,DEMANDS!$H$2:$CO$25,MATCH($E19,DEMANDS!$F$2:$F$25,0),FALSE)/HLOOKUP(2018,DEMANDS!$H$2:$CO$25,MATCH($E19,DEMANDS!$F$2:$F$25,0),FALSE)</f>
        <v>0.43999067678064002</v>
      </c>
      <c r="W19" s="13">
        <f>HLOOKUP(REG_TRA_DEMANDS!W$3,'BY-Demands'!$J$5:$AK$14,MATCH($E19,'BY-Demands'!$I$5:$I$14,0),FALSE)*HLOOKUP(REG_TRA_DEMANDS!$F19,DEMANDS!$H$2:$CO$25,MATCH($E19,DEMANDS!$F$2:$F$25,0),FALSE)/HLOOKUP(2018,DEMANDS!$H$2:$CO$25,MATCH($E19,DEMANDS!$F$2:$F$25,0),FALSE)</f>
        <v>0.3601959602275096</v>
      </c>
      <c r="X19" s="13">
        <f>HLOOKUP(REG_TRA_DEMANDS!X$3,'BY-Demands'!$J$5:$AK$14,MATCH($E19,'BY-Demands'!$I$5:$I$14,0),FALSE)*HLOOKUP(REG_TRA_DEMANDS!$F19,DEMANDS!$H$2:$CO$25,MATCH($E19,DEMANDS!$F$2:$F$25,0),FALSE)/HLOOKUP(2018,DEMANDS!$H$2:$CO$25,MATCH($E19,DEMANDS!$F$2:$F$25,0),FALSE)</f>
        <v>0.33457335914822633</v>
      </c>
      <c r="Y19" s="13">
        <f>HLOOKUP(REG_TRA_DEMANDS!Y$3,'BY-Demands'!$J$5:$AK$14,MATCH($E19,'BY-Demands'!$I$5:$I$14,0),FALSE)*HLOOKUP(REG_TRA_DEMANDS!$F19,DEMANDS!$H$2:$CO$25,MATCH($E19,DEMANDS!$F$2:$F$25,0),FALSE)/HLOOKUP(2018,DEMANDS!$H$2:$CO$25,MATCH($E19,DEMANDS!$F$2:$F$25,0),FALSE)</f>
        <v>0.53424690784153828</v>
      </c>
      <c r="Z19" s="13">
        <f>HLOOKUP(REG_TRA_DEMANDS!Z$3,'BY-Demands'!$J$5:$AK$14,MATCH($E19,'BY-Demands'!$I$5:$I$14,0),FALSE)*HLOOKUP(REG_TRA_DEMANDS!$F19,DEMANDS!$H$2:$CO$25,MATCH($E19,DEMANDS!$F$2:$F$25,0),FALSE)/HLOOKUP(2018,DEMANDS!$H$2:$CO$25,MATCH($E19,DEMANDS!$F$2:$F$25,0),FALSE)</f>
        <v>0.071249409913238554</v>
      </c>
      <c r="AA19" s="13">
        <f>HLOOKUP(REG_TRA_DEMANDS!AA$3,'BY-Demands'!$J$5:$AK$14,MATCH($E19,'BY-Demands'!$I$5:$I$14,0),FALSE)*HLOOKUP(REG_TRA_DEMANDS!$F19,DEMANDS!$H$2:$CO$25,MATCH($E19,DEMANDS!$F$2:$F$25,0),FALSE)/HLOOKUP(2018,DEMANDS!$H$2:$CO$25,MATCH($E19,DEMANDS!$F$2:$F$25,0),FALSE)</f>
        <v>0.3008997454932788</v>
      </c>
      <c r="AB19" s="13">
        <f>HLOOKUP(REG_TRA_DEMANDS!AB$3,'BY-Demands'!$J$5:$AK$14,MATCH($E19,'BY-Demands'!$I$5:$I$14,0),FALSE)*HLOOKUP(REG_TRA_DEMANDS!$F19,DEMANDS!$H$2:$CO$25,MATCH($E19,DEMANDS!$F$2:$F$25,0),FALSE)/HLOOKUP(2018,DEMANDS!$H$2:$CO$25,MATCH($E19,DEMANDS!$F$2:$F$25,0),FALSE)</f>
        <v>0.13362279960212101</v>
      </c>
      <c r="AC19" s="13">
        <f>HLOOKUP(REG_TRA_DEMANDS!AC$3,'BY-Demands'!$J$5:$AK$14,MATCH($E19,'BY-Demands'!$I$5:$I$14,0),FALSE)*HLOOKUP(REG_TRA_DEMANDS!$F19,DEMANDS!$H$2:$CO$25,MATCH($E19,DEMANDS!$F$2:$F$25,0),FALSE)/HLOOKUP(2018,DEMANDS!$H$2:$CO$25,MATCH($E19,DEMANDS!$F$2:$F$25,0),FALSE)</f>
        <v>0.14571620517613582</v>
      </c>
      <c r="AD19" s="13">
        <f>HLOOKUP(REG_TRA_DEMANDS!AD$3,'BY-Demands'!$J$5:$AK$14,MATCH($E19,'BY-Demands'!$I$5:$I$14,0),FALSE)*HLOOKUP(REG_TRA_DEMANDS!$F19,DEMANDS!$H$2:$CO$25,MATCH($E19,DEMANDS!$F$2:$F$25,0),FALSE)/HLOOKUP(2018,DEMANDS!$H$2:$CO$25,MATCH($E19,DEMANDS!$F$2:$F$25,0),FALSE)</f>
        <v>0.1693763278476739</v>
      </c>
      <c r="AE19" s="13">
        <f>HLOOKUP(REG_TRA_DEMANDS!AE$3,'BY-Demands'!$J$5:$AK$14,MATCH($E19,'BY-Demands'!$I$5:$I$14,0),FALSE)*HLOOKUP(REG_TRA_DEMANDS!$F19,DEMANDS!$H$2:$CO$25,MATCH($E19,DEMANDS!$F$2:$F$25,0),FALSE)/HLOOKUP(2018,DEMANDS!$H$2:$CO$25,MATCH($E19,DEMANDS!$F$2:$F$25,0),FALSE)</f>
        <v>0.35396130517127278</v>
      </c>
      <c r="AF19" s="13">
        <f>HLOOKUP(REG_TRA_DEMANDS!AF$3,'BY-Demands'!$J$5:$AK$14,MATCH($E19,'BY-Demands'!$I$5:$I$14,0),FALSE)*HLOOKUP(REG_TRA_DEMANDS!$F19,DEMANDS!$H$2:$CO$25,MATCH($E19,DEMANDS!$F$2:$F$25,0),FALSE)/HLOOKUP(2018,DEMANDS!$H$2:$CO$25,MATCH($E19,DEMANDS!$F$2:$F$25,0),FALSE)</f>
        <v>0.13649095858613386</v>
      </c>
    </row>
    <row r="20" spans="4:32" ht="12.75">
      <c r="D20" s="3" t="s">
        <v>59</v>
      </c>
      <c r="E20" s="3" t="str">
        <f t="array" ref="E20:E23">DEMANDS!$F$21</f>
        <v>TTURS</v>
      </c>
      <c r="F20" s="3">
        <v>2019</v>
      </c>
      <c r="G20" s="13">
        <f>HLOOKUP(REG_TRA_DEMANDS!G$3,'BY-Demands'!$J$5:$AK$14,MATCH($E20,'BY-Demands'!$I$5:$I$14,0),FALSE)*HLOOKUP(REG_TRA_DEMANDS!$F20,DEMANDS!$H$2:$CO$25,MATCH($E20,DEMANDS!$F$2:$F$25,0),FALSE)/HLOOKUP(2018,DEMANDS!$H$2:$CO$25,MATCH($E20,DEMANDS!$F$2:$F$25,0),FALSE)</f>
        <v>0.12287179850237255</v>
      </c>
      <c r="H20" s="13">
        <f>HLOOKUP(REG_TRA_DEMANDS!H$3,'BY-Demands'!$J$5:$AK$14,MATCH($E20,'BY-Demands'!$I$5:$I$14,0),FALSE)*HLOOKUP(REG_TRA_DEMANDS!$F20,DEMANDS!$H$2:$CO$25,MATCH($E20,DEMANDS!$F$2:$F$25,0),FALSE)/HLOOKUP(2018,DEMANDS!$H$2:$CO$25,MATCH($E20,DEMANDS!$F$2:$F$25,0),FALSE)</f>
        <v>2.9078975542464454</v>
      </c>
      <c r="I20" s="13">
        <f>HLOOKUP(REG_TRA_DEMANDS!I$3,'BY-Demands'!$J$5:$AK$14,MATCH($E20,'BY-Demands'!$I$5:$I$14,0),FALSE)*HLOOKUP(REG_TRA_DEMANDS!$F20,DEMANDS!$H$2:$CO$25,MATCH($E20,DEMANDS!$F$2:$F$25,0),FALSE)/HLOOKUP(2018,DEMANDS!$H$2:$CO$25,MATCH($E20,DEMANDS!$F$2:$F$25,0),FALSE)</f>
        <v>0.48021265112716749</v>
      </c>
      <c r="J20" s="13">
        <f>HLOOKUP(REG_TRA_DEMANDS!J$3,'BY-Demands'!$J$5:$AK$14,MATCH($E20,'BY-Demands'!$I$5:$I$14,0),FALSE)*HLOOKUP(REG_TRA_DEMANDS!$F20,DEMANDS!$H$2:$CO$25,MATCH($E20,DEMANDS!$F$2:$F$25,0),FALSE)/HLOOKUP(2018,DEMANDS!$H$2:$CO$25,MATCH($E20,DEMANDS!$F$2:$F$25,0),FALSE)</f>
        <v>0.21416451747676932</v>
      </c>
      <c r="K20" s="13">
        <f>HLOOKUP(REG_TRA_DEMANDS!K$3,'BY-Demands'!$J$5:$AK$14,MATCH($E20,'BY-Demands'!$I$5:$I$14,0),FALSE)*HLOOKUP(REG_TRA_DEMANDS!$F20,DEMANDS!$H$2:$CO$25,MATCH($E20,DEMANDS!$F$2:$F$25,0),FALSE)/HLOOKUP(2018,DEMANDS!$H$2:$CO$25,MATCH($E20,DEMANDS!$F$2:$F$25,0),FALSE)</f>
        <v>0.18279478531854559</v>
      </c>
      <c r="L20" s="13">
        <f>HLOOKUP(REG_TRA_DEMANDS!L$3,'BY-Demands'!$J$5:$AK$14,MATCH($E20,'BY-Demands'!$I$5:$I$14,0),FALSE)*HLOOKUP(REG_TRA_DEMANDS!$F20,DEMANDS!$H$2:$CO$25,MATCH($E20,DEMANDS!$F$2:$F$25,0),FALSE)/HLOOKUP(2018,DEMANDS!$H$2:$CO$25,MATCH($E20,DEMANDS!$F$2:$F$25,0),FALSE)</f>
        <v>0.088212938596702567</v>
      </c>
      <c r="M20" s="13">
        <f>HLOOKUP(REG_TRA_DEMANDS!M$3,'BY-Demands'!$J$5:$AK$14,MATCH($E20,'BY-Demands'!$I$5:$I$14,0),FALSE)*HLOOKUP(REG_TRA_DEMANDS!$F20,DEMANDS!$H$2:$CO$25,MATCH($E20,DEMANDS!$F$2:$F$25,0),FALSE)/HLOOKUP(2018,DEMANDS!$H$2:$CO$25,MATCH($E20,DEMANDS!$F$2:$F$25,0),FALSE)</f>
        <v>0.27816006601172932</v>
      </c>
      <c r="N20" s="13">
        <f>HLOOKUP(REG_TRA_DEMANDS!N$3,'BY-Demands'!$J$5:$AK$14,MATCH($E20,'BY-Demands'!$I$5:$I$14,0),FALSE)*HLOOKUP(REG_TRA_DEMANDS!$F20,DEMANDS!$H$2:$CO$25,MATCH($E20,DEMANDS!$F$2:$F$25,0),FALSE)/HLOOKUP(2018,DEMANDS!$H$2:$CO$25,MATCH($E20,DEMANDS!$F$2:$F$25,0),FALSE)</f>
        <v>0.42094792150454519</v>
      </c>
      <c r="O20" s="13">
        <f>HLOOKUP(REG_TRA_DEMANDS!O$3,'BY-Demands'!$J$5:$AK$14,MATCH($E20,'BY-Demands'!$I$5:$I$14,0),FALSE)*HLOOKUP(REG_TRA_DEMANDS!$F20,DEMANDS!$H$2:$CO$25,MATCH($E20,DEMANDS!$F$2:$F$25,0),FALSE)/HLOOKUP(2018,DEMANDS!$H$2:$CO$25,MATCH($E20,DEMANDS!$F$2:$F$25,0),FALSE)</f>
        <v>0.16825701333245757</v>
      </c>
      <c r="P20" s="13">
        <f>HLOOKUP(REG_TRA_DEMANDS!P$3,'BY-Demands'!$J$5:$AK$14,MATCH($E20,'BY-Demands'!$I$5:$I$14,0),FALSE)*HLOOKUP(REG_TRA_DEMANDS!$F20,DEMANDS!$H$2:$CO$25,MATCH($E20,DEMANDS!$F$2:$F$25,0),FALSE)/HLOOKUP(2018,DEMANDS!$H$2:$CO$25,MATCH($E20,DEMANDS!$F$2:$F$25,0),FALSE)</f>
        <v>0.19158521662782996</v>
      </c>
      <c r="Q20" s="13">
        <f>HLOOKUP(REG_TRA_DEMANDS!Q$3,'BY-Demands'!$J$5:$AK$14,MATCH($E20,'BY-Demands'!$I$5:$I$14,0),FALSE)*HLOOKUP(REG_TRA_DEMANDS!$F20,DEMANDS!$H$2:$CO$25,MATCH($E20,DEMANDS!$F$2:$F$25,0),FALSE)/HLOOKUP(2018,DEMANDS!$H$2:$CO$25,MATCH($E20,DEMANDS!$F$2:$F$25,0),FALSE)</f>
        <v>0.32313306076323023</v>
      </c>
      <c r="R20" s="13">
        <f>HLOOKUP(REG_TRA_DEMANDS!R$3,'BY-Demands'!$J$5:$AK$14,MATCH($E20,'BY-Demands'!$I$5:$I$14,0),FALSE)*HLOOKUP(REG_TRA_DEMANDS!$F20,DEMANDS!$H$2:$CO$25,MATCH($E20,DEMANDS!$F$2:$F$25,0),FALSE)/HLOOKUP(2018,DEMANDS!$H$2:$CO$25,MATCH($E20,DEMANDS!$F$2:$F$25,0),FALSE)</f>
        <v>0.30738452718507042</v>
      </c>
      <c r="S20" s="13">
        <f>HLOOKUP(REG_TRA_DEMANDS!S$3,'BY-Demands'!$J$5:$AK$14,MATCH($E20,'BY-Demands'!$I$5:$I$14,0),FALSE)*HLOOKUP(REG_TRA_DEMANDS!$F20,DEMANDS!$H$2:$CO$25,MATCH($E20,DEMANDS!$F$2:$F$25,0),FALSE)/HLOOKUP(2018,DEMANDS!$H$2:$CO$25,MATCH($E20,DEMANDS!$F$2:$F$25,0),FALSE)</f>
        <v>0.25643326218394574</v>
      </c>
      <c r="T20" s="13">
        <f>HLOOKUP(REG_TRA_DEMANDS!T$3,'BY-Demands'!$J$5:$AK$14,MATCH($E20,'BY-Demands'!$I$5:$I$14,0),FALSE)*HLOOKUP(REG_TRA_DEMANDS!$F20,DEMANDS!$H$2:$CO$25,MATCH($E20,DEMANDS!$F$2:$F$25,0),FALSE)/HLOOKUP(2018,DEMANDS!$H$2:$CO$25,MATCH($E20,DEMANDS!$F$2:$F$25,0),FALSE)</f>
        <v>1.17162874147028</v>
      </c>
      <c r="U20" s="13">
        <f>HLOOKUP(REG_TRA_DEMANDS!U$3,'BY-Demands'!$J$5:$AK$14,MATCH($E20,'BY-Demands'!$I$5:$I$14,0),FALSE)*HLOOKUP(REG_TRA_DEMANDS!$F20,DEMANDS!$H$2:$CO$25,MATCH($E20,DEMANDS!$F$2:$F$25,0),FALSE)/HLOOKUP(2018,DEMANDS!$H$2:$CO$25,MATCH($E20,DEMANDS!$F$2:$F$25,0),FALSE)</f>
        <v>0.31878424684518286</v>
      </c>
      <c r="V20" s="13">
        <f>HLOOKUP(REG_TRA_DEMANDS!V$3,'BY-Demands'!$J$5:$AK$14,MATCH($E20,'BY-Demands'!$I$5:$I$14,0),FALSE)*HLOOKUP(REG_TRA_DEMANDS!$F20,DEMANDS!$H$2:$CO$25,MATCH($E20,DEMANDS!$F$2:$F$25,0),FALSE)/HLOOKUP(2018,DEMANDS!$H$2:$CO$25,MATCH($E20,DEMANDS!$F$2:$F$25,0),FALSE)</f>
        <v>0.42063497956007007</v>
      </c>
      <c r="W20" s="13">
        <f>HLOOKUP(REG_TRA_DEMANDS!W$3,'BY-Demands'!$J$5:$AK$14,MATCH($E20,'BY-Demands'!$I$5:$I$14,0),FALSE)*HLOOKUP(REG_TRA_DEMANDS!$F20,DEMANDS!$H$2:$CO$25,MATCH($E20,DEMANDS!$F$2:$F$25,0),FALSE)/HLOOKUP(2018,DEMANDS!$H$2:$CO$25,MATCH($E20,DEMANDS!$F$2:$F$25,0),FALSE)</f>
        <v>0.34435052459862753</v>
      </c>
      <c r="X20" s="13">
        <f>HLOOKUP(REG_TRA_DEMANDS!X$3,'BY-Demands'!$J$5:$AK$14,MATCH($E20,'BY-Demands'!$I$5:$I$14,0),FALSE)*HLOOKUP(REG_TRA_DEMANDS!$F20,DEMANDS!$H$2:$CO$25,MATCH($E20,DEMANDS!$F$2:$F$25,0),FALSE)/HLOOKUP(2018,DEMANDS!$H$2:$CO$25,MATCH($E20,DEMANDS!$F$2:$F$25,0),FALSE)</f>
        <v>0.25073340235388952</v>
      </c>
      <c r="Y20" s="13">
        <f>HLOOKUP(REG_TRA_DEMANDS!Y$3,'BY-Demands'!$J$5:$AK$14,MATCH($E20,'BY-Demands'!$I$5:$I$14,0),FALSE)*HLOOKUP(REG_TRA_DEMANDS!$F20,DEMANDS!$H$2:$CO$25,MATCH($E20,DEMANDS!$F$2:$F$25,0),FALSE)/HLOOKUP(2018,DEMANDS!$H$2:$CO$25,MATCH($E20,DEMANDS!$F$2:$F$25,0),FALSE)</f>
        <v>0.55694601591240911</v>
      </c>
      <c r="Z20" s="13">
        <f>HLOOKUP(REG_TRA_DEMANDS!Z$3,'BY-Demands'!$J$5:$AK$14,MATCH($E20,'BY-Demands'!$I$5:$I$14,0),FALSE)*HLOOKUP(REG_TRA_DEMANDS!$F20,DEMANDS!$H$2:$CO$25,MATCH($E20,DEMANDS!$F$2:$F$25,0),FALSE)/HLOOKUP(2018,DEMANDS!$H$2:$CO$25,MATCH($E20,DEMANDS!$F$2:$F$25,0),FALSE)</f>
        <v>0.069158011508642273</v>
      </c>
      <c r="AA20" s="13">
        <f>HLOOKUP(REG_TRA_DEMANDS!AA$3,'BY-Demands'!$J$5:$AK$14,MATCH($E20,'BY-Demands'!$I$5:$I$14,0),FALSE)*HLOOKUP(REG_TRA_DEMANDS!$F20,DEMANDS!$H$2:$CO$25,MATCH($E20,DEMANDS!$F$2:$F$25,0),FALSE)/HLOOKUP(2018,DEMANDS!$H$2:$CO$25,MATCH($E20,DEMANDS!$F$2:$F$25,0),FALSE)</f>
        <v>0.28166285756954085</v>
      </c>
      <c r="AB20" s="13">
        <f>HLOOKUP(REG_TRA_DEMANDS!AB$3,'BY-Demands'!$J$5:$AK$14,MATCH($E20,'BY-Demands'!$I$5:$I$14,0),FALSE)*HLOOKUP(REG_TRA_DEMANDS!$F20,DEMANDS!$H$2:$CO$25,MATCH($E20,DEMANDS!$F$2:$F$25,0),FALSE)/HLOOKUP(2018,DEMANDS!$H$2:$CO$25,MATCH($E20,DEMANDS!$F$2:$F$25,0),FALSE)</f>
        <v>0.13930017147715087</v>
      </c>
      <c r="AC20" s="13">
        <f>HLOOKUP(REG_TRA_DEMANDS!AC$3,'BY-Demands'!$J$5:$AK$14,MATCH($E20,'BY-Demands'!$I$5:$I$14,0),FALSE)*HLOOKUP(REG_TRA_DEMANDS!$F20,DEMANDS!$H$2:$CO$25,MATCH($E20,DEMANDS!$F$2:$F$25,0),FALSE)/HLOOKUP(2018,DEMANDS!$H$2:$CO$25,MATCH($E20,DEMANDS!$F$2:$F$25,0),FALSE)</f>
        <v>0.14143896780111362</v>
      </c>
      <c r="AD20" s="13">
        <f>HLOOKUP(REG_TRA_DEMANDS!AD$3,'BY-Demands'!$J$5:$AK$14,MATCH($E20,'BY-Demands'!$I$5:$I$14,0),FALSE)*HLOOKUP(REG_TRA_DEMANDS!$F20,DEMANDS!$H$2:$CO$25,MATCH($E20,DEMANDS!$F$2:$F$25,0),FALSE)/HLOOKUP(2018,DEMANDS!$H$2:$CO$25,MATCH($E20,DEMANDS!$F$2:$F$25,0),FALSE)</f>
        <v>0.1644045900849567</v>
      </c>
      <c r="AE20" s="13">
        <f>HLOOKUP(REG_TRA_DEMANDS!AE$3,'BY-Demands'!$J$5:$AK$14,MATCH($E20,'BY-Demands'!$I$5:$I$14,0),FALSE)*HLOOKUP(REG_TRA_DEMANDS!$F20,DEMANDS!$H$2:$CO$25,MATCH($E20,DEMANDS!$F$2:$F$25,0),FALSE)/HLOOKUP(2018,DEMANDS!$H$2:$CO$25,MATCH($E20,DEMANDS!$F$2:$F$25,0),FALSE)</f>
        <v>0.34357140706790018</v>
      </c>
      <c r="AF20" s="13">
        <f>HLOOKUP(REG_TRA_DEMANDS!AF$3,'BY-Demands'!$J$5:$AK$14,MATCH($E20,'BY-Demands'!$I$5:$I$14,0),FALSE)*HLOOKUP(REG_TRA_DEMANDS!$F20,DEMANDS!$H$2:$CO$25,MATCH($E20,DEMANDS!$F$2:$F$25,0),FALSE)/HLOOKUP(2018,DEMANDS!$H$2:$CO$25,MATCH($E20,DEMANDS!$F$2:$F$25,0),FALSE)</f>
        <v>0.13248451174851819</v>
      </c>
    </row>
    <row r="21" spans="4:32" ht="12.75">
      <c r="D21" s="3" t="s">
        <v>59</v>
      </c>
      <c r="E21" s="3" t="str">
        <v>TTURS</v>
      </c>
      <c r="F21" s="3">
        <v>2020</v>
      </c>
      <c r="G21" s="13">
        <f>HLOOKUP(REG_TRA_DEMANDS!G$3,'BY-Demands'!$J$5:$AK$14,MATCH($E21,'BY-Demands'!$I$5:$I$14,0),FALSE)*HLOOKUP(REG_TRA_DEMANDS!$F21,DEMANDS!$H$2:$CO$25,MATCH($E21,DEMANDS!$F$2:$F$25,0),FALSE)/HLOOKUP(2018,DEMANDS!$H$2:$CO$25,MATCH($E21,DEMANDS!$F$2:$F$25,0),FALSE)</f>
        <v>0.040298189842888223</v>
      </c>
      <c r="H21" s="13">
        <f>HLOOKUP(REG_TRA_DEMANDS!H$3,'BY-Demands'!$J$5:$AK$14,MATCH($E21,'BY-Demands'!$I$5:$I$14,0),FALSE)*HLOOKUP(REG_TRA_DEMANDS!$F21,DEMANDS!$H$2:$CO$25,MATCH($E21,DEMANDS!$F$2:$F$25,0),FALSE)/HLOOKUP(2018,DEMANDS!$H$2:$CO$25,MATCH($E21,DEMANDS!$F$2:$F$25,0),FALSE)</f>
        <v>0.953701411658192</v>
      </c>
      <c r="I21" s="13">
        <f>HLOOKUP(REG_TRA_DEMANDS!I$3,'BY-Demands'!$J$5:$AK$14,MATCH($E21,'BY-Demands'!$I$5:$I$14,0),FALSE)*HLOOKUP(REG_TRA_DEMANDS!$F21,DEMANDS!$H$2:$CO$25,MATCH($E21,DEMANDS!$F$2:$F$25,0),FALSE)/HLOOKUP(2018,DEMANDS!$H$2:$CO$25,MATCH($E21,DEMANDS!$F$2:$F$25,0),FALSE)</f>
        <v>0.1574950543244924</v>
      </c>
      <c r="J21" s="13">
        <f>HLOOKUP(REG_TRA_DEMANDS!J$3,'BY-Demands'!$J$5:$AK$14,MATCH($E21,'BY-Demands'!$I$5:$I$14,0),FALSE)*HLOOKUP(REG_TRA_DEMANDS!$F21,DEMANDS!$H$2:$CO$25,MATCH($E21,DEMANDS!$F$2:$F$25,0),FALSE)/HLOOKUP(2018,DEMANDS!$H$2:$CO$25,MATCH($E21,DEMANDS!$F$2:$F$25,0),FALSE)</f>
        <v>0.070239407968971462</v>
      </c>
      <c r="K21" s="13">
        <f>HLOOKUP(REG_TRA_DEMANDS!K$3,'BY-Demands'!$J$5:$AK$14,MATCH($E21,'BY-Demands'!$I$5:$I$14,0),FALSE)*HLOOKUP(REG_TRA_DEMANDS!$F21,DEMANDS!$H$2:$CO$25,MATCH($E21,DEMANDS!$F$2:$F$25,0),FALSE)/HLOOKUP(2018,DEMANDS!$H$2:$CO$25,MATCH($E21,DEMANDS!$F$2:$F$25,0),FALSE)</f>
        <v>0.059951095783093877</v>
      </c>
      <c r="L21" s="13">
        <f>HLOOKUP(REG_TRA_DEMANDS!L$3,'BY-Demands'!$J$5:$AK$14,MATCH($E21,'BY-Demands'!$I$5:$I$14,0),FALSE)*HLOOKUP(REG_TRA_DEMANDS!$F21,DEMANDS!$H$2:$CO$25,MATCH($E21,DEMANDS!$F$2:$F$25,0),FALSE)/HLOOKUP(2018,DEMANDS!$H$2:$CO$25,MATCH($E21,DEMANDS!$F$2:$F$25,0),FALSE)</f>
        <v>0.028931144408212772</v>
      </c>
      <c r="M21" s="13">
        <f>HLOOKUP(REG_TRA_DEMANDS!M$3,'BY-Demands'!$J$5:$AK$14,MATCH($E21,'BY-Demands'!$I$5:$I$14,0),FALSE)*HLOOKUP(REG_TRA_DEMANDS!$F21,DEMANDS!$H$2:$CO$25,MATCH($E21,DEMANDS!$F$2:$F$25,0),FALSE)/HLOOKUP(2018,DEMANDS!$H$2:$CO$25,MATCH($E21,DEMANDS!$F$2:$F$25,0),FALSE)</f>
        <v>0.091227989526291062</v>
      </c>
      <c r="N21" s="13">
        <f>HLOOKUP(REG_TRA_DEMANDS!N$3,'BY-Demands'!$J$5:$AK$14,MATCH($E21,'BY-Demands'!$I$5:$I$14,0),FALSE)*HLOOKUP(REG_TRA_DEMANDS!$F21,DEMANDS!$H$2:$CO$25,MATCH($E21,DEMANDS!$F$2:$F$25,0),FALSE)/HLOOKUP(2018,DEMANDS!$H$2:$CO$25,MATCH($E21,DEMANDS!$F$2:$F$25,0),FALSE)</f>
        <v>0.1380580366000895</v>
      </c>
      <c r="O21" s="13">
        <f>HLOOKUP(REG_TRA_DEMANDS!O$3,'BY-Demands'!$J$5:$AK$14,MATCH($E21,'BY-Demands'!$I$5:$I$14,0),FALSE)*HLOOKUP(REG_TRA_DEMANDS!$F21,DEMANDS!$H$2:$CO$25,MATCH($E21,DEMANDS!$F$2:$F$25,0),FALSE)/HLOOKUP(2018,DEMANDS!$H$2:$CO$25,MATCH($E21,DEMANDS!$F$2:$F$25,0),FALSE)</f>
        <v>0.055183151449824552</v>
      </c>
      <c r="P21" s="13">
        <f>HLOOKUP(REG_TRA_DEMANDS!P$3,'BY-Demands'!$J$5:$AK$14,MATCH($E21,'BY-Demands'!$I$5:$I$14,0),FALSE)*HLOOKUP(REG_TRA_DEMANDS!$F21,DEMANDS!$H$2:$CO$25,MATCH($E21,DEMANDS!$F$2:$F$25,0),FALSE)/HLOOKUP(2018,DEMANDS!$H$2:$CO$25,MATCH($E21,DEMANDS!$F$2:$F$25,0),FALSE)</f>
        <v>0.062834088251830053</v>
      </c>
      <c r="Q21" s="13">
        <f>HLOOKUP(REG_TRA_DEMANDS!Q$3,'BY-Demands'!$J$5:$AK$14,MATCH($E21,'BY-Demands'!$I$5:$I$14,0),FALSE)*HLOOKUP(REG_TRA_DEMANDS!$F21,DEMANDS!$H$2:$CO$25,MATCH($E21,DEMANDS!$F$2:$F$25,0),FALSE)/HLOOKUP(2018,DEMANDS!$H$2:$CO$25,MATCH($E21,DEMANDS!$F$2:$F$25,0),FALSE)</f>
        <v>0.10597775556201978</v>
      </c>
      <c r="R21" s="13">
        <f>HLOOKUP(REG_TRA_DEMANDS!R$3,'BY-Demands'!$J$5:$AK$14,MATCH($E21,'BY-Demands'!$I$5:$I$14,0),FALSE)*HLOOKUP(REG_TRA_DEMANDS!$F21,DEMANDS!$H$2:$CO$25,MATCH($E21,DEMANDS!$F$2:$F$25,0),FALSE)/HLOOKUP(2018,DEMANDS!$H$2:$CO$25,MATCH($E21,DEMANDS!$F$2:$F$25,0),FALSE)</f>
        <v>0.10081271847771658</v>
      </c>
      <c r="S21" s="13">
        <f>HLOOKUP(REG_TRA_DEMANDS!S$3,'BY-Demands'!$J$5:$AK$14,MATCH($E21,'BY-Demands'!$I$5:$I$14,0),FALSE)*HLOOKUP(REG_TRA_DEMANDS!$F21,DEMANDS!$H$2:$CO$25,MATCH($E21,DEMANDS!$F$2:$F$25,0),FALSE)/HLOOKUP(2018,DEMANDS!$H$2:$CO$25,MATCH($E21,DEMANDS!$F$2:$F$25,0),FALSE)</f>
        <v>0.084102262744369605</v>
      </c>
      <c r="T21" s="13">
        <f>HLOOKUP(REG_TRA_DEMANDS!T$3,'BY-Demands'!$J$5:$AK$14,MATCH($E21,'BY-Demands'!$I$5:$I$14,0),FALSE)*HLOOKUP(REG_TRA_DEMANDS!$F21,DEMANDS!$H$2:$CO$25,MATCH($E21,DEMANDS!$F$2:$F$25,0),FALSE)/HLOOKUP(2018,DEMANDS!$H$2:$CO$25,MATCH($E21,DEMANDS!$F$2:$F$25,0),FALSE)</f>
        <v>0.38425837356195192</v>
      </c>
      <c r="U21" s="13">
        <f>HLOOKUP(REG_TRA_DEMANDS!U$3,'BY-Demands'!$J$5:$AK$14,MATCH($E21,'BY-Demands'!$I$5:$I$14,0),FALSE)*HLOOKUP(REG_TRA_DEMANDS!$F21,DEMANDS!$H$2:$CO$25,MATCH($E21,DEMANDS!$F$2:$F$25,0),FALSE)/HLOOKUP(2018,DEMANDS!$H$2:$CO$25,MATCH($E21,DEMANDS!$F$2:$F$25,0),FALSE)</f>
        <v>0.10455147767729034</v>
      </c>
      <c r="V21" s="13">
        <f>HLOOKUP(REG_TRA_DEMANDS!V$3,'BY-Demands'!$J$5:$AK$14,MATCH($E21,'BY-Demands'!$I$5:$I$14,0),FALSE)*HLOOKUP(REG_TRA_DEMANDS!$F21,DEMANDS!$H$2:$CO$25,MATCH($E21,DEMANDS!$F$2:$F$25,0),FALSE)/HLOOKUP(2018,DEMANDS!$H$2:$CO$25,MATCH($E21,DEMANDS!$F$2:$F$25,0),FALSE)</f>
        <v>0.13795540121880615</v>
      </c>
      <c r="W21" s="13">
        <f>HLOOKUP(REG_TRA_DEMANDS!W$3,'BY-Demands'!$J$5:$AK$14,MATCH($E21,'BY-Demands'!$I$5:$I$14,0),FALSE)*HLOOKUP(REG_TRA_DEMANDS!$F21,DEMANDS!$H$2:$CO$25,MATCH($E21,DEMANDS!$F$2:$F$25,0),FALSE)/HLOOKUP(2018,DEMANDS!$H$2:$CO$25,MATCH($E21,DEMANDS!$F$2:$F$25,0),FALSE)</f>
        <v>0.11293643441302517</v>
      </c>
      <c r="X21" s="13">
        <f>HLOOKUP(REG_TRA_DEMANDS!X$3,'BY-Demands'!$J$5:$AK$14,MATCH($E21,'BY-Demands'!$I$5:$I$14,0),FALSE)*HLOOKUP(REG_TRA_DEMANDS!$F21,DEMANDS!$H$2:$CO$25,MATCH($E21,DEMANDS!$F$2:$F$25,0),FALSE)/HLOOKUP(2018,DEMANDS!$H$2:$CO$25,MATCH($E21,DEMANDS!$F$2:$F$25,0),FALSE)</f>
        <v>0.082232883144582727</v>
      </c>
      <c r="Y21" s="13">
        <f>HLOOKUP(REG_TRA_DEMANDS!Y$3,'BY-Demands'!$J$5:$AK$14,MATCH($E21,'BY-Demands'!$I$5:$I$14,0),FALSE)*HLOOKUP(REG_TRA_DEMANDS!$F21,DEMANDS!$H$2:$CO$25,MATCH($E21,DEMANDS!$F$2:$F$25,0),FALSE)/HLOOKUP(2018,DEMANDS!$H$2:$CO$25,MATCH($E21,DEMANDS!$F$2:$F$25,0),FALSE)</f>
        <v>0.18266124981514886</v>
      </c>
      <c r="Z21" s="13">
        <f>HLOOKUP(REG_TRA_DEMANDS!Z$3,'BY-Demands'!$J$5:$AK$14,MATCH($E21,'BY-Demands'!$I$5:$I$14,0),FALSE)*HLOOKUP(REG_TRA_DEMANDS!$F21,DEMANDS!$H$2:$CO$25,MATCH($E21,DEMANDS!$F$2:$F$25,0),FALSE)/HLOOKUP(2018,DEMANDS!$H$2:$CO$25,MATCH($E21,DEMANDS!$F$2:$F$25,0),FALSE)</f>
        <v>0.022681711433385598</v>
      </c>
      <c r="AA21" s="13">
        <f>HLOOKUP(REG_TRA_DEMANDS!AA$3,'BY-Demands'!$J$5:$AK$14,MATCH($E21,'BY-Demands'!$I$5:$I$14,0),FALSE)*HLOOKUP(REG_TRA_DEMANDS!$F21,DEMANDS!$H$2:$CO$25,MATCH($E21,DEMANDS!$F$2:$F$25,0),FALSE)/HLOOKUP(2018,DEMANDS!$H$2:$CO$25,MATCH($E21,DEMANDS!$F$2:$F$25,0),FALSE)</f>
        <v>0.09237679796644771</v>
      </c>
      <c r="AB21" s="13">
        <f>HLOOKUP(REG_TRA_DEMANDS!AB$3,'BY-Demands'!$J$5:$AK$14,MATCH($E21,'BY-Demands'!$I$5:$I$14,0),FALSE)*HLOOKUP(REG_TRA_DEMANDS!$F21,DEMANDS!$H$2:$CO$25,MATCH($E21,DEMANDS!$F$2:$F$25,0),FALSE)/HLOOKUP(2018,DEMANDS!$H$2:$CO$25,MATCH($E21,DEMANDS!$F$2:$F$25,0),FALSE)</f>
        <v>0.045686193445151825</v>
      </c>
      <c r="AC21" s="13">
        <f>HLOOKUP(REG_TRA_DEMANDS!AC$3,'BY-Demands'!$J$5:$AK$14,MATCH($E21,'BY-Demands'!$I$5:$I$14,0),FALSE)*HLOOKUP(REG_TRA_DEMANDS!$F21,DEMANDS!$H$2:$CO$25,MATCH($E21,DEMANDS!$F$2:$F$25,0),FALSE)/HLOOKUP(2018,DEMANDS!$H$2:$CO$25,MATCH($E21,DEMANDS!$F$2:$F$25,0),FALSE)</f>
        <v>0.046387653188956733</v>
      </c>
      <c r="AD21" s="13">
        <f>HLOOKUP(REG_TRA_DEMANDS!AD$3,'BY-Demands'!$J$5:$AK$14,MATCH($E21,'BY-Demands'!$I$5:$I$14,0),FALSE)*HLOOKUP(REG_TRA_DEMANDS!$F21,DEMANDS!$H$2:$CO$25,MATCH($E21,DEMANDS!$F$2:$F$25,0),FALSE)/HLOOKUP(2018,DEMANDS!$H$2:$CO$25,MATCH($E21,DEMANDS!$F$2:$F$25,0),FALSE)</f>
        <v>0.053919674514716867</v>
      </c>
      <c r="AE21" s="13">
        <f>HLOOKUP(REG_TRA_DEMANDS!AE$3,'BY-Demands'!$J$5:$AK$14,MATCH($E21,'BY-Demands'!$I$5:$I$14,0),FALSE)*HLOOKUP(REG_TRA_DEMANDS!$F21,DEMANDS!$H$2:$CO$25,MATCH($E21,DEMANDS!$F$2:$F$25,0),FALSE)/HLOOKUP(2018,DEMANDS!$H$2:$CO$25,MATCH($E21,DEMANDS!$F$2:$F$25,0),FALSE)</f>
        <v>0.11268090770514057</v>
      </c>
      <c r="AF21" s="13">
        <f>HLOOKUP(REG_TRA_DEMANDS!AF$3,'BY-Demands'!$J$5:$AK$14,MATCH($E21,'BY-Demands'!$I$5:$I$14,0),FALSE)*HLOOKUP(REG_TRA_DEMANDS!$F21,DEMANDS!$H$2:$CO$25,MATCH($E21,DEMANDS!$F$2:$F$25,0),FALSE)/HLOOKUP(2018,DEMANDS!$H$2:$CO$25,MATCH($E21,DEMANDS!$F$2:$F$25,0),FALSE)</f>
        <v>0.043450865623823776</v>
      </c>
    </row>
    <row r="22" spans="4:32" ht="12.75">
      <c r="D22" s="3" t="s">
        <v>59</v>
      </c>
      <c r="E22" s="3" t="str">
        <v>TTURS</v>
      </c>
      <c r="F22" s="3">
        <v>2030</v>
      </c>
      <c r="G22" s="13">
        <f>HLOOKUP(REG_TRA_DEMANDS!G$3,'BY-Demands'!$J$5:$AK$14,MATCH($E22,'BY-Demands'!$I$5:$I$14,0),FALSE)*HLOOKUP(REG_TRA_DEMANDS!$F22,DEMANDS!$H$2:$CO$25,MATCH($E22,DEMANDS!$F$2:$F$25,0),FALSE)/HLOOKUP(2018,DEMANDS!$H$2:$CO$25,MATCH($E22,DEMANDS!$F$2:$F$25,0),FALSE)</f>
        <v>0</v>
      </c>
      <c r="H22" s="13">
        <f>HLOOKUP(REG_TRA_DEMANDS!H$3,'BY-Demands'!$J$5:$AK$14,MATCH($E22,'BY-Demands'!$I$5:$I$14,0),FALSE)*HLOOKUP(REG_TRA_DEMANDS!$F22,DEMANDS!$H$2:$CO$25,MATCH($E22,DEMANDS!$F$2:$F$25,0),FALSE)/HLOOKUP(2018,DEMANDS!$H$2:$CO$25,MATCH($E22,DEMANDS!$F$2:$F$25,0),FALSE)</f>
        <v>0</v>
      </c>
      <c r="I22" s="13">
        <f>HLOOKUP(REG_TRA_DEMANDS!I$3,'BY-Demands'!$J$5:$AK$14,MATCH($E22,'BY-Demands'!$I$5:$I$14,0),FALSE)*HLOOKUP(REG_TRA_DEMANDS!$F22,DEMANDS!$H$2:$CO$25,MATCH($E22,DEMANDS!$F$2:$F$25,0),FALSE)/HLOOKUP(2018,DEMANDS!$H$2:$CO$25,MATCH($E22,DEMANDS!$F$2:$F$25,0),FALSE)</f>
        <v>0</v>
      </c>
      <c r="J22" s="13">
        <f>HLOOKUP(REG_TRA_DEMANDS!J$3,'BY-Demands'!$J$5:$AK$14,MATCH($E22,'BY-Demands'!$I$5:$I$14,0),FALSE)*HLOOKUP(REG_TRA_DEMANDS!$F22,DEMANDS!$H$2:$CO$25,MATCH($E22,DEMANDS!$F$2:$F$25,0),FALSE)/HLOOKUP(2018,DEMANDS!$H$2:$CO$25,MATCH($E22,DEMANDS!$F$2:$F$25,0),FALSE)</f>
        <v>0</v>
      </c>
      <c r="K22" s="13">
        <f>HLOOKUP(REG_TRA_DEMANDS!K$3,'BY-Demands'!$J$5:$AK$14,MATCH($E22,'BY-Demands'!$I$5:$I$14,0),FALSE)*HLOOKUP(REG_TRA_DEMANDS!$F22,DEMANDS!$H$2:$CO$25,MATCH($E22,DEMANDS!$F$2:$F$25,0),FALSE)/HLOOKUP(2018,DEMANDS!$H$2:$CO$25,MATCH($E22,DEMANDS!$F$2:$F$25,0),FALSE)</f>
        <v>0</v>
      </c>
      <c r="L22" s="13">
        <f>HLOOKUP(REG_TRA_DEMANDS!L$3,'BY-Demands'!$J$5:$AK$14,MATCH($E22,'BY-Demands'!$I$5:$I$14,0),FALSE)*HLOOKUP(REG_TRA_DEMANDS!$F22,DEMANDS!$H$2:$CO$25,MATCH($E22,DEMANDS!$F$2:$F$25,0),FALSE)/HLOOKUP(2018,DEMANDS!$H$2:$CO$25,MATCH($E22,DEMANDS!$F$2:$F$25,0),FALSE)</f>
        <v>0</v>
      </c>
      <c r="M22" s="13">
        <f>HLOOKUP(REG_TRA_DEMANDS!M$3,'BY-Demands'!$J$5:$AK$14,MATCH($E22,'BY-Demands'!$I$5:$I$14,0),FALSE)*HLOOKUP(REG_TRA_DEMANDS!$F22,DEMANDS!$H$2:$CO$25,MATCH($E22,DEMANDS!$F$2:$F$25,0),FALSE)/HLOOKUP(2018,DEMANDS!$H$2:$CO$25,MATCH($E22,DEMANDS!$F$2:$F$25,0),FALSE)</f>
        <v>0</v>
      </c>
      <c r="N22" s="13">
        <f>HLOOKUP(REG_TRA_DEMANDS!N$3,'BY-Demands'!$J$5:$AK$14,MATCH($E22,'BY-Demands'!$I$5:$I$14,0),FALSE)*HLOOKUP(REG_TRA_DEMANDS!$F22,DEMANDS!$H$2:$CO$25,MATCH($E22,DEMANDS!$F$2:$F$25,0),FALSE)/HLOOKUP(2018,DEMANDS!$H$2:$CO$25,MATCH($E22,DEMANDS!$F$2:$F$25,0),FALSE)</f>
        <v>0</v>
      </c>
      <c r="O22" s="13">
        <f>HLOOKUP(REG_TRA_DEMANDS!O$3,'BY-Demands'!$J$5:$AK$14,MATCH($E22,'BY-Demands'!$I$5:$I$14,0),FALSE)*HLOOKUP(REG_TRA_DEMANDS!$F22,DEMANDS!$H$2:$CO$25,MATCH($E22,DEMANDS!$F$2:$F$25,0),FALSE)/HLOOKUP(2018,DEMANDS!$H$2:$CO$25,MATCH($E22,DEMANDS!$F$2:$F$25,0),FALSE)</f>
        <v>0</v>
      </c>
      <c r="P22" s="13">
        <f>HLOOKUP(REG_TRA_DEMANDS!P$3,'BY-Demands'!$J$5:$AK$14,MATCH($E22,'BY-Demands'!$I$5:$I$14,0),FALSE)*HLOOKUP(REG_TRA_DEMANDS!$F22,DEMANDS!$H$2:$CO$25,MATCH($E22,DEMANDS!$F$2:$F$25,0),FALSE)/HLOOKUP(2018,DEMANDS!$H$2:$CO$25,MATCH($E22,DEMANDS!$F$2:$F$25,0),FALSE)</f>
        <v>0</v>
      </c>
      <c r="Q22" s="13">
        <f>HLOOKUP(REG_TRA_DEMANDS!Q$3,'BY-Demands'!$J$5:$AK$14,MATCH($E22,'BY-Demands'!$I$5:$I$14,0),FALSE)*HLOOKUP(REG_TRA_DEMANDS!$F22,DEMANDS!$H$2:$CO$25,MATCH($E22,DEMANDS!$F$2:$F$25,0),FALSE)/HLOOKUP(2018,DEMANDS!$H$2:$CO$25,MATCH($E22,DEMANDS!$F$2:$F$25,0),FALSE)</f>
        <v>0</v>
      </c>
      <c r="R22" s="13">
        <f>HLOOKUP(REG_TRA_DEMANDS!R$3,'BY-Demands'!$J$5:$AK$14,MATCH($E22,'BY-Demands'!$I$5:$I$14,0),FALSE)*HLOOKUP(REG_TRA_DEMANDS!$F22,DEMANDS!$H$2:$CO$25,MATCH($E22,DEMANDS!$F$2:$F$25,0),FALSE)/HLOOKUP(2018,DEMANDS!$H$2:$CO$25,MATCH($E22,DEMANDS!$F$2:$F$25,0),FALSE)</f>
        <v>0</v>
      </c>
      <c r="S22" s="13">
        <f>HLOOKUP(REG_TRA_DEMANDS!S$3,'BY-Demands'!$J$5:$AK$14,MATCH($E22,'BY-Demands'!$I$5:$I$14,0),FALSE)*HLOOKUP(REG_TRA_DEMANDS!$F22,DEMANDS!$H$2:$CO$25,MATCH($E22,DEMANDS!$F$2:$F$25,0),FALSE)/HLOOKUP(2018,DEMANDS!$H$2:$CO$25,MATCH($E22,DEMANDS!$F$2:$F$25,0),FALSE)</f>
        <v>0</v>
      </c>
      <c r="T22" s="13">
        <f>HLOOKUP(REG_TRA_DEMANDS!T$3,'BY-Demands'!$J$5:$AK$14,MATCH($E22,'BY-Demands'!$I$5:$I$14,0),FALSE)*HLOOKUP(REG_TRA_DEMANDS!$F22,DEMANDS!$H$2:$CO$25,MATCH($E22,DEMANDS!$F$2:$F$25,0),FALSE)/HLOOKUP(2018,DEMANDS!$H$2:$CO$25,MATCH($E22,DEMANDS!$F$2:$F$25,0),FALSE)</f>
        <v>0</v>
      </c>
      <c r="U22" s="13">
        <f>HLOOKUP(REG_TRA_DEMANDS!U$3,'BY-Demands'!$J$5:$AK$14,MATCH($E22,'BY-Demands'!$I$5:$I$14,0),FALSE)*HLOOKUP(REG_TRA_DEMANDS!$F22,DEMANDS!$H$2:$CO$25,MATCH($E22,DEMANDS!$F$2:$F$25,0),FALSE)/HLOOKUP(2018,DEMANDS!$H$2:$CO$25,MATCH($E22,DEMANDS!$F$2:$F$25,0),FALSE)</f>
        <v>0</v>
      </c>
      <c r="V22" s="13">
        <f>HLOOKUP(REG_TRA_DEMANDS!V$3,'BY-Demands'!$J$5:$AK$14,MATCH($E22,'BY-Demands'!$I$5:$I$14,0),FALSE)*HLOOKUP(REG_TRA_DEMANDS!$F22,DEMANDS!$H$2:$CO$25,MATCH($E22,DEMANDS!$F$2:$F$25,0),FALSE)/HLOOKUP(2018,DEMANDS!$H$2:$CO$25,MATCH($E22,DEMANDS!$F$2:$F$25,0),FALSE)</f>
        <v>0</v>
      </c>
      <c r="W22" s="13">
        <f>HLOOKUP(REG_TRA_DEMANDS!W$3,'BY-Demands'!$J$5:$AK$14,MATCH($E22,'BY-Demands'!$I$5:$I$14,0),FALSE)*HLOOKUP(REG_TRA_DEMANDS!$F22,DEMANDS!$H$2:$CO$25,MATCH($E22,DEMANDS!$F$2:$F$25,0),FALSE)/HLOOKUP(2018,DEMANDS!$H$2:$CO$25,MATCH($E22,DEMANDS!$F$2:$F$25,0),FALSE)</f>
        <v>0</v>
      </c>
      <c r="X22" s="13">
        <f>HLOOKUP(REG_TRA_DEMANDS!X$3,'BY-Demands'!$J$5:$AK$14,MATCH($E22,'BY-Demands'!$I$5:$I$14,0),FALSE)*HLOOKUP(REG_TRA_DEMANDS!$F22,DEMANDS!$H$2:$CO$25,MATCH($E22,DEMANDS!$F$2:$F$25,0),FALSE)/HLOOKUP(2018,DEMANDS!$H$2:$CO$25,MATCH($E22,DEMANDS!$F$2:$F$25,0),FALSE)</f>
        <v>0</v>
      </c>
      <c r="Y22" s="13">
        <f>HLOOKUP(REG_TRA_DEMANDS!Y$3,'BY-Demands'!$J$5:$AK$14,MATCH($E22,'BY-Demands'!$I$5:$I$14,0),FALSE)*HLOOKUP(REG_TRA_DEMANDS!$F22,DEMANDS!$H$2:$CO$25,MATCH($E22,DEMANDS!$F$2:$F$25,0),FALSE)/HLOOKUP(2018,DEMANDS!$H$2:$CO$25,MATCH($E22,DEMANDS!$F$2:$F$25,0),FALSE)</f>
        <v>0</v>
      </c>
      <c r="Z22" s="13">
        <f>HLOOKUP(REG_TRA_DEMANDS!Z$3,'BY-Demands'!$J$5:$AK$14,MATCH($E22,'BY-Demands'!$I$5:$I$14,0),FALSE)*HLOOKUP(REG_TRA_DEMANDS!$F22,DEMANDS!$H$2:$CO$25,MATCH($E22,DEMANDS!$F$2:$F$25,0),FALSE)/HLOOKUP(2018,DEMANDS!$H$2:$CO$25,MATCH($E22,DEMANDS!$F$2:$F$25,0),FALSE)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A22" s="13">
        <f>HLOOKUP(REG_TRA_DEMANDS!AA$3,'BY-Demands'!$J$5:$AK$14,MATCH($E22,'BY-Demands'!$I$5:$I$14,0),FALSE)*HLOOKUP(REG_TRA_DEMANDS!$F22,DEMANDS!$H$2:$CO$25,MATCH($E22,DEMANDS!$F$2:$F$25,0),FALSE)/HLOOKUP(2018,DEMANDS!$H$2:$CO$25,MATCH($E22,DEMANDS!$F$2:$F$25,0),FALSE)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B22" s="13">
        <f>HLOOKUP(REG_TRA_DEMANDS!AB$3,'BY-Demands'!$J$5:$AK$14,MATCH($E22,'BY-Demands'!$I$5:$I$14,0),FALSE)*HLOOKUP(REG_TRA_DEMANDS!$F22,DEMANDS!$H$2:$CO$25,MATCH($E22,DEMANDS!$F$2:$F$25,0),FALSE)/HLOOKUP(2018,DEMANDS!$H$2:$CO$25,MATCH($E22,DEMANDS!$F$2:$F$25,0),FALSE)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C22" s="13">
        <f>HLOOKUP(REG_TRA_DEMANDS!AC$3,'BY-Demands'!$J$5:$AK$14,MATCH($E22,'BY-Demands'!$I$5:$I$14,0),FALSE)*HLOOKUP(REG_TRA_DEMANDS!$F22,DEMANDS!$H$2:$CO$25,MATCH($E22,DEMANDS!$F$2:$F$25,0),FALSE)/HLOOKUP(2018,DEMANDS!$H$2:$CO$25,MATCH($E22,DEMANDS!$F$2:$F$25,0),FALSE)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D22" s="13">
        <f>HLOOKUP(REG_TRA_DEMANDS!AD$3,'BY-Demands'!$J$5:$AK$14,MATCH($E22,'BY-Demands'!$I$5:$I$14,0),FALSE)*HLOOKUP(REG_TRA_DEMANDS!$F22,DEMANDS!$H$2:$CO$25,MATCH($E22,DEMANDS!$F$2:$F$25,0),FALSE)/HLOOKUP(2018,DEMANDS!$H$2:$CO$25,MATCH($E22,DEMANDS!$F$2:$F$25,0),FALSE)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E22" s="13">
        <f>HLOOKUP(REG_TRA_DEMANDS!AE$3,'BY-Demands'!$J$5:$AK$14,MATCH($E22,'BY-Demands'!$I$5:$I$14,0),FALSE)*HLOOKUP(REG_TRA_DEMANDS!$F22,DEMANDS!$H$2:$CO$25,MATCH($E22,DEMANDS!$F$2:$F$25,0),FALSE)/HLOOKUP(2018,DEMANDS!$H$2:$CO$25,MATCH($E22,DEMANDS!$F$2:$F$25,0),FALSE)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F22" s="13">
        <f>HLOOKUP(REG_TRA_DEMANDS!AF$3,'BY-Demands'!$J$5:$AK$14,MATCH($E22,'BY-Demands'!$I$5:$I$14,0),FALSE)*HLOOKUP(REG_TRA_DEMANDS!$F22,DEMANDS!$H$2:$CO$25,MATCH($E22,DEMANDS!$F$2:$F$25,0),FALSE)/HLOOKUP(2018,DEMANDS!$H$2:$CO$25,MATCH($E22,DEMANDS!$F$2:$F$25,0),FALSE)</f>
        <v>0</v>
      </c>
    </row>
    <row r="23" spans="4:32" ht="12.75">
      <c r="D23" s="3" t="s">
        <v>59</v>
      </c>
      <c r="E23" s="3" t="str">
        <v>TTURS</v>
      </c>
      <c r="F23" s="3">
        <v>2050</v>
      </c>
      <c r="G23" s="13">
        <f>HLOOKUP(REG_TRA_DEMANDS!G$3,'BY-Demands'!$J$5:$AK$14,MATCH($E23,'BY-Demands'!$I$5:$I$14,0),FALSE)*HLOOKUP(REG_TRA_DEMANDS!$F23,DEMANDS!$H$2:$CO$25,MATCH($E23,DEMANDS!$F$2:$F$25,0),FALSE)/HLOOKUP(2018,DEMANDS!$H$2:$CO$25,MATCH($E23,DEMANDS!$F$2:$F$25,0),FALSE)</f>
        <v>0</v>
      </c>
      <c r="H23" s="13">
        <f>HLOOKUP(REG_TRA_DEMANDS!H$3,'BY-Demands'!$J$5:$AK$14,MATCH($E23,'BY-Demands'!$I$5:$I$14,0),FALSE)*HLOOKUP(REG_TRA_DEMANDS!$F23,DEMANDS!$H$2:$CO$25,MATCH($E23,DEMANDS!$F$2:$F$25,0),FALSE)/HLOOKUP(2018,DEMANDS!$H$2:$CO$25,MATCH($E23,DEMANDS!$F$2:$F$25,0),FALSE)</f>
        <v>0</v>
      </c>
      <c r="I23" s="13">
        <f>HLOOKUP(REG_TRA_DEMANDS!I$3,'BY-Demands'!$J$5:$AK$14,MATCH($E23,'BY-Demands'!$I$5:$I$14,0),FALSE)*HLOOKUP(REG_TRA_DEMANDS!$F23,DEMANDS!$H$2:$CO$25,MATCH($E23,DEMANDS!$F$2:$F$25,0),FALSE)/HLOOKUP(2018,DEMANDS!$H$2:$CO$25,MATCH($E23,DEMANDS!$F$2:$F$25,0),FALSE)</f>
        <v>0</v>
      </c>
      <c r="J23" s="13">
        <f>HLOOKUP(REG_TRA_DEMANDS!J$3,'BY-Demands'!$J$5:$AK$14,MATCH($E23,'BY-Demands'!$I$5:$I$14,0),FALSE)*HLOOKUP(REG_TRA_DEMANDS!$F23,DEMANDS!$H$2:$CO$25,MATCH($E23,DEMANDS!$F$2:$F$25,0),FALSE)/HLOOKUP(2018,DEMANDS!$H$2:$CO$25,MATCH($E23,DEMANDS!$F$2:$F$25,0),FALSE)</f>
        <v>0</v>
      </c>
      <c r="K23" s="13">
        <f>HLOOKUP(REG_TRA_DEMANDS!K$3,'BY-Demands'!$J$5:$AK$14,MATCH($E23,'BY-Demands'!$I$5:$I$14,0),FALSE)*HLOOKUP(REG_TRA_DEMANDS!$F23,DEMANDS!$H$2:$CO$25,MATCH($E23,DEMANDS!$F$2:$F$25,0),FALSE)/HLOOKUP(2018,DEMANDS!$H$2:$CO$25,MATCH($E23,DEMANDS!$F$2:$F$25,0),FALSE)</f>
        <v>0</v>
      </c>
      <c r="L23" s="13">
        <f>HLOOKUP(REG_TRA_DEMANDS!L$3,'BY-Demands'!$J$5:$AK$14,MATCH($E23,'BY-Demands'!$I$5:$I$14,0),FALSE)*HLOOKUP(REG_TRA_DEMANDS!$F23,DEMANDS!$H$2:$CO$25,MATCH($E23,DEMANDS!$F$2:$F$25,0),FALSE)/HLOOKUP(2018,DEMANDS!$H$2:$CO$25,MATCH($E23,DEMANDS!$F$2:$F$25,0),FALSE)</f>
        <v>0</v>
      </c>
      <c r="M23" s="13">
        <f>HLOOKUP(REG_TRA_DEMANDS!M$3,'BY-Demands'!$J$5:$AK$14,MATCH($E23,'BY-Demands'!$I$5:$I$14,0),FALSE)*HLOOKUP(REG_TRA_DEMANDS!$F23,DEMANDS!$H$2:$CO$25,MATCH($E23,DEMANDS!$F$2:$F$25,0),FALSE)/HLOOKUP(2018,DEMANDS!$H$2:$CO$25,MATCH($E23,DEMANDS!$F$2:$F$25,0),FALSE)</f>
        <v>0</v>
      </c>
      <c r="N23" s="13">
        <f>HLOOKUP(REG_TRA_DEMANDS!N$3,'BY-Demands'!$J$5:$AK$14,MATCH($E23,'BY-Demands'!$I$5:$I$14,0),FALSE)*HLOOKUP(REG_TRA_DEMANDS!$F23,DEMANDS!$H$2:$CO$25,MATCH($E23,DEMANDS!$F$2:$F$25,0),FALSE)/HLOOKUP(2018,DEMANDS!$H$2:$CO$25,MATCH($E23,DEMANDS!$F$2:$F$25,0),FALSE)</f>
        <v>0</v>
      </c>
      <c r="O23" s="13">
        <f>HLOOKUP(REG_TRA_DEMANDS!O$3,'BY-Demands'!$J$5:$AK$14,MATCH($E23,'BY-Demands'!$I$5:$I$14,0),FALSE)*HLOOKUP(REG_TRA_DEMANDS!$F23,DEMANDS!$H$2:$CO$25,MATCH($E23,DEMANDS!$F$2:$F$25,0),FALSE)/HLOOKUP(2018,DEMANDS!$H$2:$CO$25,MATCH($E23,DEMANDS!$F$2:$F$25,0),FALSE)</f>
        <v>0</v>
      </c>
      <c r="P23" s="13">
        <f>HLOOKUP(REG_TRA_DEMANDS!P$3,'BY-Demands'!$J$5:$AK$14,MATCH($E23,'BY-Demands'!$I$5:$I$14,0),FALSE)*HLOOKUP(REG_TRA_DEMANDS!$F23,DEMANDS!$H$2:$CO$25,MATCH($E23,DEMANDS!$F$2:$F$25,0),FALSE)/HLOOKUP(2018,DEMANDS!$H$2:$CO$25,MATCH($E23,DEMANDS!$F$2:$F$25,0),FALSE)</f>
        <v>0</v>
      </c>
      <c r="Q23" s="13">
        <f>HLOOKUP(REG_TRA_DEMANDS!Q$3,'BY-Demands'!$J$5:$AK$14,MATCH($E23,'BY-Demands'!$I$5:$I$14,0),FALSE)*HLOOKUP(REG_TRA_DEMANDS!$F23,DEMANDS!$H$2:$CO$25,MATCH($E23,DEMANDS!$F$2:$F$25,0),FALSE)/HLOOKUP(2018,DEMANDS!$H$2:$CO$25,MATCH($E23,DEMANDS!$F$2:$F$25,0),FALSE)</f>
        <v>0</v>
      </c>
      <c r="R23" s="13">
        <f>HLOOKUP(REG_TRA_DEMANDS!R$3,'BY-Demands'!$J$5:$AK$14,MATCH($E23,'BY-Demands'!$I$5:$I$14,0),FALSE)*HLOOKUP(REG_TRA_DEMANDS!$F23,DEMANDS!$H$2:$CO$25,MATCH($E23,DEMANDS!$F$2:$F$25,0),FALSE)/HLOOKUP(2018,DEMANDS!$H$2:$CO$25,MATCH($E23,DEMANDS!$F$2:$F$25,0),FALSE)</f>
        <v>0</v>
      </c>
      <c r="S23" s="13">
        <f>HLOOKUP(REG_TRA_DEMANDS!S$3,'BY-Demands'!$J$5:$AK$14,MATCH($E23,'BY-Demands'!$I$5:$I$14,0),FALSE)*HLOOKUP(REG_TRA_DEMANDS!$F23,DEMANDS!$H$2:$CO$25,MATCH($E23,DEMANDS!$F$2:$F$25,0),FALSE)/HLOOKUP(2018,DEMANDS!$H$2:$CO$25,MATCH($E23,DEMANDS!$F$2:$F$25,0),FALSE)</f>
        <v>0</v>
      </c>
      <c r="T23" s="13">
        <f>HLOOKUP(REG_TRA_DEMANDS!T$3,'BY-Demands'!$J$5:$AK$14,MATCH($E23,'BY-Demands'!$I$5:$I$14,0),FALSE)*HLOOKUP(REG_TRA_DEMANDS!$F23,DEMANDS!$H$2:$CO$25,MATCH($E23,DEMANDS!$F$2:$F$25,0),FALSE)/HLOOKUP(2018,DEMANDS!$H$2:$CO$25,MATCH($E23,DEMANDS!$F$2:$F$25,0),FALSE)</f>
        <v>0</v>
      </c>
      <c r="U23" s="13">
        <f>HLOOKUP(REG_TRA_DEMANDS!U$3,'BY-Demands'!$J$5:$AK$14,MATCH($E23,'BY-Demands'!$I$5:$I$14,0),FALSE)*HLOOKUP(REG_TRA_DEMANDS!$F23,DEMANDS!$H$2:$CO$25,MATCH($E23,DEMANDS!$F$2:$F$25,0),FALSE)/HLOOKUP(2018,DEMANDS!$H$2:$CO$25,MATCH($E23,DEMANDS!$F$2:$F$25,0),FALSE)</f>
        <v>0</v>
      </c>
      <c r="V23" s="13">
        <f>HLOOKUP(REG_TRA_DEMANDS!V$3,'BY-Demands'!$J$5:$AK$14,MATCH($E23,'BY-Demands'!$I$5:$I$14,0),FALSE)*HLOOKUP(REG_TRA_DEMANDS!$F23,DEMANDS!$H$2:$CO$25,MATCH($E23,DEMANDS!$F$2:$F$25,0),FALSE)/HLOOKUP(2018,DEMANDS!$H$2:$CO$25,MATCH($E23,DEMANDS!$F$2:$F$25,0),FALSE)</f>
        <v>0</v>
      </c>
      <c r="W23" s="13">
        <f>HLOOKUP(REG_TRA_DEMANDS!W$3,'BY-Demands'!$J$5:$AK$14,MATCH($E23,'BY-Demands'!$I$5:$I$14,0),FALSE)*HLOOKUP(REG_TRA_DEMANDS!$F23,DEMANDS!$H$2:$CO$25,MATCH($E23,DEMANDS!$F$2:$F$25,0),FALSE)/HLOOKUP(2018,DEMANDS!$H$2:$CO$25,MATCH($E23,DEMANDS!$F$2:$F$25,0),FALSE)</f>
        <v>0</v>
      </c>
      <c r="X23" s="13">
        <f>HLOOKUP(REG_TRA_DEMANDS!X$3,'BY-Demands'!$J$5:$AK$14,MATCH($E23,'BY-Demands'!$I$5:$I$14,0),FALSE)*HLOOKUP(REG_TRA_DEMANDS!$F23,DEMANDS!$H$2:$CO$25,MATCH($E23,DEMANDS!$F$2:$F$25,0),FALSE)/HLOOKUP(2018,DEMANDS!$H$2:$CO$25,MATCH($E23,DEMANDS!$F$2:$F$25,0),FALSE)</f>
        <v>0</v>
      </c>
      <c r="Y23" s="13">
        <f>HLOOKUP(REG_TRA_DEMANDS!Y$3,'BY-Demands'!$J$5:$AK$14,MATCH($E23,'BY-Demands'!$I$5:$I$14,0),FALSE)*HLOOKUP(REG_TRA_DEMANDS!$F23,DEMANDS!$H$2:$CO$25,MATCH($E23,DEMANDS!$F$2:$F$25,0),FALSE)/HLOOKUP(2018,DEMANDS!$H$2:$CO$25,MATCH($E23,DEMANDS!$F$2:$F$25,0),FALSE)</f>
        <v>0</v>
      </c>
      <c r="Z23" s="13">
        <f>HLOOKUP(REG_TRA_DEMANDS!Z$3,'BY-Demands'!$J$5:$AK$14,MATCH($E23,'BY-Demands'!$I$5:$I$14,0),FALSE)*HLOOKUP(REG_TRA_DEMANDS!$F23,DEMANDS!$H$2:$CO$25,MATCH($E23,DEMANDS!$F$2:$F$25,0),FALSE)/HLOOKUP(2018,DEMANDS!$H$2:$CO$25,MATCH($E23,DEMANDS!$F$2:$F$25,0),FALSE)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A23" s="13">
        <f>HLOOKUP(REG_TRA_DEMANDS!AA$3,'BY-Demands'!$J$5:$AK$14,MATCH($E23,'BY-Demands'!$I$5:$I$14,0),FALSE)*HLOOKUP(REG_TRA_DEMANDS!$F23,DEMANDS!$H$2:$CO$25,MATCH($E23,DEMANDS!$F$2:$F$25,0),FALSE)/HLOOKUP(2018,DEMANDS!$H$2:$CO$25,MATCH($E23,DEMANDS!$F$2:$F$25,0),FALSE)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B23" s="13">
        <f>HLOOKUP(REG_TRA_DEMANDS!AB$3,'BY-Demands'!$J$5:$AK$14,MATCH($E23,'BY-Demands'!$I$5:$I$14,0),FALSE)*HLOOKUP(REG_TRA_DEMANDS!$F23,DEMANDS!$H$2:$CO$25,MATCH($E23,DEMANDS!$F$2:$F$25,0),FALSE)/HLOOKUP(2018,DEMANDS!$H$2:$CO$25,MATCH($E23,DEMANDS!$F$2:$F$25,0),FALSE)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C23" s="13">
        <f>HLOOKUP(REG_TRA_DEMANDS!AC$3,'BY-Demands'!$J$5:$AK$14,MATCH($E23,'BY-Demands'!$I$5:$I$14,0),FALSE)*HLOOKUP(REG_TRA_DEMANDS!$F23,DEMANDS!$H$2:$CO$25,MATCH($E23,DEMANDS!$F$2:$F$25,0),FALSE)/HLOOKUP(2018,DEMANDS!$H$2:$CO$25,MATCH($E23,DEMANDS!$F$2:$F$25,0),FALSE)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D23" s="13">
        <f>HLOOKUP(REG_TRA_DEMANDS!AD$3,'BY-Demands'!$J$5:$AK$14,MATCH($E23,'BY-Demands'!$I$5:$I$14,0),FALSE)*HLOOKUP(REG_TRA_DEMANDS!$F23,DEMANDS!$H$2:$CO$25,MATCH($E23,DEMANDS!$F$2:$F$25,0),FALSE)/HLOOKUP(2018,DEMANDS!$H$2:$CO$25,MATCH($E23,DEMANDS!$F$2:$F$25,0),FALSE)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E23" s="13">
        <f>HLOOKUP(REG_TRA_DEMANDS!AE$3,'BY-Demands'!$J$5:$AK$14,MATCH($E23,'BY-Demands'!$I$5:$I$14,0),FALSE)*HLOOKUP(REG_TRA_DEMANDS!$F23,DEMANDS!$H$2:$CO$25,MATCH($E23,DEMANDS!$F$2:$F$25,0),FALSE)/HLOOKUP(2018,DEMANDS!$H$2:$CO$25,MATCH($E23,DEMANDS!$F$2:$F$25,0),FALSE)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F23" s="13">
        <f>HLOOKUP(REG_TRA_DEMANDS!AF$3,'BY-Demands'!$J$5:$AK$14,MATCH($E23,'BY-Demands'!$I$5:$I$14,0),FALSE)*HLOOKUP(REG_TRA_DEMANDS!$F23,DEMANDS!$H$2:$CO$25,MATCH($E23,DEMANDS!$F$2:$F$25,0),FALSE)/HLOOKUP(2018,DEMANDS!$H$2:$CO$25,MATCH($E23,DEMANDS!$F$2:$F$25,0),FALSE)</f>
        <v>0</v>
      </c>
    </row>
    <row r="24" spans="4:32" ht="12.75">
      <c r="D24" s="3" t="s">
        <v>59</v>
      </c>
      <c r="E24" s="3" t="str">
        <f t="array" ref="E24:E27">DEMANDS!$F$22</f>
        <v>TNAV</v>
      </c>
      <c r="F24" s="3">
        <v>2019</v>
      </c>
      <c r="G24" s="13">
        <f>HLOOKUP(REG_TRA_DEMANDS!G$3,'BY-Demands'!$J$5:$AK$14,MATCH($E24,'BY-Demands'!$I$5:$I$14,0),FALSE)*HLOOKUP(REG_TRA_DEMANDS!$F24,DEMANDS!$H$2:$CO$25,MATCH($E24,DEMANDS!$F$2:$F$25,0),FALSE)/HLOOKUP(2018,DEMANDS!$H$2:$CO$25,MATCH($E24,DEMANDS!$F$2:$F$25,0),FALSE)</f>
        <v>0.044736426592315429</v>
      </c>
      <c r="H24" s="13">
        <f>HLOOKUP(REG_TRA_DEMANDS!H$3,'BY-Demands'!$J$5:$AK$14,MATCH($E24,'BY-Demands'!$I$5:$I$14,0),FALSE)*HLOOKUP(REG_TRA_DEMANDS!$F24,DEMANDS!$H$2:$CO$25,MATCH($E24,DEMANDS!$F$2:$F$25,0),FALSE)/HLOOKUP(2018,DEMANDS!$H$2:$CO$25,MATCH($E24,DEMANDS!$F$2:$F$25,0),FALSE)</f>
        <v>1.0587372127625181</v>
      </c>
      <c r="I24" s="13">
        <f>HLOOKUP(REG_TRA_DEMANDS!I$3,'BY-Demands'!$J$5:$AK$14,MATCH($E24,'BY-Demands'!$I$5:$I$14,0),FALSE)*HLOOKUP(REG_TRA_DEMANDS!$F24,DEMANDS!$H$2:$CO$25,MATCH($E24,DEMANDS!$F$2:$F$25,0),FALSE)/HLOOKUP(2018,DEMANDS!$H$2:$CO$25,MATCH($E24,DEMANDS!$F$2:$F$25,0),FALSE)</f>
        <v>0.17484075497956425</v>
      </c>
      <c r="J24" s="13">
        <f>HLOOKUP(REG_TRA_DEMANDS!J$3,'BY-Demands'!$J$5:$AK$14,MATCH($E24,'BY-Demands'!$I$5:$I$14,0),FALSE)*HLOOKUP(REG_TRA_DEMANDS!$F24,DEMANDS!$H$2:$CO$25,MATCH($E24,DEMANDS!$F$2:$F$25,0),FALSE)/HLOOKUP(2018,DEMANDS!$H$2:$CO$25,MATCH($E24,DEMANDS!$F$2:$F$25,0),FALSE)</f>
        <v>0.07797521751578454</v>
      </c>
      <c r="K24" s="13">
        <f>HLOOKUP(REG_TRA_DEMANDS!K$3,'BY-Demands'!$J$5:$AK$14,MATCH($E24,'BY-Demands'!$I$5:$I$14,0),FALSE)*HLOOKUP(REG_TRA_DEMANDS!$F24,DEMANDS!$H$2:$CO$25,MATCH($E24,DEMANDS!$F$2:$F$25,0),FALSE)/HLOOKUP(2018,DEMANDS!$H$2:$CO$25,MATCH($E24,DEMANDS!$F$2:$F$25,0),FALSE)</f>
        <v>0.066553803187826568</v>
      </c>
      <c r="L24" s="13">
        <f>HLOOKUP(REG_TRA_DEMANDS!L$3,'BY-Demands'!$J$5:$AK$14,MATCH($E24,'BY-Demands'!$I$5:$I$14,0),FALSE)*HLOOKUP(REG_TRA_DEMANDS!$F24,DEMANDS!$H$2:$CO$25,MATCH($E24,DEMANDS!$F$2:$F$25,0),FALSE)/HLOOKUP(2018,DEMANDS!$H$2:$CO$25,MATCH($E24,DEMANDS!$F$2:$F$25,0),FALSE)</f>
        <v>0.03211747284668915</v>
      </c>
      <c r="M24" s="13">
        <f>HLOOKUP(REG_TRA_DEMANDS!M$3,'BY-Demands'!$J$5:$AK$14,MATCH($E24,'BY-Demands'!$I$5:$I$14,0),FALSE)*HLOOKUP(REG_TRA_DEMANDS!$F24,DEMANDS!$H$2:$CO$25,MATCH($E24,DEMANDS!$F$2:$F$25,0),FALSE)/HLOOKUP(2018,DEMANDS!$H$2:$CO$25,MATCH($E24,DEMANDS!$F$2:$F$25,0),FALSE)</f>
        <v>0.10127537421703059</v>
      </c>
      <c r="N24" s="13">
        <f>HLOOKUP(REG_TRA_DEMANDS!N$3,'BY-Demands'!$J$5:$AK$14,MATCH($E24,'BY-Demands'!$I$5:$I$14,0),FALSE)*HLOOKUP(REG_TRA_DEMANDS!$F24,DEMANDS!$H$2:$CO$25,MATCH($E24,DEMANDS!$F$2:$F$25,0),FALSE)/HLOOKUP(2018,DEMANDS!$H$2:$CO$25,MATCH($E24,DEMANDS!$F$2:$F$25,0),FALSE)</f>
        <v>0.15326304342499106</v>
      </c>
      <c r="O24" s="13">
        <f>HLOOKUP(REG_TRA_DEMANDS!O$3,'BY-Demands'!$J$5:$AK$14,MATCH($E24,'BY-Demands'!$I$5:$I$14,0),FALSE)*HLOOKUP(REG_TRA_DEMANDS!$F24,DEMANDS!$H$2:$CO$25,MATCH($E24,DEMANDS!$F$2:$F$25,0),FALSE)/HLOOKUP(2018,DEMANDS!$H$2:$CO$25,MATCH($E24,DEMANDS!$F$2:$F$25,0),FALSE)</f>
        <v>0.061260741824694438</v>
      </c>
      <c r="P24" s="13">
        <f>HLOOKUP(REG_TRA_DEMANDS!P$3,'BY-Demands'!$J$5:$AK$14,MATCH($E24,'BY-Demands'!$I$5:$I$14,0),FALSE)*HLOOKUP(REG_TRA_DEMANDS!$F24,DEMANDS!$H$2:$CO$25,MATCH($E24,DEMANDS!$F$2:$F$25,0),FALSE)/HLOOKUP(2018,DEMANDS!$H$2:$CO$25,MATCH($E24,DEMANDS!$F$2:$F$25,0),FALSE)</f>
        <v>0.069754313718117147</v>
      </c>
      <c r="Q24" s="13">
        <f>HLOOKUP(REG_TRA_DEMANDS!Q$3,'BY-Demands'!$J$5:$AK$14,MATCH($E24,'BY-Demands'!$I$5:$I$14,0),FALSE)*HLOOKUP(REG_TRA_DEMANDS!$F24,DEMANDS!$H$2:$CO$25,MATCH($E24,DEMANDS!$F$2:$F$25,0),FALSE)/HLOOKUP(2018,DEMANDS!$H$2:$CO$25,MATCH($E24,DEMANDS!$F$2:$F$25,0),FALSE)</f>
        <v>0.11764960412869165</v>
      </c>
      <c r="R24" s="13">
        <f>HLOOKUP(REG_TRA_DEMANDS!R$3,'BY-Demands'!$J$5:$AK$14,MATCH($E24,'BY-Demands'!$I$5:$I$14,0),FALSE)*HLOOKUP(REG_TRA_DEMANDS!$F24,DEMANDS!$H$2:$CO$25,MATCH($E24,DEMANDS!$F$2:$F$25,0),FALSE)/HLOOKUP(2018,DEMANDS!$H$2:$CO$25,MATCH($E24,DEMANDS!$F$2:$F$25,0),FALSE)</f>
        <v>0.11191571624763795</v>
      </c>
      <c r="S24" s="13">
        <f>HLOOKUP(REG_TRA_DEMANDS!S$3,'BY-Demands'!$J$5:$AK$14,MATCH($E24,'BY-Demands'!$I$5:$I$14,0),FALSE)*HLOOKUP(REG_TRA_DEMANDS!$F24,DEMANDS!$H$2:$CO$25,MATCH($E24,DEMANDS!$F$2:$F$25,0),FALSE)/HLOOKUP(2018,DEMANDS!$H$2:$CO$25,MATCH($E24,DEMANDS!$F$2:$F$25,0),FALSE)</f>
        <v>0.093364856292052711</v>
      </c>
      <c r="T24" s="13">
        <f>HLOOKUP(REG_TRA_DEMANDS!T$3,'BY-Demands'!$J$5:$AK$14,MATCH($E24,'BY-Demands'!$I$5:$I$14,0),FALSE)*HLOOKUP(REG_TRA_DEMANDS!$F24,DEMANDS!$H$2:$CO$25,MATCH($E24,DEMANDS!$F$2:$F$25,0),FALSE)/HLOOKUP(2018,DEMANDS!$H$2:$CO$25,MATCH($E24,DEMANDS!$F$2:$F$25,0),FALSE)</f>
        <v>0.42657862768420407</v>
      </c>
      <c r="U24" s="13">
        <f>HLOOKUP(REG_TRA_DEMANDS!U$3,'BY-Demands'!$J$5:$AK$14,MATCH($E24,'BY-Demands'!$I$5:$I$14,0),FALSE)*HLOOKUP(REG_TRA_DEMANDS!$F24,DEMANDS!$H$2:$CO$25,MATCH($E24,DEMANDS!$F$2:$F$25,0),FALSE)/HLOOKUP(2018,DEMANDS!$H$2:$CO$25,MATCH($E24,DEMANDS!$F$2:$F$25,0),FALSE)</f>
        <v>0.1160662432844647</v>
      </c>
      <c r="V24" s="13">
        <f>HLOOKUP(REG_TRA_DEMANDS!V$3,'BY-Demands'!$J$5:$AK$14,MATCH($E24,'BY-Demands'!$I$5:$I$14,0),FALSE)*HLOOKUP(REG_TRA_DEMANDS!$F24,DEMANDS!$H$2:$CO$25,MATCH($E24,DEMANDS!$F$2:$F$25,0),FALSE)/HLOOKUP(2018,DEMANDS!$H$2:$CO$25,MATCH($E24,DEMANDS!$F$2:$F$25,0),FALSE)</f>
        <v>0.15314910430716835</v>
      </c>
      <c r="W24" s="13">
        <f>HLOOKUP(REG_TRA_DEMANDS!W$3,'BY-Demands'!$J$5:$AK$14,MATCH($E24,'BY-Demands'!$I$5:$I$14,0),FALSE)*HLOOKUP(REG_TRA_DEMANDS!$F24,DEMANDS!$H$2:$CO$25,MATCH($E24,DEMANDS!$F$2:$F$25,0),FALSE)/HLOOKUP(2018,DEMANDS!$H$2:$CO$25,MATCH($E24,DEMANDS!$F$2:$F$25,0),FALSE)</f>
        <v>0.12537467631707438</v>
      </c>
      <c r="X24" s="13">
        <f>HLOOKUP(REG_TRA_DEMANDS!X$3,'BY-Demands'!$J$5:$AK$14,MATCH($E24,'BY-Demands'!$I$5:$I$14,0),FALSE)*HLOOKUP(REG_TRA_DEMANDS!$F24,DEMANDS!$H$2:$CO$25,MATCH($E24,DEMANDS!$F$2:$F$25,0),FALSE)/HLOOKUP(2018,DEMANDS!$H$2:$CO$25,MATCH($E24,DEMANDS!$F$2:$F$25,0),FALSE)</f>
        <v>0.091289592773639419</v>
      </c>
      <c r="Y24" s="13">
        <f>HLOOKUP(REG_TRA_DEMANDS!Y$3,'BY-Demands'!$J$5:$AK$14,MATCH($E24,'BY-Demands'!$I$5:$I$14,0),FALSE)*HLOOKUP(REG_TRA_DEMANDS!$F24,DEMANDS!$H$2:$CO$25,MATCH($E24,DEMANDS!$F$2:$F$25,0),FALSE)/HLOOKUP(2018,DEMANDS!$H$2:$CO$25,MATCH($E24,DEMANDS!$F$2:$F$25,0),FALSE)</f>
        <v>0.20277862666970664</v>
      </c>
      <c r="Z24" s="13">
        <f>HLOOKUP(REG_TRA_DEMANDS!Z$3,'BY-Demands'!$J$5:$AK$14,MATCH($E24,'BY-Demands'!$I$5:$I$14,0),FALSE)*HLOOKUP(REG_TRA_DEMANDS!$F24,DEMANDS!$H$2:$CO$25,MATCH($E24,DEMANDS!$F$2:$F$25,0),FALSE)/HLOOKUP(2018,DEMANDS!$H$2:$CO$25,MATCH($E24,DEMANDS!$F$2:$F$25,0),FALSE)</f>
        <v>0.025179759251811974</v>
      </c>
      <c r="AA24" s="13">
        <f>HLOOKUP(REG_TRA_DEMANDS!AA$3,'BY-Demands'!$J$5:$AK$14,MATCH($E24,'BY-Demands'!$I$5:$I$14,0),FALSE)*HLOOKUP(REG_TRA_DEMANDS!$F24,DEMANDS!$H$2:$CO$25,MATCH($E24,DEMANDS!$F$2:$F$25,0),FALSE)/HLOOKUP(2018,DEMANDS!$H$2:$CO$25,MATCH($E24,DEMANDS!$F$2:$F$25,0),FALSE)</f>
        <v>0.10255070654962607</v>
      </c>
      <c r="AB24" s="13">
        <f>HLOOKUP(REG_TRA_DEMANDS!AB$3,'BY-Demands'!$J$5:$AK$14,MATCH($E24,'BY-Demands'!$I$5:$I$14,0),FALSE)*HLOOKUP(REG_TRA_DEMANDS!$F24,DEMANDS!$H$2:$CO$25,MATCH($E24,DEMANDS!$F$2:$F$25,0),FALSE)/HLOOKUP(2018,DEMANDS!$H$2:$CO$25,MATCH($E24,DEMANDS!$F$2:$F$25,0),FALSE)</f>
        <v>0.050717837384500954</v>
      </c>
      <c r="AC24" s="13">
        <f>HLOOKUP(REG_TRA_DEMANDS!AC$3,'BY-Demands'!$J$5:$AK$14,MATCH($E24,'BY-Demands'!$I$5:$I$14,0),FALSE)*HLOOKUP(REG_TRA_DEMANDS!$F24,DEMANDS!$H$2:$CO$25,MATCH($E24,DEMANDS!$F$2:$F$25,0),FALSE)/HLOOKUP(2018,DEMANDS!$H$2:$CO$25,MATCH($E24,DEMANDS!$F$2:$F$25,0),FALSE)</f>
        <v>0.051496552320793129</v>
      </c>
      <c r="AD24" s="13">
        <f>HLOOKUP(REG_TRA_DEMANDS!AD$3,'BY-Demands'!$J$5:$AK$14,MATCH($E24,'BY-Demands'!$I$5:$I$14,0),FALSE)*HLOOKUP(REG_TRA_DEMANDS!$F24,DEMANDS!$H$2:$CO$25,MATCH($E24,DEMANDS!$F$2:$F$25,0),FALSE)/HLOOKUP(2018,DEMANDS!$H$2:$CO$25,MATCH($E24,DEMANDS!$F$2:$F$25,0),FALSE)</f>
        <v>0.059858111994945243</v>
      </c>
      <c r="AE24" s="13">
        <f>HLOOKUP(REG_TRA_DEMANDS!AE$3,'BY-Demands'!$J$5:$AK$14,MATCH($E24,'BY-Demands'!$I$5:$I$14,0),FALSE)*HLOOKUP(REG_TRA_DEMANDS!$F24,DEMANDS!$H$2:$CO$25,MATCH($E24,DEMANDS!$F$2:$F$25,0),FALSE)/HLOOKUP(2018,DEMANDS!$H$2:$CO$25,MATCH($E24,DEMANDS!$F$2:$F$25,0),FALSE)</f>
        <v>0.12509100720304714</v>
      </c>
      <c r="AF24" s="13">
        <f>HLOOKUP(REG_TRA_DEMANDS!AF$3,'BY-Demands'!$J$5:$AK$14,MATCH($E24,'BY-Demands'!$I$5:$I$14,0),FALSE)*HLOOKUP(REG_TRA_DEMANDS!$F24,DEMANDS!$H$2:$CO$25,MATCH($E24,DEMANDS!$F$2:$F$25,0),FALSE)/HLOOKUP(2018,DEMANDS!$H$2:$CO$25,MATCH($E24,DEMANDS!$F$2:$F$25,0),FALSE)</f>
        <v>0.048236321977023038</v>
      </c>
    </row>
    <row r="25" spans="4:32" ht="12.75">
      <c r="D25" s="3" t="s">
        <v>59</v>
      </c>
      <c r="E25" s="3" t="str">
        <v>TNAV</v>
      </c>
      <c r="F25" s="3">
        <v>2020</v>
      </c>
      <c r="G25" s="13">
        <f>HLOOKUP(REG_TRA_DEMANDS!G$3,'BY-Demands'!$J$5:$AK$14,MATCH($E25,'BY-Demands'!$I$5:$I$14,0),FALSE)*HLOOKUP(REG_TRA_DEMANDS!$F25,DEMANDS!$H$2:$CO$25,MATCH($E25,DEMANDS!$F$2:$F$25,0),FALSE)/HLOOKUP(2018,DEMANDS!$H$2:$CO$25,MATCH($E25,DEMANDS!$F$2:$F$25,0),FALSE)</f>
        <v>0.054709600636236908</v>
      </c>
      <c r="H25" s="13">
        <f>HLOOKUP(REG_TRA_DEMANDS!H$3,'BY-Demands'!$J$5:$AK$14,MATCH($E25,'BY-Demands'!$I$5:$I$14,0),FALSE)*HLOOKUP(REG_TRA_DEMANDS!$F25,DEMANDS!$H$2:$CO$25,MATCH($E25,DEMANDS!$F$2:$F$25,0),FALSE)/HLOOKUP(2018,DEMANDS!$H$2:$CO$25,MATCH($E25,DEMANDS!$F$2:$F$25,0),FALSE)</f>
        <v>1.2947634511986181</v>
      </c>
      <c r="I25" s="13">
        <f>HLOOKUP(REG_TRA_DEMANDS!I$3,'BY-Demands'!$J$5:$AK$14,MATCH($E25,'BY-Demands'!$I$5:$I$14,0),FALSE)*HLOOKUP(REG_TRA_DEMANDS!$F25,DEMANDS!$H$2:$CO$25,MATCH($E25,DEMANDS!$F$2:$F$25,0),FALSE)/HLOOKUP(2018,DEMANDS!$H$2:$CO$25,MATCH($E25,DEMANDS!$F$2:$F$25,0),FALSE)</f>
        <v>0.21381832677519244</v>
      </c>
      <c r="J25" s="13">
        <f>HLOOKUP(REG_TRA_DEMANDS!J$3,'BY-Demands'!$J$5:$AK$14,MATCH($E25,'BY-Demands'!$I$5:$I$14,0),FALSE)*HLOOKUP(REG_TRA_DEMANDS!$F25,DEMANDS!$H$2:$CO$25,MATCH($E25,DEMANDS!$F$2:$F$25,0),FALSE)/HLOOKUP(2018,DEMANDS!$H$2:$CO$25,MATCH($E25,DEMANDS!$F$2:$F$25,0),FALSE)</f>
        <v>0.095358376490112085</v>
      </c>
      <c r="K25" s="13">
        <f>HLOOKUP(REG_TRA_DEMANDS!K$3,'BY-Demands'!$J$5:$AK$14,MATCH($E25,'BY-Demands'!$I$5:$I$14,0),FALSE)*HLOOKUP(REG_TRA_DEMANDS!$F25,DEMANDS!$H$2:$CO$25,MATCH($E25,DEMANDS!$F$2:$F$25,0),FALSE)/HLOOKUP(2018,DEMANDS!$H$2:$CO$25,MATCH($E25,DEMANDS!$F$2:$F$25,0),FALSE)</f>
        <v>0.081390765212663516</v>
      </c>
      <c r="L25" s="13">
        <f>HLOOKUP(REG_TRA_DEMANDS!L$3,'BY-Demands'!$J$5:$AK$14,MATCH($E25,'BY-Demands'!$I$5:$I$14,0),FALSE)*HLOOKUP(REG_TRA_DEMANDS!$F25,DEMANDS!$H$2:$CO$25,MATCH($E25,DEMANDS!$F$2:$F$25,0),FALSE)/HLOOKUP(2018,DEMANDS!$H$2:$CO$25,MATCH($E25,DEMANDS!$F$2:$F$25,0),FALSE)</f>
        <v>0.039277480271286955</v>
      </c>
      <c r="M25" s="13">
        <f>HLOOKUP(REG_TRA_DEMANDS!M$3,'BY-Demands'!$J$5:$AK$14,MATCH($E25,'BY-Demands'!$I$5:$I$14,0),FALSE)*HLOOKUP(REG_TRA_DEMANDS!$F25,DEMANDS!$H$2:$CO$25,MATCH($E25,DEMANDS!$F$2:$F$25,0),FALSE)/HLOOKUP(2018,DEMANDS!$H$2:$CO$25,MATCH($E25,DEMANDS!$F$2:$F$25,0),FALSE)</f>
        <v>0.12385288007448821</v>
      </c>
      <c r="N25" s="13">
        <f>HLOOKUP(REG_TRA_DEMANDS!N$3,'BY-Demands'!$J$5:$AK$14,MATCH($E25,'BY-Demands'!$I$5:$I$14,0),FALSE)*HLOOKUP(REG_TRA_DEMANDS!$F25,DEMANDS!$H$2:$CO$25,MATCH($E25,DEMANDS!$F$2:$F$25,0),FALSE)/HLOOKUP(2018,DEMANDS!$H$2:$CO$25,MATCH($E25,DEMANDS!$F$2:$F$25,0),FALSE)</f>
        <v>0.1874302562090602</v>
      </c>
      <c r="O25" s="13">
        <f>HLOOKUP(REG_TRA_DEMANDS!O$3,'BY-Demands'!$J$5:$AK$14,MATCH($E25,'BY-Demands'!$I$5:$I$14,0),FALSE)*HLOOKUP(REG_TRA_DEMANDS!$F25,DEMANDS!$H$2:$CO$25,MATCH($E25,DEMANDS!$F$2:$F$25,0),FALSE)/HLOOKUP(2018,DEMANDS!$H$2:$CO$25,MATCH($E25,DEMANDS!$F$2:$F$25,0),FALSE)</f>
        <v>0.074917711923025126</v>
      </c>
      <c r="P25" s="13">
        <f>HLOOKUP(REG_TRA_DEMANDS!P$3,'BY-Demands'!$J$5:$AK$14,MATCH($E25,'BY-Demands'!$I$5:$I$14,0),FALSE)*HLOOKUP(REG_TRA_DEMANDS!$F25,DEMANDS!$H$2:$CO$25,MATCH($E25,DEMANDS!$F$2:$F$25,0),FALSE)/HLOOKUP(2018,DEMANDS!$H$2:$CO$25,MATCH($E25,DEMANDS!$F$2:$F$25,0),FALSE)</f>
        <v>0.085304771455047348</v>
      </c>
      <c r="Q25" s="13">
        <f>HLOOKUP(REG_TRA_DEMANDS!Q$3,'BY-Demands'!$J$5:$AK$14,MATCH($E25,'BY-Demands'!$I$5:$I$14,0),FALSE)*HLOOKUP(REG_TRA_DEMANDS!$F25,DEMANDS!$H$2:$CO$25,MATCH($E25,DEMANDS!$F$2:$F$25,0),FALSE)/HLOOKUP(2018,DEMANDS!$H$2:$CO$25,MATCH($E25,DEMANDS!$F$2:$F$25,0),FALSE)</f>
        <v>0.14387744724335505</v>
      </c>
      <c r="R25" s="13">
        <f>HLOOKUP(REG_TRA_DEMANDS!R$3,'BY-Demands'!$J$5:$AK$14,MATCH($E25,'BY-Demands'!$I$5:$I$14,0),FALSE)*HLOOKUP(REG_TRA_DEMANDS!$F25,DEMANDS!$H$2:$CO$25,MATCH($E25,DEMANDS!$F$2:$F$25,0),FALSE)/HLOOKUP(2018,DEMANDS!$H$2:$CO$25,MATCH($E25,DEMANDS!$F$2:$F$25,0),FALSE)</f>
        <v>0.13686529316756901</v>
      </c>
      <c r="S25" s="13">
        <f>HLOOKUP(REG_TRA_DEMANDS!S$3,'BY-Demands'!$J$5:$AK$14,MATCH($E25,'BY-Demands'!$I$5:$I$14,0),FALSE)*HLOOKUP(REG_TRA_DEMANDS!$F25,DEMANDS!$H$2:$CO$25,MATCH($E25,DEMANDS!$F$2:$F$25,0),FALSE)/HLOOKUP(2018,DEMANDS!$H$2:$CO$25,MATCH($E25,DEMANDS!$F$2:$F$25,0),FALSE)</f>
        <v>0.11417885580685315</v>
      </c>
      <c r="T25" s="13">
        <f>HLOOKUP(REG_TRA_DEMANDS!T$3,'BY-Demands'!$J$5:$AK$14,MATCH($E25,'BY-Demands'!$I$5:$I$14,0),FALSE)*HLOOKUP(REG_TRA_DEMANDS!$F25,DEMANDS!$H$2:$CO$25,MATCH($E25,DEMANDS!$F$2:$F$25,0),FALSE)/HLOOKUP(2018,DEMANDS!$H$2:$CO$25,MATCH($E25,DEMANDS!$F$2:$F$25,0),FALSE)</f>
        <v>0.52167658747615886</v>
      </c>
      <c r="U25" s="13">
        <f>HLOOKUP(REG_TRA_DEMANDS!U$3,'BY-Demands'!$J$5:$AK$14,MATCH($E25,'BY-Demands'!$I$5:$I$14,0),FALSE)*HLOOKUP(REG_TRA_DEMANDS!$F25,DEMANDS!$H$2:$CO$25,MATCH($E25,DEMANDS!$F$2:$F$25,0),FALSE)/HLOOKUP(2018,DEMANDS!$H$2:$CO$25,MATCH($E25,DEMANDS!$F$2:$F$25,0),FALSE)</f>
        <v>0.14194110484747868</v>
      </c>
      <c r="V25" s="13">
        <f>HLOOKUP(REG_TRA_DEMANDS!V$3,'BY-Demands'!$J$5:$AK$14,MATCH($E25,'BY-Demands'!$I$5:$I$14,0),FALSE)*HLOOKUP(REG_TRA_DEMANDS!$F25,DEMANDS!$H$2:$CO$25,MATCH($E25,DEMANDS!$F$2:$F$25,0),FALSE)/HLOOKUP(2018,DEMANDS!$H$2:$CO$25,MATCH($E25,DEMANDS!$F$2:$F$25,0),FALSE)</f>
        <v>0.18729091643367465</v>
      </c>
      <c r="W25" s="13">
        <f>HLOOKUP(REG_TRA_DEMANDS!W$3,'BY-Demands'!$J$5:$AK$14,MATCH($E25,'BY-Demands'!$I$5:$I$14,0),FALSE)*HLOOKUP(REG_TRA_DEMANDS!$F25,DEMANDS!$H$2:$CO$25,MATCH($E25,DEMANDS!$F$2:$F$25,0),FALSE)/HLOOKUP(2018,DEMANDS!$H$2:$CO$25,MATCH($E25,DEMANDS!$F$2:$F$25,0),FALSE)</f>
        <v>0.15332468401449936</v>
      </c>
      <c r="X25" s="13">
        <f>HLOOKUP(REG_TRA_DEMANDS!X$3,'BY-Demands'!$J$5:$AK$14,MATCH($E25,'BY-Demands'!$I$5:$I$14,0),FALSE)*HLOOKUP(REG_TRA_DEMANDS!$F25,DEMANDS!$H$2:$CO$25,MATCH($E25,DEMANDS!$F$2:$F$25,0),FALSE)/HLOOKUP(2018,DEMANDS!$H$2:$CO$25,MATCH($E25,DEMANDS!$F$2:$F$25,0),FALSE)</f>
        <v>0.11164094996689844</v>
      </c>
      <c r="Y25" s="13">
        <f>HLOOKUP(REG_TRA_DEMANDS!Y$3,'BY-Demands'!$J$5:$AK$14,MATCH($E25,'BY-Demands'!$I$5:$I$14,0),FALSE)*HLOOKUP(REG_TRA_DEMANDS!$F25,DEMANDS!$H$2:$CO$25,MATCH($E25,DEMANDS!$F$2:$F$25,0),FALSE)/HLOOKUP(2018,DEMANDS!$H$2:$CO$25,MATCH($E25,DEMANDS!$F$2:$F$25,0),FALSE)</f>
        <v>0.24798443969974754</v>
      </c>
      <c r="Z25" s="13">
        <f>HLOOKUP(REG_TRA_DEMANDS!Z$3,'BY-Demands'!$J$5:$AK$14,MATCH($E25,'BY-Demands'!$I$5:$I$14,0),FALSE)*HLOOKUP(REG_TRA_DEMANDS!$F25,DEMANDS!$H$2:$CO$25,MATCH($E25,DEMANDS!$F$2:$F$25,0),FALSE)/HLOOKUP(2018,DEMANDS!$H$2:$CO$25,MATCH($E25,DEMANDS!$F$2:$F$25,0),FALSE)</f>
        <v>0.030793129396254827</v>
      </c>
      <c r="AA25" s="13">
        <f>HLOOKUP(REG_TRA_DEMANDS!AA$3,'BY-Demands'!$J$5:$AK$14,MATCH($E25,'BY-Demands'!$I$5:$I$14,0),FALSE)*HLOOKUP(REG_TRA_DEMANDS!$F25,DEMANDS!$H$2:$CO$25,MATCH($E25,DEMANDS!$F$2:$F$25,0),FALSE)/HLOOKUP(2018,DEMANDS!$H$2:$CO$25,MATCH($E25,DEMANDS!$F$2:$F$25,0),FALSE)</f>
        <v>0.12541252459483895</v>
      </c>
      <c r="AB25" s="13">
        <f>HLOOKUP(REG_TRA_DEMANDS!AB$3,'BY-Demands'!$J$5:$AK$14,MATCH($E25,'BY-Demands'!$I$5:$I$14,0),FALSE)*HLOOKUP(REG_TRA_DEMANDS!$F25,DEMANDS!$H$2:$CO$25,MATCH($E25,DEMANDS!$F$2:$F$25,0),FALSE)/HLOOKUP(2018,DEMANDS!$H$2:$CO$25,MATCH($E25,DEMANDS!$F$2:$F$25,0),FALSE)</f>
        <v>0.06202445836199811</v>
      </c>
      <c r="AC25" s="13">
        <f>HLOOKUP(REG_TRA_DEMANDS!AC$3,'BY-Demands'!$J$5:$AK$14,MATCH($E25,'BY-Demands'!$I$5:$I$14,0),FALSE)*HLOOKUP(REG_TRA_DEMANDS!$F25,DEMANDS!$H$2:$CO$25,MATCH($E25,DEMANDS!$F$2:$F$25,0),FALSE)/HLOOKUP(2018,DEMANDS!$H$2:$CO$25,MATCH($E25,DEMANDS!$F$2:$F$25,0),FALSE)</f>
        <v>0.062976773654461277</v>
      </c>
      <c r="AD25" s="13">
        <f>HLOOKUP(REG_TRA_DEMANDS!AD$3,'BY-Demands'!$J$5:$AK$14,MATCH($E25,'BY-Demands'!$I$5:$I$14,0),FALSE)*HLOOKUP(REG_TRA_DEMANDS!$F25,DEMANDS!$H$2:$CO$25,MATCH($E25,DEMANDS!$F$2:$F$25,0),FALSE)/HLOOKUP(2018,DEMANDS!$H$2:$CO$25,MATCH($E25,DEMANDS!$F$2:$F$25,0),FALSE)</f>
        <v>0.073202391239829717</v>
      </c>
      <c r="AE25" s="13">
        <f>HLOOKUP(REG_TRA_DEMANDS!AE$3,'BY-Demands'!$J$5:$AK$14,MATCH($E25,'BY-Demands'!$I$5:$I$14,0),FALSE)*HLOOKUP(REG_TRA_DEMANDS!$F25,DEMANDS!$H$2:$CO$25,MATCH($E25,DEMANDS!$F$2:$F$25,0),FALSE)/HLOOKUP(2018,DEMANDS!$H$2:$CO$25,MATCH($E25,DEMANDS!$F$2:$F$25,0),FALSE)</f>
        <v>0.15297777602198812</v>
      </c>
      <c r="AF25" s="13">
        <f>HLOOKUP(REG_TRA_DEMANDS!AF$3,'BY-Demands'!$J$5:$AK$14,MATCH($E25,'BY-Demands'!$I$5:$I$14,0),FALSE)*HLOOKUP(REG_TRA_DEMANDS!$F25,DEMANDS!$H$2:$CO$25,MATCH($E25,DEMANDS!$F$2:$F$25,0),FALSE)/HLOOKUP(2018,DEMANDS!$H$2:$CO$25,MATCH($E25,DEMANDS!$F$2:$F$25,0),FALSE)</f>
        <v>0.058989734150496013</v>
      </c>
    </row>
    <row r="26" spans="4:32" ht="12.75">
      <c r="D26" s="3" t="s">
        <v>59</v>
      </c>
      <c r="E26" s="3" t="str">
        <v>TNAV</v>
      </c>
      <c r="F26" s="3">
        <v>2030</v>
      </c>
      <c r="G26" s="13">
        <f>HLOOKUP(REG_TRA_DEMANDS!G$3,'BY-Demands'!$J$5:$AK$14,MATCH($E26,'BY-Demands'!$I$5:$I$14,0),FALSE)*HLOOKUP(REG_TRA_DEMANDS!$F26,DEMANDS!$H$2:$CO$25,MATCH($E26,DEMANDS!$F$2:$F$25,0),FALSE)/HLOOKUP(2018,DEMANDS!$H$2:$CO$25,MATCH($E26,DEMANDS!$F$2:$F$25,0),FALSE)</f>
        <v>0.050474526932748301</v>
      </c>
      <c r="H26" s="13">
        <f>HLOOKUP(REG_TRA_DEMANDS!H$3,'BY-Demands'!$J$5:$AK$14,MATCH($E26,'BY-Demands'!$I$5:$I$14,0),FALSE)*HLOOKUP(REG_TRA_DEMANDS!$F26,DEMANDS!$H$2:$CO$25,MATCH($E26,DEMANDS!$F$2:$F$25,0),FALSE)/HLOOKUP(2018,DEMANDS!$H$2:$CO$25,MATCH($E26,DEMANDS!$F$2:$F$25,0),FALSE)</f>
        <v>1.1945357291783356</v>
      </c>
      <c r="I26" s="13">
        <f>HLOOKUP(REG_TRA_DEMANDS!I$3,'BY-Demands'!$J$5:$AK$14,MATCH($E26,'BY-Demands'!$I$5:$I$14,0),FALSE)*HLOOKUP(REG_TRA_DEMANDS!$F26,DEMANDS!$H$2:$CO$25,MATCH($E26,DEMANDS!$F$2:$F$25,0),FALSE)/HLOOKUP(2018,DEMANDS!$H$2:$CO$25,MATCH($E26,DEMANDS!$F$2:$F$25,0),FALSE)</f>
        <v>0.19726663634940328</v>
      </c>
      <c r="J26" s="13">
        <f>HLOOKUP(REG_TRA_DEMANDS!J$3,'BY-Demands'!$J$5:$AK$14,MATCH($E26,'BY-Demands'!$I$5:$I$14,0),FALSE)*HLOOKUP(REG_TRA_DEMANDS!$F26,DEMANDS!$H$2:$CO$25,MATCH($E26,DEMANDS!$F$2:$F$25,0),FALSE)/HLOOKUP(2018,DEMANDS!$H$2:$CO$25,MATCH($E26,DEMANDS!$F$2:$F$25,0),FALSE)</f>
        <v>0.087976678433753938</v>
      </c>
      <c r="K26" s="13">
        <f>HLOOKUP(REG_TRA_DEMANDS!K$3,'BY-Demands'!$J$5:$AK$14,MATCH($E26,'BY-Demands'!$I$5:$I$14,0),FALSE)*HLOOKUP(REG_TRA_DEMANDS!$F26,DEMANDS!$H$2:$CO$25,MATCH($E26,DEMANDS!$F$2:$F$25,0),FALSE)/HLOOKUP(2018,DEMANDS!$H$2:$CO$25,MATCH($E26,DEMANDS!$F$2:$F$25,0),FALSE)</f>
        <v>0.075090300843514812</v>
      </c>
      <c r="L26" s="13">
        <f>HLOOKUP(REG_TRA_DEMANDS!L$3,'BY-Demands'!$J$5:$AK$14,MATCH($E26,'BY-Demands'!$I$5:$I$14,0),FALSE)*HLOOKUP(REG_TRA_DEMANDS!$F26,DEMANDS!$H$2:$CO$25,MATCH($E26,DEMANDS!$F$2:$F$25,0),FALSE)/HLOOKUP(2018,DEMANDS!$H$2:$CO$25,MATCH($E26,DEMANDS!$F$2:$F$25,0),FALSE)</f>
        <v>0.036237007997650172</v>
      </c>
      <c r="M26" s="13">
        <f>HLOOKUP(REG_TRA_DEMANDS!M$3,'BY-Demands'!$J$5:$AK$14,MATCH($E26,'BY-Demands'!$I$5:$I$14,0),FALSE)*HLOOKUP(REG_TRA_DEMANDS!$F26,DEMANDS!$H$2:$CO$25,MATCH($E26,DEMANDS!$F$2:$F$25,0),FALSE)/HLOOKUP(2018,DEMANDS!$H$2:$CO$25,MATCH($E26,DEMANDS!$F$2:$F$25,0),FALSE)</f>
        <v>0.11426542066325329</v>
      </c>
      <c r="N26" s="13">
        <f>HLOOKUP(REG_TRA_DEMANDS!N$3,'BY-Demands'!$J$5:$AK$14,MATCH($E26,'BY-Demands'!$I$5:$I$14,0),FALSE)*HLOOKUP(REG_TRA_DEMANDS!$F26,DEMANDS!$H$2:$CO$25,MATCH($E26,DEMANDS!$F$2:$F$25,0),FALSE)/HLOOKUP(2018,DEMANDS!$H$2:$CO$25,MATCH($E26,DEMANDS!$F$2:$F$25,0),FALSE)</f>
        <v>0.17292126802274616</v>
      </c>
      <c r="O26" s="13">
        <f>HLOOKUP(REG_TRA_DEMANDS!O$3,'BY-Demands'!$J$5:$AK$14,MATCH($E26,'BY-Demands'!$I$5:$I$14,0),FALSE)*HLOOKUP(REG_TRA_DEMANDS!$F26,DEMANDS!$H$2:$CO$25,MATCH($E26,DEMANDS!$F$2:$F$25,0),FALSE)/HLOOKUP(2018,DEMANDS!$H$2:$CO$25,MATCH($E26,DEMANDS!$F$2:$F$25,0),FALSE)</f>
        <v>0.069118327025293178</v>
      </c>
      <c r="P26" s="13">
        <f>HLOOKUP(REG_TRA_DEMANDS!P$3,'BY-Demands'!$J$5:$AK$14,MATCH($E26,'BY-Demands'!$I$5:$I$14,0),FALSE)*HLOOKUP(REG_TRA_DEMANDS!$F26,DEMANDS!$H$2:$CO$25,MATCH($E26,DEMANDS!$F$2:$F$25,0),FALSE)/HLOOKUP(2018,DEMANDS!$H$2:$CO$25,MATCH($E26,DEMANDS!$F$2:$F$25,0),FALSE)</f>
        <v>0.078701323610975774</v>
      </c>
      <c r="Q26" s="13">
        <f>HLOOKUP(REG_TRA_DEMANDS!Q$3,'BY-Demands'!$J$5:$AK$14,MATCH($E26,'BY-Demands'!$I$5:$I$14,0),FALSE)*HLOOKUP(REG_TRA_DEMANDS!$F26,DEMANDS!$H$2:$CO$25,MATCH($E26,DEMANDS!$F$2:$F$25,0),FALSE)/HLOOKUP(2018,DEMANDS!$H$2:$CO$25,MATCH($E26,DEMANDS!$F$2:$F$25,0),FALSE)</f>
        <v>0.13273988479984836</v>
      </c>
      <c r="R26" s="13">
        <f>HLOOKUP(REG_TRA_DEMANDS!R$3,'BY-Demands'!$J$5:$AK$14,MATCH($E26,'BY-Demands'!$I$5:$I$14,0),FALSE)*HLOOKUP(REG_TRA_DEMANDS!$F26,DEMANDS!$H$2:$CO$25,MATCH($E26,DEMANDS!$F$2:$F$25,0),FALSE)/HLOOKUP(2018,DEMANDS!$H$2:$CO$25,MATCH($E26,DEMANDS!$F$2:$F$25,0),FALSE)</f>
        <v>0.126270542022003</v>
      </c>
      <c r="S26" s="13">
        <f>HLOOKUP(REG_TRA_DEMANDS!S$3,'BY-Demands'!$J$5:$AK$14,MATCH($E26,'BY-Demands'!$I$5:$I$14,0),FALSE)*HLOOKUP(REG_TRA_DEMANDS!$F26,DEMANDS!$H$2:$CO$25,MATCH($E26,DEMANDS!$F$2:$F$25,0),FALSE)/HLOOKUP(2018,DEMANDS!$H$2:$CO$25,MATCH($E26,DEMANDS!$F$2:$F$25,0),FALSE)</f>
        <v>0.10534026323628815</v>
      </c>
      <c r="T26" s="13">
        <f>HLOOKUP(REG_TRA_DEMANDS!T$3,'BY-Demands'!$J$5:$AK$14,MATCH($E26,'BY-Demands'!$I$5:$I$14,0),FALSE)*HLOOKUP(REG_TRA_DEMANDS!$F26,DEMANDS!$H$2:$CO$25,MATCH($E26,DEMANDS!$F$2:$F$25,0),FALSE)/HLOOKUP(2018,DEMANDS!$H$2:$CO$25,MATCH($E26,DEMANDS!$F$2:$F$25,0),FALSE)</f>
        <v>0.48129356929191353</v>
      </c>
      <c r="U26" s="13">
        <f>HLOOKUP(REG_TRA_DEMANDS!U$3,'BY-Demands'!$J$5:$AK$14,MATCH($E26,'BY-Demands'!$I$5:$I$14,0),FALSE)*HLOOKUP(REG_TRA_DEMANDS!$F26,DEMANDS!$H$2:$CO$25,MATCH($E26,DEMANDS!$F$2:$F$25,0),FALSE)/HLOOKUP(2018,DEMANDS!$H$2:$CO$25,MATCH($E26,DEMANDS!$F$2:$F$25,0),FALSE)</f>
        <v>0.13095343479335811</v>
      </c>
      <c r="V26" s="13">
        <f>HLOOKUP(REG_TRA_DEMANDS!V$3,'BY-Demands'!$J$5:$AK$14,MATCH($E26,'BY-Demands'!$I$5:$I$14,0),FALSE)*HLOOKUP(REG_TRA_DEMANDS!$F26,DEMANDS!$H$2:$CO$25,MATCH($E26,DEMANDS!$F$2:$F$25,0),FALSE)/HLOOKUP(2018,DEMANDS!$H$2:$CO$25,MATCH($E26,DEMANDS!$F$2:$F$25,0),FALSE)</f>
        <v>0.17279271454833375</v>
      </c>
      <c r="W26" s="13">
        <f>HLOOKUP(REG_TRA_DEMANDS!W$3,'BY-Demands'!$J$5:$AK$14,MATCH($E26,'BY-Demands'!$I$5:$I$14,0),FALSE)*HLOOKUP(REG_TRA_DEMANDS!$F26,DEMANDS!$H$2:$CO$25,MATCH($E26,DEMANDS!$F$2:$F$25,0),FALSE)/HLOOKUP(2018,DEMANDS!$H$2:$CO$25,MATCH($E26,DEMANDS!$F$2:$F$25,0),FALSE)</f>
        <v>0.14145581036501023</v>
      </c>
      <c r="X26" s="13">
        <f>HLOOKUP(REG_TRA_DEMANDS!X$3,'BY-Demands'!$J$5:$AK$14,MATCH($E26,'BY-Demands'!$I$5:$I$14,0),FALSE)*HLOOKUP(REG_TRA_DEMANDS!$F26,DEMANDS!$H$2:$CO$25,MATCH($E26,DEMANDS!$F$2:$F$25,0),FALSE)/HLOOKUP(2018,DEMANDS!$H$2:$CO$25,MATCH($E26,DEMANDS!$F$2:$F$25,0),FALSE)</f>
        <v>0.10299881685061071</v>
      </c>
      <c r="Y26" s="13">
        <f>HLOOKUP(REG_TRA_DEMANDS!Y$3,'BY-Demands'!$J$5:$AK$14,MATCH($E26,'BY-Demands'!$I$5:$I$14,0),FALSE)*HLOOKUP(REG_TRA_DEMANDS!$F26,DEMANDS!$H$2:$CO$25,MATCH($E26,DEMANDS!$F$2:$F$25,0),FALSE)/HLOOKUP(2018,DEMANDS!$H$2:$CO$25,MATCH($E26,DEMANDS!$F$2:$F$25,0),FALSE)</f>
        <v>0.22878794827533133</v>
      </c>
      <c r="Z26" s="13">
        <f>HLOOKUP(REG_TRA_DEMANDS!Z$3,'BY-Demands'!$J$5:$AK$14,MATCH($E26,'BY-Demands'!$I$5:$I$14,0),FALSE)*HLOOKUP(REG_TRA_DEMANDS!$F26,DEMANDS!$H$2:$CO$25,MATCH($E26,DEMANDS!$F$2:$F$25,0),FALSE)/HLOOKUP(2018,DEMANDS!$H$2:$CO$25,MATCH($E26,DEMANDS!$F$2:$F$25,0),FALSE)</f>
        <v>0.028409431269461646</v>
      </c>
      <c r="AA26" s="13">
        <f>HLOOKUP(REG_TRA_DEMANDS!AA$3,'BY-Demands'!$J$5:$AK$14,MATCH($E26,'BY-Demands'!$I$5:$I$14,0),FALSE)*HLOOKUP(REG_TRA_DEMANDS!$F26,DEMANDS!$H$2:$CO$25,MATCH($E26,DEMANDS!$F$2:$F$25,0),FALSE)/HLOOKUP(2018,DEMANDS!$H$2:$CO$25,MATCH($E26,DEMANDS!$F$2:$F$25,0),FALSE)</f>
        <v>0.11570433300098687</v>
      </c>
      <c r="AB26" s="13">
        <f>HLOOKUP(REG_TRA_DEMANDS!AB$3,'BY-Demands'!$J$5:$AK$14,MATCH($E26,'BY-Demands'!$I$5:$I$14,0),FALSE)*HLOOKUP(REG_TRA_DEMANDS!$F26,DEMANDS!$H$2:$CO$25,MATCH($E26,DEMANDS!$F$2:$F$25,0),FALSE)/HLOOKUP(2018,DEMANDS!$H$2:$CO$25,MATCH($E26,DEMANDS!$F$2:$F$25,0),FALSE)</f>
        <v>0.057223141051558145</v>
      </c>
      <c r="AC26" s="13">
        <f>HLOOKUP(REG_TRA_DEMANDS!AC$3,'BY-Demands'!$J$5:$AK$14,MATCH($E26,'BY-Demands'!$I$5:$I$14,0),FALSE)*HLOOKUP(REG_TRA_DEMANDS!$F26,DEMANDS!$H$2:$CO$25,MATCH($E26,DEMANDS!$F$2:$F$25,0),FALSE)/HLOOKUP(2018,DEMANDS!$H$2:$CO$25,MATCH($E26,DEMANDS!$F$2:$F$25,0),FALSE)</f>
        <v>0.058101737555990705</v>
      </c>
      <c r="AD26" s="13">
        <f>HLOOKUP(REG_TRA_DEMANDS!AD$3,'BY-Demands'!$J$5:$AK$14,MATCH($E26,'BY-Demands'!$I$5:$I$14,0),FALSE)*HLOOKUP(REG_TRA_DEMANDS!$F26,DEMANDS!$H$2:$CO$25,MATCH($E26,DEMANDS!$F$2:$F$25,0),FALSE)/HLOOKUP(2018,DEMANDS!$H$2:$CO$25,MATCH($E26,DEMANDS!$F$2:$F$25,0),FALSE)</f>
        <v>0.06753578942649191</v>
      </c>
      <c r="AE26" s="13">
        <f>HLOOKUP(REG_TRA_DEMANDS!AE$3,'BY-Demands'!$J$5:$AK$14,MATCH($E26,'BY-Demands'!$I$5:$I$14,0),FALSE)*HLOOKUP(REG_TRA_DEMANDS!$F26,DEMANDS!$H$2:$CO$25,MATCH($E26,DEMANDS!$F$2:$F$25,0),FALSE)/HLOOKUP(2018,DEMANDS!$H$2:$CO$25,MATCH($E26,DEMANDS!$F$2:$F$25,0),FALSE)</f>
        <v>0.14113575654250807</v>
      </c>
      <c r="AF26" s="13">
        <f>HLOOKUP(REG_TRA_DEMANDS!AF$3,'BY-Demands'!$J$5:$AK$14,MATCH($E26,'BY-Demands'!$I$5:$I$14,0),FALSE)*HLOOKUP(REG_TRA_DEMANDS!$F26,DEMANDS!$H$2:$CO$25,MATCH($E26,DEMANDS!$F$2:$F$25,0),FALSE)/HLOOKUP(2018,DEMANDS!$H$2:$CO$25,MATCH($E26,DEMANDS!$F$2:$F$25,0),FALSE)</f>
        <v>0.054423335036423943</v>
      </c>
    </row>
    <row r="27" spans="4:32" ht="12.75">
      <c r="D27" s="3" t="s">
        <v>59</v>
      </c>
      <c r="E27" s="3" t="str">
        <v>TNAV</v>
      </c>
      <c r="F27" s="3">
        <v>2050</v>
      </c>
      <c r="G27" s="13">
        <f>HLOOKUP(REG_TRA_DEMANDS!G$3,'BY-Demands'!$J$5:$AK$14,MATCH($E27,'BY-Demands'!$I$5:$I$14,0),FALSE)*HLOOKUP(REG_TRA_DEMANDS!$F27,DEMANDS!$H$2:$CO$25,MATCH($E27,DEMANDS!$F$2:$F$25,0),FALSE)/HLOOKUP(2018,DEMANDS!$H$2:$CO$25,MATCH($E27,DEMANDS!$F$2:$F$25,0),FALSE)</f>
        <v>0.042004379525771102</v>
      </c>
      <c r="H27" s="13">
        <f>HLOOKUP(REG_TRA_DEMANDS!H$3,'BY-Demands'!$J$5:$AK$14,MATCH($E27,'BY-Demands'!$I$5:$I$14,0),FALSE)*HLOOKUP(REG_TRA_DEMANDS!$F27,DEMANDS!$H$2:$CO$25,MATCH($E27,DEMANDS!$F$2:$F$25,0),FALSE)/HLOOKUP(2018,DEMANDS!$H$2:$CO$25,MATCH($E27,DEMANDS!$F$2:$F$25,0),FALSE)</f>
        <v>0.99408028513777114</v>
      </c>
      <c r="I27" s="13">
        <f>HLOOKUP(REG_TRA_DEMANDS!I$3,'BY-Demands'!$J$5:$AK$14,MATCH($E27,'BY-Demands'!$I$5:$I$14,0),FALSE)*HLOOKUP(REG_TRA_DEMANDS!$F27,DEMANDS!$H$2:$CO$25,MATCH($E27,DEMANDS!$F$2:$F$25,0),FALSE)/HLOOKUP(2018,DEMANDS!$H$2:$CO$25,MATCH($E27,DEMANDS!$F$2:$F$25,0),FALSE)</f>
        <v>0.16416325549782501</v>
      </c>
      <c r="J27" s="13">
        <f>HLOOKUP(REG_TRA_DEMANDS!J$3,'BY-Demands'!$J$5:$AK$14,MATCH($E27,'BY-Demands'!$I$5:$I$14,0),FALSE)*HLOOKUP(REG_TRA_DEMANDS!$F27,DEMANDS!$H$2:$CO$25,MATCH($E27,DEMANDS!$F$2:$F$25,0),FALSE)/HLOOKUP(2018,DEMANDS!$H$2:$CO$25,MATCH($E27,DEMANDS!$F$2:$F$25,0),FALSE)</f>
        <v>0.073213282321037701</v>
      </c>
      <c r="K27" s="13">
        <f>HLOOKUP(REG_TRA_DEMANDS!K$3,'BY-Demands'!$J$5:$AK$14,MATCH($E27,'BY-Demands'!$I$5:$I$14,0),FALSE)*HLOOKUP(REG_TRA_DEMANDS!$F27,DEMANDS!$H$2:$CO$25,MATCH($E27,DEMANDS!$F$2:$F$25,0),FALSE)/HLOOKUP(2018,DEMANDS!$H$2:$CO$25,MATCH($E27,DEMANDS!$F$2:$F$25,0),FALSE)</f>
        <v>0.062489372105217399</v>
      </c>
      <c r="L27" s="13">
        <f>HLOOKUP(REG_TRA_DEMANDS!L$3,'BY-Demands'!$J$5:$AK$14,MATCH($E27,'BY-Demands'!$I$5:$I$14,0),FALSE)*HLOOKUP(REG_TRA_DEMANDS!$F27,DEMANDS!$H$2:$CO$25,MATCH($E27,DEMANDS!$F$2:$F$25,0),FALSE)/HLOOKUP(2018,DEMANDS!$H$2:$CO$25,MATCH($E27,DEMANDS!$F$2:$F$25,0),FALSE)</f>
        <v>0.030156063450376601</v>
      </c>
      <c r="M27" s="13">
        <f>HLOOKUP(REG_TRA_DEMANDS!M$3,'BY-Demands'!$J$5:$AK$14,MATCH($E27,'BY-Demands'!$I$5:$I$14,0),FALSE)*HLOOKUP(REG_TRA_DEMANDS!$F27,DEMANDS!$H$2:$CO$25,MATCH($E27,DEMANDS!$F$2:$F$25,0),FALSE)/HLOOKUP(2018,DEMANDS!$H$2:$CO$25,MATCH($E27,DEMANDS!$F$2:$F$25,0),FALSE)</f>
        <v>0.095090501840783506</v>
      </c>
      <c r="N27" s="13">
        <f>HLOOKUP(REG_TRA_DEMANDS!N$3,'BY-Demands'!$J$5:$AK$14,MATCH($E27,'BY-Demands'!$I$5:$I$14,0),FALSE)*HLOOKUP(REG_TRA_DEMANDS!$F27,DEMANDS!$H$2:$CO$25,MATCH($E27,DEMANDS!$F$2:$F$25,0),FALSE)/HLOOKUP(2018,DEMANDS!$H$2:$CO$25,MATCH($E27,DEMANDS!$F$2:$F$25,0),FALSE)</f>
        <v>0.143903291650118</v>
      </c>
      <c r="O27" s="13">
        <f>HLOOKUP(REG_TRA_DEMANDS!O$3,'BY-Demands'!$J$5:$AK$14,MATCH($E27,'BY-Demands'!$I$5:$I$14,0),FALSE)*HLOOKUP(REG_TRA_DEMANDS!$F27,DEMANDS!$H$2:$CO$25,MATCH($E27,DEMANDS!$F$2:$F$25,0),FALSE)/HLOOKUP(2018,DEMANDS!$H$2:$CO$25,MATCH($E27,DEMANDS!$F$2:$F$25,0),FALSE)</f>
        <v>0.0575195572298293</v>
      </c>
      <c r="P27" s="13">
        <f>HLOOKUP(REG_TRA_DEMANDS!P$3,'BY-Demands'!$J$5:$AK$14,MATCH($E27,'BY-Demands'!$I$5:$I$14,0),FALSE)*HLOOKUP(REG_TRA_DEMANDS!$F27,DEMANDS!$H$2:$CO$25,MATCH($E27,DEMANDS!$F$2:$F$25,0),FALSE)/HLOOKUP(2018,DEMANDS!$H$2:$CO$25,MATCH($E27,DEMANDS!$F$2:$F$25,0),FALSE)</f>
        <v>0.065494427922832596</v>
      </c>
      <c r="Q27" s="13">
        <f>HLOOKUP(REG_TRA_DEMANDS!Q$3,'BY-Demands'!$J$5:$AK$14,MATCH($E27,'BY-Demands'!$I$5:$I$14,0),FALSE)*HLOOKUP(REG_TRA_DEMANDS!$F27,DEMANDS!$H$2:$CO$25,MATCH($E27,DEMANDS!$F$2:$F$25,0),FALSE)/HLOOKUP(2018,DEMANDS!$H$2:$CO$25,MATCH($E27,DEMANDS!$F$2:$F$25,0),FALSE)</f>
        <v>0.110464759912835</v>
      </c>
      <c r="R27" s="13">
        <f>HLOOKUP(REG_TRA_DEMANDS!R$3,'BY-Demands'!$J$5:$AK$14,MATCH($E27,'BY-Demands'!$I$5:$I$14,0),FALSE)*HLOOKUP(REG_TRA_DEMANDS!$F27,DEMANDS!$H$2:$CO$25,MATCH($E27,DEMANDS!$F$2:$F$25,0),FALSE)/HLOOKUP(2018,DEMANDS!$H$2:$CO$25,MATCH($E27,DEMANDS!$F$2:$F$25,0),FALSE)</f>
        <v>0.105081039730871</v>
      </c>
      <c r="S27" s="13">
        <f>HLOOKUP(REG_TRA_DEMANDS!S$3,'BY-Demands'!$J$5:$AK$14,MATCH($E27,'BY-Demands'!$I$5:$I$14,0),FALSE)*HLOOKUP(REG_TRA_DEMANDS!$F27,DEMANDS!$H$2:$CO$25,MATCH($E27,DEMANDS!$F$2:$F$25,0),FALSE)/HLOOKUP(2018,DEMANDS!$H$2:$CO$25,MATCH($E27,DEMANDS!$F$2:$F$25,0),FALSE)</f>
        <v>0.087663078095158192</v>
      </c>
      <c r="T27" s="13">
        <f>HLOOKUP(REG_TRA_DEMANDS!T$3,'BY-Demands'!$J$5:$AK$14,MATCH($E27,'BY-Demands'!$I$5:$I$14,0),FALSE)*HLOOKUP(REG_TRA_DEMANDS!$F27,DEMANDS!$H$2:$CO$25,MATCH($E27,DEMANDS!$F$2:$F$25,0),FALSE)/HLOOKUP(2018,DEMANDS!$H$2:$CO$25,MATCH($E27,DEMANDS!$F$2:$F$25,0),FALSE)</f>
        <v>0.40052753292342302</v>
      </c>
      <c r="U27" s="13">
        <f>HLOOKUP(REG_TRA_DEMANDS!U$3,'BY-Demands'!$J$5:$AK$14,MATCH($E27,'BY-Demands'!$I$5:$I$14,0),FALSE)*HLOOKUP(REG_TRA_DEMANDS!$F27,DEMANDS!$H$2:$CO$25,MATCH($E27,DEMANDS!$F$2:$F$25,0),FALSE)/HLOOKUP(2018,DEMANDS!$H$2:$CO$25,MATCH($E27,DEMANDS!$F$2:$F$25,0),FALSE)</f>
        <v>0.108978094685117</v>
      </c>
      <c r="V27" s="13">
        <f>HLOOKUP(REG_TRA_DEMANDS!V$3,'BY-Demands'!$J$5:$AK$14,MATCH($E27,'BY-Demands'!$I$5:$I$14,0),FALSE)*HLOOKUP(REG_TRA_DEMANDS!$F27,DEMANDS!$H$2:$CO$25,MATCH($E27,DEMANDS!$F$2:$F$25,0),FALSE)/HLOOKUP(2018,DEMANDS!$H$2:$CO$25,MATCH($E27,DEMANDS!$F$2:$F$25,0),FALSE)</f>
        <v>0.14379631077765201</v>
      </c>
      <c r="W27" s="13">
        <f>HLOOKUP(REG_TRA_DEMANDS!W$3,'BY-Demands'!$J$5:$AK$14,MATCH($E27,'BY-Demands'!$I$5:$I$14,0),FALSE)*HLOOKUP(REG_TRA_DEMANDS!$F27,DEMANDS!$H$2:$CO$25,MATCH($E27,DEMANDS!$F$2:$F$25,0),FALSE)/HLOOKUP(2018,DEMANDS!$H$2:$CO$25,MATCH($E27,DEMANDS!$F$2:$F$25,0),FALSE)</f>
        <v>0.11771806306603201</v>
      </c>
      <c r="X27" s="13">
        <f>HLOOKUP(REG_TRA_DEMANDS!X$3,'BY-Demands'!$J$5:$AK$14,MATCH($E27,'BY-Demands'!$I$5:$I$14,0),FALSE)*HLOOKUP(REG_TRA_DEMANDS!$F27,DEMANDS!$H$2:$CO$25,MATCH($E27,DEMANDS!$F$2:$F$25,0),FALSE)/HLOOKUP(2018,DEMANDS!$H$2:$CO$25,MATCH($E27,DEMANDS!$F$2:$F$25,0),FALSE)</f>
        <v>0.085714550618035304</v>
      </c>
      <c r="Y27" s="13">
        <f>HLOOKUP(REG_TRA_DEMANDS!Y$3,'BY-Demands'!$J$5:$AK$14,MATCH($E27,'BY-Demands'!$I$5:$I$14,0),FALSE)*HLOOKUP(REG_TRA_DEMANDS!$F27,DEMANDS!$H$2:$CO$25,MATCH($E27,DEMANDS!$F$2:$F$25,0),FALSE)/HLOOKUP(2018,DEMANDS!$H$2:$CO$25,MATCH($E27,DEMANDS!$F$2:$F$25,0),FALSE)</f>
        <v>0.190394965426499</v>
      </c>
      <c r="Z27" s="13">
        <f>HLOOKUP(REG_TRA_DEMANDS!Z$3,'BY-Demands'!$J$5:$AK$14,MATCH($E27,'BY-Demands'!$I$5:$I$14,0),FALSE)*HLOOKUP(REG_TRA_DEMANDS!$F27,DEMANDS!$H$2:$CO$25,MATCH($E27,DEMANDS!$F$2:$F$25,0),FALSE)/HLOOKUP(2018,DEMANDS!$H$2:$CO$25,MATCH($E27,DEMANDS!$F$2:$F$25,0),FALSE)</f>
        <v>0.0236420350158753</v>
      </c>
      <c r="AA27" s="13">
        <f>HLOOKUP(REG_TRA_DEMANDS!AA$3,'BY-Demands'!$J$5:$AK$14,MATCH($E27,'BY-Demands'!$I$5:$I$14,0),FALSE)*HLOOKUP(REG_TRA_DEMANDS!$F27,DEMANDS!$H$2:$CO$25,MATCH($E27,DEMANDS!$F$2:$F$25,0),FALSE)/HLOOKUP(2018,DEMANDS!$H$2:$CO$25,MATCH($E27,DEMANDS!$F$2:$F$25,0),FALSE)</f>
        <v>0.096287949813282703</v>
      </c>
      <c r="AB27" s="13">
        <f>HLOOKUP(REG_TRA_DEMANDS!AB$3,'BY-Demands'!$J$5:$AK$14,MATCH($E27,'BY-Demands'!$I$5:$I$14,0),FALSE)*HLOOKUP(REG_TRA_DEMANDS!$F27,DEMANDS!$H$2:$CO$25,MATCH($E27,DEMANDS!$F$2:$F$25,0),FALSE)/HLOOKUP(2018,DEMANDS!$H$2:$CO$25,MATCH($E27,DEMANDS!$F$2:$F$25,0),FALSE)</f>
        <v>0.047620506430678201</v>
      </c>
      <c r="AC27" s="13">
        <f>HLOOKUP(REG_TRA_DEMANDS!AC$3,'BY-Demands'!$J$5:$AK$14,MATCH($E27,'BY-Demands'!$I$5:$I$14,0),FALSE)*HLOOKUP(REG_TRA_DEMANDS!$F27,DEMANDS!$H$2:$CO$25,MATCH($E27,DEMANDS!$F$2:$F$25,0),FALSE)/HLOOKUP(2018,DEMANDS!$H$2:$CO$25,MATCH($E27,DEMANDS!$F$2:$F$25,0),FALSE)</f>
        <v>0.048351665359049598</v>
      </c>
      <c r="AD27" s="13">
        <f>HLOOKUP(REG_TRA_DEMANDS!AD$3,'BY-Demands'!$J$5:$AK$14,MATCH($E27,'BY-Demands'!$I$5:$I$14,0),FALSE)*HLOOKUP(REG_TRA_DEMANDS!$F27,DEMANDS!$H$2:$CO$25,MATCH($E27,DEMANDS!$F$2:$F$25,0),FALSE)/HLOOKUP(2018,DEMANDS!$H$2:$CO$25,MATCH($E27,DEMANDS!$F$2:$F$25,0),FALSE)</f>
        <v>0.056202585799816303</v>
      </c>
      <c r="AE27" s="13">
        <f>HLOOKUP(REG_TRA_DEMANDS!AE$3,'BY-Demands'!$J$5:$AK$14,MATCH($E27,'BY-Demands'!$I$5:$I$14,0),FALSE)*HLOOKUP(REG_TRA_DEMANDS!$F27,DEMANDS!$H$2:$CO$25,MATCH($E27,DEMANDS!$F$2:$F$25,0),FALSE)/HLOOKUP(2018,DEMANDS!$H$2:$CO$25,MATCH($E27,DEMANDS!$F$2:$F$25,0),FALSE)</f>
        <v>0.117451717583548</v>
      </c>
      <c r="AF27" s="13">
        <f>HLOOKUP(REG_TRA_DEMANDS!AF$3,'BY-Demands'!$J$5:$AK$14,MATCH($E27,'BY-Demands'!$I$5:$I$14,0),FALSE)*HLOOKUP(REG_TRA_DEMANDS!$F27,DEMANDS!$H$2:$CO$25,MATCH($E27,DEMANDS!$F$2:$F$25,0),FALSE)/HLOOKUP(2018,DEMANDS!$H$2:$CO$25,MATCH($E27,DEMANDS!$F$2:$F$25,0),FALSE)</f>
        <v>0.04529053680827979</v>
      </c>
    </row>
    <row r="28" spans="4:32" ht="12.75">
      <c r="D28" s="3" t="s">
        <v>59</v>
      </c>
      <c r="E28" s="3" t="str">
        <f>DEMANDS!$F$23</f>
        <v>TOTH</v>
      </c>
      <c r="F28" s="3">
        <v>2019</v>
      </c>
      <c r="G28" s="13">
        <f>HLOOKUP(REG_TRA_DEMANDS!G$3,'BY-Demands'!$J$5:$AK$14,MATCH($E28,'BY-Demands'!$I$5:$I$14,0),FALSE)*HLOOKUP(REG_TRA_DEMANDS!$F28,DEMANDS!$H$2:$CO$25,MATCH($E28,DEMANDS!$F$2:$F$25,0),FALSE)/HLOOKUP(2018,DEMANDS!$H$2:$CO$25,MATCH($E28,DEMANDS!$F$2:$F$25,0),FALSE)</f>
        <v>0.19914963057035956</v>
      </c>
      <c r="H28" s="13">
        <f>HLOOKUP(REG_TRA_DEMANDS!H$3,'BY-Demands'!$J$5:$AK$14,MATCH($E28,'BY-Demands'!$I$5:$I$14,0),FALSE)*HLOOKUP(REG_TRA_DEMANDS!$F28,DEMANDS!$H$2:$CO$25,MATCH($E28,DEMANDS!$F$2:$F$25,0),FALSE)/HLOOKUP(2018,DEMANDS!$H$2:$CO$25,MATCH($E28,DEMANDS!$F$2:$F$25,0),FALSE)</f>
        <v>4.7130971526672178</v>
      </c>
      <c r="I28" s="13">
        <f>HLOOKUP(REG_TRA_DEMANDS!I$3,'BY-Demands'!$J$5:$AK$14,MATCH($E28,'BY-Demands'!$I$5:$I$14,0),FALSE)*HLOOKUP(REG_TRA_DEMANDS!$F28,DEMANDS!$H$2:$CO$25,MATCH($E28,DEMANDS!$F$2:$F$25,0),FALSE)/HLOOKUP(2018,DEMANDS!$H$2:$CO$25,MATCH($E28,DEMANDS!$F$2:$F$25,0),FALSE)</f>
        <v>0.77832483314177214</v>
      </c>
      <c r="J28" s="13">
        <f>HLOOKUP(REG_TRA_DEMANDS!J$3,'BY-Demands'!$J$5:$AK$14,MATCH($E28,'BY-Demands'!$I$5:$I$14,0),FALSE)*HLOOKUP(REG_TRA_DEMANDS!$F28,DEMANDS!$H$2:$CO$25,MATCH($E28,DEMANDS!$F$2:$F$25,0),FALSE)/HLOOKUP(2018,DEMANDS!$H$2:$CO$25,MATCH($E28,DEMANDS!$F$2:$F$25,0),FALSE)</f>
        <v>0.34711614102364163</v>
      </c>
      <c r="K28" s="13">
        <f>HLOOKUP(REG_TRA_DEMANDS!K$3,'BY-Demands'!$J$5:$AK$14,MATCH($E28,'BY-Demands'!$I$5:$I$14,0),FALSE)*HLOOKUP(REG_TRA_DEMANDS!$F28,DEMANDS!$H$2:$CO$25,MATCH($E28,DEMANDS!$F$2:$F$25,0),FALSE)/HLOOKUP(2018,DEMANDS!$H$2:$CO$25,MATCH($E28,DEMANDS!$F$2:$F$25,0),FALSE)</f>
        <v>0.29627232945299226</v>
      </c>
      <c r="L28" s="13">
        <f>HLOOKUP(REG_TRA_DEMANDS!L$3,'BY-Demands'!$J$5:$AK$14,MATCH($E28,'BY-Demands'!$I$5:$I$14,0),FALSE)*HLOOKUP(REG_TRA_DEMANDS!$F28,DEMANDS!$H$2:$CO$25,MATCH($E28,DEMANDS!$F$2:$F$25,0),FALSE)/HLOOKUP(2018,DEMANDS!$H$2:$CO$25,MATCH($E28,DEMANDS!$F$2:$F$25,0),FALSE)</f>
        <v>0.1429748269918909</v>
      </c>
      <c r="M28" s="13">
        <f>HLOOKUP(REG_TRA_DEMANDS!M$3,'BY-Demands'!$J$5:$AK$14,MATCH($E28,'BY-Demands'!$I$5:$I$14,0),FALSE)*HLOOKUP(REG_TRA_DEMANDS!$F28,DEMANDS!$H$2:$CO$25,MATCH($E28,DEMANDS!$F$2:$F$25,0),FALSE)/HLOOKUP(2018,DEMANDS!$H$2:$CO$25,MATCH($E28,DEMANDS!$F$2:$F$25,0),FALSE)</f>
        <v>0.45083961544351669</v>
      </c>
      <c r="N28" s="13">
        <f>HLOOKUP(REG_TRA_DEMANDS!N$3,'BY-Demands'!$J$5:$AK$14,MATCH($E28,'BY-Demands'!$I$5:$I$14,0),FALSE)*HLOOKUP(REG_TRA_DEMANDS!$F28,DEMANDS!$H$2:$CO$25,MATCH($E28,DEMANDS!$F$2:$F$25,0),FALSE)/HLOOKUP(2018,DEMANDS!$H$2:$CO$25,MATCH($E28,DEMANDS!$F$2:$F$25,0),FALSE)</f>
        <v>0.6822690322659537</v>
      </c>
      <c r="O28" s="13">
        <f>HLOOKUP(REG_TRA_DEMANDS!O$3,'BY-Demands'!$J$5:$AK$14,MATCH($E28,'BY-Demands'!$I$5:$I$14,0),FALSE)*HLOOKUP(REG_TRA_DEMANDS!$F28,DEMANDS!$H$2:$CO$25,MATCH($E28,DEMANDS!$F$2:$F$25,0),FALSE)/HLOOKUP(2018,DEMANDS!$H$2:$CO$25,MATCH($E28,DEMANDS!$F$2:$F$25,0),FALSE)</f>
        <v>0.27270962462052634</v>
      </c>
      <c r="P28" s="13">
        <f>HLOOKUP(REG_TRA_DEMANDS!P$3,'BY-Demands'!$J$5:$AK$14,MATCH($E28,'BY-Demands'!$I$5:$I$14,0),FALSE)*HLOOKUP(REG_TRA_DEMANDS!$F28,DEMANDS!$H$2:$CO$25,MATCH($E28,DEMANDS!$F$2:$F$25,0),FALSE)/HLOOKUP(2018,DEMANDS!$H$2:$CO$25,MATCH($E28,DEMANDS!$F$2:$F$25,0),FALSE)</f>
        <v>0.31051979037677979</v>
      </c>
      <c r="Q28" s="13">
        <f>HLOOKUP(REG_TRA_DEMANDS!Q$3,'BY-Demands'!$J$5:$AK$14,MATCH($E28,'BY-Demands'!$I$5:$I$14,0),FALSE)*HLOOKUP(REG_TRA_DEMANDS!$F28,DEMANDS!$H$2:$CO$25,MATCH($E28,DEMANDS!$F$2:$F$25,0),FALSE)/HLOOKUP(2018,DEMANDS!$H$2:$CO$25,MATCH($E28,DEMANDS!$F$2:$F$25,0),FALSE)</f>
        <v>0.52373148647957957</v>
      </c>
      <c r="R28" s="13">
        <f>HLOOKUP(REG_TRA_DEMANDS!R$3,'BY-Demands'!$J$5:$AK$14,MATCH($E28,'BY-Demands'!$I$5:$I$14,0),FALSE)*HLOOKUP(REG_TRA_DEMANDS!$F28,DEMANDS!$H$2:$CO$25,MATCH($E28,DEMANDS!$F$2:$F$25,0),FALSE)/HLOOKUP(2018,DEMANDS!$H$2:$CO$25,MATCH($E28,DEMANDS!$F$2:$F$25,0),FALSE)</f>
        <v>0.49820638891982555</v>
      </c>
      <c r="S28" s="13">
        <f>HLOOKUP(REG_TRA_DEMANDS!S$3,'BY-Demands'!$J$5:$AK$14,MATCH($E28,'BY-Demands'!$I$5:$I$14,0),FALSE)*HLOOKUP(REG_TRA_DEMANDS!$F28,DEMANDS!$H$2:$CO$25,MATCH($E28,DEMANDS!$F$2:$F$25,0),FALSE)/HLOOKUP(2018,DEMANDS!$H$2:$CO$25,MATCH($E28,DEMANDS!$F$2:$F$25,0),FALSE)</f>
        <v>0.41562498516613605</v>
      </c>
      <c r="T28" s="13">
        <f>HLOOKUP(REG_TRA_DEMANDS!T$3,'BY-Demands'!$J$5:$AK$14,MATCH($E28,'BY-Demands'!$I$5:$I$14,0),FALSE)*HLOOKUP(REG_TRA_DEMANDS!$F28,DEMANDS!$H$2:$CO$25,MATCH($E28,DEMANDS!$F$2:$F$25,0),FALSE)/HLOOKUP(2018,DEMANDS!$H$2:$CO$25,MATCH($E28,DEMANDS!$F$2:$F$25,0),FALSE)</f>
        <v>1.8989665152896447</v>
      </c>
      <c r="U28" s="13">
        <f>HLOOKUP(REG_TRA_DEMANDS!U$3,'BY-Demands'!$J$5:$AK$14,MATCH($E28,'BY-Demands'!$I$5:$I$14,0),FALSE)*HLOOKUP(REG_TRA_DEMANDS!$F28,DEMANDS!$H$2:$CO$25,MATCH($E28,DEMANDS!$F$2:$F$25,0),FALSE)/HLOOKUP(2018,DEMANDS!$H$2:$CO$25,MATCH($E28,DEMANDS!$F$2:$F$25,0),FALSE)</f>
        <v>0.51668296358210075</v>
      </c>
      <c r="V28" s="13">
        <f>HLOOKUP(REG_TRA_DEMANDS!V$3,'BY-Demands'!$J$5:$AK$14,MATCH($E28,'BY-Demands'!$I$5:$I$14,0),FALSE)*HLOOKUP(REG_TRA_DEMANDS!$F28,DEMANDS!$H$2:$CO$25,MATCH($E28,DEMANDS!$F$2:$F$25,0),FALSE)/HLOOKUP(2018,DEMANDS!$H$2:$CO$25,MATCH($E28,DEMANDS!$F$2:$F$25,0),FALSE)</f>
        <v>0.68176181845943573</v>
      </c>
      <c r="W28" s="13">
        <f>HLOOKUP(REG_TRA_DEMANDS!W$3,'BY-Demands'!$J$5:$AK$14,MATCH($E28,'BY-Demands'!$I$5:$I$14,0),FALSE)*HLOOKUP(REG_TRA_DEMANDS!$F28,DEMANDS!$H$2:$CO$25,MATCH($E28,DEMANDS!$F$2:$F$25,0),FALSE)/HLOOKUP(2018,DEMANDS!$H$2:$CO$25,MATCH($E28,DEMANDS!$F$2:$F$25,0),FALSE)</f>
        <v>0.55812058256152319</v>
      </c>
      <c r="X28" s="13">
        <f>HLOOKUP(REG_TRA_DEMANDS!X$3,'BY-Demands'!$J$5:$AK$14,MATCH($E28,'BY-Demands'!$I$5:$I$14,0),FALSE)*HLOOKUP(REG_TRA_DEMANDS!$F28,DEMANDS!$H$2:$CO$25,MATCH($E28,DEMANDS!$F$2:$F$25,0),FALSE)/HLOOKUP(2018,DEMANDS!$H$2:$CO$25,MATCH($E28,DEMANDS!$F$2:$F$25,0),FALSE)</f>
        <v>0.40638669783499809</v>
      </c>
      <c r="Y28" s="13">
        <f>HLOOKUP(REG_TRA_DEMANDS!Y$3,'BY-Demands'!$J$5:$AK$14,MATCH($E28,'BY-Demands'!$I$5:$I$14,0),FALSE)*HLOOKUP(REG_TRA_DEMANDS!$F28,DEMANDS!$H$2:$CO$25,MATCH($E28,DEMANDS!$F$2:$F$25,0),FALSE)/HLOOKUP(2018,DEMANDS!$H$2:$CO$25,MATCH($E28,DEMANDS!$F$2:$F$25,0),FALSE)</f>
        <v>0.90269365850006589</v>
      </c>
      <c r="Z28" s="13">
        <f>HLOOKUP(REG_TRA_DEMANDS!Z$3,'BY-Demands'!$J$5:$AK$14,MATCH($E28,'BY-Demands'!$I$5:$I$14,0),FALSE)*HLOOKUP(REG_TRA_DEMANDS!$F28,DEMANDS!$H$2:$CO$25,MATCH($E28,DEMANDS!$F$2:$F$25,0),FALSE)/HLOOKUP(2018,DEMANDS!$H$2:$CO$25,MATCH($E28,DEMANDS!$F$2:$F$25,0),FALSE)</f>
        <v>0.1120907532143018</v>
      </c>
      <c r="AA28" s="13">
        <f>HLOOKUP(REG_TRA_DEMANDS!AA$3,'BY-Demands'!$J$5:$AK$14,MATCH($E28,'BY-Demands'!$I$5:$I$14,0),FALSE)*HLOOKUP(REG_TRA_DEMANDS!$F28,DEMANDS!$H$2:$CO$25,MATCH($E28,DEMANDS!$F$2:$F$25,0),FALSE)/HLOOKUP(2018,DEMANDS!$H$2:$CO$25,MATCH($E28,DEMANDS!$F$2:$F$25,0),FALSE)</f>
        <v>0.45651691205027023</v>
      </c>
      <c r="AB28" s="13">
        <f>HLOOKUP(REG_TRA_DEMANDS!AB$3,'BY-Demands'!$J$5:$AK$14,MATCH($E28,'BY-Demands'!$I$5:$I$14,0),FALSE)*HLOOKUP(REG_TRA_DEMANDS!$F28,DEMANDS!$H$2:$CO$25,MATCH($E28,DEMANDS!$F$2:$F$25,0),FALSE)/HLOOKUP(2018,DEMANDS!$H$2:$CO$25,MATCH($E28,DEMANDS!$F$2:$F$25,0),FALSE)</f>
        <v>0.22577660639944697</v>
      </c>
      <c r="AC28" s="13">
        <f>HLOOKUP(REG_TRA_DEMANDS!AC$3,'BY-Demands'!$J$5:$AK$14,MATCH($E28,'BY-Demands'!$I$5:$I$14,0),FALSE)*HLOOKUP(REG_TRA_DEMANDS!$F28,DEMANDS!$H$2:$CO$25,MATCH($E28,DEMANDS!$F$2:$F$25,0),FALSE)/HLOOKUP(2018,DEMANDS!$H$2:$CO$25,MATCH($E28,DEMANDS!$F$2:$F$25,0),FALSE)</f>
        <v>0.22924315041503093</v>
      </c>
      <c r="AD28" s="13">
        <f>HLOOKUP(REG_TRA_DEMANDS!AD$3,'BY-Demands'!$J$5:$AK$14,MATCH($E28,'BY-Demands'!$I$5:$I$14,0),FALSE)*HLOOKUP(REG_TRA_DEMANDS!$F28,DEMANDS!$H$2:$CO$25,MATCH($E28,DEMANDS!$F$2:$F$25,0),FALSE)/HLOOKUP(2018,DEMANDS!$H$2:$CO$25,MATCH($E28,DEMANDS!$F$2:$F$25,0),FALSE)</f>
        <v>0.26646564776097303</v>
      </c>
      <c r="AE28" s="13">
        <f>HLOOKUP(REG_TRA_DEMANDS!AE$3,'BY-Demands'!$J$5:$AK$14,MATCH($E28,'BY-Demands'!$I$5:$I$14,0),FALSE)*HLOOKUP(REG_TRA_DEMANDS!$F28,DEMANDS!$H$2:$CO$25,MATCH($E28,DEMANDS!$F$2:$F$25,0),FALSE)/HLOOKUP(2018,DEMANDS!$H$2:$CO$25,MATCH($E28,DEMANDS!$F$2:$F$25,0),FALSE)</f>
        <v>0.55685779508460531</v>
      </c>
      <c r="AF28" s="13">
        <f>HLOOKUP(REG_TRA_DEMANDS!AF$3,'BY-Demands'!$J$5:$AK$14,MATCH($E28,'BY-Demands'!$I$5:$I$14,0),FALSE)*HLOOKUP(REG_TRA_DEMANDS!$F28,DEMANDS!$H$2:$CO$25,MATCH($E28,DEMANDS!$F$2:$F$25,0),FALSE)/HLOOKUP(2018,DEMANDS!$H$2:$CO$25,MATCH($E28,DEMANDS!$F$2:$F$25,0),FALSE)</f>
        <v>0.21472983949610272</v>
      </c>
    </row>
    <row r="29" spans="4:32" ht="12.75">
      <c r="D29" s="3" t="s">
        <v>59</v>
      </c>
      <c r="E29" s="3" t="str">
        <f>DEMANDS!$F$23</f>
        <v>TOTH</v>
      </c>
      <c r="F29" s="3">
        <v>2020</v>
      </c>
      <c r="G29" s="13">
        <f>HLOOKUP(REG_TRA_DEMANDS!G$3,'BY-Demands'!$J$5:$AK$14,MATCH($E29,'BY-Demands'!$I$5:$I$14,0),FALSE)*HLOOKUP(REG_TRA_DEMANDS!$F29,DEMANDS!$H$2:$CO$25,MATCH($E29,DEMANDS!$F$2:$F$25,0),FALSE)/HLOOKUP(2018,DEMANDS!$H$2:$CO$25,MATCH($E29,DEMANDS!$F$2:$F$25,0),FALSE)</f>
        <v>0.27200036635926356</v>
      </c>
      <c r="H29" s="13">
        <f>HLOOKUP(REG_TRA_DEMANDS!H$3,'BY-Demands'!$J$5:$AK$14,MATCH($E29,'BY-Demands'!$I$5:$I$14,0),FALSE)*HLOOKUP(REG_TRA_DEMANDS!$F29,DEMANDS!$H$2:$CO$25,MATCH($E29,DEMANDS!$F$2:$F$25,0),FALSE)/HLOOKUP(2018,DEMANDS!$H$2:$CO$25,MATCH($E29,DEMANDS!$F$2:$F$25,0),FALSE)</f>
        <v>6.437190712032816</v>
      </c>
      <c r="I29" s="13">
        <f>HLOOKUP(REG_TRA_DEMANDS!I$3,'BY-Demands'!$J$5:$AK$14,MATCH($E29,'BY-Demands'!$I$5:$I$14,0),FALSE)*HLOOKUP(REG_TRA_DEMANDS!$F29,DEMANDS!$H$2:$CO$25,MATCH($E29,DEMANDS!$F$2:$F$25,0),FALSE)/HLOOKUP(2018,DEMANDS!$H$2:$CO$25,MATCH($E29,DEMANDS!$F$2:$F$25,0),FALSE)</f>
        <v>1.0630430955596448</v>
      </c>
      <c r="J29" s="13">
        <f>HLOOKUP(REG_TRA_DEMANDS!J$3,'BY-Demands'!$J$5:$AK$14,MATCH($E29,'BY-Demands'!$I$5:$I$14,0),FALSE)*HLOOKUP(REG_TRA_DEMANDS!$F29,DEMANDS!$H$2:$CO$25,MATCH($E29,DEMANDS!$F$2:$F$25,0),FALSE)/HLOOKUP(2018,DEMANDS!$H$2:$CO$25,MATCH($E29,DEMANDS!$F$2:$F$25,0),FALSE)</f>
        <v>0.47409436440951486</v>
      </c>
      <c r="K29" s="13">
        <f>HLOOKUP(REG_TRA_DEMANDS!K$3,'BY-Demands'!$J$5:$AK$14,MATCH($E29,'BY-Demands'!$I$5:$I$14,0),FALSE)*HLOOKUP(REG_TRA_DEMANDS!$F29,DEMANDS!$H$2:$CO$25,MATCH($E29,DEMANDS!$F$2:$F$25,0),FALSE)/HLOOKUP(2018,DEMANDS!$H$2:$CO$25,MATCH($E29,DEMANDS!$F$2:$F$25,0),FALSE)</f>
        <v>0.40465142678160887</v>
      </c>
      <c r="L29" s="13">
        <f>HLOOKUP(REG_TRA_DEMANDS!L$3,'BY-Demands'!$J$5:$AK$14,MATCH($E29,'BY-Demands'!$I$5:$I$14,0),FALSE)*HLOOKUP(REG_TRA_DEMANDS!$F29,DEMANDS!$H$2:$CO$25,MATCH($E29,DEMANDS!$F$2:$F$25,0),FALSE)/HLOOKUP(2018,DEMANDS!$H$2:$CO$25,MATCH($E29,DEMANDS!$F$2:$F$25,0),FALSE)</f>
        <v>0.19527631163848475</v>
      </c>
      <c r="M29" s="13">
        <f>HLOOKUP(REG_TRA_DEMANDS!M$3,'BY-Demands'!$J$5:$AK$14,MATCH($E29,'BY-Demands'!$I$5:$I$14,0),FALSE)*HLOOKUP(REG_TRA_DEMANDS!$F29,DEMANDS!$H$2:$CO$25,MATCH($E29,DEMANDS!$F$2:$F$25,0),FALSE)/HLOOKUP(2018,DEMANDS!$H$2:$CO$25,MATCH($E29,DEMANDS!$F$2:$F$25,0),FALSE)</f>
        <v>0.6157608237519745</v>
      </c>
      <c r="N29" s="13">
        <f>HLOOKUP(REG_TRA_DEMANDS!N$3,'BY-Demands'!$J$5:$AK$14,MATCH($E29,'BY-Demands'!$I$5:$I$14,0),FALSE)*HLOOKUP(REG_TRA_DEMANDS!$F29,DEMANDS!$H$2:$CO$25,MATCH($E29,DEMANDS!$F$2:$F$25,0),FALSE)/HLOOKUP(2018,DEMANDS!$H$2:$CO$25,MATCH($E29,DEMANDS!$F$2:$F$25,0),FALSE)</f>
        <v>0.93184921408305132</v>
      </c>
      <c r="O29" s="13">
        <f>HLOOKUP(REG_TRA_DEMANDS!O$3,'BY-Demands'!$J$5:$AK$14,MATCH($E29,'BY-Demands'!$I$5:$I$14,0),FALSE)*HLOOKUP(REG_TRA_DEMANDS!$F29,DEMANDS!$H$2:$CO$25,MATCH($E29,DEMANDS!$F$2:$F$25,0),FALSE)/HLOOKUP(2018,DEMANDS!$H$2:$CO$25,MATCH($E29,DEMANDS!$F$2:$F$25,0),FALSE)</f>
        <v>0.37246927144197556</v>
      </c>
      <c r="P29" s="13">
        <f>HLOOKUP(REG_TRA_DEMANDS!P$3,'BY-Demands'!$J$5:$AK$14,MATCH($E29,'BY-Demands'!$I$5:$I$14,0),FALSE)*HLOOKUP(REG_TRA_DEMANDS!$F29,DEMANDS!$H$2:$CO$25,MATCH($E29,DEMANDS!$F$2:$F$25,0),FALSE)/HLOOKUP(2018,DEMANDS!$H$2:$CO$25,MATCH($E29,DEMANDS!$F$2:$F$25,0),FALSE)</f>
        <v>0.42411073775226299</v>
      </c>
      <c r="Q29" s="13">
        <f>HLOOKUP(REG_TRA_DEMANDS!Q$3,'BY-Demands'!$J$5:$AK$14,MATCH($E29,'BY-Demands'!$I$5:$I$14,0),FALSE)*HLOOKUP(REG_TRA_DEMANDS!$F29,DEMANDS!$H$2:$CO$25,MATCH($E29,DEMANDS!$F$2:$F$25,0),FALSE)/HLOOKUP(2018,DEMANDS!$H$2:$CO$25,MATCH($E29,DEMANDS!$F$2:$F$25,0),FALSE)</f>
        <v>0.7153172003801328</v>
      </c>
      <c r="R29" s="13">
        <f>HLOOKUP(REG_TRA_DEMANDS!R$3,'BY-Demands'!$J$5:$AK$14,MATCH($E29,'BY-Demands'!$I$5:$I$14,0),FALSE)*HLOOKUP(REG_TRA_DEMANDS!$F29,DEMANDS!$H$2:$CO$25,MATCH($E29,DEMANDS!$F$2:$F$25,0),FALSE)/HLOOKUP(2018,DEMANDS!$H$2:$CO$25,MATCH($E29,DEMANDS!$F$2:$F$25,0),FALSE)</f>
        <v>0.68045479130749276</v>
      </c>
      <c r="S29" s="13">
        <f>HLOOKUP(REG_TRA_DEMANDS!S$3,'BY-Demands'!$J$5:$AK$14,MATCH($E29,'BY-Demands'!$I$5:$I$14,0),FALSE)*HLOOKUP(REG_TRA_DEMANDS!$F29,DEMANDS!$H$2:$CO$25,MATCH($E29,DEMANDS!$F$2:$F$25,0),FALSE)/HLOOKUP(2018,DEMANDS!$H$2:$CO$25,MATCH($E29,DEMANDS!$F$2:$F$25,0),FALSE)</f>
        <v>0.56766436327036951</v>
      </c>
      <c r="T29" s="13">
        <f>HLOOKUP(REG_TRA_DEMANDS!T$3,'BY-Demands'!$J$5:$AK$14,MATCH($E29,'BY-Demands'!$I$5:$I$14,0),FALSE)*HLOOKUP(REG_TRA_DEMANDS!$F29,DEMANDS!$H$2:$CO$25,MATCH($E29,DEMANDS!$F$2:$F$25,0),FALSE)/HLOOKUP(2018,DEMANDS!$H$2:$CO$25,MATCH($E29,DEMANDS!$F$2:$F$25,0),FALSE)</f>
        <v>2.5936256390908592</v>
      </c>
      <c r="U29" s="13">
        <f>HLOOKUP(REG_TRA_DEMANDS!U$3,'BY-Demands'!$J$5:$AK$14,MATCH($E29,'BY-Demands'!$I$5:$I$14,0),FALSE)*HLOOKUP(REG_TRA_DEMANDS!$F29,DEMANDS!$H$2:$CO$25,MATCH($E29,DEMANDS!$F$2:$F$25,0),FALSE)/HLOOKUP(2018,DEMANDS!$H$2:$CO$25,MATCH($E29,DEMANDS!$F$2:$F$25,0),FALSE)</f>
        <v>0.70569026406639179</v>
      </c>
      <c r="V29" s="13">
        <f>HLOOKUP(REG_TRA_DEMANDS!V$3,'BY-Demands'!$J$5:$AK$14,MATCH($E29,'BY-Demands'!$I$5:$I$14,0),FALSE)*HLOOKUP(REG_TRA_DEMANDS!$F29,DEMANDS!$H$2:$CO$25,MATCH($E29,DEMANDS!$F$2:$F$25,0),FALSE)/HLOOKUP(2018,DEMANDS!$H$2:$CO$25,MATCH($E29,DEMANDS!$F$2:$F$25,0),FALSE)</f>
        <v>0.93115645687933368</v>
      </c>
      <c r="W29" s="13">
        <f>HLOOKUP(REG_TRA_DEMANDS!W$3,'BY-Demands'!$J$5:$AK$14,MATCH($E29,'BY-Demands'!$I$5:$I$14,0),FALSE)*HLOOKUP(REG_TRA_DEMANDS!$F29,DEMANDS!$H$2:$CO$25,MATCH($E29,DEMANDS!$F$2:$F$25,0),FALSE)/HLOOKUP(2018,DEMANDS!$H$2:$CO$25,MATCH($E29,DEMANDS!$F$2:$F$25,0),FALSE)</f>
        <v>0.76228613879223739</v>
      </c>
      <c r="X29" s="13">
        <f>HLOOKUP(REG_TRA_DEMANDS!X$3,'BY-Demands'!$J$5:$AK$14,MATCH($E29,'BY-Demands'!$I$5:$I$14,0),FALSE)*HLOOKUP(REG_TRA_DEMANDS!$F29,DEMANDS!$H$2:$CO$25,MATCH($E29,DEMANDS!$F$2:$F$25,0),FALSE)/HLOOKUP(2018,DEMANDS!$H$2:$CO$25,MATCH($E29,DEMANDS!$F$2:$F$25,0),FALSE)</f>
        <v>0.55504662689091944</v>
      </c>
      <c r="Y29" s="13">
        <f>HLOOKUP(REG_TRA_DEMANDS!Y$3,'BY-Demands'!$J$5:$AK$14,MATCH($E29,'BY-Demands'!$I$5:$I$14,0),FALSE)*HLOOKUP(REG_TRA_DEMANDS!$F29,DEMANDS!$H$2:$CO$25,MATCH($E29,DEMANDS!$F$2:$F$25,0),FALSE)/HLOOKUP(2018,DEMANDS!$H$2:$CO$25,MATCH($E29,DEMANDS!$F$2:$F$25,0),FALSE)</f>
        <v>1.2329071619113803</v>
      </c>
      <c r="Z29" s="13">
        <f>HLOOKUP(REG_TRA_DEMANDS!Z$3,'BY-Demands'!$J$5:$AK$14,MATCH($E29,'BY-Demands'!$I$5:$I$14,0),FALSE)*HLOOKUP(REG_TRA_DEMANDS!$F29,DEMANDS!$H$2:$CO$25,MATCH($E29,DEMANDS!$F$2:$F$25,0),FALSE)/HLOOKUP(2018,DEMANDS!$H$2:$CO$25,MATCH($E29,DEMANDS!$F$2:$F$25,0),FALSE)</f>
        <v>0.15309456438586874</v>
      </c>
      <c r="AA29" s="13">
        <f>HLOOKUP(REG_TRA_DEMANDS!AA$3,'BY-Demands'!$J$5:$AK$14,MATCH($E29,'BY-Demands'!$I$5:$I$14,0),FALSE)*HLOOKUP(REG_TRA_DEMANDS!$F29,DEMANDS!$H$2:$CO$25,MATCH($E29,DEMANDS!$F$2:$F$25,0),FALSE)/HLOOKUP(2018,DEMANDS!$H$2:$CO$25,MATCH($E29,DEMANDS!$F$2:$F$25,0),FALSE)</f>
        <v>0.62351492679773235</v>
      </c>
      <c r="AB29" s="13">
        <f>HLOOKUP(REG_TRA_DEMANDS!AB$3,'BY-Demands'!$J$5:$AK$14,MATCH($E29,'BY-Demands'!$I$5:$I$14,0),FALSE)*HLOOKUP(REG_TRA_DEMANDS!$F29,DEMANDS!$H$2:$CO$25,MATCH($E29,DEMANDS!$F$2:$F$25,0),FALSE)/HLOOKUP(2018,DEMANDS!$H$2:$CO$25,MATCH($E29,DEMANDS!$F$2:$F$25,0),FALSE)</f>
        <v>0.30836773073653384</v>
      </c>
      <c r="AC29" s="13">
        <f>HLOOKUP(REG_TRA_DEMANDS!AC$3,'BY-Demands'!$J$5:$AK$14,MATCH($E29,'BY-Demands'!$I$5:$I$14,0),FALSE)*HLOOKUP(REG_TRA_DEMANDS!$F29,DEMANDS!$H$2:$CO$25,MATCH($E29,DEMANDS!$F$2:$F$25,0),FALSE)/HLOOKUP(2018,DEMANDS!$H$2:$CO$25,MATCH($E29,DEMANDS!$F$2:$F$25,0),FALSE)</f>
        <v>0.31310236790125712</v>
      </c>
      <c r="AD29" s="13">
        <f>HLOOKUP(REG_TRA_DEMANDS!AD$3,'BY-Demands'!$J$5:$AK$14,MATCH($E29,'BY-Demands'!$I$5:$I$14,0),FALSE)*HLOOKUP(REG_TRA_DEMANDS!$F29,DEMANDS!$H$2:$CO$25,MATCH($E29,DEMANDS!$F$2:$F$25,0),FALSE)/HLOOKUP(2018,DEMANDS!$H$2:$CO$25,MATCH($E29,DEMANDS!$F$2:$F$25,0),FALSE)</f>
        <v>0.36394119138240832</v>
      </c>
      <c r="AE29" s="13">
        <f>HLOOKUP(REG_TRA_DEMANDS!AE$3,'BY-Demands'!$J$5:$AK$14,MATCH($E29,'BY-Demands'!$I$5:$I$14,0),FALSE)*HLOOKUP(REG_TRA_DEMANDS!$F29,DEMANDS!$H$2:$CO$25,MATCH($E29,DEMANDS!$F$2:$F$25,0),FALSE)/HLOOKUP(2018,DEMANDS!$H$2:$CO$25,MATCH($E29,DEMANDS!$F$2:$F$25,0),FALSE)</f>
        <v>0.76056141223677332</v>
      </c>
      <c r="AF29" s="13">
        <f>HLOOKUP(REG_TRA_DEMANDS!AF$3,'BY-Demands'!$J$5:$AK$14,MATCH($E29,'BY-Demands'!$I$5:$I$14,0),FALSE)*HLOOKUP(REG_TRA_DEMANDS!$F29,DEMANDS!$H$2:$CO$25,MATCH($E29,DEMANDS!$F$2:$F$25,0),FALSE)/HLOOKUP(2018,DEMANDS!$H$2:$CO$25,MATCH($E29,DEMANDS!$F$2:$F$25,0),FALSE)</f>
        <v>0.29327995660313688</v>
      </c>
    </row>
    <row r="30" spans="4:32" ht="12.75">
      <c r="D30" s="3" t="s">
        <v>59</v>
      </c>
      <c r="E30" s="3" t="str">
        <f>DEMANDS!$F$23</f>
        <v>TOTH</v>
      </c>
      <c r="F30" s="3">
        <v>2030</v>
      </c>
      <c r="G30" s="13">
        <f>HLOOKUP(REG_TRA_DEMANDS!G$3,'BY-Demands'!$J$5:$AK$14,MATCH($E30,'BY-Demands'!$I$5:$I$14,0),FALSE)*HLOOKUP(REG_TRA_DEMANDS!$F30,DEMANDS!$H$2:$CO$25,MATCH($E30,DEMANDS!$F$2:$F$25,0),FALSE)/HLOOKUP(2018,DEMANDS!$H$2:$CO$25,MATCH($E30,DEMANDS!$F$2:$F$25,0),FALSE)</f>
        <v>0</v>
      </c>
      <c r="H30" s="13">
        <f>HLOOKUP(REG_TRA_DEMANDS!H$3,'BY-Demands'!$J$5:$AK$14,MATCH($E30,'BY-Demands'!$I$5:$I$14,0),FALSE)*HLOOKUP(REG_TRA_DEMANDS!$F30,DEMANDS!$H$2:$CO$25,MATCH($E30,DEMANDS!$F$2:$F$25,0),FALSE)/HLOOKUP(2018,DEMANDS!$H$2:$CO$25,MATCH($E30,DEMANDS!$F$2:$F$25,0),FALSE)</f>
        <v>0</v>
      </c>
      <c r="I30" s="13">
        <f>HLOOKUP(REG_TRA_DEMANDS!I$3,'BY-Demands'!$J$5:$AK$14,MATCH($E30,'BY-Demands'!$I$5:$I$14,0),FALSE)*HLOOKUP(REG_TRA_DEMANDS!$F30,DEMANDS!$H$2:$CO$25,MATCH($E30,DEMANDS!$F$2:$F$25,0),FALSE)/HLOOKUP(2018,DEMANDS!$H$2:$CO$25,MATCH($E30,DEMANDS!$F$2:$F$25,0),FALSE)</f>
        <v>0</v>
      </c>
      <c r="J30" s="13">
        <f>HLOOKUP(REG_TRA_DEMANDS!J$3,'BY-Demands'!$J$5:$AK$14,MATCH($E30,'BY-Demands'!$I$5:$I$14,0),FALSE)*HLOOKUP(REG_TRA_DEMANDS!$F30,DEMANDS!$H$2:$CO$25,MATCH($E30,DEMANDS!$F$2:$F$25,0),FALSE)/HLOOKUP(2018,DEMANDS!$H$2:$CO$25,MATCH($E30,DEMANDS!$F$2:$F$25,0),FALSE)</f>
        <v>0</v>
      </c>
      <c r="K30" s="13">
        <f>HLOOKUP(REG_TRA_DEMANDS!K$3,'BY-Demands'!$J$5:$AK$14,MATCH($E30,'BY-Demands'!$I$5:$I$14,0),FALSE)*HLOOKUP(REG_TRA_DEMANDS!$F30,DEMANDS!$H$2:$CO$25,MATCH($E30,DEMANDS!$F$2:$F$25,0),FALSE)/HLOOKUP(2018,DEMANDS!$H$2:$CO$25,MATCH($E30,DEMANDS!$F$2:$F$25,0),FALSE)</f>
        <v>0</v>
      </c>
      <c r="L30" s="13">
        <f>HLOOKUP(REG_TRA_DEMANDS!L$3,'BY-Demands'!$J$5:$AK$14,MATCH($E30,'BY-Demands'!$I$5:$I$14,0),FALSE)*HLOOKUP(REG_TRA_DEMANDS!$F30,DEMANDS!$H$2:$CO$25,MATCH($E30,DEMANDS!$F$2:$F$25,0),FALSE)/HLOOKUP(2018,DEMANDS!$H$2:$CO$25,MATCH($E30,DEMANDS!$F$2:$F$25,0),FALSE)</f>
        <v>0</v>
      </c>
      <c r="M30" s="13">
        <f>HLOOKUP(REG_TRA_DEMANDS!M$3,'BY-Demands'!$J$5:$AK$14,MATCH($E30,'BY-Demands'!$I$5:$I$14,0),FALSE)*HLOOKUP(REG_TRA_DEMANDS!$F30,DEMANDS!$H$2:$CO$25,MATCH($E30,DEMANDS!$F$2:$F$25,0),FALSE)/HLOOKUP(2018,DEMANDS!$H$2:$CO$25,MATCH($E30,DEMANDS!$F$2:$F$25,0),FALSE)</f>
        <v>0</v>
      </c>
      <c r="N30" s="13">
        <f>HLOOKUP(REG_TRA_DEMANDS!N$3,'BY-Demands'!$J$5:$AK$14,MATCH($E30,'BY-Demands'!$I$5:$I$14,0),FALSE)*HLOOKUP(REG_TRA_DEMANDS!$F30,DEMANDS!$H$2:$CO$25,MATCH($E30,DEMANDS!$F$2:$F$25,0),FALSE)/HLOOKUP(2018,DEMANDS!$H$2:$CO$25,MATCH($E30,DEMANDS!$F$2:$F$25,0),FALSE)</f>
        <v>0</v>
      </c>
      <c r="O30" s="13">
        <f>HLOOKUP(REG_TRA_DEMANDS!O$3,'BY-Demands'!$J$5:$AK$14,MATCH($E30,'BY-Demands'!$I$5:$I$14,0),FALSE)*HLOOKUP(REG_TRA_DEMANDS!$F30,DEMANDS!$H$2:$CO$25,MATCH($E30,DEMANDS!$F$2:$F$25,0),FALSE)/HLOOKUP(2018,DEMANDS!$H$2:$CO$25,MATCH($E30,DEMANDS!$F$2:$F$25,0),FALSE)</f>
        <v>0</v>
      </c>
      <c r="P30" s="13">
        <f>HLOOKUP(REG_TRA_DEMANDS!P$3,'BY-Demands'!$J$5:$AK$14,MATCH($E30,'BY-Demands'!$I$5:$I$14,0),FALSE)*HLOOKUP(REG_TRA_DEMANDS!$F30,DEMANDS!$H$2:$CO$25,MATCH($E30,DEMANDS!$F$2:$F$25,0),FALSE)/HLOOKUP(2018,DEMANDS!$H$2:$CO$25,MATCH($E30,DEMANDS!$F$2:$F$25,0),FALSE)</f>
        <v>0</v>
      </c>
      <c r="Q30" s="13">
        <f>HLOOKUP(REG_TRA_DEMANDS!Q$3,'BY-Demands'!$J$5:$AK$14,MATCH($E30,'BY-Demands'!$I$5:$I$14,0),FALSE)*HLOOKUP(REG_TRA_DEMANDS!$F30,DEMANDS!$H$2:$CO$25,MATCH($E30,DEMANDS!$F$2:$F$25,0),FALSE)/HLOOKUP(2018,DEMANDS!$H$2:$CO$25,MATCH($E30,DEMANDS!$F$2:$F$25,0),FALSE)</f>
        <v>0</v>
      </c>
      <c r="R30" s="13">
        <f>HLOOKUP(REG_TRA_DEMANDS!R$3,'BY-Demands'!$J$5:$AK$14,MATCH($E30,'BY-Demands'!$I$5:$I$14,0),FALSE)*HLOOKUP(REG_TRA_DEMANDS!$F30,DEMANDS!$H$2:$CO$25,MATCH($E30,DEMANDS!$F$2:$F$25,0),FALSE)/HLOOKUP(2018,DEMANDS!$H$2:$CO$25,MATCH($E30,DEMANDS!$F$2:$F$25,0),FALSE)</f>
        <v>0</v>
      </c>
      <c r="S30" s="13">
        <f>HLOOKUP(REG_TRA_DEMANDS!S$3,'BY-Demands'!$J$5:$AK$14,MATCH($E30,'BY-Demands'!$I$5:$I$14,0),FALSE)*HLOOKUP(REG_TRA_DEMANDS!$F30,DEMANDS!$H$2:$CO$25,MATCH($E30,DEMANDS!$F$2:$F$25,0),FALSE)/HLOOKUP(2018,DEMANDS!$H$2:$CO$25,MATCH($E30,DEMANDS!$F$2:$F$25,0),FALSE)</f>
        <v>0</v>
      </c>
      <c r="T30" s="13">
        <f>HLOOKUP(REG_TRA_DEMANDS!T$3,'BY-Demands'!$J$5:$AK$14,MATCH($E30,'BY-Demands'!$I$5:$I$14,0),FALSE)*HLOOKUP(REG_TRA_DEMANDS!$F30,DEMANDS!$H$2:$CO$25,MATCH($E30,DEMANDS!$F$2:$F$25,0),FALSE)/HLOOKUP(2018,DEMANDS!$H$2:$CO$25,MATCH($E30,DEMANDS!$F$2:$F$25,0),FALSE)</f>
        <v>0</v>
      </c>
      <c r="U30" s="13">
        <f>HLOOKUP(REG_TRA_DEMANDS!U$3,'BY-Demands'!$J$5:$AK$14,MATCH($E30,'BY-Demands'!$I$5:$I$14,0),FALSE)*HLOOKUP(REG_TRA_DEMANDS!$F30,DEMANDS!$H$2:$CO$25,MATCH($E30,DEMANDS!$F$2:$F$25,0),FALSE)/HLOOKUP(2018,DEMANDS!$H$2:$CO$25,MATCH($E30,DEMANDS!$F$2:$F$25,0),FALSE)</f>
        <v>0</v>
      </c>
      <c r="V30" s="13">
        <f>HLOOKUP(REG_TRA_DEMANDS!V$3,'BY-Demands'!$J$5:$AK$14,MATCH($E30,'BY-Demands'!$I$5:$I$14,0),FALSE)*HLOOKUP(REG_TRA_DEMANDS!$F30,DEMANDS!$H$2:$CO$25,MATCH($E30,DEMANDS!$F$2:$F$25,0),FALSE)/HLOOKUP(2018,DEMANDS!$H$2:$CO$25,MATCH($E30,DEMANDS!$F$2:$F$25,0),FALSE)</f>
        <v>0</v>
      </c>
      <c r="W30" s="13">
        <f>HLOOKUP(REG_TRA_DEMANDS!W$3,'BY-Demands'!$J$5:$AK$14,MATCH($E30,'BY-Demands'!$I$5:$I$14,0),FALSE)*HLOOKUP(REG_TRA_DEMANDS!$F30,DEMANDS!$H$2:$CO$25,MATCH($E30,DEMANDS!$F$2:$F$25,0),FALSE)/HLOOKUP(2018,DEMANDS!$H$2:$CO$25,MATCH($E30,DEMANDS!$F$2:$F$25,0),FALSE)</f>
        <v>0</v>
      </c>
      <c r="X30" s="13">
        <f>HLOOKUP(REG_TRA_DEMANDS!X$3,'BY-Demands'!$J$5:$AK$14,MATCH($E30,'BY-Demands'!$I$5:$I$14,0),FALSE)*HLOOKUP(REG_TRA_DEMANDS!$F30,DEMANDS!$H$2:$CO$25,MATCH($E30,DEMANDS!$F$2:$F$25,0),FALSE)/HLOOKUP(2018,DEMANDS!$H$2:$CO$25,MATCH($E30,DEMANDS!$F$2:$F$25,0),FALSE)</f>
        <v>0</v>
      </c>
      <c r="Y30" s="13">
        <f>HLOOKUP(REG_TRA_DEMANDS!Y$3,'BY-Demands'!$J$5:$AK$14,MATCH($E30,'BY-Demands'!$I$5:$I$14,0),FALSE)*HLOOKUP(REG_TRA_DEMANDS!$F30,DEMANDS!$H$2:$CO$25,MATCH($E30,DEMANDS!$F$2:$F$25,0),FALSE)/HLOOKUP(2018,DEMANDS!$H$2:$CO$25,MATCH($E30,DEMANDS!$F$2:$F$25,0),FALSE)</f>
        <v>0</v>
      </c>
      <c r="Z30" s="13">
        <f>HLOOKUP(REG_TRA_DEMANDS!Z$3,'BY-Demands'!$J$5:$AK$14,MATCH($E30,'BY-Demands'!$I$5:$I$14,0),FALSE)*HLOOKUP(REG_TRA_DEMANDS!$F30,DEMANDS!$H$2:$CO$25,MATCH($E30,DEMANDS!$F$2:$F$25,0),FALSE)/HLOOKUP(2018,DEMANDS!$H$2:$CO$25,MATCH($E30,DEMANDS!$F$2:$F$25,0),FALSE)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A30" s="13">
        <f>HLOOKUP(REG_TRA_DEMANDS!AA$3,'BY-Demands'!$J$5:$AK$14,MATCH($E30,'BY-Demands'!$I$5:$I$14,0),FALSE)*HLOOKUP(REG_TRA_DEMANDS!$F30,DEMANDS!$H$2:$CO$25,MATCH($E30,DEMANDS!$F$2:$F$25,0),FALSE)/HLOOKUP(2018,DEMANDS!$H$2:$CO$25,MATCH($E30,DEMANDS!$F$2:$F$25,0),FALSE)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B30" s="13">
        <f>HLOOKUP(REG_TRA_DEMANDS!AB$3,'BY-Demands'!$J$5:$AK$14,MATCH($E30,'BY-Demands'!$I$5:$I$14,0),FALSE)*HLOOKUP(REG_TRA_DEMANDS!$F30,DEMANDS!$H$2:$CO$25,MATCH($E30,DEMANDS!$F$2:$F$25,0),FALSE)/HLOOKUP(2018,DEMANDS!$H$2:$CO$25,MATCH($E30,DEMANDS!$F$2:$F$25,0),FALSE)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C30" s="13">
        <f>HLOOKUP(REG_TRA_DEMANDS!AC$3,'BY-Demands'!$J$5:$AK$14,MATCH($E30,'BY-Demands'!$I$5:$I$14,0),FALSE)*HLOOKUP(REG_TRA_DEMANDS!$F30,DEMANDS!$H$2:$CO$25,MATCH($E30,DEMANDS!$F$2:$F$25,0),FALSE)/HLOOKUP(2018,DEMANDS!$H$2:$CO$25,MATCH($E30,DEMANDS!$F$2:$F$25,0),FALSE)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D30" s="13">
        <f>HLOOKUP(REG_TRA_DEMANDS!AD$3,'BY-Demands'!$J$5:$AK$14,MATCH($E30,'BY-Demands'!$I$5:$I$14,0),FALSE)*HLOOKUP(REG_TRA_DEMANDS!$F30,DEMANDS!$H$2:$CO$25,MATCH($E30,DEMANDS!$F$2:$F$25,0),FALSE)/HLOOKUP(2018,DEMANDS!$H$2:$CO$25,MATCH($E30,DEMANDS!$F$2:$F$25,0),FALSE)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E30" s="13">
        <f>HLOOKUP(REG_TRA_DEMANDS!AE$3,'BY-Demands'!$J$5:$AK$14,MATCH($E30,'BY-Demands'!$I$5:$I$14,0),FALSE)*HLOOKUP(REG_TRA_DEMANDS!$F30,DEMANDS!$H$2:$CO$25,MATCH($E30,DEMANDS!$F$2:$F$25,0),FALSE)/HLOOKUP(2018,DEMANDS!$H$2:$CO$25,MATCH($E30,DEMANDS!$F$2:$F$25,0),FALSE)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F30" s="13">
        <f>HLOOKUP(REG_TRA_DEMANDS!AF$3,'BY-Demands'!$J$5:$AK$14,MATCH($E30,'BY-Demands'!$I$5:$I$14,0),FALSE)*HLOOKUP(REG_TRA_DEMANDS!$F30,DEMANDS!$H$2:$CO$25,MATCH($E30,DEMANDS!$F$2:$F$25,0),FALSE)/HLOOKUP(2018,DEMANDS!$H$2:$CO$25,MATCH($E30,DEMANDS!$F$2:$F$25,0),FALSE)</f>
        <v>0</v>
      </c>
    </row>
    <row r="31" spans="4:32" ht="12.75">
      <c r="D31" s="3" t="s">
        <v>59</v>
      </c>
      <c r="E31" s="3" t="str">
        <f>DEMANDS!$F$23</f>
        <v>TOTH</v>
      </c>
      <c r="F31" s="3">
        <v>2050</v>
      </c>
      <c r="G31" s="13">
        <f>HLOOKUP(REG_TRA_DEMANDS!G$3,'BY-Demands'!$J$5:$AK$14,MATCH($E31,'BY-Demands'!$I$5:$I$14,0),FALSE)*HLOOKUP(REG_TRA_DEMANDS!$F31,DEMANDS!$H$2:$CO$25,MATCH($E31,DEMANDS!$F$2:$F$25,0),FALSE)/HLOOKUP(2018,DEMANDS!$H$2:$CO$25,MATCH($E31,DEMANDS!$F$2:$F$25,0),FALSE)</f>
        <v>0</v>
      </c>
      <c r="H31" s="13">
        <f>HLOOKUP(REG_TRA_DEMANDS!H$3,'BY-Demands'!$J$5:$AK$14,MATCH($E31,'BY-Demands'!$I$5:$I$14,0),FALSE)*HLOOKUP(REG_TRA_DEMANDS!$F31,DEMANDS!$H$2:$CO$25,MATCH($E31,DEMANDS!$F$2:$F$25,0),FALSE)/HLOOKUP(2018,DEMANDS!$H$2:$CO$25,MATCH($E31,DEMANDS!$F$2:$F$25,0),FALSE)</f>
        <v>0</v>
      </c>
      <c r="I31" s="13">
        <f>HLOOKUP(REG_TRA_DEMANDS!I$3,'BY-Demands'!$J$5:$AK$14,MATCH($E31,'BY-Demands'!$I$5:$I$14,0),FALSE)*HLOOKUP(REG_TRA_DEMANDS!$F31,DEMANDS!$H$2:$CO$25,MATCH($E31,DEMANDS!$F$2:$F$25,0),FALSE)/HLOOKUP(2018,DEMANDS!$H$2:$CO$25,MATCH($E31,DEMANDS!$F$2:$F$25,0),FALSE)</f>
        <v>0</v>
      </c>
      <c r="J31" s="13">
        <f>HLOOKUP(REG_TRA_DEMANDS!J$3,'BY-Demands'!$J$5:$AK$14,MATCH($E31,'BY-Demands'!$I$5:$I$14,0),FALSE)*HLOOKUP(REG_TRA_DEMANDS!$F31,DEMANDS!$H$2:$CO$25,MATCH($E31,DEMANDS!$F$2:$F$25,0),FALSE)/HLOOKUP(2018,DEMANDS!$H$2:$CO$25,MATCH($E31,DEMANDS!$F$2:$F$25,0),FALSE)</f>
        <v>0</v>
      </c>
      <c r="K31" s="13">
        <f>HLOOKUP(REG_TRA_DEMANDS!K$3,'BY-Demands'!$J$5:$AK$14,MATCH($E31,'BY-Demands'!$I$5:$I$14,0),FALSE)*HLOOKUP(REG_TRA_DEMANDS!$F31,DEMANDS!$H$2:$CO$25,MATCH($E31,DEMANDS!$F$2:$F$25,0),FALSE)/HLOOKUP(2018,DEMANDS!$H$2:$CO$25,MATCH($E31,DEMANDS!$F$2:$F$25,0),FALSE)</f>
        <v>0</v>
      </c>
      <c r="L31" s="13">
        <f>HLOOKUP(REG_TRA_DEMANDS!L$3,'BY-Demands'!$J$5:$AK$14,MATCH($E31,'BY-Demands'!$I$5:$I$14,0),FALSE)*HLOOKUP(REG_TRA_DEMANDS!$F31,DEMANDS!$H$2:$CO$25,MATCH($E31,DEMANDS!$F$2:$F$25,0),FALSE)/HLOOKUP(2018,DEMANDS!$H$2:$CO$25,MATCH($E31,DEMANDS!$F$2:$F$25,0),FALSE)</f>
        <v>0</v>
      </c>
      <c r="M31" s="13">
        <f>HLOOKUP(REG_TRA_DEMANDS!M$3,'BY-Demands'!$J$5:$AK$14,MATCH($E31,'BY-Demands'!$I$5:$I$14,0),FALSE)*HLOOKUP(REG_TRA_DEMANDS!$F31,DEMANDS!$H$2:$CO$25,MATCH($E31,DEMANDS!$F$2:$F$25,0),FALSE)/HLOOKUP(2018,DEMANDS!$H$2:$CO$25,MATCH($E31,DEMANDS!$F$2:$F$25,0),FALSE)</f>
        <v>0</v>
      </c>
      <c r="N31" s="13">
        <f>HLOOKUP(REG_TRA_DEMANDS!N$3,'BY-Demands'!$J$5:$AK$14,MATCH($E31,'BY-Demands'!$I$5:$I$14,0),FALSE)*HLOOKUP(REG_TRA_DEMANDS!$F31,DEMANDS!$H$2:$CO$25,MATCH($E31,DEMANDS!$F$2:$F$25,0),FALSE)/HLOOKUP(2018,DEMANDS!$H$2:$CO$25,MATCH($E31,DEMANDS!$F$2:$F$25,0),FALSE)</f>
        <v>0</v>
      </c>
      <c r="O31" s="13">
        <f>HLOOKUP(REG_TRA_DEMANDS!O$3,'BY-Demands'!$J$5:$AK$14,MATCH($E31,'BY-Demands'!$I$5:$I$14,0),FALSE)*HLOOKUP(REG_TRA_DEMANDS!$F31,DEMANDS!$H$2:$CO$25,MATCH($E31,DEMANDS!$F$2:$F$25,0),FALSE)/HLOOKUP(2018,DEMANDS!$H$2:$CO$25,MATCH($E31,DEMANDS!$F$2:$F$25,0),FALSE)</f>
        <v>0</v>
      </c>
      <c r="P31" s="13">
        <f>HLOOKUP(REG_TRA_DEMANDS!P$3,'BY-Demands'!$J$5:$AK$14,MATCH($E31,'BY-Demands'!$I$5:$I$14,0),FALSE)*HLOOKUP(REG_TRA_DEMANDS!$F31,DEMANDS!$H$2:$CO$25,MATCH($E31,DEMANDS!$F$2:$F$25,0),FALSE)/HLOOKUP(2018,DEMANDS!$H$2:$CO$25,MATCH($E31,DEMANDS!$F$2:$F$25,0),FALSE)</f>
        <v>0</v>
      </c>
      <c r="Q31" s="13">
        <f>HLOOKUP(REG_TRA_DEMANDS!Q$3,'BY-Demands'!$J$5:$AK$14,MATCH($E31,'BY-Demands'!$I$5:$I$14,0),FALSE)*HLOOKUP(REG_TRA_DEMANDS!$F31,DEMANDS!$H$2:$CO$25,MATCH($E31,DEMANDS!$F$2:$F$25,0),FALSE)/HLOOKUP(2018,DEMANDS!$H$2:$CO$25,MATCH($E31,DEMANDS!$F$2:$F$25,0),FALSE)</f>
        <v>0</v>
      </c>
      <c r="R31" s="13">
        <f>HLOOKUP(REG_TRA_DEMANDS!R$3,'BY-Demands'!$J$5:$AK$14,MATCH($E31,'BY-Demands'!$I$5:$I$14,0),FALSE)*HLOOKUP(REG_TRA_DEMANDS!$F31,DEMANDS!$H$2:$CO$25,MATCH($E31,DEMANDS!$F$2:$F$25,0),FALSE)/HLOOKUP(2018,DEMANDS!$H$2:$CO$25,MATCH($E31,DEMANDS!$F$2:$F$25,0),FALSE)</f>
        <v>0</v>
      </c>
      <c r="S31" s="13">
        <f>HLOOKUP(REG_TRA_DEMANDS!S$3,'BY-Demands'!$J$5:$AK$14,MATCH($E31,'BY-Demands'!$I$5:$I$14,0),FALSE)*HLOOKUP(REG_TRA_DEMANDS!$F31,DEMANDS!$H$2:$CO$25,MATCH($E31,DEMANDS!$F$2:$F$25,0),FALSE)/HLOOKUP(2018,DEMANDS!$H$2:$CO$25,MATCH($E31,DEMANDS!$F$2:$F$25,0),FALSE)</f>
        <v>0</v>
      </c>
      <c r="T31" s="13">
        <f>HLOOKUP(REG_TRA_DEMANDS!T$3,'BY-Demands'!$J$5:$AK$14,MATCH($E31,'BY-Demands'!$I$5:$I$14,0),FALSE)*HLOOKUP(REG_TRA_DEMANDS!$F31,DEMANDS!$H$2:$CO$25,MATCH($E31,DEMANDS!$F$2:$F$25,0),FALSE)/HLOOKUP(2018,DEMANDS!$H$2:$CO$25,MATCH($E31,DEMANDS!$F$2:$F$25,0),FALSE)</f>
        <v>0</v>
      </c>
      <c r="U31" s="13">
        <f>HLOOKUP(REG_TRA_DEMANDS!U$3,'BY-Demands'!$J$5:$AK$14,MATCH($E31,'BY-Demands'!$I$5:$I$14,0),FALSE)*HLOOKUP(REG_TRA_DEMANDS!$F31,DEMANDS!$H$2:$CO$25,MATCH($E31,DEMANDS!$F$2:$F$25,0),FALSE)/HLOOKUP(2018,DEMANDS!$H$2:$CO$25,MATCH($E31,DEMANDS!$F$2:$F$25,0),FALSE)</f>
        <v>0</v>
      </c>
      <c r="V31" s="13">
        <f>HLOOKUP(REG_TRA_DEMANDS!V$3,'BY-Demands'!$J$5:$AK$14,MATCH($E31,'BY-Demands'!$I$5:$I$14,0),FALSE)*HLOOKUP(REG_TRA_DEMANDS!$F31,DEMANDS!$H$2:$CO$25,MATCH($E31,DEMANDS!$F$2:$F$25,0),FALSE)/HLOOKUP(2018,DEMANDS!$H$2:$CO$25,MATCH($E31,DEMANDS!$F$2:$F$25,0),FALSE)</f>
        <v>0</v>
      </c>
      <c r="W31" s="13">
        <f>HLOOKUP(REG_TRA_DEMANDS!W$3,'BY-Demands'!$J$5:$AK$14,MATCH($E31,'BY-Demands'!$I$5:$I$14,0),FALSE)*HLOOKUP(REG_TRA_DEMANDS!$F31,DEMANDS!$H$2:$CO$25,MATCH($E31,DEMANDS!$F$2:$F$25,0),FALSE)/HLOOKUP(2018,DEMANDS!$H$2:$CO$25,MATCH($E31,DEMANDS!$F$2:$F$25,0),FALSE)</f>
        <v>0</v>
      </c>
      <c r="X31" s="13">
        <f>HLOOKUP(REG_TRA_DEMANDS!X$3,'BY-Demands'!$J$5:$AK$14,MATCH($E31,'BY-Demands'!$I$5:$I$14,0),FALSE)*HLOOKUP(REG_TRA_DEMANDS!$F31,DEMANDS!$H$2:$CO$25,MATCH($E31,DEMANDS!$F$2:$F$25,0),FALSE)/HLOOKUP(2018,DEMANDS!$H$2:$CO$25,MATCH($E31,DEMANDS!$F$2:$F$25,0),FALSE)</f>
        <v>0</v>
      </c>
      <c r="Y31" s="13">
        <f>HLOOKUP(REG_TRA_DEMANDS!Y$3,'BY-Demands'!$J$5:$AK$14,MATCH($E31,'BY-Demands'!$I$5:$I$14,0),FALSE)*HLOOKUP(REG_TRA_DEMANDS!$F31,DEMANDS!$H$2:$CO$25,MATCH($E31,DEMANDS!$F$2:$F$25,0),FALSE)/HLOOKUP(2018,DEMANDS!$H$2:$CO$25,MATCH($E31,DEMANDS!$F$2:$F$25,0),FALSE)</f>
        <v>0</v>
      </c>
      <c r="Z31" s="13">
        <f>HLOOKUP(REG_TRA_DEMANDS!Z$3,'BY-Demands'!$J$5:$AK$14,MATCH($E31,'BY-Demands'!$I$5:$I$14,0),FALSE)*HLOOKUP(REG_TRA_DEMANDS!$F31,DEMANDS!$H$2:$CO$25,MATCH($E31,DEMANDS!$F$2:$F$25,0),FALSE)/HLOOKUP(2018,DEMANDS!$H$2:$CO$25,MATCH($E31,DEMANDS!$F$2:$F$25,0),FALSE)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A31" s="13">
        <f>HLOOKUP(REG_TRA_DEMANDS!AA$3,'BY-Demands'!$J$5:$AK$14,MATCH($E31,'BY-Demands'!$I$5:$I$14,0),FALSE)*HLOOKUP(REG_TRA_DEMANDS!$F31,DEMANDS!$H$2:$CO$25,MATCH($E31,DEMANDS!$F$2:$F$25,0),FALSE)/HLOOKUP(2018,DEMANDS!$H$2:$CO$25,MATCH($E31,DEMANDS!$F$2:$F$25,0),FALSE)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B31" s="13">
        <f>HLOOKUP(REG_TRA_DEMANDS!AB$3,'BY-Demands'!$J$5:$AK$14,MATCH($E31,'BY-Demands'!$I$5:$I$14,0),FALSE)*HLOOKUP(REG_TRA_DEMANDS!$F31,DEMANDS!$H$2:$CO$25,MATCH($E31,DEMANDS!$F$2:$F$25,0),FALSE)/HLOOKUP(2018,DEMANDS!$H$2:$CO$25,MATCH($E31,DEMANDS!$F$2:$F$25,0),FALSE)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C31" s="13">
        <f>HLOOKUP(REG_TRA_DEMANDS!AC$3,'BY-Demands'!$J$5:$AK$14,MATCH($E31,'BY-Demands'!$I$5:$I$14,0),FALSE)*HLOOKUP(REG_TRA_DEMANDS!$F31,DEMANDS!$H$2:$CO$25,MATCH($E31,DEMANDS!$F$2:$F$25,0),FALSE)/HLOOKUP(2018,DEMANDS!$H$2:$CO$25,MATCH($E31,DEMANDS!$F$2:$F$25,0),FALSE)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D31" s="13">
        <f>HLOOKUP(REG_TRA_DEMANDS!AD$3,'BY-Demands'!$J$5:$AK$14,MATCH($E31,'BY-Demands'!$I$5:$I$14,0),FALSE)*HLOOKUP(REG_TRA_DEMANDS!$F31,DEMANDS!$H$2:$CO$25,MATCH($E31,DEMANDS!$F$2:$F$25,0),FALSE)/HLOOKUP(2018,DEMANDS!$H$2:$CO$25,MATCH($E31,DEMANDS!$F$2:$F$25,0),FALSE)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E31" s="13">
        <f>HLOOKUP(REG_TRA_DEMANDS!AE$3,'BY-Demands'!$J$5:$AK$14,MATCH($E31,'BY-Demands'!$I$5:$I$14,0),FALSE)*HLOOKUP(REG_TRA_DEMANDS!$F31,DEMANDS!$H$2:$CO$25,MATCH($E31,DEMANDS!$F$2:$F$25,0),FALSE)/HLOOKUP(2018,DEMANDS!$H$2:$CO$25,MATCH($E31,DEMANDS!$F$2:$F$25,0),FALSE)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F31" s="13">
        <f>HLOOKUP(REG_TRA_DEMANDS!AF$3,'BY-Demands'!$J$5:$AK$14,MATCH($E31,'BY-Demands'!$I$5:$I$14,0),FALSE)*HLOOKUP(REG_TRA_DEMANDS!$F31,DEMANDS!$H$2:$CO$25,MATCH($E31,DEMANDS!$F$2:$F$25,0),FALSE)/HLOOKUP(2018,DEMANDS!$H$2:$CO$25,MATCH($E31,DEMANDS!$F$2:$F$25,0),FALSE)</f>
        <v>0</v>
      </c>
    </row>
    <row r="32" spans="4:32" ht="12.75">
      <c r="D32" s="3" t="s">
        <v>59</v>
      </c>
      <c r="E32" s="3" t="str">
        <f t="array" ref="E32:E35">DEMANDS!$F$24</f>
        <v>TAVIDOM</v>
      </c>
      <c r="F32" s="3">
        <v>2019</v>
      </c>
      <c r="G32" s="13">
        <f>HLOOKUP(REG_TRA_DEMANDS!G$3,'BY-Demands'!$J$5:$AK$14,MATCH($E32,'BY-Demands'!$I$5:$I$14,0),FALSE)*HLOOKUP(REG_TRA_DEMANDS!$F32,DEMANDS!$H$2:$CO$25,MATCH($E32,DEMANDS!$F$2:$F$25,0),FALSE)/HLOOKUP(2018,DEMANDS!$H$2:$CO$25,MATCH($E32,DEMANDS!$F$2:$F$25,0),FALSE)</f>
        <v>0</v>
      </c>
      <c r="H32" s="13">
        <f>HLOOKUP(REG_TRA_DEMANDS!H$3,'BY-Demands'!$J$5:$AK$14,MATCH($E32,'BY-Demands'!$I$5:$I$14,0),FALSE)*HLOOKUP(REG_TRA_DEMANDS!$F32,DEMANDS!$H$2:$CO$25,MATCH($E32,DEMANDS!$F$2:$F$25,0),FALSE)/HLOOKUP(2018,DEMANDS!$H$2:$CO$25,MATCH($E32,DEMANDS!$F$2:$F$25,0),FALSE)</f>
        <v>0.14613472658743082</v>
      </c>
      <c r="I32" s="13">
        <f>HLOOKUP(REG_TRA_DEMANDS!I$3,'BY-Demands'!$J$5:$AK$14,MATCH($E32,'BY-Demands'!$I$5:$I$14,0),FALSE)*HLOOKUP(REG_TRA_DEMANDS!$F32,DEMANDS!$H$2:$CO$25,MATCH($E32,DEMANDS!$F$2:$F$25,0),FALSE)/HLOOKUP(2018,DEMANDS!$H$2:$CO$25,MATCH($E32,DEMANDS!$F$2:$F$25,0),FALSE)</f>
        <v>0</v>
      </c>
      <c r="J32" s="13">
        <f>HLOOKUP(REG_TRA_DEMANDS!J$3,'BY-Demands'!$J$5:$AK$14,MATCH($E32,'BY-Demands'!$I$5:$I$14,0),FALSE)*HLOOKUP(REG_TRA_DEMANDS!$F32,DEMANDS!$H$2:$CO$25,MATCH($E32,DEMANDS!$F$2:$F$25,0),FALSE)/HLOOKUP(2018,DEMANDS!$H$2:$CO$25,MATCH($E32,DEMANDS!$F$2:$F$25,0),FALSE)</f>
        <v>0</v>
      </c>
      <c r="K32" s="13">
        <f>HLOOKUP(REG_TRA_DEMANDS!K$3,'BY-Demands'!$J$5:$AK$14,MATCH($E32,'BY-Demands'!$I$5:$I$14,0),FALSE)*HLOOKUP(REG_TRA_DEMANDS!$F32,DEMANDS!$H$2:$CO$25,MATCH($E32,DEMANDS!$F$2:$F$25,0),FALSE)/HLOOKUP(2018,DEMANDS!$H$2:$CO$25,MATCH($E32,DEMANDS!$F$2:$F$25,0),FALSE)</f>
        <v>0</v>
      </c>
      <c r="L32" s="13">
        <f>HLOOKUP(REG_TRA_DEMANDS!L$3,'BY-Demands'!$J$5:$AK$14,MATCH($E32,'BY-Demands'!$I$5:$I$14,0),FALSE)*HLOOKUP(REG_TRA_DEMANDS!$F32,DEMANDS!$H$2:$CO$25,MATCH($E32,DEMANDS!$F$2:$F$25,0),FALSE)/HLOOKUP(2018,DEMANDS!$H$2:$CO$25,MATCH($E32,DEMANDS!$F$2:$F$25,0),FALSE)</f>
        <v>0</v>
      </c>
      <c r="M32" s="13">
        <f>HLOOKUP(REG_TRA_DEMANDS!M$3,'BY-Demands'!$J$5:$AK$14,MATCH($E32,'BY-Demands'!$I$5:$I$14,0),FALSE)*HLOOKUP(REG_TRA_DEMANDS!$F32,DEMANDS!$H$2:$CO$25,MATCH($E32,DEMANDS!$F$2:$F$25,0),FALSE)/HLOOKUP(2018,DEMANDS!$H$2:$CO$25,MATCH($E32,DEMANDS!$F$2:$F$25,0),FALSE)</f>
        <v>0</v>
      </c>
      <c r="N32" s="13">
        <f>HLOOKUP(REG_TRA_DEMANDS!N$3,'BY-Demands'!$J$5:$AK$14,MATCH($E32,'BY-Demands'!$I$5:$I$14,0),FALSE)*HLOOKUP(REG_TRA_DEMANDS!$F32,DEMANDS!$H$2:$CO$25,MATCH($E32,DEMANDS!$F$2:$F$25,0),FALSE)/HLOOKUP(2018,DEMANDS!$H$2:$CO$25,MATCH($E32,DEMANDS!$F$2:$F$25,0),FALSE)</f>
        <v>0</v>
      </c>
      <c r="O32" s="13">
        <f>HLOOKUP(REG_TRA_DEMANDS!O$3,'BY-Demands'!$J$5:$AK$14,MATCH($E32,'BY-Demands'!$I$5:$I$14,0),FALSE)*HLOOKUP(REG_TRA_DEMANDS!$F32,DEMANDS!$H$2:$CO$25,MATCH($E32,DEMANDS!$F$2:$F$25,0),FALSE)/HLOOKUP(2018,DEMANDS!$H$2:$CO$25,MATCH($E32,DEMANDS!$F$2:$F$25,0),FALSE)</f>
        <v>0</v>
      </c>
      <c r="P32" s="13">
        <f>HLOOKUP(REG_TRA_DEMANDS!P$3,'BY-Demands'!$J$5:$AK$14,MATCH($E32,'BY-Demands'!$I$5:$I$14,0),FALSE)*HLOOKUP(REG_TRA_DEMANDS!$F32,DEMANDS!$H$2:$CO$25,MATCH($E32,DEMANDS!$F$2:$F$25,0),FALSE)/HLOOKUP(2018,DEMANDS!$H$2:$CO$25,MATCH($E32,DEMANDS!$F$2:$F$25,0),FALSE)</f>
        <v>0</v>
      </c>
      <c r="Q32" s="13">
        <f>HLOOKUP(REG_TRA_DEMANDS!Q$3,'BY-Demands'!$J$5:$AK$14,MATCH($E32,'BY-Demands'!$I$5:$I$14,0),FALSE)*HLOOKUP(REG_TRA_DEMANDS!$F32,DEMANDS!$H$2:$CO$25,MATCH($E32,DEMANDS!$F$2:$F$25,0),FALSE)/HLOOKUP(2018,DEMANDS!$H$2:$CO$25,MATCH($E32,DEMANDS!$F$2:$F$25,0),FALSE)</f>
        <v>0</v>
      </c>
      <c r="R32" s="13">
        <f>HLOOKUP(REG_TRA_DEMANDS!R$3,'BY-Demands'!$J$5:$AK$14,MATCH($E32,'BY-Demands'!$I$5:$I$14,0),FALSE)*HLOOKUP(REG_TRA_DEMANDS!$F32,DEMANDS!$H$2:$CO$25,MATCH($E32,DEMANDS!$F$2:$F$25,0),FALSE)/HLOOKUP(2018,DEMANDS!$H$2:$CO$25,MATCH($E32,DEMANDS!$F$2:$F$25,0),FALSE)</f>
        <v>0</v>
      </c>
      <c r="S32" s="13">
        <f>HLOOKUP(REG_TRA_DEMANDS!S$3,'BY-Demands'!$J$5:$AK$14,MATCH($E32,'BY-Demands'!$I$5:$I$14,0),FALSE)*HLOOKUP(REG_TRA_DEMANDS!$F32,DEMANDS!$H$2:$CO$25,MATCH($E32,DEMANDS!$F$2:$F$25,0),FALSE)/HLOOKUP(2018,DEMANDS!$H$2:$CO$25,MATCH($E32,DEMANDS!$F$2:$F$25,0),FALSE)</f>
        <v>0.051031733884697311</v>
      </c>
      <c r="T32" s="13">
        <f>HLOOKUP(REG_TRA_DEMANDS!T$3,'BY-Demands'!$J$5:$AK$14,MATCH($E32,'BY-Demands'!$I$5:$I$14,0),FALSE)*HLOOKUP(REG_TRA_DEMANDS!$F32,DEMANDS!$H$2:$CO$25,MATCH($E32,DEMANDS!$F$2:$F$25,0),FALSE)/HLOOKUP(2018,DEMANDS!$H$2:$CO$25,MATCH($E32,DEMANDS!$F$2:$F$25,0),FALSE)</f>
        <v>0.00050566143384426034</v>
      </c>
      <c r="U32" s="13">
        <f>HLOOKUP(REG_TRA_DEMANDS!U$3,'BY-Demands'!$J$5:$AK$14,MATCH($E32,'BY-Demands'!$I$5:$I$14,0),FALSE)*HLOOKUP(REG_TRA_DEMANDS!$F32,DEMANDS!$H$2:$CO$25,MATCH($E32,DEMANDS!$F$2:$F$25,0),FALSE)/HLOOKUP(2018,DEMANDS!$H$2:$CO$25,MATCH($E32,DEMANDS!$F$2:$F$25,0),FALSE)</f>
        <v>0.050759043857337031</v>
      </c>
      <c r="V32" s="13">
        <f>HLOOKUP(REG_TRA_DEMANDS!V$3,'BY-Demands'!$J$5:$AK$14,MATCH($E32,'BY-Demands'!$I$5:$I$14,0),FALSE)*HLOOKUP(REG_TRA_DEMANDS!$F32,DEMANDS!$H$2:$CO$25,MATCH($E32,DEMANDS!$F$2:$F$25,0),FALSE)/HLOOKUP(2018,DEMANDS!$H$2:$CO$25,MATCH($E32,DEMANDS!$F$2:$F$25,0),FALSE)</f>
        <v>0</v>
      </c>
      <c r="W32" s="13">
        <f>HLOOKUP(REG_TRA_DEMANDS!W$3,'BY-Demands'!$J$5:$AK$14,MATCH($E32,'BY-Demands'!$I$5:$I$14,0),FALSE)*HLOOKUP(REG_TRA_DEMANDS!$F32,DEMANDS!$H$2:$CO$25,MATCH($E32,DEMANDS!$F$2:$F$25,0),FALSE)/HLOOKUP(2018,DEMANDS!$H$2:$CO$25,MATCH($E32,DEMANDS!$F$2:$F$25,0),FALSE)</f>
        <v>0</v>
      </c>
      <c r="X32" s="13">
        <f>HLOOKUP(REG_TRA_DEMANDS!X$3,'BY-Demands'!$J$5:$AK$14,MATCH($E32,'BY-Demands'!$I$5:$I$14,0),FALSE)*HLOOKUP(REG_TRA_DEMANDS!$F32,DEMANDS!$H$2:$CO$25,MATCH($E32,DEMANDS!$F$2:$F$25,0),FALSE)/HLOOKUP(2018,DEMANDS!$H$2:$CO$25,MATCH($E32,DEMANDS!$F$2:$F$25,0),FALSE)</f>
        <v>0</v>
      </c>
      <c r="Y32" s="13">
        <f>HLOOKUP(REG_TRA_DEMANDS!Y$3,'BY-Demands'!$J$5:$AK$14,MATCH($E32,'BY-Demands'!$I$5:$I$14,0),FALSE)*HLOOKUP(REG_TRA_DEMANDS!$F32,DEMANDS!$H$2:$CO$25,MATCH($E32,DEMANDS!$F$2:$F$25,0),FALSE)/HLOOKUP(2018,DEMANDS!$H$2:$CO$25,MATCH($E32,DEMANDS!$F$2:$F$25,0),FALSE)</f>
        <v>0</v>
      </c>
      <c r="Z32" s="13">
        <f>HLOOKUP(REG_TRA_DEMANDS!Z$3,'BY-Demands'!$J$5:$AK$14,MATCH($E32,'BY-Demands'!$I$5:$I$14,0),FALSE)*HLOOKUP(REG_TRA_DEMANDS!$F32,DEMANDS!$H$2:$CO$25,MATCH($E32,DEMANDS!$F$2:$F$25,0),FALSE)/HLOOKUP(2018,DEMANDS!$H$2:$CO$25,MATCH($E32,DEMANDS!$F$2:$F$25,0),FALSE)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A32" s="13">
        <f>HLOOKUP(REG_TRA_DEMANDS!AA$3,'BY-Demands'!$J$5:$AK$14,MATCH($E32,'BY-Demands'!$I$5:$I$14,0),FALSE)*HLOOKUP(REG_TRA_DEMANDS!$F32,DEMANDS!$H$2:$CO$25,MATCH($E32,DEMANDS!$F$2:$F$25,0),FALSE)/HLOOKUP(2018,DEMANDS!$H$2:$CO$25,MATCH($E32,DEMANDS!$F$2:$F$25,0),FALSE)</f>
        <v>0.00010113228676885219</v>
      </c>
      <c r="AB32" s="13">
        <f>HLOOKUP(REG_TRA_DEMANDS!AB$3,'BY-Demands'!$J$5:$AK$14,MATCH($E32,'BY-Demands'!$I$5:$I$14,0),FALSE)*HLOOKUP(REG_TRA_DEMANDS!$F32,DEMANDS!$H$2:$CO$25,MATCH($E32,DEMANDS!$F$2:$F$25,0),FALSE)/HLOOKUP(2018,DEMANDS!$H$2:$CO$25,MATCH($E32,DEMANDS!$F$2:$F$25,0),FALSE)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C32" s="13">
        <f>HLOOKUP(REG_TRA_DEMANDS!AC$3,'BY-Demands'!$J$5:$AK$14,MATCH($E32,'BY-Demands'!$I$5:$I$14,0),FALSE)*HLOOKUP(REG_TRA_DEMANDS!$F32,DEMANDS!$H$2:$CO$25,MATCH($E32,DEMANDS!$F$2:$F$25,0),FALSE)/HLOOKUP(2018,DEMANDS!$H$2:$CO$25,MATCH($E32,DEMANDS!$F$2:$F$25,0),FALSE)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D32" s="13">
        <f>HLOOKUP(REG_TRA_DEMANDS!AD$3,'BY-Demands'!$J$5:$AK$14,MATCH($E32,'BY-Demands'!$I$5:$I$14,0),FALSE)*HLOOKUP(REG_TRA_DEMANDS!$F32,DEMANDS!$H$2:$CO$25,MATCH($E32,DEMANDS!$F$2:$F$25,0),FALSE)/HLOOKUP(2018,DEMANDS!$H$2:$CO$25,MATCH($E32,DEMANDS!$F$2:$F$25,0),FALSE)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E32" s="13">
        <f>HLOOKUP(REG_TRA_DEMANDS!AE$3,'BY-Demands'!$J$5:$AK$14,MATCH($E32,'BY-Demands'!$I$5:$I$14,0),FALSE)*HLOOKUP(REG_TRA_DEMANDS!$F32,DEMANDS!$H$2:$CO$25,MATCH($E32,DEMANDS!$F$2:$F$25,0),FALSE)/HLOOKUP(2018,DEMANDS!$H$2:$CO$25,MATCH($E32,DEMANDS!$F$2:$F$25,0),FALSE)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F32" s="13">
        <f>HLOOKUP(REG_TRA_DEMANDS!AF$3,'BY-Demands'!$J$5:$AK$14,MATCH($E32,'BY-Demands'!$I$5:$I$14,0),FALSE)*HLOOKUP(REG_TRA_DEMANDS!$F32,DEMANDS!$H$2:$CO$25,MATCH($E32,DEMANDS!$F$2:$F$25,0),FALSE)/HLOOKUP(2018,DEMANDS!$H$2:$CO$25,MATCH($E32,DEMANDS!$F$2:$F$25,0),FALSE)</f>
        <v>0</v>
      </c>
    </row>
    <row r="33" spans="4:32" ht="12.75">
      <c r="D33" s="3" t="s">
        <v>59</v>
      </c>
      <c r="E33" s="3" t="str">
        <v>TAVIDOM</v>
      </c>
      <c r="F33" s="3">
        <v>2020</v>
      </c>
      <c r="G33" s="13">
        <f>HLOOKUP(REG_TRA_DEMANDS!G$3,'BY-Demands'!$J$5:$AK$14,MATCH($E33,'BY-Demands'!$I$5:$I$14,0),FALSE)*HLOOKUP(REG_TRA_DEMANDS!$F33,DEMANDS!$H$2:$CO$25,MATCH($E33,DEMANDS!$F$2:$F$25,0),FALSE)/HLOOKUP(2018,DEMANDS!$H$2:$CO$25,MATCH($E33,DEMANDS!$F$2:$F$25,0),FALSE)</f>
        <v>0</v>
      </c>
      <c r="H33" s="13">
        <f>HLOOKUP(REG_TRA_DEMANDS!H$3,'BY-Demands'!$J$5:$AK$14,MATCH($E33,'BY-Demands'!$I$5:$I$14,0),FALSE)*HLOOKUP(REG_TRA_DEMANDS!$F33,DEMANDS!$H$2:$CO$25,MATCH($E33,DEMANDS!$F$2:$F$25,0),FALSE)/HLOOKUP(2018,DEMANDS!$H$2:$CO$25,MATCH($E33,DEMANDS!$F$2:$F$25,0),FALSE)</f>
        <v>0.064093592729048743</v>
      </c>
      <c r="I33" s="13">
        <f>HLOOKUP(REG_TRA_DEMANDS!I$3,'BY-Demands'!$J$5:$AK$14,MATCH($E33,'BY-Demands'!$I$5:$I$14,0),FALSE)*HLOOKUP(REG_TRA_DEMANDS!$F33,DEMANDS!$H$2:$CO$25,MATCH($E33,DEMANDS!$F$2:$F$25,0),FALSE)/HLOOKUP(2018,DEMANDS!$H$2:$CO$25,MATCH($E33,DEMANDS!$F$2:$F$25,0),FALSE)</f>
        <v>0</v>
      </c>
      <c r="J33" s="13">
        <f>HLOOKUP(REG_TRA_DEMANDS!J$3,'BY-Demands'!$J$5:$AK$14,MATCH($E33,'BY-Demands'!$I$5:$I$14,0),FALSE)*HLOOKUP(REG_TRA_DEMANDS!$F33,DEMANDS!$H$2:$CO$25,MATCH($E33,DEMANDS!$F$2:$F$25,0),FALSE)/HLOOKUP(2018,DEMANDS!$H$2:$CO$25,MATCH($E33,DEMANDS!$F$2:$F$25,0),FALSE)</f>
        <v>0</v>
      </c>
      <c r="K33" s="13">
        <f>HLOOKUP(REG_TRA_DEMANDS!K$3,'BY-Demands'!$J$5:$AK$14,MATCH($E33,'BY-Demands'!$I$5:$I$14,0),FALSE)*HLOOKUP(REG_TRA_DEMANDS!$F33,DEMANDS!$H$2:$CO$25,MATCH($E33,DEMANDS!$F$2:$F$25,0),FALSE)/HLOOKUP(2018,DEMANDS!$H$2:$CO$25,MATCH($E33,DEMANDS!$F$2:$F$25,0),FALSE)</f>
        <v>0</v>
      </c>
      <c r="L33" s="13">
        <f>HLOOKUP(REG_TRA_DEMANDS!L$3,'BY-Demands'!$J$5:$AK$14,MATCH($E33,'BY-Demands'!$I$5:$I$14,0),FALSE)*HLOOKUP(REG_TRA_DEMANDS!$F33,DEMANDS!$H$2:$CO$25,MATCH($E33,DEMANDS!$F$2:$F$25,0),FALSE)/HLOOKUP(2018,DEMANDS!$H$2:$CO$25,MATCH($E33,DEMANDS!$F$2:$F$25,0),FALSE)</f>
        <v>0</v>
      </c>
      <c r="M33" s="13">
        <f>HLOOKUP(REG_TRA_DEMANDS!M$3,'BY-Demands'!$J$5:$AK$14,MATCH($E33,'BY-Demands'!$I$5:$I$14,0),FALSE)*HLOOKUP(REG_TRA_DEMANDS!$F33,DEMANDS!$H$2:$CO$25,MATCH($E33,DEMANDS!$F$2:$F$25,0),FALSE)/HLOOKUP(2018,DEMANDS!$H$2:$CO$25,MATCH($E33,DEMANDS!$F$2:$F$25,0),FALSE)</f>
        <v>0</v>
      </c>
      <c r="N33" s="13">
        <f>HLOOKUP(REG_TRA_DEMANDS!N$3,'BY-Demands'!$J$5:$AK$14,MATCH($E33,'BY-Demands'!$I$5:$I$14,0),FALSE)*HLOOKUP(REG_TRA_DEMANDS!$F33,DEMANDS!$H$2:$CO$25,MATCH($E33,DEMANDS!$F$2:$F$25,0),FALSE)/HLOOKUP(2018,DEMANDS!$H$2:$CO$25,MATCH($E33,DEMANDS!$F$2:$F$25,0),FALSE)</f>
        <v>0</v>
      </c>
      <c r="O33" s="13">
        <f>HLOOKUP(REG_TRA_DEMANDS!O$3,'BY-Demands'!$J$5:$AK$14,MATCH($E33,'BY-Demands'!$I$5:$I$14,0),FALSE)*HLOOKUP(REG_TRA_DEMANDS!$F33,DEMANDS!$H$2:$CO$25,MATCH($E33,DEMANDS!$F$2:$F$25,0),FALSE)/HLOOKUP(2018,DEMANDS!$H$2:$CO$25,MATCH($E33,DEMANDS!$F$2:$F$25,0),FALSE)</f>
        <v>0</v>
      </c>
      <c r="P33" s="13">
        <f>HLOOKUP(REG_TRA_DEMANDS!P$3,'BY-Demands'!$J$5:$AK$14,MATCH($E33,'BY-Demands'!$I$5:$I$14,0),FALSE)*HLOOKUP(REG_TRA_DEMANDS!$F33,DEMANDS!$H$2:$CO$25,MATCH($E33,DEMANDS!$F$2:$F$25,0),FALSE)/HLOOKUP(2018,DEMANDS!$H$2:$CO$25,MATCH($E33,DEMANDS!$F$2:$F$25,0),FALSE)</f>
        <v>0</v>
      </c>
      <c r="Q33" s="13">
        <f>HLOOKUP(REG_TRA_DEMANDS!Q$3,'BY-Demands'!$J$5:$AK$14,MATCH($E33,'BY-Demands'!$I$5:$I$14,0),FALSE)*HLOOKUP(REG_TRA_DEMANDS!$F33,DEMANDS!$H$2:$CO$25,MATCH($E33,DEMANDS!$F$2:$F$25,0),FALSE)/HLOOKUP(2018,DEMANDS!$H$2:$CO$25,MATCH($E33,DEMANDS!$F$2:$F$25,0),FALSE)</f>
        <v>0</v>
      </c>
      <c r="R33" s="13">
        <f>HLOOKUP(REG_TRA_DEMANDS!R$3,'BY-Demands'!$J$5:$AK$14,MATCH($E33,'BY-Demands'!$I$5:$I$14,0),FALSE)*HLOOKUP(REG_TRA_DEMANDS!$F33,DEMANDS!$H$2:$CO$25,MATCH($E33,DEMANDS!$F$2:$F$25,0),FALSE)/HLOOKUP(2018,DEMANDS!$H$2:$CO$25,MATCH($E33,DEMANDS!$F$2:$F$25,0),FALSE)</f>
        <v>0</v>
      </c>
      <c r="S33" s="13">
        <f>HLOOKUP(REG_TRA_DEMANDS!S$3,'BY-Demands'!$J$5:$AK$14,MATCH($E33,'BY-Demands'!$I$5:$I$14,0),FALSE)*HLOOKUP(REG_TRA_DEMANDS!$F33,DEMANDS!$H$2:$CO$25,MATCH($E33,DEMANDS!$F$2:$F$25,0),FALSE)/HLOOKUP(2018,DEMANDS!$H$2:$CO$25,MATCH($E33,DEMANDS!$F$2:$F$25,0),FALSE)</f>
        <v>0.022382134926061514</v>
      </c>
      <c r="T33" s="13">
        <f>HLOOKUP(REG_TRA_DEMANDS!T$3,'BY-Demands'!$J$5:$AK$14,MATCH($E33,'BY-Demands'!$I$5:$I$14,0),FALSE)*HLOOKUP(REG_TRA_DEMANDS!$F33,DEMANDS!$H$2:$CO$25,MATCH($E33,DEMANDS!$F$2:$F$25,0),FALSE)/HLOOKUP(2018,DEMANDS!$H$2:$CO$25,MATCH($E33,DEMANDS!$F$2:$F$25,0),FALSE)</f>
        <v>0.00022177930432032186</v>
      </c>
      <c r="U33" s="13">
        <f>HLOOKUP(REG_TRA_DEMANDS!U$3,'BY-Demands'!$J$5:$AK$14,MATCH($E33,'BY-Demands'!$I$5:$I$14,0),FALSE)*HLOOKUP(REG_TRA_DEMANDS!$F33,DEMANDS!$H$2:$CO$25,MATCH($E33,DEMANDS!$F$2:$F$25,0),FALSE)/HLOOKUP(2018,DEMANDS!$H$2:$CO$25,MATCH($E33,DEMANDS!$F$2:$F$25,0),FALSE)</f>
        <v>0.022262535129606249</v>
      </c>
      <c r="V33" s="13">
        <f>HLOOKUP(REG_TRA_DEMANDS!V$3,'BY-Demands'!$J$5:$AK$14,MATCH($E33,'BY-Demands'!$I$5:$I$14,0),FALSE)*HLOOKUP(REG_TRA_DEMANDS!$F33,DEMANDS!$H$2:$CO$25,MATCH($E33,DEMANDS!$F$2:$F$25,0),FALSE)/HLOOKUP(2018,DEMANDS!$H$2:$CO$25,MATCH($E33,DEMANDS!$F$2:$F$25,0),FALSE)</f>
        <v>0</v>
      </c>
      <c r="W33" s="13">
        <f>HLOOKUP(REG_TRA_DEMANDS!W$3,'BY-Demands'!$J$5:$AK$14,MATCH($E33,'BY-Demands'!$I$5:$I$14,0),FALSE)*HLOOKUP(REG_TRA_DEMANDS!$F33,DEMANDS!$H$2:$CO$25,MATCH($E33,DEMANDS!$F$2:$F$25,0),FALSE)/HLOOKUP(2018,DEMANDS!$H$2:$CO$25,MATCH($E33,DEMANDS!$F$2:$F$25,0),FALSE)</f>
        <v>0</v>
      </c>
      <c r="X33" s="13">
        <f>HLOOKUP(REG_TRA_DEMANDS!X$3,'BY-Demands'!$J$5:$AK$14,MATCH($E33,'BY-Demands'!$I$5:$I$14,0),FALSE)*HLOOKUP(REG_TRA_DEMANDS!$F33,DEMANDS!$H$2:$CO$25,MATCH($E33,DEMANDS!$F$2:$F$25,0),FALSE)/HLOOKUP(2018,DEMANDS!$H$2:$CO$25,MATCH($E33,DEMANDS!$F$2:$F$25,0),FALSE)</f>
        <v>0</v>
      </c>
      <c r="Y33" s="13">
        <f>HLOOKUP(REG_TRA_DEMANDS!Y$3,'BY-Demands'!$J$5:$AK$14,MATCH($E33,'BY-Demands'!$I$5:$I$14,0),FALSE)*HLOOKUP(REG_TRA_DEMANDS!$F33,DEMANDS!$H$2:$CO$25,MATCH($E33,DEMANDS!$F$2:$F$25,0),FALSE)/HLOOKUP(2018,DEMANDS!$H$2:$CO$25,MATCH($E33,DEMANDS!$F$2:$F$25,0),FALSE)</f>
        <v>0</v>
      </c>
      <c r="Z33" s="13">
        <f>HLOOKUP(REG_TRA_DEMANDS!Z$3,'BY-Demands'!$J$5:$AK$14,MATCH($E33,'BY-Demands'!$I$5:$I$14,0),FALSE)*HLOOKUP(REG_TRA_DEMANDS!$F33,DEMANDS!$H$2:$CO$25,MATCH($E33,DEMANDS!$F$2:$F$25,0),FALSE)/HLOOKUP(2018,DEMANDS!$H$2:$CO$25,MATCH($E33,DEMANDS!$F$2:$F$25,0),FALSE)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A33" s="13">
        <f>HLOOKUP(REG_TRA_DEMANDS!AA$3,'BY-Demands'!$J$5:$AK$14,MATCH($E33,'BY-Demands'!$I$5:$I$14,0),FALSE)*HLOOKUP(REG_TRA_DEMANDS!$F33,DEMANDS!$H$2:$CO$25,MATCH($E33,DEMANDS!$F$2:$F$25,0),FALSE)/HLOOKUP(2018,DEMANDS!$H$2:$CO$25,MATCH($E33,DEMANDS!$F$2:$F$25,0),FALSE)</f>
        <v>4.4355860864064419E-05</v>
      </c>
      <c r="AB33" s="13">
        <f>HLOOKUP(REG_TRA_DEMANDS!AB$3,'BY-Demands'!$J$5:$AK$14,MATCH($E33,'BY-Demands'!$I$5:$I$14,0),FALSE)*HLOOKUP(REG_TRA_DEMANDS!$F33,DEMANDS!$H$2:$CO$25,MATCH($E33,DEMANDS!$F$2:$F$25,0),FALSE)/HLOOKUP(2018,DEMANDS!$H$2:$CO$25,MATCH($E33,DEMANDS!$F$2:$F$25,0),FALSE)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C33" s="13">
        <f>HLOOKUP(REG_TRA_DEMANDS!AC$3,'BY-Demands'!$J$5:$AK$14,MATCH($E33,'BY-Demands'!$I$5:$I$14,0),FALSE)*HLOOKUP(REG_TRA_DEMANDS!$F33,DEMANDS!$H$2:$CO$25,MATCH($E33,DEMANDS!$F$2:$F$25,0),FALSE)/HLOOKUP(2018,DEMANDS!$H$2:$CO$25,MATCH($E33,DEMANDS!$F$2:$F$25,0),FALSE)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D33" s="13">
        <f>HLOOKUP(REG_TRA_DEMANDS!AD$3,'BY-Demands'!$J$5:$AK$14,MATCH($E33,'BY-Demands'!$I$5:$I$14,0),FALSE)*HLOOKUP(REG_TRA_DEMANDS!$F33,DEMANDS!$H$2:$CO$25,MATCH($E33,DEMANDS!$F$2:$F$25,0),FALSE)/HLOOKUP(2018,DEMANDS!$H$2:$CO$25,MATCH($E33,DEMANDS!$F$2:$F$25,0),FALSE)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E33" s="13">
        <f>HLOOKUP(REG_TRA_DEMANDS!AE$3,'BY-Demands'!$J$5:$AK$14,MATCH($E33,'BY-Demands'!$I$5:$I$14,0),FALSE)*HLOOKUP(REG_TRA_DEMANDS!$F33,DEMANDS!$H$2:$CO$25,MATCH($E33,DEMANDS!$F$2:$F$25,0),FALSE)/HLOOKUP(2018,DEMANDS!$H$2:$CO$25,MATCH($E33,DEMANDS!$F$2:$F$25,0),FALSE)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F33" s="13">
        <f>HLOOKUP(REG_TRA_DEMANDS!AF$3,'BY-Demands'!$J$5:$AK$14,MATCH($E33,'BY-Demands'!$I$5:$I$14,0),FALSE)*HLOOKUP(REG_TRA_DEMANDS!$F33,DEMANDS!$H$2:$CO$25,MATCH($E33,DEMANDS!$F$2:$F$25,0),FALSE)/HLOOKUP(2018,DEMANDS!$H$2:$CO$25,MATCH($E33,DEMANDS!$F$2:$F$25,0),FALSE)</f>
        <v>0</v>
      </c>
    </row>
    <row r="34" spans="4:32" ht="12.75">
      <c r="D34" s="3" t="s">
        <v>59</v>
      </c>
      <c r="E34" s="3" t="str">
        <v>TAVIDOM</v>
      </c>
      <c r="F34" s="3">
        <v>2030</v>
      </c>
      <c r="G34" s="13">
        <f>HLOOKUP(REG_TRA_DEMANDS!G$3,'BY-Demands'!$J$5:$AK$14,MATCH($E34,'BY-Demands'!$I$5:$I$14,0),FALSE)*HLOOKUP(REG_TRA_DEMANDS!$F34,DEMANDS!$H$2:$CO$25,MATCH($E34,DEMANDS!$F$2:$F$25,0),FALSE)/HLOOKUP(2018,DEMANDS!$H$2:$CO$25,MATCH($E34,DEMANDS!$F$2:$F$25,0),FALSE)</f>
        <v>0</v>
      </c>
      <c r="H34" s="13">
        <f>HLOOKUP(REG_TRA_DEMANDS!H$3,'BY-Demands'!$J$5:$AK$14,MATCH($E34,'BY-Demands'!$I$5:$I$14,0),FALSE)*HLOOKUP(REG_TRA_DEMANDS!$F34,DEMANDS!$H$2:$CO$25,MATCH($E34,DEMANDS!$F$2:$F$25,0),FALSE)/HLOOKUP(2018,DEMANDS!$H$2:$CO$25,MATCH($E34,DEMANDS!$F$2:$F$25,0),FALSE)</f>
        <v>0.088059490133054155</v>
      </c>
      <c r="I34" s="13">
        <f>HLOOKUP(REG_TRA_DEMANDS!I$3,'BY-Demands'!$J$5:$AK$14,MATCH($E34,'BY-Demands'!$I$5:$I$14,0),FALSE)*HLOOKUP(REG_TRA_DEMANDS!$F34,DEMANDS!$H$2:$CO$25,MATCH($E34,DEMANDS!$F$2:$F$25,0),FALSE)/HLOOKUP(2018,DEMANDS!$H$2:$CO$25,MATCH($E34,DEMANDS!$F$2:$F$25,0),FALSE)</f>
        <v>0</v>
      </c>
      <c r="J34" s="13">
        <f>HLOOKUP(REG_TRA_DEMANDS!J$3,'BY-Demands'!$J$5:$AK$14,MATCH($E34,'BY-Demands'!$I$5:$I$14,0),FALSE)*HLOOKUP(REG_TRA_DEMANDS!$F34,DEMANDS!$H$2:$CO$25,MATCH($E34,DEMANDS!$F$2:$F$25,0),FALSE)/HLOOKUP(2018,DEMANDS!$H$2:$CO$25,MATCH($E34,DEMANDS!$F$2:$F$25,0),FALSE)</f>
        <v>0</v>
      </c>
      <c r="K34" s="13">
        <f>HLOOKUP(REG_TRA_DEMANDS!K$3,'BY-Demands'!$J$5:$AK$14,MATCH($E34,'BY-Demands'!$I$5:$I$14,0),FALSE)*HLOOKUP(REG_TRA_DEMANDS!$F34,DEMANDS!$H$2:$CO$25,MATCH($E34,DEMANDS!$F$2:$F$25,0),FALSE)/HLOOKUP(2018,DEMANDS!$H$2:$CO$25,MATCH($E34,DEMANDS!$F$2:$F$25,0),FALSE)</f>
        <v>0</v>
      </c>
      <c r="L34" s="13">
        <f>HLOOKUP(REG_TRA_DEMANDS!L$3,'BY-Demands'!$J$5:$AK$14,MATCH($E34,'BY-Demands'!$I$5:$I$14,0),FALSE)*HLOOKUP(REG_TRA_DEMANDS!$F34,DEMANDS!$H$2:$CO$25,MATCH($E34,DEMANDS!$F$2:$F$25,0),FALSE)/HLOOKUP(2018,DEMANDS!$H$2:$CO$25,MATCH($E34,DEMANDS!$F$2:$F$25,0),FALSE)</f>
        <v>0</v>
      </c>
      <c r="M34" s="13">
        <f>HLOOKUP(REG_TRA_DEMANDS!M$3,'BY-Demands'!$J$5:$AK$14,MATCH($E34,'BY-Demands'!$I$5:$I$14,0),FALSE)*HLOOKUP(REG_TRA_DEMANDS!$F34,DEMANDS!$H$2:$CO$25,MATCH($E34,DEMANDS!$F$2:$F$25,0),FALSE)/HLOOKUP(2018,DEMANDS!$H$2:$CO$25,MATCH($E34,DEMANDS!$F$2:$F$25,0),FALSE)</f>
        <v>0</v>
      </c>
      <c r="N34" s="13">
        <f>HLOOKUP(REG_TRA_DEMANDS!N$3,'BY-Demands'!$J$5:$AK$14,MATCH($E34,'BY-Demands'!$I$5:$I$14,0),FALSE)*HLOOKUP(REG_TRA_DEMANDS!$F34,DEMANDS!$H$2:$CO$25,MATCH($E34,DEMANDS!$F$2:$F$25,0),FALSE)/HLOOKUP(2018,DEMANDS!$H$2:$CO$25,MATCH($E34,DEMANDS!$F$2:$F$25,0),FALSE)</f>
        <v>0</v>
      </c>
      <c r="O34" s="13">
        <f>HLOOKUP(REG_TRA_DEMANDS!O$3,'BY-Demands'!$J$5:$AK$14,MATCH($E34,'BY-Demands'!$I$5:$I$14,0),FALSE)*HLOOKUP(REG_TRA_DEMANDS!$F34,DEMANDS!$H$2:$CO$25,MATCH($E34,DEMANDS!$F$2:$F$25,0),FALSE)/HLOOKUP(2018,DEMANDS!$H$2:$CO$25,MATCH($E34,DEMANDS!$F$2:$F$25,0),FALSE)</f>
        <v>0</v>
      </c>
      <c r="P34" s="13">
        <f>HLOOKUP(REG_TRA_DEMANDS!P$3,'BY-Demands'!$J$5:$AK$14,MATCH($E34,'BY-Demands'!$I$5:$I$14,0),FALSE)*HLOOKUP(REG_TRA_DEMANDS!$F34,DEMANDS!$H$2:$CO$25,MATCH($E34,DEMANDS!$F$2:$F$25,0),FALSE)/HLOOKUP(2018,DEMANDS!$H$2:$CO$25,MATCH($E34,DEMANDS!$F$2:$F$25,0),FALSE)</f>
        <v>0</v>
      </c>
      <c r="Q34" s="13">
        <f>HLOOKUP(REG_TRA_DEMANDS!Q$3,'BY-Demands'!$J$5:$AK$14,MATCH($E34,'BY-Demands'!$I$5:$I$14,0),FALSE)*HLOOKUP(REG_TRA_DEMANDS!$F34,DEMANDS!$H$2:$CO$25,MATCH($E34,DEMANDS!$F$2:$F$25,0),FALSE)/HLOOKUP(2018,DEMANDS!$H$2:$CO$25,MATCH($E34,DEMANDS!$F$2:$F$25,0),FALSE)</f>
        <v>0</v>
      </c>
      <c r="R34" s="13">
        <f>HLOOKUP(REG_TRA_DEMANDS!R$3,'BY-Demands'!$J$5:$AK$14,MATCH($E34,'BY-Demands'!$I$5:$I$14,0),FALSE)*HLOOKUP(REG_TRA_DEMANDS!$F34,DEMANDS!$H$2:$CO$25,MATCH($E34,DEMANDS!$F$2:$F$25,0),FALSE)/HLOOKUP(2018,DEMANDS!$H$2:$CO$25,MATCH($E34,DEMANDS!$F$2:$F$25,0),FALSE)</f>
        <v>0</v>
      </c>
      <c r="S34" s="13">
        <f>HLOOKUP(REG_TRA_DEMANDS!S$3,'BY-Demands'!$J$5:$AK$14,MATCH($E34,'BY-Demands'!$I$5:$I$14,0),FALSE)*HLOOKUP(REG_TRA_DEMANDS!$F34,DEMANDS!$H$2:$CO$25,MATCH($E34,DEMANDS!$F$2:$F$25,0),FALSE)/HLOOKUP(2018,DEMANDS!$H$2:$CO$25,MATCH($E34,DEMANDS!$F$2:$F$25,0),FALSE)</f>
        <v>0.030751270224627546</v>
      </c>
      <c r="T34" s="13">
        <f>HLOOKUP(REG_TRA_DEMANDS!T$3,'BY-Demands'!$J$5:$AK$14,MATCH($E34,'BY-Demands'!$I$5:$I$14,0),FALSE)*HLOOKUP(REG_TRA_DEMANDS!$F34,DEMANDS!$H$2:$CO$25,MATCH($E34,DEMANDS!$F$2:$F$25,0),FALSE)/HLOOKUP(2018,DEMANDS!$H$2:$CO$25,MATCH($E34,DEMANDS!$F$2:$F$25,0),FALSE)</f>
        <v>0.00030470709518612524</v>
      </c>
      <c r="U34" s="13">
        <f>HLOOKUP(REG_TRA_DEMANDS!U$3,'BY-Demands'!$J$5:$AK$14,MATCH($E34,'BY-Demands'!$I$5:$I$14,0),FALSE)*HLOOKUP(REG_TRA_DEMANDS!$F34,DEMANDS!$H$2:$CO$25,MATCH($E34,DEMANDS!$F$2:$F$25,0),FALSE)/HLOOKUP(2018,DEMANDS!$H$2:$CO$25,MATCH($E34,DEMANDS!$F$2:$F$25,0),FALSE)</f>
        <v>0.030586949632702067</v>
      </c>
      <c r="V34" s="13">
        <f>HLOOKUP(REG_TRA_DEMANDS!V$3,'BY-Demands'!$J$5:$AK$14,MATCH($E34,'BY-Demands'!$I$5:$I$14,0),FALSE)*HLOOKUP(REG_TRA_DEMANDS!$F34,DEMANDS!$H$2:$CO$25,MATCH($E34,DEMANDS!$F$2:$F$25,0),FALSE)/HLOOKUP(2018,DEMANDS!$H$2:$CO$25,MATCH($E34,DEMANDS!$F$2:$F$25,0),FALSE)</f>
        <v>0</v>
      </c>
      <c r="W34" s="13">
        <f>HLOOKUP(REG_TRA_DEMANDS!W$3,'BY-Demands'!$J$5:$AK$14,MATCH($E34,'BY-Demands'!$I$5:$I$14,0),FALSE)*HLOOKUP(REG_TRA_DEMANDS!$F34,DEMANDS!$H$2:$CO$25,MATCH($E34,DEMANDS!$F$2:$F$25,0),FALSE)/HLOOKUP(2018,DEMANDS!$H$2:$CO$25,MATCH($E34,DEMANDS!$F$2:$F$25,0),FALSE)</f>
        <v>0</v>
      </c>
      <c r="X34" s="13">
        <f>HLOOKUP(REG_TRA_DEMANDS!X$3,'BY-Demands'!$J$5:$AK$14,MATCH($E34,'BY-Demands'!$I$5:$I$14,0),FALSE)*HLOOKUP(REG_TRA_DEMANDS!$F34,DEMANDS!$H$2:$CO$25,MATCH($E34,DEMANDS!$F$2:$F$25,0),FALSE)/HLOOKUP(2018,DEMANDS!$H$2:$CO$25,MATCH($E34,DEMANDS!$F$2:$F$25,0),FALSE)</f>
        <v>0</v>
      </c>
      <c r="Y34" s="13">
        <f>HLOOKUP(REG_TRA_DEMANDS!Y$3,'BY-Demands'!$J$5:$AK$14,MATCH($E34,'BY-Demands'!$I$5:$I$14,0),FALSE)*HLOOKUP(REG_TRA_DEMANDS!$F34,DEMANDS!$H$2:$CO$25,MATCH($E34,DEMANDS!$F$2:$F$25,0),FALSE)/HLOOKUP(2018,DEMANDS!$H$2:$CO$25,MATCH($E34,DEMANDS!$F$2:$F$25,0),FALSE)</f>
        <v>0</v>
      </c>
      <c r="Z34" s="13">
        <f>HLOOKUP(REG_TRA_DEMANDS!Z$3,'BY-Demands'!$J$5:$AK$14,MATCH($E34,'BY-Demands'!$I$5:$I$14,0),FALSE)*HLOOKUP(REG_TRA_DEMANDS!$F34,DEMANDS!$H$2:$CO$25,MATCH($E34,DEMANDS!$F$2:$F$25,0),FALSE)/HLOOKUP(2018,DEMANDS!$H$2:$CO$25,MATCH($E34,DEMANDS!$F$2:$F$25,0),FALSE)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A34" s="13">
        <f>HLOOKUP(REG_TRA_DEMANDS!AA$3,'BY-Demands'!$J$5:$AK$14,MATCH($E34,'BY-Demands'!$I$5:$I$14,0),FALSE)*HLOOKUP(REG_TRA_DEMANDS!$F34,DEMANDS!$H$2:$CO$25,MATCH($E34,DEMANDS!$F$2:$F$25,0),FALSE)/HLOOKUP(2018,DEMANDS!$H$2:$CO$25,MATCH($E34,DEMANDS!$F$2:$F$25,0),FALSE)</f>
        <v>6.0941419037225117E-05</v>
      </c>
      <c r="AB34" s="13">
        <f>HLOOKUP(REG_TRA_DEMANDS!AB$3,'BY-Demands'!$J$5:$AK$14,MATCH($E34,'BY-Demands'!$I$5:$I$14,0),FALSE)*HLOOKUP(REG_TRA_DEMANDS!$F34,DEMANDS!$H$2:$CO$25,MATCH($E34,DEMANDS!$F$2:$F$25,0),FALSE)/HLOOKUP(2018,DEMANDS!$H$2:$CO$25,MATCH($E34,DEMANDS!$F$2:$F$25,0),FALSE)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C34" s="13">
        <f>HLOOKUP(REG_TRA_DEMANDS!AC$3,'BY-Demands'!$J$5:$AK$14,MATCH($E34,'BY-Demands'!$I$5:$I$14,0),FALSE)*HLOOKUP(REG_TRA_DEMANDS!$F34,DEMANDS!$H$2:$CO$25,MATCH($E34,DEMANDS!$F$2:$F$25,0),FALSE)/HLOOKUP(2018,DEMANDS!$H$2:$CO$25,MATCH($E34,DEMANDS!$F$2:$F$25,0),FALSE)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D34" s="13">
        <f>HLOOKUP(REG_TRA_DEMANDS!AD$3,'BY-Demands'!$J$5:$AK$14,MATCH($E34,'BY-Demands'!$I$5:$I$14,0),FALSE)*HLOOKUP(REG_TRA_DEMANDS!$F34,DEMANDS!$H$2:$CO$25,MATCH($E34,DEMANDS!$F$2:$F$25,0),FALSE)/HLOOKUP(2018,DEMANDS!$H$2:$CO$25,MATCH($E34,DEMANDS!$F$2:$F$25,0),FALSE)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E34" s="13">
        <f>HLOOKUP(REG_TRA_DEMANDS!AE$3,'BY-Demands'!$J$5:$AK$14,MATCH($E34,'BY-Demands'!$I$5:$I$14,0),FALSE)*HLOOKUP(REG_TRA_DEMANDS!$F34,DEMANDS!$H$2:$CO$25,MATCH($E34,DEMANDS!$F$2:$F$25,0),FALSE)/HLOOKUP(2018,DEMANDS!$H$2:$CO$25,MATCH($E34,DEMANDS!$F$2:$F$25,0),FALSE)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F34" s="13">
        <f>HLOOKUP(REG_TRA_DEMANDS!AF$3,'BY-Demands'!$J$5:$AK$14,MATCH($E34,'BY-Demands'!$I$5:$I$14,0),FALSE)*HLOOKUP(REG_TRA_DEMANDS!$F34,DEMANDS!$H$2:$CO$25,MATCH($E34,DEMANDS!$F$2:$F$25,0),FALSE)/HLOOKUP(2018,DEMANDS!$H$2:$CO$25,MATCH($E34,DEMANDS!$F$2:$F$25,0),FALSE)</f>
        <v>0</v>
      </c>
    </row>
    <row r="35" spans="4:32" ht="12.75">
      <c r="D35" s="3" t="s">
        <v>59</v>
      </c>
      <c r="E35" s="3" t="str">
        <v>TAVIDOM</v>
      </c>
      <c r="F35" s="3">
        <v>2050</v>
      </c>
      <c r="G35" s="13">
        <f>HLOOKUP(REG_TRA_DEMANDS!G$3,'BY-Demands'!$J$5:$AK$14,MATCH($E35,'BY-Demands'!$I$5:$I$14,0),FALSE)*HLOOKUP(REG_TRA_DEMANDS!$F35,DEMANDS!$H$2:$CO$25,MATCH($E35,DEMANDS!$F$2:$F$25,0),FALSE)/HLOOKUP(2018,DEMANDS!$H$2:$CO$25,MATCH($E35,DEMANDS!$F$2:$F$25,0),FALSE)</f>
        <v>0</v>
      </c>
      <c r="H35" s="13">
        <f>HLOOKUP(REG_TRA_DEMANDS!H$3,'BY-Demands'!$J$5:$AK$14,MATCH($E35,'BY-Demands'!$I$5:$I$14,0),FALSE)*HLOOKUP(REG_TRA_DEMANDS!$F35,DEMANDS!$H$2:$CO$25,MATCH($E35,DEMANDS!$F$2:$F$25,0),FALSE)/HLOOKUP(2018,DEMANDS!$H$2:$CO$25,MATCH($E35,DEMANDS!$F$2:$F$25,0),FALSE)</f>
        <v>0.13599128494106499</v>
      </c>
      <c r="I35" s="13">
        <f>HLOOKUP(REG_TRA_DEMANDS!I$3,'BY-Demands'!$J$5:$AK$14,MATCH($E35,'BY-Demands'!$I$5:$I$14,0),FALSE)*HLOOKUP(REG_TRA_DEMANDS!$F35,DEMANDS!$H$2:$CO$25,MATCH($E35,DEMANDS!$F$2:$F$25,0),FALSE)/HLOOKUP(2018,DEMANDS!$H$2:$CO$25,MATCH($E35,DEMANDS!$F$2:$F$25,0),FALSE)</f>
        <v>0</v>
      </c>
      <c r="J35" s="13">
        <f>HLOOKUP(REG_TRA_DEMANDS!J$3,'BY-Demands'!$J$5:$AK$14,MATCH($E35,'BY-Demands'!$I$5:$I$14,0),FALSE)*HLOOKUP(REG_TRA_DEMANDS!$F35,DEMANDS!$H$2:$CO$25,MATCH($E35,DEMANDS!$F$2:$F$25,0),FALSE)/HLOOKUP(2018,DEMANDS!$H$2:$CO$25,MATCH($E35,DEMANDS!$F$2:$F$25,0),FALSE)</f>
        <v>0</v>
      </c>
      <c r="K35" s="13">
        <f>HLOOKUP(REG_TRA_DEMANDS!K$3,'BY-Demands'!$J$5:$AK$14,MATCH($E35,'BY-Demands'!$I$5:$I$14,0),FALSE)*HLOOKUP(REG_TRA_DEMANDS!$F35,DEMANDS!$H$2:$CO$25,MATCH($E35,DEMANDS!$F$2:$F$25,0),FALSE)/HLOOKUP(2018,DEMANDS!$H$2:$CO$25,MATCH($E35,DEMANDS!$F$2:$F$25,0),FALSE)</f>
        <v>0</v>
      </c>
      <c r="L35" s="13">
        <f>HLOOKUP(REG_TRA_DEMANDS!L$3,'BY-Demands'!$J$5:$AK$14,MATCH($E35,'BY-Demands'!$I$5:$I$14,0),FALSE)*HLOOKUP(REG_TRA_DEMANDS!$F35,DEMANDS!$H$2:$CO$25,MATCH($E35,DEMANDS!$F$2:$F$25,0),FALSE)/HLOOKUP(2018,DEMANDS!$H$2:$CO$25,MATCH($E35,DEMANDS!$F$2:$F$25,0),FALSE)</f>
        <v>0</v>
      </c>
      <c r="M35" s="13">
        <f>HLOOKUP(REG_TRA_DEMANDS!M$3,'BY-Demands'!$J$5:$AK$14,MATCH($E35,'BY-Demands'!$I$5:$I$14,0),FALSE)*HLOOKUP(REG_TRA_DEMANDS!$F35,DEMANDS!$H$2:$CO$25,MATCH($E35,DEMANDS!$F$2:$F$25,0),FALSE)/HLOOKUP(2018,DEMANDS!$H$2:$CO$25,MATCH($E35,DEMANDS!$F$2:$F$25,0),FALSE)</f>
        <v>0</v>
      </c>
      <c r="N35" s="13">
        <f>HLOOKUP(REG_TRA_DEMANDS!N$3,'BY-Demands'!$J$5:$AK$14,MATCH($E35,'BY-Demands'!$I$5:$I$14,0),FALSE)*HLOOKUP(REG_TRA_DEMANDS!$F35,DEMANDS!$H$2:$CO$25,MATCH($E35,DEMANDS!$F$2:$F$25,0),FALSE)/HLOOKUP(2018,DEMANDS!$H$2:$CO$25,MATCH($E35,DEMANDS!$F$2:$F$25,0),FALSE)</f>
        <v>0</v>
      </c>
      <c r="O35" s="13">
        <f>HLOOKUP(REG_TRA_DEMANDS!O$3,'BY-Demands'!$J$5:$AK$14,MATCH($E35,'BY-Demands'!$I$5:$I$14,0),FALSE)*HLOOKUP(REG_TRA_DEMANDS!$F35,DEMANDS!$H$2:$CO$25,MATCH($E35,DEMANDS!$F$2:$F$25,0),FALSE)/HLOOKUP(2018,DEMANDS!$H$2:$CO$25,MATCH($E35,DEMANDS!$F$2:$F$25,0),FALSE)</f>
        <v>0</v>
      </c>
      <c r="P35" s="13">
        <f>HLOOKUP(REG_TRA_DEMANDS!P$3,'BY-Demands'!$J$5:$AK$14,MATCH($E35,'BY-Demands'!$I$5:$I$14,0),FALSE)*HLOOKUP(REG_TRA_DEMANDS!$F35,DEMANDS!$H$2:$CO$25,MATCH($E35,DEMANDS!$F$2:$F$25,0),FALSE)/HLOOKUP(2018,DEMANDS!$H$2:$CO$25,MATCH($E35,DEMANDS!$F$2:$F$25,0),FALSE)</f>
        <v>0</v>
      </c>
      <c r="Q35" s="13">
        <f>HLOOKUP(REG_TRA_DEMANDS!Q$3,'BY-Demands'!$J$5:$AK$14,MATCH($E35,'BY-Demands'!$I$5:$I$14,0),FALSE)*HLOOKUP(REG_TRA_DEMANDS!$F35,DEMANDS!$H$2:$CO$25,MATCH($E35,DEMANDS!$F$2:$F$25,0),FALSE)/HLOOKUP(2018,DEMANDS!$H$2:$CO$25,MATCH($E35,DEMANDS!$F$2:$F$25,0),FALSE)</f>
        <v>0</v>
      </c>
      <c r="R35" s="13">
        <f>HLOOKUP(REG_TRA_DEMANDS!R$3,'BY-Demands'!$J$5:$AK$14,MATCH($E35,'BY-Demands'!$I$5:$I$14,0),FALSE)*HLOOKUP(REG_TRA_DEMANDS!$F35,DEMANDS!$H$2:$CO$25,MATCH($E35,DEMANDS!$F$2:$F$25,0),FALSE)/HLOOKUP(2018,DEMANDS!$H$2:$CO$25,MATCH($E35,DEMANDS!$F$2:$F$25,0),FALSE)</f>
        <v>0</v>
      </c>
      <c r="S35" s="13">
        <f>HLOOKUP(REG_TRA_DEMANDS!S$3,'BY-Demands'!$J$5:$AK$14,MATCH($E35,'BY-Demands'!$I$5:$I$14,0),FALSE)*HLOOKUP(REG_TRA_DEMANDS!$F35,DEMANDS!$H$2:$CO$25,MATCH($E35,DEMANDS!$F$2:$F$25,0),FALSE)/HLOOKUP(2018,DEMANDS!$H$2:$CO$25,MATCH($E35,DEMANDS!$F$2:$F$25,0),FALSE)</f>
        <v>0.047489540821759602</v>
      </c>
      <c r="T35" s="13">
        <f>HLOOKUP(REG_TRA_DEMANDS!T$3,'BY-Demands'!$J$5:$AK$14,MATCH($E35,'BY-Demands'!$I$5:$I$14,0),FALSE)*HLOOKUP(REG_TRA_DEMANDS!$F35,DEMANDS!$H$2:$CO$25,MATCH($E35,DEMANDS!$F$2:$F$25,0),FALSE)/HLOOKUP(2018,DEMANDS!$H$2:$CO$25,MATCH($E35,DEMANDS!$F$2:$F$25,0),FALSE)</f>
        <v>0.00047056267691773199</v>
      </c>
      <c r="U35" s="13">
        <f>HLOOKUP(REG_TRA_DEMANDS!U$3,'BY-Demands'!$J$5:$AK$14,MATCH($E35,'BY-Demands'!$I$5:$I$14,0),FALSE)*HLOOKUP(REG_TRA_DEMANDS!$F35,DEMANDS!$H$2:$CO$25,MATCH($E35,DEMANDS!$F$2:$F$25,0),FALSE)/HLOOKUP(2018,DEMANDS!$H$2:$CO$25,MATCH($E35,DEMANDS!$F$2:$F$25,0),FALSE)</f>
        <v>0.047235778638893701</v>
      </c>
      <c r="V35" s="13">
        <f>HLOOKUP(REG_TRA_DEMANDS!V$3,'BY-Demands'!$J$5:$AK$14,MATCH($E35,'BY-Demands'!$I$5:$I$14,0),FALSE)*HLOOKUP(REG_TRA_DEMANDS!$F35,DEMANDS!$H$2:$CO$25,MATCH($E35,DEMANDS!$F$2:$F$25,0),FALSE)/HLOOKUP(2018,DEMANDS!$H$2:$CO$25,MATCH($E35,DEMANDS!$F$2:$F$25,0),FALSE)</f>
        <v>0</v>
      </c>
      <c r="W35" s="13">
        <f>HLOOKUP(REG_TRA_DEMANDS!W$3,'BY-Demands'!$J$5:$AK$14,MATCH($E35,'BY-Demands'!$I$5:$I$14,0),FALSE)*HLOOKUP(REG_TRA_DEMANDS!$F35,DEMANDS!$H$2:$CO$25,MATCH($E35,DEMANDS!$F$2:$F$25,0),FALSE)/HLOOKUP(2018,DEMANDS!$H$2:$CO$25,MATCH($E35,DEMANDS!$F$2:$F$25,0),FALSE)</f>
        <v>0</v>
      </c>
      <c r="X35" s="13">
        <f>HLOOKUP(REG_TRA_DEMANDS!X$3,'BY-Demands'!$J$5:$AK$14,MATCH($E35,'BY-Demands'!$I$5:$I$14,0),FALSE)*HLOOKUP(REG_TRA_DEMANDS!$F35,DEMANDS!$H$2:$CO$25,MATCH($E35,DEMANDS!$F$2:$F$25,0),FALSE)/HLOOKUP(2018,DEMANDS!$H$2:$CO$25,MATCH($E35,DEMANDS!$F$2:$F$25,0),FALSE)</f>
        <v>0</v>
      </c>
      <c r="Y35" s="13">
        <f>HLOOKUP(REG_TRA_DEMANDS!Y$3,'BY-Demands'!$J$5:$AK$14,MATCH($E35,'BY-Demands'!$I$5:$I$14,0),FALSE)*HLOOKUP(REG_TRA_DEMANDS!$F35,DEMANDS!$H$2:$CO$25,MATCH($E35,DEMANDS!$F$2:$F$25,0),FALSE)/HLOOKUP(2018,DEMANDS!$H$2:$CO$25,MATCH($E35,DEMANDS!$F$2:$F$25,0),FALSE)</f>
        <v>0</v>
      </c>
      <c r="Z35" s="13">
        <f>HLOOKUP(REG_TRA_DEMANDS!Z$3,'BY-Demands'!$J$5:$AK$14,MATCH($E35,'BY-Demands'!$I$5:$I$14,0),FALSE)*HLOOKUP(REG_TRA_DEMANDS!$F35,DEMANDS!$H$2:$CO$25,MATCH($E35,DEMANDS!$F$2:$F$25,0),FALSE)/HLOOKUP(2018,DEMANDS!$H$2:$CO$25,MATCH($E35,DEMANDS!$F$2:$F$25,0),FALSE)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A35" s="13">
        <f>HLOOKUP(REG_TRA_DEMANDS!AA$3,'BY-Demands'!$J$5:$AK$14,MATCH($E35,'BY-Demands'!$I$5:$I$14,0),FALSE)*HLOOKUP(REG_TRA_DEMANDS!$F35,DEMANDS!$H$2:$CO$25,MATCH($E35,DEMANDS!$F$2:$F$25,0),FALSE)/HLOOKUP(2018,DEMANDS!$H$2:$CO$25,MATCH($E35,DEMANDS!$F$2:$F$25,0),FALSE)</f>
        <v>9.4112535383546506E-05</v>
      </c>
      <c r="AB35" s="13">
        <f>HLOOKUP(REG_TRA_DEMANDS!AB$3,'BY-Demands'!$J$5:$AK$14,MATCH($E35,'BY-Demands'!$I$5:$I$14,0),FALSE)*HLOOKUP(REG_TRA_DEMANDS!$F35,DEMANDS!$H$2:$CO$25,MATCH($E35,DEMANDS!$F$2:$F$25,0),FALSE)/HLOOKUP(2018,DEMANDS!$H$2:$CO$25,MATCH($E35,DEMANDS!$F$2:$F$25,0),FALSE)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C35" s="13">
        <f>HLOOKUP(REG_TRA_DEMANDS!AC$3,'BY-Demands'!$J$5:$AK$14,MATCH($E35,'BY-Demands'!$I$5:$I$14,0),FALSE)*HLOOKUP(REG_TRA_DEMANDS!$F35,DEMANDS!$H$2:$CO$25,MATCH($E35,DEMANDS!$F$2:$F$25,0),FALSE)/HLOOKUP(2018,DEMANDS!$H$2:$CO$25,MATCH($E35,DEMANDS!$F$2:$F$25,0),FALSE)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D35" s="13">
        <f>HLOOKUP(REG_TRA_DEMANDS!AD$3,'BY-Demands'!$J$5:$AK$14,MATCH($E35,'BY-Demands'!$I$5:$I$14,0),FALSE)*HLOOKUP(REG_TRA_DEMANDS!$F35,DEMANDS!$H$2:$CO$25,MATCH($E35,DEMANDS!$F$2:$F$25,0),FALSE)/HLOOKUP(2018,DEMANDS!$H$2:$CO$25,MATCH($E35,DEMANDS!$F$2:$F$25,0),FALSE)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E35" s="13">
        <f>HLOOKUP(REG_TRA_DEMANDS!AE$3,'BY-Demands'!$J$5:$AK$14,MATCH($E35,'BY-Demands'!$I$5:$I$14,0),FALSE)*HLOOKUP(REG_TRA_DEMANDS!$F35,DEMANDS!$H$2:$CO$25,MATCH($E35,DEMANDS!$F$2:$F$25,0),FALSE)/HLOOKUP(2018,DEMANDS!$H$2:$CO$25,MATCH($E35,DEMANDS!$F$2:$F$25,0),FALSE)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F35" s="13">
        <f>HLOOKUP(REG_TRA_DEMANDS!AF$3,'BY-Demands'!$J$5:$AK$14,MATCH($E35,'BY-Demands'!$I$5:$I$14,0),FALSE)*HLOOKUP(REG_TRA_DEMANDS!$F35,DEMANDS!$H$2:$CO$25,MATCH($E35,DEMANDS!$F$2:$F$25,0),FALSE)/HLOOKUP(2018,DEMANDS!$H$2:$CO$25,MATCH($E35,DEMANDS!$F$2:$F$25,0),FALSE)</f>
        <v>0</v>
      </c>
    </row>
    <row r="36" spans="4:32" ht="12.75">
      <c r="D36" s="3" t="s">
        <v>59</v>
      </c>
      <c r="E36" s="3" t="str">
        <f>DEMANDS!$F$25</f>
        <v>TAVIINT</v>
      </c>
      <c r="F36" s="3">
        <v>2019</v>
      </c>
      <c r="G36" s="13">
        <f>HLOOKUP(REG_TRA_DEMANDS!G$3,'BY-Demands'!$J$5:$AK$14,MATCH($E36,'BY-Demands'!$I$5:$I$14,0),FALSE)*HLOOKUP(REG_TRA_DEMANDS!$F36,DEMANDS!$H$2:$CO$25,MATCH($E36,DEMANDS!$F$2:$F$25,0),FALSE)/HLOOKUP(2018,DEMANDS!$H$2:$CO$25,MATCH($E36,DEMANDS!$F$2:$F$25,0),FALSE)</f>
        <v>0</v>
      </c>
      <c r="H36" s="13">
        <f>HLOOKUP(REG_TRA_DEMANDS!H$3,'BY-Demands'!$J$5:$AK$14,MATCH($E36,'BY-Demands'!$I$5:$I$14,0),FALSE)*HLOOKUP(REG_TRA_DEMANDS!$F36,DEMANDS!$H$2:$CO$25,MATCH($E36,DEMANDS!$F$2:$F$25,0),FALSE)/HLOOKUP(2018,DEMANDS!$H$2:$CO$25,MATCH($E36,DEMANDS!$F$2:$F$25,0),FALSE)</f>
        <v>40.899618894914909</v>
      </c>
      <c r="I36" s="13">
        <f>HLOOKUP(REG_TRA_DEMANDS!I$3,'BY-Demands'!$J$5:$AK$14,MATCH($E36,'BY-Demands'!$I$5:$I$14,0),FALSE)*HLOOKUP(REG_TRA_DEMANDS!$F36,DEMANDS!$H$2:$CO$25,MATCH($E36,DEMANDS!$F$2:$F$25,0),FALSE)/HLOOKUP(2018,DEMANDS!$H$2:$CO$25,MATCH($E36,DEMANDS!$F$2:$F$25,0),FALSE)</f>
        <v>0</v>
      </c>
      <c r="J36" s="13">
        <f>HLOOKUP(REG_TRA_DEMANDS!J$3,'BY-Demands'!$J$5:$AK$14,MATCH($E36,'BY-Demands'!$I$5:$I$14,0),FALSE)*HLOOKUP(REG_TRA_DEMANDS!$F36,DEMANDS!$H$2:$CO$25,MATCH($E36,DEMANDS!$F$2:$F$25,0),FALSE)/HLOOKUP(2018,DEMANDS!$H$2:$CO$25,MATCH($E36,DEMANDS!$F$2:$F$25,0),FALSE)</f>
        <v>0</v>
      </c>
      <c r="K36" s="13">
        <f>HLOOKUP(REG_TRA_DEMANDS!K$3,'BY-Demands'!$J$5:$AK$14,MATCH($E36,'BY-Demands'!$I$5:$I$14,0),FALSE)*HLOOKUP(REG_TRA_DEMANDS!$F36,DEMANDS!$H$2:$CO$25,MATCH($E36,DEMANDS!$F$2:$F$25,0),FALSE)/HLOOKUP(2018,DEMANDS!$H$2:$CO$25,MATCH($E36,DEMANDS!$F$2:$F$25,0),FALSE)</f>
        <v>0</v>
      </c>
      <c r="L36" s="13">
        <f>HLOOKUP(REG_TRA_DEMANDS!L$3,'BY-Demands'!$J$5:$AK$14,MATCH($E36,'BY-Demands'!$I$5:$I$14,0),FALSE)*HLOOKUP(REG_TRA_DEMANDS!$F36,DEMANDS!$H$2:$CO$25,MATCH($E36,DEMANDS!$F$2:$F$25,0),FALSE)/HLOOKUP(2018,DEMANDS!$H$2:$CO$25,MATCH($E36,DEMANDS!$F$2:$F$25,0),FALSE)</f>
        <v>0</v>
      </c>
      <c r="M36" s="13">
        <f>HLOOKUP(REG_TRA_DEMANDS!M$3,'BY-Demands'!$J$5:$AK$14,MATCH($E36,'BY-Demands'!$I$5:$I$14,0),FALSE)*HLOOKUP(REG_TRA_DEMANDS!$F36,DEMANDS!$H$2:$CO$25,MATCH($E36,DEMANDS!$F$2:$F$25,0),FALSE)/HLOOKUP(2018,DEMANDS!$H$2:$CO$25,MATCH($E36,DEMANDS!$F$2:$F$25,0),FALSE)</f>
        <v>0</v>
      </c>
      <c r="N36" s="13">
        <f>HLOOKUP(REG_TRA_DEMANDS!N$3,'BY-Demands'!$J$5:$AK$14,MATCH($E36,'BY-Demands'!$I$5:$I$14,0),FALSE)*HLOOKUP(REG_TRA_DEMANDS!$F36,DEMANDS!$H$2:$CO$25,MATCH($E36,DEMANDS!$F$2:$F$25,0),FALSE)/HLOOKUP(2018,DEMANDS!$H$2:$CO$25,MATCH($E36,DEMANDS!$F$2:$F$25,0),FALSE)</f>
        <v>0</v>
      </c>
      <c r="O36" s="13">
        <f>HLOOKUP(REG_TRA_DEMANDS!O$3,'BY-Demands'!$J$5:$AK$14,MATCH($E36,'BY-Demands'!$I$5:$I$14,0),FALSE)*HLOOKUP(REG_TRA_DEMANDS!$F36,DEMANDS!$H$2:$CO$25,MATCH($E36,DEMANDS!$F$2:$F$25,0),FALSE)/HLOOKUP(2018,DEMANDS!$H$2:$CO$25,MATCH($E36,DEMANDS!$F$2:$F$25,0),FALSE)</f>
        <v>0</v>
      </c>
      <c r="P36" s="13">
        <f>HLOOKUP(REG_TRA_DEMANDS!P$3,'BY-Demands'!$J$5:$AK$14,MATCH($E36,'BY-Demands'!$I$5:$I$14,0),FALSE)*HLOOKUP(REG_TRA_DEMANDS!$F36,DEMANDS!$H$2:$CO$25,MATCH($E36,DEMANDS!$F$2:$F$25,0),FALSE)/HLOOKUP(2018,DEMANDS!$H$2:$CO$25,MATCH($E36,DEMANDS!$F$2:$F$25,0),FALSE)</f>
        <v>0</v>
      </c>
      <c r="Q36" s="13">
        <f>HLOOKUP(REG_TRA_DEMANDS!Q$3,'BY-Demands'!$J$5:$AK$14,MATCH($E36,'BY-Demands'!$I$5:$I$14,0),FALSE)*HLOOKUP(REG_TRA_DEMANDS!$F36,DEMANDS!$H$2:$CO$25,MATCH($E36,DEMANDS!$F$2:$F$25,0),FALSE)/HLOOKUP(2018,DEMANDS!$H$2:$CO$25,MATCH($E36,DEMANDS!$F$2:$F$25,0),FALSE)</f>
        <v>0</v>
      </c>
      <c r="R36" s="13">
        <f>HLOOKUP(REG_TRA_DEMANDS!R$3,'BY-Demands'!$J$5:$AK$14,MATCH($E36,'BY-Demands'!$I$5:$I$14,0),FALSE)*HLOOKUP(REG_TRA_DEMANDS!$F36,DEMANDS!$H$2:$CO$25,MATCH($E36,DEMANDS!$F$2:$F$25,0),FALSE)/HLOOKUP(2018,DEMANDS!$H$2:$CO$25,MATCH($E36,DEMANDS!$F$2:$F$25,0),FALSE)</f>
        <v>0</v>
      </c>
      <c r="S36" s="13">
        <f>HLOOKUP(REG_TRA_DEMANDS!S$3,'BY-Demands'!$J$5:$AK$14,MATCH($E36,'BY-Demands'!$I$5:$I$14,0),FALSE)*HLOOKUP(REG_TRA_DEMANDS!$F36,DEMANDS!$H$2:$CO$25,MATCH($E36,DEMANDS!$F$2:$F$25,0),FALSE)/HLOOKUP(2018,DEMANDS!$H$2:$CO$25,MATCH($E36,DEMANDS!$F$2:$F$25,0),FALSE)</f>
        <v>2.4217125367922945</v>
      </c>
      <c r="T36" s="13">
        <f>HLOOKUP(REG_TRA_DEMANDS!T$3,'BY-Demands'!$J$5:$AK$14,MATCH($E36,'BY-Demands'!$I$5:$I$14,0),FALSE)*HLOOKUP(REG_TRA_DEMANDS!$F36,DEMANDS!$H$2:$CO$25,MATCH($E36,DEMANDS!$F$2:$F$25,0),FALSE)/HLOOKUP(2018,DEMANDS!$H$2:$CO$25,MATCH($E36,DEMANDS!$F$2:$F$25,0),FALSE)</f>
        <v>2.2391611872891475</v>
      </c>
      <c r="U36" s="13">
        <f>HLOOKUP(REG_TRA_DEMANDS!U$3,'BY-Demands'!$J$5:$AK$14,MATCH($E36,'BY-Demands'!$I$5:$I$14,0),FALSE)*HLOOKUP(REG_TRA_DEMANDS!$F36,DEMANDS!$H$2:$CO$25,MATCH($E36,DEMANDS!$F$2:$F$25,0),FALSE)/HLOOKUP(2018,DEMANDS!$H$2:$CO$25,MATCH($E36,DEMANDS!$F$2:$F$25,0),FALSE)</f>
        <v>0.24401444810974202</v>
      </c>
      <c r="V36" s="13">
        <f>HLOOKUP(REG_TRA_DEMANDS!V$3,'BY-Demands'!$J$5:$AK$14,MATCH($E36,'BY-Demands'!$I$5:$I$14,0),FALSE)*HLOOKUP(REG_TRA_DEMANDS!$F36,DEMANDS!$H$2:$CO$25,MATCH($E36,DEMANDS!$F$2:$F$25,0),FALSE)/HLOOKUP(2018,DEMANDS!$H$2:$CO$25,MATCH($E36,DEMANDS!$F$2:$F$25,0),FALSE)</f>
        <v>0</v>
      </c>
      <c r="W36" s="13">
        <f>HLOOKUP(REG_TRA_DEMANDS!W$3,'BY-Demands'!$J$5:$AK$14,MATCH($E36,'BY-Demands'!$I$5:$I$14,0),FALSE)*HLOOKUP(REG_TRA_DEMANDS!$F36,DEMANDS!$H$2:$CO$25,MATCH($E36,DEMANDS!$F$2:$F$25,0),FALSE)/HLOOKUP(2018,DEMANDS!$H$2:$CO$25,MATCH($E36,DEMANDS!$F$2:$F$25,0),FALSE)</f>
        <v>0</v>
      </c>
      <c r="X36" s="13">
        <f>HLOOKUP(REG_TRA_DEMANDS!X$3,'BY-Demands'!$J$5:$AK$14,MATCH($E36,'BY-Demands'!$I$5:$I$14,0),FALSE)*HLOOKUP(REG_TRA_DEMANDS!$F36,DEMANDS!$H$2:$CO$25,MATCH($E36,DEMANDS!$F$2:$F$25,0),FALSE)/HLOOKUP(2018,DEMANDS!$H$2:$CO$25,MATCH($E36,DEMANDS!$F$2:$F$25,0),FALSE)</f>
        <v>0</v>
      </c>
      <c r="Y36" s="13">
        <f>HLOOKUP(REG_TRA_DEMANDS!Y$3,'BY-Demands'!$J$5:$AK$14,MATCH($E36,'BY-Demands'!$I$5:$I$14,0),FALSE)*HLOOKUP(REG_TRA_DEMANDS!$F36,DEMANDS!$H$2:$CO$25,MATCH($E36,DEMANDS!$F$2:$F$25,0),FALSE)/HLOOKUP(2018,DEMANDS!$H$2:$CO$25,MATCH($E36,DEMANDS!$F$2:$F$25,0),FALSE)</f>
        <v>0</v>
      </c>
      <c r="Z36" s="13">
        <f>HLOOKUP(REG_TRA_DEMANDS!Z$3,'BY-Demands'!$J$5:$AK$14,MATCH($E36,'BY-Demands'!$I$5:$I$14,0),FALSE)*HLOOKUP(REG_TRA_DEMANDS!$F36,DEMANDS!$H$2:$CO$25,MATCH($E36,DEMANDS!$F$2:$F$25,0),FALSE)/HLOOKUP(2018,DEMANDS!$H$2:$CO$25,MATCH($E36,DEMANDS!$F$2:$F$25,0),FALSE)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A36" s="13">
        <f>HLOOKUP(REG_TRA_DEMANDS!AA$3,'BY-Demands'!$J$5:$AK$14,MATCH($E36,'BY-Demands'!$I$5:$I$14,0),FALSE)*HLOOKUP(REG_TRA_DEMANDS!$F36,DEMANDS!$H$2:$CO$25,MATCH($E36,DEMANDS!$F$2:$F$25,0),FALSE)/HLOOKUP(2018,DEMANDS!$H$2:$CO$25,MATCH($E36,DEMANDS!$F$2:$F$25,0),FALSE)</f>
        <v>0.6966413840567377</v>
      </c>
      <c r="AB36" s="13">
        <f>HLOOKUP(REG_TRA_DEMANDS!AB$3,'BY-Demands'!$J$5:$AK$14,MATCH($E36,'BY-Demands'!$I$5:$I$14,0),FALSE)*HLOOKUP(REG_TRA_DEMANDS!$F36,DEMANDS!$H$2:$CO$25,MATCH($E36,DEMANDS!$F$2:$F$25,0),FALSE)/HLOOKUP(2018,DEMANDS!$H$2:$CO$25,MATCH($E36,DEMANDS!$F$2:$F$25,0),FALSE)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C36" s="13">
        <f>HLOOKUP(REG_TRA_DEMANDS!AC$3,'BY-Demands'!$J$5:$AK$14,MATCH($E36,'BY-Demands'!$I$5:$I$14,0),FALSE)*HLOOKUP(REG_TRA_DEMANDS!$F36,DEMANDS!$H$2:$CO$25,MATCH($E36,DEMANDS!$F$2:$F$25,0),FALSE)/HLOOKUP(2018,DEMANDS!$H$2:$CO$25,MATCH($E36,DEMANDS!$F$2:$F$25,0),FALSE)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D36" s="13">
        <f>HLOOKUP(REG_TRA_DEMANDS!AD$3,'BY-Demands'!$J$5:$AK$14,MATCH($E36,'BY-Demands'!$I$5:$I$14,0),FALSE)*HLOOKUP(REG_TRA_DEMANDS!$F36,DEMANDS!$H$2:$CO$25,MATCH($E36,DEMANDS!$F$2:$F$25,0),FALSE)/HLOOKUP(2018,DEMANDS!$H$2:$CO$25,MATCH($E36,DEMANDS!$F$2:$F$25,0),FALSE)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E36" s="13">
        <f>HLOOKUP(REG_TRA_DEMANDS!AE$3,'BY-Demands'!$J$5:$AK$14,MATCH($E36,'BY-Demands'!$I$5:$I$14,0),FALSE)*HLOOKUP(REG_TRA_DEMANDS!$F36,DEMANDS!$H$2:$CO$25,MATCH($E36,DEMANDS!$F$2:$F$25,0),FALSE)/HLOOKUP(2018,DEMANDS!$H$2:$CO$25,MATCH($E36,DEMANDS!$F$2:$F$25,0),FALSE)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F36" s="13">
        <f>HLOOKUP(REG_TRA_DEMANDS!AF$3,'BY-Demands'!$J$5:$AK$14,MATCH($E36,'BY-Demands'!$I$5:$I$14,0),FALSE)*HLOOKUP(REG_TRA_DEMANDS!$F36,DEMANDS!$H$2:$CO$25,MATCH($E36,DEMANDS!$F$2:$F$25,0),FALSE)/HLOOKUP(2018,DEMANDS!$H$2:$CO$25,MATCH($E36,DEMANDS!$F$2:$F$25,0),FALSE)</f>
        <v>0</v>
      </c>
    </row>
    <row r="37" spans="4:32" ht="12.75">
      <c r="D37" s="3" t="s">
        <v>59</v>
      </c>
      <c r="E37" s="3" t="str">
        <f>DEMANDS!$F$25</f>
        <v>TAVIINT</v>
      </c>
      <c r="F37" s="3">
        <v>2020</v>
      </c>
      <c r="G37" s="13">
        <f>HLOOKUP(REG_TRA_DEMANDS!G$3,'BY-Demands'!$J$5:$AK$14,MATCH($E37,'BY-Demands'!$I$5:$I$14,0),FALSE)*HLOOKUP(REG_TRA_DEMANDS!$F37,DEMANDS!$H$2:$CO$25,MATCH($E37,DEMANDS!$F$2:$F$25,0),FALSE)/HLOOKUP(2018,DEMANDS!$H$2:$CO$25,MATCH($E37,DEMANDS!$F$2:$F$25,0),FALSE)</f>
        <v>0</v>
      </c>
      <c r="H37" s="13">
        <f>HLOOKUP(REG_TRA_DEMANDS!H$3,'BY-Demands'!$J$5:$AK$14,MATCH($E37,'BY-Demands'!$I$5:$I$14,0),FALSE)*HLOOKUP(REG_TRA_DEMANDS!$F37,DEMANDS!$H$2:$CO$25,MATCH($E37,DEMANDS!$F$2:$F$25,0),FALSE)/HLOOKUP(2018,DEMANDS!$H$2:$CO$25,MATCH($E37,DEMANDS!$F$2:$F$25,0),FALSE)</f>
        <v>14.586505081244802</v>
      </c>
      <c r="I37" s="13">
        <f>HLOOKUP(REG_TRA_DEMANDS!I$3,'BY-Demands'!$J$5:$AK$14,MATCH($E37,'BY-Demands'!$I$5:$I$14,0),FALSE)*HLOOKUP(REG_TRA_DEMANDS!$F37,DEMANDS!$H$2:$CO$25,MATCH($E37,DEMANDS!$F$2:$F$25,0),FALSE)/HLOOKUP(2018,DEMANDS!$H$2:$CO$25,MATCH($E37,DEMANDS!$F$2:$F$25,0),FALSE)</f>
        <v>0</v>
      </c>
      <c r="J37" s="13">
        <f>HLOOKUP(REG_TRA_DEMANDS!J$3,'BY-Demands'!$J$5:$AK$14,MATCH($E37,'BY-Demands'!$I$5:$I$14,0),FALSE)*HLOOKUP(REG_TRA_DEMANDS!$F37,DEMANDS!$H$2:$CO$25,MATCH($E37,DEMANDS!$F$2:$F$25,0),FALSE)/HLOOKUP(2018,DEMANDS!$H$2:$CO$25,MATCH($E37,DEMANDS!$F$2:$F$25,0),FALSE)</f>
        <v>0</v>
      </c>
      <c r="K37" s="13">
        <f>HLOOKUP(REG_TRA_DEMANDS!K$3,'BY-Demands'!$J$5:$AK$14,MATCH($E37,'BY-Demands'!$I$5:$I$14,0),FALSE)*HLOOKUP(REG_TRA_DEMANDS!$F37,DEMANDS!$H$2:$CO$25,MATCH($E37,DEMANDS!$F$2:$F$25,0),FALSE)/HLOOKUP(2018,DEMANDS!$H$2:$CO$25,MATCH($E37,DEMANDS!$F$2:$F$25,0),FALSE)</f>
        <v>0</v>
      </c>
      <c r="L37" s="13">
        <f>HLOOKUP(REG_TRA_DEMANDS!L$3,'BY-Demands'!$J$5:$AK$14,MATCH($E37,'BY-Demands'!$I$5:$I$14,0),FALSE)*HLOOKUP(REG_TRA_DEMANDS!$F37,DEMANDS!$H$2:$CO$25,MATCH($E37,DEMANDS!$F$2:$F$25,0),FALSE)/HLOOKUP(2018,DEMANDS!$H$2:$CO$25,MATCH($E37,DEMANDS!$F$2:$F$25,0),FALSE)</f>
        <v>0</v>
      </c>
      <c r="M37" s="13">
        <f>HLOOKUP(REG_TRA_DEMANDS!M$3,'BY-Demands'!$J$5:$AK$14,MATCH($E37,'BY-Demands'!$I$5:$I$14,0),FALSE)*HLOOKUP(REG_TRA_DEMANDS!$F37,DEMANDS!$H$2:$CO$25,MATCH($E37,DEMANDS!$F$2:$F$25,0),FALSE)/HLOOKUP(2018,DEMANDS!$H$2:$CO$25,MATCH($E37,DEMANDS!$F$2:$F$25,0),FALSE)</f>
        <v>0</v>
      </c>
      <c r="N37" s="13">
        <f>HLOOKUP(REG_TRA_DEMANDS!N$3,'BY-Demands'!$J$5:$AK$14,MATCH($E37,'BY-Demands'!$I$5:$I$14,0),FALSE)*HLOOKUP(REG_TRA_DEMANDS!$F37,DEMANDS!$H$2:$CO$25,MATCH($E37,DEMANDS!$F$2:$F$25,0),FALSE)/HLOOKUP(2018,DEMANDS!$H$2:$CO$25,MATCH($E37,DEMANDS!$F$2:$F$25,0),FALSE)</f>
        <v>0</v>
      </c>
      <c r="O37" s="13">
        <f>HLOOKUP(REG_TRA_DEMANDS!O$3,'BY-Demands'!$J$5:$AK$14,MATCH($E37,'BY-Demands'!$I$5:$I$14,0),FALSE)*HLOOKUP(REG_TRA_DEMANDS!$F37,DEMANDS!$H$2:$CO$25,MATCH($E37,DEMANDS!$F$2:$F$25,0),FALSE)/HLOOKUP(2018,DEMANDS!$H$2:$CO$25,MATCH($E37,DEMANDS!$F$2:$F$25,0),FALSE)</f>
        <v>0</v>
      </c>
      <c r="P37" s="13">
        <f>HLOOKUP(REG_TRA_DEMANDS!P$3,'BY-Demands'!$J$5:$AK$14,MATCH($E37,'BY-Demands'!$I$5:$I$14,0),FALSE)*HLOOKUP(REG_TRA_DEMANDS!$F37,DEMANDS!$H$2:$CO$25,MATCH($E37,DEMANDS!$F$2:$F$25,0),FALSE)/HLOOKUP(2018,DEMANDS!$H$2:$CO$25,MATCH($E37,DEMANDS!$F$2:$F$25,0),FALSE)</f>
        <v>0</v>
      </c>
      <c r="Q37" s="13">
        <f>HLOOKUP(REG_TRA_DEMANDS!Q$3,'BY-Demands'!$J$5:$AK$14,MATCH($E37,'BY-Demands'!$I$5:$I$14,0),FALSE)*HLOOKUP(REG_TRA_DEMANDS!$F37,DEMANDS!$H$2:$CO$25,MATCH($E37,DEMANDS!$F$2:$F$25,0),FALSE)/HLOOKUP(2018,DEMANDS!$H$2:$CO$25,MATCH($E37,DEMANDS!$F$2:$F$25,0),FALSE)</f>
        <v>0</v>
      </c>
      <c r="R37" s="13">
        <f>HLOOKUP(REG_TRA_DEMANDS!R$3,'BY-Demands'!$J$5:$AK$14,MATCH($E37,'BY-Demands'!$I$5:$I$14,0),FALSE)*HLOOKUP(REG_TRA_DEMANDS!$F37,DEMANDS!$H$2:$CO$25,MATCH($E37,DEMANDS!$F$2:$F$25,0),FALSE)/HLOOKUP(2018,DEMANDS!$H$2:$CO$25,MATCH($E37,DEMANDS!$F$2:$F$25,0),FALSE)</f>
        <v>0</v>
      </c>
      <c r="S37" s="13">
        <f>HLOOKUP(REG_TRA_DEMANDS!S$3,'BY-Demands'!$J$5:$AK$14,MATCH($E37,'BY-Demands'!$I$5:$I$14,0),FALSE)*HLOOKUP(REG_TRA_DEMANDS!$F37,DEMANDS!$H$2:$CO$25,MATCH($E37,DEMANDS!$F$2:$F$25,0),FALSE)/HLOOKUP(2018,DEMANDS!$H$2:$CO$25,MATCH($E37,DEMANDS!$F$2:$F$25,0),FALSE)</f>
        <v>0.86368340775974672</v>
      </c>
      <c r="T37" s="13">
        <f>HLOOKUP(REG_TRA_DEMANDS!T$3,'BY-Demands'!$J$5:$AK$14,MATCH($E37,'BY-Demands'!$I$5:$I$14,0),FALSE)*HLOOKUP(REG_TRA_DEMANDS!$F37,DEMANDS!$H$2:$CO$25,MATCH($E37,DEMANDS!$F$2:$F$25,0),FALSE)/HLOOKUP(2018,DEMANDS!$H$2:$CO$25,MATCH($E37,DEMANDS!$F$2:$F$25,0),FALSE)</f>
        <v>0.79857800435837634</v>
      </c>
      <c r="U37" s="13">
        <f>HLOOKUP(REG_TRA_DEMANDS!U$3,'BY-Demands'!$J$5:$AK$14,MATCH($E37,'BY-Demands'!$I$5:$I$14,0),FALSE)*HLOOKUP(REG_TRA_DEMANDS!$F37,DEMANDS!$H$2:$CO$25,MATCH($E37,DEMANDS!$F$2:$F$25,0),FALSE)/HLOOKUP(2018,DEMANDS!$H$2:$CO$25,MATCH($E37,DEMANDS!$F$2:$F$25,0),FALSE)</f>
        <v>0.087025700566917275</v>
      </c>
      <c r="V37" s="13">
        <f>HLOOKUP(REG_TRA_DEMANDS!V$3,'BY-Demands'!$J$5:$AK$14,MATCH($E37,'BY-Demands'!$I$5:$I$14,0),FALSE)*HLOOKUP(REG_TRA_DEMANDS!$F37,DEMANDS!$H$2:$CO$25,MATCH($E37,DEMANDS!$F$2:$F$25,0),FALSE)/HLOOKUP(2018,DEMANDS!$H$2:$CO$25,MATCH($E37,DEMANDS!$F$2:$F$25,0),FALSE)</f>
        <v>0</v>
      </c>
      <c r="W37" s="13">
        <f>HLOOKUP(REG_TRA_DEMANDS!W$3,'BY-Demands'!$J$5:$AK$14,MATCH($E37,'BY-Demands'!$I$5:$I$14,0),FALSE)*HLOOKUP(REG_TRA_DEMANDS!$F37,DEMANDS!$H$2:$CO$25,MATCH($E37,DEMANDS!$F$2:$F$25,0),FALSE)/HLOOKUP(2018,DEMANDS!$H$2:$CO$25,MATCH($E37,DEMANDS!$F$2:$F$25,0),FALSE)</f>
        <v>0</v>
      </c>
      <c r="X37" s="13">
        <f>HLOOKUP(REG_TRA_DEMANDS!X$3,'BY-Demands'!$J$5:$AK$14,MATCH($E37,'BY-Demands'!$I$5:$I$14,0),FALSE)*HLOOKUP(REG_TRA_DEMANDS!$F37,DEMANDS!$H$2:$CO$25,MATCH($E37,DEMANDS!$F$2:$F$25,0),FALSE)/HLOOKUP(2018,DEMANDS!$H$2:$CO$25,MATCH($E37,DEMANDS!$F$2:$F$25,0),FALSE)</f>
        <v>0</v>
      </c>
      <c r="Y37" s="13">
        <f>HLOOKUP(REG_TRA_DEMANDS!Y$3,'BY-Demands'!$J$5:$AK$14,MATCH($E37,'BY-Demands'!$I$5:$I$14,0),FALSE)*HLOOKUP(REG_TRA_DEMANDS!$F37,DEMANDS!$H$2:$CO$25,MATCH($E37,DEMANDS!$F$2:$F$25,0),FALSE)/HLOOKUP(2018,DEMANDS!$H$2:$CO$25,MATCH($E37,DEMANDS!$F$2:$F$25,0),FALSE)</f>
        <v>0</v>
      </c>
      <c r="Z37" s="13">
        <f>HLOOKUP(REG_TRA_DEMANDS!Z$3,'BY-Demands'!$J$5:$AK$14,MATCH($E37,'BY-Demands'!$I$5:$I$14,0),FALSE)*HLOOKUP(REG_TRA_DEMANDS!$F37,DEMANDS!$H$2:$CO$25,MATCH($E37,DEMANDS!$F$2:$F$25,0),FALSE)/HLOOKUP(2018,DEMANDS!$H$2:$CO$25,MATCH($E37,DEMANDS!$F$2:$F$25,0),FALSE)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A37" s="13">
        <f>HLOOKUP(REG_TRA_DEMANDS!AA$3,'BY-Demands'!$J$5:$AK$14,MATCH($E37,'BY-Demands'!$I$5:$I$14,0),FALSE)*HLOOKUP(REG_TRA_DEMANDS!$F37,DEMANDS!$H$2:$CO$25,MATCH($E37,DEMANDS!$F$2:$F$25,0),FALSE)/HLOOKUP(2018,DEMANDS!$H$2:$CO$25,MATCH($E37,DEMANDS!$F$2:$F$25,0),FALSE)</f>
        <v>0.24845129032760774</v>
      </c>
      <c r="AB37" s="13">
        <f>HLOOKUP(REG_TRA_DEMANDS!AB$3,'BY-Demands'!$J$5:$AK$14,MATCH($E37,'BY-Demands'!$I$5:$I$14,0),FALSE)*HLOOKUP(REG_TRA_DEMANDS!$F37,DEMANDS!$H$2:$CO$25,MATCH($E37,DEMANDS!$F$2:$F$25,0),FALSE)/HLOOKUP(2018,DEMANDS!$H$2:$CO$25,MATCH($E37,DEMANDS!$F$2:$F$25,0),FALSE)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C37" s="13">
        <f>HLOOKUP(REG_TRA_DEMANDS!AC$3,'BY-Demands'!$J$5:$AK$14,MATCH($E37,'BY-Demands'!$I$5:$I$14,0),FALSE)*HLOOKUP(REG_TRA_DEMANDS!$F37,DEMANDS!$H$2:$CO$25,MATCH($E37,DEMANDS!$F$2:$F$25,0),FALSE)/HLOOKUP(2018,DEMANDS!$H$2:$CO$25,MATCH($E37,DEMANDS!$F$2:$F$25,0),FALSE)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D37" s="13">
        <f>HLOOKUP(REG_TRA_DEMANDS!AD$3,'BY-Demands'!$J$5:$AK$14,MATCH($E37,'BY-Demands'!$I$5:$I$14,0),FALSE)*HLOOKUP(REG_TRA_DEMANDS!$F37,DEMANDS!$H$2:$CO$25,MATCH($E37,DEMANDS!$F$2:$F$25,0),FALSE)/HLOOKUP(2018,DEMANDS!$H$2:$CO$25,MATCH($E37,DEMANDS!$F$2:$F$25,0),FALSE)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E37" s="13">
        <f>HLOOKUP(REG_TRA_DEMANDS!AE$3,'BY-Demands'!$J$5:$AK$14,MATCH($E37,'BY-Demands'!$I$5:$I$14,0),FALSE)*HLOOKUP(REG_TRA_DEMANDS!$F37,DEMANDS!$H$2:$CO$25,MATCH($E37,DEMANDS!$F$2:$F$25,0),FALSE)/HLOOKUP(2018,DEMANDS!$H$2:$CO$25,MATCH($E37,DEMANDS!$F$2:$F$25,0),FALSE)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F37" s="13">
        <f>HLOOKUP(REG_TRA_DEMANDS!AF$3,'BY-Demands'!$J$5:$AK$14,MATCH($E37,'BY-Demands'!$I$5:$I$14,0),FALSE)*HLOOKUP(REG_TRA_DEMANDS!$F37,DEMANDS!$H$2:$CO$25,MATCH($E37,DEMANDS!$F$2:$F$25,0),FALSE)/HLOOKUP(2018,DEMANDS!$H$2:$CO$25,MATCH($E37,DEMANDS!$F$2:$F$25,0),FALSE)</f>
        <v>0</v>
      </c>
    </row>
    <row r="38" spans="4:32" ht="12.75">
      <c r="D38" s="3" t="s">
        <v>59</v>
      </c>
      <c r="E38" s="3" t="str">
        <f>DEMANDS!$F$25</f>
        <v>TAVIINT</v>
      </c>
      <c r="F38" s="3">
        <v>2030</v>
      </c>
      <c r="G38" s="13">
        <f>HLOOKUP(REG_TRA_DEMANDS!G$3,'BY-Demands'!$J$5:$AK$14,MATCH($E38,'BY-Demands'!$I$5:$I$14,0),FALSE)*HLOOKUP(REG_TRA_DEMANDS!$F38,DEMANDS!$H$2:$CO$25,MATCH($E38,DEMANDS!$F$2:$F$25,0),FALSE)/HLOOKUP(2018,DEMANDS!$H$2:$CO$25,MATCH($E38,DEMANDS!$F$2:$F$25,0),FALSE)</f>
        <v>0</v>
      </c>
      <c r="H38" s="13">
        <f>HLOOKUP(REG_TRA_DEMANDS!H$3,'BY-Demands'!$J$5:$AK$14,MATCH($E38,'BY-Demands'!$I$5:$I$14,0),FALSE)*HLOOKUP(REG_TRA_DEMANDS!$F38,DEMANDS!$H$2:$CO$25,MATCH($E38,DEMANDS!$F$2:$F$25,0),FALSE)/HLOOKUP(2018,DEMANDS!$H$2:$CO$25,MATCH($E38,DEMANDS!$F$2:$F$25,0),FALSE)</f>
        <v>0</v>
      </c>
      <c r="I38" s="13">
        <f>HLOOKUP(REG_TRA_DEMANDS!I$3,'BY-Demands'!$J$5:$AK$14,MATCH($E38,'BY-Demands'!$I$5:$I$14,0),FALSE)*HLOOKUP(REG_TRA_DEMANDS!$F38,DEMANDS!$H$2:$CO$25,MATCH($E38,DEMANDS!$F$2:$F$25,0),FALSE)/HLOOKUP(2018,DEMANDS!$H$2:$CO$25,MATCH($E38,DEMANDS!$F$2:$F$25,0),FALSE)</f>
        <v>0</v>
      </c>
      <c r="J38" s="13">
        <f>HLOOKUP(REG_TRA_DEMANDS!J$3,'BY-Demands'!$J$5:$AK$14,MATCH($E38,'BY-Demands'!$I$5:$I$14,0),FALSE)*HLOOKUP(REG_TRA_DEMANDS!$F38,DEMANDS!$H$2:$CO$25,MATCH($E38,DEMANDS!$F$2:$F$25,0),FALSE)/HLOOKUP(2018,DEMANDS!$H$2:$CO$25,MATCH($E38,DEMANDS!$F$2:$F$25,0),FALSE)</f>
        <v>0</v>
      </c>
      <c r="K38" s="13">
        <f>HLOOKUP(REG_TRA_DEMANDS!K$3,'BY-Demands'!$J$5:$AK$14,MATCH($E38,'BY-Demands'!$I$5:$I$14,0),FALSE)*HLOOKUP(REG_TRA_DEMANDS!$F38,DEMANDS!$H$2:$CO$25,MATCH($E38,DEMANDS!$F$2:$F$25,0),FALSE)/HLOOKUP(2018,DEMANDS!$H$2:$CO$25,MATCH($E38,DEMANDS!$F$2:$F$25,0),FALSE)</f>
        <v>0</v>
      </c>
      <c r="L38" s="13">
        <f>HLOOKUP(REG_TRA_DEMANDS!L$3,'BY-Demands'!$J$5:$AK$14,MATCH($E38,'BY-Demands'!$I$5:$I$14,0),FALSE)*HLOOKUP(REG_TRA_DEMANDS!$F38,DEMANDS!$H$2:$CO$25,MATCH($E38,DEMANDS!$F$2:$F$25,0),FALSE)/HLOOKUP(2018,DEMANDS!$H$2:$CO$25,MATCH($E38,DEMANDS!$F$2:$F$25,0),FALSE)</f>
        <v>0</v>
      </c>
      <c r="M38" s="13">
        <f>HLOOKUP(REG_TRA_DEMANDS!M$3,'BY-Demands'!$J$5:$AK$14,MATCH($E38,'BY-Demands'!$I$5:$I$14,0),FALSE)*HLOOKUP(REG_TRA_DEMANDS!$F38,DEMANDS!$H$2:$CO$25,MATCH($E38,DEMANDS!$F$2:$F$25,0),FALSE)/HLOOKUP(2018,DEMANDS!$H$2:$CO$25,MATCH($E38,DEMANDS!$F$2:$F$25,0),FALSE)</f>
        <v>0</v>
      </c>
      <c r="N38" s="13">
        <f>HLOOKUP(REG_TRA_DEMANDS!N$3,'BY-Demands'!$J$5:$AK$14,MATCH($E38,'BY-Demands'!$I$5:$I$14,0),FALSE)*HLOOKUP(REG_TRA_DEMANDS!$F38,DEMANDS!$H$2:$CO$25,MATCH($E38,DEMANDS!$F$2:$F$25,0),FALSE)/HLOOKUP(2018,DEMANDS!$H$2:$CO$25,MATCH($E38,DEMANDS!$F$2:$F$25,0),FALSE)</f>
        <v>0</v>
      </c>
      <c r="O38" s="13">
        <f>HLOOKUP(REG_TRA_DEMANDS!O$3,'BY-Demands'!$J$5:$AK$14,MATCH($E38,'BY-Demands'!$I$5:$I$14,0),FALSE)*HLOOKUP(REG_TRA_DEMANDS!$F38,DEMANDS!$H$2:$CO$25,MATCH($E38,DEMANDS!$F$2:$F$25,0),FALSE)/HLOOKUP(2018,DEMANDS!$H$2:$CO$25,MATCH($E38,DEMANDS!$F$2:$F$25,0),FALSE)</f>
        <v>0</v>
      </c>
      <c r="P38" s="13">
        <f>HLOOKUP(REG_TRA_DEMANDS!P$3,'BY-Demands'!$J$5:$AK$14,MATCH($E38,'BY-Demands'!$I$5:$I$14,0),FALSE)*HLOOKUP(REG_TRA_DEMANDS!$F38,DEMANDS!$H$2:$CO$25,MATCH($E38,DEMANDS!$F$2:$F$25,0),FALSE)/HLOOKUP(2018,DEMANDS!$H$2:$CO$25,MATCH($E38,DEMANDS!$F$2:$F$25,0),FALSE)</f>
        <v>0</v>
      </c>
      <c r="Q38" s="13">
        <f>HLOOKUP(REG_TRA_DEMANDS!Q$3,'BY-Demands'!$J$5:$AK$14,MATCH($E38,'BY-Demands'!$I$5:$I$14,0),FALSE)*HLOOKUP(REG_TRA_DEMANDS!$F38,DEMANDS!$H$2:$CO$25,MATCH($E38,DEMANDS!$F$2:$F$25,0),FALSE)/HLOOKUP(2018,DEMANDS!$H$2:$CO$25,MATCH($E38,DEMANDS!$F$2:$F$25,0),FALSE)</f>
        <v>0</v>
      </c>
      <c r="R38" s="13">
        <f>HLOOKUP(REG_TRA_DEMANDS!R$3,'BY-Demands'!$J$5:$AK$14,MATCH($E38,'BY-Demands'!$I$5:$I$14,0),FALSE)*HLOOKUP(REG_TRA_DEMANDS!$F38,DEMANDS!$H$2:$CO$25,MATCH($E38,DEMANDS!$F$2:$F$25,0),FALSE)/HLOOKUP(2018,DEMANDS!$H$2:$CO$25,MATCH($E38,DEMANDS!$F$2:$F$25,0),FALSE)</f>
        <v>0</v>
      </c>
      <c r="S38" s="13">
        <f>HLOOKUP(REG_TRA_DEMANDS!S$3,'BY-Demands'!$J$5:$AK$14,MATCH($E38,'BY-Demands'!$I$5:$I$14,0),FALSE)*HLOOKUP(REG_TRA_DEMANDS!$F38,DEMANDS!$H$2:$CO$25,MATCH($E38,DEMANDS!$F$2:$F$25,0),FALSE)/HLOOKUP(2018,DEMANDS!$H$2:$CO$25,MATCH($E38,DEMANDS!$F$2:$F$25,0),FALSE)</f>
        <v>0</v>
      </c>
      <c r="T38" s="13">
        <f>HLOOKUP(REG_TRA_DEMANDS!T$3,'BY-Demands'!$J$5:$AK$14,MATCH($E38,'BY-Demands'!$I$5:$I$14,0),FALSE)*HLOOKUP(REG_TRA_DEMANDS!$F38,DEMANDS!$H$2:$CO$25,MATCH($E38,DEMANDS!$F$2:$F$25,0),FALSE)/HLOOKUP(2018,DEMANDS!$H$2:$CO$25,MATCH($E38,DEMANDS!$F$2:$F$25,0),FALSE)</f>
        <v>0</v>
      </c>
      <c r="U38" s="13">
        <f>HLOOKUP(REG_TRA_DEMANDS!U$3,'BY-Demands'!$J$5:$AK$14,MATCH($E38,'BY-Demands'!$I$5:$I$14,0),FALSE)*HLOOKUP(REG_TRA_DEMANDS!$F38,DEMANDS!$H$2:$CO$25,MATCH($E38,DEMANDS!$F$2:$F$25,0),FALSE)/HLOOKUP(2018,DEMANDS!$H$2:$CO$25,MATCH($E38,DEMANDS!$F$2:$F$25,0),FALSE)</f>
        <v>0</v>
      </c>
      <c r="V38" s="13">
        <f>HLOOKUP(REG_TRA_DEMANDS!V$3,'BY-Demands'!$J$5:$AK$14,MATCH($E38,'BY-Demands'!$I$5:$I$14,0),FALSE)*HLOOKUP(REG_TRA_DEMANDS!$F38,DEMANDS!$H$2:$CO$25,MATCH($E38,DEMANDS!$F$2:$F$25,0),FALSE)/HLOOKUP(2018,DEMANDS!$H$2:$CO$25,MATCH($E38,DEMANDS!$F$2:$F$25,0),FALSE)</f>
        <v>0</v>
      </c>
      <c r="W38" s="13">
        <f>HLOOKUP(REG_TRA_DEMANDS!W$3,'BY-Demands'!$J$5:$AK$14,MATCH($E38,'BY-Demands'!$I$5:$I$14,0),FALSE)*HLOOKUP(REG_TRA_DEMANDS!$F38,DEMANDS!$H$2:$CO$25,MATCH($E38,DEMANDS!$F$2:$F$25,0),FALSE)/HLOOKUP(2018,DEMANDS!$H$2:$CO$25,MATCH($E38,DEMANDS!$F$2:$F$25,0),FALSE)</f>
        <v>0</v>
      </c>
      <c r="X38" s="13">
        <f>HLOOKUP(REG_TRA_DEMANDS!X$3,'BY-Demands'!$J$5:$AK$14,MATCH($E38,'BY-Demands'!$I$5:$I$14,0),FALSE)*HLOOKUP(REG_TRA_DEMANDS!$F38,DEMANDS!$H$2:$CO$25,MATCH($E38,DEMANDS!$F$2:$F$25,0),FALSE)/HLOOKUP(2018,DEMANDS!$H$2:$CO$25,MATCH($E38,DEMANDS!$F$2:$F$25,0),FALSE)</f>
        <v>0</v>
      </c>
      <c r="Y38" s="13">
        <f>HLOOKUP(REG_TRA_DEMANDS!Y$3,'BY-Demands'!$J$5:$AK$14,MATCH($E38,'BY-Demands'!$I$5:$I$14,0),FALSE)*HLOOKUP(REG_TRA_DEMANDS!$F38,DEMANDS!$H$2:$CO$25,MATCH($E38,DEMANDS!$F$2:$F$25,0),FALSE)/HLOOKUP(2018,DEMANDS!$H$2:$CO$25,MATCH($E38,DEMANDS!$F$2:$F$25,0),FALSE)</f>
        <v>0</v>
      </c>
      <c r="Z38" s="13">
        <f>HLOOKUP(REG_TRA_DEMANDS!Z$3,'BY-Demands'!$J$5:$AK$14,MATCH($E38,'BY-Demands'!$I$5:$I$14,0),FALSE)*HLOOKUP(REG_TRA_DEMANDS!$F38,DEMANDS!$H$2:$CO$25,MATCH($E38,DEMANDS!$F$2:$F$25,0),FALSE)/HLOOKUP(2018,DEMANDS!$H$2:$CO$25,MATCH($E38,DEMANDS!$F$2:$F$25,0),FALSE)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A38" s="13">
        <f>HLOOKUP(REG_TRA_DEMANDS!AA$3,'BY-Demands'!$J$5:$AK$14,MATCH($E38,'BY-Demands'!$I$5:$I$14,0),FALSE)*HLOOKUP(REG_TRA_DEMANDS!$F38,DEMANDS!$H$2:$CO$25,MATCH($E38,DEMANDS!$F$2:$F$25,0),FALSE)/HLOOKUP(2018,DEMANDS!$H$2:$CO$25,MATCH($E38,DEMANDS!$F$2:$F$25,0),FALSE)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B38" s="13">
        <f>HLOOKUP(REG_TRA_DEMANDS!AB$3,'BY-Demands'!$J$5:$AK$14,MATCH($E38,'BY-Demands'!$I$5:$I$14,0),FALSE)*HLOOKUP(REG_TRA_DEMANDS!$F38,DEMANDS!$H$2:$CO$25,MATCH($E38,DEMANDS!$F$2:$F$25,0),FALSE)/HLOOKUP(2018,DEMANDS!$H$2:$CO$25,MATCH($E38,DEMANDS!$F$2:$F$25,0),FALSE)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C38" s="13">
        <f>HLOOKUP(REG_TRA_DEMANDS!AC$3,'BY-Demands'!$J$5:$AK$14,MATCH($E38,'BY-Demands'!$I$5:$I$14,0),FALSE)*HLOOKUP(REG_TRA_DEMANDS!$F38,DEMANDS!$H$2:$CO$25,MATCH($E38,DEMANDS!$F$2:$F$25,0),FALSE)/HLOOKUP(2018,DEMANDS!$H$2:$CO$25,MATCH($E38,DEMANDS!$F$2:$F$25,0),FALSE)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D38" s="13">
        <f>HLOOKUP(REG_TRA_DEMANDS!AD$3,'BY-Demands'!$J$5:$AK$14,MATCH($E38,'BY-Demands'!$I$5:$I$14,0),FALSE)*HLOOKUP(REG_TRA_DEMANDS!$F38,DEMANDS!$H$2:$CO$25,MATCH($E38,DEMANDS!$F$2:$F$25,0),FALSE)/HLOOKUP(2018,DEMANDS!$H$2:$CO$25,MATCH($E38,DEMANDS!$F$2:$F$25,0),FALSE)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E38" s="13">
        <f>HLOOKUP(REG_TRA_DEMANDS!AE$3,'BY-Demands'!$J$5:$AK$14,MATCH($E38,'BY-Demands'!$I$5:$I$14,0),FALSE)*HLOOKUP(REG_TRA_DEMANDS!$F38,DEMANDS!$H$2:$CO$25,MATCH($E38,DEMANDS!$F$2:$F$25,0),FALSE)/HLOOKUP(2018,DEMANDS!$H$2:$CO$25,MATCH($E38,DEMANDS!$F$2:$F$25,0),FALSE)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F38" s="13">
        <f>HLOOKUP(REG_TRA_DEMANDS!AF$3,'BY-Demands'!$J$5:$AK$14,MATCH($E38,'BY-Demands'!$I$5:$I$14,0),FALSE)*HLOOKUP(REG_TRA_DEMANDS!$F38,DEMANDS!$H$2:$CO$25,MATCH($E38,DEMANDS!$F$2:$F$25,0),FALSE)/HLOOKUP(2018,DEMANDS!$H$2:$CO$25,MATCH($E38,DEMANDS!$F$2:$F$25,0),FALSE)</f>
        <v>0</v>
      </c>
    </row>
    <row r="39" spans="4:32" ht="12.75">
      <c r="D39" s="3" t="s">
        <v>59</v>
      </c>
      <c r="E39" s="3" t="str">
        <f>DEMANDS!$F$25</f>
        <v>TAVIINT</v>
      </c>
      <c r="F39" s="3">
        <v>2050</v>
      </c>
      <c r="G39" s="13">
        <f>HLOOKUP(REG_TRA_DEMANDS!G$3,'BY-Demands'!$J$5:$AK$14,MATCH($E39,'BY-Demands'!$I$5:$I$14,0),FALSE)*HLOOKUP(REG_TRA_DEMANDS!$F39,DEMANDS!$H$2:$CO$25,MATCH($E39,DEMANDS!$F$2:$F$25,0),FALSE)/HLOOKUP(2018,DEMANDS!$H$2:$CO$25,MATCH($E39,DEMANDS!$F$2:$F$25,0),FALSE)</f>
        <v>0</v>
      </c>
      <c r="H39" s="13">
        <f>HLOOKUP(REG_TRA_DEMANDS!H$3,'BY-Demands'!$J$5:$AK$14,MATCH($E39,'BY-Demands'!$I$5:$I$14,0),FALSE)*HLOOKUP(REG_TRA_DEMANDS!$F39,DEMANDS!$H$2:$CO$25,MATCH($E39,DEMANDS!$F$2:$F$25,0),FALSE)/HLOOKUP(2018,DEMANDS!$H$2:$CO$25,MATCH($E39,DEMANDS!$F$2:$F$25,0),FALSE)</f>
        <v>40.4401628128524</v>
      </c>
      <c r="I39" s="13">
        <f>HLOOKUP(REG_TRA_DEMANDS!I$3,'BY-Demands'!$J$5:$AK$14,MATCH($E39,'BY-Demands'!$I$5:$I$14,0),FALSE)*HLOOKUP(REG_TRA_DEMANDS!$F39,DEMANDS!$H$2:$CO$25,MATCH($E39,DEMANDS!$F$2:$F$25,0),FALSE)/HLOOKUP(2018,DEMANDS!$H$2:$CO$25,MATCH($E39,DEMANDS!$F$2:$F$25,0),FALSE)</f>
        <v>0</v>
      </c>
      <c r="J39" s="13">
        <f>HLOOKUP(REG_TRA_DEMANDS!J$3,'BY-Demands'!$J$5:$AK$14,MATCH($E39,'BY-Demands'!$I$5:$I$14,0),FALSE)*HLOOKUP(REG_TRA_DEMANDS!$F39,DEMANDS!$H$2:$CO$25,MATCH($E39,DEMANDS!$F$2:$F$25,0),FALSE)/HLOOKUP(2018,DEMANDS!$H$2:$CO$25,MATCH($E39,DEMANDS!$F$2:$F$25,0),FALSE)</f>
        <v>0</v>
      </c>
      <c r="K39" s="13">
        <f>HLOOKUP(REG_TRA_DEMANDS!K$3,'BY-Demands'!$J$5:$AK$14,MATCH($E39,'BY-Demands'!$I$5:$I$14,0),FALSE)*HLOOKUP(REG_TRA_DEMANDS!$F39,DEMANDS!$H$2:$CO$25,MATCH($E39,DEMANDS!$F$2:$F$25,0),FALSE)/HLOOKUP(2018,DEMANDS!$H$2:$CO$25,MATCH($E39,DEMANDS!$F$2:$F$25,0),FALSE)</f>
        <v>0</v>
      </c>
      <c r="L39" s="13">
        <f>HLOOKUP(REG_TRA_DEMANDS!L$3,'BY-Demands'!$J$5:$AK$14,MATCH($E39,'BY-Demands'!$I$5:$I$14,0),FALSE)*HLOOKUP(REG_TRA_DEMANDS!$F39,DEMANDS!$H$2:$CO$25,MATCH($E39,DEMANDS!$F$2:$F$25,0),FALSE)/HLOOKUP(2018,DEMANDS!$H$2:$CO$25,MATCH($E39,DEMANDS!$F$2:$F$25,0),FALSE)</f>
        <v>0</v>
      </c>
      <c r="M39" s="13">
        <f>HLOOKUP(REG_TRA_DEMANDS!M$3,'BY-Demands'!$J$5:$AK$14,MATCH($E39,'BY-Demands'!$I$5:$I$14,0),FALSE)*HLOOKUP(REG_TRA_DEMANDS!$F39,DEMANDS!$H$2:$CO$25,MATCH($E39,DEMANDS!$F$2:$F$25,0),FALSE)/HLOOKUP(2018,DEMANDS!$H$2:$CO$25,MATCH($E39,DEMANDS!$F$2:$F$25,0),FALSE)</f>
        <v>0</v>
      </c>
      <c r="N39" s="13">
        <f>HLOOKUP(REG_TRA_DEMANDS!N$3,'BY-Demands'!$J$5:$AK$14,MATCH($E39,'BY-Demands'!$I$5:$I$14,0),FALSE)*HLOOKUP(REG_TRA_DEMANDS!$F39,DEMANDS!$H$2:$CO$25,MATCH($E39,DEMANDS!$F$2:$F$25,0),FALSE)/HLOOKUP(2018,DEMANDS!$H$2:$CO$25,MATCH($E39,DEMANDS!$F$2:$F$25,0),FALSE)</f>
        <v>0</v>
      </c>
      <c r="O39" s="13">
        <f>HLOOKUP(REG_TRA_DEMANDS!O$3,'BY-Demands'!$J$5:$AK$14,MATCH($E39,'BY-Demands'!$I$5:$I$14,0),FALSE)*HLOOKUP(REG_TRA_DEMANDS!$F39,DEMANDS!$H$2:$CO$25,MATCH($E39,DEMANDS!$F$2:$F$25,0),FALSE)/HLOOKUP(2018,DEMANDS!$H$2:$CO$25,MATCH($E39,DEMANDS!$F$2:$F$25,0),FALSE)</f>
        <v>0</v>
      </c>
      <c r="P39" s="13">
        <f>HLOOKUP(REG_TRA_DEMANDS!P$3,'BY-Demands'!$J$5:$AK$14,MATCH($E39,'BY-Demands'!$I$5:$I$14,0),FALSE)*HLOOKUP(REG_TRA_DEMANDS!$F39,DEMANDS!$H$2:$CO$25,MATCH($E39,DEMANDS!$F$2:$F$25,0),FALSE)/HLOOKUP(2018,DEMANDS!$H$2:$CO$25,MATCH($E39,DEMANDS!$F$2:$F$25,0),FALSE)</f>
        <v>0</v>
      </c>
      <c r="Q39" s="13">
        <f>HLOOKUP(REG_TRA_DEMANDS!Q$3,'BY-Demands'!$J$5:$AK$14,MATCH($E39,'BY-Demands'!$I$5:$I$14,0),FALSE)*HLOOKUP(REG_TRA_DEMANDS!$F39,DEMANDS!$H$2:$CO$25,MATCH($E39,DEMANDS!$F$2:$F$25,0),FALSE)/HLOOKUP(2018,DEMANDS!$H$2:$CO$25,MATCH($E39,DEMANDS!$F$2:$F$25,0),FALSE)</f>
        <v>0</v>
      </c>
      <c r="R39" s="13">
        <f>HLOOKUP(REG_TRA_DEMANDS!R$3,'BY-Demands'!$J$5:$AK$14,MATCH($E39,'BY-Demands'!$I$5:$I$14,0),FALSE)*HLOOKUP(REG_TRA_DEMANDS!$F39,DEMANDS!$H$2:$CO$25,MATCH($E39,DEMANDS!$F$2:$F$25,0),FALSE)/HLOOKUP(2018,DEMANDS!$H$2:$CO$25,MATCH($E39,DEMANDS!$F$2:$F$25,0),FALSE)</f>
        <v>0</v>
      </c>
      <c r="S39" s="13">
        <f>HLOOKUP(REG_TRA_DEMANDS!S$3,'BY-Demands'!$J$5:$AK$14,MATCH($E39,'BY-Demands'!$I$5:$I$14,0),FALSE)*HLOOKUP(REG_TRA_DEMANDS!$F39,DEMANDS!$H$2:$CO$25,MATCH($E39,DEMANDS!$F$2:$F$25,0),FALSE)/HLOOKUP(2018,DEMANDS!$H$2:$CO$25,MATCH($E39,DEMANDS!$F$2:$F$25,0),FALSE)</f>
        <v>2.39450762427477</v>
      </c>
      <c r="T39" s="13">
        <f>HLOOKUP(REG_TRA_DEMANDS!T$3,'BY-Demands'!$J$5:$AK$14,MATCH($E39,'BY-Demands'!$I$5:$I$14,0),FALSE)*HLOOKUP(REG_TRA_DEMANDS!$F39,DEMANDS!$H$2:$CO$25,MATCH($E39,DEMANDS!$F$2:$F$25,0),FALSE)/HLOOKUP(2018,DEMANDS!$H$2:$CO$25,MATCH($E39,DEMANDS!$F$2:$F$25,0),FALSE)</f>
        <v>2.2140070109418901</v>
      </c>
      <c r="U39" s="13">
        <f>HLOOKUP(REG_TRA_DEMANDS!U$3,'BY-Demands'!$J$5:$AK$14,MATCH($E39,'BY-Demands'!$I$5:$I$14,0),FALSE)*HLOOKUP(REG_TRA_DEMANDS!$F39,DEMANDS!$H$2:$CO$25,MATCH($E39,DEMANDS!$F$2:$F$25,0),FALSE)/HLOOKUP(2018,DEMANDS!$H$2:$CO$25,MATCH($E39,DEMANDS!$F$2:$F$25,0),FALSE)</f>
        <v>0.24127325087308299</v>
      </c>
      <c r="V39" s="13">
        <f>HLOOKUP(REG_TRA_DEMANDS!V$3,'BY-Demands'!$J$5:$AK$14,MATCH($E39,'BY-Demands'!$I$5:$I$14,0),FALSE)*HLOOKUP(REG_TRA_DEMANDS!$F39,DEMANDS!$H$2:$CO$25,MATCH($E39,DEMANDS!$F$2:$F$25,0),FALSE)/HLOOKUP(2018,DEMANDS!$H$2:$CO$25,MATCH($E39,DEMANDS!$F$2:$F$25,0),FALSE)</f>
        <v>0</v>
      </c>
      <c r="W39" s="13">
        <f>HLOOKUP(REG_TRA_DEMANDS!W$3,'BY-Demands'!$J$5:$AK$14,MATCH($E39,'BY-Demands'!$I$5:$I$14,0),FALSE)*HLOOKUP(REG_TRA_DEMANDS!$F39,DEMANDS!$H$2:$CO$25,MATCH($E39,DEMANDS!$F$2:$F$25,0),FALSE)/HLOOKUP(2018,DEMANDS!$H$2:$CO$25,MATCH($E39,DEMANDS!$F$2:$F$25,0),FALSE)</f>
        <v>0</v>
      </c>
      <c r="X39" s="13">
        <f>HLOOKUP(REG_TRA_DEMANDS!X$3,'BY-Demands'!$J$5:$AK$14,MATCH($E39,'BY-Demands'!$I$5:$I$14,0),FALSE)*HLOOKUP(REG_TRA_DEMANDS!$F39,DEMANDS!$H$2:$CO$25,MATCH($E39,DEMANDS!$F$2:$F$25,0),FALSE)/HLOOKUP(2018,DEMANDS!$H$2:$CO$25,MATCH($E39,DEMANDS!$F$2:$F$25,0),FALSE)</f>
        <v>0</v>
      </c>
      <c r="Y39" s="13">
        <f>HLOOKUP(REG_TRA_DEMANDS!Y$3,'BY-Demands'!$J$5:$AK$14,MATCH($E39,'BY-Demands'!$I$5:$I$14,0),FALSE)*HLOOKUP(REG_TRA_DEMANDS!$F39,DEMANDS!$H$2:$CO$25,MATCH($E39,DEMANDS!$F$2:$F$25,0),FALSE)/HLOOKUP(2018,DEMANDS!$H$2:$CO$25,MATCH($E39,DEMANDS!$F$2:$F$25,0),FALSE)</f>
        <v>0</v>
      </c>
      <c r="Z39" s="13">
        <f>HLOOKUP(REG_TRA_DEMANDS!Z$3,'BY-Demands'!$J$5:$AK$14,MATCH($E39,'BY-Demands'!$I$5:$I$14,0),FALSE)*HLOOKUP(REG_TRA_DEMANDS!$F39,DEMANDS!$H$2:$CO$25,MATCH($E39,DEMANDS!$F$2:$F$25,0),FALSE)/HLOOKUP(2018,DEMANDS!$H$2:$CO$25,MATCH($E39,DEMANDS!$F$2:$F$25,0),FALSE)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A39" s="13">
        <f>HLOOKUP(REG_TRA_DEMANDS!AA$3,'BY-Demands'!$J$5:$AK$14,MATCH($E39,'BY-Demands'!$I$5:$I$14,0),FALSE)*HLOOKUP(REG_TRA_DEMANDS!$F39,DEMANDS!$H$2:$CO$25,MATCH($E39,DEMANDS!$F$2:$F$25,0),FALSE)/HLOOKUP(2018,DEMANDS!$H$2:$CO$25,MATCH($E39,DEMANDS!$F$2:$F$25,0),FALSE)</f>
        <v>0.68881548910784596</v>
      </c>
      <c r="AB39" s="13">
        <f>HLOOKUP(REG_TRA_DEMANDS!AB$3,'BY-Demands'!$J$5:$AK$14,MATCH($E39,'BY-Demands'!$I$5:$I$14,0),FALSE)*HLOOKUP(REG_TRA_DEMANDS!$F39,DEMANDS!$H$2:$CO$25,MATCH($E39,DEMANDS!$F$2:$F$25,0),FALSE)/HLOOKUP(2018,DEMANDS!$H$2:$CO$25,MATCH($E39,DEMANDS!$F$2:$F$25,0),FALSE)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C39" s="13">
        <f>HLOOKUP(REG_TRA_DEMANDS!AC$3,'BY-Demands'!$J$5:$AK$14,MATCH($E39,'BY-Demands'!$I$5:$I$14,0),FALSE)*HLOOKUP(REG_TRA_DEMANDS!$F39,DEMANDS!$H$2:$CO$25,MATCH($E39,DEMANDS!$F$2:$F$25,0),FALSE)/HLOOKUP(2018,DEMANDS!$H$2:$CO$25,MATCH($E39,DEMANDS!$F$2:$F$25,0),FALSE)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D39" s="13">
        <f>HLOOKUP(REG_TRA_DEMANDS!AD$3,'BY-Demands'!$J$5:$AK$14,MATCH($E39,'BY-Demands'!$I$5:$I$14,0),FALSE)*HLOOKUP(REG_TRA_DEMANDS!$F39,DEMANDS!$H$2:$CO$25,MATCH($E39,DEMANDS!$F$2:$F$25,0),FALSE)/HLOOKUP(2018,DEMANDS!$H$2:$CO$25,MATCH($E39,DEMANDS!$F$2:$F$25,0),FALSE)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E39" s="13">
        <f>HLOOKUP(REG_TRA_DEMANDS!AE$3,'BY-Demands'!$J$5:$AK$14,MATCH($E39,'BY-Demands'!$I$5:$I$14,0),FALSE)*HLOOKUP(REG_TRA_DEMANDS!$F39,DEMANDS!$H$2:$CO$25,MATCH($E39,DEMANDS!$F$2:$F$25,0),FALSE)/HLOOKUP(2018,DEMANDS!$H$2:$CO$25,MATCH($E39,DEMANDS!$F$2:$F$25,0),FALSE)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F39" s="13">
        <f>HLOOKUP(REG_TRA_DEMANDS!AF$3,'BY-Demands'!$J$5:$AK$14,MATCH($E39,'BY-Demands'!$I$5:$I$14,0),FALSE)*HLOOKUP(REG_TRA_DEMANDS!$F39,DEMANDS!$H$2:$CO$25,MATCH($E39,DEMANDS!$F$2:$F$25,0),FALSE)/HLOOKUP(2018,DEMANDS!$H$2:$CO$25,MATCH($E39,DEMANDS!$F$2:$F$25,0),FALSE)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EEFD70-8C3B-4A33-8837-D811323F48D5}">
  <dimension ref="A3:AD37"/>
  <sheetViews>
    <sheetView workbookViewId="0" topLeftCell="A1">
      <selection pane="topLeft" activeCell="G14" sqref="G14"/>
    </sheetView>
  </sheetViews>
  <sheetFormatPr defaultColWidth="9.14428571428571" defaultRowHeight="12.75"/>
  <cols>
    <col min="1" max="1" width="12.1428571428571" style="3" customWidth="1"/>
    <col min="2" max="2" width="11.5714285714286" style="3" customWidth="1"/>
    <col min="3" max="3" width="3.14285714285714" style="3" bestFit="1" customWidth="1"/>
    <col min="4" max="4" width="8.57142857142857" style="3" bestFit="1" customWidth="1"/>
    <col min="5" max="5" width="6.42857142857143" style="3" bestFit="1" customWidth="1"/>
    <col min="6" max="6" width="4.85714285714286" style="3" bestFit="1" customWidth="1"/>
    <col min="7" max="7" width="5.57142857142857" style="3" bestFit="1" customWidth="1"/>
    <col min="8" max="8" width="5.85714285714286" style="3" bestFit="1" customWidth="1"/>
    <col min="9" max="9" width="5.42857142857143" style="3" bestFit="1" customWidth="1"/>
    <col min="10" max="11" width="5.57142857142857" style="3" bestFit="1" customWidth="1"/>
    <col min="12" max="12" width="6.57142857142857" style="3" bestFit="1" customWidth="1"/>
    <col min="13" max="13" width="6.14285714285714" style="3" bestFit="1" customWidth="1"/>
    <col min="14" max="15" width="6.57142857142857" style="3" bestFit="1" customWidth="1"/>
    <col min="16" max="16" width="7.42857142857143" style="3" bestFit="1" customWidth="1"/>
    <col min="17" max="17" width="5.57142857142857" style="3" bestFit="1" customWidth="1"/>
    <col min="18" max="18" width="6.14285714285714" style="3" bestFit="1" customWidth="1"/>
    <col min="19" max="20" width="5.57142857142857" style="3" bestFit="1" customWidth="1"/>
    <col min="21" max="21" width="5.85714285714286" style="3" bestFit="1" customWidth="1"/>
    <col min="22" max="22" width="6.57142857142857" style="3" bestFit="1" customWidth="1"/>
    <col min="23" max="23" width="4.85714285714286" style="3" bestFit="1" customWidth="1"/>
    <col min="24" max="24" width="7.57142857142857" style="3" customWidth="1"/>
    <col min="25" max="25" width="6.57142857142857" style="3" bestFit="1" customWidth="1"/>
    <col min="26" max="26" width="6.14285714285714" style="3" bestFit="1" customWidth="1"/>
    <col min="27" max="28" width="6" style="3" bestFit="1" customWidth="1"/>
    <col min="29" max="29" width="5.57142857142857" style="3" bestFit="1" customWidth="1"/>
    <col min="30" max="30" width="6.57142857142857" style="3" bestFit="1" customWidth="1"/>
    <col min="31" max="16384" width="9.14285714285714" style="3"/>
  </cols>
  <sheetData>
    <row r="3" spans="3:30" ht="15">
      <c r="C3" s="18" t="str">
        <f t="array" ref="C3">INDEX(C5:C7,$A$4)</f>
        <v>IE</v>
      </c>
      <c r="D3" s="18" t="str">
        <f t="array" ref="D3">INDEX(D5:D7,$A$4)</f>
        <v>National</v>
      </c>
      <c r="E3" s="18" t="str">
        <f t="array" ref="E3">INDEX(E5:E7,$A$4)</f>
        <v>IE-CW</v>
      </c>
      <c r="F3" s="18" t="str">
        <f t="array" ref="F3">INDEX(F5:F7,$A$4)</f>
        <v>IE-D</v>
      </c>
      <c r="G3" s="18" t="str">
        <f t="array" ref="G3">INDEX(G5:G7,$A$4)</f>
        <v>IE-KE</v>
      </c>
      <c r="H3" s="18" t="str">
        <f t="array" ref="H3">INDEX(H5:H7,$A$4)</f>
        <v>IE-KK</v>
      </c>
      <c r="I3" s="18" t="str">
        <f t="array" ref="I3">INDEX(I5:I7,$A$4)</f>
        <v>IE-LS</v>
      </c>
      <c r="J3" s="18" t="str">
        <f t="array" ref="J3">INDEX(J5:J7,$A$4)</f>
        <v>IE-LD</v>
      </c>
      <c r="K3" s="18" t="str">
        <f t="array" ref="K3">INDEX(K5:K7,$A$4)</f>
        <v>IE-LH</v>
      </c>
      <c r="L3" s="18" t="str">
        <f t="array" ref="L3">INDEX(L5:L7,$A$4)</f>
        <v>IE-MH</v>
      </c>
      <c r="M3" s="18" t="str">
        <f t="array" ref="M3">INDEX(M5:M7,$A$4)</f>
        <v>IE-OY</v>
      </c>
      <c r="N3" s="18" t="str">
        <f t="array" ref="N3">INDEX(N5:N7,$A$4)</f>
        <v>IE-WH</v>
      </c>
      <c r="O3" s="18" t="str">
        <f t="array" ref="O3">INDEX(O5:O7,$A$4)</f>
        <v>IE-WX</v>
      </c>
      <c r="P3" s="18" t="str">
        <f t="array" ref="P3">INDEX(P5:P7,$A$4)</f>
        <v>IE-WW</v>
      </c>
      <c r="Q3" s="18" t="str">
        <f t="array" ref="Q3">INDEX(Q5:Q7,$A$4)</f>
        <v>IE-CE</v>
      </c>
      <c r="R3" s="18" t="str">
        <f t="array" ref="R3">INDEX(R5:R7,$A$4)</f>
        <v>IE-CO</v>
      </c>
      <c r="S3" s="18" t="str">
        <f t="array" ref="S3">INDEX(S5:S7,$A$4)</f>
        <v>IE-KY</v>
      </c>
      <c r="T3" s="18" t="str">
        <f t="array" ref="T3">INDEX(T5:T7,$A$4)</f>
        <v>IE-LK</v>
      </c>
      <c r="U3" s="18" t="str">
        <f t="array" ref="U3">INDEX(U5:U7,$A$4)</f>
        <v>IE-TA</v>
      </c>
      <c r="V3" s="18" t="str">
        <f t="array" ref="V3">INDEX(V5:V7,$A$4)</f>
        <v>IE-WD</v>
      </c>
      <c r="W3" s="18" t="str">
        <f t="array" ref="W3">INDEX(W5:W7,$A$4)</f>
        <v>IE-G</v>
      </c>
      <c r="X3" s="18" t="str">
        <f t="array" ref="X3">INDEX(X5:X7,$A$4)</f>
        <v>IE-LM</v>
      </c>
      <c r="Y3" s="18" t="str">
        <f t="array" ref="Y3">INDEX(Y5:Y7,$A$4)</f>
        <v>IE-MO</v>
      </c>
      <c r="Z3" s="18" t="str">
        <f t="array" ref="Z3">INDEX(Z5:Z7,$A$4)</f>
        <v>IE-RN</v>
      </c>
      <c r="AA3" s="18" t="str">
        <f t="array" ref="AA3">INDEX(AA5:AA7,$A$4)</f>
        <v>IE-SO</v>
      </c>
      <c r="AB3" s="18" t="str">
        <f t="array" ref="AB3">INDEX(AB5:AB7,$A$4)</f>
        <v>IE-CN</v>
      </c>
      <c r="AC3" s="18" t="str">
        <f t="array" ref="AC3">INDEX(AC5:AC7,$A$4)</f>
        <v>IE-DL</v>
      </c>
      <c r="AD3" s="18" t="str">
        <f t="array" ref="AD3">INDEX(AD5:AD7,$A$4)</f>
        <v>IE-MN</v>
      </c>
    </row>
    <row r="4" spans="1:1" ht="12.75">
      <c r="A4" s="3">
        <v>1</v>
      </c>
    </row>
    <row r="5" spans="1:30" ht="15">
      <c r="A5" s="3" t="s">
        <v>133</v>
      </c>
      <c r="C5" s="19" t="s">
        <v>58</v>
      </c>
      <c r="D5" s="19" t="s">
        <v>60</v>
      </c>
      <c r="E5" s="18" t="str">
        <f>Regions!A11</f>
        <v>IE-CW</v>
      </c>
      <c r="F5" s="18" t="str">
        <f>Regions!A16</f>
        <v>IE-D</v>
      </c>
      <c r="G5" s="18" t="str">
        <f>Regions!A19</f>
        <v>IE-KE</v>
      </c>
      <c r="H5" s="18" t="str">
        <f>Regions!A20</f>
        <v>IE-KK</v>
      </c>
      <c r="I5" s="18" t="str">
        <f>Regions!A21</f>
        <v>IE-LS</v>
      </c>
      <c r="J5" s="18" t="str">
        <f>Regions!A24</f>
        <v>IE-LD</v>
      </c>
      <c r="K5" s="18" t="str">
        <f>Regions!A25</f>
        <v>IE-LH</v>
      </c>
      <c r="L5" s="18" t="str">
        <f>Regions!A27</f>
        <v>IE-MH</v>
      </c>
      <c r="M5" s="18" t="str">
        <f>Regions!A29</f>
        <v>IE-OY</v>
      </c>
      <c r="N5" s="18" t="str">
        <f>Regions!A34</f>
        <v>IE-WH</v>
      </c>
      <c r="O5" s="18" t="str">
        <f>Regions!A35</f>
        <v>IE-WX</v>
      </c>
      <c r="P5" s="18" t="str">
        <f>Regions!A36</f>
        <v>IE-WW</v>
      </c>
      <c r="Q5" s="18" t="str">
        <f>Regions!A13</f>
        <v>IE-CE</v>
      </c>
      <c r="R5" s="18" t="str">
        <f>Regions!A14</f>
        <v>IE-CO</v>
      </c>
      <c r="S5" s="18" t="str">
        <f>Regions!A18</f>
        <v>IE-KY</v>
      </c>
      <c r="T5" s="18" t="str">
        <f>Regions!A23</f>
        <v>IE-LK</v>
      </c>
      <c r="U5" s="18" t="str">
        <f>Regions!A32</f>
        <v>IE-TA</v>
      </c>
      <c r="V5" s="18" t="str">
        <f>Regions!A33</f>
        <v>IE-WD</v>
      </c>
      <c r="W5" s="18" t="str">
        <f>Regions!A17</f>
        <v>IE-G</v>
      </c>
      <c r="X5" s="18" t="str">
        <f>Regions!A22</f>
        <v>IE-LM</v>
      </c>
      <c r="Y5" s="18" t="str">
        <f>Regions!A26</f>
        <v>IE-MO</v>
      </c>
      <c r="Z5" s="18" t="str">
        <f>Regions!A30</f>
        <v>IE-RN</v>
      </c>
      <c r="AA5" s="18" t="str">
        <f>Regions!A31</f>
        <v>IE-SO</v>
      </c>
      <c r="AB5" s="18" t="str">
        <f>Regions!A12</f>
        <v>IE-CN</v>
      </c>
      <c r="AC5" s="18" t="str">
        <f>Regions!A15</f>
        <v>IE-DL</v>
      </c>
      <c r="AD5" s="18" t="str">
        <f>Regions!A28</f>
        <v>IE-MN</v>
      </c>
    </row>
    <row r="6" spans="1:30" ht="15">
      <c r="A6" s="3" t="s">
        <v>132</v>
      </c>
      <c r="C6" s="18" t="str">
        <f>C5</f>
        <v>IE</v>
      </c>
      <c r="D6" s="18" t="str">
        <f t="shared" si="0" ref="D6:AD6">"*"&amp;D5</f>
        <v>*National</v>
      </c>
      <c r="E6" s="18" t="str">
        <f t="shared" si="0"/>
        <v>*IE-CW</v>
      </c>
      <c r="F6" s="18" t="str">
        <f t="shared" si="0"/>
        <v>*IE-D</v>
      </c>
      <c r="G6" s="18" t="str">
        <f t="shared" si="0"/>
        <v>*IE-KE</v>
      </c>
      <c r="H6" s="18" t="str">
        <f t="shared" si="0"/>
        <v>*IE-KK</v>
      </c>
      <c r="I6" s="18" t="str">
        <f t="shared" si="0"/>
        <v>*IE-LS</v>
      </c>
      <c r="J6" s="18" t="str">
        <f t="shared" si="0"/>
        <v>*IE-LD</v>
      </c>
      <c r="K6" s="18" t="str">
        <f t="shared" si="0"/>
        <v>*IE-LH</v>
      </c>
      <c r="L6" s="18" t="str">
        <f t="shared" si="0"/>
        <v>*IE-MH</v>
      </c>
      <c r="M6" s="18" t="str">
        <f t="shared" si="0"/>
        <v>*IE-OY</v>
      </c>
      <c r="N6" s="18" t="str">
        <f t="shared" si="0"/>
        <v>*IE-WH</v>
      </c>
      <c r="O6" s="18" t="str">
        <f t="shared" si="0"/>
        <v>*IE-WX</v>
      </c>
      <c r="P6" s="18" t="str">
        <f t="shared" si="0"/>
        <v>*IE-WW</v>
      </c>
      <c r="Q6" s="18" t="str">
        <f t="shared" si="0"/>
        <v>*IE-CE</v>
      </c>
      <c r="R6" s="18" t="str">
        <f t="shared" si="0"/>
        <v>*IE-CO</v>
      </c>
      <c r="S6" s="18" t="str">
        <f t="shared" si="0"/>
        <v>*IE-KY</v>
      </c>
      <c r="T6" s="18" t="str">
        <f t="shared" si="0"/>
        <v>*IE-LK</v>
      </c>
      <c r="U6" s="18" t="str">
        <f t="shared" si="0"/>
        <v>*IE-TA</v>
      </c>
      <c r="V6" s="18" t="str">
        <f t="shared" si="0"/>
        <v>*IE-WD</v>
      </c>
      <c r="W6" s="18" t="str">
        <f t="shared" si="0"/>
        <v>*IE-G</v>
      </c>
      <c r="X6" s="18" t="str">
        <f t="shared" si="0"/>
        <v>*IE-LM</v>
      </c>
      <c r="Y6" s="18" t="str">
        <f t="shared" si="0"/>
        <v>*IE-MO</v>
      </c>
      <c r="Z6" s="18" t="str">
        <f t="shared" si="0"/>
        <v>*IE-RN</v>
      </c>
      <c r="AA6" s="18" t="str">
        <f t="shared" si="0"/>
        <v>*IE-SO</v>
      </c>
      <c r="AB6" s="18" t="str">
        <f t="shared" si="0"/>
        <v>*IE-CN</v>
      </c>
      <c r="AC6" s="18" t="str">
        <f t="shared" si="0"/>
        <v>*IE-DL</v>
      </c>
      <c r="AD6" s="18" t="str">
        <f t="shared" si="0"/>
        <v>*IE-MN</v>
      </c>
    </row>
    <row r="7" spans="1:30" ht="15">
      <c r="A7" s="3" t="s">
        <v>131</v>
      </c>
      <c r="C7" s="18" t="str">
        <f>"*"&amp;C5</f>
        <v>*IE</v>
      </c>
      <c r="D7" s="18" t="str">
        <f t="shared" si="1" ref="D7:AD7">D5</f>
        <v>National</v>
      </c>
      <c r="E7" s="18" t="str">
        <f t="shared" si="1"/>
        <v>IE-CW</v>
      </c>
      <c r="F7" s="18" t="str">
        <f t="shared" si="1"/>
        <v>IE-D</v>
      </c>
      <c r="G7" s="18" t="str">
        <f t="shared" si="1"/>
        <v>IE-KE</v>
      </c>
      <c r="H7" s="18" t="str">
        <f t="shared" si="1"/>
        <v>IE-KK</v>
      </c>
      <c r="I7" s="18" t="str">
        <f t="shared" si="1"/>
        <v>IE-LS</v>
      </c>
      <c r="J7" s="18" t="str">
        <f t="shared" si="1"/>
        <v>IE-LD</v>
      </c>
      <c r="K7" s="18" t="str">
        <f t="shared" si="1"/>
        <v>IE-LH</v>
      </c>
      <c r="L7" s="18" t="str">
        <f t="shared" si="1"/>
        <v>IE-MH</v>
      </c>
      <c r="M7" s="18" t="str">
        <f t="shared" si="1"/>
        <v>IE-OY</v>
      </c>
      <c r="N7" s="18" t="str">
        <f t="shared" si="1"/>
        <v>IE-WH</v>
      </c>
      <c r="O7" s="18" t="str">
        <f t="shared" si="1"/>
        <v>IE-WX</v>
      </c>
      <c r="P7" s="18" t="str">
        <f t="shared" si="1"/>
        <v>IE-WW</v>
      </c>
      <c r="Q7" s="18" t="str">
        <f t="shared" si="1"/>
        <v>IE-CE</v>
      </c>
      <c r="R7" s="18" t="str">
        <f t="shared" si="1"/>
        <v>IE-CO</v>
      </c>
      <c r="S7" s="18" t="str">
        <f t="shared" si="1"/>
        <v>IE-KY</v>
      </c>
      <c r="T7" s="18" t="str">
        <f t="shared" si="1"/>
        <v>IE-LK</v>
      </c>
      <c r="U7" s="18" t="str">
        <f t="shared" si="1"/>
        <v>IE-TA</v>
      </c>
      <c r="V7" s="18" t="str">
        <f t="shared" si="1"/>
        <v>IE-WD</v>
      </c>
      <c r="W7" s="18" t="str">
        <f t="shared" si="1"/>
        <v>IE-G</v>
      </c>
      <c r="X7" s="18" t="str">
        <f t="shared" si="1"/>
        <v>IE-LM</v>
      </c>
      <c r="Y7" s="18" t="str">
        <f t="shared" si="1"/>
        <v>IE-MO</v>
      </c>
      <c r="Z7" s="18" t="str">
        <f t="shared" si="1"/>
        <v>IE-RN</v>
      </c>
      <c r="AA7" s="18" t="str">
        <f t="shared" si="1"/>
        <v>IE-SO</v>
      </c>
      <c r="AB7" s="18" t="str">
        <f t="shared" si="1"/>
        <v>IE-CN</v>
      </c>
      <c r="AC7" s="18" t="str">
        <f t="shared" si="1"/>
        <v>IE-DL</v>
      </c>
      <c r="AD7" s="18" t="str">
        <f t="shared" si="1"/>
        <v>IE-MN</v>
      </c>
    </row>
    <row r="10" spans="1:2" ht="15.75" thickBot="1">
      <c r="A10" s="17" t="s">
        <v>130</v>
      </c>
      <c r="B10" s="17" t="s">
        <v>129</v>
      </c>
    </row>
    <row r="11" spans="1:2" ht="12.75">
      <c r="A11" s="16" t="s">
        <v>76</v>
      </c>
      <c r="B11" s="16" t="s">
        <v>128</v>
      </c>
    </row>
    <row r="12" spans="1:2" ht="12.75">
      <c r="A12" s="15" t="s">
        <v>99</v>
      </c>
      <c r="B12" s="15" t="s">
        <v>127</v>
      </c>
    </row>
    <row r="13" spans="1:2" ht="12.75">
      <c r="A13" s="15" t="s">
        <v>88</v>
      </c>
      <c r="B13" s="15" t="s">
        <v>126</v>
      </c>
    </row>
    <row r="14" spans="1:2" ht="12.75">
      <c r="A14" s="15" t="s">
        <v>89</v>
      </c>
      <c r="B14" s="15" t="s">
        <v>125</v>
      </c>
    </row>
    <row r="15" spans="1:2" ht="12.75">
      <c r="A15" s="15" t="s">
        <v>100</v>
      </c>
      <c r="B15" s="15" t="s">
        <v>124</v>
      </c>
    </row>
    <row r="16" spans="1:2" ht="12.75">
      <c r="A16" s="15" t="s">
        <v>77</v>
      </c>
      <c r="B16" s="15" t="s">
        <v>123</v>
      </c>
    </row>
    <row r="17" spans="1:2" ht="12.75">
      <c r="A17" s="15" t="s">
        <v>94</v>
      </c>
      <c r="B17" s="15" t="s">
        <v>122</v>
      </c>
    </row>
    <row r="18" spans="1:2" ht="12.75">
      <c r="A18" s="15" t="s">
        <v>90</v>
      </c>
      <c r="B18" s="15" t="s">
        <v>121</v>
      </c>
    </row>
    <row r="19" spans="1:2" ht="12.75">
      <c r="A19" s="15" t="s">
        <v>78</v>
      </c>
      <c r="B19" s="15" t="s">
        <v>120</v>
      </c>
    </row>
    <row r="20" spans="1:2" ht="12.75">
      <c r="A20" s="15" t="s">
        <v>79</v>
      </c>
      <c r="B20" s="15" t="s">
        <v>119</v>
      </c>
    </row>
    <row r="21" spans="1:2" ht="12.75">
      <c r="A21" s="15" t="s">
        <v>80</v>
      </c>
      <c r="B21" s="15" t="s">
        <v>118</v>
      </c>
    </row>
    <row r="22" spans="1:2" ht="12.75">
      <c r="A22" s="15" t="s">
        <v>95</v>
      </c>
      <c r="B22" s="15" t="s">
        <v>117</v>
      </c>
    </row>
    <row r="23" spans="1:2" ht="12.75">
      <c r="A23" s="15" t="s">
        <v>91</v>
      </c>
      <c r="B23" s="15" t="s">
        <v>116</v>
      </c>
    </row>
    <row r="24" spans="1:2" ht="12.75">
      <c r="A24" s="15" t="s">
        <v>81</v>
      </c>
      <c r="B24" s="15" t="s">
        <v>115</v>
      </c>
    </row>
    <row r="25" spans="1:2" ht="12.75">
      <c r="A25" s="15" t="s">
        <v>82</v>
      </c>
      <c r="B25" s="15" t="s">
        <v>114</v>
      </c>
    </row>
    <row r="26" spans="1:2" ht="12.75">
      <c r="A26" s="15" t="s">
        <v>96</v>
      </c>
      <c r="B26" s="15" t="s">
        <v>113</v>
      </c>
    </row>
    <row r="27" spans="1:2" ht="12.75">
      <c r="A27" s="15" t="s">
        <v>83</v>
      </c>
      <c r="B27" s="15" t="s">
        <v>112</v>
      </c>
    </row>
    <row r="28" spans="1:2" ht="12.75">
      <c r="A28" s="15" t="s">
        <v>101</v>
      </c>
      <c r="B28" s="15" t="s">
        <v>111</v>
      </c>
    </row>
    <row r="29" spans="1:2" ht="12.75">
      <c r="A29" s="15" t="s">
        <v>84</v>
      </c>
      <c r="B29" s="15" t="s">
        <v>110</v>
      </c>
    </row>
    <row r="30" spans="1:2" ht="12.75">
      <c r="A30" s="15" t="s">
        <v>97</v>
      </c>
      <c r="B30" s="15" t="s">
        <v>109</v>
      </c>
    </row>
    <row r="31" spans="1:2" ht="12.75">
      <c r="A31" s="15" t="s">
        <v>98</v>
      </c>
      <c r="B31" s="15" t="s">
        <v>108</v>
      </c>
    </row>
    <row r="32" spans="1:2" ht="12.75">
      <c r="A32" s="15" t="s">
        <v>92</v>
      </c>
      <c r="B32" s="15" t="s">
        <v>107</v>
      </c>
    </row>
    <row r="33" spans="1:2" ht="12.75">
      <c r="A33" s="15" t="s">
        <v>93</v>
      </c>
      <c r="B33" s="15" t="s">
        <v>106</v>
      </c>
    </row>
    <row r="34" spans="1:2" ht="12.75">
      <c r="A34" s="15" t="s">
        <v>85</v>
      </c>
      <c r="B34" s="15" t="s">
        <v>105</v>
      </c>
    </row>
    <row r="35" spans="1:2" ht="12.75">
      <c r="A35" s="15" t="s">
        <v>86</v>
      </c>
      <c r="B35" s="15" t="s">
        <v>104</v>
      </c>
    </row>
    <row r="36" spans="1:2" ht="12.75">
      <c r="A36" s="15" t="s">
        <v>87</v>
      </c>
      <c r="B36" s="15" t="s">
        <v>103</v>
      </c>
    </row>
    <row r="37" spans="1:1" ht="15">
      <c r="A37" s="14" t="s">
        <v>102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Q90"/>
  <sheetViews>
    <sheetView zoomScale="90" zoomScaleNormal="90" workbookViewId="0" topLeftCell="A27">
      <selection pane="topLeft" activeCell="E17" sqref="E17"/>
    </sheetView>
  </sheetViews>
  <sheetFormatPr defaultRowHeight="15"/>
  <cols>
    <col min="3" max="3" width="25.5714285714286" bestFit="1" customWidth="1"/>
    <col min="4" max="4" width="10.5714285714286" bestFit="1" customWidth="1"/>
    <col min="5" max="5" width="10.5714285714286" customWidth="1"/>
    <col min="6" max="6" width="11.5714285714286" bestFit="1" customWidth="1"/>
    <col min="7" max="7" width="36" customWidth="1"/>
    <col min="8" max="8" width="15.8571428571429" bestFit="1" customWidth="1"/>
    <col min="9" max="11" width="15.8571428571429" customWidth="1"/>
    <col min="12" max="13" width="15.8571428571429" bestFit="1" customWidth="1"/>
  </cols>
  <sheetData>
    <row r="1" spans="3:4" ht="15">
      <c r="C1" t="s">
        <v>146</v>
      </c>
      <c r="D1" t="s">
        <v>0</v>
      </c>
    </row>
    <row r="2" spans="3:15" ht="15.75" thickBot="1">
      <c r="C2" s="12" t="s">
        <v>1</v>
      </c>
      <c r="D2" s="12" t="s">
        <v>3</v>
      </c>
      <c r="E2" s="12" t="s">
        <v>2</v>
      </c>
      <c r="F2" s="12" t="s">
        <v>4</v>
      </c>
      <c r="G2" s="12" t="s">
        <v>5</v>
      </c>
      <c r="H2" s="12">
        <v>2018</v>
      </c>
      <c r="I2" s="12">
        <v>2019</v>
      </c>
      <c r="J2" s="12">
        <v>2020</v>
      </c>
      <c r="K2" s="12">
        <v>2021</v>
      </c>
      <c r="L2" s="12">
        <v>2022</v>
      </c>
      <c r="M2" s="12">
        <v>2030</v>
      </c>
      <c r="N2" s="12">
        <v>2050</v>
      </c>
      <c r="O2" s="12" t="s">
        <v>180</v>
      </c>
    </row>
    <row r="3" spans="4:16" ht="15">
      <c r="D3" t="str">
        <f>_xlfn.TEXTJOIN(",",TRUE,Regions!$C$3,Regions!$D$3)</f>
        <v>IE,National</v>
      </c>
      <c r="E3" t="s">
        <v>59</v>
      </c>
      <c r="F3" t="s">
        <v>282</v>
      </c>
      <c r="H3" s="30">
        <f>+O54</f>
        <v>10.4</v>
      </c>
      <c r="I3" s="30">
        <f>+H3</f>
        <v>10.4</v>
      </c>
      <c r="J3" s="30">
        <f>+I3</f>
        <v>10.4</v>
      </c>
      <c r="K3" s="30">
        <f t="shared" si="0" ref="K3">+J3</f>
        <v>10.4</v>
      </c>
      <c r="L3" s="30">
        <f>+K3*1.03</f>
        <v>10.712000000000002</v>
      </c>
      <c r="M3" s="29">
        <f>+$H$3*W74/$R$74</f>
        <v>7.6548806691174063</v>
      </c>
      <c r="N3" s="29">
        <f>+$H$3*X74/$R$74</f>
        <v>4.7429550371820284</v>
      </c>
      <c r="O3">
        <v>0</v>
      </c>
      <c r="P3" s="1"/>
    </row>
    <row r="4" spans="4:16" ht="15">
      <c r="D4" t="str">
        <f>_xlfn.TEXTJOIN(",",TRUE,Regions!$C$3,Regions!$D$3)</f>
        <v>IE,National</v>
      </c>
      <c r="E4" t="s">
        <v>59</v>
      </c>
      <c r="F4" t="s">
        <v>16</v>
      </c>
      <c r="H4" s="30">
        <f t="shared" si="1" ref="H4:H12">+O55</f>
        <v>5.7000000000000002</v>
      </c>
      <c r="I4" s="30">
        <f t="shared" si="2" ref="I4:J12">+H4</f>
        <v>5.7000000000000002</v>
      </c>
      <c r="J4" s="30">
        <f t="shared" si="2"/>
        <v>5.7000000000000002</v>
      </c>
      <c r="K4" s="30">
        <f t="shared" si="3" ref="K4">+J4</f>
        <v>5.7000000000000002</v>
      </c>
      <c r="L4" s="30">
        <f t="shared" si="4" ref="L4:L12">+K4*1.03</f>
        <v>5.8710000000000004</v>
      </c>
      <c r="M4" s="29">
        <f>+$H4*W72/$R$72</f>
        <v>5.2106501574276081</v>
      </c>
      <c r="N4" s="29">
        <f>+$H4*X72/$R$72</f>
        <v>4.3207441595064804</v>
      </c>
      <c r="O4">
        <v>0</v>
      </c>
      <c r="P4" s="1"/>
    </row>
    <row r="5" spans="4:16" ht="15">
      <c r="D5" t="str">
        <f>_xlfn.TEXTJOIN(",",TRUE,Regions!$C$3,Regions!$D$3)</f>
        <v>IE,National</v>
      </c>
      <c r="E5" t="s">
        <v>59</v>
      </c>
      <c r="F5" t="s">
        <v>283</v>
      </c>
      <c r="H5" s="30">
        <f t="shared" si="1"/>
        <v>13.4</v>
      </c>
      <c r="I5" s="30">
        <f t="shared" si="2"/>
        <v>13.4</v>
      </c>
      <c r="J5" s="30">
        <f t="shared" si="2"/>
        <v>13.4</v>
      </c>
      <c r="K5" s="30">
        <f t="shared" si="5" ref="K5">+J5</f>
        <v>13.4</v>
      </c>
      <c r="L5" s="30">
        <f t="shared" si="4"/>
        <v>13.802000000000001</v>
      </c>
      <c r="M5" s="29">
        <f>+$H5*W68/$R$68</f>
        <v>13.694400144358374</v>
      </c>
      <c r="N5" s="29">
        <f>+$H5*X68/$R$68</f>
        <v>12.456937732385178</v>
      </c>
      <c r="O5">
        <v>0</v>
      </c>
      <c r="P5" s="1"/>
    </row>
    <row r="6" spans="4:16" ht="15">
      <c r="D6" t="str">
        <f>_xlfn.TEXTJOIN(",",TRUE,Regions!$C$3,Regions!$D$3)</f>
        <v>IE,National</v>
      </c>
      <c r="E6" t="s">
        <v>59</v>
      </c>
      <c r="F6" t="s">
        <v>284</v>
      </c>
      <c r="H6" s="30">
        <f t="shared" si="1"/>
        <v>1.3</v>
      </c>
      <c r="I6" s="30">
        <f t="shared" si="2"/>
        <v>1.3</v>
      </c>
      <c r="J6" s="30">
        <f t="shared" si="2"/>
        <v>1.3</v>
      </c>
      <c r="K6" s="30">
        <f t="shared" si="6" ref="K6">+J6</f>
        <v>1.3</v>
      </c>
      <c r="L6" s="30">
        <f t="shared" si="4"/>
        <v>1.3390000000000002</v>
      </c>
      <c r="M6" s="29">
        <f>+$H$6*W74/$R$74</f>
        <v>0.95686008363967578</v>
      </c>
      <c r="N6" s="29">
        <f>+$H$6*X74/$R$74</f>
        <v>0.59286937964775355</v>
      </c>
      <c r="O6">
        <v>0</v>
      </c>
      <c r="P6" s="1"/>
    </row>
    <row r="7" spans="4:16" ht="15">
      <c r="D7" t="str">
        <f>_xlfn.TEXTJOIN(",",TRUE,Regions!$C$3,Regions!$D$3)</f>
        <v>IE,National</v>
      </c>
      <c r="E7" t="s">
        <v>59</v>
      </c>
      <c r="F7" t="s">
        <v>22</v>
      </c>
      <c r="H7" s="30">
        <f t="shared" si="1"/>
        <v>16.5</v>
      </c>
      <c r="I7" s="30">
        <f t="shared" si="2"/>
        <v>16.5</v>
      </c>
      <c r="J7" s="30">
        <f t="shared" si="2"/>
        <v>16.5</v>
      </c>
      <c r="K7" s="30">
        <f t="shared" si="7" ref="K7">+J7</f>
        <v>16.5</v>
      </c>
      <c r="L7" s="30">
        <f t="shared" si="4"/>
        <v>16.995000000000001</v>
      </c>
      <c r="M7" s="29">
        <f>+$H7*W75/$R$75</f>
        <v>13.343881576482765</v>
      </c>
      <c r="N7" s="29">
        <f>+$H7*X75/$R$75</f>
        <v>9.7087999760044088</v>
      </c>
      <c r="O7">
        <v>0</v>
      </c>
      <c r="P7" s="1"/>
    </row>
    <row r="8" spans="4:16" ht="15">
      <c r="D8" t="str">
        <f>_xlfn.TEXTJOIN(",",TRUE,Regions!$C$3,Regions!$D$3)</f>
        <v>IE,National</v>
      </c>
      <c r="E8" t="s">
        <v>59</v>
      </c>
      <c r="F8" t="s">
        <v>30</v>
      </c>
      <c r="H8" s="30">
        <f t="shared" si="1"/>
        <v>3.7999999999999998</v>
      </c>
      <c r="I8" s="30">
        <f t="shared" si="2"/>
        <v>3.7999999999999998</v>
      </c>
      <c r="J8" s="30">
        <f t="shared" si="2"/>
        <v>3.7999999999999998</v>
      </c>
      <c r="K8" s="30">
        <f t="shared" si="8" ref="K8">+J8</f>
        <v>3.7999999999999998</v>
      </c>
      <c r="L8" s="30">
        <f t="shared" si="4"/>
        <v>3.9139999999999997</v>
      </c>
      <c r="M8" s="29">
        <f>+$H8*W79/$R$79</f>
        <v>3.2038307476177184</v>
      </c>
      <c r="N8" s="29">
        <f>+$H8*X79/$R$79</f>
        <v>2.7203179081250553</v>
      </c>
      <c r="O8">
        <v>0</v>
      </c>
      <c r="P8" s="1"/>
    </row>
    <row r="9" spans="4:16" ht="15">
      <c r="D9" t="str">
        <f>_xlfn.TEXTJOIN(",",TRUE,Regions!$C$3,Regions!$D$3)</f>
        <v>IE,National</v>
      </c>
      <c r="E9" t="s">
        <v>59</v>
      </c>
      <c r="F9" t="s">
        <v>20</v>
      </c>
      <c r="H9" s="30">
        <f t="shared" si="1"/>
        <v>2.3999999999999999</v>
      </c>
      <c r="I9" s="30">
        <f t="shared" si="2"/>
        <v>2.3999999999999999</v>
      </c>
      <c r="J9" s="30">
        <f t="shared" si="2"/>
        <v>2.3999999999999999</v>
      </c>
      <c r="K9" s="30">
        <f t="shared" si="9" ref="K9">+J9</f>
        <v>2.3999999999999999</v>
      </c>
      <c r="L9" s="30">
        <f t="shared" si="4"/>
        <v>2.472</v>
      </c>
      <c r="M9" s="29">
        <f>+$H$9*W74/$R$74</f>
        <v>1.7665109236424783</v>
      </c>
      <c r="N9" s="29">
        <f>+$H$9*X74/$R$74</f>
        <v>1.0945280855035449</v>
      </c>
      <c r="O9">
        <v>0</v>
      </c>
      <c r="P9" s="1"/>
    </row>
    <row r="10" spans="4:16" ht="15">
      <c r="D10" t="str">
        <f>_xlfn.TEXTJOIN(",",TRUE,Regions!$C$3,Regions!$D$3)</f>
        <v>IE,National</v>
      </c>
      <c r="E10" t="s">
        <v>59</v>
      </c>
      <c r="F10" t="s">
        <v>12</v>
      </c>
      <c r="H10" s="30">
        <f t="shared" si="1"/>
        <v>5</v>
      </c>
      <c r="I10" s="30">
        <f t="shared" si="2"/>
        <v>5</v>
      </c>
      <c r="J10" s="30">
        <f t="shared" si="2"/>
        <v>5</v>
      </c>
      <c r="K10" s="30">
        <f t="shared" si="10" ref="K10">+J10</f>
        <v>5</v>
      </c>
      <c r="L10" s="30">
        <f t="shared" si="4"/>
        <v>5.1500000000000004</v>
      </c>
      <c r="M10" s="29">
        <f>+$H10*W70/$R$70</f>
        <v>3.7930109225677326</v>
      </c>
      <c r="N10" s="29">
        <f>+$H10*X70/$R$70</f>
        <v>3.0369963864726288</v>
      </c>
      <c r="O10">
        <v>0</v>
      </c>
      <c r="P10" s="1"/>
    </row>
    <row r="11" spans="4:16" ht="15">
      <c r="D11" t="str">
        <f>_xlfn.TEXTJOIN(",",TRUE,Regions!$C$3,Regions!$D$3)</f>
        <v>IE,National</v>
      </c>
      <c r="E11" t="s">
        <v>59</v>
      </c>
      <c r="F11" t="s">
        <v>280</v>
      </c>
      <c r="H11" s="30">
        <f t="shared" si="1"/>
        <v>23.439361110035826</v>
      </c>
      <c r="I11" s="30">
        <f t="shared" si="2"/>
        <v>23.439361110035826</v>
      </c>
      <c r="J11" s="30">
        <f t="shared" si="2"/>
        <v>23.439361110035826</v>
      </c>
      <c r="K11" s="30">
        <f t="shared" si="11" ref="K11">+J11</f>
        <v>23.439361110035826</v>
      </c>
      <c r="L11" s="30">
        <f t="shared" si="4"/>
        <v>24.142541943336902</v>
      </c>
      <c r="M11" s="29">
        <f>+$H11*W80/$R$80</f>
        <v>28.685388781095089</v>
      </c>
      <c r="N11" s="29">
        <f>+$H11*X80/$R$80</f>
        <v>38.85362060617873</v>
      </c>
      <c r="O11">
        <v>0</v>
      </c>
      <c r="P11" s="1"/>
    </row>
    <row r="12" spans="4:16" ht="15">
      <c r="D12" t="str">
        <f>_xlfn.TEXTJOIN(",",TRUE,Regions!$C$3,Regions!$D$3)</f>
        <v>IE,National</v>
      </c>
      <c r="E12" t="s">
        <v>59</v>
      </c>
      <c r="F12" t="s">
        <v>281</v>
      </c>
      <c r="H12" s="30">
        <f t="shared" si="1"/>
        <v>0</v>
      </c>
      <c r="I12" s="30">
        <f t="shared" si="2"/>
        <v>0</v>
      </c>
      <c r="J12" s="30">
        <f t="shared" si="2"/>
        <v>0</v>
      </c>
      <c r="K12" s="30">
        <f t="shared" si="12" ref="K12">+J12</f>
        <v>0</v>
      </c>
      <c r="L12" s="30">
        <f t="shared" si="4"/>
        <v>0</v>
      </c>
      <c r="M12" s="29">
        <v>0</v>
      </c>
      <c r="N12" s="29">
        <v>0</v>
      </c>
      <c r="O12">
        <v>0</v>
      </c>
      <c r="P12" s="1"/>
    </row>
    <row r="13" spans="3:16" ht="15">
      <c r="C13" t="s">
        <v>285</v>
      </c>
      <c r="D13" t="str">
        <f>_xlfn.TEXTJOIN(",",TRUE,Regions!$C$3,Regions!$D$3)</f>
        <v>IE,National</v>
      </c>
      <c r="E13" t="s">
        <v>285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>
        <v>0</v>
      </c>
      <c r="P13" s="1"/>
    </row>
    <row r="14" spans="3:16" ht="15">
      <c r="C14" t="s">
        <v>285</v>
      </c>
      <c r="D14" t="str">
        <f>_xlfn.TEXTJOIN(",",TRUE,Regions!$C$3,Regions!$D$3)</f>
        <v>IE,National</v>
      </c>
      <c r="E14" t="s">
        <v>285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>
        <v>0</v>
      </c>
      <c r="P14" s="1"/>
    </row>
    <row r="15" spans="3:16" ht="15">
      <c r="C15" t="s">
        <v>285</v>
      </c>
      <c r="D15" t="str">
        <f>_xlfn.TEXTJOIN(",",TRUE,Regions!$C$3,Regions!$D$3)</f>
        <v>IE,National</v>
      </c>
      <c r="E15" t="s">
        <v>285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>
        <v>0</v>
      </c>
      <c r="P15" s="1"/>
    </row>
    <row r="16" spans="3:16" ht="15">
      <c r="C16" t="s">
        <v>285</v>
      </c>
      <c r="D16" t="str">
        <f>_xlfn.TEXTJOIN(",",TRUE,Regions!$C$3,Regions!$D$3)</f>
        <v>IE,National</v>
      </c>
      <c r="E16" t="s">
        <v>285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>
        <v>0</v>
      </c>
      <c r="P16" s="1"/>
    </row>
    <row r="17" spans="4:16" ht="15">
      <c r="D17" t="str">
        <f>_xlfn.TEXTJOIN(",",TRUE,Regions!$C$3)</f>
        <v>IE</v>
      </c>
      <c r="E17" t="s">
        <v>59</v>
      </c>
      <c r="F17" t="s">
        <v>34</v>
      </c>
      <c r="G17" t="s">
        <v>35</v>
      </c>
      <c r="H17" s="30">
        <f t="shared" si="13" ref="H17:L36">+SUMIF($F$54:$F$90,$F17,H$54:H$90)</f>
        <v>14.5565610923972</v>
      </c>
      <c r="I17" s="30">
        <f t="shared" si="14" ref="I17:L18">+SUMIF($F$54:$F$90,$F17,I$54:I$90)</f>
        <v>14.87639834</v>
      </c>
      <c r="J17" s="30">
        <f t="shared" si="14"/>
        <v>10.76129175</v>
      </c>
      <c r="K17" s="30">
        <f t="shared" si="14"/>
        <v>13.57251588540027</v>
      </c>
      <c r="L17" s="30">
        <f t="shared" si="14"/>
        <v>14.05673907080137</v>
      </c>
      <c r="M17" s="29">
        <v>16.798154247711324</v>
      </c>
      <c r="N17" s="29">
        <v>18.550648173612263</v>
      </c>
      <c r="O17">
        <v>0</v>
      </c>
      <c r="P17" s="1"/>
    </row>
    <row r="18" spans="4:16" ht="15">
      <c r="D18" t="str">
        <f>_xlfn.TEXTJOIN(",",TRUE,Regions!$C$3)</f>
        <v>IE</v>
      </c>
      <c r="E18" t="s">
        <v>59</v>
      </c>
      <c r="F18" t="s">
        <v>36</v>
      </c>
      <c r="G18" t="s">
        <v>37</v>
      </c>
      <c r="H18" s="30">
        <f t="shared" si="13"/>
        <v>31.276118540281001</v>
      </c>
      <c r="I18" s="30">
        <f t="shared" si="14"/>
        <v>31.984256429999999</v>
      </c>
      <c r="J18" s="30">
        <f t="shared" si="14"/>
        <v>23.13677727</v>
      </c>
      <c r="K18" s="30">
        <f t="shared" si="14"/>
        <v>27.703716034013713</v>
      </c>
      <c r="L18" s="30">
        <f t="shared" si="14"/>
        <v>30.202204674413409</v>
      </c>
      <c r="M18" s="29">
        <v>30.018312954312446</v>
      </c>
      <c r="N18" s="29">
        <v>30.011573675084005</v>
      </c>
      <c r="O18">
        <v>0</v>
      </c>
      <c r="P18" s="1"/>
    </row>
    <row r="19" spans="4:16" ht="15">
      <c r="D19" t="str">
        <f>_xlfn.TEXTJOIN(",",TRUE,Regions!$C$3)</f>
        <v>IE</v>
      </c>
      <c r="E19" t="s">
        <v>59</v>
      </c>
      <c r="F19" s="31" t="s">
        <v>38</v>
      </c>
      <c r="G19" s="31" t="s">
        <v>39</v>
      </c>
      <c r="H19" s="30">
        <f t="shared" si="13"/>
        <v>27.131577542973599</v>
      </c>
      <c r="I19" s="30">
        <f t="shared" si="13"/>
        <v>24.769203236999999</v>
      </c>
      <c r="J19" s="30">
        <f t="shared" si="13"/>
        <v>17.917550766000002</v>
      </c>
      <c r="K19" s="30">
        <f t="shared" si="13"/>
        <v>18.200537756613475</v>
      </c>
      <c r="L19" s="30">
        <f t="shared" si="13"/>
        <v>18.849873697196202</v>
      </c>
      <c r="M19" s="29">
        <v>25.857221286837778</v>
      </c>
      <c r="N19" s="29">
        <v>25.788290151303741</v>
      </c>
      <c r="O19">
        <v>0</v>
      </c>
      <c r="P19" s="1"/>
    </row>
    <row r="20" spans="4:16" ht="15">
      <c r="D20" t="str">
        <f>_xlfn.TEXTJOIN(",",TRUE,Regions!$C$3)</f>
        <v>IE</v>
      </c>
      <c r="E20" t="s">
        <v>59</v>
      </c>
      <c r="F20" s="31" t="s">
        <v>40</v>
      </c>
      <c r="G20" s="31" t="s">
        <v>41</v>
      </c>
      <c r="H20" s="30">
        <f t="shared" si="13"/>
        <v>10.702591</v>
      </c>
      <c r="I20" s="30">
        <f t="shared" si="13"/>
        <v>10.6386</v>
      </c>
      <c r="J20" s="30">
        <f t="shared" si="13"/>
        <v>10.3482</v>
      </c>
      <c r="K20" s="30">
        <f t="shared" si="13"/>
        <v>10.67855</v>
      </c>
      <c r="L20" s="30">
        <f t="shared" si="13"/>
        <v>10.878188502532995</v>
      </c>
      <c r="M20" s="29">
        <f>(J20*2/3)+(N20/3)</f>
        <v>10.0488</v>
      </c>
      <c r="N20" s="29">
        <v>9.4499999999999993</v>
      </c>
      <c r="O20">
        <v>0</v>
      </c>
      <c r="P20" s="1"/>
    </row>
    <row r="21" spans="4:16" ht="15">
      <c r="D21" t="str">
        <f>_xlfn.TEXTJOIN(",",TRUE,Regions!$C$3)</f>
        <v>IE</v>
      </c>
      <c r="E21" t="s">
        <v>59</v>
      </c>
      <c r="F21" t="s">
        <v>42</v>
      </c>
      <c r="G21" t="s">
        <v>43</v>
      </c>
      <c r="H21" s="30">
        <f t="shared" si="13"/>
        <v>7.7105748259750104</v>
      </c>
      <c r="I21" s="30">
        <f t="shared" si="13"/>
        <v>10.277153740875089</v>
      </c>
      <c r="J21" s="30">
        <f t="shared" si="13"/>
        <v>3.3705919303064187</v>
      </c>
      <c r="K21" s="30">
        <f t="shared" si="13"/>
        <v>8.6157094085103783</v>
      </c>
      <c r="L21" s="30">
        <f t="shared" si="13"/>
        <v>7.6814227047944605</v>
      </c>
      <c r="M21" s="29">
        <v>0</v>
      </c>
      <c r="N21" s="29">
        <v>0</v>
      </c>
      <c r="O21">
        <v>0</v>
      </c>
      <c r="P21" s="1"/>
    </row>
    <row r="22" spans="4:16" ht="15">
      <c r="D22" t="str">
        <f>_xlfn.TEXTJOIN(",",TRUE,Regions!$C$3)</f>
        <v>IE</v>
      </c>
      <c r="E22" t="s">
        <v>59</v>
      </c>
      <c r="F22" t="s">
        <v>44</v>
      </c>
      <c r="G22" t="s">
        <v>45</v>
      </c>
      <c r="H22" s="30">
        <f t="shared" si="13"/>
        <v>3.5132998087277101</v>
      </c>
      <c r="I22" s="30">
        <f t="shared" si="13"/>
        <v>3.7418117054559139</v>
      </c>
      <c r="J22" s="30">
        <f t="shared" si="13"/>
        <v>4.5759806863218264</v>
      </c>
      <c r="K22" s="30">
        <f t="shared" si="13"/>
        <v>5.0500849492972852</v>
      </c>
      <c r="L22" s="30">
        <f t="shared" si="13"/>
        <v>4.6611834502685596</v>
      </c>
      <c r="M22" s="29">
        <f>(J22*2/3)+(N22/3)</f>
        <v>4.2217537271237875</v>
      </c>
      <c r="N22" s="29">
        <f>H22</f>
        <v>3.5132998087277101</v>
      </c>
      <c r="O22">
        <v>0</v>
      </c>
      <c r="P22" s="1"/>
    </row>
    <row r="23" spans="4:16" ht="15">
      <c r="D23" t="str">
        <f>_xlfn.TEXTJOIN(",",TRUE,Regions!$C$3)</f>
        <v>IE</v>
      </c>
      <c r="E23" t="s">
        <v>59</v>
      </c>
      <c r="F23" t="s">
        <v>46</v>
      </c>
      <c r="G23" t="s">
        <v>47</v>
      </c>
      <c r="H23" s="30">
        <f t="shared" si="13"/>
        <v>20.831454920682301</v>
      </c>
      <c r="I23" s="30">
        <f t="shared" si="13"/>
        <v>16.657128777768676</v>
      </c>
      <c r="J23" s="30">
        <f t="shared" si="13"/>
        <v>22.750457116443403</v>
      </c>
      <c r="K23" s="30">
        <f t="shared" si="13"/>
        <v>15.130660002348661</v>
      </c>
      <c r="L23" s="30">
        <f t="shared" si="13"/>
        <v>13.161374650000001</v>
      </c>
      <c r="M23" s="29">
        <v>0</v>
      </c>
      <c r="N23" s="29">
        <v>0</v>
      </c>
      <c r="O23">
        <v>0</v>
      </c>
      <c r="P23" s="1"/>
    </row>
    <row r="24" spans="4:16" ht="15">
      <c r="D24" t="str">
        <f>_xlfn.TEXTJOIN(",",TRUE,Regions!$C$3)</f>
        <v>IE</v>
      </c>
      <c r="E24" t="s">
        <v>59</v>
      </c>
      <c r="F24" t="s">
        <v>48</v>
      </c>
      <c r="G24" t="s">
        <v>49</v>
      </c>
      <c r="H24" s="30">
        <f t="shared" si="13"/>
        <v>0.23349320028657899</v>
      </c>
      <c r="I24" s="30">
        <f t="shared" si="13"/>
        <v>0.25090920347352241</v>
      </c>
      <c r="J24" s="30">
        <f t="shared" si="13"/>
        <v>0.11004689080374389</v>
      </c>
      <c r="K24" s="30">
        <f t="shared" si="13"/>
        <v>0.12006442123265494</v>
      </c>
      <c r="L24" s="30">
        <f t="shared" si="13"/>
        <v>0.23000000000000001</v>
      </c>
      <c r="M24" s="29">
        <f>(J24*2/3)+(N24/3)</f>
        <v>0.15119566063135559</v>
      </c>
      <c r="N24" s="29">
        <f>H24</f>
        <v>0.23349320028657899</v>
      </c>
      <c r="O24">
        <v>0</v>
      </c>
      <c r="P24" s="1"/>
    </row>
    <row r="25" spans="4:16" ht="15">
      <c r="D25" t="str">
        <f>_xlfn.TEXTJOIN(",",TRUE,Regions!$C$3)</f>
        <v>IE</v>
      </c>
      <c r="E25" t="s">
        <v>59</v>
      </c>
      <c r="F25" t="s">
        <v>50</v>
      </c>
      <c r="G25" t="s">
        <v>51</v>
      </c>
      <c r="H25" s="30">
        <f t="shared" si="13"/>
        <v>45.9683637522608</v>
      </c>
      <c r="I25" s="30">
        <f t="shared" si="13"/>
        <v>46.490627829341264</v>
      </c>
      <c r="J25" s="30">
        <f t="shared" si="13"/>
        <v>16.580491392971403</v>
      </c>
      <c r="K25" s="30">
        <f t="shared" si="13"/>
        <v>18.575720244415919</v>
      </c>
      <c r="L25" s="30">
        <f t="shared" si="13"/>
        <v>48.192396850000002</v>
      </c>
      <c r="M25" s="47"/>
      <c r="N25" s="29">
        <f>H25</f>
        <v>45.9683637522608</v>
      </c>
      <c r="O25">
        <v>0</v>
      </c>
      <c r="P25" s="1"/>
    </row>
    <row r="26" spans="4:15" ht="15">
      <c r="D26" t="str">
        <f>_xlfn.TEXTJOIN(",",TRUE,Regions!$C$3,Regions!$D$3)</f>
        <v>IE,National</v>
      </c>
      <c r="E26" t="s">
        <v>59</v>
      </c>
      <c r="F26" t="s">
        <v>154</v>
      </c>
      <c r="G26" t="s">
        <v>155</v>
      </c>
      <c r="H26" s="30">
        <f t="shared" si="13"/>
        <v>28.901664567933999</v>
      </c>
      <c r="I26" s="30">
        <f t="shared" si="13"/>
        <v>29.285472960899106</v>
      </c>
      <c r="J26" s="30">
        <f t="shared" si="13"/>
        <v>29.618106901468909</v>
      </c>
      <c r="K26" s="30">
        <f t="shared" si="13"/>
        <v>30.592051000616877</v>
      </c>
      <c r="L26" s="30">
        <f t="shared" si="13"/>
        <v>31.598021694557701</v>
      </c>
      <c r="M26" s="29">
        <f>J26*2/3+N26*1/3</f>
        <v>30.669454951005577</v>
      </c>
      <c r="N26" s="29">
        <v>32.772151050078904</v>
      </c>
      <c r="O26">
        <v>0</v>
      </c>
    </row>
    <row r="27" spans="4:15" ht="15">
      <c r="D27" t="str">
        <f>_xlfn.TEXTJOIN(",",TRUE,Regions!$C$3,Regions!$D$3)</f>
        <v>IE,National</v>
      </c>
      <c r="E27" t="s">
        <v>59</v>
      </c>
      <c r="F27" t="s">
        <v>156</v>
      </c>
      <c r="G27" t="s">
        <v>157</v>
      </c>
      <c r="H27" s="30">
        <f t="shared" si="13"/>
        <v>58.151541961987597</v>
      </c>
      <c r="I27" s="30">
        <f t="shared" si="13"/>
        <v>58.923782945423504</v>
      </c>
      <c r="J27" s="30">
        <f t="shared" si="13"/>
        <v>59.593058464401295</v>
      </c>
      <c r="K27" s="30">
        <f t="shared" si="13"/>
        <v>61.552680928952022</v>
      </c>
      <c r="L27" s="30">
        <f t="shared" si="13"/>
        <v>63.576742445676302</v>
      </c>
      <c r="M27" s="29">
        <f>J27*2/3+N27*1/3</f>
        <v>61.758486976267527</v>
      </c>
      <c r="N27" s="29">
        <v>66.089343999999997</v>
      </c>
      <c r="O27">
        <v>0</v>
      </c>
    </row>
    <row r="28" spans="4:15" ht="15">
      <c r="D28" t="str">
        <f>_xlfn.TEXTJOIN(",",TRUE,Regions!$C$3,Regions!$D$3)</f>
        <v>IE,National</v>
      </c>
      <c r="E28" t="s">
        <v>59</v>
      </c>
      <c r="F28" t="s">
        <v>158</v>
      </c>
      <c r="G28" t="s">
        <v>159</v>
      </c>
      <c r="H28" s="30">
        <f t="shared" si="13"/>
        <v>5.6291760000000002</v>
      </c>
      <c r="I28" s="30"/>
      <c r="J28" s="30">
        <f t="shared" si="13"/>
        <v>10.868400000000001</v>
      </c>
      <c r="K28" s="30">
        <f t="shared" si="13"/>
        <v>14.3748</v>
      </c>
      <c r="L28" s="30">
        <f t="shared" si="13"/>
        <v>18.9072</v>
      </c>
      <c r="M28" s="29">
        <v>40.299999999999997</v>
      </c>
      <c r="N28" s="29">
        <v>40.299999999999997</v>
      </c>
      <c r="O28">
        <v>0</v>
      </c>
    </row>
    <row r="29" spans="4:15" ht="15">
      <c r="D29" t="str">
        <f>_xlfn.TEXTJOIN(",",TRUE,Regions!$C$3,Regions!$D$3)</f>
        <v>IE,National</v>
      </c>
      <c r="E29" t="s">
        <v>59</v>
      </c>
      <c r="F29" t="s">
        <v>160</v>
      </c>
      <c r="G29" t="s">
        <v>161</v>
      </c>
      <c r="H29" s="30">
        <f t="shared" si="13"/>
        <v>0.47999999999999998</v>
      </c>
      <c r="I29" s="30"/>
      <c r="J29" s="30"/>
      <c r="K29" s="30"/>
      <c r="L29" s="30"/>
      <c r="M29" s="30">
        <v>0.50</v>
      </c>
      <c r="N29" s="29">
        <v>0.54</v>
      </c>
      <c r="O29">
        <v>0</v>
      </c>
    </row>
    <row r="30" spans="4:15" ht="15">
      <c r="D30" t="s">
        <v>179</v>
      </c>
      <c r="E30" t="s">
        <v>59</v>
      </c>
      <c r="F30" s="31" t="s">
        <v>68</v>
      </c>
      <c r="G30" s="31" t="s">
        <v>181</v>
      </c>
      <c r="H30" s="30">
        <f t="shared" si="13"/>
        <v>1.1544546193487999</v>
      </c>
      <c r="I30" s="30">
        <f t="shared" si="13"/>
        <v>1.1908349006400001</v>
      </c>
      <c r="J30" s="30">
        <f t="shared" si="13"/>
        <v>1.2115424059200002</v>
      </c>
      <c r="K30" s="30">
        <f t="shared" si="13"/>
        <v>1.2318444230400001</v>
      </c>
      <c r="L30" s="30">
        <f t="shared" si="13"/>
        <v>1.2514826903039997</v>
      </c>
      <c r="M30" s="30">
        <f t="shared" si="15" ref="M30:M36">J30*2/3+N30/3</f>
        <v>1.3450282706133334</v>
      </c>
      <c r="N30" s="29">
        <v>1.6120000000000001</v>
      </c>
      <c r="O30">
        <v>0</v>
      </c>
    </row>
    <row r="31" spans="4:15" ht="15">
      <c r="D31" t="s">
        <v>179</v>
      </c>
      <c r="E31" t="s">
        <v>59</v>
      </c>
      <c r="F31" s="31" t="s">
        <v>69</v>
      </c>
      <c r="G31" s="31" t="s">
        <v>182</v>
      </c>
      <c r="H31" s="30">
        <f t="shared" si="13"/>
        <v>2.0006897535500099</v>
      </c>
      <c r="I31" s="30">
        <f t="shared" si="13"/>
        <v>2.0637374080794082</v>
      </c>
      <c r="J31" s="30">
        <f t="shared" si="13"/>
        <v>2.099623871644904</v>
      </c>
      <c r="K31" s="30">
        <f t="shared" si="13"/>
        <v>2.1348076172401118</v>
      </c>
      <c r="L31" s="30">
        <f t="shared" si="13"/>
        <v>2.1688410728944572</v>
      </c>
      <c r="M31" s="30">
        <f t="shared" si="15"/>
        <v>2.3517492477632693</v>
      </c>
      <c r="N31" s="29">
        <v>2.8559999999999999</v>
      </c>
      <c r="O31">
        <v>0</v>
      </c>
    </row>
    <row r="32" spans="4:15" ht="15">
      <c r="D32" t="s">
        <v>179</v>
      </c>
      <c r="E32" t="s">
        <v>59</v>
      </c>
      <c r="F32" s="31" t="s">
        <v>70</v>
      </c>
      <c r="G32" s="31" t="s">
        <v>183</v>
      </c>
      <c r="H32" s="30">
        <f t="shared" si="13"/>
        <v>0.78876799986757495</v>
      </c>
      <c r="I32" s="30">
        <f t="shared" si="13"/>
        <v>0.81362441364750004</v>
      </c>
      <c r="J32" s="30">
        <f t="shared" si="13"/>
        <v>0.82777258131750009</v>
      </c>
      <c r="K32" s="30">
        <f t="shared" si="13"/>
        <v>0.84164370380999998</v>
      </c>
      <c r="L32" s="30">
        <f t="shared" si="13"/>
        <v>0.855061326756</v>
      </c>
      <c r="M32" s="30">
        <f t="shared" si="15"/>
        <v>0.87184838754500005</v>
      </c>
      <c r="N32" s="29">
        <v>0.96</v>
      </c>
      <c r="O32">
        <v>0</v>
      </c>
    </row>
    <row r="33" spans="4:15" ht="15">
      <c r="D33" t="s">
        <v>179</v>
      </c>
      <c r="E33" t="s">
        <v>59</v>
      </c>
      <c r="F33" s="31" t="s">
        <v>71</v>
      </c>
      <c r="G33" s="31" t="s">
        <v>184</v>
      </c>
      <c r="H33" s="30">
        <f t="shared" si="13"/>
        <v>1.05169316530962</v>
      </c>
      <c r="I33" s="30">
        <f t="shared" si="13"/>
        <v>1.0848351290947176</v>
      </c>
      <c r="J33" s="30">
        <f t="shared" si="13"/>
        <v>1.1036993974761575</v>
      </c>
      <c r="K33" s="30">
        <f t="shared" si="13"/>
        <v>1.1221942714099173</v>
      </c>
      <c r="L33" s="30">
        <f t="shared" si="13"/>
        <v>1.1400844778449895</v>
      </c>
      <c r="M33" s="30">
        <f t="shared" si="15"/>
        <v>1.3781329316507716</v>
      </c>
      <c r="N33" s="29">
        <v>1.927</v>
      </c>
      <c r="O33">
        <v>0</v>
      </c>
    </row>
    <row r="34" spans="4:15" ht="15">
      <c r="D34" t="s">
        <v>179</v>
      </c>
      <c r="E34" t="s">
        <v>59</v>
      </c>
      <c r="F34" s="31" t="s">
        <v>72</v>
      </c>
      <c r="G34" s="31" t="s">
        <v>185</v>
      </c>
      <c r="H34" s="30">
        <f t="shared" si="13"/>
        <v>0.84878652127122001</v>
      </c>
      <c r="I34" s="30">
        <f t="shared" si="13"/>
        <v>0.8755342962660001</v>
      </c>
      <c r="J34" s="30">
        <f t="shared" si="13"/>
        <v>0.89075901889800024</v>
      </c>
      <c r="K34" s="30">
        <f t="shared" si="13"/>
        <v>0.90568561557600002</v>
      </c>
      <c r="L34" s="30">
        <f t="shared" si="13"/>
        <v>0.92012420525760008</v>
      </c>
      <c r="M34" s="30">
        <f t="shared" si="15"/>
        <v>1.1128393459320001</v>
      </c>
      <c r="N34" s="29">
        <v>1.5569999999999999</v>
      </c>
      <c r="O34">
        <v>0</v>
      </c>
    </row>
    <row r="35" spans="4:15" ht="15">
      <c r="D35" t="s">
        <v>179</v>
      </c>
      <c r="E35" t="s">
        <v>59</v>
      </c>
      <c r="F35" s="31" t="s">
        <v>73</v>
      </c>
      <c r="G35" s="31" t="s">
        <v>186</v>
      </c>
      <c r="H35" s="30">
        <f t="shared" si="13"/>
        <v>9.2169270601308995</v>
      </c>
      <c r="I35" s="30">
        <f t="shared" si="13"/>
        <v>9.5073797063138894</v>
      </c>
      <c r="J35" s="30">
        <f t="shared" si="13"/>
        <v>9.6727041483181129</v>
      </c>
      <c r="K35" s="30">
        <f t="shared" si="13"/>
        <v>9.8347912566655307</v>
      </c>
      <c r="L35" s="30">
        <f t="shared" si="13"/>
        <v>9.9915791233568569</v>
      </c>
      <c r="M35" s="30">
        <f t="shared" si="15"/>
        <v>10.176802765545409</v>
      </c>
      <c r="N35" s="29">
        <v>11.185</v>
      </c>
      <c r="O35">
        <v>0</v>
      </c>
    </row>
    <row r="36" spans="4:15" ht="15">
      <c r="D36" t="s">
        <v>179</v>
      </c>
      <c r="E36" t="s">
        <v>59</v>
      </c>
      <c r="F36" s="31" t="s">
        <v>74</v>
      </c>
      <c r="G36" s="31" t="s">
        <v>187</v>
      </c>
      <c r="H36" s="30">
        <f t="shared" si="13"/>
        <v>0</v>
      </c>
      <c r="I36" s="30">
        <f t="shared" si="13"/>
        <v>0</v>
      </c>
      <c r="J36" s="30">
        <f t="shared" si="13"/>
        <v>0</v>
      </c>
      <c r="K36" s="30">
        <f t="shared" si="13"/>
        <v>0</v>
      </c>
      <c r="L36" s="30">
        <f t="shared" si="13"/>
        <v>0</v>
      </c>
      <c r="M36" s="30">
        <f t="shared" si="15"/>
        <v>0</v>
      </c>
      <c r="N36" s="29">
        <v>0</v>
      </c>
      <c r="O36">
        <v>0</v>
      </c>
    </row>
    <row r="37" spans="8:11" ht="15">
      <c r="H37" s="1"/>
      <c r="I37" s="1"/>
      <c r="J37" s="1"/>
      <c r="K37" s="1"/>
    </row>
    <row r="38" spans="3:11" ht="15">
      <c r="C38" t="s">
        <v>146</v>
      </c>
      <c r="D38" t="s">
        <v>0</v>
      </c>
      <c r="H38" s="1"/>
      <c r="I38" s="1"/>
      <c r="J38" s="1"/>
      <c r="K38" s="1"/>
    </row>
    <row r="39" spans="3:43" ht="15.75" thickBot="1">
      <c r="C39" s="12" t="s">
        <v>1</v>
      </c>
      <c r="D39" s="12" t="s">
        <v>2</v>
      </c>
      <c r="E39" s="12" t="s">
        <v>3</v>
      </c>
      <c r="F39" s="12" t="s">
        <v>177</v>
      </c>
      <c r="G39" s="12" t="s">
        <v>178</v>
      </c>
      <c r="H39" s="12" t="s">
        <v>4</v>
      </c>
      <c r="I39" s="12" t="s">
        <v>5</v>
      </c>
      <c r="J39" s="12">
        <v>2018</v>
      </c>
      <c r="K39" s="12">
        <v>2019</v>
      </c>
      <c r="L39" s="12">
        <v>2020</v>
      </c>
      <c r="M39" s="12">
        <v>2021</v>
      </c>
      <c r="N39" s="12">
        <v>2022</v>
      </c>
      <c r="O39" s="12">
        <v>2023</v>
      </c>
      <c r="P39" s="12">
        <v>2024</v>
      </c>
      <c r="Q39" s="12">
        <v>2025</v>
      </c>
      <c r="R39" s="12">
        <v>2026</v>
      </c>
      <c r="S39" s="12">
        <v>2027</v>
      </c>
      <c r="T39" s="12">
        <v>2028</v>
      </c>
      <c r="U39" s="12">
        <v>2029</v>
      </c>
      <c r="V39" s="12">
        <v>2030</v>
      </c>
      <c r="W39" s="12">
        <v>2031</v>
      </c>
      <c r="X39" s="12">
        <v>2032</v>
      </c>
      <c r="Y39" s="12">
        <v>2033</v>
      </c>
      <c r="Z39" s="12">
        <v>2034</v>
      </c>
      <c r="AA39" s="12">
        <v>2035</v>
      </c>
      <c r="AB39" s="12">
        <v>2036</v>
      </c>
      <c r="AC39" s="12">
        <v>2037</v>
      </c>
      <c r="AD39" s="12">
        <v>2038</v>
      </c>
      <c r="AE39" s="12">
        <v>2039</v>
      </c>
      <c r="AF39" s="12">
        <v>2040</v>
      </c>
      <c r="AG39" s="12">
        <v>2041</v>
      </c>
      <c r="AH39" s="12">
        <v>2042</v>
      </c>
      <c r="AI39" s="12">
        <v>2043</v>
      </c>
      <c r="AJ39" s="12">
        <v>2044</v>
      </c>
      <c r="AK39" s="12">
        <v>2045</v>
      </c>
      <c r="AL39" s="12">
        <v>2046</v>
      </c>
      <c r="AM39" s="12">
        <v>2047</v>
      </c>
      <c r="AN39" s="12">
        <v>2048</v>
      </c>
      <c r="AO39" s="12">
        <v>2049</v>
      </c>
      <c r="AP39" s="12">
        <v>2050</v>
      </c>
      <c r="AQ39" s="12" t="s">
        <v>180</v>
      </c>
    </row>
    <row r="40" spans="4:43" ht="15">
      <c r="D40" t="s">
        <v>59</v>
      </c>
      <c r="E40" t="s">
        <v>179</v>
      </c>
      <c r="H40" s="1" t="s">
        <v>52</v>
      </c>
      <c r="I40" s="1" t="s">
        <v>53</v>
      </c>
      <c r="J40" s="1">
        <v>211.819885</v>
      </c>
      <c r="K40" s="1">
        <v>227.33367966704699</v>
      </c>
      <c r="L40">
        <v>234.01489904006499</v>
      </c>
      <c r="M40">
        <v>250.52243040236399</v>
      </c>
      <c r="N40">
        <v>265.47273899323898</v>
      </c>
      <c r="O40">
        <v>287.56705904006418</v>
      </c>
      <c r="P40">
        <v>304.73210020344317</v>
      </c>
      <c r="Q40">
        <v>321.11239904006476</v>
      </c>
      <c r="R40">
        <v>337.59175904006491</v>
      </c>
      <c r="S40">
        <v>353.93743904006493</v>
      </c>
      <c r="T40">
        <v>370.94071904006495</v>
      </c>
      <c r="U40">
        <v>387.95012028666088</v>
      </c>
      <c r="V40">
        <v>404.77951904006557</v>
      </c>
      <c r="W40">
        <v>421.69222445632704</v>
      </c>
      <c r="X40">
        <v>438.38186350056804</v>
      </c>
      <c r="Y40">
        <v>455.17145474583259</v>
      </c>
      <c r="Z40">
        <v>471.87484628657251</v>
      </c>
      <c r="AA40">
        <v>488.16651523892608</v>
      </c>
      <c r="AB40">
        <v>504.04655026239828</v>
      </c>
      <c r="AC40">
        <v>519.93323821571914</v>
      </c>
      <c r="AD40">
        <v>535.73337032384597</v>
      </c>
      <c r="AE40">
        <v>550.98220513822287</v>
      </c>
      <c r="AF40">
        <v>565.63294430735243</v>
      </c>
      <c r="AG40">
        <f>+AH40/2+AF40/2</f>
        <v>573.96574018331603</v>
      </c>
      <c r="AH40">
        <v>582.29853605927974</v>
      </c>
      <c r="AI40">
        <v>596.42921864362847</v>
      </c>
      <c r="AJ40">
        <v>610.2872652649562</v>
      </c>
      <c r="AK40">
        <v>623.85154908001118</v>
      </c>
      <c r="AL40">
        <v>637.11149446471723</v>
      </c>
      <c r="AM40">
        <v>650.03365875188058</v>
      </c>
      <c r="AN40">
        <v>662.59620518330746</v>
      </c>
      <c r="AO40">
        <v>674.741762835759</v>
      </c>
      <c r="AP40">
        <v>686.46678223459355</v>
      </c>
      <c r="AQ40">
        <v>0</v>
      </c>
    </row>
    <row r="41" spans="4:43" ht="15">
      <c r="D41" t="s">
        <v>59</v>
      </c>
      <c r="E41" t="s">
        <v>179</v>
      </c>
      <c r="H41" s="1" t="s">
        <v>54</v>
      </c>
      <c r="I41" s="1" t="s">
        <v>55</v>
      </c>
      <c r="J41" s="1">
        <v>788.06472099999996</v>
      </c>
      <c r="K41" s="1">
        <v>805.70916346620595</v>
      </c>
      <c r="L41" s="29">
        <v>818.79213614191099</v>
      </c>
      <c r="M41">
        <v>828.23348265178799</v>
      </c>
      <c r="N41">
        <v>837.71211748108306</v>
      </c>
      <c r="O41">
        <v>854.49357614191047</v>
      </c>
      <c r="P41">
        <v>865.9369369174965</v>
      </c>
      <c r="Q41">
        <v>876.85713614191093</v>
      </c>
      <c r="R41">
        <v>887.84337614191099</v>
      </c>
      <c r="S41">
        <v>898.74049614191097</v>
      </c>
      <c r="T41">
        <v>910.07601614191094</v>
      </c>
      <c r="U41">
        <v>921.41561697297493</v>
      </c>
      <c r="V41">
        <v>932.63521614191143</v>
      </c>
      <c r="W41">
        <v>943.91035308608571</v>
      </c>
      <c r="X41">
        <v>955.03677911557975</v>
      </c>
      <c r="Y41">
        <v>966.22983994575611</v>
      </c>
      <c r="Z41">
        <v>977.36543430624943</v>
      </c>
      <c r="AA41">
        <v>988.22654694115181</v>
      </c>
      <c r="AB41">
        <v>998.81323695679998</v>
      </c>
      <c r="AC41">
        <v>1009.4043622590139</v>
      </c>
      <c r="AD41">
        <v>1019.9377836644318</v>
      </c>
      <c r="AE41">
        <v>1030.1036735406831</v>
      </c>
      <c r="AF41">
        <v>1039.8708329867695</v>
      </c>
      <c r="AG41">
        <f>+AH41/2+AF41/2</f>
        <v>1045.4260302374119</v>
      </c>
      <c r="AH41">
        <v>1050.9812274880544</v>
      </c>
      <c r="AI41">
        <v>1060.4016825442868</v>
      </c>
      <c r="AJ41">
        <v>1069.6403802918387</v>
      </c>
      <c r="AK41">
        <v>1078.683236168542</v>
      </c>
      <c r="AL41">
        <v>1087.523199758346</v>
      </c>
      <c r="AM41">
        <v>1096.1379759497881</v>
      </c>
      <c r="AN41">
        <v>1104.5130069040727</v>
      </c>
      <c r="AO41">
        <v>1112.6100453390404</v>
      </c>
      <c r="AP41">
        <v>1120.4267249382635</v>
      </c>
      <c r="AQ41">
        <v>0</v>
      </c>
    </row>
    <row r="42" spans="4:43" ht="15">
      <c r="D42" t="s">
        <v>59</v>
      </c>
      <c r="E42" t="s">
        <v>179</v>
      </c>
      <c r="H42" s="1" t="s">
        <v>56</v>
      </c>
      <c r="I42" s="1" t="s">
        <v>57</v>
      </c>
      <c r="J42" s="1">
        <v>735.40672900000004</v>
      </c>
      <c r="K42" s="1">
        <v>756.93265686674704</v>
      </c>
      <c r="L42" s="29">
        <v>768.29446481802404</v>
      </c>
      <c r="M42">
        <v>772.86208694584798</v>
      </c>
      <c r="N42">
        <v>777.95194352567796</v>
      </c>
      <c r="AP42">
        <v>768.29446481802404</v>
      </c>
      <c r="AQ42">
        <v>0</v>
      </c>
    </row>
    <row r="43" spans="8:11" ht="15">
      <c r="H43" s="1"/>
      <c r="I43" s="1"/>
      <c r="J43" s="1"/>
      <c r="K43" s="1"/>
    </row>
    <row r="44" spans="8:11" ht="15">
      <c r="H44" s="1"/>
      <c r="I44" s="1"/>
      <c r="J44" s="1"/>
      <c r="K44" s="1"/>
    </row>
    <row r="45" spans="8:11" ht="15">
      <c r="H45" s="1"/>
      <c r="I45" s="1"/>
      <c r="J45" s="1"/>
      <c r="K45" s="1"/>
    </row>
    <row r="46" spans="8:11" ht="15">
      <c r="H46" s="30"/>
      <c r="I46" s="29"/>
      <c r="J46" s="29"/>
      <c r="K46" s="29"/>
    </row>
    <row r="47" spans="8:11" ht="15">
      <c r="H47" s="30"/>
      <c r="I47" s="29"/>
      <c r="J47" s="29"/>
      <c r="K47" s="29"/>
    </row>
    <row r="48" spans="8:16" ht="15">
      <c r="H48" s="30"/>
      <c r="I48" s="29"/>
      <c r="J48" s="29"/>
      <c r="K48" s="29"/>
      <c r="L48" s="29"/>
      <c r="P48" s="1"/>
    </row>
    <row r="53" spans="4:15" ht="15.75" thickBot="1">
      <c r="D53" s="12" t="s">
        <v>2</v>
      </c>
      <c r="E53" s="12" t="s">
        <v>3</v>
      </c>
      <c r="F53" s="12" t="s">
        <v>4</v>
      </c>
      <c r="G53" s="12" t="s">
        <v>5</v>
      </c>
      <c r="H53" s="12">
        <v>2018</v>
      </c>
      <c r="I53" s="12">
        <v>2019</v>
      </c>
      <c r="J53" s="12">
        <v>2020</v>
      </c>
      <c r="K53" s="12">
        <v>2021</v>
      </c>
      <c r="L53" s="12">
        <v>2022</v>
      </c>
      <c r="N53" s="49" t="s">
        <v>279</v>
      </c>
      <c r="O53" s="49" t="s">
        <v>58</v>
      </c>
    </row>
    <row r="54" spans="4:15" ht="15">
      <c r="D54" t="s">
        <v>59</v>
      </c>
      <c r="E54" t="s">
        <v>179</v>
      </c>
      <c r="F54" t="s">
        <v>6</v>
      </c>
      <c r="G54" s="45" t="s">
        <v>7</v>
      </c>
      <c r="H54" s="30">
        <v>1.8983540603270901</v>
      </c>
      <c r="I54" s="29">
        <v>2.9169885814082672</v>
      </c>
      <c r="J54" s="29">
        <v>2.9233084199020065</v>
      </c>
      <c r="K54" s="29">
        <v>2.9160581250770159</v>
      </c>
      <c r="L54" s="29">
        <v>1.7028384806625201</v>
      </c>
      <c r="N54" t="s">
        <v>282</v>
      </c>
      <c r="O54" s="29">
        <v>10.40</v>
      </c>
    </row>
    <row r="55" spans="4:15" ht="15">
      <c r="D55" t="s">
        <v>59</v>
      </c>
      <c r="E55" t="s">
        <v>179</v>
      </c>
      <c r="F55" t="s">
        <v>8</v>
      </c>
      <c r="G55" s="45" t="s">
        <v>9</v>
      </c>
      <c r="H55" s="30">
        <v>20.1128233846323</v>
      </c>
      <c r="I55" s="29">
        <v>20.829707214475608</v>
      </c>
      <c r="J55" s="29">
        <v>21.483394248547164</v>
      </c>
      <c r="K55" s="29">
        <v>20.570384916097975</v>
      </c>
      <c r="L55" s="30">
        <v>22.551189691217221</v>
      </c>
      <c r="N55" t="s">
        <v>16</v>
      </c>
      <c r="O55" s="29">
        <v>5.70</v>
      </c>
    </row>
    <row r="56" spans="4:15" ht="15">
      <c r="D56" t="s">
        <v>59</v>
      </c>
      <c r="E56" t="s">
        <v>179</v>
      </c>
      <c r="F56" t="s">
        <v>10</v>
      </c>
      <c r="G56" s="45" t="s">
        <v>11</v>
      </c>
      <c r="H56" s="30">
        <v>0.42769784899188301</v>
      </c>
      <c r="I56" s="29">
        <v>0.74181807651109255</v>
      </c>
      <c r="J56" s="29">
        <v>0.7440570217426532</v>
      </c>
      <c r="K56" s="29">
        <v>0.73064036372909791</v>
      </c>
      <c r="L56" s="29">
        <v>1.5478463345837199</v>
      </c>
      <c r="N56" t="s">
        <v>283</v>
      </c>
      <c r="O56" s="29">
        <v>13.40</v>
      </c>
    </row>
    <row r="57" spans="4:15" ht="15">
      <c r="D57" t="s">
        <v>59</v>
      </c>
      <c r="E57" t="s">
        <v>179</v>
      </c>
      <c r="F57" t="s">
        <v>12</v>
      </c>
      <c r="G57" s="45" t="s">
        <v>13</v>
      </c>
      <c r="H57" s="30">
        <v>6.9295287156334302</v>
      </c>
      <c r="I57" s="29">
        <v>6.5639975672352229</v>
      </c>
      <c r="J57" s="29">
        <v>5.780638065059601</v>
      </c>
      <c r="K57" s="29">
        <v>6.5949264310858817</v>
      </c>
      <c r="L57" s="29">
        <v>5.8166390635502099</v>
      </c>
      <c r="N57" t="s">
        <v>284</v>
      </c>
      <c r="O57" s="29">
        <v>1.30</v>
      </c>
    </row>
    <row r="58" spans="4:15" ht="15">
      <c r="D58" t="s">
        <v>59</v>
      </c>
      <c r="E58" t="s">
        <v>179</v>
      </c>
      <c r="F58" t="s">
        <v>14</v>
      </c>
      <c r="G58" s="45" t="s">
        <v>15</v>
      </c>
      <c r="H58" s="30">
        <v>1.09140526535876</v>
      </c>
      <c r="I58" s="29">
        <v>0.5707726774555677</v>
      </c>
      <c r="J58" s="29">
        <v>0.56119057639608538</v>
      </c>
      <c r="K58" s="29">
        <v>0.55161044480654198</v>
      </c>
      <c r="L58" s="29">
        <v>1.19927927754182</v>
      </c>
      <c r="N58" t="s">
        <v>22</v>
      </c>
      <c r="O58" s="29">
        <v>16.50</v>
      </c>
    </row>
    <row r="59" spans="4:15" ht="15">
      <c r="D59" t="s">
        <v>59</v>
      </c>
      <c r="E59" t="s">
        <v>179</v>
      </c>
      <c r="F59" t="s">
        <v>16</v>
      </c>
      <c r="G59" s="45" t="s">
        <v>17</v>
      </c>
      <c r="H59" s="30">
        <v>9.5100483128062994</v>
      </c>
      <c r="I59" s="29">
        <v>9.7037603897089575</v>
      </c>
      <c r="J59" s="29">
        <v>9.435975307949354</v>
      </c>
      <c r="K59" s="29">
        <v>9.2516395819175106</v>
      </c>
      <c r="L59" s="29">
        <v>10.6043548094603</v>
      </c>
      <c r="N59" t="s">
        <v>30</v>
      </c>
      <c r="O59" s="29">
        <v>3.80</v>
      </c>
    </row>
    <row r="60" spans="4:15" ht="15">
      <c r="D60" t="s">
        <v>59</v>
      </c>
      <c r="E60" t="s">
        <v>179</v>
      </c>
      <c r="F60" t="s">
        <v>18</v>
      </c>
      <c r="G60" s="45" t="s">
        <v>19</v>
      </c>
      <c r="H60" s="30">
        <v>1.9556249526505201</v>
      </c>
      <c r="I60" s="29">
        <v>1.5498072549825794</v>
      </c>
      <c r="J60" s="29">
        <v>1.5053268122598555</v>
      </c>
      <c r="K60" s="29">
        <v>1.4894503267095116</v>
      </c>
      <c r="L60" s="29">
        <v>1.0410295169864401</v>
      </c>
      <c r="N60" t="s">
        <v>20</v>
      </c>
      <c r="O60" s="29">
        <v>2.40</v>
      </c>
    </row>
    <row r="61" spans="4:15" ht="15">
      <c r="D61" t="s">
        <v>59</v>
      </c>
      <c r="E61" t="s">
        <v>179</v>
      </c>
      <c r="F61" t="s">
        <v>20</v>
      </c>
      <c r="G61" s="45" t="s">
        <v>21</v>
      </c>
      <c r="H61" s="30">
        <v>19.482476804508799</v>
      </c>
      <c r="I61" s="29">
        <v>17.613308735917627</v>
      </c>
      <c r="J61" s="29">
        <v>17.067480468046199</v>
      </c>
      <c r="K61" s="29">
        <v>18.473544022536192</v>
      </c>
      <c r="L61" s="30">
        <v>17.814731247908266</v>
      </c>
      <c r="N61" t="s">
        <v>12</v>
      </c>
      <c r="O61" s="29">
        <v>5</v>
      </c>
    </row>
    <row r="62" spans="4:15" ht="15">
      <c r="D62" t="s">
        <v>59</v>
      </c>
      <c r="E62" t="s">
        <v>179</v>
      </c>
      <c r="F62" t="s">
        <v>22</v>
      </c>
      <c r="G62" s="45" t="s">
        <v>23</v>
      </c>
      <c r="H62" s="30">
        <v>20.3153817696899</v>
      </c>
      <c r="I62" s="29">
        <v>20.746846228178715</v>
      </c>
      <c r="J62" s="29">
        <v>18.66727780331064</v>
      </c>
      <c r="K62" s="29">
        <v>19.411458005544933</v>
      </c>
      <c r="L62" s="30">
        <v>17.19085534816012</v>
      </c>
      <c r="N62" s="50" t="s">
        <v>280</v>
      </c>
      <c r="O62" s="29">
        <v>23.439361110035826</v>
      </c>
    </row>
    <row r="63" spans="4:15" ht="15">
      <c r="D63" t="s">
        <v>59</v>
      </c>
      <c r="E63" t="s">
        <v>179</v>
      </c>
      <c r="F63" t="s">
        <v>24</v>
      </c>
      <c r="G63" s="45" t="s">
        <v>25</v>
      </c>
      <c r="H63" s="30">
        <v>1.4729468330623701</v>
      </c>
      <c r="I63" s="29">
        <v>1.4943226387301358</v>
      </c>
      <c r="J63" s="29">
        <v>1.4634791461847667</v>
      </c>
      <c r="K63" s="29">
        <v>1.4446377495642824</v>
      </c>
      <c r="L63" s="29">
        <v>2.2584342466232901</v>
      </c>
      <c r="N63" s="50" t="s">
        <v>281</v>
      </c>
      <c r="O63" s="29">
        <v>0</v>
      </c>
    </row>
    <row r="64" spans="4:12" ht="15">
      <c r="D64" t="s">
        <v>59</v>
      </c>
      <c r="E64" t="s">
        <v>179</v>
      </c>
      <c r="F64" t="s">
        <v>26</v>
      </c>
      <c r="G64" s="45" t="s">
        <v>27</v>
      </c>
      <c r="H64" s="30">
        <v>4.65085642477431</v>
      </c>
      <c r="I64" s="29">
        <v>5.007589393109674</v>
      </c>
      <c r="J64" s="29">
        <v>4.7554316434518897</v>
      </c>
      <c r="K64" s="29">
        <v>4.7269471440454405</v>
      </c>
      <c r="L64" s="29">
        <v>6.2862087424890802</v>
      </c>
    </row>
    <row r="65" spans="4:12" ht="15">
      <c r="D65" t="s">
        <v>59</v>
      </c>
      <c r="E65" t="s">
        <v>179</v>
      </c>
      <c r="F65" t="s">
        <v>28</v>
      </c>
      <c r="G65" s="45" t="s">
        <v>29</v>
      </c>
      <c r="H65" s="30">
        <v>0.1947788154134</v>
      </c>
      <c r="I65" s="29">
        <v>0.26558264395501924</v>
      </c>
      <c r="J65" s="29">
        <v>0.2542796677646712</v>
      </c>
      <c r="K65" s="29">
        <v>0.25565928356184919</v>
      </c>
      <c r="L65" s="29">
        <v>0.187409320968947</v>
      </c>
    </row>
    <row r="66" spans="4:25" ht="15.75" thickBot="1">
      <c r="D66" t="s">
        <v>59</v>
      </c>
      <c r="E66" t="s">
        <v>179</v>
      </c>
      <c r="F66" t="s">
        <v>30</v>
      </c>
      <c r="G66" s="45" t="s">
        <v>31</v>
      </c>
      <c r="H66" s="30">
        <v>4.6984287524850101</v>
      </c>
      <c r="I66" s="29">
        <v>4.3090308460490396</v>
      </c>
      <c r="J66" s="29">
        <v>4.2602225832464828</v>
      </c>
      <c r="K66" s="29">
        <v>4.1432118323518896</v>
      </c>
      <c r="L66" s="29">
        <v>4.6924479738735299</v>
      </c>
      <c r="N66" s="12" t="s">
        <v>3</v>
      </c>
      <c r="O66" s="12" t="s">
        <v>2</v>
      </c>
      <c r="P66" s="12" t="s">
        <v>4</v>
      </c>
      <c r="Q66" s="12" t="s">
        <v>5</v>
      </c>
      <c r="R66" s="12">
        <v>2018</v>
      </c>
      <c r="S66" s="12">
        <v>2019</v>
      </c>
      <c r="T66" s="12">
        <v>2020</v>
      </c>
      <c r="U66" s="12">
        <v>2021</v>
      </c>
      <c r="V66" s="12">
        <v>2022</v>
      </c>
      <c r="W66" s="12">
        <v>2030</v>
      </c>
      <c r="X66" s="12">
        <v>2050</v>
      </c>
      <c r="Y66" s="12" t="s">
        <v>180</v>
      </c>
    </row>
    <row r="67" spans="4:25" ht="15">
      <c r="D67" t="s">
        <v>59</v>
      </c>
      <c r="E67" t="s">
        <v>179</v>
      </c>
      <c r="F67" t="s">
        <v>32</v>
      </c>
      <c r="G67" s="45" t="s">
        <v>33</v>
      </c>
      <c r="H67" s="30">
        <v>1.9571195447376</v>
      </c>
      <c r="I67" s="29">
        <v>2.1699504611733866</v>
      </c>
      <c r="J67" s="29">
        <v>1.9706387130131231</v>
      </c>
      <c r="K67" s="29">
        <v>1.9076981609625141</v>
      </c>
      <c r="L67" s="29">
        <v>3.6347440465271599</v>
      </c>
      <c r="N67" t="str">
        <f>_xlfn.TEXTJOIN(",",TRUE,Regions!$C$3,Regions!$D$3)</f>
        <v>IE,National</v>
      </c>
      <c r="O67" t="s">
        <v>59</v>
      </c>
      <c r="P67" t="s">
        <v>6</v>
      </c>
      <c r="Q67" t="s">
        <v>7</v>
      </c>
      <c r="R67" s="30">
        <v>1.8983540603270901</v>
      </c>
      <c r="S67" s="30">
        <v>2.9169885814082672</v>
      </c>
      <c r="T67" s="30">
        <v>2.9233084199020065</v>
      </c>
      <c r="U67" s="30">
        <v>2.9160581250770159</v>
      </c>
      <c r="V67" s="30">
        <v>1.7028384806625201</v>
      </c>
      <c r="W67" s="29">
        <v>1.972052694738631</v>
      </c>
      <c r="X67" s="29">
        <v>0.069541244411880462</v>
      </c>
      <c r="Y67">
        <v>0</v>
      </c>
    </row>
    <row r="68" spans="4:25" ht="15">
      <c r="D68" t="s">
        <v>59</v>
      </c>
      <c r="E68" t="s">
        <v>58</v>
      </c>
      <c r="F68" t="s">
        <v>34</v>
      </c>
      <c r="G68" s="45" t="s">
        <v>35</v>
      </c>
      <c r="H68" s="30">
        <v>14.5565610923972</v>
      </c>
      <c r="I68" s="29">
        <v>14.87639834</v>
      </c>
      <c r="J68" s="29">
        <v>10.76129175</v>
      </c>
      <c r="K68" s="30">
        <v>13.57251588540027</v>
      </c>
      <c r="L68" s="30">
        <v>14.05673907080137</v>
      </c>
      <c r="N68" t="str">
        <f>_xlfn.TEXTJOIN(",",TRUE,Regions!$C$3,Regions!$D$3)</f>
        <v>IE,National</v>
      </c>
      <c r="O68" t="s">
        <v>59</v>
      </c>
      <c r="P68" t="s">
        <v>8</v>
      </c>
      <c r="Q68" t="s">
        <v>9</v>
      </c>
      <c r="R68" s="30">
        <v>20.1128233846323</v>
      </c>
      <c r="S68" s="30">
        <v>20.829707214475608</v>
      </c>
      <c r="T68" s="30">
        <v>21.483394248547164</v>
      </c>
      <c r="U68" s="30">
        <v>20.570384916097975</v>
      </c>
      <c r="V68" s="30">
        <v>22.551189691217221</v>
      </c>
      <c r="W68" s="29">
        <v>20.554705332982316</v>
      </c>
      <c r="X68" s="29">
        <v>18.697327501852616</v>
      </c>
      <c r="Y68">
        <v>0</v>
      </c>
    </row>
    <row r="69" spans="4:25" ht="15">
      <c r="D69" t="s">
        <v>59</v>
      </c>
      <c r="E69" t="s">
        <v>58</v>
      </c>
      <c r="F69" t="s">
        <v>36</v>
      </c>
      <c r="G69" s="45" t="s">
        <v>37</v>
      </c>
      <c r="H69" s="30">
        <v>31.276118540281001</v>
      </c>
      <c r="I69" s="29">
        <v>31.984256429999999</v>
      </c>
      <c r="J69" s="29">
        <v>23.13677727</v>
      </c>
      <c r="K69" s="30">
        <v>27.703716034013713</v>
      </c>
      <c r="L69" s="30">
        <v>30.202204674413409</v>
      </c>
      <c r="N69" t="str">
        <f>_xlfn.TEXTJOIN(",",TRUE,Regions!$C$3,Regions!$D$3)</f>
        <v>IE,National</v>
      </c>
      <c r="O69" t="s">
        <v>59</v>
      </c>
      <c r="P69" t="s">
        <v>10</v>
      </c>
      <c r="Q69" t="s">
        <v>11</v>
      </c>
      <c r="R69" s="30">
        <v>0.42769784899188301</v>
      </c>
      <c r="S69" s="30">
        <v>0.74181807651109255</v>
      </c>
      <c r="T69" s="30">
        <v>0.7440570217426532</v>
      </c>
      <c r="U69" s="30">
        <v>0.73064036372909791</v>
      </c>
      <c r="V69" s="30">
        <v>1.5478463345837199</v>
      </c>
      <c r="W69" s="29">
        <v>1.407615765444906</v>
      </c>
      <c r="X69" s="29">
        <v>2.7347332528494115</v>
      </c>
      <c r="Y69">
        <v>0</v>
      </c>
    </row>
    <row r="70" spans="4:25" ht="15">
      <c r="D70" t="s">
        <v>59</v>
      </c>
      <c r="E70" t="s">
        <v>58</v>
      </c>
      <c r="F70" t="s">
        <v>38</v>
      </c>
      <c r="G70" s="45" t="s">
        <v>39</v>
      </c>
      <c r="H70" s="30">
        <v>27.131577542973599</v>
      </c>
      <c r="I70" s="30">
        <v>24.769203236999999</v>
      </c>
      <c r="J70" s="30">
        <v>17.917550766000002</v>
      </c>
      <c r="K70" s="30">
        <v>18.200537756613475</v>
      </c>
      <c r="L70" s="30">
        <v>18.849873697196202</v>
      </c>
      <c r="N70" t="str">
        <f>_xlfn.TEXTJOIN(",",TRUE,Regions!$C$3,Regions!$D$3)</f>
        <v>IE,National</v>
      </c>
      <c r="O70" t="s">
        <v>59</v>
      </c>
      <c r="P70" t="s">
        <v>12</v>
      </c>
      <c r="Q70" t="s">
        <v>13</v>
      </c>
      <c r="R70" s="30">
        <v>6.9295287156334302</v>
      </c>
      <c r="S70" s="30">
        <v>6.5639975672352229</v>
      </c>
      <c r="T70" s="30">
        <v>5.780638065059601</v>
      </c>
      <c r="U70" s="30">
        <v>6.5949264310858817</v>
      </c>
      <c r="V70" s="30">
        <v>5.8166390635502099</v>
      </c>
      <c r="W70" s="29">
        <v>5.2567556213288702</v>
      </c>
      <c r="X70" s="29">
        <v>4.2089907338674086</v>
      </c>
      <c r="Y70">
        <v>0</v>
      </c>
    </row>
    <row r="71" spans="4:25" ht="15">
      <c r="D71" t="s">
        <v>59</v>
      </c>
      <c r="E71" t="s">
        <v>58</v>
      </c>
      <c r="F71" t="s">
        <v>40</v>
      </c>
      <c r="G71" s="45" t="s">
        <v>41</v>
      </c>
      <c r="H71" s="30">
        <v>10.702591</v>
      </c>
      <c r="I71" s="30">
        <v>10.6386</v>
      </c>
      <c r="J71" s="30">
        <v>10.3482</v>
      </c>
      <c r="K71" s="30">
        <v>10.67855</v>
      </c>
      <c r="L71" s="30">
        <v>10.878188502532995</v>
      </c>
      <c r="N71" t="str">
        <f>_xlfn.TEXTJOIN(",",TRUE,Regions!$C$3,Regions!$D$3)</f>
        <v>IE,National</v>
      </c>
      <c r="O71" t="s">
        <v>59</v>
      </c>
      <c r="P71" t="s">
        <v>14</v>
      </c>
      <c r="Q71" t="s">
        <v>15</v>
      </c>
      <c r="R71" s="30">
        <v>1.09140526535876</v>
      </c>
      <c r="S71" s="30">
        <v>0.5707726774555677</v>
      </c>
      <c r="T71" s="30">
        <v>0.56119057639608538</v>
      </c>
      <c r="U71" s="30">
        <v>0.55161044480654198</v>
      </c>
      <c r="V71" s="30">
        <v>1.19927927754182</v>
      </c>
      <c r="W71" s="29"/>
      <c r="X71" s="29">
        <v>1.2712201490482398</v>
      </c>
      <c r="Y71">
        <v>0</v>
      </c>
    </row>
    <row r="72" spans="4:25" ht="15">
      <c r="D72" t="s">
        <v>59</v>
      </c>
      <c r="E72" t="s">
        <v>58</v>
      </c>
      <c r="F72" t="s">
        <v>42</v>
      </c>
      <c r="G72" t="s">
        <v>43</v>
      </c>
      <c r="H72" s="30">
        <v>7.7105748259750104</v>
      </c>
      <c r="I72" s="29">
        <v>10.277153740875089</v>
      </c>
      <c r="J72" s="29">
        <v>3.3705919303064187</v>
      </c>
      <c r="K72" s="29">
        <v>8.6157094085103783</v>
      </c>
      <c r="L72" s="29">
        <v>7.6814227047944605</v>
      </c>
      <c r="N72" t="str">
        <f>_xlfn.TEXTJOIN(",",TRUE,Regions!$C$3,Regions!$D$3)</f>
        <v>IE,National</v>
      </c>
      <c r="O72" t="s">
        <v>59</v>
      </c>
      <c r="P72" t="s">
        <v>16</v>
      </c>
      <c r="Q72" t="s">
        <v>17</v>
      </c>
      <c r="R72" s="30">
        <v>9.5100483128062994</v>
      </c>
      <c r="S72" s="30">
        <v>9.7037603897089575</v>
      </c>
      <c r="T72" s="30">
        <v>9.435975307949354</v>
      </c>
      <c r="U72" s="30">
        <v>9.2516395819175106</v>
      </c>
      <c r="V72" s="30">
        <v>10.6043548094603</v>
      </c>
      <c r="W72" s="29">
        <v>8.6936025856611057</v>
      </c>
      <c r="X72" s="29">
        <v>7.2088571410846098</v>
      </c>
      <c r="Y72">
        <v>0</v>
      </c>
    </row>
    <row r="73" spans="4:25" ht="15">
      <c r="D73" t="s">
        <v>59</v>
      </c>
      <c r="E73" t="s">
        <v>58</v>
      </c>
      <c r="F73" t="s">
        <v>44</v>
      </c>
      <c r="G73" t="s">
        <v>45</v>
      </c>
      <c r="H73" s="30">
        <v>3.5132998087277101</v>
      </c>
      <c r="I73" s="29">
        <v>3.7418117054559139</v>
      </c>
      <c r="J73" s="29">
        <v>4.5759806863218264</v>
      </c>
      <c r="K73" s="29">
        <v>5.0500849492972852</v>
      </c>
      <c r="L73" s="29">
        <v>4.6611834502685596</v>
      </c>
      <c r="N73" t="str">
        <f>_xlfn.TEXTJOIN(",",TRUE,Regions!$C$3,Regions!$D$3)</f>
        <v>IE,National</v>
      </c>
      <c r="O73" t="s">
        <v>59</v>
      </c>
      <c r="P73" t="s">
        <v>18</v>
      </c>
      <c r="Q73" t="s">
        <v>19</v>
      </c>
      <c r="R73" s="30">
        <v>1.9556249526505201</v>
      </c>
      <c r="S73" s="30">
        <v>1.5498072549825794</v>
      </c>
      <c r="T73" s="30">
        <v>1.5053268122598555</v>
      </c>
      <c r="U73" s="30">
        <v>1.4894503267095116</v>
      </c>
      <c r="V73" s="30">
        <v>1.0410295169864401</v>
      </c>
      <c r="W73" s="29">
        <v>1.1662896536418408</v>
      </c>
      <c r="X73" s="29">
        <v>0.48821533640581133</v>
      </c>
      <c r="Y73">
        <v>0</v>
      </c>
    </row>
    <row r="74" spans="4:25" ht="15">
      <c r="D74" t="s">
        <v>59</v>
      </c>
      <c r="E74" t="s">
        <v>58</v>
      </c>
      <c r="F74" t="s">
        <v>46</v>
      </c>
      <c r="G74" t="s">
        <v>47</v>
      </c>
      <c r="H74" s="30">
        <v>20.831454920682301</v>
      </c>
      <c r="I74" s="29">
        <v>16.657128777768676</v>
      </c>
      <c r="J74" s="29">
        <v>22.750457116443403</v>
      </c>
      <c r="K74" s="29">
        <v>15.130660002348661</v>
      </c>
      <c r="L74" s="29">
        <v>13.161374650000001</v>
      </c>
      <c r="N74" t="str">
        <f>_xlfn.TEXTJOIN(",",TRUE,Regions!$C$3,Regions!$D$3)</f>
        <v>IE,National</v>
      </c>
      <c r="O74" t="s">
        <v>59</v>
      </c>
      <c r="P74" t="s">
        <v>20</v>
      </c>
      <c r="Q74" t="s">
        <v>21</v>
      </c>
      <c r="R74" s="30">
        <v>19.482476804508799</v>
      </c>
      <c r="S74" s="30">
        <v>17.613308735917627</v>
      </c>
      <c r="T74" s="30">
        <v>17.067480468046199</v>
      </c>
      <c r="U74" s="30">
        <v>18.473544022536192</v>
      </c>
      <c r="V74" s="30">
        <v>17.814731247908266</v>
      </c>
      <c r="W74" s="29">
        <v>14.340003372823332</v>
      </c>
      <c r="X74" s="29">
        <v>8.8850491823775997</v>
      </c>
      <c r="Y74">
        <v>0</v>
      </c>
    </row>
    <row r="75" spans="4:25" ht="15">
      <c r="D75" t="s">
        <v>59</v>
      </c>
      <c r="E75" t="s">
        <v>58</v>
      </c>
      <c r="F75" t="s">
        <v>48</v>
      </c>
      <c r="G75" t="s">
        <v>49</v>
      </c>
      <c r="H75" s="30">
        <v>0.23349320028657899</v>
      </c>
      <c r="I75" s="29">
        <v>0.25090920347352241</v>
      </c>
      <c r="J75" s="29">
        <v>0.11004689080374389</v>
      </c>
      <c r="K75" s="29">
        <v>0.12006442123265494</v>
      </c>
      <c r="L75" s="29">
        <v>0.23</v>
      </c>
      <c r="N75" t="str">
        <f>_xlfn.TEXTJOIN(",",TRUE,Regions!$C$3,Regions!$D$3)</f>
        <v>IE,National</v>
      </c>
      <c r="O75" t="s">
        <v>59</v>
      </c>
      <c r="P75" t="s">
        <v>22</v>
      </c>
      <c r="Q75" t="s">
        <v>23</v>
      </c>
      <c r="R75" s="30">
        <v>20.3153817696899</v>
      </c>
      <c r="S75" s="30">
        <v>20.746846228178715</v>
      </c>
      <c r="T75" s="30">
        <v>18.66727780331064</v>
      </c>
      <c r="U75" s="30">
        <v>19.411458005544933</v>
      </c>
      <c r="V75" s="30">
        <v>17.19085534816012</v>
      </c>
      <c r="W75" s="29">
        <v>16.429457485804782</v>
      </c>
      <c r="X75" s="29">
        <v>11.953816850793071</v>
      </c>
      <c r="Y75">
        <v>0</v>
      </c>
    </row>
    <row r="76" spans="4:25" ht="15">
      <c r="D76" t="s">
        <v>59</v>
      </c>
      <c r="E76" t="s">
        <v>58</v>
      </c>
      <c r="F76" t="s">
        <v>50</v>
      </c>
      <c r="G76" t="s">
        <v>51</v>
      </c>
      <c r="H76" s="30">
        <v>45.9683637522608</v>
      </c>
      <c r="I76" s="29">
        <v>46.490627829341264</v>
      </c>
      <c r="J76" s="29">
        <v>16.580491392971403</v>
      </c>
      <c r="K76" s="29">
        <v>18.575720244415919</v>
      </c>
      <c r="L76" s="29">
        <v>48.192396850000002</v>
      </c>
      <c r="N76" t="str">
        <f>_xlfn.TEXTJOIN(",",TRUE,Regions!$C$3,Regions!$D$3)</f>
        <v>IE,National</v>
      </c>
      <c r="O76" t="s">
        <v>59</v>
      </c>
      <c r="P76" t="s">
        <v>24</v>
      </c>
      <c r="Q76" t="s">
        <v>25</v>
      </c>
      <c r="R76" s="30">
        <v>1.4729468330623701</v>
      </c>
      <c r="S76" s="30">
        <v>1.4943226387301358</v>
      </c>
      <c r="T76" s="30">
        <v>1.4634791461847667</v>
      </c>
      <c r="U76" s="30">
        <v>1.4446377495642824</v>
      </c>
      <c r="V76" s="30">
        <v>2.2584342466232901</v>
      </c>
      <c r="W76" s="29">
        <v>1.2848783646902477</v>
      </c>
      <c r="X76" s="29">
        <v>0.92767680170120992</v>
      </c>
      <c r="Y76">
        <v>0</v>
      </c>
    </row>
    <row r="77" spans="4:25" ht="15">
      <c r="D77" t="s">
        <v>59</v>
      </c>
      <c r="E77" t="s">
        <v>179</v>
      </c>
      <c r="F77" t="s">
        <v>52</v>
      </c>
      <c r="G77" s="45" t="s">
        <v>53</v>
      </c>
      <c r="H77" s="30">
        <v>211.819885</v>
      </c>
      <c r="I77" s="29">
        <v>227.33367966704699</v>
      </c>
      <c r="J77" s="29">
        <v>234.01489904006499</v>
      </c>
      <c r="K77" s="29">
        <v>250.52243040236399</v>
      </c>
      <c r="L77" s="29">
        <v>265.47273899323898</v>
      </c>
      <c r="N77" t="str">
        <f>_xlfn.TEXTJOIN(",",TRUE,Regions!$C$3,Regions!$D$3)</f>
        <v>IE,National</v>
      </c>
      <c r="O77" t="s">
        <v>59</v>
      </c>
      <c r="P77" t="s">
        <v>26</v>
      </c>
      <c r="Q77" t="s">
        <v>27</v>
      </c>
      <c r="R77" s="30">
        <v>4.65085642477431</v>
      </c>
      <c r="S77" s="30">
        <v>5.007589393109674</v>
      </c>
      <c r="T77" s="30">
        <v>4.7554316434518897</v>
      </c>
      <c r="U77" s="30">
        <v>4.7269471440454405</v>
      </c>
      <c r="V77" s="30">
        <v>6.2862087424890802</v>
      </c>
      <c r="W77" s="29">
        <v>6.1714117589967739</v>
      </c>
      <c r="X77" s="29">
        <v>9.0033719900865421</v>
      </c>
      <c r="Y77">
        <v>0</v>
      </c>
    </row>
    <row r="78" spans="4:25" ht="15">
      <c r="D78" t="s">
        <v>59</v>
      </c>
      <c r="E78" t="s">
        <v>179</v>
      </c>
      <c r="F78" t="s">
        <v>54</v>
      </c>
      <c r="G78" s="45" t="s">
        <v>55</v>
      </c>
      <c r="H78" s="30">
        <v>788.06472099999996</v>
      </c>
      <c r="I78" s="29">
        <v>805.70916346620595</v>
      </c>
      <c r="J78" s="29">
        <v>818.79213614191099</v>
      </c>
      <c r="K78" s="29">
        <v>828.23348265178799</v>
      </c>
      <c r="L78" s="29">
        <v>837.71211748108306</v>
      </c>
      <c r="N78" t="str">
        <f>_xlfn.TEXTJOIN(",",TRUE,Regions!$C$3,Regions!$D$3)</f>
        <v>IE,National</v>
      </c>
      <c r="O78" t="s">
        <v>59</v>
      </c>
      <c r="P78" t="s">
        <v>28</v>
      </c>
      <c r="Q78" t="s">
        <v>29</v>
      </c>
      <c r="R78" s="30">
        <v>0.1947788154134</v>
      </c>
      <c r="S78" s="30">
        <v>0.26558264395501924</v>
      </c>
      <c r="T78" s="30">
        <v>0.2542796677646712</v>
      </c>
      <c r="U78" s="30">
        <v>0.25565928356184919</v>
      </c>
      <c r="V78" s="30">
        <v>0.187409320968947</v>
      </c>
      <c r="W78" s="29">
        <v>0.17723840367205199</v>
      </c>
      <c r="X78" s="29">
        <v>0.023155875486813523</v>
      </c>
      <c r="Y78">
        <v>0</v>
      </c>
    </row>
    <row r="79" spans="4:25" ht="15">
      <c r="D79" t="s">
        <v>59</v>
      </c>
      <c r="E79" t="s">
        <v>179</v>
      </c>
      <c r="F79" t="s">
        <v>56</v>
      </c>
      <c r="G79" s="45" t="s">
        <v>57</v>
      </c>
      <c r="H79" s="30">
        <v>735.40672900000004</v>
      </c>
      <c r="I79" s="29">
        <v>756.93265686674704</v>
      </c>
      <c r="J79" s="29">
        <v>768.29446481802404</v>
      </c>
      <c r="K79" s="29">
        <v>772.86208694584798</v>
      </c>
      <c r="L79" s="29">
        <v>777.95194352567796</v>
      </c>
      <c r="N79" t="str">
        <f>_xlfn.TEXTJOIN(",",TRUE,Regions!$C$3,Regions!$D$3)</f>
        <v>IE,National</v>
      </c>
      <c r="O79" t="s">
        <v>59</v>
      </c>
      <c r="P79" t="s">
        <v>30</v>
      </c>
      <c r="Q79" t="s">
        <v>31</v>
      </c>
      <c r="R79" s="30">
        <v>4.6984287524850101</v>
      </c>
      <c r="S79" s="30">
        <v>4.3090308460490396</v>
      </c>
      <c r="T79" s="30">
        <v>4.2602225832464828</v>
      </c>
      <c r="U79" s="30">
        <v>4.1432118323518896</v>
      </c>
      <c r="V79" s="30">
        <v>4.6924479738735299</v>
      </c>
      <c r="W79" s="29">
        <v>3.9613080270270089</v>
      </c>
      <c r="X79" s="29">
        <v>3.3634789145880619</v>
      </c>
      <c r="Y79">
        <v>0</v>
      </c>
    </row>
    <row r="80" spans="4:25" ht="15">
      <c r="D80" t="s">
        <v>59</v>
      </c>
      <c r="E80" t="s">
        <v>179</v>
      </c>
      <c r="F80" t="s">
        <v>154</v>
      </c>
      <c r="G80" s="45" t="s">
        <v>155</v>
      </c>
      <c r="H80" s="30">
        <v>28.901664567933999</v>
      </c>
      <c r="I80" s="29">
        <v>29.285472960899106</v>
      </c>
      <c r="J80" s="29">
        <v>29.618106901468909</v>
      </c>
      <c r="K80" s="29">
        <v>30.592051000616877</v>
      </c>
      <c r="L80" s="29">
        <v>31.598021694557701</v>
      </c>
      <c r="N80" t="str">
        <f>_xlfn.TEXTJOIN(",",TRUE,Regions!$C$3,Regions!$D$3)</f>
        <v>IE,National</v>
      </c>
      <c r="O80" t="s">
        <v>59</v>
      </c>
      <c r="P80" t="s">
        <v>32</v>
      </c>
      <c r="Q80" t="s">
        <v>33</v>
      </c>
      <c r="R80" s="30">
        <v>1.9571195447376</v>
      </c>
      <c r="S80" s="30">
        <v>2.1699504611733866</v>
      </c>
      <c r="T80" s="30">
        <v>1.9706387130131231</v>
      </c>
      <c r="U80" s="30">
        <v>1.9076981609625141</v>
      </c>
      <c r="V80" s="30">
        <v>3.6347440465271599</v>
      </c>
      <c r="W80" s="29">
        <v>2.3951478356566893</v>
      </c>
      <c r="X80" s="29">
        <v>3.2441660809438213</v>
      </c>
      <c r="Y80">
        <v>0</v>
      </c>
    </row>
    <row r="81" spans="4:12" ht="15">
      <c r="D81" t="s">
        <v>59</v>
      </c>
      <c r="E81" t="s">
        <v>179</v>
      </c>
      <c r="F81" t="s">
        <v>156</v>
      </c>
      <c r="G81" s="45" t="s">
        <v>157</v>
      </c>
      <c r="H81" s="30">
        <v>58.151541961987597</v>
      </c>
      <c r="I81" s="29">
        <v>58.923782945423504</v>
      </c>
      <c r="J81" s="29">
        <v>59.593058464401295</v>
      </c>
      <c r="K81" s="29">
        <v>61.552680928952022</v>
      </c>
      <c r="L81" s="29">
        <v>63.576742445676302</v>
      </c>
    </row>
    <row r="82" spans="4:12" ht="15">
      <c r="D82" t="s">
        <v>59</v>
      </c>
      <c r="E82" t="s">
        <v>179</v>
      </c>
      <c r="F82" t="s">
        <v>158</v>
      </c>
      <c r="G82" s="45" t="s">
        <v>159</v>
      </c>
      <c r="H82" s="30">
        <v>5.6291760000000002</v>
      </c>
      <c r="I82" s="29"/>
      <c r="J82" s="29">
        <v>10.868400000000001</v>
      </c>
      <c r="K82" s="29">
        <v>14.3748</v>
      </c>
      <c r="L82" s="30">
        <v>18.9072</v>
      </c>
    </row>
    <row r="83" spans="4:12" ht="15">
      <c r="D83" t="s">
        <v>59</v>
      </c>
      <c r="E83" t="s">
        <v>179</v>
      </c>
      <c r="F83" t="s">
        <v>160</v>
      </c>
      <c r="G83" s="45" t="s">
        <v>161</v>
      </c>
      <c r="H83" s="30">
        <v>0.48</v>
      </c>
      <c r="I83" s="29"/>
      <c r="J83" s="29"/>
      <c r="K83" s="29"/>
      <c r="L83" s="29"/>
    </row>
    <row r="84" spans="4:12" ht="15">
      <c r="D84" t="s">
        <v>59</v>
      </c>
      <c r="E84" t="s">
        <v>179</v>
      </c>
      <c r="F84" t="s">
        <v>68</v>
      </c>
      <c r="G84" t="s">
        <v>181</v>
      </c>
      <c r="H84" s="30">
        <v>1.1544546193487999</v>
      </c>
      <c r="I84" s="29">
        <v>1.1908349006400001</v>
      </c>
      <c r="J84" s="29">
        <v>1.2115424059200002</v>
      </c>
      <c r="K84" s="29">
        <v>1.2318444230400001</v>
      </c>
      <c r="L84" s="29">
        <v>1.2514826903039997</v>
      </c>
    </row>
    <row r="85" spans="4:12" ht="15">
      <c r="D85" t="s">
        <v>59</v>
      </c>
      <c r="E85" t="s">
        <v>179</v>
      </c>
      <c r="F85" t="s">
        <v>69</v>
      </c>
      <c r="G85" t="s">
        <v>182</v>
      </c>
      <c r="H85" s="30">
        <v>2.0006897535500099</v>
      </c>
      <c r="I85" s="29">
        <v>2.0637374080794082</v>
      </c>
      <c r="J85" s="29">
        <v>2.099623871644904</v>
      </c>
      <c r="K85" s="29">
        <v>2.1348076172401118</v>
      </c>
      <c r="L85" s="46">
        <v>2.1688410728944572</v>
      </c>
    </row>
    <row r="86" spans="4:12" ht="15">
      <c r="D86" t="s">
        <v>59</v>
      </c>
      <c r="E86" t="s">
        <v>179</v>
      </c>
      <c r="F86" t="s">
        <v>70</v>
      </c>
      <c r="G86" t="s">
        <v>183</v>
      </c>
      <c r="H86" s="30">
        <v>0.78876799986757495</v>
      </c>
      <c r="I86" s="29">
        <v>0.81362441364750004</v>
      </c>
      <c r="J86" s="29">
        <v>0.82777258131750009</v>
      </c>
      <c r="K86" s="29">
        <v>0.84164370380999998</v>
      </c>
      <c r="L86" s="29">
        <v>0.855061326756</v>
      </c>
    </row>
    <row r="87" spans="4:12" ht="15">
      <c r="D87" t="s">
        <v>59</v>
      </c>
      <c r="E87" t="s">
        <v>179</v>
      </c>
      <c r="F87" t="s">
        <v>71</v>
      </c>
      <c r="G87" t="s">
        <v>184</v>
      </c>
      <c r="H87" s="30">
        <v>1.05169316530962</v>
      </c>
      <c r="I87" s="29">
        <v>1.0848351290947176</v>
      </c>
      <c r="J87" s="29">
        <v>1.1036993974761575</v>
      </c>
      <c r="K87" s="29">
        <v>1.1221942714099173</v>
      </c>
      <c r="L87" s="29">
        <v>1.1400844778449895</v>
      </c>
    </row>
    <row r="88" spans="4:12" ht="15">
      <c r="D88" t="s">
        <v>59</v>
      </c>
      <c r="E88" t="s">
        <v>179</v>
      </c>
      <c r="F88" t="s">
        <v>72</v>
      </c>
      <c r="G88" t="s">
        <v>185</v>
      </c>
      <c r="H88" s="30">
        <v>0.84878652127122001</v>
      </c>
      <c r="I88" s="29">
        <v>0.8755342962660001</v>
      </c>
      <c r="J88" s="29">
        <v>0.89075901889800024</v>
      </c>
      <c r="K88" s="29">
        <v>0.90568561557600002</v>
      </c>
      <c r="L88" s="29">
        <v>0.92012420525760008</v>
      </c>
    </row>
    <row r="89" spans="4:12" ht="15">
      <c r="D89" t="s">
        <v>59</v>
      </c>
      <c r="E89" t="s">
        <v>179</v>
      </c>
      <c r="F89" t="s">
        <v>73</v>
      </c>
      <c r="G89" t="s">
        <v>186</v>
      </c>
      <c r="H89" s="30">
        <v>9.2169270601308995</v>
      </c>
      <c r="I89" s="29">
        <v>9.5073797063138894</v>
      </c>
      <c r="J89" s="29">
        <v>9.6727041483181129</v>
      </c>
      <c r="K89" s="29">
        <v>9.8347912566655307</v>
      </c>
      <c r="L89" s="29">
        <v>9.9915791233568569</v>
      </c>
    </row>
    <row r="90" spans="4:12" ht="15">
      <c r="D90" t="s">
        <v>59</v>
      </c>
      <c r="E90" t="s">
        <v>179</v>
      </c>
      <c r="F90" t="s">
        <v>74</v>
      </c>
      <c r="G90" t="s">
        <v>187</v>
      </c>
      <c r="H90" s="1">
        <v>0</v>
      </c>
      <c r="I90">
        <v>0</v>
      </c>
      <c r="J90">
        <v>0</v>
      </c>
      <c r="K90">
        <v>0</v>
      </c>
      <c r="L90">
        <v>0</v>
      </c>
    </row>
  </sheetData>
  <pageMargins left="0.7" right="0.7" top="0.75" bottom="0.75" header="0.3" footer="0.3"/>
  <pageSetup orientation="portrait" paperSize="9" r:id="rId4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E982DE-1A8D-4D0C-9CD3-51B0DFFDA372}">
  <dimension ref="D4:W254"/>
  <sheetViews>
    <sheetView tabSelected="1" workbookViewId="0" topLeftCell="B120">
      <selection pane="topLeft" activeCell="Q136" sqref="Q136"/>
    </sheetView>
  </sheetViews>
  <sheetFormatPr defaultRowHeight="15"/>
  <cols>
    <col min="4" max="4" width="9.85714285714286" bestFit="1" customWidth="1"/>
    <col min="8" max="8" width="12.1428571428571" bestFit="1" customWidth="1"/>
    <col min="9" max="9" width="10.4285714285714" bestFit="1" customWidth="1"/>
    <col min="10" max="10" width="18.7142857142857" customWidth="1"/>
    <col min="11" max="11" width="21.5714285714286" customWidth="1"/>
    <col min="13" max="13" width="8.28571428571429" bestFit="1" customWidth="1"/>
    <col min="18" max="18" width="13.1428571428571" bestFit="1" customWidth="1"/>
    <col min="19" max="19" width="13.5714285714286" customWidth="1"/>
    <col min="20" max="20" width="25.8571428571429" customWidth="1"/>
    <col min="22" max="22" width="9" customWidth="1"/>
    <col min="23" max="23" width="21.7142857142857" customWidth="1"/>
  </cols>
  <sheetData>
    <row r="4" spans="4:12" ht="15.75" thickBot="1">
      <c r="D4" s="24" t="s">
        <v>147</v>
      </c>
      <c r="J4" s="25"/>
      <c r="K4" s="25"/>
      <c r="L4" s="25"/>
    </row>
    <row r="5" spans="4:13" ht="25.5">
      <c r="D5" s="26" t="s">
        <v>65</v>
      </c>
      <c r="E5" s="26" t="s">
        <v>1</v>
      </c>
      <c r="F5" s="26" t="s">
        <v>2</v>
      </c>
      <c r="G5" s="26" t="s">
        <v>61</v>
      </c>
      <c r="H5" s="26" t="s">
        <v>58</v>
      </c>
      <c r="I5" s="26" t="str">
        <f>IF(Regions!AJ5&lt;&gt;"",Regions!AJ5,"*")</f>
        <v>*</v>
      </c>
      <c r="J5" s="26" t="s">
        <v>4</v>
      </c>
      <c r="K5" s="26" t="s">
        <v>153</v>
      </c>
      <c r="L5" s="26" t="s">
        <v>148</v>
      </c>
      <c r="M5" s="26" t="s">
        <v>149</v>
      </c>
    </row>
    <row r="6" spans="4:20" ht="15">
      <c r="D6" s="27" t="s">
        <v>150</v>
      </c>
      <c r="E6" s="27"/>
      <c r="F6" s="27" t="s">
        <v>152</v>
      </c>
      <c r="G6" s="27"/>
      <c r="H6" s="27"/>
      <c r="I6" s="27"/>
      <c r="J6" s="27"/>
      <c r="K6" s="27"/>
      <c r="L6" s="27"/>
      <c r="M6" s="27"/>
      <c r="S6" t="s">
        <v>271</v>
      </c>
      <c r="T6" t="s">
        <v>260</v>
      </c>
    </row>
    <row r="7" spans="6:20" ht="15">
      <c r="F7" t="s">
        <v>151</v>
      </c>
      <c r="G7">
        <v>2023</v>
      </c>
      <c r="H7" s="42">
        <f>+SUMIFS(Inputs_RSD!$L$2:$L$124,Inputs_RSD!$C$2:$C$124,Residential!L7,Inputs_RSD!$D$2:$D$124,Residential!J7)</f>
        <v>0.000506142839224487</v>
      </c>
      <c r="I7" s="42">
        <f>+H7</f>
        <v>0.000506142839224487</v>
      </c>
      <c r="J7" t="s">
        <v>140</v>
      </c>
      <c r="L7" t="s">
        <v>209</v>
      </c>
      <c r="S7" t="s">
        <v>188</v>
      </c>
      <c r="T7" s="28">
        <v>0.20</v>
      </c>
    </row>
    <row r="8" spans="6:20" ht="15">
      <c r="F8" t="s">
        <v>151</v>
      </c>
      <c r="G8">
        <v>2023</v>
      </c>
      <c r="H8" s="42">
        <f>+SUMIFS(Inputs_RSD!$L$2:$L$124,Inputs_RSD!$C$2:$C$124,Residential!L8,Inputs_RSD!$D$2:$D$124,Residential!J8)</f>
        <v>0.00055272693120035003</v>
      </c>
      <c r="I8" s="42">
        <f t="shared" si="0" ref="I8:I71">+H8</f>
        <v>0.00055272693120035003</v>
      </c>
      <c r="J8" t="s">
        <v>143</v>
      </c>
      <c r="L8" t="s">
        <v>209</v>
      </c>
      <c r="S8" t="s">
        <v>189</v>
      </c>
      <c r="T8" s="28">
        <v>0.20</v>
      </c>
    </row>
    <row r="9" spans="6:20" ht="15">
      <c r="F9" t="s">
        <v>151</v>
      </c>
      <c r="G9">
        <v>2023</v>
      </c>
      <c r="H9" s="42">
        <f>+SUMIFS(Inputs_RSD!$L$2:$L$124,Inputs_RSD!$C$2:$C$124,Residential!L9,Inputs_RSD!$D$2:$D$124,Residential!J9)</f>
        <v>0.00043315605376271002</v>
      </c>
      <c r="I9" s="42">
        <f t="shared" si="0"/>
        <v>0.00043315605376271002</v>
      </c>
      <c r="J9" t="s">
        <v>212</v>
      </c>
      <c r="L9" t="s">
        <v>209</v>
      </c>
      <c r="S9" t="s">
        <v>190</v>
      </c>
      <c r="T9" s="28">
        <v>0.30</v>
      </c>
    </row>
    <row r="10" spans="6:20" ht="15">
      <c r="F10" t="s">
        <v>151</v>
      </c>
      <c r="G10">
        <v>2023</v>
      </c>
      <c r="H10" s="42">
        <f>+SUMIFS(Inputs_RSD!$L$2:$L$124,Inputs_RSD!$C$2:$C$124,Residential!L10,Inputs_RSD!$D$2:$D$124,Residential!J10)</f>
        <v>0.0040244969239508098</v>
      </c>
      <c r="I10" s="42">
        <f t="shared" si="0"/>
        <v>0.0040244969239508098</v>
      </c>
      <c r="J10" t="s">
        <v>137</v>
      </c>
      <c r="L10" t="s">
        <v>209</v>
      </c>
      <c r="S10" t="s">
        <v>191</v>
      </c>
      <c r="T10" s="28">
        <v>0.20</v>
      </c>
    </row>
    <row r="11" spans="6:20" ht="15">
      <c r="F11" t="s">
        <v>151</v>
      </c>
      <c r="G11">
        <v>2023</v>
      </c>
      <c r="H11" s="42">
        <f>+SUMIFS(Inputs_RSD!$L$2:$L$124,Inputs_RSD!$C$2:$C$124,Residential!L11,Inputs_RSD!$D$2:$D$124,Residential!J11)</f>
        <v>0.000683619325130715</v>
      </c>
      <c r="I11" s="42">
        <f t="shared" si="0"/>
        <v>0.000683619325130715</v>
      </c>
      <c r="J11" t="s">
        <v>140</v>
      </c>
      <c r="L11" t="s">
        <v>213</v>
      </c>
      <c r="S11" t="s">
        <v>192</v>
      </c>
      <c r="T11" s="28">
        <v>0.20</v>
      </c>
    </row>
    <row r="12" spans="6:12" ht="15">
      <c r="F12" t="s">
        <v>151</v>
      </c>
      <c r="G12">
        <v>2023</v>
      </c>
      <c r="H12" s="42">
        <f>+SUMIFS(Inputs_RSD!$L$2:$L$124,Inputs_RSD!$C$2:$C$124,Residential!L12,Inputs_RSD!$D$2:$D$124,Residential!J12)</f>
        <v>0.00037301650664773602</v>
      </c>
      <c r="I12" s="42">
        <f t="shared" si="0"/>
        <v>0.00037301650664773602</v>
      </c>
      <c r="J12" t="s">
        <v>143</v>
      </c>
      <c r="L12" t="s">
        <v>213</v>
      </c>
    </row>
    <row r="13" spans="6:12" ht="15">
      <c r="F13" t="s">
        <v>151</v>
      </c>
      <c r="G13">
        <v>2023</v>
      </c>
      <c r="H13" s="42">
        <f>+SUMIFS(Inputs_RSD!$L$2:$L$124,Inputs_RSD!$C$2:$C$124,Residential!L13,Inputs_RSD!$D$2:$D$124,Residential!J13)</f>
        <v>0.0065085678239306501</v>
      </c>
      <c r="I13" s="42">
        <f t="shared" si="0"/>
        <v>0.0065085678239306501</v>
      </c>
      <c r="J13" t="s">
        <v>212</v>
      </c>
      <c r="L13" t="s">
        <v>213</v>
      </c>
    </row>
    <row r="14" spans="6:23" ht="15">
      <c r="F14" t="s">
        <v>151</v>
      </c>
      <c r="G14">
        <v>2023</v>
      </c>
      <c r="H14" s="42">
        <f>+SUMIFS(Inputs_RSD!$L$2:$L$124,Inputs_RSD!$C$2:$C$124,Residential!L14,Inputs_RSD!$D$2:$D$124,Residential!J14)</f>
        <v>0.0097445348238324302</v>
      </c>
      <c r="I14" s="42">
        <f t="shared" si="0"/>
        <v>0.0097445348238324302</v>
      </c>
      <c r="J14" t="s">
        <v>137</v>
      </c>
      <c r="L14" t="s">
        <v>213</v>
      </c>
      <c r="R14" t="s">
        <v>272</v>
      </c>
      <c r="S14" t="s">
        <v>273</v>
      </c>
      <c r="T14" t="s">
        <v>270</v>
      </c>
      <c r="V14" t="s">
        <v>269</v>
      </c>
      <c r="W14" t="s">
        <v>268</v>
      </c>
    </row>
    <row r="15" spans="6:23" ht="15">
      <c r="F15" t="s">
        <v>151</v>
      </c>
      <c r="G15">
        <v>2023</v>
      </c>
      <c r="H15" s="42">
        <f>+SUMIFS(Inputs_RSD!$L$2:$L$124,Inputs_RSD!$C$2:$C$124,Residential!L15,Inputs_RSD!$D$2:$D$124,Residential!J15)</f>
        <v>0.00075723595506168901</v>
      </c>
      <c r="I15" s="42">
        <f t="shared" si="0"/>
        <v>0.00075723595506168901</v>
      </c>
      <c r="J15" t="s">
        <v>140</v>
      </c>
      <c r="L15" t="s">
        <v>214</v>
      </c>
      <c r="R15" t="s">
        <v>140</v>
      </c>
      <c r="S15" t="s">
        <v>209</v>
      </c>
      <c r="T15">
        <v>0.20</v>
      </c>
      <c r="V15">
        <v>1</v>
      </c>
      <c r="W15" s="32" t="s">
        <v>66</v>
      </c>
    </row>
    <row r="16" spans="6:23" ht="15">
      <c r="F16" t="s">
        <v>151</v>
      </c>
      <c r="G16">
        <v>2023</v>
      </c>
      <c r="H16" s="42">
        <f>+SUMIFS(Inputs_RSD!$L$2:$L$124,Inputs_RSD!$C$2:$C$124,Residential!L16,Inputs_RSD!$D$2:$D$124,Residential!J16)</f>
        <v>0.000343728252885419</v>
      </c>
      <c r="I16" s="42">
        <f t="shared" si="0"/>
        <v>0.000343728252885419</v>
      </c>
      <c r="J16" t="s">
        <v>143</v>
      </c>
      <c r="L16" t="s">
        <v>214</v>
      </c>
      <c r="R16" t="s">
        <v>143</v>
      </c>
      <c r="S16" t="s">
        <v>209</v>
      </c>
      <c r="T16">
        <v>0.20</v>
      </c>
      <c r="V16">
        <v>1</v>
      </c>
      <c r="W16" t="s">
        <v>261</v>
      </c>
    </row>
    <row r="17" spans="6:23" ht="15">
      <c r="F17" t="s">
        <v>151</v>
      </c>
      <c r="G17">
        <v>2023</v>
      </c>
      <c r="H17" s="42">
        <f>+SUMIFS(Inputs_RSD!$L$2:$L$124,Inputs_RSD!$C$2:$C$124,Residential!L17,Inputs_RSD!$D$2:$D$124,Residential!J17)</f>
        <v>0.011604149295966801</v>
      </c>
      <c r="I17" s="42">
        <f t="shared" si="0"/>
        <v>0.011604149295966801</v>
      </c>
      <c r="J17" t="s">
        <v>212</v>
      </c>
      <c r="L17" t="s">
        <v>214</v>
      </c>
      <c r="R17" t="s">
        <v>212</v>
      </c>
      <c r="S17" t="s">
        <v>209</v>
      </c>
      <c r="T17">
        <v>0.20</v>
      </c>
      <c r="V17">
        <v>1</v>
      </c>
      <c r="W17" t="s">
        <v>262</v>
      </c>
    </row>
    <row r="18" spans="6:23" ht="15">
      <c r="F18" t="s">
        <v>151</v>
      </c>
      <c r="G18">
        <v>2023</v>
      </c>
      <c r="H18" s="42">
        <f>+SUMIFS(Inputs_RSD!$L$2:$L$124,Inputs_RSD!$C$2:$C$124,Residential!L18,Inputs_RSD!$D$2:$D$124,Residential!J18)</f>
        <v>0.012331284039255199</v>
      </c>
      <c r="I18" s="42">
        <f t="shared" si="0"/>
        <v>0.012331284039255199</v>
      </c>
      <c r="J18" t="s">
        <v>137</v>
      </c>
      <c r="L18" t="s">
        <v>214</v>
      </c>
      <c r="R18" t="s">
        <v>137</v>
      </c>
      <c r="S18" t="s">
        <v>209</v>
      </c>
      <c r="T18">
        <v>0.30</v>
      </c>
      <c r="V18">
        <v>1</v>
      </c>
      <c r="W18" t="s">
        <v>263</v>
      </c>
    </row>
    <row r="19" spans="6:23" ht="15">
      <c r="F19" t="s">
        <v>151</v>
      </c>
      <c r="G19">
        <v>2023</v>
      </c>
      <c r="H19" s="42">
        <f>+SUMIFS(Inputs_RSD!$L$2:$L$124,Inputs_RSD!$C$2:$C$124,Residential!L19,Inputs_RSD!$D$2:$D$124,Residential!J19)</f>
        <v>0.00075793685463835202</v>
      </c>
      <c r="I19" s="42">
        <f t="shared" si="0"/>
        <v>0.00075793685463835202</v>
      </c>
      <c r="J19" t="s">
        <v>140</v>
      </c>
      <c r="L19" t="s">
        <v>215</v>
      </c>
      <c r="R19" t="s">
        <v>140</v>
      </c>
      <c r="S19" t="s">
        <v>213</v>
      </c>
      <c r="T19">
        <v>0.20</v>
      </c>
      <c r="V19">
        <v>1</v>
      </c>
      <c r="W19" t="s">
        <v>264</v>
      </c>
    </row>
    <row r="20" spans="6:23" ht="15">
      <c r="F20" t="s">
        <v>151</v>
      </c>
      <c r="G20">
        <v>2023</v>
      </c>
      <c r="H20" s="42">
        <f>+SUMIFS(Inputs_RSD!$L$2:$L$124,Inputs_RSD!$C$2:$C$124,Residential!L20,Inputs_RSD!$D$2:$D$124,Residential!J20)</f>
        <v>0.00031842733929098998</v>
      </c>
      <c r="I20" s="42">
        <f t="shared" si="0"/>
        <v>0.00031842733929098998</v>
      </c>
      <c r="J20" t="s">
        <v>143</v>
      </c>
      <c r="L20" t="s">
        <v>215</v>
      </c>
      <c r="R20" t="s">
        <v>143</v>
      </c>
      <c r="S20" t="s">
        <v>213</v>
      </c>
      <c r="T20">
        <v>0.20</v>
      </c>
      <c r="V20">
        <v>1</v>
      </c>
      <c r="W20" t="s">
        <v>265</v>
      </c>
    </row>
    <row r="21" spans="6:23" ht="15">
      <c r="F21" t="s">
        <v>151</v>
      </c>
      <c r="G21">
        <v>2023</v>
      </c>
      <c r="H21" s="42">
        <f>+SUMIFS(Inputs_RSD!$L$2:$L$124,Inputs_RSD!$C$2:$C$124,Residential!L21,Inputs_RSD!$D$2:$D$124,Residential!J21)</f>
        <v>0.015658923996909099</v>
      </c>
      <c r="I21" s="42">
        <f t="shared" si="0"/>
        <v>0.015658923996909099</v>
      </c>
      <c r="J21" t="s">
        <v>212</v>
      </c>
      <c r="L21" t="s">
        <v>215</v>
      </c>
      <c r="R21" t="s">
        <v>212</v>
      </c>
      <c r="S21" t="s">
        <v>213</v>
      </c>
      <c r="T21">
        <v>0.20</v>
      </c>
      <c r="V21">
        <v>1</v>
      </c>
      <c r="W21" t="s">
        <v>266</v>
      </c>
    </row>
    <row r="22" spans="6:23" ht="15">
      <c r="F22" t="s">
        <v>151</v>
      </c>
      <c r="G22">
        <v>2023</v>
      </c>
      <c r="H22" s="42">
        <f>+SUMIFS(Inputs_RSD!$L$2:$L$124,Inputs_RSD!$C$2:$C$124,Residential!L22,Inputs_RSD!$D$2:$D$124,Residential!J22)</f>
        <v>0.0137580627391312</v>
      </c>
      <c r="I22" s="42">
        <f t="shared" si="0"/>
        <v>0.0137580627391312</v>
      </c>
      <c r="J22" t="s">
        <v>137</v>
      </c>
      <c r="L22" t="s">
        <v>215</v>
      </c>
      <c r="R22" t="s">
        <v>137</v>
      </c>
      <c r="S22" t="s">
        <v>213</v>
      </c>
      <c r="T22">
        <v>0.30</v>
      </c>
      <c r="V22">
        <v>1</v>
      </c>
      <c r="W22" t="s">
        <v>267</v>
      </c>
    </row>
    <row r="23" spans="6:20" ht="15">
      <c r="F23" t="s">
        <v>151</v>
      </c>
      <c r="G23">
        <v>2023</v>
      </c>
      <c r="H23" s="42">
        <f>+SUMIFS(Inputs_RSD!$L$2:$L$124,Inputs_RSD!$C$2:$C$124,Residential!L23,Inputs_RSD!$D$2:$D$124,Residential!J23)</f>
        <v>0.00070490984619025901</v>
      </c>
      <c r="I23" s="42">
        <f t="shared" si="0"/>
        <v>0.00070490984619025901</v>
      </c>
      <c r="J23" t="s">
        <v>140</v>
      </c>
      <c r="L23" t="s">
        <v>216</v>
      </c>
      <c r="R23" t="s">
        <v>140</v>
      </c>
      <c r="S23" t="s">
        <v>214</v>
      </c>
      <c r="T23">
        <v>0.20</v>
      </c>
    </row>
    <row r="24" spans="6:20" ht="15">
      <c r="F24" t="s">
        <v>151</v>
      </c>
      <c r="G24">
        <v>2023</v>
      </c>
      <c r="H24" s="42">
        <f>+SUMIFS(Inputs_RSD!$L$2:$L$124,Inputs_RSD!$C$2:$C$124,Residential!L24,Inputs_RSD!$D$2:$D$124,Residential!J24)</f>
        <v>0.00021330643979401999</v>
      </c>
      <c r="I24" s="42">
        <f t="shared" si="0"/>
        <v>0.00021330643979401999</v>
      </c>
      <c r="J24" t="s">
        <v>143</v>
      </c>
      <c r="L24" t="s">
        <v>216</v>
      </c>
      <c r="R24" t="s">
        <v>143</v>
      </c>
      <c r="S24" t="s">
        <v>214</v>
      </c>
      <c r="T24">
        <v>0.20</v>
      </c>
    </row>
    <row r="25" spans="6:20" ht="15">
      <c r="F25" t="s">
        <v>151</v>
      </c>
      <c r="G25">
        <v>2023</v>
      </c>
      <c r="H25" s="42">
        <f>+SUMIFS(Inputs_RSD!$L$2:$L$124,Inputs_RSD!$C$2:$C$124,Residential!L25,Inputs_RSD!$D$2:$D$124,Residential!J25)</f>
        <v>0.0113937015968713</v>
      </c>
      <c r="I25" s="42">
        <f t="shared" si="0"/>
        <v>0.0113937015968713</v>
      </c>
      <c r="J25" t="s">
        <v>217</v>
      </c>
      <c r="L25" t="s">
        <v>216</v>
      </c>
      <c r="R25" t="s">
        <v>212</v>
      </c>
      <c r="S25" t="s">
        <v>214</v>
      </c>
      <c r="T25">
        <v>0.20</v>
      </c>
    </row>
    <row r="26" spans="6:20" ht="15">
      <c r="F26" t="s">
        <v>151</v>
      </c>
      <c r="G26">
        <v>2023</v>
      </c>
      <c r="H26" s="42">
        <f>+SUMIFS(Inputs_RSD!$L$2:$L$124,Inputs_RSD!$C$2:$C$124,Residential!L26,Inputs_RSD!$D$2:$D$124,Residential!J26)</f>
        <v>0.013665642356902799</v>
      </c>
      <c r="I26" s="42">
        <f t="shared" si="0"/>
        <v>0.013665642356902799</v>
      </c>
      <c r="J26" t="s">
        <v>137</v>
      </c>
      <c r="L26" t="s">
        <v>216</v>
      </c>
      <c r="R26" t="s">
        <v>137</v>
      </c>
      <c r="S26" t="s">
        <v>214</v>
      </c>
      <c r="T26">
        <v>0.30</v>
      </c>
    </row>
    <row r="27" spans="6:20" ht="15">
      <c r="F27" t="s">
        <v>151</v>
      </c>
      <c r="G27">
        <v>2023</v>
      </c>
      <c r="H27" s="42">
        <f>+SUMIFS(Inputs_RSD!$L$2:$L$124,Inputs_RSD!$C$2:$C$124,Residential!L27,Inputs_RSD!$D$2:$D$124,Residential!J27)</f>
        <v>0.00063201440609990996</v>
      </c>
      <c r="I27" s="42">
        <f t="shared" si="0"/>
        <v>0.00063201440609990996</v>
      </c>
      <c r="J27" t="s">
        <v>140</v>
      </c>
      <c r="L27" t="s">
        <v>218</v>
      </c>
      <c r="R27" t="s">
        <v>140</v>
      </c>
      <c r="S27" t="s">
        <v>215</v>
      </c>
      <c r="T27">
        <v>0.20</v>
      </c>
    </row>
    <row r="28" spans="6:20" ht="15">
      <c r="F28" t="s">
        <v>151</v>
      </c>
      <c r="G28">
        <v>2023</v>
      </c>
      <c r="H28" s="42">
        <f>+SUMIFS(Inputs_RSD!$L$2:$L$124,Inputs_RSD!$C$2:$C$124,Residential!L28,Inputs_RSD!$D$2:$D$124,Residential!J28)</f>
        <v>9.2802973696255701E-05</v>
      </c>
      <c r="I28" s="42">
        <f t="shared" si="0"/>
        <v>9.2802973696255701E-05</v>
      </c>
      <c r="J28" t="s">
        <v>143</v>
      </c>
      <c r="L28" t="s">
        <v>218</v>
      </c>
      <c r="R28" t="s">
        <v>143</v>
      </c>
      <c r="S28" t="s">
        <v>215</v>
      </c>
      <c r="T28">
        <v>0.20</v>
      </c>
    </row>
    <row r="29" spans="6:20" ht="15">
      <c r="F29" t="s">
        <v>151</v>
      </c>
      <c r="G29">
        <v>2023</v>
      </c>
      <c r="H29" s="42">
        <f>+SUMIFS(Inputs_RSD!$L$2:$L$124,Inputs_RSD!$C$2:$C$124,Residential!L29,Inputs_RSD!$D$2:$D$124,Residential!J29)</f>
        <v>0.0124634538797252</v>
      </c>
      <c r="I29" s="42">
        <f t="shared" si="0"/>
        <v>0.0124634538797252</v>
      </c>
      <c r="J29" t="s">
        <v>219</v>
      </c>
      <c r="L29" t="s">
        <v>218</v>
      </c>
      <c r="R29" t="s">
        <v>212</v>
      </c>
      <c r="S29" t="s">
        <v>215</v>
      </c>
      <c r="T29">
        <v>0.20</v>
      </c>
    </row>
    <row r="30" spans="6:20" ht="15">
      <c r="F30" t="s">
        <v>151</v>
      </c>
      <c r="G30">
        <v>2023</v>
      </c>
      <c r="H30" s="42">
        <f>+SUMIFS(Inputs_RSD!$L$2:$L$124,Inputs_RSD!$C$2:$C$124,Residential!L30,Inputs_RSD!$D$2:$D$124,Residential!J30)</f>
        <v>0.0116206091575292</v>
      </c>
      <c r="I30" s="42">
        <f t="shared" si="0"/>
        <v>0.0116206091575292</v>
      </c>
      <c r="J30" t="s">
        <v>137</v>
      </c>
      <c r="L30" t="s">
        <v>218</v>
      </c>
      <c r="R30" t="s">
        <v>137</v>
      </c>
      <c r="S30" t="s">
        <v>215</v>
      </c>
      <c r="T30">
        <v>0.30</v>
      </c>
    </row>
    <row r="31" spans="6:20" ht="15">
      <c r="F31" t="s">
        <v>151</v>
      </c>
      <c r="G31">
        <v>2023</v>
      </c>
      <c r="H31" s="42">
        <f>+SUMIFS(Inputs_RSD!$L$2:$L$124,Inputs_RSD!$C$2:$C$124,Residential!L31,Inputs_RSD!$D$2:$D$124,Residential!J31)</f>
        <v>0.00058833522338227497</v>
      </c>
      <c r="I31" s="42">
        <f t="shared" si="0"/>
        <v>0.00058833522338227497</v>
      </c>
      <c r="J31" t="s">
        <v>140</v>
      </c>
      <c r="L31" t="s">
        <v>220</v>
      </c>
      <c r="R31" t="s">
        <v>140</v>
      </c>
      <c r="S31" t="s">
        <v>216</v>
      </c>
      <c r="T31">
        <v>0.20</v>
      </c>
    </row>
    <row r="32" spans="6:20" ht="15">
      <c r="F32" t="s">
        <v>151</v>
      </c>
      <c r="G32">
        <v>2023</v>
      </c>
      <c r="H32" s="42">
        <f>+SUMIFS(Inputs_RSD!$L$2:$L$124,Inputs_RSD!$C$2:$C$124,Residential!L32,Inputs_RSD!$D$2:$D$124,Residential!J32)</f>
        <v>6.9127556176359E-05</v>
      </c>
      <c r="I32" s="42">
        <f t="shared" si="0"/>
        <v>6.9127556176359E-05</v>
      </c>
      <c r="J32" t="s">
        <v>143</v>
      </c>
      <c r="L32" t="s">
        <v>220</v>
      </c>
      <c r="R32" t="s">
        <v>143</v>
      </c>
      <c r="S32" t="s">
        <v>216</v>
      </c>
      <c r="T32">
        <v>0.20</v>
      </c>
    </row>
    <row r="33" spans="6:20" ht="15">
      <c r="F33" t="s">
        <v>151</v>
      </c>
      <c r="G33">
        <v>2023</v>
      </c>
      <c r="H33" s="42">
        <f>+SUMIFS(Inputs_RSD!$L$2:$L$124,Inputs_RSD!$C$2:$C$124,Residential!L33,Inputs_RSD!$D$2:$D$124,Residential!J33)</f>
        <v>0.016645048110215999</v>
      </c>
      <c r="I33" s="42">
        <f t="shared" si="0"/>
        <v>0.016645048110215999</v>
      </c>
      <c r="J33" t="s">
        <v>221</v>
      </c>
      <c r="L33" t="s">
        <v>220</v>
      </c>
      <c r="R33" t="s">
        <v>217</v>
      </c>
      <c r="S33" t="s">
        <v>216</v>
      </c>
      <c r="T33">
        <v>0.20</v>
      </c>
    </row>
    <row r="34" spans="6:20" ht="15">
      <c r="F34" t="s">
        <v>151</v>
      </c>
      <c r="G34">
        <v>2023</v>
      </c>
      <c r="H34" s="42">
        <f>+SUMIFS(Inputs_RSD!$L$2:$L$124,Inputs_RSD!$C$2:$C$124,Residential!L34,Inputs_RSD!$D$2:$D$124,Residential!J34)</f>
        <v>0.010940282504497099</v>
      </c>
      <c r="I34" s="42">
        <f t="shared" si="0"/>
        <v>0.010940282504497099</v>
      </c>
      <c r="J34" t="s">
        <v>137</v>
      </c>
      <c r="L34" t="s">
        <v>220</v>
      </c>
      <c r="R34" t="s">
        <v>137</v>
      </c>
      <c r="S34" t="s">
        <v>216</v>
      </c>
      <c r="T34">
        <v>0.30</v>
      </c>
    </row>
    <row r="35" spans="6:20" ht="15">
      <c r="F35" t="s">
        <v>151</v>
      </c>
      <c r="G35">
        <v>2023</v>
      </c>
      <c r="H35" s="42">
        <f>+SUMIFS(Inputs_RSD!$L$2:$L$124,Inputs_RSD!$C$2:$C$124,Residential!L35,Inputs_RSD!$D$2:$D$124,Residential!J35)</f>
        <v>0.00055338501641265204</v>
      </c>
      <c r="I35" s="42">
        <f t="shared" si="0"/>
        <v>0.00055338501641265204</v>
      </c>
      <c r="J35" t="s">
        <v>140</v>
      </c>
      <c r="L35" t="s">
        <v>222</v>
      </c>
      <c r="R35" t="s">
        <v>140</v>
      </c>
      <c r="S35" t="s">
        <v>218</v>
      </c>
      <c r="T35">
        <v>0.20</v>
      </c>
    </row>
    <row r="36" spans="6:20" ht="15">
      <c r="F36" t="s">
        <v>151</v>
      </c>
      <c r="G36">
        <v>2023</v>
      </c>
      <c r="H36" s="42">
        <f>+SUMIFS(Inputs_RSD!$L$2:$L$124,Inputs_RSD!$C$2:$C$124,Residential!L36,Inputs_RSD!$D$2:$D$124,Residential!J36)</f>
        <v>8.4873154087721598E-05</v>
      </c>
      <c r="I36" s="42">
        <f t="shared" si="0"/>
        <v>8.4873154087721598E-05</v>
      </c>
      <c r="J36" t="s">
        <v>143</v>
      </c>
      <c r="L36" t="s">
        <v>222</v>
      </c>
      <c r="R36" t="s">
        <v>143</v>
      </c>
      <c r="S36" t="s">
        <v>218</v>
      </c>
      <c r="T36">
        <v>0.20</v>
      </c>
    </row>
    <row r="37" spans="6:20" ht="15">
      <c r="F37" t="s">
        <v>151</v>
      </c>
      <c r="G37">
        <v>2023</v>
      </c>
      <c r="H37" s="42">
        <f>+SUMIFS(Inputs_RSD!$L$2:$L$124,Inputs_RSD!$C$2:$C$124,Residential!L37,Inputs_RSD!$D$2:$D$124,Residential!J37)</f>
        <v>0.0226241477602659</v>
      </c>
      <c r="I37" s="42">
        <f t="shared" si="0"/>
        <v>0.0226241477602659</v>
      </c>
      <c r="J37" t="s">
        <v>223</v>
      </c>
      <c r="L37" t="s">
        <v>222</v>
      </c>
      <c r="R37" t="s">
        <v>219</v>
      </c>
      <c r="S37" t="s">
        <v>218</v>
      </c>
      <c r="T37">
        <v>0.20</v>
      </c>
    </row>
    <row r="38" spans="6:20" ht="15">
      <c r="F38" t="s">
        <v>151</v>
      </c>
      <c r="G38">
        <v>2023</v>
      </c>
      <c r="H38" s="42">
        <f>+SUMIFS(Inputs_RSD!$L$2:$L$124,Inputs_RSD!$C$2:$C$124,Residential!L38,Inputs_RSD!$D$2:$D$124,Residential!J38)</f>
        <v>0.011080838801265799</v>
      </c>
      <c r="I38" s="42">
        <f t="shared" si="0"/>
        <v>0.011080838801265799</v>
      </c>
      <c r="J38" t="s">
        <v>137</v>
      </c>
      <c r="L38" t="s">
        <v>222</v>
      </c>
      <c r="R38" t="s">
        <v>137</v>
      </c>
      <c r="S38" t="s">
        <v>218</v>
      </c>
      <c r="T38">
        <v>0.30</v>
      </c>
    </row>
    <row r="39" spans="6:20" ht="15">
      <c r="F39" t="s">
        <v>151</v>
      </c>
      <c r="G39">
        <v>2023</v>
      </c>
      <c r="H39" s="42">
        <f>+SUMIFS(Inputs_RSD!$L$2:$L$124,Inputs_RSD!$C$2:$C$124,Residential!L39,Inputs_RSD!$D$2:$D$124,Residential!J39)</f>
        <v>0.000533896737113557</v>
      </c>
      <c r="I39" s="42">
        <f t="shared" si="0"/>
        <v>0.000533896737113557</v>
      </c>
      <c r="J39" t="s">
        <v>140</v>
      </c>
      <c r="L39" t="s">
        <v>224</v>
      </c>
      <c r="R39" t="s">
        <v>140</v>
      </c>
      <c r="S39" t="s">
        <v>220</v>
      </c>
      <c r="T39">
        <v>0.20</v>
      </c>
    </row>
    <row r="40" spans="6:20" ht="15">
      <c r="F40" t="s">
        <v>151</v>
      </c>
      <c r="G40">
        <v>2023</v>
      </c>
      <c r="H40" s="42">
        <f>+SUMIFS(Inputs_RSD!$L$2:$L$124,Inputs_RSD!$C$2:$C$124,Residential!L40,Inputs_RSD!$D$2:$D$124,Residential!J40)</f>
        <v>7.1426639989066005E-05</v>
      </c>
      <c r="I40" s="42">
        <f t="shared" si="0"/>
        <v>7.1426639989066005E-05</v>
      </c>
      <c r="J40" t="s">
        <v>143</v>
      </c>
      <c r="L40" t="s">
        <v>224</v>
      </c>
      <c r="R40" t="s">
        <v>143</v>
      </c>
      <c r="S40" t="s">
        <v>220</v>
      </c>
      <c r="T40">
        <v>0.20</v>
      </c>
    </row>
    <row r="41" spans="6:20" ht="15">
      <c r="F41" t="s">
        <v>151</v>
      </c>
      <c r="G41">
        <v>2023</v>
      </c>
      <c r="H41" s="42">
        <f>+SUMIFS(Inputs_RSD!$L$2:$L$124,Inputs_RSD!$C$2:$C$124,Residential!L41,Inputs_RSD!$D$2:$D$124,Residential!J41)</f>
        <v>0.027338413527361698</v>
      </c>
      <c r="I41" s="42">
        <f t="shared" si="0"/>
        <v>0.027338413527361698</v>
      </c>
      <c r="J41" t="s">
        <v>225</v>
      </c>
      <c r="L41" t="s">
        <v>224</v>
      </c>
      <c r="R41" t="s">
        <v>221</v>
      </c>
      <c r="S41" t="s">
        <v>220</v>
      </c>
      <c r="T41">
        <v>0.20</v>
      </c>
    </row>
    <row r="42" spans="6:20" ht="15">
      <c r="F42" t="s">
        <v>151</v>
      </c>
      <c r="G42">
        <v>2023</v>
      </c>
      <c r="H42" s="42">
        <f>+SUMIFS(Inputs_RSD!$L$2:$L$124,Inputs_RSD!$C$2:$C$124,Residential!L42,Inputs_RSD!$D$2:$D$124,Residential!J42)</f>
        <v>0.010581748102151799</v>
      </c>
      <c r="I42" s="42">
        <f t="shared" si="0"/>
        <v>0.010581748102151799</v>
      </c>
      <c r="J42" t="s">
        <v>137</v>
      </c>
      <c r="L42" t="s">
        <v>224</v>
      </c>
      <c r="R42" t="s">
        <v>137</v>
      </c>
      <c r="S42" t="s">
        <v>220</v>
      </c>
      <c r="T42">
        <v>0.30</v>
      </c>
    </row>
    <row r="43" spans="6:20" ht="15">
      <c r="F43" t="s">
        <v>151</v>
      </c>
      <c r="G43">
        <v>2023</v>
      </c>
      <c r="H43" s="42">
        <f>+SUMIFS(Inputs_RSD!$L$2:$L$124,Inputs_RSD!$C$2:$C$124,Residential!L43,Inputs_RSD!$D$2:$D$124,Residential!J43)</f>
        <v>0.00074241698715176601</v>
      </c>
      <c r="I43" s="42">
        <f t="shared" si="0"/>
        <v>0.00074241698715176601</v>
      </c>
      <c r="J43" t="s">
        <v>141</v>
      </c>
      <c r="L43" t="s">
        <v>226</v>
      </c>
      <c r="R43" t="s">
        <v>140</v>
      </c>
      <c r="S43" t="s">
        <v>222</v>
      </c>
      <c r="T43">
        <v>0.20</v>
      </c>
    </row>
    <row r="44" spans="6:20" ht="15">
      <c r="F44" t="s">
        <v>151</v>
      </c>
      <c r="G44">
        <v>2023</v>
      </c>
      <c r="H44" s="42">
        <f>+SUMIFS(Inputs_RSD!$L$2:$L$124,Inputs_RSD!$C$2:$C$124,Residential!L44,Inputs_RSD!$D$2:$D$124,Residential!J44)</f>
        <v>0.00069732301417353205</v>
      </c>
      <c r="I44" s="42">
        <f t="shared" si="0"/>
        <v>0.00069732301417353205</v>
      </c>
      <c r="J44" t="s">
        <v>144</v>
      </c>
      <c r="L44" t="s">
        <v>226</v>
      </c>
      <c r="R44" t="s">
        <v>143</v>
      </c>
      <c r="S44" t="s">
        <v>222</v>
      </c>
      <c r="T44">
        <v>0.20</v>
      </c>
    </row>
    <row r="45" spans="6:20" ht="15">
      <c r="F45" t="s">
        <v>151</v>
      </c>
      <c r="G45">
        <v>2023</v>
      </c>
      <c r="H45" s="42">
        <f>+SUMIFS(Inputs_RSD!$L$2:$L$124,Inputs_RSD!$C$2:$C$124,Residential!L45,Inputs_RSD!$D$2:$D$124,Residential!J45)</f>
        <v>0.0016091636703289801</v>
      </c>
      <c r="I45" s="42">
        <f t="shared" si="0"/>
        <v>0.0016091636703289801</v>
      </c>
      <c r="J45" t="s">
        <v>227</v>
      </c>
      <c r="L45" t="s">
        <v>226</v>
      </c>
      <c r="R45" t="s">
        <v>223</v>
      </c>
      <c r="S45" t="s">
        <v>222</v>
      </c>
      <c r="T45">
        <v>0.20</v>
      </c>
    </row>
    <row r="46" spans="6:20" ht="15">
      <c r="F46" t="s">
        <v>151</v>
      </c>
      <c r="G46">
        <v>2023</v>
      </c>
      <c r="H46" s="42">
        <f>+SUMIFS(Inputs_RSD!$L$2:$L$124,Inputs_RSD!$C$2:$C$124,Residential!L46,Inputs_RSD!$D$2:$D$124,Residential!J46)</f>
        <v>0.0057786168730819196</v>
      </c>
      <c r="I46" s="42">
        <f t="shared" si="0"/>
        <v>0.0057786168730819196</v>
      </c>
      <c r="J46" t="s">
        <v>138</v>
      </c>
      <c r="L46" t="s">
        <v>226</v>
      </c>
      <c r="R46" t="s">
        <v>137</v>
      </c>
      <c r="S46" t="s">
        <v>222</v>
      </c>
      <c r="T46">
        <v>0.30</v>
      </c>
    </row>
    <row r="47" spans="6:20" ht="15">
      <c r="F47" t="s">
        <v>151</v>
      </c>
      <c r="G47">
        <v>2023</v>
      </c>
      <c r="H47" s="42">
        <f>+SUMIFS(Inputs_RSD!$L$2:$L$124,Inputs_RSD!$C$2:$C$124,Residential!L47,Inputs_RSD!$D$2:$D$124,Residential!J47)</f>
        <v>0.00077940560081569</v>
      </c>
      <c r="I47" s="42">
        <f t="shared" si="0"/>
        <v>0.00077940560081569</v>
      </c>
      <c r="J47" t="s">
        <v>141</v>
      </c>
      <c r="L47" t="s">
        <v>228</v>
      </c>
      <c r="R47" t="s">
        <v>140</v>
      </c>
      <c r="S47" t="s">
        <v>224</v>
      </c>
      <c r="T47">
        <v>0.20</v>
      </c>
    </row>
    <row r="48" spans="6:20" ht="15">
      <c r="F48" t="s">
        <v>151</v>
      </c>
      <c r="G48">
        <v>2023</v>
      </c>
      <c r="H48" s="42">
        <f>+SUMIFS(Inputs_RSD!$L$2:$L$124,Inputs_RSD!$C$2:$C$124,Residential!L48,Inputs_RSD!$D$2:$D$124,Residential!J48)</f>
        <v>0.000426163933939329</v>
      </c>
      <c r="I48" s="42">
        <f t="shared" si="0"/>
        <v>0.000426163933939329</v>
      </c>
      <c r="J48" t="s">
        <v>144</v>
      </c>
      <c r="L48" t="s">
        <v>228</v>
      </c>
      <c r="R48" t="s">
        <v>143</v>
      </c>
      <c r="S48" t="s">
        <v>224</v>
      </c>
      <c r="T48">
        <v>0.20</v>
      </c>
    </row>
    <row r="49" spans="6:20" ht="15">
      <c r="F49" t="s">
        <v>151</v>
      </c>
      <c r="G49">
        <v>2023</v>
      </c>
      <c r="H49" s="42">
        <f>+SUMIFS(Inputs_RSD!$L$2:$L$124,Inputs_RSD!$C$2:$C$124,Residential!L49,Inputs_RSD!$D$2:$D$124,Residential!J49)</f>
        <v>0.012603603215973499</v>
      </c>
      <c r="I49" s="42">
        <f t="shared" si="0"/>
        <v>0.012603603215973499</v>
      </c>
      <c r="J49" t="s">
        <v>227</v>
      </c>
      <c r="L49" t="s">
        <v>228</v>
      </c>
      <c r="R49" t="s">
        <v>225</v>
      </c>
      <c r="S49" t="s">
        <v>224</v>
      </c>
      <c r="T49">
        <v>0.20</v>
      </c>
    </row>
    <row r="50" spans="6:20" ht="15">
      <c r="F50" t="s">
        <v>151</v>
      </c>
      <c r="G50">
        <v>2023</v>
      </c>
      <c r="H50" s="42">
        <f>+SUMIFS(Inputs_RSD!$L$2:$L$124,Inputs_RSD!$C$2:$C$124,Residential!L50,Inputs_RSD!$D$2:$D$124,Residential!J50)</f>
        <v>0.0053948468322694201</v>
      </c>
      <c r="I50" s="42">
        <f t="shared" si="0"/>
        <v>0.0053948468322694201</v>
      </c>
      <c r="J50" t="s">
        <v>138</v>
      </c>
      <c r="L50" t="s">
        <v>228</v>
      </c>
      <c r="R50" t="s">
        <v>137</v>
      </c>
      <c r="S50" t="s">
        <v>224</v>
      </c>
      <c r="T50">
        <v>0.30</v>
      </c>
    </row>
    <row r="51" spans="6:20" ht="15">
      <c r="F51" t="s">
        <v>151</v>
      </c>
      <c r="G51">
        <v>2023</v>
      </c>
      <c r="H51" s="42">
        <f>+SUMIFS(Inputs_RSD!$L$2:$L$124,Inputs_RSD!$C$2:$C$124,Residential!L51,Inputs_RSD!$D$2:$D$124,Residential!J51)</f>
        <v>0.00093488148228942805</v>
      </c>
      <c r="I51" s="42">
        <f t="shared" si="0"/>
        <v>0.00093488148228942805</v>
      </c>
      <c r="J51" t="s">
        <v>141</v>
      </c>
      <c r="L51" t="s">
        <v>229</v>
      </c>
      <c r="R51" t="s">
        <v>141</v>
      </c>
      <c r="S51" t="s">
        <v>226</v>
      </c>
      <c r="T51">
        <v>0.20</v>
      </c>
    </row>
    <row r="52" spans="6:20" ht="15">
      <c r="F52" t="s">
        <v>151</v>
      </c>
      <c r="G52">
        <v>2023</v>
      </c>
      <c r="H52" s="42">
        <f>+SUMIFS(Inputs_RSD!$L$2:$L$124,Inputs_RSD!$C$2:$C$124,Residential!L52,Inputs_RSD!$D$2:$D$124,Residential!J52)</f>
        <v>0.00040670311858187198</v>
      </c>
      <c r="I52" s="42">
        <f t="shared" si="0"/>
        <v>0.00040670311858187198</v>
      </c>
      <c r="J52" t="s">
        <v>144</v>
      </c>
      <c r="L52" t="s">
        <v>229</v>
      </c>
      <c r="R52" t="s">
        <v>144</v>
      </c>
      <c r="S52" t="s">
        <v>226</v>
      </c>
      <c r="T52">
        <v>0.20</v>
      </c>
    </row>
    <row r="53" spans="6:20" ht="15">
      <c r="F53" t="s">
        <v>151</v>
      </c>
      <c r="G53">
        <v>2023</v>
      </c>
      <c r="H53" s="42">
        <f>+SUMIFS(Inputs_RSD!$L$2:$L$124,Inputs_RSD!$C$2:$C$124,Residential!L53,Inputs_RSD!$D$2:$D$124,Residential!J53)</f>
        <v>0.019962815705499199</v>
      </c>
      <c r="I53" s="42">
        <f t="shared" si="0"/>
        <v>0.019962815705499199</v>
      </c>
      <c r="J53" t="s">
        <v>227</v>
      </c>
      <c r="L53" t="s">
        <v>229</v>
      </c>
      <c r="R53" t="s">
        <v>227</v>
      </c>
      <c r="S53" t="s">
        <v>226</v>
      </c>
      <c r="T53">
        <v>0.20</v>
      </c>
    </row>
    <row r="54" spans="6:20" ht="15">
      <c r="F54" t="s">
        <v>151</v>
      </c>
      <c r="G54">
        <v>2023</v>
      </c>
      <c r="H54" s="42">
        <f>+SUMIFS(Inputs_RSD!$L$2:$L$124,Inputs_RSD!$C$2:$C$124,Residential!L54,Inputs_RSD!$D$2:$D$124,Residential!J54)</f>
        <v>0.0079920668210354106</v>
      </c>
      <c r="I54" s="42">
        <f t="shared" si="0"/>
        <v>0.0079920668210354106</v>
      </c>
      <c r="J54" t="s">
        <v>138</v>
      </c>
      <c r="L54" t="s">
        <v>229</v>
      </c>
      <c r="R54" t="s">
        <v>138</v>
      </c>
      <c r="S54" t="s">
        <v>226</v>
      </c>
      <c r="T54">
        <v>0.30</v>
      </c>
    </row>
    <row r="55" spans="6:20" ht="15">
      <c r="F55" t="s">
        <v>151</v>
      </c>
      <c r="G55">
        <v>2023</v>
      </c>
      <c r="H55" s="42">
        <f>+SUMIFS(Inputs_RSD!$L$2:$L$124,Inputs_RSD!$C$2:$C$124,Residential!L55,Inputs_RSD!$D$2:$D$124,Residential!J55)</f>
        <v>0.00095937840089950596</v>
      </c>
      <c r="I55" s="42">
        <f t="shared" si="0"/>
        <v>0.00095937840089950596</v>
      </c>
      <c r="J55" t="s">
        <v>141</v>
      </c>
      <c r="L55" t="s">
        <v>230</v>
      </c>
      <c r="R55" t="s">
        <v>141</v>
      </c>
      <c r="S55" t="s">
        <v>228</v>
      </c>
      <c r="T55">
        <v>0.20</v>
      </c>
    </row>
    <row r="56" spans="6:20" ht="15">
      <c r="F56" t="s">
        <v>151</v>
      </c>
      <c r="G56">
        <v>2023</v>
      </c>
      <c r="H56" s="42">
        <f>+SUMIFS(Inputs_RSD!$L$2:$L$124,Inputs_RSD!$C$2:$C$124,Residential!L56,Inputs_RSD!$D$2:$D$124,Residential!J56)</f>
        <v>0.00039745734872240202</v>
      </c>
      <c r="I56" s="42">
        <f t="shared" si="0"/>
        <v>0.00039745734872240202</v>
      </c>
      <c r="J56" t="s">
        <v>144</v>
      </c>
      <c r="L56" t="s">
        <v>230</v>
      </c>
      <c r="R56" t="s">
        <v>144</v>
      </c>
      <c r="S56" t="s">
        <v>228</v>
      </c>
      <c r="T56">
        <v>0.20</v>
      </c>
    </row>
    <row r="57" spans="6:20" ht="15">
      <c r="F57" t="s">
        <v>151</v>
      </c>
      <c r="G57">
        <v>2023</v>
      </c>
      <c r="H57" s="42">
        <f>+SUMIFS(Inputs_RSD!$L$2:$L$124,Inputs_RSD!$C$2:$C$124,Residential!L57,Inputs_RSD!$D$2:$D$124,Residential!J57)</f>
        <v>0.023880087312967601</v>
      </c>
      <c r="I57" s="42">
        <f t="shared" si="0"/>
        <v>0.023880087312967601</v>
      </c>
      <c r="J57" t="s">
        <v>227</v>
      </c>
      <c r="L57" t="s">
        <v>230</v>
      </c>
      <c r="R57" t="s">
        <v>227</v>
      </c>
      <c r="S57" t="s">
        <v>228</v>
      </c>
      <c r="T57">
        <v>0.20</v>
      </c>
    </row>
    <row r="58" spans="6:20" ht="15">
      <c r="F58" t="s">
        <v>151</v>
      </c>
      <c r="G58">
        <v>2023</v>
      </c>
      <c r="H58" s="42">
        <f>+SUMIFS(Inputs_RSD!$L$2:$L$124,Inputs_RSD!$C$2:$C$124,Residential!L58,Inputs_RSD!$D$2:$D$124,Residential!J58)</f>
        <v>0.0089012862565573808</v>
      </c>
      <c r="I58" s="42">
        <f t="shared" si="0"/>
        <v>0.0089012862565573808</v>
      </c>
      <c r="J58" t="s">
        <v>138</v>
      </c>
      <c r="L58" t="s">
        <v>230</v>
      </c>
      <c r="R58" t="s">
        <v>138</v>
      </c>
      <c r="S58" t="s">
        <v>228</v>
      </c>
      <c r="T58">
        <v>0.30</v>
      </c>
    </row>
    <row r="59" spans="6:20" ht="15">
      <c r="F59" t="s">
        <v>151</v>
      </c>
      <c r="G59">
        <v>2023</v>
      </c>
      <c r="H59" s="42">
        <f>+SUMIFS(Inputs_RSD!$L$2:$L$124,Inputs_RSD!$C$2:$C$124,Residential!L59,Inputs_RSD!$D$2:$D$124,Residential!J59)</f>
        <v>0.00094983104774723102</v>
      </c>
      <c r="I59" s="42">
        <f t="shared" si="0"/>
        <v>0.00094983104774723102</v>
      </c>
      <c r="J59" t="s">
        <v>141</v>
      </c>
      <c r="L59" t="s">
        <v>231</v>
      </c>
      <c r="R59" t="s">
        <v>141</v>
      </c>
      <c r="S59" t="s">
        <v>229</v>
      </c>
      <c r="T59">
        <v>0.20</v>
      </c>
    </row>
    <row r="60" spans="6:20" ht="15">
      <c r="F60" t="s">
        <v>151</v>
      </c>
      <c r="G60">
        <v>2023</v>
      </c>
      <c r="H60" s="42">
        <f>+SUMIFS(Inputs_RSD!$L$2:$L$124,Inputs_RSD!$C$2:$C$124,Residential!L60,Inputs_RSD!$D$2:$D$124,Residential!J60)</f>
        <v>0.00039487301870630399</v>
      </c>
      <c r="I60" s="42">
        <f t="shared" si="0"/>
        <v>0.00039487301870630399</v>
      </c>
      <c r="J60" t="s">
        <v>144</v>
      </c>
      <c r="L60" t="s">
        <v>231</v>
      </c>
      <c r="R60" t="s">
        <v>144</v>
      </c>
      <c r="S60" t="s">
        <v>229</v>
      </c>
      <c r="T60">
        <v>0.20</v>
      </c>
    </row>
    <row r="61" spans="6:20" ht="15">
      <c r="F61" t="s">
        <v>151</v>
      </c>
      <c r="G61">
        <v>2023</v>
      </c>
      <c r="H61" s="42">
        <f>+SUMIFS(Inputs_RSD!$L$2:$L$124,Inputs_RSD!$C$2:$C$124,Residential!L61,Inputs_RSD!$D$2:$D$124,Residential!J61)</f>
        <v>0.020324283757671101</v>
      </c>
      <c r="I61" s="42">
        <f t="shared" si="0"/>
        <v>0.020324283757671101</v>
      </c>
      <c r="J61" t="s">
        <v>232</v>
      </c>
      <c r="L61" t="s">
        <v>231</v>
      </c>
      <c r="R61" t="s">
        <v>227</v>
      </c>
      <c r="S61" t="s">
        <v>229</v>
      </c>
      <c r="T61">
        <v>0.20</v>
      </c>
    </row>
    <row r="62" spans="6:20" ht="15">
      <c r="F62" t="s">
        <v>151</v>
      </c>
      <c r="G62">
        <v>2023</v>
      </c>
      <c r="H62" s="42">
        <f>+SUMIFS(Inputs_RSD!$L$2:$L$124,Inputs_RSD!$C$2:$C$124,Residential!L62,Inputs_RSD!$D$2:$D$124,Residential!J62)</f>
        <v>0.0099971612245433501</v>
      </c>
      <c r="I62" s="42">
        <f t="shared" si="0"/>
        <v>0.0099971612245433501</v>
      </c>
      <c r="J62" t="s">
        <v>138</v>
      </c>
      <c r="L62" t="s">
        <v>231</v>
      </c>
      <c r="R62" t="s">
        <v>138</v>
      </c>
      <c r="S62" t="s">
        <v>229</v>
      </c>
      <c r="T62">
        <v>0.30</v>
      </c>
    </row>
    <row r="63" spans="6:20" ht="15">
      <c r="F63" t="s">
        <v>151</v>
      </c>
      <c r="G63">
        <v>2023</v>
      </c>
      <c r="H63" s="42">
        <f>+SUMIFS(Inputs_RSD!$L$2:$L$124,Inputs_RSD!$C$2:$C$124,Residential!L63,Inputs_RSD!$D$2:$D$124,Residential!J63)</f>
        <v>0.00092710745268607096</v>
      </c>
      <c r="I63" s="42">
        <f t="shared" si="0"/>
        <v>0.00092710745268607096</v>
      </c>
      <c r="J63" t="s">
        <v>141</v>
      </c>
      <c r="L63" t="s">
        <v>233</v>
      </c>
      <c r="R63" t="s">
        <v>141</v>
      </c>
      <c r="S63" t="s">
        <v>230</v>
      </c>
      <c r="T63">
        <v>0.20</v>
      </c>
    </row>
    <row r="64" spans="6:20" ht="15">
      <c r="F64" t="s">
        <v>151</v>
      </c>
      <c r="G64">
        <v>2023</v>
      </c>
      <c r="H64" s="42">
        <f>+SUMIFS(Inputs_RSD!$L$2:$L$124,Inputs_RSD!$C$2:$C$124,Residential!L64,Inputs_RSD!$D$2:$D$124,Residential!J64)</f>
        <v>0.000368293949598222</v>
      </c>
      <c r="I64" s="42">
        <f t="shared" si="0"/>
        <v>0.000368293949598222</v>
      </c>
      <c r="J64" t="s">
        <v>144</v>
      </c>
      <c r="L64" t="s">
        <v>233</v>
      </c>
      <c r="R64" t="s">
        <v>144</v>
      </c>
      <c r="S64" t="s">
        <v>230</v>
      </c>
      <c r="T64">
        <v>0.20</v>
      </c>
    </row>
    <row r="65" spans="6:20" ht="15">
      <c r="F65" t="s">
        <v>151</v>
      </c>
      <c r="G65">
        <v>2023</v>
      </c>
      <c r="H65" s="42">
        <f>+SUMIFS(Inputs_RSD!$L$2:$L$124,Inputs_RSD!$C$2:$C$124,Residential!L65,Inputs_RSD!$D$2:$D$124,Residential!J65)</f>
        <v>0.028990562100458198</v>
      </c>
      <c r="I65" s="42">
        <f t="shared" si="0"/>
        <v>0.028990562100458198</v>
      </c>
      <c r="J65" t="s">
        <v>234</v>
      </c>
      <c r="L65" t="s">
        <v>233</v>
      </c>
      <c r="R65" t="s">
        <v>227</v>
      </c>
      <c r="S65" t="s">
        <v>230</v>
      </c>
      <c r="T65">
        <v>0.20</v>
      </c>
    </row>
    <row r="66" spans="6:20" ht="15">
      <c r="F66" t="s">
        <v>151</v>
      </c>
      <c r="G66">
        <v>2023</v>
      </c>
      <c r="H66" s="42">
        <f>+SUMIFS(Inputs_RSD!$L$2:$L$124,Inputs_RSD!$C$2:$C$124,Residential!L66,Inputs_RSD!$D$2:$D$124,Residential!J66)</f>
        <v>0.0106097605259381</v>
      </c>
      <c r="I66" s="42">
        <f t="shared" si="0"/>
        <v>0.0106097605259381</v>
      </c>
      <c r="J66" t="s">
        <v>138</v>
      </c>
      <c r="L66" t="s">
        <v>233</v>
      </c>
      <c r="R66" t="s">
        <v>138</v>
      </c>
      <c r="S66" t="s">
        <v>230</v>
      </c>
      <c r="T66">
        <v>0.30</v>
      </c>
    </row>
    <row r="67" spans="6:20" ht="15">
      <c r="F67" t="s">
        <v>151</v>
      </c>
      <c r="G67">
        <v>2023</v>
      </c>
      <c r="H67" s="42">
        <f>+SUMIFS(Inputs_RSD!$L$2:$L$124,Inputs_RSD!$C$2:$C$124,Residential!L67,Inputs_RSD!$D$2:$D$124,Residential!J67)</f>
        <v>0.00089871332337915601</v>
      </c>
      <c r="I67" s="42">
        <f t="shared" si="0"/>
        <v>0.00089871332337915601</v>
      </c>
      <c r="J67" t="s">
        <v>141</v>
      </c>
      <c r="L67" t="s">
        <v>235</v>
      </c>
      <c r="R67" t="s">
        <v>141</v>
      </c>
      <c r="S67" t="s">
        <v>231</v>
      </c>
      <c r="T67">
        <v>0.20</v>
      </c>
    </row>
    <row r="68" spans="6:20" ht="15">
      <c r="F68" t="s">
        <v>151</v>
      </c>
      <c r="G68">
        <v>2023</v>
      </c>
      <c r="H68" s="42">
        <f>+SUMIFS(Inputs_RSD!$L$2:$L$124,Inputs_RSD!$C$2:$C$124,Residential!L68,Inputs_RSD!$D$2:$D$124,Residential!J68)</f>
        <v>0.00033519631170326802</v>
      </c>
      <c r="I68" s="42">
        <f t="shared" si="0"/>
        <v>0.00033519631170326802</v>
      </c>
      <c r="J68" t="s">
        <v>144</v>
      </c>
      <c r="L68" t="s">
        <v>235</v>
      </c>
      <c r="R68" t="s">
        <v>144</v>
      </c>
      <c r="S68" t="s">
        <v>231</v>
      </c>
      <c r="T68">
        <v>0.20</v>
      </c>
    </row>
    <row r="69" spans="6:20" ht="15">
      <c r="F69" t="s">
        <v>151</v>
      </c>
      <c r="G69">
        <v>2023</v>
      </c>
      <c r="H69" s="42">
        <f>+SUMIFS(Inputs_RSD!$L$2:$L$124,Inputs_RSD!$C$2:$C$124,Residential!L69,Inputs_RSD!$D$2:$D$124,Residential!J69)</f>
        <v>0.039529383884159101</v>
      </c>
      <c r="I69" s="42">
        <f t="shared" si="0"/>
        <v>0.039529383884159101</v>
      </c>
      <c r="J69" t="s">
        <v>236</v>
      </c>
      <c r="L69" t="s">
        <v>235</v>
      </c>
      <c r="R69" t="s">
        <v>232</v>
      </c>
      <c r="S69" t="s">
        <v>231</v>
      </c>
      <c r="T69">
        <v>0.20</v>
      </c>
    </row>
    <row r="70" spans="6:20" ht="15">
      <c r="F70" t="s">
        <v>151</v>
      </c>
      <c r="G70">
        <v>2023</v>
      </c>
      <c r="H70" s="42">
        <f>+SUMIFS(Inputs_RSD!$L$2:$L$124,Inputs_RSD!$C$2:$C$124,Residential!L70,Inputs_RSD!$D$2:$D$124,Residential!J70)</f>
        <v>0.011065162721274399</v>
      </c>
      <c r="I70" s="42">
        <f t="shared" si="0"/>
        <v>0.011065162721274399</v>
      </c>
      <c r="J70" t="s">
        <v>138</v>
      </c>
      <c r="L70" t="s">
        <v>235</v>
      </c>
      <c r="R70" t="s">
        <v>138</v>
      </c>
      <c r="S70" t="s">
        <v>231</v>
      </c>
      <c r="T70">
        <v>0.30</v>
      </c>
    </row>
    <row r="71" spans="6:20" ht="15">
      <c r="F71" t="s">
        <v>151</v>
      </c>
      <c r="G71">
        <v>2023</v>
      </c>
      <c r="H71" s="42">
        <f>+SUMIFS(Inputs_RSD!$L$2:$L$124,Inputs_RSD!$C$2:$C$124,Residential!L71,Inputs_RSD!$D$2:$D$124,Residential!J71)</f>
        <v>0.00089917332740457596</v>
      </c>
      <c r="I71" s="42">
        <f t="shared" si="0"/>
        <v>0.00089917332740457596</v>
      </c>
      <c r="J71" t="s">
        <v>141</v>
      </c>
      <c r="L71" t="s">
        <v>237</v>
      </c>
      <c r="R71" t="s">
        <v>141</v>
      </c>
      <c r="S71" t="s">
        <v>233</v>
      </c>
      <c r="T71">
        <v>0.20</v>
      </c>
    </row>
    <row r="72" spans="6:20" ht="15">
      <c r="F72" t="s">
        <v>151</v>
      </c>
      <c r="G72">
        <v>2023</v>
      </c>
      <c r="H72" s="42">
        <f>+SUMIFS(Inputs_RSD!$L$2:$L$124,Inputs_RSD!$C$2:$C$124,Residential!L72,Inputs_RSD!$D$2:$D$124,Residential!J72)</f>
        <v>0.00033086537242422499</v>
      </c>
      <c r="I72" s="42">
        <f t="shared" si="1" ref="I72:I135">+H72</f>
        <v>0.00033086537242422499</v>
      </c>
      <c r="J72" t="s">
        <v>144</v>
      </c>
      <c r="L72" t="s">
        <v>237</v>
      </c>
      <c r="R72" t="s">
        <v>144</v>
      </c>
      <c r="S72" t="s">
        <v>233</v>
      </c>
      <c r="T72">
        <v>0.20</v>
      </c>
    </row>
    <row r="73" spans="6:20" ht="15">
      <c r="F73" t="s">
        <v>151</v>
      </c>
      <c r="G73">
        <v>2023</v>
      </c>
      <c r="H73" s="42">
        <f>+SUMIFS(Inputs_RSD!$L$2:$L$124,Inputs_RSD!$C$2:$C$124,Residential!L73,Inputs_RSD!$D$2:$D$124,Residential!J73)</f>
        <v>0.050493263338740102</v>
      </c>
      <c r="I73" s="42">
        <f t="shared" si="1"/>
        <v>0.050493263338740102</v>
      </c>
      <c r="J73" t="s">
        <v>238</v>
      </c>
      <c r="L73" t="s">
        <v>237</v>
      </c>
      <c r="R73" t="s">
        <v>234</v>
      </c>
      <c r="S73" t="s">
        <v>233</v>
      </c>
      <c r="T73">
        <v>0.20</v>
      </c>
    </row>
    <row r="74" spans="6:20" ht="15">
      <c r="F74" t="s">
        <v>151</v>
      </c>
      <c r="G74">
        <v>2023</v>
      </c>
      <c r="H74" s="42">
        <f>+SUMIFS(Inputs_RSD!$L$2:$L$124,Inputs_RSD!$C$2:$C$124,Residential!L74,Inputs_RSD!$D$2:$D$124,Residential!J74)</f>
        <v>0.0114874610881934</v>
      </c>
      <c r="I74" s="42">
        <f t="shared" si="1"/>
        <v>0.0114874610881934</v>
      </c>
      <c r="J74" t="s">
        <v>138</v>
      </c>
      <c r="L74" t="s">
        <v>237</v>
      </c>
      <c r="R74" t="s">
        <v>138</v>
      </c>
      <c r="S74" t="s">
        <v>233</v>
      </c>
      <c r="T74">
        <v>0.30</v>
      </c>
    </row>
    <row r="75" spans="6:20" ht="15">
      <c r="F75" t="s">
        <v>151</v>
      </c>
      <c r="G75">
        <v>2023</v>
      </c>
      <c r="H75" s="42">
        <f>+SUMIFS(Inputs_RSD!$L$2:$L$124,Inputs_RSD!$C$2:$C$124,Residential!L75,Inputs_RSD!$D$2:$D$124,Residential!J75)</f>
        <v>0.00087038647541608097</v>
      </c>
      <c r="I75" s="42">
        <f t="shared" si="1"/>
        <v>0.00087038647541608097</v>
      </c>
      <c r="J75" t="s">
        <v>141</v>
      </c>
      <c r="L75" t="s">
        <v>239</v>
      </c>
      <c r="R75" t="s">
        <v>141</v>
      </c>
      <c r="S75" t="s">
        <v>235</v>
      </c>
      <c r="T75">
        <v>0.20</v>
      </c>
    </row>
    <row r="76" spans="6:20" ht="15">
      <c r="F76" t="s">
        <v>151</v>
      </c>
      <c r="G76">
        <v>2023</v>
      </c>
      <c r="H76" s="42">
        <f>+SUMIFS(Inputs_RSD!$L$2:$L$124,Inputs_RSD!$C$2:$C$124,Residential!L76,Inputs_RSD!$D$2:$D$124,Residential!J76)</f>
        <v>0.00023534708508606299</v>
      </c>
      <c r="I76" s="42">
        <f t="shared" si="1"/>
        <v>0.00023534708508606299</v>
      </c>
      <c r="J76" t="s">
        <v>144</v>
      </c>
      <c r="L76" t="s">
        <v>239</v>
      </c>
      <c r="R76" t="s">
        <v>144</v>
      </c>
      <c r="S76" t="s">
        <v>235</v>
      </c>
      <c r="T76">
        <v>0.20</v>
      </c>
    </row>
    <row r="77" spans="6:20" ht="15">
      <c r="F77" t="s">
        <v>151</v>
      </c>
      <c r="G77">
        <v>2023</v>
      </c>
      <c r="H77" s="42">
        <f>+SUMIFS(Inputs_RSD!$L$2:$L$124,Inputs_RSD!$C$2:$C$124,Residential!L77,Inputs_RSD!$D$2:$D$124,Residential!J77)</f>
        <v>0.052195880415110002</v>
      </c>
      <c r="I77" s="42">
        <f t="shared" si="1"/>
        <v>0.052195880415110002</v>
      </c>
      <c r="J77" t="s">
        <v>240</v>
      </c>
      <c r="L77" t="s">
        <v>239</v>
      </c>
      <c r="R77" t="s">
        <v>236</v>
      </c>
      <c r="S77" t="s">
        <v>235</v>
      </c>
      <c r="T77">
        <v>0.20</v>
      </c>
    </row>
    <row r="78" spans="6:20" ht="15">
      <c r="F78" t="s">
        <v>151</v>
      </c>
      <c r="G78">
        <v>2023</v>
      </c>
      <c r="H78" s="42">
        <f>+SUMIFS(Inputs_RSD!$L$2:$L$124,Inputs_RSD!$C$2:$C$124,Residential!L78,Inputs_RSD!$D$2:$D$124,Residential!J78)</f>
        <v>0.0104359658232331</v>
      </c>
      <c r="I78" s="42">
        <f t="shared" si="1"/>
        <v>0.0104359658232331</v>
      </c>
      <c r="J78" t="s">
        <v>138</v>
      </c>
      <c r="L78" t="s">
        <v>239</v>
      </c>
      <c r="R78" t="s">
        <v>138</v>
      </c>
      <c r="S78" t="s">
        <v>235</v>
      </c>
      <c r="T78">
        <v>0.30</v>
      </c>
    </row>
    <row r="79" spans="6:20" ht="15">
      <c r="F79" t="s">
        <v>151</v>
      </c>
      <c r="G79">
        <v>2023</v>
      </c>
      <c r="H79" s="42">
        <f>+SUMIFS(Inputs_RSD!$L$2:$L$124,Inputs_RSD!$C$2:$C$124,Residential!L79,Inputs_RSD!$D$2:$D$124,Residential!J79)</f>
        <v>0.00084666683429302902</v>
      </c>
      <c r="I79" s="42">
        <f t="shared" si="1"/>
        <v>0.00084666683429302902</v>
      </c>
      <c r="J79" t="s">
        <v>142</v>
      </c>
      <c r="L79" t="s">
        <v>241</v>
      </c>
      <c r="R79" t="s">
        <v>141</v>
      </c>
      <c r="S79" t="s">
        <v>237</v>
      </c>
      <c r="T79">
        <v>0.20</v>
      </c>
    </row>
    <row r="80" spans="6:20" ht="15">
      <c r="F80" t="s">
        <v>151</v>
      </c>
      <c r="G80">
        <v>2023</v>
      </c>
      <c r="H80" s="42">
        <f>+SUMIFS(Inputs_RSD!$L$2:$L$124,Inputs_RSD!$C$2:$C$124,Residential!L80,Inputs_RSD!$D$2:$D$124,Residential!J80)</f>
        <v>0.00066867996369597798</v>
      </c>
      <c r="I80" s="42">
        <f t="shared" si="1"/>
        <v>0.00066867996369597798</v>
      </c>
      <c r="J80" t="s">
        <v>145</v>
      </c>
      <c r="L80" t="s">
        <v>241</v>
      </c>
      <c r="R80" t="s">
        <v>144</v>
      </c>
      <c r="S80" t="s">
        <v>237</v>
      </c>
      <c r="T80">
        <v>0.20</v>
      </c>
    </row>
    <row r="81" spans="6:20" ht="15">
      <c r="F81" t="s">
        <v>151</v>
      </c>
      <c r="G81">
        <v>2023</v>
      </c>
      <c r="H81" s="42">
        <f>+SUMIFS(Inputs_RSD!$L$2:$L$124,Inputs_RSD!$C$2:$C$124,Residential!L81,Inputs_RSD!$D$2:$D$124,Residential!J81)</f>
        <v>0.0024058665241777598</v>
      </c>
      <c r="I81" s="42">
        <f t="shared" si="1"/>
        <v>0.0024058665241777598</v>
      </c>
      <c r="J81" t="s">
        <v>242</v>
      </c>
      <c r="L81" t="s">
        <v>241</v>
      </c>
      <c r="R81" t="s">
        <v>238</v>
      </c>
      <c r="S81" t="s">
        <v>237</v>
      </c>
      <c r="T81">
        <v>0.20</v>
      </c>
    </row>
    <row r="82" spans="6:20" ht="15">
      <c r="F82" t="s">
        <v>151</v>
      </c>
      <c r="G82">
        <v>2023</v>
      </c>
      <c r="H82" s="42">
        <f>+SUMIFS(Inputs_RSD!$L$2:$L$124,Inputs_RSD!$C$2:$C$124,Residential!L82,Inputs_RSD!$D$2:$D$124,Residential!J82)</f>
        <v>0.00426054151520409</v>
      </c>
      <c r="I82" s="42">
        <f t="shared" si="1"/>
        <v>0.00426054151520409</v>
      </c>
      <c r="J82" t="s">
        <v>139</v>
      </c>
      <c r="L82" t="s">
        <v>241</v>
      </c>
      <c r="R82" t="s">
        <v>138</v>
      </c>
      <c r="S82" t="s">
        <v>237</v>
      </c>
      <c r="T82">
        <v>0.30</v>
      </c>
    </row>
    <row r="83" spans="6:20" ht="15">
      <c r="F83" t="s">
        <v>151</v>
      </c>
      <c r="G83">
        <v>2023</v>
      </c>
      <c r="H83" s="42">
        <f>+SUMIFS(Inputs_RSD!$L$2:$L$124,Inputs_RSD!$C$2:$C$124,Residential!L83,Inputs_RSD!$D$2:$D$124,Residential!J83)</f>
        <v>0.0017683153930356801</v>
      </c>
      <c r="I83" s="42">
        <f t="shared" si="1"/>
        <v>0.0017683153930356801</v>
      </c>
      <c r="J83" t="s">
        <v>142</v>
      </c>
      <c r="L83" t="s">
        <v>243</v>
      </c>
      <c r="R83" t="s">
        <v>141</v>
      </c>
      <c r="S83" t="s">
        <v>239</v>
      </c>
      <c r="T83">
        <v>0.20</v>
      </c>
    </row>
    <row r="84" spans="6:20" ht="15">
      <c r="F84" t="s">
        <v>151</v>
      </c>
      <c r="G84">
        <v>2023</v>
      </c>
      <c r="H84" s="42">
        <f>+SUMIFS(Inputs_RSD!$L$2:$L$124,Inputs_RSD!$C$2:$C$124,Residential!L84,Inputs_RSD!$D$2:$D$124,Residential!J84)</f>
        <v>0.000750537163695459</v>
      </c>
      <c r="I84" s="42">
        <f t="shared" si="1"/>
        <v>0.000750537163695459</v>
      </c>
      <c r="J84" t="s">
        <v>145</v>
      </c>
      <c r="L84" t="s">
        <v>243</v>
      </c>
      <c r="R84" t="s">
        <v>144</v>
      </c>
      <c r="S84" t="s">
        <v>239</v>
      </c>
      <c r="T84">
        <v>0.20</v>
      </c>
    </row>
    <row r="85" spans="6:20" ht="15">
      <c r="F85" t="s">
        <v>151</v>
      </c>
      <c r="G85">
        <v>2023</v>
      </c>
      <c r="H85" s="42">
        <f>+SUMIFS(Inputs_RSD!$L$2:$L$124,Inputs_RSD!$C$2:$C$124,Residential!L85,Inputs_RSD!$D$2:$D$124,Residential!J85)</f>
        <v>0.020717034161966401</v>
      </c>
      <c r="I85" s="42">
        <f t="shared" si="1"/>
        <v>0.020717034161966401</v>
      </c>
      <c r="J85" t="s">
        <v>242</v>
      </c>
      <c r="L85" t="s">
        <v>243</v>
      </c>
      <c r="R85" t="s">
        <v>240</v>
      </c>
      <c r="S85" t="s">
        <v>239</v>
      </c>
      <c r="T85">
        <v>0.20</v>
      </c>
    </row>
    <row r="86" spans="6:20" ht="15">
      <c r="F86" t="s">
        <v>151</v>
      </c>
      <c r="G86">
        <v>2023</v>
      </c>
      <c r="H86" s="42">
        <f>+SUMIFS(Inputs_RSD!$L$2:$L$124,Inputs_RSD!$C$2:$C$124,Residential!L86,Inputs_RSD!$D$2:$D$124,Residential!J86)</f>
        <v>0.0088922350864476096</v>
      </c>
      <c r="I86" s="42">
        <f t="shared" si="1"/>
        <v>0.0088922350864476096</v>
      </c>
      <c r="J86" t="s">
        <v>139</v>
      </c>
      <c r="L86" t="s">
        <v>243</v>
      </c>
      <c r="R86" t="s">
        <v>138</v>
      </c>
      <c r="S86" t="s">
        <v>239</v>
      </c>
      <c r="T86">
        <v>0.30</v>
      </c>
    </row>
    <row r="87" spans="6:20" ht="15">
      <c r="F87" t="s">
        <v>151</v>
      </c>
      <c r="G87">
        <v>2023</v>
      </c>
      <c r="H87" s="42">
        <f>+SUMIFS(Inputs_RSD!$L$2:$L$124,Inputs_RSD!$C$2:$C$124,Residential!L87,Inputs_RSD!$D$2:$D$124,Residential!J87)</f>
        <v>0.0020047682124008999</v>
      </c>
      <c r="I87" s="42">
        <f t="shared" si="1"/>
        <v>0.0020047682124008999</v>
      </c>
      <c r="J87" t="s">
        <v>142</v>
      </c>
      <c r="L87" t="s">
        <v>244</v>
      </c>
      <c r="R87" t="s">
        <v>142</v>
      </c>
      <c r="S87" t="s">
        <v>241</v>
      </c>
      <c r="T87">
        <v>0.20</v>
      </c>
    </row>
    <row r="88" spans="6:20" ht="15">
      <c r="F88" t="s">
        <v>151</v>
      </c>
      <c r="G88">
        <v>2023</v>
      </c>
      <c r="H88" s="42">
        <f>+SUMIFS(Inputs_RSD!$L$2:$L$124,Inputs_RSD!$C$2:$C$124,Residential!L88,Inputs_RSD!$D$2:$D$124,Residential!J88)</f>
        <v>0.00059115484277808797</v>
      </c>
      <c r="I88" s="42">
        <f t="shared" si="1"/>
        <v>0.00059115484277808797</v>
      </c>
      <c r="J88" t="s">
        <v>145</v>
      </c>
      <c r="L88" t="s">
        <v>244</v>
      </c>
      <c r="R88" t="s">
        <v>145</v>
      </c>
      <c r="S88" t="s">
        <v>241</v>
      </c>
      <c r="T88">
        <v>0.20</v>
      </c>
    </row>
    <row r="89" spans="6:20" ht="15">
      <c r="F89" t="s">
        <v>151</v>
      </c>
      <c r="G89">
        <v>2023</v>
      </c>
      <c r="H89" s="42">
        <f>+SUMIFS(Inputs_RSD!$L$2:$L$124,Inputs_RSD!$C$2:$C$124,Residential!L89,Inputs_RSD!$D$2:$D$124,Residential!J89)</f>
        <v>0.033083652738783199</v>
      </c>
      <c r="I89" s="42">
        <f t="shared" si="1"/>
        <v>0.033083652738783199</v>
      </c>
      <c r="J89" t="s">
        <v>242</v>
      </c>
      <c r="L89" t="s">
        <v>244</v>
      </c>
      <c r="R89" t="s">
        <v>242</v>
      </c>
      <c r="S89" t="s">
        <v>241</v>
      </c>
      <c r="T89">
        <v>0.20</v>
      </c>
    </row>
    <row r="90" spans="6:20" ht="15">
      <c r="F90" t="s">
        <v>151</v>
      </c>
      <c r="G90">
        <v>2023</v>
      </c>
      <c r="H90" s="42">
        <f>+SUMIFS(Inputs_RSD!$L$2:$L$124,Inputs_RSD!$C$2:$C$124,Residential!L90,Inputs_RSD!$D$2:$D$124,Residential!J90)</f>
        <v>0.0117236462517728</v>
      </c>
      <c r="I90" s="42">
        <f t="shared" si="1"/>
        <v>0.0117236462517728</v>
      </c>
      <c r="J90" t="s">
        <v>139</v>
      </c>
      <c r="L90" t="s">
        <v>244</v>
      </c>
      <c r="R90" t="s">
        <v>139</v>
      </c>
      <c r="S90" t="s">
        <v>241</v>
      </c>
      <c r="T90">
        <v>0.30</v>
      </c>
    </row>
    <row r="91" spans="6:20" ht="15">
      <c r="F91" t="s">
        <v>151</v>
      </c>
      <c r="G91">
        <v>2023</v>
      </c>
      <c r="H91" s="42">
        <f>+SUMIFS(Inputs_RSD!$L$2:$L$124,Inputs_RSD!$C$2:$C$124,Residential!L91,Inputs_RSD!$D$2:$D$124,Residential!J91)</f>
        <v>0.00196179164560536</v>
      </c>
      <c r="I91" s="42">
        <f t="shared" si="1"/>
        <v>0.00196179164560536</v>
      </c>
      <c r="J91" t="s">
        <v>142</v>
      </c>
      <c r="L91" t="s">
        <v>245</v>
      </c>
      <c r="R91" t="s">
        <v>142</v>
      </c>
      <c r="S91" t="s">
        <v>243</v>
      </c>
      <c r="T91">
        <v>0.20</v>
      </c>
    </row>
    <row r="92" spans="6:20" ht="15">
      <c r="F92" t="s">
        <v>151</v>
      </c>
      <c r="G92">
        <v>2023</v>
      </c>
      <c r="H92" s="42">
        <f>+SUMIFS(Inputs_RSD!$L$2:$L$124,Inputs_RSD!$C$2:$C$124,Residential!L92,Inputs_RSD!$D$2:$D$124,Residential!J92)</f>
        <v>0.00051352659953481301</v>
      </c>
      <c r="I92" s="42">
        <f t="shared" si="1"/>
        <v>0.00051352659953481301</v>
      </c>
      <c r="J92" t="s">
        <v>145</v>
      </c>
      <c r="L92" t="s">
        <v>245</v>
      </c>
      <c r="R92" t="s">
        <v>145</v>
      </c>
      <c r="S92" t="s">
        <v>243</v>
      </c>
      <c r="T92">
        <v>0.20</v>
      </c>
    </row>
    <row r="93" spans="6:20" ht="15">
      <c r="F93" t="s">
        <v>151</v>
      </c>
      <c r="G93">
        <v>2023</v>
      </c>
      <c r="H93" s="42">
        <f>+SUMIFS(Inputs_RSD!$L$2:$L$124,Inputs_RSD!$C$2:$C$124,Residential!L93,Inputs_RSD!$D$2:$D$124,Residential!J93)</f>
        <v>0.038234291164306301</v>
      </c>
      <c r="I93" s="42">
        <f t="shared" si="1"/>
        <v>0.038234291164306301</v>
      </c>
      <c r="J93" t="s">
        <v>242</v>
      </c>
      <c r="L93" t="s">
        <v>245</v>
      </c>
      <c r="R93" t="s">
        <v>242</v>
      </c>
      <c r="S93" t="s">
        <v>243</v>
      </c>
      <c r="T93">
        <v>0.20</v>
      </c>
    </row>
    <row r="94" spans="6:20" ht="15">
      <c r="F94" t="s">
        <v>151</v>
      </c>
      <c r="G94">
        <v>2023</v>
      </c>
      <c r="H94" s="42">
        <f>+SUMIFS(Inputs_RSD!$L$2:$L$124,Inputs_RSD!$C$2:$C$124,Residential!L94,Inputs_RSD!$D$2:$D$124,Residential!J94)</f>
        <v>0.013255956176612699</v>
      </c>
      <c r="I94" s="42">
        <f t="shared" si="1"/>
        <v>0.013255956176612699</v>
      </c>
      <c r="J94" t="s">
        <v>139</v>
      </c>
      <c r="L94" t="s">
        <v>245</v>
      </c>
      <c r="R94" t="s">
        <v>139</v>
      </c>
      <c r="S94" t="s">
        <v>243</v>
      </c>
      <c r="T94">
        <v>0.30</v>
      </c>
    </row>
    <row r="95" spans="6:20" ht="15">
      <c r="F95" t="s">
        <v>151</v>
      </c>
      <c r="G95">
        <v>2023</v>
      </c>
      <c r="H95" s="42">
        <f>+SUMIFS(Inputs_RSD!$L$2:$L$124,Inputs_RSD!$C$2:$C$124,Residential!L95,Inputs_RSD!$D$2:$D$124,Residential!J95)</f>
        <v>0.0017035279711745399</v>
      </c>
      <c r="I95" s="42">
        <f t="shared" si="1"/>
        <v>0.0017035279711745399</v>
      </c>
      <c r="J95" t="s">
        <v>142</v>
      </c>
      <c r="L95" t="s">
        <v>246</v>
      </c>
      <c r="R95" t="s">
        <v>142</v>
      </c>
      <c r="S95" t="s">
        <v>244</v>
      </c>
      <c r="T95">
        <v>0.20</v>
      </c>
    </row>
    <row r="96" spans="6:20" ht="15">
      <c r="F96" t="s">
        <v>151</v>
      </c>
      <c r="G96">
        <v>2023</v>
      </c>
      <c r="H96" s="42">
        <f>+SUMIFS(Inputs_RSD!$L$2:$L$124,Inputs_RSD!$C$2:$C$124,Residential!L96,Inputs_RSD!$D$2:$D$124,Residential!J96)</f>
        <v>0.00047564031426238499</v>
      </c>
      <c r="I96" s="42">
        <f t="shared" si="1"/>
        <v>0.00047564031426238499</v>
      </c>
      <c r="J96" t="s">
        <v>145</v>
      </c>
      <c r="L96" t="s">
        <v>246</v>
      </c>
      <c r="R96" t="s">
        <v>145</v>
      </c>
      <c r="S96" t="s">
        <v>244</v>
      </c>
      <c r="T96">
        <v>0.20</v>
      </c>
    </row>
    <row r="97" spans="6:20" ht="15">
      <c r="F97" t="s">
        <v>151</v>
      </c>
      <c r="G97">
        <v>2023</v>
      </c>
      <c r="H97" s="42">
        <f>+SUMIFS(Inputs_RSD!$L$2:$L$124,Inputs_RSD!$C$2:$C$124,Residential!L97,Inputs_RSD!$D$2:$D$124,Residential!J97)</f>
        <v>0.043300799885821702</v>
      </c>
      <c r="I97" s="42">
        <f t="shared" si="1"/>
        <v>0.043300799885821702</v>
      </c>
      <c r="J97" t="s">
        <v>247</v>
      </c>
      <c r="L97" t="s">
        <v>246</v>
      </c>
      <c r="R97" t="s">
        <v>242</v>
      </c>
      <c r="S97" t="s">
        <v>244</v>
      </c>
      <c r="T97">
        <v>0.20</v>
      </c>
    </row>
    <row r="98" spans="6:20" ht="15">
      <c r="F98" t="s">
        <v>151</v>
      </c>
      <c r="G98">
        <v>2023</v>
      </c>
      <c r="H98" s="42">
        <f>+SUMIFS(Inputs_RSD!$L$2:$L$124,Inputs_RSD!$C$2:$C$124,Residential!L98,Inputs_RSD!$D$2:$D$124,Residential!J98)</f>
        <v>0.014139525083172099</v>
      </c>
      <c r="I98" s="42">
        <f t="shared" si="1"/>
        <v>0.014139525083172099</v>
      </c>
      <c r="J98" t="s">
        <v>139</v>
      </c>
      <c r="L98" t="s">
        <v>246</v>
      </c>
      <c r="R98" t="s">
        <v>139</v>
      </c>
      <c r="S98" t="s">
        <v>244</v>
      </c>
      <c r="T98">
        <v>0.30</v>
      </c>
    </row>
    <row r="99" spans="6:20" ht="15">
      <c r="F99" t="s">
        <v>151</v>
      </c>
      <c r="G99">
        <v>2023</v>
      </c>
      <c r="H99" s="42">
        <f>+SUMIFS(Inputs_RSD!$L$2:$L$124,Inputs_RSD!$C$2:$C$124,Residential!L99,Inputs_RSD!$D$2:$D$124,Residential!J99)</f>
        <v>0.00139319820124895</v>
      </c>
      <c r="I99" s="42">
        <f t="shared" si="1"/>
        <v>0.00139319820124895</v>
      </c>
      <c r="J99" t="s">
        <v>142</v>
      </c>
      <c r="L99" t="s">
        <v>248</v>
      </c>
      <c r="R99" t="s">
        <v>142</v>
      </c>
      <c r="S99" t="s">
        <v>245</v>
      </c>
      <c r="T99">
        <v>0.20</v>
      </c>
    </row>
    <row r="100" spans="6:20" ht="15">
      <c r="F100" t="s">
        <v>151</v>
      </c>
      <c r="G100">
        <v>2023</v>
      </c>
      <c r="H100" s="42">
        <f>+SUMIFS(Inputs_RSD!$L$2:$L$124,Inputs_RSD!$C$2:$C$124,Residential!L100,Inputs_RSD!$D$2:$D$124,Residential!J100)</f>
        <v>0.00046204216750972199</v>
      </c>
      <c r="I100" s="42">
        <f t="shared" si="1"/>
        <v>0.00046204216750972199</v>
      </c>
      <c r="J100" t="s">
        <v>145</v>
      </c>
      <c r="L100" t="s">
        <v>248</v>
      </c>
      <c r="R100" t="s">
        <v>145</v>
      </c>
      <c r="S100" t="s">
        <v>245</v>
      </c>
      <c r="T100">
        <v>0.20</v>
      </c>
    </row>
    <row r="101" spans="6:20" ht="15">
      <c r="F101" t="s">
        <v>151</v>
      </c>
      <c r="G101">
        <v>2023</v>
      </c>
      <c r="H101" s="42">
        <f>+SUMIFS(Inputs_RSD!$L$2:$L$124,Inputs_RSD!$C$2:$C$124,Residential!L101,Inputs_RSD!$D$2:$D$124,Residential!J101)</f>
        <v>0.0489015983401654</v>
      </c>
      <c r="I101" s="42">
        <f t="shared" si="1"/>
        <v>0.0489015983401654</v>
      </c>
      <c r="J101" t="s">
        <v>249</v>
      </c>
      <c r="L101" t="s">
        <v>248</v>
      </c>
      <c r="R101" t="s">
        <v>242</v>
      </c>
      <c r="S101" t="s">
        <v>245</v>
      </c>
      <c r="T101">
        <v>0.20</v>
      </c>
    </row>
    <row r="102" spans="6:20" ht="15">
      <c r="F102" t="s">
        <v>151</v>
      </c>
      <c r="G102">
        <v>2023</v>
      </c>
      <c r="H102" s="42">
        <f>+SUMIFS(Inputs_RSD!$L$2:$L$124,Inputs_RSD!$C$2:$C$124,Residential!L102,Inputs_RSD!$D$2:$D$124,Residential!J102)</f>
        <v>0.0143038292745449</v>
      </c>
      <c r="I102" s="42">
        <f t="shared" si="1"/>
        <v>0.0143038292745449</v>
      </c>
      <c r="J102" t="s">
        <v>139</v>
      </c>
      <c r="L102" t="s">
        <v>248</v>
      </c>
      <c r="R102" t="s">
        <v>139</v>
      </c>
      <c r="S102" t="s">
        <v>245</v>
      </c>
      <c r="T102">
        <v>0.30</v>
      </c>
    </row>
    <row r="103" spans="6:20" ht="15">
      <c r="F103" t="s">
        <v>151</v>
      </c>
      <c r="G103">
        <v>2023</v>
      </c>
      <c r="H103" s="42">
        <f>+SUMIFS(Inputs_RSD!$L$2:$L$124,Inputs_RSD!$C$2:$C$124,Residential!L103,Inputs_RSD!$D$2:$D$124,Residential!J103)</f>
        <v>0.0012866536750593201</v>
      </c>
      <c r="I103" s="42">
        <f t="shared" si="1"/>
        <v>0.0012866536750593201</v>
      </c>
      <c r="J103" t="s">
        <v>142</v>
      </c>
      <c r="L103" t="s">
        <v>250</v>
      </c>
      <c r="R103" t="s">
        <v>142</v>
      </c>
      <c r="S103" t="s">
        <v>246</v>
      </c>
      <c r="T103">
        <v>0.20</v>
      </c>
    </row>
    <row r="104" spans="6:20" ht="15">
      <c r="F104" t="s">
        <v>151</v>
      </c>
      <c r="G104">
        <v>2023</v>
      </c>
      <c r="H104" s="42">
        <f>+SUMIFS(Inputs_RSD!$L$2:$L$124,Inputs_RSD!$C$2:$C$124,Residential!L104,Inputs_RSD!$D$2:$D$124,Residential!J104)</f>
        <v>0.00043173964300815897</v>
      </c>
      <c r="I104" s="42">
        <f t="shared" si="1"/>
        <v>0.00043173964300815897</v>
      </c>
      <c r="J104" t="s">
        <v>145</v>
      </c>
      <c r="L104" t="s">
        <v>250</v>
      </c>
      <c r="R104" t="s">
        <v>145</v>
      </c>
      <c r="S104" t="s">
        <v>246</v>
      </c>
      <c r="T104">
        <v>0.20</v>
      </c>
    </row>
    <row r="105" spans="6:20" ht="15">
      <c r="F105" t="s">
        <v>151</v>
      </c>
      <c r="G105">
        <v>2023</v>
      </c>
      <c r="H105" s="42">
        <f>+SUMIFS(Inputs_RSD!$L$2:$L$124,Inputs_RSD!$C$2:$C$124,Residential!L105,Inputs_RSD!$D$2:$D$124,Residential!J105)</f>
        <v>0.060316400230437502</v>
      </c>
      <c r="I105" s="42">
        <f t="shared" si="1"/>
        <v>0.060316400230437502</v>
      </c>
      <c r="J105" t="s">
        <v>251</v>
      </c>
      <c r="L105" t="s">
        <v>250</v>
      </c>
      <c r="R105" t="s">
        <v>247</v>
      </c>
      <c r="S105" t="s">
        <v>246</v>
      </c>
      <c r="T105">
        <v>0.20</v>
      </c>
    </row>
    <row r="106" spans="6:20" ht="15">
      <c r="F106" t="s">
        <v>151</v>
      </c>
      <c r="G106">
        <v>2023</v>
      </c>
      <c r="H106" s="42">
        <f>+SUMIFS(Inputs_RSD!$L$2:$L$124,Inputs_RSD!$C$2:$C$124,Residential!L106,Inputs_RSD!$D$2:$D$124,Residential!J106)</f>
        <v>0.0143517332094984</v>
      </c>
      <c r="I106" s="42">
        <f t="shared" si="1"/>
        <v>0.0143517332094984</v>
      </c>
      <c r="J106" t="s">
        <v>139</v>
      </c>
      <c r="L106" t="s">
        <v>250</v>
      </c>
      <c r="R106" t="s">
        <v>139</v>
      </c>
      <c r="S106" t="s">
        <v>246</v>
      </c>
      <c r="T106">
        <v>0.30</v>
      </c>
    </row>
    <row r="107" spans="6:20" ht="15">
      <c r="F107" t="s">
        <v>151</v>
      </c>
      <c r="G107">
        <v>2023</v>
      </c>
      <c r="H107" s="42">
        <f>+SUMIFS(Inputs_RSD!$L$2:$L$124,Inputs_RSD!$C$2:$C$124,Residential!L107,Inputs_RSD!$D$2:$D$124,Residential!J107)</f>
        <v>0.0012249928868643301</v>
      </c>
      <c r="I107" s="42">
        <f t="shared" si="1"/>
        <v>0.0012249928868643301</v>
      </c>
      <c r="J107" t="s">
        <v>142</v>
      </c>
      <c r="L107" t="s">
        <v>252</v>
      </c>
      <c r="R107" t="s">
        <v>142</v>
      </c>
      <c r="S107" t="s">
        <v>248</v>
      </c>
      <c r="T107">
        <v>0.20</v>
      </c>
    </row>
    <row r="108" spans="6:20" ht="15">
      <c r="F108" t="s">
        <v>151</v>
      </c>
      <c r="G108">
        <v>2023</v>
      </c>
      <c r="H108" s="42">
        <f>+SUMIFS(Inputs_RSD!$L$2:$L$124,Inputs_RSD!$C$2:$C$124,Residential!L108,Inputs_RSD!$D$2:$D$124,Residential!J108)</f>
        <v>0.00041119730191954202</v>
      </c>
      <c r="I108" s="42">
        <f t="shared" si="1"/>
        <v>0.00041119730191954202</v>
      </c>
      <c r="J108" t="s">
        <v>145</v>
      </c>
      <c r="L108" t="s">
        <v>252</v>
      </c>
      <c r="R108" t="s">
        <v>145</v>
      </c>
      <c r="S108" t="s">
        <v>248</v>
      </c>
      <c r="T108">
        <v>0.20</v>
      </c>
    </row>
    <row r="109" spans="6:20" ht="15">
      <c r="F109" t="s">
        <v>151</v>
      </c>
      <c r="G109">
        <v>2023</v>
      </c>
      <c r="H109" s="42">
        <f>+SUMIFS(Inputs_RSD!$L$2:$L$124,Inputs_RSD!$C$2:$C$124,Residential!L109,Inputs_RSD!$D$2:$D$124,Residential!J109)</f>
        <v>0.072534210143308797</v>
      </c>
      <c r="I109" s="42">
        <f t="shared" si="1"/>
        <v>0.072534210143308797</v>
      </c>
      <c r="J109" t="s">
        <v>253</v>
      </c>
      <c r="L109" t="s">
        <v>252</v>
      </c>
      <c r="R109" t="s">
        <v>249</v>
      </c>
      <c r="S109" t="s">
        <v>248</v>
      </c>
      <c r="T109">
        <v>0.20</v>
      </c>
    </row>
    <row r="110" spans="6:20" ht="15">
      <c r="F110" t="s">
        <v>151</v>
      </c>
      <c r="G110">
        <v>2023</v>
      </c>
      <c r="H110" s="42">
        <f>+SUMIFS(Inputs_RSD!$L$2:$L$124,Inputs_RSD!$C$2:$C$124,Residential!L110,Inputs_RSD!$D$2:$D$124,Residential!J110)</f>
        <v>0.0144314490951484</v>
      </c>
      <c r="I110" s="42">
        <f t="shared" si="1"/>
        <v>0.0144314490951484</v>
      </c>
      <c r="J110" t="s">
        <v>139</v>
      </c>
      <c r="L110" t="s">
        <v>252</v>
      </c>
      <c r="R110" t="s">
        <v>139</v>
      </c>
      <c r="S110" t="s">
        <v>248</v>
      </c>
      <c r="T110">
        <v>0.30</v>
      </c>
    </row>
    <row r="111" spans="6:20" ht="15">
      <c r="F111" t="s">
        <v>151</v>
      </c>
      <c r="G111">
        <v>2023</v>
      </c>
      <c r="H111" s="42">
        <f>+SUMIFS(Inputs_RSD!$L$2:$L$124,Inputs_RSD!$C$2:$C$124,Residential!L111,Inputs_RSD!$D$2:$D$124,Residential!J111)</f>
        <v>0.00108148631148779</v>
      </c>
      <c r="I111" s="42">
        <f t="shared" si="1"/>
        <v>0.00108148631148779</v>
      </c>
      <c r="J111" t="s">
        <v>142</v>
      </c>
      <c r="L111" t="s">
        <v>254</v>
      </c>
      <c r="R111" t="s">
        <v>142</v>
      </c>
      <c r="S111" t="s">
        <v>250</v>
      </c>
      <c r="T111">
        <v>0.20</v>
      </c>
    </row>
    <row r="112" spans="6:20" ht="15">
      <c r="F112" t="s">
        <v>151</v>
      </c>
      <c r="G112">
        <v>2023</v>
      </c>
      <c r="H112" s="42">
        <f>+SUMIFS(Inputs_RSD!$L$2:$L$124,Inputs_RSD!$C$2:$C$124,Residential!L112,Inputs_RSD!$D$2:$D$124,Residential!J112)</f>
        <v>0.00030143313414422002</v>
      </c>
      <c r="I112" s="42">
        <f t="shared" si="1"/>
        <v>0.00030143313414422002</v>
      </c>
      <c r="J112" t="s">
        <v>145</v>
      </c>
      <c r="L112" t="s">
        <v>254</v>
      </c>
      <c r="R112" t="s">
        <v>145</v>
      </c>
      <c r="S112" t="s">
        <v>250</v>
      </c>
      <c r="T112">
        <v>0.20</v>
      </c>
    </row>
    <row r="113" spans="6:20" ht="15">
      <c r="F113" t="s">
        <v>151</v>
      </c>
      <c r="G113">
        <v>2023</v>
      </c>
      <c r="H113" s="42">
        <f>+SUMIFS(Inputs_RSD!$L$2:$L$124,Inputs_RSD!$C$2:$C$124,Residential!L113,Inputs_RSD!$D$2:$D$124,Residential!J113)</f>
        <v>0.095721007741370198</v>
      </c>
      <c r="I113" s="42">
        <f t="shared" si="1"/>
        <v>0.095721007741370198</v>
      </c>
      <c r="J113" t="s">
        <v>255</v>
      </c>
      <c r="L113" t="s">
        <v>254</v>
      </c>
      <c r="R113" t="s">
        <v>251</v>
      </c>
      <c r="S113" t="s">
        <v>250</v>
      </c>
      <c r="T113">
        <v>0.20</v>
      </c>
    </row>
    <row r="114" spans="6:20" ht="15">
      <c r="F114" t="s">
        <v>151</v>
      </c>
      <c r="G114">
        <v>2023</v>
      </c>
      <c r="H114" s="42">
        <f>+SUMIFS(Inputs_RSD!$L$2:$L$124,Inputs_RSD!$C$2:$C$124,Residential!L114,Inputs_RSD!$D$2:$D$124,Residential!J114)</f>
        <v>0.013140678240923199</v>
      </c>
      <c r="I114" s="42">
        <f t="shared" si="1"/>
        <v>0.013140678240923199</v>
      </c>
      <c r="J114" t="s">
        <v>139</v>
      </c>
      <c r="L114" t="s">
        <v>254</v>
      </c>
      <c r="R114" t="s">
        <v>139</v>
      </c>
      <c r="S114" t="s">
        <v>250</v>
      </c>
      <c r="T114">
        <v>0.30</v>
      </c>
    </row>
    <row r="115" spans="6:20" ht="15">
      <c r="F115" t="s">
        <v>151</v>
      </c>
      <c r="G115">
        <v>2023</v>
      </c>
      <c r="H115" s="42">
        <f>+SUMIFS(Inputs_RSD!$L$2:$L$124,Inputs_RSD!$C$2:$C$124,Residential!L115,Inputs_RSD!$D$2:$D$124,Residential!J115)</f>
        <v>0.00032505870170077201</v>
      </c>
      <c r="I115" s="42">
        <f t="shared" si="1"/>
        <v>0.00032505870170077201</v>
      </c>
      <c r="J115" t="s">
        <v>140</v>
      </c>
      <c r="L115" t="s">
        <v>257</v>
      </c>
      <c r="R115" t="s">
        <v>142</v>
      </c>
      <c r="S115" t="s">
        <v>252</v>
      </c>
      <c r="T115">
        <v>0.20</v>
      </c>
    </row>
    <row r="116" spans="6:20" ht="15">
      <c r="F116" t="s">
        <v>151</v>
      </c>
      <c r="G116">
        <v>2023</v>
      </c>
      <c r="H116" s="42">
        <f>+SUMIFS(Inputs_RSD!$L$2:$L$124,Inputs_RSD!$C$2:$C$124,Residential!L116,Inputs_RSD!$D$2:$D$124,Residential!J116)</f>
        <v>0.00024641622412260601</v>
      </c>
      <c r="I116" s="42">
        <f t="shared" si="1"/>
        <v>0.00024641622412260601</v>
      </c>
      <c r="J116" t="s">
        <v>143</v>
      </c>
      <c r="L116" t="s">
        <v>257</v>
      </c>
      <c r="R116" t="s">
        <v>145</v>
      </c>
      <c r="S116" t="s">
        <v>252</v>
      </c>
      <c r="T116">
        <v>0.20</v>
      </c>
    </row>
    <row r="117" spans="6:20" ht="15">
      <c r="F117" t="s">
        <v>151</v>
      </c>
      <c r="G117">
        <v>2023</v>
      </c>
      <c r="H117" s="42">
        <f>+SUMIFS(Inputs_RSD!$L$2:$L$124,Inputs_RSD!$C$2:$C$124,Residential!L117,Inputs_RSD!$D$2:$D$124,Residential!J117)</f>
        <v>0.00019344980866313499</v>
      </c>
      <c r="I117" s="42">
        <f t="shared" si="1"/>
        <v>0.00019344980866313499</v>
      </c>
      <c r="J117" t="s">
        <v>134</v>
      </c>
      <c r="L117" t="s">
        <v>257</v>
      </c>
      <c r="R117" t="s">
        <v>253</v>
      </c>
      <c r="S117" t="s">
        <v>252</v>
      </c>
      <c r="T117">
        <v>0.20</v>
      </c>
    </row>
    <row r="118" spans="6:20" ht="15">
      <c r="F118" t="s">
        <v>151</v>
      </c>
      <c r="G118">
        <v>2023</v>
      </c>
      <c r="H118" s="42">
        <f>+SUMIFS(Inputs_RSD!$L$2:$L$124,Inputs_RSD!$C$2:$C$124,Residential!L118,Inputs_RSD!$D$2:$D$124,Residential!J118)</f>
        <v>0.000132490135783855</v>
      </c>
      <c r="I118" s="42">
        <f t="shared" si="1"/>
        <v>0.000132490135783855</v>
      </c>
      <c r="J118" t="s">
        <v>212</v>
      </c>
      <c r="L118" t="s">
        <v>257</v>
      </c>
      <c r="R118" t="s">
        <v>139</v>
      </c>
      <c r="S118" t="s">
        <v>252</v>
      </c>
      <c r="T118">
        <v>0.30</v>
      </c>
    </row>
    <row r="119" spans="6:20" ht="15">
      <c r="F119" t="s">
        <v>151</v>
      </c>
      <c r="G119">
        <v>2023</v>
      </c>
      <c r="H119" s="42">
        <f>+SUMIFS(Inputs_RSD!$L$2:$L$124,Inputs_RSD!$C$2:$C$124,Residential!L119,Inputs_RSD!$D$2:$D$124,Residential!J119)</f>
        <v>0.0026993348022525299</v>
      </c>
      <c r="I119" s="42">
        <f t="shared" si="1"/>
        <v>0.0026993348022525299</v>
      </c>
      <c r="J119" t="s">
        <v>137</v>
      </c>
      <c r="L119" t="s">
        <v>257</v>
      </c>
      <c r="R119" t="s">
        <v>142</v>
      </c>
      <c r="S119" t="s">
        <v>254</v>
      </c>
      <c r="T119">
        <v>0.20</v>
      </c>
    </row>
    <row r="120" spans="6:20" ht="15">
      <c r="F120" t="s">
        <v>151</v>
      </c>
      <c r="G120">
        <v>2023</v>
      </c>
      <c r="H120" s="42">
        <f>+SUMIFS(Inputs_RSD!$L$2:$L$124,Inputs_RSD!$C$2:$C$124,Residential!L120,Inputs_RSD!$D$2:$D$124,Residential!J120)</f>
        <v>0.00030596592500527599</v>
      </c>
      <c r="I120" s="42">
        <f t="shared" si="1"/>
        <v>0.00030596592500527599</v>
      </c>
      <c r="J120" t="s">
        <v>141</v>
      </c>
      <c r="L120" t="s">
        <v>258</v>
      </c>
      <c r="R120" t="s">
        <v>145</v>
      </c>
      <c r="S120" t="s">
        <v>254</v>
      </c>
      <c r="T120">
        <v>0.20</v>
      </c>
    </row>
    <row r="121" spans="6:20" ht="15">
      <c r="F121" t="s">
        <v>151</v>
      </c>
      <c r="G121">
        <v>2023</v>
      </c>
      <c r="H121" s="42">
        <f>+SUMIFS(Inputs_RSD!$L$2:$L$124,Inputs_RSD!$C$2:$C$124,Residential!L121,Inputs_RSD!$D$2:$D$124,Residential!J121)</f>
        <v>0.000217828091994246</v>
      </c>
      <c r="I121" s="42">
        <f t="shared" si="1"/>
        <v>0.000217828091994246</v>
      </c>
      <c r="J121" t="s">
        <v>144</v>
      </c>
      <c r="L121" t="s">
        <v>258</v>
      </c>
      <c r="R121" t="s">
        <v>255</v>
      </c>
      <c r="S121" t="s">
        <v>254</v>
      </c>
      <c r="T121">
        <v>0.20</v>
      </c>
    </row>
    <row r="122" spans="6:20" ht="15">
      <c r="F122" t="s">
        <v>151</v>
      </c>
      <c r="G122">
        <v>2023</v>
      </c>
      <c r="H122" s="42">
        <f>+SUMIFS(Inputs_RSD!$L$2:$L$124,Inputs_RSD!$C$2:$C$124,Residential!L122,Inputs_RSD!$D$2:$D$124,Residential!J122)</f>
        <v>0.00021494423184792799</v>
      </c>
      <c r="I122" s="42">
        <f t="shared" si="1"/>
        <v>0.00021494423184792799</v>
      </c>
      <c r="J122" t="s">
        <v>135</v>
      </c>
      <c r="L122" t="s">
        <v>258</v>
      </c>
      <c r="R122" t="s">
        <v>139</v>
      </c>
      <c r="S122" t="s">
        <v>254</v>
      </c>
      <c r="T122">
        <v>0.30</v>
      </c>
    </row>
    <row r="123" spans="6:20" ht="15">
      <c r="F123" t="s">
        <v>151</v>
      </c>
      <c r="G123">
        <v>2023</v>
      </c>
      <c r="H123" s="42">
        <f>+SUMIFS(Inputs_RSD!$L$2:$L$124,Inputs_RSD!$C$2:$C$124,Residential!L123,Inputs_RSD!$D$2:$D$124,Residential!J123)</f>
        <v>0.00031499640433377599</v>
      </c>
      <c r="I123" s="42">
        <f t="shared" si="1"/>
        <v>0.00031499640433377599</v>
      </c>
      <c r="J123" t="s">
        <v>227</v>
      </c>
      <c r="L123" t="s">
        <v>258</v>
      </c>
      <c r="R123" t="s">
        <v>140</v>
      </c>
      <c r="S123" t="s">
        <v>257</v>
      </c>
      <c r="T123">
        <v>0.20</v>
      </c>
    </row>
    <row r="124" spans="6:20" ht="15">
      <c r="F124" t="s">
        <v>151</v>
      </c>
      <c r="G124">
        <v>2023</v>
      </c>
      <c r="H124" s="42">
        <f>+SUMIFS(Inputs_RSD!$L$2:$L$124,Inputs_RSD!$C$2:$C$124,Residential!L124,Inputs_RSD!$D$2:$D$124,Residential!J124)</f>
        <v>0.0025141244794864501</v>
      </c>
      <c r="I124" s="42">
        <f t="shared" si="1"/>
        <v>0.0025141244794864501</v>
      </c>
      <c r="J124" t="s">
        <v>138</v>
      </c>
      <c r="L124" t="s">
        <v>258</v>
      </c>
      <c r="R124" t="s">
        <v>143</v>
      </c>
      <c r="S124" t="s">
        <v>257</v>
      </c>
      <c r="T124">
        <v>0.20</v>
      </c>
    </row>
    <row r="125" spans="6:20" ht="15">
      <c r="F125" t="s">
        <v>151</v>
      </c>
      <c r="G125">
        <v>2023</v>
      </c>
      <c r="H125" s="42">
        <f>+SUMIFS(Inputs_RSD!$L$2:$L$124,Inputs_RSD!$C$2:$C$124,Residential!L125,Inputs_RSD!$D$2:$D$124,Residential!J125)</f>
        <v>0.0017683153930356801</v>
      </c>
      <c r="I125" s="42">
        <f t="shared" si="1"/>
        <v>0.0017683153930356801</v>
      </c>
      <c r="J125" t="s">
        <v>142</v>
      </c>
      <c r="L125" t="s">
        <v>259</v>
      </c>
      <c r="R125" t="s">
        <v>134</v>
      </c>
      <c r="S125" t="s">
        <v>257</v>
      </c>
      <c r="T125">
        <v>0.20</v>
      </c>
    </row>
    <row r="126" spans="6:20" ht="15">
      <c r="F126" t="s">
        <v>151</v>
      </c>
      <c r="G126">
        <v>2023</v>
      </c>
      <c r="H126" s="42">
        <f>+SUMIFS(Inputs_RSD!$L$2:$L$124,Inputs_RSD!$C$2:$C$124,Residential!L126,Inputs_RSD!$D$2:$D$124,Residential!J126)</f>
        <v>0.00066867996369597798</v>
      </c>
      <c r="I126" s="42">
        <f t="shared" si="1"/>
        <v>0.00066867996369597798</v>
      </c>
      <c r="J126" t="s">
        <v>145</v>
      </c>
      <c r="L126" t="s">
        <v>259</v>
      </c>
      <c r="R126" t="s">
        <v>212</v>
      </c>
      <c r="S126" t="s">
        <v>257</v>
      </c>
      <c r="T126">
        <v>0.20</v>
      </c>
    </row>
    <row r="127" spans="6:20" ht="15">
      <c r="F127" t="s">
        <v>151</v>
      </c>
      <c r="G127">
        <v>2023</v>
      </c>
      <c r="H127" s="42">
        <f>+SUMIFS(Inputs_RSD!$L$2:$L$124,Inputs_RSD!$C$2:$C$124,Residential!L127,Inputs_RSD!$D$2:$D$124,Residential!J127)</f>
        <v>0.00023643865503272099</v>
      </c>
      <c r="I127" s="42">
        <f t="shared" si="1"/>
        <v>0.00023643865503272099</v>
      </c>
      <c r="J127" t="s">
        <v>136</v>
      </c>
      <c r="L127" t="s">
        <v>259</v>
      </c>
      <c r="R127" t="s">
        <v>137</v>
      </c>
      <c r="S127" t="s">
        <v>257</v>
      </c>
      <c r="T127">
        <v>0.30</v>
      </c>
    </row>
    <row r="128" spans="6:20" ht="15">
      <c r="F128" t="s">
        <v>151</v>
      </c>
      <c r="G128">
        <v>2023</v>
      </c>
      <c r="H128" s="42">
        <f>+SUMIFS(Inputs_RSD!$L$2:$L$124,Inputs_RSD!$C$2:$C$124,Residential!L128,Inputs_RSD!$D$2:$D$124,Residential!J128)</f>
        <v>0.0024058665241777598</v>
      </c>
      <c r="I128" s="42">
        <f t="shared" si="1"/>
        <v>0.0024058665241777598</v>
      </c>
      <c r="J128" t="s">
        <v>242</v>
      </c>
      <c r="L128" t="s">
        <v>259</v>
      </c>
      <c r="R128" t="s">
        <v>141</v>
      </c>
      <c r="S128" t="s">
        <v>258</v>
      </c>
      <c r="T128">
        <v>0.20</v>
      </c>
    </row>
    <row r="129" spans="6:20" ht="15">
      <c r="F129" t="s">
        <v>151</v>
      </c>
      <c r="G129">
        <v>2023</v>
      </c>
      <c r="H129" s="42">
        <f>+SUMIFS(Inputs_RSD!$L$2:$L$124,Inputs_RSD!$C$2:$C$124,Residential!L129,Inputs_RSD!$D$2:$D$124,Residential!J129)</f>
        <v>0.00426054151520409</v>
      </c>
      <c r="I129" s="42">
        <f t="shared" si="1"/>
        <v>0.00426054151520409</v>
      </c>
      <c r="J129" t="s">
        <v>139</v>
      </c>
      <c r="L129" t="s">
        <v>259</v>
      </c>
      <c r="R129" t="s">
        <v>144</v>
      </c>
      <c r="S129" t="s">
        <v>258</v>
      </c>
      <c r="T129">
        <v>0.20</v>
      </c>
    </row>
    <row r="130" spans="6:20" ht="15">
      <c r="F130" s="43" t="s">
        <v>151</v>
      </c>
      <c r="G130" s="43">
        <v>2050</v>
      </c>
      <c r="H130" s="44">
        <f>+H7*(1-T15)</f>
        <v>0.00040491427137958962</v>
      </c>
      <c r="I130" s="44">
        <f t="shared" si="1"/>
        <v>0.00040491427137958962</v>
      </c>
      <c r="J130" s="43" t="s">
        <v>140</v>
      </c>
      <c r="K130" s="43"/>
      <c r="L130" s="43" t="s">
        <v>209</v>
      </c>
      <c r="M130" s="43"/>
      <c r="R130" t="s">
        <v>135</v>
      </c>
      <c r="S130" t="s">
        <v>258</v>
      </c>
      <c r="T130">
        <v>0.20</v>
      </c>
    </row>
    <row r="131" spans="6:20" ht="15">
      <c r="F131" s="43" t="s">
        <v>151</v>
      </c>
      <c r="G131" s="43">
        <v>2050</v>
      </c>
      <c r="H131" s="44">
        <f t="shared" si="2" ref="H131:H194">+H8*(1-T16)</f>
        <v>0.00044218154496028007</v>
      </c>
      <c r="I131" s="44">
        <f t="shared" si="1"/>
        <v>0.00044218154496028007</v>
      </c>
      <c r="J131" s="43" t="s">
        <v>143</v>
      </c>
      <c r="K131" s="43"/>
      <c r="L131" s="43" t="s">
        <v>209</v>
      </c>
      <c r="M131" s="43"/>
      <c r="R131" t="s">
        <v>227</v>
      </c>
      <c r="S131" t="s">
        <v>258</v>
      </c>
      <c r="T131">
        <v>0.20</v>
      </c>
    </row>
    <row r="132" spans="6:20" ht="15">
      <c r="F132" s="43" t="s">
        <v>151</v>
      </c>
      <c r="G132" s="43">
        <v>2050</v>
      </c>
      <c r="H132" s="44">
        <f t="shared" si="2"/>
        <v>0.00034652484301016804</v>
      </c>
      <c r="I132" s="44">
        <f t="shared" si="1"/>
        <v>0.00034652484301016804</v>
      </c>
      <c r="J132" s="43" t="s">
        <v>212</v>
      </c>
      <c r="K132" s="43"/>
      <c r="L132" s="43" t="s">
        <v>209</v>
      </c>
      <c r="M132" s="43"/>
      <c r="R132" t="s">
        <v>138</v>
      </c>
      <c r="S132" t="s">
        <v>258</v>
      </c>
      <c r="T132">
        <v>0.30</v>
      </c>
    </row>
    <row r="133" spans="6:20" ht="15">
      <c r="F133" s="43" t="s">
        <v>151</v>
      </c>
      <c r="G133" s="43">
        <v>2050</v>
      </c>
      <c r="H133" s="44">
        <f t="shared" si="2"/>
        <v>0.0028171478467655668</v>
      </c>
      <c r="I133" s="44">
        <f t="shared" si="1"/>
        <v>0.0028171478467655668</v>
      </c>
      <c r="J133" s="43" t="s">
        <v>137</v>
      </c>
      <c r="K133" s="43"/>
      <c r="L133" s="43" t="s">
        <v>209</v>
      </c>
      <c r="M133" s="43"/>
      <c r="R133" t="s">
        <v>142</v>
      </c>
      <c r="S133" t="s">
        <v>259</v>
      </c>
      <c r="T133">
        <v>0.20</v>
      </c>
    </row>
    <row r="134" spans="6:20" ht="15">
      <c r="F134" s="43" t="s">
        <v>151</v>
      </c>
      <c r="G134" s="43">
        <v>2050</v>
      </c>
      <c r="H134" s="44">
        <f t="shared" si="2"/>
        <v>0.000546895460104572</v>
      </c>
      <c r="I134" s="44">
        <f t="shared" si="1"/>
        <v>0.000546895460104572</v>
      </c>
      <c r="J134" s="43" t="s">
        <v>140</v>
      </c>
      <c r="K134" s="43"/>
      <c r="L134" s="43" t="s">
        <v>213</v>
      </c>
      <c r="M134" s="43"/>
      <c r="R134" t="s">
        <v>145</v>
      </c>
      <c r="S134" t="s">
        <v>259</v>
      </c>
      <c r="T134">
        <v>0.20</v>
      </c>
    </row>
    <row r="135" spans="6:20" ht="15">
      <c r="F135" s="43" t="s">
        <v>151</v>
      </c>
      <c r="G135" s="43">
        <v>2050</v>
      </c>
      <c r="H135" s="44">
        <f t="shared" si="2"/>
        <v>0.00029841320531818886</v>
      </c>
      <c r="I135" s="44">
        <f t="shared" si="1"/>
        <v>0.00029841320531818886</v>
      </c>
      <c r="J135" s="43" t="s">
        <v>143</v>
      </c>
      <c r="K135" s="43"/>
      <c r="L135" s="43" t="s">
        <v>213</v>
      </c>
      <c r="M135" s="43"/>
      <c r="R135" t="s">
        <v>136</v>
      </c>
      <c r="S135" t="s">
        <v>259</v>
      </c>
      <c r="T135">
        <v>0.20</v>
      </c>
    </row>
    <row r="136" spans="6:20" ht="15">
      <c r="F136" s="43" t="s">
        <v>151</v>
      </c>
      <c r="G136" s="43">
        <v>2050</v>
      </c>
      <c r="H136" s="44">
        <f t="shared" si="2"/>
        <v>0.0052068542591445204</v>
      </c>
      <c r="I136" s="44">
        <f t="shared" si="3" ref="I136:I199">+H136</f>
        <v>0.0052068542591445204</v>
      </c>
      <c r="J136" s="43" t="s">
        <v>212</v>
      </c>
      <c r="K136" s="43"/>
      <c r="L136" s="43" t="s">
        <v>213</v>
      </c>
      <c r="M136" s="43"/>
      <c r="R136" t="s">
        <v>242</v>
      </c>
      <c r="S136" t="s">
        <v>259</v>
      </c>
      <c r="T136">
        <v>0.20</v>
      </c>
    </row>
    <row r="137" spans="6:20" ht="15">
      <c r="F137" s="43" t="s">
        <v>151</v>
      </c>
      <c r="G137" s="43">
        <v>2050</v>
      </c>
      <c r="H137" s="44">
        <f t="shared" si="2"/>
        <v>0.0068211743766827008</v>
      </c>
      <c r="I137" s="44">
        <f t="shared" si="3"/>
        <v>0.0068211743766827008</v>
      </c>
      <c r="J137" s="43" t="s">
        <v>137</v>
      </c>
      <c r="K137" s="43"/>
      <c r="L137" s="43" t="s">
        <v>213</v>
      </c>
      <c r="M137" s="43"/>
      <c r="R137" t="s">
        <v>139</v>
      </c>
      <c r="S137" t="s">
        <v>259</v>
      </c>
      <c r="T137">
        <v>0.30</v>
      </c>
    </row>
    <row r="138" spans="6:13" ht="15">
      <c r="F138" s="43" t="s">
        <v>151</v>
      </c>
      <c r="G138" s="43">
        <v>2050</v>
      </c>
      <c r="H138" s="44">
        <f t="shared" si="2"/>
        <v>0.00060578876404935125</v>
      </c>
      <c r="I138" s="44">
        <f t="shared" si="3"/>
        <v>0.00060578876404935125</v>
      </c>
      <c r="J138" s="43" t="s">
        <v>140</v>
      </c>
      <c r="K138" s="43"/>
      <c r="L138" s="43" t="s">
        <v>214</v>
      </c>
      <c r="M138" s="43"/>
    </row>
    <row r="139" spans="6:13" ht="15">
      <c r="F139" s="43" t="s">
        <v>151</v>
      </c>
      <c r="G139" s="43">
        <v>2050</v>
      </c>
      <c r="H139" s="44">
        <f t="shared" si="2"/>
        <v>0.00027498260230833521</v>
      </c>
      <c r="I139" s="44">
        <f t="shared" si="3"/>
        <v>0.00027498260230833521</v>
      </c>
      <c r="J139" s="43" t="s">
        <v>143</v>
      </c>
      <c r="K139" s="43"/>
      <c r="L139" s="43" t="s">
        <v>214</v>
      </c>
      <c r="M139" s="43"/>
    </row>
    <row r="140" spans="6:13" ht="15">
      <c r="F140" s="43" t="s">
        <v>151</v>
      </c>
      <c r="G140" s="43">
        <v>2050</v>
      </c>
      <c r="H140" s="44">
        <f t="shared" si="2"/>
        <v>0.0092833194367734403</v>
      </c>
      <c r="I140" s="44">
        <f t="shared" si="3"/>
        <v>0.0092833194367734403</v>
      </c>
      <c r="J140" s="43" t="s">
        <v>212</v>
      </c>
      <c r="K140" s="43"/>
      <c r="L140" s="43" t="s">
        <v>214</v>
      </c>
      <c r="M140" s="43"/>
    </row>
    <row r="141" spans="6:13" ht="15">
      <c r="F141" s="43" t="s">
        <v>151</v>
      </c>
      <c r="G141" s="43">
        <v>2050</v>
      </c>
      <c r="H141" s="44">
        <f t="shared" si="2"/>
        <v>0.0086318988274786384</v>
      </c>
      <c r="I141" s="44">
        <f t="shared" si="3"/>
        <v>0.0086318988274786384</v>
      </c>
      <c r="J141" s="43" t="s">
        <v>137</v>
      </c>
      <c r="K141" s="43"/>
      <c r="L141" s="43" t="s">
        <v>214</v>
      </c>
      <c r="M141" s="43"/>
    </row>
    <row r="142" spans="6:13" ht="15">
      <c r="F142" s="43" t="s">
        <v>151</v>
      </c>
      <c r="G142" s="43">
        <v>2050</v>
      </c>
      <c r="H142" s="44">
        <f t="shared" si="2"/>
        <v>0.0006063494837106817</v>
      </c>
      <c r="I142" s="44">
        <f t="shared" si="3"/>
        <v>0.0006063494837106817</v>
      </c>
      <c r="J142" s="43" t="s">
        <v>140</v>
      </c>
      <c r="K142" s="43"/>
      <c r="L142" s="43" t="s">
        <v>215</v>
      </c>
      <c r="M142" s="43"/>
    </row>
    <row r="143" spans="6:13" ht="15">
      <c r="F143" s="43" t="s">
        <v>151</v>
      </c>
      <c r="G143" s="43">
        <v>2050</v>
      </c>
      <c r="H143" s="44">
        <f t="shared" si="2"/>
        <v>0.00025474187143279198</v>
      </c>
      <c r="I143" s="44">
        <f t="shared" si="3"/>
        <v>0.00025474187143279198</v>
      </c>
      <c r="J143" s="43" t="s">
        <v>143</v>
      </c>
      <c r="K143" s="43"/>
      <c r="L143" s="43" t="s">
        <v>215</v>
      </c>
      <c r="M143" s="43"/>
    </row>
    <row r="144" spans="6:13" ht="15">
      <c r="F144" s="43" t="s">
        <v>151</v>
      </c>
      <c r="G144" s="43">
        <v>2050</v>
      </c>
      <c r="H144" s="44">
        <f t="shared" si="2"/>
        <v>0.012527139197527279</v>
      </c>
      <c r="I144" s="44">
        <f t="shared" si="3"/>
        <v>0.012527139197527279</v>
      </c>
      <c r="J144" s="43" t="s">
        <v>212</v>
      </c>
      <c r="K144" s="43"/>
      <c r="L144" s="43" t="s">
        <v>215</v>
      </c>
      <c r="M144" s="43"/>
    </row>
    <row r="145" spans="6:13" ht="15">
      <c r="F145" s="43" t="s">
        <v>151</v>
      </c>
      <c r="G145" s="43">
        <v>2050</v>
      </c>
      <c r="H145" s="44">
        <f t="shared" si="2"/>
        <v>0.0096306439173918391</v>
      </c>
      <c r="I145" s="44">
        <f t="shared" si="3"/>
        <v>0.0096306439173918391</v>
      </c>
      <c r="J145" s="43" t="s">
        <v>137</v>
      </c>
      <c r="K145" s="43"/>
      <c r="L145" s="43" t="s">
        <v>215</v>
      </c>
      <c r="M145" s="43"/>
    </row>
    <row r="146" spans="6:13" ht="15">
      <c r="F146" s="43" t="s">
        <v>151</v>
      </c>
      <c r="G146" s="43">
        <v>2050</v>
      </c>
      <c r="H146" s="44">
        <f t="shared" si="2"/>
        <v>0.00056392787695220723</v>
      </c>
      <c r="I146" s="44">
        <f t="shared" si="3"/>
        <v>0.00056392787695220723</v>
      </c>
      <c r="J146" s="43" t="s">
        <v>140</v>
      </c>
      <c r="K146" s="43"/>
      <c r="L146" s="43" t="s">
        <v>216</v>
      </c>
      <c r="M146" s="43"/>
    </row>
    <row r="147" spans="6:13" ht="15">
      <c r="F147" s="43" t="s">
        <v>151</v>
      </c>
      <c r="G147" s="43">
        <v>2050</v>
      </c>
      <c r="H147" s="44">
        <f t="shared" si="2"/>
        <v>0.00017064515183521601</v>
      </c>
      <c r="I147" s="44">
        <f t="shared" si="3"/>
        <v>0.00017064515183521601</v>
      </c>
      <c r="J147" s="43" t="s">
        <v>143</v>
      </c>
      <c r="K147" s="43"/>
      <c r="L147" s="43" t="s">
        <v>216</v>
      </c>
      <c r="M147" s="43"/>
    </row>
    <row r="148" spans="6:13" ht="15">
      <c r="F148" s="43" t="s">
        <v>151</v>
      </c>
      <c r="G148" s="43">
        <v>2050</v>
      </c>
      <c r="H148" s="44">
        <f t="shared" si="2"/>
        <v>0.0091149612774970405</v>
      </c>
      <c r="I148" s="44">
        <f t="shared" si="3"/>
        <v>0.0091149612774970405</v>
      </c>
      <c r="J148" s="43" t="s">
        <v>217</v>
      </c>
      <c r="K148" s="43"/>
      <c r="L148" s="43" t="s">
        <v>216</v>
      </c>
      <c r="M148" s="43"/>
    </row>
    <row r="149" spans="6:13" ht="15">
      <c r="F149" s="43" t="s">
        <v>151</v>
      </c>
      <c r="G149" s="43">
        <v>2050</v>
      </c>
      <c r="H149" s="44">
        <f t="shared" si="2"/>
        <v>0.0095659496498319598</v>
      </c>
      <c r="I149" s="44">
        <f t="shared" si="3"/>
        <v>0.0095659496498319598</v>
      </c>
      <c r="J149" s="43" t="s">
        <v>137</v>
      </c>
      <c r="K149" s="43"/>
      <c r="L149" s="43" t="s">
        <v>216</v>
      </c>
      <c r="M149" s="43"/>
    </row>
    <row r="150" spans="6:13" ht="15">
      <c r="F150" s="43" t="s">
        <v>151</v>
      </c>
      <c r="G150" s="43">
        <v>2050</v>
      </c>
      <c r="H150" s="44">
        <f t="shared" si="2"/>
        <v>0.00050561152487992804</v>
      </c>
      <c r="I150" s="44">
        <f t="shared" si="3"/>
        <v>0.00050561152487992804</v>
      </c>
      <c r="J150" s="43" t="s">
        <v>140</v>
      </c>
      <c r="K150" s="43"/>
      <c r="L150" s="43" t="s">
        <v>218</v>
      </c>
      <c r="M150" s="43"/>
    </row>
    <row r="151" spans="6:13" ht="15">
      <c r="F151" s="43" t="s">
        <v>151</v>
      </c>
      <c r="G151" s="43">
        <v>2050</v>
      </c>
      <c r="H151" s="44">
        <f t="shared" si="2"/>
        <v>7.4242378957004569E-05</v>
      </c>
      <c r="I151" s="44">
        <f t="shared" si="3"/>
        <v>7.4242378957004569E-05</v>
      </c>
      <c r="J151" s="43" t="s">
        <v>143</v>
      </c>
      <c r="K151" s="43"/>
      <c r="L151" s="43" t="s">
        <v>218</v>
      </c>
      <c r="M151" s="43"/>
    </row>
    <row r="152" spans="6:13" ht="15">
      <c r="F152" s="43" t="s">
        <v>151</v>
      </c>
      <c r="G152" s="43">
        <v>2050</v>
      </c>
      <c r="H152" s="44">
        <f t="shared" si="2"/>
        <v>0.0099707631037801604</v>
      </c>
      <c r="I152" s="44">
        <f t="shared" si="3"/>
        <v>0.0099707631037801604</v>
      </c>
      <c r="J152" s="43" t="s">
        <v>219</v>
      </c>
      <c r="K152" s="43"/>
      <c r="L152" s="43" t="s">
        <v>218</v>
      </c>
      <c r="M152" s="43"/>
    </row>
    <row r="153" spans="6:13" ht="15">
      <c r="F153" s="43" t="s">
        <v>151</v>
      </c>
      <c r="G153" s="43">
        <v>2050</v>
      </c>
      <c r="H153" s="44">
        <f t="shared" si="2"/>
        <v>0.0081344264102704393</v>
      </c>
      <c r="I153" s="44">
        <f t="shared" si="3"/>
        <v>0.0081344264102704393</v>
      </c>
      <c r="J153" s="43" t="s">
        <v>137</v>
      </c>
      <c r="K153" s="43"/>
      <c r="L153" s="43" t="s">
        <v>218</v>
      </c>
      <c r="M153" s="43"/>
    </row>
    <row r="154" spans="6:13" ht="15">
      <c r="F154" s="43" t="s">
        <v>151</v>
      </c>
      <c r="G154" s="43">
        <v>2050</v>
      </c>
      <c r="H154" s="44">
        <f t="shared" si="2"/>
        <v>0.00047066817870581999</v>
      </c>
      <c r="I154" s="44">
        <f t="shared" si="3"/>
        <v>0.00047066817870581999</v>
      </c>
      <c r="J154" s="43" t="s">
        <v>140</v>
      </c>
      <c r="K154" s="43"/>
      <c r="L154" s="43" t="s">
        <v>220</v>
      </c>
      <c r="M154" s="43"/>
    </row>
    <row r="155" spans="6:13" ht="15">
      <c r="F155" s="43" t="s">
        <v>151</v>
      </c>
      <c r="G155" s="43">
        <v>2050</v>
      </c>
      <c r="H155" s="44">
        <f t="shared" si="2"/>
        <v>5.5302044941087202E-05</v>
      </c>
      <c r="I155" s="44">
        <f t="shared" si="3"/>
        <v>5.5302044941087202E-05</v>
      </c>
      <c r="J155" s="43" t="s">
        <v>143</v>
      </c>
      <c r="K155" s="43"/>
      <c r="L155" s="43" t="s">
        <v>220</v>
      </c>
      <c r="M155" s="43"/>
    </row>
    <row r="156" spans="6:13" ht="15">
      <c r="F156" s="43" t="s">
        <v>151</v>
      </c>
      <c r="G156" s="43">
        <v>2050</v>
      </c>
      <c r="H156" s="44">
        <f t="shared" si="2"/>
        <v>0.0133160384881728</v>
      </c>
      <c r="I156" s="44">
        <f t="shared" si="3"/>
        <v>0.0133160384881728</v>
      </c>
      <c r="J156" s="43" t="s">
        <v>221</v>
      </c>
      <c r="K156" s="43"/>
      <c r="L156" s="43" t="s">
        <v>220</v>
      </c>
      <c r="M156" s="43"/>
    </row>
    <row r="157" spans="6:13" ht="15">
      <c r="F157" s="43" t="s">
        <v>151</v>
      </c>
      <c r="G157" s="43">
        <v>2050</v>
      </c>
      <c r="H157" s="44">
        <f t="shared" si="2"/>
        <v>0.0076581977531479687</v>
      </c>
      <c r="I157" s="44">
        <f t="shared" si="3"/>
        <v>0.0076581977531479687</v>
      </c>
      <c r="J157" s="43" t="s">
        <v>137</v>
      </c>
      <c r="K157" s="43"/>
      <c r="L157" s="43" t="s">
        <v>220</v>
      </c>
      <c r="M157" s="43"/>
    </row>
    <row r="158" spans="6:13" ht="15">
      <c r="F158" s="43" t="s">
        <v>151</v>
      </c>
      <c r="G158" s="43">
        <v>2050</v>
      </c>
      <c r="H158" s="44">
        <f t="shared" si="2"/>
        <v>0.00044270801313012165</v>
      </c>
      <c r="I158" s="44">
        <f t="shared" si="3"/>
        <v>0.00044270801313012165</v>
      </c>
      <c r="J158" s="43" t="s">
        <v>140</v>
      </c>
      <c r="K158" s="43"/>
      <c r="L158" s="43" t="s">
        <v>222</v>
      </c>
      <c r="M158" s="43"/>
    </row>
    <row r="159" spans="6:13" ht="15">
      <c r="F159" s="43" t="s">
        <v>151</v>
      </c>
      <c r="G159" s="43">
        <v>2050</v>
      </c>
      <c r="H159" s="44">
        <f t="shared" si="2"/>
        <v>6.7898523270177276E-05</v>
      </c>
      <c r="I159" s="44">
        <f t="shared" si="3"/>
        <v>6.7898523270177276E-05</v>
      </c>
      <c r="J159" s="43" t="s">
        <v>143</v>
      </c>
      <c r="K159" s="43"/>
      <c r="L159" s="43" t="s">
        <v>222</v>
      </c>
      <c r="M159" s="43"/>
    </row>
    <row r="160" spans="6:13" ht="15">
      <c r="F160" s="43" t="s">
        <v>151</v>
      </c>
      <c r="G160" s="43">
        <v>2050</v>
      </c>
      <c r="H160" s="44">
        <f t="shared" si="2"/>
        <v>0.018099318208212721</v>
      </c>
      <c r="I160" s="44">
        <f t="shared" si="3"/>
        <v>0.018099318208212721</v>
      </c>
      <c r="J160" s="43" t="s">
        <v>223</v>
      </c>
      <c r="K160" s="43"/>
      <c r="L160" s="43" t="s">
        <v>222</v>
      </c>
      <c r="M160" s="43"/>
    </row>
    <row r="161" spans="6:13" ht="15">
      <c r="F161" s="43" t="s">
        <v>151</v>
      </c>
      <c r="G161" s="43">
        <v>2050</v>
      </c>
      <c r="H161" s="44">
        <f t="shared" si="2"/>
        <v>0.0077565871608860594</v>
      </c>
      <c r="I161" s="44">
        <f t="shared" si="3"/>
        <v>0.0077565871608860594</v>
      </c>
      <c r="J161" s="43" t="s">
        <v>137</v>
      </c>
      <c r="K161" s="43"/>
      <c r="L161" s="43" t="s">
        <v>222</v>
      </c>
      <c r="M161" s="43"/>
    </row>
    <row r="162" spans="6:13" ht="15">
      <c r="F162" s="43" t="s">
        <v>151</v>
      </c>
      <c r="G162" s="43">
        <v>2050</v>
      </c>
      <c r="H162" s="44">
        <f t="shared" si="2"/>
        <v>0.00042711738969084564</v>
      </c>
      <c r="I162" s="44">
        <f t="shared" si="3"/>
        <v>0.00042711738969084564</v>
      </c>
      <c r="J162" s="43" t="s">
        <v>140</v>
      </c>
      <c r="K162" s="43"/>
      <c r="L162" s="43" t="s">
        <v>224</v>
      </c>
      <c r="M162" s="43"/>
    </row>
    <row r="163" spans="6:13" ht="15">
      <c r="F163" s="43" t="s">
        <v>151</v>
      </c>
      <c r="G163" s="43">
        <v>2050</v>
      </c>
      <c r="H163" s="44">
        <f t="shared" si="2"/>
        <v>5.7141311991252807E-05</v>
      </c>
      <c r="I163" s="44">
        <f t="shared" si="3"/>
        <v>5.7141311991252807E-05</v>
      </c>
      <c r="J163" s="43" t="s">
        <v>143</v>
      </c>
      <c r="K163" s="43"/>
      <c r="L163" s="43" t="s">
        <v>224</v>
      </c>
      <c r="M163" s="43"/>
    </row>
    <row r="164" spans="6:13" ht="15">
      <c r="F164" s="43" t="s">
        <v>151</v>
      </c>
      <c r="G164" s="43">
        <v>2050</v>
      </c>
      <c r="H164" s="44">
        <f t="shared" si="2"/>
        <v>0.02187073082188936</v>
      </c>
      <c r="I164" s="44">
        <f t="shared" si="3"/>
        <v>0.02187073082188936</v>
      </c>
      <c r="J164" s="43" t="s">
        <v>225</v>
      </c>
      <c r="K164" s="43"/>
      <c r="L164" s="43" t="s">
        <v>224</v>
      </c>
      <c r="M164" s="43"/>
    </row>
    <row r="165" spans="6:13" ht="15">
      <c r="F165" s="43" t="s">
        <v>151</v>
      </c>
      <c r="G165" s="43">
        <v>2050</v>
      </c>
      <c r="H165" s="44">
        <f t="shared" si="2"/>
        <v>0.0074072236715062587</v>
      </c>
      <c r="I165" s="44">
        <f t="shared" si="3"/>
        <v>0.0074072236715062587</v>
      </c>
      <c r="J165" s="43" t="s">
        <v>137</v>
      </c>
      <c r="K165" s="43"/>
      <c r="L165" s="43" t="s">
        <v>224</v>
      </c>
      <c r="M165" s="43"/>
    </row>
    <row r="166" spans="6:13" ht="15">
      <c r="F166" s="43" t="s">
        <v>151</v>
      </c>
      <c r="G166" s="43">
        <v>2050</v>
      </c>
      <c r="H166" s="44">
        <f t="shared" si="2"/>
        <v>0.00059393358972141281</v>
      </c>
      <c r="I166" s="44">
        <f t="shared" si="3"/>
        <v>0.00059393358972141281</v>
      </c>
      <c r="J166" s="43" t="s">
        <v>141</v>
      </c>
      <c r="K166" s="43"/>
      <c r="L166" s="43" t="s">
        <v>226</v>
      </c>
      <c r="M166" s="43"/>
    </row>
    <row r="167" spans="6:13" ht="15">
      <c r="F167" s="43" t="s">
        <v>151</v>
      </c>
      <c r="G167" s="43">
        <v>2050</v>
      </c>
      <c r="H167" s="44">
        <f t="shared" si="2"/>
        <v>0.00055785841133882568</v>
      </c>
      <c r="I167" s="44">
        <f t="shared" si="3"/>
        <v>0.00055785841133882568</v>
      </c>
      <c r="J167" s="43" t="s">
        <v>144</v>
      </c>
      <c r="K167" s="43"/>
      <c r="L167" s="43" t="s">
        <v>226</v>
      </c>
      <c r="M167" s="43"/>
    </row>
    <row r="168" spans="6:13" ht="15">
      <c r="F168" s="43" t="s">
        <v>151</v>
      </c>
      <c r="G168" s="43">
        <v>2050</v>
      </c>
      <c r="H168" s="44">
        <f t="shared" si="2"/>
        <v>0.0012873309362631841</v>
      </c>
      <c r="I168" s="44">
        <f t="shared" si="3"/>
        <v>0.0012873309362631841</v>
      </c>
      <c r="J168" s="43" t="s">
        <v>227</v>
      </c>
      <c r="K168" s="43"/>
      <c r="L168" s="43" t="s">
        <v>226</v>
      </c>
      <c r="M168" s="43"/>
    </row>
    <row r="169" spans="6:13" ht="15">
      <c r="F169" s="43" t="s">
        <v>151</v>
      </c>
      <c r="G169" s="43">
        <v>2050</v>
      </c>
      <c r="H169" s="44">
        <f t="shared" si="2"/>
        <v>0.0040450318111573437</v>
      </c>
      <c r="I169" s="44">
        <f t="shared" si="3"/>
        <v>0.0040450318111573437</v>
      </c>
      <c r="J169" s="43" t="s">
        <v>138</v>
      </c>
      <c r="K169" s="43"/>
      <c r="L169" s="43" t="s">
        <v>226</v>
      </c>
      <c r="M169" s="43"/>
    </row>
    <row r="170" spans="6:13" ht="15">
      <c r="F170" s="43" t="s">
        <v>151</v>
      </c>
      <c r="G170" s="43">
        <v>2050</v>
      </c>
      <c r="H170" s="44">
        <f t="shared" si="2"/>
        <v>0.00062352448065255202</v>
      </c>
      <c r="I170" s="44">
        <f t="shared" si="3"/>
        <v>0.00062352448065255202</v>
      </c>
      <c r="J170" s="43" t="s">
        <v>141</v>
      </c>
      <c r="K170" s="43"/>
      <c r="L170" s="43" t="s">
        <v>228</v>
      </c>
      <c r="M170" s="43"/>
    </row>
    <row r="171" spans="6:13" ht="15">
      <c r="F171" s="43" t="s">
        <v>151</v>
      </c>
      <c r="G171" s="43">
        <v>2050</v>
      </c>
      <c r="H171" s="44">
        <f t="shared" si="2"/>
        <v>0.00034093114715146321</v>
      </c>
      <c r="I171" s="44">
        <f t="shared" si="3"/>
        <v>0.00034093114715146321</v>
      </c>
      <c r="J171" s="43" t="s">
        <v>144</v>
      </c>
      <c r="K171" s="43"/>
      <c r="L171" s="43" t="s">
        <v>228</v>
      </c>
      <c r="M171" s="43"/>
    </row>
    <row r="172" spans="6:13" ht="15">
      <c r="F172" s="43" t="s">
        <v>151</v>
      </c>
      <c r="G172" s="43">
        <v>2050</v>
      </c>
      <c r="H172" s="44">
        <f t="shared" si="2"/>
        <v>0.0100828825727788</v>
      </c>
      <c r="I172" s="44">
        <f t="shared" si="3"/>
        <v>0.0100828825727788</v>
      </c>
      <c r="J172" s="43" t="s">
        <v>227</v>
      </c>
      <c r="K172" s="43"/>
      <c r="L172" s="43" t="s">
        <v>228</v>
      </c>
      <c r="M172" s="43"/>
    </row>
    <row r="173" spans="6:13" ht="15">
      <c r="F173" s="43" t="s">
        <v>151</v>
      </c>
      <c r="G173" s="43">
        <v>2050</v>
      </c>
      <c r="H173" s="44">
        <f t="shared" si="2"/>
        <v>0.0037763927825885937</v>
      </c>
      <c r="I173" s="44">
        <f t="shared" si="3"/>
        <v>0.0037763927825885937</v>
      </c>
      <c r="J173" s="43" t="s">
        <v>138</v>
      </c>
      <c r="K173" s="43"/>
      <c r="L173" s="43" t="s">
        <v>228</v>
      </c>
      <c r="M173" s="43"/>
    </row>
    <row r="174" spans="6:13" ht="15">
      <c r="F174" s="43" t="s">
        <v>151</v>
      </c>
      <c r="G174" s="43">
        <v>2050</v>
      </c>
      <c r="H174" s="44">
        <f t="shared" si="2"/>
        <v>0.00074790518583154253</v>
      </c>
      <c r="I174" s="44">
        <f t="shared" si="3"/>
        <v>0.00074790518583154253</v>
      </c>
      <c r="J174" s="43" t="s">
        <v>141</v>
      </c>
      <c r="K174" s="43"/>
      <c r="L174" s="43" t="s">
        <v>229</v>
      </c>
      <c r="M174" s="43"/>
    </row>
    <row r="175" spans="6:13" ht="15">
      <c r="F175" s="43" t="s">
        <v>151</v>
      </c>
      <c r="G175" s="43">
        <v>2050</v>
      </c>
      <c r="H175" s="44">
        <f t="shared" si="2"/>
        <v>0.00032536249486549759</v>
      </c>
      <c r="I175" s="44">
        <f t="shared" si="3"/>
        <v>0.00032536249486549759</v>
      </c>
      <c r="J175" s="43" t="s">
        <v>144</v>
      </c>
      <c r="K175" s="43"/>
      <c r="L175" s="43" t="s">
        <v>229</v>
      </c>
      <c r="M175" s="43"/>
    </row>
    <row r="176" spans="6:13" ht="15">
      <c r="F176" s="43" t="s">
        <v>151</v>
      </c>
      <c r="G176" s="43">
        <v>2050</v>
      </c>
      <c r="H176" s="44">
        <f t="shared" si="2"/>
        <v>0.015970252564399361</v>
      </c>
      <c r="I176" s="44">
        <f t="shared" si="3"/>
        <v>0.015970252564399361</v>
      </c>
      <c r="J176" s="43" t="s">
        <v>227</v>
      </c>
      <c r="K176" s="43"/>
      <c r="L176" s="43" t="s">
        <v>229</v>
      </c>
      <c r="M176" s="43"/>
    </row>
    <row r="177" spans="6:13" ht="15">
      <c r="F177" s="43" t="s">
        <v>151</v>
      </c>
      <c r="G177" s="43">
        <v>2050</v>
      </c>
      <c r="H177" s="44">
        <f t="shared" si="2"/>
        <v>0.0055944467747247872</v>
      </c>
      <c r="I177" s="44">
        <f t="shared" si="3"/>
        <v>0.0055944467747247872</v>
      </c>
      <c r="J177" s="43" t="s">
        <v>138</v>
      </c>
      <c r="K177" s="43"/>
      <c r="L177" s="43" t="s">
        <v>229</v>
      </c>
      <c r="M177" s="43"/>
    </row>
    <row r="178" spans="6:13" ht="15">
      <c r="F178" s="43" t="s">
        <v>151</v>
      </c>
      <c r="G178" s="43">
        <v>2050</v>
      </c>
      <c r="H178" s="44">
        <f t="shared" si="2"/>
        <v>0.00076750272071960486</v>
      </c>
      <c r="I178" s="44">
        <f t="shared" si="3"/>
        <v>0.00076750272071960486</v>
      </c>
      <c r="J178" s="43" t="s">
        <v>141</v>
      </c>
      <c r="K178" s="43"/>
      <c r="L178" s="43" t="s">
        <v>230</v>
      </c>
      <c r="M178" s="43"/>
    </row>
    <row r="179" spans="6:13" ht="15">
      <c r="F179" s="43" t="s">
        <v>151</v>
      </c>
      <c r="G179" s="43">
        <v>2050</v>
      </c>
      <c r="H179" s="44">
        <f t="shared" si="2"/>
        <v>0.00031796587897792161</v>
      </c>
      <c r="I179" s="44">
        <f t="shared" si="3"/>
        <v>0.00031796587897792161</v>
      </c>
      <c r="J179" s="43" t="s">
        <v>144</v>
      </c>
      <c r="K179" s="43"/>
      <c r="L179" s="43" t="s">
        <v>230</v>
      </c>
      <c r="M179" s="43"/>
    </row>
    <row r="180" spans="6:13" ht="15">
      <c r="F180" s="43" t="s">
        <v>151</v>
      </c>
      <c r="G180" s="43">
        <v>2050</v>
      </c>
      <c r="H180" s="44">
        <f t="shared" si="2"/>
        <v>0.019104069850374081</v>
      </c>
      <c r="I180" s="44">
        <f t="shared" si="3"/>
        <v>0.019104069850374081</v>
      </c>
      <c r="J180" s="43" t="s">
        <v>227</v>
      </c>
      <c r="K180" s="43"/>
      <c r="L180" s="43" t="s">
        <v>230</v>
      </c>
      <c r="M180" s="43"/>
    </row>
    <row r="181" spans="6:13" ht="15">
      <c r="F181" s="43" t="s">
        <v>151</v>
      </c>
      <c r="G181" s="43">
        <v>2050</v>
      </c>
      <c r="H181" s="44">
        <f t="shared" si="2"/>
        <v>0.0062309003795901659</v>
      </c>
      <c r="I181" s="44">
        <f t="shared" si="3"/>
        <v>0.0062309003795901659</v>
      </c>
      <c r="J181" s="43" t="s">
        <v>138</v>
      </c>
      <c r="K181" s="43"/>
      <c r="L181" s="43" t="s">
        <v>230</v>
      </c>
      <c r="M181" s="43"/>
    </row>
    <row r="182" spans="6:13" ht="15">
      <c r="F182" s="43" t="s">
        <v>151</v>
      </c>
      <c r="G182" s="43">
        <v>2050</v>
      </c>
      <c r="H182" s="44">
        <f t="shared" si="2"/>
        <v>0.0007598648381977849</v>
      </c>
      <c r="I182" s="44">
        <f t="shared" si="3"/>
        <v>0.0007598648381977849</v>
      </c>
      <c r="J182" s="43" t="s">
        <v>141</v>
      </c>
      <c r="K182" s="43"/>
      <c r="L182" s="43" t="s">
        <v>231</v>
      </c>
      <c r="M182" s="43"/>
    </row>
    <row r="183" spans="6:13" ht="15">
      <c r="F183" s="43" t="s">
        <v>151</v>
      </c>
      <c r="G183" s="43">
        <v>2050</v>
      </c>
      <c r="H183" s="44">
        <f t="shared" si="2"/>
        <v>0.00031589841496504323</v>
      </c>
      <c r="I183" s="44">
        <f t="shared" si="3"/>
        <v>0.00031589841496504323</v>
      </c>
      <c r="J183" s="43" t="s">
        <v>144</v>
      </c>
      <c r="K183" s="43"/>
      <c r="L183" s="43" t="s">
        <v>231</v>
      </c>
      <c r="M183" s="43"/>
    </row>
    <row r="184" spans="6:13" ht="15">
      <c r="F184" s="43" t="s">
        <v>151</v>
      </c>
      <c r="G184" s="43">
        <v>2050</v>
      </c>
      <c r="H184" s="44">
        <f t="shared" si="2"/>
        <v>0.016259427006136883</v>
      </c>
      <c r="I184" s="44">
        <f t="shared" si="3"/>
        <v>0.016259427006136883</v>
      </c>
      <c r="J184" s="43" t="s">
        <v>232</v>
      </c>
      <c r="K184" s="43"/>
      <c r="L184" s="43" t="s">
        <v>231</v>
      </c>
      <c r="M184" s="43"/>
    </row>
    <row r="185" spans="6:13" ht="15">
      <c r="F185" s="43" t="s">
        <v>151</v>
      </c>
      <c r="G185" s="43">
        <v>2050</v>
      </c>
      <c r="H185" s="44">
        <f t="shared" si="2"/>
        <v>0.0069980128571803446</v>
      </c>
      <c r="I185" s="44">
        <f t="shared" si="3"/>
        <v>0.0069980128571803446</v>
      </c>
      <c r="J185" s="43" t="s">
        <v>138</v>
      </c>
      <c r="K185" s="43"/>
      <c r="L185" s="43" t="s">
        <v>231</v>
      </c>
      <c r="M185" s="43"/>
    </row>
    <row r="186" spans="6:13" ht="15">
      <c r="F186" s="43" t="s">
        <v>151</v>
      </c>
      <c r="G186" s="43">
        <v>2050</v>
      </c>
      <c r="H186" s="44">
        <f t="shared" si="2"/>
        <v>0.00074168596214885685</v>
      </c>
      <c r="I186" s="44">
        <f t="shared" si="3"/>
        <v>0.00074168596214885685</v>
      </c>
      <c r="J186" s="43" t="s">
        <v>141</v>
      </c>
      <c r="K186" s="43"/>
      <c r="L186" s="43" t="s">
        <v>233</v>
      </c>
      <c r="M186" s="43"/>
    </row>
    <row r="187" spans="6:13" ht="15">
      <c r="F187" s="43" t="s">
        <v>151</v>
      </c>
      <c r="G187" s="43">
        <v>2050</v>
      </c>
      <c r="H187" s="44">
        <f t="shared" si="2"/>
        <v>0.00029463515967857761</v>
      </c>
      <c r="I187" s="44">
        <f t="shared" si="3"/>
        <v>0.00029463515967857761</v>
      </c>
      <c r="J187" s="43" t="s">
        <v>144</v>
      </c>
      <c r="K187" s="43"/>
      <c r="L187" s="43" t="s">
        <v>233</v>
      </c>
      <c r="M187" s="43"/>
    </row>
    <row r="188" spans="6:13" ht="15">
      <c r="F188" s="43" t="s">
        <v>151</v>
      </c>
      <c r="G188" s="43">
        <v>2050</v>
      </c>
      <c r="H188" s="44">
        <f t="shared" si="2"/>
        <v>0.023192449680366559</v>
      </c>
      <c r="I188" s="44">
        <f t="shared" si="3"/>
        <v>0.023192449680366559</v>
      </c>
      <c r="J188" s="43" t="s">
        <v>234</v>
      </c>
      <c r="K188" s="43"/>
      <c r="L188" s="43" t="s">
        <v>233</v>
      </c>
      <c r="M188" s="43"/>
    </row>
    <row r="189" spans="6:13" ht="15">
      <c r="F189" s="43" t="s">
        <v>151</v>
      </c>
      <c r="G189" s="43">
        <v>2050</v>
      </c>
      <c r="H189" s="44">
        <f t="shared" si="2"/>
        <v>0.0074268323681566696</v>
      </c>
      <c r="I189" s="44">
        <f t="shared" si="3"/>
        <v>0.0074268323681566696</v>
      </c>
      <c r="J189" s="43" t="s">
        <v>138</v>
      </c>
      <c r="K189" s="43"/>
      <c r="L189" s="43" t="s">
        <v>233</v>
      </c>
      <c r="M189" s="43"/>
    </row>
    <row r="190" spans="6:13" ht="15">
      <c r="F190" s="43" t="s">
        <v>151</v>
      </c>
      <c r="G190" s="43">
        <v>2050</v>
      </c>
      <c r="H190" s="44">
        <f t="shared" si="2"/>
        <v>0.00071897065870332483</v>
      </c>
      <c r="I190" s="44">
        <f t="shared" si="3"/>
        <v>0.00071897065870332483</v>
      </c>
      <c r="J190" s="43" t="s">
        <v>141</v>
      </c>
      <c r="K190" s="43"/>
      <c r="L190" s="43" t="s">
        <v>235</v>
      </c>
      <c r="M190" s="43"/>
    </row>
    <row r="191" spans="6:13" ht="15">
      <c r="F191" s="43" t="s">
        <v>151</v>
      </c>
      <c r="G191" s="43">
        <v>2050</v>
      </c>
      <c r="H191" s="44">
        <f t="shared" si="2"/>
        <v>0.00026815704936261441</v>
      </c>
      <c r="I191" s="44">
        <f t="shared" si="3"/>
        <v>0.00026815704936261441</v>
      </c>
      <c r="J191" s="43" t="s">
        <v>144</v>
      </c>
      <c r="K191" s="43"/>
      <c r="L191" s="43" t="s">
        <v>235</v>
      </c>
      <c r="M191" s="43"/>
    </row>
    <row r="192" spans="6:13" ht="15">
      <c r="F192" s="43" t="s">
        <v>151</v>
      </c>
      <c r="G192" s="43">
        <v>2050</v>
      </c>
      <c r="H192" s="44">
        <f t="shared" si="2"/>
        <v>0.031623507107327281</v>
      </c>
      <c r="I192" s="44">
        <f t="shared" si="3"/>
        <v>0.031623507107327281</v>
      </c>
      <c r="J192" s="43" t="s">
        <v>236</v>
      </c>
      <c r="K192" s="43"/>
      <c r="L192" s="43" t="s">
        <v>235</v>
      </c>
      <c r="M192" s="43"/>
    </row>
    <row r="193" spans="6:13" ht="15">
      <c r="F193" s="43" t="s">
        <v>151</v>
      </c>
      <c r="G193" s="43">
        <v>2050</v>
      </c>
      <c r="H193" s="44">
        <f t="shared" si="2"/>
        <v>0.007745613904892079</v>
      </c>
      <c r="I193" s="44">
        <f t="shared" si="3"/>
        <v>0.007745613904892079</v>
      </c>
      <c r="J193" s="43" t="s">
        <v>138</v>
      </c>
      <c r="K193" s="43"/>
      <c r="L193" s="43" t="s">
        <v>235</v>
      </c>
      <c r="M193" s="43"/>
    </row>
    <row r="194" spans="6:13" ht="15">
      <c r="F194" s="43" t="s">
        <v>151</v>
      </c>
      <c r="G194" s="43">
        <v>2050</v>
      </c>
      <c r="H194" s="44">
        <f t="shared" si="2"/>
        <v>0.00071933866192366077</v>
      </c>
      <c r="I194" s="44">
        <f t="shared" si="3"/>
        <v>0.00071933866192366077</v>
      </c>
      <c r="J194" s="43" t="s">
        <v>141</v>
      </c>
      <c r="K194" s="43"/>
      <c r="L194" s="43" t="s">
        <v>237</v>
      </c>
      <c r="M194" s="43"/>
    </row>
    <row r="195" spans="6:13" ht="15">
      <c r="F195" s="43" t="s">
        <v>151</v>
      </c>
      <c r="G195" s="43">
        <v>2050</v>
      </c>
      <c r="H195" s="44">
        <f t="shared" si="4" ref="H195:H252">+H72*(1-T80)</f>
        <v>0.00026469229793938</v>
      </c>
      <c r="I195" s="44">
        <f t="shared" si="3"/>
        <v>0.00026469229793938</v>
      </c>
      <c r="J195" s="43" t="s">
        <v>144</v>
      </c>
      <c r="K195" s="43"/>
      <c r="L195" s="43" t="s">
        <v>237</v>
      </c>
      <c r="M195" s="43"/>
    </row>
    <row r="196" spans="6:13" ht="15">
      <c r="F196" s="43" t="s">
        <v>151</v>
      </c>
      <c r="G196" s="43">
        <v>2050</v>
      </c>
      <c r="H196" s="44">
        <f t="shared" si="4"/>
        <v>0.040394610670992086</v>
      </c>
      <c r="I196" s="44">
        <f t="shared" si="3"/>
        <v>0.040394610670992086</v>
      </c>
      <c r="J196" s="43" t="s">
        <v>238</v>
      </c>
      <c r="K196" s="43"/>
      <c r="L196" s="43" t="s">
        <v>237</v>
      </c>
      <c r="M196" s="43"/>
    </row>
    <row r="197" spans="6:13" ht="15">
      <c r="F197" s="43" t="s">
        <v>151</v>
      </c>
      <c r="G197" s="43">
        <v>2050</v>
      </c>
      <c r="H197" s="44">
        <f t="shared" si="4"/>
        <v>0.0080412227617353785</v>
      </c>
      <c r="I197" s="44">
        <f t="shared" si="3"/>
        <v>0.0080412227617353785</v>
      </c>
      <c r="J197" s="43" t="s">
        <v>138</v>
      </c>
      <c r="K197" s="43"/>
      <c r="L197" s="43" t="s">
        <v>237</v>
      </c>
      <c r="M197" s="43"/>
    </row>
    <row r="198" spans="6:13" ht="15">
      <c r="F198" s="43" t="s">
        <v>151</v>
      </c>
      <c r="G198" s="43">
        <v>2050</v>
      </c>
      <c r="H198" s="44">
        <f t="shared" si="4"/>
        <v>0.00069630918033286484</v>
      </c>
      <c r="I198" s="44">
        <f t="shared" si="3"/>
        <v>0.00069630918033286484</v>
      </c>
      <c r="J198" s="43" t="s">
        <v>141</v>
      </c>
      <c r="K198" s="43"/>
      <c r="L198" s="43" t="s">
        <v>239</v>
      </c>
      <c r="M198" s="43"/>
    </row>
    <row r="199" spans="6:13" ht="15">
      <c r="F199" s="43" t="s">
        <v>151</v>
      </c>
      <c r="G199" s="43">
        <v>2050</v>
      </c>
      <c r="H199" s="44">
        <f t="shared" si="4"/>
        <v>0.00018827766806885039</v>
      </c>
      <c r="I199" s="44">
        <f t="shared" si="3"/>
        <v>0.00018827766806885039</v>
      </c>
      <c r="J199" s="43" t="s">
        <v>144</v>
      </c>
      <c r="K199" s="43"/>
      <c r="L199" s="43" t="s">
        <v>239</v>
      </c>
      <c r="M199" s="43"/>
    </row>
    <row r="200" spans="6:13" ht="15">
      <c r="F200" s="43" t="s">
        <v>151</v>
      </c>
      <c r="G200" s="43">
        <v>2050</v>
      </c>
      <c r="H200" s="44">
        <f t="shared" si="4"/>
        <v>0.041756704332088002</v>
      </c>
      <c r="I200" s="44">
        <f t="shared" si="5" ref="I200:I252">+H200</f>
        <v>0.041756704332088002</v>
      </c>
      <c r="J200" s="43" t="s">
        <v>240</v>
      </c>
      <c r="K200" s="43"/>
      <c r="L200" s="43" t="s">
        <v>239</v>
      </c>
      <c r="M200" s="43"/>
    </row>
    <row r="201" spans="6:13" ht="15">
      <c r="F201" s="43" t="s">
        <v>151</v>
      </c>
      <c r="G201" s="43">
        <v>2050</v>
      </c>
      <c r="H201" s="44">
        <f t="shared" si="4"/>
        <v>0.0073051760762631694</v>
      </c>
      <c r="I201" s="44">
        <f t="shared" si="5"/>
        <v>0.0073051760762631694</v>
      </c>
      <c r="J201" s="43" t="s">
        <v>138</v>
      </c>
      <c r="K201" s="43"/>
      <c r="L201" s="43" t="s">
        <v>239</v>
      </c>
      <c r="M201" s="43"/>
    </row>
    <row r="202" spans="6:13" ht="15">
      <c r="F202" s="43" t="s">
        <v>151</v>
      </c>
      <c r="G202" s="43">
        <v>2050</v>
      </c>
      <c r="H202" s="44">
        <f t="shared" si="4"/>
        <v>0.00067733346743442321</v>
      </c>
      <c r="I202" s="44">
        <f t="shared" si="5"/>
        <v>0.00067733346743442321</v>
      </c>
      <c r="J202" s="43" t="s">
        <v>142</v>
      </c>
      <c r="K202" s="43"/>
      <c r="L202" s="43" t="s">
        <v>241</v>
      </c>
      <c r="M202" s="43"/>
    </row>
    <row r="203" spans="6:13" ht="15">
      <c r="F203" s="43" t="s">
        <v>151</v>
      </c>
      <c r="G203" s="43">
        <v>2050</v>
      </c>
      <c r="H203" s="44">
        <f t="shared" si="4"/>
        <v>0.00053494397095678239</v>
      </c>
      <c r="I203" s="44">
        <f t="shared" si="5"/>
        <v>0.00053494397095678239</v>
      </c>
      <c r="J203" s="43" t="s">
        <v>145</v>
      </c>
      <c r="K203" s="43"/>
      <c r="L203" s="43" t="s">
        <v>241</v>
      </c>
      <c r="M203" s="43"/>
    </row>
    <row r="204" spans="6:13" ht="15">
      <c r="F204" s="43" t="s">
        <v>151</v>
      </c>
      <c r="G204" s="43">
        <v>2050</v>
      </c>
      <c r="H204" s="44">
        <f t="shared" si="4"/>
        <v>0.0019246932193422079</v>
      </c>
      <c r="I204" s="44">
        <f t="shared" si="5"/>
        <v>0.0019246932193422079</v>
      </c>
      <c r="J204" s="43" t="s">
        <v>242</v>
      </c>
      <c r="K204" s="43"/>
      <c r="L204" s="43" t="s">
        <v>241</v>
      </c>
      <c r="M204" s="43"/>
    </row>
    <row r="205" spans="6:13" ht="15">
      <c r="F205" s="43" t="s">
        <v>151</v>
      </c>
      <c r="G205" s="43">
        <v>2050</v>
      </c>
      <c r="H205" s="44">
        <f t="shared" si="4"/>
        <v>0.002982379060642863</v>
      </c>
      <c r="I205" s="44">
        <f t="shared" si="5"/>
        <v>0.002982379060642863</v>
      </c>
      <c r="J205" s="43" t="s">
        <v>139</v>
      </c>
      <c r="K205" s="43"/>
      <c r="L205" s="43" t="s">
        <v>241</v>
      </c>
      <c r="M205" s="43"/>
    </row>
    <row r="206" spans="6:13" ht="15">
      <c r="F206" s="43" t="s">
        <v>151</v>
      </c>
      <c r="G206" s="43">
        <v>2050</v>
      </c>
      <c r="H206" s="44">
        <f t="shared" si="4"/>
        <v>0.0014146523144285441</v>
      </c>
      <c r="I206" s="44">
        <f t="shared" si="5"/>
        <v>0.0014146523144285441</v>
      </c>
      <c r="J206" s="43" t="s">
        <v>142</v>
      </c>
      <c r="K206" s="43"/>
      <c r="L206" s="43" t="s">
        <v>243</v>
      </c>
      <c r="M206" s="43"/>
    </row>
    <row r="207" spans="6:13" ht="15">
      <c r="F207" s="43" t="s">
        <v>151</v>
      </c>
      <c r="G207" s="43">
        <v>2050</v>
      </c>
      <c r="H207" s="44">
        <f t="shared" si="4"/>
        <v>0.00060042973095636725</v>
      </c>
      <c r="I207" s="44">
        <f t="shared" si="5"/>
        <v>0.00060042973095636725</v>
      </c>
      <c r="J207" s="43" t="s">
        <v>145</v>
      </c>
      <c r="K207" s="43"/>
      <c r="L207" s="43" t="s">
        <v>243</v>
      </c>
      <c r="M207" s="43"/>
    </row>
    <row r="208" spans="6:13" ht="15">
      <c r="F208" s="43" t="s">
        <v>151</v>
      </c>
      <c r="G208" s="43">
        <v>2050</v>
      </c>
      <c r="H208" s="44">
        <f t="shared" si="4"/>
        <v>0.016573627329573123</v>
      </c>
      <c r="I208" s="44">
        <f t="shared" si="5"/>
        <v>0.016573627329573123</v>
      </c>
      <c r="J208" s="43" t="s">
        <v>242</v>
      </c>
      <c r="K208" s="43"/>
      <c r="L208" s="43" t="s">
        <v>243</v>
      </c>
      <c r="M208" s="43"/>
    </row>
    <row r="209" spans="6:13" ht="15">
      <c r="F209" s="43" t="s">
        <v>151</v>
      </c>
      <c r="G209" s="43">
        <v>2050</v>
      </c>
      <c r="H209" s="44">
        <f t="shared" si="4"/>
        <v>0.006224564560513326</v>
      </c>
      <c r="I209" s="44">
        <f t="shared" si="5"/>
        <v>0.006224564560513326</v>
      </c>
      <c r="J209" s="43" t="s">
        <v>139</v>
      </c>
      <c r="K209" s="43"/>
      <c r="L209" s="43" t="s">
        <v>243</v>
      </c>
      <c r="M209" s="43"/>
    </row>
    <row r="210" spans="6:13" ht="15">
      <c r="F210" s="43" t="s">
        <v>151</v>
      </c>
      <c r="G210" s="43">
        <v>2050</v>
      </c>
      <c r="H210" s="44">
        <f t="shared" si="4"/>
        <v>0.0016038145699207201</v>
      </c>
      <c r="I210" s="44">
        <f t="shared" si="5"/>
        <v>0.0016038145699207201</v>
      </c>
      <c r="J210" s="43" t="s">
        <v>142</v>
      </c>
      <c r="K210" s="43"/>
      <c r="L210" s="43" t="s">
        <v>244</v>
      </c>
      <c r="M210" s="43"/>
    </row>
    <row r="211" spans="6:13" ht="15">
      <c r="F211" s="43" t="s">
        <v>151</v>
      </c>
      <c r="G211" s="43">
        <v>2050</v>
      </c>
      <c r="H211" s="44">
        <f t="shared" si="4"/>
        <v>0.00047292387422247039</v>
      </c>
      <c r="I211" s="44">
        <f t="shared" si="5"/>
        <v>0.00047292387422247039</v>
      </c>
      <c r="J211" s="43" t="s">
        <v>145</v>
      </c>
      <c r="K211" s="43"/>
      <c r="L211" s="43" t="s">
        <v>244</v>
      </c>
      <c r="M211" s="43"/>
    </row>
    <row r="212" spans="6:13" ht="15">
      <c r="F212" s="43" t="s">
        <v>151</v>
      </c>
      <c r="G212" s="43">
        <v>2050</v>
      </c>
      <c r="H212" s="44">
        <f t="shared" si="4"/>
        <v>0.02646692219102656</v>
      </c>
      <c r="I212" s="44">
        <f t="shared" si="5"/>
        <v>0.02646692219102656</v>
      </c>
      <c r="J212" s="43" t="s">
        <v>242</v>
      </c>
      <c r="K212" s="43"/>
      <c r="L212" s="43" t="s">
        <v>244</v>
      </c>
      <c r="M212" s="43"/>
    </row>
    <row r="213" spans="6:13" ht="15">
      <c r="F213" s="43" t="s">
        <v>151</v>
      </c>
      <c r="G213" s="43">
        <v>2050</v>
      </c>
      <c r="H213" s="44">
        <f t="shared" si="4"/>
        <v>0.0082065523762409592</v>
      </c>
      <c r="I213" s="44">
        <f t="shared" si="5"/>
        <v>0.0082065523762409592</v>
      </c>
      <c r="J213" s="43" t="s">
        <v>139</v>
      </c>
      <c r="K213" s="43"/>
      <c r="L213" s="43" t="s">
        <v>244</v>
      </c>
      <c r="M213" s="43"/>
    </row>
    <row r="214" spans="6:13" ht="15">
      <c r="F214" s="43" t="s">
        <v>151</v>
      </c>
      <c r="G214" s="43">
        <v>2050</v>
      </c>
      <c r="H214" s="44">
        <f t="shared" si="4"/>
        <v>0.0015694333164842881</v>
      </c>
      <c r="I214" s="44">
        <f t="shared" si="5"/>
        <v>0.0015694333164842881</v>
      </c>
      <c r="J214" s="43" t="s">
        <v>142</v>
      </c>
      <c r="K214" s="43"/>
      <c r="L214" s="43" t="s">
        <v>245</v>
      </c>
      <c r="M214" s="43"/>
    </row>
    <row r="215" spans="6:13" ht="15">
      <c r="F215" s="43" t="s">
        <v>151</v>
      </c>
      <c r="G215" s="43">
        <v>2050</v>
      </c>
      <c r="H215" s="44">
        <f t="shared" si="4"/>
        <v>0.0004108212796278504</v>
      </c>
      <c r="I215" s="44">
        <f t="shared" si="5"/>
        <v>0.0004108212796278504</v>
      </c>
      <c r="J215" s="43" t="s">
        <v>145</v>
      </c>
      <c r="K215" s="43"/>
      <c r="L215" s="43" t="s">
        <v>245</v>
      </c>
      <c r="M215" s="43"/>
    </row>
    <row r="216" spans="6:13" ht="15">
      <c r="F216" s="43" t="s">
        <v>151</v>
      </c>
      <c r="G216" s="43">
        <v>2050</v>
      </c>
      <c r="H216" s="44">
        <f t="shared" si="4"/>
        <v>0.030587432931445044</v>
      </c>
      <c r="I216" s="44">
        <f t="shared" si="5"/>
        <v>0.030587432931445044</v>
      </c>
      <c r="J216" s="43" t="s">
        <v>242</v>
      </c>
      <c r="K216" s="43"/>
      <c r="L216" s="43" t="s">
        <v>245</v>
      </c>
      <c r="M216" s="43"/>
    </row>
    <row r="217" spans="6:13" ht="15">
      <c r="F217" s="43" t="s">
        <v>151</v>
      </c>
      <c r="G217" s="43">
        <v>2050</v>
      </c>
      <c r="H217" s="44">
        <f t="shared" si="4"/>
        <v>0.0092791693236288896</v>
      </c>
      <c r="I217" s="44">
        <f t="shared" si="5"/>
        <v>0.0092791693236288896</v>
      </c>
      <c r="J217" s="43" t="s">
        <v>139</v>
      </c>
      <c r="K217" s="43"/>
      <c r="L217" s="43" t="s">
        <v>245</v>
      </c>
      <c r="M217" s="43"/>
    </row>
    <row r="218" spans="6:13" ht="15">
      <c r="F218" s="43" t="s">
        <v>151</v>
      </c>
      <c r="G218" s="43">
        <v>2050</v>
      </c>
      <c r="H218" s="44">
        <f t="shared" si="4"/>
        <v>0.0013628223769396319</v>
      </c>
      <c r="I218" s="44">
        <f t="shared" si="5"/>
        <v>0.0013628223769396319</v>
      </c>
      <c r="J218" s="43" t="s">
        <v>142</v>
      </c>
      <c r="K218" s="43"/>
      <c r="L218" s="43" t="s">
        <v>246</v>
      </c>
      <c r="M218" s="43"/>
    </row>
    <row r="219" spans="6:13" ht="15">
      <c r="F219" s="43" t="s">
        <v>151</v>
      </c>
      <c r="G219" s="43">
        <v>2050</v>
      </c>
      <c r="H219" s="44">
        <f t="shared" si="4"/>
        <v>0.00038051225140990803</v>
      </c>
      <c r="I219" s="44">
        <f t="shared" si="5"/>
        <v>0.00038051225140990803</v>
      </c>
      <c r="J219" s="43" t="s">
        <v>145</v>
      </c>
      <c r="K219" s="43"/>
      <c r="L219" s="43" t="s">
        <v>246</v>
      </c>
      <c r="M219" s="43"/>
    </row>
    <row r="220" spans="6:13" ht="15">
      <c r="F220" s="43" t="s">
        <v>151</v>
      </c>
      <c r="G220" s="43">
        <v>2050</v>
      </c>
      <c r="H220" s="44">
        <f t="shared" si="4"/>
        <v>0.034640639908657365</v>
      </c>
      <c r="I220" s="44">
        <f t="shared" si="5"/>
        <v>0.034640639908657365</v>
      </c>
      <c r="J220" s="43" t="s">
        <v>247</v>
      </c>
      <c r="K220" s="43"/>
      <c r="L220" s="43" t="s">
        <v>246</v>
      </c>
      <c r="M220" s="43"/>
    </row>
    <row r="221" spans="6:13" ht="15">
      <c r="F221" s="43" t="s">
        <v>151</v>
      </c>
      <c r="G221" s="43">
        <v>2050</v>
      </c>
      <c r="H221" s="44">
        <f t="shared" si="4"/>
        <v>0.0098976675582204687</v>
      </c>
      <c r="I221" s="44">
        <f t="shared" si="5"/>
        <v>0.0098976675582204687</v>
      </c>
      <c r="J221" s="43" t="s">
        <v>139</v>
      </c>
      <c r="K221" s="43"/>
      <c r="L221" s="43" t="s">
        <v>246</v>
      </c>
      <c r="M221" s="43"/>
    </row>
    <row r="222" spans="6:13" ht="15">
      <c r="F222" s="43" t="s">
        <v>151</v>
      </c>
      <c r="G222" s="43">
        <v>2050</v>
      </c>
      <c r="H222" s="44">
        <f t="shared" si="4"/>
        <v>0.00111455856099916</v>
      </c>
      <c r="I222" s="44">
        <f t="shared" si="5"/>
        <v>0.00111455856099916</v>
      </c>
      <c r="J222" s="43" t="s">
        <v>142</v>
      </c>
      <c r="K222" s="43"/>
      <c r="L222" s="43" t="s">
        <v>248</v>
      </c>
      <c r="M222" s="43"/>
    </row>
    <row r="223" spans="6:13" ht="15">
      <c r="F223" s="43" t="s">
        <v>151</v>
      </c>
      <c r="G223" s="43">
        <v>2050</v>
      </c>
      <c r="H223" s="44">
        <f t="shared" si="4"/>
        <v>0.00036963373400777759</v>
      </c>
      <c r="I223" s="44">
        <f t="shared" si="5"/>
        <v>0.00036963373400777759</v>
      </c>
      <c r="J223" s="43" t="s">
        <v>145</v>
      </c>
      <c r="K223" s="43"/>
      <c r="L223" s="43" t="s">
        <v>248</v>
      </c>
      <c r="M223" s="43"/>
    </row>
    <row r="224" spans="6:13" ht="15">
      <c r="F224" s="43" t="s">
        <v>151</v>
      </c>
      <c r="G224" s="43">
        <v>2050</v>
      </c>
      <c r="H224" s="44">
        <f t="shared" si="4"/>
        <v>0.039121278672132324</v>
      </c>
      <c r="I224" s="44">
        <f t="shared" si="5"/>
        <v>0.039121278672132324</v>
      </c>
      <c r="J224" s="43" t="s">
        <v>249</v>
      </c>
      <c r="K224" s="43"/>
      <c r="L224" s="43" t="s">
        <v>248</v>
      </c>
      <c r="M224" s="43"/>
    </row>
    <row r="225" spans="6:13" ht="15">
      <c r="F225" s="43" t="s">
        <v>151</v>
      </c>
      <c r="G225" s="43">
        <v>2050</v>
      </c>
      <c r="H225" s="44">
        <f t="shared" si="4"/>
        <v>0.010012680492181429</v>
      </c>
      <c r="I225" s="44">
        <f t="shared" si="5"/>
        <v>0.010012680492181429</v>
      </c>
      <c r="J225" s="43" t="s">
        <v>139</v>
      </c>
      <c r="K225" s="43"/>
      <c r="L225" s="43" t="s">
        <v>248</v>
      </c>
      <c r="M225" s="43"/>
    </row>
    <row r="226" spans="6:13" ht="15">
      <c r="F226" s="43" t="s">
        <v>151</v>
      </c>
      <c r="G226" s="43">
        <v>2050</v>
      </c>
      <c r="H226" s="44">
        <f t="shared" si="4"/>
        <v>0.0010293229400474562</v>
      </c>
      <c r="I226" s="44">
        <f t="shared" si="5"/>
        <v>0.0010293229400474562</v>
      </c>
      <c r="J226" s="43" t="s">
        <v>142</v>
      </c>
      <c r="K226" s="43"/>
      <c r="L226" s="43" t="s">
        <v>250</v>
      </c>
      <c r="M226" s="43"/>
    </row>
    <row r="227" spans="6:13" ht="15">
      <c r="F227" s="43" t="s">
        <v>151</v>
      </c>
      <c r="G227" s="43">
        <v>2050</v>
      </c>
      <c r="H227" s="44">
        <f t="shared" si="4"/>
        <v>0.00034539171440652722</v>
      </c>
      <c r="I227" s="44">
        <f t="shared" si="5"/>
        <v>0.00034539171440652722</v>
      </c>
      <c r="J227" s="43" t="s">
        <v>145</v>
      </c>
      <c r="K227" s="43"/>
      <c r="L227" s="43" t="s">
        <v>250</v>
      </c>
      <c r="M227" s="43"/>
    </row>
    <row r="228" spans="6:13" ht="15">
      <c r="F228" s="43" t="s">
        <v>151</v>
      </c>
      <c r="G228" s="43">
        <v>2050</v>
      </c>
      <c r="H228" s="44">
        <f t="shared" si="4"/>
        <v>0.048253120184350004</v>
      </c>
      <c r="I228" s="44">
        <f t="shared" si="5"/>
        <v>0.048253120184350004</v>
      </c>
      <c r="J228" s="43" t="s">
        <v>251</v>
      </c>
      <c r="K228" s="43"/>
      <c r="L228" s="43" t="s">
        <v>250</v>
      </c>
      <c r="M228" s="43"/>
    </row>
    <row r="229" spans="6:13" ht="15">
      <c r="F229" s="43" t="s">
        <v>151</v>
      </c>
      <c r="G229" s="43">
        <v>2050</v>
      </c>
      <c r="H229" s="44">
        <f t="shared" si="4"/>
        <v>0.010046213246648878</v>
      </c>
      <c r="I229" s="44">
        <f t="shared" si="5"/>
        <v>0.010046213246648878</v>
      </c>
      <c r="J229" s="43" t="s">
        <v>139</v>
      </c>
      <c r="K229" s="43"/>
      <c r="L229" s="43" t="s">
        <v>250</v>
      </c>
      <c r="M229" s="43"/>
    </row>
    <row r="230" spans="6:13" ht="15">
      <c r="F230" s="43" t="s">
        <v>151</v>
      </c>
      <c r="G230" s="43">
        <v>2050</v>
      </c>
      <c r="H230" s="44">
        <f t="shared" si="4"/>
        <v>0.00097999430949146401</v>
      </c>
      <c r="I230" s="44">
        <f t="shared" si="5"/>
        <v>0.00097999430949146401</v>
      </c>
      <c r="J230" s="43" t="s">
        <v>142</v>
      </c>
      <c r="K230" s="43"/>
      <c r="L230" s="43" t="s">
        <v>252</v>
      </c>
      <c r="M230" s="43"/>
    </row>
    <row r="231" spans="6:13" ht="15">
      <c r="F231" s="43" t="s">
        <v>151</v>
      </c>
      <c r="G231" s="43">
        <v>2050</v>
      </c>
      <c r="H231" s="44">
        <f t="shared" si="4"/>
        <v>0.00032895784153563366</v>
      </c>
      <c r="I231" s="44">
        <f t="shared" si="5"/>
        <v>0.00032895784153563366</v>
      </c>
      <c r="J231" s="43" t="s">
        <v>145</v>
      </c>
      <c r="K231" s="43"/>
      <c r="L231" s="43" t="s">
        <v>252</v>
      </c>
      <c r="M231" s="43"/>
    </row>
    <row r="232" spans="6:13" ht="15">
      <c r="F232" s="43" t="s">
        <v>151</v>
      </c>
      <c r="G232" s="43">
        <v>2050</v>
      </c>
      <c r="H232" s="44">
        <f t="shared" si="4"/>
        <v>0.058027368114647038</v>
      </c>
      <c r="I232" s="44">
        <f t="shared" si="5"/>
        <v>0.058027368114647038</v>
      </c>
      <c r="J232" s="43" t="s">
        <v>253</v>
      </c>
      <c r="K232" s="43"/>
      <c r="L232" s="43" t="s">
        <v>252</v>
      </c>
      <c r="M232" s="43"/>
    </row>
    <row r="233" spans="6:13" ht="15">
      <c r="F233" s="43" t="s">
        <v>151</v>
      </c>
      <c r="G233" s="43">
        <v>2050</v>
      </c>
      <c r="H233" s="44">
        <f t="shared" si="4"/>
        <v>0.01010201436660388</v>
      </c>
      <c r="I233" s="44">
        <f t="shared" si="5"/>
        <v>0.01010201436660388</v>
      </c>
      <c r="J233" s="43" t="s">
        <v>139</v>
      </c>
      <c r="K233" s="43"/>
      <c r="L233" s="43" t="s">
        <v>252</v>
      </c>
      <c r="M233" s="43"/>
    </row>
    <row r="234" spans="6:13" ht="15">
      <c r="F234" s="43" t="s">
        <v>151</v>
      </c>
      <c r="G234" s="43">
        <v>2050</v>
      </c>
      <c r="H234" s="44">
        <f t="shared" si="4"/>
        <v>0.00086518904919023201</v>
      </c>
      <c r="I234" s="44">
        <f t="shared" si="5"/>
        <v>0.00086518904919023201</v>
      </c>
      <c r="J234" s="43" t="s">
        <v>142</v>
      </c>
      <c r="K234" s="43"/>
      <c r="L234" s="43" t="s">
        <v>254</v>
      </c>
      <c r="M234" s="43"/>
    </row>
    <row r="235" spans="6:13" ht="15">
      <c r="F235" s="43" t="s">
        <v>151</v>
      </c>
      <c r="G235" s="43">
        <v>2050</v>
      </c>
      <c r="H235" s="44">
        <f t="shared" si="4"/>
        <v>0.00024114650731537604</v>
      </c>
      <c r="I235" s="44">
        <f t="shared" si="5"/>
        <v>0.00024114650731537604</v>
      </c>
      <c r="J235" s="43" t="s">
        <v>145</v>
      </c>
      <c r="K235" s="43"/>
      <c r="L235" s="43" t="s">
        <v>254</v>
      </c>
      <c r="M235" s="43"/>
    </row>
    <row r="236" spans="6:13" ht="15">
      <c r="F236" s="43" t="s">
        <v>151</v>
      </c>
      <c r="G236" s="43">
        <v>2050</v>
      </c>
      <c r="H236" s="44">
        <f t="shared" si="4"/>
        <v>0.076576806193096161</v>
      </c>
      <c r="I236" s="44">
        <f t="shared" si="5"/>
        <v>0.076576806193096161</v>
      </c>
      <c r="J236" s="43" t="s">
        <v>255</v>
      </c>
      <c r="K236" s="43"/>
      <c r="L236" s="43" t="s">
        <v>254</v>
      </c>
      <c r="M236" s="43"/>
    </row>
    <row r="237" spans="6:13" ht="15">
      <c r="F237" s="43" t="s">
        <v>151</v>
      </c>
      <c r="G237" s="43">
        <v>2050</v>
      </c>
      <c r="H237" s="44">
        <f t="shared" si="4"/>
        <v>0.0091984747686462386</v>
      </c>
      <c r="I237" s="44">
        <f t="shared" si="5"/>
        <v>0.0091984747686462386</v>
      </c>
      <c r="J237" s="43" t="s">
        <v>139</v>
      </c>
      <c r="K237" s="43"/>
      <c r="L237" s="43" t="s">
        <v>254</v>
      </c>
      <c r="M237" s="43"/>
    </row>
    <row r="238" spans="6:13" ht="15">
      <c r="F238" s="43" t="s">
        <v>151</v>
      </c>
      <c r="G238" s="43">
        <v>2050</v>
      </c>
      <c r="H238" s="44">
        <f t="shared" si="4"/>
        <v>0.00026004696136061763</v>
      </c>
      <c r="I238" s="44">
        <f t="shared" si="5"/>
        <v>0.00026004696136061763</v>
      </c>
      <c r="J238" s="43" t="s">
        <v>140</v>
      </c>
      <c r="K238" s="43"/>
      <c r="L238" s="43" t="s">
        <v>257</v>
      </c>
      <c r="M238" s="43"/>
    </row>
    <row r="239" spans="6:13" ht="15">
      <c r="F239" s="43" t="s">
        <v>151</v>
      </c>
      <c r="G239" s="43">
        <v>2050</v>
      </c>
      <c r="H239" s="44">
        <f t="shared" si="4"/>
        <v>0.00019713297929808483</v>
      </c>
      <c r="I239" s="44">
        <f t="shared" si="5"/>
        <v>0.00019713297929808483</v>
      </c>
      <c r="J239" s="43" t="s">
        <v>143</v>
      </c>
      <c r="K239" s="43"/>
      <c r="L239" s="43" t="s">
        <v>257</v>
      </c>
      <c r="M239" s="43"/>
    </row>
    <row r="240" spans="6:13" ht="15">
      <c r="F240" s="43" t="s">
        <v>151</v>
      </c>
      <c r="G240" s="43">
        <v>2050</v>
      </c>
      <c r="H240" s="44">
        <f t="shared" si="4"/>
        <v>0.00015475984693050801</v>
      </c>
      <c r="I240" s="44">
        <f t="shared" si="5"/>
        <v>0.00015475984693050801</v>
      </c>
      <c r="J240" s="43" t="s">
        <v>134</v>
      </c>
      <c r="K240" s="43"/>
      <c r="L240" s="43" t="s">
        <v>257</v>
      </c>
      <c r="M240" s="43"/>
    </row>
    <row r="241" spans="6:13" ht="15">
      <c r="F241" s="43" t="s">
        <v>151</v>
      </c>
      <c r="G241" s="43">
        <v>2050</v>
      </c>
      <c r="H241" s="44">
        <f t="shared" si="4"/>
        <v>0.00010599210862708401</v>
      </c>
      <c r="I241" s="44">
        <f t="shared" si="5"/>
        <v>0.00010599210862708401</v>
      </c>
      <c r="J241" s="43" t="s">
        <v>212</v>
      </c>
      <c r="K241" s="43"/>
      <c r="L241" s="43" t="s">
        <v>257</v>
      </c>
      <c r="M241" s="43"/>
    </row>
    <row r="242" spans="6:13" ht="15">
      <c r="F242" s="43" t="s">
        <v>151</v>
      </c>
      <c r="G242" s="43">
        <v>2050</v>
      </c>
      <c r="H242" s="44">
        <f t="shared" si="4"/>
        <v>0.0018895343615767707</v>
      </c>
      <c r="I242" s="44">
        <f t="shared" si="5"/>
        <v>0.0018895343615767707</v>
      </c>
      <c r="J242" s="43" t="s">
        <v>137</v>
      </c>
      <c r="K242" s="43"/>
      <c r="L242" s="43" t="s">
        <v>257</v>
      </c>
      <c r="M242" s="43"/>
    </row>
    <row r="243" spans="6:13" ht="15">
      <c r="F243" s="43" t="s">
        <v>151</v>
      </c>
      <c r="G243" s="43">
        <v>2050</v>
      </c>
      <c r="H243" s="44">
        <f t="shared" si="4"/>
        <v>0.0002447727400042208</v>
      </c>
      <c r="I243" s="44">
        <f t="shared" si="5"/>
        <v>0.0002447727400042208</v>
      </c>
      <c r="J243" s="43" t="s">
        <v>141</v>
      </c>
      <c r="K243" s="43"/>
      <c r="L243" s="43" t="s">
        <v>258</v>
      </c>
      <c r="M243" s="43"/>
    </row>
    <row r="244" spans="6:13" ht="15">
      <c r="F244" s="43" t="s">
        <v>151</v>
      </c>
      <c r="G244" s="43">
        <v>2050</v>
      </c>
      <c r="H244" s="44">
        <f t="shared" si="4"/>
        <v>0.00017426247359539682</v>
      </c>
      <c r="I244" s="44">
        <f t="shared" si="5"/>
        <v>0.00017426247359539682</v>
      </c>
      <c r="J244" s="43" t="s">
        <v>144</v>
      </c>
      <c r="K244" s="43"/>
      <c r="L244" s="43" t="s">
        <v>258</v>
      </c>
      <c r="M244" s="43"/>
    </row>
    <row r="245" spans="6:13" ht="15">
      <c r="F245" s="43" t="s">
        <v>151</v>
      </c>
      <c r="G245" s="43">
        <v>2050</v>
      </c>
      <c r="H245" s="44">
        <f t="shared" si="4"/>
        <v>0.00017195538547834239</v>
      </c>
      <c r="I245" s="44">
        <f t="shared" si="5"/>
        <v>0.00017195538547834239</v>
      </c>
      <c r="J245" s="43" t="s">
        <v>135</v>
      </c>
      <c r="K245" s="43"/>
      <c r="L245" s="43" t="s">
        <v>258</v>
      </c>
      <c r="M245" s="43"/>
    </row>
    <row r="246" spans="6:13" ht="15">
      <c r="F246" s="43" t="s">
        <v>151</v>
      </c>
      <c r="G246" s="43">
        <v>2050</v>
      </c>
      <c r="H246" s="44">
        <f t="shared" si="4"/>
        <v>0.00025199712346702079</v>
      </c>
      <c r="I246" s="44">
        <f t="shared" si="5"/>
        <v>0.00025199712346702079</v>
      </c>
      <c r="J246" s="43" t="s">
        <v>227</v>
      </c>
      <c r="K246" s="43"/>
      <c r="L246" s="43" t="s">
        <v>258</v>
      </c>
      <c r="M246" s="43"/>
    </row>
    <row r="247" spans="6:13" ht="15">
      <c r="F247" s="43" t="s">
        <v>151</v>
      </c>
      <c r="G247" s="43">
        <v>2050</v>
      </c>
      <c r="H247" s="44">
        <f t="shared" si="4"/>
        <v>0.001759887135640515</v>
      </c>
      <c r="I247" s="44">
        <f t="shared" si="5"/>
        <v>0.001759887135640515</v>
      </c>
      <c r="J247" s="43" t="s">
        <v>138</v>
      </c>
      <c r="K247" s="43"/>
      <c r="L247" s="43" t="s">
        <v>258</v>
      </c>
      <c r="M247" s="43"/>
    </row>
    <row r="248" spans="6:13" ht="15">
      <c r="F248" s="43" t="s">
        <v>151</v>
      </c>
      <c r="G248" s="43">
        <v>2050</v>
      </c>
      <c r="H248" s="44">
        <f t="shared" si="4"/>
        <v>0.0014146523144285441</v>
      </c>
      <c r="I248" s="44">
        <f t="shared" si="5"/>
        <v>0.0014146523144285441</v>
      </c>
      <c r="J248" s="43" t="s">
        <v>142</v>
      </c>
      <c r="K248" s="43"/>
      <c r="L248" s="43" t="s">
        <v>259</v>
      </c>
      <c r="M248" s="43"/>
    </row>
    <row r="249" spans="6:13" ht="15">
      <c r="F249" s="43" t="s">
        <v>151</v>
      </c>
      <c r="G249" s="43">
        <v>2050</v>
      </c>
      <c r="H249" s="44">
        <f t="shared" si="4"/>
        <v>0.00053494397095678239</v>
      </c>
      <c r="I249" s="44">
        <f t="shared" si="5"/>
        <v>0.00053494397095678239</v>
      </c>
      <c r="J249" s="43" t="s">
        <v>145</v>
      </c>
      <c r="K249" s="43"/>
      <c r="L249" s="43" t="s">
        <v>259</v>
      </c>
      <c r="M249" s="43"/>
    </row>
    <row r="250" spans="6:13" ht="15">
      <c r="F250" s="43" t="s">
        <v>151</v>
      </c>
      <c r="G250" s="43">
        <v>2050</v>
      </c>
      <c r="H250" s="44">
        <f t="shared" si="4"/>
        <v>0.0001891509240261768</v>
      </c>
      <c r="I250" s="44">
        <f t="shared" si="5"/>
        <v>0.0001891509240261768</v>
      </c>
      <c r="J250" s="43" t="s">
        <v>136</v>
      </c>
      <c r="K250" s="43"/>
      <c r="L250" s="43" t="s">
        <v>259</v>
      </c>
      <c r="M250" s="43"/>
    </row>
    <row r="251" spans="6:13" ht="15">
      <c r="F251" s="43" t="s">
        <v>151</v>
      </c>
      <c r="G251" s="43">
        <v>2050</v>
      </c>
      <c r="H251" s="44">
        <f t="shared" si="4"/>
        <v>0.0019246932193422079</v>
      </c>
      <c r="I251" s="44">
        <f t="shared" si="5"/>
        <v>0.0019246932193422079</v>
      </c>
      <c r="J251" s="43" t="s">
        <v>242</v>
      </c>
      <c r="K251" s="43"/>
      <c r="L251" s="43" t="s">
        <v>259</v>
      </c>
      <c r="M251" s="43"/>
    </row>
    <row r="252" spans="6:13" ht="15">
      <c r="F252" s="43" t="s">
        <v>151</v>
      </c>
      <c r="G252" s="43">
        <v>2050</v>
      </c>
      <c r="H252" s="44">
        <f t="shared" si="4"/>
        <v>0.002982379060642863</v>
      </c>
      <c r="I252" s="44">
        <f t="shared" si="5"/>
        <v>0.002982379060642863</v>
      </c>
      <c r="J252" s="43" t="s">
        <v>139</v>
      </c>
      <c r="K252" s="43"/>
      <c r="L252" s="43" t="s">
        <v>259</v>
      </c>
      <c r="M252" s="43"/>
    </row>
    <row r="253" spans="6:13" ht="15">
      <c r="F253" s="43"/>
      <c r="G253" s="43"/>
      <c r="H253" s="44"/>
      <c r="I253" s="44"/>
      <c r="J253" s="43"/>
      <c r="K253" s="43"/>
      <c r="L253" s="43"/>
      <c r="M253" s="43"/>
    </row>
    <row r="254" spans="6:12" ht="15">
      <c r="F254" s="43"/>
      <c r="G254" s="43"/>
      <c r="J254" s="43"/>
      <c r="L254" s="43"/>
    </row>
  </sheetData>
  <pageMargins left="0.7" right="0.7" top="0.75" bottom="0.75" header="0.3" footer="0.3"/>
  <tableParts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1262C4-7613-46DA-A119-D49EA2102A37}">
  <dimension ref="A1:M124"/>
  <sheetViews>
    <sheetView workbookViewId="0" topLeftCell="A1">
      <selection pane="topLeft" activeCell="R2" sqref="R2:R6"/>
    </sheetView>
  </sheetViews>
  <sheetFormatPr defaultRowHeight="15"/>
  <cols>
    <col min="3" max="3" width="18.7142857142857" customWidth="1"/>
    <col min="4" max="4" width="18.5714285714286" customWidth="1"/>
  </cols>
  <sheetData>
    <row r="1" spans="1:13" ht="1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58</v>
      </c>
      <c r="M1" t="s">
        <v>60</v>
      </c>
    </row>
    <row r="2" spans="1:13" ht="15">
      <c r="A2" t="s">
        <v>67</v>
      </c>
      <c r="B2" t="s">
        <v>151</v>
      </c>
      <c r="C2" t="s">
        <v>209</v>
      </c>
      <c r="D2" t="s">
        <v>140</v>
      </c>
      <c r="E2" t="s">
        <v>210</v>
      </c>
      <c r="F2" t="s">
        <v>211</v>
      </c>
      <c r="G2">
        <v>2018</v>
      </c>
      <c r="H2" t="s">
        <v>210</v>
      </c>
      <c r="I2" t="s">
        <v>210</v>
      </c>
      <c r="J2" t="s">
        <v>210</v>
      </c>
      <c r="K2" t="s">
        <v>210</v>
      </c>
      <c r="L2">
        <v>0.000506142839224487</v>
      </c>
      <c r="M2">
        <v>0.000506142839224487</v>
      </c>
    </row>
    <row r="3" spans="1:13" ht="15">
      <c r="A3" t="s">
        <v>67</v>
      </c>
      <c r="B3" t="s">
        <v>151</v>
      </c>
      <c r="C3" t="s">
        <v>209</v>
      </c>
      <c r="D3" t="s">
        <v>143</v>
      </c>
      <c r="E3" t="s">
        <v>210</v>
      </c>
      <c r="F3" t="s">
        <v>211</v>
      </c>
      <c r="G3">
        <v>2018</v>
      </c>
      <c r="H3" t="s">
        <v>210</v>
      </c>
      <c r="I3" t="s">
        <v>210</v>
      </c>
      <c r="J3" t="s">
        <v>210</v>
      </c>
      <c r="K3" t="s">
        <v>210</v>
      </c>
      <c r="L3">
        <v>0.00055272693120035003</v>
      </c>
      <c r="M3">
        <v>0.00055272693120035003</v>
      </c>
    </row>
    <row r="4" spans="1:13" ht="15">
      <c r="A4" t="s">
        <v>67</v>
      </c>
      <c r="B4" t="s">
        <v>151</v>
      </c>
      <c r="C4" t="s">
        <v>209</v>
      </c>
      <c r="D4" t="s">
        <v>212</v>
      </c>
      <c r="E4" t="s">
        <v>210</v>
      </c>
      <c r="F4" t="s">
        <v>211</v>
      </c>
      <c r="G4">
        <v>2018</v>
      </c>
      <c r="H4" t="s">
        <v>210</v>
      </c>
      <c r="I4" t="s">
        <v>210</v>
      </c>
      <c r="J4" t="s">
        <v>210</v>
      </c>
      <c r="K4" t="s">
        <v>210</v>
      </c>
      <c r="L4">
        <v>0.00043315605376271002</v>
      </c>
      <c r="M4">
        <v>0.00043315605376271002</v>
      </c>
    </row>
    <row r="5" spans="1:13" ht="15">
      <c r="A5" t="s">
        <v>67</v>
      </c>
      <c r="B5" t="s">
        <v>151</v>
      </c>
      <c r="C5" t="s">
        <v>209</v>
      </c>
      <c r="D5" t="s">
        <v>137</v>
      </c>
      <c r="E5" t="s">
        <v>210</v>
      </c>
      <c r="F5" t="s">
        <v>211</v>
      </c>
      <c r="G5">
        <v>2018</v>
      </c>
      <c r="H5" t="s">
        <v>210</v>
      </c>
      <c r="I5" t="s">
        <v>210</v>
      </c>
      <c r="J5" t="s">
        <v>210</v>
      </c>
      <c r="K5" t="s">
        <v>210</v>
      </c>
      <c r="L5">
        <v>0.0040244969239508098</v>
      </c>
      <c r="M5">
        <v>0.0040244969239508098</v>
      </c>
    </row>
    <row r="6" spans="1:13" ht="15">
      <c r="A6" t="s">
        <v>67</v>
      </c>
      <c r="B6" t="s">
        <v>151</v>
      </c>
      <c r="C6" t="s">
        <v>213</v>
      </c>
      <c r="D6" t="s">
        <v>140</v>
      </c>
      <c r="E6" t="s">
        <v>210</v>
      </c>
      <c r="F6" t="s">
        <v>211</v>
      </c>
      <c r="G6">
        <v>2018</v>
      </c>
      <c r="H6" t="s">
        <v>210</v>
      </c>
      <c r="I6" t="s">
        <v>210</v>
      </c>
      <c r="J6" t="s">
        <v>210</v>
      </c>
      <c r="K6" t="s">
        <v>210</v>
      </c>
      <c r="L6">
        <v>0.000683619325130715</v>
      </c>
      <c r="M6">
        <v>0.000683619325130715</v>
      </c>
    </row>
    <row r="7" spans="1:13" ht="15">
      <c r="A7" t="s">
        <v>67</v>
      </c>
      <c r="B7" t="s">
        <v>151</v>
      </c>
      <c r="C7" t="s">
        <v>213</v>
      </c>
      <c r="D7" t="s">
        <v>143</v>
      </c>
      <c r="E7" t="s">
        <v>210</v>
      </c>
      <c r="F7" t="s">
        <v>211</v>
      </c>
      <c r="G7">
        <v>2018</v>
      </c>
      <c r="H7" t="s">
        <v>210</v>
      </c>
      <c r="I7" t="s">
        <v>210</v>
      </c>
      <c r="J7" t="s">
        <v>210</v>
      </c>
      <c r="K7" t="s">
        <v>210</v>
      </c>
      <c r="L7">
        <v>0.00037301650664773602</v>
      </c>
      <c r="M7">
        <v>0.00037301650664773602</v>
      </c>
    </row>
    <row r="8" spans="1:13" ht="15">
      <c r="A8" t="s">
        <v>67</v>
      </c>
      <c r="B8" t="s">
        <v>151</v>
      </c>
      <c r="C8" t="s">
        <v>213</v>
      </c>
      <c r="D8" t="s">
        <v>212</v>
      </c>
      <c r="E8" t="s">
        <v>210</v>
      </c>
      <c r="F8" t="s">
        <v>211</v>
      </c>
      <c r="G8">
        <v>2018</v>
      </c>
      <c r="H8" t="s">
        <v>210</v>
      </c>
      <c r="I8" t="s">
        <v>210</v>
      </c>
      <c r="J8" t="s">
        <v>210</v>
      </c>
      <c r="K8" t="s">
        <v>210</v>
      </c>
      <c r="L8">
        <v>0.0065085678239306501</v>
      </c>
      <c r="M8">
        <v>0.0065085678239306501</v>
      </c>
    </row>
    <row r="9" spans="1:13" ht="15">
      <c r="A9" t="s">
        <v>67</v>
      </c>
      <c r="B9" t="s">
        <v>151</v>
      </c>
      <c r="C9" t="s">
        <v>213</v>
      </c>
      <c r="D9" t="s">
        <v>137</v>
      </c>
      <c r="E9" t="s">
        <v>210</v>
      </c>
      <c r="F9" t="s">
        <v>211</v>
      </c>
      <c r="G9">
        <v>2018</v>
      </c>
      <c r="H9" t="s">
        <v>210</v>
      </c>
      <c r="I9" t="s">
        <v>210</v>
      </c>
      <c r="J9" t="s">
        <v>210</v>
      </c>
      <c r="K9" t="s">
        <v>210</v>
      </c>
      <c r="L9">
        <v>0.0097445348238324302</v>
      </c>
      <c r="M9">
        <v>0.0097445348238324302</v>
      </c>
    </row>
    <row r="10" spans="1:13" ht="15">
      <c r="A10" t="s">
        <v>67</v>
      </c>
      <c r="B10" t="s">
        <v>151</v>
      </c>
      <c r="C10" t="s">
        <v>214</v>
      </c>
      <c r="D10" t="s">
        <v>140</v>
      </c>
      <c r="E10" t="s">
        <v>210</v>
      </c>
      <c r="F10" t="s">
        <v>211</v>
      </c>
      <c r="G10">
        <v>2018</v>
      </c>
      <c r="H10" t="s">
        <v>210</v>
      </c>
      <c r="I10" t="s">
        <v>210</v>
      </c>
      <c r="J10" t="s">
        <v>210</v>
      </c>
      <c r="K10" t="s">
        <v>210</v>
      </c>
      <c r="L10">
        <v>0.00075723595506168901</v>
      </c>
      <c r="M10">
        <v>0.00075723595506168901</v>
      </c>
    </row>
    <row r="11" spans="1:13" ht="15">
      <c r="A11" t="s">
        <v>67</v>
      </c>
      <c r="B11" t="s">
        <v>151</v>
      </c>
      <c r="C11" t="s">
        <v>214</v>
      </c>
      <c r="D11" t="s">
        <v>143</v>
      </c>
      <c r="E11" t="s">
        <v>210</v>
      </c>
      <c r="F11" t="s">
        <v>211</v>
      </c>
      <c r="G11">
        <v>2018</v>
      </c>
      <c r="H11" t="s">
        <v>210</v>
      </c>
      <c r="I11" t="s">
        <v>210</v>
      </c>
      <c r="J11" t="s">
        <v>210</v>
      </c>
      <c r="K11" t="s">
        <v>210</v>
      </c>
      <c r="L11">
        <v>0.000343728252885419</v>
      </c>
      <c r="M11">
        <v>0.000343728252885419</v>
      </c>
    </row>
    <row r="12" spans="1:13" ht="15">
      <c r="A12" t="s">
        <v>67</v>
      </c>
      <c r="B12" t="s">
        <v>151</v>
      </c>
      <c r="C12" t="s">
        <v>214</v>
      </c>
      <c r="D12" t="s">
        <v>212</v>
      </c>
      <c r="E12" t="s">
        <v>210</v>
      </c>
      <c r="F12" t="s">
        <v>211</v>
      </c>
      <c r="G12">
        <v>2018</v>
      </c>
      <c r="H12" t="s">
        <v>210</v>
      </c>
      <c r="I12" t="s">
        <v>210</v>
      </c>
      <c r="J12" t="s">
        <v>210</v>
      </c>
      <c r="K12" t="s">
        <v>210</v>
      </c>
      <c r="L12">
        <v>0.011604149295966801</v>
      </c>
      <c r="M12">
        <v>0.011604149295966801</v>
      </c>
    </row>
    <row r="13" spans="1:13" ht="15">
      <c r="A13" t="s">
        <v>67</v>
      </c>
      <c r="B13" t="s">
        <v>151</v>
      </c>
      <c r="C13" t="s">
        <v>214</v>
      </c>
      <c r="D13" t="s">
        <v>137</v>
      </c>
      <c r="E13" t="s">
        <v>210</v>
      </c>
      <c r="F13" t="s">
        <v>211</v>
      </c>
      <c r="G13">
        <v>2018</v>
      </c>
      <c r="H13" t="s">
        <v>210</v>
      </c>
      <c r="I13" t="s">
        <v>210</v>
      </c>
      <c r="J13" t="s">
        <v>210</v>
      </c>
      <c r="K13" t="s">
        <v>210</v>
      </c>
      <c r="L13">
        <v>0.012331284039255199</v>
      </c>
      <c r="M13">
        <v>0.012331284039255199</v>
      </c>
    </row>
    <row r="14" spans="1:13" ht="15">
      <c r="A14" t="s">
        <v>67</v>
      </c>
      <c r="B14" t="s">
        <v>151</v>
      </c>
      <c r="C14" t="s">
        <v>215</v>
      </c>
      <c r="D14" t="s">
        <v>140</v>
      </c>
      <c r="E14" t="s">
        <v>210</v>
      </c>
      <c r="F14" t="s">
        <v>211</v>
      </c>
      <c r="G14">
        <v>2018</v>
      </c>
      <c r="H14" t="s">
        <v>210</v>
      </c>
      <c r="I14" t="s">
        <v>210</v>
      </c>
      <c r="J14" t="s">
        <v>210</v>
      </c>
      <c r="K14" t="s">
        <v>210</v>
      </c>
      <c r="L14">
        <v>0.00075793685463835202</v>
      </c>
      <c r="M14">
        <v>0.00075793685463835202</v>
      </c>
    </row>
    <row r="15" spans="1:13" ht="15">
      <c r="A15" t="s">
        <v>67</v>
      </c>
      <c r="B15" t="s">
        <v>151</v>
      </c>
      <c r="C15" t="s">
        <v>215</v>
      </c>
      <c r="D15" t="s">
        <v>143</v>
      </c>
      <c r="E15" t="s">
        <v>210</v>
      </c>
      <c r="F15" t="s">
        <v>211</v>
      </c>
      <c r="G15">
        <v>2018</v>
      </c>
      <c r="H15" t="s">
        <v>210</v>
      </c>
      <c r="I15" t="s">
        <v>210</v>
      </c>
      <c r="J15" t="s">
        <v>210</v>
      </c>
      <c r="K15" t="s">
        <v>210</v>
      </c>
      <c r="L15">
        <v>0.00031842733929098998</v>
      </c>
      <c r="M15">
        <v>0.00031842733929098998</v>
      </c>
    </row>
    <row r="16" spans="1:13" ht="15">
      <c r="A16" t="s">
        <v>67</v>
      </c>
      <c r="B16" t="s">
        <v>151</v>
      </c>
      <c r="C16" t="s">
        <v>215</v>
      </c>
      <c r="D16" t="s">
        <v>212</v>
      </c>
      <c r="E16" t="s">
        <v>210</v>
      </c>
      <c r="F16" t="s">
        <v>211</v>
      </c>
      <c r="G16">
        <v>2018</v>
      </c>
      <c r="H16" t="s">
        <v>210</v>
      </c>
      <c r="I16" t="s">
        <v>210</v>
      </c>
      <c r="J16" t="s">
        <v>210</v>
      </c>
      <c r="K16" t="s">
        <v>210</v>
      </c>
      <c r="L16">
        <v>0.015658923996909099</v>
      </c>
      <c r="M16">
        <v>0.015658923996909099</v>
      </c>
    </row>
    <row r="17" spans="1:13" ht="15">
      <c r="A17" t="s">
        <v>67</v>
      </c>
      <c r="B17" t="s">
        <v>151</v>
      </c>
      <c r="C17" t="s">
        <v>215</v>
      </c>
      <c r="D17" t="s">
        <v>137</v>
      </c>
      <c r="E17" t="s">
        <v>210</v>
      </c>
      <c r="F17" t="s">
        <v>211</v>
      </c>
      <c r="G17">
        <v>2018</v>
      </c>
      <c r="H17" t="s">
        <v>210</v>
      </c>
      <c r="I17" t="s">
        <v>210</v>
      </c>
      <c r="J17" t="s">
        <v>210</v>
      </c>
      <c r="K17" t="s">
        <v>210</v>
      </c>
      <c r="L17">
        <v>0.0137580627391312</v>
      </c>
      <c r="M17">
        <v>0.0137580627391312</v>
      </c>
    </row>
    <row r="18" spans="1:13" ht="15">
      <c r="A18" t="s">
        <v>67</v>
      </c>
      <c r="B18" t="s">
        <v>151</v>
      </c>
      <c r="C18" t="s">
        <v>216</v>
      </c>
      <c r="D18" t="s">
        <v>140</v>
      </c>
      <c r="E18" t="s">
        <v>210</v>
      </c>
      <c r="F18" t="s">
        <v>211</v>
      </c>
      <c r="G18">
        <v>2018</v>
      </c>
      <c r="H18" t="s">
        <v>210</v>
      </c>
      <c r="I18" t="s">
        <v>210</v>
      </c>
      <c r="J18" t="s">
        <v>210</v>
      </c>
      <c r="K18" t="s">
        <v>210</v>
      </c>
      <c r="L18">
        <v>0.00070490984619025901</v>
      </c>
      <c r="M18">
        <v>0.00070490984619025901</v>
      </c>
    </row>
    <row r="19" spans="1:13" ht="15">
      <c r="A19" t="s">
        <v>67</v>
      </c>
      <c r="B19" t="s">
        <v>151</v>
      </c>
      <c r="C19" t="s">
        <v>216</v>
      </c>
      <c r="D19" t="s">
        <v>143</v>
      </c>
      <c r="E19" t="s">
        <v>210</v>
      </c>
      <c r="F19" t="s">
        <v>211</v>
      </c>
      <c r="G19">
        <v>2018</v>
      </c>
      <c r="H19" t="s">
        <v>210</v>
      </c>
      <c r="I19" t="s">
        <v>210</v>
      </c>
      <c r="J19" t="s">
        <v>210</v>
      </c>
      <c r="K19" t="s">
        <v>210</v>
      </c>
      <c r="L19">
        <v>0.00021330643979401999</v>
      </c>
      <c r="M19">
        <v>0.00021330643979401999</v>
      </c>
    </row>
    <row r="20" spans="1:13" ht="15">
      <c r="A20" t="s">
        <v>67</v>
      </c>
      <c r="B20" t="s">
        <v>151</v>
      </c>
      <c r="C20" t="s">
        <v>216</v>
      </c>
      <c r="D20" t="s">
        <v>217</v>
      </c>
      <c r="E20" t="s">
        <v>210</v>
      </c>
      <c r="F20" t="s">
        <v>211</v>
      </c>
      <c r="G20">
        <v>2018</v>
      </c>
      <c r="H20" t="s">
        <v>210</v>
      </c>
      <c r="I20" t="s">
        <v>210</v>
      </c>
      <c r="J20" t="s">
        <v>210</v>
      </c>
      <c r="K20" t="s">
        <v>210</v>
      </c>
      <c r="L20">
        <v>0.0113937015968713</v>
      </c>
      <c r="M20">
        <v>0.0113937015968713</v>
      </c>
    </row>
    <row r="21" spans="1:13" ht="15">
      <c r="A21" t="s">
        <v>67</v>
      </c>
      <c r="B21" t="s">
        <v>151</v>
      </c>
      <c r="C21" t="s">
        <v>216</v>
      </c>
      <c r="D21" t="s">
        <v>137</v>
      </c>
      <c r="E21" t="s">
        <v>210</v>
      </c>
      <c r="F21" t="s">
        <v>211</v>
      </c>
      <c r="G21">
        <v>2018</v>
      </c>
      <c r="H21" t="s">
        <v>210</v>
      </c>
      <c r="I21" t="s">
        <v>210</v>
      </c>
      <c r="J21" t="s">
        <v>210</v>
      </c>
      <c r="K21" t="s">
        <v>210</v>
      </c>
      <c r="L21">
        <v>0.013665642356902799</v>
      </c>
      <c r="M21">
        <v>0.013665642356902799</v>
      </c>
    </row>
    <row r="22" spans="1:13" ht="15">
      <c r="A22" t="s">
        <v>67</v>
      </c>
      <c r="B22" t="s">
        <v>151</v>
      </c>
      <c r="C22" t="s">
        <v>218</v>
      </c>
      <c r="D22" t="s">
        <v>140</v>
      </c>
      <c r="E22" t="s">
        <v>210</v>
      </c>
      <c r="F22" t="s">
        <v>211</v>
      </c>
      <c r="G22">
        <v>2018</v>
      </c>
      <c r="H22" t="s">
        <v>210</v>
      </c>
      <c r="I22" t="s">
        <v>210</v>
      </c>
      <c r="J22" t="s">
        <v>210</v>
      </c>
      <c r="K22" t="s">
        <v>210</v>
      </c>
      <c r="L22">
        <v>0.00063201440609990996</v>
      </c>
      <c r="M22">
        <v>0.00063201440609990996</v>
      </c>
    </row>
    <row r="23" spans="1:13" ht="15">
      <c r="A23" t="s">
        <v>67</v>
      </c>
      <c r="B23" t="s">
        <v>151</v>
      </c>
      <c r="C23" t="s">
        <v>218</v>
      </c>
      <c r="D23" t="s">
        <v>143</v>
      </c>
      <c r="E23" t="s">
        <v>210</v>
      </c>
      <c r="F23" t="s">
        <v>211</v>
      </c>
      <c r="G23">
        <v>2018</v>
      </c>
      <c r="H23" t="s">
        <v>210</v>
      </c>
      <c r="I23" t="s">
        <v>210</v>
      </c>
      <c r="J23" t="s">
        <v>210</v>
      </c>
      <c r="K23" t="s">
        <v>210</v>
      </c>
      <c r="L23">
        <v>9.2802973696255701E-05</v>
      </c>
      <c r="M23">
        <v>9.2802973696255701E-05</v>
      </c>
    </row>
    <row r="24" spans="1:13" ht="15">
      <c r="A24" t="s">
        <v>67</v>
      </c>
      <c r="B24" t="s">
        <v>151</v>
      </c>
      <c r="C24" t="s">
        <v>218</v>
      </c>
      <c r="D24" t="s">
        <v>219</v>
      </c>
      <c r="E24" t="s">
        <v>210</v>
      </c>
      <c r="F24" t="s">
        <v>211</v>
      </c>
      <c r="G24">
        <v>2018</v>
      </c>
      <c r="H24" t="s">
        <v>210</v>
      </c>
      <c r="I24" t="s">
        <v>210</v>
      </c>
      <c r="J24" t="s">
        <v>210</v>
      </c>
      <c r="K24" t="s">
        <v>210</v>
      </c>
      <c r="L24">
        <v>0.0124634538797252</v>
      </c>
      <c r="M24">
        <v>0.0124634538797252</v>
      </c>
    </row>
    <row r="25" spans="1:13" ht="15">
      <c r="A25" t="s">
        <v>67</v>
      </c>
      <c r="B25" t="s">
        <v>151</v>
      </c>
      <c r="C25" t="s">
        <v>218</v>
      </c>
      <c r="D25" t="s">
        <v>137</v>
      </c>
      <c r="E25" t="s">
        <v>210</v>
      </c>
      <c r="F25" t="s">
        <v>211</v>
      </c>
      <c r="G25">
        <v>2018</v>
      </c>
      <c r="H25" t="s">
        <v>210</v>
      </c>
      <c r="I25" t="s">
        <v>210</v>
      </c>
      <c r="J25" t="s">
        <v>210</v>
      </c>
      <c r="K25" t="s">
        <v>210</v>
      </c>
      <c r="L25">
        <v>0.0116206091575292</v>
      </c>
      <c r="M25">
        <v>0.0116206091575292</v>
      </c>
    </row>
    <row r="26" spans="1:13" ht="15">
      <c r="A26" t="s">
        <v>67</v>
      </c>
      <c r="B26" t="s">
        <v>151</v>
      </c>
      <c r="C26" t="s">
        <v>220</v>
      </c>
      <c r="D26" t="s">
        <v>140</v>
      </c>
      <c r="E26" t="s">
        <v>210</v>
      </c>
      <c r="F26" t="s">
        <v>211</v>
      </c>
      <c r="G26">
        <v>2018</v>
      </c>
      <c r="H26" t="s">
        <v>210</v>
      </c>
      <c r="I26" t="s">
        <v>210</v>
      </c>
      <c r="J26" t="s">
        <v>210</v>
      </c>
      <c r="K26" t="s">
        <v>210</v>
      </c>
      <c r="L26">
        <v>0.00058833522338227497</v>
      </c>
      <c r="M26">
        <v>0.00058833522338227497</v>
      </c>
    </row>
    <row r="27" spans="1:13" ht="15">
      <c r="A27" t="s">
        <v>67</v>
      </c>
      <c r="B27" t="s">
        <v>151</v>
      </c>
      <c r="C27" t="s">
        <v>220</v>
      </c>
      <c r="D27" t="s">
        <v>143</v>
      </c>
      <c r="E27" t="s">
        <v>210</v>
      </c>
      <c r="F27" t="s">
        <v>211</v>
      </c>
      <c r="G27">
        <v>2018</v>
      </c>
      <c r="H27" t="s">
        <v>210</v>
      </c>
      <c r="I27" t="s">
        <v>210</v>
      </c>
      <c r="J27" t="s">
        <v>210</v>
      </c>
      <c r="K27" t="s">
        <v>210</v>
      </c>
      <c r="L27">
        <v>6.9127556176359E-05</v>
      </c>
      <c r="M27">
        <v>6.9127556176359E-05</v>
      </c>
    </row>
    <row r="28" spans="1:13" ht="15">
      <c r="A28" t="s">
        <v>67</v>
      </c>
      <c r="B28" t="s">
        <v>151</v>
      </c>
      <c r="C28" t="s">
        <v>220</v>
      </c>
      <c r="D28" t="s">
        <v>221</v>
      </c>
      <c r="E28" t="s">
        <v>210</v>
      </c>
      <c r="F28" t="s">
        <v>211</v>
      </c>
      <c r="G28">
        <v>2018</v>
      </c>
      <c r="H28" t="s">
        <v>210</v>
      </c>
      <c r="I28" t="s">
        <v>210</v>
      </c>
      <c r="J28" t="s">
        <v>210</v>
      </c>
      <c r="K28" t="s">
        <v>210</v>
      </c>
      <c r="L28">
        <v>0.016645048110215999</v>
      </c>
      <c r="M28">
        <v>0.016645048110215999</v>
      </c>
    </row>
    <row r="29" spans="1:13" ht="15">
      <c r="A29" t="s">
        <v>67</v>
      </c>
      <c r="B29" t="s">
        <v>151</v>
      </c>
      <c r="C29" t="s">
        <v>220</v>
      </c>
      <c r="D29" t="s">
        <v>137</v>
      </c>
      <c r="E29" t="s">
        <v>210</v>
      </c>
      <c r="F29" t="s">
        <v>211</v>
      </c>
      <c r="G29">
        <v>2018</v>
      </c>
      <c r="H29" t="s">
        <v>210</v>
      </c>
      <c r="I29" t="s">
        <v>210</v>
      </c>
      <c r="J29" t="s">
        <v>210</v>
      </c>
      <c r="K29" t="s">
        <v>210</v>
      </c>
      <c r="L29">
        <v>0.010940282504497099</v>
      </c>
      <c r="M29">
        <v>0.010940282504497099</v>
      </c>
    </row>
    <row r="30" spans="1:13" ht="15">
      <c r="A30" t="s">
        <v>67</v>
      </c>
      <c r="B30" t="s">
        <v>151</v>
      </c>
      <c r="C30" t="s">
        <v>222</v>
      </c>
      <c r="D30" t="s">
        <v>140</v>
      </c>
      <c r="E30" t="s">
        <v>210</v>
      </c>
      <c r="F30" t="s">
        <v>211</v>
      </c>
      <c r="G30">
        <v>2018</v>
      </c>
      <c r="H30" t="s">
        <v>210</v>
      </c>
      <c r="I30" t="s">
        <v>210</v>
      </c>
      <c r="J30" t="s">
        <v>210</v>
      </c>
      <c r="K30" t="s">
        <v>210</v>
      </c>
      <c r="L30">
        <v>0.00055338501641265204</v>
      </c>
      <c r="M30">
        <v>0.00055338501641265204</v>
      </c>
    </row>
    <row r="31" spans="1:13" ht="15">
      <c r="A31" t="s">
        <v>67</v>
      </c>
      <c r="B31" t="s">
        <v>151</v>
      </c>
      <c r="C31" t="s">
        <v>222</v>
      </c>
      <c r="D31" t="s">
        <v>143</v>
      </c>
      <c r="E31" t="s">
        <v>210</v>
      </c>
      <c r="F31" t="s">
        <v>211</v>
      </c>
      <c r="G31">
        <v>2018</v>
      </c>
      <c r="H31" t="s">
        <v>210</v>
      </c>
      <c r="I31" t="s">
        <v>210</v>
      </c>
      <c r="J31" t="s">
        <v>210</v>
      </c>
      <c r="K31" t="s">
        <v>210</v>
      </c>
      <c r="L31">
        <v>8.4873154087721598E-05</v>
      </c>
      <c r="M31">
        <v>8.4873154087721598E-05</v>
      </c>
    </row>
    <row r="32" spans="1:13" ht="15">
      <c r="A32" t="s">
        <v>67</v>
      </c>
      <c r="B32" t="s">
        <v>151</v>
      </c>
      <c r="C32" t="s">
        <v>222</v>
      </c>
      <c r="D32" t="s">
        <v>223</v>
      </c>
      <c r="E32" t="s">
        <v>210</v>
      </c>
      <c r="F32" t="s">
        <v>211</v>
      </c>
      <c r="G32">
        <v>2018</v>
      </c>
      <c r="H32" t="s">
        <v>210</v>
      </c>
      <c r="I32" t="s">
        <v>210</v>
      </c>
      <c r="J32" t="s">
        <v>210</v>
      </c>
      <c r="K32" t="s">
        <v>210</v>
      </c>
      <c r="L32">
        <v>0.0226241477602659</v>
      </c>
      <c r="M32">
        <v>0.0226241477602659</v>
      </c>
    </row>
    <row r="33" spans="1:13" ht="15">
      <c r="A33" t="s">
        <v>67</v>
      </c>
      <c r="B33" t="s">
        <v>151</v>
      </c>
      <c r="C33" t="s">
        <v>222</v>
      </c>
      <c r="D33" t="s">
        <v>137</v>
      </c>
      <c r="E33" t="s">
        <v>210</v>
      </c>
      <c r="F33" t="s">
        <v>211</v>
      </c>
      <c r="G33">
        <v>2018</v>
      </c>
      <c r="H33" t="s">
        <v>210</v>
      </c>
      <c r="I33" t="s">
        <v>210</v>
      </c>
      <c r="J33" t="s">
        <v>210</v>
      </c>
      <c r="K33" t="s">
        <v>210</v>
      </c>
      <c r="L33">
        <v>0.011080838801265799</v>
      </c>
      <c r="M33">
        <v>0.011080838801265799</v>
      </c>
    </row>
    <row r="34" spans="1:13" ht="15">
      <c r="A34" t="s">
        <v>67</v>
      </c>
      <c r="B34" t="s">
        <v>151</v>
      </c>
      <c r="C34" t="s">
        <v>224</v>
      </c>
      <c r="D34" t="s">
        <v>140</v>
      </c>
      <c r="E34" t="s">
        <v>210</v>
      </c>
      <c r="F34" t="s">
        <v>211</v>
      </c>
      <c r="G34">
        <v>2018</v>
      </c>
      <c r="H34" t="s">
        <v>210</v>
      </c>
      <c r="I34" t="s">
        <v>210</v>
      </c>
      <c r="J34" t="s">
        <v>210</v>
      </c>
      <c r="K34" t="s">
        <v>210</v>
      </c>
      <c r="L34">
        <v>0.000533896737113557</v>
      </c>
      <c r="M34">
        <v>0.000533896737113557</v>
      </c>
    </row>
    <row r="35" spans="1:13" ht="15">
      <c r="A35" t="s">
        <v>67</v>
      </c>
      <c r="B35" t="s">
        <v>151</v>
      </c>
      <c r="C35" t="s">
        <v>224</v>
      </c>
      <c r="D35" t="s">
        <v>143</v>
      </c>
      <c r="E35" t="s">
        <v>210</v>
      </c>
      <c r="F35" t="s">
        <v>211</v>
      </c>
      <c r="G35">
        <v>2018</v>
      </c>
      <c r="H35" t="s">
        <v>210</v>
      </c>
      <c r="I35" t="s">
        <v>210</v>
      </c>
      <c r="J35" t="s">
        <v>210</v>
      </c>
      <c r="K35" t="s">
        <v>210</v>
      </c>
      <c r="L35">
        <v>7.1426639989066005E-05</v>
      </c>
      <c r="M35">
        <v>7.1426639989066005E-05</v>
      </c>
    </row>
    <row r="36" spans="1:13" ht="15">
      <c r="A36" t="s">
        <v>67</v>
      </c>
      <c r="B36" t="s">
        <v>151</v>
      </c>
      <c r="C36" t="s">
        <v>224</v>
      </c>
      <c r="D36" t="s">
        <v>225</v>
      </c>
      <c r="E36" t="s">
        <v>210</v>
      </c>
      <c r="F36" t="s">
        <v>211</v>
      </c>
      <c r="G36">
        <v>2018</v>
      </c>
      <c r="H36" t="s">
        <v>210</v>
      </c>
      <c r="I36" t="s">
        <v>210</v>
      </c>
      <c r="J36" t="s">
        <v>210</v>
      </c>
      <c r="K36" t="s">
        <v>210</v>
      </c>
      <c r="L36">
        <v>0.027338413527361698</v>
      </c>
      <c r="M36">
        <v>0.027338413527361698</v>
      </c>
    </row>
    <row r="37" spans="1:13" ht="15">
      <c r="A37" t="s">
        <v>67</v>
      </c>
      <c r="B37" t="s">
        <v>151</v>
      </c>
      <c r="C37" t="s">
        <v>224</v>
      </c>
      <c r="D37" t="s">
        <v>137</v>
      </c>
      <c r="E37" t="s">
        <v>210</v>
      </c>
      <c r="F37" t="s">
        <v>211</v>
      </c>
      <c r="G37">
        <v>2018</v>
      </c>
      <c r="H37" t="s">
        <v>210</v>
      </c>
      <c r="I37" t="s">
        <v>210</v>
      </c>
      <c r="J37" t="s">
        <v>210</v>
      </c>
      <c r="K37" t="s">
        <v>210</v>
      </c>
      <c r="L37">
        <v>0.010581748102151799</v>
      </c>
      <c r="M37">
        <v>0.010581748102151799</v>
      </c>
    </row>
    <row r="38" spans="1:13" ht="15">
      <c r="A38" t="s">
        <v>67</v>
      </c>
      <c r="B38" t="s">
        <v>151</v>
      </c>
      <c r="C38" t="s">
        <v>226</v>
      </c>
      <c r="D38" t="s">
        <v>141</v>
      </c>
      <c r="E38" t="s">
        <v>210</v>
      </c>
      <c r="F38" t="s">
        <v>211</v>
      </c>
      <c r="G38">
        <v>2018</v>
      </c>
      <c r="H38" t="s">
        <v>210</v>
      </c>
      <c r="I38" t="s">
        <v>210</v>
      </c>
      <c r="J38" t="s">
        <v>210</v>
      </c>
      <c r="K38" t="s">
        <v>210</v>
      </c>
      <c r="L38">
        <v>0.00074241698715176601</v>
      </c>
      <c r="M38">
        <v>0.00074241698715176601</v>
      </c>
    </row>
    <row r="39" spans="1:13" ht="15">
      <c r="A39" t="s">
        <v>67</v>
      </c>
      <c r="B39" t="s">
        <v>151</v>
      </c>
      <c r="C39" t="s">
        <v>226</v>
      </c>
      <c r="D39" t="s">
        <v>144</v>
      </c>
      <c r="E39" t="s">
        <v>210</v>
      </c>
      <c r="F39" t="s">
        <v>211</v>
      </c>
      <c r="G39">
        <v>2018</v>
      </c>
      <c r="H39" t="s">
        <v>210</v>
      </c>
      <c r="I39" t="s">
        <v>210</v>
      </c>
      <c r="J39" t="s">
        <v>210</v>
      </c>
      <c r="K39" t="s">
        <v>210</v>
      </c>
      <c r="L39">
        <v>0.00069732301417353205</v>
      </c>
      <c r="M39">
        <v>0.00069732301417353205</v>
      </c>
    </row>
    <row r="40" spans="1:13" ht="15">
      <c r="A40" t="s">
        <v>67</v>
      </c>
      <c r="B40" t="s">
        <v>151</v>
      </c>
      <c r="C40" t="s">
        <v>226</v>
      </c>
      <c r="D40" t="s">
        <v>227</v>
      </c>
      <c r="E40" t="s">
        <v>210</v>
      </c>
      <c r="F40" t="s">
        <v>211</v>
      </c>
      <c r="G40">
        <v>2018</v>
      </c>
      <c r="H40" t="s">
        <v>210</v>
      </c>
      <c r="I40" t="s">
        <v>210</v>
      </c>
      <c r="J40" t="s">
        <v>210</v>
      </c>
      <c r="K40" t="s">
        <v>210</v>
      </c>
      <c r="L40">
        <v>0.0016091636703289801</v>
      </c>
      <c r="M40">
        <v>0.0016091636703289801</v>
      </c>
    </row>
    <row r="41" spans="1:13" ht="15">
      <c r="A41" t="s">
        <v>67</v>
      </c>
      <c r="B41" t="s">
        <v>151</v>
      </c>
      <c r="C41" t="s">
        <v>226</v>
      </c>
      <c r="D41" t="s">
        <v>138</v>
      </c>
      <c r="E41" t="s">
        <v>210</v>
      </c>
      <c r="F41" t="s">
        <v>211</v>
      </c>
      <c r="G41">
        <v>2018</v>
      </c>
      <c r="H41" t="s">
        <v>210</v>
      </c>
      <c r="I41" t="s">
        <v>210</v>
      </c>
      <c r="J41" t="s">
        <v>210</v>
      </c>
      <c r="K41" t="s">
        <v>210</v>
      </c>
      <c r="L41">
        <v>0.0057786168730819196</v>
      </c>
      <c r="M41">
        <v>0.0057786168730819196</v>
      </c>
    </row>
    <row r="42" spans="1:13" ht="15">
      <c r="A42" t="s">
        <v>67</v>
      </c>
      <c r="B42" t="s">
        <v>151</v>
      </c>
      <c r="C42" t="s">
        <v>228</v>
      </c>
      <c r="D42" t="s">
        <v>141</v>
      </c>
      <c r="E42" t="s">
        <v>210</v>
      </c>
      <c r="F42" t="s">
        <v>211</v>
      </c>
      <c r="G42">
        <v>2018</v>
      </c>
      <c r="H42" t="s">
        <v>210</v>
      </c>
      <c r="I42" t="s">
        <v>210</v>
      </c>
      <c r="J42" t="s">
        <v>210</v>
      </c>
      <c r="K42" t="s">
        <v>210</v>
      </c>
      <c r="L42">
        <v>0.00077940560081569</v>
      </c>
      <c r="M42">
        <v>0.00077940560081569</v>
      </c>
    </row>
    <row r="43" spans="1:13" ht="15">
      <c r="A43" t="s">
        <v>67</v>
      </c>
      <c r="B43" t="s">
        <v>151</v>
      </c>
      <c r="C43" t="s">
        <v>228</v>
      </c>
      <c r="D43" t="s">
        <v>144</v>
      </c>
      <c r="E43" t="s">
        <v>210</v>
      </c>
      <c r="F43" t="s">
        <v>211</v>
      </c>
      <c r="G43">
        <v>2018</v>
      </c>
      <c r="H43" t="s">
        <v>210</v>
      </c>
      <c r="I43" t="s">
        <v>210</v>
      </c>
      <c r="J43" t="s">
        <v>210</v>
      </c>
      <c r="K43" t="s">
        <v>210</v>
      </c>
      <c r="L43">
        <v>0.000426163933939329</v>
      </c>
      <c r="M43">
        <v>0.000426163933939329</v>
      </c>
    </row>
    <row r="44" spans="1:13" ht="15">
      <c r="A44" t="s">
        <v>67</v>
      </c>
      <c r="B44" t="s">
        <v>151</v>
      </c>
      <c r="C44" t="s">
        <v>228</v>
      </c>
      <c r="D44" t="s">
        <v>227</v>
      </c>
      <c r="E44" t="s">
        <v>210</v>
      </c>
      <c r="F44" t="s">
        <v>211</v>
      </c>
      <c r="G44">
        <v>2018</v>
      </c>
      <c r="H44" t="s">
        <v>210</v>
      </c>
      <c r="I44" t="s">
        <v>210</v>
      </c>
      <c r="J44" t="s">
        <v>210</v>
      </c>
      <c r="K44" t="s">
        <v>210</v>
      </c>
      <c r="L44">
        <v>0.012603603215973499</v>
      </c>
      <c r="M44">
        <v>0.012603603215973499</v>
      </c>
    </row>
    <row r="45" spans="1:13" ht="15">
      <c r="A45" t="s">
        <v>67</v>
      </c>
      <c r="B45" t="s">
        <v>151</v>
      </c>
      <c r="C45" t="s">
        <v>228</v>
      </c>
      <c r="D45" t="s">
        <v>138</v>
      </c>
      <c r="E45" t="s">
        <v>210</v>
      </c>
      <c r="F45" t="s">
        <v>211</v>
      </c>
      <c r="G45">
        <v>2018</v>
      </c>
      <c r="H45" t="s">
        <v>210</v>
      </c>
      <c r="I45" t="s">
        <v>210</v>
      </c>
      <c r="J45" t="s">
        <v>210</v>
      </c>
      <c r="K45" t="s">
        <v>210</v>
      </c>
      <c r="L45">
        <v>0.0053948468322694201</v>
      </c>
      <c r="M45">
        <v>0.0053948468322694201</v>
      </c>
    </row>
    <row r="46" spans="1:13" ht="15">
      <c r="A46" t="s">
        <v>67</v>
      </c>
      <c r="B46" t="s">
        <v>151</v>
      </c>
      <c r="C46" t="s">
        <v>229</v>
      </c>
      <c r="D46" t="s">
        <v>141</v>
      </c>
      <c r="E46" t="s">
        <v>210</v>
      </c>
      <c r="F46" t="s">
        <v>211</v>
      </c>
      <c r="G46">
        <v>2018</v>
      </c>
      <c r="H46" t="s">
        <v>210</v>
      </c>
      <c r="I46" t="s">
        <v>210</v>
      </c>
      <c r="J46" t="s">
        <v>210</v>
      </c>
      <c r="K46" t="s">
        <v>210</v>
      </c>
      <c r="L46">
        <v>0.00093488148228942805</v>
      </c>
      <c r="M46">
        <v>0.00093488148228942805</v>
      </c>
    </row>
    <row r="47" spans="1:13" ht="15">
      <c r="A47" t="s">
        <v>67</v>
      </c>
      <c r="B47" t="s">
        <v>151</v>
      </c>
      <c r="C47" t="s">
        <v>229</v>
      </c>
      <c r="D47" t="s">
        <v>144</v>
      </c>
      <c r="E47" t="s">
        <v>210</v>
      </c>
      <c r="F47" t="s">
        <v>211</v>
      </c>
      <c r="G47">
        <v>2018</v>
      </c>
      <c r="H47" t="s">
        <v>210</v>
      </c>
      <c r="I47" t="s">
        <v>210</v>
      </c>
      <c r="J47" t="s">
        <v>210</v>
      </c>
      <c r="K47" t="s">
        <v>210</v>
      </c>
      <c r="L47">
        <v>0.00040670311858187198</v>
      </c>
      <c r="M47">
        <v>0.00040670311858187198</v>
      </c>
    </row>
    <row r="48" spans="1:13" ht="15">
      <c r="A48" t="s">
        <v>67</v>
      </c>
      <c r="B48" t="s">
        <v>151</v>
      </c>
      <c r="C48" t="s">
        <v>229</v>
      </c>
      <c r="D48" t="s">
        <v>227</v>
      </c>
      <c r="E48" t="s">
        <v>210</v>
      </c>
      <c r="F48" t="s">
        <v>211</v>
      </c>
      <c r="G48">
        <v>2018</v>
      </c>
      <c r="H48" t="s">
        <v>210</v>
      </c>
      <c r="I48" t="s">
        <v>210</v>
      </c>
      <c r="J48" t="s">
        <v>210</v>
      </c>
      <c r="K48" t="s">
        <v>210</v>
      </c>
      <c r="L48">
        <v>0.019962815705499199</v>
      </c>
      <c r="M48">
        <v>0.019962815705499199</v>
      </c>
    </row>
    <row r="49" spans="1:13" ht="15">
      <c r="A49" t="s">
        <v>67</v>
      </c>
      <c r="B49" t="s">
        <v>151</v>
      </c>
      <c r="C49" t="s">
        <v>229</v>
      </c>
      <c r="D49" t="s">
        <v>138</v>
      </c>
      <c r="E49" t="s">
        <v>210</v>
      </c>
      <c r="F49" t="s">
        <v>211</v>
      </c>
      <c r="G49">
        <v>2018</v>
      </c>
      <c r="H49" t="s">
        <v>210</v>
      </c>
      <c r="I49" t="s">
        <v>210</v>
      </c>
      <c r="J49" t="s">
        <v>210</v>
      </c>
      <c r="K49" t="s">
        <v>210</v>
      </c>
      <c r="L49">
        <v>0.0079920668210354106</v>
      </c>
      <c r="M49">
        <v>0.0079920668210354106</v>
      </c>
    </row>
    <row r="50" spans="1:13" ht="15">
      <c r="A50" t="s">
        <v>67</v>
      </c>
      <c r="B50" t="s">
        <v>151</v>
      </c>
      <c r="C50" t="s">
        <v>230</v>
      </c>
      <c r="D50" t="s">
        <v>141</v>
      </c>
      <c r="E50" t="s">
        <v>210</v>
      </c>
      <c r="F50" t="s">
        <v>211</v>
      </c>
      <c r="G50">
        <v>2018</v>
      </c>
      <c r="H50" t="s">
        <v>210</v>
      </c>
      <c r="I50" t="s">
        <v>210</v>
      </c>
      <c r="J50" t="s">
        <v>210</v>
      </c>
      <c r="K50" t="s">
        <v>210</v>
      </c>
      <c r="L50">
        <v>0.00095937840089950596</v>
      </c>
      <c r="M50">
        <v>0.00095937840089950596</v>
      </c>
    </row>
    <row r="51" spans="1:13" ht="15">
      <c r="A51" t="s">
        <v>67</v>
      </c>
      <c r="B51" t="s">
        <v>151</v>
      </c>
      <c r="C51" t="s">
        <v>230</v>
      </c>
      <c r="D51" t="s">
        <v>144</v>
      </c>
      <c r="E51" t="s">
        <v>210</v>
      </c>
      <c r="F51" t="s">
        <v>211</v>
      </c>
      <c r="G51">
        <v>2018</v>
      </c>
      <c r="H51" t="s">
        <v>210</v>
      </c>
      <c r="I51" t="s">
        <v>210</v>
      </c>
      <c r="J51" t="s">
        <v>210</v>
      </c>
      <c r="K51" t="s">
        <v>210</v>
      </c>
      <c r="L51">
        <v>0.00039745734872240202</v>
      </c>
      <c r="M51">
        <v>0.00039745734872240202</v>
      </c>
    </row>
    <row r="52" spans="1:13" ht="15">
      <c r="A52" t="s">
        <v>67</v>
      </c>
      <c r="B52" t="s">
        <v>151</v>
      </c>
      <c r="C52" t="s">
        <v>230</v>
      </c>
      <c r="D52" t="s">
        <v>227</v>
      </c>
      <c r="E52" t="s">
        <v>210</v>
      </c>
      <c r="F52" t="s">
        <v>211</v>
      </c>
      <c r="G52">
        <v>2018</v>
      </c>
      <c r="H52" t="s">
        <v>210</v>
      </c>
      <c r="I52" t="s">
        <v>210</v>
      </c>
      <c r="J52" t="s">
        <v>210</v>
      </c>
      <c r="K52" t="s">
        <v>210</v>
      </c>
      <c r="L52">
        <v>0.023880087312967601</v>
      </c>
      <c r="M52">
        <v>0.023880087312967601</v>
      </c>
    </row>
    <row r="53" spans="1:13" ht="15">
      <c r="A53" t="s">
        <v>67</v>
      </c>
      <c r="B53" t="s">
        <v>151</v>
      </c>
      <c r="C53" t="s">
        <v>230</v>
      </c>
      <c r="D53" t="s">
        <v>138</v>
      </c>
      <c r="E53" t="s">
        <v>210</v>
      </c>
      <c r="F53" t="s">
        <v>211</v>
      </c>
      <c r="G53">
        <v>2018</v>
      </c>
      <c r="H53" t="s">
        <v>210</v>
      </c>
      <c r="I53" t="s">
        <v>210</v>
      </c>
      <c r="J53" t="s">
        <v>210</v>
      </c>
      <c r="K53" t="s">
        <v>210</v>
      </c>
      <c r="L53">
        <v>0.0089012862565573808</v>
      </c>
      <c r="M53">
        <v>0.0089012862565573808</v>
      </c>
    </row>
    <row r="54" spans="1:13" ht="15">
      <c r="A54" t="s">
        <v>67</v>
      </c>
      <c r="B54" t="s">
        <v>151</v>
      </c>
      <c r="C54" t="s">
        <v>231</v>
      </c>
      <c r="D54" t="s">
        <v>141</v>
      </c>
      <c r="E54" t="s">
        <v>210</v>
      </c>
      <c r="F54" t="s">
        <v>211</v>
      </c>
      <c r="G54">
        <v>2018</v>
      </c>
      <c r="H54" t="s">
        <v>210</v>
      </c>
      <c r="I54" t="s">
        <v>210</v>
      </c>
      <c r="J54" t="s">
        <v>210</v>
      </c>
      <c r="K54" t="s">
        <v>210</v>
      </c>
      <c r="L54">
        <v>0.00094983104774723102</v>
      </c>
      <c r="M54">
        <v>0.00094983104774723102</v>
      </c>
    </row>
    <row r="55" spans="1:13" ht="15">
      <c r="A55" t="s">
        <v>67</v>
      </c>
      <c r="B55" t="s">
        <v>151</v>
      </c>
      <c r="C55" t="s">
        <v>231</v>
      </c>
      <c r="D55" t="s">
        <v>144</v>
      </c>
      <c r="E55" t="s">
        <v>210</v>
      </c>
      <c r="F55" t="s">
        <v>211</v>
      </c>
      <c r="G55">
        <v>2018</v>
      </c>
      <c r="H55" t="s">
        <v>210</v>
      </c>
      <c r="I55" t="s">
        <v>210</v>
      </c>
      <c r="J55" t="s">
        <v>210</v>
      </c>
      <c r="K55" t="s">
        <v>210</v>
      </c>
      <c r="L55">
        <v>0.00039487301870630399</v>
      </c>
      <c r="M55">
        <v>0.00039487301870630399</v>
      </c>
    </row>
    <row r="56" spans="1:13" ht="15">
      <c r="A56" t="s">
        <v>67</v>
      </c>
      <c r="B56" t="s">
        <v>151</v>
      </c>
      <c r="C56" t="s">
        <v>231</v>
      </c>
      <c r="D56" t="s">
        <v>232</v>
      </c>
      <c r="E56" t="s">
        <v>210</v>
      </c>
      <c r="F56" t="s">
        <v>211</v>
      </c>
      <c r="G56">
        <v>2018</v>
      </c>
      <c r="H56" t="s">
        <v>210</v>
      </c>
      <c r="I56" t="s">
        <v>210</v>
      </c>
      <c r="J56" t="s">
        <v>210</v>
      </c>
      <c r="K56" t="s">
        <v>210</v>
      </c>
      <c r="L56">
        <v>0.020324283757671101</v>
      </c>
      <c r="M56">
        <v>0.020324283757671101</v>
      </c>
    </row>
    <row r="57" spans="1:13" ht="15">
      <c r="A57" t="s">
        <v>67</v>
      </c>
      <c r="B57" t="s">
        <v>151</v>
      </c>
      <c r="C57" t="s">
        <v>231</v>
      </c>
      <c r="D57" t="s">
        <v>138</v>
      </c>
      <c r="E57" t="s">
        <v>210</v>
      </c>
      <c r="F57" t="s">
        <v>211</v>
      </c>
      <c r="G57">
        <v>2018</v>
      </c>
      <c r="H57" t="s">
        <v>210</v>
      </c>
      <c r="I57" t="s">
        <v>210</v>
      </c>
      <c r="J57" t="s">
        <v>210</v>
      </c>
      <c r="K57" t="s">
        <v>210</v>
      </c>
      <c r="L57">
        <v>0.0099971612245433501</v>
      </c>
      <c r="M57">
        <v>0.0099971612245433501</v>
      </c>
    </row>
    <row r="58" spans="1:13" ht="15">
      <c r="A58" t="s">
        <v>67</v>
      </c>
      <c r="B58" t="s">
        <v>151</v>
      </c>
      <c r="C58" t="s">
        <v>233</v>
      </c>
      <c r="D58" t="s">
        <v>141</v>
      </c>
      <c r="E58" t="s">
        <v>210</v>
      </c>
      <c r="F58" t="s">
        <v>211</v>
      </c>
      <c r="G58">
        <v>2018</v>
      </c>
      <c r="H58" t="s">
        <v>210</v>
      </c>
      <c r="I58" t="s">
        <v>210</v>
      </c>
      <c r="J58" t="s">
        <v>210</v>
      </c>
      <c r="K58" t="s">
        <v>210</v>
      </c>
      <c r="L58">
        <v>0.00092710745268607096</v>
      </c>
      <c r="M58">
        <v>0.00092710745268607096</v>
      </c>
    </row>
    <row r="59" spans="1:13" ht="15">
      <c r="A59" t="s">
        <v>67</v>
      </c>
      <c r="B59" t="s">
        <v>151</v>
      </c>
      <c r="C59" t="s">
        <v>233</v>
      </c>
      <c r="D59" t="s">
        <v>144</v>
      </c>
      <c r="E59" t="s">
        <v>210</v>
      </c>
      <c r="F59" t="s">
        <v>211</v>
      </c>
      <c r="G59">
        <v>2018</v>
      </c>
      <c r="H59" t="s">
        <v>210</v>
      </c>
      <c r="I59" t="s">
        <v>210</v>
      </c>
      <c r="J59" t="s">
        <v>210</v>
      </c>
      <c r="K59" t="s">
        <v>210</v>
      </c>
      <c r="L59">
        <v>0.000368293949598222</v>
      </c>
      <c r="M59">
        <v>0.000368293949598222</v>
      </c>
    </row>
    <row r="60" spans="1:13" ht="15">
      <c r="A60" t="s">
        <v>67</v>
      </c>
      <c r="B60" t="s">
        <v>151</v>
      </c>
      <c r="C60" t="s">
        <v>233</v>
      </c>
      <c r="D60" t="s">
        <v>234</v>
      </c>
      <c r="E60" t="s">
        <v>210</v>
      </c>
      <c r="F60" t="s">
        <v>211</v>
      </c>
      <c r="G60">
        <v>2018</v>
      </c>
      <c r="H60" t="s">
        <v>210</v>
      </c>
      <c r="I60" t="s">
        <v>210</v>
      </c>
      <c r="J60" t="s">
        <v>210</v>
      </c>
      <c r="K60" t="s">
        <v>210</v>
      </c>
      <c r="L60">
        <v>0.028990562100458198</v>
      </c>
      <c r="M60">
        <v>0.028990562100458198</v>
      </c>
    </row>
    <row r="61" spans="1:13" ht="15">
      <c r="A61" t="s">
        <v>67</v>
      </c>
      <c r="B61" t="s">
        <v>151</v>
      </c>
      <c r="C61" t="s">
        <v>233</v>
      </c>
      <c r="D61" t="s">
        <v>138</v>
      </c>
      <c r="E61" t="s">
        <v>210</v>
      </c>
      <c r="F61" t="s">
        <v>211</v>
      </c>
      <c r="G61">
        <v>2018</v>
      </c>
      <c r="H61" t="s">
        <v>210</v>
      </c>
      <c r="I61" t="s">
        <v>210</v>
      </c>
      <c r="J61" t="s">
        <v>210</v>
      </c>
      <c r="K61" t="s">
        <v>210</v>
      </c>
      <c r="L61">
        <v>0.0106097605259381</v>
      </c>
      <c r="M61">
        <v>0.0106097605259381</v>
      </c>
    </row>
    <row r="62" spans="1:13" ht="15">
      <c r="A62" t="s">
        <v>67</v>
      </c>
      <c r="B62" t="s">
        <v>151</v>
      </c>
      <c r="C62" t="s">
        <v>235</v>
      </c>
      <c r="D62" t="s">
        <v>141</v>
      </c>
      <c r="E62" t="s">
        <v>210</v>
      </c>
      <c r="F62" t="s">
        <v>211</v>
      </c>
      <c r="G62">
        <v>2018</v>
      </c>
      <c r="H62" t="s">
        <v>210</v>
      </c>
      <c r="I62" t="s">
        <v>210</v>
      </c>
      <c r="J62" t="s">
        <v>210</v>
      </c>
      <c r="K62" t="s">
        <v>210</v>
      </c>
      <c r="L62">
        <v>0.00089871332337915601</v>
      </c>
      <c r="M62">
        <v>0.00089871332337915601</v>
      </c>
    </row>
    <row r="63" spans="1:13" ht="15">
      <c r="A63" t="s">
        <v>67</v>
      </c>
      <c r="B63" t="s">
        <v>151</v>
      </c>
      <c r="C63" t="s">
        <v>235</v>
      </c>
      <c r="D63" t="s">
        <v>144</v>
      </c>
      <c r="E63" t="s">
        <v>210</v>
      </c>
      <c r="F63" t="s">
        <v>211</v>
      </c>
      <c r="G63">
        <v>2018</v>
      </c>
      <c r="H63" t="s">
        <v>210</v>
      </c>
      <c r="I63" t="s">
        <v>210</v>
      </c>
      <c r="J63" t="s">
        <v>210</v>
      </c>
      <c r="K63" t="s">
        <v>210</v>
      </c>
      <c r="L63">
        <v>0.00033519631170326802</v>
      </c>
      <c r="M63">
        <v>0.00033519631170326802</v>
      </c>
    </row>
    <row r="64" spans="1:13" ht="15">
      <c r="A64" t="s">
        <v>67</v>
      </c>
      <c r="B64" t="s">
        <v>151</v>
      </c>
      <c r="C64" t="s">
        <v>235</v>
      </c>
      <c r="D64" t="s">
        <v>236</v>
      </c>
      <c r="E64" t="s">
        <v>210</v>
      </c>
      <c r="F64" t="s">
        <v>211</v>
      </c>
      <c r="G64">
        <v>2018</v>
      </c>
      <c r="H64" t="s">
        <v>210</v>
      </c>
      <c r="I64" t="s">
        <v>210</v>
      </c>
      <c r="J64" t="s">
        <v>210</v>
      </c>
      <c r="K64" t="s">
        <v>210</v>
      </c>
      <c r="L64">
        <v>0.039529383884159101</v>
      </c>
      <c r="M64">
        <v>0.039529383884159101</v>
      </c>
    </row>
    <row r="65" spans="1:13" ht="15">
      <c r="A65" t="s">
        <v>67</v>
      </c>
      <c r="B65" t="s">
        <v>151</v>
      </c>
      <c r="C65" t="s">
        <v>235</v>
      </c>
      <c r="D65" t="s">
        <v>138</v>
      </c>
      <c r="E65" t="s">
        <v>210</v>
      </c>
      <c r="F65" t="s">
        <v>211</v>
      </c>
      <c r="G65">
        <v>2018</v>
      </c>
      <c r="H65" t="s">
        <v>210</v>
      </c>
      <c r="I65" t="s">
        <v>210</v>
      </c>
      <c r="J65" t="s">
        <v>210</v>
      </c>
      <c r="K65" t="s">
        <v>210</v>
      </c>
      <c r="L65">
        <v>0.011065162721274399</v>
      </c>
      <c r="M65">
        <v>0.011065162721274399</v>
      </c>
    </row>
    <row r="66" spans="1:13" ht="15">
      <c r="A66" t="s">
        <v>67</v>
      </c>
      <c r="B66" t="s">
        <v>151</v>
      </c>
      <c r="C66" t="s">
        <v>237</v>
      </c>
      <c r="D66" t="s">
        <v>141</v>
      </c>
      <c r="E66" t="s">
        <v>210</v>
      </c>
      <c r="F66" t="s">
        <v>211</v>
      </c>
      <c r="G66">
        <v>2018</v>
      </c>
      <c r="H66" t="s">
        <v>210</v>
      </c>
      <c r="I66" t="s">
        <v>210</v>
      </c>
      <c r="J66" t="s">
        <v>210</v>
      </c>
      <c r="K66" t="s">
        <v>210</v>
      </c>
      <c r="L66">
        <v>0.00089917332740457596</v>
      </c>
      <c r="M66">
        <v>0.00089917332740457596</v>
      </c>
    </row>
    <row r="67" spans="1:13" ht="15">
      <c r="A67" t="s">
        <v>67</v>
      </c>
      <c r="B67" t="s">
        <v>151</v>
      </c>
      <c r="C67" t="s">
        <v>237</v>
      </c>
      <c r="D67" t="s">
        <v>144</v>
      </c>
      <c r="E67" t="s">
        <v>210</v>
      </c>
      <c r="F67" t="s">
        <v>211</v>
      </c>
      <c r="G67">
        <v>2018</v>
      </c>
      <c r="H67" t="s">
        <v>210</v>
      </c>
      <c r="I67" t="s">
        <v>210</v>
      </c>
      <c r="J67" t="s">
        <v>210</v>
      </c>
      <c r="K67" t="s">
        <v>210</v>
      </c>
      <c r="L67">
        <v>0.00033086537242422499</v>
      </c>
      <c r="M67">
        <v>0.00033086537242422499</v>
      </c>
    </row>
    <row r="68" spans="1:13" ht="15">
      <c r="A68" t="s">
        <v>67</v>
      </c>
      <c r="B68" t="s">
        <v>151</v>
      </c>
      <c r="C68" t="s">
        <v>237</v>
      </c>
      <c r="D68" t="s">
        <v>238</v>
      </c>
      <c r="E68" t="s">
        <v>210</v>
      </c>
      <c r="F68" t="s">
        <v>211</v>
      </c>
      <c r="G68">
        <v>2018</v>
      </c>
      <c r="H68" t="s">
        <v>210</v>
      </c>
      <c r="I68" t="s">
        <v>210</v>
      </c>
      <c r="J68" t="s">
        <v>210</v>
      </c>
      <c r="K68" t="s">
        <v>210</v>
      </c>
      <c r="L68">
        <v>0.050493263338740102</v>
      </c>
      <c r="M68">
        <v>0.050493263338740102</v>
      </c>
    </row>
    <row r="69" spans="1:13" ht="15">
      <c r="A69" t="s">
        <v>67</v>
      </c>
      <c r="B69" t="s">
        <v>151</v>
      </c>
      <c r="C69" t="s">
        <v>237</v>
      </c>
      <c r="D69" t="s">
        <v>138</v>
      </c>
      <c r="E69" t="s">
        <v>210</v>
      </c>
      <c r="F69" t="s">
        <v>211</v>
      </c>
      <c r="G69">
        <v>2018</v>
      </c>
      <c r="H69" t="s">
        <v>210</v>
      </c>
      <c r="I69" t="s">
        <v>210</v>
      </c>
      <c r="J69" t="s">
        <v>210</v>
      </c>
      <c r="K69" t="s">
        <v>210</v>
      </c>
      <c r="L69">
        <v>0.0114874610881934</v>
      </c>
      <c r="M69">
        <v>0.0114874610881934</v>
      </c>
    </row>
    <row r="70" spans="1:13" ht="15">
      <c r="A70" t="s">
        <v>67</v>
      </c>
      <c r="B70" t="s">
        <v>151</v>
      </c>
      <c r="C70" t="s">
        <v>239</v>
      </c>
      <c r="D70" t="s">
        <v>141</v>
      </c>
      <c r="E70" t="s">
        <v>210</v>
      </c>
      <c r="F70" t="s">
        <v>211</v>
      </c>
      <c r="G70">
        <v>2018</v>
      </c>
      <c r="H70" t="s">
        <v>210</v>
      </c>
      <c r="I70" t="s">
        <v>210</v>
      </c>
      <c r="J70" t="s">
        <v>210</v>
      </c>
      <c r="K70" t="s">
        <v>210</v>
      </c>
      <c r="L70">
        <v>0.00087038647541608097</v>
      </c>
      <c r="M70">
        <v>0.00087038647541608097</v>
      </c>
    </row>
    <row r="71" spans="1:13" ht="15">
      <c r="A71" t="s">
        <v>67</v>
      </c>
      <c r="B71" t="s">
        <v>151</v>
      </c>
      <c r="C71" t="s">
        <v>239</v>
      </c>
      <c r="D71" t="s">
        <v>144</v>
      </c>
      <c r="E71" t="s">
        <v>210</v>
      </c>
      <c r="F71" t="s">
        <v>211</v>
      </c>
      <c r="G71">
        <v>2018</v>
      </c>
      <c r="H71" t="s">
        <v>210</v>
      </c>
      <c r="I71" t="s">
        <v>210</v>
      </c>
      <c r="J71" t="s">
        <v>210</v>
      </c>
      <c r="K71" t="s">
        <v>210</v>
      </c>
      <c r="L71">
        <v>0.00023534708508606299</v>
      </c>
      <c r="M71">
        <v>0.00023534708508606299</v>
      </c>
    </row>
    <row r="72" spans="1:13" ht="15">
      <c r="A72" t="s">
        <v>67</v>
      </c>
      <c r="B72" t="s">
        <v>151</v>
      </c>
      <c r="C72" t="s">
        <v>239</v>
      </c>
      <c r="D72" t="s">
        <v>240</v>
      </c>
      <c r="E72" t="s">
        <v>210</v>
      </c>
      <c r="F72" t="s">
        <v>211</v>
      </c>
      <c r="G72">
        <v>2018</v>
      </c>
      <c r="H72" t="s">
        <v>210</v>
      </c>
      <c r="I72" t="s">
        <v>210</v>
      </c>
      <c r="J72" t="s">
        <v>210</v>
      </c>
      <c r="K72" t="s">
        <v>210</v>
      </c>
      <c r="L72">
        <v>0.052195880415110002</v>
      </c>
      <c r="M72">
        <v>0.052195880415110002</v>
      </c>
    </row>
    <row r="73" spans="1:13" ht="15">
      <c r="A73" t="s">
        <v>67</v>
      </c>
      <c r="B73" t="s">
        <v>151</v>
      </c>
      <c r="C73" t="s">
        <v>239</v>
      </c>
      <c r="D73" t="s">
        <v>138</v>
      </c>
      <c r="E73" t="s">
        <v>210</v>
      </c>
      <c r="F73" t="s">
        <v>211</v>
      </c>
      <c r="G73">
        <v>2018</v>
      </c>
      <c r="H73" t="s">
        <v>210</v>
      </c>
      <c r="I73" t="s">
        <v>210</v>
      </c>
      <c r="J73" t="s">
        <v>210</v>
      </c>
      <c r="K73" t="s">
        <v>210</v>
      </c>
      <c r="L73">
        <v>0.0104359658232331</v>
      </c>
      <c r="M73">
        <v>0.0104359658232331</v>
      </c>
    </row>
    <row r="74" spans="1:13" ht="15">
      <c r="A74" t="s">
        <v>67</v>
      </c>
      <c r="B74" t="s">
        <v>151</v>
      </c>
      <c r="C74" t="s">
        <v>241</v>
      </c>
      <c r="D74" t="s">
        <v>142</v>
      </c>
      <c r="E74" t="s">
        <v>210</v>
      </c>
      <c r="F74" t="s">
        <v>211</v>
      </c>
      <c r="G74">
        <v>2018</v>
      </c>
      <c r="H74" t="s">
        <v>210</v>
      </c>
      <c r="I74" t="s">
        <v>210</v>
      </c>
      <c r="J74" t="s">
        <v>210</v>
      </c>
      <c r="K74" t="s">
        <v>210</v>
      </c>
      <c r="L74">
        <v>0.00084666683429302902</v>
      </c>
      <c r="M74">
        <v>0.00084666683429302902</v>
      </c>
    </row>
    <row r="75" spans="1:13" ht="15">
      <c r="A75" t="s">
        <v>67</v>
      </c>
      <c r="B75" t="s">
        <v>151</v>
      </c>
      <c r="C75" t="s">
        <v>241</v>
      </c>
      <c r="D75" t="s">
        <v>145</v>
      </c>
      <c r="E75" t="s">
        <v>210</v>
      </c>
      <c r="F75" t="s">
        <v>211</v>
      </c>
      <c r="G75">
        <v>2018</v>
      </c>
      <c r="H75" t="s">
        <v>210</v>
      </c>
      <c r="I75" t="s">
        <v>210</v>
      </c>
      <c r="J75" t="s">
        <v>210</v>
      </c>
      <c r="K75" t="s">
        <v>210</v>
      </c>
      <c r="L75">
        <v>0.00066867996369597798</v>
      </c>
      <c r="M75">
        <v>0.00066867996369597798</v>
      </c>
    </row>
    <row r="76" spans="1:13" ht="15">
      <c r="A76" t="s">
        <v>67</v>
      </c>
      <c r="B76" t="s">
        <v>151</v>
      </c>
      <c r="C76" t="s">
        <v>241</v>
      </c>
      <c r="D76" t="s">
        <v>242</v>
      </c>
      <c r="E76" t="s">
        <v>210</v>
      </c>
      <c r="F76" t="s">
        <v>211</v>
      </c>
      <c r="G76">
        <v>2018</v>
      </c>
      <c r="H76" t="s">
        <v>210</v>
      </c>
      <c r="I76" t="s">
        <v>210</v>
      </c>
      <c r="J76" t="s">
        <v>210</v>
      </c>
      <c r="K76" t="s">
        <v>210</v>
      </c>
      <c r="L76">
        <v>0.0024058665241777598</v>
      </c>
      <c r="M76">
        <v>0.0024058665241777598</v>
      </c>
    </row>
    <row r="77" spans="1:13" ht="15">
      <c r="A77" t="s">
        <v>67</v>
      </c>
      <c r="B77" t="s">
        <v>151</v>
      </c>
      <c r="C77" t="s">
        <v>241</v>
      </c>
      <c r="D77" t="s">
        <v>139</v>
      </c>
      <c r="E77" t="s">
        <v>210</v>
      </c>
      <c r="F77" t="s">
        <v>211</v>
      </c>
      <c r="G77">
        <v>2018</v>
      </c>
      <c r="H77" t="s">
        <v>210</v>
      </c>
      <c r="I77" t="s">
        <v>210</v>
      </c>
      <c r="J77" t="s">
        <v>210</v>
      </c>
      <c r="K77" t="s">
        <v>210</v>
      </c>
      <c r="L77">
        <v>0.00426054151520409</v>
      </c>
      <c r="M77">
        <v>0.00426054151520409</v>
      </c>
    </row>
    <row r="78" spans="1:13" ht="15">
      <c r="A78" t="s">
        <v>67</v>
      </c>
      <c r="B78" t="s">
        <v>151</v>
      </c>
      <c r="C78" t="s">
        <v>243</v>
      </c>
      <c r="D78" t="s">
        <v>142</v>
      </c>
      <c r="E78" t="s">
        <v>210</v>
      </c>
      <c r="F78" t="s">
        <v>211</v>
      </c>
      <c r="G78">
        <v>2018</v>
      </c>
      <c r="H78" t="s">
        <v>210</v>
      </c>
      <c r="I78" t="s">
        <v>210</v>
      </c>
      <c r="J78" t="s">
        <v>210</v>
      </c>
      <c r="K78" t="s">
        <v>210</v>
      </c>
      <c r="L78">
        <v>0.0017683153930356801</v>
      </c>
      <c r="M78">
        <v>0.0017683153930356801</v>
      </c>
    </row>
    <row r="79" spans="1:13" ht="15">
      <c r="A79" t="s">
        <v>67</v>
      </c>
      <c r="B79" t="s">
        <v>151</v>
      </c>
      <c r="C79" t="s">
        <v>243</v>
      </c>
      <c r="D79" t="s">
        <v>145</v>
      </c>
      <c r="E79" t="s">
        <v>210</v>
      </c>
      <c r="F79" t="s">
        <v>211</v>
      </c>
      <c r="G79">
        <v>2018</v>
      </c>
      <c r="H79" t="s">
        <v>210</v>
      </c>
      <c r="I79" t="s">
        <v>210</v>
      </c>
      <c r="J79" t="s">
        <v>210</v>
      </c>
      <c r="K79" t="s">
        <v>210</v>
      </c>
      <c r="L79">
        <v>0.000750537163695459</v>
      </c>
      <c r="M79">
        <v>0.000750537163695459</v>
      </c>
    </row>
    <row r="80" spans="1:13" ht="15">
      <c r="A80" t="s">
        <v>67</v>
      </c>
      <c r="B80" t="s">
        <v>151</v>
      </c>
      <c r="C80" t="s">
        <v>243</v>
      </c>
      <c r="D80" t="s">
        <v>242</v>
      </c>
      <c r="E80" t="s">
        <v>210</v>
      </c>
      <c r="F80" t="s">
        <v>211</v>
      </c>
      <c r="G80">
        <v>2018</v>
      </c>
      <c r="H80" t="s">
        <v>210</v>
      </c>
      <c r="I80" t="s">
        <v>210</v>
      </c>
      <c r="J80" t="s">
        <v>210</v>
      </c>
      <c r="K80" t="s">
        <v>210</v>
      </c>
      <c r="L80">
        <v>0.020717034161966401</v>
      </c>
      <c r="M80">
        <v>0.020717034161966401</v>
      </c>
    </row>
    <row r="81" spans="1:13" ht="15">
      <c r="A81" t="s">
        <v>67</v>
      </c>
      <c r="B81" t="s">
        <v>151</v>
      </c>
      <c r="C81" t="s">
        <v>243</v>
      </c>
      <c r="D81" t="s">
        <v>139</v>
      </c>
      <c r="E81" t="s">
        <v>210</v>
      </c>
      <c r="F81" t="s">
        <v>211</v>
      </c>
      <c r="G81">
        <v>2018</v>
      </c>
      <c r="H81" t="s">
        <v>210</v>
      </c>
      <c r="I81" t="s">
        <v>210</v>
      </c>
      <c r="J81" t="s">
        <v>210</v>
      </c>
      <c r="K81" t="s">
        <v>210</v>
      </c>
      <c r="L81">
        <v>0.0088922350864476096</v>
      </c>
      <c r="M81">
        <v>0.0088922350864476096</v>
      </c>
    </row>
    <row r="82" spans="1:13" ht="15">
      <c r="A82" t="s">
        <v>67</v>
      </c>
      <c r="B82" t="s">
        <v>151</v>
      </c>
      <c r="C82" t="s">
        <v>244</v>
      </c>
      <c r="D82" t="s">
        <v>142</v>
      </c>
      <c r="E82" t="s">
        <v>210</v>
      </c>
      <c r="F82" t="s">
        <v>211</v>
      </c>
      <c r="G82">
        <v>2018</v>
      </c>
      <c r="H82" t="s">
        <v>210</v>
      </c>
      <c r="I82" t="s">
        <v>210</v>
      </c>
      <c r="J82" t="s">
        <v>210</v>
      </c>
      <c r="K82" t="s">
        <v>210</v>
      </c>
      <c r="L82">
        <v>0.0020047682124008999</v>
      </c>
      <c r="M82">
        <v>0.0020047682124008999</v>
      </c>
    </row>
    <row r="83" spans="1:13" ht="15">
      <c r="A83" t="s">
        <v>67</v>
      </c>
      <c r="B83" t="s">
        <v>151</v>
      </c>
      <c r="C83" t="s">
        <v>244</v>
      </c>
      <c r="D83" t="s">
        <v>145</v>
      </c>
      <c r="E83" t="s">
        <v>210</v>
      </c>
      <c r="F83" t="s">
        <v>211</v>
      </c>
      <c r="G83">
        <v>2018</v>
      </c>
      <c r="H83" t="s">
        <v>210</v>
      </c>
      <c r="I83" t="s">
        <v>210</v>
      </c>
      <c r="J83" t="s">
        <v>210</v>
      </c>
      <c r="K83" t="s">
        <v>210</v>
      </c>
      <c r="L83">
        <v>0.00059115484277808797</v>
      </c>
      <c r="M83">
        <v>0.00059115484277808797</v>
      </c>
    </row>
    <row r="84" spans="1:13" ht="15">
      <c r="A84" t="s">
        <v>67</v>
      </c>
      <c r="B84" t="s">
        <v>151</v>
      </c>
      <c r="C84" t="s">
        <v>244</v>
      </c>
      <c r="D84" t="s">
        <v>242</v>
      </c>
      <c r="E84" t="s">
        <v>210</v>
      </c>
      <c r="F84" t="s">
        <v>211</v>
      </c>
      <c r="G84">
        <v>2018</v>
      </c>
      <c r="H84" t="s">
        <v>210</v>
      </c>
      <c r="I84" t="s">
        <v>210</v>
      </c>
      <c r="J84" t="s">
        <v>210</v>
      </c>
      <c r="K84" t="s">
        <v>210</v>
      </c>
      <c r="L84">
        <v>0.033083652738783199</v>
      </c>
      <c r="M84">
        <v>0.033083652738783199</v>
      </c>
    </row>
    <row r="85" spans="1:13" ht="15">
      <c r="A85" t="s">
        <v>67</v>
      </c>
      <c r="B85" t="s">
        <v>151</v>
      </c>
      <c r="C85" t="s">
        <v>244</v>
      </c>
      <c r="D85" t="s">
        <v>139</v>
      </c>
      <c r="E85" t="s">
        <v>210</v>
      </c>
      <c r="F85" t="s">
        <v>211</v>
      </c>
      <c r="G85">
        <v>2018</v>
      </c>
      <c r="H85" t="s">
        <v>210</v>
      </c>
      <c r="I85" t="s">
        <v>210</v>
      </c>
      <c r="J85" t="s">
        <v>210</v>
      </c>
      <c r="K85" t="s">
        <v>210</v>
      </c>
      <c r="L85">
        <v>0.0117236462517728</v>
      </c>
      <c r="M85">
        <v>0.0117236462517728</v>
      </c>
    </row>
    <row r="86" spans="1:13" ht="15">
      <c r="A86" t="s">
        <v>67</v>
      </c>
      <c r="B86" t="s">
        <v>151</v>
      </c>
      <c r="C86" t="s">
        <v>245</v>
      </c>
      <c r="D86" t="s">
        <v>142</v>
      </c>
      <c r="E86" t="s">
        <v>210</v>
      </c>
      <c r="F86" t="s">
        <v>211</v>
      </c>
      <c r="G86">
        <v>2018</v>
      </c>
      <c r="H86" t="s">
        <v>210</v>
      </c>
      <c r="I86" t="s">
        <v>210</v>
      </c>
      <c r="J86" t="s">
        <v>210</v>
      </c>
      <c r="K86" t="s">
        <v>210</v>
      </c>
      <c r="L86">
        <v>0.00196179164560536</v>
      </c>
      <c r="M86">
        <v>0.00196179164560536</v>
      </c>
    </row>
    <row r="87" spans="1:13" ht="15">
      <c r="A87" t="s">
        <v>67</v>
      </c>
      <c r="B87" t="s">
        <v>151</v>
      </c>
      <c r="C87" t="s">
        <v>245</v>
      </c>
      <c r="D87" t="s">
        <v>145</v>
      </c>
      <c r="E87" t="s">
        <v>210</v>
      </c>
      <c r="F87" t="s">
        <v>211</v>
      </c>
      <c r="G87">
        <v>2018</v>
      </c>
      <c r="H87" t="s">
        <v>210</v>
      </c>
      <c r="I87" t="s">
        <v>210</v>
      </c>
      <c r="J87" t="s">
        <v>210</v>
      </c>
      <c r="K87" t="s">
        <v>210</v>
      </c>
      <c r="L87">
        <v>0.00051352659953481301</v>
      </c>
      <c r="M87">
        <v>0.00051352659953481301</v>
      </c>
    </row>
    <row r="88" spans="1:13" ht="15">
      <c r="A88" t="s">
        <v>67</v>
      </c>
      <c r="B88" t="s">
        <v>151</v>
      </c>
      <c r="C88" t="s">
        <v>245</v>
      </c>
      <c r="D88" t="s">
        <v>242</v>
      </c>
      <c r="E88" t="s">
        <v>210</v>
      </c>
      <c r="F88" t="s">
        <v>211</v>
      </c>
      <c r="G88">
        <v>2018</v>
      </c>
      <c r="H88" t="s">
        <v>210</v>
      </c>
      <c r="I88" t="s">
        <v>210</v>
      </c>
      <c r="J88" t="s">
        <v>210</v>
      </c>
      <c r="K88" t="s">
        <v>210</v>
      </c>
      <c r="L88">
        <v>0.038234291164306301</v>
      </c>
      <c r="M88">
        <v>0.038234291164306301</v>
      </c>
    </row>
    <row r="89" spans="1:13" ht="15">
      <c r="A89" t="s">
        <v>67</v>
      </c>
      <c r="B89" t="s">
        <v>151</v>
      </c>
      <c r="C89" t="s">
        <v>245</v>
      </c>
      <c r="D89" t="s">
        <v>139</v>
      </c>
      <c r="E89" t="s">
        <v>210</v>
      </c>
      <c r="F89" t="s">
        <v>211</v>
      </c>
      <c r="G89">
        <v>2018</v>
      </c>
      <c r="H89" t="s">
        <v>210</v>
      </c>
      <c r="I89" t="s">
        <v>210</v>
      </c>
      <c r="J89" t="s">
        <v>210</v>
      </c>
      <c r="K89" t="s">
        <v>210</v>
      </c>
      <c r="L89">
        <v>0.013255956176612699</v>
      </c>
      <c r="M89">
        <v>0.013255956176612699</v>
      </c>
    </row>
    <row r="90" spans="1:13" ht="15">
      <c r="A90" t="s">
        <v>67</v>
      </c>
      <c r="B90" t="s">
        <v>151</v>
      </c>
      <c r="C90" t="s">
        <v>246</v>
      </c>
      <c r="D90" t="s">
        <v>142</v>
      </c>
      <c r="E90" t="s">
        <v>210</v>
      </c>
      <c r="F90" t="s">
        <v>211</v>
      </c>
      <c r="G90">
        <v>2018</v>
      </c>
      <c r="H90" t="s">
        <v>210</v>
      </c>
      <c r="I90" t="s">
        <v>210</v>
      </c>
      <c r="J90" t="s">
        <v>210</v>
      </c>
      <c r="K90" t="s">
        <v>210</v>
      </c>
      <c r="L90">
        <v>0.0017035279711745399</v>
      </c>
      <c r="M90">
        <v>0.0017035279711745399</v>
      </c>
    </row>
    <row r="91" spans="1:13" ht="15">
      <c r="A91" t="s">
        <v>67</v>
      </c>
      <c r="B91" t="s">
        <v>151</v>
      </c>
      <c r="C91" t="s">
        <v>246</v>
      </c>
      <c r="D91" t="s">
        <v>145</v>
      </c>
      <c r="E91" t="s">
        <v>210</v>
      </c>
      <c r="F91" t="s">
        <v>211</v>
      </c>
      <c r="G91">
        <v>2018</v>
      </c>
      <c r="H91" t="s">
        <v>210</v>
      </c>
      <c r="I91" t="s">
        <v>210</v>
      </c>
      <c r="J91" t="s">
        <v>210</v>
      </c>
      <c r="K91" t="s">
        <v>210</v>
      </c>
      <c r="L91">
        <v>0.00047564031426238499</v>
      </c>
      <c r="M91">
        <v>0.00047564031426238499</v>
      </c>
    </row>
    <row r="92" spans="1:13" ht="15">
      <c r="A92" t="s">
        <v>67</v>
      </c>
      <c r="B92" t="s">
        <v>151</v>
      </c>
      <c r="C92" t="s">
        <v>246</v>
      </c>
      <c r="D92" t="s">
        <v>247</v>
      </c>
      <c r="E92" t="s">
        <v>210</v>
      </c>
      <c r="F92" t="s">
        <v>211</v>
      </c>
      <c r="G92">
        <v>2018</v>
      </c>
      <c r="H92" t="s">
        <v>210</v>
      </c>
      <c r="I92" t="s">
        <v>210</v>
      </c>
      <c r="J92" t="s">
        <v>210</v>
      </c>
      <c r="K92" t="s">
        <v>210</v>
      </c>
      <c r="L92">
        <v>0.043300799885821702</v>
      </c>
      <c r="M92">
        <v>0.043300799885821702</v>
      </c>
    </row>
    <row r="93" spans="1:13" ht="15">
      <c r="A93" t="s">
        <v>67</v>
      </c>
      <c r="B93" t="s">
        <v>151</v>
      </c>
      <c r="C93" t="s">
        <v>246</v>
      </c>
      <c r="D93" t="s">
        <v>139</v>
      </c>
      <c r="E93" t="s">
        <v>210</v>
      </c>
      <c r="F93" t="s">
        <v>211</v>
      </c>
      <c r="G93">
        <v>2018</v>
      </c>
      <c r="H93" t="s">
        <v>210</v>
      </c>
      <c r="I93" t="s">
        <v>210</v>
      </c>
      <c r="J93" t="s">
        <v>210</v>
      </c>
      <c r="K93" t="s">
        <v>210</v>
      </c>
      <c r="L93">
        <v>0.014139525083172099</v>
      </c>
      <c r="M93">
        <v>0.014139525083172099</v>
      </c>
    </row>
    <row r="94" spans="1:13" ht="15">
      <c r="A94" t="s">
        <v>67</v>
      </c>
      <c r="B94" t="s">
        <v>151</v>
      </c>
      <c r="C94" t="s">
        <v>248</v>
      </c>
      <c r="D94" t="s">
        <v>142</v>
      </c>
      <c r="E94" t="s">
        <v>210</v>
      </c>
      <c r="F94" t="s">
        <v>211</v>
      </c>
      <c r="G94">
        <v>2018</v>
      </c>
      <c r="H94" t="s">
        <v>210</v>
      </c>
      <c r="I94" t="s">
        <v>210</v>
      </c>
      <c r="J94" t="s">
        <v>210</v>
      </c>
      <c r="K94" t="s">
        <v>210</v>
      </c>
      <c r="L94">
        <v>0.00139319820124895</v>
      </c>
      <c r="M94">
        <v>0.00139319820124895</v>
      </c>
    </row>
    <row r="95" spans="1:13" ht="15">
      <c r="A95" t="s">
        <v>67</v>
      </c>
      <c r="B95" t="s">
        <v>151</v>
      </c>
      <c r="C95" t="s">
        <v>248</v>
      </c>
      <c r="D95" t="s">
        <v>145</v>
      </c>
      <c r="E95" t="s">
        <v>210</v>
      </c>
      <c r="F95" t="s">
        <v>211</v>
      </c>
      <c r="G95">
        <v>2018</v>
      </c>
      <c r="H95" t="s">
        <v>210</v>
      </c>
      <c r="I95" t="s">
        <v>210</v>
      </c>
      <c r="J95" t="s">
        <v>210</v>
      </c>
      <c r="K95" t="s">
        <v>210</v>
      </c>
      <c r="L95">
        <v>0.00046204216750972199</v>
      </c>
      <c r="M95">
        <v>0.00046204216750972199</v>
      </c>
    </row>
    <row r="96" spans="1:13" ht="15">
      <c r="A96" t="s">
        <v>67</v>
      </c>
      <c r="B96" t="s">
        <v>151</v>
      </c>
      <c r="C96" t="s">
        <v>248</v>
      </c>
      <c r="D96" t="s">
        <v>249</v>
      </c>
      <c r="E96" t="s">
        <v>210</v>
      </c>
      <c r="F96" t="s">
        <v>211</v>
      </c>
      <c r="G96">
        <v>2018</v>
      </c>
      <c r="H96" t="s">
        <v>210</v>
      </c>
      <c r="I96" t="s">
        <v>210</v>
      </c>
      <c r="J96" t="s">
        <v>210</v>
      </c>
      <c r="K96" t="s">
        <v>210</v>
      </c>
      <c r="L96">
        <v>0.0489015983401654</v>
      </c>
      <c r="M96">
        <v>0.0489015983401654</v>
      </c>
    </row>
    <row r="97" spans="1:13" ht="15">
      <c r="A97" t="s">
        <v>67</v>
      </c>
      <c r="B97" t="s">
        <v>151</v>
      </c>
      <c r="C97" t="s">
        <v>248</v>
      </c>
      <c r="D97" t="s">
        <v>139</v>
      </c>
      <c r="E97" t="s">
        <v>210</v>
      </c>
      <c r="F97" t="s">
        <v>211</v>
      </c>
      <c r="G97">
        <v>2018</v>
      </c>
      <c r="H97" t="s">
        <v>210</v>
      </c>
      <c r="I97" t="s">
        <v>210</v>
      </c>
      <c r="J97" t="s">
        <v>210</v>
      </c>
      <c r="K97" t="s">
        <v>210</v>
      </c>
      <c r="L97">
        <v>0.0143038292745449</v>
      </c>
      <c r="M97">
        <v>0.0143038292745449</v>
      </c>
    </row>
    <row r="98" spans="1:13" ht="15">
      <c r="A98" t="s">
        <v>67</v>
      </c>
      <c r="B98" t="s">
        <v>151</v>
      </c>
      <c r="C98" t="s">
        <v>250</v>
      </c>
      <c r="D98" t="s">
        <v>142</v>
      </c>
      <c r="E98" t="s">
        <v>210</v>
      </c>
      <c r="F98" t="s">
        <v>211</v>
      </c>
      <c r="G98">
        <v>2018</v>
      </c>
      <c r="H98" t="s">
        <v>210</v>
      </c>
      <c r="I98" t="s">
        <v>210</v>
      </c>
      <c r="J98" t="s">
        <v>210</v>
      </c>
      <c r="K98" t="s">
        <v>210</v>
      </c>
      <c r="L98">
        <v>0.0012866536750593201</v>
      </c>
      <c r="M98">
        <v>0.0012866536750593201</v>
      </c>
    </row>
    <row r="99" spans="1:13" ht="15">
      <c r="A99" t="s">
        <v>67</v>
      </c>
      <c r="B99" t="s">
        <v>151</v>
      </c>
      <c r="C99" t="s">
        <v>250</v>
      </c>
      <c r="D99" t="s">
        <v>145</v>
      </c>
      <c r="E99" t="s">
        <v>210</v>
      </c>
      <c r="F99" t="s">
        <v>211</v>
      </c>
      <c r="G99">
        <v>2018</v>
      </c>
      <c r="H99" t="s">
        <v>210</v>
      </c>
      <c r="I99" t="s">
        <v>210</v>
      </c>
      <c r="J99" t="s">
        <v>210</v>
      </c>
      <c r="K99" t="s">
        <v>210</v>
      </c>
      <c r="L99">
        <v>0.00043173964300815897</v>
      </c>
      <c r="M99">
        <v>0.00043173964300815897</v>
      </c>
    </row>
    <row r="100" spans="1:13" ht="15">
      <c r="A100" t="s">
        <v>67</v>
      </c>
      <c r="B100" t="s">
        <v>151</v>
      </c>
      <c r="C100" t="s">
        <v>250</v>
      </c>
      <c r="D100" t="s">
        <v>251</v>
      </c>
      <c r="E100" t="s">
        <v>210</v>
      </c>
      <c r="F100" t="s">
        <v>211</v>
      </c>
      <c r="G100">
        <v>2018</v>
      </c>
      <c r="H100" t="s">
        <v>210</v>
      </c>
      <c r="I100" t="s">
        <v>210</v>
      </c>
      <c r="J100" t="s">
        <v>210</v>
      </c>
      <c r="K100" t="s">
        <v>210</v>
      </c>
      <c r="L100">
        <v>0.060316400230437502</v>
      </c>
      <c r="M100">
        <v>0.060316400230437502</v>
      </c>
    </row>
    <row r="101" spans="1:13" ht="15">
      <c r="A101" t="s">
        <v>67</v>
      </c>
      <c r="B101" t="s">
        <v>151</v>
      </c>
      <c r="C101" t="s">
        <v>250</v>
      </c>
      <c r="D101" t="s">
        <v>139</v>
      </c>
      <c r="E101" t="s">
        <v>210</v>
      </c>
      <c r="F101" t="s">
        <v>211</v>
      </c>
      <c r="G101">
        <v>2018</v>
      </c>
      <c r="H101" t="s">
        <v>210</v>
      </c>
      <c r="I101" t="s">
        <v>210</v>
      </c>
      <c r="J101" t="s">
        <v>210</v>
      </c>
      <c r="K101" t="s">
        <v>210</v>
      </c>
      <c r="L101">
        <v>0.0143517332094984</v>
      </c>
      <c r="M101">
        <v>0.0143517332094984</v>
      </c>
    </row>
    <row r="102" spans="1:13" ht="15">
      <c r="A102" t="s">
        <v>67</v>
      </c>
      <c r="B102" t="s">
        <v>151</v>
      </c>
      <c r="C102" t="s">
        <v>252</v>
      </c>
      <c r="D102" t="s">
        <v>142</v>
      </c>
      <c r="E102" t="s">
        <v>210</v>
      </c>
      <c r="F102" t="s">
        <v>211</v>
      </c>
      <c r="G102">
        <v>2018</v>
      </c>
      <c r="H102" t="s">
        <v>210</v>
      </c>
      <c r="I102" t="s">
        <v>210</v>
      </c>
      <c r="J102" t="s">
        <v>210</v>
      </c>
      <c r="K102" t="s">
        <v>210</v>
      </c>
      <c r="L102">
        <v>0.0012249928868643301</v>
      </c>
      <c r="M102">
        <v>0.0012249928868643301</v>
      </c>
    </row>
    <row r="103" spans="1:13" ht="15">
      <c r="A103" t="s">
        <v>67</v>
      </c>
      <c r="B103" t="s">
        <v>151</v>
      </c>
      <c r="C103" t="s">
        <v>252</v>
      </c>
      <c r="D103" t="s">
        <v>145</v>
      </c>
      <c r="E103" t="s">
        <v>210</v>
      </c>
      <c r="F103" t="s">
        <v>211</v>
      </c>
      <c r="G103">
        <v>2018</v>
      </c>
      <c r="H103" t="s">
        <v>210</v>
      </c>
      <c r="I103" t="s">
        <v>210</v>
      </c>
      <c r="J103" t="s">
        <v>210</v>
      </c>
      <c r="K103" t="s">
        <v>210</v>
      </c>
      <c r="L103">
        <v>0.00041119730191954202</v>
      </c>
      <c r="M103">
        <v>0.00041119730191954202</v>
      </c>
    </row>
    <row r="104" spans="1:13" ht="15">
      <c r="A104" t="s">
        <v>67</v>
      </c>
      <c r="B104" t="s">
        <v>151</v>
      </c>
      <c r="C104" t="s">
        <v>252</v>
      </c>
      <c r="D104" t="s">
        <v>253</v>
      </c>
      <c r="E104" t="s">
        <v>210</v>
      </c>
      <c r="F104" t="s">
        <v>211</v>
      </c>
      <c r="G104">
        <v>2018</v>
      </c>
      <c r="H104" t="s">
        <v>210</v>
      </c>
      <c r="I104" t="s">
        <v>210</v>
      </c>
      <c r="J104" t="s">
        <v>210</v>
      </c>
      <c r="K104" t="s">
        <v>210</v>
      </c>
      <c r="L104">
        <v>0.072534210143308797</v>
      </c>
      <c r="M104">
        <v>0.072534210143308797</v>
      </c>
    </row>
    <row r="105" spans="1:13" ht="15">
      <c r="A105" t="s">
        <v>67</v>
      </c>
      <c r="B105" t="s">
        <v>151</v>
      </c>
      <c r="C105" t="s">
        <v>252</v>
      </c>
      <c r="D105" t="s">
        <v>139</v>
      </c>
      <c r="E105" t="s">
        <v>210</v>
      </c>
      <c r="F105" t="s">
        <v>211</v>
      </c>
      <c r="G105">
        <v>2018</v>
      </c>
      <c r="H105" t="s">
        <v>210</v>
      </c>
      <c r="I105" t="s">
        <v>210</v>
      </c>
      <c r="J105" t="s">
        <v>210</v>
      </c>
      <c r="K105" t="s">
        <v>210</v>
      </c>
      <c r="L105">
        <v>0.0144314490951484</v>
      </c>
      <c r="M105">
        <v>0.0144314490951484</v>
      </c>
    </row>
    <row r="106" spans="1:13" ht="15">
      <c r="A106" t="s">
        <v>67</v>
      </c>
      <c r="B106" t="s">
        <v>151</v>
      </c>
      <c r="C106" t="s">
        <v>254</v>
      </c>
      <c r="D106" t="s">
        <v>142</v>
      </c>
      <c r="E106" t="s">
        <v>210</v>
      </c>
      <c r="F106" t="s">
        <v>211</v>
      </c>
      <c r="G106">
        <v>2018</v>
      </c>
      <c r="H106" t="s">
        <v>210</v>
      </c>
      <c r="I106" t="s">
        <v>210</v>
      </c>
      <c r="J106" t="s">
        <v>210</v>
      </c>
      <c r="K106" t="s">
        <v>210</v>
      </c>
      <c r="L106">
        <v>0.00108148631148779</v>
      </c>
      <c r="M106">
        <v>0.00108148631148779</v>
      </c>
    </row>
    <row r="107" spans="1:13" ht="15">
      <c r="A107" t="s">
        <v>67</v>
      </c>
      <c r="B107" t="s">
        <v>151</v>
      </c>
      <c r="C107" t="s">
        <v>254</v>
      </c>
      <c r="D107" t="s">
        <v>145</v>
      </c>
      <c r="E107" t="s">
        <v>210</v>
      </c>
      <c r="F107" t="s">
        <v>211</v>
      </c>
      <c r="G107">
        <v>2018</v>
      </c>
      <c r="H107" t="s">
        <v>210</v>
      </c>
      <c r="I107" t="s">
        <v>210</v>
      </c>
      <c r="J107" t="s">
        <v>210</v>
      </c>
      <c r="K107" t="s">
        <v>210</v>
      </c>
      <c r="L107">
        <v>0.00030143313414422002</v>
      </c>
      <c r="M107">
        <v>0.00030143313414422002</v>
      </c>
    </row>
    <row r="108" spans="1:13" ht="15">
      <c r="A108" t="s">
        <v>67</v>
      </c>
      <c r="B108" t="s">
        <v>151</v>
      </c>
      <c r="C108" t="s">
        <v>254</v>
      </c>
      <c r="D108" t="s">
        <v>255</v>
      </c>
      <c r="E108" t="s">
        <v>210</v>
      </c>
      <c r="F108" t="s">
        <v>211</v>
      </c>
      <c r="G108">
        <v>2018</v>
      </c>
      <c r="H108" t="s">
        <v>210</v>
      </c>
      <c r="I108" t="s">
        <v>210</v>
      </c>
      <c r="J108" t="s">
        <v>210</v>
      </c>
      <c r="K108" t="s">
        <v>210</v>
      </c>
      <c r="L108">
        <v>0.095721007741370198</v>
      </c>
      <c r="M108">
        <v>0.095721007741370198</v>
      </c>
    </row>
    <row r="109" spans="1:13" ht="15">
      <c r="A109" t="s">
        <v>67</v>
      </c>
      <c r="B109" t="s">
        <v>151</v>
      </c>
      <c r="C109" t="s">
        <v>254</v>
      </c>
      <c r="D109" t="s">
        <v>139</v>
      </c>
      <c r="E109" t="s">
        <v>210</v>
      </c>
      <c r="F109" t="s">
        <v>211</v>
      </c>
      <c r="G109">
        <v>2018</v>
      </c>
      <c r="H109" t="s">
        <v>210</v>
      </c>
      <c r="I109" t="s">
        <v>210</v>
      </c>
      <c r="J109" t="s">
        <v>210</v>
      </c>
      <c r="K109" t="s">
        <v>210</v>
      </c>
      <c r="L109">
        <v>0.013140678240923199</v>
      </c>
      <c r="M109">
        <v>0.013140678240923199</v>
      </c>
    </row>
    <row r="110" spans="1:13" ht="15">
      <c r="A110" t="s">
        <v>256</v>
      </c>
      <c r="B110" t="s">
        <v>151</v>
      </c>
      <c r="C110" t="s">
        <v>257</v>
      </c>
      <c r="D110" t="s">
        <v>140</v>
      </c>
      <c r="E110" t="s">
        <v>210</v>
      </c>
      <c r="F110" t="s">
        <v>211</v>
      </c>
      <c r="G110">
        <v>2020</v>
      </c>
      <c r="H110" t="s">
        <v>210</v>
      </c>
      <c r="I110" t="s">
        <v>210</v>
      </c>
      <c r="J110" t="s">
        <v>210</v>
      </c>
      <c r="K110" t="s">
        <v>210</v>
      </c>
      <c r="L110">
        <v>0.00032505870170077201</v>
      </c>
      <c r="M110">
        <v>0.00032505870170077201</v>
      </c>
    </row>
    <row r="111" spans="1:13" ht="15">
      <c r="A111" t="s">
        <v>256</v>
      </c>
      <c r="B111" t="s">
        <v>151</v>
      </c>
      <c r="C111" t="s">
        <v>257</v>
      </c>
      <c r="D111" t="s">
        <v>143</v>
      </c>
      <c r="E111" t="s">
        <v>210</v>
      </c>
      <c r="F111" t="s">
        <v>211</v>
      </c>
      <c r="G111">
        <v>2020</v>
      </c>
      <c r="H111" t="s">
        <v>210</v>
      </c>
      <c r="I111" t="s">
        <v>210</v>
      </c>
      <c r="J111" t="s">
        <v>210</v>
      </c>
      <c r="K111" t="s">
        <v>210</v>
      </c>
      <c r="L111">
        <v>0.00024641622412260601</v>
      </c>
      <c r="M111">
        <v>0.00024641622412260601</v>
      </c>
    </row>
    <row r="112" spans="1:13" ht="15">
      <c r="A112" t="s">
        <v>256</v>
      </c>
      <c r="B112" t="s">
        <v>151</v>
      </c>
      <c r="C112" t="s">
        <v>257</v>
      </c>
      <c r="D112" t="s">
        <v>134</v>
      </c>
      <c r="E112" t="s">
        <v>210</v>
      </c>
      <c r="F112" t="s">
        <v>211</v>
      </c>
      <c r="G112">
        <v>2020</v>
      </c>
      <c r="H112" t="s">
        <v>210</v>
      </c>
      <c r="I112" t="s">
        <v>210</v>
      </c>
      <c r="J112" t="s">
        <v>210</v>
      </c>
      <c r="K112" t="s">
        <v>210</v>
      </c>
      <c r="L112">
        <v>0.00019344980866313499</v>
      </c>
      <c r="M112">
        <v>0.00019344980866313499</v>
      </c>
    </row>
    <row r="113" spans="1:13" ht="15">
      <c r="A113" t="s">
        <v>256</v>
      </c>
      <c r="B113" t="s">
        <v>151</v>
      </c>
      <c r="C113" t="s">
        <v>257</v>
      </c>
      <c r="D113" t="s">
        <v>212</v>
      </c>
      <c r="E113" t="s">
        <v>210</v>
      </c>
      <c r="F113" t="s">
        <v>211</v>
      </c>
      <c r="G113">
        <v>2020</v>
      </c>
      <c r="H113" t="s">
        <v>210</v>
      </c>
      <c r="I113" t="s">
        <v>210</v>
      </c>
      <c r="J113" t="s">
        <v>210</v>
      </c>
      <c r="K113" t="s">
        <v>210</v>
      </c>
      <c r="L113">
        <v>0.000132490135783855</v>
      </c>
      <c r="M113">
        <v>0.000132490135783855</v>
      </c>
    </row>
    <row r="114" spans="1:13" ht="15">
      <c r="A114" t="s">
        <v>256</v>
      </c>
      <c r="B114" t="s">
        <v>151</v>
      </c>
      <c r="C114" t="s">
        <v>257</v>
      </c>
      <c r="D114" t="s">
        <v>137</v>
      </c>
      <c r="E114" t="s">
        <v>210</v>
      </c>
      <c r="F114" t="s">
        <v>211</v>
      </c>
      <c r="G114">
        <v>2020</v>
      </c>
      <c r="H114" t="s">
        <v>210</v>
      </c>
      <c r="I114" t="s">
        <v>210</v>
      </c>
      <c r="J114" t="s">
        <v>210</v>
      </c>
      <c r="K114" t="s">
        <v>210</v>
      </c>
      <c r="L114">
        <v>0.0026993348022525299</v>
      </c>
      <c r="M114">
        <v>0.0026993348022525299</v>
      </c>
    </row>
    <row r="115" spans="1:13" ht="15">
      <c r="A115" t="s">
        <v>256</v>
      </c>
      <c r="B115" t="s">
        <v>151</v>
      </c>
      <c r="C115" t="s">
        <v>258</v>
      </c>
      <c r="D115" t="s">
        <v>141</v>
      </c>
      <c r="E115" t="s">
        <v>210</v>
      </c>
      <c r="F115" t="s">
        <v>211</v>
      </c>
      <c r="G115">
        <v>2020</v>
      </c>
      <c r="H115" t="s">
        <v>210</v>
      </c>
      <c r="I115" t="s">
        <v>210</v>
      </c>
      <c r="J115" t="s">
        <v>210</v>
      </c>
      <c r="K115" t="s">
        <v>210</v>
      </c>
      <c r="L115">
        <v>0.00030596592500527599</v>
      </c>
      <c r="M115">
        <v>0.00030596592500527599</v>
      </c>
    </row>
    <row r="116" spans="1:13" ht="15">
      <c r="A116" t="s">
        <v>256</v>
      </c>
      <c r="B116" t="s">
        <v>151</v>
      </c>
      <c r="C116" t="s">
        <v>258</v>
      </c>
      <c r="D116" t="s">
        <v>144</v>
      </c>
      <c r="E116" t="s">
        <v>210</v>
      </c>
      <c r="F116" t="s">
        <v>211</v>
      </c>
      <c r="G116">
        <v>2020</v>
      </c>
      <c r="H116" t="s">
        <v>210</v>
      </c>
      <c r="I116" t="s">
        <v>210</v>
      </c>
      <c r="J116" t="s">
        <v>210</v>
      </c>
      <c r="K116" t="s">
        <v>210</v>
      </c>
      <c r="L116">
        <v>0.000217828091994246</v>
      </c>
      <c r="M116">
        <v>0.000217828091994246</v>
      </c>
    </row>
    <row r="117" spans="1:13" ht="15">
      <c r="A117" t="s">
        <v>256</v>
      </c>
      <c r="B117" t="s">
        <v>151</v>
      </c>
      <c r="C117" t="s">
        <v>258</v>
      </c>
      <c r="D117" t="s">
        <v>135</v>
      </c>
      <c r="E117" t="s">
        <v>210</v>
      </c>
      <c r="F117" t="s">
        <v>211</v>
      </c>
      <c r="G117">
        <v>2020</v>
      </c>
      <c r="H117" t="s">
        <v>210</v>
      </c>
      <c r="I117" t="s">
        <v>210</v>
      </c>
      <c r="J117" t="s">
        <v>210</v>
      </c>
      <c r="K117" t="s">
        <v>210</v>
      </c>
      <c r="L117">
        <v>0.00021494423184792799</v>
      </c>
      <c r="M117">
        <v>0.00021494423184792799</v>
      </c>
    </row>
    <row r="118" spans="1:13" ht="15">
      <c r="A118" t="s">
        <v>256</v>
      </c>
      <c r="B118" t="s">
        <v>151</v>
      </c>
      <c r="C118" t="s">
        <v>258</v>
      </c>
      <c r="D118" t="s">
        <v>227</v>
      </c>
      <c r="E118" t="s">
        <v>210</v>
      </c>
      <c r="F118" t="s">
        <v>211</v>
      </c>
      <c r="G118">
        <v>2020</v>
      </c>
      <c r="H118" t="s">
        <v>210</v>
      </c>
      <c r="I118" t="s">
        <v>210</v>
      </c>
      <c r="J118" t="s">
        <v>210</v>
      </c>
      <c r="K118" t="s">
        <v>210</v>
      </c>
      <c r="L118">
        <v>0.00031499640433377599</v>
      </c>
      <c r="M118">
        <v>0.00031499640433377599</v>
      </c>
    </row>
    <row r="119" spans="1:13" ht="15">
      <c r="A119" t="s">
        <v>256</v>
      </c>
      <c r="B119" t="s">
        <v>151</v>
      </c>
      <c r="C119" t="s">
        <v>258</v>
      </c>
      <c r="D119" t="s">
        <v>138</v>
      </c>
      <c r="E119" t="s">
        <v>210</v>
      </c>
      <c r="F119" t="s">
        <v>211</v>
      </c>
      <c r="G119">
        <v>2020</v>
      </c>
      <c r="H119" t="s">
        <v>210</v>
      </c>
      <c r="I119" t="s">
        <v>210</v>
      </c>
      <c r="J119" t="s">
        <v>210</v>
      </c>
      <c r="K119" t="s">
        <v>210</v>
      </c>
      <c r="L119">
        <v>0.0025141244794864501</v>
      </c>
      <c r="M119">
        <v>0.0025141244794864501</v>
      </c>
    </row>
    <row r="120" spans="1:13" ht="15">
      <c r="A120" t="s">
        <v>256</v>
      </c>
      <c r="B120" t="s">
        <v>151</v>
      </c>
      <c r="C120" t="s">
        <v>259</v>
      </c>
      <c r="D120" t="s">
        <v>142</v>
      </c>
      <c r="E120" t="s">
        <v>210</v>
      </c>
      <c r="F120" t="s">
        <v>211</v>
      </c>
      <c r="G120">
        <v>2020</v>
      </c>
      <c r="H120" t="s">
        <v>210</v>
      </c>
      <c r="I120" t="s">
        <v>210</v>
      </c>
      <c r="J120" t="s">
        <v>210</v>
      </c>
      <c r="K120" t="s">
        <v>210</v>
      </c>
      <c r="L120">
        <v>0.0017683153930356801</v>
      </c>
      <c r="M120">
        <v>0.0017683153930356801</v>
      </c>
    </row>
    <row r="121" spans="1:13" ht="15">
      <c r="A121" t="s">
        <v>256</v>
      </c>
      <c r="B121" t="s">
        <v>151</v>
      </c>
      <c r="C121" t="s">
        <v>259</v>
      </c>
      <c r="D121" t="s">
        <v>145</v>
      </c>
      <c r="E121" t="s">
        <v>210</v>
      </c>
      <c r="F121" t="s">
        <v>211</v>
      </c>
      <c r="G121">
        <v>2020</v>
      </c>
      <c r="H121" t="s">
        <v>210</v>
      </c>
      <c r="I121" t="s">
        <v>210</v>
      </c>
      <c r="J121" t="s">
        <v>210</v>
      </c>
      <c r="K121" t="s">
        <v>210</v>
      </c>
      <c r="L121">
        <v>0.00066867996369597798</v>
      </c>
      <c r="M121">
        <v>0.00066867996369597798</v>
      </c>
    </row>
    <row r="122" spans="1:13" ht="15">
      <c r="A122" t="s">
        <v>256</v>
      </c>
      <c r="B122" t="s">
        <v>151</v>
      </c>
      <c r="C122" t="s">
        <v>259</v>
      </c>
      <c r="D122" t="s">
        <v>136</v>
      </c>
      <c r="E122" t="s">
        <v>210</v>
      </c>
      <c r="F122" t="s">
        <v>211</v>
      </c>
      <c r="G122">
        <v>2020</v>
      </c>
      <c r="H122" t="s">
        <v>210</v>
      </c>
      <c r="I122" t="s">
        <v>210</v>
      </c>
      <c r="J122" t="s">
        <v>210</v>
      </c>
      <c r="K122" t="s">
        <v>210</v>
      </c>
      <c r="L122">
        <v>0.00023643865503272099</v>
      </c>
      <c r="M122">
        <v>0.00023643865503272099</v>
      </c>
    </row>
    <row r="123" spans="1:13" ht="15">
      <c r="A123" t="s">
        <v>256</v>
      </c>
      <c r="B123" t="s">
        <v>151</v>
      </c>
      <c r="C123" t="s">
        <v>259</v>
      </c>
      <c r="D123" t="s">
        <v>242</v>
      </c>
      <c r="E123" t="s">
        <v>210</v>
      </c>
      <c r="F123" t="s">
        <v>211</v>
      </c>
      <c r="G123">
        <v>2020</v>
      </c>
      <c r="H123" t="s">
        <v>210</v>
      </c>
      <c r="I123" t="s">
        <v>210</v>
      </c>
      <c r="J123" t="s">
        <v>210</v>
      </c>
      <c r="K123" t="s">
        <v>210</v>
      </c>
      <c r="L123">
        <v>0.0024058665241777598</v>
      </c>
      <c r="M123">
        <v>0.0024058665241777598</v>
      </c>
    </row>
    <row r="124" spans="1:13" ht="15">
      <c r="A124" t="s">
        <v>256</v>
      </c>
      <c r="B124" t="s">
        <v>151</v>
      </c>
      <c r="C124" t="s">
        <v>259</v>
      </c>
      <c r="D124" t="s">
        <v>139</v>
      </c>
      <c r="E124" t="s">
        <v>210</v>
      </c>
      <c r="F124" t="s">
        <v>211</v>
      </c>
      <c r="G124">
        <v>2020</v>
      </c>
      <c r="H124" t="s">
        <v>210</v>
      </c>
      <c r="I124" t="s">
        <v>210</v>
      </c>
      <c r="J124" t="s">
        <v>210</v>
      </c>
      <c r="K124" t="s">
        <v>210</v>
      </c>
      <c r="L124">
        <v>0.00426054151520409</v>
      </c>
      <c r="M124">
        <v>0.00426054151520409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E7DCEC-92FE-457F-AF49-E6235AD11189}">
  <dimension ref="C7:V22"/>
  <sheetViews>
    <sheetView workbookViewId="0" topLeftCell="A1">
      <selection pane="topLeft" activeCell="N8" sqref="N8"/>
    </sheetView>
  </sheetViews>
  <sheetFormatPr defaultRowHeight="15"/>
  <cols>
    <col min="9" max="9" width="11.1428571428571" bestFit="1" customWidth="1"/>
    <col min="20" max="20" width="18.8571428571429" customWidth="1"/>
  </cols>
  <sheetData>
    <row r="7" spans="3:22" ht="15.75" thickBot="1">
      <c r="C7" s="40" t="s">
        <v>274</v>
      </c>
      <c r="D7" s="34"/>
      <c r="E7" s="34"/>
      <c r="F7" s="34"/>
      <c r="G7" s="35"/>
      <c r="H7" s="35"/>
      <c r="I7" s="35"/>
      <c r="J7" s="35"/>
      <c r="K7" s="35"/>
      <c r="N7" s="40" t="s">
        <v>278</v>
      </c>
      <c r="O7" s="34"/>
      <c r="P7" s="34"/>
      <c r="Q7" s="34"/>
      <c r="R7" s="35"/>
      <c r="S7" s="35"/>
      <c r="T7" s="35"/>
      <c r="U7" s="35"/>
      <c r="V7" s="35"/>
    </row>
    <row r="8" spans="3:22" ht="30.75" thickBot="1">
      <c r="C8" s="36" t="s">
        <v>193</v>
      </c>
      <c r="D8" s="36" t="s">
        <v>1</v>
      </c>
      <c r="E8" s="36" t="s">
        <v>2</v>
      </c>
      <c r="F8" s="36" t="s">
        <v>61</v>
      </c>
      <c r="G8" s="36" t="s">
        <v>194</v>
      </c>
      <c r="H8" s="36" t="s">
        <v>195</v>
      </c>
      <c r="I8" s="33" t="s">
        <v>4</v>
      </c>
      <c r="J8" s="33" t="s">
        <v>153</v>
      </c>
      <c r="K8" s="33" t="s">
        <v>148</v>
      </c>
      <c r="N8" s="36" t="s">
        <v>193</v>
      </c>
      <c r="O8" s="36" t="s">
        <v>1</v>
      </c>
      <c r="P8" s="36" t="s">
        <v>2</v>
      </c>
      <c r="Q8" s="36" t="s">
        <v>61</v>
      </c>
      <c r="R8" s="36" t="s">
        <v>194</v>
      </c>
      <c r="S8" s="36" t="s">
        <v>195</v>
      </c>
      <c r="T8" s="33" t="s">
        <v>4</v>
      </c>
      <c r="U8" s="33" t="s">
        <v>153</v>
      </c>
      <c r="V8" s="33" t="s">
        <v>148</v>
      </c>
    </row>
    <row r="9" spans="3:21" ht="15">
      <c r="C9" s="37" t="s">
        <v>67</v>
      </c>
      <c r="D9" s="37"/>
      <c r="E9" s="38" t="s">
        <v>151</v>
      </c>
      <c r="F9" s="41">
        <v>2018</v>
      </c>
      <c r="G9" s="41">
        <v>1</v>
      </c>
      <c r="H9" s="39"/>
      <c r="I9" t="s">
        <v>188</v>
      </c>
      <c r="J9" t="str">
        <f t="shared" si="0" ref="J9:J13">+I9</f>
        <v>RSDSH*</v>
      </c>
      <c r="K9" s="32" t="s">
        <v>196</v>
      </c>
      <c r="N9" s="37" t="s">
        <v>67</v>
      </c>
      <c r="O9" s="37"/>
      <c r="P9" s="38" t="s">
        <v>151</v>
      </c>
      <c r="Q9">
        <v>2018</v>
      </c>
      <c r="R9">
        <v>1</v>
      </c>
      <c r="T9" t="s">
        <v>163</v>
      </c>
      <c r="U9" t="s">
        <v>163</v>
      </c>
    </row>
    <row r="10" spans="3:21" ht="15">
      <c r="C10" s="37" t="s">
        <v>67</v>
      </c>
      <c r="D10" s="37"/>
      <c r="E10" s="38" t="s">
        <v>151</v>
      </c>
      <c r="F10" s="41">
        <v>2018</v>
      </c>
      <c r="G10" s="41">
        <v>1</v>
      </c>
      <c r="I10" t="s">
        <v>189</v>
      </c>
      <c r="J10" t="str">
        <f t="shared" si="0"/>
        <v>RSDSC*</v>
      </c>
      <c r="K10" s="32" t="s">
        <v>196</v>
      </c>
      <c r="N10" s="37" t="s">
        <v>67</v>
      </c>
      <c r="O10" s="37"/>
      <c r="P10" s="38" t="s">
        <v>151</v>
      </c>
      <c r="Q10">
        <v>2018</v>
      </c>
      <c r="R10">
        <v>1</v>
      </c>
      <c r="T10" t="s">
        <v>164</v>
      </c>
      <c r="U10" t="s">
        <v>164</v>
      </c>
    </row>
    <row r="11" spans="3:21" ht="15">
      <c r="C11" s="37" t="s">
        <v>67</v>
      </c>
      <c r="D11" s="37"/>
      <c r="E11" s="38" t="s">
        <v>151</v>
      </c>
      <c r="F11" s="41">
        <v>2018</v>
      </c>
      <c r="G11" s="41">
        <v>1</v>
      </c>
      <c r="I11" t="s">
        <v>190</v>
      </c>
      <c r="J11" t="str">
        <f t="shared" si="0"/>
        <v>RSDWH*</v>
      </c>
      <c r="K11" s="32" t="s">
        <v>196</v>
      </c>
      <c r="N11" s="37" t="s">
        <v>67</v>
      </c>
      <c r="O11" s="37"/>
      <c r="P11" s="38" t="s">
        <v>151</v>
      </c>
      <c r="Q11">
        <v>2018</v>
      </c>
      <c r="R11">
        <v>1</v>
      </c>
      <c r="T11" t="s">
        <v>165</v>
      </c>
      <c r="U11" t="s">
        <v>165</v>
      </c>
    </row>
    <row r="12" spans="3:21" ht="15">
      <c r="C12" s="37" t="s">
        <v>67</v>
      </c>
      <c r="D12" s="37"/>
      <c r="E12" s="38" t="s">
        <v>151</v>
      </c>
      <c r="F12" s="41">
        <v>2018</v>
      </c>
      <c r="G12" s="41">
        <v>1</v>
      </c>
      <c r="I12" t="s">
        <v>191</v>
      </c>
      <c r="J12" t="str">
        <f t="shared" si="0"/>
        <v>RSDLT*</v>
      </c>
      <c r="K12" s="32" t="s">
        <v>196</v>
      </c>
      <c r="N12" s="37" t="s">
        <v>67</v>
      </c>
      <c r="O12" s="37"/>
      <c r="P12" s="38" t="s">
        <v>151</v>
      </c>
      <c r="Q12">
        <v>2018</v>
      </c>
      <c r="R12">
        <v>1</v>
      </c>
      <c r="T12" t="s">
        <v>166</v>
      </c>
      <c r="U12" t="s">
        <v>166</v>
      </c>
    </row>
    <row r="13" spans="3:21" ht="15">
      <c r="C13" s="37" t="s">
        <v>67</v>
      </c>
      <c r="D13" s="37"/>
      <c r="E13" s="38" t="s">
        <v>151</v>
      </c>
      <c r="F13" s="41">
        <v>2018</v>
      </c>
      <c r="G13" s="41">
        <v>1</v>
      </c>
      <c r="I13" t="s">
        <v>192</v>
      </c>
      <c r="J13" t="str">
        <f t="shared" si="0"/>
        <v>RSDPF*</v>
      </c>
      <c r="K13" s="32" t="s">
        <v>196</v>
      </c>
      <c r="N13" s="37" t="s">
        <v>67</v>
      </c>
      <c r="O13" s="37"/>
      <c r="P13" s="38" t="s">
        <v>151</v>
      </c>
      <c r="Q13">
        <v>2018</v>
      </c>
      <c r="R13">
        <v>1</v>
      </c>
      <c r="T13" t="s">
        <v>167</v>
      </c>
      <c r="U13" t="s">
        <v>167</v>
      </c>
    </row>
    <row r="14" spans="5:21" ht="15">
      <c r="E14" t="s">
        <v>151</v>
      </c>
      <c r="F14">
        <v>2020</v>
      </c>
      <c r="G14">
        <v>1</v>
      </c>
      <c r="I14" t="s">
        <v>188</v>
      </c>
      <c r="J14" t="s">
        <v>188</v>
      </c>
      <c r="K14" t="s">
        <v>197</v>
      </c>
      <c r="N14" s="37" t="s">
        <v>67</v>
      </c>
      <c r="O14" s="37"/>
      <c r="P14" s="38" t="s">
        <v>151</v>
      </c>
      <c r="Q14">
        <v>2018</v>
      </c>
      <c r="R14">
        <v>1</v>
      </c>
      <c r="T14" t="s">
        <v>168</v>
      </c>
      <c r="U14" t="s">
        <v>168</v>
      </c>
    </row>
    <row r="15" spans="5:21" ht="15">
      <c r="E15" t="s">
        <v>151</v>
      </c>
      <c r="F15">
        <v>2020</v>
      </c>
      <c r="G15">
        <v>1</v>
      </c>
      <c r="I15" t="s">
        <v>189</v>
      </c>
      <c r="J15" t="s">
        <v>189</v>
      </c>
      <c r="K15" t="s">
        <v>197</v>
      </c>
      <c r="N15" s="37" t="s">
        <v>67</v>
      </c>
      <c r="O15" s="37"/>
      <c r="P15" s="38" t="s">
        <v>151</v>
      </c>
      <c r="Q15">
        <v>2018</v>
      </c>
      <c r="R15">
        <v>1</v>
      </c>
      <c r="T15" t="s">
        <v>169</v>
      </c>
      <c r="U15" t="s">
        <v>169</v>
      </c>
    </row>
    <row r="16" spans="5:21" ht="15">
      <c r="E16" t="s">
        <v>151</v>
      </c>
      <c r="F16">
        <v>2020</v>
      </c>
      <c r="G16">
        <v>1</v>
      </c>
      <c r="I16" t="s">
        <v>190</v>
      </c>
      <c r="J16" t="s">
        <v>190</v>
      </c>
      <c r="K16" t="s">
        <v>197</v>
      </c>
      <c r="N16" s="37" t="s">
        <v>67</v>
      </c>
      <c r="O16" s="37"/>
      <c r="P16" s="38" t="s">
        <v>151</v>
      </c>
      <c r="Q16">
        <v>2018</v>
      </c>
      <c r="R16">
        <v>1</v>
      </c>
      <c r="T16" t="s">
        <v>170</v>
      </c>
      <c r="U16" t="s">
        <v>170</v>
      </c>
    </row>
    <row r="17" spans="5:21" ht="15">
      <c r="E17" t="s">
        <v>151</v>
      </c>
      <c r="F17">
        <v>2020</v>
      </c>
      <c r="G17">
        <v>1</v>
      </c>
      <c r="I17" t="s">
        <v>191</v>
      </c>
      <c r="J17" t="s">
        <v>191</v>
      </c>
      <c r="K17" t="s">
        <v>197</v>
      </c>
      <c r="N17" s="37" t="s">
        <v>67</v>
      </c>
      <c r="O17" s="37"/>
      <c r="P17" s="38" t="s">
        <v>151</v>
      </c>
      <c r="Q17">
        <v>2018</v>
      </c>
      <c r="R17">
        <v>1</v>
      </c>
      <c r="T17" t="s">
        <v>171</v>
      </c>
      <c r="U17" t="s">
        <v>171</v>
      </c>
    </row>
    <row r="18" spans="5:21" ht="15">
      <c r="E18" t="s">
        <v>151</v>
      </c>
      <c r="F18">
        <v>2020</v>
      </c>
      <c r="G18">
        <v>1</v>
      </c>
      <c r="I18" t="s">
        <v>192</v>
      </c>
      <c r="J18" t="s">
        <v>192</v>
      </c>
      <c r="K18" t="s">
        <v>197</v>
      </c>
      <c r="N18" s="37" t="s">
        <v>67</v>
      </c>
      <c r="O18" s="37"/>
      <c r="P18" s="38" t="s">
        <v>151</v>
      </c>
      <c r="Q18">
        <v>2018</v>
      </c>
      <c r="R18">
        <v>1</v>
      </c>
      <c r="T18" t="s">
        <v>172</v>
      </c>
      <c r="U18" t="s">
        <v>172</v>
      </c>
    </row>
    <row r="19" spans="14:21" ht="15">
      <c r="N19" s="37" t="s">
        <v>67</v>
      </c>
      <c r="O19" s="37"/>
      <c r="P19" s="38" t="s">
        <v>151</v>
      </c>
      <c r="Q19">
        <v>2018</v>
      </c>
      <c r="R19">
        <v>1</v>
      </c>
      <c r="T19" t="s">
        <v>173</v>
      </c>
      <c r="U19" t="s">
        <v>173</v>
      </c>
    </row>
    <row r="20" spans="14:21" ht="15">
      <c r="N20" s="37" t="s">
        <v>67</v>
      </c>
      <c r="O20" s="37"/>
      <c r="P20" s="38" t="s">
        <v>151</v>
      </c>
      <c r="Q20">
        <v>2018</v>
      </c>
      <c r="R20">
        <v>1</v>
      </c>
      <c r="T20" t="s">
        <v>174</v>
      </c>
      <c r="U20" t="s">
        <v>174</v>
      </c>
    </row>
    <row r="21" spans="14:21" ht="15">
      <c r="N21" s="37" t="s">
        <v>67</v>
      </c>
      <c r="O21" s="37"/>
      <c r="P21" s="38" t="s">
        <v>151</v>
      </c>
      <c r="Q21">
        <v>2018</v>
      </c>
      <c r="R21">
        <v>1</v>
      </c>
      <c r="T21" t="s">
        <v>175</v>
      </c>
      <c r="U21" t="s">
        <v>175</v>
      </c>
    </row>
    <row r="22" spans="14:21" ht="15">
      <c r="N22" s="37" t="s">
        <v>67</v>
      </c>
      <c r="O22" s="37"/>
      <c r="P22" s="38" t="s">
        <v>151</v>
      </c>
      <c r="Q22">
        <v>2018</v>
      </c>
      <c r="R22">
        <v>1</v>
      </c>
      <c r="T22" t="s">
        <v>176</v>
      </c>
      <c r="U22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23A896-A3FC-4F9A-B5DF-A205D08521A3}">
  <dimension ref="C3:O33"/>
  <sheetViews>
    <sheetView workbookViewId="0" topLeftCell="A1">
      <selection pane="topLeft" activeCell="F26" sqref="F26"/>
    </sheetView>
  </sheetViews>
  <sheetFormatPr defaultRowHeight="15"/>
  <cols>
    <col min="3" max="3" width="10.7142857142857" customWidth="1"/>
    <col min="4" max="4" width="8.42857142857143" bestFit="1" customWidth="1"/>
    <col min="5" max="5" width="14.2857142857143" bestFit="1" customWidth="1"/>
    <col min="9" max="9" width="10.4285714285714" bestFit="1" customWidth="1"/>
    <col min="10" max="10" width="12.8571428571429" customWidth="1"/>
    <col min="11" max="11" width="12.4285714285714" customWidth="1"/>
    <col min="12" max="12" width="19.1428571428571" customWidth="1"/>
  </cols>
  <sheetData>
    <row r="3" spans="3:11" ht="15.75" thickBot="1">
      <c r="C3" s="24" t="s">
        <v>147</v>
      </c>
      <c r="I3" s="25"/>
      <c r="J3" s="25"/>
      <c r="K3" s="25"/>
    </row>
    <row r="4" spans="3:14" ht="29.45" customHeight="1">
      <c r="C4" s="26" t="s">
        <v>65</v>
      </c>
      <c r="D4" s="26" t="s">
        <v>1</v>
      </c>
      <c r="E4" s="26" t="s">
        <v>2</v>
      </c>
      <c r="F4" s="26" t="s">
        <v>61</v>
      </c>
      <c r="G4" s="26" t="s">
        <v>58</v>
      </c>
      <c r="H4" s="26" t="s">
        <v>60</v>
      </c>
      <c r="I4" s="26" t="s">
        <v>4</v>
      </c>
      <c r="J4" s="26" t="s">
        <v>153</v>
      </c>
      <c r="K4" s="26" t="s">
        <v>148</v>
      </c>
      <c r="L4" s="26" t="s">
        <v>149</v>
      </c>
      <c r="N4" s="28"/>
    </row>
    <row r="5" spans="3:15" ht="15">
      <c r="C5" s="27" t="s">
        <v>150</v>
      </c>
      <c r="D5" s="27"/>
      <c r="E5" s="27" t="s">
        <v>162</v>
      </c>
      <c r="F5" s="27"/>
      <c r="G5" s="27"/>
      <c r="H5" s="27"/>
      <c r="I5" s="27"/>
      <c r="J5" s="27"/>
      <c r="K5" s="27"/>
      <c r="L5" s="27"/>
      <c r="N5" t="s">
        <v>277</v>
      </c>
      <c r="O5">
        <v>2018</v>
      </c>
    </row>
    <row r="6" spans="5:15" ht="15">
      <c r="E6" t="s">
        <v>151</v>
      </c>
      <c r="F6">
        <v>2022</v>
      </c>
      <c r="G6">
        <f>O6</f>
        <v>0.30754680541104201</v>
      </c>
      <c r="I6" t="s">
        <v>163</v>
      </c>
      <c r="J6" t="s">
        <v>163</v>
      </c>
      <c r="N6" s="48">
        <f>+G6/O6*100%</f>
        <v>1</v>
      </c>
      <c r="O6">
        <f>+SUMIF(Inputs_SRV!$D$2:$D$15,Services!I6,Inputs_SRV!$L$2:$L$15)</f>
        <v>0.30754680541104201</v>
      </c>
    </row>
    <row r="7" spans="5:15" ht="15">
      <c r="E7" t="s">
        <v>151</v>
      </c>
      <c r="F7">
        <v>2022</v>
      </c>
      <c r="G7">
        <f t="shared" si="0" ref="G7:G19">O7</f>
        <v>0.086436286608257501</v>
      </c>
      <c r="I7" t="s">
        <v>164</v>
      </c>
      <c r="J7" t="s">
        <v>164</v>
      </c>
      <c r="N7" s="48">
        <f t="shared" si="1" ref="N7:N19">+G7/O7*100%</f>
        <v>1</v>
      </c>
      <c r="O7">
        <f>+SUMIF(Inputs_SRV!$D$2:$D$15,Services!I7,Inputs_SRV!$L$2:$L$15)</f>
        <v>0.086436286608257501</v>
      </c>
    </row>
    <row r="8" spans="5:15" ht="15">
      <c r="E8" t="s">
        <v>151</v>
      </c>
      <c r="F8">
        <v>2022</v>
      </c>
      <c r="G8">
        <f t="shared" si="0"/>
        <v>0.125158654758175</v>
      </c>
      <c r="I8" t="s">
        <v>165</v>
      </c>
      <c r="J8" t="s">
        <v>165</v>
      </c>
      <c r="N8" s="48">
        <f t="shared" si="1"/>
        <v>1</v>
      </c>
      <c r="O8">
        <f>+SUMIF(Inputs_SRV!$D$2:$D$15,Services!I8,Inputs_SRV!$L$2:$L$15)</f>
        <v>0.125158654758175</v>
      </c>
    </row>
    <row r="9" spans="5:15" ht="15">
      <c r="E9" t="s">
        <v>151</v>
      </c>
      <c r="F9">
        <v>2022</v>
      </c>
      <c r="G9">
        <f t="shared" si="0"/>
        <v>0.135247613114969</v>
      </c>
      <c r="I9" t="s">
        <v>166</v>
      </c>
      <c r="J9" t="s">
        <v>166</v>
      </c>
      <c r="N9" s="48">
        <f t="shared" si="1"/>
        <v>1</v>
      </c>
      <c r="O9">
        <f>+SUMIF(Inputs_SRV!$D$2:$D$15,Services!I9,Inputs_SRV!$L$2:$L$15)</f>
        <v>0.135247613114969</v>
      </c>
    </row>
    <row r="10" spans="5:15" ht="15">
      <c r="E10" t="s">
        <v>151</v>
      </c>
      <c r="F10">
        <v>2022</v>
      </c>
      <c r="G10">
        <f t="shared" si="0"/>
        <v>0.65611067742996398</v>
      </c>
      <c r="I10" t="s">
        <v>167</v>
      </c>
      <c r="J10" t="s">
        <v>167</v>
      </c>
      <c r="N10" s="48">
        <f t="shared" si="1"/>
        <v>1</v>
      </c>
      <c r="O10">
        <f>+SUMIF(Inputs_SRV!$D$2:$D$15,Services!I10,Inputs_SRV!$L$2:$L$15)</f>
        <v>0.65611067742996398</v>
      </c>
    </row>
    <row r="11" spans="5:15" ht="15">
      <c r="E11" t="s">
        <v>151</v>
      </c>
      <c r="F11">
        <v>2022</v>
      </c>
      <c r="G11">
        <f t="shared" si="0"/>
        <v>3.41124221983483</v>
      </c>
      <c r="I11" t="s">
        <v>168</v>
      </c>
      <c r="J11" t="s">
        <v>168</v>
      </c>
      <c r="N11" s="48">
        <f t="shared" si="1"/>
        <v>1</v>
      </c>
      <c r="O11">
        <f>+SUMIF(Inputs_SRV!$D$2:$D$15,Services!I11,Inputs_SRV!$L$2:$L$15)</f>
        <v>3.41124221983483</v>
      </c>
    </row>
    <row r="12" spans="5:15" ht="15">
      <c r="E12" t="s">
        <v>151</v>
      </c>
      <c r="F12">
        <v>2022</v>
      </c>
      <c r="G12">
        <f t="shared" si="0"/>
        <v>0.34149098112577198</v>
      </c>
      <c r="I12" t="s">
        <v>169</v>
      </c>
      <c r="J12" t="s">
        <v>169</v>
      </c>
      <c r="N12" s="48">
        <f t="shared" si="1"/>
        <v>1</v>
      </c>
      <c r="O12">
        <f>+SUMIF(Inputs_SRV!$D$2:$D$15,Services!I12,Inputs_SRV!$L$2:$L$15)</f>
        <v>0.34149098112577198</v>
      </c>
    </row>
    <row r="13" spans="5:15" ht="15">
      <c r="E13" t="s">
        <v>151</v>
      </c>
      <c r="F13">
        <v>2022</v>
      </c>
      <c r="G13">
        <f t="shared" si="0"/>
        <v>0.104177979439828</v>
      </c>
      <c r="I13" t="s">
        <v>170</v>
      </c>
      <c r="J13" t="s">
        <v>170</v>
      </c>
      <c r="N13" s="48">
        <f t="shared" si="1"/>
        <v>1</v>
      </c>
      <c r="O13">
        <f>+SUMIF(Inputs_SRV!$D$2:$D$15,Services!I13,Inputs_SRV!$L$2:$L$15)</f>
        <v>0.104177979439828</v>
      </c>
    </row>
    <row r="14" spans="5:15" ht="15">
      <c r="E14" t="s">
        <v>151</v>
      </c>
      <c r="F14">
        <v>2022</v>
      </c>
      <c r="G14">
        <f t="shared" si="0"/>
        <v>0.025794975305082499</v>
      </c>
      <c r="I14" t="s">
        <v>171</v>
      </c>
      <c r="J14" t="s">
        <v>171</v>
      </c>
      <c r="N14" s="48">
        <f t="shared" si="1"/>
        <v>1</v>
      </c>
      <c r="O14">
        <f>+SUMIF(Inputs_SRV!$D$2:$D$15,Services!I14,Inputs_SRV!$L$2:$L$15)</f>
        <v>0.025794975305082499</v>
      </c>
    </row>
    <row r="15" spans="5:15" ht="15">
      <c r="E15" t="s">
        <v>151</v>
      </c>
      <c r="F15">
        <v>2022</v>
      </c>
      <c r="G15">
        <f t="shared" si="0"/>
        <v>0.0193475483290594</v>
      </c>
      <c r="I15" t="s">
        <v>172</v>
      </c>
      <c r="J15" t="s">
        <v>172</v>
      </c>
      <c r="N15" s="48">
        <f t="shared" si="1"/>
        <v>1</v>
      </c>
      <c r="O15">
        <f>+SUMIF(Inputs_SRV!$D$2:$D$15,Services!I15,Inputs_SRV!$L$2:$L$15)</f>
        <v>0.0193475483290594</v>
      </c>
    </row>
    <row r="16" spans="5:15" ht="15">
      <c r="E16" t="s">
        <v>151</v>
      </c>
      <c r="F16">
        <v>2022</v>
      </c>
      <c r="G16">
        <f t="shared" si="0"/>
        <v>0.032190254153783002</v>
      </c>
      <c r="I16" t="s">
        <v>173</v>
      </c>
      <c r="J16" t="s">
        <v>173</v>
      </c>
      <c r="N16" s="48">
        <f t="shared" si="1"/>
        <v>1</v>
      </c>
      <c r="O16">
        <f>+SUMIF(Inputs_SRV!$D$2:$D$15,Services!I16,Inputs_SRV!$L$2:$L$15)</f>
        <v>0.032190254153783002</v>
      </c>
    </row>
    <row r="17" spans="5:15" ht="15">
      <c r="E17" t="s">
        <v>151</v>
      </c>
      <c r="F17">
        <v>2022</v>
      </c>
      <c r="G17">
        <f t="shared" si="0"/>
        <v>0.16206914757843699</v>
      </c>
      <c r="I17" t="s">
        <v>174</v>
      </c>
      <c r="J17" t="s">
        <v>174</v>
      </c>
      <c r="N17" s="48">
        <f t="shared" si="1"/>
        <v>1</v>
      </c>
      <c r="O17">
        <f>+SUMIF(Inputs_SRV!$D$2:$D$15,Services!I17,Inputs_SRV!$L$2:$L$15)</f>
        <v>0.16206914757843699</v>
      </c>
    </row>
    <row r="18" spans="5:15" ht="15">
      <c r="E18" t="s">
        <v>151</v>
      </c>
      <c r="F18">
        <v>2022</v>
      </c>
      <c r="G18">
        <f t="shared" si="0"/>
        <v>0.84262783364201499</v>
      </c>
      <c r="I18" t="s">
        <v>175</v>
      </c>
      <c r="J18" t="s">
        <v>175</v>
      </c>
      <c r="N18" s="48">
        <f t="shared" si="1"/>
        <v>1</v>
      </c>
      <c r="O18">
        <f>+SUMIF(Inputs_SRV!$D$2:$D$15,Services!I18,Inputs_SRV!$L$2:$L$15)</f>
        <v>0.84262783364201499</v>
      </c>
    </row>
    <row r="19" spans="5:15" ht="15">
      <c r="E19" t="s">
        <v>151</v>
      </c>
      <c r="F19">
        <v>2022</v>
      </c>
      <c r="G19">
        <f t="shared" si="0"/>
        <v>0.052612374241425702</v>
      </c>
      <c r="I19" t="s">
        <v>176</v>
      </c>
      <c r="J19" t="s">
        <v>176</v>
      </c>
      <c r="N19" s="48">
        <f t="shared" si="1"/>
        <v>1</v>
      </c>
      <c r="O19">
        <f>+SUMIF(Inputs_SRV!$D$2:$D$15,Services!I19,Inputs_SRV!$L$2:$L$15)</f>
        <v>0.052612374241425702</v>
      </c>
    </row>
    <row r="20" spans="5:14" ht="15">
      <c r="E20" t="s">
        <v>151</v>
      </c>
      <c r="F20">
        <v>2050</v>
      </c>
      <c r="G20">
        <f>+G6*(1-N20)</f>
        <v>0.16915074297607313</v>
      </c>
      <c r="I20" t="s">
        <v>163</v>
      </c>
      <c r="J20" t="s">
        <v>163</v>
      </c>
      <c r="N20" s="48">
        <v>0.45</v>
      </c>
    </row>
    <row r="21" spans="5:14" ht="15">
      <c r="E21" t="s">
        <v>151</v>
      </c>
      <c r="F21">
        <v>2050</v>
      </c>
      <c r="G21">
        <f t="shared" si="2" ref="G21:G33">+G7*(1-N21)</f>
        <v>0.047539957634541628</v>
      </c>
      <c r="I21" t="s">
        <v>164</v>
      </c>
      <c r="J21" t="s">
        <v>164</v>
      </c>
      <c r="N21" s="48">
        <v>0.45</v>
      </c>
    </row>
    <row r="22" spans="5:14" ht="15">
      <c r="E22" t="s">
        <v>151</v>
      </c>
      <c r="F22">
        <v>2050</v>
      </c>
      <c r="G22">
        <f t="shared" si="2"/>
        <v>0.068837260116996257</v>
      </c>
      <c r="I22" t="s">
        <v>165</v>
      </c>
      <c r="J22" t="s">
        <v>165</v>
      </c>
      <c r="N22" s="48">
        <v>0.45</v>
      </c>
    </row>
    <row r="23" spans="5:14" ht="15">
      <c r="E23" t="s">
        <v>151</v>
      </c>
      <c r="F23">
        <v>2050</v>
      </c>
      <c r="G23">
        <f t="shared" si="2"/>
        <v>0.074386187213232952</v>
      </c>
      <c r="I23" t="s">
        <v>166</v>
      </c>
      <c r="J23" t="s">
        <v>166</v>
      </c>
      <c r="N23" s="48">
        <v>0.45</v>
      </c>
    </row>
    <row r="24" spans="5:14" ht="15">
      <c r="E24" t="s">
        <v>151</v>
      </c>
      <c r="F24">
        <v>2050</v>
      </c>
      <c r="G24">
        <f t="shared" si="2"/>
        <v>0.3608608725864802</v>
      </c>
      <c r="I24" t="s">
        <v>167</v>
      </c>
      <c r="J24" t="s">
        <v>167</v>
      </c>
      <c r="N24" s="48">
        <v>0.45</v>
      </c>
    </row>
    <row r="25" spans="5:14" ht="15">
      <c r="E25" t="s">
        <v>151</v>
      </c>
      <c r="F25">
        <v>2050</v>
      </c>
      <c r="G25">
        <f t="shared" si="2"/>
        <v>1.8761832209091567</v>
      </c>
      <c r="I25" t="s">
        <v>168</v>
      </c>
      <c r="J25" t="s">
        <v>168</v>
      </c>
      <c r="N25" s="48">
        <v>0.45</v>
      </c>
    </row>
    <row r="26" spans="5:14" ht="15">
      <c r="E26" t="s">
        <v>151</v>
      </c>
      <c r="F26">
        <v>2050</v>
      </c>
      <c r="G26">
        <f t="shared" si="2"/>
        <v>0.18782003961917459</v>
      </c>
      <c r="I26" t="s">
        <v>169</v>
      </c>
      <c r="J26" t="s">
        <v>169</v>
      </c>
      <c r="N26" s="48">
        <v>0.45</v>
      </c>
    </row>
    <row r="27" spans="5:14" ht="15">
      <c r="E27" t="s">
        <v>151</v>
      </c>
      <c r="F27">
        <v>2050</v>
      </c>
      <c r="G27">
        <f t="shared" si="2"/>
        <v>0.057297888691905406</v>
      </c>
      <c r="I27" t="s">
        <v>170</v>
      </c>
      <c r="J27" t="s">
        <v>170</v>
      </c>
      <c r="N27" s="48">
        <v>0.45</v>
      </c>
    </row>
    <row r="28" spans="5:14" ht="15">
      <c r="E28" t="s">
        <v>151</v>
      </c>
      <c r="F28">
        <v>2050</v>
      </c>
      <c r="G28">
        <f t="shared" si="2"/>
        <v>0.014187236417795375</v>
      </c>
      <c r="I28" t="s">
        <v>171</v>
      </c>
      <c r="J28" t="s">
        <v>171</v>
      </c>
      <c r="N28" s="48">
        <v>0.45</v>
      </c>
    </row>
    <row r="29" spans="5:14" ht="15">
      <c r="E29" t="s">
        <v>151</v>
      </c>
      <c r="F29">
        <v>2050</v>
      </c>
      <c r="G29">
        <f t="shared" si="2"/>
        <v>0.010641151580982671</v>
      </c>
      <c r="I29" t="s">
        <v>172</v>
      </c>
      <c r="J29" t="s">
        <v>172</v>
      </c>
      <c r="N29" s="48">
        <v>0.45</v>
      </c>
    </row>
    <row r="30" spans="5:14" ht="15">
      <c r="E30" t="s">
        <v>151</v>
      </c>
      <c r="F30">
        <v>2050</v>
      </c>
      <c r="G30">
        <f t="shared" si="2"/>
        <v>0.017704639784580652</v>
      </c>
      <c r="I30" t="s">
        <v>173</v>
      </c>
      <c r="J30" t="s">
        <v>173</v>
      </c>
      <c r="N30" s="48">
        <v>0.45</v>
      </c>
    </row>
    <row r="31" spans="5:14" ht="15">
      <c r="E31" t="s">
        <v>151</v>
      </c>
      <c r="F31">
        <v>2050</v>
      </c>
      <c r="G31">
        <f t="shared" si="2"/>
        <v>0.089138031168140355</v>
      </c>
      <c r="I31" t="s">
        <v>174</v>
      </c>
      <c r="J31" t="s">
        <v>174</v>
      </c>
      <c r="N31" s="48">
        <v>0.45</v>
      </c>
    </row>
    <row r="32" spans="5:14" ht="15">
      <c r="E32" t="s">
        <v>151</v>
      </c>
      <c r="F32">
        <v>2050</v>
      </c>
      <c r="G32">
        <f t="shared" si="2"/>
        <v>0.46344530850310828</v>
      </c>
      <c r="I32" t="s">
        <v>175</v>
      </c>
      <c r="J32" t="s">
        <v>175</v>
      </c>
      <c r="N32" s="48">
        <v>0.45</v>
      </c>
    </row>
    <row r="33" spans="5:14" ht="15">
      <c r="E33" t="s">
        <v>151</v>
      </c>
      <c r="F33">
        <v>2050</v>
      </c>
      <c r="G33">
        <f t="shared" si="2"/>
        <v>0.02893680583278414</v>
      </c>
      <c r="I33" t="s">
        <v>176</v>
      </c>
      <c r="J33" t="s">
        <v>176</v>
      </c>
      <c r="N33" s="48">
        <v>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E1EA94-7702-4F10-98FA-421A36357E52}">
  <dimension ref="A1:M15"/>
  <sheetViews>
    <sheetView workbookViewId="0" topLeftCell="A1">
      <selection pane="topLeft" activeCell="D14" sqref="D14"/>
    </sheetView>
  </sheetViews>
  <sheetFormatPr defaultRowHeight="15"/>
  <cols>
    <col min="3" max="3" width="15" customWidth="1"/>
    <col min="4" max="4" width="25.8571428571429" customWidth="1"/>
  </cols>
  <sheetData>
    <row r="1" spans="1:13" ht="1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58</v>
      </c>
      <c r="M1" t="s">
        <v>60</v>
      </c>
    </row>
    <row r="2" spans="1:13" ht="15">
      <c r="A2" t="s">
        <v>67</v>
      </c>
      <c r="B2" t="s">
        <v>151</v>
      </c>
      <c r="C2" t="s">
        <v>275</v>
      </c>
      <c r="D2" t="s">
        <v>166</v>
      </c>
      <c r="E2" t="s">
        <v>210</v>
      </c>
      <c r="F2" t="s">
        <v>211</v>
      </c>
      <c r="G2">
        <v>2018</v>
      </c>
      <c r="H2" t="s">
        <v>210</v>
      </c>
      <c r="I2" t="s">
        <v>210</v>
      </c>
      <c r="J2" t="s">
        <v>210</v>
      </c>
      <c r="K2" t="s">
        <v>210</v>
      </c>
      <c r="L2">
        <v>0.135247613114969</v>
      </c>
      <c r="M2">
        <v>0.135247613114969</v>
      </c>
    </row>
    <row r="3" spans="1:13" ht="15">
      <c r="A3" t="s">
        <v>67</v>
      </c>
      <c r="B3" t="s">
        <v>151</v>
      </c>
      <c r="C3" t="s">
        <v>275</v>
      </c>
      <c r="D3" t="s">
        <v>167</v>
      </c>
      <c r="E3" t="s">
        <v>210</v>
      </c>
      <c r="F3" t="s">
        <v>211</v>
      </c>
      <c r="G3">
        <v>2018</v>
      </c>
      <c r="H3" t="s">
        <v>210</v>
      </c>
      <c r="I3" t="s">
        <v>210</v>
      </c>
      <c r="J3" t="s">
        <v>210</v>
      </c>
      <c r="K3" t="s">
        <v>210</v>
      </c>
      <c r="L3">
        <v>0.65611067742996398</v>
      </c>
      <c r="M3">
        <v>0.65611067742996398</v>
      </c>
    </row>
    <row r="4" spans="1:13" ht="15">
      <c r="A4" t="s">
        <v>67</v>
      </c>
      <c r="B4" t="s">
        <v>151</v>
      </c>
      <c r="C4" t="s">
        <v>275</v>
      </c>
      <c r="D4" t="s">
        <v>169</v>
      </c>
      <c r="E4" t="s">
        <v>210</v>
      </c>
      <c r="F4" t="s">
        <v>211</v>
      </c>
      <c r="G4">
        <v>2018</v>
      </c>
      <c r="H4" t="s">
        <v>210</v>
      </c>
      <c r="I4" t="s">
        <v>210</v>
      </c>
      <c r="J4" t="s">
        <v>210</v>
      </c>
      <c r="K4" t="s">
        <v>210</v>
      </c>
      <c r="L4">
        <v>0.34149098112577198</v>
      </c>
      <c r="M4">
        <v>0.34149098112577198</v>
      </c>
    </row>
    <row r="5" spans="1:13" ht="15">
      <c r="A5" t="s">
        <v>67</v>
      </c>
      <c r="B5" t="s">
        <v>151</v>
      </c>
      <c r="C5" t="s">
        <v>275</v>
      </c>
      <c r="D5" t="s">
        <v>168</v>
      </c>
      <c r="E5" t="s">
        <v>210</v>
      </c>
      <c r="F5" t="s">
        <v>211</v>
      </c>
      <c r="G5">
        <v>2018</v>
      </c>
      <c r="H5" t="s">
        <v>210</v>
      </c>
      <c r="I5" t="s">
        <v>210</v>
      </c>
      <c r="J5" t="s">
        <v>210</v>
      </c>
      <c r="K5" t="s">
        <v>210</v>
      </c>
      <c r="L5">
        <v>3.41124221983483</v>
      </c>
      <c r="M5">
        <v>3.41124221983483</v>
      </c>
    </row>
    <row r="6" spans="1:13" ht="15">
      <c r="A6" t="s">
        <v>67</v>
      </c>
      <c r="B6" t="s">
        <v>151</v>
      </c>
      <c r="C6" t="s">
        <v>275</v>
      </c>
      <c r="D6" t="s">
        <v>165</v>
      </c>
      <c r="E6" t="s">
        <v>210</v>
      </c>
      <c r="F6" t="s">
        <v>211</v>
      </c>
      <c r="G6">
        <v>2018</v>
      </c>
      <c r="H6" t="s">
        <v>210</v>
      </c>
      <c r="I6" t="s">
        <v>210</v>
      </c>
      <c r="J6" t="s">
        <v>210</v>
      </c>
      <c r="K6" t="s">
        <v>210</v>
      </c>
      <c r="L6">
        <v>0.125158654758175</v>
      </c>
      <c r="M6">
        <v>0.125158654758175</v>
      </c>
    </row>
    <row r="7" spans="1:13" ht="15">
      <c r="A7" t="s">
        <v>67</v>
      </c>
      <c r="B7" t="s">
        <v>151</v>
      </c>
      <c r="C7" t="s">
        <v>275</v>
      </c>
      <c r="D7" t="s">
        <v>163</v>
      </c>
      <c r="E7" t="s">
        <v>210</v>
      </c>
      <c r="F7" t="s">
        <v>211</v>
      </c>
      <c r="G7">
        <v>2018</v>
      </c>
      <c r="H7" t="s">
        <v>210</v>
      </c>
      <c r="I7" t="s">
        <v>210</v>
      </c>
      <c r="J7" t="s">
        <v>210</v>
      </c>
      <c r="K7" t="s">
        <v>210</v>
      </c>
      <c r="L7">
        <v>0.30754680541104201</v>
      </c>
      <c r="M7">
        <v>0.30754680541104201</v>
      </c>
    </row>
    <row r="8" spans="1:13" ht="15">
      <c r="A8" t="s">
        <v>67</v>
      </c>
      <c r="B8" t="s">
        <v>151</v>
      </c>
      <c r="C8" t="s">
        <v>275</v>
      </c>
      <c r="D8" t="s">
        <v>164</v>
      </c>
      <c r="E8" t="s">
        <v>210</v>
      </c>
      <c r="F8" t="s">
        <v>211</v>
      </c>
      <c r="G8">
        <v>2018</v>
      </c>
      <c r="H8" t="s">
        <v>210</v>
      </c>
      <c r="I8" t="s">
        <v>210</v>
      </c>
      <c r="J8" t="s">
        <v>210</v>
      </c>
      <c r="K8" t="s">
        <v>210</v>
      </c>
      <c r="L8">
        <v>0.086436286608257501</v>
      </c>
      <c r="M8">
        <v>0.086436286608257501</v>
      </c>
    </row>
    <row r="9" spans="1:13" ht="15">
      <c r="A9" t="s">
        <v>67</v>
      </c>
      <c r="B9" t="s">
        <v>151</v>
      </c>
      <c r="C9" t="s">
        <v>276</v>
      </c>
      <c r="D9" t="s">
        <v>173</v>
      </c>
      <c r="E9" t="s">
        <v>210</v>
      </c>
      <c r="F9" t="s">
        <v>211</v>
      </c>
      <c r="G9">
        <v>2018</v>
      </c>
      <c r="H9" t="s">
        <v>210</v>
      </c>
      <c r="I9" t="s">
        <v>210</v>
      </c>
      <c r="J9" t="s">
        <v>210</v>
      </c>
      <c r="K9" t="s">
        <v>210</v>
      </c>
      <c r="L9">
        <v>0.032190254153783002</v>
      </c>
      <c r="M9">
        <v>0.032190254153783002</v>
      </c>
    </row>
    <row r="10" spans="1:13" ht="15">
      <c r="A10" t="s">
        <v>67</v>
      </c>
      <c r="B10" t="s">
        <v>151</v>
      </c>
      <c r="C10" t="s">
        <v>276</v>
      </c>
      <c r="D10" t="s">
        <v>174</v>
      </c>
      <c r="E10" t="s">
        <v>210</v>
      </c>
      <c r="F10" t="s">
        <v>211</v>
      </c>
      <c r="G10">
        <v>2018</v>
      </c>
      <c r="H10" t="s">
        <v>210</v>
      </c>
      <c r="I10" t="s">
        <v>210</v>
      </c>
      <c r="J10" t="s">
        <v>210</v>
      </c>
      <c r="K10" t="s">
        <v>210</v>
      </c>
      <c r="L10">
        <v>0.16206914757843699</v>
      </c>
      <c r="M10">
        <v>0.16206914757843699</v>
      </c>
    </row>
    <row r="11" spans="1:13" ht="15">
      <c r="A11" t="s">
        <v>67</v>
      </c>
      <c r="B11" t="s">
        <v>151</v>
      </c>
      <c r="C11" t="s">
        <v>276</v>
      </c>
      <c r="D11" t="s">
        <v>176</v>
      </c>
      <c r="E11" t="s">
        <v>210</v>
      </c>
      <c r="F11" t="s">
        <v>211</v>
      </c>
      <c r="G11">
        <v>2018</v>
      </c>
      <c r="H11" t="s">
        <v>210</v>
      </c>
      <c r="I11" t="s">
        <v>210</v>
      </c>
      <c r="J11" t="s">
        <v>210</v>
      </c>
      <c r="K11" t="s">
        <v>210</v>
      </c>
      <c r="L11">
        <v>0.052612374241425702</v>
      </c>
      <c r="M11">
        <v>0.052612374241425702</v>
      </c>
    </row>
    <row r="12" spans="1:13" ht="15">
      <c r="A12" t="s">
        <v>67</v>
      </c>
      <c r="B12" t="s">
        <v>151</v>
      </c>
      <c r="C12" t="s">
        <v>276</v>
      </c>
      <c r="D12" t="s">
        <v>175</v>
      </c>
      <c r="E12" t="s">
        <v>210</v>
      </c>
      <c r="F12" t="s">
        <v>211</v>
      </c>
      <c r="G12">
        <v>2018</v>
      </c>
      <c r="H12" t="s">
        <v>210</v>
      </c>
      <c r="I12" t="s">
        <v>210</v>
      </c>
      <c r="J12" t="s">
        <v>210</v>
      </c>
      <c r="K12" t="s">
        <v>210</v>
      </c>
      <c r="L12">
        <v>0.84262783364201499</v>
      </c>
      <c r="M12">
        <v>0.84262783364201499</v>
      </c>
    </row>
    <row r="13" spans="1:13" ht="15">
      <c r="A13" t="s">
        <v>67</v>
      </c>
      <c r="B13" t="s">
        <v>151</v>
      </c>
      <c r="C13" t="s">
        <v>276</v>
      </c>
      <c r="D13" t="s">
        <v>172</v>
      </c>
      <c r="E13" t="s">
        <v>210</v>
      </c>
      <c r="F13" t="s">
        <v>211</v>
      </c>
      <c r="G13">
        <v>2018</v>
      </c>
      <c r="H13" t="s">
        <v>210</v>
      </c>
      <c r="I13" t="s">
        <v>210</v>
      </c>
      <c r="J13" t="s">
        <v>210</v>
      </c>
      <c r="K13" t="s">
        <v>210</v>
      </c>
      <c r="L13">
        <v>0.0193475483290594</v>
      </c>
      <c r="M13">
        <v>0.0193475483290594</v>
      </c>
    </row>
    <row r="14" spans="1:13" ht="15">
      <c r="A14" t="s">
        <v>67</v>
      </c>
      <c r="B14" t="s">
        <v>151</v>
      </c>
      <c r="C14" t="s">
        <v>276</v>
      </c>
      <c r="D14" t="s">
        <v>170</v>
      </c>
      <c r="E14" t="s">
        <v>210</v>
      </c>
      <c r="F14" t="s">
        <v>211</v>
      </c>
      <c r="G14">
        <v>2018</v>
      </c>
      <c r="H14" t="s">
        <v>210</v>
      </c>
      <c r="I14" t="s">
        <v>210</v>
      </c>
      <c r="J14" t="s">
        <v>210</v>
      </c>
      <c r="K14" t="s">
        <v>210</v>
      </c>
      <c r="L14">
        <v>0.104177979439828</v>
      </c>
      <c r="M14">
        <v>0.104177979439828</v>
      </c>
    </row>
    <row r="15" spans="1:13" ht="15">
      <c r="A15" t="s">
        <v>67</v>
      </c>
      <c r="B15" t="s">
        <v>151</v>
      </c>
      <c r="C15" t="s">
        <v>276</v>
      </c>
      <c r="D15" t="s">
        <v>171</v>
      </c>
      <c r="E15" t="s">
        <v>210</v>
      </c>
      <c r="F15" t="s">
        <v>211</v>
      </c>
      <c r="G15">
        <v>2018</v>
      </c>
      <c r="H15" t="s">
        <v>210</v>
      </c>
      <c r="I15" t="s">
        <v>210</v>
      </c>
      <c r="J15" t="s">
        <v>210</v>
      </c>
      <c r="K15" t="s">
        <v>210</v>
      </c>
      <c r="L15">
        <v>0.025794975305082499</v>
      </c>
      <c r="M15">
        <v>0.025794975305082499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BY-Demands</vt:lpstr>
      <vt:lpstr>REG_TRA_DEMANDS</vt:lpstr>
      <vt:lpstr>Regions</vt:lpstr>
      <vt:lpstr>DEMANDS</vt:lpstr>
      <vt:lpstr>Residential</vt:lpstr>
      <vt:lpstr>Inputs_RSD</vt:lpstr>
      <vt:lpstr>Fill_data</vt:lpstr>
      <vt:lpstr>Services</vt:lpstr>
      <vt:lpstr>Inputs_SRV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Bakytzhan Suleimenov</cp:lastModifiedBy>
  <dcterms:created xsi:type="dcterms:W3CDTF">2015-06-05T18:17:20Z</dcterms:created>
  <dcterms:modified xsi:type="dcterms:W3CDTF">2025-01-17T13:20:06Z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59475183486938</vt:r8>
  </property>
</Properties>
</file>