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TIM 2100\SuppXLS\"/>
    </mc:Choice>
  </mc:AlternateContent>
  <xr:revisionPtr revIDLastSave="0" documentId="13_ncr:1_{B1049390-16D7-458D-A896-6D93D5494DF0}" xr6:coauthVersionLast="47" xr6:coauthVersionMax="47" xr10:uidLastSave="{00000000-0000-0000-0000-000000000000}"/>
  <bookViews>
    <workbookView xWindow="3550" yWindow="14290" windowWidth="19420" windowHeight="10300" activeTab="2" xr2:uid="{00000000-000D-0000-FFFF-FFFF00000000}"/>
  </bookViews>
  <sheets>
    <sheet name="Cover" sheetId="16" r:id="rId1"/>
    <sheet name="Regions" sheetId="15" r:id="rId2"/>
    <sheet name="UC_ModalShares" sheetId="1" r:id="rId3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3" i="1" l="1"/>
  <c r="AH15" i="1"/>
  <c r="N57" i="1" l="1"/>
  <c r="E23" i="1"/>
  <c r="E17" i="1"/>
  <c r="O57" i="1" l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N55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N53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N5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N41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N39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N37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N35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I33" i="1"/>
  <c r="AJ33" i="1"/>
  <c r="AK33" i="1"/>
  <c r="AL33" i="1"/>
  <c r="AM33" i="1"/>
  <c r="AN33" i="1"/>
  <c r="N3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N23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N21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N19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N17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I15" i="1"/>
  <c r="AJ15" i="1"/>
  <c r="AK15" i="1"/>
  <c r="AL15" i="1"/>
  <c r="AM15" i="1"/>
  <c r="AN15" i="1"/>
  <c r="N15" i="1"/>
  <c r="O13" i="1" l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N13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N11" i="1"/>
  <c r="M23" i="1" l="1"/>
  <c r="H33" i="1"/>
  <c r="H35" i="1" s="1"/>
  <c r="H51" i="1"/>
  <c r="AK44" i="1" l="1"/>
  <c r="AN60" i="1"/>
  <c r="AF60" i="1"/>
  <c r="N44" i="1"/>
  <c r="AC44" i="1"/>
  <c r="U44" i="1"/>
  <c r="N60" i="1"/>
  <c r="AH60" i="1"/>
  <c r="AL60" i="1"/>
  <c r="AI44" i="1"/>
  <c r="AK60" i="1"/>
  <c r="AC60" i="1"/>
  <c r="U60" i="1"/>
  <c r="AH44" i="1"/>
  <c r="Z44" i="1"/>
  <c r="R44" i="1"/>
  <c r="S44" i="1"/>
  <c r="AJ60" i="1"/>
  <c r="AB60" i="1"/>
  <c r="T60" i="1"/>
  <c r="AG44" i="1"/>
  <c r="Y44" i="1"/>
  <c r="Q44" i="1"/>
  <c r="W60" i="1"/>
  <c r="O60" i="1"/>
  <c r="Y60" i="1"/>
  <c r="Q60" i="1"/>
  <c r="AI60" i="1"/>
  <c r="AA60" i="1"/>
  <c r="S60" i="1"/>
  <c r="AN44" i="1"/>
  <c r="AF44" i="1"/>
  <c r="X44" i="1"/>
  <c r="P44" i="1"/>
  <c r="AD60" i="1"/>
  <c r="Z60" i="1"/>
  <c r="R60" i="1"/>
  <c r="AM44" i="1"/>
  <c r="AE44" i="1"/>
  <c r="W44" i="1"/>
  <c r="O44" i="1"/>
  <c r="AA44" i="1"/>
  <c r="AG60" i="1"/>
  <c r="AL44" i="1"/>
  <c r="AD44" i="1"/>
  <c r="V44" i="1"/>
  <c r="V60" i="1"/>
  <c r="X60" i="1"/>
  <c r="P60" i="1"/>
  <c r="AM60" i="1"/>
  <c r="AE60" i="1"/>
  <c r="AJ44" i="1"/>
  <c r="AB44" i="1"/>
  <c r="T44" i="1"/>
  <c r="M57" i="1"/>
  <c r="M41" i="1"/>
  <c r="M21" i="1"/>
  <c r="M39" i="1" s="1"/>
  <c r="M19" i="1"/>
  <c r="M37" i="1" s="1"/>
  <c r="M17" i="1"/>
  <c r="M35" i="1" s="1"/>
  <c r="M51" i="1" s="1"/>
  <c r="M15" i="1"/>
  <c r="M33" i="1" s="1"/>
  <c r="M13" i="1"/>
  <c r="M11" i="1"/>
  <c r="H11" i="1"/>
  <c r="H13" i="1" s="1"/>
  <c r="AK26" i="1" l="1"/>
  <c r="AC26" i="1"/>
  <c r="U26" i="1"/>
  <c r="AL26" i="1"/>
  <c r="AJ26" i="1"/>
  <c r="AB26" i="1"/>
  <c r="T26" i="1"/>
  <c r="AI26" i="1"/>
  <c r="AA26" i="1"/>
  <c r="S26" i="1"/>
  <c r="AH26" i="1"/>
  <c r="Z26" i="1"/>
  <c r="R26" i="1"/>
  <c r="V26" i="1"/>
  <c r="AG26" i="1"/>
  <c r="Y26" i="1"/>
  <c r="Q26" i="1"/>
  <c r="AD26" i="1"/>
  <c r="N26" i="1"/>
  <c r="AN26" i="1"/>
  <c r="AF26" i="1"/>
  <c r="X26" i="1"/>
  <c r="P26" i="1"/>
  <c r="AM26" i="1"/>
  <c r="AE26" i="1"/>
  <c r="W26" i="1"/>
  <c r="O26" i="1"/>
  <c r="E57" i="1"/>
  <c r="E21" i="1"/>
  <c r="E19" i="1"/>
  <c r="E15" i="1"/>
  <c r="E33" i="1" s="1"/>
  <c r="E13" i="1"/>
  <c r="E11" i="1"/>
  <c r="AN50" i="1" l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O10" i="1"/>
  <c r="N10" i="1"/>
  <c r="AD7" i="15"/>
  <c r="AC7" i="15"/>
  <c r="AB7" i="15"/>
  <c r="Z7" i="15"/>
  <c r="Y7" i="15"/>
  <c r="W7" i="15"/>
  <c r="D7" i="15"/>
  <c r="C7" i="15"/>
  <c r="AD6" i="15"/>
  <c r="AC6" i="15"/>
  <c r="X6" i="15"/>
  <c r="W6" i="15"/>
  <c r="V6" i="15"/>
  <c r="U6" i="15"/>
  <c r="P6" i="15"/>
  <c r="O6" i="15"/>
  <c r="N6" i="15"/>
  <c r="M6" i="15"/>
  <c r="H6" i="15"/>
  <c r="G6" i="15"/>
  <c r="F6" i="15"/>
  <c r="E6" i="15"/>
  <c r="D6" i="15"/>
  <c r="C6" i="15"/>
  <c r="AD5" i="15"/>
  <c r="AD3" i="15" s="1" a="1"/>
  <c r="AD3" i="15" s="1"/>
  <c r="AC5" i="15"/>
  <c r="AB5" i="15"/>
  <c r="AB6" i="15" s="1"/>
  <c r="AA5" i="15"/>
  <c r="AA7" i="15" s="1"/>
  <c r="Z5" i="15"/>
  <c r="Z3" i="15" s="1" a="1"/>
  <c r="Z3" i="15" s="1"/>
  <c r="Y5" i="15"/>
  <c r="Y6" i="15" s="1"/>
  <c r="X5" i="15"/>
  <c r="X7" i="15" s="1"/>
  <c r="W5" i="15"/>
  <c r="V5" i="15"/>
  <c r="V3" i="15" s="1" a="1"/>
  <c r="V3" i="15" s="1"/>
  <c r="U5" i="15"/>
  <c r="U7" i="15" s="1"/>
  <c r="T5" i="15"/>
  <c r="T6" i="15" s="1"/>
  <c r="S5" i="15"/>
  <c r="S7" i="15" s="1"/>
  <c r="R5" i="15"/>
  <c r="R3" i="15" s="1" a="1"/>
  <c r="R3" i="15" s="1"/>
  <c r="Q5" i="15"/>
  <c r="Q7" i="15" s="1"/>
  <c r="P5" i="15"/>
  <c r="P7" i="15" s="1"/>
  <c r="O5" i="15"/>
  <c r="O7" i="15" s="1"/>
  <c r="N5" i="15"/>
  <c r="N3" i="15" s="1" a="1"/>
  <c r="N3" i="15" s="1"/>
  <c r="M5" i="15"/>
  <c r="M7" i="15" s="1"/>
  <c r="L5" i="15"/>
  <c r="L6" i="15" s="1"/>
  <c r="K5" i="15"/>
  <c r="K7" i="15" s="1"/>
  <c r="J5" i="15"/>
  <c r="J3" i="15" s="1" a="1"/>
  <c r="J3" i="15" s="1"/>
  <c r="I5" i="15"/>
  <c r="I7" i="15" s="1"/>
  <c r="H5" i="15"/>
  <c r="H7" i="15" s="1"/>
  <c r="G5" i="15"/>
  <c r="G7" i="15" s="1"/>
  <c r="F5" i="15"/>
  <c r="F3" i="15" s="1" a="1"/>
  <c r="F3" i="15" s="1"/>
  <c r="E5" i="15"/>
  <c r="E7" i="15" s="1"/>
  <c r="AC3" i="15" a="1"/>
  <c r="AC3" i="15" s="1"/>
  <c r="AA3" i="15" a="1"/>
  <c r="AA3" i="15" s="1"/>
  <c r="Y3" i="15" a="1"/>
  <c r="Y3" i="15" s="1"/>
  <c r="X3" i="15" a="1"/>
  <c r="X3" i="15" s="1"/>
  <c r="W3" i="15" a="1"/>
  <c r="W3" i="15" s="1"/>
  <c r="U3" i="15" a="1"/>
  <c r="U3" i="15" s="1"/>
  <c r="S3" i="15" a="1"/>
  <c r="S3" i="15" s="1"/>
  <c r="Q3" i="15" a="1"/>
  <c r="Q3" i="15" s="1"/>
  <c r="P3" i="15" a="1"/>
  <c r="P3" i="15" s="1"/>
  <c r="O3" i="15" a="1"/>
  <c r="O3" i="15" s="1"/>
  <c r="M3" i="15" a="1"/>
  <c r="M3" i="15" s="1"/>
  <c r="K3" i="15" a="1"/>
  <c r="K3" i="15" s="1"/>
  <c r="I3" i="15" a="1"/>
  <c r="I3" i="15" s="1"/>
  <c r="H3" i="15" a="1"/>
  <c r="H3" i="15" s="1"/>
  <c r="G3" i="15" a="1"/>
  <c r="G3" i="15" s="1"/>
  <c r="E3" i="15" a="1"/>
  <c r="E3" i="15" s="1"/>
  <c r="D3" i="15" a="1"/>
  <c r="D3" i="15" s="1"/>
  <c r="C3" i="15" a="1"/>
  <c r="C3" i="15" s="1"/>
  <c r="L7" i="15" l="1"/>
  <c r="T7" i="15"/>
  <c r="I6" i="15"/>
  <c r="Q6" i="15"/>
  <c r="J6" i="15"/>
  <c r="R6" i="15"/>
  <c r="Z6" i="15"/>
  <c r="F7" i="15"/>
  <c r="N7" i="15"/>
  <c r="V7" i="15"/>
  <c r="L3" i="15" a="1"/>
  <c r="L3" i="15" s="1"/>
  <c r="T3" i="15" a="1"/>
  <c r="T3" i="15" s="1"/>
  <c r="AB3" i="15" a="1"/>
  <c r="AB3" i="15" s="1"/>
  <c r="K6" i="15"/>
  <c r="S6" i="15"/>
  <c r="AA6" i="15"/>
  <c r="J7" i="15"/>
  <c r="R7" i="15"/>
  <c r="E35" i="1"/>
  <c r="E51" i="1" s="1"/>
  <c r="E37" i="1"/>
  <c r="E53" i="1" s="1"/>
  <c r="E39" i="1"/>
  <c r="E55" i="1" s="1"/>
  <c r="E41" i="1"/>
  <c r="H53" i="1" l="1"/>
  <c r="H55" i="1" s="1"/>
  <c r="H37" i="1"/>
  <c r="H39" i="1" s="1"/>
  <c r="H41" i="1" s="1"/>
  <c r="M53" i="1"/>
  <c r="M55" i="1"/>
  <c r="H57" i="1" l="1"/>
  <c r="H15" i="1" l="1"/>
  <c r="H17" i="1" s="1"/>
  <c r="H19" i="1" s="1"/>
  <c r="H21" i="1" s="1"/>
  <c r="H2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<sst xmlns="http://schemas.openxmlformats.org/spreadsheetml/2006/main" count="401" uniqueCount="216">
  <si>
    <t>UC_N</t>
  </si>
  <si>
    <t>Pset_CI</t>
  </si>
  <si>
    <t>Year</t>
  </si>
  <si>
    <t>Pset_PN</t>
  </si>
  <si>
    <t>Pset_Set</t>
  </si>
  <si>
    <t>Cset_CN</t>
  </si>
  <si>
    <t>Pset_CO</t>
  </si>
  <si>
    <t>UC_FLO</t>
  </si>
  <si>
    <t>Attribute</t>
  </si>
  <si>
    <t>LimType</t>
  </si>
  <si>
    <t>~UC_Sets: T_E:</t>
  </si>
  <si>
    <t>UC_Desc</t>
  </si>
  <si>
    <t>UC - Each Region/Period</t>
  </si>
  <si>
    <t>UC_RHSRTS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</si>
  <si>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</si>
  <si>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</si>
  <si>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</si>
  <si>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</si>
  <si>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</si>
  <si>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</si>
  <si>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</si>
  <si>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</si>
  <si>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</si>
  <si>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</si>
  <si>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</si>
  <si>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</si>
  <si>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</si>
  <si>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</si>
  <si>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</si>
  <si>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</si>
  <si>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</si>
  <si>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</si>
  <si>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</si>
  <si>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</si>
  <si>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</si>
  <si>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</si>
  <si>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</si>
  <si>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</si>
  <si>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</si>
  <si>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</si>
  <si>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TRAPS</t>
  </si>
  <si>
    <t>TRAPM</t>
  </si>
  <si>
    <t>TRAPL</t>
  </si>
  <si>
    <t>~UC_T:UC_COMPRD</t>
  </si>
  <si>
    <t>LO</t>
  </si>
  <si>
    <t>UC_cycling_S</t>
  </si>
  <si>
    <t>UC_motorcycle_S</t>
  </si>
  <si>
    <t>UC_LDVs_S</t>
  </si>
  <si>
    <t>UC_Taxis_S</t>
  </si>
  <si>
    <t>UC_BUS_S</t>
  </si>
  <si>
    <t>UC_motorcycle_M</t>
  </si>
  <si>
    <t>UC_LDVs_M</t>
  </si>
  <si>
    <t>UC_Taxis_M</t>
  </si>
  <si>
    <t>UC_BUS_M</t>
  </si>
  <si>
    <t>UC_LDVs_L</t>
  </si>
  <si>
    <t>UC_Taxis_L</t>
  </si>
  <si>
    <t>UC_BUS_L</t>
  </si>
  <si>
    <t>UC_Train_L</t>
  </si>
  <si>
    <t>UC_Light_rail_LUAS_S</t>
  </si>
  <si>
    <t>UC_walking_S</t>
  </si>
  <si>
    <t>~UC_Sets: R_E:AllRegions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</si>
  <si>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</si>
  <si>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</si>
  <si>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</si>
  <si>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</si>
  <si>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</si>
  <si>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</si>
  <si>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</si>
  <si>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</si>
  <si>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</si>
  <si>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</si>
  <si>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</si>
  <si>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</si>
  <si>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</si>
  <si>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</si>
  <si>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</si>
  <si>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</si>
  <si>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</si>
  <si>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</si>
  <si>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</si>
  <si>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</si>
  <si>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</si>
  <si>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</si>
  <si>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</si>
  <si>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</si>
  <si>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</si>
  <si>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</si>
  <si>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</si>
  <si>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</si>
  <si>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</si>
  <si>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</si>
  <si>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</si>
  <si>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</si>
  <si>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</si>
  <si>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</si>
  <si>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Vehicle type (Existing technologies)</t>
  </si>
  <si>
    <t>End-use technologies</t>
  </si>
  <si>
    <t>Description</t>
  </si>
  <si>
    <t>Passengers</t>
  </si>
  <si>
    <t>Active modes</t>
  </si>
  <si>
    <t>T-WLK_WLK</t>
  </si>
  <si>
    <t>TRA Walking</t>
  </si>
  <si>
    <t>T-CYC_CYC</t>
  </si>
  <si>
    <t>TRA Cycling</t>
  </si>
  <si>
    <t>Two-wheelers</t>
  </si>
  <si>
    <t>T-MOT-ICE_GSL00</t>
  </si>
  <si>
    <t>TRA Motorcycles: Gasoline ICEs - Existing</t>
  </si>
  <si>
    <t>Private cars</t>
  </si>
  <si>
    <t>T-CAR-ICE_GSL00</t>
  </si>
  <si>
    <t>TRA Cars: Gasoline ICEs - Existing</t>
  </si>
  <si>
    <t>T-CAR-ICE_DST00</t>
  </si>
  <si>
    <t>TRA Cars: Diesel ICEs - Existing</t>
  </si>
  <si>
    <t>T-CAR-ICE_DF00</t>
  </si>
  <si>
    <t>TRA Cars: Dual fuel ICEs - Existing</t>
  </si>
  <si>
    <t>T-CAR-ICE_E8500</t>
  </si>
  <si>
    <t>TRA Cars: Flex fuel ICEs - Existing</t>
  </si>
  <si>
    <t>T-CAR-HEV_GSL00</t>
  </si>
  <si>
    <t>TRA Cars: Gasoline HEV - Existing</t>
  </si>
  <si>
    <t>T-CAR-HEV_DST00</t>
  </si>
  <si>
    <t>TRA Cars: Diesel HEV - Existing</t>
  </si>
  <si>
    <t>T-CAR-PHEV_GSL00</t>
  </si>
  <si>
    <t>TRA Cars: Gasoline PHEV - Existing</t>
  </si>
  <si>
    <t>T-CAR-PHEV_DST00</t>
  </si>
  <si>
    <t>TRA Cars: Diesel PHEV - Existing</t>
  </si>
  <si>
    <t>T-CAR-BEV_ELC00</t>
  </si>
  <si>
    <t>TRA Cars: Battery Electric Vehicle - Existing</t>
  </si>
  <si>
    <t>Small public services (Taxi)</t>
  </si>
  <si>
    <t>T-TAX-ICE_GSL00</t>
  </si>
  <si>
    <t>TRA Taxis: Gasoline ICEs - Existing</t>
  </si>
  <si>
    <t>T-TAX-ICE_DST00</t>
  </si>
  <si>
    <t>TRA Taxis: Diesel ICEs - Existing</t>
  </si>
  <si>
    <t>T-TAX-HEV_GSL00</t>
  </si>
  <si>
    <t>TRA Taxis: Gasoline HEVs - Existing</t>
  </si>
  <si>
    <t>Large public services (Bus)</t>
  </si>
  <si>
    <t>T-BUS-ICE_DST00</t>
  </si>
  <si>
    <t>TRA BUS: Diesel ICEs - Existing</t>
  </si>
  <si>
    <t>Rail</t>
  </si>
  <si>
    <t>T-LPT-EV_ELC00</t>
  </si>
  <si>
    <t>TRA Light Passenger Train: Electric - Existing</t>
  </si>
  <si>
    <t>T-HPT-EV_ELC00</t>
  </si>
  <si>
    <t>TRA Heavy Passenger Train: Electric - Existing</t>
  </si>
  <si>
    <t>T-HPT-ICE_DST00</t>
  </si>
  <si>
    <t>TRA Heavy Passenger Train: Diesel - Existing</t>
  </si>
  <si>
    <t>Freights</t>
  </si>
  <si>
    <t>Goods vehicle</t>
  </si>
  <si>
    <t>T-LGT-ICE_GSL00</t>
  </si>
  <si>
    <t>TRA Light Goods Truck: Gasoline ICEs - Existing</t>
  </si>
  <si>
    <t>T-HGT-ICE_DST00</t>
  </si>
  <si>
    <t>TRA Heavy Goods Truck: Diesel ICEs - Existing</t>
  </si>
  <si>
    <t>T-GTR-ICE_DST00</t>
  </si>
  <si>
    <t>TRA Goods Train: ICE Diesel Train - Existing</t>
  </si>
  <si>
    <t>Tourism, Navigation, and others</t>
  </si>
  <si>
    <t>T-TUR_CON00</t>
  </si>
  <si>
    <t>TRA Tourism: Conventional Tourism Vehicles - Existing</t>
  </si>
  <si>
    <t>T-NAV_CON00</t>
  </si>
  <si>
    <t>TRA Navigation: Conventional Navigation Vehicles - Existing</t>
  </si>
  <si>
    <t>T-OTH_CON00</t>
  </si>
  <si>
    <t xml:space="preserve">TRA Unspecified: Conventional Unspecified Vehicles - Existing </t>
  </si>
  <si>
    <t>Aviation</t>
  </si>
  <si>
    <t>T-AVI_DOM00</t>
  </si>
  <si>
    <t>TRA Domestic Aviation: Aviation for Domestic Flights</t>
  </si>
  <si>
    <t>T-AVI_INT00</t>
  </si>
  <si>
    <t>TRA International Aviation: Aviation for International Flights</t>
  </si>
  <si>
    <t>Category</t>
  </si>
  <si>
    <t>Distance</t>
  </si>
  <si>
    <t>Demand</t>
  </si>
  <si>
    <t>Unit</t>
  </si>
  <si>
    <t>Short-range</t>
  </si>
  <si>
    <t>&lt; 5 km</t>
  </si>
  <si>
    <t>Bpkm</t>
  </si>
  <si>
    <t>Medium-range</t>
  </si>
  <si>
    <t>5-30 km</t>
  </si>
  <si>
    <t>Long-range</t>
  </si>
  <si>
    <t>&gt; 30 km</t>
  </si>
  <si>
    <t>Modes</t>
  </si>
  <si>
    <t>Transport type</t>
  </si>
  <si>
    <t>Non-motorized</t>
  </si>
  <si>
    <t>Walk</t>
  </si>
  <si>
    <t>Bike</t>
  </si>
  <si>
    <t>Private</t>
  </si>
  <si>
    <t>2-wheelers</t>
  </si>
  <si>
    <t>LDV</t>
  </si>
  <si>
    <t>Public</t>
  </si>
  <si>
    <t>Taxis</t>
  </si>
  <si>
    <t>BUS</t>
  </si>
  <si>
    <t>Light rail (LUAS)</t>
  </si>
  <si>
    <t>Train</t>
  </si>
  <si>
    <t>The following shares come from Demand sheet in VT file</t>
  </si>
  <si>
    <t>Share of transport modes in short-range passenger demand in 2018</t>
  </si>
  <si>
    <t>TOTAL</t>
  </si>
  <si>
    <t>Share of transport modes in medium-range passenger demand in 2018</t>
  </si>
  <si>
    <t>Share of transport modes in long-range passenger demand in 2018</t>
  </si>
  <si>
    <t>UC_Light_rail_LUAS_M</t>
  </si>
  <si>
    <t>check</t>
  </si>
  <si>
    <t>T-LGT-ICE_DST00</t>
  </si>
  <si>
    <t>TRA Light Goods Truck: Diesel ICEs - Existing</t>
  </si>
  <si>
    <t>T-MGT-ICE_DST00</t>
  </si>
  <si>
    <t>TRA Medium Goods Truck: Diesel ICEs - Existing</t>
  </si>
  <si>
    <t>User constraints for modal share in passenger transport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</si>
  <si>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</si>
  <si>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</si>
  <si>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</si>
  <si>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</si>
  <si>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</si>
  <si>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</si>
  <si>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</si>
  <si>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</si>
  <si>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</si>
  <si>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</si>
  <si>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</si>
  <si>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</si>
  <si>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Vahid Aryanpur (UCC, vahid.aryanpur@ucc.ie)</t>
  </si>
  <si>
    <t xml:space="preserve">Olexandr Balyk ( MaREI, olexandr.balyk@ucc.ie) </t>
  </si>
  <si>
    <t>Share of transport modes in passenger demand in BAU scenario</t>
  </si>
  <si>
    <t>Scenario</t>
  </si>
  <si>
    <t>Transport sector (TRA)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</si>
</sst>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42" formatCode="_-&quot;€&quot;* #,##0_-;\-&quot;€&quot;* #,##0_-;_-&quot;€&quot;* &quot;-&quot;_-;_-@_-"/>
    <numFmt numFmtId="41" formatCode="_-* #,##0_-;\-* #,##0_-;_-* &quot;-&quot;_-;_-@_-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0.0%"/>
    <numFmt numFmtId="167" formatCode="_-* #,##0_-;\-* #,##0_-;_-* &quot;-&quot;??_-;_-@_-"/>
    <numFmt numFmtId="168" formatCode="0.0000"/>
    <numFmt numFmtId="169" formatCode="0.0000%"/>
    <numFmt numFmtId="170" formatCode="0.0"/>
    <numFmt numFmtId="171" formatCode="_(&quot;$&quot;* #,##0.00_);_(&quot;$&quot;* \(#,##0.00\);_(&quot;$&quot;* &quot;-&quot;??_);_(@_)"/>
    <numFmt numFmtId="172" formatCode="0.00_)"/>
    <numFmt numFmtId="173" formatCode="_ * #,##0_ ;_ * \-#,##0_ ;_ * &quot;-&quot;_ ;_ @_ "/>
    <numFmt numFmtId="174" formatCode="_ * #,##0.00_ ;_ * \-#,##0.00_ ;_ * &quot;-&quot;??_ ;_ @_ "/>
    <numFmt numFmtId="175" formatCode="General_)"/>
    <numFmt numFmtId="176" formatCode="_-* #,##0.00\ _€_-;\-* #,##0.00\ _€_-;_-* &quot;-&quot;??\ _€_-;_-@_-"/>
    <numFmt numFmtId="177" formatCode="_-* #,##0.00\ [$€]_-;\-* #,##0.00\ [$€]_-;_-* &quot;-&quot;??\ [$€]_-;_-@_-"/>
    <numFmt numFmtId="178" formatCode="#.##000"/>
    <numFmt numFmtId="179" formatCode="\$#,#00"/>
    <numFmt numFmtId="180" formatCode="#."/>
    <numFmt numFmtId="181" formatCode="_([$€]* #,##0.00_);_([$€]* \(#,##0.00\);_([$€]* &quot;-&quot;??_);_(@_)"/>
    <numFmt numFmtId="182" formatCode="_-[$€]* #,##0.00_-;\-[$€]* #,##0.00_-;_-[$€]* &quot;-&quot;??_-;_-@_-"/>
    <numFmt numFmtId="183" formatCode="#,#00"/>
    <numFmt numFmtId="184" formatCode="_-* #,##0\ _€_-;\-* #,##0\ _€_-;_-* &quot;-&quot;\ _€_-;_-@_-"/>
    <numFmt numFmtId="185" formatCode="_-* #,##0.00\ _p_t_a_-;\-* #,##0.00\ _p_t_a_-;_-* &quot;-&quot;??\ _p_t_a_-;_-@_-"/>
    <numFmt numFmtId="186" formatCode="_-* #,##0.00\ _P_t_s_-;\-* #,##0.00\ _P_t_s_-;_-* &quot;-&quot;??\ _P_t_s_-;_-@_-"/>
    <numFmt numFmtId="187" formatCode="mmm"/>
    <numFmt numFmtId="188" formatCode="#,##0.000\ "/>
    <numFmt numFmtId="189" formatCode="%#,#00"/>
    <numFmt numFmtId="190" formatCode="_-&quot;$&quot;\ * #,##0.00_-;\-&quot;$&quot;\ * #,##0.00_-;_-&quot;$&quot;\ * &quot;-&quot;??_-;_-@_-"/>
    <numFmt numFmtId="191" formatCode="_-[$€-2]\ * #,##0.00_-;\-[$€-2]\ * #,##0.00_-;_-[$€-2]\ * &quot;-&quot;??_-"/>
    <numFmt numFmtId="192" formatCode="\$#,##0\ ;\(\$#,##0\)"/>
    <numFmt numFmtId="193" formatCode="_-* #,##0.00\ _P_t_a_-;\-* #,##0.00\ _P_t_a_-;_-* &quot;-&quot;??\ _P_t_a_-;_-@_-"/>
    <numFmt numFmtId="194" formatCode="_ [$€-2]\ * #,##0.00_ ;_ [$€-2]\ * \-#,##0.00_ ;_ [$€-2]\ * &quot;-&quot;??_ "/>
    <numFmt numFmtId="195" formatCode="_ &quot;$&quot;\ * #,##0.00_ ;_ &quot;$&quot;\ * \-#,##0.00_ ;_ &quot;$&quot;\ * &quot;-&quot;??_ ;_ @_ "/>
    <numFmt numFmtId="196" formatCode="[$-340A]d&quot; de &quot;mmmm&quot; de &quot;yyyy;@"/>
    <numFmt numFmtId="197" formatCode="_ * #,##0_ ;_ * \-#,##0_ ;_ * &quot;-&quot;??_ ;_ @_ "/>
  </numFmts>
  <fonts count="134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24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2"/>
      <name val="Arial"/>
      <family val="2"/>
    </font>
    <font>
      <sz val="10"/>
      <name val="MS Sans Serif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</font>
    <font>
      <sz val="9"/>
      <name val="Times New Roman"/>
      <family val="1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8"/>
      <name val="Arial"/>
      <family val="2"/>
    </font>
    <font>
      <sz val="10"/>
      <color indexed="9"/>
      <name val="Arial"/>
      <family val="2"/>
    </font>
    <font>
      <sz val="10"/>
      <name val="Bookman Old Style"/>
      <family val="1"/>
    </font>
    <font>
      <sz val="10"/>
      <color indexed="60"/>
      <name val="Arial"/>
      <family val="2"/>
    </font>
    <font>
      <b/>
      <sz val="10"/>
      <color indexed="8"/>
      <name val="Arial"/>
      <family val="2"/>
    </font>
    <font>
      <sz val="10"/>
      <name val="Times New Roman"/>
      <family val="1"/>
    </font>
    <font>
      <b/>
      <sz val="10"/>
      <color indexed="9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sz val="10"/>
      <color indexed="52"/>
      <name val="Arial"/>
      <family val="2"/>
    </font>
    <font>
      <sz val="1"/>
      <color indexed="8"/>
      <name val="Courier"/>
      <family val="3"/>
    </font>
    <font>
      <sz val="1"/>
      <color indexed="16"/>
      <name val="Courier"/>
      <family val="3"/>
    </font>
    <font>
      <b/>
      <sz val="1"/>
      <color indexed="8"/>
      <name val="Courier"/>
      <family val="3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b/>
      <sz val="1"/>
      <color indexed="16"/>
      <name val="Courier"/>
      <family val="3"/>
    </font>
    <font>
      <sz val="10"/>
      <color indexed="20"/>
      <name val="Arial"/>
      <family val="2"/>
    </font>
    <font>
      <b/>
      <sz val="12"/>
      <color indexed="43"/>
      <name val="Verdana"/>
      <family val="2"/>
    </font>
    <font>
      <b/>
      <sz val="10"/>
      <color indexed="63"/>
      <name val="Arial"/>
      <family val="2"/>
    </font>
    <font>
      <sz val="10"/>
      <color indexed="10"/>
      <name val="Arial"/>
      <family val="2"/>
    </font>
    <font>
      <i/>
      <sz val="10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1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sz val="10"/>
      <color indexed="22"/>
      <name val="Arial"/>
      <family val="2"/>
    </font>
    <font>
      <sz val="10"/>
      <name val="Courier New"/>
      <family val="3"/>
    </font>
    <font>
      <sz val="10"/>
      <name val="Century Gothic"/>
      <family val="2"/>
    </font>
    <font>
      <sz val="10"/>
      <name val="Arial"/>
      <family val="2"/>
      <charset val="1"/>
    </font>
    <font>
      <sz val="12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u/>
      <sz val="10"/>
      <color theme="10"/>
      <name val="Arial"/>
      <family val="2"/>
    </font>
    <font>
      <sz val="11"/>
      <color theme="1"/>
      <name val="Aharoni"/>
      <family val="2"/>
    </font>
    <font>
      <sz val="12"/>
      <color theme="1"/>
      <name val="Arial"/>
      <family val="2"/>
    </font>
  </fonts>
  <fills count="8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1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8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63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6"/>
        <bgColor indexed="64"/>
      </patternFill>
    </fill>
    <fill>
      <patternFill patternType="solid">
        <fgColor indexed="9"/>
        <bgColor indexed="19"/>
      </patternFill>
    </fill>
  </fills>
  <borders count="39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51"/>
      </left>
      <right style="thick">
        <color indexed="51"/>
      </right>
      <top style="thick">
        <color indexed="51"/>
      </top>
      <bottom style="thick">
        <color indexed="5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4458">
    <xf numFmtId="0" fontId="0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25" fillId="0" borderId="0"/>
    <xf numFmtId="9" fontId="17" fillId="0" borderId="0" applyFont="0" applyFill="0" applyBorder="0" applyAlignment="0" applyProtection="0"/>
    <xf numFmtId="0" fontId="8" fillId="0" borderId="0"/>
    <xf numFmtId="0" fontId="16" fillId="0" borderId="0" applyNumberFormat="0" applyFill="0" applyBorder="0" applyAlignment="0" applyProtection="0"/>
    <xf numFmtId="0" fontId="8" fillId="14" borderId="0" applyNumberFormat="0" applyBorder="0" applyAlignment="0" applyProtection="0"/>
    <xf numFmtId="0" fontId="8" fillId="0" borderId="0"/>
    <xf numFmtId="43" fontId="25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2" fontId="17" fillId="0" borderId="0"/>
    <xf numFmtId="172" fontId="17" fillId="0" borderId="0"/>
    <xf numFmtId="0" fontId="17" fillId="0" borderId="0"/>
    <xf numFmtId="0" fontId="26" fillId="0" borderId="0"/>
    <xf numFmtId="0" fontId="26" fillId="0" borderId="0"/>
    <xf numFmtId="0" fontId="2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2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2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8" fillId="21" borderId="0" applyNumberFormat="0" applyBorder="0" applyAlignment="0" applyProtection="0"/>
    <xf numFmtId="0" fontId="29" fillId="0" borderId="0" applyNumberForma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0" fillId="0" borderId="0" applyBorder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8" fillId="0" borderId="0"/>
    <xf numFmtId="0" fontId="30" fillId="0" borderId="0" applyBorder="0"/>
    <xf numFmtId="43" fontId="30" fillId="0" borderId="0" applyFont="0" applyFill="0" applyBorder="0" applyAlignment="0" applyProtection="0"/>
    <xf numFmtId="0" fontId="30" fillId="0" borderId="0" applyBorder="0"/>
    <xf numFmtId="0" fontId="17" fillId="0" borderId="0"/>
    <xf numFmtId="0" fontId="30" fillId="0" borderId="0" applyBorder="0"/>
    <xf numFmtId="43" fontId="30" fillId="0" borderId="0" applyFont="0" applyFill="0" applyBorder="0" applyAlignment="0" applyProtection="0"/>
    <xf numFmtId="0" fontId="31" fillId="0" borderId="0" applyNumberForma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 applyBorder="0"/>
    <xf numFmtId="43" fontId="30" fillId="0" borderId="0" applyFont="0" applyFill="0" applyBorder="0" applyAlignment="0" applyProtection="0"/>
    <xf numFmtId="0" fontId="30" fillId="0" borderId="0" applyBorder="0"/>
    <xf numFmtId="43" fontId="30" fillId="0" borderId="0" applyFont="0" applyFill="0" applyBorder="0" applyAlignment="0" applyProtection="0"/>
    <xf numFmtId="0" fontId="8" fillId="0" borderId="0"/>
    <xf numFmtId="0" fontId="25" fillId="0" borderId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2" fillId="0" borderId="9" applyNumberFormat="0" applyFill="0" applyAlignment="0" applyProtection="0"/>
    <xf numFmtId="0" fontId="33" fillId="0" borderId="10" applyNumberFormat="0" applyFill="0" applyAlignment="0" applyProtection="0"/>
    <xf numFmtId="0" fontId="34" fillId="0" borderId="11" applyNumberFormat="0" applyFill="0" applyAlignment="0" applyProtection="0"/>
    <xf numFmtId="0" fontId="34" fillId="0" borderId="0" applyNumberFormat="0" applyFill="0" applyBorder="0" applyAlignment="0" applyProtection="0"/>
    <xf numFmtId="0" fontId="35" fillId="22" borderId="0" applyNumberFormat="0" applyBorder="0" applyAlignment="0" applyProtection="0"/>
    <xf numFmtId="0" fontId="36" fillId="23" borderId="0" applyNumberFormat="0" applyBorder="0" applyAlignment="0" applyProtection="0"/>
    <xf numFmtId="0" fontId="37" fillId="25" borderId="12" applyNumberFormat="0" applyAlignment="0" applyProtection="0"/>
    <xf numFmtId="0" fontId="38" fillId="26" borderId="13" applyNumberFormat="0" applyAlignment="0" applyProtection="0"/>
    <xf numFmtId="0" fontId="39" fillId="26" borderId="12" applyNumberFormat="0" applyAlignment="0" applyProtection="0"/>
    <xf numFmtId="0" fontId="40" fillId="0" borderId="14" applyNumberFormat="0" applyFill="0" applyAlignment="0" applyProtection="0"/>
    <xf numFmtId="0" fontId="41" fillId="27" borderId="15" applyNumberFormat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3" fillId="0" borderId="17" applyNumberFormat="0" applyFill="0" applyAlignment="0" applyProtection="0"/>
    <xf numFmtId="0" fontId="2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24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24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24" fillId="41" borderId="0" applyNumberFormat="0" applyBorder="0" applyAlignment="0" applyProtection="0"/>
    <xf numFmtId="0" fontId="8" fillId="42" borderId="0" applyNumberFormat="0" applyBorder="0" applyAlignment="0" applyProtection="0"/>
    <xf numFmtId="0" fontId="8" fillId="43" borderId="0" applyNumberFormat="0" applyBorder="0" applyAlignment="0" applyProtection="0"/>
    <xf numFmtId="0" fontId="24" fillId="45" borderId="0" applyNumberFormat="0" applyBorder="0" applyAlignment="0" applyProtection="0"/>
    <xf numFmtId="0" fontId="8" fillId="14" borderId="0" applyNumberFormat="0" applyBorder="0" applyAlignment="0" applyProtection="0"/>
    <xf numFmtId="0" fontId="8" fillId="46" borderId="0" applyNumberFormat="0" applyBorder="0" applyAlignment="0" applyProtection="0"/>
    <xf numFmtId="0" fontId="24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50" borderId="0" applyNumberFormat="0" applyBorder="0" applyAlignment="0" applyProtection="0"/>
    <xf numFmtId="0" fontId="25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5" fillId="0" borderId="0"/>
    <xf numFmtId="0" fontId="30" fillId="0" borderId="0"/>
    <xf numFmtId="0" fontId="25" fillId="0" borderId="0"/>
    <xf numFmtId="49" fontId="46" fillId="0" borderId="4" applyNumberFormat="0" applyFont="0" applyFill="0" applyBorder="0" applyProtection="0">
      <alignment horizontal="left" vertical="center" indent="2"/>
    </xf>
    <xf numFmtId="43" fontId="17" fillId="0" borderId="0" applyFont="0" applyFill="0" applyBorder="0" applyAlignment="0" applyProtection="0"/>
    <xf numFmtId="0" fontId="30" fillId="0" borderId="0" applyBorder="0"/>
    <xf numFmtId="0" fontId="25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9" fillId="0" borderId="10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4" fillId="25" borderId="12" applyNumberFormat="0" applyAlignment="0" applyProtection="0">
      <alignment vertical="center"/>
    </xf>
    <xf numFmtId="0" fontId="55" fillId="26" borderId="13" applyNumberFormat="0" applyAlignment="0" applyProtection="0">
      <alignment vertical="center"/>
    </xf>
    <xf numFmtId="0" fontId="56" fillId="26" borderId="12" applyNumberFormat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58" fillId="27" borderId="15" applyNumberForma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17" applyNumberFormat="0" applyFill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2" fillId="39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2" fillId="42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62" fillId="44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46" borderId="0" applyNumberFormat="0" applyBorder="0" applyAlignment="0" applyProtection="0">
      <alignment vertical="center"/>
    </xf>
    <xf numFmtId="0" fontId="62" fillId="47" borderId="0" applyNumberFormat="0" applyBorder="0" applyAlignment="0" applyProtection="0">
      <alignment vertical="center"/>
    </xf>
    <xf numFmtId="0" fontId="63" fillId="48" borderId="0" applyNumberFormat="0" applyBorder="0" applyAlignment="0" applyProtection="0">
      <alignment vertical="center"/>
    </xf>
    <xf numFmtId="0" fontId="62" fillId="49" borderId="0" applyNumberFormat="0" applyBorder="0" applyAlignment="0" applyProtection="0">
      <alignment vertical="center"/>
    </xf>
    <xf numFmtId="0" fontId="62" fillId="50" borderId="0" applyNumberFormat="0" applyBorder="0" applyAlignment="0" applyProtection="0">
      <alignment vertical="center"/>
    </xf>
    <xf numFmtId="0" fontId="62" fillId="51" borderId="0" applyNumberFormat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8" fillId="24" borderId="0" applyNumberFormat="0" applyBorder="0" applyAlignment="0" applyProtection="0"/>
    <xf numFmtId="0" fontId="24" fillId="32" borderId="0" applyNumberFormat="0" applyBorder="0" applyAlignment="0" applyProtection="0"/>
    <xf numFmtId="0" fontId="24" fillId="36" borderId="0" applyNumberFormat="0" applyBorder="0" applyAlignment="0" applyProtection="0"/>
    <xf numFmtId="0" fontId="24" fillId="40" borderId="0" applyNumberFormat="0" applyBorder="0" applyAlignment="0" applyProtection="0"/>
    <xf numFmtId="0" fontId="24" fillId="44" borderId="0" applyNumberFormat="0" applyBorder="0" applyAlignment="0" applyProtection="0"/>
    <xf numFmtId="0" fontId="24" fillId="47" borderId="0" applyNumberFormat="0" applyBorder="0" applyAlignment="0" applyProtection="0"/>
    <xf numFmtId="0" fontId="24" fillId="51" borderId="0" applyNumberFormat="0" applyBorder="0" applyAlignment="0" applyProtection="0"/>
    <xf numFmtId="0" fontId="17" fillId="0" borderId="0"/>
    <xf numFmtId="3" fontId="120" fillId="52" borderId="0">
      <alignment horizontal="left"/>
    </xf>
    <xf numFmtId="0" fontId="44" fillId="53" borderId="0" applyNumberFormat="0" applyBorder="0" applyAlignment="0" applyProtection="0"/>
    <xf numFmtId="0" fontId="44" fillId="54" borderId="0" applyNumberFormat="0" applyBorder="0" applyAlignment="0" applyProtection="0"/>
    <xf numFmtId="0" fontId="44" fillId="55" borderId="0" applyNumberFormat="0" applyBorder="0" applyAlignment="0" applyProtection="0"/>
    <xf numFmtId="0" fontId="44" fillId="56" borderId="0" applyNumberFormat="0" applyBorder="0" applyAlignment="0" applyProtection="0"/>
    <xf numFmtId="0" fontId="44" fillId="57" borderId="0" applyNumberFormat="0" applyBorder="0" applyAlignment="0" applyProtection="0"/>
    <xf numFmtId="0" fontId="44" fillId="58" borderId="0" applyNumberFormat="0" applyBorder="0" applyAlignment="0" applyProtection="0"/>
    <xf numFmtId="0" fontId="44" fillId="53" borderId="0" applyNumberFormat="0" applyBorder="0" applyAlignment="0" applyProtection="0"/>
    <xf numFmtId="0" fontId="44" fillId="53" borderId="0" applyNumberFormat="0" applyBorder="0" applyAlignment="0" applyProtection="0"/>
    <xf numFmtId="0" fontId="44" fillId="53" borderId="0" applyNumberFormat="0" applyBorder="0" applyAlignment="0" applyProtection="0"/>
    <xf numFmtId="0" fontId="44" fillId="53" borderId="0" applyNumberFormat="0" applyBorder="0" applyAlignment="0" applyProtection="0"/>
    <xf numFmtId="0" fontId="44" fillId="53" borderId="0" applyNumberFormat="0" applyBorder="0" applyAlignment="0" applyProtection="0"/>
    <xf numFmtId="0" fontId="44" fillId="53" borderId="0" applyNumberFormat="0" applyBorder="0" applyAlignment="0" applyProtection="0"/>
    <xf numFmtId="0" fontId="44" fillId="53" borderId="0" applyNumberFormat="0" applyBorder="0" applyAlignment="0" applyProtection="0"/>
    <xf numFmtId="0" fontId="44" fillId="53" borderId="0" applyNumberFormat="0" applyBorder="0" applyAlignment="0" applyProtection="0"/>
    <xf numFmtId="0" fontId="44" fillId="53" borderId="0" applyNumberFormat="0" applyBorder="0" applyAlignment="0" applyProtection="0"/>
    <xf numFmtId="0" fontId="44" fillId="53" borderId="0" applyNumberFormat="0" applyBorder="0" applyAlignment="0" applyProtection="0"/>
    <xf numFmtId="0" fontId="88" fillId="53" borderId="0" applyNumberFormat="0" applyBorder="0" applyAlignment="0" applyProtection="0"/>
    <xf numFmtId="0" fontId="8" fillId="30" borderId="0" applyNumberFormat="0" applyBorder="0" applyAlignment="0" applyProtection="0"/>
    <xf numFmtId="0" fontId="44" fillId="53" borderId="0" applyNumberFormat="0" applyBorder="0" applyAlignment="0" applyProtection="0"/>
    <xf numFmtId="0" fontId="44" fillId="53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44" fillId="59" borderId="0" applyNumberFormat="0" applyBorder="0" applyAlignment="0" applyProtection="0"/>
    <xf numFmtId="0" fontId="44" fillId="58" borderId="0" applyNumberFormat="0" applyBorder="0" applyAlignment="0" applyProtection="0"/>
    <xf numFmtId="0" fontId="88" fillId="53" borderId="0" applyNumberFormat="0" applyBorder="0" applyAlignment="0" applyProtection="0"/>
    <xf numFmtId="0" fontId="8" fillId="30" borderId="0" applyNumberFormat="0" applyBorder="0" applyAlignment="0" applyProtection="0"/>
    <xf numFmtId="0" fontId="44" fillId="53" borderId="0" applyNumberFormat="0" applyBorder="0" applyAlignment="0" applyProtection="0"/>
    <xf numFmtId="0" fontId="44" fillId="53" borderId="0" applyNumberFormat="0" applyBorder="0" applyAlignment="0" applyProtection="0"/>
    <xf numFmtId="0" fontId="8" fillId="30" borderId="0" applyNumberFormat="0" applyBorder="0" applyAlignment="0" applyProtection="0"/>
    <xf numFmtId="0" fontId="44" fillId="53" borderId="0" applyNumberFormat="0" applyBorder="0" applyAlignment="0" applyProtection="0"/>
    <xf numFmtId="0" fontId="44" fillId="53" borderId="0" applyNumberFormat="0" applyBorder="0" applyAlignment="0" applyProtection="0"/>
    <xf numFmtId="0" fontId="44" fillId="53" borderId="0" applyNumberFormat="0" applyBorder="0" applyAlignment="0" applyProtection="0"/>
    <xf numFmtId="0" fontId="44" fillId="53" borderId="0" applyNumberFormat="0" applyBorder="0" applyAlignment="0" applyProtection="0"/>
    <xf numFmtId="0" fontId="44" fillId="53" borderId="0" applyNumberFormat="0" applyBorder="0" applyAlignment="0" applyProtection="0"/>
    <xf numFmtId="0" fontId="44" fillId="54" borderId="0" applyNumberFormat="0" applyBorder="0" applyAlignment="0" applyProtection="0"/>
    <xf numFmtId="0" fontId="44" fillId="54" borderId="0" applyNumberFormat="0" applyBorder="0" applyAlignment="0" applyProtection="0"/>
    <xf numFmtId="0" fontId="44" fillId="54" borderId="0" applyNumberFormat="0" applyBorder="0" applyAlignment="0" applyProtection="0"/>
    <xf numFmtId="0" fontId="44" fillId="54" borderId="0" applyNumberFormat="0" applyBorder="0" applyAlignment="0" applyProtection="0"/>
    <xf numFmtId="0" fontId="44" fillId="54" borderId="0" applyNumberFormat="0" applyBorder="0" applyAlignment="0" applyProtection="0"/>
    <xf numFmtId="0" fontId="44" fillId="54" borderId="0" applyNumberFormat="0" applyBorder="0" applyAlignment="0" applyProtection="0"/>
    <xf numFmtId="0" fontId="44" fillId="54" borderId="0" applyNumberFormat="0" applyBorder="0" applyAlignment="0" applyProtection="0"/>
    <xf numFmtId="0" fontId="44" fillId="54" borderId="0" applyNumberFormat="0" applyBorder="0" applyAlignment="0" applyProtection="0"/>
    <xf numFmtId="0" fontId="44" fillId="54" borderId="0" applyNumberFormat="0" applyBorder="0" applyAlignment="0" applyProtection="0"/>
    <xf numFmtId="0" fontId="44" fillId="54" borderId="0" applyNumberFormat="0" applyBorder="0" applyAlignment="0" applyProtection="0"/>
    <xf numFmtId="0" fontId="88" fillId="54" borderId="0" applyNumberFormat="0" applyBorder="0" applyAlignment="0" applyProtection="0"/>
    <xf numFmtId="0" fontId="8" fillId="34" borderId="0" applyNumberFormat="0" applyBorder="0" applyAlignment="0" applyProtection="0"/>
    <xf numFmtId="0" fontId="44" fillId="54" borderId="0" applyNumberFormat="0" applyBorder="0" applyAlignment="0" applyProtection="0"/>
    <xf numFmtId="0" fontId="44" fillId="5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44" fillId="60" borderId="0" applyNumberFormat="0" applyBorder="0" applyAlignment="0" applyProtection="0"/>
    <xf numFmtId="0" fontId="88" fillId="54" borderId="0" applyNumberFormat="0" applyBorder="0" applyAlignment="0" applyProtection="0"/>
    <xf numFmtId="0" fontId="8" fillId="34" borderId="0" applyNumberFormat="0" applyBorder="0" applyAlignment="0" applyProtection="0"/>
    <xf numFmtId="0" fontId="44" fillId="54" borderId="0" applyNumberFormat="0" applyBorder="0" applyAlignment="0" applyProtection="0"/>
    <xf numFmtId="0" fontId="44" fillId="54" borderId="0" applyNumberFormat="0" applyBorder="0" applyAlignment="0" applyProtection="0"/>
    <xf numFmtId="0" fontId="8" fillId="34" borderId="0" applyNumberFormat="0" applyBorder="0" applyAlignment="0" applyProtection="0"/>
    <xf numFmtId="0" fontId="44" fillId="54" borderId="0" applyNumberFormat="0" applyBorder="0" applyAlignment="0" applyProtection="0"/>
    <xf numFmtId="0" fontId="44" fillId="54" borderId="0" applyNumberFormat="0" applyBorder="0" applyAlignment="0" applyProtection="0"/>
    <xf numFmtId="0" fontId="44" fillId="54" borderId="0" applyNumberFormat="0" applyBorder="0" applyAlignment="0" applyProtection="0"/>
    <xf numFmtId="0" fontId="44" fillId="54" borderId="0" applyNumberFormat="0" applyBorder="0" applyAlignment="0" applyProtection="0"/>
    <xf numFmtId="0" fontId="44" fillId="54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88" fillId="55" borderId="0" applyNumberFormat="0" applyBorder="0" applyAlignment="0" applyProtection="0"/>
    <xf numFmtId="0" fontId="8" fillId="38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44" fillId="61" borderId="0" applyNumberFormat="0" applyBorder="0" applyAlignment="0" applyProtection="0"/>
    <xf numFmtId="0" fontId="88" fillId="55" borderId="0" applyNumberFormat="0" applyBorder="0" applyAlignment="0" applyProtection="0"/>
    <xf numFmtId="0" fontId="8" fillId="38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8" fillId="38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88" fillId="56" borderId="0" applyNumberFormat="0" applyBorder="0" applyAlignment="0" applyProtection="0"/>
    <xf numFmtId="0" fontId="8" fillId="42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44" fillId="58" borderId="0" applyNumberFormat="0" applyBorder="0" applyAlignment="0" applyProtection="0"/>
    <xf numFmtId="0" fontId="88" fillId="56" borderId="0" applyNumberFormat="0" applyBorder="0" applyAlignment="0" applyProtection="0"/>
    <xf numFmtId="0" fontId="8" fillId="42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8" fillId="42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88" fillId="57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8" fillId="57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44" fillId="57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88" fillId="58" borderId="0" applyNumberFormat="0" applyBorder="0" applyAlignment="0" applyProtection="0"/>
    <xf numFmtId="0" fontId="8" fillId="49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44" fillId="61" borderId="0" applyNumberFormat="0" applyBorder="0" applyAlignment="0" applyProtection="0"/>
    <xf numFmtId="0" fontId="88" fillId="58" borderId="0" applyNumberFormat="0" applyBorder="0" applyAlignment="0" applyProtection="0"/>
    <xf numFmtId="0" fontId="8" fillId="49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8" fillId="49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3" fontId="84" fillId="62" borderId="0"/>
    <xf numFmtId="0" fontId="44" fillId="59" borderId="0" applyNumberFormat="0" applyBorder="0" applyAlignment="0" applyProtection="0"/>
    <xf numFmtId="0" fontId="44" fillId="60" borderId="0" applyNumberFormat="0" applyBorder="0" applyAlignment="0" applyProtection="0"/>
    <xf numFmtId="0" fontId="44" fillId="63" borderId="0" applyNumberFormat="0" applyBorder="0" applyAlignment="0" applyProtection="0"/>
    <xf numFmtId="0" fontId="44" fillId="56" borderId="0" applyNumberFormat="0" applyBorder="0" applyAlignment="0" applyProtection="0"/>
    <xf numFmtId="0" fontId="44" fillId="59" borderId="0" applyNumberFormat="0" applyBorder="0" applyAlignment="0" applyProtection="0"/>
    <xf numFmtId="0" fontId="44" fillId="64" borderId="0" applyNumberFormat="0" applyBorder="0" applyAlignment="0" applyProtection="0"/>
    <xf numFmtId="0" fontId="44" fillId="59" borderId="0" applyNumberFormat="0" applyBorder="0" applyAlignment="0" applyProtection="0"/>
    <xf numFmtId="0" fontId="44" fillId="59" borderId="0" applyNumberFormat="0" applyBorder="0" applyAlignment="0" applyProtection="0"/>
    <xf numFmtId="0" fontId="44" fillId="59" borderId="0" applyNumberFormat="0" applyBorder="0" applyAlignment="0" applyProtection="0"/>
    <xf numFmtId="0" fontId="44" fillId="59" borderId="0" applyNumberFormat="0" applyBorder="0" applyAlignment="0" applyProtection="0"/>
    <xf numFmtId="0" fontId="44" fillId="59" borderId="0" applyNumberFormat="0" applyBorder="0" applyAlignment="0" applyProtection="0"/>
    <xf numFmtId="0" fontId="44" fillId="59" borderId="0" applyNumberFormat="0" applyBorder="0" applyAlignment="0" applyProtection="0"/>
    <xf numFmtId="0" fontId="44" fillId="59" borderId="0" applyNumberFormat="0" applyBorder="0" applyAlignment="0" applyProtection="0"/>
    <xf numFmtId="0" fontId="44" fillId="59" borderId="0" applyNumberFormat="0" applyBorder="0" applyAlignment="0" applyProtection="0"/>
    <xf numFmtId="0" fontId="44" fillId="59" borderId="0" applyNumberFormat="0" applyBorder="0" applyAlignment="0" applyProtection="0"/>
    <xf numFmtId="0" fontId="44" fillId="59" borderId="0" applyNumberFormat="0" applyBorder="0" applyAlignment="0" applyProtection="0"/>
    <xf numFmtId="0" fontId="88" fillId="59" borderId="0" applyNumberFormat="0" applyBorder="0" applyAlignment="0" applyProtection="0"/>
    <xf numFmtId="0" fontId="8" fillId="31" borderId="0" applyNumberFormat="0" applyBorder="0" applyAlignment="0" applyProtection="0"/>
    <xf numFmtId="0" fontId="44" fillId="59" borderId="0" applyNumberFormat="0" applyBorder="0" applyAlignment="0" applyProtection="0"/>
    <xf numFmtId="0" fontId="44" fillId="59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44" fillId="57" borderId="0" applyNumberFormat="0" applyBorder="0" applyAlignment="0" applyProtection="0"/>
    <xf numFmtId="0" fontId="44" fillId="65" borderId="0" applyNumberFormat="0" applyBorder="0" applyAlignment="0" applyProtection="0"/>
    <xf numFmtId="0" fontId="88" fillId="59" borderId="0" applyNumberFormat="0" applyBorder="0" applyAlignment="0" applyProtection="0"/>
    <xf numFmtId="0" fontId="8" fillId="31" borderId="0" applyNumberFormat="0" applyBorder="0" applyAlignment="0" applyProtection="0"/>
    <xf numFmtId="0" fontId="44" fillId="59" borderId="0" applyNumberFormat="0" applyBorder="0" applyAlignment="0" applyProtection="0"/>
    <xf numFmtId="0" fontId="44" fillId="59" borderId="0" applyNumberFormat="0" applyBorder="0" applyAlignment="0" applyProtection="0"/>
    <xf numFmtId="0" fontId="8" fillId="31" borderId="0" applyNumberFormat="0" applyBorder="0" applyAlignment="0" applyProtection="0"/>
    <xf numFmtId="0" fontId="44" fillId="59" borderId="0" applyNumberFormat="0" applyBorder="0" applyAlignment="0" applyProtection="0"/>
    <xf numFmtId="0" fontId="44" fillId="59" borderId="0" applyNumberFormat="0" applyBorder="0" applyAlignment="0" applyProtection="0"/>
    <xf numFmtId="0" fontId="44" fillId="59" borderId="0" applyNumberFormat="0" applyBorder="0" applyAlignment="0" applyProtection="0"/>
    <xf numFmtId="0" fontId="44" fillId="59" borderId="0" applyNumberFormat="0" applyBorder="0" applyAlignment="0" applyProtection="0"/>
    <xf numFmtId="0" fontId="44" fillId="59" borderId="0" applyNumberFormat="0" applyBorder="0" applyAlignment="0" applyProtection="0"/>
    <xf numFmtId="0" fontId="88" fillId="60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8" fillId="60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44" fillId="60" borderId="0" applyNumberFormat="0" applyBorder="0" applyAlignment="0" applyProtection="0"/>
    <xf numFmtId="0" fontId="44" fillId="63" borderId="0" applyNumberFormat="0" applyBorder="0" applyAlignment="0" applyProtection="0"/>
    <xf numFmtId="0" fontId="44" fillId="63" borderId="0" applyNumberFormat="0" applyBorder="0" applyAlignment="0" applyProtection="0"/>
    <xf numFmtId="0" fontId="44" fillId="63" borderId="0" applyNumberFormat="0" applyBorder="0" applyAlignment="0" applyProtection="0"/>
    <xf numFmtId="0" fontId="44" fillId="63" borderId="0" applyNumberFormat="0" applyBorder="0" applyAlignment="0" applyProtection="0"/>
    <xf numFmtId="0" fontId="44" fillId="63" borderId="0" applyNumberFormat="0" applyBorder="0" applyAlignment="0" applyProtection="0"/>
    <xf numFmtId="0" fontId="44" fillId="63" borderId="0" applyNumberFormat="0" applyBorder="0" applyAlignment="0" applyProtection="0"/>
    <xf numFmtId="0" fontId="44" fillId="63" borderId="0" applyNumberFormat="0" applyBorder="0" applyAlignment="0" applyProtection="0"/>
    <xf numFmtId="0" fontId="44" fillId="63" borderId="0" applyNumberFormat="0" applyBorder="0" applyAlignment="0" applyProtection="0"/>
    <xf numFmtId="0" fontId="44" fillId="63" borderId="0" applyNumberFormat="0" applyBorder="0" applyAlignment="0" applyProtection="0"/>
    <xf numFmtId="0" fontId="44" fillId="63" borderId="0" applyNumberFormat="0" applyBorder="0" applyAlignment="0" applyProtection="0"/>
    <xf numFmtId="0" fontId="88" fillId="63" borderId="0" applyNumberFormat="0" applyBorder="0" applyAlignment="0" applyProtection="0"/>
    <xf numFmtId="0" fontId="8" fillId="39" borderId="0" applyNumberFormat="0" applyBorder="0" applyAlignment="0" applyProtection="0"/>
    <xf numFmtId="0" fontId="44" fillId="63" borderId="0" applyNumberFormat="0" applyBorder="0" applyAlignment="0" applyProtection="0"/>
    <xf numFmtId="0" fontId="44" fillId="63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44" fillId="66" borderId="0" applyNumberFormat="0" applyBorder="0" applyAlignment="0" applyProtection="0"/>
    <xf numFmtId="0" fontId="88" fillId="63" borderId="0" applyNumberFormat="0" applyBorder="0" applyAlignment="0" applyProtection="0"/>
    <xf numFmtId="0" fontId="8" fillId="39" borderId="0" applyNumberFormat="0" applyBorder="0" applyAlignment="0" applyProtection="0"/>
    <xf numFmtId="0" fontId="44" fillId="63" borderId="0" applyNumberFormat="0" applyBorder="0" applyAlignment="0" applyProtection="0"/>
    <xf numFmtId="0" fontId="44" fillId="63" borderId="0" applyNumberFormat="0" applyBorder="0" applyAlignment="0" applyProtection="0"/>
    <xf numFmtId="0" fontId="8" fillId="39" borderId="0" applyNumberFormat="0" applyBorder="0" applyAlignment="0" applyProtection="0"/>
    <xf numFmtId="0" fontId="44" fillId="63" borderId="0" applyNumberFormat="0" applyBorder="0" applyAlignment="0" applyProtection="0"/>
    <xf numFmtId="0" fontId="44" fillId="63" borderId="0" applyNumberFormat="0" applyBorder="0" applyAlignment="0" applyProtection="0"/>
    <xf numFmtId="0" fontId="44" fillId="63" borderId="0" applyNumberFormat="0" applyBorder="0" applyAlignment="0" applyProtection="0"/>
    <xf numFmtId="0" fontId="44" fillId="63" borderId="0" applyNumberFormat="0" applyBorder="0" applyAlignment="0" applyProtection="0"/>
    <xf numFmtId="0" fontId="44" fillId="63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88" fillId="56" borderId="0" applyNumberFormat="0" applyBorder="0" applyAlignment="0" applyProtection="0"/>
    <xf numFmtId="0" fontId="8" fillId="43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44" fillId="54" borderId="0" applyNumberFormat="0" applyBorder="0" applyAlignment="0" applyProtection="0"/>
    <xf numFmtId="0" fontId="44" fillId="65" borderId="0" applyNumberFormat="0" applyBorder="0" applyAlignment="0" applyProtection="0"/>
    <xf numFmtId="0" fontId="88" fillId="56" borderId="0" applyNumberFormat="0" applyBorder="0" applyAlignment="0" applyProtection="0"/>
    <xf numFmtId="0" fontId="8" fillId="43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8" fillId="43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88" fillId="59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88" fillId="59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44" fillId="57" borderId="0" applyNumberFormat="0" applyBorder="0" applyAlignment="0" applyProtection="0"/>
    <xf numFmtId="0" fontId="44" fillId="59" borderId="0" applyNumberFormat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88" fillId="64" borderId="0" applyNumberFormat="0" applyBorder="0" applyAlignment="0" applyProtection="0"/>
    <xf numFmtId="0" fontId="8" fillId="50" borderId="0" applyNumberFormat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44" fillId="61" borderId="0" applyNumberFormat="0" applyBorder="0" applyAlignment="0" applyProtection="0"/>
    <xf numFmtId="0" fontId="44" fillId="66" borderId="0" applyNumberFormat="0" applyBorder="0" applyAlignment="0" applyProtection="0"/>
    <xf numFmtId="0" fontId="88" fillId="64" borderId="0" applyNumberFormat="0" applyBorder="0" applyAlignment="0" applyProtection="0"/>
    <xf numFmtId="0" fontId="8" fillId="50" borderId="0" applyNumberFormat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8" fillId="50" borderId="0" applyNumberFormat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64" fillId="67" borderId="0" applyNumberFormat="0" applyBorder="0" applyAlignment="0" applyProtection="0"/>
    <xf numFmtId="0" fontId="64" fillId="60" borderId="0" applyNumberFormat="0" applyBorder="0" applyAlignment="0" applyProtection="0"/>
    <xf numFmtId="0" fontId="64" fillId="63" borderId="0" applyNumberFormat="0" applyBorder="0" applyAlignment="0" applyProtection="0"/>
    <xf numFmtId="0" fontId="64" fillId="68" borderId="0" applyNumberFormat="0" applyBorder="0" applyAlignment="0" applyProtection="0"/>
    <xf numFmtId="0" fontId="64" fillId="69" borderId="0" applyNumberFormat="0" applyBorder="0" applyAlignment="0" applyProtection="0"/>
    <xf numFmtId="0" fontId="64" fillId="70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81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24" fillId="32" borderId="0" applyNumberFormat="0" applyBorder="0" applyAlignment="0" applyProtection="0"/>
    <xf numFmtId="0" fontId="64" fillId="57" borderId="0" applyNumberFormat="0" applyBorder="0" applyAlignment="0" applyProtection="0"/>
    <xf numFmtId="0" fontId="64" fillId="71" borderId="0" applyNumberFormat="0" applyBorder="0" applyAlignment="0" applyProtection="0"/>
    <xf numFmtId="0" fontId="81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81" fillId="60" borderId="0" applyNumberFormat="0" applyBorder="0" applyAlignment="0" applyProtection="0"/>
    <xf numFmtId="0" fontId="24" fillId="36" borderId="0" applyNumberFormat="0" applyBorder="0" applyAlignment="0" applyProtection="0"/>
    <xf numFmtId="0" fontId="81" fillId="60" borderId="0" applyNumberFormat="0" applyBorder="0" applyAlignment="0" applyProtection="0"/>
    <xf numFmtId="0" fontId="64" fillId="72" borderId="0" applyNumberFormat="0" applyBorder="0" applyAlignment="0" applyProtection="0"/>
    <xf numFmtId="0" fontId="64" fillId="60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81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24" fillId="40" borderId="0" applyNumberFormat="0" applyBorder="0" applyAlignment="0" applyProtection="0"/>
    <xf numFmtId="0" fontId="64" fillId="64" borderId="0" applyNumberFormat="0" applyBorder="0" applyAlignment="0" applyProtection="0"/>
    <xf numFmtId="0" fontId="64" fillId="66" borderId="0" applyNumberFormat="0" applyBorder="0" applyAlignment="0" applyProtection="0"/>
    <xf numFmtId="0" fontId="81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81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24" fillId="44" borderId="0" applyNumberFormat="0" applyBorder="0" applyAlignment="0" applyProtection="0"/>
    <xf numFmtId="0" fontId="64" fillId="54" borderId="0" applyNumberFormat="0" applyBorder="0" applyAlignment="0" applyProtection="0"/>
    <xf numFmtId="0" fontId="64" fillId="65" borderId="0" applyNumberFormat="0" applyBorder="0" applyAlignment="0" applyProtection="0"/>
    <xf numFmtId="0" fontId="81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81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24" fillId="47" borderId="0" applyNumberFormat="0" applyBorder="0" applyAlignment="0" applyProtection="0"/>
    <xf numFmtId="0" fontId="64" fillId="57" borderId="0" applyNumberFormat="0" applyBorder="0" applyAlignment="0" applyProtection="0"/>
    <xf numFmtId="0" fontId="64" fillId="71" borderId="0" applyNumberFormat="0" applyBorder="0" applyAlignment="0" applyProtection="0"/>
    <xf numFmtId="0" fontId="81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70" borderId="0" applyNumberFormat="0" applyBorder="0" applyAlignment="0" applyProtection="0"/>
    <xf numFmtId="0" fontId="64" fillId="70" borderId="0" applyNumberFormat="0" applyBorder="0" applyAlignment="0" applyProtection="0"/>
    <xf numFmtId="0" fontId="64" fillId="70" borderId="0" applyNumberFormat="0" applyBorder="0" applyAlignment="0" applyProtection="0"/>
    <xf numFmtId="0" fontId="64" fillId="70" borderId="0" applyNumberFormat="0" applyBorder="0" applyAlignment="0" applyProtection="0"/>
    <xf numFmtId="0" fontId="64" fillId="70" borderId="0" applyNumberFormat="0" applyBorder="0" applyAlignment="0" applyProtection="0"/>
    <xf numFmtId="0" fontId="64" fillId="70" borderId="0" applyNumberFormat="0" applyBorder="0" applyAlignment="0" applyProtection="0"/>
    <xf numFmtId="0" fontId="64" fillId="70" borderId="0" applyNumberFormat="0" applyBorder="0" applyAlignment="0" applyProtection="0"/>
    <xf numFmtId="0" fontId="64" fillId="70" borderId="0" applyNumberFormat="0" applyBorder="0" applyAlignment="0" applyProtection="0"/>
    <xf numFmtId="0" fontId="64" fillId="70" borderId="0" applyNumberFormat="0" applyBorder="0" applyAlignment="0" applyProtection="0"/>
    <xf numFmtId="0" fontId="64" fillId="70" borderId="0" applyNumberFormat="0" applyBorder="0" applyAlignment="0" applyProtection="0"/>
    <xf numFmtId="0" fontId="81" fillId="70" borderId="0" applyNumberFormat="0" applyBorder="0" applyAlignment="0" applyProtection="0"/>
    <xf numFmtId="0" fontId="64" fillId="70" borderId="0" applyNumberFormat="0" applyBorder="0" applyAlignment="0" applyProtection="0"/>
    <xf numFmtId="0" fontId="64" fillId="70" borderId="0" applyNumberFormat="0" applyBorder="0" applyAlignment="0" applyProtection="0"/>
    <xf numFmtId="0" fontId="24" fillId="51" borderId="0" applyNumberFormat="0" applyBorder="0" applyAlignment="0" applyProtection="0"/>
    <xf numFmtId="0" fontId="64" fillId="60" borderId="0" applyNumberFormat="0" applyBorder="0" applyAlignment="0" applyProtection="0"/>
    <xf numFmtId="0" fontId="81" fillId="70" borderId="0" applyNumberFormat="0" applyBorder="0" applyAlignment="0" applyProtection="0"/>
    <xf numFmtId="0" fontId="64" fillId="70" borderId="0" applyNumberFormat="0" applyBorder="0" applyAlignment="0" applyProtection="0"/>
    <xf numFmtId="0" fontId="64" fillId="70" borderId="0" applyNumberFormat="0" applyBorder="0" applyAlignment="0" applyProtection="0"/>
    <xf numFmtId="0" fontId="64" fillId="70" borderId="0" applyNumberFormat="0" applyBorder="0" applyAlignment="0" applyProtection="0"/>
    <xf numFmtId="0" fontId="64" fillId="70" borderId="0" applyNumberFormat="0" applyBorder="0" applyAlignment="0" applyProtection="0"/>
    <xf numFmtId="0" fontId="64" fillId="70" borderId="0" applyNumberFormat="0" applyBorder="0" applyAlignment="0" applyProtection="0"/>
    <xf numFmtId="0" fontId="64" fillId="70" borderId="0" applyNumberFormat="0" applyBorder="0" applyAlignment="0" applyProtection="0"/>
    <xf numFmtId="0" fontId="64" fillId="70" borderId="0" applyNumberFormat="0" applyBorder="0" applyAlignment="0" applyProtection="0"/>
    <xf numFmtId="0" fontId="121" fillId="62" borderId="0">
      <alignment horizontal="left"/>
    </xf>
    <xf numFmtId="0" fontId="79" fillId="0" borderId="0"/>
    <xf numFmtId="0" fontId="17" fillId="0" borderId="0"/>
    <xf numFmtId="0" fontId="7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4" fillId="73" borderId="0" applyNumberFormat="0" applyBorder="0" applyAlignment="0" applyProtection="0"/>
    <xf numFmtId="0" fontId="64" fillId="74" borderId="0" applyNumberFormat="0" applyBorder="0" applyAlignment="0" applyProtection="0"/>
    <xf numFmtId="0" fontId="64" fillId="75" borderId="0" applyNumberFormat="0" applyBorder="0" applyAlignment="0" applyProtection="0"/>
    <xf numFmtId="0" fontId="64" fillId="68" borderId="0" applyNumberFormat="0" applyBorder="0" applyAlignment="0" applyProtection="0"/>
    <xf numFmtId="0" fontId="64" fillId="69" borderId="0" applyNumberFormat="0" applyBorder="0" applyAlignment="0" applyProtection="0"/>
    <xf numFmtId="0" fontId="64" fillId="72" borderId="0" applyNumberFormat="0" applyBorder="0" applyAlignment="0" applyProtection="0"/>
    <xf numFmtId="0" fontId="65" fillId="54" borderId="0" applyNumberFormat="0" applyBorder="0" applyAlignment="0" applyProtection="0"/>
    <xf numFmtId="0" fontId="89" fillId="55" borderId="0" applyNumberFormat="0" applyBorder="0" applyAlignment="0" applyProtection="0"/>
    <xf numFmtId="0" fontId="35" fillId="22" borderId="0" applyNumberFormat="0" applyBorder="0" applyAlignment="0" applyProtection="0"/>
    <xf numFmtId="0" fontId="89" fillId="55" borderId="0" applyNumberFormat="0" applyBorder="0" applyAlignment="0" applyProtection="0"/>
    <xf numFmtId="0" fontId="69" fillId="57" borderId="0" applyNumberFormat="0" applyBorder="0" applyAlignment="0" applyProtection="0"/>
    <xf numFmtId="0" fontId="69" fillId="55" borderId="0" applyNumberFormat="0" applyBorder="0" applyAlignment="0" applyProtection="0"/>
    <xf numFmtId="0" fontId="114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90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105" fillId="76" borderId="18" applyNumberFormat="0" applyAlignment="0" applyProtection="0"/>
    <xf numFmtId="0" fontId="105" fillId="76" borderId="18" applyNumberFormat="0" applyAlignment="0" applyProtection="0"/>
    <xf numFmtId="0" fontId="105" fillId="76" borderId="18" applyNumberFormat="0" applyAlignment="0" applyProtection="0"/>
    <xf numFmtId="0" fontId="105" fillId="76" borderId="18" applyNumberFormat="0" applyAlignment="0" applyProtection="0"/>
    <xf numFmtId="0" fontId="105" fillId="76" borderId="18" applyNumberFormat="0" applyAlignment="0" applyProtection="0"/>
    <xf numFmtId="0" fontId="105" fillId="76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39" fillId="26" borderId="12" applyNumberFormat="0" applyAlignment="0" applyProtection="0"/>
    <xf numFmtId="0" fontId="105" fillId="76" borderId="18" applyNumberFormat="0" applyAlignment="0" applyProtection="0"/>
    <xf numFmtId="0" fontId="105" fillId="76" borderId="18" applyNumberFormat="0" applyAlignment="0" applyProtection="0"/>
    <xf numFmtId="0" fontId="105" fillId="76" borderId="18" applyNumberFormat="0" applyAlignment="0" applyProtection="0"/>
    <xf numFmtId="0" fontId="105" fillId="76" borderId="18" applyNumberFormat="0" applyAlignment="0" applyProtection="0"/>
    <xf numFmtId="0" fontId="105" fillId="76" borderId="18" applyNumberFormat="0" applyAlignment="0" applyProtection="0"/>
    <xf numFmtId="0" fontId="105" fillId="76" borderId="18" applyNumberFormat="0" applyAlignment="0" applyProtection="0"/>
    <xf numFmtId="0" fontId="90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6" fillId="65" borderId="18" applyNumberFormat="0" applyAlignment="0" applyProtection="0"/>
    <xf numFmtId="0" fontId="67" fillId="77" borderId="19" applyNumberFormat="0" applyAlignment="0" applyProtection="0"/>
    <xf numFmtId="0" fontId="67" fillId="77" borderId="19" applyNumberFormat="0" applyAlignment="0" applyProtection="0"/>
    <xf numFmtId="0" fontId="67" fillId="77" borderId="19" applyNumberFormat="0" applyAlignment="0" applyProtection="0"/>
    <xf numFmtId="0" fontId="67" fillId="77" borderId="19" applyNumberFormat="0" applyAlignment="0" applyProtection="0"/>
    <xf numFmtId="0" fontId="67" fillId="77" borderId="19" applyNumberFormat="0" applyAlignment="0" applyProtection="0"/>
    <xf numFmtId="0" fontId="67" fillId="77" borderId="19" applyNumberFormat="0" applyAlignment="0" applyProtection="0"/>
    <xf numFmtId="0" fontId="67" fillId="77" borderId="19" applyNumberFormat="0" applyAlignment="0" applyProtection="0"/>
    <xf numFmtId="0" fontId="67" fillId="77" borderId="19" applyNumberFormat="0" applyAlignment="0" applyProtection="0"/>
    <xf numFmtId="0" fontId="67" fillId="77" borderId="19" applyNumberFormat="0" applyAlignment="0" applyProtection="0"/>
    <xf numFmtId="0" fontId="67" fillId="77" borderId="19" applyNumberFormat="0" applyAlignment="0" applyProtection="0"/>
    <xf numFmtId="0" fontId="86" fillId="77" borderId="19" applyNumberFormat="0" applyAlignment="0" applyProtection="0"/>
    <xf numFmtId="0" fontId="67" fillId="77" borderId="19" applyNumberFormat="0" applyAlignment="0" applyProtection="0"/>
    <xf numFmtId="0" fontId="67" fillId="77" borderId="19" applyNumberFormat="0" applyAlignment="0" applyProtection="0"/>
    <xf numFmtId="0" fontId="41" fillId="27" borderId="15" applyNumberFormat="0" applyAlignment="0" applyProtection="0"/>
    <xf numFmtId="0" fontId="67" fillId="78" borderId="20" applyNumberFormat="0" applyAlignment="0" applyProtection="0"/>
    <xf numFmtId="0" fontId="86" fillId="77" borderId="19" applyNumberFormat="0" applyAlignment="0" applyProtection="0"/>
    <xf numFmtId="0" fontId="67" fillId="77" borderId="19" applyNumberFormat="0" applyAlignment="0" applyProtection="0"/>
    <xf numFmtId="0" fontId="67" fillId="77" borderId="19" applyNumberFormat="0" applyAlignment="0" applyProtection="0"/>
    <xf numFmtId="0" fontId="67" fillId="77" borderId="19" applyNumberFormat="0" applyAlignment="0" applyProtection="0"/>
    <xf numFmtId="0" fontId="67" fillId="77" borderId="19" applyNumberFormat="0" applyAlignment="0" applyProtection="0"/>
    <xf numFmtId="0" fontId="67" fillId="77" borderId="19" applyNumberFormat="0" applyAlignment="0" applyProtection="0"/>
    <xf numFmtId="0" fontId="67" fillId="77" borderId="19" applyNumberFormat="0" applyAlignment="0" applyProtection="0"/>
    <xf numFmtId="0" fontId="67" fillId="77" borderId="19" applyNumberFormat="0" applyAlignment="0" applyProtection="0"/>
    <xf numFmtId="0" fontId="74" fillId="0" borderId="21" applyNumberFormat="0" applyFill="0" applyAlignment="0" applyProtection="0"/>
    <xf numFmtId="0" fontId="74" fillId="0" borderId="21" applyNumberFormat="0" applyFill="0" applyAlignment="0" applyProtection="0"/>
    <xf numFmtId="0" fontId="74" fillId="0" borderId="21" applyNumberFormat="0" applyFill="0" applyAlignment="0" applyProtection="0"/>
    <xf numFmtId="0" fontId="74" fillId="0" borderId="21" applyNumberFormat="0" applyFill="0" applyAlignment="0" applyProtection="0"/>
    <xf numFmtId="0" fontId="74" fillId="0" borderId="21" applyNumberFormat="0" applyFill="0" applyAlignment="0" applyProtection="0"/>
    <xf numFmtId="0" fontId="74" fillId="0" borderId="21" applyNumberFormat="0" applyFill="0" applyAlignment="0" applyProtection="0"/>
    <xf numFmtId="0" fontId="74" fillId="0" borderId="21" applyNumberFormat="0" applyFill="0" applyAlignment="0" applyProtection="0"/>
    <xf numFmtId="0" fontId="74" fillId="0" borderId="21" applyNumberFormat="0" applyFill="0" applyAlignment="0" applyProtection="0"/>
    <xf numFmtId="0" fontId="74" fillId="0" borderId="21" applyNumberFormat="0" applyFill="0" applyAlignment="0" applyProtection="0"/>
    <xf numFmtId="0" fontId="74" fillId="0" borderId="21" applyNumberFormat="0" applyFill="0" applyAlignment="0" applyProtection="0"/>
    <xf numFmtId="0" fontId="91" fillId="0" borderId="21" applyNumberFormat="0" applyFill="0" applyAlignment="0" applyProtection="0"/>
    <xf numFmtId="0" fontId="74" fillId="0" borderId="21" applyNumberFormat="0" applyFill="0" applyAlignment="0" applyProtection="0"/>
    <xf numFmtId="0" fontId="74" fillId="0" borderId="21" applyNumberFormat="0" applyFill="0" applyAlignment="0" applyProtection="0"/>
    <xf numFmtId="0" fontId="40" fillId="0" borderId="14" applyNumberFormat="0" applyFill="0" applyAlignment="0" applyProtection="0"/>
    <xf numFmtId="0" fontId="78" fillId="0" borderId="22" applyNumberFormat="0" applyFill="0" applyAlignment="0" applyProtection="0"/>
    <xf numFmtId="0" fontId="106" fillId="0" borderId="23" applyNumberFormat="0" applyFill="0" applyAlignment="0" applyProtection="0"/>
    <xf numFmtId="0" fontId="91" fillId="0" borderId="21" applyNumberFormat="0" applyFill="0" applyAlignment="0" applyProtection="0"/>
    <xf numFmtId="0" fontId="74" fillId="0" borderId="21" applyNumberFormat="0" applyFill="0" applyAlignment="0" applyProtection="0"/>
    <xf numFmtId="0" fontId="74" fillId="0" borderId="21" applyNumberFormat="0" applyFill="0" applyAlignment="0" applyProtection="0"/>
    <xf numFmtId="0" fontId="74" fillId="0" borderId="21" applyNumberFormat="0" applyFill="0" applyAlignment="0" applyProtection="0"/>
    <xf numFmtId="0" fontId="74" fillId="0" borderId="21" applyNumberFormat="0" applyFill="0" applyAlignment="0" applyProtection="0"/>
    <xf numFmtId="0" fontId="74" fillId="0" borderId="21" applyNumberFormat="0" applyFill="0" applyAlignment="0" applyProtection="0"/>
    <xf numFmtId="0" fontId="74" fillId="0" borderId="21" applyNumberFormat="0" applyFill="0" applyAlignment="0" applyProtection="0"/>
    <xf numFmtId="0" fontId="74" fillId="0" borderId="21" applyNumberFormat="0" applyFill="0" applyAlignment="0" applyProtection="0"/>
    <xf numFmtId="0" fontId="67" fillId="77" borderId="19" applyNumberFormat="0" applyAlignment="0" applyProtection="0"/>
    <xf numFmtId="178" fontId="92" fillId="0" borderId="0">
      <protection locked="0"/>
    </xf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3" fontId="17" fillId="0" borderId="0" applyFont="0" applyFill="0" applyBorder="0" applyAlignment="0" applyProtection="0"/>
    <xf numFmtId="179" fontId="92" fillId="0" borderId="0">
      <protection locked="0"/>
    </xf>
    <xf numFmtId="0" fontId="17" fillId="0" borderId="0" applyFont="0" applyFill="0" applyBorder="0" applyAlignment="0" applyProtection="0"/>
    <xf numFmtId="180" fontId="93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64" fillId="73" borderId="0" applyNumberFormat="0" applyBorder="0" applyAlignment="0" applyProtection="0"/>
    <xf numFmtId="0" fontId="64" fillId="73" borderId="0" applyNumberFormat="0" applyBorder="0" applyAlignment="0" applyProtection="0"/>
    <xf numFmtId="0" fontId="64" fillId="73" borderId="0" applyNumberFormat="0" applyBorder="0" applyAlignment="0" applyProtection="0"/>
    <xf numFmtId="0" fontId="64" fillId="73" borderId="0" applyNumberFormat="0" applyBorder="0" applyAlignment="0" applyProtection="0"/>
    <xf numFmtId="0" fontId="64" fillId="73" borderId="0" applyNumberFormat="0" applyBorder="0" applyAlignment="0" applyProtection="0"/>
    <xf numFmtId="0" fontId="64" fillId="73" borderId="0" applyNumberFormat="0" applyBorder="0" applyAlignment="0" applyProtection="0"/>
    <xf numFmtId="0" fontId="64" fillId="73" borderId="0" applyNumberFormat="0" applyBorder="0" applyAlignment="0" applyProtection="0"/>
    <xf numFmtId="0" fontId="64" fillId="73" borderId="0" applyNumberFormat="0" applyBorder="0" applyAlignment="0" applyProtection="0"/>
    <xf numFmtId="0" fontId="64" fillId="73" borderId="0" applyNumberFormat="0" applyBorder="0" applyAlignment="0" applyProtection="0"/>
    <xf numFmtId="0" fontId="64" fillId="73" borderId="0" applyNumberFormat="0" applyBorder="0" applyAlignment="0" applyProtection="0"/>
    <xf numFmtId="0" fontId="81" fillId="73" borderId="0" applyNumberFormat="0" applyBorder="0" applyAlignment="0" applyProtection="0"/>
    <xf numFmtId="0" fontId="64" fillId="73" borderId="0" applyNumberFormat="0" applyBorder="0" applyAlignment="0" applyProtection="0"/>
    <xf numFmtId="0" fontId="64" fillId="73" borderId="0" applyNumberFormat="0" applyBorder="0" applyAlignment="0" applyProtection="0"/>
    <xf numFmtId="0" fontId="24" fillId="29" borderId="0" applyNumberFormat="0" applyBorder="0" applyAlignment="0" applyProtection="0"/>
    <xf numFmtId="0" fontId="64" fillId="79" borderId="0" applyNumberFormat="0" applyBorder="0" applyAlignment="0" applyProtection="0"/>
    <xf numFmtId="0" fontId="64" fillId="71" borderId="0" applyNumberFormat="0" applyBorder="0" applyAlignment="0" applyProtection="0"/>
    <xf numFmtId="0" fontId="81" fillId="73" borderId="0" applyNumberFormat="0" applyBorder="0" applyAlignment="0" applyProtection="0"/>
    <xf numFmtId="0" fontId="64" fillId="73" borderId="0" applyNumberFormat="0" applyBorder="0" applyAlignment="0" applyProtection="0"/>
    <xf numFmtId="0" fontId="64" fillId="73" borderId="0" applyNumberFormat="0" applyBorder="0" applyAlignment="0" applyProtection="0"/>
    <xf numFmtId="0" fontId="64" fillId="73" borderId="0" applyNumberFormat="0" applyBorder="0" applyAlignment="0" applyProtection="0"/>
    <xf numFmtId="0" fontId="64" fillId="73" borderId="0" applyNumberFormat="0" applyBorder="0" applyAlignment="0" applyProtection="0"/>
    <xf numFmtId="0" fontId="64" fillId="73" borderId="0" applyNumberFormat="0" applyBorder="0" applyAlignment="0" applyProtection="0"/>
    <xf numFmtId="0" fontId="64" fillId="73" borderId="0" applyNumberFormat="0" applyBorder="0" applyAlignment="0" applyProtection="0"/>
    <xf numFmtId="0" fontId="64" fillId="73" borderId="0" applyNumberFormat="0" applyBorder="0" applyAlignment="0" applyProtection="0"/>
    <xf numFmtId="0" fontId="81" fillId="74" borderId="0" applyNumberFormat="0" applyBorder="0" applyAlignment="0" applyProtection="0"/>
    <xf numFmtId="0" fontId="24" fillId="33" borderId="0" applyNumberFormat="0" applyBorder="0" applyAlignment="0" applyProtection="0"/>
    <xf numFmtId="0" fontId="81" fillId="74" borderId="0" applyNumberFormat="0" applyBorder="0" applyAlignment="0" applyProtection="0"/>
    <xf numFmtId="0" fontId="64" fillId="72" borderId="0" applyNumberFormat="0" applyBorder="0" applyAlignment="0" applyProtection="0"/>
    <xf numFmtId="0" fontId="64" fillId="74" borderId="0" applyNumberFormat="0" applyBorder="0" applyAlignment="0" applyProtection="0"/>
    <xf numFmtId="0" fontId="64" fillId="75" borderId="0" applyNumberFormat="0" applyBorder="0" applyAlignment="0" applyProtection="0"/>
    <xf numFmtId="0" fontId="64" fillId="75" borderId="0" applyNumberFormat="0" applyBorder="0" applyAlignment="0" applyProtection="0"/>
    <xf numFmtId="0" fontId="64" fillId="75" borderId="0" applyNumberFormat="0" applyBorder="0" applyAlignment="0" applyProtection="0"/>
    <xf numFmtId="0" fontId="64" fillId="75" borderId="0" applyNumberFormat="0" applyBorder="0" applyAlignment="0" applyProtection="0"/>
    <xf numFmtId="0" fontId="64" fillId="75" borderId="0" applyNumberFormat="0" applyBorder="0" applyAlignment="0" applyProtection="0"/>
    <xf numFmtId="0" fontId="64" fillId="75" borderId="0" applyNumberFormat="0" applyBorder="0" applyAlignment="0" applyProtection="0"/>
    <xf numFmtId="0" fontId="64" fillId="75" borderId="0" applyNumberFormat="0" applyBorder="0" applyAlignment="0" applyProtection="0"/>
    <xf numFmtId="0" fontId="64" fillId="75" borderId="0" applyNumberFormat="0" applyBorder="0" applyAlignment="0" applyProtection="0"/>
    <xf numFmtId="0" fontId="64" fillId="75" borderId="0" applyNumberFormat="0" applyBorder="0" applyAlignment="0" applyProtection="0"/>
    <xf numFmtId="0" fontId="64" fillId="75" borderId="0" applyNumberFormat="0" applyBorder="0" applyAlignment="0" applyProtection="0"/>
    <xf numFmtId="0" fontId="81" fillId="75" borderId="0" applyNumberFormat="0" applyBorder="0" applyAlignment="0" applyProtection="0"/>
    <xf numFmtId="0" fontId="64" fillId="75" borderId="0" applyNumberFormat="0" applyBorder="0" applyAlignment="0" applyProtection="0"/>
    <xf numFmtId="0" fontId="64" fillId="75" borderId="0" applyNumberFormat="0" applyBorder="0" applyAlignment="0" applyProtection="0"/>
    <xf numFmtId="0" fontId="24" fillId="37" borderId="0" applyNumberFormat="0" applyBorder="0" applyAlignment="0" applyProtection="0"/>
    <xf numFmtId="0" fontId="64" fillId="64" borderId="0" applyNumberFormat="0" applyBorder="0" applyAlignment="0" applyProtection="0"/>
    <xf numFmtId="0" fontId="64" fillId="79" borderId="0" applyNumberFormat="0" applyBorder="0" applyAlignment="0" applyProtection="0"/>
    <xf numFmtId="0" fontId="81" fillId="75" borderId="0" applyNumberFormat="0" applyBorder="0" applyAlignment="0" applyProtection="0"/>
    <xf numFmtId="0" fontId="64" fillId="75" borderId="0" applyNumberFormat="0" applyBorder="0" applyAlignment="0" applyProtection="0"/>
    <xf numFmtId="0" fontId="64" fillId="75" borderId="0" applyNumberFormat="0" applyBorder="0" applyAlignment="0" applyProtection="0"/>
    <xf numFmtId="0" fontId="64" fillId="75" borderId="0" applyNumberFormat="0" applyBorder="0" applyAlignment="0" applyProtection="0"/>
    <xf numFmtId="0" fontId="64" fillId="75" borderId="0" applyNumberFormat="0" applyBorder="0" applyAlignment="0" applyProtection="0"/>
    <xf numFmtId="0" fontId="64" fillId="75" borderId="0" applyNumberFormat="0" applyBorder="0" applyAlignment="0" applyProtection="0"/>
    <xf numFmtId="0" fontId="64" fillId="75" borderId="0" applyNumberFormat="0" applyBorder="0" applyAlignment="0" applyProtection="0"/>
    <xf numFmtId="0" fontId="64" fillId="75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81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24" fillId="41" borderId="0" applyNumberFormat="0" applyBorder="0" applyAlignment="0" applyProtection="0"/>
    <xf numFmtId="0" fontId="64" fillId="80" borderId="0" applyNumberFormat="0" applyBorder="0" applyAlignment="0" applyProtection="0"/>
    <xf numFmtId="0" fontId="64" fillId="72" borderId="0" applyNumberFormat="0" applyBorder="0" applyAlignment="0" applyProtection="0"/>
    <xf numFmtId="0" fontId="81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81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24" fillId="45" borderId="0" applyNumberFormat="0" applyBorder="0" applyAlignment="0" applyProtection="0"/>
    <xf numFmtId="0" fontId="64" fillId="71" borderId="0" applyNumberFormat="0" applyBorder="0" applyAlignment="0" applyProtection="0"/>
    <xf numFmtId="0" fontId="81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64" fillId="72" borderId="0" applyNumberFormat="0" applyBorder="0" applyAlignment="0" applyProtection="0"/>
    <xf numFmtId="0" fontId="64" fillId="72" borderId="0" applyNumberFormat="0" applyBorder="0" applyAlignment="0" applyProtection="0"/>
    <xf numFmtId="0" fontId="64" fillId="72" borderId="0" applyNumberFormat="0" applyBorder="0" applyAlignment="0" applyProtection="0"/>
    <xf numFmtId="0" fontId="64" fillId="72" borderId="0" applyNumberFormat="0" applyBorder="0" applyAlignment="0" applyProtection="0"/>
    <xf numFmtId="0" fontId="64" fillId="72" borderId="0" applyNumberFormat="0" applyBorder="0" applyAlignment="0" applyProtection="0"/>
    <xf numFmtId="0" fontId="64" fillId="72" borderId="0" applyNumberFormat="0" applyBorder="0" applyAlignment="0" applyProtection="0"/>
    <xf numFmtId="0" fontId="64" fillId="72" borderId="0" applyNumberFormat="0" applyBorder="0" applyAlignment="0" applyProtection="0"/>
    <xf numFmtId="0" fontId="64" fillId="72" borderId="0" applyNumberFormat="0" applyBorder="0" applyAlignment="0" applyProtection="0"/>
    <xf numFmtId="0" fontId="64" fillId="72" borderId="0" applyNumberFormat="0" applyBorder="0" applyAlignment="0" applyProtection="0"/>
    <xf numFmtId="0" fontId="64" fillId="72" borderId="0" applyNumberFormat="0" applyBorder="0" applyAlignment="0" applyProtection="0"/>
    <xf numFmtId="0" fontId="81" fillId="72" borderId="0" applyNumberFormat="0" applyBorder="0" applyAlignment="0" applyProtection="0"/>
    <xf numFmtId="0" fontId="64" fillId="72" borderId="0" applyNumberFormat="0" applyBorder="0" applyAlignment="0" applyProtection="0"/>
    <xf numFmtId="0" fontId="64" fillId="72" borderId="0" applyNumberFormat="0" applyBorder="0" applyAlignment="0" applyProtection="0"/>
    <xf numFmtId="0" fontId="24" fillId="48" borderId="0" applyNumberFormat="0" applyBorder="0" applyAlignment="0" applyProtection="0"/>
    <xf numFmtId="0" fontId="64" fillId="74" borderId="0" applyNumberFormat="0" applyBorder="0" applyAlignment="0" applyProtection="0"/>
    <xf numFmtId="0" fontId="64" fillId="70" borderId="0" applyNumberFormat="0" applyBorder="0" applyAlignment="0" applyProtection="0"/>
    <xf numFmtId="0" fontId="81" fillId="72" borderId="0" applyNumberFormat="0" applyBorder="0" applyAlignment="0" applyProtection="0"/>
    <xf numFmtId="0" fontId="64" fillId="72" borderId="0" applyNumberFormat="0" applyBorder="0" applyAlignment="0" applyProtection="0"/>
    <xf numFmtId="0" fontId="64" fillId="72" borderId="0" applyNumberFormat="0" applyBorder="0" applyAlignment="0" applyProtection="0"/>
    <xf numFmtId="0" fontId="64" fillId="72" borderId="0" applyNumberFormat="0" applyBorder="0" applyAlignment="0" applyProtection="0"/>
    <xf numFmtId="0" fontId="64" fillId="72" borderId="0" applyNumberFormat="0" applyBorder="0" applyAlignment="0" applyProtection="0"/>
    <xf numFmtId="0" fontId="64" fillId="72" borderId="0" applyNumberFormat="0" applyBorder="0" applyAlignment="0" applyProtection="0"/>
    <xf numFmtId="0" fontId="64" fillId="72" borderId="0" applyNumberFormat="0" applyBorder="0" applyAlignment="0" applyProtection="0"/>
    <xf numFmtId="0" fontId="64" fillId="72" borderId="0" applyNumberFormat="0" applyBorder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96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108" fillId="66" borderId="18" applyNumberFormat="0" applyAlignment="0" applyProtection="0"/>
    <xf numFmtId="0" fontId="108" fillId="66" borderId="18" applyNumberFormat="0" applyAlignment="0" applyProtection="0"/>
    <xf numFmtId="0" fontId="108" fillId="66" borderId="18" applyNumberFormat="0" applyAlignment="0" applyProtection="0"/>
    <xf numFmtId="0" fontId="108" fillId="66" borderId="18" applyNumberFormat="0" applyAlignment="0" applyProtection="0"/>
    <xf numFmtId="0" fontId="108" fillId="66" borderId="18" applyNumberFormat="0" applyAlignment="0" applyProtection="0"/>
    <xf numFmtId="0" fontId="108" fillId="66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37" fillId="25" borderId="12" applyNumberFormat="0" applyAlignment="0" applyProtection="0"/>
    <xf numFmtId="0" fontId="108" fillId="66" borderId="18" applyNumberFormat="0" applyAlignment="0" applyProtection="0"/>
    <xf numFmtId="0" fontId="108" fillId="66" borderId="18" applyNumberFormat="0" applyAlignment="0" applyProtection="0"/>
    <xf numFmtId="0" fontId="108" fillId="66" borderId="18" applyNumberFormat="0" applyAlignment="0" applyProtection="0"/>
    <xf numFmtId="0" fontId="108" fillId="66" borderId="18" applyNumberFormat="0" applyAlignment="0" applyProtection="0"/>
    <xf numFmtId="0" fontId="108" fillId="66" borderId="18" applyNumberFormat="0" applyAlignment="0" applyProtection="0"/>
    <xf numFmtId="0" fontId="108" fillId="66" borderId="18" applyNumberFormat="0" applyAlignment="0" applyProtection="0"/>
    <xf numFmtId="0" fontId="96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73" fillId="58" borderId="18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79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79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79" fillId="0" borderId="0" applyFont="0" applyFill="0" applyBorder="0" applyAlignment="0" applyProtection="0"/>
    <xf numFmtId="0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94" fontId="17" fillId="0" borderId="0" applyFont="0" applyFill="0" applyBorder="0" applyAlignment="0" applyProtection="0"/>
    <xf numFmtId="194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79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79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79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79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79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79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79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79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79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79" fillId="0" borderId="0" applyFont="0" applyFill="0" applyBorder="0" applyAlignment="0" applyProtection="0"/>
    <xf numFmtId="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94" fontId="17" fillId="0" borderId="0" applyFont="0" applyFill="0" applyBorder="0" applyAlignment="0" applyProtection="0"/>
    <xf numFmtId="194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79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79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79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79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79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79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94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94" fontId="17" fillId="0" borderId="0" applyFont="0" applyFill="0" applyBorder="0" applyAlignment="0" applyProtection="0"/>
    <xf numFmtId="194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94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91" fontId="79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26" fillId="0" borderId="0" applyFont="0" applyFill="0" applyBorder="0" applyAlignment="0" applyProtection="0"/>
    <xf numFmtId="0" fontId="92" fillId="0" borderId="0">
      <protection locked="0"/>
    </xf>
    <xf numFmtId="0" fontId="26" fillId="0" borderId="0" applyFont="0" applyFill="0" applyBorder="0" applyAlignment="0" applyProtection="0"/>
    <xf numFmtId="0" fontId="92" fillId="0" borderId="0">
      <protection locked="0"/>
    </xf>
    <xf numFmtId="0" fontId="26" fillId="0" borderId="0" applyFont="0" applyFill="0" applyBorder="0" applyAlignment="0" applyProtection="0"/>
    <xf numFmtId="0" fontId="92" fillId="0" borderId="0">
      <protection locked="0"/>
    </xf>
    <xf numFmtId="0" fontId="26" fillId="0" borderId="0" applyFont="0" applyFill="0" applyBorder="0" applyAlignment="0" applyProtection="0"/>
    <xf numFmtId="0" fontId="92" fillId="0" borderId="0">
      <protection locked="0"/>
    </xf>
    <xf numFmtId="0" fontId="26" fillId="0" borderId="0" applyFont="0" applyFill="0" applyBorder="0" applyAlignment="0" applyProtection="0"/>
    <xf numFmtId="0" fontId="92" fillId="0" borderId="0">
      <protection locked="0"/>
    </xf>
    <xf numFmtId="0" fontId="26" fillId="0" borderId="0" applyFont="0" applyFill="0" applyBorder="0" applyAlignment="0" applyProtection="0"/>
    <xf numFmtId="0" fontId="92" fillId="0" borderId="0">
      <protection locked="0"/>
    </xf>
    <xf numFmtId="0" fontId="26" fillId="0" borderId="0" applyFont="0" applyFill="0" applyBorder="0" applyAlignment="0" applyProtection="0"/>
    <xf numFmtId="0" fontId="92" fillId="0" borderId="0">
      <protection locked="0"/>
    </xf>
    <xf numFmtId="0" fontId="116" fillId="0" borderId="0" applyFont="0" applyFill="0" applyBorder="0" applyAlignment="0" applyProtection="0"/>
    <xf numFmtId="183" fontId="92" fillId="0" borderId="0">
      <protection locked="0"/>
    </xf>
    <xf numFmtId="2" fontId="116" fillId="0" borderId="0" applyFont="0" applyFill="0" applyBorder="0" applyAlignment="0" applyProtection="0"/>
    <xf numFmtId="178" fontId="92" fillId="0" borderId="0">
      <protection locked="0"/>
    </xf>
    <xf numFmtId="180" fontId="93" fillId="0" borderId="0">
      <protection locked="0"/>
    </xf>
    <xf numFmtId="183" fontId="92" fillId="0" borderId="0">
      <protection locked="0"/>
    </xf>
    <xf numFmtId="0" fontId="69" fillId="55" borderId="0" applyNumberFormat="0" applyBorder="0" applyAlignment="0" applyProtection="0"/>
    <xf numFmtId="0" fontId="70" fillId="0" borderId="24" applyNumberFormat="0" applyFill="0" applyAlignment="0" applyProtection="0"/>
    <xf numFmtId="0" fontId="71" fillId="0" borderId="25" applyNumberFormat="0" applyFill="0" applyAlignment="0" applyProtection="0"/>
    <xf numFmtId="0" fontId="72" fillId="0" borderId="26" applyNumberFormat="0" applyFill="0" applyAlignment="0" applyProtection="0"/>
    <xf numFmtId="0" fontId="72" fillId="0" borderId="0" applyNumberFormat="0" applyFill="0" applyBorder="0" applyAlignment="0" applyProtection="0"/>
    <xf numFmtId="180" fontId="97" fillId="0" borderId="0">
      <protection locked="0"/>
    </xf>
    <xf numFmtId="0" fontId="94" fillId="0" borderId="0">
      <protection locked="0"/>
    </xf>
    <xf numFmtId="180" fontId="97" fillId="0" borderId="0">
      <protection locked="0"/>
    </xf>
    <xf numFmtId="0" fontId="94" fillId="0" borderId="0">
      <protection locked="0"/>
    </xf>
    <xf numFmtId="0" fontId="16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98" fillId="54" borderId="0" applyNumberFormat="0" applyBorder="0" applyAlignment="0" applyProtection="0"/>
    <xf numFmtId="0" fontId="36" fillId="23" borderId="0" applyNumberFormat="0" applyBorder="0" applyAlignment="0" applyProtection="0"/>
    <xf numFmtId="0" fontId="98" fillId="54" borderId="0" applyNumberFormat="0" applyBorder="0" applyAlignment="0" applyProtection="0"/>
    <xf numFmtId="0" fontId="65" fillId="56" borderId="0" applyNumberFormat="0" applyBorder="0" applyAlignment="0" applyProtection="0"/>
    <xf numFmtId="0" fontId="65" fillId="54" borderId="0" applyNumberFormat="0" applyBorder="0" applyAlignment="0" applyProtection="0"/>
    <xf numFmtId="0" fontId="73" fillId="58" borderId="18" applyNumberFormat="0" applyAlignment="0" applyProtection="0"/>
    <xf numFmtId="0" fontId="74" fillId="0" borderId="21" applyNumberFormat="0" applyFill="0" applyAlignment="0" applyProtection="0"/>
    <xf numFmtId="173" fontId="17" fillId="0" borderId="0" applyFont="0" applyFill="0" applyBorder="0" applyAlignment="0" applyProtection="0"/>
    <xf numFmtId="41" fontId="44" fillId="0" borderId="0" applyFont="0" applyFill="0" applyBorder="0" applyAlignment="0" applyProtection="0"/>
    <xf numFmtId="184" fontId="17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0" fontId="17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85" fontId="17" fillId="0" borderId="0" applyFont="0" applyFill="0" applyBorder="0" applyAlignment="0" applyProtection="0"/>
    <xf numFmtId="193" fontId="117" fillId="0" borderId="0" applyFont="0" applyFill="0" applyBorder="0" applyAlignment="0" applyProtection="0"/>
    <xf numFmtId="166" fontId="17" fillId="0" borderId="0" applyFont="0" applyFill="0" applyBorder="0" applyAlignment="0" applyProtection="0"/>
    <xf numFmtId="176" fontId="44" fillId="0" borderId="0" applyFont="0" applyFill="0" applyBorder="0" applyAlignment="0" applyProtection="0"/>
    <xf numFmtId="193" fontId="117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93" fontId="117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93" fontId="117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93" fontId="117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93" fontId="117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93" fontId="117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93" fontId="117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193" fontId="117" fillId="0" borderId="0" applyFont="0" applyFill="0" applyBorder="0" applyAlignment="0" applyProtection="0"/>
    <xf numFmtId="43" fontId="17" fillId="0" borderId="0" applyFont="0" applyFill="0" applyBorder="0" applyAlignment="0" applyProtection="0"/>
    <xf numFmtId="193" fontId="117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93" fontId="117" fillId="0" borderId="0" applyFont="0" applyFill="0" applyBorder="0" applyAlignment="0" applyProtection="0"/>
    <xf numFmtId="0" fontId="17" fillId="0" borderId="0" applyFont="0" applyFill="0" applyBorder="0" applyAlignment="0" applyProtection="0"/>
    <xf numFmtId="43" fontId="27" fillId="0" borderId="0" applyFont="0" applyFill="0" applyBorder="0" applyAlignment="0" applyProtection="0"/>
    <xf numFmtId="186" fontId="17" fillId="0" borderId="0" applyFont="0" applyFill="0" applyBorder="0" applyAlignment="0" applyProtection="0"/>
    <xf numFmtId="193" fontId="117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93" fontId="117" fillId="0" borderId="0" applyFont="0" applyFill="0" applyBorder="0" applyAlignment="0" applyProtection="0"/>
    <xf numFmtId="43" fontId="17" fillId="0" borderId="0" applyFont="0" applyFill="0" applyBorder="0" applyAlignment="0" applyProtection="0"/>
    <xf numFmtId="193" fontId="117" fillId="0" borderId="0" applyFont="0" applyFill="0" applyBorder="0" applyAlignment="0" applyProtection="0"/>
    <xf numFmtId="174" fontId="44" fillId="0" borderId="0" applyFont="0" applyFill="0" applyBorder="0" applyAlignment="0" applyProtection="0"/>
    <xf numFmtId="193" fontId="117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93" fontId="117" fillId="0" borderId="0" applyFont="0" applyFill="0" applyBorder="0" applyAlignment="0" applyProtection="0"/>
    <xf numFmtId="193" fontId="117" fillId="0" borderId="0" applyFont="0" applyFill="0" applyBorder="0" applyAlignment="0" applyProtection="0"/>
    <xf numFmtId="193" fontId="117" fillId="0" borderId="0" applyFont="0" applyFill="0" applyBorder="0" applyAlignment="0" applyProtection="0"/>
    <xf numFmtId="193" fontId="117" fillId="0" borderId="0" applyFont="0" applyFill="0" applyBorder="0" applyAlignment="0" applyProtection="0"/>
    <xf numFmtId="193" fontId="117" fillId="0" borderId="0" applyFont="0" applyFill="0" applyBorder="0" applyAlignment="0" applyProtection="0"/>
    <xf numFmtId="193" fontId="117" fillId="0" borderId="0" applyFont="0" applyFill="0" applyBorder="0" applyAlignment="0" applyProtection="0"/>
    <xf numFmtId="193" fontId="117" fillId="0" borderId="0" applyFont="0" applyFill="0" applyBorder="0" applyAlignment="0" applyProtection="0"/>
    <xf numFmtId="0" fontId="17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80" fontId="17" fillId="0" borderId="0" applyFont="0" applyFill="0" applyBorder="0" applyAlignment="0" applyProtection="0"/>
    <xf numFmtId="193" fontId="117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93" fontId="117" fillId="0" borderId="0" applyFont="0" applyFill="0" applyBorder="0" applyAlignment="0" applyProtection="0"/>
    <xf numFmtId="193" fontId="117" fillId="0" borderId="0" applyFont="0" applyFill="0" applyBorder="0" applyAlignment="0" applyProtection="0"/>
    <xf numFmtId="193" fontId="117" fillId="0" borderId="0" applyFont="0" applyFill="0" applyBorder="0" applyAlignment="0" applyProtection="0"/>
    <xf numFmtId="193" fontId="117" fillId="0" borderId="0" applyFont="0" applyFill="0" applyBorder="0" applyAlignment="0" applyProtection="0"/>
    <xf numFmtId="193" fontId="117" fillId="0" borderId="0" applyFont="0" applyFill="0" applyBorder="0" applyAlignment="0" applyProtection="0"/>
    <xf numFmtId="193" fontId="117" fillId="0" borderId="0" applyFont="0" applyFill="0" applyBorder="0" applyAlignment="0" applyProtection="0"/>
    <xf numFmtId="193" fontId="117" fillId="0" borderId="0" applyFont="0" applyFill="0" applyBorder="0" applyAlignment="0" applyProtection="0"/>
    <xf numFmtId="193" fontId="117" fillId="0" borderId="0" applyFont="0" applyFill="0" applyBorder="0" applyAlignment="0" applyProtection="0"/>
    <xf numFmtId="193" fontId="117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87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93" fontId="1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43" fontId="44" fillId="0" borderId="0" applyFont="0" applyFill="0" applyBorder="0" applyAlignment="0" applyProtection="0"/>
    <xf numFmtId="193" fontId="117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87" fontId="17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93" fontId="117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17" fillId="0" borderId="0" applyFont="0" applyFill="0" applyBorder="0" applyAlignment="0" applyProtection="0"/>
    <xf numFmtId="176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93" fontId="117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19" fillId="0" borderId="0" applyFont="0" applyFill="0" applyBorder="0" applyAlignment="0" applyProtection="0"/>
    <xf numFmtId="193" fontId="1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5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3" fontId="117" fillId="0" borderId="0" applyFont="0" applyFill="0" applyBorder="0" applyAlignment="0" applyProtection="0"/>
    <xf numFmtId="174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5" fontId="17" fillId="0" borderId="0" applyFont="0" applyFill="0" applyBorder="0" applyAlignment="0" applyProtection="0"/>
    <xf numFmtId="195" fontId="17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79" fontId="92" fillId="0" borderId="0">
      <protection locked="0"/>
    </xf>
    <xf numFmtId="192" fontId="116" fillId="0" borderId="0" applyFont="0" applyFill="0" applyBorder="0" applyAlignment="0" applyProtection="0"/>
    <xf numFmtId="3" fontId="123" fillId="52" borderId="2">
      <alignment horizontal="center"/>
    </xf>
    <xf numFmtId="0" fontId="83" fillId="66" borderId="0" applyNumberFormat="0" applyBorder="0" applyAlignment="0" applyProtection="0"/>
    <xf numFmtId="0" fontId="75" fillId="66" borderId="0" applyNumberFormat="0" applyBorder="0" applyAlignment="0" applyProtection="0"/>
    <xf numFmtId="0" fontId="75" fillId="66" borderId="0" applyNumberFormat="0" applyBorder="0" applyAlignment="0" applyProtection="0"/>
    <xf numFmtId="0" fontId="75" fillId="66" borderId="0" applyNumberFormat="0" applyBorder="0" applyAlignment="0" applyProtection="0"/>
    <xf numFmtId="0" fontId="75" fillId="66" borderId="0" applyNumberFormat="0" applyBorder="0" applyAlignment="0" applyProtection="0"/>
    <xf numFmtId="0" fontId="75" fillId="66" borderId="0" applyNumberFormat="0" applyBorder="0" applyAlignment="0" applyProtection="0"/>
    <xf numFmtId="0" fontId="75" fillId="66" borderId="0" applyNumberFormat="0" applyBorder="0" applyAlignment="0" applyProtection="0"/>
    <xf numFmtId="0" fontId="75" fillId="66" borderId="0" applyNumberFormat="0" applyBorder="0" applyAlignment="0" applyProtection="0"/>
    <xf numFmtId="0" fontId="75" fillId="66" borderId="0" applyNumberFormat="0" applyBorder="0" applyAlignment="0" applyProtection="0"/>
    <xf numFmtId="0" fontId="75" fillId="66" borderId="0" applyNumberFormat="0" applyBorder="0" applyAlignment="0" applyProtection="0"/>
    <xf numFmtId="0" fontId="75" fillId="66" borderId="0" applyNumberFormat="0" applyBorder="0" applyAlignment="0" applyProtection="0"/>
    <xf numFmtId="0" fontId="83" fillId="66" borderId="0" applyNumberFormat="0" applyBorder="0" applyAlignment="0" applyProtection="0"/>
    <xf numFmtId="0" fontId="75" fillId="66" borderId="0" applyNumberFormat="0" applyBorder="0" applyAlignment="0" applyProtection="0"/>
    <xf numFmtId="0" fontId="75" fillId="66" borderId="0" applyNumberFormat="0" applyBorder="0" applyAlignment="0" applyProtection="0"/>
    <xf numFmtId="0" fontId="28" fillId="24" borderId="0" applyNumberFormat="0" applyBorder="0" applyAlignment="0" applyProtection="0"/>
    <xf numFmtId="0" fontId="124" fillId="66" borderId="0" applyNumberFormat="0" applyBorder="0" applyAlignment="0" applyProtection="0"/>
    <xf numFmtId="0" fontId="109" fillId="66" borderId="0" applyNumberFormat="0" applyBorder="0" applyAlignment="0" applyProtection="0"/>
    <xf numFmtId="0" fontId="83" fillId="66" borderId="0" applyNumberFormat="0" applyBorder="0" applyAlignment="0" applyProtection="0"/>
    <xf numFmtId="0" fontId="75" fillId="66" borderId="0" applyNumberFormat="0" applyBorder="0" applyAlignment="0" applyProtection="0"/>
    <xf numFmtId="0" fontId="75" fillId="66" borderId="0" applyNumberFormat="0" applyBorder="0" applyAlignment="0" applyProtection="0"/>
    <xf numFmtId="0" fontId="75" fillId="66" borderId="0" applyNumberFormat="0" applyBorder="0" applyAlignment="0" applyProtection="0"/>
    <xf numFmtId="0" fontId="75" fillId="66" borderId="0" applyNumberFormat="0" applyBorder="0" applyAlignment="0" applyProtection="0"/>
    <xf numFmtId="0" fontId="75" fillId="66" borderId="0" applyNumberFormat="0" applyBorder="0" applyAlignment="0" applyProtection="0"/>
    <xf numFmtId="0" fontId="75" fillId="66" borderId="0" applyNumberFormat="0" applyBorder="0" applyAlignment="0" applyProtection="0"/>
    <xf numFmtId="0" fontId="75" fillId="66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9" fillId="0" borderId="0">
      <alignment wrapText="1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0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8" fillId="0" borderId="0"/>
    <xf numFmtId="0" fontId="17" fillId="0" borderId="0"/>
    <xf numFmtId="0" fontId="4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5" fontId="79" fillId="0" borderId="0"/>
    <xf numFmtId="0" fontId="17" fillId="0" borderId="0"/>
    <xf numFmtId="0" fontId="17" fillId="0" borderId="0"/>
    <xf numFmtId="0" fontId="80" fillId="0" borderId="0" applyNumberFormat="0" applyFill="0" applyBorder="0" applyAlignment="0" applyProtection="0"/>
    <xf numFmtId="175" fontId="1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0" fillId="0" borderId="0" applyNumberFormat="0" applyFill="0" applyBorder="0" applyAlignment="0" applyProtection="0"/>
    <xf numFmtId="0" fontId="17" fillId="0" borderId="0"/>
    <xf numFmtId="0" fontId="8" fillId="0" borderId="0"/>
    <xf numFmtId="0" fontId="17" fillId="0" borderId="0"/>
    <xf numFmtId="0" fontId="82" fillId="0" borderId="0"/>
    <xf numFmtId="0" fontId="8" fillId="0" borderId="0"/>
    <xf numFmtId="0" fontId="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17" fillId="0" borderId="0"/>
    <xf numFmtId="0" fontId="79" fillId="0" borderId="0">
      <alignment vertical="center"/>
    </xf>
    <xf numFmtId="0" fontId="17" fillId="0" borderId="0"/>
    <xf numFmtId="0" fontId="80" fillId="0" borderId="0"/>
    <xf numFmtId="0" fontId="17" fillId="0" borderId="0"/>
    <xf numFmtId="0" fontId="4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4" fillId="0" borderId="0"/>
    <xf numFmtId="0" fontId="8" fillId="0" borderId="0"/>
    <xf numFmtId="0" fontId="8" fillId="0" borderId="0"/>
    <xf numFmtId="0" fontId="4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27" fillId="0" borderId="0"/>
    <xf numFmtId="0" fontId="17" fillId="0" borderId="0"/>
    <xf numFmtId="0" fontId="8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" fillId="0" borderId="0"/>
    <xf numFmtId="0" fontId="44" fillId="0" borderId="0"/>
    <xf numFmtId="0" fontId="17" fillId="0" borderId="0"/>
    <xf numFmtId="0" fontId="8" fillId="0" borderId="0"/>
    <xf numFmtId="0" fontId="27" fillId="0" borderId="0"/>
    <xf numFmtId="0" fontId="17" fillId="0" borderId="0"/>
    <xf numFmtId="0" fontId="85" fillId="0" borderId="0"/>
    <xf numFmtId="0" fontId="44" fillId="0" borderId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8" fillId="0" borderId="0"/>
    <xf numFmtId="0" fontId="8" fillId="0" borderId="0"/>
    <xf numFmtId="0" fontId="85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17" fillId="0" borderId="0"/>
    <xf numFmtId="0" fontId="8" fillId="0" borderId="0"/>
    <xf numFmtId="0" fontId="8" fillId="0" borderId="0"/>
    <xf numFmtId="0" fontId="17" fillId="0" borderId="0"/>
    <xf numFmtId="0" fontId="8" fillId="0" borderId="0"/>
    <xf numFmtId="0" fontId="27" fillId="0" borderId="0"/>
    <xf numFmtId="0" fontId="17" fillId="0" borderId="0"/>
    <xf numFmtId="0" fontId="8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3" fillId="0" borderId="0"/>
    <xf numFmtId="0" fontId="8" fillId="0" borderId="0"/>
    <xf numFmtId="0" fontId="8" fillId="0" borderId="0"/>
    <xf numFmtId="0" fontId="80" fillId="0" borderId="0" applyNumberFormat="0" applyFill="0" applyBorder="0" applyAlignment="0" applyProtection="0"/>
    <xf numFmtId="0" fontId="17" fillId="0" borderId="0"/>
    <xf numFmtId="0" fontId="8" fillId="0" borderId="0"/>
    <xf numFmtId="0" fontId="8" fillId="0" borderId="0"/>
    <xf numFmtId="0" fontId="17" fillId="0" borderId="0"/>
    <xf numFmtId="0" fontId="8" fillId="0" borderId="0"/>
    <xf numFmtId="0" fontId="8" fillId="0" borderId="0"/>
    <xf numFmtId="0" fontId="8" fillId="0" borderId="0"/>
    <xf numFmtId="0" fontId="133" fillId="0" borderId="0"/>
    <xf numFmtId="0" fontId="8" fillId="0" borderId="0"/>
    <xf numFmtId="0" fontId="119" fillId="0" borderId="0">
      <alignment wrapText="1"/>
    </xf>
    <xf numFmtId="0" fontId="85" fillId="0" borderId="0"/>
    <xf numFmtId="0" fontId="8" fillId="0" borderId="0"/>
    <xf numFmtId="0" fontId="17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8" fillId="0" borderId="0"/>
    <xf numFmtId="0" fontId="17" fillId="0" borderId="0"/>
    <xf numFmtId="0" fontId="17" fillId="0" borderId="0"/>
    <xf numFmtId="0" fontId="119" fillId="0" borderId="0">
      <alignment wrapText="1"/>
    </xf>
    <xf numFmtId="0" fontId="44" fillId="0" borderId="0" applyFill="0" applyProtection="0"/>
    <xf numFmtId="196" fontId="7" fillId="0" borderId="0"/>
    <xf numFmtId="0" fontId="44" fillId="0" borderId="0" applyFill="0" applyProtection="0"/>
    <xf numFmtId="0" fontId="44" fillId="0" borderId="0" applyFill="0" applyProtection="0"/>
    <xf numFmtId="0" fontId="44" fillId="0" borderId="0"/>
    <xf numFmtId="0" fontId="44" fillId="0" borderId="0"/>
    <xf numFmtId="0" fontId="44" fillId="0" borderId="0"/>
    <xf numFmtId="0" fontId="17" fillId="0" borderId="0"/>
    <xf numFmtId="0" fontId="17" fillId="0" borderId="0"/>
    <xf numFmtId="0" fontId="44" fillId="0" borderId="0"/>
    <xf numFmtId="0" fontId="44" fillId="0" borderId="0"/>
    <xf numFmtId="0" fontId="8" fillId="0" borderId="0"/>
    <xf numFmtId="0" fontId="17" fillId="0" borderId="0"/>
    <xf numFmtId="0" fontId="8" fillId="0" borderId="0"/>
    <xf numFmtId="0" fontId="17" fillId="0" borderId="0"/>
    <xf numFmtId="0" fontId="8" fillId="0" borderId="0"/>
    <xf numFmtId="0" fontId="17" fillId="0" borderId="0"/>
    <xf numFmtId="0" fontId="8" fillId="0" borderId="0"/>
    <xf numFmtId="0" fontId="8" fillId="0" borderId="0"/>
    <xf numFmtId="0" fontId="17" fillId="0" borderId="0"/>
    <xf numFmtId="0" fontId="8" fillId="0" borderId="0"/>
    <xf numFmtId="0" fontId="8" fillId="0" borderId="0"/>
    <xf numFmtId="0" fontId="17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8" fillId="0" borderId="0"/>
    <xf numFmtId="0" fontId="17" fillId="0" borderId="0"/>
    <xf numFmtId="0" fontId="17" fillId="0" borderId="0"/>
    <xf numFmtId="0" fontId="8" fillId="0" borderId="0"/>
    <xf numFmtId="0" fontId="8" fillId="0" borderId="0"/>
    <xf numFmtId="0" fontId="79" fillId="0" borderId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44" fillId="28" borderId="16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17" fillId="61" borderId="27" applyNumberFormat="0" applyFont="0" applyAlignment="0" applyProtection="0"/>
    <xf numFmtId="0" fontId="44" fillId="61" borderId="27" applyNumberFormat="0" applyFont="0" applyAlignment="0" applyProtection="0"/>
    <xf numFmtId="0" fontId="76" fillId="65" borderId="28" applyNumberFormat="0" applyAlignment="0" applyProtection="0"/>
    <xf numFmtId="0" fontId="99" fillId="81" borderId="29">
      <alignment horizontal="center" vertical="center"/>
    </xf>
    <xf numFmtId="0" fontId="87" fillId="0" borderId="30">
      <alignment horizontal="center"/>
    </xf>
    <xf numFmtId="189" fontId="92" fillId="0" borderId="0">
      <protection locked="0"/>
    </xf>
    <xf numFmtId="9" fontId="8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3" fontId="17" fillId="0" borderId="0" applyFont="0" applyFill="0" applyProtection="0"/>
    <xf numFmtId="9" fontId="17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7" fillId="0" borderId="0" applyFont="0" applyFill="0" applyBorder="0" applyAlignment="0" applyProtection="0"/>
    <xf numFmtId="3" fontId="116" fillId="0" borderId="0" applyFont="0" applyFill="0" applyBorder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100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110" fillId="76" borderId="31" applyNumberFormat="0" applyAlignment="0" applyProtection="0"/>
    <xf numFmtId="0" fontId="110" fillId="76" borderId="31" applyNumberFormat="0" applyAlignment="0" applyProtection="0"/>
    <xf numFmtId="0" fontId="110" fillId="76" borderId="31" applyNumberFormat="0" applyAlignment="0" applyProtection="0"/>
    <xf numFmtId="0" fontId="110" fillId="76" borderId="31" applyNumberFormat="0" applyAlignment="0" applyProtection="0"/>
    <xf numFmtId="0" fontId="110" fillId="76" borderId="31" applyNumberFormat="0" applyAlignment="0" applyProtection="0"/>
    <xf numFmtId="0" fontId="110" fillId="76" borderId="31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38" fillId="26" borderId="13" applyNumberFormat="0" applyAlignment="0" applyProtection="0"/>
    <xf numFmtId="0" fontId="110" fillId="76" borderId="31" applyNumberFormat="0" applyAlignment="0" applyProtection="0"/>
    <xf numFmtId="0" fontId="110" fillId="76" borderId="31" applyNumberFormat="0" applyAlignment="0" applyProtection="0"/>
    <xf numFmtId="0" fontId="110" fillId="76" borderId="31" applyNumberFormat="0" applyAlignment="0" applyProtection="0"/>
    <xf numFmtId="0" fontId="100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0" fontId="76" fillId="65" borderId="28" applyNumberFormat="0" applyAlignment="0" applyProtection="0"/>
    <xf numFmtId="3" fontId="121" fillId="82" borderId="0">
      <alignment horizontal="left"/>
    </xf>
    <xf numFmtId="0" fontId="17" fillId="0" borderId="0"/>
    <xf numFmtId="3" fontId="120" fillId="82" borderId="0">
      <alignment horizontal="left"/>
    </xf>
    <xf numFmtId="0" fontId="10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3" fontId="126" fillId="82" borderId="0">
      <alignment horizontal="center"/>
    </xf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103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32" fillId="0" borderId="9" applyNumberFormat="0" applyFill="0" applyAlignment="0" applyProtection="0"/>
    <xf numFmtId="0" fontId="127" fillId="0" borderId="32" applyNumberFormat="0" applyFill="0" applyAlignment="0" applyProtection="0"/>
    <xf numFmtId="0" fontId="112" fillId="0" borderId="33" applyNumberFormat="0" applyFill="0" applyAlignment="0" applyProtection="0"/>
    <xf numFmtId="0" fontId="103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1" fillId="0" borderId="25" applyNumberFormat="0" applyFill="0" applyAlignment="0" applyProtection="0"/>
    <xf numFmtId="0" fontId="71" fillId="0" borderId="25" applyNumberFormat="0" applyFill="0" applyAlignment="0" applyProtection="0"/>
    <xf numFmtId="0" fontId="71" fillId="0" borderId="25" applyNumberFormat="0" applyFill="0" applyAlignment="0" applyProtection="0"/>
    <xf numFmtId="0" fontId="71" fillId="0" borderId="25" applyNumberFormat="0" applyFill="0" applyAlignment="0" applyProtection="0"/>
    <xf numFmtId="0" fontId="71" fillId="0" borderId="25" applyNumberFormat="0" applyFill="0" applyAlignment="0" applyProtection="0"/>
    <xf numFmtId="0" fontId="71" fillId="0" borderId="25" applyNumberFormat="0" applyFill="0" applyAlignment="0" applyProtection="0"/>
    <xf numFmtId="0" fontId="71" fillId="0" borderId="25" applyNumberFormat="0" applyFill="0" applyAlignment="0" applyProtection="0"/>
    <xf numFmtId="0" fontId="71" fillId="0" borderId="25" applyNumberFormat="0" applyFill="0" applyAlignment="0" applyProtection="0"/>
    <xf numFmtId="0" fontId="71" fillId="0" borderId="25" applyNumberFormat="0" applyFill="0" applyAlignment="0" applyProtection="0"/>
    <xf numFmtId="0" fontId="71" fillId="0" borderId="25" applyNumberFormat="0" applyFill="0" applyAlignment="0" applyProtection="0"/>
    <xf numFmtId="0" fontId="104" fillId="0" borderId="25" applyNumberFormat="0" applyFill="0" applyAlignment="0" applyProtection="0"/>
    <xf numFmtId="0" fontId="71" fillId="0" borderId="25" applyNumberFormat="0" applyFill="0" applyAlignment="0" applyProtection="0"/>
    <xf numFmtId="0" fontId="71" fillId="0" borderId="25" applyNumberFormat="0" applyFill="0" applyAlignment="0" applyProtection="0"/>
    <xf numFmtId="0" fontId="33" fillId="0" borderId="10" applyNumberFormat="0" applyFill="0" applyAlignment="0" applyProtection="0"/>
    <xf numFmtId="0" fontId="128" fillId="0" borderId="34" applyNumberFormat="0" applyFill="0" applyAlignment="0" applyProtection="0"/>
    <xf numFmtId="0" fontId="113" fillId="0" borderId="25" applyNumberFormat="0" applyFill="0" applyAlignment="0" applyProtection="0"/>
    <xf numFmtId="0" fontId="104" fillId="0" borderId="25" applyNumberFormat="0" applyFill="0" applyAlignment="0" applyProtection="0"/>
    <xf numFmtId="0" fontId="71" fillId="0" borderId="25" applyNumberFormat="0" applyFill="0" applyAlignment="0" applyProtection="0"/>
    <xf numFmtId="0" fontId="71" fillId="0" borderId="25" applyNumberFormat="0" applyFill="0" applyAlignment="0" applyProtection="0"/>
    <xf numFmtId="0" fontId="71" fillId="0" borderId="25" applyNumberFormat="0" applyFill="0" applyAlignment="0" applyProtection="0"/>
    <xf numFmtId="0" fontId="71" fillId="0" borderId="25" applyNumberFormat="0" applyFill="0" applyAlignment="0" applyProtection="0"/>
    <xf numFmtId="0" fontId="71" fillId="0" borderId="25" applyNumberFormat="0" applyFill="0" applyAlignment="0" applyProtection="0"/>
    <xf numFmtId="0" fontId="71" fillId="0" borderId="25" applyNumberFormat="0" applyFill="0" applyAlignment="0" applyProtection="0"/>
    <xf numFmtId="0" fontId="71" fillId="0" borderId="25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95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107" fillId="0" borderId="35" applyNumberFormat="0" applyFill="0" applyAlignment="0" applyProtection="0"/>
    <xf numFmtId="0" fontId="107" fillId="0" borderId="35" applyNumberFormat="0" applyFill="0" applyAlignment="0" applyProtection="0"/>
    <xf numFmtId="0" fontId="107" fillId="0" borderId="35" applyNumberFormat="0" applyFill="0" applyAlignment="0" applyProtection="0"/>
    <xf numFmtId="0" fontId="107" fillId="0" borderId="35" applyNumberFormat="0" applyFill="0" applyAlignment="0" applyProtection="0"/>
    <xf numFmtId="0" fontId="107" fillId="0" borderId="35" applyNumberFormat="0" applyFill="0" applyAlignment="0" applyProtection="0"/>
    <xf numFmtId="0" fontId="107" fillId="0" borderId="35" applyNumberFormat="0" applyFill="0" applyAlignment="0" applyProtection="0"/>
    <xf numFmtId="0" fontId="107" fillId="0" borderId="35" applyNumberFormat="0" applyFill="0" applyAlignment="0" applyProtection="0"/>
    <xf numFmtId="0" fontId="107" fillId="0" borderId="35" applyNumberFormat="0" applyFill="0" applyAlignment="0" applyProtection="0"/>
    <xf numFmtId="0" fontId="107" fillId="0" borderId="35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34" fillId="0" borderId="11" applyNumberFormat="0" applyFill="0" applyAlignment="0" applyProtection="0"/>
    <xf numFmtId="0" fontId="110" fillId="0" borderId="36" applyNumberFormat="0" applyFill="0" applyAlignment="0" applyProtection="0"/>
    <xf numFmtId="0" fontId="110" fillId="0" borderId="36" applyNumberFormat="0" applyFill="0" applyAlignment="0" applyProtection="0"/>
    <xf numFmtId="0" fontId="110" fillId="0" borderId="36" applyNumberFormat="0" applyFill="0" applyAlignment="0" applyProtection="0"/>
    <xf numFmtId="0" fontId="107" fillId="0" borderId="35" applyNumberFormat="0" applyFill="0" applyAlignment="0" applyProtection="0"/>
    <xf numFmtId="0" fontId="95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2" fillId="0" borderId="26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3" fontId="123" fillId="13" borderId="2">
      <alignment horizontal="center" vertical="center"/>
    </xf>
    <xf numFmtId="3" fontId="130" fillId="82" borderId="0">
      <alignment horizontal="left"/>
    </xf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84" fillId="0" borderId="37" applyNumberFormat="0" applyFill="0" applyAlignment="0" applyProtection="0"/>
    <xf numFmtId="0" fontId="84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3" fillId="0" borderId="17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84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1" fillId="0" borderId="37" applyNumberFormat="0" applyFill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0" fillId="0" borderId="0" applyBorder="0"/>
    <xf numFmtId="43" fontId="30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60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0" borderId="0" xfId="0" applyFont="1"/>
    <xf numFmtId="2" fontId="0" fillId="0" borderId="0" xfId="0" applyNumberFormat="1"/>
    <xf numFmtId="0" fontId="0" fillId="0" borderId="2" xfId="0" applyBorder="1"/>
    <xf numFmtId="2" fontId="0" fillId="0" borderId="2" xfId="0" applyNumberFormat="1" applyBorder="1"/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 applyProtection="1">
      <alignment horizontal="left" vertical="center"/>
      <protection locked="0"/>
    </xf>
    <xf numFmtId="0" fontId="3" fillId="6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8" borderId="1" xfId="0" applyFont="1" applyFill="1" applyBorder="1" applyAlignment="1">
      <alignment vertical="center"/>
    </xf>
    <xf numFmtId="0" fontId="4" fillId="8" borderId="6" xfId="0" applyFont="1" applyFill="1" applyBorder="1" applyAlignment="1">
      <alignment vertical="center"/>
    </xf>
    <xf numFmtId="0" fontId="6" fillId="9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6" fillId="8" borderId="7" xfId="0" applyFont="1" applyFill="1" applyBorder="1" applyAlignment="1">
      <alignment vertical="center"/>
    </xf>
    <xf numFmtId="0" fontId="7" fillId="0" borderId="8" xfId="0" applyFont="1" applyBorder="1" applyAlignment="1">
      <alignment vertical="center"/>
    </xf>
    <xf numFmtId="0" fontId="5" fillId="7" borderId="2" xfId="0" applyFont="1" applyFill="1" applyBorder="1"/>
    <xf numFmtId="0" fontId="0" fillId="0" borderId="8" xfId="0" applyBorder="1"/>
    <xf numFmtId="0" fontId="3" fillId="5" borderId="8" xfId="0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9" fillId="0" borderId="0" xfId="0" applyFont="1"/>
    <xf numFmtId="0" fontId="10" fillId="5" borderId="8" xfId="0" applyFont="1" applyFill="1" applyBorder="1" applyAlignment="1" applyProtection="1">
      <alignment horizontal="left" vertical="center"/>
      <protection locked="0"/>
    </xf>
    <xf numFmtId="0" fontId="11" fillId="0" borderId="0" xfId="0" applyFont="1"/>
    <xf numFmtId="0" fontId="12" fillId="0" borderId="0" xfId="0" applyFont="1"/>
    <xf numFmtId="0" fontId="13" fillId="10" borderId="2" xfId="0" applyFont="1" applyFill="1" applyBorder="1" applyAlignment="1" applyProtection="1">
      <alignment horizontal="left" vertical="center"/>
      <protection locked="0"/>
    </xf>
    <xf numFmtId="0" fontId="13" fillId="10" borderId="2" xfId="0" applyFont="1" applyFill="1" applyBorder="1" applyAlignment="1">
      <alignment horizontal="right" vertical="center"/>
    </xf>
    <xf numFmtId="9" fontId="14" fillId="0" borderId="0" xfId="2" applyFont="1" applyFill="1" applyBorder="1"/>
    <xf numFmtId="166" fontId="14" fillId="0" borderId="0" xfId="2" applyNumberFormat="1" applyFont="1" applyFill="1" applyBorder="1"/>
    <xf numFmtId="0" fontId="12" fillId="0" borderId="2" xfId="0" applyFont="1" applyBorder="1"/>
    <xf numFmtId="0" fontId="13" fillId="0" borderId="2" xfId="0" applyFont="1" applyBorder="1" applyAlignment="1">
      <alignment horizontal="center"/>
    </xf>
    <xf numFmtId="167" fontId="13" fillId="0" borderId="2" xfId="1" applyNumberFormat="1" applyFont="1" applyFill="1" applyBorder="1"/>
    <xf numFmtId="165" fontId="0" fillId="0" borderId="0" xfId="0" applyNumberFormat="1"/>
    <xf numFmtId="168" fontId="0" fillId="0" borderId="0" xfId="0" applyNumberFormat="1"/>
    <xf numFmtId="169" fontId="14" fillId="0" borderId="0" xfId="2" applyNumberFormat="1" applyFont="1" applyFill="1" applyBorder="1"/>
    <xf numFmtId="0" fontId="10" fillId="11" borderId="0" xfId="0" applyFont="1" applyFill="1"/>
    <xf numFmtId="0" fontId="15" fillId="11" borderId="0" xfId="0" applyFont="1" applyFill="1"/>
    <xf numFmtId="0" fontId="0" fillId="11" borderId="0" xfId="0" applyFill="1"/>
    <xf numFmtId="0" fontId="8" fillId="12" borderId="0" xfId="4" applyFont="1" applyFill="1" applyAlignment="1">
      <alignment vertical="center"/>
    </xf>
    <xf numFmtId="0" fontId="8" fillId="4" borderId="0" xfId="4" applyFont="1" applyFill="1" applyAlignment="1">
      <alignment vertical="center"/>
    </xf>
    <xf numFmtId="0" fontId="18" fillId="4" borderId="0" xfId="4" applyFont="1" applyFill="1" applyAlignment="1">
      <alignment vertical="center"/>
    </xf>
    <xf numFmtId="0" fontId="16" fillId="4" borderId="0" xfId="4" applyFont="1" applyFill="1" applyAlignment="1">
      <alignment vertical="center"/>
    </xf>
    <xf numFmtId="0" fontId="8" fillId="13" borderId="0" xfId="4" applyFont="1" applyFill="1" applyAlignment="1">
      <alignment vertical="center"/>
    </xf>
    <xf numFmtId="0" fontId="4" fillId="4" borderId="0" xfId="4" applyFont="1" applyFill="1" applyAlignment="1">
      <alignment vertical="center"/>
    </xf>
    <xf numFmtId="0" fontId="19" fillId="4" borderId="0" xfId="4" applyFont="1" applyFill="1" applyAlignment="1">
      <alignment vertical="center"/>
    </xf>
    <xf numFmtId="0" fontId="20" fillId="12" borderId="0" xfId="4" applyFont="1" applyFill="1" applyAlignment="1">
      <alignment vertical="center"/>
    </xf>
    <xf numFmtId="0" fontId="21" fillId="4" borderId="0" xfId="4" applyFont="1" applyFill="1" applyAlignment="1">
      <alignment vertical="center"/>
    </xf>
    <xf numFmtId="0" fontId="22" fillId="4" borderId="0" xfId="4" applyFont="1" applyFill="1" applyAlignment="1">
      <alignment vertical="center"/>
    </xf>
    <xf numFmtId="0" fontId="21" fillId="12" borderId="0" xfId="4" applyFont="1" applyFill="1" applyAlignment="1">
      <alignment vertical="center"/>
    </xf>
    <xf numFmtId="170" fontId="21" fillId="12" borderId="0" xfId="4" applyNumberFormat="1" applyFont="1" applyFill="1" applyAlignment="1">
      <alignment horizontal="left" vertical="center"/>
    </xf>
    <xf numFmtId="0" fontId="9" fillId="4" borderId="0" xfId="4" applyFont="1" applyFill="1" applyAlignment="1">
      <alignment vertical="center"/>
    </xf>
    <xf numFmtId="0" fontId="23" fillId="12" borderId="0" xfId="4" applyFont="1" applyFill="1" applyAlignment="1">
      <alignment vertical="center"/>
    </xf>
    <xf numFmtId="0" fontId="16" fillId="12" borderId="0" xfId="3" applyFill="1" applyAlignment="1">
      <alignment vertical="center"/>
    </xf>
    <xf numFmtId="0" fontId="21" fillId="12" borderId="0" xfId="4" applyFont="1" applyFill="1" applyAlignment="1">
      <alignment vertical="center"/>
    </xf>
    <xf numFmtId="0" fontId="18" fillId="12" borderId="0" xfId="4" applyFont="1" applyFill="1" applyAlignment="1">
      <alignment horizontal="center" vertical="center"/>
    </xf>
    <xf numFmtId="0" fontId="16" fillId="12" borderId="0" xfId="3" applyFill="1" applyAlignment="1">
      <alignment vertical="center"/>
    </xf>
  </cellXfs>
  <cellStyles count="4458">
    <cellStyle name="0,0_x000a__x000a_NA_x000a__x000a_" xfId="515" xr:uid="{4CD91013-4C63-4DAC-BBFF-8D5AA1D5D29F}"/>
    <cellStyle name="1o.nível" xfId="516" xr:uid="{1C0E0EE4-4F4B-4A7D-8E30-B68A997AF0BB}"/>
    <cellStyle name="20% - Accent1" xfId="424" builtinId="30" customBuiltin="1"/>
    <cellStyle name="20% - Accent1 2" xfId="477" xr:uid="{36CC023A-8F3C-49DB-A3B8-CF00B675705C}"/>
    <cellStyle name="20% - Accent1 2 2" xfId="517" xr:uid="{67B13E5E-66A9-4AC9-80C4-7BFD5BC1E64F}"/>
    <cellStyle name="20% - Accent2" xfId="427" builtinId="34" customBuiltin="1"/>
    <cellStyle name="20% - Accent2 2" xfId="481" xr:uid="{43D6A2AD-FA0C-4E43-84FB-14A021CD89BA}"/>
    <cellStyle name="20% - Accent2 2 2" xfId="518" xr:uid="{60A1879F-B54D-42B3-8ECE-21E4E72983D6}"/>
    <cellStyle name="20% - Accent3" xfId="430" builtinId="38" customBuiltin="1"/>
    <cellStyle name="20% - Accent3 2" xfId="485" xr:uid="{18F9A473-15FA-45D1-A3D1-620C991B1E28}"/>
    <cellStyle name="20% - Accent3 2 2" xfId="519" xr:uid="{B5F7CCA0-C34F-4E89-A3A9-E26D385E8290}"/>
    <cellStyle name="20% - Accent4" xfId="433" builtinId="42" customBuiltin="1"/>
    <cellStyle name="20% - Accent4 2" xfId="489" xr:uid="{D87D7DD8-443D-4090-91C2-52EABE5352A0}"/>
    <cellStyle name="20% - Accent4 2 2" xfId="520" xr:uid="{FFFACAA9-0543-4B52-B847-73F5C02ECB22}"/>
    <cellStyle name="20% - Accent5" xfId="436" builtinId="46" customBuiltin="1"/>
    <cellStyle name="20% - Accent5 2" xfId="9" xr:uid="{5EEE86AA-447E-425A-9CC0-F7C54F76BA92}"/>
    <cellStyle name="20% - Accent5 2 2" xfId="521" xr:uid="{214875AF-2541-4AC4-9E5E-DFFDB428CC71}"/>
    <cellStyle name="20% - Accent5 2 3" xfId="493" xr:uid="{E508FAF9-D43A-4257-92BC-9072456E70C5}"/>
    <cellStyle name="20% - Accent6" xfId="439" builtinId="50" customBuiltin="1"/>
    <cellStyle name="20% - Accent6 2" xfId="497" xr:uid="{41DF6446-3CB0-46A0-B8D3-A217F7D0DFB2}"/>
    <cellStyle name="20% - Accent6 2 2" xfId="522" xr:uid="{5BEE0D7A-E731-4783-9E50-467E45079B78}"/>
    <cellStyle name="20% - Énfasis1 10" xfId="523" xr:uid="{05FA299F-586D-4A41-95E6-EA3995E33333}"/>
    <cellStyle name="20% - Énfasis1 11" xfId="524" xr:uid="{6E7C3AFC-EDB3-465D-AD07-96820A0543B0}"/>
    <cellStyle name="20% - Énfasis1 12" xfId="525" xr:uid="{90E5BA9C-88F4-43A5-B983-743EAA3675DB}"/>
    <cellStyle name="20% - Énfasis1 13" xfId="526" xr:uid="{452D1938-71F2-47DF-A4D7-AA05B40C733C}"/>
    <cellStyle name="20% - Énfasis1 14" xfId="527" xr:uid="{B2546F86-0283-429B-ACAF-DD288225047D}"/>
    <cellStyle name="20% - Énfasis1 15" xfId="528" xr:uid="{8A29D8A2-806B-4CE4-BE21-80AAAF0F0FD7}"/>
    <cellStyle name="20% - Énfasis1 16" xfId="529" xr:uid="{206C686F-1387-43FF-95AB-CBAAECB06E7A}"/>
    <cellStyle name="20% - Énfasis1 17" xfId="530" xr:uid="{3DDB81FD-294F-477C-BF67-AFFC72F93869}"/>
    <cellStyle name="20% - Énfasis1 18" xfId="531" xr:uid="{739C5B53-F001-4A59-9754-AE599ABC4C96}"/>
    <cellStyle name="20% - Énfasis1 19" xfId="532" xr:uid="{4597A579-D8ED-4FAE-8374-EC2E79FBBFC5}"/>
    <cellStyle name="20% - Énfasis1 2" xfId="533" xr:uid="{CB4CAB92-F10E-4EC7-BA48-450E3F722881}"/>
    <cellStyle name="20% - Énfasis1 2 2" xfId="534" xr:uid="{61E21768-D141-49AE-8CDB-65DA9B107743}"/>
    <cellStyle name="20% - Énfasis1 2 3" xfId="535" xr:uid="{1325DB36-BE7D-438E-85C9-F77FB9EB85ED}"/>
    <cellStyle name="20% - Énfasis1 20" xfId="536" xr:uid="{6EC69B04-0E80-45DA-A273-BD0DFBD02C39}"/>
    <cellStyle name="20% - Énfasis1 21" xfId="537" xr:uid="{56E4B4CE-582F-4AF1-88D3-AC1F6CEC80A9}"/>
    <cellStyle name="20% - Énfasis1 21 2" xfId="538" xr:uid="{A779C0F8-7986-425D-8C67-881640736CA0}"/>
    <cellStyle name="20% - Énfasis1 21 2 2" xfId="539" xr:uid="{D9ED5A62-8585-4C55-9A3F-75F8EE4E8256}"/>
    <cellStyle name="20% - Énfasis1 21 3" xfId="540" xr:uid="{3EB096CF-DB2D-483E-95CF-B9A6E68DD4A2}"/>
    <cellStyle name="20% - Énfasis1 21 3 2" xfId="541" xr:uid="{A8F3DACC-516B-4EA2-B48B-7E613EC5E74A}"/>
    <cellStyle name="20% - Énfasis1 21 4" xfId="542" xr:uid="{5D10D639-1E1B-46D8-A012-33AE485DF254}"/>
    <cellStyle name="20% - Énfasis1 22" xfId="543" xr:uid="{E48B8A39-3C86-4048-8D66-8F32CAFDA9EB}"/>
    <cellStyle name="20% - Énfasis1 22 2" xfId="544" xr:uid="{4914D49F-9F0F-48EA-B170-F99F3BB591D3}"/>
    <cellStyle name="20% - Énfasis1 22 2 2" xfId="545" xr:uid="{85AB3857-DA05-4926-BE90-7655995FB5CC}"/>
    <cellStyle name="20% - Énfasis1 22 3" xfId="546" xr:uid="{6BACE973-3523-4D03-9C40-8CFB18385A4B}"/>
    <cellStyle name="20% - Énfasis1 23" xfId="547" xr:uid="{F2954841-92A7-468F-9D5C-F21EB0C489D1}"/>
    <cellStyle name="20% - Énfasis1 24" xfId="548" xr:uid="{17FEC1CE-7493-4B8D-B71D-62A20670F6E9}"/>
    <cellStyle name="20% - Énfasis1 25" xfId="549" xr:uid="{5EE96135-99D0-4AF1-8ACD-AC70F0CC0A2A}"/>
    <cellStyle name="20% - Énfasis1 3" xfId="550" xr:uid="{17BFDAAC-A83B-490E-9EB4-4DE2807F7E80}"/>
    <cellStyle name="20% - Énfasis1 3 2" xfId="551" xr:uid="{4BE1DD1E-D9FF-4EA4-9146-9F714C3C8D7B}"/>
    <cellStyle name="20% - Énfasis1 3 3" xfId="552" xr:uid="{4FCCF9D4-8FCD-454F-B6FF-050D4A941089}"/>
    <cellStyle name="20% - Énfasis1 4" xfId="553" xr:uid="{834B5796-2A96-45B5-BF5E-0DA599689F49}"/>
    <cellStyle name="20% - Énfasis1 4 2" xfId="554" xr:uid="{43C4E13F-83B9-4718-89A6-2F132E5C9FBB}"/>
    <cellStyle name="20% - Énfasis1 5" xfId="555" xr:uid="{150472AD-44CE-434B-B988-89711DDE4BEA}"/>
    <cellStyle name="20% - Énfasis1 6" xfId="556" xr:uid="{EFF7C319-385B-441C-AB47-FDEA7F540EB8}"/>
    <cellStyle name="20% - Énfasis1 7" xfId="557" xr:uid="{6E013697-BD13-4B75-BB1D-00B676D53AB5}"/>
    <cellStyle name="20% - Énfasis1 8" xfId="558" xr:uid="{CB7F94AC-2667-44AE-84DD-168B87AFF271}"/>
    <cellStyle name="20% - Énfasis1 9" xfId="559" xr:uid="{322FF2EF-A76A-4A7B-BABC-49810659BCA4}"/>
    <cellStyle name="20% - Énfasis2 10" xfId="560" xr:uid="{D1E0A8F6-2776-408F-8760-85D4D14D0800}"/>
    <cellStyle name="20% - Énfasis2 11" xfId="561" xr:uid="{4C1293D9-C502-4C98-AE91-42207F882A55}"/>
    <cellStyle name="20% - Énfasis2 12" xfId="562" xr:uid="{53B160F1-E754-45A0-B73D-4AFEDA7A0F7C}"/>
    <cellStyle name="20% - Énfasis2 13" xfId="563" xr:uid="{E6A8DE01-77EE-4D61-A44C-67C188277A8A}"/>
    <cellStyle name="20% - Énfasis2 14" xfId="564" xr:uid="{914EF0C8-EDC9-4AAD-A3DA-1C7F0ED93E9B}"/>
    <cellStyle name="20% - Énfasis2 15" xfId="565" xr:uid="{E2311895-ECD6-4A38-88D8-63AF8E6B1C42}"/>
    <cellStyle name="20% - Énfasis2 16" xfId="566" xr:uid="{9A6ECDB9-18C3-4B9B-BD54-1333557352CB}"/>
    <cellStyle name="20% - Énfasis2 17" xfId="567" xr:uid="{22ABD81C-C5C2-47E5-8D14-E7331F5C365E}"/>
    <cellStyle name="20% - Énfasis2 18" xfId="568" xr:uid="{16F13B0F-C617-400D-9542-04E514948643}"/>
    <cellStyle name="20% - Énfasis2 19" xfId="569" xr:uid="{C7F59AC0-ABBA-417E-B585-011FCF9D9227}"/>
    <cellStyle name="20% - Énfasis2 2" xfId="570" xr:uid="{08555B42-5F46-4D53-BB2A-87ABAF83D6E6}"/>
    <cellStyle name="20% - Énfasis2 2 2" xfId="571" xr:uid="{77CCCC9A-9B8C-4C4F-8CC8-718A39BB9305}"/>
    <cellStyle name="20% - Énfasis2 2 3" xfId="572" xr:uid="{22923934-347F-4AC3-AB51-F16FFA2A3B86}"/>
    <cellStyle name="20% - Énfasis2 20" xfId="573" xr:uid="{F09BDBBA-769D-4BFF-982A-36DEF82FCBF1}"/>
    <cellStyle name="20% - Énfasis2 21" xfId="574" xr:uid="{7CD083B1-B56E-4CF1-97FD-C36B613D612F}"/>
    <cellStyle name="20% - Énfasis2 21 2" xfId="575" xr:uid="{FB675A78-42EC-4B90-84BE-74FC51A0BA11}"/>
    <cellStyle name="20% - Énfasis2 21 2 2" xfId="576" xr:uid="{3B208C05-DBD0-4233-9260-6F5D140C91CE}"/>
    <cellStyle name="20% - Énfasis2 21 3" xfId="577" xr:uid="{276B9C9E-6325-4896-A703-076F2DE60893}"/>
    <cellStyle name="20% - Énfasis2 21 3 2" xfId="578" xr:uid="{94D73383-0886-475E-94E2-CE5AF6FEFCFA}"/>
    <cellStyle name="20% - Énfasis2 21 4" xfId="579" xr:uid="{F43D5B28-F0FA-4E49-AB8A-8CDEF134AC0D}"/>
    <cellStyle name="20% - Énfasis2 22" xfId="580" xr:uid="{840E23B0-318B-4236-87BD-B07AC9B6A41E}"/>
    <cellStyle name="20% - Énfasis2 22 2" xfId="581" xr:uid="{8E5D81C9-F8AD-4FA8-83A7-C5B0BE90EC9A}"/>
    <cellStyle name="20% - Énfasis2 22 2 2" xfId="582" xr:uid="{61FD6F1B-1EE0-4555-A5A0-99C4AB3CABA2}"/>
    <cellStyle name="20% - Énfasis2 22 3" xfId="583" xr:uid="{FEF04E3A-5D0E-4FAB-BBA1-7ED8D0BF39E6}"/>
    <cellStyle name="20% - Énfasis2 23" xfId="584" xr:uid="{16F58CA8-D152-48C7-8120-7F0379CB8FCC}"/>
    <cellStyle name="20% - Énfasis2 24" xfId="585" xr:uid="{7FA6CEC6-16BE-43D6-B171-B0066295B2FE}"/>
    <cellStyle name="20% - Énfasis2 3" xfId="586" xr:uid="{5CCDA734-0911-4423-A792-F977E49DCC98}"/>
    <cellStyle name="20% - Énfasis2 3 2" xfId="587" xr:uid="{A91043E0-C759-449B-9EF7-F7702EFA8240}"/>
    <cellStyle name="20% - Énfasis2 3 3" xfId="588" xr:uid="{9A0E81FE-6287-47B2-999F-7CAB10E4CFE0}"/>
    <cellStyle name="20% - Énfasis2 4" xfId="589" xr:uid="{7B71BD2D-9A32-4A65-BF95-EFD803D65B2C}"/>
    <cellStyle name="20% - Énfasis2 4 2" xfId="590" xr:uid="{19E2B061-2B98-4501-8FCB-AA412B90F2AE}"/>
    <cellStyle name="20% - Énfasis2 5" xfId="591" xr:uid="{93595537-2D4F-4013-95A6-A1847FF2E8AC}"/>
    <cellStyle name="20% - Énfasis2 6" xfId="592" xr:uid="{B5EF9998-A278-4B4B-85FC-D6212A1C3897}"/>
    <cellStyle name="20% - Énfasis2 7" xfId="593" xr:uid="{DE9E330C-A4CF-4AD9-B816-ABD0DD3C953D}"/>
    <cellStyle name="20% - Énfasis2 8" xfId="594" xr:uid="{6358E7AC-7F68-4E7F-9D80-44A16D3A0D6E}"/>
    <cellStyle name="20% - Énfasis2 9" xfId="595" xr:uid="{D3D5676A-69C2-4E49-9802-EC7DBFCEA2ED}"/>
    <cellStyle name="20% - Énfasis3 10" xfId="596" xr:uid="{157E7640-680F-4BB1-A328-592461B6B882}"/>
    <cellStyle name="20% - Énfasis3 11" xfId="597" xr:uid="{870EEFE3-A851-4FEA-94AF-BECA70ADD211}"/>
    <cellStyle name="20% - Énfasis3 12" xfId="598" xr:uid="{65C8A7A2-5779-465E-9F7D-11D5178EF9B1}"/>
    <cellStyle name="20% - Énfasis3 13" xfId="599" xr:uid="{C0868331-6CA6-4BDD-9E41-213C652D51E3}"/>
    <cellStyle name="20% - Énfasis3 14" xfId="600" xr:uid="{481BBCE9-C3A6-4F69-A82B-F927E8963BD4}"/>
    <cellStyle name="20% - Énfasis3 15" xfId="601" xr:uid="{8F42D081-0080-4295-ABBD-E2E481413DC2}"/>
    <cellStyle name="20% - Énfasis3 16" xfId="602" xr:uid="{E17CD8F0-45BF-4744-845E-6665F0B2BE44}"/>
    <cellStyle name="20% - Énfasis3 17" xfId="603" xr:uid="{FCD68909-F6F1-460C-B2BA-A922C71B88D3}"/>
    <cellStyle name="20% - Énfasis3 18" xfId="604" xr:uid="{2F1641AC-A7AB-436E-A8ED-37D12FDBC0B4}"/>
    <cellStyle name="20% - Énfasis3 19" xfId="605" xr:uid="{DB743119-31F9-4032-B924-A1CB7A5F0C15}"/>
    <cellStyle name="20% - Énfasis3 2" xfId="606" xr:uid="{03C7F6F9-B0F5-4F54-BF9E-E59DFB948E29}"/>
    <cellStyle name="20% - Énfasis3 2 2" xfId="607" xr:uid="{4E7CABE1-E90B-4D47-996E-8336699B3A29}"/>
    <cellStyle name="20% - Énfasis3 2 3" xfId="608" xr:uid="{9C7F5E10-5C06-41C3-B6FD-D0A4D07F904F}"/>
    <cellStyle name="20% - Énfasis3 20" xfId="609" xr:uid="{5F2B35DB-9C1A-49DE-A1DF-FFD372350598}"/>
    <cellStyle name="20% - Énfasis3 21" xfId="610" xr:uid="{7E196DA5-3223-45A4-8C8F-5ABC716D590E}"/>
    <cellStyle name="20% - Énfasis3 21 2" xfId="611" xr:uid="{3EA17215-4AE4-4A9D-8706-464D60A3840E}"/>
    <cellStyle name="20% - Énfasis3 21 2 2" xfId="612" xr:uid="{3EA29003-D94F-44BC-ADFE-D9E6929CA4E6}"/>
    <cellStyle name="20% - Énfasis3 21 3" xfId="613" xr:uid="{665AD71D-DE4F-4B25-9092-644F41A06885}"/>
    <cellStyle name="20% - Énfasis3 21 3 2" xfId="614" xr:uid="{4F690F7F-BAE5-4A59-95C4-CBC958D565E4}"/>
    <cellStyle name="20% - Énfasis3 21 4" xfId="615" xr:uid="{E75F7AFD-2F86-4E62-B3F4-804904674538}"/>
    <cellStyle name="20% - Énfasis3 22" xfId="616" xr:uid="{3FA35553-319A-4DB0-8223-71B2C3750610}"/>
    <cellStyle name="20% - Énfasis3 22 2" xfId="617" xr:uid="{2B7A75C5-1586-446F-B448-D368B76B7971}"/>
    <cellStyle name="20% - Énfasis3 22 2 2" xfId="618" xr:uid="{8F20DBF1-50AC-47E8-B9C6-8A8D490B80FC}"/>
    <cellStyle name="20% - Énfasis3 22 3" xfId="619" xr:uid="{CCD63CE5-93CB-4B38-8C5F-E321CBC7D89E}"/>
    <cellStyle name="20% - Énfasis3 23" xfId="620" xr:uid="{A2223ADB-D7E5-41BC-8C4B-4D24EF0CFA6E}"/>
    <cellStyle name="20% - Énfasis3 24" xfId="621" xr:uid="{D11C7F55-6426-453A-A999-BD27EE7D31FA}"/>
    <cellStyle name="20% - Énfasis3 3" xfId="622" xr:uid="{355F69B8-A921-4ECA-8B48-57C786FA97A5}"/>
    <cellStyle name="20% - Énfasis3 3 2" xfId="623" xr:uid="{B974DCEF-7CFB-42CC-A146-F03EA2727E7E}"/>
    <cellStyle name="20% - Énfasis3 3 3" xfId="624" xr:uid="{B1E83FB5-C34F-4BCA-82AF-FC35F2606845}"/>
    <cellStyle name="20% - Énfasis3 4" xfId="625" xr:uid="{4077F490-DC5B-474A-975D-0FC3C7C32DCF}"/>
    <cellStyle name="20% - Énfasis3 4 2" xfId="626" xr:uid="{C67B3925-61C4-4D1F-BEA5-5AC9CF03078D}"/>
    <cellStyle name="20% - Énfasis3 5" xfId="627" xr:uid="{4CE4AF67-9452-44D5-94BD-BCC3B2602B4B}"/>
    <cellStyle name="20% - Énfasis3 6" xfId="628" xr:uid="{C0FBD34D-6326-47A8-940D-33A1F8B5B63A}"/>
    <cellStyle name="20% - Énfasis3 7" xfId="629" xr:uid="{B178B13D-AD0B-4E39-AD47-C50687E1F7BB}"/>
    <cellStyle name="20% - Énfasis3 8" xfId="630" xr:uid="{FB1746ED-7433-4960-804E-233E3F096C7E}"/>
    <cellStyle name="20% - Énfasis3 9" xfId="631" xr:uid="{9B1E5E58-5C10-4D5A-86BE-F1B18987D69C}"/>
    <cellStyle name="20% - Énfasis4 10" xfId="632" xr:uid="{F543C33C-763F-4718-A4A4-2A5282FB6856}"/>
    <cellStyle name="20% - Énfasis4 11" xfId="633" xr:uid="{5FB7B4B0-2956-4F7F-B88E-7AF89148EAFA}"/>
    <cellStyle name="20% - Énfasis4 12" xfId="634" xr:uid="{A7C1C860-E18A-4B68-98E1-5BC14E3D4C59}"/>
    <cellStyle name="20% - Énfasis4 13" xfId="635" xr:uid="{D9B4A64C-55A5-4E25-A378-1F5668B9D2DA}"/>
    <cellStyle name="20% - Énfasis4 14" xfId="636" xr:uid="{AE950C78-D0F1-43B1-B37F-524B92176E4A}"/>
    <cellStyle name="20% - Énfasis4 15" xfId="637" xr:uid="{FF6C77F7-66BB-439E-A358-CAFE74E61C77}"/>
    <cellStyle name="20% - Énfasis4 16" xfId="638" xr:uid="{CFE8BADE-9957-4596-B012-BABD4B7BF6C3}"/>
    <cellStyle name="20% - Énfasis4 17" xfId="639" xr:uid="{EA43B07D-1760-40C5-95CE-B4A8EEA96F6A}"/>
    <cellStyle name="20% - Énfasis4 18" xfId="640" xr:uid="{E36BB1DF-A292-4477-A673-71265618F8F9}"/>
    <cellStyle name="20% - Énfasis4 19" xfId="641" xr:uid="{F23AAD3A-A3E8-4373-ABF5-7FFE6B81C70C}"/>
    <cellStyle name="20% - Énfasis4 2" xfId="642" xr:uid="{B96C1749-92CB-4A86-8454-F6D9A2BD5ABB}"/>
    <cellStyle name="20% - Énfasis4 2 2" xfId="643" xr:uid="{B35B57A1-9EA4-4BBC-ACEB-1951E872BC55}"/>
    <cellStyle name="20% - Énfasis4 2 3" xfId="644" xr:uid="{83853690-3D09-4205-B5B9-6046A4837897}"/>
    <cellStyle name="20% - Énfasis4 20" xfId="645" xr:uid="{A06E4E8A-56F0-41A6-B793-E1E967F7B09A}"/>
    <cellStyle name="20% - Énfasis4 21" xfId="646" xr:uid="{4C98F493-BF90-4F60-9F37-B3C4F0E76CCA}"/>
    <cellStyle name="20% - Énfasis4 21 2" xfId="647" xr:uid="{624527E2-DB9D-48F9-BB93-45C6BCAB4EDD}"/>
    <cellStyle name="20% - Énfasis4 21 2 2" xfId="648" xr:uid="{9E5D2DF5-57FE-442F-BB21-CBD0713B2F80}"/>
    <cellStyle name="20% - Énfasis4 21 3" xfId="649" xr:uid="{502068E6-ABE7-4E4D-BA45-11FE66E28293}"/>
    <cellStyle name="20% - Énfasis4 21 3 2" xfId="650" xr:uid="{36E54D2C-E6F7-400A-A0D9-C14745010324}"/>
    <cellStyle name="20% - Énfasis4 21 4" xfId="651" xr:uid="{BBFCB982-ED0B-4CE5-BAB1-5FC233225543}"/>
    <cellStyle name="20% - Énfasis4 22" xfId="652" xr:uid="{DAB88A2B-A7DF-4132-98BE-6AC44832515C}"/>
    <cellStyle name="20% - Énfasis4 22 2" xfId="653" xr:uid="{8E2E0883-8BC2-4378-A39F-7200758C6A1D}"/>
    <cellStyle name="20% - Énfasis4 22 2 2" xfId="654" xr:uid="{D05C50B7-34CC-4A7A-9298-3537320DF6DF}"/>
    <cellStyle name="20% - Énfasis4 22 3" xfId="655" xr:uid="{4F8F351A-225E-46DF-8C20-9EB9787032A3}"/>
    <cellStyle name="20% - Énfasis4 23" xfId="656" xr:uid="{F12A538D-941B-4BFB-AB5D-4A7511867C17}"/>
    <cellStyle name="20% - Énfasis4 24" xfId="657" xr:uid="{AE374103-6A42-4077-A7F8-04771C643AAB}"/>
    <cellStyle name="20% - Énfasis4 3" xfId="658" xr:uid="{45CCBD52-B945-4FD3-BB98-F585DE3C94C5}"/>
    <cellStyle name="20% - Énfasis4 3 2" xfId="659" xr:uid="{39A73791-9713-4B2E-AA8D-9851681CA863}"/>
    <cellStyle name="20% - Énfasis4 3 3" xfId="660" xr:uid="{219250EA-A42C-43D8-9489-7CEAB9A65082}"/>
    <cellStyle name="20% - Énfasis4 4" xfId="661" xr:uid="{A9EF9D06-0D92-44DF-A95E-AA50D4C425F1}"/>
    <cellStyle name="20% - Énfasis4 4 2" xfId="662" xr:uid="{18E227B2-B6AF-44EF-A0F7-AA48CAE34E77}"/>
    <cellStyle name="20% - Énfasis4 5" xfId="663" xr:uid="{4D155639-7395-4DA5-98D0-DB8B40D72BEA}"/>
    <cellStyle name="20% - Énfasis4 6" xfId="664" xr:uid="{882DDDA3-8C9A-4BAF-86C6-5E363D15FA67}"/>
    <cellStyle name="20% - Énfasis4 7" xfId="665" xr:uid="{6BE864F3-362B-44D0-909D-51D94E41E3FC}"/>
    <cellStyle name="20% - Énfasis4 8" xfId="666" xr:uid="{5D5C361A-06A5-4355-87E9-87ED335D4347}"/>
    <cellStyle name="20% - Énfasis4 9" xfId="667" xr:uid="{DAF5A1DE-7D6A-4BEF-8799-1E325C77997F}"/>
    <cellStyle name="20% - Énfasis5 2" xfId="668" xr:uid="{43A20FF8-AB13-46DD-A54E-FB16658ABEBF}"/>
    <cellStyle name="20% - Énfasis5 2 2" xfId="669" xr:uid="{4AF5F28A-EF29-4A1F-B783-AB5FED6D0D07}"/>
    <cellStyle name="20% - Énfasis5 2 2 2" xfId="670" xr:uid="{717A2397-E004-401F-8018-F211C84B4FC2}"/>
    <cellStyle name="20% - Énfasis5 2 3" xfId="671" xr:uid="{20A1C9A0-F02B-4AA8-A8A8-F08DCAF90E41}"/>
    <cellStyle name="20% - Énfasis5 2 3 2" xfId="672" xr:uid="{AC7F44F3-6A3E-4A37-B666-CF3CC4B5E93C}"/>
    <cellStyle name="20% - Énfasis5 2 4" xfId="673" xr:uid="{F9943AC1-1895-4BE9-98FE-EE79BA1584AA}"/>
    <cellStyle name="20% - Énfasis5 2 5" xfId="674" xr:uid="{36253424-E344-4D4F-9E08-AE343C29DBA1}"/>
    <cellStyle name="20% - Énfasis5 3" xfId="675" xr:uid="{F0D9F43E-D7C3-433B-A763-52D5AC8A7511}"/>
    <cellStyle name="20% - Énfasis5 3 2" xfId="676" xr:uid="{638E0AF4-7F83-4491-8786-6412AE1FB421}"/>
    <cellStyle name="20% - Énfasis5 3 2 2" xfId="677" xr:uid="{D284CD20-76F2-4B22-8A14-D245FBE22E0C}"/>
    <cellStyle name="20% - Énfasis5 3 3" xfId="678" xr:uid="{FADF012E-B13B-4474-A2A1-E4AB09891898}"/>
    <cellStyle name="20% - Énfasis5 3 4" xfId="679" xr:uid="{B2158264-F913-4AA4-9BA5-056C1D744706}"/>
    <cellStyle name="20% - Énfasis5 4" xfId="680" xr:uid="{9557AB04-423B-452B-A8C7-24E2FF4E0219}"/>
    <cellStyle name="20% - Énfasis5 5" xfId="681" xr:uid="{D3F4D025-5838-4E55-ADAC-DFA25327818C}"/>
    <cellStyle name="20% - Énfasis5 6" xfId="682" xr:uid="{A89CDE77-9D11-458F-9903-EF07D8711201}"/>
    <cellStyle name="20% - Énfasis6 10" xfId="683" xr:uid="{C54D84A6-09DB-4A89-8E13-99225F9120D0}"/>
    <cellStyle name="20% - Énfasis6 11" xfId="684" xr:uid="{08C93B21-E5E8-4D6D-A74E-71CD9743F7F3}"/>
    <cellStyle name="20% - Énfasis6 12" xfId="685" xr:uid="{558CEA07-6274-40D0-A373-A81A8598ED1E}"/>
    <cellStyle name="20% - Énfasis6 13" xfId="686" xr:uid="{88B2DF83-1A12-4A43-A6B2-05BDADEB8997}"/>
    <cellStyle name="20% - Énfasis6 14" xfId="687" xr:uid="{1BF0A108-5068-4FC7-A18E-32EA2EE6208A}"/>
    <cellStyle name="20% - Énfasis6 15" xfId="688" xr:uid="{00E94CD2-AD73-41B6-9890-442F34E48C29}"/>
    <cellStyle name="20% - Énfasis6 16" xfId="689" xr:uid="{F79DB529-10B4-4ED0-AEEE-FC64B8621EB7}"/>
    <cellStyle name="20% - Énfasis6 17" xfId="690" xr:uid="{55224D5B-A8E4-43AB-8905-9742BEC4BBCB}"/>
    <cellStyle name="20% - Énfasis6 18" xfId="691" xr:uid="{84D75DB7-32F2-4609-AD41-98A8B637A57F}"/>
    <cellStyle name="20% - Énfasis6 19" xfId="692" xr:uid="{46EB3305-AB64-42FF-9362-532D1F3B6090}"/>
    <cellStyle name="20% - Énfasis6 2" xfId="693" xr:uid="{407CB512-BDDC-44B1-81C1-60CB95FA3784}"/>
    <cellStyle name="20% - Énfasis6 2 2" xfId="694" xr:uid="{8DE0FD66-4CFA-46A2-BD96-57985AE61EAA}"/>
    <cellStyle name="20% - Énfasis6 2 3" xfId="695" xr:uid="{9915C4A2-89EE-4EC1-B7D7-466FAA788306}"/>
    <cellStyle name="20% - Énfasis6 20" xfId="696" xr:uid="{1881DF86-C54C-4E66-9BD5-389400EDA604}"/>
    <cellStyle name="20% - Énfasis6 21" xfId="697" xr:uid="{D9F550A1-471C-4006-88B3-76CB8787A174}"/>
    <cellStyle name="20% - Énfasis6 21 2" xfId="698" xr:uid="{D464A62C-52E0-4311-B931-DF1391D5BDC3}"/>
    <cellStyle name="20% - Énfasis6 21 2 2" xfId="699" xr:uid="{5F5B9365-CE78-4778-B262-7F5817452280}"/>
    <cellStyle name="20% - Énfasis6 21 3" xfId="700" xr:uid="{F5194506-6B72-4E76-B361-83BFE37D1250}"/>
    <cellStyle name="20% - Énfasis6 21 3 2" xfId="701" xr:uid="{BB7631F1-E5C5-45A0-8BAF-DAB50A401F96}"/>
    <cellStyle name="20% - Énfasis6 21 4" xfId="702" xr:uid="{826DFB53-983F-473A-988C-BC83AB8007F4}"/>
    <cellStyle name="20% - Énfasis6 22" xfId="703" xr:uid="{DEA61C86-E64F-4E45-AADD-4B41F4675F20}"/>
    <cellStyle name="20% - Énfasis6 22 2" xfId="704" xr:uid="{C56C446F-9DC7-4A72-A391-7D5AC24C2F6A}"/>
    <cellStyle name="20% - Énfasis6 22 2 2" xfId="705" xr:uid="{B88B042E-D1C8-49A6-9A68-71C5F218AA51}"/>
    <cellStyle name="20% - Énfasis6 22 3" xfId="706" xr:uid="{5ADA16EE-5AB3-4DF6-BD74-D353C79C9BAE}"/>
    <cellStyle name="20% - Énfasis6 23" xfId="707" xr:uid="{C0C99769-F0F5-4A6D-83CE-73771B1595A4}"/>
    <cellStyle name="20% - Énfasis6 24" xfId="708" xr:uid="{D04316E4-1D02-4BD4-A600-2C6B8371C390}"/>
    <cellStyle name="20% - Énfasis6 3" xfId="709" xr:uid="{DE5033D4-DD5E-45FA-A235-DE5E905FC354}"/>
    <cellStyle name="20% - Énfasis6 3 2" xfId="710" xr:uid="{F1143244-0D21-446B-84C8-5FB6904432F5}"/>
    <cellStyle name="20% - Énfasis6 3 3" xfId="711" xr:uid="{B4BAFEFD-9DAE-4779-AB76-958C356C50D4}"/>
    <cellStyle name="20% - Énfasis6 4" xfId="712" xr:uid="{73794252-1A13-4F68-9E7C-0A5D4140D4FD}"/>
    <cellStyle name="20% - Énfasis6 4 2" xfId="713" xr:uid="{6CD151C0-4972-415B-A4CB-5A9D8F23D3A8}"/>
    <cellStyle name="20% - Énfasis6 5" xfId="714" xr:uid="{3718AD31-5E3B-4DEA-BE06-FC7BE8D97110}"/>
    <cellStyle name="20% - Énfasis6 6" xfId="715" xr:uid="{8C27040C-725C-4060-BBBB-35BBA958F56C}"/>
    <cellStyle name="20% - Énfasis6 7" xfId="716" xr:uid="{C869D4F1-9C89-4A71-90B5-726AB3357973}"/>
    <cellStyle name="20% - Énfasis6 8" xfId="717" xr:uid="{F718AC3E-984F-4CF9-9607-B0924CB95867}"/>
    <cellStyle name="20% - Énfasis6 9" xfId="718" xr:uid="{F45461A8-AC42-4050-8627-16649257D508}"/>
    <cellStyle name="2o.nível" xfId="719" xr:uid="{9D944DFA-46B0-465B-9286-951385BB7061}"/>
    <cellStyle name="2x indented GHG Textfiels" xfId="454" xr:uid="{80EACFC7-9A0F-4895-AFC2-0A766B767523}"/>
    <cellStyle name="40% - Accent1" xfId="425" builtinId="31" customBuiltin="1"/>
    <cellStyle name="40% - Accent1 2" xfId="478" xr:uid="{B3013408-89C2-4ABE-AB48-2E945565164A}"/>
    <cellStyle name="40% - Accent1 2 2" xfId="720" xr:uid="{599CC717-2CBD-4226-96E9-8502226EEAB2}"/>
    <cellStyle name="40% - Accent2" xfId="428" builtinId="35" customBuiltin="1"/>
    <cellStyle name="40% - Accent2 2" xfId="482" xr:uid="{5DEA71B3-CA99-45C8-BD53-E3635294EED7}"/>
    <cellStyle name="40% - Accent2 2 2" xfId="721" xr:uid="{790D1E9A-1800-4532-AD54-1CD4A8348BEF}"/>
    <cellStyle name="40% - Accent3" xfId="431" builtinId="39" customBuiltin="1"/>
    <cellStyle name="40% - Accent3 2" xfId="486" xr:uid="{DF6CCE08-86AC-430A-B017-3568EC55D6A8}"/>
    <cellStyle name="40% - Accent3 2 2" xfId="722" xr:uid="{2E63FDDC-8905-4311-B03F-21E402F6FF41}"/>
    <cellStyle name="40% - Accent4" xfId="434" builtinId="43" customBuiltin="1"/>
    <cellStyle name="40% - Accent4 2" xfId="490" xr:uid="{C27B3668-00FB-4A9B-A0C0-1E0A826B5EB1}"/>
    <cellStyle name="40% - Accent4 2 2" xfId="723" xr:uid="{A87D9251-8C8C-4890-8C6B-4D3B56ABB3DA}"/>
    <cellStyle name="40% - Accent5" xfId="437" builtinId="47" customBuiltin="1"/>
    <cellStyle name="40% - Accent5 2" xfId="494" xr:uid="{EA159BF1-D5DF-462C-B761-68DE97B1C455}"/>
    <cellStyle name="40% - Accent5 2 2" xfId="724" xr:uid="{E2548D31-724F-4113-8B41-996B73E57866}"/>
    <cellStyle name="40% - Accent6" xfId="440" builtinId="51" customBuiltin="1"/>
    <cellStyle name="40% - Accent6 2" xfId="498" xr:uid="{F63ED943-C02A-448A-86E4-16DC06E38C6B}"/>
    <cellStyle name="40% - Accent6 2 2" xfId="725" xr:uid="{4AB0944A-15B2-4F1A-9245-1D7DE3EA268E}"/>
    <cellStyle name="40% - Énfasis1 10" xfId="726" xr:uid="{E810C78E-6BFA-4F57-8843-5D521B80A94E}"/>
    <cellStyle name="40% - Énfasis1 11" xfId="727" xr:uid="{3017987C-A5D3-4226-A1CE-634901071252}"/>
    <cellStyle name="40% - Énfasis1 12" xfId="728" xr:uid="{7F501F5E-B6DC-458E-B1C7-323C09A2FC38}"/>
    <cellStyle name="40% - Énfasis1 13" xfId="729" xr:uid="{FC81E996-E2B6-41BB-9439-176C36AC3448}"/>
    <cellStyle name="40% - Énfasis1 14" xfId="730" xr:uid="{42A118DB-DCA9-45CC-A6B7-E615EDB09AB1}"/>
    <cellStyle name="40% - Énfasis1 15" xfId="731" xr:uid="{E2E7AB3D-8722-4151-9238-F3DF78E27389}"/>
    <cellStyle name="40% - Énfasis1 16" xfId="732" xr:uid="{FD5868C3-22B4-4254-B72A-D27C93CC3A0B}"/>
    <cellStyle name="40% - Énfasis1 17" xfId="733" xr:uid="{6FA5184F-C3E4-496E-98C4-E9923D905F46}"/>
    <cellStyle name="40% - Énfasis1 18" xfId="734" xr:uid="{7D5E792B-F699-448D-87A1-0DE2668117BE}"/>
    <cellStyle name="40% - Énfasis1 19" xfId="735" xr:uid="{D65DA6C1-C725-40B5-8CD2-4E188FF72358}"/>
    <cellStyle name="40% - Énfasis1 2" xfId="736" xr:uid="{61465062-02EF-431F-8D87-C34149DC82C7}"/>
    <cellStyle name="40% - Énfasis1 2 2" xfId="737" xr:uid="{161E54F0-DF07-44B7-8333-472AA2E4D084}"/>
    <cellStyle name="40% - Énfasis1 2 3" xfId="738" xr:uid="{69F4A6D7-A5C9-4EE5-A137-C222BC06190E}"/>
    <cellStyle name="40% - Énfasis1 20" xfId="739" xr:uid="{A2208578-1EF5-457A-B165-8852E24CEF6F}"/>
    <cellStyle name="40% - Énfasis1 21" xfId="740" xr:uid="{CAF04D90-46D4-4DE4-A072-6D9B64B6A4D7}"/>
    <cellStyle name="40% - Énfasis1 21 2" xfId="741" xr:uid="{C66BC90F-880E-42A1-AAAA-4DFF0DF74354}"/>
    <cellStyle name="40% - Énfasis1 21 2 2" xfId="742" xr:uid="{48B1DF85-F0CA-4ABA-B882-2B6FACA4A4D1}"/>
    <cellStyle name="40% - Énfasis1 21 3" xfId="743" xr:uid="{E1AFE32A-F588-4E6D-9FB8-E3EA46C3BB9C}"/>
    <cellStyle name="40% - Énfasis1 21 3 2" xfId="744" xr:uid="{2732CEAC-BAB2-4D3C-B110-32A46AD77B94}"/>
    <cellStyle name="40% - Énfasis1 21 4" xfId="745" xr:uid="{978B7558-4203-4BCD-BBC8-453651DFBF30}"/>
    <cellStyle name="40% - Énfasis1 22" xfId="746" xr:uid="{A715148A-3512-4996-9862-01A847E6EBB1}"/>
    <cellStyle name="40% - Énfasis1 22 2" xfId="747" xr:uid="{F3A37A72-9634-48FC-B697-C0F02B4305EA}"/>
    <cellStyle name="40% - Énfasis1 22 2 2" xfId="748" xr:uid="{F515A69E-5E81-4E1C-A669-D620D154D38A}"/>
    <cellStyle name="40% - Énfasis1 22 3" xfId="749" xr:uid="{AAB80989-C334-4C21-8EF4-5BFD9B6DD773}"/>
    <cellStyle name="40% - Énfasis1 23" xfId="750" xr:uid="{8D567CA8-3A2B-441E-B219-7513040F9628}"/>
    <cellStyle name="40% - Énfasis1 24" xfId="751" xr:uid="{9E103E1D-4469-4CAE-88A2-392B82171528}"/>
    <cellStyle name="40% - Énfasis1 25" xfId="752" xr:uid="{B8028390-2E7D-4B56-8066-DC5D051D39A3}"/>
    <cellStyle name="40% - Énfasis1 3" xfId="753" xr:uid="{EBA779DD-A765-4081-9817-7E8B8AC113F2}"/>
    <cellStyle name="40% - Énfasis1 3 2" xfId="754" xr:uid="{0D32CF00-6F91-4E9A-ADEF-E6E351D65D74}"/>
    <cellStyle name="40% - Énfasis1 3 3" xfId="755" xr:uid="{FBC24633-9057-4542-8760-B5BA05DFB934}"/>
    <cellStyle name="40% - Énfasis1 4" xfId="756" xr:uid="{B22D97C3-8B84-4871-AACA-F79F9E6A6863}"/>
    <cellStyle name="40% - Énfasis1 4 2" xfId="757" xr:uid="{5744E0AB-E870-4A6F-97DD-D975C746D24E}"/>
    <cellStyle name="40% - Énfasis1 5" xfId="758" xr:uid="{30E96CA2-1F07-4B4A-A4CA-303BA107C5CA}"/>
    <cellStyle name="40% - Énfasis1 6" xfId="759" xr:uid="{2CAC321F-A3EE-4051-89A4-C383E4620D19}"/>
    <cellStyle name="40% - Énfasis1 7" xfId="760" xr:uid="{B0391015-2C2E-429D-B4A0-047E3EB30B18}"/>
    <cellStyle name="40% - Énfasis1 8" xfId="761" xr:uid="{35074CD8-2358-49D9-A52C-51DB6A7BF408}"/>
    <cellStyle name="40% - Énfasis1 9" xfId="762" xr:uid="{E5466835-66C0-4FFE-8547-AC5F3A78B178}"/>
    <cellStyle name="40% - Énfasis2 2" xfId="763" xr:uid="{79FE41A9-6286-45E8-AA2A-8125307E8889}"/>
    <cellStyle name="40% - Énfasis2 2 2" xfId="764" xr:uid="{78378CFD-BB09-44BA-8DCF-FF4FF4B44DF4}"/>
    <cellStyle name="40% - Énfasis2 2 2 2" xfId="765" xr:uid="{F2CE451A-A576-4CBB-A87C-7FE523DCFAB4}"/>
    <cellStyle name="40% - Énfasis2 2 3" xfId="766" xr:uid="{2B3C74BB-46E3-40EB-9892-5370C6839A3C}"/>
    <cellStyle name="40% - Énfasis2 2 3 2" xfId="767" xr:uid="{B2E69C57-F3CD-4821-90C9-5CA9BECC5ABB}"/>
    <cellStyle name="40% - Énfasis2 2 4" xfId="768" xr:uid="{018A4818-6E5C-4EA4-81FD-4195EB08C146}"/>
    <cellStyle name="40% - Énfasis2 2 5" xfId="769" xr:uid="{E4151D9F-B359-4E73-B22E-93FBD770DAB1}"/>
    <cellStyle name="40% - Énfasis2 3" xfId="770" xr:uid="{1CE31D2C-ECCE-4E85-BF8E-AA94C3D4A0D5}"/>
    <cellStyle name="40% - Énfasis2 3 2" xfId="771" xr:uid="{D8666300-E771-45A1-9713-4C21FB73B712}"/>
    <cellStyle name="40% - Énfasis2 3 2 2" xfId="772" xr:uid="{DACC5F64-F97A-4A89-8A75-3DA0B8260DAB}"/>
    <cellStyle name="40% - Énfasis2 3 3" xfId="773" xr:uid="{50D8B284-E7FB-4050-82D2-EA1057BBC9C3}"/>
    <cellStyle name="40% - Énfasis2 3 4" xfId="774" xr:uid="{A9B39DC5-C0A4-49D3-B256-7A1C794A620E}"/>
    <cellStyle name="40% - Énfasis2 4" xfId="775" xr:uid="{C3A69AC7-579E-4372-BB88-B7EAECFCA9D0}"/>
    <cellStyle name="40% - Énfasis2 5" xfId="776" xr:uid="{73D8C1CB-CEEF-42C4-BE22-21D4CC93EDF8}"/>
    <cellStyle name="40% - Énfasis2 6" xfId="777" xr:uid="{196CA570-8441-4645-B371-BCF013F56C99}"/>
    <cellStyle name="40% - Énfasis3 10" xfId="778" xr:uid="{96B29CEB-825B-4884-B8AD-0A0A015735C2}"/>
    <cellStyle name="40% - Énfasis3 11" xfId="779" xr:uid="{20A93474-BDD3-4BE1-9DA5-72100891F3AD}"/>
    <cellStyle name="40% - Énfasis3 12" xfId="780" xr:uid="{35F166F6-BC8D-475B-956E-039E291735B7}"/>
    <cellStyle name="40% - Énfasis3 13" xfId="781" xr:uid="{3347A4F0-F964-4FF5-8A1A-804B27C7D660}"/>
    <cellStyle name="40% - Énfasis3 14" xfId="782" xr:uid="{2FA1F66B-C43A-4672-A0BE-993F5F274BDA}"/>
    <cellStyle name="40% - Énfasis3 15" xfId="783" xr:uid="{754BC8C8-1034-4BED-851A-E1C6767C6C66}"/>
    <cellStyle name="40% - Énfasis3 16" xfId="784" xr:uid="{D713E755-E066-446C-8E6F-084DDC2BFF84}"/>
    <cellStyle name="40% - Énfasis3 17" xfId="785" xr:uid="{8C723E53-0DF3-455D-BF47-B55A0B72B3C3}"/>
    <cellStyle name="40% - Énfasis3 18" xfId="786" xr:uid="{ADFF50BA-6222-4FFB-B7B6-88662056F4BD}"/>
    <cellStyle name="40% - Énfasis3 19" xfId="787" xr:uid="{23E400D5-A429-4431-B3C2-57278061B898}"/>
    <cellStyle name="40% - Énfasis3 2" xfId="788" xr:uid="{2F3A53F5-47AD-49B3-8A0D-90BCF2ECC54B}"/>
    <cellStyle name="40% - Énfasis3 2 2" xfId="789" xr:uid="{84A4F8CD-0629-426F-865E-63F2D32B3290}"/>
    <cellStyle name="40% - Énfasis3 2 3" xfId="790" xr:uid="{936E2E04-4FFA-4605-9FB9-1BA364961093}"/>
    <cellStyle name="40% - Énfasis3 20" xfId="791" xr:uid="{451B7606-C70A-48FA-92F5-5228290700FE}"/>
    <cellStyle name="40% - Énfasis3 21" xfId="792" xr:uid="{2B27A8F8-1B24-45DC-A1BA-75DB2C8810E7}"/>
    <cellStyle name="40% - Énfasis3 21 2" xfId="793" xr:uid="{4A3F087C-3489-4836-968B-E6F8866D25A2}"/>
    <cellStyle name="40% - Énfasis3 21 2 2" xfId="794" xr:uid="{3CCDD29A-AA5B-4CD5-8956-70E7349E6C75}"/>
    <cellStyle name="40% - Énfasis3 21 3" xfId="795" xr:uid="{B32F5566-60C1-4C53-905E-70ABE3BEC1B0}"/>
    <cellStyle name="40% - Énfasis3 21 3 2" xfId="796" xr:uid="{66235B82-4F40-4638-9BD5-77FD2425AE7B}"/>
    <cellStyle name="40% - Énfasis3 21 4" xfId="797" xr:uid="{6111D4BA-E41A-4B50-BDB8-0E86E99D0DF9}"/>
    <cellStyle name="40% - Énfasis3 22" xfId="798" xr:uid="{3D95FD42-515D-4607-B99D-9CA9D2CF148A}"/>
    <cellStyle name="40% - Énfasis3 22 2" xfId="799" xr:uid="{76E85532-8BE0-476D-8CB1-4B014BDA72D0}"/>
    <cellStyle name="40% - Énfasis3 22 2 2" xfId="800" xr:uid="{7291803F-4065-42CA-8D5D-A501C3E8CD27}"/>
    <cellStyle name="40% - Énfasis3 22 3" xfId="801" xr:uid="{430DF81B-4A20-4FEB-96D8-84C61309B3B8}"/>
    <cellStyle name="40% - Énfasis3 23" xfId="802" xr:uid="{1D5CA6B3-EE84-40AF-A145-141D329CF088}"/>
    <cellStyle name="40% - Énfasis3 24" xfId="803" xr:uid="{CD9C0498-7CE7-4E25-B9EF-D54A5904B141}"/>
    <cellStyle name="40% - Énfasis3 3" xfId="804" xr:uid="{775A4A55-9074-4920-9E20-1DA31C9242BA}"/>
    <cellStyle name="40% - Énfasis3 3 2" xfId="805" xr:uid="{DF1013BF-7364-4741-932F-EA44B139B4F1}"/>
    <cellStyle name="40% - Énfasis3 3 3" xfId="806" xr:uid="{3F103F30-9F43-474D-A83E-FAF857B18ED5}"/>
    <cellStyle name="40% - Énfasis3 4" xfId="807" xr:uid="{D3607395-1635-40DC-B08B-1A2842010B24}"/>
    <cellStyle name="40% - Énfasis3 4 2" xfId="808" xr:uid="{165D4FB9-5E92-43A1-A784-557EE0A29C9C}"/>
    <cellStyle name="40% - Énfasis3 5" xfId="809" xr:uid="{6ACCB1DC-98D0-47CF-90C0-CC71FAA3720F}"/>
    <cellStyle name="40% - Énfasis3 6" xfId="810" xr:uid="{C82B89F4-1823-4F2F-9678-5075B84DE2FE}"/>
    <cellStyle name="40% - Énfasis3 7" xfId="811" xr:uid="{B5901ACC-0C0F-487C-B309-442057AA1569}"/>
    <cellStyle name="40% - Énfasis3 8" xfId="812" xr:uid="{CCDEAC8A-7548-4681-A0EE-0AE8B2FA24F0}"/>
    <cellStyle name="40% - Énfasis3 9" xfId="813" xr:uid="{770EAD90-BAB9-4CBC-98DB-3E0DB28BC9FD}"/>
    <cellStyle name="40% - Énfasis4 10" xfId="814" xr:uid="{32FD09F3-87F7-46CF-BFDF-8D306D4BAA5C}"/>
    <cellStyle name="40% - Énfasis4 11" xfId="815" xr:uid="{30E26487-77BE-40B2-BF59-1D8EDC5A65CB}"/>
    <cellStyle name="40% - Énfasis4 12" xfId="816" xr:uid="{EC4A7756-B64F-416B-93E4-8EF5B71709BC}"/>
    <cellStyle name="40% - Énfasis4 13" xfId="817" xr:uid="{D9372306-2088-4BF8-8F92-10696EC44352}"/>
    <cellStyle name="40% - Énfasis4 14" xfId="818" xr:uid="{8F7C5714-B28C-4A36-AE8C-9601DEB1F5A1}"/>
    <cellStyle name="40% - Énfasis4 15" xfId="819" xr:uid="{5D96D771-A3A6-4D40-9F8A-ED260606764C}"/>
    <cellStyle name="40% - Énfasis4 16" xfId="820" xr:uid="{F46C3501-242D-482D-851C-3383629B4B52}"/>
    <cellStyle name="40% - Énfasis4 17" xfId="821" xr:uid="{C83E6F33-ADC8-4A75-AD0C-C97B3C687794}"/>
    <cellStyle name="40% - Énfasis4 18" xfId="822" xr:uid="{3D205088-FF58-40C4-9134-5FB4291AB21B}"/>
    <cellStyle name="40% - Énfasis4 19" xfId="823" xr:uid="{2B2F9E78-C993-4603-9BF3-AABB2603D13C}"/>
    <cellStyle name="40% - Énfasis4 2" xfId="824" xr:uid="{58164CD9-0A28-404B-ADF8-5E7D4D22E0D4}"/>
    <cellStyle name="40% - Énfasis4 2 2" xfId="825" xr:uid="{02EC5A88-6742-4372-ABFC-FE574AB5F82B}"/>
    <cellStyle name="40% - Énfasis4 2 3" xfId="826" xr:uid="{8DC2ECB6-A7B8-40A4-8652-5826DFCDB3D5}"/>
    <cellStyle name="40% - Énfasis4 20" xfId="827" xr:uid="{0D222306-EAB7-4E2D-9A41-A83812A79B4B}"/>
    <cellStyle name="40% - Énfasis4 21" xfId="828" xr:uid="{CED265B2-66D6-46D8-9F65-58A9A0D32361}"/>
    <cellStyle name="40% - Énfasis4 21 2" xfId="829" xr:uid="{B7115BF5-91B4-44A2-A011-E34921A04A1D}"/>
    <cellStyle name="40% - Énfasis4 21 2 2" xfId="830" xr:uid="{F52DCFE5-28F2-4CC6-AFF6-09A4698E9C87}"/>
    <cellStyle name="40% - Énfasis4 21 3" xfId="831" xr:uid="{6EFEBCE3-E4D0-452D-99F5-1F626544BAAF}"/>
    <cellStyle name="40% - Énfasis4 21 3 2" xfId="832" xr:uid="{1BE94913-04E1-491C-B735-70853B4943A0}"/>
    <cellStyle name="40% - Énfasis4 21 4" xfId="833" xr:uid="{485BD532-2FA7-4526-8491-77B4B70CC6A4}"/>
    <cellStyle name="40% - Énfasis4 22" xfId="834" xr:uid="{8E760555-6676-4CEC-8C8A-00240E906D3F}"/>
    <cellStyle name="40% - Énfasis4 22 2" xfId="835" xr:uid="{26F5124F-3C2B-4DA1-987B-832C00AF1101}"/>
    <cellStyle name="40% - Énfasis4 22 2 2" xfId="836" xr:uid="{C10D97B2-03DE-4852-BAC3-A5ECBD8E0201}"/>
    <cellStyle name="40% - Énfasis4 22 3" xfId="837" xr:uid="{C81AF0E9-E048-4AD6-B55F-C26C37258567}"/>
    <cellStyle name="40% - Énfasis4 23" xfId="838" xr:uid="{9E653056-9848-45DB-A1F6-0C9DFFA606DC}"/>
    <cellStyle name="40% - Énfasis4 24" xfId="839" xr:uid="{9E5CF91C-B96D-4FBF-95B6-9046C64BD6CB}"/>
    <cellStyle name="40% - Énfasis4 25" xfId="840" xr:uid="{7148315C-9B40-4895-88DA-35DB1DF8FFA9}"/>
    <cellStyle name="40% - Énfasis4 3" xfId="841" xr:uid="{E29B29C9-741D-4159-AE19-1778B715F07E}"/>
    <cellStyle name="40% - Énfasis4 3 2" xfId="842" xr:uid="{66DE0FAF-02C2-4CD1-A2BB-A9E6D1C97291}"/>
    <cellStyle name="40% - Énfasis4 3 3" xfId="843" xr:uid="{BCA59E8E-849D-4048-857A-9A81454F7D7A}"/>
    <cellStyle name="40% - Énfasis4 4" xfId="844" xr:uid="{245F5C53-56EE-4198-8851-7B76D6E795F4}"/>
    <cellStyle name="40% - Énfasis4 4 2" xfId="845" xr:uid="{DC6B9E4B-F462-4523-A917-55F30CE17468}"/>
    <cellStyle name="40% - Énfasis4 5" xfId="846" xr:uid="{EE5E0AC9-A0AD-444D-9121-311C39F48F80}"/>
    <cellStyle name="40% - Énfasis4 6" xfId="847" xr:uid="{F531E9AE-62D4-4A15-B588-3154F9F6D52E}"/>
    <cellStyle name="40% - Énfasis4 7" xfId="848" xr:uid="{D88C39B1-D398-418A-BDDD-5F97CEEF24CA}"/>
    <cellStyle name="40% - Énfasis4 8" xfId="849" xr:uid="{A491F0AF-48F4-4AFE-B55D-E2E422BBBE68}"/>
    <cellStyle name="40% - Énfasis4 9" xfId="850" xr:uid="{4E0A247F-BB23-4481-8FB0-78471E79C7C5}"/>
    <cellStyle name="40% - Énfasis5 2" xfId="851" xr:uid="{D1B95621-66AF-4ADB-B4AC-10CE0F027F77}"/>
    <cellStyle name="40% - Énfasis5 2 2" xfId="852" xr:uid="{73BA99D0-2729-467A-BC7B-B23FCE00DF12}"/>
    <cellStyle name="40% - Énfasis5 2 2 2" xfId="853" xr:uid="{F8D467B1-D44B-4012-A91B-BAA17B168F49}"/>
    <cellStyle name="40% - Énfasis5 2 3" xfId="854" xr:uid="{F7D9A3B3-C98D-4B0F-B783-F43AABEB5A31}"/>
    <cellStyle name="40% - Énfasis5 2 3 2" xfId="855" xr:uid="{80F33528-7785-4A83-999E-97D90400A4C7}"/>
    <cellStyle name="40% - Énfasis5 2 4" xfId="856" xr:uid="{C8D94A19-DD8F-4A84-A7D9-E800C6038EA3}"/>
    <cellStyle name="40% - Énfasis5 2 5" xfId="857" xr:uid="{303B5F8C-D84B-44AB-98BA-76275E85671A}"/>
    <cellStyle name="40% - Énfasis5 3" xfId="858" xr:uid="{75AAF0D1-5AF7-42BF-9F9A-4A3A251B9769}"/>
    <cellStyle name="40% - Énfasis5 3 2" xfId="859" xr:uid="{95F2EE4D-DA55-43FF-80CE-09E806D66686}"/>
    <cellStyle name="40% - Énfasis5 3 2 2" xfId="860" xr:uid="{FEAF4644-8BCD-4E60-B5B8-6EB55D63E626}"/>
    <cellStyle name="40% - Énfasis5 3 3" xfId="861" xr:uid="{694518FB-4166-4D61-9909-FCBDE4EBD169}"/>
    <cellStyle name="40% - Énfasis5 3 4" xfId="862" xr:uid="{A2F67DD5-7841-43A8-A9CF-13C522277437}"/>
    <cellStyle name="40% - Énfasis5 4" xfId="863" xr:uid="{50B30E40-E944-4704-9ABF-92794BCFFEE3}"/>
    <cellStyle name="40% - Énfasis5 5" xfId="864" xr:uid="{A523B6F4-F3DD-47F6-B41D-AAE55F63C1ED}"/>
    <cellStyle name="40% - Énfasis5 6" xfId="865" xr:uid="{EEF3D893-6935-410A-841C-F0F458E1A00A}"/>
    <cellStyle name="40% - Énfasis5 7" xfId="866" xr:uid="{30F6066E-1E38-4E7B-9D8A-29CBC4169169}"/>
    <cellStyle name="40% - Énfasis6 10" xfId="867" xr:uid="{CC46D75C-6066-4EF8-B2F7-7F39A4A445B7}"/>
    <cellStyle name="40% - Énfasis6 11" xfId="868" xr:uid="{ACBDF208-0C6C-483A-9E0B-69750DD9170F}"/>
    <cellStyle name="40% - Énfasis6 12" xfId="869" xr:uid="{D4246056-7BB8-4EA3-ABA5-4732471A4255}"/>
    <cellStyle name="40% - Énfasis6 13" xfId="870" xr:uid="{C646F318-07F5-4E36-BBFC-098E890AF38F}"/>
    <cellStyle name="40% - Énfasis6 14" xfId="871" xr:uid="{4DCF6BFA-D7B3-4F6C-BE57-1EAABD44CD4C}"/>
    <cellStyle name="40% - Énfasis6 15" xfId="872" xr:uid="{7E0EE26A-DEB6-4541-9F3B-99E2F7CC594C}"/>
    <cellStyle name="40% - Énfasis6 16" xfId="873" xr:uid="{15EC8AD1-27A6-449D-88D4-A738A4EBD98F}"/>
    <cellStyle name="40% - Énfasis6 17" xfId="874" xr:uid="{458CC1E6-9D6B-47E6-AB76-CD11E275D912}"/>
    <cellStyle name="40% - Énfasis6 18" xfId="875" xr:uid="{68DD19A7-754F-4375-8D2A-0279DFE5ED03}"/>
    <cellStyle name="40% - Énfasis6 19" xfId="876" xr:uid="{4C023E98-44D4-4EBA-B3AE-30C820CF2189}"/>
    <cellStyle name="40% - Énfasis6 2" xfId="877" xr:uid="{4F74EFB1-A872-483E-B080-A251918BC222}"/>
    <cellStyle name="40% - Énfasis6 2 2" xfId="878" xr:uid="{E1714937-1527-41AB-8713-E46240B8F27D}"/>
    <cellStyle name="40% - Énfasis6 2 3" xfId="879" xr:uid="{41EBAC23-F7CF-45A9-B1E1-9E55A37CE292}"/>
    <cellStyle name="40% - Énfasis6 20" xfId="880" xr:uid="{9C1C1D70-2C40-4D28-B609-2C6230E3C16B}"/>
    <cellStyle name="40% - Énfasis6 21" xfId="881" xr:uid="{7B899315-3016-404A-A046-A3BF8A128322}"/>
    <cellStyle name="40% - Énfasis6 21 2" xfId="882" xr:uid="{EA665A29-3714-416E-AF5A-6C55412596D3}"/>
    <cellStyle name="40% - Énfasis6 21 2 2" xfId="883" xr:uid="{D6F95C9D-9820-42A5-B550-71F20DB20224}"/>
    <cellStyle name="40% - Énfasis6 21 3" xfId="884" xr:uid="{914DAC66-BC74-49FA-B1F3-87D6A4D56C4D}"/>
    <cellStyle name="40% - Énfasis6 21 3 2" xfId="885" xr:uid="{1893BB62-1CF4-47B8-AB9C-3C2872A9E931}"/>
    <cellStyle name="40% - Énfasis6 21 4" xfId="886" xr:uid="{73DC49FD-4C1C-461A-A4D0-060BDF8F9077}"/>
    <cellStyle name="40% - Énfasis6 22" xfId="887" xr:uid="{73128C86-CBE7-446A-B9AF-ADD6FC2AD5D3}"/>
    <cellStyle name="40% - Énfasis6 22 2" xfId="888" xr:uid="{B256D5B3-FBB4-45DA-9361-ACC975AE3B33}"/>
    <cellStyle name="40% - Énfasis6 22 2 2" xfId="889" xr:uid="{66456294-6684-4FB3-A5BE-DBC0554A26E9}"/>
    <cellStyle name="40% - Énfasis6 22 3" xfId="890" xr:uid="{48FFAA60-81F3-4EFD-BA13-484A929B409B}"/>
    <cellStyle name="40% - Énfasis6 23" xfId="891" xr:uid="{7892C98B-115D-4E85-AD63-6F5C435F4856}"/>
    <cellStyle name="40% - Énfasis6 24" xfId="892" xr:uid="{6986F4EC-4246-4E91-B7E9-0E3F7DDF79FC}"/>
    <cellStyle name="40% - Énfasis6 25" xfId="893" xr:uid="{99F004E9-AA6D-4DDF-A4B5-7143F3D4DD09}"/>
    <cellStyle name="40% - Énfasis6 3" xfId="894" xr:uid="{2F3C4B86-6674-4895-80BC-30FF640E6385}"/>
    <cellStyle name="40% - Énfasis6 3 2" xfId="895" xr:uid="{665D9BFA-A11B-43B3-87A5-4A31BC08C1B9}"/>
    <cellStyle name="40% - Énfasis6 3 3" xfId="896" xr:uid="{958B9D1E-0864-4AC9-A4F8-6193053BD1E5}"/>
    <cellStyle name="40% - Énfasis6 4" xfId="897" xr:uid="{FCAD3EE0-1D37-4B1D-9B50-9059B30BC3B4}"/>
    <cellStyle name="40% - Énfasis6 4 2" xfId="898" xr:uid="{10869460-E2F3-45AE-A50F-CF1B52F24532}"/>
    <cellStyle name="40% - Énfasis6 5" xfId="899" xr:uid="{08BBA190-43FB-4735-AD3B-56893B88FF24}"/>
    <cellStyle name="40% - Énfasis6 6" xfId="900" xr:uid="{F1FBD595-2A75-4813-8DF8-CDB83D09C068}"/>
    <cellStyle name="40% - Énfasis6 7" xfId="901" xr:uid="{BFC24C0E-95F9-460A-9754-2AF817D7905E}"/>
    <cellStyle name="40% - Énfasis6 8" xfId="902" xr:uid="{420C2570-75C8-4756-9880-465A3B996507}"/>
    <cellStyle name="40% - Énfasis6 9" xfId="903" xr:uid="{853E44A5-0ACE-4FD8-96F7-23C804E8DE06}"/>
    <cellStyle name="60% - Accent1 2" xfId="355" xr:uid="{4724CEFE-C97E-432E-BF2E-1115FEBE7055}"/>
    <cellStyle name="60% - Accent1 2 2" xfId="904" xr:uid="{617C84F4-5480-4D4D-B201-A3662255B24E}"/>
    <cellStyle name="60% - Accent1 2 3" xfId="479" xr:uid="{9174E8BD-9CB2-442B-B2E7-F2C7A3A4B0F4}"/>
    <cellStyle name="60% - Accent1 3" xfId="509" xr:uid="{9122678B-FFA3-4D71-A2AF-7F76CE7B1D0B}"/>
    <cellStyle name="60% - Accent2 2" xfId="354" xr:uid="{698C2E33-74FE-4059-9516-32598E709BF2}"/>
    <cellStyle name="60% - Accent2 2 2" xfId="905" xr:uid="{2E30C3E1-09BC-4DE3-9A68-E6D970745C0A}"/>
    <cellStyle name="60% - Accent2 2 3" xfId="483" xr:uid="{ADB761D5-E4C7-4F67-8DF5-9A686AB759FF}"/>
    <cellStyle name="60% - Accent2 3" xfId="510" xr:uid="{4142E2D5-2498-4F16-9B7B-E0617683C80D}"/>
    <cellStyle name="60% - Accent3 2" xfId="353" xr:uid="{8E12381A-BD86-4BF5-90BB-267DD8BBCA5E}"/>
    <cellStyle name="60% - Accent3 2 2" xfId="906" xr:uid="{4B69B052-A8BD-401C-B145-8364E7256DA3}"/>
    <cellStyle name="60% - Accent3 2 3" xfId="487" xr:uid="{1F23D219-703F-4861-B6BE-AEC1D2C2500B}"/>
    <cellStyle name="60% - Accent3 3" xfId="511" xr:uid="{F4E87D70-8901-43E8-AA12-DA64A6DB5B58}"/>
    <cellStyle name="60% - Accent4 2" xfId="352" xr:uid="{EFBE12D7-49B3-4537-A5D3-866A8F8ED760}"/>
    <cellStyle name="60% - Accent4 2 2" xfId="907" xr:uid="{71E883A4-54F8-4BFD-AAF6-8268BCF9986D}"/>
    <cellStyle name="60% - Accent4 2 3" xfId="491" xr:uid="{56368CD7-2D8C-4FDD-A2F4-58FB480988C4}"/>
    <cellStyle name="60% - Accent4 3" xfId="512" xr:uid="{88F7680A-3FE5-43B3-B575-9626E16E9597}"/>
    <cellStyle name="60% - Accent5 2" xfId="351" xr:uid="{F16565CA-15ED-4122-8345-D5D423CCDFC4}"/>
    <cellStyle name="60% - Accent5 2 2" xfId="908" xr:uid="{3FFB7D81-7DD3-4C45-9FFC-D1AF5FF48D96}"/>
    <cellStyle name="60% - Accent5 2 3" xfId="495" xr:uid="{11BBF087-08A5-45FD-880B-02C9D7D2B42A}"/>
    <cellStyle name="60% - Accent5 3" xfId="513" xr:uid="{A83B0406-28DF-4A7A-ABA5-8DE267BCFEB6}"/>
    <cellStyle name="60% - Accent6 2" xfId="350" xr:uid="{ECAEC1CA-E793-4DD7-A4BC-DC8CD8C4BF57}"/>
    <cellStyle name="60% - Accent6 2 2" xfId="909" xr:uid="{93815686-B5DC-4316-9715-C928FCDA62C5}"/>
    <cellStyle name="60% - Accent6 2 3" xfId="499" xr:uid="{CAF05544-52BE-4D4A-99B3-136B5700CB05}"/>
    <cellStyle name="60% - Accent6 3" xfId="514" xr:uid="{97FF4A09-63B4-40AD-955F-CDDCAFA698F3}"/>
    <cellStyle name="60% - Énfasis1 10" xfId="910" xr:uid="{2A589258-5FAC-4317-9907-6CD46007A2C9}"/>
    <cellStyle name="60% - Énfasis1 11" xfId="911" xr:uid="{1002273F-9694-4034-8280-C24D7B2E54EB}"/>
    <cellStyle name="60% - Énfasis1 12" xfId="912" xr:uid="{69F1D989-145F-43E0-866E-69A081A9E1C5}"/>
    <cellStyle name="60% - Énfasis1 13" xfId="913" xr:uid="{35336595-FDDE-4213-BE04-A6B31B367048}"/>
    <cellStyle name="60% - Énfasis1 14" xfId="914" xr:uid="{9146A680-FF05-415D-971B-085B28BAC363}"/>
    <cellStyle name="60% - Énfasis1 15" xfId="915" xr:uid="{6FB112D9-091D-4090-BCB8-096CACC165FA}"/>
    <cellStyle name="60% - Énfasis1 16" xfId="916" xr:uid="{45D0195B-60AE-4395-A747-8443A31EDF5F}"/>
    <cellStyle name="60% - Énfasis1 17" xfId="917" xr:uid="{970EC8A7-11F6-4FD8-AB17-08824DEA0BA1}"/>
    <cellStyle name="60% - Énfasis1 18" xfId="918" xr:uid="{7C9F482F-AE08-4A55-8041-CE9416160DFE}"/>
    <cellStyle name="60% - Énfasis1 19" xfId="919" xr:uid="{00552D42-0B14-4224-88D8-BFCF37F71236}"/>
    <cellStyle name="60% - Énfasis1 2" xfId="920" xr:uid="{7DC5E2D9-B316-41EC-A6EF-1B38E9AB103E}"/>
    <cellStyle name="60% - Énfasis1 2 2" xfId="921" xr:uid="{2BECC9D8-7EF7-4ECF-97A6-22F3D2D0AF2B}"/>
    <cellStyle name="60% - Énfasis1 20" xfId="922" xr:uid="{F3E6A4F7-F561-4A91-9092-5469EDD93303}"/>
    <cellStyle name="60% - Énfasis1 21" xfId="923" xr:uid="{1BDD4E7C-D91E-4CC2-B7FB-37417AD9EEDA}"/>
    <cellStyle name="60% - Énfasis1 22" xfId="924" xr:uid="{EEF054BF-92B2-40C8-B0E9-F4B9FF5813DC}"/>
    <cellStyle name="60% - Énfasis1 23" xfId="925" xr:uid="{5017D452-47D6-4C0B-8132-30468A785214}"/>
    <cellStyle name="60% - Énfasis1 3" xfId="926" xr:uid="{25586A30-5732-40E5-82EC-4A7DF001DA41}"/>
    <cellStyle name="60% - Énfasis1 3 2" xfId="927" xr:uid="{30C2D37B-AB00-4978-845B-3B35BADD7F79}"/>
    <cellStyle name="60% - Énfasis1 4" xfId="928" xr:uid="{1B7065D8-B63D-4EF5-82D4-136BC0885272}"/>
    <cellStyle name="60% - Énfasis1 5" xfId="929" xr:uid="{D8149107-8E52-4CD5-A67A-CC7C39C20026}"/>
    <cellStyle name="60% - Énfasis1 6" xfId="930" xr:uid="{F85040AB-DE38-484A-A8D6-F25AB0FAA92F}"/>
    <cellStyle name="60% - Énfasis1 7" xfId="931" xr:uid="{76BC097D-EECD-46E9-9AF4-A6C1819C75FE}"/>
    <cellStyle name="60% - Énfasis1 8" xfId="932" xr:uid="{C72C5BC4-1AC3-4654-B0BF-7516E6C79253}"/>
    <cellStyle name="60% - Énfasis1 9" xfId="933" xr:uid="{E849F44E-5DF7-42E4-B16F-9B3CE56DCA34}"/>
    <cellStyle name="60% - Énfasis2 2" xfId="934" xr:uid="{72253026-FEC5-4E05-A070-1CE1C8DA77D6}"/>
    <cellStyle name="60% - Énfasis2 2 2" xfId="935" xr:uid="{DB6D81C9-82E1-4F1E-9546-C9DFC7545CD1}"/>
    <cellStyle name="60% - Énfasis2 3" xfId="936" xr:uid="{E9C380A9-165B-4A74-BE69-0A64515951C7}"/>
    <cellStyle name="60% - Énfasis2 3 2" xfId="937" xr:uid="{EF2BA4CC-D647-4429-AF5B-8320368DFF65}"/>
    <cellStyle name="60% - Énfasis2 4" xfId="938" xr:uid="{985A99AE-FE8F-4B8D-86B1-AF53B7CB5384}"/>
    <cellStyle name="60% - Énfasis3 10" xfId="939" xr:uid="{5B58E17F-556A-4A2F-A939-8FB6C52B993A}"/>
    <cellStyle name="60% - Énfasis3 11" xfId="940" xr:uid="{4041C037-EAFA-4E1A-9668-CD0D96EAF379}"/>
    <cellStyle name="60% - Énfasis3 12" xfId="941" xr:uid="{85CE9E25-422C-4EE7-AD61-9916EB137BBE}"/>
    <cellStyle name="60% - Énfasis3 13" xfId="942" xr:uid="{9CBC0EF5-A031-4594-96A1-DA718809103D}"/>
    <cellStyle name="60% - Énfasis3 14" xfId="943" xr:uid="{AD33849D-CA3D-46B5-8BD8-4D4DEDCEA691}"/>
    <cellStyle name="60% - Énfasis3 15" xfId="944" xr:uid="{F454842D-6C2E-46A2-91CF-B448FE12CE79}"/>
    <cellStyle name="60% - Énfasis3 16" xfId="945" xr:uid="{FC6F0077-FCD9-4EFB-844B-54BE20FBE35E}"/>
    <cellStyle name="60% - Énfasis3 17" xfId="946" xr:uid="{09942983-AD66-454C-8252-F4056FDC209F}"/>
    <cellStyle name="60% - Énfasis3 18" xfId="947" xr:uid="{478DF1EC-1635-43DC-9B46-E4202C96E6F1}"/>
    <cellStyle name="60% - Énfasis3 19" xfId="948" xr:uid="{D79408C5-1C78-45AC-82B1-0E926EBF4075}"/>
    <cellStyle name="60% - Énfasis3 2" xfId="949" xr:uid="{F0B9EEB8-2593-46C7-ACCE-2EC46175B3BB}"/>
    <cellStyle name="60% - Énfasis3 2 2" xfId="950" xr:uid="{419DB740-3E74-41A4-A774-015C535A01C7}"/>
    <cellStyle name="60% - Énfasis3 20" xfId="951" xr:uid="{BB4667EE-F110-4B99-AAA9-B9141A82EEB6}"/>
    <cellStyle name="60% - Énfasis3 21" xfId="952" xr:uid="{6EBB0409-A8B5-4932-A9EC-E37F6D24C343}"/>
    <cellStyle name="60% - Énfasis3 22" xfId="953" xr:uid="{61107449-04FD-4D2C-8F2C-09C08586C52D}"/>
    <cellStyle name="60% - Énfasis3 23" xfId="954" xr:uid="{88AA740A-ABF4-4069-8E61-F4FEA27FDA98}"/>
    <cellStyle name="60% - Énfasis3 3" xfId="955" xr:uid="{385580DC-32EC-49C8-8246-749C72B3A12E}"/>
    <cellStyle name="60% - Énfasis3 3 2" xfId="956" xr:uid="{F162B7C3-A22F-47AC-92F2-A3B505FCF070}"/>
    <cellStyle name="60% - Énfasis3 4" xfId="957" xr:uid="{00949197-4A61-41ED-8785-EC4F9FB92887}"/>
    <cellStyle name="60% - Énfasis3 5" xfId="958" xr:uid="{A7A03D66-FE58-4C41-B543-BB428378EBD2}"/>
    <cellStyle name="60% - Énfasis3 6" xfId="959" xr:uid="{145EDF21-242F-42A6-80DC-F56AB1A77B29}"/>
    <cellStyle name="60% - Énfasis3 7" xfId="960" xr:uid="{93083CA0-AA18-4D28-B020-C7E304E3D180}"/>
    <cellStyle name="60% - Énfasis3 8" xfId="961" xr:uid="{7A97482D-8DFE-445A-B0B6-2D9EC57C8E7A}"/>
    <cellStyle name="60% - Énfasis3 9" xfId="962" xr:uid="{D82F7BA1-1712-4472-A816-8FE6A7E0A1D9}"/>
    <cellStyle name="60% - Énfasis4 10" xfId="963" xr:uid="{E8BB977F-27F5-40FB-866E-45B8D9FAE3B5}"/>
    <cellStyle name="60% - Énfasis4 11" xfId="964" xr:uid="{F27DC830-F5C5-4269-BAD6-5003771707DF}"/>
    <cellStyle name="60% - Énfasis4 12" xfId="965" xr:uid="{0D2C2912-DD9C-4447-8A55-06EC31F913FC}"/>
    <cellStyle name="60% - Énfasis4 13" xfId="966" xr:uid="{A8C7DE11-8AD5-446A-A42B-367822934A21}"/>
    <cellStyle name="60% - Énfasis4 14" xfId="967" xr:uid="{BC1C42FD-804A-4233-AFAC-5EA2FEB5D151}"/>
    <cellStyle name="60% - Énfasis4 15" xfId="968" xr:uid="{D0BFE222-B157-485D-AFD8-324632547A71}"/>
    <cellStyle name="60% - Énfasis4 16" xfId="969" xr:uid="{F5A57985-96A6-439B-B580-152C8C420B4B}"/>
    <cellStyle name="60% - Énfasis4 17" xfId="970" xr:uid="{A5EEF4DC-61F3-49C6-AA99-6E1801142B36}"/>
    <cellStyle name="60% - Énfasis4 18" xfId="971" xr:uid="{FB5CD834-ABD0-4CB5-891F-8335304B4F40}"/>
    <cellStyle name="60% - Énfasis4 19" xfId="972" xr:uid="{FE33F632-1E50-4BDC-BC9A-EB5CAC04B048}"/>
    <cellStyle name="60% - Énfasis4 2" xfId="973" xr:uid="{BCDCF1D3-728E-488F-9689-9F878977DD93}"/>
    <cellStyle name="60% - Énfasis4 2 2" xfId="974" xr:uid="{A11303D9-3F22-4308-96DA-6163259FD8C8}"/>
    <cellStyle name="60% - Énfasis4 20" xfId="975" xr:uid="{456D76B1-EF8D-41B5-88A6-8A3E97DFC7B0}"/>
    <cellStyle name="60% - Énfasis4 21" xfId="976" xr:uid="{A7B0C9E8-4ABC-4E6E-B408-56BCEF7FDF6C}"/>
    <cellStyle name="60% - Énfasis4 22" xfId="977" xr:uid="{DB2E54B8-A39A-4A04-95FD-80077F064978}"/>
    <cellStyle name="60% - Énfasis4 23" xfId="978" xr:uid="{5657E753-B9EF-40FF-8D92-4F17ED8C4752}"/>
    <cellStyle name="60% - Énfasis4 3" xfId="979" xr:uid="{B4029458-724D-4E8C-87DF-A733B69CFC68}"/>
    <cellStyle name="60% - Énfasis4 3 2" xfId="980" xr:uid="{18E7117F-D45A-422B-9982-02BD20F12C76}"/>
    <cellStyle name="60% - Énfasis4 4" xfId="981" xr:uid="{AE23B002-0BE6-4C9C-A6C6-4CD91ADE4C76}"/>
    <cellStyle name="60% - Énfasis4 5" xfId="982" xr:uid="{DB5367AA-3096-42A1-8687-621D6D7F3E6B}"/>
    <cellStyle name="60% - Énfasis4 6" xfId="983" xr:uid="{1B443619-674E-4AD5-A96F-051191A5903A}"/>
    <cellStyle name="60% - Énfasis4 7" xfId="984" xr:uid="{83F65FEA-2476-4703-B4D3-B3E578254498}"/>
    <cellStyle name="60% - Énfasis4 8" xfId="985" xr:uid="{FB1A9C90-7970-4625-8814-91E007CF7953}"/>
    <cellStyle name="60% - Énfasis4 9" xfId="986" xr:uid="{83A691A4-EA48-4D26-865F-9200E1BEF0D9}"/>
    <cellStyle name="60% - Énfasis5 10" xfId="987" xr:uid="{02A03C55-5EFA-40E9-B5C6-3194E687139C}"/>
    <cellStyle name="60% - Énfasis5 11" xfId="988" xr:uid="{2317768D-089A-4D58-8DFC-A63D2C006DE3}"/>
    <cellStyle name="60% - Énfasis5 12" xfId="989" xr:uid="{36AE4A1D-CDAE-4C5A-A130-28F7003B088D}"/>
    <cellStyle name="60% - Énfasis5 13" xfId="990" xr:uid="{157D3804-51B0-4719-9E6A-DB8A1FCAB645}"/>
    <cellStyle name="60% - Énfasis5 14" xfId="991" xr:uid="{0E5E8CCE-78AC-484C-A43D-F03F18AB69FD}"/>
    <cellStyle name="60% - Énfasis5 15" xfId="992" xr:uid="{7EBA1D08-AB21-499B-ABD5-EE8AEB4D4184}"/>
    <cellStyle name="60% - Énfasis5 16" xfId="993" xr:uid="{6643DB61-41C3-4F37-BA6F-07AC763FBEDB}"/>
    <cellStyle name="60% - Énfasis5 17" xfId="994" xr:uid="{22D1F38B-B950-43EB-8B7E-9B879ECEA9B1}"/>
    <cellStyle name="60% - Énfasis5 18" xfId="995" xr:uid="{75CC3541-D639-4A8B-A94A-91C67D5CF370}"/>
    <cellStyle name="60% - Énfasis5 19" xfId="996" xr:uid="{0837DCFF-EED6-44AE-9BC3-5C45A66F3953}"/>
    <cellStyle name="60% - Énfasis5 2" xfId="997" xr:uid="{4DA8CF04-C0C9-4C0D-80B0-C8996CD7113D}"/>
    <cellStyle name="60% - Énfasis5 2 2" xfId="998" xr:uid="{118BA4E9-D81A-46BD-B1CA-5A883643115E}"/>
    <cellStyle name="60% - Énfasis5 20" xfId="999" xr:uid="{7E53016F-42C3-45D2-9D98-1F64A0F1579F}"/>
    <cellStyle name="60% - Énfasis5 21" xfId="1000" xr:uid="{77BB400C-AAB5-4C20-A386-3D8979B3F97B}"/>
    <cellStyle name="60% - Énfasis5 22" xfId="1001" xr:uid="{979AA033-53E1-4BF0-B82F-122444F3F322}"/>
    <cellStyle name="60% - Énfasis5 23" xfId="1002" xr:uid="{9B58C2F9-139B-4C5D-BA68-BAE8525936F4}"/>
    <cellStyle name="60% - Énfasis5 3" xfId="1003" xr:uid="{272D2BE3-3476-47F8-B69F-4F7F1AA6BC5E}"/>
    <cellStyle name="60% - Énfasis5 3 2" xfId="1004" xr:uid="{8E0C043F-A539-4F87-9DAD-0C154BF00249}"/>
    <cellStyle name="60% - Énfasis5 4" xfId="1005" xr:uid="{A288F56B-A7D1-4F41-83C0-FD85427AF5EE}"/>
    <cellStyle name="60% - Énfasis5 5" xfId="1006" xr:uid="{D57A2953-4D17-43F1-9083-69015D257198}"/>
    <cellStyle name="60% - Énfasis5 6" xfId="1007" xr:uid="{263793AD-0E6C-48E2-BF09-84D18EB2CCEC}"/>
    <cellStyle name="60% - Énfasis5 7" xfId="1008" xr:uid="{13933F68-9C4A-4263-BB4F-4E810458B5D9}"/>
    <cellStyle name="60% - Énfasis5 8" xfId="1009" xr:uid="{306429E2-2130-4D3B-8070-4C5A1E9E9F0D}"/>
    <cellStyle name="60% - Énfasis5 9" xfId="1010" xr:uid="{47414C55-0D97-4549-A4FE-E4A62E0C94EC}"/>
    <cellStyle name="60% - Énfasis6 10" xfId="1011" xr:uid="{C850B96F-9DF6-4A05-8ABB-A2397CA43A8F}"/>
    <cellStyle name="60% - Énfasis6 11" xfId="1012" xr:uid="{EDF61F98-DF46-4286-9E81-A5B3040E5A51}"/>
    <cellStyle name="60% - Énfasis6 12" xfId="1013" xr:uid="{E7084B17-E5B7-4E9A-BA20-882555AB9134}"/>
    <cellStyle name="60% - Énfasis6 13" xfId="1014" xr:uid="{04E69386-E025-47FD-850F-58D7D9CCFFF2}"/>
    <cellStyle name="60% - Énfasis6 14" xfId="1015" xr:uid="{933DC664-8F1E-4A4A-852E-13429F23D986}"/>
    <cellStyle name="60% - Énfasis6 15" xfId="1016" xr:uid="{548E1927-F9A9-45E9-AC2E-4E6DF96C0E65}"/>
    <cellStyle name="60% - Énfasis6 16" xfId="1017" xr:uid="{8F4445B3-CCC7-4BA4-8847-7A8453D39374}"/>
    <cellStyle name="60% - Énfasis6 17" xfId="1018" xr:uid="{BEBC091E-4EDF-454F-85FA-F895D3D96D32}"/>
    <cellStyle name="60% - Énfasis6 18" xfId="1019" xr:uid="{D8852C15-E23F-4B6D-B7E3-C9A6CE717521}"/>
    <cellStyle name="60% - Énfasis6 19" xfId="1020" xr:uid="{680863DA-3942-4BD3-A299-05A881466CC7}"/>
    <cellStyle name="60% - Énfasis6 2" xfId="1021" xr:uid="{3583EFBC-7025-4823-956F-8D03A112B04A}"/>
    <cellStyle name="60% - Énfasis6 2 2" xfId="1022" xr:uid="{6BA15C2D-3FAA-49D6-BF3D-B7572750C1AB}"/>
    <cellStyle name="60% - Énfasis6 20" xfId="1023" xr:uid="{8D312398-BF00-4425-95A3-045BD6A60192}"/>
    <cellStyle name="60% - Énfasis6 21" xfId="1024" xr:uid="{4D8B0A8A-B400-4610-BEE3-07B4DE53896E}"/>
    <cellStyle name="60% - Énfasis6 22" xfId="1025" xr:uid="{B0262CBE-4401-4D30-BD64-F112A58BCE2D}"/>
    <cellStyle name="60% - Énfasis6 3" xfId="1026" xr:uid="{3DA855DC-10FD-457E-9C8E-A9691D00A5A6}"/>
    <cellStyle name="60% - Énfasis6 3 2" xfId="1027" xr:uid="{AD25438D-F5CA-4200-9333-5D0689265225}"/>
    <cellStyle name="60% - Énfasis6 4" xfId="1028" xr:uid="{FF479F2D-A2BF-4C7A-9F3D-AB6A569AF24A}"/>
    <cellStyle name="60% - Énfasis6 5" xfId="1029" xr:uid="{281C6548-DF47-4DD9-B089-B655BCD3B7E7}"/>
    <cellStyle name="60% - Énfasis6 6" xfId="1030" xr:uid="{6F39CEC7-0B68-4639-B10A-8456BAC71516}"/>
    <cellStyle name="60% - Énfasis6 7" xfId="1031" xr:uid="{EDB3801D-BE08-4526-802C-4959536B523C}"/>
    <cellStyle name="60% - Énfasis6 8" xfId="1032" xr:uid="{9819120F-4724-471D-B1A9-62EA9F82282E}"/>
    <cellStyle name="60% - Énfasis6 9" xfId="1033" xr:uid="{7A990FD6-657B-43F2-81B6-4E9E896592E7}"/>
    <cellStyle name="a_quebra_2" xfId="1034" xr:uid="{11716922-7085-43B6-8A64-39C14637B898}"/>
    <cellStyle name="A3 297 x 420 mm" xfId="1035" xr:uid="{843E02C9-300D-4F7F-8E72-E41537868ED6}"/>
    <cellStyle name="A3 297 x 420 mm 10" xfId="1036" xr:uid="{C805202A-97A6-4191-B6E4-70816797119A}"/>
    <cellStyle name="A3 297 x 420 mm 10 2" xfId="1037" xr:uid="{3C5470D3-FF58-4E31-90DA-922231E3FFA1}"/>
    <cellStyle name="A3 297 x 420 mm 11" xfId="1038" xr:uid="{EF0CE6EB-E5F3-4752-8F32-4CD5F1BFCDD7}"/>
    <cellStyle name="A3 297 x 420 mm 12" xfId="1039" xr:uid="{67835E28-0A09-4ADA-967E-5F60563B015D}"/>
    <cellStyle name="A3 297 x 420 mm 13" xfId="1040" xr:uid="{062D30EA-AE2B-4D7F-AF5A-13F060B31262}"/>
    <cellStyle name="A3 297 x 420 mm 14" xfId="1041" xr:uid="{DA99E905-C901-4F66-87A9-31873858280E}"/>
    <cellStyle name="A3 297 x 420 mm 15" xfId="1042" xr:uid="{838DCF13-3FF9-4852-A0C4-986AD4C599F4}"/>
    <cellStyle name="A3 297 x 420 mm 16" xfId="1043" xr:uid="{0F8819F0-C314-4607-A715-4C6D75F2EB4B}"/>
    <cellStyle name="A3 297 x 420 mm 17" xfId="1044" xr:uid="{E251DBC5-327D-447C-AE2E-D79C2024F2D0}"/>
    <cellStyle name="A3 297 x 420 mm 18" xfId="1045" xr:uid="{43617634-38A4-4F43-8E09-BCA7048A619A}"/>
    <cellStyle name="A3 297 x 420 mm 19" xfId="1046" xr:uid="{366F1197-AAD3-4302-B08A-718D47235B09}"/>
    <cellStyle name="A3 297 x 420 mm 2" xfId="1047" xr:uid="{BCD42A89-35F8-4E17-9D75-682B147046D8}"/>
    <cellStyle name="A3 297 x 420 mm 2 2" xfId="1048" xr:uid="{DBA1FA3D-431B-4189-953E-D499A13219E0}"/>
    <cellStyle name="A3 297 x 420 mm 20" xfId="1049" xr:uid="{7C7717D3-195A-4ED4-A55E-2AFFCCC740C8}"/>
    <cellStyle name="A3 297 x 420 mm 21" xfId="1050" xr:uid="{1FE350FC-179B-4B25-8B17-0368D2402B1D}"/>
    <cellStyle name="A3 297 x 420 mm 22" xfId="1051" xr:uid="{AECF4FDB-A819-4C44-8596-C843C18193AF}"/>
    <cellStyle name="A3 297 x 420 mm 23" xfId="1052" xr:uid="{B940C733-DF6B-4B12-BF8D-19592A8C70FF}"/>
    <cellStyle name="A3 297 x 420 mm 24" xfId="1053" xr:uid="{9DAA7029-7C19-4A25-BB27-6811A13085C6}"/>
    <cellStyle name="A3 297 x 420 mm 25" xfId="1054" xr:uid="{466A0725-67BE-49DD-9F32-C313F251725B}"/>
    <cellStyle name="A3 297 x 420 mm 26" xfId="1055" xr:uid="{EA5DDE32-C358-4D45-B1D1-DF992786FBE3}"/>
    <cellStyle name="A3 297 x 420 mm 27" xfId="1056" xr:uid="{0C759E78-3F97-45D2-9F2D-798797C0FC00}"/>
    <cellStyle name="A3 297 x 420 mm 28" xfId="1057" xr:uid="{EB504599-5EA9-467B-B58C-A2D2FDF2F788}"/>
    <cellStyle name="A3 297 x 420 mm 29" xfId="1058" xr:uid="{5DBF4803-BFB1-422E-A5DB-CF41D3A29345}"/>
    <cellStyle name="A3 297 x 420 mm 3" xfId="1059" xr:uid="{5251EBF5-72A8-47A3-A30F-EC47A97F6F88}"/>
    <cellStyle name="A3 297 x 420 mm 3 2" xfId="1060" xr:uid="{6936495B-EFA9-43CE-A2D0-F27B0CDCE198}"/>
    <cellStyle name="A3 297 x 420 mm 30" xfId="1061" xr:uid="{629B62CD-B191-453F-86A4-DF561D1E0929}"/>
    <cellStyle name="A3 297 x 420 mm 31" xfId="1062" xr:uid="{6EFCB500-3124-4AA1-90D9-E56BF501D3E6}"/>
    <cellStyle name="A3 297 x 420 mm 32" xfId="1063" xr:uid="{8ABFC352-8B0E-413C-95C0-B524F59E98AC}"/>
    <cellStyle name="A3 297 x 420 mm 33" xfId="1064" xr:uid="{966A11E4-08D9-420B-B766-2BAAD03C23FC}"/>
    <cellStyle name="A3 297 x 420 mm 34" xfId="1065" xr:uid="{0594AC39-66A4-4326-8288-C3C4D27307AA}"/>
    <cellStyle name="A3 297 x 420 mm 35" xfId="1066" xr:uid="{DD7C7467-89E1-41D2-B379-113F53ADE6B3}"/>
    <cellStyle name="A3 297 x 420 mm 36" xfId="1067" xr:uid="{ED55BDE5-5772-4DF7-B209-986A4976FFD5}"/>
    <cellStyle name="A3 297 x 420 mm 37" xfId="1068" xr:uid="{14425E64-9DBE-4605-A39C-F36AE6FD2D82}"/>
    <cellStyle name="A3 297 x 420 mm 4" xfId="1069" xr:uid="{FA094BA5-7B71-4C9C-B53E-DA0BD1E91DA3}"/>
    <cellStyle name="A3 297 x 420 mm 5" xfId="1070" xr:uid="{B0D4D00E-880E-4B6C-9622-1F344365AAEA}"/>
    <cellStyle name="A3 297 x 420 mm 6" xfId="1071" xr:uid="{91FFC72E-C751-4921-A9BE-DA5529BA0F4E}"/>
    <cellStyle name="A3 297 x 420 mm 7" xfId="1072" xr:uid="{9CA6F943-7A37-41D9-9961-85B319D52B60}"/>
    <cellStyle name="A3 297 x 420 mm 8" xfId="1073" xr:uid="{BACEF471-2DE9-4515-A839-C9A4CEF8713C}"/>
    <cellStyle name="A3 297 x 420 mm 9" xfId="1074" xr:uid="{90A19E1F-FC48-4353-BD70-7F7293788BC2}"/>
    <cellStyle name="Accent1" xfId="423" builtinId="29" customBuiltin="1"/>
    <cellStyle name="Accent1 2" xfId="1075" xr:uid="{758CF3F2-4120-44BC-9AB8-58D2853CF3C2}"/>
    <cellStyle name="Accent2" xfId="426" builtinId="33" customBuiltin="1"/>
    <cellStyle name="Accent2 2" xfId="480" xr:uid="{FAB6A374-0A12-4613-B18F-99C8EBF0D65A}"/>
    <cellStyle name="Accent2 2 2" xfId="1076" xr:uid="{D6BE9637-751C-4CA3-8CEB-ED7FEE0E0191}"/>
    <cellStyle name="Accent3" xfId="429" builtinId="37" customBuiltin="1"/>
    <cellStyle name="Accent3 2" xfId="484" xr:uid="{268D57A0-FE84-4EF5-B90B-279F7CC9012C}"/>
    <cellStyle name="Accent3 2 2" xfId="1077" xr:uid="{42B9A204-1E5D-4F6F-9537-0CEFE4706B82}"/>
    <cellStyle name="Accent4" xfId="432" builtinId="41" customBuiltin="1"/>
    <cellStyle name="Accent4 2" xfId="488" xr:uid="{3063287C-528F-4E87-92B0-222DCABD7A1B}"/>
    <cellStyle name="Accent4 2 2" xfId="1078" xr:uid="{A50744AB-A117-47E0-9CC1-445A98F48648}"/>
    <cellStyle name="Accent5" xfId="435" builtinId="45" customBuiltin="1"/>
    <cellStyle name="Accent5 2" xfId="492" xr:uid="{FFAD2BA4-7D37-41FA-9521-E7BC398D26FF}"/>
    <cellStyle name="Accent5 2 2" xfId="1079" xr:uid="{4C3C1CEA-02E5-40F2-BD95-A39EF0F99A9E}"/>
    <cellStyle name="Accent6" xfId="438" builtinId="49" customBuiltin="1"/>
    <cellStyle name="Accent6 2" xfId="496" xr:uid="{0FF2A4D2-9E39-4DD0-9370-6A339947FEF5}"/>
    <cellStyle name="Accent6 2 2" xfId="1080" xr:uid="{5F1BB519-FC36-496F-B359-C6CD8D88272E}"/>
    <cellStyle name="Bad" xfId="414" builtinId="27" customBuiltin="1"/>
    <cellStyle name="Bad 2" xfId="467" xr:uid="{FF860BAC-474B-4D36-8806-3AEFE0342615}"/>
    <cellStyle name="Bad 2 2" xfId="1081" xr:uid="{F6747DE1-C83A-4B88-B99C-9EABC7AED2AC}"/>
    <cellStyle name="Buena 2" xfId="1082" xr:uid="{C751001B-2C80-4660-A01C-46235D3CEB63}"/>
    <cellStyle name="Buena 2 2" xfId="1083" xr:uid="{C5B5B299-907D-464A-8428-76C0947168C1}"/>
    <cellStyle name="Buena 3" xfId="1084" xr:uid="{8E024D73-FD8D-4ACB-A2A5-0B39EA39093A}"/>
    <cellStyle name="Buena 3 2" xfId="1085" xr:uid="{DF072B17-F90C-48E9-BF40-6C3EA1E42CB4}"/>
    <cellStyle name="Buena 4" xfId="1086" xr:uid="{8C6C17A7-C8EB-41B6-8470-2D78E0C0117D}"/>
    <cellStyle name="Cabecera 1" xfId="1087" xr:uid="{C4FC1C7C-4C49-4C25-8FB8-1208142F1337}"/>
    <cellStyle name="Cabecera 2" xfId="1088" xr:uid="{6331FB25-73BE-4DFD-966C-E42A63A82FD3}"/>
    <cellStyle name="Calculation" xfId="417" builtinId="22" customBuiltin="1"/>
    <cellStyle name="Calculation 2" xfId="471" xr:uid="{AA58A7A6-C648-4FE5-B9DA-03AF5D453261}"/>
    <cellStyle name="Calculation 2 2" xfId="1089" xr:uid="{366E1BD5-8C38-46B5-84AC-A3A559361B2C}"/>
    <cellStyle name="Cálculo 10" xfId="1090" xr:uid="{DF6902C4-E8A3-4BF0-ABEF-380D03F3DA2D}"/>
    <cellStyle name="Cálculo 10 2" xfId="1091" xr:uid="{471319B8-D743-4915-B2F9-A107D39DF5D4}"/>
    <cellStyle name="Cálculo 10 2 2" xfId="1092" xr:uid="{9EF733A2-67EC-443B-8BC3-BAB48BC52631}"/>
    <cellStyle name="Cálculo 10 3" xfId="1093" xr:uid="{19230203-A00C-4C34-B306-2FC4E8DD6155}"/>
    <cellStyle name="Cálculo 10 3 2" xfId="1094" xr:uid="{FDAFAC56-D8B0-4E0A-A099-8F9007E45F17}"/>
    <cellStyle name="Cálculo 10 3 3" xfId="1095" xr:uid="{960EAFCB-7584-4B2D-9282-1F8F1D766EAA}"/>
    <cellStyle name="Cálculo 11" xfId="1096" xr:uid="{E054FA7B-B877-4237-B653-39993A68DEC8}"/>
    <cellStyle name="Cálculo 11 2" xfId="1097" xr:uid="{028A1D5E-A657-4E19-BAF8-EDF711BBECF4}"/>
    <cellStyle name="Cálculo 11 2 2" xfId="1098" xr:uid="{B93B0D27-AA3E-458A-BF95-E93718ACF38A}"/>
    <cellStyle name="Cálculo 11 3" xfId="1099" xr:uid="{B1C25A99-70D6-470C-8004-299EE03D5261}"/>
    <cellStyle name="Cálculo 11 3 2" xfId="1100" xr:uid="{292AAFD5-0703-40E3-AF34-ADFB41E5B436}"/>
    <cellStyle name="Cálculo 11 3 3" xfId="1101" xr:uid="{94889BBA-0387-4013-AAA5-419244E70B0A}"/>
    <cellStyle name="Cálculo 12" xfId="1102" xr:uid="{6B3FBEA7-5223-4412-BD91-99DD0F73318D}"/>
    <cellStyle name="Cálculo 12 2" xfId="1103" xr:uid="{10F07DED-EFAE-49E8-8152-2679C0E703FA}"/>
    <cellStyle name="Cálculo 12 2 2" xfId="1104" xr:uid="{6FAE8F5F-BB6E-45F4-A8B4-17C44D89B10D}"/>
    <cellStyle name="Cálculo 12 3" xfId="1105" xr:uid="{0FEBBF07-6A88-47DB-852F-7B78AFFFC8A3}"/>
    <cellStyle name="Cálculo 12 3 2" xfId="1106" xr:uid="{1052F13F-5047-470A-84F2-39592C3F31C3}"/>
    <cellStyle name="Cálculo 12 3 3" xfId="1107" xr:uid="{10D78418-4B47-4AD7-B8AE-FBEB58FCFEEB}"/>
    <cellStyle name="Cálculo 13" xfId="1108" xr:uid="{B0B0AB0C-C8D2-4655-AA0E-DFC00064330C}"/>
    <cellStyle name="Cálculo 13 2" xfId="1109" xr:uid="{48D8837A-54A5-4342-AA2C-EB840C57CFAB}"/>
    <cellStyle name="Cálculo 13 2 2" xfId="1110" xr:uid="{CCA0AD7F-BCF0-432A-911F-9DC093CC6C09}"/>
    <cellStyle name="Cálculo 13 3" xfId="1111" xr:uid="{3774C582-F0EA-452A-AE16-5680C52A91BE}"/>
    <cellStyle name="Cálculo 13 3 2" xfId="1112" xr:uid="{E44EF63B-2B29-4EEF-A059-6DCD90C71A58}"/>
    <cellStyle name="Cálculo 13 3 3" xfId="1113" xr:uid="{AA007EE9-41D0-450E-AF7E-4BEE15219021}"/>
    <cellStyle name="Cálculo 14" xfId="1114" xr:uid="{2A140144-331B-4482-805F-FB3B38EEE240}"/>
    <cellStyle name="Cálculo 14 2" xfId="1115" xr:uid="{A0C7AB3D-47D2-4D01-A6F6-8F610BF1F50D}"/>
    <cellStyle name="Cálculo 14 2 2" xfId="1116" xr:uid="{95CFCC45-156B-4E8C-BF7E-5494CF977434}"/>
    <cellStyle name="Cálculo 14 3" xfId="1117" xr:uid="{930EE695-3CCA-4C3F-81D8-B9445F833E0F}"/>
    <cellStyle name="Cálculo 14 3 2" xfId="1118" xr:uid="{291B6180-6F4F-4FA3-B6DA-183EFC5A84DA}"/>
    <cellStyle name="Cálculo 14 3 3" xfId="1119" xr:uid="{42A42AA1-31F4-448F-80F1-3EB385F25288}"/>
    <cellStyle name="Cálculo 15" xfId="1120" xr:uid="{27715241-8DB4-4D1B-97D8-CC87921336D3}"/>
    <cellStyle name="Cálculo 15 2" xfId="1121" xr:uid="{A54B4C54-668C-440A-A1A8-9C4FC7CB090F}"/>
    <cellStyle name="Cálculo 15 2 2" xfId="1122" xr:uid="{54F4E294-FA0C-49E2-A2CD-51623FC62A51}"/>
    <cellStyle name="Cálculo 15 3" xfId="1123" xr:uid="{0F6257EF-3BE6-4A24-9837-6C2775A71DD5}"/>
    <cellStyle name="Cálculo 15 3 2" xfId="1124" xr:uid="{9E6B552B-0665-48E6-83B5-54F0C8B1043F}"/>
    <cellStyle name="Cálculo 15 3 3" xfId="1125" xr:uid="{9711CD35-7986-48E7-AB45-E21969E3FE62}"/>
    <cellStyle name="Cálculo 16" xfId="1126" xr:uid="{E84360AC-DAEE-4CB0-825E-EB5C997AA2C9}"/>
    <cellStyle name="Cálculo 16 2" xfId="1127" xr:uid="{48CFBAEF-0837-4599-8DD5-39D7F5630347}"/>
    <cellStyle name="Cálculo 16 2 2" xfId="1128" xr:uid="{F8644F1D-9942-4E63-BBE9-B8E1871D555B}"/>
    <cellStyle name="Cálculo 16 3" xfId="1129" xr:uid="{FF8F89EA-ED2A-4420-8797-132B7A612310}"/>
    <cellStyle name="Cálculo 16 3 2" xfId="1130" xr:uid="{C6FE9C88-6675-4E8C-99F0-C2A8BA570B83}"/>
    <cellStyle name="Cálculo 16 3 3" xfId="1131" xr:uid="{62FEB8DF-7320-4123-BC1E-B2285076581A}"/>
    <cellStyle name="Cálculo 17" xfId="1132" xr:uid="{4BBB5181-9048-48EE-A0A5-21B2891F0F39}"/>
    <cellStyle name="Cálculo 17 2" xfId="1133" xr:uid="{525BAFB2-77AF-467D-9ADC-CEC02F0358C5}"/>
    <cellStyle name="Cálculo 17 2 2" xfId="1134" xr:uid="{A89BC6E6-91A4-4CC4-B68D-FA060B9BAA40}"/>
    <cellStyle name="Cálculo 17 3" xfId="1135" xr:uid="{00D20CED-0416-4B9A-B057-D8E8D6060E95}"/>
    <cellStyle name="Cálculo 17 3 2" xfId="1136" xr:uid="{14749DF6-2ABD-42D5-B077-796F484B9053}"/>
    <cellStyle name="Cálculo 17 3 3" xfId="1137" xr:uid="{F2DDF1AD-F996-44CC-9E08-4C223A0B95C4}"/>
    <cellStyle name="Cálculo 18" xfId="1138" xr:uid="{32B3EB62-1B63-4992-8412-1832C0B75A50}"/>
    <cellStyle name="Cálculo 18 2" xfId="1139" xr:uid="{C91AF81D-C0BD-428C-B9DE-F42105B7DA22}"/>
    <cellStyle name="Cálculo 18 2 2" xfId="1140" xr:uid="{5346B65B-4517-4609-BDB4-34BA3DD7DD47}"/>
    <cellStyle name="Cálculo 18 3" xfId="1141" xr:uid="{B5A655B1-816A-4734-98EF-745684DD9F5D}"/>
    <cellStyle name="Cálculo 18 3 2" xfId="1142" xr:uid="{79BEB88E-F192-479A-8661-B4C779EFF080}"/>
    <cellStyle name="Cálculo 18 3 3" xfId="1143" xr:uid="{958995F6-5F1E-45F0-87FD-EB2316342C23}"/>
    <cellStyle name="Cálculo 19" xfId="1144" xr:uid="{89287B76-F6DA-432F-AC21-5F2131C824E5}"/>
    <cellStyle name="Cálculo 19 2" xfId="1145" xr:uid="{F3CD88A1-1325-4B11-B1D8-ED6E19543502}"/>
    <cellStyle name="Cálculo 19 2 2" xfId="1146" xr:uid="{AC52871D-2199-444A-889A-272A605A3406}"/>
    <cellStyle name="Cálculo 19 3" xfId="1147" xr:uid="{9769B17E-5022-4084-8DB2-4FD1374DCD43}"/>
    <cellStyle name="Cálculo 19 3 2" xfId="1148" xr:uid="{9B805FF4-BA69-43BE-81B2-A493BF1035DD}"/>
    <cellStyle name="Cálculo 19 3 3" xfId="1149" xr:uid="{C944630D-907E-4B58-8827-D433D770A163}"/>
    <cellStyle name="Cálculo 2" xfId="1150" xr:uid="{D5AE638E-1B77-4C8D-8E59-F8D9D6678676}"/>
    <cellStyle name="Cálculo 2 2" xfId="1151" xr:uid="{6AAE29CC-B47A-47FF-9DCE-A0028790A8A0}"/>
    <cellStyle name="Cálculo 2 2 2" xfId="1152" xr:uid="{FFBCCFA8-BEF3-4EF4-A07C-7CCA6F72DE1B}"/>
    <cellStyle name="Cálculo 2 2 2 2" xfId="1153" xr:uid="{54305EE3-3E5D-4BBE-9F33-80341F8E6258}"/>
    <cellStyle name="Cálculo 2 2 3" xfId="1154" xr:uid="{F574021C-55B4-416A-8D20-15A7975D4931}"/>
    <cellStyle name="Cálculo 2 2 3 2" xfId="1155" xr:uid="{4C2221B3-6D50-4E9B-A49F-38235FB74192}"/>
    <cellStyle name="Cálculo 2 2 3 3" xfId="1156" xr:uid="{ADEFCDBD-166F-4EDD-94A7-CE4938F82C59}"/>
    <cellStyle name="Cálculo 2 3" xfId="1157" xr:uid="{8804CDBA-7786-4F86-94D7-4A0EB741A7A7}"/>
    <cellStyle name="Cálculo 2 3 2" xfId="1158" xr:uid="{BFDE90BD-26A3-4AE8-B04B-F5A82135E366}"/>
    <cellStyle name="Cálculo 2 4" xfId="1159" xr:uid="{F9C9DC21-9264-4D8B-A2CF-456DD4FF56B2}"/>
    <cellStyle name="Cálculo 2 4 2" xfId="1160" xr:uid="{AE6B2379-6087-444C-BE82-5951EFC231BB}"/>
    <cellStyle name="Cálculo 2 4 3" xfId="1161" xr:uid="{CABC8467-3E70-4C09-9682-12EDA5808D43}"/>
    <cellStyle name="Cálculo 2 5" xfId="1162" xr:uid="{A26FE3DD-A9BD-4012-B349-8EFFF4882E43}"/>
    <cellStyle name="Cálculo 20" xfId="1163" xr:uid="{3C5E4D5A-28CE-4855-8482-530DEFF7B715}"/>
    <cellStyle name="Cálculo 20 2" xfId="1164" xr:uid="{EC253ADE-44D6-4E5B-BCE9-B48AFB64EAB1}"/>
    <cellStyle name="Cálculo 20 2 2" xfId="1165" xr:uid="{8CEE44D3-400B-41E1-AEB3-8A645F77A94F}"/>
    <cellStyle name="Cálculo 20 3" xfId="1166" xr:uid="{4A16073E-17CE-4C35-869A-CD3D9040BA9B}"/>
    <cellStyle name="Cálculo 20 3 2" xfId="1167" xr:uid="{DC07FB73-B87C-486B-AE8A-ED5954F0E325}"/>
    <cellStyle name="Cálculo 20 3 3" xfId="1168" xr:uid="{7B1B4C46-5213-4380-926E-D3E4C4CDD204}"/>
    <cellStyle name="Cálculo 21" xfId="1169" xr:uid="{0257A4DF-7DAE-4724-B34E-15BE03394285}"/>
    <cellStyle name="Cálculo 22" xfId="1170" xr:uid="{195C081A-CA64-4B02-8823-49B91464922F}"/>
    <cellStyle name="Cálculo 22 2" xfId="1171" xr:uid="{D56EF675-1BF0-453F-93AA-1185BBC11B81}"/>
    <cellStyle name="Cálculo 23" xfId="1172" xr:uid="{6FEFDF3E-91C9-4144-A699-765A5E2E394C}"/>
    <cellStyle name="Cálculo 23 2" xfId="1173" xr:uid="{95BC8774-9E98-4F01-82C5-4CBAD3114108}"/>
    <cellStyle name="Cálculo 23 3" xfId="1174" xr:uid="{77EB2ADC-E232-41AE-9089-643A8BA58B73}"/>
    <cellStyle name="Cálculo 24" xfId="1175" xr:uid="{1BF90717-E1ED-4CBA-862A-7F05B5119D62}"/>
    <cellStyle name="Cálculo 3" xfId="1176" xr:uid="{88755752-3457-4683-BEC4-14D374BF2A8C}"/>
    <cellStyle name="Cálculo 3 2" xfId="1177" xr:uid="{6BD79C3A-F886-43FD-8860-8326E03981D8}"/>
    <cellStyle name="Cálculo 3 2 2" xfId="1178" xr:uid="{74C59C40-39CE-44C4-906B-634DAF416F30}"/>
    <cellStyle name="Cálculo 3 3" xfId="1179" xr:uid="{63457809-A3E9-4957-BCDB-C1187375F43B}"/>
    <cellStyle name="Cálculo 3 3 2" xfId="1180" xr:uid="{12756FCA-FD7C-4048-BBDF-AB8F0F2CF10D}"/>
    <cellStyle name="Cálculo 3 3 3" xfId="1181" xr:uid="{615642A3-C27E-48F1-A825-67475E8693CC}"/>
    <cellStyle name="Cálculo 3 4" xfId="1182" xr:uid="{8BF3E3A3-B960-410A-A9E4-56F66930CB8E}"/>
    <cellStyle name="Cálculo 4" xfId="1183" xr:uid="{1054B9C8-6697-4BB2-A51E-C061E374995D}"/>
    <cellStyle name="Cálculo 4 2" xfId="1184" xr:uid="{F1D0B8B7-69F1-46DF-A48E-A8B33FDEF318}"/>
    <cellStyle name="Cálculo 4 2 2" xfId="1185" xr:uid="{D1A5CAAB-5B5E-467D-B9B8-DC1E0DCBA2E8}"/>
    <cellStyle name="Cálculo 4 3" xfId="1186" xr:uid="{FF5C4904-6643-4B57-ABCA-C2EF96BF93BB}"/>
    <cellStyle name="Cálculo 4 3 2" xfId="1187" xr:uid="{83EC6579-DA75-41B0-B040-970CCF9F4356}"/>
    <cellStyle name="Cálculo 4 3 3" xfId="1188" xr:uid="{D7E83A8D-A8A6-4E52-ABD4-26BC192F49D4}"/>
    <cellStyle name="Cálculo 5" xfId="1189" xr:uid="{932DACBB-3C1C-4E80-9AF9-C6E1BFCAA6E2}"/>
    <cellStyle name="Cálculo 5 2" xfId="1190" xr:uid="{260D1C47-E950-4BD4-A229-D32895AA33A8}"/>
    <cellStyle name="Cálculo 5 2 2" xfId="1191" xr:uid="{9924F38A-23F2-44BE-A4D8-A4B4E7FAB3B1}"/>
    <cellStyle name="Cálculo 5 3" xfId="1192" xr:uid="{7ECD2801-AB52-44D5-9A3F-DDE972AA7126}"/>
    <cellStyle name="Cálculo 5 3 2" xfId="1193" xr:uid="{701B0B9F-CAF2-4D26-B455-BC66E2D55A0B}"/>
    <cellStyle name="Cálculo 5 3 3" xfId="1194" xr:uid="{5BBDCF48-8F23-4349-9403-F1A05FE5B59D}"/>
    <cellStyle name="Cálculo 6" xfId="1195" xr:uid="{585216B4-FB5A-4C44-AC18-56758C56448A}"/>
    <cellStyle name="Cálculo 6 2" xfId="1196" xr:uid="{F86284DE-2ECE-4F6B-80EB-2A60504D8BE1}"/>
    <cellStyle name="Cálculo 6 2 2" xfId="1197" xr:uid="{BBB93EBC-A75B-4A33-B675-1019F68D3B7D}"/>
    <cellStyle name="Cálculo 6 3" xfId="1198" xr:uid="{1EE7C161-1327-44FD-B207-73227BE9F8AF}"/>
    <cellStyle name="Cálculo 6 3 2" xfId="1199" xr:uid="{EDCEB0A6-AE1B-4FF3-AC0A-B492A203C1EA}"/>
    <cellStyle name="Cálculo 6 3 3" xfId="1200" xr:uid="{9C3F20C7-E25A-4321-AEE5-D48D82200683}"/>
    <cellStyle name="Cálculo 7" xfId="1201" xr:uid="{5CBC46C2-5344-4FAA-87C6-E6436B22CDA8}"/>
    <cellStyle name="Cálculo 7 2" xfId="1202" xr:uid="{CB6C2DAB-A6D4-4749-B1E0-2EB338F4FCC0}"/>
    <cellStyle name="Cálculo 7 2 2" xfId="1203" xr:uid="{CD506BB4-42BE-4CD6-8ABF-932D7EC0C2EA}"/>
    <cellStyle name="Cálculo 7 3" xfId="1204" xr:uid="{CEC04922-2116-431C-8581-EF1A00488F8A}"/>
    <cellStyle name="Cálculo 7 3 2" xfId="1205" xr:uid="{08A27C82-6646-4815-B7BA-F2F94368C72B}"/>
    <cellStyle name="Cálculo 7 3 3" xfId="1206" xr:uid="{17E40E4C-9AA4-42E9-982F-6BAD313C3B7B}"/>
    <cellStyle name="Cálculo 8" xfId="1207" xr:uid="{3F26D650-2B56-405E-A7D0-2CBF71EC5334}"/>
    <cellStyle name="Cálculo 8 2" xfId="1208" xr:uid="{2569E8D2-AFCD-45A8-8132-AD751BA12EC8}"/>
    <cellStyle name="Cálculo 8 2 2" xfId="1209" xr:uid="{71C23E82-A74D-4183-925F-DEB4315CC546}"/>
    <cellStyle name="Cálculo 8 3" xfId="1210" xr:uid="{BC57955F-5ED4-49D9-AC39-D9EAB9DD29F6}"/>
    <cellStyle name="Cálculo 8 3 2" xfId="1211" xr:uid="{1A111D8C-826D-4A6E-8697-B93D9E19F9D2}"/>
    <cellStyle name="Cálculo 8 3 3" xfId="1212" xr:uid="{E5CF39B9-A2A2-4EA1-83A6-39395BA3DF7A}"/>
    <cellStyle name="Cálculo 9" xfId="1213" xr:uid="{F6AF03B3-79F8-437E-BFE2-3F92EFD9F734}"/>
    <cellStyle name="Cálculo 9 2" xfId="1214" xr:uid="{4DE4EF24-D4E9-417E-8CD1-9FBCBFD3B047}"/>
    <cellStyle name="Cálculo 9 2 2" xfId="1215" xr:uid="{EB3C9AED-91F2-4608-86CE-2C75FA979C58}"/>
    <cellStyle name="Cálculo 9 3" xfId="1216" xr:uid="{17119295-9FEE-43E0-92DB-3E4446C74035}"/>
    <cellStyle name="Cálculo 9 3 2" xfId="1217" xr:uid="{3472DB11-DC8E-48A6-ACC9-CD3BAFCDEE1C}"/>
    <cellStyle name="Cálculo 9 3 3" xfId="1218" xr:uid="{30EC2345-8447-4B76-BEAF-1E7988C61EA3}"/>
    <cellStyle name="Celda de comprobación 10" xfId="1219" xr:uid="{C459E58F-7091-44B3-8B6C-BDC2D0E16497}"/>
    <cellStyle name="Celda de comprobación 11" xfId="1220" xr:uid="{07EDC732-2BCB-4B4B-ABE4-5A8CA600C154}"/>
    <cellStyle name="Celda de comprobación 12" xfId="1221" xr:uid="{357A3455-2E87-4BAC-8153-88B9E0FD8286}"/>
    <cellStyle name="Celda de comprobación 13" xfId="1222" xr:uid="{497E8F29-7855-4256-B939-4CA43A0CAB4D}"/>
    <cellStyle name="Celda de comprobación 14" xfId="1223" xr:uid="{B4D4B2C6-B18C-4355-A414-92FC53A3D507}"/>
    <cellStyle name="Celda de comprobación 15" xfId="1224" xr:uid="{7150A6D8-513F-4780-BD9C-9B616112359F}"/>
    <cellStyle name="Celda de comprobación 16" xfId="1225" xr:uid="{4CE504EC-1381-43A7-A8B4-97DFCFE8EB0F}"/>
    <cellStyle name="Celda de comprobación 17" xfId="1226" xr:uid="{E077EA68-6969-4ED1-9D79-D9F333967A7D}"/>
    <cellStyle name="Celda de comprobación 18" xfId="1227" xr:uid="{35B7ACEE-298A-4B8E-81F4-9BC3953A57D0}"/>
    <cellStyle name="Celda de comprobación 19" xfId="1228" xr:uid="{C2F55F44-3788-4E7D-88CD-3895DBC6C1BB}"/>
    <cellStyle name="Celda de comprobación 2" xfId="1229" xr:uid="{F85812E4-7A41-414B-B917-A327712F781E}"/>
    <cellStyle name="Celda de comprobación 2 2" xfId="1230" xr:uid="{5554A8FA-20D0-4F47-8F83-AD27EAF552A8}"/>
    <cellStyle name="Celda de comprobación 20" xfId="1231" xr:uid="{019F7ECD-A039-4D31-ACE1-F3B75CB75444}"/>
    <cellStyle name="Celda de comprobación 21" xfId="1232" xr:uid="{92747B88-3D41-4F88-AE5E-06923507A359}"/>
    <cellStyle name="Celda de comprobación 22" xfId="1233" xr:uid="{63BC1AD6-A3B0-4235-B996-038646E09AEE}"/>
    <cellStyle name="Celda de comprobación 3" xfId="1234" xr:uid="{7AE6253C-8178-434D-8127-F7EE254EEAC6}"/>
    <cellStyle name="Celda de comprobación 3 2" xfId="1235" xr:uid="{E7A0D80D-48B4-4493-81ED-6A674C5930E9}"/>
    <cellStyle name="Celda de comprobación 4" xfId="1236" xr:uid="{88B0AD0C-F73B-4C54-BDF4-59DFD2CDA684}"/>
    <cellStyle name="Celda de comprobación 5" xfId="1237" xr:uid="{CD7A6D7B-49B0-4925-9667-F0AADEAB72B0}"/>
    <cellStyle name="Celda de comprobación 6" xfId="1238" xr:uid="{6AE3EFC3-7770-4B77-A446-FB587BEA3CE3}"/>
    <cellStyle name="Celda de comprobación 7" xfId="1239" xr:uid="{ACFF3C4B-5479-4898-810D-60E20312028F}"/>
    <cellStyle name="Celda de comprobación 8" xfId="1240" xr:uid="{935355B5-FCEA-45B8-B597-E4AD17FAB3F1}"/>
    <cellStyle name="Celda de comprobación 9" xfId="1241" xr:uid="{1840C756-26DB-4C4C-BB5F-83E5A6654D5A}"/>
    <cellStyle name="Celda vinculada 10" xfId="1242" xr:uid="{02120327-8E7D-4C45-B3C0-5576B2D8EACB}"/>
    <cellStyle name="Celda vinculada 11" xfId="1243" xr:uid="{46BF865D-B2C9-43DC-BEBB-8197B845C965}"/>
    <cellStyle name="Celda vinculada 12" xfId="1244" xr:uid="{9B839B68-14FA-44C1-BDC5-6FB58FCEC5EC}"/>
    <cellStyle name="Celda vinculada 13" xfId="1245" xr:uid="{CBC466E6-5435-4344-B27F-02A4A99ACE5F}"/>
    <cellStyle name="Celda vinculada 14" xfId="1246" xr:uid="{04F48306-C118-4F1C-BCC2-8F860C9FC6BF}"/>
    <cellStyle name="Celda vinculada 15" xfId="1247" xr:uid="{97038D55-8FBA-4D4C-BAEE-69143D7A201E}"/>
    <cellStyle name="Celda vinculada 16" xfId="1248" xr:uid="{2F096CC3-0D14-4583-9A96-E22E554569DC}"/>
    <cellStyle name="Celda vinculada 17" xfId="1249" xr:uid="{FF81630F-4EFB-4A4B-B54D-508009F310F4}"/>
    <cellStyle name="Celda vinculada 18" xfId="1250" xr:uid="{6C84C2FC-7792-439D-B2D9-5B0D35A7B028}"/>
    <cellStyle name="Celda vinculada 19" xfId="1251" xr:uid="{42181B78-13D9-4EA7-9F1A-875D2B0FD087}"/>
    <cellStyle name="Celda vinculada 2" xfId="1252" xr:uid="{06FAADC1-47C6-46F2-A8D5-DC7DF4CA658D}"/>
    <cellStyle name="Celda vinculada 2 2" xfId="1253" xr:uid="{3568E491-2C8F-48DA-B352-221CAE3B560E}"/>
    <cellStyle name="Celda vinculada 20" xfId="1254" xr:uid="{23DF393C-1F0C-48F9-95F4-D9BCE983B64D}"/>
    <cellStyle name="Celda vinculada 21" xfId="1255" xr:uid="{9F00A3C9-2D6C-4EB8-AB10-FFF2913A927C}"/>
    <cellStyle name="Celda vinculada 22" xfId="1256" xr:uid="{7FADCBCE-7E9D-4F26-BDFD-37359299D3F8}"/>
    <cellStyle name="Celda vinculada 23" xfId="1257" xr:uid="{7661AA9E-8083-4BA3-A046-EAB06C34A431}"/>
    <cellStyle name="Celda vinculada 3" xfId="1258" xr:uid="{A7339B5E-07DF-4B7F-A02C-2E937BF30DE1}"/>
    <cellStyle name="Celda vinculada 3 2" xfId="1259" xr:uid="{4CA58AB9-E714-47EB-87ED-559BDAD88165}"/>
    <cellStyle name="Celda vinculada 4" xfId="1260" xr:uid="{100C1628-BC1E-45B1-B786-FE954F44F6E1}"/>
    <cellStyle name="Celda vinculada 5" xfId="1261" xr:uid="{F2812FA4-3900-4AC4-A0C4-080B34DDFD50}"/>
    <cellStyle name="Celda vinculada 6" xfId="1262" xr:uid="{C6B0533C-5661-4DBC-BB0E-BA691E41A12D}"/>
    <cellStyle name="Celda vinculada 7" xfId="1263" xr:uid="{BEE65B1A-0BBD-4977-AEB9-C7625838164E}"/>
    <cellStyle name="Celda vinculada 8" xfId="1264" xr:uid="{807B2B24-2D20-4E8B-A79C-83CA2ADF25A1}"/>
    <cellStyle name="Celda vinculada 9" xfId="1265" xr:uid="{680FD72F-7D92-40BD-80F1-85C0F6CF6380}"/>
    <cellStyle name="Check Cell" xfId="419" builtinId="23" customBuiltin="1"/>
    <cellStyle name="Check Cell 2" xfId="473" xr:uid="{36274975-AF5E-4CF4-AACB-BDE7C72F7425}"/>
    <cellStyle name="Check Cell 2 2" xfId="1266" xr:uid="{296DFC66-7084-4005-95CB-D9B65644DFC0}"/>
    <cellStyle name="Comma" xfId="1" builtinId="3"/>
    <cellStyle name="Comma [0] 2" xfId="378" xr:uid="{4932F7D6-09A8-4C55-ACC6-F2ED2051CD60}"/>
    <cellStyle name="Comma [0] 2 2" xfId="403" xr:uid="{D1BCDBBA-DBCC-4903-873C-4420E5A1F10D}"/>
    <cellStyle name="Comma [0] 2 3" xfId="4455" xr:uid="{3B0EB3AE-B961-41C9-82EE-1D938F5BF5FA}"/>
    <cellStyle name="Comma 10" xfId="383" xr:uid="{95490331-75D3-4964-A3AD-E444F22F1957}"/>
    <cellStyle name="Comma 10 2" xfId="407" xr:uid="{1FC5FA24-C220-4CD3-955F-F27A15B52471}"/>
    <cellStyle name="Comma 11" xfId="381" xr:uid="{55DD3A23-1744-4E96-B513-FA13EFA5C127}"/>
    <cellStyle name="Comma 11 2" xfId="406" xr:uid="{3BD0F1F5-2344-435A-A6E2-A4EA0D77EC18}"/>
    <cellStyle name="Comma 12" xfId="385" xr:uid="{1733D4B4-D93D-4B3C-A1C1-26F0B8922418}"/>
    <cellStyle name="Comma 12 2" xfId="408" xr:uid="{52A4CF1B-2CFD-4051-B2BB-2AE8BEB202D6}"/>
    <cellStyle name="Comma 13" xfId="11" xr:uid="{C0EEA05B-4A76-445D-BC9C-86DEB9952EE6}"/>
    <cellStyle name="Comma 14" xfId="388" xr:uid="{94E438BC-6DBC-4CB3-BC36-182E2907627D}"/>
    <cellStyle name="Comma 15" xfId="444" xr:uid="{8DF00415-C933-4296-A959-A6B2E3F5D27C}"/>
    <cellStyle name="Comma 2" xfId="15" xr:uid="{7D69796E-782A-4C44-885E-84E468117ED8}"/>
    <cellStyle name="Comma 2 2" xfId="361" xr:uid="{E27D96E8-AA1B-4C6C-B961-79EF7F1E8DCE}"/>
    <cellStyle name="Comma 2 2 2" xfId="394" xr:uid="{44497A47-1449-4D0A-A66D-7F7629CE5146}"/>
    <cellStyle name="Comma 2 2 2 2" xfId="449" xr:uid="{3006E2B4-BB09-4288-B9EE-F009B1A19C48}"/>
    <cellStyle name="Comma 2 2 3" xfId="458" xr:uid="{E9C15656-276A-40EB-A3A3-7575A34056EC}"/>
    <cellStyle name="Comma 2 2 4" xfId="503" xr:uid="{A5E320ED-79EE-49CA-9A33-4064ED7BC3DD}"/>
    <cellStyle name="Comma 2 2 5" xfId="446" xr:uid="{231C9C98-8C74-476C-979D-851516A645BD}"/>
    <cellStyle name="Comma 2 3" xfId="390" xr:uid="{2AB8A735-E8CD-4BF5-BE2E-3C808D03EDBC}"/>
    <cellStyle name="Comma 2 3 2" xfId="459" xr:uid="{69BBC523-1FEF-4729-B861-F6CFDA9830CB}"/>
    <cellStyle name="Comma 2 3 3" xfId="504" xr:uid="{FBC764B0-80B8-446A-89A7-1C15271C2C56}"/>
    <cellStyle name="Comma 2 3 4" xfId="1269" xr:uid="{66B0EB97-0EA2-4D9F-B287-2035204B532D}"/>
    <cellStyle name="Comma 2 3 5" xfId="448" xr:uid="{FA977250-1E1E-4383-A76E-779A9332F21E}"/>
    <cellStyle name="Comma 2 4" xfId="455" xr:uid="{D0192D82-8462-492D-89C2-4E80879ECEFD}"/>
    <cellStyle name="Comma 2 4 2" xfId="1271" xr:uid="{E584D510-A67A-454D-9689-A901AF0EEDE6}"/>
    <cellStyle name="Comma 2 4 3" xfId="1270" xr:uid="{782CCF1D-5F11-4371-B25B-6D456F47E603}"/>
    <cellStyle name="Comma 2 5" xfId="502" xr:uid="{1BAEC44D-2202-4A1B-9AA4-CEA82A391A23}"/>
    <cellStyle name="Comma 2 5 2" xfId="1273" xr:uid="{CFACE9FE-BA57-4760-AEF4-C32C5C2AD761}"/>
    <cellStyle name="Comma 2 5 3" xfId="1274" xr:uid="{9E5B77A7-A698-41A0-9847-6195FB8792A2}"/>
    <cellStyle name="Comma 2 5 4" xfId="1272" xr:uid="{1D6BF421-5196-48EF-9074-605C18BC5CDD}"/>
    <cellStyle name="Comma 2 6" xfId="1275" xr:uid="{89724D17-7A9A-4E49-A982-B33F49F24E4D}"/>
    <cellStyle name="Comma 2 6 2" xfId="1276" xr:uid="{675BF6AF-85BF-4E7C-924E-109743C83541}"/>
    <cellStyle name="Comma 2 6 3" xfId="1277" xr:uid="{4A51999B-A2A7-475B-8D65-D9F27E32ED2F}"/>
    <cellStyle name="Comma 2 7" xfId="1278" xr:uid="{D28AE929-9E4B-4ED5-BEEC-E82322F54ED2}"/>
    <cellStyle name="Comma 2 8" xfId="1268" xr:uid="{3BCB67C8-9B2D-4E12-8077-CB167E88F78A}"/>
    <cellStyle name="Comma 2 9" xfId="445" xr:uid="{212B466E-C4B6-4169-95D1-055FC161FBDF}"/>
    <cellStyle name="Comma 3" xfId="358" xr:uid="{11EE4373-645E-4E0D-95C8-A2A74EC7CFA0}"/>
    <cellStyle name="Comma 3 2" xfId="362" xr:uid="{AABF571A-1D0D-4FBF-8E53-1902B124DF52}"/>
    <cellStyle name="Comma 3 2 2" xfId="395" xr:uid="{3379E9C0-E2D5-471F-A933-3192C23030E4}"/>
    <cellStyle name="Comma 3 2 3" xfId="460" xr:uid="{F647C34A-5213-400E-8295-E927C14FE9A4}"/>
    <cellStyle name="Comma 3 3" xfId="391" xr:uid="{D15551BF-A6E6-4710-9999-F07ABBA6C61D}"/>
    <cellStyle name="Comma 3 3 2" xfId="505" xr:uid="{572CEE58-BA39-4364-A3FE-127496A915D7}"/>
    <cellStyle name="Comma 3 4" xfId="1279" xr:uid="{336FF8E7-A653-4F53-A830-21869E868679}"/>
    <cellStyle name="Comma 3 5" xfId="447" xr:uid="{F59E9E64-D809-4325-82DE-CF79F7973E0E}"/>
    <cellStyle name="Comma 4" xfId="359" xr:uid="{B7314BB5-E34F-41E9-AB82-1F73F7167DB2}"/>
    <cellStyle name="Comma 4 2" xfId="363" xr:uid="{EFEF5B22-245F-418C-BD8A-0D17B991960A}"/>
    <cellStyle name="Comma 4 2 2" xfId="396" xr:uid="{E35CD5F8-FF4B-42E9-B4B4-8E2D1428D2EF}"/>
    <cellStyle name="Comma 4 2 3" xfId="506" xr:uid="{116C6297-0314-4642-A069-111BF71B53F4}"/>
    <cellStyle name="Comma 4 3" xfId="392" xr:uid="{78A88E73-0461-49EA-A925-7522A2012645}"/>
    <cellStyle name="Comma 4 3 2" xfId="1280" xr:uid="{F08B64E3-4277-429A-8A98-B6BCFDE92974}"/>
    <cellStyle name="Comma 4 3 3" xfId="4451" xr:uid="{19ADF214-EC25-47D9-A871-C110B970D56B}"/>
    <cellStyle name="Comma 4 4" xfId="500" xr:uid="{E006769C-0664-431D-9193-613AD4743B94}"/>
    <cellStyle name="Comma 5" xfId="360" xr:uid="{D6F42450-2F7B-4DD0-9E73-F19AC2220017}"/>
    <cellStyle name="Comma 5 2" xfId="377" xr:uid="{900018B5-13FD-4556-990C-BB032A77E62C}"/>
    <cellStyle name="Comma 5 2 2" xfId="402" xr:uid="{E7AB8C59-39E2-46A6-AC69-F5382A524C97}"/>
    <cellStyle name="Comma 5 2 3" xfId="501" xr:uid="{164BFAC7-E965-4121-BDD4-2BD2FA7CD0DC}"/>
    <cellStyle name="Comma 5 2 4" xfId="4454" xr:uid="{5F2D24CB-64F2-451D-802F-177CE634827F}"/>
    <cellStyle name="Comma 5 3" xfId="393" xr:uid="{29B61665-77AC-45B3-9317-AC0AF0969682}"/>
    <cellStyle name="Comma 5 3 2" xfId="1281" xr:uid="{DC713623-9138-407D-B968-6AEAE666C2E3}"/>
    <cellStyle name="Comma 5 4" xfId="450" xr:uid="{441622FE-AFB8-4158-B3C3-90717ABD4796}"/>
    <cellStyle name="Comma 6" xfId="14" xr:uid="{70997F2D-E297-4A2F-846E-DFBD47D17F92}"/>
    <cellStyle name="Comma 6 2" xfId="380" xr:uid="{545E2644-51E8-4B82-97CB-950FAE4A212D}"/>
    <cellStyle name="Comma 6 2 2" xfId="405" xr:uid="{EFFCE8FB-1659-4CEC-A297-1C3F281C5042}"/>
    <cellStyle name="Comma 6 3" xfId="389" xr:uid="{E3FFC10C-2A16-44CC-89D7-E4F239368EA8}"/>
    <cellStyle name="Comma 6 4" xfId="1282" xr:uid="{D0D3515D-3D31-47EC-8461-301313DBA31D}"/>
    <cellStyle name="Comma 6 5" xfId="4457" xr:uid="{CC6C0C40-D9D7-443A-8EA0-475F051DAA8C}"/>
    <cellStyle name="Comma 7" xfId="366" xr:uid="{64A70B5C-CAD3-495C-8AEC-06F9AA00F6FD}"/>
    <cellStyle name="Comma 7 2" xfId="397" xr:uid="{359A9EC6-DCF8-447B-ACB2-F54F94E149D4}"/>
    <cellStyle name="Comma 7 3" xfId="1267" xr:uid="{0411C851-21CB-46B3-BA88-CB9EE26E2B87}"/>
    <cellStyle name="Comma 7 4" xfId="4450" xr:uid="{7D61D2CE-8729-4100-928C-5436CD108222}"/>
    <cellStyle name="Comma 8" xfId="369" xr:uid="{50F93C5F-A00E-4875-842B-5F9EB94C1C32}"/>
    <cellStyle name="Comma 8 2" xfId="398" xr:uid="{8D51A6B1-B8F9-44DA-8DAB-7BBE6501E013}"/>
    <cellStyle name="Comma 9" xfId="373" xr:uid="{06728069-2C5D-4062-8565-CB33F42009D0}"/>
    <cellStyle name="Comma 9 2" xfId="399" xr:uid="{20156901-170C-42C8-B67F-07FD801A120B}"/>
    <cellStyle name="Comma0" xfId="1283" xr:uid="{CD8BE9BE-E3AD-4DB7-AFD8-705A83664CE5}"/>
    <cellStyle name="Currency [0] 2" xfId="376" xr:uid="{D7E1E306-E38F-4640-B459-51A768778B0B}"/>
    <cellStyle name="Currency [0] 2 2" xfId="401" xr:uid="{54AB1091-8550-4F7D-8649-AC59A9AF4CE6}"/>
    <cellStyle name="Currency [0] 2 3" xfId="4453" xr:uid="{BB30A121-5FA5-4298-AEC5-6EFBCBE40A9E}"/>
    <cellStyle name="Currency 2" xfId="16" xr:uid="{914BEF38-2131-4568-83C2-C105EEF7407E}"/>
    <cellStyle name="Currency 2 2" xfId="17" xr:uid="{0A22629B-E669-4B72-AF7E-C00C6104F868}"/>
    <cellStyle name="Currency 2 3" xfId="375" xr:uid="{D1DED8F6-341B-408C-86C5-CB8F0E3130F2}"/>
    <cellStyle name="Currency 2 3 2" xfId="400" xr:uid="{017C1AF9-6530-4CE0-B637-27A8B09F91C6}"/>
    <cellStyle name="Currency 2 3 3" xfId="4452" xr:uid="{80FB58DA-EC9A-44DE-A87D-3EB3D54C09F5}"/>
    <cellStyle name="Currency 2 4" xfId="1284" xr:uid="{34D8F405-FEA6-49F0-8801-881E447720A7}"/>
    <cellStyle name="Currency 3" xfId="18" xr:uid="{7E49B3E3-E1C2-430F-A191-6BAF5217B301}"/>
    <cellStyle name="Currency 3 2" xfId="379" xr:uid="{BD01141C-09C4-420E-8C3E-502D62281E7E}"/>
    <cellStyle name="Currency 3 2 2" xfId="404" xr:uid="{52E2584B-2D81-413F-A13A-4249E375980D}"/>
    <cellStyle name="Currency 3 2 3" xfId="4456" xr:uid="{7F140104-84D6-43BB-9EE1-57D35E3CC8F3}"/>
    <cellStyle name="Currency 4" xfId="19" xr:uid="{CCD152D9-2076-4235-A301-5067BCB9BA8C}"/>
    <cellStyle name="Currency 4 2" xfId="20" xr:uid="{A00959BD-19A1-49B9-9CDA-D01AF2D7E432}"/>
    <cellStyle name="Currency 4 3" xfId="21" xr:uid="{0403CC0B-98D3-45E5-8735-B1E9BBBB83B5}"/>
    <cellStyle name="Currency0" xfId="1285" xr:uid="{E7944BBC-59EB-4F4D-8592-DF11F7FB1068}"/>
    <cellStyle name="Date" xfId="1286" xr:uid="{35EAC10B-EF99-4395-92ED-9F0DD06B0EE0}"/>
    <cellStyle name="Date 2" xfId="1287" xr:uid="{41FEAF35-C3FD-41F7-838D-72871B402888}"/>
    <cellStyle name="Dia" xfId="1288" xr:uid="{72706E27-7396-4182-B8BA-639368FF67D1}"/>
    <cellStyle name="Encabez1" xfId="1289" xr:uid="{CD27E56E-99E4-4DE0-BD6A-90746BE9154C}"/>
    <cellStyle name="Encabez2" xfId="1290" xr:uid="{7A76732E-F6A8-437A-9360-260AFB27CA59}"/>
    <cellStyle name="Encabezado 4 10" xfId="1291" xr:uid="{C8FB5761-20FA-4473-907A-D150F6745AAD}"/>
    <cellStyle name="Encabezado 4 11" xfId="1292" xr:uid="{9EE6FDFA-73A8-436A-BD8A-C30AC81C77DF}"/>
    <cellStyle name="Encabezado 4 12" xfId="1293" xr:uid="{E65278C1-7BB9-47DB-BC39-E1ECDA1210FB}"/>
    <cellStyle name="Encabezado 4 13" xfId="1294" xr:uid="{5B5117A8-C711-4770-AA05-4F8735E43029}"/>
    <cellStyle name="Encabezado 4 14" xfId="1295" xr:uid="{4670C5AB-714D-4429-942E-74D9C4043CCE}"/>
    <cellStyle name="Encabezado 4 15" xfId="1296" xr:uid="{4B454472-8ED3-4786-B0B8-ACD7025EF68E}"/>
    <cellStyle name="Encabezado 4 16" xfId="1297" xr:uid="{BDF1EC2C-0416-4A72-B36D-96BD6452D3DE}"/>
    <cellStyle name="Encabezado 4 17" xfId="1298" xr:uid="{95BA7D88-0ED8-4620-8BC7-D12AAEB757E0}"/>
    <cellStyle name="Encabezado 4 18" xfId="1299" xr:uid="{88923405-5E3A-4FE3-98D3-2CAA386573F6}"/>
    <cellStyle name="Encabezado 4 19" xfId="1300" xr:uid="{1FA2F8F1-81A3-43BE-8F7D-7ECE0831E365}"/>
    <cellStyle name="Encabezado 4 2" xfId="1301" xr:uid="{015F1D42-7ED2-470D-8A1B-EBCF329266CE}"/>
    <cellStyle name="Encabezado 4 2 2" xfId="1302" xr:uid="{4F745D36-0259-477D-9ADC-54334D352626}"/>
    <cellStyle name="Encabezado 4 20" xfId="1303" xr:uid="{A8AD5198-3105-4078-938E-6044665BAC66}"/>
    <cellStyle name="Encabezado 4 21" xfId="1304" xr:uid="{802D09D9-BAF1-4D81-BB2F-58F776E3E581}"/>
    <cellStyle name="Encabezado 4 22" xfId="1305" xr:uid="{4738F891-5061-4D40-B088-2582978EFFB0}"/>
    <cellStyle name="Encabezado 4 23" xfId="1306" xr:uid="{09ECA5D8-627F-49B8-B26D-9D28FA6B5D92}"/>
    <cellStyle name="Encabezado 4 24" xfId="1307" xr:uid="{3F53F495-AF20-4D9E-BD18-912A7AA9AFD9}"/>
    <cellStyle name="Encabezado 4 3" xfId="1308" xr:uid="{4950BE39-1468-44EB-9EC2-4B2177DBA153}"/>
    <cellStyle name="Encabezado 4 3 2" xfId="1309" xr:uid="{4BAA039D-A191-495F-B443-9114790C6D18}"/>
    <cellStyle name="Encabezado 4 4" xfId="1310" xr:uid="{1AD97BA8-2FC1-4FF1-A22B-6CAB9D3AA5B8}"/>
    <cellStyle name="Encabezado 4 5" xfId="1311" xr:uid="{75BAF81F-CC42-4480-A058-3F4732E9095C}"/>
    <cellStyle name="Encabezado 4 6" xfId="1312" xr:uid="{9E85948E-1AC2-42DC-B5CF-82015A6DB50C}"/>
    <cellStyle name="Encabezado 4 7" xfId="1313" xr:uid="{B14CD225-CA13-4AAD-A0C2-AEDC26157A25}"/>
    <cellStyle name="Encabezado 4 8" xfId="1314" xr:uid="{D4F91225-0115-4B30-A792-7B49A0445EF0}"/>
    <cellStyle name="Encabezado 4 9" xfId="1315" xr:uid="{D856C467-1CDE-4A61-B6CA-46D4FD46B595}"/>
    <cellStyle name="Énfasis1 10" xfId="1316" xr:uid="{F8083A27-B655-48F2-A5BC-BCFBE2F4FB0F}"/>
    <cellStyle name="Énfasis1 11" xfId="1317" xr:uid="{03759062-5428-4B55-9AC2-18A0BED4770A}"/>
    <cellStyle name="Énfasis1 12" xfId="1318" xr:uid="{29A3BA01-5E0F-4DB9-8FB7-99B00CFE31E9}"/>
    <cellStyle name="Énfasis1 13" xfId="1319" xr:uid="{78237E1A-1B32-4A30-91DC-ABB21CBF8B34}"/>
    <cellStyle name="Énfasis1 14" xfId="1320" xr:uid="{39CB941D-FA04-4FE1-BAEA-E83E39230BB1}"/>
    <cellStyle name="Énfasis1 15" xfId="1321" xr:uid="{3A7C0A95-9E94-445D-A9B2-F5B6ED7E1B11}"/>
    <cellStyle name="Énfasis1 16" xfId="1322" xr:uid="{C0425AB0-8590-4EBF-9BE8-08C90E9F83EE}"/>
    <cellStyle name="Énfasis1 17" xfId="1323" xr:uid="{CC4AB1C8-7F25-4AE0-BD71-F7AA426AE2E2}"/>
    <cellStyle name="Énfasis1 18" xfId="1324" xr:uid="{3330734D-849C-43C7-B293-5C851FEED0F3}"/>
    <cellStyle name="Énfasis1 19" xfId="1325" xr:uid="{1143C082-44EE-40D3-9EFC-F97B654F79EE}"/>
    <cellStyle name="Énfasis1 2" xfId="1326" xr:uid="{8039F584-1DB8-4881-8BE1-19973415E6A5}"/>
    <cellStyle name="Énfasis1 2 2" xfId="1327" xr:uid="{57A454FA-C9C1-48AA-A0A7-E55FBE0DF196}"/>
    <cellStyle name="Énfasis1 20" xfId="1328" xr:uid="{7221D9E8-B654-41EF-A1A1-5C06FDB24B73}"/>
    <cellStyle name="Énfasis1 21" xfId="1329" xr:uid="{DC718E06-43BD-4487-908E-72A854703C03}"/>
    <cellStyle name="Énfasis1 22" xfId="1330" xr:uid="{33D054C7-8C43-4BF4-B7F6-C4F64ABB9EA8}"/>
    <cellStyle name="Énfasis1 23" xfId="1331" xr:uid="{59E6EFD1-5A45-433F-A16E-AA056A186052}"/>
    <cellStyle name="Énfasis1 3" xfId="1332" xr:uid="{49D9B3AF-C7DC-44ED-9861-EA31F0391150}"/>
    <cellStyle name="Énfasis1 3 2" xfId="1333" xr:uid="{CA878F20-2A1F-4A7D-B4E1-F92E12EEAFEE}"/>
    <cellStyle name="Énfasis1 4" xfId="1334" xr:uid="{C9B3F14F-9573-4DDA-8E40-9A49A7F913B5}"/>
    <cellStyle name="Énfasis1 5" xfId="1335" xr:uid="{C562E963-7D04-41CD-878F-35AECDFB603C}"/>
    <cellStyle name="Énfasis1 6" xfId="1336" xr:uid="{9587AF58-CBA1-4FAA-9E4E-658BB677EE8B}"/>
    <cellStyle name="Énfasis1 7" xfId="1337" xr:uid="{B8361E64-E24B-4F07-A07B-5E7EB40AE250}"/>
    <cellStyle name="Énfasis1 8" xfId="1338" xr:uid="{B796E2A6-1AC3-4A63-8516-D0CEE4D9B0D1}"/>
    <cellStyle name="Énfasis1 9" xfId="1339" xr:uid="{D1FAD1F1-1539-44F9-944D-C2058B479A7B}"/>
    <cellStyle name="Énfasis2 2" xfId="1340" xr:uid="{AA18EEC5-4DBE-4865-9D8B-E028FE9371BF}"/>
    <cellStyle name="Énfasis2 2 2" xfId="1341" xr:uid="{4F0E2270-FDB5-4F7D-802D-9A048E2C5A93}"/>
    <cellStyle name="Énfasis2 3" xfId="1342" xr:uid="{1E5BA9CD-41A4-4393-AB4A-62D30CFBF4AB}"/>
    <cellStyle name="Énfasis2 3 2" xfId="1343" xr:uid="{D0DBC3CC-0183-4FD4-A628-F52DB1691F5F}"/>
    <cellStyle name="Énfasis2 4" xfId="1344" xr:uid="{DD1E3C95-2C91-46B8-B768-47C8BBE8C747}"/>
    <cellStyle name="Énfasis3 10" xfId="1345" xr:uid="{30AC4334-8A28-44FF-8E47-12A7FE05E055}"/>
    <cellStyle name="Énfasis3 11" xfId="1346" xr:uid="{E997E291-8875-461A-9C12-74490152AC76}"/>
    <cellStyle name="Énfasis3 12" xfId="1347" xr:uid="{B42DCE12-256C-4F56-AED4-A0356FD1F4E5}"/>
    <cellStyle name="Énfasis3 13" xfId="1348" xr:uid="{85A73795-6BB2-43C1-BC40-B071D21F283C}"/>
    <cellStyle name="Énfasis3 14" xfId="1349" xr:uid="{D3373E9C-168D-4E3C-857C-C1B63FD7E35E}"/>
    <cellStyle name="Énfasis3 15" xfId="1350" xr:uid="{3B8EFCCB-2BD1-4E66-9804-7B8863054853}"/>
    <cellStyle name="Énfasis3 16" xfId="1351" xr:uid="{1A97DEAE-85F1-447D-A5A3-1ADC3916F321}"/>
    <cellStyle name="Énfasis3 17" xfId="1352" xr:uid="{EDB31429-9182-4E52-9547-9727407ADCEE}"/>
    <cellStyle name="Énfasis3 18" xfId="1353" xr:uid="{B332C3D5-05E3-4DD6-B318-8B30AD9C4435}"/>
    <cellStyle name="Énfasis3 19" xfId="1354" xr:uid="{967ED08C-B2A6-4D49-BF35-60EBE6C28EE9}"/>
    <cellStyle name="Énfasis3 2" xfId="1355" xr:uid="{A17866AB-7B68-4D82-81B6-7180E433132A}"/>
    <cellStyle name="Énfasis3 2 2" xfId="1356" xr:uid="{B0B76D40-AF01-4E03-B693-CFA6FD5B1170}"/>
    <cellStyle name="Énfasis3 20" xfId="1357" xr:uid="{252C3F6D-B46C-41A4-A6C5-5BBF087215B1}"/>
    <cellStyle name="Énfasis3 21" xfId="1358" xr:uid="{052312BA-1719-47C2-8E69-09DA0E9AE7A5}"/>
    <cellStyle name="Énfasis3 22" xfId="1359" xr:uid="{B24CC9D0-FD75-43AA-95C0-C28800C16885}"/>
    <cellStyle name="Énfasis3 23" xfId="1360" xr:uid="{1432FE0A-1FC7-4F97-8174-F2BC2D39CB58}"/>
    <cellStyle name="Énfasis3 3" xfId="1361" xr:uid="{0C4C6889-63E1-4392-B4F2-B0ECA6687EF5}"/>
    <cellStyle name="Énfasis3 3 2" xfId="1362" xr:uid="{8002BE65-AC9F-4EB2-B924-8B6B6C3A2869}"/>
    <cellStyle name="Énfasis3 4" xfId="1363" xr:uid="{FC7AC796-57DF-4894-B680-D23029CBAC50}"/>
    <cellStyle name="Énfasis3 5" xfId="1364" xr:uid="{FB20A5EE-C97D-4864-A172-1AAEBEAA2ACA}"/>
    <cellStyle name="Énfasis3 6" xfId="1365" xr:uid="{FA4C01EA-9D61-4F87-9406-4EEDF6981B70}"/>
    <cellStyle name="Énfasis3 7" xfId="1366" xr:uid="{16A8C07D-1EE8-4218-B246-0E0193A0F188}"/>
    <cellStyle name="Énfasis3 8" xfId="1367" xr:uid="{4963B36C-8C4B-4853-9C74-17ACB04A7B2A}"/>
    <cellStyle name="Énfasis3 9" xfId="1368" xr:uid="{957D265B-C308-48CF-A261-024DEFC99DE2}"/>
    <cellStyle name="Énfasis4 10" xfId="1369" xr:uid="{85089BD6-25E0-44DB-8F59-3E2E54611F23}"/>
    <cellStyle name="Énfasis4 11" xfId="1370" xr:uid="{E95D65A4-9C3E-4BE8-B4B5-D0A8B41D0379}"/>
    <cellStyle name="Énfasis4 12" xfId="1371" xr:uid="{1D9A1FDC-E8E5-467B-A010-F11196D3601F}"/>
    <cellStyle name="Énfasis4 13" xfId="1372" xr:uid="{FF1686E1-DC60-49C4-8BB1-5C203198488C}"/>
    <cellStyle name="Énfasis4 14" xfId="1373" xr:uid="{5375B852-511F-4742-9463-DCAE929369E4}"/>
    <cellStyle name="Énfasis4 15" xfId="1374" xr:uid="{5FA97D05-52B1-43CE-8C6B-CFF686D4B031}"/>
    <cellStyle name="Énfasis4 16" xfId="1375" xr:uid="{150FBD30-0A87-453C-8E2A-CC9918787EF5}"/>
    <cellStyle name="Énfasis4 17" xfId="1376" xr:uid="{038F653B-AFE5-4B44-AA0F-0D677232D2AD}"/>
    <cellStyle name="Énfasis4 18" xfId="1377" xr:uid="{6C0F1E74-AA1E-46B3-9FA2-1E03CF73EED2}"/>
    <cellStyle name="Énfasis4 19" xfId="1378" xr:uid="{87178B4F-7366-499C-AF56-5F8795A1184A}"/>
    <cellStyle name="Énfasis4 2" xfId="1379" xr:uid="{1E92FAE5-2C5D-45E4-A2A3-21E656D581F0}"/>
    <cellStyle name="Énfasis4 2 2" xfId="1380" xr:uid="{C8FD47D3-E81F-40CC-8B0B-69EEC75120A0}"/>
    <cellStyle name="Énfasis4 20" xfId="1381" xr:uid="{0862A383-AD3C-4478-B30E-3D7375BA83D5}"/>
    <cellStyle name="Énfasis4 21" xfId="1382" xr:uid="{5A9852EE-322B-47E2-B8EE-77C394541966}"/>
    <cellStyle name="Énfasis4 22" xfId="1383" xr:uid="{8A4E61C4-5117-4349-BC50-22C8A4229071}"/>
    <cellStyle name="Énfasis4 23" xfId="1384" xr:uid="{E05DF942-5B23-45B7-A831-49966FBE62FF}"/>
    <cellStyle name="Énfasis4 3" xfId="1385" xr:uid="{F690E1E6-4AAD-49CA-BC88-551CAB65A50F}"/>
    <cellStyle name="Énfasis4 3 2" xfId="1386" xr:uid="{5A4D0A5A-B85B-4189-8509-EFBA8EF3A3FF}"/>
    <cellStyle name="Énfasis4 4" xfId="1387" xr:uid="{6D177C0E-1BCB-4CAE-A78F-8AB04AD5B89C}"/>
    <cellStyle name="Énfasis4 5" xfId="1388" xr:uid="{97019585-ED21-4375-A5F5-D95467ACF175}"/>
    <cellStyle name="Énfasis4 6" xfId="1389" xr:uid="{E4ED6815-47AC-4698-BD6A-70E0506BB58F}"/>
    <cellStyle name="Énfasis4 7" xfId="1390" xr:uid="{1E059982-6B10-418B-B4B3-EA8CEB3F0866}"/>
    <cellStyle name="Énfasis4 8" xfId="1391" xr:uid="{97B726A2-36F5-4B94-9878-E8C05FCDE815}"/>
    <cellStyle name="Énfasis4 9" xfId="1392" xr:uid="{E05D6F04-CF74-4C38-8352-0444069EFFAE}"/>
    <cellStyle name="Énfasis5 10" xfId="1393" xr:uid="{ED195260-C8A3-4061-A07A-D5248AD190C0}"/>
    <cellStyle name="Énfasis5 11" xfId="1394" xr:uid="{250142CA-90C8-4F29-8914-6C5A90C015BD}"/>
    <cellStyle name="Énfasis5 12" xfId="1395" xr:uid="{B8F84ADB-5F9A-4ADA-BF30-46255B353D80}"/>
    <cellStyle name="Énfasis5 13" xfId="1396" xr:uid="{66B21D96-E09B-4B80-A0B0-61D49477602F}"/>
    <cellStyle name="Énfasis5 14" xfId="1397" xr:uid="{7D0EFEEE-CCBB-4F40-B46F-3072B6DFAFBA}"/>
    <cellStyle name="Énfasis5 15" xfId="1398" xr:uid="{B18E129D-0015-4F50-B779-EA80AA937817}"/>
    <cellStyle name="Énfasis5 16" xfId="1399" xr:uid="{7C398C60-CB1B-495F-A175-C4174CF7F7BC}"/>
    <cellStyle name="Énfasis5 17" xfId="1400" xr:uid="{0A84FEE0-EBD8-4F71-9955-369A58189A19}"/>
    <cellStyle name="Énfasis5 18" xfId="1401" xr:uid="{480C4FCE-DC70-4354-9B67-B155898A60E1}"/>
    <cellStyle name="Énfasis5 19" xfId="1402" xr:uid="{9BE7B173-63A5-45CB-8175-48FAFFDF1319}"/>
    <cellStyle name="Énfasis5 2" xfId="1403" xr:uid="{2F7D68B3-91C0-4384-BDCB-92F9E9024759}"/>
    <cellStyle name="Énfasis5 2 2" xfId="1404" xr:uid="{B16504B8-608C-4F29-A744-9CFB7B662208}"/>
    <cellStyle name="Énfasis5 20" xfId="1405" xr:uid="{D4951396-F1F2-4735-8C4C-C43CC6CAE0CF}"/>
    <cellStyle name="Énfasis5 21" xfId="1406" xr:uid="{F2EA3F67-309E-40E1-A742-84548FFE1996}"/>
    <cellStyle name="Énfasis5 22" xfId="1407" xr:uid="{24F80F6A-69D0-465B-9A8F-0872A026434F}"/>
    <cellStyle name="Énfasis5 3" xfId="1408" xr:uid="{498FC451-FC1A-472C-86B3-0BA2FFEFD0E9}"/>
    <cellStyle name="Énfasis5 3 2" xfId="1409" xr:uid="{DBC5EEE5-2CD7-4C91-81D0-39EC37B1ED2C}"/>
    <cellStyle name="Énfasis5 4" xfId="1410" xr:uid="{18734EBE-2AD1-400A-AA6F-E418BD9CF311}"/>
    <cellStyle name="Énfasis5 5" xfId="1411" xr:uid="{F3368389-420F-431B-B6C6-9B5F08E6D501}"/>
    <cellStyle name="Énfasis5 6" xfId="1412" xr:uid="{F1778379-CCFD-4299-AB00-A9FD7A96E3D8}"/>
    <cellStyle name="Énfasis5 7" xfId="1413" xr:uid="{7E6C32D0-ECCE-4062-914C-46C2C9E7AC9B}"/>
    <cellStyle name="Énfasis5 8" xfId="1414" xr:uid="{49323164-DDC4-441B-ADC1-BDDE49CFC5AC}"/>
    <cellStyle name="Énfasis5 9" xfId="1415" xr:uid="{4DD61240-3E23-45FB-B143-A5F1B57896FC}"/>
    <cellStyle name="Énfasis6 10" xfId="1416" xr:uid="{CA95824B-7B91-4C5B-A22B-640DA6487868}"/>
    <cellStyle name="Énfasis6 11" xfId="1417" xr:uid="{15497F6F-7333-4702-99F7-42F6960F0C2D}"/>
    <cellStyle name="Énfasis6 12" xfId="1418" xr:uid="{E6BAB7DB-11FD-47B5-A376-A32DB116344A}"/>
    <cellStyle name="Énfasis6 13" xfId="1419" xr:uid="{B390BA97-0C78-48F7-A684-D54637EFB851}"/>
    <cellStyle name="Énfasis6 14" xfId="1420" xr:uid="{72EB97CB-5480-4ABB-9D8F-85E1C35FB8A8}"/>
    <cellStyle name="Énfasis6 15" xfId="1421" xr:uid="{7E647B3E-C6CE-4CDE-A719-7EB110887E57}"/>
    <cellStyle name="Énfasis6 16" xfId="1422" xr:uid="{8A577EC9-CFD8-4F6B-8264-416B873AAE53}"/>
    <cellStyle name="Énfasis6 17" xfId="1423" xr:uid="{13EE4CA5-F901-4970-98D5-9C19D155AAA4}"/>
    <cellStyle name="Énfasis6 18" xfId="1424" xr:uid="{834EEDE0-A48B-4900-AE9B-B0B852A98724}"/>
    <cellStyle name="Énfasis6 19" xfId="1425" xr:uid="{57AB5B1E-EA45-4B37-99E7-C97B5FB6456B}"/>
    <cellStyle name="Énfasis6 2" xfId="1426" xr:uid="{42E370AC-0464-434D-88A0-27B1641BA6D1}"/>
    <cellStyle name="Énfasis6 2 2" xfId="1427" xr:uid="{18CA1405-B6A3-4C22-8903-A8925252D080}"/>
    <cellStyle name="Énfasis6 20" xfId="1428" xr:uid="{B9899156-5BD5-4118-B563-37CF4714DD77}"/>
    <cellStyle name="Énfasis6 21" xfId="1429" xr:uid="{990F8B17-398C-4791-8B94-B0F7E970E3E9}"/>
    <cellStyle name="Énfasis6 22" xfId="1430" xr:uid="{E5F22D9C-4C62-4AD1-B35F-0801F667921D}"/>
    <cellStyle name="Énfasis6 23" xfId="1431" xr:uid="{EB59F4D3-51D4-4054-860C-A6699ECC1F0B}"/>
    <cellStyle name="Énfasis6 3" xfId="1432" xr:uid="{A22189C3-7967-44E1-9954-C96836E71849}"/>
    <cellStyle name="Énfasis6 3 2" xfId="1433" xr:uid="{FB0DFD4D-9165-4648-9EC6-EB20F1EB65F8}"/>
    <cellStyle name="Énfasis6 4" xfId="1434" xr:uid="{72D1EDFF-0F3E-42A5-8473-44ACC0C97F05}"/>
    <cellStyle name="Énfasis6 5" xfId="1435" xr:uid="{68755F98-A343-43E9-8822-B1E0A3A6CCDB}"/>
    <cellStyle name="Énfasis6 6" xfId="1436" xr:uid="{82AA2CBE-18C1-4A02-80A9-B4730B514BC1}"/>
    <cellStyle name="Énfasis6 7" xfId="1437" xr:uid="{06276D6B-A73F-4E0E-BED5-C09C209511C2}"/>
    <cellStyle name="Énfasis6 8" xfId="1438" xr:uid="{D21FC025-226E-444A-8D0A-0F4A13C4B803}"/>
    <cellStyle name="Énfasis6 9" xfId="1439" xr:uid="{B45A2295-1120-4AEF-B053-1ED2A67A2ED7}"/>
    <cellStyle name="Entrada 10" xfId="1440" xr:uid="{82470FA4-E8D3-4199-B9B8-94DC483973B2}"/>
    <cellStyle name="Entrada 10 2" xfId="1441" xr:uid="{64249286-EFF5-4704-B506-AB0D6185057B}"/>
    <cellStyle name="Entrada 10 2 2" xfId="1442" xr:uid="{7909C19E-04E7-4432-958C-8BC7A64C7B81}"/>
    <cellStyle name="Entrada 10 3" xfId="1443" xr:uid="{6FB413BE-6BC3-4B25-99ED-30080F57507B}"/>
    <cellStyle name="Entrada 10 3 2" xfId="1444" xr:uid="{B3272A87-92E2-4A4C-88BF-606FFFF73E7E}"/>
    <cellStyle name="Entrada 10 3 3" xfId="1445" xr:uid="{3EE3D85F-B42F-42CD-8E2C-49E26E5318E8}"/>
    <cellStyle name="Entrada 11" xfId="1446" xr:uid="{37CE43F6-E89D-4ECC-A335-EAA8972F7F18}"/>
    <cellStyle name="Entrada 11 2" xfId="1447" xr:uid="{49131DC1-2E38-44D3-AD86-85147EA73A0F}"/>
    <cellStyle name="Entrada 11 2 2" xfId="1448" xr:uid="{7C4C89DE-1119-4D5F-9AE2-86767E0ECCAC}"/>
    <cellStyle name="Entrada 11 3" xfId="1449" xr:uid="{B3EC087C-D293-44BF-8867-C87A6087A12D}"/>
    <cellStyle name="Entrada 11 3 2" xfId="1450" xr:uid="{C972F319-49EB-41EA-9D31-4121DB6D423F}"/>
    <cellStyle name="Entrada 11 3 3" xfId="1451" xr:uid="{49E58BFB-4599-4E33-8B8C-5B2CBC0FF6F2}"/>
    <cellStyle name="Entrada 12" xfId="1452" xr:uid="{00CE17EA-4DE8-4BD7-B75E-D7CEE13A3359}"/>
    <cellStyle name="Entrada 12 2" xfId="1453" xr:uid="{F47C4F0C-2299-464C-8545-3EB7C596DDDD}"/>
    <cellStyle name="Entrada 12 2 2" xfId="1454" xr:uid="{0C92011A-6588-459F-B7D6-384307C95128}"/>
    <cellStyle name="Entrada 12 3" xfId="1455" xr:uid="{D1D5C598-9871-4715-82D6-56D525BEB6D2}"/>
    <cellStyle name="Entrada 12 3 2" xfId="1456" xr:uid="{03BA9F5A-C0F8-4696-BC07-8228AFDB9790}"/>
    <cellStyle name="Entrada 12 3 3" xfId="1457" xr:uid="{63CCFDBF-F835-4961-8EBE-998011D4D31A}"/>
    <cellStyle name="Entrada 13" xfId="1458" xr:uid="{8F82C3EE-E8B8-42CF-8D2B-4CD943032017}"/>
    <cellStyle name="Entrada 13 2" xfId="1459" xr:uid="{20D4B1C1-00F8-49AF-81BA-710B058F84AF}"/>
    <cellStyle name="Entrada 13 2 2" xfId="1460" xr:uid="{6C9EAE4F-CFB1-4880-AFA4-B0C71549793F}"/>
    <cellStyle name="Entrada 13 3" xfId="1461" xr:uid="{BECB1528-3E33-4FF3-BED2-7E242BF65BA9}"/>
    <cellStyle name="Entrada 13 3 2" xfId="1462" xr:uid="{ECA6EB4F-1799-43EF-9C5D-DDC00F2D2493}"/>
    <cellStyle name="Entrada 13 3 3" xfId="1463" xr:uid="{DB20A0B5-0BCA-406B-9F89-A646CDC7FA12}"/>
    <cellStyle name="Entrada 14" xfId="1464" xr:uid="{B5B82F7E-FFB6-4016-B03B-8F8250757C32}"/>
    <cellStyle name="Entrada 14 2" xfId="1465" xr:uid="{E5263C37-F06C-4BA2-B5F6-E4E0BB73C86A}"/>
    <cellStyle name="Entrada 14 2 2" xfId="1466" xr:uid="{F61562DA-20FB-4AC5-95A2-EF8DAE47CD63}"/>
    <cellStyle name="Entrada 14 3" xfId="1467" xr:uid="{60ED04AC-DDB8-420C-9E1C-F44DD57DC5FF}"/>
    <cellStyle name="Entrada 14 3 2" xfId="1468" xr:uid="{33D5BE45-8DFA-4DD5-98A9-93AD1A552B1E}"/>
    <cellStyle name="Entrada 14 3 3" xfId="1469" xr:uid="{22C728F4-A111-4DC5-B546-E3E00D541BCD}"/>
    <cellStyle name="Entrada 15" xfId="1470" xr:uid="{AA1E16C9-21F4-44CF-8343-2F502C444A8E}"/>
    <cellStyle name="Entrada 15 2" xfId="1471" xr:uid="{CF99CE1C-EB2C-4B60-ACB8-BE227CD619F3}"/>
    <cellStyle name="Entrada 15 2 2" xfId="1472" xr:uid="{54D0F80C-3697-4BCA-8983-6ECCD9A4076F}"/>
    <cellStyle name="Entrada 15 3" xfId="1473" xr:uid="{1FE7007B-AED0-49F7-8E3D-9D6FB6DF4E44}"/>
    <cellStyle name="Entrada 15 3 2" xfId="1474" xr:uid="{D800793F-A259-48A9-8395-B1027ED0BD62}"/>
    <cellStyle name="Entrada 15 3 3" xfId="1475" xr:uid="{E36238CC-7F68-4B7D-8928-8B6B63D340D5}"/>
    <cellStyle name="Entrada 16" xfId="1476" xr:uid="{EA6BF6C5-309B-4DEA-B2E4-D2660AD5B6A1}"/>
    <cellStyle name="Entrada 16 2" xfId="1477" xr:uid="{6F91DC52-48E9-45DC-9C2E-DAF6E35DE273}"/>
    <cellStyle name="Entrada 16 2 2" xfId="1478" xr:uid="{22A86CA4-AE0D-403F-90E8-C106D3D0F750}"/>
    <cellStyle name="Entrada 16 3" xfId="1479" xr:uid="{60AA1316-472B-441F-BC62-E810C72B14F7}"/>
    <cellStyle name="Entrada 16 3 2" xfId="1480" xr:uid="{ADC70461-9244-4856-BD17-1BAC31891782}"/>
    <cellStyle name="Entrada 16 3 3" xfId="1481" xr:uid="{B48020E2-9061-424B-8798-A8D3668305F0}"/>
    <cellStyle name="Entrada 17" xfId="1482" xr:uid="{60337C45-A8AB-4261-B471-5CFEB5B8BAD7}"/>
    <cellStyle name="Entrada 17 2" xfId="1483" xr:uid="{27445946-236A-4A8B-9B88-76B11E90331D}"/>
    <cellStyle name="Entrada 17 2 2" xfId="1484" xr:uid="{8832102A-98CA-41FA-9C05-09C74DD2525E}"/>
    <cellStyle name="Entrada 17 3" xfId="1485" xr:uid="{8E68A049-887D-465D-82EE-B65D93CCEC7D}"/>
    <cellStyle name="Entrada 17 3 2" xfId="1486" xr:uid="{95119F57-AD73-41D5-AA25-8F8AD90FF826}"/>
    <cellStyle name="Entrada 17 3 3" xfId="1487" xr:uid="{5FD4BBC6-2F4F-4A33-A2F6-3195E7EBB9D2}"/>
    <cellStyle name="Entrada 18" xfId="1488" xr:uid="{91AAA6A0-4857-46AC-9202-8D2FF94C2646}"/>
    <cellStyle name="Entrada 18 2" xfId="1489" xr:uid="{70EAB66A-84D3-4F8F-8B93-5FD7653CBB67}"/>
    <cellStyle name="Entrada 18 2 2" xfId="1490" xr:uid="{7937033F-3AFD-4E1B-BD74-F0A868961D6C}"/>
    <cellStyle name="Entrada 18 3" xfId="1491" xr:uid="{C6BCFFD1-4583-4194-9864-97A0322A3D92}"/>
    <cellStyle name="Entrada 18 3 2" xfId="1492" xr:uid="{FF382C91-9832-48C3-9E0E-B45607D9F335}"/>
    <cellStyle name="Entrada 18 3 3" xfId="1493" xr:uid="{56A873BD-7A80-4D6D-A569-508E848C0667}"/>
    <cellStyle name="Entrada 19" xfId="1494" xr:uid="{E7BA14AF-E822-481C-95B3-9E8016742B18}"/>
    <cellStyle name="Entrada 19 2" xfId="1495" xr:uid="{3CED2AF7-7F42-4070-B7DC-F27718B929C8}"/>
    <cellStyle name="Entrada 19 2 2" xfId="1496" xr:uid="{F1313CDD-5F2A-419B-933F-F427FF1CA48B}"/>
    <cellStyle name="Entrada 19 3" xfId="1497" xr:uid="{A1889BE6-224D-42DE-ADE7-143DAE46E328}"/>
    <cellStyle name="Entrada 19 3 2" xfId="1498" xr:uid="{22923E09-E7A0-45D6-B28D-377D2E6C5ADE}"/>
    <cellStyle name="Entrada 19 3 3" xfId="1499" xr:uid="{F9E29FAF-4534-487A-BFF6-3CCD5B64B5A5}"/>
    <cellStyle name="Entrada 2" xfId="1500" xr:uid="{0EB8D5BE-772A-465E-94FD-25FBC4E94C8E}"/>
    <cellStyle name="Entrada 2 2" xfId="1501" xr:uid="{928C53FE-3F40-47F5-AB87-C17167EE7873}"/>
    <cellStyle name="Entrada 2 2 2" xfId="1502" xr:uid="{EFAFAEED-EA74-4D44-9F1D-192B30C2F79D}"/>
    <cellStyle name="Entrada 2 2 2 2" xfId="1503" xr:uid="{D5EA71AA-1E08-499F-9200-ACBB5176D9C7}"/>
    <cellStyle name="Entrada 2 2 3" xfId="1504" xr:uid="{6965AD7F-6496-4040-BCD2-38648AABAD4F}"/>
    <cellStyle name="Entrada 2 2 3 2" xfId="1505" xr:uid="{1029256D-56B2-47B9-96BC-67149FFF7412}"/>
    <cellStyle name="Entrada 2 2 3 3" xfId="1506" xr:uid="{E97BC8D9-AD44-42BE-A30C-8BC2BE2138DD}"/>
    <cellStyle name="Entrada 2 3" xfId="1507" xr:uid="{04E98A27-89FA-4C4D-AF3F-28FF4A9372F9}"/>
    <cellStyle name="Entrada 2 3 2" xfId="1508" xr:uid="{A67E4305-F526-46C9-BA61-4EB42664D136}"/>
    <cellStyle name="Entrada 2 4" xfId="1509" xr:uid="{FACA6315-5EC5-4E09-A9A0-69FE4F53FFAF}"/>
    <cellStyle name="Entrada 2 4 2" xfId="1510" xr:uid="{59C39B61-C070-4B08-A41C-9BABCFE1A486}"/>
    <cellStyle name="Entrada 2 4 3" xfId="1511" xr:uid="{983345EC-16B4-4A94-9108-EAA6F242C5D5}"/>
    <cellStyle name="Entrada 2 5" xfId="1512" xr:uid="{8533960B-B8BD-4968-8FB5-923AF7BFC53B}"/>
    <cellStyle name="Entrada 20" xfId="1513" xr:uid="{421A8A64-4603-4F59-859D-077743EDC79A}"/>
    <cellStyle name="Entrada 20 2" xfId="1514" xr:uid="{0EE1EBDA-DF6E-4BD1-8612-BEEBA5D1CA61}"/>
    <cellStyle name="Entrada 20 2 2" xfId="1515" xr:uid="{4FF729A4-AE9A-45A9-91AB-8F7CB475BB50}"/>
    <cellStyle name="Entrada 20 3" xfId="1516" xr:uid="{AB01048A-6801-4526-B971-18D0572C9899}"/>
    <cellStyle name="Entrada 20 3 2" xfId="1517" xr:uid="{334905B3-FE78-4797-8C21-262B81A45196}"/>
    <cellStyle name="Entrada 20 3 3" xfId="1518" xr:uid="{D1CD73F7-A496-49A3-8912-BD286722A803}"/>
    <cellStyle name="Entrada 21" xfId="1519" xr:uid="{82BE00DB-C899-4A2A-A4F1-93F8F2CA91EF}"/>
    <cellStyle name="Entrada 22" xfId="1520" xr:uid="{0E3A8A79-B456-4634-AD7E-69A47D07A9ED}"/>
    <cellStyle name="Entrada 22 2" xfId="1521" xr:uid="{FC47E55D-8B71-4676-9DED-2E092478C7E6}"/>
    <cellStyle name="Entrada 23" xfId="1522" xr:uid="{9550252E-AEBC-4355-B826-3A585FC2407B}"/>
    <cellStyle name="Entrada 23 2" xfId="1523" xr:uid="{97EC072A-6700-4729-BD3F-361299564E10}"/>
    <cellStyle name="Entrada 23 3" xfId="1524" xr:uid="{EFC2E971-B20F-49EF-9F1C-5A32E73AB937}"/>
    <cellStyle name="Entrada 24" xfId="1525" xr:uid="{CC9D81E4-FAF0-4880-AA09-10BA71C21CC1}"/>
    <cellStyle name="Entrada 3" xfId="1526" xr:uid="{AF109167-A943-4235-84EA-0E72F632F078}"/>
    <cellStyle name="Entrada 3 2" xfId="1527" xr:uid="{5A955085-350E-46A0-90CF-E5EFF4480B9A}"/>
    <cellStyle name="Entrada 3 2 2" xfId="1528" xr:uid="{E5358936-8476-4BE4-B9AC-9EF531097419}"/>
    <cellStyle name="Entrada 3 3" xfId="1529" xr:uid="{F740D905-E72E-408F-972B-77291646BDD2}"/>
    <cellStyle name="Entrada 3 3 2" xfId="1530" xr:uid="{FBA77643-29C6-404C-8229-9517B9388DA8}"/>
    <cellStyle name="Entrada 3 3 3" xfId="1531" xr:uid="{75B7ED5A-C607-47C6-8AE0-466D081AF982}"/>
    <cellStyle name="Entrada 3 4" xfId="1532" xr:uid="{0DBBAE7D-3941-4A6B-B4AB-F71DC6DB0271}"/>
    <cellStyle name="Entrada 4" xfId="1533" xr:uid="{5A98AFA4-8B37-4672-8CC6-42F1D69E2495}"/>
    <cellStyle name="Entrada 4 2" xfId="1534" xr:uid="{FDED8A53-E5C1-4CBF-BE2A-52EC87A16EBE}"/>
    <cellStyle name="Entrada 4 2 2" xfId="1535" xr:uid="{C5F9806F-4D70-4CBF-A049-E63E75F95E22}"/>
    <cellStyle name="Entrada 4 3" xfId="1536" xr:uid="{D9B9B9BB-F048-4A15-9E43-0A51DE43E4CD}"/>
    <cellStyle name="Entrada 4 3 2" xfId="1537" xr:uid="{6437B378-C1B1-4FCD-A13E-9A693C5DF2D6}"/>
    <cellStyle name="Entrada 4 3 3" xfId="1538" xr:uid="{7F0CBDAA-38C8-47D3-A9A7-763820CD9E52}"/>
    <cellStyle name="Entrada 5" xfId="1539" xr:uid="{7090D8DD-D74B-400A-9E40-C261B6D1F7F6}"/>
    <cellStyle name="Entrada 5 2" xfId="1540" xr:uid="{59D9C091-0316-4ABA-B97D-ED10F86B4641}"/>
    <cellStyle name="Entrada 5 2 2" xfId="1541" xr:uid="{7703FD59-634C-4831-978F-97D45C35C392}"/>
    <cellStyle name="Entrada 5 3" xfId="1542" xr:uid="{721B68BF-19E5-4A91-B08A-4A62AAB863C8}"/>
    <cellStyle name="Entrada 5 3 2" xfId="1543" xr:uid="{14C74FAD-11EE-42E2-BFA6-833503253DA1}"/>
    <cellStyle name="Entrada 5 3 3" xfId="1544" xr:uid="{C8D655B4-D358-4D94-88EE-08BD8EEE314A}"/>
    <cellStyle name="Entrada 6" xfId="1545" xr:uid="{CC0F01A4-4043-42E5-B306-D6E00928CE24}"/>
    <cellStyle name="Entrada 6 2" xfId="1546" xr:uid="{C0F4AC6E-8885-4FA7-8F35-1E8999C5AE9C}"/>
    <cellStyle name="Entrada 6 2 2" xfId="1547" xr:uid="{EF606549-689A-4C47-9BAD-82F638D744BE}"/>
    <cellStyle name="Entrada 6 3" xfId="1548" xr:uid="{E222C359-2FB4-492F-98D9-3C2C43E75C3E}"/>
    <cellStyle name="Entrada 6 3 2" xfId="1549" xr:uid="{A7E27D5C-B74E-47F1-93B0-392BDE49F9A0}"/>
    <cellStyle name="Entrada 6 3 3" xfId="1550" xr:uid="{7E111A17-578D-4F6F-8283-011D5D0F7500}"/>
    <cellStyle name="Entrada 7" xfId="1551" xr:uid="{0F6A6FD1-AFCA-46A6-AC18-532057FAFB72}"/>
    <cellStyle name="Entrada 7 2" xfId="1552" xr:uid="{A967D636-8293-4F73-AAE3-66DD44EB737D}"/>
    <cellStyle name="Entrada 7 2 2" xfId="1553" xr:uid="{388E14EB-97A7-4165-B257-6BE39242DF10}"/>
    <cellStyle name="Entrada 7 3" xfId="1554" xr:uid="{95CF00D1-B5EF-478E-9399-88499828D65C}"/>
    <cellStyle name="Entrada 7 3 2" xfId="1555" xr:uid="{47F455F9-2511-4422-9240-022C51763624}"/>
    <cellStyle name="Entrada 7 3 3" xfId="1556" xr:uid="{98BA03F2-71EC-4CA9-B90E-94483FC07703}"/>
    <cellStyle name="Entrada 8" xfId="1557" xr:uid="{FD3CC9C0-6088-4708-ADE4-A07D7AAFD327}"/>
    <cellStyle name="Entrada 8 2" xfId="1558" xr:uid="{4B85EF76-0AF9-43A2-B8F3-DDE410A95A2A}"/>
    <cellStyle name="Entrada 8 2 2" xfId="1559" xr:uid="{B75FC622-E3F7-4D5A-A554-5B99BD1CAF18}"/>
    <cellStyle name="Entrada 8 3" xfId="1560" xr:uid="{8C97F135-203F-4008-BF0E-6AF13419B7EA}"/>
    <cellStyle name="Entrada 8 3 2" xfId="1561" xr:uid="{7F74B62E-0C89-4FF5-BD1A-B6AAC20A2769}"/>
    <cellStyle name="Entrada 8 3 3" xfId="1562" xr:uid="{31EBB420-7A30-4CE9-BB61-FBC072E64CF6}"/>
    <cellStyle name="Entrada 9" xfId="1563" xr:uid="{95573A1E-02CD-4F1C-9F04-5FBE78F5503C}"/>
    <cellStyle name="Entrada 9 2" xfId="1564" xr:uid="{FB09C90A-D1BA-4971-B661-0D2982E35B01}"/>
    <cellStyle name="Entrada 9 2 2" xfId="1565" xr:uid="{92AE9F14-6F33-45EA-9235-E68337B0225C}"/>
    <cellStyle name="Entrada 9 3" xfId="1566" xr:uid="{617B204F-451F-4B6D-B89F-9D071FAEFB59}"/>
    <cellStyle name="Entrada 9 3 2" xfId="1567" xr:uid="{0DE3E68F-A1B9-47EE-8CA2-78B053ADC680}"/>
    <cellStyle name="Entrada 9 3 3" xfId="1568" xr:uid="{17553907-35E3-4B4B-AB12-87E08A5A0C20}"/>
    <cellStyle name="Estilo 1" xfId="1569" xr:uid="{6CCCBF66-F6F9-46C3-8799-09E52767A14D}"/>
    <cellStyle name="Euro" xfId="1570" xr:uid="{2424F237-3FD1-4515-AF39-DD36FE489CE8}"/>
    <cellStyle name="Euro 10" xfId="1571" xr:uid="{C4AC7EB5-CD50-4492-A39D-6E8C6FB2D586}"/>
    <cellStyle name="Euro 10 2" xfId="1572" xr:uid="{BA9BF77E-2DE2-4C59-88B5-EB4B7288CCB2}"/>
    <cellStyle name="Euro 11" xfId="1573" xr:uid="{3E8BB382-DFCA-4E58-95B6-580EFCAE4F6B}"/>
    <cellStyle name="Euro 11 2" xfId="1574" xr:uid="{DE492870-F4F4-49FC-9CCF-F5B359ADDB47}"/>
    <cellStyle name="Euro 12" xfId="1575" xr:uid="{B147F430-F701-4A16-9CBD-93F76924C7C1}"/>
    <cellStyle name="Euro 12 2" xfId="1576" xr:uid="{C70EAD8C-CC13-4663-9E52-4DF70EA20FA8}"/>
    <cellStyle name="Euro 13" xfId="1577" xr:uid="{F1D58831-959A-4B4A-8500-8B757B280BA3}"/>
    <cellStyle name="Euro 13 2" xfId="1578" xr:uid="{CF2D12AD-F3F0-4428-A600-3F55FADF2691}"/>
    <cellStyle name="Euro 14" xfId="1579" xr:uid="{BE25506C-87B7-488C-9EDE-DE422DA98F0C}"/>
    <cellStyle name="Euro 14 2" xfId="1580" xr:uid="{A0DE58BF-4B6A-48CC-947B-5D1B8CD2B178}"/>
    <cellStyle name="Euro 15" xfId="1581" xr:uid="{CE816B92-04E1-486A-90A9-E6F5875C256A}"/>
    <cellStyle name="Euro 15 2" xfId="1582" xr:uid="{E7F359E1-43E8-4D3C-928C-5E19F3168C82}"/>
    <cellStyle name="Euro 16" xfId="1583" xr:uid="{A7CC86E7-51D5-4B20-B1F4-ADA5AEEE3CB2}"/>
    <cellStyle name="Euro 16 2" xfId="1584" xr:uid="{B37E1F65-95B1-4A9F-A170-44E45357C1E2}"/>
    <cellStyle name="Euro 17" xfId="1585" xr:uid="{047B1B43-F262-4116-B336-DB20BBD39852}"/>
    <cellStyle name="Euro 17 2" xfId="1586" xr:uid="{2FCB9C21-511B-4AB5-A420-EBE754CF2E1F}"/>
    <cellStyle name="Euro 18" xfId="1587" xr:uid="{8BDCCF5A-52C2-42A9-B940-463043ED5409}"/>
    <cellStyle name="Euro 18 2" xfId="1588" xr:uid="{07CC3850-06A9-49A3-BB93-93BF609CB395}"/>
    <cellStyle name="Euro 19" xfId="1589" xr:uid="{909155E9-16A6-4B8D-A3CA-508AAF4DB060}"/>
    <cellStyle name="Euro 19 2" xfId="1590" xr:uid="{F9B4667D-6E88-4A9C-8543-4D36EC919B17}"/>
    <cellStyle name="Euro 2" xfId="1591" xr:uid="{3DB352C1-B536-46D6-895B-9D0CEE0DFA56}"/>
    <cellStyle name="Euro 2 2" xfId="1592" xr:uid="{7790AE45-F0A4-4358-8292-27F518F77629}"/>
    <cellStyle name="Euro 2 3" xfId="1593" xr:uid="{13E212E6-29D9-4261-9873-7A09BFEB04D2}"/>
    <cellStyle name="Euro 2 4" xfId="1594" xr:uid="{47E65F36-230A-4AAD-8EC5-3E6B4E004594}"/>
    <cellStyle name="Euro 20" xfId="1595" xr:uid="{1900804C-AAC1-49F3-933F-20A3E636879D}"/>
    <cellStyle name="Euro 20 2" xfId="1596" xr:uid="{ED144A28-29C3-4263-B0D3-72161C4C387E}"/>
    <cellStyle name="Euro 21" xfId="1597" xr:uid="{47EB131C-7739-4CAC-8ECE-1BF1F0DEBFDE}"/>
    <cellStyle name="Euro 21 2" xfId="1598" xr:uid="{77D0F106-E85C-4419-87EF-653C453C1B40}"/>
    <cellStyle name="Euro 22" xfId="1599" xr:uid="{BA4C8A4F-47F4-4EAF-A8A6-244EE6AFE1E4}"/>
    <cellStyle name="Euro 22 2" xfId="1600" xr:uid="{F556FB10-DAB4-4D5A-BE4D-713039E6286C}"/>
    <cellStyle name="Euro 23" xfId="1601" xr:uid="{129327E1-B5D1-47A1-9A3A-3EFF905D1F71}"/>
    <cellStyle name="Euro 23 2" xfId="1602" xr:uid="{0CB34360-1CEE-4E3E-B781-DEA310B662A4}"/>
    <cellStyle name="Euro 24" xfId="1603" xr:uid="{17789FD5-15C9-434E-9ADE-116817897915}"/>
    <cellStyle name="Euro 24 2" xfId="1604" xr:uid="{2DF20DB5-5017-4758-9FFD-82940C2BD4B6}"/>
    <cellStyle name="Euro 25" xfId="1605" xr:uid="{637FBCA6-2987-4D4C-A2E1-B86B626D7E3E}"/>
    <cellStyle name="Euro 25 2" xfId="1606" xr:uid="{FF6E757B-8C60-4E2A-AD8B-909D8164D5B6}"/>
    <cellStyle name="Euro 26" xfId="1607" xr:uid="{37482190-256F-4366-95F5-631ADAC74F83}"/>
    <cellStyle name="Euro 26 2" xfId="1608" xr:uid="{2043A13A-B012-49DF-8726-50D1EBF2AE5E}"/>
    <cellStyle name="Euro 27" xfId="1609" xr:uid="{4A2002C8-E6E9-4525-A1D8-D8C095C1387D}"/>
    <cellStyle name="Euro 27 2" xfId="1610" xr:uid="{E5424AD8-1B71-40C9-A34A-6561CA69FFC1}"/>
    <cellStyle name="Euro 28" xfId="1611" xr:uid="{98386C70-F7B2-4A6D-B3F5-14330019A90D}"/>
    <cellStyle name="Euro 28 2" xfId="1612" xr:uid="{BF0BE27E-521B-4302-8066-EC67EA1972AA}"/>
    <cellStyle name="Euro 29" xfId="1613" xr:uid="{337FEF7F-9295-4F72-9B59-4C4091101A4B}"/>
    <cellStyle name="Euro 29 2" xfId="1614" xr:uid="{16EF8428-8E04-4762-9450-EDBCCE6EFBCC}"/>
    <cellStyle name="Euro 3" xfId="1615" xr:uid="{B8FC142B-53F6-44F5-8908-77F6D9F0AD6A}"/>
    <cellStyle name="Euro 3 2" xfId="1616" xr:uid="{D05E292D-0C3E-4009-BA0C-9B9B94600A17}"/>
    <cellStyle name="Euro 3 3" xfId="1617" xr:uid="{904768C2-9C0E-410D-AA8A-010E9CC9E8FD}"/>
    <cellStyle name="Euro 3 4" xfId="1618" xr:uid="{D802EA51-F6F8-44E7-99BE-A91D872A07AB}"/>
    <cellStyle name="Euro 30" xfId="1619" xr:uid="{E67D000F-2162-4D20-9C72-0903B24AABAE}"/>
    <cellStyle name="Euro 30 2" xfId="1620" xr:uid="{897B1E23-0D7D-44ED-A6CF-14F845FB0D46}"/>
    <cellStyle name="Euro 31" xfId="1621" xr:uid="{13944C64-9885-44A1-B2CF-FC5B199A6719}"/>
    <cellStyle name="Euro 31 2" xfId="1622" xr:uid="{AF29CD0F-D468-4EE5-82F7-94022A38433B}"/>
    <cellStyle name="Euro 32" xfId="1623" xr:uid="{244F1471-2B8F-4AA5-B93A-778C8897A5DD}"/>
    <cellStyle name="Euro 32 2" xfId="1624" xr:uid="{08CA5F46-5871-4F65-AC90-1036C7C635D5}"/>
    <cellStyle name="Euro 33" xfId="1625" xr:uid="{3393C05A-9AFB-495F-9BAD-4EB0399E706C}"/>
    <cellStyle name="Euro 33 2" xfId="1626" xr:uid="{0E389BB4-497C-4C95-80E6-7C35B7155BCD}"/>
    <cellStyle name="Euro 34" xfId="1627" xr:uid="{6292746D-29B8-4533-B93A-FBE5BEDD3EA8}"/>
    <cellStyle name="Euro 34 2" xfId="1628" xr:uid="{A9CF23FC-2F05-4478-9FA9-B9F62D0F7BE2}"/>
    <cellStyle name="Euro 35" xfId="1629" xr:uid="{F48D8457-7005-4EF7-BC3A-0ECCFD4EC527}"/>
    <cellStyle name="Euro 35 2" xfId="1630" xr:uid="{74840ED1-EA64-437B-A735-AEC3198DBF63}"/>
    <cellStyle name="Euro 36" xfId="1631" xr:uid="{DE83D1ED-D208-421D-95C5-A7A586F46604}"/>
    <cellStyle name="Euro 36 2" xfId="1632" xr:uid="{AB6713D8-CDA5-42B3-AFA3-27EB759DA448}"/>
    <cellStyle name="Euro 37" xfId="1633" xr:uid="{1564AD19-1527-4E1F-841F-1D40EAC0008B}"/>
    <cellStyle name="Euro 37 2" xfId="1634" xr:uid="{D444BF43-C53C-48CA-AAF4-F5256A8E4790}"/>
    <cellStyle name="Euro 38" xfId="1635" xr:uid="{90818EFD-2156-4630-83EB-7D8F0C1D6D89}"/>
    <cellStyle name="Euro 39" xfId="1636" xr:uid="{9ABDD466-46C7-416E-BA4F-959D75466342}"/>
    <cellStyle name="Euro 4" xfId="1637" xr:uid="{1AA08CFB-BF59-4CE8-9124-D05D5A3082C3}"/>
    <cellStyle name="Euro 4 2" xfId="1638" xr:uid="{837E81A6-0EE0-43AE-B421-2FC9F79CDA30}"/>
    <cellStyle name="Euro 4 3" xfId="1639" xr:uid="{BCA63FF1-67BB-4EF7-A571-1205B3C2B47E}"/>
    <cellStyle name="Euro 40" xfId="1640" xr:uid="{F12431FB-970A-4C3D-9E38-7BFD522AB1BD}"/>
    <cellStyle name="Euro 41" xfId="1641" xr:uid="{D8DD318F-7295-4985-A69D-2037EC9111FE}"/>
    <cellStyle name="Euro 42" xfId="1642" xr:uid="{37BD4CB3-D91A-49A1-8C6F-40ACA5FEC6C2}"/>
    <cellStyle name="Euro 43" xfId="1643" xr:uid="{8F0BF294-F2E2-4785-8D93-D8EB2603472F}"/>
    <cellStyle name="Euro 44" xfId="1644" xr:uid="{C7A0FC94-F059-4EC8-9653-F305329C1996}"/>
    <cellStyle name="Euro 45" xfId="1645" xr:uid="{D1CD416E-9C07-4DE3-AA38-9C2272264213}"/>
    <cellStyle name="Euro 46" xfId="1646" xr:uid="{1577A0E6-8A05-45F7-A8A6-026887245855}"/>
    <cellStyle name="Euro 47" xfId="1647" xr:uid="{3073C197-6282-4705-9B73-F172EDE33121}"/>
    <cellStyle name="Euro 48" xfId="1648" xr:uid="{A2960620-682B-4C5E-B1F4-61B3B64E7403}"/>
    <cellStyle name="Euro 49" xfId="1649" xr:uid="{223CD33F-A850-4216-9427-4562DCD5B626}"/>
    <cellStyle name="Euro 5" xfId="1650" xr:uid="{52A4CF8A-3582-409E-8205-D2186B040D36}"/>
    <cellStyle name="Euro 5 2" xfId="1651" xr:uid="{BB5D71BC-6B22-4D26-BD99-695C2B3BAFC2}"/>
    <cellStyle name="Euro 50" xfId="1652" xr:uid="{258B9DB2-DD06-4593-9615-1873D3F0C660}"/>
    <cellStyle name="Euro 51" xfId="1653" xr:uid="{15B67913-5131-428E-9DCF-FFF4B4E692AE}"/>
    <cellStyle name="Euro 52" xfId="1654" xr:uid="{4067C94D-0D21-4689-8F68-84FD6BC50FDD}"/>
    <cellStyle name="Euro 53" xfId="1655" xr:uid="{880FBA97-5567-4D91-9064-19D5FF67084D}"/>
    <cellStyle name="Euro 54" xfId="1656" xr:uid="{3DB92940-80F0-4096-B842-BFFB4F7558A7}"/>
    <cellStyle name="Euro 55" xfId="1657" xr:uid="{9DFC7046-296F-4E6D-9B9D-ABB915DD09A6}"/>
    <cellStyle name="Euro 56" xfId="1658" xr:uid="{EB1B38A1-87A8-4D97-B142-536F93233730}"/>
    <cellStyle name="Euro 57" xfId="1659" xr:uid="{BC26C8F5-6EAB-49C8-B817-38ADDBF35A6A}"/>
    <cellStyle name="Euro 58" xfId="1660" xr:uid="{CFE57FD1-DAEB-49FD-8946-F74604F865D5}"/>
    <cellStyle name="Euro 59" xfId="1661" xr:uid="{B0F7C108-7191-4407-8A3B-D1C2D8DA22BB}"/>
    <cellStyle name="Euro 6" xfId="1662" xr:uid="{1B368F99-EF49-44C1-8E93-D44E68934762}"/>
    <cellStyle name="Euro 6 2" xfId="1663" xr:uid="{6F299206-A615-46A4-AF89-D1C7D2572EF9}"/>
    <cellStyle name="Euro 60" xfId="1664" xr:uid="{D6D550DC-05BB-4A27-BD05-4828085F42FA}"/>
    <cellStyle name="Euro 61" xfId="1665" xr:uid="{6EBBE562-DA0D-41E4-A9CA-C6D017CD3B1E}"/>
    <cellStyle name="Euro 62" xfId="1666" xr:uid="{07AFBABA-77E5-426B-B612-4D74D5EFC14B}"/>
    <cellStyle name="Euro 63" xfId="1667" xr:uid="{540E5224-3DDD-4D42-B3AE-9014CD6DCDB8}"/>
    <cellStyle name="Euro 64" xfId="1668" xr:uid="{A356E2B9-8A70-4297-A481-3DF727AB70EC}"/>
    <cellStyle name="Euro 65" xfId="1669" xr:uid="{82A289D2-5245-4CBC-B5C9-DF941F63B2C6}"/>
    <cellStyle name="Euro 66" xfId="1670" xr:uid="{3F67AA94-BE08-4C5E-8C72-190C06D141D2}"/>
    <cellStyle name="Euro 7" xfId="1671" xr:uid="{C5BFA215-4A9E-4343-858B-6F5B5091B726}"/>
    <cellStyle name="Euro 7 2" xfId="1672" xr:uid="{CA5D3A60-923F-4713-9771-A3374C09B22C}"/>
    <cellStyle name="Euro 8" xfId="1673" xr:uid="{D765A95C-D0F5-494C-AFFB-437CDA721644}"/>
    <cellStyle name="Euro 8 2" xfId="1674" xr:uid="{446370D2-227F-4B7E-94DE-58E5B06014F1}"/>
    <cellStyle name="Euro 9" xfId="1675" xr:uid="{BC1057F2-62C0-40DD-8A12-4ED2B032BA87}"/>
    <cellStyle name="Euro 9 2" xfId="1676" xr:uid="{850ACE95-CD5B-45FA-98DF-79F0DA103416}"/>
    <cellStyle name="Euro_SIC PNLP Gx" xfId="1677" xr:uid="{6ECE81D7-DFDD-4B68-ABBF-0CF6BCF8A914}"/>
    <cellStyle name="Explanatory Text" xfId="421" builtinId="53" customBuiltin="1"/>
    <cellStyle name="Explanatory Text 2" xfId="475" xr:uid="{D05B0A09-9FA3-4A78-80B1-5EE1D595C98B}"/>
    <cellStyle name="Explanatory Text 2 2" xfId="1678" xr:uid="{F1B22BA7-CB19-4C76-B3CA-35E25A2129BE}"/>
    <cellStyle name="F2" xfId="1679" xr:uid="{FF7C6624-D481-4DA8-9786-4C12B7CF6205}"/>
    <cellStyle name="F2 2" xfId="1680" xr:uid="{A63F87A7-F859-4874-80EF-6C6A9FF945AC}"/>
    <cellStyle name="F3" xfId="1681" xr:uid="{D15481B2-0FDC-494E-81ED-A4CE6F94007F}"/>
    <cellStyle name="F3 2" xfId="1682" xr:uid="{AB601530-D452-4790-B568-61DE0E0B0861}"/>
    <cellStyle name="F4" xfId="1683" xr:uid="{7F78B4CA-EFF5-4C40-AEB8-954A311761B5}"/>
    <cellStyle name="F4 2" xfId="1684" xr:uid="{7C68A452-A569-4CC8-B022-5CF8C796532C}"/>
    <cellStyle name="F5" xfId="1685" xr:uid="{68F7D2A5-2815-4370-81EA-27A15B3AE2CC}"/>
    <cellStyle name="F5 2" xfId="1686" xr:uid="{3FB71D28-084C-4D00-9FAE-A51C62364250}"/>
    <cellStyle name="F6" xfId="1687" xr:uid="{A2832881-D186-4F8C-BA41-82C72F5553A2}"/>
    <cellStyle name="F6 2" xfId="1688" xr:uid="{426F5E28-DE51-49A4-8DB0-97F8003F2A26}"/>
    <cellStyle name="F7" xfId="1689" xr:uid="{B6443820-DB47-4DE9-B958-EDCC7FABC14F}"/>
    <cellStyle name="F7 2" xfId="1690" xr:uid="{1955B447-2E91-40BB-A723-220F4AEBD1ED}"/>
    <cellStyle name="F8" xfId="1691" xr:uid="{3B60A6DB-5E89-44CD-B843-7714A1E6BAF9}"/>
    <cellStyle name="F8 2" xfId="1692" xr:uid="{A60F98F5-D479-44EF-80A2-0FAB7AE1A50D}"/>
    <cellStyle name="Fecha" xfId="1693" xr:uid="{A9ECBD33-D698-4798-B8CC-9EE60F7174F6}"/>
    <cellStyle name="Fijo" xfId="1694" xr:uid="{9AB97568-632F-43AE-8FF8-89A0ADF05C87}"/>
    <cellStyle name="Fijo 2" xfId="1695" xr:uid="{D6FC99F5-35A1-4D89-9797-8F2913AA6A3E}"/>
    <cellStyle name="Financiero" xfId="1696" xr:uid="{51CA73B0-95BD-41FE-B64C-45A8CDA7021A}"/>
    <cellStyle name="Fixed" xfId="1697" xr:uid="{1B62F7EB-F4C3-4D25-8E77-AB7C8BCA6DA4}"/>
    <cellStyle name="Fixed 2" xfId="1698" xr:uid="{B1D7326B-FD5C-4150-B5C3-B2632710B19D}"/>
    <cellStyle name="Good" xfId="413" builtinId="26" customBuiltin="1"/>
    <cellStyle name="Good 2" xfId="466" xr:uid="{540DC041-D033-49D6-9F9A-A358CE5ADD05}"/>
    <cellStyle name="Good 2 2" xfId="1699" xr:uid="{2E011FDC-FBA0-4DC2-B718-05CCE12257DE}"/>
    <cellStyle name="Heading 1" xfId="409" builtinId="16" customBuiltin="1"/>
    <cellStyle name="Heading 1 2" xfId="462" xr:uid="{960262F6-1E3F-4164-B2CC-03B900E40D76}"/>
    <cellStyle name="Heading 1 2 2" xfId="1700" xr:uid="{2BDDF412-1A3D-49BA-B84B-8D21FB1E30FE}"/>
    <cellStyle name="Heading 2" xfId="410" builtinId="17" customBuiltin="1"/>
    <cellStyle name="Heading 2 2" xfId="463" xr:uid="{CF192E8D-1721-4C78-8E7E-709203B06516}"/>
    <cellStyle name="Heading 2 2 2" xfId="1701" xr:uid="{F3AB4917-280F-4D9F-BA13-3D15F8C9E78C}"/>
    <cellStyle name="Heading 3" xfId="411" builtinId="18" customBuiltin="1"/>
    <cellStyle name="Heading 3 2" xfId="464" xr:uid="{8AF430BA-8CCD-442B-9908-C807AF2CCADC}"/>
    <cellStyle name="Heading 3 2 2" xfId="1702" xr:uid="{821452B4-DCFE-4915-ABDE-E392BF9D8083}"/>
    <cellStyle name="Heading 4" xfId="412" builtinId="19" customBuiltin="1"/>
    <cellStyle name="Heading 4 2" xfId="465" xr:uid="{5C66B03C-5C49-47FA-AADB-C3F8EC1BFBB5}"/>
    <cellStyle name="Heading 4 2 2" xfId="1703" xr:uid="{07000F05-5C98-4E17-9B1E-E909CCF2C419}"/>
    <cellStyle name="Heading1" xfId="1704" xr:uid="{76494442-8666-4973-909F-5BD4858029B7}"/>
    <cellStyle name="Heading1 2" xfId="1705" xr:uid="{2D7745A3-07A0-4743-B129-0FE4257D5AAF}"/>
    <cellStyle name="Heading2" xfId="1706" xr:uid="{03E6C2C3-CB0C-48A4-9234-F46D6D02742D}"/>
    <cellStyle name="Heading2 2" xfId="1707" xr:uid="{DFF0B6A7-8BB8-4112-B553-A4054A34EC59}"/>
    <cellStyle name="Hipervínculo 2" xfId="1708" xr:uid="{715899A1-EAA7-4CA8-85F6-6125FDAB8BCE}"/>
    <cellStyle name="Hipervínculo 2 2" xfId="1709" xr:uid="{88F277D6-8D40-4E70-8F80-705024E564EE}"/>
    <cellStyle name="Hyperlink" xfId="3" builtinId="8"/>
    <cellStyle name="Hyperlink 2" xfId="8" xr:uid="{B862B2AC-9366-40AB-91D8-7428BF50CB7D}"/>
    <cellStyle name="Hyperlink 2 2" xfId="1710" xr:uid="{498039C3-E7D1-47C2-AD79-86849E99CEFD}"/>
    <cellStyle name="Hyperlink 3" xfId="374" xr:uid="{42D0BC5D-3EFE-4A12-B603-8C77B5563384}"/>
    <cellStyle name="Incorrecto 2" xfId="1711" xr:uid="{B5C7B358-9532-49D9-A181-5CAD7A782C1A}"/>
    <cellStyle name="Incorrecto 2 2" xfId="1712" xr:uid="{8F1117FF-C528-4FFA-8FD7-F43886099BC7}"/>
    <cellStyle name="Incorrecto 3" xfId="1713" xr:uid="{01A19F71-EFB7-4484-B8E9-241BCD136696}"/>
    <cellStyle name="Incorrecto 3 2" xfId="1714" xr:uid="{DAC2EAE8-7099-42EB-9992-EB732E15585A}"/>
    <cellStyle name="Incorrecto 4" xfId="1715" xr:uid="{268E91E5-2F26-4BD8-871D-C4762F4B5B24}"/>
    <cellStyle name="Input" xfId="415" builtinId="20" customBuiltin="1"/>
    <cellStyle name="Input 2" xfId="469" xr:uid="{1C08EBF0-DE27-41D5-9BFE-F2BE6D7F6DAB}"/>
    <cellStyle name="Input 2 2" xfId="1716" xr:uid="{2D76D46C-876A-4D56-8765-00DB3E18CE25}"/>
    <cellStyle name="Linked Cell" xfId="418" builtinId="24" customBuiltin="1"/>
    <cellStyle name="Linked Cell 2" xfId="472" xr:uid="{56508928-16C5-452B-9882-11B57F0189CA}"/>
    <cellStyle name="Linked Cell 2 2" xfId="1717" xr:uid="{2A0E48EC-1864-4E64-BF44-747FB6D3C87D}"/>
    <cellStyle name="Millares [0] 2" xfId="1718" xr:uid="{E9E12E9F-B910-4D31-9F4D-24C904096ECF}"/>
    <cellStyle name="Millares [0] 2 10" xfId="1719" xr:uid="{902CF2FA-DD90-4801-AD10-3878E2A37B7F}"/>
    <cellStyle name="Millares [0] 2 2" xfId="1720" xr:uid="{45670F45-ED6C-4135-AAB7-23B894583551}"/>
    <cellStyle name="Millares [0] 2 2 2" xfId="1721" xr:uid="{84856C3B-FA20-42CE-B51E-822EFA0BAE86}"/>
    <cellStyle name="Millares [0] 2 2 2 2" xfId="1722" xr:uid="{A46736F0-5661-4FF6-B2A8-27C4C92F93EA}"/>
    <cellStyle name="Millares [0] 2 2 2 3" xfId="1723" xr:uid="{A014421F-6AA9-4ED9-8809-0AD9E588E830}"/>
    <cellStyle name="Millares [0] 2 2 2 3 2" xfId="1724" xr:uid="{ADB17B9D-B8B0-49D5-A62B-F4B8FFA6E737}"/>
    <cellStyle name="Millares [0] 2 2 2 4" xfId="1725" xr:uid="{D1B9D3AA-04F9-45F3-B80C-59FAD5B2D2E2}"/>
    <cellStyle name="Millares [0] 2 2 2 4 2" xfId="1726" xr:uid="{7E458FDF-D03F-43FF-898D-5E75476F6CD3}"/>
    <cellStyle name="Millares [0] 2 2 2 4 3" xfId="1727" xr:uid="{E23A3B02-3F10-4075-9333-8D5C90545D17}"/>
    <cellStyle name="Millares [0] 2 2 2 5" xfId="1728" xr:uid="{59831913-F4BE-47B5-BF4E-2F68CFEF4C82}"/>
    <cellStyle name="Millares [0] 2 2 2 5 2" xfId="1729" xr:uid="{42DD3B98-B273-4DDB-9ABA-B25C649401FE}"/>
    <cellStyle name="Millares [0] 2 2 2 5 3" xfId="1730" xr:uid="{4CCE22A5-688E-470C-9387-C1FBC568E136}"/>
    <cellStyle name="Millares [0] 2 2 2 6" xfId="1731" xr:uid="{87E7666C-FB60-46E6-B76D-2DA636CAA6C3}"/>
    <cellStyle name="Millares [0] 2 2 3" xfId="1732" xr:uid="{6C6023FE-EDEF-4FEF-8804-8B46E87171C3}"/>
    <cellStyle name="Millares [0] 2 2 4" xfId="1733" xr:uid="{F60C09CD-B24C-4340-B722-2EB632264D28}"/>
    <cellStyle name="Millares [0] 2 2 5" xfId="1734" xr:uid="{C67D8D92-33E5-4478-A9DC-AF834C72E5A3}"/>
    <cellStyle name="Millares [0] 2 2 6" xfId="1735" xr:uid="{BE4A59C6-21CE-4F09-A2AB-5B418B80FB2E}"/>
    <cellStyle name="Millares [0] 2 2 7" xfId="1736" xr:uid="{17576A86-6138-47A7-9CD7-B24B7F96FD7F}"/>
    <cellStyle name="Millares [0] 2 2 8" xfId="1737" xr:uid="{1B6787EC-A3E0-417C-BBB9-E5DB083C7BDD}"/>
    <cellStyle name="Millares [0] 2 3" xfId="1738" xr:uid="{BD82EF06-4477-428F-AC58-81CA1D1EC4BE}"/>
    <cellStyle name="Millares [0] 2 4" xfId="1739" xr:uid="{8B453A9C-618A-4BD7-891D-ADF31FA4820E}"/>
    <cellStyle name="Millares [0] 2 4 2" xfId="1740" xr:uid="{64D0EE9F-6F88-4C21-BF55-0981DB7DE8B2}"/>
    <cellStyle name="Millares [0] 2 4 3" xfId="1741" xr:uid="{8BC0DF1D-F49C-4B95-885E-447D3155B5D3}"/>
    <cellStyle name="Millares [0] 2 4 3 2" xfId="1742" xr:uid="{7396229F-8720-425B-AFBD-9233EA9EAE96}"/>
    <cellStyle name="Millares [0] 2 4 4" xfId="1743" xr:uid="{16E2C88A-A6FE-46C2-9E8A-896FEAAEB72F}"/>
    <cellStyle name="Millares [0] 2 4 4 2" xfId="1744" xr:uid="{77F5E2C0-F81D-4805-81A7-87BA7EACF011}"/>
    <cellStyle name="Millares [0] 2 4 4 3" xfId="1745" xr:uid="{0E5F50FD-4E5B-4114-AD82-72AB2565FC5F}"/>
    <cellStyle name="Millares [0] 2 4 5" xfId="1746" xr:uid="{6D842614-4E04-4860-A607-B8B771592EB0}"/>
    <cellStyle name="Millares [0] 2 4 5 2" xfId="1747" xr:uid="{FB6A215E-654C-4AC6-929E-52E3381DCCCC}"/>
    <cellStyle name="Millares [0] 2 4 5 3" xfId="1748" xr:uid="{B66BCB57-18D6-4871-9541-CC3BEAD775F1}"/>
    <cellStyle name="Millares [0] 2 4 6" xfId="1749" xr:uid="{96012C8D-A53C-456C-BB6F-41C73195E8B7}"/>
    <cellStyle name="Millares [0] 2 5" xfId="1750" xr:uid="{C9E78D94-3888-4226-BD0B-02C6492229F0}"/>
    <cellStyle name="Millares [0] 2 6" xfId="1751" xr:uid="{74D7ADF6-9DEB-45D3-8B75-A309908F881D}"/>
    <cellStyle name="Millares [0] 2 7" xfId="1752" xr:uid="{1CB4ADD0-AC01-4ADF-AF46-B6CF8AB9BDA5}"/>
    <cellStyle name="Millares [0] 2 8" xfId="1753" xr:uid="{8C6FFA12-5BA1-4F53-A54D-431898E58F7E}"/>
    <cellStyle name="Millares [0] 2 9" xfId="1754" xr:uid="{60428EFA-A669-4953-8151-0FE7D822EFB3}"/>
    <cellStyle name="Millares [0] 3" xfId="1755" xr:uid="{9CB0331E-9A92-4C18-A951-46B0FF940AC4}"/>
    <cellStyle name="Millares [0] 4" xfId="1756" xr:uid="{89A1569F-4BCC-4C2F-93FC-3A5E88514E1F}"/>
    <cellStyle name="Millares 10" xfId="1757" xr:uid="{053E1923-5954-4499-A03B-BF3F1728224E}"/>
    <cellStyle name="Millares 10 2" xfId="1758" xr:uid="{B6C87F8A-1752-43F6-948E-A008DF83749C}"/>
    <cellStyle name="Millares 10 3" xfId="1759" xr:uid="{52C5AD8A-D34C-4A26-8362-3884F87DFAEC}"/>
    <cellStyle name="Millares 11" xfId="1760" xr:uid="{E08C18D3-7D7C-4411-8D6B-FBF0AE8E5D20}"/>
    <cellStyle name="Millares 11 2" xfId="1761" xr:uid="{07337A1B-CB41-4CF7-88F0-C2414FFE7069}"/>
    <cellStyle name="Millares 11 3" xfId="1762" xr:uid="{B12B92D1-0081-46EA-BB3D-7AC86803432E}"/>
    <cellStyle name="Millares 11 4" xfId="1763" xr:uid="{DF2DA9CD-882C-41CE-AEC8-3C1566EA09A6}"/>
    <cellStyle name="Millares 11 4 2" xfId="1764" xr:uid="{DBF06D0B-0795-42A3-819E-AFA732F9E195}"/>
    <cellStyle name="Millares 11 5" xfId="1765" xr:uid="{B942571D-3979-4223-B5F6-BA71A3DA3D52}"/>
    <cellStyle name="Millares 11 5 2" xfId="1766" xr:uid="{482EF95F-5111-4139-8717-516DDAD1FB27}"/>
    <cellStyle name="Millares 11 5 3" xfId="1767" xr:uid="{1CA27CBD-BFF9-4821-A9DF-85D86D4BCD3A}"/>
    <cellStyle name="Millares 11 6" xfId="1768" xr:uid="{418B3733-1462-4BB6-9CFC-3AF08F7BB638}"/>
    <cellStyle name="Millares 11 6 2" xfId="1769" xr:uid="{294336FD-25EC-4F5E-913D-DF2B192C8FAA}"/>
    <cellStyle name="Millares 11 6 3" xfId="1770" xr:uid="{E240C4D0-58E6-44CC-8399-553C656BAE1C}"/>
    <cellStyle name="Millares 11 7" xfId="1771" xr:uid="{05454EC6-7DBC-4F72-B1F3-C7E0DCC05772}"/>
    <cellStyle name="Millares 12" xfId="1772" xr:uid="{788BC641-1E5B-4092-A067-73910985FF72}"/>
    <cellStyle name="Millares 12 2" xfId="1773" xr:uid="{2784AC5C-8CBE-4D17-9A66-2D3883C11C56}"/>
    <cellStyle name="Millares 12 3" xfId="1774" xr:uid="{1F27042D-B66B-40A7-88BF-C7F653EABDAF}"/>
    <cellStyle name="Millares 12 4" xfId="1775" xr:uid="{B1243B30-A6C2-4B5C-A654-F29832FC4A7E}"/>
    <cellStyle name="Millares 12 4 2" xfId="1776" xr:uid="{E2616CFB-F76D-43FB-92D2-36B73333BAF3}"/>
    <cellStyle name="Millares 12 5" xfId="1777" xr:uid="{044F3CBD-8568-4F38-8ADB-A3524D37C507}"/>
    <cellStyle name="Millares 12 5 2" xfId="1778" xr:uid="{CE2DF6F4-D0D2-47A9-9420-C8DE4D65B229}"/>
    <cellStyle name="Millares 12 5 3" xfId="1779" xr:uid="{79A820B9-54D8-4590-AE9F-ACC04F159EC7}"/>
    <cellStyle name="Millares 12 6" xfId="1780" xr:uid="{9708FD7E-51F5-4CD8-ABA3-E61D0355A8D9}"/>
    <cellStyle name="Millares 12 6 2" xfId="1781" xr:uid="{9AB580FB-F27A-436B-A316-3A23D0E8045B}"/>
    <cellStyle name="Millares 12 6 3" xfId="1782" xr:uid="{0C5027B0-9785-4A64-BC8A-A6E2337700CE}"/>
    <cellStyle name="Millares 12 7" xfId="1783" xr:uid="{954D3B2F-D0D3-47EF-94E1-4DF6EE9ABA73}"/>
    <cellStyle name="Millares 13" xfId="1784" xr:uid="{4A730D65-106C-4428-80EF-6237F96868ED}"/>
    <cellStyle name="Millares 13 2" xfId="1785" xr:uid="{A3C3993C-AC3E-4701-BB7B-28DA8467BD81}"/>
    <cellStyle name="Millares 13 3" xfId="1786" xr:uid="{E7B2943E-9208-41C6-B99D-FC497D479278}"/>
    <cellStyle name="Millares 13 4" xfId="1787" xr:uid="{B655EC3E-671F-4035-AF5A-9E88E73F069B}"/>
    <cellStyle name="Millares 13 4 2" xfId="1788" xr:uid="{3AFA5F2D-F403-40AE-941C-92451BC8B759}"/>
    <cellStyle name="Millares 13 5" xfId="1789" xr:uid="{4F201D31-8E57-4177-AA52-B634FFFE2B5B}"/>
    <cellStyle name="Millares 13 5 2" xfId="1790" xr:uid="{56180363-6DFD-473B-9DFE-5929D29E9E70}"/>
    <cellStyle name="Millares 13 5 3" xfId="1791" xr:uid="{DC5A5D5D-08DB-4913-AADC-87AD79C55F41}"/>
    <cellStyle name="Millares 13 6" xfId="1792" xr:uid="{AB4D56FC-E8EB-49C6-9D9A-4C6A9DABAF6B}"/>
    <cellStyle name="Millares 13 6 2" xfId="1793" xr:uid="{DFDB442C-F76E-47C2-BA43-5BF6AB504092}"/>
    <cellStyle name="Millares 13 6 3" xfId="1794" xr:uid="{622D6FA4-B41E-4B1E-8DF8-C731931DB6AF}"/>
    <cellStyle name="Millares 13 7" xfId="1795" xr:uid="{8930AF54-0589-4322-99EE-4A87BA8E0AF9}"/>
    <cellStyle name="Millares 14" xfId="1796" xr:uid="{45A6B92B-C167-4033-B515-720E3430D5FE}"/>
    <cellStyle name="Millares 14 2" xfId="1797" xr:uid="{9D41202E-3588-4FF0-A66F-96B428B98F06}"/>
    <cellStyle name="Millares 14 3" xfId="1798" xr:uid="{ABB5A1F7-430E-4BF1-8023-1F103788F207}"/>
    <cellStyle name="Millares 14 4" xfId="1799" xr:uid="{0950AA67-42FC-4050-AC00-85FE4EC09DB2}"/>
    <cellStyle name="Millares 14 4 2" xfId="1800" xr:uid="{F68CA9B3-2E87-4B1C-85AD-382A456CB959}"/>
    <cellStyle name="Millares 14 5" xfId="1801" xr:uid="{9A81BE8F-0554-4416-A1A6-BFF2D7FC4D5D}"/>
    <cellStyle name="Millares 14 5 2" xfId="1802" xr:uid="{30E879A5-BF9A-4E79-846D-FE2555A59184}"/>
    <cellStyle name="Millares 14 5 3" xfId="1803" xr:uid="{5A8045F2-86E6-4680-AA02-CDF9F342A966}"/>
    <cellStyle name="Millares 14 6" xfId="1804" xr:uid="{66D6695B-8AE6-4AE8-8C4D-55AB6BCBDD73}"/>
    <cellStyle name="Millares 14 6 2" xfId="1805" xr:uid="{AB71FA21-DEE4-4D8E-A239-F31673F115C4}"/>
    <cellStyle name="Millares 14 6 3" xfId="1806" xr:uid="{70E42E14-BAA2-487A-9935-5D7BFA2E778E}"/>
    <cellStyle name="Millares 14 7" xfId="1807" xr:uid="{78914DD0-2446-4B8A-AA29-3D97356D897B}"/>
    <cellStyle name="Millares 15" xfId="1808" xr:uid="{3936C3A6-E1F0-41B9-8A6B-413E51D0A77F}"/>
    <cellStyle name="Millares 15 2" xfId="1809" xr:uid="{BE72F562-850E-44BC-A180-B8A16EE1034B}"/>
    <cellStyle name="Millares 15 3" xfId="1810" xr:uid="{2832533B-FA2A-4697-9D3B-E59D175C2F22}"/>
    <cellStyle name="Millares 15 4" xfId="1811" xr:uid="{CCD88588-7A91-42CD-A7F6-DDBFAAAB61CF}"/>
    <cellStyle name="Millares 15 4 2" xfId="1812" xr:uid="{979140DF-5CE1-4E38-B23F-087E3A4B1DCF}"/>
    <cellStyle name="Millares 15 5" xfId="1813" xr:uid="{F7F527A0-DF6A-4D8B-A23D-F54D857762D9}"/>
    <cellStyle name="Millares 15 5 2" xfId="1814" xr:uid="{FCCF6236-63E4-4C45-A5E4-A89717348E5E}"/>
    <cellStyle name="Millares 15 5 3" xfId="1815" xr:uid="{2F73711A-4F7E-4E49-8FB5-3856E7047399}"/>
    <cellStyle name="Millares 15 6" xfId="1816" xr:uid="{4A8B0035-D60C-4209-8B79-19CEE29B3635}"/>
    <cellStyle name="Millares 15 6 2" xfId="1817" xr:uid="{80F1D005-B694-4A34-B76B-7016A799C458}"/>
    <cellStyle name="Millares 15 6 3" xfId="1818" xr:uid="{44901990-C5E9-4265-B9DC-BE651CF9E869}"/>
    <cellStyle name="Millares 15 7" xfId="1819" xr:uid="{197973E8-6B27-4DE5-97B2-5B9F42F5D690}"/>
    <cellStyle name="Millares 16" xfId="1820" xr:uid="{68719A6D-B921-47F6-A744-3A7A78799372}"/>
    <cellStyle name="Millares 16 2" xfId="1821" xr:uid="{1DFE6ABB-D40F-4F65-8EFF-ED03B79E7FC5}"/>
    <cellStyle name="Millares 16 3" xfId="1822" xr:uid="{D6B16799-BE2C-4F4A-A1BA-87AB523F2C16}"/>
    <cellStyle name="Millares 16 4" xfId="1823" xr:uid="{A3A5EF42-C556-4EB2-BAEB-AB75BC028E1E}"/>
    <cellStyle name="Millares 16 4 2" xfId="1824" xr:uid="{9E2A2196-6C59-43AA-8047-50F33B30A6B6}"/>
    <cellStyle name="Millares 16 5" xfId="1825" xr:uid="{F46BBF2D-0CC4-4CE5-B682-E7207231E8AE}"/>
    <cellStyle name="Millares 16 5 2" xfId="1826" xr:uid="{667D71A8-59E1-4B42-98A2-9ABFFFF89977}"/>
    <cellStyle name="Millares 16 5 3" xfId="1827" xr:uid="{7458E777-F02B-48D8-BBEF-CB8EF6C9BDF8}"/>
    <cellStyle name="Millares 16 6" xfId="1828" xr:uid="{21AF3049-FBC8-4255-B899-D621EE5E3587}"/>
    <cellStyle name="Millares 16 6 2" xfId="1829" xr:uid="{6ED4ABB7-0B4A-478E-A1CB-5348A6551F94}"/>
    <cellStyle name="Millares 16 6 3" xfId="1830" xr:uid="{BBC11B23-8428-4319-939B-26B1F1C69200}"/>
    <cellStyle name="Millares 16 7" xfId="1831" xr:uid="{8D100D4C-08B6-47E1-A634-5A66B8E610D4}"/>
    <cellStyle name="Millares 17" xfId="1832" xr:uid="{19BEE8B7-17F6-4A4E-A1DE-7AD113E59D04}"/>
    <cellStyle name="Millares 17 2" xfId="1833" xr:uid="{A55179EB-87BD-42B4-8525-F3EB8B0E422E}"/>
    <cellStyle name="Millares 17 3" xfId="1834" xr:uid="{ECDAA658-EA64-4F11-9B42-A517221110E5}"/>
    <cellStyle name="Millares 17 4" xfId="1835" xr:uid="{E20D35FD-5508-4548-AC91-72D97E07CEAA}"/>
    <cellStyle name="Millares 17 4 2" xfId="1836" xr:uid="{2EAE85BB-DFB4-4ABB-9525-26CE79932924}"/>
    <cellStyle name="Millares 17 5" xfId="1837" xr:uid="{20DEF1A6-453F-4161-810A-A2A73BE43CAC}"/>
    <cellStyle name="Millares 17 5 2" xfId="1838" xr:uid="{E11AE54C-AF12-4EA2-A152-3C6196D1FDFB}"/>
    <cellStyle name="Millares 17 5 3" xfId="1839" xr:uid="{55C00736-5FCF-4FF8-99E4-FD8615A7BB38}"/>
    <cellStyle name="Millares 17 6" xfId="1840" xr:uid="{73D52CF7-1408-461E-B50A-347BDB6809B5}"/>
    <cellStyle name="Millares 17 6 2" xfId="1841" xr:uid="{8CDFFDF7-3E84-493E-809A-81EDFB8BA20F}"/>
    <cellStyle name="Millares 17 6 3" xfId="1842" xr:uid="{690DF526-5B6E-489C-BB69-8A72F715A181}"/>
    <cellStyle name="Millares 17 7" xfId="1843" xr:uid="{524E9BCC-6924-4BD8-8E9A-0DB30A384FAD}"/>
    <cellStyle name="Millares 18" xfId="1844" xr:uid="{BE1300D8-C6B8-4380-B294-2F7BCA16C4D3}"/>
    <cellStyle name="Millares 18 2" xfId="1845" xr:uid="{227FD637-889D-4F3E-AB78-FDB038105587}"/>
    <cellStyle name="Millares 19" xfId="1846" xr:uid="{CF7714EF-BB2A-4AAA-9585-BD7C89CAA44C}"/>
    <cellStyle name="Millares 19 2" xfId="1847" xr:uid="{422275AC-6186-47DD-AB6A-AD4023DC022E}"/>
    <cellStyle name="Millares 2" xfId="1848" xr:uid="{3FFA11C7-72B5-4EB7-9A8A-7FD2320ADE6E}"/>
    <cellStyle name="Millares 2 2" xfId="1849" xr:uid="{F893BEF2-8768-4260-8668-0C84A32D04AA}"/>
    <cellStyle name="Millares 2 2 2" xfId="1850" xr:uid="{34AA979E-EC3F-4771-97BE-6CFA9584FF5D}"/>
    <cellStyle name="Millares 2 2 2 2" xfId="1851" xr:uid="{2B38888A-5E35-4E21-8851-4D575AAD90ED}"/>
    <cellStyle name="Millares 2 2 3" xfId="1852" xr:uid="{E2612BC0-03BF-45B3-973D-3F99CE84DDB3}"/>
    <cellStyle name="Millares 2 3" xfId="1853" xr:uid="{DD6465B6-F2E9-4816-9788-2DAF52F7ECC4}"/>
    <cellStyle name="Millares 2 3 2" xfId="1854" xr:uid="{7F3A9AAF-370B-4AF4-8E35-2DB7D11AE894}"/>
    <cellStyle name="Millares 2 4" xfId="1855" xr:uid="{24696843-D60E-4119-AD5B-832943DE7A9D}"/>
    <cellStyle name="Millares 2 4 2" xfId="1856" xr:uid="{D53A96B7-BC37-4889-A44A-EFBF04D4EAB3}"/>
    <cellStyle name="Millares 2 5" xfId="1857" xr:uid="{19567CFA-AB78-482D-A11F-20F0B54012E3}"/>
    <cellStyle name="Millares 2 6" xfId="1858" xr:uid="{A90F6D3D-92EC-40EB-83D2-C941DC0BDE85}"/>
    <cellStyle name="Millares 2_Cap 3 Transacciones v27042009" xfId="1859" xr:uid="{86CBBE85-7BCE-4D36-86C7-FC134A38E171}"/>
    <cellStyle name="Millares 20" xfId="1860" xr:uid="{5B083423-D8CD-4CC3-9385-5376B6D8511E}"/>
    <cellStyle name="Millares 20 2" xfId="1861" xr:uid="{7B0FADB9-AB76-41E4-BCA4-2C16CD92155D}"/>
    <cellStyle name="Millares 21" xfId="1862" xr:uid="{EF44F972-8A1A-41C6-99B6-A9FCEE0D21EF}"/>
    <cellStyle name="Millares 21 2" xfId="1863" xr:uid="{56D64BBC-3661-491A-B87A-4783BD5AF4DE}"/>
    <cellStyle name="Millares 22" xfId="1864" xr:uid="{1CC4D156-F161-4B9C-9776-F4CF3BA1D561}"/>
    <cellStyle name="Millares 22 2" xfId="1865" xr:uid="{042A43DF-7DF1-49F6-95FA-CA955FFE50F2}"/>
    <cellStyle name="Millares 22 3" xfId="1866" xr:uid="{DC9B81F8-1571-4159-ADFF-DE9BDB877F0C}"/>
    <cellStyle name="Millares 22 4" xfId="1867" xr:uid="{A9C60EAB-48CF-4B2A-9600-81E5D23894CB}"/>
    <cellStyle name="Millares 22 4 2" xfId="1868" xr:uid="{AC03D6B5-D97E-4863-BB93-36401327CFC7}"/>
    <cellStyle name="Millares 22 5" xfId="1869" xr:uid="{A1F718AE-B53F-4E3E-9002-AE51E61F2023}"/>
    <cellStyle name="Millares 22 5 2" xfId="1870" xr:uid="{DD4E8F40-2DDE-4D06-9EC8-B17EF6BD07D3}"/>
    <cellStyle name="Millares 22 5 3" xfId="1871" xr:uid="{6A63A2C5-6A44-4EE9-91F3-AAA310F242C6}"/>
    <cellStyle name="Millares 22 6" xfId="1872" xr:uid="{77EDBD0E-6964-4E0A-97E9-D4A49BD547B2}"/>
    <cellStyle name="Millares 22 6 2" xfId="1873" xr:uid="{7EF2314D-3743-4F92-9F19-D0E98F8BE667}"/>
    <cellStyle name="Millares 22 6 3" xfId="1874" xr:uid="{570CF5FF-6B5B-4D21-AEB7-711E7634BB79}"/>
    <cellStyle name="Millares 22 7" xfId="1875" xr:uid="{1FB2D567-22BF-4062-BB23-1BAE1BC8EEB2}"/>
    <cellStyle name="Millares 23" xfId="1876" xr:uid="{0563CF7C-593D-43AA-8791-C934CE98960A}"/>
    <cellStyle name="Millares 24" xfId="1877" xr:uid="{6C8169EA-783F-498D-B589-AEEE15DB4FCA}"/>
    <cellStyle name="Millares 25" xfId="1878" xr:uid="{1A08463F-90C7-415B-8CAD-CBBA80FDDBF1}"/>
    <cellStyle name="Millares 26" xfId="1879" xr:uid="{B8FE4779-41E6-40BD-863C-5E0A59BA44AA}"/>
    <cellStyle name="Millares 27" xfId="1880" xr:uid="{C175268B-6EF9-47D5-9125-A16DF9DEEE76}"/>
    <cellStyle name="Millares 28" xfId="1881" xr:uid="{9D610E96-EDD4-46A2-8FD4-E3C198EBCA45}"/>
    <cellStyle name="Millares 29" xfId="1882" xr:uid="{0CFDFDC8-7F99-43C2-A9EE-87C727CF59A0}"/>
    <cellStyle name="Millares 3" xfId="1883" xr:uid="{FC740005-5F2A-4E4C-9A68-C2CB47369BB8}"/>
    <cellStyle name="Millares 3 10" xfId="1884" xr:uid="{02B12C98-2DB5-4F64-A4F1-6CC97BE76724}"/>
    <cellStyle name="Millares 3 11" xfId="1885" xr:uid="{2F2C2111-75DE-41AA-A947-E44B37DB72A5}"/>
    <cellStyle name="Millares 3 12" xfId="1886" xr:uid="{7C78A625-0048-4E2D-A828-E118962D84C7}"/>
    <cellStyle name="Millares 3 13" xfId="1887" xr:uid="{6198701D-F134-41EF-B76F-5B5C8EBFBDED}"/>
    <cellStyle name="Millares 3 2" xfId="1888" xr:uid="{6CFCE271-6584-49B9-920E-2C66631F9180}"/>
    <cellStyle name="Millares 3 2 2" xfId="1889" xr:uid="{38210664-B64E-47F4-8A5F-78798B10A0CA}"/>
    <cellStyle name="Millares 3 3" xfId="1890" xr:uid="{A93196A8-85C6-4C90-9492-D74234873F32}"/>
    <cellStyle name="Millares 3 3 2" xfId="1891" xr:uid="{F0B5DEF3-A35C-44E0-9D38-2F55F3CB20E0}"/>
    <cellStyle name="Millares 3 3 2 2" xfId="1892" xr:uid="{84249185-C8B1-4BEC-90D6-7B9CCCB347F0}"/>
    <cellStyle name="Millares 3 3 2 3" xfId="1893" xr:uid="{7AC6AE6F-E947-4EDA-9AF1-7A73A24BCD7C}"/>
    <cellStyle name="Millares 3 3 2 3 2" xfId="1894" xr:uid="{6BF28FB1-BE5A-428F-88DD-BEC0EAE2A4EB}"/>
    <cellStyle name="Millares 3 3 2 4" xfId="1895" xr:uid="{F69FDBA6-3E34-41F2-8D64-B336213CDD5E}"/>
    <cellStyle name="Millares 3 3 2 4 2" xfId="1896" xr:uid="{6479A548-07D8-48ED-A52E-D1EFDA5081E1}"/>
    <cellStyle name="Millares 3 3 2 4 3" xfId="1897" xr:uid="{32BE9F8F-4628-470C-8297-E0D36449A545}"/>
    <cellStyle name="Millares 3 3 2 5" xfId="1898" xr:uid="{93155004-02E1-4F19-93AC-9287A1BEBD17}"/>
    <cellStyle name="Millares 3 3 2 5 2" xfId="1899" xr:uid="{082F462B-033E-4E2F-BAAB-D5009332558C}"/>
    <cellStyle name="Millares 3 3 2 5 3" xfId="1900" xr:uid="{E1C191D4-FA15-449C-AEF8-C5BBFFD0D7E3}"/>
    <cellStyle name="Millares 3 3 2 6" xfId="1901" xr:uid="{E385F08A-13A5-4FFA-9171-5BFAC56C8610}"/>
    <cellStyle name="Millares 3 3 2 7" xfId="1902" xr:uid="{E9F175E8-91F2-4AC8-B684-C00F396B541E}"/>
    <cellStyle name="Millares 3 3 2 8" xfId="1903" xr:uid="{D37EB282-9CB5-4F6C-B7B6-D4600078114B}"/>
    <cellStyle name="Millares 3 3 3" xfId="1904" xr:uid="{D802337A-66C6-456A-802D-C71A486418A2}"/>
    <cellStyle name="Millares 3 3 4" xfId="1905" xr:uid="{4EE1A997-FEB9-4D46-BB40-4F7DF8E895D5}"/>
    <cellStyle name="Millares 3 3 4 2" xfId="1906" xr:uid="{ABC69078-D813-429B-9508-8243299FBAB6}"/>
    <cellStyle name="Millares 3 3 5" xfId="1907" xr:uid="{1F96507D-4908-4AC5-995D-CEF541BEC06F}"/>
    <cellStyle name="Millares 3 3 5 2" xfId="1908" xr:uid="{194026E0-E8B0-49C2-A055-ACFD8FB2C212}"/>
    <cellStyle name="Millares 3 3 5 3" xfId="1909" xr:uid="{A0698C7F-6135-400D-AD16-BD0ECD1C013E}"/>
    <cellStyle name="Millares 3 3 6" xfId="1910" xr:uid="{97652A8E-5CD4-4263-8F83-CD67B6EB950C}"/>
    <cellStyle name="Millares 3 3 6 2" xfId="1911" xr:uid="{22236DFD-2F1F-435D-B36B-91FDF608BAB9}"/>
    <cellStyle name="Millares 3 3 6 3" xfId="1912" xr:uid="{22906A54-3DE4-4CA6-A4A0-D005E5817A2B}"/>
    <cellStyle name="Millares 3 3 7" xfId="1913" xr:uid="{3A7D285F-9F03-4D27-9B2E-4CBE855E14F6}"/>
    <cellStyle name="Millares 3 3 8" xfId="1914" xr:uid="{D4B4BDE9-6284-477E-928E-E29CBCBBF40D}"/>
    <cellStyle name="Millares 3 3 9" xfId="1915" xr:uid="{E9C1B85C-C638-4559-9D5A-FF2DA66A8112}"/>
    <cellStyle name="Millares 3 4" xfId="1916" xr:uid="{A384FC1F-A6AE-4446-ADA5-E224D8316C47}"/>
    <cellStyle name="Millares 3 4 2" xfId="1917" xr:uid="{705AEB97-0EBD-4B8B-BE6A-8653C8649421}"/>
    <cellStyle name="Millares 3 4 2 2" xfId="1918" xr:uid="{437CC678-5F57-4ADE-9700-D3CEB6580E3C}"/>
    <cellStyle name="Millares 3 4 2 3" xfId="1919" xr:uid="{E6C7BEE2-B5A7-41DE-BA65-9BD369315715}"/>
    <cellStyle name="Millares 3 4 2 3 2" xfId="1920" xr:uid="{055D4AD8-2F2C-4204-BCF3-177F57F39254}"/>
    <cellStyle name="Millares 3 4 2 4" xfId="1921" xr:uid="{D0D33C1E-A2A6-465A-BF8F-80318A6B1CF4}"/>
    <cellStyle name="Millares 3 4 2 4 2" xfId="1922" xr:uid="{D8E46D69-C36B-4345-9112-B685DB2D4E8D}"/>
    <cellStyle name="Millares 3 4 2 4 3" xfId="1923" xr:uid="{2CA3CE6B-0B4B-4FFA-AE63-D5E7B1D18522}"/>
    <cellStyle name="Millares 3 4 2 5" xfId="1924" xr:uid="{ED9725E4-12B5-45E6-8ECA-B6409A352024}"/>
    <cellStyle name="Millares 3 4 2 5 2" xfId="1925" xr:uid="{143CEFF2-A88B-47DF-B952-41C0B602CAD3}"/>
    <cellStyle name="Millares 3 4 2 5 3" xfId="1926" xr:uid="{0A1CA8C5-3D12-475B-9380-A1988DE5FF63}"/>
    <cellStyle name="Millares 3 4 2 6" xfId="1927" xr:uid="{F0760B0F-866D-44E8-BBD7-DF36A8BBCD40}"/>
    <cellStyle name="Millares 3 4 2 7" xfId="1928" xr:uid="{AA116974-B295-4E33-B59E-D1EE72013ABF}"/>
    <cellStyle name="Millares 3 4 2 8" xfId="1929" xr:uid="{2179EAFA-6D0E-4D84-AA74-04DDFEE91549}"/>
    <cellStyle name="Millares 3 4 3" xfId="1930" xr:uid="{C9ECD29C-1A29-416D-8C42-48ED1ACC1EEF}"/>
    <cellStyle name="Millares 3 4 4" xfId="1931" xr:uid="{032124AF-E201-451E-A595-888388B0B2B0}"/>
    <cellStyle name="Millares 3 4 4 2" xfId="1932" xr:uid="{46B1AF39-976C-4D77-804A-367F5B79228F}"/>
    <cellStyle name="Millares 3 4 5" xfId="1933" xr:uid="{FC940982-5573-44D8-857C-CB5E41C671F9}"/>
    <cellStyle name="Millares 3 4 5 2" xfId="1934" xr:uid="{6A2B066E-F1BE-43DC-A9B4-08AEF654A85A}"/>
    <cellStyle name="Millares 3 4 5 3" xfId="1935" xr:uid="{657C4432-5E40-4009-8833-258B31D1B79E}"/>
    <cellStyle name="Millares 3 4 6" xfId="1936" xr:uid="{EBDF1A33-71CF-40EF-A9B2-DFDD2B133376}"/>
    <cellStyle name="Millares 3 4 6 2" xfId="1937" xr:uid="{05C157E9-49AC-4207-B6D5-EE8872DC5612}"/>
    <cellStyle name="Millares 3 4 6 3" xfId="1938" xr:uid="{37FEDBF7-AAA9-40D2-B2CE-7EFF587CC4D5}"/>
    <cellStyle name="Millares 3 4 7" xfId="1939" xr:uid="{DE4DBE6E-01CE-4A63-BB5B-A750834B2E74}"/>
    <cellStyle name="Millares 3 4 8" xfId="1940" xr:uid="{581852F7-DA8A-438C-94A1-71439D075578}"/>
    <cellStyle name="Millares 3 4 9" xfId="1941" xr:uid="{76689CB0-A73B-4B1D-BC5F-9BDA6A20A872}"/>
    <cellStyle name="Millares 3 5" xfId="1942" xr:uid="{69ECD910-FE44-4931-BF21-D2CC7C271106}"/>
    <cellStyle name="Millares 3 5 2" xfId="1943" xr:uid="{D74533A7-6311-47CA-A705-CDE534063C94}"/>
    <cellStyle name="Millares 3 5 3" xfId="1944" xr:uid="{BB699CC9-395D-44E6-BB76-1BFD1E212E42}"/>
    <cellStyle name="Millares 3 5 3 2" xfId="1945" xr:uid="{1E125DE3-54ED-42BC-9728-1D9DDDB10797}"/>
    <cellStyle name="Millares 3 5 4" xfId="1946" xr:uid="{858F3BAE-D8A4-4818-997E-B90D833806B5}"/>
    <cellStyle name="Millares 3 5 4 2" xfId="1947" xr:uid="{2BF50BCE-516D-41C8-B172-D64979EA4C7C}"/>
    <cellStyle name="Millares 3 5 4 3" xfId="1948" xr:uid="{6D2FBB73-5FE0-4E4C-8C62-B60F35AC56A8}"/>
    <cellStyle name="Millares 3 5 5" xfId="1949" xr:uid="{B3A3BBCE-3102-4B62-9CB9-D266F74283F4}"/>
    <cellStyle name="Millares 3 5 5 2" xfId="1950" xr:uid="{BB3E5A9E-E367-4A40-81FB-362543813CA0}"/>
    <cellStyle name="Millares 3 5 5 3" xfId="1951" xr:uid="{0D5B7341-FAE5-469F-895F-52204BD863AC}"/>
    <cellStyle name="Millares 3 5 6" xfId="1952" xr:uid="{3723F7DF-3EC6-488C-96E5-CFA2FB4EA239}"/>
    <cellStyle name="Millares 3 5 7" xfId="1953" xr:uid="{73FA4B1F-6340-488B-B08A-E89630C144A6}"/>
    <cellStyle name="Millares 3 5 8" xfId="1954" xr:uid="{1E0B8C49-EE2B-4FF9-9D32-22BAAE819AFF}"/>
    <cellStyle name="Millares 3 6" xfId="1955" xr:uid="{2B2782ED-5684-4606-B61F-D81C1E0D1E3D}"/>
    <cellStyle name="Millares 3 7" xfId="1956" xr:uid="{50A65F2D-8D51-4D1D-A9D4-0F5A7F17C3F8}"/>
    <cellStyle name="Millares 3 7 2" xfId="1957" xr:uid="{F579507D-0109-4148-9093-134A398F9350}"/>
    <cellStyle name="Millares 3 7 3" xfId="1958" xr:uid="{56D31DA0-01E1-4579-A434-A0D60FE70DC7}"/>
    <cellStyle name="Millares 3 7 3 2" xfId="1959" xr:uid="{875CE251-B510-4728-B831-9CCA04B02AC8}"/>
    <cellStyle name="Millares 3 7 4" xfId="1960" xr:uid="{60548949-851A-441A-AC1D-0A452F49638C}"/>
    <cellStyle name="Millares 3 7 4 2" xfId="1961" xr:uid="{BC42E809-EAE2-4BEC-A761-BE6011F6804F}"/>
    <cellStyle name="Millares 3 7 4 3" xfId="1962" xr:uid="{5B066393-D768-4BF7-885E-AC420C01C54B}"/>
    <cellStyle name="Millares 3 7 5" xfId="1963" xr:uid="{B2B23037-F01B-4D73-9E94-274CC75B0543}"/>
    <cellStyle name="Millares 3 7 5 2" xfId="1964" xr:uid="{D775EEF3-9835-45F3-B8B7-57288A5BDE58}"/>
    <cellStyle name="Millares 3 7 5 3" xfId="1965" xr:uid="{4315795A-4BBB-4C55-9907-DCA3AF77C131}"/>
    <cellStyle name="Millares 3 7 6" xfId="1966" xr:uid="{C0FDABD3-B7F4-42B8-B4B0-97875484EA28}"/>
    <cellStyle name="Millares 3 8" xfId="1967" xr:uid="{CD469E22-D0D1-47CC-A43F-F16CDBE224D8}"/>
    <cellStyle name="Millares 3 9" xfId="1968" xr:uid="{E470BE30-7E39-429F-8F0F-64938384B90C}"/>
    <cellStyle name="Millares 30" xfId="1969" xr:uid="{C5AD2A2D-A917-4F8B-872B-822AEFD6C5D3}"/>
    <cellStyle name="Millares 31" xfId="1970" xr:uid="{FF85EB6C-2B75-4157-85FE-58C328EC36DA}"/>
    <cellStyle name="Millares 32" xfId="1971" xr:uid="{4CC3226D-06AE-4F27-988D-6549A2320AAF}"/>
    <cellStyle name="Millares 33" xfId="1972" xr:uid="{4A07A0DE-B003-421A-A96D-83C0FBC6BA0E}"/>
    <cellStyle name="Millares 34" xfId="1973" xr:uid="{5AF1B603-8647-4889-B7D1-8BC00C7DE391}"/>
    <cellStyle name="Millares 35" xfId="1974" xr:uid="{7664B343-55A9-4172-9D21-01DD268EB7AE}"/>
    <cellStyle name="Millares 36" xfId="1975" xr:uid="{81B6653C-6CBC-4916-9F10-56E1A0596297}"/>
    <cellStyle name="Millares 37" xfId="1976" xr:uid="{36248BA7-C2FB-4DBD-9976-F260FE033B9E}"/>
    <cellStyle name="Millares 38" xfId="1977" xr:uid="{25FA1AA6-64EF-4F5B-8A7F-B88B1CA74259}"/>
    <cellStyle name="Millares 39" xfId="1978" xr:uid="{6207EFAC-D16C-4D26-93CA-8161506F589C}"/>
    <cellStyle name="Millares 39 2" xfId="1979" xr:uid="{7AC6B111-2F7D-46AB-968E-34D0839B5013}"/>
    <cellStyle name="Millares 39 2 2" xfId="1980" xr:uid="{8AD5B84A-CB0A-442C-B7B1-678F17D741A9}"/>
    <cellStyle name="Millares 39 2 3" xfId="1981" xr:uid="{B995A2A9-ABDE-4175-94D3-0C0018A95FE1}"/>
    <cellStyle name="Millares 39 2 3 2" xfId="1982" xr:uid="{9FD748A4-C03C-48A9-BBF0-D120F4BEBBEC}"/>
    <cellStyle name="Millares 39 2 4" xfId="1983" xr:uid="{3A4CAD19-8DD2-42E0-9EA7-16A59E9036EA}"/>
    <cellStyle name="Millares 39 2 4 2" xfId="1984" xr:uid="{9738B21E-8729-4DE4-8A8C-B052CE5D89AB}"/>
    <cellStyle name="Millares 39 2 4 3" xfId="1985" xr:uid="{F17237D7-F2A3-4D55-95D4-39734A1B3D25}"/>
    <cellStyle name="Millares 39 2 5" xfId="1986" xr:uid="{8BD76670-14D5-41BE-B67B-FC8BC1B9CFC3}"/>
    <cellStyle name="Millares 39 2 5 2" xfId="1987" xr:uid="{56302A10-F072-4D9B-91BC-DCAD7F3469E2}"/>
    <cellStyle name="Millares 39 2 5 3" xfId="1988" xr:uid="{F4B06141-C2B8-4957-A7E7-C376EC7AEA0B}"/>
    <cellStyle name="Millares 39 2 6" xfId="1989" xr:uid="{AD7AE95B-4435-451A-828B-EA62CE24A9BE}"/>
    <cellStyle name="Millares 39 2 7" xfId="1990" xr:uid="{0922F3AA-2E21-4259-8036-D9B5EDA4359E}"/>
    <cellStyle name="Millares 39 2 8" xfId="1991" xr:uid="{BC738042-AD22-47A4-A3C6-1337FB20790E}"/>
    <cellStyle name="Millares 39 3" xfId="1992" xr:uid="{93D5E4DD-DC4D-49E2-809A-022592DAC376}"/>
    <cellStyle name="Millares 39 4" xfId="1993" xr:uid="{AF391B29-03D8-47A0-A263-EB6994AFB299}"/>
    <cellStyle name="Millares 39 4 2" xfId="1994" xr:uid="{861EB73A-B63F-4E2F-B6E0-DCA6E8F10EF1}"/>
    <cellStyle name="Millares 39 5" xfId="1995" xr:uid="{1EA46255-6572-4FAE-BC48-D9B0940E43E1}"/>
    <cellStyle name="Millares 39 5 2" xfId="1996" xr:uid="{924BBE75-CB5D-443C-BD44-C6C184DEB24E}"/>
    <cellStyle name="Millares 39 5 3" xfId="1997" xr:uid="{13E526DB-16E4-4687-9388-7BF73BF7A134}"/>
    <cellStyle name="Millares 39 6" xfId="1998" xr:uid="{68BCA41A-6564-404B-B9A9-84380EC7F932}"/>
    <cellStyle name="Millares 39 6 2" xfId="1999" xr:uid="{3666F575-DB05-4618-8ED8-7B0E16D9973F}"/>
    <cellStyle name="Millares 39 6 3" xfId="2000" xr:uid="{F5BDA801-11C9-429D-A9B6-C79A2CB3BB41}"/>
    <cellStyle name="Millares 39 7" xfId="2001" xr:uid="{F2D7E28C-DA34-4EF7-87B1-72413A50E95B}"/>
    <cellStyle name="Millares 39 8" xfId="2002" xr:uid="{DDE2E54A-BB20-4AE0-9952-11C1D5A6F39E}"/>
    <cellStyle name="Millares 39 9" xfId="2003" xr:uid="{C834759D-630F-48D0-BAA7-E90407FBB8A9}"/>
    <cellStyle name="Millares 4" xfId="2004" xr:uid="{CF4656A2-2DD0-43CA-AF5F-AEA2EAB59675}"/>
    <cellStyle name="Millares 4 2" xfId="2005" xr:uid="{AA428EB9-EBF8-40CC-8D75-C99854779CE7}"/>
    <cellStyle name="Millares 4 3" xfId="2006" xr:uid="{E2AD933D-DD13-4BED-8A51-EA231C2E01A7}"/>
    <cellStyle name="Millares 4 4" xfId="2007" xr:uid="{FE2B57CF-8A23-416C-8882-A7E007A7B703}"/>
    <cellStyle name="Millares 40" xfId="2008" xr:uid="{299B8925-43A1-41C9-B72D-1E249353B4F6}"/>
    <cellStyle name="Millares 41" xfId="2009" xr:uid="{A920AAE3-574F-4CB6-9085-50D4C9E70086}"/>
    <cellStyle name="Millares 42" xfId="2010" xr:uid="{BFA3BE6A-54C3-4675-884A-D5DF8DC352CE}"/>
    <cellStyle name="Millares 42 2" xfId="2011" xr:uid="{14296542-60EA-4526-946A-EEE72905B67F}"/>
    <cellStyle name="Millares 42 3" xfId="2012" xr:uid="{A223BEF0-81EF-4B0E-A6E3-14D6897D021B}"/>
    <cellStyle name="Millares 43" xfId="2013" xr:uid="{08942437-AEF2-4B92-849F-960B046AE98F}"/>
    <cellStyle name="Millares 43 2" xfId="2014" xr:uid="{E2DF1220-FAAD-480B-82EC-CBA920425BD1}"/>
    <cellStyle name="Millares 43 3" xfId="2015" xr:uid="{27B82DE0-3F2D-4369-9D6B-163F73E71EC1}"/>
    <cellStyle name="Millares 44" xfId="2016" xr:uid="{F73292D2-D706-40A0-9826-7810BDD072D4}"/>
    <cellStyle name="Millares 44 2" xfId="2017" xr:uid="{9B4F1B84-5A56-4322-9AAD-8F6EF725444C}"/>
    <cellStyle name="Millares 44 3" xfId="2018" xr:uid="{ECF23302-F8C8-47FF-B3BC-8ECEB83D2AE8}"/>
    <cellStyle name="Millares 45" xfId="2019" xr:uid="{837CF335-8AE1-4DB7-904A-B81CFA6A278B}"/>
    <cellStyle name="Millares 45 2" xfId="2020" xr:uid="{F27C8AFA-CEF3-4710-9AB4-E663FF0ED400}"/>
    <cellStyle name="Millares 45 3" xfId="2021" xr:uid="{3A8BA4B2-6842-4222-B28B-FAA707563D44}"/>
    <cellStyle name="Millares 46" xfId="2022" xr:uid="{1FF8E54F-A839-4898-A58B-0206EC04D421}"/>
    <cellStyle name="Millares 46 2" xfId="2023" xr:uid="{AB4A9832-8EE8-46E1-894E-1EA6EA9EB7D7}"/>
    <cellStyle name="Millares 46 3" xfId="2024" xr:uid="{065480E8-9F40-4332-8E33-417CF7E0B064}"/>
    <cellStyle name="Millares 47" xfId="2025" xr:uid="{6FD02DB4-9EAE-4B2C-BA5B-7E1419DB3781}"/>
    <cellStyle name="Millares 47 2" xfId="2026" xr:uid="{BAE68982-071C-4135-A235-5D5B36B22040}"/>
    <cellStyle name="Millares 47 3" xfId="2027" xr:uid="{2F09CD19-F394-4B6C-8B99-708E8C2A9B97}"/>
    <cellStyle name="Millares 48" xfId="2028" xr:uid="{1EF51585-9C17-4045-A213-BA7DEE1C1BF4}"/>
    <cellStyle name="Millares 48 2" xfId="2029" xr:uid="{FCAEA891-FFEC-4179-BC93-583E03224F3A}"/>
    <cellStyle name="Millares 48 3" xfId="2030" xr:uid="{AB8F7D31-C9A8-41D0-B6F5-52D7FE81D35D}"/>
    <cellStyle name="Millares 48 4" xfId="2031" xr:uid="{98C935EA-34C8-4AFC-9689-5682103A5FCB}"/>
    <cellStyle name="Millares 48 5" xfId="2032" xr:uid="{AC87A5F2-FE28-40D1-B611-5504E20074E9}"/>
    <cellStyle name="Millares 49" xfId="2033" xr:uid="{8FAF6DD9-EDAD-455A-8C0E-818BBE125C64}"/>
    <cellStyle name="Millares 49 2" xfId="2034" xr:uid="{D29AFACC-B61F-443D-92D5-70EBC0A96ACF}"/>
    <cellStyle name="Millares 49 3" xfId="2035" xr:uid="{91FA0A56-E8E9-4212-9DF2-E798A8487B41}"/>
    <cellStyle name="Millares 5" xfId="2036" xr:uid="{5765A3C8-958C-4A69-854B-3C59E241AB4A}"/>
    <cellStyle name="Millares 5 2" xfId="2037" xr:uid="{9A7C9415-2003-4901-8238-3C98CCDB9E8D}"/>
    <cellStyle name="Millares 5 2 2" xfId="2038" xr:uid="{C70C317B-581A-43FC-B972-62C247A49047}"/>
    <cellStyle name="Millares 5 3" xfId="2039" xr:uid="{E6BE5598-D562-4E53-8CA0-D924C4FFEE8D}"/>
    <cellStyle name="Millares 50" xfId="2040" xr:uid="{E13DE634-D67C-4D60-9DF0-1EE52DA6C88B}"/>
    <cellStyle name="Millares 50 2" xfId="2041" xr:uid="{E44423B9-93AB-4500-AE97-7AF0B4DDC549}"/>
    <cellStyle name="Millares 50 3" xfId="2042" xr:uid="{E6119112-EA09-423F-815A-03ABE34CE93F}"/>
    <cellStyle name="Millares 51" xfId="2043" xr:uid="{2FB1A2F5-DDF0-43EC-9F1D-40345A5390E6}"/>
    <cellStyle name="Millares 51 2" xfId="2044" xr:uid="{045101AA-F746-464C-A971-F76854F38953}"/>
    <cellStyle name="Millares 51 3" xfId="2045" xr:uid="{8AD40598-92AC-47C8-8993-3E2FD7EBE016}"/>
    <cellStyle name="Millares 52" xfId="2046" xr:uid="{A1816E7F-ACEC-4DFE-84C9-8F5BB627908F}"/>
    <cellStyle name="Millares 52 2" xfId="2047" xr:uid="{B162D09D-704E-45A3-8264-676680F40C2E}"/>
    <cellStyle name="Millares 52 3" xfId="2048" xr:uid="{FB88880A-BE56-44E7-A7A3-608577E5ACD9}"/>
    <cellStyle name="Millares 53" xfId="2049" xr:uid="{3CEBC8B1-162B-4D42-9A91-8784A9F961BA}"/>
    <cellStyle name="Millares 53 2" xfId="2050" xr:uid="{AC5C4BED-EC14-4F52-92D2-594BF5086A4B}"/>
    <cellStyle name="Millares 53 3" xfId="2051" xr:uid="{0A886C1B-CCA5-420D-B7A1-C2580B712225}"/>
    <cellStyle name="Millares 54" xfId="2052" xr:uid="{FA604E8A-CD35-4DE6-A631-8F97440A0E52}"/>
    <cellStyle name="Millares 55" xfId="2053" xr:uid="{D5DEA9BD-01D4-49AA-A375-5C786F207FE2}"/>
    <cellStyle name="Millares 56" xfId="2054" xr:uid="{BCEBA447-1DB5-45B0-BCB0-7AAEC18C1B07}"/>
    <cellStyle name="Millares 57" xfId="2055" xr:uid="{2592821F-0C6E-4214-B87C-9831F5E806A9}"/>
    <cellStyle name="Millares 58" xfId="2056" xr:uid="{0098E67D-B1FE-4119-8A9A-C43A0DE6945C}"/>
    <cellStyle name="Millares 59" xfId="2057" xr:uid="{57E12C9D-5F65-42D6-B793-019CBB0C3DB5}"/>
    <cellStyle name="Millares 6" xfId="2058" xr:uid="{31E69689-676C-40D3-BAD3-133E99CA999F}"/>
    <cellStyle name="Millares 6 2" xfId="2059" xr:uid="{B4722BDE-B7AA-48B8-851D-E84B42AEB3BC}"/>
    <cellStyle name="Millares 6 2 2" xfId="2060" xr:uid="{5FC90E51-2D21-4D96-B80E-642EE1023C60}"/>
    <cellStyle name="Millares 6 2 3" xfId="2061" xr:uid="{1A9DDE27-D36C-4747-8C5D-3B0A0A0A9A74}"/>
    <cellStyle name="Millares 6 2 3 2" xfId="2062" xr:uid="{50146EDC-D372-4BDD-9310-A5991A0FAD94}"/>
    <cellStyle name="Millares 6 2 4" xfId="2063" xr:uid="{449964AC-3352-4BA6-8B5E-0FCE54E5D944}"/>
    <cellStyle name="Millares 6 2 4 2" xfId="2064" xr:uid="{77D17ED2-89ED-4499-90C1-1C62563FCE77}"/>
    <cellStyle name="Millares 6 2 4 3" xfId="2065" xr:uid="{139541BF-2B4D-4E5D-A6AA-20FA25B66B69}"/>
    <cellStyle name="Millares 6 2 5" xfId="2066" xr:uid="{77E4318C-F94F-44FD-81A5-A2C9E071BF42}"/>
    <cellStyle name="Millares 6 2 5 2" xfId="2067" xr:uid="{FE2798EB-08C3-4007-979C-8CDFBAECE41B}"/>
    <cellStyle name="Millares 6 2 5 3" xfId="2068" xr:uid="{559B0EEC-E6C0-443C-B665-987DD958A97F}"/>
    <cellStyle name="Millares 6 2 6" xfId="2069" xr:uid="{66D38D92-21D0-419E-BE96-63D4ABB04531}"/>
    <cellStyle name="Millares 6 2 7" xfId="2070" xr:uid="{0C0BB8A7-4994-44CD-8DFF-99C3B2B4EA6A}"/>
    <cellStyle name="Millares 6 2 8" xfId="2071" xr:uid="{6FA1C294-C458-4C41-A819-873FAF47BD9B}"/>
    <cellStyle name="Millares 6 3" xfId="2072" xr:uid="{F6D82F05-FDFD-4150-A3C7-FC138FBAFE4A}"/>
    <cellStyle name="Millares 6 3 2" xfId="2073" xr:uid="{4B5A3405-1B0D-4D99-ADBB-A766499E0A7F}"/>
    <cellStyle name="Millares 6 3 3" xfId="2074" xr:uid="{566B40B0-2FF8-4445-8476-8319AD44AC5C}"/>
    <cellStyle name="Millares 6 3 3 2" xfId="2075" xr:uid="{345FFD56-9E4B-4D92-8D6F-8B330DA0B903}"/>
    <cellStyle name="Millares 6 3 4" xfId="2076" xr:uid="{E80AD5CB-224A-44E9-B493-B9E793EB3609}"/>
    <cellStyle name="Millares 6 3 4 2" xfId="2077" xr:uid="{DBCD9940-82A3-4EB4-8B96-1B7590FB84AA}"/>
    <cellStyle name="Millares 6 3 4 3" xfId="2078" xr:uid="{E96F8AC2-9FFD-44F8-B085-1C678DC1C472}"/>
    <cellStyle name="Millares 6 3 5" xfId="2079" xr:uid="{6F64F7BD-3DA0-4296-81B5-C6D35182D059}"/>
    <cellStyle name="Millares 6 3 5 2" xfId="2080" xr:uid="{0EF7F82D-3E19-4ED5-8CA3-266BC68B1B29}"/>
    <cellStyle name="Millares 6 3 5 3" xfId="2081" xr:uid="{32B9C8F2-A10F-4AFB-8D00-E8284FF13AC7}"/>
    <cellStyle name="Millares 6 3 6" xfId="2082" xr:uid="{571BA4C7-4192-4F7C-9FC3-58155F5B10BA}"/>
    <cellStyle name="Millares 6 3 7" xfId="2083" xr:uid="{0DDC80C3-295A-4BCB-AFC2-F6E7397EDF53}"/>
    <cellStyle name="Millares 6 3 8" xfId="2084" xr:uid="{AE5F942C-1341-46B2-A96D-37980FF9DC4B}"/>
    <cellStyle name="Millares 6 4" xfId="2085" xr:uid="{2EF020CA-2B98-4EEB-9E9F-9B12C2CA0B78}"/>
    <cellStyle name="Millares 60" xfId="2086" xr:uid="{48BF0699-ECD0-4E33-A975-BE2860EE8B4A}"/>
    <cellStyle name="Millares 61" xfId="2087" xr:uid="{DAFEF02A-AC72-485C-B672-EFD9446DB350}"/>
    <cellStyle name="Millares 62" xfId="2088" xr:uid="{2577D161-493E-4517-A912-58108A6D77F4}"/>
    <cellStyle name="Millares 63" xfId="2089" xr:uid="{98796059-65C7-42A2-9AE8-0088220E8C9C}"/>
    <cellStyle name="Millares 64" xfId="2090" xr:uid="{610823C1-411A-41DD-8638-A234E617B98B}"/>
    <cellStyle name="Millares 65" xfId="2091" xr:uid="{1E60D214-034F-4145-9F09-AA11DFC1B398}"/>
    <cellStyle name="Millares 65 2" xfId="2092" xr:uid="{5EDA691D-11FE-4E6C-A35A-1943664830E9}"/>
    <cellStyle name="Millares 66" xfId="2093" xr:uid="{E28E68C1-7626-403F-A045-01AFEFB32F65}"/>
    <cellStyle name="Millares 66 2" xfId="2094" xr:uid="{1D02464F-A95C-4276-A6A2-11C37A964E8B}"/>
    <cellStyle name="Millares 67" xfId="2095" xr:uid="{75386088-E3A4-4241-8913-36ED2D0715E9}"/>
    <cellStyle name="Millares 67 2" xfId="2096" xr:uid="{3066F92F-59B1-4EF9-BA13-14D9A69BD503}"/>
    <cellStyle name="Millares 68" xfId="2097" xr:uid="{18C81DAE-BC98-4D6D-AAF7-747F09521247}"/>
    <cellStyle name="Millares 68 2" xfId="2098" xr:uid="{EF58C04F-5284-4D71-A5C0-743B866615EB}"/>
    <cellStyle name="Millares 69" xfId="2099" xr:uid="{81B855E1-3FBA-406C-9669-BD334676B9F6}"/>
    <cellStyle name="Millares 69 2" xfId="2100" xr:uid="{7687CAC7-852B-4B94-99F5-C8D666BDA221}"/>
    <cellStyle name="Millares 7" xfId="2101" xr:uid="{D63A38DB-F581-4AFF-9DCE-40F0DB6020D6}"/>
    <cellStyle name="Millares 7 2" xfId="2102" xr:uid="{0F07E528-8E5A-49D5-8471-7A432F2765D6}"/>
    <cellStyle name="Millares 7 2 2" xfId="2103" xr:uid="{DD700AB6-6603-4C51-B2F4-A702B8B3578C}"/>
    <cellStyle name="Millares 7 2 2 2" xfId="2104" xr:uid="{74385680-6CAB-493E-BE49-C2E92197323C}"/>
    <cellStyle name="Millares 7 2 2 3" xfId="2105" xr:uid="{7DC367F7-FA46-45E6-BD0B-63E1AF8F8068}"/>
    <cellStyle name="Millares 7 2 2 3 2" xfId="2106" xr:uid="{0E42ECF8-7022-4CAF-9323-4CDC7EEA66B5}"/>
    <cellStyle name="Millares 7 2 2 4" xfId="2107" xr:uid="{E5FEDC70-D446-4ED7-9DF9-253DA7A6691F}"/>
    <cellStyle name="Millares 7 2 2 4 2" xfId="2108" xr:uid="{025052E6-6EE6-46D0-B7ED-B8573377BFC6}"/>
    <cellStyle name="Millares 7 2 2 4 3" xfId="2109" xr:uid="{691C4F6A-F0BB-41CA-8F2D-8F44DA88575B}"/>
    <cellStyle name="Millares 7 2 2 5" xfId="2110" xr:uid="{C13B4FC8-0CA9-4604-B3D4-70EA23F88299}"/>
    <cellStyle name="Millares 7 2 2 5 2" xfId="2111" xr:uid="{250AE777-D1CF-4515-B039-E43EE530AD49}"/>
    <cellStyle name="Millares 7 2 2 5 3" xfId="2112" xr:uid="{F65D824D-CC29-4BF0-A60D-1EA7788AB5B9}"/>
    <cellStyle name="Millares 7 2 2 6" xfId="2113" xr:uid="{1BCFE5F8-4F34-4240-AFDA-5CECB7F0291A}"/>
    <cellStyle name="Millares 7 2 3" xfId="2114" xr:uid="{DAA69576-DA65-4729-85B8-EE92266DBA4B}"/>
    <cellStyle name="Millares 7 2 3 2" xfId="2115" xr:uid="{083C992D-A85D-47E4-9F87-05142B217BD8}"/>
    <cellStyle name="Millares 7 2 4" xfId="2116" xr:uid="{AB774E60-8801-4B40-BB09-86164A7379EF}"/>
    <cellStyle name="Millares 7 2 4 2" xfId="2117" xr:uid="{1E7FCE78-D38A-4F9E-A41A-685593A69450}"/>
    <cellStyle name="Millares 7 2 4 3" xfId="2118" xr:uid="{766CE92F-CD58-4358-ADD5-4ED9D827DFA6}"/>
    <cellStyle name="Millares 7 2 5" xfId="2119" xr:uid="{B35B067E-2A90-4F35-B7C3-FD28C6845A5F}"/>
    <cellStyle name="Millares 7 2 5 2" xfId="2120" xr:uid="{54FFCF68-436D-445A-BAFD-5C9232CB2AA0}"/>
    <cellStyle name="Millares 7 2 5 3" xfId="2121" xr:uid="{56CDA9F7-78AE-4286-A9ED-4C537AE81525}"/>
    <cellStyle name="Millares 7 2 5 4" xfId="2122" xr:uid="{D967FF3A-DA6C-444F-99D0-1631C66855DE}"/>
    <cellStyle name="Millares 7 2 6" xfId="2123" xr:uid="{34B26134-8476-4D25-AB3F-5431E920638E}"/>
    <cellStyle name="Millares 7 2 6 2" xfId="2124" xr:uid="{304EB992-D7B4-4D08-8B86-141352AFB851}"/>
    <cellStyle name="Millares 7 2 6 3" xfId="2125" xr:uid="{47280137-2FAA-4F68-9D24-BB7E9622BCA6}"/>
    <cellStyle name="Millares 7 2 6 4" xfId="2126" xr:uid="{3404F13E-4051-41E2-B173-D234E6598FD9}"/>
    <cellStyle name="Millares 7 2 7" xfId="2127" xr:uid="{0B48A8B4-038F-4159-841B-6AC794776913}"/>
    <cellStyle name="Millares 7 2 8" xfId="2128" xr:uid="{F85523FE-A413-43E2-B794-6696D82FB22C}"/>
    <cellStyle name="Millares 7 2 9" xfId="2129" xr:uid="{9D79FAE6-805B-4DD0-8941-BAFDA45C9A67}"/>
    <cellStyle name="Millares 7 3" xfId="2130" xr:uid="{707BBB9F-0C71-4207-97EA-C92D98691C90}"/>
    <cellStyle name="Millares 7 3 2" xfId="2131" xr:uid="{C096ED01-6CE8-4296-A408-44AE0270CC9B}"/>
    <cellStyle name="Millares 7 3 2 2" xfId="2132" xr:uid="{F006D3A0-5197-47A0-915B-CB83DB9E2BC5}"/>
    <cellStyle name="Millares 7 3 2 3" xfId="2133" xr:uid="{E5D22FE1-2172-47C8-ACCF-F66840CB2695}"/>
    <cellStyle name="Millares 7 3 2 3 2" xfId="2134" xr:uid="{15E19424-5028-445B-A7F7-2F1F2AAF0769}"/>
    <cellStyle name="Millares 7 3 2 4" xfId="2135" xr:uid="{F68B69F1-6517-4A60-A44D-8F78EFCD1972}"/>
    <cellStyle name="Millares 7 3 2 4 2" xfId="2136" xr:uid="{56409866-704C-4643-9116-52717F6CD336}"/>
    <cellStyle name="Millares 7 3 2 4 3" xfId="2137" xr:uid="{DE2AF0AF-AD13-4F26-8C15-FDAD80A7EB44}"/>
    <cellStyle name="Millares 7 3 2 5" xfId="2138" xr:uid="{80E2AB58-7D75-4D88-8900-263B2135FD28}"/>
    <cellStyle name="Millares 7 3 2 5 2" xfId="2139" xr:uid="{A13A3A9C-02D3-4B77-A589-EBF374B94F14}"/>
    <cellStyle name="Millares 7 3 2 5 3" xfId="2140" xr:uid="{7E65BF97-5A11-42E7-BF92-084DBDCB82B4}"/>
    <cellStyle name="Millares 7 3 2 6" xfId="2141" xr:uid="{BFD2A0D3-5E4E-4F43-84BC-335E311307DB}"/>
    <cellStyle name="Millares 7 3 3" xfId="2142" xr:uid="{52F6A8C5-8DA6-4F8C-B38A-E36930EAEC07}"/>
    <cellStyle name="Millares 7 3 4" xfId="2143" xr:uid="{FB2E0546-A50E-4A53-9919-315237F4A9B8}"/>
    <cellStyle name="Millares 7 3 5" xfId="2144" xr:uid="{C19A5F8C-F489-44EE-A938-9E2D5CECE5AF}"/>
    <cellStyle name="Millares 7 3 6" xfId="2145" xr:uid="{49033A0C-020F-4947-97D6-F46AE9E17EE5}"/>
    <cellStyle name="Millares 7 3 7" xfId="2146" xr:uid="{B1E3212C-531F-4B57-A001-40FE73DCC177}"/>
    <cellStyle name="Millares 7 3 8" xfId="2147" xr:uid="{9C847400-7A6D-4A1B-8E94-2B2FEE723636}"/>
    <cellStyle name="Millares 7 4" xfId="2148" xr:uid="{D7C44C3F-0FE5-4E3F-9BDE-6B9B887BA5D8}"/>
    <cellStyle name="Millares 70" xfId="2149" xr:uid="{6EABA4AF-CC30-44D9-8140-9C3B0AEBD0F4}"/>
    <cellStyle name="Millares 70 2" xfId="2150" xr:uid="{7350D19D-D0C4-44D4-83CA-87DF0BB47203}"/>
    <cellStyle name="Millares 71" xfId="2151" xr:uid="{7C3FFEF0-5939-4970-ACA0-2BF8F58C7D1A}"/>
    <cellStyle name="Millares 71 2" xfId="2152" xr:uid="{D7AB3E56-A12C-4DA5-A534-C74F26FCDA4A}"/>
    <cellStyle name="Millares 72" xfId="2153" xr:uid="{588F1402-4440-42C1-B546-A7C05FF325DF}"/>
    <cellStyle name="Millares 72 2" xfId="2154" xr:uid="{229189E3-DBC5-4B5F-BC42-46222136DAE0}"/>
    <cellStyle name="Millares 73" xfId="2155" xr:uid="{4D8507EC-F980-4268-957B-AE82DC0834E2}"/>
    <cellStyle name="Millares 73 2" xfId="2156" xr:uid="{5FCAE9EE-8B2B-47B1-97F8-117CCB1B6AB3}"/>
    <cellStyle name="Millares 74" xfId="2157" xr:uid="{D481D7D3-DB4E-4B48-8633-AC9D2221A284}"/>
    <cellStyle name="Millares 74 2" xfId="2158" xr:uid="{B6436818-901E-4156-ADD3-9FF3AE6563F2}"/>
    <cellStyle name="Millares 75" xfId="2159" xr:uid="{B93066B1-7454-4FB1-9C03-811CF9BB9AED}"/>
    <cellStyle name="Millares 75 2" xfId="2160" xr:uid="{EAC90173-FBC7-408C-84DC-1073FFF9968E}"/>
    <cellStyle name="Millares 75 3" xfId="2161" xr:uid="{54A4375A-D184-480A-A01A-270A13CD1724}"/>
    <cellStyle name="Millares 76" xfId="2162" xr:uid="{94DC27C0-65EE-4966-B4F5-6CA38EDE10A0}"/>
    <cellStyle name="Millares 77" xfId="2163" xr:uid="{E5D894CA-5DEF-468F-8895-7FAA67C01FBC}"/>
    <cellStyle name="Millares 78" xfId="2164" xr:uid="{643C61C4-98F1-47E8-825A-1F3F2B38FA7D}"/>
    <cellStyle name="Millares 79" xfId="2165" xr:uid="{99BE3AF3-2BAE-4669-A915-60A608B43ADD}"/>
    <cellStyle name="Millares 8" xfId="2166" xr:uid="{4E366A75-2615-4AA0-8131-718FD768CA8B}"/>
    <cellStyle name="Millares 8 2" xfId="2167" xr:uid="{5E0FDDC1-DF08-4621-ACE7-415011890AB5}"/>
    <cellStyle name="Millares 8 3" xfId="2168" xr:uid="{7F6679AC-8690-47F2-BBC0-5C4279CE0ABD}"/>
    <cellStyle name="Millares 80" xfId="2169" xr:uid="{874F0A6A-D800-47DD-8393-CB372143A202}"/>
    <cellStyle name="Millares 81" xfId="2170" xr:uid="{6B368436-803E-4A12-86A0-7C80390F062D}"/>
    <cellStyle name="Millares 82" xfId="2171" xr:uid="{11D73F34-2775-4CBE-B52E-67F4BBAEF66A}"/>
    <cellStyle name="Millares 83" xfId="2172" xr:uid="{7A20DC07-28EE-4D6F-BBC1-5188ACE69C97}"/>
    <cellStyle name="Millares 84" xfId="2173" xr:uid="{13EFA11A-9544-47F1-863B-58F0F659D661}"/>
    <cellStyle name="Millares 85" xfId="2174" xr:uid="{216B9963-BB0A-45A8-9AD1-7D930F1BC3D2}"/>
    <cellStyle name="Millares 86" xfId="2175" xr:uid="{7FF0790D-6BC1-4249-A32B-BFBE011F9063}"/>
    <cellStyle name="Millares 87" xfId="2176" xr:uid="{7BCBF42A-A856-4165-B653-92CAAC53730B}"/>
    <cellStyle name="Millares 88" xfId="2177" xr:uid="{90363C4C-7D3A-4506-99FA-134404E186C6}"/>
    <cellStyle name="Millares 89" xfId="2178" xr:uid="{2EAB36B6-2F58-4B16-916A-1306AA9AD4EE}"/>
    <cellStyle name="Millares 9" xfId="2179" xr:uid="{CF4DC305-815C-4D36-8214-E79AE55DE445}"/>
    <cellStyle name="Millares 9 11" xfId="2180" xr:uid="{BA0C3C62-42E5-44A5-88AA-71395E6D83BD}"/>
    <cellStyle name="Millares 9 2" xfId="2181" xr:uid="{F89E2EBC-C54D-4441-9180-4411F1F77366}"/>
    <cellStyle name="Millares 90" xfId="2182" xr:uid="{14CF6583-5A6C-4BE3-AB99-402885FADCE8}"/>
    <cellStyle name="Millares 91" xfId="2183" xr:uid="{9ABF9B9B-EAA8-4B43-9EEC-3FDE12E42A26}"/>
    <cellStyle name="Millares 92" xfId="2184" xr:uid="{43C86287-BA52-46FB-81E6-6631A2FC3D35}"/>
    <cellStyle name="Millares 93" xfId="2185" xr:uid="{0AFEEDF5-D320-413D-BDCE-FF2A6FB1F666}"/>
    <cellStyle name="Millares 94" xfId="2186" xr:uid="{5C5BF228-B5C9-44BF-BE5A-9613FA6DE007}"/>
    <cellStyle name="Millares 95" xfId="2187" xr:uid="{6E73133D-A5B7-4237-8207-DC61D6962E38}"/>
    <cellStyle name="Millares 96" xfId="2188" xr:uid="{AEE3AEAD-99AE-4CC5-AB89-0EEF9BDC4FE9}"/>
    <cellStyle name="Moneda 2" xfId="2189" xr:uid="{270F9CC6-C492-4BC2-BEE7-051EE99FB52B}"/>
    <cellStyle name="Moneda 2 2" xfId="2190" xr:uid="{850B74B7-9A5D-43A8-BDD6-06C66CF7CF3D}"/>
    <cellStyle name="Moneda 3" xfId="2191" xr:uid="{20F5E549-D7A4-47CF-B364-89C8079C5EBB}"/>
    <cellStyle name="Moneda 3 2" xfId="2192" xr:uid="{A3EBDD72-7C6D-40C1-99FF-F93D2C3992BF}"/>
    <cellStyle name="Moneda 4" xfId="2193" xr:uid="{724A72EE-931D-4958-A5C8-FAC85FE7D20C}"/>
    <cellStyle name="Moneda 4 2" xfId="2194" xr:uid="{26421F39-0BD8-48BE-8EEC-82EC1434AE1F}"/>
    <cellStyle name="Moneda 4 2 2" xfId="2195" xr:uid="{B42609E7-A5EE-45D4-839F-FDCA54AA3E9C}"/>
    <cellStyle name="Moneda 4 2 3" xfId="2196" xr:uid="{6E1D0C5D-3F0D-47C1-8DA4-BBC5712BF20D}"/>
    <cellStyle name="Moneda 4 2 3 2" xfId="2197" xr:uid="{CFEB10C6-6F16-427F-9D08-A0BDBA0811BA}"/>
    <cellStyle name="Moneda 4 2 4" xfId="2198" xr:uid="{6E4B23E3-2329-4461-B0B2-12136E79A428}"/>
    <cellStyle name="Moneda 4 2 4 2" xfId="2199" xr:uid="{3830D5BA-5BED-4DD3-9BFA-3F51BE2BE444}"/>
    <cellStyle name="Moneda 4 2 4 3" xfId="2200" xr:uid="{37D06ACF-5F16-4DF9-80FA-FFB2024FE4B9}"/>
    <cellStyle name="Moneda 4 2 5" xfId="2201" xr:uid="{9E905655-6144-4E85-956B-3DAF3F69C313}"/>
    <cellStyle name="Moneda 4 2 5 2" xfId="2202" xr:uid="{30EBE78C-B52C-4463-82C7-97BE228CA9A1}"/>
    <cellStyle name="Moneda 4 2 5 3" xfId="2203" xr:uid="{493119A8-52C9-4DF9-813E-BE47D5782B8D}"/>
    <cellStyle name="Moneda 4 2 6" xfId="2204" xr:uid="{0CCC5E97-4EC2-4F6E-B5DE-2B109025AF93}"/>
    <cellStyle name="Moneda 4 2 7" xfId="2205" xr:uid="{0DE44773-C437-4017-9BE2-01F062E87257}"/>
    <cellStyle name="Moneda 4 2 8" xfId="2206" xr:uid="{6F623F7C-B266-4C2A-A4D6-4E6704F92D9A}"/>
    <cellStyle name="Moneda 4 3" xfId="2207" xr:uid="{1588B190-2F6F-44A6-92EA-C10D2B6B245A}"/>
    <cellStyle name="Moneda 4 4" xfId="2208" xr:uid="{0CDBCC26-2E70-40DF-867D-19B807FA0433}"/>
    <cellStyle name="Moneda 4 4 2" xfId="2209" xr:uid="{8FB37B53-2DA4-4FC8-A030-96C84F9D4A7E}"/>
    <cellStyle name="Moneda 4 5" xfId="2210" xr:uid="{D7467D39-46F2-4226-B084-3E163CE8D0D3}"/>
    <cellStyle name="Moneda 4 5 2" xfId="2211" xr:uid="{725FF9FD-E1E7-4796-8E00-97A3821F7FBC}"/>
    <cellStyle name="Moneda 4 5 3" xfId="2212" xr:uid="{0BF51336-AF06-4E1E-9216-B99D3006E26F}"/>
    <cellStyle name="Moneda 4 6" xfId="2213" xr:uid="{524173ED-FE50-4BCE-8760-7FBC3EE9F268}"/>
    <cellStyle name="Moneda 4 6 2" xfId="2214" xr:uid="{3FE44AAC-C957-4224-846D-6E5D71B351D6}"/>
    <cellStyle name="Moneda 4 6 3" xfId="2215" xr:uid="{8B69AB86-8AE0-48EB-B858-11D94A2D7E6E}"/>
    <cellStyle name="Moneda 4 7" xfId="2216" xr:uid="{9CB72763-2DDC-43C9-866D-55D0C44748BD}"/>
    <cellStyle name="Moneda 4 8" xfId="2217" xr:uid="{94AA5B95-F64B-45D5-97F2-18AE96FD9675}"/>
    <cellStyle name="Moneda 4 9" xfId="2218" xr:uid="{8153C0ED-D490-4717-9F21-10CA41CB4F5C}"/>
    <cellStyle name="Moneda 5" xfId="2219" xr:uid="{37DB3C35-729C-4748-A725-0E6F905CABF1}"/>
    <cellStyle name="Moneda 5 2" xfId="2220" xr:uid="{6D1A1D94-4C58-4D82-B968-B7B9ADC19F8E}"/>
    <cellStyle name="Moneda 5 2 2" xfId="2221" xr:uid="{46B14BBA-3302-4E3C-B094-70D82C4FF693}"/>
    <cellStyle name="Moneda 5 2 3" xfId="2222" xr:uid="{F7F6579F-1096-48B4-B86F-8A6E110BE318}"/>
    <cellStyle name="Moneda 5 2 3 2" xfId="2223" xr:uid="{4E7DAB75-EC4B-47E9-AF6B-DC1F8F882AD9}"/>
    <cellStyle name="Moneda 5 2 4" xfId="2224" xr:uid="{CD4B9358-4D8E-4930-A8A5-8F75B55DEA3B}"/>
    <cellStyle name="Moneda 5 2 4 2" xfId="2225" xr:uid="{9CAF290A-DA61-4055-8CBF-A09795F0054D}"/>
    <cellStyle name="Moneda 5 2 4 3" xfId="2226" xr:uid="{998185F2-246C-4906-8589-CDF29E9F3207}"/>
    <cellStyle name="Moneda 5 2 5" xfId="2227" xr:uid="{ACA7DB29-EC9F-49E8-9CCD-C84D7A525B71}"/>
    <cellStyle name="Moneda 5 2 5 2" xfId="2228" xr:uid="{86D90DB0-E10E-4365-8E32-EB9BBDC560FB}"/>
    <cellStyle name="Moneda 5 2 5 3" xfId="2229" xr:uid="{FD533806-02C0-47E8-8B91-CAAD210EADD9}"/>
    <cellStyle name="Moneda 5 2 6" xfId="2230" xr:uid="{2131BBE4-EFD6-44E2-BD56-A05C7642D4DA}"/>
    <cellStyle name="Moneda 5 2 7" xfId="2231" xr:uid="{0D492CCD-4E75-49AF-9D8A-F6CBD68687E0}"/>
    <cellStyle name="Moneda 5 2 8" xfId="2232" xr:uid="{307F0C45-1428-4515-8A63-6AD22E3E9ECF}"/>
    <cellStyle name="Moneda 5 3" xfId="2233" xr:uid="{7EDC6113-D957-43DA-9D59-455FD9CA173C}"/>
    <cellStyle name="Moneda 5 4" xfId="2234" xr:uid="{ED1AA5BA-6091-4871-B24A-A4620B593FCF}"/>
    <cellStyle name="Moneda 5 4 2" xfId="2235" xr:uid="{F74DAF2E-4C7E-40CA-A57A-0AD3E1BC9891}"/>
    <cellStyle name="Moneda 5 5" xfId="2236" xr:uid="{B0E4DD50-C260-493C-90BE-F91825BF5678}"/>
    <cellStyle name="Moneda 5 5 2" xfId="2237" xr:uid="{C491C983-8711-42A3-B8BD-D10B1CAF9508}"/>
    <cellStyle name="Moneda 5 5 3" xfId="2238" xr:uid="{BB97011D-9B13-41A6-8818-5876B3CA007B}"/>
    <cellStyle name="Moneda 5 6" xfId="2239" xr:uid="{145652EB-0743-4992-9935-B26E4CC1AB52}"/>
    <cellStyle name="Moneda 5 6 2" xfId="2240" xr:uid="{2D17FDBC-1329-429F-AE73-829AEDE82E34}"/>
    <cellStyle name="Moneda 5 6 3" xfId="2241" xr:uid="{3180346C-5517-4EE5-A701-CE85EE198FF4}"/>
    <cellStyle name="Moneda 5 7" xfId="2242" xr:uid="{1B61B238-EA6E-4905-BB2D-1F1C59045289}"/>
    <cellStyle name="Moneda 5 8" xfId="2243" xr:uid="{46981139-E546-4EF7-8DBA-AA273CDDE008}"/>
    <cellStyle name="Moneda 5 9" xfId="2244" xr:uid="{2DDE03BF-649E-481F-AB90-7E43D811F8A7}"/>
    <cellStyle name="Monetario" xfId="2245" xr:uid="{E28AE6E6-2DD7-45F7-B985-D54084F73EF2}"/>
    <cellStyle name="Monetario0" xfId="2246" xr:uid="{B5560CDA-FA0B-4CE8-8C36-E2EFABD49DE7}"/>
    <cellStyle name="movimentação" xfId="2247" xr:uid="{D1A47D36-69B5-4C51-84C9-366B5B1D23D9}"/>
    <cellStyle name="Neutra 2" xfId="2248" xr:uid="{E563C92C-F0DD-43D5-9781-B29088F32A09}"/>
    <cellStyle name="Neutral 10" xfId="2249" xr:uid="{E01A61C2-E9B2-4123-9681-FD0AF2BD59CC}"/>
    <cellStyle name="Neutral 11" xfId="2250" xr:uid="{FD2FB180-1E54-491B-BCA4-870CEBBC3880}"/>
    <cellStyle name="Neutral 12" xfId="2251" xr:uid="{B9BC412A-2D65-44D7-9347-F1338DB39FB1}"/>
    <cellStyle name="Neutral 13" xfId="2252" xr:uid="{71C5BE0D-442E-4C39-B054-F215FBFD2285}"/>
    <cellStyle name="Neutral 14" xfId="2253" xr:uid="{4F1F6984-A654-4B84-895D-98F3E37B1295}"/>
    <cellStyle name="Neutral 15" xfId="2254" xr:uid="{1B82DEE1-2B92-4579-94D7-FA2E8D3EA880}"/>
    <cellStyle name="Neutral 16" xfId="2255" xr:uid="{3CD01836-D161-4860-9A13-B7A8CD72B2A5}"/>
    <cellStyle name="Neutral 17" xfId="2256" xr:uid="{BE571AD7-2ECD-4701-8E0C-C5480458B732}"/>
    <cellStyle name="Neutral 18" xfId="2257" xr:uid="{6C78E007-1A2C-4DBB-AF6E-13C69F3ACCCD}"/>
    <cellStyle name="Neutral 19" xfId="2258" xr:uid="{37CCE04F-9F68-4E7B-BF6D-5E700315C748}"/>
    <cellStyle name="Neutral 2" xfId="356" xr:uid="{563167A9-A48C-484C-8062-B3F89C4F5FA1}"/>
    <cellStyle name="Neutral 2 2" xfId="2260" xr:uid="{CD3ACE1A-8B33-4448-B6BC-DF24DEAC5DE4}"/>
    <cellStyle name="Neutral 2 3" xfId="2259" xr:uid="{EE6E6099-9BC7-4DE7-A1CB-C3FF578A97CB}"/>
    <cellStyle name="Neutral 2 4" xfId="468" xr:uid="{D69D4A33-766B-40AA-95B2-A4697FEBCF30}"/>
    <cellStyle name="Neutral 20" xfId="2261" xr:uid="{C956C772-2EF9-4C99-84EC-716EF4088BC5}"/>
    <cellStyle name="Neutral 21" xfId="2262" xr:uid="{B2716D5C-3B53-4409-9E27-9916AD670372}"/>
    <cellStyle name="Neutral 22" xfId="2263" xr:uid="{CBA64EF2-D7AB-4088-B450-5360268A03ED}"/>
    <cellStyle name="Neutral 23" xfId="2264" xr:uid="{0CFD5A93-E833-4443-8897-18E94AE193AE}"/>
    <cellStyle name="Neutral 24" xfId="508" xr:uid="{8FA0AD27-AEE3-465F-8FD6-4E6C4698C967}"/>
    <cellStyle name="Neutral 3" xfId="2265" xr:uid="{D9F1EE37-DF73-4447-A05B-2E3B5410BC05}"/>
    <cellStyle name="Neutral 3 2" xfId="2266" xr:uid="{B54392B3-96A2-455F-9C97-3467F4D08617}"/>
    <cellStyle name="Neutral 4" xfId="2267" xr:uid="{51EBC25D-1D03-47A5-8F1A-0C172D7207A3}"/>
    <cellStyle name="Neutral 5" xfId="2268" xr:uid="{3D3DE8DE-1557-4A99-AD70-AB1FED4FC217}"/>
    <cellStyle name="Neutral 6" xfId="2269" xr:uid="{1CD945C0-C3B1-4234-A5AD-1F71079C0AC8}"/>
    <cellStyle name="Neutral 7" xfId="2270" xr:uid="{356AEB58-2F2B-403A-951F-488ADD554217}"/>
    <cellStyle name="Neutral 8" xfId="2271" xr:uid="{7F76A96D-8CB0-4238-9D91-0AAEF1C8E728}"/>
    <cellStyle name="Neutral 9" xfId="2272" xr:uid="{22802DA9-75D4-4BB4-AE1F-1F70948FA1A8}"/>
    <cellStyle name="Normal" xfId="0" builtinId="0"/>
    <cellStyle name="Normal 10" xfId="22" xr:uid="{4683D06D-93A6-4231-B745-C5BC2C48706B}"/>
    <cellStyle name="Normal 10 2" xfId="23" xr:uid="{F6179462-B235-41F2-8A03-C15AC0B7AFC2}"/>
    <cellStyle name="Normal 10 2 2" xfId="24" xr:uid="{5E480178-D309-471C-A4F7-BFAB9B957877}"/>
    <cellStyle name="Normal 10 2 2 2" xfId="2274" xr:uid="{B3FBB9F2-3A15-4096-916F-82746E8ADD69}"/>
    <cellStyle name="Normal 10 2 3" xfId="2275" xr:uid="{7BF8D516-735E-457D-B606-8B6DA46FD8EE}"/>
    <cellStyle name="Normal 10 2 4" xfId="2273" xr:uid="{FED68651-F821-436C-86C8-E80E3B775D42}"/>
    <cellStyle name="Normal 10 2_BOS Workings" xfId="25" xr:uid="{E78D1C34-919C-4F30-ADBF-4DD187A05E73}"/>
    <cellStyle name="Normal 10 3" xfId="26" xr:uid="{AE8AD5D4-92B2-4433-A49E-90B43CFE11A4}"/>
    <cellStyle name="Normal 10 3 2" xfId="2277" xr:uid="{C9B60AE8-4829-4299-800D-DAB2F29CFCA5}"/>
    <cellStyle name="Normal 10 3 3" xfId="2276" xr:uid="{2BDA2C05-201A-4E0B-859C-51DF4F552B19}"/>
    <cellStyle name="Normal 10 4" xfId="2278" xr:uid="{994DEA53-3C86-49CD-9964-E7D7A21E523D}"/>
    <cellStyle name="Normal 10 5" xfId="2279" xr:uid="{F9C06852-AD73-4300-AC74-344BD1056C34}"/>
    <cellStyle name="Normal 10_BOS Workings" xfId="27" xr:uid="{ECECFD19-684B-4D0A-9FC8-26DBB661A01C}"/>
    <cellStyle name="Normal 100" xfId="28" xr:uid="{0171458C-0866-429F-9A9C-E77EE6ADBC32}"/>
    <cellStyle name="Normal 100 2" xfId="29" xr:uid="{FABD04A8-3682-480B-B605-1D65B53CB398}"/>
    <cellStyle name="Normal 101" xfId="30" xr:uid="{89D775F2-306E-419E-A61C-5A48FC47AE50}"/>
    <cellStyle name="Normal 101 2" xfId="31" xr:uid="{65B0BF6B-374C-4637-966D-E4EFAA4BECFB}"/>
    <cellStyle name="Normal 102" xfId="32" xr:uid="{3E4F57B5-9E7C-41AD-84BE-FF570C5F3842}"/>
    <cellStyle name="Normal 102 2" xfId="33" xr:uid="{CC4A188E-5E94-4E1E-9CAD-E355D9F290BB}"/>
    <cellStyle name="Normal 103" xfId="34" xr:uid="{8DC2C7B8-B3C1-4693-AB3D-538E8CC2F98F}"/>
    <cellStyle name="Normal 103 2" xfId="35" xr:uid="{92583A50-5E31-408D-B723-B6A8AFC12A40}"/>
    <cellStyle name="Normal 104" xfId="36" xr:uid="{048A9D52-84A9-4231-B3CE-769A578316BC}"/>
    <cellStyle name="Normal 104 2" xfId="37" xr:uid="{D8FF09B3-4E4A-4742-B351-9A4C3CA9F46E}"/>
    <cellStyle name="Normal 105" xfId="38" xr:uid="{25DEFB32-E5BE-4157-946E-E73C1A9BA741}"/>
    <cellStyle name="Normal 105 2" xfId="39" xr:uid="{E4BB85A8-E9BD-4881-8686-A00E4E7CF23A}"/>
    <cellStyle name="Normal 106" xfId="40" xr:uid="{591EB512-CA08-453E-9697-243F9DBC6653}"/>
    <cellStyle name="Normal 106 2" xfId="41" xr:uid="{02CF69A1-2180-47ED-B050-EE0DFAD16751}"/>
    <cellStyle name="Normal 107" xfId="42" xr:uid="{05294981-48B2-404E-8A53-9B3F191FECD4}"/>
    <cellStyle name="Normal 107 2" xfId="43" xr:uid="{CFD1415F-7542-4318-B6F2-1DCDB00D66E5}"/>
    <cellStyle name="Normal 108" xfId="44" xr:uid="{71F134BA-AFA6-42DA-99DF-4F1A670424ED}"/>
    <cellStyle name="Normal 108 2" xfId="45" xr:uid="{758E475A-02D9-4E5B-9A93-08386E82EC70}"/>
    <cellStyle name="Normal 109" xfId="46" xr:uid="{B68727DB-1926-4129-808A-A7481D3508A4}"/>
    <cellStyle name="Normal 11" xfId="47" xr:uid="{6D992D2F-69C2-4E50-BC19-E70BDBE1A114}"/>
    <cellStyle name="Normal 11 2" xfId="48" xr:uid="{777C8AA8-3373-4F25-92AD-96024FE8E460}"/>
    <cellStyle name="Normal 11 2 2" xfId="49" xr:uid="{D4151051-F9F8-4666-B095-D62D59A12D4F}"/>
    <cellStyle name="Normal 11 2 2 2" xfId="2282" xr:uid="{A794AEDA-7147-49AF-87F1-DA2F7E9D73A7}"/>
    <cellStyle name="Normal 11 2 3" xfId="2283" xr:uid="{3D229601-33B9-4401-828D-D385BBD5B5D6}"/>
    <cellStyle name="Normal 11 2 4" xfId="2281" xr:uid="{F5ACC55D-FA49-42EF-AA83-F0E037219303}"/>
    <cellStyle name="Normal 11 2_BOS Workings" xfId="50" xr:uid="{70557351-BA44-449A-B9D7-6F5D1F985EE3}"/>
    <cellStyle name="Normal 11 3" xfId="51" xr:uid="{71E67EBD-DA4B-4266-A795-442B2A641E5F}"/>
    <cellStyle name="Normal 11 3 2" xfId="2284" xr:uid="{4C839F5E-013D-4404-B0E2-7519D68A1144}"/>
    <cellStyle name="Normal 11 4" xfId="2285" xr:uid="{760186FA-24CD-44C4-A519-93673849A41E}"/>
    <cellStyle name="Normal 11 5" xfId="2280" xr:uid="{25AE576B-F609-479C-8F75-79F98C15493E}"/>
    <cellStyle name="Normal 11_BOS Workings" xfId="52" xr:uid="{1A99EDDA-8E54-4FEB-B1C0-98E4430E7A0A}"/>
    <cellStyle name="Normal 110" xfId="53" xr:uid="{5F41139D-C0E3-46CC-9526-AB59C4326142}"/>
    <cellStyle name="Normal 111" xfId="54" xr:uid="{4F6DAAC3-8690-4E4F-97FD-84992B5066D2}"/>
    <cellStyle name="Normal 112" xfId="55" xr:uid="{7CE4109E-24B3-4828-91F9-B6F27F8AC692}"/>
    <cellStyle name="Normal 113" xfId="56" xr:uid="{B6161CDF-C290-41BD-AA60-96B20562BAFB}"/>
    <cellStyle name="Normal 114" xfId="57" xr:uid="{94260123-7A70-4F95-8085-5D222CF0DD0D}"/>
    <cellStyle name="Normal 115" xfId="58" xr:uid="{B60F2AFB-1387-43C2-B98B-ABBB4F78244D}"/>
    <cellStyle name="Normal 116" xfId="59" xr:uid="{DB0A36FD-3AC0-4DF3-B86C-E5B9C9A1A946}"/>
    <cellStyle name="Normal 117" xfId="60" xr:uid="{BE6B5B93-6EB5-43EA-8792-5F0053B34B6F}"/>
    <cellStyle name="Normal 118" xfId="61" xr:uid="{23B0B3D4-C419-4E68-9A80-71F0E669E58E}"/>
    <cellStyle name="Normal 119" xfId="62" xr:uid="{444B8C46-96B2-4FF2-B68F-D875E2E50964}"/>
    <cellStyle name="Normal 12" xfId="63" xr:uid="{B411FEB1-7623-40E0-B650-920660F7EF17}"/>
    <cellStyle name="Normal 12 2" xfId="64" xr:uid="{595DF8CE-C74F-46F0-B92F-964C9C824A56}"/>
    <cellStyle name="Normal 12 2 2" xfId="65" xr:uid="{F970DD94-BBC9-4CAA-8171-E8E0E42F4641}"/>
    <cellStyle name="Normal 12 2 2 2" xfId="2288" xr:uid="{DC434760-5465-4D44-9B28-4AA6F028173F}"/>
    <cellStyle name="Normal 12 2 3" xfId="2287" xr:uid="{A4BACF53-928D-42FA-BC08-CA502C7700F2}"/>
    <cellStyle name="Normal 12 2_BOS Workings" xfId="66" xr:uid="{E3207F59-F6C0-48E7-A8D6-9C4090B80B13}"/>
    <cellStyle name="Normal 12 3" xfId="67" xr:uid="{A201DB6C-9861-4196-B236-5D30F58C649B}"/>
    <cellStyle name="Normal 12 3 2" xfId="2289" xr:uid="{7ECBE34A-3E6C-40CB-BB9A-174BD020D6BD}"/>
    <cellStyle name="Normal 12 4" xfId="2286" xr:uid="{7F0473AF-6EA8-47AB-8670-81E0FD26A866}"/>
    <cellStyle name="Normal 12_BOS Workings" xfId="68" xr:uid="{D3F3116E-737F-45F3-8426-B1B77D585394}"/>
    <cellStyle name="Normal 120" xfId="12" xr:uid="{1C87EA72-5BB4-4540-9DB5-E9C7A094B82C}"/>
    <cellStyle name="Normal 120 2" xfId="4449" xr:uid="{D35017A0-3A12-4EA9-BB04-24F3B96F73B9}"/>
    <cellStyle name="Normal 121" xfId="364" xr:uid="{AD6DCE3D-66B4-4575-BFF0-81C3366EC2DD}"/>
    <cellStyle name="Normal 122" xfId="368" xr:uid="{D267E36A-4BB3-4866-9281-D8816C67B794}"/>
    <cellStyle name="Normal 123" xfId="370" xr:uid="{67749EC2-6687-4E68-AD65-E131707C8B52}"/>
    <cellStyle name="Normal 124" xfId="382" xr:uid="{0D41229F-159C-4C61-967D-B1BD6486D7A9}"/>
    <cellStyle name="Normal 125" xfId="372" xr:uid="{9090683A-502A-4957-8B19-62C0D1AC7D08}"/>
    <cellStyle name="Normal 126" xfId="384" xr:uid="{B2AAB24B-BBF4-4398-A1AB-8BE96BD019A1}"/>
    <cellStyle name="Normal 127" xfId="386" xr:uid="{5F31F6FF-64D6-44F8-B4A8-483370CBA512}"/>
    <cellStyle name="Normal 128" xfId="5" xr:uid="{70067DC7-58DD-4B7D-AAA7-31E3D897063A}"/>
    <cellStyle name="Normal 129" xfId="387" xr:uid="{3C5B130D-011A-40EA-88C4-A9D347A6DE49}"/>
    <cellStyle name="Normal 13" xfId="69" xr:uid="{1EE61ECB-18E0-43B9-8920-D0AD0A16520D}"/>
    <cellStyle name="Normal 13 2" xfId="70" xr:uid="{5EA75C20-396E-4881-9023-FA94989F843B}"/>
    <cellStyle name="Normal 13 2 2" xfId="71" xr:uid="{85D431C6-1AC6-4335-96F0-2A8174136CD2}"/>
    <cellStyle name="Normal 13 2 3" xfId="2291" xr:uid="{DF53A5FE-454A-48F7-B1AB-D63C692F5A21}"/>
    <cellStyle name="Normal 13 2_BOS Workings" xfId="72" xr:uid="{80FF535E-5142-45B4-831C-8D7DB7BC0E65}"/>
    <cellStyle name="Normal 13 3" xfId="73" xr:uid="{5737C9A1-BEC3-47BB-8B76-57FCD3C2AC9C}"/>
    <cellStyle name="Normal 13 3 2" xfId="2292" xr:uid="{1ACCA6AC-6448-40B2-9510-165F65EEF55C}"/>
    <cellStyle name="Normal 13 4" xfId="2290" xr:uid="{A173C03B-B531-4D4F-BAF9-1F2C8983E7EE}"/>
    <cellStyle name="Normal 13_BOS Workings" xfId="74" xr:uid="{6DFCA73A-6766-4114-BDCA-4CFC5A923418}"/>
    <cellStyle name="Normal 14" xfId="75" xr:uid="{773ADEDA-C0DF-485A-BDAB-20631503B0E6}"/>
    <cellStyle name="Normal 14 2" xfId="76" xr:uid="{389FE145-CC25-4DE9-8FD3-8A40C80F3E45}"/>
    <cellStyle name="Normal 14_BOS Workings" xfId="77" xr:uid="{27CF99AA-14F8-422E-B16B-0B409A92BB95}"/>
    <cellStyle name="Normal 15" xfId="78" xr:uid="{9146990C-4E28-4EE8-8572-CD4FD15A3F4C}"/>
    <cellStyle name="Normal 15 2" xfId="79" xr:uid="{EA40B55F-1520-49AB-A380-7D72589B607C}"/>
    <cellStyle name="Normal 15_BOS Workings" xfId="80" xr:uid="{2504B8BD-4DDC-4EB5-AF4F-FE3B83B602DD}"/>
    <cellStyle name="Normal 16" xfId="81" xr:uid="{77A9BBE4-3C9F-4E64-B27B-628F0FAFFA37}"/>
    <cellStyle name="Normal 16 2" xfId="82" xr:uid="{DAC84A8D-28AC-47B2-A092-B3A8FF458E21}"/>
    <cellStyle name="Normal 16_BOS Workings" xfId="83" xr:uid="{90097F45-A78B-44EE-91B3-B3978BD19A4F}"/>
    <cellStyle name="Normal 17" xfId="84" xr:uid="{8C76E722-B5D0-4260-AAC5-58E47617F476}"/>
    <cellStyle name="Normal 17 2" xfId="85" xr:uid="{CBE1C4FA-CE7D-4332-8C44-BAE61AA54117}"/>
    <cellStyle name="Normal 17_BOS Workings" xfId="86" xr:uid="{223B34BF-AAA8-4DC9-BAD3-B4D4293BE223}"/>
    <cellStyle name="Normal 18" xfId="87" xr:uid="{F225FF92-BD4A-4756-BF98-A9FC3B3DA5AD}"/>
    <cellStyle name="Normal 18 2" xfId="88" xr:uid="{5F6F48E3-5A09-4D16-91E1-03EE8F6516D6}"/>
    <cellStyle name="Normal 18_BOS Workings" xfId="89" xr:uid="{C67FD502-13A0-4CCE-AF44-A7F91152832D}"/>
    <cellStyle name="Normal 19" xfId="90" xr:uid="{024CF3AE-490E-46DE-AA08-5ED0947ADF5B}"/>
    <cellStyle name="Normal 19 2" xfId="91" xr:uid="{C96026A7-A989-4E39-8E5A-A7DE3377A96F}"/>
    <cellStyle name="Normal 19_BOS Workings" xfId="92" xr:uid="{AD6DBF95-2CD5-47C6-8E0F-4CC8A530EFEC}"/>
    <cellStyle name="Normal 2" xfId="4" xr:uid="{DDC12FD0-BE0B-45DF-8F74-F37C2D2CAE9C}"/>
    <cellStyle name="Normal 2 10" xfId="2293" xr:uid="{B8D39BA0-83A7-4238-80AC-07E43816C394}"/>
    <cellStyle name="Normal 2 11" xfId="2294" xr:uid="{8A678710-95ED-45D9-8E12-0674BD5154E1}"/>
    <cellStyle name="Normal 2 12" xfId="2295" xr:uid="{866DA6B4-9CF1-4F7B-BF09-559FFD3249ED}"/>
    <cellStyle name="Normal 2 13" xfId="2296" xr:uid="{2F7265A3-AF15-40AA-8AD5-D885CEDAFD00}"/>
    <cellStyle name="Normal 2 14" xfId="2297" xr:uid="{9AC56E74-5813-4573-B40D-033FF63F6642}"/>
    <cellStyle name="Normal 2 15" xfId="2298" xr:uid="{FE2F0609-B874-4EED-AFDF-A4FEC7774CC4}"/>
    <cellStyle name="Normal 2 15 2" xfId="2299" xr:uid="{DF512AFD-47E4-4445-94FA-D6810439BBC6}"/>
    <cellStyle name="Normal 2 16" xfId="2300" xr:uid="{D7AD778F-4626-4B43-BB9E-9FD7722D89C1}"/>
    <cellStyle name="Normal 2 17" xfId="2301" xr:uid="{511832F3-5B6C-479E-B058-1994F6C3EAE6}"/>
    <cellStyle name="Normal 2 18" xfId="2302" xr:uid="{0AAAF4F2-9D8C-470D-8A5B-71C06A5CD6A2}"/>
    <cellStyle name="Normal 2 19" xfId="2303" xr:uid="{FE5BA323-4C6B-4BB2-AF86-CE1CED6AA0BA}"/>
    <cellStyle name="Normal 2 2" xfId="93" xr:uid="{7CF950CA-4A16-47E7-A6DE-08ED688A66E6}"/>
    <cellStyle name="Normal 2 2 2" xfId="371" xr:uid="{14883B94-87CF-4BD0-B989-8D34A380A601}"/>
    <cellStyle name="Normal 2 2 2 2" xfId="2306" xr:uid="{9C31DC62-3C28-414C-8BCB-3DE4829C765D}"/>
    <cellStyle name="Normal 2 2 2 3" xfId="2305" xr:uid="{80FAF977-5AB7-4F34-85F0-11B38BEE98E2}"/>
    <cellStyle name="Normal 2 2 3" xfId="2307" xr:uid="{EBD919B9-5DDD-40D4-A402-59992819DC72}"/>
    <cellStyle name="Normal 2 2 4" xfId="2304" xr:uid="{4078A539-B4EC-4595-99CD-DFA5585938BE}"/>
    <cellStyle name="Normal 2 2 5" xfId="457" xr:uid="{2CD3D8E6-C827-4194-891E-F4E8DDE34BA8}"/>
    <cellStyle name="Normal 2 20" xfId="2308" xr:uid="{E87C2ACE-8CC8-48F9-8052-67D6F6344FF6}"/>
    <cellStyle name="Normal 2 21" xfId="2309" xr:uid="{CB48CFA7-3C71-44C9-8FD1-59101EF4495C}"/>
    <cellStyle name="Normal 2 22" xfId="2310" xr:uid="{8B4C7F5E-1297-49A9-8873-4F685714EF54}"/>
    <cellStyle name="Normal 2 23" xfId="2311" xr:uid="{7193938A-3B21-4AF1-B7E3-449AC60E5262}"/>
    <cellStyle name="Normal 2 24" xfId="2312" xr:uid="{C3FD2B94-915D-4E25-99BF-CBD5788E5231}"/>
    <cellStyle name="Normal 2 25" xfId="2313" xr:uid="{53792C9A-290B-4A6C-846B-2CB9A40C0697}"/>
    <cellStyle name="Normal 2 26" xfId="2314" xr:uid="{CE21A3B7-903B-4691-B9FE-321C99DF47D1}"/>
    <cellStyle name="Normal 2 27" xfId="2315" xr:uid="{3FBB462A-AC78-4121-AC24-B2255DC19780}"/>
    <cellStyle name="Normal 2 28" xfId="2316" xr:uid="{909D0CE0-6E85-45AA-9208-929900BDA1D3}"/>
    <cellStyle name="Normal 2 29" xfId="2317" xr:uid="{9B5E8A63-B199-4120-8798-04622F2F78DF}"/>
    <cellStyle name="Normal 2 3" xfId="2318" xr:uid="{B82772A9-DC0C-4ABF-825D-56F756CE4689}"/>
    <cellStyle name="Normal 2 3 2" xfId="2319" xr:uid="{9F8316F0-0FF2-4750-B58B-FD20A14ADDF4}"/>
    <cellStyle name="Normal 2 3 2 2" xfId="2320" xr:uid="{B98F774A-54D7-495B-B2E0-681DBF076D57}"/>
    <cellStyle name="Normal 2 3 2 3" xfId="2321" xr:uid="{E16CB052-66AF-4621-BAFB-D57F43A0C5CF}"/>
    <cellStyle name="Normal 2 3 3" xfId="2322" xr:uid="{DEA2659C-930A-4C40-96E7-F252246C589A}"/>
    <cellStyle name="Normal 2 30" xfId="2323" xr:uid="{063F47E2-918E-4E4D-9972-344E8A41633B}"/>
    <cellStyle name="Normal 2 31" xfId="2324" xr:uid="{0566C4AD-8ACD-4AE1-960E-69DA4AB35AE6}"/>
    <cellStyle name="Normal 2 32" xfId="2325" xr:uid="{7389460B-D9CF-4B58-9148-3DBEBCE435BC}"/>
    <cellStyle name="Normal 2 33" xfId="2326" xr:uid="{03157410-B085-4660-8FD9-5AE16B743623}"/>
    <cellStyle name="Normal 2 34" xfId="2327" xr:uid="{83D5565A-1EA1-4E66-8D09-38CBF0B720B0}"/>
    <cellStyle name="Normal 2 35" xfId="2328" xr:uid="{C53D2015-EBDE-45E8-8A96-AA98653066DF}"/>
    <cellStyle name="Normal 2 36" xfId="2329" xr:uid="{9EBC97EC-38D6-4F00-8514-4CB8BE54DDCF}"/>
    <cellStyle name="Normal 2 37" xfId="2330" xr:uid="{B4070E36-1C6F-44D8-B08B-B80037A72714}"/>
    <cellStyle name="Normal 2 38" xfId="2331" xr:uid="{17A79EA7-7742-4169-A46A-3FD8D27C4B04}"/>
    <cellStyle name="Normal 2 38 2" xfId="2332" xr:uid="{39372CD4-36FD-4D52-A902-88137B75C0A6}"/>
    <cellStyle name="Normal 2 39" xfId="2333" xr:uid="{E32B96B1-8ABD-4E01-B67F-B355F580E77B}"/>
    <cellStyle name="Normal 2 39 2" xfId="2334" xr:uid="{64B3C590-E879-4A94-952A-3E0084E42AF5}"/>
    <cellStyle name="Normal 2 4" xfId="2335" xr:uid="{3B582B44-8425-4146-A8D2-DA4A5CB92E93}"/>
    <cellStyle name="Normal 2 4 2" xfId="2336" xr:uid="{A838BED5-1599-404C-891A-9380C93A3745}"/>
    <cellStyle name="Normal 2 4 3" xfId="2337" xr:uid="{622A6395-4A2B-4FB8-A76A-3927D162649E}"/>
    <cellStyle name="Normal 2 4 4" xfId="2338" xr:uid="{8B8F66CA-A156-4B40-891D-DADE36F8FB5A}"/>
    <cellStyle name="Normal 2 40" xfId="2339" xr:uid="{D5969E5B-B369-4B94-8D5E-2BD8C38CD89A}"/>
    <cellStyle name="Normal 2 41" xfId="2340" xr:uid="{E25C5C2C-998C-41DB-8843-946CD965CE98}"/>
    <cellStyle name="Normal 2 42" xfId="2341" xr:uid="{6F944D54-9074-4F21-AD3B-80A7B3F3AFB0}"/>
    <cellStyle name="Normal 2 43" xfId="2342" xr:uid="{318C4030-4A83-4BA2-A3D0-EDC60E33674E}"/>
    <cellStyle name="Normal 2 44" xfId="2343" xr:uid="{C62A49D6-5136-4886-9F9F-7A34599AC7B4}"/>
    <cellStyle name="Normal 2 45" xfId="2344" xr:uid="{F95BF5A3-3BC9-4758-B903-70112009B4B7}"/>
    <cellStyle name="Normal 2 46" xfId="2345" xr:uid="{378A4B66-8D1B-4716-8C14-1087BE46A002}"/>
    <cellStyle name="Normal 2 47" xfId="2346" xr:uid="{A427FA2F-ECF6-46D8-B551-1B920E1FF9C0}"/>
    <cellStyle name="Normal 2 48" xfId="2347" xr:uid="{30A6A463-374D-4585-9EB9-3D0D4858E87F}"/>
    <cellStyle name="Normal 2 49" xfId="2348" xr:uid="{F2AEEAF8-BEF4-4562-92D4-C75E87E75154}"/>
    <cellStyle name="Normal 2 5" xfId="2349" xr:uid="{06C9CC21-343E-41AD-A981-63BF0A5172A3}"/>
    <cellStyle name="Normal 2 50" xfId="2350" xr:uid="{633192D6-7DD9-4EB5-A209-610FDF50E566}"/>
    <cellStyle name="Normal 2 51" xfId="2351" xr:uid="{1B63D3B3-9003-4AF6-8495-DC56FA4F6C18}"/>
    <cellStyle name="Normal 2 52" xfId="2352" xr:uid="{37B73EF2-338C-4B06-8163-581C45E24D1D}"/>
    <cellStyle name="Normal 2 53" xfId="2353" xr:uid="{35F8EA07-9A32-4EC6-B20D-EA8228BECED4}"/>
    <cellStyle name="Normal 2 54" xfId="2354" xr:uid="{EE4D5136-9809-47D9-B2E4-2B5961BB2152}"/>
    <cellStyle name="Normal 2 55" xfId="2355" xr:uid="{F717AE0F-4283-4E65-9029-B663D651281D}"/>
    <cellStyle name="Normal 2 56" xfId="2356" xr:uid="{7F111B9E-AAAE-4511-B1C1-B1860B0426B9}"/>
    <cellStyle name="Normal 2 57" xfId="2357" xr:uid="{B5130669-F275-4C7F-9708-83526D0962A4}"/>
    <cellStyle name="Normal 2 58" xfId="2358" xr:uid="{BAA5B9AA-4617-4F82-97E4-C5B6B01D2535}"/>
    <cellStyle name="Normal 2 59" xfId="2359" xr:uid="{2E818874-ABEE-45F4-A5A1-FA5030FCFB14}"/>
    <cellStyle name="Normal 2 6" xfId="2360" xr:uid="{241C2CE7-4A9C-46EE-8436-A987C0D9E3F2}"/>
    <cellStyle name="Normal 2 6 2" xfId="2361" xr:uid="{6E6DFB04-10B4-48F8-A981-365E85BC5DBD}"/>
    <cellStyle name="Normal 2 60" xfId="2362" xr:uid="{34D659A3-E605-4FC4-877A-1AF9EF3E5A76}"/>
    <cellStyle name="Normal 2 61" xfId="2363" xr:uid="{EF36D2DF-799D-4B89-BBFD-0A398189AB95}"/>
    <cellStyle name="Normal 2 62" xfId="2364" xr:uid="{781EA15F-21B8-4129-9B58-8904B64AECC0}"/>
    <cellStyle name="Normal 2 63" xfId="2365" xr:uid="{08A48472-F3D2-4E5B-830D-01B2370A7005}"/>
    <cellStyle name="Normal 2 64" xfId="2366" xr:uid="{153C1978-1F46-480B-8411-193DD2F6B0A7}"/>
    <cellStyle name="Normal 2 65" xfId="2367" xr:uid="{AA7FEFCF-A641-4974-912A-DED2751666AB}"/>
    <cellStyle name="Normal 2 66" xfId="2368" xr:uid="{4C34B2E2-3335-4742-9B86-26D6C8354D95}"/>
    <cellStyle name="Normal 2 67" xfId="2369" xr:uid="{B879805C-A452-464D-9C65-E0DCC3CDD6F1}"/>
    <cellStyle name="Normal 2 68" xfId="2370" xr:uid="{2BDDF276-BBBB-4BA6-AFE4-EB7623C0A530}"/>
    <cellStyle name="Normal 2 69" xfId="2371" xr:uid="{5BB0217D-CC62-494C-BF5E-90D9981B29B3}"/>
    <cellStyle name="Normal 2 7" xfId="2372" xr:uid="{2EFCACC2-6E8D-4E7C-825F-F7080F745B3B}"/>
    <cellStyle name="Normal 2 70" xfId="2373" xr:uid="{9A8BB3C7-9AB6-485A-B682-190614C4AE80}"/>
    <cellStyle name="Normal 2 8" xfId="2374" xr:uid="{1D17F67D-9565-4116-9DBC-14241D923AB0}"/>
    <cellStyle name="Normal 2 8 2" xfId="2375" xr:uid="{29A28AF5-390E-4ED7-BD06-C0563DBA7B2E}"/>
    <cellStyle name="Normal 2 9" xfId="2376" xr:uid="{CB42436F-A4CD-4CF5-BF9F-A2C55BBBCD2C}"/>
    <cellStyle name="Normal 2_Indexadores Corregidos def_Indexadores_AG_rev2" xfId="2377" xr:uid="{BDFDDD1D-4B98-48FE-9A19-A5E8294FFCBF}"/>
    <cellStyle name="Normal 20" xfId="94" xr:uid="{3655F1A3-BF8A-4B9F-AA85-8BF15B49D2BA}"/>
    <cellStyle name="Normal 20 2" xfId="95" xr:uid="{9CE3B013-5838-41D3-BE9A-24790C62F888}"/>
    <cellStyle name="Normal 20_BOS Workings" xfId="96" xr:uid="{365686FC-A83C-43EF-9AB6-9D6DCE59A9F6}"/>
    <cellStyle name="Normal 21" xfId="97" xr:uid="{4A84EDCD-13BE-485D-850B-22DF6C36E8A8}"/>
    <cellStyle name="Normal 21 2" xfId="98" xr:uid="{0AA6867C-1188-450D-9B0E-1B83923A7FF2}"/>
    <cellStyle name="Normal 21_BOS Workings" xfId="99" xr:uid="{2AA977BF-03A8-4E0F-A60B-0E17E8E7D3A6}"/>
    <cellStyle name="Normal 22" xfId="100" xr:uid="{D898E5CC-4AC2-4C3E-88A3-4FEE85D9F3D2}"/>
    <cellStyle name="Normal 22 2" xfId="101" xr:uid="{DE042286-246C-4696-B206-DC7391972DA9}"/>
    <cellStyle name="Normal 22_BOS Workings" xfId="102" xr:uid="{749EB700-FFEB-4A0E-B1BE-2C4273D6B28D}"/>
    <cellStyle name="Normal 23" xfId="103" xr:uid="{80F9408E-EB63-4DB5-A9BC-1CF3B4FC9FFF}"/>
    <cellStyle name="Normal 23 2" xfId="104" xr:uid="{CA7430FE-BF96-48FD-98A2-3A5F2C890549}"/>
    <cellStyle name="Normal 23_BOS Workings" xfId="105" xr:uid="{4A078279-5EEF-40E6-A04C-2C28D9B9CDD8}"/>
    <cellStyle name="Normal 24" xfId="106" xr:uid="{7003AB9A-F4C3-4ECC-B8F1-B828E9892CEC}"/>
    <cellStyle name="Normal 24 2" xfId="107" xr:uid="{A318EB9C-7169-48C8-82B5-FBDA60FC5059}"/>
    <cellStyle name="Normal 24_BOS Workings" xfId="108" xr:uid="{CF4E1349-C2DF-42E8-B19E-C05BA4FDF0E7}"/>
    <cellStyle name="Normal 25" xfId="109" xr:uid="{22D31A19-085B-47A6-8B49-C9C75F7E4CD4}"/>
    <cellStyle name="Normal 25 2" xfId="110" xr:uid="{1566F95F-A7BF-4AB7-A32A-E6005A85424D}"/>
    <cellStyle name="Normal 25_BOS Workings" xfId="111" xr:uid="{29A0DB1E-ED88-4944-A6DD-FC14C663D8FE}"/>
    <cellStyle name="Normal 26" xfId="112" xr:uid="{BE518C7D-85D9-4574-94EB-2F35D4F886DD}"/>
    <cellStyle name="Normal 26 2" xfId="113" xr:uid="{8D0D013C-BD35-47B3-92DF-B6B1029EB7BD}"/>
    <cellStyle name="Normal 26_BOS Workings" xfId="114" xr:uid="{A5794067-3684-43B4-8D90-3FCE2E785BA6}"/>
    <cellStyle name="Normal 27" xfId="115" xr:uid="{4093787D-2EEA-408B-8D57-FD4A6FB00265}"/>
    <cellStyle name="Normal 27 2" xfId="116" xr:uid="{95D86B24-12A3-48B3-BDFF-06EC475529AD}"/>
    <cellStyle name="Normal 27_BOS Workings" xfId="117" xr:uid="{517589CB-4B26-4101-88F8-6274D8DD86DC}"/>
    <cellStyle name="Normal 28" xfId="118" xr:uid="{DBA3AF41-31D4-40EC-9B88-0EF9F5956C9A}"/>
    <cellStyle name="Normal 28 2" xfId="119" xr:uid="{120628E7-D265-489B-8737-951051439AB9}"/>
    <cellStyle name="Normal 28_BOS Workings" xfId="120" xr:uid="{430D06A7-BBE5-4381-B863-87B2AF29163A}"/>
    <cellStyle name="Normal 29" xfId="121" xr:uid="{90B9CB15-7F09-4850-B2C8-ED359F9BDE67}"/>
    <cellStyle name="Normal 29 2" xfId="122" xr:uid="{8EA53798-9FE9-41E1-B48F-6AF8AB18E137}"/>
    <cellStyle name="Normal 29_BOS Workings" xfId="123" xr:uid="{6586697F-7B14-4272-B6BD-22A90C2C5C2A}"/>
    <cellStyle name="Normal 3" xfId="7" xr:uid="{BC0D2893-7CF9-42AB-8E99-244DEAA8C2EA}"/>
    <cellStyle name="Normal 3 10" xfId="2379" xr:uid="{43056DDC-73AE-497F-AC9E-F19394DB62DC}"/>
    <cellStyle name="Normal 3 11" xfId="2380" xr:uid="{212F6997-417C-4714-9B01-DE3082AE9685}"/>
    <cellStyle name="Normal 3 12" xfId="2381" xr:uid="{34754C3A-8D98-499B-A12F-30FB3C8B9AF0}"/>
    <cellStyle name="Normal 3 13" xfId="2382" xr:uid="{CC67DFD3-C085-4799-B143-00632459592E}"/>
    <cellStyle name="Normal 3 14" xfId="2383" xr:uid="{4F83B2A0-188B-4516-80C0-11B5F5D41B61}"/>
    <cellStyle name="Normal 3 15" xfId="2384" xr:uid="{7359CD27-CF3E-499B-8ED5-047AA558F8F3}"/>
    <cellStyle name="Normal 3 16" xfId="2385" xr:uid="{12C48F46-D9ED-4D42-B743-4B3E7A095F13}"/>
    <cellStyle name="Normal 3 17" xfId="2386" xr:uid="{F29B7340-A137-4886-B14E-CFD91822DCEA}"/>
    <cellStyle name="Normal 3 18" xfId="2387" xr:uid="{764F443B-BF59-4AA8-96DA-EF25AAB99EBE}"/>
    <cellStyle name="Normal 3 18 2" xfId="2388" xr:uid="{F47380AA-C491-4309-83FD-364491CA3085}"/>
    <cellStyle name="Normal 3 18 2 2" xfId="2389" xr:uid="{EF5517AB-6F54-41EA-8D1A-68A90CC8652C}"/>
    <cellStyle name="Normal 3 18 3" xfId="2390" xr:uid="{6A8B3C47-4BB5-4645-99F2-BBE809589EFC}"/>
    <cellStyle name="Normal 3 18 3 2" xfId="2391" xr:uid="{6761E7F1-6A14-4ACC-B871-6883214122D8}"/>
    <cellStyle name="Normal 3 18 4" xfId="2392" xr:uid="{6FF91A05-6B4A-40E4-B446-5FB4D030D065}"/>
    <cellStyle name="Normal 3 19" xfId="2393" xr:uid="{78F2D830-2471-4E81-BC2C-921EA623F861}"/>
    <cellStyle name="Normal 3 19 2" xfId="2394" xr:uid="{2A5233D8-EA5A-4ED9-8086-35E7E439C54E}"/>
    <cellStyle name="Normal 3 2" xfId="10" xr:uid="{DE8182AA-3AE9-415E-98C8-1A29FA2C3712}"/>
    <cellStyle name="Normal 3 2 2" xfId="125" xr:uid="{2376AB29-0865-400C-B364-E5B98F62553B}"/>
    <cellStyle name="Normal 3 2 2 2" xfId="2397" xr:uid="{EEEB12D8-DCBD-42C0-B25A-3A0ADC54B57D}"/>
    <cellStyle name="Normal 3 2 2 2 2" xfId="2398" xr:uid="{FC4E74A3-5695-46D1-8380-F4B5374BE42B}"/>
    <cellStyle name="Normal 3 2 2 3" xfId="2399" xr:uid="{EBC0EF0F-C387-49D1-AD18-DD8095745B98}"/>
    <cellStyle name="Normal 3 2 2 3 2" xfId="2400" xr:uid="{805ABF93-A933-4485-BBAC-E6DA6B748C12}"/>
    <cellStyle name="Normal 3 2 2 4" xfId="2401" xr:uid="{99CA388C-4C71-4276-9696-188D57AB5DB7}"/>
    <cellStyle name="Normal 3 2 2 4 2" xfId="2402" xr:uid="{445BF7DC-8768-4085-834A-AA88A3A6A5A5}"/>
    <cellStyle name="Normal 3 2 2 5" xfId="2403" xr:uid="{199407CF-21DD-4F9A-9137-C66600F228C0}"/>
    <cellStyle name="Normal 3 2 2 5 2" xfId="2404" xr:uid="{BD442F9B-A500-4E2F-86B6-2DD112217812}"/>
    <cellStyle name="Normal 3 2 2 6" xfId="2405" xr:uid="{FEBA5B60-D529-4722-81F4-C2B096256D41}"/>
    <cellStyle name="Normal 3 2 2 7" xfId="2396" xr:uid="{ED8DF2F6-5912-4D92-9720-7A0EAAA73C49}"/>
    <cellStyle name="Normal 3 2 3" xfId="2406" xr:uid="{EF1EAC81-94B4-4C45-B0C5-655A4575E14D}"/>
    <cellStyle name="Normal 3 2 3 2" xfId="2407" xr:uid="{5E45759F-90B3-4D28-A4D6-1BF4D85001A7}"/>
    <cellStyle name="Normal 3 2 4" xfId="2408" xr:uid="{BBF7536E-4EA8-407B-AB73-D91F337EBAFD}"/>
    <cellStyle name="Normal 3 2 4 2" xfId="2409" xr:uid="{F8AABD55-C83F-4BF2-946F-54C5A6D2EC8A}"/>
    <cellStyle name="Normal 3 2 5" xfId="2410" xr:uid="{7C5790D7-898E-4321-B565-8B7EE03177C1}"/>
    <cellStyle name="Normal 3 2 6" xfId="2395" xr:uid="{4F212333-060C-451E-99BF-F377A96F2C6C}"/>
    <cellStyle name="Normal 3 2 7" xfId="451" xr:uid="{60F07DB9-B831-4F02-B629-2A643F3EED61}"/>
    <cellStyle name="Normal 3 20" xfId="2411" xr:uid="{C423B505-8A2E-4E85-8D45-D9E90F9A754E}"/>
    <cellStyle name="Normal 3 20 2" xfId="2412" xr:uid="{0A9381CE-6428-4E36-8DAD-8F54ABA064BB}"/>
    <cellStyle name="Normal 3 21" xfId="2413" xr:uid="{592D17E0-0338-47C6-8E02-118F61096E1D}"/>
    <cellStyle name="Normal 3 22" xfId="2378" xr:uid="{CDA4C279-FCEC-4F25-8455-BD6962E1E16D}"/>
    <cellStyle name="Normal 3 23" xfId="441" xr:uid="{4D6CA643-BAE6-47F8-88CD-3C5F290779E9}"/>
    <cellStyle name="Normal 3 3" xfId="124" xr:uid="{1DB71418-94BA-419B-810B-9396B0302EA0}"/>
    <cellStyle name="Normal 3 3 2" xfId="2415" xr:uid="{3B540E53-B85B-4287-B9F5-BC933957049A}"/>
    <cellStyle name="Normal 3 3 2 2" xfId="2416" xr:uid="{21C77EB0-0BA3-4690-ACFE-C2C32C67A67D}"/>
    <cellStyle name="Normal 3 3 2 2 2" xfId="2417" xr:uid="{E781435F-12E1-434B-9D21-E55355910754}"/>
    <cellStyle name="Normal 3 3 2 3" xfId="2418" xr:uid="{A7D9ABA0-CED8-472C-A981-2E864A88D9FF}"/>
    <cellStyle name="Normal 3 3 2 3 2" xfId="2419" xr:uid="{DD0E1949-1500-4B46-8833-9C09C7181058}"/>
    <cellStyle name="Normal 3 3 2 4" xfId="2420" xr:uid="{B4309138-9305-4911-975F-CB2B841C9501}"/>
    <cellStyle name="Normal 3 3 2 4 2" xfId="2421" xr:uid="{53BDAC16-7EA9-4F95-AA67-2D2206DC5D7A}"/>
    <cellStyle name="Normal 3 3 2 5" xfId="2422" xr:uid="{F7D21D54-8519-489D-845C-2D04501C5D94}"/>
    <cellStyle name="Normal 3 3 2 5 2" xfId="2423" xr:uid="{300C4453-8F11-4CD3-851D-41B0D030B4D4}"/>
    <cellStyle name="Normal 3 3 2 6" xfId="2424" xr:uid="{63490C5F-5E84-46EC-A945-7FD82630038E}"/>
    <cellStyle name="Normal 3 3 3" xfId="2425" xr:uid="{1377EC80-451F-47FE-B0EF-65536FB15EEE}"/>
    <cellStyle name="Normal 3 3 3 2" xfId="2426" xr:uid="{25D0FD5A-C7FC-4C29-B993-0F727DD37437}"/>
    <cellStyle name="Normal 3 3 4" xfId="2427" xr:uid="{DDF73679-F9C6-4508-9A82-CB66533BB3CB}"/>
    <cellStyle name="Normal 3 3 4 2" xfId="2428" xr:uid="{DC27A818-1E50-40E3-BA1E-ED8944D1FEAA}"/>
    <cellStyle name="Normal 3 3 5" xfId="2429" xr:uid="{B0BA12A6-C286-4E00-AC01-CDC7CB7CF7C5}"/>
    <cellStyle name="Normal 3 3 6" xfId="2414" xr:uid="{E1B24BBC-6C78-4732-B6F7-5F5DCC4FB9CC}"/>
    <cellStyle name="Normal 3 4" xfId="367" xr:uid="{61DDA083-EB03-43C2-B629-EE0D619BA7CA}"/>
    <cellStyle name="Normal 3 4 2" xfId="2430" xr:uid="{0CB9E19A-1393-4FA7-AC42-EF33702E7171}"/>
    <cellStyle name="Normal 3 4 3" xfId="2431" xr:uid="{EC5C82DE-7A5D-4455-98E5-2D2EDE94774A}"/>
    <cellStyle name="Normal 3 5" xfId="2432" xr:uid="{33CCCAC1-C3C3-443D-8C68-F7263DE40D65}"/>
    <cellStyle name="Normal 3 5 2" xfId="2433" xr:uid="{A7F7641F-13A1-46D3-88A5-81654A9839BE}"/>
    <cellStyle name="Normal 3 5 2 2" xfId="2434" xr:uid="{6D8008A7-C83F-4810-A4A0-24DF12A4E2E9}"/>
    <cellStyle name="Normal 3 5 3" xfId="2435" xr:uid="{5846183A-F06B-425C-AD05-56E6C61F25AD}"/>
    <cellStyle name="Normal 3 5 3 2" xfId="2436" xr:uid="{4877E1C3-F294-4DC1-84E3-EBE5088487F6}"/>
    <cellStyle name="Normal 3 5 4" xfId="2437" xr:uid="{AD84AB47-82C3-409B-8E26-AECBF6593CE0}"/>
    <cellStyle name="Normal 3 6" xfId="2438" xr:uid="{885B7B93-E72B-40D8-8B49-BE262F3ED07E}"/>
    <cellStyle name="Normal 3 6 2" xfId="2439" xr:uid="{9A767A1F-8DB8-4864-A545-0C55DAAD1D79}"/>
    <cellStyle name="Normal 3 7" xfId="2440" xr:uid="{8FF2D4F9-BC1D-458F-ACD4-0AA636FB2E4C}"/>
    <cellStyle name="Normal 3 8" xfId="2441" xr:uid="{CFEB9D5C-20B5-4A0C-BA55-599874FB12FA}"/>
    <cellStyle name="Normal 3 9" xfId="2442" xr:uid="{ADE86CCA-ECF3-4539-92C9-BB41A1CE4CD0}"/>
    <cellStyle name="Normal 30" xfId="126" xr:uid="{D7C33A06-E7F1-40E9-8678-8D16AE4E4172}"/>
    <cellStyle name="Normal 30 2" xfId="127" xr:uid="{85BC10DF-B305-4C03-BD2F-8803978D46F4}"/>
    <cellStyle name="Normal 30_BOS Workings" xfId="128" xr:uid="{57C496CC-0AC3-43FB-BD77-45623FE5F824}"/>
    <cellStyle name="Normal 31" xfId="129" xr:uid="{83A1EE0E-6A17-49CD-8ADD-9959BAA09D10}"/>
    <cellStyle name="Normal 31 2" xfId="130" xr:uid="{855EAB20-821A-4D37-A58A-2C6B3FCE5737}"/>
    <cellStyle name="Normal 31_BOS Workings" xfId="131" xr:uid="{BD1467D6-2647-4EC3-9F7A-64EB82870A48}"/>
    <cellStyle name="Normal 32" xfId="132" xr:uid="{6FAB8810-76EA-4768-B84C-4FE5705980AE}"/>
    <cellStyle name="Normal 32 2" xfId="133" xr:uid="{86ADDDF0-9FC3-405C-999D-7F0F1B12518F}"/>
    <cellStyle name="Normal 32_BOS Workings" xfId="134" xr:uid="{5864CE35-AE8D-4C1D-B6CA-FC2D96CB2057}"/>
    <cellStyle name="Normal 33" xfId="135" xr:uid="{9C9F41E7-A010-4DD6-A4FD-59BB43864972}"/>
    <cellStyle name="Normal 33 2" xfId="136" xr:uid="{8A9FEA5D-BAA8-4CA1-B66F-9D62CEDAE902}"/>
    <cellStyle name="Normal 33_BOS Workings" xfId="137" xr:uid="{BF16E465-6839-4C90-8128-425AB7F18C16}"/>
    <cellStyle name="Normal 34" xfId="138" xr:uid="{890A8E9D-FDD1-45A6-8653-CF7B2A9346FA}"/>
    <cellStyle name="Normal 34 2" xfId="139" xr:uid="{78326D97-7D87-4CC3-BB1E-FDBA65CAF7E6}"/>
    <cellStyle name="Normal 34_BOS Workings" xfId="140" xr:uid="{FC977D1B-ABF3-4904-87DE-C4E1DAE33C88}"/>
    <cellStyle name="Normal 35" xfId="141" xr:uid="{CC30D985-8C4A-4FF5-909D-A37E06684B89}"/>
    <cellStyle name="Normal 35 2" xfId="142" xr:uid="{9CCA2763-455E-4139-8257-B00D5DC9902F}"/>
    <cellStyle name="Normal 35_BOS Workings" xfId="143" xr:uid="{9655CAE5-2ACC-40F6-9EDB-4752CE196B40}"/>
    <cellStyle name="Normal 36" xfId="144" xr:uid="{9D4CFF1D-2699-4C7F-A5D9-766960901A7D}"/>
    <cellStyle name="Normal 36 2" xfId="145" xr:uid="{B7527E5A-0FE5-4FB0-BF6A-86BB074E3F18}"/>
    <cellStyle name="Normal 36_BOS Workings" xfId="146" xr:uid="{C6B6FD0F-AAF1-4041-80CF-C33168D26F47}"/>
    <cellStyle name="Normal 37" xfId="147" xr:uid="{D992D0F5-52F4-42A2-8986-68A6EF5180ED}"/>
    <cellStyle name="Normal 37 2" xfId="148" xr:uid="{3FBC0B81-67EB-4188-A8B0-55E922E57265}"/>
    <cellStyle name="Normal 37_BOS Workings" xfId="149" xr:uid="{5D9A2882-0D92-4831-BB8E-339ACFF1B6C0}"/>
    <cellStyle name="Normal 38" xfId="150" xr:uid="{5B1066E1-7DF6-47C8-8FD2-DBADE862B899}"/>
    <cellStyle name="Normal 38 2" xfId="151" xr:uid="{759A7F7E-EB77-43DC-A3C8-5B2737CB649B}"/>
    <cellStyle name="Normal 38_BOS Workings" xfId="152" xr:uid="{D04C3C2D-09AF-4232-8BA0-C4743F286123}"/>
    <cellStyle name="Normal 39" xfId="153" xr:uid="{BB370D42-5726-4478-B9A8-A855B5F3A749}"/>
    <cellStyle name="Normal 39 2" xfId="154" xr:uid="{72F9EB08-890E-4705-B16D-EACF93560C1A}"/>
    <cellStyle name="Normal 39_BOS Workings" xfId="155" xr:uid="{C1442C80-BFA1-443E-B676-EBEA4FA4A110}"/>
    <cellStyle name="Normal 4" xfId="156" xr:uid="{2CA96132-D1D7-43A8-985D-C3426D3BF840}"/>
    <cellStyle name="Normal 4 2" xfId="157" xr:uid="{91FEE6E4-CE5D-4EFE-9C04-7CBB489C5766}"/>
    <cellStyle name="Normal 4 2 2" xfId="2444" xr:uid="{91C860F5-5AB5-409C-B85C-639BDE2B6881}"/>
    <cellStyle name="Normal 4 2 3" xfId="2445" xr:uid="{D679EDDA-1AD8-4814-993D-889157933A91}"/>
    <cellStyle name="Normal 4 3" xfId="158" xr:uid="{840EC4CC-9781-4A51-86D0-FDB80F4D50F5}"/>
    <cellStyle name="Normal 4 3 2" xfId="2447" xr:uid="{A9EFD998-655B-48C1-B1E5-D83E543D0994}"/>
    <cellStyle name="Normal 4 3 3" xfId="2448" xr:uid="{F91D7768-51D9-4831-BD04-D73C75336C4E}"/>
    <cellStyle name="Normal 4 3 4" xfId="2449" xr:uid="{B544534A-A039-481E-9DD2-3E36E703D3B4}"/>
    <cellStyle name="Normal 4 3 5" xfId="2446" xr:uid="{2699A423-54D7-4535-9B46-B2B0909197CF}"/>
    <cellStyle name="Normal 4 4" xfId="2450" xr:uid="{EBAA202A-FA30-4451-BA5C-2985E838CCD8}"/>
    <cellStyle name="Normal 4 5" xfId="2451" xr:uid="{1ACB93E1-1770-4DC4-929B-FB30795813C7}"/>
    <cellStyle name="Normal 4 6" xfId="2443" xr:uid="{E4D35A27-0D8A-4668-AD92-E05E525F7E5B}"/>
    <cellStyle name="Normal 4 7" xfId="452" xr:uid="{00272318-8024-472D-8375-7FB7FD126E91}"/>
    <cellStyle name="Normal 4_BOS Workings" xfId="159" xr:uid="{DFE9EBF4-DBCE-4D62-860B-742AD7E6B0FA}"/>
    <cellStyle name="Normal 40" xfId="160" xr:uid="{3693B363-9E09-4631-AAE1-B5C0F25E7209}"/>
    <cellStyle name="Normal 40 2" xfId="161" xr:uid="{3F5CDC58-5A8D-4ACC-BD20-7018CC8E3111}"/>
    <cellStyle name="Normal 40_BOS Workings" xfId="162" xr:uid="{C2B29924-E901-4D2A-B1DC-E395BB1EFBB7}"/>
    <cellStyle name="Normal 41" xfId="163" xr:uid="{B70DF4D1-1DAF-4ABD-BE17-8FF8EA7D0648}"/>
    <cellStyle name="Normal 41 2" xfId="164" xr:uid="{1AB40C2C-21CB-4158-92BF-849E88D8BBAB}"/>
    <cellStyle name="Normal 41_BOS Workings" xfId="165" xr:uid="{7FE56283-6321-4543-BCC7-E157F25B6005}"/>
    <cellStyle name="Normal 42" xfId="166" xr:uid="{F4286C80-0D21-4DA4-87EB-42E12F0D5A53}"/>
    <cellStyle name="Normal 42 2" xfId="167" xr:uid="{A7BF1579-1F48-4F83-9CC4-567B0248909B}"/>
    <cellStyle name="Normal 42_BOS Workings" xfId="168" xr:uid="{2DC5AED1-1FB7-46A2-B8CB-D22434DFC3EB}"/>
    <cellStyle name="Normal 43" xfId="169" xr:uid="{733B132E-D767-4F5D-B24C-06450C993D15}"/>
    <cellStyle name="Normal 43 2" xfId="170" xr:uid="{21805034-F503-4483-95CE-3C86C9E5FF82}"/>
    <cellStyle name="Normal 43_BOS Workings" xfId="171" xr:uid="{54E9992D-A04B-412A-89FC-51C24F319E3E}"/>
    <cellStyle name="Normal 44" xfId="172" xr:uid="{DBB483C8-ABBB-42D2-9D8F-7A58E11C249B}"/>
    <cellStyle name="Normal 44 2" xfId="173" xr:uid="{709E78C5-BFF9-4420-80F4-CDF432A3EC04}"/>
    <cellStyle name="Normal 44_BOS Workings" xfId="174" xr:uid="{5FC85C8C-6BDB-49F9-BB1F-983E46DB1616}"/>
    <cellStyle name="Normal 45" xfId="175" xr:uid="{8DE8F660-5390-4639-9C0B-84E70592B193}"/>
    <cellStyle name="Normal 45 2" xfId="176" xr:uid="{31B47507-4887-4A7D-860C-B1C59842030B}"/>
    <cellStyle name="Normal 45_BOS Workings" xfId="177" xr:uid="{9965B220-7582-4DAD-B51F-1B21FFB7B303}"/>
    <cellStyle name="Normal 46" xfId="178" xr:uid="{125B92DD-D117-49CC-A42E-C785F1042852}"/>
    <cellStyle name="Normal 46 2" xfId="179" xr:uid="{F83240B1-EF04-4C65-A072-B8F7B1A6D3BC}"/>
    <cellStyle name="Normal 46_BOS Workings" xfId="180" xr:uid="{F145390E-4D25-4938-9236-908CE0B3C578}"/>
    <cellStyle name="Normal 47" xfId="181" xr:uid="{E071D93D-2EAF-4863-80B3-B1F56984F5DC}"/>
    <cellStyle name="Normal 47 2" xfId="182" xr:uid="{022A83C4-62B6-4DF3-AA69-B5AFC77CE052}"/>
    <cellStyle name="Normal 47_BOS Workings" xfId="183" xr:uid="{5DBD85A0-0BD2-4ED6-A0A3-D05029C54427}"/>
    <cellStyle name="Normal 48" xfId="184" xr:uid="{8D8B0A16-DCB7-4323-A013-09B1548E84FE}"/>
    <cellStyle name="Normal 48 2" xfId="185" xr:uid="{A08455AF-56AF-4576-B279-8FDA4CACCD90}"/>
    <cellStyle name="Normal 48_BOS Workings" xfId="186" xr:uid="{488F1118-8842-4005-9895-E48F72C87815}"/>
    <cellStyle name="Normal 49" xfId="187" xr:uid="{7F0DA522-E9C5-4D31-9339-7F662720519C}"/>
    <cellStyle name="Normal 49 2" xfId="188" xr:uid="{942A82BD-2912-4224-B393-FC7913183D81}"/>
    <cellStyle name="Normal 49_BOS Workings" xfId="189" xr:uid="{29D9DDDE-A0C7-4682-9FE6-3A9532F90B6F}"/>
    <cellStyle name="Normal 5" xfId="190" xr:uid="{C7D3E306-77AA-47BB-93D9-6A2C4843DE41}"/>
    <cellStyle name="Normal 5 10" xfId="442" xr:uid="{424BE22F-6495-47E9-8F37-F2C0A673E55C}"/>
    <cellStyle name="Normal 5 2" xfId="191" xr:uid="{9186ED45-C2A5-4C7A-9EDD-CD6DD9ADE1DD}"/>
    <cellStyle name="Normal 5 2 2" xfId="443" xr:uid="{5ED21A9B-9BD9-4C95-9857-5996191C8E8A}"/>
    <cellStyle name="Normal 5 2 2 2" xfId="2453" xr:uid="{1A234681-8EE1-4B1F-B134-3B84D99766E7}"/>
    <cellStyle name="Normal 5 2 3" xfId="2454" xr:uid="{5B11B8B9-18CD-4BE9-A153-1EA7F32D27BA}"/>
    <cellStyle name="Normal 5 2 3 2" xfId="2455" xr:uid="{B46A6289-5D85-41F2-8AEF-59DAC0D477DE}"/>
    <cellStyle name="Normal 5 2 4" xfId="2456" xr:uid="{96197000-ED39-4A64-89F2-77B3C2FCF164}"/>
    <cellStyle name="Normal 5 2 4 2" xfId="2457" xr:uid="{D7E67888-CAAD-4C71-AF77-76122F742741}"/>
    <cellStyle name="Normal 5 2 5" xfId="2458" xr:uid="{8D3E2602-F0BC-47A4-8ABD-0C95FC2083A9}"/>
    <cellStyle name="Normal 5 2 5 2" xfId="2459" xr:uid="{BA20989D-2E49-4980-9C21-02123295FB35}"/>
    <cellStyle name="Normal 5 2 6" xfId="2460" xr:uid="{E2E60855-A039-42A6-9B7E-5E491AD0ACBA}"/>
    <cellStyle name="Normal 5 2 7" xfId="453" xr:uid="{0D264CE7-5260-4035-B41F-C2D948B51422}"/>
    <cellStyle name="Normal 5 3" xfId="2461" xr:uid="{651CA5A8-25A6-465E-8584-72EC1C486632}"/>
    <cellStyle name="Normal 5 3 2" xfId="2462" xr:uid="{6C019517-DB16-4EC8-AD22-486BE016F0CD}"/>
    <cellStyle name="Normal 5 3 3" xfId="2463" xr:uid="{5B44F12C-0161-4D2D-93BD-0A5257BF915D}"/>
    <cellStyle name="Normal 5 4" xfId="2464" xr:uid="{136C074B-9AF3-450D-8956-93DF48994E9F}"/>
    <cellStyle name="Normal 5 4 2" xfId="2465" xr:uid="{BBA719AC-4D2E-4844-BA84-8A071AB588CC}"/>
    <cellStyle name="Normal 5 4 3" xfId="2466" xr:uid="{AC97FF24-E0B6-4B78-98A3-ED9DD033528E}"/>
    <cellStyle name="Normal 5 5" xfId="2467" xr:uid="{0E4807F6-DB9F-4322-B58E-2C6B5FE84DBD}"/>
    <cellStyle name="Normal 5 5 2" xfId="2468" xr:uid="{6FBF5633-98F3-44BD-A4CB-C80BAEB9150B}"/>
    <cellStyle name="Normal 5 5 3" xfId="2469" xr:uid="{0A3E8E6E-9D55-4165-B726-FA532B01070F}"/>
    <cellStyle name="Normal 5 6" xfId="2470" xr:uid="{3508F8EF-8D75-4EFB-9C24-36F00870FF6E}"/>
    <cellStyle name="Normal 5 6 2" xfId="2471" xr:uid="{0558C915-1664-4326-8D98-D4F260C04669}"/>
    <cellStyle name="Normal 5 6 3" xfId="2472" xr:uid="{A2EA1D69-2FDD-4964-9D5B-FF4430C90EE8}"/>
    <cellStyle name="Normal 5 6 4" xfId="2473" xr:uid="{4D724AB5-1E7C-4773-B3A6-ECA30605D5BC}"/>
    <cellStyle name="Normal 5 7" xfId="2474" xr:uid="{7A872C81-FF5F-48F0-ABE6-B4F6D348446C}"/>
    <cellStyle name="Normal 5 8" xfId="2475" xr:uid="{C835A7AE-5C82-4CBF-BC8B-931602775E67}"/>
    <cellStyle name="Normal 5 9" xfId="2452" xr:uid="{B1E838CD-66D3-40D5-99ED-5FBC9D7CBC93}"/>
    <cellStyle name="Normal 5_BOS Workings" xfId="192" xr:uid="{998C878D-4152-4FAE-9131-99CD028A3FF1}"/>
    <cellStyle name="Normal 50" xfId="193" xr:uid="{2F56F239-2C66-4811-B99F-4760FC92C37E}"/>
    <cellStyle name="Normal 50 2" xfId="194" xr:uid="{A2B06780-32BC-493B-A14C-27A7A6BA88A9}"/>
    <cellStyle name="Normal 50_BOS Workings" xfId="195" xr:uid="{EFAEC64A-951E-41F2-901B-42B452E8D264}"/>
    <cellStyle name="Normal 51" xfId="196" xr:uid="{5036868E-84E3-41D8-A5AA-0AB937CBF12E}"/>
    <cellStyle name="Normal 51 2" xfId="197" xr:uid="{3E5A8518-A72B-41F9-8979-BA80D4E69F69}"/>
    <cellStyle name="Normal 51_BOS Workings" xfId="198" xr:uid="{DB17E9F2-C813-4602-81A7-57EB6DB9844F}"/>
    <cellStyle name="Normal 52" xfId="199" xr:uid="{169F699D-1D43-4275-A84C-F3CAA2202AE3}"/>
    <cellStyle name="Normal 52 2" xfId="200" xr:uid="{C8ACCAF5-2CF8-405B-8369-CFA7EA0F00EF}"/>
    <cellStyle name="Normal 52_BOS Workings" xfId="201" xr:uid="{E174295A-7C81-41C0-B541-300D89CDE5BC}"/>
    <cellStyle name="Normal 53" xfId="202" xr:uid="{05939BC2-C29C-4070-96C2-CFB17F3698D4}"/>
    <cellStyle name="Normal 53 2" xfId="203" xr:uid="{1A1E2AE9-940B-4B97-949C-3378469602D8}"/>
    <cellStyle name="Normal 53_BOS Workings" xfId="204" xr:uid="{E7C41997-0713-4586-A6B2-F76D0C288877}"/>
    <cellStyle name="Normal 54" xfId="205" xr:uid="{10A204A4-95AF-4EA6-9F0B-784B340E4430}"/>
    <cellStyle name="Normal 54 2" xfId="206" xr:uid="{50C33B49-46F5-40E9-9779-ABE3FD6D6C68}"/>
    <cellStyle name="Normal 54_BOS Workings" xfId="207" xr:uid="{41C5A433-1166-486D-973D-B4B628582308}"/>
    <cellStyle name="Normal 55" xfId="208" xr:uid="{48F7B302-592D-4E5B-80E4-FDE174739D8F}"/>
    <cellStyle name="Normal 55 2" xfId="209" xr:uid="{E15CF295-FCAC-4ACC-B07D-E09DE91BB07C}"/>
    <cellStyle name="Normal 55_BOS Workings" xfId="210" xr:uid="{20D959C3-25FC-48EB-80E2-5EFA974E84DB}"/>
    <cellStyle name="Normal 56" xfId="211" xr:uid="{A3FC2191-8403-4721-B66F-FEBCDDC484FA}"/>
    <cellStyle name="Normal 56 2" xfId="212" xr:uid="{3BBFEA3F-B119-48E0-9290-078FF9E6F301}"/>
    <cellStyle name="Normal 56_BOS Workings" xfId="213" xr:uid="{1CC4DBCE-4F78-460F-9754-6A2D92B2CD11}"/>
    <cellStyle name="Normal 57" xfId="214" xr:uid="{FDEC43FE-6AB3-4F5B-A8F4-66A05669F07B}"/>
    <cellStyle name="Normal 57 2" xfId="215" xr:uid="{D1B06FBA-F382-4842-B99B-7943EF101BE2}"/>
    <cellStyle name="Normal 57_BOS Workings" xfId="216" xr:uid="{2241E881-15CE-4B46-8201-0B15E1192DAA}"/>
    <cellStyle name="Normal 58" xfId="217" xr:uid="{C6EFBFA3-F552-46E4-A32C-490A9E830386}"/>
    <cellStyle name="Normal 58 2" xfId="218" xr:uid="{A4273552-9F1C-40E8-A25B-281FEA1B2E08}"/>
    <cellStyle name="Normal 58_BOS Workings" xfId="219" xr:uid="{96867233-7BD2-4FEC-85F6-FFC053405651}"/>
    <cellStyle name="Normal 59" xfId="220" xr:uid="{7793A491-165A-4981-BE7B-260D7CB3649B}"/>
    <cellStyle name="Normal 59 2" xfId="221" xr:uid="{15782A47-0BCD-4B1D-B32B-7B8D6D2462B4}"/>
    <cellStyle name="Normal 59_BOS Workings" xfId="222" xr:uid="{E57592A5-9781-4D5C-847A-8487B940BB62}"/>
    <cellStyle name="Normal 6" xfId="223" xr:uid="{53F192BE-E092-4B37-BE01-564B58B05C1A}"/>
    <cellStyle name="Normal 6 2" xfId="224" xr:uid="{2D24805A-F4ED-47A6-AF4E-CCDA1229C5E3}"/>
    <cellStyle name="Normal 6 2 2" xfId="2478" xr:uid="{2CA556D9-DD54-4874-8285-36737F97BDD2}"/>
    <cellStyle name="Normal 6 2 2 2" xfId="2479" xr:uid="{9CA0C6A9-E30E-40E4-A7FE-B0FAF5737FAC}"/>
    <cellStyle name="Normal 6 2 3" xfId="2480" xr:uid="{B049A7BE-B0B0-448A-9B07-3825C9C7D926}"/>
    <cellStyle name="Normal 6 2 3 2" xfId="2481" xr:uid="{04072DA1-4AC5-4698-AFF5-0D8E40FB831F}"/>
    <cellStyle name="Normal 6 2 4" xfId="2482" xr:uid="{BADD9E67-C75F-46A6-B7F8-710B771E94EC}"/>
    <cellStyle name="Normal 6 2 5" xfId="2483" xr:uid="{E484298A-9FE5-4B54-B0FD-228E8E1547F0}"/>
    <cellStyle name="Normal 6 2 6" xfId="2484" xr:uid="{EAD6B21D-FF61-4088-93B1-4C29804B3E93}"/>
    <cellStyle name="Normal 6 2 7" xfId="2477" xr:uid="{A8996972-ADC9-49C2-9E80-DA13B294E967}"/>
    <cellStyle name="Normal 6 3" xfId="2485" xr:uid="{06ABA857-DC38-4E3E-B81A-DD2B91780A94}"/>
    <cellStyle name="Normal 6 3 2" xfId="2486" xr:uid="{D6BEFA6F-A5C2-4403-ACCB-D06FD7E1F357}"/>
    <cellStyle name="Normal 6 4" xfId="2487" xr:uid="{18F48050-08D0-4591-89A8-874683BA6BC3}"/>
    <cellStyle name="Normal 6 4 2" xfId="2488" xr:uid="{9BCE1A55-AC0F-40D6-8573-284A37A5E338}"/>
    <cellStyle name="Normal 6 4 3" xfId="2489" xr:uid="{61B001FD-E98B-4049-AFF4-05E9CA68EB27}"/>
    <cellStyle name="Normal 6 4 4" xfId="2490" xr:uid="{90594DE8-054E-4E35-9E85-F6CE86999D1B}"/>
    <cellStyle name="Normal 6 5" xfId="2491" xr:uid="{0EA9B60C-9835-4C3B-ACA9-ADE04925FD6F}"/>
    <cellStyle name="Normal 6 5 2" xfId="2492" xr:uid="{65BF69C3-F6D3-4C93-B029-41A6BF60E70B}"/>
    <cellStyle name="Normal 6 6" xfId="2493" xr:uid="{16C4BAE7-A3DD-43AC-AB1A-9BDEE5F78421}"/>
    <cellStyle name="Normal 6 7" xfId="2494" xr:uid="{B6321262-23FB-48ED-B67E-8B928FF9E065}"/>
    <cellStyle name="Normal 6 8" xfId="2476" xr:uid="{3EC40D74-29BB-4E18-BD17-9B8D7E305689}"/>
    <cellStyle name="Normal 6 9" xfId="456" xr:uid="{16499A7F-3B66-47CC-B4B0-ABDB0BC1E7C4}"/>
    <cellStyle name="Normal 6_BOS Workings" xfId="225" xr:uid="{7FD75A95-793E-4593-8919-39C61308987B}"/>
    <cellStyle name="Normal 60" xfId="226" xr:uid="{9E8357A3-92EA-474B-9746-CA02819B224E}"/>
    <cellStyle name="Normal 60 2" xfId="227" xr:uid="{075D1E53-A64B-4D8A-9F64-F10AF4ECAB7A}"/>
    <cellStyle name="Normal 60_BOS Workings" xfId="228" xr:uid="{B59FBEA7-91C7-465C-B737-32E9490E39C0}"/>
    <cellStyle name="Normal 61" xfId="229" xr:uid="{3902B243-BAC2-4D3D-844B-3238D75663F1}"/>
    <cellStyle name="Normal 61 2" xfId="230" xr:uid="{8BB91740-296E-4140-9FBB-229AF105870C}"/>
    <cellStyle name="Normal 61_BOS Workings" xfId="231" xr:uid="{FDFAD275-1D38-49A6-BC62-142D5E8F21AE}"/>
    <cellStyle name="Normal 62" xfId="232" xr:uid="{685EFA6C-43EF-4B65-8F87-0E50D3A75B81}"/>
    <cellStyle name="Normal 62 2" xfId="233" xr:uid="{3BED1F33-4821-402B-8C75-CFE6695B7BD9}"/>
    <cellStyle name="Normal 62_BOS Workings" xfId="234" xr:uid="{9647578A-197F-4EA9-8F91-D355F696463F}"/>
    <cellStyle name="Normal 63" xfId="235" xr:uid="{805BB62B-C39F-4C37-A2D4-4EC884496D94}"/>
    <cellStyle name="Normal 63 2" xfId="236" xr:uid="{A45C8E58-1D79-4484-820B-D7B86BA5A916}"/>
    <cellStyle name="Normal 63_BOS Workings" xfId="237" xr:uid="{C34F5841-CFF9-4B9F-B968-3BD928B45C77}"/>
    <cellStyle name="Normal 64" xfId="238" xr:uid="{D3238EE1-E5ED-4EB3-BC53-C1B1717F7662}"/>
    <cellStyle name="Normal 64 2" xfId="239" xr:uid="{A6DC48D7-B4A1-4BFC-9F42-C2691F2D7413}"/>
    <cellStyle name="Normal 64_BOS Workings" xfId="240" xr:uid="{ED7007DC-EC43-4ED8-98E1-9EBF8BDEE940}"/>
    <cellStyle name="Normal 65" xfId="241" xr:uid="{7665D095-73BA-41C0-99C6-5642096B0DF9}"/>
    <cellStyle name="Normal 65 2" xfId="242" xr:uid="{A142D209-9FD0-4F95-A3B3-8775092AB782}"/>
    <cellStyle name="Normal 65_BOS Workings" xfId="243" xr:uid="{438AE6A5-5C20-4299-B548-FF944113BBBE}"/>
    <cellStyle name="Normal 66" xfId="244" xr:uid="{C72B3311-2FE9-4AE2-B2BF-1895CD8F2236}"/>
    <cellStyle name="Normal 66 2" xfId="245" xr:uid="{C5EE1D7E-3021-411D-8B72-0AABCE26641A}"/>
    <cellStyle name="Normal 66_BOS Workings" xfId="246" xr:uid="{7F84F4F2-5669-4EF5-B863-628DEFE01A01}"/>
    <cellStyle name="Normal 67" xfId="247" xr:uid="{0CDDD1A2-5D4F-4132-9B9D-F62CDBD16180}"/>
    <cellStyle name="Normal 67 2" xfId="248" xr:uid="{6D7467DE-82ED-4CFA-A815-897E96E083EF}"/>
    <cellStyle name="Normal 67_BOS Workings" xfId="249" xr:uid="{75FF3DF0-8392-4CAB-9645-DFE86EA46177}"/>
    <cellStyle name="Normal 68" xfId="250" xr:uid="{79078E0D-5AB9-4123-82BF-493F8D01796D}"/>
    <cellStyle name="Normal 68 2" xfId="251" xr:uid="{83CC6B3B-FC1C-4E0E-AF31-58A1FD7F6EA7}"/>
    <cellStyle name="Normal 68 3" xfId="2495" xr:uid="{A0AEC7CA-82EF-448B-9D0E-C63780A5E2E5}"/>
    <cellStyle name="Normal 68_BOS Workings" xfId="252" xr:uid="{B6F5DA3E-D92D-41C9-B3FF-553B7F3009B0}"/>
    <cellStyle name="Normal 69" xfId="253" xr:uid="{128721A9-7C31-4517-A4BD-DA6C592A06CF}"/>
    <cellStyle name="Normal 69 2" xfId="254" xr:uid="{8A8785AA-D2F8-4893-B171-C1CB397E7E58}"/>
    <cellStyle name="Normal 69 3" xfId="2496" xr:uid="{CF6AD80F-5B85-4788-8A6E-1DEF1E41FEC1}"/>
    <cellStyle name="Normal 69_BOS Workings" xfId="255" xr:uid="{F86A90F5-E3AD-469A-80EE-FD242A4BED75}"/>
    <cellStyle name="Normal 7" xfId="256" xr:uid="{322915EA-DF6C-4AC0-ABD4-D2A91F731987}"/>
    <cellStyle name="Normal 7 2" xfId="257" xr:uid="{9C377C33-2C0B-4413-A302-84C41EBDA5DD}"/>
    <cellStyle name="Normal 7 2 2" xfId="2498" xr:uid="{8F6DEFB9-A31C-48AD-8B9B-16B7EE485079}"/>
    <cellStyle name="Normal 7 2 3" xfId="2499" xr:uid="{A32033C4-59C9-46BB-B347-6AB25D1CCC9F}"/>
    <cellStyle name="Normal 7 2 4" xfId="2500" xr:uid="{58EBF154-F4CE-4E74-AA13-8C59B14DF8D2}"/>
    <cellStyle name="Normal 7 2 5" xfId="2497" xr:uid="{0F1571B3-FA71-4CD5-A1F0-DF095E0F7850}"/>
    <cellStyle name="Normal 7 3" xfId="2501" xr:uid="{F27D302C-1D7E-44A3-98FE-EF752834CDEA}"/>
    <cellStyle name="Normal 7 3 2" xfId="2502" xr:uid="{8EA46DF9-312D-46AA-8599-E6AE0CAB1D7D}"/>
    <cellStyle name="Normal 7 4" xfId="2503" xr:uid="{CFCD47CC-B7A4-47EF-ABBB-B77F317C86C0}"/>
    <cellStyle name="Normal 7 5" xfId="2504" xr:uid="{3E120ECB-574E-4CC9-ADFE-2CE4B6A09895}"/>
    <cellStyle name="Normal 7 6" xfId="2505" xr:uid="{25585185-B357-44BF-A3D2-7F512FD457CE}"/>
    <cellStyle name="Normal 7 6 2" xfId="2506" xr:uid="{9C7776B0-626C-4800-AABA-9D8F245F08DB}"/>
    <cellStyle name="Normal 7_BOS Workings" xfId="258" xr:uid="{41DE362E-4D94-422C-A58D-DF435944F53B}"/>
    <cellStyle name="Normal 70" xfId="259" xr:uid="{D1B73595-3D78-4114-A729-6DF8493550C6}"/>
    <cellStyle name="Normal 70 2" xfId="260" xr:uid="{204A2DA5-2F8C-4FA1-AC4F-CC0DBBC26324}"/>
    <cellStyle name="Normal 70 3" xfId="2507" xr:uid="{F57B30FE-1DC1-4149-8FF8-53456C09623D}"/>
    <cellStyle name="Normal 70_BOS Workings" xfId="261" xr:uid="{4AA0DE2E-F8B7-4C5B-80D9-5613759581B3}"/>
    <cellStyle name="Normal 71" xfId="262" xr:uid="{71DA4974-81A7-4F39-8B39-520F7AAA6E33}"/>
    <cellStyle name="Normal 71 2" xfId="263" xr:uid="{2EEDE544-0CEE-4D27-A40F-6B2EE5B48601}"/>
    <cellStyle name="Normal 71_BOS Workings" xfId="264" xr:uid="{A9F660D5-6B05-41D7-B811-F20A5A21E358}"/>
    <cellStyle name="Normal 72" xfId="265" xr:uid="{F2F9E88F-EB77-46BE-B6EC-A14F8E229AD4}"/>
    <cellStyle name="Normal 72 2" xfId="266" xr:uid="{EA57E423-A7FA-4372-AD4C-FE96009D7E5A}"/>
    <cellStyle name="Normal 72 2 2" xfId="2510" xr:uid="{E612B232-DB71-4A23-96BA-9064A9A88E19}"/>
    <cellStyle name="Normal 72 2 3" xfId="2509" xr:uid="{D503F58E-9BDD-4095-8C4C-9085C5FAB926}"/>
    <cellStyle name="Normal 72 3" xfId="2511" xr:uid="{7199D81C-E962-46A4-A74A-E0C71452BF54}"/>
    <cellStyle name="Normal 72 4" xfId="2508" xr:uid="{F3B675EB-7DFC-402B-9C3F-3D692403B8B3}"/>
    <cellStyle name="Normal 72_BOS Workings" xfId="267" xr:uid="{CC563A82-1A8D-41F5-8042-E691400E4ADF}"/>
    <cellStyle name="Normal 73" xfId="268" xr:uid="{23615C05-5707-460E-800D-B2CB31DB3541}"/>
    <cellStyle name="Normal 73 2" xfId="269" xr:uid="{AE8C943B-978A-410D-8748-EA86CF597786}"/>
    <cellStyle name="Normal 73 2 2" xfId="2512" xr:uid="{989FD8C8-A05C-4912-BA32-9E2F1D60C97B}"/>
    <cellStyle name="Normal 73 3" xfId="2513" xr:uid="{6961C11F-180E-46B0-B978-F34D2EC49467}"/>
    <cellStyle name="Normal 73 4" xfId="2514" xr:uid="{C34E0C19-94A3-4FD3-9CCE-24CA402572F3}"/>
    <cellStyle name="Normal 73 5" xfId="2515" xr:uid="{2C7123FB-E28B-43AE-A4B4-33119EB5EF30}"/>
    <cellStyle name="Normal 73_BOS Workings" xfId="270" xr:uid="{D9207BC4-BACC-4C93-B9E6-C7158C06D91E}"/>
    <cellStyle name="Normal 74" xfId="271" xr:uid="{550E74ED-5CD7-46A5-9543-A65AD387EA9C}"/>
    <cellStyle name="Normal 74 2" xfId="272" xr:uid="{315DD9A8-BBAD-41E5-9B43-D0D675CB7837}"/>
    <cellStyle name="Normal 74_BOS Workings" xfId="273" xr:uid="{508AFF94-8DBE-4EBF-AC4C-6C1AF5ECA213}"/>
    <cellStyle name="Normal 75" xfId="274" xr:uid="{C16942C5-DA4B-46BC-8D7C-CDCF10D58C80}"/>
    <cellStyle name="Normal 75 2" xfId="275" xr:uid="{B766F424-A6AF-4B56-9443-0EF710908E9F}"/>
    <cellStyle name="Normal 75_BOS Workings" xfId="276" xr:uid="{075DE564-FB5B-42E8-B354-899173E109AE}"/>
    <cellStyle name="Normal 76" xfId="277" xr:uid="{2A9C30A7-7A7A-40C3-A3DC-BFA1A0E84506}"/>
    <cellStyle name="Normal 76 2" xfId="278" xr:uid="{E28F7D50-B61A-46A7-A611-1A251E27A0D3}"/>
    <cellStyle name="Normal 76 3" xfId="2516" xr:uid="{985526B5-5357-4469-A597-6EEE20345D80}"/>
    <cellStyle name="Normal 76_BOS Workings" xfId="279" xr:uid="{E8C38228-B4D2-45CF-9E78-740F6806B47E}"/>
    <cellStyle name="Normal 77" xfId="280" xr:uid="{E1F6C927-C953-42A2-A397-B7194B15C98F}"/>
    <cellStyle name="Normal 77 2" xfId="281" xr:uid="{B8BEAB2C-1213-421B-8CC0-38E10DB9693F}"/>
    <cellStyle name="Normal 77 2 2" xfId="2517" xr:uid="{41E66056-1768-4FD2-BE9D-7BA547B7EA5C}"/>
    <cellStyle name="Normal 77 3" xfId="2518" xr:uid="{6DFE9F74-C111-4B92-8389-C7D230AEBD18}"/>
    <cellStyle name="Normal 77_BOS Workings" xfId="282" xr:uid="{26CB408B-96F0-49DC-8BF1-D4DB1F18075E}"/>
    <cellStyle name="Normal 78" xfId="283" xr:uid="{DE187F90-C8E8-475B-88B4-0277F5B49CC1}"/>
    <cellStyle name="Normal 78 2" xfId="284" xr:uid="{78D7C722-3171-436A-912E-106A4637D350}"/>
    <cellStyle name="Normal 78_BOS Workings" xfId="285" xr:uid="{DD535718-62D3-4F3C-8AD0-B2790A2F95C7}"/>
    <cellStyle name="Normal 79" xfId="286" xr:uid="{5B37EFD4-3A6C-4D02-A632-B7E9C95AA3AC}"/>
    <cellStyle name="Normal 79 2" xfId="287" xr:uid="{7E5D3ABB-D8D6-4F22-A34C-380E23FCC8A0}"/>
    <cellStyle name="Normal 79_BOS Workings" xfId="288" xr:uid="{45819041-6EB6-4458-9C37-414A7637BEA0}"/>
    <cellStyle name="Normal 8" xfId="289" xr:uid="{86309F58-1382-4B66-BF64-AE3196ED3DD5}"/>
    <cellStyle name="Normal 8 2" xfId="290" xr:uid="{C1951B89-5483-4890-9D51-91D1331EA183}"/>
    <cellStyle name="Normal 8 2 2" xfId="2521" xr:uid="{41BB9727-AE20-4A1C-8386-920447C256CB}"/>
    <cellStyle name="Normal 8 2 3" xfId="2522" xr:uid="{D29CF862-7C49-4271-A65D-5B39ABB71D88}"/>
    <cellStyle name="Normal 8 2 4" xfId="2523" xr:uid="{4BB33825-3C5F-4688-96EB-A23CDA60EB33}"/>
    <cellStyle name="Normal 8 2 5" xfId="2520" xr:uid="{AD4F0509-4E6D-436A-9E07-3D7B4A1B1615}"/>
    <cellStyle name="Normal 8 3" xfId="2524" xr:uid="{A98EF98F-CEC4-4BBF-8323-028F00394D6F}"/>
    <cellStyle name="Normal 8 3 2" xfId="2525" xr:uid="{A17B2D52-3B9A-48EA-9725-9AB3F1517DBD}"/>
    <cellStyle name="Normal 8 3 3" xfId="2526" xr:uid="{740A070B-7D97-4BDE-B87B-00A8641DAE54}"/>
    <cellStyle name="Normal 8 4" xfId="2527" xr:uid="{EC708FE5-2A80-4AFC-AA63-FB2DBB840A3B}"/>
    <cellStyle name="Normal 8 4 2" xfId="2528" xr:uid="{25C0F1C9-1670-4E98-AFEC-724EA98D6E13}"/>
    <cellStyle name="Normal 8 4 3" xfId="2529" xr:uid="{0BF1E071-CFE1-43F7-A7C4-EDC248DDF9D0}"/>
    <cellStyle name="Normal 8 5" xfId="2530" xr:uid="{D030F5A9-DE58-4294-9730-C40CA7405E32}"/>
    <cellStyle name="Normal 8 5 2" xfId="2531" xr:uid="{2789A43C-660F-4997-B901-2C00A7CA1429}"/>
    <cellStyle name="Normal 8 5 3" xfId="2532" xr:uid="{A8DB7CEC-3D75-4100-BDD9-953B908BB3BA}"/>
    <cellStyle name="Normal 8 6" xfId="2533" xr:uid="{6BC19883-9518-45DC-BA65-C8F8111CE18E}"/>
    <cellStyle name="Normal 8 7" xfId="2534" xr:uid="{1BCEE35E-4C3D-486A-BD96-F53657B3CB05}"/>
    <cellStyle name="Normal 8 8" xfId="2535" xr:uid="{4AB8AA2C-74A8-4A74-99C3-0A38AF7ACD57}"/>
    <cellStyle name="Normal 8 9" xfId="2519" xr:uid="{E330E715-B37E-4418-A248-76DDBB1E358E}"/>
    <cellStyle name="Normal 8_BOS Workings" xfId="291" xr:uid="{AFA665F4-0FBF-4D76-8E6D-55BEB9E0550E}"/>
    <cellStyle name="Normal 80" xfId="292" xr:uid="{E1783113-D588-4EFB-BF90-3A6766D6E75B}"/>
    <cellStyle name="Normal 80 2" xfId="293" xr:uid="{379362CE-1AF2-4C72-B0F9-B87EA8AAF22B}"/>
    <cellStyle name="Normal 80_BOS Workings" xfId="294" xr:uid="{A6967575-7B6E-407E-B920-C70F5677F95F}"/>
    <cellStyle name="Normal 81" xfId="295" xr:uid="{83D46A25-FDEC-447A-A7B8-CB2E945B6CB3}"/>
    <cellStyle name="Normal 81 2" xfId="296" xr:uid="{C90E5F2E-481F-4C8C-89A1-18BC7CAD39F8}"/>
    <cellStyle name="Normal 81_BOS Workings" xfId="297" xr:uid="{CC30A0C9-066C-46C5-8D0B-CCBDA57BBF02}"/>
    <cellStyle name="Normal 82" xfId="298" xr:uid="{FBCA0C72-A5E9-4DE9-AFE6-0751194EE6BB}"/>
    <cellStyle name="Normal 82 2" xfId="299" xr:uid="{BAEFD79F-4919-480E-8444-DFC5661CD875}"/>
    <cellStyle name="Normal 82_BOS Workings" xfId="300" xr:uid="{B27C63D5-6AB5-4600-8CF9-AB2E3AAFF52F}"/>
    <cellStyle name="Normal 83" xfId="301" xr:uid="{DC80B233-56CF-48B9-8B55-555F2CB7BE6B}"/>
    <cellStyle name="Normal 83 2" xfId="302" xr:uid="{B268890E-6C87-4BF3-A9CC-FB768AE5C0C4}"/>
    <cellStyle name="Normal 83_BOS Workings" xfId="303" xr:uid="{8DD5F4A0-50DD-4ED2-B0AA-B3AE45A9EA12}"/>
    <cellStyle name="Normal 84" xfId="304" xr:uid="{AC2C9769-B995-46DD-9EA4-ACE0B65E586C}"/>
    <cellStyle name="Normal 84 2" xfId="305" xr:uid="{555EC8C0-FF9D-4A97-A852-31DC8255C5A8}"/>
    <cellStyle name="Normal 84_BOS Workings" xfId="306" xr:uid="{7D61E84C-1697-46A9-BA06-3169E5EF5AED}"/>
    <cellStyle name="Normal 85" xfId="307" xr:uid="{9E62B1C7-A0D5-419E-B233-A0BAA58D4C13}"/>
    <cellStyle name="Normal 85 2" xfId="308" xr:uid="{731C61B9-D29A-47AC-AF43-E4B3F066A737}"/>
    <cellStyle name="Normal 85_BOS Workings" xfId="309" xr:uid="{E07F0A76-D78D-4913-8638-2754171C2AE5}"/>
    <cellStyle name="Normal 86" xfId="310" xr:uid="{58E9321D-5500-40DA-B939-83643107E017}"/>
    <cellStyle name="Normal 86 2" xfId="311" xr:uid="{A9DD9282-1B68-422E-9B27-3CCBFD115680}"/>
    <cellStyle name="Normal 86_BOS Workings" xfId="312" xr:uid="{35C7240F-DDFC-4441-B78C-731249E35B99}"/>
    <cellStyle name="Normal 87" xfId="313" xr:uid="{C782C424-015A-45CD-A625-1FD9558F0404}"/>
    <cellStyle name="Normal 87 2" xfId="314" xr:uid="{ABDFC961-C915-467A-BF05-028DB5FC346E}"/>
    <cellStyle name="Normal 87_BOS Workings" xfId="315" xr:uid="{683320CA-41EF-4600-888D-2C5A5491796A}"/>
    <cellStyle name="Normal 88" xfId="316" xr:uid="{827CDFD1-ADF5-48C8-845F-C4932DBF8A58}"/>
    <cellStyle name="Normal 88 2" xfId="317" xr:uid="{B5407BE4-63B8-4402-85C6-AA14E240B46D}"/>
    <cellStyle name="Normal 88_BOS Workings" xfId="318" xr:uid="{DABCA927-1B44-486B-9844-9F8561B56DEB}"/>
    <cellStyle name="Normal 89" xfId="319" xr:uid="{99AEE21B-1553-4664-B180-98D9709BCCA9}"/>
    <cellStyle name="Normal 89 2" xfId="320" xr:uid="{D66E08E6-1186-4996-8A22-6C4AB8F12739}"/>
    <cellStyle name="Normal 89_BOS Workings" xfId="321" xr:uid="{38923CAC-1430-4016-8163-C75AED92F711}"/>
    <cellStyle name="Normal 9" xfId="322" xr:uid="{CE354528-187A-47F8-A9C4-E9B9FA9557A1}"/>
    <cellStyle name="Normal 9 2" xfId="323" xr:uid="{345B5780-7CBD-40E6-B22D-552A130085FC}"/>
    <cellStyle name="Normal 9 2 2" xfId="2538" xr:uid="{3BF7BD00-9598-4F60-B2D6-1BF46FD83BAC}"/>
    <cellStyle name="Normal 9 2 3" xfId="2537" xr:uid="{C046DB68-C00B-4C2F-960E-BC3300535483}"/>
    <cellStyle name="Normal 9 3" xfId="324" xr:uid="{563E787A-2EF4-4DA7-9452-C9C5860B9F46}"/>
    <cellStyle name="Normal 9 3 2" xfId="325" xr:uid="{A9A58DFD-6BC6-492A-AA47-D51762E532EB}"/>
    <cellStyle name="Normal 9 3 3" xfId="2539" xr:uid="{5CD465F6-ACEC-41FC-9AD4-AF6541191884}"/>
    <cellStyle name="Normal 9 3_BOS Workings" xfId="326" xr:uid="{8A6AC2CF-B505-4F2D-8E32-98520C3DF6D9}"/>
    <cellStyle name="Normal 9 4" xfId="2536" xr:uid="{F7828D10-34C6-4AAE-925B-5D6B79249642}"/>
    <cellStyle name="Normal 90" xfId="327" xr:uid="{9BC5F8DA-EC6C-4519-92E1-09DFC12D4F52}"/>
    <cellStyle name="Normal 90 2" xfId="328" xr:uid="{3EB65270-DAFF-4584-A1D9-374B45FA9E65}"/>
    <cellStyle name="Normal 91" xfId="329" xr:uid="{CEB85BAD-1121-4341-BAB4-71E5352F3F83}"/>
    <cellStyle name="Normal 91 2" xfId="330" xr:uid="{E2B6C15A-BBF5-4A66-864C-EF3514D503DF}"/>
    <cellStyle name="Normal 92" xfId="331" xr:uid="{8132C423-584B-47EA-97FE-8B5F066A3D1C}"/>
    <cellStyle name="Normal 92 2" xfId="332" xr:uid="{7441C0BB-97F0-4B17-BFA8-F6EDB90D39F9}"/>
    <cellStyle name="Normal 93" xfId="333" xr:uid="{8D0903A0-241E-4DA8-B19D-EE6B035C8964}"/>
    <cellStyle name="Normal 93 2" xfId="334" xr:uid="{03AF38D6-C212-44DB-84C2-BA6D0BD6E045}"/>
    <cellStyle name="Normal 94" xfId="335" xr:uid="{672E4C3B-68D5-4326-B2B7-8571BA8F8B7C}"/>
    <cellStyle name="Normal 94 2" xfId="336" xr:uid="{FCB0E596-127D-48D0-89EE-FB2016B57EDB}"/>
    <cellStyle name="Normal 95" xfId="337" xr:uid="{91A98791-88DB-4D6B-B377-FDBD30CB5EC5}"/>
    <cellStyle name="Normal 95 2" xfId="338" xr:uid="{81258733-1884-404F-BBD5-B5E0DB4F09A2}"/>
    <cellStyle name="Normal 95 3" xfId="339" xr:uid="{27B2249A-3548-441F-B62B-74B4E30032E6}"/>
    <cellStyle name="Normal 96" xfId="340" xr:uid="{1EBD3C05-BB5A-47DA-B13A-465F685A97E8}"/>
    <cellStyle name="Normal 96 2" xfId="341" xr:uid="{FB4C7849-2B90-4A1F-B9A4-632A8A4BBD07}"/>
    <cellStyle name="Normal 96 3" xfId="342" xr:uid="{DD455313-7743-4E41-997E-86483892F60F}"/>
    <cellStyle name="Normal 97" xfId="343" xr:uid="{807E0787-49A1-4FD8-BCBB-8E650046957A}"/>
    <cellStyle name="Normal 97 2" xfId="344" xr:uid="{6A8397FA-4F21-4E20-BC56-43ECD52EAA2B}"/>
    <cellStyle name="Normal 98" xfId="345" xr:uid="{359EF1D7-B112-493A-9F5C-FBAEC38F4F78}"/>
    <cellStyle name="Normal 98 2" xfId="346" xr:uid="{264EE907-BA68-410F-A616-F27FAD8BE3C4}"/>
    <cellStyle name="Normal 99" xfId="347" xr:uid="{36A20AFA-720F-4AEA-B582-19300C70B746}"/>
    <cellStyle name="Normal 99 2" xfId="348" xr:uid="{EB9DC1F4-0E7B-489A-8104-061E11320CFE}"/>
    <cellStyle name="Normale_B2020" xfId="2540" xr:uid="{5FCD7691-A70B-4035-8C0F-3BCAD91D9F96}"/>
    <cellStyle name="Notas 10" xfId="2541" xr:uid="{711F3073-9AE6-4BEE-B9B9-1F1DB8EF8DBC}"/>
    <cellStyle name="Notas 10 2" xfId="2542" xr:uid="{27EA6819-341A-4C42-8004-7CB82D7C221D}"/>
    <cellStyle name="Notas 10 2 2" xfId="2543" xr:uid="{0FABEFE5-47BE-429B-A665-66E996C727DC}"/>
    <cellStyle name="Notas 10 2 2 2" xfId="2544" xr:uid="{D30875CD-7813-428E-A6F4-8C4731C9BB56}"/>
    <cellStyle name="Notas 10 2 3" xfId="2545" xr:uid="{F184023A-87BB-4890-A721-91C7D3E65DE9}"/>
    <cellStyle name="Notas 10 3" xfId="2546" xr:uid="{55B95B7B-81F9-4962-8C59-FE40CF5C9905}"/>
    <cellStyle name="Notas 10 3 2" xfId="2547" xr:uid="{795C3B1E-ED8F-4408-B153-83EE7D3C9F05}"/>
    <cellStyle name="Notas 11" xfId="2548" xr:uid="{8396FA35-2C0C-4BF8-A3FA-DF1AC4BD2A47}"/>
    <cellStyle name="Notas 11 2" xfId="2549" xr:uid="{D0ABC664-072F-41BC-909D-7EFB72F2F7E6}"/>
    <cellStyle name="Notas 11 2 2" xfId="2550" xr:uid="{F05D8D00-5CAB-4230-A916-7B7E4C587EF7}"/>
    <cellStyle name="Notas 11 2 2 2" xfId="2551" xr:uid="{3422E1CA-83B3-44E6-B33E-8065C85FEF88}"/>
    <cellStyle name="Notas 11 2 3" xfId="2552" xr:uid="{4FFD46A2-45DA-4F8E-AB6A-237BC0571398}"/>
    <cellStyle name="Notas 11 3" xfId="2553" xr:uid="{7531CEF2-33E6-44E6-811E-CE6D5882B056}"/>
    <cellStyle name="Notas 11 3 2" xfId="2554" xr:uid="{7BFCAE4C-007B-413F-90D8-6E708F5425F3}"/>
    <cellStyle name="Notas 12" xfId="2555" xr:uid="{1FD5E30D-3857-46D1-898C-3C4D78FD8FD3}"/>
    <cellStyle name="Notas 12 2" xfId="2556" xr:uid="{A17EFFB7-307B-495C-A23B-6A33BF4CE519}"/>
    <cellStyle name="Notas 12 2 2" xfId="2557" xr:uid="{8C465B9E-A5C4-4CB6-B840-8E3FCC0D641E}"/>
    <cellStyle name="Notas 12 2 2 2" xfId="2558" xr:uid="{D7002D48-BA43-4872-8629-09EF7FB3ABC5}"/>
    <cellStyle name="Notas 12 2 3" xfId="2559" xr:uid="{8BAC9B4C-08EC-43B5-B2EE-1CF42E20341E}"/>
    <cellStyle name="Notas 12 3" xfId="2560" xr:uid="{1220A806-BAA7-4D9F-91F7-1B11FE12E490}"/>
    <cellStyle name="Notas 12 3 2" xfId="2561" xr:uid="{7A206FD0-2D9C-4F40-9DBF-EBDAD981BA4D}"/>
    <cellStyle name="Notas 13" xfId="2562" xr:uid="{14B2414D-9F33-4ADD-AE59-33F9E5141192}"/>
    <cellStyle name="Notas 13 2" xfId="2563" xr:uid="{6158D0A6-986C-42E7-9AB1-20B920425783}"/>
    <cellStyle name="Notas 13 2 2" xfId="2564" xr:uid="{7CD8624A-88E6-4160-9EE2-B709B85B308C}"/>
    <cellStyle name="Notas 13 2 2 2" xfId="2565" xr:uid="{4BF07929-8147-46A5-800D-D8E9EA372939}"/>
    <cellStyle name="Notas 13 2 3" xfId="2566" xr:uid="{274EF8CA-3A27-48C0-9B20-27849B4DFF51}"/>
    <cellStyle name="Notas 13 3" xfId="2567" xr:uid="{032A21A0-95C9-4B91-8DA7-67B4C0F7DC92}"/>
    <cellStyle name="Notas 13 3 2" xfId="2568" xr:uid="{43AED72F-5FCB-4654-8F8E-B183E2A27979}"/>
    <cellStyle name="Notas 14" xfId="2569" xr:uid="{FA8BB826-6F8A-4AC9-8DDB-FC6238CCFC4C}"/>
    <cellStyle name="Notas 14 2" xfId="2570" xr:uid="{58D8E820-D482-4F0A-A988-E6D4697F2EC1}"/>
    <cellStyle name="Notas 14 2 2" xfId="2571" xr:uid="{60C06661-9E89-44AF-AF1B-538CD9309F5D}"/>
    <cellStyle name="Notas 14 2 2 2" xfId="2572" xr:uid="{C87E4945-880C-414B-B699-F0B3D28DE9EC}"/>
    <cellStyle name="Notas 14 2 3" xfId="2573" xr:uid="{10E46FA9-EDAB-4AE7-9F15-BE2FEFA3CB12}"/>
    <cellStyle name="Notas 14 3" xfId="2574" xr:uid="{555B0362-56FE-421F-B844-560E040DE1EB}"/>
    <cellStyle name="Notas 14 3 2" xfId="2575" xr:uid="{05C95138-AF84-4A36-A35B-0C8E5D005C5C}"/>
    <cellStyle name="Notas 15" xfId="2576" xr:uid="{FBD98962-AA6B-420E-B7B7-EED281CD5050}"/>
    <cellStyle name="Notas 15 2" xfId="2577" xr:uid="{5C7498AD-131D-41DE-AF93-28D3C882610A}"/>
    <cellStyle name="Notas 15 2 2" xfId="2578" xr:uid="{A8464189-903D-43F4-BB1E-95506DA24CE0}"/>
    <cellStyle name="Notas 15 2 2 2" xfId="2579" xr:uid="{07C7F692-9E3F-4668-A764-0135438E561D}"/>
    <cellStyle name="Notas 15 2 3" xfId="2580" xr:uid="{BC714193-FBC5-4A35-92B8-0BC7DC5B4F04}"/>
    <cellStyle name="Notas 15 3" xfId="2581" xr:uid="{2D17F4EC-430A-4ACA-A82F-E8D9D6B8132F}"/>
    <cellStyle name="Notas 15 3 2" xfId="2582" xr:uid="{328D5780-5D4D-4257-9A99-55C77D294001}"/>
    <cellStyle name="Notas 16" xfId="2583" xr:uid="{1A4D2185-68CB-4EDF-B87C-3ADEC06A4487}"/>
    <cellStyle name="Notas 16 2" xfId="2584" xr:uid="{53B4568C-D463-4728-8318-4A0F9EDCF24E}"/>
    <cellStyle name="Notas 16 2 2" xfId="2585" xr:uid="{DD5BB02C-B812-4492-A8FC-F3E8FF0029B7}"/>
    <cellStyle name="Notas 16 2 2 2" xfId="2586" xr:uid="{7257CFE7-71EB-4185-84D3-9149B7A9E955}"/>
    <cellStyle name="Notas 16 2 3" xfId="2587" xr:uid="{C0724A56-5859-419F-BAEA-11DF358A981A}"/>
    <cellStyle name="Notas 16 3" xfId="2588" xr:uid="{A09EDD1B-77E6-42EE-88F7-FBCD0FCA02ED}"/>
    <cellStyle name="Notas 16 3 2" xfId="2589" xr:uid="{BBBAC7EE-9470-4E71-ADA4-28159D663728}"/>
    <cellStyle name="Notas 17" xfId="2590" xr:uid="{D9EBC13F-2613-4A96-996A-3764E19BE7B4}"/>
    <cellStyle name="Notas 17 2" xfId="2591" xr:uid="{90A5B16B-2843-4BE1-AB45-B49606C8570B}"/>
    <cellStyle name="Notas 17 2 2" xfId="2592" xr:uid="{393246B4-0336-494C-B421-1E728F7DAF55}"/>
    <cellStyle name="Notas 17 2 2 2" xfId="2593" xr:uid="{E73089E3-BEFC-4359-B8F9-A36277D6217E}"/>
    <cellStyle name="Notas 17 2 3" xfId="2594" xr:uid="{C4166FAD-E8CA-4881-9651-0730624A4609}"/>
    <cellStyle name="Notas 17 3" xfId="2595" xr:uid="{9FD6686D-124E-4416-8D11-2C9CFD4ABCD2}"/>
    <cellStyle name="Notas 17 3 2" xfId="2596" xr:uid="{80DBD1EC-CB67-41E6-BFD8-D0DC235CDC48}"/>
    <cellStyle name="Notas 18" xfId="2597" xr:uid="{41CFBCC4-78AA-4104-A2A9-C6A19019A35E}"/>
    <cellStyle name="Notas 18 2" xfId="2598" xr:uid="{85E1417F-BBAC-4E19-A116-79320D5AC220}"/>
    <cellStyle name="Notas 18 2 2" xfId="2599" xr:uid="{FE99622C-6232-42B8-86A4-155BCD2743FC}"/>
    <cellStyle name="Notas 18 2 2 2" xfId="2600" xr:uid="{E2378FBD-E0C7-4804-989C-B859C8E490AE}"/>
    <cellStyle name="Notas 18 2 3" xfId="2601" xr:uid="{A76EA0A5-CB92-4703-9D29-3069E93FD023}"/>
    <cellStyle name="Notas 18 3" xfId="2602" xr:uid="{3A656926-D31C-425B-99CA-C8B2D7AFE8D9}"/>
    <cellStyle name="Notas 18 3 2" xfId="2603" xr:uid="{4471ABC7-DBDF-4A99-ADA6-69DD5288880B}"/>
    <cellStyle name="Notas 19" xfId="2604" xr:uid="{4F457F20-FEA6-4AA0-BCF2-3C269C75ED04}"/>
    <cellStyle name="Notas 19 2" xfId="2605" xr:uid="{861D4F4A-ABE7-40EB-A125-61B6F68A680D}"/>
    <cellStyle name="Notas 19 2 2" xfId="2606" xr:uid="{EE775B9F-3BA7-4A32-AB2F-AADEAA9FE843}"/>
    <cellStyle name="Notas 19 2 2 2" xfId="2607" xr:uid="{3D59B14C-AEED-4480-A28C-9334BF5CC8FE}"/>
    <cellStyle name="Notas 19 2 3" xfId="2608" xr:uid="{D3DF7FEC-174E-4EF1-828D-9DB88D0B0E13}"/>
    <cellStyle name="Notas 19 3" xfId="2609" xr:uid="{F27FBFD7-8139-49B7-A87E-C3DD08EA2754}"/>
    <cellStyle name="Notas 19 3 2" xfId="2610" xr:uid="{DBCF4F4F-5810-4C35-A9DD-41423B7D3EF2}"/>
    <cellStyle name="Notas 2" xfId="2611" xr:uid="{67F632D9-6481-41D8-A2F4-C44E45062680}"/>
    <cellStyle name="Notas 2 2" xfId="2612" xr:uid="{62222125-03C6-4261-A9F6-21FA46F524F2}"/>
    <cellStyle name="Notas 2 2 2" xfId="2613" xr:uid="{C4822505-21EE-4C42-A546-C6302223BD2D}"/>
    <cellStyle name="Notas 2 2 2 2" xfId="2614" xr:uid="{E2F65561-A3C6-45C3-BC42-BEA666FCF2B9}"/>
    <cellStyle name="Notas 2 2 2 2 2" xfId="2615" xr:uid="{89F7E1D6-F9F5-4254-841B-6ED5E5399FCC}"/>
    <cellStyle name="Notas 2 2 2 3" xfId="2616" xr:uid="{2CEBD8D6-94CB-4DFA-9153-5B6D4A9FDC9A}"/>
    <cellStyle name="Notas 2 2 3" xfId="2617" xr:uid="{14709800-B41E-424E-9791-667397A20BFF}"/>
    <cellStyle name="Notas 2 2 3 2" xfId="2618" xr:uid="{D28E8ABD-62CF-43F6-A879-2FFA2B656F03}"/>
    <cellStyle name="Notas 2 3" xfId="2619" xr:uid="{773C063C-88FF-4893-AB73-51B83536C9DF}"/>
    <cellStyle name="Notas 2 3 2" xfId="2620" xr:uid="{F3AE6515-EC38-4480-8AF1-26C723D1E0CB}"/>
    <cellStyle name="Notas 2 3 2 2" xfId="2621" xr:uid="{01567482-F7B7-49EE-BBDF-8ADF25E9A2FB}"/>
    <cellStyle name="Notas 2 3 3" xfId="2622" xr:uid="{BB24FD65-BBF7-4B8A-B534-8A85DB9D08F4}"/>
    <cellStyle name="Notas 2 4" xfId="2623" xr:uid="{780BF805-EF87-44F1-BF56-0078773753DF}"/>
    <cellStyle name="Notas 2 4 2" xfId="2624" xr:uid="{5CF2F2B5-B100-43D6-A06C-BC8D531CE909}"/>
    <cellStyle name="Notas 20" xfId="2625" xr:uid="{F4EB21E3-FC76-4FE3-9129-76F362EA25E7}"/>
    <cellStyle name="Notas 20 2" xfId="2626" xr:uid="{EEF6735D-F1B4-4D61-A58E-5503BEF0AC46}"/>
    <cellStyle name="Notas 20 2 2" xfId="2627" xr:uid="{E770898F-F93C-47F7-87FF-5D9BBDFB9B87}"/>
    <cellStyle name="Notas 20 2 2 2" xfId="2628" xr:uid="{88F7108E-6EAA-4BCF-B200-38B3C52FD42C}"/>
    <cellStyle name="Notas 20 2 3" xfId="2629" xr:uid="{A3F54551-C5CC-46AB-A8A4-C5B7CA7066A8}"/>
    <cellStyle name="Notas 20 3" xfId="2630" xr:uid="{38819E81-5AA8-4236-9D72-224F9CE97A3A}"/>
    <cellStyle name="Notas 20 3 2" xfId="2631" xr:uid="{4044ED48-B650-408F-BE63-1335D38069B0}"/>
    <cellStyle name="Notas 21" xfId="2632" xr:uid="{4B211A44-6E53-40A6-B6AB-878797462D0F}"/>
    <cellStyle name="Notas 21 10" xfId="2633" xr:uid="{F9E1ED5A-2652-4AFD-93C4-B3FC8A4E2A5A}"/>
    <cellStyle name="Notas 21 11" xfId="2634" xr:uid="{FC9FA85B-8960-4828-ADD1-FC62371EA0C5}"/>
    <cellStyle name="Notas 21 2" xfId="2635" xr:uid="{2FAB4DD2-0996-4E40-AADE-69F28CA0C216}"/>
    <cellStyle name="Notas 21 2 2" xfId="2636" xr:uid="{5B0F1BE7-F8DF-4FA9-86B4-311F6FC8E5A8}"/>
    <cellStyle name="Notas 21 2 2 2" xfId="2637" xr:uid="{20E05D0F-6DFA-4EC6-A9FC-3BF9D101D42D}"/>
    <cellStyle name="Notas 21 2 2 3" xfId="2638" xr:uid="{5A5A9A48-7909-40E8-AE06-9FC2DBEE887C}"/>
    <cellStyle name="Notas 21 2 2 3 2" xfId="2639" xr:uid="{74E2D364-FA13-4A2B-9445-0BF1B59DB1D1}"/>
    <cellStyle name="Notas 21 2 2 4" xfId="2640" xr:uid="{512986C7-D1FA-4925-8F41-8E8E7356DFF1}"/>
    <cellStyle name="Notas 21 2 2 4 2" xfId="2641" xr:uid="{94F9CB0E-1B44-45C1-93A0-A6BBEC9DC5B0}"/>
    <cellStyle name="Notas 21 2 2 4 3" xfId="2642" xr:uid="{A267F578-0F1D-4C7B-B3DD-9C95A484F2E9}"/>
    <cellStyle name="Notas 21 2 2 5" xfId="2643" xr:uid="{9D7E441C-26D7-48D7-A73A-E9D39DAA70A9}"/>
    <cellStyle name="Notas 21 2 2 5 2" xfId="2644" xr:uid="{9EC08069-EE21-4818-A6B4-444D99BCF280}"/>
    <cellStyle name="Notas 21 2 2 5 3" xfId="2645" xr:uid="{3DF55D81-A583-4B8F-B61F-904A716DEE8E}"/>
    <cellStyle name="Notas 21 2 2 6" xfId="2646" xr:uid="{D6699B46-E483-47D2-833C-BFFDF1F86C2E}"/>
    <cellStyle name="Notas 21 2 2 7" xfId="2647" xr:uid="{AF7E348B-5F27-4BEA-89EA-8F51D0EB105F}"/>
    <cellStyle name="Notas 21 2 2 8" xfId="2648" xr:uid="{B751E669-FA73-4FB4-B9DC-A802328449DC}"/>
    <cellStyle name="Notas 21 2 3" xfId="2649" xr:uid="{88371EE9-482D-4D80-95F1-1996C0E23BB6}"/>
    <cellStyle name="Notas 21 2 4" xfId="2650" xr:uid="{D5F76FBF-147E-4698-8D0B-932D28FB32BF}"/>
    <cellStyle name="Notas 21 2 4 2" xfId="2651" xr:uid="{402DBCC6-AB6D-456D-A526-0C17319D37EC}"/>
    <cellStyle name="Notas 21 2 5" xfId="2652" xr:uid="{33513CA7-5183-4F3D-A231-A9EA4DD08713}"/>
    <cellStyle name="Notas 21 2 5 2" xfId="2653" xr:uid="{81672980-3A6D-4FD2-BA1E-526DD30CDDA5}"/>
    <cellStyle name="Notas 21 2 5 3" xfId="2654" xr:uid="{DE533D49-589D-4824-B03E-3300F59C2028}"/>
    <cellStyle name="Notas 21 2 6" xfId="2655" xr:uid="{4B79A124-0968-4B53-ADEC-C64DA7CDE932}"/>
    <cellStyle name="Notas 21 2 6 2" xfId="2656" xr:uid="{729AA16F-AED5-4434-9E70-567B8F144281}"/>
    <cellStyle name="Notas 21 2 6 3" xfId="2657" xr:uid="{7692BCDD-26A3-41FB-B74B-63D51990C87A}"/>
    <cellStyle name="Notas 21 2 7" xfId="2658" xr:uid="{C8C9BE94-2BAF-4946-AABF-1D1853C6C3B1}"/>
    <cellStyle name="Notas 21 2 8" xfId="2659" xr:uid="{6E3DBE25-1520-4B72-A618-D112D19DEC1C}"/>
    <cellStyle name="Notas 21 2 9" xfId="2660" xr:uid="{CDD3D899-2A44-40FF-BC8F-620F9E55E87A}"/>
    <cellStyle name="Notas 21 3" xfId="2661" xr:uid="{9EEE8DF6-2081-41D8-B446-7B16A5D80F3F}"/>
    <cellStyle name="Notas 21 3 2" xfId="2662" xr:uid="{EC476084-2B63-4669-AAE4-C385A73C1DA4}"/>
    <cellStyle name="Notas 21 3 2 2" xfId="2663" xr:uid="{70705240-1B72-4B0F-AFF4-8168269A6803}"/>
    <cellStyle name="Notas 21 3 2 3" xfId="2664" xr:uid="{C0741F96-593E-4473-A017-1DA659D8EF76}"/>
    <cellStyle name="Notas 21 3 2 3 2" xfId="2665" xr:uid="{3252148E-15B8-4AC3-93B8-877CFF13D961}"/>
    <cellStyle name="Notas 21 3 2 4" xfId="2666" xr:uid="{73DE51C9-B0D3-4E51-BCD0-D31B4C526FA8}"/>
    <cellStyle name="Notas 21 3 2 4 2" xfId="2667" xr:uid="{573FCC81-2E79-4578-9630-0C2BBE61F544}"/>
    <cellStyle name="Notas 21 3 2 4 3" xfId="2668" xr:uid="{FCDBCAFD-102E-40E1-8C1E-C7C311C52B13}"/>
    <cellStyle name="Notas 21 3 2 5" xfId="2669" xr:uid="{425DA251-953B-41A6-BD66-D96298A32266}"/>
    <cellStyle name="Notas 21 3 2 5 2" xfId="2670" xr:uid="{6A8E8113-6F97-4EAC-A714-2D5ACA47EEC7}"/>
    <cellStyle name="Notas 21 3 2 5 3" xfId="2671" xr:uid="{322C00F8-4E42-4566-AE50-879B4258DD9F}"/>
    <cellStyle name="Notas 21 3 2 6" xfId="2672" xr:uid="{A5AD1383-130C-432E-BAAF-D99DE113A48D}"/>
    <cellStyle name="Notas 21 3 2 7" xfId="2673" xr:uid="{C1EBAB05-2928-4636-8646-12AD683C276F}"/>
    <cellStyle name="Notas 21 3 2 8" xfId="2674" xr:uid="{03305A66-0DF8-4D4B-BF70-4537789946D5}"/>
    <cellStyle name="Notas 21 3 3" xfId="2675" xr:uid="{A202132B-BDE2-4348-A578-540D2947B7BC}"/>
    <cellStyle name="Notas 21 3 4" xfId="2676" xr:uid="{CFF59B5B-5625-4DAD-9B32-95E014AD5B11}"/>
    <cellStyle name="Notas 21 3 4 2" xfId="2677" xr:uid="{49E22D5E-604C-40C9-A88A-68F025E76276}"/>
    <cellStyle name="Notas 21 3 5" xfId="2678" xr:uid="{61580849-4E19-40E6-B3B1-28D486C6B63A}"/>
    <cellStyle name="Notas 21 3 5 2" xfId="2679" xr:uid="{CB506911-FD22-444D-9D5A-A1188CCC4BEC}"/>
    <cellStyle name="Notas 21 3 5 3" xfId="2680" xr:uid="{653FBB5C-4396-4B84-8C63-929C1869FD6C}"/>
    <cellStyle name="Notas 21 3 6" xfId="2681" xr:uid="{B8CECC32-D1D4-4041-8810-19C6BDCD91A9}"/>
    <cellStyle name="Notas 21 3 6 2" xfId="2682" xr:uid="{A0E23976-D0D4-4C04-B603-C4EBA7CB6BEE}"/>
    <cellStyle name="Notas 21 3 6 3" xfId="2683" xr:uid="{15E76934-AA31-4F5C-BA71-CCBEBA2D8BC6}"/>
    <cellStyle name="Notas 21 3 7" xfId="2684" xr:uid="{6DD9655C-62EB-4648-98C0-17C7CD4586EF}"/>
    <cellStyle name="Notas 21 3 8" xfId="2685" xr:uid="{87E122A2-48ED-4E7B-A909-22B448655548}"/>
    <cellStyle name="Notas 21 3 9" xfId="2686" xr:uid="{7235E325-4271-4BA9-AB1D-E965E0E51965}"/>
    <cellStyle name="Notas 21 4" xfId="2687" xr:uid="{09693E19-BFF5-4091-BACD-3EA2C17F1C83}"/>
    <cellStyle name="Notas 21 4 2" xfId="2688" xr:uid="{682E2F64-AB04-4FF4-BB4D-3331610AF67F}"/>
    <cellStyle name="Notas 21 4 3" xfId="2689" xr:uid="{F0A562E5-D1AD-493D-972C-B57DD7851D2E}"/>
    <cellStyle name="Notas 21 4 3 2" xfId="2690" xr:uid="{0F0790A9-2375-4DE3-AAB9-90CFE0867378}"/>
    <cellStyle name="Notas 21 4 4" xfId="2691" xr:uid="{AAFFC6E3-E2ED-44C9-A4FC-83A759BA25A5}"/>
    <cellStyle name="Notas 21 4 4 2" xfId="2692" xr:uid="{BDD2904B-86D3-490C-AC9E-12EAF90043EA}"/>
    <cellStyle name="Notas 21 4 4 3" xfId="2693" xr:uid="{B125A85F-AD46-4D9C-A0EA-7FD273C0AC64}"/>
    <cellStyle name="Notas 21 4 5" xfId="2694" xr:uid="{52B2AEC0-C450-46FA-8A79-14C54D8C400A}"/>
    <cellStyle name="Notas 21 4 5 2" xfId="2695" xr:uid="{8D3C67AA-CD3A-448B-80DC-4ED1F8A6B23E}"/>
    <cellStyle name="Notas 21 4 5 3" xfId="2696" xr:uid="{FCB9E984-AF11-446C-9661-B95178447F87}"/>
    <cellStyle name="Notas 21 4 6" xfId="2697" xr:uid="{88A607C4-3AB7-428F-9CE3-7B0A5A53C414}"/>
    <cellStyle name="Notas 21 4 7" xfId="2698" xr:uid="{6AAEC684-883D-4133-AB94-89B53761AA3F}"/>
    <cellStyle name="Notas 21 4 8" xfId="2699" xr:uid="{9E2DC2CF-7A13-4F15-BCCB-DE5196BB369D}"/>
    <cellStyle name="Notas 21 5" xfId="2700" xr:uid="{3590B442-C1B0-4813-8E1F-680A81F16D50}"/>
    <cellStyle name="Notas 21 6" xfId="2701" xr:uid="{00657FC8-4419-4904-9949-F21707113853}"/>
    <cellStyle name="Notas 21 6 2" xfId="2702" xr:uid="{8E458FA2-DC04-4CDE-8E9A-3030F2683169}"/>
    <cellStyle name="Notas 21 7" xfId="2703" xr:uid="{19C489FE-5D58-40C9-A1A4-14D90EBA5144}"/>
    <cellStyle name="Notas 21 7 2" xfId="2704" xr:uid="{CDF664C3-54D3-4B8D-A373-4410C61BB589}"/>
    <cellStyle name="Notas 21 7 3" xfId="2705" xr:uid="{25AAA03B-5B78-48AA-83A3-4127593E4D00}"/>
    <cellStyle name="Notas 21 8" xfId="2706" xr:uid="{1661D724-F7F1-4AD9-B92E-EB8519A1322D}"/>
    <cellStyle name="Notas 21 8 2" xfId="2707" xr:uid="{97F9CD7F-2367-420A-97CC-3C11926D9BB5}"/>
    <cellStyle name="Notas 21 8 3" xfId="2708" xr:uid="{2C83F629-9C7D-4EA6-A4A5-A905B5A51092}"/>
    <cellStyle name="Notas 21 9" xfId="2709" xr:uid="{EEEF9FA3-5666-4456-B1AC-A41A564AF641}"/>
    <cellStyle name="Notas 22" xfId="2710" xr:uid="{C677F6EE-84B9-416D-979C-FA65DC1E88EF}"/>
    <cellStyle name="Notas 22 10" xfId="2711" xr:uid="{1050A1E6-1D18-44BD-A8D5-99168F7F0BCC}"/>
    <cellStyle name="Notas 22 2" xfId="2712" xr:uid="{B976AF88-4C97-4DFD-89C5-26E96C8D473E}"/>
    <cellStyle name="Notas 22 2 2" xfId="2713" xr:uid="{E020A29A-BFDB-482C-9183-22621706FE7F}"/>
    <cellStyle name="Notas 22 2 2 2" xfId="2714" xr:uid="{0D31C873-74A1-4937-86C8-CFF44DA23AEC}"/>
    <cellStyle name="Notas 22 2 2 3" xfId="2715" xr:uid="{7B0482DC-6E1C-4EC0-800B-9D7FFF8B6637}"/>
    <cellStyle name="Notas 22 2 2 3 2" xfId="2716" xr:uid="{367F62DD-4A99-427E-9582-3AB9D904246A}"/>
    <cellStyle name="Notas 22 2 2 4" xfId="2717" xr:uid="{8F4B0737-F553-4879-9701-C21EB1B8027C}"/>
    <cellStyle name="Notas 22 2 2 4 2" xfId="2718" xr:uid="{61F1FBEE-DDC4-4EBF-BEC3-341AF49F3B86}"/>
    <cellStyle name="Notas 22 2 2 4 3" xfId="2719" xr:uid="{9467D7BD-87BB-43C2-B2A8-838EBDBE788C}"/>
    <cellStyle name="Notas 22 2 2 5" xfId="2720" xr:uid="{418ECDF8-16C0-48DD-B57F-C53C62A867BD}"/>
    <cellStyle name="Notas 22 2 2 5 2" xfId="2721" xr:uid="{BF0BE0C1-4F8D-469D-AFF0-8D4C5F96B59F}"/>
    <cellStyle name="Notas 22 2 2 5 3" xfId="2722" xr:uid="{7BD50DAE-F238-40C2-8E9A-2BC0C1767871}"/>
    <cellStyle name="Notas 22 2 2 6" xfId="2723" xr:uid="{C0E217F3-0EBB-4EAE-B62F-414B9D06A080}"/>
    <cellStyle name="Notas 22 2 2 7" xfId="2724" xr:uid="{0B6A0C16-5B77-4E3F-9A9B-1985FE353CD5}"/>
    <cellStyle name="Notas 22 2 2 8" xfId="2725" xr:uid="{FBBC04FA-9E8D-461D-A2DA-99ACF4DE999D}"/>
    <cellStyle name="Notas 22 2 3" xfId="2726" xr:uid="{6329B724-F0FA-4FA9-AAB5-CFFB77BC7C26}"/>
    <cellStyle name="Notas 22 2 4" xfId="2727" xr:uid="{9BC571DE-73CB-4FBF-BF29-C02FE9F5F46B}"/>
    <cellStyle name="Notas 22 2 4 2" xfId="2728" xr:uid="{8B10EDE3-9FB9-444E-8807-5BAD482B49EE}"/>
    <cellStyle name="Notas 22 2 5" xfId="2729" xr:uid="{A879930D-DDC0-4DAD-92B3-A1BDA1D15F6C}"/>
    <cellStyle name="Notas 22 2 5 2" xfId="2730" xr:uid="{C521B3EE-8BD5-4699-92AD-D6837858FF75}"/>
    <cellStyle name="Notas 22 2 5 3" xfId="2731" xr:uid="{7C8B4E86-9039-4EE9-9CEB-0BAF7E59B380}"/>
    <cellStyle name="Notas 22 2 6" xfId="2732" xr:uid="{5577003B-83F0-4A76-B879-15D502FA3A2E}"/>
    <cellStyle name="Notas 22 2 6 2" xfId="2733" xr:uid="{4A214FD9-2DA8-4730-9280-E5EF09C07E9D}"/>
    <cellStyle name="Notas 22 2 6 3" xfId="2734" xr:uid="{400EDF6A-BEE0-4271-94B6-AF5CA812023B}"/>
    <cellStyle name="Notas 22 2 7" xfId="2735" xr:uid="{45D9DED7-D129-4B3B-9E20-E6717AECFB30}"/>
    <cellStyle name="Notas 22 2 8" xfId="2736" xr:uid="{D813C132-91EC-45D1-AE20-03F4D6A9CA80}"/>
    <cellStyle name="Notas 22 2 9" xfId="2737" xr:uid="{8E5F1435-B63D-4328-9A34-A2C80108C9CD}"/>
    <cellStyle name="Notas 22 3" xfId="2738" xr:uid="{2952FB35-AC71-4500-9D7C-FF61115FBF94}"/>
    <cellStyle name="Notas 22 3 2" xfId="2739" xr:uid="{42EB1B50-515F-4DB6-AB11-3B35E81775DE}"/>
    <cellStyle name="Notas 22 3 3" xfId="2740" xr:uid="{896A8D00-B17D-415D-8681-F63757260B94}"/>
    <cellStyle name="Notas 22 3 3 2" xfId="2741" xr:uid="{1784837A-90ED-47A4-9B67-9565C4ACA6AD}"/>
    <cellStyle name="Notas 22 3 4" xfId="2742" xr:uid="{FD1A4BF3-F6C9-4068-98EF-DD8018AEC3B4}"/>
    <cellStyle name="Notas 22 3 4 2" xfId="2743" xr:uid="{358F6BA7-4DFD-441E-8B6B-FD7ED409E995}"/>
    <cellStyle name="Notas 22 3 4 3" xfId="2744" xr:uid="{CE7C4DD2-7BE7-484D-8E0C-ADB52FC4CBA5}"/>
    <cellStyle name="Notas 22 3 5" xfId="2745" xr:uid="{3ACDA44A-3414-49E0-B29B-C7469D00B9EB}"/>
    <cellStyle name="Notas 22 3 5 2" xfId="2746" xr:uid="{8CBC24DA-3E91-4771-AA61-8CBD52C78BA9}"/>
    <cellStyle name="Notas 22 3 5 3" xfId="2747" xr:uid="{E61A3674-CEE1-4B40-A664-E2C0F3A3A6D1}"/>
    <cellStyle name="Notas 22 3 6" xfId="2748" xr:uid="{80FDD877-7C51-4F53-B944-E35DF8B24079}"/>
    <cellStyle name="Notas 22 3 7" xfId="2749" xr:uid="{3131C203-4FFE-414D-82FA-BD142E512CAF}"/>
    <cellStyle name="Notas 22 3 8" xfId="2750" xr:uid="{72E28A68-8DE4-40BE-8003-CFD1505E61D4}"/>
    <cellStyle name="Notas 22 4" xfId="2751" xr:uid="{67720958-4FC1-4B14-873D-152A6D71A2CD}"/>
    <cellStyle name="Notas 22 5" xfId="2752" xr:uid="{A5209CB0-7043-4592-ADDE-08EFC34EAE42}"/>
    <cellStyle name="Notas 22 5 2" xfId="2753" xr:uid="{01C9B489-C294-4749-85FB-ABFF5E72F06E}"/>
    <cellStyle name="Notas 22 6" xfId="2754" xr:uid="{B3524501-BAA8-42D3-8B64-BC383E6FDCC0}"/>
    <cellStyle name="Notas 22 6 2" xfId="2755" xr:uid="{75A74556-D4EF-4C0F-BEAE-D0ACF3240831}"/>
    <cellStyle name="Notas 22 6 3" xfId="2756" xr:uid="{493EAE3C-64FE-474A-AF97-206E1EF8837B}"/>
    <cellStyle name="Notas 22 7" xfId="2757" xr:uid="{6863B27D-7898-4447-A81E-53DB5CEBB42C}"/>
    <cellStyle name="Notas 22 7 2" xfId="2758" xr:uid="{AC421C78-2F73-4F36-9B60-C5D4616C5D93}"/>
    <cellStyle name="Notas 22 7 3" xfId="2759" xr:uid="{EDCFBE1A-C014-4326-B706-2A73822E5EFA}"/>
    <cellStyle name="Notas 22 8" xfId="2760" xr:uid="{71BBE874-0C46-457C-BD26-8B016519EE27}"/>
    <cellStyle name="Notas 22 9" xfId="2761" xr:uid="{1EDE476F-B1C5-46B2-84E4-61192772F34C}"/>
    <cellStyle name="Notas 23" xfId="2762" xr:uid="{0D496665-E213-4E6B-B406-B02CD6B272A5}"/>
    <cellStyle name="Notas 23 2" xfId="2763" xr:uid="{BF29D4AC-B0A3-404F-A9D9-A1FBFFD18D1D}"/>
    <cellStyle name="Notas 24" xfId="2764" xr:uid="{3C751315-2BA5-4253-8DB0-628DB30501A3}"/>
    <cellStyle name="Notas 24 2" xfId="2765" xr:uid="{D5C47D8D-2898-4D1F-80F9-960458B73C2F}"/>
    <cellStyle name="Notas 24 3" xfId="2766" xr:uid="{ACA5BBC2-42A5-43E5-A0A5-B0B1AC38C4FD}"/>
    <cellStyle name="Notas 25" xfId="2767" xr:uid="{8FDC815A-D3D7-4DDD-A71A-E801D51E33AD}"/>
    <cellStyle name="Notas 26" xfId="2768" xr:uid="{7E02C149-AE88-43A3-BBC0-65671ED8AFC6}"/>
    <cellStyle name="Notas 27" xfId="2769" xr:uid="{2CA784D0-C059-4703-AF9F-C02FF39F3263}"/>
    <cellStyle name="Notas 28" xfId="2770" xr:uid="{8F31AA34-0D6B-404A-A288-F3E46B37DC06}"/>
    <cellStyle name="Notas 29" xfId="2771" xr:uid="{52FD5100-D992-4208-BCE9-24CBEA0D7780}"/>
    <cellStyle name="Notas 3" xfId="2772" xr:uid="{5849BD10-517B-468D-92AF-B77F510AD222}"/>
    <cellStyle name="Notas 3 2" xfId="2773" xr:uid="{76F6AB9D-FCA8-469B-97EF-975FE2281593}"/>
    <cellStyle name="Notas 3 2 2" xfId="2774" xr:uid="{66706005-00A1-43D8-A2E4-C495C75C3EE8}"/>
    <cellStyle name="Notas 3 2 2 2" xfId="2775" xr:uid="{58F7785F-6898-48A3-9542-D8DAEDD8408A}"/>
    <cellStyle name="Notas 3 2 3" xfId="2776" xr:uid="{53BB14DC-A61D-4EFF-AB4C-8516C2CAC754}"/>
    <cellStyle name="Notas 3 3" xfId="2777" xr:uid="{473596CE-32C9-4559-92DC-FD6A99C9FFE4}"/>
    <cellStyle name="Notas 3 3 2" xfId="2778" xr:uid="{88F022BD-0B96-4241-8058-D335AD478D42}"/>
    <cellStyle name="Notas 30" xfId="2779" xr:uid="{2BF4CED9-109C-46BD-BEA6-97FF43006DAF}"/>
    <cellStyle name="Notas 31" xfId="2780" xr:uid="{4F0057F4-B7A8-488D-834F-5D490F399D7E}"/>
    <cellStyle name="Notas 4" xfId="2781" xr:uid="{F1A87AAF-3649-464C-867B-14148970B078}"/>
    <cellStyle name="Notas 4 2" xfId="2782" xr:uid="{48A23CB5-F21D-46A2-873C-E459EA8A7D15}"/>
    <cellStyle name="Notas 4 2 2" xfId="2783" xr:uid="{8FBFBBB1-4E16-4C29-8CCE-F6D957047B73}"/>
    <cellStyle name="Notas 4 2 2 2" xfId="2784" xr:uid="{FF2AE2CB-9D66-4FBE-A42D-F90438063F2F}"/>
    <cellStyle name="Notas 4 2 3" xfId="2785" xr:uid="{9B59E762-73AA-4815-9B33-DB14A6FB390F}"/>
    <cellStyle name="Notas 4 3" xfId="2786" xr:uid="{52F8FC77-CBBC-4DAC-B327-2A593ED4D030}"/>
    <cellStyle name="Notas 4 3 2" xfId="2787" xr:uid="{B0BC2A4B-3C30-4A04-97F5-CA5C9D282116}"/>
    <cellStyle name="Notas 4 4" xfId="2788" xr:uid="{AC1CC429-9916-4D9B-B2B5-8879FBDAA49F}"/>
    <cellStyle name="Notas 4 5" xfId="2789" xr:uid="{09C27963-4979-4CB4-A0D1-CFD112ADFD51}"/>
    <cellStyle name="Notas 4 6" xfId="2790" xr:uid="{FEEFFB00-C051-425D-8E7D-EA84B7606AB1}"/>
    <cellStyle name="Notas 4 6 2" xfId="2791" xr:uid="{ADAAA0EA-84F6-49D9-9C72-832867FE08E8}"/>
    <cellStyle name="Notas 4 7" xfId="2792" xr:uid="{C795622C-BBAB-419E-8E92-F674153FA4AA}"/>
    <cellStyle name="Notas 4 7 2" xfId="2793" xr:uid="{5F85DB11-18D7-471D-9392-09AAA8480298}"/>
    <cellStyle name="Notas 4 7 3" xfId="2794" xr:uid="{2B19727F-43BF-4939-9D53-A7B8E06F45B1}"/>
    <cellStyle name="Notas 4 8" xfId="2795" xr:uid="{C4A7089D-2DE0-4AC5-BFC0-526B9DC44B6B}"/>
    <cellStyle name="Notas 4 8 2" xfId="2796" xr:uid="{76E50B43-5AC2-40CE-9734-6C03AECF0142}"/>
    <cellStyle name="Notas 4 8 3" xfId="2797" xr:uid="{C118EE44-2CED-47DB-BAA9-FDFD4908B84E}"/>
    <cellStyle name="Notas 4 9" xfId="2798" xr:uid="{4A5DACDA-5E91-4395-B1C4-823C4DF59D47}"/>
    <cellStyle name="Notas 5" xfId="2799" xr:uid="{96AEBA3B-B35B-4C7C-B623-F28E608DA5DE}"/>
    <cellStyle name="Notas 5 2" xfId="2800" xr:uid="{92FEF20A-579E-447D-82CB-E70E3B36EAEF}"/>
    <cellStyle name="Notas 5 2 2" xfId="2801" xr:uid="{376D8666-91DC-4DDB-804A-2EC0477D8004}"/>
    <cellStyle name="Notas 5 2 2 2" xfId="2802" xr:uid="{5848A24A-52D7-4916-9C00-1CEB10F51C88}"/>
    <cellStyle name="Notas 5 2 3" xfId="2803" xr:uid="{958E2E2D-70A5-4038-8708-B0706C68EF67}"/>
    <cellStyle name="Notas 5 3" xfId="2804" xr:uid="{C9F49920-2D43-4C70-A407-F74E9F6F2BC7}"/>
    <cellStyle name="Notas 5 3 2" xfId="2805" xr:uid="{6A0B91EF-4910-4D4D-98FC-0BD7F754E43E}"/>
    <cellStyle name="Notas 6" xfId="2806" xr:uid="{E7D31667-5C10-407C-B933-36721BFD6636}"/>
    <cellStyle name="Notas 6 2" xfId="2807" xr:uid="{2DB8D335-3908-434C-B63F-ADCC9E67ED7D}"/>
    <cellStyle name="Notas 6 2 2" xfId="2808" xr:uid="{0AE44AE7-8A93-4AD8-8EC3-2F167CCFD89A}"/>
    <cellStyle name="Notas 6 2 2 2" xfId="2809" xr:uid="{B575C94A-3EB9-4C40-BAD1-CBDABC6482BA}"/>
    <cellStyle name="Notas 6 2 3" xfId="2810" xr:uid="{8422850A-FFC8-4B6E-9B2C-7B05AEF2E6A6}"/>
    <cellStyle name="Notas 6 3" xfId="2811" xr:uid="{B91A37AF-E976-4C11-AF6E-BCF8AF707294}"/>
    <cellStyle name="Notas 6 3 2" xfId="2812" xr:uid="{05C0AF0B-96FA-4B35-A64C-36FB2FA62A4C}"/>
    <cellStyle name="Notas 7" xfId="2813" xr:uid="{88A46F58-D3F8-4064-AC33-EA1C8F1B7974}"/>
    <cellStyle name="Notas 7 2" xfId="2814" xr:uid="{68227D16-C8D3-4557-AD13-FF643B521BE5}"/>
    <cellStyle name="Notas 7 2 2" xfId="2815" xr:uid="{E2189597-8B4B-4F45-9D34-F6E1F1B51B9A}"/>
    <cellStyle name="Notas 7 2 2 2" xfId="2816" xr:uid="{71D11EF3-D9B0-4092-ACEF-DBE555086BDD}"/>
    <cellStyle name="Notas 7 2 3" xfId="2817" xr:uid="{E14CCCAF-49BD-4412-A912-D7A9DB01CDF6}"/>
    <cellStyle name="Notas 7 3" xfId="2818" xr:uid="{84E41F54-8945-4B95-BC18-6E525EF56754}"/>
    <cellStyle name="Notas 7 3 2" xfId="2819" xr:uid="{5DE60512-D2C1-4D64-A7D4-208E717F59E2}"/>
    <cellStyle name="Notas 8" xfId="2820" xr:uid="{0FFCBF12-53A8-4CE8-994D-97BCF749741D}"/>
    <cellStyle name="Notas 8 2" xfId="2821" xr:uid="{CEC216FA-2EDD-4146-9A5E-6F67CB70E2C3}"/>
    <cellStyle name="Notas 8 2 2" xfId="2822" xr:uid="{5531746D-3B97-4F08-ADFB-DE884DF9F4B2}"/>
    <cellStyle name="Notas 8 2 2 2" xfId="2823" xr:uid="{92F8D9C5-EDB9-44E0-943C-4EE979FEAB9B}"/>
    <cellStyle name="Notas 8 2 3" xfId="2824" xr:uid="{9CE6DE18-4C28-4293-BE00-DE5BE50AEC7A}"/>
    <cellStyle name="Notas 8 3" xfId="2825" xr:uid="{4AC66A23-CBE1-4809-A04A-A6654D977BDA}"/>
    <cellStyle name="Notas 8 3 2" xfId="2826" xr:uid="{6BEDF391-E01A-4239-8D10-6BE7B4386ACC}"/>
    <cellStyle name="Notas 9" xfId="2827" xr:uid="{EAEF8529-9852-421F-B70E-A0E9C64DF1BA}"/>
    <cellStyle name="Notas 9 2" xfId="2828" xr:uid="{09A30807-80AC-40AF-8319-33CFAE93C121}"/>
    <cellStyle name="Notas 9 2 2" xfId="2829" xr:uid="{16743F2C-6FD5-4B7C-92C8-E3FCD21A2315}"/>
    <cellStyle name="Notas 9 2 2 2" xfId="2830" xr:uid="{646F237C-39AD-49CD-BB71-8ADFB4AFD7B0}"/>
    <cellStyle name="Notas 9 2 3" xfId="2831" xr:uid="{B8A676DB-A7CC-41F0-88D4-D083202D206B}"/>
    <cellStyle name="Notas 9 3" xfId="2832" xr:uid="{9997CCFB-3BEB-4CC0-9BF7-13AC5AFAA12F}"/>
    <cellStyle name="Notas 9 3 2" xfId="2833" xr:uid="{3553940C-93FF-45FE-ADE4-0D6645E981BF}"/>
    <cellStyle name="Note 2" xfId="2834" xr:uid="{541608A0-4CB7-4AD5-99E9-84BFFD84BECD}"/>
    <cellStyle name="Output" xfId="416" builtinId="21" customBuiltin="1"/>
    <cellStyle name="Output 2" xfId="470" xr:uid="{9EF989C4-D903-4CC9-A87B-890997D6EBAA}"/>
    <cellStyle name="Output 2 2" xfId="2835" xr:uid="{94EDD46D-E07F-4892-960A-455C9621F2A9}"/>
    <cellStyle name="p" xfId="2836" xr:uid="{E3CF2444-FF14-46B4-A628-9919D43DA346}"/>
    <cellStyle name="Pame" xfId="2837" xr:uid="{FE9907BC-2566-4201-AAD0-86F26E878B18}"/>
    <cellStyle name="Percent" xfId="2" builtinId="5"/>
    <cellStyle name="Percent 2" xfId="349" xr:uid="{40F92B90-1021-414D-BBC2-EDC6EFA84859}"/>
    <cellStyle name="Percent 2 2" xfId="2839" xr:uid="{4DF14596-EA0B-443B-9CF5-FF4674694407}"/>
    <cellStyle name="Percent 2 3" xfId="2840" xr:uid="{27748499-AD1B-4E8B-900E-87B2D2A9ABDF}"/>
    <cellStyle name="Percent 2 4" xfId="2841" xr:uid="{0264BAE5-FDF3-4440-9633-D5AA73BC7831}"/>
    <cellStyle name="Percent 3" xfId="13" xr:uid="{D1B55CB3-374A-4447-BBD2-E8E483130FD6}"/>
    <cellStyle name="Percent 3 2" xfId="2843" xr:uid="{6192A345-0E31-4988-BCBF-071565A5D613}"/>
    <cellStyle name="Percent 3 2 2" xfId="2844" xr:uid="{AE38F0D8-476D-4A64-8854-1C30FAE917CC}"/>
    <cellStyle name="Percent 3 3" xfId="2845" xr:uid="{C433F00F-30B2-4F7E-B18E-EAE7D94B63F2}"/>
    <cellStyle name="Percent 3 4" xfId="2846" xr:uid="{54183800-789E-4193-BA36-B6D27CD437BE}"/>
    <cellStyle name="Percent 3 4 2" xfId="2847" xr:uid="{03FFDE56-890E-451B-B7AA-567DD9FB8A14}"/>
    <cellStyle name="Percent 3 4 3" xfId="2848" xr:uid="{4D7EA954-544B-4357-9C74-3C41FB1F9016}"/>
    <cellStyle name="Percent 3 5" xfId="2849" xr:uid="{A38D6348-51D2-4B28-9A0D-54D64F96E59E}"/>
    <cellStyle name="Percent 3 6" xfId="2850" xr:uid="{D40C6B1B-087B-45BD-A338-DEA999FCF405}"/>
    <cellStyle name="Percent 3 7" xfId="2851" xr:uid="{4A50ED81-4614-4AC5-AC64-D5587342EB85}"/>
    <cellStyle name="Percent 3 8" xfId="2842" xr:uid="{1C7856C4-343B-491D-9169-FFAE2BDCAF28}"/>
    <cellStyle name="Percent 4" xfId="365" xr:uid="{E5882E37-DB95-493D-B1F0-57BF4A48283B}"/>
    <cellStyle name="Percent 4 2" xfId="2853" xr:uid="{01736350-23C8-448F-AE0B-D8066A88D482}"/>
    <cellStyle name="Percent 4 3" xfId="2854" xr:uid="{7E705054-B18C-491C-8AD3-B2A04BC7722A}"/>
    <cellStyle name="Percent 4 4" xfId="2855" xr:uid="{11B8F5A7-884A-40FF-B550-878F8C18BE5A}"/>
    <cellStyle name="Percent 4 4 2" xfId="2856" xr:uid="{4C9FA0B3-3129-4F2A-A680-4DB99EB4C816}"/>
    <cellStyle name="Percent 4 4 3" xfId="2857" xr:uid="{FEDE60F8-7667-4B3C-9F04-BBAB2EF65FF6}"/>
    <cellStyle name="Percent 4 5" xfId="2858" xr:uid="{42952757-0256-4823-8BC9-A72E500B835B}"/>
    <cellStyle name="Percent 4 6" xfId="2859" xr:uid="{AC0A5AEA-C5A4-4647-9737-C9A1542AB1F0}"/>
    <cellStyle name="Percent 4 7" xfId="2852" xr:uid="{627B44D5-3B21-4379-8720-344937869610}"/>
    <cellStyle name="Percent 5" xfId="6" xr:uid="{6101A713-E50A-42BB-96F9-EB2052C97530}"/>
    <cellStyle name="Percent 5 2" xfId="2860" xr:uid="{91991E77-FCFD-4ACB-BBDD-67088A0F1F08}"/>
    <cellStyle name="Percent 5 2 2" xfId="2861" xr:uid="{F7244C96-4120-4D8C-B0D2-90C98A8DC37A}"/>
    <cellStyle name="Percent 5 2 3" xfId="2862" xr:uid="{0756F071-FCA8-46C4-AF1C-4FB285CCC70C}"/>
    <cellStyle name="Percent 5 3" xfId="2863" xr:uid="{230B911F-3810-46DA-B911-1956B8E3AE12}"/>
    <cellStyle name="Percent 5 4" xfId="2864" xr:uid="{A968762F-394B-48D1-9765-7437A2DC09C9}"/>
    <cellStyle name="Percent 5 4 2" xfId="2865" xr:uid="{98B12C4E-25C4-4FF1-87E9-CC73501C479E}"/>
    <cellStyle name="Percent 5 5" xfId="2866" xr:uid="{A404754B-059F-4DC1-B884-0145DF03D15B}"/>
    <cellStyle name="Percent 6" xfId="2867" xr:uid="{03682A6A-451E-436C-85CA-BA3A06FC1C30}"/>
    <cellStyle name="Percent 6 2" xfId="2868" xr:uid="{146FBE43-AE75-44B4-B916-B706637580E8}"/>
    <cellStyle name="Percent 6 3" xfId="2869" xr:uid="{16043047-F44F-42E9-9D01-800CAEC9D17D}"/>
    <cellStyle name="Percent 6 3 2" xfId="2870" xr:uid="{576D2CD0-E64F-4181-962F-E1FBB1666A07}"/>
    <cellStyle name="Percent 6 4" xfId="2871" xr:uid="{027177AE-AB1F-4B51-B04A-4309CFA3DEEB}"/>
    <cellStyle name="Percent 7" xfId="2872" xr:uid="{8A408386-92EE-44E8-84A8-2D7D5D5F5A08}"/>
    <cellStyle name="Percent 7 2" xfId="2873" xr:uid="{FF24E56F-BA82-4CDF-927E-299AC4607884}"/>
    <cellStyle name="Percent 8" xfId="2838" xr:uid="{B99C18C0-D1AD-4403-8EC3-9CDC5DB71DCC}"/>
    <cellStyle name="Porcentagem 2" xfId="2874" xr:uid="{22D09C4F-6C3D-4246-A57F-648140350379}"/>
    <cellStyle name="Porcentagem 2 2" xfId="2875" xr:uid="{B4634781-C01A-42E4-90CC-BDC793763993}"/>
    <cellStyle name="Porcentagem 2 3" xfId="2876" xr:uid="{78B21E93-1F26-4B32-B7F6-13173C6B164A}"/>
    <cellStyle name="Porcentagem 2 4" xfId="2877" xr:uid="{8647F4A0-F7FB-48F7-BE9A-649668820F7A}"/>
    <cellStyle name="Porcentaje 10" xfId="2878" xr:uid="{4D404DBC-A427-4A0C-B1BA-7D8B23623AFA}"/>
    <cellStyle name="Porcentaje 11" xfId="2879" xr:uid="{DE894FAE-C25C-45E8-91CA-3BE8361AE647}"/>
    <cellStyle name="Porcentaje 12" xfId="2880" xr:uid="{BD41149B-9AD0-470F-92E1-5562DCD3D4C0}"/>
    <cellStyle name="Porcentaje 13" xfId="2881" xr:uid="{A72A7998-D1CA-4AA8-9D60-B436E33FAB00}"/>
    <cellStyle name="Porcentaje 13 2" xfId="2882" xr:uid="{A9239105-05C3-444C-8D19-50979EB7ABDC}"/>
    <cellStyle name="Porcentaje 14" xfId="2883" xr:uid="{6E6DBA98-84BF-4975-BB90-C5900D5E89E1}"/>
    <cellStyle name="Porcentaje 14 2" xfId="2884" xr:uid="{98B3A8E0-9438-4959-8522-C43A676F5C89}"/>
    <cellStyle name="Porcentaje 14 3" xfId="2885" xr:uid="{76703C0E-5A7D-4A02-85E3-D87EC7DB8261}"/>
    <cellStyle name="Porcentaje 15" xfId="2886" xr:uid="{17BD203B-4139-426F-A24D-35C5B7D7AC4C}"/>
    <cellStyle name="Porcentaje 16" xfId="2887" xr:uid="{C995E94D-849A-4008-8C3D-8CF5737D4939}"/>
    <cellStyle name="Porcentaje 16 2" xfId="2888" xr:uid="{873E47D3-BE1F-40AF-A62C-1E4C7A5076BD}"/>
    <cellStyle name="Porcentaje 16 3" xfId="2889" xr:uid="{07642C8C-0A5D-43F6-84C3-822A46DC5814}"/>
    <cellStyle name="Porcentaje 2" xfId="2890" xr:uid="{4DFB1185-2209-44CE-AAA7-449C194132B3}"/>
    <cellStyle name="Porcentaje 2 10" xfId="2891" xr:uid="{861F1655-36FF-4012-92DC-E0B5F2CA977B}"/>
    <cellStyle name="Porcentaje 2 11" xfId="2892" xr:uid="{A5A1FDDF-0174-406B-98F3-BE07EE2D8193}"/>
    <cellStyle name="Porcentaje 2 12" xfId="2893" xr:uid="{BBBC2812-6214-495C-AD8A-5450AA79EF5E}"/>
    <cellStyle name="Porcentaje 2 2" xfId="2894" xr:uid="{E88DC349-E6FF-4CB7-AC05-3354D65ECCC5}"/>
    <cellStyle name="Porcentaje 2 2 10" xfId="2895" xr:uid="{1B9D49BB-F9BD-4B6B-83BE-89324CECCE65}"/>
    <cellStyle name="Porcentaje 2 2 2" xfId="2896" xr:uid="{4DE1D5A9-7A42-4593-BF91-D25CDC3A4BBC}"/>
    <cellStyle name="Porcentaje 2 2 2 10" xfId="2897" xr:uid="{36B9F491-1509-415F-995A-CF0D58F904F7}"/>
    <cellStyle name="Porcentaje 2 2 2 2" xfId="2898" xr:uid="{0C74AFAC-A229-4AC9-AAA7-55514C411A3B}"/>
    <cellStyle name="Porcentaje 2 2 2 2 10" xfId="2899" xr:uid="{B297BE86-1EEC-4010-832A-590016269673}"/>
    <cellStyle name="Porcentaje 2 2 2 2 2" xfId="2900" xr:uid="{A39D2658-9B69-4413-8A4E-25EFD98953FE}"/>
    <cellStyle name="Porcentaje 2 2 2 2 2 2" xfId="2901" xr:uid="{D46EEF2A-5233-4CD8-A5E1-D5A56D2B0F08}"/>
    <cellStyle name="Porcentaje 2 2 2 2 2 2 2" xfId="2902" xr:uid="{83C65269-0073-4C62-B7A6-80DA4B65EFC9}"/>
    <cellStyle name="Porcentaje 2 2 2 2 2 2 3" xfId="2903" xr:uid="{334F4642-1FFC-44F1-A1ED-CA2C578E5146}"/>
    <cellStyle name="Porcentaje 2 2 2 2 2 2 3 2" xfId="2904" xr:uid="{6312FFF2-DE2E-4006-A65A-92B1F9E850C4}"/>
    <cellStyle name="Porcentaje 2 2 2 2 2 2 4" xfId="2905" xr:uid="{30E1E7DC-C0BA-4D3D-979C-B17FC050ED93}"/>
    <cellStyle name="Porcentaje 2 2 2 2 2 2 4 2" xfId="2906" xr:uid="{24C20F98-9C0E-4CD5-8834-C67A635C0E21}"/>
    <cellStyle name="Porcentaje 2 2 2 2 2 2 4 3" xfId="2907" xr:uid="{0C273257-3FBC-4C1D-BE65-50C4CF39FE01}"/>
    <cellStyle name="Porcentaje 2 2 2 2 2 2 5" xfId="2908" xr:uid="{D1A4DA78-B7AB-4106-BDB4-CCD1E3288A28}"/>
    <cellStyle name="Porcentaje 2 2 2 2 2 2 5 2" xfId="2909" xr:uid="{AF2628C9-6059-4E08-94DD-241B3CD3EF41}"/>
    <cellStyle name="Porcentaje 2 2 2 2 2 2 5 3" xfId="2910" xr:uid="{247C9E16-E714-4054-B089-D926C5B4E917}"/>
    <cellStyle name="Porcentaje 2 2 2 2 2 2 6" xfId="2911" xr:uid="{4D4463D1-C551-4A59-B797-4C14696E62D9}"/>
    <cellStyle name="Porcentaje 2 2 2 2 2 2 7" xfId="2912" xr:uid="{2BC7C6DB-954E-4A15-A80B-0FCA48E8D72B}"/>
    <cellStyle name="Porcentaje 2 2 2 2 2 2 8" xfId="2913" xr:uid="{8F75A0AF-E3DD-4F89-8585-59568E13D0EE}"/>
    <cellStyle name="Porcentaje 2 2 2 2 2 3" xfId="2914" xr:uid="{944C5394-9F18-470D-898A-11F3FD784BFE}"/>
    <cellStyle name="Porcentaje 2 2 2 2 2 4" xfId="2915" xr:uid="{CFEE2174-C8DD-4C65-A31C-3E7949871343}"/>
    <cellStyle name="Porcentaje 2 2 2 2 2 4 2" xfId="2916" xr:uid="{C95FC49D-BE15-42A1-A933-DC94CB7A5809}"/>
    <cellStyle name="Porcentaje 2 2 2 2 2 5" xfId="2917" xr:uid="{8B04F1DC-3B50-4F78-BB0F-DCB924EACABD}"/>
    <cellStyle name="Porcentaje 2 2 2 2 2 5 2" xfId="2918" xr:uid="{25290AEF-2800-4098-8A33-68149F5B0CE9}"/>
    <cellStyle name="Porcentaje 2 2 2 2 2 5 3" xfId="2919" xr:uid="{29166A88-8797-4458-9A61-9710D9980FFE}"/>
    <cellStyle name="Porcentaje 2 2 2 2 2 6" xfId="2920" xr:uid="{519474BA-A5F0-4C79-9B09-34EDD1D7158D}"/>
    <cellStyle name="Porcentaje 2 2 2 2 2 6 2" xfId="2921" xr:uid="{94EAE9F1-D582-4B32-9743-C32FB4702738}"/>
    <cellStyle name="Porcentaje 2 2 2 2 2 6 3" xfId="2922" xr:uid="{6B10C037-0FDD-4D65-BCD8-4928F7A4DAA0}"/>
    <cellStyle name="Porcentaje 2 2 2 2 2 7" xfId="2923" xr:uid="{BB900ECA-4DEC-4A5A-A982-4184F2522073}"/>
    <cellStyle name="Porcentaje 2 2 2 2 2 8" xfId="2924" xr:uid="{6793AEF9-9C27-495C-807E-891CE0995125}"/>
    <cellStyle name="Porcentaje 2 2 2 2 2 9" xfId="2925" xr:uid="{8F413784-C05F-499A-ABEF-EB08A024E6FA}"/>
    <cellStyle name="Porcentaje 2 2 2 2 3" xfId="2926" xr:uid="{58AC6917-9678-47F6-8419-81F105E65E46}"/>
    <cellStyle name="Porcentaje 2 2 2 2 3 2" xfId="2927" xr:uid="{BC3985D4-FEF0-4000-9285-3AAAB4F84F8E}"/>
    <cellStyle name="Porcentaje 2 2 2 2 3 3" xfId="2928" xr:uid="{8D5B1F67-3F9A-4CD8-9D28-B98253284848}"/>
    <cellStyle name="Porcentaje 2 2 2 2 3 3 2" xfId="2929" xr:uid="{4F7CEC58-82AC-4CCB-A7AF-2BABD4CE04EB}"/>
    <cellStyle name="Porcentaje 2 2 2 2 3 4" xfId="2930" xr:uid="{AC23316C-59AD-46F2-92D3-966157CAA1C7}"/>
    <cellStyle name="Porcentaje 2 2 2 2 3 4 2" xfId="2931" xr:uid="{AC9758AB-6A59-475C-8166-F9F273B2ADA8}"/>
    <cellStyle name="Porcentaje 2 2 2 2 3 4 3" xfId="2932" xr:uid="{52B9ADCB-DBD8-45BF-B79B-ACC91E8B4457}"/>
    <cellStyle name="Porcentaje 2 2 2 2 3 5" xfId="2933" xr:uid="{0889FE05-8661-4D97-AAB5-F5B28518D2C4}"/>
    <cellStyle name="Porcentaje 2 2 2 2 3 5 2" xfId="2934" xr:uid="{CDF0E446-1B58-4B43-95FB-32FF8BEC06AD}"/>
    <cellStyle name="Porcentaje 2 2 2 2 3 5 3" xfId="2935" xr:uid="{9EDFBA3B-94FA-4821-9D9B-9FCF11F7329D}"/>
    <cellStyle name="Porcentaje 2 2 2 2 3 6" xfId="2936" xr:uid="{773BCD04-F2C9-4BA1-B0C8-5617BB1FF5A6}"/>
    <cellStyle name="Porcentaje 2 2 2 2 3 7" xfId="2937" xr:uid="{689124C4-2F0E-4234-97D9-CE9C6B13113E}"/>
    <cellStyle name="Porcentaje 2 2 2 2 3 8" xfId="2938" xr:uid="{41CF0AD5-74E4-4920-A494-A1A9E60AC99A}"/>
    <cellStyle name="Porcentaje 2 2 2 2 4" xfId="2939" xr:uid="{1305AC82-E75D-4A83-AAA8-E78457B8D96B}"/>
    <cellStyle name="Porcentaje 2 2 2 2 5" xfId="2940" xr:uid="{77610D24-28F7-4B15-9B3F-E9F17A2B5E1F}"/>
    <cellStyle name="Porcentaje 2 2 2 2 5 2" xfId="2941" xr:uid="{BCE2CF88-511D-4EC4-9FF9-3ACD357D5D71}"/>
    <cellStyle name="Porcentaje 2 2 2 2 6" xfId="2942" xr:uid="{BB79B8D1-AFC3-41B0-A67B-15F109A85814}"/>
    <cellStyle name="Porcentaje 2 2 2 2 6 2" xfId="2943" xr:uid="{54DB5B35-ADF4-4057-B96E-B781A707AD41}"/>
    <cellStyle name="Porcentaje 2 2 2 2 6 3" xfId="2944" xr:uid="{45A9EFE5-21F7-42FE-A88A-F2F3D49AAC66}"/>
    <cellStyle name="Porcentaje 2 2 2 2 7" xfId="2945" xr:uid="{79E5182D-6D77-4065-B705-2359253D40EC}"/>
    <cellStyle name="Porcentaje 2 2 2 2 7 2" xfId="2946" xr:uid="{8EB37CC2-3A71-4D76-8406-1F0660E92224}"/>
    <cellStyle name="Porcentaje 2 2 2 2 7 3" xfId="2947" xr:uid="{693F6890-F281-41FB-9F6B-1CF57A3E09E6}"/>
    <cellStyle name="Porcentaje 2 2 2 2 8" xfId="2948" xr:uid="{AF2D4F52-0229-4BC0-9367-5D9535E61514}"/>
    <cellStyle name="Porcentaje 2 2 2 2 9" xfId="2949" xr:uid="{5B2E4256-41CA-4088-8F0E-EB0A4AD06C83}"/>
    <cellStyle name="Porcentaje 2 2 2 3" xfId="2950" xr:uid="{75AB4826-60CD-40BE-8AA6-B30266B0B8F8}"/>
    <cellStyle name="Porcentaje 2 2 2 3 2" xfId="2951" xr:uid="{22983997-3FB8-4DEA-9D11-0E5214868492}"/>
    <cellStyle name="Porcentaje 2 2 2 3 3" xfId="2952" xr:uid="{C0064D67-E947-4F2B-9B44-3A946D69059E}"/>
    <cellStyle name="Porcentaje 2 2 2 3 3 2" xfId="2953" xr:uid="{320C8A4D-D213-4464-8FCA-1200E13754FD}"/>
    <cellStyle name="Porcentaje 2 2 2 3 4" xfId="2954" xr:uid="{3B0629C6-B10B-4FCE-9382-56FBEAA22A62}"/>
    <cellStyle name="Porcentaje 2 2 2 3 4 2" xfId="2955" xr:uid="{0CC2CCF6-D201-4EFC-B866-773520369AA9}"/>
    <cellStyle name="Porcentaje 2 2 2 3 4 3" xfId="2956" xr:uid="{C8B0EF6C-0A77-4737-9B19-1A4C86BA5E29}"/>
    <cellStyle name="Porcentaje 2 2 2 3 5" xfId="2957" xr:uid="{C7313071-B916-42E6-BE9B-EF195769ECE4}"/>
    <cellStyle name="Porcentaje 2 2 2 3 5 2" xfId="2958" xr:uid="{BBC130AA-BE47-481A-BDA5-ED0ABFC087CC}"/>
    <cellStyle name="Porcentaje 2 2 2 3 5 3" xfId="2959" xr:uid="{B174A80E-0DFF-4CF8-8400-58015D614D77}"/>
    <cellStyle name="Porcentaje 2 2 2 3 6" xfId="2960" xr:uid="{5C5A0D5C-CBB4-43EE-9F75-0B728B0191FB}"/>
    <cellStyle name="Porcentaje 2 2 2 3 7" xfId="2961" xr:uid="{1AEE3B0E-2D7E-46C5-90F4-75EC17E565AA}"/>
    <cellStyle name="Porcentaje 2 2 2 3 8" xfId="2962" xr:uid="{C4383CDC-C294-49B2-B6B9-40199BD5BDCF}"/>
    <cellStyle name="Porcentaje 2 2 2 4" xfId="2963" xr:uid="{4AEAC437-9595-463B-9FDF-FB776FC63F10}"/>
    <cellStyle name="Porcentaje 2 2 2 5" xfId="2964" xr:uid="{CF3F0AE2-E95A-4FC1-BFB5-3F6F42E2A2CF}"/>
    <cellStyle name="Porcentaje 2 2 2 5 2" xfId="2965" xr:uid="{09B2E210-BF66-4611-BD70-4B99F4683E37}"/>
    <cellStyle name="Porcentaje 2 2 2 6" xfId="2966" xr:uid="{E60D8EF2-209D-47D1-9BCE-BCC50E712C19}"/>
    <cellStyle name="Porcentaje 2 2 2 6 2" xfId="2967" xr:uid="{CC0683C3-0A7B-4AB0-8925-5016CB58B640}"/>
    <cellStyle name="Porcentaje 2 2 2 6 3" xfId="2968" xr:uid="{4DCA0ED1-D7A8-46A4-A0D5-E00A9E7B85CC}"/>
    <cellStyle name="Porcentaje 2 2 2 7" xfId="2969" xr:uid="{B116267A-9F6B-48DC-BA50-7630ACA00B03}"/>
    <cellStyle name="Porcentaje 2 2 2 7 2" xfId="2970" xr:uid="{5ACF29B9-CC04-456A-A8DD-10F87FE359D2}"/>
    <cellStyle name="Porcentaje 2 2 2 7 3" xfId="2971" xr:uid="{A8E814AD-61E5-4F00-AEE6-75C626C08E6A}"/>
    <cellStyle name="Porcentaje 2 2 2 8" xfId="2972" xr:uid="{CF5B159D-57AF-4F3D-BAD2-E5DF8A22AA85}"/>
    <cellStyle name="Porcentaje 2 2 2 9" xfId="2973" xr:uid="{9C8D8828-F90A-4A29-AD2D-C65BD08951D2}"/>
    <cellStyle name="Porcentaje 2 2 3" xfId="2974" xr:uid="{5823E383-5D23-4D81-9337-BD60CD93C660}"/>
    <cellStyle name="Porcentaje 2 2 3 2" xfId="2975" xr:uid="{D4CFB8D9-77C1-4BD7-903E-5E6F49BD6DC6}"/>
    <cellStyle name="Porcentaje 2 2 3 3" xfId="2976" xr:uid="{DDF78419-C79C-4D1B-9AE3-6541EAAE6BBE}"/>
    <cellStyle name="Porcentaje 2 2 3 3 2" xfId="2977" xr:uid="{D16A8B2B-32CB-45B1-8B32-E42D44E0AB91}"/>
    <cellStyle name="Porcentaje 2 2 3 4" xfId="2978" xr:uid="{EDB2268B-1C7B-426D-8E36-A4E6D870546C}"/>
    <cellStyle name="Porcentaje 2 2 3 4 2" xfId="2979" xr:uid="{6D02829E-6001-4C5E-B73E-2C13F1303375}"/>
    <cellStyle name="Porcentaje 2 2 3 4 3" xfId="2980" xr:uid="{86FEF209-1446-4C3E-BC47-D5D3CCDE452C}"/>
    <cellStyle name="Porcentaje 2 2 3 5" xfId="2981" xr:uid="{37DB06FF-6785-4A3A-8F6E-B25FA4E0C48F}"/>
    <cellStyle name="Porcentaje 2 2 3 5 2" xfId="2982" xr:uid="{D5221C4C-A22F-4817-948F-6373E635BF6D}"/>
    <cellStyle name="Porcentaje 2 2 3 5 3" xfId="2983" xr:uid="{4C9C0C78-5589-4CC2-9484-6AD08EEA6280}"/>
    <cellStyle name="Porcentaje 2 2 3 6" xfId="2984" xr:uid="{7BB714B4-B83A-4F8A-B5F4-1209EFC2822F}"/>
    <cellStyle name="Porcentaje 2 2 3 7" xfId="2985" xr:uid="{ECA0515C-27B9-4343-BE39-E552412F1739}"/>
    <cellStyle name="Porcentaje 2 2 3 8" xfId="2986" xr:uid="{6D0A949A-6E6B-4303-B6D9-859991A9A432}"/>
    <cellStyle name="Porcentaje 2 2 4" xfId="2987" xr:uid="{7C1C0D2A-13F5-416A-9116-416C967D236B}"/>
    <cellStyle name="Porcentaje 2 2 4 2" xfId="2988" xr:uid="{AA62C64F-A085-42A4-95C5-9B237434EF3F}"/>
    <cellStyle name="Porcentaje 2 2 4 3" xfId="2989" xr:uid="{03AACFC3-0706-4840-992E-58F97F4C83A6}"/>
    <cellStyle name="Porcentaje 2 2 4 3 2" xfId="2990" xr:uid="{1D217CBB-2841-4FB8-B5B4-EAC8937E05BE}"/>
    <cellStyle name="Porcentaje 2 2 4 4" xfId="2991" xr:uid="{AF265F70-A775-4F95-A7C9-C44E0783FE22}"/>
    <cellStyle name="Porcentaje 2 2 4 4 2" xfId="2992" xr:uid="{C7ACC696-8F8E-4C1A-9CB4-F3B9F691B4DA}"/>
    <cellStyle name="Porcentaje 2 2 4 4 3" xfId="2993" xr:uid="{52E7BCD4-69F3-4EA7-8718-FB66780305D6}"/>
    <cellStyle name="Porcentaje 2 2 4 5" xfId="2994" xr:uid="{A1ED98EB-5047-4DE3-A14C-91AFB6D8788D}"/>
    <cellStyle name="Porcentaje 2 2 4 5 2" xfId="2995" xr:uid="{AEFE4BBB-2856-4D4F-A8AF-7580D9A08D3F}"/>
    <cellStyle name="Porcentaje 2 2 4 5 3" xfId="2996" xr:uid="{97025A81-E5CB-4486-ABC8-9C40F6DBBD05}"/>
    <cellStyle name="Porcentaje 2 2 4 6" xfId="2997" xr:uid="{048EE283-A164-470E-8FE5-C78531895180}"/>
    <cellStyle name="Porcentaje 2 2 5" xfId="2998" xr:uid="{5B555934-7185-47B6-8CC1-65274A333C8E}"/>
    <cellStyle name="Porcentaje 2 2 6" xfId="2999" xr:uid="{0B1FBF5A-CA53-4705-A142-36B8D130327C}"/>
    <cellStyle name="Porcentaje 2 2 7" xfId="3000" xr:uid="{B3B2D967-0015-4A6B-92AA-B11562FF9678}"/>
    <cellStyle name="Porcentaje 2 2 8" xfId="3001" xr:uid="{32BF54E4-200B-44E6-A83F-DB6F24D26AB1}"/>
    <cellStyle name="Porcentaje 2 2 9" xfId="3002" xr:uid="{FCDEA57C-3B37-42FA-A410-21194F5D61D7}"/>
    <cellStyle name="Porcentaje 2 3" xfId="3003" xr:uid="{E3E5C810-4BD7-4B10-9D4B-18ECBCE6F8A7}"/>
    <cellStyle name="Porcentaje 2 3 2" xfId="3004" xr:uid="{5DEF2B2A-9256-4FD6-83DF-741A8403A25F}"/>
    <cellStyle name="Porcentaje 2 3 2 2" xfId="3005" xr:uid="{653314E2-BD58-45EE-A0BA-FF0B2D648CEF}"/>
    <cellStyle name="Porcentaje 2 3 2 3" xfId="3006" xr:uid="{E84CCA7B-A156-4DA9-BCDB-58E06D34DF5C}"/>
    <cellStyle name="Porcentaje 2 3 2 3 2" xfId="3007" xr:uid="{B566A6A9-1EED-470B-A15A-332C3EC45FCE}"/>
    <cellStyle name="Porcentaje 2 3 2 4" xfId="3008" xr:uid="{3CD5FA35-460B-4869-8C1B-4FE04A98624F}"/>
    <cellStyle name="Porcentaje 2 3 2 4 2" xfId="3009" xr:uid="{E5344DB2-BCF9-4E87-AD9F-4E49B8317CE4}"/>
    <cellStyle name="Porcentaje 2 3 2 4 3" xfId="3010" xr:uid="{52DAA4AB-18AE-4B91-8930-16BF734B3A7A}"/>
    <cellStyle name="Porcentaje 2 3 2 5" xfId="3011" xr:uid="{46C4553A-770C-4F10-9B3E-94560EADBA71}"/>
    <cellStyle name="Porcentaje 2 3 2 5 2" xfId="3012" xr:uid="{8585A49A-A737-483C-926A-6C7466B2E5BE}"/>
    <cellStyle name="Porcentaje 2 3 2 5 3" xfId="3013" xr:uid="{E489B1AA-B1A9-4B31-8CA4-5BAA2C2CFAD0}"/>
    <cellStyle name="Porcentaje 2 3 2 6" xfId="3014" xr:uid="{BE54BCCA-48A5-44AE-ADF5-F609BECC8965}"/>
    <cellStyle name="Porcentaje 2 3 2 7" xfId="3015" xr:uid="{5A70C1A9-3CE7-447A-8EC3-5A5DAF6CA7BF}"/>
    <cellStyle name="Porcentaje 2 3 2 8" xfId="3016" xr:uid="{693C8B6F-A249-495F-A802-D69243E31CCD}"/>
    <cellStyle name="Porcentaje 2 3 3" xfId="3017" xr:uid="{BF6DF0DD-A234-4FA5-B921-B38273474DD7}"/>
    <cellStyle name="Porcentaje 2 3 4" xfId="3018" xr:uid="{B4BF0459-2A9E-44AF-9480-5537AEDA0DBF}"/>
    <cellStyle name="Porcentaje 2 3 4 2" xfId="3019" xr:uid="{3EAB13BD-B19E-4F47-B618-2EFFD509CA61}"/>
    <cellStyle name="Porcentaje 2 3 5" xfId="3020" xr:uid="{7A6503A6-5FBC-44E8-A1EF-1D017D9FBB6A}"/>
    <cellStyle name="Porcentaje 2 3 5 2" xfId="3021" xr:uid="{BAE6ADC1-4080-46FD-BCE8-4ADFD1912A50}"/>
    <cellStyle name="Porcentaje 2 3 5 3" xfId="3022" xr:uid="{4C33DE66-C8C9-4BBC-B66E-D3E31D26057E}"/>
    <cellStyle name="Porcentaje 2 3 6" xfId="3023" xr:uid="{2ECCB44A-D602-412C-ADC1-B6D90E2C719D}"/>
    <cellStyle name="Porcentaje 2 3 6 2" xfId="3024" xr:uid="{ECF6F939-CC5C-48EF-BE8D-3E0737F6EF84}"/>
    <cellStyle name="Porcentaje 2 3 6 3" xfId="3025" xr:uid="{EA76E494-124B-437D-A4C3-E310F038FBC1}"/>
    <cellStyle name="Porcentaje 2 3 7" xfId="3026" xr:uid="{E7CBC3AC-4993-452F-8C76-0690747F1449}"/>
    <cellStyle name="Porcentaje 2 3 8" xfId="3027" xr:uid="{BF7A86B1-BEBB-4584-B0E0-CF7F334376E4}"/>
    <cellStyle name="Porcentaje 2 3 9" xfId="3028" xr:uid="{C0BEFBA3-2586-4D2B-8C08-20633ED2E5AD}"/>
    <cellStyle name="Porcentaje 2 4" xfId="3029" xr:uid="{C8D2935D-0E3B-4E6A-81F4-14E2B5BBA1E5}"/>
    <cellStyle name="Porcentaje 2 4 2" xfId="3030" xr:uid="{FF9C3452-E475-4063-ABF6-CC16997FE030}"/>
    <cellStyle name="Porcentaje 2 4 2 2" xfId="3031" xr:uid="{E34BB0ED-75EF-431F-A350-F5442B136AA8}"/>
    <cellStyle name="Porcentaje 2 4 2 3" xfId="3032" xr:uid="{89A3F4B3-7D34-4A28-B304-5113AB470D2D}"/>
    <cellStyle name="Porcentaje 2 4 2 3 2" xfId="3033" xr:uid="{746AE354-56C3-48BB-812F-25E8C67C6F0E}"/>
    <cellStyle name="Porcentaje 2 4 2 4" xfId="3034" xr:uid="{8B777AE6-6C61-4BF7-AEDB-6E7737B9906B}"/>
    <cellStyle name="Porcentaje 2 4 2 4 2" xfId="3035" xr:uid="{0426735D-192B-4B0D-9F8F-1198BCD9AE3A}"/>
    <cellStyle name="Porcentaje 2 4 2 4 3" xfId="3036" xr:uid="{11935E13-4893-4B0C-8F03-CF767C1F86AF}"/>
    <cellStyle name="Porcentaje 2 4 2 5" xfId="3037" xr:uid="{1E0311A6-D36F-43A2-AB19-3C2AB1D78D00}"/>
    <cellStyle name="Porcentaje 2 4 2 5 2" xfId="3038" xr:uid="{2B9952D1-ED35-4790-A3FF-F63594D943C5}"/>
    <cellStyle name="Porcentaje 2 4 2 5 3" xfId="3039" xr:uid="{4E999DFB-83C2-4FE0-B6DB-138CE5E49981}"/>
    <cellStyle name="Porcentaje 2 4 2 6" xfId="3040" xr:uid="{E85CD893-4DF9-436A-8828-B7FA2129A207}"/>
    <cellStyle name="Porcentaje 2 4 2 7" xfId="3041" xr:uid="{E02D1A43-BA18-4324-B68A-2B5E6F92E64A}"/>
    <cellStyle name="Porcentaje 2 4 2 8" xfId="3042" xr:uid="{B441E3AE-DF3E-4496-92B0-F93625051D71}"/>
    <cellStyle name="Porcentaje 2 4 3" xfId="3043" xr:uid="{141154FD-6162-4508-B81B-B1D2DD3941C9}"/>
    <cellStyle name="Porcentaje 2 4 4" xfId="3044" xr:uid="{202661C5-B4AD-471E-9122-C2E51A92D186}"/>
    <cellStyle name="Porcentaje 2 4 4 2" xfId="3045" xr:uid="{5A8CBB88-61C2-4EDA-AF87-1F4AA18E1F03}"/>
    <cellStyle name="Porcentaje 2 4 5" xfId="3046" xr:uid="{E64B952A-DB26-4CBD-8E73-F94538866B86}"/>
    <cellStyle name="Porcentaje 2 4 5 2" xfId="3047" xr:uid="{3338366A-9719-4C42-B424-AEED317B069E}"/>
    <cellStyle name="Porcentaje 2 4 5 3" xfId="3048" xr:uid="{7F818FB2-6F16-4ACB-938F-859062940F67}"/>
    <cellStyle name="Porcentaje 2 4 6" xfId="3049" xr:uid="{36A4769E-5A77-438D-8485-D5E02B83D8DC}"/>
    <cellStyle name="Porcentaje 2 4 6 2" xfId="3050" xr:uid="{65C1B893-814F-4E1B-B9CD-402F13943E43}"/>
    <cellStyle name="Porcentaje 2 4 6 3" xfId="3051" xr:uid="{1F02B792-399C-4412-A922-88D6BA40573E}"/>
    <cellStyle name="Porcentaje 2 4 7" xfId="3052" xr:uid="{E97DFC87-EFF0-4A68-9AAF-C7B9F42D07F2}"/>
    <cellStyle name="Porcentaje 2 4 8" xfId="3053" xr:uid="{052BA12F-2676-4ACC-85A9-CAA2948BA72C}"/>
    <cellStyle name="Porcentaje 2 4 9" xfId="3054" xr:uid="{ECEE6325-EE2C-4AF5-AC21-88A5B0ED1D8E}"/>
    <cellStyle name="Porcentaje 2 5" xfId="3055" xr:uid="{6C6A5B64-C7F0-4BE5-A5F3-1BDFE74D60E8}"/>
    <cellStyle name="Porcentaje 2 5 2" xfId="3056" xr:uid="{73E887A1-57E4-4161-9AAA-6AEB7C7AD887}"/>
    <cellStyle name="Porcentaje 2 5 3" xfId="3057" xr:uid="{82563B7D-535A-4966-9B54-3C7269F6D178}"/>
    <cellStyle name="Porcentaje 2 5 3 2" xfId="3058" xr:uid="{59AD7492-0B09-4142-A4CC-19B22648EB7F}"/>
    <cellStyle name="Porcentaje 2 5 4" xfId="3059" xr:uid="{6A61D086-F60F-47D2-B1F0-CA10D7049483}"/>
    <cellStyle name="Porcentaje 2 5 4 2" xfId="3060" xr:uid="{F223CB6E-57BD-410C-8A23-3137031E4DD3}"/>
    <cellStyle name="Porcentaje 2 5 4 3" xfId="3061" xr:uid="{BDD82FE2-CBB5-4E3C-99ED-2F04EF8AAE27}"/>
    <cellStyle name="Porcentaje 2 5 5" xfId="3062" xr:uid="{90699BD0-A9C9-4AC5-BF7F-603443196E64}"/>
    <cellStyle name="Porcentaje 2 5 5 2" xfId="3063" xr:uid="{D1051359-2073-4130-A444-5F4E5788EEC8}"/>
    <cellStyle name="Porcentaje 2 5 5 3" xfId="3064" xr:uid="{B2A0BC8F-0BB3-4868-889E-1000BA12C63B}"/>
    <cellStyle name="Porcentaje 2 5 6" xfId="3065" xr:uid="{E0E00DBB-800F-4A99-BD45-529687C65375}"/>
    <cellStyle name="Porcentaje 2 5 7" xfId="3066" xr:uid="{09E11A44-9820-4EE4-B574-01B2D2F14B25}"/>
    <cellStyle name="Porcentaje 2 5 8" xfId="3067" xr:uid="{76D07F34-5726-49DC-909B-257C3532B24A}"/>
    <cellStyle name="Porcentaje 2 6" xfId="3068" xr:uid="{23EE290C-C3F1-4F2A-9489-49C94EB856EE}"/>
    <cellStyle name="Porcentaje 2 6 2" xfId="3069" xr:uid="{5F90C1DD-8945-4417-8ED1-736D01798841}"/>
    <cellStyle name="Porcentaje 2 6 3" xfId="3070" xr:uid="{E51CDAE4-C9E8-49A5-BC05-94FA23F11C87}"/>
    <cellStyle name="Porcentaje 2 6 3 2" xfId="3071" xr:uid="{84A421E0-082C-4BB0-90BE-72D8BC106F6A}"/>
    <cellStyle name="Porcentaje 2 6 4" xfId="3072" xr:uid="{FB1D6FF2-DA6A-4404-8332-C29026CD109E}"/>
    <cellStyle name="Porcentaje 2 6 4 2" xfId="3073" xr:uid="{2C1B2088-9FE4-4E8B-A3E5-5C7705166C72}"/>
    <cellStyle name="Porcentaje 2 6 4 3" xfId="3074" xr:uid="{654BF88B-B6CD-4E7B-A1C9-3D3511D64B99}"/>
    <cellStyle name="Porcentaje 2 6 5" xfId="3075" xr:uid="{7266A2E1-DFC5-4803-9EB0-3CC6DBAD255F}"/>
    <cellStyle name="Porcentaje 2 6 5 2" xfId="3076" xr:uid="{FFDB6259-DB31-4CC0-9548-3E6A7A57B77E}"/>
    <cellStyle name="Porcentaje 2 6 5 3" xfId="3077" xr:uid="{8889DD67-3376-4ABA-98F2-AF94823C4017}"/>
    <cellStyle name="Porcentaje 2 6 6" xfId="3078" xr:uid="{F83361BF-400B-4E92-B42F-27EA664C7D5C}"/>
    <cellStyle name="Porcentaje 2 7" xfId="3079" xr:uid="{1B0FE1EB-660E-434C-BD85-AD958D18419C}"/>
    <cellStyle name="Porcentaje 2 7 2" xfId="3080" xr:uid="{C4F75D0E-DD60-464C-80B3-5D1E9C8D8C13}"/>
    <cellStyle name="Porcentaje 2 7 3" xfId="3081" xr:uid="{7C449ACC-4391-499D-8F21-953E6D4C9430}"/>
    <cellStyle name="Porcentaje 2 8" xfId="3082" xr:uid="{BEF929B4-AB80-420C-918D-643B5DC81613}"/>
    <cellStyle name="Porcentaje 2 9" xfId="3083" xr:uid="{B6CDFCEA-92EF-4379-8B1E-3C759C6674C0}"/>
    <cellStyle name="Porcentaje 3" xfId="3084" xr:uid="{B757666D-A408-43C4-838F-6EE5E3211DA5}"/>
    <cellStyle name="Porcentaje 3 2" xfId="3085" xr:uid="{E781949A-ED59-43ED-AB7C-A829C0BC9655}"/>
    <cellStyle name="Porcentaje 4" xfId="3086" xr:uid="{3F766F2D-C51C-4361-A5F1-500984B48252}"/>
    <cellStyle name="Porcentaje 4 2" xfId="3087" xr:uid="{0136CAAA-AF6A-41F2-AACD-5C8E7D1A2CC7}"/>
    <cellStyle name="Porcentaje 4 2 2" xfId="3088" xr:uid="{91948062-F3BD-4314-86A5-924301E6ACE5}"/>
    <cellStyle name="Porcentaje 4 2 3" xfId="3089" xr:uid="{631229F7-CB2B-4F8E-8BD3-ED74F2A43431}"/>
    <cellStyle name="Porcentaje 4 2 3 2" xfId="3090" xr:uid="{83F48C82-AEE3-4201-BAC8-B191315E315A}"/>
    <cellStyle name="Porcentaje 4 2 4" xfId="3091" xr:uid="{CFA6D0D3-EBB5-48A3-A938-FA43AAE3491D}"/>
    <cellStyle name="Porcentaje 4 2 4 2" xfId="3092" xr:uid="{9BBA37C3-B521-456A-8160-E59EC4860D85}"/>
    <cellStyle name="Porcentaje 4 2 4 3" xfId="3093" xr:uid="{3262749D-CC98-4A8E-B07A-8F53A53CCE2E}"/>
    <cellStyle name="Porcentaje 4 2 5" xfId="3094" xr:uid="{77996B40-91B1-4D67-8FDF-ED4D4ED3BF06}"/>
    <cellStyle name="Porcentaje 4 2 5 2" xfId="3095" xr:uid="{00747319-62BC-4757-87F8-D0A2D69C97D6}"/>
    <cellStyle name="Porcentaje 4 2 5 3" xfId="3096" xr:uid="{3500171A-6086-457F-B232-D40CC767978F}"/>
    <cellStyle name="Porcentaje 4 2 6" xfId="3097" xr:uid="{DD925187-633F-4D47-979E-0993DDC941C2}"/>
    <cellStyle name="Porcentaje 4 2 7" xfId="3098" xr:uid="{FF4159D4-F80F-4E39-BA12-AAB978940925}"/>
    <cellStyle name="Porcentaje 4 2 8" xfId="3099" xr:uid="{12A1DFE9-62C3-4713-B243-1B455BD6A850}"/>
    <cellStyle name="Porcentaje 4 3" xfId="3100" xr:uid="{48D30B69-6406-42F5-9129-1E6D6D994DD8}"/>
    <cellStyle name="Porcentaje 4 3 2" xfId="3101" xr:uid="{92C4D38A-B2D1-4CEB-9646-F41251D84432}"/>
    <cellStyle name="Porcentaje 4 3 3" xfId="3102" xr:uid="{9A5FCAA6-5643-4DD4-B5F2-64016FDB1678}"/>
    <cellStyle name="Porcentaje 4 3 3 2" xfId="3103" xr:uid="{E01CCDE1-0C9A-4CE8-BCD3-2C42D6533163}"/>
    <cellStyle name="Porcentaje 4 3 4" xfId="3104" xr:uid="{A17ABDD5-B551-4CDB-8D08-5F6B39BC2488}"/>
    <cellStyle name="Porcentaje 4 3 4 2" xfId="3105" xr:uid="{7BD64980-C269-4A1E-B3CB-D0D4533CAC1C}"/>
    <cellStyle name="Porcentaje 4 3 4 3" xfId="3106" xr:uid="{3C538DF3-34FB-4DDD-840C-BDA247419800}"/>
    <cellStyle name="Porcentaje 4 3 5" xfId="3107" xr:uid="{AD2AF635-18F3-4DEC-8F7D-1F519B889901}"/>
    <cellStyle name="Porcentaje 4 3 5 2" xfId="3108" xr:uid="{62DDC0D1-9448-430F-813B-951C2FFA082B}"/>
    <cellStyle name="Porcentaje 4 3 5 3" xfId="3109" xr:uid="{00B0B014-FB04-4E7F-B292-C355D2525C6B}"/>
    <cellStyle name="Porcentaje 4 3 6" xfId="3110" xr:uid="{A924238A-1ECA-4237-BA9C-044DE87A10A6}"/>
    <cellStyle name="Porcentaje 4 4" xfId="3111" xr:uid="{D83ABDD2-4550-4480-BD04-EE1A502C4C18}"/>
    <cellStyle name="Porcentaje 4 5" xfId="3112" xr:uid="{5AA57B0B-9FA8-48A2-82BB-91BFCA6E5B04}"/>
    <cellStyle name="Porcentaje 4 6" xfId="3113" xr:uid="{5094D030-EDE4-4604-89A3-247F1517C280}"/>
    <cellStyle name="Porcentaje 4 7" xfId="3114" xr:uid="{8B3B1090-5909-4E41-A8C1-8965608A6D62}"/>
    <cellStyle name="Porcentaje 4 8" xfId="3115" xr:uid="{2EA836A6-8B2E-4543-9EB5-CD0FFA0BA1A6}"/>
    <cellStyle name="Porcentaje 4 9" xfId="3116" xr:uid="{6D6657AF-1A3C-42EB-8CC6-DFF045F9AA3A}"/>
    <cellStyle name="Porcentaje 5" xfId="3117" xr:uid="{0A3D75A2-7036-442E-9DC3-6D2C4CBD2343}"/>
    <cellStyle name="Porcentaje 5 2" xfId="3118" xr:uid="{48CB5674-8690-4ECA-A653-45D6F4B24002}"/>
    <cellStyle name="Porcentaje 5 2 2" xfId="3119" xr:uid="{27D367BE-FD72-4E5A-9F82-C777DDAEEFEF}"/>
    <cellStyle name="Porcentaje 5 2 3" xfId="3120" xr:uid="{42099698-937E-4038-94AB-98CFC44E949D}"/>
    <cellStyle name="Porcentaje 5 2 3 2" xfId="3121" xr:uid="{28590F35-58B6-4525-9141-C3D3641812BF}"/>
    <cellStyle name="Porcentaje 5 2 4" xfId="3122" xr:uid="{3CDF8B39-C369-4E25-94C4-F6AE546F35AF}"/>
    <cellStyle name="Porcentaje 5 2 4 2" xfId="3123" xr:uid="{5C7E7876-DA3D-4546-8395-97C11BFD016E}"/>
    <cellStyle name="Porcentaje 5 2 4 3" xfId="3124" xr:uid="{C9F11DEE-8A6B-4B99-AFCB-1DDCFBA7A555}"/>
    <cellStyle name="Porcentaje 5 2 5" xfId="3125" xr:uid="{54A2101D-2D78-4609-8B40-CEC78F8836AB}"/>
    <cellStyle name="Porcentaje 5 2 5 2" xfId="3126" xr:uid="{7099D065-CE97-40F4-A9BB-05CF7D03A28A}"/>
    <cellStyle name="Porcentaje 5 2 5 3" xfId="3127" xr:uid="{CC28EE5C-5B60-4C53-A725-9EAD55476A33}"/>
    <cellStyle name="Porcentaje 5 2 6" xfId="3128" xr:uid="{77F63C5D-2FE8-447E-90F4-7A8A13A7DCAE}"/>
    <cellStyle name="Porcentaje 5 2 7" xfId="3129" xr:uid="{DE186FB0-84CF-45E8-805B-F7AE6010D5E3}"/>
    <cellStyle name="Porcentaje 5 2 8" xfId="3130" xr:uid="{44CABD5B-F89B-4B0B-BFF0-A1A28F050D51}"/>
    <cellStyle name="Porcentaje 5 3" xfId="3131" xr:uid="{49242D3F-0F09-47FF-A4E1-3B1AF044C510}"/>
    <cellStyle name="Porcentaje 5 4" xfId="3132" xr:uid="{C6F4FAA2-163A-4F35-9D6B-78D7D6463CDF}"/>
    <cellStyle name="Porcentaje 5 4 2" xfId="3133" xr:uid="{3E40D019-DB33-4F9A-87DD-7A74A11A7360}"/>
    <cellStyle name="Porcentaje 5 5" xfId="3134" xr:uid="{538A2D35-74EC-4148-B312-9BA602918DA6}"/>
    <cellStyle name="Porcentaje 5 5 2" xfId="3135" xr:uid="{920D102E-F315-4F1F-8D5A-1D8DD17CBFFA}"/>
    <cellStyle name="Porcentaje 5 5 3" xfId="3136" xr:uid="{F4CC927B-2FC0-4BD7-AD92-F0788D3B78A7}"/>
    <cellStyle name="Porcentaje 5 6" xfId="3137" xr:uid="{0596FBCA-E864-4842-B5E2-6BE7BB557493}"/>
    <cellStyle name="Porcentaje 5 6 2" xfId="3138" xr:uid="{0F44DF35-89BF-473B-8254-AA09A33A3CF9}"/>
    <cellStyle name="Porcentaje 5 6 3" xfId="3139" xr:uid="{3AA7270F-878C-4502-AE33-19F0790A3B65}"/>
    <cellStyle name="Porcentaje 5 7" xfId="3140" xr:uid="{19087065-96AB-43AB-B2B5-6A4C85107FB8}"/>
    <cellStyle name="Porcentaje 5 8" xfId="3141" xr:uid="{EA980EE0-FC3C-45C0-AE2B-2A75A2750C4D}"/>
    <cellStyle name="Porcentaje 5 9" xfId="3142" xr:uid="{8B597B92-1BEB-43D8-B271-E19B307981D2}"/>
    <cellStyle name="Porcentaje 6" xfId="3143" xr:uid="{0AE77384-FCF3-4A49-B8C3-A59FF9146DE1}"/>
    <cellStyle name="Porcentaje 7" xfId="3144" xr:uid="{2CDD964B-AF1E-4676-9154-EAA0A4668B62}"/>
    <cellStyle name="Porcentaje 7 2" xfId="3145" xr:uid="{C3C3DD78-B338-4B34-9E7D-49A4E795B895}"/>
    <cellStyle name="Porcentaje 7 3" xfId="3146" xr:uid="{E26E43C1-93DF-4E71-ADFB-0FFBA6D85C9C}"/>
    <cellStyle name="Porcentaje 8" xfId="3147" xr:uid="{BEB38CD0-2ABC-46A9-B54D-13F3BA2327BF}"/>
    <cellStyle name="Porcentaje 9" xfId="3148" xr:uid="{1C4CF07D-F4B6-49F5-B599-57F3F7BF23E9}"/>
    <cellStyle name="Porcentual 10" xfId="3149" xr:uid="{9FE7E25F-314D-4867-94CF-F50ABBFDC163}"/>
    <cellStyle name="Porcentual 11" xfId="3150" xr:uid="{01B884F4-5DB2-4662-B5DE-85F6D0E5C8C1}"/>
    <cellStyle name="Porcentual 12" xfId="3151" xr:uid="{55A341B7-4EB0-44D1-974F-E5A48E3BB770}"/>
    <cellStyle name="Porcentual 13" xfId="3152" xr:uid="{3491351D-F8C2-484F-A15E-0F214944CCAB}"/>
    <cellStyle name="Porcentual 14" xfId="3153" xr:uid="{B4B89759-65BC-4265-8E33-4B88E3A2A023}"/>
    <cellStyle name="Porcentual 15" xfId="3154" xr:uid="{557BF745-216B-4253-8B06-4A06212726F1}"/>
    <cellStyle name="Porcentual 16" xfId="3155" xr:uid="{03A98954-8765-4AE6-A35E-1ADF63A56A66}"/>
    <cellStyle name="Porcentual 17" xfId="3156" xr:uid="{8843073A-1CD7-4AAD-83B9-F3EEC697D485}"/>
    <cellStyle name="Porcentual 18" xfId="3157" xr:uid="{517AE8D6-59B4-4DE0-9596-355A993AC2A2}"/>
    <cellStyle name="Porcentual 19" xfId="3158" xr:uid="{29926B6B-0101-4944-999C-29CB0E202227}"/>
    <cellStyle name="Porcentual 2" xfId="3159" xr:uid="{BAB8920C-46BD-41A0-B20C-59913C1761CA}"/>
    <cellStyle name="Porcentual 2 10" xfId="3160" xr:uid="{6F379BD0-0369-4805-A720-E981B02ADB04}"/>
    <cellStyle name="Porcentual 2 10 2" xfId="3161" xr:uid="{2A72AB06-4FE3-4894-9CAB-2CB7D879A224}"/>
    <cellStyle name="Porcentual 2 11" xfId="3162" xr:uid="{16D3F724-25CA-4821-918C-8F439C3896B2}"/>
    <cellStyle name="Porcentual 2 11 2" xfId="3163" xr:uid="{DB3927EF-C644-4B8E-97BA-060371D40562}"/>
    <cellStyle name="Porcentual 2 12" xfId="3164" xr:uid="{6E77FF2E-2E04-4D5C-95EC-264F4A05DD2B}"/>
    <cellStyle name="Porcentual 2 12 2" xfId="3165" xr:uid="{EB2E664C-1B49-4156-8E40-5DF2535A3F81}"/>
    <cellStyle name="Porcentual 2 13" xfId="3166" xr:uid="{C2582195-D9D4-47D0-A807-D5DEDEDA613A}"/>
    <cellStyle name="Porcentual 2 13 2" xfId="3167" xr:uid="{379D4BDE-8336-4557-811F-FEBC7D277142}"/>
    <cellStyle name="Porcentual 2 14" xfId="3168" xr:uid="{52BFE750-5262-4FC3-BC6B-FD2667F9A771}"/>
    <cellStyle name="Porcentual 2 14 2" xfId="3169" xr:uid="{1BC2F83D-7EFB-4F0B-9B01-CA6189457E65}"/>
    <cellStyle name="Porcentual 2 15" xfId="3170" xr:uid="{46566315-181D-47D5-BAAC-ABA6722E068B}"/>
    <cellStyle name="Porcentual 2 15 2" xfId="3171" xr:uid="{7B1EDED2-A4BD-4E25-9142-E36D41E99F44}"/>
    <cellStyle name="Porcentual 2 16" xfId="3172" xr:uid="{14172BFB-6576-45C2-B79F-D5EF9EFF418B}"/>
    <cellStyle name="Porcentual 2 16 2" xfId="3173" xr:uid="{BBEC4F66-5BE9-4445-BD4F-006E012E3B1F}"/>
    <cellStyle name="Porcentual 2 17" xfId="3174" xr:uid="{17F839EF-DE94-4B4A-8769-99EA73462927}"/>
    <cellStyle name="Porcentual 2 17 2" xfId="3175" xr:uid="{DA42EF5B-3264-448C-B734-6C2C5B7B0BC2}"/>
    <cellStyle name="Porcentual 2 18" xfId="3176" xr:uid="{F213A182-79E8-40FA-AE57-4B22FBE93657}"/>
    <cellStyle name="Porcentual 2 18 2" xfId="3177" xr:uid="{05ACEF79-9FB9-4B12-89EC-BD0BDB60A2EC}"/>
    <cellStyle name="Porcentual 2 19" xfId="3178" xr:uid="{4D6CF26C-6A62-4ABE-B3F5-20916BCD26D1}"/>
    <cellStyle name="Porcentual 2 19 2" xfId="3179" xr:uid="{67C29B2F-4D75-4605-BD43-615130DF4106}"/>
    <cellStyle name="Porcentual 2 19 3" xfId="3180" xr:uid="{92F4070E-32CE-4CD6-9E89-903146042DB4}"/>
    <cellStyle name="Porcentual 2 19 3 2" xfId="3181" xr:uid="{ADA2D6E9-9D03-4D13-A34E-620B1E7A647F}"/>
    <cellStyle name="Porcentual 2 19 4" xfId="3182" xr:uid="{589D4A48-9511-4130-AE32-4524DE471E8A}"/>
    <cellStyle name="Porcentual 2 19 4 2" xfId="3183" xr:uid="{F6242E62-1B94-4268-A3A1-B45BA02BB38A}"/>
    <cellStyle name="Porcentual 2 19 4 3" xfId="3184" xr:uid="{CC48427C-61A2-40B9-AC91-44E489952BF4}"/>
    <cellStyle name="Porcentual 2 19 5" xfId="3185" xr:uid="{0DC55711-87C9-4FE7-8F04-154FF9DDA216}"/>
    <cellStyle name="Porcentual 2 19 5 2" xfId="3186" xr:uid="{6421A82D-358A-4D78-BA26-22B17BC160E5}"/>
    <cellStyle name="Porcentual 2 19 5 3" xfId="3187" xr:uid="{4180673D-6DCE-4595-8C4B-740B76575D44}"/>
    <cellStyle name="Porcentual 2 19 6" xfId="3188" xr:uid="{F5CCBCB0-B7D7-4534-A641-9EF240C61E28}"/>
    <cellStyle name="Porcentual 2 19 7" xfId="3189" xr:uid="{7CDFA549-176F-420D-B419-6353E4DB2AA9}"/>
    <cellStyle name="Porcentual 2 19 8" xfId="3190" xr:uid="{D334E3FD-5DF3-45CE-82AA-9B1EAF0478A9}"/>
    <cellStyle name="Porcentual 2 2" xfId="3191" xr:uid="{4EA2062C-D677-450D-887E-95BC08FC2528}"/>
    <cellStyle name="Porcentual 2 2 2" xfId="3192" xr:uid="{D4690BA6-86FA-405B-8229-1EED17C327B3}"/>
    <cellStyle name="Porcentual 2 2 2 2" xfId="3193" xr:uid="{32539090-9F8D-419B-BA94-41CE774EE261}"/>
    <cellStyle name="Porcentual 2 2 2 3" xfId="3194" xr:uid="{73A1263C-8D51-4F31-A289-4FEBC2F0219D}"/>
    <cellStyle name="Porcentual 2 2 2 3 2" xfId="3195" xr:uid="{DBCFFE68-436F-4D90-9CDD-FDF8E2F6FEF5}"/>
    <cellStyle name="Porcentual 2 2 2 4" xfId="3196" xr:uid="{57656E74-E785-4035-B8DB-DAB92715CC19}"/>
    <cellStyle name="Porcentual 2 2 2 4 2" xfId="3197" xr:uid="{F16CB4EC-0C3F-4B09-B96D-72E9FB114AEE}"/>
    <cellStyle name="Porcentual 2 2 2 4 3" xfId="3198" xr:uid="{3ABA6D65-DEF7-4D8C-8046-AA221DB58162}"/>
    <cellStyle name="Porcentual 2 2 2 5" xfId="3199" xr:uid="{D0CF489F-51EC-4E4A-AD5A-7B8F91F0F54C}"/>
    <cellStyle name="Porcentual 2 2 2 5 2" xfId="3200" xr:uid="{762A784F-829C-445A-B4B0-FFEDCD27E872}"/>
    <cellStyle name="Porcentual 2 2 2 5 3" xfId="3201" xr:uid="{8B5505D6-4ECC-4F99-B59E-CA933F6DDFEC}"/>
    <cellStyle name="Porcentual 2 2 2 6" xfId="3202" xr:uid="{43AF2B2D-F330-4D92-B2B7-2F66779C6B4C}"/>
    <cellStyle name="Porcentual 2 2 2 7" xfId="3203" xr:uid="{AA48512D-A30D-4C24-956E-CF1CA3761E12}"/>
    <cellStyle name="Porcentual 2 2 2 8" xfId="3204" xr:uid="{BAA5B3A6-1BB6-4220-A195-A0D2BED17635}"/>
    <cellStyle name="Porcentual 2 20" xfId="3205" xr:uid="{651AE15B-6608-4271-9EF3-1148599A5BC7}"/>
    <cellStyle name="Porcentual 2 21" xfId="3206" xr:uid="{8B392B38-F4E7-458C-8136-2E1BF6A1F138}"/>
    <cellStyle name="Porcentual 2 22" xfId="3207" xr:uid="{48EADEB5-5B44-44CD-A69E-FF9CD840BA36}"/>
    <cellStyle name="Porcentual 2 23" xfId="3208" xr:uid="{3969C9C6-A99D-464A-94FF-F34F5E40AC4D}"/>
    <cellStyle name="Porcentual 2 24" xfId="3209" xr:uid="{3EC7291A-16DF-4389-A933-C6E789AC90E2}"/>
    <cellStyle name="Porcentual 2 25" xfId="3210" xr:uid="{EB80DC79-EE16-46C0-BE66-63B6578FC42E}"/>
    <cellStyle name="Porcentual 2 26" xfId="3211" xr:uid="{EF4C7374-04FE-4516-B1CC-15F5CA56EB6B}"/>
    <cellStyle name="Porcentual 2 27" xfId="3212" xr:uid="{F90F90DF-CA68-4B73-91D3-9BDF9C052403}"/>
    <cellStyle name="Porcentual 2 28" xfId="3213" xr:uid="{FE0F0F31-6ED0-4133-9A38-327B19B7B1C7}"/>
    <cellStyle name="Porcentual 2 29" xfId="3214" xr:uid="{CEEBDDDE-6A94-434C-ABEB-3F8AF72CC40E}"/>
    <cellStyle name="Porcentual 2 3" xfId="3215" xr:uid="{F9215A17-4F9E-46CF-A056-5DF423585C08}"/>
    <cellStyle name="Porcentual 2 3 2" xfId="3216" xr:uid="{F57768EA-63DD-4221-B335-97C63942B17D}"/>
    <cellStyle name="Porcentual 2 30" xfId="3217" xr:uid="{0F96DD74-5B84-4425-9C4F-8B90A554BFAE}"/>
    <cellStyle name="Porcentual 2 31" xfId="3218" xr:uid="{4645F51C-533D-47FB-B583-23850B4377EB}"/>
    <cellStyle name="Porcentual 2 32" xfId="3219" xr:uid="{F539CEF3-6AC2-4F08-83B7-9A29DC50A669}"/>
    <cellStyle name="Porcentual 2 33" xfId="3220" xr:uid="{59802BCC-9288-4857-AE2A-0918388A22FF}"/>
    <cellStyle name="Porcentual 2 34" xfId="3221" xr:uid="{EC49F692-286B-4440-8518-AD71B8384D2B}"/>
    <cellStyle name="Porcentual 2 35" xfId="3222" xr:uid="{F1ACAF47-4CE5-4994-8D3D-EA7D55F9913E}"/>
    <cellStyle name="Porcentual 2 36" xfId="3223" xr:uid="{007A69A8-FF52-4979-9C93-84280D498996}"/>
    <cellStyle name="Porcentual 2 37" xfId="3224" xr:uid="{8FE3129E-4991-4ED6-AFD3-A603504DAD8F}"/>
    <cellStyle name="Porcentual 2 38" xfId="3225" xr:uid="{31509888-F43D-4F62-9C5B-A125174D1067}"/>
    <cellStyle name="Porcentual 2 39" xfId="3226" xr:uid="{4EB3B7E5-A912-4637-9BB0-8CCFDC48EC58}"/>
    <cellStyle name="Porcentual 2 4" xfId="3227" xr:uid="{D58608CD-D948-4399-B5EC-9AA55D4A5078}"/>
    <cellStyle name="Porcentual 2 4 2" xfId="3228" xr:uid="{5961FC9C-1E37-4BBC-A533-8B5D8CED3EF4}"/>
    <cellStyle name="Porcentual 2 40" xfId="3229" xr:uid="{64587AC1-05C0-444D-926E-53AFFDF0D7C7}"/>
    <cellStyle name="Porcentual 2 41" xfId="3230" xr:uid="{20B9524D-CB09-44EE-A281-D2D29B697D04}"/>
    <cellStyle name="Porcentual 2 42" xfId="3231" xr:uid="{D43036AC-28CD-41F4-B864-B7637367110F}"/>
    <cellStyle name="Porcentual 2 43" xfId="3232" xr:uid="{23F8A9DC-7C6A-4BBC-9BDA-FD9CEDF644E6}"/>
    <cellStyle name="Porcentual 2 44" xfId="3233" xr:uid="{BDDE323F-35E9-43E2-A603-AC27D19C231D}"/>
    <cellStyle name="Porcentual 2 45" xfId="3234" xr:uid="{516E5C83-1A1C-492B-88AF-094B9EFF1B2D}"/>
    <cellStyle name="Porcentual 2 46" xfId="3235" xr:uid="{1379E811-166C-4D02-A792-311660486EC5}"/>
    <cellStyle name="Porcentual 2 47" xfId="3236" xr:uid="{FD81625A-5799-409A-A6A1-09BE5FF4DB3C}"/>
    <cellStyle name="Porcentual 2 48" xfId="3237" xr:uid="{740850E2-C64C-4165-BF23-390B5DFE6F4E}"/>
    <cellStyle name="Porcentual 2 49" xfId="3238" xr:uid="{FC4D85A3-C0A5-4965-82AA-B064CD722A98}"/>
    <cellStyle name="Porcentual 2 5" xfId="3239" xr:uid="{8149C1BE-BEDB-4528-89D3-9DA994BE1335}"/>
    <cellStyle name="Porcentual 2 5 2" xfId="3240" xr:uid="{5730DD25-8DA9-47DF-83CA-2A2AB77116EB}"/>
    <cellStyle name="Porcentual 2 50" xfId="3241" xr:uid="{621B0312-2C84-4EA1-94E5-BB1CDA9E10D5}"/>
    <cellStyle name="Porcentual 2 51" xfId="3242" xr:uid="{01BAF4BE-A0E6-47F9-94B4-0426A2697C3A}"/>
    <cellStyle name="Porcentual 2 52" xfId="3243" xr:uid="{FA387F3E-F2D7-420A-A07F-249964C074BD}"/>
    <cellStyle name="Porcentual 2 53" xfId="3244" xr:uid="{B260C8A5-39E0-4AF8-9F27-B9CF41A103D0}"/>
    <cellStyle name="Porcentual 2 54" xfId="3245" xr:uid="{AE5E91DC-6D21-45B8-B28B-DC05A79E65C7}"/>
    <cellStyle name="Porcentual 2 55" xfId="3246" xr:uid="{1BEA355F-C00E-486E-9184-192035627B3E}"/>
    <cellStyle name="Porcentual 2 56" xfId="3247" xr:uid="{8257B97E-D32E-42C6-8B9C-0E2BBB0DEE7D}"/>
    <cellStyle name="Porcentual 2 57" xfId="3248" xr:uid="{ABD21111-B018-4463-A6D9-1A6BEE5D6CFF}"/>
    <cellStyle name="Porcentual 2 58" xfId="3249" xr:uid="{8BC5BB3D-DEB9-4AA1-9E76-C39FFC94D67A}"/>
    <cellStyle name="Porcentual 2 59" xfId="3250" xr:uid="{C67E94BB-AD46-4240-BEEB-3FAB97BA37F1}"/>
    <cellStyle name="Porcentual 2 6" xfId="3251" xr:uid="{E2204BA8-F757-4CBE-9046-BAA5D9D4007C}"/>
    <cellStyle name="Porcentual 2 6 2" xfId="3252" xr:uid="{B72E438B-E532-4BE9-A753-9951C2C8D7F1}"/>
    <cellStyle name="Porcentual 2 60" xfId="3253" xr:uid="{45CBDC65-7B66-4B07-A647-C2E04B35C9C3}"/>
    <cellStyle name="Porcentual 2 61" xfId="3254" xr:uid="{B4790608-4E53-434F-BCFF-ACC191091AFC}"/>
    <cellStyle name="Porcentual 2 62" xfId="3255" xr:uid="{102CDBD3-6888-4583-902F-017EB9B97951}"/>
    <cellStyle name="Porcentual 2 63" xfId="3256" xr:uid="{506ACABC-2235-4A61-93C1-2E9C3140DD94}"/>
    <cellStyle name="Porcentual 2 64" xfId="3257" xr:uid="{AFEC8001-3B74-49EF-AC40-15D8EF80DB26}"/>
    <cellStyle name="Porcentual 2 65" xfId="3258" xr:uid="{E021245C-0D12-4B5B-9AAE-70272F76F1E2}"/>
    <cellStyle name="Porcentual 2 66" xfId="3259" xr:uid="{380B3246-E416-41A1-B4CD-71D65CCACB24}"/>
    <cellStyle name="Porcentual 2 67" xfId="3260" xr:uid="{9CAEA16F-FD5B-444B-8FE5-06E88AE2A7A8}"/>
    <cellStyle name="Porcentual 2 7" xfId="3261" xr:uid="{367E9BC6-CC7B-401B-B4D5-07E718A45845}"/>
    <cellStyle name="Porcentual 2 7 2" xfId="3262" xr:uid="{479BE216-1E14-4EDD-B818-8AE843732DE6}"/>
    <cellStyle name="Porcentual 2 8" xfId="3263" xr:uid="{BA5C70DD-7C23-40CA-928B-AB71C8832D17}"/>
    <cellStyle name="Porcentual 2 8 2" xfId="3264" xr:uid="{B05DCCAF-7A66-488C-BD48-FB30CA6877BC}"/>
    <cellStyle name="Porcentual 2 9" xfId="3265" xr:uid="{EB850648-0679-4BF6-B646-2446CF68A680}"/>
    <cellStyle name="Porcentual 2 9 2" xfId="3266" xr:uid="{1BD03DC1-2A73-421A-88C3-D989B1EEAADD}"/>
    <cellStyle name="Porcentual 20" xfId="3267" xr:uid="{C86F78F6-A836-4829-900E-02DB36A1C2EF}"/>
    <cellStyle name="Porcentual 21" xfId="3268" xr:uid="{B1303074-9BEE-4732-9980-AAB2F28E51BC}"/>
    <cellStyle name="Porcentual 22" xfId="3269" xr:uid="{208DA874-A55B-481D-AEA3-ADF884000FD6}"/>
    <cellStyle name="Porcentual 23" xfId="3270" xr:uid="{7F52D657-4909-4F7A-96E1-8A96C5AAFDA6}"/>
    <cellStyle name="Porcentual 24" xfId="3271" xr:uid="{750FC22E-3C9F-4DFC-893C-649A13C71FDD}"/>
    <cellStyle name="Porcentual 25" xfId="3272" xr:uid="{6EB6FBAE-323A-4D10-BFD7-E57CE5B73551}"/>
    <cellStyle name="Porcentual 26" xfId="3273" xr:uid="{BD2E9037-7641-40ED-8F09-4F629ED9E913}"/>
    <cellStyle name="Porcentual 27" xfId="3274" xr:uid="{8ADFE71F-A55B-4523-8B4E-F94E5E6736E9}"/>
    <cellStyle name="Porcentual 28" xfId="3275" xr:uid="{72896A22-F86C-439C-B033-CA9162C6B5FE}"/>
    <cellStyle name="Porcentual 29" xfId="3276" xr:uid="{B19ADD86-8B0F-4C21-95B6-CB17980EF9B7}"/>
    <cellStyle name="Porcentual 3" xfId="3277" xr:uid="{0A16617B-AEA6-472C-946A-8CBA67BBD85E}"/>
    <cellStyle name="Porcentual 3 10" xfId="3278" xr:uid="{DB58B893-FDBA-4376-9457-358C1E881311}"/>
    <cellStyle name="Porcentual 3 11" xfId="3279" xr:uid="{6FA9BD5E-BE62-4374-A04F-28766F07B7EF}"/>
    <cellStyle name="Porcentual 3 12" xfId="3280" xr:uid="{A6415B34-4F01-4D01-8558-895C90207DE0}"/>
    <cellStyle name="Porcentual 3 13" xfId="3281" xr:uid="{E75E91D2-9B2D-4FAE-AA4D-1729EA8FB2B7}"/>
    <cellStyle name="Porcentual 3 14" xfId="3282" xr:uid="{3D008B1F-A13C-4017-BC22-400EF3D43036}"/>
    <cellStyle name="Porcentual 3 15" xfId="3283" xr:uid="{58005F7D-B8F8-4602-BD96-D94485FC7B30}"/>
    <cellStyle name="Porcentual 3 16" xfId="3284" xr:uid="{8817D265-8E10-4227-BED3-8619D72376DC}"/>
    <cellStyle name="Porcentual 3 17" xfId="3285" xr:uid="{514D125F-D392-4F7B-815C-8EF174EAC993}"/>
    <cellStyle name="Porcentual 3 18" xfId="3286" xr:uid="{3E423D77-7523-4474-92A2-0F2E805A1469}"/>
    <cellStyle name="Porcentual 3 19" xfId="3287" xr:uid="{37309F2E-94EA-4887-B8CD-3EBDD6FA03A9}"/>
    <cellStyle name="Porcentual 3 2" xfId="3288" xr:uid="{38466C9E-8AFF-4D8F-A93D-9AF8E02D06D7}"/>
    <cellStyle name="Porcentual 3 20" xfId="3289" xr:uid="{4919D540-5998-460C-BB3E-233B76428A47}"/>
    <cellStyle name="Porcentual 3 20 2" xfId="3290" xr:uid="{7E31E11E-5FFC-425A-AB8D-6AC2AEE71190}"/>
    <cellStyle name="Porcentual 3 20 2 2" xfId="3291" xr:uid="{244590FC-88C1-4029-9916-5B91E16C1288}"/>
    <cellStyle name="Porcentual 3 20 2 3" xfId="3292" xr:uid="{F23EA8E1-C5A6-4408-9DBC-A8FF4073674C}"/>
    <cellStyle name="Porcentual 3 20 2 3 2" xfId="3293" xr:uid="{31CEF816-8796-4A47-A7AB-DE3A9ED1730D}"/>
    <cellStyle name="Porcentual 3 20 2 4" xfId="3294" xr:uid="{219A7B67-819B-4A18-A0AA-B9CEE4E5D9F7}"/>
    <cellStyle name="Porcentual 3 20 2 4 2" xfId="3295" xr:uid="{10FF26A4-10C7-40F8-9179-337B90D84817}"/>
    <cellStyle name="Porcentual 3 20 2 4 3" xfId="3296" xr:uid="{574752C1-C0CA-4AB5-B9A2-0954724713B2}"/>
    <cellStyle name="Porcentual 3 20 2 5" xfId="3297" xr:uid="{DF574F7F-3C06-4A72-8B7B-9A7E022F212E}"/>
    <cellStyle name="Porcentual 3 20 2 5 2" xfId="3298" xr:uid="{667FF645-1206-46C7-9FEF-C5CF5BB7A73F}"/>
    <cellStyle name="Porcentual 3 20 2 5 3" xfId="3299" xr:uid="{90F17D23-9F9E-4A2B-B438-3B569A28A138}"/>
    <cellStyle name="Porcentual 3 20 2 6" xfId="3300" xr:uid="{374AABA5-96C1-4225-8CDB-26EA62AA884E}"/>
    <cellStyle name="Porcentual 3 20 2 7" xfId="3301" xr:uid="{26058CF3-7A66-4F80-B7B0-91DC5A02D12F}"/>
    <cellStyle name="Porcentual 3 20 2 8" xfId="3302" xr:uid="{110D4389-3FDC-4BB8-B921-C08867945744}"/>
    <cellStyle name="Porcentual 3 20 3" xfId="3303" xr:uid="{A5A05CC4-963D-495B-A066-B091C984950F}"/>
    <cellStyle name="Porcentual 3 20 4" xfId="3304" xr:uid="{8B64F816-5B81-446D-A247-E28E53853FAE}"/>
    <cellStyle name="Porcentual 3 20 4 2" xfId="3305" xr:uid="{EA237392-55CD-4D45-B088-5BD085998D47}"/>
    <cellStyle name="Porcentual 3 20 5" xfId="3306" xr:uid="{5DCE2AE0-87DB-41A3-90DF-D75F7C3C18C3}"/>
    <cellStyle name="Porcentual 3 20 5 2" xfId="3307" xr:uid="{0AC93128-177D-447F-BA93-478DFEF3E0D6}"/>
    <cellStyle name="Porcentual 3 20 5 3" xfId="3308" xr:uid="{869E7EF3-C6CC-4DBD-AD61-1EC46076F6E6}"/>
    <cellStyle name="Porcentual 3 20 6" xfId="3309" xr:uid="{A46172DF-5F52-4C95-BE0F-B2091F839902}"/>
    <cellStyle name="Porcentual 3 20 6 2" xfId="3310" xr:uid="{144904F4-71DC-4F05-A3E8-3ACBD9C93A92}"/>
    <cellStyle name="Porcentual 3 20 6 3" xfId="3311" xr:uid="{42349FB8-0D7C-4C56-A562-F52C064B5931}"/>
    <cellStyle name="Porcentual 3 20 7" xfId="3312" xr:uid="{81DF2D5D-91BA-40D0-8E68-F854AE8E78A3}"/>
    <cellStyle name="Porcentual 3 20 8" xfId="3313" xr:uid="{A6EB9128-0846-4A7F-AEC3-8AC1AC542893}"/>
    <cellStyle name="Porcentual 3 20 9" xfId="3314" xr:uid="{E64395EB-5347-4935-B1F0-5057D92EAD60}"/>
    <cellStyle name="Porcentual 3 21" xfId="3315" xr:uid="{9C8879DD-C8A1-42A4-A50A-F1C1368DF3B0}"/>
    <cellStyle name="Porcentual 3 21 2" xfId="3316" xr:uid="{B6600941-30DB-4D22-9CF7-2525978D55A5}"/>
    <cellStyle name="Porcentual 3 21 2 2" xfId="3317" xr:uid="{FDDDCBCF-AC5D-4ECF-9451-7319589504BE}"/>
    <cellStyle name="Porcentual 3 21 2 3" xfId="3318" xr:uid="{B3A007F8-A2D7-40AF-A6A2-973F689BFC72}"/>
    <cellStyle name="Porcentual 3 21 2 3 2" xfId="3319" xr:uid="{0C84CC9B-678E-4A68-90AD-E5C78D179DDA}"/>
    <cellStyle name="Porcentual 3 21 2 4" xfId="3320" xr:uid="{5AFBC277-2D98-4360-86C7-9A84A2F06E23}"/>
    <cellStyle name="Porcentual 3 21 2 4 2" xfId="3321" xr:uid="{87EBA520-F151-453E-AC3E-90FF29F67534}"/>
    <cellStyle name="Porcentual 3 21 2 4 3" xfId="3322" xr:uid="{35AB3A29-9993-4905-95E7-43731F72653E}"/>
    <cellStyle name="Porcentual 3 21 2 5" xfId="3323" xr:uid="{6762BADA-21E8-4F07-A1A1-DC340EB05945}"/>
    <cellStyle name="Porcentual 3 21 2 5 2" xfId="3324" xr:uid="{4FF67C77-2792-4B80-9D8D-93AD92ABA4C4}"/>
    <cellStyle name="Porcentual 3 21 2 5 3" xfId="3325" xr:uid="{AD08B7D5-057C-47DE-9030-DC8A9EBBF885}"/>
    <cellStyle name="Porcentual 3 21 2 6" xfId="3326" xr:uid="{657E5AF2-C3B8-4DC2-AD36-F299F6516926}"/>
    <cellStyle name="Porcentual 3 21 2 7" xfId="3327" xr:uid="{9A50C7B3-DA5B-48E3-AB92-9934A375D651}"/>
    <cellStyle name="Porcentual 3 21 2 8" xfId="3328" xr:uid="{ADB8C496-3526-4C80-BF3B-82971478875A}"/>
    <cellStyle name="Porcentual 3 21 3" xfId="3329" xr:uid="{14C9C00A-D981-4D53-8331-EA7E1F3B2690}"/>
    <cellStyle name="Porcentual 3 21 4" xfId="3330" xr:uid="{7B7923C5-2FF7-4183-AB4E-C2ADD0ECB3CF}"/>
    <cellStyle name="Porcentual 3 21 4 2" xfId="3331" xr:uid="{D449F02F-345A-49B0-87AA-0F573B69E448}"/>
    <cellStyle name="Porcentual 3 21 5" xfId="3332" xr:uid="{88B19A02-C58D-4986-A873-13143CDD32D9}"/>
    <cellStyle name="Porcentual 3 21 5 2" xfId="3333" xr:uid="{733AB1DC-4889-445B-B5F2-99424C05CF7B}"/>
    <cellStyle name="Porcentual 3 21 5 3" xfId="3334" xr:uid="{C546A4B0-FA68-491D-A563-4F2208BADE02}"/>
    <cellStyle name="Porcentual 3 21 6" xfId="3335" xr:uid="{D1A422CC-1458-44E3-A822-BAACC4C019A1}"/>
    <cellStyle name="Porcentual 3 21 6 2" xfId="3336" xr:uid="{DCC609CE-57EC-424C-89A8-1AC93380129F}"/>
    <cellStyle name="Porcentual 3 21 6 3" xfId="3337" xr:uid="{71975DDD-360D-4EE1-B78B-B1CE7AEF91BC}"/>
    <cellStyle name="Porcentual 3 21 7" xfId="3338" xr:uid="{78206CE1-9B2B-41BB-8943-8865AA868568}"/>
    <cellStyle name="Porcentual 3 21 8" xfId="3339" xr:uid="{22A020A5-99C4-47A3-9A56-DF948AD11E51}"/>
    <cellStyle name="Porcentual 3 21 9" xfId="3340" xr:uid="{6347EA29-47E8-4C03-B5DE-75132F02026D}"/>
    <cellStyle name="Porcentual 3 22" xfId="3341" xr:uid="{227F1261-73EA-4319-B6B9-400296C7066F}"/>
    <cellStyle name="Porcentual 3 22 2" xfId="3342" xr:uid="{8A7FC16A-D191-40F7-98C9-9100B0F6CF92}"/>
    <cellStyle name="Porcentual 3 22 3" xfId="3343" xr:uid="{711FFE84-6C7F-4C88-87AB-2151FC1E2902}"/>
    <cellStyle name="Porcentual 3 22 3 2" xfId="3344" xr:uid="{1124086F-66CF-429B-947A-E0C7F5546D1A}"/>
    <cellStyle name="Porcentual 3 22 4" xfId="3345" xr:uid="{9C303F61-ED18-4C27-8835-DCDA8FAD14F2}"/>
    <cellStyle name="Porcentual 3 22 4 2" xfId="3346" xr:uid="{197F1892-A765-4C6D-A2DB-CB894ACB191F}"/>
    <cellStyle name="Porcentual 3 22 4 3" xfId="3347" xr:uid="{3708DC1B-F659-40E8-8151-5EEAEFE71D33}"/>
    <cellStyle name="Porcentual 3 22 5" xfId="3348" xr:uid="{50D2D9A3-3FBC-469A-9CD3-E00F3C8D8345}"/>
    <cellStyle name="Porcentual 3 22 5 2" xfId="3349" xr:uid="{7F3C1CDA-C2AE-429A-ADE1-69D0C6ADF654}"/>
    <cellStyle name="Porcentual 3 22 5 3" xfId="3350" xr:uid="{0A455DC7-DB22-4F66-9991-45045793C0E1}"/>
    <cellStyle name="Porcentual 3 22 6" xfId="3351" xr:uid="{6E03F607-E709-40E3-A525-0020871D8ED9}"/>
    <cellStyle name="Porcentual 3 22 7" xfId="3352" xr:uid="{EA30A2DD-0C10-4BC1-8F57-22D0A3A94D5F}"/>
    <cellStyle name="Porcentual 3 22 8" xfId="3353" xr:uid="{452B42F9-895E-482F-BC23-43F081426F31}"/>
    <cellStyle name="Porcentual 3 23" xfId="3354" xr:uid="{7F00E50A-8F13-4A88-B6F3-7893ABD334B5}"/>
    <cellStyle name="Porcentual 3 23 2" xfId="3355" xr:uid="{CFE12E53-AC93-4411-B84E-97C1C80BB844}"/>
    <cellStyle name="Porcentual 3 23 3" xfId="3356" xr:uid="{4592353F-F975-4F62-8668-579CE48B1E86}"/>
    <cellStyle name="Porcentual 3 23 3 2" xfId="3357" xr:uid="{35778259-3A65-488B-AB25-EAD191EAFE90}"/>
    <cellStyle name="Porcentual 3 23 4" xfId="3358" xr:uid="{261719D1-575E-47E5-8FAF-06EE8FD6B73E}"/>
    <cellStyle name="Porcentual 3 23 4 2" xfId="3359" xr:uid="{499A4EB3-7336-4A16-9456-ECBBFE961F93}"/>
    <cellStyle name="Porcentual 3 23 4 3" xfId="3360" xr:uid="{02030B52-CA19-4B10-B934-0F296FE98435}"/>
    <cellStyle name="Porcentual 3 23 5" xfId="3361" xr:uid="{D5DEDAF2-5756-49C0-83C7-63E153ECA0A3}"/>
    <cellStyle name="Porcentual 3 23 5 2" xfId="3362" xr:uid="{7CFF227B-170C-483B-BD93-6B71728DDC3A}"/>
    <cellStyle name="Porcentual 3 23 5 3" xfId="3363" xr:uid="{60DEA822-6DFD-414A-ABD1-E3BAC184CC7D}"/>
    <cellStyle name="Porcentual 3 23 6" xfId="3364" xr:uid="{9DFDB207-AE57-4299-A0CA-93F68D733606}"/>
    <cellStyle name="Porcentual 3 24" xfId="3365" xr:uid="{BA11F2C4-1AD5-42C2-A2A1-A5E842AA08AF}"/>
    <cellStyle name="Porcentual 3 25" xfId="3366" xr:uid="{953BD760-E903-4C15-8072-8BC81F8078ED}"/>
    <cellStyle name="Porcentual 3 26" xfId="3367" xr:uid="{642CCD86-B76A-4DF1-95FD-51A221BB7FE7}"/>
    <cellStyle name="Porcentual 3 27" xfId="3368" xr:uid="{B4B8A3E5-227D-4C04-A92B-4DF6119FA785}"/>
    <cellStyle name="Porcentual 3 28" xfId="3369" xr:uid="{81C54130-FB8F-4299-B150-D81DC086AE22}"/>
    <cellStyle name="Porcentual 3 29" xfId="3370" xr:uid="{8A1D7986-C484-429A-85C9-6473594AD6DB}"/>
    <cellStyle name="Porcentual 3 3" xfId="3371" xr:uid="{72A8C15B-9A11-4A5D-8DEC-3C3E0C4732EA}"/>
    <cellStyle name="Porcentual 3 4" xfId="3372" xr:uid="{FD9D1106-5648-4325-97E1-73BD1130A6D0}"/>
    <cellStyle name="Porcentual 3 5" xfId="3373" xr:uid="{3A4A05A0-32B0-470E-A906-835021BCD20E}"/>
    <cellStyle name="Porcentual 3 6" xfId="3374" xr:uid="{CF942540-32D0-467F-80C9-E22C55D18A31}"/>
    <cellStyle name="Porcentual 3 7" xfId="3375" xr:uid="{95D26B17-AE86-4779-90F5-D03AEE374D8D}"/>
    <cellStyle name="Porcentual 3 8" xfId="3376" xr:uid="{1C773E21-DF57-4B93-93CE-640CF1C616B9}"/>
    <cellStyle name="Porcentual 3 9" xfId="3377" xr:uid="{E5E7923B-6543-4B9E-961A-83E8338CE335}"/>
    <cellStyle name="Porcentual 30" xfId="3378" xr:uid="{A2AFFD62-CFCC-4461-B9FD-742D2CA1AEEB}"/>
    <cellStyle name="Porcentual 31" xfId="3379" xr:uid="{92612D17-F535-48DA-9104-1431AABB7156}"/>
    <cellStyle name="Porcentual 32" xfId="3380" xr:uid="{56FCBBD2-07FA-4FC0-A0ED-C10A3597852D}"/>
    <cellStyle name="Porcentual 33" xfId="3381" xr:uid="{51FB00A1-10BE-4BB4-961C-8F34ED729AA5}"/>
    <cellStyle name="Porcentual 34" xfId="3382" xr:uid="{93AD809E-EC63-4CF3-A8A5-72735552C348}"/>
    <cellStyle name="Porcentual 35" xfId="3383" xr:uid="{CDDB2456-BCE3-485C-BAB9-97B72D085B00}"/>
    <cellStyle name="Porcentual 36" xfId="3384" xr:uid="{F8746772-F40F-40A8-B402-918451F9579E}"/>
    <cellStyle name="Porcentual 37" xfId="3385" xr:uid="{E1951717-E903-4F43-A658-59E1E74CA0C6}"/>
    <cellStyle name="Porcentual 38" xfId="3386" xr:uid="{4B8D9C79-06A9-4844-BB8F-E8DC56E4F02E}"/>
    <cellStyle name="Porcentual 39" xfId="3387" xr:uid="{2AB2A156-5FB6-4C84-BB9D-9DC9462B4E4C}"/>
    <cellStyle name="Porcentual 4" xfId="3388" xr:uid="{89FBEF55-8F35-4033-8D3D-D5CFE2FF8896}"/>
    <cellStyle name="Porcentual 4 2" xfId="3389" xr:uid="{E07FB007-94FB-4CC2-A25E-BDC463A8943C}"/>
    <cellStyle name="Porcentual 4 3" xfId="3390" xr:uid="{22F77EAC-7521-4D2A-9F14-E32BEDE746F4}"/>
    <cellStyle name="Porcentual 4 4" xfId="3391" xr:uid="{EE81606A-BE67-4E17-AA89-1BD56408A8E0}"/>
    <cellStyle name="Porcentual 40" xfId="3392" xr:uid="{6FDE98EA-70CD-4E17-87D8-5F3317B27231}"/>
    <cellStyle name="Porcentual 41" xfId="3393" xr:uid="{1FAF0CB5-AD83-44E4-B0C9-775E753EBA22}"/>
    <cellStyle name="Porcentual 42" xfId="3394" xr:uid="{3D146290-EDE5-42F9-A147-CC89459AB169}"/>
    <cellStyle name="Porcentual 43" xfId="3395" xr:uid="{FA2A1D03-8B10-4417-A311-C58792E10EB6}"/>
    <cellStyle name="Porcentual 44" xfId="3396" xr:uid="{F7738378-C4BD-4F14-8D22-4416AE5804A8}"/>
    <cellStyle name="Porcentual 45" xfId="3397" xr:uid="{C1C9473E-B0A9-4147-8BCA-C018CA7A7CD8}"/>
    <cellStyle name="Porcentual 46" xfId="3398" xr:uid="{BA9C2D0A-D1EC-47E3-8F50-D5B03C7456B9}"/>
    <cellStyle name="Porcentual 47" xfId="3399" xr:uid="{6395EF0E-4904-4D4E-B1CC-036C8C1E3B30}"/>
    <cellStyle name="Porcentual 48" xfId="3400" xr:uid="{823A9637-462F-4B33-B234-1532E692D038}"/>
    <cellStyle name="Porcentual 49" xfId="3401" xr:uid="{4E35C2A2-46D3-483B-922A-AD707CBF088B}"/>
    <cellStyle name="Porcentual 5" xfId="3402" xr:uid="{EC5A7658-585C-4526-AEF5-A35FFAC7FFF7}"/>
    <cellStyle name="Porcentual 5 2" xfId="3403" xr:uid="{39F519BA-3265-4822-94E9-09D7C6FA6880}"/>
    <cellStyle name="Porcentual 5 2 2" xfId="3404" xr:uid="{CE8CDF73-0253-4E67-A67B-2A3579F1EA42}"/>
    <cellStyle name="Porcentual 5 2 3" xfId="3405" xr:uid="{0351D469-F4A0-4F9D-9B5F-148FABD7096D}"/>
    <cellStyle name="Porcentual 5 2 3 2" xfId="3406" xr:uid="{9DC4000D-5468-4356-B1BD-5E03B8F01F91}"/>
    <cellStyle name="Porcentual 5 2 4" xfId="3407" xr:uid="{E996471E-DE3D-41CE-A34C-4D3196A8A496}"/>
    <cellStyle name="Porcentual 5 2 4 2" xfId="3408" xr:uid="{BFA7F860-1E70-4229-974B-664C06F45571}"/>
    <cellStyle name="Porcentual 5 2 4 3" xfId="3409" xr:uid="{9F64558A-9E0A-46D9-8ABC-AD82BB602F2E}"/>
    <cellStyle name="Porcentual 5 2 5" xfId="3410" xr:uid="{1F54CE90-192A-4A40-8ABD-23025C3563BB}"/>
    <cellStyle name="Porcentual 5 2 5 2" xfId="3411" xr:uid="{A6C57A29-97F6-4C14-A27D-8435428B7C41}"/>
    <cellStyle name="Porcentual 5 2 5 3" xfId="3412" xr:uid="{3966BBBC-3D51-474C-BA6B-47A902BAA5C3}"/>
    <cellStyle name="Porcentual 5 2 6" xfId="3413" xr:uid="{493A0163-86A3-4160-AD89-826F5BF1E198}"/>
    <cellStyle name="Porcentual 5 2 7" xfId="3414" xr:uid="{C9708C57-9088-4329-A01E-ABF104A18CF9}"/>
    <cellStyle name="Porcentual 5 2 8" xfId="3415" xr:uid="{4D12AA23-93DB-4F53-8DE4-C2781D141375}"/>
    <cellStyle name="Porcentual 5 3" xfId="3416" xr:uid="{14F660B9-DC33-47BD-8AD0-503A3CE15161}"/>
    <cellStyle name="Porcentual 5 3 2" xfId="3417" xr:uid="{3A171830-8E0A-4201-98F3-76B21F182174}"/>
    <cellStyle name="Porcentual 5 3 3" xfId="3418" xr:uid="{1F872A09-191F-46CD-A848-46B23B03C01A}"/>
    <cellStyle name="Porcentual 5 3 3 2" xfId="3419" xr:uid="{355F27F6-20AB-438B-8E16-C52D90D30876}"/>
    <cellStyle name="Porcentual 5 3 4" xfId="3420" xr:uid="{0E660051-1736-4A75-9E5B-C06313A58DFD}"/>
    <cellStyle name="Porcentual 5 3 4 2" xfId="3421" xr:uid="{6707BCCF-8B89-4805-9C96-DF19D0513B71}"/>
    <cellStyle name="Porcentual 5 3 4 3" xfId="3422" xr:uid="{A2192EAB-2212-43F6-A3CE-7C20341D70EB}"/>
    <cellStyle name="Porcentual 5 3 5" xfId="3423" xr:uid="{1452DA89-D3FF-46A8-B520-2DA6F145E78E}"/>
    <cellStyle name="Porcentual 5 3 5 2" xfId="3424" xr:uid="{FF55EBAF-1FF4-43FC-8931-82FB4648E353}"/>
    <cellStyle name="Porcentual 5 3 5 3" xfId="3425" xr:uid="{58DC90BC-35E0-43ED-8690-0065E9DC7B75}"/>
    <cellStyle name="Porcentual 5 3 6" xfId="3426" xr:uid="{C2D406DF-B47E-45B7-865E-CE8797CCB16C}"/>
    <cellStyle name="Porcentual 5 3 7" xfId="3427" xr:uid="{DE7C99B4-2407-4186-AED0-ECDB712C4850}"/>
    <cellStyle name="Porcentual 5 3 8" xfId="3428" xr:uid="{A9F04AB9-A329-4B93-A458-FDDD08DC9C00}"/>
    <cellStyle name="Porcentual 5 4" xfId="3429" xr:uid="{B5C2715B-147C-4AC1-97A3-B44D44BEE17C}"/>
    <cellStyle name="Porcentual 50" xfId="3430" xr:uid="{4257E363-100A-4988-BB04-8790AD37FF4E}"/>
    <cellStyle name="Porcentual 51" xfId="3431" xr:uid="{69B7DE23-947C-4E9B-AD79-35D81B238B69}"/>
    <cellStyle name="Porcentual 52" xfId="3432" xr:uid="{D47BF32E-CDBE-4012-AB52-82243F04B3B3}"/>
    <cellStyle name="Porcentual 53" xfId="3433" xr:uid="{5CAEF710-F6F0-48BB-A1E1-22F0AB9B0603}"/>
    <cellStyle name="Porcentual 54" xfId="3434" xr:uid="{6B085B97-C300-4513-A54E-F3141D0C4FF9}"/>
    <cellStyle name="Porcentual 55" xfId="3435" xr:uid="{C8D910BA-0CC4-4365-A341-9E3E507A7EB6}"/>
    <cellStyle name="Porcentual 56" xfId="3436" xr:uid="{2FB88CBA-CFA8-45B1-B6C6-221664BC7418}"/>
    <cellStyle name="Porcentual 57" xfId="3437" xr:uid="{1B0A08E5-DE77-40E8-9AA4-852BF56C3806}"/>
    <cellStyle name="Porcentual 58" xfId="3438" xr:uid="{EC0A55E6-31CF-4B31-BD49-EAA73B6E132D}"/>
    <cellStyle name="Porcentual 59" xfId="3439" xr:uid="{C87DC450-426A-4F41-A3C8-E6AC3B3CCEE9}"/>
    <cellStyle name="Porcentual 6" xfId="3440" xr:uid="{7CC0363A-1FDA-4401-90B3-5CD75383F36B}"/>
    <cellStyle name="Porcentual 6 10" xfId="3441" xr:uid="{43642A0C-0BEC-4735-B3E9-D152C20E5666}"/>
    <cellStyle name="Porcentual 6 10 2" xfId="3442" xr:uid="{F748FA90-01AD-4980-A6DB-F68CBF623EDA}"/>
    <cellStyle name="Porcentual 6 10 3" xfId="3443" xr:uid="{41461AF6-F304-43AC-ABE7-E08A79BA71D7}"/>
    <cellStyle name="Porcentual 6 11" xfId="3444" xr:uid="{196F4A72-5A39-449B-816F-F72480D9743E}"/>
    <cellStyle name="Porcentual 6 11 2" xfId="3445" xr:uid="{7FE340AA-78D6-4303-950F-BD057F0F177F}"/>
    <cellStyle name="Porcentual 6 11 3" xfId="3446" xr:uid="{D60E9F8C-4CC0-4083-94A8-CCD6BED59D61}"/>
    <cellStyle name="Porcentual 6 12" xfId="3447" xr:uid="{17087884-9887-4A05-B0F1-8D88552E5213}"/>
    <cellStyle name="Porcentual 6 13" xfId="3448" xr:uid="{E914F279-4213-4AE7-A106-641037162C0E}"/>
    <cellStyle name="Porcentual 6 14" xfId="3449" xr:uid="{8544CC1D-8DD1-4985-A342-DF86DB8192B7}"/>
    <cellStyle name="Porcentual 6 2" xfId="3450" xr:uid="{E170B5A3-F028-4ACD-AD7D-990981276C12}"/>
    <cellStyle name="Porcentual 6 2 10" xfId="3451" xr:uid="{FD00CEF7-D55D-47B8-9D20-7225F6755BAC}"/>
    <cellStyle name="Porcentual 6 2 11" xfId="3452" xr:uid="{E4222F87-C308-4DE8-A322-7D344B8D5920}"/>
    <cellStyle name="Porcentual 6 2 12" xfId="3453" xr:uid="{8B988F37-5ABF-460F-9970-459E1B293A65}"/>
    <cellStyle name="Porcentual 6 2 2" xfId="3454" xr:uid="{0283DAAD-F6CA-4FDE-91D2-EFD6B3608D81}"/>
    <cellStyle name="Porcentual 6 2 2 2" xfId="3455" xr:uid="{D9513630-6166-43A3-9D03-C19DC5AA1D04}"/>
    <cellStyle name="Porcentual 6 2 2 2 2" xfId="3456" xr:uid="{619DF26F-0F42-4F66-A18A-35E8AC35DD7E}"/>
    <cellStyle name="Porcentual 6 2 2 2 3" xfId="3457" xr:uid="{99A8B88D-E825-42FA-AD87-BF15CD600ED6}"/>
    <cellStyle name="Porcentual 6 2 2 2 3 2" xfId="3458" xr:uid="{EA453660-885B-4423-A994-BBF395856C1B}"/>
    <cellStyle name="Porcentual 6 2 2 2 4" xfId="3459" xr:uid="{60953D05-8CF8-42B7-A483-778D30A7FBF4}"/>
    <cellStyle name="Porcentual 6 2 2 2 4 2" xfId="3460" xr:uid="{5408E831-5A87-4677-8FB7-432AC970AFE5}"/>
    <cellStyle name="Porcentual 6 2 2 2 4 3" xfId="3461" xr:uid="{933CE6DB-DBD9-4EED-A4DE-8610FD216600}"/>
    <cellStyle name="Porcentual 6 2 2 2 5" xfId="3462" xr:uid="{2FD82545-5E74-42EB-818E-5FA7149D9108}"/>
    <cellStyle name="Porcentual 6 2 2 2 5 2" xfId="3463" xr:uid="{E423B693-AD89-45E5-96A7-33C09551DBF7}"/>
    <cellStyle name="Porcentual 6 2 2 2 5 3" xfId="3464" xr:uid="{4982620C-D6D7-4AD0-93F0-E7E11AA4874E}"/>
    <cellStyle name="Porcentual 6 2 2 2 6" xfId="3465" xr:uid="{CA5AC0D9-6F71-41AC-86E8-AF6935F8644B}"/>
    <cellStyle name="Porcentual 6 2 2 2 7" xfId="3466" xr:uid="{201070A7-A464-48C2-BAE5-03F3A4327B19}"/>
    <cellStyle name="Porcentual 6 2 2 2 8" xfId="3467" xr:uid="{15801C81-845F-450C-A597-409341D7FD36}"/>
    <cellStyle name="Porcentual 6 2 2 3" xfId="3468" xr:uid="{61E38F61-C092-4E8E-B8F0-83F8D1C728CD}"/>
    <cellStyle name="Porcentual 6 2 2 4" xfId="3469" xr:uid="{83DFAFAC-3465-48FF-BA8B-921DC12B6454}"/>
    <cellStyle name="Porcentual 6 2 2 4 2" xfId="3470" xr:uid="{E2CA3ABF-6303-472B-92B2-D4871CE3FA23}"/>
    <cellStyle name="Porcentual 6 2 2 5" xfId="3471" xr:uid="{0E53F81D-C36A-41EC-A03F-86913ED84774}"/>
    <cellStyle name="Porcentual 6 2 2 5 2" xfId="3472" xr:uid="{57D3D15F-16A3-484C-9835-DC885012AF9B}"/>
    <cellStyle name="Porcentual 6 2 2 5 3" xfId="3473" xr:uid="{388A7BD4-C7AC-4DDD-A4A7-76DF49A9D2A5}"/>
    <cellStyle name="Porcentual 6 2 2 6" xfId="3474" xr:uid="{F946E2F2-DD06-4BD1-961F-19FD9FA387CA}"/>
    <cellStyle name="Porcentual 6 2 2 6 2" xfId="3475" xr:uid="{7323DF8B-F361-4738-89D1-1072C79AEC7C}"/>
    <cellStyle name="Porcentual 6 2 2 6 3" xfId="3476" xr:uid="{93502797-F6F6-4CB5-A6EB-8002BF9BA50C}"/>
    <cellStyle name="Porcentual 6 2 2 7" xfId="3477" xr:uid="{BE7D7069-839A-4CF6-AB25-98D2EFC68638}"/>
    <cellStyle name="Porcentual 6 2 2 8" xfId="3478" xr:uid="{8D2200F8-EA7F-47E9-8F69-3515A0750E15}"/>
    <cellStyle name="Porcentual 6 2 2 9" xfId="3479" xr:uid="{9AAFCC2F-A7C9-4486-BC6D-DD4633555590}"/>
    <cellStyle name="Porcentual 6 2 3" xfId="3480" xr:uid="{46497555-9A58-4DD8-B459-84AA56C236B9}"/>
    <cellStyle name="Porcentual 6 2 3 2" xfId="3481" xr:uid="{E00213FB-4A1B-48BC-A98B-066EDE44754C}"/>
    <cellStyle name="Porcentual 6 2 3 2 2" xfId="3482" xr:uid="{052BA25F-424A-4A8E-B7AB-2A9AC37ABCDB}"/>
    <cellStyle name="Porcentual 6 2 3 2 3" xfId="3483" xr:uid="{EA5E018A-34BD-45EE-8865-C36A26C5FBA8}"/>
    <cellStyle name="Porcentual 6 2 3 2 3 2" xfId="3484" xr:uid="{E0F7B71E-9773-4127-9BF3-04FFBC78F345}"/>
    <cellStyle name="Porcentual 6 2 3 2 4" xfId="3485" xr:uid="{BEDB33D5-A1DC-42B6-8BD8-5B11BA57FB59}"/>
    <cellStyle name="Porcentual 6 2 3 2 4 2" xfId="3486" xr:uid="{6C946C45-F5F2-4A18-B9E0-5261A7BC42C6}"/>
    <cellStyle name="Porcentual 6 2 3 2 4 3" xfId="3487" xr:uid="{3E495261-CB08-4A07-9B74-065E308B8AAD}"/>
    <cellStyle name="Porcentual 6 2 3 2 5" xfId="3488" xr:uid="{EF2E3409-EDF2-464A-B205-7AD4D9747E61}"/>
    <cellStyle name="Porcentual 6 2 3 2 5 2" xfId="3489" xr:uid="{6BE3B485-3E92-4EA0-B37E-20CDC80E5B71}"/>
    <cellStyle name="Porcentual 6 2 3 2 5 3" xfId="3490" xr:uid="{BE81AC83-144C-449E-9D68-521DC6BA21A6}"/>
    <cellStyle name="Porcentual 6 2 3 2 6" xfId="3491" xr:uid="{CF982239-9FB1-4186-97F2-F039D58D9BDF}"/>
    <cellStyle name="Porcentual 6 2 3 2 7" xfId="3492" xr:uid="{636CBADA-7C8E-431D-9AA9-C28DDDCD671C}"/>
    <cellStyle name="Porcentual 6 2 3 2 8" xfId="3493" xr:uid="{2FA408B0-BB2D-4FD5-A7A6-C32731693DDB}"/>
    <cellStyle name="Porcentual 6 2 3 3" xfId="3494" xr:uid="{02694506-646C-4DC2-83AF-AB0BA3BE1194}"/>
    <cellStyle name="Porcentual 6 2 3 4" xfId="3495" xr:uid="{B988DF72-DA85-4855-B849-9FCC16609D50}"/>
    <cellStyle name="Porcentual 6 2 3 4 2" xfId="3496" xr:uid="{0BC85765-130E-4CFF-BB3E-1563070050B9}"/>
    <cellStyle name="Porcentual 6 2 3 5" xfId="3497" xr:uid="{0F047977-F189-4A35-B443-6617058BF94A}"/>
    <cellStyle name="Porcentual 6 2 3 5 2" xfId="3498" xr:uid="{F805FA1D-61A2-48BA-A4D6-9E0A4A68899C}"/>
    <cellStyle name="Porcentual 6 2 3 5 3" xfId="3499" xr:uid="{D2CB7D31-0651-4FDE-B069-187C80EDB684}"/>
    <cellStyle name="Porcentual 6 2 3 6" xfId="3500" xr:uid="{78C4E90F-33C3-4ACD-A519-AED4718CA470}"/>
    <cellStyle name="Porcentual 6 2 3 6 2" xfId="3501" xr:uid="{E62E9961-378A-43DB-8688-2E0358605160}"/>
    <cellStyle name="Porcentual 6 2 3 6 3" xfId="3502" xr:uid="{98918A16-6EEF-4983-8BF5-FE6922231C74}"/>
    <cellStyle name="Porcentual 6 2 3 7" xfId="3503" xr:uid="{FB8C7DFC-80DA-4ED5-9EBD-4F4CE5F38519}"/>
    <cellStyle name="Porcentual 6 2 3 8" xfId="3504" xr:uid="{30D4C65C-EA4D-4CAA-A8E8-BC8646EEC60F}"/>
    <cellStyle name="Porcentual 6 2 3 9" xfId="3505" xr:uid="{602E633C-2894-4A46-84DE-BB307C556E72}"/>
    <cellStyle name="Porcentual 6 2 4" xfId="3506" xr:uid="{97EE63B8-2DC8-441C-823D-3ECEB278E4A8}"/>
    <cellStyle name="Porcentual 6 2 4 2" xfId="3507" xr:uid="{195B5DD1-B08D-441C-8127-0F7A850221CF}"/>
    <cellStyle name="Porcentual 6 2 4 3" xfId="3508" xr:uid="{B9E64977-82D0-41B8-B81B-AAA875299CA9}"/>
    <cellStyle name="Porcentual 6 2 4 3 2" xfId="3509" xr:uid="{DAA2C10A-ADC9-4F24-BC9A-164A4BBDEB91}"/>
    <cellStyle name="Porcentual 6 2 4 4" xfId="3510" xr:uid="{381F1659-3AD8-4674-A0BC-0D70252A5E31}"/>
    <cellStyle name="Porcentual 6 2 4 4 2" xfId="3511" xr:uid="{B72E9458-0F0A-462F-8A33-8773ABCF70CE}"/>
    <cellStyle name="Porcentual 6 2 4 4 3" xfId="3512" xr:uid="{07BA63F0-2D71-4691-B745-B39ED10CF1B7}"/>
    <cellStyle name="Porcentual 6 2 4 5" xfId="3513" xr:uid="{ED81EB24-290F-49FB-8E0A-7DCF11D206CF}"/>
    <cellStyle name="Porcentual 6 2 4 5 2" xfId="3514" xr:uid="{8ADF9585-4132-4A90-BD67-EAC8CE803BD2}"/>
    <cellStyle name="Porcentual 6 2 4 5 3" xfId="3515" xr:uid="{551DAD7E-3BCF-4E61-8858-B8111D323FC0}"/>
    <cellStyle name="Porcentual 6 2 4 6" xfId="3516" xr:uid="{730DC4C5-2609-419F-B2DA-35ABAA0954E0}"/>
    <cellStyle name="Porcentual 6 2 4 7" xfId="3517" xr:uid="{D8BAD72C-AA6F-4074-8152-F401F1961CD0}"/>
    <cellStyle name="Porcentual 6 2 4 8" xfId="3518" xr:uid="{78887829-296D-4176-BFB9-87F83D89BA79}"/>
    <cellStyle name="Porcentual 6 2 5" xfId="3519" xr:uid="{3567C2BC-A5D9-4221-95CB-63CA0041681A}"/>
    <cellStyle name="Porcentual 6 2 5 2" xfId="3520" xr:uid="{20EADBD7-F1A0-41E6-9827-368E8CAAB63F}"/>
    <cellStyle name="Porcentual 6 2 5 3" xfId="3521" xr:uid="{B1F85ACE-3504-4FA0-AF20-B4959785E424}"/>
    <cellStyle name="Porcentual 6 2 5 3 2" xfId="3522" xr:uid="{E40A0C5B-D1D1-40C6-9D2F-915572C9C3E0}"/>
    <cellStyle name="Porcentual 6 2 5 4" xfId="3523" xr:uid="{A33BE65C-8D3A-4879-92D3-30F54ED56172}"/>
    <cellStyle name="Porcentual 6 2 5 4 2" xfId="3524" xr:uid="{99B3CEBC-E9BF-4549-BFDB-A83E82E3FD25}"/>
    <cellStyle name="Porcentual 6 2 5 4 3" xfId="3525" xr:uid="{02252FC9-3B7C-413C-99EB-65E8ED7172DE}"/>
    <cellStyle name="Porcentual 6 2 5 5" xfId="3526" xr:uid="{DDFADA61-3F2E-4038-8A89-AE1E6024787D}"/>
    <cellStyle name="Porcentual 6 2 5 5 2" xfId="3527" xr:uid="{EEAC50CC-F241-4301-B96A-13A939991AEF}"/>
    <cellStyle name="Porcentual 6 2 5 5 3" xfId="3528" xr:uid="{6D3483CE-C368-409B-A8D9-9FDA32D34793}"/>
    <cellStyle name="Porcentual 6 2 5 6" xfId="3529" xr:uid="{31B7CCB7-5713-4AAE-9D5B-06F8308B67B2}"/>
    <cellStyle name="Porcentual 6 2 5 7" xfId="3530" xr:uid="{CD18C5D6-5227-46C4-B3E1-4170D5DC7B1C}"/>
    <cellStyle name="Porcentual 6 2 5 8" xfId="3531" xr:uid="{83CCC5E1-08FE-4BDA-BF0B-1BB492AAE863}"/>
    <cellStyle name="Porcentual 6 2 6" xfId="3532" xr:uid="{D7E37B78-FC0A-4BCF-B320-173DAA2EDEFF}"/>
    <cellStyle name="Porcentual 6 2 7" xfId="3533" xr:uid="{D5EF6501-01A0-462B-89E7-3A96C73F46EC}"/>
    <cellStyle name="Porcentual 6 2 7 2" xfId="3534" xr:uid="{F62AF1AE-E338-4AAB-8F5D-4C43C4C9BDE3}"/>
    <cellStyle name="Porcentual 6 2 8" xfId="3535" xr:uid="{C601AEB4-7082-4DA0-BBF8-F198D2606232}"/>
    <cellStyle name="Porcentual 6 2 8 2" xfId="3536" xr:uid="{AC62753D-E145-44A2-8EC7-386D441D323B}"/>
    <cellStyle name="Porcentual 6 2 8 3" xfId="3537" xr:uid="{9FC63D70-62C9-4448-BD7E-0A54E15972FF}"/>
    <cellStyle name="Porcentual 6 2 9" xfId="3538" xr:uid="{0D6BCC5E-B966-4C25-9B80-819F618E9CEE}"/>
    <cellStyle name="Porcentual 6 2 9 2" xfId="3539" xr:uid="{4261F6CD-B58E-40A7-B301-9F324C49CC36}"/>
    <cellStyle name="Porcentual 6 2 9 3" xfId="3540" xr:uid="{116F4A08-B463-4731-902A-BBD80F6294FB}"/>
    <cellStyle name="Porcentual 6 3" xfId="3541" xr:uid="{392AEED1-22AF-4AAF-A9D7-EC1F526C6EB5}"/>
    <cellStyle name="Porcentual 6 4" xfId="3542" xr:uid="{B51606B4-5676-40EF-B0D3-8F56E13F49A9}"/>
    <cellStyle name="Porcentual 6 4 2" xfId="3543" xr:uid="{3F850851-726D-41E4-93CB-97D137A39E4E}"/>
    <cellStyle name="Porcentual 6 4 2 2" xfId="3544" xr:uid="{A5FC5AC8-8194-47B0-A13F-86FFD9F2B202}"/>
    <cellStyle name="Porcentual 6 4 2 3" xfId="3545" xr:uid="{C09B0271-F42F-4CB0-B7E3-947EF3868735}"/>
    <cellStyle name="Porcentual 6 4 2 3 2" xfId="3546" xr:uid="{81104A9A-68D8-4F0D-AAD6-DEEE4B064C99}"/>
    <cellStyle name="Porcentual 6 4 2 4" xfId="3547" xr:uid="{125A10AA-F9FE-4028-A662-74BE865183B8}"/>
    <cellStyle name="Porcentual 6 4 2 4 2" xfId="3548" xr:uid="{13F583D8-FCC2-416A-8CA2-83DCF3C59E67}"/>
    <cellStyle name="Porcentual 6 4 2 4 3" xfId="3549" xr:uid="{3833D21F-BACD-44AF-AEF5-D679015507F6}"/>
    <cellStyle name="Porcentual 6 4 2 5" xfId="3550" xr:uid="{28ECDA34-ECB4-425F-B57F-E5BB00C83EF0}"/>
    <cellStyle name="Porcentual 6 4 2 5 2" xfId="3551" xr:uid="{82650556-2BA2-447A-965F-31326B55C7A5}"/>
    <cellStyle name="Porcentual 6 4 2 5 3" xfId="3552" xr:uid="{39BE4E74-081E-4BED-8DCB-34262B97ECF8}"/>
    <cellStyle name="Porcentual 6 4 2 6" xfId="3553" xr:uid="{4D217AC8-5518-434C-938C-B142DBC903F2}"/>
    <cellStyle name="Porcentual 6 4 2 7" xfId="3554" xr:uid="{60BEA2D2-26B5-43B1-9F25-7539904A972B}"/>
    <cellStyle name="Porcentual 6 4 2 8" xfId="3555" xr:uid="{908508C9-0293-4C3C-949B-DC2C341F0FCD}"/>
    <cellStyle name="Porcentual 6 4 3" xfId="3556" xr:uid="{21B50D8B-8A32-464C-8D3D-13175865FABF}"/>
    <cellStyle name="Porcentual 6 4 4" xfId="3557" xr:uid="{A9580D0F-776F-496F-98D4-61B1A22D95EF}"/>
    <cellStyle name="Porcentual 6 4 4 2" xfId="3558" xr:uid="{FE56C2F0-272C-47C5-8A42-56B680B976DD}"/>
    <cellStyle name="Porcentual 6 4 5" xfId="3559" xr:uid="{78B8742D-9777-4EE0-8496-C36AB381EE4D}"/>
    <cellStyle name="Porcentual 6 4 5 2" xfId="3560" xr:uid="{CE1BE2F6-327F-49A8-B2B2-F92ADA48E2F7}"/>
    <cellStyle name="Porcentual 6 4 5 3" xfId="3561" xr:uid="{D2522D4D-D7C8-45D9-9222-98C41D9E7AE5}"/>
    <cellStyle name="Porcentual 6 4 6" xfId="3562" xr:uid="{3D258F8E-4D40-4455-9BA1-135A8C70C581}"/>
    <cellStyle name="Porcentual 6 4 6 2" xfId="3563" xr:uid="{304A110F-7416-4351-B823-646F055705C7}"/>
    <cellStyle name="Porcentual 6 4 6 3" xfId="3564" xr:uid="{9BF3760C-A36B-4FD3-B6E2-F96913BDE581}"/>
    <cellStyle name="Porcentual 6 4 7" xfId="3565" xr:uid="{1575FB70-6091-4AE1-9F45-E356F68758A6}"/>
    <cellStyle name="Porcentual 6 4 8" xfId="3566" xr:uid="{C9E262D0-986F-42CC-B62A-1410EAA39D9C}"/>
    <cellStyle name="Porcentual 6 4 9" xfId="3567" xr:uid="{910F1E9E-2B6D-4374-A664-98F7A20E36BA}"/>
    <cellStyle name="Porcentual 6 5" xfId="3568" xr:uid="{5EBEABA0-BB94-4090-83EE-2114BAC6E155}"/>
    <cellStyle name="Porcentual 6 5 2" xfId="3569" xr:uid="{6B327146-33A2-47F4-9029-2F21F9D80857}"/>
    <cellStyle name="Porcentual 6 5 2 2" xfId="3570" xr:uid="{2FAE8B72-6F2A-492C-97D7-991C8090A9B0}"/>
    <cellStyle name="Porcentual 6 5 2 3" xfId="3571" xr:uid="{4A5E9F7A-E439-4C35-B43F-AF8E699BC047}"/>
    <cellStyle name="Porcentual 6 5 2 3 2" xfId="3572" xr:uid="{D6A80A6C-A7CB-433A-8484-DC1226D9BDE2}"/>
    <cellStyle name="Porcentual 6 5 2 4" xfId="3573" xr:uid="{7AF137D2-60B8-4E39-A5D3-2F59B5706FA3}"/>
    <cellStyle name="Porcentual 6 5 2 4 2" xfId="3574" xr:uid="{60A2808E-E09C-4C04-9B52-6F847625B0B6}"/>
    <cellStyle name="Porcentual 6 5 2 4 3" xfId="3575" xr:uid="{D0CD0C78-954C-448D-A559-4424BE4A0C90}"/>
    <cellStyle name="Porcentual 6 5 2 5" xfId="3576" xr:uid="{3748B78D-16A4-447E-B271-5AF47232ACD4}"/>
    <cellStyle name="Porcentual 6 5 2 5 2" xfId="3577" xr:uid="{17924A96-B637-45C4-B1BA-0DDA63BE7764}"/>
    <cellStyle name="Porcentual 6 5 2 5 3" xfId="3578" xr:uid="{2D546015-72E0-44C0-87B7-C2AAAFC5FD59}"/>
    <cellStyle name="Porcentual 6 5 2 6" xfId="3579" xr:uid="{00D84FF1-5200-4A1C-A1A5-F0D346C2F3A3}"/>
    <cellStyle name="Porcentual 6 5 2 7" xfId="3580" xr:uid="{D55C2A02-E6DD-4107-90D3-757DF0665DDD}"/>
    <cellStyle name="Porcentual 6 5 2 8" xfId="3581" xr:uid="{570FCB3A-71DE-4CB8-BC8C-74C0B5D55FD6}"/>
    <cellStyle name="Porcentual 6 5 3" xfId="3582" xr:uid="{6C6F9087-10A7-4DA0-ACA5-1F01605E03EF}"/>
    <cellStyle name="Porcentual 6 5 4" xfId="3583" xr:uid="{50028A6F-7B66-426C-B0B8-C3AF916F9FA0}"/>
    <cellStyle name="Porcentual 6 5 4 2" xfId="3584" xr:uid="{E4877265-0A99-4383-9C40-3C3EFFEB182B}"/>
    <cellStyle name="Porcentual 6 5 5" xfId="3585" xr:uid="{862CA6ED-623C-4D00-8795-5DCF5A1C2C15}"/>
    <cellStyle name="Porcentual 6 5 5 2" xfId="3586" xr:uid="{2F35F2EC-3C27-4E32-A49F-4B021BC07616}"/>
    <cellStyle name="Porcentual 6 5 5 3" xfId="3587" xr:uid="{8F178592-C9D8-4832-889C-3499BBD8C266}"/>
    <cellStyle name="Porcentual 6 5 6" xfId="3588" xr:uid="{5A6F420B-92BF-4F26-8C0B-C42A3E26F594}"/>
    <cellStyle name="Porcentual 6 5 6 2" xfId="3589" xr:uid="{02D43091-7EAC-44AF-83DE-C31BDBADA462}"/>
    <cellStyle name="Porcentual 6 5 6 3" xfId="3590" xr:uid="{CC80F778-EC6A-4681-B406-901973434AEA}"/>
    <cellStyle name="Porcentual 6 5 7" xfId="3591" xr:uid="{927AFBD6-DC90-4D78-9C81-66EDE0CB40BD}"/>
    <cellStyle name="Porcentual 6 5 8" xfId="3592" xr:uid="{58C0F78E-61DD-4DC9-8337-A394BEB711CC}"/>
    <cellStyle name="Porcentual 6 5 9" xfId="3593" xr:uid="{DDE27501-3A8D-41FD-A85D-0B982B0AE9CC}"/>
    <cellStyle name="Porcentual 6 6" xfId="3594" xr:uid="{E94E5A23-AB93-4448-AE9E-480D344688F3}"/>
    <cellStyle name="Porcentual 6 6 2" xfId="3595" xr:uid="{2ACDCC79-88B6-492C-876F-5BEF9D3610E1}"/>
    <cellStyle name="Porcentual 6 6 3" xfId="3596" xr:uid="{92F8AEB9-F5F0-45AF-9345-CAE2B60BA2CC}"/>
    <cellStyle name="Porcentual 6 6 3 2" xfId="3597" xr:uid="{A1330E02-E0AB-44A0-86A0-DBA31DC33C23}"/>
    <cellStyle name="Porcentual 6 6 4" xfId="3598" xr:uid="{CDA06AC7-054E-4A3F-AF68-56FE59FDF28B}"/>
    <cellStyle name="Porcentual 6 6 4 2" xfId="3599" xr:uid="{D4BB5AE3-190A-46CA-A331-63FABD51BFF2}"/>
    <cellStyle name="Porcentual 6 6 4 3" xfId="3600" xr:uid="{B8F10BFC-75E8-41E7-B3A8-3342442F104C}"/>
    <cellStyle name="Porcentual 6 6 5" xfId="3601" xr:uid="{BFB361C1-9ED3-4E47-939F-5C2FCAEC2AE3}"/>
    <cellStyle name="Porcentual 6 6 5 2" xfId="3602" xr:uid="{FBEBD4C3-C3DC-4494-8ABC-38A051D94914}"/>
    <cellStyle name="Porcentual 6 6 5 3" xfId="3603" xr:uid="{FD3D9E7A-8E1A-4D54-AE79-9DC46B770B79}"/>
    <cellStyle name="Porcentual 6 6 6" xfId="3604" xr:uid="{E5EBAD3A-4828-4A00-A0E6-B7C908F48EDE}"/>
    <cellStyle name="Porcentual 6 6 7" xfId="3605" xr:uid="{3B543C00-C67E-4658-A7DA-CC2201629B7C}"/>
    <cellStyle name="Porcentual 6 6 8" xfId="3606" xr:uid="{B24464C0-B3D5-468B-A9D8-3F7D0A636787}"/>
    <cellStyle name="Porcentual 6 7" xfId="3607" xr:uid="{89A5518C-D9D4-437A-ADE7-4B576958A5EC}"/>
    <cellStyle name="Porcentual 6 7 2" xfId="3608" xr:uid="{C2EAB71F-D572-4270-905F-283499F0C2A8}"/>
    <cellStyle name="Porcentual 6 7 3" xfId="3609" xr:uid="{7CAFD09D-291A-41CF-A2D9-A8DE7CC85FEC}"/>
    <cellStyle name="Porcentual 6 7 3 2" xfId="3610" xr:uid="{4F4E4436-77B1-49F3-9558-1633FBE2D461}"/>
    <cellStyle name="Porcentual 6 7 4" xfId="3611" xr:uid="{CF2F3067-95A5-4F20-8961-4A703BDC453C}"/>
    <cellStyle name="Porcentual 6 7 4 2" xfId="3612" xr:uid="{910C4807-D275-4A29-AEDB-11481CB86531}"/>
    <cellStyle name="Porcentual 6 7 4 3" xfId="3613" xr:uid="{168B2239-3A5B-41D7-B8EC-927456959FAF}"/>
    <cellStyle name="Porcentual 6 7 5" xfId="3614" xr:uid="{49F006D0-B2B4-482D-A6FA-C55B529B7CD2}"/>
    <cellStyle name="Porcentual 6 7 5 2" xfId="3615" xr:uid="{5C7EFB95-2FAC-440C-96CB-B474D3AB246F}"/>
    <cellStyle name="Porcentual 6 7 5 3" xfId="3616" xr:uid="{290D3BA9-6EC8-4F31-9268-C3B794E2604D}"/>
    <cellStyle name="Porcentual 6 7 6" xfId="3617" xr:uid="{091663A9-4646-4400-9FFE-9B6E56901640}"/>
    <cellStyle name="Porcentual 6 7 7" xfId="3618" xr:uid="{01DC5239-F005-41B4-BFBE-B4E1EFA2F734}"/>
    <cellStyle name="Porcentual 6 7 8" xfId="3619" xr:uid="{F0F06B98-FF12-431D-8A16-6B8818A478ED}"/>
    <cellStyle name="Porcentual 6 8" xfId="3620" xr:uid="{4786B9FE-3F45-4CFB-AA76-23D304BF199C}"/>
    <cellStyle name="Porcentual 6 9" xfId="3621" xr:uid="{F367EFE1-5CCA-42DB-A6B9-9A4236057156}"/>
    <cellStyle name="Porcentual 6 9 2" xfId="3622" xr:uid="{0DB93A3D-0EE9-4F4A-8CAD-75DCBAB416F5}"/>
    <cellStyle name="Porcentual 60" xfId="3623" xr:uid="{3A571705-E813-4312-805B-7F8706450FB9}"/>
    <cellStyle name="Porcentual 61" xfId="3624" xr:uid="{C60D4C55-2700-425E-83F1-8681FA7B88C3}"/>
    <cellStyle name="Porcentual 62" xfId="3625" xr:uid="{87D5813C-4A45-46DA-B132-6C909FEC2EDD}"/>
    <cellStyle name="Porcentual 63" xfId="3626" xr:uid="{7E85700E-BF2A-47B6-A602-83DB9C9F28B9}"/>
    <cellStyle name="Porcentual 64" xfId="3627" xr:uid="{34BB90AC-2C5C-44B3-945D-73345804D956}"/>
    <cellStyle name="Porcentual 65" xfId="3628" xr:uid="{F11F06D1-C9C3-4491-A5D8-B0447C2559D8}"/>
    <cellStyle name="Porcentual 66" xfId="3629" xr:uid="{3F11A34A-9C1E-4EA1-BFE9-35D3BC84750D}"/>
    <cellStyle name="Porcentual 67" xfId="3630" xr:uid="{97C59662-E7D8-4322-947C-929E6691432D}"/>
    <cellStyle name="Porcentual 7" xfId="3631" xr:uid="{57FF3286-7517-4239-8818-31B8DEE1F8DE}"/>
    <cellStyle name="Porcentual 7 10" xfId="3632" xr:uid="{E3B8C0F2-8C84-4839-8C98-DF91070C7A5C}"/>
    <cellStyle name="Porcentual 7 10 2" xfId="3633" xr:uid="{A1BAE22D-B547-40B9-9459-B2C87D04C893}"/>
    <cellStyle name="Porcentual 7 10 3" xfId="3634" xr:uid="{F46D00DF-BB0D-457B-B3F4-1B556F3A9C7F}"/>
    <cellStyle name="Porcentual 7 11" xfId="3635" xr:uid="{CE900DBF-CBB6-4414-A15A-EACDCA191D29}"/>
    <cellStyle name="Porcentual 7 12" xfId="3636" xr:uid="{3E2EF19E-FE4D-461C-A01F-106CA3AF2AE7}"/>
    <cellStyle name="Porcentual 7 13" xfId="3637" xr:uid="{D36067A0-0628-4BAF-B8AF-3FBA4DF740F2}"/>
    <cellStyle name="Porcentual 7 2" xfId="3638" xr:uid="{6A97B05D-1C45-4CE9-A912-04147F9EFEF3}"/>
    <cellStyle name="Porcentual 7 2 10" xfId="3639" xr:uid="{D09E34BA-9FC8-48E0-98FC-67605908AD1D}"/>
    <cellStyle name="Porcentual 7 2 11" xfId="3640" xr:uid="{F40137D6-73E5-4AA1-B898-3FC1B864A586}"/>
    <cellStyle name="Porcentual 7 2 12" xfId="3641" xr:uid="{16B57A00-5DA8-42E0-9A56-06EE355C8EF1}"/>
    <cellStyle name="Porcentual 7 2 2" xfId="3642" xr:uid="{CD3A6A71-0326-48F4-9CDB-A8895B297380}"/>
    <cellStyle name="Porcentual 7 2 2 2" xfId="3643" xr:uid="{2B5CBBBF-02FE-40AA-AF90-8F656EC0EFA4}"/>
    <cellStyle name="Porcentual 7 2 2 2 2" xfId="3644" xr:uid="{D0349F2C-569C-4D2E-87B3-99C436F567D0}"/>
    <cellStyle name="Porcentual 7 2 2 2 3" xfId="3645" xr:uid="{B2EF29D8-BB31-4108-9F6A-93656681DEB8}"/>
    <cellStyle name="Porcentual 7 2 2 2 3 2" xfId="3646" xr:uid="{669BDBF2-62CF-41FE-8B61-19A15C3360D1}"/>
    <cellStyle name="Porcentual 7 2 2 2 4" xfId="3647" xr:uid="{61D3EACF-F9A3-43C0-80E4-DE6463D6DF1F}"/>
    <cellStyle name="Porcentual 7 2 2 2 4 2" xfId="3648" xr:uid="{1933B031-A4F3-475C-B526-FEAC673CA5F8}"/>
    <cellStyle name="Porcentual 7 2 2 2 4 3" xfId="3649" xr:uid="{FFF14119-5DEA-4776-B904-F85686491B15}"/>
    <cellStyle name="Porcentual 7 2 2 2 5" xfId="3650" xr:uid="{A932AC18-5973-489D-AE83-2DBD704D63DC}"/>
    <cellStyle name="Porcentual 7 2 2 2 5 2" xfId="3651" xr:uid="{BBDCDBD7-7A7E-415E-A293-4E1EF5980837}"/>
    <cellStyle name="Porcentual 7 2 2 2 5 3" xfId="3652" xr:uid="{9927A814-D4E4-480C-8DAA-B631268F8955}"/>
    <cellStyle name="Porcentual 7 2 2 2 6" xfId="3653" xr:uid="{557EDD5F-4EA9-457E-BAB7-21274C5CC9A6}"/>
    <cellStyle name="Porcentual 7 2 2 2 7" xfId="3654" xr:uid="{B9EAF55F-83E0-4203-9D06-B0E2CB7D939C}"/>
    <cellStyle name="Porcentual 7 2 2 2 8" xfId="3655" xr:uid="{A5734062-EFE7-4447-9A15-5397B12DF31E}"/>
    <cellStyle name="Porcentual 7 2 2 3" xfId="3656" xr:uid="{790E8AAC-96BE-43AB-B5EE-B7E0C1B6AC2E}"/>
    <cellStyle name="Porcentual 7 2 2 4" xfId="3657" xr:uid="{9FCB6F0D-ECE4-4A8F-AFC0-43788CC2F755}"/>
    <cellStyle name="Porcentual 7 2 2 4 2" xfId="3658" xr:uid="{31C6182B-6DFD-4E61-B266-F5BAD14A72E5}"/>
    <cellStyle name="Porcentual 7 2 2 5" xfId="3659" xr:uid="{8F3C47EB-1780-4150-9840-02407DB78C4F}"/>
    <cellStyle name="Porcentual 7 2 2 5 2" xfId="3660" xr:uid="{019B503C-F171-46E2-85ED-BB434AFB352F}"/>
    <cellStyle name="Porcentual 7 2 2 5 3" xfId="3661" xr:uid="{1B5F8E6A-84EC-4032-80A2-36DFF1C4C52B}"/>
    <cellStyle name="Porcentual 7 2 2 6" xfId="3662" xr:uid="{74301B9E-4844-4A98-B2D0-1564ACCBC603}"/>
    <cellStyle name="Porcentual 7 2 2 6 2" xfId="3663" xr:uid="{ACDB3466-035F-4A24-8AB0-7C903B20B741}"/>
    <cellStyle name="Porcentual 7 2 2 6 3" xfId="3664" xr:uid="{04DF3ABC-AC58-4134-ABF8-D589490573D6}"/>
    <cellStyle name="Porcentual 7 2 2 7" xfId="3665" xr:uid="{31604071-915A-41AA-A6E0-5F725128D115}"/>
    <cellStyle name="Porcentual 7 2 2 8" xfId="3666" xr:uid="{47AA6E7B-75EA-4725-B96C-537B07181B43}"/>
    <cellStyle name="Porcentual 7 2 2 9" xfId="3667" xr:uid="{94C9FF88-A080-4E57-BEC1-F32F2A62F938}"/>
    <cellStyle name="Porcentual 7 2 3" xfId="3668" xr:uid="{00B89037-0763-4821-B1BA-56F9584C80CD}"/>
    <cellStyle name="Porcentual 7 2 3 2" xfId="3669" xr:uid="{01B3D442-717C-4E95-90EE-5967B377FD91}"/>
    <cellStyle name="Porcentual 7 2 3 2 2" xfId="3670" xr:uid="{63A62D90-CFD6-4AF0-B6F4-732483FC3F40}"/>
    <cellStyle name="Porcentual 7 2 3 2 3" xfId="3671" xr:uid="{E11CC9BD-A3C1-486E-B812-6899B07E0341}"/>
    <cellStyle name="Porcentual 7 2 3 2 3 2" xfId="3672" xr:uid="{77F3C0C9-F6E5-4187-A197-65EFEB046C21}"/>
    <cellStyle name="Porcentual 7 2 3 2 4" xfId="3673" xr:uid="{438DCAF8-6CD2-4973-B093-D9F02075F4CB}"/>
    <cellStyle name="Porcentual 7 2 3 2 4 2" xfId="3674" xr:uid="{AD1ECF14-1E29-43CE-B118-0FC29CDBBA96}"/>
    <cellStyle name="Porcentual 7 2 3 2 4 3" xfId="3675" xr:uid="{E59E4E8C-7834-4140-8C3E-3FB71CEE75B1}"/>
    <cellStyle name="Porcentual 7 2 3 2 5" xfId="3676" xr:uid="{85524E64-7F11-4ADE-ACD9-49171109AB9F}"/>
    <cellStyle name="Porcentual 7 2 3 2 5 2" xfId="3677" xr:uid="{7D3FDEB2-FCDB-4D26-B958-CA4DA15CD500}"/>
    <cellStyle name="Porcentual 7 2 3 2 5 3" xfId="3678" xr:uid="{A5636661-15B9-4CA8-8A4F-086A26558477}"/>
    <cellStyle name="Porcentual 7 2 3 2 6" xfId="3679" xr:uid="{49CF92F5-7C7D-42B2-A0E9-F722B6EE8BDF}"/>
    <cellStyle name="Porcentual 7 2 3 2 7" xfId="3680" xr:uid="{9922D6AF-05D9-4E5D-9A4B-5F99FE7570C2}"/>
    <cellStyle name="Porcentual 7 2 3 2 8" xfId="3681" xr:uid="{AC2D6901-8836-4CA0-86D6-FB218B249AE2}"/>
    <cellStyle name="Porcentual 7 2 3 3" xfId="3682" xr:uid="{C5A6A84B-7F5A-4DCA-B878-A2E00383A35F}"/>
    <cellStyle name="Porcentual 7 2 3 4" xfId="3683" xr:uid="{92A629C7-FE9D-4910-BE39-E47AD4DC5D05}"/>
    <cellStyle name="Porcentual 7 2 3 4 2" xfId="3684" xr:uid="{B5CDBF60-1006-40B9-9847-FDF7004129AF}"/>
    <cellStyle name="Porcentual 7 2 3 5" xfId="3685" xr:uid="{6D817BF8-DA78-4347-9B9D-BDEBB2549E5B}"/>
    <cellStyle name="Porcentual 7 2 3 5 2" xfId="3686" xr:uid="{652DD198-BD7D-4BC9-A5DA-64E4117351AA}"/>
    <cellStyle name="Porcentual 7 2 3 5 3" xfId="3687" xr:uid="{ECD84A8B-B9DA-4517-B327-486177C47561}"/>
    <cellStyle name="Porcentual 7 2 3 6" xfId="3688" xr:uid="{B68BCEE2-7D8F-4876-8BFB-A7CE335437E5}"/>
    <cellStyle name="Porcentual 7 2 3 6 2" xfId="3689" xr:uid="{5A153351-05EF-41AA-BCC0-704136E9F13D}"/>
    <cellStyle name="Porcentual 7 2 3 6 3" xfId="3690" xr:uid="{5F6E3D48-FDFA-4947-A0BD-004C35B1AA4E}"/>
    <cellStyle name="Porcentual 7 2 3 7" xfId="3691" xr:uid="{ED22CC6E-1360-4989-A698-A5116E2392F7}"/>
    <cellStyle name="Porcentual 7 2 3 8" xfId="3692" xr:uid="{B96055A4-E490-4AFB-B410-B544955D00FF}"/>
    <cellStyle name="Porcentual 7 2 3 9" xfId="3693" xr:uid="{3C59090A-F593-4A34-BA7B-BF05FFD987FF}"/>
    <cellStyle name="Porcentual 7 2 4" xfId="3694" xr:uid="{230E07F6-8967-4EBE-AA05-8E87695872B3}"/>
    <cellStyle name="Porcentual 7 2 4 2" xfId="3695" xr:uid="{93548B73-5CF0-4816-B38D-006E229E9D8B}"/>
    <cellStyle name="Porcentual 7 2 4 3" xfId="3696" xr:uid="{FD420407-0BA1-4F72-973F-E9CDEF8D3672}"/>
    <cellStyle name="Porcentual 7 2 4 3 2" xfId="3697" xr:uid="{3EB73F7B-BDF5-4E5D-B11D-C7AD89636D72}"/>
    <cellStyle name="Porcentual 7 2 4 4" xfId="3698" xr:uid="{E8029F6C-A2C1-474D-BD75-265E805066E8}"/>
    <cellStyle name="Porcentual 7 2 4 4 2" xfId="3699" xr:uid="{1CF547EF-741B-46C6-BB6A-5668B731B272}"/>
    <cellStyle name="Porcentual 7 2 4 4 3" xfId="3700" xr:uid="{FD395253-731D-4EA6-8965-7ABDB56C9083}"/>
    <cellStyle name="Porcentual 7 2 4 5" xfId="3701" xr:uid="{C520A073-65EB-432B-9EC7-A50AD38AE8DF}"/>
    <cellStyle name="Porcentual 7 2 4 5 2" xfId="3702" xr:uid="{914BA826-374C-49E5-A117-EDCBA9D13EFE}"/>
    <cellStyle name="Porcentual 7 2 4 5 3" xfId="3703" xr:uid="{B0DA506A-5DE4-4811-A7E7-D9C872761064}"/>
    <cellStyle name="Porcentual 7 2 4 6" xfId="3704" xr:uid="{58745A30-DDC0-4267-A9B1-01C72F6A3BC6}"/>
    <cellStyle name="Porcentual 7 2 4 7" xfId="3705" xr:uid="{26381170-C66E-4B58-AD8E-FCFA295F8FD6}"/>
    <cellStyle name="Porcentual 7 2 4 8" xfId="3706" xr:uid="{32A94C70-8647-4A95-B07C-4DAAD381058C}"/>
    <cellStyle name="Porcentual 7 2 5" xfId="3707" xr:uid="{63E15ADB-0412-4A5A-8F35-AE1375A7A9AD}"/>
    <cellStyle name="Porcentual 7 2 6" xfId="3708" xr:uid="{A76C958C-14A3-4740-B4D3-D03A8965266E}"/>
    <cellStyle name="Porcentual 7 2 7" xfId="3709" xr:uid="{6C46E734-2F35-45B0-B039-F221C1A151C6}"/>
    <cellStyle name="Porcentual 7 2 7 2" xfId="3710" xr:uid="{7228CA84-593D-422D-91A0-9192CD3FBF68}"/>
    <cellStyle name="Porcentual 7 2 8" xfId="3711" xr:uid="{80731AB4-BAF0-467D-8CA3-E0DF9BE3C850}"/>
    <cellStyle name="Porcentual 7 2 8 2" xfId="3712" xr:uid="{BD77688A-F0C3-4D3E-9E53-2F089D090928}"/>
    <cellStyle name="Porcentual 7 2 8 3" xfId="3713" xr:uid="{55256969-436F-4F7F-87D1-0420C3EBEBF0}"/>
    <cellStyle name="Porcentual 7 2 9" xfId="3714" xr:uid="{625ACA38-D4B7-40C5-9B36-B7599D46EB19}"/>
    <cellStyle name="Porcentual 7 2 9 2" xfId="3715" xr:uid="{15E99677-9FB4-493B-8468-200F466F21D7}"/>
    <cellStyle name="Porcentual 7 2 9 3" xfId="3716" xr:uid="{182C34C5-A2B0-4310-90DC-32C40228AA50}"/>
    <cellStyle name="Porcentual 7 3" xfId="3717" xr:uid="{0B4F70C9-0CA9-483D-9EBC-5D681CE9683E}"/>
    <cellStyle name="Porcentual 7 3 2" xfId="3718" xr:uid="{47926E48-EC88-4C84-8FC0-6DB4938EEDCB}"/>
    <cellStyle name="Porcentual 7 3 2 2" xfId="3719" xr:uid="{E461C5D1-6AF4-42C7-8FC7-21B12A03B96C}"/>
    <cellStyle name="Porcentual 7 3 2 3" xfId="3720" xr:uid="{271D798E-CE19-4B47-980E-7DFF7ABAA688}"/>
    <cellStyle name="Porcentual 7 3 2 3 2" xfId="3721" xr:uid="{472E5F8E-0B5F-4EA4-93F0-42B358468B30}"/>
    <cellStyle name="Porcentual 7 3 2 4" xfId="3722" xr:uid="{88BC7216-A03F-4B24-9C70-F8A33039D841}"/>
    <cellStyle name="Porcentual 7 3 2 4 2" xfId="3723" xr:uid="{155C5D2E-E277-46E3-A42C-0504CEBC159B}"/>
    <cellStyle name="Porcentual 7 3 2 4 3" xfId="3724" xr:uid="{C548E866-5E77-4030-BE13-02A908EA8ADF}"/>
    <cellStyle name="Porcentual 7 3 2 5" xfId="3725" xr:uid="{75589AB8-367E-4EC3-88AA-402F162A8F6E}"/>
    <cellStyle name="Porcentual 7 3 2 5 2" xfId="3726" xr:uid="{620BEF57-3741-4443-92CC-EFF4A940BB61}"/>
    <cellStyle name="Porcentual 7 3 2 5 3" xfId="3727" xr:uid="{D6B3677A-2F76-4270-8C23-AB82582BABC1}"/>
    <cellStyle name="Porcentual 7 3 2 6" xfId="3728" xr:uid="{C91A0729-21DB-4C42-9A71-466602775C5A}"/>
    <cellStyle name="Porcentual 7 3 2 7" xfId="3729" xr:uid="{219870C5-B32C-4F20-9081-098468128EF5}"/>
    <cellStyle name="Porcentual 7 3 2 8" xfId="3730" xr:uid="{6FEC930C-A325-4B98-999C-D36649373B57}"/>
    <cellStyle name="Porcentual 7 3 3" xfId="3731" xr:uid="{DD4BA397-30E3-4574-A74B-78520A881300}"/>
    <cellStyle name="Porcentual 7 3 4" xfId="3732" xr:uid="{F7E5BCEC-E166-4AD8-95FC-2743B137E34C}"/>
    <cellStyle name="Porcentual 7 3 4 2" xfId="3733" xr:uid="{7DBBCAC7-5D37-404E-8DD4-405839873E0C}"/>
    <cellStyle name="Porcentual 7 3 5" xfId="3734" xr:uid="{FC90BAB6-0CD1-4764-80F9-B302665F1181}"/>
    <cellStyle name="Porcentual 7 3 5 2" xfId="3735" xr:uid="{48FA58A1-069C-46D1-B1CF-ACF843AB8701}"/>
    <cellStyle name="Porcentual 7 3 5 3" xfId="3736" xr:uid="{9362187E-6FED-409B-BBF7-BA5FBA87B28E}"/>
    <cellStyle name="Porcentual 7 3 6" xfId="3737" xr:uid="{2DAAE32A-D6C4-41A5-91E3-EA04A05F9299}"/>
    <cellStyle name="Porcentual 7 3 6 2" xfId="3738" xr:uid="{5430C3B3-679F-46C8-BCCF-6E02A83E3B4C}"/>
    <cellStyle name="Porcentual 7 3 6 3" xfId="3739" xr:uid="{3BB04A48-2C7D-414A-BD2E-101498F862B0}"/>
    <cellStyle name="Porcentual 7 3 7" xfId="3740" xr:uid="{45535B34-8D97-4F85-A744-4C926CB254E1}"/>
    <cellStyle name="Porcentual 7 3 8" xfId="3741" xr:uid="{F86D5643-EE27-43C0-B30B-8B5098724D47}"/>
    <cellStyle name="Porcentual 7 3 9" xfId="3742" xr:uid="{E8A80FDA-B0FC-461D-9FDC-D09074D9B74B}"/>
    <cellStyle name="Porcentual 7 4" xfId="3743" xr:uid="{44331461-BBDC-41B1-A5C6-A56BE43A5684}"/>
    <cellStyle name="Porcentual 7 4 2" xfId="3744" xr:uid="{411DE5BE-1CB1-431E-80D3-975EC569054C}"/>
    <cellStyle name="Porcentual 7 4 2 2" xfId="3745" xr:uid="{55134D1F-3B2B-4427-B121-CB5C4FD8C46C}"/>
    <cellStyle name="Porcentual 7 4 2 3" xfId="3746" xr:uid="{1C970A47-623B-405B-9C86-4F278FC877E2}"/>
    <cellStyle name="Porcentual 7 4 2 3 2" xfId="3747" xr:uid="{6885B847-B5EF-45F5-B1C2-033AE1ADDC85}"/>
    <cellStyle name="Porcentual 7 4 2 4" xfId="3748" xr:uid="{CBC38EB3-6913-4EB1-8F9F-6611D74A1B9F}"/>
    <cellStyle name="Porcentual 7 4 2 4 2" xfId="3749" xr:uid="{8C78745B-0651-478A-AE3E-5B3209DF7C4D}"/>
    <cellStyle name="Porcentual 7 4 2 4 3" xfId="3750" xr:uid="{CA174EBD-2BD4-452A-9042-01C37AC88FBC}"/>
    <cellStyle name="Porcentual 7 4 2 5" xfId="3751" xr:uid="{9DA28AAF-D7EA-47F7-A5B7-AC4B0EDB4C86}"/>
    <cellStyle name="Porcentual 7 4 2 5 2" xfId="3752" xr:uid="{EA3B785E-FE18-4808-94E3-659E1E79DB68}"/>
    <cellStyle name="Porcentual 7 4 2 5 3" xfId="3753" xr:uid="{714C555E-E68C-471E-A897-B0B83C63588E}"/>
    <cellStyle name="Porcentual 7 4 2 6" xfId="3754" xr:uid="{C29510B9-6BD2-4ADC-9470-5F8A449F815F}"/>
    <cellStyle name="Porcentual 7 4 2 7" xfId="3755" xr:uid="{532FDBE8-9ED8-4AFB-ADB7-14F788025EC7}"/>
    <cellStyle name="Porcentual 7 4 2 8" xfId="3756" xr:uid="{79106F20-96F8-40C2-84B8-13B57C604CB8}"/>
    <cellStyle name="Porcentual 7 4 3" xfId="3757" xr:uid="{839E4EF0-2CD2-4A46-87E0-7D1ED1CFF667}"/>
    <cellStyle name="Porcentual 7 4 4" xfId="3758" xr:uid="{BA02AAFA-2A46-4F58-BD6B-BE443B98A98A}"/>
    <cellStyle name="Porcentual 7 4 4 2" xfId="3759" xr:uid="{C3955226-B953-406A-8D1D-85B55FA1AAC0}"/>
    <cellStyle name="Porcentual 7 4 5" xfId="3760" xr:uid="{F6217923-D35B-4470-BED7-9C36C953E1FD}"/>
    <cellStyle name="Porcentual 7 4 5 2" xfId="3761" xr:uid="{BF6BBBB7-1598-4547-9EA7-08B9AB4D9FDC}"/>
    <cellStyle name="Porcentual 7 4 5 3" xfId="3762" xr:uid="{9E3F2F7D-A19C-4717-89DD-3344C327160D}"/>
    <cellStyle name="Porcentual 7 4 6" xfId="3763" xr:uid="{D9B9BA49-AD25-4EA0-AA26-3B8E78707386}"/>
    <cellStyle name="Porcentual 7 4 6 2" xfId="3764" xr:uid="{1E88B8D9-2196-4DC8-A596-92CAF209E10E}"/>
    <cellStyle name="Porcentual 7 4 6 3" xfId="3765" xr:uid="{7D55452C-5036-483B-B21A-B97DA67A617B}"/>
    <cellStyle name="Porcentual 7 4 7" xfId="3766" xr:uid="{0D4A66B2-8A72-4551-8550-2AE5756FA4E8}"/>
    <cellStyle name="Porcentual 7 4 8" xfId="3767" xr:uid="{7372849D-ED76-4665-9B3A-50A8EC25FB7B}"/>
    <cellStyle name="Porcentual 7 4 9" xfId="3768" xr:uid="{7CC72AC3-EBDA-4EBC-97AA-18FE4F66DFF9}"/>
    <cellStyle name="Porcentual 7 5" xfId="3769" xr:uid="{32EC8F88-5843-484D-8E46-D9366AA9BAB6}"/>
    <cellStyle name="Porcentual 7 5 2" xfId="3770" xr:uid="{0D9BB945-CBF8-4E96-8AEF-A98633EFF0D6}"/>
    <cellStyle name="Porcentual 7 5 3" xfId="3771" xr:uid="{F57012C0-C59C-42FC-93EB-8AFFA6931CC3}"/>
    <cellStyle name="Porcentual 7 5 3 2" xfId="3772" xr:uid="{E23735B6-3C7E-4557-86C1-C34F9DF44EAE}"/>
    <cellStyle name="Porcentual 7 5 4" xfId="3773" xr:uid="{C4DFEA0E-98D3-4891-B023-88A0FE2A16E0}"/>
    <cellStyle name="Porcentual 7 5 4 2" xfId="3774" xr:uid="{46E933EA-C861-4D03-A7B7-F3BDF60F8F27}"/>
    <cellStyle name="Porcentual 7 5 4 3" xfId="3775" xr:uid="{D48F0FB8-21B2-4720-B251-0ACAD1AAB259}"/>
    <cellStyle name="Porcentual 7 5 5" xfId="3776" xr:uid="{50EEB9CD-BB9C-4370-A9F9-CE570813445C}"/>
    <cellStyle name="Porcentual 7 5 5 2" xfId="3777" xr:uid="{FF057757-F4BA-47AD-A76B-7BFE20C2418E}"/>
    <cellStyle name="Porcentual 7 5 5 3" xfId="3778" xr:uid="{D772A1E6-B54B-4909-9DA8-73CD26ED054F}"/>
    <cellStyle name="Porcentual 7 5 6" xfId="3779" xr:uid="{64B5ECDC-D5F7-4FC5-BAE7-57C158FCDFB4}"/>
    <cellStyle name="Porcentual 7 5 7" xfId="3780" xr:uid="{35154185-9097-4CF4-A20D-39452F11C249}"/>
    <cellStyle name="Porcentual 7 5 8" xfId="3781" xr:uid="{F99F3758-405A-4659-9FB7-2FD903C3C594}"/>
    <cellStyle name="Porcentual 7 6" xfId="3782" xr:uid="{024454EE-593B-474E-BC19-8A40614B6725}"/>
    <cellStyle name="Porcentual 7 7" xfId="3783" xr:uid="{5A613FDB-AF31-4309-84A5-E4882C2C8EFC}"/>
    <cellStyle name="Porcentual 7 8" xfId="3784" xr:uid="{03E854F1-1772-40FD-8EE4-DB5760F091F7}"/>
    <cellStyle name="Porcentual 7 8 2" xfId="3785" xr:uid="{86A7ECD2-2D0A-42AC-B8F8-F9C09E416161}"/>
    <cellStyle name="Porcentual 7 9" xfId="3786" xr:uid="{81C3D664-6BE6-445A-B8C6-63E001D4D515}"/>
    <cellStyle name="Porcentual 7 9 2" xfId="3787" xr:uid="{D924A0D6-7E30-4958-A602-360C8BB47DF4}"/>
    <cellStyle name="Porcentual 7 9 3" xfId="3788" xr:uid="{490EC6F0-D9AA-4C03-8F7C-CD0D95917220}"/>
    <cellStyle name="Porcentual 8" xfId="3789" xr:uid="{BC4456C2-DC8E-44DD-8963-BF60A2342286}"/>
    <cellStyle name="Porcentual 8 10" xfId="3790" xr:uid="{911C3F5F-A392-4C3E-AA08-2F1269E5E2B6}"/>
    <cellStyle name="Porcentual 8 11" xfId="3791" xr:uid="{1AC03335-07B9-4F4F-8CF9-33CAAE12439B}"/>
    <cellStyle name="Porcentual 8 12" xfId="3792" xr:uid="{7F345EC9-712A-4581-9291-B62C05AA087F}"/>
    <cellStyle name="Porcentual 8 2" xfId="3793" xr:uid="{2BAF15B6-9743-4E44-AA52-F7ACD0ED0363}"/>
    <cellStyle name="Porcentual 8 2 10" xfId="3794" xr:uid="{7E4BA70A-E907-4AB9-8A1C-B474BB7FE4BB}"/>
    <cellStyle name="Porcentual 8 2 11" xfId="3795" xr:uid="{347A5020-929E-47BE-A2FF-FF4B55A4FE82}"/>
    <cellStyle name="Porcentual 8 2 2" xfId="3796" xr:uid="{E64E43C1-C498-49EF-AA2B-B0C900B82369}"/>
    <cellStyle name="Porcentual 8 2 2 2" xfId="3797" xr:uid="{FC329ED5-0A3A-4CC4-B1EE-7E49CCF22E3C}"/>
    <cellStyle name="Porcentual 8 2 2 2 2" xfId="3798" xr:uid="{3F369885-7439-4934-8256-2CC0C05E2805}"/>
    <cellStyle name="Porcentual 8 2 2 2 3" xfId="3799" xr:uid="{D4A26BC8-C2F3-49BF-A111-4E7EE73CA243}"/>
    <cellStyle name="Porcentual 8 2 2 2 3 2" xfId="3800" xr:uid="{5610CD49-694E-4A4B-8BD2-5C9AA46505CB}"/>
    <cellStyle name="Porcentual 8 2 2 2 4" xfId="3801" xr:uid="{CF7F9B03-D4C0-4CB3-9860-B8E45B96D381}"/>
    <cellStyle name="Porcentual 8 2 2 2 4 2" xfId="3802" xr:uid="{31BCBBA9-0E3E-454A-B269-E2F0DBFFCE3E}"/>
    <cellStyle name="Porcentual 8 2 2 2 4 3" xfId="3803" xr:uid="{C1CF5200-3288-4B50-9E56-925B3EC5F69C}"/>
    <cellStyle name="Porcentual 8 2 2 2 5" xfId="3804" xr:uid="{915F108A-0A80-4A23-832D-A03D26650E42}"/>
    <cellStyle name="Porcentual 8 2 2 2 5 2" xfId="3805" xr:uid="{E0F3F3AA-8AA8-4C72-A12C-E6A98A1CF992}"/>
    <cellStyle name="Porcentual 8 2 2 2 5 3" xfId="3806" xr:uid="{7FC92D41-E2DD-496B-877C-5D1F98CBFC24}"/>
    <cellStyle name="Porcentual 8 2 2 2 6" xfId="3807" xr:uid="{65208938-1122-4CDE-BED3-54CD3D97250C}"/>
    <cellStyle name="Porcentual 8 2 2 2 7" xfId="3808" xr:uid="{B9278A08-350A-497C-9533-285CCFA4564D}"/>
    <cellStyle name="Porcentual 8 2 2 2 8" xfId="3809" xr:uid="{D3B3EC33-86AB-4803-9A19-74B8D35BB39D}"/>
    <cellStyle name="Porcentual 8 2 2 3" xfId="3810" xr:uid="{48271DF7-080E-4494-AA68-0F55B25D90B7}"/>
    <cellStyle name="Porcentual 8 2 2 4" xfId="3811" xr:uid="{27522101-0D43-4BB1-8874-3748AE215321}"/>
    <cellStyle name="Porcentual 8 2 2 4 2" xfId="3812" xr:uid="{4F667554-2C02-49DD-8E3B-7BA0FD1C9BA9}"/>
    <cellStyle name="Porcentual 8 2 2 5" xfId="3813" xr:uid="{B9063156-28F3-4FCD-840F-3B8398CB1FC9}"/>
    <cellStyle name="Porcentual 8 2 2 5 2" xfId="3814" xr:uid="{D4C09DCA-66B8-4B81-A9EA-70084185AB3D}"/>
    <cellStyle name="Porcentual 8 2 2 5 3" xfId="3815" xr:uid="{226D080C-BFBA-4B96-9849-3C30FDDE41F0}"/>
    <cellStyle name="Porcentual 8 2 2 6" xfId="3816" xr:uid="{32BA241E-4AEA-4842-8542-D6DB1A440E92}"/>
    <cellStyle name="Porcentual 8 2 2 6 2" xfId="3817" xr:uid="{97F58F7F-4441-4F06-987B-B347D3EC0BC8}"/>
    <cellStyle name="Porcentual 8 2 2 6 3" xfId="3818" xr:uid="{DF3E11E8-E3A6-43AF-A85B-C9F782591B45}"/>
    <cellStyle name="Porcentual 8 2 2 7" xfId="3819" xr:uid="{AEBCDBB1-5548-494B-B1AD-041C8B161DA3}"/>
    <cellStyle name="Porcentual 8 2 2 8" xfId="3820" xr:uid="{D2C488BA-A6ED-4F18-8C0B-147E82FAC211}"/>
    <cellStyle name="Porcentual 8 2 2 9" xfId="3821" xr:uid="{B9072B32-D769-4823-85C2-E7F4CFD9B0F9}"/>
    <cellStyle name="Porcentual 8 2 3" xfId="3822" xr:uid="{EF331235-C0C0-42C3-93BC-A1BD1ABCD78B}"/>
    <cellStyle name="Porcentual 8 2 3 2" xfId="3823" xr:uid="{90158551-46E7-4CA2-9D47-48E116C5BB44}"/>
    <cellStyle name="Porcentual 8 2 3 2 2" xfId="3824" xr:uid="{11713272-4B45-4796-B400-98E6828AD055}"/>
    <cellStyle name="Porcentual 8 2 3 2 3" xfId="3825" xr:uid="{468C216C-8228-4121-8475-977856C33199}"/>
    <cellStyle name="Porcentual 8 2 3 2 3 2" xfId="3826" xr:uid="{5D343CFB-6945-49F0-9BAA-0BBACD84BCCA}"/>
    <cellStyle name="Porcentual 8 2 3 2 4" xfId="3827" xr:uid="{A47F61EB-5A2F-45F4-82C3-C8CAD0CD192A}"/>
    <cellStyle name="Porcentual 8 2 3 2 4 2" xfId="3828" xr:uid="{519A7617-37A7-4923-9926-49FA90B2B07F}"/>
    <cellStyle name="Porcentual 8 2 3 2 4 3" xfId="3829" xr:uid="{11D548CE-E203-4D1B-BA39-ABD632C4179A}"/>
    <cellStyle name="Porcentual 8 2 3 2 5" xfId="3830" xr:uid="{39C9DCF7-CEA6-4271-AFDA-26092A06EB94}"/>
    <cellStyle name="Porcentual 8 2 3 2 5 2" xfId="3831" xr:uid="{BFBDDA4F-1C5E-46E5-8B40-E6CCE9D167D4}"/>
    <cellStyle name="Porcentual 8 2 3 2 5 3" xfId="3832" xr:uid="{FDDA2E26-BD23-4691-8467-EE400A65AD9A}"/>
    <cellStyle name="Porcentual 8 2 3 2 6" xfId="3833" xr:uid="{507FA572-1C48-4B70-A8AE-C210C018A661}"/>
    <cellStyle name="Porcentual 8 2 3 2 7" xfId="3834" xr:uid="{D6BDC9B4-3B14-4684-AE1E-243D1B8252B1}"/>
    <cellStyle name="Porcentual 8 2 3 2 8" xfId="3835" xr:uid="{816C64EF-0DFA-49D0-9FF3-002807523E46}"/>
    <cellStyle name="Porcentual 8 2 3 3" xfId="3836" xr:uid="{5BC46836-7940-4BB8-8572-53E8E927F08B}"/>
    <cellStyle name="Porcentual 8 2 3 4" xfId="3837" xr:uid="{8E30051C-B82B-4C7F-90DF-FEA716AED0A3}"/>
    <cellStyle name="Porcentual 8 2 3 4 2" xfId="3838" xr:uid="{1F147414-600C-4CE4-8271-51E4AB9CDCC6}"/>
    <cellStyle name="Porcentual 8 2 3 5" xfId="3839" xr:uid="{8FC2AE20-098A-40B0-AAF7-966003623DC7}"/>
    <cellStyle name="Porcentual 8 2 3 5 2" xfId="3840" xr:uid="{A0025A5E-0CC5-4E44-A423-28ED8E91CDEB}"/>
    <cellStyle name="Porcentual 8 2 3 5 3" xfId="3841" xr:uid="{81BF1879-9D59-4DE5-9501-E8DACBC74EDC}"/>
    <cellStyle name="Porcentual 8 2 3 6" xfId="3842" xr:uid="{CBD676CF-FAFF-44F2-8B0F-EFD8771508AF}"/>
    <cellStyle name="Porcentual 8 2 3 6 2" xfId="3843" xr:uid="{FEBCAB99-89B9-464D-B46D-12B735037AA5}"/>
    <cellStyle name="Porcentual 8 2 3 6 3" xfId="3844" xr:uid="{A25F5C7A-B1AE-4470-9927-D0CE078F9536}"/>
    <cellStyle name="Porcentual 8 2 3 7" xfId="3845" xr:uid="{BCAE20B5-88F9-48D0-BA4A-AC0AF52D2CF7}"/>
    <cellStyle name="Porcentual 8 2 3 8" xfId="3846" xr:uid="{C28BFE76-3A84-436D-B144-1BD162591AB7}"/>
    <cellStyle name="Porcentual 8 2 3 9" xfId="3847" xr:uid="{241307F1-91E3-4C2A-B680-BBF17EDCD3E5}"/>
    <cellStyle name="Porcentual 8 2 4" xfId="3848" xr:uid="{48F14CE5-06FC-470D-AB0F-FA25F45F87CB}"/>
    <cellStyle name="Porcentual 8 2 4 2" xfId="3849" xr:uid="{387A2D5F-233E-4161-8B81-A7629CEDE4BF}"/>
    <cellStyle name="Porcentual 8 2 4 3" xfId="3850" xr:uid="{B44E4FA5-2B2E-487D-A3DF-DF5899D26528}"/>
    <cellStyle name="Porcentual 8 2 4 3 2" xfId="3851" xr:uid="{5DD90BA9-6B9A-40BD-AB0E-DF00907AA44C}"/>
    <cellStyle name="Porcentual 8 2 4 4" xfId="3852" xr:uid="{04B2CCA6-FA8F-453A-A59D-FEE76890FDED}"/>
    <cellStyle name="Porcentual 8 2 4 4 2" xfId="3853" xr:uid="{0A34965C-35B4-4FAD-AA53-379CEBDB8305}"/>
    <cellStyle name="Porcentual 8 2 4 4 3" xfId="3854" xr:uid="{DFD46F08-D290-46C4-BC1D-BEAD8B2FEBAB}"/>
    <cellStyle name="Porcentual 8 2 4 5" xfId="3855" xr:uid="{C8692969-3ADC-4300-B76C-23621AD54E15}"/>
    <cellStyle name="Porcentual 8 2 4 5 2" xfId="3856" xr:uid="{45DCF8DA-44F4-403A-82FA-51742631D657}"/>
    <cellStyle name="Porcentual 8 2 4 5 3" xfId="3857" xr:uid="{0F4357D6-4F80-414E-B84E-AA218662796B}"/>
    <cellStyle name="Porcentual 8 2 4 6" xfId="3858" xr:uid="{8D324167-9FBA-4E17-8183-56AB0779E305}"/>
    <cellStyle name="Porcentual 8 2 4 7" xfId="3859" xr:uid="{A8A4C143-5E78-4755-9CA1-601B18FFF27D}"/>
    <cellStyle name="Porcentual 8 2 4 8" xfId="3860" xr:uid="{580C240C-5295-4064-8845-DDD55F523AAB}"/>
    <cellStyle name="Porcentual 8 2 5" xfId="3861" xr:uid="{02A2A82E-FEE4-4ECA-8C6B-5520ADD04857}"/>
    <cellStyle name="Porcentual 8 2 6" xfId="3862" xr:uid="{2B4828FD-F544-408D-A098-B980AEF7098C}"/>
    <cellStyle name="Porcentual 8 2 6 2" xfId="3863" xr:uid="{73793B64-D2CC-4FF5-A80E-2FEB72373222}"/>
    <cellStyle name="Porcentual 8 2 7" xfId="3864" xr:uid="{3CD2EF83-92A3-42EA-91CD-CAC8B0C45785}"/>
    <cellStyle name="Porcentual 8 2 7 2" xfId="3865" xr:uid="{33A678A6-2C12-4B84-A6C4-7B11E8A9F933}"/>
    <cellStyle name="Porcentual 8 2 7 3" xfId="3866" xr:uid="{B0288CB1-601F-4223-AFD6-C9E75E900C07}"/>
    <cellStyle name="Porcentual 8 2 8" xfId="3867" xr:uid="{8AC8F4CE-4AD0-4233-B4C6-88F207623A72}"/>
    <cellStyle name="Porcentual 8 2 8 2" xfId="3868" xr:uid="{E14F153D-5FF3-418E-B31A-F6DC57CB36C6}"/>
    <cellStyle name="Porcentual 8 2 8 3" xfId="3869" xr:uid="{22C901CA-721C-4368-8AD6-C5109A6CE1B4}"/>
    <cellStyle name="Porcentual 8 2 9" xfId="3870" xr:uid="{BDA49278-65F7-460F-B2A4-8A8DB28D5CFA}"/>
    <cellStyle name="Porcentual 8 3" xfId="3871" xr:uid="{B3B33ED0-58E8-4EA3-94C3-01147AE5EC04}"/>
    <cellStyle name="Porcentual 8 3 2" xfId="3872" xr:uid="{10F4DD18-5408-4A96-810D-6CD39CF3694B}"/>
    <cellStyle name="Porcentual 8 3 2 2" xfId="3873" xr:uid="{D806CA60-6C10-49FC-BEB7-E6173294BB1A}"/>
    <cellStyle name="Porcentual 8 3 2 3" xfId="3874" xr:uid="{BAB92C45-02CF-449F-8F83-0E53C776FAC0}"/>
    <cellStyle name="Porcentual 8 3 2 3 2" xfId="3875" xr:uid="{DEBC08FF-9B37-4231-BA13-5A26472F859A}"/>
    <cellStyle name="Porcentual 8 3 2 4" xfId="3876" xr:uid="{9EF7ED73-D3A9-44CB-81B7-7D8BEB30A23D}"/>
    <cellStyle name="Porcentual 8 3 2 4 2" xfId="3877" xr:uid="{6F8E93DC-1A8E-480F-9950-C5368F283817}"/>
    <cellStyle name="Porcentual 8 3 2 4 3" xfId="3878" xr:uid="{5C4C7BC7-8E2F-4388-9E6D-355B70330613}"/>
    <cellStyle name="Porcentual 8 3 2 5" xfId="3879" xr:uid="{0A244382-1460-4A6C-9B94-B4EAD413CFF4}"/>
    <cellStyle name="Porcentual 8 3 2 5 2" xfId="3880" xr:uid="{A410C046-8AE1-40F1-9E73-566592968E06}"/>
    <cellStyle name="Porcentual 8 3 2 5 3" xfId="3881" xr:uid="{B20CD28D-CF66-4307-ACCB-F7187D2C315D}"/>
    <cellStyle name="Porcentual 8 3 2 6" xfId="3882" xr:uid="{A2B01891-29ED-4246-A253-BAA63A4CC173}"/>
    <cellStyle name="Porcentual 8 3 2 7" xfId="3883" xr:uid="{A1DE547E-A241-4FF4-99BB-ECEA58420C45}"/>
    <cellStyle name="Porcentual 8 3 2 8" xfId="3884" xr:uid="{7B95B282-612E-41FB-A505-61D0944AD2EF}"/>
    <cellStyle name="Porcentual 8 3 3" xfId="3885" xr:uid="{F38D7195-6071-454B-A0FD-DEA1CD6F6283}"/>
    <cellStyle name="Porcentual 8 3 4" xfId="3886" xr:uid="{B1A8FC34-F773-4447-8FCB-F60BD7ED7732}"/>
    <cellStyle name="Porcentual 8 3 4 2" xfId="3887" xr:uid="{C69AAAD6-71FE-4346-9517-CEE92B5DAE91}"/>
    <cellStyle name="Porcentual 8 3 5" xfId="3888" xr:uid="{1FF139FB-1583-4C89-8DB0-C58912312621}"/>
    <cellStyle name="Porcentual 8 3 5 2" xfId="3889" xr:uid="{DECB379B-0381-44EB-8CFF-508360DE1405}"/>
    <cellStyle name="Porcentual 8 3 5 3" xfId="3890" xr:uid="{484B40CA-28F4-41AB-86AC-D5459CBB54DB}"/>
    <cellStyle name="Porcentual 8 3 6" xfId="3891" xr:uid="{A4C5EFFD-D1DB-4EBE-9193-894CF8ADCF6A}"/>
    <cellStyle name="Porcentual 8 3 6 2" xfId="3892" xr:uid="{DDAA6229-6912-4765-93BB-8948A2F93A93}"/>
    <cellStyle name="Porcentual 8 3 6 3" xfId="3893" xr:uid="{3DC9202B-43F0-4484-903D-A84C6B30D77B}"/>
    <cellStyle name="Porcentual 8 3 7" xfId="3894" xr:uid="{EA28FE6D-A6AC-4A68-A05E-941CF9920D67}"/>
    <cellStyle name="Porcentual 8 3 8" xfId="3895" xr:uid="{0E16D0EA-220F-4971-9898-F51A902042A7}"/>
    <cellStyle name="Porcentual 8 3 9" xfId="3896" xr:uid="{9952F89B-E75C-41FB-B781-E58A74F62D6A}"/>
    <cellStyle name="Porcentual 8 4" xfId="3897" xr:uid="{67D136A6-53CB-4D53-A330-0D040F4C07D9}"/>
    <cellStyle name="Porcentual 8 4 2" xfId="3898" xr:uid="{71428A9E-9F18-4DBC-9492-4C778E002679}"/>
    <cellStyle name="Porcentual 8 4 2 2" xfId="3899" xr:uid="{8C1C2CA2-2D63-494A-99BD-EAF92317995C}"/>
    <cellStyle name="Porcentual 8 4 2 3" xfId="3900" xr:uid="{8347E0E0-48E7-44CF-AD31-2A9347A68965}"/>
    <cellStyle name="Porcentual 8 4 2 3 2" xfId="3901" xr:uid="{1C40D455-E1EE-453D-AB52-9830160A89EB}"/>
    <cellStyle name="Porcentual 8 4 2 4" xfId="3902" xr:uid="{49A9F278-1B06-49BE-9AC7-59C209175E23}"/>
    <cellStyle name="Porcentual 8 4 2 4 2" xfId="3903" xr:uid="{30CF16AE-BD96-466C-ADAB-54B147D89DD8}"/>
    <cellStyle name="Porcentual 8 4 2 4 3" xfId="3904" xr:uid="{5539F8BF-67CB-451E-B560-6D02FDB6F026}"/>
    <cellStyle name="Porcentual 8 4 2 5" xfId="3905" xr:uid="{D412299D-B9D7-4F86-883D-840DAF179AF7}"/>
    <cellStyle name="Porcentual 8 4 2 5 2" xfId="3906" xr:uid="{E3635DCE-EC8A-4F0B-A6CC-130A25D88FA7}"/>
    <cellStyle name="Porcentual 8 4 2 5 3" xfId="3907" xr:uid="{D0AFA7BE-5A8A-42CF-9B04-29921F7EC8F8}"/>
    <cellStyle name="Porcentual 8 4 2 6" xfId="3908" xr:uid="{A6E880F0-5F99-420A-8D32-BD6A8B10D1C7}"/>
    <cellStyle name="Porcentual 8 4 2 7" xfId="3909" xr:uid="{C29A6B58-A519-4837-AFC2-F12CAC50C6B0}"/>
    <cellStyle name="Porcentual 8 4 2 8" xfId="3910" xr:uid="{D1E1A796-6C97-46C4-8C29-0CE0B589A38B}"/>
    <cellStyle name="Porcentual 8 4 3" xfId="3911" xr:uid="{623F44AB-B39C-401A-ADB1-0772130D776D}"/>
    <cellStyle name="Porcentual 8 4 4" xfId="3912" xr:uid="{088936F1-096A-4E56-816B-DA800CCC1A00}"/>
    <cellStyle name="Porcentual 8 4 4 2" xfId="3913" xr:uid="{27B7E759-7A30-4AFE-A9C7-618F59439EBD}"/>
    <cellStyle name="Porcentual 8 4 5" xfId="3914" xr:uid="{9108DBAD-92F7-45DC-8E23-A68E61743488}"/>
    <cellStyle name="Porcentual 8 4 5 2" xfId="3915" xr:uid="{F07207A0-09F1-4E38-9898-F8D0CA5BE60D}"/>
    <cellStyle name="Porcentual 8 4 5 3" xfId="3916" xr:uid="{7618CAFA-EB81-4323-88A1-7B64C3352C36}"/>
    <cellStyle name="Porcentual 8 4 6" xfId="3917" xr:uid="{569DCC46-F714-4CDB-AF2F-B81C62651CE9}"/>
    <cellStyle name="Porcentual 8 4 6 2" xfId="3918" xr:uid="{BAC8E7E7-7A6B-42E5-92F2-667C7377E82F}"/>
    <cellStyle name="Porcentual 8 4 6 3" xfId="3919" xr:uid="{B20D7A96-DC69-4C70-A3E6-03B25746E9A2}"/>
    <cellStyle name="Porcentual 8 4 7" xfId="3920" xr:uid="{0F5EDC16-1B52-484F-B050-BAD9B72CA27A}"/>
    <cellStyle name="Porcentual 8 4 8" xfId="3921" xr:uid="{DB7B8BC1-80DF-4FBB-BEC5-9A1DDE6E552D}"/>
    <cellStyle name="Porcentual 8 4 9" xfId="3922" xr:uid="{05CFD3C3-86E4-419D-A56B-9D3F3761D2DD}"/>
    <cellStyle name="Porcentual 8 5" xfId="3923" xr:uid="{1F728C44-CCA7-46FA-BBC3-8A771B0B9EA0}"/>
    <cellStyle name="Porcentual 8 5 2" xfId="3924" xr:uid="{E72F6ED7-244F-47EC-9285-D8614CE0D8A4}"/>
    <cellStyle name="Porcentual 8 5 3" xfId="3925" xr:uid="{28ADF960-6F80-4CE5-8AAF-BF374BF6212C}"/>
    <cellStyle name="Porcentual 8 5 3 2" xfId="3926" xr:uid="{AE11C407-CF04-43CD-AEFB-C2E3392D7628}"/>
    <cellStyle name="Porcentual 8 5 4" xfId="3927" xr:uid="{6EEDF77F-46C9-4697-ABF4-AF8F7206F5F6}"/>
    <cellStyle name="Porcentual 8 5 4 2" xfId="3928" xr:uid="{BF2A1F86-A9DD-40DE-8DDC-7E746DF6F8B2}"/>
    <cellStyle name="Porcentual 8 5 4 3" xfId="3929" xr:uid="{C2FACD23-D391-4F68-95CB-F1CE4C2E031D}"/>
    <cellStyle name="Porcentual 8 5 5" xfId="3930" xr:uid="{B1E40716-ED77-4463-A153-20CD7F838AB6}"/>
    <cellStyle name="Porcentual 8 5 5 2" xfId="3931" xr:uid="{3CF25852-D17C-482F-BC93-31401CB9FE15}"/>
    <cellStyle name="Porcentual 8 5 5 3" xfId="3932" xr:uid="{61D658A6-74A5-483B-8E50-DC13B3CF88A2}"/>
    <cellStyle name="Porcentual 8 5 6" xfId="3933" xr:uid="{E4255F23-79BF-43D0-AE91-91E33AF44984}"/>
    <cellStyle name="Porcentual 8 5 7" xfId="3934" xr:uid="{9A2C42C7-AE5E-4D2E-946E-4D08E3A6184F}"/>
    <cellStyle name="Porcentual 8 5 8" xfId="3935" xr:uid="{187423F1-5F61-4FA5-B45A-35EAD3A3EFEA}"/>
    <cellStyle name="Porcentual 8 6" xfId="3936" xr:uid="{0EEB413F-58A2-481D-AFF7-99FB27071B03}"/>
    <cellStyle name="Porcentual 8 7" xfId="3937" xr:uid="{F72C11B9-8620-4582-8830-A6229DB97283}"/>
    <cellStyle name="Porcentual 8 7 2" xfId="3938" xr:uid="{51FA0BFC-FB78-466D-BF78-11E9A8CFD4A4}"/>
    <cellStyle name="Porcentual 8 8" xfId="3939" xr:uid="{D7C0AD20-AFED-406E-95CE-1AC89F37914D}"/>
    <cellStyle name="Porcentual 8 8 2" xfId="3940" xr:uid="{127C56B5-FEE3-4536-9557-231610781D31}"/>
    <cellStyle name="Porcentual 8 8 3" xfId="3941" xr:uid="{6E7E3E34-CA69-44B4-BC8C-49E32D373886}"/>
    <cellStyle name="Porcentual 8 9" xfId="3942" xr:uid="{837731D1-1329-43CF-9D9C-483CB9C24E45}"/>
    <cellStyle name="Porcentual 8 9 2" xfId="3943" xr:uid="{353546D6-F93C-426D-81B4-7B7A27726111}"/>
    <cellStyle name="Porcentual 8 9 3" xfId="3944" xr:uid="{A3D47239-0E5D-4024-953D-D9AF5E466AD3}"/>
    <cellStyle name="Porcentual 9" xfId="3945" xr:uid="{79B6FB3A-8F52-4884-B296-225314F76139}"/>
    <cellStyle name="Punto0" xfId="3946" xr:uid="{7E460AAB-F453-4103-913A-EB66440D86C4}"/>
    <cellStyle name="Salida 10" xfId="3947" xr:uid="{15CB8612-1D1D-4531-B8F7-0139AD3A3C5F}"/>
    <cellStyle name="Salida 10 2" xfId="3948" xr:uid="{4EE0F295-FA5E-4F89-9DDC-1E9C77B70DC6}"/>
    <cellStyle name="Salida 10 2 2" xfId="3949" xr:uid="{F0966765-3611-4B79-BA5B-686AD3BC085A}"/>
    <cellStyle name="Salida 10 3" xfId="3950" xr:uid="{E184AD6A-DA22-4C36-9C81-8E8557166AFC}"/>
    <cellStyle name="Salida 10 3 2" xfId="3951" xr:uid="{BFE63595-C623-470E-92CA-A8F69475F155}"/>
    <cellStyle name="Salida 10 3 3" xfId="3952" xr:uid="{F987DF37-BE0A-4DB3-A337-8A8303B9B645}"/>
    <cellStyle name="Salida 11" xfId="3953" xr:uid="{4EBA7EA7-7B08-4AF6-87DC-A374D64742FF}"/>
    <cellStyle name="Salida 11 2" xfId="3954" xr:uid="{3B150F6C-64ED-490F-B42A-CCCB9111DA74}"/>
    <cellStyle name="Salida 11 2 2" xfId="3955" xr:uid="{6EE05730-AB60-472F-ADFE-8960C91800A4}"/>
    <cellStyle name="Salida 11 3" xfId="3956" xr:uid="{54EFDEC7-DB2D-4F71-974A-4BAC081E1BC3}"/>
    <cellStyle name="Salida 11 3 2" xfId="3957" xr:uid="{9F5F0C1D-1486-4931-9D79-5ED8A93EA66D}"/>
    <cellStyle name="Salida 11 3 3" xfId="3958" xr:uid="{A75F5D25-B400-464A-BB99-49B8C26C6699}"/>
    <cellStyle name="Salida 12" xfId="3959" xr:uid="{69C430B4-FBEF-485F-AB3A-706CD0F601E5}"/>
    <cellStyle name="Salida 12 2" xfId="3960" xr:uid="{C4DC1A8D-8761-46A0-9C64-74F7D802BE48}"/>
    <cellStyle name="Salida 12 2 2" xfId="3961" xr:uid="{C0F0796F-62EB-4620-AD57-1C5D6F68AB33}"/>
    <cellStyle name="Salida 12 3" xfId="3962" xr:uid="{B069A950-F4C5-435A-B94C-42C8E78A6E31}"/>
    <cellStyle name="Salida 12 3 2" xfId="3963" xr:uid="{FA9CC626-6B84-4CD4-9304-E805C420E9EE}"/>
    <cellStyle name="Salida 12 3 3" xfId="3964" xr:uid="{95FFEEDF-1FB8-4A37-BB3A-C7627EC0B390}"/>
    <cellStyle name="Salida 13" xfId="3965" xr:uid="{799FB7AF-1400-46E9-BA06-16C661010A9A}"/>
    <cellStyle name="Salida 13 2" xfId="3966" xr:uid="{7EED30F7-2A87-4382-8F0E-2E3C4CBD61D6}"/>
    <cellStyle name="Salida 13 2 2" xfId="3967" xr:uid="{D24570E6-C8BE-4B52-8D23-210C95F62623}"/>
    <cellStyle name="Salida 13 3" xfId="3968" xr:uid="{A90C63DF-1DE3-41CB-8A1C-AF7D257592A4}"/>
    <cellStyle name="Salida 13 3 2" xfId="3969" xr:uid="{CBA16708-1E58-4558-A602-032B96FD4FD4}"/>
    <cellStyle name="Salida 13 3 3" xfId="3970" xr:uid="{1512144C-5723-442A-93B1-E4261B42F958}"/>
    <cellStyle name="Salida 14" xfId="3971" xr:uid="{8E42420D-82B2-4DA3-BFC1-A7E3261EE2A8}"/>
    <cellStyle name="Salida 14 2" xfId="3972" xr:uid="{40D30B66-4398-4B58-815A-C92D74990A7F}"/>
    <cellStyle name="Salida 14 2 2" xfId="3973" xr:uid="{8A2586BC-18A8-4F7B-BFC0-9EE76D8400B5}"/>
    <cellStyle name="Salida 14 3" xfId="3974" xr:uid="{88A31565-F02A-4B47-AAE1-26CFD7CAE660}"/>
    <cellStyle name="Salida 14 3 2" xfId="3975" xr:uid="{9CC411DB-B68E-4894-B53D-CC71ACDC84D9}"/>
    <cellStyle name="Salida 14 3 3" xfId="3976" xr:uid="{A87EBABD-3400-4380-AB3A-677DB780847B}"/>
    <cellStyle name="Salida 15" xfId="3977" xr:uid="{CA9B79C7-2832-4ABE-ADBF-F0FF1DBDEB43}"/>
    <cellStyle name="Salida 15 2" xfId="3978" xr:uid="{63DB1B1D-3008-4338-9B20-405EDCDEE112}"/>
    <cellStyle name="Salida 15 2 2" xfId="3979" xr:uid="{6874E7DC-CD64-4BB6-8A46-771FA09F3827}"/>
    <cellStyle name="Salida 15 3" xfId="3980" xr:uid="{BAF9EE14-1C7F-414A-B0FD-910A816E3220}"/>
    <cellStyle name="Salida 15 3 2" xfId="3981" xr:uid="{3A7F1290-D7AD-4463-BF61-99D71AEA47FB}"/>
    <cellStyle name="Salida 15 3 3" xfId="3982" xr:uid="{79354823-587A-4040-8F7B-6FB19B95BD3F}"/>
    <cellStyle name="Salida 16" xfId="3983" xr:uid="{64D19B79-BDF0-42E6-975E-8FF8FBEC4933}"/>
    <cellStyle name="Salida 16 2" xfId="3984" xr:uid="{14B8F4B0-9042-4DE4-8AB9-97F96E4BC480}"/>
    <cellStyle name="Salida 16 2 2" xfId="3985" xr:uid="{C6519A6A-CDAD-4EC0-8E52-B4188CE3DE01}"/>
    <cellStyle name="Salida 16 3" xfId="3986" xr:uid="{E4F63036-70C2-4E53-BD41-8620C6934D6A}"/>
    <cellStyle name="Salida 16 3 2" xfId="3987" xr:uid="{4FFBB0DF-151B-486D-87C0-D3A6495E7B12}"/>
    <cellStyle name="Salida 16 3 3" xfId="3988" xr:uid="{D5167F29-3460-4685-824B-4FB192C7F369}"/>
    <cellStyle name="Salida 17" xfId="3989" xr:uid="{89EFA814-D967-4131-BDCD-608588B20082}"/>
    <cellStyle name="Salida 17 2" xfId="3990" xr:uid="{2335F9A7-BCBC-41F1-A203-11AB67898963}"/>
    <cellStyle name="Salida 17 2 2" xfId="3991" xr:uid="{BD0789E6-4FD5-41B4-85D5-02B1BF0470A1}"/>
    <cellStyle name="Salida 17 3" xfId="3992" xr:uid="{E182B7B2-85F5-4918-A1C5-378746BD5DBC}"/>
    <cellStyle name="Salida 17 3 2" xfId="3993" xr:uid="{182E17A8-CB08-401B-9702-A43FE61FF337}"/>
    <cellStyle name="Salida 17 3 3" xfId="3994" xr:uid="{910CE083-4BB8-4E14-B631-C643C0972677}"/>
    <cellStyle name="Salida 18" xfId="3995" xr:uid="{10788F36-3514-4A48-B460-BD0E3BA73E02}"/>
    <cellStyle name="Salida 18 2" xfId="3996" xr:uid="{3544C5FB-321C-4F2A-83A5-5F8C50D55E0D}"/>
    <cellStyle name="Salida 18 2 2" xfId="3997" xr:uid="{8515D12C-8E60-448F-B3C0-5C29C5BAFC8F}"/>
    <cellStyle name="Salida 18 3" xfId="3998" xr:uid="{6AF7A19A-869E-489F-A748-09851C31EB40}"/>
    <cellStyle name="Salida 18 3 2" xfId="3999" xr:uid="{2ECB3D83-A763-4ED1-B690-4DD2C59FC62D}"/>
    <cellStyle name="Salida 18 3 3" xfId="4000" xr:uid="{A94423A2-8451-457D-8B95-A0863703DB1C}"/>
    <cellStyle name="Salida 19" xfId="4001" xr:uid="{844BC28E-307A-4DE7-A618-70B54126FEDB}"/>
    <cellStyle name="Salida 19 2" xfId="4002" xr:uid="{4CF0D27B-CB88-4884-B9D7-5675C499FBE2}"/>
    <cellStyle name="Salida 19 2 2" xfId="4003" xr:uid="{9C6CD2F6-5656-4FF9-8E9E-867737157121}"/>
    <cellStyle name="Salida 19 3" xfId="4004" xr:uid="{7E96BFB9-47FD-407E-9501-3AB0C371094A}"/>
    <cellStyle name="Salida 19 3 2" xfId="4005" xr:uid="{106DCC32-0DA8-4D0B-A117-C4C5B8C97F0C}"/>
    <cellStyle name="Salida 19 3 3" xfId="4006" xr:uid="{D0F50F53-633B-4496-AC19-9F7454D5D9B3}"/>
    <cellStyle name="Salida 2" xfId="4007" xr:uid="{01A21F9A-3CDE-44E3-A231-75133D11F62E}"/>
    <cellStyle name="Salida 2 2" xfId="4008" xr:uid="{E4257523-676B-4D1F-8643-69F67E22A8AB}"/>
    <cellStyle name="Salida 2 2 2" xfId="4009" xr:uid="{4A09BA7C-6889-40BF-B5F5-DB5E2ADB98AC}"/>
    <cellStyle name="Salida 2 2 2 2" xfId="4010" xr:uid="{9BEE6708-5221-43FD-8426-2F18E9CF3F96}"/>
    <cellStyle name="Salida 2 2 3" xfId="4011" xr:uid="{B6907CE9-6009-4AA9-B531-921D7011F785}"/>
    <cellStyle name="Salida 2 2 3 2" xfId="4012" xr:uid="{1F8FFC1B-2EF8-4E09-BD19-1F938930E71F}"/>
    <cellStyle name="Salida 2 2 3 3" xfId="4013" xr:uid="{A1CF2702-3EE9-429B-9371-746F920A4699}"/>
    <cellStyle name="Salida 2 3" xfId="4014" xr:uid="{4A6EDC4E-7528-4E60-BC84-66945CE6B8EC}"/>
    <cellStyle name="Salida 2 3 2" xfId="4015" xr:uid="{8FC63CEE-785B-4FAE-A5B4-92A8C03E1C49}"/>
    <cellStyle name="Salida 2 4" xfId="4016" xr:uid="{8AAFEDDD-E5DF-432F-AACB-A9CA58E218FA}"/>
    <cellStyle name="Salida 2 4 2" xfId="4017" xr:uid="{28AB70A7-2611-4500-93F5-1FC080B9D53F}"/>
    <cellStyle name="Salida 2 4 3" xfId="4018" xr:uid="{CD5E3D87-57AF-4EB6-9E3A-48E9DA77385F}"/>
    <cellStyle name="Salida 2 5" xfId="4019" xr:uid="{5F2064FF-F24C-4DB3-B7DB-EC9A507E9E6B}"/>
    <cellStyle name="Salida 20" xfId="4020" xr:uid="{21176453-0899-4CE7-8C2E-7FEF3D479052}"/>
    <cellStyle name="Salida 20 2" xfId="4021" xr:uid="{F1E7CB51-3F6B-4B27-B402-C3326E8A4A9F}"/>
    <cellStyle name="Salida 20 2 2" xfId="4022" xr:uid="{9CD7429C-2302-45BA-B869-0C09C6B602CF}"/>
    <cellStyle name="Salida 20 3" xfId="4023" xr:uid="{F7B54C0A-F7B8-4D48-A3AD-7741B9F5467A}"/>
    <cellStyle name="Salida 20 3 2" xfId="4024" xr:uid="{1D4AE1B3-8445-483D-A7D5-0604584B1C19}"/>
    <cellStyle name="Salida 20 3 3" xfId="4025" xr:uid="{58E212B5-01C1-4258-AFB1-DE058E9280FA}"/>
    <cellStyle name="Salida 21" xfId="4026" xr:uid="{74ACB7BD-F806-448E-8B14-C471F1373706}"/>
    <cellStyle name="Salida 22" xfId="4027" xr:uid="{1BD8FF3D-D237-4F66-9671-9E2F5D54138D}"/>
    <cellStyle name="Salida 22 2" xfId="4028" xr:uid="{302C3616-E97D-4E09-A78C-A1C15EAE7A61}"/>
    <cellStyle name="Salida 23" xfId="4029" xr:uid="{B06E0D1A-C97D-45C6-9DF2-CBB8CC792851}"/>
    <cellStyle name="Salida 3" xfId="4030" xr:uid="{2DB30DAF-2A70-4D40-B712-0A2B93BD4F34}"/>
    <cellStyle name="Salida 3 2" xfId="4031" xr:uid="{082D1E0C-C182-46BE-BBEC-9979C9C4F454}"/>
    <cellStyle name="Salida 3 2 2" xfId="4032" xr:uid="{A2EA5A64-AD1A-4FE1-9CFA-552FC76BFE68}"/>
    <cellStyle name="Salida 3 3" xfId="4033" xr:uid="{52F2D2EB-E883-459B-AD80-AED3259C28AD}"/>
    <cellStyle name="Salida 3 3 2" xfId="4034" xr:uid="{C17724FA-A2F0-4AA7-B02C-00A5594336B1}"/>
    <cellStyle name="Salida 3 3 3" xfId="4035" xr:uid="{7DB77975-02DC-40ED-81AA-707B13E807AB}"/>
    <cellStyle name="Salida 3 4" xfId="4036" xr:uid="{846AB864-7772-47FF-AA8E-81CC62A67397}"/>
    <cellStyle name="Salida 4" xfId="4037" xr:uid="{401035DE-CA59-49B6-9EB5-C5FA9393F959}"/>
    <cellStyle name="Salida 4 2" xfId="4038" xr:uid="{61ADEC89-FC80-4D62-AED8-A30B10BF3533}"/>
    <cellStyle name="Salida 4 2 2" xfId="4039" xr:uid="{58C46938-239A-4786-9E7F-171CA92588D9}"/>
    <cellStyle name="Salida 4 3" xfId="4040" xr:uid="{9103F2FA-3971-4B1F-A61A-36813166A28D}"/>
    <cellStyle name="Salida 4 3 2" xfId="4041" xr:uid="{F9849B88-41D9-427A-AC63-F71E94ABC64F}"/>
    <cellStyle name="Salida 4 3 3" xfId="4042" xr:uid="{562D5049-0D14-4556-9B40-95F7255CAB6E}"/>
    <cellStyle name="Salida 5" xfId="4043" xr:uid="{47761040-82E1-417C-A7EA-B470244FF20F}"/>
    <cellStyle name="Salida 5 2" xfId="4044" xr:uid="{42FF3AA3-377A-463C-9F55-A4C60655B41D}"/>
    <cellStyle name="Salida 5 2 2" xfId="4045" xr:uid="{19D337DE-80EC-409E-97FC-CC25E61211E8}"/>
    <cellStyle name="Salida 5 3" xfId="4046" xr:uid="{5270A243-2695-4D1D-A3DB-10E19A33DED4}"/>
    <cellStyle name="Salida 5 3 2" xfId="4047" xr:uid="{4AE0C208-7759-482E-8407-21DA2D9A7490}"/>
    <cellStyle name="Salida 5 3 3" xfId="4048" xr:uid="{58A7515C-705A-4BAF-AC6C-2031CD11EAAD}"/>
    <cellStyle name="Salida 6" xfId="4049" xr:uid="{2F4B2938-D27E-4B39-9B66-161324A53E7C}"/>
    <cellStyle name="Salida 6 2" xfId="4050" xr:uid="{4B087D63-15F9-4EAC-9AB4-F6D5CD16C094}"/>
    <cellStyle name="Salida 6 2 2" xfId="4051" xr:uid="{A68FB323-4027-453D-9B02-418E3664BC1E}"/>
    <cellStyle name="Salida 6 3" xfId="4052" xr:uid="{EFAFA456-2D7B-4ECB-BF50-589BF5E2B32F}"/>
    <cellStyle name="Salida 6 3 2" xfId="4053" xr:uid="{AB140377-8928-470F-83A3-8D65F83F9A5F}"/>
    <cellStyle name="Salida 6 3 3" xfId="4054" xr:uid="{56A07F99-3350-465E-BC01-E137775B8FB6}"/>
    <cellStyle name="Salida 7" xfId="4055" xr:uid="{7ABE73ED-3F03-4CFC-BC19-BB735A97E84B}"/>
    <cellStyle name="Salida 7 2" xfId="4056" xr:uid="{FEDC66FF-586A-4E72-948C-7596A45328E5}"/>
    <cellStyle name="Salida 7 2 2" xfId="4057" xr:uid="{36A4B60D-2E84-4E97-A841-1994FFDAFE71}"/>
    <cellStyle name="Salida 7 3" xfId="4058" xr:uid="{1E79033A-A61B-4325-A92D-9F2C231151F2}"/>
    <cellStyle name="Salida 7 3 2" xfId="4059" xr:uid="{CFFA5FFA-90E9-420F-87CE-37D839F3F39F}"/>
    <cellStyle name="Salida 7 3 3" xfId="4060" xr:uid="{0B0B858C-8C0D-4A55-BB9F-2DD1BE7BDB8D}"/>
    <cellStyle name="Salida 8" xfId="4061" xr:uid="{12C9BFA2-0951-4A79-AD42-F33F416B96AD}"/>
    <cellStyle name="Salida 8 2" xfId="4062" xr:uid="{BEC2604E-061D-4475-9689-C20007888D8F}"/>
    <cellStyle name="Salida 8 2 2" xfId="4063" xr:uid="{EE7C4970-10F5-4C5C-8661-9FFA63C65AB6}"/>
    <cellStyle name="Salida 8 3" xfId="4064" xr:uid="{76B2B923-4A01-41A5-81BC-C53773FD76BD}"/>
    <cellStyle name="Salida 8 3 2" xfId="4065" xr:uid="{D8FADCDA-99A4-44F7-9A83-032DB249F438}"/>
    <cellStyle name="Salida 8 3 3" xfId="4066" xr:uid="{F025D415-9497-434B-B55D-0738C6FF0EC4}"/>
    <cellStyle name="Salida 9" xfId="4067" xr:uid="{611A4FB2-50FB-482C-95D4-905386B3C9CF}"/>
    <cellStyle name="Salida 9 2" xfId="4068" xr:uid="{DEEB4432-779C-4AD2-BA5B-F31C65BF290E}"/>
    <cellStyle name="Salida 9 2 2" xfId="4069" xr:uid="{CCD5B76B-1DE5-4A2D-AD5F-A265BA71021E}"/>
    <cellStyle name="Salida 9 3" xfId="4070" xr:uid="{2818D303-FC0B-4FC8-99E5-15AD7FC95275}"/>
    <cellStyle name="Salida 9 3 2" xfId="4071" xr:uid="{ABCF9CC6-88B6-402C-A9D6-6C8BF84EB364}"/>
    <cellStyle name="Salida 9 3 3" xfId="4072" xr:uid="{3967676B-9582-4E4A-9B2F-DCC7957E761E}"/>
    <cellStyle name="ssubtitulo" xfId="4073" xr:uid="{A3AD726C-BDDD-42E0-8FD7-1E2D6D3CDD8D}"/>
    <cellStyle name="Standard_EVAL-np" xfId="4074" xr:uid="{DD1D200F-676F-4208-BF3D-926979D271EC}"/>
    <cellStyle name="subtitulo" xfId="4075" xr:uid="{E610AEC2-39EC-4FB6-8AB3-C9445F680240}"/>
    <cellStyle name="Texto de advertencia 2" xfId="4076" xr:uid="{E56A15BC-BB5F-4644-9B91-AEB94C1F9BD8}"/>
    <cellStyle name="Texto de advertencia 2 2" xfId="4077" xr:uid="{CF8309A5-2F57-42AD-BCC0-3532AB75D13A}"/>
    <cellStyle name="Texto de advertencia 3" xfId="4078" xr:uid="{BF5CACAF-3EFF-4F86-A7E7-9940CB3CD282}"/>
    <cellStyle name="Texto de advertencia 3 2" xfId="4079" xr:uid="{905BC640-89C6-4382-B01B-02B2314454CE}"/>
    <cellStyle name="Texto explicativo 2" xfId="4080" xr:uid="{7A6A2B42-22EB-48E5-A5AE-F89690B4570E}"/>
    <cellStyle name="Texto explicativo 2 2" xfId="4081" xr:uid="{DE5B9D80-40C8-4D53-B428-30CE94EF7358}"/>
    <cellStyle name="Texto explicativo 3" xfId="4082" xr:uid="{EEDB305A-BFD8-477B-9AAE-C3453AE7CD7C}"/>
    <cellStyle name="Texto explicativo 3 2" xfId="4083" xr:uid="{89104D4D-D038-4079-99F5-84F850A273A3}"/>
    <cellStyle name="Title 2" xfId="357" xr:uid="{8527F9B6-7C88-4B4D-AD04-CBCA53B25596}"/>
    <cellStyle name="Title 2 2" xfId="4084" xr:uid="{5156F1B0-79D6-4729-A64E-30F6C33B26C2}"/>
    <cellStyle name="Title 2 3" xfId="461" xr:uid="{61C9951D-A9AF-4F6C-BB93-6092ECCCC4CB}"/>
    <cellStyle name="Title 3" xfId="507" xr:uid="{5F0135B7-E54B-4CC2-848D-B0CFB3A8E1DE}"/>
    <cellStyle name="titulo" xfId="4085" xr:uid="{5DB7274C-4454-4BD9-B6E6-C7BDF7FE6379}"/>
    <cellStyle name="Título 1 10" xfId="4086" xr:uid="{D6F35820-45CC-403C-B9D2-39595E5E46A5}"/>
    <cellStyle name="Título 1 11" xfId="4087" xr:uid="{DEE0411B-4284-4D66-B71C-68E55FC0FFF8}"/>
    <cellStyle name="Título 1 12" xfId="4088" xr:uid="{04DA1B21-350D-4E85-89F9-CDD5124B4F76}"/>
    <cellStyle name="Título 1 13" xfId="4089" xr:uid="{DE040303-273E-4155-BB6A-88FCD0341660}"/>
    <cellStyle name="Título 1 14" xfId="4090" xr:uid="{15FE37FE-2B21-4198-8268-536DD0F8F644}"/>
    <cellStyle name="Título 1 15" xfId="4091" xr:uid="{9C3623F4-1E0A-4854-8B30-30C1123E85EA}"/>
    <cellStyle name="Título 1 16" xfId="4092" xr:uid="{8C82BC76-204E-491B-B1F3-AFEC8B91060F}"/>
    <cellStyle name="Título 1 17" xfId="4093" xr:uid="{FDD14C6B-0FC2-4027-8AC9-680D530707EF}"/>
    <cellStyle name="Título 1 18" xfId="4094" xr:uid="{EC8D9B75-5886-4C52-A38B-D523E57D136F}"/>
    <cellStyle name="Título 1 19" xfId="4095" xr:uid="{7E90E293-9EFD-49A3-8EEA-B17489C09A07}"/>
    <cellStyle name="Título 1 2" xfId="4096" xr:uid="{B406C46F-7FD5-4571-9508-784368FC574D}"/>
    <cellStyle name="Título 1 2 2" xfId="4097" xr:uid="{4C491796-7BA7-478D-9F8F-6D13F705031D}"/>
    <cellStyle name="Título 1 20" xfId="4098" xr:uid="{6E7CF83F-063B-47D4-8DB8-60D1720508B8}"/>
    <cellStyle name="Título 1 21" xfId="4099" xr:uid="{B7ADEE03-E96A-4224-B938-93C72BD8F72B}"/>
    <cellStyle name="Título 1 22" xfId="4100" xr:uid="{A6A73C26-FD1F-4753-A24A-310C63798A3C}"/>
    <cellStyle name="Título 1 23" xfId="4101" xr:uid="{1A2C7F9A-8F3D-4768-9391-7F7B8D873CAA}"/>
    <cellStyle name="Título 1 3" xfId="4102" xr:uid="{D1CD4286-F1B1-4F24-A8AD-C3CC8332061A}"/>
    <cellStyle name="Título 1 3 2" xfId="4103" xr:uid="{96B87483-3005-4A66-919A-3C4244642FD0}"/>
    <cellStyle name="Título 1 4" xfId="4104" xr:uid="{F4712B5C-0EBA-4E2B-80CF-43C9EF82BA78}"/>
    <cellStyle name="Título 1 5" xfId="4105" xr:uid="{F72BD837-FD1D-400D-A16E-1E9B39112837}"/>
    <cellStyle name="Título 1 6" xfId="4106" xr:uid="{9DA77FD2-D10D-4E99-B1F2-9EBA43ECAEB7}"/>
    <cellStyle name="Título 1 7" xfId="4107" xr:uid="{EB48E704-8497-4A2A-B937-FF656692F44F}"/>
    <cellStyle name="Título 1 8" xfId="4108" xr:uid="{05F06BC7-5B45-4E0F-88C1-8559EE2265E7}"/>
    <cellStyle name="Título 1 9" xfId="4109" xr:uid="{232ACD53-0E6D-4999-8BD8-0C7AB5A18292}"/>
    <cellStyle name="Título 10" xfId="4110" xr:uid="{9F7848B1-7423-46B0-AAA8-5F262BFC6E4D}"/>
    <cellStyle name="Título 11" xfId="4111" xr:uid="{A0FDA063-8A76-4A84-8FE4-245793A7C86D}"/>
    <cellStyle name="Título 12" xfId="4112" xr:uid="{BBAD9F54-562D-4D61-8DE7-24F983C71A23}"/>
    <cellStyle name="Título 13" xfId="4113" xr:uid="{A8264869-38A5-403C-B44F-064145AA29F8}"/>
    <cellStyle name="Título 14" xfId="4114" xr:uid="{66008708-E9FC-41E6-9718-2C55B19E6C08}"/>
    <cellStyle name="Título 15" xfId="4115" xr:uid="{0FB9487F-E7AF-4EFF-BD24-4E3C1213F781}"/>
    <cellStyle name="Título 16" xfId="4116" xr:uid="{B81783EB-8E70-43AB-BD4A-04391D60492A}"/>
    <cellStyle name="Título 17" xfId="4117" xr:uid="{DF9D8CF3-5AF1-4CBD-990B-A7A7B9FC8CB8}"/>
    <cellStyle name="Título 18" xfId="4118" xr:uid="{10EC272B-4FC4-4543-8149-2BC6DB0D5351}"/>
    <cellStyle name="Título 19" xfId="4119" xr:uid="{F9B68C14-B248-4B8A-88AF-71E9010A5DB7}"/>
    <cellStyle name="Título 2 10" xfId="4120" xr:uid="{9BEF83F6-6B3F-41B9-8667-CAB098E6B3AE}"/>
    <cellStyle name="Título 2 11" xfId="4121" xr:uid="{8A3DE2C9-E6DB-4F5E-9065-1757664114EA}"/>
    <cellStyle name="Título 2 12" xfId="4122" xr:uid="{1DFF6899-DBE8-489D-8EA0-24062A44881E}"/>
    <cellStyle name="Título 2 13" xfId="4123" xr:uid="{EB005F08-B3F8-4112-A58F-6CB3D9715EA9}"/>
    <cellStyle name="Título 2 14" xfId="4124" xr:uid="{F4D2A121-F476-44EB-B6E6-6FB20E2BB32C}"/>
    <cellStyle name="Título 2 15" xfId="4125" xr:uid="{1C49F594-5607-499F-8C36-85DB8A002F07}"/>
    <cellStyle name="Título 2 16" xfId="4126" xr:uid="{42D4CC8D-06E1-4D30-B53E-8ECE9E52E558}"/>
    <cellStyle name="Título 2 17" xfId="4127" xr:uid="{6720098D-4763-4324-8517-CBB53EBE4B28}"/>
    <cellStyle name="Título 2 18" xfId="4128" xr:uid="{B1A496AF-812E-440A-9A97-42F09B3DD270}"/>
    <cellStyle name="Título 2 19" xfId="4129" xr:uid="{46C3A40D-F097-4F97-9726-EE60E0A0B950}"/>
    <cellStyle name="Título 2 2" xfId="4130" xr:uid="{DEE6C02A-BBF7-4C2E-838B-551ADD7893C3}"/>
    <cellStyle name="Título 2 2 2" xfId="4131" xr:uid="{FF2BA52A-274D-46F2-AB0C-0CF2BEA15211}"/>
    <cellStyle name="Título 2 20" xfId="4132" xr:uid="{D039FC43-80F5-4E59-820A-DA17AC8DC6CC}"/>
    <cellStyle name="Título 2 21" xfId="4133" xr:uid="{E9FB10D7-103E-45C5-BA78-BEAC5A12009C}"/>
    <cellStyle name="Título 2 22" xfId="4134" xr:uid="{2B848986-F5C1-4C2F-B167-B7B74C1FB342}"/>
    <cellStyle name="Título 2 23" xfId="4135" xr:uid="{C3226BF2-94DB-45B8-9214-F63133E876C6}"/>
    <cellStyle name="Título 2 3" xfId="4136" xr:uid="{1AB60F21-CEF3-4F60-9F6B-7EF10023D395}"/>
    <cellStyle name="Título 2 3 2" xfId="4137" xr:uid="{2987B7F8-0301-446F-B281-61046F762C25}"/>
    <cellStyle name="Título 2 4" xfId="4138" xr:uid="{CF566DA3-17D2-4394-A9BB-F7E6B99F9091}"/>
    <cellStyle name="Título 2 5" xfId="4139" xr:uid="{A35B7D61-7705-4523-91A4-74AB94FFCE82}"/>
    <cellStyle name="Título 2 6" xfId="4140" xr:uid="{25098801-60B1-4B58-987B-1556A9FD8F4C}"/>
    <cellStyle name="Título 2 7" xfId="4141" xr:uid="{549EDEC3-A018-434D-8F03-7CBCB141DF95}"/>
    <cellStyle name="Título 2 8" xfId="4142" xr:uid="{E453049B-001C-433C-8892-E6709916A50D}"/>
    <cellStyle name="Título 2 9" xfId="4143" xr:uid="{2BE45612-858D-43D1-BC86-762603116404}"/>
    <cellStyle name="Título 20" xfId="4144" xr:uid="{F4B3716F-994E-410D-9E2E-BFC168F8B646}"/>
    <cellStyle name="Título 21" xfId="4145" xr:uid="{85B00220-FEB3-4D27-9445-71D165D22DC5}"/>
    <cellStyle name="Título 22" xfId="4146" xr:uid="{EE88BC16-3A08-44FB-8983-8645E5BDED2C}"/>
    <cellStyle name="Título 23" xfId="4147" xr:uid="{A18E98AC-BA74-42AA-B3B2-66F8ADDADEF4}"/>
    <cellStyle name="Título 24" xfId="4148" xr:uid="{E8EC0235-4390-4F1A-8D18-AA9C6F6CEAAC}"/>
    <cellStyle name="Título 25" xfId="4149" xr:uid="{EE3AA313-CB68-45AD-8A15-5E01653EDE2B}"/>
    <cellStyle name="Título 3 10" xfId="4150" xr:uid="{2D40B557-78FD-4B52-92CE-6AC58471A178}"/>
    <cellStyle name="Título 3 10 2" xfId="4151" xr:uid="{38671E14-19FC-4302-A451-042CB9E9FDB5}"/>
    <cellStyle name="Título 3 10 2 2" xfId="4152" xr:uid="{9E36A0A5-57D8-4B3D-AB86-059DCC9B61F7}"/>
    <cellStyle name="Título 3 10 2 3" xfId="4153" xr:uid="{E1EBF2C8-3E5D-45F1-954A-0CE6D97382F0}"/>
    <cellStyle name="Título 3 10 3" xfId="4154" xr:uid="{F6AB2175-E0E8-4DBE-8017-B48168C489CC}"/>
    <cellStyle name="Título 3 10 4" xfId="4155" xr:uid="{0F778778-81E9-475F-B946-F531992910E7}"/>
    <cellStyle name="Título 3 11" xfId="4156" xr:uid="{AA5B3546-B0A5-4755-A683-64C3F71B92AE}"/>
    <cellStyle name="Título 3 11 2" xfId="4157" xr:uid="{F515FC6C-8CE1-4F8B-9299-BC9CDFB64297}"/>
    <cellStyle name="Título 3 11 2 2" xfId="4158" xr:uid="{9CC27806-2CF0-4CE4-ABDC-5A2C880E88F1}"/>
    <cellStyle name="Título 3 11 2 3" xfId="4159" xr:uid="{4D8CCAC7-BC98-4184-8F27-8F02AF5E4E35}"/>
    <cellStyle name="Título 3 11 3" xfId="4160" xr:uid="{3ADB1F40-5441-450A-A3BC-F68B0C205330}"/>
    <cellStyle name="Título 3 11 4" xfId="4161" xr:uid="{3C92F653-94A1-48A4-B6FF-39258BFFF1D7}"/>
    <cellStyle name="Título 3 12" xfId="4162" xr:uid="{CD9DCCF5-22A9-4F67-A992-398EF38D7C2E}"/>
    <cellStyle name="Título 3 12 2" xfId="4163" xr:uid="{A5EC359D-0474-4C2A-A969-88B629313A0C}"/>
    <cellStyle name="Título 3 12 2 2" xfId="4164" xr:uid="{6A18D030-21C5-459C-99C5-25ECF22F3153}"/>
    <cellStyle name="Título 3 12 2 3" xfId="4165" xr:uid="{28B602EE-967B-4DEE-AB7F-71B2F53E10C9}"/>
    <cellStyle name="Título 3 12 3" xfId="4166" xr:uid="{EEFCE463-7F68-4B59-A70B-0959AFDE1BF3}"/>
    <cellStyle name="Título 3 12 4" xfId="4167" xr:uid="{53825C69-4A2A-461E-9490-A0E5C6E9B9FB}"/>
    <cellStyle name="Título 3 13" xfId="4168" xr:uid="{66607691-5408-497F-A8B3-40974226B6E6}"/>
    <cellStyle name="Título 3 13 2" xfId="4169" xr:uid="{D8C35290-9730-4860-85A2-93E6FDFBFAB6}"/>
    <cellStyle name="Título 3 13 2 2" xfId="4170" xr:uid="{612201AB-6CAB-4CF9-9197-B81266EAA17B}"/>
    <cellStyle name="Título 3 13 2 3" xfId="4171" xr:uid="{FABCDA9C-8AE5-4A0B-AC74-37AA9949284F}"/>
    <cellStyle name="Título 3 13 3" xfId="4172" xr:uid="{78A279CF-C9AF-497E-B7D2-71C10776B7AA}"/>
    <cellStyle name="Título 3 13 4" xfId="4173" xr:uid="{80DC8DEE-8A67-40D7-9641-B8CEC1FF7DA4}"/>
    <cellStyle name="Título 3 14" xfId="4174" xr:uid="{640F34FD-7578-467D-8E35-4795E06A573A}"/>
    <cellStyle name="Título 3 14 2" xfId="4175" xr:uid="{03DF5468-6B24-4ED2-BA3B-58BC5FBE7BB9}"/>
    <cellStyle name="Título 3 14 2 2" xfId="4176" xr:uid="{834821BA-A8AA-44AF-A028-D054F24A6947}"/>
    <cellStyle name="Título 3 14 2 3" xfId="4177" xr:uid="{0983434C-EBD5-4C31-80E7-0A9C4DF0D4DE}"/>
    <cellStyle name="Título 3 14 3" xfId="4178" xr:uid="{FB0D98A4-7235-4096-933D-0FDB1E3FEA1B}"/>
    <cellStyle name="Título 3 14 4" xfId="4179" xr:uid="{04ECF507-C316-4E4E-902D-A200BD2DC1F7}"/>
    <cellStyle name="Título 3 15" xfId="4180" xr:uid="{D9FFD3A3-F455-46F0-B438-371498001FEA}"/>
    <cellStyle name="Título 3 15 2" xfId="4181" xr:uid="{40425FFB-E6EC-40A5-8C29-75521382C522}"/>
    <cellStyle name="Título 3 15 2 2" xfId="4182" xr:uid="{A548B14F-91F0-4F44-8A23-D9FFA50F43E5}"/>
    <cellStyle name="Título 3 15 2 3" xfId="4183" xr:uid="{2742110A-5833-4F5E-B90D-81FDA7F45ECB}"/>
    <cellStyle name="Título 3 15 3" xfId="4184" xr:uid="{201F51AA-F8ED-4579-83F8-1F085E9A5929}"/>
    <cellStyle name="Título 3 15 4" xfId="4185" xr:uid="{9AC3D1A8-6F05-4893-A87F-85263503FE7D}"/>
    <cellStyle name="Título 3 16" xfId="4186" xr:uid="{8D6E1541-E014-4384-9354-179BD5C79F5B}"/>
    <cellStyle name="Título 3 16 2" xfId="4187" xr:uid="{567CC653-969B-470F-A00D-41A5AB842F2F}"/>
    <cellStyle name="Título 3 16 2 2" xfId="4188" xr:uid="{AF79CB9B-3E23-4E2C-AD8F-F29F1B4AE06F}"/>
    <cellStyle name="Título 3 16 2 3" xfId="4189" xr:uid="{F3869867-FB4F-426B-8691-5ED9E6861290}"/>
    <cellStyle name="Título 3 16 3" xfId="4190" xr:uid="{AC2CC1CE-7E1C-49F4-85D7-85A4EB76DFB0}"/>
    <cellStyle name="Título 3 16 4" xfId="4191" xr:uid="{09E68529-BC5C-43F5-AE98-E3E85BAC1B96}"/>
    <cellStyle name="Título 3 17" xfId="4192" xr:uid="{D7F7C11A-44DD-4E61-B8F1-AD59DE0EC113}"/>
    <cellStyle name="Título 3 17 2" xfId="4193" xr:uid="{9A0F1BD9-D03F-4A74-B71F-218F73B10D7F}"/>
    <cellStyle name="Título 3 17 2 2" xfId="4194" xr:uid="{7D589D22-39F7-43CF-819D-3820393BFE1D}"/>
    <cellStyle name="Título 3 17 2 3" xfId="4195" xr:uid="{282BC653-7911-43C5-BA70-8527FAC42D13}"/>
    <cellStyle name="Título 3 17 3" xfId="4196" xr:uid="{71C46E72-86D5-42DC-856B-B6AC663152E9}"/>
    <cellStyle name="Título 3 17 4" xfId="4197" xr:uid="{07EF960A-DC1D-4E1D-9A67-37C91C1D84E0}"/>
    <cellStyle name="Título 3 18" xfId="4198" xr:uid="{9B28EE26-069B-4EBB-B0E7-68A11BB45727}"/>
    <cellStyle name="Título 3 18 2" xfId="4199" xr:uid="{AFFBA70D-AE3E-41F8-BEDF-16FB565F5E81}"/>
    <cellStyle name="Título 3 18 2 2" xfId="4200" xr:uid="{00078AAE-72CF-4153-8336-BFE192FC6770}"/>
    <cellStyle name="Título 3 18 2 3" xfId="4201" xr:uid="{FC3A5A76-C797-475C-8F7E-74B212D69F8B}"/>
    <cellStyle name="Título 3 18 3" xfId="4202" xr:uid="{25536BCE-958C-4CF8-AB96-B741B7A923CC}"/>
    <cellStyle name="Título 3 18 4" xfId="4203" xr:uid="{CA939F06-6226-4F75-8EF8-7D0FFB358115}"/>
    <cellStyle name="Título 3 19" xfId="4204" xr:uid="{CB6B6E31-9666-4556-B957-F20DF95C4489}"/>
    <cellStyle name="Título 3 19 2" xfId="4205" xr:uid="{DD84EE7C-7BC7-46C5-B390-D051E3F06000}"/>
    <cellStyle name="Título 3 19 2 2" xfId="4206" xr:uid="{9E3C91FA-2693-4E75-8A03-8BDBE6EB2C92}"/>
    <cellStyle name="Título 3 19 2 3" xfId="4207" xr:uid="{586EFEE9-01B5-489C-B20A-5D544C591C97}"/>
    <cellStyle name="Título 3 19 3" xfId="4208" xr:uid="{9D889134-A1EE-4E91-983D-AD507E510CDB}"/>
    <cellStyle name="Título 3 19 4" xfId="4209" xr:uid="{6BE445DB-A29B-484E-9607-C5BB64F27D17}"/>
    <cellStyle name="Título 3 2" xfId="4210" xr:uid="{76C6FC2B-1E85-4AD7-852B-43CFFB9F14A2}"/>
    <cellStyle name="Título 3 2 2" xfId="4211" xr:uid="{4E6C7257-7132-4B54-B69F-09D400C35AAA}"/>
    <cellStyle name="Título 3 2 2 2" xfId="4212" xr:uid="{5E737610-FC2C-40CA-BFAB-31EE438A0D0C}"/>
    <cellStyle name="Título 3 2 2 2 2" xfId="4213" xr:uid="{D37BE5DE-4D74-472F-9538-9B89857B2AAE}"/>
    <cellStyle name="Título 3 2 2 2 3" xfId="4214" xr:uid="{9496C262-6DAE-46DD-998B-5AE3883AED82}"/>
    <cellStyle name="Título 3 2 2 3" xfId="4215" xr:uid="{53413D80-82D7-468E-856C-ADF6D58269BA}"/>
    <cellStyle name="Título 3 2 2 4" xfId="4216" xr:uid="{CBDED150-214F-45D0-9BC3-7DD3725F910B}"/>
    <cellStyle name="Título 3 2 3" xfId="4217" xr:uid="{A0A37D4E-7810-4826-9DEE-A35DBA392AE0}"/>
    <cellStyle name="Título 3 2 3 2" xfId="4218" xr:uid="{4ABEB732-7211-42DD-9989-535DADAF3121}"/>
    <cellStyle name="Título 3 2 3 2 2" xfId="4219" xr:uid="{D7A0844D-60FC-4625-BE55-95969D7EB702}"/>
    <cellStyle name="Título 3 2 3 2 3" xfId="4220" xr:uid="{8BB79B0B-A194-43D5-B869-8AB66A986A22}"/>
    <cellStyle name="Título 3 2 3 3" xfId="4221" xr:uid="{2282A59C-4914-40AE-914F-D799442E9A4A}"/>
    <cellStyle name="Título 3 2 3 4" xfId="4222" xr:uid="{1F7E1E95-A259-4C25-86BC-DA648B05D871}"/>
    <cellStyle name="Título 3 2 4" xfId="4223" xr:uid="{65198A7A-DF3E-4386-B415-9CD7C6FCD8D2}"/>
    <cellStyle name="Título 3 2 5" xfId="4224" xr:uid="{FACAC4EB-7DC9-4F7A-96FE-18B7C50D1056}"/>
    <cellStyle name="Título 3 2 6" xfId="4225" xr:uid="{DFE5A004-0EE2-4301-8C30-20F42C0B3939}"/>
    <cellStyle name="Título 3 20" xfId="4226" xr:uid="{51B5418C-DA4A-40B6-9A11-8EC83F874A1D}"/>
    <cellStyle name="Título 3 20 2" xfId="4227" xr:uid="{E129E84A-4FB8-429B-9C8F-893A97224472}"/>
    <cellStyle name="Título 3 20 2 2" xfId="4228" xr:uid="{6DB82E99-5588-4D4D-96EA-4D66B835E325}"/>
    <cellStyle name="Título 3 20 2 3" xfId="4229" xr:uid="{40E45BFD-EB7D-460B-A2EB-2DB3AF395AAF}"/>
    <cellStyle name="Título 3 20 3" xfId="4230" xr:uid="{77F4BACE-19C0-4636-898C-BC95E6AC7358}"/>
    <cellStyle name="Título 3 20 4" xfId="4231" xr:uid="{80CDDF35-B7BC-413B-912A-CA766F864722}"/>
    <cellStyle name="Título 3 21" xfId="4232" xr:uid="{EF11782C-DEC8-4FB6-B55C-7D81467BBC62}"/>
    <cellStyle name="Título 3 22" xfId="4233" xr:uid="{CF7EE201-3CAD-4BB4-89BB-2B81D7EBBE8C}"/>
    <cellStyle name="Título 3 22 2" xfId="4234" xr:uid="{D45BA2F6-CFE4-4789-B0A3-3D96CD53FA4D}"/>
    <cellStyle name="Título 3 22 3" xfId="4235" xr:uid="{EB802FAB-B68D-40FE-B29B-D864ED2DE4BA}"/>
    <cellStyle name="Título 3 23" xfId="4236" xr:uid="{155C7EF2-6638-407D-AE5C-353EB3718FBD}"/>
    <cellStyle name="Título 3 3" xfId="4237" xr:uid="{95AC67B0-5847-4146-9ABF-22AA2BE724A7}"/>
    <cellStyle name="Título 3 3 2" xfId="4238" xr:uid="{AE14B740-AB05-4A3A-8214-B70A55AC835E}"/>
    <cellStyle name="Título 3 3 2 2" xfId="4239" xr:uid="{4536369B-BBDD-4781-9607-54D70CF00646}"/>
    <cellStyle name="Título 3 3 2 3" xfId="4240" xr:uid="{39974731-C285-49F9-BE4F-466F2945DFA2}"/>
    <cellStyle name="Título 3 3 3" xfId="4241" xr:uid="{6CEEF0F5-95DC-4F58-B23B-BEE1A5215407}"/>
    <cellStyle name="Título 3 3 4" xfId="4242" xr:uid="{F6900B4B-58D5-4CC4-8A0D-5B5D4AEEC42B}"/>
    <cellStyle name="Título 3 3 5" xfId="4243" xr:uid="{FBFE45B4-E5D3-4985-8FDE-2B5A510623F9}"/>
    <cellStyle name="Título 3 4" xfId="4244" xr:uid="{8AB382ED-6126-405C-A0BB-427269475E5A}"/>
    <cellStyle name="Título 3 4 2" xfId="4245" xr:uid="{57C5F811-F2A3-4677-A522-5C217B66C17D}"/>
    <cellStyle name="Título 3 4 2 2" xfId="4246" xr:uid="{91E50E80-845D-4111-908C-FB3CA9EE8B29}"/>
    <cellStyle name="Título 3 4 2 3" xfId="4247" xr:uid="{C7F87000-67C2-451E-A867-56868BD487B9}"/>
    <cellStyle name="Título 3 4 3" xfId="4248" xr:uid="{810DBF63-5B06-4B73-824B-7E6DD17CA033}"/>
    <cellStyle name="Título 3 4 4" xfId="4249" xr:uid="{53C0C4C9-6F90-416E-B5B0-598112690958}"/>
    <cellStyle name="Título 3 5" xfId="4250" xr:uid="{8C21E86E-02E0-4B7B-8B8F-29EF00C45187}"/>
    <cellStyle name="Título 3 5 2" xfId="4251" xr:uid="{F703DF0A-A270-4658-BD42-C9C2D28BA145}"/>
    <cellStyle name="Título 3 5 2 2" xfId="4252" xr:uid="{E1478758-3BFE-4BAC-B4EB-FE543ECA2F31}"/>
    <cellStyle name="Título 3 5 2 3" xfId="4253" xr:uid="{53381112-7D2E-48B6-843F-18C40E413B42}"/>
    <cellStyle name="Título 3 5 3" xfId="4254" xr:uid="{6052DADE-4846-41BF-9FE9-CA21DF14986B}"/>
    <cellStyle name="Título 3 5 4" xfId="4255" xr:uid="{60FA3FE1-662E-4CF2-A675-F28D1DA34D28}"/>
    <cellStyle name="Título 3 6" xfId="4256" xr:uid="{840C9860-F252-4E1A-A41A-232D9792EDCC}"/>
    <cellStyle name="Título 3 6 2" xfId="4257" xr:uid="{119BD459-1F7B-4F22-BE2C-31FCB6BB6028}"/>
    <cellStyle name="Título 3 6 2 2" xfId="4258" xr:uid="{B84BAEF2-DAE7-479B-B6FF-97B740DE2D25}"/>
    <cellStyle name="Título 3 6 2 3" xfId="4259" xr:uid="{E1B81747-9A49-4C2A-A7E4-1D583A63ED59}"/>
    <cellStyle name="Título 3 6 3" xfId="4260" xr:uid="{3441D7E3-D8C5-4FE1-8C27-0F0F82DF65B1}"/>
    <cellStyle name="Título 3 6 4" xfId="4261" xr:uid="{5F2A7458-9336-4E9F-8A61-13D8BF4773BC}"/>
    <cellStyle name="Título 3 7" xfId="4262" xr:uid="{8CCE121A-0BE1-470E-B1D7-54A8E3DFA280}"/>
    <cellStyle name="Título 3 7 2" xfId="4263" xr:uid="{55958269-1328-422C-A3C7-9EA7FB3A524D}"/>
    <cellStyle name="Título 3 7 2 2" xfId="4264" xr:uid="{2E6718CC-B968-4981-9496-2EA27B664682}"/>
    <cellStyle name="Título 3 7 2 3" xfId="4265" xr:uid="{4CD8A60F-0EE4-4FBD-BE9D-C7175AD4A98D}"/>
    <cellStyle name="Título 3 7 3" xfId="4266" xr:uid="{6C823E8A-722E-46A7-8F88-24E8F869E34F}"/>
    <cellStyle name="Título 3 7 4" xfId="4267" xr:uid="{5E52A1EE-5DC1-4ED5-ACD2-C4AF4355D49D}"/>
    <cellStyle name="Título 3 8" xfId="4268" xr:uid="{CC8BC789-4B76-4A27-9139-C9945731FD5B}"/>
    <cellStyle name="Título 3 8 2" xfId="4269" xr:uid="{80AC91D8-4F87-4CA5-A5D7-EABCE4322FC6}"/>
    <cellStyle name="Título 3 8 2 2" xfId="4270" xr:uid="{0BE38147-D5A2-4E13-91EC-610F6EFF86D4}"/>
    <cellStyle name="Título 3 8 2 3" xfId="4271" xr:uid="{34C0DC20-5C7A-4652-9658-11C7721F3089}"/>
    <cellStyle name="Título 3 8 3" xfId="4272" xr:uid="{FD71C273-9F5B-41BC-87E3-9E895C16A8F6}"/>
    <cellStyle name="Título 3 8 4" xfId="4273" xr:uid="{E7543F3C-6A9D-4C6F-AD6E-7085E4069210}"/>
    <cellStyle name="Título 3 9" xfId="4274" xr:uid="{C900191C-1DEC-47E9-BBE7-292B783E0B5F}"/>
    <cellStyle name="Título 3 9 2" xfId="4275" xr:uid="{315F150B-5193-4B2D-9C83-5E32A39E1DEE}"/>
    <cellStyle name="Título 3 9 2 2" xfId="4276" xr:uid="{0036572A-39DF-431E-92C3-A4EDF72D8EC9}"/>
    <cellStyle name="Título 3 9 2 3" xfId="4277" xr:uid="{9B96922E-5C85-47A1-9719-393E0DD3C45B}"/>
    <cellStyle name="Título 3 9 3" xfId="4278" xr:uid="{3B373ACC-C610-45F8-8B90-931684AAE3D9}"/>
    <cellStyle name="Título 3 9 4" xfId="4279" xr:uid="{CE1BB0BA-A9F1-44AB-9D38-C1C5749FBDEB}"/>
    <cellStyle name="Título 4" xfId="4280" xr:uid="{557FCF22-BD28-416C-991F-BC8C4568FE20}"/>
    <cellStyle name="Título 5" xfId="4281" xr:uid="{90BE5122-B0DE-43C2-AC1F-4F507E3D5FF1}"/>
    <cellStyle name="Título 6" xfId="4282" xr:uid="{175D49CC-FF67-4CC6-883B-37D5CA1BC08C}"/>
    <cellStyle name="Título 7" xfId="4283" xr:uid="{7B3B9A15-0F9E-42C4-8642-CCA41EBA51E0}"/>
    <cellStyle name="Título 8" xfId="4284" xr:uid="{90801FF9-0E39-49F6-AB56-4016100DB24E}"/>
    <cellStyle name="Título 9" xfId="4285" xr:uid="{7041E560-C981-4C57-BA04-B960EBEB9D22}"/>
    <cellStyle name="titulomov" xfId="4286" xr:uid="{FDB7B3A2-BE78-4151-AC68-7963210BBA25}"/>
    <cellStyle name="Todos" xfId="4287" xr:uid="{9C556A11-02CD-408E-BD14-42CDCBEC9C81}"/>
    <cellStyle name="Total" xfId="422" builtinId="25" customBuiltin="1"/>
    <cellStyle name="Total 10" xfId="4288" xr:uid="{FB02A54F-76D6-4D84-A41F-E3BE9549C5EA}"/>
    <cellStyle name="Total 10 2" xfId="4289" xr:uid="{DEA4F501-6D18-4B32-ABC8-AA5781D30083}"/>
    <cellStyle name="Total 10 2 2" xfId="4290" xr:uid="{E2109860-DCB4-45D9-A858-7BCBA175A361}"/>
    <cellStyle name="Total 10 3" xfId="4291" xr:uid="{71D7DC33-EDD5-405C-89FE-AD1461D2E2BA}"/>
    <cellStyle name="Total 10 3 2" xfId="4292" xr:uid="{CA3355C5-0D01-4A05-A8C8-9C3DCCF10B17}"/>
    <cellStyle name="Total 10 3 3" xfId="4293" xr:uid="{F6F9ECE9-49AA-4E90-93CE-C3BD3B380244}"/>
    <cellStyle name="Total 11" xfId="4294" xr:uid="{E70E86FA-2664-4A84-97F9-963C68664487}"/>
    <cellStyle name="Total 11 2" xfId="4295" xr:uid="{7E66F452-5CA4-45B8-BDA6-068F93C73ACD}"/>
    <cellStyle name="Total 11 2 2" xfId="4296" xr:uid="{E12EF495-F01F-4481-BC8C-507102CAC45C}"/>
    <cellStyle name="Total 11 3" xfId="4297" xr:uid="{973DFAF9-C5F5-441E-8340-BEB21FD27FAD}"/>
    <cellStyle name="Total 11 3 2" xfId="4298" xr:uid="{073B7FD1-3D2E-4263-B51F-9792E98C42CF}"/>
    <cellStyle name="Total 11 3 3" xfId="4299" xr:uid="{4B932275-C561-4C90-BA74-8838BA0E7E91}"/>
    <cellStyle name="Total 12" xfId="4300" xr:uid="{7C0016DE-D8C7-40F5-BA09-5F6BBA9C62A2}"/>
    <cellStyle name="Total 12 2" xfId="4301" xr:uid="{3AA2415C-6E68-4C52-A8E1-04BDDA3D77DD}"/>
    <cellStyle name="Total 12 2 2" xfId="4302" xr:uid="{80C8E028-1D43-4D78-8024-65ECA032672D}"/>
    <cellStyle name="Total 12 3" xfId="4303" xr:uid="{50DB6117-AD80-4B3A-87A9-81A2154153F1}"/>
    <cellStyle name="Total 12 3 2" xfId="4304" xr:uid="{9345FF30-3A1F-4787-9F06-215C3301803A}"/>
    <cellStyle name="Total 12 3 3" xfId="4305" xr:uid="{9426484E-FFF9-4CD4-AD0E-D2691E0D3D23}"/>
    <cellStyle name="Total 13" xfId="4306" xr:uid="{2F61D9D6-12F8-4588-A7F6-973C2FBD16B7}"/>
    <cellStyle name="Total 13 2" xfId="4307" xr:uid="{6A5FDADE-A9EC-4A12-871B-84CAD4330B58}"/>
    <cellStyle name="Total 13 2 2" xfId="4308" xr:uid="{3A37C479-14F4-49B7-8F13-153AD71341D4}"/>
    <cellStyle name="Total 13 3" xfId="4309" xr:uid="{B4689225-C3AA-4DBC-A8B2-F812A0152B3F}"/>
    <cellStyle name="Total 13 3 2" xfId="4310" xr:uid="{4655485A-30FB-4630-BF6A-BBCEB7C884D9}"/>
    <cellStyle name="Total 13 3 3" xfId="4311" xr:uid="{3964E901-A8A8-40E8-9C39-C03C07F6394C}"/>
    <cellStyle name="Total 14" xfId="4312" xr:uid="{1DEDBF7F-AD9C-4ADD-AE5E-5E6BB0AACB00}"/>
    <cellStyle name="Total 14 2" xfId="4313" xr:uid="{78F9FF65-3A6D-40D3-88FE-C0CB6031A044}"/>
    <cellStyle name="Total 14 2 2" xfId="4314" xr:uid="{8368158A-E970-4BFF-9804-82D5E1D50C5A}"/>
    <cellStyle name="Total 14 3" xfId="4315" xr:uid="{077809C2-DAB6-4EF2-945A-97C62F858BDB}"/>
    <cellStyle name="Total 14 3 2" xfId="4316" xr:uid="{D51BAD05-3C07-4346-AAAF-2A1BCBAF9044}"/>
    <cellStyle name="Total 14 3 3" xfId="4317" xr:uid="{3DC91CAA-F224-4D41-A7DD-A0A0FB60519E}"/>
    <cellStyle name="Total 15" xfId="4318" xr:uid="{60C580EE-469A-4F8F-8C5C-1073CAEDDF52}"/>
    <cellStyle name="Total 15 2" xfId="4319" xr:uid="{7E2EA50E-59A2-4680-BD96-EA8FE7CA4DC6}"/>
    <cellStyle name="Total 15 2 2" xfId="4320" xr:uid="{56E51C0C-0F20-4892-874E-CE9D0674F2DE}"/>
    <cellStyle name="Total 15 3" xfId="4321" xr:uid="{8C3BD782-5839-4E40-8565-E373E24CE7C3}"/>
    <cellStyle name="Total 15 3 2" xfId="4322" xr:uid="{7C0E68E4-7D00-4FBF-8E1C-1816534AA777}"/>
    <cellStyle name="Total 15 3 3" xfId="4323" xr:uid="{29828F38-ECC5-44CC-91E3-1A041CFD35E4}"/>
    <cellStyle name="Total 16" xfId="4324" xr:uid="{73A73026-B152-4D35-90C4-7201F5F476B0}"/>
    <cellStyle name="Total 16 2" xfId="4325" xr:uid="{ACE46741-BB72-43C9-A16D-B254C402D02B}"/>
    <cellStyle name="Total 16 2 2" xfId="4326" xr:uid="{47D26D04-9117-4CC8-A579-3291C5BF3B55}"/>
    <cellStyle name="Total 16 3" xfId="4327" xr:uid="{6439422F-AB74-4F43-AC3E-3BA76FE5156F}"/>
    <cellStyle name="Total 16 3 2" xfId="4328" xr:uid="{73B5485A-FB12-4050-B1EA-BDFE7B947CA9}"/>
    <cellStyle name="Total 16 3 3" xfId="4329" xr:uid="{7EA7CCF9-E6DB-40FB-936C-23D16E19ACF1}"/>
    <cellStyle name="Total 17" xfId="4330" xr:uid="{B988C69A-A98B-435B-8BA6-3F842F6CFA79}"/>
    <cellStyle name="Total 17 2" xfId="4331" xr:uid="{73C18E87-9C09-42BB-BFBC-6A02D30695ED}"/>
    <cellStyle name="Total 17 2 2" xfId="4332" xr:uid="{F65B0D36-3A1A-4610-A748-E8AB769E8872}"/>
    <cellStyle name="Total 17 3" xfId="4333" xr:uid="{E90643B8-1C37-4AB0-AD33-1748D3B73D03}"/>
    <cellStyle name="Total 17 3 2" xfId="4334" xr:uid="{6E91577A-3F46-43C8-864F-3DFCE547882F}"/>
    <cellStyle name="Total 17 3 3" xfId="4335" xr:uid="{A5B6D0CF-0D6D-4F54-A61E-B89B3DE9B640}"/>
    <cellStyle name="Total 18" xfId="4336" xr:uid="{DFC161FC-4B69-4458-82CF-85BD8F43D82D}"/>
    <cellStyle name="Total 18 2" xfId="4337" xr:uid="{F5D44B93-BD45-48C2-8228-BFA2362FC2A9}"/>
    <cellStyle name="Total 18 2 2" xfId="4338" xr:uid="{28E416E3-0F24-4C39-85A7-42945DEDA98F}"/>
    <cellStyle name="Total 18 3" xfId="4339" xr:uid="{EDF60ECA-CEC2-4451-9D80-732081A45388}"/>
    <cellStyle name="Total 18 3 2" xfId="4340" xr:uid="{AE1FB43D-C0CB-4EAE-A37B-453F88306F98}"/>
    <cellStyle name="Total 18 3 3" xfId="4341" xr:uid="{1D710B5B-4DCB-4D00-A369-F937156A3B69}"/>
    <cellStyle name="Total 19" xfId="4342" xr:uid="{2F49EA26-E811-49BE-A752-3F1177D2ED27}"/>
    <cellStyle name="Total 19 2" xfId="4343" xr:uid="{C9EFCC31-C24D-4134-8498-11B901813640}"/>
    <cellStyle name="Total 19 2 2" xfId="4344" xr:uid="{FC7BA4A8-62B1-4C8D-BF4B-ED1F58B29A12}"/>
    <cellStyle name="Total 19 3" xfId="4345" xr:uid="{E9A317BA-8A5A-4C1E-824A-F0C04A1B6382}"/>
    <cellStyle name="Total 19 3 2" xfId="4346" xr:uid="{DC7A098E-951C-49C0-B9F5-D60A3418C809}"/>
    <cellStyle name="Total 19 3 3" xfId="4347" xr:uid="{F531356E-4CBA-4727-8F64-FC27973986BD}"/>
    <cellStyle name="Total 2" xfId="476" xr:uid="{971BDD46-A2A0-4B88-A1C9-88013AED56D2}"/>
    <cellStyle name="Total 2 2" xfId="4349" xr:uid="{CA765005-84F1-4AAE-BA3E-FD55BF1F47D7}"/>
    <cellStyle name="Total 2 2 2" xfId="4350" xr:uid="{05E8560F-F346-43E6-B133-C9E4EDEBA595}"/>
    <cellStyle name="Total 2 2 2 2" xfId="4351" xr:uid="{8A13E561-1647-46FD-AF74-F6793242D26C}"/>
    <cellStyle name="Total 2 2 3" xfId="4352" xr:uid="{B6D9F1A7-EFFF-42CF-BD31-C8F523878CF0}"/>
    <cellStyle name="Total 2 2 3 2" xfId="4353" xr:uid="{B295F6B8-E4FD-43FC-A48A-9A63E369058A}"/>
    <cellStyle name="Total 2 2 3 3" xfId="4354" xr:uid="{6D20E040-8496-4844-BD1F-3376AE75E70E}"/>
    <cellStyle name="Total 2 2 4" xfId="4355" xr:uid="{137AD27A-7097-40DF-9ECA-C4D02F58A8D3}"/>
    <cellStyle name="Total 2 3" xfId="4356" xr:uid="{9948CF84-F1AB-48AA-83DB-C748B9839BFC}"/>
    <cellStyle name="Total 2 3 2" xfId="4357" xr:uid="{184C6A10-F01B-4308-96CB-FC28200B4730}"/>
    <cellStyle name="Total 2 4" xfId="4358" xr:uid="{C66A133D-45E4-45F3-A249-8CB08DC86CF8}"/>
    <cellStyle name="Total 2 4 2" xfId="4359" xr:uid="{589C1007-3814-4C92-97ED-890124545FCD}"/>
    <cellStyle name="Total 2 4 3" xfId="4360" xr:uid="{B1049E71-DB98-460A-80A9-C37A9FCE1B66}"/>
    <cellStyle name="Total 2 5" xfId="4361" xr:uid="{E1D26F78-C496-4276-85D8-971BADA37EE2}"/>
    <cellStyle name="Total 2 6" xfId="4348" xr:uid="{1707D830-F45C-475B-A21D-8AF1DB68B52F}"/>
    <cellStyle name="Total 20" xfId="4362" xr:uid="{FB3CA575-E5DA-491A-85F3-5FF173731F45}"/>
    <cellStyle name="Total 20 2" xfId="4363" xr:uid="{7CD37654-524E-430E-802B-7B03FB711301}"/>
    <cellStyle name="Total 20 2 2" xfId="4364" xr:uid="{1F0B9C04-5AAB-4F10-9FEA-0B322A645AED}"/>
    <cellStyle name="Total 20 3" xfId="4365" xr:uid="{24C5D007-E850-4675-BEF4-65CE054E58A5}"/>
    <cellStyle name="Total 20 3 2" xfId="4366" xr:uid="{2B98190D-96E9-4E12-839B-4BBB94E18F95}"/>
    <cellStyle name="Total 20 3 3" xfId="4367" xr:uid="{F0B1387C-88BA-471E-A44E-4F537507BFD9}"/>
    <cellStyle name="Total 21" xfId="4368" xr:uid="{BAA6A38D-7827-4422-94E9-14203676ABE7}"/>
    <cellStyle name="Total 22" xfId="4369" xr:uid="{DFF0CD3D-71D7-46B9-8DA3-E69B84ABBFB5}"/>
    <cellStyle name="Total 22 2" xfId="4370" xr:uid="{9D445578-B6F1-4289-A061-1737D25677AF}"/>
    <cellStyle name="Total 23" xfId="4371" xr:uid="{145346DE-2561-4407-A17B-DDFCDBA13B92}"/>
    <cellStyle name="Total 3" xfId="4372" xr:uid="{32A4C04F-EB2A-41A4-9777-B6CAE48A53D6}"/>
    <cellStyle name="Total 3 2" xfId="4373" xr:uid="{62214BCE-1B51-4FC7-B1BA-36FC894D3A74}"/>
    <cellStyle name="Total 3 2 2" xfId="4374" xr:uid="{A988D104-BEDA-4845-BC31-D6EBCBAC809C}"/>
    <cellStyle name="Total 3 3" xfId="4375" xr:uid="{21553712-E66A-4BB5-B334-A1F2439F09DC}"/>
    <cellStyle name="Total 3 3 2" xfId="4376" xr:uid="{19175B75-3591-41A8-9AB8-61662B8D4651}"/>
    <cellStyle name="Total 3 3 3" xfId="4377" xr:uid="{4684A8E8-F5D2-4F79-8E12-FE4D13FA3EE6}"/>
    <cellStyle name="Total 3 4" xfId="4378" xr:uid="{FE7A537D-7D5E-4218-B9F0-9FDEFB50280E}"/>
    <cellStyle name="Total 4" xfId="4379" xr:uid="{2F56054E-043F-4FD4-A11E-71BE8567C71C}"/>
    <cellStyle name="Total 4 2" xfId="4380" xr:uid="{49395201-E178-4B28-B3EA-AD2EAC25A422}"/>
    <cellStyle name="Total 4 2 2" xfId="4381" xr:uid="{199DFD31-DF25-4FD9-B2E3-422F91134845}"/>
    <cellStyle name="Total 4 3" xfId="4382" xr:uid="{D0932E89-8AD0-4BA3-8A8A-C9C8204B976A}"/>
    <cellStyle name="Total 4 3 2" xfId="4383" xr:uid="{6A5F27B7-7253-4E07-B254-23F1A3C80E18}"/>
    <cellStyle name="Total 4 3 3" xfId="4384" xr:uid="{B615EED3-57EE-4ADE-95E5-0ADAC6372A46}"/>
    <cellStyle name="Total 5" xfId="4385" xr:uid="{60D85D1D-70C4-4275-9F5F-B9496B3AB340}"/>
    <cellStyle name="Total 5 2" xfId="4386" xr:uid="{8B2574AD-279E-4D20-A1BF-94A63BE4273E}"/>
    <cellStyle name="Total 5 2 2" xfId="4387" xr:uid="{15D42C8A-BD5E-4862-A035-F2D1B81EF244}"/>
    <cellStyle name="Total 5 3" xfId="4388" xr:uid="{9924FFC8-0382-4AEF-AA31-D461C1F43985}"/>
    <cellStyle name="Total 5 3 2" xfId="4389" xr:uid="{9DDAE9CC-F1C6-4426-B244-3C952C459A52}"/>
    <cellStyle name="Total 5 3 3" xfId="4390" xr:uid="{C7E7FD59-ADF9-406D-BB80-6ADDE8B01967}"/>
    <cellStyle name="Total 6" xfId="4391" xr:uid="{6F118659-7237-44C2-986C-3A63497E2EE2}"/>
    <cellStyle name="Total 6 2" xfId="4392" xr:uid="{270C7924-793E-4B82-AABB-9F106EF16531}"/>
    <cellStyle name="Total 6 2 2" xfId="4393" xr:uid="{35E7B27A-8053-4772-9BEB-6CF112083E36}"/>
    <cellStyle name="Total 6 3" xfId="4394" xr:uid="{0073E518-0F59-437D-8F39-F0C6EF80D488}"/>
    <cellStyle name="Total 6 3 2" xfId="4395" xr:uid="{5D2F7E88-E449-4A37-9F52-3DE9C7C94037}"/>
    <cellStyle name="Total 6 3 3" xfId="4396" xr:uid="{6749C496-0C53-4B0E-8F83-B8B69D12F3B6}"/>
    <cellStyle name="Total 7" xfId="4397" xr:uid="{0B4F10E4-F836-446B-A3F0-9A76CB0BF6A5}"/>
    <cellStyle name="Total 7 2" xfId="4398" xr:uid="{077410A2-9F67-4C75-A79F-2E2237A37238}"/>
    <cellStyle name="Total 7 2 2" xfId="4399" xr:uid="{DD334F29-8F60-4B44-B2A4-F86EBD27145C}"/>
    <cellStyle name="Total 7 3" xfId="4400" xr:uid="{F1382A09-5C10-4EF0-96C9-D76FDABE1C55}"/>
    <cellStyle name="Total 7 3 2" xfId="4401" xr:uid="{0DCA0857-225D-4D09-89A5-50CD73AB706F}"/>
    <cellStyle name="Total 7 3 3" xfId="4402" xr:uid="{93321C5C-8D6A-4CF5-A74D-68F15201DC5C}"/>
    <cellStyle name="Total 8" xfId="4403" xr:uid="{3420F945-BB36-4FE8-AA46-7D53BE6624CF}"/>
    <cellStyle name="Total 8 2" xfId="4404" xr:uid="{2BD170B9-77A2-4544-9D20-07273CB23593}"/>
    <cellStyle name="Total 8 2 2" xfId="4405" xr:uid="{FFD7F065-EAD5-41BC-977A-C8ABC0573891}"/>
    <cellStyle name="Total 8 3" xfId="4406" xr:uid="{2744F8F0-3177-47AE-BEF1-7EFF1A7620B2}"/>
    <cellStyle name="Total 8 3 2" xfId="4407" xr:uid="{CADB76A2-2CAD-4FD4-BECD-B9D5C9428C78}"/>
    <cellStyle name="Total 8 3 2 2" xfId="4408" xr:uid="{ADD98BA4-D03D-4B32-9DE4-FD7FCBF87CA3}"/>
    <cellStyle name="Total 8 3 3" xfId="4409" xr:uid="{825B8B7C-2112-4976-A6F8-F81A1A2B1AD5}"/>
    <cellStyle name="Total 8 3 3 2" xfId="4410" xr:uid="{DE4044C1-FBF0-4DBA-9E25-5C808AAB593A}"/>
    <cellStyle name="Total 9" xfId="4411" xr:uid="{B0EDDE64-EDBA-48E4-9378-4EED6D8B41E5}"/>
    <cellStyle name="Total 9 2" xfId="4412" xr:uid="{3F66522C-5A9D-4CA3-81F8-071D0B6F5860}"/>
    <cellStyle name="Total 9 2 2" xfId="4413" xr:uid="{630D6F0B-AF42-4ED4-99F7-932115378B9C}"/>
    <cellStyle name="Total 9 2 2 2" xfId="4414" xr:uid="{8EF0D953-B0C4-491A-AC7A-DED6DE5E6BC8}"/>
    <cellStyle name="Total 9 2 3" xfId="4415" xr:uid="{473061AE-9164-4642-A951-3D548B6808D8}"/>
    <cellStyle name="Total 9 3" xfId="4416" xr:uid="{2B250D74-4BE4-4E2D-BC69-661DDD8FB346}"/>
    <cellStyle name="Total 9 3 2" xfId="4417" xr:uid="{7C906680-CE8F-4C0B-972A-087ACDED3F46}"/>
    <cellStyle name="Total 9 3 2 2" xfId="4418" xr:uid="{0056745C-7CC4-40FB-A770-6616F73F8179}"/>
    <cellStyle name="Total 9 3 3" xfId="4419" xr:uid="{3A199DC1-DB2C-4042-9FF3-BC3C093797DC}"/>
    <cellStyle name="Total 9 3 3 2" xfId="4420" xr:uid="{022989CF-E28A-417E-BF90-7DF7CF1E7D3E}"/>
    <cellStyle name="Total 9 3 4" xfId="4421" xr:uid="{800F10E3-D6B9-404C-9E4F-A691025DC5A1}"/>
    <cellStyle name="Total 9 4" xfId="4422" xr:uid="{AF6CE106-CA57-47EE-9CBF-52A9B76D1318}"/>
    <cellStyle name="totalbalan" xfId="4423" xr:uid="{48AEBAAB-7E3F-4022-92D0-8CEBA8D10DDA}"/>
    <cellStyle name="totalbalan 2" xfId="4424" xr:uid="{A38E5E1F-4BCF-4A8E-88AC-947459D18F2F}"/>
    <cellStyle name="Vírgula 2" xfId="4425" xr:uid="{F651914C-3C47-4F33-839B-6B7E71BD4621}"/>
    <cellStyle name="Vírgula 2 2" xfId="4426" xr:uid="{CDBC324C-211D-4548-9586-76BB96722105}"/>
    <cellStyle name="Vírgula 3" xfId="4427" xr:uid="{A016D8F3-9C6F-427B-8C96-3116D91EB6F9}"/>
    <cellStyle name="Vírgula 3 2" xfId="4428" xr:uid="{02A12AB6-72EC-463F-99CD-DB995B7EA34F}"/>
    <cellStyle name="Vírgula 4" xfId="4429" xr:uid="{BDCEAF92-6B25-4799-9CCF-AC8F315AD59C}"/>
    <cellStyle name="Vírgula 4 2" xfId="4430" xr:uid="{EB64769C-1E82-4DE4-84B0-7F4893B92B26}"/>
    <cellStyle name="Vírgula 4 2 2" xfId="4431" xr:uid="{3D065E95-FC78-43B0-B8F0-3D489932BF64}"/>
    <cellStyle name="Vírgula 4 3" xfId="4432" xr:uid="{F00C8E4D-C7BF-498B-BE7F-31F1CCCC2B44}"/>
    <cellStyle name="Vírgula 4 3 2" xfId="4433" xr:uid="{5200E07F-4704-49D5-B98B-8151C66EC625}"/>
    <cellStyle name="Vírgula 4 3 3" xfId="4434" xr:uid="{245E32EC-ECCC-401D-AFAC-6F58C988374E}"/>
    <cellStyle name="Vírgula 4 4" xfId="4435" xr:uid="{80150134-38DE-4810-98BC-33A4409B7240}"/>
    <cellStyle name="Vírgula 4 4 2" xfId="4436" xr:uid="{A8226A42-55B4-49EA-8F5D-0F4F8331FC96}"/>
    <cellStyle name="Vírgula 4 4 2 2" xfId="4437" xr:uid="{EFE17BD2-168E-4B3E-B0B0-78E664EE3CF1}"/>
    <cellStyle name="Vírgula 4 4 3" xfId="4438" xr:uid="{73D146C7-DE69-4CD7-8C5C-14EE81D06A60}"/>
    <cellStyle name="Vírgula 4 4 4" xfId="4439" xr:uid="{2D19FD3A-7F0C-4756-9246-A0134142FAAA}"/>
    <cellStyle name="Vírgula 4 5" xfId="4440" xr:uid="{ED5DA6BB-AADB-4554-9F05-3E72B85DC57E}"/>
    <cellStyle name="Vírgula 4 5 2" xfId="4441" xr:uid="{B5367850-41CC-4AC0-B93B-C2C23B97C039}"/>
    <cellStyle name="Vírgula 4 5 2 2" xfId="4442" xr:uid="{45A98236-3E7C-4DC5-A513-8486C1A06504}"/>
    <cellStyle name="Vírgula 4 5 2 3" xfId="4443" xr:uid="{636169EF-9EF8-40BF-9222-80B387F7D3B3}"/>
    <cellStyle name="Vírgula 4 5 3" xfId="4444" xr:uid="{36F02908-9C05-47B6-A3A9-265E13A8D7C9}"/>
    <cellStyle name="Vírgula 4 5 4" xfId="4445" xr:uid="{0FE1183C-1210-4889-93D0-0CCE38977A23}"/>
    <cellStyle name="Vírgula 4 6" xfId="4446" xr:uid="{88DF27C7-E004-4407-96BA-4AC243A25195}"/>
    <cellStyle name="Vírgula 4 7" xfId="4447" xr:uid="{9EAC0F0A-3888-4FEF-B73D-429B1C816701}"/>
    <cellStyle name="Warning Text" xfId="420" builtinId="11" customBuiltin="1"/>
    <cellStyle name="Warning Text 2" xfId="474" xr:uid="{484DA15E-EA9F-4A5A-B150-3C4FD4F80645}"/>
    <cellStyle name="Warning Text 2 2" xfId="4448" xr:uid="{3C7707B3-DBED-408B-BB4D-35395EF653B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25400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40EC-37A0-4246-9CEF-D4B4CF9B57D4}">
  <sheetPr codeName="Sheet1"/>
  <dimension ref="A1:Z99"/>
  <sheetViews>
    <sheetView showGridLines="0" topLeftCell="A13" zoomScaleNormal="100" workbookViewId="0">
      <selection activeCell="B20" sqref="B20:D20"/>
    </sheetView>
  </sheetViews>
  <sheetFormatPr defaultColWidth="8.90625" defaultRowHeight="14.5"/>
  <cols>
    <col min="1" max="4" width="21.6328125" customWidth="1"/>
    <col min="5" max="6" width="14.08984375" customWidth="1"/>
    <col min="7" max="7" width="12.08984375" customWidth="1"/>
    <col min="8" max="10" width="8.08984375" customWidth="1"/>
    <col min="11" max="11" width="9.6328125" customWidth="1"/>
    <col min="12" max="12" width="8.08984375" customWidth="1"/>
    <col min="13" max="13" width="10" customWidth="1"/>
    <col min="14" max="14" width="11.453125" customWidth="1"/>
    <col min="15" max="15" width="13.453125" customWidth="1"/>
  </cols>
  <sheetData>
    <row r="1" spans="1:26">
      <c r="A1" s="42"/>
      <c r="B1" s="42"/>
      <c r="C1" s="42"/>
      <c r="D1" s="42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>
      <c r="A2" s="42"/>
      <c r="B2" s="42"/>
      <c r="C2" s="42"/>
      <c r="D2" s="42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>
      <c r="A3" s="42"/>
      <c r="B3" s="42"/>
      <c r="C3" s="42"/>
      <c r="D3" s="42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>
      <c r="A4" s="42"/>
      <c r="B4" s="42"/>
      <c r="C4" s="42"/>
      <c r="D4" s="42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>
      <c r="A5" s="42"/>
      <c r="B5" s="42"/>
      <c r="C5" s="42"/>
      <c r="D5" s="42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>
      <c r="A6" s="42"/>
      <c r="B6" s="42"/>
      <c r="C6" s="42"/>
      <c r="D6" s="42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>
      <c r="A7" s="42"/>
      <c r="B7" s="42"/>
      <c r="C7" s="42"/>
      <c r="D7" s="42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>
      <c r="A8" s="42"/>
      <c r="B8" s="42"/>
      <c r="C8" s="42"/>
      <c r="D8" s="42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>
      <c r="A9" s="42"/>
      <c r="B9" s="42"/>
      <c r="C9" s="42"/>
      <c r="D9" s="42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>
      <c r="A10" s="42"/>
      <c r="B10" s="42"/>
      <c r="C10" s="42"/>
      <c r="D10" s="42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>
      <c r="A11" s="42"/>
      <c r="B11" s="42"/>
      <c r="C11" s="42"/>
      <c r="D11" s="42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>
      <c r="A12" s="42"/>
      <c r="B12" s="42"/>
      <c r="C12" s="42"/>
      <c r="D12" s="42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>
      <c r="A13" s="42"/>
      <c r="B13" s="42"/>
      <c r="C13" s="42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>
      <c r="A14" s="42"/>
      <c r="B14" s="42"/>
      <c r="C14" s="42"/>
      <c r="D14" s="42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>
      <c r="A15" s="42"/>
      <c r="B15" s="42"/>
      <c r="C15" s="42"/>
      <c r="D15" s="42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02.75" customHeight="1">
      <c r="A16" s="58" t="s">
        <v>199</v>
      </c>
      <c r="B16" s="58"/>
      <c r="C16" s="58"/>
      <c r="D16" s="58"/>
      <c r="E16" s="44"/>
      <c r="F16" s="44"/>
      <c r="G16" s="45"/>
      <c r="H16" s="45"/>
      <c r="I16" s="45"/>
      <c r="J16" s="45"/>
      <c r="K16" s="45"/>
      <c r="L16" s="45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7.25" customHeight="1">
      <c r="A17" s="46"/>
      <c r="B17" s="46"/>
      <c r="C17" s="46"/>
      <c r="D17" s="46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7.25" customHeight="1">
      <c r="A18" s="46"/>
      <c r="B18" s="46"/>
      <c r="C18" s="46"/>
      <c r="D18" s="46"/>
      <c r="E18" s="47"/>
      <c r="F18" s="47"/>
      <c r="G18" s="48"/>
      <c r="H18" s="48"/>
      <c r="I18" s="48"/>
      <c r="J18" s="48"/>
      <c r="K18" s="48"/>
      <c r="L18" s="48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7.25" customHeight="1">
      <c r="A19" s="49" t="s">
        <v>200</v>
      </c>
      <c r="B19" s="57" t="s">
        <v>214</v>
      </c>
      <c r="C19" s="57"/>
      <c r="D19" s="57"/>
      <c r="E19" s="50"/>
      <c r="F19" s="50"/>
      <c r="G19" s="51"/>
      <c r="H19" s="51"/>
      <c r="I19" s="51"/>
      <c r="J19" s="51"/>
      <c r="K19" s="51"/>
      <c r="L19" s="51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7.25" customHeight="1">
      <c r="A20" s="49" t="s">
        <v>201</v>
      </c>
      <c r="B20" s="57" t="s">
        <v>215</v>
      </c>
      <c r="C20" s="57"/>
      <c r="D20" s="57"/>
      <c r="E20" s="50"/>
      <c r="F20" s="50"/>
      <c r="G20" s="51"/>
      <c r="H20" s="51"/>
      <c r="I20" s="51"/>
      <c r="J20" s="51"/>
      <c r="K20" s="51"/>
      <c r="L20" s="51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7.25" customHeight="1">
      <c r="A21" s="49" t="s">
        <v>202</v>
      </c>
      <c r="B21" s="52" t="s">
        <v>213</v>
      </c>
      <c r="C21" s="52"/>
      <c r="D21" s="52"/>
      <c r="E21" s="50"/>
      <c r="F21" s="50"/>
      <c r="G21" s="51"/>
      <c r="H21" s="51"/>
      <c r="I21" s="51"/>
      <c r="J21" s="51"/>
      <c r="K21" s="51"/>
      <c r="L21" s="51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7.25" customHeight="1">
      <c r="A22" s="49"/>
      <c r="B22" s="52"/>
      <c r="C22" s="52"/>
      <c r="D22" s="52"/>
      <c r="E22" s="50"/>
      <c r="F22" s="50"/>
      <c r="G22" s="51"/>
      <c r="H22" s="51"/>
      <c r="I22" s="51"/>
      <c r="J22" s="51"/>
      <c r="K22" s="51"/>
      <c r="L22" s="51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7.25" customHeight="1">
      <c r="A23" s="49" t="s">
        <v>203</v>
      </c>
      <c r="B23" s="57" t="s">
        <v>211</v>
      </c>
      <c r="C23" s="57"/>
      <c r="D23" s="57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7.25" customHeight="1">
      <c r="A24" s="49"/>
      <c r="B24" s="52"/>
      <c r="C24" s="52"/>
      <c r="D24" s="52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7.25" customHeight="1">
      <c r="A25" s="49"/>
      <c r="B25" s="52"/>
      <c r="C25" s="52"/>
      <c r="D25" s="52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7.25" customHeight="1">
      <c r="A26" s="49" t="s">
        <v>204</v>
      </c>
      <c r="B26" s="57" t="s">
        <v>211</v>
      </c>
      <c r="C26" s="57"/>
      <c r="D26" s="57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7.25" customHeight="1">
      <c r="A27" s="49"/>
      <c r="B27" s="57" t="s">
        <v>212</v>
      </c>
      <c r="C27" s="57"/>
      <c r="D27" s="57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7.25" customHeight="1">
      <c r="A28" s="49"/>
      <c r="B28" s="52"/>
      <c r="C28" s="52"/>
      <c r="D28" s="52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7.25" customHeight="1">
      <c r="A29" s="49" t="s">
        <v>205</v>
      </c>
      <c r="B29" s="53">
        <v>1</v>
      </c>
      <c r="C29" s="52"/>
      <c r="D29" s="52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7.25" customHeight="1">
      <c r="A30" s="49" t="s">
        <v>206</v>
      </c>
      <c r="B30" s="59" t="s">
        <v>207</v>
      </c>
      <c r="C30" s="57"/>
      <c r="D30" s="57"/>
      <c r="E30" s="54"/>
      <c r="F30" s="54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7.25" customHeight="1">
      <c r="A31" s="49" t="s">
        <v>208</v>
      </c>
      <c r="B31" s="57" t="s">
        <v>209</v>
      </c>
      <c r="C31" s="57"/>
      <c r="D31" s="57"/>
      <c r="E31" s="54"/>
      <c r="F31" s="54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7.25" customHeight="1">
      <c r="A32" s="55"/>
      <c r="B32" s="56" t="s">
        <v>210</v>
      </c>
      <c r="C32" s="55"/>
      <c r="D32" s="55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>
      <c r="A33" s="42"/>
      <c r="B33" s="42"/>
      <c r="C33" s="42"/>
      <c r="D33" s="42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>
      <c r="A34" s="42"/>
      <c r="B34" s="42"/>
      <c r="C34" s="42"/>
      <c r="D34" s="42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>
      <c r="A35" s="42"/>
      <c r="B35" s="42"/>
      <c r="C35" s="42"/>
      <c r="D35" s="42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>
      <c r="A36" s="42"/>
      <c r="B36" s="42"/>
      <c r="C36" s="42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>
      <c r="A37" s="42"/>
      <c r="B37" s="42"/>
      <c r="C37" s="42"/>
      <c r="D37" s="42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>
      <c r="A38" s="42"/>
      <c r="B38" s="42"/>
      <c r="C38" s="42"/>
      <c r="D38" s="42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>
      <c r="A39" s="42"/>
      <c r="B39" s="42"/>
      <c r="C39" s="42"/>
      <c r="D39" s="42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>
      <c r="A40" s="42"/>
      <c r="B40" s="42"/>
      <c r="C40" s="42"/>
      <c r="D40" s="42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>
      <c r="A41" s="42"/>
      <c r="B41" s="42"/>
      <c r="C41" s="42"/>
      <c r="D41" s="42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>
      <c r="A42" s="42"/>
      <c r="B42" s="42"/>
      <c r="C42" s="42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</sheetData>
  <mergeCells count="8">
    <mergeCell ref="B31:D31"/>
    <mergeCell ref="A16:D16"/>
    <mergeCell ref="B19:D19"/>
    <mergeCell ref="B20:D20"/>
    <mergeCell ref="B23:D23"/>
    <mergeCell ref="B26:D26"/>
    <mergeCell ref="B30:D30"/>
    <mergeCell ref="B27:D27"/>
  </mergeCells>
  <hyperlinks>
    <hyperlink ref="B30" r:id="rId1" xr:uid="{EB0A6F32-D2E1-440C-8F65-AF15D9B14FA9}"/>
    <hyperlink ref="B32" r:id="rId2" xr:uid="{6DDEA0A2-2C37-4843-864D-3934D5F987E1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H18" sqref="H18"/>
    </sheetView>
  </sheetViews>
  <sheetFormatPr defaultColWidth="9.08984375" defaultRowHeight="14.5"/>
  <cols>
    <col min="1" max="1" width="12.08984375" customWidth="1"/>
    <col min="2" max="2" width="11.6328125" customWidth="1"/>
    <col min="3" max="3" width="3.08984375" bestFit="1" customWidth="1"/>
    <col min="4" max="4" width="8.54296875" bestFit="1" customWidth="1"/>
    <col min="5" max="5" width="6.453125" bestFit="1" customWidth="1"/>
    <col min="6" max="6" width="4.90625" bestFit="1" customWidth="1"/>
    <col min="7" max="7" width="5.6328125" bestFit="1" customWidth="1"/>
    <col min="8" max="8" width="5.90625" bestFit="1" customWidth="1"/>
    <col min="9" max="9" width="5.453125" bestFit="1" customWidth="1"/>
    <col min="10" max="11" width="5.6328125" bestFit="1" customWidth="1"/>
    <col min="12" max="12" width="6.54296875" bestFit="1" customWidth="1"/>
    <col min="13" max="13" width="6.08984375" bestFit="1" customWidth="1"/>
    <col min="14" max="14" width="6.6328125" bestFit="1" customWidth="1"/>
    <col min="15" max="15" width="6.54296875" bestFit="1" customWidth="1"/>
    <col min="16" max="16" width="7.36328125" bestFit="1" customWidth="1"/>
    <col min="17" max="17" width="5.6328125" bestFit="1" customWidth="1"/>
    <col min="18" max="18" width="6.08984375" bestFit="1" customWidth="1"/>
    <col min="19" max="19" width="5.6328125" bestFit="1" customWidth="1"/>
    <col min="20" max="20" width="5.54296875" bestFit="1" customWidth="1"/>
    <col min="21" max="21" width="5.90625" bestFit="1" customWidth="1"/>
    <col min="22" max="22" width="6.6328125" bestFit="1" customWidth="1"/>
    <col min="23" max="23" width="4.90625" bestFit="1" customWidth="1"/>
    <col min="24" max="24" width="7.54296875" customWidth="1"/>
    <col min="25" max="25" width="6.6328125" bestFit="1" customWidth="1"/>
    <col min="26" max="26" width="6.08984375" bestFit="1" customWidth="1"/>
    <col min="27" max="28" width="6" bestFit="1" customWidth="1"/>
    <col min="29" max="29" width="5.6328125" bestFit="1" customWidth="1"/>
    <col min="30" max="30" width="6.6328125" bestFit="1" customWidth="1"/>
  </cols>
  <sheetData>
    <row r="3" spans="1:30">
      <c r="C3" s="8" t="str" cm="1">
        <f t="array" ref="C3">INDEX(C5:C7,$A$4)</f>
        <v>IE</v>
      </c>
      <c r="D3" s="8" t="str" cm="1">
        <f t="array" ref="D3">INDEX(D5:D7,$A$4)</f>
        <v>National</v>
      </c>
      <c r="E3" s="8" t="str" cm="1">
        <f t="array" ref="E3">INDEX(E5:E7,$A$4)</f>
        <v>IE-CW</v>
      </c>
      <c r="F3" s="8" t="str" cm="1">
        <f t="array" ref="F3">INDEX(F5:F7,$A$4)</f>
        <v>IE-D</v>
      </c>
      <c r="G3" s="8" t="str" cm="1">
        <f t="array" ref="G3">INDEX(G5:G7,$A$4)</f>
        <v>IE-KE</v>
      </c>
      <c r="H3" s="8" t="str" cm="1">
        <f t="array" ref="H3">INDEX(H5:H7,$A$4)</f>
        <v>IE-KK</v>
      </c>
      <c r="I3" s="8" t="str" cm="1">
        <f t="array" ref="I3">INDEX(I5:I7,$A$4)</f>
        <v>IE-LS</v>
      </c>
      <c r="J3" s="8" t="str" cm="1">
        <f t="array" ref="J3">INDEX(J5:J7,$A$4)</f>
        <v>IE-LD</v>
      </c>
      <c r="K3" s="8" t="str" cm="1">
        <f t="array" ref="K3">INDEX(K5:K7,$A$4)</f>
        <v>IE-LH</v>
      </c>
      <c r="L3" s="8" t="str" cm="1">
        <f t="array" ref="L3">INDEX(L5:L7,$A$4)</f>
        <v>IE-MH</v>
      </c>
      <c r="M3" s="8" t="str" cm="1">
        <f t="array" ref="M3">INDEX(M5:M7,$A$4)</f>
        <v>IE-OY</v>
      </c>
      <c r="N3" s="8" t="str" cm="1">
        <f t="array" ref="N3">INDEX(N5:N7,$A$4)</f>
        <v>IE-WH</v>
      </c>
      <c r="O3" s="8" t="str" cm="1">
        <f t="array" ref="O3">INDEX(O5:O7,$A$4)</f>
        <v>IE-WX</v>
      </c>
      <c r="P3" s="8" t="str" cm="1">
        <f t="array" ref="P3">INDEX(P5:P7,$A$4)</f>
        <v>IE-WW</v>
      </c>
      <c r="Q3" s="8" t="str" cm="1">
        <f t="array" ref="Q3">INDEX(Q5:Q7,$A$4)</f>
        <v>IE-CE</v>
      </c>
      <c r="R3" s="8" t="str" cm="1">
        <f t="array" ref="R3">INDEX(R5:R7,$A$4)</f>
        <v>IE-CO</v>
      </c>
      <c r="S3" s="8" t="str" cm="1">
        <f t="array" ref="S3">INDEX(S5:S7,$A$4)</f>
        <v>IE-KY</v>
      </c>
      <c r="T3" s="8" t="str" cm="1">
        <f t="array" ref="T3">INDEX(T5:T7,$A$4)</f>
        <v>IE-LK</v>
      </c>
      <c r="U3" s="8" t="str" cm="1">
        <f t="array" ref="U3">INDEX(U5:U7,$A$4)</f>
        <v>IE-TA</v>
      </c>
      <c r="V3" s="8" t="str" cm="1">
        <f t="array" ref="V3">INDEX(V5:V7,$A$4)</f>
        <v>IE-WD</v>
      </c>
      <c r="W3" s="8" t="str" cm="1">
        <f t="array" ref="W3">INDEX(W5:W7,$A$4)</f>
        <v>IE-G</v>
      </c>
      <c r="X3" s="8" t="str" cm="1">
        <f t="array" ref="X3">INDEX(X5:X7,$A$4)</f>
        <v>IE-LM</v>
      </c>
      <c r="Y3" s="8" t="str" cm="1">
        <f t="array" ref="Y3">INDEX(Y5:Y7,$A$4)</f>
        <v>IE-MO</v>
      </c>
      <c r="Z3" s="8" t="str" cm="1">
        <f t="array" ref="Z3">INDEX(Z5:Z7,$A$4)</f>
        <v>IE-RN</v>
      </c>
      <c r="AA3" s="8" t="str" cm="1">
        <f t="array" ref="AA3">INDEX(AA5:AA7,$A$4)</f>
        <v>IE-SO</v>
      </c>
      <c r="AB3" s="8" t="str" cm="1">
        <f t="array" ref="AB3">INDEX(AB5:AB7,$A$4)</f>
        <v>IE-CN</v>
      </c>
      <c r="AC3" s="8" t="str" cm="1">
        <f t="array" ref="AC3">INDEX(AC5:AC7,$A$4)</f>
        <v>IE-DL</v>
      </c>
      <c r="AD3" s="8" t="str" cm="1">
        <f t="array" ref="AD3">INDEX(AD5:AD7,$A$4)</f>
        <v>IE-MN</v>
      </c>
    </row>
    <row r="4" spans="1:30">
      <c r="A4">
        <v>1</v>
      </c>
    </row>
    <row r="5" spans="1:30">
      <c r="A5" t="s">
        <v>61</v>
      </c>
      <c r="C5" s="9" t="s">
        <v>62</v>
      </c>
      <c r="D5" s="9" t="s">
        <v>63</v>
      </c>
      <c r="E5" s="8" t="str">
        <f>Regions!A11</f>
        <v>IE-CW</v>
      </c>
      <c r="F5" s="8" t="str">
        <f>Regions!A16</f>
        <v>IE-D</v>
      </c>
      <c r="G5" s="8" t="str">
        <f>Regions!A19</f>
        <v>IE-KE</v>
      </c>
      <c r="H5" s="8" t="str">
        <f>Regions!A20</f>
        <v>IE-KK</v>
      </c>
      <c r="I5" s="8" t="str">
        <f>Regions!A21</f>
        <v>IE-LS</v>
      </c>
      <c r="J5" s="8" t="str">
        <f>Regions!A24</f>
        <v>IE-LD</v>
      </c>
      <c r="K5" s="8" t="str">
        <f>Regions!A25</f>
        <v>IE-LH</v>
      </c>
      <c r="L5" s="8" t="str">
        <f>Regions!A27</f>
        <v>IE-MH</v>
      </c>
      <c r="M5" s="8" t="str">
        <f>Regions!A29</f>
        <v>IE-OY</v>
      </c>
      <c r="N5" s="8" t="str">
        <f>Regions!A34</f>
        <v>IE-WH</v>
      </c>
      <c r="O5" s="8" t="str">
        <f>Regions!A35</f>
        <v>IE-WX</v>
      </c>
      <c r="P5" s="8" t="str">
        <f>Regions!A36</f>
        <v>IE-WW</v>
      </c>
      <c r="Q5" s="8" t="str">
        <f>Regions!A13</f>
        <v>IE-CE</v>
      </c>
      <c r="R5" s="8" t="str">
        <f>Regions!A14</f>
        <v>IE-CO</v>
      </c>
      <c r="S5" s="8" t="str">
        <f>Regions!A18</f>
        <v>IE-KY</v>
      </c>
      <c r="T5" s="8" t="str">
        <f>Regions!A23</f>
        <v>IE-LK</v>
      </c>
      <c r="U5" s="8" t="str">
        <f>Regions!A32</f>
        <v>IE-TA</v>
      </c>
      <c r="V5" s="8" t="str">
        <f>Regions!A33</f>
        <v>IE-WD</v>
      </c>
      <c r="W5" s="8" t="str">
        <f>Regions!A17</f>
        <v>IE-G</v>
      </c>
      <c r="X5" s="8" t="str">
        <f>Regions!A22</f>
        <v>IE-LM</v>
      </c>
      <c r="Y5" s="8" t="str">
        <f>Regions!A26</f>
        <v>IE-MO</v>
      </c>
      <c r="Z5" s="8" t="str">
        <f>Regions!A30</f>
        <v>IE-RN</v>
      </c>
      <c r="AA5" s="8" t="str">
        <f>Regions!A31</f>
        <v>IE-SO</v>
      </c>
      <c r="AB5" s="8" t="str">
        <f>Regions!A12</f>
        <v>IE-CN</v>
      </c>
      <c r="AC5" s="8" t="str">
        <f>Regions!A15</f>
        <v>IE-DL</v>
      </c>
      <c r="AD5" s="8" t="str">
        <f>Regions!A28</f>
        <v>IE-MN</v>
      </c>
    </row>
    <row r="6" spans="1:30">
      <c r="A6" t="s">
        <v>64</v>
      </c>
      <c r="C6" s="8" t="str">
        <f>C5</f>
        <v>IE</v>
      </c>
      <c r="D6" s="8" t="str">
        <f>"*"&amp;D5</f>
        <v>*National</v>
      </c>
      <c r="E6" s="8" t="str">
        <f t="shared" ref="E6:AD6" si="0">"*"&amp;E5</f>
        <v>*IE-CW</v>
      </c>
      <c r="F6" s="8" t="str">
        <f t="shared" si="0"/>
        <v>*IE-D</v>
      </c>
      <c r="G6" s="8" t="str">
        <f t="shared" si="0"/>
        <v>*IE-KE</v>
      </c>
      <c r="H6" s="8" t="str">
        <f t="shared" si="0"/>
        <v>*IE-KK</v>
      </c>
      <c r="I6" s="8" t="str">
        <f t="shared" si="0"/>
        <v>*IE-LS</v>
      </c>
      <c r="J6" s="8" t="str">
        <f t="shared" si="0"/>
        <v>*IE-LD</v>
      </c>
      <c r="K6" s="8" t="str">
        <f t="shared" si="0"/>
        <v>*IE-LH</v>
      </c>
      <c r="L6" s="8" t="str">
        <f t="shared" si="0"/>
        <v>*IE-MH</v>
      </c>
      <c r="M6" s="8" t="str">
        <f t="shared" si="0"/>
        <v>*IE-OY</v>
      </c>
      <c r="N6" s="8" t="str">
        <f t="shared" si="0"/>
        <v>*IE-WH</v>
      </c>
      <c r="O6" s="8" t="str">
        <f t="shared" si="0"/>
        <v>*IE-WX</v>
      </c>
      <c r="P6" s="8" t="str">
        <f t="shared" si="0"/>
        <v>*IE-WW</v>
      </c>
      <c r="Q6" s="8" t="str">
        <f t="shared" si="0"/>
        <v>*IE-CE</v>
      </c>
      <c r="R6" s="8" t="str">
        <f t="shared" si="0"/>
        <v>*IE-CO</v>
      </c>
      <c r="S6" s="8" t="str">
        <f t="shared" si="0"/>
        <v>*IE-KY</v>
      </c>
      <c r="T6" s="8" t="str">
        <f t="shared" si="0"/>
        <v>*IE-LK</v>
      </c>
      <c r="U6" s="8" t="str">
        <f t="shared" si="0"/>
        <v>*IE-TA</v>
      </c>
      <c r="V6" s="8" t="str">
        <f t="shared" si="0"/>
        <v>*IE-WD</v>
      </c>
      <c r="W6" s="8" t="str">
        <f t="shared" si="0"/>
        <v>*IE-G</v>
      </c>
      <c r="X6" s="8" t="str">
        <f t="shared" si="0"/>
        <v>*IE-LM</v>
      </c>
      <c r="Y6" s="8" t="str">
        <f t="shared" si="0"/>
        <v>*IE-MO</v>
      </c>
      <c r="Z6" s="8" t="str">
        <f t="shared" si="0"/>
        <v>*IE-RN</v>
      </c>
      <c r="AA6" s="8" t="str">
        <f t="shared" si="0"/>
        <v>*IE-SO</v>
      </c>
      <c r="AB6" s="8" t="str">
        <f t="shared" si="0"/>
        <v>*IE-CN</v>
      </c>
      <c r="AC6" s="8" t="str">
        <f t="shared" si="0"/>
        <v>*IE-DL</v>
      </c>
      <c r="AD6" s="8" t="str">
        <f t="shared" si="0"/>
        <v>*IE-MN</v>
      </c>
    </row>
    <row r="7" spans="1:30">
      <c r="A7" t="s">
        <v>65</v>
      </c>
      <c r="C7" s="8" t="str">
        <f>"*"&amp;C5</f>
        <v>*IE</v>
      </c>
      <c r="D7" s="8" t="str">
        <f>D5</f>
        <v>National</v>
      </c>
      <c r="E7" s="8" t="str">
        <f t="shared" ref="E7:AD7" si="1">E5</f>
        <v>IE-CW</v>
      </c>
      <c r="F7" s="8" t="str">
        <f t="shared" si="1"/>
        <v>IE-D</v>
      </c>
      <c r="G7" s="8" t="str">
        <f t="shared" si="1"/>
        <v>IE-KE</v>
      </c>
      <c r="H7" s="8" t="str">
        <f t="shared" si="1"/>
        <v>IE-KK</v>
      </c>
      <c r="I7" s="8" t="str">
        <f t="shared" si="1"/>
        <v>IE-LS</v>
      </c>
      <c r="J7" s="8" t="str">
        <f t="shared" si="1"/>
        <v>IE-LD</v>
      </c>
      <c r="K7" s="8" t="str">
        <f t="shared" si="1"/>
        <v>IE-LH</v>
      </c>
      <c r="L7" s="8" t="str">
        <f t="shared" si="1"/>
        <v>IE-MH</v>
      </c>
      <c r="M7" s="8" t="str">
        <f t="shared" si="1"/>
        <v>IE-OY</v>
      </c>
      <c r="N7" s="8" t="str">
        <f t="shared" si="1"/>
        <v>IE-WH</v>
      </c>
      <c r="O7" s="8" t="str">
        <f t="shared" si="1"/>
        <v>IE-WX</v>
      </c>
      <c r="P7" s="8" t="str">
        <f t="shared" si="1"/>
        <v>IE-WW</v>
      </c>
      <c r="Q7" s="8" t="str">
        <f t="shared" si="1"/>
        <v>IE-CE</v>
      </c>
      <c r="R7" s="8" t="str">
        <f t="shared" si="1"/>
        <v>IE-CO</v>
      </c>
      <c r="S7" s="8" t="str">
        <f t="shared" si="1"/>
        <v>IE-KY</v>
      </c>
      <c r="T7" s="8" t="str">
        <f t="shared" si="1"/>
        <v>IE-LK</v>
      </c>
      <c r="U7" s="8" t="str">
        <f t="shared" si="1"/>
        <v>IE-TA</v>
      </c>
      <c r="V7" s="8" t="str">
        <f t="shared" si="1"/>
        <v>IE-WD</v>
      </c>
      <c r="W7" s="8" t="str">
        <f t="shared" si="1"/>
        <v>IE-G</v>
      </c>
      <c r="X7" s="8" t="str">
        <f t="shared" si="1"/>
        <v>IE-LM</v>
      </c>
      <c r="Y7" s="8" t="str">
        <f t="shared" si="1"/>
        <v>IE-MO</v>
      </c>
      <c r="Z7" s="8" t="str">
        <f t="shared" si="1"/>
        <v>IE-RN</v>
      </c>
      <c r="AA7" s="8" t="str">
        <f t="shared" si="1"/>
        <v>IE-SO</v>
      </c>
      <c r="AB7" s="8" t="str">
        <f t="shared" si="1"/>
        <v>IE-CN</v>
      </c>
      <c r="AC7" s="8" t="str">
        <f t="shared" si="1"/>
        <v>IE-DL</v>
      </c>
      <c r="AD7" s="8" t="str">
        <f t="shared" si="1"/>
        <v>IE-MN</v>
      </c>
    </row>
    <row r="10" spans="1:30" ht="15" thickBot="1">
      <c r="A10" s="10" t="s">
        <v>66</v>
      </c>
      <c r="B10" s="10" t="s">
        <v>67</v>
      </c>
    </row>
    <row r="11" spans="1:30">
      <c r="A11" s="11" t="s">
        <v>68</v>
      </c>
      <c r="B11" s="11" t="s">
        <v>39</v>
      </c>
    </row>
    <row r="12" spans="1:30">
      <c r="A12" s="12" t="s">
        <v>69</v>
      </c>
      <c r="B12" s="12" t="s">
        <v>38</v>
      </c>
    </row>
    <row r="13" spans="1:30">
      <c r="A13" s="12" t="s">
        <v>70</v>
      </c>
      <c r="B13" s="12" t="s">
        <v>37</v>
      </c>
    </row>
    <row r="14" spans="1:30">
      <c r="A14" s="12" t="s">
        <v>71</v>
      </c>
      <c r="B14" s="12" t="s">
        <v>36</v>
      </c>
    </row>
    <row r="15" spans="1:30">
      <c r="A15" s="12" t="s">
        <v>72</v>
      </c>
      <c r="B15" s="12" t="s">
        <v>35</v>
      </c>
    </row>
    <row r="16" spans="1:30">
      <c r="A16" s="12" t="s">
        <v>73</v>
      </c>
      <c r="B16" s="12" t="s">
        <v>34</v>
      </c>
    </row>
    <row r="17" spans="1:2">
      <c r="A17" s="12" t="s">
        <v>74</v>
      </c>
      <c r="B17" s="12" t="s">
        <v>33</v>
      </c>
    </row>
    <row r="18" spans="1:2">
      <c r="A18" s="12" t="s">
        <v>75</v>
      </c>
      <c r="B18" s="12" t="s">
        <v>32</v>
      </c>
    </row>
    <row r="19" spans="1:2">
      <c r="A19" s="12" t="s">
        <v>76</v>
      </c>
      <c r="B19" s="12" t="s">
        <v>31</v>
      </c>
    </row>
    <row r="20" spans="1:2">
      <c r="A20" s="12" t="s">
        <v>77</v>
      </c>
      <c r="B20" s="12" t="s">
        <v>30</v>
      </c>
    </row>
    <row r="21" spans="1:2">
      <c r="A21" s="12" t="s">
        <v>78</v>
      </c>
      <c r="B21" s="12" t="s">
        <v>29</v>
      </c>
    </row>
    <row r="22" spans="1:2">
      <c r="A22" s="12" t="s">
        <v>79</v>
      </c>
      <c r="B22" s="12" t="s">
        <v>28</v>
      </c>
    </row>
    <row r="23" spans="1:2">
      <c r="A23" s="12" t="s">
        <v>80</v>
      </c>
      <c r="B23" s="12" t="s">
        <v>27</v>
      </c>
    </row>
    <row r="24" spans="1:2">
      <c r="A24" s="12" t="s">
        <v>81</v>
      </c>
      <c r="B24" s="12" t="s">
        <v>26</v>
      </c>
    </row>
    <row r="25" spans="1:2">
      <c r="A25" s="12" t="s">
        <v>82</v>
      </c>
      <c r="B25" s="12" t="s">
        <v>25</v>
      </c>
    </row>
    <row r="26" spans="1:2">
      <c r="A26" s="12" t="s">
        <v>83</v>
      </c>
      <c r="B26" s="12" t="s">
        <v>24</v>
      </c>
    </row>
    <row r="27" spans="1:2">
      <c r="A27" s="12" t="s">
        <v>84</v>
      </c>
      <c r="B27" s="12" t="s">
        <v>23</v>
      </c>
    </row>
    <row r="28" spans="1:2">
      <c r="A28" s="12" t="s">
        <v>85</v>
      </c>
      <c r="B28" s="12" t="s">
        <v>22</v>
      </c>
    </row>
    <row r="29" spans="1:2">
      <c r="A29" s="12" t="s">
        <v>86</v>
      </c>
      <c r="B29" s="12" t="s">
        <v>21</v>
      </c>
    </row>
    <row r="30" spans="1:2">
      <c r="A30" s="12" t="s">
        <v>87</v>
      </c>
      <c r="B30" s="12" t="s">
        <v>20</v>
      </c>
    </row>
    <row r="31" spans="1:2">
      <c r="A31" s="12" t="s">
        <v>88</v>
      </c>
      <c r="B31" s="12" t="s">
        <v>19</v>
      </c>
    </row>
    <row r="32" spans="1:2">
      <c r="A32" s="12" t="s">
        <v>89</v>
      </c>
      <c r="B32" s="12" t="s">
        <v>18</v>
      </c>
    </row>
    <row r="33" spans="1:2">
      <c r="A33" s="12" t="s">
        <v>90</v>
      </c>
      <c r="B33" s="12" t="s">
        <v>17</v>
      </c>
    </row>
    <row r="34" spans="1:2">
      <c r="A34" s="12" t="s">
        <v>91</v>
      </c>
      <c r="B34" s="12" t="s">
        <v>16</v>
      </c>
    </row>
    <row r="35" spans="1:2">
      <c r="A35" s="12" t="s">
        <v>92</v>
      </c>
      <c r="B35" s="12" t="s">
        <v>15</v>
      </c>
    </row>
    <row r="36" spans="1:2">
      <c r="A36" s="12" t="s">
        <v>93</v>
      </c>
      <c r="B36" s="12" t="s">
        <v>14</v>
      </c>
    </row>
    <row r="37" spans="1:2">
      <c r="A37" s="13" t="s">
        <v>94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25400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3:AO166"/>
  <sheetViews>
    <sheetView tabSelected="1" zoomScale="70" zoomScaleNormal="70" workbookViewId="0">
      <selection activeCell="L6" sqref="L6"/>
    </sheetView>
  </sheetViews>
  <sheetFormatPr defaultRowHeight="14.5"/>
  <cols>
    <col min="1" max="1" width="20.08984375" customWidth="1"/>
    <col min="2" max="2" width="13.6328125" customWidth="1"/>
    <col min="3" max="3" width="23.6328125" bestFit="1" customWidth="1"/>
    <col min="4" max="4" width="19.453125" customWidth="1"/>
    <col min="5" max="13" width="10.6328125" bestFit="1" customWidth="1"/>
    <col min="14" max="14" width="11.54296875" customWidth="1"/>
    <col min="15" max="15" width="12.36328125" bestFit="1" customWidth="1"/>
    <col min="16" max="29" width="10.90625" bestFit="1" customWidth="1"/>
    <col min="30" max="40" width="10.453125" bestFit="1" customWidth="1"/>
  </cols>
  <sheetData>
    <row r="3" spans="2:41" ht="21">
      <c r="C3" s="40" t="s">
        <v>198</v>
      </c>
      <c r="D3" s="39"/>
      <c r="E3" s="39"/>
      <c r="F3" s="41"/>
      <c r="G3" s="41"/>
    </row>
    <row r="6" spans="2:41">
      <c r="B6" t="s">
        <v>12</v>
      </c>
    </row>
    <row r="7" spans="2:41">
      <c r="C7" s="4" t="s">
        <v>60</v>
      </c>
    </row>
    <row r="8" spans="2:41">
      <c r="C8" s="4" t="s">
        <v>10</v>
      </c>
    </row>
    <row r="9" spans="2:41">
      <c r="K9" t="s">
        <v>43</v>
      </c>
    </row>
    <row r="10" spans="2:41">
      <c r="C10" s="3" t="s">
        <v>0</v>
      </c>
      <c r="D10" s="1" t="s">
        <v>4</v>
      </c>
      <c r="E10" s="1" t="s">
        <v>3</v>
      </c>
      <c r="F10" s="1" t="s">
        <v>1</v>
      </c>
      <c r="G10" s="1" t="s">
        <v>6</v>
      </c>
      <c r="H10" s="2" t="s">
        <v>5</v>
      </c>
      <c r="I10" s="2" t="s">
        <v>8</v>
      </c>
      <c r="J10" s="2" t="s">
        <v>2</v>
      </c>
      <c r="K10" s="2" t="s">
        <v>9</v>
      </c>
      <c r="L10" s="2" t="s">
        <v>7</v>
      </c>
      <c r="M10" s="3" t="s">
        <v>11</v>
      </c>
      <c r="N10" s="3" t="str">
        <f>Regions!C$3</f>
        <v>IE</v>
      </c>
      <c r="O10" s="3" t="str">
        <f>Regions!E$3</f>
        <v>IE-CW</v>
      </c>
      <c r="P10" s="3" t="str">
        <f>Regions!F$3</f>
        <v>IE-D</v>
      </c>
      <c r="Q10" s="3" t="str">
        <f>Regions!G$3</f>
        <v>IE-KE</v>
      </c>
      <c r="R10" s="3" t="str">
        <f>Regions!H$3</f>
        <v>IE-KK</v>
      </c>
      <c r="S10" s="3" t="str">
        <f>Regions!I$3</f>
        <v>IE-LS</v>
      </c>
      <c r="T10" s="3" t="str">
        <f>Regions!J$3</f>
        <v>IE-LD</v>
      </c>
      <c r="U10" s="3" t="str">
        <f>Regions!K$3</f>
        <v>IE-LH</v>
      </c>
      <c r="V10" s="3" t="str">
        <f>Regions!L$3</f>
        <v>IE-MH</v>
      </c>
      <c r="W10" s="3" t="str">
        <f>Regions!M$3</f>
        <v>IE-OY</v>
      </c>
      <c r="X10" s="3" t="str">
        <f>Regions!N$3</f>
        <v>IE-WH</v>
      </c>
      <c r="Y10" s="3" t="str">
        <f>Regions!O$3</f>
        <v>IE-WX</v>
      </c>
      <c r="Z10" s="3" t="str">
        <f>Regions!P$3</f>
        <v>IE-WW</v>
      </c>
      <c r="AA10" s="3" t="str">
        <f>Regions!Q$3</f>
        <v>IE-CE</v>
      </c>
      <c r="AB10" s="3" t="str">
        <f>Regions!R$3</f>
        <v>IE-CO</v>
      </c>
      <c r="AC10" s="3" t="str">
        <f>Regions!S$3</f>
        <v>IE-KY</v>
      </c>
      <c r="AD10" s="3" t="str">
        <f>Regions!T$3</f>
        <v>IE-LK</v>
      </c>
      <c r="AE10" s="3" t="str">
        <f>Regions!U$3</f>
        <v>IE-TA</v>
      </c>
      <c r="AF10" s="3" t="str">
        <f>Regions!V$3</f>
        <v>IE-WD</v>
      </c>
      <c r="AG10" s="3" t="str">
        <f>Regions!W$3</f>
        <v>IE-G</v>
      </c>
      <c r="AH10" s="3" t="str">
        <f>Regions!X$3</f>
        <v>IE-LM</v>
      </c>
      <c r="AI10" s="3" t="str">
        <f>Regions!Y$3</f>
        <v>IE-MO</v>
      </c>
      <c r="AJ10" s="3" t="str">
        <f>Regions!Z$3</f>
        <v>IE-RN</v>
      </c>
      <c r="AK10" s="3" t="str">
        <f>Regions!AA$3</f>
        <v>IE-SO</v>
      </c>
      <c r="AL10" s="3" t="str">
        <f>Regions!AB$3</f>
        <v>IE-CN</v>
      </c>
      <c r="AM10" s="3" t="str">
        <f>Regions!AC$3</f>
        <v>IE-DL</v>
      </c>
      <c r="AN10" s="3" t="str">
        <f>Regions!AD$3</f>
        <v>IE-MN</v>
      </c>
      <c r="AO10" s="3" t="s">
        <v>13</v>
      </c>
    </row>
    <row r="11" spans="2:41">
      <c r="C11" t="s">
        <v>59</v>
      </c>
      <c r="E11" t="str">
        <f>C68</f>
        <v>T-WLK_WLK</v>
      </c>
      <c r="H11" t="str">
        <f>E109</f>
        <v>TRAPS</v>
      </c>
      <c r="J11">
        <v>2018</v>
      </c>
      <c r="K11" t="s">
        <v>44</v>
      </c>
      <c r="L11">
        <v>-1</v>
      </c>
      <c r="M11" t="str">
        <f>D116</f>
        <v>Walk</v>
      </c>
      <c r="N11" s="36">
        <f>ROUNDUP(C130,3)</f>
        <v>0.32400000000000001</v>
      </c>
      <c r="O11" s="36">
        <f t="shared" ref="O11:AN11" si="0">ROUNDUP(D130,3)</f>
        <v>0.29599999999999999</v>
      </c>
      <c r="P11" s="36">
        <f t="shared" si="0"/>
        <v>0.35</v>
      </c>
      <c r="Q11" s="36">
        <f t="shared" si="0"/>
        <v>0.314</v>
      </c>
      <c r="R11" s="36">
        <f t="shared" si="0"/>
        <v>0.30099999999999999</v>
      </c>
      <c r="S11" s="36">
        <f t="shared" si="0"/>
        <v>0.32600000000000001</v>
      </c>
      <c r="T11" s="36">
        <f t="shared" si="0"/>
        <v>0.313</v>
      </c>
      <c r="U11" s="36">
        <f t="shared" si="0"/>
        <v>0.34499999999999997</v>
      </c>
      <c r="V11" s="36">
        <f t="shared" si="0"/>
        <v>0.317</v>
      </c>
      <c r="W11" s="36">
        <f t="shared" si="0"/>
        <v>0.30599999999999999</v>
      </c>
      <c r="X11" s="36">
        <f t="shared" si="0"/>
        <v>0.307</v>
      </c>
      <c r="Y11" s="36">
        <f t="shared" si="0"/>
        <v>0.29799999999999999</v>
      </c>
      <c r="Z11" s="36">
        <f t="shared" si="0"/>
        <v>0.32</v>
      </c>
      <c r="AA11" s="36">
        <f t="shared" si="0"/>
        <v>0.30399999999999999</v>
      </c>
      <c r="AB11" s="36">
        <f t="shared" si="0"/>
        <v>0.32800000000000001</v>
      </c>
      <c r="AC11" s="36">
        <f t="shared" si="0"/>
        <v>0.29199999999999998</v>
      </c>
      <c r="AD11" s="36">
        <f t="shared" si="0"/>
        <v>0.32300000000000001</v>
      </c>
      <c r="AE11" s="36">
        <f t="shared" si="0"/>
        <v>0.28999999999999998</v>
      </c>
      <c r="AF11" s="36">
        <f t="shared" si="0"/>
        <v>0.318</v>
      </c>
      <c r="AG11" s="36">
        <f t="shared" si="0"/>
        <v>0.316</v>
      </c>
      <c r="AH11" s="36">
        <f t="shared" si="0"/>
        <v>0.30499999999999999</v>
      </c>
      <c r="AI11" s="36">
        <f t="shared" si="0"/>
        <v>0.29799999999999999</v>
      </c>
      <c r="AJ11" s="36">
        <f t="shared" si="0"/>
        <v>0.28200000000000003</v>
      </c>
      <c r="AK11" s="36">
        <f t="shared" si="0"/>
        <v>0.32500000000000001</v>
      </c>
      <c r="AL11" s="36">
        <f t="shared" si="0"/>
        <v>0.33800000000000002</v>
      </c>
      <c r="AM11" s="36">
        <f t="shared" si="0"/>
        <v>0.36399999999999999</v>
      </c>
      <c r="AN11" s="36">
        <f t="shared" si="0"/>
        <v>0.29299999999999998</v>
      </c>
      <c r="AO11" s="5">
        <v>0</v>
      </c>
    </row>
    <row r="12" spans="2:41">
      <c r="J12">
        <v>0</v>
      </c>
      <c r="K12" t="s">
        <v>44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>
        <v>5</v>
      </c>
    </row>
    <row r="13" spans="2:41">
      <c r="C13" t="s">
        <v>45</v>
      </c>
      <c r="E13" t="str">
        <f>C69</f>
        <v>T-CYC_CYC</v>
      </c>
      <c r="H13" t="str">
        <f>H11</f>
        <v>TRAPS</v>
      </c>
      <c r="J13">
        <v>2018</v>
      </c>
      <c r="K13" t="s">
        <v>44</v>
      </c>
      <c r="L13">
        <v>-1</v>
      </c>
      <c r="M13" t="str">
        <f>D117</f>
        <v>Bike</v>
      </c>
      <c r="N13" s="36">
        <f>ROUNDUP(C131,3)</f>
        <v>5.3999999999999999E-2</v>
      </c>
      <c r="O13" s="36">
        <f t="shared" ref="O13:AN13" si="1">ROUNDUP(D131,3)</f>
        <v>0.05</v>
      </c>
      <c r="P13" s="36">
        <f t="shared" si="1"/>
        <v>5.9000000000000004E-2</v>
      </c>
      <c r="Q13" s="36">
        <f t="shared" si="1"/>
        <v>5.2999999999999999E-2</v>
      </c>
      <c r="R13" s="36">
        <f t="shared" si="1"/>
        <v>5.1000000000000004E-2</v>
      </c>
      <c r="S13" s="36">
        <f t="shared" si="1"/>
        <v>5.5E-2</v>
      </c>
      <c r="T13" s="36">
        <f t="shared" si="1"/>
        <v>5.2999999999999999E-2</v>
      </c>
      <c r="U13" s="36">
        <f t="shared" si="1"/>
        <v>5.8000000000000003E-2</v>
      </c>
      <c r="V13" s="36">
        <f t="shared" si="1"/>
        <v>5.2999999999999999E-2</v>
      </c>
      <c r="W13" s="36">
        <f t="shared" si="1"/>
        <v>5.1000000000000004E-2</v>
      </c>
      <c r="X13" s="36">
        <f t="shared" si="1"/>
        <v>5.1999999999999998E-2</v>
      </c>
      <c r="Y13" s="36">
        <f t="shared" si="1"/>
        <v>0.05</v>
      </c>
      <c r="Z13" s="36">
        <f t="shared" si="1"/>
        <v>5.3999999999999999E-2</v>
      </c>
      <c r="AA13" s="36">
        <f t="shared" si="1"/>
        <v>5.1000000000000004E-2</v>
      </c>
      <c r="AB13" s="36">
        <f t="shared" si="1"/>
        <v>5.5E-2</v>
      </c>
      <c r="AC13" s="36">
        <f t="shared" si="1"/>
        <v>4.9000000000000002E-2</v>
      </c>
      <c r="AD13" s="36">
        <f t="shared" si="1"/>
        <v>5.3999999999999999E-2</v>
      </c>
      <c r="AE13" s="36">
        <f t="shared" si="1"/>
        <v>4.9000000000000002E-2</v>
      </c>
      <c r="AF13" s="36">
        <f t="shared" si="1"/>
        <v>5.2999999999999999E-2</v>
      </c>
      <c r="AG13" s="36">
        <f t="shared" si="1"/>
        <v>5.2999999999999999E-2</v>
      </c>
      <c r="AH13" s="36">
        <f t="shared" si="1"/>
        <v>5.1000000000000004E-2</v>
      </c>
      <c r="AI13" s="36">
        <f t="shared" si="1"/>
        <v>0.05</v>
      </c>
      <c r="AJ13" s="36">
        <f t="shared" si="1"/>
        <v>4.7E-2</v>
      </c>
      <c r="AK13" s="36">
        <f t="shared" si="1"/>
        <v>5.5E-2</v>
      </c>
      <c r="AL13" s="36">
        <f t="shared" si="1"/>
        <v>5.7000000000000002E-2</v>
      </c>
      <c r="AM13" s="36">
        <f t="shared" si="1"/>
        <v>6.0999999999999999E-2</v>
      </c>
      <c r="AN13" s="36">
        <f t="shared" si="1"/>
        <v>4.9000000000000002E-2</v>
      </c>
      <c r="AO13" s="5">
        <v>0</v>
      </c>
    </row>
    <row r="14" spans="2:41">
      <c r="J14">
        <v>0</v>
      </c>
      <c r="K14" t="s">
        <v>44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>
        <v>5</v>
      </c>
    </row>
    <row r="15" spans="2:41">
      <c r="C15" t="s">
        <v>46</v>
      </c>
      <c r="E15" t="str">
        <f>LEFT(C71,5)&amp;"*"</f>
        <v>T-MOT*</v>
      </c>
      <c r="H15" t="str">
        <f>H13</f>
        <v>TRAPS</v>
      </c>
      <c r="J15">
        <v>2018</v>
      </c>
      <c r="K15" t="s">
        <v>44</v>
      </c>
      <c r="L15">
        <v>-1</v>
      </c>
      <c r="M15" t="str">
        <f>D118</f>
        <v>2-wheelers</v>
      </c>
      <c r="N15" s="37">
        <f>ROUNDUP(C132,4)</f>
        <v>1.2999999999999999E-3</v>
      </c>
      <c r="O15" s="37">
        <f t="shared" ref="O15:AN15" si="2">ROUNDUP(D132,4)</f>
        <v>9.0000000000000008E-4</v>
      </c>
      <c r="P15" s="37">
        <f t="shared" si="2"/>
        <v>1.5E-3</v>
      </c>
      <c r="Q15" s="37">
        <f t="shared" si="2"/>
        <v>1.4E-3</v>
      </c>
      <c r="R15" s="37">
        <f t="shared" si="2"/>
        <v>1E-3</v>
      </c>
      <c r="S15" s="37">
        <f t="shared" si="2"/>
        <v>6.9999999999999999E-4</v>
      </c>
      <c r="T15" s="37">
        <f t="shared" si="2"/>
        <v>1.2999999999999999E-3</v>
      </c>
      <c r="U15" s="37">
        <f t="shared" si="2"/>
        <v>9.0000000000000008E-4</v>
      </c>
      <c r="V15" s="37">
        <f t="shared" si="2"/>
        <v>1.4E-3</v>
      </c>
      <c r="W15" s="37">
        <f t="shared" si="2"/>
        <v>1.2999999999999999E-3</v>
      </c>
      <c r="X15" s="37">
        <f t="shared" si="2"/>
        <v>1.2000000000000001E-3</v>
      </c>
      <c r="Y15" s="37">
        <f t="shared" si="2"/>
        <v>1.2999999999999999E-3</v>
      </c>
      <c r="Z15" s="37">
        <f t="shared" si="2"/>
        <v>1.5E-3</v>
      </c>
      <c r="AA15" s="37">
        <f t="shared" si="2"/>
        <v>1.2999999999999999E-3</v>
      </c>
      <c r="AB15" s="37">
        <f t="shared" si="2"/>
        <v>1.5E-3</v>
      </c>
      <c r="AC15" s="37">
        <f t="shared" si="2"/>
        <v>1E-3</v>
      </c>
      <c r="AD15" s="37">
        <f t="shared" si="2"/>
        <v>1.1000000000000001E-3</v>
      </c>
      <c r="AE15" s="37">
        <f t="shared" si="2"/>
        <v>1.2000000000000001E-3</v>
      </c>
      <c r="AF15" s="37">
        <f t="shared" si="2"/>
        <v>1.4E-3</v>
      </c>
      <c r="AG15" s="37">
        <f t="shared" si="2"/>
        <v>8.0000000000000004E-4</v>
      </c>
      <c r="AH15" s="36">
        <f>ROUNDUP(W132,3)</f>
        <v>2E-3</v>
      </c>
      <c r="AI15" s="37">
        <f t="shared" si="2"/>
        <v>8.0000000000000004E-4</v>
      </c>
      <c r="AJ15" s="37">
        <f t="shared" si="2"/>
        <v>8.0000000000000004E-4</v>
      </c>
      <c r="AK15" s="37">
        <f t="shared" si="2"/>
        <v>9.0000000000000008E-4</v>
      </c>
      <c r="AL15" s="37">
        <f t="shared" si="2"/>
        <v>8.0000000000000004E-4</v>
      </c>
      <c r="AM15" s="37">
        <f t="shared" si="2"/>
        <v>8.0000000000000004E-4</v>
      </c>
      <c r="AN15" s="37">
        <f t="shared" si="2"/>
        <v>8.0000000000000004E-4</v>
      </c>
      <c r="AO15" s="5">
        <v>0</v>
      </c>
    </row>
    <row r="16" spans="2:41">
      <c r="J16">
        <v>0</v>
      </c>
      <c r="K16" t="s">
        <v>44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>
        <v>5</v>
      </c>
    </row>
    <row r="17" spans="3:41">
      <c r="C17" t="s">
        <v>47</v>
      </c>
      <c r="E17" t="str">
        <f>LEFT(C73,5)&amp;"*"</f>
        <v>T-CAR*</v>
      </c>
      <c r="H17" t="str">
        <f>H15</f>
        <v>TRAPS</v>
      </c>
      <c r="J17">
        <v>2018</v>
      </c>
      <c r="K17" t="s">
        <v>44</v>
      </c>
      <c r="L17">
        <v>-1</v>
      </c>
      <c r="M17" t="str">
        <f>D119</f>
        <v>LDV</v>
      </c>
      <c r="N17" s="36">
        <f>ROUNDUP(C133,3)</f>
        <v>0.51500000000000001</v>
      </c>
      <c r="O17" s="36">
        <f t="shared" ref="O17:AN17" si="3">ROUNDUP(D133,3)</f>
        <v>0.57699999999999996</v>
      </c>
      <c r="P17" s="36">
        <f t="shared" si="3"/>
        <v>0.41599999999999998</v>
      </c>
      <c r="Q17" s="36">
        <f t="shared" si="3"/>
        <v>0.53900000000000003</v>
      </c>
      <c r="R17" s="36">
        <f t="shared" si="3"/>
        <v>0.52800000000000002</v>
      </c>
      <c r="S17" s="36">
        <f t="shared" si="3"/>
        <v>0.54500000000000004</v>
      </c>
      <c r="T17" s="36">
        <f t="shared" si="3"/>
        <v>0.54800000000000004</v>
      </c>
      <c r="U17" s="36">
        <f t="shared" si="3"/>
        <v>0.50700000000000001</v>
      </c>
      <c r="V17" s="36">
        <f t="shared" si="3"/>
        <v>0.55000000000000004</v>
      </c>
      <c r="W17" s="36">
        <f t="shared" si="3"/>
        <v>0.54300000000000004</v>
      </c>
      <c r="X17" s="36">
        <f t="shared" si="3"/>
        <v>0.57099999999999995</v>
      </c>
      <c r="Y17" s="36">
        <f t="shared" si="3"/>
        <v>0.57899999999999996</v>
      </c>
      <c r="Z17" s="36">
        <f t="shared" si="3"/>
        <v>0.54900000000000004</v>
      </c>
      <c r="AA17" s="36">
        <f t="shared" si="3"/>
        <v>0.57499999999999996</v>
      </c>
      <c r="AB17" s="36">
        <f t="shared" si="3"/>
        <v>0.54600000000000004</v>
      </c>
      <c r="AC17" s="36">
        <f t="shared" si="3"/>
        <v>0.53</v>
      </c>
      <c r="AD17" s="36">
        <f t="shared" si="3"/>
        <v>0.54900000000000004</v>
      </c>
      <c r="AE17" s="36">
        <f t="shared" si="3"/>
        <v>0.57699999999999996</v>
      </c>
      <c r="AF17" s="36">
        <f t="shared" si="3"/>
        <v>0.56499999999999995</v>
      </c>
      <c r="AG17" s="36">
        <f t="shared" si="3"/>
        <v>0.53200000000000003</v>
      </c>
      <c r="AH17" s="36">
        <f t="shared" si="3"/>
        <v>0.57099999999999995</v>
      </c>
      <c r="AI17" s="36">
        <f t="shared" si="3"/>
        <v>0.54500000000000004</v>
      </c>
      <c r="AJ17" s="36">
        <f t="shared" si="3"/>
        <v>0.60599999999999998</v>
      </c>
      <c r="AK17" s="36">
        <f t="shared" si="3"/>
        <v>0.54600000000000004</v>
      </c>
      <c r="AL17" s="36">
        <f t="shared" si="3"/>
        <v>0.57199999999999995</v>
      </c>
      <c r="AM17" s="36">
        <f t="shared" si="3"/>
        <v>0.56100000000000005</v>
      </c>
      <c r="AN17" s="36">
        <f t="shared" si="3"/>
        <v>0.49299999999999999</v>
      </c>
      <c r="AO17" s="5">
        <v>0</v>
      </c>
    </row>
    <row r="18" spans="3:41">
      <c r="J18">
        <v>0</v>
      </c>
      <c r="K18" t="s">
        <v>44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>
        <v>5</v>
      </c>
    </row>
    <row r="19" spans="3:41">
      <c r="C19" t="s">
        <v>48</v>
      </c>
      <c r="E19" t="str">
        <f>LEFT(C83,5)&amp;"*"</f>
        <v>T-TAX*</v>
      </c>
      <c r="H19" t="str">
        <f>H17</f>
        <v>TRAPS</v>
      </c>
      <c r="J19">
        <v>2018</v>
      </c>
      <c r="K19" t="s">
        <v>44</v>
      </c>
      <c r="L19">
        <v>-1</v>
      </c>
      <c r="M19" t="str">
        <f>D120</f>
        <v>Taxis</v>
      </c>
      <c r="N19" s="36">
        <f>ROUNDUP(C134,3)</f>
        <v>1.7000000000000001E-2</v>
      </c>
      <c r="O19" s="36">
        <f t="shared" ref="O19:AN19" si="4">ROUNDUP(D134,3)</f>
        <v>8.0000000000000002E-3</v>
      </c>
      <c r="P19" s="36">
        <f t="shared" si="4"/>
        <v>3.3000000000000002E-2</v>
      </c>
      <c r="Q19" s="36">
        <f t="shared" si="4"/>
        <v>1.4999999999999999E-2</v>
      </c>
      <c r="R19" s="36">
        <f t="shared" si="4"/>
        <v>8.0000000000000002E-3</v>
      </c>
      <c r="S19" s="36">
        <f t="shared" si="4"/>
        <v>9.9999999999999985E-3</v>
      </c>
      <c r="T19" s="36">
        <f t="shared" si="4"/>
        <v>9.0000000000000011E-3</v>
      </c>
      <c r="U19" s="36">
        <f t="shared" si="4"/>
        <v>0.02</v>
      </c>
      <c r="V19" s="36">
        <f t="shared" si="4"/>
        <v>0.02</v>
      </c>
      <c r="W19" s="36">
        <f t="shared" si="4"/>
        <v>7.0000000000000001E-3</v>
      </c>
      <c r="X19" s="36">
        <f t="shared" si="4"/>
        <v>1.2E-2</v>
      </c>
      <c r="Y19" s="36">
        <f t="shared" si="4"/>
        <v>7.0000000000000001E-3</v>
      </c>
      <c r="Z19" s="36">
        <f t="shared" si="4"/>
        <v>9.9999999999999985E-3</v>
      </c>
      <c r="AA19" s="36">
        <f t="shared" si="4"/>
        <v>1.0999999999999999E-2</v>
      </c>
      <c r="AB19" s="36">
        <f t="shared" si="4"/>
        <v>1.3000000000000001E-2</v>
      </c>
      <c r="AC19" s="36">
        <f t="shared" si="4"/>
        <v>1.0999999999999999E-2</v>
      </c>
      <c r="AD19" s="36">
        <f t="shared" si="4"/>
        <v>1.3000000000000001E-2</v>
      </c>
      <c r="AE19" s="36">
        <f t="shared" si="4"/>
        <v>6.0000000000000001E-3</v>
      </c>
      <c r="AF19" s="36">
        <f t="shared" si="4"/>
        <v>9.0000000000000011E-3</v>
      </c>
      <c r="AG19" s="36">
        <f t="shared" si="4"/>
        <v>1.3999999999999999E-2</v>
      </c>
      <c r="AH19" s="36">
        <f t="shared" si="4"/>
        <v>9.0000000000000011E-3</v>
      </c>
      <c r="AI19" s="36">
        <f t="shared" si="4"/>
        <v>8.0000000000000002E-3</v>
      </c>
      <c r="AJ19" s="36">
        <f t="shared" si="4"/>
        <v>7.0000000000000001E-3</v>
      </c>
      <c r="AK19" s="36">
        <f t="shared" si="4"/>
        <v>9.0000000000000011E-3</v>
      </c>
      <c r="AL19" s="36">
        <f t="shared" si="4"/>
        <v>9.0000000000000011E-3</v>
      </c>
      <c r="AM19" s="36">
        <f t="shared" si="4"/>
        <v>9.9999999999999985E-3</v>
      </c>
      <c r="AN19" s="36">
        <f t="shared" si="4"/>
        <v>5.0000000000000001E-3</v>
      </c>
      <c r="AO19" s="5">
        <v>0</v>
      </c>
    </row>
    <row r="20" spans="3:41">
      <c r="J20">
        <v>0</v>
      </c>
      <c r="K20" t="s">
        <v>44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>
        <v>5</v>
      </c>
    </row>
    <row r="21" spans="3:41">
      <c r="C21" t="s">
        <v>49</v>
      </c>
      <c r="E21" t="str">
        <f>LEFT(C87,5)&amp;"*"</f>
        <v>T-BUS*</v>
      </c>
      <c r="H21" t="str">
        <f>H19</f>
        <v>TRAPS</v>
      </c>
      <c r="J21">
        <v>2018</v>
      </c>
      <c r="K21" t="s">
        <v>44</v>
      </c>
      <c r="L21">
        <v>-1</v>
      </c>
      <c r="M21" t="str">
        <f>D121</f>
        <v>BUS</v>
      </c>
      <c r="N21" s="36">
        <f>ROUNDUP(C135,3)</f>
        <v>8.3000000000000004E-2</v>
      </c>
      <c r="O21" s="36">
        <f t="shared" ref="O21:AN21" si="5">ROUNDUP(D135,3)</f>
        <v>7.1000000000000008E-2</v>
      </c>
      <c r="P21" s="36">
        <f t="shared" si="5"/>
        <v>0.114</v>
      </c>
      <c r="Q21" s="36">
        <f t="shared" si="5"/>
        <v>8.1000000000000003E-2</v>
      </c>
      <c r="R21" s="36">
        <f t="shared" si="5"/>
        <v>0.113</v>
      </c>
      <c r="S21" s="36">
        <f t="shared" si="5"/>
        <v>6.5000000000000002E-2</v>
      </c>
      <c r="T21" s="36">
        <f t="shared" si="5"/>
        <v>7.8E-2</v>
      </c>
      <c r="U21" s="36">
        <f t="shared" si="5"/>
        <v>7.2999999999999995E-2</v>
      </c>
      <c r="V21" s="36">
        <f t="shared" si="5"/>
        <v>6.0999999999999999E-2</v>
      </c>
      <c r="W21" s="36">
        <f t="shared" si="5"/>
        <v>9.2999999999999999E-2</v>
      </c>
      <c r="X21" s="36">
        <f t="shared" si="5"/>
        <v>5.9000000000000004E-2</v>
      </c>
      <c r="Y21" s="36">
        <f t="shared" si="5"/>
        <v>6.8000000000000005E-2</v>
      </c>
      <c r="Z21" s="36">
        <f t="shared" si="5"/>
        <v>6.9000000000000006E-2</v>
      </c>
      <c r="AA21" s="36">
        <f t="shared" si="5"/>
        <v>6.0999999999999999E-2</v>
      </c>
      <c r="AB21" s="36">
        <f t="shared" si="5"/>
        <v>0.06</v>
      </c>
      <c r="AC21" s="36">
        <f t="shared" si="5"/>
        <v>0.12</v>
      </c>
      <c r="AD21" s="36">
        <f t="shared" si="5"/>
        <v>6.2E-2</v>
      </c>
      <c r="AE21" s="36">
        <f t="shared" si="5"/>
        <v>0.08</v>
      </c>
      <c r="AF21" s="36">
        <f t="shared" si="5"/>
        <v>5.6000000000000001E-2</v>
      </c>
      <c r="AG21" s="36">
        <f t="shared" si="5"/>
        <v>8.6999999999999994E-2</v>
      </c>
      <c r="AH21" s="36">
        <f t="shared" si="5"/>
        <v>6.5000000000000002E-2</v>
      </c>
      <c r="AI21" s="36">
        <f t="shared" si="5"/>
        <v>0.10100000000000001</v>
      </c>
      <c r="AJ21" s="36">
        <f t="shared" si="5"/>
        <v>5.9000000000000004E-2</v>
      </c>
      <c r="AK21" s="36">
        <f t="shared" si="5"/>
        <v>6.7000000000000004E-2</v>
      </c>
      <c r="AL21" s="36">
        <f t="shared" si="5"/>
        <v>2.6000000000000002E-2</v>
      </c>
      <c r="AM21" s="36">
        <f t="shared" si="5"/>
        <v>5.0000000000000001E-3</v>
      </c>
      <c r="AN21" s="36">
        <f t="shared" si="5"/>
        <v>0.161</v>
      </c>
      <c r="AO21" s="5">
        <v>0</v>
      </c>
    </row>
    <row r="22" spans="3:41">
      <c r="J22">
        <v>0</v>
      </c>
      <c r="K22" t="s">
        <v>44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>
        <v>5</v>
      </c>
    </row>
    <row r="23" spans="3:41">
      <c r="C23" t="s">
        <v>58</v>
      </c>
      <c r="E23" t="str">
        <f>LEFT(C89,5)&amp;"*"</f>
        <v>T-LPT*</v>
      </c>
      <c r="H23" t="str">
        <f>H21</f>
        <v>TRAPS</v>
      </c>
      <c r="J23">
        <v>2018</v>
      </c>
      <c r="K23" t="s">
        <v>44</v>
      </c>
      <c r="L23">
        <v>-1</v>
      </c>
      <c r="M23" t="str">
        <f>D122</f>
        <v>Light rail (LUAS)</v>
      </c>
      <c r="N23" s="36">
        <f>ROUNDUP(C136,3)</f>
        <v>8.0000000000000002E-3</v>
      </c>
      <c r="O23" s="36">
        <f t="shared" ref="O23:AN23" si="6">ROUNDUP(D136,3)</f>
        <v>0</v>
      </c>
      <c r="P23" s="36">
        <f t="shared" si="6"/>
        <v>3.0000000000000002E-2</v>
      </c>
      <c r="Q23" s="36">
        <f t="shared" si="6"/>
        <v>0</v>
      </c>
      <c r="R23" s="36">
        <f t="shared" si="6"/>
        <v>0</v>
      </c>
      <c r="S23" s="36">
        <f t="shared" si="6"/>
        <v>0</v>
      </c>
      <c r="T23" s="36">
        <f t="shared" si="6"/>
        <v>0</v>
      </c>
      <c r="U23" s="36">
        <f t="shared" si="6"/>
        <v>0</v>
      </c>
      <c r="V23" s="36">
        <f t="shared" si="6"/>
        <v>0</v>
      </c>
      <c r="W23" s="36">
        <f t="shared" si="6"/>
        <v>0</v>
      </c>
      <c r="X23" s="36">
        <f t="shared" si="6"/>
        <v>0</v>
      </c>
      <c r="Y23" s="36">
        <f t="shared" si="6"/>
        <v>0</v>
      </c>
      <c r="Z23" s="36">
        <f t="shared" si="6"/>
        <v>0</v>
      </c>
      <c r="AA23" s="36">
        <f t="shared" si="6"/>
        <v>0</v>
      </c>
      <c r="AB23" s="36">
        <f t="shared" si="6"/>
        <v>0</v>
      </c>
      <c r="AC23" s="36">
        <f t="shared" si="6"/>
        <v>0</v>
      </c>
      <c r="AD23" s="36">
        <f t="shared" si="6"/>
        <v>0</v>
      </c>
      <c r="AE23" s="36">
        <f t="shared" si="6"/>
        <v>0</v>
      </c>
      <c r="AF23" s="36">
        <f t="shared" si="6"/>
        <v>0</v>
      </c>
      <c r="AG23" s="36">
        <f t="shared" si="6"/>
        <v>0</v>
      </c>
      <c r="AH23" s="36">
        <f t="shared" si="6"/>
        <v>0</v>
      </c>
      <c r="AI23" s="36">
        <f t="shared" si="6"/>
        <v>0</v>
      </c>
      <c r="AJ23" s="36">
        <f t="shared" si="6"/>
        <v>0</v>
      </c>
      <c r="AK23" s="36">
        <f t="shared" si="6"/>
        <v>0</v>
      </c>
      <c r="AL23" s="36">
        <f t="shared" si="6"/>
        <v>0</v>
      </c>
      <c r="AM23" s="36">
        <f t="shared" si="6"/>
        <v>0</v>
      </c>
      <c r="AN23" s="36">
        <f t="shared" si="6"/>
        <v>0</v>
      </c>
      <c r="AO23" s="5">
        <v>0</v>
      </c>
    </row>
    <row r="24" spans="3:41">
      <c r="C24" s="6"/>
      <c r="D24" s="6"/>
      <c r="E24" s="6"/>
      <c r="F24" s="6"/>
      <c r="G24" s="6"/>
      <c r="H24" s="6"/>
      <c r="I24" s="6"/>
      <c r="J24" s="6">
        <v>0</v>
      </c>
      <c r="K24" s="6" t="s">
        <v>44</v>
      </c>
      <c r="L24" s="6"/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6">
        <v>5</v>
      </c>
    </row>
    <row r="25" spans="3:41">
      <c r="N25" s="5"/>
    </row>
    <row r="26" spans="3:41">
      <c r="M26" t="s">
        <v>193</v>
      </c>
      <c r="N26" s="37">
        <f t="shared" ref="N26:AN26" si="7">SUM(N11:N24)</f>
        <v>1.0023</v>
      </c>
      <c r="O26" s="37">
        <f t="shared" si="7"/>
        <v>1.0028999999999999</v>
      </c>
      <c r="P26" s="37">
        <f t="shared" si="7"/>
        <v>1.0035000000000001</v>
      </c>
      <c r="Q26" s="37">
        <f t="shared" si="7"/>
        <v>1.0034000000000001</v>
      </c>
      <c r="R26" s="37">
        <f t="shared" si="7"/>
        <v>1.002</v>
      </c>
      <c r="S26" s="37">
        <f t="shared" si="7"/>
        <v>1.0017</v>
      </c>
      <c r="T26" s="37">
        <f t="shared" si="7"/>
        <v>1.0023</v>
      </c>
      <c r="U26" s="37">
        <f t="shared" si="7"/>
        <v>1.0039</v>
      </c>
      <c r="V26" s="37">
        <f t="shared" si="7"/>
        <v>1.0024</v>
      </c>
      <c r="W26" s="37">
        <f t="shared" si="7"/>
        <v>1.0013000000000001</v>
      </c>
      <c r="X26" s="37">
        <f t="shared" si="7"/>
        <v>1.0022</v>
      </c>
      <c r="Y26" s="37">
        <f t="shared" si="7"/>
        <v>1.0032999999999999</v>
      </c>
      <c r="Z26" s="37">
        <f t="shared" si="7"/>
        <v>1.0035000000000001</v>
      </c>
      <c r="AA26" s="37">
        <f t="shared" si="7"/>
        <v>1.0033000000000001</v>
      </c>
      <c r="AB26" s="37">
        <f t="shared" si="7"/>
        <v>1.0035000000000001</v>
      </c>
      <c r="AC26" s="37">
        <f t="shared" si="7"/>
        <v>1.0030000000000001</v>
      </c>
      <c r="AD26" s="37">
        <f t="shared" si="7"/>
        <v>1.0021</v>
      </c>
      <c r="AE26" s="37">
        <f t="shared" si="7"/>
        <v>1.0031999999999999</v>
      </c>
      <c r="AF26" s="37">
        <f t="shared" si="7"/>
        <v>1.0024</v>
      </c>
      <c r="AG26" s="37">
        <f t="shared" si="7"/>
        <v>1.0028000000000001</v>
      </c>
      <c r="AH26" s="37">
        <f t="shared" si="7"/>
        <v>1.0029999999999999</v>
      </c>
      <c r="AI26" s="37">
        <f t="shared" si="7"/>
        <v>1.0028000000000001</v>
      </c>
      <c r="AJ26" s="37">
        <f t="shared" si="7"/>
        <v>1.0018</v>
      </c>
      <c r="AK26" s="37">
        <f t="shared" si="7"/>
        <v>1.0029000000000001</v>
      </c>
      <c r="AL26" s="37">
        <f t="shared" si="7"/>
        <v>1.0027999999999999</v>
      </c>
      <c r="AM26" s="37">
        <f t="shared" si="7"/>
        <v>1.0018</v>
      </c>
      <c r="AN26" s="37">
        <f t="shared" si="7"/>
        <v>1.0018</v>
      </c>
    </row>
    <row r="29" spans="3:41">
      <c r="C29" s="4"/>
    </row>
    <row r="30" spans="3:41">
      <c r="C30" s="4"/>
    </row>
    <row r="31" spans="3:41">
      <c r="K31" t="s">
        <v>43</v>
      </c>
    </row>
    <row r="32" spans="3:41">
      <c r="C32" s="3" t="s">
        <v>0</v>
      </c>
      <c r="D32" s="1" t="s">
        <v>4</v>
      </c>
      <c r="E32" s="1" t="s">
        <v>3</v>
      </c>
      <c r="F32" s="1" t="s">
        <v>1</v>
      </c>
      <c r="G32" s="1" t="s">
        <v>6</v>
      </c>
      <c r="H32" s="2" t="s">
        <v>5</v>
      </c>
      <c r="I32" s="2" t="s">
        <v>8</v>
      </c>
      <c r="J32" s="2" t="s">
        <v>2</v>
      </c>
      <c r="K32" s="2" t="s">
        <v>9</v>
      </c>
      <c r="L32" s="2" t="s">
        <v>7</v>
      </c>
      <c r="M32" s="3" t="s">
        <v>11</v>
      </c>
      <c r="N32" s="3" t="str">
        <f>Regions!C$3</f>
        <v>IE</v>
      </c>
      <c r="O32" s="3" t="str">
        <f>Regions!E$3</f>
        <v>IE-CW</v>
      </c>
      <c r="P32" s="3" t="str">
        <f>Regions!F$3</f>
        <v>IE-D</v>
      </c>
      <c r="Q32" s="3" t="str">
        <f>Regions!G$3</f>
        <v>IE-KE</v>
      </c>
      <c r="R32" s="3" t="str">
        <f>Regions!H$3</f>
        <v>IE-KK</v>
      </c>
      <c r="S32" s="3" t="str">
        <f>Regions!I$3</f>
        <v>IE-LS</v>
      </c>
      <c r="T32" s="3" t="str">
        <f>Regions!J$3</f>
        <v>IE-LD</v>
      </c>
      <c r="U32" s="3" t="str">
        <f>Regions!K$3</f>
        <v>IE-LH</v>
      </c>
      <c r="V32" s="3" t="str">
        <f>Regions!L$3</f>
        <v>IE-MH</v>
      </c>
      <c r="W32" s="3" t="str">
        <f>Regions!M$3</f>
        <v>IE-OY</v>
      </c>
      <c r="X32" s="3" t="str">
        <f>Regions!N$3</f>
        <v>IE-WH</v>
      </c>
      <c r="Y32" s="3" t="str">
        <f>Regions!O$3</f>
        <v>IE-WX</v>
      </c>
      <c r="Z32" s="3" t="str">
        <f>Regions!P$3</f>
        <v>IE-WW</v>
      </c>
      <c r="AA32" s="3" t="str">
        <f>Regions!Q$3</f>
        <v>IE-CE</v>
      </c>
      <c r="AB32" s="3" t="str">
        <f>Regions!R$3</f>
        <v>IE-CO</v>
      </c>
      <c r="AC32" s="3" t="str">
        <f>Regions!S$3</f>
        <v>IE-KY</v>
      </c>
      <c r="AD32" s="3" t="str">
        <f>Regions!T$3</f>
        <v>IE-LK</v>
      </c>
      <c r="AE32" s="3" t="str">
        <f>Regions!U$3</f>
        <v>IE-TA</v>
      </c>
      <c r="AF32" s="3" t="str">
        <f>Regions!V$3</f>
        <v>IE-WD</v>
      </c>
      <c r="AG32" s="3" t="str">
        <f>Regions!W$3</f>
        <v>IE-G</v>
      </c>
      <c r="AH32" s="3" t="str">
        <f>Regions!X$3</f>
        <v>IE-LM</v>
      </c>
      <c r="AI32" s="3" t="str">
        <f>Regions!Y$3</f>
        <v>IE-MO</v>
      </c>
      <c r="AJ32" s="3" t="str">
        <f>Regions!Z$3</f>
        <v>IE-RN</v>
      </c>
      <c r="AK32" s="3" t="str">
        <f>Regions!AA$3</f>
        <v>IE-SO</v>
      </c>
      <c r="AL32" s="3" t="str">
        <f>Regions!AB$3</f>
        <v>IE-CN</v>
      </c>
      <c r="AM32" s="3" t="str">
        <f>Regions!AC$3</f>
        <v>IE-DL</v>
      </c>
      <c r="AN32" s="3" t="str">
        <f>Regions!AD$3</f>
        <v>IE-MN</v>
      </c>
      <c r="AO32" s="3" t="s">
        <v>13</v>
      </c>
    </row>
    <row r="33" spans="3:41">
      <c r="C33" t="s">
        <v>50</v>
      </c>
      <c r="E33" t="str">
        <f>E15</f>
        <v>T-MOT*</v>
      </c>
      <c r="H33" t="str">
        <f>E110</f>
        <v>TRAPM</v>
      </c>
      <c r="J33">
        <v>2018</v>
      </c>
      <c r="K33" t="s">
        <v>44</v>
      </c>
      <c r="L33">
        <v>-1</v>
      </c>
      <c r="M33" t="str">
        <f>M15</f>
        <v>2-wheelers</v>
      </c>
      <c r="N33" s="37">
        <f>ROUNDUP(C146,4)</f>
        <v>3.3E-3</v>
      </c>
      <c r="O33" s="37">
        <f t="shared" ref="O33:AN33" si="8">ROUNDUP(D146,4)</f>
        <v>2.1999999999999997E-3</v>
      </c>
      <c r="P33" s="37">
        <f t="shared" si="8"/>
        <v>4.2000000000000006E-3</v>
      </c>
      <c r="Q33" s="37">
        <f t="shared" si="8"/>
        <v>3.6999999999999997E-3</v>
      </c>
      <c r="R33" s="37">
        <f t="shared" si="8"/>
        <v>2.5999999999999999E-3</v>
      </c>
      <c r="S33" s="37">
        <f t="shared" si="8"/>
        <v>1.7000000000000001E-3</v>
      </c>
      <c r="T33" s="37">
        <f t="shared" si="8"/>
        <v>3.3E-3</v>
      </c>
      <c r="U33" s="37">
        <f t="shared" si="8"/>
        <v>2.4999999999999996E-3</v>
      </c>
      <c r="V33" s="37">
        <f t="shared" si="8"/>
        <v>3.5999999999999999E-3</v>
      </c>
      <c r="W33" s="37">
        <f t="shared" si="8"/>
        <v>3.3999999999999998E-3</v>
      </c>
      <c r="X33" s="37">
        <f t="shared" si="8"/>
        <v>2.9999999999999996E-3</v>
      </c>
      <c r="Y33" s="37">
        <f t="shared" si="8"/>
        <v>3.3999999999999998E-3</v>
      </c>
      <c r="Z33" s="37">
        <f t="shared" si="8"/>
        <v>4.0000000000000001E-3</v>
      </c>
      <c r="AA33" s="37">
        <f t="shared" si="8"/>
        <v>3.3E-3</v>
      </c>
      <c r="AB33" s="37">
        <f t="shared" si="8"/>
        <v>4.0000000000000001E-3</v>
      </c>
      <c r="AC33" s="37">
        <f t="shared" si="8"/>
        <v>2.4999999999999996E-3</v>
      </c>
      <c r="AD33" s="37">
        <f t="shared" si="8"/>
        <v>2.8999999999999998E-3</v>
      </c>
      <c r="AE33" s="37">
        <f t="shared" si="8"/>
        <v>2.9999999999999996E-3</v>
      </c>
      <c r="AF33" s="37">
        <f t="shared" si="8"/>
        <v>3.5999999999999999E-3</v>
      </c>
      <c r="AG33" s="37">
        <f t="shared" si="8"/>
        <v>2.1999999999999997E-3</v>
      </c>
      <c r="AH33" s="36">
        <f>ROUNDUP(W146,3)</f>
        <v>5.0000000000000001E-3</v>
      </c>
      <c r="AI33" s="37">
        <f t="shared" si="8"/>
        <v>2E-3</v>
      </c>
      <c r="AJ33" s="37">
        <f t="shared" si="8"/>
        <v>1.8E-3</v>
      </c>
      <c r="AK33" s="37">
        <f t="shared" si="8"/>
        <v>2.1999999999999997E-3</v>
      </c>
      <c r="AL33" s="37">
        <f t="shared" si="8"/>
        <v>2E-3</v>
      </c>
      <c r="AM33" s="37">
        <f t="shared" si="8"/>
        <v>2.1999999999999997E-3</v>
      </c>
      <c r="AN33" s="37">
        <f t="shared" si="8"/>
        <v>2E-3</v>
      </c>
      <c r="AO33" s="5">
        <v>0</v>
      </c>
    </row>
    <row r="34" spans="3:41">
      <c r="J34">
        <v>0</v>
      </c>
      <c r="K34" t="s">
        <v>44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>
        <v>5</v>
      </c>
    </row>
    <row r="35" spans="3:41">
      <c r="C35" t="s">
        <v>51</v>
      </c>
      <c r="E35" t="str">
        <f>E17</f>
        <v>T-CAR*</v>
      </c>
      <c r="H35" t="str">
        <f>H33</f>
        <v>TRAPM</v>
      </c>
      <c r="J35">
        <v>2018</v>
      </c>
      <c r="K35" t="s">
        <v>44</v>
      </c>
      <c r="L35">
        <v>-1</v>
      </c>
      <c r="M35" t="str">
        <f>M17</f>
        <v>LDV</v>
      </c>
      <c r="N35" s="36">
        <f>ROUNDUP(C147,3)</f>
        <v>0.83499999999999996</v>
      </c>
      <c r="O35" s="36">
        <f t="shared" ref="O35:AN35" si="9">ROUNDUP(D147,3)</f>
        <v>0.88200000000000001</v>
      </c>
      <c r="P35" s="36">
        <f t="shared" si="9"/>
        <v>0.72499999999999998</v>
      </c>
      <c r="Q35" s="36">
        <f t="shared" si="9"/>
        <v>0.85099999999999998</v>
      </c>
      <c r="R35" s="36">
        <f t="shared" si="9"/>
        <v>0.81399999999999995</v>
      </c>
      <c r="S35" s="36">
        <f t="shared" si="9"/>
        <v>0.88100000000000001</v>
      </c>
      <c r="T35" s="36">
        <f t="shared" si="9"/>
        <v>0.86299999999999999</v>
      </c>
      <c r="U35" s="36">
        <f t="shared" si="9"/>
        <v>0.85</v>
      </c>
      <c r="V35" s="36">
        <f t="shared" si="9"/>
        <v>0.875</v>
      </c>
      <c r="W35" s="36">
        <f t="shared" si="9"/>
        <v>0.84399999999999997</v>
      </c>
      <c r="X35" s="36">
        <f t="shared" si="9"/>
        <v>0.89100000000000001</v>
      </c>
      <c r="Y35" s="36">
        <f t="shared" si="9"/>
        <v>0.88600000000000001</v>
      </c>
      <c r="Z35" s="36">
        <f t="shared" si="9"/>
        <v>0.876</v>
      </c>
      <c r="AA35" s="36">
        <f t="shared" si="9"/>
        <v>0.89100000000000001</v>
      </c>
      <c r="AB35" s="36">
        <f t="shared" si="9"/>
        <v>0.88400000000000001</v>
      </c>
      <c r="AC35" s="36">
        <f t="shared" si="9"/>
        <v>0.80400000000000005</v>
      </c>
      <c r="AD35" s="36">
        <f t="shared" si="9"/>
        <v>0.88200000000000001</v>
      </c>
      <c r="AE35" s="36">
        <f t="shared" si="9"/>
        <v>0.871</v>
      </c>
      <c r="AF35" s="36">
        <f t="shared" si="9"/>
        <v>0.89800000000000002</v>
      </c>
      <c r="AG35" s="36">
        <f t="shared" si="9"/>
        <v>0.84399999999999997</v>
      </c>
      <c r="AH35" s="36">
        <f t="shared" si="9"/>
        <v>0.88600000000000001</v>
      </c>
      <c r="AI35" s="36">
        <f t="shared" si="9"/>
        <v>0.83599999999999997</v>
      </c>
      <c r="AJ35" s="36">
        <f t="shared" si="9"/>
        <v>0.90300000000000002</v>
      </c>
      <c r="AK35" s="36">
        <f t="shared" si="9"/>
        <v>0.879</v>
      </c>
      <c r="AL35" s="36">
        <f t="shared" si="9"/>
        <v>0.94499999999999995</v>
      </c>
      <c r="AM35" s="36">
        <f t="shared" si="9"/>
        <v>0.97699999999999998</v>
      </c>
      <c r="AN35" s="36">
        <f t="shared" si="9"/>
        <v>0.749</v>
      </c>
      <c r="AO35" s="5">
        <v>0</v>
      </c>
    </row>
    <row r="36" spans="3:41">
      <c r="J36">
        <v>0</v>
      </c>
      <c r="K36" t="s">
        <v>44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>
        <v>5</v>
      </c>
    </row>
    <row r="37" spans="3:41">
      <c r="C37" t="s">
        <v>52</v>
      </c>
      <c r="E37" t="str">
        <f>E19</f>
        <v>T-TAX*</v>
      </c>
      <c r="H37" t="str">
        <f>H35</f>
        <v>TRAPM</v>
      </c>
      <c r="J37">
        <v>2018</v>
      </c>
      <c r="K37" t="s">
        <v>44</v>
      </c>
      <c r="L37">
        <v>-1</v>
      </c>
      <c r="M37" t="str">
        <f>M19</f>
        <v>Taxis</v>
      </c>
      <c r="N37" s="36">
        <f>ROUNDUP(C148,3)</f>
        <v>2.2000000000000002E-2</v>
      </c>
      <c r="O37" s="36">
        <f t="shared" ref="O37:AN37" si="10">ROUNDUP(D148,3)</f>
        <v>9.9999999999999985E-3</v>
      </c>
      <c r="P37" s="36">
        <f t="shared" si="10"/>
        <v>4.7E-2</v>
      </c>
      <c r="Q37" s="36">
        <f t="shared" si="10"/>
        <v>1.9E-2</v>
      </c>
      <c r="R37" s="36">
        <f t="shared" si="10"/>
        <v>9.9999999999999985E-3</v>
      </c>
      <c r="S37" s="36">
        <f t="shared" si="10"/>
        <v>1.3999999999999999E-2</v>
      </c>
      <c r="T37" s="36">
        <f t="shared" si="10"/>
        <v>1.2E-2</v>
      </c>
      <c r="U37" s="36">
        <f t="shared" si="10"/>
        <v>2.7E-2</v>
      </c>
      <c r="V37" s="36">
        <f t="shared" si="10"/>
        <v>2.6000000000000002E-2</v>
      </c>
      <c r="W37" s="36">
        <f t="shared" si="10"/>
        <v>9.0000000000000011E-3</v>
      </c>
      <c r="X37" s="36">
        <f t="shared" si="10"/>
        <v>1.6E-2</v>
      </c>
      <c r="Y37" s="36">
        <f t="shared" si="10"/>
        <v>8.0000000000000002E-3</v>
      </c>
      <c r="Z37" s="36">
        <f t="shared" si="10"/>
        <v>1.2E-2</v>
      </c>
      <c r="AA37" s="36">
        <f t="shared" si="10"/>
        <v>1.3999999999999999E-2</v>
      </c>
      <c r="AB37" s="36">
        <f t="shared" si="10"/>
        <v>1.7000000000000001E-2</v>
      </c>
      <c r="AC37" s="36">
        <f t="shared" si="10"/>
        <v>1.3000000000000001E-2</v>
      </c>
      <c r="AD37" s="36">
        <f t="shared" si="10"/>
        <v>1.7000000000000001E-2</v>
      </c>
      <c r="AE37" s="36">
        <f t="shared" si="10"/>
        <v>7.0000000000000001E-3</v>
      </c>
      <c r="AF37" s="36">
        <f t="shared" si="10"/>
        <v>1.2E-2</v>
      </c>
      <c r="AG37" s="36">
        <f t="shared" si="10"/>
        <v>1.8000000000000002E-2</v>
      </c>
      <c r="AH37" s="36">
        <f t="shared" si="10"/>
        <v>1.0999999999999999E-2</v>
      </c>
      <c r="AI37" s="36">
        <f t="shared" si="10"/>
        <v>9.9999999999999985E-3</v>
      </c>
      <c r="AJ37" s="36">
        <f t="shared" si="10"/>
        <v>8.0000000000000002E-3</v>
      </c>
      <c r="AK37" s="36">
        <f t="shared" si="10"/>
        <v>1.2E-2</v>
      </c>
      <c r="AL37" s="36">
        <f t="shared" si="10"/>
        <v>1.3000000000000001E-2</v>
      </c>
      <c r="AM37" s="36">
        <f t="shared" si="10"/>
        <v>1.4999999999999999E-2</v>
      </c>
      <c r="AN37" s="36">
        <f t="shared" si="10"/>
        <v>6.0000000000000001E-3</v>
      </c>
      <c r="AO37" s="5">
        <v>0</v>
      </c>
    </row>
    <row r="38" spans="3:41">
      <c r="J38">
        <v>0</v>
      </c>
      <c r="K38" t="s">
        <v>44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>
        <v>5</v>
      </c>
    </row>
    <row r="39" spans="3:41" ht="14" customHeight="1">
      <c r="C39" t="s">
        <v>53</v>
      </c>
      <c r="E39" t="str">
        <f>E21</f>
        <v>T-BUS*</v>
      </c>
      <c r="H39" t="str">
        <f>H37</f>
        <v>TRAPM</v>
      </c>
      <c r="J39">
        <v>2018</v>
      </c>
      <c r="K39" t="s">
        <v>44</v>
      </c>
      <c r="L39">
        <v>-1</v>
      </c>
      <c r="M39" t="str">
        <f>M21</f>
        <v>BUS</v>
      </c>
      <c r="N39" s="36">
        <f>ROUNDUP(C149,3)</f>
        <v>0.13500000000000001</v>
      </c>
      <c r="O39" s="36">
        <f t="shared" ref="O39:AN39" si="11">ROUNDUP(D149,3)</f>
        <v>0.108</v>
      </c>
      <c r="P39" s="36">
        <f t="shared" si="11"/>
        <v>0.19900000000000001</v>
      </c>
      <c r="Q39" s="36">
        <f t="shared" si="11"/>
        <v>0.128</v>
      </c>
      <c r="R39" s="36">
        <f t="shared" si="11"/>
        <v>0.17399999999999999</v>
      </c>
      <c r="S39" s="36">
        <f t="shared" si="11"/>
        <v>0.106</v>
      </c>
      <c r="T39" s="36">
        <f t="shared" si="11"/>
        <v>0.123</v>
      </c>
      <c r="U39" s="36">
        <f t="shared" si="11"/>
        <v>0.122</v>
      </c>
      <c r="V39" s="36">
        <f t="shared" si="11"/>
        <v>9.6000000000000002E-2</v>
      </c>
      <c r="W39" s="36">
        <f t="shared" si="11"/>
        <v>0.14499999999999999</v>
      </c>
      <c r="X39" s="36">
        <f t="shared" si="11"/>
        <v>9.1999999999999998E-2</v>
      </c>
      <c r="Y39" s="36">
        <f t="shared" si="11"/>
        <v>0.10299999999999999</v>
      </c>
      <c r="Z39" s="36">
        <f t="shared" si="11"/>
        <v>0.11</v>
      </c>
      <c r="AA39" s="36">
        <f t="shared" si="11"/>
        <v>9.4E-2</v>
      </c>
      <c r="AB39" s="36">
        <f t="shared" si="11"/>
        <v>9.6000000000000002E-2</v>
      </c>
      <c r="AC39" s="36">
        <f t="shared" si="11"/>
        <v>0.182</v>
      </c>
      <c r="AD39" s="36">
        <f t="shared" si="11"/>
        <v>9.9000000000000005E-2</v>
      </c>
      <c r="AE39" s="36">
        <f t="shared" si="11"/>
        <v>0.121</v>
      </c>
      <c r="AF39" s="36">
        <f t="shared" si="11"/>
        <v>8.7999999999999995E-2</v>
      </c>
      <c r="AG39" s="36">
        <f t="shared" si="11"/>
        <v>0.13800000000000001</v>
      </c>
      <c r="AH39" s="36">
        <f t="shared" si="11"/>
        <v>0.1</v>
      </c>
      <c r="AI39" s="36">
        <f t="shared" si="11"/>
        <v>0.154</v>
      </c>
      <c r="AJ39" s="36">
        <f t="shared" si="11"/>
        <v>8.7999999999999995E-2</v>
      </c>
      <c r="AK39" s="36">
        <f t="shared" si="11"/>
        <v>0.108</v>
      </c>
      <c r="AL39" s="36">
        <f t="shared" si="11"/>
        <v>4.2000000000000003E-2</v>
      </c>
      <c r="AM39" s="36">
        <f t="shared" si="11"/>
        <v>8.0000000000000002E-3</v>
      </c>
      <c r="AN39" s="36">
        <f t="shared" si="11"/>
        <v>0.245</v>
      </c>
      <c r="AO39" s="5">
        <v>0</v>
      </c>
    </row>
    <row r="40" spans="3:41" ht="14" customHeight="1">
      <c r="J40">
        <v>0</v>
      </c>
      <c r="K40" t="s">
        <v>44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>
        <v>5</v>
      </c>
    </row>
    <row r="41" spans="3:41">
      <c r="C41" t="s">
        <v>192</v>
      </c>
      <c r="E41" t="str">
        <f>E23</f>
        <v>T-LPT*</v>
      </c>
      <c r="H41" t="str">
        <f>H39</f>
        <v>TRAPM</v>
      </c>
      <c r="J41">
        <v>2018</v>
      </c>
      <c r="K41" t="s">
        <v>44</v>
      </c>
      <c r="L41">
        <v>-1</v>
      </c>
      <c r="M41" t="str">
        <f>M23</f>
        <v>Light rail (LUAS)</v>
      </c>
      <c r="N41" s="36">
        <f>ROUNDUP(C150,3)</f>
        <v>7.0000000000000001E-3</v>
      </c>
      <c r="O41" s="36">
        <f t="shared" ref="O41:AN41" si="12">ROUNDUP(D150,3)</f>
        <v>0</v>
      </c>
      <c r="P41" s="36">
        <f t="shared" si="12"/>
        <v>2.7E-2</v>
      </c>
      <c r="Q41" s="36">
        <f t="shared" si="12"/>
        <v>0</v>
      </c>
      <c r="R41" s="36">
        <f t="shared" si="12"/>
        <v>0</v>
      </c>
      <c r="S41" s="36">
        <f t="shared" si="12"/>
        <v>0</v>
      </c>
      <c r="T41" s="36">
        <f t="shared" si="12"/>
        <v>0</v>
      </c>
      <c r="U41" s="36">
        <f t="shared" si="12"/>
        <v>0</v>
      </c>
      <c r="V41" s="36">
        <f t="shared" si="12"/>
        <v>0</v>
      </c>
      <c r="W41" s="36">
        <f t="shared" si="12"/>
        <v>0</v>
      </c>
      <c r="X41" s="36">
        <f t="shared" si="12"/>
        <v>0</v>
      </c>
      <c r="Y41" s="36">
        <f t="shared" si="12"/>
        <v>0</v>
      </c>
      <c r="Z41" s="36">
        <f t="shared" si="12"/>
        <v>0</v>
      </c>
      <c r="AA41" s="36">
        <f t="shared" si="12"/>
        <v>0</v>
      </c>
      <c r="AB41" s="36">
        <f t="shared" si="12"/>
        <v>0</v>
      </c>
      <c r="AC41" s="36">
        <f t="shared" si="12"/>
        <v>0</v>
      </c>
      <c r="AD41" s="36">
        <f t="shared" si="12"/>
        <v>0</v>
      </c>
      <c r="AE41" s="36">
        <f t="shared" si="12"/>
        <v>0</v>
      </c>
      <c r="AF41" s="36">
        <f t="shared" si="12"/>
        <v>0</v>
      </c>
      <c r="AG41" s="36">
        <f t="shared" si="12"/>
        <v>0</v>
      </c>
      <c r="AH41" s="36">
        <f t="shared" si="12"/>
        <v>0</v>
      </c>
      <c r="AI41" s="36">
        <f t="shared" si="12"/>
        <v>0</v>
      </c>
      <c r="AJ41" s="36">
        <f t="shared" si="12"/>
        <v>0</v>
      </c>
      <c r="AK41" s="36">
        <f t="shared" si="12"/>
        <v>0</v>
      </c>
      <c r="AL41" s="36">
        <f t="shared" si="12"/>
        <v>0</v>
      </c>
      <c r="AM41" s="36">
        <f t="shared" si="12"/>
        <v>0</v>
      </c>
      <c r="AN41" s="36">
        <f t="shared" si="12"/>
        <v>0</v>
      </c>
      <c r="AO41" s="5">
        <v>0</v>
      </c>
    </row>
    <row r="42" spans="3:41">
      <c r="C42" s="6"/>
      <c r="D42" s="6"/>
      <c r="E42" s="6"/>
      <c r="F42" s="6"/>
      <c r="G42" s="6"/>
      <c r="H42" s="6"/>
      <c r="I42" s="6"/>
      <c r="J42" s="6">
        <v>0</v>
      </c>
      <c r="K42" s="6" t="s">
        <v>44</v>
      </c>
      <c r="L42" s="6"/>
      <c r="M42" s="6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6">
        <v>5</v>
      </c>
    </row>
    <row r="44" spans="3:41">
      <c r="M44" t="s">
        <v>193</v>
      </c>
      <c r="N44" s="37">
        <f t="shared" ref="N44:AN44" si="13">SUM(N33:N42)</f>
        <v>1.0023</v>
      </c>
      <c r="O44" s="37">
        <f t="shared" si="13"/>
        <v>1.0022</v>
      </c>
      <c r="P44" s="37">
        <f t="shared" si="13"/>
        <v>1.0022</v>
      </c>
      <c r="Q44" s="37">
        <f t="shared" si="13"/>
        <v>1.0017</v>
      </c>
      <c r="R44" s="37">
        <f t="shared" si="13"/>
        <v>1.0005999999999999</v>
      </c>
      <c r="S44" s="37">
        <f t="shared" si="13"/>
        <v>1.0027000000000001</v>
      </c>
      <c r="T44" s="37">
        <f t="shared" si="13"/>
        <v>1.0013000000000001</v>
      </c>
      <c r="U44" s="37">
        <f t="shared" si="13"/>
        <v>1.0015000000000001</v>
      </c>
      <c r="V44" s="37">
        <f t="shared" si="13"/>
        <v>1.0006000000000002</v>
      </c>
      <c r="W44" s="37">
        <f t="shared" si="13"/>
        <v>1.0013999999999998</v>
      </c>
      <c r="X44" s="37">
        <f t="shared" si="13"/>
        <v>1.002</v>
      </c>
      <c r="Y44" s="37">
        <f t="shared" si="13"/>
        <v>1.0004</v>
      </c>
      <c r="Z44" s="37">
        <f t="shared" si="13"/>
        <v>1.002</v>
      </c>
      <c r="AA44" s="37">
        <f t="shared" si="13"/>
        <v>1.0023</v>
      </c>
      <c r="AB44" s="37">
        <f t="shared" si="13"/>
        <v>1.0010000000000001</v>
      </c>
      <c r="AC44" s="37">
        <f t="shared" si="13"/>
        <v>1.0015000000000001</v>
      </c>
      <c r="AD44" s="37">
        <f t="shared" si="13"/>
        <v>1.0009000000000001</v>
      </c>
      <c r="AE44" s="37">
        <f t="shared" si="13"/>
        <v>1.002</v>
      </c>
      <c r="AF44" s="37">
        <f t="shared" si="13"/>
        <v>1.0016</v>
      </c>
      <c r="AG44" s="37">
        <f t="shared" si="13"/>
        <v>1.0022</v>
      </c>
      <c r="AH44" s="37">
        <f t="shared" si="13"/>
        <v>1.002</v>
      </c>
      <c r="AI44" s="37">
        <f t="shared" si="13"/>
        <v>1.002</v>
      </c>
      <c r="AJ44" s="37">
        <f t="shared" si="13"/>
        <v>1.0008000000000001</v>
      </c>
      <c r="AK44" s="37">
        <f t="shared" si="13"/>
        <v>1.0012000000000001</v>
      </c>
      <c r="AL44" s="37">
        <f t="shared" si="13"/>
        <v>1.002</v>
      </c>
      <c r="AM44" s="37">
        <f t="shared" si="13"/>
        <v>1.0022</v>
      </c>
      <c r="AN44" s="37">
        <f t="shared" si="13"/>
        <v>1.002</v>
      </c>
    </row>
    <row r="47" spans="3:41">
      <c r="C47" s="4"/>
    </row>
    <row r="48" spans="3:41">
      <c r="C48" s="4"/>
    </row>
    <row r="49" spans="3:41">
      <c r="K49" t="s">
        <v>43</v>
      </c>
    </row>
    <row r="50" spans="3:41">
      <c r="C50" s="3" t="s">
        <v>0</v>
      </c>
      <c r="D50" s="1" t="s">
        <v>4</v>
      </c>
      <c r="E50" s="1" t="s">
        <v>3</v>
      </c>
      <c r="F50" s="1" t="s">
        <v>1</v>
      </c>
      <c r="G50" s="1" t="s">
        <v>6</v>
      </c>
      <c r="H50" s="2" t="s">
        <v>5</v>
      </c>
      <c r="I50" s="2" t="s">
        <v>8</v>
      </c>
      <c r="J50" s="2" t="s">
        <v>2</v>
      </c>
      <c r="K50" s="2" t="s">
        <v>9</v>
      </c>
      <c r="L50" s="2" t="s">
        <v>7</v>
      </c>
      <c r="M50" s="3" t="s">
        <v>11</v>
      </c>
      <c r="N50" s="3" t="str">
        <f>Regions!C$3</f>
        <v>IE</v>
      </c>
      <c r="O50" s="3" t="str">
        <f>Regions!E$3</f>
        <v>IE-CW</v>
      </c>
      <c r="P50" s="3" t="str">
        <f>Regions!F$3</f>
        <v>IE-D</v>
      </c>
      <c r="Q50" s="3" t="str">
        <f>Regions!G$3</f>
        <v>IE-KE</v>
      </c>
      <c r="R50" s="3" t="str">
        <f>Regions!H$3</f>
        <v>IE-KK</v>
      </c>
      <c r="S50" s="3" t="str">
        <f>Regions!I$3</f>
        <v>IE-LS</v>
      </c>
      <c r="T50" s="3" t="str">
        <f>Regions!J$3</f>
        <v>IE-LD</v>
      </c>
      <c r="U50" s="3" t="str">
        <f>Regions!K$3</f>
        <v>IE-LH</v>
      </c>
      <c r="V50" s="3" t="str">
        <f>Regions!L$3</f>
        <v>IE-MH</v>
      </c>
      <c r="W50" s="3" t="str">
        <f>Regions!M$3</f>
        <v>IE-OY</v>
      </c>
      <c r="X50" s="3" t="str">
        <f>Regions!N$3</f>
        <v>IE-WH</v>
      </c>
      <c r="Y50" s="3" t="str">
        <f>Regions!O$3</f>
        <v>IE-WX</v>
      </c>
      <c r="Z50" s="3" t="str">
        <f>Regions!P$3</f>
        <v>IE-WW</v>
      </c>
      <c r="AA50" s="3" t="str">
        <f>Regions!Q$3</f>
        <v>IE-CE</v>
      </c>
      <c r="AB50" s="3" t="str">
        <f>Regions!R$3</f>
        <v>IE-CO</v>
      </c>
      <c r="AC50" s="3" t="str">
        <f>Regions!S$3</f>
        <v>IE-KY</v>
      </c>
      <c r="AD50" s="3" t="str">
        <f>Regions!T$3</f>
        <v>IE-LK</v>
      </c>
      <c r="AE50" s="3" t="str">
        <f>Regions!U$3</f>
        <v>IE-TA</v>
      </c>
      <c r="AF50" s="3" t="str">
        <f>Regions!V$3</f>
        <v>IE-WD</v>
      </c>
      <c r="AG50" s="3" t="str">
        <f>Regions!W$3</f>
        <v>IE-G</v>
      </c>
      <c r="AH50" s="3" t="str">
        <f>Regions!X$3</f>
        <v>IE-LM</v>
      </c>
      <c r="AI50" s="3" t="str">
        <f>Regions!Y$3</f>
        <v>IE-MO</v>
      </c>
      <c r="AJ50" s="3" t="str">
        <f>Regions!Z$3</f>
        <v>IE-RN</v>
      </c>
      <c r="AK50" s="3" t="str">
        <f>Regions!AA$3</f>
        <v>IE-SO</v>
      </c>
      <c r="AL50" s="3" t="str">
        <f>Regions!AB$3</f>
        <v>IE-CN</v>
      </c>
      <c r="AM50" s="3" t="str">
        <f>Regions!AC$3</f>
        <v>IE-DL</v>
      </c>
      <c r="AN50" s="3" t="str">
        <f>Regions!AD$3</f>
        <v>IE-MN</v>
      </c>
      <c r="AO50" s="3" t="s">
        <v>13</v>
      </c>
    </row>
    <row r="51" spans="3:41">
      <c r="C51" t="s">
        <v>54</v>
      </c>
      <c r="E51" t="str">
        <f>E35</f>
        <v>T-CAR*</v>
      </c>
      <c r="H51" t="str">
        <f>E111</f>
        <v>TRAPL</v>
      </c>
      <c r="J51">
        <v>2018</v>
      </c>
      <c r="K51" t="s">
        <v>44</v>
      </c>
      <c r="L51">
        <v>-1</v>
      </c>
      <c r="M51" t="str">
        <f>M35</f>
        <v>LDV</v>
      </c>
      <c r="N51" s="36">
        <f>ROUNDUP(C161,3)</f>
        <v>0.74199999999999999</v>
      </c>
      <c r="O51" s="36">
        <f t="shared" ref="O51:AN51" si="14">ROUNDUP(D161,3)</f>
        <v>0.79100000000000004</v>
      </c>
      <c r="P51" s="36">
        <f t="shared" si="14"/>
        <v>0.63900000000000001</v>
      </c>
      <c r="Q51" s="36">
        <f t="shared" si="14"/>
        <v>0.75600000000000001</v>
      </c>
      <c r="R51" s="36">
        <f t="shared" si="14"/>
        <v>0.71399999999999997</v>
      </c>
      <c r="S51" s="36">
        <f t="shared" si="14"/>
        <v>0.78200000000000003</v>
      </c>
      <c r="T51" s="36">
        <f t="shared" si="14"/>
        <v>0.76700000000000002</v>
      </c>
      <c r="U51" s="36">
        <f t="shared" si="14"/>
        <v>0.749</v>
      </c>
      <c r="V51" s="36">
        <f t="shared" si="14"/>
        <v>0.78700000000000003</v>
      </c>
      <c r="W51" s="36">
        <f t="shared" si="14"/>
        <v>0.746</v>
      </c>
      <c r="X51" s="36">
        <f t="shared" si="14"/>
        <v>0.80200000000000005</v>
      </c>
      <c r="Y51" s="36">
        <f t="shared" si="14"/>
        <v>0.79600000000000004</v>
      </c>
      <c r="Z51" s="36">
        <f t="shared" si="14"/>
        <v>0.78</v>
      </c>
      <c r="AA51" s="36">
        <f t="shared" si="14"/>
        <v>0.80200000000000005</v>
      </c>
      <c r="AB51" s="36">
        <f t="shared" si="14"/>
        <v>0.78900000000000003</v>
      </c>
      <c r="AC51" s="36">
        <f t="shared" si="14"/>
        <v>0.70599999999999996</v>
      </c>
      <c r="AD51" s="36">
        <f t="shared" si="14"/>
        <v>0.78800000000000003</v>
      </c>
      <c r="AE51" s="36">
        <f t="shared" si="14"/>
        <v>0.78</v>
      </c>
      <c r="AF51" s="36">
        <f t="shared" si="14"/>
        <v>0.80500000000000005</v>
      </c>
      <c r="AG51" s="36">
        <f t="shared" si="14"/>
        <v>0.746</v>
      </c>
      <c r="AH51" s="36">
        <f t="shared" si="14"/>
        <v>0.79600000000000004</v>
      </c>
      <c r="AI51" s="36">
        <f t="shared" si="14"/>
        <v>0.73799999999999999</v>
      </c>
      <c r="AJ51" s="36">
        <f t="shared" si="14"/>
        <v>0.81899999999999995</v>
      </c>
      <c r="AK51" s="36">
        <f t="shared" si="14"/>
        <v>0.78</v>
      </c>
      <c r="AL51" s="36">
        <f t="shared" si="14"/>
        <v>0.85199999999999998</v>
      </c>
      <c r="AM51" s="36">
        <f t="shared" si="14"/>
        <v>0.88100000000000001</v>
      </c>
      <c r="AN51" s="36">
        <f t="shared" si="14"/>
        <v>0.64300000000000002</v>
      </c>
      <c r="AO51" s="5">
        <v>0</v>
      </c>
    </row>
    <row r="52" spans="3:41">
      <c r="J52">
        <v>0</v>
      </c>
      <c r="K52" t="s">
        <v>44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>
        <v>5</v>
      </c>
    </row>
    <row r="53" spans="3:41">
      <c r="C53" t="s">
        <v>55</v>
      </c>
      <c r="E53" t="str">
        <f>E37</f>
        <v>T-TAX*</v>
      </c>
      <c r="H53" t="str">
        <f>H51</f>
        <v>TRAPL</v>
      </c>
      <c r="J53">
        <v>2018</v>
      </c>
      <c r="K53" t="s">
        <v>44</v>
      </c>
      <c r="L53">
        <v>-1</v>
      </c>
      <c r="M53" t="str">
        <f>M37</f>
        <v>Taxis</v>
      </c>
      <c r="N53" s="36">
        <f>ROUNDUP(C162,3)</f>
        <v>1.3000000000000001E-2</v>
      </c>
      <c r="O53" s="36">
        <f t="shared" ref="O53:AN53" si="15">ROUNDUP(D162,3)</f>
        <v>6.0000000000000001E-3</v>
      </c>
      <c r="P53" s="36">
        <f t="shared" si="15"/>
        <v>2.6000000000000002E-2</v>
      </c>
      <c r="Q53" s="36">
        <f t="shared" si="15"/>
        <v>1.0999999999999999E-2</v>
      </c>
      <c r="R53" s="36">
        <f t="shared" si="15"/>
        <v>6.0000000000000001E-3</v>
      </c>
      <c r="S53" s="36">
        <f t="shared" si="15"/>
        <v>8.0000000000000002E-3</v>
      </c>
      <c r="T53" s="36">
        <f t="shared" si="15"/>
        <v>7.0000000000000001E-3</v>
      </c>
      <c r="U53" s="36">
        <f t="shared" si="15"/>
        <v>1.4999999999999999E-2</v>
      </c>
      <c r="V53" s="36">
        <f t="shared" si="15"/>
        <v>1.4999999999999999E-2</v>
      </c>
      <c r="W53" s="36">
        <f t="shared" si="15"/>
        <v>5.0000000000000001E-3</v>
      </c>
      <c r="X53" s="36">
        <f t="shared" si="15"/>
        <v>9.0000000000000011E-3</v>
      </c>
      <c r="Y53" s="36">
        <f t="shared" si="15"/>
        <v>5.0000000000000001E-3</v>
      </c>
      <c r="Z53" s="36">
        <f t="shared" si="15"/>
        <v>7.0000000000000001E-3</v>
      </c>
      <c r="AA53" s="36">
        <f t="shared" si="15"/>
        <v>8.0000000000000002E-3</v>
      </c>
      <c r="AB53" s="36">
        <f t="shared" si="15"/>
        <v>9.9999999999999985E-3</v>
      </c>
      <c r="AC53" s="36">
        <f t="shared" si="15"/>
        <v>7.0000000000000001E-3</v>
      </c>
      <c r="AD53" s="36">
        <f t="shared" si="15"/>
        <v>9.9999999999999985E-3</v>
      </c>
      <c r="AE53" s="36">
        <f t="shared" si="15"/>
        <v>4.0000000000000001E-3</v>
      </c>
      <c r="AF53" s="36">
        <f t="shared" si="15"/>
        <v>7.0000000000000001E-3</v>
      </c>
      <c r="AG53" s="36">
        <f t="shared" si="15"/>
        <v>9.9999999999999985E-3</v>
      </c>
      <c r="AH53" s="36">
        <f t="shared" si="15"/>
        <v>6.0000000000000001E-3</v>
      </c>
      <c r="AI53" s="36">
        <f t="shared" si="15"/>
        <v>6.0000000000000001E-3</v>
      </c>
      <c r="AJ53" s="36">
        <f t="shared" si="15"/>
        <v>5.0000000000000001E-3</v>
      </c>
      <c r="AK53" s="36">
        <f t="shared" si="15"/>
        <v>7.0000000000000001E-3</v>
      </c>
      <c r="AL53" s="36">
        <f t="shared" si="15"/>
        <v>7.0000000000000001E-3</v>
      </c>
      <c r="AM53" s="36">
        <f t="shared" si="15"/>
        <v>8.0000000000000002E-3</v>
      </c>
      <c r="AN53" s="36">
        <f t="shared" si="15"/>
        <v>3.0000000000000001E-3</v>
      </c>
      <c r="AO53" s="5">
        <v>0</v>
      </c>
    </row>
    <row r="54" spans="3:41">
      <c r="J54">
        <v>0</v>
      </c>
      <c r="K54" t="s">
        <v>44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>
        <v>5</v>
      </c>
    </row>
    <row r="55" spans="3:41">
      <c r="C55" t="s">
        <v>56</v>
      </c>
      <c r="E55" t="str">
        <f>E39</f>
        <v>T-BUS*</v>
      </c>
      <c r="H55" t="str">
        <f>H53</f>
        <v>TRAPL</v>
      </c>
      <c r="J55">
        <v>2018</v>
      </c>
      <c r="K55" t="s">
        <v>44</v>
      </c>
      <c r="L55">
        <v>-1</v>
      </c>
      <c r="M55" t="str">
        <f>M39</f>
        <v>BUS</v>
      </c>
      <c r="N55" s="36">
        <f>ROUNDUP(C163,3)</f>
        <v>0.16300000000000001</v>
      </c>
      <c r="O55" s="36">
        <f t="shared" ref="O55:AN55" si="16">ROUNDUP(D163,3)</f>
        <v>0.13200000000000001</v>
      </c>
      <c r="P55" s="36">
        <f t="shared" si="16"/>
        <v>0.24</v>
      </c>
      <c r="Q55" s="36">
        <f t="shared" si="16"/>
        <v>0.155</v>
      </c>
      <c r="R55" s="36">
        <f t="shared" si="16"/>
        <v>0.20899999999999999</v>
      </c>
      <c r="S55" s="36">
        <f t="shared" si="16"/>
        <v>0.128</v>
      </c>
      <c r="T55" s="36">
        <f t="shared" si="16"/>
        <v>0.14899999999999999</v>
      </c>
      <c r="U55" s="36">
        <f t="shared" si="16"/>
        <v>0.14599999999999999</v>
      </c>
      <c r="V55" s="36">
        <f t="shared" si="16"/>
        <v>0.11800000000000001</v>
      </c>
      <c r="W55" s="36">
        <f t="shared" si="16"/>
        <v>0.17399999999999999</v>
      </c>
      <c r="X55" s="36">
        <f t="shared" si="16"/>
        <v>0.112</v>
      </c>
      <c r="Y55" s="36">
        <f t="shared" si="16"/>
        <v>0.126</v>
      </c>
      <c r="Z55" s="36">
        <f t="shared" si="16"/>
        <v>0.13300000000000001</v>
      </c>
      <c r="AA55" s="36">
        <f t="shared" si="16"/>
        <v>0.115</v>
      </c>
      <c r="AB55" s="36">
        <f t="shared" si="16"/>
        <v>0.11700000000000001</v>
      </c>
      <c r="AC55" s="36">
        <f t="shared" si="16"/>
        <v>0.218</v>
      </c>
      <c r="AD55" s="36">
        <f t="shared" si="16"/>
        <v>0.121</v>
      </c>
      <c r="AE55" s="36">
        <f t="shared" si="16"/>
        <v>0.14699999999999999</v>
      </c>
      <c r="AF55" s="36">
        <f t="shared" si="16"/>
        <v>0.108</v>
      </c>
      <c r="AG55" s="36">
        <f t="shared" si="16"/>
        <v>0.16600000000000001</v>
      </c>
      <c r="AH55" s="36">
        <f t="shared" si="16"/>
        <v>0.123</v>
      </c>
      <c r="AI55" s="36">
        <f t="shared" si="16"/>
        <v>0.186</v>
      </c>
      <c r="AJ55" s="36">
        <f t="shared" si="16"/>
        <v>0.109</v>
      </c>
      <c r="AK55" s="36">
        <f t="shared" si="16"/>
        <v>0.13100000000000001</v>
      </c>
      <c r="AL55" s="36">
        <f t="shared" si="16"/>
        <v>5.1000000000000004E-2</v>
      </c>
      <c r="AM55" s="36">
        <f t="shared" si="16"/>
        <v>9.9999999999999985E-3</v>
      </c>
      <c r="AN55" s="36">
        <f t="shared" si="16"/>
        <v>0.28699999999999998</v>
      </c>
      <c r="AO55" s="5">
        <v>0</v>
      </c>
    </row>
    <row r="56" spans="3:41">
      <c r="J56">
        <v>0</v>
      </c>
      <c r="K56" t="s">
        <v>44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>
        <v>5</v>
      </c>
    </row>
    <row r="57" spans="3:41">
      <c r="C57" t="s">
        <v>57</v>
      </c>
      <c r="E57" t="str">
        <f>LEFT(C91,5)&amp;"*"</f>
        <v>T-HPT*</v>
      </c>
      <c r="H57" t="str">
        <f>H55</f>
        <v>TRAPL</v>
      </c>
      <c r="J57">
        <v>2018</v>
      </c>
      <c r="K57" t="s">
        <v>44</v>
      </c>
      <c r="L57">
        <v>-1</v>
      </c>
      <c r="M57" t="str">
        <f>D123</f>
        <v>Train</v>
      </c>
      <c r="N57" s="36">
        <f>ROUNDUP(C165,3)</f>
        <v>8.5000000000000006E-2</v>
      </c>
      <c r="O57" s="36">
        <f t="shared" ref="O57:AN57" si="17">ROUNDUP(D165,3)</f>
        <v>7.2999999999999995E-2</v>
      </c>
      <c r="P57" s="36">
        <f t="shared" si="17"/>
        <v>9.7000000000000003E-2</v>
      </c>
      <c r="Q57" s="36">
        <f t="shared" si="17"/>
        <v>0.08</v>
      </c>
      <c r="R57" s="36">
        <f t="shared" si="17"/>
        <v>7.3999999999999996E-2</v>
      </c>
      <c r="S57" s="36">
        <f t="shared" si="17"/>
        <v>8.5000000000000006E-2</v>
      </c>
      <c r="T57" s="36">
        <f t="shared" si="17"/>
        <v>7.9000000000000001E-2</v>
      </c>
      <c r="U57" s="36">
        <f t="shared" si="17"/>
        <v>9.1999999999999998E-2</v>
      </c>
      <c r="V57" s="36">
        <f t="shared" si="17"/>
        <v>8.2000000000000003E-2</v>
      </c>
      <c r="W57" s="36">
        <f t="shared" si="17"/>
        <v>7.5999999999999998E-2</v>
      </c>
      <c r="X57" s="36">
        <f t="shared" si="17"/>
        <v>7.8E-2</v>
      </c>
      <c r="Y57" s="36">
        <f t="shared" si="17"/>
        <v>7.3999999999999996E-2</v>
      </c>
      <c r="Z57" s="36">
        <f t="shared" si="17"/>
        <v>8.2000000000000003E-2</v>
      </c>
      <c r="AA57" s="36">
        <f t="shared" si="17"/>
        <v>7.6999999999999999E-2</v>
      </c>
      <c r="AB57" s="36">
        <f t="shared" si="17"/>
        <v>8.6000000000000007E-2</v>
      </c>
      <c r="AC57" s="36">
        <f t="shared" si="17"/>
        <v>7.0000000000000007E-2</v>
      </c>
      <c r="AD57" s="36">
        <f t="shared" si="17"/>
        <v>8.4000000000000005E-2</v>
      </c>
      <c r="AE57" s="36">
        <f t="shared" si="17"/>
        <v>7.1000000000000008E-2</v>
      </c>
      <c r="AF57" s="36">
        <f t="shared" si="17"/>
        <v>8.2000000000000003E-2</v>
      </c>
      <c r="AG57" s="36">
        <f t="shared" si="17"/>
        <v>0.08</v>
      </c>
      <c r="AH57" s="36">
        <f t="shared" si="17"/>
        <v>7.6999999999999999E-2</v>
      </c>
      <c r="AI57" s="36">
        <f t="shared" si="17"/>
        <v>7.2999999999999995E-2</v>
      </c>
      <c r="AJ57" s="36">
        <f t="shared" si="17"/>
        <v>6.9000000000000006E-2</v>
      </c>
      <c r="AK57" s="36">
        <f t="shared" si="17"/>
        <v>8.4000000000000005E-2</v>
      </c>
      <c r="AL57" s="36">
        <f t="shared" si="17"/>
        <v>9.0999999999999998E-2</v>
      </c>
      <c r="AM57" s="36">
        <f t="shared" si="17"/>
        <v>0.10299999999999999</v>
      </c>
      <c r="AN57" s="36">
        <f t="shared" si="17"/>
        <v>6.9000000000000006E-2</v>
      </c>
      <c r="AO57" s="5">
        <v>0</v>
      </c>
    </row>
    <row r="58" spans="3:41">
      <c r="C58" s="6"/>
      <c r="D58" s="6"/>
      <c r="E58" s="6"/>
      <c r="F58" s="6"/>
      <c r="G58" s="6"/>
      <c r="H58" s="6"/>
      <c r="I58" s="6"/>
      <c r="J58" s="6">
        <v>0</v>
      </c>
      <c r="K58" s="6" t="s">
        <v>44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>
        <v>5</v>
      </c>
    </row>
    <row r="60" spans="3:41">
      <c r="M60" t="s">
        <v>193</v>
      </c>
      <c r="N60" s="37">
        <f t="shared" ref="N60:AN60" si="18">SUM(N51:N57)</f>
        <v>1.0030000000000001</v>
      </c>
      <c r="O60" s="37">
        <f t="shared" si="18"/>
        <v>1.002</v>
      </c>
      <c r="P60" s="37">
        <f t="shared" si="18"/>
        <v>1.002</v>
      </c>
      <c r="Q60" s="37">
        <f t="shared" si="18"/>
        <v>1.002</v>
      </c>
      <c r="R60" s="37">
        <f t="shared" si="18"/>
        <v>1.0029999999999999</v>
      </c>
      <c r="S60" s="37">
        <f t="shared" si="18"/>
        <v>1.0030000000000001</v>
      </c>
      <c r="T60" s="37">
        <f t="shared" si="18"/>
        <v>1.002</v>
      </c>
      <c r="U60" s="37">
        <f t="shared" si="18"/>
        <v>1.002</v>
      </c>
      <c r="V60" s="37">
        <f t="shared" si="18"/>
        <v>1.002</v>
      </c>
      <c r="W60" s="37">
        <f t="shared" si="18"/>
        <v>1.0010000000000001</v>
      </c>
      <c r="X60" s="37">
        <f t="shared" si="18"/>
        <v>1.0010000000000001</v>
      </c>
      <c r="Y60" s="37">
        <f t="shared" si="18"/>
        <v>1.0010000000000001</v>
      </c>
      <c r="Z60" s="37">
        <f t="shared" si="18"/>
        <v>1.002</v>
      </c>
      <c r="AA60" s="37">
        <f t="shared" si="18"/>
        <v>1.002</v>
      </c>
      <c r="AB60" s="37">
        <f t="shared" si="18"/>
        <v>1.002</v>
      </c>
      <c r="AC60" s="37">
        <f t="shared" si="18"/>
        <v>1.0009999999999999</v>
      </c>
      <c r="AD60" s="37">
        <f t="shared" si="18"/>
        <v>1.0030000000000001</v>
      </c>
      <c r="AE60" s="37">
        <f t="shared" si="18"/>
        <v>1.002</v>
      </c>
      <c r="AF60" s="37">
        <f t="shared" si="18"/>
        <v>1.002</v>
      </c>
      <c r="AG60" s="37">
        <f t="shared" si="18"/>
        <v>1.002</v>
      </c>
      <c r="AH60" s="37">
        <f t="shared" si="18"/>
        <v>1.002</v>
      </c>
      <c r="AI60" s="37">
        <f t="shared" si="18"/>
        <v>1.0029999999999999</v>
      </c>
      <c r="AJ60" s="37">
        <f t="shared" si="18"/>
        <v>1.002</v>
      </c>
      <c r="AK60" s="37">
        <f t="shared" si="18"/>
        <v>1.002</v>
      </c>
      <c r="AL60" s="37">
        <f t="shared" si="18"/>
        <v>1.0010000000000001</v>
      </c>
      <c r="AM60" s="37">
        <f t="shared" si="18"/>
        <v>1.002</v>
      </c>
      <c r="AN60" s="37">
        <f t="shared" si="18"/>
        <v>1.002</v>
      </c>
    </row>
    <row r="64" spans="3:41" ht="21">
      <c r="C64" s="20" t="s">
        <v>95</v>
      </c>
      <c r="D64" s="20"/>
      <c r="E64" s="20"/>
      <c r="F64" s="20"/>
      <c r="G64" s="20"/>
      <c r="H64" s="20"/>
    </row>
    <row r="65" spans="3:8" ht="15" thickBot="1">
      <c r="C65" s="14" t="s">
        <v>96</v>
      </c>
      <c r="D65" s="14" t="s">
        <v>97</v>
      </c>
      <c r="E65" s="14"/>
      <c r="F65" s="14"/>
      <c r="G65" s="14"/>
      <c r="H65" s="14"/>
    </row>
    <row r="66" spans="3:8">
      <c r="C66" s="15" t="s">
        <v>98</v>
      </c>
      <c r="D66" s="15"/>
      <c r="E66" s="15"/>
      <c r="F66" s="15"/>
      <c r="G66" s="15"/>
      <c r="H66" s="15"/>
    </row>
    <row r="67" spans="3:8">
      <c r="C67" s="16" t="s">
        <v>99</v>
      </c>
      <c r="D67" s="16"/>
      <c r="E67" s="16"/>
      <c r="F67" s="16"/>
      <c r="G67" s="16"/>
      <c r="H67" s="16"/>
    </row>
    <row r="68" spans="3:8">
      <c r="C68" s="17" t="s">
        <v>100</v>
      </c>
      <c r="D68" s="17" t="s">
        <v>101</v>
      </c>
    </row>
    <row r="69" spans="3:8">
      <c r="C69" s="17" t="s">
        <v>102</v>
      </c>
      <c r="D69" s="17" t="s">
        <v>103</v>
      </c>
    </row>
    <row r="70" spans="3:8">
      <c r="C70" s="16" t="s">
        <v>104</v>
      </c>
      <c r="D70" s="16"/>
      <c r="E70" s="16"/>
      <c r="F70" s="16"/>
      <c r="G70" s="16"/>
      <c r="H70" s="16"/>
    </row>
    <row r="71" spans="3:8">
      <c r="C71" s="17" t="s">
        <v>105</v>
      </c>
      <c r="D71" s="17" t="s">
        <v>106</v>
      </c>
    </row>
    <row r="72" spans="3:8">
      <c r="C72" s="16" t="s">
        <v>107</v>
      </c>
      <c r="D72" s="16"/>
      <c r="E72" s="16"/>
      <c r="F72" s="16"/>
      <c r="G72" s="16"/>
      <c r="H72" s="16"/>
    </row>
    <row r="73" spans="3:8">
      <c r="C73" s="17" t="s">
        <v>108</v>
      </c>
      <c r="D73" s="17" t="s">
        <v>109</v>
      </c>
    </row>
    <row r="74" spans="3:8">
      <c r="C74" s="17" t="s">
        <v>110</v>
      </c>
      <c r="D74" s="17" t="s">
        <v>111</v>
      </c>
    </row>
    <row r="75" spans="3:8">
      <c r="C75" s="17" t="s">
        <v>112</v>
      </c>
      <c r="D75" s="17" t="s">
        <v>113</v>
      </c>
    </row>
    <row r="76" spans="3:8">
      <c r="C76" s="17" t="s">
        <v>114</v>
      </c>
      <c r="D76" s="17" t="s">
        <v>115</v>
      </c>
    </row>
    <row r="77" spans="3:8">
      <c r="C77" s="17" t="s">
        <v>116</v>
      </c>
      <c r="D77" s="17" t="s">
        <v>117</v>
      </c>
    </row>
    <row r="78" spans="3:8">
      <c r="C78" s="17" t="s">
        <v>118</v>
      </c>
      <c r="D78" s="17" t="s">
        <v>119</v>
      </c>
    </row>
    <row r="79" spans="3:8">
      <c r="C79" s="17" t="s">
        <v>120</v>
      </c>
      <c r="D79" s="17" t="s">
        <v>121</v>
      </c>
    </row>
    <row r="80" spans="3:8">
      <c r="C80" s="17" t="s">
        <v>122</v>
      </c>
      <c r="D80" s="17" t="s">
        <v>123</v>
      </c>
    </row>
    <row r="81" spans="3:8">
      <c r="C81" s="17" t="s">
        <v>124</v>
      </c>
      <c r="D81" s="17" t="s">
        <v>125</v>
      </c>
    </row>
    <row r="82" spans="3:8">
      <c r="C82" s="16" t="s">
        <v>126</v>
      </c>
      <c r="D82" s="16"/>
      <c r="E82" s="16"/>
      <c r="F82" s="16"/>
      <c r="G82" s="16"/>
      <c r="H82" s="16"/>
    </row>
    <row r="83" spans="3:8">
      <c r="C83" s="17" t="s">
        <v>127</v>
      </c>
      <c r="D83" s="17" t="s">
        <v>128</v>
      </c>
    </row>
    <row r="84" spans="3:8">
      <c r="C84" s="17" t="s">
        <v>129</v>
      </c>
      <c r="D84" s="17" t="s">
        <v>130</v>
      </c>
    </row>
    <row r="85" spans="3:8">
      <c r="C85" s="17" t="s">
        <v>131</v>
      </c>
      <c r="D85" s="17" t="s">
        <v>132</v>
      </c>
    </row>
    <row r="86" spans="3:8">
      <c r="C86" s="16" t="s">
        <v>133</v>
      </c>
      <c r="D86" s="16"/>
      <c r="E86" s="16"/>
      <c r="F86" s="16"/>
      <c r="G86" s="16"/>
      <c r="H86" s="16"/>
    </row>
    <row r="87" spans="3:8">
      <c r="C87" s="17" t="s">
        <v>134</v>
      </c>
      <c r="D87" s="17" t="s">
        <v>135</v>
      </c>
    </row>
    <row r="88" spans="3:8">
      <c r="C88" s="16" t="s">
        <v>136</v>
      </c>
      <c r="D88" s="16"/>
      <c r="E88" s="16"/>
      <c r="F88" s="16"/>
      <c r="G88" s="16"/>
      <c r="H88" s="16"/>
    </row>
    <row r="89" spans="3:8">
      <c r="C89" s="17" t="s">
        <v>137</v>
      </c>
      <c r="D89" s="17" t="s">
        <v>138</v>
      </c>
    </row>
    <row r="90" spans="3:8">
      <c r="C90" s="17" t="s">
        <v>139</v>
      </c>
      <c r="D90" s="17" t="s">
        <v>140</v>
      </c>
    </row>
    <row r="91" spans="3:8" ht="15" thickBot="1">
      <c r="C91" s="17" t="s">
        <v>141</v>
      </c>
      <c r="D91" s="17" t="s">
        <v>142</v>
      </c>
    </row>
    <row r="92" spans="3:8" ht="15" thickBot="1">
      <c r="C92" s="18" t="s">
        <v>143</v>
      </c>
      <c r="D92" s="18"/>
      <c r="E92" s="18"/>
      <c r="F92" s="18"/>
      <c r="G92" s="18"/>
      <c r="H92" s="18"/>
    </row>
    <row r="93" spans="3:8">
      <c r="C93" s="16" t="s">
        <v>144</v>
      </c>
      <c r="D93" s="16"/>
      <c r="E93" s="16"/>
      <c r="F93" s="16"/>
      <c r="G93" s="16"/>
      <c r="H93" s="16"/>
    </row>
    <row r="94" spans="3:8">
      <c r="C94" s="17" t="s">
        <v>145</v>
      </c>
      <c r="D94" s="17" t="s">
        <v>146</v>
      </c>
    </row>
    <row r="95" spans="3:8">
      <c r="C95" s="17" t="s">
        <v>194</v>
      </c>
      <c r="D95" s="17" t="s">
        <v>195</v>
      </c>
    </row>
    <row r="96" spans="3:8">
      <c r="C96" s="17" t="s">
        <v>196</v>
      </c>
      <c r="D96" s="17" t="s">
        <v>197</v>
      </c>
    </row>
    <row r="97" spans="3:8">
      <c r="C97" s="17" t="s">
        <v>147</v>
      </c>
      <c r="D97" s="17" t="s">
        <v>148</v>
      </c>
    </row>
    <row r="98" spans="3:8" ht="15" thickBot="1">
      <c r="C98" s="17" t="s">
        <v>149</v>
      </c>
      <c r="D98" s="17" t="s">
        <v>150</v>
      </c>
    </row>
    <row r="99" spans="3:8" ht="15" thickBot="1">
      <c r="C99" s="18" t="s">
        <v>151</v>
      </c>
      <c r="D99" s="18"/>
      <c r="E99" s="18"/>
      <c r="F99" s="18"/>
      <c r="G99" s="18"/>
      <c r="H99" s="18"/>
    </row>
    <row r="100" spans="3:8">
      <c r="C100" s="17" t="s">
        <v>152</v>
      </c>
      <c r="D100" s="17" t="s">
        <v>153</v>
      </c>
    </row>
    <row r="101" spans="3:8">
      <c r="C101" s="17" t="s">
        <v>154</v>
      </c>
      <c r="D101" s="17" t="s">
        <v>155</v>
      </c>
    </row>
    <row r="102" spans="3:8" ht="15" thickBot="1">
      <c r="C102" s="17" t="s">
        <v>156</v>
      </c>
      <c r="D102" s="17" t="s">
        <v>157</v>
      </c>
    </row>
    <row r="103" spans="3:8" ht="15" thickBot="1">
      <c r="C103" s="18" t="s">
        <v>158</v>
      </c>
      <c r="D103" s="18"/>
      <c r="E103" s="18"/>
      <c r="F103" s="18"/>
      <c r="G103" s="18"/>
      <c r="H103" s="18"/>
    </row>
    <row r="104" spans="3:8">
      <c r="C104" s="17" t="s">
        <v>159</v>
      </c>
      <c r="D104" s="17" t="s">
        <v>160</v>
      </c>
    </row>
    <row r="105" spans="3:8" ht="15" thickBot="1">
      <c r="C105" s="19" t="s">
        <v>161</v>
      </c>
      <c r="D105" s="19" t="s">
        <v>162</v>
      </c>
      <c r="E105" s="21"/>
      <c r="F105" s="21"/>
      <c r="G105" s="21"/>
      <c r="H105" s="21"/>
    </row>
    <row r="108" spans="3:8" ht="15" thickBot="1">
      <c r="C108" s="22" t="s">
        <v>163</v>
      </c>
      <c r="D108" s="22" t="s">
        <v>164</v>
      </c>
      <c r="E108" s="22" t="s">
        <v>165</v>
      </c>
      <c r="F108" s="22" t="s">
        <v>166</v>
      </c>
    </row>
    <row r="109" spans="3:8">
      <c r="C109" t="s">
        <v>167</v>
      </c>
      <c r="D109" t="s">
        <v>168</v>
      </c>
      <c r="E109" s="23" t="s">
        <v>40</v>
      </c>
      <c r="F109" t="s">
        <v>169</v>
      </c>
    </row>
    <row r="110" spans="3:8">
      <c r="C110" t="s">
        <v>170</v>
      </c>
      <c r="D110" t="s">
        <v>171</v>
      </c>
      <c r="E110" s="23" t="s">
        <v>41</v>
      </c>
      <c r="F110" t="s">
        <v>169</v>
      </c>
    </row>
    <row r="111" spans="3:8" ht="15" thickBot="1">
      <c r="C111" s="21" t="s">
        <v>172</v>
      </c>
      <c r="D111" s="21" t="s">
        <v>173</v>
      </c>
      <c r="E111" s="24" t="s">
        <v>42</v>
      </c>
      <c r="F111" s="21" t="s">
        <v>169</v>
      </c>
    </row>
    <row r="114" spans="1:29" ht="15.5">
      <c r="C114" s="25" t="s">
        <v>174</v>
      </c>
      <c r="D114" s="25"/>
    </row>
    <row r="115" spans="1:29" ht="15" thickBot="1">
      <c r="C115" s="22" t="s">
        <v>174</v>
      </c>
      <c r="D115" s="22" t="s">
        <v>175</v>
      </c>
    </row>
    <row r="116" spans="1:29">
      <c r="C116" t="s">
        <v>176</v>
      </c>
      <c r="D116" t="s">
        <v>177</v>
      </c>
    </row>
    <row r="117" spans="1:29">
      <c r="D117" t="s">
        <v>178</v>
      </c>
    </row>
    <row r="118" spans="1:29">
      <c r="C118" t="s">
        <v>179</v>
      </c>
      <c r="D118" t="s">
        <v>180</v>
      </c>
    </row>
    <row r="119" spans="1:29">
      <c r="D119" t="s">
        <v>181</v>
      </c>
    </row>
    <row r="120" spans="1:29">
      <c r="C120" t="s">
        <v>182</v>
      </c>
      <c r="D120" t="s">
        <v>183</v>
      </c>
    </row>
    <row r="121" spans="1:29">
      <c r="D121" t="s">
        <v>184</v>
      </c>
    </row>
    <row r="122" spans="1:29">
      <c r="D122" t="s">
        <v>185</v>
      </c>
    </row>
    <row r="123" spans="1:29" ht="15" thickBot="1">
      <c r="C123" s="21"/>
      <c r="D123" s="21" t="s">
        <v>186</v>
      </c>
    </row>
    <row r="126" spans="1:29" ht="19" thickBot="1">
      <c r="A126" s="26" t="s">
        <v>187</v>
      </c>
      <c r="B126" s="26"/>
      <c r="C126" s="26"/>
      <c r="D126" s="26"/>
      <c r="E126" s="26"/>
    </row>
    <row r="128" spans="1:29" ht="15.5">
      <c r="A128" s="27" t="s">
        <v>188</v>
      </c>
      <c r="B128" s="27"/>
      <c r="C128" s="27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 spans="1:29">
      <c r="A129" s="29" t="s">
        <v>174</v>
      </c>
      <c r="B129" s="29" t="s">
        <v>175</v>
      </c>
      <c r="C129" s="30" t="s">
        <v>62</v>
      </c>
      <c r="D129" s="30" t="s">
        <v>68</v>
      </c>
      <c r="E129" s="30" t="s">
        <v>73</v>
      </c>
      <c r="F129" s="30" t="s">
        <v>76</v>
      </c>
      <c r="G129" s="30" t="s">
        <v>77</v>
      </c>
      <c r="H129" s="30" t="s">
        <v>78</v>
      </c>
      <c r="I129" s="30" t="s">
        <v>81</v>
      </c>
      <c r="J129" s="30" t="s">
        <v>82</v>
      </c>
      <c r="K129" s="30" t="s">
        <v>84</v>
      </c>
      <c r="L129" s="30" t="s">
        <v>86</v>
      </c>
      <c r="M129" s="30" t="s">
        <v>91</v>
      </c>
      <c r="N129" s="30" t="s">
        <v>92</v>
      </c>
      <c r="O129" s="30" t="s">
        <v>93</v>
      </c>
      <c r="P129" s="30" t="s">
        <v>70</v>
      </c>
      <c r="Q129" s="30" t="s">
        <v>71</v>
      </c>
      <c r="R129" s="30" t="s">
        <v>75</v>
      </c>
      <c r="S129" s="30" t="s">
        <v>80</v>
      </c>
      <c r="T129" s="30" t="s">
        <v>89</v>
      </c>
      <c r="U129" s="30" t="s">
        <v>90</v>
      </c>
      <c r="V129" s="30" t="s">
        <v>74</v>
      </c>
      <c r="W129" s="30" t="s">
        <v>79</v>
      </c>
      <c r="X129" s="30" t="s">
        <v>83</v>
      </c>
      <c r="Y129" s="30" t="s">
        <v>87</v>
      </c>
      <c r="Z129" s="30" t="s">
        <v>88</v>
      </c>
      <c r="AA129" s="30" t="s">
        <v>69</v>
      </c>
      <c r="AB129" s="30" t="s">
        <v>72</v>
      </c>
      <c r="AC129" s="30" t="s">
        <v>85</v>
      </c>
    </row>
    <row r="130" spans="1:29">
      <c r="A130" s="28" t="s">
        <v>176</v>
      </c>
      <c r="B130" s="28" t="s">
        <v>177</v>
      </c>
      <c r="C130" s="31">
        <v>0.32377983784854231</v>
      </c>
      <c r="D130" s="31">
        <v>0.29539615700051852</v>
      </c>
      <c r="E130" s="31">
        <v>0.34967728765163869</v>
      </c>
      <c r="F130" s="31">
        <v>0.31311359703458036</v>
      </c>
      <c r="G130" s="31">
        <v>0.30099430857485032</v>
      </c>
      <c r="H130" s="31">
        <v>0.32585784427063491</v>
      </c>
      <c r="I130" s="31">
        <v>0.31296089693181006</v>
      </c>
      <c r="J130" s="31">
        <v>0.34414959934244926</v>
      </c>
      <c r="K130" s="31">
        <v>0.31640567871855385</v>
      </c>
      <c r="L130" s="31">
        <v>0.30551897544605799</v>
      </c>
      <c r="M130" s="31">
        <v>0.30690900126975923</v>
      </c>
      <c r="N130" s="31">
        <v>0.29742024558167873</v>
      </c>
      <c r="O130" s="31">
        <v>0.31985079986061538</v>
      </c>
      <c r="P130" s="31">
        <v>0.30317740338092081</v>
      </c>
      <c r="Q130" s="31">
        <v>0.32755819451934742</v>
      </c>
      <c r="R130" s="31">
        <v>0.29108733491927802</v>
      </c>
      <c r="S130" s="31">
        <v>0.32210907481657336</v>
      </c>
      <c r="T130" s="31">
        <v>0.28924149649685427</v>
      </c>
      <c r="U130" s="31">
        <v>0.31716332192128543</v>
      </c>
      <c r="V130" s="31">
        <v>0.31520515014132622</v>
      </c>
      <c r="W130" s="31">
        <v>0.30496664626628506</v>
      </c>
      <c r="X130" s="31">
        <v>0.29765342162432462</v>
      </c>
      <c r="Y130" s="31">
        <v>0.28141024531167946</v>
      </c>
      <c r="Z130" s="31">
        <v>0.32408712009988533</v>
      </c>
      <c r="AA130" s="31">
        <v>0.33773511822059504</v>
      </c>
      <c r="AB130" s="31">
        <v>0.36384480991771728</v>
      </c>
      <c r="AC130" s="31">
        <v>0.29253128431407999</v>
      </c>
    </row>
    <row r="131" spans="1:29">
      <c r="A131" s="28"/>
      <c r="B131" s="28" t="s">
        <v>178</v>
      </c>
      <c r="C131" s="38">
        <v>5.3963306308090382E-2</v>
      </c>
      <c r="D131" s="31">
        <v>4.9232692833419758E-2</v>
      </c>
      <c r="E131" s="31">
        <v>5.8279547941939784E-2</v>
      </c>
      <c r="F131" s="31">
        <v>5.2185599505763403E-2</v>
      </c>
      <c r="G131" s="31">
        <v>5.016571809580838E-2</v>
      </c>
      <c r="H131" s="31">
        <v>5.4309640711772487E-2</v>
      </c>
      <c r="I131" s="31">
        <v>5.216014948863501E-2</v>
      </c>
      <c r="J131" s="31">
        <v>5.7358266557074891E-2</v>
      </c>
      <c r="K131" s="31">
        <v>5.2734279786425649E-2</v>
      </c>
      <c r="L131" s="31">
        <v>5.0919829241009663E-2</v>
      </c>
      <c r="M131" s="31">
        <v>5.1151500211626538E-2</v>
      </c>
      <c r="N131" s="31">
        <v>4.95700409302798E-2</v>
      </c>
      <c r="O131" s="31">
        <v>5.3308466643435894E-2</v>
      </c>
      <c r="P131" s="31">
        <v>5.052956723015347E-2</v>
      </c>
      <c r="Q131" s="31">
        <v>5.459303241989124E-2</v>
      </c>
      <c r="R131" s="31">
        <v>4.8514555819879672E-2</v>
      </c>
      <c r="S131" s="31">
        <v>5.3684845802762227E-2</v>
      </c>
      <c r="T131" s="31">
        <v>4.8206916082809047E-2</v>
      </c>
      <c r="U131" s="31">
        <v>5.2860553653547575E-2</v>
      </c>
      <c r="V131" s="31">
        <v>5.2534191690221041E-2</v>
      </c>
      <c r="W131" s="31">
        <v>5.0827774377714179E-2</v>
      </c>
      <c r="X131" s="31">
        <v>4.9608903604054101E-2</v>
      </c>
      <c r="Y131" s="31">
        <v>4.690170755194658E-2</v>
      </c>
      <c r="Z131" s="31">
        <v>5.4014520016647569E-2</v>
      </c>
      <c r="AA131" s="31">
        <v>5.6289186370099165E-2</v>
      </c>
      <c r="AB131" s="31">
        <v>6.064080165295288E-2</v>
      </c>
      <c r="AC131" s="31">
        <v>4.8755214052346667E-2</v>
      </c>
    </row>
    <row r="132" spans="1:29">
      <c r="A132" s="28" t="s">
        <v>179</v>
      </c>
      <c r="B132" s="28" t="s">
        <v>180</v>
      </c>
      <c r="C132" s="32">
        <v>1.2024577456126329E-3</v>
      </c>
      <c r="D132" s="31">
        <v>8.4181954391599476E-4</v>
      </c>
      <c r="E132" s="31">
        <v>1.4316393209477573E-3</v>
      </c>
      <c r="F132" s="31">
        <v>1.3698908311171865E-3</v>
      </c>
      <c r="G132" s="31">
        <v>9.8425388735709995E-4</v>
      </c>
      <c r="H132" s="31">
        <v>6.2421004942624992E-4</v>
      </c>
      <c r="I132" s="31">
        <v>1.2422933671109623E-3</v>
      </c>
      <c r="J132" s="31">
        <v>8.6646068484003841E-4</v>
      </c>
      <c r="K132" s="31">
        <v>1.3159890714686659E-3</v>
      </c>
      <c r="L132" s="31">
        <v>1.2716318220191991E-3</v>
      </c>
      <c r="M132" s="31">
        <v>1.1218737998245681E-3</v>
      </c>
      <c r="N132" s="31">
        <v>1.2891857705150252E-3</v>
      </c>
      <c r="O132" s="31">
        <v>1.4574437703184118E-3</v>
      </c>
      <c r="P132" s="31">
        <v>1.2419671387040388E-3</v>
      </c>
      <c r="Q132" s="31">
        <v>1.4684396048311016E-3</v>
      </c>
      <c r="R132" s="31">
        <v>9.5921086863546602E-4</v>
      </c>
      <c r="S132" s="31">
        <v>1.0725657999581929E-3</v>
      </c>
      <c r="T132" s="31">
        <v>1.1764845294377178E-3</v>
      </c>
      <c r="U132" s="31">
        <v>1.3287962602263445E-3</v>
      </c>
      <c r="V132" s="31">
        <v>7.9269582890742734E-4</v>
      </c>
      <c r="W132" s="31">
        <v>1.544102850410962E-3</v>
      </c>
      <c r="X132" s="31">
        <v>7.4007830335184128E-4</v>
      </c>
      <c r="Y132" s="31">
        <v>7.0738302217035411E-4</v>
      </c>
      <c r="Z132" s="31">
        <v>8.0234115950314402E-4</v>
      </c>
      <c r="AA132" s="31">
        <v>7.1933080869381386E-4</v>
      </c>
      <c r="AB132" s="31">
        <v>7.4164409782466955E-4</v>
      </c>
      <c r="AC132" s="31">
        <v>7.7316749378532367E-4</v>
      </c>
    </row>
    <row r="133" spans="1:29">
      <c r="A133" s="28"/>
      <c r="B133" s="28" t="s">
        <v>181</v>
      </c>
      <c r="C133" s="31">
        <v>0.51421690231633799</v>
      </c>
      <c r="D133" s="31">
        <v>0.57696936147650701</v>
      </c>
      <c r="E133" s="31">
        <v>0.4152163996490737</v>
      </c>
      <c r="F133" s="31">
        <v>0.53837411623785481</v>
      </c>
      <c r="G133" s="31">
        <v>0.5273035898540861</v>
      </c>
      <c r="H133" s="31">
        <v>0.54428190464659498</v>
      </c>
      <c r="I133" s="31">
        <v>0.54724418926165252</v>
      </c>
      <c r="J133" s="31">
        <v>0.50629481396736598</v>
      </c>
      <c r="K133" s="31">
        <v>0.54969956239724382</v>
      </c>
      <c r="L133" s="31">
        <v>0.54286879912927866</v>
      </c>
      <c r="M133" s="31">
        <v>0.57050800443626981</v>
      </c>
      <c r="N133" s="31">
        <v>0.57834017325166753</v>
      </c>
      <c r="O133" s="31">
        <v>0.54807767476728875</v>
      </c>
      <c r="P133" s="31">
        <v>0.57445550608131724</v>
      </c>
      <c r="Q133" s="31">
        <v>0.54514159019281827</v>
      </c>
      <c r="R133" s="31">
        <v>0.52942173322971142</v>
      </c>
      <c r="S133" s="31">
        <v>0.54890743812317566</v>
      </c>
      <c r="T133" s="31">
        <v>0.57655830557717536</v>
      </c>
      <c r="U133" s="31">
        <v>0.56469028513375741</v>
      </c>
      <c r="V133" s="31">
        <v>0.5314898835087899</v>
      </c>
      <c r="W133" s="31">
        <v>0.57016316956487822</v>
      </c>
      <c r="X133" s="31">
        <v>0.54463316447281129</v>
      </c>
      <c r="Y133" s="31">
        <v>0.60580683229929833</v>
      </c>
      <c r="Z133" s="31">
        <v>0.54575340066281097</v>
      </c>
      <c r="AA133" s="31">
        <v>0.57130392959697351</v>
      </c>
      <c r="AB133" s="31">
        <v>0.56067924597798535</v>
      </c>
      <c r="AC133" s="31">
        <v>0.49285227418620653</v>
      </c>
    </row>
    <row r="134" spans="1:29">
      <c r="A134" s="28" t="s">
        <v>182</v>
      </c>
      <c r="B134" s="28" t="s">
        <v>183</v>
      </c>
      <c r="C134" s="31">
        <v>1.6399604421517593E-2</v>
      </c>
      <c r="D134" s="31">
        <v>7.4490307781118984E-3</v>
      </c>
      <c r="E134" s="31">
        <v>3.2043055112662859E-2</v>
      </c>
      <c r="F134" s="31">
        <v>1.4142087272297982E-2</v>
      </c>
      <c r="G134" s="31">
        <v>7.8384539751406128E-3</v>
      </c>
      <c r="H134" s="31">
        <v>9.942235039347571E-3</v>
      </c>
      <c r="I134" s="31">
        <v>8.7941712391293846E-3</v>
      </c>
      <c r="J134" s="31">
        <v>1.9167683727598969E-2</v>
      </c>
      <c r="K134" s="31">
        <v>1.9563309645198885E-2</v>
      </c>
      <c r="L134" s="31">
        <v>6.7513932047123726E-3</v>
      </c>
      <c r="M134" s="31">
        <v>1.1912585101328303E-2</v>
      </c>
      <c r="N134" s="31">
        <v>6.2742086519266488E-3</v>
      </c>
      <c r="O134" s="31">
        <v>9.0275647633180547E-3</v>
      </c>
      <c r="P134" s="31">
        <v>1.0257172186811273E-2</v>
      </c>
      <c r="Q134" s="31">
        <v>1.2127565539618518E-2</v>
      </c>
      <c r="R134" s="31">
        <v>1.0185353383353699E-2</v>
      </c>
      <c r="S134" s="31">
        <v>1.2812635692286438E-2</v>
      </c>
      <c r="T134" s="31">
        <v>5.2051948265462115E-3</v>
      </c>
      <c r="U134" s="31">
        <v>8.6226466174633056E-3</v>
      </c>
      <c r="V134" s="31">
        <v>1.3327262086971724E-2</v>
      </c>
      <c r="W134" s="31">
        <v>8.1980061454330136E-3</v>
      </c>
      <c r="X134" s="31">
        <v>7.2036254203120672E-3</v>
      </c>
      <c r="Y134" s="31">
        <v>6.2594387860714779E-3</v>
      </c>
      <c r="Z134" s="31">
        <v>8.5196368293601697E-3</v>
      </c>
      <c r="AA134" s="31">
        <v>8.9112260712667282E-3</v>
      </c>
      <c r="AB134" s="31">
        <v>9.8439085033626087E-3</v>
      </c>
      <c r="AC134" s="31">
        <v>4.1049285439853662E-3</v>
      </c>
    </row>
    <row r="135" spans="1:29">
      <c r="A135" s="28"/>
      <c r="B135" s="28" t="s">
        <v>184</v>
      </c>
      <c r="C135" s="31">
        <v>8.2740995898888392E-2</v>
      </c>
      <c r="D135" s="31">
        <v>7.0110938367526743E-2</v>
      </c>
      <c r="E135" s="31">
        <v>0.11397374993285452</v>
      </c>
      <c r="F135" s="31">
        <v>8.0814709118386313E-2</v>
      </c>
      <c r="G135" s="31">
        <v>0.11271367561275741</v>
      </c>
      <c r="H135" s="31">
        <v>6.4984165282223824E-2</v>
      </c>
      <c r="I135" s="31">
        <v>7.7598299711661989E-2</v>
      </c>
      <c r="J135" s="31">
        <v>7.216317572067088E-2</v>
      </c>
      <c r="K135" s="31">
        <v>6.0281180381109148E-2</v>
      </c>
      <c r="L135" s="31">
        <v>9.2669371156921962E-2</v>
      </c>
      <c r="M135" s="31">
        <v>5.839703518119168E-2</v>
      </c>
      <c r="N135" s="31">
        <v>6.7106145813932178E-2</v>
      </c>
      <c r="O135" s="31">
        <v>6.8278050195023532E-2</v>
      </c>
      <c r="P135" s="31">
        <v>6.0338383982093263E-2</v>
      </c>
      <c r="Q135" s="31">
        <v>5.9111177723493433E-2</v>
      </c>
      <c r="R135" s="31">
        <v>0.11983181177914175</v>
      </c>
      <c r="S135" s="31">
        <v>6.1413439765244195E-2</v>
      </c>
      <c r="T135" s="31">
        <v>7.9611602487177441E-2</v>
      </c>
      <c r="U135" s="31">
        <v>5.5334396413720018E-2</v>
      </c>
      <c r="V135" s="31">
        <v>8.6650816743783748E-2</v>
      </c>
      <c r="W135" s="31">
        <v>6.4300300795278542E-2</v>
      </c>
      <c r="X135" s="31">
        <v>0.10016080657514609</v>
      </c>
      <c r="Y135" s="31">
        <v>5.8914393028833764E-2</v>
      </c>
      <c r="Z135" s="31">
        <v>6.6822981231792783E-2</v>
      </c>
      <c r="AA135" s="31">
        <v>2.5041208932371696E-2</v>
      </c>
      <c r="AB135" s="31">
        <v>4.2495898501573662E-3</v>
      </c>
      <c r="AC135" s="31">
        <v>0.16098313140959611</v>
      </c>
    </row>
    <row r="136" spans="1:29">
      <c r="A136" s="28"/>
      <c r="B136" s="28" t="s">
        <v>185</v>
      </c>
      <c r="C136" s="31">
        <v>7.6968954610109105E-3</v>
      </c>
      <c r="D136" s="31">
        <v>0</v>
      </c>
      <c r="E136" s="31">
        <v>2.9378320390882739E-2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</row>
    <row r="137" spans="1:29">
      <c r="A137" s="28"/>
      <c r="B137" s="28" t="s">
        <v>186</v>
      </c>
      <c r="C137" s="31">
        <v>0</v>
      </c>
      <c r="D137" s="31">
        <v>0</v>
      </c>
      <c r="E137" s="31">
        <v>0</v>
      </c>
      <c r="F137" s="31">
        <v>0</v>
      </c>
      <c r="G137" s="31">
        <v>0</v>
      </c>
      <c r="H137" s="31">
        <v>0</v>
      </c>
      <c r="I137" s="31">
        <v>0</v>
      </c>
      <c r="J137" s="31">
        <v>0</v>
      </c>
      <c r="K137" s="31">
        <v>0</v>
      </c>
      <c r="L137" s="31">
        <v>0</v>
      </c>
      <c r="M137" s="31">
        <v>0</v>
      </c>
      <c r="N137" s="31">
        <v>0</v>
      </c>
      <c r="O137" s="31">
        <v>0</v>
      </c>
      <c r="P137" s="31">
        <v>0</v>
      </c>
      <c r="Q137" s="31">
        <v>0</v>
      </c>
      <c r="R137" s="31">
        <v>0</v>
      </c>
      <c r="S137" s="31">
        <v>0</v>
      </c>
      <c r="T137" s="31">
        <v>0</v>
      </c>
      <c r="U137" s="31">
        <v>0</v>
      </c>
      <c r="V137" s="31">
        <v>0</v>
      </c>
      <c r="W137" s="31">
        <v>0</v>
      </c>
      <c r="X137" s="31">
        <v>0</v>
      </c>
      <c r="Y137" s="31">
        <v>0</v>
      </c>
      <c r="Z137" s="31">
        <v>0</v>
      </c>
      <c r="AA137" s="31">
        <v>0</v>
      </c>
      <c r="AB137" s="31">
        <v>0</v>
      </c>
      <c r="AC137" s="31">
        <v>0</v>
      </c>
    </row>
    <row r="138" spans="1:29">
      <c r="A138" s="33"/>
      <c r="B138" s="34" t="s">
        <v>189</v>
      </c>
      <c r="C138" s="35">
        <v>1.0000000000000002</v>
      </c>
      <c r="D138" s="35">
        <v>0.99999999999999978</v>
      </c>
      <c r="E138" s="35">
        <v>0.99999999999999989</v>
      </c>
      <c r="F138" s="35">
        <v>0.99999999999999989</v>
      </c>
      <c r="G138" s="35">
        <v>1</v>
      </c>
      <c r="H138" s="35">
        <v>1</v>
      </c>
      <c r="I138" s="35">
        <v>0.99999999999999989</v>
      </c>
      <c r="J138" s="35">
        <v>1</v>
      </c>
      <c r="K138" s="35">
        <v>1</v>
      </c>
      <c r="L138" s="35">
        <v>0.99999999999999989</v>
      </c>
      <c r="M138" s="35">
        <v>1.0000000000000002</v>
      </c>
      <c r="N138" s="35">
        <v>0.99999999999999989</v>
      </c>
      <c r="O138" s="35">
        <v>1</v>
      </c>
      <c r="P138" s="35">
        <v>1.0000000000000002</v>
      </c>
      <c r="Q138" s="35">
        <v>0.99999999999999989</v>
      </c>
      <c r="R138" s="35">
        <v>1</v>
      </c>
      <c r="S138" s="35">
        <v>1</v>
      </c>
      <c r="T138" s="35">
        <v>1</v>
      </c>
      <c r="U138" s="35">
        <v>1</v>
      </c>
      <c r="V138" s="35">
        <v>1.0000000000000002</v>
      </c>
      <c r="W138" s="35">
        <v>1</v>
      </c>
      <c r="X138" s="35">
        <v>1</v>
      </c>
      <c r="Y138" s="35">
        <v>0.99999999999999989</v>
      </c>
      <c r="Z138" s="35">
        <v>1</v>
      </c>
      <c r="AA138" s="35">
        <v>1</v>
      </c>
      <c r="AB138" s="35">
        <v>1.0000000000000002</v>
      </c>
      <c r="AC138" s="35">
        <v>0.99999999999999989</v>
      </c>
    </row>
    <row r="139" spans="1:2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 spans="1:29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 spans="1:29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 spans="1:29" ht="15.5">
      <c r="A142" s="27" t="s">
        <v>190</v>
      </c>
      <c r="B142" s="27"/>
      <c r="C142" s="27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 spans="1:29">
      <c r="A143" s="29" t="s">
        <v>174</v>
      </c>
      <c r="B143" s="29" t="s">
        <v>175</v>
      </c>
      <c r="C143" s="30" t="s">
        <v>62</v>
      </c>
      <c r="D143" s="30" t="s">
        <v>68</v>
      </c>
      <c r="E143" s="30" t="s">
        <v>73</v>
      </c>
      <c r="F143" s="30" t="s">
        <v>76</v>
      </c>
      <c r="G143" s="30" t="s">
        <v>77</v>
      </c>
      <c r="H143" s="30" t="s">
        <v>78</v>
      </c>
      <c r="I143" s="30" t="s">
        <v>81</v>
      </c>
      <c r="J143" s="30" t="s">
        <v>82</v>
      </c>
      <c r="K143" s="30" t="s">
        <v>84</v>
      </c>
      <c r="L143" s="30" t="s">
        <v>86</v>
      </c>
      <c r="M143" s="30" t="s">
        <v>91</v>
      </c>
      <c r="N143" s="30" t="s">
        <v>92</v>
      </c>
      <c r="O143" s="30" t="s">
        <v>93</v>
      </c>
      <c r="P143" s="30" t="s">
        <v>70</v>
      </c>
      <c r="Q143" s="30" t="s">
        <v>71</v>
      </c>
      <c r="R143" s="30" t="s">
        <v>75</v>
      </c>
      <c r="S143" s="30" t="s">
        <v>80</v>
      </c>
      <c r="T143" s="30" t="s">
        <v>89</v>
      </c>
      <c r="U143" s="30" t="s">
        <v>90</v>
      </c>
      <c r="V143" s="30" t="s">
        <v>74</v>
      </c>
      <c r="W143" s="30" t="s">
        <v>79</v>
      </c>
      <c r="X143" s="30" t="s">
        <v>83</v>
      </c>
      <c r="Y143" s="30" t="s">
        <v>87</v>
      </c>
      <c r="Z143" s="30" t="s">
        <v>88</v>
      </c>
      <c r="AA143" s="30" t="s">
        <v>69</v>
      </c>
      <c r="AB143" s="30" t="s">
        <v>72</v>
      </c>
      <c r="AC143" s="30" t="s">
        <v>85</v>
      </c>
    </row>
    <row r="144" spans="1:29">
      <c r="A144" s="28" t="s">
        <v>176</v>
      </c>
      <c r="B144" s="28" t="s">
        <v>177</v>
      </c>
      <c r="C144" s="31">
        <v>0</v>
      </c>
      <c r="D144" s="31">
        <v>0</v>
      </c>
      <c r="E144" s="31">
        <v>0</v>
      </c>
      <c r="F144" s="31">
        <v>0</v>
      </c>
      <c r="G144" s="31">
        <v>0</v>
      </c>
      <c r="H144" s="31">
        <v>0</v>
      </c>
      <c r="I144" s="31">
        <v>0</v>
      </c>
      <c r="J144" s="31">
        <v>0</v>
      </c>
      <c r="K144" s="31">
        <v>0</v>
      </c>
      <c r="L144" s="31">
        <v>0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0</v>
      </c>
      <c r="AC144" s="31">
        <v>0</v>
      </c>
    </row>
    <row r="145" spans="1:29">
      <c r="A145" s="28"/>
      <c r="B145" s="28" t="s">
        <v>178</v>
      </c>
      <c r="C145" s="31">
        <v>0</v>
      </c>
      <c r="D145" s="31">
        <v>0</v>
      </c>
      <c r="E145" s="31">
        <v>0</v>
      </c>
      <c r="F145" s="31">
        <v>0</v>
      </c>
      <c r="G145" s="31">
        <v>0</v>
      </c>
      <c r="H145" s="31">
        <v>0</v>
      </c>
      <c r="I145" s="31">
        <v>0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0</v>
      </c>
      <c r="Z145" s="31">
        <v>0</v>
      </c>
      <c r="AA145" s="31">
        <v>0</v>
      </c>
      <c r="AB145" s="31">
        <v>0</v>
      </c>
      <c r="AC145" s="31">
        <v>0</v>
      </c>
    </row>
    <row r="146" spans="1:29">
      <c r="A146" s="28" t="s">
        <v>179</v>
      </c>
      <c r="B146" s="28" t="s">
        <v>180</v>
      </c>
      <c r="C146" s="32">
        <v>3.2739468688573266E-3</v>
      </c>
      <c r="D146" s="31">
        <v>2.1586268841599747E-3</v>
      </c>
      <c r="E146" s="31">
        <v>4.1909857054726746E-3</v>
      </c>
      <c r="F146" s="31">
        <v>3.6319751739066989E-3</v>
      </c>
      <c r="G146" s="31">
        <v>2.5491869155235955E-3</v>
      </c>
      <c r="H146" s="31">
        <v>1.6941154698507114E-3</v>
      </c>
      <c r="I146" s="31">
        <v>3.2883004760979389E-3</v>
      </c>
      <c r="J146" s="31">
        <v>2.4416088687366478E-3</v>
      </c>
      <c r="K146" s="31">
        <v>3.5159102982178412E-3</v>
      </c>
      <c r="L146" s="31">
        <v>3.3185344885490013E-3</v>
      </c>
      <c r="M146" s="31">
        <v>2.939754742265497E-3</v>
      </c>
      <c r="N146" s="31">
        <v>3.3151523856669103E-3</v>
      </c>
      <c r="O146" s="31">
        <v>3.906666915379246E-3</v>
      </c>
      <c r="P146" s="31">
        <v>3.2306073901205486E-3</v>
      </c>
      <c r="Q146" s="31">
        <v>3.9969766503394092E-3</v>
      </c>
      <c r="R146" s="31">
        <v>2.4423953155841079E-3</v>
      </c>
      <c r="S146" s="31">
        <v>2.8914591982090753E-3</v>
      </c>
      <c r="T146" s="31">
        <v>2.9812499263931389E-3</v>
      </c>
      <c r="U146" s="31">
        <v>3.5441732524901714E-3</v>
      </c>
      <c r="V146" s="31">
        <v>2.1106258862285242E-3</v>
      </c>
      <c r="W146" s="31">
        <v>4.0260002016890241E-3</v>
      </c>
      <c r="X146" s="31">
        <v>1.9054783663146626E-3</v>
      </c>
      <c r="Y146" s="31">
        <v>1.7694736792673005E-3</v>
      </c>
      <c r="Z146" s="31">
        <v>2.1690169741061518E-3</v>
      </c>
      <c r="AA146" s="31">
        <v>1.996201699404686E-3</v>
      </c>
      <c r="AB146" s="31">
        <v>2.1678265957034699E-3</v>
      </c>
      <c r="AC146" s="31">
        <v>1.9708873200458749E-3</v>
      </c>
    </row>
    <row r="147" spans="1:29">
      <c r="A147" s="28"/>
      <c r="B147" s="28" t="s">
        <v>181</v>
      </c>
      <c r="C147" s="31">
        <v>0.83405572391255312</v>
      </c>
      <c r="D147" s="31">
        <v>0.88136996225712338</v>
      </c>
      <c r="E147" s="31">
        <v>0.72410905133504211</v>
      </c>
      <c r="F147" s="31">
        <v>0.85033097733510543</v>
      </c>
      <c r="G147" s="31">
        <v>0.81358360125192186</v>
      </c>
      <c r="H147" s="31">
        <v>0.88000079438796519</v>
      </c>
      <c r="I147" s="31">
        <v>0.86292967512561713</v>
      </c>
      <c r="J147" s="31">
        <v>0.84991917486050839</v>
      </c>
      <c r="K147" s="31">
        <v>0.87489878054676506</v>
      </c>
      <c r="L147" s="31">
        <v>0.84396948853578213</v>
      </c>
      <c r="M147" s="31">
        <v>0.89058577172865516</v>
      </c>
      <c r="N147" s="31">
        <v>0.88596847722847849</v>
      </c>
      <c r="O147" s="31">
        <v>0.87519253516054751</v>
      </c>
      <c r="P147" s="31">
        <v>0.89017909286971042</v>
      </c>
      <c r="Q147" s="31">
        <v>0.88395825319439558</v>
      </c>
      <c r="R147" s="31">
        <v>0.80306472393989703</v>
      </c>
      <c r="S147" s="31">
        <v>0.88153417928289457</v>
      </c>
      <c r="T147" s="31">
        <v>0.87036679499941227</v>
      </c>
      <c r="U147" s="31">
        <v>0.89725064481847272</v>
      </c>
      <c r="V147" s="31">
        <v>0.84303694258501916</v>
      </c>
      <c r="W147" s="31">
        <v>0.88561230886447639</v>
      </c>
      <c r="X147" s="31">
        <v>0.83536706688667051</v>
      </c>
      <c r="Y147" s="31">
        <v>0.90275636290048633</v>
      </c>
      <c r="Z147" s="31">
        <v>0.87891574758893642</v>
      </c>
      <c r="AA147" s="31">
        <v>0.9444737396739924</v>
      </c>
      <c r="AB147" s="31">
        <v>0.97631596747347482</v>
      </c>
      <c r="AC147" s="31">
        <v>0.7484312106638259</v>
      </c>
    </row>
    <row r="148" spans="1:29">
      <c r="A148" s="28" t="s">
        <v>182</v>
      </c>
      <c r="B148" s="28" t="s">
        <v>183</v>
      </c>
      <c r="C148" s="31">
        <v>2.1905905312439161E-2</v>
      </c>
      <c r="D148" s="31">
        <v>9.3709663140288998E-3</v>
      </c>
      <c r="E148" s="31">
        <v>4.6019564968395495E-2</v>
      </c>
      <c r="F148" s="31">
        <v>1.8394858695029128E-2</v>
      </c>
      <c r="G148" s="31">
        <v>9.9598084318994508E-3</v>
      </c>
      <c r="H148" s="31">
        <v>1.3237997918849932E-2</v>
      </c>
      <c r="I148" s="31">
        <v>1.1420057155050359E-2</v>
      </c>
      <c r="J148" s="31">
        <v>2.6498598054231513E-2</v>
      </c>
      <c r="K148" s="31">
        <v>2.5642116158186581E-2</v>
      </c>
      <c r="L148" s="31">
        <v>8.6437934593511252E-3</v>
      </c>
      <c r="M148" s="31">
        <v>1.5314370184172183E-2</v>
      </c>
      <c r="N148" s="31">
        <v>7.9154020817384443E-3</v>
      </c>
      <c r="O148" s="31">
        <v>1.1871653704006174E-2</v>
      </c>
      <c r="P148" s="31">
        <v>1.3089641552029165E-2</v>
      </c>
      <c r="Q148" s="31">
        <v>1.6194784858342321E-2</v>
      </c>
      <c r="R148" s="31">
        <v>1.272342398540301E-2</v>
      </c>
      <c r="S148" s="31">
        <v>1.6945626580446856E-2</v>
      </c>
      <c r="T148" s="31">
        <v>6.4710564013944778E-3</v>
      </c>
      <c r="U148" s="31">
        <v>1.1282963024401618E-2</v>
      </c>
      <c r="V148" s="31">
        <v>1.7408913059663488E-2</v>
      </c>
      <c r="W148" s="31">
        <v>1.0486530825816983E-2</v>
      </c>
      <c r="X148" s="31">
        <v>9.0992061135074936E-3</v>
      </c>
      <c r="Y148" s="31">
        <v>7.6815860877352945E-3</v>
      </c>
      <c r="Z148" s="31">
        <v>1.129928575321087E-2</v>
      </c>
      <c r="AA148" s="31">
        <v>1.2132191360051241E-2</v>
      </c>
      <c r="AB148" s="31">
        <v>1.4116355738962196E-2</v>
      </c>
      <c r="AC148" s="31">
        <v>5.1335741680296381E-3</v>
      </c>
    </row>
    <row r="149" spans="1:29">
      <c r="A149" s="28"/>
      <c r="B149" s="28" t="s">
        <v>184</v>
      </c>
      <c r="C149" s="31">
        <v>0.13420523697456904</v>
      </c>
      <c r="D149" s="31">
        <v>0.10710044454468777</v>
      </c>
      <c r="E149" s="31">
        <v>0.19876243811835848</v>
      </c>
      <c r="F149" s="31">
        <v>0.12764218879595873</v>
      </c>
      <c r="G149" s="31">
        <v>0.17390740340065505</v>
      </c>
      <c r="H149" s="31">
        <v>0.10506709222333424</v>
      </c>
      <c r="I149" s="31">
        <v>0.12236196724323453</v>
      </c>
      <c r="J149" s="31">
        <v>0.12114061821652349</v>
      </c>
      <c r="K149" s="31">
        <v>9.5943192996830379E-2</v>
      </c>
      <c r="L149" s="31">
        <v>0.14406818351631784</v>
      </c>
      <c r="M149" s="31">
        <v>9.1160103344907026E-2</v>
      </c>
      <c r="N149" s="31">
        <v>0.10280096830411618</v>
      </c>
      <c r="O149" s="31">
        <v>0.1090291442200671</v>
      </c>
      <c r="P149" s="31">
        <v>9.3500658188139713E-2</v>
      </c>
      <c r="Q149" s="31">
        <v>9.5849985296922749E-2</v>
      </c>
      <c r="R149" s="31">
        <v>0.18176945675911579</v>
      </c>
      <c r="S149" s="31">
        <v>9.8628734938449439E-2</v>
      </c>
      <c r="T149" s="31">
        <v>0.1201808986728002</v>
      </c>
      <c r="U149" s="31">
        <v>8.7922218904635543E-2</v>
      </c>
      <c r="V149" s="31">
        <v>0.13744351846908884</v>
      </c>
      <c r="W149" s="31">
        <v>9.9875160108017558E-2</v>
      </c>
      <c r="X149" s="31">
        <v>0.15362824863350735</v>
      </c>
      <c r="Y149" s="31">
        <v>8.779257733251114E-2</v>
      </c>
      <c r="Z149" s="31">
        <v>0.10761594968374652</v>
      </c>
      <c r="AA149" s="31">
        <v>4.1397867266551647E-2</v>
      </c>
      <c r="AB149" s="31">
        <v>7.3998501918595234E-3</v>
      </c>
      <c r="AC149" s="31">
        <v>0.24446432784809863</v>
      </c>
    </row>
    <row r="150" spans="1:29">
      <c r="A150" s="28"/>
      <c r="B150" s="28" t="s">
        <v>185</v>
      </c>
      <c r="C150" s="31">
        <v>6.559186931581344E-3</v>
      </c>
      <c r="D150" s="31">
        <v>0</v>
      </c>
      <c r="E150" s="31">
        <v>2.6917959872731177E-2</v>
      </c>
      <c r="F150" s="31">
        <v>0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1">
        <v>0</v>
      </c>
      <c r="X150" s="31">
        <v>0</v>
      </c>
      <c r="Y150" s="31">
        <v>0</v>
      </c>
      <c r="Z150" s="31">
        <v>0</v>
      </c>
      <c r="AA150" s="31">
        <v>0</v>
      </c>
      <c r="AB150" s="31">
        <v>0</v>
      </c>
      <c r="AC150" s="31">
        <v>0</v>
      </c>
    </row>
    <row r="151" spans="1:29">
      <c r="A151" s="28"/>
      <c r="B151" s="28" t="s">
        <v>186</v>
      </c>
      <c r="C151" s="31">
        <v>0</v>
      </c>
      <c r="D151" s="31">
        <v>0</v>
      </c>
      <c r="E151" s="31">
        <v>0</v>
      </c>
      <c r="F151" s="31">
        <v>0</v>
      </c>
      <c r="G151" s="31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1">
        <v>0</v>
      </c>
      <c r="X151" s="31">
        <v>0</v>
      </c>
      <c r="Y151" s="31">
        <v>0</v>
      </c>
      <c r="Z151" s="31">
        <v>0</v>
      </c>
      <c r="AA151" s="31">
        <v>0</v>
      </c>
      <c r="AB151" s="31">
        <v>0</v>
      </c>
      <c r="AC151" s="31">
        <v>0</v>
      </c>
    </row>
    <row r="152" spans="1:29">
      <c r="A152" s="33"/>
      <c r="B152" s="34" t="s">
        <v>189</v>
      </c>
      <c r="C152" s="35">
        <v>1</v>
      </c>
      <c r="D152" s="35">
        <v>1</v>
      </c>
      <c r="E152" s="35">
        <v>1</v>
      </c>
      <c r="F152" s="35">
        <v>1</v>
      </c>
      <c r="G152" s="35">
        <v>1</v>
      </c>
      <c r="H152" s="35">
        <v>1.0000000000000002</v>
      </c>
      <c r="I152" s="35">
        <v>1</v>
      </c>
      <c r="J152" s="35">
        <v>1</v>
      </c>
      <c r="K152" s="35">
        <v>0.99999999999999989</v>
      </c>
      <c r="L152" s="35">
        <v>1.0000000000000002</v>
      </c>
      <c r="M152" s="35">
        <v>0.99999999999999978</v>
      </c>
      <c r="N152" s="35">
        <v>1</v>
      </c>
      <c r="O152" s="35">
        <v>1</v>
      </c>
      <c r="P152" s="35">
        <v>0.99999999999999989</v>
      </c>
      <c r="Q152" s="35">
        <v>1</v>
      </c>
      <c r="R152" s="35">
        <v>1</v>
      </c>
      <c r="S152" s="35">
        <v>1</v>
      </c>
      <c r="T152" s="35">
        <v>1</v>
      </c>
      <c r="U152" s="35">
        <v>1</v>
      </c>
      <c r="V152" s="35">
        <v>1</v>
      </c>
      <c r="W152" s="35">
        <v>0.99999999999999989</v>
      </c>
      <c r="X152" s="35">
        <v>1</v>
      </c>
      <c r="Y152" s="35">
        <v>1</v>
      </c>
      <c r="Z152" s="35">
        <v>0.99999999999999989</v>
      </c>
      <c r="AA152" s="35">
        <v>1</v>
      </c>
      <c r="AB152" s="35">
        <v>1</v>
      </c>
      <c r="AC152" s="35">
        <v>1</v>
      </c>
    </row>
    <row r="153" spans="1:29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 spans="1:29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 spans="1:29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 spans="1:29" ht="15.5">
      <c r="A156" s="27" t="s">
        <v>191</v>
      </c>
      <c r="B156" s="27"/>
      <c r="C156" s="27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 spans="1:29">
      <c r="A157" s="29" t="s">
        <v>174</v>
      </c>
      <c r="B157" s="29" t="s">
        <v>175</v>
      </c>
      <c r="C157" s="30" t="s">
        <v>62</v>
      </c>
      <c r="D157" s="30" t="s">
        <v>68</v>
      </c>
      <c r="E157" s="30" t="s">
        <v>73</v>
      </c>
      <c r="F157" s="30" t="s">
        <v>76</v>
      </c>
      <c r="G157" s="30" t="s">
        <v>77</v>
      </c>
      <c r="H157" s="30" t="s">
        <v>78</v>
      </c>
      <c r="I157" s="30" t="s">
        <v>81</v>
      </c>
      <c r="J157" s="30" t="s">
        <v>82</v>
      </c>
      <c r="K157" s="30" t="s">
        <v>84</v>
      </c>
      <c r="L157" s="30" t="s">
        <v>86</v>
      </c>
      <c r="M157" s="30" t="s">
        <v>91</v>
      </c>
      <c r="N157" s="30" t="s">
        <v>92</v>
      </c>
      <c r="O157" s="30" t="s">
        <v>93</v>
      </c>
      <c r="P157" s="30" t="s">
        <v>70</v>
      </c>
      <c r="Q157" s="30" t="s">
        <v>71</v>
      </c>
      <c r="R157" s="30" t="s">
        <v>75</v>
      </c>
      <c r="S157" s="30" t="s">
        <v>80</v>
      </c>
      <c r="T157" s="30" t="s">
        <v>89</v>
      </c>
      <c r="U157" s="30" t="s">
        <v>90</v>
      </c>
      <c r="V157" s="30" t="s">
        <v>74</v>
      </c>
      <c r="W157" s="30" t="s">
        <v>79</v>
      </c>
      <c r="X157" s="30" t="s">
        <v>83</v>
      </c>
      <c r="Y157" s="30" t="s">
        <v>87</v>
      </c>
      <c r="Z157" s="30" t="s">
        <v>88</v>
      </c>
      <c r="AA157" s="30" t="s">
        <v>69</v>
      </c>
      <c r="AB157" s="30" t="s">
        <v>72</v>
      </c>
      <c r="AC157" s="30" t="s">
        <v>85</v>
      </c>
    </row>
    <row r="158" spans="1:29">
      <c r="A158" s="28" t="s">
        <v>176</v>
      </c>
      <c r="B158" s="28" t="s">
        <v>177</v>
      </c>
      <c r="C158" s="31">
        <v>0</v>
      </c>
      <c r="D158" s="31">
        <v>0</v>
      </c>
      <c r="E158" s="31">
        <v>0</v>
      </c>
      <c r="F158" s="31">
        <v>0</v>
      </c>
      <c r="G158" s="31">
        <v>0</v>
      </c>
      <c r="H158" s="31">
        <v>0</v>
      </c>
      <c r="I158" s="31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0</v>
      </c>
      <c r="Z158" s="31">
        <v>0</v>
      </c>
      <c r="AA158" s="31">
        <v>0</v>
      </c>
      <c r="AB158" s="31">
        <v>0</v>
      </c>
      <c r="AC158" s="31">
        <v>0</v>
      </c>
    </row>
    <row r="159" spans="1:29">
      <c r="A159" s="28"/>
      <c r="B159" s="28" t="s">
        <v>178</v>
      </c>
      <c r="C159" s="31">
        <v>0</v>
      </c>
      <c r="D159" s="31">
        <v>0</v>
      </c>
      <c r="E159" s="31">
        <v>0</v>
      </c>
      <c r="F159" s="31">
        <v>0</v>
      </c>
      <c r="G159" s="31">
        <v>0</v>
      </c>
      <c r="H159" s="31">
        <v>0</v>
      </c>
      <c r="I159" s="31">
        <v>0</v>
      </c>
      <c r="J159" s="31">
        <v>0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1">
        <v>0</v>
      </c>
      <c r="X159" s="31">
        <v>0</v>
      </c>
      <c r="Y159" s="31">
        <v>0</v>
      </c>
      <c r="Z159" s="31">
        <v>0</v>
      </c>
      <c r="AA159" s="31">
        <v>0</v>
      </c>
      <c r="AB159" s="31">
        <v>0</v>
      </c>
      <c r="AC159" s="31">
        <v>0</v>
      </c>
    </row>
    <row r="160" spans="1:29">
      <c r="A160" s="28" t="s">
        <v>179</v>
      </c>
      <c r="B160" s="28" t="s">
        <v>180</v>
      </c>
      <c r="C160" s="31">
        <v>0</v>
      </c>
      <c r="D160" s="31">
        <v>0</v>
      </c>
      <c r="E160" s="31">
        <v>0</v>
      </c>
      <c r="F160" s="31">
        <v>0</v>
      </c>
      <c r="G160" s="31">
        <v>0</v>
      </c>
      <c r="H160" s="31">
        <v>0</v>
      </c>
      <c r="I160" s="31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Z160" s="31">
        <v>0</v>
      </c>
      <c r="AA160" s="31">
        <v>0</v>
      </c>
      <c r="AB160" s="31">
        <v>0</v>
      </c>
      <c r="AC160" s="31">
        <v>0</v>
      </c>
    </row>
    <row r="161" spans="1:29">
      <c r="A161" s="28"/>
      <c r="B161" s="28" t="s">
        <v>181</v>
      </c>
      <c r="C161" s="31">
        <v>0.74108639947108168</v>
      </c>
      <c r="D161" s="31">
        <v>0.79071880912169545</v>
      </c>
      <c r="E161" s="31">
        <v>0.6386131571238467</v>
      </c>
      <c r="F161" s="31">
        <v>0.75580744416441215</v>
      </c>
      <c r="G161" s="31">
        <v>0.71320246300225565</v>
      </c>
      <c r="H161" s="31">
        <v>0.78115676031065473</v>
      </c>
      <c r="I161" s="31">
        <v>0.76642349622098382</v>
      </c>
      <c r="J161" s="31">
        <v>0.74828496387185417</v>
      </c>
      <c r="K161" s="31">
        <v>0.78640329755658556</v>
      </c>
      <c r="L161" s="31">
        <v>0.74588309703681677</v>
      </c>
      <c r="M161" s="31">
        <v>0.80172469534468704</v>
      </c>
      <c r="N161" s="31">
        <v>0.79583426304303684</v>
      </c>
      <c r="O161" s="31">
        <v>0.77907090765006382</v>
      </c>
      <c r="P161" s="31">
        <v>0.80155723993574601</v>
      </c>
      <c r="Q161" s="31">
        <v>0.78887154985237196</v>
      </c>
      <c r="R161" s="31">
        <v>0.70533422841274862</v>
      </c>
      <c r="S161" s="31">
        <v>0.78717070970762593</v>
      </c>
      <c r="T161" s="31">
        <v>0.77916775606401434</v>
      </c>
      <c r="U161" s="31">
        <v>0.80467495581567261</v>
      </c>
      <c r="V161" s="31">
        <v>0.74505854970828844</v>
      </c>
      <c r="W161" s="31">
        <v>0.79514890678426453</v>
      </c>
      <c r="X161" s="31">
        <v>0.73736495113760858</v>
      </c>
      <c r="Y161" s="31">
        <v>0.81853938082108479</v>
      </c>
      <c r="Z161" s="31">
        <v>0.77998817627338324</v>
      </c>
      <c r="AA161" s="31">
        <v>0.85154985463859412</v>
      </c>
      <c r="AB161" s="31">
        <v>0.88006272796227247</v>
      </c>
      <c r="AC161" s="31">
        <v>0.64231184378282558</v>
      </c>
    </row>
    <row r="162" spans="1:29">
      <c r="A162" s="28" t="s">
        <v>182</v>
      </c>
      <c r="B162" s="28" t="s">
        <v>183</v>
      </c>
      <c r="C162" s="31">
        <v>1.214216695359136E-2</v>
      </c>
      <c r="D162" s="31">
        <v>5.244564356444866E-3</v>
      </c>
      <c r="E162" s="31">
        <v>2.5318479036608464E-2</v>
      </c>
      <c r="F162" s="31">
        <v>1.0199545943263343E-2</v>
      </c>
      <c r="G162" s="31">
        <v>5.4465670112681473E-3</v>
      </c>
      <c r="H162" s="31">
        <v>7.3305854058422536E-3</v>
      </c>
      <c r="I162" s="31">
        <v>6.327365203104513E-3</v>
      </c>
      <c r="J162" s="31">
        <v>1.4553702960433654E-2</v>
      </c>
      <c r="K162" s="31">
        <v>1.4378136289327563E-2</v>
      </c>
      <c r="L162" s="31">
        <v>4.7655125577413509E-3</v>
      </c>
      <c r="M162" s="31">
        <v>8.6002260738130814E-3</v>
      </c>
      <c r="N162" s="31">
        <v>4.4354589246647135E-3</v>
      </c>
      <c r="O162" s="31">
        <v>6.592434448494537E-3</v>
      </c>
      <c r="P162" s="31">
        <v>7.3526877521562662E-3</v>
      </c>
      <c r="Q162" s="31">
        <v>9.0159384819168999E-3</v>
      </c>
      <c r="R162" s="31">
        <v>6.9712334769449829E-3</v>
      </c>
      <c r="S162" s="31">
        <v>9.4394919428535985E-3</v>
      </c>
      <c r="T162" s="31">
        <v>3.6138078846859318E-3</v>
      </c>
      <c r="U162" s="31">
        <v>6.3123502546919919E-3</v>
      </c>
      <c r="V162" s="31">
        <v>9.5979099500525071E-3</v>
      </c>
      <c r="W162" s="31">
        <v>5.8735122381989901E-3</v>
      </c>
      <c r="X162" s="31">
        <v>5.0103707288089395E-3</v>
      </c>
      <c r="Y162" s="31">
        <v>4.3449135578945168E-3</v>
      </c>
      <c r="Z162" s="31">
        <v>6.2553697184935773E-3</v>
      </c>
      <c r="AA162" s="31">
        <v>6.8237115745591239E-3</v>
      </c>
      <c r="AB162" s="31">
        <v>7.9379260453763534E-3</v>
      </c>
      <c r="AC162" s="31">
        <v>2.7483693665086213E-3</v>
      </c>
    </row>
    <row r="163" spans="1:29">
      <c r="A163" s="28"/>
      <c r="B163" s="28" t="s">
        <v>184</v>
      </c>
      <c r="C163" s="31">
        <v>0.1626965950818042</v>
      </c>
      <c r="D163" s="31">
        <v>0.13109626623170204</v>
      </c>
      <c r="E163" s="31">
        <v>0.23916819504950479</v>
      </c>
      <c r="F163" s="31">
        <v>0.15479346868381608</v>
      </c>
      <c r="G163" s="31">
        <v>0.20800029152740038</v>
      </c>
      <c r="H163" s="31">
        <v>0.12724978858051844</v>
      </c>
      <c r="I163" s="31">
        <v>0.14827744084788594</v>
      </c>
      <c r="J163" s="31">
        <v>0.14551722418000443</v>
      </c>
      <c r="K163" s="31">
        <v>0.11766218454461841</v>
      </c>
      <c r="L163" s="31">
        <v>0.17371900154534914</v>
      </c>
      <c r="M163" s="31">
        <v>0.11196687123703571</v>
      </c>
      <c r="N163" s="31">
        <v>0.12599020808803368</v>
      </c>
      <c r="O163" s="31">
        <v>0.13241927644257739</v>
      </c>
      <c r="P163" s="31">
        <v>0.11487011188674058</v>
      </c>
      <c r="Q163" s="31">
        <v>0.11670831913312733</v>
      </c>
      <c r="R163" s="31">
        <v>0.2178213998684824</v>
      </c>
      <c r="S163" s="31">
        <v>0.12016236232976817</v>
      </c>
      <c r="T163" s="31">
        <v>0.14679096653005977</v>
      </c>
      <c r="U163" s="31">
        <v>0.10758223700696061</v>
      </c>
      <c r="V163" s="31">
        <v>0.1657308225029282</v>
      </c>
      <c r="W163" s="31">
        <v>0.12234818626194599</v>
      </c>
      <c r="X163" s="31">
        <v>0.18501691930313938</v>
      </c>
      <c r="Y163" s="31">
        <v>0.10860805699514527</v>
      </c>
      <c r="Z163" s="31">
        <v>0.13030246782805119</v>
      </c>
      <c r="AA163" s="31">
        <v>5.0925275195199252E-2</v>
      </c>
      <c r="AB163" s="31">
        <v>9.1008381034736394E-3</v>
      </c>
      <c r="AC163" s="31">
        <v>0.28624951607603277</v>
      </c>
    </row>
    <row r="164" spans="1:29">
      <c r="A164" s="28"/>
      <c r="B164" s="28" t="s">
        <v>185</v>
      </c>
      <c r="C164" s="31">
        <v>0</v>
      </c>
      <c r="D164" s="31">
        <v>0</v>
      </c>
      <c r="E164" s="31">
        <v>0</v>
      </c>
      <c r="F164" s="31">
        <v>0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0</v>
      </c>
      <c r="Z164" s="31">
        <v>0</v>
      </c>
      <c r="AA164" s="31">
        <v>0</v>
      </c>
      <c r="AB164" s="31">
        <v>0</v>
      </c>
      <c r="AC164" s="31">
        <v>0</v>
      </c>
    </row>
    <row r="165" spans="1:29">
      <c r="A165" s="28"/>
      <c r="B165" s="28" t="s">
        <v>186</v>
      </c>
      <c r="C165" s="31">
        <v>8.4074838493522847E-2</v>
      </c>
      <c r="D165" s="31">
        <v>7.2940360290157685E-2</v>
      </c>
      <c r="E165" s="31">
        <v>9.6900168790040125E-2</v>
      </c>
      <c r="F165" s="31">
        <v>7.91995412085085E-2</v>
      </c>
      <c r="G165" s="31">
        <v>7.3350678459075919E-2</v>
      </c>
      <c r="H165" s="31">
        <v>8.426286570298451E-2</v>
      </c>
      <c r="I165" s="31">
        <v>7.8971697728025606E-2</v>
      </c>
      <c r="J165" s="31">
        <v>9.1644108987707917E-2</v>
      </c>
      <c r="K165" s="31">
        <v>8.1556381609468237E-2</v>
      </c>
      <c r="L165" s="31">
        <v>7.5632388860092645E-2</v>
      </c>
      <c r="M165" s="31">
        <v>7.7708207344464181E-2</v>
      </c>
      <c r="N165" s="31">
        <v>7.3740069944264783E-2</v>
      </c>
      <c r="O165" s="31">
        <v>8.1917381458864319E-2</v>
      </c>
      <c r="P165" s="31">
        <v>7.6219960425357156E-2</v>
      </c>
      <c r="Q165" s="31">
        <v>8.5404192532583911E-2</v>
      </c>
      <c r="R165" s="31">
        <v>6.987313824182402E-2</v>
      </c>
      <c r="S165" s="31">
        <v>8.3227436019752521E-2</v>
      </c>
      <c r="T165" s="31">
        <v>7.0427469521239974E-2</v>
      </c>
      <c r="U165" s="31">
        <v>8.1430456922674907E-2</v>
      </c>
      <c r="V165" s="31">
        <v>7.9612717838730945E-2</v>
      </c>
      <c r="W165" s="31">
        <v>7.6629394715590618E-2</v>
      </c>
      <c r="X165" s="31">
        <v>7.2607758830443E-2</v>
      </c>
      <c r="Y165" s="31">
        <v>6.8507648625875522E-2</v>
      </c>
      <c r="Z165" s="31">
        <v>8.3453986180072076E-2</v>
      </c>
      <c r="AA165" s="31">
        <v>9.070115859164736E-2</v>
      </c>
      <c r="AB165" s="31">
        <v>0.10289850788887757</v>
      </c>
      <c r="AC165" s="31">
        <v>6.8690270774633036E-2</v>
      </c>
    </row>
    <row r="166" spans="1:29">
      <c r="A166" s="33"/>
      <c r="B166" s="34" t="s">
        <v>189</v>
      </c>
      <c r="C166" s="35">
        <v>1.0000000000000002</v>
      </c>
      <c r="D166" s="35">
        <v>1</v>
      </c>
      <c r="E166" s="35">
        <v>1</v>
      </c>
      <c r="F166" s="35">
        <v>1</v>
      </c>
      <c r="G166" s="35">
        <v>1</v>
      </c>
      <c r="H166" s="35">
        <v>1</v>
      </c>
      <c r="I166" s="35">
        <v>0.99999999999999989</v>
      </c>
      <c r="J166" s="35">
        <v>1.0000000000000002</v>
      </c>
      <c r="K166" s="35">
        <v>0.99999999999999978</v>
      </c>
      <c r="L166" s="35">
        <v>0.99999999999999989</v>
      </c>
      <c r="M166" s="35">
        <v>1</v>
      </c>
      <c r="N166" s="35">
        <v>1</v>
      </c>
      <c r="O166" s="35">
        <v>1</v>
      </c>
      <c r="P166" s="35">
        <v>1</v>
      </c>
      <c r="Q166" s="35">
        <v>1</v>
      </c>
      <c r="R166" s="35">
        <v>1</v>
      </c>
      <c r="S166" s="35">
        <v>1.0000000000000002</v>
      </c>
      <c r="T166" s="35">
        <v>1</v>
      </c>
      <c r="U166" s="35">
        <v>1</v>
      </c>
      <c r="V166" s="35">
        <v>1</v>
      </c>
      <c r="W166" s="35">
        <v>1.0000000000000002</v>
      </c>
      <c r="X166" s="35">
        <v>0.99999999999999989</v>
      </c>
      <c r="Y166" s="35">
        <v>1.0000000000000002</v>
      </c>
      <c r="Z166" s="35">
        <v>1.0000000000000002</v>
      </c>
      <c r="AA166" s="35">
        <v>0.99999999999999989</v>
      </c>
      <c r="AB166" s="35">
        <v>1</v>
      </c>
      <c r="AC166" s="35">
        <v>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Regions</vt:lpstr>
      <vt:lpstr>UC_ModalShares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Vahid Aryanpur</cp:lastModifiedBy>
  <dcterms:created xsi:type="dcterms:W3CDTF">2009-05-27T15:40:55Z</dcterms:created>
  <dcterms:modified xsi:type="dcterms:W3CDTF">2025-08-14T13:21:27Z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436361968517303</vt:r8>
  </property>
</Properties>
</file>