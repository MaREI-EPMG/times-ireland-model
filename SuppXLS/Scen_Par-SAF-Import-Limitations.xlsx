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01DAEB7F-EBBF-4022-B3DE-D67D943B28D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24" r:id="rId1"/>
    <sheet name="Regions" sheetId="15" r:id="rId2"/>
    <sheet name="Limitations" sheetId="25" r:id="rId3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25" l="1"/>
  <c r="F18" i="25"/>
  <c r="F22" i="25"/>
  <c r="F17" i="25"/>
  <c r="G38" i="25"/>
  <c r="G37" i="25"/>
  <c r="F38" i="25"/>
  <c r="F21" i="25" s="1"/>
  <c r="F37" i="25"/>
  <c r="F39" i="25" s="1"/>
  <c r="H39" i="25"/>
  <c r="D39" i="25"/>
  <c r="E38" i="25"/>
  <c r="E39" i="25" s="1"/>
  <c r="E37" i="25"/>
  <c r="F15" i="25" s="1"/>
  <c r="G39" i="25" l="1"/>
  <c r="F16" i="25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<sst xmlns="http://schemas.openxmlformats.org/spreadsheetml/2006/main" count="154" uniqueCount="110">
  <si>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</si>
  <si>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</si>
  <si>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</si>
  <si>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</si>
  <si>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</si>
  <si>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</si>
  <si>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</si>
  <si>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</si>
  <si>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</si>
  <si>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</si>
  <si>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</si>
  <si>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</si>
  <si>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</si>
  <si>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</si>
  <si>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</si>
  <si>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</si>
  <si>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</si>
  <si>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</si>
  <si>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</si>
  <si>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</si>
  <si>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</si>
  <si>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</si>
  <si>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</si>
  <si>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</si>
  <si>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</si>
  <si>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</si>
  <si>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</si>
  <si>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</si>
  <si>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</si>
  <si>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</si>
  <si>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</si>
  <si>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</si>
  <si>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</si>
  <si>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</si>
  <si>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</si>
  <si>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</si>
  <si>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</si>
  <si>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</si>
  <si>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</si>
  <si>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</si>
  <si>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</si>
  <si>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</si>
  <si>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</si>
  <si>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</si>
  <si>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</si>
  <si>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</si>
  <si>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</si>
  <si>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</si>
  <si>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</si>
  <si>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</si>
  <si>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</si>
  <si>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</si>
  <si>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</si>
  <si>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</si>
  <si>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</si>
  <si>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</si>
  <si>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</si>
  <si>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</si>
  <si>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</si>
  <si>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</si>
  <si>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</si>
  <si>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UP</t>
  </si>
  <si>
    <t>Year</t>
  </si>
  <si>
    <t>Pset_PN</t>
  </si>
  <si>
    <t>~TFM_INS</t>
  </si>
  <si>
    <t>TimeSlice</t>
  </si>
  <si>
    <t>Attribute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</si>
  <si>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</si>
  <si>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</si>
  <si>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</si>
  <si>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</si>
  <si>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</si>
  <si>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</si>
  <si>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</si>
  <si>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</si>
  <si>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</si>
  <si>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</si>
  <si>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</si>
  <si>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</si>
  <si>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</si>
  <si>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Scenario</t>
  </si>
  <si>
    <t>Specify a carbon budget</t>
  </si>
  <si>
    <t>Case #</t>
  </si>
  <si>
    <t>Vahid Aryanpur (UCC, vahid.aryanpur@ucc.ie)</t>
  </si>
  <si>
    <t>AllRegions</t>
  </si>
  <si>
    <t>Pset_Set</t>
  </si>
  <si>
    <t>*notes</t>
  </si>
  <si>
    <t>ACT_BND</t>
  </si>
  <si>
    <t>IMPBIOJKR_S1</t>
  </si>
  <si>
    <t>max SAF import</t>
  </si>
  <si>
    <t>IMPPtLKER</t>
  </si>
  <si>
    <t>max PtL import</t>
  </si>
  <si>
    <t>SEAI balance sheet</t>
  </si>
  <si>
    <t>Import of jet kerosene (ktoe)</t>
  </si>
  <si>
    <t>PJ</t>
  </si>
  <si>
    <t>Share of SAF and PtL in ReFuelEU Aviation Regulation</t>
  </si>
  <si>
    <t>SAF</t>
  </si>
  <si>
    <t>PtL</t>
  </si>
  <si>
    <t>Total</t>
  </si>
  <si>
    <t>Global availability factor</t>
  </si>
  <si>
    <t>Ample</t>
  </si>
  <si>
    <t>Moderate (IATA)</t>
  </si>
  <si>
    <t>Constrained</t>
  </si>
  <si>
    <t>IATA</t>
  </si>
  <si>
    <t>Unlimited</t>
  </si>
  <si>
    <t>Availability</t>
  </si>
  <si>
    <t>~InputCell:1-5</t>
  </si>
  <si>
    <t>No import</t>
  </si>
  <si>
    <t>Condition</t>
  </si>
  <si>
    <t>https://transport.ec.europa.eu/transport-modes/air/environment/refueleu-aviation_en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</si>
</sst>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0.0%"/>
    <numFmt numFmtId="166" formatCode="\Te\x\t"/>
    <numFmt numFmtId="167" formatCode="_(&quot;$&quot;* #,##0.00_);_(&quot;$&quot;* \(#,##0.00\);_(&quot;$&quot;* &quot;-&quot;??_);_(@_)"/>
    <numFmt numFmtId="168" formatCode="0.00_)"/>
  </numFmts>
  <fonts count="4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Myriad Pro"/>
      <family val="2"/>
    </font>
    <font>
      <sz val="10"/>
      <name val="MS Sans Serif"/>
      <family val="2"/>
    </font>
    <font>
      <sz val="10"/>
      <name val="Arial"/>
    </font>
    <font>
      <sz val="9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2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15" fillId="0" borderId="0"/>
    <xf numFmtId="0" fontId="17" fillId="0" borderId="0"/>
    <xf numFmtId="0" fontId="18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9" fontId="19" fillId="0" borderId="4" applyNumberFormat="0" applyFont="0" applyFill="0" applyBorder="0" applyProtection="0">
      <alignment horizontal="left" vertical="center" indent="2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0" borderId="0" applyBorder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22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31" borderId="0" applyNumberFormat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168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6" fillId="44" borderId="0" applyNumberFormat="0" applyBorder="0" applyAlignment="0" applyProtection="0"/>
    <xf numFmtId="0" fontId="27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0" fillId="0" borderId="0" applyBorder="0"/>
    <xf numFmtId="0" fontId="18" fillId="0" borderId="0"/>
    <xf numFmtId="43" fontId="20" fillId="0" borderId="0" applyFont="0" applyFill="0" applyBorder="0" applyAlignment="0" applyProtection="0"/>
    <xf numFmtId="0" fontId="5" fillId="0" borderId="0"/>
    <xf numFmtId="0" fontId="20" fillId="0" borderId="0" applyBorder="0"/>
    <xf numFmtId="43" fontId="20" fillId="0" borderId="0" applyFont="0" applyFill="0" applyBorder="0" applyAlignment="0" applyProtection="0"/>
    <xf numFmtId="0" fontId="20" fillId="0" borderId="0" applyBorder="0"/>
    <xf numFmtId="0" fontId="2" fillId="0" borderId="0"/>
    <xf numFmtId="0" fontId="20" fillId="0" borderId="0" applyBorder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 applyBorder="0"/>
    <xf numFmtId="43" fontId="20" fillId="0" borderId="0" applyFont="0" applyFill="0" applyBorder="0" applyAlignment="0" applyProtection="0"/>
    <xf numFmtId="0" fontId="20" fillId="0" borderId="0" applyBorder="0"/>
    <xf numFmtId="43" fontId="20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31" borderId="0" applyNumberFormat="0" applyBorder="0" applyAlignment="0" applyProtection="0"/>
    <xf numFmtId="43" fontId="5" fillId="0" borderId="0" applyFont="0" applyFill="0" applyBorder="0" applyAlignment="0" applyProtection="0"/>
    <xf numFmtId="0" fontId="18" fillId="0" borderId="0"/>
    <xf numFmtId="43" fontId="2" fillId="0" borderId="0" applyFont="0" applyFill="0" applyBorder="0" applyAlignment="0" applyProtection="0"/>
    <xf numFmtId="168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5" fillId="0" borderId="0"/>
    <xf numFmtId="0" fontId="5" fillId="31" borderId="0" applyNumberFormat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3" fillId="37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14" borderId="12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7" fillId="13" borderId="9" applyNumberFormat="0" applyAlignment="0" applyProtection="0">
      <alignment vertical="center"/>
    </xf>
    <xf numFmtId="0" fontId="36" fillId="13" borderId="10" applyNumberFormat="0" applyAlignment="0" applyProtection="0">
      <alignment vertical="center"/>
    </xf>
    <xf numFmtId="0" fontId="35" fillId="12" borderId="9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43" fontId="18" fillId="0" borderId="0" applyFont="0" applyFill="0" applyBorder="0" applyAlignment="0" applyProtection="0"/>
    <xf numFmtId="0" fontId="18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43" fontId="20" fillId="0" borderId="0" applyFont="0" applyFill="0" applyBorder="0" applyAlignment="0" applyProtection="0"/>
    <xf numFmtId="0" fontId="2" fillId="0" borderId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0" fontId="28" fillId="0" borderId="0" applyNumberFormat="0" applyFill="0" applyBorder="0" applyAlignment="0" applyProtection="0">
      <alignment vertical="center"/>
    </xf>
    <xf numFmtId="0" fontId="18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7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8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7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7" borderId="0" xfId="2" applyFont="1" applyFill="1" applyAlignment="1">
      <alignment vertical="center"/>
    </xf>
    <xf numFmtId="164" fontId="11" fillId="7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7" borderId="0" xfId="2" applyFont="1" applyFill="1" applyAlignment="1">
      <alignment vertical="center"/>
    </xf>
    <xf numFmtId="0" fontId="6" fillId="7" borderId="0" xfId="1" applyFill="1" applyAlignment="1">
      <alignment vertical="center"/>
    </xf>
    <xf numFmtId="165" fontId="0" fillId="0" borderId="0" xfId="3" applyNumberFormat="1" applyFont="1"/>
    <xf numFmtId="0" fontId="0" fillId="4" borderId="2" xfId="0" applyFill="1" applyBorder="1"/>
    <xf numFmtId="2" fontId="0" fillId="0" borderId="2" xfId="3" applyNumberFormat="1" applyFont="1" applyBorder="1"/>
    <xf numFmtId="2" fontId="0" fillId="0" borderId="0" xfId="3" applyNumberFormat="1" applyFont="1"/>
    <xf numFmtId="0" fontId="4" fillId="0" borderId="0" xfId="0" applyFont="1"/>
    <xf numFmtId="0" fontId="1" fillId="5" borderId="1" xfId="0" applyFont="1" applyFill="1" applyBorder="1"/>
    <xf numFmtId="0" fontId="1" fillId="6" borderId="1" xfId="0" applyFont="1" applyFill="1" applyBorder="1"/>
    <xf numFmtId="0" fontId="2" fillId="5" borderId="1" xfId="0" applyFont="1" applyFill="1" applyBorder="1"/>
    <xf numFmtId="166" fontId="14" fillId="0" borderId="0" xfId="0" applyNumberFormat="1" applyFont="1" applyAlignment="1">
      <alignment vertical="center"/>
    </xf>
    <xf numFmtId="2" fontId="0" fillId="0" borderId="0" xfId="0" applyNumberFormat="1"/>
    <xf numFmtId="0" fontId="0" fillId="0" borderId="2" xfId="0" applyBorder="1" applyAlignment="1">
      <alignment vertical="center"/>
    </xf>
    <xf numFmtId="164" fontId="0" fillId="0" borderId="0" xfId="0" applyNumberFormat="1"/>
    <xf numFmtId="0" fontId="11" fillId="0" borderId="0" xfId="0" applyFont="1" applyAlignment="1">
      <alignment vertical="center"/>
    </xf>
    <xf numFmtId="38" fontId="16" fillId="0" borderId="0" xfId="6" applyNumberFormat="1" applyFont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8" fillId="0" borderId="0" xfId="0" applyFont="1" applyAlignment="1">
      <alignment vertical="center"/>
    </xf>
    <xf numFmtId="38" fontId="16" fillId="0" borderId="0" xfId="2" applyNumberFormat="1" applyFont="1"/>
    <xf numFmtId="0" fontId="2" fillId="0" borderId="2" xfId="7" applyFont="1" applyBorder="1"/>
    <xf numFmtId="1" fontId="16" fillId="0" borderId="2" xfId="6" applyNumberFormat="1" applyFont="1" applyBorder="1" applyAlignment="1">
      <alignment horizontal="center"/>
    </xf>
    <xf numFmtId="0" fontId="0" fillId="0" borderId="2" xfId="0" applyBorder="1"/>
    <xf numFmtId="2" fontId="0" fillId="0" borderId="0" xfId="3" applyNumberFormat="1" applyFont="1" applyBorder="1"/>
    <xf numFmtId="0" fontId="20" fillId="0" borderId="0" xfId="20"/>
    <xf numFmtId="0" fontId="21" fillId="0" borderId="0" xfId="20" applyFont="1"/>
    <xf numFmtId="9" fontId="20" fillId="0" borderId="0" xfId="21" applyFont="1"/>
    <xf numFmtId="9" fontId="20" fillId="0" borderId="2" xfId="21" applyFont="1" applyBorder="1"/>
    <xf numFmtId="0" fontId="21" fillId="0" borderId="2" xfId="20" applyFont="1" applyBorder="1"/>
    <xf numFmtId="165" fontId="20" fillId="0" borderId="0" xfId="21" applyNumberFormat="1" applyFont="1"/>
    <xf numFmtId="9" fontId="21" fillId="0" borderId="0" xfId="21" applyFont="1"/>
    <xf numFmtId="9" fontId="21" fillId="0" borderId="2" xfId="21" applyFont="1" applyBorder="1"/>
    <xf numFmtId="2" fontId="20" fillId="0" borderId="0" xfId="21" applyNumberFormat="1" applyFont="1"/>
    <xf numFmtId="2" fontId="20" fillId="0" borderId="2" xfId="21" applyNumberFormat="1" applyFont="1" applyBorder="1"/>
    <xf numFmtId="9" fontId="21" fillId="0" borderId="0" xfId="21" applyFont="1" applyFill="1" applyBorder="1"/>
    <xf numFmtId="2" fontId="20" fillId="0" borderId="0" xfId="21" applyNumberFormat="1" applyFont="1" applyFill="1" applyBorder="1"/>
    <xf numFmtId="0" fontId="18" fillId="0" borderId="0" xfId="436"/>
    <xf numFmtId="0" fontId="20" fillId="0" borderId="0" xfId="454"/>
    <xf numFmtId="0" fontId="21" fillId="0" borderId="0" xfId="454" applyFont="1"/>
    <xf numFmtId="0" fontId="21" fillId="0" borderId="2" xfId="454" applyFont="1" applyBorder="1"/>
    <xf numFmtId="165" fontId="20" fillId="0" borderId="2" xfId="21" applyNumberFormat="1" applyFont="1" applyBorder="1"/>
    <xf numFmtId="0" fontId="11" fillId="7" borderId="0" xfId="2" applyFont="1" applyFill="1" applyAlignment="1">
      <alignment vertical="center"/>
    </xf>
    <xf numFmtId="0" fontId="7" fillId="7" borderId="0" xfId="2" applyFont="1" applyFill="1" applyAlignment="1">
      <alignment horizontal="center" vertical="center"/>
    </xf>
    <xf numFmtId="0" fontId="6" fillId="7" borderId="0" xfId="1" applyFill="1" applyAlignment="1">
      <alignment vertical="center"/>
    </xf>
  </cellXfs>
  <cellStyles count="632">
    <cellStyle name="20% - Accent1 2" xfId="503" xr:uid="{3DFE0A44-E952-4001-BDCA-7060D2FE534E}"/>
    <cellStyle name="20% - Accent2 2" xfId="499" xr:uid="{CA3AC591-B2DD-42CA-B4D4-4AB63841C660}"/>
    <cellStyle name="20% - Accent3 2" xfId="495" xr:uid="{FCED3253-F888-40F0-8B40-627379747249}"/>
    <cellStyle name="20% - Accent4 2" xfId="491" xr:uid="{E729AF8A-D964-44C2-AD50-69375B674841}"/>
    <cellStyle name="20% - Accent5 2" xfId="84" xr:uid="{E6D96FCF-600B-4AB0-9430-CAE7FCC13D6A}"/>
    <cellStyle name="20% - Accent5 2 2" xfId="473" xr:uid="{8F74FF95-2CF5-4629-BBA0-B372244557EC}"/>
    <cellStyle name="20% - Accent5 3" xfId="487" xr:uid="{7BD88933-EB8A-4559-8E85-71E4834764A6}"/>
    <cellStyle name="20% - Accent5 4" xfId="460" xr:uid="{DC7F3608-41BF-488B-8A77-9D310CC665F5}"/>
    <cellStyle name="20% - Accent6 2" xfId="483" xr:uid="{B4B0D986-92CC-4A17-A9EC-69AEB20606F1}"/>
    <cellStyle name="2x indented GHG Textfiels" xfId="17" xr:uid="{0329F919-1088-46C7-8A27-D47313487911}"/>
    <cellStyle name="40% - Accent1 2" xfId="502" xr:uid="{74297BF6-FCED-43E4-85A4-BB84E09B4A88}"/>
    <cellStyle name="40% - Accent2 2" xfId="498" xr:uid="{154FD4C9-5184-425B-A82E-ACCDC2EE1705}"/>
    <cellStyle name="40% - Accent3 2" xfId="494" xr:uid="{8C6E83AD-A055-4E55-852A-AE2753B5096B}"/>
    <cellStyle name="40% - Accent4 2" xfId="490" xr:uid="{E178625F-4CA5-4A34-AB6E-A743E1DF348B}"/>
    <cellStyle name="40% - Accent5 2" xfId="486" xr:uid="{67AF8C0B-DAB7-4C47-8C22-33E514A0794F}"/>
    <cellStyle name="40% - Accent6 2" xfId="482" xr:uid="{9E850498-7DCB-488F-BB53-0D7BF9A11407}"/>
    <cellStyle name="60% - Accent1 2" xfId="426" xr:uid="{D545C3A8-519F-4E71-B28C-E6FDB66DA5BE}"/>
    <cellStyle name="60% - Accent1 3" xfId="501" xr:uid="{81030A7B-ACF8-4675-81FC-73C331278E13}"/>
    <cellStyle name="60% - Accent2 2" xfId="425" xr:uid="{F4EFAF12-F999-4841-AFD2-6F815386AF9C}"/>
    <cellStyle name="60% - Accent2 3" xfId="497" xr:uid="{C52808E6-0B98-4B02-8389-ED2EB48BA0B6}"/>
    <cellStyle name="60% - Accent3 2" xfId="424" xr:uid="{BCB2F3A6-B3CB-406C-8993-C1EE66838710}"/>
    <cellStyle name="60% - Accent3 3" xfId="493" xr:uid="{B425096F-8B05-4C0B-A9B2-2B76287904F2}"/>
    <cellStyle name="60% - Accent4 2" xfId="423" xr:uid="{CA1988C8-F7AA-4E3F-B2B5-98E8CBEE90C7}"/>
    <cellStyle name="60% - Accent4 3" xfId="489" xr:uid="{97C9524E-CBA5-4237-8AF0-3DB2C65D371F}"/>
    <cellStyle name="60% - Accent5 2" xfId="422" xr:uid="{A86AD13F-0104-4AB1-8890-2359138660C3}"/>
    <cellStyle name="60% - Accent5 3" xfId="485" xr:uid="{93B9080E-C13D-4A19-A747-0EFEFA855B79}"/>
    <cellStyle name="60% - Accent6 2" xfId="421" xr:uid="{1CFC9D2A-003B-4354-9FAD-B1B41C74983F}"/>
    <cellStyle name="60% - Accent6 3" xfId="481" xr:uid="{5761A734-0584-4184-9B58-3FA506DF0A51}"/>
    <cellStyle name="Accent2 2" xfId="500" xr:uid="{DAE49582-E383-4F09-8A26-70178F5E6946}"/>
    <cellStyle name="Accent3 2" xfId="496" xr:uid="{0B7D4FDA-A82F-4ACC-8F1D-3EA9DD1285D7}"/>
    <cellStyle name="Accent4 2" xfId="492" xr:uid="{11ED11F3-87C9-4187-AEE7-4FCAF936C0F1}"/>
    <cellStyle name="Accent5 2" xfId="488" xr:uid="{D7B5A48D-6623-48D2-8EFE-8ECBFF0C045E}"/>
    <cellStyle name="Accent6 2" xfId="484" xr:uid="{96FE1817-2720-4298-864C-CBD5C793B686}"/>
    <cellStyle name="Bad 2" xfId="513" xr:uid="{0DC3CFAA-92F8-4D3F-A75F-57640F7B01D8}"/>
    <cellStyle name="Calculation 2" xfId="509" xr:uid="{97441CB2-5CB5-4C11-A62B-A092DF662816}"/>
    <cellStyle name="Check Cell 2" xfId="507" xr:uid="{C0A9E999-33EA-4E35-AE6E-D827AEE2C9D6}"/>
    <cellStyle name="Comma [0] 2" xfId="32" xr:uid="{DCA12B2A-9FB6-4CE6-A9E3-28C41609F3A1}"/>
    <cellStyle name="Comma [0] 2 2" xfId="48" xr:uid="{A72A3BB9-9C24-49EC-B1A0-2414B32FB92E}"/>
    <cellStyle name="Comma [0] 2 2 2" xfId="535" xr:uid="{895B6F41-E2C8-45B4-8B05-75A19D07FD39}"/>
    <cellStyle name="Comma [0] 2 2 2 2" xfId="625" xr:uid="{C2A4EDE7-3B07-494A-9926-35C9D2E547C3}"/>
    <cellStyle name="Comma [0] 2 2 3" xfId="80" xr:uid="{D85DCA94-3166-4722-9CAB-13D49965D385}"/>
    <cellStyle name="Comma [0] 2 2 4" xfId="574" xr:uid="{972BCAC8-6C27-44C3-88D1-9B78B699296B}"/>
    <cellStyle name="Comma [0] 2 3" xfId="448" xr:uid="{480E01E9-C24F-4012-A61C-437E30DACA92}"/>
    <cellStyle name="Comma [0] 2 3 2" xfId="593" xr:uid="{FCF21DC3-2D4F-48AD-B526-DD14900AD372}"/>
    <cellStyle name="Comma [0] 2 4" xfId="64" xr:uid="{46949A71-EB8E-49B8-8D83-C6D2852D817A}"/>
    <cellStyle name="Comma [0] 2 5" xfId="558" xr:uid="{851D9091-642B-4086-AE51-815032F70223}"/>
    <cellStyle name="Comma 10" xfId="453" xr:uid="{6AFCDC98-960F-407F-98CD-7BE142CE5CFA}"/>
    <cellStyle name="Comma 10 2" xfId="539" xr:uid="{71D078F9-213F-4C8F-8255-C530080D2606}"/>
    <cellStyle name="Comma 10 2 2" xfId="629" xr:uid="{8F8F4DF9-B15D-41A5-9567-2C0DF13D410E}"/>
    <cellStyle name="Comma 10 3" xfId="597" xr:uid="{A832C2F1-D4D6-4DC8-8474-CAF9304EFB78}"/>
    <cellStyle name="Comma 11" xfId="451" xr:uid="{746809CD-97B7-4C4C-98F6-4D00DF141870}"/>
    <cellStyle name="Comma 11 2" xfId="538" xr:uid="{CA4FCA9C-6071-4F14-B91D-50C746E39046}"/>
    <cellStyle name="Comma 11 2 2" xfId="628" xr:uid="{98D555AE-38B3-4450-8B1F-7C5B708A9408}"/>
    <cellStyle name="Comma 11 3" xfId="596" xr:uid="{69D68D86-2F6B-4128-B2D9-41D3D88E04B7}"/>
    <cellStyle name="Comma 12" xfId="455" xr:uid="{D051774F-9ED2-4A80-A8D8-FFE290C70181}"/>
    <cellStyle name="Comma 12 2" xfId="540" xr:uid="{58D0B305-3606-49A8-9A05-E95A00009E94}"/>
    <cellStyle name="Comma 12 2 2" xfId="630" xr:uid="{21E31ED9-E0C5-4312-8BAA-E238A729AEE5}"/>
    <cellStyle name="Comma 12 3" xfId="598" xr:uid="{AD09F69B-D63B-4D92-8824-4A41BF82DE42}"/>
    <cellStyle name="Comma 13" xfId="475" xr:uid="{D955C7EE-A884-431E-BC89-B43561E581C6}"/>
    <cellStyle name="Comma 13 2" xfId="608" xr:uid="{1A49AA8B-51FE-4BE4-ABA0-DE563B440CC7}"/>
    <cellStyle name="Comma 14" xfId="519" xr:uid="{E30CE8EF-6BF6-47DF-A4FA-32669ECEF258}"/>
    <cellStyle name="Comma 14 2" xfId="612" xr:uid="{187C965F-6D41-4E28-B0A5-F3EB01A4B757}"/>
    <cellStyle name="Comma 15" xfId="471" xr:uid="{E6D0CDB2-FCC3-4FAC-A788-75FB1C8745F6}"/>
    <cellStyle name="Comma 15 2" xfId="607" xr:uid="{0554E8BA-81C3-4691-ACC3-D906F37C078C}"/>
    <cellStyle name="Comma 16" xfId="480" xr:uid="{8C1FD011-A825-4FEC-A36D-AF7586E60215}"/>
    <cellStyle name="Comma 16 2" xfId="611" xr:uid="{CE256A76-39A9-4D8C-8111-4FDC966F1F77}"/>
    <cellStyle name="Comma 17" xfId="544" xr:uid="{04DBA7DC-3A4F-443A-B3F4-8DB83447B0B5}"/>
    <cellStyle name="Comma 17 2" xfId="631" xr:uid="{D802041C-F862-41A4-8747-64E5D06D37F4}"/>
    <cellStyle name="Comma 18" xfId="458" xr:uid="{8043158C-0180-4E6A-898A-98E190592C88}"/>
    <cellStyle name="Comma 18 2" xfId="599" xr:uid="{F144AA00-17F4-442E-ABBD-B9C8C9984DF6}"/>
    <cellStyle name="Comma 19" xfId="85" xr:uid="{99CF302F-863B-4D70-9A32-6AFF7BB1AB48}"/>
    <cellStyle name="Comma 19 2" xfId="578" xr:uid="{E5F0A704-1D6F-4FF7-AEA1-E70DCD1BF664}"/>
    <cellStyle name="Comma 2" xfId="12" xr:uid="{4304B038-176E-4D8F-85A2-2988D1ED72BC}"/>
    <cellStyle name="Comma 2 2" xfId="13" xr:uid="{4F65B0DF-EF10-46E5-8B8E-F4897825F4D4}"/>
    <cellStyle name="Comma 2 2 2" xfId="16" xr:uid="{F933C350-796E-43F4-ADF1-66963C3A7753}"/>
    <cellStyle name="Comma 2 2 2 2" xfId="39" xr:uid="{8BE944BB-4E61-4A2F-B5A1-DC3B0A58628D}"/>
    <cellStyle name="Comma 2 2 2 2 2" xfId="71" xr:uid="{4BAB4967-79C9-4B68-8B09-92487BC2C4D0}"/>
    <cellStyle name="Comma 2 2 2 2 3" xfId="565" xr:uid="{920CD079-B69D-4209-9F84-936242EE7C63}"/>
    <cellStyle name="Comma 2 2 2 3" xfId="524" xr:uid="{AB963EE2-19D8-43EB-AD35-E6846FFE77D9}"/>
    <cellStyle name="Comma 2 2 2 3 2" xfId="616" xr:uid="{81B27056-EF2A-4C74-A262-2BBF7654FB99}"/>
    <cellStyle name="Comma 2 2 2 4" xfId="55" xr:uid="{DE4CA6B0-0E0A-47F3-806A-1E5299F79F85}"/>
    <cellStyle name="Comma 2 2 2 5" xfId="549" xr:uid="{14A1274D-DC56-4FD5-A5E2-88DF1A56781C}"/>
    <cellStyle name="Comma 2 2 3" xfId="36" xr:uid="{1D748E6F-C4B7-40CD-9BF5-88D1F70ACCEA}"/>
    <cellStyle name="Comma 2 2 3 2" xfId="467" xr:uid="{DCF607EB-9640-477D-9B8F-3D38DC408B9B}"/>
    <cellStyle name="Comma 2 2 3 2 2" xfId="604" xr:uid="{AE82A9F2-DA96-4C15-B3C8-E0B2FEB2895B}"/>
    <cellStyle name="Comma 2 2 3 3" xfId="68" xr:uid="{ABE2017F-E9BF-4F4E-84B5-BEAADB1AED6F}"/>
    <cellStyle name="Comma 2 2 3 4" xfId="562" xr:uid="{FA6F5338-0220-40F7-B220-E5BE359E47E9}"/>
    <cellStyle name="Comma 2 2 4" xfId="432" xr:uid="{D6F85096-9523-4F32-8A08-030C9E6F820A}"/>
    <cellStyle name="Comma 2 2 4 2" xfId="584" xr:uid="{8E1865A1-7977-43CE-92C4-E538DB84A674}"/>
    <cellStyle name="Comma 2 2 5" xfId="52" xr:uid="{980D39DD-2392-4156-9F8D-2D972372882B}"/>
    <cellStyle name="Comma 2 2 6" xfId="546" xr:uid="{F11433DF-3A35-4A3A-B3C0-DD86F0E4D99C}"/>
    <cellStyle name="Comma 2 3" xfId="15" xr:uid="{5A578EA3-4712-4B2C-8EFC-9C213C4DA63B}"/>
    <cellStyle name="Comma 2 3 2" xfId="38" xr:uid="{0B0AD1BC-F1C3-485B-AE3F-95B90A020089}"/>
    <cellStyle name="Comma 2 3 2 2" xfId="70" xr:uid="{BA66DD68-8F63-4CA8-9DB3-61F82F4B7E0F}"/>
    <cellStyle name="Comma 2 3 2 3" xfId="564" xr:uid="{3443ABE1-93D2-4FFF-B768-06F970ACC42E}"/>
    <cellStyle name="Comma 2 3 3" xfId="479" xr:uid="{EA464310-1AC9-4EEF-97C0-3715BB5870CA}"/>
    <cellStyle name="Comma 2 3 3 2" xfId="610" xr:uid="{2F732DA3-3A27-4392-8C50-34173C948D79}"/>
    <cellStyle name="Comma 2 3 4" xfId="54" xr:uid="{541828B4-9787-411D-9DE8-9851715CA999}"/>
    <cellStyle name="Comma 2 3 5" xfId="548" xr:uid="{23A68CA6-3CFF-47ED-BBD1-BED285207B6E}"/>
    <cellStyle name="Comma 2 4" xfId="19" xr:uid="{35AC15A9-EE79-48DA-8063-B22CB3563452}"/>
    <cellStyle name="Comma 2 4 2" xfId="41" xr:uid="{A57AE2F9-4B80-420E-911B-E43F9D56379C}"/>
    <cellStyle name="Comma 2 4 2 2" xfId="73" xr:uid="{588D770D-E489-4F11-91CD-D71806CED11E}"/>
    <cellStyle name="Comma 2 4 2 3" xfId="567" xr:uid="{0BB42FFC-2605-498A-A49A-60EAE24D964D}"/>
    <cellStyle name="Comma 2 4 3" xfId="463" xr:uid="{9336F939-4536-487D-BAB4-16B69B20A9F5}"/>
    <cellStyle name="Comma 2 4 3 2" xfId="601" xr:uid="{04F1EEED-B61E-40AA-8553-6988EA67AE16}"/>
    <cellStyle name="Comma 2 4 4" xfId="57" xr:uid="{54C8EA99-C294-4310-87BF-50B358AD33DA}"/>
    <cellStyle name="Comma 2 4 5" xfId="551" xr:uid="{E46334C9-697B-4900-A477-267F6A837478}"/>
    <cellStyle name="Comma 2 5" xfId="35" xr:uid="{4EF5058A-0390-4D4B-9A67-DCC8DDAF351C}"/>
    <cellStyle name="Comma 2 5 2" xfId="67" xr:uid="{608B6AF2-02CE-487C-8E00-50F120785896}"/>
    <cellStyle name="Comma 2 5 3" xfId="561" xr:uid="{4ABEDD85-EFC9-4026-A771-F461DA4DF7F5}"/>
    <cellStyle name="Comma 2 6" xfId="88" xr:uid="{9F307930-485E-4F4A-AE73-58D67AEC45AF}"/>
    <cellStyle name="Comma 2 6 2" xfId="580" xr:uid="{5138ECCF-E8C4-472E-82A7-A31C22DCD510}"/>
    <cellStyle name="Comma 2 7" xfId="51" xr:uid="{17989858-D5E6-4B8E-A3D8-257ED5952EDB}"/>
    <cellStyle name="Comma 2 8" xfId="545" xr:uid="{67BF3B84-43E4-48D8-8851-D73ADF3DDC84}"/>
    <cellStyle name="Comma 20" xfId="83" xr:uid="{984A8B77-A307-440C-AC23-18C57D259384}"/>
    <cellStyle name="Comma 20 2" xfId="577" xr:uid="{D6818B5A-7C9A-454B-A239-1969B5A7F9A8}"/>
    <cellStyle name="Comma 3" xfId="14" xr:uid="{C1CDDE4D-E075-481B-A162-4E1811D4EAF1}"/>
    <cellStyle name="Comma 3 2" xfId="26" xr:uid="{C7BB0ED3-533E-4CDC-A6FE-E664DC6D9608}"/>
    <cellStyle name="Comma 3 2 2" xfId="44" xr:uid="{CACE8830-E6A6-4EC1-8B6D-18D276E3B65C}"/>
    <cellStyle name="Comma 3 2 2 2" xfId="525" xr:uid="{319FE1C1-6834-4A61-9C64-9EDCB0B21DD2}"/>
    <cellStyle name="Comma 3 2 2 2 2" xfId="617" xr:uid="{04F776E2-F205-45EE-9941-6D77D9987792}"/>
    <cellStyle name="Comma 3 2 2 3" xfId="76" xr:uid="{6B41EFAE-80FF-41E1-B334-E24E6B2C1D66}"/>
    <cellStyle name="Comma 3 2 2 4" xfId="570" xr:uid="{DB3A589F-3503-4BDC-9E99-2E7C6032CD4F}"/>
    <cellStyle name="Comma 3 2 3" xfId="468" xr:uid="{F47CDE08-9C68-4800-97CB-C14A6303DEED}"/>
    <cellStyle name="Comma 3 2 3 2" xfId="605" xr:uid="{AE988150-8671-48B1-9413-61C92663E5FA}"/>
    <cellStyle name="Comma 3 2 4" xfId="433" xr:uid="{1C0A729F-1D5F-4AAE-82AE-378084890D87}"/>
    <cellStyle name="Comma 3 2 4 2" xfId="585" xr:uid="{CB7CF96C-155B-4DCC-BFEB-FBF18587E53B}"/>
    <cellStyle name="Comma 3 2 5" xfId="60" xr:uid="{E9C85BC3-2261-4CB5-8714-1298DBB093AF}"/>
    <cellStyle name="Comma 3 2 6" xfId="554" xr:uid="{CF250FD0-1092-45B2-9ECD-C87982BC671E}"/>
    <cellStyle name="Comma 3 3" xfId="37" xr:uid="{8D4868FB-119D-44E0-9739-7C3D24A30041}"/>
    <cellStyle name="Comma 3 3 2" xfId="521" xr:uid="{FB68E1A4-9990-4E4D-95CB-A2472C99BEC9}"/>
    <cellStyle name="Comma 3 3 2 2" xfId="613" xr:uid="{D8F00697-9F98-465E-8391-627AE4AA9409}"/>
    <cellStyle name="Comma 3 3 3" xfId="69" xr:uid="{ECADDA48-9549-471E-BE21-966F52D4B761}"/>
    <cellStyle name="Comma 3 3 4" xfId="563" xr:uid="{EFAC0BC7-F4F2-4A2C-A61F-CD5B8CCAB191}"/>
    <cellStyle name="Comma 3 4" xfId="461" xr:uid="{0782BA73-1156-4CCD-BDA5-D4D89EAAE06F}"/>
    <cellStyle name="Comma 3 4 2" xfId="600" xr:uid="{FC486E1E-BCA9-4ADD-8E5A-3AC9C7F53CC5}"/>
    <cellStyle name="Comma 3 5" xfId="429" xr:uid="{8BB07C96-81E6-4233-9755-EBB9FA061D73}"/>
    <cellStyle name="Comma 3 5 2" xfId="581" xr:uid="{0EA2E47B-707B-433C-B92D-9FAB6C861DF9}"/>
    <cellStyle name="Comma 3 6" xfId="53" xr:uid="{EC4D05DF-8A97-4280-B342-9E95BD5E439C}"/>
    <cellStyle name="Comma 3 7" xfId="547" xr:uid="{4B989FD8-F0E5-49D5-929B-89D0CA2591D3}"/>
    <cellStyle name="Comma 4" xfId="18" xr:uid="{9D51845C-14ED-432B-B51D-37F0EA62B5DF}"/>
    <cellStyle name="Comma 4 2" xfId="24" xr:uid="{CD8EAA92-EB26-4FA0-A666-98C9B8463AFD}"/>
    <cellStyle name="Comma 4 2 2" xfId="43" xr:uid="{09616E8D-65A9-4575-A27B-D7FEE15C4820}"/>
    <cellStyle name="Comma 4 2 2 2" xfId="526" xr:uid="{60318D24-681E-452F-8A85-2C29778357F2}"/>
    <cellStyle name="Comma 4 2 2 2 2" xfId="618" xr:uid="{A731919C-4E53-4B03-AE77-81CE51A0827A}"/>
    <cellStyle name="Comma 4 2 2 3" xfId="75" xr:uid="{0E77D4FA-1651-455F-8FC2-59EA1DA13475}"/>
    <cellStyle name="Comma 4 2 2 4" xfId="569" xr:uid="{37815A85-9DE3-48E6-842B-FD62289DE966}"/>
    <cellStyle name="Comma 4 2 3" xfId="469" xr:uid="{5AB83362-8ABA-4B47-8EE4-9E9C4BEB2EF2}"/>
    <cellStyle name="Comma 4 2 3 2" xfId="606" xr:uid="{94F7CCE0-66EE-4CDA-B1E2-8E606FB1CEBA}"/>
    <cellStyle name="Comma 4 2 4" xfId="434" xr:uid="{96E3DA34-ECEA-4802-B5BA-22FBFEA7AAFD}"/>
    <cellStyle name="Comma 4 2 4 2" xfId="586" xr:uid="{AF2FB5A2-1B58-40D6-93F1-176C654B7C5D}"/>
    <cellStyle name="Comma 4 2 5" xfId="59" xr:uid="{D682A43A-C192-4024-B402-7CB057B74255}"/>
    <cellStyle name="Comma 4 2 6" xfId="553" xr:uid="{1C595376-F51B-445D-BA0E-45A67A0FEEE2}"/>
    <cellStyle name="Comma 4 3" xfId="40" xr:uid="{04BEA65C-FDA8-4797-B7E1-5BE3BC2DF29F}"/>
    <cellStyle name="Comma 4 3 2" xfId="522" xr:uid="{45884C5C-C031-41AE-A6CC-E1D026A5DD16}"/>
    <cellStyle name="Comma 4 3 2 2" xfId="614" xr:uid="{20881929-6D87-4050-8237-3361AD8561F7}"/>
    <cellStyle name="Comma 4 3 3" xfId="72" xr:uid="{125567E3-A9B3-4613-8066-85827191F38C}"/>
    <cellStyle name="Comma 4 3 4" xfId="566" xr:uid="{D7E18A67-1BDD-40FA-9C73-F138FB8F0E75}"/>
    <cellStyle name="Comma 4 4" xfId="465" xr:uid="{0829C820-5952-4714-BE72-4908483A125D}"/>
    <cellStyle name="Comma 4 4 2" xfId="602" xr:uid="{583FE3EC-E472-46AD-B92F-A08646DC709F}"/>
    <cellStyle name="Comma 4 5" xfId="430" xr:uid="{44EE83C1-FC20-4025-A47A-8B072F8176F5}"/>
    <cellStyle name="Comma 4 5 2" xfId="582" xr:uid="{04207F19-859D-46E4-AF43-C8C407A4795E}"/>
    <cellStyle name="Comma 4 6" xfId="56" xr:uid="{B06069DD-4C1F-4A74-89F1-DC1F86513AF3}"/>
    <cellStyle name="Comma 4 7" xfId="550" xr:uid="{6259448D-3EEF-4BE5-BBB6-8DE2FD8DC71F}"/>
    <cellStyle name="Comma 5" xfId="31" xr:uid="{CC557472-2C58-4F40-B133-C1A92EA5DF03}"/>
    <cellStyle name="Comma 5 2" xfId="47" xr:uid="{78B5AB84-1A1A-4AB9-8EE1-024765C46D89}"/>
    <cellStyle name="Comma 5 2 2" xfId="534" xr:uid="{6BED5EA5-47A7-4BEF-94CF-5FA03670A8F5}"/>
    <cellStyle name="Comma 5 2 2 2" xfId="624" xr:uid="{08AF28BD-6A47-4706-B95A-BC281D72763B}"/>
    <cellStyle name="Comma 5 2 3" xfId="447" xr:uid="{4A7A8668-8C6E-46AB-8527-43B17FA49E8F}"/>
    <cellStyle name="Comma 5 2 3 2" xfId="592" xr:uid="{CD6FA665-11F2-4445-BCF7-1C4F8C881C18}"/>
    <cellStyle name="Comma 5 2 4" xfId="79" xr:uid="{57E8CC44-BC47-4BB4-8E49-6E2A82D960C6}"/>
    <cellStyle name="Comma 5 2 5" xfId="573" xr:uid="{BC735D5A-FCA2-4910-9333-882C672EE0E8}"/>
    <cellStyle name="Comma 5 3" xfId="523" xr:uid="{65F3DD63-4F64-4D4B-AB18-852DEAE4698C}"/>
    <cellStyle name="Comma 5 3 2" xfId="615" xr:uid="{1A1CDF49-3212-4153-8BBF-E001657DA703}"/>
    <cellStyle name="Comma 5 4" xfId="466" xr:uid="{C0C310A5-83D2-4B4B-A68F-B0857F422AD0}"/>
    <cellStyle name="Comma 5 4 2" xfId="603" xr:uid="{4E8B4DFA-9F87-47D9-AFEC-C4F7A3F89CCA}"/>
    <cellStyle name="Comma 5 5" xfId="431" xr:uid="{BC0E4114-6B69-4AA6-991C-C7CA21302904}"/>
    <cellStyle name="Comma 5 5 2" xfId="583" xr:uid="{BAF21939-FE20-4252-A585-A66E3B2B86EB}"/>
    <cellStyle name="Comma 5 6" xfId="63" xr:uid="{16A31956-3E93-4377-A52C-493E697B6269}"/>
    <cellStyle name="Comma 5 7" xfId="557" xr:uid="{093AC82F-06CC-4DBF-BA83-41B8BAA8FE6F}"/>
    <cellStyle name="Comma 6" xfId="34" xr:uid="{2BEEE712-B179-4FEC-A38D-551DD5A973AD}"/>
    <cellStyle name="Comma 6 2" xfId="50" xr:uid="{199C0584-D3DC-4CEF-9B17-0695C511A8CD}"/>
    <cellStyle name="Comma 6 2 2" xfId="537" xr:uid="{70296422-B5F5-494B-9907-9E9664101CB6}"/>
    <cellStyle name="Comma 6 2 2 2" xfId="627" xr:uid="{DAB52C4C-8128-4DF7-A504-D2811094C94C}"/>
    <cellStyle name="Comma 6 2 3" xfId="450" xr:uid="{8EFCF10C-66D7-47CE-87A0-3DC195046F7A}"/>
    <cellStyle name="Comma 6 2 3 2" xfId="595" xr:uid="{BA93CF79-92B6-4BA5-B81A-BE811FD0ADAB}"/>
    <cellStyle name="Comma 6 2 4" xfId="82" xr:uid="{88FA5945-7A9C-41BB-9857-62E9BC790D98}"/>
    <cellStyle name="Comma 6 2 5" xfId="576" xr:uid="{A83DBE4C-7B0F-464F-940D-478B997D8DDF}"/>
    <cellStyle name="Comma 6 3" xfId="478" xr:uid="{93AEEDB7-381A-4854-B9AE-C9F2DB66318E}"/>
    <cellStyle name="Comma 6 3 2" xfId="609" xr:uid="{6F39D2B8-C001-4090-9491-5FD65BCAF1BE}"/>
    <cellStyle name="Comma 6 4" xfId="87" xr:uid="{87F40EA0-C4C4-4C81-9873-10517893478A}"/>
    <cellStyle name="Comma 6 4 2" xfId="579" xr:uid="{811A0152-E113-45F6-95C0-3069DEC76C83}"/>
    <cellStyle name="Comma 6 5" xfId="66" xr:uid="{F46B8BE2-7656-4F7B-82FB-60687C948479}"/>
    <cellStyle name="Comma 6 6" xfId="560" xr:uid="{7C4177EC-BC6B-408E-A0A6-3A2D368B85C2}"/>
    <cellStyle name="Comma 7" xfId="22" xr:uid="{3EE16592-79E3-4C5B-BD29-7C5E518E1BF5}"/>
    <cellStyle name="Comma 7 2" xfId="42" xr:uid="{62A18668-1783-4602-BCC0-A91A66C4C55F}"/>
    <cellStyle name="Comma 7 2 2" xfId="527" xr:uid="{E9F0E50E-31E5-4A41-B0A0-6F7D55DC3F8A}"/>
    <cellStyle name="Comma 7 2 2 2" xfId="619" xr:uid="{151B92B9-1E8E-467F-921E-934ECEDFF0A7}"/>
    <cellStyle name="Comma 7 2 3" xfId="74" xr:uid="{FFD24736-49A5-48B2-A60C-2E454D23D60F}"/>
    <cellStyle name="Comma 7 2 4" xfId="568" xr:uid="{F1AD9C23-C98D-4FB2-B56B-FF5B9DA6A737}"/>
    <cellStyle name="Comma 7 3" xfId="437" xr:uid="{62991F0E-FA17-4B17-86D8-3C422AEDBAEC}"/>
    <cellStyle name="Comma 7 3 2" xfId="587" xr:uid="{8753E212-39B0-4710-9007-F3CE00CF21E5}"/>
    <cellStyle name="Comma 7 4" xfId="58" xr:uid="{3DD6479D-5803-44CF-BDC8-8D156244F48F}"/>
    <cellStyle name="Comma 7 5" xfId="552" xr:uid="{8B1F780D-E153-4D7E-817A-E8DB33496DD8}"/>
    <cellStyle name="Comma 8" xfId="440" xr:uid="{B53811F5-4F88-4D8C-8391-6F3D113ABE17}"/>
    <cellStyle name="Comma 8 2" xfId="529" xr:uid="{43FF57F7-57FE-46ED-937D-0F3854A23E6A}"/>
    <cellStyle name="Comma 8 2 2" xfId="620" xr:uid="{032B48B3-20A2-486D-A40B-5EFEF7462196}"/>
    <cellStyle name="Comma 8 3" xfId="588" xr:uid="{C6FB9C3D-D656-4F2C-8EF2-C0BFA4427F00}"/>
    <cellStyle name="Comma 9" xfId="444" xr:uid="{2FCB1A74-08DE-4F59-8473-20D05842CC13}"/>
    <cellStyle name="Comma 9 2" xfId="531" xr:uid="{49A8EF43-FF6D-4F60-89DD-95A1958196B0}"/>
    <cellStyle name="Comma 9 2 2" xfId="621" xr:uid="{36F4F606-7A70-42AB-A703-F52723D6DB45}"/>
    <cellStyle name="Comma 9 3" xfId="589" xr:uid="{E474DCF1-590E-4119-B4FA-9E3182D7D235}"/>
    <cellStyle name="Currency [0] 2" xfId="30" xr:uid="{1882C072-3287-4209-8CA9-AD783DA3ECC7}"/>
    <cellStyle name="Currency [0] 2 2" xfId="46" xr:uid="{3A3F68B1-C68A-4438-8413-34E5DDD1531B}"/>
    <cellStyle name="Currency [0] 2 2 2" xfId="533" xr:uid="{E8E4B716-97A5-492A-B79E-C43E91907A84}"/>
    <cellStyle name="Currency [0] 2 2 2 2" xfId="623" xr:uid="{CE8EE3BB-B650-4FF8-ACDF-0EB457AF1D9F}"/>
    <cellStyle name="Currency [0] 2 2 3" xfId="78" xr:uid="{D020FAF2-9715-426B-A628-9CC97E6B6A87}"/>
    <cellStyle name="Currency [0] 2 2 4" xfId="572" xr:uid="{24C2021D-141D-471C-86D4-A4ACCC6C0444}"/>
    <cellStyle name="Currency [0] 2 3" xfId="446" xr:uid="{6B464E20-9462-4075-A017-82E51DC32799}"/>
    <cellStyle name="Currency [0] 2 3 2" xfId="591" xr:uid="{7264133B-9722-4150-9677-9781AEC9C6D6}"/>
    <cellStyle name="Currency [0] 2 4" xfId="62" xr:uid="{623E4AEB-E77F-44D7-9FC1-7B3D9AF33368}"/>
    <cellStyle name="Currency [0] 2 5" xfId="556" xr:uid="{1168A0E4-89A1-4F52-971E-33DE8E4EDFE2}"/>
    <cellStyle name="Currency 2" xfId="29" xr:uid="{5EFA7253-AD95-4E8F-9EBC-CACF58332A94}"/>
    <cellStyle name="Currency 2 2" xfId="45" xr:uid="{1D94755F-7C74-4BEA-8827-28A3093935E3}"/>
    <cellStyle name="Currency 2 2 2" xfId="90" xr:uid="{E746FD01-D67B-45CF-A1C8-00D68A50A717}"/>
    <cellStyle name="Currency 2 2 3" xfId="77" xr:uid="{AE7C8CF5-4618-4883-AA59-4C1F94D6F9E3}"/>
    <cellStyle name="Currency 2 2 4" xfId="571" xr:uid="{11C64763-AADE-4390-B569-C824A3FD8406}"/>
    <cellStyle name="Currency 2 3" xfId="445" xr:uid="{2A6FB481-4F53-422C-AC14-3CB366DE1E62}"/>
    <cellStyle name="Currency 2 3 2" xfId="532" xr:uid="{2B1F911C-B169-4610-AA4F-80447B3E004B}"/>
    <cellStyle name="Currency 2 3 2 2" xfId="622" xr:uid="{0817F0E5-E625-419E-9F68-1124FA01B7EC}"/>
    <cellStyle name="Currency 2 3 3" xfId="590" xr:uid="{A1C6EFEF-17F5-4BE8-A85E-98457C1F22AF}"/>
    <cellStyle name="Currency 2 4" xfId="89" xr:uid="{DCDEC69D-63F9-49C7-954E-B56E069EF6F7}"/>
    <cellStyle name="Currency 2 5" xfId="61" xr:uid="{08F9C9FB-43B2-4DCC-944B-A3385EB04CE9}"/>
    <cellStyle name="Currency 2 6" xfId="555" xr:uid="{EA86417C-327F-459C-9E2D-F3FFEACBBBF1}"/>
    <cellStyle name="Currency 3" xfId="33" xr:uid="{54AD90EA-CBF0-471E-8EF8-7E998D37384D}"/>
    <cellStyle name="Currency 3 2" xfId="49" xr:uid="{29533073-F91E-4386-980D-7021B1AE6C18}"/>
    <cellStyle name="Currency 3 2 2" xfId="536" xr:uid="{93AD9822-0BDA-44F4-A3B4-19F2573E459B}"/>
    <cellStyle name="Currency 3 2 2 2" xfId="626" xr:uid="{7D05E098-4567-4C4F-9F98-CCAD9F79B53B}"/>
    <cellStyle name="Currency 3 2 3" xfId="449" xr:uid="{AB48BA90-CF2F-4184-AF7D-341DE35D1A90}"/>
    <cellStyle name="Currency 3 2 3 2" xfId="594" xr:uid="{B1038F96-C544-4FF4-B13F-4C09C94778A7}"/>
    <cellStyle name="Currency 3 2 4" xfId="81" xr:uid="{7881B986-780B-4DBA-BBE8-9B42B78EC296}"/>
    <cellStyle name="Currency 3 2 5" xfId="575" xr:uid="{5A3AB476-8941-471D-B115-EA58D750B16C}"/>
    <cellStyle name="Currency 3 3" xfId="91" xr:uid="{F1974C5A-03E2-4772-AEB1-5D4DE1E9B274}"/>
    <cellStyle name="Currency 3 4" xfId="65" xr:uid="{04CB0F1E-CCF2-4A7A-91C4-CAF04061C8AD}"/>
    <cellStyle name="Currency 3 5" xfId="559" xr:uid="{99AC7520-E9FA-4F1D-80FE-88EBFC64191E}"/>
    <cellStyle name="Currency 4" xfId="92" xr:uid="{7BC9197E-7E6B-4112-A25E-36FC9848571C}"/>
    <cellStyle name="Currency 4 2" xfId="93" xr:uid="{20C516C8-7390-4A0F-A077-F4C1D074414F}"/>
    <cellStyle name="Currency 4 3" xfId="94" xr:uid="{4EC69187-7BFC-4044-BFC7-1C69CE29F019}"/>
    <cellStyle name="Explanatory Text 2" xfId="505" xr:uid="{5E6D7A98-97E6-4B70-8C66-5AB64224B077}"/>
    <cellStyle name="Good 2" xfId="514" xr:uid="{344D508F-019C-40F0-BE72-0447BC39419A}"/>
    <cellStyle name="Heading 1 2" xfId="518" xr:uid="{9CFFEAB6-017A-4FF4-AD76-754B08F5A420}"/>
    <cellStyle name="Heading 2 2" xfId="517" xr:uid="{F824AB9C-EDB8-4AAC-B2AA-5DC60DD5FFD7}"/>
    <cellStyle name="Heading 3 2" xfId="516" xr:uid="{7511D7C7-3FCA-4FB1-8C9D-CB14F85B0011}"/>
    <cellStyle name="Heading 4 2" xfId="515" xr:uid="{570F5F0E-BBF6-4A20-BACE-359607BC2B79}"/>
    <cellStyle name="Hyperlink" xfId="1" builtinId="8"/>
    <cellStyle name="Hyperlink 2" xfId="25" xr:uid="{2D89DC6C-86DC-4996-8654-BB3A8FA9E8D3}"/>
    <cellStyle name="Hyperlink 3" xfId="28" xr:uid="{F9D11DAB-3D3B-44CB-B621-02D28750AC53}"/>
    <cellStyle name="Input 2" xfId="511" xr:uid="{10DA48F2-77D7-42C1-9CBE-B2CD20F1BAA0}"/>
    <cellStyle name="Linked Cell 2" xfId="508" xr:uid="{06AFCF5C-A819-4921-AD6C-8F599DFD28DB}"/>
    <cellStyle name="Neutral 2" xfId="427" xr:uid="{38A6C5DE-731E-44F4-BF48-0C888865F9C2}"/>
    <cellStyle name="Neutral 3" xfId="512" xr:uid="{04E996FC-4CF5-4D6C-9327-C5B315C8EF82}"/>
    <cellStyle name="Normal" xfId="0" builtinId="0"/>
    <cellStyle name="Normal 10" xfId="4" xr:uid="{450E1057-1548-4FD0-ADBE-B9C2BF0CE546}"/>
    <cellStyle name="Normal 10 2" xfId="95" xr:uid="{BDAA8D06-8F2F-46F5-BE0A-25451D33315D}"/>
    <cellStyle name="Normal 10 2 2" xfId="96" xr:uid="{6B1E242E-E239-43D9-B747-84B656C379CF}"/>
    <cellStyle name="Normal 10 2_BOS Workings" xfId="97" xr:uid="{CE35559A-D92B-44E2-8E23-AE11722E58AF}"/>
    <cellStyle name="Normal 10 3" xfId="98" xr:uid="{A1143243-9B65-499E-BAD8-9073AB244107}"/>
    <cellStyle name="Normal 10_BOS Workings" xfId="99" xr:uid="{31E9D2FB-9534-48F9-9A83-38B027266EAC}"/>
    <cellStyle name="Normal 100" xfId="100" xr:uid="{64C49D0A-E735-432E-96D1-2D19A65B16FB}"/>
    <cellStyle name="Normal 100 2" xfId="101" xr:uid="{923BF03B-584F-471E-BB37-8FC0999A6D66}"/>
    <cellStyle name="Normal 101" xfId="102" xr:uid="{9E5BA69C-1906-4902-8842-A2189A60AAC8}"/>
    <cellStyle name="Normal 101 2" xfId="103" xr:uid="{0295BC8E-AC97-40A1-95BC-703CF5A86CF4}"/>
    <cellStyle name="Normal 102" xfId="104" xr:uid="{F070EFB4-147C-4307-825B-ED3ED58096C6}"/>
    <cellStyle name="Normal 102 2" xfId="105" xr:uid="{A9E8D361-6922-44AD-8160-122C33D7B755}"/>
    <cellStyle name="Normal 103" xfId="106" xr:uid="{346DCB41-A57A-4EC0-AF4B-0A6C4890664C}"/>
    <cellStyle name="Normal 103 2" xfId="107" xr:uid="{F5F93CBE-272E-497C-AB74-20C7ABE4ECF2}"/>
    <cellStyle name="Normal 104" xfId="108" xr:uid="{EEBFE53A-BB8B-432A-82A4-CDEA94D8EEA8}"/>
    <cellStyle name="Normal 104 2" xfId="109" xr:uid="{60C92B52-583A-459C-97C4-EEF0EAFB646D}"/>
    <cellStyle name="Normal 105" xfId="110" xr:uid="{877BB67B-B567-4873-B79A-1DC3453C2B49}"/>
    <cellStyle name="Normal 105 2" xfId="111" xr:uid="{A831F705-4E24-4535-ACB3-BF100252C156}"/>
    <cellStyle name="Normal 106" xfId="112" xr:uid="{85550D8C-E133-4F94-9259-6A9269C30758}"/>
    <cellStyle name="Normal 106 2" xfId="113" xr:uid="{2E192622-1646-434E-9B5B-D3E40B4741A4}"/>
    <cellStyle name="Normal 107" xfId="114" xr:uid="{CA46F5B0-B867-4A5F-B467-2DEEFFEFE883}"/>
    <cellStyle name="Normal 107 2" xfId="115" xr:uid="{F2FC0886-8F37-413D-927F-D7CB6056DE0E}"/>
    <cellStyle name="Normal 108" xfId="116" xr:uid="{6AEB42AD-0EB5-4620-805F-E4E67FAE7B00}"/>
    <cellStyle name="Normal 108 2" xfId="117" xr:uid="{ADFF9C0F-E464-4467-9012-D7209E938A2F}"/>
    <cellStyle name="Normal 109" xfId="118" xr:uid="{2CC2F2FE-4DC2-4D2F-A975-474FC213B266}"/>
    <cellStyle name="Normal 11" xfId="119" xr:uid="{0210DD64-9A78-4F10-AF68-29FBD81718F2}"/>
    <cellStyle name="Normal 11 2" xfId="120" xr:uid="{A0634813-F0C1-4386-9F4B-1E62C379F26A}"/>
    <cellStyle name="Normal 11 2 2" xfId="121" xr:uid="{B5683D54-F1D9-4B49-8BA7-7468FCEA3D32}"/>
    <cellStyle name="Normal 11 2_BOS Workings" xfId="122" xr:uid="{48C7BFD2-FFA2-4024-BB30-0CA46CBC4AA9}"/>
    <cellStyle name="Normal 11 3" xfId="123" xr:uid="{5818E4D8-C10E-462A-8B01-45E5B9571636}"/>
    <cellStyle name="Normal 11_BOS Workings" xfId="124" xr:uid="{A17DD3C9-1160-42CC-A160-FDF42A615803}"/>
    <cellStyle name="Normal 110" xfId="125" xr:uid="{F22A7D82-4FAB-40D1-AA34-67C407E3DD0D}"/>
    <cellStyle name="Normal 111" xfId="126" xr:uid="{E837C26E-431A-4DBA-A863-56125F6816AE}"/>
    <cellStyle name="Normal 112" xfId="127" xr:uid="{ED580FB9-A425-4B3B-BFE6-E71BB31BA82B}"/>
    <cellStyle name="Normal 113" xfId="128" xr:uid="{5700B2E1-7E12-4538-B6F5-351D2912412F}"/>
    <cellStyle name="Normal 114" xfId="129" xr:uid="{1555F488-35C5-49E3-853B-7D219AD67A0D}"/>
    <cellStyle name="Normal 115" xfId="130" xr:uid="{BA0CE9D7-A548-43E2-9B6D-1464A7F8D788}"/>
    <cellStyle name="Normal 116" xfId="131" xr:uid="{4E46B24F-A675-4763-A254-B64AF3865FF5}"/>
    <cellStyle name="Normal 117" xfId="132" xr:uid="{3F95071C-B3CF-4A51-91BA-E566BA23796F}"/>
    <cellStyle name="Normal 118" xfId="133" xr:uid="{39F74E66-7A90-49F9-9D9D-88DC4A4B1871}"/>
    <cellStyle name="Normal 119" xfId="134" xr:uid="{375DEB46-EE13-4CA0-A02C-E2EE61D36A67}"/>
    <cellStyle name="Normal 12" xfId="135" xr:uid="{BF25D6F2-73B4-4177-83EB-6EC85328F2A4}"/>
    <cellStyle name="Normal 12 2" xfId="136" xr:uid="{0487689D-403F-40F7-98D4-0A255B3910E3}"/>
    <cellStyle name="Normal 12 2 2" xfId="137" xr:uid="{A921EBF2-31E9-4157-B6EA-5BABBCED8EFB}"/>
    <cellStyle name="Normal 12 2_BOS Workings" xfId="138" xr:uid="{DFC89B45-E574-4875-94DC-AE64310BA128}"/>
    <cellStyle name="Normal 12 3" xfId="139" xr:uid="{AE9AAB5A-6426-4ED9-9684-9FF7366EC503}"/>
    <cellStyle name="Normal 12_BOS Workings" xfId="140" xr:uid="{D57D6D26-918C-4A9D-9CA0-0D650444A0E3}"/>
    <cellStyle name="Normal 120" xfId="86" xr:uid="{BFD2FD7D-42D8-4FD1-A3F5-96D29E24CF9C}"/>
    <cellStyle name="Normal 120 2" xfId="476" xr:uid="{E80C3145-2E68-4FED-AD5F-07FA08440416}"/>
    <cellStyle name="Normal 121" xfId="435" xr:uid="{D1502CDE-C7E3-478A-BF2A-16DC018F31D4}"/>
    <cellStyle name="Normal 122" xfId="439" xr:uid="{37B28A0F-55CC-4411-BA9E-5F69D5C8C7CD}"/>
    <cellStyle name="Normal 123" xfId="441" xr:uid="{9170E29F-5BEB-4724-91EF-6BDE65F26803}"/>
    <cellStyle name="Normal 124" xfId="452" xr:uid="{507EEB58-364E-4EBF-B658-253AEFA905F6}"/>
    <cellStyle name="Normal 125" xfId="443" xr:uid="{EF365B0D-CEB8-4BF2-A036-AA6DA746B6DD}"/>
    <cellStyle name="Normal 126" xfId="454" xr:uid="{8B9AF5E2-450C-4C77-87B9-1727C2A682B4}"/>
    <cellStyle name="Normal 127" xfId="456" xr:uid="{28FB24C7-C45D-4ABC-BC9A-EEEC277E92F8}"/>
    <cellStyle name="Normal 127 2" xfId="541" xr:uid="{54A717BD-62C7-46E8-BF90-061365FE9E33}"/>
    <cellStyle name="Normal 128" xfId="470" xr:uid="{999BE7EF-4EF5-428F-8B9E-2A9CFCEDE716}"/>
    <cellStyle name="Normal 129" xfId="520" xr:uid="{5432FA49-AA25-45FC-B70A-CD7DEE55B50F}"/>
    <cellStyle name="Normal 13" xfId="141" xr:uid="{5423074D-6803-4DED-B24F-07E87F0DD2F0}"/>
    <cellStyle name="Normal 13 2" xfId="142" xr:uid="{9D3E6D88-05CA-46CA-BD03-304A3334E6A5}"/>
    <cellStyle name="Normal 13 2 2" xfId="143" xr:uid="{DB6CE442-47B8-42D1-BA6C-5E513AE4E9AB}"/>
    <cellStyle name="Normal 13 2_BOS Workings" xfId="144" xr:uid="{37E42CF2-8193-4EEA-A041-5A9CC89B1902}"/>
    <cellStyle name="Normal 13 3" xfId="145" xr:uid="{514AED59-5D49-4541-B799-02526311DCB2}"/>
    <cellStyle name="Normal 13_BOS Workings" xfId="146" xr:uid="{18E22C88-64A2-4735-8944-06CDA20E5E3A}"/>
    <cellStyle name="Normal 130" xfId="543" xr:uid="{842FCFDF-65EB-483F-AB74-237590C52CB6}"/>
    <cellStyle name="Normal 131" xfId="457" xr:uid="{F44E11B1-9B1A-43E9-80B2-A73F9395EF50}"/>
    <cellStyle name="Normal 132" xfId="436" xr:uid="{BA1D6A6C-9762-4456-8839-735F4B6A0D23}"/>
    <cellStyle name="Normal 14" xfId="147" xr:uid="{2744AEC4-20AA-4EFB-9BB3-35DAAAA34DDB}"/>
    <cellStyle name="Normal 14 2" xfId="148" xr:uid="{909181A3-DE0A-4083-9292-92143A855CDF}"/>
    <cellStyle name="Normal 14_BOS Workings" xfId="149" xr:uid="{903D2C67-704A-4C9D-92B9-F7C9ED1EC973}"/>
    <cellStyle name="Normal 15" xfId="150" xr:uid="{DF9FBA33-E7EA-4D17-B2EA-92F5922738C1}"/>
    <cellStyle name="Normal 15 2" xfId="151" xr:uid="{B09F353E-0030-4131-938E-C41DB93A4E48}"/>
    <cellStyle name="Normal 15_BOS Workings" xfId="152" xr:uid="{B7ED18AB-6261-4A54-9676-67C31459EE05}"/>
    <cellStyle name="Normal 16" xfId="153" xr:uid="{C679D18F-2CFB-4A47-BFAD-FD970C3E10CD}"/>
    <cellStyle name="Normal 16 2" xfId="154" xr:uid="{4137FC49-2371-40D8-A4A6-2CAD9F2F4997}"/>
    <cellStyle name="Normal 16_BOS Workings" xfId="155" xr:uid="{A86FE357-91A6-4674-8C6B-594F76E240AA}"/>
    <cellStyle name="Normal 17" xfId="156" xr:uid="{F444410B-919B-4A83-B8FE-F1FCE462D2A3}"/>
    <cellStyle name="Normal 17 2" xfId="157" xr:uid="{B9866832-0578-4CA4-92F1-EE1C18187ACE}"/>
    <cellStyle name="Normal 17_BOS Workings" xfId="158" xr:uid="{14A3203D-A6AE-483C-A2DD-539A64F56E52}"/>
    <cellStyle name="Normal 18" xfId="159" xr:uid="{F2CC3327-6629-4278-87C2-5B6CF110E409}"/>
    <cellStyle name="Normal 18 2" xfId="160" xr:uid="{CB0A8142-62F9-4618-A244-C8478A2B22C0}"/>
    <cellStyle name="Normal 18_BOS Workings" xfId="161" xr:uid="{4C49D590-A8D2-4D18-A618-7A51892298B7}"/>
    <cellStyle name="Normal 19" xfId="162" xr:uid="{ED0B3F24-2FD8-44E5-9111-822AF29D9DDC}"/>
    <cellStyle name="Normal 19 2" xfId="163" xr:uid="{1488E86F-6027-44CA-A061-D507CB826D61}"/>
    <cellStyle name="Normal 19_BOS Workings" xfId="164" xr:uid="{8FB8E71E-463C-4664-8B7E-397431E4E0D8}"/>
    <cellStyle name="Normal 2" xfId="2" xr:uid="{5CD6EEE1-73B2-4911-9FC2-AF042D96273E}"/>
    <cellStyle name="Normal 2 2" xfId="27" xr:uid="{A8CF27B4-5E8E-4FBE-95EE-9F266E7C189D}"/>
    <cellStyle name="Normal 2 2 2" xfId="442" xr:uid="{287E10A0-5EDF-4F7E-9AF4-0044DF4CA1FE}"/>
    <cellStyle name="Normal 2 2 2 2" xfId="530" xr:uid="{F0F55FE7-8C20-405F-9D05-545ED52E10C3}"/>
    <cellStyle name="Normal 2 2 2 3" xfId="464" xr:uid="{81899445-3CA9-466A-B4F5-0B315E0C5763}"/>
    <cellStyle name="Normal 2 2 3" xfId="462" xr:uid="{83045AA1-B671-4AB2-B4F4-2D34E1C3FFB3}"/>
    <cellStyle name="Normal 2 2 4" xfId="165" xr:uid="{AE5540D4-6ED8-47E9-8C50-E7DBCA5A6E86}"/>
    <cellStyle name="Normal 20" xfId="166" xr:uid="{D2073B38-F30E-4E93-B97F-E4E146FE821C}"/>
    <cellStyle name="Normal 20 2" xfId="167" xr:uid="{F3C44A3D-48D8-4C0A-B618-765A9D9FC85A}"/>
    <cellStyle name="Normal 20_BOS Workings" xfId="168" xr:uid="{72660207-E296-4304-9EB2-E7F2A1313114}"/>
    <cellStyle name="Normal 21" xfId="169" xr:uid="{532D0EFE-C0B0-4BA3-A931-1AB90C1EFA8C}"/>
    <cellStyle name="Normal 21 2" xfId="170" xr:uid="{387ED1CF-DFB7-4E11-A2EA-93F3B1BB1D20}"/>
    <cellStyle name="Normal 21_BOS Workings" xfId="171" xr:uid="{6FCED904-E137-4CE7-861B-C5F951B60BF8}"/>
    <cellStyle name="Normal 22" xfId="172" xr:uid="{C9D3567E-9FE8-4C87-A3D6-378BDC62A699}"/>
    <cellStyle name="Normal 22 2" xfId="173" xr:uid="{C4066096-4213-4F7F-83AD-31947D8006B8}"/>
    <cellStyle name="Normal 22_BOS Workings" xfId="174" xr:uid="{83639A94-D471-47E9-A7B4-C08A9E5CD328}"/>
    <cellStyle name="Normal 23" xfId="175" xr:uid="{A389177E-347F-4C26-8A02-AFE80B509A84}"/>
    <cellStyle name="Normal 23 2" xfId="176" xr:uid="{2ADFF676-4E38-4D72-9A6E-48A134A71795}"/>
    <cellStyle name="Normal 23_BOS Workings" xfId="177" xr:uid="{D4301CDA-4F62-4853-86FC-4A03F608B561}"/>
    <cellStyle name="Normal 24" xfId="178" xr:uid="{99481298-41E7-4E04-B707-53D53752E6BD}"/>
    <cellStyle name="Normal 24 2" xfId="179" xr:uid="{ABE5EF66-5063-4EE1-8423-E64D01274261}"/>
    <cellStyle name="Normal 24_BOS Workings" xfId="180" xr:uid="{DC6FAA5B-1699-407F-9D8A-362050B04C42}"/>
    <cellStyle name="Normal 25" xfId="181" xr:uid="{FB10D7D3-2B43-4D48-B598-4289E6EF0D0A}"/>
    <cellStyle name="Normal 25 2" xfId="182" xr:uid="{CB6843FA-8945-4191-AE25-C6BB577AE9E6}"/>
    <cellStyle name="Normal 25_BOS Workings" xfId="183" xr:uid="{13F08D14-12B8-42E9-B300-5315F46727AA}"/>
    <cellStyle name="Normal 26" xfId="184" xr:uid="{F7071B37-EE5E-459B-964C-2DA3A6DDFAB7}"/>
    <cellStyle name="Normal 26 2" xfId="185" xr:uid="{67B7488A-6BCE-4A09-A934-3A570406BFA3}"/>
    <cellStyle name="Normal 26_BOS Workings" xfId="186" xr:uid="{E55390A8-5581-4160-BF8F-8269E15A6C97}"/>
    <cellStyle name="Normal 27" xfId="187" xr:uid="{D301B03E-46A8-4492-84C0-E69D4D7546A9}"/>
    <cellStyle name="Normal 27 2" xfId="188" xr:uid="{FC08DDFA-F07E-415D-AFA6-6DD8FD5619ED}"/>
    <cellStyle name="Normal 27_BOS Workings" xfId="189" xr:uid="{5202F10F-1AD3-4D6D-8679-351FB3373F3B}"/>
    <cellStyle name="Normal 28" xfId="190" xr:uid="{4F905151-EBE0-44D5-80E6-7F182FD23843}"/>
    <cellStyle name="Normal 28 2" xfId="191" xr:uid="{3947D502-3182-476A-886B-A0F9B87AAD34}"/>
    <cellStyle name="Normal 28_BOS Workings" xfId="192" xr:uid="{8A6DE99C-25AF-49B4-9C98-6ED97B9AAFAD}"/>
    <cellStyle name="Normal 29" xfId="193" xr:uid="{45498ACC-5275-42DD-AD39-D5D79C5D2B47}"/>
    <cellStyle name="Normal 29 2" xfId="194" xr:uid="{B47C0720-E53F-4311-B271-6A7612FC20E6}"/>
    <cellStyle name="Normal 29_BOS Workings" xfId="195" xr:uid="{FBCDFBCD-AACA-4A58-AB0A-BC11520DB724}"/>
    <cellStyle name="Normal 3" xfId="7" xr:uid="{C135353D-12F2-4BE3-87DA-E1D6BBCC0536}"/>
    <cellStyle name="Normal 3 2" xfId="23" xr:uid="{DC682F85-8CFA-4AE6-80BC-88E74856F7A3}"/>
    <cellStyle name="Normal 3 2 2" xfId="197" xr:uid="{D20F6F6F-31A5-490E-8072-477D1BDFE6EC}"/>
    <cellStyle name="Normal 3 2 3" xfId="474" xr:uid="{0CBBB006-C5CA-443C-A5CC-947DF45C1962}"/>
    <cellStyle name="Normal 3 3" xfId="196" xr:uid="{E68918EE-BEAC-49E5-81B4-EAA293341E16}"/>
    <cellStyle name="Normal 3 4" xfId="438" xr:uid="{9807CF9D-7191-49A6-BAD8-61278B712361}"/>
    <cellStyle name="Normal 3 4 2" xfId="528" xr:uid="{73416174-80D0-4D08-8981-10A74250F642}"/>
    <cellStyle name="Normal 3 5" xfId="472" xr:uid="{214EDC56-80C8-40FC-91F5-21A7A51CE1CC}"/>
    <cellStyle name="Normal 30" xfId="198" xr:uid="{9F5CC31B-47A7-46A8-B800-1421E9C230F9}"/>
    <cellStyle name="Normal 30 2" xfId="199" xr:uid="{7A7090B3-FC30-4583-82A7-FBC76E1D82A2}"/>
    <cellStyle name="Normal 30_BOS Workings" xfId="200" xr:uid="{F2CE9F40-F42A-40BF-BC98-9097B199533A}"/>
    <cellStyle name="Normal 31" xfId="201" xr:uid="{BF420487-C97F-4BD5-B3C1-D8028041A0B8}"/>
    <cellStyle name="Normal 31 2" xfId="202" xr:uid="{8BAFDB41-C04D-4618-A1EE-D14C1685E030}"/>
    <cellStyle name="Normal 31_BOS Workings" xfId="203" xr:uid="{F07F0720-1A0F-4978-BCDA-B9F2BD0FF3FC}"/>
    <cellStyle name="Normal 32" xfId="204" xr:uid="{3D052034-D93C-46E4-8CC4-5FA23F41F810}"/>
    <cellStyle name="Normal 32 2" xfId="205" xr:uid="{D56BC28B-DE59-4776-BC36-8EDD5EB96B7D}"/>
    <cellStyle name="Normal 32_BOS Workings" xfId="206" xr:uid="{676D533F-1161-43C4-839F-83FB5D3369D0}"/>
    <cellStyle name="Normal 33" xfId="207" xr:uid="{100DE201-165E-4FBF-9751-FECF1476BAAE}"/>
    <cellStyle name="Normal 33 2" xfId="208" xr:uid="{EBD250E0-9D66-4C84-8D9B-66E7F0D0F122}"/>
    <cellStyle name="Normal 33_BOS Workings" xfId="209" xr:uid="{F0972125-7A42-4934-97DF-8ED167D4229B}"/>
    <cellStyle name="Normal 34" xfId="210" xr:uid="{F0B8CC1C-1755-4916-B77A-943DAB76D565}"/>
    <cellStyle name="Normal 34 2" xfId="211" xr:uid="{0D91DDD5-84DD-4607-8825-9131C4AA707A}"/>
    <cellStyle name="Normal 34_BOS Workings" xfId="212" xr:uid="{05328199-1CFB-4D70-89B1-7B9C297387D5}"/>
    <cellStyle name="Normal 35" xfId="213" xr:uid="{A84CB830-1F02-4507-AE69-B4D1FD673CFF}"/>
    <cellStyle name="Normal 35 2" xfId="214" xr:uid="{6F6C78F9-9037-4F13-8565-759673FDCAED}"/>
    <cellStyle name="Normal 35_BOS Workings" xfId="215" xr:uid="{04A7C861-416B-488B-A3C5-013C4B23B52B}"/>
    <cellStyle name="Normal 36" xfId="216" xr:uid="{9D0BD699-6F03-448A-9056-803A2B64DF51}"/>
    <cellStyle name="Normal 36 2" xfId="217" xr:uid="{2F2C2AF0-0783-40DA-9FD3-F83BC0F9175A}"/>
    <cellStyle name="Normal 36_BOS Workings" xfId="218" xr:uid="{1424BB1B-91B1-4887-8392-D5CDEA0AAF8C}"/>
    <cellStyle name="Normal 37" xfId="219" xr:uid="{AF4190D8-80BB-4686-9931-0BB8BD9CFCBE}"/>
    <cellStyle name="Normal 37 2" xfId="220" xr:uid="{3BC2C2A4-7955-4504-84AE-A13953AAC638}"/>
    <cellStyle name="Normal 37_BOS Workings" xfId="221" xr:uid="{53D598A4-DB4E-45CF-8F6D-DE391400D0AA}"/>
    <cellStyle name="Normal 38" xfId="222" xr:uid="{CF65A792-CA37-4F8B-A024-3D8C31A9BF29}"/>
    <cellStyle name="Normal 38 2" xfId="223" xr:uid="{4BBBE95F-5A56-4FF7-872A-9D371500BFA8}"/>
    <cellStyle name="Normal 38_BOS Workings" xfId="224" xr:uid="{F910167B-B429-458B-8D34-F74A72F1D341}"/>
    <cellStyle name="Normal 39" xfId="225" xr:uid="{574A06CA-47F9-4823-ABDF-42BAEB4FEC40}"/>
    <cellStyle name="Normal 39 2" xfId="226" xr:uid="{D415996A-151C-4C08-A3B8-3A125D584785}"/>
    <cellStyle name="Normal 39_BOS Workings" xfId="227" xr:uid="{758D4C2C-2CE5-4460-ABF2-6E60687EA4E6}"/>
    <cellStyle name="Normal 4" xfId="20" xr:uid="{3323516C-977C-4042-A7FC-2D767BA33364}"/>
    <cellStyle name="Normal 4 2" xfId="229" xr:uid="{7B32830C-D24C-4F48-8EAA-B1E83F8467FB}"/>
    <cellStyle name="Normal 4 3" xfId="230" xr:uid="{161A2C9B-5ACF-4329-A15B-980476D73F62}"/>
    <cellStyle name="Normal 4 4" xfId="228" xr:uid="{E25F83F2-5CB9-46A4-802A-3BAB035DF8C4}"/>
    <cellStyle name="Normal 4_BOS Workings" xfId="231" xr:uid="{E6211F52-EAAC-46CC-85EE-947C2CA2AD1E}"/>
    <cellStyle name="Normal 40" xfId="232" xr:uid="{D4A35ED6-2E97-4FFE-8996-21CE70C172A8}"/>
    <cellStyle name="Normal 40 2" xfId="233" xr:uid="{7961686B-33CC-4FC8-A1E6-787D5FE11695}"/>
    <cellStyle name="Normal 40_BOS Workings" xfId="234" xr:uid="{070E2EA2-61A9-4925-BAEE-42D5C80D5E09}"/>
    <cellStyle name="Normal 41" xfId="235" xr:uid="{F321A229-A9FA-421F-8996-E1FEEB9DC941}"/>
    <cellStyle name="Normal 41 2" xfId="236" xr:uid="{8E8BEF08-267D-4B17-8F0F-D554AE41F2CE}"/>
    <cellStyle name="Normal 41_BOS Workings" xfId="237" xr:uid="{CD0CD555-DC94-42DF-94A8-C45346F4FFC0}"/>
    <cellStyle name="Normal 42" xfId="238" xr:uid="{DCB3039A-FA8B-43C1-84BE-744073388B66}"/>
    <cellStyle name="Normal 42 2" xfId="239" xr:uid="{9CE58B91-1E52-4B59-AB06-C7975EE91857}"/>
    <cellStyle name="Normal 42_BOS Workings" xfId="240" xr:uid="{5FC88B20-E4FA-4E5D-8EE3-30EAA96844F3}"/>
    <cellStyle name="Normal 43" xfId="241" xr:uid="{F6788BA5-1AC7-4BBE-B558-329DB2BDB803}"/>
    <cellStyle name="Normal 43 2" xfId="242" xr:uid="{8BC27C86-5E9E-4F0E-9AF8-B64E441A2CBE}"/>
    <cellStyle name="Normal 43_BOS Workings" xfId="243" xr:uid="{425EC032-19F8-4EF2-A980-5A3DAB115B18}"/>
    <cellStyle name="Normal 44" xfId="244" xr:uid="{B30B82FB-C50E-47CE-ADEB-C808C74813AD}"/>
    <cellStyle name="Normal 44 2" xfId="245" xr:uid="{53DB03E7-84BF-42C5-BA84-8FA16370BF01}"/>
    <cellStyle name="Normal 44_BOS Workings" xfId="246" xr:uid="{93646EEF-0E2C-469D-9453-73BF65B74841}"/>
    <cellStyle name="Normal 45" xfId="247" xr:uid="{B69D08ED-7E90-4A38-9B3B-7853162F750C}"/>
    <cellStyle name="Normal 45 2" xfId="248" xr:uid="{25EC4F5D-41CE-4151-A077-222F203794B5}"/>
    <cellStyle name="Normal 45_BOS Workings" xfId="249" xr:uid="{E0275847-4AB2-4F3E-A927-D0AC4544136D}"/>
    <cellStyle name="Normal 46" xfId="250" xr:uid="{39C36B38-E266-4A81-88D8-DD7BB3215312}"/>
    <cellStyle name="Normal 46 2" xfId="251" xr:uid="{DD750BF4-4EB7-438B-BDE5-886F71177E7E}"/>
    <cellStyle name="Normal 46_BOS Workings" xfId="252" xr:uid="{EB55A4F6-5647-4447-B7D0-C3A77A8B287D}"/>
    <cellStyle name="Normal 47" xfId="253" xr:uid="{7DF523D3-6DB2-4431-AD10-8F4C8FF6810C}"/>
    <cellStyle name="Normal 47 2" xfId="254" xr:uid="{688E2607-7142-4088-89F0-72E1CAC72868}"/>
    <cellStyle name="Normal 47_BOS Workings" xfId="255" xr:uid="{42F1E219-2B7A-4119-ACC7-E6588E1B0CAA}"/>
    <cellStyle name="Normal 48" xfId="256" xr:uid="{83754EED-E5C1-457E-B2B1-62240AC35EEE}"/>
    <cellStyle name="Normal 48 2" xfId="257" xr:uid="{46302878-4E31-43E8-8BF2-838EC03C3B0F}"/>
    <cellStyle name="Normal 48_BOS Workings" xfId="258" xr:uid="{B7CCA7AD-B234-4468-A205-333907CAA316}"/>
    <cellStyle name="Normal 49" xfId="259" xr:uid="{254C8A2E-35CB-4103-83AA-6728064C5C19}"/>
    <cellStyle name="Normal 49 2" xfId="260" xr:uid="{A3632D12-5358-46D2-A88A-850FD8BBE51E}"/>
    <cellStyle name="Normal 49_BOS Workings" xfId="261" xr:uid="{40291C3B-0037-4698-866E-DAAE87351B73}"/>
    <cellStyle name="Normal 5" xfId="9" xr:uid="{B1131746-632F-45C9-982D-DE2E1C77D05E}"/>
    <cellStyle name="Normal 5 2" xfId="263" xr:uid="{97D1CCDC-7435-49D6-8615-48B807DD6C18}"/>
    <cellStyle name="Normal 5 2 2" xfId="10" xr:uid="{E46CAC58-EF0B-473C-9358-916C5A05C5ED}"/>
    <cellStyle name="Normal 5 3" xfId="262" xr:uid="{7F2D3DD5-2885-40D9-B001-57A121159D00}"/>
    <cellStyle name="Normal 5_BOS Workings" xfId="264" xr:uid="{832241E8-6150-4EBF-8BF4-CA27C81E8914}"/>
    <cellStyle name="Normal 50" xfId="265" xr:uid="{E1E11DF9-053A-4671-A76B-246FEA4DDC65}"/>
    <cellStyle name="Normal 50 2" xfId="266" xr:uid="{4A5F9AA0-028F-4C2B-94C2-EAB40F5EFF98}"/>
    <cellStyle name="Normal 50_BOS Workings" xfId="267" xr:uid="{4BB76260-26E2-4B4D-AE9E-5CF0546D513C}"/>
    <cellStyle name="Normal 51" xfId="268" xr:uid="{30FF200F-43FD-4A0B-8748-9BB095E648FD}"/>
    <cellStyle name="Normal 51 2" xfId="269" xr:uid="{BE5C5055-FCA7-4B8C-8F89-8A3075C907C8}"/>
    <cellStyle name="Normal 51_BOS Workings" xfId="270" xr:uid="{3F91FA62-1FFB-480E-8CAF-A60942BE48F1}"/>
    <cellStyle name="Normal 52" xfId="271" xr:uid="{2A53C136-30A9-45E0-8747-207615428399}"/>
    <cellStyle name="Normal 52 2" xfId="272" xr:uid="{63709D70-9248-4410-BB2D-155705357961}"/>
    <cellStyle name="Normal 52_BOS Workings" xfId="273" xr:uid="{171F2881-43B2-4019-B59D-83022F0A378A}"/>
    <cellStyle name="Normal 53" xfId="274" xr:uid="{35035180-48E4-4FA8-903A-C49788CB3C4D}"/>
    <cellStyle name="Normal 53 2" xfId="275" xr:uid="{66F785B7-F78E-446A-99CA-E83C50D92370}"/>
    <cellStyle name="Normal 53_BOS Workings" xfId="276" xr:uid="{6E495F3F-E723-4F45-BE1A-E0C495B6464F}"/>
    <cellStyle name="Normal 54" xfId="277" xr:uid="{49F0F3BC-4C0A-4157-A1F4-AE44EE17F70C}"/>
    <cellStyle name="Normal 54 2" xfId="278" xr:uid="{E333DF82-2EE1-44CE-A7C8-B50AC749F5C3}"/>
    <cellStyle name="Normal 54_BOS Workings" xfId="279" xr:uid="{A1EE4BC6-2218-473B-80A9-7609B51FC607}"/>
    <cellStyle name="Normal 55" xfId="280" xr:uid="{CB906E47-0494-4599-B58C-82A22A59DB79}"/>
    <cellStyle name="Normal 55 2" xfId="281" xr:uid="{44F52C3B-C977-4051-8E0D-50ED968D9641}"/>
    <cellStyle name="Normal 55_BOS Workings" xfId="282" xr:uid="{9B80462B-3A67-45B3-81F5-B5CD495BF139}"/>
    <cellStyle name="Normal 56" xfId="283" xr:uid="{85F05DBC-2D63-440F-BD0C-239268525EFA}"/>
    <cellStyle name="Normal 56 2" xfId="284" xr:uid="{45DFCBCD-149C-4F4D-8EC1-0FAC6BC560CC}"/>
    <cellStyle name="Normal 56_BOS Workings" xfId="285" xr:uid="{91F6DE60-7389-4171-96D5-580843904960}"/>
    <cellStyle name="Normal 57" xfId="286" xr:uid="{ED8A6477-3E18-4338-8D7A-FE126E5E8AF1}"/>
    <cellStyle name="Normal 57 2" xfId="287" xr:uid="{C324AFE1-44C3-4B26-A21F-F062149B95D4}"/>
    <cellStyle name="Normal 57_BOS Workings" xfId="288" xr:uid="{30975F80-9B85-4148-A52A-04CFC885A87B}"/>
    <cellStyle name="Normal 58" xfId="289" xr:uid="{7955C1F9-A351-478B-9F1B-BEFB7DAF5E23}"/>
    <cellStyle name="Normal 58 2" xfId="290" xr:uid="{B4939687-491F-461C-9DC7-D3BC09B4C56F}"/>
    <cellStyle name="Normal 58_BOS Workings" xfId="291" xr:uid="{AAF23EE3-45ED-438A-9E32-207DB064FB44}"/>
    <cellStyle name="Normal 59" xfId="292" xr:uid="{64180000-9930-4800-84DB-C778D6EA4E61}"/>
    <cellStyle name="Normal 59 2" xfId="293" xr:uid="{98259E54-02DF-4200-9944-095537B085DF}"/>
    <cellStyle name="Normal 59_BOS Workings" xfId="294" xr:uid="{AA418836-EE2D-4D54-8CC0-511633BF0376}"/>
    <cellStyle name="Normal 6" xfId="295" xr:uid="{DE4CB98C-9BE1-47EB-96B4-C8C3C59941A6}"/>
    <cellStyle name="Normal 6 2" xfId="296" xr:uid="{02912F05-7598-4962-A34D-C2108CE720D8}"/>
    <cellStyle name="Normal 6_BOS Workings" xfId="297" xr:uid="{320356F3-4774-4C43-80BC-CC72E4E73D53}"/>
    <cellStyle name="Normal 60" xfId="298" xr:uid="{8F8F95C8-457F-46BB-8873-3B1143D64E92}"/>
    <cellStyle name="Normal 60 2" xfId="299" xr:uid="{818A8AFB-0E8B-4CD7-80B2-29C755B746C2}"/>
    <cellStyle name="Normal 60_BOS Workings" xfId="300" xr:uid="{22D11EAB-69E5-43C3-BCA4-C35B789F0488}"/>
    <cellStyle name="Normal 61" xfId="301" xr:uid="{19503599-2088-4F52-84BF-E1020C961464}"/>
    <cellStyle name="Normal 61 2" xfId="302" xr:uid="{5B2B6A6A-A947-4E94-B2F3-EE136AFD273D}"/>
    <cellStyle name="Normal 61_BOS Workings" xfId="303" xr:uid="{251383D3-65A8-48AA-9A9A-CC6BFEEF746F}"/>
    <cellStyle name="Normal 62" xfId="304" xr:uid="{B069CD94-766C-4742-901A-4003D0F6F4B5}"/>
    <cellStyle name="Normal 62 2" xfId="305" xr:uid="{9B6C8BC4-6707-47AF-9DD4-0ED506352A2B}"/>
    <cellStyle name="Normal 62_BOS Workings" xfId="306" xr:uid="{C378E9B0-9359-4917-B9D4-109288938077}"/>
    <cellStyle name="Normal 63" xfId="307" xr:uid="{8F8C5EBD-2EB6-4B41-8DB1-0AA775377615}"/>
    <cellStyle name="Normal 63 2" xfId="308" xr:uid="{B744886D-3B95-4F48-A979-42F067F7183D}"/>
    <cellStyle name="Normal 63_BOS Workings" xfId="309" xr:uid="{3FA296B2-42B9-468B-9529-4DB8FB14C476}"/>
    <cellStyle name="Normal 64" xfId="310" xr:uid="{F90598A6-EDC8-479C-ABE7-750A287B62F1}"/>
    <cellStyle name="Normal 64 2" xfId="311" xr:uid="{2921B02C-B89C-41CB-BB87-0A51BA9ECCF4}"/>
    <cellStyle name="Normal 64_BOS Workings" xfId="312" xr:uid="{61315A51-3515-4432-94BF-00F10B36F284}"/>
    <cellStyle name="Normal 65" xfId="313" xr:uid="{5C778F9C-5E22-447E-84BA-358861856D52}"/>
    <cellStyle name="Normal 65 2" xfId="314" xr:uid="{3C0B2692-6599-4C53-86BA-FCE950970C44}"/>
    <cellStyle name="Normal 65_BOS Workings" xfId="315" xr:uid="{DB52A60C-7403-4EF8-BF4F-3290C6DDE986}"/>
    <cellStyle name="Normal 66" xfId="316" xr:uid="{C382CC9C-701F-4746-9F98-6642840A2A0C}"/>
    <cellStyle name="Normal 66 2" xfId="317" xr:uid="{DC382197-07AC-40D5-9937-CF3D11A28DD3}"/>
    <cellStyle name="Normal 66_BOS Workings" xfId="318" xr:uid="{14847EC3-734D-40A2-A996-70300A87E6EF}"/>
    <cellStyle name="Normal 67" xfId="319" xr:uid="{9DA69250-59A1-4C22-AAA4-71D1964442D1}"/>
    <cellStyle name="Normal 67 2" xfId="320" xr:uid="{FBDB46D9-861B-46A5-867E-13270CC1E9D2}"/>
    <cellStyle name="Normal 67_BOS Workings" xfId="321" xr:uid="{61385B61-2D39-425F-8116-0C509B0856C5}"/>
    <cellStyle name="Normal 68" xfId="322" xr:uid="{7DE35C75-4A0A-45A4-9834-798CC515C78C}"/>
    <cellStyle name="Normal 68 2" xfId="323" xr:uid="{FBCFEE8B-2DB6-4DCA-BCA8-F796C50142D2}"/>
    <cellStyle name="Normal 68_BOS Workings" xfId="324" xr:uid="{DAB4A38B-C55C-4AFF-9CF8-50C490C72F22}"/>
    <cellStyle name="Normal 69" xfId="325" xr:uid="{BDE6A84A-092E-4ACC-900D-C9ED128F2550}"/>
    <cellStyle name="Normal 69 2" xfId="326" xr:uid="{6C676F8E-6E4A-43D1-BB56-414DD1EBC871}"/>
    <cellStyle name="Normal 69_BOS Workings" xfId="327" xr:uid="{4EA80BBD-36B4-4C9A-963B-D5A910C8F6CD}"/>
    <cellStyle name="Normal 7" xfId="328" xr:uid="{F00CC0B1-DD0E-45F1-A671-3F5D8EA6DCE1}"/>
    <cellStyle name="Normal 7 2" xfId="329" xr:uid="{D08EEC6D-1558-4CE7-AE9B-A4E22C089435}"/>
    <cellStyle name="Normal 7_BOS Workings" xfId="330" xr:uid="{9A4AFA29-8E89-4E8D-9058-63A10A1BEE2E}"/>
    <cellStyle name="Normal 70" xfId="331" xr:uid="{93C46756-51E5-4619-80B5-038F79F3B46E}"/>
    <cellStyle name="Normal 70 2" xfId="332" xr:uid="{1F24DF80-FC87-45B6-BC96-A0EB3DDF294E}"/>
    <cellStyle name="Normal 70_BOS Workings" xfId="333" xr:uid="{558C555F-F793-4F4F-9C5D-1EDC47E1DBCD}"/>
    <cellStyle name="Normal 71" xfId="334" xr:uid="{BDBF29E8-E73A-4A4E-B031-53D01AC4D800}"/>
    <cellStyle name="Normal 71 2" xfId="335" xr:uid="{FA9BE941-C28B-4942-917B-BE61161B10B1}"/>
    <cellStyle name="Normal 71_BOS Workings" xfId="336" xr:uid="{AF2EA721-5A33-4B03-8607-7B698A16158A}"/>
    <cellStyle name="Normal 72" xfId="337" xr:uid="{997E2701-A600-4D36-8D74-F7C24B3BF838}"/>
    <cellStyle name="Normal 72 2" xfId="338" xr:uid="{5131AE66-F0CD-4195-A6FA-603F879711D4}"/>
    <cellStyle name="Normal 72_BOS Workings" xfId="339" xr:uid="{ED0D5186-E8CD-426B-8C6D-7A3F8695BFDA}"/>
    <cellStyle name="Normal 73" xfId="340" xr:uid="{7ECAB3D8-E093-478E-86EC-5C1DDB50EC86}"/>
    <cellStyle name="Normal 73 2" xfId="341" xr:uid="{C3F331B4-11AA-454A-B63E-96A6795131B6}"/>
    <cellStyle name="Normal 73_BOS Workings" xfId="342" xr:uid="{0A6B8F77-AD6A-4B74-918A-993B13968EE4}"/>
    <cellStyle name="Normal 74" xfId="343" xr:uid="{B653A60E-81B1-4967-8A1A-090C84B7A8B3}"/>
    <cellStyle name="Normal 74 2" xfId="344" xr:uid="{20929B59-3523-4910-9EC7-FA5DA5899DB4}"/>
    <cellStyle name="Normal 74_BOS Workings" xfId="345" xr:uid="{3342B97E-5A61-4B86-813A-6B992E37A7B0}"/>
    <cellStyle name="Normal 75" xfId="346" xr:uid="{E5172F94-FCF5-4DB6-98CE-CBC3E5642103}"/>
    <cellStyle name="Normal 75 2" xfId="347" xr:uid="{3570777E-5FA0-4B47-AD07-2134D9E7B6A0}"/>
    <cellStyle name="Normal 75_BOS Workings" xfId="348" xr:uid="{A5DE2EBB-AC9C-4B54-8354-FD447042F71B}"/>
    <cellStyle name="Normal 76" xfId="349" xr:uid="{79FFB661-61FB-4D33-9D95-6B5AF113C071}"/>
    <cellStyle name="Normal 76 2" xfId="350" xr:uid="{4FF9CF7A-5B3C-438D-A79B-B0F7DAEF23B5}"/>
    <cellStyle name="Normal 76_BOS Workings" xfId="351" xr:uid="{C708D15A-7988-4BA3-AEE3-E0B8A6820EDD}"/>
    <cellStyle name="Normal 77" xfId="352" xr:uid="{50CE7AE0-E651-42C9-A296-1F5EE86D3336}"/>
    <cellStyle name="Normal 77 2" xfId="353" xr:uid="{442F810B-4B20-41F3-936D-BD8A4031B3A7}"/>
    <cellStyle name="Normal 77_BOS Workings" xfId="354" xr:uid="{E376BA7D-938E-4CD7-ACBD-D1685280EC8C}"/>
    <cellStyle name="Normal 78" xfId="355" xr:uid="{31A518B6-39F2-47C5-8943-AC14187EBE5E}"/>
    <cellStyle name="Normal 78 2" xfId="356" xr:uid="{1A19DF14-07AB-42B4-AD9E-B66502B3D75E}"/>
    <cellStyle name="Normal 78_BOS Workings" xfId="357" xr:uid="{5116A26C-255B-4F8D-8067-71BBFA9CA5F2}"/>
    <cellStyle name="Normal 79" xfId="358" xr:uid="{6D59B155-8ECE-47C3-8D1A-B61DD75FFF37}"/>
    <cellStyle name="Normal 79 2" xfId="359" xr:uid="{B3F25913-9AC8-4617-8B4F-A1FC3D8AFD29}"/>
    <cellStyle name="Normal 79_BOS Workings" xfId="360" xr:uid="{EE8CBE43-8741-434D-AE16-E1D9A7434927}"/>
    <cellStyle name="Normal 8" xfId="361" xr:uid="{416F756B-C884-4E2B-BB68-EF87A79EFD42}"/>
    <cellStyle name="Normal 8 2" xfId="362" xr:uid="{7CB8AC58-0AB1-4B2A-BCE1-D5D947D78BA0}"/>
    <cellStyle name="Normal 8_BOS Workings" xfId="363" xr:uid="{438119C5-B01D-4EA4-AA5C-5BB483644DE1}"/>
    <cellStyle name="Normal 80" xfId="364" xr:uid="{7E770DEB-CF5F-4156-A435-63822C6F311E}"/>
    <cellStyle name="Normal 80 2" xfId="365" xr:uid="{FAD37932-848E-4141-B3F4-3726B2A3DDEE}"/>
    <cellStyle name="Normal 80_BOS Workings" xfId="366" xr:uid="{E129847D-A32C-44C2-8EB8-E788AF765B1D}"/>
    <cellStyle name="Normal 81" xfId="367" xr:uid="{2279A774-4A41-4C4A-A8DB-6D0EA36ABB58}"/>
    <cellStyle name="Normal 81 2" xfId="368" xr:uid="{DC497F81-EF7E-4A81-8E72-C9427BC5E26B}"/>
    <cellStyle name="Normal 81_BOS Workings" xfId="369" xr:uid="{C14833F0-BD40-4B0B-B4D8-3C5007754C40}"/>
    <cellStyle name="Normal 82" xfId="370" xr:uid="{5ADF6494-E09C-4B89-ACF7-3F4A7402B48F}"/>
    <cellStyle name="Normal 82 2" xfId="371" xr:uid="{A998A6FF-9664-4055-B259-57D63063230B}"/>
    <cellStyle name="Normal 82_BOS Workings" xfId="372" xr:uid="{A7FB9255-8A25-49F6-8F0D-E6E961B2FB26}"/>
    <cellStyle name="Normal 83" xfId="373" xr:uid="{89B1CB2F-C5AF-4B59-B715-2F58939AB5C2}"/>
    <cellStyle name="Normal 83 2" xfId="374" xr:uid="{A723BE40-D465-49AC-A38A-33FA85E9CEC6}"/>
    <cellStyle name="Normal 83_BOS Workings" xfId="375" xr:uid="{824E72F0-8294-4304-A650-B643A4C44D2A}"/>
    <cellStyle name="Normal 84" xfId="376" xr:uid="{8A47E620-7BE6-404B-A4EE-90FF17032AD0}"/>
    <cellStyle name="Normal 84 2" xfId="377" xr:uid="{5A06F071-2E56-435F-B852-239C0815F7BE}"/>
    <cellStyle name="Normal 84_BOS Workings" xfId="378" xr:uid="{1E298B89-9586-4B41-8A6A-A5DA53E655E6}"/>
    <cellStyle name="Normal 85" xfId="379" xr:uid="{A6A0A5F5-F29A-4115-BEFE-92ACBDF38F70}"/>
    <cellStyle name="Normal 85 2" xfId="380" xr:uid="{3E196BB3-270B-4F53-92D6-3AD5C4A2AAB9}"/>
    <cellStyle name="Normal 85_BOS Workings" xfId="381" xr:uid="{B1776359-6DE5-4D4E-A433-E5C0AFB501CE}"/>
    <cellStyle name="Normal 86" xfId="382" xr:uid="{49D8F1C6-B7D1-4516-A010-18221667E8EB}"/>
    <cellStyle name="Normal 86 2" xfId="383" xr:uid="{E98154C4-0D32-44C3-8609-D96ADF15DB87}"/>
    <cellStyle name="Normal 86_BOS Workings" xfId="384" xr:uid="{7DECB474-4DFD-4C6E-B584-6796BE7FC9AA}"/>
    <cellStyle name="Normal 87" xfId="385" xr:uid="{25B8BF96-F27D-4787-94D9-C09E73B7ADF6}"/>
    <cellStyle name="Normal 87 2" xfId="386" xr:uid="{767A8F1D-3D96-47E0-A749-50F825AFAD55}"/>
    <cellStyle name="Normal 87_BOS Workings" xfId="387" xr:uid="{DBF04DF7-900D-4A1B-8FBE-9995B6A61F56}"/>
    <cellStyle name="Normal 88" xfId="388" xr:uid="{BE7167F7-A50F-48EE-906C-015552ADF88E}"/>
    <cellStyle name="Normal 88 2" xfId="389" xr:uid="{A61946AC-10A9-4684-B949-C444C4CDFBDE}"/>
    <cellStyle name="Normal 88_BOS Workings" xfId="390" xr:uid="{F8910B88-9F07-4ED0-86E7-975437438EAB}"/>
    <cellStyle name="Normal 89" xfId="391" xr:uid="{84E45C1E-2BA5-489D-9730-4FC0BB00A981}"/>
    <cellStyle name="Normal 89 2" xfId="392" xr:uid="{430954C0-2949-4A02-8F1F-00BEC39080C4}"/>
    <cellStyle name="Normal 89_BOS Workings" xfId="393" xr:uid="{4163E0EA-A145-4A43-842F-BA8EBAB31190}"/>
    <cellStyle name="Normal 9" xfId="394" xr:uid="{28E404EB-E237-42FC-97BC-3DCE079EA323}"/>
    <cellStyle name="Normal 9 2" xfId="395" xr:uid="{C8EBD70E-891B-4326-BE75-89F845C401D9}"/>
    <cellStyle name="Normal 9 3" xfId="396" xr:uid="{143553FA-8ABB-443D-A4A7-2A06E5DDEDBB}"/>
    <cellStyle name="Normal 9 3 2" xfId="397" xr:uid="{12F5F3D6-C078-44ED-8C34-1B1B80049886}"/>
    <cellStyle name="Normal 9 3_BOS Workings" xfId="398" xr:uid="{66EC1AB1-7EBE-48C9-A36D-078B70E0CFF9}"/>
    <cellStyle name="Normal 90" xfId="399" xr:uid="{A3561B30-548F-43D8-AD85-958F1D351E3B}"/>
    <cellStyle name="Normal 90 2" xfId="400" xr:uid="{164E38B8-9C14-42A0-A202-C1D9F8EA7792}"/>
    <cellStyle name="Normal 91" xfId="401" xr:uid="{4A3DD690-BA18-40AB-A0CC-B6F652F8355A}"/>
    <cellStyle name="Normal 91 2" xfId="402" xr:uid="{181B7B36-D3F8-464F-A422-365B8582B690}"/>
    <cellStyle name="Normal 92" xfId="403" xr:uid="{C659FB10-E852-436A-ACB0-3F74D491712E}"/>
    <cellStyle name="Normal 92 2" xfId="404" xr:uid="{90F523BE-81C9-4239-A48F-6886CD83391B}"/>
    <cellStyle name="Normal 93" xfId="405" xr:uid="{6BD9DED1-E14B-483F-A00F-A8D8E311EC4D}"/>
    <cellStyle name="Normal 93 2" xfId="406" xr:uid="{618EC27E-3A4A-4E5F-940F-A2985139F28B}"/>
    <cellStyle name="Normal 94" xfId="407" xr:uid="{CF951C73-2E08-4C56-9D21-8213C55A8190}"/>
    <cellStyle name="Normal 94 2" xfId="408" xr:uid="{4E195918-3689-4532-97BF-463908ACE0B8}"/>
    <cellStyle name="Normal 95" xfId="409" xr:uid="{DDB1F672-235E-45D1-84B8-712B4B53DD42}"/>
    <cellStyle name="Normal 95 2" xfId="410" xr:uid="{2D8F247A-F67F-4635-A03C-DFC4451783AA}"/>
    <cellStyle name="Normal 95 3" xfId="411" xr:uid="{9DA22534-4EFA-412D-8924-A8E7A78C6DAA}"/>
    <cellStyle name="Normal 96" xfId="412" xr:uid="{4E658F05-2FDB-4821-8E07-67E112E6577B}"/>
    <cellStyle name="Normal 96 2" xfId="413" xr:uid="{1E2FA59C-4192-4978-92B4-2F42FB3D8D3A}"/>
    <cellStyle name="Normal 96 3" xfId="414" xr:uid="{8FFFF2CD-6119-4767-A073-0B0BF7A5632B}"/>
    <cellStyle name="Normal 97" xfId="415" xr:uid="{F6E7D16F-1217-47D7-B520-1B9551023575}"/>
    <cellStyle name="Normal 97 2" xfId="416" xr:uid="{EC84F76E-153B-4769-AE2A-E4CCEE5DBF04}"/>
    <cellStyle name="Normal 98" xfId="417" xr:uid="{431B1FDC-C276-4B5C-A7CA-8DD8F7529559}"/>
    <cellStyle name="Normal 98 2" xfId="418" xr:uid="{08DFF7D1-7C40-49F0-8BFA-0D852BF54969}"/>
    <cellStyle name="Normal 99" xfId="419" xr:uid="{64741E8F-F030-4375-A3E4-5F4DF501D7CD}"/>
    <cellStyle name="Normal 99 2" xfId="420" xr:uid="{ED8178B2-CA69-466A-A52B-D586CFB0B0F3}"/>
    <cellStyle name="Normal_2000balx" xfId="6" xr:uid="{E8B0D61B-FA02-440D-AF55-4EBCB52C11D8}"/>
    <cellStyle name="Normale_Scen_UC_IND-StrucConst" xfId="5" xr:uid="{E476D790-1C54-4E5F-B760-26368DAD3F7D}"/>
    <cellStyle name="Output 2" xfId="510" xr:uid="{868753E5-6A23-4DF7-89FD-CFDA797CF3D2}"/>
    <cellStyle name="Percent" xfId="3" builtinId="5"/>
    <cellStyle name="Percent 2" xfId="8" xr:uid="{DE86C1D4-2BEC-4707-8CF0-C6F886097198}"/>
    <cellStyle name="Percent 3" xfId="11" xr:uid="{225779D0-4AD1-426A-91E2-FC406D70F71E}"/>
    <cellStyle name="Percent 3 2" xfId="477" xr:uid="{D76D9CE2-2393-4900-A877-F50F157A44B2}"/>
    <cellStyle name="Percent 4" xfId="21" xr:uid="{ECAE8F51-87B4-4552-89A0-DEE394256AAA}"/>
    <cellStyle name="Percent 5" xfId="459" xr:uid="{54C6E48D-C37B-405B-9A3A-489F928D2627}"/>
    <cellStyle name="Title 2" xfId="428" xr:uid="{AD77EC2A-D5EC-42C4-A03E-F308CEEBC815}"/>
    <cellStyle name="Title 3" xfId="542" xr:uid="{A3126E2C-C6D3-4375-A514-5F8DC07CC61E}"/>
    <cellStyle name="Total 2" xfId="504" xr:uid="{E4F3BCC0-5EDB-4FB4-9DCD-7DDAEA818552}"/>
    <cellStyle name="Warning Text 2" xfId="506" xr:uid="{1F9F4BD4-7024-48CD-A98B-2790D0D58486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120650</xdr:colOff>
      <xdr:row>11</xdr:row>
      <xdr:rowOff>31750</xdr:rowOff>
    </xdr:from>
    <xdr:to>
      <xdr:col>18</xdr:col>
      <xdr:colOff>3674</xdr:colOff>
      <xdr:row>26</xdr:row>
      <xdr:rowOff>116840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0609E-E719-4D05-8721-5348E0C1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3346450"/>
          <a:ext cx="4161654" cy="2863850"/>
        </a:xfrm>
        <a:prstGeom prst="rect">
          <a:avLst/>
        </a:prstGeom>
      </xdr:spPr>
    </xdr:pic>
    <xdr:clientData/>
  </xdr:twoCellAnchor>
  <xdr:twoCellAnchor>
    <xdr:from>
      <xdr:col>11</xdr:col>
      <xdr:colOff>450850</xdr:colOff>
      <xdr:row>20</xdr:row>
      <xdr:rowOff>76200</xdr:rowOff>
    </xdr:from>
    <xdr:to>
      <xdr:col>14</xdr:col>
      <xdr:colOff>571500</xdr:colOff>
      <xdr:row>20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DE439ED-008C-44BF-A4FA-6F133C7858CB}"/>
            </a:ext>
          </a:extLst>
        </xdr:cNvPr>
        <xdr:cNvCxnSpPr/>
      </xdr:nvCxnSpPr>
      <xdr:spPr>
        <a:xfrm flipV="1">
          <a:off x="10306050" y="3213100"/>
          <a:ext cx="1949450" cy="19050"/>
        </a:xfrm>
        <a:prstGeom prst="straightConnector1">
          <a:avLst/>
        </a:prstGeom>
        <a:ln w="28575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2" zoomScaleNormal="100" workbookViewId="0">
      <selection activeCell="B23" sqref="B23:D23"/>
    </sheetView>
  </sheetViews>
  <sheetFormatPr defaultColWidth="8.88671875" defaultRowHeight="14.4"/>
  <cols>
    <col min="1" max="4" width="21.6640625" customWidth="1"/>
    <col min="5" max="6" width="14.109375" customWidth="1"/>
    <col min="7" max="7" width="12.109375" customWidth="1"/>
    <col min="8" max="10" width="8.109375" customWidth="1"/>
    <col min="11" max="11" width="9.6640625" customWidth="1"/>
    <col min="12" max="12" width="8.109375" customWidth="1"/>
    <col min="13" max="13" width="10" customWidth="1"/>
    <col min="14" max="14" width="11.44140625" customWidth="1"/>
    <col min="15" max="15" width="13.44140625" customWidth="1"/>
  </cols>
  <sheetData>
    <row r="1" spans="1:26">
      <c r="A1" s="7"/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7"/>
      <c r="B2" s="7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7"/>
      <c r="B7" s="7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7"/>
      <c r="B8" s="7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7"/>
      <c r="B9" s="7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7"/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7"/>
      <c r="B11" s="7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7"/>
      <c r="B12" s="7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7"/>
      <c r="B13" s="7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7"/>
      <c r="B14" s="7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7"/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02.75" customHeight="1">
      <c r="A16" s="61" t="s">
        <v>67</v>
      </c>
      <c r="B16" s="61"/>
      <c r="C16" s="61"/>
      <c r="D16" s="61"/>
      <c r="E16" s="9"/>
      <c r="F16" s="9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.25" customHeight="1">
      <c r="A17" s="11"/>
      <c r="B17" s="11"/>
      <c r="C17" s="11"/>
      <c r="D17" s="11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7.25" customHeight="1">
      <c r="A18" s="11"/>
      <c r="B18" s="11"/>
      <c r="C18" s="11"/>
      <c r="D18" s="11"/>
      <c r="E18" s="12"/>
      <c r="F18" s="12"/>
      <c r="G18" s="13"/>
      <c r="H18" s="13"/>
      <c r="I18" s="13"/>
      <c r="J18" s="13"/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7.25" customHeight="1">
      <c r="A19" s="14" t="s">
        <v>68</v>
      </c>
      <c r="B19" s="60" t="s">
        <v>80</v>
      </c>
      <c r="C19" s="60"/>
      <c r="D19" s="60"/>
      <c r="E19" s="15"/>
      <c r="F19" s="15"/>
      <c r="G19" s="16"/>
      <c r="H19" s="16"/>
      <c r="I19" s="16"/>
      <c r="J19" s="16"/>
      <c r="K19" s="16"/>
      <c r="L19" s="1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7.25" customHeight="1">
      <c r="A20" s="14" t="s">
        <v>69</v>
      </c>
      <c r="B20" s="60" t="s">
        <v>79</v>
      </c>
      <c r="C20" s="60"/>
      <c r="D20" s="60"/>
      <c r="E20" s="15"/>
      <c r="F20" s="15"/>
      <c r="G20" s="16"/>
      <c r="H20" s="16"/>
      <c r="I20" s="16"/>
      <c r="J20" s="16"/>
      <c r="K20" s="16"/>
      <c r="L20" s="1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7.25" customHeight="1">
      <c r="A21" s="14" t="s">
        <v>70</v>
      </c>
      <c r="B21" s="17" t="s">
        <v>81</v>
      </c>
      <c r="C21" s="17"/>
      <c r="D21" s="17"/>
      <c r="E21" s="15"/>
      <c r="F21" s="15"/>
      <c r="G21" s="16"/>
      <c r="H21" s="16"/>
      <c r="I21" s="16"/>
      <c r="J21" s="16"/>
      <c r="K21" s="16"/>
      <c r="L21" s="1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7.25" customHeight="1">
      <c r="A22" s="14"/>
      <c r="B22" s="17"/>
      <c r="C22" s="17"/>
      <c r="D22" s="17"/>
      <c r="E22" s="15"/>
      <c r="F22" s="15"/>
      <c r="G22" s="16"/>
      <c r="H22" s="16"/>
      <c r="I22" s="16"/>
      <c r="J22" s="16"/>
      <c r="K22" s="16"/>
      <c r="L22" s="1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7.25" customHeight="1">
      <c r="A23" s="14" t="s">
        <v>71</v>
      </c>
      <c r="B23" s="60" t="s">
        <v>83</v>
      </c>
      <c r="C23" s="60"/>
      <c r="D23" s="6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.25" customHeight="1">
      <c r="A24" s="14"/>
      <c r="B24" s="17"/>
      <c r="C24" s="17"/>
      <c r="D24" s="1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7.25" customHeight="1">
      <c r="A25" s="14"/>
      <c r="B25" s="17"/>
      <c r="C25" s="17"/>
      <c r="D25" s="1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7.25" customHeight="1">
      <c r="A26" s="14" t="s">
        <v>72</v>
      </c>
      <c r="B26" s="60" t="s">
        <v>83</v>
      </c>
      <c r="C26" s="60"/>
      <c r="D26" s="6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.25" customHeight="1">
      <c r="A27" s="14"/>
      <c r="B27" s="17"/>
      <c r="C27" s="17"/>
      <c r="D27" s="1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7.25" customHeight="1">
      <c r="A28" s="14"/>
      <c r="B28" s="17"/>
      <c r="C28" s="17"/>
      <c r="D28" s="1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7.25" customHeight="1">
      <c r="A29" s="14" t="s">
        <v>73</v>
      </c>
      <c r="B29" s="18"/>
      <c r="C29" s="17"/>
      <c r="D29" s="1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7.25" customHeight="1">
      <c r="A30" s="14" t="s">
        <v>74</v>
      </c>
      <c r="B30" s="62" t="s">
        <v>75</v>
      </c>
      <c r="C30" s="60"/>
      <c r="D30" s="60"/>
      <c r="E30" s="19"/>
      <c r="F30" s="1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7.25" customHeight="1">
      <c r="A31" s="14" t="s">
        <v>76</v>
      </c>
      <c r="B31" s="60" t="s">
        <v>77</v>
      </c>
      <c r="C31" s="60"/>
      <c r="D31" s="60"/>
      <c r="E31" s="19"/>
      <c r="F31" s="1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7.25" customHeight="1">
      <c r="A32" s="20"/>
      <c r="B32" s="21" t="s">
        <v>78</v>
      </c>
      <c r="C32" s="20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7"/>
      <c r="B38" s="7"/>
      <c r="C38" s="7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7"/>
      <c r="B40" s="7"/>
      <c r="C40" s="7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</sheetData>
  <mergeCells count="7">
    <mergeCell ref="B31:D31"/>
    <mergeCell ref="A16:D16"/>
    <mergeCell ref="B19:D19"/>
    <mergeCell ref="B20:D20"/>
    <mergeCell ref="B23:D23"/>
    <mergeCell ref="B30:D30"/>
    <mergeCell ref="B26:D26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09375" defaultRowHeight="14.4"/>
  <cols>
    <col min="1" max="1" width="12.109375" customWidth="1"/>
    <col min="2" max="2" width="11.6640625" customWidth="1"/>
    <col min="3" max="3" width="3.109375" bestFit="1" customWidth="1"/>
    <col min="4" max="4" width="8.5546875" bestFit="1" customWidth="1"/>
    <col min="5" max="5" width="6.44140625" bestFit="1" customWidth="1"/>
    <col min="6" max="6" width="4.88671875" bestFit="1" customWidth="1"/>
    <col min="7" max="7" width="5.6640625" bestFit="1" customWidth="1"/>
    <col min="8" max="8" width="5.88671875" bestFit="1" customWidth="1"/>
    <col min="9" max="9" width="5.44140625" bestFit="1" customWidth="1"/>
    <col min="10" max="11" width="5.6640625" bestFit="1" customWidth="1"/>
    <col min="12" max="12" width="6.5546875" bestFit="1" customWidth="1"/>
    <col min="13" max="13" width="6.109375" bestFit="1" customWidth="1"/>
    <col min="14" max="14" width="6.6640625" bestFit="1" customWidth="1"/>
    <col min="15" max="15" width="6.5546875" bestFit="1" customWidth="1"/>
    <col min="16" max="16" width="7.33203125" bestFit="1" customWidth="1"/>
    <col min="17" max="17" width="5.6640625" bestFit="1" customWidth="1"/>
    <col min="18" max="18" width="6.109375" bestFit="1" customWidth="1"/>
    <col min="19" max="19" width="5.6640625" bestFit="1" customWidth="1"/>
    <col min="20" max="20" width="5.5546875" bestFit="1" customWidth="1"/>
    <col min="21" max="21" width="5.88671875" bestFit="1" customWidth="1"/>
    <col min="22" max="22" width="6.6640625" bestFit="1" customWidth="1"/>
    <col min="23" max="23" width="4.88671875" bestFit="1" customWidth="1"/>
    <col min="24" max="24" width="7.5546875" customWidth="1"/>
    <col min="25" max="25" width="6.6640625" bestFit="1" customWidth="1"/>
    <col min="26" max="26" width="6.109375" bestFit="1" customWidth="1"/>
    <col min="27" max="28" width="6" bestFit="1" customWidth="1"/>
    <col min="29" max="29" width="5.6640625" bestFit="1" customWidth="1"/>
    <col min="30" max="30" width="6.6640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151D-CBC7-469C-AD9B-B324E874F696}">
  <dimension ref="A2:AG59"/>
  <sheetViews>
    <sheetView tabSelected="1" topLeftCell="A7" workbookViewId="0">
      <selection activeCell="F24" sqref="F24"/>
    </sheetView>
  </sheetViews>
  <sheetFormatPr defaultRowHeight="14.4"/>
  <cols>
    <col min="2" max="2" width="13.5546875" bestFit="1" customWidth="1"/>
    <col min="3" max="3" width="23.5546875" customWidth="1"/>
    <col min="5" max="5" width="15" customWidth="1"/>
    <col min="6" max="6" width="13.44140625" customWidth="1"/>
    <col min="7" max="7" width="10.88671875" customWidth="1"/>
    <col min="8" max="8" width="16.77734375" customWidth="1"/>
    <col min="9" max="9" width="12.88671875" bestFit="1" customWidth="1"/>
  </cols>
  <sheetData>
    <row r="2" spans="2:9">
      <c r="B2" t="s">
        <v>106</v>
      </c>
    </row>
    <row r="3" spans="2:9">
      <c r="B3">
        <v>1</v>
      </c>
      <c r="E3" t="s">
        <v>108</v>
      </c>
      <c r="F3" s="23" t="s">
        <v>82</v>
      </c>
      <c r="G3" s="23" t="s">
        <v>105</v>
      </c>
    </row>
    <row r="4" spans="2:9">
      <c r="E4" t="s">
        <v>104</v>
      </c>
      <c r="F4">
        <v>1</v>
      </c>
      <c r="G4" s="25">
        <v>1</v>
      </c>
    </row>
    <row r="5" spans="2:9">
      <c r="E5" t="s">
        <v>101</v>
      </c>
      <c r="F5">
        <v>2</v>
      </c>
      <c r="G5" s="25">
        <v>0.75</v>
      </c>
    </row>
    <row r="6" spans="2:9">
      <c r="E6" t="s">
        <v>101</v>
      </c>
      <c r="F6">
        <v>3</v>
      </c>
      <c r="G6" s="42">
        <v>0.5</v>
      </c>
    </row>
    <row r="7" spans="2:9">
      <c r="E7" t="s">
        <v>102</v>
      </c>
      <c r="F7">
        <v>4</v>
      </c>
      <c r="G7" s="25">
        <v>0.25</v>
      </c>
    </row>
    <row r="8" spans="2:9">
      <c r="E8" t="s">
        <v>107</v>
      </c>
      <c r="F8" s="41">
        <v>5</v>
      </c>
      <c r="G8" s="24">
        <v>0</v>
      </c>
    </row>
    <row r="9" spans="2:9">
      <c r="G9" s="42"/>
    </row>
    <row r="10" spans="2:9">
      <c r="G10" s="25"/>
    </row>
    <row r="11" spans="2:9">
      <c r="G11" s="22"/>
    </row>
    <row r="12" spans="2:9">
      <c r="B12" s="26" t="s">
        <v>64</v>
      </c>
    </row>
    <row r="13" spans="2:9" ht="15" thickBot="1">
      <c r="B13" s="27" t="s">
        <v>65</v>
      </c>
      <c r="C13" s="27" t="s">
        <v>0</v>
      </c>
      <c r="D13" s="27" t="s">
        <v>66</v>
      </c>
      <c r="E13" s="27" t="s">
        <v>62</v>
      </c>
      <c r="F13" s="28" t="s">
        <v>84</v>
      </c>
      <c r="G13" s="29" t="s">
        <v>85</v>
      </c>
      <c r="H13" s="29" t="s">
        <v>63</v>
      </c>
      <c r="I13" s="29" t="s">
        <v>86</v>
      </c>
    </row>
    <row r="14" spans="2:9">
      <c r="C14" t="s">
        <v>61</v>
      </c>
      <c r="D14" t="s">
        <v>87</v>
      </c>
      <c r="E14">
        <v>2018</v>
      </c>
      <c r="F14">
        <v>0</v>
      </c>
      <c r="H14" t="s">
        <v>88</v>
      </c>
      <c r="I14" s="30" t="s">
        <v>89</v>
      </c>
    </row>
    <row r="15" spans="2:9">
      <c r="C15" t="s">
        <v>61</v>
      </c>
      <c r="D15" t="s">
        <v>87</v>
      </c>
      <c r="E15">
        <v>2025</v>
      </c>
      <c r="F15" s="31">
        <f>D29*E37*VLOOKUP($B$3,$F$3:$G$9,2,FALSE)</f>
        <v>1.2338425999491855</v>
      </c>
      <c r="H15" t="s">
        <v>88</v>
      </c>
      <c r="I15" s="30" t="s">
        <v>89</v>
      </c>
    </row>
    <row r="16" spans="2:9">
      <c r="C16" t="s">
        <v>61</v>
      </c>
      <c r="D16" t="s">
        <v>87</v>
      </c>
      <c r="E16">
        <v>2030</v>
      </c>
      <c r="F16" s="31">
        <f>D29*F37*VLOOKUP($B$3,$F$3:$G$9,2,FALSE)</f>
        <v>8.883666719634137</v>
      </c>
      <c r="H16" t="s">
        <v>88</v>
      </c>
      <c r="I16" s="30" t="s">
        <v>89</v>
      </c>
    </row>
    <row r="17" spans="2:9">
      <c r="C17" t="s">
        <v>61</v>
      </c>
      <c r="D17" t="s">
        <v>87</v>
      </c>
      <c r="E17">
        <v>2050</v>
      </c>
      <c r="F17" s="33">
        <f>D29*G37*VLOOKUP($B$3,$F$3:$G$9,2,FALSE)*1.2</f>
        <v>25.910694598932896</v>
      </c>
      <c r="H17" t="s">
        <v>88</v>
      </c>
      <c r="I17" s="30" t="s">
        <v>89</v>
      </c>
    </row>
    <row r="18" spans="2:9">
      <c r="C18" t="s">
        <v>61</v>
      </c>
      <c r="D18" t="s">
        <v>87</v>
      </c>
      <c r="E18">
        <v>2070</v>
      </c>
      <c r="F18" s="33">
        <f>D29*H37*VLOOKUP($B$3,$F$3:$G$9,2,FALSE)*1.15</f>
        <v>35.47297474853908</v>
      </c>
      <c r="H18" t="s">
        <v>88</v>
      </c>
      <c r="I18" s="30" t="s">
        <v>89</v>
      </c>
    </row>
    <row r="19" spans="2:9">
      <c r="B19" s="41"/>
      <c r="C19" s="41" t="s">
        <v>61</v>
      </c>
      <c r="D19" s="41" t="s">
        <v>87</v>
      </c>
      <c r="E19" s="41">
        <v>0</v>
      </c>
      <c r="F19" s="41">
        <v>5</v>
      </c>
      <c r="G19" s="41"/>
      <c r="H19" s="41" t="s">
        <v>88</v>
      </c>
      <c r="I19" s="41"/>
    </row>
    <row r="20" spans="2:9">
      <c r="C20" t="s">
        <v>61</v>
      </c>
      <c r="D20" t="s">
        <v>87</v>
      </c>
      <c r="E20">
        <v>2018</v>
      </c>
      <c r="F20">
        <v>0</v>
      </c>
      <c r="H20" t="s">
        <v>90</v>
      </c>
      <c r="I20" s="30" t="s">
        <v>91</v>
      </c>
    </row>
    <row r="21" spans="2:9">
      <c r="C21" t="s">
        <v>61</v>
      </c>
      <c r="D21" t="s">
        <v>87</v>
      </c>
      <c r="E21">
        <v>2030</v>
      </c>
      <c r="F21" s="31">
        <f>D29*F38*VLOOKUP($B$3,$F$3:$G$9,2,FALSE)</f>
        <v>0.74030555996951131</v>
      </c>
      <c r="H21" t="s">
        <v>90</v>
      </c>
      <c r="I21" s="30" t="s">
        <v>91</v>
      </c>
    </row>
    <row r="22" spans="2:9">
      <c r="C22" t="s">
        <v>61</v>
      </c>
      <c r="D22" t="s">
        <v>87</v>
      </c>
      <c r="E22">
        <v>2050</v>
      </c>
      <c r="F22" s="33">
        <f>D29*G38*VLOOKUP($B$3,$F$3:$G$9,2,FALSE)*1.2</f>
        <v>25.910694598932896</v>
      </c>
      <c r="H22" t="s">
        <v>90</v>
      </c>
      <c r="I22" s="30" t="s">
        <v>91</v>
      </c>
    </row>
    <row r="23" spans="2:9">
      <c r="C23" t="s">
        <v>61</v>
      </c>
      <c r="D23" t="s">
        <v>87</v>
      </c>
      <c r="E23">
        <v>2070</v>
      </c>
      <c r="F23" s="33">
        <f>D29*H38*VLOOKUP($B$3,$F$3:$G$9,2,FALSE)*1.15</f>
        <v>35.47297474853908</v>
      </c>
      <c r="H23" t="s">
        <v>90</v>
      </c>
      <c r="I23" s="30" t="s">
        <v>91</v>
      </c>
    </row>
    <row r="24" spans="2:9">
      <c r="B24" s="41"/>
      <c r="C24" s="41" t="s">
        <v>61</v>
      </c>
      <c r="D24" s="41" t="s">
        <v>87</v>
      </c>
      <c r="E24" s="41">
        <v>0</v>
      </c>
      <c r="F24" s="41">
        <v>5</v>
      </c>
      <c r="G24" s="41"/>
      <c r="H24" s="41" t="s">
        <v>90</v>
      </c>
      <c r="I24" s="41"/>
    </row>
    <row r="26" spans="2:9">
      <c r="C26" s="37" t="s">
        <v>92</v>
      </c>
      <c r="D26" s="34"/>
      <c r="E26" s="34"/>
    </row>
    <row r="27" spans="2:9">
      <c r="C27" s="39"/>
      <c r="D27" s="40">
        <v>2024</v>
      </c>
      <c r="E27" s="40">
        <v>2023</v>
      </c>
    </row>
    <row r="28" spans="2:9">
      <c r="C28" s="38" t="s">
        <v>93</v>
      </c>
      <c r="D28" s="35">
        <v>1473.4912104103198</v>
      </c>
      <c r="E28" s="35">
        <v>1437.4366418671198</v>
      </c>
    </row>
    <row r="29" spans="2:9">
      <c r="C29" s="32" t="s">
        <v>94</v>
      </c>
      <c r="D29" s="36">
        <v>61.692129997459276</v>
      </c>
      <c r="E29" s="36">
        <v>60.182597321692576</v>
      </c>
    </row>
    <row r="34" spans="3:33"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pans="3:33">
      <c r="C35" s="44" t="s">
        <v>95</v>
      </c>
      <c r="D35" s="43"/>
      <c r="E35" s="43"/>
      <c r="F35" s="43"/>
      <c r="G35" s="43"/>
      <c r="I35" s="43"/>
      <c r="J35" s="43"/>
    </row>
    <row r="36" spans="3:33">
      <c r="C36" s="47"/>
      <c r="D36" s="47">
        <v>2020</v>
      </c>
      <c r="E36" s="47">
        <v>2025</v>
      </c>
      <c r="F36" s="47">
        <v>2030</v>
      </c>
      <c r="G36" s="47">
        <v>2050</v>
      </c>
      <c r="H36" s="47">
        <v>2070</v>
      </c>
    </row>
    <row r="37" spans="3:33">
      <c r="C37" s="49" t="s">
        <v>96</v>
      </c>
      <c r="D37" s="45">
        <v>0</v>
      </c>
      <c r="E37" s="48">
        <f>G57</f>
        <v>0.02</v>
      </c>
      <c r="F37" s="48">
        <f>L57</f>
        <v>0.14400000000000002</v>
      </c>
      <c r="G37" s="45">
        <f>AF57</f>
        <v>0.35</v>
      </c>
      <c r="H37" s="45">
        <v>0.5</v>
      </c>
    </row>
    <row r="38" spans="3:33">
      <c r="C38" s="49" t="s">
        <v>97</v>
      </c>
      <c r="D38" s="45">
        <v>0</v>
      </c>
      <c r="E38" s="48">
        <f>G58</f>
        <v>0</v>
      </c>
      <c r="F38" s="48">
        <f>L58</f>
        <v>1.2E-2</v>
      </c>
      <c r="G38" s="45">
        <f>AF58</f>
        <v>0.35</v>
      </c>
      <c r="H38" s="45">
        <v>0.5</v>
      </c>
    </row>
    <row r="39" spans="3:33">
      <c r="C39" s="50" t="s">
        <v>98</v>
      </c>
      <c r="D39" s="46">
        <f>D38+D37</f>
        <v>0</v>
      </c>
      <c r="E39" s="46">
        <f t="shared" ref="E39:H39" si="0">E38+E37</f>
        <v>0.02</v>
      </c>
      <c r="F39" s="46">
        <f t="shared" si="0"/>
        <v>0.15600000000000003</v>
      </c>
      <c r="G39" s="46">
        <f t="shared" si="0"/>
        <v>0.7</v>
      </c>
      <c r="H39" s="46">
        <f t="shared" si="0"/>
        <v>1</v>
      </c>
    </row>
    <row r="43" spans="3:33">
      <c r="C43" s="44" t="s">
        <v>99</v>
      </c>
      <c r="D43" s="43"/>
      <c r="E43" s="43"/>
      <c r="F43" s="43"/>
      <c r="G43" s="43"/>
    </row>
    <row r="44" spans="3:33">
      <c r="C44" s="47"/>
      <c r="D44" s="47">
        <v>2020</v>
      </c>
      <c r="E44" s="47">
        <v>2025</v>
      </c>
      <c r="F44" s="47">
        <v>2030</v>
      </c>
      <c r="G44" s="47">
        <v>2050</v>
      </c>
      <c r="H44" s="47">
        <v>2070</v>
      </c>
    </row>
    <row r="45" spans="3:33">
      <c r="C45" s="49" t="s">
        <v>100</v>
      </c>
      <c r="D45" s="51">
        <v>1</v>
      </c>
      <c r="E45" s="51">
        <v>1</v>
      </c>
      <c r="F45" s="51">
        <v>1</v>
      </c>
      <c r="G45" s="51">
        <v>1</v>
      </c>
      <c r="H45" s="51">
        <v>1</v>
      </c>
    </row>
    <row r="46" spans="3:33">
      <c r="C46" s="49" t="s">
        <v>101</v>
      </c>
      <c r="D46" s="51">
        <v>0.5</v>
      </c>
      <c r="E46" s="51">
        <v>0.5</v>
      </c>
      <c r="F46" s="51">
        <v>0.5</v>
      </c>
      <c r="G46" s="51">
        <v>0.5</v>
      </c>
      <c r="H46" s="51">
        <v>0.5</v>
      </c>
    </row>
    <row r="47" spans="3:33">
      <c r="C47" s="50" t="s">
        <v>102</v>
      </c>
      <c r="D47" s="52">
        <v>0.25</v>
      </c>
      <c r="E47" s="52">
        <v>0.25</v>
      </c>
      <c r="F47" s="52">
        <v>0.25</v>
      </c>
      <c r="G47" s="52">
        <v>0.25</v>
      </c>
      <c r="H47" s="52">
        <v>0.25</v>
      </c>
    </row>
    <row r="49" spans="1:33">
      <c r="F49" s="53" t="s">
        <v>103</v>
      </c>
      <c r="G49" s="54">
        <v>0.5</v>
      </c>
    </row>
    <row r="55" spans="1:33">
      <c r="A55" s="57" t="s">
        <v>95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5"/>
    </row>
    <row r="56" spans="1:33">
      <c r="A56" s="58"/>
      <c r="B56" s="58">
        <v>2020</v>
      </c>
      <c r="C56" s="58">
        <v>2021</v>
      </c>
      <c r="D56" s="58">
        <v>2022</v>
      </c>
      <c r="E56" s="58">
        <v>2023</v>
      </c>
      <c r="F56" s="58">
        <v>2024</v>
      </c>
      <c r="G56" s="58">
        <v>2025</v>
      </c>
      <c r="H56" s="58">
        <v>2026</v>
      </c>
      <c r="I56" s="58">
        <v>2027</v>
      </c>
      <c r="J56" s="58">
        <v>2028</v>
      </c>
      <c r="K56" s="58">
        <v>2029</v>
      </c>
      <c r="L56" s="58">
        <v>2030</v>
      </c>
      <c r="M56" s="58">
        <v>2031</v>
      </c>
      <c r="N56" s="58">
        <v>2032</v>
      </c>
      <c r="O56" s="58">
        <v>2033</v>
      </c>
      <c r="P56" s="58">
        <v>2034</v>
      </c>
      <c r="Q56" s="58">
        <v>2035</v>
      </c>
      <c r="R56" s="58">
        <v>2036</v>
      </c>
      <c r="S56" s="58">
        <v>2037</v>
      </c>
      <c r="T56" s="58">
        <v>2038</v>
      </c>
      <c r="U56" s="58">
        <v>2039</v>
      </c>
      <c r="V56" s="58">
        <v>2040</v>
      </c>
      <c r="W56" s="58">
        <v>2041</v>
      </c>
      <c r="X56" s="58">
        <v>2042</v>
      </c>
      <c r="Y56" s="58">
        <v>2043</v>
      </c>
      <c r="Z56" s="58">
        <v>2044</v>
      </c>
      <c r="AA56" s="58">
        <v>2045</v>
      </c>
      <c r="AB56" s="58">
        <v>2046</v>
      </c>
      <c r="AC56" s="58">
        <v>2047</v>
      </c>
      <c r="AD56" s="58">
        <v>2048</v>
      </c>
      <c r="AE56" s="58">
        <v>2049</v>
      </c>
      <c r="AF56" s="58">
        <v>2050</v>
      </c>
      <c r="AG56" s="55"/>
    </row>
    <row r="57" spans="1:33">
      <c r="A57" s="49" t="s">
        <v>96</v>
      </c>
      <c r="B57" s="45">
        <v>0</v>
      </c>
      <c r="C57" s="45">
        <v>0</v>
      </c>
      <c r="D57" s="45">
        <v>0</v>
      </c>
      <c r="E57" s="45">
        <v>0</v>
      </c>
      <c r="F57" s="45">
        <v>0</v>
      </c>
      <c r="G57" s="48">
        <v>0.02</v>
      </c>
      <c r="H57" s="48">
        <v>4.7200000000000006E-2</v>
      </c>
      <c r="I57" s="48">
        <v>7.4400000000000008E-2</v>
      </c>
      <c r="J57" s="48">
        <v>0.10160000000000001</v>
      </c>
      <c r="K57" s="48">
        <v>0.12880000000000003</v>
      </c>
      <c r="L57" s="48">
        <v>0.14400000000000002</v>
      </c>
      <c r="M57" s="48">
        <v>0.15430000000000002</v>
      </c>
      <c r="N57" s="48">
        <v>0.16460000000000002</v>
      </c>
      <c r="O57" s="48">
        <v>0.17490000000000006</v>
      </c>
      <c r="P57" s="48">
        <v>0.18520000000000003</v>
      </c>
      <c r="Q57" s="48">
        <v>0.19550000000000006</v>
      </c>
      <c r="R57" s="48">
        <v>0.20580000000000004</v>
      </c>
      <c r="S57" s="48">
        <v>0.21610000000000007</v>
      </c>
      <c r="T57" s="48">
        <v>0.22640000000000007</v>
      </c>
      <c r="U57" s="48">
        <v>0.23670000000000008</v>
      </c>
      <c r="V57" s="48">
        <v>0.24700000000000008</v>
      </c>
      <c r="W57" s="48">
        <v>0.25730000000000008</v>
      </c>
      <c r="X57" s="48">
        <v>0.26760000000000006</v>
      </c>
      <c r="Y57" s="48">
        <v>0.27790000000000009</v>
      </c>
      <c r="Z57" s="48">
        <v>0.28820000000000012</v>
      </c>
      <c r="AA57" s="48">
        <v>0.2985000000000001</v>
      </c>
      <c r="AB57" s="48">
        <v>0.30880000000000007</v>
      </c>
      <c r="AC57" s="48">
        <v>0.31910000000000005</v>
      </c>
      <c r="AD57" s="48">
        <v>0.32940000000000003</v>
      </c>
      <c r="AE57" s="48">
        <v>0.3397</v>
      </c>
      <c r="AF57" s="48">
        <v>0.35</v>
      </c>
      <c r="AG57" s="55"/>
    </row>
    <row r="58" spans="1:33">
      <c r="A58" s="49" t="s">
        <v>97</v>
      </c>
      <c r="B58" s="45">
        <v>0</v>
      </c>
      <c r="C58" s="45">
        <v>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8">
        <v>1.2E-2</v>
      </c>
      <c r="M58" s="48">
        <v>2.8899999999999999E-2</v>
      </c>
      <c r="N58" s="48">
        <v>4.5799999999999993E-2</v>
      </c>
      <c r="O58" s="48">
        <v>6.2699999999999992E-2</v>
      </c>
      <c r="P58" s="48">
        <v>7.959999999999999E-2</v>
      </c>
      <c r="Q58" s="48">
        <v>9.6499999999999989E-2</v>
      </c>
      <c r="R58" s="48">
        <v>0.11339999999999999</v>
      </c>
      <c r="S58" s="48">
        <v>0.13029999999999997</v>
      </c>
      <c r="T58" s="48">
        <v>0.14719999999999997</v>
      </c>
      <c r="U58" s="48">
        <v>0.16409999999999997</v>
      </c>
      <c r="V58" s="48">
        <v>0.18099999999999997</v>
      </c>
      <c r="W58" s="48">
        <v>0.19789999999999996</v>
      </c>
      <c r="X58" s="48">
        <v>0.21479999999999996</v>
      </c>
      <c r="Y58" s="48">
        <v>0.23169999999999996</v>
      </c>
      <c r="Z58" s="48">
        <v>0.24859999999999996</v>
      </c>
      <c r="AA58" s="48">
        <v>0.26549999999999996</v>
      </c>
      <c r="AB58" s="48">
        <v>0.28239999999999998</v>
      </c>
      <c r="AC58" s="48">
        <v>0.29930000000000001</v>
      </c>
      <c r="AD58" s="48">
        <v>0.31620000000000004</v>
      </c>
      <c r="AE58" s="48">
        <v>0.33310000000000006</v>
      </c>
      <c r="AF58" s="45">
        <v>0.35</v>
      </c>
      <c r="AG58" s="55"/>
    </row>
    <row r="59" spans="1:33">
      <c r="A59" s="50" t="s">
        <v>98</v>
      </c>
      <c r="B59" s="46">
        <v>0</v>
      </c>
      <c r="C59" s="46">
        <v>0</v>
      </c>
      <c r="D59" s="46">
        <v>0</v>
      </c>
      <c r="E59" s="46">
        <v>0</v>
      </c>
      <c r="F59" s="46">
        <v>0</v>
      </c>
      <c r="G59" s="59">
        <v>0.02</v>
      </c>
      <c r="H59" s="59">
        <v>4.7200000000000006E-2</v>
      </c>
      <c r="I59" s="59">
        <v>7.4400000000000008E-2</v>
      </c>
      <c r="J59" s="59">
        <v>0.10160000000000001</v>
      </c>
      <c r="K59" s="59">
        <v>0.12880000000000003</v>
      </c>
      <c r="L59" s="59">
        <v>0.15600000000000003</v>
      </c>
      <c r="M59" s="59">
        <v>0.18320000000000003</v>
      </c>
      <c r="N59" s="59">
        <v>0.21040000000000003</v>
      </c>
      <c r="O59" s="59">
        <v>0.23760000000000003</v>
      </c>
      <c r="P59" s="59">
        <v>0.26480000000000004</v>
      </c>
      <c r="Q59" s="59">
        <v>0.29200000000000004</v>
      </c>
      <c r="R59" s="59">
        <v>0.31920000000000004</v>
      </c>
      <c r="S59" s="59">
        <v>0.34640000000000004</v>
      </c>
      <c r="T59" s="59">
        <v>0.37360000000000004</v>
      </c>
      <c r="U59" s="59">
        <v>0.40080000000000005</v>
      </c>
      <c r="V59" s="59">
        <v>0.42800000000000005</v>
      </c>
      <c r="W59" s="59">
        <v>0.45520000000000005</v>
      </c>
      <c r="X59" s="59">
        <v>0.48240000000000005</v>
      </c>
      <c r="Y59" s="59">
        <v>0.50960000000000005</v>
      </c>
      <c r="Z59" s="59">
        <v>0.53680000000000005</v>
      </c>
      <c r="AA59" s="59">
        <v>0.56400000000000006</v>
      </c>
      <c r="AB59" s="59">
        <v>0.59120000000000006</v>
      </c>
      <c r="AC59" s="59">
        <v>0.61840000000000006</v>
      </c>
      <c r="AD59" s="59">
        <v>0.64560000000000006</v>
      </c>
      <c r="AE59" s="59">
        <v>0.67280000000000006</v>
      </c>
      <c r="AF59" s="59">
        <v>0.7</v>
      </c>
      <c r="AG59" s="55" t="s">
        <v>109</v>
      </c>
    </row>
  </sheetData>
  <phoneticPr fontId="2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Limitations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2026-08-07T13:34:36Z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