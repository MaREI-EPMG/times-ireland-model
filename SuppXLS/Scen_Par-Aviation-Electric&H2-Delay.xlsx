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15F7E170-B250-4236-90EA-D525ABF109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4" r:id="rId1"/>
    <sheet name="Regions" sheetId="15" r:id="rId2"/>
    <sheet name="START year" sheetId="25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5" l="1"/>
  <c r="F23" i="25"/>
  <c r="F21" i="25"/>
  <c r="F20" i="25"/>
  <c r="F19" i="25"/>
  <c r="H22" i="25"/>
  <c r="H23" i="25"/>
  <c r="H21" i="25"/>
  <c r="H20" i="25"/>
  <c r="H19" i="25"/>
  <c r="AD5" i="15" l="1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<sst xmlns="http://schemas.openxmlformats.org/spreadsheetml/2006/main" count="129" uniqueCount="116">
  <si>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</si>
  <si>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</si>
  <si>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</si>
  <si>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</si>
  <si>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</si>
  <si>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</si>
  <si>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</si>
  <si>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</si>
  <si>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</si>
  <si>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</si>
  <si>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</si>
  <si>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</si>
  <si>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</si>
  <si>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</si>
  <si>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</si>
  <si>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</si>
  <si>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</si>
  <si>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</si>
  <si>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</si>
  <si>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</si>
  <si>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</si>
  <si>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</si>
  <si>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</si>
  <si>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</si>
  <si>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</si>
  <si>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</si>
  <si>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</si>
  <si>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</si>
  <si>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</si>
  <si>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</si>
  <si>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</si>
  <si>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</si>
  <si>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</si>
  <si>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</si>
  <si>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</si>
  <si>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</si>
  <si>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</si>
  <si>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</si>
  <si>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</si>
  <si>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</si>
  <si>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</si>
  <si>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</si>
  <si>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</si>
  <si>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</si>
  <si>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</si>
  <si>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</si>
  <si>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</si>
  <si>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</si>
  <si>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</si>
  <si>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</si>
  <si>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</si>
  <si>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</si>
  <si>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</si>
  <si>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</si>
  <si>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</si>
  <si>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</si>
  <si>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</si>
  <si>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</si>
  <si>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</si>
  <si>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</si>
  <si>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</si>
  <si>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Year</t>
  </si>
  <si>
    <t>Pset_PN</t>
  </si>
  <si>
    <t>~TFM_INS</t>
  </si>
  <si>
    <t>TimeSlice</t>
  </si>
  <si>
    <t>Attribute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</si>
  <si>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</si>
  <si>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</si>
  <si>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</si>
  <si>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</si>
  <si>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</si>
  <si>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</si>
  <si>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</si>
  <si>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</si>
  <si>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</si>
  <si>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</si>
  <si>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</si>
  <si>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</si>
  <si>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</si>
  <si>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Scenario</t>
  </si>
  <si>
    <t>Specify a carbon budget</t>
  </si>
  <si>
    <t>Case #</t>
  </si>
  <si>
    <t>Vahid Aryanpur (UCC, vahid.aryanpur@ucc.ie)</t>
  </si>
  <si>
    <t>AllRegions</t>
  </si>
  <si>
    <t>Pset_Set</t>
  </si>
  <si>
    <t>*notes</t>
  </si>
  <si>
    <t>START</t>
  </si>
  <si>
    <t>T-SAVI_INT_ELC_NEW</t>
  </si>
  <si>
    <t>Aviation international - Electric - Small Aircraft - New</t>
  </si>
  <si>
    <t>T-MAVI_INT_ELC_NEW</t>
  </si>
  <si>
    <t>Aviation international - Electric - Medium Aircraft - New</t>
  </si>
  <si>
    <t>Aviation Technology</t>
  </si>
  <si>
    <t>Start year for adoption of electric aircrafts_short-distance</t>
  </si>
  <si>
    <t>AVIELC</t>
  </si>
  <si>
    <t>TAVIINTS</t>
  </si>
  <si>
    <t>TAVIINTM</t>
  </si>
  <si>
    <t>Original START year</t>
  </si>
  <si>
    <t>Delay</t>
  </si>
  <si>
    <t>5-year delay</t>
  </si>
  <si>
    <t>10-year delay</t>
  </si>
  <si>
    <t>15-year delay</t>
  </si>
  <si>
    <t>20-year delay</t>
  </si>
  <si>
    <t>25-year delay</t>
  </si>
  <si>
    <t>30-year delay</t>
  </si>
  <si>
    <t>35-year delay</t>
  </si>
  <si>
    <t>40-year delay</t>
  </si>
  <si>
    <t>45-year delay</t>
  </si>
  <si>
    <t>Delay (years)</t>
  </si>
  <si>
    <t>Start year for adoption of electric aircrafts_Medium-distance</t>
  </si>
  <si>
    <t>~InputCell:1-6</t>
  </si>
  <si>
    <t>T-SAVI_INT_H2_NEW</t>
  </si>
  <si>
    <t>AVIH2</t>
  </si>
  <si>
    <t>T-MAVI_INT_H2_NEW</t>
  </si>
  <si>
    <t>T-LAVI_INT_H2_NEW</t>
  </si>
  <si>
    <t>TAVIINTL</t>
  </si>
  <si>
    <t>Start year for adoption of H2 aircrafts_short-distance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</si>
</sst>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0.0%"/>
    <numFmt numFmtId="166" formatCode="\Te\x\t"/>
    <numFmt numFmtId="167" formatCode="_(&quot;$&quot;* #,##0.00_);_(&quot;$&quot;* \(#,##0.00\);_(&quot;$&quot;* &quot;-&quot;??_);_(@_)"/>
    <numFmt numFmtId="168" formatCode="0.00_)"/>
    <numFmt numFmtId="169" formatCode="_-&quot;€&quot;* #,##0_-;\-&quot;€&quot;* #,##0_-;_-&quot;€&quot;* &quot;-&quot;_-;_-@_-"/>
    <numFmt numFmtId="170" formatCode="_-* #,##0_-;\-* #,##0_-;_-* &quot;-&quot;_-;_-@_-"/>
    <numFmt numFmtId="171" formatCode="_-&quot;€&quot;* #,##0.00_-;\-&quot;€&quot;* #,##0.00_-;_-&quot;€&quot;* &quot;-&quot;??_-;_-@_-"/>
    <numFmt numFmtId="172" formatCode="_-* #,##0.00_-;\-* #,##0.00_-;_-* &quot;-&quot;??_-;_-@_-"/>
  </numFmts>
  <fonts count="4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</font>
    <font>
      <sz val="9"/>
      <name val="Times New Roman"/>
      <family val="1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0"/>
      <color rgb="FF00000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rgb="FF00B0F0"/>
      <name val="Arial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660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15" fillId="0" borderId="0"/>
    <xf numFmtId="0" fontId="17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9" fontId="18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Border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31" borderId="0" applyNumberFormat="0" applyBorder="0" applyAlignment="0" applyProtection="0"/>
    <xf numFmtId="43" fontId="1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168" fontId="2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9" fillId="0" borderId="0" applyBorder="0"/>
    <xf numFmtId="0" fontId="17" fillId="0" borderId="0"/>
    <xf numFmtId="43" fontId="19" fillId="0" borderId="0" applyFont="0" applyFill="0" applyBorder="0" applyAlignment="0" applyProtection="0"/>
    <xf numFmtId="0" fontId="5" fillId="0" borderId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0" fontId="2" fillId="0" borderId="0"/>
    <xf numFmtId="0" fontId="19" fillId="0" borderId="0" applyBorder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19" fillId="0" borderId="0" applyBorder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31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168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5" fillId="0" borderId="0"/>
    <xf numFmtId="0" fontId="5" fillId="31" borderId="0" applyNumberFormat="0" applyBorder="0" applyAlignment="0" applyProtection="0"/>
    <xf numFmtId="0" fontId="5" fillId="0" borderId="0"/>
    <xf numFmtId="43" fontId="1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3" fillId="37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14" borderId="12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7" fillId="13" borderId="9" applyNumberFormat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5" fillId="12" borderId="9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43" fontId="17" fillId="0" borderId="0" applyFont="0" applyFill="0" applyBorder="0" applyAlignment="0" applyProtection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28" fillId="0" borderId="0" applyNumberFormat="0" applyFill="0" applyBorder="0" applyAlignment="0" applyProtection="0">
      <alignment vertical="center"/>
    </xf>
    <xf numFmtId="0" fontId="17" fillId="0" borderId="0"/>
    <xf numFmtId="43" fontId="2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17" fillId="0" borderId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2" fillId="0" borderId="0" applyFont="0" applyFill="0" applyBorder="0" applyAlignment="0" applyProtection="0"/>
  </cellStyleXfs>
  <cellXfs count="58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7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8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7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7" borderId="0" xfId="2" applyFont="1" applyFill="1" applyAlignment="1">
      <alignment vertical="center"/>
    </xf>
    <xf numFmtId="164" fontId="11" fillId="7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7" borderId="0" xfId="2" applyFont="1" applyFill="1" applyAlignment="1">
      <alignment vertical="center"/>
    </xf>
    <xf numFmtId="0" fontId="6" fillId="7" borderId="0" xfId="1" applyFill="1" applyAlignment="1">
      <alignment vertical="center"/>
    </xf>
    <xf numFmtId="165" fontId="0" fillId="0" borderId="0" xfId="3" applyNumberFormat="1" applyFont="1"/>
    <xf numFmtId="2" fontId="0" fillId="0" borderId="0" xfId="3" applyNumberFormat="1" applyFont="1"/>
    <xf numFmtId="0" fontId="4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2" fillId="5" borderId="1" xfId="0" applyFont="1" applyFill="1" applyBorder="1"/>
    <xf numFmtId="166" fontId="14" fillId="0" borderId="0" xfId="0" applyNumberFormat="1" applyFont="1" applyAlignment="1">
      <alignment vertical="center"/>
    </xf>
    <xf numFmtId="2" fontId="0" fillId="0" borderId="0" xfId="0" applyNumberFormat="1"/>
    <xf numFmtId="2" fontId="0" fillId="0" borderId="0" xfId="3" applyNumberFormat="1" applyFont="1" applyBorder="1"/>
    <xf numFmtId="0" fontId="3" fillId="4" borderId="2" xfId="0" applyFont="1" applyFill="1" applyBorder="1"/>
    <xf numFmtId="1" fontId="0" fillId="0" borderId="0" xfId="3" applyNumberFormat="1" applyFont="1"/>
    <xf numFmtId="0" fontId="0" fillId="0" borderId="0" xfId="0" applyAlignment="1">
      <alignment horizontal="right"/>
    </xf>
    <xf numFmtId="0" fontId="3" fillId="0" borderId="0" xfId="0" applyFont="1"/>
    <xf numFmtId="0" fontId="24" fillId="38" borderId="0" xfId="403" applyFont="1" applyFill="1" applyAlignment="1">
      <alignment vertical="center"/>
    </xf>
    <xf numFmtId="0" fontId="27" fillId="0" borderId="0" xfId="403" applyFont="1"/>
    <xf numFmtId="0" fontId="27" fillId="0" borderId="2" xfId="515" applyFont="1" applyBorder="1"/>
    <xf numFmtId="0" fontId="27" fillId="0" borderId="14" xfId="515" applyFont="1" applyBorder="1"/>
    <xf numFmtId="0" fontId="27" fillId="0" borderId="0" xfId="512" applyFont="1"/>
    <xf numFmtId="0" fontId="11" fillId="7" borderId="0" xfId="2" applyFont="1" applyFill="1" applyAlignment="1">
      <alignment vertical="center"/>
    </xf>
    <xf numFmtId="0" fontId="7" fillId="7" borderId="0" xfId="2" applyFont="1" applyFill="1" applyAlignment="1">
      <alignment horizontal="center" vertical="center"/>
    </xf>
    <xf numFmtId="0" fontId="6" fillId="7" borderId="0" xfId="1" applyFill="1" applyAlignment="1">
      <alignment vertical="center"/>
    </xf>
    <xf numFmtId="0" fontId="0" fillId="0" borderId="2" xfId="0" applyBorder="1"/>
    <xf numFmtId="1" fontId="0" fillId="0" borderId="2" xfId="0" applyNumberFormat="1" applyBorder="1"/>
    <xf numFmtId="166" fontId="14" fillId="0" borderId="2" xfId="0" applyNumberFormat="1" applyFont="1" applyBorder="1" applyAlignment="1">
      <alignment vertical="center"/>
    </xf>
    <xf numFmtId="2" fontId="19" fillId="0" borderId="2" xfId="20" applyNumberFormat="1" applyFont="1" applyFill="1" applyBorder="1"/>
    <xf numFmtId="0" fontId="0" fillId="0" borderId="0" xfId="0" applyBorder="1"/>
    <xf numFmtId="0" fontId="0" fillId="0" borderId="0" xfId="0"/>
    <xf numFmtId="166" fontId="14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27" fillId="0" borderId="2" xfId="515" applyFont="1" applyBorder="1"/>
    <xf numFmtId="0" fontId="27" fillId="0" borderId="14" xfId="515" applyFont="1" applyBorder="1"/>
    <xf numFmtId="0" fontId="27" fillId="0" borderId="0" xfId="515" applyFont="1"/>
    <xf numFmtId="0" fontId="27" fillId="0" borderId="0" xfId="605" applyFont="1"/>
    <xf numFmtId="0" fontId="0" fillId="0" borderId="2" xfId="0" applyBorder="1"/>
    <xf numFmtId="0" fontId="27" fillId="0" borderId="2" xfId="605" applyFont="1" applyBorder="1"/>
    <xf numFmtId="0" fontId="27" fillId="0" borderId="14" xfId="605" applyFont="1" applyBorder="1"/>
  </cellXfs>
  <cellStyles count="660">
    <cellStyle name="20% - Accent1 2" xfId="470" xr:uid="{84F537E0-D323-416C-890C-C03619CD813E}"/>
    <cellStyle name="20% - Accent2 2" xfId="466" xr:uid="{7777E63A-AB18-4ADF-A82C-0AF8C0C5AFF3}"/>
    <cellStyle name="20% - Accent3 2" xfId="462" xr:uid="{06BE495D-ACA9-4294-9E88-06F5E4228BA6}"/>
    <cellStyle name="20% - Accent4 2" xfId="458" xr:uid="{0BFB5E7A-D399-4489-AE8C-F0D7789F1DB6}"/>
    <cellStyle name="20% - Accent5 2" xfId="51" xr:uid="{F3314EAE-3FC6-43C7-A373-284FC8E2CFA7}"/>
    <cellStyle name="20% - Accent5 2 2" xfId="440" xr:uid="{C776808A-C64D-4F50-9F04-AEDCAE0244C0}"/>
    <cellStyle name="20% - Accent5 3" xfId="454" xr:uid="{4EC06EE2-2FBF-4078-89DC-0B1224D5BB5B}"/>
    <cellStyle name="20% - Accent5 4" xfId="427" xr:uid="{68281D35-C3CD-4FBF-9740-86A7E9F4137A}"/>
    <cellStyle name="20% - Accent6 2" xfId="450" xr:uid="{E13FB11E-D501-4610-9914-99A5AED650CC}"/>
    <cellStyle name="2x indented GHG Textfiels" xfId="16" xr:uid="{0329F919-1088-46C7-8A27-D47313487911}"/>
    <cellStyle name="40% - Accent1 2" xfId="469" xr:uid="{F037688D-AE70-4091-914E-B6BE8540E617}"/>
    <cellStyle name="40% - Accent2 2" xfId="465" xr:uid="{03F5F445-A027-4B67-B4DF-19DAF17009E0}"/>
    <cellStyle name="40% - Accent3 2" xfId="461" xr:uid="{B5247630-B06C-4CC6-AADC-3640975090C8}"/>
    <cellStyle name="40% - Accent4 2" xfId="457" xr:uid="{1735ECA7-C2FD-472A-A683-B10A71E5519B}"/>
    <cellStyle name="40% - Accent5 2" xfId="453" xr:uid="{B28AE6FA-DDEF-499D-836A-946625E651AA}"/>
    <cellStyle name="40% - Accent6 2" xfId="449" xr:uid="{2FE22D07-B820-44E7-BB21-A1AE98C86E19}"/>
    <cellStyle name="60% - Accent1 2" xfId="393" xr:uid="{A5CA9F46-1967-48A0-9C38-1B53971E12B1}"/>
    <cellStyle name="60% - Accent1 3" xfId="468" xr:uid="{22B4E143-B80D-4E91-8CF2-05C8E4E59D36}"/>
    <cellStyle name="60% - Accent2 2" xfId="392" xr:uid="{8E2559E9-3646-4297-93F9-FC719EE36F5F}"/>
    <cellStyle name="60% - Accent2 3" xfId="464" xr:uid="{82054222-9384-46D8-8FD9-341F3FD621F5}"/>
    <cellStyle name="60% - Accent3 2" xfId="391" xr:uid="{AAE33433-09AD-473F-8AAD-A1C684512F79}"/>
    <cellStyle name="60% - Accent3 3" xfId="460" xr:uid="{B851E2D3-E25F-474F-AD59-39C9B08FF7E3}"/>
    <cellStyle name="60% - Accent4 2" xfId="390" xr:uid="{79471D7A-E8D4-4E4B-9678-D3D3E922E237}"/>
    <cellStyle name="60% - Accent4 3" xfId="456" xr:uid="{CB0D4B09-9A18-4359-9956-E35603F4218D}"/>
    <cellStyle name="60% - Accent5 2" xfId="389" xr:uid="{A82EF2A4-E948-4844-88EB-B8F46F0A5F0E}"/>
    <cellStyle name="60% - Accent5 3" xfId="452" xr:uid="{113800DC-AF12-4F98-8668-939F4A741B52}"/>
    <cellStyle name="60% - Accent6 2" xfId="388" xr:uid="{814F16C8-9A2A-4001-8ADD-0617A94D8012}"/>
    <cellStyle name="60% - Accent6 3" xfId="448" xr:uid="{2E3F6993-A9CF-4411-A5B0-BD08C710A1CB}"/>
    <cellStyle name="Accent2 2" xfId="467" xr:uid="{A68CAFF4-8656-498B-BCD5-013E05EFC5A3}"/>
    <cellStyle name="Accent3 2" xfId="463" xr:uid="{A2E9B2A5-038D-40A9-B2C2-406E9AAC2C6A}"/>
    <cellStyle name="Accent4 2" xfId="459" xr:uid="{E5B44128-119B-456C-99A2-4ACACFD08C2F}"/>
    <cellStyle name="Accent5 2" xfId="455" xr:uid="{6FBC7DFE-4B66-4B1F-851C-F04C96D208DB}"/>
    <cellStyle name="Accent6 2" xfId="451" xr:uid="{1CF458BF-5B69-4E5B-9934-AA648C0C236E}"/>
    <cellStyle name="Bad 2" xfId="480" xr:uid="{0AC43109-0CA6-40DD-9FB0-C36A6CDB3E2C}"/>
    <cellStyle name="Calculation 2" xfId="476" xr:uid="{3B868195-D464-4F9D-8C25-5B3DDB17A12A}"/>
    <cellStyle name="Check Cell 2" xfId="474" xr:uid="{4D5F870A-8772-4428-91B2-637F3B5E621E}"/>
    <cellStyle name="Comma [0] 2" xfId="31" xr:uid="{DCA12B2A-9FB6-4CE6-A9E3-28C41609F3A1}"/>
    <cellStyle name="Comma [0] 2 2" xfId="47" xr:uid="{A72A3BB9-9C24-49EC-B1A0-2414B32FB92E}"/>
    <cellStyle name="Comma [0] 2 2 2" xfId="502" xr:uid="{329DEBD8-BFAD-4EAB-BBBB-AF70694E72C7}"/>
    <cellStyle name="Comma [0] 2 2 2 2" xfId="596" xr:uid="{63BA1CF6-FF93-4531-94AD-2EC0E54AACE3}"/>
    <cellStyle name="Comma [0] 2 2 3" xfId="653" xr:uid="{62E431FD-48E8-4D25-B9BC-9013721A8E9F}"/>
    <cellStyle name="Comma [0] 2 2 4" xfId="545" xr:uid="{584BCF8E-3F54-476C-AB30-CEC01CD50968}"/>
    <cellStyle name="Comma [0] 2 3" xfId="415" xr:uid="{9AF01B75-46FA-4B60-92E1-755A5710CC61}"/>
    <cellStyle name="Comma [0] 2 3 2" xfId="564" xr:uid="{20D22EE2-9C39-46E9-8BB2-C7E8EDC0BE4C}"/>
    <cellStyle name="Comma [0] 2 4" xfId="621" xr:uid="{5EEB4253-E923-4DE8-B0E3-7875CBAD61C6}"/>
    <cellStyle name="Comma [0] 2 5" xfId="529" xr:uid="{F1FBCEDC-002A-461D-BBDE-4741EA00D85B}"/>
    <cellStyle name="Comma 10" xfId="420" xr:uid="{520D6675-90CF-4334-8DF4-D0615F26F339}"/>
    <cellStyle name="Comma 10 2" xfId="506" xr:uid="{22F2D173-CF9C-4DEA-A379-9A81658975E5}"/>
    <cellStyle name="Comma 10 2 2" xfId="657" xr:uid="{6BC2EAB1-623A-4876-A9B0-27A9BC24C04B}"/>
    <cellStyle name="Comma 10 2 3" xfId="600" xr:uid="{FEA3DE10-D44F-4057-AE34-7F102F9F2438}"/>
    <cellStyle name="Comma 10 3" xfId="625" xr:uid="{9143BEA1-870A-4770-9016-75AA70B54FDF}"/>
    <cellStyle name="Comma 10 4" xfId="568" xr:uid="{44143A70-BC64-4866-B53B-35F1C5241690}"/>
    <cellStyle name="Comma 11" xfId="418" xr:uid="{770D0A5A-829E-401A-A044-3FD251FAE324}"/>
    <cellStyle name="Comma 11 2" xfId="505" xr:uid="{C303604F-C5CA-4E4C-BD55-C2AC2D48E0D4}"/>
    <cellStyle name="Comma 11 2 2" xfId="656" xr:uid="{DC1C2FA4-CEC2-407B-B51E-1937CDA7CB8D}"/>
    <cellStyle name="Comma 11 2 3" xfId="599" xr:uid="{438B7A18-72B6-45FD-84FF-1A60940C98F4}"/>
    <cellStyle name="Comma 11 3" xfId="624" xr:uid="{2719CA42-0784-44E1-9BEB-9917B3407B03}"/>
    <cellStyle name="Comma 11 4" xfId="567" xr:uid="{019B436F-BC32-4639-8B67-420EBBA4734A}"/>
    <cellStyle name="Comma 12" xfId="422" xr:uid="{2D758156-1E3B-4E51-91C4-5BCCEC986B38}"/>
    <cellStyle name="Comma 12 2" xfId="507" xr:uid="{EF18CD68-7D89-4543-BB50-F88672B90BB2}"/>
    <cellStyle name="Comma 12 2 2" xfId="658" xr:uid="{961E0B86-44CA-4276-9BA3-47D78CE26F5B}"/>
    <cellStyle name="Comma 12 2 3" xfId="601" xr:uid="{165A559A-3FF7-43F2-B7CE-28C4EF10E0E1}"/>
    <cellStyle name="Comma 12 3" xfId="626" xr:uid="{9B2785C5-92D4-44DB-BF6C-FB56F78992A7}"/>
    <cellStyle name="Comma 12 4" xfId="569" xr:uid="{7F842340-0F3E-4E5D-9254-363DFC9E4408}"/>
    <cellStyle name="Comma 13" xfId="442" xr:uid="{D1396E92-5187-4F46-82CD-ED60AEBF0751}"/>
    <cellStyle name="Comma 13 2" xfId="636" xr:uid="{FB7AEDAD-0E6B-41B5-84A1-7707B821544E}"/>
    <cellStyle name="Comma 13 3" xfId="579" xr:uid="{25EE9EC7-F385-4B13-B973-8B8EA7633C45}"/>
    <cellStyle name="Comma 14" xfId="486" xr:uid="{754F4032-B893-4739-AE66-90A66C65CA01}"/>
    <cellStyle name="Comma 14 2" xfId="640" xr:uid="{B54502B2-87BF-47E2-AF3D-B9EBC1371EF8}"/>
    <cellStyle name="Comma 14 3" xfId="583" xr:uid="{065A75DE-2923-4477-A77B-42E695B36A14}"/>
    <cellStyle name="Comma 15" xfId="438" xr:uid="{89326DD7-B4CC-452F-B94B-668FB8614B1B}"/>
    <cellStyle name="Comma 15 2" xfId="635" xr:uid="{5D1292AB-090A-4AD5-887B-2061409C4AFC}"/>
    <cellStyle name="Comma 15 3" xfId="578" xr:uid="{28017FF3-0BFE-4E2A-A4B6-D3A51105514D}"/>
    <cellStyle name="Comma 16" xfId="447" xr:uid="{1AE4F1E9-9ADD-4212-A125-C3F3868FD591}"/>
    <cellStyle name="Comma 16 2" xfId="639" xr:uid="{C402CF97-EA2A-4E1B-A04C-1B7EC2157387}"/>
    <cellStyle name="Comma 16 3" xfId="582" xr:uid="{8C044118-2CD4-4E07-AECD-11789DEAB788}"/>
    <cellStyle name="Comma 17" xfId="511" xr:uid="{5C922679-27B7-4961-ABA3-9BCFD7B2700E}"/>
    <cellStyle name="Comma 17 2" xfId="659" xr:uid="{1D446EA3-3088-4570-84CB-385D0128814B}"/>
    <cellStyle name="Comma 17 3" xfId="602" xr:uid="{FACC6032-A2CB-4D3D-9E12-B4BE449035F2}"/>
    <cellStyle name="Comma 18" xfId="425" xr:uid="{18569766-B162-4C99-B883-2D519ED69649}"/>
    <cellStyle name="Comma 18 2" xfId="627" xr:uid="{CCB7C6D9-5DE3-414A-8EA2-5CE5233F89F1}"/>
    <cellStyle name="Comma 18 3" xfId="570" xr:uid="{860619E4-DB07-4066-B891-0C30A661D5E4}"/>
    <cellStyle name="Comma 19" xfId="52" xr:uid="{6DE0C560-FAC3-46BE-B003-9D6728D2366F}"/>
    <cellStyle name="Comma 19 2" xfId="549" xr:uid="{4BDBEDBB-D702-40B4-85DA-32BEE28B5B3A}"/>
    <cellStyle name="Comma 2" xfId="11" xr:uid="{4304B038-176E-4D8F-85A2-2988D1ED72BC}"/>
    <cellStyle name="Comma 2 2" xfId="12" xr:uid="{4F65B0DF-EF10-46E5-8B8E-F4897825F4D4}"/>
    <cellStyle name="Comma 2 2 2" xfId="15" xr:uid="{F933C350-796E-43F4-ADF1-66963C3A7753}"/>
    <cellStyle name="Comma 2 2 2 2" xfId="38" xr:uid="{8BE944BB-4E61-4A2F-B5A1-DC3B0A58628D}"/>
    <cellStyle name="Comma 2 2 2 2 2" xfId="536" xr:uid="{769BEAA5-E655-43B4-8D9E-0BA07ACDD5DC}"/>
    <cellStyle name="Comma 2 2 2 3" xfId="491" xr:uid="{6C05E09E-578A-4D7D-ACD9-C868506CDFCD}"/>
    <cellStyle name="Comma 2 2 2 3 2" xfId="587" xr:uid="{90363F9A-25A1-4F42-8634-A3BE2A9A6758}"/>
    <cellStyle name="Comma 2 2 2 4" xfId="644" xr:uid="{B7EE2117-06F8-45F0-A36E-D846763ED041}"/>
    <cellStyle name="Comma 2 2 2 5" xfId="520" xr:uid="{221580EF-EB4B-4F43-A61B-C2C6945D463C}"/>
    <cellStyle name="Comma 2 2 3" xfId="35" xr:uid="{1D748E6F-C4B7-40CD-9BF5-88D1F70ACCEA}"/>
    <cellStyle name="Comma 2 2 3 2" xfId="434" xr:uid="{F4A99A4E-DC47-4B2B-8287-30566799D62A}"/>
    <cellStyle name="Comma 2 2 3 2 2" xfId="575" xr:uid="{CE187B05-672F-4311-84F0-A76D39B5540D}"/>
    <cellStyle name="Comma 2 2 3 3" xfId="632" xr:uid="{470B39E6-4FEF-4C74-9452-677230CF0545}"/>
    <cellStyle name="Comma 2 2 3 4" xfId="533" xr:uid="{DF7BE332-4376-40A3-98B1-3433578F295D}"/>
    <cellStyle name="Comma 2 2 4" xfId="399" xr:uid="{BE321310-9348-47BB-B7AB-3AF0731D7380}"/>
    <cellStyle name="Comma 2 2 4 2" xfId="555" xr:uid="{E90E6334-5585-4DF7-83AB-656DA823CF66}"/>
    <cellStyle name="Comma 2 2 5" xfId="612" xr:uid="{B1C3E5CA-9974-4746-B374-71E58061F045}"/>
    <cellStyle name="Comma 2 2 6" xfId="517" xr:uid="{453AA71E-F164-4F14-97F0-D08BA045481C}"/>
    <cellStyle name="Comma 2 3" xfId="14" xr:uid="{5A578EA3-4712-4B2C-8EFC-9C213C4DA63B}"/>
    <cellStyle name="Comma 2 3 2" xfId="37" xr:uid="{0B0AD1BC-F1C3-485B-AE3F-95B90A020089}"/>
    <cellStyle name="Comma 2 3 2 2" xfId="535" xr:uid="{E1C42FBE-A48D-44B7-8CEE-DA302CE92FD1}"/>
    <cellStyle name="Comma 2 3 3" xfId="446" xr:uid="{8CB9273B-BDAB-4FFF-993E-9A3812EA56C2}"/>
    <cellStyle name="Comma 2 3 3 2" xfId="581" xr:uid="{EA7EDEF2-4976-40A0-97D0-4122941C9A65}"/>
    <cellStyle name="Comma 2 3 4" xfId="638" xr:uid="{83A078C6-DFC8-4171-8FF3-E95E8DC64250}"/>
    <cellStyle name="Comma 2 3 5" xfId="519" xr:uid="{7F3ED2AD-8D35-4673-93A5-DD8D138A48CF}"/>
    <cellStyle name="Comma 2 4" xfId="18" xr:uid="{35AC15A9-EE79-48DA-8063-B22CB3563452}"/>
    <cellStyle name="Comma 2 4 2" xfId="40" xr:uid="{A57AE2F9-4B80-420E-911B-E43F9D56379C}"/>
    <cellStyle name="Comma 2 4 2 2" xfId="538" xr:uid="{61BFC00C-2C1D-4505-BB63-9B9E70555E14}"/>
    <cellStyle name="Comma 2 4 3" xfId="430" xr:uid="{DE14DB18-7311-4D2F-B2B6-16CE04D42382}"/>
    <cellStyle name="Comma 2 4 3 2" xfId="572" xr:uid="{25636E17-29E2-4D2F-AA96-330461C21B46}"/>
    <cellStyle name="Comma 2 4 4" xfId="629" xr:uid="{2C3B2033-6E53-4A67-B3A1-788890FE690B}"/>
    <cellStyle name="Comma 2 4 5" xfId="522" xr:uid="{83EF8F4C-21A7-4D56-859B-B67F92C81DC6}"/>
    <cellStyle name="Comma 2 5" xfId="34" xr:uid="{4EF5058A-0390-4D4B-9A67-DCC8DDAF351C}"/>
    <cellStyle name="Comma 2 5 2" xfId="532" xr:uid="{0E27788F-165F-4CE2-A736-A77731FDC76B}"/>
    <cellStyle name="Comma 2 6" xfId="55" xr:uid="{313860A0-9A23-496F-A07B-84C5F41A62E0}"/>
    <cellStyle name="Comma 2 6 2" xfId="551" xr:uid="{B6C18F04-823E-4F23-BA38-D1B50FD58FDA}"/>
    <cellStyle name="Comma 2 7" xfId="608" xr:uid="{535132D4-30E7-4A11-BE72-10C9C964B20E}"/>
    <cellStyle name="Comma 2 8" xfId="516" xr:uid="{2CFA4935-386F-4BF1-9271-CADA4F8BEE52}"/>
    <cellStyle name="Comma 20" xfId="50" xr:uid="{D7262C8C-36F7-4C7A-8E54-DB15AA12AD76}"/>
    <cellStyle name="Comma 20 2" xfId="548" xr:uid="{24574870-3B85-4C59-AC9F-2792816D44CA}"/>
    <cellStyle name="Comma 21" xfId="514" xr:uid="{68ED5815-4BC6-4A44-B523-659150853A8B}"/>
    <cellStyle name="Comma 21 2" xfId="604" xr:uid="{623B2C34-6EAB-4D13-A3CA-559EFEA7C5E8}"/>
    <cellStyle name="Comma 22" xfId="513" xr:uid="{051AB129-7E27-46EA-8EDB-FB06D5E10EEB}"/>
    <cellStyle name="Comma 22 2" xfId="603" xr:uid="{5EB2A1E8-9578-4FE5-9AE5-61DB911E0FD2}"/>
    <cellStyle name="Comma 23" xfId="606" xr:uid="{75E8C9FF-0EF3-4AAD-91F3-F3E76DA379AC}"/>
    <cellStyle name="Comma 3" xfId="13" xr:uid="{C1CDDE4D-E075-481B-A162-4E1811D4EAF1}"/>
    <cellStyle name="Comma 3 2" xfId="25" xr:uid="{C7BB0ED3-533E-4CDC-A6FE-E664DC6D9608}"/>
    <cellStyle name="Comma 3 2 2" xfId="43" xr:uid="{CACE8830-E6A6-4EC1-8B6D-18D276E3B65C}"/>
    <cellStyle name="Comma 3 2 2 2" xfId="492" xr:uid="{3D98E58D-19C4-4516-BA2A-F3FEF73C4E80}"/>
    <cellStyle name="Comma 3 2 2 2 2" xfId="588" xr:uid="{D98A5E7B-2EF1-431A-BAAF-A132C65DD706}"/>
    <cellStyle name="Comma 3 2 2 3" xfId="645" xr:uid="{74DB70BF-3219-497B-A728-35F9CDFCDA43}"/>
    <cellStyle name="Comma 3 2 2 4" xfId="541" xr:uid="{02C40AA5-3E5E-489C-AF1A-3D0C3FA844CD}"/>
    <cellStyle name="Comma 3 2 3" xfId="435" xr:uid="{36C7C20E-2DC8-4A20-89A6-384EF06A56A8}"/>
    <cellStyle name="Comma 3 2 3 2" xfId="633" xr:uid="{A7ADF84F-FA9F-4112-84DD-8D8ACB5AD2CF}"/>
    <cellStyle name="Comma 3 2 3 3" xfId="576" xr:uid="{58687796-E87D-4DD5-BE30-D2D9F7C84D3E}"/>
    <cellStyle name="Comma 3 2 4" xfId="400" xr:uid="{FC87486C-AF34-4F29-814F-AC792856ADC5}"/>
    <cellStyle name="Comma 3 2 4 2" xfId="556" xr:uid="{3B1CA806-E7B3-411B-8CEA-A288EBF76A39}"/>
    <cellStyle name="Comma 3 2 5" xfId="613" xr:uid="{809DD78A-4ED8-47E4-9AE1-F09D87D6AF06}"/>
    <cellStyle name="Comma 3 2 6" xfId="525" xr:uid="{9B97DABC-BF26-436B-B773-0BE64956C912}"/>
    <cellStyle name="Comma 3 3" xfId="36" xr:uid="{8D4868FB-119D-44E0-9739-7C3D24A30041}"/>
    <cellStyle name="Comma 3 3 2" xfId="488" xr:uid="{F68C0102-46DE-4B10-AFF6-B492AFA147D6}"/>
    <cellStyle name="Comma 3 3 2 2" xfId="584" xr:uid="{5C7CD98D-85DF-4344-8AE9-08D62122267E}"/>
    <cellStyle name="Comma 3 3 3" xfId="641" xr:uid="{4F26217E-ADD0-499F-87C5-6CC93D9383F1}"/>
    <cellStyle name="Comma 3 3 4" xfId="534" xr:uid="{96511433-C30F-4A0F-BD7A-C490BA062F3E}"/>
    <cellStyle name="Comma 3 4" xfId="428" xr:uid="{10721550-9D78-444F-84EB-693626AAC32E}"/>
    <cellStyle name="Comma 3 4 2" xfId="628" xr:uid="{36F57201-4AF6-48D7-A6C7-D9D34891FCC0}"/>
    <cellStyle name="Comma 3 4 3" xfId="571" xr:uid="{82AB9808-8E26-4A8C-91ED-E15DDA070EC7}"/>
    <cellStyle name="Comma 3 5" xfId="396" xr:uid="{226F0BEF-6F2D-4EF9-9942-C0D2E68E0A46}"/>
    <cellStyle name="Comma 3 5 2" xfId="552" xr:uid="{0AB9D9D3-01BC-4513-B960-8401AE3E347E}"/>
    <cellStyle name="Comma 3 6" xfId="609" xr:uid="{9E1D8783-C2DD-4509-9BFF-CDDB689B497B}"/>
    <cellStyle name="Comma 3 7" xfId="518" xr:uid="{04FE2720-4912-4028-BBC1-53047099B3BE}"/>
    <cellStyle name="Comma 4" xfId="17" xr:uid="{9D51845C-14ED-432B-B51D-37F0EA62B5DF}"/>
    <cellStyle name="Comma 4 2" xfId="23" xr:uid="{CD8EAA92-EB26-4FA0-A666-98C9B8463AFD}"/>
    <cellStyle name="Comma 4 2 2" xfId="42" xr:uid="{09616E8D-65A9-4575-A27B-D7FEE15C4820}"/>
    <cellStyle name="Comma 4 2 2 2" xfId="493" xr:uid="{9212DABA-73D5-46A6-AF89-C9D25E27BDD8}"/>
    <cellStyle name="Comma 4 2 2 2 2" xfId="589" xr:uid="{16CA4648-70E7-430D-AB6F-1BCC0E627DB0}"/>
    <cellStyle name="Comma 4 2 2 3" xfId="646" xr:uid="{F0E27DED-9A0E-4BB1-86B1-A29755DC4747}"/>
    <cellStyle name="Comma 4 2 2 4" xfId="540" xr:uid="{715756FC-3FC4-4A31-8102-9E8F828AFAC6}"/>
    <cellStyle name="Comma 4 2 3" xfId="436" xr:uid="{225F7902-0F3F-4BE6-AB66-8C440C0E80D5}"/>
    <cellStyle name="Comma 4 2 3 2" xfId="634" xr:uid="{758E2086-C5C0-45DD-9416-A88B3E82E6C7}"/>
    <cellStyle name="Comma 4 2 3 3" xfId="577" xr:uid="{7553D377-1217-4B3A-979A-4E361A50D4BD}"/>
    <cellStyle name="Comma 4 2 4" xfId="401" xr:uid="{3564CA27-7EB5-4ECA-B3E7-0A9D56F24BDF}"/>
    <cellStyle name="Comma 4 2 4 2" xfId="557" xr:uid="{1E730D21-07AE-451F-B4AE-1F412C37D690}"/>
    <cellStyle name="Comma 4 2 5" xfId="614" xr:uid="{71AFC5FB-07E2-41F5-B398-A84485E6BA13}"/>
    <cellStyle name="Comma 4 2 6" xfId="524" xr:uid="{1DB3D4C6-C8D0-4EAE-8976-C3BE03806D87}"/>
    <cellStyle name="Comma 4 3" xfId="39" xr:uid="{04BEA65C-FDA8-4797-B7E1-5BE3BC2DF29F}"/>
    <cellStyle name="Comma 4 3 2" xfId="489" xr:uid="{247D95B9-E484-43C7-AB58-43E3A3EA5191}"/>
    <cellStyle name="Comma 4 3 2 2" xfId="585" xr:uid="{E8F62053-4887-43DB-8F84-E4E31BD1B07F}"/>
    <cellStyle name="Comma 4 3 3" xfId="642" xr:uid="{B70FB7AA-09C7-4898-9205-23A9DD9AE1BE}"/>
    <cellStyle name="Comma 4 3 4" xfId="537" xr:uid="{E3047498-E8C0-493A-B4C4-E84D781AB2C1}"/>
    <cellStyle name="Comma 4 4" xfId="432" xr:uid="{0FB99ED7-A406-4988-BD56-384132E85704}"/>
    <cellStyle name="Comma 4 4 2" xfId="630" xr:uid="{0F31D198-3115-4952-9B17-C21B6990F6B1}"/>
    <cellStyle name="Comma 4 4 3" xfId="573" xr:uid="{8B6E7495-FA83-403D-9BC8-CFAD684ADCC7}"/>
    <cellStyle name="Comma 4 5" xfId="397" xr:uid="{512F145A-D1E8-43E2-9E93-302D3F5293BE}"/>
    <cellStyle name="Comma 4 5 2" xfId="553" xr:uid="{486B4A86-812F-486C-941B-CC7EA8E373B0}"/>
    <cellStyle name="Comma 4 6" xfId="610" xr:uid="{06415707-DCEF-4914-AA44-E49C4DF9825F}"/>
    <cellStyle name="Comma 4 7" xfId="521" xr:uid="{9FEE6AA7-9393-4879-A098-71F418D0F000}"/>
    <cellStyle name="Comma 5" xfId="30" xr:uid="{CC557472-2C58-4F40-B133-C1A92EA5DF03}"/>
    <cellStyle name="Comma 5 2" xfId="46" xr:uid="{78B5AB84-1A1A-4AB9-8EE1-024765C46D89}"/>
    <cellStyle name="Comma 5 2 2" xfId="501" xr:uid="{F3BE32F8-EEDB-4C0B-A584-65D89B4B3B85}"/>
    <cellStyle name="Comma 5 2 2 2" xfId="652" xr:uid="{83AC3E4B-A31F-4C31-A7A8-31D34A08B859}"/>
    <cellStyle name="Comma 5 2 2 3" xfId="595" xr:uid="{09BEC70B-450F-4B56-A7FB-C0EA0396BFD5}"/>
    <cellStyle name="Comma 5 2 3" xfId="414" xr:uid="{0C89968D-58E8-43DD-8D0F-E656DE9CCF0D}"/>
    <cellStyle name="Comma 5 2 3 2" xfId="563" xr:uid="{4C083C0B-F033-4B31-B458-CF92D361B8C7}"/>
    <cellStyle name="Comma 5 2 4" xfId="620" xr:uid="{023ACF2F-DC85-4911-A905-65F5F8CEB989}"/>
    <cellStyle name="Comma 5 2 5" xfId="544" xr:uid="{D1580FF4-4426-4880-8330-67F2238869EC}"/>
    <cellStyle name="Comma 5 3" xfId="490" xr:uid="{876388F1-09CA-4A3F-9DC6-8E94DA3D1DFF}"/>
    <cellStyle name="Comma 5 3 2" xfId="643" xr:uid="{9AE71464-6F19-4B3A-B82D-08071CF6D336}"/>
    <cellStyle name="Comma 5 3 3" xfId="586" xr:uid="{B577486D-94E5-4A48-B12D-B12EA76EF19A}"/>
    <cellStyle name="Comma 5 4" xfId="433" xr:uid="{E335E840-420C-4E24-B110-B0B877523C38}"/>
    <cellStyle name="Comma 5 4 2" xfId="631" xr:uid="{7D38959E-7BED-4F9C-AEB3-A2B009EAC8BD}"/>
    <cellStyle name="Comma 5 4 3" xfId="574" xr:uid="{C1DE858F-3656-4E9B-8C69-653ED26C8C51}"/>
    <cellStyle name="Comma 5 5" xfId="398" xr:uid="{25AACE83-7DEB-472B-9115-73D82BB2867D}"/>
    <cellStyle name="Comma 5 5 2" xfId="554" xr:uid="{0F8E8823-CD29-4074-8744-8130312C9469}"/>
    <cellStyle name="Comma 5 6" xfId="611" xr:uid="{092F9297-86CB-4739-B8A0-C74AB1840E18}"/>
    <cellStyle name="Comma 5 7" xfId="528" xr:uid="{D83A962E-6FFC-46E9-9C15-38D8EAA3A87D}"/>
    <cellStyle name="Comma 6" xfId="33" xr:uid="{2BEEE712-B179-4FEC-A38D-551DD5A973AD}"/>
    <cellStyle name="Comma 6 2" xfId="49" xr:uid="{199C0584-D3DC-4CEF-9B17-0695C511A8CD}"/>
    <cellStyle name="Comma 6 2 2" xfId="504" xr:uid="{A50BBDD7-BD80-4A69-A5B8-0A8EBF54D6D1}"/>
    <cellStyle name="Comma 6 2 2 2" xfId="655" xr:uid="{227F40F6-E926-412E-87DA-5F22D5240756}"/>
    <cellStyle name="Comma 6 2 2 3" xfId="598" xr:uid="{40BA34F1-EE86-4B0D-A0D7-43AD45E8538E}"/>
    <cellStyle name="Comma 6 2 3" xfId="417" xr:uid="{B966BCD3-5EF8-40CB-91FB-7F899BD04502}"/>
    <cellStyle name="Comma 6 2 3 2" xfId="566" xr:uid="{23642627-2DDC-4702-9FF0-6A9C9587E1DB}"/>
    <cellStyle name="Comma 6 2 4" xfId="623" xr:uid="{1A61CD69-7370-47C9-B0BB-E33485C7A411}"/>
    <cellStyle name="Comma 6 2 5" xfId="547" xr:uid="{D0ABBA82-885F-4476-912F-0905E57C44AD}"/>
    <cellStyle name="Comma 6 3" xfId="445" xr:uid="{5BFCD1DF-D259-46C8-AC45-9A2F7A2F7DEB}"/>
    <cellStyle name="Comma 6 3 2" xfId="637" xr:uid="{E2C37E5F-208E-4A6B-9341-3E1983C54DF0}"/>
    <cellStyle name="Comma 6 3 3" xfId="580" xr:uid="{5832182B-2652-44E9-9A8A-76A9F4972FE5}"/>
    <cellStyle name="Comma 6 4" xfId="54" xr:uid="{D4171B05-09DE-4D0A-9315-2779EA77384B}"/>
    <cellStyle name="Comma 6 4 2" xfId="550" xr:uid="{A42B5E56-AC1A-4FEA-953E-D2854C666B11}"/>
    <cellStyle name="Comma 6 5" xfId="607" xr:uid="{05812201-0CF7-4A5D-B79F-8562A990F79C}"/>
    <cellStyle name="Comma 6 6" xfId="531" xr:uid="{E2F9D5C0-2118-437F-8F3D-3BDB758C4263}"/>
    <cellStyle name="Comma 7" xfId="21" xr:uid="{3EE16592-79E3-4C5B-BD29-7C5E518E1BF5}"/>
    <cellStyle name="Comma 7 2" xfId="41" xr:uid="{62A18668-1783-4602-BCC0-A91A66C4C55F}"/>
    <cellStyle name="Comma 7 2 2" xfId="494" xr:uid="{9177D47E-2A42-4F5E-A05E-178D87B7CC92}"/>
    <cellStyle name="Comma 7 2 2 2" xfId="590" xr:uid="{D5CCB5FF-AAFB-4111-B938-2AE70975099F}"/>
    <cellStyle name="Comma 7 2 3" xfId="647" xr:uid="{522144A5-17C4-472D-8F64-6DAAB6351C44}"/>
    <cellStyle name="Comma 7 2 4" xfId="539" xr:uid="{B77E7E0C-3D99-45F8-B126-5A374FC8B52D}"/>
    <cellStyle name="Comma 7 3" xfId="404" xr:uid="{C7DACCB9-CA71-42E3-A62D-966784A5EE46}"/>
    <cellStyle name="Comma 7 3 2" xfId="558" xr:uid="{11275A23-0A95-4F98-99FD-10B49A9540AC}"/>
    <cellStyle name="Comma 7 4" xfId="615" xr:uid="{87F2A467-6400-4D83-A740-628F7175BB19}"/>
    <cellStyle name="Comma 7 5" xfId="523" xr:uid="{0A9D42A9-68F4-4CD4-AAB5-DC8AF9654EBB}"/>
    <cellStyle name="Comma 8" xfId="407" xr:uid="{979A74DF-8840-4C8B-B36B-9EC0EABD23E0}"/>
    <cellStyle name="Comma 8 2" xfId="496" xr:uid="{B720ECCF-647B-46C4-A39C-1FAA61388F66}"/>
    <cellStyle name="Comma 8 2 2" xfId="648" xr:uid="{FD18A178-1D14-4581-8DF0-A11F0A1801CD}"/>
    <cellStyle name="Comma 8 2 3" xfId="591" xr:uid="{89F33D50-C368-4807-90FF-86F4A0AB4F05}"/>
    <cellStyle name="Comma 8 3" xfId="616" xr:uid="{63ECB2FC-EDA2-4621-8E06-3610BBBC0515}"/>
    <cellStyle name="Comma 8 4" xfId="559" xr:uid="{2451EED7-50A8-4EB4-9985-C6608B8D2DF2}"/>
    <cellStyle name="Comma 9" xfId="411" xr:uid="{28048CC7-0F9C-4C68-A8F5-43F59F216A10}"/>
    <cellStyle name="Comma 9 2" xfId="498" xr:uid="{7877E0CA-62E2-48BD-BA9C-17BE081252DE}"/>
    <cellStyle name="Comma 9 2 2" xfId="649" xr:uid="{407EC714-1D54-4926-B4F3-69F786E2EA60}"/>
    <cellStyle name="Comma 9 2 3" xfId="592" xr:uid="{C4B88597-F8D1-4717-8D3D-8E28FA228C4A}"/>
    <cellStyle name="Comma 9 3" xfId="617" xr:uid="{5E14538B-7609-4BBD-849A-9BE5ED3E6E19}"/>
    <cellStyle name="Comma 9 4" xfId="560" xr:uid="{40F0B289-4DD6-403F-BA5A-CEF9FD851B98}"/>
    <cellStyle name="Currency [0] 2" xfId="29" xr:uid="{1882C072-3287-4209-8CA9-AD783DA3ECC7}"/>
    <cellStyle name="Currency [0] 2 2" xfId="45" xr:uid="{3A3F68B1-C68A-4438-8413-34E5DDD1531B}"/>
    <cellStyle name="Currency [0] 2 2 2" xfId="500" xr:uid="{C9FDAE1C-D384-4098-94CE-E01F433E67C7}"/>
    <cellStyle name="Currency [0] 2 2 2 2" xfId="594" xr:uid="{C4345E89-562F-48FF-8106-A138A25597F2}"/>
    <cellStyle name="Currency [0] 2 2 3" xfId="651" xr:uid="{289FDFFE-1386-4C6A-ADEC-F0EFCEEA7357}"/>
    <cellStyle name="Currency [0] 2 2 4" xfId="543" xr:uid="{C106CA9B-06EC-4D82-9948-5D413EA8EDDB}"/>
    <cellStyle name="Currency [0] 2 3" xfId="413" xr:uid="{DF2798C3-EE1C-4A4E-95DD-2139ED0EFA28}"/>
    <cellStyle name="Currency [0] 2 3 2" xfId="562" xr:uid="{D094EB8F-4A1F-4A76-99ED-EC9603A18EF4}"/>
    <cellStyle name="Currency [0] 2 4" xfId="619" xr:uid="{422B5CA2-61E1-44FC-B4E8-3FEDB48CFF82}"/>
    <cellStyle name="Currency [0] 2 5" xfId="527" xr:uid="{D8BB7D35-C0D8-4342-B2CC-2A4AC3A47245}"/>
    <cellStyle name="Currency 2" xfId="28" xr:uid="{5EFA7253-AD95-4E8F-9EBC-CACF58332A94}"/>
    <cellStyle name="Currency 2 2" xfId="44" xr:uid="{1D94755F-7C74-4BEA-8827-28A3093935E3}"/>
    <cellStyle name="Currency 2 2 2" xfId="57" xr:uid="{A9829AAB-75DF-4D74-B002-CE37E99B5CF8}"/>
    <cellStyle name="Currency 2 2 3" xfId="542" xr:uid="{71960E33-A430-49E1-B476-992EF828E8E5}"/>
    <cellStyle name="Currency 2 3" xfId="412" xr:uid="{51FF3C8C-C14A-401B-8F89-6F160498F491}"/>
    <cellStyle name="Currency 2 3 2" xfId="499" xr:uid="{BBF0CD05-2480-4E31-92AB-03EEAF30AB73}"/>
    <cellStyle name="Currency 2 3 2 2" xfId="650" xr:uid="{A5B6B0DE-BBF1-4226-8639-071FEA8DA735}"/>
    <cellStyle name="Currency 2 3 2 3" xfId="593" xr:uid="{0E8FD52B-5707-4FBD-BA63-9A1BBE279AC0}"/>
    <cellStyle name="Currency 2 3 3" xfId="618" xr:uid="{557C0A88-1E21-493E-914B-D04A25457173}"/>
    <cellStyle name="Currency 2 3 4" xfId="561" xr:uid="{F68E85E4-D404-4153-B023-37C787E21887}"/>
    <cellStyle name="Currency 2 4" xfId="56" xr:uid="{04B9A935-813A-480C-BC11-DB59E32CEA4E}"/>
    <cellStyle name="Currency 2 5" xfId="526" xr:uid="{B16AAF34-6020-4804-8F81-740BE5EA2E1C}"/>
    <cellStyle name="Currency 3" xfId="32" xr:uid="{54AD90EA-CBF0-471E-8EF8-7E998D37384D}"/>
    <cellStyle name="Currency 3 2" xfId="48" xr:uid="{29533073-F91E-4386-980D-7021B1AE6C18}"/>
    <cellStyle name="Currency 3 2 2" xfId="503" xr:uid="{9446EC5B-5994-4CB6-A781-77D32429F9F9}"/>
    <cellStyle name="Currency 3 2 2 2" xfId="654" xr:uid="{FD1AA2F3-3D90-4FF2-8E3B-51752FFB5282}"/>
    <cellStyle name="Currency 3 2 2 3" xfId="597" xr:uid="{390E2C0F-C9DA-43E3-9269-EAB82E9D6621}"/>
    <cellStyle name="Currency 3 2 3" xfId="416" xr:uid="{33958B3E-00D4-43D0-A334-CD15E751BE60}"/>
    <cellStyle name="Currency 3 2 3 2" xfId="565" xr:uid="{3A241E5A-C7AD-4982-924A-3FBF37FD327C}"/>
    <cellStyle name="Currency 3 2 4" xfId="622" xr:uid="{B934D7A6-A78B-4AAD-86D3-1BD3BD39513C}"/>
    <cellStyle name="Currency 3 2 5" xfId="546" xr:uid="{31B8CFD9-B54A-4384-981C-563FB7C6156C}"/>
    <cellStyle name="Currency 3 3" xfId="58" xr:uid="{58280E35-81F9-4C2C-87AE-B7E8C318A8F7}"/>
    <cellStyle name="Currency 3 4" xfId="530" xr:uid="{C1D98B60-3271-4D90-A192-B12343802DDD}"/>
    <cellStyle name="Currency 4" xfId="59" xr:uid="{A2CA6812-E8ED-4541-AAE3-6619F8E9A39C}"/>
    <cellStyle name="Currency 4 2" xfId="60" xr:uid="{EC0BE244-1C94-4D94-A341-53DF15441426}"/>
    <cellStyle name="Currency 4 3" xfId="61" xr:uid="{45B73773-AFC8-4E39-8658-EF3AD72FE438}"/>
    <cellStyle name="Explanatory Text 2" xfId="472" xr:uid="{4FF875D9-0711-4F0B-8804-E0B287E425F2}"/>
    <cellStyle name="Good 2" xfId="481" xr:uid="{B6373F54-FC30-4900-B051-9BE26EF7F89F}"/>
    <cellStyle name="Heading 1 2" xfId="485" xr:uid="{F5B31513-1E8E-43B3-B1D1-A3F590F94C15}"/>
    <cellStyle name="Heading 2 2" xfId="484" xr:uid="{30646E80-2A2C-4575-BC8E-1CA8A059B5FC}"/>
    <cellStyle name="Heading 3 2" xfId="483" xr:uid="{DF8EB221-7EA7-41A2-B62E-9E3B4AF8CFF4}"/>
    <cellStyle name="Heading 4 2" xfId="482" xr:uid="{90B72F14-D80D-4804-857D-C4D2BD96F44D}"/>
    <cellStyle name="Hyperlink" xfId="1" builtinId="8"/>
    <cellStyle name="Hyperlink 2" xfId="24" xr:uid="{2D89DC6C-86DC-4996-8654-BB3A8FA9E8D3}"/>
    <cellStyle name="Hyperlink 3" xfId="27" xr:uid="{F9D11DAB-3D3B-44CB-B621-02D28750AC53}"/>
    <cellStyle name="Input 2" xfId="478" xr:uid="{3D0A1FFD-52B4-4C96-A696-7D793CB3FC5A}"/>
    <cellStyle name="Linked Cell 2" xfId="475" xr:uid="{4C85CF1B-685E-422F-944A-67AFB3A8B120}"/>
    <cellStyle name="Neutral 2" xfId="394" xr:uid="{FF6D677E-CE3A-4CFB-94EE-BE3932892955}"/>
    <cellStyle name="Neutral 3" xfId="479" xr:uid="{8AF6B60C-3987-407B-A2D3-799DFB7BF535}"/>
    <cellStyle name="Normal" xfId="0" builtinId="0"/>
    <cellStyle name="Normal 10" xfId="4" xr:uid="{450E1057-1548-4FD0-ADBE-B9C2BF0CE546}"/>
    <cellStyle name="Normal 10 2" xfId="62" xr:uid="{7FAB503C-B894-46C1-A71D-4CE12F69EDEC}"/>
    <cellStyle name="Normal 10 2 2" xfId="63" xr:uid="{3455C4D8-3595-4626-845A-AA1481998A64}"/>
    <cellStyle name="Normal 10 2_BOS Workings" xfId="64" xr:uid="{2CBC4949-3B1E-49B3-9AB6-624279E2D4B7}"/>
    <cellStyle name="Normal 10 3" xfId="65" xr:uid="{B85E1B20-853E-440F-8B60-E79950AD6939}"/>
    <cellStyle name="Normal 10_BOS Workings" xfId="66" xr:uid="{83D54B4F-E5B3-4C12-B9B2-F30CE906243D}"/>
    <cellStyle name="Normal 100" xfId="67" xr:uid="{8252CED9-4870-461C-AE61-C8B532AB6DC8}"/>
    <cellStyle name="Normal 100 2" xfId="68" xr:uid="{09C65625-E294-4A99-8F4D-DDAEB8A30EE6}"/>
    <cellStyle name="Normal 101" xfId="69" xr:uid="{C6561D10-1A7B-4737-B46F-6CFB852D45D5}"/>
    <cellStyle name="Normal 101 2" xfId="70" xr:uid="{F04B8C91-57D0-4BFB-B08C-2A8E6F1AAD4C}"/>
    <cellStyle name="Normal 102" xfId="71" xr:uid="{ADCC1098-9C60-41C4-A852-07F2B3894EEC}"/>
    <cellStyle name="Normal 102 2" xfId="72" xr:uid="{D7137563-E526-49F0-99ED-BC90A9A3B0B7}"/>
    <cellStyle name="Normal 103" xfId="73" xr:uid="{A08EFE9C-FF24-4957-8781-EB9029AB259E}"/>
    <cellStyle name="Normal 103 2" xfId="74" xr:uid="{521DE046-8364-4A35-87CD-C7AE64004AB1}"/>
    <cellStyle name="Normal 104" xfId="75" xr:uid="{8315810F-2457-4AF3-BD59-ED603B484E33}"/>
    <cellStyle name="Normal 104 2" xfId="76" xr:uid="{EF21EC60-0345-4BF2-AA08-548B65EA5714}"/>
    <cellStyle name="Normal 105" xfId="77" xr:uid="{682CBB22-37CD-4864-9DFC-A29880CFA17A}"/>
    <cellStyle name="Normal 105 2" xfId="78" xr:uid="{2D55722D-415F-4078-B500-528830EFF0CD}"/>
    <cellStyle name="Normal 106" xfId="79" xr:uid="{86BE15AC-AE35-40CD-AAFA-AB800B159419}"/>
    <cellStyle name="Normal 106 2" xfId="80" xr:uid="{13D7D16C-30FC-4EF8-8896-64B49F84B146}"/>
    <cellStyle name="Normal 107" xfId="81" xr:uid="{00397ACC-344C-43ED-A343-22D0189CC253}"/>
    <cellStyle name="Normal 107 2" xfId="82" xr:uid="{FE270A84-5EAC-4199-A051-D3466674A745}"/>
    <cellStyle name="Normal 108" xfId="83" xr:uid="{43F29B50-0C9D-40D2-A0E8-3C033618DC4D}"/>
    <cellStyle name="Normal 108 2" xfId="84" xr:uid="{312D1428-9887-4D9B-B73A-F3AA054FEF93}"/>
    <cellStyle name="Normal 109" xfId="85" xr:uid="{8B431E03-F18C-4E23-814C-C6A74A7B2697}"/>
    <cellStyle name="Normal 11" xfId="86" xr:uid="{9DE32B9D-1BC2-4775-A943-BA1A7CF63A53}"/>
    <cellStyle name="Normal 11 2" xfId="87" xr:uid="{BF804D34-5B08-4A6D-BDC8-D5DA078EA443}"/>
    <cellStyle name="Normal 11 2 2" xfId="88" xr:uid="{05562845-1FA5-4F25-BE2F-C22145A682A7}"/>
    <cellStyle name="Normal 11 2_BOS Workings" xfId="89" xr:uid="{10740DA2-D89E-49EC-A25C-531B99E4326C}"/>
    <cellStyle name="Normal 11 3" xfId="90" xr:uid="{9DC4749B-A4F9-45EE-AFBC-E9F24ACCD613}"/>
    <cellStyle name="Normal 11_BOS Workings" xfId="91" xr:uid="{C7E5FD13-AEA4-47DE-9993-56ABD488B48C}"/>
    <cellStyle name="Normal 110" xfId="92" xr:uid="{E3BACBDB-050F-4218-AC46-EA0A1F75E923}"/>
    <cellStyle name="Normal 111" xfId="93" xr:uid="{B09E96C2-EC64-46AE-B523-0ECE8D37A57D}"/>
    <cellStyle name="Normal 112" xfId="94" xr:uid="{3AC03D3E-128A-4F87-9D5B-90396FD0DC9B}"/>
    <cellStyle name="Normal 113" xfId="95" xr:uid="{7174EDDA-9207-4B7D-8DB5-02E94665B70A}"/>
    <cellStyle name="Normal 114" xfId="96" xr:uid="{BC030851-CB6F-4ED4-AF03-401A4705913A}"/>
    <cellStyle name="Normal 115" xfId="97" xr:uid="{8A9FFBC9-FBDC-4181-A313-DF1D00952007}"/>
    <cellStyle name="Normal 116" xfId="98" xr:uid="{13B0BB09-34E5-452D-A826-F44FDA98F9D9}"/>
    <cellStyle name="Normal 117" xfId="99" xr:uid="{C2C8A0BE-E0F4-4711-8F48-674DB1644FF2}"/>
    <cellStyle name="Normal 118" xfId="100" xr:uid="{C305E014-3ECB-42EB-BC4D-85715A638F51}"/>
    <cellStyle name="Normal 119" xfId="101" xr:uid="{CFEECE8B-012E-4414-A340-DCD841372C7F}"/>
    <cellStyle name="Normal 12" xfId="102" xr:uid="{983E5542-76FC-47C2-B4A3-84D829B799E2}"/>
    <cellStyle name="Normal 12 2" xfId="103" xr:uid="{95ABDA68-6E7A-4435-82A5-C28298F3AA1A}"/>
    <cellStyle name="Normal 12 2 2" xfId="104" xr:uid="{CA92055D-CE2D-4E9E-A85D-1B934FC586F6}"/>
    <cellStyle name="Normal 12 2_BOS Workings" xfId="105" xr:uid="{30EA9FEA-02BB-4A7A-A5C8-8B5EDE74FF6B}"/>
    <cellStyle name="Normal 12 3" xfId="106" xr:uid="{8AAD58F0-B068-4099-A68F-42450FD07BD1}"/>
    <cellStyle name="Normal 12_BOS Workings" xfId="107" xr:uid="{B0369AE9-CF67-45D4-BFE7-B833063D9EBA}"/>
    <cellStyle name="Normal 120" xfId="53" xr:uid="{BE194E99-A428-4B3B-BE3D-43FD60A3B572}"/>
    <cellStyle name="Normal 120 2" xfId="443" xr:uid="{068FC9BC-BAC9-457F-A17D-D9869D1C5971}"/>
    <cellStyle name="Normal 121" xfId="402" xr:uid="{96EEBEB4-701E-4EB6-8FB8-3E9A57727770}"/>
    <cellStyle name="Normal 122" xfId="406" xr:uid="{FBE221FC-3F60-4E98-95A4-3AF48859750D}"/>
    <cellStyle name="Normal 123" xfId="408" xr:uid="{0FBCD99F-3DC9-475D-ABD5-0412B15A8BBA}"/>
    <cellStyle name="Normal 124" xfId="419" xr:uid="{BF259F11-AEA4-4467-99CD-42A499C3281D}"/>
    <cellStyle name="Normal 125" xfId="410" xr:uid="{1BE636FA-257D-4F92-A460-33BED31C9155}"/>
    <cellStyle name="Normal 126" xfId="421" xr:uid="{5CC134C4-5F39-4058-B248-4D27D2562C37}"/>
    <cellStyle name="Normal 127" xfId="423" xr:uid="{4E3E35A9-2217-45E2-BBD0-E1397EEFF99B}"/>
    <cellStyle name="Normal 127 2" xfId="508" xr:uid="{0B91239D-458E-4ACE-9742-C7F14DB9D4CB}"/>
    <cellStyle name="Normal 128" xfId="437" xr:uid="{3B739C20-AF77-494F-BF17-31BD14D5E6DA}"/>
    <cellStyle name="Normal 129" xfId="487" xr:uid="{FB9BB3F2-36E9-4196-B4AD-44AF44796EAD}"/>
    <cellStyle name="Normal 13" xfId="108" xr:uid="{E66D6BF0-6305-4B3A-B759-FF0953CFDAE8}"/>
    <cellStyle name="Normal 13 2" xfId="109" xr:uid="{F12DCFC7-D9E4-4289-9596-862127D815FD}"/>
    <cellStyle name="Normal 13 2 2" xfId="110" xr:uid="{5ED1AFF5-153A-4F59-813B-5535BD09A853}"/>
    <cellStyle name="Normal 13 2_BOS Workings" xfId="111" xr:uid="{CE1C9714-4A60-4D48-8E49-642DBA0C0A0B}"/>
    <cellStyle name="Normal 13 3" xfId="112" xr:uid="{9D14511C-CB68-418C-B5D4-7275EE124FA4}"/>
    <cellStyle name="Normal 13_BOS Workings" xfId="113" xr:uid="{21652B89-3C95-4B7A-AC3C-E1C5F499D77C}"/>
    <cellStyle name="Normal 130" xfId="510" xr:uid="{783F42A0-F33D-42A9-846D-FCF411C5F19A}"/>
    <cellStyle name="Normal 131" xfId="424" xr:uid="{C7FAFA05-5521-435E-94C4-76FB8278908D}"/>
    <cellStyle name="Normal 132" xfId="403" xr:uid="{02F7F230-DCA7-41C6-BABB-FCC0DF0635EC}"/>
    <cellStyle name="Normal 133" xfId="515" xr:uid="{43E99EA9-CD4C-4ECF-A850-3608D90EC389}"/>
    <cellStyle name="Normal 134" xfId="512" xr:uid="{55EEED56-F1D1-4771-A0D2-FB57544F984E}"/>
    <cellStyle name="Normal 135" xfId="605" xr:uid="{F0ECC901-8C38-4C23-B29E-9C8E4A374A9F}"/>
    <cellStyle name="Normal 14" xfId="114" xr:uid="{FECF4D9B-104C-4BF0-800F-E1FFF7004E2F}"/>
    <cellStyle name="Normal 14 2" xfId="115" xr:uid="{FAF435A5-6155-4837-8C95-F58DD3579CB1}"/>
    <cellStyle name="Normal 14_BOS Workings" xfId="116" xr:uid="{6C97F62D-BBCE-46B3-BB59-32C69F582ED4}"/>
    <cellStyle name="Normal 15" xfId="117" xr:uid="{E3415B7D-B97D-4265-BF1F-60AB83608223}"/>
    <cellStyle name="Normal 15 2" xfId="118" xr:uid="{67FF832F-2912-4874-92BF-876E6C6DB605}"/>
    <cellStyle name="Normal 15_BOS Workings" xfId="119" xr:uid="{EF1DAD3B-09AC-475E-B441-A1622A02056F}"/>
    <cellStyle name="Normal 16" xfId="120" xr:uid="{4F33A92C-DDAC-4BAD-BC5E-27C3433A63A2}"/>
    <cellStyle name="Normal 16 2" xfId="121" xr:uid="{1AFCFF8B-AE44-4F9F-B907-1C295CC7E1DA}"/>
    <cellStyle name="Normal 16_BOS Workings" xfId="122" xr:uid="{A166E8CB-4C23-4A7F-9ECE-2B1300CE2D9A}"/>
    <cellStyle name="Normal 17" xfId="123" xr:uid="{0B393831-3E66-447C-ADFE-729AF4AFC89E}"/>
    <cellStyle name="Normal 17 2" xfId="124" xr:uid="{4A5AAB5A-AE68-4AFE-B1F4-055A74980DEE}"/>
    <cellStyle name="Normal 17_BOS Workings" xfId="125" xr:uid="{76D6C929-9728-4E03-9193-F584B07A054A}"/>
    <cellStyle name="Normal 18" xfId="126" xr:uid="{ADDE16CA-6436-4E30-B7C6-457D9B0C63EF}"/>
    <cellStyle name="Normal 18 2" xfId="127" xr:uid="{CDCB4BF4-6B24-463A-B7D6-61FA25A4012D}"/>
    <cellStyle name="Normal 18_BOS Workings" xfId="128" xr:uid="{31EDDEE6-8B87-46B6-97D1-09AE62DE203C}"/>
    <cellStyle name="Normal 19" xfId="129" xr:uid="{B22952E3-F27D-4145-A530-DB7477629FD5}"/>
    <cellStyle name="Normal 19 2" xfId="130" xr:uid="{B9E84BDF-AEB7-4C81-9F25-DC24F175DE63}"/>
    <cellStyle name="Normal 19_BOS Workings" xfId="131" xr:uid="{079FF719-D25F-47CA-A0C1-D5501DE2AA07}"/>
    <cellStyle name="Normal 2" xfId="2" xr:uid="{5CD6EEE1-73B2-4911-9FC2-AF042D96273E}"/>
    <cellStyle name="Normal 2 2" xfId="26" xr:uid="{A8CF27B4-5E8E-4FBE-95EE-9F266E7C189D}"/>
    <cellStyle name="Normal 2 2 2" xfId="409" xr:uid="{45224DDB-CCEB-4B43-8ECB-3EEB4EA8D0CD}"/>
    <cellStyle name="Normal 2 2 2 2" xfId="497" xr:uid="{A27662A7-786E-430D-8C05-A04C6CE9E4CC}"/>
    <cellStyle name="Normal 2 2 2 3" xfId="431" xr:uid="{89397E33-873C-4BBE-909D-10BEEFC4D6DE}"/>
    <cellStyle name="Normal 2 2 3" xfId="429" xr:uid="{BEB03931-5C5F-4725-BEB8-A1FDBE0CD005}"/>
    <cellStyle name="Normal 2 2 4" xfId="132" xr:uid="{5C62CC66-E7C7-4E27-96E0-5289DF57E065}"/>
    <cellStyle name="Normal 20" xfId="133" xr:uid="{BCD3AD4E-4A5E-45D3-A0D6-9589D1E0D1A0}"/>
    <cellStyle name="Normal 20 2" xfId="134" xr:uid="{A2A7FE60-1A6B-4E8C-8725-E4405F6BFC7B}"/>
    <cellStyle name="Normal 20_BOS Workings" xfId="135" xr:uid="{CA6216D1-BD71-44A8-9B00-5A7C261B28DB}"/>
    <cellStyle name="Normal 21" xfId="136" xr:uid="{86C999F1-69FB-4234-8A25-2D7D81A8B4A7}"/>
    <cellStyle name="Normal 21 2" xfId="137" xr:uid="{9D1CE201-36B9-4A7E-9EC8-A09CBA17ADB2}"/>
    <cellStyle name="Normal 21_BOS Workings" xfId="138" xr:uid="{E046B27F-0AE6-40DE-8BD8-270557714A08}"/>
    <cellStyle name="Normal 22" xfId="139" xr:uid="{A9B6AA10-3EBA-491D-A6C0-2D18BAD55870}"/>
    <cellStyle name="Normal 22 2" xfId="140" xr:uid="{5BCB0E4E-1B99-40E4-9BFD-44E716A773FD}"/>
    <cellStyle name="Normal 22_BOS Workings" xfId="141" xr:uid="{B1154E2B-6A6E-412D-A670-D613710FCA5C}"/>
    <cellStyle name="Normal 23" xfId="142" xr:uid="{F87D9A2C-7F7A-424C-9903-4AEBAE687372}"/>
    <cellStyle name="Normal 23 2" xfId="143" xr:uid="{5B5268FB-4CD4-44A4-AB51-C2C581827EFC}"/>
    <cellStyle name="Normal 23_BOS Workings" xfId="144" xr:uid="{2586B54C-C842-4BFC-B8CD-AB6BF09EA83C}"/>
    <cellStyle name="Normal 24" xfId="145" xr:uid="{C13D2156-1F8C-42D6-9276-A61DC63DEE4D}"/>
    <cellStyle name="Normal 24 2" xfId="146" xr:uid="{29899A56-CFE4-4901-9028-4768BA4EC741}"/>
    <cellStyle name="Normal 24_BOS Workings" xfId="147" xr:uid="{2D652493-FE34-482E-B1B7-95CBCB58A37A}"/>
    <cellStyle name="Normal 25" xfId="148" xr:uid="{42F66524-8A2C-4954-BF81-36A26FE6000C}"/>
    <cellStyle name="Normal 25 2" xfId="149" xr:uid="{AA8997FA-EA26-46D0-9781-27685F4C7F4C}"/>
    <cellStyle name="Normal 25_BOS Workings" xfId="150" xr:uid="{E9E4B5CC-4DDF-4429-9EB9-68197B56EFD2}"/>
    <cellStyle name="Normal 26" xfId="151" xr:uid="{1DB796F0-C58B-4710-B8D5-23765C2F517A}"/>
    <cellStyle name="Normal 26 2" xfId="152" xr:uid="{1BA26888-1039-443B-9536-A75EE3C61073}"/>
    <cellStyle name="Normal 26_BOS Workings" xfId="153" xr:uid="{41400752-862D-47B5-821A-DDE2A1B35072}"/>
    <cellStyle name="Normal 27" xfId="154" xr:uid="{A44CF82B-8762-4627-AF04-8EC735EB234A}"/>
    <cellStyle name="Normal 27 2" xfId="155" xr:uid="{129D649F-1B56-4856-B248-43EFC030A594}"/>
    <cellStyle name="Normal 27_BOS Workings" xfId="156" xr:uid="{17E93E6E-8AC4-449B-A1DF-DAE5094597F9}"/>
    <cellStyle name="Normal 28" xfId="157" xr:uid="{ABAA4CF6-8A5D-4E74-9559-E28588CB0980}"/>
    <cellStyle name="Normal 28 2" xfId="158" xr:uid="{CD2C6BF7-4B17-4C74-ABD2-6343B638E043}"/>
    <cellStyle name="Normal 28_BOS Workings" xfId="159" xr:uid="{490C111F-508A-4F73-897F-AEF0C9C56FD9}"/>
    <cellStyle name="Normal 29" xfId="160" xr:uid="{32AC8329-71CE-42C1-ACB1-310273E24C0E}"/>
    <cellStyle name="Normal 29 2" xfId="161" xr:uid="{60FDD469-CD04-4E30-B89E-DBB910C41E04}"/>
    <cellStyle name="Normal 29_BOS Workings" xfId="162" xr:uid="{9987CD1D-B584-45CB-9A3A-68BE00D77E30}"/>
    <cellStyle name="Normal 3" xfId="6" xr:uid="{C135353D-12F2-4BE3-87DA-E1D6BBCC0536}"/>
    <cellStyle name="Normal 3 2" xfId="22" xr:uid="{DC682F85-8CFA-4AE6-80BC-88E74856F7A3}"/>
    <cellStyle name="Normal 3 2 2" xfId="164" xr:uid="{A5D87053-08F9-48F3-91BE-6E5B6B4A6C3E}"/>
    <cellStyle name="Normal 3 2 3" xfId="441" xr:uid="{12748C1B-494A-410A-B3D3-B973BBF334C0}"/>
    <cellStyle name="Normal 3 3" xfId="163" xr:uid="{5366EED9-564F-4ED0-8BA6-BD5F576248C2}"/>
    <cellStyle name="Normal 3 4" xfId="405" xr:uid="{9F9A432B-4307-4255-A985-89E67E13D668}"/>
    <cellStyle name="Normal 3 4 2" xfId="495" xr:uid="{AF998A21-CC40-4947-9133-6852B4B7BD1D}"/>
    <cellStyle name="Normal 3 5" xfId="439" xr:uid="{6595BFA0-D41D-4EA6-B84F-1F879498F1DF}"/>
    <cellStyle name="Normal 30" xfId="165" xr:uid="{7114A036-EE3E-463C-96EE-B9E4602CEFF4}"/>
    <cellStyle name="Normal 30 2" xfId="166" xr:uid="{E82E335E-6CD2-4DB6-A900-84AB8558BF6C}"/>
    <cellStyle name="Normal 30_BOS Workings" xfId="167" xr:uid="{3FB8C43F-0ACC-4209-B408-61C8D903970E}"/>
    <cellStyle name="Normal 31" xfId="168" xr:uid="{D1389F37-26CF-417F-965C-DB3C52574327}"/>
    <cellStyle name="Normal 31 2" xfId="169" xr:uid="{1CB47B70-F66A-4439-99D1-4EE699B9C177}"/>
    <cellStyle name="Normal 31_BOS Workings" xfId="170" xr:uid="{E425B117-D1CE-4043-B1AE-0A1DCD5426CF}"/>
    <cellStyle name="Normal 32" xfId="171" xr:uid="{1CFB3DEC-690A-45D1-82C5-9CF0347CB111}"/>
    <cellStyle name="Normal 32 2" xfId="172" xr:uid="{F4CDC795-94FA-47B4-9AB2-AC2928323308}"/>
    <cellStyle name="Normal 32_BOS Workings" xfId="173" xr:uid="{0BB1E7B6-DD9A-44B3-AFDE-4B58113ACCA2}"/>
    <cellStyle name="Normal 33" xfId="174" xr:uid="{A5A76DD7-793A-4A9C-B2C6-3A3C5A87FEED}"/>
    <cellStyle name="Normal 33 2" xfId="175" xr:uid="{E7E97CA0-3559-4B1D-B99E-61C2E5A14013}"/>
    <cellStyle name="Normal 33_BOS Workings" xfId="176" xr:uid="{95274A2C-12E0-4409-AA67-A3D6D6334C5B}"/>
    <cellStyle name="Normal 34" xfId="177" xr:uid="{96FB949D-5DB2-4663-A1D6-17695475AF98}"/>
    <cellStyle name="Normal 34 2" xfId="178" xr:uid="{232D3BF5-87F8-4999-AAB2-A005BD00ACF2}"/>
    <cellStyle name="Normal 34_BOS Workings" xfId="179" xr:uid="{AEF53D79-DF56-4691-B275-2CC9D81B0166}"/>
    <cellStyle name="Normal 35" xfId="180" xr:uid="{A59E6A79-278F-4447-BC92-CD8C7A2F3837}"/>
    <cellStyle name="Normal 35 2" xfId="181" xr:uid="{CA7ABF18-16E8-4608-AC61-AADB00B725D9}"/>
    <cellStyle name="Normal 35_BOS Workings" xfId="182" xr:uid="{D6647F89-5E73-4474-A134-BBE0470C11CA}"/>
    <cellStyle name="Normal 36" xfId="183" xr:uid="{C5C3F293-54CA-4900-A83C-BD3B516AF84E}"/>
    <cellStyle name="Normal 36 2" xfId="184" xr:uid="{CFE7A4F4-C7B9-4D7D-A3B3-05B1131D80AA}"/>
    <cellStyle name="Normal 36_BOS Workings" xfId="185" xr:uid="{B6165AAA-4BEF-48F2-A331-94638B7B5E79}"/>
    <cellStyle name="Normal 37" xfId="186" xr:uid="{83AF3B76-46CA-4BB3-82A0-9A62B902D6E6}"/>
    <cellStyle name="Normal 37 2" xfId="187" xr:uid="{4778EB6B-C9A4-4F13-9961-4276939DC058}"/>
    <cellStyle name="Normal 37_BOS Workings" xfId="188" xr:uid="{A89CB7E6-6319-4579-AC41-7DB7E4240682}"/>
    <cellStyle name="Normal 38" xfId="189" xr:uid="{0C6DAEBE-AEB8-4AA9-ADAC-2CC965958384}"/>
    <cellStyle name="Normal 38 2" xfId="190" xr:uid="{FC745F9F-8DFB-4F69-B946-F4C230797646}"/>
    <cellStyle name="Normal 38_BOS Workings" xfId="191" xr:uid="{7BA5EAD5-D661-4055-AC55-78D1C2D16FCA}"/>
    <cellStyle name="Normal 39" xfId="192" xr:uid="{A429AB19-CDA9-4413-A60E-8CB43538CB21}"/>
    <cellStyle name="Normal 39 2" xfId="193" xr:uid="{E15079C6-185D-4E61-B878-F656E4121D2B}"/>
    <cellStyle name="Normal 39_BOS Workings" xfId="194" xr:uid="{02AA757D-6AA8-4C8A-A3C2-B606CF8D396F}"/>
    <cellStyle name="Normal 4" xfId="19" xr:uid="{3323516C-977C-4042-A7FC-2D767BA33364}"/>
    <cellStyle name="Normal 4 2" xfId="196" xr:uid="{C0FE3B07-8EF8-406E-A395-29685901A598}"/>
    <cellStyle name="Normal 4 3" xfId="197" xr:uid="{07853817-0D70-4297-AA37-DF93338D231F}"/>
    <cellStyle name="Normal 4 4" xfId="195" xr:uid="{829A2F0E-2736-4FCF-9E09-CE51596ACFA1}"/>
    <cellStyle name="Normal 4_BOS Workings" xfId="198" xr:uid="{B044E220-2CC0-43B1-AA47-EC11C3D69E3C}"/>
    <cellStyle name="Normal 40" xfId="199" xr:uid="{5B768891-0A3A-49AC-A789-CD889E56555D}"/>
    <cellStyle name="Normal 40 2" xfId="200" xr:uid="{B2B33082-782E-4CF3-A8A4-ED786EDDF684}"/>
    <cellStyle name="Normal 40_BOS Workings" xfId="201" xr:uid="{2282F46E-8100-406D-846F-92D5E3E2EB8A}"/>
    <cellStyle name="Normal 41" xfId="202" xr:uid="{F06B73C2-90B3-4F26-9088-2AACAA46B28E}"/>
    <cellStyle name="Normal 41 2" xfId="203" xr:uid="{B7B11FA3-923E-41D6-B0CD-7BE39C2E520C}"/>
    <cellStyle name="Normal 41_BOS Workings" xfId="204" xr:uid="{99BD2D1A-88BB-44D1-93FD-BD78A4E42604}"/>
    <cellStyle name="Normal 42" xfId="205" xr:uid="{1FB3CBF8-D103-49CF-B2F4-E8E6A1EFCDE5}"/>
    <cellStyle name="Normal 42 2" xfId="206" xr:uid="{840D1FF9-CB57-4C8F-A232-3D2E33293A8E}"/>
    <cellStyle name="Normal 42_BOS Workings" xfId="207" xr:uid="{F4B2BF08-2F83-47ED-9A4A-D6F34CCB6FCD}"/>
    <cellStyle name="Normal 43" xfId="208" xr:uid="{42ADBFFB-970B-449F-938A-34AF9B26AD2C}"/>
    <cellStyle name="Normal 43 2" xfId="209" xr:uid="{2DEDEAD4-4900-4F8F-8435-521F34F387EB}"/>
    <cellStyle name="Normal 43_BOS Workings" xfId="210" xr:uid="{0836007E-8486-4AEE-BFF7-E73EAB5859F2}"/>
    <cellStyle name="Normal 44" xfId="211" xr:uid="{E22B7E01-F726-4BB8-B4B1-6CF38C55AF9D}"/>
    <cellStyle name="Normal 44 2" xfId="212" xr:uid="{3E19B036-3738-4389-B86D-F48E4CCEE697}"/>
    <cellStyle name="Normal 44_BOS Workings" xfId="213" xr:uid="{7AB424FF-6160-422C-A381-1189F66273A4}"/>
    <cellStyle name="Normal 45" xfId="214" xr:uid="{BDC01DED-EA5B-4121-93AF-56147EE4256E}"/>
    <cellStyle name="Normal 45 2" xfId="215" xr:uid="{ADE865D1-9264-4495-BEE4-7EEB38A57F33}"/>
    <cellStyle name="Normal 45_BOS Workings" xfId="216" xr:uid="{B94F3F54-5B50-4F3A-98B1-F5B27789B680}"/>
    <cellStyle name="Normal 46" xfId="217" xr:uid="{13F9430D-73C0-4F6A-A5E4-DC8F34E9A04B}"/>
    <cellStyle name="Normal 46 2" xfId="218" xr:uid="{88607176-4F71-422F-BB53-FB45938DFF05}"/>
    <cellStyle name="Normal 46_BOS Workings" xfId="219" xr:uid="{3DDE28C2-BDEB-4987-AB79-32F23179F4E0}"/>
    <cellStyle name="Normal 47" xfId="220" xr:uid="{98094E5B-9C35-4A97-907B-C34BE68903B1}"/>
    <cellStyle name="Normal 47 2" xfId="221" xr:uid="{2F2748EE-4893-40F0-B252-AC0FED594319}"/>
    <cellStyle name="Normal 47_BOS Workings" xfId="222" xr:uid="{004BDBC2-98C0-4B63-AD2E-B6A4018F68D1}"/>
    <cellStyle name="Normal 48" xfId="223" xr:uid="{5FC85764-4DE3-4ED4-91B5-7E05F562D1CF}"/>
    <cellStyle name="Normal 48 2" xfId="224" xr:uid="{E8A89B62-EE28-410F-B093-41933E94E10D}"/>
    <cellStyle name="Normal 48_BOS Workings" xfId="225" xr:uid="{0BE7A44C-BC5D-45E2-84A5-ED90B5892354}"/>
    <cellStyle name="Normal 49" xfId="226" xr:uid="{3502BFC6-328C-456E-9C26-C275BCC05F0A}"/>
    <cellStyle name="Normal 49 2" xfId="227" xr:uid="{15C83ABE-92F7-4DC9-9EB7-E1D92B351304}"/>
    <cellStyle name="Normal 49_BOS Workings" xfId="228" xr:uid="{30784A3D-2E25-4EFD-AB4B-0628401A2E1C}"/>
    <cellStyle name="Normal 5" xfId="8" xr:uid="{B1131746-632F-45C9-982D-DE2E1C77D05E}"/>
    <cellStyle name="Normal 5 2" xfId="230" xr:uid="{87159314-FC21-4530-B277-F19908B0668E}"/>
    <cellStyle name="Normal 5 2 2" xfId="9" xr:uid="{E46CAC58-EF0B-473C-9358-916C5A05C5ED}"/>
    <cellStyle name="Normal 5 3" xfId="229" xr:uid="{6AACACC5-77E8-4B04-9A5B-631766CD695A}"/>
    <cellStyle name="Normal 5_BOS Workings" xfId="231" xr:uid="{5C165632-115F-4728-822F-613B0AAAC1D8}"/>
    <cellStyle name="Normal 50" xfId="232" xr:uid="{327FEEAE-EECB-493D-AA27-175E20DB1ED7}"/>
    <cellStyle name="Normal 50 2" xfId="233" xr:uid="{A73C05B9-86A4-49EA-B08E-DD235F244079}"/>
    <cellStyle name="Normal 50_BOS Workings" xfId="234" xr:uid="{D2876AC2-3204-4CA5-943F-68CEBDE54442}"/>
    <cellStyle name="Normal 51" xfId="235" xr:uid="{ACCC78E9-E637-4EB2-BB1D-204DBB65C3F1}"/>
    <cellStyle name="Normal 51 2" xfId="236" xr:uid="{0D4B0237-5C48-4EA9-82FD-61E220E4BAD0}"/>
    <cellStyle name="Normal 51_BOS Workings" xfId="237" xr:uid="{FFBCCEE3-A6D9-4521-928E-E9D9BF425146}"/>
    <cellStyle name="Normal 52" xfId="238" xr:uid="{9077E579-E357-48E6-87A4-5E393BA42BA5}"/>
    <cellStyle name="Normal 52 2" xfId="239" xr:uid="{EAB21D42-7864-466E-B3E5-3E0106A31631}"/>
    <cellStyle name="Normal 52_BOS Workings" xfId="240" xr:uid="{9EAB7617-3622-4B3F-921D-175B79A73532}"/>
    <cellStyle name="Normal 53" xfId="241" xr:uid="{227BC4E0-70B0-4191-A07B-7FCB00EA727B}"/>
    <cellStyle name="Normal 53 2" xfId="242" xr:uid="{0D3DB4AB-45C9-4948-A1E0-6BE41CC16C33}"/>
    <cellStyle name="Normal 53_BOS Workings" xfId="243" xr:uid="{633628DC-5F68-44F6-91A9-711B4B03FD52}"/>
    <cellStyle name="Normal 54" xfId="244" xr:uid="{126C951C-A21C-49EA-BA93-91749AF0AD21}"/>
    <cellStyle name="Normal 54 2" xfId="245" xr:uid="{81B4EA6F-59B1-4D3E-914D-F242790A5EF0}"/>
    <cellStyle name="Normal 54_BOS Workings" xfId="246" xr:uid="{3D313962-401B-4FDD-808C-61426360CECD}"/>
    <cellStyle name="Normal 55" xfId="247" xr:uid="{34C9B598-B1A5-457B-ABE2-90D84E9D7014}"/>
    <cellStyle name="Normal 55 2" xfId="248" xr:uid="{274ED7B3-E40D-402E-B175-2DDBFE7B9A9E}"/>
    <cellStyle name="Normal 55_BOS Workings" xfId="249" xr:uid="{7C42BBE1-A213-46BC-83ED-D78455F67180}"/>
    <cellStyle name="Normal 56" xfId="250" xr:uid="{8DC566E8-092A-4807-88E1-8BAB18008B0E}"/>
    <cellStyle name="Normal 56 2" xfId="251" xr:uid="{703887B9-F340-47A5-B15D-59956A957999}"/>
    <cellStyle name="Normal 56_BOS Workings" xfId="252" xr:uid="{7D39BFF2-C27F-4CBF-81E2-577974FECD18}"/>
    <cellStyle name="Normal 57" xfId="253" xr:uid="{AAAE7A8B-2932-433D-BE3E-70AC5378B03A}"/>
    <cellStyle name="Normal 57 2" xfId="254" xr:uid="{E76124FB-4D51-433E-ADBE-65FD51FE01C4}"/>
    <cellStyle name="Normal 57_BOS Workings" xfId="255" xr:uid="{D620150C-0B95-4273-8248-AF63A1CDABA9}"/>
    <cellStyle name="Normal 58" xfId="256" xr:uid="{03B6A1E6-6E57-41D5-A3F0-3179A7F74FEE}"/>
    <cellStyle name="Normal 58 2" xfId="257" xr:uid="{118C2D53-8D29-4D89-9B9D-7C96065CF518}"/>
    <cellStyle name="Normal 58_BOS Workings" xfId="258" xr:uid="{F1DF0CFC-EB85-48CC-980A-EA1441529A08}"/>
    <cellStyle name="Normal 59" xfId="259" xr:uid="{E43C4CDE-46A3-4A29-BF02-BF80ED48EE30}"/>
    <cellStyle name="Normal 59 2" xfId="260" xr:uid="{39401940-CFDF-4B69-A192-2DBE7D9F504C}"/>
    <cellStyle name="Normal 59_BOS Workings" xfId="261" xr:uid="{ADB0284A-65DB-46A4-A426-C0B611D81504}"/>
    <cellStyle name="Normal 6" xfId="262" xr:uid="{AD8135B6-DED2-4453-811B-F2B531952300}"/>
    <cellStyle name="Normal 6 2" xfId="263" xr:uid="{8F4CB200-BADC-4B43-BBF8-D49A96006D01}"/>
    <cellStyle name="Normal 6_BOS Workings" xfId="264" xr:uid="{A6D76880-7C3C-4E8E-B53A-A70533F47CF0}"/>
    <cellStyle name="Normal 60" xfId="265" xr:uid="{FD06F282-ACB3-40A9-9C2D-45228319ACE3}"/>
    <cellStyle name="Normal 60 2" xfId="266" xr:uid="{AA43F7CF-90FD-4081-9757-63E9BC26BBAE}"/>
    <cellStyle name="Normal 60_BOS Workings" xfId="267" xr:uid="{F94D4B9B-DBE1-4C0E-AF70-C17FD9CC8D20}"/>
    <cellStyle name="Normal 61" xfId="268" xr:uid="{9AC01A49-9A5E-4145-9E10-82BDEF2735DD}"/>
    <cellStyle name="Normal 61 2" xfId="269" xr:uid="{3130F36E-128E-4B4A-A4C1-F3AD1036A273}"/>
    <cellStyle name="Normal 61_BOS Workings" xfId="270" xr:uid="{F9F055FA-D384-4355-9F25-099B2524048F}"/>
    <cellStyle name="Normal 62" xfId="271" xr:uid="{29B71A80-80B8-43D3-B3EC-7CB6B8A7DF26}"/>
    <cellStyle name="Normal 62 2" xfId="272" xr:uid="{1C793871-8D39-4493-B094-BFCF4E02E040}"/>
    <cellStyle name="Normal 62_BOS Workings" xfId="273" xr:uid="{8D188A56-D332-4C95-BC38-6ECC5059D8E3}"/>
    <cellStyle name="Normal 63" xfId="274" xr:uid="{0A5B99FA-E607-4F38-B60B-AD87FA09F39D}"/>
    <cellStyle name="Normal 63 2" xfId="275" xr:uid="{4D03A2FF-10AA-43BA-A56F-A89CA1987242}"/>
    <cellStyle name="Normal 63_BOS Workings" xfId="276" xr:uid="{C6CD0408-4FDB-4A32-87DE-E1298E0CD72A}"/>
    <cellStyle name="Normal 64" xfId="277" xr:uid="{7045DEB9-7F85-41B7-AF19-23E78B0998F2}"/>
    <cellStyle name="Normal 64 2" xfId="278" xr:uid="{D6E6CACA-39A2-493F-9F35-486B6FD601A0}"/>
    <cellStyle name="Normal 64_BOS Workings" xfId="279" xr:uid="{910553CB-4D13-47BE-9B4B-AFDA9239F0F3}"/>
    <cellStyle name="Normal 65" xfId="280" xr:uid="{34D63E45-F201-44BB-93AE-8A9AB15D2AD6}"/>
    <cellStyle name="Normal 65 2" xfId="281" xr:uid="{34AC16C6-EF5A-4DA8-9085-9598ECBC7FC1}"/>
    <cellStyle name="Normal 65_BOS Workings" xfId="282" xr:uid="{848B293C-891B-4B2F-B07B-A6FEEF679A7A}"/>
    <cellStyle name="Normal 66" xfId="283" xr:uid="{6B4FB869-F7F4-461C-A2E5-8A155D88DAAF}"/>
    <cellStyle name="Normal 66 2" xfId="284" xr:uid="{B9687DC0-1721-44F4-9761-629C952B109D}"/>
    <cellStyle name="Normal 66_BOS Workings" xfId="285" xr:uid="{9CF3CC98-9820-403E-A04A-0D828F2AFC5F}"/>
    <cellStyle name="Normal 67" xfId="286" xr:uid="{E6E34585-BF34-4F6D-AD1F-4719260568B7}"/>
    <cellStyle name="Normal 67 2" xfId="287" xr:uid="{C78ED571-ECCD-4D7A-BB50-DE1E0FC3C21B}"/>
    <cellStyle name="Normal 67_BOS Workings" xfId="288" xr:uid="{295D0DE0-8B96-45D8-9EF9-8825A408BA3D}"/>
    <cellStyle name="Normal 68" xfId="289" xr:uid="{2C50688E-0089-4EDD-B683-4F46191117D2}"/>
    <cellStyle name="Normal 68 2" xfId="290" xr:uid="{228413F7-D051-4F7B-867F-3182F79C5BB3}"/>
    <cellStyle name="Normal 68_BOS Workings" xfId="291" xr:uid="{EDBF6185-1B85-47E5-A641-F0305BF6E7B4}"/>
    <cellStyle name="Normal 69" xfId="292" xr:uid="{AD33A02F-6316-4EA8-AA8A-CD23AEBC645F}"/>
    <cellStyle name="Normal 69 2" xfId="293" xr:uid="{58B0EEAB-854F-4E06-9069-9217FC7CE317}"/>
    <cellStyle name="Normal 69_BOS Workings" xfId="294" xr:uid="{24266580-5130-49C1-801A-6EE3AFD128CC}"/>
    <cellStyle name="Normal 7" xfId="295" xr:uid="{0FA5537F-AE85-4C3B-83A9-872AF6588A17}"/>
    <cellStyle name="Normal 7 2" xfId="296" xr:uid="{7F96D62B-9731-4A35-8800-9B7C273FBDD5}"/>
    <cellStyle name="Normal 7_BOS Workings" xfId="297" xr:uid="{E6D4E7F7-B778-4A43-8366-2A1832EFFF5B}"/>
    <cellStyle name="Normal 70" xfId="298" xr:uid="{B0F6BF30-09F0-420F-AFC5-DBF893800568}"/>
    <cellStyle name="Normal 70 2" xfId="299" xr:uid="{AFEF6B8E-F1E9-4F3E-AECE-7BA1C4B89698}"/>
    <cellStyle name="Normal 70_BOS Workings" xfId="300" xr:uid="{D49E67EF-E0B0-413F-B43E-502352927A50}"/>
    <cellStyle name="Normal 71" xfId="301" xr:uid="{261CDE99-A1C5-4388-AE2C-E63C34C1F9B7}"/>
    <cellStyle name="Normal 71 2" xfId="302" xr:uid="{71A73DC9-8EE8-468D-B5B3-4BAEB64FD93F}"/>
    <cellStyle name="Normal 71_BOS Workings" xfId="303" xr:uid="{CE58CACC-BDBE-47B2-BDA5-5F7DC8956AEE}"/>
    <cellStyle name="Normal 72" xfId="304" xr:uid="{172059AB-783B-4BF3-BBE4-B0228B37D0EC}"/>
    <cellStyle name="Normal 72 2" xfId="305" xr:uid="{6846A3A8-87C1-4AE9-82B7-D6C7C76F0BE7}"/>
    <cellStyle name="Normal 72_BOS Workings" xfId="306" xr:uid="{E4D193F7-A608-4A7D-9662-C59EE57D0652}"/>
    <cellStyle name="Normal 73" xfId="307" xr:uid="{F61E9884-F4D2-4116-B1D7-D111CE0978D8}"/>
    <cellStyle name="Normal 73 2" xfId="308" xr:uid="{302F982D-305A-4642-9D01-12F7CEAC34B3}"/>
    <cellStyle name="Normal 73_BOS Workings" xfId="309" xr:uid="{6C0A926F-4DCE-4D92-9745-95210BF1E38B}"/>
    <cellStyle name="Normal 74" xfId="310" xr:uid="{47464976-F3B8-4B95-8DCE-A40E60460BA7}"/>
    <cellStyle name="Normal 74 2" xfId="311" xr:uid="{9276FF5A-7C82-4D9F-B412-72DB9688A15E}"/>
    <cellStyle name="Normal 74_BOS Workings" xfId="312" xr:uid="{BAFC5C6B-03EE-49B1-9036-089B85E3AC2F}"/>
    <cellStyle name="Normal 75" xfId="313" xr:uid="{4090A243-5754-46C9-A0B1-C95390990EC0}"/>
    <cellStyle name="Normal 75 2" xfId="314" xr:uid="{EE06F97D-F58C-4912-B069-9EA03D390F38}"/>
    <cellStyle name="Normal 75_BOS Workings" xfId="315" xr:uid="{906D02CE-889C-47C5-AE25-29D388C4807C}"/>
    <cellStyle name="Normal 76" xfId="316" xr:uid="{DEDC0DC1-6971-4DD9-83DE-2B56D598DC27}"/>
    <cellStyle name="Normal 76 2" xfId="317" xr:uid="{7F8B2D69-982E-4C98-9738-FE6400F77292}"/>
    <cellStyle name="Normal 76_BOS Workings" xfId="318" xr:uid="{D20D1632-53BA-48F7-A077-7B6D55440456}"/>
    <cellStyle name="Normal 77" xfId="319" xr:uid="{1A5F4E41-94A8-4888-B811-936EFBC98AA1}"/>
    <cellStyle name="Normal 77 2" xfId="320" xr:uid="{D5D25AF8-D469-4648-9A7B-3B8152BCB6E8}"/>
    <cellStyle name="Normal 77_BOS Workings" xfId="321" xr:uid="{F1275988-E1E8-4DAA-9836-C577D27D415B}"/>
    <cellStyle name="Normal 78" xfId="322" xr:uid="{20028E77-5B23-4227-9907-C648C8DB8F21}"/>
    <cellStyle name="Normal 78 2" xfId="323" xr:uid="{F4928F8C-2794-4D43-A126-9EFB1F60E7D1}"/>
    <cellStyle name="Normal 78_BOS Workings" xfId="324" xr:uid="{3D36F378-AB90-4819-953D-BEA80B5A772E}"/>
    <cellStyle name="Normal 79" xfId="325" xr:uid="{21AF212A-F6C9-4681-8ECE-B3384543A8BF}"/>
    <cellStyle name="Normal 79 2" xfId="326" xr:uid="{6609181A-0A35-4447-9FDC-29FB3260E7A8}"/>
    <cellStyle name="Normal 79_BOS Workings" xfId="327" xr:uid="{F278E557-4A93-4042-9823-7A6302024F33}"/>
    <cellStyle name="Normal 8" xfId="328" xr:uid="{DDB5E69A-ED72-4F04-90A1-C0E76D925644}"/>
    <cellStyle name="Normal 8 2" xfId="329" xr:uid="{F2FBCAA8-FF8E-4BB8-B19D-6AEE288AB7AE}"/>
    <cellStyle name="Normal 8_BOS Workings" xfId="330" xr:uid="{984D2817-0357-4502-B6F7-863C668DF112}"/>
    <cellStyle name="Normal 80" xfId="331" xr:uid="{623803B7-C083-44AD-B1AC-3D7152914CFC}"/>
    <cellStyle name="Normal 80 2" xfId="332" xr:uid="{808C2A6B-48F7-4455-906C-0EC1FD7C8099}"/>
    <cellStyle name="Normal 80_BOS Workings" xfId="333" xr:uid="{0D12511B-AF8F-4D5E-BF62-6AC6C6F161BC}"/>
    <cellStyle name="Normal 81" xfId="334" xr:uid="{6418DE69-72F2-434C-9DD3-0EBCFFB4FF3E}"/>
    <cellStyle name="Normal 81 2" xfId="335" xr:uid="{1F5FBE46-3BB8-4866-B4BA-707896D552D1}"/>
    <cellStyle name="Normal 81_BOS Workings" xfId="336" xr:uid="{182783AC-D5BC-4277-B597-B26908D74DC0}"/>
    <cellStyle name="Normal 82" xfId="337" xr:uid="{E285E9A0-EED4-46EC-B178-47A4A3163A69}"/>
    <cellStyle name="Normal 82 2" xfId="338" xr:uid="{BE809904-157C-45B2-8D28-1A0DEA147657}"/>
    <cellStyle name="Normal 82_BOS Workings" xfId="339" xr:uid="{EED9FF27-E4D0-437D-9ACE-1E99B6FDCCFA}"/>
    <cellStyle name="Normal 83" xfId="340" xr:uid="{6689DBFE-BDCB-4EC5-BB4D-797E5D36FDCD}"/>
    <cellStyle name="Normal 83 2" xfId="341" xr:uid="{CA68FF0D-01FE-426A-9E6D-26B6F5DB2D38}"/>
    <cellStyle name="Normal 83_BOS Workings" xfId="342" xr:uid="{9BBB25CE-D09E-47C1-BA9E-212A5A6403C7}"/>
    <cellStyle name="Normal 84" xfId="343" xr:uid="{F4662D6F-7BA8-40EC-A952-E2115B13B5D7}"/>
    <cellStyle name="Normal 84 2" xfId="344" xr:uid="{8A14CAEF-B944-4090-9956-AB41F2A94AE3}"/>
    <cellStyle name="Normal 84_BOS Workings" xfId="345" xr:uid="{8EEB6D81-55A7-4845-979E-0A4C765E7003}"/>
    <cellStyle name="Normal 85" xfId="346" xr:uid="{535FE72D-0199-443B-8D1D-644B90918691}"/>
    <cellStyle name="Normal 85 2" xfId="347" xr:uid="{1C0D0697-B54F-4517-BD1B-25073B1275D3}"/>
    <cellStyle name="Normal 85_BOS Workings" xfId="348" xr:uid="{DA20D5A5-F82B-4C72-946E-EFC647742035}"/>
    <cellStyle name="Normal 86" xfId="349" xr:uid="{8C2C634A-4EB6-473B-A127-8DB345AEBE36}"/>
    <cellStyle name="Normal 86 2" xfId="350" xr:uid="{A0A51C39-C4BC-4AD6-9553-13807B59A154}"/>
    <cellStyle name="Normal 86_BOS Workings" xfId="351" xr:uid="{37C0AD00-9855-4A7B-B1CD-1C23A6967FDF}"/>
    <cellStyle name="Normal 87" xfId="352" xr:uid="{AFDE32AE-C9E2-4847-8A73-ABA9E8F1A32E}"/>
    <cellStyle name="Normal 87 2" xfId="353" xr:uid="{9DCD83C3-6E2C-48D0-8B8D-CB8809D240BB}"/>
    <cellStyle name="Normal 87_BOS Workings" xfId="354" xr:uid="{CBEFDD39-39B2-4F3D-9AB6-F9B2E3F4A4D8}"/>
    <cellStyle name="Normal 88" xfId="355" xr:uid="{C7CDA7A0-DBA8-4027-A695-D5082562A858}"/>
    <cellStyle name="Normal 88 2" xfId="356" xr:uid="{02637C4A-70D9-488F-A3AF-77FAF8FD2637}"/>
    <cellStyle name="Normal 88_BOS Workings" xfId="357" xr:uid="{CC5CE73E-F466-496C-A86B-55832928CD4B}"/>
    <cellStyle name="Normal 89" xfId="358" xr:uid="{865BB7ED-1845-4036-9DF3-7B7431E4462D}"/>
    <cellStyle name="Normal 89 2" xfId="359" xr:uid="{767D2FDB-4494-44F9-B7D4-8E4BE0BF7484}"/>
    <cellStyle name="Normal 89_BOS Workings" xfId="360" xr:uid="{DB2ACD5C-BBF0-4726-84A6-28A9B0D5FB19}"/>
    <cellStyle name="Normal 9" xfId="361" xr:uid="{0857621C-93B3-40C3-8877-C47BE5ED8B15}"/>
    <cellStyle name="Normal 9 2" xfId="362" xr:uid="{3514A5D3-1F14-4FD6-B4BF-958408BB501A}"/>
    <cellStyle name="Normal 9 3" xfId="363" xr:uid="{A2658CB1-B81B-47D0-939C-4F7B84D13893}"/>
    <cellStyle name="Normal 9 3 2" xfId="364" xr:uid="{49158EAF-9F82-4F94-9B12-5BB504B92E99}"/>
    <cellStyle name="Normal 9 3_BOS Workings" xfId="365" xr:uid="{5060CBDA-81DB-417A-97F0-D3944C390E6E}"/>
    <cellStyle name="Normal 90" xfId="366" xr:uid="{2F30C18D-5524-4F13-B9D5-5C717A94B750}"/>
    <cellStyle name="Normal 90 2" xfId="367" xr:uid="{EC079301-E2C2-4F8E-A1A2-45640FA8665E}"/>
    <cellStyle name="Normal 91" xfId="368" xr:uid="{232BB448-02E7-4B42-9688-1F3670ADAF46}"/>
    <cellStyle name="Normal 91 2" xfId="369" xr:uid="{BEBFACDA-DB28-4EA0-A7F6-F3B88B40A196}"/>
    <cellStyle name="Normal 92" xfId="370" xr:uid="{1F669090-37E5-4E94-A92F-42A5669069A4}"/>
    <cellStyle name="Normal 92 2" xfId="371" xr:uid="{8C22F971-89A9-44B0-B7C1-332CBDC18DF9}"/>
    <cellStyle name="Normal 93" xfId="372" xr:uid="{6794321A-488E-4FF5-9C3F-5BC04C40FDF9}"/>
    <cellStyle name="Normal 93 2" xfId="373" xr:uid="{AD4B48F7-A8FF-431C-A367-E4C75999AF73}"/>
    <cellStyle name="Normal 94" xfId="374" xr:uid="{861EF1C1-8125-4DEE-A38E-28E03D868E02}"/>
    <cellStyle name="Normal 94 2" xfId="375" xr:uid="{29EBB6E0-175D-4C26-8D5B-35ED8EE01D69}"/>
    <cellStyle name="Normal 95" xfId="376" xr:uid="{1575ACD7-180B-422F-BB57-E2D2CE0883FA}"/>
    <cellStyle name="Normal 95 2" xfId="377" xr:uid="{2ABAFC74-FB30-43E7-BF38-7EB43AD76A2F}"/>
    <cellStyle name="Normal 95 3" xfId="378" xr:uid="{C6902686-CC74-4280-8AAC-C4F700A97810}"/>
    <cellStyle name="Normal 96" xfId="379" xr:uid="{7C169ED7-586F-45D6-8669-CAF846B85908}"/>
    <cellStyle name="Normal 96 2" xfId="380" xr:uid="{CEA2FE77-C74A-4B5F-9158-3986F436E8F0}"/>
    <cellStyle name="Normal 96 3" xfId="381" xr:uid="{5C6769AA-A00F-45C1-8D92-75DD0981808B}"/>
    <cellStyle name="Normal 97" xfId="382" xr:uid="{1B05250C-A084-4C8D-97F8-010AB553EF55}"/>
    <cellStyle name="Normal 97 2" xfId="383" xr:uid="{45C653F2-AA99-495E-AE43-13D24AA95718}"/>
    <cellStyle name="Normal 98" xfId="384" xr:uid="{42C77CA0-29A6-4C7A-BACB-E421DAD7FE18}"/>
    <cellStyle name="Normal 98 2" xfId="385" xr:uid="{DE058C38-9A9A-4336-966F-8CE6B58475DF}"/>
    <cellStyle name="Normal 99" xfId="386" xr:uid="{7F6330B2-B8F9-44CF-80C2-8D7E7F7AF6D3}"/>
    <cellStyle name="Normal 99 2" xfId="387" xr:uid="{190E7C4E-707C-4D9D-A7F3-4D8172D7687A}"/>
    <cellStyle name="Normale_Scen_UC_IND-StrucConst" xfId="5" xr:uid="{E476D790-1C54-4E5F-B760-26368DAD3F7D}"/>
    <cellStyle name="Output 2" xfId="477" xr:uid="{8912C897-97D7-4C68-A4E8-A7540EE32DCC}"/>
    <cellStyle name="Percent" xfId="3" builtinId="5"/>
    <cellStyle name="Percent 2" xfId="7" xr:uid="{DE86C1D4-2BEC-4707-8CF0-C6F886097198}"/>
    <cellStyle name="Percent 3" xfId="10" xr:uid="{225779D0-4AD1-426A-91E2-FC406D70F71E}"/>
    <cellStyle name="Percent 3 2" xfId="444" xr:uid="{395DAB91-A636-45D3-91EB-3DB8C70BB3F2}"/>
    <cellStyle name="Percent 4" xfId="20" xr:uid="{ECAE8F51-87B4-4552-89A0-DEE394256AAA}"/>
    <cellStyle name="Percent 5" xfId="426" xr:uid="{D6BDDF2E-75F8-43F6-93D6-ACED62E3C5CE}"/>
    <cellStyle name="Title 2" xfId="395" xr:uid="{EE377FC4-D777-47F3-A499-78E7390DC1DF}"/>
    <cellStyle name="Title 3" xfId="509" xr:uid="{789109BC-8823-4BEC-A43B-84F9723B1B7E}"/>
    <cellStyle name="Total 2" xfId="471" xr:uid="{54F81CE7-B6F5-4B0B-A0A1-695E08C2D6B4}"/>
    <cellStyle name="Warning Text 2" xfId="473" xr:uid="{FB0B32B4-4FF7-4D3F-99B5-CAE4BFE1C21C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2" zoomScaleNormal="100" workbookViewId="0">
      <selection activeCell="B23" sqref="B23:D23"/>
    </sheetView>
  </sheetViews>
  <sheetFormatPr defaultColWidth="8.88671875" defaultRowHeight="14.4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44140625" customWidth="1"/>
    <col min="15" max="15" width="13.44140625" customWidth="1"/>
  </cols>
  <sheetData>
    <row r="1" spans="1:26">
      <c r="A1" s="7"/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7"/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7"/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7"/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7"/>
      <c r="B9" s="7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7"/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7"/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/>
      <c r="B12" s="7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7"/>
      <c r="B13" s="7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7"/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7"/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2.75" customHeight="1">
      <c r="A16" s="41" t="s">
        <v>66</v>
      </c>
      <c r="B16" s="41"/>
      <c r="C16" s="41"/>
      <c r="D16" s="41"/>
      <c r="E16" s="9"/>
      <c r="F16" s="9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>
      <c r="A17" s="11"/>
      <c r="B17" s="11"/>
      <c r="C17" s="11"/>
      <c r="D17" s="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>
      <c r="A18" s="11"/>
      <c r="B18" s="11"/>
      <c r="C18" s="11"/>
      <c r="D18" s="11"/>
      <c r="E18" s="12"/>
      <c r="F18" s="12"/>
      <c r="G18" s="13"/>
      <c r="H18" s="13"/>
      <c r="I18" s="13"/>
      <c r="J18" s="13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>
      <c r="A19" s="14" t="s">
        <v>67</v>
      </c>
      <c r="B19" s="40" t="s">
        <v>79</v>
      </c>
      <c r="C19" s="40"/>
      <c r="D19" s="40"/>
      <c r="E19" s="15"/>
      <c r="F19" s="15"/>
      <c r="G19" s="16"/>
      <c r="H19" s="16"/>
      <c r="I19" s="16"/>
      <c r="J19" s="16"/>
      <c r="K19" s="16"/>
      <c r="L19" s="1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>
      <c r="A20" s="14" t="s">
        <v>68</v>
      </c>
      <c r="B20" s="40" t="s">
        <v>78</v>
      </c>
      <c r="C20" s="40"/>
      <c r="D20" s="40"/>
      <c r="E20" s="15"/>
      <c r="F20" s="15"/>
      <c r="G20" s="16"/>
      <c r="H20" s="16"/>
      <c r="I20" s="16"/>
      <c r="J20" s="16"/>
      <c r="K20" s="16"/>
      <c r="L20" s="1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>
      <c r="A21" s="14" t="s">
        <v>69</v>
      </c>
      <c r="B21" s="17" t="s">
        <v>80</v>
      </c>
      <c r="C21" s="17"/>
      <c r="D21" s="17"/>
      <c r="E21" s="15"/>
      <c r="F21" s="15"/>
      <c r="G21" s="16"/>
      <c r="H21" s="16"/>
      <c r="I21" s="16"/>
      <c r="J21" s="16"/>
      <c r="K21" s="16"/>
      <c r="L21" s="1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>
      <c r="A22" s="14"/>
      <c r="B22" s="17"/>
      <c r="C22" s="17"/>
      <c r="D22" s="17"/>
      <c r="E22" s="15"/>
      <c r="F22" s="15"/>
      <c r="G22" s="16"/>
      <c r="H22" s="16"/>
      <c r="I22" s="16"/>
      <c r="J22" s="16"/>
      <c r="K22" s="16"/>
      <c r="L22" s="1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>
      <c r="A23" s="14" t="s">
        <v>70</v>
      </c>
      <c r="B23" s="40" t="s">
        <v>82</v>
      </c>
      <c r="C23" s="40"/>
      <c r="D23" s="4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>
      <c r="A24" s="14"/>
      <c r="B24" s="17"/>
      <c r="C24" s="17"/>
      <c r="D24" s="1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>
      <c r="A25" s="14"/>
      <c r="B25" s="17"/>
      <c r="C25" s="17"/>
      <c r="D25" s="1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>
      <c r="A26" s="14" t="s">
        <v>71</v>
      </c>
      <c r="B26" s="40" t="s">
        <v>82</v>
      </c>
      <c r="C26" s="40"/>
      <c r="D26" s="4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>
      <c r="A27" s="14"/>
      <c r="B27" s="17"/>
      <c r="C27" s="17"/>
      <c r="D27" s="1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>
      <c r="A28" s="14"/>
      <c r="B28" s="17"/>
      <c r="C28" s="17"/>
      <c r="D28" s="1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>
      <c r="A29" s="14" t="s">
        <v>72</v>
      </c>
      <c r="B29" s="18"/>
      <c r="C29" s="17"/>
      <c r="D29" s="1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>
      <c r="A30" s="14" t="s">
        <v>73</v>
      </c>
      <c r="B30" s="42" t="s">
        <v>74</v>
      </c>
      <c r="C30" s="40"/>
      <c r="D30" s="40"/>
      <c r="E30" s="19"/>
      <c r="F30" s="1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>
      <c r="A31" s="14" t="s">
        <v>75</v>
      </c>
      <c r="B31" s="40" t="s">
        <v>76</v>
      </c>
      <c r="C31" s="40"/>
      <c r="D31" s="40"/>
      <c r="E31" s="19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>
      <c r="A32" s="20"/>
      <c r="B32" s="21" t="s">
        <v>77</v>
      </c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7"/>
      <c r="B38" s="7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7"/>
      <c r="B40" s="7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</sheetData>
  <mergeCells count="7">
    <mergeCell ref="B31:D31"/>
    <mergeCell ref="A16:D16"/>
    <mergeCell ref="B19:D19"/>
    <mergeCell ref="B20:D20"/>
    <mergeCell ref="B23:D23"/>
    <mergeCell ref="B30:D30"/>
    <mergeCell ref="B26:D26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441406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441406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51D-CBC7-469C-AD9B-B324E874F696}">
  <dimension ref="B2:J31"/>
  <sheetViews>
    <sheetView tabSelected="1" workbookViewId="0">
      <selection activeCell="K14" sqref="K14"/>
    </sheetView>
  </sheetViews>
  <sheetFormatPr defaultRowHeight="14.4"/>
  <cols>
    <col min="2" max="2" width="13.5546875" bestFit="1" customWidth="1"/>
    <col min="3" max="3" width="23.5546875" customWidth="1"/>
    <col min="5" max="5" width="22.77734375" bestFit="1" customWidth="1"/>
    <col min="6" max="6" width="13.44140625" customWidth="1"/>
    <col min="7" max="7" width="10.88671875" customWidth="1"/>
    <col min="8" max="8" width="22.77734375" bestFit="1" customWidth="1"/>
    <col min="9" max="9" width="12.88671875" bestFit="1" customWidth="1"/>
    <col min="10" max="10" width="10.21875" bestFit="1" customWidth="1"/>
  </cols>
  <sheetData>
    <row r="2" spans="2:10">
      <c r="B2" t="s">
        <v>109</v>
      </c>
    </row>
    <row r="3" spans="2:10">
      <c r="B3">
        <v>6</v>
      </c>
      <c r="H3" s="34" t="s">
        <v>97</v>
      </c>
      <c r="I3" s="31" t="s">
        <v>81</v>
      </c>
      <c r="J3" s="31" t="s">
        <v>107</v>
      </c>
    </row>
    <row r="4" spans="2:10">
      <c r="H4" s="34" t="s">
        <v>98</v>
      </c>
      <c r="I4">
        <v>1</v>
      </c>
      <c r="J4" s="32">
        <v>5</v>
      </c>
    </row>
    <row r="5" spans="2:10">
      <c r="C5" s="48"/>
      <c r="D5" s="48"/>
      <c r="E5" s="48"/>
      <c r="F5" s="50" t="s">
        <v>96</v>
      </c>
      <c r="H5" s="34" t="s">
        <v>99</v>
      </c>
      <c r="I5">
        <v>2</v>
      </c>
      <c r="J5" s="32">
        <v>10</v>
      </c>
    </row>
    <row r="6" spans="2:10">
      <c r="C6" s="57" t="s">
        <v>110</v>
      </c>
      <c r="D6" s="57" t="s">
        <v>111</v>
      </c>
      <c r="E6" s="57" t="s">
        <v>94</v>
      </c>
      <c r="F6" s="52">
        <v>2045</v>
      </c>
      <c r="H6" s="34" t="s">
        <v>100</v>
      </c>
      <c r="I6">
        <v>3</v>
      </c>
      <c r="J6" s="32">
        <v>15</v>
      </c>
    </row>
    <row r="7" spans="2:10">
      <c r="C7" s="54" t="s">
        <v>112</v>
      </c>
      <c r="D7" s="54" t="s">
        <v>111</v>
      </c>
      <c r="E7" s="54" t="s">
        <v>95</v>
      </c>
      <c r="F7" s="53">
        <v>2045</v>
      </c>
      <c r="H7" s="34" t="s">
        <v>101</v>
      </c>
      <c r="I7">
        <v>4</v>
      </c>
      <c r="J7" s="32">
        <v>20</v>
      </c>
    </row>
    <row r="8" spans="2:10">
      <c r="C8" s="56" t="s">
        <v>113</v>
      </c>
      <c r="D8" s="56" t="s">
        <v>111</v>
      </c>
      <c r="E8" s="56" t="s">
        <v>114</v>
      </c>
      <c r="F8" s="51">
        <v>2045</v>
      </c>
      <c r="G8" s="30"/>
      <c r="H8" s="34" t="s">
        <v>102</v>
      </c>
      <c r="I8">
        <v>5</v>
      </c>
      <c r="J8" s="32">
        <v>25</v>
      </c>
    </row>
    <row r="9" spans="2:10">
      <c r="H9" s="34" t="s">
        <v>103</v>
      </c>
      <c r="I9">
        <v>6</v>
      </c>
      <c r="J9" s="32">
        <v>30</v>
      </c>
    </row>
    <row r="10" spans="2:10">
      <c r="H10" s="34" t="s">
        <v>104</v>
      </c>
      <c r="J10" s="32"/>
    </row>
    <row r="11" spans="2:10">
      <c r="F11" s="33" t="s">
        <v>96</v>
      </c>
      <c r="G11" s="30"/>
      <c r="H11" s="34" t="s">
        <v>105</v>
      </c>
      <c r="J11" s="32"/>
    </row>
    <row r="12" spans="2:10">
      <c r="C12" s="38" t="s">
        <v>87</v>
      </c>
      <c r="D12" s="38" t="s">
        <v>93</v>
      </c>
      <c r="E12" s="38" t="s">
        <v>94</v>
      </c>
      <c r="F12" s="38">
        <v>2035</v>
      </c>
      <c r="G12" s="30"/>
      <c r="H12" s="34" t="s">
        <v>106</v>
      </c>
      <c r="J12" s="32"/>
    </row>
    <row r="13" spans="2:10">
      <c r="C13" s="37" t="s">
        <v>89</v>
      </c>
      <c r="D13" s="37" t="s">
        <v>93</v>
      </c>
      <c r="E13" s="37" t="s">
        <v>95</v>
      </c>
      <c r="F13" s="37">
        <v>2045</v>
      </c>
      <c r="G13" s="30"/>
    </row>
    <row r="14" spans="2:10">
      <c r="G14" s="23"/>
    </row>
    <row r="15" spans="2:10">
      <c r="G15" s="23"/>
    </row>
    <row r="16" spans="2:10">
      <c r="G16" s="22"/>
    </row>
    <row r="17" spans="2:10">
      <c r="B17" s="24" t="s">
        <v>63</v>
      </c>
    </row>
    <row r="18" spans="2:10" ht="15" thickBot="1">
      <c r="B18" s="25" t="s">
        <v>64</v>
      </c>
      <c r="C18" s="25" t="s">
        <v>0</v>
      </c>
      <c r="D18" s="25" t="s">
        <v>65</v>
      </c>
      <c r="E18" s="25" t="s">
        <v>61</v>
      </c>
      <c r="F18" s="26" t="s">
        <v>83</v>
      </c>
      <c r="G18" s="27" t="s">
        <v>84</v>
      </c>
      <c r="H18" s="27" t="s">
        <v>62</v>
      </c>
      <c r="I18" s="27" t="s">
        <v>85</v>
      </c>
    </row>
    <row r="19" spans="2:10">
      <c r="D19" t="s">
        <v>86</v>
      </c>
      <c r="F19">
        <f>F12+VLOOKUP($B$3,$I$3:$J$9,2,FALSE)</f>
        <v>2065</v>
      </c>
      <c r="H19" t="str">
        <f>C28</f>
        <v>T-SAVI_INT_ELC_NEW</v>
      </c>
      <c r="I19" s="28" t="s">
        <v>92</v>
      </c>
    </row>
    <row r="20" spans="2:10">
      <c r="B20" s="43"/>
      <c r="C20" s="43"/>
      <c r="D20" s="43" t="s">
        <v>86</v>
      </c>
      <c r="E20" s="43"/>
      <c r="F20" s="44">
        <f>F13+VLOOKUP($B$3,$I$3:$J$9,2,FALSE)</f>
        <v>2075</v>
      </c>
      <c r="G20" s="43"/>
      <c r="H20" s="43" t="str">
        <f>C29</f>
        <v>T-MAVI_INT_ELC_NEW</v>
      </c>
      <c r="I20" s="45" t="s">
        <v>108</v>
      </c>
      <c r="J20" s="29"/>
    </row>
    <row r="21" spans="2:10">
      <c r="D21" s="48" t="s">
        <v>86</v>
      </c>
      <c r="F21">
        <f>F6+VLOOKUP($B$3,$I$3:$J$9,2,FALSE)</f>
        <v>2075</v>
      </c>
      <c r="H21" t="str">
        <f>C6</f>
        <v>T-SAVI_INT_H2_NEW</v>
      </c>
      <c r="I21" s="49" t="s">
        <v>115</v>
      </c>
    </row>
    <row r="22" spans="2:10">
      <c r="B22" s="47"/>
      <c r="C22" s="47"/>
      <c r="D22" s="47" t="s">
        <v>86</v>
      </c>
      <c r="E22" s="47"/>
      <c r="F22" s="48">
        <f t="shared" ref="F22:F23" si="0">F7+VLOOKUP($B$3,$I$3:$J$9,2,FALSE)</f>
        <v>2075</v>
      </c>
      <c r="G22" s="47"/>
      <c r="H22" s="47" t="str">
        <f t="shared" ref="H22:H23" si="1">C7</f>
        <v>T-MAVI_INT_H2_NEW</v>
      </c>
      <c r="I22" s="47"/>
    </row>
    <row r="23" spans="2:10">
      <c r="B23" s="55"/>
      <c r="C23" s="55"/>
      <c r="D23" s="55" t="s">
        <v>86</v>
      </c>
      <c r="E23" s="55"/>
      <c r="F23" s="55">
        <f t="shared" si="0"/>
        <v>2075</v>
      </c>
      <c r="G23" s="46"/>
      <c r="H23" s="55" t="str">
        <f t="shared" si="1"/>
        <v>T-LAVI_INT_H2_NEW</v>
      </c>
      <c r="I23" s="55"/>
    </row>
    <row r="27" spans="2:10">
      <c r="C27" s="35" t="s">
        <v>91</v>
      </c>
      <c r="D27" s="35"/>
    </row>
    <row r="28" spans="2:10">
      <c r="C28" s="39" t="s">
        <v>87</v>
      </c>
      <c r="D28" s="39" t="s">
        <v>88</v>
      </c>
    </row>
    <row r="29" spans="2:10">
      <c r="C29" s="39" t="s">
        <v>89</v>
      </c>
      <c r="D29" s="39" t="s">
        <v>90</v>
      </c>
    </row>
    <row r="30" spans="2:10">
      <c r="C30" s="36"/>
      <c r="D30" s="36"/>
    </row>
    <row r="31" spans="2:10">
      <c r="C31" s="36"/>
      <c r="D31" s="36"/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START year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2026-08-12T13:33:39Z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