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78D8DB89-3CC9-4793-A797-067F5A8520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9" i="1"/>
  <c r="C60" i="1"/>
  <c r="C61" i="1"/>
  <c r="C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Q58" i="1"/>
  <c r="Q59" i="1"/>
  <c r="Q60" i="1"/>
  <c r="Q61" i="1"/>
  <c r="Q57" i="1"/>
  <c r="E57" i="1"/>
  <c r="B43" i="1"/>
  <c r="B44" i="1"/>
  <c r="B45" i="1"/>
  <c r="B46" i="1"/>
  <c r="B47" i="1"/>
  <c r="B48" i="1"/>
  <c r="B42" i="1"/>
  <c r="D47" i="1"/>
  <c r="F47" i="1"/>
  <c r="I47" i="1"/>
  <c r="J47" i="1"/>
  <c r="K47" i="1"/>
  <c r="L47" i="1"/>
  <c r="X47" i="1"/>
  <c r="Z47" i="1"/>
  <c r="AA47" i="1"/>
  <c r="AB47" i="1"/>
  <c r="AD47" i="1"/>
  <c r="AE47" i="1"/>
  <c r="AF47" i="1"/>
  <c r="AG47" i="1"/>
  <c r="AH47" i="1"/>
  <c r="AI47" i="1"/>
  <c r="D48" i="1"/>
  <c r="E48" i="1"/>
  <c r="F48" i="1"/>
  <c r="G48" i="1"/>
  <c r="H48" i="1"/>
  <c r="I48" i="1"/>
  <c r="K48" i="1"/>
  <c r="L48" i="1"/>
  <c r="M48" i="1"/>
  <c r="N48" i="1"/>
  <c r="O48" i="1"/>
  <c r="P48" i="1"/>
  <c r="Q48" i="1"/>
  <c r="R48" i="1"/>
  <c r="S48" i="1"/>
  <c r="T48" i="1"/>
  <c r="U48" i="1"/>
  <c r="V48" i="1"/>
  <c r="X48" i="1"/>
  <c r="Y48" i="1"/>
  <c r="Z48" i="1"/>
  <c r="AG48" i="1"/>
  <c r="AH48" i="1"/>
  <c r="AI48" i="1"/>
  <c r="C48" i="1"/>
  <c r="C47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D43" i="1"/>
  <c r="E43" i="1"/>
  <c r="F43" i="1"/>
  <c r="G43" i="1"/>
  <c r="H43" i="1"/>
  <c r="I43" i="1"/>
  <c r="J43" i="1"/>
  <c r="K43" i="1"/>
  <c r="L43" i="1"/>
  <c r="M43" i="1"/>
  <c r="O43" i="1"/>
  <c r="P43" i="1"/>
  <c r="Q43" i="1"/>
  <c r="R43" i="1"/>
  <c r="S43" i="1"/>
  <c r="T43" i="1"/>
  <c r="U43" i="1"/>
  <c r="V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D44" i="1"/>
  <c r="E44" i="1"/>
  <c r="F44" i="1"/>
  <c r="G44" i="1"/>
  <c r="H44" i="1"/>
  <c r="I44" i="1"/>
  <c r="J44" i="1"/>
  <c r="K44" i="1"/>
  <c r="L44" i="1"/>
  <c r="M44" i="1"/>
  <c r="N44" i="1"/>
  <c r="O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C46" i="1"/>
  <c r="C45" i="1"/>
  <c r="C44" i="1"/>
  <c r="C43" i="1"/>
  <c r="C42" i="1"/>
</calcChain>
</file>

<file path=xl/sharedStrings.xml><?xml version="1.0" encoding="utf-8"?>
<sst xmlns="http://schemas.openxmlformats.org/spreadsheetml/2006/main" count="110" uniqueCount="74">
  <si>
    <t>Sum of Pv</t>
  </si>
  <si>
    <t>Processset</t>
  </si>
  <si>
    <t>PWR-BIO</t>
  </si>
  <si>
    <t>PWR-BIO-CCS</t>
  </si>
  <si>
    <t>PWR-H2</t>
  </si>
  <si>
    <t>PWR-MSW</t>
  </si>
  <si>
    <t>PWR-SOL</t>
  </si>
  <si>
    <t>PWR-WIN-OF</t>
  </si>
  <si>
    <t>PWR-WIN-ON</t>
  </si>
  <si>
    <t>SRV-CS_NRGSRV-WS</t>
  </si>
  <si>
    <t>SRV-PU_NRGSRV-WS</t>
  </si>
  <si>
    <t/>
  </si>
  <si>
    <t>Process</t>
  </si>
  <si>
    <t>P-RNW-FB-BIO01</t>
  </si>
  <si>
    <t>P-RNW-IGCC-BIO03</t>
  </si>
  <si>
    <t>P-RNW-ST-BIO02</t>
  </si>
  <si>
    <t>P-RNW-ST-BIO-CCS05</t>
  </si>
  <si>
    <t>P-TH-CCGT-H2-02</t>
  </si>
  <si>
    <t>P-TH-OCGT-H2-01</t>
  </si>
  <si>
    <t>P-RNW-ST-MSW04</t>
  </si>
  <si>
    <t>P-RNW-SOL-PV01</t>
  </si>
  <si>
    <t>P-RNW-SOL-PV02</t>
  </si>
  <si>
    <t>P-RNW-SOL-PV03</t>
  </si>
  <si>
    <t>P-RNW-WIN-OF02</t>
  </si>
  <si>
    <t>P-RNW-WIN-ON01</t>
  </si>
  <si>
    <t>P-RNW-WIN-ON02</t>
  </si>
  <si>
    <t>P-RNW-WIN-ON03</t>
  </si>
  <si>
    <t>P-RNW-WIN-ON04</t>
  </si>
  <si>
    <t>S-SC-CS_ELC_N1</t>
  </si>
  <si>
    <t>S-SH-CS_ELC_N2</t>
  </si>
  <si>
    <t>S-SH-CS_ELC_N3</t>
  </si>
  <si>
    <t>S-SH-CS_ELC_N5</t>
  </si>
  <si>
    <t>S-SH-CS_ELC_N6</t>
  </si>
  <si>
    <t>S-SH-CS_ELC_N8</t>
  </si>
  <si>
    <t>S-SH-CS_GAS_N5</t>
  </si>
  <si>
    <t>S-SH-CS_HET_N1</t>
  </si>
  <si>
    <t>S-SH-CS_OIL_N1</t>
  </si>
  <si>
    <t>S-SH-CS-GAS_N4</t>
  </si>
  <si>
    <t>S-SC-PU_ELC_N1</t>
  </si>
  <si>
    <t>S-SH-PU_ELC_N2</t>
  </si>
  <si>
    <t>S-SH-PU_ELC_N3</t>
  </si>
  <si>
    <t>S-SH-PU_ELC_N5</t>
  </si>
  <si>
    <t>S-SH-PU_ELC_N6</t>
  </si>
  <si>
    <t>S-SH-PU_ELC_N8</t>
  </si>
  <si>
    <t>S-SH-PU_GAS_N4</t>
  </si>
  <si>
    <t>S-SH-PU_GAS_N5</t>
  </si>
  <si>
    <t>S-SH-PU_HET_N1</t>
  </si>
  <si>
    <t>S-SH-PU_OIL_N1</t>
  </si>
  <si>
    <t>Period</t>
  </si>
  <si>
    <t>SRV-HP</t>
  </si>
  <si>
    <t>SRV-DH</t>
  </si>
  <si>
    <t>UC - Each Region/All Periods</t>
  </si>
  <si>
    <t>Coefficient</t>
  </si>
  <si>
    <t>~UC_Sets: R_E: AllRegions</t>
  </si>
  <si>
    <t>~UC_Sets: T_S:</t>
  </si>
  <si>
    <t>~UC_T: UC_RHSRT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</si>
  <si>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</si>
  <si>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</si>
  <si>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</si>
  <si>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</si>
  <si>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</si>
  <si>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</si>
  <si>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</si>
  <si>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</si>
  <si>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</si>
  <si>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UC_NCAP</t>
  </si>
  <si>
    <t>UC_FLO</t>
  </si>
  <si>
    <t>AllRegions</t>
  </si>
  <si>
    <t>UC_RHSRT~0</t>
  </si>
  <si>
    <t>UC_Desc</t>
  </si>
  <si>
    <t>P-TH-CCGT-H2*</t>
  </si>
  <si>
    <t>P-RNW-SOL-PV*</t>
  </si>
  <si>
    <t>P-RNW-WIN-ON*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</si>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</sst>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4" fillId="0" borderId="0"/>
    <xf numFmtId="0" fontId="22" fillId="0" borderId="0"/>
    <xf numFmtId="0" fontId="2" fillId="12" borderId="10" applyNumberFormat="0" applyFont="0" applyAlignment="0" applyProtection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49" fontId="4" fillId="3" borderId="2" xfId="0" applyNumberFormat="1" applyFont="1" applyFill="1" applyBorder="1" applyAlignment="1">
      <alignment horizontal="left" vertical="center"/>
    </xf>
    <xf numFmtId="2" fontId="5" fillId="5" borderId="0" xfId="0" applyNumberFormat="1" applyFont="1" applyFill="1"/>
    <xf numFmtId="49" fontId="2" fillId="0" borderId="0" xfId="41" applyNumberFormat="1"/>
    <xf numFmtId="0" fontId="2" fillId="0" borderId="0" xfId="41"/>
    <xf numFmtId="0" fontId="21" fillId="0" borderId="0" xfId="43" applyFont="1"/>
    <xf numFmtId="0" fontId="23" fillId="37" borderId="0" xfId="41" applyFont="1" applyFill="1"/>
    <xf numFmtId="0" fontId="23" fillId="0" borderId="0" xfId="41" applyFont="1" applyAlignment="1">
      <alignment horizontal="right"/>
    </xf>
    <xf numFmtId="0" fontId="23" fillId="38" borderId="0" xfId="41" applyFont="1" applyFill="1"/>
    <xf numFmtId="0" fontId="23" fillId="39" borderId="0" xfId="41" applyFont="1" applyFill="1"/>
    <xf numFmtId="0" fontId="23" fillId="0" borderId="0" xfId="41" applyFont="1"/>
    <xf numFmtId="0" fontId="24" fillId="0" borderId="0" xfId="41" applyFont="1"/>
    <xf numFmtId="2" fontId="2" fillId="0" borderId="0" xfId="41" applyNumberFormat="1"/>
    <xf numFmtId="0" fontId="1" fillId="0" borderId="0" xfId="41" applyFont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87145C91-2173-4BBC-A5BF-CBABA237CA17}"/>
    <cellStyle name="Normal 2" xfId="41" xr:uid="{6B4421A1-8F15-4E5B-A04E-A4DC65721E11}"/>
    <cellStyle name="Normale_Scen_UC_IND-StrucConst" xfId="43" xr:uid="{100800D8-EC1F-4C74-A177-951125BCCC6D}"/>
    <cellStyle name="Note 2" xfId="44" xr:uid="{400CBDC5-F4D7-4BD6-98FE-7098D08B57B3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4"/>
  <sheetViews>
    <sheetView tabSelected="1" topLeftCell="A33" workbookViewId="0">
      <selection activeCell="K58" sqref="K58:K61"/>
    </sheetView>
  </sheetViews>
  <sheetFormatPr defaultColWidth="9.26953125" defaultRowHeight="14.5" x14ac:dyDescent="0.35"/>
  <cols>
    <col min="1" max="35" width="17.1796875" bestFit="1"/>
  </cols>
  <sheetData>
    <row r="1" spans="1:35" ht="18.75" customHeight="1" x14ac:dyDescent="0.35">
      <c r="A1" s="1" t="s">
        <v>0</v>
      </c>
      <c r="B1" t="s">
        <v>11</v>
      </c>
      <c r="C1" s="1" t="s">
        <v>48</v>
      </c>
    </row>
    <row r="2" spans="1:35" ht="18.75" customHeight="1" x14ac:dyDescent="0.35">
      <c r="A2" s="1" t="s">
        <v>1</v>
      </c>
      <c r="B2" s="1" t="s">
        <v>12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3">
        <v>2025</v>
      </c>
      <c r="J2" s="3">
        <v>2026</v>
      </c>
      <c r="K2" s="3">
        <v>2027</v>
      </c>
      <c r="L2" s="3">
        <v>2028</v>
      </c>
      <c r="M2" s="3">
        <v>2029</v>
      </c>
      <c r="N2" s="3">
        <v>2030</v>
      </c>
      <c r="O2" s="3">
        <v>2031</v>
      </c>
      <c r="P2" s="3">
        <v>2032</v>
      </c>
      <c r="Q2" s="3">
        <v>2033</v>
      </c>
      <c r="R2" s="3">
        <v>2034</v>
      </c>
      <c r="S2" s="3">
        <v>2035</v>
      </c>
      <c r="T2" s="3">
        <v>2036</v>
      </c>
      <c r="U2" s="3">
        <v>2037</v>
      </c>
      <c r="V2" s="3">
        <v>2038</v>
      </c>
      <c r="W2" s="3">
        <v>2039</v>
      </c>
      <c r="X2" s="3">
        <v>2040</v>
      </c>
      <c r="Y2" s="3">
        <v>2041</v>
      </c>
      <c r="Z2" s="3">
        <v>2042</v>
      </c>
      <c r="AA2" s="3">
        <v>2043</v>
      </c>
      <c r="AB2" s="3">
        <v>2044</v>
      </c>
      <c r="AC2" s="3">
        <v>2045</v>
      </c>
      <c r="AD2" s="3">
        <v>2046</v>
      </c>
      <c r="AE2" s="3">
        <v>2047</v>
      </c>
      <c r="AF2" s="3">
        <v>2048</v>
      </c>
      <c r="AG2" s="3">
        <v>2049</v>
      </c>
      <c r="AH2" s="3">
        <v>2050</v>
      </c>
      <c r="AI2" s="3">
        <v>2051</v>
      </c>
    </row>
    <row r="3" spans="1:35" ht="18.75" customHeight="1" x14ac:dyDescent="0.35">
      <c r="A3" s="2" t="s">
        <v>2</v>
      </c>
      <c r="B3" s="2" t="s">
        <v>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5.2539775856762203E-8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8.75" customHeight="1" x14ac:dyDescent="0.35">
      <c r="A4" s="2" t="s">
        <v>2</v>
      </c>
      <c r="B4" s="2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>
        <v>1.17467235561444E-8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8.75" customHeight="1" x14ac:dyDescent="0.35">
      <c r="A5" s="2" t="s">
        <v>2</v>
      </c>
      <c r="B5" s="2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>
        <v>3.0418086844694801E-2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8.75" customHeight="1" x14ac:dyDescent="0.35">
      <c r="A6" s="2" t="s">
        <v>3</v>
      </c>
      <c r="B6" s="2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>
        <v>0.49999999994168998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35">
      <c r="A7" s="2" t="s">
        <v>4</v>
      </c>
      <c r="B7" s="2" t="s">
        <v>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>
        <v>1.33882067708105E-8</v>
      </c>
      <c r="O7" s="4"/>
      <c r="P7" s="4"/>
      <c r="Q7" s="4"/>
      <c r="R7" s="4"/>
      <c r="S7" s="4"/>
      <c r="T7" s="4"/>
      <c r="U7" s="4"/>
      <c r="V7" s="4"/>
      <c r="W7" s="5">
        <v>4.6371662963766199E-7</v>
      </c>
      <c r="X7" s="5">
        <v>3.7426459245906499E-2</v>
      </c>
      <c r="Y7" s="5">
        <v>0.110259175035641</v>
      </c>
      <c r="Z7" s="5">
        <v>7.0007312068793404E-2</v>
      </c>
      <c r="AA7" s="5">
        <v>5.6637217751537398E-2</v>
      </c>
      <c r="AB7" s="5">
        <v>9.4333683973048199E-2</v>
      </c>
      <c r="AC7" s="5">
        <v>6.7957600243049504E-2</v>
      </c>
      <c r="AD7" s="5">
        <v>0.15477828377052699</v>
      </c>
      <c r="AE7" s="5">
        <v>0.33250746640519802</v>
      </c>
      <c r="AF7" s="5">
        <v>0.154633291943329</v>
      </c>
      <c r="AG7" s="5">
        <v>0.27313233692502098</v>
      </c>
      <c r="AH7" s="4"/>
      <c r="AI7" s="4"/>
    </row>
    <row r="8" spans="1:35" ht="18.75" customHeight="1" x14ac:dyDescent="0.35">
      <c r="A8" s="2" t="s">
        <v>4</v>
      </c>
      <c r="B8" s="2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>
        <v>1.5837604040547099E-8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18.75" customHeight="1" x14ac:dyDescent="0.35">
      <c r="A9" s="2" t="s">
        <v>5</v>
      </c>
      <c r="B9" s="2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5">
        <v>9.0986933118601995E-2</v>
      </c>
      <c r="N9" s="5">
        <v>8.0997366005736702E-4</v>
      </c>
      <c r="O9" s="5">
        <v>8.0997219755531201E-4</v>
      </c>
      <c r="P9" s="5">
        <v>8.0997853915673102E-4</v>
      </c>
      <c r="Q9" s="5">
        <v>8.0997366753222705E-4</v>
      </c>
      <c r="R9" s="5">
        <v>8.09972273565386E-4</v>
      </c>
      <c r="S9" s="5">
        <v>8.0997461509707005E-4</v>
      </c>
      <c r="T9" s="5">
        <v>8.0997171606325496E-4</v>
      </c>
      <c r="U9" s="5">
        <v>8.0997310330343196E-4</v>
      </c>
      <c r="V9" s="5">
        <v>8.0997396398321201E-4</v>
      </c>
      <c r="W9" s="5">
        <v>8.0997155035531399E-4</v>
      </c>
      <c r="X9" s="5">
        <v>8.0997386987843498E-4</v>
      </c>
      <c r="Y9" s="5">
        <v>1.34995442136663E-3</v>
      </c>
      <c r="Z9" s="5">
        <v>1.34995529170419E-3</v>
      </c>
      <c r="AA9" s="5">
        <v>1.3499546787414699E-3</v>
      </c>
      <c r="AB9" s="5">
        <v>1.3499554827395401E-3</v>
      </c>
      <c r="AC9" s="5">
        <v>1.34995492655757E-3</v>
      </c>
      <c r="AD9" s="5">
        <v>1.34995479472799E-3</v>
      </c>
      <c r="AE9" s="5">
        <v>1.34995483126157E-3</v>
      </c>
      <c r="AF9" s="5">
        <v>1.3499547766881201E-3</v>
      </c>
      <c r="AG9" s="5">
        <v>1.3499548101486799E-3</v>
      </c>
      <c r="AH9" s="5">
        <v>1.3499555950679499E-3</v>
      </c>
      <c r="AI9" s="4"/>
    </row>
    <row r="10" spans="1:35" ht="18.75" customHeight="1" x14ac:dyDescent="0.35">
      <c r="A10" s="2" t="s">
        <v>6</v>
      </c>
      <c r="B10" s="2" t="s">
        <v>20</v>
      </c>
      <c r="C10" s="4"/>
      <c r="D10" s="5">
        <v>1.20862078506591E-8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>
        <v>1.7590486353521701E-8</v>
      </c>
      <c r="AC10" s="5">
        <v>1.5812538429305599E-8</v>
      </c>
      <c r="AD10" s="5">
        <v>1.18632899029568E-8</v>
      </c>
      <c r="AE10" s="5">
        <v>1.0585139639507E-8</v>
      </c>
      <c r="AF10" s="5">
        <v>1.05650545519892E-8</v>
      </c>
      <c r="AG10" s="5">
        <v>1.15820422802955E-8</v>
      </c>
      <c r="AH10" s="5">
        <v>1.41028286909425E-8</v>
      </c>
      <c r="AI10" s="5">
        <v>1.9515576495136201E-8</v>
      </c>
    </row>
    <row r="11" spans="1:35" ht="18.75" customHeight="1" x14ac:dyDescent="0.35">
      <c r="A11" s="2" t="s">
        <v>6</v>
      </c>
      <c r="B11" s="2" t="s">
        <v>21</v>
      </c>
      <c r="C11" s="5">
        <v>1.99999711342084E-2</v>
      </c>
      <c r="D11" s="5">
        <v>3.2999976112154598E-2</v>
      </c>
      <c r="E11" s="5">
        <v>0.207999987454452</v>
      </c>
      <c r="F11" s="5">
        <v>0.122999906905038</v>
      </c>
      <c r="G11" s="5">
        <v>0.41600025291957599</v>
      </c>
      <c r="H11" s="5">
        <v>1.8000001622428099</v>
      </c>
      <c r="I11" s="5">
        <v>2.3999944752615301</v>
      </c>
      <c r="J11" s="5">
        <v>0.60000548705421297</v>
      </c>
      <c r="K11" s="5">
        <v>0.59998919175605703</v>
      </c>
      <c r="L11" s="5">
        <v>0.60000315706150098</v>
      </c>
      <c r="M11" s="5">
        <v>0.59999511922257798</v>
      </c>
      <c r="N11" s="5">
        <v>0.60000303177311798</v>
      </c>
      <c r="O11" s="5">
        <v>0.20000133656979499</v>
      </c>
      <c r="P11" s="5">
        <v>5.8695643115069003E-8</v>
      </c>
      <c r="Q11" s="5">
        <v>0.40000498601012202</v>
      </c>
      <c r="R11" s="5">
        <v>0.20000311454671099</v>
      </c>
      <c r="S11" s="5">
        <v>0.20000239709335099</v>
      </c>
      <c r="T11" s="5">
        <v>0.19999981616683199</v>
      </c>
      <c r="U11" s="5">
        <v>0.20000071055326901</v>
      </c>
      <c r="V11" s="5">
        <v>0.200003180447485</v>
      </c>
      <c r="W11" s="5">
        <v>0.19999679291209499</v>
      </c>
      <c r="X11" s="5">
        <v>0.199996659967734</v>
      </c>
      <c r="Y11" s="4"/>
      <c r="Z11" s="4"/>
      <c r="AA11" s="4"/>
      <c r="AB11" s="5">
        <v>1.9999939224326399E-2</v>
      </c>
      <c r="AC11" s="5">
        <v>3.2999965224780298E-2</v>
      </c>
      <c r="AD11" s="5">
        <v>0.20799996033576801</v>
      </c>
      <c r="AE11" s="5">
        <v>0.12299987749582</v>
      </c>
      <c r="AF11" s="5">
        <v>0.41600022217113902</v>
      </c>
      <c r="AG11" s="5">
        <v>1.8000001277726201</v>
      </c>
      <c r="AH11" s="5">
        <v>2.3999944309375301</v>
      </c>
      <c r="AI11" s="5">
        <v>0.60000542398133305</v>
      </c>
    </row>
    <row r="12" spans="1:35" ht="18.75" customHeight="1" x14ac:dyDescent="0.35">
      <c r="A12" s="2" t="s">
        <v>6</v>
      </c>
      <c r="B12" s="2" t="s">
        <v>22</v>
      </c>
      <c r="C12" s="5">
        <v>1.0745169201048799E-8</v>
      </c>
      <c r="D12" s="5">
        <v>2.5230495091166699E-8</v>
      </c>
      <c r="E12" s="4"/>
      <c r="F12" s="4"/>
      <c r="G12" s="4"/>
      <c r="H12" s="4"/>
      <c r="I12" s="4"/>
      <c r="J12" s="4"/>
      <c r="K12" s="4"/>
      <c r="L12" s="4"/>
      <c r="M12" s="4"/>
      <c r="N12" s="5">
        <v>1.50820402392737E-8</v>
      </c>
      <c r="O12" s="5">
        <v>1.47543476480813E-8</v>
      </c>
      <c r="P12" s="4"/>
      <c r="Q12" s="4"/>
      <c r="R12" s="4"/>
      <c r="S12" s="4"/>
      <c r="T12" s="4"/>
      <c r="U12" s="4"/>
      <c r="V12" s="5">
        <v>1.1013495320615601E-8</v>
      </c>
      <c r="W12" s="5">
        <v>1.26367510987043E-8</v>
      </c>
      <c r="X12" s="5">
        <v>1.5655466189611501E-8</v>
      </c>
      <c r="Y12" s="4"/>
      <c r="Z12" s="4"/>
      <c r="AA12" s="4"/>
      <c r="AB12" s="5">
        <v>3.5693562546834599E-8</v>
      </c>
      <c r="AC12" s="5">
        <v>3.4621399941623797E-8</v>
      </c>
      <c r="AD12" s="5">
        <v>2.7720856190779799E-8</v>
      </c>
      <c r="AE12" s="5">
        <v>2.5926165524514899E-8</v>
      </c>
      <c r="AF12" s="5">
        <v>2.69719389456348E-8</v>
      </c>
      <c r="AG12" s="5">
        <v>3.05061224177903E-8</v>
      </c>
      <c r="AH12" s="5">
        <v>3.84090814482509E-8</v>
      </c>
      <c r="AI12" s="5">
        <v>5.0638352458656502E-8</v>
      </c>
    </row>
    <row r="13" spans="1:35" ht="18.75" customHeight="1" x14ac:dyDescent="0.35">
      <c r="A13" s="2" t="s">
        <v>7</v>
      </c>
      <c r="B13" s="2" t="s">
        <v>23</v>
      </c>
      <c r="C13" s="4"/>
      <c r="D13" s="4"/>
      <c r="E13" s="4"/>
      <c r="F13" s="4"/>
      <c r="G13" s="4"/>
      <c r="H13" s="4"/>
      <c r="I13" s="5">
        <v>0.175000000404371</v>
      </c>
      <c r="J13" s="4"/>
      <c r="K13" s="4"/>
      <c r="L13" s="5">
        <v>0.70000000005011997</v>
      </c>
      <c r="M13" s="5">
        <v>2.12499999960274</v>
      </c>
      <c r="N13" s="5">
        <v>2.13499999977864</v>
      </c>
      <c r="O13" s="5">
        <v>2.1349999996825</v>
      </c>
      <c r="P13" s="5">
        <v>2.11818243900546</v>
      </c>
      <c r="Q13" s="5">
        <v>0.728657487914946</v>
      </c>
      <c r="R13" s="5">
        <v>0.76642968902267405</v>
      </c>
      <c r="S13" s="4"/>
      <c r="T13" s="5">
        <v>0.25380403096455201</v>
      </c>
      <c r="U13" s="5">
        <v>0.18674585793187601</v>
      </c>
      <c r="V13" s="5">
        <v>0.28848942798369698</v>
      </c>
      <c r="W13" s="5">
        <v>0.38033179595519401</v>
      </c>
      <c r="X13" s="5">
        <v>0.32035794509783699</v>
      </c>
      <c r="Y13" s="5">
        <v>0.65256448436971304</v>
      </c>
      <c r="Z13" s="5">
        <v>0.65196339077961496</v>
      </c>
      <c r="AA13" s="5">
        <v>0.46557846181735502</v>
      </c>
      <c r="AB13" s="5">
        <v>0.45254530778237101</v>
      </c>
      <c r="AC13" s="5">
        <v>0.183673230695308</v>
      </c>
      <c r="AD13" s="5">
        <v>0.110543019813645</v>
      </c>
      <c r="AE13" s="5">
        <v>0.78049409029860795</v>
      </c>
      <c r="AF13" s="5">
        <v>0.31895445603997202</v>
      </c>
      <c r="AG13" s="5">
        <v>0.39694700653175402</v>
      </c>
      <c r="AH13" s="5">
        <v>0.831023193037704</v>
      </c>
      <c r="AI13" s="5">
        <v>0.62521824985919905</v>
      </c>
    </row>
    <row r="14" spans="1:35" ht="18.75" customHeight="1" x14ac:dyDescent="0.35">
      <c r="A14" s="2" t="s">
        <v>8</v>
      </c>
      <c r="B14" s="2" t="s">
        <v>24</v>
      </c>
      <c r="C14" s="5">
        <v>3.2998175780831599E-3</v>
      </c>
      <c r="D14" s="4"/>
      <c r="E14" s="4"/>
      <c r="F14" s="5">
        <v>5.09999727689633E-2</v>
      </c>
      <c r="G14" s="5">
        <v>4.9999858131896599E-3</v>
      </c>
      <c r="H14" s="5">
        <v>0.70799998427607103</v>
      </c>
      <c r="I14" s="5">
        <v>4.9999985941132002E-2</v>
      </c>
      <c r="J14" s="5">
        <v>0.66499998582874298</v>
      </c>
      <c r="K14" s="5">
        <v>0.64499998572645101</v>
      </c>
      <c r="L14" s="5">
        <v>0.29999998439273201</v>
      </c>
      <c r="M14" s="5">
        <v>0.29999998130140298</v>
      </c>
      <c r="N14" s="5">
        <v>0.29999997608408302</v>
      </c>
      <c r="O14" s="5">
        <v>0.29999997557902103</v>
      </c>
      <c r="P14" s="5">
        <v>0.29999997665496703</v>
      </c>
      <c r="Q14" s="5">
        <v>0.29999997734959699</v>
      </c>
      <c r="R14" s="5">
        <v>0.29999997674029799</v>
      </c>
      <c r="S14" s="5">
        <v>0.29999997579848797</v>
      </c>
      <c r="T14" s="5">
        <v>0.29999997390396799</v>
      </c>
      <c r="U14" s="5">
        <v>0.299999970663057</v>
      </c>
      <c r="V14" s="5">
        <v>0.29999996506874799</v>
      </c>
      <c r="W14" s="5">
        <v>0.29999995306785698</v>
      </c>
      <c r="X14" s="5">
        <v>0.29999991093599898</v>
      </c>
      <c r="Y14" s="5">
        <v>0.29999995058535101</v>
      </c>
      <c r="Z14" s="5">
        <v>0.29999995858039002</v>
      </c>
      <c r="AA14" s="5">
        <v>0.29999996023655701</v>
      </c>
      <c r="AB14" s="5">
        <v>0.299999958517362</v>
      </c>
      <c r="AC14" s="5">
        <v>0.29999995561153397</v>
      </c>
      <c r="AD14" s="5">
        <v>0.29999995302160298</v>
      </c>
      <c r="AE14" s="5">
        <v>0.29999994955301201</v>
      </c>
      <c r="AF14" s="5">
        <v>0.29999994486688097</v>
      </c>
      <c r="AG14" s="5">
        <v>0.29999993557819299</v>
      </c>
      <c r="AH14" s="5">
        <v>0.29999991492147299</v>
      </c>
      <c r="AI14" s="5">
        <v>0.29999988159059898</v>
      </c>
    </row>
    <row r="15" spans="1:35" ht="18.75" customHeight="1" x14ac:dyDescent="0.35">
      <c r="A15" s="2" t="s">
        <v>8</v>
      </c>
      <c r="B15" s="2" t="s">
        <v>25</v>
      </c>
      <c r="C15" s="5">
        <v>1.10907310340523E-7</v>
      </c>
      <c r="D15" s="4"/>
      <c r="E15" s="4"/>
      <c r="F15" s="5">
        <v>1.9595864349698199E-8</v>
      </c>
      <c r="G15" s="5">
        <v>1.15311752652353E-8</v>
      </c>
      <c r="H15" s="5">
        <v>1.1784946764950399E-8</v>
      </c>
      <c r="I15" s="5">
        <v>1.0327867870882701E-8</v>
      </c>
      <c r="J15" s="5">
        <v>1.02055916152733E-8</v>
      </c>
      <c r="K15" s="5">
        <v>1.03445565949464E-8</v>
      </c>
      <c r="L15" s="5">
        <v>1.0252994062443801E-8</v>
      </c>
      <c r="M15" s="5">
        <v>1.1862504626898401E-8</v>
      </c>
      <c r="N15" s="5">
        <v>1.42616811042873E-8</v>
      </c>
      <c r="O15" s="5">
        <v>1.3972325258366601E-8</v>
      </c>
      <c r="P15" s="5">
        <v>1.3891598830433301E-8</v>
      </c>
      <c r="Q15" s="5">
        <v>1.41055105894531E-8</v>
      </c>
      <c r="R15" s="5">
        <v>1.48649833687676E-8</v>
      </c>
      <c r="S15" s="5">
        <v>1.5415154770800401E-8</v>
      </c>
      <c r="T15" s="5">
        <v>1.6541640557529799E-8</v>
      </c>
      <c r="U15" s="5">
        <v>1.8467325126921899E-8</v>
      </c>
      <c r="V15" s="5">
        <v>2.1813199199387799E-8</v>
      </c>
      <c r="W15" s="5">
        <v>2.8835505968926099E-8</v>
      </c>
      <c r="X15" s="5">
        <v>5.1800212703051298E-8</v>
      </c>
      <c r="Y15" s="5">
        <v>3.0625992514394298E-8</v>
      </c>
      <c r="Z15" s="5">
        <v>2.6050428785840298E-8</v>
      </c>
      <c r="AA15" s="5">
        <v>2.5160541386474001E-8</v>
      </c>
      <c r="AB15" s="5">
        <v>2.6406955819276401E-8</v>
      </c>
      <c r="AC15" s="5">
        <v>2.8272536678673501E-8</v>
      </c>
      <c r="AD15" s="5">
        <v>2.97693724422576E-8</v>
      </c>
      <c r="AE15" s="5">
        <v>3.1780755051467002E-8</v>
      </c>
      <c r="AF15" s="5">
        <v>3.46941228819616E-8</v>
      </c>
      <c r="AG15" s="5">
        <v>4.0408299731539799E-8</v>
      </c>
      <c r="AH15" s="5">
        <v>5.3410958503770801E-8</v>
      </c>
      <c r="AI15" s="5">
        <v>7.2148983464487203E-8</v>
      </c>
    </row>
    <row r="16" spans="1:35" ht="18.75" customHeight="1" x14ac:dyDescent="0.35">
      <c r="A16" s="2" t="s">
        <v>8</v>
      </c>
      <c r="B16" s="2" t="s">
        <v>26</v>
      </c>
      <c r="C16" s="5">
        <v>4.3369466413161402E-8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>
        <v>1.13746345192467E-8</v>
      </c>
      <c r="X16" s="5">
        <v>2.19320976493578E-8</v>
      </c>
      <c r="Y16" s="5">
        <v>1.18813429937049E-8</v>
      </c>
      <c r="Z16" s="4"/>
      <c r="AA16" s="4"/>
      <c r="AB16" s="4"/>
      <c r="AC16" s="5">
        <v>1.03886071505823E-8</v>
      </c>
      <c r="AD16" s="5">
        <v>1.09925896391394E-8</v>
      </c>
      <c r="AE16" s="5">
        <v>1.17660993960509E-8</v>
      </c>
      <c r="AF16" s="5">
        <v>1.27889228587303E-8</v>
      </c>
      <c r="AG16" s="5">
        <v>1.48028951513837E-8</v>
      </c>
      <c r="AH16" s="5">
        <v>1.92002395048208E-8</v>
      </c>
      <c r="AI16" s="5">
        <v>2.6543626695678601E-8</v>
      </c>
    </row>
    <row r="17" spans="1:35" ht="18.75" customHeight="1" x14ac:dyDescent="0.35">
      <c r="A17" s="2" t="s">
        <v>8</v>
      </c>
      <c r="B17" s="2" t="s">
        <v>27</v>
      </c>
      <c r="C17" s="5">
        <v>1.9685245235955301E-8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>
        <v>1.0919475126881601E-8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>
        <v>1.16124129808359E-8</v>
      </c>
    </row>
    <row r="18" spans="1:35" ht="18.75" customHeight="1" x14ac:dyDescent="0.35">
      <c r="A18" s="2" t="s">
        <v>9</v>
      </c>
      <c r="B18" s="2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5">
        <v>0.31921551794792302</v>
      </c>
      <c r="M18" s="5">
        <v>0.32110311886118598</v>
      </c>
      <c r="N18" s="5">
        <v>0.32303005973954602</v>
      </c>
      <c r="O18" s="5">
        <v>0.32499684079563701</v>
      </c>
      <c r="P18" s="5">
        <v>0.28675713909451001</v>
      </c>
      <c r="Q18" s="5">
        <v>0.28747354426405503</v>
      </c>
      <c r="R18" s="5">
        <v>5.9646842242513702E-2</v>
      </c>
      <c r="S18" s="5">
        <v>6.03809951238602E-2</v>
      </c>
      <c r="T18" s="5">
        <v>6.1124181165635401E-2</v>
      </c>
      <c r="U18" s="5">
        <v>4.6886215110806803E-2</v>
      </c>
      <c r="V18" s="5">
        <v>4.7323494822763698E-2</v>
      </c>
      <c r="W18" s="5">
        <v>0.32184360763747299</v>
      </c>
      <c r="X18" s="5">
        <v>2.7576105555753299</v>
      </c>
      <c r="Y18" s="5">
        <v>4.86597239456956E-2</v>
      </c>
      <c r="Z18" s="5">
        <v>3.8311496148450003E-2</v>
      </c>
      <c r="AA18" s="5">
        <v>3.85900687538401E-2</v>
      </c>
      <c r="AB18" s="5">
        <v>3.8871539127339698E-2</v>
      </c>
      <c r="AC18" s="5">
        <v>3.9152255770022001E-2</v>
      </c>
      <c r="AD18" s="5">
        <v>3.9438945826291698E-2</v>
      </c>
      <c r="AE18" s="5">
        <v>3.9845037319185102E-2</v>
      </c>
      <c r="AF18" s="5">
        <v>0.35935131681687899</v>
      </c>
      <c r="AG18" s="5">
        <v>0.361531757151135</v>
      </c>
      <c r="AH18" s="5">
        <v>0.36375376739083698</v>
      </c>
      <c r="AI18" s="5">
        <v>0.36601770613676599</v>
      </c>
    </row>
    <row r="19" spans="1:35" ht="18.75" customHeight="1" x14ac:dyDescent="0.35">
      <c r="A19" s="2" t="s">
        <v>9</v>
      </c>
      <c r="B19" s="2" t="s">
        <v>29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>
        <v>1.3039060829774999E-8</v>
      </c>
      <c r="X19" s="5">
        <v>1.1803684681095701</v>
      </c>
      <c r="Y19" s="5">
        <v>2.11480928882323E-7</v>
      </c>
      <c r="Z19" s="5">
        <v>0.49321220461412102</v>
      </c>
      <c r="AA19" s="5">
        <v>2.1175945401929699E-2</v>
      </c>
      <c r="AB19" s="5">
        <v>2.47607549787431E-2</v>
      </c>
      <c r="AC19" s="5">
        <v>2.3888858712086101E-8</v>
      </c>
      <c r="AD19" s="5">
        <v>2.0394065803207999</v>
      </c>
      <c r="AE19" s="5">
        <v>0.34536954308117901</v>
      </c>
      <c r="AF19" s="5">
        <v>2.9949886605812E-2</v>
      </c>
      <c r="AG19" s="5">
        <v>3.0164472987890899E-2</v>
      </c>
      <c r="AH19" s="5">
        <v>3.03879564252179E-2</v>
      </c>
      <c r="AI19" s="5">
        <v>3.06095237787622E-2</v>
      </c>
    </row>
    <row r="20" spans="1:35" ht="18.75" customHeight="1" x14ac:dyDescent="0.35">
      <c r="A20" s="2" t="s">
        <v>9</v>
      </c>
      <c r="B20" s="2" t="s">
        <v>30</v>
      </c>
      <c r="C20" s="4"/>
      <c r="D20" s="4"/>
      <c r="E20" s="4"/>
      <c r="F20" s="4"/>
      <c r="G20" s="4"/>
      <c r="H20" s="4"/>
      <c r="I20" s="4"/>
      <c r="J20" s="4"/>
      <c r="K20" s="4"/>
      <c r="L20" s="5">
        <v>2.29625592801585E-8</v>
      </c>
      <c r="M20" s="5">
        <v>3.1795711892522699E-8</v>
      </c>
      <c r="N20" s="5">
        <v>5.1362905688619099E-8</v>
      </c>
      <c r="O20" s="5">
        <v>2.5925735691688301E-8</v>
      </c>
      <c r="P20" s="5">
        <v>2.8230728022348599E-8</v>
      </c>
      <c r="Q20" s="5">
        <v>3.0461565618581301E-8</v>
      </c>
      <c r="R20" s="5">
        <v>3.3103203490928402E-8</v>
      </c>
      <c r="S20" s="5">
        <v>3.6438098052438701E-8</v>
      </c>
      <c r="T20" s="5">
        <v>4.07081735973935E-8</v>
      </c>
      <c r="U20" s="5">
        <v>4.6416118364829003E-8</v>
      </c>
      <c r="V20" s="5">
        <v>5.4561533560619102E-8</v>
      </c>
      <c r="W20" s="5">
        <v>6.73561099089992E-8</v>
      </c>
      <c r="X20" s="5">
        <v>9.0168193646463502E-8</v>
      </c>
      <c r="Y20" s="5">
        <v>9.0719848968243202E-8</v>
      </c>
      <c r="Z20" s="5">
        <v>1.18174456274992E-7</v>
      </c>
      <c r="AA20" s="5">
        <v>1.7646247163940399E-7</v>
      </c>
      <c r="AB20" s="5">
        <v>5.7856396106059397E-7</v>
      </c>
      <c r="AC20" s="5">
        <v>4.1845832322345299E-8</v>
      </c>
      <c r="AD20" s="5">
        <v>4.7696798952954399E-8</v>
      </c>
      <c r="AE20" s="5">
        <v>4.8611765103536E-8</v>
      </c>
      <c r="AF20" s="5">
        <v>5.36749528536682E-8</v>
      </c>
      <c r="AG20" s="5">
        <v>5.1837345970922101E-8</v>
      </c>
      <c r="AH20" s="5">
        <v>4.5759121364149399E-8</v>
      </c>
      <c r="AI20" s="4"/>
    </row>
    <row r="21" spans="1:35" ht="18.75" customHeight="1" x14ac:dyDescent="0.35">
      <c r="A21" s="2" t="s">
        <v>9</v>
      </c>
      <c r="B21" s="2" t="s">
        <v>31</v>
      </c>
      <c r="C21" s="4"/>
      <c r="D21" s="5">
        <v>2.3635168795296502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8.75" customHeight="1" x14ac:dyDescent="0.35">
      <c r="A22" s="2" t="s">
        <v>9</v>
      </c>
      <c r="B22" s="2" t="s">
        <v>32</v>
      </c>
      <c r="C22" s="5">
        <v>2.3875009266650302E-7</v>
      </c>
      <c r="D22" s="5">
        <v>7.8361798969753302E-2</v>
      </c>
      <c r="E22" s="5">
        <v>2.6221138685221998E-7</v>
      </c>
      <c r="F22" s="5">
        <v>0.28936558245500799</v>
      </c>
      <c r="G22" s="5">
        <v>4.9932915264984601E-7</v>
      </c>
      <c r="H22" s="5">
        <v>1.70332583956671E-6</v>
      </c>
      <c r="I22" s="5">
        <v>9.4061607260315205E-2</v>
      </c>
      <c r="J22" s="5">
        <v>2.3011512905158602</v>
      </c>
      <c r="K22" s="5">
        <v>0.51973162219232705</v>
      </c>
      <c r="L22" s="5">
        <v>0.199622129780227</v>
      </c>
      <c r="M22" s="5">
        <v>7.64268242343391E-7</v>
      </c>
      <c r="N22" s="5">
        <v>2.8701548357565202E-7</v>
      </c>
      <c r="O22" s="5">
        <v>1.30142007328147E-7</v>
      </c>
      <c r="P22" s="5">
        <v>1.4089673200574101E-7</v>
      </c>
      <c r="Q22" s="5">
        <v>1.50345399615623E-7</v>
      </c>
      <c r="R22" s="5">
        <v>1.60866805112103E-7</v>
      </c>
      <c r="S22" s="5">
        <v>1.7387703733773299E-7</v>
      </c>
      <c r="T22" s="5">
        <v>1.88638940387985E-7</v>
      </c>
      <c r="U22" s="5">
        <v>2.0465193549363701E-7</v>
      </c>
      <c r="V22" s="5">
        <v>2.2221195649402101E-7</v>
      </c>
      <c r="W22" s="5">
        <v>2.4108043266038798E-7</v>
      </c>
      <c r="X22" s="5">
        <v>3.19712993716177E-7</v>
      </c>
      <c r="Y22" s="5">
        <v>3.2019241431067801E-7</v>
      </c>
      <c r="Z22" s="5">
        <v>3.35917469173796E-7</v>
      </c>
      <c r="AA22" s="5">
        <v>3.4535897864240801E-7</v>
      </c>
      <c r="AB22" s="5">
        <v>3.5653933398279402E-7</v>
      </c>
      <c r="AC22" s="5">
        <v>2.99958059148706E-7</v>
      </c>
      <c r="AD22" s="5">
        <v>3.9021349948906299E-7</v>
      </c>
      <c r="AE22" s="5">
        <v>4.2211087252497101E-7</v>
      </c>
      <c r="AF22" s="5">
        <v>3.9340025445058302E-7</v>
      </c>
      <c r="AG22" s="5">
        <v>3.1876793054031098E-7</v>
      </c>
      <c r="AH22" s="5">
        <v>3.2456800960329898E-7</v>
      </c>
      <c r="AI22" s="5">
        <v>3.2716650074851899E-7</v>
      </c>
    </row>
    <row r="23" spans="1:35" ht="18.75" customHeight="1" x14ac:dyDescent="0.35">
      <c r="A23" s="2" t="s">
        <v>9</v>
      </c>
      <c r="B23" s="2" t="s">
        <v>33</v>
      </c>
      <c r="C23" s="5">
        <v>0.27407878867360502</v>
      </c>
      <c r="D23" s="5">
        <v>2.7093999437491201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8.75" customHeight="1" x14ac:dyDescent="0.35">
      <c r="A24" s="2" t="s">
        <v>9</v>
      </c>
      <c r="B24" s="2" t="s">
        <v>34</v>
      </c>
      <c r="C24" s="5">
        <v>1.08556774210514</v>
      </c>
      <c r="D24" s="5">
        <v>1.07552852967426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8.75" customHeight="1" x14ac:dyDescent="0.35">
      <c r="A25" s="2" t="s">
        <v>9</v>
      </c>
      <c r="B25" s="2" t="s">
        <v>35</v>
      </c>
      <c r="C25" s="4"/>
      <c r="D25" s="4"/>
      <c r="E25" s="4"/>
      <c r="F25" s="4"/>
      <c r="G25" s="5">
        <v>0.13153912810639101</v>
      </c>
      <c r="H25" s="5">
        <v>0.13974798145570499</v>
      </c>
      <c r="I25" s="5">
        <v>3.9641945910528699E-2</v>
      </c>
      <c r="J25" s="5">
        <v>1.46262196113563E-8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>
        <v>1.30135155531784E-8</v>
      </c>
      <c r="X25" s="5">
        <v>0.79391752345566202</v>
      </c>
      <c r="Y25" s="5">
        <v>0.77687584855095904</v>
      </c>
      <c r="Z25" s="5">
        <v>0.76215792371803404</v>
      </c>
      <c r="AA25" s="5">
        <v>1.91512201120254E-7</v>
      </c>
      <c r="AB25" s="5">
        <v>7.6842502650635602E-8</v>
      </c>
      <c r="AC25" s="5">
        <v>1.7687846372622998E-8</v>
      </c>
      <c r="AD25" s="5">
        <v>5.1778655767005502E-8</v>
      </c>
      <c r="AE25" s="5">
        <v>3.8775967425946898E-8</v>
      </c>
      <c r="AF25" s="5">
        <v>1.5727351658857499E-8</v>
      </c>
      <c r="AG25" s="4"/>
      <c r="AH25" s="4"/>
      <c r="AI25" s="4"/>
    </row>
    <row r="26" spans="1:35" ht="18.75" customHeight="1" x14ac:dyDescent="0.35">
      <c r="A26" s="2" t="s">
        <v>9</v>
      </c>
      <c r="B26" s="2" t="s">
        <v>36</v>
      </c>
      <c r="C26" s="5">
        <v>1.5875098627164399E-8</v>
      </c>
      <c r="D26" s="5">
        <v>2.06789548864572E-8</v>
      </c>
      <c r="E26" s="5">
        <v>3.0182021613457797E-8</v>
      </c>
      <c r="F26" s="5">
        <v>5.8226211515698301E-8</v>
      </c>
      <c r="G26" s="5">
        <v>1.4325205036341501E-3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8.75" customHeight="1" x14ac:dyDescent="0.35">
      <c r="A27" s="2" t="s">
        <v>9</v>
      </c>
      <c r="B27" s="2" t="s">
        <v>37</v>
      </c>
      <c r="C27" s="4"/>
      <c r="D27" s="5">
        <v>8.9930093366914099E-2</v>
      </c>
      <c r="E27" s="5">
        <v>1.3450635185483599E-8</v>
      </c>
      <c r="F27" s="5">
        <v>0.122125023115676</v>
      </c>
      <c r="G27" s="5">
        <v>1.38894019204165E-8</v>
      </c>
      <c r="H27" s="5">
        <v>1.6243522236066299E-8</v>
      </c>
      <c r="I27" s="5">
        <v>1.93090466711253E-8</v>
      </c>
      <c r="J27" s="5">
        <v>2.5508411620384901E-8</v>
      </c>
      <c r="K27" s="5">
        <v>3.9487609626390599E-8</v>
      </c>
      <c r="L27" s="5">
        <v>8.6299794946857506E-8</v>
      </c>
      <c r="M27" s="5">
        <v>1.0861820455760099E-2</v>
      </c>
      <c r="N27" s="5">
        <v>0.10564443096384001</v>
      </c>
      <c r="O27" s="5">
        <v>0.11023622858088</v>
      </c>
      <c r="P27" s="5">
        <v>0.11591632848571801</v>
      </c>
      <c r="Q27" s="5">
        <v>0.122258113140887</v>
      </c>
      <c r="R27" s="5">
        <v>0.12905601138268499</v>
      </c>
      <c r="S27" s="5">
        <v>0.13634156400096001</v>
      </c>
      <c r="T27" s="5">
        <v>0.143811807621189</v>
      </c>
      <c r="U27" s="5">
        <v>0.15122162467457001</v>
      </c>
      <c r="V27" s="5">
        <v>0.158995686505186</v>
      </c>
      <c r="W27" s="5">
        <v>0.16798148461826401</v>
      </c>
      <c r="X27" s="5">
        <v>0.16906917733973001</v>
      </c>
      <c r="Y27" s="5">
        <v>0.178560744314609</v>
      </c>
      <c r="Z27" s="5">
        <v>0.17471366859458201</v>
      </c>
      <c r="AA27" s="5">
        <v>0.17954715871633301</v>
      </c>
      <c r="AB27" s="5">
        <v>0.27457622699224099</v>
      </c>
      <c r="AC27" s="5">
        <v>0.204061268758197</v>
      </c>
      <c r="AD27" s="5">
        <v>0.43964243959711602</v>
      </c>
      <c r="AE27" s="5">
        <v>0.24340137640602899</v>
      </c>
      <c r="AF27" s="5">
        <v>0.24156636433312301</v>
      </c>
      <c r="AG27" s="5">
        <v>4.2258861355289702E-2</v>
      </c>
      <c r="AH27" s="5">
        <v>4.2561454631875002E-2</v>
      </c>
      <c r="AI27" s="5">
        <v>4.2871854970957898E-2</v>
      </c>
    </row>
    <row r="28" spans="1:35" ht="18.75" customHeight="1" x14ac:dyDescent="0.35">
      <c r="A28" s="2" t="s">
        <v>10</v>
      </c>
      <c r="B28" s="2" t="s">
        <v>38</v>
      </c>
      <c r="C28" s="4"/>
      <c r="D28" s="4"/>
      <c r="E28" s="4"/>
      <c r="F28" s="4"/>
      <c r="G28" s="4"/>
      <c r="H28" s="4"/>
      <c r="I28" s="4"/>
      <c r="J28" s="4"/>
      <c r="K28" s="4"/>
      <c r="L28" s="5">
        <v>9.1946850149840206E-2</v>
      </c>
      <c r="M28" s="5">
        <v>9.2490586071042297E-2</v>
      </c>
      <c r="N28" s="5">
        <v>9.3045685162365693E-2</v>
      </c>
      <c r="O28" s="5">
        <v>9.3612066630722496E-2</v>
      </c>
      <c r="P28" s="5">
        <v>8.2597566273949694E-2</v>
      </c>
      <c r="Q28" s="5">
        <v>8.2803916724973795E-2</v>
      </c>
      <c r="R28" s="5">
        <v>1.7180664362555699E-2</v>
      </c>
      <c r="S28" s="5">
        <v>1.7392129489754798E-2</v>
      </c>
      <c r="T28" s="5">
        <v>1.7606193893576198E-2</v>
      </c>
      <c r="U28" s="5">
        <v>1.3505083679339801E-2</v>
      </c>
      <c r="V28" s="5">
        <v>1.3631032680632401E-2</v>
      </c>
      <c r="W28" s="5">
        <v>9.2703833944007205E-2</v>
      </c>
      <c r="X28" s="5">
        <v>0.79430287532599397</v>
      </c>
      <c r="Y28" s="5">
        <v>1.40157483385274E-2</v>
      </c>
      <c r="Z28" s="5">
        <v>1.1035268636538901E-2</v>
      </c>
      <c r="AA28" s="5">
        <v>1.1115406188935299E-2</v>
      </c>
      <c r="AB28" s="5">
        <v>1.11969864970411E-2</v>
      </c>
      <c r="AC28" s="5">
        <v>1.12763846736648E-2</v>
      </c>
      <c r="AD28" s="5">
        <v>1.1360254972287201E-2</v>
      </c>
      <c r="AE28" s="5">
        <v>1.1476970628728799E-2</v>
      </c>
      <c r="AF28" s="5">
        <v>0.103507577260046</v>
      </c>
      <c r="AG28" s="5">
        <v>0.10413564085155699</v>
      </c>
      <c r="AH28" s="5">
        <v>0.10477576765642101</v>
      </c>
      <c r="AI28" s="5">
        <v>0.105427741323803</v>
      </c>
    </row>
    <row r="29" spans="1:35" ht="18.75" customHeight="1" x14ac:dyDescent="0.35">
      <c r="A29" s="2" t="s">
        <v>10</v>
      </c>
      <c r="B29" s="2" t="s">
        <v>39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>
        <v>1.29466788710862E-8</v>
      </c>
      <c r="X29" s="5">
        <v>0.67700209893377195</v>
      </c>
      <c r="Y29" s="5">
        <v>2.1416259617781E-7</v>
      </c>
      <c r="Z29" s="5">
        <v>0.40749754390963</v>
      </c>
      <c r="AA29" s="5">
        <v>2.28557557004712E-2</v>
      </c>
      <c r="AB29" s="5">
        <v>2.7423344644779898E-2</v>
      </c>
      <c r="AC29" s="5">
        <v>2.3943503917422702E-8</v>
      </c>
      <c r="AD29" s="5">
        <v>1.2105856179777199</v>
      </c>
      <c r="AE29" s="5">
        <v>0.29297500325103498</v>
      </c>
      <c r="AF29" s="5">
        <v>1.9252711757693899E-2</v>
      </c>
      <c r="AG29" s="5">
        <v>1.9389257063141999E-2</v>
      </c>
      <c r="AH29" s="5">
        <v>1.9534105713606299E-2</v>
      </c>
      <c r="AI29" s="5">
        <v>1.9676468795691401E-2</v>
      </c>
    </row>
    <row r="30" spans="1:35" ht="18.75" customHeight="1" x14ac:dyDescent="0.35">
      <c r="A30" s="2" t="s">
        <v>10</v>
      </c>
      <c r="B30" s="2" t="s">
        <v>40</v>
      </c>
      <c r="C30" s="4"/>
      <c r="D30" s="4"/>
      <c r="E30" s="4"/>
      <c r="F30" s="4"/>
      <c r="G30" s="4"/>
      <c r="H30" s="4"/>
      <c r="I30" s="4"/>
      <c r="J30" s="4"/>
      <c r="K30" s="4"/>
      <c r="L30" s="5">
        <v>2.29080055922854E-8</v>
      </c>
      <c r="M30" s="5">
        <v>3.1635596017247698E-8</v>
      </c>
      <c r="N30" s="5">
        <v>5.0841598004007198E-8</v>
      </c>
      <c r="O30" s="5">
        <v>2.5928594814041401E-8</v>
      </c>
      <c r="P30" s="5">
        <v>2.8224987006925099E-8</v>
      </c>
      <c r="Q30" s="5">
        <v>3.04481787200835E-8</v>
      </c>
      <c r="R30" s="5">
        <v>3.3054461897622901E-8</v>
      </c>
      <c r="S30" s="5">
        <v>3.6369200114420199E-8</v>
      </c>
      <c r="T30" s="5">
        <v>4.0617558360050702E-8</v>
      </c>
      <c r="U30" s="5">
        <v>4.6281348041877098E-8</v>
      </c>
      <c r="V30" s="5">
        <v>5.4376653236618002E-8</v>
      </c>
      <c r="W30" s="5">
        <v>6.7144710050606199E-8</v>
      </c>
      <c r="X30" s="5">
        <v>8.9803754534323202E-8</v>
      </c>
      <c r="Y30" s="5">
        <v>9.0443460467858105E-8</v>
      </c>
      <c r="Z30" s="5">
        <v>1.17697448003896E-7</v>
      </c>
      <c r="AA30" s="5">
        <v>1.7578072155161199E-7</v>
      </c>
      <c r="AB30" s="5">
        <v>5.71874293656891E-7</v>
      </c>
      <c r="AC30" s="5">
        <v>4.1740786327330199E-8</v>
      </c>
      <c r="AD30" s="5">
        <v>4.7628350055397497E-8</v>
      </c>
      <c r="AE30" s="5">
        <v>4.9196771996267901E-8</v>
      </c>
      <c r="AF30" s="5">
        <v>5.3586810464653397E-8</v>
      </c>
      <c r="AG30" s="5">
        <v>5.1537105989619797E-8</v>
      </c>
      <c r="AH30" s="5">
        <v>4.5543787364731198E-8</v>
      </c>
      <c r="AI30" s="4"/>
    </row>
    <row r="31" spans="1:35" ht="18.75" customHeight="1" x14ac:dyDescent="0.35">
      <c r="A31" s="2" t="s">
        <v>10</v>
      </c>
      <c r="B31" s="2" t="s">
        <v>41</v>
      </c>
      <c r="C31" s="4"/>
      <c r="D31" s="5">
        <v>1.1716871900316901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8.75" customHeight="1" x14ac:dyDescent="0.35">
      <c r="A32" s="2" t="s">
        <v>10</v>
      </c>
      <c r="B32" s="2" t="s">
        <v>42</v>
      </c>
      <c r="C32" s="5">
        <v>2.3857293484688599E-7</v>
      </c>
      <c r="D32" s="5">
        <v>4.9477676287075903E-2</v>
      </c>
      <c r="E32" s="5">
        <v>2.6225817039014697E-7</v>
      </c>
      <c r="F32" s="5">
        <v>0.23820485516588499</v>
      </c>
      <c r="G32" s="5">
        <v>4.9923888334927799E-7</v>
      </c>
      <c r="H32" s="5">
        <v>1.70231984851931E-6</v>
      </c>
      <c r="I32" s="5">
        <v>9.0737182319199403E-2</v>
      </c>
      <c r="J32" s="5">
        <v>1.2604761614701501</v>
      </c>
      <c r="K32" s="5">
        <v>0.42647172350250101</v>
      </c>
      <c r="L32" s="5">
        <v>0.17314555695870501</v>
      </c>
      <c r="M32" s="5">
        <v>7.6331237252499203E-7</v>
      </c>
      <c r="N32" s="5">
        <v>2.8653448555122599E-7</v>
      </c>
      <c r="O32" s="5">
        <v>1.3019817267416001E-7</v>
      </c>
      <c r="P32" s="5">
        <v>1.4094383865800999E-7</v>
      </c>
      <c r="Q32" s="5">
        <v>1.5037476638540401E-7</v>
      </c>
      <c r="R32" s="5">
        <v>1.60895638152179E-7</v>
      </c>
      <c r="S32" s="5">
        <v>1.73863233776056E-7</v>
      </c>
      <c r="T32" s="5">
        <v>1.88625948710979E-7</v>
      </c>
      <c r="U32" s="5">
        <v>2.0462999801699701E-7</v>
      </c>
      <c r="V32" s="5">
        <v>2.22164375554727E-7</v>
      </c>
      <c r="W32" s="5">
        <v>2.4107275329669199E-7</v>
      </c>
      <c r="X32" s="5">
        <v>3.1965740717952102E-7</v>
      </c>
      <c r="Y32" s="5">
        <v>3.20188822917097E-7</v>
      </c>
      <c r="Z32" s="5">
        <v>3.3593065373271998E-7</v>
      </c>
      <c r="AA32" s="5">
        <v>3.4539112317071202E-7</v>
      </c>
      <c r="AB32" s="5">
        <v>3.56588492043765E-7</v>
      </c>
      <c r="AC32" s="5">
        <v>3.0003576812137001E-7</v>
      </c>
      <c r="AD32" s="5">
        <v>3.9021952519459902E-7</v>
      </c>
      <c r="AE32" s="5">
        <v>4.2213555374465701E-7</v>
      </c>
      <c r="AF32" s="5">
        <v>3.9334237610943098E-7</v>
      </c>
      <c r="AG32" s="5">
        <v>3.1872447375783499E-7</v>
      </c>
      <c r="AH32" s="5">
        <v>3.2470639686177799E-7</v>
      </c>
      <c r="AI32" s="5">
        <v>3.2731561621029401E-7</v>
      </c>
    </row>
    <row r="33" spans="1:35" ht="18.75" customHeight="1" x14ac:dyDescent="0.35">
      <c r="A33" s="2" t="s">
        <v>10</v>
      </c>
      <c r="B33" s="2" t="s">
        <v>43</v>
      </c>
      <c r="C33" s="5">
        <v>7.8945708558338698E-2</v>
      </c>
      <c r="D33" s="5">
        <v>0.78041612384340098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8.75" customHeight="1" x14ac:dyDescent="0.35">
      <c r="A34" s="2" t="s">
        <v>10</v>
      </c>
      <c r="B34" s="2" t="s">
        <v>44</v>
      </c>
      <c r="C34" s="4"/>
      <c r="D34" s="5">
        <v>4.63061874085582E-2</v>
      </c>
      <c r="E34" s="5">
        <v>1.34785986223648E-8</v>
      </c>
      <c r="F34" s="5">
        <v>5.3832068881207798E-2</v>
      </c>
      <c r="G34" s="5">
        <v>1.3914320661516E-8</v>
      </c>
      <c r="H34" s="5">
        <v>1.6264080248397499E-8</v>
      </c>
      <c r="I34" s="5">
        <v>1.9325144888574999E-8</v>
      </c>
      <c r="J34" s="5">
        <v>2.5518657505496801E-8</v>
      </c>
      <c r="K34" s="5">
        <v>3.9490743583879498E-8</v>
      </c>
      <c r="L34" s="5">
        <v>8.6265411229765794E-8</v>
      </c>
      <c r="M34" s="5">
        <v>9.7693832671122399E-3</v>
      </c>
      <c r="N34" s="5">
        <v>7.6753139486706604E-2</v>
      </c>
      <c r="O34" s="5">
        <v>8.12805941054697E-2</v>
      </c>
      <c r="P34" s="5">
        <v>8.5177511271290696E-2</v>
      </c>
      <c r="Q34" s="5">
        <v>8.8889888678405402E-2</v>
      </c>
      <c r="R34" s="5">
        <v>9.2649367316095396E-2</v>
      </c>
      <c r="S34" s="5">
        <v>9.6449132737504495E-2</v>
      </c>
      <c r="T34" s="5">
        <v>0.10061841059081</v>
      </c>
      <c r="U34" s="5">
        <v>0.105430106605754</v>
      </c>
      <c r="V34" s="5">
        <v>0.11048863453229101</v>
      </c>
      <c r="W34" s="5">
        <v>0.11497528634873801</v>
      </c>
      <c r="X34" s="5">
        <v>0.12803917457621</v>
      </c>
      <c r="Y34" s="5">
        <v>0.13340105207938599</v>
      </c>
      <c r="Z34" s="5">
        <v>0.15284620622011</v>
      </c>
      <c r="AA34" s="5">
        <v>0.16439071030088101</v>
      </c>
      <c r="AB34" s="5">
        <v>0.22589114424954901</v>
      </c>
      <c r="AC34" s="5">
        <v>0.175130099719642</v>
      </c>
      <c r="AD34" s="5">
        <v>0.13765052590194199</v>
      </c>
      <c r="AE34" s="5">
        <v>0.17465731915921201</v>
      </c>
      <c r="AF34" s="5">
        <v>0.19739523172361501</v>
      </c>
      <c r="AG34" s="5">
        <v>2.4431583346005099E-2</v>
      </c>
      <c r="AH34" s="5">
        <v>2.46058997139477E-2</v>
      </c>
      <c r="AI34" s="5">
        <v>2.4785278977340501E-2</v>
      </c>
    </row>
    <row r="35" spans="1:35" ht="18.75" customHeight="1" x14ac:dyDescent="0.35">
      <c r="A35" s="2" t="s">
        <v>10</v>
      </c>
      <c r="B35" s="2" t="s">
        <v>45</v>
      </c>
      <c r="C35" s="5">
        <v>0.55065973943070701</v>
      </c>
      <c r="D35" s="5">
        <v>0.69700665774012605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8.75" customHeight="1" x14ac:dyDescent="0.35">
      <c r="A36" s="2" t="s">
        <v>10</v>
      </c>
      <c r="B36" s="2" t="s">
        <v>46</v>
      </c>
      <c r="C36" s="4"/>
      <c r="D36" s="4"/>
      <c r="E36" s="4"/>
      <c r="F36" s="4"/>
      <c r="G36" s="5">
        <v>0.14545113639051599</v>
      </c>
      <c r="H36" s="5">
        <v>0.16494134374267</v>
      </c>
      <c r="I36" s="5">
        <v>4.1814335376259601E-2</v>
      </c>
      <c r="J36" s="5">
        <v>1.4622970522003301E-8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>
        <v>1.30142974164375E-8</v>
      </c>
      <c r="X36" s="5">
        <v>0.23527429260475599</v>
      </c>
      <c r="Y36" s="5">
        <v>0.246918575969998</v>
      </c>
      <c r="Z36" s="5">
        <v>0.413513251451748</v>
      </c>
      <c r="AA36" s="5">
        <v>1.91763597994239E-7</v>
      </c>
      <c r="AB36" s="5">
        <v>7.6943585342208505E-8</v>
      </c>
      <c r="AC36" s="5">
        <v>1.78307033447222E-8</v>
      </c>
      <c r="AD36" s="5">
        <v>5.2588324204931202E-8</v>
      </c>
      <c r="AE36" s="5">
        <v>3.8835446156728002E-8</v>
      </c>
      <c r="AF36" s="5">
        <v>1.5726037727670801E-8</v>
      </c>
      <c r="AG36" s="4"/>
      <c r="AH36" s="4"/>
      <c r="AI36" s="4"/>
    </row>
    <row r="37" spans="1:35" ht="18.75" customHeight="1" x14ac:dyDescent="0.35">
      <c r="A37" s="2" t="s">
        <v>10</v>
      </c>
      <c r="B37" s="2" t="s">
        <v>47</v>
      </c>
      <c r="C37" s="5">
        <v>1.58712886525038E-8</v>
      </c>
      <c r="D37" s="5">
        <v>2.0674815322903199E-8</v>
      </c>
      <c r="E37" s="5">
        <v>3.0175652730313303E-8</v>
      </c>
      <c r="F37" s="5">
        <v>5.8210583783301401E-8</v>
      </c>
      <c r="G37" s="5">
        <v>1.4248599290649E-3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42" spans="1:35" x14ac:dyDescent="0.35">
      <c r="A42" s="2" t="s">
        <v>3</v>
      </c>
      <c r="B42" s="8">
        <f>SUM(C42:AH42)</f>
        <v>0.49999999994168998</v>
      </c>
      <c r="C42" s="6">
        <f>+C6</f>
        <v>0</v>
      </c>
      <c r="D42" s="6">
        <f t="shared" ref="D42:AI42" si="0">+D6</f>
        <v>0</v>
      </c>
      <c r="E42" s="6">
        <f t="shared" si="0"/>
        <v>0</v>
      </c>
      <c r="F42" s="6">
        <f t="shared" si="0"/>
        <v>0</v>
      </c>
      <c r="G42" s="6">
        <f t="shared" si="0"/>
        <v>0</v>
      </c>
      <c r="H42" s="6">
        <f t="shared" si="0"/>
        <v>0</v>
      </c>
      <c r="I42" s="6">
        <f t="shared" si="0"/>
        <v>0</v>
      </c>
      <c r="J42" s="6">
        <f t="shared" si="0"/>
        <v>0</v>
      </c>
      <c r="K42" s="6">
        <f t="shared" si="0"/>
        <v>0</v>
      </c>
      <c r="L42" s="6">
        <f t="shared" si="0"/>
        <v>0</v>
      </c>
      <c r="M42" s="6">
        <f t="shared" si="0"/>
        <v>0</v>
      </c>
      <c r="N42" s="6">
        <f t="shared" si="0"/>
        <v>0.49999999994168998</v>
      </c>
      <c r="O42" s="6">
        <f t="shared" si="0"/>
        <v>0</v>
      </c>
      <c r="P42" s="6">
        <f t="shared" si="0"/>
        <v>0</v>
      </c>
      <c r="Q42" s="6">
        <f t="shared" si="0"/>
        <v>0</v>
      </c>
      <c r="R42" s="6">
        <f t="shared" si="0"/>
        <v>0</v>
      </c>
      <c r="S42" s="6">
        <f t="shared" si="0"/>
        <v>0</v>
      </c>
      <c r="T42" s="6">
        <f t="shared" si="0"/>
        <v>0</v>
      </c>
      <c r="U42" s="6">
        <f t="shared" si="0"/>
        <v>0</v>
      </c>
      <c r="V42" s="6">
        <f t="shared" si="0"/>
        <v>0</v>
      </c>
      <c r="W42" s="6">
        <f t="shared" si="0"/>
        <v>0</v>
      </c>
      <c r="X42" s="6">
        <f t="shared" si="0"/>
        <v>0</v>
      </c>
      <c r="Y42" s="6">
        <f t="shared" si="0"/>
        <v>0</v>
      </c>
      <c r="Z42" s="6">
        <f t="shared" si="0"/>
        <v>0</v>
      </c>
      <c r="AA42" s="6">
        <f t="shared" si="0"/>
        <v>0</v>
      </c>
      <c r="AB42" s="6">
        <f t="shared" si="0"/>
        <v>0</v>
      </c>
      <c r="AC42" s="6">
        <f t="shared" si="0"/>
        <v>0</v>
      </c>
      <c r="AD42" s="6">
        <f t="shared" si="0"/>
        <v>0</v>
      </c>
      <c r="AE42" s="6">
        <f t="shared" si="0"/>
        <v>0</v>
      </c>
      <c r="AF42" s="6">
        <f t="shared" si="0"/>
        <v>0</v>
      </c>
      <c r="AG42" s="6">
        <f t="shared" si="0"/>
        <v>0</v>
      </c>
      <c r="AH42" s="6">
        <f t="shared" si="0"/>
        <v>0</v>
      </c>
      <c r="AI42" s="6">
        <f t="shared" si="0"/>
        <v>0</v>
      </c>
    </row>
    <row r="43" spans="1:35" x14ac:dyDescent="0.35">
      <c r="A43" s="2" t="s">
        <v>4</v>
      </c>
      <c r="B43" s="8">
        <f t="shared" ref="B43:B48" si="1">SUM(C43:AH43)</f>
        <v>1.3516728273620509</v>
      </c>
      <c r="C43" s="6">
        <f>+C7+C8</f>
        <v>0</v>
      </c>
      <c r="D43" s="6">
        <f t="shared" ref="D43:AI43" si="2">+D7+D8</f>
        <v>0</v>
      </c>
      <c r="E43" s="6">
        <f t="shared" si="2"/>
        <v>0</v>
      </c>
      <c r="F43" s="6">
        <f t="shared" si="2"/>
        <v>0</v>
      </c>
      <c r="G43" s="6">
        <f t="shared" si="2"/>
        <v>0</v>
      </c>
      <c r="H43" s="6">
        <f t="shared" si="2"/>
        <v>0</v>
      </c>
      <c r="I43" s="6">
        <f t="shared" si="2"/>
        <v>0</v>
      </c>
      <c r="J43" s="6">
        <f t="shared" si="2"/>
        <v>0</v>
      </c>
      <c r="K43" s="6">
        <f t="shared" si="2"/>
        <v>0</v>
      </c>
      <c r="L43" s="6">
        <f t="shared" si="2"/>
        <v>0</v>
      </c>
      <c r="M43" s="6">
        <f t="shared" si="2"/>
        <v>0</v>
      </c>
      <c r="N43" s="6">
        <v>0</v>
      </c>
      <c r="O43" s="6">
        <f t="shared" si="2"/>
        <v>0</v>
      </c>
      <c r="P43" s="6">
        <f t="shared" si="2"/>
        <v>0</v>
      </c>
      <c r="Q43" s="6">
        <f t="shared" si="2"/>
        <v>0</v>
      </c>
      <c r="R43" s="6">
        <f t="shared" si="2"/>
        <v>0</v>
      </c>
      <c r="S43" s="6">
        <f t="shared" si="2"/>
        <v>0</v>
      </c>
      <c r="T43" s="6">
        <f t="shared" si="2"/>
        <v>0</v>
      </c>
      <c r="U43" s="6">
        <f t="shared" si="2"/>
        <v>0</v>
      </c>
      <c r="V43" s="6">
        <f t="shared" si="2"/>
        <v>0</v>
      </c>
      <c r="W43" s="6">
        <v>0</v>
      </c>
      <c r="X43" s="6">
        <f t="shared" si="2"/>
        <v>3.7426459245906499E-2</v>
      </c>
      <c r="Y43" s="6">
        <f t="shared" si="2"/>
        <v>0.110259175035641</v>
      </c>
      <c r="Z43" s="6">
        <f t="shared" si="2"/>
        <v>7.0007312068793404E-2</v>
      </c>
      <c r="AA43" s="6">
        <f t="shared" si="2"/>
        <v>5.6637217751537398E-2</v>
      </c>
      <c r="AB43" s="6">
        <f t="shared" si="2"/>
        <v>9.4333683973048199E-2</v>
      </c>
      <c r="AC43" s="6">
        <f t="shared" si="2"/>
        <v>6.7957600243049504E-2</v>
      </c>
      <c r="AD43" s="6">
        <f t="shared" si="2"/>
        <v>0.15477828377052699</v>
      </c>
      <c r="AE43" s="6">
        <f t="shared" si="2"/>
        <v>0.33250746640519802</v>
      </c>
      <c r="AF43" s="6">
        <f t="shared" si="2"/>
        <v>0.154633291943329</v>
      </c>
      <c r="AG43" s="6">
        <f t="shared" si="2"/>
        <v>0.27313233692502098</v>
      </c>
      <c r="AH43" s="6">
        <f t="shared" si="2"/>
        <v>0</v>
      </c>
      <c r="AI43" s="6">
        <f t="shared" si="2"/>
        <v>0</v>
      </c>
    </row>
    <row r="44" spans="1:35" x14ac:dyDescent="0.35">
      <c r="A44" s="2" t="s">
        <v>6</v>
      </c>
      <c r="B44" s="8">
        <f t="shared" si="1"/>
        <v>14.999994665481093</v>
      </c>
      <c r="C44" s="6">
        <f>+C10+C11+C12</f>
        <v>1.9999981879377602E-2</v>
      </c>
      <c r="D44" s="6">
        <f t="shared" ref="D44:AI44" si="3">+D10+D11+D12</f>
        <v>3.3000013428857541E-2</v>
      </c>
      <c r="E44" s="6">
        <f t="shared" si="3"/>
        <v>0.207999987454452</v>
      </c>
      <c r="F44" s="6">
        <f t="shared" si="3"/>
        <v>0.122999906905038</v>
      </c>
      <c r="G44" s="6">
        <f t="shared" si="3"/>
        <v>0.41600025291957599</v>
      </c>
      <c r="H44" s="6">
        <f t="shared" si="3"/>
        <v>1.8000001622428099</v>
      </c>
      <c r="I44" s="6">
        <f t="shared" si="3"/>
        <v>2.3999944752615301</v>
      </c>
      <c r="J44" s="6">
        <f t="shared" si="3"/>
        <v>0.60000548705421297</v>
      </c>
      <c r="K44" s="6">
        <f t="shared" si="3"/>
        <v>0.59998919175605703</v>
      </c>
      <c r="L44" s="6">
        <f t="shared" si="3"/>
        <v>0.60000315706150098</v>
      </c>
      <c r="M44" s="6">
        <f t="shared" si="3"/>
        <v>0.59999511922257798</v>
      </c>
      <c r="N44" s="6">
        <f t="shared" si="3"/>
        <v>0.60000304685515826</v>
      </c>
      <c r="O44" s="6">
        <f t="shared" si="3"/>
        <v>0.20000135132414265</v>
      </c>
      <c r="P44" s="6">
        <v>0</v>
      </c>
      <c r="Q44" s="6">
        <f t="shared" si="3"/>
        <v>0.40000498601012202</v>
      </c>
      <c r="R44" s="6">
        <f t="shared" si="3"/>
        <v>0.20000311454671099</v>
      </c>
      <c r="S44" s="6">
        <f t="shared" si="3"/>
        <v>0.20000239709335099</v>
      </c>
      <c r="T44" s="6">
        <f t="shared" si="3"/>
        <v>0.19999981616683199</v>
      </c>
      <c r="U44" s="6">
        <f t="shared" si="3"/>
        <v>0.20000071055326901</v>
      </c>
      <c r="V44" s="6">
        <f t="shared" si="3"/>
        <v>0.20000319146098031</v>
      </c>
      <c r="W44" s="6">
        <f t="shared" si="3"/>
        <v>0.19999680554884608</v>
      </c>
      <c r="X44" s="6">
        <f t="shared" si="3"/>
        <v>0.1999966756232002</v>
      </c>
      <c r="Y44" s="6">
        <f t="shared" si="3"/>
        <v>0</v>
      </c>
      <c r="Z44" s="6">
        <f t="shared" si="3"/>
        <v>0</v>
      </c>
      <c r="AA44" s="6">
        <f t="shared" si="3"/>
        <v>0</v>
      </c>
      <c r="AB44" s="6">
        <f t="shared" si="3"/>
        <v>1.9999992508375298E-2</v>
      </c>
      <c r="AC44" s="6">
        <f t="shared" si="3"/>
        <v>3.300001565871867E-2</v>
      </c>
      <c r="AD44" s="6">
        <f t="shared" si="3"/>
        <v>0.20799999991991411</v>
      </c>
      <c r="AE44" s="6">
        <f t="shared" si="3"/>
        <v>0.12299991400712516</v>
      </c>
      <c r="AF44" s="6">
        <f t="shared" si="3"/>
        <v>0.41600025970813254</v>
      </c>
      <c r="AG44" s="6">
        <f t="shared" si="3"/>
        <v>1.8000001698607848</v>
      </c>
      <c r="AH44" s="6">
        <f t="shared" si="3"/>
        <v>2.39999448344944</v>
      </c>
      <c r="AI44" s="6">
        <f t="shared" si="3"/>
        <v>0.60000549413526205</v>
      </c>
    </row>
    <row r="45" spans="1:35" x14ac:dyDescent="0.35">
      <c r="A45" s="2" t="s">
        <v>7</v>
      </c>
      <c r="B45" s="8">
        <f t="shared" si="1"/>
        <v>17.157285314560657</v>
      </c>
      <c r="C45" s="6">
        <f>+C13</f>
        <v>0</v>
      </c>
      <c r="D45" s="6">
        <f t="shared" ref="D45:AI45" si="4">+D13</f>
        <v>0</v>
      </c>
      <c r="E45" s="6">
        <f t="shared" si="4"/>
        <v>0</v>
      </c>
      <c r="F45" s="6">
        <f t="shared" si="4"/>
        <v>0</v>
      </c>
      <c r="G45" s="6">
        <f t="shared" si="4"/>
        <v>0</v>
      </c>
      <c r="H45" s="6">
        <f t="shared" si="4"/>
        <v>0</v>
      </c>
      <c r="I45" s="6">
        <f t="shared" si="4"/>
        <v>0.175000000404371</v>
      </c>
      <c r="J45" s="6">
        <f t="shared" si="4"/>
        <v>0</v>
      </c>
      <c r="K45" s="6">
        <f t="shared" si="4"/>
        <v>0</v>
      </c>
      <c r="L45" s="6">
        <f t="shared" si="4"/>
        <v>0.70000000005011997</v>
      </c>
      <c r="M45" s="6">
        <f t="shared" si="4"/>
        <v>2.12499999960274</v>
      </c>
      <c r="N45" s="6">
        <f t="shared" si="4"/>
        <v>2.13499999977864</v>
      </c>
      <c r="O45" s="6">
        <f t="shared" si="4"/>
        <v>2.1349999996825</v>
      </c>
      <c r="P45" s="6">
        <f t="shared" si="4"/>
        <v>2.11818243900546</v>
      </c>
      <c r="Q45" s="6">
        <f t="shared" si="4"/>
        <v>0.728657487914946</v>
      </c>
      <c r="R45" s="6">
        <f t="shared" si="4"/>
        <v>0.76642968902267405</v>
      </c>
      <c r="S45" s="6">
        <f t="shared" si="4"/>
        <v>0</v>
      </c>
      <c r="T45" s="6">
        <f t="shared" si="4"/>
        <v>0.25380403096455201</v>
      </c>
      <c r="U45" s="6">
        <f t="shared" si="4"/>
        <v>0.18674585793187601</v>
      </c>
      <c r="V45" s="6">
        <f t="shared" si="4"/>
        <v>0.28848942798369698</v>
      </c>
      <c r="W45" s="6">
        <f t="shared" si="4"/>
        <v>0.38033179595519401</v>
      </c>
      <c r="X45" s="6">
        <f t="shared" si="4"/>
        <v>0.32035794509783699</v>
      </c>
      <c r="Y45" s="6">
        <f t="shared" si="4"/>
        <v>0.65256448436971304</v>
      </c>
      <c r="Z45" s="6">
        <f t="shared" si="4"/>
        <v>0.65196339077961496</v>
      </c>
      <c r="AA45" s="6">
        <f t="shared" si="4"/>
        <v>0.46557846181735502</v>
      </c>
      <c r="AB45" s="6">
        <f t="shared" si="4"/>
        <v>0.45254530778237101</v>
      </c>
      <c r="AC45" s="6">
        <f t="shared" si="4"/>
        <v>0.183673230695308</v>
      </c>
      <c r="AD45" s="6">
        <f t="shared" si="4"/>
        <v>0.110543019813645</v>
      </c>
      <c r="AE45" s="6">
        <f t="shared" si="4"/>
        <v>0.78049409029860795</v>
      </c>
      <c r="AF45" s="6">
        <f t="shared" si="4"/>
        <v>0.31895445603997202</v>
      </c>
      <c r="AG45" s="6">
        <f t="shared" si="4"/>
        <v>0.39694700653175402</v>
      </c>
      <c r="AH45" s="6">
        <f t="shared" si="4"/>
        <v>0.831023193037704</v>
      </c>
      <c r="AI45" s="6">
        <f t="shared" si="4"/>
        <v>0.62521824985919905</v>
      </c>
    </row>
    <row r="46" spans="1:35" x14ac:dyDescent="0.35">
      <c r="A46" s="2" t="s">
        <v>8</v>
      </c>
      <c r="B46" s="8">
        <f t="shared" si="1"/>
        <v>9.0272997534087356</v>
      </c>
      <c r="C46" s="6">
        <f>+C14+C15+C16+C17</f>
        <v>3.2999915401051494E-3</v>
      </c>
      <c r="D46" s="6">
        <f t="shared" ref="D46:AI46" si="5">+D14+D15+D16+D17</f>
        <v>0</v>
      </c>
      <c r="E46" s="6">
        <f t="shared" si="5"/>
        <v>0</v>
      </c>
      <c r="F46" s="6">
        <f t="shared" si="5"/>
        <v>5.0999992364827648E-2</v>
      </c>
      <c r="G46" s="6">
        <f t="shared" si="5"/>
        <v>4.9999973443649254E-3</v>
      </c>
      <c r="H46" s="6">
        <f t="shared" si="5"/>
        <v>0.70799999606101782</v>
      </c>
      <c r="I46" s="6">
        <f t="shared" si="5"/>
        <v>4.9999996268999876E-2</v>
      </c>
      <c r="J46" s="6">
        <f t="shared" si="5"/>
        <v>0.66499999603433457</v>
      </c>
      <c r="K46" s="6">
        <f t="shared" si="5"/>
        <v>0.64499999607100755</v>
      </c>
      <c r="L46" s="6">
        <f t="shared" si="5"/>
        <v>0.29999999464572608</v>
      </c>
      <c r="M46" s="6">
        <f t="shared" si="5"/>
        <v>0.29999999316390763</v>
      </c>
      <c r="N46" s="6">
        <f t="shared" si="5"/>
        <v>0.29999999034576413</v>
      </c>
      <c r="O46" s="6">
        <f t="shared" si="5"/>
        <v>0.29999998955134627</v>
      </c>
      <c r="P46" s="6">
        <f t="shared" si="5"/>
        <v>0.29999999054656584</v>
      </c>
      <c r="Q46" s="6">
        <f t="shared" si="5"/>
        <v>0.29999999145510758</v>
      </c>
      <c r="R46" s="6">
        <f t="shared" si="5"/>
        <v>0.29999999160528135</v>
      </c>
      <c r="S46" s="6">
        <f t="shared" si="5"/>
        <v>0.29999999121364274</v>
      </c>
      <c r="T46" s="6">
        <f t="shared" si="5"/>
        <v>0.29999999044560854</v>
      </c>
      <c r="U46" s="6">
        <f t="shared" si="5"/>
        <v>0.29999998913038212</v>
      </c>
      <c r="V46" s="6">
        <f t="shared" si="5"/>
        <v>0.29999998688194718</v>
      </c>
      <c r="W46" s="6">
        <f t="shared" si="5"/>
        <v>0.29999999327799748</v>
      </c>
      <c r="X46" s="6">
        <f t="shared" si="5"/>
        <v>0.29999999558778445</v>
      </c>
      <c r="Y46" s="6">
        <f t="shared" si="5"/>
        <v>0.29999999309268655</v>
      </c>
      <c r="Z46" s="6">
        <f t="shared" si="5"/>
        <v>0.29999998463081878</v>
      </c>
      <c r="AA46" s="6">
        <f t="shared" si="5"/>
        <v>0.29999998539709838</v>
      </c>
      <c r="AB46" s="6">
        <f t="shared" si="5"/>
        <v>0.29999998492431784</v>
      </c>
      <c r="AC46" s="6">
        <f t="shared" si="5"/>
        <v>0.29999999427267782</v>
      </c>
      <c r="AD46" s="6">
        <f t="shared" si="5"/>
        <v>0.29999999378356507</v>
      </c>
      <c r="AE46" s="6">
        <f t="shared" si="5"/>
        <v>0.29999999309986641</v>
      </c>
      <c r="AF46" s="6">
        <f t="shared" si="5"/>
        <v>0.29999999234992675</v>
      </c>
      <c r="AG46" s="6">
        <f t="shared" si="5"/>
        <v>0.29999999078938783</v>
      </c>
      <c r="AH46" s="6">
        <f t="shared" si="5"/>
        <v>0.29999998753267099</v>
      </c>
      <c r="AI46" s="6">
        <f t="shared" si="5"/>
        <v>0.2999999918956221</v>
      </c>
    </row>
    <row r="47" spans="1:35" x14ac:dyDescent="0.35">
      <c r="A47" s="7" t="s">
        <v>49</v>
      </c>
      <c r="B47" s="8">
        <f t="shared" si="1"/>
        <v>23.398935091767203</v>
      </c>
      <c r="C47" s="6">
        <f>+SUM(C19:C24,C29:C33,C35)</f>
        <v>1.989252456090818</v>
      </c>
      <c r="D47" s="6">
        <f t="shared" ref="D47:AI47" si="6">+SUM(D19:D24,D29:D33,D35)</f>
        <v>8.9253947998250762</v>
      </c>
      <c r="E47" s="6">
        <v>0</v>
      </c>
      <c r="F47" s="6">
        <f t="shared" si="6"/>
        <v>0.52757043762089295</v>
      </c>
      <c r="G47" s="6">
        <v>0</v>
      </c>
      <c r="H47" s="6">
        <v>0</v>
      </c>
      <c r="I47" s="6">
        <f t="shared" si="6"/>
        <v>0.18479878957951462</v>
      </c>
      <c r="J47" s="6">
        <f t="shared" si="6"/>
        <v>3.5616274519860101</v>
      </c>
      <c r="K47" s="6">
        <f t="shared" si="6"/>
        <v>0.946203345694828</v>
      </c>
      <c r="L47" s="6">
        <f t="shared" si="6"/>
        <v>0.37276773260949692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f t="shared" si="6"/>
        <v>1.8573713863856909</v>
      </c>
      <c r="Y47" s="6">
        <v>0</v>
      </c>
      <c r="Z47" s="6">
        <f t="shared" si="6"/>
        <v>0.90071065624377822</v>
      </c>
      <c r="AA47" s="6">
        <f t="shared" si="6"/>
        <v>4.4032744095695901E-2</v>
      </c>
      <c r="AB47" s="6">
        <f t="shared" si="6"/>
        <v>5.2185963189603744E-2</v>
      </c>
      <c r="AC47" s="6">
        <v>0</v>
      </c>
      <c r="AD47" s="6">
        <f t="shared" si="6"/>
        <v>3.2499930740566931</v>
      </c>
      <c r="AE47" s="6">
        <f t="shared" si="6"/>
        <v>0.63834548838717742</v>
      </c>
      <c r="AF47" s="6">
        <f t="shared" si="6"/>
        <v>4.9203492367899775E-2</v>
      </c>
      <c r="AG47" s="6">
        <f t="shared" si="6"/>
        <v>4.9554470917889164E-2</v>
      </c>
      <c r="AH47" s="6">
        <f t="shared" si="6"/>
        <v>4.9922802716139393E-2</v>
      </c>
      <c r="AI47" s="6">
        <f t="shared" si="6"/>
        <v>5.0286647056570558E-2</v>
      </c>
    </row>
    <row r="48" spans="1:35" x14ac:dyDescent="0.35">
      <c r="A48" s="7" t="s">
        <v>50</v>
      </c>
      <c r="B48" s="8">
        <f t="shared" si="1"/>
        <v>3.8917932867332277</v>
      </c>
      <c r="C48">
        <f>+C25+C36</f>
        <v>0</v>
      </c>
      <c r="D48">
        <f t="shared" ref="D48:AI48" si="7">+D25+D36</f>
        <v>0</v>
      </c>
      <c r="E48">
        <f t="shared" si="7"/>
        <v>0</v>
      </c>
      <c r="F48">
        <f t="shared" si="7"/>
        <v>0</v>
      </c>
      <c r="G48">
        <f t="shared" si="7"/>
        <v>0.276990264496907</v>
      </c>
      <c r="H48">
        <f t="shared" si="7"/>
        <v>0.30468932519837499</v>
      </c>
      <c r="I48">
        <f t="shared" si="7"/>
        <v>8.1456281286788307E-2</v>
      </c>
      <c r="J48">
        <v>0</v>
      </c>
      <c r="K48">
        <f t="shared" si="7"/>
        <v>0</v>
      </c>
      <c r="L48">
        <f t="shared" si="7"/>
        <v>0</v>
      </c>
      <c r="M48">
        <f t="shared" si="7"/>
        <v>0</v>
      </c>
      <c r="N48">
        <f t="shared" si="7"/>
        <v>0</v>
      </c>
      <c r="O48">
        <f t="shared" si="7"/>
        <v>0</v>
      </c>
      <c r="P48">
        <f t="shared" si="7"/>
        <v>0</v>
      </c>
      <c r="Q48">
        <f t="shared" si="7"/>
        <v>0</v>
      </c>
      <c r="R48">
        <f t="shared" si="7"/>
        <v>0</v>
      </c>
      <c r="S48">
        <f t="shared" si="7"/>
        <v>0</v>
      </c>
      <c r="T48">
        <f t="shared" si="7"/>
        <v>0</v>
      </c>
      <c r="U48">
        <f t="shared" si="7"/>
        <v>0</v>
      </c>
      <c r="V48">
        <f t="shared" si="7"/>
        <v>0</v>
      </c>
      <c r="W48">
        <v>0</v>
      </c>
      <c r="X48">
        <f t="shared" si="7"/>
        <v>1.0291918160604181</v>
      </c>
      <c r="Y48">
        <f t="shared" si="7"/>
        <v>1.0237944245209571</v>
      </c>
      <c r="Z48">
        <f t="shared" si="7"/>
        <v>1.1756711751697821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f t="shared" si="7"/>
        <v>0</v>
      </c>
      <c r="AH48">
        <f t="shared" si="7"/>
        <v>0</v>
      </c>
      <c r="AI48">
        <f t="shared" si="7"/>
        <v>0</v>
      </c>
    </row>
    <row r="52" spans="2:41" x14ac:dyDescent="0.35">
      <c r="B52" s="10" t="s">
        <v>51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 t="s">
        <v>52</v>
      </c>
      <c r="P52" s="10">
        <v>0.98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2:41" x14ac:dyDescent="0.35">
      <c r="B53" s="10"/>
      <c r="C53" s="11" t="s">
        <v>53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2:41" x14ac:dyDescent="0.35">
      <c r="B54" s="10"/>
      <c r="C54" s="11" t="s">
        <v>54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2:4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 t="s">
        <v>55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2:41" x14ac:dyDescent="0.35">
      <c r="B56" s="10"/>
      <c r="C56" s="15" t="s">
        <v>56</v>
      </c>
      <c r="D56" s="12" t="s">
        <v>57</v>
      </c>
      <c r="E56" s="12" t="s">
        <v>58</v>
      </c>
      <c r="F56" s="12" t="s">
        <v>59</v>
      </c>
      <c r="G56" s="12" t="s">
        <v>60</v>
      </c>
      <c r="H56" s="14" t="s">
        <v>61</v>
      </c>
      <c r="I56" s="14" t="s">
        <v>62</v>
      </c>
      <c r="J56" s="14" t="s">
        <v>63</v>
      </c>
      <c r="K56" s="14" t="s">
        <v>64</v>
      </c>
      <c r="L56" s="13" t="s">
        <v>65</v>
      </c>
      <c r="M56" s="16" t="s">
        <v>66</v>
      </c>
      <c r="N56" s="17" t="s">
        <v>67</v>
      </c>
      <c r="O56" s="17" t="s">
        <v>68</v>
      </c>
      <c r="P56" s="15" t="s">
        <v>69</v>
      </c>
      <c r="Q56" s="10">
        <v>2026</v>
      </c>
      <c r="R56" s="10">
        <v>2027</v>
      </c>
      <c r="S56" s="10">
        <v>2028</v>
      </c>
      <c r="T56" s="10">
        <v>2029</v>
      </c>
      <c r="U56" s="10">
        <v>2030</v>
      </c>
      <c r="V56" s="10">
        <v>2031</v>
      </c>
      <c r="W56" s="10">
        <v>2032</v>
      </c>
      <c r="X56" s="10">
        <v>2033</v>
      </c>
      <c r="Y56" s="10">
        <v>2034</v>
      </c>
      <c r="Z56" s="10">
        <v>2035</v>
      </c>
      <c r="AA56" s="10">
        <v>2036</v>
      </c>
      <c r="AB56" s="10">
        <v>2037</v>
      </c>
      <c r="AC56" s="10">
        <v>2038</v>
      </c>
      <c r="AD56" s="10">
        <v>2039</v>
      </c>
      <c r="AE56" s="10">
        <v>2040</v>
      </c>
      <c r="AF56" s="10">
        <v>2041</v>
      </c>
      <c r="AG56" s="10">
        <v>2042</v>
      </c>
      <c r="AH56" s="10">
        <v>2043</v>
      </c>
      <c r="AI56" s="10">
        <v>2044</v>
      </c>
      <c r="AJ56" s="10">
        <v>2045</v>
      </c>
      <c r="AK56" s="10">
        <v>2046</v>
      </c>
      <c r="AL56" s="10">
        <v>2047</v>
      </c>
      <c r="AM56" s="10">
        <v>2048</v>
      </c>
      <c r="AN56" s="10">
        <v>2049</v>
      </c>
      <c r="AO56" s="10">
        <v>2050</v>
      </c>
    </row>
    <row r="57" spans="2:41" x14ac:dyDescent="0.35">
      <c r="B57" s="10"/>
      <c r="C57" s="10" t="str">
        <f>_xlfn.CONCAT("CAP-",A42)</f>
        <v>CAP-PWR-BIO-CCS</v>
      </c>
      <c r="D57" s="10"/>
      <c r="E57" s="9" t="str">
        <f>+B6</f>
        <v>P-RNW-ST-BIO-CCS05</v>
      </c>
      <c r="F57" s="10"/>
      <c r="G57" s="10"/>
      <c r="H57" s="10"/>
      <c r="I57" s="10"/>
      <c r="J57" s="10"/>
      <c r="K57" s="19" t="s">
        <v>73</v>
      </c>
      <c r="L57" s="10">
        <v>1</v>
      </c>
      <c r="M57" s="10"/>
      <c r="N57" s="10"/>
      <c r="O57" s="10">
        <v>5</v>
      </c>
      <c r="P57" s="10"/>
      <c r="Q57" s="18">
        <f>+J42</f>
        <v>0</v>
      </c>
      <c r="R57" s="18">
        <f t="shared" ref="R57:AO61" si="8">+K42</f>
        <v>0</v>
      </c>
      <c r="S57" s="18">
        <f t="shared" si="8"/>
        <v>0</v>
      </c>
      <c r="T57" s="18">
        <f t="shared" si="8"/>
        <v>0</v>
      </c>
      <c r="U57" s="18">
        <f t="shared" si="8"/>
        <v>0.49999999994168998</v>
      </c>
      <c r="V57" s="18">
        <f t="shared" si="8"/>
        <v>0</v>
      </c>
      <c r="W57" s="18">
        <f t="shared" si="8"/>
        <v>0</v>
      </c>
      <c r="X57" s="18">
        <f t="shared" si="8"/>
        <v>0</v>
      </c>
      <c r="Y57" s="18">
        <f t="shared" si="8"/>
        <v>0</v>
      </c>
      <c r="Z57" s="18">
        <f t="shared" si="8"/>
        <v>0</v>
      </c>
      <c r="AA57" s="18">
        <f t="shared" si="8"/>
        <v>0</v>
      </c>
      <c r="AB57" s="18">
        <f t="shared" si="8"/>
        <v>0</v>
      </c>
      <c r="AC57" s="18">
        <f t="shared" si="8"/>
        <v>0</v>
      </c>
      <c r="AD57" s="18">
        <f t="shared" si="8"/>
        <v>0</v>
      </c>
      <c r="AE57" s="18">
        <f t="shared" si="8"/>
        <v>0</v>
      </c>
      <c r="AF57" s="18">
        <f t="shared" si="8"/>
        <v>0</v>
      </c>
      <c r="AG57" s="18">
        <f t="shared" si="8"/>
        <v>0</v>
      </c>
      <c r="AH57" s="18">
        <f t="shared" si="8"/>
        <v>0</v>
      </c>
      <c r="AI57" s="18">
        <f t="shared" si="8"/>
        <v>0</v>
      </c>
      <c r="AJ57" s="18">
        <f t="shared" si="8"/>
        <v>0</v>
      </c>
      <c r="AK57" s="18">
        <f t="shared" si="8"/>
        <v>0</v>
      </c>
      <c r="AL57" s="18">
        <f t="shared" si="8"/>
        <v>0</v>
      </c>
      <c r="AM57" s="18">
        <f t="shared" si="8"/>
        <v>0</v>
      </c>
      <c r="AN57" s="18">
        <f t="shared" si="8"/>
        <v>0</v>
      </c>
      <c r="AO57" s="18">
        <f t="shared" si="8"/>
        <v>0</v>
      </c>
    </row>
    <row r="58" spans="2:41" x14ac:dyDescent="0.35">
      <c r="B58" s="10"/>
      <c r="C58" s="10" t="str">
        <f t="shared" ref="C58:C61" si="9">_xlfn.CONCAT("CAP-",A43)</f>
        <v>CAP-PWR-H2</v>
      </c>
      <c r="D58" s="10"/>
      <c r="E58" s="10" t="s">
        <v>70</v>
      </c>
      <c r="F58" s="10"/>
      <c r="G58" s="10"/>
      <c r="H58" s="10"/>
      <c r="I58" s="10"/>
      <c r="J58" s="10"/>
      <c r="K58" s="19" t="s">
        <v>73</v>
      </c>
      <c r="L58" s="10">
        <v>1</v>
      </c>
      <c r="M58" s="10"/>
      <c r="N58" s="10"/>
      <c r="O58" s="10">
        <v>5</v>
      </c>
      <c r="P58" s="10"/>
      <c r="Q58" s="18">
        <f t="shared" ref="Q58:Q61" si="10">+J43</f>
        <v>0</v>
      </c>
      <c r="R58" s="18">
        <f t="shared" si="8"/>
        <v>0</v>
      </c>
      <c r="S58" s="18">
        <f t="shared" si="8"/>
        <v>0</v>
      </c>
      <c r="T58" s="18">
        <f t="shared" si="8"/>
        <v>0</v>
      </c>
      <c r="U58" s="18">
        <f t="shared" si="8"/>
        <v>0</v>
      </c>
      <c r="V58" s="18">
        <f t="shared" si="8"/>
        <v>0</v>
      </c>
      <c r="W58" s="18">
        <f t="shared" si="8"/>
        <v>0</v>
      </c>
      <c r="X58" s="18">
        <f t="shared" si="8"/>
        <v>0</v>
      </c>
      <c r="Y58" s="18">
        <f t="shared" si="8"/>
        <v>0</v>
      </c>
      <c r="Z58" s="18">
        <f t="shared" si="8"/>
        <v>0</v>
      </c>
      <c r="AA58" s="18">
        <f t="shared" si="8"/>
        <v>0</v>
      </c>
      <c r="AB58" s="18">
        <f t="shared" si="8"/>
        <v>0</v>
      </c>
      <c r="AC58" s="18">
        <f t="shared" si="8"/>
        <v>0</v>
      </c>
      <c r="AD58" s="18">
        <f t="shared" si="8"/>
        <v>0</v>
      </c>
      <c r="AE58" s="18">
        <f t="shared" si="8"/>
        <v>3.7426459245906499E-2</v>
      </c>
      <c r="AF58" s="18">
        <f t="shared" si="8"/>
        <v>0.110259175035641</v>
      </c>
      <c r="AG58" s="18">
        <f t="shared" si="8"/>
        <v>7.0007312068793404E-2</v>
      </c>
      <c r="AH58" s="18">
        <f t="shared" si="8"/>
        <v>5.6637217751537398E-2</v>
      </c>
      <c r="AI58" s="18">
        <f t="shared" si="8"/>
        <v>9.4333683973048199E-2</v>
      </c>
      <c r="AJ58" s="18">
        <f t="shared" si="8"/>
        <v>6.7957600243049504E-2</v>
      </c>
      <c r="AK58" s="18">
        <f t="shared" si="8"/>
        <v>0.15477828377052699</v>
      </c>
      <c r="AL58" s="18">
        <f t="shared" si="8"/>
        <v>0.33250746640519802</v>
      </c>
      <c r="AM58" s="18">
        <f t="shared" si="8"/>
        <v>0.154633291943329</v>
      </c>
      <c r="AN58" s="18">
        <f t="shared" si="8"/>
        <v>0.27313233692502098</v>
      </c>
      <c r="AO58" s="18">
        <f t="shared" si="8"/>
        <v>0</v>
      </c>
    </row>
    <row r="59" spans="2:41" x14ac:dyDescent="0.35">
      <c r="B59" s="10"/>
      <c r="C59" s="10" t="str">
        <f t="shared" si="9"/>
        <v>CAP-PWR-SOL</v>
      </c>
      <c r="D59" s="10"/>
      <c r="E59" s="10" t="s">
        <v>71</v>
      </c>
      <c r="F59" s="10"/>
      <c r="G59" s="10"/>
      <c r="H59" s="10"/>
      <c r="I59" s="10"/>
      <c r="J59" s="10"/>
      <c r="K59" s="19" t="s">
        <v>73</v>
      </c>
      <c r="L59" s="10">
        <v>1</v>
      </c>
      <c r="M59" s="10"/>
      <c r="N59" s="10"/>
      <c r="O59" s="10">
        <v>5</v>
      </c>
      <c r="P59" s="10"/>
      <c r="Q59" s="18">
        <f t="shared" si="10"/>
        <v>0.60000548705421297</v>
      </c>
      <c r="R59" s="18">
        <f t="shared" si="8"/>
        <v>0.59998919175605703</v>
      </c>
      <c r="S59" s="18">
        <f t="shared" si="8"/>
        <v>0.60000315706150098</v>
      </c>
      <c r="T59" s="18">
        <f t="shared" si="8"/>
        <v>0.59999511922257798</v>
      </c>
      <c r="U59" s="18">
        <f t="shared" si="8"/>
        <v>0.60000304685515826</v>
      </c>
      <c r="V59" s="18">
        <f t="shared" si="8"/>
        <v>0.20000135132414265</v>
      </c>
      <c r="W59" s="18">
        <f t="shared" si="8"/>
        <v>0</v>
      </c>
      <c r="X59" s="18">
        <f t="shared" si="8"/>
        <v>0.40000498601012202</v>
      </c>
      <c r="Y59" s="18">
        <f t="shared" si="8"/>
        <v>0.20000311454671099</v>
      </c>
      <c r="Z59" s="18">
        <f t="shared" si="8"/>
        <v>0.20000239709335099</v>
      </c>
      <c r="AA59" s="18">
        <f t="shared" si="8"/>
        <v>0.19999981616683199</v>
      </c>
      <c r="AB59" s="18">
        <f t="shared" si="8"/>
        <v>0.20000071055326901</v>
      </c>
      <c r="AC59" s="18">
        <f t="shared" si="8"/>
        <v>0.20000319146098031</v>
      </c>
      <c r="AD59" s="18">
        <f t="shared" si="8"/>
        <v>0.19999680554884608</v>
      </c>
      <c r="AE59" s="18">
        <f t="shared" si="8"/>
        <v>0.1999966756232002</v>
      </c>
      <c r="AF59" s="18">
        <f t="shared" si="8"/>
        <v>0</v>
      </c>
      <c r="AG59" s="18">
        <f t="shared" si="8"/>
        <v>0</v>
      </c>
      <c r="AH59" s="18">
        <f t="shared" si="8"/>
        <v>0</v>
      </c>
      <c r="AI59" s="18">
        <f t="shared" si="8"/>
        <v>1.9999992508375298E-2</v>
      </c>
      <c r="AJ59" s="18">
        <f t="shared" si="8"/>
        <v>3.300001565871867E-2</v>
      </c>
      <c r="AK59" s="18">
        <f t="shared" si="8"/>
        <v>0.20799999991991411</v>
      </c>
      <c r="AL59" s="18">
        <f t="shared" si="8"/>
        <v>0.12299991400712516</v>
      </c>
      <c r="AM59" s="18">
        <f t="shared" si="8"/>
        <v>0.41600025970813254</v>
      </c>
      <c r="AN59" s="18">
        <f t="shared" si="8"/>
        <v>1.8000001698607848</v>
      </c>
      <c r="AO59" s="18">
        <f t="shared" si="8"/>
        <v>2.39999448344944</v>
      </c>
    </row>
    <row r="60" spans="2:41" x14ac:dyDescent="0.35">
      <c r="C60" s="10" t="str">
        <f t="shared" si="9"/>
        <v>CAP-PWR-WIN-OF</v>
      </c>
      <c r="E60" s="10" t="s">
        <v>23</v>
      </c>
      <c r="K60" s="19" t="s">
        <v>73</v>
      </c>
      <c r="L60" s="10">
        <v>1</v>
      </c>
      <c r="M60" s="10"/>
      <c r="N60" s="10"/>
      <c r="O60" s="10">
        <v>5</v>
      </c>
      <c r="Q60" s="18">
        <f t="shared" si="10"/>
        <v>0</v>
      </c>
      <c r="R60" s="18">
        <f t="shared" si="8"/>
        <v>0</v>
      </c>
      <c r="S60" s="18">
        <f t="shared" si="8"/>
        <v>0.70000000005011997</v>
      </c>
      <c r="T60" s="18">
        <f t="shared" si="8"/>
        <v>2.12499999960274</v>
      </c>
      <c r="U60" s="18">
        <f t="shared" si="8"/>
        <v>2.13499999977864</v>
      </c>
      <c r="V60" s="18">
        <f t="shared" si="8"/>
        <v>2.1349999996825</v>
      </c>
      <c r="W60" s="18">
        <f t="shared" si="8"/>
        <v>2.11818243900546</v>
      </c>
      <c r="X60" s="18">
        <f t="shared" si="8"/>
        <v>0.728657487914946</v>
      </c>
      <c r="Y60" s="18">
        <f t="shared" si="8"/>
        <v>0.76642968902267405</v>
      </c>
      <c r="Z60" s="18">
        <f t="shared" si="8"/>
        <v>0</v>
      </c>
      <c r="AA60" s="18">
        <f t="shared" si="8"/>
        <v>0.25380403096455201</v>
      </c>
      <c r="AB60" s="18">
        <f t="shared" si="8"/>
        <v>0.18674585793187601</v>
      </c>
      <c r="AC60" s="18">
        <f t="shared" si="8"/>
        <v>0.28848942798369698</v>
      </c>
      <c r="AD60" s="18">
        <f t="shared" si="8"/>
        <v>0.38033179595519401</v>
      </c>
      <c r="AE60" s="18">
        <f t="shared" si="8"/>
        <v>0.32035794509783699</v>
      </c>
      <c r="AF60" s="18">
        <f t="shared" si="8"/>
        <v>0.65256448436971304</v>
      </c>
      <c r="AG60" s="18">
        <f t="shared" si="8"/>
        <v>0.65196339077961496</v>
      </c>
      <c r="AH60" s="18">
        <f t="shared" si="8"/>
        <v>0.46557846181735502</v>
      </c>
      <c r="AI60" s="18">
        <f t="shared" si="8"/>
        <v>0.45254530778237101</v>
      </c>
      <c r="AJ60" s="18">
        <f t="shared" si="8"/>
        <v>0.183673230695308</v>
      </c>
      <c r="AK60" s="18">
        <f t="shared" si="8"/>
        <v>0.110543019813645</v>
      </c>
      <c r="AL60" s="18">
        <f t="shared" si="8"/>
        <v>0.78049409029860795</v>
      </c>
      <c r="AM60" s="18">
        <f t="shared" si="8"/>
        <v>0.31895445603997202</v>
      </c>
      <c r="AN60" s="18">
        <f t="shared" si="8"/>
        <v>0.39694700653175402</v>
      </c>
      <c r="AO60" s="18">
        <f t="shared" si="8"/>
        <v>0.831023193037704</v>
      </c>
    </row>
    <row r="61" spans="2:41" x14ac:dyDescent="0.35">
      <c r="C61" s="10" t="str">
        <f t="shared" si="9"/>
        <v>CAP-PWR-WIN-ON</v>
      </c>
      <c r="E61" t="s">
        <v>72</v>
      </c>
      <c r="K61" s="19" t="s">
        <v>73</v>
      </c>
      <c r="L61" s="10">
        <v>1</v>
      </c>
      <c r="M61" s="10"/>
      <c r="N61" s="10"/>
      <c r="O61" s="10">
        <v>5</v>
      </c>
      <c r="Q61" s="18">
        <f t="shared" si="10"/>
        <v>0.66499999603433457</v>
      </c>
      <c r="R61" s="18">
        <f t="shared" si="8"/>
        <v>0.64499999607100755</v>
      </c>
      <c r="S61" s="18">
        <f t="shared" si="8"/>
        <v>0.29999999464572608</v>
      </c>
      <c r="T61" s="18">
        <f t="shared" si="8"/>
        <v>0.29999999316390763</v>
      </c>
      <c r="U61" s="18">
        <f t="shared" si="8"/>
        <v>0.29999999034576413</v>
      </c>
      <c r="V61" s="18">
        <f t="shared" si="8"/>
        <v>0.29999998955134627</v>
      </c>
      <c r="W61" s="18">
        <f t="shared" si="8"/>
        <v>0.29999999054656584</v>
      </c>
      <c r="X61" s="18">
        <f t="shared" si="8"/>
        <v>0.29999999145510758</v>
      </c>
      <c r="Y61" s="18">
        <f t="shared" si="8"/>
        <v>0.29999999160528135</v>
      </c>
      <c r="Z61" s="18">
        <f t="shared" si="8"/>
        <v>0.29999999121364274</v>
      </c>
      <c r="AA61" s="18">
        <f t="shared" si="8"/>
        <v>0.29999999044560854</v>
      </c>
      <c r="AB61" s="18">
        <f t="shared" si="8"/>
        <v>0.29999998913038212</v>
      </c>
      <c r="AC61" s="18">
        <f t="shared" si="8"/>
        <v>0.29999998688194718</v>
      </c>
      <c r="AD61" s="18">
        <f t="shared" si="8"/>
        <v>0.29999999327799748</v>
      </c>
      <c r="AE61" s="18">
        <f t="shared" si="8"/>
        <v>0.29999999558778445</v>
      </c>
      <c r="AF61" s="18">
        <f t="shared" si="8"/>
        <v>0.29999999309268655</v>
      </c>
      <c r="AG61" s="18">
        <f t="shared" si="8"/>
        <v>0.29999998463081878</v>
      </c>
      <c r="AH61" s="18">
        <f t="shared" si="8"/>
        <v>0.29999998539709838</v>
      </c>
      <c r="AI61" s="18">
        <f t="shared" si="8"/>
        <v>0.29999998492431784</v>
      </c>
      <c r="AJ61" s="18">
        <f t="shared" si="8"/>
        <v>0.29999999427267782</v>
      </c>
      <c r="AK61" s="18">
        <f t="shared" si="8"/>
        <v>0.29999999378356507</v>
      </c>
      <c r="AL61" s="18">
        <f t="shared" si="8"/>
        <v>0.29999999309986641</v>
      </c>
      <c r="AM61" s="18">
        <f t="shared" si="8"/>
        <v>0.29999999234992675</v>
      </c>
      <c r="AN61" s="18">
        <f t="shared" si="8"/>
        <v>0.29999999078938783</v>
      </c>
      <c r="AO61" s="18">
        <f t="shared" si="8"/>
        <v>0.29999998753267099</v>
      </c>
    </row>
    <row r="62" spans="2:41" x14ac:dyDescent="0.35">
      <c r="C62" s="10"/>
      <c r="K62" s="10"/>
      <c r="L62" s="10"/>
      <c r="M62" s="10"/>
      <c r="N62" s="10"/>
      <c r="O62" s="10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spans="2:41" x14ac:dyDescent="0.35">
      <c r="C63" s="10"/>
      <c r="K63" s="10"/>
      <c r="L63" s="10"/>
      <c r="M63" s="10"/>
      <c r="N63" s="10"/>
      <c r="O63" s="10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spans="2:41" x14ac:dyDescent="0.35">
      <c r="K64" s="10"/>
      <c r="L64" s="10"/>
      <c r="M64" s="10"/>
      <c r="N64" s="10"/>
      <c r="O64" s="10"/>
    </row>
  </sheetData>
  <conditionalFormatting sqref="C42:AI48">
    <cfRule type="cellIs" dxfId="1" priority="1" operator="equal">
      <formula>0</formula>
    </cfRule>
    <cfRule type="cellIs" dxfId="0" priority="2" operator="lessThan">
      <formula>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Bakytzhan Suleimenov</dc:creator>
  <cp:lastModifiedBy>Bakytzhan Suleimenov</cp:lastModifiedBy>
  <dcterms:created xsi:type="dcterms:W3CDTF">2025-08-11T08:46:57Z</dcterms:created>
  <dcterms:modified xsi:type="dcterms:W3CDTF">2025-08-11T11:52:15Z</dcterms:modified>
</cp:coreProperties>
</file>