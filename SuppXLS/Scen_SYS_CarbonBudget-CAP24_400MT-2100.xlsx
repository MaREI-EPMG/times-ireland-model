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Suleimenov\Documents\GitHub\times-ireland-model\SuppXLS\"/>
    </mc:Choice>
  </mc:AlternateContent>
  <xr:revisionPtr revIDLastSave="0" documentId="8_{A825BDF2-B525-4610-85C6-A7E8B740EF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negative_CO2" sheetId="23" r:id="rId5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1" l="1"/>
  <c r="D7" i="20"/>
  <c r="C7" i="20"/>
  <c r="D24" i="20"/>
  <c r="F24" i="20" s="1"/>
  <c r="E7" i="20" s="1"/>
  <c r="E24" i="20"/>
  <c r="D4" i="20" l="1"/>
  <c r="K7" i="21"/>
  <c r="I7" i="21"/>
  <c r="H7" i="21"/>
  <c r="G7" i="21"/>
  <c r="F7" i="21"/>
  <c r="D7" i="21"/>
  <c r="C7" i="21"/>
  <c r="F4" i="20"/>
  <c r="F5" i="20"/>
  <c r="D5" i="20"/>
  <c r="E5" i="20"/>
  <c r="C5" i="20"/>
  <c r="L7" i="21" s="1"/>
  <c r="C4" i="20"/>
  <c r="B7" i="21" s="1"/>
  <c r="E4" i="20" l="1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/>
  <c r="T3" i="15" a="1"/>
  <c r="T3" i="15" s="1"/>
  <c r="E3" i="15" a="1"/>
  <c r="E3" i="15" s="1"/>
  <c r="N3" i="15" a="1"/>
  <c r="N3" i="15" s="1"/>
  <c r="R3" i="15" a="1"/>
  <c r="R3" i="15" s="1"/>
  <c r="S3" i="15" a="1"/>
  <c r="S3" i="15"/>
  <c r="F3" i="15" a="1"/>
  <c r="F3" i="15" s="1"/>
  <c r="Z3" i="15" a="1"/>
  <c r="Z3" i="15" s="1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  <c r="G3" i="23" l="1"/>
  <c r="H4" i="21"/>
  <c r="H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<sst xmlns="http://schemas.openxmlformats.org/spreadsheetml/2006/main" count="167" uniqueCount="121">
  <si>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</si>
  <si>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</si>
  <si>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</si>
  <si>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</si>
  <si>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</si>
  <si>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</si>
  <si>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</si>
  <si>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</si>
  <si>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</si>
  <si>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</si>
  <si>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</si>
  <si>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</si>
  <si>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</si>
  <si>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</si>
  <si>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</si>
  <si>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</si>
  <si>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</si>
  <si>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</si>
  <si>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</si>
  <si>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</si>
  <si>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</si>
  <si>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</si>
  <si>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</si>
  <si>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</si>
  <si>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</si>
  <si>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</si>
  <si>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</si>
  <si>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</si>
  <si>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</si>
  <si>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</si>
  <si>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</si>
  <si>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</si>
  <si>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</si>
  <si>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</si>
  <si>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</si>
  <si>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</si>
  <si>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</si>
  <si>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</si>
  <si>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</si>
  <si>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</si>
  <si>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</si>
  <si>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</si>
  <si>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</si>
  <si>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</si>
  <si>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</si>
  <si>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</si>
  <si>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</si>
  <si>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</si>
  <si>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</si>
  <si>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</si>
  <si>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</si>
  <si>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</si>
  <si>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</si>
  <si>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</si>
  <si>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</si>
  <si>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</si>
  <si>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</si>
  <si>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</si>
  <si>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</si>
  <si>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</si>
  <si>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</si>
  <si>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</si>
  <si>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</si>
  <si>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</si>
  <si>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</si>
  <si>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</si>
  <si>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</si>
  <si>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</si>
  <si>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</si>
  <si>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</si>
  <si>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</si>
  <si>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</si>
  <si>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</si>
  <si>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</si>
  <si>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</si>
  <si>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</si>
  <si>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</si>
  <si>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</si>
  <si>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</si>
  <si>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</si>
  <si>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</si>
  <si>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</si>
  <si>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</si>
  <si>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</si>
  <si>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</si>
  <si>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</si>
  <si>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</si>
  <si>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</si>
  <si>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</si>
  <si>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</si>
  <si>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</si>
  <si>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</si>
  <si>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</si>
  <si>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</si>
  <si>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</si>
  <si>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</si>
  <si>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</si>
  <si>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</si>
  <si>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</si>
  <si>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</si>
  <si>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</si>
  <si>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</si>
  <si>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</si>
  <si>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</si>
  <si>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</si>
  <si>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</si>
  <si>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</si>
  <si>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</si>
  <si>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</si>
  <si>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</si>
  <si>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</si>
  <si>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</si>
  <si>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</si>
  <si>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</si>
  <si>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</si>
  <si>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</si>
  <si>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</si>
  <si>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</si>
  <si>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2021-2030</t>
  </si>
  <si>
    <t>2021-2100</t>
  </si>
  <si>
    <t>Bakytzhan Suleimenov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</si>
</sst>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3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1793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2" xfId="425" xr:uid="{9B41DB7B-9578-41A0-9464-BAB21CF784D3}"/>
    <cellStyle name="Comma [0] 2 3" xfId="426" xr:uid="{B20579F4-A28E-4668-8D3E-E350234A29E3}"/>
    <cellStyle name="Comma [0] 2 4" xfId="427" xr:uid="{F99DB291-37CF-4D96-A1E4-A2937042304D}"/>
    <cellStyle name="Comma [0] 2 5" xfId="428" xr:uid="{09062CA3-FF34-4758-A21B-FA43D38FACC0}"/>
    <cellStyle name="Comma [0] 2 6" xfId="429" xr:uid="{420C9EE9-9BD4-4453-A67D-4D7798AE5CE8}"/>
    <cellStyle name="Comma [0] 2 7" xfId="430" xr:uid="{86A3E8B6-3870-482B-BBD8-5DB3CE4A19EC}"/>
    <cellStyle name="Comma [0] 2 8" xfId="431" xr:uid="{F416ED8D-0A85-4108-B21A-7D67F7C7D9ED}"/>
    <cellStyle name="Comma [0] 2 9" xfId="432" xr:uid="{71F496F2-3D6D-461A-A605-5FA1BE81E5E7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1" xfId="436" xr:uid="{6B881517-B3BB-4899-AC8C-11E211BF2C81}"/>
    <cellStyle name="Comma 10 2 12" xfId="437" xr:uid="{BD628869-ED55-4B53-B15A-5F8BA25EC1D8}"/>
    <cellStyle name="Comma 10 2 13" xfId="438" xr:uid="{30B28322-7CF6-4AEA-89BF-076A5C5CBEEF}"/>
    <cellStyle name="Comma 10 2 14" xfId="439" xr:uid="{C8A83EAC-16E4-4D63-B4A3-184913C2CC38}"/>
    <cellStyle name="Comma 10 2 15" xfId="440" xr:uid="{A0D7E326-564C-4316-90D4-98F5E1B5460D}"/>
    <cellStyle name="Comma 10 2 16" xfId="441" xr:uid="{97CA26C2-8674-4AF5-82AB-56AFD0E680F8}"/>
    <cellStyle name="Comma 10 2 17" xfId="442" xr:uid="{C85ACC1E-FED0-4A2E-90C2-5B3458095745}"/>
    <cellStyle name="Comma 10 2 2" xfId="443" xr:uid="{C1925102-8075-4238-A456-3C73DA5A7BA0}"/>
    <cellStyle name="Comma 10 2 3" xfId="444" xr:uid="{FD3F267A-69BE-4C3F-B406-26C0BD166197}"/>
    <cellStyle name="Comma 10 2 4" xfId="445" xr:uid="{24028179-7BBB-4941-ADBA-5FF9E670A5EA}"/>
    <cellStyle name="Comma 10 2 5" xfId="446" xr:uid="{96EF4079-2C09-4445-920C-1B210E2186E8}"/>
    <cellStyle name="Comma 10 2 6" xfId="447" xr:uid="{384F9C5F-979E-4446-B6E1-B27E928070CB}"/>
    <cellStyle name="Comma 10 2 7" xfId="448" xr:uid="{5667CD28-63D0-4438-AA32-096D0993FF97}"/>
    <cellStyle name="Comma 10 2 8" xfId="449" xr:uid="{F8127A2E-74D8-4263-A49B-960FB64EA53D}"/>
    <cellStyle name="Comma 10 2 9" xfId="450" xr:uid="{667D6EB3-3197-493E-A960-C99F69E6403A}"/>
    <cellStyle name="Comma 10 3" xfId="451" xr:uid="{2381A7A8-2023-4F4E-AB35-452793AEC217}"/>
    <cellStyle name="Comma 10 3 10" xfId="452" xr:uid="{09B9AFB5-D928-4B56-9EAE-370E0B1682E2}"/>
    <cellStyle name="Comma 10 3 11" xfId="453" xr:uid="{39C178CB-E75C-47C7-AD57-E00DD6D7D487}"/>
    <cellStyle name="Comma 10 3 12" xfId="454" xr:uid="{91281440-DF20-4066-A3BE-72878614B717}"/>
    <cellStyle name="Comma 10 3 13" xfId="455" xr:uid="{6DCDE1A2-0500-42BD-8681-C32C54574268}"/>
    <cellStyle name="Comma 10 3 14" xfId="456" xr:uid="{D1FC7552-9B5B-4176-A68E-1707BD3FE8FD}"/>
    <cellStyle name="Comma 10 3 15" xfId="457" xr:uid="{262256C6-7761-4BA3-B36C-7BDF70310827}"/>
    <cellStyle name="Comma 10 3 16" xfId="458" xr:uid="{2E87924F-A98C-486B-B33D-6DD404E94618}"/>
    <cellStyle name="Comma 10 3 17" xfId="459" xr:uid="{AE3306BD-7812-4A2B-B632-F0DE75835457}"/>
    <cellStyle name="Comma 10 3 2" xfId="460" xr:uid="{EF248761-FC48-42E2-88D1-F6B0D82541C0}"/>
    <cellStyle name="Comma 10 3 3" xfId="461" xr:uid="{9E703699-1895-4028-B214-75B2CF8DD812}"/>
    <cellStyle name="Comma 10 3 4" xfId="462" xr:uid="{D79785E9-6B06-4CE6-9069-1695AC4CCF66}"/>
    <cellStyle name="Comma 10 3 5" xfId="463" xr:uid="{85119826-DC66-4F53-8B60-D1D61F5A6BB4}"/>
    <cellStyle name="Comma 10 3 6" xfId="464" xr:uid="{0AF73299-6D7D-4CD4-A022-AE8EBD765AB6}"/>
    <cellStyle name="Comma 10 3 7" xfId="465" xr:uid="{4F7ED5E2-D659-4222-A3F3-5273695C83A7}"/>
    <cellStyle name="Comma 10 3 8" xfId="466" xr:uid="{075BA881-751A-46B2-861D-CD260E702453}"/>
    <cellStyle name="Comma 10 3 9" xfId="467" xr:uid="{1372429F-5912-4505-8DC9-F68CF550475B}"/>
    <cellStyle name="Comma 10 4" xfId="468" xr:uid="{892B04F6-1C8D-4200-B6CB-B0148ABBC55A}"/>
    <cellStyle name="Comma 10 4 10" xfId="469" xr:uid="{D51D1FD0-3934-47D0-81E8-F9EC6EAEAF50}"/>
    <cellStyle name="Comma 10 4 11" xfId="470" xr:uid="{B4BB2DBA-B643-4826-8260-58251C0AA8A2}"/>
    <cellStyle name="Comma 10 4 12" xfId="471" xr:uid="{1DE4F001-9A27-41E7-AF74-FEC4BAB181D0}"/>
    <cellStyle name="Comma 10 4 13" xfId="472" xr:uid="{56A5CC37-5114-42AD-84D7-741989675CE0}"/>
    <cellStyle name="Comma 10 4 14" xfId="473" xr:uid="{86DE866D-0C30-4A2B-89EF-4FAE0F4BA18A}"/>
    <cellStyle name="Comma 10 4 15" xfId="474" xr:uid="{587C1285-C282-42FC-8727-669515C5C4E1}"/>
    <cellStyle name="Comma 10 4 16" xfId="475" xr:uid="{C9DB269C-B52F-4310-9FE0-E49C69A3DD92}"/>
    <cellStyle name="Comma 10 4 17" xfId="476" xr:uid="{5B0B247E-2D09-4373-9997-987D8E01404A}"/>
    <cellStyle name="Comma 10 4 2" xfId="477" xr:uid="{34BC0AC7-6F9F-4E67-864D-6997555F00F4}"/>
    <cellStyle name="Comma 10 4 3" xfId="478" xr:uid="{125FA83B-21DB-49F6-949E-F150DF911BF4}"/>
    <cellStyle name="Comma 10 4 4" xfId="479" xr:uid="{944395A3-365A-4752-9911-008A867FB71B}"/>
    <cellStyle name="Comma 10 4 5" xfId="480" xr:uid="{4770F347-07A0-4D01-975C-486B70040E6F}"/>
    <cellStyle name="Comma 10 4 6" xfId="481" xr:uid="{CF87A2E2-A29A-4783-8F42-67DF147BA5B5}"/>
    <cellStyle name="Comma 10 4 7" xfId="482" xr:uid="{7BD8EC99-E45C-4F55-9C08-FCB6F7452BBE}"/>
    <cellStyle name="Comma 10 4 8" xfId="483" xr:uid="{E33ADC4E-0865-4F3D-9869-267A3CB3CE2D}"/>
    <cellStyle name="Comma 10 4 9" xfId="484" xr:uid="{E77DD074-7DF6-44F2-8A20-96A039773276}"/>
    <cellStyle name="Comma 10 5" xfId="485" xr:uid="{EC48B89A-380D-4016-93DF-FACF735A6EEE}"/>
    <cellStyle name="Comma 10 5 10" xfId="486" xr:uid="{4619FB2C-D1A8-4ABC-B11D-24AEC8C3C9B2}"/>
    <cellStyle name="Comma 10 5 11" xfId="487" xr:uid="{F91B25A1-62EE-4434-AFDE-F23A51E98AB5}"/>
    <cellStyle name="Comma 10 5 12" xfId="488" xr:uid="{F76C0732-DBA2-4189-928C-11DCA3256D02}"/>
    <cellStyle name="Comma 10 5 13" xfId="489" xr:uid="{B6BACA9E-DC74-48BD-95FC-D5E38906BCDE}"/>
    <cellStyle name="Comma 10 5 14" xfId="490" xr:uid="{70912F5E-D243-4A25-B244-069C249198E5}"/>
    <cellStyle name="Comma 10 5 15" xfId="491" xr:uid="{7069C481-AF24-4FE7-A871-7EEB2C3EB464}"/>
    <cellStyle name="Comma 10 5 16" xfId="492" xr:uid="{91D3B5EC-E818-4D6D-B80A-66FF5509A57D}"/>
    <cellStyle name="Comma 10 5 17" xfId="493" xr:uid="{53B70FEB-E00A-4A73-9073-938DA9D8D21C}"/>
    <cellStyle name="Comma 10 5 2" xfId="494" xr:uid="{C4D056B1-1CC6-4277-821A-9FFDBA5755DE}"/>
    <cellStyle name="Comma 10 5 3" xfId="495" xr:uid="{0D48A024-B61B-4D88-9BA4-56C2AD188725}"/>
    <cellStyle name="Comma 10 5 4" xfId="496" xr:uid="{369665A0-C3C5-4253-A704-389C6F23437D}"/>
    <cellStyle name="Comma 10 5 5" xfId="497" xr:uid="{18AE6F47-E6F5-480F-BBA9-4C3ABB78EB5A}"/>
    <cellStyle name="Comma 10 5 6" xfId="498" xr:uid="{469C65DB-0103-45B0-9D7E-DC3754CED391}"/>
    <cellStyle name="Comma 10 5 7" xfId="499" xr:uid="{2E8C6864-4F56-4C44-A1B3-4BA229646584}"/>
    <cellStyle name="Comma 10 5 8" xfId="500" xr:uid="{BD4A1BC6-78E9-4B4F-8367-7B4DFEA88346}"/>
    <cellStyle name="Comma 10 5 9" xfId="501" xr:uid="{5625D8E9-A685-426C-8DDB-5A7F7CC6B2E9}"/>
    <cellStyle name="Comma 10 6" xfId="502" xr:uid="{47BC3296-AB68-424D-9B90-35242DF2F3AD}"/>
    <cellStyle name="Comma 10 6 10" xfId="503" xr:uid="{6BDED176-D793-48C2-872C-7E12F90783F0}"/>
    <cellStyle name="Comma 10 6 11" xfId="504" xr:uid="{1DB0BB9E-5D07-471B-BF33-00612DFB42C2}"/>
    <cellStyle name="Comma 10 6 12" xfId="505" xr:uid="{DC954738-CF7E-47CB-908C-FB79353358D4}"/>
    <cellStyle name="Comma 10 6 13" xfId="506" xr:uid="{B7BF1276-AE6A-4CDA-AA6F-75602CDDF224}"/>
    <cellStyle name="Comma 10 6 14" xfId="507" xr:uid="{D381F0BD-AE39-4EFE-B0A4-1ADD3B930716}"/>
    <cellStyle name="Comma 10 6 15" xfId="508" xr:uid="{867C7129-0FFE-41DC-8776-3AD2B5A68EAE}"/>
    <cellStyle name="Comma 10 6 16" xfId="509" xr:uid="{5FA8BCF6-89CF-4FD2-961B-FA9F6A3622F5}"/>
    <cellStyle name="Comma 10 6 17" xfId="510" xr:uid="{709DDFD6-62EE-4D77-B413-5752179549C7}"/>
    <cellStyle name="Comma 10 6 2" xfId="511" xr:uid="{505EC601-2BC3-44CC-8673-1079F53DF5BB}"/>
    <cellStyle name="Comma 10 6 3" xfId="512" xr:uid="{4B129687-FE89-455B-BBD0-8601E256F063}"/>
    <cellStyle name="Comma 10 6 4" xfId="513" xr:uid="{0019BDC9-A9C5-4070-ABB9-B035E3806585}"/>
    <cellStyle name="Comma 10 6 5" xfId="514" xr:uid="{0FA8AB4D-22CC-461C-88E5-A11EFB95F973}"/>
    <cellStyle name="Comma 10 6 6" xfId="515" xr:uid="{C0DCF806-D2B7-4235-9F11-5B69C28F3AEA}"/>
    <cellStyle name="Comma 10 6 7" xfId="516" xr:uid="{D4E14B77-9A21-498A-B8DD-EF6C85613129}"/>
    <cellStyle name="Comma 10 6 8" xfId="517" xr:uid="{E1EF985F-47A2-4327-9D17-ED91A7B4E469}"/>
    <cellStyle name="Comma 10 6 9" xfId="518" xr:uid="{B3EB464A-BDB6-4832-A37D-6B49E23D161A}"/>
    <cellStyle name="Comma 10 7" xfId="519" xr:uid="{C84A0D48-D814-4EAA-AEE6-0C9DB1841F52}"/>
    <cellStyle name="Comma 10 7 10" xfId="520" xr:uid="{1B147311-CC56-4301-8D28-8E62EE4270D1}"/>
    <cellStyle name="Comma 10 7 11" xfId="521" xr:uid="{0445B5FA-CF84-45C9-812B-0DD40099227E}"/>
    <cellStyle name="Comma 10 7 12" xfId="522" xr:uid="{5FA176FE-C854-4310-B1AF-013CEA688E8E}"/>
    <cellStyle name="Comma 10 7 13" xfId="523" xr:uid="{A3222861-B3B9-430A-815B-A6DC5D1C6FC1}"/>
    <cellStyle name="Comma 10 7 14" xfId="524" xr:uid="{871AFB75-7C34-4291-A50A-156EEB163390}"/>
    <cellStyle name="Comma 10 7 15" xfId="525" xr:uid="{99966982-3099-48FA-9C5C-D6D05A27F5CB}"/>
    <cellStyle name="Comma 10 7 16" xfId="526" xr:uid="{675F3E88-4A20-4A14-B79E-B3D7028717AB}"/>
    <cellStyle name="Comma 10 7 17" xfId="527" xr:uid="{5A58FFD6-3C01-4A57-ABC4-FD807E21D984}"/>
    <cellStyle name="Comma 10 7 2" xfId="528" xr:uid="{A5CEDC17-3803-4BC7-8FB2-60F697DEDAF6}"/>
    <cellStyle name="Comma 10 7 3" xfId="529" xr:uid="{3801C20C-6BEB-42E4-8D55-1AFA8A987727}"/>
    <cellStyle name="Comma 10 7 4" xfId="530" xr:uid="{C9FF900A-7299-4E4E-A67D-88C8341D3ECB}"/>
    <cellStyle name="Comma 10 7 5" xfId="531" xr:uid="{E07E298A-2C94-4551-87E9-47133429E340}"/>
    <cellStyle name="Comma 10 7 6" xfId="532" xr:uid="{EC8A84AA-544F-428A-AE07-C72677A713F3}"/>
    <cellStyle name="Comma 10 7 7" xfId="533" xr:uid="{4D06A793-5EE8-4674-B3F7-A23B1A99BBAA}"/>
    <cellStyle name="Comma 10 7 8" xfId="534" xr:uid="{5B9FA7B5-C813-4989-8417-2096B8E0D841}"/>
    <cellStyle name="Comma 10 7 9" xfId="535" xr:uid="{132F81CF-EF4A-41FC-B5AF-03C75A93CBD2}"/>
    <cellStyle name="Comma 10 8" xfId="536" xr:uid="{47DB7BB0-E6C5-406E-8DF3-D913CEF61689}"/>
    <cellStyle name="Comma 10 8 10" xfId="537" xr:uid="{A47AA513-61BC-4932-8213-AB80AD83A0C5}"/>
    <cellStyle name="Comma 10 8 11" xfId="538" xr:uid="{60ECDBD6-5296-4944-BE87-88F59FE9C7F2}"/>
    <cellStyle name="Comma 10 8 12" xfId="539" xr:uid="{9ED95E99-5896-4092-B973-DDA2A4ABD912}"/>
    <cellStyle name="Comma 10 8 13" xfId="540" xr:uid="{5B304128-A90F-4B3F-A05C-0A2987894E06}"/>
    <cellStyle name="Comma 10 8 14" xfId="541" xr:uid="{D91228C7-4137-41D7-A9DC-9EDCB333BFF8}"/>
    <cellStyle name="Comma 10 8 15" xfId="542" xr:uid="{C0700167-5FAA-4408-B46C-946EEE7200AE}"/>
    <cellStyle name="Comma 10 8 16" xfId="543" xr:uid="{D5A3CD1B-A42B-4F0C-ABF5-61F1F01FA17C}"/>
    <cellStyle name="Comma 10 8 17" xfId="544" xr:uid="{6D15EC6A-4E21-493E-9CF5-93480FCB8718}"/>
    <cellStyle name="Comma 10 8 2" xfId="545" xr:uid="{096E6B6F-35BB-40E1-8E98-D80906051035}"/>
    <cellStyle name="Comma 10 8 3" xfId="546" xr:uid="{A6F84871-59F4-45A5-BBC4-3204922871A8}"/>
    <cellStyle name="Comma 10 8 4" xfId="547" xr:uid="{09DB774A-ED2B-4468-8CD3-3E2DE8D1FCC9}"/>
    <cellStyle name="Comma 10 8 5" xfId="548" xr:uid="{7F0C0819-CD0C-4405-82C2-B640DE733873}"/>
    <cellStyle name="Comma 10 8 6" xfId="549" xr:uid="{AA0D416C-19A6-4C23-B110-24C6343E1FF4}"/>
    <cellStyle name="Comma 10 8 7" xfId="550" xr:uid="{88BE2F73-E400-416E-9F6C-A659922A4498}"/>
    <cellStyle name="Comma 10 8 8" xfId="551" xr:uid="{8097CBFB-7025-41F2-A6A8-5195FC852A1F}"/>
    <cellStyle name="Comma 10 8 9" xfId="552" xr:uid="{ADF47313-4EEB-493B-ACC2-3437B72E0367}"/>
    <cellStyle name="Comma 11" xfId="553" xr:uid="{6ED9277F-BCC7-4A98-9950-9A9AAFC0BB65}"/>
    <cellStyle name="Comma 12" xfId="554" xr:uid="{20291982-5470-4419-8C91-39BD97290E17}"/>
    <cellStyle name="Comma 13" xfId="555" xr:uid="{7B7B469D-149B-454B-B48A-5D949BD77C35}"/>
    <cellStyle name="Comma 14" xfId="556" xr:uid="{B41743E9-1E56-400A-8006-2D4A684636F3}"/>
    <cellStyle name="Comma 15" xfId="557" xr:uid="{7C4969F5-5321-471E-AD41-7290D0C548E6}"/>
    <cellStyle name="Comma 16" xfId="558" xr:uid="{DF266CD4-77EA-492D-B0C2-BABF85179EBC}"/>
    <cellStyle name="Comma 17" xfId="559" xr:uid="{252D2CEE-508B-4956-BD28-D57F91990CA3}"/>
    <cellStyle name="Comma 18" xfId="560" xr:uid="{56849552-EE1C-48CE-9524-F664EA973A32}"/>
    <cellStyle name="Comma 19" xfId="561" xr:uid="{B26C2ADC-EC02-4454-9ED2-7FF226137FDF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8" xfId="571" xr:uid="{E220744C-FEC4-4361-BA20-23B01900E887}"/>
    <cellStyle name="Comma 2 19" xfId="572" xr:uid="{4A8A1607-9003-4EA6-987D-E2FA4AAF12C0}"/>
    <cellStyle name="Comma 2 19 2" xfId="573" xr:uid="{AA79411B-CA8F-4194-9F4A-28EFE9D156E7}"/>
    <cellStyle name="Comma 2 19 3" xfId="574" xr:uid="{905A7EEE-F2B0-4368-9D8C-F7FDA40A6A65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4" xfId="578" xr:uid="{6FAC4DCD-0A25-4866-A24D-E31A4DC94ECB}"/>
    <cellStyle name="Comma 2 2 5" xfId="579" xr:uid="{DD03CFA0-B2B2-493C-89D5-A085586CE85F}"/>
    <cellStyle name="Comma 2 20" xfId="580" xr:uid="{F276E7BA-3636-4F64-A7A7-0E94D9E3B088}"/>
    <cellStyle name="Comma 2 21" xfId="581" xr:uid="{105F14C6-90DC-47E4-A8FD-40400B14CAD6}"/>
    <cellStyle name="Comma 2 3" xfId="582" xr:uid="{29F9D515-2DCF-4A8B-A787-9F7067EC5626}"/>
    <cellStyle name="Comma 2 3 2" xfId="583" xr:uid="{FB4ECDD0-B420-4702-BDB0-9E352928944E}"/>
    <cellStyle name="Comma 2 3 3" xfId="584" xr:uid="{784271BA-BD5A-445C-902B-5624008F128A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2" xfId="593" xr:uid="{5FAC27B3-C8FE-4168-AF27-ACADC521DF41}"/>
    <cellStyle name="Comma 3 3" xfId="594" xr:uid="{F96616C1-F318-4096-A6FF-36BD670B3752}"/>
    <cellStyle name="Comma 3 4" xfId="595" xr:uid="{8A05A387-8A4C-4A75-A1B8-EE6646BB7376}"/>
    <cellStyle name="Comma 3 5" xfId="596" xr:uid="{FF1F7B80-E8E0-4BC5-91E6-29BB41F191D1}"/>
    <cellStyle name="Comma 3 6" xfId="597" xr:uid="{9680860D-0AC4-49F7-AE4D-78BBE5C00956}"/>
    <cellStyle name="Comma 3 7" xfId="598" xr:uid="{6306D39D-E1A9-4475-8C22-AB853AFD14D8}"/>
    <cellStyle name="Comma 3 8" xfId="599" xr:uid="{57ED7A54-59EF-423D-AEC5-1E3BA35EAAA6}"/>
    <cellStyle name="Comma 3 9" xfId="600" xr:uid="{8735F7C5-F78C-4F27-8F0C-52F08FF39F82}"/>
    <cellStyle name="Comma 4" xfId="601" xr:uid="{666EA9D4-D283-429B-9972-1AF34CCB33D2}"/>
    <cellStyle name="Comma 4 2" xfId="602" xr:uid="{10483DF6-CD32-4ED0-8AA5-780EEFB60249}"/>
    <cellStyle name="Comma 4 3" xfId="603" xr:uid="{EEC669A4-B0AA-4FB6-8C03-B65A731EDC83}"/>
    <cellStyle name="Comma 4 4" xfId="604" xr:uid="{D3E40562-3486-4378-A09F-2E3C5E135CD2}"/>
    <cellStyle name="Comma 4 5" xfId="605" xr:uid="{F57AEBE4-4526-496E-87D8-8202C753369E}"/>
    <cellStyle name="Comma 4 6" xfId="606" xr:uid="{AE69E325-89E3-41AD-B763-9E79A4898F22}"/>
    <cellStyle name="Comma 4 7" xfId="607" xr:uid="{62701780-9F0B-4E6B-AE51-0E0D2412F5C5}"/>
    <cellStyle name="Comma 4 8" xfId="608" xr:uid="{4CB912CB-2AA9-4F05-9D9B-5A5079B2C25F}"/>
    <cellStyle name="Comma 4 9" xfId="609" xr:uid="{0AD6F7A0-7063-4F73-B076-9B9A51396E07}"/>
    <cellStyle name="Comma 5" xfId="610" xr:uid="{91E8D148-3BCC-4CCF-9736-F7A80A1B8A1A}"/>
    <cellStyle name="Comma 5 2" xfId="611" xr:uid="{9B12E61B-9B1B-43BF-9C33-C1D6B3ACB9D0}"/>
    <cellStyle name="Comma 5 3" xfId="612" xr:uid="{9D34FEE0-DD43-4B89-8C29-33ADA356C933}"/>
    <cellStyle name="Comma 5 4" xfId="613" xr:uid="{77B6F1E2-FF9C-4FEA-B01C-E190725643E2}"/>
    <cellStyle name="Comma 5 5" xfId="614" xr:uid="{AB6FC711-D840-449B-884E-CE17DF7A5892}"/>
    <cellStyle name="Comma 5 6" xfId="615" xr:uid="{FAD05973-B586-441F-8EA4-DFBF3124F2F1}"/>
    <cellStyle name="Comma 5 7" xfId="616" xr:uid="{54BD4258-6A73-4A71-BA28-520B9DA62026}"/>
    <cellStyle name="Comma 5 8" xfId="617" xr:uid="{618E9AE7-FB4F-4D66-BB74-10B9ABBDF81D}"/>
    <cellStyle name="Comma 6" xfId="618" xr:uid="{3100EA3B-12EE-4D41-94A0-CD3BFECE7C2D}"/>
    <cellStyle name="Comma 6 2" xfId="619" xr:uid="{6008823A-6A05-4BE2-9AB1-2ACCF0B200BF}"/>
    <cellStyle name="Comma 6 3" xfId="620" xr:uid="{739CCFF1-AEC8-4C20-A82B-E888B0C3327E}"/>
    <cellStyle name="Comma 6 4" xfId="621" xr:uid="{6ECC49F5-6C67-41F9-AAA2-3C6B43421EA0}"/>
    <cellStyle name="Comma 6 5" xfId="622" xr:uid="{91D105CA-B1BA-4E56-AECB-01F32114C9A3}"/>
    <cellStyle name="Comma 6 6" xfId="623" xr:uid="{07D14574-438D-4E84-8B1F-AAAD56F44823}"/>
    <cellStyle name="Comma 6 7" xfId="624" xr:uid="{DB04328A-7A68-4101-9694-1CEEC051CB0C}"/>
    <cellStyle name="Comma 6 8" xfId="625" xr:uid="{CC367ED2-08DC-4BF3-9304-684617D67631}"/>
    <cellStyle name="Comma 7" xfId="626" xr:uid="{320B562B-1DA9-4E2C-99CB-0F603F45105F}"/>
    <cellStyle name="Comma 7 10" xfId="627" xr:uid="{F4F0E5D0-FC7A-45E8-8CB2-590130A3F825}"/>
    <cellStyle name="Comma 7 11" xfId="628" xr:uid="{7C89DA23-7816-41B9-A44B-DF274C7A6FDC}"/>
    <cellStyle name="Comma 7 12" xfId="629" xr:uid="{A8988E15-C663-4014-8382-0F59A05E585A}"/>
    <cellStyle name="Comma 7 13" xfId="630" xr:uid="{61DB1C80-C38D-47E4-A859-D993D429DFAC}"/>
    <cellStyle name="Comma 7 14" xfId="631" xr:uid="{F0946BEC-713C-4CE6-BD40-FD4880E903F7}"/>
    <cellStyle name="Comma 7 15" xfId="632" xr:uid="{816B57A7-809B-4179-BB01-73A197F2AB3E}"/>
    <cellStyle name="Comma 7 16" xfId="633" xr:uid="{2AFEA77C-8FF3-4235-9412-FA37FDC94DFE}"/>
    <cellStyle name="Comma 7 17" xfId="634" xr:uid="{08029A13-BEAD-46CF-BCBF-D492593D323B}"/>
    <cellStyle name="Comma 7 18" xfId="635" xr:uid="{C4490ABF-0F18-4800-BC9E-F665195DCA51}"/>
    <cellStyle name="Comma 7 19" xfId="636" xr:uid="{D546E899-420B-4F21-99F5-E5DDB8B041FE}"/>
    <cellStyle name="Comma 7 2" xfId="637" xr:uid="{B3627C25-2441-4CF1-B4D4-456EB8E56CE1}"/>
    <cellStyle name="Comma 7 20" xfId="638" xr:uid="{783A5BA3-67BB-4476-BD48-AE4FD8A8F924}"/>
    <cellStyle name="Comma 7 21" xfId="639" xr:uid="{0596DA76-A6D5-4908-AE2A-A86D868F6241}"/>
    <cellStyle name="Comma 7 3" xfId="640" xr:uid="{94B28D04-0799-4F43-9231-44F2F443610B}"/>
    <cellStyle name="Comma 7 3 10" xfId="641" xr:uid="{AF3C24FE-0A88-443C-9F72-43B8E520F78A}"/>
    <cellStyle name="Comma 7 3 11" xfId="642" xr:uid="{67025770-A3C7-4A76-BA4B-DF65EA1ABF45}"/>
    <cellStyle name="Comma 7 3 12" xfId="643" xr:uid="{12D47653-899B-438E-8C5E-ED711EECBD09}"/>
    <cellStyle name="Comma 7 3 13" xfId="644" xr:uid="{92E52E42-DB84-440D-91B3-783476CB5D8E}"/>
    <cellStyle name="Comma 7 3 14" xfId="645" xr:uid="{425A52B9-9755-4253-B823-8F5A173712B9}"/>
    <cellStyle name="Comma 7 3 15" xfId="646" xr:uid="{BB8907DD-ED6C-4EB2-AD61-0222490D6D0C}"/>
    <cellStyle name="Comma 7 3 2" xfId="647" xr:uid="{85037995-B299-4E27-90B6-668007B5B20E}"/>
    <cellStyle name="Comma 7 3 3" xfId="648" xr:uid="{ABD1E40A-C6CD-4232-8A0C-67FD92601224}"/>
    <cellStyle name="Comma 7 3 4" xfId="649" xr:uid="{53DEEBAD-B467-4FF0-AE20-D0EFEC062D25}"/>
    <cellStyle name="Comma 7 3 5" xfId="650" xr:uid="{23691EB2-F3C7-4F3C-AF31-41B45786FF5C}"/>
    <cellStyle name="Comma 7 3 6" xfId="651" xr:uid="{2F0BC24B-0D3A-4A3A-BDB2-63C3D7E4E16B}"/>
    <cellStyle name="Comma 7 3 7" xfId="652" xr:uid="{3440FC10-FBC4-49E3-8097-847A09171A82}"/>
    <cellStyle name="Comma 7 3 8" xfId="653" xr:uid="{BB8B34A3-0EC0-4251-B9D3-E5C113CB5BF5}"/>
    <cellStyle name="Comma 7 3 9" xfId="654" xr:uid="{A9F95220-1FF8-4A0F-A943-22D402FB0EB4}"/>
    <cellStyle name="Comma 7 4" xfId="655" xr:uid="{E8E02416-254C-4A7D-BE2E-7732A7155EEA}"/>
    <cellStyle name="Comma 7 5" xfId="656" xr:uid="{528801A7-4324-4473-A78E-211B06744175}"/>
    <cellStyle name="Comma 7 6" xfId="657" xr:uid="{D9BEF22F-B3AD-4771-A34F-AF92D03A7136}"/>
    <cellStyle name="Comma 7 7" xfId="658" xr:uid="{FA3E466E-744F-4718-93B2-4C2BBF18B24B}"/>
    <cellStyle name="Comma 7 8" xfId="659" xr:uid="{CB36A185-E6B7-4E90-A181-87659FBD6E85}"/>
    <cellStyle name="Comma 7 9" xfId="660" xr:uid="{CF26CE83-D197-4359-AF80-C569183E0C05}"/>
    <cellStyle name="Comma 8" xfId="661" xr:uid="{8970B9F4-F7F5-4049-93B4-24A268A0D706}"/>
    <cellStyle name="Comma 8 2" xfId="662" xr:uid="{04DE7D1D-D45B-4FDA-AF30-7AE0E78D22FF}"/>
    <cellStyle name="Comma 8 3" xfId="663" xr:uid="{6863CE0C-1DB2-42C7-B2D4-5D1EF4B1B8B4}"/>
    <cellStyle name="Comma 8 4" xfId="664" xr:uid="{1DC1653F-72CC-4954-BF90-2F58EA6E5B01}"/>
    <cellStyle name="Comma 8 5" xfId="665" xr:uid="{0E6AEFF3-4C0F-412F-A614-07C03B783CC4}"/>
    <cellStyle name="Comma 8 6" xfId="666" xr:uid="{D1AB91A6-9D99-489A-B5D6-92ED720ED255}"/>
    <cellStyle name="Comma 8 7" xfId="667" xr:uid="{3DE6C0A7-1E52-4E4F-BEEB-FDCDCF1F61DA}"/>
    <cellStyle name="Comma 8 8" xfId="668" xr:uid="{71C3166F-9739-44FD-AB6A-F3ED53C019C7}"/>
    <cellStyle name="Comma 9" xfId="669" xr:uid="{08D28D30-81E7-4AE6-A651-08D519D74478}"/>
    <cellStyle name="Comma 9 2" xfId="670" xr:uid="{182754A9-DB54-4DEC-9E4C-2979A5B06EC6}"/>
    <cellStyle name="Comma 9 3" xfId="671" xr:uid="{23E77985-90FD-41F3-942E-BE4D865241F3}"/>
    <cellStyle name="Comma 9 4" xfId="672" xr:uid="{B49F4E46-6F34-4E0B-9F2A-D7C042059602}"/>
    <cellStyle name="Comma 9 5" xfId="673" xr:uid="{EC4CB72B-ED1D-421F-A743-3AE8EC9437C9}"/>
    <cellStyle name="Comma 9 6" xfId="674" xr:uid="{1E83BC5B-0519-41AA-917F-E130CE8215B1}"/>
    <cellStyle name="Comma 9 7" xfId="675" xr:uid="{ADEF4189-802E-4D97-950C-995745272A68}"/>
    <cellStyle name="Comma 9 8" xfId="676" xr:uid="{819BF3DD-33AF-47CA-9891-02E3BB06066B}"/>
    <cellStyle name="Comma 9 9" xfId="677" xr:uid="{9B07FB7B-8DCB-4437-8630-0DD701359CB0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27" sqref="B27"/>
    </sheetView>
  </sheetViews>
  <sheetFormatPr defaultColWidth="8.88671875" defaultRowHeight="14.4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33203125" customWidth="1"/>
    <col min="15" max="15" width="13.3320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88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89</v>
      </c>
      <c r="B19" s="41" t="s">
        <v>102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90</v>
      </c>
      <c r="B20" s="41" t="s">
        <v>100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91</v>
      </c>
      <c r="B21" s="28" t="s">
        <v>106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92</v>
      </c>
      <c r="B23" s="41" t="s">
        <v>101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93</v>
      </c>
      <c r="B26" s="41" t="s">
        <v>120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94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95</v>
      </c>
      <c r="B30" s="43" t="s">
        <v>96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97</v>
      </c>
      <c r="B31" s="41" t="s">
        <v>98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99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332031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332031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workbookViewId="0">
      <selection activeCell="C7" sqref="C7"/>
    </sheetView>
  </sheetViews>
  <sheetFormatPr defaultColWidth="9.109375" defaultRowHeight="14.4"/>
  <cols>
    <col min="2" max="2" width="14" bestFit="1" customWidth="1"/>
    <col min="3" max="3" width="30.109375" bestFit="1" customWidth="1"/>
    <col min="4" max="4" width="28" bestFit="1" customWidth="1"/>
    <col min="5" max="5" width="26" bestFit="1" customWidth="1"/>
    <col min="6" max="6" width="28" bestFit="1" customWidth="1"/>
    <col min="13" max="13" width="10.554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UC_CB_400_Mt_2021-2100</v>
      </c>
      <c r="D4" t="str">
        <f t="shared" ref="D4:E4" si="0" xml:space="preserve"> _xlfn.TEXTJOIN("_",TRUE,"UC","CB",ROUND(D7,0),"Mt",D6)</f>
        <v>UC_CB_274_Mt_2021-2030</v>
      </c>
      <c r="E4" t="str">
        <f t="shared" si="0"/>
        <v>UC_CB_126_Mt_2031-2050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66</v>
      </c>
      <c r="C5" t="str">
        <f xml:space="preserve"> _xlfn.TEXTJOIN(" ",TRUE,"Carbon budget",ROUND(C7,0),"Mt",C6)</f>
        <v>Carbon budget 400 Mt 2021-2100</v>
      </c>
      <c r="D5" t="str">
        <f t="shared" ref="D5:F5" si="2" xml:space="preserve"> _xlfn.TEXTJOIN(" ",TRUE,"Carbon budget",ROUND(D7,0),"Mt",D6)</f>
        <v>Carbon budget 274 Mt 2021-2030</v>
      </c>
      <c r="E5" t="str">
        <f t="shared" si="2"/>
        <v>Carbon budget 126 Mt 2031-2050</v>
      </c>
      <c r="F5" t="str">
        <f t="shared" si="2"/>
        <v>Carbon budget 0 Mt 2051-2100</v>
      </c>
    </row>
    <row r="6" spans="2:6">
      <c r="B6" t="s">
        <v>72</v>
      </c>
      <c r="C6" t="s">
        <v>119</v>
      </c>
      <c r="D6" t="s">
        <v>118</v>
      </c>
      <c r="E6" t="s">
        <v>105</v>
      </c>
      <c r="F6" t="s">
        <v>81</v>
      </c>
    </row>
    <row r="7" spans="2:6">
      <c r="B7" t="s">
        <v>67</v>
      </c>
      <c r="C7" s="17">
        <f>D19</f>
        <v>400</v>
      </c>
      <c r="D7" s="17">
        <f>D24+E24</f>
        <v>274.2</v>
      </c>
      <c r="E7" s="17">
        <f t="shared" ref="E7" si="3">F24</f>
        <v>125.80000000000001</v>
      </c>
      <c r="F7">
        <v>0</v>
      </c>
    </row>
    <row r="8" spans="2:6">
      <c r="B8" t="s">
        <v>79</v>
      </c>
      <c r="C8" t="s">
        <v>80</v>
      </c>
      <c r="D8" t="s">
        <v>80</v>
      </c>
      <c r="E8" t="s">
        <v>80</v>
      </c>
      <c r="F8" t="s">
        <v>80</v>
      </c>
    </row>
    <row r="9" spans="2:6">
      <c r="B9" t="s">
        <v>62</v>
      </c>
      <c r="C9" t="s">
        <v>111</v>
      </c>
      <c r="D9" t="s">
        <v>111</v>
      </c>
      <c r="E9" t="s">
        <v>111</v>
      </c>
      <c r="F9" t="s">
        <v>111</v>
      </c>
    </row>
    <row r="10" spans="2:6">
      <c r="B10" t="s">
        <v>71</v>
      </c>
      <c r="C10" t="s">
        <v>77</v>
      </c>
      <c r="D10" t="s">
        <v>77</v>
      </c>
      <c r="E10" t="s">
        <v>77</v>
      </c>
      <c r="F10" t="s">
        <v>77</v>
      </c>
    </row>
    <row r="11" spans="2:6">
      <c r="B11" t="s">
        <v>75</v>
      </c>
      <c r="C11" t="s">
        <v>76</v>
      </c>
      <c r="D11" t="s">
        <v>76</v>
      </c>
      <c r="E11" t="s">
        <v>76</v>
      </c>
      <c r="F11" t="s">
        <v>76</v>
      </c>
    </row>
    <row r="12" spans="2:6">
      <c r="B12" t="s">
        <v>0</v>
      </c>
      <c r="C12" t="s">
        <v>68</v>
      </c>
      <c r="D12" t="s">
        <v>68</v>
      </c>
      <c r="E12" t="s">
        <v>68</v>
      </c>
      <c r="F12" t="s">
        <v>68</v>
      </c>
    </row>
    <row r="13" spans="2:6">
      <c r="B13" t="s">
        <v>78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74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108</v>
      </c>
      <c r="D19" s="35">
        <v>400</v>
      </c>
    </row>
    <row r="22" spans="3:7">
      <c r="C22" s="33" t="s">
        <v>107</v>
      </c>
    </row>
    <row r="23" spans="3:7">
      <c r="C23" t="s">
        <v>72</v>
      </c>
      <c r="D23" s="34" t="s">
        <v>103</v>
      </c>
      <c r="E23" s="34" t="s">
        <v>104</v>
      </c>
      <c r="F23" s="34" t="s">
        <v>105</v>
      </c>
      <c r="G23" s="34" t="s">
        <v>81</v>
      </c>
    </row>
    <row r="24" spans="3:7">
      <c r="C24" t="s">
        <v>67</v>
      </c>
      <c r="D24" s="34">
        <f>40+54+29+7+30+5.2</f>
        <v>165.2</v>
      </c>
      <c r="E24" s="34">
        <f>20+37+23+5+24</f>
        <v>109</v>
      </c>
      <c r="F24" s="34">
        <f>D19-D24-E24</f>
        <v>125.80000000000001</v>
      </c>
      <c r="G24" s="34">
        <v>0</v>
      </c>
    </row>
    <row r="26" spans="3:7">
      <c r="C26" t="s">
        <v>109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7"/>
  <sheetViews>
    <sheetView tabSelected="1" workbookViewId="0">
      <selection activeCell="G20" sqref="G20"/>
    </sheetView>
  </sheetViews>
  <sheetFormatPr defaultColWidth="9.109375" defaultRowHeight="14.4"/>
  <cols>
    <col min="2" max="2" width="28.5546875" bestFit="1" customWidth="1"/>
    <col min="3" max="3" width="12" bestFit="1" customWidth="1"/>
    <col min="4" max="4" width="8.33203125" bestFit="1" customWidth="1"/>
    <col min="5" max="5" width="14.33203125" bestFit="1" customWidth="1"/>
    <col min="6" max="6" width="10.6640625" customWidth="1"/>
    <col min="7" max="7" width="13.33203125" bestFit="1" customWidth="1"/>
    <col min="8" max="8" width="8.33203125" bestFit="1" customWidth="1"/>
    <col min="9" max="9" width="12.5546875" bestFit="1" customWidth="1"/>
    <col min="10" max="10" width="12.109375" bestFit="1" customWidth="1"/>
    <col min="11" max="11" width="9.33203125" bestFit="1" customWidth="1"/>
    <col min="12" max="12" width="34.33203125" bestFit="1" customWidth="1"/>
  </cols>
  <sheetData>
    <row r="1" spans="1:12">
      <c r="A1" t="s">
        <v>64</v>
      </c>
    </row>
    <row r="2" spans="1:12">
      <c r="B2" s="9" t="str">
        <f>"~UC_Sets: R_S:"</f>
        <v>~UC_Sets: R_S:</v>
      </c>
    </row>
    <row r="3" spans="1:12">
      <c r="B3" s="9" t="s">
        <v>73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71</v>
      </c>
      <c r="E5" s="11" t="s">
        <v>79</v>
      </c>
      <c r="F5" s="11" t="s">
        <v>72</v>
      </c>
      <c r="G5" s="11" t="s">
        <v>75</v>
      </c>
      <c r="H5" s="11" t="s">
        <v>0</v>
      </c>
      <c r="I5" s="12" t="s">
        <v>74</v>
      </c>
      <c r="J5" s="12" t="s">
        <v>78</v>
      </c>
      <c r="K5" s="8" t="s">
        <v>65</v>
      </c>
      <c r="L5" s="10" t="s">
        <v>63</v>
      </c>
    </row>
    <row r="6" spans="1:12">
      <c r="B6" s="7" t="s">
        <v>69</v>
      </c>
      <c r="C6" s="7"/>
      <c r="D6" s="7"/>
      <c r="E6" s="7"/>
      <c r="F6" s="7"/>
      <c r="G6" s="7"/>
      <c r="H6" s="7"/>
      <c r="I6" s="7"/>
      <c r="J6" s="7"/>
      <c r="K6" s="7" t="s">
        <v>70</v>
      </c>
      <c r="L6" s="13"/>
    </row>
    <row r="7" spans="1:12">
      <c r="B7" t="str">
        <f>VLOOKUP($B$5, config!$B$4:$F$14,2,FALSE) &amp; "_Single"</f>
        <v>UC_CB_400_Mt_2021-2100_Single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2021-2100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400000</v>
      </c>
      <c r="L7" t="str">
        <f>VLOOKUP($L$5, config!$B$4:$F$14,2,FALSE) &amp; " - Single"</f>
        <v>Carbon budget 400 Mt 2021-2100 - Single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G20" sqref="G20"/>
    </sheetView>
  </sheetViews>
  <sheetFormatPr defaultRowHeight="14.4"/>
  <cols>
    <col min="2" max="2" width="10.109375" bestFit="1" customWidth="1"/>
    <col min="4" max="4" width="13.6640625" bestFit="1" customWidth="1"/>
    <col min="5" max="5" width="5.109375" bestFit="1" customWidth="1"/>
    <col min="6" max="6" width="10.109375" bestFit="1" customWidth="1"/>
  </cols>
  <sheetData>
    <row r="2" spans="2:9">
      <c r="B2" s="14" t="s">
        <v>116</v>
      </c>
    </row>
    <row r="3" spans="2:9" ht="15" thickBot="1">
      <c r="B3" s="15" t="s">
        <v>83</v>
      </c>
      <c r="C3" s="15" t="s">
        <v>0</v>
      </c>
      <c r="D3" s="15" t="s">
        <v>84</v>
      </c>
      <c r="E3" s="15" t="s">
        <v>72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85</v>
      </c>
      <c r="D4" t="s">
        <v>86</v>
      </c>
      <c r="E4">
        <v>0</v>
      </c>
      <c r="F4" t="s">
        <v>87</v>
      </c>
      <c r="G4" s="17">
        <v>-1</v>
      </c>
      <c r="H4" s="17">
        <f>G4</f>
        <v>-1</v>
      </c>
    </row>
    <row r="7" spans="2:9">
      <c r="B7" s="38" t="s">
        <v>82</v>
      </c>
      <c r="D7" s="36"/>
      <c r="E7" s="36"/>
      <c r="F7" s="36"/>
      <c r="G7" s="36"/>
      <c r="H7" s="36"/>
      <c r="I7" s="36"/>
    </row>
    <row r="8" spans="2:9" ht="15" thickBot="1">
      <c r="B8" s="39" t="s">
        <v>83</v>
      </c>
      <c r="C8" s="39" t="s">
        <v>0</v>
      </c>
      <c r="D8" s="39" t="s">
        <v>84</v>
      </c>
      <c r="E8" s="39" t="s">
        <v>72</v>
      </c>
      <c r="F8" s="39" t="s">
        <v>112</v>
      </c>
      <c r="G8" s="39" t="s">
        <v>113</v>
      </c>
      <c r="H8" s="39" t="s">
        <v>79</v>
      </c>
      <c r="I8" s="39" t="s">
        <v>62</v>
      </c>
    </row>
    <row r="9" spans="2:9">
      <c r="C9" s="36" t="s">
        <v>114</v>
      </c>
      <c r="D9" s="36" t="s">
        <v>86</v>
      </c>
      <c r="E9" s="36">
        <v>0</v>
      </c>
      <c r="F9" s="36">
        <v>3</v>
      </c>
      <c r="G9" s="36"/>
      <c r="H9" s="36"/>
      <c r="I9" s="37" t="s">
        <v>115</v>
      </c>
    </row>
    <row r="10" spans="2:9">
      <c r="C10" s="36" t="s">
        <v>114</v>
      </c>
      <c r="D10" s="36" t="s">
        <v>86</v>
      </c>
      <c r="E10" s="36"/>
      <c r="F10" s="40">
        <v>-9999999</v>
      </c>
      <c r="G10" s="36"/>
      <c r="H10" s="36"/>
      <c r="I10" s="37" t="s">
        <v>115</v>
      </c>
    </row>
    <row r="11" spans="2:9">
      <c r="B11" t="s">
        <v>110</v>
      </c>
      <c r="C11" s="36" t="s">
        <v>114</v>
      </c>
      <c r="D11" s="36" t="s">
        <v>117</v>
      </c>
      <c r="E11" s="36">
        <v>0</v>
      </c>
      <c r="F11" s="36">
        <v>3</v>
      </c>
      <c r="G11" s="36"/>
      <c r="H11" s="36"/>
      <c r="I11" s="37" t="s">
        <v>115</v>
      </c>
    </row>
    <row r="12" spans="2:9">
      <c r="C12" s="36" t="s">
        <v>114</v>
      </c>
      <c r="D12" s="36" t="s">
        <v>117</v>
      </c>
      <c r="E12" s="36"/>
      <c r="F12" s="40">
        <v>-9999999</v>
      </c>
      <c r="G12" s="36"/>
      <c r="H12" s="36"/>
      <c r="I12" s="3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Regions</vt:lpstr>
      <vt:lpstr>config</vt:lpstr>
      <vt:lpstr>single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2025-02-10T22:17:48Z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