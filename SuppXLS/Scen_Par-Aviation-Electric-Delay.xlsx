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_models\TIM 2100\SuppXLS\"/>
    </mc:Choice>
  </mc:AlternateContent>
  <xr:revisionPtr revIDLastSave="0" documentId="13_ncr:1_{D4C47508-AE6F-4653-9000-7C564D3062B6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Cover" sheetId="24" r:id="rId1"/>
    <sheet name="Regions" sheetId="15" r:id="rId2"/>
    <sheet name="START year" sheetId="25" r:id="rId3"/>
  </sheets>
  <definedNames>
    <definedName name="__123Graph_AEUMILKPN" localSheetId="0" hidden="1">#REF!</definedName>
    <definedName name="__123Graph_AEUMILKPN" hidden="1">#REF!</definedName>
    <definedName name="_AtRisk_SimSetting_AutomaticallyGenerateReports" hidden="1">FALSE</definedName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_Regression_Y" localSheetId="0" hidden="1">#REF!</definedName>
    <definedName name="_Regression_Y" hidden="1">#REF!</definedName>
    <definedName name="aa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2030000</definedName>
    <definedName name="RiskHasSettings" hidden="1">5</definedName>
    <definedName name="RiskMinimizeOnStart" hidden="1">FALSE</definedName>
    <definedName name="RiskMonitorConvergence" hidden="1">FALSE</definedName>
    <definedName name="RiskNumIterations" hidden="1">10000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TRUE</definedName>
    <definedName name="RiskUseMultipleCPUs" hidden="1">FALSE</definedName>
    <definedName name="table6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0" i="25" l="1"/>
  <c r="F19" i="25"/>
  <c r="H20" i="25"/>
  <c r="H19" i="25"/>
  <c r="AD5" i="15" l="1"/>
  <c r="AC5" i="15"/>
  <c r="AB5" i="15"/>
  <c r="AA5" i="15"/>
  <c r="Z5" i="15"/>
  <c r="Y5" i="15"/>
  <c r="Y7" i="15"/>
  <c r="X5" i="15"/>
  <c r="W5" i="15"/>
  <c r="V5" i="15"/>
  <c r="U5" i="15"/>
  <c r="T5" i="15"/>
  <c r="S5" i="15"/>
  <c r="R5" i="15"/>
  <c r="Q5" i="15"/>
  <c r="Q7" i="15"/>
  <c r="P5" i="15"/>
  <c r="O5" i="15"/>
  <c r="N5" i="15"/>
  <c r="M5" i="15"/>
  <c r="L5" i="15"/>
  <c r="K5" i="15"/>
  <c r="J5" i="15"/>
  <c r="I5" i="15"/>
  <c r="I7" i="15"/>
  <c r="H5" i="15"/>
  <c r="G5" i="15"/>
  <c r="F5" i="15"/>
  <c r="E5" i="15"/>
  <c r="D7" i="15"/>
  <c r="C7" i="15"/>
  <c r="D6" i="15"/>
  <c r="C6" i="15"/>
  <c r="AD7" i="15"/>
  <c r="AC7" i="15"/>
  <c r="AB7" i="15"/>
  <c r="AA7" i="15"/>
  <c r="Z6" i="15"/>
  <c r="X6" i="15"/>
  <c r="W3" i="15" a="1"/>
  <c r="W3" i="15"/>
  <c r="V7" i="15"/>
  <c r="U7" i="15"/>
  <c r="T7" i="15"/>
  <c r="S7" i="15"/>
  <c r="R6" i="15"/>
  <c r="P6" i="15"/>
  <c r="O3" i="15" a="1"/>
  <c r="O3" i="15"/>
  <c r="N7" i="15"/>
  <c r="M7" i="15"/>
  <c r="L7" i="15"/>
  <c r="K7" i="15"/>
  <c r="J6" i="15"/>
  <c r="H6" i="15"/>
  <c r="G3" i="15" a="1"/>
  <c r="G3" i="15"/>
  <c r="F7" i="15"/>
  <c r="E7" i="15"/>
  <c r="AD3" i="15" a="1"/>
  <c r="AD3" i="15"/>
  <c r="AB3" i="15" a="1"/>
  <c r="AB3" i="15"/>
  <c r="AA3" i="15" a="1"/>
  <c r="AA3" i="15"/>
  <c r="X3" i="15" a="1"/>
  <c r="X3" i="15"/>
  <c r="V3" i="15" a="1"/>
  <c r="V3" i="15"/>
  <c r="Q3" i="15" a="1"/>
  <c r="Q3" i="15"/>
  <c r="P3" i="15" a="1"/>
  <c r="P3" i="15"/>
  <c r="H3" i="15" a="1"/>
  <c r="H3" i="15"/>
  <c r="D3" i="15" a="1"/>
  <c r="D3" i="15"/>
  <c r="C3" i="15" a="1"/>
  <c r="C3" i="15"/>
  <c r="I3" i="15" a="1"/>
  <c r="I3" i="15"/>
  <c r="Y3" i="15" a="1"/>
  <c r="Y3" i="15"/>
  <c r="J3" i="15" a="1"/>
  <c r="J3" i="15"/>
  <c r="K3" i="15" a="1"/>
  <c r="K3" i="15"/>
  <c r="T3" i="15" a="1"/>
  <c r="T3" i="15"/>
  <c r="E3" i="15" a="1"/>
  <c r="E3" i="15"/>
  <c r="N3" i="15" a="1"/>
  <c r="N3" i="15"/>
  <c r="R3" i="15" a="1"/>
  <c r="R3" i="15"/>
  <c r="S3" i="15" a="1"/>
  <c r="S3" i="15"/>
  <c r="F3" i="15" a="1"/>
  <c r="F3" i="15"/>
  <c r="Z3" i="15" a="1"/>
  <c r="Z3" i="15"/>
  <c r="I6" i="15"/>
  <c r="K6" i="15"/>
  <c r="Q6" i="15"/>
  <c r="S6" i="15"/>
  <c r="Y6" i="15"/>
  <c r="AA6" i="15"/>
  <c r="L3" i="15" a="1"/>
  <c r="L3" i="15"/>
  <c r="M3" i="15" a="1"/>
  <c r="M3" i="15"/>
  <c r="G7" i="15"/>
  <c r="O7" i="15"/>
  <c r="W7" i="15"/>
  <c r="L6" i="15"/>
  <c r="T6" i="15"/>
  <c r="AB6" i="15"/>
  <c r="H7" i="15"/>
  <c r="P7" i="15"/>
  <c r="X7" i="15"/>
  <c r="AC3" i="15" a="1"/>
  <c r="AC3" i="15"/>
  <c r="E6" i="15"/>
  <c r="M6" i="15"/>
  <c r="U6" i="15"/>
  <c r="AC6" i="15"/>
  <c r="U3" i="15" a="1"/>
  <c r="U3" i="15"/>
  <c r="F6" i="15"/>
  <c r="N6" i="15"/>
  <c r="V6" i="15"/>
  <c r="AD6" i="15"/>
  <c r="J7" i="15"/>
  <c r="R7" i="15"/>
  <c r="Z7" i="15"/>
  <c r="G6" i="15"/>
  <c r="O6" i="15"/>
  <c r="W6" i="1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<sst xmlns="http://schemas.openxmlformats.org/spreadsheetml/2006/main" count="115" uniqueCount="110">
  <si>
    <t>LimType</t>
  </si>
  <si>
    <t>Wicklow</t>
  </si>
  <si>
    <t>Wexford</t>
  </si>
  <si>
    <t>Westmeath</t>
  </si>
  <si>
    <t>Waterford</t>
  </si>
  <si>
    <t>Tipperary</t>
  </si>
  <si>
    <t>Sligo</t>
  </si>
  <si>
    <t>Roscommon</t>
  </si>
  <si>
    <t>Offaly</t>
  </si>
  <si>
    <t>Monaghan</t>
  </si>
  <si>
    <t>Meath</t>
  </si>
  <si>
    <t>Mayo</t>
  </si>
  <si>
    <t>Louth</t>
  </si>
  <si>
    <t>Longford</t>
  </si>
  <si>
    <t>Limerick</t>
  </si>
  <si>
    <t>Leitrim</t>
  </si>
  <si>
    <t>Laois</t>
  </si>
  <si>
    <t>Kilkenny</t>
  </si>
  <si>
    <t>Kildare</t>
  </si>
  <si>
    <t>Kerry</t>
  </si>
  <si>
    <t>Galway</t>
  </si>
  <si>
    <t>Dublin</t>
  </si>
  <si>
    <t>Donegal</t>
  </si>
  <si>
    <t>Cork</t>
  </si>
  <si>
    <t>Clare</t>
  </si>
  <si>
    <t>Cavan</t>
  </si>
  <si>
    <t>Carlow</t>
  </si>
  <si>
    <t>Development</t>
  </si>
  <si>
    <t>IE</t>
  </si>
  <si>
    <t>National</t>
  </si>
  <si>
    <t>Single-region</t>
  </si>
  <si>
    <t>Multi-region</t>
  </si>
  <si>
    <t>Code</t>
  </si>
  <si>
    <t>County name</t>
  </si>
  <si>
    <t>IE-CW</t>
  </si>
  <si>
    <t>IE-CN</t>
  </si>
  <si>
    <t>IE-CE</t>
  </si>
  <si>
    <t>IE-CO</t>
  </si>
  <si>
    <t>IE-DL</t>
  </si>
  <si>
    <t>IE-D</t>
  </si>
  <si>
    <t>IE-G</t>
  </si>
  <si>
    <t>IE-KY</t>
  </si>
  <si>
    <t>IE-KE</t>
  </si>
  <si>
    <t>IE-KK</t>
  </si>
  <si>
    <t>IE-LS</t>
  </si>
  <si>
    <t>IE-LM</t>
  </si>
  <si>
    <t>IE-LK</t>
  </si>
  <si>
    <t>IE-LD</t>
  </si>
  <si>
    <t>IE-LH</t>
  </si>
  <si>
    <t>IE-MO</t>
  </si>
  <si>
    <t>IE-MH</t>
  </si>
  <si>
    <t>IE-MN</t>
  </si>
  <si>
    <t>IE-OY</t>
  </si>
  <si>
    <t>IE-RN</t>
  </si>
  <si>
    <t>IE-SO</t>
  </si>
  <si>
    <t>IE-TA</t>
  </si>
  <si>
    <t>IE-WD</t>
  </si>
  <si>
    <t>IE-WH</t>
  </si>
  <si>
    <t>IE-WX</t>
  </si>
  <si>
    <t>IE-WW</t>
  </si>
  <si>
    <r>
      <rPr>
        <b/>
        <sz val="11"/>
        <color theme="1"/>
        <rFont val="Calibri"/>
        <family val="2"/>
        <scheme val="minor"/>
      </rPr>
      <t xml:space="preserve">Source: </t>
    </r>
    <r>
      <rPr>
        <sz val="11"/>
        <color theme="1"/>
        <rFont val="Calibri"/>
        <family val="2"/>
        <scheme val="minor"/>
      </rPr>
      <t>https://en.wikipedia.org/wiki/ISO_3166-2:IE</t>
    </r>
  </si>
  <si>
    <t>Year</t>
  </si>
  <si>
    <t>Pset_PN</t>
  </si>
  <si>
    <t>~TFM_INS</t>
  </si>
  <si>
    <t>TimeSlice</t>
  </si>
  <si>
    <t>Attribute</t>
  </si>
  <si>
    <t>TIMES-Ireland Model</t>
  </si>
  <si>
    <t>Document type:</t>
  </si>
  <si>
    <t>Sector(s):</t>
  </si>
  <si>
    <t>Purpose:</t>
  </si>
  <si>
    <t>Original developer(s):</t>
  </si>
  <si>
    <t>Current maintainer(s):</t>
  </si>
  <si>
    <t>Part of TIM version:</t>
  </si>
  <si>
    <t>Model repository:</t>
  </si>
  <si>
    <t>https://github.com/MaREI-EPMG/TIMES-Ireland-model</t>
  </si>
  <si>
    <t>Licence:</t>
  </si>
  <si>
    <t>CC BY-NC-SA 4.0 (unless specified otherwise)</t>
  </si>
  <si>
    <t>https://creativecommons.org/licenses/by-nc-sa/4.0/</t>
  </si>
  <si>
    <t>All</t>
  </si>
  <si>
    <t>Scenario</t>
  </si>
  <si>
    <t>Specify a carbon budget</t>
  </si>
  <si>
    <t>Case #</t>
  </si>
  <si>
    <t>Vahid Aryanpur (UCC, vahid.aryanpur@ucc.ie)</t>
  </si>
  <si>
    <t>AllRegions</t>
  </si>
  <si>
    <t>Pset_Set</t>
  </si>
  <si>
    <t>*notes</t>
  </si>
  <si>
    <t>START</t>
  </si>
  <si>
    <t>T-SAVI_INT_ELC_NEW</t>
  </si>
  <si>
    <t>Aviation international - Electric - Small Aircraft - New</t>
  </si>
  <si>
    <t>T-MAVI_INT_ELC_NEW</t>
  </si>
  <si>
    <t>Aviation international - Electric - Medium Aircraft - New</t>
  </si>
  <si>
    <t>Aviation Technology</t>
  </si>
  <si>
    <t>Start year for adoption of electric aircrafts_short-distance</t>
  </si>
  <si>
    <t>AVIELC</t>
  </si>
  <si>
    <t>TAVIINTS</t>
  </si>
  <si>
    <t>TAVIINTM</t>
  </si>
  <si>
    <t>Original START year</t>
  </si>
  <si>
    <t>Delay</t>
  </si>
  <si>
    <t>5-year delay</t>
  </si>
  <si>
    <t>10-year delay</t>
  </si>
  <si>
    <t>15-year delay</t>
  </si>
  <si>
    <t>20-year delay</t>
  </si>
  <si>
    <t>25-year delay</t>
  </si>
  <si>
    <t>30-year delay</t>
  </si>
  <si>
    <t>35-year delay</t>
  </si>
  <si>
    <t>40-year delay</t>
  </si>
  <si>
    <t>45-year delay</t>
  </si>
  <si>
    <t>Delay (years)</t>
  </si>
  <si>
    <t>Start year for adoption of electric aircrafts_Medium-distance</t>
  </si>
  <si>
    <t>~InputCell:1-8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</si>
</sst>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2" formatCode="_-&quot;€&quot;* #,##0_-;\-&quot;€&quot;* #,##0_-;_-&quot;€&quot;* &quot;-&quot;_-;_-@_-"/>
    <numFmt numFmtId="41" formatCode="_-* #,##0_-;\-* #,##0_-;_-* &quot;-&quot;_-;_-@_-"/>
    <numFmt numFmtId="44" formatCode="_-&quot;€&quot;* #,##0.00_-;\-&quot;€&quot;* #,##0.00_-;_-&quot;€&quot;* &quot;-&quot;??_-;_-@_-"/>
    <numFmt numFmtId="43" formatCode="_-* #,##0.00_-;\-* #,##0.00_-;_-* &quot;-&quot;??_-;_-@_-"/>
    <numFmt numFmtId="164" formatCode="0.0"/>
    <numFmt numFmtId="165" formatCode="0.0%"/>
    <numFmt numFmtId="166" formatCode="\Te\x\t"/>
    <numFmt numFmtId="167" formatCode="_(&quot;$&quot;* #,##0.00_);_(&quot;$&quot;* \(#,##0.00\);_(&quot;$&quot;* &quot;-&quot;??_);_(@_)"/>
    <numFmt numFmtId="168" formatCode="0.00_)"/>
  </numFmts>
  <fonts count="46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indexed="12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24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7" tint="-0.499984740745262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7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MS Sans Serif"/>
      <family val="2"/>
    </font>
    <font>
      <sz val="10"/>
      <name val="Arial"/>
    </font>
    <font>
      <sz val="9"/>
      <name val="Times New Roman"/>
      <family val="1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u/>
      <sz val="11"/>
      <color theme="10"/>
      <name val="Calibri"/>
      <family val="2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Arial"/>
      <family val="2"/>
    </font>
    <font>
      <b/>
      <sz val="10"/>
      <color rgb="FF000000"/>
      <name val="Arial"/>
      <family val="2"/>
    </font>
    <font>
      <sz val="11"/>
      <color rgb="FF9C6500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0"/>
      <color rgb="FF00B0F0"/>
      <name val="Arial"/>
      <family val="2"/>
    </font>
    <font>
      <sz val="18"/>
      <color theme="3"/>
      <name val="Cambria"/>
      <family val="2"/>
      <charset val="134"/>
      <scheme val="major"/>
    </font>
    <font>
      <b/>
      <sz val="15"/>
      <color theme="3"/>
      <name val="Calibri"/>
      <family val="2"/>
      <charset val="134"/>
      <scheme val="minor"/>
    </font>
    <font>
      <b/>
      <sz val="13"/>
      <color theme="3"/>
      <name val="Calibri"/>
      <family val="2"/>
      <charset val="134"/>
      <scheme val="minor"/>
    </font>
    <font>
      <b/>
      <sz val="11"/>
      <color theme="3"/>
      <name val="Calibri"/>
      <family val="2"/>
      <charset val="134"/>
      <scheme val="minor"/>
    </font>
    <font>
      <sz val="11"/>
      <color rgb="FF006100"/>
      <name val="Calibri"/>
      <family val="2"/>
      <charset val="134"/>
      <scheme val="minor"/>
    </font>
    <font>
      <sz val="11"/>
      <color rgb="FF9C0006"/>
      <name val="Calibri"/>
      <family val="2"/>
      <charset val="134"/>
      <scheme val="minor"/>
    </font>
    <font>
      <sz val="11"/>
      <color rgb="FF9C5700"/>
      <name val="Calibri"/>
      <family val="2"/>
      <charset val="134"/>
      <scheme val="minor"/>
    </font>
    <font>
      <sz val="11"/>
      <color rgb="FF3F3F76"/>
      <name val="Calibri"/>
      <family val="2"/>
      <charset val="134"/>
      <scheme val="minor"/>
    </font>
    <font>
      <b/>
      <sz val="11"/>
      <color rgb="FF3F3F3F"/>
      <name val="Calibri"/>
      <family val="2"/>
      <charset val="134"/>
      <scheme val="minor"/>
    </font>
    <font>
      <b/>
      <sz val="11"/>
      <color rgb="FFFA7D00"/>
      <name val="Calibri"/>
      <family val="2"/>
      <charset val="134"/>
      <scheme val="minor"/>
    </font>
    <font>
      <sz val="11"/>
      <color rgb="FFFA7D00"/>
      <name val="Calibri"/>
      <family val="2"/>
      <charset val="134"/>
      <scheme val="minor"/>
    </font>
    <font>
      <b/>
      <sz val="11"/>
      <color theme="0"/>
      <name val="Calibri"/>
      <family val="2"/>
      <charset val="134"/>
      <scheme val="minor"/>
    </font>
    <font>
      <sz val="11"/>
      <color rgb="FFFF0000"/>
      <name val="Calibri"/>
      <family val="2"/>
      <charset val="134"/>
      <scheme val="minor"/>
    </font>
    <font>
      <i/>
      <sz val="11"/>
      <color rgb="FF7F7F7F"/>
      <name val="Calibri"/>
      <family val="2"/>
      <charset val="134"/>
      <scheme val="minor"/>
    </font>
    <font>
      <b/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charset val="134"/>
      <scheme val="minor"/>
    </font>
    <font>
      <sz val="11"/>
      <color theme="0"/>
      <name val="Calibri"/>
      <family val="2"/>
      <charset val="134"/>
      <scheme val="minor"/>
    </font>
  </fonts>
  <fills count="4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DE9D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EB9C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/>
      <diagonal/>
    </border>
  </borders>
  <cellStyleXfs count="516">
    <xf numFmtId="0" fontId="0" fillId="0" borderId="0"/>
    <xf numFmtId="0" fontId="6" fillId="0" borderId="0" applyNumberFormat="0" applyFill="0" applyBorder="0" applyAlignment="0" applyProtection="0"/>
    <xf numFmtId="0" fontId="2" fillId="0" borderId="0"/>
    <xf numFmtId="9" fontId="5" fillId="0" borderId="0" applyFont="0" applyFill="0" applyBorder="0" applyAlignment="0" applyProtection="0"/>
    <xf numFmtId="0" fontId="2" fillId="0" borderId="0"/>
    <xf numFmtId="0" fontId="15" fillId="0" borderId="0"/>
    <xf numFmtId="0" fontId="17" fillId="0" borderId="0"/>
    <xf numFmtId="9" fontId="2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9" fontId="18" fillId="0" borderId="4" applyNumberFormat="0" applyFont="0" applyFill="0" applyBorder="0" applyProtection="0">
      <alignment horizontal="left" vertical="center" indent="2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9" fillId="0" borderId="0" applyBorder="0"/>
    <xf numFmtId="9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6" fillId="0" borderId="0" applyNumberFormat="0" applyFill="0" applyBorder="0" applyAlignment="0" applyProtection="0"/>
    <xf numFmtId="43" fontId="5" fillId="0" borderId="0" applyFont="0" applyFill="0" applyBorder="0" applyAlignment="0" applyProtection="0"/>
    <xf numFmtId="0" fontId="2" fillId="0" borderId="0"/>
    <xf numFmtId="0" fontId="21" fillId="0" borderId="0" applyNumberFormat="0" applyFill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5" fillId="31" borderId="0" applyNumberFormat="0" applyBorder="0" applyAlignment="0" applyProtection="0"/>
    <xf numFmtId="43" fontId="17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8" fontId="2" fillId="0" borderId="0"/>
    <xf numFmtId="168" fontId="2" fillId="0" borderId="0"/>
    <xf numFmtId="0" fontId="2" fillId="0" borderId="0"/>
    <xf numFmtId="0" fontId="24" fillId="0" borderId="0"/>
    <xf numFmtId="0" fontId="24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8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6" fillId="0" borderId="0"/>
    <xf numFmtId="0" fontId="16" fillId="0" borderId="0"/>
    <xf numFmtId="0" fontId="1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3" fillId="39" borderId="0" applyNumberFormat="0" applyBorder="0" applyAlignment="0" applyProtection="0"/>
    <xf numFmtId="0" fontId="23" fillId="40" borderId="0" applyNumberFormat="0" applyBorder="0" applyAlignment="0" applyProtection="0"/>
    <xf numFmtId="0" fontId="23" fillId="41" borderId="0" applyNumberFormat="0" applyBorder="0" applyAlignment="0" applyProtection="0"/>
    <xf numFmtId="0" fontId="23" fillId="42" borderId="0" applyNumberFormat="0" applyBorder="0" applyAlignment="0" applyProtection="0"/>
    <xf numFmtId="0" fontId="23" fillId="43" borderId="0" applyNumberFormat="0" applyBorder="0" applyAlignment="0" applyProtection="0"/>
    <xf numFmtId="0" fontId="23" fillId="44" borderId="0" applyNumberFormat="0" applyBorder="0" applyAlignment="0" applyProtection="0"/>
    <xf numFmtId="0" fontId="26" fillId="45" borderId="0" applyNumberFormat="0" applyBorder="0" applyAlignment="0" applyProtection="0"/>
    <xf numFmtId="0" fontId="27" fillId="0" borderId="0" applyNumberForma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19" fillId="0" borderId="0" applyBorder="0"/>
    <xf numFmtId="0" fontId="17" fillId="0" borderId="0"/>
    <xf numFmtId="43" fontId="19" fillId="0" borderId="0" applyFont="0" applyFill="0" applyBorder="0" applyAlignment="0" applyProtection="0"/>
    <xf numFmtId="0" fontId="5" fillId="0" borderId="0"/>
    <xf numFmtId="0" fontId="19" fillId="0" borderId="0" applyBorder="0"/>
    <xf numFmtId="43" fontId="19" fillId="0" borderId="0" applyFont="0" applyFill="0" applyBorder="0" applyAlignment="0" applyProtection="0"/>
    <xf numFmtId="0" fontId="19" fillId="0" borderId="0" applyBorder="0"/>
    <xf numFmtId="0" fontId="2" fillId="0" borderId="0"/>
    <xf numFmtId="0" fontId="19" fillId="0" borderId="0" applyBorder="0"/>
    <xf numFmtId="43" fontId="19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 applyBorder="0"/>
    <xf numFmtId="43" fontId="19" fillId="0" borderId="0" applyFont="0" applyFill="0" applyBorder="0" applyAlignment="0" applyProtection="0"/>
    <xf numFmtId="0" fontId="19" fillId="0" borderId="0" applyBorder="0"/>
    <xf numFmtId="43" fontId="19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31" borderId="0" applyNumberFormat="0" applyBorder="0" applyAlignment="0" applyProtection="0"/>
    <xf numFmtId="43" fontId="5" fillId="0" borderId="0" applyFont="0" applyFill="0" applyBorder="0" applyAlignment="0" applyProtection="0"/>
    <xf numFmtId="0" fontId="17" fillId="0" borderId="0"/>
    <xf numFmtId="43" fontId="2" fillId="0" borderId="0" applyFont="0" applyFill="0" applyBorder="0" applyAlignment="0" applyProtection="0"/>
    <xf numFmtId="168" fontId="2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17" fillId="0" borderId="0"/>
    <xf numFmtId="43" fontId="17" fillId="0" borderId="0" applyFont="0" applyFill="0" applyBorder="0" applyAlignment="0" applyProtection="0"/>
    <xf numFmtId="0" fontId="5" fillId="0" borderId="0"/>
    <xf numFmtId="0" fontId="5" fillId="31" borderId="0" applyNumberFormat="0" applyBorder="0" applyAlignment="0" applyProtection="0"/>
    <xf numFmtId="0" fontId="5" fillId="0" borderId="0"/>
    <xf numFmtId="43" fontId="17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44" fillId="37" borderId="0" applyNumberFormat="0" applyBorder="0" applyAlignment="0" applyProtection="0">
      <alignment vertical="center"/>
    </xf>
    <xf numFmtId="0" fontId="44" fillId="36" borderId="0" applyNumberFormat="0" applyBorder="0" applyAlignment="0" applyProtection="0">
      <alignment vertical="center"/>
    </xf>
    <xf numFmtId="0" fontId="44" fillId="35" borderId="0" applyNumberFormat="0" applyBorder="0" applyAlignment="0" applyProtection="0">
      <alignment vertical="center"/>
    </xf>
    <xf numFmtId="0" fontId="45" fillId="34" borderId="0" applyNumberFormat="0" applyBorder="0" applyAlignment="0" applyProtection="0">
      <alignment vertical="center"/>
    </xf>
    <xf numFmtId="0" fontId="44" fillId="33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44" fillId="29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0" fillId="14" borderId="12" applyNumberFormat="0" applyAlignment="0" applyProtection="0">
      <alignment vertical="center"/>
    </xf>
    <xf numFmtId="0" fontId="39" fillId="0" borderId="11" applyNumberFormat="0" applyFill="0" applyAlignment="0" applyProtection="0">
      <alignment vertical="center"/>
    </xf>
    <xf numFmtId="0" fontId="38" fillId="13" borderId="9" applyNumberFormat="0" applyAlignment="0" applyProtection="0">
      <alignment vertical="center"/>
    </xf>
    <xf numFmtId="0" fontId="37" fillId="13" borderId="10" applyNumberFormat="0" applyAlignment="0" applyProtection="0">
      <alignment vertical="center"/>
    </xf>
    <xf numFmtId="0" fontId="36" fillId="12" borderId="9" applyNumberFormat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43" fontId="17" fillId="0" borderId="0" applyFont="0" applyFill="0" applyBorder="0" applyAlignment="0" applyProtection="0"/>
    <xf numFmtId="0" fontId="17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5" fillId="0" borderId="0"/>
    <xf numFmtId="43" fontId="19" fillId="0" borderId="0" applyFont="0" applyFill="0" applyBorder="0" applyAlignment="0" applyProtection="0"/>
    <xf numFmtId="0" fontId="2" fillId="0" borderId="0"/>
    <xf numFmtId="43" fontId="19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5" fillId="0" borderId="0"/>
    <xf numFmtId="0" fontId="29" fillId="0" borderId="0" applyNumberFormat="0" applyFill="0" applyBorder="0" applyAlignment="0" applyProtection="0">
      <alignment vertical="center"/>
    </xf>
    <xf numFmtId="0" fontId="17" fillId="0" borderId="0"/>
    <xf numFmtId="43" fontId="2" fillId="0" borderId="0" applyFont="0" applyFill="0" applyBorder="0" applyAlignment="0" applyProtection="0"/>
    <xf numFmtId="0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</cellStyleXfs>
  <cellXfs count="46">
    <xf numFmtId="0" fontId="0" fillId="0" borderId="0" xfId="0"/>
    <xf numFmtId="0" fontId="3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 applyProtection="1">
      <alignment horizontal="left" vertical="center"/>
      <protection locked="0"/>
    </xf>
    <xf numFmtId="0" fontId="3" fillId="3" borderId="1" xfId="0" applyFont="1" applyFill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5" fillId="7" borderId="0" xfId="2" applyFont="1" applyFill="1" applyAlignment="1">
      <alignment vertical="center"/>
    </xf>
    <xf numFmtId="0" fontId="5" fillId="4" borderId="0" xfId="2" applyFont="1" applyFill="1" applyAlignment="1">
      <alignment vertical="center"/>
    </xf>
    <xf numFmtId="0" fontId="7" fillId="4" borderId="0" xfId="2" applyFont="1" applyFill="1" applyAlignment="1">
      <alignment vertical="center"/>
    </xf>
    <xf numFmtId="0" fontId="6" fillId="4" borderId="0" xfId="2" applyFont="1" applyFill="1" applyAlignment="1">
      <alignment vertical="center"/>
    </xf>
    <xf numFmtId="0" fontId="5" fillId="8" borderId="0" xfId="2" applyFont="1" applyFill="1" applyAlignment="1">
      <alignment vertical="center"/>
    </xf>
    <xf numFmtId="0" fontId="8" fillId="4" borderId="0" xfId="2" applyFont="1" applyFill="1" applyAlignment="1">
      <alignment vertical="center"/>
    </xf>
    <xf numFmtId="0" fontId="9" fillId="4" borderId="0" xfId="2" applyFont="1" applyFill="1" applyAlignment="1">
      <alignment vertical="center"/>
    </xf>
    <xf numFmtId="0" fontId="10" fillId="7" borderId="0" xfId="2" applyFont="1" applyFill="1" applyAlignment="1">
      <alignment vertical="center"/>
    </xf>
    <xf numFmtId="0" fontId="11" fillId="4" borderId="0" xfId="2" applyFont="1" applyFill="1" applyAlignment="1">
      <alignment vertical="center"/>
    </xf>
    <xf numFmtId="0" fontId="12" fillId="4" borderId="0" xfId="2" applyFont="1" applyFill="1" applyAlignment="1">
      <alignment vertical="center"/>
    </xf>
    <xf numFmtId="0" fontId="11" fillId="7" borderId="0" xfId="2" applyFont="1" applyFill="1" applyAlignment="1">
      <alignment vertical="center"/>
    </xf>
    <xf numFmtId="164" fontId="11" fillId="7" borderId="0" xfId="2" applyNumberFormat="1" applyFont="1" applyFill="1" applyAlignment="1">
      <alignment horizontal="left" vertical="center"/>
    </xf>
    <xf numFmtId="0" fontId="13" fillId="4" borderId="0" xfId="2" applyFont="1" applyFill="1" applyAlignment="1">
      <alignment vertical="center"/>
    </xf>
    <xf numFmtId="0" fontId="14" fillId="7" borderId="0" xfId="2" applyFont="1" applyFill="1" applyAlignment="1">
      <alignment vertical="center"/>
    </xf>
    <xf numFmtId="0" fontId="6" fillId="7" borderId="0" xfId="1" applyFill="1" applyAlignment="1">
      <alignment vertical="center"/>
    </xf>
    <xf numFmtId="165" fontId="0" fillId="0" borderId="0" xfId="3" applyNumberFormat="1" applyFont="1"/>
    <xf numFmtId="2" fontId="0" fillId="0" borderId="0" xfId="3" applyNumberFormat="1" applyFont="1"/>
    <xf numFmtId="0" fontId="4" fillId="0" borderId="0" xfId="0" applyFont="1"/>
    <xf numFmtId="0" fontId="1" fillId="5" borderId="1" xfId="0" applyFont="1" applyFill="1" applyBorder="1"/>
    <xf numFmtId="0" fontId="1" fillId="6" borderId="1" xfId="0" applyFont="1" applyFill="1" applyBorder="1"/>
    <xf numFmtId="0" fontId="2" fillId="5" borderId="1" xfId="0" applyFont="1" applyFill="1" applyBorder="1"/>
    <xf numFmtId="166" fontId="14" fillId="0" borderId="0" xfId="0" applyNumberFormat="1" applyFont="1" applyAlignment="1">
      <alignment vertical="center"/>
    </xf>
    <xf numFmtId="2" fontId="0" fillId="0" borderId="0" xfId="0" applyNumberFormat="1"/>
    <xf numFmtId="9" fontId="20" fillId="0" borderId="0" xfId="20" applyFont="1" applyFill="1" applyBorder="1"/>
    <xf numFmtId="2" fontId="19" fillId="0" borderId="0" xfId="20" applyNumberFormat="1" applyFont="1" applyFill="1" applyBorder="1"/>
    <xf numFmtId="2" fontId="0" fillId="0" borderId="0" xfId="3" applyNumberFormat="1" applyFont="1" applyBorder="1"/>
    <xf numFmtId="0" fontId="3" fillId="4" borderId="2" xfId="0" applyFont="1" applyFill="1" applyBorder="1"/>
    <xf numFmtId="1" fontId="0" fillId="0" borderId="0" xfId="3" applyNumberFormat="1" applyFont="1"/>
    <xf numFmtId="0" fontId="0" fillId="0" borderId="0" xfId="0" applyAlignment="1">
      <alignment horizontal="right"/>
    </xf>
    <xf numFmtId="0" fontId="3" fillId="0" borderId="0" xfId="0" applyFont="1"/>
    <xf numFmtId="1" fontId="0" fillId="0" borderId="0" xfId="0" applyNumberFormat="1"/>
    <xf numFmtId="0" fontId="25" fillId="38" borderId="0" xfId="403" applyFont="1" applyFill="1" applyAlignment="1">
      <alignment vertical="center"/>
    </xf>
    <xf numFmtId="0" fontId="28" fillId="0" borderId="0" xfId="403" applyFont="1"/>
    <xf numFmtId="0" fontId="28" fillId="0" borderId="2" xfId="515" applyFont="1" applyBorder="1"/>
    <xf numFmtId="0" fontId="28" fillId="0" borderId="14" xfId="515" applyFont="1" applyBorder="1"/>
    <xf numFmtId="0" fontId="28" fillId="0" borderId="0" xfId="512" applyFont="1"/>
    <xf numFmtId="0" fontId="11" fillId="7" borderId="0" xfId="2" applyFont="1" applyFill="1" applyAlignment="1">
      <alignment vertical="center"/>
    </xf>
    <xf numFmtId="0" fontId="7" fillId="7" borderId="0" xfId="2" applyFont="1" applyFill="1" applyAlignment="1">
      <alignment horizontal="center" vertical="center"/>
    </xf>
    <xf numFmtId="0" fontId="6" fillId="7" borderId="0" xfId="1" applyFill="1" applyAlignment="1">
      <alignment vertical="center"/>
    </xf>
  </cellXfs>
  <cellStyles count="516">
    <cellStyle name="20% - Accent1 2" xfId="470" xr:uid="{84F537E0-D323-416C-890C-C03619CD813E}"/>
    <cellStyle name="20% - Accent2 2" xfId="466" xr:uid="{7777E63A-AB18-4ADF-A82C-0AF8C0C5AFF3}"/>
    <cellStyle name="20% - Accent3 2" xfId="462" xr:uid="{06BE495D-ACA9-4294-9E88-06F5E4228BA6}"/>
    <cellStyle name="20% - Accent4 2" xfId="458" xr:uid="{0BFB5E7A-D399-4489-AE8C-F0D7789F1DB6}"/>
    <cellStyle name="20% - Accent5 2" xfId="51" xr:uid="{F3314EAE-3FC6-43C7-A373-284FC8E2CFA7}"/>
    <cellStyle name="20% - Accent5 2 2" xfId="440" xr:uid="{C776808A-C64D-4F50-9F04-AEDCAE0244C0}"/>
    <cellStyle name="20% - Accent5 3" xfId="454" xr:uid="{4EC06EE2-2FBF-4078-89DC-0B1224D5BB5B}"/>
    <cellStyle name="20% - Accent5 4" xfId="427" xr:uid="{68281D35-C3CD-4FBF-9740-86A7E9F4137A}"/>
    <cellStyle name="20% - Accent6 2" xfId="450" xr:uid="{E13FB11E-D501-4610-9914-99A5AED650CC}"/>
    <cellStyle name="2x indented GHG Textfiels" xfId="16" xr:uid="{0329F919-1088-46C7-8A27-D47313487911}"/>
    <cellStyle name="40% - Accent1 2" xfId="469" xr:uid="{F037688D-AE70-4091-914E-B6BE8540E617}"/>
    <cellStyle name="40% - Accent2 2" xfId="465" xr:uid="{03F5F445-A027-4B67-B4DF-19DAF17009E0}"/>
    <cellStyle name="40% - Accent3 2" xfId="461" xr:uid="{B5247630-B06C-4CC6-AADC-3640975090C8}"/>
    <cellStyle name="40% - Accent4 2" xfId="457" xr:uid="{1735ECA7-C2FD-472A-A683-B10A71E5519B}"/>
    <cellStyle name="40% - Accent5 2" xfId="453" xr:uid="{B28AE6FA-DDEF-499D-836A-946625E651AA}"/>
    <cellStyle name="40% - Accent6 2" xfId="449" xr:uid="{2FE22D07-B820-44E7-BB21-A1AE98C86E19}"/>
    <cellStyle name="60% - Accent1 2" xfId="393" xr:uid="{A5CA9F46-1967-48A0-9C38-1B53971E12B1}"/>
    <cellStyle name="60% - Accent1 3" xfId="468" xr:uid="{22B4E143-B80D-4E91-8CF2-05C8E4E59D36}"/>
    <cellStyle name="60% - Accent2 2" xfId="392" xr:uid="{8E2559E9-3646-4297-93F9-FC719EE36F5F}"/>
    <cellStyle name="60% - Accent2 3" xfId="464" xr:uid="{82054222-9384-46D8-8FD9-341F3FD621F5}"/>
    <cellStyle name="60% - Accent3 2" xfId="391" xr:uid="{AAE33433-09AD-473F-8AAD-A1C684512F79}"/>
    <cellStyle name="60% - Accent3 3" xfId="460" xr:uid="{B851E2D3-E25F-474F-AD59-39C9B08FF7E3}"/>
    <cellStyle name="60% - Accent4 2" xfId="390" xr:uid="{79471D7A-E8D4-4E4B-9678-D3D3E922E237}"/>
    <cellStyle name="60% - Accent4 3" xfId="456" xr:uid="{CB0D4B09-9A18-4359-9956-E35603F4218D}"/>
    <cellStyle name="60% - Accent5 2" xfId="389" xr:uid="{A82EF2A4-E948-4844-88EB-B8F46F0A5F0E}"/>
    <cellStyle name="60% - Accent5 3" xfId="452" xr:uid="{113800DC-AF12-4F98-8668-939F4A741B52}"/>
    <cellStyle name="60% - Accent6 2" xfId="388" xr:uid="{814F16C8-9A2A-4001-8ADD-0617A94D8012}"/>
    <cellStyle name="60% - Accent6 3" xfId="448" xr:uid="{2E3F6993-A9CF-4411-A5B0-BD08C710A1CB}"/>
    <cellStyle name="Accent2 2" xfId="467" xr:uid="{A68CAFF4-8656-498B-BCD5-013E05EFC5A3}"/>
    <cellStyle name="Accent3 2" xfId="463" xr:uid="{A2E9B2A5-038D-40A9-B2C2-406E9AAC2C6A}"/>
    <cellStyle name="Accent4 2" xfId="459" xr:uid="{E5B44128-119B-456C-99A2-4ACACFD08C2F}"/>
    <cellStyle name="Accent5 2" xfId="455" xr:uid="{6FBC7DFE-4B66-4B1F-851C-F04C96D208DB}"/>
    <cellStyle name="Accent6 2" xfId="451" xr:uid="{1CF458BF-5B69-4E5B-9934-AA648C0C236E}"/>
    <cellStyle name="Bad 2" xfId="480" xr:uid="{0AC43109-0CA6-40DD-9FB0-C36A6CDB3E2C}"/>
    <cellStyle name="Calculation 2" xfId="476" xr:uid="{3B868195-D464-4F9D-8C25-5B3DDB17A12A}"/>
    <cellStyle name="Check Cell 2" xfId="474" xr:uid="{4D5F870A-8772-4428-91B2-637F3B5E621E}"/>
    <cellStyle name="Comma [0] 2" xfId="31" xr:uid="{DCA12B2A-9FB6-4CE6-A9E3-28C41609F3A1}"/>
    <cellStyle name="Comma [0] 2 2" xfId="47" xr:uid="{A72A3BB9-9C24-49EC-B1A0-2414B32FB92E}"/>
    <cellStyle name="Comma [0] 2 2 2" xfId="502" xr:uid="{329DEBD8-BFAD-4EAB-BBBB-AF70694E72C7}"/>
    <cellStyle name="Comma [0] 2 3" xfId="415" xr:uid="{9AF01B75-46FA-4B60-92E1-755A5710CC61}"/>
    <cellStyle name="Comma 10" xfId="420" xr:uid="{520D6675-90CF-4334-8DF4-D0615F26F339}"/>
    <cellStyle name="Comma 10 2" xfId="506" xr:uid="{22F2D173-CF9C-4DEA-A379-9A81658975E5}"/>
    <cellStyle name="Comma 11" xfId="418" xr:uid="{770D0A5A-829E-401A-A044-3FD251FAE324}"/>
    <cellStyle name="Comma 11 2" xfId="505" xr:uid="{C303604F-C5CA-4E4C-BD55-C2AC2D48E0D4}"/>
    <cellStyle name="Comma 12" xfId="422" xr:uid="{2D758156-1E3B-4E51-91C4-5BCCEC986B38}"/>
    <cellStyle name="Comma 12 2" xfId="507" xr:uid="{EF18CD68-7D89-4543-BB50-F88672B90BB2}"/>
    <cellStyle name="Comma 13" xfId="442" xr:uid="{D1396E92-5187-4F46-82CD-ED60AEBF0751}"/>
    <cellStyle name="Comma 14" xfId="486" xr:uid="{754F4032-B893-4739-AE66-90A66C65CA01}"/>
    <cellStyle name="Comma 15" xfId="438" xr:uid="{89326DD7-B4CC-452F-B94B-668FB8614B1B}"/>
    <cellStyle name="Comma 16" xfId="447" xr:uid="{1AE4F1E9-9ADD-4212-A125-C3F3868FD591}"/>
    <cellStyle name="Comma 17" xfId="511" xr:uid="{5C922679-27B7-4961-ABA3-9BCFD7B2700E}"/>
    <cellStyle name="Comma 18" xfId="425" xr:uid="{18569766-B162-4C99-B883-2D519ED69649}"/>
    <cellStyle name="Comma 19" xfId="52" xr:uid="{6DE0C560-FAC3-46BE-B003-9D6728D2366F}"/>
    <cellStyle name="Comma 2" xfId="11" xr:uid="{4304B038-176E-4D8F-85A2-2988D1ED72BC}"/>
    <cellStyle name="Comma 2 2" xfId="12" xr:uid="{4F65B0DF-EF10-46E5-8B8E-F4897825F4D4}"/>
    <cellStyle name="Comma 2 2 2" xfId="15" xr:uid="{F933C350-796E-43F4-ADF1-66963C3A7753}"/>
    <cellStyle name="Comma 2 2 2 2" xfId="38" xr:uid="{8BE944BB-4E61-4A2F-B5A1-DC3B0A58628D}"/>
    <cellStyle name="Comma 2 2 2 3" xfId="491" xr:uid="{6C05E09E-578A-4D7D-ACD9-C868506CDFCD}"/>
    <cellStyle name="Comma 2 2 3" xfId="35" xr:uid="{1D748E6F-C4B7-40CD-9BF5-88D1F70ACCEA}"/>
    <cellStyle name="Comma 2 2 3 2" xfId="434" xr:uid="{F4A99A4E-DC47-4B2B-8287-30566799D62A}"/>
    <cellStyle name="Comma 2 2 4" xfId="399" xr:uid="{BE321310-9348-47BB-B7AB-3AF0731D7380}"/>
    <cellStyle name="Comma 2 3" xfId="14" xr:uid="{5A578EA3-4712-4B2C-8EFC-9C213C4DA63B}"/>
    <cellStyle name="Comma 2 3 2" xfId="37" xr:uid="{0B0AD1BC-F1C3-485B-AE3F-95B90A020089}"/>
    <cellStyle name="Comma 2 3 3" xfId="446" xr:uid="{8CB9273B-BDAB-4FFF-993E-9A3812EA56C2}"/>
    <cellStyle name="Comma 2 4" xfId="18" xr:uid="{35AC15A9-EE79-48DA-8063-B22CB3563452}"/>
    <cellStyle name="Comma 2 4 2" xfId="40" xr:uid="{A57AE2F9-4B80-420E-911B-E43F9D56379C}"/>
    <cellStyle name="Comma 2 4 3" xfId="430" xr:uid="{DE14DB18-7311-4D2F-B2B6-16CE04D42382}"/>
    <cellStyle name="Comma 2 5" xfId="34" xr:uid="{4EF5058A-0390-4D4B-9A67-DCC8DDAF351C}"/>
    <cellStyle name="Comma 2 6" xfId="55" xr:uid="{313860A0-9A23-496F-A07B-84C5F41A62E0}"/>
    <cellStyle name="Comma 20" xfId="50" xr:uid="{D7262C8C-36F7-4C7A-8E54-DB15AA12AD76}"/>
    <cellStyle name="Comma 21" xfId="514" xr:uid="{68ED5815-4BC6-4A44-B523-659150853A8B}"/>
    <cellStyle name="Comma 22" xfId="513" xr:uid="{051AB129-7E27-46EA-8EDB-FB06D5E10EEB}"/>
    <cellStyle name="Comma 3" xfId="13" xr:uid="{C1CDDE4D-E075-481B-A162-4E1811D4EAF1}"/>
    <cellStyle name="Comma 3 2" xfId="25" xr:uid="{C7BB0ED3-533E-4CDC-A6FE-E664DC6D9608}"/>
    <cellStyle name="Comma 3 2 2" xfId="43" xr:uid="{CACE8830-E6A6-4EC1-8B6D-18D276E3B65C}"/>
    <cellStyle name="Comma 3 2 2 2" xfId="492" xr:uid="{3D98E58D-19C4-4516-BA2A-F3FEF73C4E80}"/>
    <cellStyle name="Comma 3 2 3" xfId="435" xr:uid="{36C7C20E-2DC8-4A20-89A6-384EF06A56A8}"/>
    <cellStyle name="Comma 3 2 4" xfId="400" xr:uid="{FC87486C-AF34-4F29-814F-AC792856ADC5}"/>
    <cellStyle name="Comma 3 3" xfId="36" xr:uid="{8D4868FB-119D-44E0-9739-7C3D24A30041}"/>
    <cellStyle name="Comma 3 3 2" xfId="488" xr:uid="{F68C0102-46DE-4B10-AFF6-B492AFA147D6}"/>
    <cellStyle name="Comma 3 4" xfId="428" xr:uid="{10721550-9D78-444F-84EB-693626AAC32E}"/>
    <cellStyle name="Comma 3 5" xfId="396" xr:uid="{226F0BEF-6F2D-4EF9-9942-C0D2E68E0A46}"/>
    <cellStyle name="Comma 4" xfId="17" xr:uid="{9D51845C-14ED-432B-B51D-37F0EA62B5DF}"/>
    <cellStyle name="Comma 4 2" xfId="23" xr:uid="{CD8EAA92-EB26-4FA0-A666-98C9B8463AFD}"/>
    <cellStyle name="Comma 4 2 2" xfId="42" xr:uid="{09616E8D-65A9-4575-A27B-D7FEE15C4820}"/>
    <cellStyle name="Comma 4 2 2 2" xfId="493" xr:uid="{9212DABA-73D5-46A6-AF89-C9D25E27BDD8}"/>
    <cellStyle name="Comma 4 2 3" xfId="436" xr:uid="{225F7902-0F3F-4BE6-AB66-8C440C0E80D5}"/>
    <cellStyle name="Comma 4 2 4" xfId="401" xr:uid="{3564CA27-7EB5-4ECA-B3E7-0A9D56F24BDF}"/>
    <cellStyle name="Comma 4 3" xfId="39" xr:uid="{04BEA65C-FDA8-4797-B7E1-5BE3BC2DF29F}"/>
    <cellStyle name="Comma 4 3 2" xfId="489" xr:uid="{247D95B9-E484-43C7-AB58-43E3A3EA5191}"/>
    <cellStyle name="Comma 4 4" xfId="432" xr:uid="{0FB99ED7-A406-4988-BD56-384132E85704}"/>
    <cellStyle name="Comma 4 5" xfId="397" xr:uid="{512F145A-D1E8-43E2-9E93-302D3F5293BE}"/>
    <cellStyle name="Comma 5" xfId="30" xr:uid="{CC557472-2C58-4F40-B133-C1A92EA5DF03}"/>
    <cellStyle name="Comma 5 2" xfId="46" xr:uid="{78B5AB84-1A1A-4AB9-8EE1-024765C46D89}"/>
    <cellStyle name="Comma 5 2 2" xfId="501" xr:uid="{F3BE32F8-EEDB-4C0B-A584-65D89B4B3B85}"/>
    <cellStyle name="Comma 5 2 3" xfId="414" xr:uid="{0C89968D-58E8-43DD-8D0F-E656DE9CCF0D}"/>
    <cellStyle name="Comma 5 3" xfId="490" xr:uid="{876388F1-09CA-4A3F-9DC6-8E94DA3D1DFF}"/>
    <cellStyle name="Comma 5 4" xfId="433" xr:uid="{E335E840-420C-4E24-B110-B0B877523C38}"/>
    <cellStyle name="Comma 5 5" xfId="398" xr:uid="{25AACE83-7DEB-472B-9115-73D82BB2867D}"/>
    <cellStyle name="Comma 6" xfId="33" xr:uid="{2BEEE712-B179-4FEC-A38D-551DD5A973AD}"/>
    <cellStyle name="Comma 6 2" xfId="49" xr:uid="{199C0584-D3DC-4CEF-9B17-0695C511A8CD}"/>
    <cellStyle name="Comma 6 2 2" xfId="504" xr:uid="{A50BBDD7-BD80-4A69-A5B8-0A8EBF54D6D1}"/>
    <cellStyle name="Comma 6 2 3" xfId="417" xr:uid="{B966BCD3-5EF8-40CB-91FB-7F899BD04502}"/>
    <cellStyle name="Comma 6 3" xfId="445" xr:uid="{5BFCD1DF-D259-46C8-AC45-9A2F7A2F7DEB}"/>
    <cellStyle name="Comma 6 4" xfId="54" xr:uid="{D4171B05-09DE-4D0A-9315-2779EA77384B}"/>
    <cellStyle name="Comma 7" xfId="21" xr:uid="{3EE16592-79E3-4C5B-BD29-7C5E518E1BF5}"/>
    <cellStyle name="Comma 7 2" xfId="41" xr:uid="{62A18668-1783-4602-BCC0-A91A66C4C55F}"/>
    <cellStyle name="Comma 7 2 2" xfId="494" xr:uid="{9177D47E-2A42-4F5E-A05E-178D87B7CC92}"/>
    <cellStyle name="Comma 7 3" xfId="404" xr:uid="{C7DACCB9-CA71-42E3-A62D-966784A5EE46}"/>
    <cellStyle name="Comma 8" xfId="407" xr:uid="{979A74DF-8840-4C8B-B36B-9EC0EABD23E0}"/>
    <cellStyle name="Comma 8 2" xfId="496" xr:uid="{B720ECCF-647B-46C4-A39C-1FAA61388F66}"/>
    <cellStyle name="Comma 9" xfId="411" xr:uid="{28048CC7-0F9C-4C68-A8F5-43F59F216A10}"/>
    <cellStyle name="Comma 9 2" xfId="498" xr:uid="{7877E0CA-62E2-48BD-BA9C-17BE081252DE}"/>
    <cellStyle name="Currency [0] 2" xfId="29" xr:uid="{1882C072-3287-4209-8CA9-AD783DA3ECC7}"/>
    <cellStyle name="Currency [0] 2 2" xfId="45" xr:uid="{3A3F68B1-C68A-4438-8413-34E5DDD1531B}"/>
    <cellStyle name="Currency [0] 2 2 2" xfId="500" xr:uid="{C9FDAE1C-D384-4098-94CE-E01F433E67C7}"/>
    <cellStyle name="Currency [0] 2 3" xfId="413" xr:uid="{DF2798C3-EE1C-4A4E-95DD-2139ED0EFA28}"/>
    <cellStyle name="Currency 2" xfId="28" xr:uid="{5EFA7253-AD95-4E8F-9EBC-CACF58332A94}"/>
    <cellStyle name="Currency 2 2" xfId="44" xr:uid="{1D94755F-7C74-4BEA-8827-28A3093935E3}"/>
    <cellStyle name="Currency 2 2 2" xfId="57" xr:uid="{A9829AAB-75DF-4D74-B002-CE37E99B5CF8}"/>
    <cellStyle name="Currency 2 3" xfId="412" xr:uid="{51FF3C8C-C14A-401B-8F89-6F160498F491}"/>
    <cellStyle name="Currency 2 3 2" xfId="499" xr:uid="{BBF0CD05-2480-4E31-92AB-03EEAF30AB73}"/>
    <cellStyle name="Currency 2 4" xfId="56" xr:uid="{04B9A935-813A-480C-BC11-DB59E32CEA4E}"/>
    <cellStyle name="Currency 3" xfId="32" xr:uid="{54AD90EA-CBF0-471E-8EF8-7E998D37384D}"/>
    <cellStyle name="Currency 3 2" xfId="48" xr:uid="{29533073-F91E-4386-980D-7021B1AE6C18}"/>
    <cellStyle name="Currency 3 2 2" xfId="503" xr:uid="{9446EC5B-5994-4CB6-A781-77D32429F9F9}"/>
    <cellStyle name="Currency 3 2 3" xfId="416" xr:uid="{33958B3E-00D4-43D0-A334-CD15E751BE60}"/>
    <cellStyle name="Currency 3 3" xfId="58" xr:uid="{58280E35-81F9-4C2C-87AE-B7E8C318A8F7}"/>
    <cellStyle name="Currency 4" xfId="59" xr:uid="{A2CA6812-E8ED-4541-AAE3-6619F8E9A39C}"/>
    <cellStyle name="Currency 4 2" xfId="60" xr:uid="{EC0BE244-1C94-4D94-A341-53DF15441426}"/>
    <cellStyle name="Currency 4 3" xfId="61" xr:uid="{45B73773-AFC8-4E39-8658-EF3AD72FE438}"/>
    <cellStyle name="Explanatory Text 2" xfId="472" xr:uid="{4FF875D9-0711-4F0B-8804-E0B287E425F2}"/>
    <cellStyle name="Good 2" xfId="481" xr:uid="{B6373F54-FC30-4900-B051-9BE26EF7F89F}"/>
    <cellStyle name="Heading 1 2" xfId="485" xr:uid="{F5B31513-1E8E-43B3-B1D1-A3F590F94C15}"/>
    <cellStyle name="Heading 2 2" xfId="484" xr:uid="{30646E80-2A2C-4575-BC8E-1CA8A059B5FC}"/>
    <cellStyle name="Heading 3 2" xfId="483" xr:uid="{DF8EB221-7EA7-41A2-B62E-9E3B4AF8CFF4}"/>
    <cellStyle name="Heading 4 2" xfId="482" xr:uid="{90B72F14-D80D-4804-857D-C4D2BD96F44D}"/>
    <cellStyle name="Hyperlink" xfId="1" builtinId="8"/>
    <cellStyle name="Hyperlink 2" xfId="24" xr:uid="{2D89DC6C-86DC-4996-8654-BB3A8FA9E8D3}"/>
    <cellStyle name="Hyperlink 3" xfId="27" xr:uid="{F9D11DAB-3D3B-44CB-B621-02D28750AC53}"/>
    <cellStyle name="Input 2" xfId="478" xr:uid="{3D0A1FFD-52B4-4C96-A696-7D793CB3FC5A}"/>
    <cellStyle name="Linked Cell 2" xfId="475" xr:uid="{4C85CF1B-685E-422F-944A-67AFB3A8B120}"/>
    <cellStyle name="Neutral 2" xfId="394" xr:uid="{FF6D677E-CE3A-4CFB-94EE-BE3932892955}"/>
    <cellStyle name="Neutral 3" xfId="479" xr:uid="{8AF6B60C-3987-407B-A2D3-799DFB7BF535}"/>
    <cellStyle name="Normal" xfId="0" builtinId="0"/>
    <cellStyle name="Normal 10" xfId="4" xr:uid="{450E1057-1548-4FD0-ADBE-B9C2BF0CE546}"/>
    <cellStyle name="Normal 10 2" xfId="62" xr:uid="{7FAB503C-B894-46C1-A71D-4CE12F69EDEC}"/>
    <cellStyle name="Normal 10 2 2" xfId="63" xr:uid="{3455C4D8-3595-4626-845A-AA1481998A64}"/>
    <cellStyle name="Normal 10 2_BOS Workings" xfId="64" xr:uid="{2CBC4949-3B1E-49B3-9AB6-624279E2D4B7}"/>
    <cellStyle name="Normal 10 3" xfId="65" xr:uid="{B85E1B20-853E-440F-8B60-E79950AD6939}"/>
    <cellStyle name="Normal 10_BOS Workings" xfId="66" xr:uid="{83D54B4F-E5B3-4C12-B9B2-F30CE906243D}"/>
    <cellStyle name="Normal 100" xfId="67" xr:uid="{8252CED9-4870-461C-AE61-C8B532AB6DC8}"/>
    <cellStyle name="Normal 100 2" xfId="68" xr:uid="{09C65625-E294-4A99-8F4D-DDAEB8A30EE6}"/>
    <cellStyle name="Normal 101" xfId="69" xr:uid="{C6561D10-1A7B-4737-B46F-6CFB852D45D5}"/>
    <cellStyle name="Normal 101 2" xfId="70" xr:uid="{F04B8C91-57D0-4BFB-B08C-2A8E6F1AAD4C}"/>
    <cellStyle name="Normal 102" xfId="71" xr:uid="{ADCC1098-9C60-41C4-A852-07F2B3894EEC}"/>
    <cellStyle name="Normal 102 2" xfId="72" xr:uid="{D7137563-E526-49F0-99ED-BC90A9A3B0B7}"/>
    <cellStyle name="Normal 103" xfId="73" xr:uid="{A08EFE9C-FF24-4957-8781-EB9029AB259E}"/>
    <cellStyle name="Normal 103 2" xfId="74" xr:uid="{521DE046-8364-4A35-87CD-C7AE64004AB1}"/>
    <cellStyle name="Normal 104" xfId="75" xr:uid="{8315810F-2457-4AF3-BD59-ED603B484E33}"/>
    <cellStyle name="Normal 104 2" xfId="76" xr:uid="{EF21EC60-0345-4BF2-AA08-548B65EA5714}"/>
    <cellStyle name="Normal 105" xfId="77" xr:uid="{682CBB22-37CD-4864-9DFC-A29880CFA17A}"/>
    <cellStyle name="Normal 105 2" xfId="78" xr:uid="{2D55722D-415F-4078-B500-528830EFF0CD}"/>
    <cellStyle name="Normal 106" xfId="79" xr:uid="{86BE15AC-AE35-40CD-AAFA-AB800B159419}"/>
    <cellStyle name="Normal 106 2" xfId="80" xr:uid="{13D7D16C-30FC-4EF8-8896-64B49F84B146}"/>
    <cellStyle name="Normal 107" xfId="81" xr:uid="{00397ACC-344C-43ED-A343-22D0189CC253}"/>
    <cellStyle name="Normal 107 2" xfId="82" xr:uid="{FE270A84-5EAC-4199-A051-D3466674A745}"/>
    <cellStyle name="Normal 108" xfId="83" xr:uid="{43F29B50-0C9D-40D2-A0E8-3C033618DC4D}"/>
    <cellStyle name="Normal 108 2" xfId="84" xr:uid="{312D1428-9887-4D9B-B73A-F3AA054FEF93}"/>
    <cellStyle name="Normal 109" xfId="85" xr:uid="{8B431E03-F18C-4E23-814C-C6A74A7B2697}"/>
    <cellStyle name="Normal 11" xfId="86" xr:uid="{9DE32B9D-1BC2-4775-A943-BA1A7CF63A53}"/>
    <cellStyle name="Normal 11 2" xfId="87" xr:uid="{BF804D34-5B08-4A6D-BDC8-D5DA078EA443}"/>
    <cellStyle name="Normal 11 2 2" xfId="88" xr:uid="{05562845-1FA5-4F25-BE2F-C22145A682A7}"/>
    <cellStyle name="Normal 11 2_BOS Workings" xfId="89" xr:uid="{10740DA2-D89E-49EC-A25C-531B99E4326C}"/>
    <cellStyle name="Normal 11 3" xfId="90" xr:uid="{9DC4749B-A4F9-45EE-AFBC-E9F24ACCD613}"/>
    <cellStyle name="Normal 11_BOS Workings" xfId="91" xr:uid="{C7E5FD13-AEA4-47DE-9993-56ABD488B48C}"/>
    <cellStyle name="Normal 110" xfId="92" xr:uid="{E3BACBDB-050F-4218-AC46-EA0A1F75E923}"/>
    <cellStyle name="Normal 111" xfId="93" xr:uid="{B09E96C2-EC64-46AE-B523-0ECE8D37A57D}"/>
    <cellStyle name="Normal 112" xfId="94" xr:uid="{3AC03D3E-128A-4F87-9D5B-90396FD0DC9B}"/>
    <cellStyle name="Normal 113" xfId="95" xr:uid="{7174EDDA-9207-4B7D-8DB5-02E94665B70A}"/>
    <cellStyle name="Normal 114" xfId="96" xr:uid="{BC030851-CB6F-4ED4-AF03-401A4705913A}"/>
    <cellStyle name="Normal 115" xfId="97" xr:uid="{8A9FFBC9-FBDC-4181-A313-DF1D00952007}"/>
    <cellStyle name="Normal 116" xfId="98" xr:uid="{13B0BB09-34E5-452D-A826-F44FDA98F9D9}"/>
    <cellStyle name="Normal 117" xfId="99" xr:uid="{C2C8A0BE-E0F4-4711-8F48-674DB1644FF2}"/>
    <cellStyle name="Normal 118" xfId="100" xr:uid="{C305E014-3ECB-42EB-BC4D-85715A638F51}"/>
    <cellStyle name="Normal 119" xfId="101" xr:uid="{CFEECE8B-012E-4414-A340-DCD841372C7F}"/>
    <cellStyle name="Normal 12" xfId="102" xr:uid="{983E5542-76FC-47C2-B4A3-84D829B799E2}"/>
    <cellStyle name="Normal 12 2" xfId="103" xr:uid="{95ABDA68-6E7A-4435-82A5-C28298F3AA1A}"/>
    <cellStyle name="Normal 12 2 2" xfId="104" xr:uid="{CA92055D-CE2D-4E9E-A85D-1B934FC586F6}"/>
    <cellStyle name="Normal 12 2_BOS Workings" xfId="105" xr:uid="{30EA9FEA-02BB-4A7A-A5C8-8B5EDE74FF6B}"/>
    <cellStyle name="Normal 12 3" xfId="106" xr:uid="{8AAD58F0-B068-4099-A68F-42450FD07BD1}"/>
    <cellStyle name="Normal 12_BOS Workings" xfId="107" xr:uid="{B0369AE9-CF67-45D4-BFE7-B833063D9EBA}"/>
    <cellStyle name="Normal 120" xfId="53" xr:uid="{BE194E99-A428-4B3B-BE3D-43FD60A3B572}"/>
    <cellStyle name="Normal 120 2" xfId="443" xr:uid="{068FC9BC-BAC9-457F-A17D-D9869D1C5971}"/>
    <cellStyle name="Normal 121" xfId="402" xr:uid="{96EEBEB4-701E-4EB6-8FB8-3E9A57727770}"/>
    <cellStyle name="Normal 122" xfId="406" xr:uid="{FBE221FC-3F60-4E98-95A4-3AF48859750D}"/>
    <cellStyle name="Normal 123" xfId="408" xr:uid="{0FBCD99F-3DC9-475D-ABD5-0412B15A8BBA}"/>
    <cellStyle name="Normal 124" xfId="419" xr:uid="{BF259F11-AEA4-4467-99CD-42A499C3281D}"/>
    <cellStyle name="Normal 125" xfId="410" xr:uid="{1BE636FA-257D-4F92-A460-33BED31C9155}"/>
    <cellStyle name="Normal 126" xfId="421" xr:uid="{5CC134C4-5F39-4058-B248-4D27D2562C37}"/>
    <cellStyle name="Normal 127" xfId="423" xr:uid="{4E3E35A9-2217-45E2-BBD0-E1397EEFF99B}"/>
    <cellStyle name="Normal 127 2" xfId="508" xr:uid="{0B91239D-458E-4ACE-9742-C7F14DB9D4CB}"/>
    <cellStyle name="Normal 128" xfId="437" xr:uid="{3B739C20-AF77-494F-BF17-31BD14D5E6DA}"/>
    <cellStyle name="Normal 129" xfId="487" xr:uid="{FB9BB3F2-36E9-4196-B4AD-44AF44796EAD}"/>
    <cellStyle name="Normal 13" xfId="108" xr:uid="{E66D6BF0-6305-4B3A-B759-FF0953CFDAE8}"/>
    <cellStyle name="Normal 13 2" xfId="109" xr:uid="{F12DCFC7-D9E4-4289-9596-862127D815FD}"/>
    <cellStyle name="Normal 13 2 2" xfId="110" xr:uid="{5ED1AFF5-153A-4F59-813B-5535BD09A853}"/>
    <cellStyle name="Normal 13 2_BOS Workings" xfId="111" xr:uid="{CE1C9714-4A60-4D48-8E49-642DBA0C0A0B}"/>
    <cellStyle name="Normal 13 3" xfId="112" xr:uid="{9D14511C-CB68-418C-B5D4-7275EE124FA4}"/>
    <cellStyle name="Normal 13_BOS Workings" xfId="113" xr:uid="{21652B89-3C95-4B7A-AC3C-E1C5F499D77C}"/>
    <cellStyle name="Normal 130" xfId="510" xr:uid="{783F42A0-F33D-42A9-846D-FCF411C5F19A}"/>
    <cellStyle name="Normal 131" xfId="424" xr:uid="{C7FAFA05-5521-435E-94C4-76FB8278908D}"/>
    <cellStyle name="Normal 132" xfId="403" xr:uid="{02F7F230-DCA7-41C6-BABB-FCC0DF0635EC}"/>
    <cellStyle name="Normal 133" xfId="515" xr:uid="{43E99EA9-CD4C-4ECF-A850-3608D90EC389}"/>
    <cellStyle name="Normal 134" xfId="512" xr:uid="{55EEED56-F1D1-4771-A0D2-FB57544F984E}"/>
    <cellStyle name="Normal 14" xfId="114" xr:uid="{FECF4D9B-104C-4BF0-800F-E1FFF7004E2F}"/>
    <cellStyle name="Normal 14 2" xfId="115" xr:uid="{FAF435A5-6155-4837-8C95-F58DD3579CB1}"/>
    <cellStyle name="Normal 14_BOS Workings" xfId="116" xr:uid="{6C97F62D-BBCE-46B3-BB59-32C69F582ED4}"/>
    <cellStyle name="Normal 15" xfId="117" xr:uid="{E3415B7D-B97D-4265-BF1F-60AB83608223}"/>
    <cellStyle name="Normal 15 2" xfId="118" xr:uid="{67FF832F-2912-4874-92BF-876E6C6DB605}"/>
    <cellStyle name="Normal 15_BOS Workings" xfId="119" xr:uid="{EF1DAD3B-09AC-475E-B441-A1622A02056F}"/>
    <cellStyle name="Normal 16" xfId="120" xr:uid="{4F33A92C-DDAC-4BAD-BC5E-27C3433A63A2}"/>
    <cellStyle name="Normal 16 2" xfId="121" xr:uid="{1AFCFF8B-AE44-4F9F-B907-1C295CC7E1DA}"/>
    <cellStyle name="Normal 16_BOS Workings" xfId="122" xr:uid="{A166E8CB-4C23-4A7F-9ECE-2B1300CE2D9A}"/>
    <cellStyle name="Normal 17" xfId="123" xr:uid="{0B393831-3E66-447C-ADFE-729AF4AFC89E}"/>
    <cellStyle name="Normal 17 2" xfId="124" xr:uid="{4A5AAB5A-AE68-4AFE-B1F4-055A74980DEE}"/>
    <cellStyle name="Normal 17_BOS Workings" xfId="125" xr:uid="{76D6C929-9728-4E03-9193-F584B07A054A}"/>
    <cellStyle name="Normal 18" xfId="126" xr:uid="{ADDE16CA-6436-4E30-B7C6-457D9B0C63EF}"/>
    <cellStyle name="Normal 18 2" xfId="127" xr:uid="{CDCB4BF4-6B24-463A-B7D6-61FA25A4012D}"/>
    <cellStyle name="Normal 18_BOS Workings" xfId="128" xr:uid="{31EDDEE6-8B87-46B6-97D1-09AE62DE203C}"/>
    <cellStyle name="Normal 19" xfId="129" xr:uid="{B22952E3-F27D-4145-A530-DB7477629FD5}"/>
    <cellStyle name="Normal 19 2" xfId="130" xr:uid="{B9E84BDF-AEB7-4C81-9F25-DC24F175DE63}"/>
    <cellStyle name="Normal 19_BOS Workings" xfId="131" xr:uid="{079FF719-D25F-47CA-A0C1-D5501DE2AA07}"/>
    <cellStyle name="Normal 2" xfId="2" xr:uid="{5CD6EEE1-73B2-4911-9FC2-AF042D96273E}"/>
    <cellStyle name="Normal 2 2" xfId="26" xr:uid="{A8CF27B4-5E8E-4FBE-95EE-9F266E7C189D}"/>
    <cellStyle name="Normal 2 2 2" xfId="409" xr:uid="{45224DDB-CCEB-4B43-8ECB-3EEB4EA8D0CD}"/>
    <cellStyle name="Normal 2 2 2 2" xfId="497" xr:uid="{A27662A7-786E-430D-8C05-A04C6CE9E4CC}"/>
    <cellStyle name="Normal 2 2 2 3" xfId="431" xr:uid="{89397E33-873C-4BBE-909D-10BEEFC4D6DE}"/>
    <cellStyle name="Normal 2 2 3" xfId="429" xr:uid="{BEB03931-5C5F-4725-BEB8-A1FDBE0CD005}"/>
    <cellStyle name="Normal 2 2 4" xfId="132" xr:uid="{5C62CC66-E7C7-4E27-96E0-5289DF57E065}"/>
    <cellStyle name="Normal 20" xfId="133" xr:uid="{BCD3AD4E-4A5E-45D3-A0D6-9589D1E0D1A0}"/>
    <cellStyle name="Normal 20 2" xfId="134" xr:uid="{A2A7FE60-1A6B-4E8C-8725-E4405F6BFC7B}"/>
    <cellStyle name="Normal 20_BOS Workings" xfId="135" xr:uid="{CA6216D1-BD71-44A8-9B00-5A7C261B28DB}"/>
    <cellStyle name="Normal 21" xfId="136" xr:uid="{86C999F1-69FB-4234-8A25-2D7D81A8B4A7}"/>
    <cellStyle name="Normal 21 2" xfId="137" xr:uid="{9D1CE201-36B9-4A7E-9EC8-A09CBA17ADB2}"/>
    <cellStyle name="Normal 21_BOS Workings" xfId="138" xr:uid="{E046B27F-0AE6-40DE-8BD8-270557714A08}"/>
    <cellStyle name="Normal 22" xfId="139" xr:uid="{A9B6AA10-3EBA-491D-A6C0-2D18BAD55870}"/>
    <cellStyle name="Normal 22 2" xfId="140" xr:uid="{5BCB0E4E-1B99-40E4-9BFD-44E716A773FD}"/>
    <cellStyle name="Normal 22_BOS Workings" xfId="141" xr:uid="{B1154E2B-6A6E-412D-A670-D613710FCA5C}"/>
    <cellStyle name="Normal 23" xfId="142" xr:uid="{F87D9A2C-7F7A-424C-9903-4AEBAE687372}"/>
    <cellStyle name="Normal 23 2" xfId="143" xr:uid="{5B5268FB-4CD4-44A4-AB51-C2C581827EFC}"/>
    <cellStyle name="Normal 23_BOS Workings" xfId="144" xr:uid="{2586B54C-C842-4BFC-B8CD-AB6BF09EA83C}"/>
    <cellStyle name="Normal 24" xfId="145" xr:uid="{C13D2156-1F8C-42D6-9276-A61DC63DEE4D}"/>
    <cellStyle name="Normal 24 2" xfId="146" xr:uid="{29899A56-CFE4-4901-9028-4768BA4EC741}"/>
    <cellStyle name="Normal 24_BOS Workings" xfId="147" xr:uid="{2D652493-FE34-482E-B1B7-95CBCB58A37A}"/>
    <cellStyle name="Normal 25" xfId="148" xr:uid="{42F66524-8A2C-4954-BF81-36A26FE6000C}"/>
    <cellStyle name="Normal 25 2" xfId="149" xr:uid="{AA8997FA-EA26-46D0-9781-27685F4C7F4C}"/>
    <cellStyle name="Normal 25_BOS Workings" xfId="150" xr:uid="{E9E4B5CC-4DDF-4429-9EB9-68197B56EFD2}"/>
    <cellStyle name="Normal 26" xfId="151" xr:uid="{1DB796F0-C58B-4710-B8D5-23765C2F517A}"/>
    <cellStyle name="Normal 26 2" xfId="152" xr:uid="{1BA26888-1039-443B-9536-A75EE3C61073}"/>
    <cellStyle name="Normal 26_BOS Workings" xfId="153" xr:uid="{41400752-862D-47B5-821A-DDE2A1B35072}"/>
    <cellStyle name="Normal 27" xfId="154" xr:uid="{A44CF82B-8762-4627-AF04-8EC735EB234A}"/>
    <cellStyle name="Normal 27 2" xfId="155" xr:uid="{129D649F-1B56-4856-B248-43EFC030A594}"/>
    <cellStyle name="Normal 27_BOS Workings" xfId="156" xr:uid="{17E93E6E-8AC4-449B-A1DF-DAE5094597F9}"/>
    <cellStyle name="Normal 28" xfId="157" xr:uid="{ABAA4CF6-8A5D-4E74-9559-E28588CB0980}"/>
    <cellStyle name="Normal 28 2" xfId="158" xr:uid="{CD2C6BF7-4B17-4C74-ABD2-6343B638E043}"/>
    <cellStyle name="Normal 28_BOS Workings" xfId="159" xr:uid="{490C111F-508A-4F73-897F-AEF0C9C56FD9}"/>
    <cellStyle name="Normal 29" xfId="160" xr:uid="{32AC8329-71CE-42C1-ACB1-310273E24C0E}"/>
    <cellStyle name="Normal 29 2" xfId="161" xr:uid="{60FDD469-CD04-4E30-B89E-DBB910C41E04}"/>
    <cellStyle name="Normal 29_BOS Workings" xfId="162" xr:uid="{9987CD1D-B584-45CB-9A3A-68BE00D77E30}"/>
    <cellStyle name="Normal 3" xfId="6" xr:uid="{C135353D-12F2-4BE3-87DA-E1D6BBCC0536}"/>
    <cellStyle name="Normal 3 2" xfId="22" xr:uid="{DC682F85-8CFA-4AE6-80BC-88E74856F7A3}"/>
    <cellStyle name="Normal 3 2 2" xfId="164" xr:uid="{A5D87053-08F9-48F3-91BE-6E5B6B4A6C3E}"/>
    <cellStyle name="Normal 3 2 3" xfId="441" xr:uid="{12748C1B-494A-410A-B3D3-B973BBF334C0}"/>
    <cellStyle name="Normal 3 3" xfId="163" xr:uid="{5366EED9-564F-4ED0-8BA6-BD5F576248C2}"/>
    <cellStyle name="Normal 3 4" xfId="405" xr:uid="{9F9A432B-4307-4255-A985-89E67E13D668}"/>
    <cellStyle name="Normal 3 4 2" xfId="495" xr:uid="{AF998A21-CC40-4947-9133-6852B4B7BD1D}"/>
    <cellStyle name="Normal 3 5" xfId="439" xr:uid="{6595BFA0-D41D-4EA6-B84F-1F879498F1DF}"/>
    <cellStyle name="Normal 30" xfId="165" xr:uid="{7114A036-EE3E-463C-96EE-B9E4602CEFF4}"/>
    <cellStyle name="Normal 30 2" xfId="166" xr:uid="{E82E335E-6CD2-4DB6-A900-84AB8558BF6C}"/>
    <cellStyle name="Normal 30_BOS Workings" xfId="167" xr:uid="{3FB8C43F-0ACC-4209-B408-61C8D903970E}"/>
    <cellStyle name="Normal 31" xfId="168" xr:uid="{D1389F37-26CF-417F-965C-DB3C52574327}"/>
    <cellStyle name="Normal 31 2" xfId="169" xr:uid="{1CB47B70-F66A-4439-99D1-4EE699B9C177}"/>
    <cellStyle name="Normal 31_BOS Workings" xfId="170" xr:uid="{E425B117-D1CE-4043-B1AE-0A1DCD5426CF}"/>
    <cellStyle name="Normal 32" xfId="171" xr:uid="{1CFB3DEC-690A-45D1-82C5-9CF0347CB111}"/>
    <cellStyle name="Normal 32 2" xfId="172" xr:uid="{F4CDC795-94FA-47B4-9AB2-AC2928323308}"/>
    <cellStyle name="Normal 32_BOS Workings" xfId="173" xr:uid="{0BB1E7B6-DD9A-44B3-AFDE-4B58113ACCA2}"/>
    <cellStyle name="Normal 33" xfId="174" xr:uid="{A5A76DD7-793A-4A9C-B2C6-3A3C5A87FEED}"/>
    <cellStyle name="Normal 33 2" xfId="175" xr:uid="{E7E97CA0-3559-4B1D-B99E-61C2E5A14013}"/>
    <cellStyle name="Normal 33_BOS Workings" xfId="176" xr:uid="{95274A2C-12E0-4409-AA67-A3D6D6334C5B}"/>
    <cellStyle name="Normal 34" xfId="177" xr:uid="{96FB949D-5DB2-4663-A1D6-17695475AF98}"/>
    <cellStyle name="Normal 34 2" xfId="178" xr:uid="{232D3BF5-87F8-4999-AAB2-A005BD00ACF2}"/>
    <cellStyle name="Normal 34_BOS Workings" xfId="179" xr:uid="{AEF53D79-DF56-4691-B275-2CC9D81B0166}"/>
    <cellStyle name="Normal 35" xfId="180" xr:uid="{A59E6A79-278F-4447-BC92-CD8C7A2F3837}"/>
    <cellStyle name="Normal 35 2" xfId="181" xr:uid="{CA7ABF18-16E8-4608-AC61-AADB00B725D9}"/>
    <cellStyle name="Normal 35_BOS Workings" xfId="182" xr:uid="{D6647F89-5E73-4474-A134-BBE0470C11CA}"/>
    <cellStyle name="Normal 36" xfId="183" xr:uid="{C5C3F293-54CA-4900-A83C-BD3B516AF84E}"/>
    <cellStyle name="Normal 36 2" xfId="184" xr:uid="{CFE7A4F4-C7B9-4D7D-A3B3-05B1131D80AA}"/>
    <cellStyle name="Normal 36_BOS Workings" xfId="185" xr:uid="{B6165AAA-4BEF-48F2-A331-94638B7B5E79}"/>
    <cellStyle name="Normal 37" xfId="186" xr:uid="{83AF3B76-46CA-4BB3-82A0-9A62B902D6E6}"/>
    <cellStyle name="Normal 37 2" xfId="187" xr:uid="{4778EB6B-C9A4-4F13-9961-4276939DC058}"/>
    <cellStyle name="Normal 37_BOS Workings" xfId="188" xr:uid="{A89CB7E6-6319-4579-AC41-7DB7E4240682}"/>
    <cellStyle name="Normal 38" xfId="189" xr:uid="{0C6DAEBE-AEB8-4AA9-ADAC-2CC965958384}"/>
    <cellStyle name="Normal 38 2" xfId="190" xr:uid="{FC745F9F-8DFB-4F69-B946-F4C230797646}"/>
    <cellStyle name="Normal 38_BOS Workings" xfId="191" xr:uid="{7BA5EAD5-D661-4055-AC55-78D1C2D16FCA}"/>
    <cellStyle name="Normal 39" xfId="192" xr:uid="{A429AB19-CDA9-4413-A60E-8CB43538CB21}"/>
    <cellStyle name="Normal 39 2" xfId="193" xr:uid="{E15079C6-185D-4E61-B878-F656E4121D2B}"/>
    <cellStyle name="Normal 39_BOS Workings" xfId="194" xr:uid="{02AA757D-6AA8-4C8A-A3C2-B606CF8D396F}"/>
    <cellStyle name="Normal 4" xfId="19" xr:uid="{3323516C-977C-4042-A7FC-2D767BA33364}"/>
    <cellStyle name="Normal 4 2" xfId="196" xr:uid="{C0FE3B07-8EF8-406E-A395-29685901A598}"/>
    <cellStyle name="Normal 4 3" xfId="197" xr:uid="{07853817-0D70-4297-AA37-DF93338D231F}"/>
    <cellStyle name="Normal 4 4" xfId="195" xr:uid="{829A2F0E-2736-4FCF-9E09-CE51596ACFA1}"/>
    <cellStyle name="Normal 4_BOS Workings" xfId="198" xr:uid="{B044E220-2CC0-43B1-AA47-EC11C3D69E3C}"/>
    <cellStyle name="Normal 40" xfId="199" xr:uid="{5B768891-0A3A-49AC-A789-CD889E56555D}"/>
    <cellStyle name="Normal 40 2" xfId="200" xr:uid="{B2B33082-782E-4CF3-A8A4-ED786EDDF684}"/>
    <cellStyle name="Normal 40_BOS Workings" xfId="201" xr:uid="{2282F46E-8100-406D-846F-92D5E3E2EB8A}"/>
    <cellStyle name="Normal 41" xfId="202" xr:uid="{F06B73C2-90B3-4F26-9088-2AACAA46B28E}"/>
    <cellStyle name="Normal 41 2" xfId="203" xr:uid="{B7B11FA3-923E-41D6-B0CD-7BE39C2E520C}"/>
    <cellStyle name="Normal 41_BOS Workings" xfId="204" xr:uid="{99BD2D1A-88BB-44D1-93FD-BD78A4E42604}"/>
    <cellStyle name="Normal 42" xfId="205" xr:uid="{1FB3CBF8-D103-49CF-B2F4-E8E6A1EFCDE5}"/>
    <cellStyle name="Normal 42 2" xfId="206" xr:uid="{840D1FF9-CB57-4C8F-A232-3D2E33293A8E}"/>
    <cellStyle name="Normal 42_BOS Workings" xfId="207" xr:uid="{F4B2BF08-2F83-47ED-9A4A-D6F34CCB6FCD}"/>
    <cellStyle name="Normal 43" xfId="208" xr:uid="{42ADBFFB-970B-449F-938A-34AF9B26AD2C}"/>
    <cellStyle name="Normal 43 2" xfId="209" xr:uid="{2DEDEAD4-4900-4F8F-8435-521F34F387EB}"/>
    <cellStyle name="Normal 43_BOS Workings" xfId="210" xr:uid="{0836007E-8486-4AEE-BFF7-E73EAB5859F2}"/>
    <cellStyle name="Normal 44" xfId="211" xr:uid="{E22B7E01-F726-4BB8-B4B1-6CF38C55AF9D}"/>
    <cellStyle name="Normal 44 2" xfId="212" xr:uid="{3E19B036-3738-4389-B86D-F48E4CCEE697}"/>
    <cellStyle name="Normal 44_BOS Workings" xfId="213" xr:uid="{7AB424FF-6160-422C-A381-1189F66273A4}"/>
    <cellStyle name="Normal 45" xfId="214" xr:uid="{BDC01DED-EA5B-4121-93AF-56147EE4256E}"/>
    <cellStyle name="Normal 45 2" xfId="215" xr:uid="{ADE865D1-9264-4495-BEE4-7EEB38A57F33}"/>
    <cellStyle name="Normal 45_BOS Workings" xfId="216" xr:uid="{B94F3F54-5B50-4F3A-98B1-F5B27789B680}"/>
    <cellStyle name="Normal 46" xfId="217" xr:uid="{13F9430D-73C0-4F6A-A5E4-DC8F34E9A04B}"/>
    <cellStyle name="Normal 46 2" xfId="218" xr:uid="{88607176-4F71-422F-BB53-FB45938DFF05}"/>
    <cellStyle name="Normal 46_BOS Workings" xfId="219" xr:uid="{3DDE28C2-BDEB-4987-AB79-32F23179F4E0}"/>
    <cellStyle name="Normal 47" xfId="220" xr:uid="{98094E5B-9C35-4A97-907B-C34BE68903B1}"/>
    <cellStyle name="Normal 47 2" xfId="221" xr:uid="{2F2748EE-4893-40F0-B252-AC0FED594319}"/>
    <cellStyle name="Normal 47_BOS Workings" xfId="222" xr:uid="{004BDBC2-98C0-4B63-AD2E-B6A4018F68D1}"/>
    <cellStyle name="Normal 48" xfId="223" xr:uid="{5FC85764-4DE3-4ED4-91B5-7E05F562D1CF}"/>
    <cellStyle name="Normal 48 2" xfId="224" xr:uid="{E8A89B62-EE28-410F-B093-41933E94E10D}"/>
    <cellStyle name="Normal 48_BOS Workings" xfId="225" xr:uid="{0BE7A44C-BC5D-45E2-84A5-ED90B5892354}"/>
    <cellStyle name="Normal 49" xfId="226" xr:uid="{3502BFC6-328C-456E-9C26-C275BCC05F0A}"/>
    <cellStyle name="Normal 49 2" xfId="227" xr:uid="{15C83ABE-92F7-4DC9-9EB7-E1D92B351304}"/>
    <cellStyle name="Normal 49_BOS Workings" xfId="228" xr:uid="{30784A3D-2E25-4EFD-AB4B-0628401A2E1C}"/>
    <cellStyle name="Normal 5" xfId="8" xr:uid="{B1131746-632F-45C9-982D-DE2E1C77D05E}"/>
    <cellStyle name="Normal 5 2" xfId="230" xr:uid="{87159314-FC21-4530-B277-F19908B0668E}"/>
    <cellStyle name="Normal 5 2 2" xfId="9" xr:uid="{E46CAC58-EF0B-473C-9358-916C5A05C5ED}"/>
    <cellStyle name="Normal 5 3" xfId="229" xr:uid="{6AACACC5-77E8-4B04-9A5B-631766CD695A}"/>
    <cellStyle name="Normal 5_BOS Workings" xfId="231" xr:uid="{5C165632-115F-4728-822F-613B0AAAC1D8}"/>
    <cellStyle name="Normal 50" xfId="232" xr:uid="{327FEEAE-EECB-493D-AA27-175E20DB1ED7}"/>
    <cellStyle name="Normal 50 2" xfId="233" xr:uid="{A73C05B9-86A4-49EA-B08E-DD235F244079}"/>
    <cellStyle name="Normal 50_BOS Workings" xfId="234" xr:uid="{D2876AC2-3204-4CA5-943F-68CEBDE54442}"/>
    <cellStyle name="Normal 51" xfId="235" xr:uid="{ACCC78E9-E637-4EB2-BB1D-204DBB65C3F1}"/>
    <cellStyle name="Normal 51 2" xfId="236" xr:uid="{0D4B0237-5C48-4EA9-82FD-61E220E4BAD0}"/>
    <cellStyle name="Normal 51_BOS Workings" xfId="237" xr:uid="{FFBCCEE3-A6D9-4521-928E-E9D9BF425146}"/>
    <cellStyle name="Normal 52" xfId="238" xr:uid="{9077E579-E357-48E6-87A4-5E393BA42BA5}"/>
    <cellStyle name="Normal 52 2" xfId="239" xr:uid="{EAB21D42-7864-466E-B3E5-3E0106A31631}"/>
    <cellStyle name="Normal 52_BOS Workings" xfId="240" xr:uid="{9EAB7617-3622-4B3F-921D-175B79A73532}"/>
    <cellStyle name="Normal 53" xfId="241" xr:uid="{227BC4E0-70B0-4191-A07B-7FCB00EA727B}"/>
    <cellStyle name="Normal 53 2" xfId="242" xr:uid="{0D3DB4AB-45C9-4948-A1E0-6BE41CC16C33}"/>
    <cellStyle name="Normal 53_BOS Workings" xfId="243" xr:uid="{633628DC-5F68-44F6-91A9-711B4B03FD52}"/>
    <cellStyle name="Normal 54" xfId="244" xr:uid="{126C951C-A21C-49EA-BA93-91749AF0AD21}"/>
    <cellStyle name="Normal 54 2" xfId="245" xr:uid="{81B4EA6F-59B1-4D3E-914D-F242790A5EF0}"/>
    <cellStyle name="Normal 54_BOS Workings" xfId="246" xr:uid="{3D313962-401B-4FDD-808C-61426360CECD}"/>
    <cellStyle name="Normal 55" xfId="247" xr:uid="{34C9B598-B1A5-457B-ABE2-90D84E9D7014}"/>
    <cellStyle name="Normal 55 2" xfId="248" xr:uid="{274ED7B3-E40D-402E-B175-2DDBFE7B9A9E}"/>
    <cellStyle name="Normal 55_BOS Workings" xfId="249" xr:uid="{7C42BBE1-A213-46BC-83ED-D78455F67180}"/>
    <cellStyle name="Normal 56" xfId="250" xr:uid="{8DC566E8-092A-4807-88E1-8BAB18008B0E}"/>
    <cellStyle name="Normal 56 2" xfId="251" xr:uid="{703887B9-F340-47A5-B15D-59956A957999}"/>
    <cellStyle name="Normal 56_BOS Workings" xfId="252" xr:uid="{7D39BFF2-C27F-4CBF-81E2-577974FECD18}"/>
    <cellStyle name="Normal 57" xfId="253" xr:uid="{AAAE7A8B-2932-433D-BE3E-70AC5378B03A}"/>
    <cellStyle name="Normal 57 2" xfId="254" xr:uid="{E76124FB-4D51-433E-ADBE-65FD51FE01C4}"/>
    <cellStyle name="Normal 57_BOS Workings" xfId="255" xr:uid="{D620150C-0B95-4273-8248-AF63A1CDABA9}"/>
    <cellStyle name="Normal 58" xfId="256" xr:uid="{03B6A1E6-6E57-41D5-A3F0-3179A7F74FEE}"/>
    <cellStyle name="Normal 58 2" xfId="257" xr:uid="{118C2D53-8D29-4D89-9B9D-7C96065CF518}"/>
    <cellStyle name="Normal 58_BOS Workings" xfId="258" xr:uid="{F1DF0CFC-EB85-48CC-980A-EA1441529A08}"/>
    <cellStyle name="Normal 59" xfId="259" xr:uid="{E43C4CDE-46A3-4A29-BF02-BF80ED48EE30}"/>
    <cellStyle name="Normal 59 2" xfId="260" xr:uid="{39401940-CFDF-4B69-A192-2DBE7D9F504C}"/>
    <cellStyle name="Normal 59_BOS Workings" xfId="261" xr:uid="{ADB0284A-65DB-46A4-A426-C0B611D81504}"/>
    <cellStyle name="Normal 6" xfId="262" xr:uid="{AD8135B6-DED2-4453-811B-F2B531952300}"/>
    <cellStyle name="Normal 6 2" xfId="263" xr:uid="{8F4CB200-BADC-4B43-BBF8-D49A96006D01}"/>
    <cellStyle name="Normal 6_BOS Workings" xfId="264" xr:uid="{A6D76880-7C3C-4E8E-B53A-A70533F47CF0}"/>
    <cellStyle name="Normal 60" xfId="265" xr:uid="{FD06F282-ACB3-40A9-9C2D-45228319ACE3}"/>
    <cellStyle name="Normal 60 2" xfId="266" xr:uid="{AA43F7CF-90FD-4081-9757-63E9BC26BBAE}"/>
    <cellStyle name="Normal 60_BOS Workings" xfId="267" xr:uid="{F94D4B9B-DBE1-4C0E-AF70-C17FD9CC8D20}"/>
    <cellStyle name="Normal 61" xfId="268" xr:uid="{9AC01A49-9A5E-4145-9E10-82BDEF2735DD}"/>
    <cellStyle name="Normal 61 2" xfId="269" xr:uid="{3130F36E-128E-4B4A-A4C1-F3AD1036A273}"/>
    <cellStyle name="Normal 61_BOS Workings" xfId="270" xr:uid="{F9F055FA-D384-4355-9F25-099B2524048F}"/>
    <cellStyle name="Normal 62" xfId="271" xr:uid="{29B71A80-80B8-43D3-B3EC-7CB6B8A7DF26}"/>
    <cellStyle name="Normal 62 2" xfId="272" xr:uid="{1C793871-8D39-4493-B094-BFCF4E02E040}"/>
    <cellStyle name="Normal 62_BOS Workings" xfId="273" xr:uid="{8D188A56-D332-4C95-BC38-6ECC5059D8E3}"/>
    <cellStyle name="Normal 63" xfId="274" xr:uid="{0A5B99FA-E607-4F38-B60B-AD87FA09F39D}"/>
    <cellStyle name="Normal 63 2" xfId="275" xr:uid="{4D03A2FF-10AA-43BA-A56F-A89CA1987242}"/>
    <cellStyle name="Normal 63_BOS Workings" xfId="276" xr:uid="{C6CD0408-4FDB-4A32-87DE-E1298E0CD72A}"/>
    <cellStyle name="Normal 64" xfId="277" xr:uid="{7045DEB9-7F85-41B7-AF19-23E78B0998F2}"/>
    <cellStyle name="Normal 64 2" xfId="278" xr:uid="{D6E6CACA-39A2-493F-9F35-486B6FD601A0}"/>
    <cellStyle name="Normal 64_BOS Workings" xfId="279" xr:uid="{910553CB-4D13-47BE-9B4B-AFDA9239F0F3}"/>
    <cellStyle name="Normal 65" xfId="280" xr:uid="{34D63E45-F201-44BB-93AE-8A9AB15D2AD6}"/>
    <cellStyle name="Normal 65 2" xfId="281" xr:uid="{34AC16C6-EF5A-4DA8-9085-9598ECBC7FC1}"/>
    <cellStyle name="Normal 65_BOS Workings" xfId="282" xr:uid="{848B293C-891B-4B2F-B07B-A6FEEF679A7A}"/>
    <cellStyle name="Normal 66" xfId="283" xr:uid="{6B4FB869-F7F4-461C-A2E5-8A155D88DAAF}"/>
    <cellStyle name="Normal 66 2" xfId="284" xr:uid="{B9687DC0-1721-44F4-9761-629C952B109D}"/>
    <cellStyle name="Normal 66_BOS Workings" xfId="285" xr:uid="{9CF3CC98-9820-403E-A04A-0D828F2AFC5F}"/>
    <cellStyle name="Normal 67" xfId="286" xr:uid="{E6E34585-BF34-4F6D-AD1F-4719260568B7}"/>
    <cellStyle name="Normal 67 2" xfId="287" xr:uid="{C78ED571-ECCD-4D7A-BB50-DE1E0FC3C21B}"/>
    <cellStyle name="Normal 67_BOS Workings" xfId="288" xr:uid="{295D0DE0-8B96-45D8-9EF9-8825A408BA3D}"/>
    <cellStyle name="Normal 68" xfId="289" xr:uid="{2C50688E-0089-4EDD-B683-4F46191117D2}"/>
    <cellStyle name="Normal 68 2" xfId="290" xr:uid="{228413F7-D051-4F7B-867F-3182F79C5BB3}"/>
    <cellStyle name="Normal 68_BOS Workings" xfId="291" xr:uid="{EDBF6185-1B85-47E5-A641-F0305BF6E7B4}"/>
    <cellStyle name="Normal 69" xfId="292" xr:uid="{AD33A02F-6316-4EA8-AA8A-CD23AEBC645F}"/>
    <cellStyle name="Normal 69 2" xfId="293" xr:uid="{58B0EEAB-854F-4E06-9069-9217FC7CE317}"/>
    <cellStyle name="Normal 69_BOS Workings" xfId="294" xr:uid="{24266580-5130-49C1-801A-6EE3AFD128CC}"/>
    <cellStyle name="Normal 7" xfId="295" xr:uid="{0FA5537F-AE85-4C3B-83A9-872AF6588A17}"/>
    <cellStyle name="Normal 7 2" xfId="296" xr:uid="{7F96D62B-9731-4A35-8800-9B7C273FBDD5}"/>
    <cellStyle name="Normal 7_BOS Workings" xfId="297" xr:uid="{E6D4E7F7-B778-4A43-8366-2A1832EFFF5B}"/>
    <cellStyle name="Normal 70" xfId="298" xr:uid="{B0F6BF30-09F0-420F-AFC5-DBF893800568}"/>
    <cellStyle name="Normal 70 2" xfId="299" xr:uid="{AFEF6B8E-F1E9-4F3E-AECE-7BA1C4B89698}"/>
    <cellStyle name="Normal 70_BOS Workings" xfId="300" xr:uid="{D49E67EF-E0B0-413F-B43E-502352927A50}"/>
    <cellStyle name="Normal 71" xfId="301" xr:uid="{261CDE99-A1C5-4388-AE2C-E63C34C1F9B7}"/>
    <cellStyle name="Normal 71 2" xfId="302" xr:uid="{71A73DC9-8EE8-468D-B5B3-4BAEB64FD93F}"/>
    <cellStyle name="Normal 71_BOS Workings" xfId="303" xr:uid="{CE58CACC-BDBE-47B2-BDA5-5F7DC8956AEE}"/>
    <cellStyle name="Normal 72" xfId="304" xr:uid="{172059AB-783B-4BF3-BBE4-B0228B37D0EC}"/>
    <cellStyle name="Normal 72 2" xfId="305" xr:uid="{6846A3A8-87C1-4AE9-82B7-D6C7C76F0BE7}"/>
    <cellStyle name="Normal 72_BOS Workings" xfId="306" xr:uid="{E4D193F7-A608-4A7D-9662-C59EE57D0652}"/>
    <cellStyle name="Normal 73" xfId="307" xr:uid="{F61E9884-F4D2-4116-B1D7-D111CE0978D8}"/>
    <cellStyle name="Normal 73 2" xfId="308" xr:uid="{302F982D-305A-4642-9D01-12F7CEAC34B3}"/>
    <cellStyle name="Normal 73_BOS Workings" xfId="309" xr:uid="{6C0A926F-4DCE-4D92-9745-95210BF1E38B}"/>
    <cellStyle name="Normal 74" xfId="310" xr:uid="{47464976-F3B8-4B95-8DCE-A40E60460BA7}"/>
    <cellStyle name="Normal 74 2" xfId="311" xr:uid="{9276FF5A-7C82-4D9F-B412-72DB9688A15E}"/>
    <cellStyle name="Normal 74_BOS Workings" xfId="312" xr:uid="{BAFC5C6B-03EE-49B1-9036-089B85E3AC2F}"/>
    <cellStyle name="Normal 75" xfId="313" xr:uid="{4090A243-5754-46C9-A0B1-C95390990EC0}"/>
    <cellStyle name="Normal 75 2" xfId="314" xr:uid="{EE06F97D-F58C-4912-B069-9EA03D390F38}"/>
    <cellStyle name="Normal 75_BOS Workings" xfId="315" xr:uid="{906D02CE-889C-47C5-AE25-29D388C4807C}"/>
    <cellStyle name="Normal 76" xfId="316" xr:uid="{DEDC0DC1-6971-4DD9-83DE-2B56D598DC27}"/>
    <cellStyle name="Normal 76 2" xfId="317" xr:uid="{7F8B2D69-982E-4C98-9738-FE6400F77292}"/>
    <cellStyle name="Normal 76_BOS Workings" xfId="318" xr:uid="{D20D1632-53BA-48F7-A077-7B6D55440456}"/>
    <cellStyle name="Normal 77" xfId="319" xr:uid="{1A5F4E41-94A8-4888-B811-936EFBC98AA1}"/>
    <cellStyle name="Normal 77 2" xfId="320" xr:uid="{D5D25AF8-D469-4648-9A7B-3B8152BCB6E8}"/>
    <cellStyle name="Normal 77_BOS Workings" xfId="321" xr:uid="{F1275988-E1E8-4DAA-9836-C577D27D415B}"/>
    <cellStyle name="Normal 78" xfId="322" xr:uid="{20028E77-5B23-4227-9907-C648C8DB8F21}"/>
    <cellStyle name="Normal 78 2" xfId="323" xr:uid="{F4928F8C-2794-4D43-A126-9EFB1F60E7D1}"/>
    <cellStyle name="Normal 78_BOS Workings" xfId="324" xr:uid="{3D36F378-AB90-4819-953D-BEA80B5A772E}"/>
    <cellStyle name="Normal 79" xfId="325" xr:uid="{21AF212A-F6C9-4681-8ECE-B3384543A8BF}"/>
    <cellStyle name="Normal 79 2" xfId="326" xr:uid="{6609181A-0A35-4447-9FDC-29FB3260E7A8}"/>
    <cellStyle name="Normal 79_BOS Workings" xfId="327" xr:uid="{F278E557-4A93-4042-9823-7A6302024F33}"/>
    <cellStyle name="Normal 8" xfId="328" xr:uid="{DDB5E69A-ED72-4F04-90A1-C0E76D925644}"/>
    <cellStyle name="Normal 8 2" xfId="329" xr:uid="{F2FBCAA8-FF8E-4BB8-B19D-6AEE288AB7AE}"/>
    <cellStyle name="Normal 8_BOS Workings" xfId="330" xr:uid="{984D2817-0357-4502-B6F7-863C668DF112}"/>
    <cellStyle name="Normal 80" xfId="331" xr:uid="{623803B7-C083-44AD-B1AC-3D7152914CFC}"/>
    <cellStyle name="Normal 80 2" xfId="332" xr:uid="{808C2A6B-48F7-4455-906C-0EC1FD7C8099}"/>
    <cellStyle name="Normal 80_BOS Workings" xfId="333" xr:uid="{0D12511B-AF8F-4D5E-BF62-6AC6C6F161BC}"/>
    <cellStyle name="Normal 81" xfId="334" xr:uid="{6418DE69-72F2-434C-9DD3-0EBCFFB4FF3E}"/>
    <cellStyle name="Normal 81 2" xfId="335" xr:uid="{1F5FBE46-3BB8-4866-B4BA-707896D552D1}"/>
    <cellStyle name="Normal 81_BOS Workings" xfId="336" xr:uid="{182783AC-D5BC-4277-B597-B26908D74DC0}"/>
    <cellStyle name="Normal 82" xfId="337" xr:uid="{E285E9A0-EED4-46EC-B178-47A4A3163A69}"/>
    <cellStyle name="Normal 82 2" xfId="338" xr:uid="{BE809904-157C-45B2-8D28-1A0DEA147657}"/>
    <cellStyle name="Normal 82_BOS Workings" xfId="339" xr:uid="{EED9FF27-E4D0-437D-9ACE-1E99B6FDCCFA}"/>
    <cellStyle name="Normal 83" xfId="340" xr:uid="{6689DBFE-BDCB-4EC5-BB4D-797E5D36FDCD}"/>
    <cellStyle name="Normal 83 2" xfId="341" xr:uid="{CA68FF0D-01FE-426A-9E6D-26B6F5DB2D38}"/>
    <cellStyle name="Normal 83_BOS Workings" xfId="342" xr:uid="{9BBB25CE-D09E-47C1-BA9E-212A5A6403C7}"/>
    <cellStyle name="Normal 84" xfId="343" xr:uid="{F4662D6F-7BA8-40EC-A952-E2115B13B5D7}"/>
    <cellStyle name="Normal 84 2" xfId="344" xr:uid="{8A14CAEF-B944-4090-9956-AB41F2A94AE3}"/>
    <cellStyle name="Normal 84_BOS Workings" xfId="345" xr:uid="{8EEB6D81-55A7-4845-979E-0A4C765E7003}"/>
    <cellStyle name="Normal 85" xfId="346" xr:uid="{535FE72D-0199-443B-8D1D-644B90918691}"/>
    <cellStyle name="Normal 85 2" xfId="347" xr:uid="{1C0D0697-B54F-4517-BD1B-25073B1275D3}"/>
    <cellStyle name="Normal 85_BOS Workings" xfId="348" xr:uid="{DA20D5A5-F82B-4C72-946E-EFC647742035}"/>
    <cellStyle name="Normal 86" xfId="349" xr:uid="{8C2C634A-4EB6-473B-A127-8DB345AEBE36}"/>
    <cellStyle name="Normal 86 2" xfId="350" xr:uid="{A0A51C39-C4BC-4AD6-9553-13807B59A154}"/>
    <cellStyle name="Normal 86_BOS Workings" xfId="351" xr:uid="{37C0AD00-9855-4A7B-B1CD-1C23A6967FDF}"/>
    <cellStyle name="Normal 87" xfId="352" xr:uid="{AFDE32AE-C9E2-4847-8A73-ABA9E8F1A32E}"/>
    <cellStyle name="Normal 87 2" xfId="353" xr:uid="{9DCD83C3-6E2C-48D0-8B8D-CB8809D240BB}"/>
    <cellStyle name="Normal 87_BOS Workings" xfId="354" xr:uid="{CBEFDD39-39B2-4F3D-9AB6-F9B2E3F4A4D8}"/>
    <cellStyle name="Normal 88" xfId="355" xr:uid="{C7CDA7A0-DBA8-4027-A695-D5082562A858}"/>
    <cellStyle name="Normal 88 2" xfId="356" xr:uid="{02637C4A-70D9-488F-A3AF-77FAF8FD2637}"/>
    <cellStyle name="Normal 88_BOS Workings" xfId="357" xr:uid="{CC5CE73E-F466-496C-A86B-55832928CD4B}"/>
    <cellStyle name="Normal 89" xfId="358" xr:uid="{865BB7ED-1845-4036-9DF3-7B7431E4462D}"/>
    <cellStyle name="Normal 89 2" xfId="359" xr:uid="{767D2FDB-4494-44F9-B7D4-8E4BE0BF7484}"/>
    <cellStyle name="Normal 89_BOS Workings" xfId="360" xr:uid="{DB2ACD5C-BBF0-4726-84A6-28A9B0D5FB19}"/>
    <cellStyle name="Normal 9" xfId="361" xr:uid="{0857621C-93B3-40C3-8877-C47BE5ED8B15}"/>
    <cellStyle name="Normal 9 2" xfId="362" xr:uid="{3514A5D3-1F14-4FD6-B4BF-958408BB501A}"/>
    <cellStyle name="Normal 9 3" xfId="363" xr:uid="{A2658CB1-B81B-47D0-939C-4F7B84D13893}"/>
    <cellStyle name="Normal 9 3 2" xfId="364" xr:uid="{49158EAF-9F82-4F94-9B12-5BB504B92E99}"/>
    <cellStyle name="Normal 9 3_BOS Workings" xfId="365" xr:uid="{5060CBDA-81DB-417A-97F0-D3944C390E6E}"/>
    <cellStyle name="Normal 90" xfId="366" xr:uid="{2F30C18D-5524-4F13-B9D5-5C717A94B750}"/>
    <cellStyle name="Normal 90 2" xfId="367" xr:uid="{EC079301-E2C2-4F8E-A1A2-45640FA8665E}"/>
    <cellStyle name="Normal 91" xfId="368" xr:uid="{232BB448-02E7-4B42-9688-1F3670ADAF46}"/>
    <cellStyle name="Normal 91 2" xfId="369" xr:uid="{BEBFACDA-DB28-4EA0-A7F6-F3B88B40A196}"/>
    <cellStyle name="Normal 92" xfId="370" xr:uid="{1F669090-37E5-4E94-A92F-42A5669069A4}"/>
    <cellStyle name="Normal 92 2" xfId="371" xr:uid="{8C22F971-89A9-44B0-B7C1-332CBDC18DF9}"/>
    <cellStyle name="Normal 93" xfId="372" xr:uid="{6794321A-488E-4FF5-9C3F-5BC04C40FDF9}"/>
    <cellStyle name="Normal 93 2" xfId="373" xr:uid="{AD4B48F7-A8FF-431C-A367-E4C75999AF73}"/>
    <cellStyle name="Normal 94" xfId="374" xr:uid="{861EF1C1-8125-4DEE-A38E-28E03D868E02}"/>
    <cellStyle name="Normal 94 2" xfId="375" xr:uid="{29EBB6E0-175D-4C26-8D5B-35ED8EE01D69}"/>
    <cellStyle name="Normal 95" xfId="376" xr:uid="{1575ACD7-180B-422F-BB57-E2D2CE0883FA}"/>
    <cellStyle name="Normal 95 2" xfId="377" xr:uid="{2ABAFC74-FB30-43E7-BF38-7EB43AD76A2F}"/>
    <cellStyle name="Normal 95 3" xfId="378" xr:uid="{C6902686-CC74-4280-8AAC-C4F700A97810}"/>
    <cellStyle name="Normal 96" xfId="379" xr:uid="{7C169ED7-586F-45D6-8669-CAF846B85908}"/>
    <cellStyle name="Normal 96 2" xfId="380" xr:uid="{CEA2FE77-C74A-4B5F-9158-3986F436E8F0}"/>
    <cellStyle name="Normal 96 3" xfId="381" xr:uid="{5C6769AA-A00F-45C1-8D92-75DD0981808B}"/>
    <cellStyle name="Normal 97" xfId="382" xr:uid="{1B05250C-A084-4C8D-97F8-010AB553EF55}"/>
    <cellStyle name="Normal 97 2" xfId="383" xr:uid="{45C653F2-AA99-495E-AE43-13D24AA95718}"/>
    <cellStyle name="Normal 98" xfId="384" xr:uid="{42C77CA0-29A6-4C7A-BACB-E421DAD7FE18}"/>
    <cellStyle name="Normal 98 2" xfId="385" xr:uid="{DE058C38-9A9A-4336-966F-8CE6B58475DF}"/>
    <cellStyle name="Normal 99" xfId="386" xr:uid="{7F6330B2-B8F9-44CF-80C2-8D7E7F7AF6D3}"/>
    <cellStyle name="Normal 99 2" xfId="387" xr:uid="{190E7C4E-707C-4D9D-A7F3-4D8172D7687A}"/>
    <cellStyle name="Normale_Scen_UC_IND-StrucConst" xfId="5" xr:uid="{E476D790-1C54-4E5F-B760-26368DAD3F7D}"/>
    <cellStyle name="Output 2" xfId="477" xr:uid="{8912C897-97D7-4C68-A4E8-A7540EE32DCC}"/>
    <cellStyle name="Percent" xfId="3" builtinId="5"/>
    <cellStyle name="Percent 2" xfId="7" xr:uid="{DE86C1D4-2BEC-4707-8CF0-C6F886097198}"/>
    <cellStyle name="Percent 3" xfId="10" xr:uid="{225779D0-4AD1-426A-91E2-FC406D70F71E}"/>
    <cellStyle name="Percent 3 2" xfId="444" xr:uid="{395DAB91-A636-45D3-91EB-3DB8C70BB3F2}"/>
    <cellStyle name="Percent 4" xfId="20" xr:uid="{ECAE8F51-87B4-4552-89A0-DEE394256AAA}"/>
    <cellStyle name="Percent 5" xfId="426" xr:uid="{D6BDDF2E-75F8-43F6-93D6-ACED62E3C5CE}"/>
    <cellStyle name="Title 2" xfId="395" xr:uid="{EE377FC4-D777-47F3-A499-78E7390DC1DF}"/>
    <cellStyle name="Title 3" xfId="509" xr:uid="{789109BC-8823-4BEC-A43B-84F9723B1B7E}"/>
    <cellStyle name="Total 2" xfId="471" xr:uid="{54F81CE7-B6F5-4B0B-A0A1-695E08C2D6B4}"/>
    <cellStyle name="Warning Text 2" xfId="473" xr:uid="{FB0B32B4-4FF7-4D3F-99B5-CAE4BFE1C21C}"/>
  </cellStyles>
  <dxfs count="0"/>
  <tableStyles count="0" defaultTableStyle="TableStyleMedium9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Drop" dropStyle="combo" dx="39" fmlaLink="$A$4" fmlaRange="$A$5:$A$7" noThreeD="1" sel="1" val="0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5" Type="http://schemas.openxmlformats.org/officeDocument/2006/relationships/image" Target="../media/image5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1</xdr:rowOff>
    </xdr:from>
    <xdr:to>
      <xdr:col>4</xdr:col>
      <xdr:colOff>14325</xdr:colOff>
      <xdr:row>12</xdr:row>
      <xdr:rowOff>38212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1"/>
          <a:ext cx="5796000" cy="2324211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38</xdr:row>
      <xdr:rowOff>0</xdr:rowOff>
    </xdr:from>
    <xdr:to>
      <xdr:col>1</xdr:col>
      <xdr:colOff>2683</xdr:colOff>
      <xdr:row>41</xdr:row>
      <xdr:rowOff>4500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20" t="8935" r="7748" b="12927"/>
        <a:stretch/>
      </xdr:blipFill>
      <xdr:spPr>
        <a:xfrm>
          <a:off x="19050" y="8810625"/>
          <a:ext cx="1431433" cy="576000"/>
        </a:xfrm>
        <a:prstGeom prst="rect">
          <a:avLst/>
        </a:prstGeom>
      </xdr:spPr>
    </xdr:pic>
    <xdr:clientData/>
  </xdr:twoCellAnchor>
  <xdr:twoCellAnchor editAs="oneCell">
    <xdr:from>
      <xdr:col>1</xdr:col>
      <xdr:colOff>509323</xdr:colOff>
      <xdr:row>38</xdr:row>
      <xdr:rowOff>0</xdr:rowOff>
    </xdr:from>
    <xdr:to>
      <xdr:col>2</xdr:col>
      <xdr:colOff>312511</xdr:colOff>
      <xdr:row>41</xdr:row>
      <xdr:rowOff>4500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7123" y="8810625"/>
          <a:ext cx="1250988" cy="576000"/>
        </a:xfrm>
        <a:prstGeom prst="rect">
          <a:avLst/>
        </a:prstGeom>
      </xdr:spPr>
    </xdr:pic>
    <xdr:clientData/>
  </xdr:twoCellAnchor>
  <xdr:twoCellAnchor editAs="oneCell">
    <xdr:from>
      <xdr:col>2</xdr:col>
      <xdr:colOff>838201</xdr:colOff>
      <xdr:row>38</xdr:row>
      <xdr:rowOff>0</xdr:rowOff>
    </xdr:from>
    <xdr:to>
      <xdr:col>3</xdr:col>
      <xdr:colOff>1408474</xdr:colOff>
      <xdr:row>41</xdr:row>
      <xdr:rowOff>4500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33801" y="8810625"/>
          <a:ext cx="2018073" cy="576000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666750</xdr:colOff>
      <xdr:row>34</xdr:row>
      <xdr:rowOff>28575</xdr:rowOff>
    </xdr:from>
    <xdr:to>
      <xdr:col>1</xdr:col>
      <xdr:colOff>895350</xdr:colOff>
      <xdr:row>36</xdr:row>
      <xdr:rowOff>76200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  <a:ext uri="{147F2762-F138-4A5C-976F-8EAC2B608ADB}">
              <a16:predDERef xmlns:a16="http://schemas.microsoft.com/office/drawing/2014/main" pred="{B1489C0F-1609-4587-A5BA-D0B99739EA0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000" t="26200" r="4000" b="26199"/>
        <a:stretch/>
      </xdr:blipFill>
      <xdr:spPr bwMode="auto">
        <a:xfrm>
          <a:off x="666750" y="8077200"/>
          <a:ext cx="1676400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</xdr:row>
          <xdr:rowOff>0</xdr:rowOff>
        </xdr:from>
        <xdr:to>
          <xdr:col>1</xdr:col>
          <xdr:colOff>22860</xdr:colOff>
          <xdr:row>3</xdr:row>
          <xdr:rowOff>0</xdr:rowOff>
        </xdr:to>
        <xdr:sp macro="" textlink="">
          <xdr:nvSpPr>
            <xdr:cNvPr id="3073" name="Drop Down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1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creativecommons.org/licenses/by-nc-sa/4.0/" TargetMode="External"/><Relationship Id="rId1" Type="http://schemas.openxmlformats.org/officeDocument/2006/relationships/hyperlink" Target="https://github.com/MaREI-EPMG/TIMES-Ireland-model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CE639-45BB-4BC0-8EFB-335579A1276F}">
  <sheetPr codeName="Sheet5"/>
  <dimension ref="A1:Z99"/>
  <sheetViews>
    <sheetView showGridLines="0" topLeftCell="A12" zoomScaleNormal="100" workbookViewId="0">
      <selection activeCell="B23" sqref="B23:D23"/>
    </sheetView>
  </sheetViews>
  <sheetFormatPr defaultColWidth="8.88671875" defaultRowHeight="14.4"/>
  <cols>
    <col min="1" max="4" width="21.6640625" customWidth="1"/>
    <col min="5" max="6" width="14.109375" customWidth="1"/>
    <col min="7" max="7" width="12.109375" customWidth="1"/>
    <col min="8" max="10" width="8.109375" customWidth="1"/>
    <col min="11" max="11" width="9.6640625" customWidth="1"/>
    <col min="12" max="12" width="8.109375" customWidth="1"/>
    <col min="13" max="13" width="10" customWidth="1"/>
    <col min="14" max="14" width="11.44140625" customWidth="1"/>
    <col min="15" max="15" width="13.44140625" customWidth="1"/>
  </cols>
  <sheetData>
    <row r="1" spans="1:26">
      <c r="A1" s="7"/>
      <c r="B1" s="7"/>
      <c r="C1" s="7"/>
      <c r="D1" s="7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>
      <c r="A2" s="7"/>
      <c r="B2" s="7"/>
      <c r="C2" s="7"/>
      <c r="D2" s="7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>
      <c r="A3" s="7"/>
      <c r="B3" s="7"/>
      <c r="C3" s="7"/>
      <c r="D3" s="7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>
      <c r="A4" s="7"/>
      <c r="B4" s="7"/>
      <c r="C4" s="7"/>
      <c r="D4" s="7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>
      <c r="A5" s="7"/>
      <c r="B5" s="7"/>
      <c r="C5" s="7"/>
      <c r="D5" s="7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>
      <c r="A6" s="7"/>
      <c r="B6" s="7"/>
      <c r="C6" s="7"/>
      <c r="D6" s="7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>
      <c r="A7" s="7"/>
      <c r="B7" s="7"/>
      <c r="C7" s="7"/>
      <c r="D7" s="7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>
      <c r="A8" s="7"/>
      <c r="B8" s="7"/>
      <c r="C8" s="7"/>
      <c r="D8" s="7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>
      <c r="A9" s="7"/>
      <c r="B9" s="7"/>
      <c r="C9" s="7"/>
      <c r="D9" s="7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>
      <c r="A10" s="7"/>
      <c r="B10" s="7"/>
      <c r="C10" s="7"/>
      <c r="D10" s="7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>
      <c r="A11" s="7"/>
      <c r="B11" s="7"/>
      <c r="C11" s="7"/>
      <c r="D11" s="7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>
      <c r="A12" s="7"/>
      <c r="B12" s="7"/>
      <c r="C12" s="7"/>
      <c r="D12" s="7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>
      <c r="A13" s="7"/>
      <c r="B13" s="7"/>
      <c r="C13" s="7"/>
      <c r="D13" s="7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>
      <c r="A14" s="7"/>
      <c r="B14" s="7"/>
      <c r="C14" s="7"/>
      <c r="D14" s="7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>
      <c r="A15" s="7"/>
      <c r="B15" s="7"/>
      <c r="C15" s="7"/>
      <c r="D15" s="7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102.75" customHeight="1">
      <c r="A16" s="44" t="s">
        <v>66</v>
      </c>
      <c r="B16" s="44"/>
      <c r="C16" s="44"/>
      <c r="D16" s="44"/>
      <c r="E16" s="9"/>
      <c r="F16" s="9"/>
      <c r="G16" s="10"/>
      <c r="H16" s="10"/>
      <c r="I16" s="10"/>
      <c r="J16" s="10"/>
      <c r="K16" s="10"/>
      <c r="L16" s="10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17.25" customHeight="1">
      <c r="A17" s="11"/>
      <c r="B17" s="11"/>
      <c r="C17" s="11"/>
      <c r="D17" s="11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17.25" customHeight="1">
      <c r="A18" s="11"/>
      <c r="B18" s="11"/>
      <c r="C18" s="11"/>
      <c r="D18" s="11"/>
      <c r="E18" s="12"/>
      <c r="F18" s="12"/>
      <c r="G18" s="13"/>
      <c r="H18" s="13"/>
      <c r="I18" s="13"/>
      <c r="J18" s="13"/>
      <c r="K18" s="13"/>
      <c r="L18" s="13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17.25" customHeight="1">
      <c r="A19" s="14" t="s">
        <v>67</v>
      </c>
      <c r="B19" s="43" t="s">
        <v>79</v>
      </c>
      <c r="C19" s="43"/>
      <c r="D19" s="43"/>
      <c r="E19" s="15"/>
      <c r="F19" s="15"/>
      <c r="G19" s="16"/>
      <c r="H19" s="16"/>
      <c r="I19" s="16"/>
      <c r="J19" s="16"/>
      <c r="K19" s="16"/>
      <c r="L19" s="16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17.25" customHeight="1">
      <c r="A20" s="14" t="s">
        <v>68</v>
      </c>
      <c r="B20" s="43" t="s">
        <v>78</v>
      </c>
      <c r="C20" s="43"/>
      <c r="D20" s="43"/>
      <c r="E20" s="15"/>
      <c r="F20" s="15"/>
      <c r="G20" s="16"/>
      <c r="H20" s="16"/>
      <c r="I20" s="16"/>
      <c r="J20" s="16"/>
      <c r="K20" s="16"/>
      <c r="L20" s="16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7.25" customHeight="1">
      <c r="A21" s="14" t="s">
        <v>69</v>
      </c>
      <c r="B21" s="17" t="s">
        <v>80</v>
      </c>
      <c r="C21" s="17"/>
      <c r="D21" s="17"/>
      <c r="E21" s="15"/>
      <c r="F21" s="15"/>
      <c r="G21" s="16"/>
      <c r="H21" s="16"/>
      <c r="I21" s="16"/>
      <c r="J21" s="16"/>
      <c r="K21" s="16"/>
      <c r="L21" s="16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7.25" customHeight="1">
      <c r="A22" s="14"/>
      <c r="B22" s="17"/>
      <c r="C22" s="17"/>
      <c r="D22" s="17"/>
      <c r="E22" s="15"/>
      <c r="F22" s="15"/>
      <c r="G22" s="16"/>
      <c r="H22" s="16"/>
      <c r="I22" s="16"/>
      <c r="J22" s="16"/>
      <c r="K22" s="16"/>
      <c r="L22" s="16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7.25" customHeight="1">
      <c r="A23" s="14" t="s">
        <v>70</v>
      </c>
      <c r="B23" s="43" t="s">
        <v>82</v>
      </c>
      <c r="C23" s="43"/>
      <c r="D23" s="43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7.25" customHeight="1">
      <c r="A24" s="14"/>
      <c r="B24" s="17"/>
      <c r="C24" s="17"/>
      <c r="D24" s="17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7.25" customHeight="1">
      <c r="A25" s="14"/>
      <c r="B25" s="17"/>
      <c r="C25" s="17"/>
      <c r="D25" s="17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7.25" customHeight="1">
      <c r="A26" s="14" t="s">
        <v>71</v>
      </c>
      <c r="B26" s="43" t="s">
        <v>82</v>
      </c>
      <c r="C26" s="43"/>
      <c r="D26" s="43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7.25" customHeight="1">
      <c r="A27" s="14"/>
      <c r="B27" s="17"/>
      <c r="C27" s="17"/>
      <c r="D27" s="17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7.25" customHeight="1">
      <c r="A28" s="14"/>
      <c r="B28" s="17"/>
      <c r="C28" s="17"/>
      <c r="D28" s="17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7.25" customHeight="1">
      <c r="A29" s="14" t="s">
        <v>72</v>
      </c>
      <c r="B29" s="18"/>
      <c r="C29" s="17"/>
      <c r="D29" s="17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7.25" customHeight="1">
      <c r="A30" s="14" t="s">
        <v>73</v>
      </c>
      <c r="B30" s="45" t="s">
        <v>74</v>
      </c>
      <c r="C30" s="43"/>
      <c r="D30" s="43"/>
      <c r="E30" s="19"/>
      <c r="F30" s="19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7.25" customHeight="1">
      <c r="A31" s="14" t="s">
        <v>75</v>
      </c>
      <c r="B31" s="43" t="s">
        <v>76</v>
      </c>
      <c r="C31" s="43"/>
      <c r="D31" s="43"/>
      <c r="E31" s="19"/>
      <c r="F31" s="19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7.25" customHeight="1">
      <c r="A32" s="20"/>
      <c r="B32" s="21" t="s">
        <v>77</v>
      </c>
      <c r="C32" s="20"/>
      <c r="D32" s="20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>
      <c r="A33" s="7"/>
      <c r="B33" s="7"/>
      <c r="C33" s="7"/>
      <c r="D33" s="7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>
      <c r="A34" s="7"/>
      <c r="B34" s="7"/>
      <c r="C34" s="7"/>
      <c r="D34" s="7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>
      <c r="A35" s="7"/>
      <c r="B35" s="7"/>
      <c r="C35" s="7"/>
      <c r="D35" s="7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>
      <c r="A36" s="7"/>
      <c r="B36" s="7"/>
      <c r="C36" s="7"/>
      <c r="D36" s="7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>
      <c r="A37" s="7"/>
      <c r="B37" s="7"/>
      <c r="C37" s="7"/>
      <c r="D37" s="7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>
      <c r="A38" s="7"/>
      <c r="B38" s="7"/>
      <c r="C38" s="7"/>
      <c r="D38" s="7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>
      <c r="A39" s="7"/>
      <c r="B39" s="7"/>
      <c r="C39" s="7"/>
      <c r="D39" s="7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>
      <c r="A40" s="7"/>
      <c r="B40" s="7"/>
      <c r="C40" s="7"/>
      <c r="D40" s="7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>
      <c r="A41" s="7"/>
      <c r="B41" s="7"/>
      <c r="C41" s="7"/>
      <c r="D41" s="7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>
      <c r="A42" s="7"/>
      <c r="B42" s="7"/>
      <c r="C42" s="7"/>
      <c r="D42" s="7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</sheetData>
  <mergeCells count="7">
    <mergeCell ref="B31:D31"/>
    <mergeCell ref="A16:D16"/>
    <mergeCell ref="B19:D19"/>
    <mergeCell ref="B20:D20"/>
    <mergeCell ref="B23:D23"/>
    <mergeCell ref="B30:D30"/>
    <mergeCell ref="B26:D26"/>
  </mergeCells>
  <hyperlinks>
    <hyperlink ref="B30" r:id="rId1" xr:uid="{E1305D28-A66A-40DB-91D1-7D1E23B69345}"/>
    <hyperlink ref="B32" r:id="rId2" xr:uid="{C5CAA7F6-1364-4476-8DCD-8F991F5C6B07}"/>
  </hyperlinks>
  <pageMargins left="0.7" right="0.7" top="0.75" bottom="0.75" header="0.3" footer="0.3"/>
  <pageSetup paperSize="9"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030FF-C503-4743-9DBD-437AEB1E949D}">
  <sheetPr codeName="Sheet8"/>
  <dimension ref="A3:AD37"/>
  <sheetViews>
    <sheetView zoomScaleNormal="100" workbookViewId="0">
      <selection activeCell="B7" sqref="B7"/>
    </sheetView>
  </sheetViews>
  <sheetFormatPr defaultColWidth="9.109375" defaultRowHeight="14.4"/>
  <cols>
    <col min="1" max="1" width="12.109375" customWidth="1"/>
    <col min="2" max="2" width="11.6640625" customWidth="1"/>
    <col min="3" max="3" width="3.109375" bestFit="1" customWidth="1"/>
    <col min="4" max="4" width="8.5546875" bestFit="1" customWidth="1"/>
    <col min="5" max="5" width="6.44140625" bestFit="1" customWidth="1"/>
    <col min="6" max="6" width="4.88671875" bestFit="1" customWidth="1"/>
    <col min="7" max="7" width="5.6640625" bestFit="1" customWidth="1"/>
    <col min="8" max="8" width="5.88671875" bestFit="1" customWidth="1"/>
    <col min="9" max="9" width="5.44140625" bestFit="1" customWidth="1"/>
    <col min="10" max="11" width="5.6640625" bestFit="1" customWidth="1"/>
    <col min="12" max="12" width="6.5546875" bestFit="1" customWidth="1"/>
    <col min="13" max="13" width="6.109375" bestFit="1" customWidth="1"/>
    <col min="14" max="14" width="6.6640625" bestFit="1" customWidth="1"/>
    <col min="15" max="15" width="6.5546875" bestFit="1" customWidth="1"/>
    <col min="16" max="16" width="7.33203125" bestFit="1" customWidth="1"/>
    <col min="17" max="17" width="5.6640625" bestFit="1" customWidth="1"/>
    <col min="18" max="18" width="6.109375" bestFit="1" customWidth="1"/>
    <col min="19" max="19" width="5.6640625" bestFit="1" customWidth="1"/>
    <col min="20" max="20" width="5.5546875" bestFit="1" customWidth="1"/>
    <col min="21" max="21" width="5.88671875" bestFit="1" customWidth="1"/>
    <col min="22" max="22" width="6.6640625" bestFit="1" customWidth="1"/>
    <col min="23" max="23" width="4.88671875" bestFit="1" customWidth="1"/>
    <col min="24" max="24" width="7.5546875" customWidth="1"/>
    <col min="25" max="25" width="6.6640625" bestFit="1" customWidth="1"/>
    <col min="26" max="26" width="6.109375" bestFit="1" customWidth="1"/>
    <col min="27" max="28" width="6" bestFit="1" customWidth="1"/>
    <col min="29" max="29" width="5.6640625" bestFit="1" customWidth="1"/>
    <col min="30" max="30" width="6.6640625" bestFit="1" customWidth="1"/>
  </cols>
  <sheetData>
    <row r="3" spans="1:30">
      <c r="C3" s="1" t="str" cm="1">
        <f t="array" ref="C3">IF(LEFT(INDEX(C5:C7,$A$4),1)&lt;&gt;"*",INDEX(C5:C7,$A$4),"")</f>
        <v>IE</v>
      </c>
      <c r="D3" s="1" t="str" cm="1">
        <f t="array" ref="D3">IF(LEFT(INDEX(D5:D7,$A$4),1)&lt;&gt;"*",INDEX(D5:D7,$A$4),"")</f>
        <v>National</v>
      </c>
      <c r="E3" s="1" t="str" cm="1">
        <f t="array" ref="E3">IF(LEFT(INDEX(E5:E7,$A$4),1)&lt;&gt;"*",INDEX(E5:E7,$A$4),"")</f>
        <v>IE-CW</v>
      </c>
      <c r="F3" s="1" t="str" cm="1">
        <f t="array" ref="F3">IF(LEFT(INDEX(F5:F7,$A$4),1)&lt;&gt;"*",INDEX(F5:F7,$A$4),"")</f>
        <v>IE-D</v>
      </c>
      <c r="G3" s="1" t="str" cm="1">
        <f t="array" ref="G3">IF(LEFT(INDEX(G5:G7,$A$4),1)&lt;&gt;"*",INDEX(G5:G7,$A$4),"")</f>
        <v>IE-KE</v>
      </c>
      <c r="H3" s="1" t="str" cm="1">
        <f t="array" ref="H3">IF(LEFT(INDEX(H5:H7,$A$4),1)&lt;&gt;"*",INDEX(H5:H7,$A$4),"")</f>
        <v>IE-KK</v>
      </c>
      <c r="I3" s="1" t="str" cm="1">
        <f t="array" ref="I3">IF(LEFT(INDEX(I5:I7,$A$4),1)&lt;&gt;"*",INDEX(I5:I7,$A$4),"")</f>
        <v>IE-LS</v>
      </c>
      <c r="J3" s="1" t="str" cm="1">
        <f t="array" ref="J3">IF(LEFT(INDEX(J5:J7,$A$4),1)&lt;&gt;"*",INDEX(J5:J7,$A$4),"")</f>
        <v>IE-LD</v>
      </c>
      <c r="K3" s="1" t="str" cm="1">
        <f t="array" ref="K3">IF(LEFT(INDEX(K5:K7,$A$4),1)&lt;&gt;"*",INDEX(K5:K7,$A$4),"")</f>
        <v>IE-LH</v>
      </c>
      <c r="L3" s="1" t="str" cm="1">
        <f t="array" ref="L3">IF(LEFT(INDEX(L5:L7,$A$4),1)&lt;&gt;"*",INDEX(L5:L7,$A$4),"")</f>
        <v>IE-MH</v>
      </c>
      <c r="M3" s="1" t="str" cm="1">
        <f t="array" ref="M3">IF(LEFT(INDEX(M5:M7,$A$4),1)&lt;&gt;"*",INDEX(M5:M7,$A$4),"")</f>
        <v>IE-OY</v>
      </c>
      <c r="N3" s="1" t="str" cm="1">
        <f t="array" ref="N3">IF(LEFT(INDEX(N5:N7,$A$4),1)&lt;&gt;"*",INDEX(N5:N7,$A$4),"")</f>
        <v>IE-WH</v>
      </c>
      <c r="O3" s="1" t="str" cm="1">
        <f t="array" ref="O3">IF(LEFT(INDEX(O5:O7,$A$4),1)&lt;&gt;"*",INDEX(O5:O7,$A$4),"")</f>
        <v>IE-WX</v>
      </c>
      <c r="P3" s="1" t="str" cm="1">
        <f t="array" ref="P3">IF(LEFT(INDEX(P5:P7,$A$4),1)&lt;&gt;"*",INDEX(P5:P7,$A$4),"")</f>
        <v>IE-WW</v>
      </c>
      <c r="Q3" s="1" t="str" cm="1">
        <f t="array" ref="Q3">IF(LEFT(INDEX(Q5:Q7,$A$4),1)&lt;&gt;"*",INDEX(Q5:Q7,$A$4),"")</f>
        <v>IE-CE</v>
      </c>
      <c r="R3" s="1" t="str" cm="1">
        <f t="array" ref="R3">IF(LEFT(INDEX(R5:R7,$A$4),1)&lt;&gt;"*",INDEX(R5:R7,$A$4),"")</f>
        <v>IE-CO</v>
      </c>
      <c r="S3" s="1" t="str" cm="1">
        <f t="array" ref="S3">IF(LEFT(INDEX(S5:S7,$A$4),1)&lt;&gt;"*",INDEX(S5:S7,$A$4),"")</f>
        <v>IE-KY</v>
      </c>
      <c r="T3" s="1" t="str" cm="1">
        <f t="array" ref="T3">IF(LEFT(INDEX(T5:T7,$A$4),1)&lt;&gt;"*",INDEX(T5:T7,$A$4),"")</f>
        <v>IE-LK</v>
      </c>
      <c r="U3" s="1" t="str" cm="1">
        <f t="array" ref="U3">IF(LEFT(INDEX(U5:U7,$A$4),1)&lt;&gt;"*",INDEX(U5:U7,$A$4),"")</f>
        <v>IE-TA</v>
      </c>
      <c r="V3" s="1" t="str" cm="1">
        <f t="array" ref="V3">IF(LEFT(INDEX(V5:V7,$A$4),1)&lt;&gt;"*",INDEX(V5:V7,$A$4),"")</f>
        <v>IE-WD</v>
      </c>
      <c r="W3" s="1" t="str" cm="1">
        <f t="array" ref="W3">IF(LEFT(INDEX(W5:W7,$A$4),1)&lt;&gt;"*",INDEX(W5:W7,$A$4),"")</f>
        <v>IE-G</v>
      </c>
      <c r="X3" s="1" t="str" cm="1">
        <f t="array" ref="X3">IF(LEFT(INDEX(X5:X7,$A$4),1)&lt;&gt;"*",INDEX(X5:X7,$A$4),"")</f>
        <v>IE-LM</v>
      </c>
      <c r="Y3" s="1" t="str" cm="1">
        <f t="array" ref="Y3">IF(LEFT(INDEX(Y5:Y7,$A$4),1)&lt;&gt;"*",INDEX(Y5:Y7,$A$4),"")</f>
        <v>IE-MO</v>
      </c>
      <c r="Z3" s="1" t="str" cm="1">
        <f t="array" ref="Z3">IF(LEFT(INDEX(Z5:Z7,$A$4),1)&lt;&gt;"*",INDEX(Z5:Z7,$A$4),"")</f>
        <v>IE-RN</v>
      </c>
      <c r="AA3" s="1" t="str" cm="1">
        <f t="array" ref="AA3">IF(LEFT(INDEX(AA5:AA7,$A$4),1)&lt;&gt;"*",INDEX(AA5:AA7,$A$4),"")</f>
        <v>IE-SO</v>
      </c>
      <c r="AB3" s="1" t="str" cm="1">
        <f t="array" ref="AB3">IF(LEFT(INDEX(AB5:AB7,$A$4),1)&lt;&gt;"*",INDEX(AB5:AB7,$A$4),"")</f>
        <v>IE-CN</v>
      </c>
      <c r="AC3" s="1" t="str" cm="1">
        <f t="array" ref="AC3">IF(LEFT(INDEX(AC5:AC7,$A$4),1)&lt;&gt;"*",INDEX(AC5:AC7,$A$4),"")</f>
        <v>IE-DL</v>
      </c>
      <c r="AD3" s="1" t="str" cm="1">
        <f t="array" ref="AD3">IF(LEFT(INDEX(AD5:AD7,$A$4),1)&lt;&gt;"*",INDEX(AD5:AD7,$A$4),"")</f>
        <v>IE-MN</v>
      </c>
    </row>
    <row r="4" spans="1:30">
      <c r="A4">
        <v>1</v>
      </c>
    </row>
    <row r="5" spans="1:30">
      <c r="A5" t="s">
        <v>27</v>
      </c>
      <c r="C5" s="2" t="s">
        <v>28</v>
      </c>
      <c r="D5" s="2" t="s">
        <v>29</v>
      </c>
      <c r="E5" s="1" t="str">
        <f>Regions!A11</f>
        <v>IE-CW</v>
      </c>
      <c r="F5" s="1" t="str">
        <f>Regions!A16</f>
        <v>IE-D</v>
      </c>
      <c r="G5" s="1" t="str">
        <f>Regions!A19</f>
        <v>IE-KE</v>
      </c>
      <c r="H5" s="1" t="str">
        <f>Regions!A20</f>
        <v>IE-KK</v>
      </c>
      <c r="I5" s="1" t="str">
        <f>Regions!A21</f>
        <v>IE-LS</v>
      </c>
      <c r="J5" s="1" t="str">
        <f>Regions!A24</f>
        <v>IE-LD</v>
      </c>
      <c r="K5" s="1" t="str">
        <f>Regions!A25</f>
        <v>IE-LH</v>
      </c>
      <c r="L5" s="1" t="str">
        <f>Regions!A27</f>
        <v>IE-MH</v>
      </c>
      <c r="M5" s="1" t="str">
        <f>Regions!A29</f>
        <v>IE-OY</v>
      </c>
      <c r="N5" s="1" t="str">
        <f>Regions!A34</f>
        <v>IE-WH</v>
      </c>
      <c r="O5" s="1" t="str">
        <f>Regions!A35</f>
        <v>IE-WX</v>
      </c>
      <c r="P5" s="1" t="str">
        <f>Regions!A36</f>
        <v>IE-WW</v>
      </c>
      <c r="Q5" s="1" t="str">
        <f>Regions!A13</f>
        <v>IE-CE</v>
      </c>
      <c r="R5" s="1" t="str">
        <f>Regions!A14</f>
        <v>IE-CO</v>
      </c>
      <c r="S5" s="1" t="str">
        <f>Regions!A18</f>
        <v>IE-KY</v>
      </c>
      <c r="T5" s="1" t="str">
        <f>Regions!A23</f>
        <v>IE-LK</v>
      </c>
      <c r="U5" s="1" t="str">
        <f>Regions!A32</f>
        <v>IE-TA</v>
      </c>
      <c r="V5" s="1" t="str">
        <f>Regions!A33</f>
        <v>IE-WD</v>
      </c>
      <c r="W5" s="1" t="str">
        <f>Regions!A17</f>
        <v>IE-G</v>
      </c>
      <c r="X5" s="1" t="str">
        <f>Regions!A22</f>
        <v>IE-LM</v>
      </c>
      <c r="Y5" s="1" t="str">
        <f>Regions!A26</f>
        <v>IE-MO</v>
      </c>
      <c r="Z5" s="1" t="str">
        <f>Regions!A30</f>
        <v>IE-RN</v>
      </c>
      <c r="AA5" s="1" t="str">
        <f>Regions!A31</f>
        <v>IE-SO</v>
      </c>
      <c r="AB5" s="1" t="str">
        <f>Regions!A12</f>
        <v>IE-CN</v>
      </c>
      <c r="AC5" s="1" t="str">
        <f>Regions!A15</f>
        <v>IE-DL</v>
      </c>
      <c r="AD5" s="1" t="str">
        <f>Regions!A28</f>
        <v>IE-MN</v>
      </c>
    </row>
    <row r="6" spans="1:30">
      <c r="A6" t="s">
        <v>30</v>
      </c>
      <c r="C6" s="1" t="str">
        <f>C5</f>
        <v>IE</v>
      </c>
      <c r="D6" s="1" t="str">
        <f>IF(LEFT(D5,1)&lt;&gt;"*","*"&amp;D5,D5)</f>
        <v>*National</v>
      </c>
      <c r="E6" s="1" t="str">
        <f t="shared" ref="E6:AD6" si="0">IF(LEFT(E5,1)&lt;&gt;"*","*"&amp;E5,E5)</f>
        <v>*IE-CW</v>
      </c>
      <c r="F6" s="1" t="str">
        <f t="shared" si="0"/>
        <v>*IE-D</v>
      </c>
      <c r="G6" s="1" t="str">
        <f t="shared" si="0"/>
        <v>*IE-KE</v>
      </c>
      <c r="H6" s="1" t="str">
        <f t="shared" si="0"/>
        <v>*IE-KK</v>
      </c>
      <c r="I6" s="1" t="str">
        <f t="shared" si="0"/>
        <v>*IE-LS</v>
      </c>
      <c r="J6" s="1" t="str">
        <f t="shared" si="0"/>
        <v>*IE-LD</v>
      </c>
      <c r="K6" s="1" t="str">
        <f t="shared" si="0"/>
        <v>*IE-LH</v>
      </c>
      <c r="L6" s="1" t="str">
        <f t="shared" si="0"/>
        <v>*IE-MH</v>
      </c>
      <c r="M6" s="1" t="str">
        <f t="shared" si="0"/>
        <v>*IE-OY</v>
      </c>
      <c r="N6" s="1" t="str">
        <f t="shared" si="0"/>
        <v>*IE-WH</v>
      </c>
      <c r="O6" s="1" t="str">
        <f t="shared" si="0"/>
        <v>*IE-WX</v>
      </c>
      <c r="P6" s="1" t="str">
        <f t="shared" si="0"/>
        <v>*IE-WW</v>
      </c>
      <c r="Q6" s="1" t="str">
        <f t="shared" si="0"/>
        <v>*IE-CE</v>
      </c>
      <c r="R6" s="1" t="str">
        <f t="shared" si="0"/>
        <v>*IE-CO</v>
      </c>
      <c r="S6" s="1" t="str">
        <f t="shared" si="0"/>
        <v>*IE-KY</v>
      </c>
      <c r="T6" s="1" t="str">
        <f t="shared" si="0"/>
        <v>*IE-LK</v>
      </c>
      <c r="U6" s="1" t="str">
        <f t="shared" si="0"/>
        <v>*IE-TA</v>
      </c>
      <c r="V6" s="1" t="str">
        <f t="shared" si="0"/>
        <v>*IE-WD</v>
      </c>
      <c r="W6" s="1" t="str">
        <f t="shared" si="0"/>
        <v>*IE-G</v>
      </c>
      <c r="X6" s="1" t="str">
        <f t="shared" si="0"/>
        <v>*IE-LM</v>
      </c>
      <c r="Y6" s="1" t="str">
        <f t="shared" si="0"/>
        <v>*IE-MO</v>
      </c>
      <c r="Z6" s="1" t="str">
        <f t="shared" si="0"/>
        <v>*IE-RN</v>
      </c>
      <c r="AA6" s="1" t="str">
        <f t="shared" si="0"/>
        <v>*IE-SO</v>
      </c>
      <c r="AB6" s="1" t="str">
        <f t="shared" si="0"/>
        <v>*IE-CN</v>
      </c>
      <c r="AC6" s="1" t="str">
        <f t="shared" si="0"/>
        <v>*IE-DL</v>
      </c>
      <c r="AD6" s="1" t="str">
        <f t="shared" si="0"/>
        <v>*IE-MN</v>
      </c>
    </row>
    <row r="7" spans="1:30">
      <c r="A7" t="s">
        <v>31</v>
      </c>
      <c r="C7" s="1" t="str">
        <f>"*"&amp;C5</f>
        <v>*IE</v>
      </c>
      <c r="D7" s="1" t="str">
        <f>D5</f>
        <v>National</v>
      </c>
      <c r="E7" s="1" t="str">
        <f t="shared" ref="E7:AD7" si="1">E5</f>
        <v>IE-CW</v>
      </c>
      <c r="F7" s="1" t="str">
        <f t="shared" si="1"/>
        <v>IE-D</v>
      </c>
      <c r="G7" s="1" t="str">
        <f t="shared" si="1"/>
        <v>IE-KE</v>
      </c>
      <c r="H7" s="1" t="str">
        <f t="shared" si="1"/>
        <v>IE-KK</v>
      </c>
      <c r="I7" s="1" t="str">
        <f t="shared" si="1"/>
        <v>IE-LS</v>
      </c>
      <c r="J7" s="1" t="str">
        <f t="shared" si="1"/>
        <v>IE-LD</v>
      </c>
      <c r="K7" s="1" t="str">
        <f t="shared" si="1"/>
        <v>IE-LH</v>
      </c>
      <c r="L7" s="1" t="str">
        <f t="shared" si="1"/>
        <v>IE-MH</v>
      </c>
      <c r="M7" s="1" t="str">
        <f t="shared" si="1"/>
        <v>IE-OY</v>
      </c>
      <c r="N7" s="1" t="str">
        <f t="shared" si="1"/>
        <v>IE-WH</v>
      </c>
      <c r="O7" s="1" t="str">
        <f t="shared" si="1"/>
        <v>IE-WX</v>
      </c>
      <c r="P7" s="1" t="str">
        <f t="shared" si="1"/>
        <v>IE-WW</v>
      </c>
      <c r="Q7" s="1" t="str">
        <f t="shared" si="1"/>
        <v>IE-CE</v>
      </c>
      <c r="R7" s="1" t="str">
        <f t="shared" si="1"/>
        <v>IE-CO</v>
      </c>
      <c r="S7" s="1" t="str">
        <f t="shared" si="1"/>
        <v>IE-KY</v>
      </c>
      <c r="T7" s="1" t="str">
        <f t="shared" si="1"/>
        <v>IE-LK</v>
      </c>
      <c r="U7" s="1" t="str">
        <f t="shared" si="1"/>
        <v>IE-TA</v>
      </c>
      <c r="V7" s="1" t="str">
        <f t="shared" si="1"/>
        <v>IE-WD</v>
      </c>
      <c r="W7" s="1" t="str">
        <f t="shared" si="1"/>
        <v>IE-G</v>
      </c>
      <c r="X7" s="1" t="str">
        <f t="shared" si="1"/>
        <v>IE-LM</v>
      </c>
      <c r="Y7" s="1" t="str">
        <f t="shared" si="1"/>
        <v>IE-MO</v>
      </c>
      <c r="Z7" s="1" t="str">
        <f t="shared" si="1"/>
        <v>IE-RN</v>
      </c>
      <c r="AA7" s="1" t="str">
        <f t="shared" si="1"/>
        <v>IE-SO</v>
      </c>
      <c r="AB7" s="1" t="str">
        <f t="shared" si="1"/>
        <v>IE-CN</v>
      </c>
      <c r="AC7" s="1" t="str">
        <f t="shared" si="1"/>
        <v>IE-DL</v>
      </c>
      <c r="AD7" s="1" t="str">
        <f t="shared" si="1"/>
        <v>IE-MN</v>
      </c>
    </row>
    <row r="10" spans="1:30" ht="15" thickBot="1">
      <c r="A10" s="3" t="s">
        <v>32</v>
      </c>
      <c r="B10" s="3" t="s">
        <v>33</v>
      </c>
    </row>
    <row r="11" spans="1:30">
      <c r="A11" s="4" t="s">
        <v>34</v>
      </c>
      <c r="B11" s="4" t="s">
        <v>26</v>
      </c>
    </row>
    <row r="12" spans="1:30">
      <c r="A12" s="5" t="s">
        <v>35</v>
      </c>
      <c r="B12" s="5" t="s">
        <v>25</v>
      </c>
    </row>
    <row r="13" spans="1:30">
      <c r="A13" s="5" t="s">
        <v>36</v>
      </c>
      <c r="B13" s="5" t="s">
        <v>24</v>
      </c>
    </row>
    <row r="14" spans="1:30">
      <c r="A14" s="5" t="s">
        <v>37</v>
      </c>
      <c r="B14" s="5" t="s">
        <v>23</v>
      </c>
    </row>
    <row r="15" spans="1:30">
      <c r="A15" s="5" t="s">
        <v>38</v>
      </c>
      <c r="B15" s="5" t="s">
        <v>22</v>
      </c>
    </row>
    <row r="16" spans="1:30">
      <c r="A16" s="5" t="s">
        <v>39</v>
      </c>
      <c r="B16" s="5" t="s">
        <v>21</v>
      </c>
    </row>
    <row r="17" spans="1:2">
      <c r="A17" s="5" t="s">
        <v>40</v>
      </c>
      <c r="B17" s="5" t="s">
        <v>20</v>
      </c>
    </row>
    <row r="18" spans="1:2">
      <c r="A18" s="5" t="s">
        <v>41</v>
      </c>
      <c r="B18" s="5" t="s">
        <v>19</v>
      </c>
    </row>
    <row r="19" spans="1:2">
      <c r="A19" s="5" t="s">
        <v>42</v>
      </c>
      <c r="B19" s="5" t="s">
        <v>18</v>
      </c>
    </row>
    <row r="20" spans="1:2">
      <c r="A20" s="5" t="s">
        <v>43</v>
      </c>
      <c r="B20" s="5" t="s">
        <v>17</v>
      </c>
    </row>
    <row r="21" spans="1:2">
      <c r="A21" s="5" t="s">
        <v>44</v>
      </c>
      <c r="B21" s="5" t="s">
        <v>16</v>
      </c>
    </row>
    <row r="22" spans="1:2">
      <c r="A22" s="5" t="s">
        <v>45</v>
      </c>
      <c r="B22" s="5" t="s">
        <v>15</v>
      </c>
    </row>
    <row r="23" spans="1:2">
      <c r="A23" s="5" t="s">
        <v>46</v>
      </c>
      <c r="B23" s="5" t="s">
        <v>14</v>
      </c>
    </row>
    <row r="24" spans="1:2">
      <c r="A24" s="5" t="s">
        <v>47</v>
      </c>
      <c r="B24" s="5" t="s">
        <v>13</v>
      </c>
    </row>
    <row r="25" spans="1:2">
      <c r="A25" s="5" t="s">
        <v>48</v>
      </c>
      <c r="B25" s="5" t="s">
        <v>12</v>
      </c>
    </row>
    <row r="26" spans="1:2">
      <c r="A26" s="5" t="s">
        <v>49</v>
      </c>
      <c r="B26" s="5" t="s">
        <v>11</v>
      </c>
    </row>
    <row r="27" spans="1:2">
      <c r="A27" s="5" t="s">
        <v>50</v>
      </c>
      <c r="B27" s="5" t="s">
        <v>10</v>
      </c>
    </row>
    <row r="28" spans="1:2">
      <c r="A28" s="5" t="s">
        <v>51</v>
      </c>
      <c r="B28" s="5" t="s">
        <v>9</v>
      </c>
    </row>
    <row r="29" spans="1:2">
      <c r="A29" s="5" t="s">
        <v>52</v>
      </c>
      <c r="B29" s="5" t="s">
        <v>8</v>
      </c>
    </row>
    <row r="30" spans="1:2">
      <c r="A30" s="5" t="s">
        <v>53</v>
      </c>
      <c r="B30" s="5" t="s">
        <v>7</v>
      </c>
    </row>
    <row r="31" spans="1:2">
      <c r="A31" s="5" t="s">
        <v>54</v>
      </c>
      <c r="B31" s="5" t="s">
        <v>6</v>
      </c>
    </row>
    <row r="32" spans="1:2">
      <c r="A32" s="5" t="s">
        <v>55</v>
      </c>
      <c r="B32" s="5" t="s">
        <v>5</v>
      </c>
    </row>
    <row r="33" spans="1:2">
      <c r="A33" s="5" t="s">
        <v>56</v>
      </c>
      <c r="B33" s="5" t="s">
        <v>4</v>
      </c>
    </row>
    <row r="34" spans="1:2">
      <c r="A34" s="5" t="s">
        <v>57</v>
      </c>
      <c r="B34" s="5" t="s">
        <v>3</v>
      </c>
    </row>
    <row r="35" spans="1:2">
      <c r="A35" s="5" t="s">
        <v>58</v>
      </c>
      <c r="B35" s="5" t="s">
        <v>2</v>
      </c>
    </row>
    <row r="36" spans="1:2">
      <c r="A36" s="5" t="s">
        <v>59</v>
      </c>
      <c r="B36" s="5" t="s">
        <v>1</v>
      </c>
    </row>
    <row r="37" spans="1:2">
      <c r="A37" s="6" t="s">
        <v>60</v>
      </c>
    </row>
  </sheetData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Drop Down 1">
              <controlPr defaultSize="0" autoLine="0" autoPict="0">
                <anchor moveWithCells="1">
                  <from>
                    <xdr:col>0</xdr:col>
                    <xdr:colOff>0</xdr:colOff>
                    <xdr:row>2</xdr:row>
                    <xdr:rowOff>0</xdr:rowOff>
                  </from>
                  <to>
                    <xdr:col>1</xdr:col>
                    <xdr:colOff>22860</xdr:colOff>
                    <xdr:row>3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6151D-CBC7-469C-AD9B-B324E874F696}">
  <dimension ref="B2:J31"/>
  <sheetViews>
    <sheetView tabSelected="1" workbookViewId="0">
      <selection activeCell="D22" sqref="D22"/>
    </sheetView>
  </sheetViews>
  <sheetFormatPr defaultRowHeight="14.4"/>
  <cols>
    <col min="2" max="2" width="13.5546875" bestFit="1" customWidth="1"/>
    <col min="3" max="3" width="23.5546875" customWidth="1"/>
    <col min="5" max="5" width="22.77734375" bestFit="1" customWidth="1"/>
    <col min="6" max="6" width="13.44140625" customWidth="1"/>
    <col min="7" max="7" width="10.88671875" customWidth="1"/>
    <col min="8" max="8" width="22.77734375" bestFit="1" customWidth="1"/>
    <col min="9" max="9" width="12.88671875" bestFit="1" customWidth="1"/>
    <col min="10" max="10" width="10.21875" bestFit="1" customWidth="1"/>
  </cols>
  <sheetData>
    <row r="2" spans="2:10">
      <c r="B2" t="s">
        <v>109</v>
      </c>
    </row>
    <row r="3" spans="2:10">
      <c r="B3">
        <v>1</v>
      </c>
      <c r="H3" s="36" t="s">
        <v>97</v>
      </c>
      <c r="I3" s="33" t="s">
        <v>81</v>
      </c>
      <c r="J3" s="33" t="s">
        <v>107</v>
      </c>
    </row>
    <row r="4" spans="2:10">
      <c r="H4" s="36" t="s">
        <v>98</v>
      </c>
      <c r="I4">
        <v>1</v>
      </c>
      <c r="J4" s="34">
        <v>5</v>
      </c>
    </row>
    <row r="5" spans="2:10">
      <c r="H5" s="36" t="s">
        <v>99</v>
      </c>
      <c r="I5">
        <v>2</v>
      </c>
      <c r="J5" s="34">
        <v>10</v>
      </c>
    </row>
    <row r="6" spans="2:10">
      <c r="H6" s="36" t="s">
        <v>100</v>
      </c>
      <c r="I6">
        <v>3</v>
      </c>
      <c r="J6" s="34">
        <v>15</v>
      </c>
    </row>
    <row r="7" spans="2:10">
      <c r="H7" s="36" t="s">
        <v>101</v>
      </c>
      <c r="I7">
        <v>4</v>
      </c>
      <c r="J7" s="34">
        <v>20</v>
      </c>
    </row>
    <row r="8" spans="2:10">
      <c r="G8" s="32"/>
      <c r="H8" s="36" t="s">
        <v>102</v>
      </c>
      <c r="I8">
        <v>5</v>
      </c>
      <c r="J8" s="34">
        <v>25</v>
      </c>
    </row>
    <row r="9" spans="2:10">
      <c r="H9" s="36" t="s">
        <v>103</v>
      </c>
      <c r="I9">
        <v>6</v>
      </c>
      <c r="J9" s="34">
        <v>30</v>
      </c>
    </row>
    <row r="10" spans="2:10">
      <c r="H10" s="36" t="s">
        <v>104</v>
      </c>
      <c r="I10">
        <v>7</v>
      </c>
      <c r="J10" s="34">
        <v>35</v>
      </c>
    </row>
    <row r="11" spans="2:10">
      <c r="F11" s="35" t="s">
        <v>96</v>
      </c>
      <c r="G11" s="32"/>
      <c r="H11" s="36" t="s">
        <v>105</v>
      </c>
      <c r="I11">
        <v>8</v>
      </c>
      <c r="J11" s="34">
        <v>40</v>
      </c>
    </row>
    <row r="12" spans="2:10">
      <c r="C12" s="41" t="s">
        <v>87</v>
      </c>
      <c r="D12" s="41" t="s">
        <v>93</v>
      </c>
      <c r="E12" s="41" t="s">
        <v>94</v>
      </c>
      <c r="F12" s="41">
        <v>2035</v>
      </c>
      <c r="G12" s="32"/>
      <c r="H12" s="36" t="s">
        <v>106</v>
      </c>
      <c r="J12" s="34"/>
    </row>
    <row r="13" spans="2:10">
      <c r="C13" s="40" t="s">
        <v>89</v>
      </c>
      <c r="D13" s="40" t="s">
        <v>93</v>
      </c>
      <c r="E13" s="40" t="s">
        <v>95</v>
      </c>
      <c r="F13" s="40">
        <v>2045</v>
      </c>
      <c r="G13" s="32"/>
    </row>
    <row r="14" spans="2:10">
      <c r="G14" s="23"/>
    </row>
    <row r="15" spans="2:10">
      <c r="G15" s="23"/>
    </row>
    <row r="16" spans="2:10">
      <c r="G16" s="22"/>
    </row>
    <row r="17" spans="2:10">
      <c r="B17" s="24" t="s">
        <v>63</v>
      </c>
    </row>
    <row r="18" spans="2:10" ht="15" thickBot="1">
      <c r="B18" s="25" t="s">
        <v>64</v>
      </c>
      <c r="C18" s="25" t="s">
        <v>0</v>
      </c>
      <c r="D18" s="25" t="s">
        <v>65</v>
      </c>
      <c r="E18" s="25" t="s">
        <v>61</v>
      </c>
      <c r="F18" s="26" t="s">
        <v>83</v>
      </c>
      <c r="G18" s="27" t="s">
        <v>84</v>
      </c>
      <c r="H18" s="27" t="s">
        <v>62</v>
      </c>
      <c r="I18" s="27" t="s">
        <v>85</v>
      </c>
    </row>
    <row r="19" spans="2:10">
      <c r="D19" t="s">
        <v>86</v>
      </c>
      <c r="F19">
        <f>F12+VLOOKUP($B$3,$I$3:$J$11,2,FALSE)</f>
        <v>2040</v>
      </c>
      <c r="H19" t="str">
        <f>C28</f>
        <v>T-SAVI_INT_ELC_NEW</v>
      </c>
      <c r="I19" s="28" t="s">
        <v>92</v>
      </c>
    </row>
    <row r="20" spans="2:10">
      <c r="D20" t="s">
        <v>86</v>
      </c>
      <c r="F20" s="37">
        <f>F13+VLOOKUP($B$3,$I$3:$J$11,2,FALSE)</f>
        <v>2050</v>
      </c>
      <c r="H20" t="str">
        <f>C29</f>
        <v>T-MAVI_INT_ELC_NEW</v>
      </c>
      <c r="I20" s="28" t="s">
        <v>108</v>
      </c>
      <c r="J20" s="29"/>
    </row>
    <row r="23" spans="2:10">
      <c r="F23" s="30"/>
      <c r="G23" s="31"/>
    </row>
    <row r="27" spans="2:10">
      <c r="C27" s="38" t="s">
        <v>91</v>
      </c>
      <c r="D27" s="38"/>
    </row>
    <row r="28" spans="2:10">
      <c r="C28" s="42" t="s">
        <v>87</v>
      </c>
      <c r="D28" s="42" t="s">
        <v>88</v>
      </c>
    </row>
    <row r="29" spans="2:10">
      <c r="C29" s="42" t="s">
        <v>89</v>
      </c>
      <c r="D29" s="42" t="s">
        <v>90</v>
      </c>
    </row>
    <row r="30" spans="2:10">
      <c r="C30" s="39"/>
      <c r="D30" s="39"/>
    </row>
    <row r="31" spans="2:10">
      <c r="C31" s="39"/>
      <c r="D31" s="39"/>
    </row>
  </sheetData>
  <phoneticPr fontId="2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Cover</vt:lpstr>
      <vt:lpstr>Regions</vt:lpstr>
      <vt:lpstr>START year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Vahid Aryanpur</cp:lastModifiedBy>
  <dcterms:created xsi:type="dcterms:W3CDTF">2009-05-27T15:40:55Z</dcterms:created>
  <dcterms:modified xsi:type="dcterms:W3CDTF">2026-08-07T09:35:46Z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369634509086608</vt:r8>
  </property>
</Properties>
</file>