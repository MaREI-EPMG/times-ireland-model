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ersons/person.xml" ContentType="application/vnd.ms-excel.perso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Default Extension="jpeg" ContentType="image/jpeg"/>
  <Override PartName="/xl/styles.xml" ContentType="application/vnd.openxmlformats-officedocument.spreadsheetml.styles+xml"/>
  <Override PartName="/xl/drawings/drawing1.xml" ContentType="application/vnd.openxmlformats-officedocument.drawing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4.xml" ContentType="application/vnd.openxmlformats-officedocument.spreadsheetml.comments+xml"/>
  <Override PartName="/xl/threadedComments/threadedComments4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Default Extension="vml" ContentType="application/vnd.openxmlformats-officedocument.vmlDrawing"/>
  <Override PartName="/xl/worksheets/sheet4.xml" ContentType="application/vnd.openxmlformats-officedocument.spreadsheetml.worksheet+xml"/>
  <Override PartName="/xl/ctrProps/ctrProp1.xml" ContentType="application/vnd.ms-excel.controlproperties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4" rupBuild="30131"/>
  <workbookPr updateLinks="never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Veda\Veda_models\TIM 2100\SuppXLS\"/>
    </mc:Choice>
  </mc:AlternateContent>
  <bookViews>
    <workbookView xWindow="-108" yWindow="-108" windowWidth="23256" windowHeight="12456" activeTab="3"/>
  </bookViews>
  <sheets>
    <sheet name="Cover" sheetId="5" r:id="rId4"/>
    <sheet name="BY-Demands" sheetId="4" r:id="rId5"/>
    <sheet name="REG_TRA_DEMANDS" sheetId="3" r:id="rId6"/>
    <sheet name="DEMANDS" sheetId="1" r:id="rId7"/>
    <sheet name="Regions" sheetId="2" r:id="rId8"/>
    <sheet name="TRA-2021" sheetId="6" r:id="rId9"/>
  </sheets>
  <definedNames>
    <definedName name="__123Graph_AEUMILKPN" localSheetId="0" hidden="1">#REF!</definedName>
    <definedName name="__123Graph_AEUMILKPN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Regression_Y" localSheetId="0" hidden="1">#REF!</definedName>
    <definedName name="_Regression_Y" hidden="1">#REF!</definedName>
    <definedName name="aa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CAGR">DEMANDS!$U$5</definedName>
    <definedName name="ele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I_alku">"1.1."</definedName>
    <definedName name="I_loppu">"31.3."</definedName>
    <definedName name="II_alku">"1.4."</definedName>
    <definedName name="II_loppu">"30.6."</definedName>
    <definedName name="III_alku">"1.7."</definedName>
    <definedName name="III_loppu">"30.9."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IV_alku">"1.10."</definedName>
    <definedName name="IV_loppu">"31.12."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4" l="1"/>
</calcChain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vahid Aryanpur</author>
    <author>11</author>
    <author>tc={9B57E161-550D-4A4E-97F2-382B8393D1FF}</author>
    <author>tc={FA644243-5C82-49A2-9E18-155BC945F002}</author>
    <author>tc={58A128E1-0CEE-4B03-8BAC-A4332CB39BA7}</author>
    <author>tc={005BD459-4167-434A-824B-E28EB95E63A1}</author>
    <author>tc={B60F1593-6574-4356-A75A-A449B53F0694}</author>
    <author>tc={B19ADDE3-46E4-4537-9333-0A41E976B211}</author>
  </authors>
  <commentList>
    <comment ref="J17" authorId="0" shapeId="0" xr:uid="{C4E603A2-B847-453D-B34E-0123FD2189DB}">
      <text>
        <r>
          <rPr>
            <b/>
            <sz val="9"/>
            <rFont val="Tahoma"/>
            <family val="2"/>
          </rPr>
          <t>vahid Aryanpur:</t>
        </r>
        <r>
          <rPr>
            <sz val="9"/>
            <rFont val="Tahoma"/>
            <family val="2"/>
          </rPr>
          <t xml:space="preserve">
Updated, based on proportion of total fuel consumption</t>
        </r>
      </text>
    </comment>
    <comment ref="M17" authorId="1" shapeId="0" xr:uid="{595B8A25-D805-4679-A5C2-C75F70A5ED19}">
      <text>
        <r>
          <rPr>
            <b/>
            <sz val="9"/>
            <rFont val="Tahoma"/>
            <family val="2"/>
          </rPr>
          <t>11:</t>
        </r>
        <r>
          <rPr>
            <sz val="9"/>
            <rFont val="Tahoma"/>
            <family val="2"/>
          </rPr>
          <t xml:space="preserve">
Assumption: 1.125% growth rate</t>
        </r>
      </text>
    </comment>
    <comment ref="M18" authorId="1" shapeId="0" xr:uid="{C66F5F0E-AC10-4552-BE42-FA3851A656CB}">
      <text>
        <r>
          <rPr>
            <b/>
            <sz val="9"/>
            <rFont val="Tahoma"/>
            <family val="2"/>
          </rPr>
          <t>11:</t>
        </r>
        <r>
          <rPr>
            <sz val="9"/>
            <rFont val="Tahoma"/>
            <family val="2"/>
          </rPr>
          <t xml:space="preserve">
Assumption: 1.15% growth rate</t>
        </r>
      </text>
    </comment>
    <comment ref="M19" authorId="1" shapeId="0" xr:uid="{F43EA194-CE39-409F-87DD-5C63EB2607EB}">
      <text>
        <r>
          <rPr>
            <b/>
            <sz val="9"/>
            <rFont val="Tahoma"/>
            <family val="2"/>
          </rPr>
          <t>11:</t>
        </r>
        <r>
          <rPr>
            <sz val="9"/>
            <rFont val="Tahoma"/>
            <family val="2"/>
          </rPr>
          <t xml:space="preserve">
Assumption: 1.25% growth rate</t>
        </r>
      </text>
    </comment>
    <comment ref="H20" authorId="2" shapeId="0" xr:uid="{9B57E161-550D-4A4E-97F2-382B8393D1FF}">
      <text>
        <r>
          <t>[Threaded comment]
Your version of Excel allows you to read this threaded comment; however, any edits to it will get removed if the file is opened in a newer version of Excel. Learn more: https://go.microsoft.com/fwlink/?linkid=870924
Comment:
    Sum of Eurostat tables: 
1) ROAD_GO_TA_TOTT
2) RAIL_GO_TOTAL</t>
        </r>
      </text>
    </comment>
    <comment ref="I20" authorId="3" shapeId="0" xr:uid="{FA644243-5C82-49A2-9E18-155BC945F002}">
      <text>
        <r>
          <t>[Threaded comment]
Your version of Excel allows you to read this threaded comment; however, any edits to it will get removed if the file is opened in a newer version of Excel. Learn more: https://go.microsoft.com/fwlink/?linkid=870924
Comment:
    Sum of Eurostat tables: 
1) ROAD_GO_TA_TOTT
2) RAIL_GO_TOTAL</t>
        </r>
      </text>
    </comment>
    <comment ref="J20" authorId="4" shapeId="0" xr:uid="{58A128E1-0CEE-4B03-8BAC-A4332CB39BA7}">
      <text>
        <r>
          <t>[Threaded comment]
Your version of Excel allows you to read this threaded comment; however, any edits to it will get removed if the file is opened in a newer version of Excel. Learn more: https://go.microsoft.com/fwlink/?linkid=870924
Comment:
    Sum of Eurostat tables: 
1) ROAD_GO_TA_TOTT
2) RAIL_GO_TOTAL</t>
        </r>
      </text>
    </comment>
    <comment ref="J117" authorId="0" shapeId="0" xr:uid="{79ABF290-CD41-44AD-ADDE-8C7D0AD6D8D0}">
      <text>
        <r>
          <rPr>
            <b/>
            <sz val="9"/>
            <rFont val="Tahoma"/>
            <family val="2"/>
          </rPr>
          <t>vahid Aryanpur:</t>
        </r>
        <r>
          <rPr>
            <sz val="9"/>
            <rFont val="Tahoma"/>
            <family val="2"/>
          </rPr>
          <t xml:space="preserve">
Updated, based on proportion of total fuel consumption</t>
        </r>
      </text>
    </comment>
    <comment ref="M117" authorId="1" shapeId="0" xr:uid="{3CB497A0-E0E4-420B-A0FE-E57FA0EE42EC}">
      <text>
        <r>
          <rPr>
            <b/>
            <sz val="9"/>
            <rFont val="Tahoma"/>
            <family val="2"/>
          </rPr>
          <t>11:</t>
        </r>
        <r>
          <rPr>
            <sz val="9"/>
            <rFont val="Tahoma"/>
            <family val="2"/>
          </rPr>
          <t xml:space="preserve">
Assumption: 1.125% growth rate</t>
        </r>
      </text>
    </comment>
    <comment ref="M118" authorId="1" shapeId="0" xr:uid="{49E6C170-A7CA-478E-BCB3-1C184AF1CD9D}">
      <text>
        <r>
          <rPr>
            <b/>
            <sz val="9"/>
            <rFont val="Tahoma"/>
            <family val="2"/>
          </rPr>
          <t>11:</t>
        </r>
        <r>
          <rPr>
            <sz val="9"/>
            <rFont val="Tahoma"/>
            <family val="2"/>
          </rPr>
          <t xml:space="preserve">
Assumption: 1.15% growth rate</t>
        </r>
      </text>
    </comment>
    <comment ref="M119" authorId="1" shapeId="0" xr:uid="{B1C7C1CD-C386-4A75-AE41-C34E89354256}">
      <text>
        <r>
          <rPr>
            <b/>
            <sz val="9"/>
            <rFont val="Tahoma"/>
            <family val="2"/>
          </rPr>
          <t>11:</t>
        </r>
        <r>
          <rPr>
            <sz val="9"/>
            <rFont val="Tahoma"/>
            <family val="2"/>
          </rPr>
          <t xml:space="preserve">
Assumption: 1.25% growth rate</t>
        </r>
      </text>
    </comment>
    <comment ref="H120" authorId="5" shapeId="0" xr:uid="{005BD459-4167-434A-824B-E28EB95E63A1}">
      <text>
        <r>
          <t>[Threaded comment]
Your version of Excel allows you to read this threaded comment; however, any edits to it will get removed if the file is opened in a newer version of Excel. Learn more: https://go.microsoft.com/fwlink/?linkid=870924
Comment:
    Sum of Eurostat tables: 
1) ROAD_GO_TA_TOTT
2) RAIL_GO_TOTAL</t>
        </r>
      </text>
    </comment>
    <comment ref="I120" authorId="6" shapeId="0" xr:uid="{B60F1593-6574-4356-A75A-A449B53F0694}">
      <text>
        <r>
          <t>[Threaded comment]
Your version of Excel allows you to read this threaded comment; however, any edits to it will get removed if the file is opened in a newer version of Excel. Learn more: https://go.microsoft.com/fwlink/?linkid=870924
Comment:
    Sum of Eurostat tables: 
1) ROAD_GO_TA_TOTT
2) RAIL_GO_TOTAL</t>
        </r>
      </text>
    </comment>
    <comment ref="J120" authorId="7" shapeId="0" xr:uid="{B19ADDE3-46E4-4537-9333-0A41E976B211}">
      <text>
        <r>
          <t>[Threaded comment]
Your version of Excel allows you to read this threaded comment; however, any edits to it will get removed if the file is opened in a newer version of Excel. Learn more: https://go.microsoft.com/fwlink/?linkid=870924
Comment:
    Sum of Eurostat tables: 
1) ROAD_GO_TA_TOTT
2) RAIL_GO_TOTAL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<sst xmlns="http://schemas.openxmlformats.org/spreadsheetml/2006/main" count="804" uniqueCount="220">
  <si>
    <t>~TFM_INS-TS</t>
  </si>
  <si>
    <t xml:space="preserve"> </t>
  </si>
  <si>
    <t>LimType</t>
  </si>
  <si>
    <t>Attribute</t>
  </si>
  <si>
    <t>Region</t>
  </si>
  <si>
    <t>Cset_CN</t>
  </si>
  <si>
    <t>COM_PROJ</t>
  </si>
  <si>
    <t>INEM</t>
  </si>
  <si>
    <t xml:space="preserve">Non-Energy Mining </t>
  </si>
  <si>
    <t>IFAB</t>
  </si>
  <si>
    <t xml:space="preserve">Food and beverages </t>
  </si>
  <si>
    <t>ITAP</t>
  </si>
  <si>
    <t xml:space="preserve">Textiles and textile products </t>
  </si>
  <si>
    <t>IWAP</t>
  </si>
  <si>
    <t xml:space="preserve">Wood and wood products </t>
  </si>
  <si>
    <t>IPX4</t>
  </si>
  <si>
    <t xml:space="preserve">Pulp, paper, publishing and printing </t>
  </si>
  <si>
    <t>ICAF</t>
  </si>
  <si>
    <t xml:space="preserve">Chemicals and man-made fibres </t>
  </si>
  <si>
    <t>IRAP</t>
  </si>
  <si>
    <t xml:space="preserve">Rubber and plastic products </t>
  </si>
  <si>
    <t>IONM</t>
  </si>
  <si>
    <t xml:space="preserve">Other non-metallic mineral products </t>
  </si>
  <si>
    <t>IMAP</t>
  </si>
  <si>
    <t xml:space="preserve">Basic metals and fabricated metal products </t>
  </si>
  <si>
    <t>IMAE</t>
  </si>
  <si>
    <t xml:space="preserve">Machinery and equipment n.e.c. </t>
  </si>
  <si>
    <t>IEOE</t>
  </si>
  <si>
    <t>Electrical and optical equipment demand</t>
  </si>
  <si>
    <t>ITEM</t>
  </si>
  <si>
    <t xml:space="preserve">Transport equipment manufacture </t>
  </si>
  <si>
    <t>IOMA</t>
  </si>
  <si>
    <t xml:space="preserve">Other manufacturing </t>
  </si>
  <si>
    <t>ICON</t>
  </si>
  <si>
    <t>Construction</t>
  </si>
  <si>
    <t>TRAPS</t>
  </si>
  <si>
    <t>Transport Demand: Short-range passenger travels</t>
  </si>
  <si>
    <t>TRAPM</t>
  </si>
  <si>
    <t>Transport Demand: Medium-range passenger travels</t>
  </si>
  <si>
    <t>TRAPL</t>
  </si>
  <si>
    <t>Transport Demand: Long-range passenger travels</t>
  </si>
  <si>
    <t>TRAF</t>
  </si>
  <si>
    <t>Transport Demand: Goods vehicle for freight</t>
  </si>
  <si>
    <t>TTURS</t>
  </si>
  <si>
    <t xml:space="preserve">Transport Demand: Turism fuel </t>
  </si>
  <si>
    <t>TNAV</t>
  </si>
  <si>
    <t xml:space="preserve">Transport Demand: Navigation fuel </t>
  </si>
  <si>
    <t>TOTH</t>
  </si>
  <si>
    <t>Transport Demand: Unspecified fuel</t>
  </si>
  <si>
    <t>TAVIDOM</t>
  </si>
  <si>
    <t>Transport Demand: Aviation domestic</t>
  </si>
  <si>
    <t>TAVIINT</t>
  </si>
  <si>
    <t>Transport Demand: Aviation international</t>
  </si>
  <si>
    <t>RSD_Apt</t>
  </si>
  <si>
    <t>Residential Apartment Demand</t>
  </si>
  <si>
    <t>RSD_Att</t>
  </si>
  <si>
    <t>Residential Attached Demand</t>
  </si>
  <si>
    <t>RSD_Det</t>
  </si>
  <si>
    <t>Residential Detached Demand</t>
  </si>
  <si>
    <t>*Description</t>
  </si>
  <si>
    <t>Development</t>
  </si>
  <si>
    <t>IE</t>
  </si>
  <si>
    <t>National</t>
  </si>
  <si>
    <t>Single-region</t>
  </si>
  <si>
    <t>Multi-region</t>
  </si>
  <si>
    <t>Code</t>
  </si>
  <si>
    <t>County name</t>
  </si>
  <si>
    <t>IE-CW</t>
  </si>
  <si>
    <t>Carlow</t>
  </si>
  <si>
    <t>IE-CN</t>
  </si>
  <si>
    <t>Cavan</t>
  </si>
  <si>
    <t>IE-CE</t>
  </si>
  <si>
    <t>Clare</t>
  </si>
  <si>
    <t>IE-CO</t>
  </si>
  <si>
    <t>Cork</t>
  </si>
  <si>
    <t>IE-DL</t>
  </si>
  <si>
    <t>Donegal</t>
  </si>
  <si>
    <t>IE-D</t>
  </si>
  <si>
    <t>Dublin</t>
  </si>
  <si>
    <t>IE-G</t>
  </si>
  <si>
    <t>Galway</t>
  </si>
  <si>
    <t>IE-KY</t>
  </si>
  <si>
    <t>Kerry</t>
  </si>
  <si>
    <t>IE-KE</t>
  </si>
  <si>
    <t>Kildare</t>
  </si>
  <si>
    <t>IE-KK</t>
  </si>
  <si>
    <t>Kilkenny</t>
  </si>
  <si>
    <t>IE-LS</t>
  </si>
  <si>
    <t>Laois</t>
  </si>
  <si>
    <t>IE-LM</t>
  </si>
  <si>
    <t>Leitrim</t>
  </si>
  <si>
    <t>IE-LK</t>
  </si>
  <si>
    <t>Limerick</t>
  </si>
  <si>
    <t>IE-LD</t>
  </si>
  <si>
    <t>Longford</t>
  </si>
  <si>
    <t>IE-LH</t>
  </si>
  <si>
    <t>Louth</t>
  </si>
  <si>
    <t>IE-MO</t>
  </si>
  <si>
    <t>Mayo</t>
  </si>
  <si>
    <t>IE-MH</t>
  </si>
  <si>
    <t>Meath</t>
  </si>
  <si>
    <t>IE-MN</t>
  </si>
  <si>
    <t>Monaghan</t>
  </si>
  <si>
    <t>IE-OY</t>
  </si>
  <si>
    <t>Offaly</t>
  </si>
  <si>
    <t>IE-RN</t>
  </si>
  <si>
    <t>Roscommon</t>
  </si>
  <si>
    <t>IE-SO</t>
  </si>
  <si>
    <t>Sligo</t>
  </si>
  <si>
    <t>IE-TA</t>
  </si>
  <si>
    <t>Tipperary</t>
  </si>
  <si>
    <t>IE-WD</t>
  </si>
  <si>
    <t>Waterford</t>
  </si>
  <si>
    <t>IE-WH</t>
  </si>
  <si>
    <t>Westmeath</t>
  </si>
  <si>
    <t>IE-WX</t>
  </si>
  <si>
    <t>Wexford</t>
  </si>
  <si>
    <t>IE-WW</t>
  </si>
  <si>
    <t>Wicklow</t>
  </si>
  <si>
    <r>
      <rPr>
        <b/>
        <sz val="11"/>
        <color theme="1"/>
        <rFont val="Calibri"/>
        <family val="2"/>
        <scheme val="minor"/>
      </rPr>
      <t xml:space="preserve">Source: </t>
    </r>
    <r>
      <rPr>
        <sz val="10"/>
        <rFont val="Arial"/>
        <family val="2"/>
      </rPr>
      <t>https://en.wikipedia.org/wiki/ISO_3166-2:IE</t>
    </r>
  </si>
  <si>
    <t>Year</t>
  </si>
  <si>
    <t>TimeSlice</t>
  </si>
  <si>
    <t>~TFM_DINS</t>
  </si>
  <si>
    <t>~TFM_FILL</t>
  </si>
  <si>
    <t>Operation_Sum_Avg_Count</t>
  </si>
  <si>
    <t>Scenario Name</t>
  </si>
  <si>
    <t>A</t>
  </si>
  <si>
    <t>BASE</t>
  </si>
  <si>
    <t>RSDRF</t>
  </si>
  <si>
    <t>RSDCK</t>
  </si>
  <si>
    <t>RSDCW</t>
  </si>
  <si>
    <t>RSDCD</t>
  </si>
  <si>
    <t>RSDDW</t>
  </si>
  <si>
    <t>RSDOE</t>
  </si>
  <si>
    <t>RSDOA</t>
  </si>
  <si>
    <t>SRV-CS</t>
  </si>
  <si>
    <t>Services - Commercial Services</t>
  </si>
  <si>
    <t>SRV-PU</t>
  </si>
  <si>
    <t>Services - Public Services</t>
  </si>
  <si>
    <t>SRVDCE-CS</t>
  </si>
  <si>
    <t>SRV-Commercial Services: Data centers</t>
  </si>
  <si>
    <t>SRVPLIG-PU</t>
  </si>
  <si>
    <t>SRV-Public Services: Public lighting</t>
  </si>
  <si>
    <t>TIMES-Ireland Model</t>
  </si>
  <si>
    <t>Document type: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</si>
  <si>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</si>
  <si>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</si>
  <si>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</si>
  <si>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</si>
  <si>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</si>
  <si>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</si>
  <si>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</si>
  <si>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</si>
  <si>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</si>
  <si>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</si>
  <si>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Scenario</t>
  </si>
  <si>
    <t>All end-use sectors</t>
  </si>
  <si>
    <t>Specify end-use demand projections</t>
  </si>
  <si>
    <t>Ankita Gaur (UCC, agaur@ucc.ie)</t>
  </si>
  <si>
    <t>Olexandr Balyk (UCC, olexandr.balyk@ucc.ie)</t>
  </si>
  <si>
    <t>Vahid Aryanpur (UCC, vahid.aryanpur@ucc.ie)</t>
  </si>
  <si>
    <t>IE,National</t>
  </si>
  <si>
    <t>Residential Refrigeration Demand</t>
  </si>
  <si>
    <t>Residential Cooking Demand</t>
  </si>
  <si>
    <t>Residential Cloth Washing Demand</t>
  </si>
  <si>
    <t>Residential Cloth Drying Demand</t>
  </si>
  <si>
    <t>Residential Dish Washing Demand</t>
  </si>
  <si>
    <t>Residential ELC Appliances Demand</t>
  </si>
  <si>
    <t>Residential Other Applications Demand</t>
  </si>
  <si>
    <t>Total fuel consumption (litre)</t>
  </si>
  <si>
    <t>6,681,011,455</t>
  </si>
  <si>
    <t>6,688,720,344</t>
  </si>
  <si>
    <t>6,132,509,241</t>
  </si>
  <si>
    <t>Source: NORA (National Oil Reserves Agency), https://www.nora.ie/statistics.312.html</t>
  </si>
  <si>
    <t>Proportion of total fuel consumption</t>
  </si>
  <si>
    <t>ALL FUELS</t>
  </si>
  <si>
    <t>2021/2018</t>
  </si>
  <si>
    <t>2021/2020</t>
  </si>
  <si>
    <t>Original value (2021)</t>
  </si>
  <si>
    <t>January</t>
  </si>
  <si>
    <t>February</t>
  </si>
  <si>
    <t>March</t>
  </si>
  <si>
    <t>April</t>
  </si>
  <si>
    <t>May</t>
  </si>
  <si>
    <t>June</t>
  </si>
  <si>
    <t>July</t>
  </si>
  <si>
    <t>Volume of fuel consumption (litre)</t>
  </si>
  <si>
    <t>7 months fuel consumption</t>
  </si>
  <si>
    <t>Increase</t>
  </si>
  <si>
    <t>2022/2018</t>
  </si>
  <si>
    <t>2023/2022</t>
  </si>
  <si>
    <t>Table 1 Metered Electricity Consumption 2015-2022</t>
  </si>
  <si>
    <t>% of Total</t>
  </si>
  <si>
    <t>Data Centre</t>
  </si>
  <si>
    <t>Other Metered Customers</t>
  </si>
  <si>
    <t>Total</t>
  </si>
  <si>
    <t>% Data Centre</t>
  </si>
  <si>
    <t>GWh</t>
  </si>
  <si>
    <t>PJ</t>
  </si>
  <si>
    <t>Indigenous Generation</t>
  </si>
  <si>
    <t>Net imports</t>
  </si>
  <si>
    <t>Electricity Generation (GWh)</t>
  </si>
  <si>
    <t>Total (GWh)</t>
  </si>
  <si>
    <t>Previous model results for 2022 (PJ)</t>
  </si>
  <si>
    <t>Required decrease for calibration</t>
  </si>
  <si>
    <t>Source: SEAI, https://www.seai.ie/data-and-insights/seai-statistics/monthly-energy-data/electricity/</t>
  </si>
  <si>
    <t>Original</t>
  </si>
  <si>
    <t>2022/2021</t>
  </si>
  <si>
    <t>CommName</t>
  </si>
  <si>
    <t>IELC</t>
  </si>
  <si>
    <t>IOIL</t>
  </si>
  <si>
    <t>ICEM</t>
  </si>
  <si>
    <t>IFAP</t>
  </si>
  <si>
    <t>ILIM</t>
  </si>
  <si>
    <t>Transport Demand: Aviation international_Short</t>
  </si>
  <si>
    <t>Transport Demand: Aviation international_Medium</t>
  </si>
  <si>
    <t>Transport Demand: Aviation international_Long</t>
  </si>
  <si>
    <t>TAVIINTS</t>
  </si>
  <si>
    <t>TAVIINTM</t>
  </si>
  <si>
    <t>TAVIINTL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</si>
</sst>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2" formatCode="_-&quot;€&quot;* #,##0_-;\-&quot;€&quot;* #,##0_-;_-&quot;€&quot;* &quot;-&quot;_-;_-@_-"/>
    <numFmt numFmtId="41" formatCode="_-* #,##0_-;\-* #,##0_-;_-* &quot;-&quot;_-;_-@_-"/>
    <numFmt numFmtId="44" formatCode="_-&quot;€&quot;* #,##0.00_-;\-&quot;€&quot;* #,##0.00_-;_-&quot;€&quot;* &quot;-&quot;??_-;_-@_-"/>
    <numFmt numFmtId="43" formatCode="_-* #,##0.00_-;\-* #,##0.00_-;_-* &quot;-&quot;??_-;_-@_-"/>
    <numFmt numFmtId="164" formatCode="_(* #,##0.00_);_(* \(#,##0.00\);_(* &quot;-&quot;??_);_(@_)"/>
    <numFmt numFmtId="165" formatCode="0.000"/>
    <numFmt numFmtId="166" formatCode="0.0"/>
    <numFmt numFmtId="167" formatCode="0.0%"/>
    <numFmt numFmtId="168" formatCode="_(&quot;$&quot;* #,##0.00_);_(&quot;$&quot;* \(#,##0.00\);_(&quot;$&quot;* &quot;-&quot;??_);_(@_)"/>
    <numFmt numFmtId="169" formatCode="0.00_)"/>
    <numFmt numFmtId="170" formatCode="_-* #,##0.000_-;\-* #,##0.000_-;_-* &quot;-&quot;??_-;_-@_-"/>
    <numFmt numFmtId="171" formatCode="\Te\x\t"/>
  </numFmts>
  <fonts count="39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b/>
      <sz val="10"/>
      <color indexed="12"/>
      <name val="Arial"/>
      <family val="2"/>
    </font>
    <font>
      <sz val="11"/>
      <color rgb="FF444444"/>
      <name val="Calibri"/>
      <family val="2"/>
    </font>
    <font>
      <b/>
      <sz val="10"/>
      <color indexed="10"/>
      <name val="Arial"/>
      <family val="2"/>
    </font>
    <font>
      <b/>
      <sz val="10"/>
      <color rgb="FFFF0000"/>
      <name val="Arial"/>
      <family val="2"/>
    </font>
    <font>
      <u val="single"/>
      <sz val="11"/>
      <color theme="10"/>
      <name val="Calibri"/>
      <family val="2"/>
      <scheme val="minor"/>
    </font>
    <font>
      <sz val="24"/>
      <name val="Calibri"/>
      <family val="2"/>
      <scheme val="minor"/>
    </font>
    <font>
      <b/>
      <sz val="11"/>
      <color theme="7" tint="-0.498879998922348"/>
      <name val="Calibri"/>
      <family val="2"/>
      <scheme val="minor"/>
    </font>
    <font>
      <b/>
      <u val="single"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7" tint="-0.498879998922348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name val="Tahoma"/>
      <family val="2"/>
    </font>
    <font>
      <sz val="9"/>
      <name val="Tahoma"/>
      <family val="2"/>
    </font>
    <font>
      <b/>
      <sz val="10"/>
      <name val="Times New Roman"/>
      <family val="1"/>
    </font>
    <font>
      <sz val="10"/>
      <name val="MS Sans Serif"/>
      <family val="2"/>
    </font>
    <font>
      <sz val="12"/>
      <name val="Arial"/>
      <family val="2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8"/>
      <name val="Arial"/>
      <family val="2"/>
    </font>
    <font>
      <b/>
      <i/>
      <sz val="8"/>
      <name val="Arial"/>
      <family val="2"/>
    </font>
    <font>
      <b/>
      <i/>
      <sz val="8"/>
      <name val="Calibri"/>
      <family val="2"/>
      <scheme val="minor"/>
    </font>
    <font>
      <sz val="8"/>
      <name val="Arial"/>
      <family val="2"/>
    </font>
    <font>
      <b/>
      <sz val="11"/>
      <color rgb="FFFFFFFF"/>
      <name val="Calibri"/>
      <family val="2"/>
    </font>
    <font>
      <sz val="11"/>
      <color rgb="FF00B0F0"/>
      <name val="Calibri"/>
      <family val="2"/>
      <scheme val="minor"/>
    </font>
    <font>
      <sz val="11"/>
      <color rgb="FF000000"/>
      <name val="Calibri"/>
      <family val="2"/>
    </font>
    <font>
      <u val="single"/>
      <sz val="11"/>
      <color theme="10"/>
      <name val="Calibri"/>
      <family val="2"/>
    </font>
    <font>
      <sz val="14"/>
      <color theme="1" tint="0.35"/>
      <name val="Calibri"/>
      <family val="2"/>
      <scheme val="minor"/>
    </font>
    <font>
      <sz val="9"/>
      <color theme="1" tint="0.35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9" tint="0.399980008602142"/>
        <bgColor indexed="64"/>
      </patternFill>
    </fill>
    <fill>
      <patternFill patternType="solid">
        <fgColor theme="8" tint="0.399980008602142"/>
        <bgColor indexed="64"/>
      </patternFill>
    </fill>
    <fill>
      <patternFill patternType="solid">
        <fgColor theme="7" tint="0.399980008602142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86000061035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64C8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889000356197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1F497D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/>
      <bottom/>
    </border>
    <border>
      <left/>
      <right/>
      <top style="thin">
        <color auto="1"/>
      </top>
      <bottom/>
    </border>
    <border>
      <left/>
      <right/>
      <top style="thin">
        <color auto="1"/>
      </top>
      <bottom style="thin">
        <color auto="1"/>
      </bottom>
    </border>
    <border>
      <left/>
      <right/>
      <top style="thin">
        <color rgb="FFFFFFFF"/>
      </top>
      <bottom style="medium">
        <color rgb="FFFFFFFF"/>
      </bottom>
    </border>
  </borders>
  <cellStyleXfs count="392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164" fontId="0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5" fillId="0" borderId="0">
      <alignment/>
      <protection/>
    </xf>
    <xf numFmtId="16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169" fontId="5" fillId="0" borderId="0">
      <alignment/>
      <protection/>
    </xf>
    <xf numFmtId="169" fontId="5" fillId="0" borderId="0">
      <alignment/>
      <protection/>
    </xf>
    <xf numFmtId="0" fontId="5" fillId="0" borderId="0">
      <alignment/>
      <protection/>
    </xf>
    <xf numFmtId="0" fontId="24" fillId="0" borderId="0">
      <alignment/>
      <protection/>
    </xf>
    <xf numFmtId="0" fontId="24" fillId="0" borderId="0">
      <alignment/>
      <protection/>
    </xf>
    <xf numFmtId="0" fontId="24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169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23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23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23" fillId="0" borderId="0">
      <alignment/>
      <protection/>
    </xf>
    <xf numFmtId="0" fontId="23" fillId="0" borderId="0">
      <alignment/>
      <protection/>
    </xf>
    <xf numFmtId="0" fontId="23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23" fillId="0" borderId="0">
      <alignment/>
      <protection/>
    </xf>
    <xf numFmtId="0" fontId="23" fillId="0" borderId="0">
      <alignment/>
      <protection/>
    </xf>
    <xf numFmtId="0" fontId="23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9" fontId="5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25" fillId="8" borderId="0" applyNumberFormat="0" applyBorder="0" applyAlignment="0" applyProtection="0"/>
    <xf numFmtId="0" fontId="26" fillId="0" borderId="0" applyNumberFormat="0" applyFill="0" applyBorder="0" applyAlignment="0" applyProtection="0"/>
    <xf numFmtId="164" fontId="0" fillId="0" borderId="0" applyFont="0" applyFill="0" applyBorder="0" applyAlignment="0" applyProtection="0"/>
    <xf numFmtId="164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35" fillId="0" borderId="0" applyBorder="0">
      <alignment/>
      <protection/>
    </xf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12" fillId="0" borderId="0" applyNumberFormat="0" applyFill="0" applyBorder="0" applyAlignment="0" applyProtection="0"/>
    <xf numFmtId="43" fontId="3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5" fillId="0" borderId="0">
      <alignment/>
      <protection/>
    </xf>
    <xf numFmtId="43" fontId="5" fillId="0" borderId="0" applyFont="0" applyFill="0" applyBorder="0" applyAlignment="0" applyProtection="0"/>
    <xf numFmtId="0" fontId="35" fillId="0" borderId="0" applyBorder="0">
      <alignment/>
      <protection/>
    </xf>
    <xf numFmtId="0" fontId="36" fillId="0" borderId="0" applyNumberForma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 applyBorder="0">
      <alignment/>
      <protection/>
    </xf>
  </cellStyleXfs>
  <cellXfs count="92">
    <xf numFmtId="0" fontId="0" fillId="0" borderId="0" xfId="0"/>
    <xf numFmtId="0" fontId="29" fillId="0" borderId="1" xfId="0" applyFont="1" applyBorder="1" applyAlignment="1">
      <alignment horizontal="left"/>
    </xf>
    <xf numFmtId="0" fontId="31" fillId="0" borderId="1" xfId="0" applyFont="1" applyBorder="1" applyAlignment="1">
      <alignment horizontal="right"/>
    </xf>
    <xf numFmtId="0" fontId="30" fillId="0" borderId="1" xfId="0" applyFont="1" applyBorder="1" applyAlignment="1">
      <alignment horizontal="right"/>
    </xf>
    <xf numFmtId="0" fontId="12" fillId="9" borderId="0" xfId="20" applyFill="1" applyAlignment="1">
      <alignment vertical="center"/>
    </xf>
    <xf numFmtId="0" fontId="13" fillId="9" borderId="0" xfId="21" applyFont="1" applyFill="1" applyAlignment="1">
      <alignment horizontal="center" vertical="center"/>
      <protection/>
    </xf>
    <xf numFmtId="0" fontId="16" fillId="9" borderId="0" xfId="21" applyFont="1" applyFill="1" applyAlignment="1">
      <alignment vertical="center"/>
      <protection/>
    </xf>
    <xf numFmtId="0" fontId="29" fillId="0" borderId="1" xfId="0" applyFont="1" applyBorder="1" applyAlignment="1">
      <alignment horizontal="left"/>
    </xf>
    <xf numFmtId="0" fontId="12" fillId="9" borderId="0" xfId="20" applyFill="1" applyAlignment="1">
      <alignment vertical="center"/>
    </xf>
    <xf numFmtId="0" fontId="16" fillId="9" borderId="0" xfId="21" applyFont="1" applyFill="1" applyAlignment="1">
      <alignment vertical="center"/>
      <protection/>
    </xf>
    <xf numFmtId="0" fontId="3" fillId="10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 applyProtection="1">
      <alignment horizontal="left" vertical="center"/>
      <protection locked="0"/>
    </xf>
    <xf numFmtId="0" fontId="3" fillId="11" borderId="2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165" fontId="0" fillId="0" borderId="1" xfId="0" applyNumberFormat="1" applyBorder="1"/>
    <xf numFmtId="165" fontId="0" fillId="0" borderId="0" xfId="0" applyNumberFormat="1"/>
    <xf numFmtId="0" fontId="0" fillId="0" borderId="6" xfId="0" applyBorder="1"/>
    <xf numFmtId="165" fontId="0" fillId="0" borderId="6" xfId="0" applyNumberFormat="1" applyBorder="1"/>
    <xf numFmtId="0" fontId="6" fillId="12" borderId="2" xfId="0" applyFont="1" applyFill="1" applyBorder="1"/>
    <xf numFmtId="0" fontId="7" fillId="13" borderId="2" xfId="0" applyFont="1" applyFill="1" applyBorder="1" applyAlignment="1">
      <alignment vertical="center"/>
    </xf>
    <xf numFmtId="0" fontId="8" fillId="0" borderId="0" xfId="0" applyFont="1"/>
    <xf numFmtId="0" fontId="9" fillId="0" borderId="0" xfId="0" applyFont="1"/>
    <xf numFmtId="0" fontId="10" fillId="14" borderId="2" xfId="0" applyFont="1" applyFill="1" applyBorder="1"/>
    <xf numFmtId="0" fontId="6" fillId="13" borderId="2" xfId="0" applyFont="1" applyFill="1" applyBorder="1"/>
    <xf numFmtId="0" fontId="5" fillId="13" borderId="2" xfId="0" applyFont="1" applyFill="1" applyBorder="1"/>
    <xf numFmtId="0" fontId="6" fillId="0" borderId="0" xfId="0" applyFont="1"/>
    <xf numFmtId="2" fontId="6" fillId="15" borderId="0" xfId="0" applyNumberFormat="1" applyFont="1" applyFill="1"/>
    <xf numFmtId="0" fontId="6" fillId="15" borderId="0" xfId="0" applyFont="1" applyFill="1"/>
    <xf numFmtId="0" fontId="11" fillId="0" borderId="0" xfId="0" applyFont="1"/>
    <xf numFmtId="0" fontId="2" fillId="0" borderId="0" xfId="0" applyFont="1"/>
    <xf numFmtId="0" fontId="5" fillId="0" borderId="0" xfId="0" applyFont="1"/>
    <xf numFmtId="0" fontId="0" fillId="16" borderId="0" xfId="0" applyFill="1"/>
    <xf numFmtId="1" fontId="0" fillId="0" borderId="0" xfId="0" applyNumberFormat="1"/>
    <xf numFmtId="1" fontId="0" fillId="0" borderId="1" xfId="0" applyNumberFormat="1" applyBorder="1"/>
    <xf numFmtId="1" fontId="0" fillId="0" borderId="6" xfId="0" applyNumberFormat="1" applyBorder="1"/>
    <xf numFmtId="0" fontId="0" fillId="9" borderId="0" xfId="21" applyFont="1" applyFill="1" applyAlignment="1">
      <alignment vertical="center"/>
      <protection/>
    </xf>
    <xf numFmtId="0" fontId="0" fillId="17" borderId="0" xfId="21" applyFont="1" applyFill="1" applyAlignment="1">
      <alignment vertical="center"/>
      <protection/>
    </xf>
    <xf numFmtId="0" fontId="13" fillId="17" borderId="0" xfId="21" applyFont="1" applyFill="1" applyAlignment="1">
      <alignment vertical="center"/>
      <protection/>
    </xf>
    <xf numFmtId="0" fontId="12" fillId="17" borderId="0" xfId="21" applyFont="1" applyFill="1" applyAlignment="1">
      <alignment vertical="center"/>
      <protection/>
    </xf>
    <xf numFmtId="0" fontId="0" fillId="18" borderId="0" xfId="21" applyFont="1" applyFill="1" applyAlignment="1">
      <alignment vertical="center"/>
      <protection/>
    </xf>
    <xf numFmtId="0" fontId="7" fillId="17" borderId="0" xfId="21" applyFont="1" applyFill="1" applyAlignment="1">
      <alignment vertical="center"/>
      <protection/>
    </xf>
    <xf numFmtId="0" fontId="14" fillId="17" borderId="0" xfId="21" applyFont="1" applyFill="1" applyAlignment="1">
      <alignment vertical="center"/>
      <protection/>
    </xf>
    <xf numFmtId="0" fontId="15" fillId="9" borderId="0" xfId="21" applyFont="1" applyFill="1" applyAlignment="1">
      <alignment vertical="center"/>
      <protection/>
    </xf>
    <xf numFmtId="0" fontId="16" fillId="17" borderId="0" xfId="21" applyFont="1" applyFill="1" applyAlignment="1">
      <alignment vertical="center"/>
      <protection/>
    </xf>
    <xf numFmtId="0" fontId="17" fillId="17" borderId="0" xfId="21" applyFont="1" applyFill="1" applyAlignment="1">
      <alignment vertical="center"/>
      <protection/>
    </xf>
    <xf numFmtId="166" fontId="16" fillId="9" borderId="0" xfId="21" applyNumberFormat="1" applyFont="1" applyFill="1" applyAlignment="1">
      <alignment horizontal="left" vertical="center"/>
      <protection/>
    </xf>
    <xf numFmtId="0" fontId="18" fillId="17" borderId="0" xfId="21" applyFont="1" applyFill="1" applyAlignment="1">
      <alignment vertical="center"/>
      <protection/>
    </xf>
    <xf numFmtId="0" fontId="19" fillId="9" borderId="0" xfId="21" applyFont="1" applyFill="1" applyAlignment="1">
      <alignment vertical="center"/>
      <protection/>
    </xf>
    <xf numFmtId="2" fontId="2" fillId="0" borderId="0" xfId="0" applyNumberFormat="1" applyFont="1"/>
    <xf numFmtId="2" fontId="0" fillId="0" borderId="0" xfId="0" applyNumberFormat="1"/>
    <xf numFmtId="0" fontId="7" fillId="13" borderId="2" xfId="21" applyFont="1" applyFill="1" applyBorder="1" applyAlignment="1">
      <alignment vertical="center"/>
      <protection/>
    </xf>
    <xf numFmtId="0" fontId="3" fillId="0" borderId="1" xfId="0" applyFont="1" applyBorder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167" fontId="0" fillId="0" borderId="0" xfId="15" applyNumberFormat="1" applyFont="1" applyAlignment="1">
      <alignment horizontal="center"/>
    </xf>
    <xf numFmtId="166" fontId="0" fillId="0" borderId="0" xfId="0" applyNumberFormat="1"/>
    <xf numFmtId="17" fontId="0" fillId="0" borderId="0" xfId="0" applyNumberFormat="1"/>
    <xf numFmtId="0" fontId="32" fillId="0" borderId="1" xfId="0" applyFont="1" applyBorder="1"/>
    <xf numFmtId="3" fontId="29" fillId="0" borderId="1" xfId="0" applyNumberFormat="1" applyFont="1" applyBorder="1"/>
    <xf numFmtId="3" fontId="32" fillId="0" borderId="1" xfId="0" applyNumberFormat="1" applyFont="1" applyBorder="1"/>
    <xf numFmtId="0" fontId="32" fillId="0" borderId="0" xfId="0" applyFont="1"/>
    <xf numFmtId="3" fontId="29" fillId="0" borderId="0" xfId="0" applyNumberFormat="1" applyFont="1"/>
    <xf numFmtId="3" fontId="32" fillId="0" borderId="0" xfId="0" applyNumberFormat="1" applyFont="1"/>
    <xf numFmtId="0" fontId="29" fillId="0" borderId="0" xfId="0" applyFont="1" applyAlignment="1">
      <alignment horizontal="left"/>
    </xf>
    <xf numFmtId="0" fontId="29" fillId="0" borderId="7" xfId="0" applyFont="1" applyBorder="1" applyAlignment="1">
      <alignment horizontal="right" wrapText="1"/>
    </xf>
    <xf numFmtId="0" fontId="29" fillId="0" borderId="1" xfId="0" applyFont="1" applyBorder="1" applyAlignment="1">
      <alignment horizontal="right" wrapText="1"/>
    </xf>
    <xf numFmtId="0" fontId="29" fillId="0" borderId="7" xfId="0" applyFont="1" applyBorder="1" applyAlignment="1">
      <alignment horizontal="left" wrapText="1"/>
    </xf>
    <xf numFmtId="0" fontId="30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6" fillId="0" borderId="0" xfId="0" applyFont="1"/>
    <xf numFmtId="3" fontId="0" fillId="0" borderId="0" xfId="0" applyNumberFormat="1"/>
    <xf numFmtId="0" fontId="28" fillId="0" borderId="0" xfId="0" applyFont="1" applyAlignment="1">
      <alignment horizontal="left"/>
    </xf>
    <xf numFmtId="0" fontId="22" fillId="0" borderId="0" xfId="0" applyFont="1" applyAlignment="1">
      <alignment horizontal="center"/>
    </xf>
    <xf numFmtId="3" fontId="27" fillId="0" borderId="0" xfId="0" applyNumberFormat="1" applyFont="1"/>
    <xf numFmtId="0" fontId="22" fillId="0" borderId="0" xfId="0" applyFont="1" applyAlignment="1">
      <alignment horizontal="left"/>
    </xf>
    <xf numFmtId="1" fontId="0" fillId="0" borderId="0" xfId="18" applyNumberFormat="1" applyFont="1"/>
    <xf numFmtId="0" fontId="28" fillId="0" borderId="0" xfId="0" applyFont="1" applyAlignment="1">
      <alignment horizontal="center"/>
    </xf>
    <xf numFmtId="3" fontId="27" fillId="0" borderId="0" xfId="0" applyNumberFormat="1" applyFont="1" applyAlignment="1">
      <alignment horizontal="center"/>
    </xf>
    <xf numFmtId="167" fontId="0" fillId="0" borderId="0" xfId="15" applyNumberFormat="1" applyFont="1"/>
    <xf numFmtId="167" fontId="0" fillId="0" borderId="0" xfId="15" applyNumberFormat="1" applyFont="1" applyBorder="1" applyAlignment="1">
      <alignment horizontal="center"/>
    </xf>
    <xf numFmtId="170" fontId="0" fillId="0" borderId="0" xfId="0" applyNumberFormat="1"/>
    <xf numFmtId="164" fontId="0" fillId="0" borderId="0" xfId="0" applyNumberFormat="1"/>
    <xf numFmtId="2" fontId="16" fillId="0" borderId="0" xfId="0" applyNumberFormat="1" applyFont="1"/>
    <xf numFmtId="3" fontId="0" fillId="0" borderId="1" xfId="0" applyNumberFormat="1" applyBorder="1"/>
    <xf numFmtId="0" fontId="33" fillId="19" borderId="8" xfId="0" applyFont="1" applyFill="1" applyBorder="1" applyAlignment="1">
      <alignment horizontal="left" vertical="center"/>
    </xf>
    <xf numFmtId="171" fontId="5" fillId="0" borderId="0" xfId="0" applyNumberFormat="1" applyFont="1"/>
    <xf numFmtId="0" fontId="34" fillId="0" borderId="0" xfId="0" applyFont="1"/>
    <xf numFmtId="2" fontId="34" fillId="0" borderId="0" xfId="0" applyNumberFormat="1" applyFont="1"/>
  </cellXfs>
  <cellStyles count="378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yperlink" xfId="20" builtinId="8"/>
    <cellStyle name="Normal 2" xfId="21"/>
    <cellStyle name="Comma 2" xfId="22"/>
    <cellStyle name="Currency 2" xfId="23"/>
    <cellStyle name="Currency 2 2" xfId="24"/>
    <cellStyle name="Currency 3" xfId="25"/>
    <cellStyle name="Currency 4" xfId="26"/>
    <cellStyle name="Currency 4 2" xfId="27"/>
    <cellStyle name="Currency 4 3" xfId="28"/>
    <cellStyle name="Normal 10" xfId="29"/>
    <cellStyle name="Normal 10 2" xfId="30"/>
    <cellStyle name="Normal 10 2 2" xfId="31"/>
    <cellStyle name="Normal 10 2_BOS Workings" xfId="32"/>
    <cellStyle name="Normal 10 3" xfId="33"/>
    <cellStyle name="Normal 10_BOS Workings" xfId="34"/>
    <cellStyle name="Normal 100" xfId="35"/>
    <cellStyle name="Normal 100 2" xfId="36"/>
    <cellStyle name="Normal 101" xfId="37"/>
    <cellStyle name="Normal 101 2" xfId="38"/>
    <cellStyle name="Normal 102" xfId="39"/>
    <cellStyle name="Normal 102 2" xfId="40"/>
    <cellStyle name="Normal 103" xfId="41"/>
    <cellStyle name="Normal 103 2" xfId="42"/>
    <cellStyle name="Normal 104" xfId="43"/>
    <cellStyle name="Normal 104 2" xfId="44"/>
    <cellStyle name="Normal 105" xfId="45"/>
    <cellStyle name="Normal 105 2" xfId="46"/>
    <cellStyle name="Normal 106" xfId="47"/>
    <cellStyle name="Normal 106 2" xfId="48"/>
    <cellStyle name="Normal 107" xfId="49"/>
    <cellStyle name="Normal 107 2" xfId="50"/>
    <cellStyle name="Normal 108" xfId="51"/>
    <cellStyle name="Normal 108 2" xfId="52"/>
    <cellStyle name="Normal 109" xfId="53"/>
    <cellStyle name="Normal 11" xfId="54"/>
    <cellStyle name="Normal 11 2" xfId="55"/>
    <cellStyle name="Normal 11 2 2" xfId="56"/>
    <cellStyle name="Normal 11 2_BOS Workings" xfId="57"/>
    <cellStyle name="Normal 11 3" xfId="58"/>
    <cellStyle name="Normal 11_BOS Workings" xfId="59"/>
    <cellStyle name="Normal 110" xfId="60"/>
    <cellStyle name="Normal 111" xfId="61"/>
    <cellStyle name="Normal 112" xfId="62"/>
    <cellStyle name="Normal 113" xfId="63"/>
    <cellStyle name="Normal 114" xfId="64"/>
    <cellStyle name="Normal 115" xfId="65"/>
    <cellStyle name="Normal 116" xfId="66"/>
    <cellStyle name="Normal 117" xfId="67"/>
    <cellStyle name="Normal 118" xfId="68"/>
    <cellStyle name="Normal 119" xfId="69"/>
    <cellStyle name="Normal 12" xfId="70"/>
    <cellStyle name="Normal 12 2" xfId="71"/>
    <cellStyle name="Normal 12 2 2" xfId="72"/>
    <cellStyle name="Normal 12 2_BOS Workings" xfId="73"/>
    <cellStyle name="Normal 12 3" xfId="74"/>
    <cellStyle name="Normal 12_BOS Workings" xfId="75"/>
    <cellStyle name="Normal 13" xfId="76"/>
    <cellStyle name="Normal 13 2" xfId="77"/>
    <cellStyle name="Normal 13 2 2" xfId="78"/>
    <cellStyle name="Normal 13 2_BOS Workings" xfId="79"/>
    <cellStyle name="Normal 13 3" xfId="80"/>
    <cellStyle name="Normal 13_BOS Workings" xfId="81"/>
    <cellStyle name="Normal 14" xfId="82"/>
    <cellStyle name="Normal 14 2" xfId="83"/>
    <cellStyle name="Normal 14_BOS Workings" xfId="84"/>
    <cellStyle name="Normal 15" xfId="85"/>
    <cellStyle name="Normal 15 2" xfId="86"/>
    <cellStyle name="Normal 15_BOS Workings" xfId="87"/>
    <cellStyle name="Normal 16" xfId="88"/>
    <cellStyle name="Normal 16 2" xfId="89"/>
    <cellStyle name="Normal 16_BOS Workings" xfId="90"/>
    <cellStyle name="Normal 17" xfId="91"/>
    <cellStyle name="Normal 17 2" xfId="92"/>
    <cellStyle name="Normal 17_BOS Workings" xfId="93"/>
    <cellStyle name="Normal 18" xfId="94"/>
    <cellStyle name="Normal 18 2" xfId="95"/>
    <cellStyle name="Normal 18_BOS Workings" xfId="96"/>
    <cellStyle name="Normal 19" xfId="97"/>
    <cellStyle name="Normal 19 2" xfId="98"/>
    <cellStyle name="Normal 19_BOS Workings" xfId="99"/>
    <cellStyle name="Normal 2 2" xfId="100"/>
    <cellStyle name="Normal 20" xfId="101"/>
    <cellStyle name="Normal 20 2" xfId="102"/>
    <cellStyle name="Normal 20_BOS Workings" xfId="103"/>
    <cellStyle name="Normal 21" xfId="104"/>
    <cellStyle name="Normal 21 2" xfId="105"/>
    <cellStyle name="Normal 21_BOS Workings" xfId="106"/>
    <cellStyle name="Normal 22" xfId="107"/>
    <cellStyle name="Normal 22 2" xfId="108"/>
    <cellStyle name="Normal 22_BOS Workings" xfId="109"/>
    <cellStyle name="Normal 23" xfId="110"/>
    <cellStyle name="Normal 23 2" xfId="111"/>
    <cellStyle name="Normal 23_BOS Workings" xfId="112"/>
    <cellStyle name="Normal 24" xfId="113"/>
    <cellStyle name="Normal 24 2" xfId="114"/>
    <cellStyle name="Normal 24_BOS Workings" xfId="115"/>
    <cellStyle name="Normal 25" xfId="116"/>
    <cellStyle name="Normal 25 2" xfId="117"/>
    <cellStyle name="Normal 25_BOS Workings" xfId="118"/>
    <cellStyle name="Normal 26" xfId="119"/>
    <cellStyle name="Normal 26 2" xfId="120"/>
    <cellStyle name="Normal 26_BOS Workings" xfId="121"/>
    <cellStyle name="Normal 27" xfId="122"/>
    <cellStyle name="Normal 27 2" xfId="123"/>
    <cellStyle name="Normal 27_BOS Workings" xfId="124"/>
    <cellStyle name="Normal 28" xfId="125"/>
    <cellStyle name="Normal 28 2" xfId="126"/>
    <cellStyle name="Normal 28_BOS Workings" xfId="127"/>
    <cellStyle name="Normal 29" xfId="128"/>
    <cellStyle name="Normal 29 2" xfId="129"/>
    <cellStyle name="Normal 29_BOS Workings" xfId="130"/>
    <cellStyle name="Normal 3" xfId="131"/>
    <cellStyle name="Normal 3 2" xfId="132"/>
    <cellStyle name="Normal 30" xfId="133"/>
    <cellStyle name="Normal 30 2" xfId="134"/>
    <cellStyle name="Normal 30_BOS Workings" xfId="135"/>
    <cellStyle name="Normal 31" xfId="136"/>
    <cellStyle name="Normal 31 2" xfId="137"/>
    <cellStyle name="Normal 31_BOS Workings" xfId="138"/>
    <cellStyle name="Normal 32" xfId="139"/>
    <cellStyle name="Normal 32 2" xfId="140"/>
    <cellStyle name="Normal 32_BOS Workings" xfId="141"/>
    <cellStyle name="Normal 33" xfId="142"/>
    <cellStyle name="Normal 33 2" xfId="143"/>
    <cellStyle name="Normal 33_BOS Workings" xfId="144"/>
    <cellStyle name="Normal 34" xfId="145"/>
    <cellStyle name="Normal 34 2" xfId="146"/>
    <cellStyle name="Normal 34_BOS Workings" xfId="147"/>
    <cellStyle name="Normal 35" xfId="148"/>
    <cellStyle name="Normal 35 2" xfId="149"/>
    <cellStyle name="Normal 35_BOS Workings" xfId="150"/>
    <cellStyle name="Normal 36" xfId="151"/>
    <cellStyle name="Normal 36 2" xfId="152"/>
    <cellStyle name="Normal 36_BOS Workings" xfId="153"/>
    <cellStyle name="Normal 37" xfId="154"/>
    <cellStyle name="Normal 37 2" xfId="155"/>
    <cellStyle name="Normal 37_BOS Workings" xfId="156"/>
    <cellStyle name="Normal 38" xfId="157"/>
    <cellStyle name="Normal 38 2" xfId="158"/>
    <cellStyle name="Normal 38_BOS Workings" xfId="159"/>
    <cellStyle name="Normal 39" xfId="160"/>
    <cellStyle name="Normal 39 2" xfId="161"/>
    <cellStyle name="Normal 39_BOS Workings" xfId="162"/>
    <cellStyle name="Normal 4" xfId="163"/>
    <cellStyle name="Normal 4 2" xfId="164"/>
    <cellStyle name="Normal 4 3" xfId="165"/>
    <cellStyle name="Normal 4_BOS Workings" xfId="166"/>
    <cellStyle name="Normal 40" xfId="167"/>
    <cellStyle name="Normal 40 2" xfId="168"/>
    <cellStyle name="Normal 40_BOS Workings" xfId="169"/>
    <cellStyle name="Normal 41" xfId="170"/>
    <cellStyle name="Normal 41 2" xfId="171"/>
    <cellStyle name="Normal 41_BOS Workings" xfId="172"/>
    <cellStyle name="Normal 42" xfId="173"/>
    <cellStyle name="Normal 42 2" xfId="174"/>
    <cellStyle name="Normal 42_BOS Workings" xfId="175"/>
    <cellStyle name="Normal 43" xfId="176"/>
    <cellStyle name="Normal 43 2" xfId="177"/>
    <cellStyle name="Normal 43_BOS Workings" xfId="178"/>
    <cellStyle name="Normal 44" xfId="179"/>
    <cellStyle name="Normal 44 2" xfId="180"/>
    <cellStyle name="Normal 44_BOS Workings" xfId="181"/>
    <cellStyle name="Normal 45" xfId="182"/>
    <cellStyle name="Normal 45 2" xfId="183"/>
    <cellStyle name="Normal 45_BOS Workings" xfId="184"/>
    <cellStyle name="Normal 46" xfId="185"/>
    <cellStyle name="Normal 46 2" xfId="186"/>
    <cellStyle name="Normal 46_BOS Workings" xfId="187"/>
    <cellStyle name="Normal 47" xfId="188"/>
    <cellStyle name="Normal 47 2" xfId="189"/>
    <cellStyle name="Normal 47_BOS Workings" xfId="190"/>
    <cellStyle name="Normal 48" xfId="191"/>
    <cellStyle name="Normal 48 2" xfId="192"/>
    <cellStyle name="Normal 48_BOS Workings" xfId="193"/>
    <cellStyle name="Normal 49" xfId="194"/>
    <cellStyle name="Normal 49 2" xfId="195"/>
    <cellStyle name="Normal 49_BOS Workings" xfId="196"/>
    <cellStyle name="Normal 5" xfId="197"/>
    <cellStyle name="Normal 5 2" xfId="198"/>
    <cellStyle name="Normal 5_BOS Workings" xfId="199"/>
    <cellStyle name="Normal 50" xfId="200"/>
    <cellStyle name="Normal 50 2" xfId="201"/>
    <cellStyle name="Normal 50_BOS Workings" xfId="202"/>
    <cellStyle name="Normal 51" xfId="203"/>
    <cellStyle name="Normal 51 2" xfId="204"/>
    <cellStyle name="Normal 51_BOS Workings" xfId="205"/>
    <cellStyle name="Normal 52" xfId="206"/>
    <cellStyle name="Normal 52 2" xfId="207"/>
    <cellStyle name="Normal 52_BOS Workings" xfId="208"/>
    <cellStyle name="Normal 53" xfId="209"/>
    <cellStyle name="Normal 53 2" xfId="210"/>
    <cellStyle name="Normal 53_BOS Workings" xfId="211"/>
    <cellStyle name="Normal 54" xfId="212"/>
    <cellStyle name="Normal 54 2" xfId="213"/>
    <cellStyle name="Normal 54_BOS Workings" xfId="214"/>
    <cellStyle name="Normal 55" xfId="215"/>
    <cellStyle name="Normal 55 2" xfId="216"/>
    <cellStyle name="Normal 55_BOS Workings" xfId="217"/>
    <cellStyle name="Normal 56" xfId="218"/>
    <cellStyle name="Normal 56 2" xfId="219"/>
    <cellStyle name="Normal 56_BOS Workings" xfId="220"/>
    <cellStyle name="Normal 57" xfId="221"/>
    <cellStyle name="Normal 57 2" xfId="222"/>
    <cellStyle name="Normal 57_BOS Workings" xfId="223"/>
    <cellStyle name="Normal 58" xfId="224"/>
    <cellStyle name="Normal 58 2" xfId="225"/>
    <cellStyle name="Normal 58_BOS Workings" xfId="226"/>
    <cellStyle name="Normal 59" xfId="227"/>
    <cellStyle name="Normal 59 2" xfId="228"/>
    <cellStyle name="Normal 59_BOS Workings" xfId="229"/>
    <cellStyle name="Normal 6" xfId="230"/>
    <cellStyle name="Normal 6 2" xfId="231"/>
    <cellStyle name="Normal 6_BOS Workings" xfId="232"/>
    <cellStyle name="Normal 60" xfId="233"/>
    <cellStyle name="Normal 60 2" xfId="234"/>
    <cellStyle name="Normal 60_BOS Workings" xfId="235"/>
    <cellStyle name="Normal 61" xfId="236"/>
    <cellStyle name="Normal 61 2" xfId="237"/>
    <cellStyle name="Normal 61_BOS Workings" xfId="238"/>
    <cellStyle name="Normal 62" xfId="239"/>
    <cellStyle name="Normal 62 2" xfId="240"/>
    <cellStyle name="Normal 62_BOS Workings" xfId="241"/>
    <cellStyle name="Normal 63" xfId="242"/>
    <cellStyle name="Normal 63 2" xfId="243"/>
    <cellStyle name="Normal 63_BOS Workings" xfId="244"/>
    <cellStyle name="Normal 64" xfId="245"/>
    <cellStyle name="Normal 64 2" xfId="246"/>
    <cellStyle name="Normal 64_BOS Workings" xfId="247"/>
    <cellStyle name="Normal 65" xfId="248"/>
    <cellStyle name="Normal 65 2" xfId="249"/>
    <cellStyle name="Normal 65_BOS Workings" xfId="250"/>
    <cellStyle name="Normal 66" xfId="251"/>
    <cellStyle name="Normal 66 2" xfId="252"/>
    <cellStyle name="Normal 66_BOS Workings" xfId="253"/>
    <cellStyle name="Normal 67" xfId="254"/>
    <cellStyle name="Normal 67 2" xfId="255"/>
    <cellStyle name="Normal 67_BOS Workings" xfId="256"/>
    <cellStyle name="Normal 68" xfId="257"/>
    <cellStyle name="Normal 68 2" xfId="258"/>
    <cellStyle name="Normal 68_BOS Workings" xfId="259"/>
    <cellStyle name="Normal 69" xfId="260"/>
    <cellStyle name="Normal 69 2" xfId="261"/>
    <cellStyle name="Normal 69_BOS Workings" xfId="262"/>
    <cellStyle name="Normal 7" xfId="263"/>
    <cellStyle name="Normal 7 2" xfId="264"/>
    <cellStyle name="Normal 7_BOS Workings" xfId="265"/>
    <cellStyle name="Normal 70" xfId="266"/>
    <cellStyle name="Normal 70 2" xfId="267"/>
    <cellStyle name="Normal 70_BOS Workings" xfId="268"/>
    <cellStyle name="Normal 71" xfId="269"/>
    <cellStyle name="Normal 71 2" xfId="270"/>
    <cellStyle name="Normal 71_BOS Workings" xfId="271"/>
    <cellStyle name="Normal 72" xfId="272"/>
    <cellStyle name="Normal 72 2" xfId="273"/>
    <cellStyle name="Normal 72_BOS Workings" xfId="274"/>
    <cellStyle name="Normal 73" xfId="275"/>
    <cellStyle name="Normal 73 2" xfId="276"/>
    <cellStyle name="Normal 73_BOS Workings" xfId="277"/>
    <cellStyle name="Normal 74" xfId="278"/>
    <cellStyle name="Normal 74 2" xfId="279"/>
    <cellStyle name="Normal 74_BOS Workings" xfId="280"/>
    <cellStyle name="Normal 75" xfId="281"/>
    <cellStyle name="Normal 75 2" xfId="282"/>
    <cellStyle name="Normal 75_BOS Workings" xfId="283"/>
    <cellStyle name="Normal 76" xfId="284"/>
    <cellStyle name="Normal 76 2" xfId="285"/>
    <cellStyle name="Normal 76_BOS Workings" xfId="286"/>
    <cellStyle name="Normal 77" xfId="287"/>
    <cellStyle name="Normal 77 2" xfId="288"/>
    <cellStyle name="Normal 77_BOS Workings" xfId="289"/>
    <cellStyle name="Normal 78" xfId="290"/>
    <cellStyle name="Normal 78 2" xfId="291"/>
    <cellStyle name="Normal 78_BOS Workings" xfId="292"/>
    <cellStyle name="Normal 79" xfId="293"/>
    <cellStyle name="Normal 79 2" xfId="294"/>
    <cellStyle name="Normal 79_BOS Workings" xfId="295"/>
    <cellStyle name="Normal 8" xfId="296"/>
    <cellStyle name="Normal 8 2" xfId="297"/>
    <cellStyle name="Normal 8_BOS Workings" xfId="298"/>
    <cellStyle name="Normal 80" xfId="299"/>
    <cellStyle name="Normal 80 2" xfId="300"/>
    <cellStyle name="Normal 80_BOS Workings" xfId="301"/>
    <cellStyle name="Normal 81" xfId="302"/>
    <cellStyle name="Normal 81 2" xfId="303"/>
    <cellStyle name="Normal 81_BOS Workings" xfId="304"/>
    <cellStyle name="Normal 82" xfId="305"/>
    <cellStyle name="Normal 82 2" xfId="306"/>
    <cellStyle name="Normal 82_BOS Workings" xfId="307"/>
    <cellStyle name="Normal 83" xfId="308"/>
    <cellStyle name="Normal 83 2" xfId="309"/>
    <cellStyle name="Normal 83_BOS Workings" xfId="310"/>
    <cellStyle name="Normal 84" xfId="311"/>
    <cellStyle name="Normal 84 2" xfId="312"/>
    <cellStyle name="Normal 84_BOS Workings" xfId="313"/>
    <cellStyle name="Normal 85" xfId="314"/>
    <cellStyle name="Normal 85 2" xfId="315"/>
    <cellStyle name="Normal 85_BOS Workings" xfId="316"/>
    <cellStyle name="Normal 86" xfId="317"/>
    <cellStyle name="Normal 86 2" xfId="318"/>
    <cellStyle name="Normal 86_BOS Workings" xfId="319"/>
    <cellStyle name="Normal 87" xfId="320"/>
    <cellStyle name="Normal 87 2" xfId="321"/>
    <cellStyle name="Normal 87_BOS Workings" xfId="322"/>
    <cellStyle name="Normal 88" xfId="323"/>
    <cellStyle name="Normal 88 2" xfId="324"/>
    <cellStyle name="Normal 88_BOS Workings" xfId="325"/>
    <cellStyle name="Normal 89" xfId="326"/>
    <cellStyle name="Normal 89 2" xfId="327"/>
    <cellStyle name="Normal 89_BOS Workings" xfId="328"/>
    <cellStyle name="Normal 9" xfId="329"/>
    <cellStyle name="Normal 9 2" xfId="330"/>
    <cellStyle name="Normal 9 3" xfId="331"/>
    <cellStyle name="Normal 9 3 2" xfId="332"/>
    <cellStyle name="Normal 9 3_BOS Workings" xfId="333"/>
    <cellStyle name="Normal 90" xfId="334"/>
    <cellStyle name="Normal 90 2" xfId="335"/>
    <cellStyle name="Normal 91" xfId="336"/>
    <cellStyle name="Normal 91 2" xfId="337"/>
    <cellStyle name="Normal 92" xfId="338"/>
    <cellStyle name="Normal 92 2" xfId="339"/>
    <cellStyle name="Normal 93" xfId="340"/>
    <cellStyle name="Normal 93 2" xfId="341"/>
    <cellStyle name="Normal 94" xfId="342"/>
    <cellStyle name="Normal 94 2" xfId="343"/>
    <cellStyle name="Normal 95" xfId="344"/>
    <cellStyle name="Normal 95 2" xfId="345"/>
    <cellStyle name="Normal 95 3" xfId="346"/>
    <cellStyle name="Normal 96" xfId="347"/>
    <cellStyle name="Normal 96 2" xfId="348"/>
    <cellStyle name="Normal 96 3" xfId="349"/>
    <cellStyle name="Normal 97" xfId="350"/>
    <cellStyle name="Normal 97 2" xfId="351"/>
    <cellStyle name="Normal 98" xfId="352"/>
    <cellStyle name="Normal 98 2" xfId="353"/>
    <cellStyle name="Normal 99" xfId="354"/>
    <cellStyle name="Normal 99 2" xfId="355"/>
    <cellStyle name="Percent 2" xfId="356"/>
    <cellStyle name="60% - Accent6 2" xfId="357"/>
    <cellStyle name="60% - Accent5 2" xfId="358"/>
    <cellStyle name="60% - Accent4 2" xfId="359"/>
    <cellStyle name="60% - Accent3 2" xfId="360"/>
    <cellStyle name="60% - Accent2 2" xfId="361"/>
    <cellStyle name="60% - Accent1 2" xfId="362"/>
    <cellStyle name="Neutral 2" xfId="363"/>
    <cellStyle name="Title 2" xfId="364"/>
    <cellStyle name="Comma 3" xfId="365"/>
    <cellStyle name="Comma 4" xfId="366"/>
    <cellStyle name="Comma 5" xfId="367"/>
    <cellStyle name="Comma 2 2" xfId="368"/>
    <cellStyle name="Comma 3 2" xfId="369"/>
    <cellStyle name="Comma 4 2" xfId="370"/>
    <cellStyle name="Normal 120" xfId="371"/>
    <cellStyle name="Percent 4" xfId="372"/>
    <cellStyle name="Comma 7" xfId="373"/>
    <cellStyle name="Normal 3 3" xfId="374"/>
    <cellStyle name="Comma 4 3" xfId="375"/>
    <cellStyle name="Percent 3" xfId="376"/>
    <cellStyle name="Hyperlink 2" xfId="377"/>
    <cellStyle name="Comma 9" xfId="378"/>
    <cellStyle name="Comma 3 3" xfId="379"/>
    <cellStyle name="Normal 2 2 2" xfId="380"/>
    <cellStyle name="Comma 2 3" xfId="381"/>
    <cellStyle name="Normal 121" xfId="382"/>
    <cellStyle name="Hyperlink 3" xfId="383"/>
    <cellStyle name="Currency 2 3" xfId="384"/>
    <cellStyle name="Currency [0] 2" xfId="385"/>
    <cellStyle name="Comma 5 2" xfId="386"/>
    <cellStyle name="Comma [0] 2" xfId="387"/>
    <cellStyle name="Currency 3 2" xfId="388"/>
    <cellStyle name="Comma 6" xfId="389"/>
    <cellStyle name="Comma 8" xfId="390"/>
    <cellStyle name="Normal 122" xfId="39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4" Type="http://schemas.openxmlformats.org/officeDocument/2006/relationships/worksheet" Target="worksheets/sheet1.xml" /><Relationship Id="rId2" Type="http://schemas.microsoft.com/office/2017/10/relationships/person" Target="persons/person.xml" /><Relationship Id="rId9" Type="http://schemas.openxmlformats.org/officeDocument/2006/relationships/worksheet" Target="worksheets/sheet6.xml" /><Relationship Id="rId1" Type="http://schemas.openxmlformats.org/officeDocument/2006/relationships/theme" Target="theme/theme1.xml" /><Relationship Id="rId12" Type="http://schemas.openxmlformats.org/officeDocument/2006/relationships/sheetMetadata" Target="metadata.xml" /><Relationship Id="rId8" Type="http://schemas.openxmlformats.org/officeDocument/2006/relationships/worksheet" Target="worksheets/sheet5.xml" /><Relationship Id="rId6" Type="http://schemas.openxmlformats.org/officeDocument/2006/relationships/worksheet" Target="worksheets/sheet3.xml" /><Relationship Id="rId7" Type="http://schemas.openxmlformats.org/officeDocument/2006/relationships/worksheet" Target="worksheets/sheet4.xml" /><Relationship Id="rId11" Type="http://schemas.openxmlformats.org/officeDocument/2006/relationships/calcChain" Target="calcChain.xml" /><Relationship Id="rId10" Type="http://schemas.openxmlformats.org/officeDocument/2006/relationships/sharedStrings" Target="sharedStrings.xml" /><Relationship Id="rId5" Type="http://schemas.openxmlformats.org/officeDocument/2006/relationships/worksheet" Target="worksheets/sheet2.xml" 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 w="6350">
          <a:noFill/>
        </a:ln>
        <a:effectLst/>
      </c:spPr>
      <c:txPr>
        <a:bodyPr vert="horz" rot="0" spcFirstLastPara="1" vertOverflow="ellipsis" anchor="ctr" anchorCtr="1" wrap="square"/>
        <a:lstStyle/>
        <a:p>
          <a:pPr>
            <a:defRPr lang="en-US" sz="1400" b="0" i="0" u="none" baseline="0" kern="120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 cmpd="sng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DEMANDS!$G$103:$CK$103</c:f>
              <c:numCache>
                <c:formatCode>0.00</c:formatCode>
                <c:ptCount val="8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1.03</c:v>
                </c:pt>
                <c:pt idx="5">
                  <c:v>1.00059707820663</c:v>
                </c:pt>
                <c:pt idx="6">
                  <c:v>1.0401763110023</c:v>
                </c:pt>
                <c:pt idx="7">
                  <c:v>1.08132112469243</c:v>
                </c:pt>
                <c:pt idx="8">
                  <c:v>1.12409344679213</c:v>
                </c:pt>
                <c:pt idx="9">
                  <c:v>1.12426175834363</c:v>
                </c:pt>
                <c:pt idx="10">
                  <c:v>1.12443009509657</c:v>
                </c:pt>
                <c:pt idx="11">
                  <c:v>1.12459845705473</c:v>
                </c:pt>
                <c:pt idx="12">
                  <c:v>1.12476684422188</c:v>
                </c:pt>
                <c:pt idx="13">
                  <c:v>1.1249352566018</c:v>
                </c:pt>
                <c:pt idx="14">
                  <c:v>1.13489326138152</c:v>
                </c:pt>
                <c:pt idx="15">
                  <c:v>1.14493941510903</c:v>
                </c:pt>
                <c:pt idx="16">
                  <c:v>1.15507449808491</c:v>
                </c:pt>
                <c:pt idx="17">
                  <c:v>1.16529929751703</c:v>
                </c:pt>
                <c:pt idx="18">
                  <c:v>1.17561460758167</c:v>
                </c:pt>
                <c:pt idx="19">
                  <c:v>1.18350010709105</c:v>
                </c:pt>
                <c:pt idx="20">
                  <c:v>1.19143849902122</c:v>
                </c:pt>
                <c:pt idx="21">
                  <c:v>1.199430138151</c:v>
                </c:pt>
                <c:pt idx="22">
                  <c:v>1.20747538163889</c:v>
                </c:pt>
                <c:pt idx="23">
                  <c:v>1.21557458903909</c:v>
                </c:pt>
                <c:pt idx="24">
                  <c:v>1.22193478778574</c:v>
                </c:pt>
                <c:pt idx="25">
                  <c:v>1.2283282647273</c:v>
                </c:pt>
                <c:pt idx="26">
                  <c:v>1.23475519398384</c:v>
                </c:pt>
                <c:pt idx="27">
                  <c:v>1.24121575058647</c:v>
                </c:pt>
                <c:pt idx="28">
                  <c:v>1.2477101104821</c:v>
                </c:pt>
                <c:pt idx="29">
                  <c:v>1.25425809440087</c:v>
                </c:pt>
                <c:pt idx="30">
                  <c:v>1.26084044214586</c:v>
                </c:pt>
                <c:pt idx="31">
                  <c:v>1.26745733405845</c:v>
                </c:pt>
                <c:pt idx="32">
                  <c:v>1.27410895142647</c:v>
                </c:pt>
                <c:pt idx="33">
                  <c:v>1.27410895142647</c:v>
                </c:pt>
                <c:pt idx="34">
                  <c:v>1.27410895142647</c:v>
                </c:pt>
                <c:pt idx="35">
                  <c:v>1.27410895142647</c:v>
                </c:pt>
                <c:pt idx="36">
                  <c:v>1.27410895142647</c:v>
                </c:pt>
                <c:pt idx="37">
                  <c:v>1.27410895142647</c:v>
                </c:pt>
                <c:pt idx="38">
                  <c:v>1.27410895142647</c:v>
                </c:pt>
                <c:pt idx="39">
                  <c:v>1.27410895142647</c:v>
                </c:pt>
                <c:pt idx="40">
                  <c:v>1.27410895142647</c:v>
                </c:pt>
                <c:pt idx="41">
                  <c:v>1.27410895142647</c:v>
                </c:pt>
                <c:pt idx="42">
                  <c:v>1.27410895142647</c:v>
                </c:pt>
                <c:pt idx="43">
                  <c:v>1.27410895142647</c:v>
                </c:pt>
                <c:pt idx="44">
                  <c:v>1.27410895142647</c:v>
                </c:pt>
                <c:pt idx="45">
                  <c:v>1.27410895142647</c:v>
                </c:pt>
                <c:pt idx="46">
                  <c:v>1.27410895142647</c:v>
                </c:pt>
                <c:pt idx="47">
                  <c:v>1.27410895142647</c:v>
                </c:pt>
                <c:pt idx="48">
                  <c:v>1.27410895142647</c:v>
                </c:pt>
                <c:pt idx="49">
                  <c:v>1.27410895142647</c:v>
                </c:pt>
                <c:pt idx="50">
                  <c:v>1.27410895142647</c:v>
                </c:pt>
                <c:pt idx="51">
                  <c:v>1.27410895142647</c:v>
                </c:pt>
                <c:pt idx="52">
                  <c:v>1.27410895142647</c:v>
                </c:pt>
                <c:pt idx="53">
                  <c:v>1.27410895142647</c:v>
                </c:pt>
                <c:pt idx="54">
                  <c:v>1.27410895142647</c:v>
                </c:pt>
                <c:pt idx="55">
                  <c:v>1.27410895142647</c:v>
                </c:pt>
                <c:pt idx="56">
                  <c:v>1.27410895142647</c:v>
                </c:pt>
                <c:pt idx="57">
                  <c:v>1.27410895142647</c:v>
                </c:pt>
                <c:pt idx="58">
                  <c:v>1.27410895142647</c:v>
                </c:pt>
                <c:pt idx="59">
                  <c:v>1.27410895142647</c:v>
                </c:pt>
                <c:pt idx="60">
                  <c:v>1.27410895142647</c:v>
                </c:pt>
                <c:pt idx="61">
                  <c:v>1.27410895142647</c:v>
                </c:pt>
                <c:pt idx="62">
                  <c:v>1.27410895142647</c:v>
                </c:pt>
                <c:pt idx="63">
                  <c:v>1.27410895142647</c:v>
                </c:pt>
                <c:pt idx="64">
                  <c:v>1.27410895142647</c:v>
                </c:pt>
                <c:pt idx="65">
                  <c:v>1.27410895142647</c:v>
                </c:pt>
                <c:pt idx="66">
                  <c:v>1.27410895142647</c:v>
                </c:pt>
                <c:pt idx="67">
                  <c:v>1.27410895142647</c:v>
                </c:pt>
                <c:pt idx="68">
                  <c:v>1.27410895142647</c:v>
                </c:pt>
                <c:pt idx="69">
                  <c:v>1.27410895142647</c:v>
                </c:pt>
                <c:pt idx="70">
                  <c:v>1.27410895142647</c:v>
                </c:pt>
                <c:pt idx="71">
                  <c:v>1.27410895142647</c:v>
                </c:pt>
                <c:pt idx="72">
                  <c:v>1.27410895142647</c:v>
                </c:pt>
                <c:pt idx="73">
                  <c:v>1.27410895142647</c:v>
                </c:pt>
                <c:pt idx="74">
                  <c:v>1.27410895142647</c:v>
                </c:pt>
                <c:pt idx="75">
                  <c:v>1.27410895142647</c:v>
                </c:pt>
                <c:pt idx="76">
                  <c:v>1.27410895142647</c:v>
                </c:pt>
                <c:pt idx="77">
                  <c:v>1.27410895142647</c:v>
                </c:pt>
                <c:pt idx="78">
                  <c:v>1.27410895142647</c:v>
                </c:pt>
                <c:pt idx="79">
                  <c:v>1.27410895142647</c:v>
                </c:pt>
                <c:pt idx="80">
                  <c:v>1.27410895142647</c:v>
                </c:pt>
                <c:pt idx="81">
                  <c:v>1.27410895142647</c:v>
                </c:pt>
                <c:pt idx="82">
                  <c:v>1.27410895142647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3D-40BB-B8D7-BAA5CF42BB74}"/>
            </c:ext>
          </c:extLst>
        </c:ser>
        <c:ser>
          <c:idx val="1"/>
          <c:order val="1"/>
          <c:spPr>
            <a:ln w="28575" cap="rnd" cmpd="sng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DEMANDS!$G$104:$CK$104</c:f>
              <c:numCache>
                <c:formatCode>0.00</c:formatCode>
                <c:ptCount val="8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1.03</c:v>
                </c:pt>
                <c:pt idx="5">
                  <c:v>1.1216977256826</c:v>
                </c:pt>
                <c:pt idx="6">
                  <c:v>1.12849071006303</c:v>
                </c:pt>
                <c:pt idx="7">
                  <c:v>1.13545144625195</c:v>
                </c:pt>
                <c:pt idx="8">
                  <c:v>1.14258407922359</c:v>
                </c:pt>
                <c:pt idx="9">
                  <c:v>1.14989285618334</c:v>
                </c:pt>
                <c:pt idx="10">
                  <c:v>1.15738212894074</c:v>
                </c:pt>
                <c:pt idx="11">
                  <c:v>1.16505635668917</c:v>
                </c:pt>
                <c:pt idx="12">
                  <c:v>1.17292010886143</c:v>
                </c:pt>
                <c:pt idx="13">
                  <c:v>1.18097463030545</c:v>
                </c:pt>
                <c:pt idx="14">
                  <c:v>1.18922857473859</c:v>
                </c:pt>
                <c:pt idx="15">
                  <c:v>1.19768690773147</c:v>
                </c:pt>
                <c:pt idx="16">
                  <c:v>1.20635472060676</c:v>
                </c:pt>
                <c:pt idx="17">
                  <c:v>1.21523723328552</c:v>
                </c:pt>
                <c:pt idx="18">
                  <c:v>1.22433979830383</c:v>
                </c:pt>
                <c:pt idx="19">
                  <c:v>1.23366790437467</c:v>
                </c:pt>
                <c:pt idx="20">
                  <c:v>1.24322718012414</c:v>
                </c:pt>
                <c:pt idx="21">
                  <c:v>1.25302339783241</c:v>
                </c:pt>
                <c:pt idx="22">
                  <c:v>1.26306247779469</c:v>
                </c:pt>
                <c:pt idx="23">
                  <c:v>1.27335049247007</c:v>
                </c:pt>
                <c:pt idx="24">
                  <c:v>1.28389367048417</c:v>
                </c:pt>
                <c:pt idx="25">
                  <c:v>1.29469840168174</c:v>
                </c:pt>
                <c:pt idx="26">
                  <c:v>1.30577124144314</c:v>
                </c:pt>
                <c:pt idx="27">
                  <c:v>1.31711891566964</c:v>
                </c:pt>
                <c:pt idx="28">
                  <c:v>1.3287483259397</c:v>
                </c:pt>
                <c:pt idx="29">
                  <c:v>1.34066655437865</c:v>
                </c:pt>
                <c:pt idx="30">
                  <c:v>1.35288086979092</c:v>
                </c:pt>
                <c:pt idx="31">
                  <c:v>1.36539873281156</c:v>
                </c:pt>
                <c:pt idx="32">
                  <c:v>1.37822780207543</c:v>
                </c:pt>
                <c:pt idx="33">
                  <c:v>1.37822780207543</c:v>
                </c:pt>
                <c:pt idx="34">
                  <c:v>1.37822780207543</c:v>
                </c:pt>
                <c:pt idx="35">
                  <c:v>1.37822780207543</c:v>
                </c:pt>
                <c:pt idx="36">
                  <c:v>1.37822780207543</c:v>
                </c:pt>
                <c:pt idx="37">
                  <c:v>1.37822780207543</c:v>
                </c:pt>
                <c:pt idx="38">
                  <c:v>1.37822780207543</c:v>
                </c:pt>
                <c:pt idx="39">
                  <c:v>1.37822780207543</c:v>
                </c:pt>
                <c:pt idx="40">
                  <c:v>1.37822780207543</c:v>
                </c:pt>
                <c:pt idx="41">
                  <c:v>1.37822780207543</c:v>
                </c:pt>
                <c:pt idx="42">
                  <c:v>1.37822780207543</c:v>
                </c:pt>
                <c:pt idx="43">
                  <c:v>1.37822780207543</c:v>
                </c:pt>
                <c:pt idx="44">
                  <c:v>1.37822780207543</c:v>
                </c:pt>
                <c:pt idx="45">
                  <c:v>1.37822780207543</c:v>
                </c:pt>
                <c:pt idx="46">
                  <c:v>1.37822780207543</c:v>
                </c:pt>
                <c:pt idx="47">
                  <c:v>1.37822780207543</c:v>
                </c:pt>
                <c:pt idx="48">
                  <c:v>1.37822780207543</c:v>
                </c:pt>
                <c:pt idx="49">
                  <c:v>1.37822780207543</c:v>
                </c:pt>
                <c:pt idx="50">
                  <c:v>1.37822780207543</c:v>
                </c:pt>
                <c:pt idx="51">
                  <c:v>1.37822780207543</c:v>
                </c:pt>
                <c:pt idx="52">
                  <c:v>1.37822780207543</c:v>
                </c:pt>
                <c:pt idx="53">
                  <c:v>1.37822780207543</c:v>
                </c:pt>
                <c:pt idx="54">
                  <c:v>1.37822780207543</c:v>
                </c:pt>
                <c:pt idx="55">
                  <c:v>1.37822780207543</c:v>
                </c:pt>
                <c:pt idx="56">
                  <c:v>1.37822780207543</c:v>
                </c:pt>
                <c:pt idx="57">
                  <c:v>1.37822780207543</c:v>
                </c:pt>
                <c:pt idx="58">
                  <c:v>1.37822780207543</c:v>
                </c:pt>
                <c:pt idx="59">
                  <c:v>1.37822780207543</c:v>
                </c:pt>
                <c:pt idx="60">
                  <c:v>1.37822780207543</c:v>
                </c:pt>
                <c:pt idx="61">
                  <c:v>1.37822780207543</c:v>
                </c:pt>
                <c:pt idx="62">
                  <c:v>1.37822780207543</c:v>
                </c:pt>
                <c:pt idx="63">
                  <c:v>1.37822780207543</c:v>
                </c:pt>
                <c:pt idx="64">
                  <c:v>1.37822780207543</c:v>
                </c:pt>
                <c:pt idx="65">
                  <c:v>1.37822780207543</c:v>
                </c:pt>
                <c:pt idx="66">
                  <c:v>1.37822780207543</c:v>
                </c:pt>
                <c:pt idx="67">
                  <c:v>1.37822780207543</c:v>
                </c:pt>
                <c:pt idx="68">
                  <c:v>1.37822780207543</c:v>
                </c:pt>
                <c:pt idx="69">
                  <c:v>1.37822780207543</c:v>
                </c:pt>
                <c:pt idx="70">
                  <c:v>1.37822780207543</c:v>
                </c:pt>
                <c:pt idx="71">
                  <c:v>1.37822780207543</c:v>
                </c:pt>
                <c:pt idx="72">
                  <c:v>1.37822780207543</c:v>
                </c:pt>
                <c:pt idx="73">
                  <c:v>1.37822780207543</c:v>
                </c:pt>
                <c:pt idx="74">
                  <c:v>1.37822780207543</c:v>
                </c:pt>
                <c:pt idx="75">
                  <c:v>1.37822780207543</c:v>
                </c:pt>
                <c:pt idx="76">
                  <c:v>1.37822780207543</c:v>
                </c:pt>
                <c:pt idx="77">
                  <c:v>1.37822780207543</c:v>
                </c:pt>
                <c:pt idx="78">
                  <c:v>1.37822780207543</c:v>
                </c:pt>
                <c:pt idx="79">
                  <c:v>1.37822780207543</c:v>
                </c:pt>
                <c:pt idx="80">
                  <c:v>1.37822780207543</c:v>
                </c:pt>
                <c:pt idx="81">
                  <c:v>1.37822780207543</c:v>
                </c:pt>
                <c:pt idx="82">
                  <c:v>1.37822780207543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3D-40BB-B8D7-BAA5CF42BB74}"/>
            </c:ext>
          </c:extLst>
        </c:ser>
        <c:ser>
          <c:idx val="2"/>
          <c:order val="2"/>
          <c:spPr>
            <a:ln w="28575" cap="rnd" cmpd="sng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DEMANDS!$G$105:$CK$105</c:f>
              <c:numCache>
                <c:formatCode>0.00</c:formatCode>
                <c:ptCount val="8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1.03</c:v>
                </c:pt>
                <c:pt idx="5">
                  <c:v>1.20558766819588</c:v>
                </c:pt>
                <c:pt idx="6">
                  <c:v>1.22995153687222</c:v>
                </c:pt>
                <c:pt idx="7">
                  <c:v>1.25342964597439</c:v>
                </c:pt>
                <c:pt idx="8">
                  <c:v>1.27612471173357</c:v>
                </c:pt>
                <c:pt idx="9">
                  <c:v>1.29807235236264</c:v>
                </c:pt>
                <c:pt idx="10">
                  <c:v>1.31942338556552</c:v>
                </c:pt>
                <c:pt idx="11">
                  <c:v>1.34032930827238</c:v>
                </c:pt>
                <c:pt idx="12">
                  <c:v>1.36078309559388</c:v>
                </c:pt>
                <c:pt idx="13">
                  <c:v>1.38086748408386</c:v>
                </c:pt>
                <c:pt idx="14">
                  <c:v>1.40057230865239</c:v>
                </c:pt>
                <c:pt idx="15">
                  <c:v>1.41995411235504</c:v>
                </c:pt>
                <c:pt idx="16">
                  <c:v>1.43904525126385</c:v>
                </c:pt>
                <c:pt idx="17">
                  <c:v>1.45781114879647</c:v>
                </c:pt>
                <c:pt idx="18">
                  <c:v>1.47624186405174</c:v>
                </c:pt>
                <c:pt idx="19">
                  <c:v>1.49432544457004</c:v>
                </c:pt>
                <c:pt idx="20">
                  <c:v>1.51205943306912</c:v>
                </c:pt>
                <c:pt idx="21">
                  <c:v>1.52940942546881</c:v>
                </c:pt>
                <c:pt idx="22">
                  <c:v>1.54636258126306</c:v>
                </c:pt>
                <c:pt idx="23">
                  <c:v>1.56292057374946</c:v>
                </c:pt>
                <c:pt idx="24">
                  <c:v>1.57906531678529</c:v>
                </c:pt>
                <c:pt idx="25">
                  <c:v>1.59477051604178</c:v>
                </c:pt>
                <c:pt idx="26">
                  <c:v>1.60997031090846</c:v>
                </c:pt>
                <c:pt idx="27">
                  <c:v>1.62465955704049</c:v>
                </c:pt>
                <c:pt idx="28">
                  <c:v>1.63884418906275</c:v>
                </c:pt>
                <c:pt idx="29">
                  <c:v>1.65250660087975</c:v>
                </c:pt>
                <c:pt idx="30">
                  <c:v>1.66564156809683</c:v>
                </c:pt>
                <c:pt idx="31">
                  <c:v>1.6782087923105</c:v>
                </c:pt>
                <c:pt idx="32">
                  <c:v>1.69022221606312</c:v>
                </c:pt>
                <c:pt idx="33">
                  <c:v>1.69022221606312</c:v>
                </c:pt>
                <c:pt idx="34">
                  <c:v>1.69022221606312</c:v>
                </c:pt>
                <c:pt idx="35">
                  <c:v>1.69022221606312</c:v>
                </c:pt>
                <c:pt idx="36">
                  <c:v>1.69022221606312</c:v>
                </c:pt>
                <c:pt idx="37">
                  <c:v>1.69022221606312</c:v>
                </c:pt>
                <c:pt idx="38">
                  <c:v>1.69022221606312</c:v>
                </c:pt>
                <c:pt idx="39">
                  <c:v>1.69022221606312</c:v>
                </c:pt>
                <c:pt idx="40">
                  <c:v>1.69022221606312</c:v>
                </c:pt>
                <c:pt idx="41">
                  <c:v>1.69022221606312</c:v>
                </c:pt>
                <c:pt idx="42">
                  <c:v>1.69022221606312</c:v>
                </c:pt>
                <c:pt idx="43">
                  <c:v>1.69022221606312</c:v>
                </c:pt>
                <c:pt idx="44">
                  <c:v>1.69022221606312</c:v>
                </c:pt>
                <c:pt idx="45">
                  <c:v>1.69022221606312</c:v>
                </c:pt>
                <c:pt idx="46">
                  <c:v>1.69022221606312</c:v>
                </c:pt>
                <c:pt idx="47">
                  <c:v>1.69022221606312</c:v>
                </c:pt>
                <c:pt idx="48">
                  <c:v>1.69022221606312</c:v>
                </c:pt>
                <c:pt idx="49">
                  <c:v>1.69022221606312</c:v>
                </c:pt>
                <c:pt idx="50">
                  <c:v>1.69022221606312</c:v>
                </c:pt>
                <c:pt idx="51">
                  <c:v>1.69022221606312</c:v>
                </c:pt>
                <c:pt idx="52">
                  <c:v>1.69022221606312</c:v>
                </c:pt>
                <c:pt idx="53">
                  <c:v>1.69022221606312</c:v>
                </c:pt>
                <c:pt idx="54">
                  <c:v>1.69022221606312</c:v>
                </c:pt>
                <c:pt idx="55">
                  <c:v>1.69022221606312</c:v>
                </c:pt>
                <c:pt idx="56">
                  <c:v>1.69022221606312</c:v>
                </c:pt>
                <c:pt idx="57">
                  <c:v>1.69022221606312</c:v>
                </c:pt>
                <c:pt idx="58">
                  <c:v>1.69022221606312</c:v>
                </c:pt>
                <c:pt idx="59">
                  <c:v>1.69022221606312</c:v>
                </c:pt>
                <c:pt idx="60">
                  <c:v>1.69022221606312</c:v>
                </c:pt>
                <c:pt idx="61">
                  <c:v>1.69022221606312</c:v>
                </c:pt>
                <c:pt idx="62">
                  <c:v>1.69022221606312</c:v>
                </c:pt>
                <c:pt idx="63">
                  <c:v>1.69022221606312</c:v>
                </c:pt>
                <c:pt idx="64">
                  <c:v>1.69022221606312</c:v>
                </c:pt>
                <c:pt idx="65">
                  <c:v>1.69022221606312</c:v>
                </c:pt>
                <c:pt idx="66">
                  <c:v>1.69022221606312</c:v>
                </c:pt>
                <c:pt idx="67">
                  <c:v>1.69022221606312</c:v>
                </c:pt>
                <c:pt idx="68">
                  <c:v>1.69022221606312</c:v>
                </c:pt>
                <c:pt idx="69">
                  <c:v>1.69022221606312</c:v>
                </c:pt>
                <c:pt idx="70">
                  <c:v>1.69022221606312</c:v>
                </c:pt>
                <c:pt idx="71">
                  <c:v>1.69022221606312</c:v>
                </c:pt>
                <c:pt idx="72">
                  <c:v>1.69022221606312</c:v>
                </c:pt>
                <c:pt idx="73">
                  <c:v>1.69022221606312</c:v>
                </c:pt>
                <c:pt idx="74">
                  <c:v>1.69022221606312</c:v>
                </c:pt>
                <c:pt idx="75">
                  <c:v>1.69022221606312</c:v>
                </c:pt>
                <c:pt idx="76">
                  <c:v>1.69022221606312</c:v>
                </c:pt>
                <c:pt idx="77">
                  <c:v>1.69022221606312</c:v>
                </c:pt>
                <c:pt idx="78">
                  <c:v>1.69022221606312</c:v>
                </c:pt>
                <c:pt idx="79">
                  <c:v>1.69022221606312</c:v>
                </c:pt>
                <c:pt idx="80">
                  <c:v>1.69022221606312</c:v>
                </c:pt>
                <c:pt idx="81">
                  <c:v>1.69022221606312</c:v>
                </c:pt>
                <c:pt idx="82">
                  <c:v>1.69022221606312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3D-40BB-B8D7-BAA5CF42BB74}"/>
            </c:ext>
          </c:extLst>
        </c:ser>
        <c:ser>
          <c:idx val="3"/>
          <c:order val="3"/>
          <c:spPr>
            <a:ln w="28575" cap="rnd" cmpd="sng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DEMANDS!$G$106:$CK$106</c:f>
              <c:numCache>
                <c:formatCode>0.00</c:formatCode>
                <c:ptCount val="8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1.03</c:v>
                </c:pt>
                <c:pt idx="5">
                  <c:v>1.00059707820663</c:v>
                </c:pt>
                <c:pt idx="6">
                  <c:v>1.0401763110023</c:v>
                </c:pt>
                <c:pt idx="7">
                  <c:v>1.08132112469243</c:v>
                </c:pt>
                <c:pt idx="8">
                  <c:v>1.12409344679213</c:v>
                </c:pt>
                <c:pt idx="9">
                  <c:v>1.12426175834363</c:v>
                </c:pt>
                <c:pt idx="10">
                  <c:v>1.12443009509657</c:v>
                </c:pt>
                <c:pt idx="11">
                  <c:v>1.12459845705473</c:v>
                </c:pt>
                <c:pt idx="12">
                  <c:v>1.12476684422188</c:v>
                </c:pt>
                <c:pt idx="13">
                  <c:v>1.1249352566018</c:v>
                </c:pt>
                <c:pt idx="14">
                  <c:v>1.13489326138152</c:v>
                </c:pt>
                <c:pt idx="15">
                  <c:v>1.14493941510903</c:v>
                </c:pt>
                <c:pt idx="16">
                  <c:v>1.15507449808491</c:v>
                </c:pt>
                <c:pt idx="17">
                  <c:v>1.16529929751703</c:v>
                </c:pt>
                <c:pt idx="18">
                  <c:v>1.17561460758167</c:v>
                </c:pt>
                <c:pt idx="19">
                  <c:v>1.18350010709105</c:v>
                </c:pt>
                <c:pt idx="20">
                  <c:v>1.19143849902122</c:v>
                </c:pt>
                <c:pt idx="21">
                  <c:v>1.199430138151</c:v>
                </c:pt>
                <c:pt idx="22">
                  <c:v>1.20747538163889</c:v>
                </c:pt>
                <c:pt idx="23">
                  <c:v>1.21557458903909</c:v>
                </c:pt>
                <c:pt idx="24">
                  <c:v>1.22193478778574</c:v>
                </c:pt>
                <c:pt idx="25">
                  <c:v>1.2283282647273</c:v>
                </c:pt>
                <c:pt idx="26">
                  <c:v>1.23475519398384</c:v>
                </c:pt>
                <c:pt idx="27">
                  <c:v>1.24121575058647</c:v>
                </c:pt>
                <c:pt idx="28">
                  <c:v>1.2477101104821</c:v>
                </c:pt>
                <c:pt idx="29">
                  <c:v>1.25425809440087</c:v>
                </c:pt>
                <c:pt idx="30">
                  <c:v>1.26084044214586</c:v>
                </c:pt>
                <c:pt idx="31">
                  <c:v>1.26745733405845</c:v>
                </c:pt>
                <c:pt idx="32">
                  <c:v>1.27410895142647</c:v>
                </c:pt>
                <c:pt idx="33">
                  <c:v>1.27410895142647</c:v>
                </c:pt>
                <c:pt idx="34">
                  <c:v>1.27410895142647</c:v>
                </c:pt>
                <c:pt idx="35">
                  <c:v>1.27410895142647</c:v>
                </c:pt>
                <c:pt idx="36">
                  <c:v>1.27410895142647</c:v>
                </c:pt>
                <c:pt idx="37">
                  <c:v>1.27410895142647</c:v>
                </c:pt>
                <c:pt idx="38">
                  <c:v>1.27410895142647</c:v>
                </c:pt>
                <c:pt idx="39">
                  <c:v>1.27410895142647</c:v>
                </c:pt>
                <c:pt idx="40">
                  <c:v>1.27410895142647</c:v>
                </c:pt>
                <c:pt idx="41">
                  <c:v>1.27410895142647</c:v>
                </c:pt>
                <c:pt idx="42">
                  <c:v>1.27410895142647</c:v>
                </c:pt>
                <c:pt idx="43">
                  <c:v>1.27410895142647</c:v>
                </c:pt>
                <c:pt idx="44">
                  <c:v>1.27410895142647</c:v>
                </c:pt>
                <c:pt idx="45">
                  <c:v>1.27410895142647</c:v>
                </c:pt>
                <c:pt idx="46">
                  <c:v>1.27410895142647</c:v>
                </c:pt>
                <c:pt idx="47">
                  <c:v>1.27410895142647</c:v>
                </c:pt>
                <c:pt idx="48">
                  <c:v>1.27410895142647</c:v>
                </c:pt>
                <c:pt idx="49">
                  <c:v>1.27410895142647</c:v>
                </c:pt>
                <c:pt idx="50">
                  <c:v>1.27410895142647</c:v>
                </c:pt>
                <c:pt idx="51">
                  <c:v>1.27410895142647</c:v>
                </c:pt>
                <c:pt idx="52">
                  <c:v>1.27410895142647</c:v>
                </c:pt>
                <c:pt idx="53">
                  <c:v>1.27410895142647</c:v>
                </c:pt>
                <c:pt idx="54">
                  <c:v>1.27410895142647</c:v>
                </c:pt>
                <c:pt idx="55">
                  <c:v>1.27410895142647</c:v>
                </c:pt>
                <c:pt idx="56">
                  <c:v>1.27410895142647</c:v>
                </c:pt>
                <c:pt idx="57">
                  <c:v>1.27410895142647</c:v>
                </c:pt>
                <c:pt idx="58">
                  <c:v>1.27410895142647</c:v>
                </c:pt>
                <c:pt idx="59">
                  <c:v>1.27410895142647</c:v>
                </c:pt>
                <c:pt idx="60">
                  <c:v>1.27410895142647</c:v>
                </c:pt>
                <c:pt idx="61">
                  <c:v>1.27410895142647</c:v>
                </c:pt>
                <c:pt idx="62">
                  <c:v>1.27410895142647</c:v>
                </c:pt>
                <c:pt idx="63">
                  <c:v>1.27410895142647</c:v>
                </c:pt>
                <c:pt idx="64">
                  <c:v>1.27410895142647</c:v>
                </c:pt>
                <c:pt idx="65">
                  <c:v>1.27410895142647</c:v>
                </c:pt>
                <c:pt idx="66">
                  <c:v>1.27410895142647</c:v>
                </c:pt>
                <c:pt idx="67">
                  <c:v>1.27410895142647</c:v>
                </c:pt>
                <c:pt idx="68">
                  <c:v>1.27410895142647</c:v>
                </c:pt>
                <c:pt idx="69">
                  <c:v>1.27410895142647</c:v>
                </c:pt>
                <c:pt idx="70">
                  <c:v>1.27410895142647</c:v>
                </c:pt>
                <c:pt idx="71">
                  <c:v>1.27410895142647</c:v>
                </c:pt>
                <c:pt idx="72">
                  <c:v>1.27410895142647</c:v>
                </c:pt>
                <c:pt idx="73">
                  <c:v>1.27410895142647</c:v>
                </c:pt>
                <c:pt idx="74">
                  <c:v>1.27410895142647</c:v>
                </c:pt>
                <c:pt idx="75">
                  <c:v>1.27410895142647</c:v>
                </c:pt>
                <c:pt idx="76">
                  <c:v>1.27410895142647</c:v>
                </c:pt>
                <c:pt idx="77">
                  <c:v>1.27410895142647</c:v>
                </c:pt>
                <c:pt idx="78">
                  <c:v>1.27410895142647</c:v>
                </c:pt>
                <c:pt idx="79">
                  <c:v>1.27410895142647</c:v>
                </c:pt>
                <c:pt idx="80">
                  <c:v>1.27410895142647</c:v>
                </c:pt>
                <c:pt idx="81">
                  <c:v>1.27410895142647</c:v>
                </c:pt>
                <c:pt idx="82">
                  <c:v>1.27410895142647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13D-40BB-B8D7-BAA5CF42BB74}"/>
            </c:ext>
          </c:extLst>
        </c:ser>
        <c:ser>
          <c:idx val="4"/>
          <c:order val="4"/>
          <c:spPr>
            <a:ln w="28575" cap="rnd" cmpd="sng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DEMANDS!$G$107:$CK$107</c:f>
              <c:numCache>
                <c:formatCode>0.00</c:formatCode>
                <c:ptCount val="8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1.03</c:v>
                </c:pt>
                <c:pt idx="5">
                  <c:v>0.895184946641768</c:v>
                </c:pt>
                <c:pt idx="6">
                  <c:v>0.899746294677514</c:v>
                </c:pt>
                <c:pt idx="7">
                  <c:v>0.904422733482486</c:v>
                </c:pt>
                <c:pt idx="8">
                  <c:v>0.909217263498669</c:v>
                </c:pt>
                <c:pt idx="9">
                  <c:v>0.91413296968774</c:v>
                </c:pt>
                <c:pt idx="10">
                  <c:v>0.919173023825584</c:v>
                </c:pt>
                <c:pt idx="11">
                  <c:v>0.924340689232769</c:v>
                </c:pt>
                <c:pt idx="12">
                  <c:v>0.929639324537369</c:v>
                </c:pt>
                <c:pt idx="13">
                  <c:v>0.935125166561548</c:v>
                </c:pt>
                <c:pt idx="14">
                  <c:v>0.940747318101348</c:v>
                </c:pt>
                <c:pt idx="15">
                  <c:v>0.946509296779586</c:v>
                </c:pt>
                <c:pt idx="16">
                  <c:v>0.952414722713968</c:v>
                </c:pt>
                <c:pt idx="17">
                  <c:v>0.958467322337468</c:v>
                </c:pt>
                <c:pt idx="18">
                  <c:v>0.964670932784398</c:v>
                </c:pt>
                <c:pt idx="19">
                  <c:v>0.97102950753815</c:v>
                </c:pt>
                <c:pt idx="20">
                  <c:v>0.977547120637883</c:v>
                </c:pt>
                <c:pt idx="21">
                  <c:v>0.984227973130195</c:v>
                </c:pt>
                <c:pt idx="22">
                  <c:v>0.991076398045486</c:v>
                </c:pt>
                <c:pt idx="23">
                  <c:v>0.99809686795564</c:v>
                </c:pt>
                <c:pt idx="24">
                  <c:v>1.0052940018531</c:v>
                </c:pt>
                <c:pt idx="25">
                  <c:v>1.01267257193657</c:v>
                </c:pt>
                <c:pt idx="26">
                  <c:v>1.02023751321495</c:v>
                </c:pt>
                <c:pt idx="27">
                  <c:v>1.02799393189997</c:v>
                </c:pt>
                <c:pt idx="28">
                  <c:v>1.03594711496388</c:v>
                </c:pt>
                <c:pt idx="29">
                  <c:v>1.04410254200447</c:v>
                </c:pt>
                <c:pt idx="30">
                  <c:v>1.05246589617586</c:v>
                </c:pt>
                <c:pt idx="31">
                  <c:v>1.06104307769031</c:v>
                </c:pt>
                <c:pt idx="32">
                  <c:v>1.06984021774153</c:v>
                </c:pt>
                <c:pt idx="33">
                  <c:v>1.06984021774153</c:v>
                </c:pt>
                <c:pt idx="34">
                  <c:v>1.06984021774153</c:v>
                </c:pt>
                <c:pt idx="35">
                  <c:v>1.06984021774153</c:v>
                </c:pt>
                <c:pt idx="36">
                  <c:v>1.06984021774153</c:v>
                </c:pt>
                <c:pt idx="37">
                  <c:v>1.06984021774153</c:v>
                </c:pt>
                <c:pt idx="38">
                  <c:v>1.06984021774153</c:v>
                </c:pt>
                <c:pt idx="39">
                  <c:v>1.06984021774153</c:v>
                </c:pt>
                <c:pt idx="40">
                  <c:v>1.06984021774153</c:v>
                </c:pt>
                <c:pt idx="41">
                  <c:v>1.06984021774153</c:v>
                </c:pt>
                <c:pt idx="42">
                  <c:v>1.06984021774153</c:v>
                </c:pt>
                <c:pt idx="43">
                  <c:v>1.06984021774153</c:v>
                </c:pt>
                <c:pt idx="44">
                  <c:v>1.06984021774153</c:v>
                </c:pt>
                <c:pt idx="45">
                  <c:v>1.06984021774153</c:v>
                </c:pt>
                <c:pt idx="46">
                  <c:v>1.06984021774153</c:v>
                </c:pt>
                <c:pt idx="47">
                  <c:v>1.06984021774153</c:v>
                </c:pt>
                <c:pt idx="48">
                  <c:v>1.06984021774153</c:v>
                </c:pt>
                <c:pt idx="49">
                  <c:v>1.06984021774153</c:v>
                </c:pt>
                <c:pt idx="50">
                  <c:v>1.06984021774153</c:v>
                </c:pt>
                <c:pt idx="51">
                  <c:v>1.06984021774153</c:v>
                </c:pt>
                <c:pt idx="52">
                  <c:v>1.06984021774153</c:v>
                </c:pt>
                <c:pt idx="53">
                  <c:v>1.06984021774153</c:v>
                </c:pt>
                <c:pt idx="54">
                  <c:v>1.06984021774153</c:v>
                </c:pt>
                <c:pt idx="55">
                  <c:v>1.06984021774153</c:v>
                </c:pt>
                <c:pt idx="56">
                  <c:v>1.06984021774153</c:v>
                </c:pt>
                <c:pt idx="57">
                  <c:v>1.06984021774153</c:v>
                </c:pt>
                <c:pt idx="58">
                  <c:v>1.06984021774153</c:v>
                </c:pt>
                <c:pt idx="59">
                  <c:v>1.06984021774153</c:v>
                </c:pt>
                <c:pt idx="60">
                  <c:v>1.06984021774153</c:v>
                </c:pt>
                <c:pt idx="61">
                  <c:v>1.06984021774153</c:v>
                </c:pt>
                <c:pt idx="62">
                  <c:v>1.06984021774153</c:v>
                </c:pt>
                <c:pt idx="63">
                  <c:v>1.06984021774153</c:v>
                </c:pt>
                <c:pt idx="64">
                  <c:v>1.06984021774153</c:v>
                </c:pt>
                <c:pt idx="65">
                  <c:v>1.06984021774153</c:v>
                </c:pt>
                <c:pt idx="66">
                  <c:v>1.06984021774153</c:v>
                </c:pt>
                <c:pt idx="67">
                  <c:v>1.06984021774153</c:v>
                </c:pt>
                <c:pt idx="68">
                  <c:v>1.06984021774153</c:v>
                </c:pt>
                <c:pt idx="69">
                  <c:v>1.06984021774153</c:v>
                </c:pt>
                <c:pt idx="70">
                  <c:v>1.06984021774153</c:v>
                </c:pt>
                <c:pt idx="71">
                  <c:v>1.06984021774153</c:v>
                </c:pt>
                <c:pt idx="72">
                  <c:v>1.06984021774153</c:v>
                </c:pt>
                <c:pt idx="73">
                  <c:v>1.06984021774153</c:v>
                </c:pt>
                <c:pt idx="74">
                  <c:v>1.06984021774153</c:v>
                </c:pt>
                <c:pt idx="75">
                  <c:v>1.06984021774153</c:v>
                </c:pt>
                <c:pt idx="76">
                  <c:v>1.06984021774153</c:v>
                </c:pt>
                <c:pt idx="77">
                  <c:v>1.06984021774153</c:v>
                </c:pt>
                <c:pt idx="78">
                  <c:v>1.06984021774153</c:v>
                </c:pt>
                <c:pt idx="79">
                  <c:v>1.06984021774153</c:v>
                </c:pt>
                <c:pt idx="80">
                  <c:v>1.06984021774153</c:v>
                </c:pt>
                <c:pt idx="81">
                  <c:v>1.06984021774153</c:v>
                </c:pt>
                <c:pt idx="82">
                  <c:v>1.06984021774153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13D-40BB-B8D7-BAA5CF42BB74}"/>
            </c:ext>
          </c:extLst>
        </c:ser>
        <c:ser>
          <c:idx val="5"/>
          <c:order val="5"/>
          <c:spPr>
            <a:ln w="28575" cap="rnd" cmpd="sng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DEMANDS!$G$108:$CK$108</c:f>
              <c:numCache>
                <c:formatCode>0.00</c:formatCode>
                <c:ptCount val="8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1.03</c:v>
                </c:pt>
                <c:pt idx="5">
                  <c:v>1.01951498672291</c:v>
                </c:pt>
                <c:pt idx="6">
                  <c:v>1.0392671840991</c:v>
                </c:pt>
                <c:pt idx="7">
                  <c:v>1.05804518681749</c:v>
                </c:pt>
                <c:pt idx="8">
                  <c:v>1.07593734779239</c:v>
                </c:pt>
                <c:pt idx="9">
                  <c:v>1.09293944935709</c:v>
                </c:pt>
                <c:pt idx="10">
                  <c:v>1.10923061461654</c:v>
                </c:pt>
                <c:pt idx="11">
                  <c:v>1.1250067014413</c:v>
                </c:pt>
                <c:pt idx="12">
                  <c:v>1.1402233293513</c:v>
                </c:pt>
                <c:pt idx="13">
                  <c:v>1.1549783774323</c:v>
                </c:pt>
                <c:pt idx="14">
                  <c:v>1.16923014506999</c:v>
                </c:pt>
                <c:pt idx="15">
                  <c:v>1.18304487557075</c:v>
                </c:pt>
                <c:pt idx="16">
                  <c:v>1.19645256741523</c:v>
                </c:pt>
                <c:pt idx="17">
                  <c:v>1.20936868768534</c:v>
                </c:pt>
                <c:pt idx="18">
                  <c:v>1.22174781927331</c:v>
                </c:pt>
                <c:pt idx="19">
                  <c:v>1.23353902379695</c:v>
                </c:pt>
                <c:pt idx="20">
                  <c:v>1.24470670203952</c:v>
                </c:pt>
                <c:pt idx="21">
                  <c:v>1.25515454558485</c:v>
                </c:pt>
                <c:pt idx="22">
                  <c:v>1.2648222787014</c:v>
                </c:pt>
                <c:pt idx="23">
                  <c:v>1.27367550766704</c:v>
                </c:pt>
                <c:pt idx="24">
                  <c:v>1.2816406945165</c:v>
                </c:pt>
                <c:pt idx="25">
                  <c:v>1.28862462603412</c:v>
                </c:pt>
                <c:pt idx="26">
                  <c:v>1.29445098987985</c:v>
                </c:pt>
                <c:pt idx="27">
                  <c:v>1.29906066187137</c:v>
                </c:pt>
                <c:pt idx="28">
                  <c:v>1.30241495716553</c:v>
                </c:pt>
                <c:pt idx="29">
                  <c:v>1.30442738137336</c:v>
                </c:pt>
                <c:pt idx="30">
                  <c:v>1.30503332796377</c:v>
                </c:pt>
                <c:pt idx="31">
                  <c:v>1.30409530708043</c:v>
                </c:pt>
                <c:pt idx="32">
                  <c:v>1.30158751584931</c:v>
                </c:pt>
                <c:pt idx="33">
                  <c:v>1.30158751584931</c:v>
                </c:pt>
                <c:pt idx="34">
                  <c:v>1.30158751584931</c:v>
                </c:pt>
                <c:pt idx="35">
                  <c:v>1.30158751584931</c:v>
                </c:pt>
                <c:pt idx="36">
                  <c:v>1.30158751584931</c:v>
                </c:pt>
                <c:pt idx="37">
                  <c:v>1.30158751584931</c:v>
                </c:pt>
                <c:pt idx="38">
                  <c:v>1.30158751584931</c:v>
                </c:pt>
                <c:pt idx="39">
                  <c:v>1.30158751584931</c:v>
                </c:pt>
                <c:pt idx="40">
                  <c:v>1.30158751584931</c:v>
                </c:pt>
                <c:pt idx="41">
                  <c:v>1.30158751584931</c:v>
                </c:pt>
                <c:pt idx="42">
                  <c:v>1.30158751584931</c:v>
                </c:pt>
                <c:pt idx="43">
                  <c:v>1.30158751584931</c:v>
                </c:pt>
                <c:pt idx="44">
                  <c:v>1.30158751584931</c:v>
                </c:pt>
                <c:pt idx="45">
                  <c:v>1.30158751584931</c:v>
                </c:pt>
                <c:pt idx="46">
                  <c:v>1.30158751584931</c:v>
                </c:pt>
                <c:pt idx="47">
                  <c:v>1.30158751584931</c:v>
                </c:pt>
                <c:pt idx="48">
                  <c:v>1.30158751584931</c:v>
                </c:pt>
                <c:pt idx="49">
                  <c:v>1.30158751584931</c:v>
                </c:pt>
                <c:pt idx="50">
                  <c:v>1.30158751584931</c:v>
                </c:pt>
                <c:pt idx="51">
                  <c:v>1.30158751584931</c:v>
                </c:pt>
                <c:pt idx="52">
                  <c:v>1.30158751584931</c:v>
                </c:pt>
                <c:pt idx="53">
                  <c:v>1.30158751584931</c:v>
                </c:pt>
                <c:pt idx="54">
                  <c:v>1.30158751584931</c:v>
                </c:pt>
                <c:pt idx="55">
                  <c:v>1.30158751584931</c:v>
                </c:pt>
                <c:pt idx="56">
                  <c:v>1.30158751584931</c:v>
                </c:pt>
                <c:pt idx="57">
                  <c:v>1.30158751584931</c:v>
                </c:pt>
                <c:pt idx="58">
                  <c:v>1.30158751584931</c:v>
                </c:pt>
                <c:pt idx="59">
                  <c:v>1.30158751584931</c:v>
                </c:pt>
                <c:pt idx="60">
                  <c:v>1.30158751584931</c:v>
                </c:pt>
                <c:pt idx="61">
                  <c:v>1.30158751584931</c:v>
                </c:pt>
                <c:pt idx="62">
                  <c:v>1.30158751584931</c:v>
                </c:pt>
                <c:pt idx="63">
                  <c:v>1.30158751584931</c:v>
                </c:pt>
                <c:pt idx="64">
                  <c:v>1.30158751584931</c:v>
                </c:pt>
                <c:pt idx="65">
                  <c:v>1.30158751584931</c:v>
                </c:pt>
                <c:pt idx="66">
                  <c:v>1.30158751584931</c:v>
                </c:pt>
                <c:pt idx="67">
                  <c:v>1.30158751584931</c:v>
                </c:pt>
                <c:pt idx="68">
                  <c:v>1.30158751584931</c:v>
                </c:pt>
                <c:pt idx="69">
                  <c:v>1.30158751584931</c:v>
                </c:pt>
                <c:pt idx="70">
                  <c:v>1.30158751584931</c:v>
                </c:pt>
                <c:pt idx="71">
                  <c:v>1.30158751584931</c:v>
                </c:pt>
                <c:pt idx="72">
                  <c:v>1.30158751584931</c:v>
                </c:pt>
                <c:pt idx="73">
                  <c:v>1.30158751584931</c:v>
                </c:pt>
                <c:pt idx="74">
                  <c:v>1.30158751584931</c:v>
                </c:pt>
                <c:pt idx="75">
                  <c:v>1.30158751584931</c:v>
                </c:pt>
                <c:pt idx="76">
                  <c:v>1.30158751584931</c:v>
                </c:pt>
                <c:pt idx="77">
                  <c:v>1.30158751584931</c:v>
                </c:pt>
                <c:pt idx="78">
                  <c:v>1.30158751584931</c:v>
                </c:pt>
                <c:pt idx="79">
                  <c:v>1.30158751584931</c:v>
                </c:pt>
                <c:pt idx="80">
                  <c:v>1.30158751584931</c:v>
                </c:pt>
                <c:pt idx="81">
                  <c:v>1.30158751584931</c:v>
                </c:pt>
                <c:pt idx="82">
                  <c:v>1.30158751584931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13D-40BB-B8D7-BAA5CF42BB74}"/>
            </c:ext>
          </c:extLst>
        </c:ser>
        <c:ser>
          <c:idx val="6"/>
          <c:order val="6"/>
          <c:spPr>
            <a:ln w="28575" cap="rnd" cmpd="sng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DEMANDS!$G$109:$CK$109</c:f>
              <c:numCache>
                <c:formatCode>0.00</c:formatCode>
                <c:ptCount val="8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1.03</c:v>
                </c:pt>
                <c:pt idx="5">
                  <c:v>1.00059707820663</c:v>
                </c:pt>
                <c:pt idx="6">
                  <c:v>1.0401763110023</c:v>
                </c:pt>
                <c:pt idx="7">
                  <c:v>1.08132112469243</c:v>
                </c:pt>
                <c:pt idx="8">
                  <c:v>1.12409344679213</c:v>
                </c:pt>
                <c:pt idx="9">
                  <c:v>1.12426175834363</c:v>
                </c:pt>
                <c:pt idx="10">
                  <c:v>1.12443009509657</c:v>
                </c:pt>
                <c:pt idx="11">
                  <c:v>1.12459845705473</c:v>
                </c:pt>
                <c:pt idx="12">
                  <c:v>1.12476684422188</c:v>
                </c:pt>
                <c:pt idx="13">
                  <c:v>1.1249352566018</c:v>
                </c:pt>
                <c:pt idx="14">
                  <c:v>1.13489326138152</c:v>
                </c:pt>
                <c:pt idx="15">
                  <c:v>1.14493941510903</c:v>
                </c:pt>
                <c:pt idx="16">
                  <c:v>1.15507449808491</c:v>
                </c:pt>
                <c:pt idx="17">
                  <c:v>1.16529929751703</c:v>
                </c:pt>
                <c:pt idx="18">
                  <c:v>1.17561460758167</c:v>
                </c:pt>
                <c:pt idx="19">
                  <c:v>1.18350010709105</c:v>
                </c:pt>
                <c:pt idx="20">
                  <c:v>1.19143849902122</c:v>
                </c:pt>
                <c:pt idx="21">
                  <c:v>1.199430138151</c:v>
                </c:pt>
                <c:pt idx="22">
                  <c:v>1.20747538163889</c:v>
                </c:pt>
                <c:pt idx="23">
                  <c:v>1.21557458903909</c:v>
                </c:pt>
                <c:pt idx="24">
                  <c:v>1.22193478778574</c:v>
                </c:pt>
                <c:pt idx="25">
                  <c:v>1.2283282647273</c:v>
                </c:pt>
                <c:pt idx="26">
                  <c:v>1.23475519398384</c:v>
                </c:pt>
                <c:pt idx="27">
                  <c:v>1.24121575058647</c:v>
                </c:pt>
                <c:pt idx="28">
                  <c:v>1.2477101104821</c:v>
                </c:pt>
                <c:pt idx="29">
                  <c:v>1.25425809440087</c:v>
                </c:pt>
                <c:pt idx="30">
                  <c:v>1.26084044214586</c:v>
                </c:pt>
                <c:pt idx="31">
                  <c:v>1.26745733405845</c:v>
                </c:pt>
                <c:pt idx="32">
                  <c:v>1.27410895142647</c:v>
                </c:pt>
                <c:pt idx="33">
                  <c:v>1.27410895142647</c:v>
                </c:pt>
                <c:pt idx="34">
                  <c:v>1.27410895142647</c:v>
                </c:pt>
                <c:pt idx="35">
                  <c:v>1.27410895142647</c:v>
                </c:pt>
                <c:pt idx="36">
                  <c:v>1.27410895142647</c:v>
                </c:pt>
                <c:pt idx="37">
                  <c:v>1.27410895142647</c:v>
                </c:pt>
                <c:pt idx="38">
                  <c:v>1.27410895142647</c:v>
                </c:pt>
                <c:pt idx="39">
                  <c:v>1.27410895142647</c:v>
                </c:pt>
                <c:pt idx="40">
                  <c:v>1.27410895142647</c:v>
                </c:pt>
                <c:pt idx="41">
                  <c:v>1.27410895142647</c:v>
                </c:pt>
                <c:pt idx="42">
                  <c:v>1.27410895142647</c:v>
                </c:pt>
                <c:pt idx="43">
                  <c:v>1.27410895142647</c:v>
                </c:pt>
                <c:pt idx="44">
                  <c:v>1.27410895142647</c:v>
                </c:pt>
                <c:pt idx="45">
                  <c:v>1.27410895142647</c:v>
                </c:pt>
                <c:pt idx="46">
                  <c:v>1.27410895142647</c:v>
                </c:pt>
                <c:pt idx="47">
                  <c:v>1.27410895142647</c:v>
                </c:pt>
                <c:pt idx="48">
                  <c:v>1.27410895142647</c:v>
                </c:pt>
                <c:pt idx="49">
                  <c:v>1.27410895142647</c:v>
                </c:pt>
                <c:pt idx="50">
                  <c:v>1.27410895142647</c:v>
                </c:pt>
                <c:pt idx="51">
                  <c:v>1.27410895142647</c:v>
                </c:pt>
                <c:pt idx="52">
                  <c:v>1.27410895142647</c:v>
                </c:pt>
                <c:pt idx="53">
                  <c:v>1.27410895142647</c:v>
                </c:pt>
                <c:pt idx="54">
                  <c:v>1.27410895142647</c:v>
                </c:pt>
                <c:pt idx="55">
                  <c:v>1.27410895142647</c:v>
                </c:pt>
                <c:pt idx="56">
                  <c:v>1.27410895142647</c:v>
                </c:pt>
                <c:pt idx="57">
                  <c:v>1.27410895142647</c:v>
                </c:pt>
                <c:pt idx="58">
                  <c:v>1.27410895142647</c:v>
                </c:pt>
                <c:pt idx="59">
                  <c:v>1.27410895142647</c:v>
                </c:pt>
                <c:pt idx="60">
                  <c:v>1.27410895142647</c:v>
                </c:pt>
                <c:pt idx="61">
                  <c:v>1.27410895142647</c:v>
                </c:pt>
                <c:pt idx="62">
                  <c:v>1.27410895142647</c:v>
                </c:pt>
                <c:pt idx="63">
                  <c:v>1.27410895142647</c:v>
                </c:pt>
                <c:pt idx="64">
                  <c:v>1.27410895142647</c:v>
                </c:pt>
                <c:pt idx="65">
                  <c:v>1.27410895142647</c:v>
                </c:pt>
                <c:pt idx="66">
                  <c:v>1.27410895142647</c:v>
                </c:pt>
                <c:pt idx="67">
                  <c:v>1.27410895142647</c:v>
                </c:pt>
                <c:pt idx="68">
                  <c:v>1.27410895142647</c:v>
                </c:pt>
                <c:pt idx="69">
                  <c:v>1.27410895142647</c:v>
                </c:pt>
                <c:pt idx="70">
                  <c:v>1.27410895142647</c:v>
                </c:pt>
                <c:pt idx="71">
                  <c:v>1.27410895142647</c:v>
                </c:pt>
                <c:pt idx="72">
                  <c:v>1.27410895142647</c:v>
                </c:pt>
                <c:pt idx="73">
                  <c:v>1.27410895142647</c:v>
                </c:pt>
                <c:pt idx="74">
                  <c:v>1.27410895142647</c:v>
                </c:pt>
                <c:pt idx="75">
                  <c:v>1.27410895142647</c:v>
                </c:pt>
                <c:pt idx="76">
                  <c:v>1.27410895142647</c:v>
                </c:pt>
                <c:pt idx="77">
                  <c:v>1.27410895142647</c:v>
                </c:pt>
                <c:pt idx="78">
                  <c:v>1.27410895142647</c:v>
                </c:pt>
                <c:pt idx="79">
                  <c:v>1.27410895142647</c:v>
                </c:pt>
                <c:pt idx="80">
                  <c:v>1.27410895142647</c:v>
                </c:pt>
                <c:pt idx="81">
                  <c:v>1.27410895142647</c:v>
                </c:pt>
                <c:pt idx="82">
                  <c:v>1.27410895142647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13D-40BB-B8D7-BAA5CF42BB74}"/>
            </c:ext>
          </c:extLst>
        </c:ser>
        <c:ser>
          <c:idx val="7"/>
          <c:order val="7"/>
          <c:spPr>
            <a:ln w="28575" cap="rnd" cmpd="sng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DEMANDS!$G$110:$CK$110</c:f>
              <c:numCache>
                <c:formatCode>0.00</c:formatCode>
                <c:ptCount val="8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1.03</c:v>
                </c:pt>
                <c:pt idx="5">
                  <c:v>0.84607445067019</c:v>
                </c:pt>
                <c:pt idx="6">
                  <c:v>0.852914632366455</c:v>
                </c:pt>
                <c:pt idx="7">
                  <c:v>0.859923338824327</c:v>
                </c:pt>
                <c:pt idx="8">
                  <c:v>0.867104889706217</c:v>
                </c:pt>
                <c:pt idx="9">
                  <c:v>0.874463609190812</c:v>
                </c:pt>
                <c:pt idx="10">
                  <c:v>0.882004040447325</c:v>
                </c:pt>
                <c:pt idx="11">
                  <c:v>0.889730391639352</c:v>
                </c:pt>
                <c:pt idx="12">
                  <c:v>0.897647619864201</c:v>
                </c:pt>
                <c:pt idx="13">
                  <c:v>0.905760225101111</c:v>
                </c:pt>
                <c:pt idx="14">
                  <c:v>0.914073215940123</c:v>
                </c:pt>
                <c:pt idx="15">
                  <c:v>0.922591665782379</c:v>
                </c:pt>
                <c:pt idx="16">
                  <c:v>0.931320810053228</c:v>
                </c:pt>
                <c:pt idx="17">
                  <c:v>0.940265725631528</c:v>
                </c:pt>
                <c:pt idx="18">
                  <c:v>0.949431844831002</c:v>
                </c:pt>
                <c:pt idx="19">
                  <c:v>0.958824835239766</c:v>
                </c:pt>
                <c:pt idx="20">
                  <c:v>0.968450283244041</c:v>
                </c:pt>
                <c:pt idx="21">
                  <c:v>0.978313992440898</c:v>
                </c:pt>
                <c:pt idx="22">
                  <c:v>0.988421970172415</c:v>
                </c:pt>
                <c:pt idx="23">
                  <c:v>0.998780315987631</c:v>
                </c:pt>
                <c:pt idx="24">
                  <c:v>1.00939531046117</c:v>
                </c:pt>
                <c:pt idx="25">
                  <c:v>1.02027340273837</c:v>
                </c:pt>
                <c:pt idx="26">
                  <c:v>1.03142119842505</c:v>
                </c:pt>
                <c:pt idx="27">
                  <c:v>1.04284535246584</c:v>
                </c:pt>
                <c:pt idx="28">
                  <c:v>1.0545529398555</c:v>
                </c:pt>
                <c:pt idx="29">
                  <c:v>1.0665509639927</c:v>
                </c:pt>
                <c:pt idx="30">
                  <c:v>1.07884691202872</c:v>
                </c:pt>
                <c:pt idx="31">
                  <c:v>1.091448083096</c:v>
                </c:pt>
                <c:pt idx="32">
                  <c:v>1.10436232235368</c:v>
                </c:pt>
                <c:pt idx="33">
                  <c:v>1.10436232235368</c:v>
                </c:pt>
                <c:pt idx="34">
                  <c:v>1.10436232235368</c:v>
                </c:pt>
                <c:pt idx="35">
                  <c:v>1.10436232235368</c:v>
                </c:pt>
                <c:pt idx="36">
                  <c:v>1.10436232235368</c:v>
                </c:pt>
                <c:pt idx="37">
                  <c:v>1.10436232235368</c:v>
                </c:pt>
                <c:pt idx="38">
                  <c:v>1.10436232235368</c:v>
                </c:pt>
                <c:pt idx="39">
                  <c:v>1.10436232235368</c:v>
                </c:pt>
                <c:pt idx="40">
                  <c:v>1.10436232235368</c:v>
                </c:pt>
                <c:pt idx="41">
                  <c:v>1.10436232235368</c:v>
                </c:pt>
                <c:pt idx="42">
                  <c:v>1.10436232235368</c:v>
                </c:pt>
                <c:pt idx="43">
                  <c:v>1.10436232235368</c:v>
                </c:pt>
                <c:pt idx="44">
                  <c:v>1.10436232235368</c:v>
                </c:pt>
                <c:pt idx="45">
                  <c:v>1.10436232235368</c:v>
                </c:pt>
                <c:pt idx="46">
                  <c:v>1.10436232235368</c:v>
                </c:pt>
                <c:pt idx="47">
                  <c:v>1.10436232235368</c:v>
                </c:pt>
                <c:pt idx="48">
                  <c:v>1.10436232235368</c:v>
                </c:pt>
                <c:pt idx="49">
                  <c:v>1.10436232235368</c:v>
                </c:pt>
                <c:pt idx="50">
                  <c:v>1.10436232235368</c:v>
                </c:pt>
                <c:pt idx="51">
                  <c:v>1.10436232235368</c:v>
                </c:pt>
                <c:pt idx="52">
                  <c:v>1.10436232235368</c:v>
                </c:pt>
                <c:pt idx="53">
                  <c:v>1.10436232235368</c:v>
                </c:pt>
                <c:pt idx="54">
                  <c:v>1.10436232235368</c:v>
                </c:pt>
                <c:pt idx="55">
                  <c:v>1.10436232235368</c:v>
                </c:pt>
                <c:pt idx="56">
                  <c:v>1.10436232235368</c:v>
                </c:pt>
                <c:pt idx="57">
                  <c:v>1.10436232235368</c:v>
                </c:pt>
                <c:pt idx="58">
                  <c:v>1.10436232235368</c:v>
                </c:pt>
                <c:pt idx="59">
                  <c:v>1.10436232235368</c:v>
                </c:pt>
                <c:pt idx="60">
                  <c:v>1.10436232235368</c:v>
                </c:pt>
                <c:pt idx="61">
                  <c:v>1.10436232235368</c:v>
                </c:pt>
                <c:pt idx="62">
                  <c:v>1.10436232235368</c:v>
                </c:pt>
                <c:pt idx="63">
                  <c:v>1.10436232235368</c:v>
                </c:pt>
                <c:pt idx="64">
                  <c:v>1.10436232235368</c:v>
                </c:pt>
                <c:pt idx="65">
                  <c:v>1.10436232235368</c:v>
                </c:pt>
                <c:pt idx="66">
                  <c:v>1.10436232235368</c:v>
                </c:pt>
                <c:pt idx="67">
                  <c:v>1.10436232235368</c:v>
                </c:pt>
                <c:pt idx="68">
                  <c:v>1.10436232235368</c:v>
                </c:pt>
                <c:pt idx="69">
                  <c:v>1.10436232235368</c:v>
                </c:pt>
                <c:pt idx="70">
                  <c:v>1.10436232235368</c:v>
                </c:pt>
                <c:pt idx="71">
                  <c:v>1.10436232235368</c:v>
                </c:pt>
                <c:pt idx="72">
                  <c:v>1.10436232235368</c:v>
                </c:pt>
                <c:pt idx="73">
                  <c:v>1.10436232235368</c:v>
                </c:pt>
                <c:pt idx="74">
                  <c:v>1.10436232235368</c:v>
                </c:pt>
                <c:pt idx="75">
                  <c:v>1.10436232235368</c:v>
                </c:pt>
                <c:pt idx="76">
                  <c:v>1.10436232235368</c:v>
                </c:pt>
                <c:pt idx="77">
                  <c:v>1.10436232235368</c:v>
                </c:pt>
                <c:pt idx="78">
                  <c:v>1.10436232235368</c:v>
                </c:pt>
                <c:pt idx="79">
                  <c:v>1.10436232235368</c:v>
                </c:pt>
                <c:pt idx="80">
                  <c:v>1.10436232235368</c:v>
                </c:pt>
                <c:pt idx="81">
                  <c:v>1.10436232235368</c:v>
                </c:pt>
                <c:pt idx="82">
                  <c:v>1.10436232235368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13D-40BB-B8D7-BAA5CF42BB74}"/>
            </c:ext>
          </c:extLst>
        </c:ser>
        <c:ser>
          <c:idx val="8"/>
          <c:order val="8"/>
          <c:spPr>
            <a:ln w="28575" cap="rnd" cmpd="sng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DEMANDS!$G$111:$CK$111</c:f>
              <c:numCache>
                <c:formatCode>0.00</c:formatCode>
                <c:ptCount val="8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1.03</c:v>
                </c:pt>
                <c:pt idx="5">
                  <c:v>1.01951498672291</c:v>
                </c:pt>
                <c:pt idx="6">
                  <c:v>1.0392671840991</c:v>
                </c:pt>
                <c:pt idx="7">
                  <c:v>1.05804518681749</c:v>
                </c:pt>
                <c:pt idx="8">
                  <c:v>1.07593734779239</c:v>
                </c:pt>
                <c:pt idx="9">
                  <c:v>1.09293944935709</c:v>
                </c:pt>
                <c:pt idx="10">
                  <c:v>1.10923061461654</c:v>
                </c:pt>
                <c:pt idx="11">
                  <c:v>1.1250067014413</c:v>
                </c:pt>
                <c:pt idx="12">
                  <c:v>1.1402233293513</c:v>
                </c:pt>
                <c:pt idx="13">
                  <c:v>1.1549783774323</c:v>
                </c:pt>
                <c:pt idx="14">
                  <c:v>1.16923014506999</c:v>
                </c:pt>
                <c:pt idx="15">
                  <c:v>1.18304487557075</c:v>
                </c:pt>
                <c:pt idx="16">
                  <c:v>1.19645256741523</c:v>
                </c:pt>
                <c:pt idx="17">
                  <c:v>1.20936868768534</c:v>
                </c:pt>
                <c:pt idx="18">
                  <c:v>1.22174781927331</c:v>
                </c:pt>
                <c:pt idx="19">
                  <c:v>1.23353902379695</c:v>
                </c:pt>
                <c:pt idx="20">
                  <c:v>1.24470670203952</c:v>
                </c:pt>
                <c:pt idx="21">
                  <c:v>1.25515454558485</c:v>
                </c:pt>
                <c:pt idx="22">
                  <c:v>1.2648222787014</c:v>
                </c:pt>
                <c:pt idx="23">
                  <c:v>1.27367550766704</c:v>
                </c:pt>
                <c:pt idx="24">
                  <c:v>1.2816406945165</c:v>
                </c:pt>
                <c:pt idx="25">
                  <c:v>1.28862462603412</c:v>
                </c:pt>
                <c:pt idx="26">
                  <c:v>1.29445098987985</c:v>
                </c:pt>
                <c:pt idx="27">
                  <c:v>1.29906066187137</c:v>
                </c:pt>
                <c:pt idx="28">
                  <c:v>1.30241495716553</c:v>
                </c:pt>
                <c:pt idx="29">
                  <c:v>1.30442738137336</c:v>
                </c:pt>
                <c:pt idx="30">
                  <c:v>1.30503332796377</c:v>
                </c:pt>
                <c:pt idx="31">
                  <c:v>1.30409530708043</c:v>
                </c:pt>
                <c:pt idx="32">
                  <c:v>1.30158751584931</c:v>
                </c:pt>
                <c:pt idx="33">
                  <c:v>1.30158751584931</c:v>
                </c:pt>
                <c:pt idx="34">
                  <c:v>1.30158751584931</c:v>
                </c:pt>
                <c:pt idx="35">
                  <c:v>1.30158751584931</c:v>
                </c:pt>
                <c:pt idx="36">
                  <c:v>1.30158751584931</c:v>
                </c:pt>
                <c:pt idx="37">
                  <c:v>1.30158751584931</c:v>
                </c:pt>
                <c:pt idx="38">
                  <c:v>1.30158751584931</c:v>
                </c:pt>
                <c:pt idx="39">
                  <c:v>1.30158751584931</c:v>
                </c:pt>
                <c:pt idx="40">
                  <c:v>1.30158751584931</c:v>
                </c:pt>
                <c:pt idx="41">
                  <c:v>1.30158751584931</c:v>
                </c:pt>
                <c:pt idx="42">
                  <c:v>1.30158751584931</c:v>
                </c:pt>
                <c:pt idx="43">
                  <c:v>1.30158751584931</c:v>
                </c:pt>
                <c:pt idx="44">
                  <c:v>1.30158751584931</c:v>
                </c:pt>
                <c:pt idx="45">
                  <c:v>1.30158751584931</c:v>
                </c:pt>
                <c:pt idx="46">
                  <c:v>1.30158751584931</c:v>
                </c:pt>
                <c:pt idx="47">
                  <c:v>1.30158751584931</c:v>
                </c:pt>
                <c:pt idx="48">
                  <c:v>1.30158751584931</c:v>
                </c:pt>
                <c:pt idx="49">
                  <c:v>1.30158751584931</c:v>
                </c:pt>
                <c:pt idx="50">
                  <c:v>1.30158751584931</c:v>
                </c:pt>
                <c:pt idx="51">
                  <c:v>1.30158751584931</c:v>
                </c:pt>
                <c:pt idx="52">
                  <c:v>1.30158751584931</c:v>
                </c:pt>
                <c:pt idx="53">
                  <c:v>1.30158751584931</c:v>
                </c:pt>
                <c:pt idx="54">
                  <c:v>1.30158751584931</c:v>
                </c:pt>
                <c:pt idx="55">
                  <c:v>1.30158751584931</c:v>
                </c:pt>
                <c:pt idx="56">
                  <c:v>1.30158751584931</c:v>
                </c:pt>
                <c:pt idx="57">
                  <c:v>1.30158751584931</c:v>
                </c:pt>
                <c:pt idx="58">
                  <c:v>1.30158751584931</c:v>
                </c:pt>
                <c:pt idx="59">
                  <c:v>1.30158751584931</c:v>
                </c:pt>
                <c:pt idx="60">
                  <c:v>1.30158751584931</c:v>
                </c:pt>
                <c:pt idx="61">
                  <c:v>1.30158751584931</c:v>
                </c:pt>
                <c:pt idx="62">
                  <c:v>1.30158751584931</c:v>
                </c:pt>
                <c:pt idx="63">
                  <c:v>1.30158751584931</c:v>
                </c:pt>
                <c:pt idx="64">
                  <c:v>1.30158751584931</c:v>
                </c:pt>
                <c:pt idx="65">
                  <c:v>1.30158751584931</c:v>
                </c:pt>
                <c:pt idx="66">
                  <c:v>1.30158751584931</c:v>
                </c:pt>
                <c:pt idx="67">
                  <c:v>1.30158751584931</c:v>
                </c:pt>
                <c:pt idx="68">
                  <c:v>1.30158751584931</c:v>
                </c:pt>
                <c:pt idx="69">
                  <c:v>1.30158751584931</c:v>
                </c:pt>
                <c:pt idx="70">
                  <c:v>1.30158751584931</c:v>
                </c:pt>
                <c:pt idx="71">
                  <c:v>1.30158751584931</c:v>
                </c:pt>
                <c:pt idx="72">
                  <c:v>1.30158751584931</c:v>
                </c:pt>
                <c:pt idx="73">
                  <c:v>1.30158751584931</c:v>
                </c:pt>
                <c:pt idx="74">
                  <c:v>1.30158751584931</c:v>
                </c:pt>
                <c:pt idx="75">
                  <c:v>1.30158751584931</c:v>
                </c:pt>
                <c:pt idx="76">
                  <c:v>1.30158751584931</c:v>
                </c:pt>
                <c:pt idx="77">
                  <c:v>1.30158751584931</c:v>
                </c:pt>
                <c:pt idx="78">
                  <c:v>1.30158751584931</c:v>
                </c:pt>
                <c:pt idx="79">
                  <c:v>1.30158751584931</c:v>
                </c:pt>
                <c:pt idx="80">
                  <c:v>1.30158751584931</c:v>
                </c:pt>
                <c:pt idx="81">
                  <c:v>1.30158751584931</c:v>
                </c:pt>
                <c:pt idx="82">
                  <c:v>1.30158751584931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13D-40BB-B8D7-BAA5CF42BB74}"/>
            </c:ext>
          </c:extLst>
        </c:ser>
        <c:ser>
          <c:idx val="9"/>
          <c:order val="9"/>
          <c:spPr>
            <a:ln w="28575" cap="rnd" cmpd="sng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DEMANDS!$G$112:$CK$112</c:f>
              <c:numCache>
                <c:formatCode>0.00</c:formatCode>
                <c:ptCount val="8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13D-40BB-B8D7-BAA5CF42BB74}"/>
            </c:ext>
          </c:extLst>
        </c:ser>
        <c:ser>
          <c:idx val="10"/>
          <c:order val="10"/>
          <c:spPr>
            <a:ln w="28575" cap="rnd" cmpd="sng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DEMANDS!$G$113:$CK$113</c:f>
              <c:numCache>
                <c:formatCode>0.00</c:formatCode>
                <c:ptCount val="8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13D-40BB-B8D7-BAA5CF42BB74}"/>
            </c:ext>
          </c:extLst>
        </c:ser>
        <c:ser>
          <c:idx val="11"/>
          <c:order val="11"/>
          <c:spPr>
            <a:ln w="28575" cap="rnd" cmpd="sng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DEMANDS!$G$114:$CK$114</c:f>
              <c:numCache>
                <c:formatCode>0.00</c:formatCode>
                <c:ptCount val="8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13D-40BB-B8D7-BAA5CF42BB74}"/>
            </c:ext>
          </c:extLst>
        </c:ser>
        <c:ser>
          <c:idx val="12"/>
          <c:order val="12"/>
          <c:spPr>
            <a:ln w="28575" cap="rnd" cmpd="sng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DEMANDS!$G$115:$CK$115</c:f>
              <c:numCache>
                <c:formatCode>0.00</c:formatCode>
                <c:ptCount val="8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13D-40BB-B8D7-BAA5CF42BB74}"/>
            </c:ext>
          </c:extLst>
        </c:ser>
        <c:ser>
          <c:idx val="13"/>
          <c:order val="13"/>
          <c:spPr>
            <a:ln w="28575" cap="rnd" cmpd="sng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DEMANDS!$G$116:$CK$116</c:f>
              <c:numCache>
                <c:formatCode>0.00</c:formatCode>
                <c:ptCount val="8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13D-40BB-B8D7-BAA5CF42BB74}"/>
            </c:ext>
          </c:extLst>
        </c:ser>
        <c:ser>
          <c:idx val="17"/>
          <c:order val="14"/>
          <c:spPr>
            <a:ln w="28575" cap="rnd" cmpd="sng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DEMANDS!$G$120:$CK$120</c:f>
              <c:numCache>
                <c:formatCode>0.00</c:formatCode>
                <c:ptCount val="83"/>
                <c:pt idx="0">
                  <c:v>1</c:v>
                </c:pt>
                <c:pt idx="1">
                  <c:v>0.994020980527052</c:v>
                </c:pt>
                <c:pt idx="2">
                  <c:v>0.966887364003726</c:v>
                </c:pt>
                <c:pt idx="3">
                  <c:v>0.997753721505381</c:v>
                </c:pt>
                <c:pt idx="4">
                  <c:v>1.01640700859568</c:v>
                </c:pt>
                <c:pt idx="5">
                  <c:v>1.14302655423305</c:v>
                </c:pt>
                <c:pt idx="6">
                  <c:v>1.3094004193492</c:v>
                </c:pt>
                <c:pt idx="7">
                  <c:v>1.34999183234902</c:v>
                </c:pt>
                <c:pt idx="8">
                  <c:v>1.376991668996</c:v>
                </c:pt>
                <c:pt idx="9">
                  <c:v>1.40453150237592</c:v>
                </c:pt>
                <c:pt idx="10">
                  <c:v>1.43262213242344</c:v>
                </c:pt>
                <c:pt idx="11">
                  <c:v>1.46127457507191</c:v>
                </c:pt>
                <c:pt idx="12">
                  <c:v>1.49050006657335</c:v>
                </c:pt>
                <c:pt idx="13">
                  <c:v>1.52478156810454</c:v>
                </c:pt>
                <c:pt idx="14">
                  <c:v>1.55985154417094</c:v>
                </c:pt>
                <c:pt idx="15">
                  <c:v>1.59572812968687</c:v>
                </c:pt>
                <c:pt idx="16">
                  <c:v>1.63242987666967</c:v>
                </c:pt>
                <c:pt idx="17">
                  <c:v>1.66997576383307</c:v>
                </c:pt>
                <c:pt idx="18">
                  <c:v>1.70838520640123</c:v>
                </c:pt>
                <c:pt idx="19">
                  <c:v>1.74767806614846</c:v>
                </c:pt>
                <c:pt idx="20">
                  <c:v>1.78787466166988</c:v>
                </c:pt>
                <c:pt idx="21">
                  <c:v>1.82899577888828</c:v>
                </c:pt>
                <c:pt idx="22">
                  <c:v>1.87106268180271</c:v>
                </c:pt>
                <c:pt idx="23">
                  <c:v>1.91409712348418</c:v>
                </c:pt>
                <c:pt idx="24">
                  <c:v>1.95812135732431</c:v>
                </c:pt>
                <c:pt idx="25">
                  <c:v>2.00315814854277</c:v>
                </c:pt>
                <c:pt idx="26">
                  <c:v>2.04923078595925</c:v>
                </c:pt>
                <c:pt idx="27">
                  <c:v>2.09636309403632</c:v>
                </c:pt>
                <c:pt idx="28">
                  <c:v>2.14457944519915</c:v>
                </c:pt>
                <c:pt idx="29">
                  <c:v>2.19390477243873</c:v>
                </c:pt>
                <c:pt idx="30">
                  <c:v>2.24436458220482</c:v>
                </c:pt>
                <c:pt idx="31">
                  <c:v>2.29598496759553</c:v>
                </c:pt>
                <c:pt idx="32">
                  <c:v>2.34879262185023</c:v>
                </c:pt>
                <c:pt idx="33">
                  <c:v>2.40281485215279</c:v>
                </c:pt>
                <c:pt idx="34">
                  <c:v>2.4580795937523</c:v>
                </c:pt>
                <c:pt idx="35">
                  <c:v>2.5146154244086</c:v>
                </c:pt>
                <c:pt idx="36">
                  <c:v>2.57245157917</c:v>
                </c:pt>
                <c:pt idx="37">
                  <c:v>2.63161796549091</c:v>
                </c:pt>
                <c:pt idx="38">
                  <c:v>2.6921451786972</c:v>
                </c:pt>
                <c:pt idx="39">
                  <c:v>2.75406451780723</c:v>
                </c:pt>
                <c:pt idx="40">
                  <c:v>2.8174080017168</c:v>
                </c:pt>
                <c:pt idx="41">
                  <c:v>2.88220838575629</c:v>
                </c:pt>
                <c:pt idx="42">
                  <c:v>2.94849917862868</c:v>
                </c:pt>
                <c:pt idx="43">
                  <c:v>3.01631465973714</c:v>
                </c:pt>
                <c:pt idx="44">
                  <c:v>3.08568989691109</c:v>
                </c:pt>
                <c:pt idx="45">
                  <c:v>3.15666076454005</c:v>
                </c:pt>
                <c:pt idx="46">
                  <c:v>3.22926396212447</c:v>
                </c:pt>
                <c:pt idx="47">
                  <c:v>3.30353703325333</c:v>
                </c:pt>
                <c:pt idx="48">
                  <c:v>3.37951838501816</c:v>
                </c:pt>
                <c:pt idx="49">
                  <c:v>3.45724730787358</c:v>
                </c:pt>
                <c:pt idx="50">
                  <c:v>3.53676399595467</c:v>
                </c:pt>
                <c:pt idx="51">
                  <c:v>3.61810956786162</c:v>
                </c:pt>
                <c:pt idx="52">
                  <c:v>3.70132608792244</c:v>
                </c:pt>
                <c:pt idx="53">
                  <c:v>3.78645658794466</c:v>
                </c:pt>
                <c:pt idx="54">
                  <c:v>3.87354508946739</c:v>
                </c:pt>
                <c:pt idx="55">
                  <c:v>3.96263662652513</c:v>
                </c:pt>
                <c:pt idx="56">
                  <c:v>4.05377726893521</c:v>
                </c:pt>
                <c:pt idx="57">
                  <c:v>4.14701414612072</c:v>
                </c:pt>
                <c:pt idx="58">
                  <c:v>4.2423954714815</c:v>
                </c:pt>
                <c:pt idx="59">
                  <c:v>4.33997056732557</c:v>
                </c:pt>
                <c:pt idx="60">
                  <c:v>4.43978989037406</c:v>
                </c:pt>
                <c:pt idx="61">
                  <c:v>4.54190505785266</c:v>
                </c:pt>
                <c:pt idx="62">
                  <c:v>4.64636887418327</c:v>
                </c:pt>
                <c:pt idx="63">
                  <c:v>4.75323535828949</c:v>
                </c:pt>
                <c:pt idx="64">
                  <c:v>4.86255977153014</c:v>
                </c:pt>
                <c:pt idx="65">
                  <c:v>4.97439864627534</c:v>
                </c:pt>
                <c:pt idx="66">
                  <c:v>5.08880981513967</c:v>
                </c:pt>
                <c:pt idx="67">
                  <c:v>5.20585244088788</c:v>
                </c:pt>
                <c:pt idx="68">
                  <c:v>5.3255870470283</c:v>
                </c:pt>
                <c:pt idx="69">
                  <c:v>5.44807554910995</c:v>
                </c:pt>
                <c:pt idx="70">
                  <c:v>5.57338128673948</c:v>
                </c:pt>
                <c:pt idx="71">
                  <c:v>5.70156905633449</c:v>
                </c:pt>
                <c:pt idx="72">
                  <c:v>5.83270514463018</c:v>
                </c:pt>
                <c:pt idx="73">
                  <c:v>5.96685736295668</c:v>
                </c:pt>
                <c:pt idx="74">
                  <c:v>6.10409508230468</c:v>
                </c:pt>
                <c:pt idx="75">
                  <c:v>6.24448926919769</c:v>
                </c:pt>
                <c:pt idx="76">
                  <c:v>6.38811252238923</c:v>
                </c:pt>
                <c:pt idx="77">
                  <c:v>6.53503911040419</c:v>
                </c:pt>
                <c:pt idx="78">
                  <c:v>6.68534500994348</c:v>
                </c:pt>
                <c:pt idx="79">
                  <c:v>6.83910794517218</c:v>
                </c:pt>
                <c:pt idx="80">
                  <c:v>6.99640742791114</c:v>
                </c:pt>
                <c:pt idx="81">
                  <c:v>7.15732479875309</c:v>
                </c:pt>
                <c:pt idx="82">
                  <c:v>7.32194326912442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13D-40BB-B8D7-BAA5CF42BB74}"/>
            </c:ext>
          </c:extLst>
        </c:ser>
        <c:ser>
          <c:idx val="18"/>
          <c:order val="15"/>
          <c:spPr>
            <a:ln w="28575" cap="rnd" cmpd="sng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DEMANDS!$G$121:$CK$121</c:f>
              <c:numCache>
                <c:formatCode>0.00</c:formatCode>
                <c:ptCount val="83"/>
                <c:pt idx="0">
                  <c:v>1</c:v>
                </c:pt>
                <c:pt idx="1">
                  <c:v>1.33286479579368</c:v>
                </c:pt>
                <c:pt idx="2">
                  <c:v>0.437138865308943</c:v>
                </c:pt>
                <c:pt idx="3">
                  <c:v>1.11738872949993</c:v>
                </c:pt>
                <c:pt idx="4">
                  <c:v>0.996219202609598</c:v>
                </c:pt>
                <c:pt idx="5">
                  <c:v>0.875049675719263</c:v>
                </c:pt>
                <c:pt idx="6">
                  <c:v>0.753880148828928</c:v>
                </c:pt>
                <c:pt idx="7">
                  <c:v>0.632710621938593</c:v>
                </c:pt>
                <c:pt idx="8">
                  <c:v>0.511541095048258</c:v>
                </c:pt>
                <c:pt idx="9">
                  <c:v>0.390371568157924</c:v>
                </c:pt>
                <c:pt idx="10">
                  <c:v>0.269202041267589</c:v>
                </c:pt>
                <c:pt idx="11">
                  <c:v>0.148032514377254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13D-40BB-B8D7-BAA5CF42BB74}"/>
            </c:ext>
          </c:extLst>
        </c:ser>
        <c:ser>
          <c:idx val="19"/>
          <c:order val="16"/>
          <c:spPr>
            <a:ln w="28575" cap="rnd" cmpd="sng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DEMANDS!$G$122:$CK$122</c:f>
              <c:numCache>
                <c:formatCode>0.00</c:formatCode>
                <c:ptCount val="83"/>
                <c:pt idx="0">
                  <c:v>1</c:v>
                </c:pt>
                <c:pt idx="1">
                  <c:v>1.06504195746703</c:v>
                </c:pt>
                <c:pt idx="2">
                  <c:v>1.30247372426179</c:v>
                </c:pt>
                <c:pt idx="3">
                  <c:v>1.43741929930144</c:v>
                </c:pt>
                <c:pt idx="4">
                  <c:v>1.32672521675756</c:v>
                </c:pt>
                <c:pt idx="5">
                  <c:v>1.36745131456133</c:v>
                </c:pt>
                <c:pt idx="6">
                  <c:v>1.41052284974068</c:v>
                </c:pt>
                <c:pt idx="7">
                  <c:v>1.455312807288</c:v>
                </c:pt>
                <c:pt idx="8">
                  <c:v>1.50149551499926</c:v>
                </c:pt>
                <c:pt idx="9">
                  <c:v>1.54880206922855</c:v>
                </c:pt>
                <c:pt idx="10">
                  <c:v>1.5972807019001</c:v>
                </c:pt>
                <c:pt idx="11">
                  <c:v>1.64696684000253</c:v>
                </c:pt>
                <c:pt idx="12">
                  <c:v>1.69770682430816</c:v>
                </c:pt>
                <c:pt idx="13">
                  <c:v>1.74928083675515</c:v>
                </c:pt>
                <c:pt idx="14">
                  <c:v>1.80170424326627</c:v>
                </c:pt>
                <c:pt idx="15">
                  <c:v>1.85478368931336</c:v>
                </c:pt>
                <c:pt idx="16">
                  <c:v>1.90835100340835</c:v>
                </c:pt>
                <c:pt idx="17">
                  <c:v>1.96229563627354</c:v>
                </c:pt>
                <c:pt idx="18">
                  <c:v>2.01658899021933</c:v>
                </c:pt>
                <c:pt idx="19">
                  <c:v>2.07102661310666</c:v>
                </c:pt>
                <c:pt idx="20">
                  <c:v>2.12571563956373</c:v>
                </c:pt>
                <c:pt idx="21">
                  <c:v>2.18080460684397</c:v>
                </c:pt>
                <c:pt idx="22">
                  <c:v>2.23645827178594</c:v>
                </c:pt>
                <c:pt idx="23">
                  <c:v>2.2928452327089</c:v>
                </c:pt>
                <c:pt idx="24">
                  <c:v>2.35012384398362</c:v>
                </c:pt>
                <c:pt idx="25">
                  <c:v>2.40843752088926</c:v>
                </c:pt>
                <c:pt idx="26">
                  <c:v>2.46792754454904</c:v>
                </c:pt>
                <c:pt idx="27">
                  <c:v>2.52875098884016</c:v>
                </c:pt>
                <c:pt idx="28">
                  <c:v>2.59110163512197</c:v>
                </c:pt>
                <c:pt idx="29">
                  <c:v>2.65487064144153</c:v>
                </c:pt>
                <c:pt idx="30">
                  <c:v>2.72032136264185</c:v>
                </c:pt>
                <c:pt idx="31">
                  <c:v>2.78776709281491</c:v>
                </c:pt>
                <c:pt idx="32">
                  <c:v>2.85754502859926</c:v>
                </c:pt>
                <c:pt idx="33">
                  <c:v>2.92996931774922</c:v>
                </c:pt>
                <c:pt idx="34">
                  <c:v>3.00526874178164</c:v>
                </c:pt>
                <c:pt idx="35">
                  <c:v>3.08361488683405</c:v>
                </c:pt>
                <c:pt idx="36">
                  <c:v>3.16515458283513</c:v>
                </c:pt>
                <c:pt idx="37">
                  <c:v>3.2500295377393</c:v>
                </c:pt>
                <c:pt idx="38">
                  <c:v>3.33835969111041</c:v>
                </c:pt>
                <c:pt idx="39">
                  <c:v>3.43016425035188</c:v>
                </c:pt>
                <c:pt idx="40">
                  <c:v>3.52537534930487</c:v>
                </c:pt>
                <c:pt idx="41">
                  <c:v>3.62387432889905</c:v>
                </c:pt>
                <c:pt idx="42">
                  <c:v>3.72554893253203</c:v>
                </c:pt>
                <c:pt idx="43">
                  <c:v>3.54697373941533</c:v>
                </c:pt>
                <c:pt idx="44">
                  <c:v>3.60531817312412</c:v>
                </c:pt>
                <c:pt idx="45">
                  <c:v>3.6636626068329</c:v>
                </c:pt>
                <c:pt idx="46">
                  <c:v>3.72200704054166</c:v>
                </c:pt>
                <c:pt idx="47">
                  <c:v>3.78035147425042</c:v>
                </c:pt>
                <c:pt idx="48">
                  <c:v>3.8386959079592</c:v>
                </c:pt>
                <c:pt idx="49">
                  <c:v>3.89704034166796</c:v>
                </c:pt>
                <c:pt idx="50">
                  <c:v>3.95538477537674</c:v>
                </c:pt>
                <c:pt idx="51">
                  <c:v>4.01372920908553</c:v>
                </c:pt>
                <c:pt idx="52">
                  <c:v>4.07207364279428</c:v>
                </c:pt>
                <c:pt idx="53">
                  <c:v>4.13041807650304</c:v>
                </c:pt>
                <c:pt idx="54">
                  <c:v>4.18876251021182</c:v>
                </c:pt>
                <c:pt idx="55">
                  <c:v>4.24710694392061</c:v>
                </c:pt>
                <c:pt idx="56">
                  <c:v>4.30545137762936</c:v>
                </c:pt>
                <c:pt idx="57">
                  <c:v>4.36379581133815</c:v>
                </c:pt>
                <c:pt idx="58">
                  <c:v>4.42214024504693</c:v>
                </c:pt>
                <c:pt idx="59">
                  <c:v>4.48048467875569</c:v>
                </c:pt>
                <c:pt idx="60">
                  <c:v>4.53882911246445</c:v>
                </c:pt>
                <c:pt idx="61">
                  <c:v>4.59717354617323</c:v>
                </c:pt>
                <c:pt idx="62">
                  <c:v>4.65551797988199</c:v>
                </c:pt>
                <c:pt idx="63">
                  <c:v>4.71386241359077</c:v>
                </c:pt>
                <c:pt idx="64">
                  <c:v>4.77220684729956</c:v>
                </c:pt>
                <c:pt idx="65">
                  <c:v>4.83055128100831</c:v>
                </c:pt>
                <c:pt idx="66">
                  <c:v>4.88889571471707</c:v>
                </c:pt>
                <c:pt idx="67">
                  <c:v>4.94724014842585</c:v>
                </c:pt>
                <c:pt idx="68">
                  <c:v>5.00558458213464</c:v>
                </c:pt>
                <c:pt idx="69">
                  <c:v>5.06392901584339</c:v>
                </c:pt>
                <c:pt idx="70">
                  <c:v>5.12227344955218</c:v>
                </c:pt>
                <c:pt idx="71">
                  <c:v>5.18061788326094</c:v>
                </c:pt>
                <c:pt idx="72">
                  <c:v>5.23896231696972</c:v>
                </c:pt>
                <c:pt idx="73">
                  <c:v>5.29730675067848</c:v>
                </c:pt>
                <c:pt idx="74">
                  <c:v>5.35565118438726</c:v>
                </c:pt>
                <c:pt idx="75">
                  <c:v>5.41399561809602</c:v>
                </c:pt>
                <c:pt idx="76">
                  <c:v>5.4723400518048</c:v>
                </c:pt>
                <c:pt idx="77">
                  <c:v>5.53068448551359</c:v>
                </c:pt>
                <c:pt idx="78">
                  <c:v>5.58902891922234</c:v>
                </c:pt>
                <c:pt idx="79">
                  <c:v>5.6473733529311</c:v>
                </c:pt>
                <c:pt idx="80">
                  <c:v>5.70571778663988</c:v>
                </c:pt>
                <c:pt idx="81">
                  <c:v>5.76406222034867</c:v>
                </c:pt>
                <c:pt idx="82">
                  <c:v>5.82240665405743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C13D-40BB-B8D7-BAA5CF42BB74}"/>
            </c:ext>
          </c:extLst>
        </c:ser>
        <c:ser>
          <c:idx val="20"/>
          <c:order val="17"/>
          <c:spPr>
            <a:ln w="28575" cap="rnd" cmpd="sng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DEMANDS!$G$123:$CK$123</c:f>
              <c:numCache>
                <c:formatCode>0.00</c:formatCode>
                <c:ptCount val="83"/>
                <c:pt idx="0">
                  <c:v>1</c:v>
                </c:pt>
                <c:pt idx="1">
                  <c:v>0.799614277600496</c:v>
                </c:pt>
                <c:pt idx="2">
                  <c:v>1.09212041132354</c:v>
                </c:pt>
                <c:pt idx="3">
                  <c:v>0.726337169437279</c:v>
                </c:pt>
                <c:pt idx="4">
                  <c:v>0.63180294895931</c:v>
                </c:pt>
                <c:pt idx="5">
                  <c:v>0.599380495387455</c:v>
                </c:pt>
                <c:pt idx="6">
                  <c:v>0.532030169865687</c:v>
                </c:pt>
                <c:pt idx="7">
                  <c:v>0.416528683811961</c:v>
                </c:pt>
                <c:pt idx="8">
                  <c:v>0.27107140343777</c:v>
                </c:pt>
                <c:pt idx="9">
                  <c:v>0.145179057992602</c:v>
                </c:pt>
                <c:pt idx="10">
                  <c:v>0.0669845555825582</c:v>
                </c:pt>
                <c:pt idx="11">
                  <c:v>0.0279431658622207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13D-40BB-B8D7-BAA5CF42BB74}"/>
            </c:ext>
          </c:extLst>
        </c:ser>
        <c:ser>
          <c:idx val="21"/>
          <c:order val="18"/>
          <c:spPr>
            <a:ln w="28575" cap="rnd" cmpd="sng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DEMANDS!$G$124:$CK$124</c:f>
              <c:numCache>
                <c:formatCode>0.00</c:formatCode>
                <c:ptCount val="83"/>
                <c:pt idx="0">
                  <c:v>1</c:v>
                </c:pt>
                <c:pt idx="1">
                  <c:v>1.07458890950815</c:v>
                </c:pt>
                <c:pt idx="2">
                  <c:v>0.471306619073606</c:v>
                </c:pt>
                <c:pt idx="3">
                  <c:v>0.514209497686842</c:v>
                </c:pt>
                <c:pt idx="4">
                  <c:v>0.985039391801168</c:v>
                </c:pt>
                <c:pt idx="5">
                  <c:v>0.985039391801168</c:v>
                </c:pt>
                <c:pt idx="6">
                  <c:v>0.985039391801168</c:v>
                </c:pt>
                <c:pt idx="7">
                  <c:v>0.985039391801168</c:v>
                </c:pt>
                <c:pt idx="8">
                  <c:v>0.985039391801168</c:v>
                </c:pt>
                <c:pt idx="9">
                  <c:v>0.985039391801168</c:v>
                </c:pt>
                <c:pt idx="10">
                  <c:v>0.985039391801168</c:v>
                </c:pt>
                <c:pt idx="11">
                  <c:v>0.985039391801168</c:v>
                </c:pt>
                <c:pt idx="12">
                  <c:v>0.985039391801168</c:v>
                </c:pt>
                <c:pt idx="13">
                  <c:v>0.985039391801168</c:v>
                </c:pt>
                <c:pt idx="14">
                  <c:v>0.985039391801168</c:v>
                </c:pt>
                <c:pt idx="15">
                  <c:v>0.985039391801168</c:v>
                </c:pt>
                <c:pt idx="16">
                  <c:v>0.985039391801168</c:v>
                </c:pt>
                <c:pt idx="17">
                  <c:v>0.985039391801168</c:v>
                </c:pt>
                <c:pt idx="18">
                  <c:v>0.985039391801168</c:v>
                </c:pt>
                <c:pt idx="19">
                  <c:v>0.985039391801168</c:v>
                </c:pt>
                <c:pt idx="20">
                  <c:v>0.985039391801168</c:v>
                </c:pt>
                <c:pt idx="21">
                  <c:v>0.985039391801168</c:v>
                </c:pt>
                <c:pt idx="22">
                  <c:v>0.985039391801168</c:v>
                </c:pt>
                <c:pt idx="23">
                  <c:v>0.985039391801168</c:v>
                </c:pt>
                <c:pt idx="24">
                  <c:v>0.985039391801168</c:v>
                </c:pt>
                <c:pt idx="25">
                  <c:v>0.985039391801168</c:v>
                </c:pt>
                <c:pt idx="26">
                  <c:v>0.985039391801168</c:v>
                </c:pt>
                <c:pt idx="27">
                  <c:v>0.985039391801168</c:v>
                </c:pt>
                <c:pt idx="28">
                  <c:v>0.985039391801168</c:v>
                </c:pt>
                <c:pt idx="29">
                  <c:v>0.985039391801168</c:v>
                </c:pt>
                <c:pt idx="30">
                  <c:v>0.985039391801168</c:v>
                </c:pt>
                <c:pt idx="31">
                  <c:v>0.985039391801168</c:v>
                </c:pt>
                <c:pt idx="32">
                  <c:v>0.985039391801168</c:v>
                </c:pt>
                <c:pt idx="33">
                  <c:v>0.985039391801168</c:v>
                </c:pt>
                <c:pt idx="34">
                  <c:v>0.985039391801168</c:v>
                </c:pt>
                <c:pt idx="35">
                  <c:v>0.985039391801168</c:v>
                </c:pt>
                <c:pt idx="36">
                  <c:v>0.985039391801168</c:v>
                </c:pt>
                <c:pt idx="37">
                  <c:v>0.985039391801168</c:v>
                </c:pt>
                <c:pt idx="38">
                  <c:v>0.985039391801168</c:v>
                </c:pt>
                <c:pt idx="39">
                  <c:v>0.985039391801168</c:v>
                </c:pt>
                <c:pt idx="40">
                  <c:v>0.985039391801168</c:v>
                </c:pt>
                <c:pt idx="41">
                  <c:v>0.985039391801168</c:v>
                </c:pt>
                <c:pt idx="42">
                  <c:v>0.985039391801168</c:v>
                </c:pt>
                <c:pt idx="43">
                  <c:v>0.985039391801168</c:v>
                </c:pt>
                <c:pt idx="44">
                  <c:v>0.985039391801168</c:v>
                </c:pt>
                <c:pt idx="45">
                  <c:v>0.985039391801168</c:v>
                </c:pt>
                <c:pt idx="46">
                  <c:v>0.985039391801168</c:v>
                </c:pt>
                <c:pt idx="47">
                  <c:v>0.985039391801168</c:v>
                </c:pt>
                <c:pt idx="48">
                  <c:v>0.985039391801168</c:v>
                </c:pt>
                <c:pt idx="49">
                  <c:v>0.985039391801168</c:v>
                </c:pt>
                <c:pt idx="50">
                  <c:v>0.985039391801168</c:v>
                </c:pt>
                <c:pt idx="51">
                  <c:v>0.985039391801168</c:v>
                </c:pt>
                <c:pt idx="52">
                  <c:v>0.985039391801168</c:v>
                </c:pt>
                <c:pt idx="53">
                  <c:v>0.985039391801168</c:v>
                </c:pt>
                <c:pt idx="54">
                  <c:v>0.985039391801168</c:v>
                </c:pt>
                <c:pt idx="55">
                  <c:v>0.985039391801168</c:v>
                </c:pt>
                <c:pt idx="56">
                  <c:v>0.985039391801168</c:v>
                </c:pt>
                <c:pt idx="57">
                  <c:v>0.985039391801168</c:v>
                </c:pt>
                <c:pt idx="58">
                  <c:v>0.985039391801168</c:v>
                </c:pt>
                <c:pt idx="59">
                  <c:v>0.985039391801168</c:v>
                </c:pt>
                <c:pt idx="60">
                  <c:v>0.985039391801168</c:v>
                </c:pt>
                <c:pt idx="61">
                  <c:v>0.985039391801168</c:v>
                </c:pt>
                <c:pt idx="62">
                  <c:v>0.985039391801168</c:v>
                </c:pt>
                <c:pt idx="63">
                  <c:v>0.985039391801168</c:v>
                </c:pt>
                <c:pt idx="64">
                  <c:v>0.985039391801168</c:v>
                </c:pt>
                <c:pt idx="65">
                  <c:v>0.985039391801168</c:v>
                </c:pt>
                <c:pt idx="66">
                  <c:v>0.985039391801168</c:v>
                </c:pt>
                <c:pt idx="67">
                  <c:v>0.985039391801168</c:v>
                </c:pt>
                <c:pt idx="68">
                  <c:v>0.985039391801168</c:v>
                </c:pt>
                <c:pt idx="69">
                  <c:v>0.985039391801168</c:v>
                </c:pt>
                <c:pt idx="70">
                  <c:v>0.985039391801168</c:v>
                </c:pt>
                <c:pt idx="71">
                  <c:v>0.985039391801168</c:v>
                </c:pt>
                <c:pt idx="72">
                  <c:v>0.985039391801168</c:v>
                </c:pt>
                <c:pt idx="73">
                  <c:v>0.985039391801168</c:v>
                </c:pt>
                <c:pt idx="74">
                  <c:v>0.985039391801168</c:v>
                </c:pt>
                <c:pt idx="75">
                  <c:v>0.985039391801168</c:v>
                </c:pt>
                <c:pt idx="76">
                  <c:v>0.985039391801168</c:v>
                </c:pt>
                <c:pt idx="77">
                  <c:v>0.985039391801168</c:v>
                </c:pt>
                <c:pt idx="78">
                  <c:v>0.985039391801168</c:v>
                </c:pt>
                <c:pt idx="79">
                  <c:v>0.985039391801168</c:v>
                </c:pt>
                <c:pt idx="80">
                  <c:v>0.985039391801168</c:v>
                </c:pt>
                <c:pt idx="81">
                  <c:v>0.985039391801168</c:v>
                </c:pt>
                <c:pt idx="82">
                  <c:v>0.985039391801168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C13D-40BB-B8D7-BAA5CF42BB74}"/>
            </c:ext>
          </c:extLst>
        </c:ser>
        <c:ser>
          <c:idx val="22"/>
          <c:order val="19"/>
          <c:spPr>
            <a:ln w="28575" cap="rnd" cmpd="sng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DEMANDS!$G$125:$CK$125</c:f>
              <c:numCache>
                <c:formatCode>0.00</c:formatCode>
                <c:ptCount val="83"/>
                <c:pt idx="0">
                  <c:v>1</c:v>
                </c:pt>
                <c:pt idx="1">
                  <c:v>1.01136138062027</c:v>
                </c:pt>
                <c:pt idx="2">
                  <c:v>0.360693530061878</c:v>
                </c:pt>
                <c:pt idx="3">
                  <c:v>0.404097921442817</c:v>
                </c:pt>
                <c:pt idx="4">
                  <c:v>1.04838181993436</c:v>
                </c:pt>
                <c:pt idx="5">
                  <c:v>1.06292187216685</c:v>
                </c:pt>
                <c:pt idx="6">
                  <c:v>1.07717108807391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C13D-40BB-B8D7-BAA5CF42BB74}"/>
            </c:ext>
          </c:extLst>
        </c:ser>
        <c:ser>
          <c:idx val="23"/>
          <c:order val="20"/>
          <c:spPr>
            <a:ln w="28575" cap="rnd" cmpd="sng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DEMANDS!$G$126:$CK$126</c:f>
              <c:numCache>
                <c:formatCode>0.00</c:formatCode>
                <c:ptCount val="83"/>
                <c:pt idx="0">
                  <c:v>1</c:v>
                </c:pt>
                <c:pt idx="1">
                  <c:v>1.07324050179258</c:v>
                </c:pt>
                <c:pt idx="2">
                  <c:v>1.10478248555401</c:v>
                </c:pt>
                <c:pt idx="3">
                  <c:v>1.18271441041696</c:v>
                </c:pt>
                <c:pt idx="4">
                  <c:v>1.25329469890534</c:v>
                </c:pt>
                <c:pt idx="5">
                  <c:v>1.31827301655888</c:v>
                </c:pt>
                <c:pt idx="6">
                  <c:v>1.37842388756202</c:v>
                </c:pt>
                <c:pt idx="7">
                  <c:v>1.43398126813928</c:v>
                </c:pt>
                <c:pt idx="8">
                  <c:v>1.48658692789413</c:v>
                </c:pt>
                <c:pt idx="9">
                  <c:v>1.5364394052834</c:v>
                </c:pt>
                <c:pt idx="10">
                  <c:v>1.58493798776827</c:v>
                </c:pt>
                <c:pt idx="11">
                  <c:v>1.63158403728111</c:v>
                </c:pt>
                <c:pt idx="12">
                  <c:v>1.67638496247601</c:v>
                </c:pt>
                <c:pt idx="13">
                  <c:v>1.75781412445606</c:v>
                </c:pt>
                <c:pt idx="14">
                  <c:v>1.81836914989698</c:v>
                </c:pt>
                <c:pt idx="15">
                  <c:v>1.88001525323392</c:v>
                </c:pt>
                <c:pt idx="16">
                  <c:v>1.94248858990599</c:v>
                </c:pt>
                <c:pt idx="17">
                  <c:v>2.00529622041329</c:v>
                </c:pt>
                <c:pt idx="18">
                  <c:v>2.06840174667374</c:v>
                </c:pt>
                <c:pt idx="19">
                  <c:v>2.13241569847461</c:v>
                </c:pt>
                <c:pt idx="20">
                  <c:v>2.19719105616939</c:v>
                </c:pt>
                <c:pt idx="21">
                  <c:v>2.26197383768392</c:v>
                </c:pt>
                <c:pt idx="22">
                  <c:v>2.32663908694458</c:v>
                </c:pt>
                <c:pt idx="23">
                  <c:v>2.34333394123382</c:v>
                </c:pt>
                <c:pt idx="24">
                  <c:v>2.42904491147056</c:v>
                </c:pt>
                <c:pt idx="25">
                  <c:v>2.50294751149671</c:v>
                </c:pt>
                <c:pt idx="26">
                  <c:v>2.56914006514177</c:v>
                </c:pt>
                <c:pt idx="27">
                  <c:v>2.63558649380639</c:v>
                </c:pt>
                <c:pt idx="28">
                  <c:v>2.7022416864454</c:v>
                </c:pt>
                <c:pt idx="29">
                  <c:v>2.76901737244538</c:v>
                </c:pt>
                <c:pt idx="30">
                  <c:v>2.83584309680365</c:v>
                </c:pt>
                <c:pt idx="31">
                  <c:v>2.90257866161782</c:v>
                </c:pt>
                <c:pt idx="32">
                  <c:v>2.96918073409549</c:v>
                </c:pt>
                <c:pt idx="33">
                  <c:v>3.03561727749078</c:v>
                </c:pt>
                <c:pt idx="34">
                  <c:v>3.10256159235562</c:v>
                </c:pt>
                <c:pt idx="35">
                  <c:v>3.16947345069336</c:v>
                </c:pt>
                <c:pt idx="36">
                  <c:v>3.2363878896364</c:v>
                </c:pt>
                <c:pt idx="37">
                  <c:v>3.30336761875006</c:v>
                </c:pt>
                <c:pt idx="38">
                  <c:v>3.37043684532716</c:v>
                </c:pt>
                <c:pt idx="39">
                  <c:v>3.43760591672645</c:v>
                </c:pt>
                <c:pt idx="40">
                  <c:v>3.5049551003737</c:v>
                </c:pt>
                <c:pt idx="41">
                  <c:v>3.57256080059667</c:v>
                </c:pt>
                <c:pt idx="42">
                  <c:v>3.64051283787317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C13D-40BB-B8D7-BAA5CF42BB74}"/>
            </c:ext>
          </c:extLst>
        </c:ser>
        <c:ser>
          <c:idx val="24"/>
          <c:order val="21"/>
          <c:spPr>
            <a:ln w="28575" cap="rnd" cmpd="sng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DEMANDS!$G$127:$CK$127</c:f>
              <c:numCache>
                <c:formatCode>0.00</c:formatCode>
                <c:ptCount val="83"/>
                <c:pt idx="0">
                  <c:v>1</c:v>
                </c:pt>
                <c:pt idx="1">
                  <c:v>1.0223895855201</c:v>
                </c:pt>
                <c:pt idx="2">
                  <c:v>1.03899097919638</c:v>
                </c:pt>
                <c:pt idx="3">
                  <c:v>1.0509713994059</c:v>
                </c:pt>
                <c:pt idx="4">
                  <c:v>1.06299913593148</c:v>
                </c:pt>
                <c:pt idx="5">
                  <c:v>1.07535071677496</c:v>
                </c:pt>
                <c:pt idx="6">
                  <c:v>1.08776168640573</c:v>
                </c:pt>
                <c:pt idx="7">
                  <c:v>1.09977373524835</c:v>
                </c:pt>
                <c:pt idx="8">
                  <c:v>1.11215888044277</c:v>
                </c:pt>
                <c:pt idx="9">
                  <c:v>1.12465616602305</c:v>
                </c:pt>
                <c:pt idx="10">
                  <c:v>1.13796324125035</c:v>
                </c:pt>
                <c:pt idx="11">
                  <c:v>1.15144600204711</c:v>
                </c:pt>
                <c:pt idx="12">
                  <c:v>1.1649095900879</c:v>
                </c:pt>
                <c:pt idx="13">
                  <c:v>1.17510949318353</c:v>
                </c:pt>
                <c:pt idx="14">
                  <c:v>1.18698689241227</c:v>
                </c:pt>
                <c:pt idx="15">
                  <c:v>1.19886884369635</c:v>
                </c:pt>
                <c:pt idx="16">
                  <c:v>1.21058525063464</c:v>
                </c:pt>
                <c:pt idx="17">
                  <c:v>1.2218415508374</c:v>
                </c:pt>
                <c:pt idx="18">
                  <c:v>1.23264116371428</c:v>
                </c:pt>
                <c:pt idx="19">
                  <c:v>1.2433646843622</c:v>
                </c:pt>
                <c:pt idx="20">
                  <c:v>1.25392830595844</c:v>
                </c:pt>
                <c:pt idx="21">
                  <c:v>1.26391607926284</c:v>
                </c:pt>
                <c:pt idx="22">
                  <c:v>1.27329060086674</c:v>
                </c:pt>
                <c:pt idx="23">
                  <c:v>1.27693731427459</c:v>
                </c:pt>
                <c:pt idx="24">
                  <c:v>1.28058402768243</c:v>
                </c:pt>
                <c:pt idx="25">
                  <c:v>1.28930522274688</c:v>
                </c:pt>
                <c:pt idx="26">
                  <c:v>1.29771312548123</c:v>
                </c:pt>
                <c:pt idx="27">
                  <c:v>1.30579133974959</c:v>
                </c:pt>
                <c:pt idx="28">
                  <c:v>1.31353295528518</c:v>
                </c:pt>
                <c:pt idx="29">
                  <c:v>1.32091114951701</c:v>
                </c:pt>
                <c:pt idx="30">
                  <c:v>1.32790957993694</c:v>
                </c:pt>
                <c:pt idx="31">
                  <c:v>1.33448120590403</c:v>
                </c:pt>
                <c:pt idx="32">
                  <c:v>1.34062628501081</c:v>
                </c:pt>
                <c:pt idx="33">
                  <c:v>1.34635028194477</c:v>
                </c:pt>
                <c:pt idx="34">
                  <c:v>1.35196584964773</c:v>
                </c:pt>
                <c:pt idx="35">
                  <c:v>1.35724456728534</c:v>
                </c:pt>
                <c:pt idx="36">
                  <c:v>1.36221579223348</c:v>
                </c:pt>
                <c:pt idx="37">
                  <c:v>1.36691850937798</c:v>
                </c:pt>
                <c:pt idx="38">
                  <c:v>1.37137357647822</c:v>
                </c:pt>
                <c:pt idx="39">
                  <c:v>1.3755950484485</c:v>
                </c:pt>
                <c:pt idx="40">
                  <c:v>1.37962369338547</c:v>
                </c:pt>
                <c:pt idx="41">
                  <c:v>1.38349624860204</c:v>
                </c:pt>
                <c:pt idx="42">
                  <c:v>1.38725229216122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C13D-40BB-B8D7-BAA5CF42BB74}"/>
            </c:ext>
          </c:extLst>
        </c:ser>
        <c:ser>
          <c:idx val="25"/>
          <c:order val="22"/>
          <c:spPr>
            <a:ln w="28575" cap="rnd" cmpd="sng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DEMANDS!$G$128:$CK$128</c:f>
              <c:numCache>
                <c:formatCode>0.00</c:formatCode>
                <c:ptCount val="83"/>
                <c:pt idx="0">
                  <c:v>1</c:v>
                </c:pt>
                <c:pt idx="1">
                  <c:v>1.02927077903682</c:v>
                </c:pt>
                <c:pt idx="2">
                  <c:v>1.04472047170787</c:v>
                </c:pt>
                <c:pt idx="3">
                  <c:v>1.05093148657584</c:v>
                </c:pt>
                <c:pt idx="4">
                  <c:v>1.05785263154109</c:v>
                </c:pt>
                <c:pt idx="5">
                  <c:v>1.06563166712809</c:v>
                </c:pt>
                <c:pt idx="6">
                  <c:v>1.07390818106385</c:v>
                </c:pt>
                <c:pt idx="7">
                  <c:v>1.08215677050049</c:v>
                </c:pt>
                <c:pt idx="8">
                  <c:v>1.09108023958149</c:v>
                </c:pt>
                <c:pt idx="9">
                  <c:v>1.10037357866699</c:v>
                </c:pt>
                <c:pt idx="10">
                  <c:v>1.11067943936991</c:v>
                </c:pt>
                <c:pt idx="11">
                  <c:v>1.12134449422901</c:v>
                </c:pt>
                <c:pt idx="12">
                  <c:v>1.13215360438965</c:v>
                </c:pt>
                <c:pt idx="13">
                  <c:v>1.13609882644499</c:v>
                </c:pt>
                <c:pt idx="14">
                  <c:v>1.14375329439761</c:v>
                </c:pt>
                <c:pt idx="15">
                  <c:v>1.15131514379739</c:v>
                </c:pt>
                <c:pt idx="16">
                  <c:v>1.15862076629849</c:v>
                </c:pt>
                <c:pt idx="17">
                  <c:v>1.16539005904628</c:v>
                </c:pt>
                <c:pt idx="18">
                  <c:v>1.17163004249228</c:v>
                </c:pt>
                <c:pt idx="19">
                  <c:v>1.17770498967861</c:v>
                </c:pt>
                <c:pt idx="20">
                  <c:v>1.18353581365766</c:v>
                </c:pt>
                <c:pt idx="21">
                  <c:v>1.18873216477467</c:v>
                </c:pt>
                <c:pt idx="22">
                  <c:v>1.19326405586244</c:v>
                </c:pt>
                <c:pt idx="23">
                  <c:v>1.19351050927412</c:v>
                </c:pt>
                <c:pt idx="24">
                  <c:v>1.19372190306028</c:v>
                </c:pt>
                <c:pt idx="25">
                  <c:v>1.19511464425533</c:v>
                </c:pt>
                <c:pt idx="26">
                  <c:v>1.19844596235289</c:v>
                </c:pt>
                <c:pt idx="27">
                  <c:v>1.20139169164031</c:v>
                </c:pt>
                <c:pt idx="28">
                  <c:v>1.20394826281892</c:v>
                </c:pt>
                <c:pt idx="29">
                  <c:v>1.20609405195611</c:v>
                </c:pt>
                <c:pt idx="30">
                  <c:v>1.20781737589483</c:v>
                </c:pt>
                <c:pt idx="31">
                  <c:v>1.20907900405543</c:v>
                </c:pt>
                <c:pt idx="32">
                  <c:v>1.20988309734143</c:v>
                </c:pt>
                <c:pt idx="33">
                  <c:v>1.21023853709463</c:v>
                </c:pt>
                <c:pt idx="34">
                  <c:v>1.21042919900898</c:v>
                </c:pt>
                <c:pt idx="35">
                  <c:v>1.21025201040332</c:v>
                </c:pt>
                <c:pt idx="36">
                  <c:v>1.20973614843791</c:v>
                </c:pt>
                <c:pt idx="37">
                  <c:v>1.20891891070404</c:v>
                </c:pt>
                <c:pt idx="38">
                  <c:v>1.20782108828739</c:v>
                </c:pt>
                <c:pt idx="39">
                  <c:v>1.2064572248843</c:v>
                </c:pt>
                <c:pt idx="40">
                  <c:v>1.20486500971725</c:v>
                </c:pt>
                <c:pt idx="41">
                  <c:v>1.20307804118539</c:v>
                </c:pt>
                <c:pt idx="42">
                  <c:v>1.2011318438988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C13D-40BB-B8D7-BAA5CF42BB74}"/>
            </c:ext>
          </c:extLst>
        </c:ser>
        <c:ser>
          <c:idx val="26"/>
          <c:order val="23"/>
          <c:spPr>
            <a:ln w="28575" cap="rnd" cmpd="sng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DEMANDS!$G$129:$CK$129</c:f>
              <c:numCache>
                <c:formatCode>0.00</c:formatCode>
                <c:ptCount val="83"/>
                <c:pt idx="0">
                  <c:v>1</c:v>
                </c:pt>
                <c:pt idx="1">
                  <c:v>1.01327980234713</c:v>
                </c:pt>
                <c:pt idx="2">
                  <c:v>1.0247889643813</c:v>
                </c:pt>
                <c:pt idx="3">
                  <c:v>1.05848751128883</c:v>
                </c:pt>
                <c:pt idx="4">
                  <c:v>1.09329418104227</c:v>
                </c:pt>
                <c:pt idx="5">
                  <c:v>1.12924541249002</c:v>
                </c:pt>
                <c:pt idx="6">
                  <c:v>1.16637884271374</c:v>
                </c:pt>
                <c:pt idx="7">
                  <c:v>1.20473334643038</c:v>
                </c:pt>
                <c:pt idx="8">
                  <c:v>1.24434907668978</c:v>
                </c:pt>
                <c:pt idx="9">
                  <c:v>1.27025554938768</c:v>
                </c:pt>
                <c:pt idx="10">
                  <c:v>1.29670137662863</c:v>
                </c:pt>
                <c:pt idx="11">
                  <c:v>1.32369778739492</c:v>
                </c:pt>
                <c:pt idx="12">
                  <c:v>1.35125624444834</c:v>
                </c:pt>
                <c:pt idx="13">
                  <c:v>1.37938844919735</c:v>
                </c:pt>
                <c:pt idx="14">
                  <c:v>1.39636642598302</c:v>
                </c:pt>
                <c:pt idx="15">
                  <c:v>1.413553373415</c:v>
                </c:pt>
                <c:pt idx="16">
                  <c:v>1.43095186357425</c:v>
                </c:pt>
                <c:pt idx="17">
                  <c:v>1.44856450019979</c:v>
                </c:pt>
                <c:pt idx="18">
                  <c:v>1.46639391907832</c:v>
                </c:pt>
                <c:pt idx="19">
                  <c:v>1.48007024476837</c:v>
                </c:pt>
                <c:pt idx="20">
                  <c:v>1.49387412273612</c:v>
                </c:pt>
                <c:pt idx="21">
                  <c:v>1.50780674259813</c:v>
                </c:pt>
                <c:pt idx="22">
                  <c:v>1.52186930506592</c:v>
                </c:pt>
                <c:pt idx="23">
                  <c:v>1.53606302204946</c:v>
                </c:pt>
                <c:pt idx="24">
                  <c:v>1.54723815392437</c:v>
                </c:pt>
                <c:pt idx="25">
                  <c:v>1.55849458687262</c:v>
                </c:pt>
                <c:pt idx="26">
                  <c:v>1.569832912374</c:v>
                </c:pt>
                <c:pt idx="27">
                  <c:v>1.58125372621141</c:v>
                </c:pt>
                <c:pt idx="28">
                  <c:v>1.59275762850216</c:v>
                </c:pt>
                <c:pt idx="29">
                  <c:v>1.60438009095869</c:v>
                </c:pt>
                <c:pt idx="30">
                  <c:v>1.61608736332675</c:v>
                </c:pt>
                <c:pt idx="31">
                  <c:v>1.62788006447011</c:v>
                </c:pt>
                <c:pt idx="32">
                  <c:v>1.63975881776846</c:v>
                </c:pt>
                <c:pt idx="33">
                  <c:v>1.65172425115032</c:v>
                </c:pt>
                <c:pt idx="34">
                  <c:v>1.66658976941067</c:v>
                </c:pt>
                <c:pt idx="35">
                  <c:v>1.68158907733536</c:v>
                </c:pt>
                <c:pt idx="36">
                  <c:v>1.69672337903138</c:v>
                </c:pt>
                <c:pt idx="37">
                  <c:v>1.71199388944266</c:v>
                </c:pt>
                <c:pt idx="38">
                  <c:v>1.72740183444765</c:v>
                </c:pt>
                <c:pt idx="39">
                  <c:v>1.74294845095768</c:v>
                </c:pt>
                <c:pt idx="40">
                  <c:v>1.7586349870163</c:v>
                </c:pt>
                <c:pt idx="41">
                  <c:v>1.77446270189944</c:v>
                </c:pt>
                <c:pt idx="42">
                  <c:v>1.79043286621654</c:v>
                </c:pt>
                <c:pt idx="43">
                  <c:v>1.80654676201249</c:v>
                </c:pt>
                <c:pt idx="44">
                  <c:v>1.8228056828706</c:v>
                </c:pt>
                <c:pt idx="45">
                  <c:v>1.83921093401643</c:v>
                </c:pt>
                <c:pt idx="46">
                  <c:v>1.85576383242258</c:v>
                </c:pt>
                <c:pt idx="47">
                  <c:v>1.87246570691438</c:v>
                </c:pt>
                <c:pt idx="48">
                  <c:v>1.88931789827661</c:v>
                </c:pt>
                <c:pt idx="49">
                  <c:v>1.9063217593611</c:v>
                </c:pt>
                <c:pt idx="50">
                  <c:v>1.92347865519535</c:v>
                </c:pt>
                <c:pt idx="51">
                  <c:v>1.94078996309211</c:v>
                </c:pt>
                <c:pt idx="52">
                  <c:v>1.95825707275994</c:v>
                </c:pt>
                <c:pt idx="53">
                  <c:v>1.97588138641478</c:v>
                </c:pt>
                <c:pt idx="54">
                  <c:v>1.99366431889251</c:v>
                </c:pt>
                <c:pt idx="55">
                  <c:v>2.01160729776254</c:v>
                </c:pt>
                <c:pt idx="56">
                  <c:v>2.02971176344241</c:v>
                </c:pt>
                <c:pt idx="57">
                  <c:v>2.04797916931339</c:v>
                </c:pt>
                <c:pt idx="58">
                  <c:v>2.06641098183721</c:v>
                </c:pt>
                <c:pt idx="59">
                  <c:v>2.08500868067374</c:v>
                </c:pt>
                <c:pt idx="60">
                  <c:v>2.10377375879981</c:v>
                </c:pt>
                <c:pt idx="61">
                  <c:v>2.122707722629</c:v>
                </c:pt>
                <c:pt idx="62">
                  <c:v>2.14181209213266</c:v>
                </c:pt>
                <c:pt idx="63">
                  <c:v>2.16108840096186</c:v>
                </c:pt>
                <c:pt idx="64">
                  <c:v>2.18053819657051</c:v>
                </c:pt>
                <c:pt idx="65">
                  <c:v>2.20016304033965</c:v>
                </c:pt>
                <c:pt idx="66">
                  <c:v>2.21996450770271</c:v>
                </c:pt>
                <c:pt idx="67">
                  <c:v>2.23994418827203</c:v>
                </c:pt>
                <c:pt idx="68">
                  <c:v>2.26010368596648</c:v>
                </c:pt>
                <c:pt idx="69">
                  <c:v>2.28044461914018</c:v>
                </c:pt>
                <c:pt idx="70">
                  <c:v>2.30096862071244</c:v>
                </c:pt>
                <c:pt idx="71">
                  <c:v>2.32167733829885</c:v>
                </c:pt>
                <c:pt idx="72">
                  <c:v>2.34257243434354</c:v>
                </c:pt>
                <c:pt idx="73">
                  <c:v>2.36365558625263</c:v>
                </c:pt>
                <c:pt idx="74">
                  <c:v>2.3849284865289</c:v>
                </c:pt>
                <c:pt idx="75">
                  <c:v>2.40639284290766</c:v>
                </c:pt>
                <c:pt idx="76">
                  <c:v>2.42805037849383</c:v>
                </c:pt>
                <c:pt idx="77">
                  <c:v>2.44990283190028</c:v>
                </c:pt>
                <c:pt idx="78">
                  <c:v>2.47195195738738</c:v>
                </c:pt>
                <c:pt idx="79">
                  <c:v>2.49419952500386</c:v>
                </c:pt>
                <c:pt idx="80">
                  <c:v>2.5166473207289</c:v>
                </c:pt>
                <c:pt idx="81">
                  <c:v>2.53929714661546</c:v>
                </c:pt>
                <c:pt idx="82">
                  <c:v>2.562150820935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C13D-40BB-B8D7-BAA5CF42BB74}"/>
            </c:ext>
          </c:extLst>
        </c:ser>
        <c:ser>
          <c:idx val="27"/>
          <c:order val="24"/>
          <c:spPr>
            <a:ln w="28575" cap="rnd" cmpd="sng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DEMANDS!$G$130:$CK$130</c:f>
              <c:numCache>
                <c:formatCode>0.00</c:formatCode>
                <c:ptCount val="83"/>
                <c:pt idx="0">
                  <c:v>1</c:v>
                </c:pt>
                <c:pt idx="1">
                  <c:v>1.01327980234713</c:v>
                </c:pt>
                <c:pt idx="2">
                  <c:v>1.02478896438131</c:v>
                </c:pt>
                <c:pt idx="3">
                  <c:v>1.05848751128883</c:v>
                </c:pt>
                <c:pt idx="4">
                  <c:v>1.09329418104227</c:v>
                </c:pt>
                <c:pt idx="5">
                  <c:v>1.12924541249002</c:v>
                </c:pt>
                <c:pt idx="6">
                  <c:v>1.16637884271375</c:v>
                </c:pt>
                <c:pt idx="7">
                  <c:v>1.20473334643038</c:v>
                </c:pt>
                <c:pt idx="8">
                  <c:v>1.24434907668978</c:v>
                </c:pt>
                <c:pt idx="9">
                  <c:v>1.27025554938768</c:v>
                </c:pt>
                <c:pt idx="10">
                  <c:v>1.29670137662863</c:v>
                </c:pt>
                <c:pt idx="11">
                  <c:v>1.32369778739492</c:v>
                </c:pt>
                <c:pt idx="12">
                  <c:v>1.35125624444834</c:v>
                </c:pt>
                <c:pt idx="13">
                  <c:v>1.37938844919735</c:v>
                </c:pt>
                <c:pt idx="14">
                  <c:v>1.39636642598302</c:v>
                </c:pt>
                <c:pt idx="15">
                  <c:v>1.413553373415</c:v>
                </c:pt>
                <c:pt idx="16">
                  <c:v>1.43095186357425</c:v>
                </c:pt>
                <c:pt idx="17">
                  <c:v>1.44856450019979</c:v>
                </c:pt>
                <c:pt idx="18">
                  <c:v>1.46639391907832</c:v>
                </c:pt>
                <c:pt idx="19">
                  <c:v>1.48007024476837</c:v>
                </c:pt>
                <c:pt idx="20">
                  <c:v>1.49387412273612</c:v>
                </c:pt>
                <c:pt idx="21">
                  <c:v>1.50780674259813</c:v>
                </c:pt>
                <c:pt idx="22">
                  <c:v>1.52186930506593</c:v>
                </c:pt>
                <c:pt idx="23">
                  <c:v>1.53606302204946</c:v>
                </c:pt>
                <c:pt idx="24">
                  <c:v>1.54723815392437</c:v>
                </c:pt>
                <c:pt idx="25">
                  <c:v>1.55849458687262</c:v>
                </c:pt>
                <c:pt idx="26">
                  <c:v>1.569832912374</c:v>
                </c:pt>
                <c:pt idx="27">
                  <c:v>1.58125372621141</c:v>
                </c:pt>
                <c:pt idx="28">
                  <c:v>1.59275762850216</c:v>
                </c:pt>
                <c:pt idx="29">
                  <c:v>1.60438009095869</c:v>
                </c:pt>
                <c:pt idx="30">
                  <c:v>1.61608736332675</c:v>
                </c:pt>
                <c:pt idx="31">
                  <c:v>1.62788006447012</c:v>
                </c:pt>
                <c:pt idx="32">
                  <c:v>1.63975881776846</c:v>
                </c:pt>
                <c:pt idx="33">
                  <c:v>1.65172425115032</c:v>
                </c:pt>
                <c:pt idx="34">
                  <c:v>1.66658976941067</c:v>
                </c:pt>
                <c:pt idx="35">
                  <c:v>1.68158907733537</c:v>
                </c:pt>
                <c:pt idx="36">
                  <c:v>1.69672337903138</c:v>
                </c:pt>
                <c:pt idx="37">
                  <c:v>1.71199388944267</c:v>
                </c:pt>
                <c:pt idx="38">
                  <c:v>1.72740183444765</c:v>
                </c:pt>
                <c:pt idx="39">
                  <c:v>1.74294845095768</c:v>
                </c:pt>
                <c:pt idx="40">
                  <c:v>1.7586349870163</c:v>
                </c:pt>
                <c:pt idx="41">
                  <c:v>1.77446270189944</c:v>
                </c:pt>
                <c:pt idx="42">
                  <c:v>1.79043286621654</c:v>
                </c:pt>
                <c:pt idx="43">
                  <c:v>1.80654676201249</c:v>
                </c:pt>
                <c:pt idx="44">
                  <c:v>1.8228056828706</c:v>
                </c:pt>
                <c:pt idx="45">
                  <c:v>1.83921093401644</c:v>
                </c:pt>
                <c:pt idx="46">
                  <c:v>1.85576383242258</c:v>
                </c:pt>
                <c:pt idx="47">
                  <c:v>1.87246570691439</c:v>
                </c:pt>
                <c:pt idx="48">
                  <c:v>1.88931789827662</c:v>
                </c:pt>
                <c:pt idx="49">
                  <c:v>1.9063217593611</c:v>
                </c:pt>
                <c:pt idx="50">
                  <c:v>1.92347865519535</c:v>
                </c:pt>
                <c:pt idx="51">
                  <c:v>1.94078996309211</c:v>
                </c:pt>
                <c:pt idx="52">
                  <c:v>1.95825707275994</c:v>
                </c:pt>
                <c:pt idx="53">
                  <c:v>1.97588138641478</c:v>
                </c:pt>
                <c:pt idx="54">
                  <c:v>1.99366431889251</c:v>
                </c:pt>
                <c:pt idx="55">
                  <c:v>2.01160729776255</c:v>
                </c:pt>
                <c:pt idx="56">
                  <c:v>2.02971176344241</c:v>
                </c:pt>
                <c:pt idx="57">
                  <c:v>2.04797916931339</c:v>
                </c:pt>
                <c:pt idx="58">
                  <c:v>2.06641098183721</c:v>
                </c:pt>
                <c:pt idx="59">
                  <c:v>2.08500868067374</c:v>
                </c:pt>
                <c:pt idx="60">
                  <c:v>2.10377375879981</c:v>
                </c:pt>
                <c:pt idx="61">
                  <c:v>2.12270772262901</c:v>
                </c:pt>
                <c:pt idx="62">
                  <c:v>2.14181209213267</c:v>
                </c:pt>
                <c:pt idx="63">
                  <c:v>2.16108840096186</c:v>
                </c:pt>
                <c:pt idx="64">
                  <c:v>2.18053819657052</c:v>
                </c:pt>
                <c:pt idx="65">
                  <c:v>2.20016304033965</c:v>
                </c:pt>
                <c:pt idx="66">
                  <c:v>2.21996450770271</c:v>
                </c:pt>
                <c:pt idx="67">
                  <c:v>2.23994418827203</c:v>
                </c:pt>
                <c:pt idx="68">
                  <c:v>2.26010368596648</c:v>
                </c:pt>
                <c:pt idx="69">
                  <c:v>2.28044461914018</c:v>
                </c:pt>
                <c:pt idx="70">
                  <c:v>2.30096862071244</c:v>
                </c:pt>
                <c:pt idx="71">
                  <c:v>2.32167733829885</c:v>
                </c:pt>
                <c:pt idx="72">
                  <c:v>2.34257243434354</c:v>
                </c:pt>
                <c:pt idx="73">
                  <c:v>2.36365558625263</c:v>
                </c:pt>
                <c:pt idx="74">
                  <c:v>2.38492848652891</c:v>
                </c:pt>
                <c:pt idx="75">
                  <c:v>2.40639284290767</c:v>
                </c:pt>
                <c:pt idx="76">
                  <c:v>2.42805037849383</c:v>
                </c:pt>
                <c:pt idx="77">
                  <c:v>2.44990283190028</c:v>
                </c:pt>
                <c:pt idx="78">
                  <c:v>2.47195195738738</c:v>
                </c:pt>
                <c:pt idx="79">
                  <c:v>2.49419952500387</c:v>
                </c:pt>
                <c:pt idx="80">
                  <c:v>2.5166473207289</c:v>
                </c:pt>
                <c:pt idx="81">
                  <c:v>2.53929714661546</c:v>
                </c:pt>
                <c:pt idx="82">
                  <c:v>2.562150820935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C13D-40BB-B8D7-BAA5CF42BB74}"/>
            </c:ext>
          </c:extLst>
        </c:ser>
        <c:ser>
          <c:idx val="29"/>
          <c:order val="25"/>
          <c:spPr>
            <a:ln w="28575" cap="rnd" cmpd="sng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DEMANDS!$G$132:$CK$132</c:f>
              <c:numCache>
                <c:formatCode>0.00</c:formatCode>
                <c:ptCount val="83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1.04166666666667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1.125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1.19791666666667</c:v>
                </c:pt>
                <c:pt idx="33">
                  <c:v>1.19791666666667</c:v>
                </c:pt>
                <c:pt idx="34">
                  <c:v>1.19791666666667</c:v>
                </c:pt>
                <c:pt idx="35">
                  <c:v>1.19791666666667</c:v>
                </c:pt>
                <c:pt idx="36">
                  <c:v>1.19791666666667</c:v>
                </c:pt>
                <c:pt idx="37">
                  <c:v>1.19791666666667</c:v>
                </c:pt>
                <c:pt idx="38">
                  <c:v>1.19791666666667</c:v>
                </c:pt>
                <c:pt idx="39">
                  <c:v>1.19791666666667</c:v>
                </c:pt>
                <c:pt idx="40">
                  <c:v>1.19791666666667</c:v>
                </c:pt>
                <c:pt idx="41">
                  <c:v>1.19791666666667</c:v>
                </c:pt>
                <c:pt idx="42">
                  <c:v>1.19791666666667</c:v>
                </c:pt>
                <c:pt idx="43">
                  <c:v>1.19791666666667</c:v>
                </c:pt>
                <c:pt idx="44">
                  <c:v>1.19791666666667</c:v>
                </c:pt>
                <c:pt idx="45">
                  <c:v>1.19791666666667</c:v>
                </c:pt>
                <c:pt idx="46">
                  <c:v>1.19791666666667</c:v>
                </c:pt>
                <c:pt idx="47">
                  <c:v>1.19791666666667</c:v>
                </c:pt>
                <c:pt idx="48">
                  <c:v>1.19791666666667</c:v>
                </c:pt>
                <c:pt idx="49">
                  <c:v>1.19791666666667</c:v>
                </c:pt>
                <c:pt idx="50">
                  <c:v>1.19791666666667</c:v>
                </c:pt>
                <c:pt idx="51">
                  <c:v>1.19791666666667</c:v>
                </c:pt>
                <c:pt idx="52">
                  <c:v>1.19791666666667</c:v>
                </c:pt>
                <c:pt idx="53">
                  <c:v>1.19791666666667</c:v>
                </c:pt>
                <c:pt idx="54">
                  <c:v>1.19791666666667</c:v>
                </c:pt>
                <c:pt idx="55">
                  <c:v>1.19791666666667</c:v>
                </c:pt>
                <c:pt idx="56">
                  <c:v>1.19791666666667</c:v>
                </c:pt>
                <c:pt idx="57">
                  <c:v>1.19791666666667</c:v>
                </c:pt>
                <c:pt idx="58">
                  <c:v>1.19791666666667</c:v>
                </c:pt>
                <c:pt idx="59">
                  <c:v>1.19791666666667</c:v>
                </c:pt>
                <c:pt idx="60">
                  <c:v>1.19791666666667</c:v>
                </c:pt>
                <c:pt idx="61">
                  <c:v>1.19791666666667</c:v>
                </c:pt>
                <c:pt idx="62">
                  <c:v>1.19791666666667</c:v>
                </c:pt>
                <c:pt idx="63">
                  <c:v>1.19791666666667</c:v>
                </c:pt>
                <c:pt idx="64">
                  <c:v>1.19791666666667</c:v>
                </c:pt>
                <c:pt idx="65">
                  <c:v>1.19791666666667</c:v>
                </c:pt>
                <c:pt idx="66">
                  <c:v>1.19791666666667</c:v>
                </c:pt>
                <c:pt idx="67">
                  <c:v>1.19791666666667</c:v>
                </c:pt>
                <c:pt idx="68">
                  <c:v>1.19791666666667</c:v>
                </c:pt>
                <c:pt idx="69">
                  <c:v>1.19791666666667</c:v>
                </c:pt>
                <c:pt idx="70">
                  <c:v>1.19791666666667</c:v>
                </c:pt>
                <c:pt idx="71">
                  <c:v>1.19791666666667</c:v>
                </c:pt>
                <c:pt idx="72">
                  <c:v>1.19791666666667</c:v>
                </c:pt>
                <c:pt idx="73">
                  <c:v>1.19791666666667</c:v>
                </c:pt>
                <c:pt idx="74">
                  <c:v>1.19791666666667</c:v>
                </c:pt>
                <c:pt idx="75">
                  <c:v>1.19791666666667</c:v>
                </c:pt>
                <c:pt idx="76">
                  <c:v>1.19791666666667</c:v>
                </c:pt>
                <c:pt idx="77">
                  <c:v>1.19791666666667</c:v>
                </c:pt>
                <c:pt idx="78">
                  <c:v>1.19791666666667</c:v>
                </c:pt>
                <c:pt idx="79">
                  <c:v>1.19791666666667</c:v>
                </c:pt>
                <c:pt idx="80">
                  <c:v>1.19791666666667</c:v>
                </c:pt>
                <c:pt idx="81">
                  <c:v>1.19791666666667</c:v>
                </c:pt>
                <c:pt idx="82">
                  <c:v>1.19791666666667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C13D-40BB-B8D7-BAA5CF42BB74}"/>
            </c:ext>
          </c:extLst>
        </c:ser>
        <c:ser>
          <c:idx val="30"/>
          <c:order val="26"/>
          <c:spPr>
            <a:ln w="28575" cap="rnd" cmpd="sng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DEMANDS!$G$133:$CK$133</c:f>
              <c:numCache>
                <c:formatCode>0.00</c:formatCode>
                <c:ptCount val="83"/>
                <c:pt idx="0">
                  <c:v>1</c:v>
                </c:pt>
                <c:pt idx="1">
                  <c:v>1.03151295917697</c:v>
                </c:pt>
                <c:pt idx="2">
                  <c:v>1.04945000488924</c:v>
                </c:pt>
                <c:pt idx="3">
                  <c:v>1.06703581275014</c:v>
                </c:pt>
                <c:pt idx="4">
                  <c:v>1.08404667392637</c:v>
                </c:pt>
                <c:pt idx="5">
                  <c:v>1.10088436533339</c:v>
                </c:pt>
                <c:pt idx="6">
                  <c:v>1.11737058949756</c:v>
                </c:pt>
                <c:pt idx="7">
                  <c:v>1.13310310513364</c:v>
                </c:pt>
                <c:pt idx="8">
                  <c:v>1.14893076441254</c:v>
                </c:pt>
                <c:pt idx="9">
                  <c:v>1.16463003026521</c:v>
                </c:pt>
                <c:pt idx="10">
                  <c:v>1.18096089035101</c:v>
                </c:pt>
                <c:pt idx="11">
                  <c:v>1.19729762960965</c:v>
                </c:pt>
                <c:pt idx="12">
                  <c:v>1.21346148484053</c:v>
                </c:pt>
                <c:pt idx="13">
                  <c:v>1.22970535224878</c:v>
                </c:pt>
                <c:pt idx="14">
                  <c:v>1.24573497477539</c:v>
                </c:pt>
                <c:pt idx="15">
                  <c:v>1.26186059674505</c:v>
                </c:pt>
                <c:pt idx="16">
                  <c:v>1.27790342790529</c:v>
                </c:pt>
                <c:pt idx="17">
                  <c:v>1.29355081865726</c:v>
                </c:pt>
                <c:pt idx="18">
                  <c:v>1.3088028541543</c:v>
                </c:pt>
                <c:pt idx="19">
                  <c:v>1.32406127948121</c:v>
                </c:pt>
                <c:pt idx="20">
                  <c:v>1.33923657194214</c:v>
                </c:pt>
                <c:pt idx="21">
                  <c:v>1.35388236897808</c:v>
                </c:pt>
                <c:pt idx="22">
                  <c:v>1.36795372294771</c:v>
                </c:pt>
                <c:pt idx="23">
                  <c:v>1.37175215821005</c:v>
                </c:pt>
                <c:pt idx="24">
                  <c:v>1.38396024916782</c:v>
                </c:pt>
                <c:pt idx="25">
                  <c:v>1.39753211296127</c:v>
                </c:pt>
                <c:pt idx="26">
                  <c:v>1.41084212258503</c:v>
                </c:pt>
                <c:pt idx="27">
                  <c:v>1.42386998668819</c:v>
                </c:pt>
                <c:pt idx="28">
                  <c:v>1.43660554787539</c:v>
                </c:pt>
                <c:pt idx="29">
                  <c:v>1.44901668601929</c:v>
                </c:pt>
                <c:pt idx="30">
                  <c:v>1.46108242792868</c:v>
                </c:pt>
                <c:pt idx="31">
                  <c:v>1.47274767149853</c:v>
                </c:pt>
                <c:pt idx="32">
                  <c:v>1.48400900762343</c:v>
                </c:pt>
                <c:pt idx="33">
                  <c:v>1.49486877130387</c:v>
                </c:pt>
                <c:pt idx="34">
                  <c:v>1.50567144261781</c:v>
                </c:pt>
                <c:pt idx="35">
                  <c:v>1.51616128211652</c:v>
                </c:pt>
                <c:pt idx="36">
                  <c:v>1.52636826410605</c:v>
                </c:pt>
                <c:pt idx="37">
                  <c:v>1.53633355438045</c:v>
                </c:pt>
                <c:pt idx="38">
                  <c:v>1.54607839130695</c:v>
                </c:pt>
                <c:pt idx="39">
                  <c:v>1.55561658437685</c:v>
                </c:pt>
                <c:pt idx="40">
                  <c:v>1.56499241839806</c:v>
                </c:pt>
                <c:pt idx="41">
                  <c:v>1.57424614241901</c:v>
                </c:pt>
                <c:pt idx="42">
                  <c:v>1.5834217495573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C13D-40BB-B8D7-BAA5CF42BB74}"/>
            </c:ext>
          </c:extLst>
        </c:ser>
        <c:ser>
          <c:idx val="31"/>
          <c:order val="27"/>
          <c:spPr>
            <a:ln w="28575" cap="rnd" cmpd="sng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DEMANDS!$G$134:$CK$134</c:f>
              <c:numCache>
                <c:formatCode>0.00</c:formatCode>
                <c:ptCount val="83"/>
                <c:pt idx="0">
                  <c:v>1</c:v>
                </c:pt>
                <c:pt idx="1">
                  <c:v>1.03151295917697</c:v>
                </c:pt>
                <c:pt idx="2">
                  <c:v>1.04945000488924</c:v>
                </c:pt>
                <c:pt idx="3">
                  <c:v>1.06703581275014</c:v>
                </c:pt>
                <c:pt idx="4">
                  <c:v>1.08404667392637</c:v>
                </c:pt>
                <c:pt idx="5">
                  <c:v>1.10088436533339</c:v>
                </c:pt>
                <c:pt idx="6">
                  <c:v>1.11737058949756</c:v>
                </c:pt>
                <c:pt idx="7">
                  <c:v>1.13310310513364</c:v>
                </c:pt>
                <c:pt idx="8">
                  <c:v>1.14893076441254</c:v>
                </c:pt>
                <c:pt idx="9">
                  <c:v>1.16463003026521</c:v>
                </c:pt>
                <c:pt idx="10">
                  <c:v>1.18096089035101</c:v>
                </c:pt>
                <c:pt idx="11">
                  <c:v>1.19729762960965</c:v>
                </c:pt>
                <c:pt idx="12">
                  <c:v>1.21346148484053</c:v>
                </c:pt>
                <c:pt idx="13">
                  <c:v>1.22970535224878</c:v>
                </c:pt>
                <c:pt idx="14">
                  <c:v>1.24573497477539</c:v>
                </c:pt>
                <c:pt idx="15">
                  <c:v>1.26186059674505</c:v>
                </c:pt>
                <c:pt idx="16">
                  <c:v>1.27790342790529</c:v>
                </c:pt>
                <c:pt idx="17">
                  <c:v>1.29355081865726</c:v>
                </c:pt>
                <c:pt idx="18">
                  <c:v>1.3088028541543</c:v>
                </c:pt>
                <c:pt idx="19">
                  <c:v>1.32406127948121</c:v>
                </c:pt>
                <c:pt idx="20">
                  <c:v>1.33923657194214</c:v>
                </c:pt>
                <c:pt idx="21">
                  <c:v>1.35388236897808</c:v>
                </c:pt>
                <c:pt idx="22">
                  <c:v>1.36795372294771</c:v>
                </c:pt>
                <c:pt idx="23">
                  <c:v>1.37175215821005</c:v>
                </c:pt>
                <c:pt idx="24">
                  <c:v>1.38396024916782</c:v>
                </c:pt>
                <c:pt idx="25">
                  <c:v>1.39753211296127</c:v>
                </c:pt>
                <c:pt idx="26">
                  <c:v>1.41084212258503</c:v>
                </c:pt>
                <c:pt idx="27">
                  <c:v>1.42386998668819</c:v>
                </c:pt>
                <c:pt idx="28">
                  <c:v>1.43660554787539</c:v>
                </c:pt>
                <c:pt idx="29">
                  <c:v>1.44901668601929</c:v>
                </c:pt>
                <c:pt idx="30">
                  <c:v>1.46108242792868</c:v>
                </c:pt>
                <c:pt idx="31">
                  <c:v>1.47274767149853</c:v>
                </c:pt>
                <c:pt idx="32">
                  <c:v>1.48400900762343</c:v>
                </c:pt>
                <c:pt idx="33">
                  <c:v>1.49486877130387</c:v>
                </c:pt>
                <c:pt idx="34">
                  <c:v>1.50567144261781</c:v>
                </c:pt>
                <c:pt idx="35">
                  <c:v>1.51616128211652</c:v>
                </c:pt>
                <c:pt idx="36">
                  <c:v>1.52636826410605</c:v>
                </c:pt>
                <c:pt idx="37">
                  <c:v>1.53633355438045</c:v>
                </c:pt>
                <c:pt idx="38">
                  <c:v>1.54607839130695</c:v>
                </c:pt>
                <c:pt idx="39">
                  <c:v>1.55561658437685</c:v>
                </c:pt>
                <c:pt idx="40">
                  <c:v>1.56499241839806</c:v>
                </c:pt>
                <c:pt idx="41">
                  <c:v>1.57424614241901</c:v>
                </c:pt>
                <c:pt idx="42">
                  <c:v>1.5834217495573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C13D-40BB-B8D7-BAA5CF42BB74}"/>
            </c:ext>
          </c:extLst>
        </c:ser>
        <c:ser>
          <c:idx val="32"/>
          <c:order val="28"/>
          <c:spPr>
            <a:ln w="28575" cap="rnd" cmpd="sng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DEMANDS!$G$135:$CK$135</c:f>
              <c:numCache>
                <c:formatCode>0.00</c:formatCode>
                <c:ptCount val="83"/>
                <c:pt idx="0">
                  <c:v>1</c:v>
                </c:pt>
                <c:pt idx="1">
                  <c:v>1.03151295917697</c:v>
                </c:pt>
                <c:pt idx="2">
                  <c:v>1.04945000488924</c:v>
                </c:pt>
                <c:pt idx="3">
                  <c:v>1.06703581275014</c:v>
                </c:pt>
                <c:pt idx="4">
                  <c:v>1.08404667392637</c:v>
                </c:pt>
                <c:pt idx="5">
                  <c:v>1.10088436533339</c:v>
                </c:pt>
                <c:pt idx="6">
                  <c:v>1.11737058949756</c:v>
                </c:pt>
                <c:pt idx="7">
                  <c:v>1.13310310513364</c:v>
                </c:pt>
                <c:pt idx="8">
                  <c:v>1.14893076441254</c:v>
                </c:pt>
                <c:pt idx="9">
                  <c:v>1.16463003026521</c:v>
                </c:pt>
                <c:pt idx="10">
                  <c:v>1.18096089035101</c:v>
                </c:pt>
                <c:pt idx="11">
                  <c:v>1.19729762960965</c:v>
                </c:pt>
                <c:pt idx="12">
                  <c:v>1.21346148484053</c:v>
                </c:pt>
                <c:pt idx="13">
                  <c:v>1.22970535224878</c:v>
                </c:pt>
                <c:pt idx="14">
                  <c:v>1.24573497477539</c:v>
                </c:pt>
                <c:pt idx="15">
                  <c:v>1.26186059674505</c:v>
                </c:pt>
                <c:pt idx="16">
                  <c:v>1.27790342790529</c:v>
                </c:pt>
                <c:pt idx="17">
                  <c:v>1.29355081865726</c:v>
                </c:pt>
                <c:pt idx="18">
                  <c:v>1.3088028541543</c:v>
                </c:pt>
                <c:pt idx="19">
                  <c:v>1.32406127948121</c:v>
                </c:pt>
                <c:pt idx="20">
                  <c:v>1.33923657194214</c:v>
                </c:pt>
                <c:pt idx="21">
                  <c:v>1.35388236897808</c:v>
                </c:pt>
                <c:pt idx="22">
                  <c:v>1.36795372294771</c:v>
                </c:pt>
                <c:pt idx="23">
                  <c:v>1.37175215821005</c:v>
                </c:pt>
                <c:pt idx="24">
                  <c:v>1.38396024916782</c:v>
                </c:pt>
                <c:pt idx="25">
                  <c:v>1.39753211296127</c:v>
                </c:pt>
                <c:pt idx="26">
                  <c:v>1.41084212258503</c:v>
                </c:pt>
                <c:pt idx="27">
                  <c:v>1.42386998668819</c:v>
                </c:pt>
                <c:pt idx="28">
                  <c:v>1.43660554787539</c:v>
                </c:pt>
                <c:pt idx="29">
                  <c:v>1.44901668601929</c:v>
                </c:pt>
                <c:pt idx="30">
                  <c:v>1.46108242792868</c:v>
                </c:pt>
                <c:pt idx="31">
                  <c:v>1.47274767149853</c:v>
                </c:pt>
                <c:pt idx="32">
                  <c:v>1.48400900762343</c:v>
                </c:pt>
                <c:pt idx="33">
                  <c:v>1.49486877130387</c:v>
                </c:pt>
                <c:pt idx="34">
                  <c:v>1.50567144261781</c:v>
                </c:pt>
                <c:pt idx="35">
                  <c:v>1.51616128211652</c:v>
                </c:pt>
                <c:pt idx="36">
                  <c:v>1.52636826410605</c:v>
                </c:pt>
                <c:pt idx="37">
                  <c:v>1.53633355438045</c:v>
                </c:pt>
                <c:pt idx="38">
                  <c:v>1.54607839130695</c:v>
                </c:pt>
                <c:pt idx="39">
                  <c:v>1.55561658437685</c:v>
                </c:pt>
                <c:pt idx="40">
                  <c:v>1.56499241839806</c:v>
                </c:pt>
                <c:pt idx="41">
                  <c:v>1.57424614241901</c:v>
                </c:pt>
                <c:pt idx="42">
                  <c:v>1.5834217495573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C13D-40BB-B8D7-BAA5CF42BB74}"/>
            </c:ext>
          </c:extLst>
        </c:ser>
        <c:ser>
          <c:idx val="33"/>
          <c:order val="29"/>
          <c:spPr>
            <a:ln w="28575" cap="rnd" cmpd="sng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DEMANDS!$G$136:$CK$136</c:f>
              <c:numCache>
                <c:formatCode>0.00</c:formatCode>
                <c:ptCount val="83"/>
                <c:pt idx="0">
                  <c:v>1</c:v>
                </c:pt>
                <c:pt idx="1">
                  <c:v>1.03151295917697</c:v>
                </c:pt>
                <c:pt idx="2">
                  <c:v>1.04945000488924</c:v>
                </c:pt>
                <c:pt idx="3">
                  <c:v>1.06703581275014</c:v>
                </c:pt>
                <c:pt idx="4">
                  <c:v>1.08404667392637</c:v>
                </c:pt>
                <c:pt idx="5">
                  <c:v>1.10088436533339</c:v>
                </c:pt>
                <c:pt idx="6">
                  <c:v>1.11737058949756</c:v>
                </c:pt>
                <c:pt idx="7">
                  <c:v>1.13310310513364</c:v>
                </c:pt>
                <c:pt idx="8">
                  <c:v>1.14893076441254</c:v>
                </c:pt>
                <c:pt idx="9">
                  <c:v>1.16463003026521</c:v>
                </c:pt>
                <c:pt idx="10">
                  <c:v>1.18096089035101</c:v>
                </c:pt>
                <c:pt idx="11">
                  <c:v>1.19729762960965</c:v>
                </c:pt>
                <c:pt idx="12">
                  <c:v>1.21346148484053</c:v>
                </c:pt>
                <c:pt idx="13">
                  <c:v>1.22970535224878</c:v>
                </c:pt>
                <c:pt idx="14">
                  <c:v>1.24573497477539</c:v>
                </c:pt>
                <c:pt idx="15">
                  <c:v>1.26186059674505</c:v>
                </c:pt>
                <c:pt idx="16">
                  <c:v>1.27790342790529</c:v>
                </c:pt>
                <c:pt idx="17">
                  <c:v>1.29355081865726</c:v>
                </c:pt>
                <c:pt idx="18">
                  <c:v>1.3088028541543</c:v>
                </c:pt>
                <c:pt idx="19">
                  <c:v>1.32406127948121</c:v>
                </c:pt>
                <c:pt idx="20">
                  <c:v>1.33923657194214</c:v>
                </c:pt>
                <c:pt idx="21">
                  <c:v>1.35388236897808</c:v>
                </c:pt>
                <c:pt idx="22">
                  <c:v>1.36795372294771</c:v>
                </c:pt>
                <c:pt idx="23">
                  <c:v>1.37175215821005</c:v>
                </c:pt>
                <c:pt idx="24">
                  <c:v>1.38396024916782</c:v>
                </c:pt>
                <c:pt idx="25">
                  <c:v>1.39753211296127</c:v>
                </c:pt>
                <c:pt idx="26">
                  <c:v>1.41084212258503</c:v>
                </c:pt>
                <c:pt idx="27">
                  <c:v>1.42386998668819</c:v>
                </c:pt>
                <c:pt idx="28">
                  <c:v>1.43660554787539</c:v>
                </c:pt>
                <c:pt idx="29">
                  <c:v>1.44901668601929</c:v>
                </c:pt>
                <c:pt idx="30">
                  <c:v>1.46108242792868</c:v>
                </c:pt>
                <c:pt idx="31">
                  <c:v>1.47274767149853</c:v>
                </c:pt>
                <c:pt idx="32">
                  <c:v>1.48400900762343</c:v>
                </c:pt>
                <c:pt idx="33">
                  <c:v>1.49486877130387</c:v>
                </c:pt>
                <c:pt idx="34">
                  <c:v>1.50567144261781</c:v>
                </c:pt>
                <c:pt idx="35">
                  <c:v>1.51616128211652</c:v>
                </c:pt>
                <c:pt idx="36">
                  <c:v>1.52636826410605</c:v>
                </c:pt>
                <c:pt idx="37">
                  <c:v>1.53633355438045</c:v>
                </c:pt>
                <c:pt idx="38">
                  <c:v>1.54607839130695</c:v>
                </c:pt>
                <c:pt idx="39">
                  <c:v>1.55561658437685</c:v>
                </c:pt>
                <c:pt idx="40">
                  <c:v>1.56499241839806</c:v>
                </c:pt>
                <c:pt idx="41">
                  <c:v>1.57424614241901</c:v>
                </c:pt>
                <c:pt idx="42">
                  <c:v>1.5834217495573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C13D-40BB-B8D7-BAA5CF42BB74}"/>
            </c:ext>
          </c:extLst>
        </c:ser>
        <c:ser>
          <c:idx val="34"/>
          <c:order val="30"/>
          <c:spPr>
            <a:ln w="28575" cap="rnd" cmpd="sng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DEMANDS!$G$137:$CK$137</c:f>
              <c:numCache>
                <c:formatCode>0.00</c:formatCode>
                <c:ptCount val="83"/>
                <c:pt idx="0">
                  <c:v>1</c:v>
                </c:pt>
                <c:pt idx="1">
                  <c:v>1.03151295917697</c:v>
                </c:pt>
                <c:pt idx="2">
                  <c:v>1.04945000488924</c:v>
                </c:pt>
                <c:pt idx="3">
                  <c:v>1.06703581275014</c:v>
                </c:pt>
                <c:pt idx="4">
                  <c:v>1.08404667392637</c:v>
                </c:pt>
                <c:pt idx="5">
                  <c:v>1.10088436533339</c:v>
                </c:pt>
                <c:pt idx="6">
                  <c:v>1.11737058949756</c:v>
                </c:pt>
                <c:pt idx="7">
                  <c:v>1.13310310513364</c:v>
                </c:pt>
                <c:pt idx="8">
                  <c:v>1.14893076441254</c:v>
                </c:pt>
                <c:pt idx="9">
                  <c:v>1.16463003026521</c:v>
                </c:pt>
                <c:pt idx="10">
                  <c:v>1.18096089035101</c:v>
                </c:pt>
                <c:pt idx="11">
                  <c:v>1.19729762960965</c:v>
                </c:pt>
                <c:pt idx="12">
                  <c:v>1.21346148484053</c:v>
                </c:pt>
                <c:pt idx="13">
                  <c:v>1.22970535224878</c:v>
                </c:pt>
                <c:pt idx="14">
                  <c:v>1.24573497477539</c:v>
                </c:pt>
                <c:pt idx="15">
                  <c:v>1.26186059674505</c:v>
                </c:pt>
                <c:pt idx="16">
                  <c:v>1.27790342790529</c:v>
                </c:pt>
                <c:pt idx="17">
                  <c:v>1.29355081865726</c:v>
                </c:pt>
                <c:pt idx="18">
                  <c:v>1.3088028541543</c:v>
                </c:pt>
                <c:pt idx="19">
                  <c:v>1.32406127948121</c:v>
                </c:pt>
                <c:pt idx="20">
                  <c:v>1.33923657194214</c:v>
                </c:pt>
                <c:pt idx="21">
                  <c:v>1.35388236897808</c:v>
                </c:pt>
                <c:pt idx="22">
                  <c:v>1.36795372294771</c:v>
                </c:pt>
                <c:pt idx="23">
                  <c:v>1.37175215821005</c:v>
                </c:pt>
                <c:pt idx="24">
                  <c:v>1.38396024916782</c:v>
                </c:pt>
                <c:pt idx="25">
                  <c:v>1.39753211296127</c:v>
                </c:pt>
                <c:pt idx="26">
                  <c:v>1.41084212258503</c:v>
                </c:pt>
                <c:pt idx="27">
                  <c:v>1.42386998668819</c:v>
                </c:pt>
                <c:pt idx="28">
                  <c:v>1.43660554787539</c:v>
                </c:pt>
                <c:pt idx="29">
                  <c:v>1.44901668601929</c:v>
                </c:pt>
                <c:pt idx="30">
                  <c:v>1.46108242792868</c:v>
                </c:pt>
                <c:pt idx="31">
                  <c:v>1.47274767149853</c:v>
                </c:pt>
                <c:pt idx="32">
                  <c:v>1.48400900762343</c:v>
                </c:pt>
                <c:pt idx="33">
                  <c:v>1.49486877130387</c:v>
                </c:pt>
                <c:pt idx="34">
                  <c:v>1.50567144261781</c:v>
                </c:pt>
                <c:pt idx="35">
                  <c:v>1.51616128211652</c:v>
                </c:pt>
                <c:pt idx="36">
                  <c:v>1.52636826410605</c:v>
                </c:pt>
                <c:pt idx="37">
                  <c:v>1.53633355438045</c:v>
                </c:pt>
                <c:pt idx="38">
                  <c:v>1.54607839130695</c:v>
                </c:pt>
                <c:pt idx="39">
                  <c:v>1.55561658437685</c:v>
                </c:pt>
                <c:pt idx="40">
                  <c:v>1.56499241839806</c:v>
                </c:pt>
                <c:pt idx="41">
                  <c:v>1.57424614241901</c:v>
                </c:pt>
                <c:pt idx="42">
                  <c:v>1.5834217495573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C13D-40BB-B8D7-BAA5CF42BB74}"/>
            </c:ext>
          </c:extLst>
        </c:ser>
        <c:ser>
          <c:idx val="35"/>
          <c:order val="31"/>
          <c:spPr>
            <a:ln w="28575" cap="rnd" cmpd="sng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DEMANDS!$G$138:$CK$138</c:f>
              <c:numCache>
                <c:formatCode>0.00</c:formatCode>
                <c:ptCount val="83"/>
                <c:pt idx="0">
                  <c:v>1</c:v>
                </c:pt>
                <c:pt idx="1">
                  <c:v>1.03151295917697</c:v>
                </c:pt>
                <c:pt idx="2">
                  <c:v>1.04945000488924</c:v>
                </c:pt>
                <c:pt idx="3">
                  <c:v>1.06703581275014</c:v>
                </c:pt>
                <c:pt idx="4">
                  <c:v>1.08404667392637</c:v>
                </c:pt>
                <c:pt idx="5">
                  <c:v>1.10088436533339</c:v>
                </c:pt>
                <c:pt idx="6">
                  <c:v>1.11737058949756</c:v>
                </c:pt>
                <c:pt idx="7">
                  <c:v>1.13310310513364</c:v>
                </c:pt>
                <c:pt idx="8">
                  <c:v>1.14893076441254</c:v>
                </c:pt>
                <c:pt idx="9">
                  <c:v>1.16463003026521</c:v>
                </c:pt>
                <c:pt idx="10">
                  <c:v>1.18096089035101</c:v>
                </c:pt>
                <c:pt idx="11">
                  <c:v>1.19729762960965</c:v>
                </c:pt>
                <c:pt idx="12">
                  <c:v>1.21346148484053</c:v>
                </c:pt>
                <c:pt idx="13">
                  <c:v>1.22970535224878</c:v>
                </c:pt>
                <c:pt idx="14">
                  <c:v>1.24573497477539</c:v>
                </c:pt>
                <c:pt idx="15">
                  <c:v>1.26186059674505</c:v>
                </c:pt>
                <c:pt idx="16">
                  <c:v>1.27790342790529</c:v>
                </c:pt>
                <c:pt idx="17">
                  <c:v>1.29355081865726</c:v>
                </c:pt>
                <c:pt idx="18">
                  <c:v>1.3088028541543</c:v>
                </c:pt>
                <c:pt idx="19">
                  <c:v>1.32406127948121</c:v>
                </c:pt>
                <c:pt idx="20">
                  <c:v>1.33923657194214</c:v>
                </c:pt>
                <c:pt idx="21">
                  <c:v>1.35388236897808</c:v>
                </c:pt>
                <c:pt idx="22">
                  <c:v>1.36795372294771</c:v>
                </c:pt>
                <c:pt idx="23">
                  <c:v>1.37175215821005</c:v>
                </c:pt>
                <c:pt idx="24">
                  <c:v>1.38396024916782</c:v>
                </c:pt>
                <c:pt idx="25">
                  <c:v>1.39753211296127</c:v>
                </c:pt>
                <c:pt idx="26">
                  <c:v>1.41084212258503</c:v>
                </c:pt>
                <c:pt idx="27">
                  <c:v>1.42386998668819</c:v>
                </c:pt>
                <c:pt idx="28">
                  <c:v>1.43660554787539</c:v>
                </c:pt>
                <c:pt idx="29">
                  <c:v>1.44901668601929</c:v>
                </c:pt>
                <c:pt idx="30">
                  <c:v>1.46108242792868</c:v>
                </c:pt>
                <c:pt idx="31">
                  <c:v>1.47274767149853</c:v>
                </c:pt>
                <c:pt idx="32">
                  <c:v>1.48400900762343</c:v>
                </c:pt>
                <c:pt idx="33">
                  <c:v>1.49486877130387</c:v>
                </c:pt>
                <c:pt idx="34">
                  <c:v>1.50567144261781</c:v>
                </c:pt>
                <c:pt idx="35">
                  <c:v>1.51616128211652</c:v>
                </c:pt>
                <c:pt idx="36">
                  <c:v>1.52636826410605</c:v>
                </c:pt>
                <c:pt idx="37">
                  <c:v>1.53633355438045</c:v>
                </c:pt>
                <c:pt idx="38">
                  <c:v>1.54607839130695</c:v>
                </c:pt>
                <c:pt idx="39">
                  <c:v>1.55561658437685</c:v>
                </c:pt>
                <c:pt idx="40">
                  <c:v>1.56499241839806</c:v>
                </c:pt>
                <c:pt idx="41">
                  <c:v>1.57424614241901</c:v>
                </c:pt>
                <c:pt idx="42">
                  <c:v>1.5834217495573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C13D-40BB-B8D7-BAA5CF42BB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marker val="1"/>
        <c:axId val="37570327"/>
        <c:axId val="21170440"/>
      </c:lineChart>
      <c:catAx>
        <c:axId val="37570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vert="horz" rot="-60000000" spcFirstLastPara="1" vertOverflow="ellipsis" anchor="ctr" anchorCtr="1" wrap="square"/>
          <a:lstStyle/>
          <a:p>
            <a:pPr>
              <a:defRPr lang="en-US" sz="900" b="0" i="0" u="none" baseline="0" kern="12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0440"/>
        <c:crosses val="autoZero"/>
        <c:auto val="1"/>
        <c:lblOffset val="100"/>
        <c:noMultiLvlLbl val="0"/>
      </c:catAx>
      <c:valAx>
        <c:axId val="21170440"/>
        <c:scaling>
          <c:orientation val="minMax"/>
        </c:scaling>
        <c:delete val="0"/>
        <c:axPos val="l"/>
        <c:majorGridlines>
          <c:spPr>
            <a:ln w="9525" cap="flat" cmpd="sng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>
            <a:noFill/>
          </a:ln>
          <a:effectLst/>
        </c:spPr>
        <c:txPr>
          <a:bodyPr vert="horz" rot="-60000000" spcFirstLastPara="1" vertOverflow="ellipsis" anchor="ctr" anchorCtr="1" wrap="square"/>
          <a:lstStyle/>
          <a:p>
            <a:pPr>
              <a:defRPr lang="en-US" sz="900" b="0" i="0" u="none" baseline="0" kern="12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70327"/>
        <c:crosses val="autoZero"/>
        <c:crossBetween val="between"/>
      </c:valAx>
      <c:spPr>
        <a:noFill/>
        <a:ln w="6350">
          <a:noFill/>
        </a:ln>
        <a:effectLst/>
      </c:spPr>
    </c:plotArea>
    <c:legend>
      <c:legendPos val="b"/>
      <c:layout/>
      <c:overlay val="0"/>
      <c:spPr>
        <a:noFill/>
        <a:ln w="6350">
          <a:noFill/>
        </a:ln>
        <a:effectLst/>
      </c:spPr>
      <c:txPr>
        <a:bodyPr vert="horz" rot="0" spcFirstLastPara="1" vertOverflow="ellipsis" anchor="ctr" anchorCtr="1" wrap="square"/>
        <a:lstStyle/>
        <a:p>
          <a:pPr algn="ctr">
            <a:defRPr lang="en-US" sz="900" b="0" i="0" u="none" baseline="0" kern="12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>
      <a:solidFill>
        <a:schemeClr val="tx1">
          <a:lumMod val="15000"/>
          <a:lumOff val="85000"/>
        </a:schemeClr>
      </a:solidFill>
      <a:round/>
    </a:ln>
    <a:effectLst/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Props/ctrProp1.xml><?xml version="1.0" encoding="utf-8"?>
<formControlPr xmlns="http://schemas.microsoft.com/office/spreadsheetml/2009/9/main" objectType="Drop" dropLines="8" dropStyle="Combo" dx="15" noThreeD="1" sel="1" fmlaLink="$A$4" fmlaRange="$A$5:$A$7"/>
</file>

<file path=xl/drawings/_rels/drawing1.xml.rels><?xml version="1.0" encoding="UTF-8" standalone="yes"?><Relationships xmlns="http://schemas.openxmlformats.org/package/2006/relationships"><Relationship Id="rId3" Type="http://schemas.openxmlformats.org/officeDocument/2006/relationships/image" Target="../media/image1.png" /><Relationship Id="rId4" Type="http://schemas.openxmlformats.org/officeDocument/2006/relationships/image" Target="../media/image2.png" /><Relationship Id="rId2" Type="http://schemas.openxmlformats.org/officeDocument/2006/relationships/image" Target="../media/image2.jpeg" /><Relationship Id="rId1" Type="http://schemas.openxmlformats.org/officeDocument/2006/relationships/image" Target="../media/image3.png" /><Relationship Id="rId6" Type="http://schemas.openxmlformats.org/officeDocument/2006/relationships/image" Target="../media/image3.jpeg" /><Relationship Id="rId5" Type="http://schemas.openxmlformats.org/officeDocument/2006/relationships/image" Target="../media/image4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0"/>
          <a:ext cx="5800725" cy="2209800"/>
        </a:xfrm>
        <a:prstGeom prst="rect"/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r:embed="rId2"/>
        <a:srcRect l="4495" t="8810" r="7623" b="12802"/>
        <a:stretch>
          <a:fillRect/>
        </a:stretch>
      </xdr:blipFill>
      <xdr:spPr>
        <a:xfrm>
          <a:off x="19050" y="8610600"/>
          <a:ext cx="1428750" cy="542925"/>
        </a:xfrm>
        <a:prstGeom prst="rect"/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952625" y="8610600"/>
          <a:ext cx="1247775" cy="542925"/>
        </a:xfrm>
        <a:prstGeom prst="rect"/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733800" y="8610600"/>
          <a:ext cx="2019300" cy="542925"/>
        </a:xfrm>
        <a:prstGeom prst="rect"/>
      </xdr:spPr>
    </xdr:pic>
    <xdr:clientData/>
  </xdr:twoCellAnchor>
  <xdr:twoCellAnchor editAs="oneCell">
    <xdr:from>
      <xdr:col>2</xdr:col>
      <xdr:colOff>732675</xdr:colOff>
      <xdr:row>33</xdr:row>
      <xdr:rowOff>104775</xdr:rowOff>
    </xdr:from>
    <xdr:to>
      <xdr:col>3</xdr:col>
      <xdr:colOff>685800</xdr:colOff>
      <xdr:row>36</xdr:row>
      <xdr:rowOff>109275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r:embed="rId5"/>
        <a:srcRect l="1245" t="6440" r="3887" b="6250"/>
        <a:stretch>
          <a:fillRect/>
        </a:stretch>
      </xdr:blipFill>
      <xdr:spPr>
        <a:xfrm>
          <a:off x="3629025" y="7810500"/>
          <a:ext cx="1400175" cy="542925"/>
        </a:xfrm>
        <a:prstGeom prst="rect"/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rrowheads="1" noChangeAspect="1"/>
        </xdr:cNvPicPr>
      </xdr:nvPicPr>
      <xdr:blipFill>
        <a:blip r:embed="rId6"/>
        <a:srcRect l="3875" t="26075" r="3875" b="26074"/>
        <a:stretch>
          <a:fillRect/>
        </a:stretch>
      </xdr:blipFill>
      <xdr:spPr bwMode="auto">
        <a:xfrm>
          <a:off x="666750" y="7915275"/>
          <a:ext cx="1676400" cy="409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60</xdr:col>
      <xdr:colOff>324969</xdr:colOff>
      <xdr:row>110</xdr:row>
      <xdr:rowOff>11206</xdr:rowOff>
    </xdr:from>
    <xdr:to>
      <xdr:col>78</xdr:col>
      <xdr:colOff>78441</xdr:colOff>
      <xdr:row>145</xdr:row>
      <xdr:rowOff>145676</xdr:rowOff>
    </xdr:to>
    <xdr:graphicFrame>
      <xdr:nvGraphicFramePr>
        <xdr:cNvPr id="2" name="Chart 1">
          <a:extLst>
            <a:ext uri="{FF2B5EF4-FFF2-40B4-BE49-F238E27FC236}">
              <a16:creationId xmlns:a16="http://schemas.microsoft.com/office/drawing/2014/main" id="{c26bd9d1-8233-e763-06c7-e3376f7a0ae3}"/>
            </a:ext>
          </a:extLst>
        </xdr:cNvPr>
        <xdr:cNvGraphicFramePr/>
      </xdr:nvGraphicFramePr>
      <xdr:xfrm>
        <a:off x="38376225" y="19954875"/>
        <a:ext cx="10210800" cy="6467475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1</xdr:col>
          <xdr:colOff>30480</xdr:colOff>
          <xdr:row>3</xdr:row>
          <xdr:rowOff>0</xdr:rowOff>
        </xdr:to>
        <xdr:sp>
          <xdr:nvSpPr>
            <xdr:cNvPr id="1025" name="Drop Dow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400-000001040000}"/>
                </a:ext>
              </a:extLst>
            </xdr:cNvPr>
            <xdr:cNvSpPr>
              <a:spLocks noRot="1" noTextEdit="1"/>
            </xdr:cNvSpPr>
          </xdr:nvSpPr>
          <xdr:spPr>
            <a:xfrm>
              <a:off x="0" y="361950"/>
              <a:ext cx="838200" cy="180975"/>
            </a:xfrm>
            <a:prstGeom prst="rect"/>
            <a:ln>
              <a:noFill/>
            </a:ln>
          </xdr:spPr>
          <xdr:txBody>
            <a:bodyPr lIns="91440" tIns="45720" rIns="91440" bIns="45720"/>
            <a:p/>
          </xdr:txBody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alyk, Olexandr" id="{0A8A7407-B799-464F-972A-BE460CC4D111}" userId="Balyk, Olexandr" providerId="Non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s4.xml><?xml version="1.0" encoding="utf-8"?>
<ThreadedComments xmlns="http://schemas.microsoft.com/office/spreadsheetml/2018/threadedcomments" xmlns:x="http://schemas.openxmlformats.org/spreadsheetml/2006/main">
  <threadedComment ref="H20" dT="2022-10-12T22:37:02.29" personId="{0A8A7407-B799-464F-972A-BE460CC4D111}" id="{9B57E161-550D-4A4E-97F2-382B8393D1FF}">
    <text>Sum of Eurostat tables: 
1) ROAD_GO_TA_TOTT
2) RAIL_GO_TOTAL</text>
  </threadedComment>
  <threadedComment ref="I20" dT="2022-10-12T22:37:46.05" personId="{0A8A7407-B799-464F-972A-BE460CC4D111}" id="{FA644243-5C82-49A2-9E18-155BC945F002}">
    <text>Sum of Eurostat tables: 
1) ROAD_GO_TA_TOTT
2) RAIL_GO_TOTAL</text>
  </threadedComment>
  <threadedComment ref="J20" dT="2022-10-12T22:37:54.36" personId="{0A8A7407-B799-464F-972A-BE460CC4D111}" id="{58A128E1-0CEE-4B03-8BAC-A4332CB39BA7}">
    <text>Sum of Eurostat tables: 
1) ROAD_GO_TA_TOTT
2) RAIL_GO_TOTAL</text>
  </threadedComment>
  <threadedComment ref="H120" dT="2022-10-12T22:37:02.29" personId="{0A8A7407-B799-464F-972A-BE460CC4D111}" id="{005BD459-4167-434A-824B-E28EB95E63A1}">
    <text>Sum of Eurostat tables: 
1) ROAD_GO_TA_TOTT
2) RAIL_GO_TOTAL</text>
  </threadedComment>
  <threadedComment ref="I120" dT="2022-10-12T22:37:46.05" personId="{0A8A7407-B799-464F-972A-BE460CC4D111}" id="{B60F1593-6574-4356-A75A-A449B53F0694}">
    <text>Sum of Eurostat tables: 
1) ROAD_GO_TA_TOTT
2) RAIL_GO_TOTAL</text>
  </threadedComment>
  <threadedComment ref="J120" dT="2022-10-12T22:37:54.36" personId="{0A8A7407-B799-464F-972A-BE460CC4D111}" id="{B19ADDE3-46E4-4537-9333-0A41E976B211}">
    <text>Sum of Eurostat tables: 
1) ROAD_GO_TA_TOTT
2) RAIL_GO_TOTAL</text>
  </threadedComment>
</ThreadedComments>
</file>

<file path=xl/worksheets/_rels/sheet1.xml.rels><?xml version="1.0" encoding="UTF-8" standalone="yes"?><Relationships xmlns="http://schemas.openxmlformats.org/package/2006/relationships"><Relationship Id="rId4" Type="http://schemas.openxmlformats.org/officeDocument/2006/relationships/printerSettings" Target="../printerSettings/printerSettings1.bin" /><Relationship Id="rId2" Type="http://schemas.openxmlformats.org/officeDocument/2006/relationships/hyperlink" Target="https://creativecommons.org/licenses/by-nc-sa/4.0/" TargetMode="External" /><Relationship Id="rId3" Type="http://schemas.openxmlformats.org/officeDocument/2006/relationships/drawing" Target="../drawings/drawing1.xml" /><Relationship Id="rId1" Type="http://schemas.openxmlformats.org/officeDocument/2006/relationships/hyperlink" Target="https://github.com/MaREI-EPMG/TIMES-Ireland-model" TargetMode="Externa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4.xml.rels><?xml version="1.0" encoding="UTF-8" standalone="yes"?><Relationships xmlns="http://schemas.openxmlformats.org/package/2006/relationships"><Relationship Id="rId5" Type="http://schemas.openxmlformats.org/officeDocument/2006/relationships/printerSettings" Target="../printerSettings/printerSettings3.bin" /><Relationship Id="rId4" Type="http://schemas.openxmlformats.org/officeDocument/2006/relationships/vmlDrawing" Target="../drawings/vmlDrawing1.vml" /><Relationship Id="rId2" Type="http://schemas.microsoft.com/office/2017/10/relationships/threadedComment" Target="../threadedComments/threadedComments4.xml" /><Relationship Id="rId3" Type="http://schemas.openxmlformats.org/officeDocument/2006/relationships/drawing" Target="../drawings/drawing2.xml" /><Relationship Id="rId1" Type="http://schemas.openxmlformats.org/officeDocument/2006/relationships/comments" Target="../comments4.xml" /></Relationships>
</file>

<file path=xl/worksheets/_rels/sheet5.xml.rels><?xml version="1.0" encoding="UTF-8" standalone="yes"?><Relationships xmlns="http://schemas.openxmlformats.org/package/2006/relationships"><Relationship Id="rId4" Type="http://schemas.openxmlformats.org/officeDocument/2006/relationships/printerSettings" Target="../printerSettings/printerSettings4.bin" /><Relationship Id="rId2" Type="http://schemas.openxmlformats.org/officeDocument/2006/relationships/drawing" Target="../drawings/drawing3.xml" /><Relationship Id="rId3" Type="http://schemas.openxmlformats.org/officeDocument/2006/relationships/vmlDrawing" Target="../drawings/vmlDrawing2.vml" /><Relationship Id="rId1" Type="http://schemas.openxmlformats.org/officeDocument/2006/relationships/ctrlProp" Target="../ctrProps/ctrProp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486604C-6682-4AD0-8EED-76C4EDF79850}">
  <sheetPr codeName="Sheet5"/>
  <dimension ref="A1:Z99"/>
  <sheetViews>
    <sheetView showGridLines="0" workbookViewId="0" topLeftCell="A18">
      <selection pane="topLeft" activeCell="B26" sqref="B26:D26"/>
    </sheetView>
  </sheetViews>
  <sheetFormatPr defaultColWidth="8.77428571428571" defaultRowHeight="14.4"/>
  <cols>
    <col min="1" max="4" width="21.7142857142857" customWidth="1"/>
    <col min="5" max="6" width="14.1428571428571" customWidth="1"/>
    <col min="7" max="7" width="12.1428571428571" customWidth="1"/>
    <col min="8" max="10" width="8.14285714285714" customWidth="1"/>
    <col min="11" max="11" width="9.71428571428571" customWidth="1"/>
    <col min="12" max="12" width="8.14285714285714" customWidth="1"/>
    <col min="13" max="13" width="10" customWidth="1"/>
    <col min="14" max="14" width="11.4285714285714" customWidth="1"/>
    <col min="15" max="15" width="13.4285714285714" customWidth="1"/>
  </cols>
  <sheetData>
    <row r="1" spans="1:26" ht="14.4">
      <c r="A1" s="38"/>
      <c r="B1" s="38"/>
      <c r="C1" s="38"/>
      <c r="D1" s="38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spans="1:26" ht="14.4">
      <c r="A2" s="38"/>
      <c r="B2" s="38"/>
      <c r="C2" s="38"/>
      <c r="D2" s="38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spans="1:26" ht="14.4">
      <c r="A3" s="38"/>
      <c r="B3" s="38"/>
      <c r="C3" s="38"/>
      <c r="D3" s="38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spans="1:26" ht="14.4">
      <c r="A4" s="38"/>
      <c r="B4" s="38"/>
      <c r="C4" s="38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spans="1:26" ht="14.4">
      <c r="A5" s="38"/>
      <c r="B5" s="38"/>
      <c r="C5" s="38"/>
      <c r="D5" s="38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spans="1:26" ht="14.4">
      <c r="A6" s="38"/>
      <c r="B6" s="38"/>
      <c r="C6" s="38"/>
      <c r="D6" s="38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spans="1:26" ht="14.4">
      <c r="A7" s="38"/>
      <c r="B7" s="38"/>
      <c r="C7" s="38"/>
      <c r="D7" s="38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spans="1:26" ht="14.4">
      <c r="A8" s="38"/>
      <c r="B8" s="38"/>
      <c r="C8" s="38"/>
      <c r="D8" s="38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spans="1:26" ht="14.4">
      <c r="A9" s="38"/>
      <c r="B9" s="38"/>
      <c r="C9" s="38"/>
      <c r="D9" s="38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spans="1:26" ht="14.4">
      <c r="A10" s="38"/>
      <c r="B10" s="38"/>
      <c r="C10" s="38"/>
      <c r="D10" s="38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spans="1:26" ht="14.4">
      <c r="A11" s="38"/>
      <c r="B11" s="38"/>
      <c r="C11" s="38"/>
      <c r="D11" s="38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spans="1:26" ht="14.4">
      <c r="A12" s="38"/>
      <c r="B12" s="38"/>
      <c r="C12" s="38"/>
      <c r="D12" s="38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spans="1:26" ht="14.4">
      <c r="A13" s="38"/>
      <c r="B13" s="38"/>
      <c r="C13" s="38"/>
      <c r="D13" s="38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spans="1:26" ht="14.4">
      <c r="A14" s="38"/>
      <c r="B14" s="38"/>
      <c r="C14" s="38"/>
      <c r="D14" s="38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spans="1:26" ht="14.4">
      <c r="A15" s="38"/>
      <c r="B15" s="38"/>
      <c r="C15" s="38"/>
      <c r="D15" s="38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spans="1:26" ht="102.75" customHeight="1">
      <c r="A16" s="5" t="s">
        <v>143</v>
      </c>
      <c r="B16" s="5"/>
      <c r="C16" s="5"/>
      <c r="D16" s="5"/>
      <c r="E16" s="40"/>
      <c r="F16" s="40"/>
      <c r="G16" s="41"/>
      <c r="H16" s="41"/>
      <c r="I16" s="41"/>
      <c r="J16" s="41"/>
      <c r="K16" s="41"/>
      <c r="L16" s="41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spans="1:26" ht="17.25" customHeight="1">
      <c r="A17" s="42"/>
      <c r="B17" s="42"/>
      <c r="C17" s="42"/>
      <c r="D17" s="42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spans="1:26" ht="17.25" customHeight="1">
      <c r="A18" s="42"/>
      <c r="B18" s="42"/>
      <c r="C18" s="42"/>
      <c r="D18" s="42"/>
      <c r="E18" s="43"/>
      <c r="F18" s="43"/>
      <c r="G18" s="44"/>
      <c r="H18" s="44"/>
      <c r="I18" s="44"/>
      <c r="J18" s="44"/>
      <c r="K18" s="44"/>
      <c r="L18" s="44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spans="1:26" ht="17.25" customHeight="1">
      <c r="A19" s="45" t="s">
        <v>144</v>
      </c>
      <c r="B19" s="6" t="s">
        <v>155</v>
      </c>
      <c r="C19" s="6"/>
      <c r="D19" s="6"/>
      <c r="E19" s="46"/>
      <c r="F19" s="46"/>
      <c r="G19" s="47"/>
      <c r="H19" s="47"/>
      <c r="I19" s="47"/>
      <c r="J19" s="47"/>
      <c r="K19" s="47"/>
      <c r="L19" s="47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spans="1:26" ht="17.25" customHeight="1">
      <c r="A20" s="45" t="s">
        <v>145</v>
      </c>
      <c r="B20" s="6" t="s">
        <v>156</v>
      </c>
      <c r="C20" s="6"/>
      <c r="D20" s="6"/>
      <c r="E20" s="46"/>
      <c r="F20" s="46"/>
      <c r="G20" s="47"/>
      <c r="H20" s="47"/>
      <c r="I20" s="47"/>
      <c r="J20" s="47"/>
      <c r="K20" s="47"/>
      <c r="L20" s="47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spans="1:26" ht="17.25" customHeight="1">
      <c r="A21" s="45" t="s">
        <v>146</v>
      </c>
      <c r="B21" s="9" t="s">
        <v>157</v>
      </c>
      <c r="C21" s="9"/>
      <c r="D21" s="9"/>
      <c r="E21" s="46"/>
      <c r="F21" s="46"/>
      <c r="G21" s="47"/>
      <c r="H21" s="47"/>
      <c r="I21" s="47"/>
      <c r="J21" s="47"/>
      <c r="K21" s="47"/>
      <c r="L21" s="47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spans="1:26" ht="17.25" customHeight="1">
      <c r="A22" s="45"/>
      <c r="B22" s="9"/>
      <c r="C22" s="9"/>
      <c r="D22" s="9"/>
      <c r="E22" s="46"/>
      <c r="F22" s="46"/>
      <c r="G22" s="47"/>
      <c r="H22" s="47"/>
      <c r="I22" s="47"/>
      <c r="J22" s="47"/>
      <c r="K22" s="47"/>
      <c r="L22" s="47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spans="1:26" ht="17.25" customHeight="1">
      <c r="A23" s="45" t="s">
        <v>147</v>
      </c>
      <c r="B23" s="6" t="s">
        <v>158</v>
      </c>
      <c r="C23" s="6"/>
      <c r="D23" s="6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spans="1:26" ht="17.25" customHeight="1">
      <c r="A24" s="45"/>
      <c r="B24" s="6" t="s">
        <v>160</v>
      </c>
      <c r="C24" s="6"/>
      <c r="D24" s="6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spans="1:26" ht="17.25" customHeight="1">
      <c r="A25" s="45"/>
      <c r="B25" s="9" t="s">
        <v>159</v>
      </c>
      <c r="C25" s="9"/>
      <c r="D25" s="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spans="1:26" ht="17.25" customHeight="1">
      <c r="A26" s="45" t="s">
        <v>148</v>
      </c>
      <c r="B26" s="6" t="s">
        <v>158</v>
      </c>
      <c r="C26" s="6"/>
      <c r="D26" s="6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spans="1:26" ht="17.25" customHeight="1">
      <c r="A27" s="45"/>
      <c r="B27" s="6" t="s">
        <v>160</v>
      </c>
      <c r="C27" s="6"/>
      <c r="D27" s="6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spans="1:26" ht="17.25" customHeight="1">
      <c r="A28" s="45"/>
      <c r="B28" s="9" t="s">
        <v>159</v>
      </c>
      <c r="C28" s="9"/>
      <c r="D28" s="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spans="1:26" ht="17.25" customHeight="1">
      <c r="A29" s="45" t="s">
        <v>149</v>
      </c>
      <c r="B29" s="48">
        <v>1</v>
      </c>
      <c r="C29" s="9"/>
      <c r="D29" s="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spans="1:26" ht="17.25" customHeight="1">
      <c r="A30" s="45" t="s">
        <v>150</v>
      </c>
      <c r="B30" s="4" t="s">
        <v>151</v>
      </c>
      <c r="C30" s="6"/>
      <c r="D30" s="6"/>
      <c r="E30" s="49"/>
      <c r="F30" s="4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spans="1:26" ht="17.25" customHeight="1">
      <c r="A31" s="45" t="s">
        <v>152</v>
      </c>
      <c r="B31" s="6" t="s">
        <v>153</v>
      </c>
      <c r="C31" s="6"/>
      <c r="D31" s="6"/>
      <c r="E31" s="49"/>
      <c r="F31" s="4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spans="1:26" ht="17.25" customHeight="1">
      <c r="A32" s="50"/>
      <c r="B32" s="8" t="s">
        <v>154</v>
      </c>
      <c r="C32" s="50"/>
      <c r="D32" s="50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spans="1:26" ht="14.4">
      <c r="A33" s="38"/>
      <c r="B33" s="38"/>
      <c r="C33" s="38"/>
      <c r="D33" s="38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spans="1:26" ht="14.4">
      <c r="A34" s="38"/>
      <c r="B34" s="38"/>
      <c r="C34" s="38"/>
      <c r="D34" s="38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spans="1:26" ht="14.4">
      <c r="A35" s="38"/>
      <c r="B35" s="38"/>
      <c r="C35" s="38"/>
      <c r="D35" s="38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spans="1:26" ht="14.4">
      <c r="A36" s="38"/>
      <c r="B36" s="38"/>
      <c r="C36" s="38"/>
      <c r="D36" s="38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spans="1:26" ht="14.4">
      <c r="A37" s="38"/>
      <c r="B37" s="38"/>
      <c r="C37" s="38"/>
      <c r="D37" s="38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spans="1:26" ht="14.4">
      <c r="A38" s="38"/>
      <c r="B38" s="38"/>
      <c r="C38" s="38"/>
      <c r="D38" s="38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spans="1:26" ht="14.4">
      <c r="A39" s="38"/>
      <c r="B39" s="38"/>
      <c r="C39" s="38"/>
      <c r="D39" s="38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spans="1:26" ht="14.4">
      <c r="A40" s="38"/>
      <c r="B40" s="38"/>
      <c r="C40" s="38"/>
      <c r="D40" s="38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spans="1:26" ht="14.4">
      <c r="A41" s="38"/>
      <c r="B41" s="38"/>
      <c r="C41" s="38"/>
      <c r="D41" s="38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spans="1:26" ht="14.4">
      <c r="A42" s="38"/>
      <c r="B42" s="38"/>
      <c r="C42" s="38"/>
      <c r="D42" s="38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spans="1:26" ht="14.4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spans="1:26" ht="14.4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spans="1:26" ht="14.4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spans="1:26" ht="14.4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spans="1:26" ht="14.4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spans="1:26" ht="14.4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spans="1:26" ht="14.4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spans="1:26" ht="14.4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spans="1:26" ht="14.4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spans="1:26" ht="14.4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spans="1:26" ht="14.4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spans="1:26" ht="14.4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spans="1:26" ht="14.4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spans="1:26" ht="14.4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spans="1:26" ht="14.4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spans="1:26" ht="14.4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spans="1:26" ht="14.4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spans="1:26" ht="14.4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spans="1:26" ht="14.4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spans="1:26" ht="14.4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spans="1:26" ht="14.4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spans="1:26" ht="14.4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spans="1:26" ht="14.4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spans="1:26" ht="14.4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spans="1:26" ht="14.4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spans="1:26" ht="14.4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spans="1:26" ht="14.4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spans="1:26" ht="14.4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spans="1:26" ht="14.4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spans="1:26" ht="14.4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spans="1:26" ht="14.4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spans="1:26" ht="14.4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spans="1:26" ht="14.4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spans="1:26" ht="14.4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spans="1:26" ht="14.4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spans="1:26" ht="14.4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spans="1:26" ht="14.4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spans="1:26" ht="14.4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spans="1:26" ht="14.4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spans="1:26" ht="14.4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spans="1:26" ht="14.4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spans="1:26" ht="14.4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spans="1:26" ht="14.4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spans="1:26" ht="14.4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spans="1:26" ht="14.4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spans="1:26" ht="14.4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spans="1:26" ht="14.4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spans="1:26" ht="14.4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spans="1:26" ht="14.4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spans="1:26" ht="14.4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spans="1:26" ht="14.4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spans="1:26" ht="14.4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spans="1:26" ht="14.4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spans="1:26" ht="14.4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spans="1:26" ht="14.4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spans="1:26" ht="14.4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spans="1:26" ht="14.4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</sheetData>
  <mergeCells count="9">
    <mergeCell ref="B31:D31"/>
    <mergeCell ref="A16:D16"/>
    <mergeCell ref="B19:D19"/>
    <mergeCell ref="B20:D20"/>
    <mergeCell ref="B23:D23"/>
    <mergeCell ref="B26:D26"/>
    <mergeCell ref="B30:D30"/>
    <mergeCell ref="B27:D27"/>
    <mergeCell ref="B24:D24"/>
  </mergeCells>
  <hyperlinks>
    <hyperlink ref="B30" r:id="rId1" display="https://github.com/MaREI-EPMG/TIMES-Ireland-model"/>
    <hyperlink ref="B32" r:id="rId2" display="https://creativecommons.org/licenses/by-nc-sa/4.0/"/>
  </hyperlinks>
  <pageMargins left="0.7" right="0.7" top="0.75" bottom="0.75" header="0.3" footer="0.3"/>
  <pageSetup orientation="portrait" paperSize="9" r:id="rId4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2E2D82D-0FB0-4EF7-879D-99F5301BFD03}">
  <sheetPr codeName="Sheet1"/>
  <dimension ref="C1:AK68"/>
  <sheetViews>
    <sheetView workbookViewId="0" topLeftCell="A42">
      <selection pane="topLeft" activeCell="J14" sqref="J14"/>
    </sheetView>
  </sheetViews>
  <sheetFormatPr defaultColWidth="9.21428571428571" defaultRowHeight="14.4"/>
  <cols>
    <col min="7" max="7" width="10.5714285714286" bestFit="1" customWidth="1"/>
    <col min="9" max="9" width="11.5714285714286" bestFit="1" customWidth="1"/>
  </cols>
  <sheetData>
    <row r="1" spans="11:19" ht="14.4">
      <c r="K1" s="85"/>
      <c r="L1" s="85"/>
      <c r="M1" s="85"/>
      <c r="N1" s="85"/>
      <c r="O1" s="85"/>
      <c r="P1" s="85"/>
      <c r="Q1" s="85"/>
      <c r="R1" s="85"/>
      <c r="S1" s="85"/>
    </row>
    <row r="3" spans="10:36" ht="14.4"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</row>
    <row r="4" spans="3:3" ht="14.4">
      <c r="C4" s="23" t="s">
        <v>123</v>
      </c>
    </row>
    <row r="5" spans="3:37" ht="15" thickBot="1">
      <c r="C5" s="24" t="s">
        <v>124</v>
      </c>
      <c r="D5" s="25" t="s">
        <v>125</v>
      </c>
      <c r="E5" s="26" t="s">
        <v>121</v>
      </c>
      <c r="F5" s="26" t="s">
        <v>2</v>
      </c>
      <c r="G5" s="26" t="s">
        <v>3</v>
      </c>
      <c r="H5" s="26" t="s">
        <v>120</v>
      </c>
      <c r="I5" s="27" t="s">
        <v>5</v>
      </c>
      <c r="J5" s="21" t="str">
        <f>Regions!C$3</f>
        <v>IE</v>
      </c>
      <c r="K5" s="21" t="str">
        <f>Regions!D$3</f>
        <v>National</v>
      </c>
      <c r="L5" s="21" t="str">
        <f>Regions!E$3</f>
        <v>IE-CW</v>
      </c>
      <c r="M5" s="21" t="str">
        <f>Regions!F$3</f>
        <v>IE-D</v>
      </c>
      <c r="N5" s="21" t="str">
        <f>Regions!G$3</f>
        <v>IE-KE</v>
      </c>
      <c r="O5" s="21" t="str">
        <f>Regions!H$3</f>
        <v>IE-KK</v>
      </c>
      <c r="P5" s="21" t="str">
        <f>Regions!I$3</f>
        <v>IE-LS</v>
      </c>
      <c r="Q5" s="21" t="str">
        <f>Regions!J$3</f>
        <v>IE-LD</v>
      </c>
      <c r="R5" s="21" t="str">
        <f>Regions!K$3</f>
        <v>IE-LH</v>
      </c>
      <c r="S5" s="21" t="str">
        <f>Regions!L$3</f>
        <v>IE-MH</v>
      </c>
      <c r="T5" s="21" t="str">
        <f>Regions!M$3</f>
        <v>IE-OY</v>
      </c>
      <c r="U5" s="21" t="str">
        <f>Regions!N$3</f>
        <v>IE-WH</v>
      </c>
      <c r="V5" s="21" t="str">
        <f>Regions!O$3</f>
        <v>IE-WX</v>
      </c>
      <c r="W5" s="21" t="str">
        <f>Regions!P$3</f>
        <v>IE-WW</v>
      </c>
      <c r="X5" s="21" t="str">
        <f>Regions!Q$3</f>
        <v>IE-CE</v>
      </c>
      <c r="Y5" s="21" t="str">
        <f>Regions!R$3</f>
        <v>IE-CO</v>
      </c>
      <c r="Z5" s="21" t="str">
        <f>Regions!S$3</f>
        <v>IE-KY</v>
      </c>
      <c r="AA5" s="21" t="str">
        <f>Regions!T$3</f>
        <v>IE-LK</v>
      </c>
      <c r="AB5" s="21" t="str">
        <f>Regions!U$3</f>
        <v>IE-TA</v>
      </c>
      <c r="AC5" s="21" t="str">
        <f>Regions!V$3</f>
        <v>IE-WD</v>
      </c>
      <c r="AD5" s="21" t="str">
        <f>Regions!W$3</f>
        <v>IE-G</v>
      </c>
      <c r="AE5" s="21" t="str">
        <f>Regions!X$3</f>
        <v>IE-LM</v>
      </c>
      <c r="AF5" s="21" t="str">
        <f>Regions!Y$3</f>
        <v>IE-MO</v>
      </c>
      <c r="AG5" s="21" t="str">
        <f>Regions!Z$3</f>
        <v>IE-RN</v>
      </c>
      <c r="AH5" s="21" t="str">
        <f>Regions!AA$3</f>
        <v>IE-SO</v>
      </c>
      <c r="AI5" s="21" t="str">
        <f>Regions!AB$3</f>
        <v>IE-CN</v>
      </c>
      <c r="AJ5" s="21" t="str">
        <f>Regions!AC$3</f>
        <v>IE-DL</v>
      </c>
      <c r="AK5" s="21" t="str">
        <f>Regions!AD$3</f>
        <v>IE-MN</v>
      </c>
    </row>
    <row r="6" spans="3:37" ht="14.4">
      <c r="C6" t="s">
        <v>126</v>
      </c>
      <c r="D6" s="28" t="s">
        <v>127</v>
      </c>
      <c r="G6" t="s">
        <v>6</v>
      </c>
      <c r="H6">
        <v>2018</v>
      </c>
      <c r="I6" t="s">
        <v>35</v>
      </c>
      <c r="J6" s="29">
        <v>14.5565610923972</v>
      </c>
      <c r="K6" s="30"/>
      <c r="L6" s="29">
        <v>0.19075815329593299</v>
      </c>
      <c r="M6" s="29">
        <v>3.8137077787050999</v>
      </c>
      <c r="N6" s="29">
        <v>0.70334338163959498</v>
      </c>
      <c r="O6" s="29">
        <v>0.32630593319176299</v>
      </c>
      <c r="P6" s="29">
        <v>0.25725946218495199</v>
      </c>
      <c r="Q6" s="29">
        <v>0.129264106093787</v>
      </c>
      <c r="R6" s="29">
        <v>0.37066642356770202</v>
      </c>
      <c r="S6" s="29">
        <v>0.61012642539130302</v>
      </c>
      <c r="T6" s="29">
        <v>0.25256357827040099</v>
      </c>
      <c r="U6" s="29">
        <v>0.28627808516599801</v>
      </c>
      <c r="V6" s="29">
        <v>0.49824919039150301</v>
      </c>
      <c r="W6" s="29">
        <v>0.44072764898712002</v>
      </c>
      <c r="X6" s="29">
        <v>0.38789417997018399</v>
      </c>
      <c r="Y6" s="29">
        <v>1.6403528726431</v>
      </c>
      <c r="Z6" s="29">
        <v>0.50223766282260596</v>
      </c>
      <c r="AA6" s="29">
        <v>0.59887772521592197</v>
      </c>
      <c r="AB6" s="29">
        <v>0.54597893159747002</v>
      </c>
      <c r="AC6" s="29">
        <v>0.36254754715780002</v>
      </c>
      <c r="AD6" s="29">
        <v>0.81031808544859996</v>
      </c>
      <c r="AE6" s="29">
        <v>0.103998215898054</v>
      </c>
      <c r="AF6" s="29">
        <v>0.43396473286285803</v>
      </c>
      <c r="AG6" s="29">
        <v>0.22701130303233</v>
      </c>
      <c r="AH6" s="29">
        <v>0.20014421509334299</v>
      </c>
      <c r="AI6" s="29">
        <v>0.22324073939976699</v>
      </c>
      <c r="AJ6" s="29">
        <v>0.43304852577361902</v>
      </c>
      <c r="AK6" s="29">
        <v>0.20769618859639599</v>
      </c>
    </row>
    <row r="7" spans="3:37" ht="14.4">
      <c r="C7" t="s">
        <v>126</v>
      </c>
      <c r="D7" s="28" t="s">
        <v>127</v>
      </c>
      <c r="G7" t="s">
        <v>6</v>
      </c>
      <c r="H7">
        <v>2018</v>
      </c>
      <c r="I7" t="s">
        <v>37</v>
      </c>
      <c r="J7" s="29">
        <v>31.276118540281001</v>
      </c>
      <c r="K7" s="29"/>
      <c r="L7" s="29">
        <v>0.43519149385547101</v>
      </c>
      <c r="M7" s="29">
        <v>7.6211536449989303</v>
      </c>
      <c r="N7" s="29">
        <v>1.55190938276765</v>
      </c>
      <c r="O7" s="29">
        <v>0.73703191607760699</v>
      </c>
      <c r="P7" s="29">
        <v>0.55451713599955699</v>
      </c>
      <c r="Q7" s="29">
        <v>0.28568437258778701</v>
      </c>
      <c r="R7" s="29">
        <v>0.76950577172521395</v>
      </c>
      <c r="S7" s="29">
        <v>1.33594997982505</v>
      </c>
      <c r="T7" s="29">
        <v>0.56616320344762305</v>
      </c>
      <c r="U7" s="29">
        <v>0.63911185847442997</v>
      </c>
      <c r="V7" s="29">
        <v>1.1334816009734401</v>
      </c>
      <c r="W7" s="29">
        <v>0.96185938421931305</v>
      </c>
      <c r="X7" s="29">
        <v>0.87235861089184197</v>
      </c>
      <c r="Y7" s="29">
        <v>3.5254749048173299</v>
      </c>
      <c r="Z7" s="29">
        <v>1.15388698840036</v>
      </c>
      <c r="AA7" s="29">
        <v>1.29957366713114</v>
      </c>
      <c r="AB7" s="29">
        <v>1.2604324784412999</v>
      </c>
      <c r="AC7" s="29">
        <v>0.79517788054022298</v>
      </c>
      <c r="AD7" s="29">
        <v>1.7803554187858499</v>
      </c>
      <c r="AE7" s="29">
        <v>0.23333731031609201</v>
      </c>
      <c r="AF7" s="29">
        <v>0.98601597898071303</v>
      </c>
      <c r="AG7" s="29">
        <v>0.53090140271719199</v>
      </c>
      <c r="AH7" s="29">
        <v>0.43310682655274901</v>
      </c>
      <c r="AI7" s="29">
        <v>0.47060177269377002</v>
      </c>
      <c r="AJ7" s="29">
        <v>0.86668930093951202</v>
      </c>
      <c r="AK7" s="29">
        <v>0.47664625412085698</v>
      </c>
    </row>
    <row r="8" spans="3:37" ht="14.4">
      <c r="C8" t="s">
        <v>126</v>
      </c>
      <c r="D8" s="28" t="s">
        <v>127</v>
      </c>
      <c r="G8" t="s">
        <v>6</v>
      </c>
      <c r="H8">
        <v>2018</v>
      </c>
      <c r="I8" t="s">
        <v>39</v>
      </c>
      <c r="J8" s="29">
        <v>27.131577542973599</v>
      </c>
      <c r="K8" s="30"/>
      <c r="L8" s="29">
        <v>0.373897486374975</v>
      </c>
      <c r="M8" s="29">
        <v>6.66074493403499</v>
      </c>
      <c r="N8" s="29">
        <v>1.3457957919305099</v>
      </c>
      <c r="O8" s="29">
        <v>0.64805463087287196</v>
      </c>
      <c r="P8" s="29">
        <v>0.48149946813234101</v>
      </c>
      <c r="Q8" s="29">
        <v>0.247929982488685</v>
      </c>
      <c r="R8" s="29">
        <v>0.67368745787157902</v>
      </c>
      <c r="S8" s="29">
        <v>1.1456149031137799</v>
      </c>
      <c r="T8" s="29">
        <v>0.49378011021821799</v>
      </c>
      <c r="U8" s="29">
        <v>0.54722173482691405</v>
      </c>
      <c r="V8" s="29">
        <v>0.97262646758485305</v>
      </c>
      <c r="W8" s="29">
        <v>0.83286416374941896</v>
      </c>
      <c r="X8" s="29">
        <v>0.74674766413249005</v>
      </c>
      <c r="Y8" s="29">
        <v>3.0449422514531701</v>
      </c>
      <c r="Z8" s="29">
        <v>1.0126394376791299</v>
      </c>
      <c r="AA8" s="29">
        <v>1.1217784798314201</v>
      </c>
      <c r="AB8" s="29">
        <v>1.08524276473925</v>
      </c>
      <c r="AC8" s="29">
        <v>0.68342924139985906</v>
      </c>
      <c r="AD8" s="29">
        <v>1.55274051805081</v>
      </c>
      <c r="AE8" s="29">
        <v>0.20031586047476799</v>
      </c>
      <c r="AF8" s="29">
        <v>0.86102306186829503</v>
      </c>
      <c r="AG8" s="29">
        <v>0.451316097288886</v>
      </c>
      <c r="AH8" s="29">
        <v>0.37617525772313698</v>
      </c>
      <c r="AI8" s="29">
        <v>0.40231788404487301</v>
      </c>
      <c r="AJ8" s="29">
        <v>0.74109890371757103</v>
      </c>
      <c r="AK8" s="29">
        <v>0.42809298937083901</v>
      </c>
    </row>
    <row r="9" spans="3:37" ht="14.4">
      <c r="C9" t="s">
        <v>126</v>
      </c>
      <c r="D9" s="28" t="s">
        <v>127</v>
      </c>
      <c r="G9" t="s">
        <v>6</v>
      </c>
      <c r="H9">
        <v>2018</v>
      </c>
      <c r="I9" t="s">
        <v>41</v>
      </c>
      <c r="J9" s="29">
        <v>10.702591</v>
      </c>
      <c r="K9" s="30"/>
      <c r="L9" s="29">
        <v>0.17794099599204999</v>
      </c>
      <c r="M9" s="29">
        <v>2.6576907930321299</v>
      </c>
      <c r="N9" s="29">
        <v>0.48228404218784598</v>
      </c>
      <c r="O9" s="29">
        <v>0.31014966827589202</v>
      </c>
      <c r="P9" s="29">
        <v>0.22090468018989401</v>
      </c>
      <c r="Q9" s="29">
        <v>0.106603976450188</v>
      </c>
      <c r="R9" s="29">
        <v>0.27935990585939302</v>
      </c>
      <c r="S9" s="29">
        <v>0.43225128206324598</v>
      </c>
      <c r="T9" s="29">
        <v>0.20333600685129699</v>
      </c>
      <c r="U9" s="29">
        <v>0.23152778091853199</v>
      </c>
      <c r="V9" s="29">
        <v>0.46795618987426502</v>
      </c>
      <c r="W9" s="29">
        <v>0.30871042636808299</v>
      </c>
      <c r="X9" s="29">
        <v>0.30378726686741397</v>
      </c>
      <c r="Y9" s="29">
        <v>1.6254277052660899</v>
      </c>
      <c r="Z9" s="29">
        <v>0.44225677339931202</v>
      </c>
      <c r="AA9" s="29">
        <v>0.49831113834882401</v>
      </c>
      <c r="AB9" s="29">
        <v>0.40793968700183098</v>
      </c>
      <c r="AC9" s="29">
        <v>0.3789208277735</v>
      </c>
      <c r="AD9" s="29">
        <v>0.60506096800451603</v>
      </c>
      <c r="AE9" s="29">
        <v>0.080693470189707697</v>
      </c>
      <c r="AF9" s="29">
        <v>0.34078379979033402</v>
      </c>
      <c r="AG9" s="29">
        <v>0.15133440977952001</v>
      </c>
      <c r="AH9" s="29">
        <v>0.16503078794415499</v>
      </c>
      <c r="AI9" s="29">
        <v>0.19182704360164701</v>
      </c>
      <c r="AJ9" s="29">
        <v>0.40087863270627699</v>
      </c>
      <c r="AK9" s="29">
        <v>0.154582741264056</v>
      </c>
    </row>
    <row r="10" spans="3:37" ht="14.4">
      <c r="C10" t="s">
        <v>126</v>
      </c>
      <c r="D10" s="28" t="s">
        <v>127</v>
      </c>
      <c r="G10" t="s">
        <v>6</v>
      </c>
      <c r="H10">
        <v>2018</v>
      </c>
      <c r="I10" t="s">
        <v>43</v>
      </c>
      <c r="J10" s="29">
        <v>7.7105748259750104</v>
      </c>
      <c r="K10" s="30"/>
      <c r="L10" s="29">
        <v>0.092186243413538399</v>
      </c>
      <c r="M10" s="29">
        <v>2.1816898183696698</v>
      </c>
      <c r="N10" s="29">
        <v>0.360286094015421</v>
      </c>
      <c r="O10" s="29">
        <v>0.160679851514302</v>
      </c>
      <c r="P10" s="29">
        <v>0.13714428192223099</v>
      </c>
      <c r="Q10" s="29">
        <v>0.066182960848759104</v>
      </c>
      <c r="R10" s="29">
        <v>0.20869338502266699</v>
      </c>
      <c r="S10" s="29">
        <v>0.31582192194811698</v>
      </c>
      <c r="T10" s="29">
        <v>0.12623712012159899</v>
      </c>
      <c r="U10" s="29">
        <v>0.14373942295756001</v>
      </c>
      <c r="V10" s="29">
        <v>0.24243498799202201</v>
      </c>
      <c r="W10" s="29">
        <v>0.23061943578608199</v>
      </c>
      <c r="X10" s="29">
        <v>0.19239255398837901</v>
      </c>
      <c r="Y10" s="29">
        <v>0.879030450176013</v>
      </c>
      <c r="Z10" s="29">
        <v>0.23917223101039001</v>
      </c>
      <c r="AA10" s="29">
        <v>0.31558713298417801</v>
      </c>
      <c r="AB10" s="29">
        <v>0.25835367974707202</v>
      </c>
      <c r="AC10" s="29">
        <v>0.188116156376225</v>
      </c>
      <c r="AD10" s="29">
        <v>0.41785634797321203</v>
      </c>
      <c r="AE10" s="29">
        <v>0.051886741796237999</v>
      </c>
      <c r="AF10" s="29">
        <v>0.21132140218454701</v>
      </c>
      <c r="AG10" s="29">
        <v>0.104511854403208</v>
      </c>
      <c r="AH10" s="29">
        <v>0.106116515529162</v>
      </c>
      <c r="AI10" s="29">
        <v>0.123346787013801</v>
      </c>
      <c r="AJ10" s="29">
        <v>0.257769136188576</v>
      </c>
      <c r="AK10" s="29">
        <v>0.099398312692044299</v>
      </c>
    </row>
    <row r="11" spans="3:37" ht="14.4">
      <c r="C11" t="s">
        <v>126</v>
      </c>
      <c r="D11" s="28" t="s">
        <v>127</v>
      </c>
      <c r="G11" t="s">
        <v>6</v>
      </c>
      <c r="H11">
        <v>2018</v>
      </c>
      <c r="I11" t="s">
        <v>45</v>
      </c>
      <c r="J11" s="29">
        <v>3.5132998087277101</v>
      </c>
      <c r="K11" s="30"/>
      <c r="L11" s="29">
        <v>0.042004379525771102</v>
      </c>
      <c r="M11" s="29">
        <v>0.99408028513777102</v>
      </c>
      <c r="N11" s="29">
        <v>0.16416325549782501</v>
      </c>
      <c r="O11" s="29">
        <v>0.073213282321037701</v>
      </c>
      <c r="P11" s="29">
        <v>0.062489372105217399</v>
      </c>
      <c r="Q11" s="29">
        <v>0.030156063450376601</v>
      </c>
      <c r="R11" s="29">
        <v>0.095090501840783506</v>
      </c>
      <c r="S11" s="29">
        <v>0.143903291650118</v>
      </c>
      <c r="T11" s="29">
        <v>0.0575195572298293</v>
      </c>
      <c r="U11" s="29">
        <v>0.065494427922832596</v>
      </c>
      <c r="V11" s="29">
        <v>0.110464759912835</v>
      </c>
      <c r="W11" s="29">
        <v>0.105081039730871</v>
      </c>
      <c r="X11" s="29">
        <v>0.087663078095158206</v>
      </c>
      <c r="Y11" s="29">
        <v>0.40052753292342302</v>
      </c>
      <c r="Z11" s="29">
        <v>0.108978094685117</v>
      </c>
      <c r="AA11" s="29">
        <v>0.14379631077765201</v>
      </c>
      <c r="AB11" s="29">
        <v>0.117718063066032</v>
      </c>
      <c r="AC11" s="29">
        <v>0.085714550618035304</v>
      </c>
      <c r="AD11" s="29">
        <v>0.190394965426499</v>
      </c>
      <c r="AE11" s="29">
        <v>0.0236420350158753</v>
      </c>
      <c r="AF11" s="29">
        <v>0.096287949813282703</v>
      </c>
      <c r="AG11" s="29">
        <v>0.047620506430678201</v>
      </c>
      <c r="AH11" s="29">
        <v>0.048351665359049598</v>
      </c>
      <c r="AI11" s="29">
        <v>0.056202585799816303</v>
      </c>
      <c r="AJ11" s="29">
        <v>0.117451717583548</v>
      </c>
      <c r="AK11" s="29">
        <v>0.045290536808279797</v>
      </c>
    </row>
    <row r="12" spans="3:37" ht="14.4">
      <c r="C12" t="s">
        <v>126</v>
      </c>
      <c r="D12" s="28" t="s">
        <v>127</v>
      </c>
      <c r="G12" t="s">
        <v>6</v>
      </c>
      <c r="H12">
        <v>2018</v>
      </c>
      <c r="I12" t="s">
        <v>47</v>
      </c>
      <c r="J12" s="29">
        <v>20.831454920682301</v>
      </c>
      <c r="K12" s="30"/>
      <c r="L12" s="29">
        <v>0.24905712185126699</v>
      </c>
      <c r="M12" s="29">
        <v>5.8942133534813896</v>
      </c>
      <c r="N12" s="29">
        <v>0.97337535727524804</v>
      </c>
      <c r="O12" s="29">
        <v>0.434104481057138</v>
      </c>
      <c r="P12" s="29">
        <v>0.37051905869171597</v>
      </c>
      <c r="Q12" s="29">
        <v>0.17880474498396101</v>
      </c>
      <c r="R12" s="29">
        <v>0.56382136746783496</v>
      </c>
      <c r="S12" s="29">
        <v>0.85324768626358805</v>
      </c>
      <c r="T12" s="29">
        <v>0.34105146976474798</v>
      </c>
      <c r="U12" s="29">
        <v>0.38833697580863102</v>
      </c>
      <c r="V12" s="29">
        <v>0.654980158747549</v>
      </c>
      <c r="W12" s="29">
        <v>0.62305839562402099</v>
      </c>
      <c r="X12" s="29">
        <v>0.51978184583366205</v>
      </c>
      <c r="Y12" s="29">
        <v>2.3748531866991098</v>
      </c>
      <c r="Z12" s="29">
        <v>0.64616525499341604</v>
      </c>
      <c r="AA12" s="29">
        <v>0.85261336316465597</v>
      </c>
      <c r="AB12" s="29">
        <v>0.69798726485518303</v>
      </c>
      <c r="AC12" s="29">
        <v>0.50822841614896397</v>
      </c>
      <c r="AD12" s="29">
        <v>1.1289113811335301</v>
      </c>
      <c r="AE12" s="29">
        <v>0.140181030222055</v>
      </c>
      <c r="AF12" s="29">
        <v>0.57092141153381903</v>
      </c>
      <c r="AG12" s="29">
        <v>0.28235689722420099</v>
      </c>
      <c r="AH12" s="29">
        <v>0.28669216750725102</v>
      </c>
      <c r="AI12" s="29">
        <v>0.33324273368478402</v>
      </c>
      <c r="AJ12" s="29">
        <v>0.69640801907094396</v>
      </c>
      <c r="AK12" s="29">
        <v>0.268541777593654</v>
      </c>
    </row>
    <row r="13" spans="3:37" ht="14.4">
      <c r="C13" t="s">
        <v>126</v>
      </c>
      <c r="D13" s="28" t="s">
        <v>127</v>
      </c>
      <c r="G13" t="s">
        <v>6</v>
      </c>
      <c r="H13">
        <v>2018</v>
      </c>
      <c r="I13" t="s">
        <v>49</v>
      </c>
      <c r="J13" s="29">
        <v>0.23349320028657899</v>
      </c>
      <c r="K13" s="30"/>
      <c r="L13" s="29">
        <v>0</v>
      </c>
      <c r="M13" s="29">
        <v>0.13599128494106499</v>
      </c>
      <c r="N13" s="29">
        <v>0</v>
      </c>
      <c r="O13" s="29">
        <v>0</v>
      </c>
      <c r="P13" s="29">
        <v>0</v>
      </c>
      <c r="Q13" s="29">
        <v>0</v>
      </c>
      <c r="R13" s="29">
        <v>0</v>
      </c>
      <c r="S13" s="29">
        <v>0</v>
      </c>
      <c r="T13" s="29">
        <v>0</v>
      </c>
      <c r="U13" s="29">
        <v>0</v>
      </c>
      <c r="V13" s="29">
        <v>0</v>
      </c>
      <c r="W13" s="29">
        <v>0</v>
      </c>
      <c r="X13" s="29">
        <v>0.047489540821759602</v>
      </c>
      <c r="Y13" s="29">
        <v>0.00047056267691773199</v>
      </c>
      <c r="Z13" s="29">
        <v>0.047235778638893701</v>
      </c>
      <c r="AA13" s="29">
        <v>0</v>
      </c>
      <c r="AB13" s="29">
        <v>0</v>
      </c>
      <c r="AC13" s="29">
        <v>0</v>
      </c>
      <c r="AD13" s="29">
        <v>0</v>
      </c>
      <c r="AE13" s="29">
        <v>0</v>
      </c>
      <c r="AF13" s="29">
        <v>9.4112535383546506E-05</v>
      </c>
      <c r="AG13" s="29">
        <v>0</v>
      </c>
      <c r="AH13" s="29">
        <v>0</v>
      </c>
      <c r="AI13" s="29">
        <v>0</v>
      </c>
      <c r="AJ13" s="29">
        <v>0</v>
      </c>
      <c r="AK13" s="29">
        <v>0</v>
      </c>
    </row>
    <row r="14" spans="3:37" ht="14.4">
      <c r="C14" t="s">
        <v>126</v>
      </c>
      <c r="D14" s="28" t="s">
        <v>127</v>
      </c>
      <c r="G14" t="s">
        <v>6</v>
      </c>
      <c r="H14">
        <v>2018</v>
      </c>
      <c r="I14" s="16" t="s">
        <v>51</v>
      </c>
      <c r="J14" s="29">
        <v>45.9683637522608</v>
      </c>
      <c r="K14" s="30"/>
      <c r="L14" s="29">
        <v>0</v>
      </c>
      <c r="M14" s="29">
        <v>40.4401628128524</v>
      </c>
      <c r="N14" s="29">
        <v>0</v>
      </c>
      <c r="O14" s="29">
        <v>0</v>
      </c>
      <c r="P14" s="29">
        <v>0</v>
      </c>
      <c r="Q14" s="29">
        <v>0</v>
      </c>
      <c r="R14" s="29">
        <v>0</v>
      </c>
      <c r="S14" s="29">
        <v>0</v>
      </c>
      <c r="T14" s="29">
        <v>0</v>
      </c>
      <c r="U14" s="29">
        <v>0</v>
      </c>
      <c r="V14" s="29">
        <v>0</v>
      </c>
      <c r="W14" s="29">
        <v>0</v>
      </c>
      <c r="X14" s="29">
        <v>2.39450762427477</v>
      </c>
      <c r="Y14" s="29">
        <v>2.2140070109418901</v>
      </c>
      <c r="Z14" s="29">
        <v>0.24127325087308299</v>
      </c>
      <c r="AA14" s="29">
        <v>0</v>
      </c>
      <c r="AB14" s="29">
        <v>0</v>
      </c>
      <c r="AC14" s="29">
        <v>0</v>
      </c>
      <c r="AD14" s="29">
        <v>0</v>
      </c>
      <c r="AE14" s="29">
        <v>0</v>
      </c>
      <c r="AF14" s="29">
        <v>0.68881548910784596</v>
      </c>
      <c r="AG14" s="29">
        <v>0</v>
      </c>
      <c r="AH14" s="29">
        <v>0</v>
      </c>
      <c r="AI14" s="29">
        <v>0</v>
      </c>
      <c r="AJ14" s="29">
        <v>0</v>
      </c>
      <c r="AK14" s="29">
        <v>0</v>
      </c>
    </row>
    <row r="15" spans="3:37" ht="14.4">
      <c r="C15" t="s">
        <v>126</v>
      </c>
      <c r="D15" s="31" t="s">
        <v>127</v>
      </c>
      <c r="G15" t="s">
        <v>6</v>
      </c>
      <c r="H15">
        <v>2018</v>
      </c>
      <c r="I15" t="s">
        <v>128</v>
      </c>
      <c r="J15" s="30">
        <v>1.1544546193487999</v>
      </c>
      <c r="K15" s="30">
        <v>1.1544546193487999</v>
      </c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</row>
    <row r="16" spans="3:37" ht="14.4">
      <c r="C16" t="s">
        <v>126</v>
      </c>
      <c r="D16" s="31" t="s">
        <v>127</v>
      </c>
      <c r="G16" t="s">
        <v>6</v>
      </c>
      <c r="H16">
        <v>2018</v>
      </c>
      <c r="I16" t="s">
        <v>129</v>
      </c>
      <c r="J16" s="30">
        <v>2.0006897535500099</v>
      </c>
      <c r="K16" s="30">
        <v>2.0006897535500099</v>
      </c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</row>
    <row r="17" spans="3:37" ht="14.4">
      <c r="C17" t="s">
        <v>126</v>
      </c>
      <c r="D17" s="31" t="s">
        <v>127</v>
      </c>
      <c r="G17" t="s">
        <v>6</v>
      </c>
      <c r="H17">
        <v>2018</v>
      </c>
      <c r="I17" t="s">
        <v>130</v>
      </c>
      <c r="J17" s="30">
        <v>0.78876799986757495</v>
      </c>
      <c r="K17" s="30">
        <v>0.78876799986757495</v>
      </c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</row>
    <row r="18" spans="3:37" ht="14.4">
      <c r="C18" t="s">
        <v>126</v>
      </c>
      <c r="D18" s="31" t="s">
        <v>127</v>
      </c>
      <c r="G18" t="s">
        <v>6</v>
      </c>
      <c r="H18">
        <v>2018</v>
      </c>
      <c r="I18" t="s">
        <v>131</v>
      </c>
      <c r="J18" s="30">
        <v>1.05169316530962</v>
      </c>
      <c r="K18" s="30">
        <v>1.05169316530962</v>
      </c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</row>
    <row r="19" spans="3:37" ht="14.4">
      <c r="C19" t="s">
        <v>126</v>
      </c>
      <c r="D19" s="31" t="s">
        <v>127</v>
      </c>
      <c r="G19" t="s">
        <v>6</v>
      </c>
      <c r="H19">
        <v>2018</v>
      </c>
      <c r="I19" t="s">
        <v>132</v>
      </c>
      <c r="J19" s="30">
        <v>0.84878652127122001</v>
      </c>
      <c r="K19" s="30">
        <v>0.84878652127122001</v>
      </c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</row>
    <row r="20" spans="3:37" ht="14.4">
      <c r="C20" t="s">
        <v>126</v>
      </c>
      <c r="D20" s="31" t="s">
        <v>127</v>
      </c>
      <c r="G20" t="s">
        <v>6</v>
      </c>
      <c r="H20">
        <v>2018</v>
      </c>
      <c r="I20" t="s">
        <v>133</v>
      </c>
      <c r="J20" s="30">
        <v>9.2169270601308995</v>
      </c>
      <c r="K20" s="30">
        <v>9.2169270601308995</v>
      </c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</row>
    <row r="21" spans="3:37" ht="14.4">
      <c r="C21" t="s">
        <v>126</v>
      </c>
      <c r="D21" s="31" t="s">
        <v>127</v>
      </c>
      <c r="G21" t="s">
        <v>6</v>
      </c>
      <c r="H21">
        <v>2018</v>
      </c>
      <c r="I21" t="s">
        <v>134</v>
      </c>
      <c r="J21" s="30">
        <v>0</v>
      </c>
      <c r="K21" s="30">
        <v>0</v>
      </c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</row>
    <row r="22" spans="3:37" ht="14.4">
      <c r="C22" t="s">
        <v>126</v>
      </c>
      <c r="D22" s="31" t="s">
        <v>127</v>
      </c>
      <c r="G22" t="s">
        <v>6</v>
      </c>
      <c r="H22">
        <v>2018</v>
      </c>
      <c r="I22" t="s">
        <v>53</v>
      </c>
      <c r="J22" s="30">
        <v>211.819885</v>
      </c>
      <c r="K22" s="30">
        <v>211.819885</v>
      </c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</row>
    <row r="23" spans="3:37" ht="14.4">
      <c r="C23" t="s">
        <v>126</v>
      </c>
      <c r="D23" s="31" t="s">
        <v>127</v>
      </c>
      <c r="G23" t="s">
        <v>6</v>
      </c>
      <c r="H23">
        <v>2018</v>
      </c>
      <c r="I23" t="s">
        <v>55</v>
      </c>
      <c r="J23" s="30">
        <v>788.06472099999996</v>
      </c>
      <c r="K23" s="30">
        <v>788.06472099999996</v>
      </c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</row>
    <row r="24" spans="3:37" ht="14.4">
      <c r="C24" t="s">
        <v>126</v>
      </c>
      <c r="D24" s="31" t="s">
        <v>127</v>
      </c>
      <c r="G24" t="s">
        <v>6</v>
      </c>
      <c r="H24">
        <v>2018</v>
      </c>
      <c r="I24" t="s">
        <v>57</v>
      </c>
      <c r="J24" s="30">
        <v>735.40672900000004</v>
      </c>
      <c r="K24" s="30">
        <v>735.40672900000004</v>
      </c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</row>
    <row r="25" spans="3:37" ht="14.4">
      <c r="C25" t="s">
        <v>126</v>
      </c>
      <c r="D25" s="28" t="s">
        <v>127</v>
      </c>
      <c r="G25" t="s">
        <v>6</v>
      </c>
      <c r="H25">
        <v>2018</v>
      </c>
      <c r="I25" t="s">
        <v>7</v>
      </c>
      <c r="J25" s="29"/>
      <c r="K25" s="29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</row>
    <row r="26" spans="3:37" ht="14.4">
      <c r="C26" t="s">
        <v>126</v>
      </c>
      <c r="D26" s="28" t="s">
        <v>127</v>
      </c>
      <c r="G26" t="s">
        <v>6</v>
      </c>
      <c r="H26">
        <v>2018</v>
      </c>
      <c r="I26" t="s">
        <v>9</v>
      </c>
      <c r="J26" s="29"/>
      <c r="K26" s="29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</row>
    <row r="27" spans="3:37" ht="14.4">
      <c r="C27" t="s">
        <v>126</v>
      </c>
      <c r="D27" s="28" t="s">
        <v>127</v>
      </c>
      <c r="G27" t="s">
        <v>6</v>
      </c>
      <c r="H27">
        <v>2018</v>
      </c>
      <c r="I27" t="s">
        <v>11</v>
      </c>
      <c r="J27" s="29"/>
      <c r="K27" s="29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</row>
    <row r="28" spans="3:37" ht="14.4">
      <c r="C28" t="s">
        <v>126</v>
      </c>
      <c r="D28" s="28" t="s">
        <v>127</v>
      </c>
      <c r="G28" t="s">
        <v>6</v>
      </c>
      <c r="H28">
        <v>2018</v>
      </c>
      <c r="I28" t="s">
        <v>13</v>
      </c>
      <c r="J28" s="29">
        <v>5</v>
      </c>
      <c r="K28" s="29">
        <v>5</v>
      </c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</row>
    <row r="29" spans="3:37" ht="14.4">
      <c r="C29" t="s">
        <v>126</v>
      </c>
      <c r="D29" s="28" t="s">
        <v>127</v>
      </c>
      <c r="G29" t="s">
        <v>6</v>
      </c>
      <c r="H29">
        <v>2018</v>
      </c>
      <c r="I29" t="s">
        <v>15</v>
      </c>
      <c r="J29" s="29"/>
      <c r="K29" s="29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</row>
    <row r="30" spans="3:37" ht="14.4">
      <c r="C30" t="s">
        <v>126</v>
      </c>
      <c r="D30" s="28" t="s">
        <v>127</v>
      </c>
      <c r="G30" t="s">
        <v>6</v>
      </c>
      <c r="H30">
        <v>2018</v>
      </c>
      <c r="I30" t="s">
        <v>17</v>
      </c>
      <c r="J30" s="29">
        <v>5.7000000000000002</v>
      </c>
      <c r="K30" s="29">
        <v>5.7000000000000002</v>
      </c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</row>
    <row r="31" spans="3:37" ht="14.4">
      <c r="C31" t="s">
        <v>126</v>
      </c>
      <c r="D31" s="28" t="s">
        <v>127</v>
      </c>
      <c r="G31" t="s">
        <v>6</v>
      </c>
      <c r="H31">
        <v>2018</v>
      </c>
      <c r="I31" t="s">
        <v>19</v>
      </c>
      <c r="J31" s="29"/>
      <c r="K31" s="29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</row>
    <row r="32" spans="3:37" ht="14.4">
      <c r="C32" t="s">
        <v>126</v>
      </c>
      <c r="D32" s="28" t="s">
        <v>127</v>
      </c>
      <c r="G32" t="s">
        <v>6</v>
      </c>
      <c r="H32">
        <v>2018</v>
      </c>
      <c r="I32" t="s">
        <v>21</v>
      </c>
      <c r="J32" s="29">
        <v>2.3999999999999999</v>
      </c>
      <c r="K32" s="29">
        <v>2.3999999999999999</v>
      </c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</row>
    <row r="33" spans="3:37" ht="14.4">
      <c r="C33" t="s">
        <v>126</v>
      </c>
      <c r="D33" s="28" t="s">
        <v>127</v>
      </c>
      <c r="G33" t="s">
        <v>6</v>
      </c>
      <c r="H33">
        <v>2018</v>
      </c>
      <c r="I33" t="s">
        <v>23</v>
      </c>
      <c r="J33" s="29">
        <v>16.5</v>
      </c>
      <c r="K33" s="29">
        <v>16.5</v>
      </c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</row>
    <row r="34" spans="3:37" ht="14.4">
      <c r="C34" t="s">
        <v>126</v>
      </c>
      <c r="D34" s="28" t="s">
        <v>127</v>
      </c>
      <c r="G34" t="s">
        <v>6</v>
      </c>
      <c r="H34">
        <v>2018</v>
      </c>
      <c r="I34" t="s">
        <v>25</v>
      </c>
      <c r="J34" s="29"/>
      <c r="K34" s="29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</row>
    <row r="35" spans="3:37" ht="14.4">
      <c r="C35" t="s">
        <v>126</v>
      </c>
      <c r="D35" s="28" t="s">
        <v>127</v>
      </c>
      <c r="G35" t="s">
        <v>6</v>
      </c>
      <c r="H35">
        <v>2018</v>
      </c>
      <c r="I35" t="s">
        <v>27</v>
      </c>
      <c r="J35" s="29"/>
      <c r="K35" s="29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</row>
    <row r="36" spans="3:37" ht="14.4">
      <c r="C36" t="s">
        <v>126</v>
      </c>
      <c r="D36" s="28" t="s">
        <v>127</v>
      </c>
      <c r="G36" t="s">
        <v>6</v>
      </c>
      <c r="H36">
        <v>2018</v>
      </c>
      <c r="I36" t="s">
        <v>29</v>
      </c>
      <c r="J36" s="29"/>
      <c r="K36" s="29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</row>
    <row r="37" spans="3:37" ht="14.4">
      <c r="C37" t="s">
        <v>126</v>
      </c>
      <c r="D37" s="28" t="s">
        <v>127</v>
      </c>
      <c r="G37" t="s">
        <v>6</v>
      </c>
      <c r="H37">
        <v>2018</v>
      </c>
      <c r="I37" t="s">
        <v>31</v>
      </c>
      <c r="J37" s="29">
        <v>3.7999999999999998</v>
      </c>
      <c r="K37" s="29">
        <v>3.7999999999999998</v>
      </c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</row>
    <row r="38" spans="3:37" ht="14.4">
      <c r="C38" t="s">
        <v>126</v>
      </c>
      <c r="D38" s="28" t="s">
        <v>127</v>
      </c>
      <c r="G38" t="s">
        <v>6</v>
      </c>
      <c r="H38">
        <v>2018</v>
      </c>
      <c r="I38" s="33" t="s">
        <v>33</v>
      </c>
    </row>
    <row r="39" spans="3:37" ht="14.4">
      <c r="C39" t="s">
        <v>126</v>
      </c>
      <c r="D39" s="28" t="s">
        <v>127</v>
      </c>
      <c r="G39" t="s">
        <v>6</v>
      </c>
      <c r="H39">
        <v>2018</v>
      </c>
      <c r="I39" t="s">
        <v>135</v>
      </c>
      <c r="J39">
        <v>28.901664567933999</v>
      </c>
      <c r="K39">
        <v>28.901664567933999</v>
      </c>
    </row>
    <row r="40" spans="3:37" ht="14.4">
      <c r="C40" t="s">
        <v>126</v>
      </c>
      <c r="D40" s="28" t="s">
        <v>127</v>
      </c>
      <c r="G40" t="s">
        <v>6</v>
      </c>
      <c r="H40">
        <v>2018</v>
      </c>
      <c r="I40" t="s">
        <v>137</v>
      </c>
      <c r="J40">
        <v>58.151541961987597</v>
      </c>
      <c r="K40">
        <v>58.151541961987597</v>
      </c>
    </row>
    <row r="41" spans="3:37" ht="14.4">
      <c r="C41" t="s">
        <v>126</v>
      </c>
      <c r="D41" s="28" t="s">
        <v>127</v>
      </c>
      <c r="G41" t="s">
        <v>6</v>
      </c>
      <c r="H41">
        <v>2018</v>
      </c>
      <c r="I41" t="s">
        <v>139</v>
      </c>
      <c r="J41">
        <v>5.6291760000000002</v>
      </c>
      <c r="K41">
        <v>5.6291760000000002</v>
      </c>
    </row>
    <row r="42" spans="3:37" ht="14.4">
      <c r="C42" t="s">
        <v>126</v>
      </c>
      <c r="D42" s="28" t="s">
        <v>127</v>
      </c>
      <c r="G42" t="s">
        <v>6</v>
      </c>
      <c r="H42">
        <v>2018</v>
      </c>
      <c r="I42" t="s">
        <v>141</v>
      </c>
      <c r="J42">
        <v>0.47999999999999998</v>
      </c>
      <c r="K42">
        <v>0.47999999999999998</v>
      </c>
    </row>
    <row r="47" spans="3:7" ht="14.4">
      <c r="C47" s="1" t="s">
        <v>191</v>
      </c>
      <c r="D47" s="1"/>
      <c r="E47" s="1"/>
      <c r="F47" s="1"/>
      <c r="G47" s="1"/>
    </row>
    <row r="48" spans="3:7" ht="14.4">
      <c r="C48" s="3"/>
      <c r="D48" s="2"/>
      <c r="E48" s="2"/>
      <c r="F48" s="71" t="s">
        <v>197</v>
      </c>
      <c r="G48" s="71" t="s">
        <v>192</v>
      </c>
    </row>
    <row r="49" spans="3:7" ht="31.8">
      <c r="C49" s="70" t="s">
        <v>120</v>
      </c>
      <c r="D49" s="69" t="s">
        <v>193</v>
      </c>
      <c r="E49" s="69" t="s">
        <v>194</v>
      </c>
      <c r="F49" s="68" t="s">
        <v>195</v>
      </c>
      <c r="G49" s="68" t="s">
        <v>196</v>
      </c>
    </row>
    <row r="50" spans="3:7" ht="14.4">
      <c r="C50" s="67">
        <v>2015</v>
      </c>
      <c r="D50" s="66">
        <v>1236</v>
      </c>
      <c r="E50" s="66">
        <v>23364</v>
      </c>
      <c r="F50" s="65">
        <v>24600</v>
      </c>
      <c r="G50" s="64">
        <v>5</v>
      </c>
    </row>
    <row r="51" spans="3:7" ht="14.4">
      <c r="C51" s="67">
        <v>2016</v>
      </c>
      <c r="D51" s="66">
        <v>1477</v>
      </c>
      <c r="E51" s="66">
        <v>23879</v>
      </c>
      <c r="F51" s="65">
        <v>25356</v>
      </c>
      <c r="G51" s="64">
        <v>6</v>
      </c>
    </row>
    <row r="52" spans="3:7" ht="14.4">
      <c r="C52" s="67">
        <v>2017</v>
      </c>
      <c r="D52" s="66">
        <v>1755</v>
      </c>
      <c r="E52" s="66">
        <v>23970</v>
      </c>
      <c r="F52" s="65">
        <v>25725</v>
      </c>
      <c r="G52" s="64">
        <v>7</v>
      </c>
    </row>
    <row r="53" spans="3:7" ht="14.4">
      <c r="C53" s="67">
        <v>2018</v>
      </c>
      <c r="D53" s="66">
        <v>2172</v>
      </c>
      <c r="E53" s="66">
        <v>24558</v>
      </c>
      <c r="F53" s="65">
        <v>26730</v>
      </c>
      <c r="G53" s="64">
        <v>8</v>
      </c>
    </row>
    <row r="54" spans="3:7" ht="14.4">
      <c r="C54" s="67">
        <v>2019</v>
      </c>
      <c r="D54" s="66">
        <v>2478</v>
      </c>
      <c r="E54" s="66">
        <v>24027</v>
      </c>
      <c r="F54" s="65">
        <v>26505</v>
      </c>
      <c r="G54" s="64">
        <v>9</v>
      </c>
    </row>
    <row r="55" spans="3:7" ht="14.4">
      <c r="C55" s="67">
        <v>2020</v>
      </c>
      <c r="D55" s="66">
        <v>3019</v>
      </c>
      <c r="E55" s="66">
        <v>24037</v>
      </c>
      <c r="F55" s="65">
        <v>27056</v>
      </c>
      <c r="G55" s="64">
        <v>11</v>
      </c>
    </row>
    <row r="56" spans="3:7" ht="14.4">
      <c r="C56" s="67">
        <v>2021</v>
      </c>
      <c r="D56" s="66">
        <v>4001</v>
      </c>
      <c r="E56" s="66">
        <v>24505</v>
      </c>
      <c r="F56" s="65">
        <v>28506</v>
      </c>
      <c r="G56" s="64">
        <v>14</v>
      </c>
    </row>
    <row r="57" spans="3:7" ht="14.4">
      <c r="C57" s="7">
        <v>2022</v>
      </c>
      <c r="D57" s="63">
        <v>5252</v>
      </c>
      <c r="E57" s="63">
        <v>24248</v>
      </c>
      <c r="F57" s="62">
        <v>29500</v>
      </c>
      <c r="G57" s="61">
        <v>18</v>
      </c>
    </row>
    <row r="59" spans="4:5" ht="14.4">
      <c r="D59" s="69" t="s">
        <v>193</v>
      </c>
      <c r="E59" s="16"/>
    </row>
    <row r="60" spans="3:5" ht="14.4">
      <c r="C60" s="70" t="s">
        <v>120</v>
      </c>
      <c r="D60" s="16" t="s">
        <v>197</v>
      </c>
      <c r="E60" s="16" t="s">
        <v>198</v>
      </c>
    </row>
    <row r="61" spans="3:5" ht="14.4">
      <c r="C61" s="67">
        <v>2015</v>
      </c>
      <c r="D61" s="66">
        <v>1236</v>
      </c>
      <c r="E61">
        <f>D61*3.6/1000</f>
        <v>4.4496000000000002</v>
      </c>
    </row>
    <row r="62" spans="3:5" ht="14.4">
      <c r="C62" s="67">
        <v>2016</v>
      </c>
      <c r="D62" s="66">
        <v>1477</v>
      </c>
      <c r="E62">
        <f t="shared" si="0" ref="E62:E68">D62*3.6/1000</f>
        <v>5.3171999999999997</v>
      </c>
    </row>
    <row r="63" spans="3:5" ht="14.4">
      <c r="C63" s="67">
        <v>2017</v>
      </c>
      <c r="D63" s="66">
        <v>1755</v>
      </c>
      <c r="E63">
        <f t="shared" si="0"/>
        <v>6.3179999999999996</v>
      </c>
    </row>
    <row r="64" spans="3:5" ht="14.4">
      <c r="C64" s="67">
        <v>2018</v>
      </c>
      <c r="D64" s="66">
        <v>2172</v>
      </c>
      <c r="E64">
        <f t="shared" si="0"/>
        <v>7.8191999999999995</v>
      </c>
    </row>
    <row r="65" spans="3:5" ht="14.4">
      <c r="C65" s="67">
        <v>2019</v>
      </c>
      <c r="D65" s="66">
        <v>2478</v>
      </c>
      <c r="E65">
        <f t="shared" si="0"/>
        <v>8.9208000000000016</v>
      </c>
    </row>
    <row r="66" spans="3:5" ht="14.4">
      <c r="C66" s="67">
        <v>2020</v>
      </c>
      <c r="D66" s="66">
        <v>3019</v>
      </c>
      <c r="E66">
        <f t="shared" si="0"/>
        <v>10.868399999999999</v>
      </c>
    </row>
    <row r="67" spans="3:5" ht="14.4">
      <c r="C67" s="67">
        <v>2021</v>
      </c>
      <c r="D67" s="66">
        <v>4001</v>
      </c>
      <c r="E67">
        <f t="shared" si="0"/>
        <v>14.403600000000001</v>
      </c>
    </row>
    <row r="68" spans="3:5" ht="14.4">
      <c r="C68" s="7">
        <v>2022</v>
      </c>
      <c r="D68" s="63">
        <v>5252</v>
      </c>
      <c r="E68">
        <f t="shared" si="0"/>
        <v>18.9072</v>
      </c>
    </row>
  </sheetData>
  <mergeCells count="2">
    <mergeCell ref="C48:E48"/>
    <mergeCell ref="C47:G47"/>
  </mergeCells>
  <pageMargins left="0.7" right="0.7" top="0.75" bottom="0.75" header="0.3" footer="0.3"/>
  <pageSetup orientation="portrait" paperSize="1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35F79E2-0844-4822-9D59-D3ED84BB7C05}">
  <sheetPr codeName="Sheet2"/>
  <dimension ref="B2:AF246"/>
  <sheetViews>
    <sheetView workbookViewId="0" topLeftCell="A135">
      <selection pane="topLeft" activeCell="I97" sqref="I97"/>
    </sheetView>
  </sheetViews>
  <sheetFormatPr defaultColWidth="9.21428571428571" defaultRowHeight="14.4"/>
  <cols>
    <col min="4" max="4" width="11.1428571428571" bestFit="1" customWidth="1"/>
    <col min="27" max="27" width="9.14285714285714" customWidth="1"/>
  </cols>
  <sheetData>
    <row r="2" spans="2:2" ht="14.4">
      <c r="B2" t="s">
        <v>122</v>
      </c>
    </row>
    <row r="3" spans="2:32" ht="15" thickBot="1">
      <c r="B3" s="22" t="s">
        <v>121</v>
      </c>
      <c r="C3" s="22" t="s">
        <v>2</v>
      </c>
      <c r="D3" s="22" t="s">
        <v>3</v>
      </c>
      <c r="E3" s="22" t="s">
        <v>5</v>
      </c>
      <c r="F3" s="22" t="s">
        <v>120</v>
      </c>
      <c r="G3" s="21" t="str">
        <f>Regions!E$3</f>
        <v>IE-CW</v>
      </c>
      <c r="H3" s="21" t="str">
        <f>Regions!F$3</f>
        <v>IE-D</v>
      </c>
      <c r="I3" s="21" t="str">
        <f>Regions!G$3</f>
        <v>IE-KE</v>
      </c>
      <c r="J3" s="21" t="str">
        <f>Regions!H$3</f>
        <v>IE-KK</v>
      </c>
      <c r="K3" s="21" t="str">
        <f>Regions!I$3</f>
        <v>IE-LS</v>
      </c>
      <c r="L3" s="21" t="str">
        <f>Regions!J$3</f>
        <v>IE-LD</v>
      </c>
      <c r="M3" s="21" t="str">
        <f>Regions!K$3</f>
        <v>IE-LH</v>
      </c>
      <c r="N3" s="21" t="str">
        <f>Regions!L$3</f>
        <v>IE-MH</v>
      </c>
      <c r="O3" s="21" t="str">
        <f>Regions!M$3</f>
        <v>IE-OY</v>
      </c>
      <c r="P3" s="21" t="str">
        <f>Regions!N$3</f>
        <v>IE-WH</v>
      </c>
      <c r="Q3" s="21" t="str">
        <f>Regions!O$3</f>
        <v>IE-WX</v>
      </c>
      <c r="R3" s="21" t="str">
        <f>Regions!P$3</f>
        <v>IE-WW</v>
      </c>
      <c r="S3" s="21" t="str">
        <f>Regions!Q$3</f>
        <v>IE-CE</v>
      </c>
      <c r="T3" s="21" t="str">
        <f>Regions!R$3</f>
        <v>IE-CO</v>
      </c>
      <c r="U3" s="21" t="str">
        <f>Regions!S$3</f>
        <v>IE-KY</v>
      </c>
      <c r="V3" s="21" t="str">
        <f>Regions!T$3</f>
        <v>IE-LK</v>
      </c>
      <c r="W3" s="21" t="str">
        <f>Regions!U$3</f>
        <v>IE-TA</v>
      </c>
      <c r="X3" s="21" t="str">
        <f>Regions!V$3</f>
        <v>IE-WD</v>
      </c>
      <c r="Y3" s="21" t="str">
        <f>Regions!W$3</f>
        <v>IE-G</v>
      </c>
      <c r="Z3" s="21" t="str">
        <f>Regions!X$3</f>
        <v>IE-LM</v>
      </c>
      <c r="AA3" s="21" t="str">
        <f>Regions!Y$3</f>
        <v>IE-MO</v>
      </c>
      <c r="AB3" s="21" t="str">
        <f>Regions!Z$3</f>
        <v>IE-RN</v>
      </c>
      <c r="AC3" s="21" t="str">
        <f>Regions!AA$3</f>
        <v>IE-SO</v>
      </c>
      <c r="AD3" s="21" t="str">
        <f>Regions!AB$3</f>
        <v>IE-CN</v>
      </c>
      <c r="AE3" s="21" t="str">
        <f>Regions!AC$3</f>
        <v>IE-DL</v>
      </c>
      <c r="AF3" s="21" t="str">
        <f>Regions!AD$3</f>
        <v>IE-MN</v>
      </c>
    </row>
    <row r="4" spans="4:32" ht="14.4">
      <c r="D4" t="s">
        <v>6</v>
      </c>
      <c r="E4" t="str">
        <f>DEMANDS!$E$17</f>
        <v>TRAPS</v>
      </c>
      <c r="F4">
        <v>2020</v>
      </c>
      <c r="G4" s="18">
        <f>HLOOKUP(REG_TRA_DEMANDS!G$3,'BY-Demands'!$J$5:$AK$14,MATCH($E4,'BY-Demands'!$I$5:$I$14,0),FALSE)*HLOOKUP(REG_TRA_DEMANDS!$F4,DEMANDS!$G$2:$CK$25,MATCH($E4,DEMANDS!$E$2:$E$25,0),FALSE)/HLOOKUP(2018,DEMANDS!$G$2:$CK$25,MATCH($E4,DEMANDS!$E$2:$E$25,0),FALSE)</f>
        <v>0.14102260336618419</v>
      </c>
      <c r="H4" s="18">
        <f>HLOOKUP(REG_TRA_DEMANDS!H$3,'BY-Demands'!$J$5:$AK$14,MATCH($E4,'BY-Demands'!$I$5:$I$14,0),FALSE)*HLOOKUP(REG_TRA_DEMANDS!$F4,DEMANDS!$G$2:$CK$25,MATCH($E4,DEMANDS!$E$2:$E$25,0),FALSE)/HLOOKUP(2018,DEMANDS!$G$2:$CK$25,MATCH($E4,DEMANDS!$E$2:$E$25,0),FALSE)</f>
        <v>2.8193762108637852</v>
      </c>
      <c r="I4" s="18">
        <f>HLOOKUP(REG_TRA_DEMANDS!I$3,'BY-Demands'!$J$5:$AK$14,MATCH($E4,'BY-Demands'!$I$5:$I$14,0),FALSE)*HLOOKUP(REG_TRA_DEMANDS!$F4,DEMANDS!$G$2:$CK$25,MATCH($E4,DEMANDS!$E$2:$E$25,0),FALSE)/HLOOKUP(2018,DEMANDS!$G$2:$CK$25,MATCH($E4,DEMANDS!$E$2:$E$25,0),FALSE)</f>
        <v>0.51996369762144268</v>
      </c>
      <c r="J4" s="18">
        <f>HLOOKUP(REG_TRA_DEMANDS!J$3,'BY-Demands'!$J$5:$AK$14,MATCH($E4,'BY-Demands'!$I$5:$I$14,0),FALSE)*HLOOKUP(REG_TRA_DEMANDS!$F4,DEMANDS!$G$2:$CK$25,MATCH($E4,DEMANDS!$E$2:$E$25,0),FALSE)/HLOOKUP(2018,DEMANDS!$G$2:$CK$25,MATCH($E4,DEMANDS!$E$2:$E$25,0),FALSE)</f>
        <v>0.2412295956815371</v>
      </c>
      <c r="K4" s="18">
        <f>HLOOKUP(REG_TRA_DEMANDS!K$3,'BY-Demands'!$J$5:$AK$14,MATCH($E4,'BY-Demands'!$I$5:$I$14,0),FALSE)*HLOOKUP(REG_TRA_DEMANDS!$F4,DEMANDS!$G$2:$CK$25,MATCH($E4,DEMANDS!$E$2:$E$25,0),FALSE)/HLOOKUP(2018,DEMANDS!$G$2:$CK$25,MATCH($E4,DEMANDS!$E$2:$E$25,0),FALSE)</f>
        <v>0.19018531303154435</v>
      </c>
      <c r="L4" s="18">
        <f>HLOOKUP(REG_TRA_DEMANDS!L$3,'BY-Demands'!$J$5:$AK$14,MATCH($E4,'BY-Demands'!$I$5:$I$14,0),FALSE)*HLOOKUP(REG_TRA_DEMANDS!$F4,DEMANDS!$G$2:$CK$25,MATCH($E4,DEMANDS!$E$2:$E$25,0),FALSE)/HLOOKUP(2018,DEMANDS!$G$2:$CK$25,MATCH($E4,DEMANDS!$E$2:$E$25,0),FALSE)</f>
        <v>0.095561633661176384</v>
      </c>
      <c r="M4" s="18">
        <f>HLOOKUP(REG_TRA_DEMANDS!M$3,'BY-Demands'!$J$5:$AK$14,MATCH($E4,'BY-Demands'!$I$5:$I$14,0),FALSE)*HLOOKUP(REG_TRA_DEMANDS!$F4,DEMANDS!$G$2:$CK$25,MATCH($E4,DEMANDS!$E$2:$E$25,0),FALSE)/HLOOKUP(2018,DEMANDS!$G$2:$CK$25,MATCH($E4,DEMANDS!$E$2:$E$25,0),FALSE)</f>
        <v>0.27402416687719383</v>
      </c>
      <c r="N4" s="18">
        <f>HLOOKUP(REG_TRA_DEMANDS!N$3,'BY-Demands'!$J$5:$AK$14,MATCH($E4,'BY-Demands'!$I$5:$I$14,0),FALSE)*HLOOKUP(REG_TRA_DEMANDS!$F4,DEMANDS!$G$2:$CK$25,MATCH($E4,DEMANDS!$E$2:$E$25,0),FALSE)/HLOOKUP(2018,DEMANDS!$G$2:$CK$25,MATCH($E4,DEMANDS!$E$2:$E$25,0),FALSE)</f>
        <v>0.45105079601868803</v>
      </c>
      <c r="O4" s="18">
        <f>HLOOKUP(REG_TRA_DEMANDS!O$3,'BY-Demands'!$J$5:$AK$14,MATCH($E4,'BY-Demands'!$I$5:$I$14,0),FALSE)*HLOOKUP(REG_TRA_DEMANDS!$F4,DEMANDS!$G$2:$CK$25,MATCH($E4,DEMANDS!$E$2:$E$25,0),FALSE)/HLOOKUP(2018,DEMANDS!$G$2:$CK$25,MATCH($E4,DEMANDS!$E$2:$E$25,0),FALSE)</f>
        <v>0.18671376666095213</v>
      </c>
      <c r="P4" s="18">
        <f>HLOOKUP(REG_TRA_DEMANDS!P$3,'BY-Demands'!$J$5:$AK$14,MATCH($E4,'BY-Demands'!$I$5:$I$14,0),FALSE)*HLOOKUP(REG_TRA_DEMANDS!$F4,DEMANDS!$G$2:$CK$25,MATCH($E4,DEMANDS!$E$2:$E$25,0),FALSE)/HLOOKUP(2018,DEMANDS!$G$2:$CK$25,MATCH($E4,DEMANDS!$E$2:$E$25,0),FALSE)</f>
        <v>0.21163803569729758</v>
      </c>
      <c r="Q4" s="18">
        <f>HLOOKUP(REG_TRA_DEMANDS!Q$3,'BY-Demands'!$J$5:$AK$14,MATCH($E4,'BY-Demands'!$I$5:$I$14,0),FALSE)*HLOOKUP(REG_TRA_DEMANDS!$F4,DEMANDS!$G$2:$CK$25,MATCH($E4,DEMANDS!$E$2:$E$25,0),FALSE)/HLOOKUP(2018,DEMANDS!$G$2:$CK$25,MATCH($E4,DEMANDS!$E$2:$E$25,0),FALSE)</f>
        <v>0.36834282959899767</v>
      </c>
      <c r="R4" s="18">
        <f>HLOOKUP(REG_TRA_DEMANDS!R$3,'BY-Demands'!$J$5:$AK$14,MATCH($E4,'BY-Demands'!$I$5:$I$14,0),FALSE)*HLOOKUP(REG_TRA_DEMANDS!$F4,DEMANDS!$G$2:$CK$25,MATCH($E4,DEMANDS!$E$2:$E$25,0),FALSE)/HLOOKUP(2018,DEMANDS!$G$2:$CK$25,MATCH($E4,DEMANDS!$E$2:$E$25,0),FALSE)</f>
        <v>0.32581863140183054</v>
      </c>
      <c r="S4" s="18">
        <f>HLOOKUP(REG_TRA_DEMANDS!S$3,'BY-Demands'!$J$5:$AK$14,MATCH($E4,'BY-Demands'!$I$5:$I$14,0),FALSE)*HLOOKUP(REG_TRA_DEMANDS!$F4,DEMANDS!$G$2:$CK$25,MATCH($E4,DEMANDS!$E$2:$E$25,0),FALSE)/HLOOKUP(2018,DEMANDS!$G$2:$CK$25,MATCH($E4,DEMANDS!$E$2:$E$25,0),FALSE)</f>
        <v>0.28676020471389613</v>
      </c>
      <c r="T4" s="18">
        <f>HLOOKUP(REG_TRA_DEMANDS!T$3,'BY-Demands'!$J$5:$AK$14,MATCH($E4,'BY-Demands'!$I$5:$I$14,0),FALSE)*HLOOKUP(REG_TRA_DEMANDS!$F4,DEMANDS!$G$2:$CK$25,MATCH($E4,DEMANDS!$E$2:$E$25,0),FALSE)/HLOOKUP(2018,DEMANDS!$G$2:$CK$25,MATCH($E4,DEMANDS!$E$2:$E$25,0),FALSE)</f>
        <v>1.2126707484972317</v>
      </c>
      <c r="U4" s="18">
        <f>HLOOKUP(REG_TRA_DEMANDS!U$3,'BY-Demands'!$J$5:$AK$14,MATCH($E4,'BY-Demands'!$I$5:$I$14,0),FALSE)*HLOOKUP(REG_TRA_DEMANDS!$F4,DEMANDS!$G$2:$CK$25,MATCH($E4,DEMANDS!$E$2:$E$25,0),FALSE)/HLOOKUP(2018,DEMANDS!$G$2:$CK$25,MATCH($E4,DEMANDS!$E$2:$E$25,0),FALSE)</f>
        <v>0.37129140482878509</v>
      </c>
      <c r="V4" s="18">
        <f>HLOOKUP(REG_TRA_DEMANDS!V$3,'BY-Demands'!$J$5:$AK$14,MATCH($E4,'BY-Demands'!$I$5:$I$14,0),FALSE)*HLOOKUP(REG_TRA_DEMANDS!$F4,DEMANDS!$G$2:$CK$25,MATCH($E4,DEMANDS!$E$2:$E$25,0),FALSE)/HLOOKUP(2018,DEMANDS!$G$2:$CK$25,MATCH($E4,DEMANDS!$E$2:$E$25,0),FALSE)</f>
        <v>0.44273492088669852</v>
      </c>
      <c r="W4" s="18">
        <f>HLOOKUP(REG_TRA_DEMANDS!W$3,'BY-Demands'!$J$5:$AK$14,MATCH($E4,'BY-Demands'!$I$5:$I$14,0),FALSE)*HLOOKUP(REG_TRA_DEMANDS!$F4,DEMANDS!$G$2:$CK$25,MATCH($E4,DEMANDS!$E$2:$E$25,0),FALSE)/HLOOKUP(2018,DEMANDS!$G$2:$CK$25,MATCH($E4,DEMANDS!$E$2:$E$25,0),FALSE)</f>
        <v>0.40362820139863753</v>
      </c>
      <c r="X4" s="18">
        <f>HLOOKUP(REG_TRA_DEMANDS!X$3,'BY-Demands'!$J$5:$AK$14,MATCH($E4,'BY-Demands'!$I$5:$I$14,0),FALSE)*HLOOKUP(REG_TRA_DEMANDS!$F4,DEMANDS!$G$2:$CK$25,MATCH($E4,DEMANDS!$E$2:$E$25,0),FALSE)/HLOOKUP(2018,DEMANDS!$G$2:$CK$25,MATCH($E4,DEMANDS!$E$2:$E$25,0),FALSE)</f>
        <v>0.26802209006972721</v>
      </c>
      <c r="Y4" s="18">
        <f>HLOOKUP(REG_TRA_DEMANDS!Y$3,'BY-Demands'!$J$5:$AK$14,MATCH($E4,'BY-Demands'!$I$5:$I$14,0),FALSE)*HLOOKUP(REG_TRA_DEMANDS!$F4,DEMANDS!$G$2:$CK$25,MATCH($E4,DEMANDS!$E$2:$E$25,0),FALSE)/HLOOKUP(2018,DEMANDS!$G$2:$CK$25,MATCH($E4,DEMANDS!$E$2:$E$25,0),FALSE)</f>
        <v>0.59904734864666986</v>
      </c>
      <c r="Z4" s="18">
        <f>HLOOKUP(REG_TRA_DEMANDS!Z$3,'BY-Demands'!$J$5:$AK$14,MATCH($E4,'BY-Demands'!$I$5:$I$14,0),FALSE)*HLOOKUP(REG_TRA_DEMANDS!$F4,DEMANDS!$G$2:$CK$25,MATCH($E4,DEMANDS!$E$2:$E$25,0),FALSE)/HLOOKUP(2018,DEMANDS!$G$2:$CK$25,MATCH($E4,DEMANDS!$E$2:$E$25,0),FALSE)</f>
        <v>0.076883209959732524</v>
      </c>
      <c r="AA4" s="18">
        <f>HLOOKUP(REG_TRA_DEMANDS!AA$3,'BY-Demands'!$J$5:$AK$14,MATCH($E4,'BY-Demands'!$I$5:$I$14,0),FALSE)*HLOOKUP(REG_TRA_DEMANDS!$F4,DEMANDS!$G$2:$CK$25,MATCH($E4,DEMANDS!$E$2:$E$25,0),FALSE)/HLOOKUP(2018,DEMANDS!$G$2:$CK$25,MATCH($E4,DEMANDS!$E$2:$E$25,0),FALSE)</f>
        <v>0.32081898120752922</v>
      </c>
      <c r="AB4" s="18">
        <f>HLOOKUP(REG_TRA_DEMANDS!AB$3,'BY-Demands'!$J$5:$AK$14,MATCH($E4,'BY-Demands'!$I$5:$I$14,0),FALSE)*HLOOKUP(REG_TRA_DEMANDS!$F4,DEMANDS!$G$2:$CK$25,MATCH($E4,DEMANDS!$E$2:$E$25,0),FALSE)/HLOOKUP(2018,DEMANDS!$G$2:$CK$25,MATCH($E4,DEMANDS!$E$2:$E$25,0),FALSE)</f>
        <v>0.1678236258531208</v>
      </c>
      <c r="AC4" s="18">
        <f>HLOOKUP(REG_TRA_DEMANDS!AC$3,'BY-Demands'!$J$5:$AK$14,MATCH($E4,'BY-Demands'!$I$5:$I$14,0),FALSE)*HLOOKUP(REG_TRA_DEMANDS!$F4,DEMANDS!$G$2:$CK$25,MATCH($E4,DEMANDS!$E$2:$E$25,0),FALSE)/HLOOKUP(2018,DEMANDS!$G$2:$CK$25,MATCH($E4,DEMANDS!$E$2:$E$25,0),FALSE)</f>
        <v>0.14796147778469043</v>
      </c>
      <c r="AD4" s="18">
        <f>HLOOKUP(REG_TRA_DEMANDS!AD$3,'BY-Demands'!$J$5:$AK$14,MATCH($E4,'BY-Demands'!$I$5:$I$14,0),FALSE)*HLOOKUP(REG_TRA_DEMANDS!$F4,DEMANDS!$G$2:$CK$25,MATCH($E4,DEMANDS!$E$2:$E$25,0),FALSE)/HLOOKUP(2018,DEMANDS!$G$2:$CK$25,MATCH($E4,DEMANDS!$E$2:$E$25,0),FALSE)</f>
        <v>0.16503614500140071</v>
      </c>
      <c r="AE4" s="18">
        <f>HLOOKUP(REG_TRA_DEMANDS!AE$3,'BY-Demands'!$J$5:$AK$14,MATCH($E4,'BY-Demands'!$I$5:$I$14,0),FALSE)*HLOOKUP(REG_TRA_DEMANDS!$F4,DEMANDS!$G$2:$CK$25,MATCH($E4,DEMANDS!$E$2:$E$25,0),FALSE)/HLOOKUP(2018,DEMANDS!$G$2:$CK$25,MATCH($E4,DEMANDS!$E$2:$E$25,0),FALSE)</f>
        <v>0.32014165283799628</v>
      </c>
      <c r="AF4" s="18">
        <f>HLOOKUP(REG_TRA_DEMANDS!AF$3,'BY-Demands'!$J$5:$AK$14,MATCH($E4,'BY-Demands'!$I$5:$I$14,0),FALSE)*HLOOKUP(REG_TRA_DEMANDS!$F4,DEMANDS!$G$2:$CK$25,MATCH($E4,DEMANDS!$E$2:$E$25,0),FALSE)/HLOOKUP(2018,DEMANDS!$G$2:$CK$25,MATCH($E4,DEMANDS!$E$2:$E$25,0),FALSE)</f>
        <v>0.15354445783325901</v>
      </c>
    </row>
    <row r="5" spans="4:32" ht="14.4">
      <c r="D5" t="s">
        <v>6</v>
      </c>
      <c r="E5" t="str">
        <f>DEMANDS!$E$17</f>
        <v>TRAPS</v>
      </c>
      <c r="F5">
        <v>2021</v>
      </c>
      <c r="G5" s="18">
        <f>HLOOKUP(REG_TRA_DEMANDS!G$3,'BY-Demands'!$J$5:$AK$14,MATCH($E5,'BY-Demands'!$I$5:$I$14,0),FALSE)*HLOOKUP(REG_TRA_DEMANDS!$F5,DEMANDS!$G$2:$CK$25,MATCH($E5,DEMANDS!$E$2:$E$25,0),FALSE)/HLOOKUP(2018,DEMANDS!$G$2:$CK$25,MATCH($E5,DEMANDS!$E$2:$E$25,0),FALSE)</f>
        <v>0.17786261806237494</v>
      </c>
      <c r="H5" s="18">
        <f>HLOOKUP(REG_TRA_DEMANDS!H$3,'BY-Demands'!$J$5:$AK$14,MATCH($E5,'BY-Demands'!$I$5:$I$14,0),FALSE)*HLOOKUP(REG_TRA_DEMANDS!$F5,DEMANDS!$G$2:$CK$25,MATCH($E5,DEMANDS!$E$2:$E$25,0),FALSE)/HLOOKUP(2018,DEMANDS!$G$2:$CK$25,MATCH($E5,DEMANDS!$E$2:$E$25,0),FALSE)</f>
        <v>3.5558954536167411</v>
      </c>
      <c r="I5" s="18">
        <f>HLOOKUP(REG_TRA_DEMANDS!I$3,'BY-Demands'!$J$5:$AK$14,MATCH($E5,'BY-Demands'!$I$5:$I$14,0),FALSE)*HLOOKUP(REG_TRA_DEMANDS!$F5,DEMANDS!$G$2:$CK$25,MATCH($E5,DEMANDS!$E$2:$E$25,0),FALSE)/HLOOKUP(2018,DEMANDS!$G$2:$CK$25,MATCH($E5,DEMANDS!$E$2:$E$25,0),FALSE)</f>
        <v>0.65579632164498214</v>
      </c>
      <c r="J5" s="18">
        <f>HLOOKUP(REG_TRA_DEMANDS!J$3,'BY-Demands'!$J$5:$AK$14,MATCH($E5,'BY-Demands'!$I$5:$I$14,0),FALSE)*HLOOKUP(REG_TRA_DEMANDS!$F5,DEMANDS!$G$2:$CK$25,MATCH($E5,DEMANDS!$E$2:$E$25,0),FALSE)/HLOOKUP(2018,DEMANDS!$G$2:$CK$25,MATCH($E5,DEMANDS!$E$2:$E$25,0),FALSE)</f>
        <v>0.30424716618396175</v>
      </c>
      <c r="K5" s="18">
        <f>HLOOKUP(REG_TRA_DEMANDS!K$3,'BY-Demands'!$J$5:$AK$14,MATCH($E5,'BY-Demands'!$I$5:$I$14,0),FALSE)*HLOOKUP(REG_TRA_DEMANDS!$F5,DEMANDS!$G$2:$CK$25,MATCH($E5,DEMANDS!$E$2:$E$25,0),FALSE)/HLOOKUP(2018,DEMANDS!$G$2:$CK$25,MATCH($E5,DEMANDS!$E$2:$E$25,0),FALSE)</f>
        <v>0.23986833943893945</v>
      </c>
      <c r="L5" s="18">
        <f>HLOOKUP(REG_TRA_DEMANDS!L$3,'BY-Demands'!$J$5:$AK$14,MATCH($E5,'BY-Demands'!$I$5:$I$14,0),FALSE)*HLOOKUP(REG_TRA_DEMANDS!$F5,DEMANDS!$G$2:$CK$25,MATCH($E5,DEMANDS!$E$2:$E$25,0),FALSE)/HLOOKUP(2018,DEMANDS!$G$2:$CK$25,MATCH($E5,DEMANDS!$E$2:$E$25,0),FALSE)</f>
        <v>0.12052566002600176</v>
      </c>
      <c r="M5" s="18">
        <f>HLOOKUP(REG_TRA_DEMANDS!M$3,'BY-Demands'!$J$5:$AK$14,MATCH($E5,'BY-Demands'!$I$5:$I$14,0),FALSE)*HLOOKUP(REG_TRA_DEMANDS!$F5,DEMANDS!$G$2:$CK$25,MATCH($E5,DEMANDS!$E$2:$E$25,0),FALSE)/HLOOKUP(2018,DEMANDS!$G$2:$CK$25,MATCH($E5,DEMANDS!$E$2:$E$25,0),FALSE)</f>
        <v>0.34560882135030752</v>
      </c>
      <c r="N5" s="18">
        <f>HLOOKUP(REG_TRA_DEMANDS!N$3,'BY-Demands'!$J$5:$AK$14,MATCH($E5,'BY-Demands'!$I$5:$I$14,0),FALSE)*HLOOKUP(REG_TRA_DEMANDS!$F5,DEMANDS!$G$2:$CK$25,MATCH($E5,DEMANDS!$E$2:$E$25,0),FALSE)/HLOOKUP(2018,DEMANDS!$G$2:$CK$25,MATCH($E5,DEMANDS!$E$2:$E$25,0),FALSE)</f>
        <v>0.56888097045469288</v>
      </c>
      <c r="O5" s="18">
        <f>HLOOKUP(REG_TRA_DEMANDS!O$3,'BY-Demands'!$J$5:$AK$14,MATCH($E5,'BY-Demands'!$I$5:$I$14,0),FALSE)*HLOOKUP(REG_TRA_DEMANDS!$F5,DEMANDS!$G$2:$CK$25,MATCH($E5,DEMANDS!$E$2:$E$25,0),FALSE)/HLOOKUP(2018,DEMANDS!$G$2:$CK$25,MATCH($E5,DEMANDS!$E$2:$E$25,0),FALSE)</f>
        <v>0.2354899042699676</v>
      </c>
      <c r="P5" s="18">
        <f>HLOOKUP(REG_TRA_DEMANDS!P$3,'BY-Demands'!$J$5:$AK$14,MATCH($E5,'BY-Demands'!$I$5:$I$14,0),FALSE)*HLOOKUP(REG_TRA_DEMANDS!$F5,DEMANDS!$G$2:$CK$25,MATCH($E5,DEMANDS!$E$2:$E$25,0),FALSE)/HLOOKUP(2018,DEMANDS!$G$2:$CK$25,MATCH($E5,DEMANDS!$E$2:$E$25,0),FALSE)</f>
        <v>0.2669252602928901</v>
      </c>
      <c r="Q5" s="18">
        <f>HLOOKUP(REG_TRA_DEMANDS!Q$3,'BY-Demands'!$J$5:$AK$14,MATCH($E5,'BY-Demands'!$I$5:$I$14,0),FALSE)*HLOOKUP(REG_TRA_DEMANDS!$F5,DEMANDS!$G$2:$CK$25,MATCH($E5,DEMANDS!$E$2:$E$25,0),FALSE)/HLOOKUP(2018,DEMANDS!$G$2:$CK$25,MATCH($E5,DEMANDS!$E$2:$E$25,0),FALSE)</f>
        <v>0.46456680314476934</v>
      </c>
      <c r="R5" s="18">
        <f>HLOOKUP(REG_TRA_DEMANDS!R$3,'BY-Demands'!$J$5:$AK$14,MATCH($E5,'BY-Demands'!$I$5:$I$14,0),FALSE)*HLOOKUP(REG_TRA_DEMANDS!$F5,DEMANDS!$G$2:$CK$25,MATCH($E5,DEMANDS!$E$2:$E$25,0),FALSE)/HLOOKUP(2018,DEMANDS!$G$2:$CK$25,MATCH($E5,DEMANDS!$E$2:$E$25,0),FALSE)</f>
        <v>0.41093380359850573</v>
      </c>
      <c r="S5" s="18">
        <f>HLOOKUP(REG_TRA_DEMANDS!S$3,'BY-Demands'!$J$5:$AK$14,MATCH($E5,'BY-Demands'!$I$5:$I$14,0),FALSE)*HLOOKUP(REG_TRA_DEMANDS!$F5,DEMANDS!$G$2:$CK$25,MATCH($E5,DEMANDS!$E$2:$E$25,0),FALSE)/HLOOKUP(2018,DEMANDS!$G$2:$CK$25,MATCH($E5,DEMANDS!$E$2:$E$25,0),FALSE)</f>
        <v>0.3616719557649748</v>
      </c>
      <c r="T5" s="18">
        <f>HLOOKUP(REG_TRA_DEMANDS!T$3,'BY-Demands'!$J$5:$AK$14,MATCH($E5,'BY-Demands'!$I$5:$I$14,0),FALSE)*HLOOKUP(REG_TRA_DEMANDS!$F5,DEMANDS!$G$2:$CK$25,MATCH($E5,DEMANDS!$E$2:$E$25,0),FALSE)/HLOOKUP(2018,DEMANDS!$G$2:$CK$25,MATCH($E5,DEMANDS!$E$2:$E$25,0),FALSE)</f>
        <v>1.5294625756930076</v>
      </c>
      <c r="U5" s="18">
        <f>HLOOKUP(REG_TRA_DEMANDS!U$3,'BY-Demands'!$J$5:$AK$14,MATCH($E5,'BY-Demands'!$I$5:$I$14,0),FALSE)*HLOOKUP(REG_TRA_DEMANDS!$F5,DEMANDS!$G$2:$CK$25,MATCH($E5,DEMANDS!$E$2:$E$25,0),FALSE)/HLOOKUP(2018,DEMANDS!$G$2:$CK$25,MATCH($E5,DEMANDS!$E$2:$E$25,0),FALSE)</f>
        <v>0.46828564890002805</v>
      </c>
      <c r="V5" s="18">
        <f>HLOOKUP(REG_TRA_DEMANDS!V$3,'BY-Demands'!$J$5:$AK$14,MATCH($E5,'BY-Demands'!$I$5:$I$14,0),FALSE)*HLOOKUP(REG_TRA_DEMANDS!$F5,DEMANDS!$G$2:$CK$25,MATCH($E5,DEMANDS!$E$2:$E$25,0),FALSE)/HLOOKUP(2018,DEMANDS!$G$2:$CK$25,MATCH($E5,DEMANDS!$E$2:$E$25,0),FALSE)</f>
        <v>0.55839269916236101</v>
      </c>
      <c r="W5" s="18">
        <f>HLOOKUP(REG_TRA_DEMANDS!W$3,'BY-Demands'!$J$5:$AK$14,MATCH($E5,'BY-Demands'!$I$5:$I$14,0),FALSE)*HLOOKUP(REG_TRA_DEMANDS!$F5,DEMANDS!$G$2:$CK$25,MATCH($E5,DEMANDS!$E$2:$E$25,0),FALSE)/HLOOKUP(2018,DEMANDS!$G$2:$CK$25,MATCH($E5,DEMANDS!$E$2:$E$25,0),FALSE)</f>
        <v>0.50906994276765594</v>
      </c>
      <c r="X5" s="18">
        <f>HLOOKUP(REG_TRA_DEMANDS!X$3,'BY-Demands'!$J$5:$AK$14,MATCH($E5,'BY-Demands'!$I$5:$I$14,0),FALSE)*HLOOKUP(REG_TRA_DEMANDS!$F5,DEMANDS!$G$2:$CK$25,MATCH($E5,DEMANDS!$E$2:$E$25,0),FALSE)/HLOOKUP(2018,DEMANDS!$G$2:$CK$25,MATCH($E5,DEMANDS!$E$2:$E$25,0),FALSE)</f>
        <v>0.33803879307607798</v>
      </c>
      <c r="Y5" s="18">
        <f>HLOOKUP(REG_TRA_DEMANDS!Y$3,'BY-Demands'!$J$5:$AK$14,MATCH($E5,'BY-Demands'!$I$5:$I$14,0),FALSE)*HLOOKUP(REG_TRA_DEMANDS!$F5,DEMANDS!$G$2:$CK$25,MATCH($E5,DEMANDS!$E$2:$E$25,0),FALSE)/HLOOKUP(2018,DEMANDS!$G$2:$CK$25,MATCH($E5,DEMANDS!$E$2:$E$25,0),FALSE)</f>
        <v>0.75553937617329625</v>
      </c>
      <c r="Z5" s="18">
        <f>HLOOKUP(REG_TRA_DEMANDS!Z$3,'BY-Demands'!$J$5:$AK$14,MATCH($E5,'BY-Demands'!$I$5:$I$14,0),FALSE)*HLOOKUP(REG_TRA_DEMANDS!$F5,DEMANDS!$G$2:$CK$25,MATCH($E5,DEMANDS!$E$2:$E$25,0),FALSE)/HLOOKUP(2018,DEMANDS!$G$2:$CK$25,MATCH($E5,DEMANDS!$E$2:$E$25,0),FALSE)</f>
        <v>0.096967781632631034</v>
      </c>
      <c r="AA5" s="18">
        <f>HLOOKUP(REG_TRA_DEMANDS!AA$3,'BY-Demands'!$J$5:$AK$14,MATCH($E5,'BY-Demands'!$I$5:$I$14,0),FALSE)*HLOOKUP(REG_TRA_DEMANDS!$F5,DEMANDS!$G$2:$CK$25,MATCH($E5,DEMANDS!$E$2:$E$25,0),FALSE)/HLOOKUP(2018,DEMANDS!$G$2:$CK$25,MATCH($E5,DEMANDS!$E$2:$E$25,0),FALSE)</f>
        <v>0.40462807067535556</v>
      </c>
      <c r="AB5" s="18">
        <f>HLOOKUP(REG_TRA_DEMANDS!AB$3,'BY-Demands'!$J$5:$AK$14,MATCH($E5,'BY-Demands'!$I$5:$I$14,0),FALSE)*HLOOKUP(REG_TRA_DEMANDS!$F5,DEMANDS!$G$2:$CK$25,MATCH($E5,DEMANDS!$E$2:$E$25,0),FALSE)/HLOOKUP(2018,DEMANDS!$G$2:$CK$25,MATCH($E5,DEMANDS!$E$2:$E$25,0),FALSE)</f>
        <v>0.21166500088959611</v>
      </c>
      <c r="AC5" s="18">
        <f>HLOOKUP(REG_TRA_DEMANDS!AC$3,'BY-Demands'!$J$5:$AK$14,MATCH($E5,'BY-Demands'!$I$5:$I$14,0),FALSE)*HLOOKUP(REG_TRA_DEMANDS!$F5,DEMANDS!$G$2:$CK$25,MATCH($E5,DEMANDS!$E$2:$E$25,0),FALSE)/HLOOKUP(2018,DEMANDS!$G$2:$CK$25,MATCH($E5,DEMANDS!$E$2:$E$25,0),FALSE)</f>
        <v>0.18661416810486622</v>
      </c>
      <c r="AD5" s="18">
        <f>HLOOKUP(REG_TRA_DEMANDS!AD$3,'BY-Demands'!$J$5:$AK$14,MATCH($E5,'BY-Demands'!$I$5:$I$14,0),FALSE)*HLOOKUP(REG_TRA_DEMANDS!$F5,DEMANDS!$G$2:$CK$25,MATCH($E5,DEMANDS!$E$2:$E$25,0),FALSE)/HLOOKUP(2018,DEMANDS!$G$2:$CK$25,MATCH($E5,DEMANDS!$E$2:$E$25,0),FALSE)</f>
        <v>0.20814933297359342</v>
      </c>
      <c r="AE5" s="18">
        <f>HLOOKUP(REG_TRA_DEMANDS!AE$3,'BY-Demands'!$J$5:$AK$14,MATCH($E5,'BY-Demands'!$I$5:$I$14,0),FALSE)*HLOOKUP(REG_TRA_DEMANDS!$F5,DEMANDS!$G$2:$CK$25,MATCH($E5,DEMANDS!$E$2:$E$25,0),FALSE)/HLOOKUP(2018,DEMANDS!$G$2:$CK$25,MATCH($E5,DEMANDS!$E$2:$E$25,0),FALSE)</f>
        <v>0.4037738005497345</v>
      </c>
      <c r="AF5" s="18">
        <f>HLOOKUP(REG_TRA_DEMANDS!AF$3,'BY-Demands'!$J$5:$AK$14,MATCH($E5,'BY-Demands'!$I$5:$I$14,0),FALSE)*HLOOKUP(REG_TRA_DEMANDS!$F5,DEMANDS!$G$2:$CK$25,MATCH($E5,DEMANDS!$E$2:$E$25,0),FALSE)/HLOOKUP(2018,DEMANDS!$G$2:$CK$25,MATCH($E5,DEMANDS!$E$2:$E$25,0),FALSE)</f>
        <v>0.19365561695296288</v>
      </c>
    </row>
    <row r="6" spans="4:32" ht="14.4">
      <c r="D6" t="s">
        <v>6</v>
      </c>
      <c r="E6" t="str">
        <f>DEMANDS!$E$17</f>
        <v>TRAPS</v>
      </c>
      <c r="F6">
        <v>2022</v>
      </c>
      <c r="G6" s="18">
        <f>HLOOKUP(REG_TRA_DEMANDS!G$3,'BY-Demands'!$J$5:$AK$14,MATCH($E6,'BY-Demands'!$I$5:$I$14,0),FALSE)*HLOOKUP(REG_TRA_DEMANDS!$F6,DEMANDS!$G$2:$CK$25,MATCH($E6,DEMANDS!$E$2:$E$25,0),FALSE)/HLOOKUP(2018,DEMANDS!$G$2:$CK$25,MATCH($E6,DEMANDS!$E$2:$E$25,0),FALSE)</f>
        <v>0.18420817729466035</v>
      </c>
      <c r="H6" s="18">
        <f>HLOOKUP(REG_TRA_DEMANDS!H$3,'BY-Demands'!$J$5:$AK$14,MATCH($E6,'BY-Demands'!$I$5:$I$14,0),FALSE)*HLOOKUP(REG_TRA_DEMANDS!$F6,DEMANDS!$G$2:$CK$25,MATCH($E6,DEMANDS!$E$2:$E$25,0),FALSE)/HLOOKUP(2018,DEMANDS!$G$2:$CK$25,MATCH($E6,DEMANDS!$E$2:$E$25,0),FALSE)</f>
        <v>3.6827582282152043</v>
      </c>
      <c r="I6" s="18">
        <f>HLOOKUP(REG_TRA_DEMANDS!I$3,'BY-Demands'!$J$5:$AK$14,MATCH($E6,'BY-Demands'!$I$5:$I$14,0),FALSE)*HLOOKUP(REG_TRA_DEMANDS!$F6,DEMANDS!$G$2:$CK$25,MATCH($E6,DEMANDS!$E$2:$E$25,0),FALSE)/HLOOKUP(2018,DEMANDS!$G$2:$CK$25,MATCH($E6,DEMANDS!$E$2:$E$25,0),FALSE)</f>
        <v>0.6791929996465047</v>
      </c>
      <c r="J6" s="18">
        <f>HLOOKUP(REG_TRA_DEMANDS!J$3,'BY-Demands'!$J$5:$AK$14,MATCH($E6,'BY-Demands'!$I$5:$I$14,0),FALSE)*HLOOKUP(REG_TRA_DEMANDS!$F6,DEMANDS!$G$2:$CK$25,MATCH($E6,DEMANDS!$E$2:$E$25,0),FALSE)/HLOOKUP(2018,DEMANDS!$G$2:$CK$25,MATCH($E6,DEMANDS!$E$2:$E$25,0),FALSE)</f>
        <v>0.31510171468497544</v>
      </c>
      <c r="K6" s="18">
        <f>HLOOKUP(REG_TRA_DEMANDS!K$3,'BY-Demands'!$J$5:$AK$14,MATCH($E6,'BY-Demands'!$I$5:$I$14,0),FALSE)*HLOOKUP(REG_TRA_DEMANDS!$F6,DEMANDS!$G$2:$CK$25,MATCH($E6,DEMANDS!$E$2:$E$25,0),FALSE)/HLOOKUP(2018,DEMANDS!$G$2:$CK$25,MATCH($E6,DEMANDS!$E$2:$E$25,0),FALSE)</f>
        <v>0.24842606096829398</v>
      </c>
      <c r="L6" s="18">
        <f>HLOOKUP(REG_TRA_DEMANDS!L$3,'BY-Demands'!$J$5:$AK$14,MATCH($E6,'BY-Demands'!$I$5:$I$14,0),FALSE)*HLOOKUP(REG_TRA_DEMANDS!$F6,DEMANDS!$G$2:$CK$25,MATCH($E6,DEMANDS!$E$2:$E$25,0),FALSE)/HLOOKUP(2018,DEMANDS!$G$2:$CK$25,MATCH($E6,DEMANDS!$E$2:$E$25,0),FALSE)</f>
        <v>0.12482562323939091</v>
      </c>
      <c r="M6" s="18">
        <f>HLOOKUP(REG_TRA_DEMANDS!M$3,'BY-Demands'!$J$5:$AK$14,MATCH($E6,'BY-Demands'!$I$5:$I$14,0),FALSE)*HLOOKUP(REG_TRA_DEMANDS!$F6,DEMANDS!$G$2:$CK$25,MATCH($E6,DEMANDS!$E$2:$E$25,0),FALSE)/HLOOKUP(2018,DEMANDS!$G$2:$CK$25,MATCH($E6,DEMANDS!$E$2:$E$25,0),FALSE)</f>
        <v>0.35793901906678122</v>
      </c>
      <c r="N6" s="18">
        <f>HLOOKUP(REG_TRA_DEMANDS!N$3,'BY-Demands'!$J$5:$AK$14,MATCH($E6,'BY-Demands'!$I$5:$I$14,0),FALSE)*HLOOKUP(REG_TRA_DEMANDS!$F6,DEMANDS!$G$2:$CK$25,MATCH($E6,DEMANDS!$E$2:$E$25,0),FALSE)/HLOOKUP(2018,DEMANDS!$G$2:$CK$25,MATCH($E6,DEMANDS!$E$2:$E$25,0),FALSE)</f>
        <v>0.58917679165346959</v>
      </c>
      <c r="O6" s="18">
        <f>HLOOKUP(REG_TRA_DEMANDS!O$3,'BY-Demands'!$J$5:$AK$14,MATCH($E6,'BY-Demands'!$I$5:$I$14,0),FALSE)*HLOOKUP(REG_TRA_DEMANDS!$F6,DEMANDS!$G$2:$CK$25,MATCH($E6,DEMANDS!$E$2:$E$25,0),FALSE)/HLOOKUP(2018,DEMANDS!$G$2:$CK$25,MATCH($E6,DEMANDS!$E$2:$E$25,0),FALSE)</f>
        <v>0.24389141748521931</v>
      </c>
      <c r="P6" s="18">
        <f>HLOOKUP(REG_TRA_DEMANDS!P$3,'BY-Demands'!$J$5:$AK$14,MATCH($E6,'BY-Demands'!$I$5:$I$14,0),FALSE)*HLOOKUP(REG_TRA_DEMANDS!$F6,DEMANDS!$G$2:$CK$25,MATCH($E6,DEMANDS!$E$2:$E$25,0),FALSE)/HLOOKUP(2018,DEMANDS!$G$2:$CK$25,MATCH($E6,DEMANDS!$E$2:$E$25,0),FALSE)</f>
        <v>0.27644828468235316</v>
      </c>
      <c r="Q6" s="18">
        <f>HLOOKUP(REG_TRA_DEMANDS!Q$3,'BY-Demands'!$J$5:$AK$14,MATCH($E6,'BY-Demands'!$I$5:$I$14,0),FALSE)*HLOOKUP(REG_TRA_DEMANDS!$F6,DEMANDS!$G$2:$CK$25,MATCH($E6,DEMANDS!$E$2:$E$25,0),FALSE)/HLOOKUP(2018,DEMANDS!$G$2:$CK$25,MATCH($E6,DEMANDS!$E$2:$E$25,0),FALSE)</f>
        <v>0.4811410344184528</v>
      </c>
      <c r="R6" s="18">
        <f>HLOOKUP(REG_TRA_DEMANDS!R$3,'BY-Demands'!$J$5:$AK$14,MATCH($E6,'BY-Demands'!$I$5:$I$14,0),FALSE)*HLOOKUP(REG_TRA_DEMANDS!$F6,DEMANDS!$G$2:$CK$25,MATCH($E6,DEMANDS!$E$2:$E$25,0),FALSE)/HLOOKUP(2018,DEMANDS!$G$2:$CK$25,MATCH($E6,DEMANDS!$E$2:$E$25,0),FALSE)</f>
        <v>0.42559458403505707</v>
      </c>
      <c r="S6" s="18">
        <f>HLOOKUP(REG_TRA_DEMANDS!S$3,'BY-Demands'!$J$5:$AK$14,MATCH($E6,'BY-Demands'!$I$5:$I$14,0),FALSE)*HLOOKUP(REG_TRA_DEMANDS!$F6,DEMANDS!$G$2:$CK$25,MATCH($E6,DEMANDS!$E$2:$E$25,0),FALSE)/HLOOKUP(2018,DEMANDS!$G$2:$CK$25,MATCH($E6,DEMANDS!$E$2:$E$25,0),FALSE)</f>
        <v>0.37457523382848745</v>
      </c>
      <c r="T6" s="18">
        <f>HLOOKUP(REG_TRA_DEMANDS!T$3,'BY-Demands'!$J$5:$AK$14,MATCH($E6,'BY-Demands'!$I$5:$I$14,0),FALSE)*HLOOKUP(REG_TRA_DEMANDS!$F6,DEMANDS!$G$2:$CK$25,MATCH($E6,DEMANDS!$E$2:$E$25,0),FALSE)/HLOOKUP(2018,DEMANDS!$G$2:$CK$25,MATCH($E6,DEMANDS!$E$2:$E$25,0),FALSE)</f>
        <v>1.5840288216718015</v>
      </c>
      <c r="U6" s="18">
        <f>HLOOKUP(REG_TRA_DEMANDS!U$3,'BY-Demands'!$J$5:$AK$14,MATCH($E6,'BY-Demands'!$I$5:$I$14,0),FALSE)*HLOOKUP(REG_TRA_DEMANDS!$F6,DEMANDS!$G$2:$CK$25,MATCH($E6,DEMANDS!$E$2:$E$25,0),FALSE)/HLOOKUP(2018,DEMANDS!$G$2:$CK$25,MATCH($E6,DEMANDS!$E$2:$E$25,0),FALSE)</f>
        <v>0.48499255648463507</v>
      </c>
      <c r="V6" s="18">
        <f>HLOOKUP(REG_TRA_DEMANDS!V$3,'BY-Demands'!$J$5:$AK$14,MATCH($E6,'BY-Demands'!$I$5:$I$14,0),FALSE)*HLOOKUP(REG_TRA_DEMANDS!$F6,DEMANDS!$G$2:$CK$25,MATCH($E6,DEMANDS!$E$2:$E$25,0),FALSE)/HLOOKUP(2018,DEMANDS!$G$2:$CK$25,MATCH($E6,DEMANDS!$E$2:$E$25,0),FALSE)</f>
        <v>0.57831433298295343</v>
      </c>
      <c r="W6" s="18">
        <f>HLOOKUP(REG_TRA_DEMANDS!W$3,'BY-Demands'!$J$5:$AK$14,MATCH($E6,'BY-Demands'!$I$5:$I$14,0),FALSE)*HLOOKUP(REG_TRA_DEMANDS!$F6,DEMANDS!$G$2:$CK$25,MATCH($E6,DEMANDS!$E$2:$E$25,0),FALSE)/HLOOKUP(2018,DEMANDS!$G$2:$CK$25,MATCH($E6,DEMANDS!$E$2:$E$25,0),FALSE)</f>
        <v>0.52723190119601704</v>
      </c>
      <c r="X6" s="18">
        <f>HLOOKUP(REG_TRA_DEMANDS!X$3,'BY-Demands'!$J$5:$AK$14,MATCH($E6,'BY-Demands'!$I$5:$I$14,0),FALSE)*HLOOKUP(REG_TRA_DEMANDS!$F6,DEMANDS!$G$2:$CK$25,MATCH($E6,DEMANDS!$E$2:$E$25,0),FALSE)/HLOOKUP(2018,DEMANDS!$G$2:$CK$25,MATCH($E6,DEMANDS!$E$2:$E$25,0),FALSE)</f>
        <v>0.35009891682575922</v>
      </c>
      <c r="Y6" s="18">
        <f>HLOOKUP(REG_TRA_DEMANDS!Y$3,'BY-Demands'!$J$5:$AK$14,MATCH($E6,'BY-Demands'!$I$5:$I$14,0),FALSE)*HLOOKUP(REG_TRA_DEMANDS!$F6,DEMANDS!$G$2:$CK$25,MATCH($E6,DEMANDS!$E$2:$E$25,0),FALSE)/HLOOKUP(2018,DEMANDS!$G$2:$CK$25,MATCH($E6,DEMANDS!$E$2:$E$25,0),FALSE)</f>
        <v>0.78249456167579645</v>
      </c>
      <c r="Z6" s="18">
        <f>HLOOKUP(REG_TRA_DEMANDS!Z$3,'BY-Demands'!$J$5:$AK$14,MATCH($E6,'BY-Demands'!$I$5:$I$14,0),FALSE)*HLOOKUP(REG_TRA_DEMANDS!$F6,DEMANDS!$G$2:$CK$25,MATCH($E6,DEMANDS!$E$2:$E$25,0),FALSE)/HLOOKUP(2018,DEMANDS!$G$2:$CK$25,MATCH($E6,DEMANDS!$E$2:$E$25,0),FALSE)</f>
        <v>0.10042727643078697</v>
      </c>
      <c r="AA6" s="18">
        <f>HLOOKUP(REG_TRA_DEMANDS!AA$3,'BY-Demands'!$J$5:$AK$14,MATCH($E6,'BY-Demands'!$I$5:$I$14,0),FALSE)*HLOOKUP(REG_TRA_DEMANDS!$F6,DEMANDS!$G$2:$CK$25,MATCH($E6,DEMANDS!$E$2:$E$25,0),FALSE)/HLOOKUP(2018,DEMANDS!$G$2:$CK$25,MATCH($E6,DEMANDS!$E$2:$E$25,0),FALSE)</f>
        <v>0.41906388308769404</v>
      </c>
      <c r="AB6" s="18">
        <f>HLOOKUP(REG_TRA_DEMANDS!AB$3,'BY-Demands'!$J$5:$AK$14,MATCH($E6,'BY-Demands'!$I$5:$I$14,0),FALSE)*HLOOKUP(REG_TRA_DEMANDS!$F6,DEMANDS!$G$2:$CK$25,MATCH($E6,DEMANDS!$E$2:$E$25,0),FALSE)/HLOOKUP(2018,DEMANDS!$G$2:$CK$25,MATCH($E6,DEMANDS!$E$2:$E$25,0),FALSE)</f>
        <v>0.21921651910730083</v>
      </c>
      <c r="AC6" s="18">
        <f>HLOOKUP(REG_TRA_DEMANDS!AC$3,'BY-Demands'!$J$5:$AK$14,MATCH($E6,'BY-Demands'!$I$5:$I$14,0),FALSE)*HLOOKUP(REG_TRA_DEMANDS!$F6,DEMANDS!$G$2:$CK$25,MATCH($E6,DEMANDS!$E$2:$E$25,0),FALSE)/HLOOKUP(2018,DEMANDS!$G$2:$CK$25,MATCH($E6,DEMANDS!$E$2:$E$25,0),FALSE)</f>
        <v>0.19327195415453419</v>
      </c>
      <c r="AD6" s="18">
        <f>HLOOKUP(REG_TRA_DEMANDS!AD$3,'BY-Demands'!$J$5:$AK$14,MATCH($E6,'BY-Demands'!$I$5:$I$14,0),FALSE)*HLOOKUP(REG_TRA_DEMANDS!$F6,DEMANDS!$G$2:$CK$25,MATCH($E6,DEMANDS!$E$2:$E$25,0),FALSE)/HLOOKUP(2018,DEMANDS!$G$2:$CK$25,MATCH($E6,DEMANDS!$E$2:$E$25,0),FALSE)</f>
        <v>0.21557542360429266</v>
      </c>
      <c r="AE6" s="18">
        <f>HLOOKUP(REG_TRA_DEMANDS!AE$3,'BY-Demands'!$J$5:$AK$14,MATCH($E6,'BY-Demands'!$I$5:$I$14,0),FALSE)*HLOOKUP(REG_TRA_DEMANDS!$F6,DEMANDS!$G$2:$CK$25,MATCH($E6,DEMANDS!$E$2:$E$25,0),FALSE)/HLOOKUP(2018,DEMANDS!$G$2:$CK$25,MATCH($E6,DEMANDS!$E$2:$E$25,0),FALSE)</f>
        <v>0.41817913538481949</v>
      </c>
      <c r="AF6" s="18">
        <f>HLOOKUP(REG_TRA_DEMANDS!AF$3,'BY-Demands'!$J$5:$AK$14,MATCH($E6,'BY-Demands'!$I$5:$I$14,0),FALSE)*HLOOKUP(REG_TRA_DEMANDS!$F6,DEMANDS!$G$2:$CK$25,MATCH($E6,DEMANDS!$E$2:$E$25,0),FALSE)/HLOOKUP(2018,DEMANDS!$G$2:$CK$25,MATCH($E6,DEMANDS!$E$2:$E$25,0),FALSE)</f>
        <v>0.20056461897613595</v>
      </c>
    </row>
    <row r="7" spans="4:32" ht="14.4">
      <c r="D7" t="s">
        <v>6</v>
      </c>
      <c r="E7" t="str">
        <f>DEMANDS!$E$17</f>
        <v>TRAPS</v>
      </c>
      <c r="F7">
        <v>2023</v>
      </c>
      <c r="G7" s="18">
        <f>HLOOKUP(REG_TRA_DEMANDS!G$3,'BY-Demands'!$J$5:$AK$14,MATCH($E7,'BY-Demands'!$I$5:$I$14,0),FALSE)*HLOOKUP(REG_TRA_DEMANDS!$F7,DEMANDS!$G$2:$CK$25,MATCH($E7,DEMANDS!$E$2:$E$25,0),FALSE)/HLOOKUP(2018,DEMANDS!$G$2:$CK$25,MATCH($E7,DEMANDS!$E$2:$E$25,0),FALSE)</f>
        <v>0.18487918530821282</v>
      </c>
      <c r="H7" s="18">
        <f>HLOOKUP(REG_TRA_DEMANDS!H$3,'BY-Demands'!$J$5:$AK$14,MATCH($E7,'BY-Demands'!$I$5:$I$14,0),FALSE)*HLOOKUP(REG_TRA_DEMANDS!$F7,DEMANDS!$G$2:$CK$25,MATCH($E7,DEMANDS!$E$2:$E$25,0),FALSE)/HLOOKUP(2018,DEMANDS!$G$2:$CK$25,MATCH($E7,DEMANDS!$E$2:$E$25,0),FALSE)</f>
        <v>3.6961732693898188</v>
      </c>
      <c r="I7" s="18">
        <f>HLOOKUP(REG_TRA_DEMANDS!I$3,'BY-Demands'!$J$5:$AK$14,MATCH($E7,'BY-Demands'!$I$5:$I$14,0),FALSE)*HLOOKUP(REG_TRA_DEMANDS!$F7,DEMANDS!$G$2:$CK$25,MATCH($E7,DEMANDS!$E$2:$E$25,0),FALSE)/HLOOKUP(2018,DEMANDS!$G$2:$CK$25,MATCH($E7,DEMANDS!$E$2:$E$25,0),FALSE)</f>
        <v>0.68166706975677194</v>
      </c>
      <c r="J7" s="18">
        <f>HLOOKUP(REG_TRA_DEMANDS!J$3,'BY-Demands'!$J$5:$AK$14,MATCH($E7,'BY-Demands'!$I$5:$I$14,0),FALSE)*HLOOKUP(REG_TRA_DEMANDS!$F7,DEMANDS!$G$2:$CK$25,MATCH($E7,DEMANDS!$E$2:$E$25,0),FALSE)/HLOOKUP(2018,DEMANDS!$G$2:$CK$25,MATCH($E7,DEMANDS!$E$2:$E$25,0),FALSE)</f>
        <v>0.31624952353224239</v>
      </c>
      <c r="K7" s="18">
        <f>HLOOKUP(REG_TRA_DEMANDS!K$3,'BY-Demands'!$J$5:$AK$14,MATCH($E7,'BY-Demands'!$I$5:$I$14,0),FALSE)*HLOOKUP(REG_TRA_DEMANDS!$F7,DEMANDS!$G$2:$CK$25,MATCH($E7,DEMANDS!$E$2:$E$25,0),FALSE)/HLOOKUP(2018,DEMANDS!$G$2:$CK$25,MATCH($E7,DEMANDS!$E$2:$E$25,0),FALSE)</f>
        <v>0.24933099298669367</v>
      </c>
      <c r="L7" s="18">
        <f>HLOOKUP(REG_TRA_DEMANDS!L$3,'BY-Demands'!$J$5:$AK$14,MATCH($E7,'BY-Demands'!$I$5:$I$14,0),FALSE)*HLOOKUP(REG_TRA_DEMANDS!$F7,DEMANDS!$G$2:$CK$25,MATCH($E7,DEMANDS!$E$2:$E$25,0),FALSE)/HLOOKUP(2018,DEMANDS!$G$2:$CK$25,MATCH($E7,DEMANDS!$E$2:$E$25,0),FALSE)</f>
        <v>0.12528032071656275</v>
      </c>
      <c r="M7" s="18">
        <f>HLOOKUP(REG_TRA_DEMANDS!M$3,'BY-Demands'!$J$5:$AK$14,MATCH($E7,'BY-Demands'!$I$5:$I$14,0),FALSE)*HLOOKUP(REG_TRA_DEMANDS!$F7,DEMANDS!$G$2:$CK$25,MATCH($E7,DEMANDS!$E$2:$E$25,0),FALSE)/HLOOKUP(2018,DEMANDS!$G$2:$CK$25,MATCH($E7,DEMANDS!$E$2:$E$25,0),FALSE)</f>
        <v>0.35924286970839914</v>
      </c>
      <c r="N7" s="18">
        <f>HLOOKUP(REG_TRA_DEMANDS!N$3,'BY-Demands'!$J$5:$AK$14,MATCH($E7,'BY-Demands'!$I$5:$I$14,0),FALSE)*HLOOKUP(REG_TRA_DEMANDS!$F7,DEMANDS!$G$2:$CK$25,MATCH($E7,DEMANDS!$E$2:$E$25,0),FALSE)/HLOOKUP(2018,DEMANDS!$G$2:$CK$25,MATCH($E7,DEMANDS!$E$2:$E$25,0),FALSE)</f>
        <v>0.59132296319918887</v>
      </c>
      <c r="O7" s="18">
        <f>HLOOKUP(REG_TRA_DEMANDS!O$3,'BY-Demands'!$J$5:$AK$14,MATCH($E7,'BY-Demands'!$I$5:$I$14,0),FALSE)*HLOOKUP(REG_TRA_DEMANDS!$F7,DEMANDS!$G$2:$CK$25,MATCH($E7,DEMANDS!$E$2:$E$25,0),FALSE)/HLOOKUP(2018,DEMANDS!$G$2:$CK$25,MATCH($E7,DEMANDS!$E$2:$E$25,0),FALSE)</f>
        <v>0.24477983133292525</v>
      </c>
      <c r="P7" s="18">
        <f>HLOOKUP(REG_TRA_DEMANDS!P$3,'BY-Demands'!$J$5:$AK$14,MATCH($E7,'BY-Demands'!$I$5:$I$14,0),FALSE)*HLOOKUP(REG_TRA_DEMANDS!$F7,DEMANDS!$G$2:$CK$25,MATCH($E7,DEMANDS!$E$2:$E$25,0),FALSE)/HLOOKUP(2018,DEMANDS!$G$2:$CK$25,MATCH($E7,DEMANDS!$E$2:$E$25,0),FALSE)</f>
        <v>0.27745529217289444</v>
      </c>
      <c r="Q7" s="18">
        <f>HLOOKUP(REG_TRA_DEMANDS!Q$3,'BY-Demands'!$J$5:$AK$14,MATCH($E7,'BY-Demands'!$I$5:$I$14,0),FALSE)*HLOOKUP(REG_TRA_DEMANDS!$F7,DEMANDS!$G$2:$CK$25,MATCH($E7,DEMANDS!$E$2:$E$25,0),FALSE)/HLOOKUP(2018,DEMANDS!$G$2:$CK$25,MATCH($E7,DEMANDS!$E$2:$E$25,0),FALSE)</f>
        <v>0.48289366828349151</v>
      </c>
      <c r="R7" s="18">
        <f>HLOOKUP(REG_TRA_DEMANDS!R$3,'BY-Demands'!$J$5:$AK$14,MATCH($E7,'BY-Demands'!$I$5:$I$14,0),FALSE)*HLOOKUP(REG_TRA_DEMANDS!$F7,DEMANDS!$G$2:$CK$25,MATCH($E7,DEMANDS!$E$2:$E$25,0),FALSE)/HLOOKUP(2018,DEMANDS!$G$2:$CK$25,MATCH($E7,DEMANDS!$E$2:$E$25,0),FALSE)</f>
        <v>0.42714488099041553</v>
      </c>
      <c r="S7" s="18">
        <f>HLOOKUP(REG_TRA_DEMANDS!S$3,'BY-Demands'!$J$5:$AK$14,MATCH($E7,'BY-Demands'!$I$5:$I$14,0),FALSE)*HLOOKUP(REG_TRA_DEMANDS!$F7,DEMANDS!$G$2:$CK$25,MATCH($E7,DEMANDS!$E$2:$E$25,0),FALSE)/HLOOKUP(2018,DEMANDS!$G$2:$CK$25,MATCH($E7,DEMANDS!$E$2:$E$25,0),FALSE)</f>
        <v>0.37593968456714894</v>
      </c>
      <c r="T7" s="18">
        <f>HLOOKUP(REG_TRA_DEMANDS!T$3,'BY-Demands'!$J$5:$AK$14,MATCH($E7,'BY-Demands'!$I$5:$I$14,0),FALSE)*HLOOKUP(REG_TRA_DEMANDS!$F7,DEMANDS!$G$2:$CK$25,MATCH($E7,DEMANDS!$E$2:$E$25,0),FALSE)/HLOOKUP(2018,DEMANDS!$G$2:$CK$25,MATCH($E7,DEMANDS!$E$2:$E$25,0),FALSE)</f>
        <v>1.5897989022873846</v>
      </c>
      <c r="U7" s="18">
        <f>HLOOKUP(REG_TRA_DEMANDS!U$3,'BY-Demands'!$J$5:$AK$14,MATCH($E7,'BY-Demands'!$I$5:$I$14,0),FALSE)*HLOOKUP(REG_TRA_DEMANDS!$F7,DEMANDS!$G$2:$CK$25,MATCH($E7,DEMANDS!$E$2:$E$25,0),FALSE)/HLOOKUP(2018,DEMANDS!$G$2:$CK$25,MATCH($E7,DEMANDS!$E$2:$E$25,0),FALSE)</f>
        <v>0.4867592201403636</v>
      </c>
      <c r="V7" s="18">
        <f>HLOOKUP(REG_TRA_DEMANDS!V$3,'BY-Demands'!$J$5:$AK$14,MATCH($E7,'BY-Demands'!$I$5:$I$14,0),FALSE)*HLOOKUP(REG_TRA_DEMANDS!$F7,DEMANDS!$G$2:$CK$25,MATCH($E7,DEMANDS!$E$2:$E$25,0),FALSE)/HLOOKUP(2018,DEMANDS!$G$2:$CK$25,MATCH($E7,DEMANDS!$E$2:$E$25,0),FALSE)</f>
        <v>0.58042093626996749</v>
      </c>
      <c r="W7" s="18">
        <f>HLOOKUP(REG_TRA_DEMANDS!W$3,'BY-Demands'!$J$5:$AK$14,MATCH($E7,'BY-Demands'!$I$5:$I$14,0),FALSE)*HLOOKUP(REG_TRA_DEMANDS!$F7,DEMANDS!$G$2:$CK$25,MATCH($E7,DEMANDS!$E$2:$E$25,0),FALSE)/HLOOKUP(2018,DEMANDS!$G$2:$CK$25,MATCH($E7,DEMANDS!$E$2:$E$25,0),FALSE)</f>
        <v>0.52915242848149746</v>
      </c>
      <c r="X7" s="18">
        <f>HLOOKUP(REG_TRA_DEMANDS!X$3,'BY-Demands'!$J$5:$AK$14,MATCH($E7,'BY-Demands'!$I$5:$I$14,0),FALSE)*HLOOKUP(REG_TRA_DEMANDS!$F7,DEMANDS!$G$2:$CK$25,MATCH($E7,DEMANDS!$E$2:$E$25,0),FALSE)/HLOOKUP(2018,DEMANDS!$G$2:$CK$25,MATCH($E7,DEMANDS!$E$2:$E$25,0),FALSE)</f>
        <v>0.35137420862971824</v>
      </c>
      <c r="Y7" s="18">
        <f>HLOOKUP(REG_TRA_DEMANDS!Y$3,'BY-Demands'!$J$5:$AK$14,MATCH($E7,'BY-Demands'!$I$5:$I$14,0),FALSE)*HLOOKUP(REG_TRA_DEMANDS!$F7,DEMANDS!$G$2:$CK$25,MATCH($E7,DEMANDS!$E$2:$E$25,0),FALSE)/HLOOKUP(2018,DEMANDS!$G$2:$CK$25,MATCH($E7,DEMANDS!$E$2:$E$25,0),FALSE)</f>
        <v>0.78534492439669645</v>
      </c>
      <c r="Z7" s="18">
        <f>HLOOKUP(REG_TRA_DEMANDS!Z$3,'BY-Demands'!$J$5:$AK$14,MATCH($E7,'BY-Demands'!$I$5:$I$14,0),FALSE)*HLOOKUP(REG_TRA_DEMANDS!$F7,DEMANDS!$G$2:$CK$25,MATCH($E7,DEMANDS!$E$2:$E$25,0),FALSE)/HLOOKUP(2018,DEMANDS!$G$2:$CK$25,MATCH($E7,DEMANDS!$E$2:$E$25,0),FALSE)</f>
        <v>0.10079309899227136</v>
      </c>
      <c r="AA7" s="18">
        <f>HLOOKUP(REG_TRA_DEMANDS!AA$3,'BY-Demands'!$J$5:$AK$14,MATCH($E7,'BY-Demands'!$I$5:$I$14,0),FALSE)*HLOOKUP(REG_TRA_DEMANDS!$F7,DEMANDS!$G$2:$CK$25,MATCH($E7,DEMANDS!$E$2:$E$25,0),FALSE)/HLOOKUP(2018,DEMANDS!$G$2:$CK$25,MATCH($E7,DEMANDS!$E$2:$E$25,0),FALSE)</f>
        <v>0.42059039091091865</v>
      </c>
      <c r="AB7" s="18">
        <f>HLOOKUP(REG_TRA_DEMANDS!AB$3,'BY-Demands'!$J$5:$AK$14,MATCH($E7,'BY-Demands'!$I$5:$I$14,0),FALSE)*HLOOKUP(REG_TRA_DEMANDS!$F7,DEMANDS!$G$2:$CK$25,MATCH($E7,DEMANDS!$E$2:$E$25,0),FALSE)/HLOOKUP(2018,DEMANDS!$G$2:$CK$25,MATCH($E7,DEMANDS!$E$2:$E$25,0),FALSE)</f>
        <v>0.22001505065559782</v>
      </c>
      <c r="AC7" s="18">
        <f>HLOOKUP(REG_TRA_DEMANDS!AC$3,'BY-Demands'!$J$5:$AK$14,MATCH($E7,'BY-Demands'!$I$5:$I$14,0),FALSE)*HLOOKUP(REG_TRA_DEMANDS!$F7,DEMANDS!$G$2:$CK$25,MATCH($E7,DEMANDS!$E$2:$E$25,0),FALSE)/HLOOKUP(2018,DEMANDS!$G$2:$CK$25,MATCH($E7,DEMANDS!$E$2:$E$25,0),FALSE)</f>
        <v>0.19397597843802289</v>
      </c>
      <c r="AD7" s="18">
        <f>HLOOKUP(REG_TRA_DEMANDS!AD$3,'BY-Demands'!$J$5:$AK$14,MATCH($E7,'BY-Demands'!$I$5:$I$14,0),FALSE)*HLOOKUP(REG_TRA_DEMANDS!$F7,DEMANDS!$G$2:$CK$25,MATCH($E7,DEMANDS!$E$2:$E$25,0),FALSE)/HLOOKUP(2018,DEMANDS!$G$2:$CK$25,MATCH($E7,DEMANDS!$E$2:$E$25,0),FALSE)</f>
        <v>0.21636069187461518</v>
      </c>
      <c r="AE7" s="18">
        <f>HLOOKUP(REG_TRA_DEMANDS!AE$3,'BY-Demands'!$J$5:$AK$14,MATCH($E7,'BY-Demands'!$I$5:$I$14,0),FALSE)*HLOOKUP(REG_TRA_DEMANDS!$F7,DEMANDS!$G$2:$CK$25,MATCH($E7,DEMANDS!$E$2:$E$25,0),FALSE)/HLOOKUP(2018,DEMANDS!$G$2:$CK$25,MATCH($E7,DEMANDS!$E$2:$E$25,0),FALSE)</f>
        <v>0.41970242037175465</v>
      </c>
      <c r="AF7" s="18">
        <f>HLOOKUP(REG_TRA_DEMANDS!AF$3,'BY-Demands'!$J$5:$AK$14,MATCH($E7,'BY-Demands'!$I$5:$I$14,0),FALSE)*HLOOKUP(REG_TRA_DEMANDS!$F7,DEMANDS!$G$2:$CK$25,MATCH($E7,DEMANDS!$E$2:$E$25,0),FALSE)/HLOOKUP(2018,DEMANDS!$G$2:$CK$25,MATCH($E7,DEMANDS!$E$2:$E$25,0),FALSE)</f>
        <v>0.20129520796813713</v>
      </c>
    </row>
    <row r="8" spans="4:32" ht="14.4">
      <c r="D8" t="s">
        <v>6</v>
      </c>
      <c r="E8" t="str">
        <f>DEMANDS!$E$17</f>
        <v>TRAPS</v>
      </c>
      <c r="F8">
        <v>2024</v>
      </c>
      <c r="G8" s="18">
        <f>HLOOKUP(REG_TRA_DEMANDS!G$3,'BY-Demands'!$J$5:$AK$14,MATCH($E8,'BY-Demands'!$I$5:$I$14,0),FALSE)*HLOOKUP(REG_TRA_DEMANDS!$F8,DEMANDS!$G$2:$CK$25,MATCH($E8,DEMANDS!$E$2:$E$25,0),FALSE)/HLOOKUP(2018,DEMANDS!$G$2:$CK$25,MATCH($E8,DEMANDS!$E$2:$E$25,0),FALSE)</f>
        <v>0.18719017512456546</v>
      </c>
      <c r="H8" s="18">
        <f>HLOOKUP(REG_TRA_DEMANDS!H$3,'BY-Demands'!$J$5:$AK$14,MATCH($E8,'BY-Demands'!$I$5:$I$14,0),FALSE)*HLOOKUP(REG_TRA_DEMANDS!$F8,DEMANDS!$G$2:$CK$25,MATCH($E8,DEMANDS!$E$2:$E$25,0),FALSE)/HLOOKUP(2018,DEMANDS!$G$2:$CK$25,MATCH($E8,DEMANDS!$E$2:$E$25,0),FALSE)</f>
        <v>3.7423754352571907</v>
      </c>
      <c r="I8" s="18">
        <f>HLOOKUP(REG_TRA_DEMANDS!I$3,'BY-Demands'!$J$5:$AK$14,MATCH($E8,'BY-Demands'!$I$5:$I$14,0),FALSE)*HLOOKUP(REG_TRA_DEMANDS!$F8,DEMANDS!$G$2:$CK$25,MATCH($E8,DEMANDS!$E$2:$E$25,0),FALSE)/HLOOKUP(2018,DEMANDS!$G$2:$CK$25,MATCH($E8,DEMANDS!$E$2:$E$25,0),FALSE)</f>
        <v>0.69018790812873143</v>
      </c>
      <c r="J8" s="18">
        <f>HLOOKUP(REG_TRA_DEMANDS!J$3,'BY-Demands'!$J$5:$AK$14,MATCH($E8,'BY-Demands'!$I$5:$I$14,0),FALSE)*HLOOKUP(REG_TRA_DEMANDS!$F8,DEMANDS!$G$2:$CK$25,MATCH($E8,DEMANDS!$E$2:$E$25,0),FALSE)/HLOOKUP(2018,DEMANDS!$G$2:$CK$25,MATCH($E8,DEMANDS!$E$2:$E$25,0),FALSE)</f>
        <v>0.32020264257639541</v>
      </c>
      <c r="K8" s="18">
        <f>HLOOKUP(REG_TRA_DEMANDS!K$3,'BY-Demands'!$J$5:$AK$14,MATCH($E8,'BY-Demands'!$I$5:$I$14,0),FALSE)*HLOOKUP(REG_TRA_DEMANDS!$F8,DEMANDS!$G$2:$CK$25,MATCH($E8,DEMANDS!$E$2:$E$25,0),FALSE)/HLOOKUP(2018,DEMANDS!$G$2:$CK$25,MATCH($E8,DEMANDS!$E$2:$E$25,0),FALSE)</f>
        <v>0.25244763039902735</v>
      </c>
      <c r="L8" s="18">
        <f>HLOOKUP(REG_TRA_DEMANDS!L$3,'BY-Demands'!$J$5:$AK$14,MATCH($E8,'BY-Demands'!$I$5:$I$14,0),FALSE)*HLOOKUP(REG_TRA_DEMANDS!$F8,DEMANDS!$G$2:$CK$25,MATCH($E8,DEMANDS!$E$2:$E$25,0),FALSE)/HLOOKUP(2018,DEMANDS!$G$2:$CK$25,MATCH($E8,DEMANDS!$E$2:$E$25,0),FALSE)</f>
        <v>0.12684632472551979</v>
      </c>
      <c r="M8" s="18">
        <f>HLOOKUP(REG_TRA_DEMANDS!M$3,'BY-Demands'!$J$5:$AK$14,MATCH($E8,'BY-Demands'!$I$5:$I$14,0),FALSE)*HLOOKUP(REG_TRA_DEMANDS!$F8,DEMANDS!$G$2:$CK$25,MATCH($E8,DEMANDS!$E$2:$E$25,0),FALSE)/HLOOKUP(2018,DEMANDS!$G$2:$CK$25,MATCH($E8,DEMANDS!$E$2:$E$25,0),FALSE)</f>
        <v>0.36373340557975409</v>
      </c>
      <c r="N8" s="18">
        <f>HLOOKUP(REG_TRA_DEMANDS!N$3,'BY-Demands'!$J$5:$AK$14,MATCH($E8,'BY-Demands'!$I$5:$I$14,0),FALSE)*HLOOKUP(REG_TRA_DEMANDS!$F8,DEMANDS!$G$2:$CK$25,MATCH($E8,DEMANDS!$E$2:$E$25,0),FALSE)/HLOOKUP(2018,DEMANDS!$G$2:$CK$25,MATCH($E8,DEMANDS!$E$2:$E$25,0),FALSE)</f>
        <v>0.59871450023917849</v>
      </c>
      <c r="O8" s="18">
        <f>HLOOKUP(REG_TRA_DEMANDS!O$3,'BY-Demands'!$J$5:$AK$14,MATCH($E8,'BY-Demands'!$I$5:$I$14,0),FALSE)*HLOOKUP(REG_TRA_DEMANDS!$F8,DEMANDS!$G$2:$CK$25,MATCH($E8,DEMANDS!$E$2:$E$25,0),FALSE)/HLOOKUP(2018,DEMANDS!$G$2:$CK$25,MATCH($E8,DEMANDS!$E$2:$E$25,0),FALSE)</f>
        <v>0.2478395792245868</v>
      </c>
      <c r="P8" s="18">
        <f>HLOOKUP(REG_TRA_DEMANDS!P$3,'BY-Demands'!$J$5:$AK$14,MATCH($E8,'BY-Demands'!$I$5:$I$14,0),FALSE)*HLOOKUP(REG_TRA_DEMANDS!$F8,DEMANDS!$G$2:$CK$25,MATCH($E8,DEMANDS!$E$2:$E$25,0),FALSE)/HLOOKUP(2018,DEMANDS!$G$2:$CK$25,MATCH($E8,DEMANDS!$E$2:$E$25,0),FALSE)</f>
        <v>0.28092348332505562</v>
      </c>
      <c r="Q8" s="18">
        <f>HLOOKUP(REG_TRA_DEMANDS!Q$3,'BY-Demands'!$J$5:$AK$14,MATCH($E8,'BY-Demands'!$I$5:$I$14,0),FALSE)*HLOOKUP(REG_TRA_DEMANDS!$F8,DEMANDS!$G$2:$CK$25,MATCH($E8,DEMANDS!$E$2:$E$25,0),FALSE)/HLOOKUP(2018,DEMANDS!$G$2:$CK$25,MATCH($E8,DEMANDS!$E$2:$E$25,0),FALSE)</f>
        <v>0.48892983913703514</v>
      </c>
      <c r="R8" s="18">
        <f>HLOOKUP(REG_TRA_DEMANDS!R$3,'BY-Demands'!$J$5:$AK$14,MATCH($E8,'BY-Demands'!$I$5:$I$14,0),FALSE)*HLOOKUP(REG_TRA_DEMANDS!$F8,DEMANDS!$G$2:$CK$25,MATCH($E8,DEMANDS!$E$2:$E$25,0),FALSE)/HLOOKUP(2018,DEMANDS!$G$2:$CK$25,MATCH($E8,DEMANDS!$E$2:$E$25,0),FALSE)</f>
        <v>0.4324841920027957</v>
      </c>
      <c r="S8" s="18">
        <f>HLOOKUP(REG_TRA_DEMANDS!S$3,'BY-Demands'!$J$5:$AK$14,MATCH($E8,'BY-Demands'!$I$5:$I$14,0),FALSE)*HLOOKUP(REG_TRA_DEMANDS!$F8,DEMANDS!$G$2:$CK$25,MATCH($E8,DEMANDS!$E$2:$E$25,0),FALSE)/HLOOKUP(2018,DEMANDS!$G$2:$CK$25,MATCH($E8,DEMANDS!$E$2:$E$25,0),FALSE)</f>
        <v>0.38063893062423831</v>
      </c>
      <c r="T8" s="18">
        <f>HLOOKUP(REG_TRA_DEMANDS!T$3,'BY-Demands'!$J$5:$AK$14,MATCH($E8,'BY-Demands'!$I$5:$I$14,0),FALSE)*HLOOKUP(REG_TRA_DEMANDS!$F8,DEMANDS!$G$2:$CK$25,MATCH($E8,DEMANDS!$E$2:$E$25,0),FALSE)/HLOOKUP(2018,DEMANDS!$G$2:$CK$25,MATCH($E8,DEMANDS!$E$2:$E$25,0),FALSE)</f>
        <v>1.6096713885659768</v>
      </c>
      <c r="U8" s="18">
        <f>HLOOKUP(REG_TRA_DEMANDS!U$3,'BY-Demands'!$J$5:$AK$14,MATCH($E8,'BY-Demands'!$I$5:$I$14,0),FALSE)*HLOOKUP(REG_TRA_DEMANDS!$F8,DEMANDS!$G$2:$CK$25,MATCH($E8,DEMANDS!$E$2:$E$25,0),FALSE)/HLOOKUP(2018,DEMANDS!$G$2:$CK$25,MATCH($E8,DEMANDS!$E$2:$E$25,0),FALSE)</f>
        <v>0.49284371039211811</v>
      </c>
      <c r="V8" s="18">
        <f>HLOOKUP(REG_TRA_DEMANDS!V$3,'BY-Demands'!$J$5:$AK$14,MATCH($E8,'BY-Demands'!$I$5:$I$14,0),FALSE)*HLOOKUP(REG_TRA_DEMANDS!$F8,DEMANDS!$G$2:$CK$25,MATCH($E8,DEMANDS!$E$2:$E$25,0),FALSE)/HLOOKUP(2018,DEMANDS!$G$2:$CK$25,MATCH($E8,DEMANDS!$E$2:$E$25,0),FALSE)</f>
        <v>0.58767619797334192</v>
      </c>
      <c r="W8" s="18">
        <f>HLOOKUP(REG_TRA_DEMANDS!W$3,'BY-Demands'!$J$5:$AK$14,MATCH($E8,'BY-Demands'!$I$5:$I$14,0),FALSE)*HLOOKUP(REG_TRA_DEMANDS!$F8,DEMANDS!$G$2:$CK$25,MATCH($E8,DEMANDS!$E$2:$E$25,0),FALSE)/HLOOKUP(2018,DEMANDS!$G$2:$CK$25,MATCH($E8,DEMANDS!$E$2:$E$25,0),FALSE)</f>
        <v>0.53576683383751611</v>
      </c>
      <c r="X8" s="18">
        <f>HLOOKUP(REG_TRA_DEMANDS!X$3,'BY-Demands'!$J$5:$AK$14,MATCH($E8,'BY-Demands'!$I$5:$I$14,0),FALSE)*HLOOKUP(REG_TRA_DEMANDS!$F8,DEMANDS!$G$2:$CK$25,MATCH($E8,DEMANDS!$E$2:$E$25,0),FALSE)/HLOOKUP(2018,DEMANDS!$G$2:$CK$25,MATCH($E8,DEMANDS!$E$2:$E$25,0),FALSE)</f>
        <v>0.35576638623758972</v>
      </c>
      <c r="Y8" s="18">
        <f>HLOOKUP(REG_TRA_DEMANDS!Y$3,'BY-Demands'!$J$5:$AK$14,MATCH($E8,'BY-Demands'!$I$5:$I$14,0),FALSE)*HLOOKUP(REG_TRA_DEMANDS!$F8,DEMANDS!$G$2:$CK$25,MATCH($E8,DEMANDS!$E$2:$E$25,0),FALSE)/HLOOKUP(2018,DEMANDS!$G$2:$CK$25,MATCH($E8,DEMANDS!$E$2:$E$25,0),FALSE)</f>
        <v>0.79516173595165518</v>
      </c>
      <c r="Z8" s="18">
        <f>HLOOKUP(REG_TRA_DEMANDS!Z$3,'BY-Demands'!$J$5:$AK$14,MATCH($E8,'BY-Demands'!$I$5:$I$14,0),FALSE)*HLOOKUP(REG_TRA_DEMANDS!$F8,DEMANDS!$G$2:$CK$25,MATCH($E8,DEMANDS!$E$2:$E$25,0),FALSE)/HLOOKUP(2018,DEMANDS!$G$2:$CK$25,MATCH($E8,DEMANDS!$E$2:$E$25,0),FALSE)</f>
        <v>0.10205301272967474</v>
      </c>
      <c r="AA8" s="18">
        <f>HLOOKUP(REG_TRA_DEMANDS!AA$3,'BY-Demands'!$J$5:$AK$14,MATCH($E8,'BY-Demands'!$I$5:$I$14,0),FALSE)*HLOOKUP(REG_TRA_DEMANDS!$F8,DEMANDS!$G$2:$CK$25,MATCH($E8,DEMANDS!$E$2:$E$25,0),FALSE)/HLOOKUP(2018,DEMANDS!$G$2:$CK$25,MATCH($E8,DEMANDS!$E$2:$E$25,0),FALSE)</f>
        <v>0.42584777079730513</v>
      </c>
      <c r="AB8" s="18">
        <f>HLOOKUP(REG_TRA_DEMANDS!AB$3,'BY-Demands'!$J$5:$AK$14,MATCH($E8,'BY-Demands'!$I$5:$I$14,0),FALSE)*HLOOKUP(REG_TRA_DEMANDS!$F8,DEMANDS!$G$2:$CK$25,MATCH($E8,DEMANDS!$E$2:$E$25,0),FALSE)/HLOOKUP(2018,DEMANDS!$G$2:$CK$25,MATCH($E8,DEMANDS!$E$2:$E$25,0),FALSE)</f>
        <v>0.22276523878879279</v>
      </c>
      <c r="AC8" s="18">
        <f>HLOOKUP(REG_TRA_DEMANDS!AC$3,'BY-Demands'!$J$5:$AK$14,MATCH($E8,'BY-Demands'!$I$5:$I$14,0),FALSE)*HLOOKUP(REG_TRA_DEMANDS!$F8,DEMANDS!$G$2:$CK$25,MATCH($E8,DEMANDS!$E$2:$E$25,0),FALSE)/HLOOKUP(2018,DEMANDS!$G$2:$CK$25,MATCH($E8,DEMANDS!$E$2:$E$25,0),FALSE)</f>
        <v>0.19640067816849818</v>
      </c>
      <c r="AD8" s="18">
        <f>HLOOKUP(REG_TRA_DEMANDS!AD$3,'BY-Demands'!$J$5:$AK$14,MATCH($E8,'BY-Demands'!$I$5:$I$14,0),FALSE)*HLOOKUP(REG_TRA_DEMANDS!$F8,DEMANDS!$G$2:$CK$25,MATCH($E8,DEMANDS!$E$2:$E$25,0),FALSE)/HLOOKUP(2018,DEMANDS!$G$2:$CK$25,MATCH($E8,DEMANDS!$E$2:$E$25,0),FALSE)</f>
        <v>0.21906520052304787</v>
      </c>
      <c r="AE8" s="18">
        <f>HLOOKUP(REG_TRA_DEMANDS!AE$3,'BY-Demands'!$J$5:$AK$14,MATCH($E8,'BY-Demands'!$I$5:$I$14,0),FALSE)*HLOOKUP(REG_TRA_DEMANDS!$F8,DEMANDS!$G$2:$CK$25,MATCH($E8,DEMANDS!$E$2:$E$25,0),FALSE)/HLOOKUP(2018,DEMANDS!$G$2:$CK$25,MATCH($E8,DEMANDS!$E$2:$E$25,0),FALSE)</f>
        <v>0.42494870062640161</v>
      </c>
      <c r="AF8" s="18">
        <f>HLOOKUP(REG_TRA_DEMANDS!AF$3,'BY-Demands'!$J$5:$AK$14,MATCH($E8,'BY-Demands'!$I$5:$I$14,0),FALSE)*HLOOKUP(REG_TRA_DEMANDS!$F8,DEMANDS!$G$2:$CK$25,MATCH($E8,DEMANDS!$E$2:$E$25,0),FALSE)/HLOOKUP(2018,DEMANDS!$G$2:$CK$25,MATCH($E8,DEMANDS!$E$2:$E$25,0),FALSE)</f>
        <v>0.20381139806773882</v>
      </c>
    </row>
    <row r="9" spans="4:32" ht="14.4">
      <c r="D9" t="s">
        <v>6</v>
      </c>
      <c r="E9" t="str">
        <f>DEMANDS!$E$17</f>
        <v>TRAPS</v>
      </c>
      <c r="F9">
        <v>2025</v>
      </c>
      <c r="G9" s="18">
        <f>HLOOKUP(REG_TRA_DEMANDS!G$3,'BY-Demands'!$J$5:$AK$14,MATCH($E9,'BY-Demands'!$I$5:$I$14,0),FALSE)*HLOOKUP(REG_TRA_DEMANDS!$F9,DEMANDS!$G$2:$CK$25,MATCH($E9,DEMANDS!$E$2:$E$25,0),FALSE)/HLOOKUP(2018,DEMANDS!$G$2:$CK$25,MATCH($E9,DEMANDS!$E$2:$E$25,0),FALSE)</f>
        <v>0.18953005231362252</v>
      </c>
      <c r="H9" s="18">
        <f>HLOOKUP(REG_TRA_DEMANDS!H$3,'BY-Demands'!$J$5:$AK$14,MATCH($E9,'BY-Demands'!$I$5:$I$14,0),FALSE)*HLOOKUP(REG_TRA_DEMANDS!$F9,DEMANDS!$G$2:$CK$25,MATCH($E9,DEMANDS!$E$2:$E$25,0),FALSE)/HLOOKUP(2018,DEMANDS!$G$2:$CK$25,MATCH($E9,DEMANDS!$E$2:$E$25,0),FALSE)</f>
        <v>3.7891551281979061</v>
      </c>
      <c r="I9" s="18">
        <f>HLOOKUP(REG_TRA_DEMANDS!I$3,'BY-Demands'!$J$5:$AK$14,MATCH($E9,'BY-Demands'!$I$5:$I$14,0),FALSE)*HLOOKUP(REG_TRA_DEMANDS!$F9,DEMANDS!$G$2:$CK$25,MATCH($E9,DEMANDS!$E$2:$E$25,0),FALSE)/HLOOKUP(2018,DEMANDS!$G$2:$CK$25,MATCH($E9,DEMANDS!$E$2:$E$25,0),FALSE)</f>
        <v>0.69881525698034064</v>
      </c>
      <c r="J9" s="18">
        <f>HLOOKUP(REG_TRA_DEMANDS!J$3,'BY-Demands'!$J$5:$AK$14,MATCH($E9,'BY-Demands'!$I$5:$I$14,0),FALSE)*HLOOKUP(REG_TRA_DEMANDS!$F9,DEMANDS!$G$2:$CK$25,MATCH($E9,DEMANDS!$E$2:$E$25,0),FALSE)/HLOOKUP(2018,DEMANDS!$G$2:$CK$25,MATCH($E9,DEMANDS!$E$2:$E$25,0),FALSE)</f>
        <v>0.32420517560860035</v>
      </c>
      <c r="K9" s="18">
        <f>HLOOKUP(REG_TRA_DEMANDS!K$3,'BY-Demands'!$J$5:$AK$14,MATCH($E9,'BY-Demands'!$I$5:$I$14,0),FALSE)*HLOOKUP(REG_TRA_DEMANDS!$F9,DEMANDS!$G$2:$CK$25,MATCH($E9,DEMANDS!$E$2:$E$25,0),FALSE)/HLOOKUP(2018,DEMANDS!$G$2:$CK$25,MATCH($E9,DEMANDS!$E$2:$E$25,0),FALSE)</f>
        <v>0.25560322577901518</v>
      </c>
      <c r="L9" s="18">
        <f>HLOOKUP(REG_TRA_DEMANDS!L$3,'BY-Demands'!$J$5:$AK$14,MATCH($E9,'BY-Demands'!$I$5:$I$14,0),FALSE)*HLOOKUP(REG_TRA_DEMANDS!$F9,DEMANDS!$G$2:$CK$25,MATCH($E9,DEMANDS!$E$2:$E$25,0),FALSE)/HLOOKUP(2018,DEMANDS!$G$2:$CK$25,MATCH($E9,DEMANDS!$E$2:$E$25,0),FALSE)</f>
        <v>0.12843190378458877</v>
      </c>
      <c r="M9" s="18">
        <f>HLOOKUP(REG_TRA_DEMANDS!M$3,'BY-Demands'!$J$5:$AK$14,MATCH($E9,'BY-Demands'!$I$5:$I$14,0),FALSE)*HLOOKUP(REG_TRA_DEMANDS!$F9,DEMANDS!$G$2:$CK$25,MATCH($E9,DEMANDS!$E$2:$E$25,0),FALSE)/HLOOKUP(2018,DEMANDS!$G$2:$CK$25,MATCH($E9,DEMANDS!$E$2:$E$25,0),FALSE)</f>
        <v>0.36828007314950106</v>
      </c>
      <c r="N9" s="18">
        <f>HLOOKUP(REG_TRA_DEMANDS!N$3,'BY-Demands'!$J$5:$AK$14,MATCH($E9,'BY-Demands'!$I$5:$I$14,0),FALSE)*HLOOKUP(REG_TRA_DEMANDS!$F9,DEMANDS!$G$2:$CK$25,MATCH($E9,DEMANDS!$E$2:$E$25,0),FALSE)/HLOOKUP(2018,DEMANDS!$G$2:$CK$25,MATCH($E9,DEMANDS!$E$2:$E$25,0),FALSE)</f>
        <v>0.60619843149216834</v>
      </c>
      <c r="O9" s="18">
        <f>HLOOKUP(REG_TRA_DEMANDS!O$3,'BY-Demands'!$J$5:$AK$14,MATCH($E9,'BY-Demands'!$I$5:$I$14,0),FALSE)*HLOOKUP(REG_TRA_DEMANDS!$F9,DEMANDS!$G$2:$CK$25,MATCH($E9,DEMANDS!$E$2:$E$25,0),FALSE)/HLOOKUP(2018,DEMANDS!$G$2:$CK$25,MATCH($E9,DEMANDS!$E$2:$E$25,0),FALSE)</f>
        <v>0.25093757396489413</v>
      </c>
      <c r="P9" s="18">
        <f>HLOOKUP(REG_TRA_DEMANDS!P$3,'BY-Demands'!$J$5:$AK$14,MATCH($E9,'BY-Demands'!$I$5:$I$14,0),FALSE)*HLOOKUP(REG_TRA_DEMANDS!$F9,DEMANDS!$G$2:$CK$25,MATCH($E9,DEMANDS!$E$2:$E$25,0),FALSE)/HLOOKUP(2018,DEMANDS!$G$2:$CK$25,MATCH($E9,DEMANDS!$E$2:$E$25,0),FALSE)</f>
        <v>0.28443502686661881</v>
      </c>
      <c r="Q9" s="18">
        <f>HLOOKUP(REG_TRA_DEMANDS!Q$3,'BY-Demands'!$J$5:$AK$14,MATCH($E9,'BY-Demands'!$I$5:$I$14,0),FALSE)*HLOOKUP(REG_TRA_DEMANDS!$F9,DEMANDS!$G$2:$CK$25,MATCH($E9,DEMANDS!$E$2:$E$25,0),FALSE)/HLOOKUP(2018,DEMANDS!$G$2:$CK$25,MATCH($E9,DEMANDS!$E$2:$E$25,0),FALSE)</f>
        <v>0.49504146212624811</v>
      </c>
      <c r="R9" s="18">
        <f>HLOOKUP(REG_TRA_DEMANDS!R$3,'BY-Demands'!$J$5:$AK$14,MATCH($E9,'BY-Demands'!$I$5:$I$14,0),FALSE)*HLOOKUP(REG_TRA_DEMANDS!$F9,DEMANDS!$G$2:$CK$25,MATCH($E9,DEMANDS!$E$2:$E$25,0),FALSE)/HLOOKUP(2018,DEMANDS!$G$2:$CK$25,MATCH($E9,DEMANDS!$E$2:$E$25,0),FALSE)</f>
        <v>0.43789024440283064</v>
      </c>
      <c r="S9" s="18">
        <f>HLOOKUP(REG_TRA_DEMANDS!S$3,'BY-Demands'!$J$5:$AK$14,MATCH($E9,'BY-Demands'!$I$5:$I$14,0),FALSE)*HLOOKUP(REG_TRA_DEMANDS!$F9,DEMANDS!$G$2:$CK$25,MATCH($E9,DEMANDS!$E$2:$E$25,0),FALSE)/HLOOKUP(2018,DEMANDS!$G$2:$CK$25,MATCH($E9,DEMANDS!$E$2:$E$25,0),FALSE)</f>
        <v>0.38539691725704134</v>
      </c>
      <c r="T9" s="18">
        <f>HLOOKUP(REG_TRA_DEMANDS!T$3,'BY-Demands'!$J$5:$AK$14,MATCH($E9,'BY-Demands'!$I$5:$I$14,0),FALSE)*HLOOKUP(REG_TRA_DEMANDS!$F9,DEMANDS!$G$2:$CK$25,MATCH($E9,DEMANDS!$E$2:$E$25,0),FALSE)/HLOOKUP(2018,DEMANDS!$G$2:$CK$25,MATCH($E9,DEMANDS!$E$2:$E$25,0),FALSE)</f>
        <v>1.6297922809230516</v>
      </c>
      <c r="U9" s="18">
        <f>HLOOKUP(REG_TRA_DEMANDS!U$3,'BY-Demands'!$J$5:$AK$14,MATCH($E9,'BY-Demands'!$I$5:$I$14,0),FALSE)*HLOOKUP(REG_TRA_DEMANDS!$F9,DEMANDS!$G$2:$CK$25,MATCH($E9,DEMANDS!$E$2:$E$25,0),FALSE)/HLOOKUP(2018,DEMANDS!$G$2:$CK$25,MATCH($E9,DEMANDS!$E$2:$E$25,0),FALSE)</f>
        <v>0.49900425677201959</v>
      </c>
      <c r="V9" s="18">
        <f>HLOOKUP(REG_TRA_DEMANDS!V$3,'BY-Demands'!$J$5:$AK$14,MATCH($E9,'BY-Demands'!$I$5:$I$14,0),FALSE)*HLOOKUP(REG_TRA_DEMANDS!$F9,DEMANDS!$G$2:$CK$25,MATCH($E9,DEMANDS!$E$2:$E$25,0),FALSE)/HLOOKUP(2018,DEMANDS!$G$2:$CK$25,MATCH($E9,DEMANDS!$E$2:$E$25,0),FALSE)</f>
        <v>0.59502215044800866</v>
      </c>
      <c r="W9" s="18">
        <f>HLOOKUP(REG_TRA_DEMANDS!W$3,'BY-Demands'!$J$5:$AK$14,MATCH($E9,'BY-Demands'!$I$5:$I$14,0),FALSE)*HLOOKUP(REG_TRA_DEMANDS!$F9,DEMANDS!$G$2:$CK$25,MATCH($E9,DEMANDS!$E$2:$E$25,0),FALSE)/HLOOKUP(2018,DEMANDS!$G$2:$CK$25,MATCH($E9,DEMANDS!$E$2:$E$25,0),FALSE)</f>
        <v>0.54246391926048509</v>
      </c>
      <c r="X9" s="18">
        <f>HLOOKUP(REG_TRA_DEMANDS!X$3,'BY-Demands'!$J$5:$AK$14,MATCH($E9,'BY-Demands'!$I$5:$I$14,0),FALSE)*HLOOKUP(REG_TRA_DEMANDS!$F9,DEMANDS!$G$2:$CK$25,MATCH($E9,DEMANDS!$E$2:$E$25,0),FALSE)/HLOOKUP(2018,DEMANDS!$G$2:$CK$25,MATCH($E9,DEMANDS!$E$2:$E$25,0),FALSE)</f>
        <v>0.3602134660655596</v>
      </c>
      <c r="Y9" s="18">
        <f>HLOOKUP(REG_TRA_DEMANDS!Y$3,'BY-Demands'!$J$5:$AK$14,MATCH($E9,'BY-Demands'!$I$5:$I$14,0),FALSE)*HLOOKUP(REG_TRA_DEMANDS!$F9,DEMANDS!$G$2:$CK$25,MATCH($E9,DEMANDS!$E$2:$E$25,0),FALSE)/HLOOKUP(2018,DEMANDS!$G$2:$CK$25,MATCH($E9,DEMANDS!$E$2:$E$25,0),FALSE)</f>
        <v>0.80510125765105089</v>
      </c>
      <c r="Z9" s="18">
        <f>HLOOKUP(REG_TRA_DEMANDS!Z$3,'BY-Demands'!$J$5:$AK$14,MATCH($E9,'BY-Demands'!$I$5:$I$14,0),FALSE)*HLOOKUP(REG_TRA_DEMANDS!$F9,DEMANDS!$G$2:$CK$25,MATCH($E9,DEMANDS!$E$2:$E$25,0),FALSE)/HLOOKUP(2018,DEMANDS!$G$2:$CK$25,MATCH($E9,DEMANDS!$E$2:$E$25,0),FALSE)</f>
        <v>0.10332867538879568</v>
      </c>
      <c r="AA9" s="18">
        <f>HLOOKUP(REG_TRA_DEMANDS!AA$3,'BY-Demands'!$J$5:$AK$14,MATCH($E9,'BY-Demands'!$I$5:$I$14,0),FALSE)*HLOOKUP(REG_TRA_DEMANDS!$F9,DEMANDS!$G$2:$CK$25,MATCH($E9,DEMANDS!$E$2:$E$25,0),FALSE)/HLOOKUP(2018,DEMANDS!$G$2:$CK$25,MATCH($E9,DEMANDS!$E$2:$E$25,0),FALSE)</f>
        <v>0.43117086793227138</v>
      </c>
      <c r="AB9" s="18">
        <f>HLOOKUP(REG_TRA_DEMANDS!AB$3,'BY-Demands'!$J$5:$AK$14,MATCH($E9,'BY-Demands'!$I$5:$I$14,0),FALSE)*HLOOKUP(REG_TRA_DEMANDS!$F9,DEMANDS!$G$2:$CK$25,MATCH($E9,DEMANDS!$E$2:$E$25,0),FALSE)/HLOOKUP(2018,DEMANDS!$G$2:$CK$25,MATCH($E9,DEMANDS!$E$2:$E$25,0),FALSE)</f>
        <v>0.2255498042736527</v>
      </c>
      <c r="AC9" s="18">
        <f>HLOOKUP(REG_TRA_DEMANDS!AC$3,'BY-Demands'!$J$5:$AK$14,MATCH($E9,'BY-Demands'!$I$5:$I$14,0),FALSE)*HLOOKUP(REG_TRA_DEMANDS!$F9,DEMANDS!$G$2:$CK$25,MATCH($E9,DEMANDS!$E$2:$E$25,0),FALSE)/HLOOKUP(2018,DEMANDS!$G$2:$CK$25,MATCH($E9,DEMANDS!$E$2:$E$25,0),FALSE)</f>
        <v>0.19885568664560441</v>
      </c>
      <c r="AD9" s="18">
        <f>HLOOKUP(REG_TRA_DEMANDS!AD$3,'BY-Demands'!$J$5:$AK$14,MATCH($E9,'BY-Demands'!$I$5:$I$14,0),FALSE)*HLOOKUP(REG_TRA_DEMANDS!$F9,DEMANDS!$G$2:$CK$25,MATCH($E9,DEMANDS!$E$2:$E$25,0),FALSE)/HLOOKUP(2018,DEMANDS!$G$2:$CK$25,MATCH($E9,DEMANDS!$E$2:$E$25,0),FALSE)</f>
        <v>0.22180351552958597</v>
      </c>
      <c r="AE9" s="18">
        <f>HLOOKUP(REG_TRA_DEMANDS!AE$3,'BY-Demands'!$J$5:$AK$14,MATCH($E9,'BY-Demands'!$I$5:$I$14,0),FALSE)*HLOOKUP(REG_TRA_DEMANDS!$F9,DEMANDS!$G$2:$CK$25,MATCH($E9,DEMANDS!$E$2:$E$25,0),FALSE)/HLOOKUP(2018,DEMANDS!$G$2:$CK$25,MATCH($E9,DEMANDS!$E$2:$E$25,0),FALSE)</f>
        <v>0.43026055938423163</v>
      </c>
      <c r="AF9" s="18">
        <f>HLOOKUP(REG_TRA_DEMANDS!AF$3,'BY-Demands'!$J$5:$AK$14,MATCH($E9,'BY-Demands'!$I$5:$I$14,0),FALSE)*HLOOKUP(REG_TRA_DEMANDS!$F9,DEMANDS!$G$2:$CK$25,MATCH($E9,DEMANDS!$E$2:$E$25,0),FALSE)/HLOOKUP(2018,DEMANDS!$G$2:$CK$25,MATCH($E9,DEMANDS!$E$2:$E$25,0),FALSE)</f>
        <v>0.20635904054358556</v>
      </c>
    </row>
    <row r="10" spans="4:32" ht="14.4">
      <c r="D10" t="s">
        <v>6</v>
      </c>
      <c r="E10" t="str">
        <f>DEMANDS!$E$17</f>
        <v>TRAPS</v>
      </c>
      <c r="F10">
        <v>2026</v>
      </c>
      <c r="G10" s="18">
        <f>HLOOKUP(REG_TRA_DEMANDS!G$3,'BY-Demands'!$J$5:$AK$14,MATCH($E10,'BY-Demands'!$I$5:$I$14,0),FALSE)*HLOOKUP(REG_TRA_DEMANDS!$F10,DEMANDS!$G$2:$CK$25,MATCH($E10,DEMANDS!$E$2:$E$25,0),FALSE)/HLOOKUP(2018,DEMANDS!$G$2:$CK$25,MATCH($E10,DEMANDS!$E$2:$E$25,0),FALSE)</f>
        <v>0.19189917796754283</v>
      </c>
      <c r="H10" s="18">
        <f>HLOOKUP(REG_TRA_DEMANDS!H$3,'BY-Demands'!$J$5:$AK$14,MATCH($E10,'BY-Demands'!$I$5:$I$14,0),FALSE)*HLOOKUP(REG_TRA_DEMANDS!$F10,DEMANDS!$G$2:$CK$25,MATCH($E10,DEMANDS!$E$2:$E$25,0),FALSE)/HLOOKUP(2018,DEMANDS!$G$2:$CK$25,MATCH($E10,DEMANDS!$E$2:$E$25,0),FALSE)</f>
        <v>3.8365195673003796</v>
      </c>
      <c r="I10" s="18">
        <f>HLOOKUP(REG_TRA_DEMANDS!I$3,'BY-Demands'!$J$5:$AK$14,MATCH($E10,'BY-Demands'!$I$5:$I$14,0),FALSE)*HLOOKUP(REG_TRA_DEMANDS!$F10,DEMANDS!$G$2:$CK$25,MATCH($E10,DEMANDS!$E$2:$E$25,0),FALSE)/HLOOKUP(2018,DEMANDS!$G$2:$CK$25,MATCH($E10,DEMANDS!$E$2:$E$25,0),FALSE)</f>
        <v>0.70755044769259479</v>
      </c>
      <c r="J10" s="18">
        <f>HLOOKUP(REG_TRA_DEMANDS!J$3,'BY-Demands'!$J$5:$AK$14,MATCH($E10,'BY-Demands'!$I$5:$I$14,0),FALSE)*HLOOKUP(REG_TRA_DEMANDS!$F10,DEMANDS!$G$2:$CK$25,MATCH($E10,DEMANDS!$E$2:$E$25,0),FALSE)/HLOOKUP(2018,DEMANDS!$G$2:$CK$25,MATCH($E10,DEMANDS!$E$2:$E$25,0),FALSE)</f>
        <v>0.3282577403037078</v>
      </c>
      <c r="K10" s="18">
        <f>HLOOKUP(REG_TRA_DEMANDS!K$3,'BY-Demands'!$J$5:$AK$14,MATCH($E10,'BY-Demands'!$I$5:$I$14,0),FALSE)*HLOOKUP(REG_TRA_DEMANDS!$F10,DEMANDS!$G$2:$CK$25,MATCH($E10,DEMANDS!$E$2:$E$25,0),FALSE)/HLOOKUP(2018,DEMANDS!$G$2:$CK$25,MATCH($E10,DEMANDS!$E$2:$E$25,0),FALSE)</f>
        <v>0.25879826610125284</v>
      </c>
      <c r="L10" s="18">
        <f>HLOOKUP(REG_TRA_DEMANDS!L$3,'BY-Demands'!$J$5:$AK$14,MATCH($E10,'BY-Demands'!$I$5:$I$14,0),FALSE)*HLOOKUP(REG_TRA_DEMANDS!$F10,DEMANDS!$G$2:$CK$25,MATCH($E10,DEMANDS!$E$2:$E$25,0),FALSE)/HLOOKUP(2018,DEMANDS!$G$2:$CK$25,MATCH($E10,DEMANDS!$E$2:$E$25,0),FALSE)</f>
        <v>0.13003730258189614</v>
      </c>
      <c r="M10" s="18">
        <f>HLOOKUP(REG_TRA_DEMANDS!M$3,'BY-Demands'!$J$5:$AK$14,MATCH($E10,'BY-Demands'!$I$5:$I$14,0),FALSE)*HLOOKUP(REG_TRA_DEMANDS!$F10,DEMANDS!$G$2:$CK$25,MATCH($E10,DEMANDS!$E$2:$E$25,0),FALSE)/HLOOKUP(2018,DEMANDS!$G$2:$CK$25,MATCH($E10,DEMANDS!$E$2:$E$25,0),FALSE)</f>
        <v>0.37288357406386979</v>
      </c>
      <c r="N10" s="18">
        <f>HLOOKUP(REG_TRA_DEMANDS!N$3,'BY-Demands'!$J$5:$AK$14,MATCH($E10,'BY-Demands'!$I$5:$I$14,0),FALSE)*HLOOKUP(REG_TRA_DEMANDS!$F10,DEMANDS!$G$2:$CK$25,MATCH($E10,DEMANDS!$E$2:$E$25,0),FALSE)/HLOOKUP(2018,DEMANDS!$G$2:$CK$25,MATCH($E10,DEMANDS!$E$2:$E$25,0),FALSE)</f>
        <v>0.61377591188582037</v>
      </c>
      <c r="O10" s="18">
        <f>HLOOKUP(REG_TRA_DEMANDS!O$3,'BY-Demands'!$J$5:$AK$14,MATCH($E10,'BY-Demands'!$I$5:$I$14,0),FALSE)*HLOOKUP(REG_TRA_DEMANDS!$F10,DEMANDS!$G$2:$CK$25,MATCH($E10,DEMANDS!$E$2:$E$25,0),FALSE)/HLOOKUP(2018,DEMANDS!$G$2:$CK$25,MATCH($E10,DEMANDS!$E$2:$E$25,0),FALSE)</f>
        <v>0.25407429363945533</v>
      </c>
      <c r="P10" s="18">
        <f>HLOOKUP(REG_TRA_DEMANDS!P$3,'BY-Demands'!$J$5:$AK$14,MATCH($E10,'BY-Demands'!$I$5:$I$14,0),FALSE)*HLOOKUP(REG_TRA_DEMANDS!$F10,DEMANDS!$G$2:$CK$25,MATCH($E10,DEMANDS!$E$2:$E$25,0),FALSE)/HLOOKUP(2018,DEMANDS!$G$2:$CK$25,MATCH($E10,DEMANDS!$E$2:$E$25,0),FALSE)</f>
        <v>0.28799046470245149</v>
      </c>
      <c r="Q10" s="18">
        <f>HLOOKUP(REG_TRA_DEMANDS!Q$3,'BY-Demands'!$J$5:$AK$14,MATCH($E10,'BY-Demands'!$I$5:$I$14,0),FALSE)*HLOOKUP(REG_TRA_DEMANDS!$F10,DEMANDS!$G$2:$CK$25,MATCH($E10,DEMANDS!$E$2:$E$25,0),FALSE)/HLOOKUP(2018,DEMANDS!$G$2:$CK$25,MATCH($E10,DEMANDS!$E$2:$E$25,0),FALSE)</f>
        <v>0.50122948040282622</v>
      </c>
      <c r="R10" s="18">
        <f>HLOOKUP(REG_TRA_DEMANDS!R$3,'BY-Demands'!$J$5:$AK$14,MATCH($E10,'BY-Demands'!$I$5:$I$14,0),FALSE)*HLOOKUP(REG_TRA_DEMANDS!$F10,DEMANDS!$G$2:$CK$25,MATCH($E10,DEMANDS!$E$2:$E$25,0),FALSE)/HLOOKUP(2018,DEMANDS!$G$2:$CK$25,MATCH($E10,DEMANDS!$E$2:$E$25,0),FALSE)</f>
        <v>0.44336387245786596</v>
      </c>
      <c r="S10" s="18">
        <f>HLOOKUP(REG_TRA_DEMANDS!S$3,'BY-Demands'!$J$5:$AK$14,MATCH($E10,'BY-Demands'!$I$5:$I$14,0),FALSE)*HLOOKUP(REG_TRA_DEMANDS!$F10,DEMANDS!$G$2:$CK$25,MATCH($E10,DEMANDS!$E$2:$E$25,0),FALSE)/HLOOKUP(2018,DEMANDS!$G$2:$CK$25,MATCH($E10,DEMANDS!$E$2:$E$25,0),FALSE)</f>
        <v>0.39021437872275427</v>
      </c>
      <c r="T10" s="18">
        <f>HLOOKUP(REG_TRA_DEMANDS!T$3,'BY-Demands'!$J$5:$AK$14,MATCH($E10,'BY-Demands'!$I$5:$I$14,0),FALSE)*HLOOKUP(REG_TRA_DEMANDS!$F10,DEMANDS!$G$2:$CK$25,MATCH($E10,DEMANDS!$E$2:$E$25,0),FALSE)/HLOOKUP(2018,DEMANDS!$G$2:$CK$25,MATCH($E10,DEMANDS!$E$2:$E$25,0),FALSE)</f>
        <v>1.6501646844345894</v>
      </c>
      <c r="U10" s="18">
        <f>HLOOKUP(REG_TRA_DEMANDS!U$3,'BY-Demands'!$J$5:$AK$14,MATCH($E10,'BY-Demands'!$I$5:$I$14,0),FALSE)*HLOOKUP(REG_TRA_DEMANDS!$F10,DEMANDS!$G$2:$CK$25,MATCH($E10,DEMANDS!$E$2:$E$25,0),FALSE)/HLOOKUP(2018,DEMANDS!$G$2:$CK$25,MATCH($E10,DEMANDS!$E$2:$E$25,0),FALSE)</f>
        <v>0.50524180998166979</v>
      </c>
      <c r="V10" s="18">
        <f>HLOOKUP(REG_TRA_DEMANDS!V$3,'BY-Demands'!$J$5:$AK$14,MATCH($E10,'BY-Demands'!$I$5:$I$14,0),FALSE)*HLOOKUP(REG_TRA_DEMANDS!$F10,DEMANDS!$G$2:$CK$25,MATCH($E10,DEMANDS!$E$2:$E$25,0),FALSE)/HLOOKUP(2018,DEMANDS!$G$2:$CK$25,MATCH($E10,DEMANDS!$E$2:$E$25,0),FALSE)</f>
        <v>0.60245992732860876</v>
      </c>
      <c r="W10" s="18">
        <f>HLOOKUP(REG_TRA_DEMANDS!W$3,'BY-Demands'!$J$5:$AK$14,MATCH($E10,'BY-Demands'!$I$5:$I$14,0),FALSE)*HLOOKUP(REG_TRA_DEMANDS!$F10,DEMANDS!$G$2:$CK$25,MATCH($E10,DEMANDS!$E$2:$E$25,0),FALSE)/HLOOKUP(2018,DEMANDS!$G$2:$CK$25,MATCH($E10,DEMANDS!$E$2:$E$25,0),FALSE)</f>
        <v>0.54924471825124122</v>
      </c>
      <c r="X10" s="18">
        <f>HLOOKUP(REG_TRA_DEMANDS!X$3,'BY-Demands'!$J$5:$AK$14,MATCH($E10,'BY-Demands'!$I$5:$I$14,0),FALSE)*HLOOKUP(REG_TRA_DEMANDS!$F10,DEMANDS!$G$2:$CK$25,MATCH($E10,DEMANDS!$E$2:$E$25,0),FALSE)/HLOOKUP(2018,DEMANDS!$G$2:$CK$25,MATCH($E10,DEMANDS!$E$2:$E$25,0),FALSE)</f>
        <v>0.36471613439137907</v>
      </c>
      <c r="Y10" s="18">
        <f>HLOOKUP(REG_TRA_DEMANDS!Y$3,'BY-Demands'!$J$5:$AK$14,MATCH($E10,'BY-Demands'!$I$5:$I$14,0),FALSE)*HLOOKUP(REG_TRA_DEMANDS!$F10,DEMANDS!$G$2:$CK$25,MATCH($E10,DEMANDS!$E$2:$E$25,0),FALSE)/HLOOKUP(2018,DEMANDS!$G$2:$CK$25,MATCH($E10,DEMANDS!$E$2:$E$25,0),FALSE)</f>
        <v>0.81516502337168895</v>
      </c>
      <c r="Z10" s="18">
        <f>HLOOKUP(REG_TRA_DEMANDS!Z$3,'BY-Demands'!$J$5:$AK$14,MATCH($E10,'BY-Demands'!$I$5:$I$14,0),FALSE)*HLOOKUP(REG_TRA_DEMANDS!$F10,DEMANDS!$G$2:$CK$25,MATCH($E10,DEMANDS!$E$2:$E$25,0),FALSE)/HLOOKUP(2018,DEMANDS!$G$2:$CK$25,MATCH($E10,DEMANDS!$E$2:$E$25,0),FALSE)</f>
        <v>0.10462028383115562</v>
      </c>
      <c r="AA10" s="18">
        <f>HLOOKUP(REG_TRA_DEMANDS!AA$3,'BY-Demands'!$J$5:$AK$14,MATCH($E10,'BY-Demands'!$I$5:$I$14,0),FALSE)*HLOOKUP(REG_TRA_DEMANDS!$F10,DEMANDS!$G$2:$CK$25,MATCH($E10,DEMANDS!$E$2:$E$25,0),FALSE)/HLOOKUP(2018,DEMANDS!$G$2:$CK$25,MATCH($E10,DEMANDS!$E$2:$E$25,0),FALSE)</f>
        <v>0.4365605037814248</v>
      </c>
      <c r="AB10" s="18">
        <f>HLOOKUP(REG_TRA_DEMANDS!AB$3,'BY-Demands'!$J$5:$AK$14,MATCH($E10,'BY-Demands'!$I$5:$I$14,0),FALSE)*HLOOKUP(REG_TRA_DEMANDS!$F10,DEMANDS!$G$2:$CK$25,MATCH($E10,DEMANDS!$E$2:$E$25,0),FALSE)/HLOOKUP(2018,DEMANDS!$G$2:$CK$25,MATCH($E10,DEMANDS!$E$2:$E$25,0),FALSE)</f>
        <v>0.22836917682707336</v>
      </c>
      <c r="AC10" s="18">
        <f>HLOOKUP(REG_TRA_DEMANDS!AC$3,'BY-Demands'!$J$5:$AK$14,MATCH($E10,'BY-Demands'!$I$5:$I$14,0),FALSE)*HLOOKUP(REG_TRA_DEMANDS!$F10,DEMANDS!$G$2:$CK$25,MATCH($E10,DEMANDS!$E$2:$E$25,0),FALSE)/HLOOKUP(2018,DEMANDS!$G$2:$CK$25,MATCH($E10,DEMANDS!$E$2:$E$25,0),FALSE)</f>
        <v>0.20134138272867444</v>
      </c>
      <c r="AD10" s="18">
        <f>HLOOKUP(REG_TRA_DEMANDS!AD$3,'BY-Demands'!$J$5:$AK$14,MATCH($E10,'BY-Demands'!$I$5:$I$14,0),FALSE)*HLOOKUP(REG_TRA_DEMANDS!$F10,DEMANDS!$G$2:$CK$25,MATCH($E10,DEMANDS!$E$2:$E$25,0),FALSE)/HLOOKUP(2018,DEMANDS!$G$2:$CK$25,MATCH($E10,DEMANDS!$E$2:$E$25,0),FALSE)</f>
        <v>0.22457605947370579</v>
      </c>
      <c r="AE10" s="18">
        <f>HLOOKUP(REG_TRA_DEMANDS!AE$3,'BY-Demands'!$J$5:$AK$14,MATCH($E10,'BY-Demands'!$I$5:$I$14,0),FALSE)*HLOOKUP(REG_TRA_DEMANDS!$F10,DEMANDS!$G$2:$CK$25,MATCH($E10,DEMANDS!$E$2:$E$25,0),FALSE)/HLOOKUP(2018,DEMANDS!$G$2:$CK$25,MATCH($E10,DEMANDS!$E$2:$E$25,0),FALSE)</f>
        <v>0.43563881637653451</v>
      </c>
      <c r="AF10" s="18">
        <f>HLOOKUP(REG_TRA_DEMANDS!AF$3,'BY-Demands'!$J$5:$AK$14,MATCH($E10,'BY-Demands'!$I$5:$I$14,0),FALSE)*HLOOKUP(REG_TRA_DEMANDS!$F10,DEMANDS!$G$2:$CK$25,MATCH($E10,DEMANDS!$E$2:$E$25,0),FALSE)/HLOOKUP(2018,DEMANDS!$G$2:$CK$25,MATCH($E10,DEMANDS!$E$2:$E$25,0),FALSE)</f>
        <v>0.20893852855038036</v>
      </c>
    </row>
    <row r="11" spans="4:32" ht="14.4">
      <c r="D11" t="s">
        <v>6</v>
      </c>
      <c r="E11" t="str">
        <f>DEMANDS!$E$17</f>
        <v>TRAPS</v>
      </c>
      <c r="F11">
        <v>2027</v>
      </c>
      <c r="G11" s="18">
        <f>HLOOKUP(REG_TRA_DEMANDS!G$3,'BY-Demands'!$J$5:$AK$14,MATCH($E11,'BY-Demands'!$I$5:$I$14,0),FALSE)*HLOOKUP(REG_TRA_DEMANDS!$F11,DEMANDS!$G$2:$CK$25,MATCH($E11,DEMANDS!$E$2:$E$25,0),FALSE)/HLOOKUP(2018,DEMANDS!$G$2:$CK$25,MATCH($E11,DEMANDS!$E$2:$E$25,0),FALSE)</f>
        <v>0.19429791769213708</v>
      </c>
      <c r="H11" s="18">
        <f>HLOOKUP(REG_TRA_DEMANDS!H$3,'BY-Demands'!$J$5:$AK$14,MATCH($E11,'BY-Demands'!$I$5:$I$14,0),FALSE)*HLOOKUP(REG_TRA_DEMANDS!$F11,DEMANDS!$G$2:$CK$25,MATCH($E11,DEMANDS!$E$2:$E$25,0),FALSE)/HLOOKUP(2018,DEMANDS!$G$2:$CK$25,MATCH($E11,DEMANDS!$E$2:$E$25,0),FALSE)</f>
        <v>3.8844760618916347</v>
      </c>
      <c r="I11" s="18">
        <f>HLOOKUP(REG_TRA_DEMANDS!I$3,'BY-Demands'!$J$5:$AK$14,MATCH($E11,'BY-Demands'!$I$5:$I$14,0),FALSE)*HLOOKUP(REG_TRA_DEMANDS!$F11,DEMANDS!$G$2:$CK$25,MATCH($E11,DEMANDS!$E$2:$E$25,0),FALSE)/HLOOKUP(2018,DEMANDS!$G$2:$CK$25,MATCH($E11,DEMANDS!$E$2:$E$25,0),FALSE)</f>
        <v>0.71639482828875223</v>
      </c>
      <c r="J11" s="18">
        <f>HLOOKUP(REG_TRA_DEMANDS!J$3,'BY-Demands'!$J$5:$AK$14,MATCH($E11,'BY-Demands'!$I$5:$I$14,0),FALSE)*HLOOKUP(REG_TRA_DEMANDS!$F11,DEMANDS!$G$2:$CK$25,MATCH($E11,DEMANDS!$E$2:$E$25,0),FALSE)/HLOOKUP(2018,DEMANDS!$G$2:$CK$25,MATCH($E11,DEMANDS!$E$2:$E$25,0),FALSE)</f>
        <v>0.33236096205750421</v>
      </c>
      <c r="K11" s="18">
        <f>HLOOKUP(REG_TRA_DEMANDS!K$3,'BY-Demands'!$J$5:$AK$14,MATCH($E11,'BY-Demands'!$I$5:$I$14,0),FALSE)*HLOOKUP(REG_TRA_DEMANDS!$F11,DEMANDS!$G$2:$CK$25,MATCH($E11,DEMANDS!$E$2:$E$25,0),FALSE)/HLOOKUP(2018,DEMANDS!$G$2:$CK$25,MATCH($E11,DEMANDS!$E$2:$E$25,0),FALSE)</f>
        <v>0.26203324442751852</v>
      </c>
      <c r="L11" s="18">
        <f>HLOOKUP(REG_TRA_DEMANDS!L$3,'BY-Demands'!$J$5:$AK$14,MATCH($E11,'BY-Demands'!$I$5:$I$14,0),FALSE)*HLOOKUP(REG_TRA_DEMANDS!$F11,DEMANDS!$G$2:$CK$25,MATCH($E11,DEMANDS!$E$2:$E$25,0),FALSE)/HLOOKUP(2018,DEMANDS!$G$2:$CK$25,MATCH($E11,DEMANDS!$E$2:$E$25,0),FALSE)</f>
        <v>0.13166276886416983</v>
      </c>
      <c r="M11" s="18">
        <f>HLOOKUP(REG_TRA_DEMANDS!M$3,'BY-Demands'!$J$5:$AK$14,MATCH($E11,'BY-Demands'!$I$5:$I$14,0),FALSE)*HLOOKUP(REG_TRA_DEMANDS!$F11,DEMANDS!$G$2:$CK$25,MATCH($E11,DEMANDS!$E$2:$E$25,0),FALSE)/HLOOKUP(2018,DEMANDS!$G$2:$CK$25,MATCH($E11,DEMANDS!$E$2:$E$25,0),FALSE)</f>
        <v>0.3775446187396681</v>
      </c>
      <c r="N11" s="18">
        <f>HLOOKUP(REG_TRA_DEMANDS!N$3,'BY-Demands'!$J$5:$AK$14,MATCH($E11,'BY-Demands'!$I$5:$I$14,0),FALSE)*HLOOKUP(REG_TRA_DEMANDS!$F11,DEMANDS!$G$2:$CK$25,MATCH($E11,DEMANDS!$E$2:$E$25,0),FALSE)/HLOOKUP(2018,DEMANDS!$G$2:$CK$25,MATCH($E11,DEMANDS!$E$2:$E$25,0),FALSE)</f>
        <v>0.62144811078439322</v>
      </c>
      <c r="O11" s="18">
        <f>HLOOKUP(REG_TRA_DEMANDS!O$3,'BY-Demands'!$J$5:$AK$14,MATCH($E11,'BY-Demands'!$I$5:$I$14,0),FALSE)*HLOOKUP(REG_TRA_DEMANDS!$F11,DEMANDS!$G$2:$CK$25,MATCH($E11,DEMANDS!$E$2:$E$25,0),FALSE)/HLOOKUP(2018,DEMANDS!$G$2:$CK$25,MATCH($E11,DEMANDS!$E$2:$E$25,0),FALSE)</f>
        <v>0.25725022230994848</v>
      </c>
      <c r="P11" s="18">
        <f>HLOOKUP(REG_TRA_DEMANDS!P$3,'BY-Demands'!$J$5:$AK$14,MATCH($E11,'BY-Demands'!$I$5:$I$14,0),FALSE)*HLOOKUP(REG_TRA_DEMANDS!$F11,DEMANDS!$G$2:$CK$25,MATCH($E11,DEMANDS!$E$2:$E$25,0),FALSE)/HLOOKUP(2018,DEMANDS!$G$2:$CK$25,MATCH($E11,DEMANDS!$E$2:$E$25,0),FALSE)</f>
        <v>0.2915903455112322</v>
      </c>
      <c r="Q11" s="18">
        <f>HLOOKUP(REG_TRA_DEMANDS!Q$3,'BY-Demands'!$J$5:$AK$14,MATCH($E11,'BY-Demands'!$I$5:$I$14,0),FALSE)*HLOOKUP(REG_TRA_DEMANDS!$F11,DEMANDS!$G$2:$CK$25,MATCH($E11,DEMANDS!$E$2:$E$25,0),FALSE)/HLOOKUP(2018,DEMANDS!$G$2:$CK$25,MATCH($E11,DEMANDS!$E$2:$E$25,0),FALSE)</f>
        <v>0.50749484890786145</v>
      </c>
      <c r="R11" s="18">
        <f>HLOOKUP(REG_TRA_DEMANDS!R$3,'BY-Demands'!$J$5:$AK$14,MATCH($E11,'BY-Demands'!$I$5:$I$14,0),FALSE)*HLOOKUP(REG_TRA_DEMANDS!$F11,DEMANDS!$G$2:$CK$25,MATCH($E11,DEMANDS!$E$2:$E$25,0),FALSE)/HLOOKUP(2018,DEMANDS!$G$2:$CK$25,MATCH($E11,DEMANDS!$E$2:$E$25,0),FALSE)</f>
        <v>0.44890592086358932</v>
      </c>
      <c r="S11" s="18">
        <f>HLOOKUP(REG_TRA_DEMANDS!S$3,'BY-Demands'!$J$5:$AK$14,MATCH($E11,'BY-Demands'!$I$5:$I$14,0),FALSE)*HLOOKUP(REG_TRA_DEMANDS!$F11,DEMANDS!$G$2:$CK$25,MATCH($E11,DEMANDS!$E$2:$E$25,0),FALSE)/HLOOKUP(2018,DEMANDS!$G$2:$CK$25,MATCH($E11,DEMANDS!$E$2:$E$25,0),FALSE)</f>
        <v>0.39509205845678874</v>
      </c>
      <c r="T11" s="18">
        <f>HLOOKUP(REG_TRA_DEMANDS!T$3,'BY-Demands'!$J$5:$AK$14,MATCH($E11,'BY-Demands'!$I$5:$I$14,0),FALSE)*HLOOKUP(REG_TRA_DEMANDS!$F11,DEMANDS!$G$2:$CK$25,MATCH($E11,DEMANDS!$E$2:$E$25,0),FALSE)/HLOOKUP(2018,DEMANDS!$G$2:$CK$25,MATCH($E11,DEMANDS!$E$2:$E$25,0),FALSE)</f>
        <v>1.6707917429900219</v>
      </c>
      <c r="U11" s="18">
        <f>HLOOKUP(REG_TRA_DEMANDS!U$3,'BY-Demands'!$J$5:$AK$14,MATCH($E11,'BY-Demands'!$I$5:$I$14,0),FALSE)*HLOOKUP(REG_TRA_DEMANDS!$F11,DEMANDS!$G$2:$CK$25,MATCH($E11,DEMANDS!$E$2:$E$25,0),FALSE)/HLOOKUP(2018,DEMANDS!$G$2:$CK$25,MATCH($E11,DEMANDS!$E$2:$E$25,0),FALSE)</f>
        <v>0.51155733260644065</v>
      </c>
      <c r="V11" s="18">
        <f>HLOOKUP(REG_TRA_DEMANDS!V$3,'BY-Demands'!$J$5:$AK$14,MATCH($E11,'BY-Demands'!$I$5:$I$14,0),FALSE)*HLOOKUP(REG_TRA_DEMANDS!$F11,DEMANDS!$G$2:$CK$25,MATCH($E11,DEMANDS!$E$2:$E$25,0),FALSE)/HLOOKUP(2018,DEMANDS!$G$2:$CK$25,MATCH($E11,DEMANDS!$E$2:$E$25,0),FALSE)</f>
        <v>0.60999067642021643</v>
      </c>
      <c r="W11" s="18">
        <f>HLOOKUP(REG_TRA_DEMANDS!W$3,'BY-Demands'!$J$5:$AK$14,MATCH($E11,'BY-Demands'!$I$5:$I$14,0),FALSE)*HLOOKUP(REG_TRA_DEMANDS!$F11,DEMANDS!$G$2:$CK$25,MATCH($E11,DEMANDS!$E$2:$E$25,0),FALSE)/HLOOKUP(2018,DEMANDS!$G$2:$CK$25,MATCH($E11,DEMANDS!$E$2:$E$25,0),FALSE)</f>
        <v>0.55611027722938167</v>
      </c>
      <c r="X11" s="18">
        <f>HLOOKUP(REG_TRA_DEMANDS!X$3,'BY-Demands'!$J$5:$AK$14,MATCH($E11,'BY-Demands'!$I$5:$I$14,0),FALSE)*HLOOKUP(REG_TRA_DEMANDS!$F11,DEMANDS!$G$2:$CK$25,MATCH($E11,DEMANDS!$E$2:$E$25,0),FALSE)/HLOOKUP(2018,DEMANDS!$G$2:$CK$25,MATCH($E11,DEMANDS!$E$2:$E$25,0),FALSE)</f>
        <v>0.3692750860712713</v>
      </c>
      <c r="Y11" s="18">
        <f>HLOOKUP(REG_TRA_DEMANDS!Y$3,'BY-Demands'!$J$5:$AK$14,MATCH($E11,'BY-Demands'!$I$5:$I$14,0),FALSE)*HLOOKUP(REG_TRA_DEMANDS!$F11,DEMANDS!$G$2:$CK$25,MATCH($E11,DEMANDS!$E$2:$E$25,0),FALSE)/HLOOKUP(2018,DEMANDS!$G$2:$CK$25,MATCH($E11,DEMANDS!$E$2:$E$25,0),FALSE)</f>
        <v>0.82535458616383506</v>
      </c>
      <c r="Z11" s="18">
        <f>HLOOKUP(REG_TRA_DEMANDS!Z$3,'BY-Demands'!$J$5:$AK$14,MATCH($E11,'BY-Demands'!$I$5:$I$14,0),FALSE)*HLOOKUP(REG_TRA_DEMANDS!$F11,DEMANDS!$G$2:$CK$25,MATCH($E11,DEMANDS!$E$2:$E$25,0),FALSE)/HLOOKUP(2018,DEMANDS!$G$2:$CK$25,MATCH($E11,DEMANDS!$E$2:$E$25,0),FALSE)</f>
        <v>0.10592803737904506</v>
      </c>
      <c r="AA11" s="18">
        <f>HLOOKUP(REG_TRA_DEMANDS!AA$3,'BY-Demands'!$J$5:$AK$14,MATCH($E11,'BY-Demands'!$I$5:$I$14,0),FALSE)*HLOOKUP(REG_TRA_DEMANDS!$F11,DEMANDS!$G$2:$CK$25,MATCH($E11,DEMANDS!$E$2:$E$25,0),FALSE)/HLOOKUP(2018,DEMANDS!$G$2:$CK$25,MATCH($E11,DEMANDS!$E$2:$E$25,0),FALSE)</f>
        <v>0.44201751007869261</v>
      </c>
      <c r="AB11" s="18">
        <f>HLOOKUP(REG_TRA_DEMANDS!AB$3,'BY-Demands'!$J$5:$AK$14,MATCH($E11,'BY-Demands'!$I$5:$I$14,0),FALSE)*HLOOKUP(REG_TRA_DEMANDS!$F11,DEMANDS!$G$2:$CK$25,MATCH($E11,DEMANDS!$E$2:$E$25,0),FALSE)/HLOOKUP(2018,DEMANDS!$G$2:$CK$25,MATCH($E11,DEMANDS!$E$2:$E$25,0),FALSE)</f>
        <v>0.23122379153741174</v>
      </c>
      <c r="AC11" s="18">
        <f>HLOOKUP(REG_TRA_DEMANDS!AC$3,'BY-Demands'!$J$5:$AK$14,MATCH($E11,'BY-Demands'!$I$5:$I$14,0),FALSE)*HLOOKUP(REG_TRA_DEMANDS!$F11,DEMANDS!$G$2:$CK$25,MATCH($E11,DEMANDS!$E$2:$E$25,0),FALSE)/HLOOKUP(2018,DEMANDS!$G$2:$CK$25,MATCH($E11,DEMANDS!$E$2:$E$25,0),FALSE)</f>
        <v>0.20385815001278287</v>
      </c>
      <c r="AD11" s="18">
        <f>HLOOKUP(REG_TRA_DEMANDS!AD$3,'BY-Demands'!$J$5:$AK$14,MATCH($E11,'BY-Demands'!$I$5:$I$14,0),FALSE)*HLOOKUP(REG_TRA_DEMANDS!$F11,DEMANDS!$G$2:$CK$25,MATCH($E11,DEMANDS!$E$2:$E$25,0),FALSE)/HLOOKUP(2018,DEMANDS!$G$2:$CK$25,MATCH($E11,DEMANDS!$E$2:$E$25,0),FALSE)</f>
        <v>0.2273832602171271</v>
      </c>
      <c r="AE11" s="18">
        <f>HLOOKUP(REG_TRA_DEMANDS!AE$3,'BY-Demands'!$J$5:$AK$14,MATCH($E11,'BY-Demands'!$I$5:$I$14,0),FALSE)*HLOOKUP(REG_TRA_DEMANDS!$F11,DEMANDS!$G$2:$CK$25,MATCH($E11,DEMANDS!$E$2:$E$25,0),FALSE)/HLOOKUP(2018,DEMANDS!$G$2:$CK$25,MATCH($E11,DEMANDS!$E$2:$E$25,0),FALSE)</f>
        <v>0.44108430158124118</v>
      </c>
      <c r="AF11" s="18">
        <f>HLOOKUP(REG_TRA_DEMANDS!AF$3,'BY-Demands'!$J$5:$AK$14,MATCH($E11,'BY-Demands'!$I$5:$I$14,0),FALSE)*HLOOKUP(REG_TRA_DEMANDS!$F11,DEMANDS!$G$2:$CK$25,MATCH($E11,DEMANDS!$E$2:$E$25,0),FALSE)/HLOOKUP(2018,DEMANDS!$G$2:$CK$25,MATCH($E11,DEMANDS!$E$2:$E$25,0),FALSE)</f>
        <v>0.21155026015726011</v>
      </c>
    </row>
    <row r="12" spans="4:32" ht="14.4">
      <c r="D12" t="s">
        <v>6</v>
      </c>
      <c r="E12" t="str">
        <f>DEMANDS!$E$17</f>
        <v>TRAPS</v>
      </c>
      <c r="F12">
        <v>2028</v>
      </c>
      <c r="G12" s="18">
        <f>HLOOKUP(REG_TRA_DEMANDS!G$3,'BY-Demands'!$J$5:$AK$14,MATCH($E12,'BY-Demands'!$I$5:$I$14,0),FALSE)*HLOOKUP(REG_TRA_DEMANDS!$F12,DEMANDS!$G$2:$CK$25,MATCH($E12,DEMANDS!$E$2:$E$25,0),FALSE)/HLOOKUP(2018,DEMANDS!$G$2:$CK$25,MATCH($E12,DEMANDS!$E$2:$E$25,0),FALSE)</f>
        <v>0.19672664166328876</v>
      </c>
      <c r="H12" s="18">
        <f>HLOOKUP(REG_TRA_DEMANDS!H$3,'BY-Demands'!$J$5:$AK$14,MATCH($E12,'BY-Demands'!$I$5:$I$14,0),FALSE)*HLOOKUP(REG_TRA_DEMANDS!$F12,DEMANDS!$G$2:$CK$25,MATCH($E12,DEMANDS!$E$2:$E$25,0),FALSE)/HLOOKUP(2018,DEMANDS!$G$2:$CK$25,MATCH($E12,DEMANDS!$E$2:$E$25,0),FALSE)</f>
        <v>3.9330320126652798</v>
      </c>
      <c r="I12" s="18">
        <f>HLOOKUP(REG_TRA_DEMANDS!I$3,'BY-Demands'!$J$5:$AK$14,MATCH($E12,'BY-Demands'!$I$5:$I$14,0),FALSE)*HLOOKUP(REG_TRA_DEMANDS!$F12,DEMANDS!$G$2:$CK$25,MATCH($E12,DEMANDS!$E$2:$E$25,0),FALSE)/HLOOKUP(2018,DEMANDS!$G$2:$CK$25,MATCH($E12,DEMANDS!$E$2:$E$25,0),FALSE)</f>
        <v>0.72534976364236159</v>
      </c>
      <c r="J12" s="18">
        <f>HLOOKUP(REG_TRA_DEMANDS!J$3,'BY-Demands'!$J$5:$AK$14,MATCH($E12,'BY-Demands'!$I$5:$I$14,0),FALSE)*HLOOKUP(REG_TRA_DEMANDS!$F12,DEMANDS!$G$2:$CK$25,MATCH($E12,DEMANDS!$E$2:$E$25,0),FALSE)/HLOOKUP(2018,DEMANDS!$G$2:$CK$25,MATCH($E12,DEMANDS!$E$2:$E$25,0),FALSE)</f>
        <v>0.33651547408322297</v>
      </c>
      <c r="K12" s="18">
        <f>HLOOKUP(REG_TRA_DEMANDS!K$3,'BY-Demands'!$J$5:$AK$14,MATCH($E12,'BY-Demands'!$I$5:$I$14,0),FALSE)*HLOOKUP(REG_TRA_DEMANDS!$F12,DEMANDS!$G$2:$CK$25,MATCH($E12,DEMANDS!$E$2:$E$25,0),FALSE)/HLOOKUP(2018,DEMANDS!$G$2:$CK$25,MATCH($E12,DEMANDS!$E$2:$E$25,0),FALSE)</f>
        <v>0.26530865998286246</v>
      </c>
      <c r="L12" s="18">
        <f>HLOOKUP(REG_TRA_DEMANDS!L$3,'BY-Demands'!$J$5:$AK$14,MATCH($E12,'BY-Demands'!$I$5:$I$14,0),FALSE)*HLOOKUP(REG_TRA_DEMANDS!$F12,DEMANDS!$G$2:$CK$25,MATCH($E12,DEMANDS!$E$2:$E$25,0),FALSE)/HLOOKUP(2018,DEMANDS!$G$2:$CK$25,MATCH($E12,DEMANDS!$E$2:$E$25,0),FALSE)</f>
        <v>0.13330855347497195</v>
      </c>
      <c r="M12" s="18">
        <f>HLOOKUP(REG_TRA_DEMANDS!M$3,'BY-Demands'!$J$5:$AK$14,MATCH($E12,'BY-Demands'!$I$5:$I$14,0),FALSE)*HLOOKUP(REG_TRA_DEMANDS!$F12,DEMANDS!$G$2:$CK$25,MATCH($E12,DEMANDS!$E$2:$E$25,0),FALSE)/HLOOKUP(2018,DEMANDS!$G$2:$CK$25,MATCH($E12,DEMANDS!$E$2:$E$25,0),FALSE)</f>
        <v>0.38226392647391394</v>
      </c>
      <c r="N12" s="18">
        <f>HLOOKUP(REG_TRA_DEMANDS!N$3,'BY-Demands'!$J$5:$AK$14,MATCH($E12,'BY-Demands'!$I$5:$I$14,0),FALSE)*HLOOKUP(REG_TRA_DEMANDS!$F12,DEMANDS!$G$2:$CK$25,MATCH($E12,DEMANDS!$E$2:$E$25,0),FALSE)/HLOOKUP(2018,DEMANDS!$G$2:$CK$25,MATCH($E12,DEMANDS!$E$2:$E$25,0),FALSE)</f>
        <v>0.6292162121691981</v>
      </c>
      <c r="O12" s="18">
        <f>HLOOKUP(REG_TRA_DEMANDS!O$3,'BY-Demands'!$J$5:$AK$14,MATCH($E12,'BY-Demands'!$I$5:$I$14,0),FALSE)*HLOOKUP(REG_TRA_DEMANDS!$F12,DEMANDS!$G$2:$CK$25,MATCH($E12,DEMANDS!$E$2:$E$25,0),FALSE)/HLOOKUP(2018,DEMANDS!$G$2:$CK$25,MATCH($E12,DEMANDS!$E$2:$E$25,0),FALSE)</f>
        <v>0.26046585008882284</v>
      </c>
      <c r="P12" s="18">
        <f>HLOOKUP(REG_TRA_DEMANDS!P$3,'BY-Demands'!$J$5:$AK$14,MATCH($E12,'BY-Demands'!$I$5:$I$14,0),FALSE)*HLOOKUP(REG_TRA_DEMANDS!$F12,DEMANDS!$G$2:$CK$25,MATCH($E12,DEMANDS!$E$2:$E$25,0),FALSE)/HLOOKUP(2018,DEMANDS!$G$2:$CK$25,MATCH($E12,DEMANDS!$E$2:$E$25,0),FALSE)</f>
        <v>0.2952352248301226</v>
      </c>
      <c r="Q12" s="18">
        <f>HLOOKUP(REG_TRA_DEMANDS!Q$3,'BY-Demands'!$J$5:$AK$14,MATCH($E12,'BY-Demands'!$I$5:$I$14,0),FALSE)*HLOOKUP(REG_TRA_DEMANDS!$F12,DEMANDS!$G$2:$CK$25,MATCH($E12,DEMANDS!$E$2:$E$25,0),FALSE)/HLOOKUP(2018,DEMANDS!$G$2:$CK$25,MATCH($E12,DEMANDS!$E$2:$E$25,0),FALSE)</f>
        <v>0.5138385345192098</v>
      </c>
      <c r="R12" s="18">
        <f>HLOOKUP(REG_TRA_DEMANDS!R$3,'BY-Demands'!$J$5:$AK$14,MATCH($E12,'BY-Demands'!$I$5:$I$14,0),FALSE)*HLOOKUP(REG_TRA_DEMANDS!$F12,DEMANDS!$G$2:$CK$25,MATCH($E12,DEMANDS!$E$2:$E$25,0),FALSE)/HLOOKUP(2018,DEMANDS!$G$2:$CK$25,MATCH($E12,DEMANDS!$E$2:$E$25,0),FALSE)</f>
        <v>0.45451724487438416</v>
      </c>
      <c r="S12" s="18">
        <f>HLOOKUP(REG_TRA_DEMANDS!S$3,'BY-Demands'!$J$5:$AK$14,MATCH($E12,'BY-Demands'!$I$5:$I$14,0),FALSE)*HLOOKUP(REG_TRA_DEMANDS!$F12,DEMANDS!$G$2:$CK$25,MATCH($E12,DEMANDS!$E$2:$E$25,0),FALSE)/HLOOKUP(2018,DEMANDS!$G$2:$CK$25,MATCH($E12,DEMANDS!$E$2:$E$25,0),FALSE)</f>
        <v>0.40003070918749856</v>
      </c>
      <c r="T12" s="18">
        <f>HLOOKUP(REG_TRA_DEMANDS!T$3,'BY-Demands'!$J$5:$AK$14,MATCH($E12,'BY-Demands'!$I$5:$I$14,0),FALSE)*HLOOKUP(REG_TRA_DEMANDS!$F12,DEMANDS!$G$2:$CK$25,MATCH($E12,DEMANDS!$E$2:$E$25,0),FALSE)/HLOOKUP(2018,DEMANDS!$G$2:$CK$25,MATCH($E12,DEMANDS!$E$2:$E$25,0),FALSE)</f>
        <v>1.6916766397773972</v>
      </c>
      <c r="U12" s="18">
        <f>HLOOKUP(REG_TRA_DEMANDS!U$3,'BY-Demands'!$J$5:$AK$14,MATCH($E12,'BY-Demands'!$I$5:$I$14,0),FALSE)*HLOOKUP(REG_TRA_DEMANDS!$F12,DEMANDS!$G$2:$CK$25,MATCH($E12,DEMANDS!$E$2:$E$25,0),FALSE)/HLOOKUP(2018,DEMANDS!$G$2:$CK$25,MATCH($E12,DEMANDS!$E$2:$E$25,0),FALSE)</f>
        <v>0.51795179926402113</v>
      </c>
      <c r="V12" s="18">
        <f>HLOOKUP(REG_TRA_DEMANDS!V$3,'BY-Demands'!$J$5:$AK$14,MATCH($E12,'BY-Demands'!$I$5:$I$14,0),FALSE)*HLOOKUP(REG_TRA_DEMANDS!$F12,DEMANDS!$G$2:$CK$25,MATCH($E12,DEMANDS!$E$2:$E$25,0),FALSE)/HLOOKUP(2018,DEMANDS!$G$2:$CK$25,MATCH($E12,DEMANDS!$E$2:$E$25,0),FALSE)</f>
        <v>0.61761555987546901</v>
      </c>
      <c r="W12" s="18">
        <f>HLOOKUP(REG_TRA_DEMANDS!W$3,'BY-Demands'!$J$5:$AK$14,MATCH($E12,'BY-Demands'!$I$5:$I$14,0),FALSE)*HLOOKUP(REG_TRA_DEMANDS!$F12,DEMANDS!$G$2:$CK$25,MATCH($E12,DEMANDS!$E$2:$E$25,0),FALSE)/HLOOKUP(2018,DEMANDS!$G$2:$CK$25,MATCH($E12,DEMANDS!$E$2:$E$25,0),FALSE)</f>
        <v>0.56306165569474886</v>
      </c>
      <c r="X12" s="18">
        <f>HLOOKUP(REG_TRA_DEMANDS!X$3,'BY-Demands'!$J$5:$AK$14,MATCH($E12,'BY-Demands'!$I$5:$I$14,0),FALSE)*HLOOKUP(REG_TRA_DEMANDS!$F12,DEMANDS!$G$2:$CK$25,MATCH($E12,DEMANDS!$E$2:$E$25,0),FALSE)/HLOOKUP(2018,DEMANDS!$G$2:$CK$25,MATCH($E12,DEMANDS!$E$2:$E$25,0),FALSE)</f>
        <v>0.37389102464716212</v>
      </c>
      <c r="Y12" s="18">
        <f>HLOOKUP(REG_TRA_DEMANDS!Y$3,'BY-Demands'!$J$5:$AK$14,MATCH($E12,'BY-Demands'!$I$5:$I$14,0),FALSE)*HLOOKUP(REG_TRA_DEMANDS!$F12,DEMANDS!$G$2:$CK$25,MATCH($E12,DEMANDS!$E$2:$E$25,0),FALSE)/HLOOKUP(2018,DEMANDS!$G$2:$CK$25,MATCH($E12,DEMANDS!$E$2:$E$25,0),FALSE)</f>
        <v>0.83567151849088295</v>
      </c>
      <c r="Z12" s="18">
        <f>HLOOKUP(REG_TRA_DEMANDS!Z$3,'BY-Demands'!$J$5:$AK$14,MATCH($E12,'BY-Demands'!$I$5:$I$14,0),FALSE)*HLOOKUP(REG_TRA_DEMANDS!$F12,DEMANDS!$G$2:$CK$25,MATCH($E12,DEMANDS!$E$2:$E$25,0),FALSE)/HLOOKUP(2018,DEMANDS!$G$2:$CK$25,MATCH($E12,DEMANDS!$E$2:$E$25,0),FALSE)</f>
        <v>0.10725213784628312</v>
      </c>
      <c r="AA12" s="18">
        <f>HLOOKUP(REG_TRA_DEMANDS!AA$3,'BY-Demands'!$J$5:$AK$14,MATCH($E12,'BY-Demands'!$I$5:$I$14,0),FALSE)*HLOOKUP(REG_TRA_DEMANDS!$F12,DEMANDS!$G$2:$CK$25,MATCH($E12,DEMANDS!$E$2:$E$25,0),FALSE)/HLOOKUP(2018,DEMANDS!$G$2:$CK$25,MATCH($E12,DEMANDS!$E$2:$E$25,0),FALSE)</f>
        <v>0.44754272895467623</v>
      </c>
      <c r="AB12" s="18">
        <f>HLOOKUP(REG_TRA_DEMANDS!AB$3,'BY-Demands'!$J$5:$AK$14,MATCH($E12,'BY-Demands'!$I$5:$I$14,0),FALSE)*HLOOKUP(REG_TRA_DEMANDS!$F12,DEMANDS!$G$2:$CK$25,MATCH($E12,DEMANDS!$E$2:$E$25,0),FALSE)/HLOOKUP(2018,DEMANDS!$G$2:$CK$25,MATCH($E12,DEMANDS!$E$2:$E$25,0),FALSE)</f>
        <v>0.23411408893162938</v>
      </c>
      <c r="AC12" s="18">
        <f>HLOOKUP(REG_TRA_DEMANDS!AC$3,'BY-Demands'!$J$5:$AK$14,MATCH($E12,'BY-Demands'!$I$5:$I$14,0),FALSE)*HLOOKUP(REG_TRA_DEMANDS!$F12,DEMANDS!$G$2:$CK$25,MATCH($E12,DEMANDS!$E$2:$E$25,0),FALSE)/HLOOKUP(2018,DEMANDS!$G$2:$CK$25,MATCH($E12,DEMANDS!$E$2:$E$25,0),FALSE)</f>
        <v>0.20640637688794264</v>
      </c>
      <c r="AD12" s="18">
        <f>HLOOKUP(REG_TRA_DEMANDS!AD$3,'BY-Demands'!$J$5:$AK$14,MATCH($E12,'BY-Demands'!$I$5:$I$14,0),FALSE)*HLOOKUP(REG_TRA_DEMANDS!$F12,DEMANDS!$G$2:$CK$25,MATCH($E12,DEMANDS!$E$2:$E$25,0),FALSE)/HLOOKUP(2018,DEMANDS!$G$2:$CK$25,MATCH($E12,DEMANDS!$E$2:$E$25,0),FALSE)</f>
        <v>0.23022555096984118</v>
      </c>
      <c r="AE12" s="18">
        <f>HLOOKUP(REG_TRA_DEMANDS!AE$3,'BY-Demands'!$J$5:$AK$14,MATCH($E12,'BY-Demands'!$I$5:$I$14,0),FALSE)*HLOOKUP(REG_TRA_DEMANDS!$F12,DEMANDS!$G$2:$CK$25,MATCH($E12,DEMANDS!$E$2:$E$25,0),FALSE)/HLOOKUP(2018,DEMANDS!$G$2:$CK$25,MATCH($E12,DEMANDS!$E$2:$E$25,0),FALSE)</f>
        <v>0.44659785535100666</v>
      </c>
      <c r="AF12" s="18">
        <f>HLOOKUP(REG_TRA_DEMANDS!AF$3,'BY-Demands'!$J$5:$AK$14,MATCH($E12,'BY-Demands'!$I$5:$I$14,0),FALSE)*HLOOKUP(REG_TRA_DEMANDS!$F12,DEMANDS!$G$2:$CK$25,MATCH($E12,DEMANDS!$E$2:$E$25,0),FALSE)/HLOOKUP(2018,DEMANDS!$G$2:$CK$25,MATCH($E12,DEMANDS!$E$2:$E$25,0),FALSE)</f>
        <v>0.21419463840922584</v>
      </c>
    </row>
    <row r="13" spans="4:32" ht="14.4">
      <c r="D13" t="s">
        <v>6</v>
      </c>
      <c r="E13" t="str">
        <f>DEMANDS!$E$17</f>
        <v>TRAPS</v>
      </c>
      <c r="F13">
        <v>2029</v>
      </c>
      <c r="G13" s="18">
        <f>HLOOKUP(REG_TRA_DEMANDS!G$3,'BY-Demands'!$J$5:$AK$14,MATCH($E13,'BY-Demands'!$I$5:$I$14,0),FALSE)*HLOOKUP(REG_TRA_DEMANDS!$F13,DEMANDS!$G$2:$CK$25,MATCH($E13,DEMANDS!$E$2:$E$25,0),FALSE)/HLOOKUP(2018,DEMANDS!$G$2:$CK$25,MATCH($E13,DEMANDS!$E$2:$E$25,0),FALSE)</f>
        <v>0.19918572468407988</v>
      </c>
      <c r="H13" s="18">
        <f>HLOOKUP(REG_TRA_DEMANDS!H$3,'BY-Demands'!$J$5:$AK$14,MATCH($E13,'BY-Demands'!$I$5:$I$14,0),FALSE)*HLOOKUP(REG_TRA_DEMANDS!$F13,DEMANDS!$G$2:$CK$25,MATCH($E13,DEMANDS!$E$2:$E$25,0),FALSE)/HLOOKUP(2018,DEMANDS!$G$2:$CK$25,MATCH($E13,DEMANDS!$E$2:$E$25,0),FALSE)</f>
        <v>3.9821949128235952</v>
      </c>
      <c r="I13" s="18">
        <f>HLOOKUP(REG_TRA_DEMANDS!I$3,'BY-Demands'!$J$5:$AK$14,MATCH($E13,'BY-Demands'!$I$5:$I$14,0),FALSE)*HLOOKUP(REG_TRA_DEMANDS!$F13,DEMANDS!$G$2:$CK$25,MATCH($E13,DEMANDS!$E$2:$E$25,0),FALSE)/HLOOKUP(2018,DEMANDS!$G$2:$CK$25,MATCH($E13,DEMANDS!$E$2:$E$25,0),FALSE)</f>
        <v>0.73441663568789106</v>
      </c>
      <c r="J13" s="18">
        <f>HLOOKUP(REG_TRA_DEMANDS!J$3,'BY-Demands'!$J$5:$AK$14,MATCH($E13,'BY-Demands'!$I$5:$I$14,0),FALSE)*HLOOKUP(REG_TRA_DEMANDS!$F13,DEMANDS!$G$2:$CK$25,MATCH($E13,DEMANDS!$E$2:$E$25,0),FALSE)/HLOOKUP(2018,DEMANDS!$G$2:$CK$25,MATCH($E13,DEMANDS!$E$2:$E$25,0),FALSE)</f>
        <v>0.34072191750926323</v>
      </c>
      <c r="K13" s="18">
        <f>HLOOKUP(REG_TRA_DEMANDS!K$3,'BY-Demands'!$J$5:$AK$14,MATCH($E13,'BY-Demands'!$I$5:$I$14,0),FALSE)*HLOOKUP(REG_TRA_DEMANDS!$F13,DEMANDS!$G$2:$CK$25,MATCH($E13,DEMANDS!$E$2:$E$25,0),FALSE)/HLOOKUP(2018,DEMANDS!$G$2:$CK$25,MATCH($E13,DEMANDS!$E$2:$E$25,0),FALSE)</f>
        <v>0.26862501823264828</v>
      </c>
      <c r="L13" s="18">
        <f>HLOOKUP(REG_TRA_DEMANDS!L$3,'BY-Demands'!$J$5:$AK$14,MATCH($E13,'BY-Demands'!$I$5:$I$14,0),FALSE)*HLOOKUP(REG_TRA_DEMANDS!$F13,DEMANDS!$G$2:$CK$25,MATCH($E13,DEMANDS!$E$2:$E$25,0),FALSE)/HLOOKUP(2018,DEMANDS!$G$2:$CK$25,MATCH($E13,DEMANDS!$E$2:$E$25,0),FALSE)</f>
        <v>0.13497491039340909</v>
      </c>
      <c r="M13" s="18">
        <f>HLOOKUP(REG_TRA_DEMANDS!M$3,'BY-Demands'!$J$5:$AK$14,MATCH($E13,'BY-Demands'!$I$5:$I$14,0),FALSE)*HLOOKUP(REG_TRA_DEMANDS!$F13,DEMANDS!$G$2:$CK$25,MATCH($E13,DEMANDS!$E$2:$E$25,0),FALSE)/HLOOKUP(2018,DEMANDS!$G$2:$CK$25,MATCH($E13,DEMANDS!$E$2:$E$25,0),FALSE)</f>
        <v>0.38704222555483786</v>
      </c>
      <c r="N13" s="18">
        <f>HLOOKUP(REG_TRA_DEMANDS!N$3,'BY-Demands'!$J$5:$AK$14,MATCH($E13,'BY-Demands'!$I$5:$I$14,0),FALSE)*HLOOKUP(REG_TRA_DEMANDS!$F13,DEMANDS!$G$2:$CK$25,MATCH($E13,DEMANDS!$E$2:$E$25,0),FALSE)/HLOOKUP(2018,DEMANDS!$G$2:$CK$25,MATCH($E13,DEMANDS!$E$2:$E$25,0),FALSE)</f>
        <v>0.63708141482131297</v>
      </c>
      <c r="O13" s="18">
        <f>HLOOKUP(REG_TRA_DEMANDS!O$3,'BY-Demands'!$J$5:$AK$14,MATCH($E13,'BY-Demands'!$I$5:$I$14,0),FALSE)*HLOOKUP(REG_TRA_DEMANDS!$F13,DEMANDS!$G$2:$CK$25,MATCH($E13,DEMANDS!$E$2:$E$25,0),FALSE)/HLOOKUP(2018,DEMANDS!$G$2:$CK$25,MATCH($E13,DEMANDS!$E$2:$E$25,0),FALSE)</f>
        <v>0.26372167321493312</v>
      </c>
      <c r="P13" s="18">
        <f>HLOOKUP(REG_TRA_DEMANDS!P$3,'BY-Demands'!$J$5:$AK$14,MATCH($E13,'BY-Demands'!$I$5:$I$14,0),FALSE)*HLOOKUP(REG_TRA_DEMANDS!$F13,DEMANDS!$G$2:$CK$25,MATCH($E13,DEMANDS!$E$2:$E$25,0),FALSE)/HLOOKUP(2018,DEMANDS!$G$2:$CK$25,MATCH($E13,DEMANDS!$E$2:$E$25,0),FALSE)</f>
        <v>0.29892566514049906</v>
      </c>
      <c r="Q13" s="18">
        <f>HLOOKUP(REG_TRA_DEMANDS!Q$3,'BY-Demands'!$J$5:$AK$14,MATCH($E13,'BY-Demands'!$I$5:$I$14,0),FALSE)*HLOOKUP(REG_TRA_DEMANDS!$F13,DEMANDS!$G$2:$CK$25,MATCH($E13,DEMANDS!$E$2:$E$25,0),FALSE)/HLOOKUP(2018,DEMANDS!$G$2:$CK$25,MATCH($E13,DEMANDS!$E$2:$E$25,0),FALSE)</f>
        <v>0.52026151620069983</v>
      </c>
      <c r="R13" s="18">
        <f>HLOOKUP(REG_TRA_DEMANDS!R$3,'BY-Demands'!$J$5:$AK$14,MATCH($E13,'BY-Demands'!$I$5:$I$14,0),FALSE)*HLOOKUP(REG_TRA_DEMANDS!$F13,DEMANDS!$G$2:$CK$25,MATCH($E13,DEMANDS!$E$2:$E$25,0),FALSE)/HLOOKUP(2018,DEMANDS!$G$2:$CK$25,MATCH($E13,DEMANDS!$E$2:$E$25,0),FALSE)</f>
        <v>0.46019871043531396</v>
      </c>
      <c r="S13" s="18">
        <f>HLOOKUP(REG_TRA_DEMANDS!S$3,'BY-Demands'!$J$5:$AK$14,MATCH($E13,'BY-Demands'!$I$5:$I$14,0),FALSE)*HLOOKUP(REG_TRA_DEMANDS!$F13,DEMANDS!$G$2:$CK$25,MATCH($E13,DEMANDS!$E$2:$E$25,0),FALSE)/HLOOKUP(2018,DEMANDS!$G$2:$CK$25,MATCH($E13,DEMANDS!$E$2:$E$25,0),FALSE)</f>
        <v>0.40503109305234231</v>
      </c>
      <c r="T13" s="18">
        <f>HLOOKUP(REG_TRA_DEMANDS!T$3,'BY-Demands'!$J$5:$AK$14,MATCH($E13,'BY-Demands'!$I$5:$I$14,0),FALSE)*HLOOKUP(REG_TRA_DEMANDS!$F13,DEMANDS!$G$2:$CK$25,MATCH($E13,DEMANDS!$E$2:$E$25,0),FALSE)/HLOOKUP(2018,DEMANDS!$G$2:$CK$25,MATCH($E13,DEMANDS!$E$2:$E$25,0),FALSE)</f>
        <v>1.7128225977746145</v>
      </c>
      <c r="U13" s="18">
        <f>HLOOKUP(REG_TRA_DEMANDS!U$3,'BY-Demands'!$J$5:$AK$14,MATCH($E13,'BY-Demands'!$I$5:$I$14,0),FALSE)*HLOOKUP(REG_TRA_DEMANDS!$F13,DEMANDS!$G$2:$CK$25,MATCH($E13,DEMANDS!$E$2:$E$25,0),FALSE)/HLOOKUP(2018,DEMANDS!$G$2:$CK$25,MATCH($E13,DEMANDS!$E$2:$E$25,0),FALSE)</f>
        <v>0.52442619675482149</v>
      </c>
      <c r="V13" s="18">
        <f>HLOOKUP(REG_TRA_DEMANDS!V$3,'BY-Demands'!$J$5:$AK$14,MATCH($E13,'BY-Demands'!$I$5:$I$14,0),FALSE)*HLOOKUP(REG_TRA_DEMANDS!$F13,DEMANDS!$G$2:$CK$25,MATCH($E13,DEMANDS!$E$2:$E$25,0),FALSE)/HLOOKUP(2018,DEMANDS!$G$2:$CK$25,MATCH($E13,DEMANDS!$E$2:$E$25,0),FALSE)</f>
        <v>0.62533575437391242</v>
      </c>
      <c r="W13" s="18">
        <f>HLOOKUP(REG_TRA_DEMANDS!W$3,'BY-Demands'!$J$5:$AK$14,MATCH($E13,'BY-Demands'!$I$5:$I$14,0),FALSE)*HLOOKUP(REG_TRA_DEMANDS!$F13,DEMANDS!$G$2:$CK$25,MATCH($E13,DEMANDS!$E$2:$E$25,0),FALSE)/HLOOKUP(2018,DEMANDS!$G$2:$CK$25,MATCH($E13,DEMANDS!$E$2:$E$25,0),FALSE)</f>
        <v>0.57009992639093332</v>
      </c>
      <c r="X13" s="18">
        <f>HLOOKUP(REG_TRA_DEMANDS!X$3,'BY-Demands'!$J$5:$AK$14,MATCH($E13,'BY-Demands'!$I$5:$I$14,0),FALSE)*HLOOKUP(REG_TRA_DEMANDS!$F13,DEMANDS!$G$2:$CK$25,MATCH($E13,DEMANDS!$E$2:$E$25,0),FALSE)/HLOOKUP(2018,DEMANDS!$G$2:$CK$25,MATCH($E13,DEMANDS!$E$2:$E$25,0),FALSE)</f>
        <v>0.37856466245525167</v>
      </c>
      <c r="Y13" s="18">
        <f>HLOOKUP(REG_TRA_DEMANDS!Y$3,'BY-Demands'!$J$5:$AK$14,MATCH($E13,'BY-Demands'!$I$5:$I$14,0),FALSE)*HLOOKUP(REG_TRA_DEMANDS!$F13,DEMANDS!$G$2:$CK$25,MATCH($E13,DEMANDS!$E$2:$E$25,0),FALSE)/HLOOKUP(2018,DEMANDS!$G$2:$CK$25,MATCH($E13,DEMANDS!$E$2:$E$25,0),FALSE)</f>
        <v>0.84611741247201899</v>
      </c>
      <c r="Z13" s="18">
        <f>HLOOKUP(REG_TRA_DEMANDS!Z$3,'BY-Demands'!$J$5:$AK$14,MATCH($E13,'BY-Demands'!$I$5:$I$14,0),FALSE)*HLOOKUP(REG_TRA_DEMANDS!$F13,DEMANDS!$G$2:$CK$25,MATCH($E13,DEMANDS!$E$2:$E$25,0),FALSE)/HLOOKUP(2018,DEMANDS!$G$2:$CK$25,MATCH($E13,DEMANDS!$E$2:$E$25,0),FALSE)</f>
        <v>0.10859278956936166</v>
      </c>
      <c r="AA13" s="18">
        <f>HLOOKUP(REG_TRA_DEMANDS!AA$3,'BY-Demands'!$J$5:$AK$14,MATCH($E13,'BY-Demands'!$I$5:$I$14,0),FALSE)*HLOOKUP(REG_TRA_DEMANDS!$F13,DEMANDS!$G$2:$CK$25,MATCH($E13,DEMANDS!$E$2:$E$25,0),FALSE)/HLOOKUP(2018,DEMANDS!$G$2:$CK$25,MATCH($E13,DEMANDS!$E$2:$E$25,0),FALSE)</f>
        <v>0.45313701306660964</v>
      </c>
      <c r="AB13" s="18">
        <f>HLOOKUP(REG_TRA_DEMANDS!AB$3,'BY-Demands'!$J$5:$AK$14,MATCH($E13,'BY-Demands'!$I$5:$I$14,0),FALSE)*HLOOKUP(REG_TRA_DEMANDS!$F13,DEMANDS!$G$2:$CK$25,MATCH($E13,DEMANDS!$E$2:$E$25,0),FALSE)/HLOOKUP(2018,DEMANDS!$G$2:$CK$25,MATCH($E13,DEMANDS!$E$2:$E$25,0),FALSE)</f>
        <v>0.23704051504327475</v>
      </c>
      <c r="AC13" s="18">
        <f>HLOOKUP(REG_TRA_DEMANDS!AC$3,'BY-Demands'!$J$5:$AK$14,MATCH($E13,'BY-Demands'!$I$5:$I$14,0),FALSE)*HLOOKUP(REG_TRA_DEMANDS!$F13,DEMANDS!$G$2:$CK$25,MATCH($E13,DEMANDS!$E$2:$E$25,0),FALSE)/HLOOKUP(2018,DEMANDS!$G$2:$CK$25,MATCH($E13,DEMANDS!$E$2:$E$25,0),FALSE)</f>
        <v>0.20898645659904189</v>
      </c>
      <c r="AD13" s="18">
        <f>HLOOKUP(REG_TRA_DEMANDS!AD$3,'BY-Demands'!$J$5:$AK$14,MATCH($E13,'BY-Demands'!$I$5:$I$14,0),FALSE)*HLOOKUP(REG_TRA_DEMANDS!$F13,DEMANDS!$G$2:$CK$25,MATCH($E13,DEMANDS!$E$2:$E$25,0),FALSE)/HLOOKUP(2018,DEMANDS!$G$2:$CK$25,MATCH($E13,DEMANDS!$E$2:$E$25,0),FALSE)</f>
        <v>0.23310337035696418</v>
      </c>
      <c r="AE13" s="18">
        <f>HLOOKUP(REG_TRA_DEMANDS!AE$3,'BY-Demands'!$J$5:$AK$14,MATCH($E13,'BY-Demands'!$I$5:$I$14,0),FALSE)*HLOOKUP(REG_TRA_DEMANDS!$F13,DEMANDS!$G$2:$CK$25,MATCH($E13,DEMANDS!$E$2:$E$25,0),FALSE)/HLOOKUP(2018,DEMANDS!$G$2:$CK$25,MATCH($E13,DEMANDS!$E$2:$E$25,0),FALSE)</f>
        <v>0.45218032854289419</v>
      </c>
      <c r="AF13" s="18">
        <f>HLOOKUP(REG_TRA_DEMANDS!AF$3,'BY-Demands'!$J$5:$AK$14,MATCH($E13,'BY-Demands'!$I$5:$I$14,0),FALSE)*HLOOKUP(REG_TRA_DEMANDS!$F13,DEMANDS!$G$2:$CK$25,MATCH($E13,DEMANDS!$E$2:$E$25,0),FALSE)/HLOOKUP(2018,DEMANDS!$G$2:$CK$25,MATCH($E13,DEMANDS!$E$2:$E$25,0),FALSE)</f>
        <v>0.21687207138934117</v>
      </c>
    </row>
    <row r="14" spans="4:32" ht="14.4">
      <c r="D14" t="s">
        <v>6</v>
      </c>
      <c r="E14" t="str">
        <f>DEMANDS!$E$17</f>
        <v>TRAPS</v>
      </c>
      <c r="F14">
        <v>2030</v>
      </c>
      <c r="G14" s="18">
        <f>HLOOKUP(REG_TRA_DEMANDS!G$3,'BY-Demands'!$J$5:$AK$14,MATCH($E14,'BY-Demands'!$I$5:$I$14,0),FALSE)*HLOOKUP(REG_TRA_DEMANDS!$F14,DEMANDS!$G$2:$CK$25,MATCH($E14,DEMANDS!$E$2:$E$25,0),FALSE)/HLOOKUP(2018,DEMANDS!$G$2:$CK$25,MATCH($E14,DEMANDS!$E$2:$E$25,0),FALSE)</f>
        <v>0.20167554624263084</v>
      </c>
      <c r="H14" s="18">
        <f>HLOOKUP(REG_TRA_DEMANDS!H$3,'BY-Demands'!$J$5:$AK$14,MATCH($E14,'BY-Demands'!$I$5:$I$14,0),FALSE)*HLOOKUP(REG_TRA_DEMANDS!$F14,DEMANDS!$G$2:$CK$25,MATCH($E14,DEMANDS!$E$2:$E$25,0),FALSE)/HLOOKUP(2018,DEMANDS!$G$2:$CK$25,MATCH($E14,DEMANDS!$E$2:$E$25,0),FALSE)</f>
        <v>4.0319723492338904</v>
      </c>
      <c r="I14" s="18">
        <f>HLOOKUP(REG_TRA_DEMANDS!I$3,'BY-Demands'!$J$5:$AK$14,MATCH($E14,'BY-Demands'!$I$5:$I$14,0),FALSE)*HLOOKUP(REG_TRA_DEMANDS!$F14,DEMANDS!$G$2:$CK$25,MATCH($E14,DEMANDS!$E$2:$E$25,0),FALSE)/HLOOKUP(2018,DEMANDS!$G$2:$CK$25,MATCH($E14,DEMANDS!$E$2:$E$25,0),FALSE)</f>
        <v>0.74359684363398959</v>
      </c>
      <c r="J14" s="18">
        <f>HLOOKUP(REG_TRA_DEMANDS!J$3,'BY-Demands'!$J$5:$AK$14,MATCH($E14,'BY-Demands'!$I$5:$I$14,0),FALSE)*HLOOKUP(REG_TRA_DEMANDS!$F14,DEMANDS!$G$2:$CK$25,MATCH($E14,DEMANDS!$E$2:$E$25,0),FALSE)/HLOOKUP(2018,DEMANDS!$G$2:$CK$25,MATCH($E14,DEMANDS!$E$2:$E$25,0),FALSE)</f>
        <v>0.34498094147812897</v>
      </c>
      <c r="K14" s="18">
        <f>HLOOKUP(REG_TRA_DEMANDS!K$3,'BY-Demands'!$J$5:$AK$14,MATCH($E14,'BY-Demands'!$I$5:$I$14,0),FALSE)*HLOOKUP(REG_TRA_DEMANDS!$F14,DEMANDS!$G$2:$CK$25,MATCH($E14,DEMANDS!$E$2:$E$25,0),FALSE)/HLOOKUP(2018,DEMANDS!$G$2:$CK$25,MATCH($E14,DEMANDS!$E$2:$E$25,0),FALSE)</f>
        <v>0.27198283096055631</v>
      </c>
      <c r="L14" s="18">
        <f>HLOOKUP(REG_TRA_DEMANDS!L$3,'BY-Demands'!$J$5:$AK$14,MATCH($E14,'BY-Demands'!$I$5:$I$14,0),FALSE)*HLOOKUP(REG_TRA_DEMANDS!$F14,DEMANDS!$G$2:$CK$25,MATCH($E14,DEMANDS!$E$2:$E$25,0),FALSE)/HLOOKUP(2018,DEMANDS!$G$2:$CK$25,MATCH($E14,DEMANDS!$E$2:$E$25,0),FALSE)</f>
        <v>0.13666209677332669</v>
      </c>
      <c r="M14" s="18">
        <f>HLOOKUP(REG_TRA_DEMANDS!M$3,'BY-Demands'!$J$5:$AK$14,MATCH($E14,'BY-Demands'!$I$5:$I$14,0),FALSE)*HLOOKUP(REG_TRA_DEMANDS!$F14,DEMANDS!$G$2:$CK$25,MATCH($E14,DEMANDS!$E$2:$E$25,0),FALSE)/HLOOKUP(2018,DEMANDS!$G$2:$CK$25,MATCH($E14,DEMANDS!$E$2:$E$25,0),FALSE)</f>
        <v>0.39188025337427329</v>
      </c>
      <c r="N14" s="18">
        <f>HLOOKUP(REG_TRA_DEMANDS!N$3,'BY-Demands'!$J$5:$AK$14,MATCH($E14,'BY-Demands'!$I$5:$I$14,0),FALSE)*HLOOKUP(REG_TRA_DEMANDS!$F14,DEMANDS!$G$2:$CK$25,MATCH($E14,DEMANDS!$E$2:$E$25,0),FALSE)/HLOOKUP(2018,DEMANDS!$G$2:$CK$25,MATCH($E14,DEMANDS!$E$2:$E$25,0),FALSE)</f>
        <v>0.64504493250657935</v>
      </c>
      <c r="O14" s="18">
        <f>HLOOKUP(REG_TRA_DEMANDS!O$3,'BY-Demands'!$J$5:$AK$14,MATCH($E14,'BY-Demands'!$I$5:$I$14,0),FALSE)*HLOOKUP(REG_TRA_DEMANDS!$F14,DEMANDS!$G$2:$CK$25,MATCH($E14,DEMANDS!$E$2:$E$25,0),FALSE)/HLOOKUP(2018,DEMANDS!$G$2:$CK$25,MATCH($E14,DEMANDS!$E$2:$E$25,0),FALSE)</f>
        <v>0.26701819413011973</v>
      </c>
      <c r="P14" s="18">
        <f>HLOOKUP(REG_TRA_DEMANDS!P$3,'BY-Demands'!$J$5:$AK$14,MATCH($E14,'BY-Demands'!$I$5:$I$14,0),FALSE)*HLOOKUP(REG_TRA_DEMANDS!$F14,DEMANDS!$G$2:$CK$25,MATCH($E14,DEMANDS!$E$2:$E$25,0),FALSE)/HLOOKUP(2018,DEMANDS!$G$2:$CK$25,MATCH($E14,DEMANDS!$E$2:$E$25,0),FALSE)</f>
        <v>0.30266223595475528</v>
      </c>
      <c r="Q14" s="18">
        <f>HLOOKUP(REG_TRA_DEMANDS!Q$3,'BY-Demands'!$J$5:$AK$14,MATCH($E14,'BY-Demands'!$I$5:$I$14,0),FALSE)*HLOOKUP(REG_TRA_DEMANDS!$F14,DEMANDS!$G$2:$CK$25,MATCH($E14,DEMANDS!$E$2:$E$25,0),FALSE)/HLOOKUP(2018,DEMANDS!$G$2:$CK$25,MATCH($E14,DEMANDS!$E$2:$E$25,0),FALSE)</f>
        <v>0.52676478515320846</v>
      </c>
      <c r="R14" s="18">
        <f>HLOOKUP(REG_TRA_DEMANDS!R$3,'BY-Demands'!$J$5:$AK$14,MATCH($E14,'BY-Demands'!$I$5:$I$14,0),FALSE)*HLOOKUP(REG_TRA_DEMANDS!$F14,DEMANDS!$G$2:$CK$25,MATCH($E14,DEMANDS!$E$2:$E$25,0),FALSE)/HLOOKUP(2018,DEMANDS!$G$2:$CK$25,MATCH($E14,DEMANDS!$E$2:$E$25,0),FALSE)</f>
        <v>0.46595119431575527</v>
      </c>
      <c r="S14" s="18">
        <f>HLOOKUP(REG_TRA_DEMANDS!S$3,'BY-Demands'!$J$5:$AK$14,MATCH($E14,'BY-Demands'!$I$5:$I$14,0),FALSE)*HLOOKUP(REG_TRA_DEMANDS!$F14,DEMANDS!$G$2:$CK$25,MATCH($E14,DEMANDS!$E$2:$E$25,0),FALSE)/HLOOKUP(2018,DEMANDS!$G$2:$CK$25,MATCH($E14,DEMANDS!$E$2:$E$25,0),FALSE)</f>
        <v>0.41009398171549655</v>
      </c>
      <c r="T14" s="18">
        <f>HLOOKUP(REG_TRA_DEMANDS!T$3,'BY-Demands'!$J$5:$AK$14,MATCH($E14,'BY-Demands'!$I$5:$I$14,0),FALSE)*HLOOKUP(REG_TRA_DEMANDS!$F14,DEMANDS!$G$2:$CK$25,MATCH($E14,DEMANDS!$E$2:$E$25,0),FALSE)/HLOOKUP(2018,DEMANDS!$G$2:$CK$25,MATCH($E14,DEMANDS!$E$2:$E$25,0),FALSE)</f>
        <v>1.734232880246797</v>
      </c>
      <c r="U14" s="18">
        <f>HLOOKUP(REG_TRA_DEMANDS!U$3,'BY-Demands'!$J$5:$AK$14,MATCH($E14,'BY-Demands'!$I$5:$I$14,0),FALSE)*HLOOKUP(REG_TRA_DEMANDS!$F14,DEMANDS!$G$2:$CK$25,MATCH($E14,DEMANDS!$E$2:$E$25,0),FALSE)/HLOOKUP(2018,DEMANDS!$G$2:$CK$25,MATCH($E14,DEMANDS!$E$2:$E$25,0),FALSE)</f>
        <v>0.53098152421425659</v>
      </c>
      <c r="V14" s="18">
        <f>HLOOKUP(REG_TRA_DEMANDS!V$3,'BY-Demands'!$J$5:$AK$14,MATCH($E14,'BY-Demands'!$I$5:$I$14,0),FALSE)*HLOOKUP(REG_TRA_DEMANDS!$F14,DEMANDS!$G$2:$CK$25,MATCH($E14,DEMANDS!$E$2:$E$25,0),FALSE)/HLOOKUP(2018,DEMANDS!$G$2:$CK$25,MATCH($E14,DEMANDS!$E$2:$E$25,0),FALSE)</f>
        <v>0.63315245130358633</v>
      </c>
      <c r="W14" s="18">
        <f>HLOOKUP(REG_TRA_DEMANDS!W$3,'BY-Demands'!$J$5:$AK$14,MATCH($E14,'BY-Demands'!$I$5:$I$14,0),FALSE)*HLOOKUP(REG_TRA_DEMANDS!$F14,DEMANDS!$G$2:$CK$25,MATCH($E14,DEMANDS!$E$2:$E$25,0),FALSE)/HLOOKUP(2018,DEMANDS!$G$2:$CK$25,MATCH($E14,DEMANDS!$E$2:$E$25,0),FALSE)</f>
        <v>0.57722617547081978</v>
      </c>
      <c r="X14" s="18">
        <f>HLOOKUP(REG_TRA_DEMANDS!X$3,'BY-Demands'!$J$5:$AK$14,MATCH($E14,'BY-Demands'!$I$5:$I$14,0),FALSE)*HLOOKUP(REG_TRA_DEMANDS!$F14,DEMANDS!$G$2:$CK$25,MATCH($E14,DEMANDS!$E$2:$E$25,0),FALSE)/HLOOKUP(2018,DEMANDS!$G$2:$CK$25,MATCH($E14,DEMANDS!$E$2:$E$25,0),FALSE)</f>
        <v>0.38329672073594223</v>
      </c>
      <c r="Y14" s="18">
        <f>HLOOKUP(REG_TRA_DEMANDS!Y$3,'BY-Demands'!$J$5:$AK$14,MATCH($E14,'BY-Demands'!$I$5:$I$14,0),FALSE)*HLOOKUP(REG_TRA_DEMANDS!$F14,DEMANDS!$G$2:$CK$25,MATCH($E14,DEMANDS!$E$2:$E$25,0),FALSE)/HLOOKUP(2018,DEMANDS!$G$2:$CK$25,MATCH($E14,DEMANDS!$E$2:$E$25,0),FALSE)</f>
        <v>0.85669388012791903</v>
      </c>
      <c r="Z14" s="18">
        <f>HLOOKUP(REG_TRA_DEMANDS!Z$3,'BY-Demands'!$J$5:$AK$14,MATCH($E14,'BY-Demands'!$I$5:$I$14,0),FALSE)*HLOOKUP(REG_TRA_DEMANDS!$F14,DEMANDS!$G$2:$CK$25,MATCH($E14,DEMANDS!$E$2:$E$25,0),FALSE)/HLOOKUP(2018,DEMANDS!$G$2:$CK$25,MATCH($E14,DEMANDS!$E$2:$E$25,0),FALSE)</f>
        <v>0.10995019943897867</v>
      </c>
      <c r="AA14" s="18">
        <f>HLOOKUP(REG_TRA_DEMANDS!AA$3,'BY-Demands'!$J$5:$AK$14,MATCH($E14,'BY-Demands'!$I$5:$I$14,0),FALSE)*HLOOKUP(REG_TRA_DEMANDS!$F14,DEMANDS!$G$2:$CK$25,MATCH($E14,DEMANDS!$E$2:$E$25,0),FALSE)/HLOOKUP(2018,DEMANDS!$G$2:$CK$25,MATCH($E14,DEMANDS!$E$2:$E$25,0),FALSE)</f>
        <v>0.45880122572994225</v>
      </c>
      <c r="AB14" s="18">
        <f>HLOOKUP(REG_TRA_DEMANDS!AB$3,'BY-Demands'!$J$5:$AK$14,MATCH($E14,'BY-Demands'!$I$5:$I$14,0),FALSE)*HLOOKUP(REG_TRA_DEMANDS!$F14,DEMANDS!$G$2:$CK$25,MATCH($E14,DEMANDS!$E$2:$E$25,0),FALSE)/HLOOKUP(2018,DEMANDS!$G$2:$CK$25,MATCH($E14,DEMANDS!$E$2:$E$25,0),FALSE)</f>
        <v>0.24000352148131565</v>
      </c>
      <c r="AC14" s="18">
        <f>HLOOKUP(REG_TRA_DEMANDS!AC$3,'BY-Demands'!$J$5:$AK$14,MATCH($E14,'BY-Demands'!$I$5:$I$14,0),FALSE)*HLOOKUP(REG_TRA_DEMANDS!$F14,DEMANDS!$G$2:$CK$25,MATCH($E14,DEMANDS!$E$2:$E$25,0),FALSE)/HLOOKUP(2018,DEMANDS!$G$2:$CK$25,MATCH($E14,DEMANDS!$E$2:$E$25,0),FALSE)</f>
        <v>0.21159878730652992</v>
      </c>
      <c r="AD14" s="18">
        <f>HLOOKUP(REG_TRA_DEMANDS!AD$3,'BY-Demands'!$J$5:$AK$14,MATCH($E14,'BY-Demands'!$I$5:$I$14,0),FALSE)*HLOOKUP(REG_TRA_DEMANDS!$F14,DEMANDS!$G$2:$CK$25,MATCH($E14,DEMANDS!$E$2:$E$25,0),FALSE)/HLOOKUP(2018,DEMANDS!$G$2:$CK$25,MATCH($E14,DEMANDS!$E$2:$E$25,0),FALSE)</f>
        <v>0.23601716248642621</v>
      </c>
      <c r="AE14" s="18">
        <f>HLOOKUP(REG_TRA_DEMANDS!AE$3,'BY-Demands'!$J$5:$AK$14,MATCH($E14,'BY-Demands'!$I$5:$I$14,0),FALSE)*HLOOKUP(REG_TRA_DEMANDS!$F14,DEMANDS!$G$2:$CK$25,MATCH($E14,DEMANDS!$E$2:$E$25,0),FALSE)/HLOOKUP(2018,DEMANDS!$G$2:$CK$25,MATCH($E14,DEMANDS!$E$2:$E$25,0),FALSE)</f>
        <v>0.4578325826496803</v>
      </c>
      <c r="AF14" s="18">
        <f>HLOOKUP(REG_TRA_DEMANDS!AF$3,'BY-Demands'!$J$5:$AK$14,MATCH($E14,'BY-Demands'!$I$5:$I$14,0),FALSE)*HLOOKUP(REG_TRA_DEMANDS!$F14,DEMANDS!$G$2:$CK$25,MATCH($E14,DEMANDS!$E$2:$E$25,0),FALSE)/HLOOKUP(2018,DEMANDS!$G$2:$CK$25,MATCH($E14,DEMANDS!$E$2:$E$25,0),FALSE)</f>
        <v>0.21958297228170792</v>
      </c>
    </row>
    <row r="15" spans="4:32" ht="14.4">
      <c r="D15" t="s">
        <v>6</v>
      </c>
      <c r="E15" t="str">
        <f>DEMANDS!$E$17</f>
        <v>TRAPS</v>
      </c>
      <c r="F15">
        <v>2031</v>
      </c>
      <c r="G15" s="18">
        <f>HLOOKUP(REG_TRA_DEMANDS!G$3,'BY-Demands'!$J$5:$AK$14,MATCH($E15,'BY-Demands'!$I$5:$I$14,0),FALSE)*HLOOKUP(REG_TRA_DEMANDS!$F15,DEMANDS!$G$2:$CK$25,MATCH($E15,DEMANDS!$E$2:$E$25,0),FALSE)/HLOOKUP(2018,DEMANDS!$G$2:$CK$25,MATCH($E15,DEMANDS!$E$2:$E$25,0),FALSE)</f>
        <v>0.20419649057066375</v>
      </c>
      <c r="H15" s="18">
        <f>HLOOKUP(REG_TRA_DEMANDS!H$3,'BY-Demands'!$J$5:$AK$14,MATCH($E15,'BY-Demands'!$I$5:$I$14,0),FALSE)*HLOOKUP(REG_TRA_DEMANDS!$F15,DEMANDS!$G$2:$CK$25,MATCH($E15,DEMANDS!$E$2:$E$25,0),FALSE)/HLOOKUP(2018,DEMANDS!$G$2:$CK$25,MATCH($E15,DEMANDS!$E$2:$E$25,0),FALSE)</f>
        <v>4.0823720035993132</v>
      </c>
      <c r="I15" s="18">
        <f>HLOOKUP(REG_TRA_DEMANDS!I$3,'BY-Demands'!$J$5:$AK$14,MATCH($E15,'BY-Demands'!$I$5:$I$14,0),FALSE)*HLOOKUP(REG_TRA_DEMANDS!$F15,DEMANDS!$G$2:$CK$25,MATCH($E15,DEMANDS!$E$2:$E$25,0),FALSE)/HLOOKUP(2018,DEMANDS!$G$2:$CK$25,MATCH($E15,DEMANDS!$E$2:$E$25,0),FALSE)</f>
        <v>0.75289180417941448</v>
      </c>
      <c r="J15" s="18">
        <f>HLOOKUP(REG_TRA_DEMANDS!J$3,'BY-Demands'!$J$5:$AK$14,MATCH($E15,'BY-Demands'!$I$5:$I$14,0),FALSE)*HLOOKUP(REG_TRA_DEMANDS!$F15,DEMANDS!$G$2:$CK$25,MATCH($E15,DEMANDS!$E$2:$E$25,0),FALSE)/HLOOKUP(2018,DEMANDS!$G$2:$CK$25,MATCH($E15,DEMANDS!$E$2:$E$25,0),FALSE)</f>
        <v>0.34929320324660557</v>
      </c>
      <c r="K15" s="18">
        <f>HLOOKUP(REG_TRA_DEMANDS!K$3,'BY-Demands'!$J$5:$AK$14,MATCH($E15,'BY-Demands'!$I$5:$I$14,0),FALSE)*HLOOKUP(REG_TRA_DEMANDS!$F15,DEMANDS!$G$2:$CK$25,MATCH($E15,DEMANDS!$E$2:$E$25,0),FALSE)/HLOOKUP(2018,DEMANDS!$G$2:$CK$25,MATCH($E15,DEMANDS!$E$2:$E$25,0),FALSE)</f>
        <v>0.27538261634756328</v>
      </c>
      <c r="L15" s="18">
        <f>HLOOKUP(REG_TRA_DEMANDS!L$3,'BY-Demands'!$J$5:$AK$14,MATCH($E15,'BY-Demands'!$I$5:$I$14,0),FALSE)*HLOOKUP(REG_TRA_DEMANDS!$F15,DEMANDS!$G$2:$CK$25,MATCH($E15,DEMANDS!$E$2:$E$25,0),FALSE)/HLOOKUP(2018,DEMANDS!$G$2:$CK$25,MATCH($E15,DEMANDS!$E$2:$E$25,0),FALSE)</f>
        <v>0.13837037298299326</v>
      </c>
      <c r="M15" s="18">
        <f>HLOOKUP(REG_TRA_DEMANDS!M$3,'BY-Demands'!$J$5:$AK$14,MATCH($E15,'BY-Demands'!$I$5:$I$14,0),FALSE)*HLOOKUP(REG_TRA_DEMANDS!$F15,DEMANDS!$G$2:$CK$25,MATCH($E15,DEMANDS!$E$2:$E$25,0),FALSE)/HLOOKUP(2018,DEMANDS!$G$2:$CK$25,MATCH($E15,DEMANDS!$E$2:$E$25,0),FALSE)</f>
        <v>0.39677875654145173</v>
      </c>
      <c r="N15" s="18">
        <f>HLOOKUP(REG_TRA_DEMANDS!N$3,'BY-Demands'!$J$5:$AK$14,MATCH($E15,'BY-Demands'!$I$5:$I$14,0),FALSE)*HLOOKUP(REG_TRA_DEMANDS!$F15,DEMANDS!$G$2:$CK$25,MATCH($E15,DEMANDS!$E$2:$E$25,0),FALSE)/HLOOKUP(2018,DEMANDS!$G$2:$CK$25,MATCH($E15,DEMANDS!$E$2:$E$25,0),FALSE)</f>
        <v>0.65310799416291154</v>
      </c>
      <c r="O15" s="18">
        <f>HLOOKUP(REG_TRA_DEMANDS!O$3,'BY-Demands'!$J$5:$AK$14,MATCH($E15,'BY-Demands'!$I$5:$I$14,0),FALSE)*HLOOKUP(REG_TRA_DEMANDS!$F15,DEMANDS!$G$2:$CK$25,MATCH($E15,DEMANDS!$E$2:$E$25,0),FALSE)/HLOOKUP(2018,DEMANDS!$G$2:$CK$25,MATCH($E15,DEMANDS!$E$2:$E$25,0),FALSE)</f>
        <v>0.2703559215567462</v>
      </c>
      <c r="P15" s="18">
        <f>HLOOKUP(REG_TRA_DEMANDS!P$3,'BY-Demands'!$J$5:$AK$14,MATCH($E15,'BY-Demands'!$I$5:$I$14,0),FALSE)*HLOOKUP(REG_TRA_DEMANDS!$F15,DEMANDS!$G$2:$CK$25,MATCH($E15,DEMANDS!$E$2:$E$25,0),FALSE)/HLOOKUP(2018,DEMANDS!$G$2:$CK$25,MATCH($E15,DEMANDS!$E$2:$E$25,0),FALSE)</f>
        <v>0.30644551390418967</v>
      </c>
      <c r="Q15" s="18">
        <f>HLOOKUP(REG_TRA_DEMANDS!Q$3,'BY-Demands'!$J$5:$AK$14,MATCH($E15,'BY-Demands'!$I$5:$I$14,0),FALSE)*HLOOKUP(REG_TRA_DEMANDS!$F15,DEMANDS!$G$2:$CK$25,MATCH($E15,DEMANDS!$E$2:$E$25,0),FALSE)/HLOOKUP(2018,DEMANDS!$G$2:$CK$25,MATCH($E15,DEMANDS!$E$2:$E$25,0),FALSE)</f>
        <v>0.53334934496762365</v>
      </c>
      <c r="R15" s="18">
        <f>HLOOKUP(REG_TRA_DEMANDS!R$3,'BY-Demands'!$J$5:$AK$14,MATCH($E15,'BY-Demands'!$I$5:$I$14,0),FALSE)*HLOOKUP(REG_TRA_DEMANDS!$F15,DEMANDS!$G$2:$CK$25,MATCH($E15,DEMANDS!$E$2:$E$25,0),FALSE)/HLOOKUP(2018,DEMANDS!$G$2:$CK$25,MATCH($E15,DEMANDS!$E$2:$E$25,0),FALSE)</f>
        <v>0.47177558424470217</v>
      </c>
      <c r="S15" s="18">
        <f>HLOOKUP(REG_TRA_DEMANDS!S$3,'BY-Demands'!$J$5:$AK$14,MATCH($E15,'BY-Demands'!$I$5:$I$14,0),FALSE)*HLOOKUP(REG_TRA_DEMANDS!$F15,DEMANDS!$G$2:$CK$25,MATCH($E15,DEMANDS!$E$2:$E$25,0),FALSE)/HLOOKUP(2018,DEMANDS!$G$2:$CK$25,MATCH($E15,DEMANDS!$E$2:$E$25,0),FALSE)</f>
        <v>0.41522015648694016</v>
      </c>
      <c r="T15" s="18">
        <f>HLOOKUP(REG_TRA_DEMANDS!T$3,'BY-Demands'!$J$5:$AK$14,MATCH($E15,'BY-Demands'!$I$5:$I$14,0),FALSE)*HLOOKUP(REG_TRA_DEMANDS!$F15,DEMANDS!$G$2:$CK$25,MATCH($E15,DEMANDS!$E$2:$E$25,0),FALSE)/HLOOKUP(2018,DEMANDS!$G$2:$CK$25,MATCH($E15,DEMANDS!$E$2:$E$25,0),FALSE)</f>
        <v>1.7559107912498819</v>
      </c>
      <c r="U15" s="18">
        <f>HLOOKUP(REG_TRA_DEMANDS!U$3,'BY-Demands'!$J$5:$AK$14,MATCH($E15,'BY-Demands'!$I$5:$I$14,0),FALSE)*HLOOKUP(REG_TRA_DEMANDS!$F15,DEMANDS!$G$2:$CK$25,MATCH($E15,DEMANDS!$E$2:$E$25,0),FALSE)/HLOOKUP(2018,DEMANDS!$G$2:$CK$25,MATCH($E15,DEMANDS!$E$2:$E$25,0),FALSE)</f>
        <v>0.53761879326693485</v>
      </c>
      <c r="V15" s="18">
        <f>HLOOKUP(REG_TRA_DEMANDS!V$3,'BY-Demands'!$J$5:$AK$14,MATCH($E15,'BY-Demands'!$I$5:$I$14,0),FALSE)*HLOOKUP(REG_TRA_DEMANDS!$F15,DEMANDS!$G$2:$CK$25,MATCH($E15,DEMANDS!$E$2:$E$25,0),FALSE)/HLOOKUP(2018,DEMANDS!$G$2:$CK$25,MATCH($E15,DEMANDS!$E$2:$E$25,0),FALSE)</f>
        <v>0.64106685694488097</v>
      </c>
      <c r="W15" s="18">
        <f>HLOOKUP(REG_TRA_DEMANDS!W$3,'BY-Demands'!$J$5:$AK$14,MATCH($E15,'BY-Demands'!$I$5:$I$14,0),FALSE)*HLOOKUP(REG_TRA_DEMANDS!$F15,DEMANDS!$G$2:$CK$25,MATCH($E15,DEMANDS!$E$2:$E$25,0),FALSE)/HLOOKUP(2018,DEMANDS!$G$2:$CK$25,MATCH($E15,DEMANDS!$E$2:$E$25,0),FALSE)</f>
        <v>0.58444150266420503</v>
      </c>
      <c r="X15" s="18">
        <f>HLOOKUP(REG_TRA_DEMANDS!X$3,'BY-Demands'!$J$5:$AK$14,MATCH($E15,'BY-Demands'!$I$5:$I$14,0),FALSE)*HLOOKUP(REG_TRA_DEMANDS!$F15,DEMANDS!$G$2:$CK$25,MATCH($E15,DEMANDS!$E$2:$E$25,0),FALSE)/HLOOKUP(2018,DEMANDS!$G$2:$CK$25,MATCH($E15,DEMANDS!$E$2:$E$25,0),FALSE)</f>
        <v>0.38808792974514156</v>
      </c>
      <c r="Y15" s="18">
        <f>HLOOKUP(REG_TRA_DEMANDS!Y$3,'BY-Demands'!$J$5:$AK$14,MATCH($E15,'BY-Demands'!$I$5:$I$14,0),FALSE)*HLOOKUP(REG_TRA_DEMANDS!$F15,DEMANDS!$G$2:$CK$25,MATCH($E15,DEMANDS!$E$2:$E$25,0),FALSE)/HLOOKUP(2018,DEMANDS!$G$2:$CK$25,MATCH($E15,DEMANDS!$E$2:$E$25,0),FALSE)</f>
        <v>0.86740255362951801</v>
      </c>
      <c r="Z15" s="18">
        <f>HLOOKUP(REG_TRA_DEMANDS!Z$3,'BY-Demands'!$J$5:$AK$14,MATCH($E15,'BY-Demands'!$I$5:$I$14,0),FALSE)*HLOOKUP(REG_TRA_DEMANDS!$F15,DEMANDS!$G$2:$CK$25,MATCH($E15,DEMANDS!$E$2:$E$25,0),FALSE)/HLOOKUP(2018,DEMANDS!$G$2:$CK$25,MATCH($E15,DEMANDS!$E$2:$E$25,0),FALSE)</f>
        <v>0.11132457693196589</v>
      </c>
      <c r="AA15" s="18">
        <f>HLOOKUP(REG_TRA_DEMANDS!AA$3,'BY-Demands'!$J$5:$AK$14,MATCH($E15,'BY-Demands'!$I$5:$I$14,0),FALSE)*HLOOKUP(REG_TRA_DEMANDS!$F15,DEMANDS!$G$2:$CK$25,MATCH($E15,DEMANDS!$E$2:$E$25,0),FALSE)/HLOOKUP(2018,DEMANDS!$G$2:$CK$25,MATCH($E15,DEMANDS!$E$2:$E$25,0),FALSE)</f>
        <v>0.46453624105156649</v>
      </c>
      <c r="AB15" s="18">
        <f>HLOOKUP(REG_TRA_DEMANDS!AB$3,'BY-Demands'!$J$5:$AK$14,MATCH($E15,'BY-Demands'!$I$5:$I$14,0),FALSE)*HLOOKUP(REG_TRA_DEMANDS!$F15,DEMANDS!$G$2:$CK$25,MATCH($E15,DEMANDS!$E$2:$E$25,0),FALSE)/HLOOKUP(2018,DEMANDS!$G$2:$CK$25,MATCH($E15,DEMANDS!$E$2:$E$25,0),FALSE)</f>
        <v>0.24300356549983207</v>
      </c>
      <c r="AC15" s="18">
        <f>HLOOKUP(REG_TRA_DEMANDS!AC$3,'BY-Demands'!$J$5:$AK$14,MATCH($E15,'BY-Demands'!$I$5:$I$14,0),FALSE)*HLOOKUP(REG_TRA_DEMANDS!$F15,DEMANDS!$G$2:$CK$25,MATCH($E15,DEMANDS!$E$2:$E$25,0),FALSE)/HLOOKUP(2018,DEMANDS!$G$2:$CK$25,MATCH($E15,DEMANDS!$E$2:$E$25,0),FALSE)</f>
        <v>0.2142437721478615</v>
      </c>
      <c r="AD15" s="18">
        <f>HLOOKUP(REG_TRA_DEMANDS!AD$3,'BY-Demands'!$J$5:$AK$14,MATCH($E15,'BY-Demands'!$I$5:$I$14,0),FALSE)*HLOOKUP(REG_TRA_DEMANDS!$F15,DEMANDS!$G$2:$CK$25,MATCH($E15,DEMANDS!$E$2:$E$25,0),FALSE)/HLOOKUP(2018,DEMANDS!$G$2:$CK$25,MATCH($E15,DEMANDS!$E$2:$E$25,0),FALSE)</f>
        <v>0.23896737701750653</v>
      </c>
      <c r="AE15" s="18">
        <f>HLOOKUP(REG_TRA_DEMANDS!AE$3,'BY-Demands'!$J$5:$AK$14,MATCH($E15,'BY-Demands'!$I$5:$I$14,0),FALSE)*HLOOKUP(REG_TRA_DEMANDS!$F15,DEMANDS!$G$2:$CK$25,MATCH($E15,DEMANDS!$E$2:$E$25,0),FALSE)/HLOOKUP(2018,DEMANDS!$G$2:$CK$25,MATCH($E15,DEMANDS!$E$2:$E$25,0),FALSE)</f>
        <v>0.46355548993280132</v>
      </c>
      <c r="AF15" s="18">
        <f>HLOOKUP(REG_TRA_DEMANDS!AF$3,'BY-Demands'!$J$5:$AK$14,MATCH($E15,'BY-Demands'!$I$5:$I$14,0),FALSE)*HLOOKUP(REG_TRA_DEMANDS!$F15,DEMANDS!$G$2:$CK$25,MATCH($E15,DEMANDS!$E$2:$E$25,0),FALSE)/HLOOKUP(2018,DEMANDS!$G$2:$CK$25,MATCH($E15,DEMANDS!$E$2:$E$25,0),FALSE)</f>
        <v>0.22232775943522923</v>
      </c>
    </row>
    <row r="16" spans="4:32" ht="14.4">
      <c r="D16" t="s">
        <v>6</v>
      </c>
      <c r="E16" t="str">
        <f>DEMANDS!$E$17</f>
        <v>TRAPS</v>
      </c>
      <c r="F16">
        <v>2032</v>
      </c>
      <c r="G16" s="18">
        <f>HLOOKUP(REG_TRA_DEMANDS!G$3,'BY-Demands'!$J$5:$AK$14,MATCH($E16,'BY-Demands'!$I$5:$I$14,0),FALSE)*HLOOKUP(REG_TRA_DEMANDS!$F16,DEMANDS!$G$2:$CK$25,MATCH($E16,DEMANDS!$E$2:$E$25,0),FALSE)/HLOOKUP(2018,DEMANDS!$G$2:$CK$25,MATCH($E16,DEMANDS!$E$2:$E$25,0),FALSE)</f>
        <v>0.20674894670279703</v>
      </c>
      <c r="H16" s="18">
        <f>HLOOKUP(REG_TRA_DEMANDS!H$3,'BY-Demands'!$J$5:$AK$14,MATCH($E16,'BY-Demands'!$I$5:$I$14,0),FALSE)*HLOOKUP(REG_TRA_DEMANDS!$F16,DEMANDS!$G$2:$CK$25,MATCH($E16,DEMANDS!$E$2:$E$25,0),FALSE)/HLOOKUP(2018,DEMANDS!$G$2:$CK$25,MATCH($E16,DEMANDS!$E$2:$E$25,0),FALSE)</f>
        <v>4.1334016536443041</v>
      </c>
      <c r="I16" s="18">
        <f>HLOOKUP(REG_TRA_DEMANDS!I$3,'BY-Demands'!$J$5:$AK$14,MATCH($E16,'BY-Demands'!$I$5:$I$14,0),FALSE)*HLOOKUP(REG_TRA_DEMANDS!$F16,DEMANDS!$G$2:$CK$25,MATCH($E16,DEMANDS!$E$2:$E$25,0),FALSE)/HLOOKUP(2018,DEMANDS!$G$2:$CK$25,MATCH($E16,DEMANDS!$E$2:$E$25,0),FALSE)</f>
        <v>0.76230295173165719</v>
      </c>
      <c r="J16" s="18">
        <f>HLOOKUP(REG_TRA_DEMANDS!J$3,'BY-Demands'!$J$5:$AK$14,MATCH($E16,'BY-Demands'!$I$5:$I$14,0),FALSE)*HLOOKUP(REG_TRA_DEMANDS!$F16,DEMANDS!$G$2:$CK$25,MATCH($E16,DEMANDS!$E$2:$E$25,0),FALSE)/HLOOKUP(2018,DEMANDS!$G$2:$CK$25,MATCH($E16,DEMANDS!$E$2:$E$25,0),FALSE)</f>
        <v>0.35365936828718814</v>
      </c>
      <c r="K16" s="18">
        <f>HLOOKUP(REG_TRA_DEMANDS!K$3,'BY-Demands'!$J$5:$AK$14,MATCH($E16,'BY-Demands'!$I$5:$I$14,0),FALSE)*HLOOKUP(REG_TRA_DEMANDS!$F16,DEMANDS!$G$2:$CK$25,MATCH($E16,DEMANDS!$E$2:$E$25,0),FALSE)/HLOOKUP(2018,DEMANDS!$G$2:$CK$25,MATCH($E16,DEMANDS!$E$2:$E$25,0),FALSE)</f>
        <v>0.27882489905190783</v>
      </c>
      <c r="L16" s="18">
        <f>HLOOKUP(REG_TRA_DEMANDS!L$3,'BY-Demands'!$J$5:$AK$14,MATCH($E16,'BY-Demands'!$I$5:$I$14,0),FALSE)*HLOOKUP(REG_TRA_DEMANDS!$F16,DEMANDS!$G$2:$CK$25,MATCH($E16,DEMANDS!$E$2:$E$25,0),FALSE)/HLOOKUP(2018,DEMANDS!$G$2:$CK$25,MATCH($E16,DEMANDS!$E$2:$E$25,0),FALSE)</f>
        <v>0.14010000264528069</v>
      </c>
      <c r="M16" s="18">
        <f>HLOOKUP(REG_TRA_DEMANDS!M$3,'BY-Demands'!$J$5:$AK$14,MATCH($E16,'BY-Demands'!$I$5:$I$14,0),FALSE)*HLOOKUP(REG_TRA_DEMANDS!$F16,DEMANDS!$G$2:$CK$25,MATCH($E16,DEMANDS!$E$2:$E$25,0),FALSE)/HLOOKUP(2018,DEMANDS!$G$2:$CK$25,MATCH($E16,DEMANDS!$E$2:$E$25,0),FALSE)</f>
        <v>0.40173849099821984</v>
      </c>
      <c r="N16" s="18">
        <f>HLOOKUP(REG_TRA_DEMANDS!N$3,'BY-Demands'!$J$5:$AK$14,MATCH($E16,'BY-Demands'!$I$5:$I$14,0),FALSE)*HLOOKUP(REG_TRA_DEMANDS!$F16,DEMANDS!$G$2:$CK$25,MATCH($E16,DEMANDS!$E$2:$E$25,0),FALSE)/HLOOKUP(2018,DEMANDS!$G$2:$CK$25,MATCH($E16,DEMANDS!$E$2:$E$25,0),FALSE)</f>
        <v>0.66127184408994788</v>
      </c>
      <c r="O16" s="18">
        <f>HLOOKUP(REG_TRA_DEMANDS!O$3,'BY-Demands'!$J$5:$AK$14,MATCH($E16,'BY-Demands'!$I$5:$I$14,0),FALSE)*HLOOKUP(REG_TRA_DEMANDS!$F16,DEMANDS!$G$2:$CK$25,MATCH($E16,DEMANDS!$E$2:$E$25,0),FALSE)/HLOOKUP(2018,DEMANDS!$G$2:$CK$25,MATCH($E16,DEMANDS!$E$2:$E$25,0),FALSE)</f>
        <v>0.27373537057620556</v>
      </c>
      <c r="P16" s="18">
        <f>HLOOKUP(REG_TRA_DEMANDS!P$3,'BY-Demands'!$J$5:$AK$14,MATCH($E16,'BY-Demands'!$I$5:$I$14,0),FALSE)*HLOOKUP(REG_TRA_DEMANDS!$F16,DEMANDS!$G$2:$CK$25,MATCH($E16,DEMANDS!$E$2:$E$25,0),FALSE)/HLOOKUP(2018,DEMANDS!$G$2:$CK$25,MATCH($E16,DEMANDS!$E$2:$E$25,0),FALSE)</f>
        <v>0.31027608282799207</v>
      </c>
      <c r="Q16" s="18">
        <f>HLOOKUP(REG_TRA_DEMANDS!Q$3,'BY-Demands'!$J$5:$AK$14,MATCH($E16,'BY-Demands'!$I$5:$I$14,0),FALSE)*HLOOKUP(REG_TRA_DEMANDS!$F16,DEMANDS!$G$2:$CK$25,MATCH($E16,DEMANDS!$E$2:$E$25,0),FALSE)/HLOOKUP(2018,DEMANDS!$G$2:$CK$25,MATCH($E16,DEMANDS!$E$2:$E$25,0),FALSE)</f>
        <v>0.54001621177971892</v>
      </c>
      <c r="R16" s="18">
        <f>HLOOKUP(REG_TRA_DEMANDS!R$3,'BY-Demands'!$J$5:$AK$14,MATCH($E16,'BY-Demands'!$I$5:$I$14,0),FALSE)*HLOOKUP(REG_TRA_DEMANDS!$F16,DEMANDS!$G$2:$CK$25,MATCH($E16,DEMANDS!$E$2:$E$25,0),FALSE)/HLOOKUP(2018,DEMANDS!$G$2:$CK$25,MATCH($E16,DEMANDS!$E$2:$E$25,0),FALSE)</f>
        <v>0.47767277904776095</v>
      </c>
      <c r="S16" s="18">
        <f>HLOOKUP(REG_TRA_DEMANDS!S$3,'BY-Demands'!$J$5:$AK$14,MATCH($E16,'BY-Demands'!$I$5:$I$14,0),FALSE)*HLOOKUP(REG_TRA_DEMANDS!$F16,DEMANDS!$G$2:$CK$25,MATCH($E16,DEMANDS!$E$2:$E$25,0),FALSE)/HLOOKUP(2018,DEMANDS!$G$2:$CK$25,MATCH($E16,DEMANDS!$E$2:$E$25,0),FALSE)</f>
        <v>0.42041040844302696</v>
      </c>
      <c r="T16" s="18">
        <f>HLOOKUP(REG_TRA_DEMANDS!T$3,'BY-Demands'!$J$5:$AK$14,MATCH($E16,'BY-Demands'!$I$5:$I$14,0),FALSE)*HLOOKUP(REG_TRA_DEMANDS!$F16,DEMANDS!$G$2:$CK$25,MATCH($E16,DEMANDS!$E$2:$E$25,0),FALSE)/HLOOKUP(2018,DEMANDS!$G$2:$CK$25,MATCH($E16,DEMANDS!$E$2:$E$25,0),FALSE)</f>
        <v>1.7778596761405054</v>
      </c>
      <c r="U16" s="18">
        <f>HLOOKUP(REG_TRA_DEMANDS!U$3,'BY-Demands'!$J$5:$AK$14,MATCH($E16,'BY-Demands'!$I$5:$I$14,0),FALSE)*HLOOKUP(REG_TRA_DEMANDS!$F16,DEMANDS!$G$2:$CK$25,MATCH($E16,DEMANDS!$E$2:$E$25,0),FALSE)/HLOOKUP(2018,DEMANDS!$G$2:$CK$25,MATCH($E16,DEMANDS!$E$2:$E$25,0),FALSE)</f>
        <v>0.54433902818277147</v>
      </c>
      <c r="V16" s="18">
        <f>HLOOKUP(REG_TRA_DEMANDS!V$3,'BY-Demands'!$J$5:$AK$14,MATCH($E16,'BY-Demands'!$I$5:$I$14,0),FALSE)*HLOOKUP(REG_TRA_DEMANDS!$F16,DEMANDS!$G$2:$CK$25,MATCH($E16,DEMANDS!$E$2:$E$25,0),FALSE)/HLOOKUP(2018,DEMANDS!$G$2:$CK$25,MATCH($E16,DEMANDS!$E$2:$E$25,0),FALSE)</f>
        <v>0.64908019265669203</v>
      </c>
      <c r="W16" s="18">
        <f>HLOOKUP(REG_TRA_DEMANDS!W$3,'BY-Demands'!$J$5:$AK$14,MATCH($E16,'BY-Demands'!$I$5:$I$14,0),FALSE)*HLOOKUP(REG_TRA_DEMANDS!$F16,DEMANDS!$G$2:$CK$25,MATCH($E16,DEMANDS!$E$2:$E$25,0),FALSE)/HLOOKUP(2018,DEMANDS!$G$2:$CK$25,MATCH($E16,DEMANDS!$E$2:$E$25,0),FALSE)</f>
        <v>0.59174702144750757</v>
      </c>
      <c r="X16" s="18">
        <f>HLOOKUP(REG_TRA_DEMANDS!X$3,'BY-Demands'!$J$5:$AK$14,MATCH($E16,'BY-Demands'!$I$5:$I$14,0),FALSE)*HLOOKUP(REG_TRA_DEMANDS!$F16,DEMANDS!$G$2:$CK$25,MATCH($E16,DEMANDS!$E$2:$E$25,0),FALSE)/HLOOKUP(2018,DEMANDS!$G$2:$CK$25,MATCH($E16,DEMANDS!$E$2:$E$25,0),FALSE)</f>
        <v>0.39293902886695581</v>
      </c>
      <c r="Y16" s="18">
        <f>HLOOKUP(REG_TRA_DEMANDS!Y$3,'BY-Demands'!$J$5:$AK$14,MATCH($E16,'BY-Demands'!$I$5:$I$14,0),FALSE)*HLOOKUP(REG_TRA_DEMANDS!$F16,DEMANDS!$G$2:$CK$25,MATCH($E16,DEMANDS!$E$2:$E$25,0),FALSE)/HLOOKUP(2018,DEMANDS!$G$2:$CK$25,MATCH($E16,DEMANDS!$E$2:$E$25,0),FALSE)</f>
        <v>0.87824508554988689</v>
      </c>
      <c r="Z16" s="18">
        <f>HLOOKUP(REG_TRA_DEMANDS!Z$3,'BY-Demands'!$J$5:$AK$14,MATCH($E16,'BY-Demands'!$I$5:$I$14,0),FALSE)*HLOOKUP(REG_TRA_DEMANDS!$F16,DEMANDS!$G$2:$CK$25,MATCH($E16,DEMANDS!$E$2:$E$25,0),FALSE)/HLOOKUP(2018,DEMANDS!$G$2:$CK$25,MATCH($E16,DEMANDS!$E$2:$E$25,0),FALSE)</f>
        <v>0.11271613414361546</v>
      </c>
      <c r="AA16" s="18">
        <f>HLOOKUP(REG_TRA_DEMANDS!AA$3,'BY-Demands'!$J$5:$AK$14,MATCH($E16,'BY-Demands'!$I$5:$I$14,0),FALSE)*HLOOKUP(REG_TRA_DEMANDS!$F16,DEMANDS!$G$2:$CK$25,MATCH($E16,DEMANDS!$E$2:$E$25,0),FALSE)/HLOOKUP(2018,DEMANDS!$G$2:$CK$25,MATCH($E16,DEMANDS!$E$2:$E$25,0),FALSE)</f>
        <v>0.47034294406471105</v>
      </c>
      <c r="AB16" s="18">
        <f>HLOOKUP(REG_TRA_DEMANDS!AB$3,'BY-Demands'!$J$5:$AK$14,MATCH($E16,'BY-Demands'!$I$5:$I$14,0),FALSE)*HLOOKUP(REG_TRA_DEMANDS!$F16,DEMANDS!$G$2:$CK$25,MATCH($E16,DEMANDS!$E$2:$E$25,0),FALSE)/HLOOKUP(2018,DEMANDS!$G$2:$CK$25,MATCH($E16,DEMANDS!$E$2:$E$25,0),FALSE)</f>
        <v>0.24604111006857998</v>
      </c>
      <c r="AC16" s="18">
        <f>HLOOKUP(REG_TRA_DEMANDS!AC$3,'BY-Demands'!$J$5:$AK$14,MATCH($E16,'BY-Demands'!$I$5:$I$14,0),FALSE)*HLOOKUP(REG_TRA_DEMANDS!$F16,DEMANDS!$G$2:$CK$25,MATCH($E16,DEMANDS!$E$2:$E$25,0),FALSE)/HLOOKUP(2018,DEMANDS!$G$2:$CK$25,MATCH($E16,DEMANDS!$E$2:$E$25,0),FALSE)</f>
        <v>0.2169218192997098</v>
      </c>
      <c r="AD16" s="18">
        <f>HLOOKUP(REG_TRA_DEMANDS!AD$3,'BY-Demands'!$J$5:$AK$14,MATCH($E16,'BY-Demands'!$I$5:$I$14,0),FALSE)*HLOOKUP(REG_TRA_DEMANDS!$F16,DEMANDS!$G$2:$CK$25,MATCH($E16,DEMANDS!$E$2:$E$25,0),FALSE)/HLOOKUP(2018,DEMANDS!$G$2:$CK$25,MATCH($E16,DEMANDS!$E$2:$E$25,0),FALSE)</f>
        <v>0.24195446923022534</v>
      </c>
      <c r="AE16" s="18">
        <f>HLOOKUP(REG_TRA_DEMANDS!AE$3,'BY-Demands'!$J$5:$AK$14,MATCH($E16,'BY-Demands'!$I$5:$I$14,0),FALSE)*HLOOKUP(REG_TRA_DEMANDS!$F16,DEMANDS!$G$2:$CK$25,MATCH($E16,DEMANDS!$E$2:$E$25,0),FALSE)/HLOOKUP(2018,DEMANDS!$G$2:$CK$25,MATCH($E16,DEMANDS!$E$2:$E$25,0),FALSE)</f>
        <v>0.46934993355696131</v>
      </c>
      <c r="AF16" s="18">
        <f>HLOOKUP(REG_TRA_DEMANDS!AF$3,'BY-Demands'!$J$5:$AK$14,MATCH($E16,'BY-Demands'!$I$5:$I$14,0),FALSE)*HLOOKUP(REG_TRA_DEMANDS!$F16,DEMANDS!$G$2:$CK$25,MATCH($E16,DEMANDS!$E$2:$E$25,0),FALSE)/HLOOKUP(2018,DEMANDS!$G$2:$CK$25,MATCH($E16,DEMANDS!$E$2:$E$25,0),FALSE)</f>
        <v>0.2251068564281696</v>
      </c>
    </row>
    <row r="17" spans="4:32" ht="14.4">
      <c r="D17" t="s">
        <v>6</v>
      </c>
      <c r="E17" t="str">
        <f>DEMANDS!$E$17</f>
        <v>TRAPS</v>
      </c>
      <c r="F17">
        <v>2033</v>
      </c>
      <c r="G17" s="18">
        <f>HLOOKUP(REG_TRA_DEMANDS!G$3,'BY-Demands'!$J$5:$AK$14,MATCH($E17,'BY-Demands'!$I$5:$I$14,0),FALSE)*HLOOKUP(REG_TRA_DEMANDS!$F17,DEMANDS!$G$2:$CK$25,MATCH($E17,DEMANDS!$E$2:$E$25,0),FALSE)/HLOOKUP(2018,DEMANDS!$G$2:$CK$25,MATCH($E17,DEMANDS!$E$2:$E$25,0),FALSE)</f>
        <v>0.209333308536582</v>
      </c>
      <c r="H17" s="18">
        <f>HLOOKUP(REG_TRA_DEMANDS!H$3,'BY-Demands'!$J$5:$AK$14,MATCH($E17,'BY-Demands'!$I$5:$I$14,0),FALSE)*HLOOKUP(REG_TRA_DEMANDS!$F17,DEMANDS!$G$2:$CK$25,MATCH($E17,DEMANDS!$E$2:$E$25,0),FALSE)/HLOOKUP(2018,DEMANDS!$G$2:$CK$25,MATCH($E17,DEMANDS!$E$2:$E$25,0),FALSE)</f>
        <v>4.1850691743148589</v>
      </c>
      <c r="I17" s="18">
        <f>HLOOKUP(REG_TRA_DEMANDS!I$3,'BY-Demands'!$J$5:$AK$14,MATCH($E17,'BY-Demands'!$I$5:$I$14,0),FALSE)*HLOOKUP(REG_TRA_DEMANDS!$F17,DEMANDS!$G$2:$CK$25,MATCH($E17,DEMANDS!$E$2:$E$25,0),FALSE)/HLOOKUP(2018,DEMANDS!$G$2:$CK$25,MATCH($E17,DEMANDS!$E$2:$E$25,0),FALSE)</f>
        <v>0.77183173862830279</v>
      </c>
      <c r="J17" s="18">
        <f>HLOOKUP(REG_TRA_DEMANDS!J$3,'BY-Demands'!$J$5:$AK$14,MATCH($E17,'BY-Demands'!$I$5:$I$14,0),FALSE)*HLOOKUP(REG_TRA_DEMANDS!$F17,DEMANDS!$G$2:$CK$25,MATCH($E17,DEMANDS!$E$2:$E$25,0),FALSE)/HLOOKUP(2018,DEMANDS!$G$2:$CK$25,MATCH($E17,DEMANDS!$E$2:$E$25,0),FALSE)</f>
        <v>0.35808011039077797</v>
      </c>
      <c r="K17" s="18">
        <f>HLOOKUP(REG_TRA_DEMANDS!K$3,'BY-Demands'!$J$5:$AK$14,MATCH($E17,'BY-Demands'!$I$5:$I$14,0),FALSE)*HLOOKUP(REG_TRA_DEMANDS!$F17,DEMANDS!$G$2:$CK$25,MATCH($E17,DEMANDS!$E$2:$E$25,0),FALSE)/HLOOKUP(2018,DEMANDS!$G$2:$CK$25,MATCH($E17,DEMANDS!$E$2:$E$25,0),FALSE)</f>
        <v>0.28231021029005665</v>
      </c>
      <c r="L17" s="18">
        <f>HLOOKUP(REG_TRA_DEMANDS!L$3,'BY-Demands'!$J$5:$AK$14,MATCH($E17,'BY-Demands'!$I$5:$I$14,0),FALSE)*HLOOKUP(REG_TRA_DEMANDS!$F17,DEMANDS!$G$2:$CK$25,MATCH($E17,DEMANDS!$E$2:$E$25,0),FALSE)/HLOOKUP(2018,DEMANDS!$G$2:$CK$25,MATCH($E17,DEMANDS!$E$2:$E$25,0),FALSE)</f>
        <v>0.1418512526783467</v>
      </c>
      <c r="M17" s="18">
        <f>HLOOKUP(REG_TRA_DEMANDS!M$3,'BY-Demands'!$J$5:$AK$14,MATCH($E17,'BY-Demands'!$I$5:$I$14,0),FALSE)*HLOOKUP(REG_TRA_DEMANDS!$F17,DEMANDS!$G$2:$CK$25,MATCH($E17,DEMANDS!$E$2:$E$25,0),FALSE)/HLOOKUP(2018,DEMANDS!$G$2:$CK$25,MATCH($E17,DEMANDS!$E$2:$E$25,0),FALSE)</f>
        <v>0.40676022213569757</v>
      </c>
      <c r="N17" s="18">
        <f>HLOOKUP(REG_TRA_DEMANDS!N$3,'BY-Demands'!$J$5:$AK$14,MATCH($E17,'BY-Demands'!$I$5:$I$14,0),FALSE)*HLOOKUP(REG_TRA_DEMANDS!$F17,DEMANDS!$G$2:$CK$25,MATCH($E17,DEMANDS!$E$2:$E$25,0),FALSE)/HLOOKUP(2018,DEMANDS!$G$2:$CK$25,MATCH($E17,DEMANDS!$E$2:$E$25,0),FALSE)</f>
        <v>0.6695377421410722</v>
      </c>
      <c r="O17" s="18">
        <f>HLOOKUP(REG_TRA_DEMANDS!O$3,'BY-Demands'!$J$5:$AK$14,MATCH($E17,'BY-Demands'!$I$5:$I$14,0),FALSE)*HLOOKUP(REG_TRA_DEMANDS!$F17,DEMANDS!$G$2:$CK$25,MATCH($E17,DEMANDS!$E$2:$E$25,0),FALSE)/HLOOKUP(2018,DEMANDS!$G$2:$CK$25,MATCH($E17,DEMANDS!$E$2:$E$25,0),FALSE)</f>
        <v>0.27715706270840806</v>
      </c>
      <c r="P17" s="18">
        <f>HLOOKUP(REG_TRA_DEMANDS!P$3,'BY-Demands'!$J$5:$AK$14,MATCH($E17,'BY-Demands'!$I$5:$I$14,0),FALSE)*HLOOKUP(REG_TRA_DEMANDS!$F17,DEMANDS!$G$2:$CK$25,MATCH($E17,DEMANDS!$E$2:$E$25,0),FALSE)/HLOOKUP(2018,DEMANDS!$G$2:$CK$25,MATCH($E17,DEMANDS!$E$2:$E$25,0),FALSE)</f>
        <v>0.31415453386334197</v>
      </c>
      <c r="Q17" s="18">
        <f>HLOOKUP(REG_TRA_DEMANDS!Q$3,'BY-Demands'!$J$5:$AK$14,MATCH($E17,'BY-Demands'!$I$5:$I$14,0),FALSE)*HLOOKUP(REG_TRA_DEMANDS!$F17,DEMANDS!$G$2:$CK$25,MATCH($E17,DEMANDS!$E$2:$E$25,0),FALSE)/HLOOKUP(2018,DEMANDS!$G$2:$CK$25,MATCH($E17,DEMANDS!$E$2:$E$25,0),FALSE)</f>
        <v>0.54676641442696539</v>
      </c>
      <c r="R17" s="18">
        <f>HLOOKUP(REG_TRA_DEMANDS!R$3,'BY-Demands'!$J$5:$AK$14,MATCH($E17,'BY-Demands'!$I$5:$I$14,0),FALSE)*HLOOKUP(REG_TRA_DEMANDS!$F17,DEMANDS!$G$2:$CK$25,MATCH($E17,DEMANDS!$E$2:$E$25,0),FALSE)/HLOOKUP(2018,DEMANDS!$G$2:$CK$25,MATCH($E17,DEMANDS!$E$2:$E$25,0),FALSE)</f>
        <v>0.48364368878585801</v>
      </c>
      <c r="S17" s="18">
        <f>HLOOKUP(REG_TRA_DEMANDS!S$3,'BY-Demands'!$J$5:$AK$14,MATCH($E17,'BY-Demands'!$I$5:$I$14,0),FALSE)*HLOOKUP(REG_TRA_DEMANDS!$F17,DEMANDS!$G$2:$CK$25,MATCH($E17,DEMANDS!$E$2:$E$25,0),FALSE)/HLOOKUP(2018,DEMANDS!$G$2:$CK$25,MATCH($E17,DEMANDS!$E$2:$E$25,0),FALSE)</f>
        <v>0.42566553854856476</v>
      </c>
      <c r="T17" s="18">
        <f>HLOOKUP(REG_TRA_DEMANDS!T$3,'BY-Demands'!$J$5:$AK$14,MATCH($E17,'BY-Demands'!$I$5:$I$14,0),FALSE)*HLOOKUP(REG_TRA_DEMANDS!$F17,DEMANDS!$G$2:$CK$25,MATCH($E17,DEMANDS!$E$2:$E$25,0),FALSE)/HLOOKUP(2018,DEMANDS!$G$2:$CK$25,MATCH($E17,DEMANDS!$E$2:$E$25,0),FALSE)</f>
        <v>1.8000829220922618</v>
      </c>
      <c r="U17" s="18">
        <f>HLOOKUP(REG_TRA_DEMANDS!U$3,'BY-Demands'!$J$5:$AK$14,MATCH($E17,'BY-Demands'!$I$5:$I$14,0),FALSE)*HLOOKUP(REG_TRA_DEMANDS!$F17,DEMANDS!$G$2:$CK$25,MATCH($E17,DEMANDS!$E$2:$E$25,0),FALSE)/HLOOKUP(2018,DEMANDS!$G$2:$CK$25,MATCH($E17,DEMANDS!$E$2:$E$25,0),FALSE)</f>
        <v>0.55114326603505615</v>
      </c>
      <c r="V17" s="18">
        <f>HLOOKUP(REG_TRA_DEMANDS!V$3,'BY-Demands'!$J$5:$AK$14,MATCH($E17,'BY-Demands'!$I$5:$I$14,0),FALSE)*HLOOKUP(REG_TRA_DEMANDS!$F17,DEMANDS!$G$2:$CK$25,MATCH($E17,DEMANDS!$E$2:$E$25,0),FALSE)/HLOOKUP(2018,DEMANDS!$G$2:$CK$25,MATCH($E17,DEMANDS!$E$2:$E$25,0),FALSE)</f>
        <v>0.65719369506490066</v>
      </c>
      <c r="W17" s="18">
        <f>HLOOKUP(REG_TRA_DEMANDS!W$3,'BY-Demands'!$J$5:$AK$14,MATCH($E17,'BY-Demands'!$I$5:$I$14,0),FALSE)*HLOOKUP(REG_TRA_DEMANDS!$F17,DEMANDS!$G$2:$CK$25,MATCH($E17,DEMANDS!$E$2:$E$25,0),FALSE)/HLOOKUP(2018,DEMANDS!$G$2:$CK$25,MATCH($E17,DEMANDS!$E$2:$E$25,0),FALSE)</f>
        <v>0.59914385921560143</v>
      </c>
      <c r="X17" s="18">
        <f>HLOOKUP(REG_TRA_DEMANDS!X$3,'BY-Demands'!$J$5:$AK$14,MATCH($E17,'BY-Demands'!$I$5:$I$14,0),FALSE)*HLOOKUP(REG_TRA_DEMANDS!$F17,DEMANDS!$G$2:$CK$25,MATCH($E17,DEMANDS!$E$2:$E$25,0),FALSE)/HLOOKUP(2018,DEMANDS!$G$2:$CK$25,MATCH($E17,DEMANDS!$E$2:$E$25,0),FALSE)</f>
        <v>0.39785076672779274</v>
      </c>
      <c r="Y17" s="18">
        <f>HLOOKUP(REG_TRA_DEMANDS!Y$3,'BY-Demands'!$J$5:$AK$14,MATCH($E17,'BY-Demands'!$I$5:$I$14,0),FALSE)*HLOOKUP(REG_TRA_DEMANDS!$F17,DEMANDS!$G$2:$CK$25,MATCH($E17,DEMANDS!$E$2:$E$25,0),FALSE)/HLOOKUP(2018,DEMANDS!$G$2:$CK$25,MATCH($E17,DEMANDS!$E$2:$E$25,0),FALSE)</f>
        <v>0.88922314911926059</v>
      </c>
      <c r="Z17" s="18">
        <f>HLOOKUP(REG_TRA_DEMANDS!Z$3,'BY-Demands'!$J$5:$AK$14,MATCH($E17,'BY-Demands'!$I$5:$I$14,0),FALSE)*HLOOKUP(REG_TRA_DEMANDS!$F17,DEMANDS!$G$2:$CK$25,MATCH($E17,DEMANDS!$E$2:$E$25,0),FALSE)/HLOOKUP(2018,DEMANDS!$G$2:$CK$25,MATCH($E17,DEMANDS!$E$2:$E$25,0),FALSE)</f>
        <v>0.11412508582041064</v>
      </c>
      <c r="AA17" s="18">
        <f>HLOOKUP(REG_TRA_DEMANDS!AA$3,'BY-Demands'!$J$5:$AK$14,MATCH($E17,'BY-Demands'!$I$5:$I$14,0),FALSE)*HLOOKUP(REG_TRA_DEMANDS!$F17,DEMANDS!$G$2:$CK$25,MATCH($E17,DEMANDS!$E$2:$E$25,0),FALSE)/HLOOKUP(2018,DEMANDS!$G$2:$CK$25,MATCH($E17,DEMANDS!$E$2:$E$25,0),FALSE)</f>
        <v>0.47622223086551996</v>
      </c>
      <c r="AB17" s="18">
        <f>HLOOKUP(REG_TRA_DEMANDS!AB$3,'BY-Demands'!$J$5:$AK$14,MATCH($E17,'BY-Demands'!$I$5:$I$14,0),FALSE)*HLOOKUP(REG_TRA_DEMANDS!$F17,DEMANDS!$G$2:$CK$25,MATCH($E17,DEMANDS!$E$2:$E$25,0),FALSE)/HLOOKUP(2018,DEMANDS!$G$2:$CK$25,MATCH($E17,DEMANDS!$E$2:$E$25,0),FALSE)</f>
        <v>0.24911662394443723</v>
      </c>
      <c r="AC17" s="18">
        <f>HLOOKUP(REG_TRA_DEMANDS!AC$3,'BY-Demands'!$J$5:$AK$14,MATCH($E17,'BY-Demands'!$I$5:$I$14,0),FALSE)*HLOOKUP(REG_TRA_DEMANDS!$F17,DEMANDS!$G$2:$CK$25,MATCH($E17,DEMANDS!$E$2:$E$25,0),FALSE)/HLOOKUP(2018,DEMANDS!$G$2:$CK$25,MATCH($E17,DEMANDS!$E$2:$E$25,0),FALSE)</f>
        <v>0.21963334204095614</v>
      </c>
      <c r="AD17" s="18">
        <f>HLOOKUP(REG_TRA_DEMANDS!AD$3,'BY-Demands'!$J$5:$AK$14,MATCH($E17,'BY-Demands'!$I$5:$I$14,0),FALSE)*HLOOKUP(REG_TRA_DEMANDS!$F17,DEMANDS!$G$2:$CK$25,MATCH($E17,DEMANDS!$E$2:$E$25,0),FALSE)/HLOOKUP(2018,DEMANDS!$G$2:$CK$25,MATCH($E17,DEMANDS!$E$2:$E$25,0),FALSE)</f>
        <v>0.24497890009560316</v>
      </c>
      <c r="AE17" s="18">
        <f>HLOOKUP(REG_TRA_DEMANDS!AE$3,'BY-Demands'!$J$5:$AK$14,MATCH($E17,'BY-Demands'!$I$5:$I$14,0),FALSE)*HLOOKUP(REG_TRA_DEMANDS!$F17,DEMANDS!$G$2:$CK$25,MATCH($E17,DEMANDS!$E$2:$E$25,0),FALSE)/HLOOKUP(2018,DEMANDS!$G$2:$CK$25,MATCH($E17,DEMANDS!$E$2:$E$25,0),FALSE)</f>
        <v>0.47521680772642333</v>
      </c>
      <c r="AF17" s="18">
        <f>HLOOKUP(REG_TRA_DEMANDS!AF$3,'BY-Demands'!$J$5:$AK$14,MATCH($E17,'BY-Demands'!$I$5:$I$14,0),FALSE)*HLOOKUP(REG_TRA_DEMANDS!$F17,DEMANDS!$G$2:$CK$25,MATCH($E17,DEMANDS!$E$2:$E$25,0),FALSE)/HLOOKUP(2018,DEMANDS!$G$2:$CK$25,MATCH($E17,DEMANDS!$E$2:$E$25,0),FALSE)</f>
        <v>0.22792069213352173</v>
      </c>
    </row>
    <row r="18" spans="4:32" ht="14.4">
      <c r="D18" t="s">
        <v>6</v>
      </c>
      <c r="E18" t="str">
        <f>DEMANDS!$E$17</f>
        <v>TRAPS</v>
      </c>
      <c r="F18">
        <v>2034</v>
      </c>
      <c r="G18" s="18">
        <f>HLOOKUP(REG_TRA_DEMANDS!G$3,'BY-Demands'!$J$5:$AK$14,MATCH($E18,'BY-Demands'!$I$5:$I$14,0),FALSE)*HLOOKUP(REG_TRA_DEMANDS!$F18,DEMANDS!$G$2:$CK$25,MATCH($E18,DEMANDS!$E$2:$E$25,0),FALSE)/HLOOKUP(2018,DEMANDS!$G$2:$CK$25,MATCH($E18,DEMANDS!$E$2:$E$25,0),FALSE)</f>
        <v>0.21194997489328923</v>
      </c>
      <c r="H18" s="18">
        <f>HLOOKUP(REG_TRA_DEMANDS!H$3,'BY-Demands'!$J$5:$AK$14,MATCH($E18,'BY-Demands'!$I$5:$I$14,0),FALSE)*HLOOKUP(REG_TRA_DEMANDS!$F18,DEMANDS!$G$2:$CK$25,MATCH($E18,DEMANDS!$E$2:$E$25,0),FALSE)/HLOOKUP(2018,DEMANDS!$G$2:$CK$25,MATCH($E18,DEMANDS!$E$2:$E$25,0),FALSE)</f>
        <v>4.2373825389937938</v>
      </c>
      <c r="I18" s="18">
        <f>HLOOKUP(REG_TRA_DEMANDS!I$3,'BY-Demands'!$J$5:$AK$14,MATCH($E18,'BY-Demands'!$I$5:$I$14,0),FALSE)*HLOOKUP(REG_TRA_DEMANDS!$F18,DEMANDS!$G$2:$CK$25,MATCH($E18,DEMANDS!$E$2:$E$25,0),FALSE)/HLOOKUP(2018,DEMANDS!$G$2:$CK$25,MATCH($E18,DEMANDS!$E$2:$E$25,0),FALSE)</f>
        <v>0.7814796353611565</v>
      </c>
      <c r="J18" s="18">
        <f>HLOOKUP(REG_TRA_DEMANDS!J$3,'BY-Demands'!$J$5:$AK$14,MATCH($E18,'BY-Demands'!$I$5:$I$14,0),FALSE)*HLOOKUP(REG_TRA_DEMANDS!$F18,DEMANDS!$G$2:$CK$25,MATCH($E18,DEMANDS!$E$2:$E$25,0),FALSE)/HLOOKUP(2018,DEMANDS!$G$2:$CK$25,MATCH($E18,DEMANDS!$E$2:$E$25,0),FALSE)</f>
        <v>0.36255611177066266</v>
      </c>
      <c r="K18" s="18">
        <f>HLOOKUP(REG_TRA_DEMANDS!K$3,'BY-Demands'!$J$5:$AK$14,MATCH($E18,'BY-Demands'!$I$5:$I$14,0),FALSE)*HLOOKUP(REG_TRA_DEMANDS!$F18,DEMANDS!$G$2:$CK$25,MATCH($E18,DEMANDS!$E$2:$E$25,0),FALSE)/HLOOKUP(2018,DEMANDS!$G$2:$CK$25,MATCH($E18,DEMANDS!$E$2:$E$25,0),FALSE)</f>
        <v>0.28583908791868234</v>
      </c>
      <c r="L18" s="18">
        <f>HLOOKUP(REG_TRA_DEMANDS!L$3,'BY-Demands'!$J$5:$AK$14,MATCH($E18,'BY-Demands'!$I$5:$I$14,0),FALSE)*HLOOKUP(REG_TRA_DEMANDS!$F18,DEMANDS!$G$2:$CK$25,MATCH($E18,DEMANDS!$E$2:$E$25,0),FALSE)/HLOOKUP(2018,DEMANDS!$G$2:$CK$25,MATCH($E18,DEMANDS!$E$2:$E$25,0),FALSE)</f>
        <v>0.14362439333682597</v>
      </c>
      <c r="M18" s="18">
        <f>HLOOKUP(REG_TRA_DEMANDS!M$3,'BY-Demands'!$J$5:$AK$14,MATCH($E18,'BY-Demands'!$I$5:$I$14,0),FALSE)*HLOOKUP(REG_TRA_DEMANDS!$F18,DEMANDS!$G$2:$CK$25,MATCH($E18,DEMANDS!$E$2:$E$25,0),FALSE)/HLOOKUP(2018,DEMANDS!$G$2:$CK$25,MATCH($E18,DEMANDS!$E$2:$E$25,0),FALSE)</f>
        <v>0.41184472491239371</v>
      </c>
      <c r="N18" s="18">
        <f>HLOOKUP(REG_TRA_DEMANDS!N$3,'BY-Demands'!$J$5:$AK$14,MATCH($E18,'BY-Demands'!$I$5:$I$14,0),FALSE)*HLOOKUP(REG_TRA_DEMANDS!$F18,DEMANDS!$G$2:$CK$25,MATCH($E18,DEMANDS!$E$2:$E$25,0),FALSE)/HLOOKUP(2018,DEMANDS!$G$2:$CK$25,MATCH($E18,DEMANDS!$E$2:$E$25,0),FALSE)</f>
        <v>0.67790696391783556</v>
      </c>
      <c r="O18" s="18">
        <f>HLOOKUP(REG_TRA_DEMANDS!O$3,'BY-Demands'!$J$5:$AK$14,MATCH($E18,'BY-Demands'!$I$5:$I$14,0),FALSE)*HLOOKUP(REG_TRA_DEMANDS!$F18,DEMANDS!$G$2:$CK$25,MATCH($E18,DEMANDS!$E$2:$E$25,0),FALSE)/HLOOKUP(2018,DEMANDS!$G$2:$CK$25,MATCH($E18,DEMANDS!$E$2:$E$25,0),FALSE)</f>
        <v>0.28062152599226314</v>
      </c>
      <c r="P18" s="18">
        <f>HLOOKUP(REG_TRA_DEMANDS!P$3,'BY-Demands'!$J$5:$AK$14,MATCH($E18,'BY-Demands'!$I$5:$I$14,0),FALSE)*HLOOKUP(REG_TRA_DEMANDS!$F18,DEMANDS!$G$2:$CK$25,MATCH($E18,DEMANDS!$E$2:$E$25,0),FALSE)/HLOOKUP(2018,DEMANDS!$G$2:$CK$25,MATCH($E18,DEMANDS!$E$2:$E$25,0),FALSE)</f>
        <v>0.31808146553663375</v>
      </c>
      <c r="Q18" s="18">
        <f>HLOOKUP(REG_TRA_DEMANDS!Q$3,'BY-Demands'!$J$5:$AK$14,MATCH($E18,'BY-Demands'!$I$5:$I$14,0),FALSE)*HLOOKUP(REG_TRA_DEMANDS!$F18,DEMANDS!$G$2:$CK$25,MATCH($E18,DEMANDS!$E$2:$E$25,0),FALSE)/HLOOKUP(2018,DEMANDS!$G$2:$CK$25,MATCH($E18,DEMANDS!$E$2:$E$25,0),FALSE)</f>
        <v>0.55360099460730228</v>
      </c>
      <c r="R18" s="18">
        <f>HLOOKUP(REG_TRA_DEMANDS!R$3,'BY-Demands'!$J$5:$AK$14,MATCH($E18,'BY-Demands'!$I$5:$I$14,0),FALSE)*HLOOKUP(REG_TRA_DEMANDS!$F18,DEMANDS!$G$2:$CK$25,MATCH($E18,DEMANDS!$E$2:$E$25,0),FALSE)/HLOOKUP(2018,DEMANDS!$G$2:$CK$25,MATCH($E18,DEMANDS!$E$2:$E$25,0),FALSE)</f>
        <v>0.48968923489568117</v>
      </c>
      <c r="S18" s="18">
        <f>HLOOKUP(REG_TRA_DEMANDS!S$3,'BY-Demands'!$J$5:$AK$14,MATCH($E18,'BY-Demands'!$I$5:$I$14,0),FALSE)*HLOOKUP(REG_TRA_DEMANDS!$F18,DEMANDS!$G$2:$CK$25,MATCH($E18,DEMANDS!$E$2:$E$25,0),FALSE)/HLOOKUP(2018,DEMANDS!$G$2:$CK$25,MATCH($E18,DEMANDS!$E$2:$E$25,0),FALSE)</f>
        <v>0.43098635778042177</v>
      </c>
      <c r="T18" s="18">
        <f>HLOOKUP(REG_TRA_DEMANDS!T$3,'BY-Demands'!$J$5:$AK$14,MATCH($E18,'BY-Demands'!$I$5:$I$14,0),FALSE)*HLOOKUP(REG_TRA_DEMANDS!$F18,DEMANDS!$G$2:$CK$25,MATCH($E18,DEMANDS!$E$2:$E$25,0),FALSE)/HLOOKUP(2018,DEMANDS!$G$2:$CK$25,MATCH($E18,DEMANDS!$E$2:$E$25,0),FALSE)</f>
        <v>1.8225839586184147</v>
      </c>
      <c r="U18" s="18">
        <f>HLOOKUP(REG_TRA_DEMANDS!U$3,'BY-Demands'!$J$5:$AK$14,MATCH($E18,'BY-Demands'!$I$5:$I$14,0),FALSE)*HLOOKUP(REG_TRA_DEMANDS!$F18,DEMANDS!$G$2:$CK$25,MATCH($E18,DEMANDS!$E$2:$E$25,0),FALSE)/HLOOKUP(2018,DEMANDS!$G$2:$CK$25,MATCH($E18,DEMANDS!$E$2:$E$25,0),FALSE)</f>
        <v>0.55803255686049424</v>
      </c>
      <c r="V18" s="18">
        <f>HLOOKUP(REG_TRA_DEMANDS!V$3,'BY-Demands'!$J$5:$AK$14,MATCH($E18,'BY-Demands'!$I$5:$I$14,0),FALSE)*HLOOKUP(REG_TRA_DEMANDS!$F18,DEMANDS!$G$2:$CK$25,MATCH($E18,DEMANDS!$E$2:$E$25,0),FALSE)/HLOOKUP(2018,DEMANDS!$G$2:$CK$25,MATCH($E18,DEMANDS!$E$2:$E$25,0),FALSE)</f>
        <v>0.6654086162532119</v>
      </c>
      <c r="W18" s="18">
        <f>HLOOKUP(REG_TRA_DEMANDS!W$3,'BY-Demands'!$J$5:$AK$14,MATCH($E18,'BY-Demands'!$I$5:$I$14,0),FALSE)*HLOOKUP(REG_TRA_DEMANDS!$F18,DEMANDS!$G$2:$CK$25,MATCH($E18,DEMANDS!$E$2:$E$25,0),FALSE)/HLOOKUP(2018,DEMANDS!$G$2:$CK$25,MATCH($E18,DEMANDS!$E$2:$E$25,0),FALSE)</f>
        <v>0.60663315745579638</v>
      </c>
      <c r="X18" s="18">
        <f>HLOOKUP(REG_TRA_DEMANDS!X$3,'BY-Demands'!$J$5:$AK$14,MATCH($E18,'BY-Demands'!$I$5:$I$14,0),FALSE)*HLOOKUP(REG_TRA_DEMANDS!$F18,DEMANDS!$G$2:$CK$25,MATCH($E18,DEMANDS!$E$2:$E$25,0),FALSE)/HLOOKUP(2018,DEMANDS!$G$2:$CK$25,MATCH($E18,DEMANDS!$E$2:$E$25,0),FALSE)</f>
        <v>0.40282390131189011</v>
      </c>
      <c r="Y18" s="18">
        <f>HLOOKUP(REG_TRA_DEMANDS!Y$3,'BY-Demands'!$J$5:$AK$14,MATCH($E18,'BY-Demands'!$I$5:$I$14,0),FALSE)*HLOOKUP(REG_TRA_DEMANDS!$F18,DEMANDS!$G$2:$CK$25,MATCH($E18,DEMANDS!$E$2:$E$25,0),FALSE)/HLOOKUP(2018,DEMANDS!$G$2:$CK$25,MATCH($E18,DEMANDS!$E$2:$E$25,0),FALSE)</f>
        <v>0.90033843848325124</v>
      </c>
      <c r="Z18" s="18">
        <f>HLOOKUP(REG_TRA_DEMANDS!Z$3,'BY-Demands'!$J$5:$AK$14,MATCH($E18,'BY-Demands'!$I$5:$I$14,0),FALSE)*HLOOKUP(REG_TRA_DEMANDS!$F18,DEMANDS!$G$2:$CK$25,MATCH($E18,DEMANDS!$E$2:$E$25,0),FALSE)/HLOOKUP(2018,DEMANDS!$G$2:$CK$25,MATCH($E18,DEMANDS!$E$2:$E$25,0),FALSE)</f>
        <v>0.11555164939316577</v>
      </c>
      <c r="AA18" s="18">
        <f>HLOOKUP(REG_TRA_DEMANDS!AA$3,'BY-Demands'!$J$5:$AK$14,MATCH($E18,'BY-Demands'!$I$5:$I$14,0),FALSE)*HLOOKUP(REG_TRA_DEMANDS!$F18,DEMANDS!$G$2:$CK$25,MATCH($E18,DEMANDS!$E$2:$E$25,0),FALSE)/HLOOKUP(2018,DEMANDS!$G$2:$CK$25,MATCH($E18,DEMANDS!$E$2:$E$25,0),FALSE)</f>
        <v>0.4821750087513389</v>
      </c>
      <c r="AB18" s="18">
        <f>HLOOKUP(REG_TRA_DEMANDS!AB$3,'BY-Demands'!$J$5:$AK$14,MATCH($E18,'BY-Demands'!$I$5:$I$14,0),FALSE)*HLOOKUP(REG_TRA_DEMANDS!$F18,DEMANDS!$G$2:$CK$25,MATCH($E18,DEMANDS!$E$2:$E$25,0),FALSE)/HLOOKUP(2018,DEMANDS!$G$2:$CK$25,MATCH($E18,DEMANDS!$E$2:$E$25,0),FALSE)</f>
        <v>0.25223058174374263</v>
      </c>
      <c r="AC18" s="18">
        <f>HLOOKUP(REG_TRA_DEMANDS!AC$3,'BY-Demands'!$J$5:$AK$14,MATCH($E18,'BY-Demands'!$I$5:$I$14,0),FALSE)*HLOOKUP(REG_TRA_DEMANDS!$F18,DEMANDS!$G$2:$CK$25,MATCH($E18,DEMANDS!$E$2:$E$25,0),FALSE)/HLOOKUP(2018,DEMANDS!$G$2:$CK$25,MATCH($E18,DEMANDS!$E$2:$E$25,0),FALSE)</f>
        <v>0.22237875881646807</v>
      </c>
      <c r="AD18" s="18">
        <f>HLOOKUP(REG_TRA_DEMANDS!AD$3,'BY-Demands'!$J$5:$AK$14,MATCH($E18,'BY-Demands'!$I$5:$I$14,0),FALSE)*HLOOKUP(REG_TRA_DEMANDS!$F18,DEMANDS!$G$2:$CK$25,MATCH($E18,DEMANDS!$E$2:$E$25,0),FALSE)/HLOOKUP(2018,DEMANDS!$G$2:$CK$25,MATCH($E18,DEMANDS!$E$2:$E$25,0),FALSE)</f>
        <v>0.24804113634679817</v>
      </c>
      <c r="AE18" s="18">
        <f>HLOOKUP(REG_TRA_DEMANDS!AE$3,'BY-Demands'!$J$5:$AK$14,MATCH($E18,'BY-Demands'!$I$5:$I$14,0),FALSE)*HLOOKUP(REG_TRA_DEMANDS!$F18,DEMANDS!$G$2:$CK$25,MATCH($E18,DEMANDS!$E$2:$E$25,0),FALSE)/HLOOKUP(2018,DEMANDS!$G$2:$CK$25,MATCH($E18,DEMANDS!$E$2:$E$25,0),FALSE)</f>
        <v>0.48115701782300357</v>
      </c>
      <c r="AF18" s="18">
        <f>HLOOKUP(REG_TRA_DEMANDS!AF$3,'BY-Demands'!$J$5:$AK$14,MATCH($E18,'BY-Demands'!$I$5:$I$14,0),FALSE)*HLOOKUP(REG_TRA_DEMANDS!$F18,DEMANDS!$G$2:$CK$25,MATCH($E18,DEMANDS!$E$2:$E$25,0),FALSE)/HLOOKUP(2018,DEMANDS!$G$2:$CK$25,MATCH($E18,DEMANDS!$E$2:$E$25,0),FALSE)</f>
        <v>0.23076970078519071</v>
      </c>
    </row>
    <row r="19" spans="4:32" ht="14.4">
      <c r="D19" t="s">
        <v>6</v>
      </c>
      <c r="E19" t="str">
        <f>DEMANDS!$E$17</f>
        <v>TRAPS</v>
      </c>
      <c r="F19">
        <v>2035</v>
      </c>
      <c r="G19" s="18">
        <f>HLOOKUP(REG_TRA_DEMANDS!G$3,'BY-Demands'!$J$5:$AK$14,MATCH($E19,'BY-Demands'!$I$5:$I$14,0),FALSE)*HLOOKUP(REG_TRA_DEMANDS!$F19,DEMANDS!$G$2:$CK$25,MATCH($E19,DEMANDS!$E$2:$E$25,0),FALSE)/HLOOKUP(2018,DEMANDS!$G$2:$CK$25,MATCH($E19,DEMANDS!$E$2:$E$25,0),FALSE)</f>
        <v>0.21459934957945534</v>
      </c>
      <c r="H19" s="18">
        <f>HLOOKUP(REG_TRA_DEMANDS!H$3,'BY-Demands'!$J$5:$AK$14,MATCH($E19,'BY-Demands'!$I$5:$I$14,0),FALSE)*HLOOKUP(REG_TRA_DEMANDS!$F19,DEMANDS!$G$2:$CK$25,MATCH($E19,DEMANDS!$E$2:$E$25,0),FALSE)/HLOOKUP(2018,DEMANDS!$G$2:$CK$25,MATCH($E19,DEMANDS!$E$2:$E$25,0),FALSE)</f>
        <v>4.2903498207312163</v>
      </c>
      <c r="I19" s="18">
        <f>HLOOKUP(REG_TRA_DEMANDS!I$3,'BY-Demands'!$J$5:$AK$14,MATCH($E19,'BY-Demands'!$I$5:$I$14,0),FALSE)*HLOOKUP(REG_TRA_DEMANDS!$F19,DEMANDS!$G$2:$CK$25,MATCH($E19,DEMANDS!$E$2:$E$25,0),FALSE)/HLOOKUP(2018,DEMANDS!$G$2:$CK$25,MATCH($E19,DEMANDS!$E$2:$E$25,0),FALSE)</f>
        <v>0.79124813080317091</v>
      </c>
      <c r="J19" s="18">
        <f>HLOOKUP(REG_TRA_DEMANDS!J$3,'BY-Demands'!$J$5:$AK$14,MATCH($E19,'BY-Demands'!$I$5:$I$14,0),FALSE)*HLOOKUP(REG_TRA_DEMANDS!$F19,DEMANDS!$G$2:$CK$25,MATCH($E19,DEMANDS!$E$2:$E$25,0),FALSE)/HLOOKUP(2018,DEMANDS!$G$2:$CK$25,MATCH($E19,DEMANDS!$E$2:$E$25,0),FALSE)</f>
        <v>0.36708806316779596</v>
      </c>
      <c r="K19" s="18">
        <f>HLOOKUP(REG_TRA_DEMANDS!K$3,'BY-Demands'!$J$5:$AK$14,MATCH($E19,'BY-Demands'!$I$5:$I$14,0),FALSE)*HLOOKUP(REG_TRA_DEMANDS!$F19,DEMANDS!$G$2:$CK$25,MATCH($E19,DEMANDS!$E$2:$E$25,0),FALSE)/HLOOKUP(2018,DEMANDS!$G$2:$CK$25,MATCH($E19,DEMANDS!$E$2:$E$25,0),FALSE)</f>
        <v>0.28941207651766582</v>
      </c>
      <c r="L19" s="18">
        <f>HLOOKUP(REG_TRA_DEMANDS!L$3,'BY-Demands'!$J$5:$AK$14,MATCH($E19,'BY-Demands'!$I$5:$I$14,0),FALSE)*HLOOKUP(REG_TRA_DEMANDS!$F19,DEMANDS!$G$2:$CK$25,MATCH($E19,DEMANDS!$E$2:$E$25,0),FALSE)/HLOOKUP(2018,DEMANDS!$G$2:$CK$25,MATCH($E19,DEMANDS!$E$2:$E$25,0),FALSE)</f>
        <v>0.14541969825353632</v>
      </c>
      <c r="M19" s="18">
        <f>HLOOKUP(REG_TRA_DEMANDS!M$3,'BY-Demands'!$J$5:$AK$14,MATCH($E19,'BY-Demands'!$I$5:$I$14,0),FALSE)*HLOOKUP(REG_TRA_DEMANDS!$F19,DEMANDS!$G$2:$CK$25,MATCH($E19,DEMANDS!$E$2:$E$25,0),FALSE)/HLOOKUP(2018,DEMANDS!$G$2:$CK$25,MATCH($E19,DEMANDS!$E$2:$E$25,0),FALSE)</f>
        <v>0.41699278397379869</v>
      </c>
      <c r="N19" s="18">
        <f>HLOOKUP(REG_TRA_DEMANDS!N$3,'BY-Demands'!$J$5:$AK$14,MATCH($E19,'BY-Demands'!$I$5:$I$14,0),FALSE)*HLOOKUP(REG_TRA_DEMANDS!$F19,DEMANDS!$G$2:$CK$25,MATCH($E19,DEMANDS!$E$2:$E$25,0),FALSE)/HLOOKUP(2018,DEMANDS!$G$2:$CK$25,MATCH($E19,DEMANDS!$E$2:$E$25,0),FALSE)</f>
        <v>0.68638080096680842</v>
      </c>
      <c r="O19" s="18">
        <f>HLOOKUP(REG_TRA_DEMANDS!O$3,'BY-Demands'!$J$5:$AK$14,MATCH($E19,'BY-Demands'!$I$5:$I$14,0),FALSE)*HLOOKUP(REG_TRA_DEMANDS!$F19,DEMANDS!$G$2:$CK$25,MATCH($E19,DEMANDS!$E$2:$E$25,0),FALSE)/HLOOKUP(2018,DEMANDS!$G$2:$CK$25,MATCH($E19,DEMANDS!$E$2:$E$25,0),FALSE)</f>
        <v>0.2841292950671665</v>
      </c>
      <c r="P19" s="18">
        <f>HLOOKUP(REG_TRA_DEMANDS!P$3,'BY-Demands'!$J$5:$AK$14,MATCH($E19,'BY-Demands'!$I$5:$I$14,0),FALSE)*HLOOKUP(REG_TRA_DEMANDS!$F19,DEMANDS!$G$2:$CK$25,MATCH($E19,DEMANDS!$E$2:$E$25,0),FALSE)/HLOOKUP(2018,DEMANDS!$G$2:$CK$25,MATCH($E19,DEMANDS!$E$2:$E$25,0),FALSE)</f>
        <v>0.32205748385584165</v>
      </c>
      <c r="Q19" s="18">
        <f>HLOOKUP(REG_TRA_DEMANDS!Q$3,'BY-Demands'!$J$5:$AK$14,MATCH($E19,'BY-Demands'!$I$5:$I$14,0),FALSE)*HLOOKUP(REG_TRA_DEMANDS!$F19,DEMANDS!$G$2:$CK$25,MATCH($E19,DEMANDS!$E$2:$E$25,0),FALSE)/HLOOKUP(2018,DEMANDS!$G$2:$CK$25,MATCH($E19,DEMANDS!$E$2:$E$25,0),FALSE)</f>
        <v>0.5605210070398936</v>
      </c>
      <c r="R19" s="18">
        <f>HLOOKUP(REG_TRA_DEMANDS!R$3,'BY-Demands'!$J$5:$AK$14,MATCH($E19,'BY-Demands'!$I$5:$I$14,0),FALSE)*HLOOKUP(REG_TRA_DEMANDS!$F19,DEMANDS!$G$2:$CK$25,MATCH($E19,DEMANDS!$E$2:$E$25,0),FALSE)/HLOOKUP(2018,DEMANDS!$G$2:$CK$25,MATCH($E19,DEMANDS!$E$2:$E$25,0),FALSE)</f>
        <v>0.4958103503318772</v>
      </c>
      <c r="S19" s="18">
        <f>HLOOKUP(REG_TRA_DEMANDS!S$3,'BY-Demands'!$J$5:$AK$14,MATCH($E19,'BY-Demands'!$I$5:$I$14,0),FALSE)*HLOOKUP(REG_TRA_DEMANDS!$F19,DEMANDS!$G$2:$CK$25,MATCH($E19,DEMANDS!$E$2:$E$25,0),FALSE)/HLOOKUP(2018,DEMANDS!$G$2:$CK$25,MATCH($E19,DEMANDS!$E$2:$E$25,0),FALSE)</f>
        <v>0.436373687252677</v>
      </c>
      <c r="T19" s="18">
        <f>HLOOKUP(REG_TRA_DEMANDS!T$3,'BY-Demands'!$J$5:$AK$14,MATCH($E19,'BY-Demands'!$I$5:$I$14,0),FALSE)*HLOOKUP(REG_TRA_DEMANDS!$F19,DEMANDS!$G$2:$CK$25,MATCH($E19,DEMANDS!$E$2:$E$25,0),FALSE)/HLOOKUP(2018,DEMANDS!$G$2:$CK$25,MATCH($E19,DEMANDS!$E$2:$E$25,0),FALSE)</f>
        <v>1.845366258101145</v>
      </c>
      <c r="U19" s="18">
        <f>HLOOKUP(REG_TRA_DEMANDS!U$3,'BY-Demands'!$J$5:$AK$14,MATCH($E19,'BY-Demands'!$I$5:$I$14,0),FALSE)*HLOOKUP(REG_TRA_DEMANDS!$F19,DEMANDS!$G$2:$CK$25,MATCH($E19,DEMANDS!$E$2:$E$25,0),FALSE)/HLOOKUP(2018,DEMANDS!$G$2:$CK$25,MATCH($E19,DEMANDS!$E$2:$E$25,0),FALSE)</f>
        <v>0.5650079638212504</v>
      </c>
      <c r="V19" s="18">
        <f>HLOOKUP(REG_TRA_DEMANDS!V$3,'BY-Demands'!$J$5:$AK$14,MATCH($E19,'BY-Demands'!$I$5:$I$14,0),FALSE)*HLOOKUP(REG_TRA_DEMANDS!$F19,DEMANDS!$G$2:$CK$25,MATCH($E19,DEMANDS!$E$2:$E$25,0),FALSE)/HLOOKUP(2018,DEMANDS!$G$2:$CK$25,MATCH($E19,DEMANDS!$E$2:$E$25,0),FALSE)</f>
        <v>0.67372622395637705</v>
      </c>
      <c r="W19" s="18">
        <f>HLOOKUP(REG_TRA_DEMANDS!W$3,'BY-Demands'!$J$5:$AK$14,MATCH($E19,'BY-Demands'!$I$5:$I$14,0),FALSE)*HLOOKUP(REG_TRA_DEMANDS!$F19,DEMANDS!$G$2:$CK$25,MATCH($E19,DEMANDS!$E$2:$E$25,0),FALSE)/HLOOKUP(2018,DEMANDS!$G$2:$CK$25,MATCH($E19,DEMANDS!$E$2:$E$25,0),FALSE)</f>
        <v>0.61421607192399386</v>
      </c>
      <c r="X19" s="18">
        <f>HLOOKUP(REG_TRA_DEMANDS!X$3,'BY-Demands'!$J$5:$AK$14,MATCH($E19,'BY-Demands'!$I$5:$I$14,0),FALSE)*HLOOKUP(REG_TRA_DEMANDS!$F19,DEMANDS!$G$2:$CK$25,MATCH($E19,DEMANDS!$E$2:$E$25,0),FALSE)/HLOOKUP(2018,DEMANDS!$G$2:$CK$25,MATCH($E19,DEMANDS!$E$2:$E$25,0),FALSE)</f>
        <v>0.40785920007828869</v>
      </c>
      <c r="Y19" s="18">
        <f>HLOOKUP(REG_TRA_DEMANDS!Y$3,'BY-Demands'!$J$5:$AK$14,MATCH($E19,'BY-Demands'!$I$5:$I$14,0),FALSE)*HLOOKUP(REG_TRA_DEMANDS!$F19,DEMANDS!$G$2:$CK$25,MATCH($E19,DEMANDS!$E$2:$E$25,0),FALSE)/HLOOKUP(2018,DEMANDS!$G$2:$CK$25,MATCH($E19,DEMANDS!$E$2:$E$25,0),FALSE)</f>
        <v>0.91159266896429192</v>
      </c>
      <c r="Z19" s="18">
        <f>HLOOKUP(REG_TRA_DEMANDS!Z$3,'BY-Demands'!$J$5:$AK$14,MATCH($E19,'BY-Demands'!$I$5:$I$14,0),FALSE)*HLOOKUP(REG_TRA_DEMANDS!$F19,DEMANDS!$G$2:$CK$25,MATCH($E19,DEMANDS!$E$2:$E$25,0),FALSE)/HLOOKUP(2018,DEMANDS!$G$2:$CK$25,MATCH($E19,DEMANDS!$E$2:$E$25,0),FALSE)</f>
        <v>0.11699604501058035</v>
      </c>
      <c r="AA19" s="18">
        <f>HLOOKUP(REG_TRA_DEMANDS!AA$3,'BY-Demands'!$J$5:$AK$14,MATCH($E19,'BY-Demands'!$I$5:$I$14,0),FALSE)*HLOOKUP(REG_TRA_DEMANDS!$F19,DEMANDS!$G$2:$CK$25,MATCH($E19,DEMANDS!$E$2:$E$25,0),FALSE)/HLOOKUP(2018,DEMANDS!$G$2:$CK$25,MATCH($E19,DEMANDS!$E$2:$E$25,0),FALSE)</f>
        <v>0.48820219636073064</v>
      </c>
      <c r="AB19" s="18">
        <f>HLOOKUP(REG_TRA_DEMANDS!AB$3,'BY-Demands'!$J$5:$AK$14,MATCH($E19,'BY-Demands'!$I$5:$I$14,0),FALSE)*HLOOKUP(REG_TRA_DEMANDS!$F19,DEMANDS!$G$2:$CK$25,MATCH($E19,DEMANDS!$E$2:$E$25,0),FALSE)/HLOOKUP(2018,DEMANDS!$G$2:$CK$25,MATCH($E19,DEMANDS!$E$2:$E$25,0),FALSE)</f>
        <v>0.25538346401553946</v>
      </c>
      <c r="AC19" s="18">
        <f>HLOOKUP(REG_TRA_DEMANDS!AC$3,'BY-Demands'!$J$5:$AK$14,MATCH($E19,'BY-Demands'!$I$5:$I$14,0),FALSE)*HLOOKUP(REG_TRA_DEMANDS!$F19,DEMANDS!$G$2:$CK$25,MATCH($E19,DEMANDS!$E$2:$E$25,0),FALSE)/HLOOKUP(2018,DEMANDS!$G$2:$CK$25,MATCH($E19,DEMANDS!$E$2:$E$25,0),FALSE)</f>
        <v>0.22515849330167395</v>
      </c>
      <c r="AD19" s="18">
        <f>HLOOKUP(REG_TRA_DEMANDS!AD$3,'BY-Demands'!$J$5:$AK$14,MATCH($E19,'BY-Demands'!$I$5:$I$14,0),FALSE)*HLOOKUP(REG_TRA_DEMANDS!$F19,DEMANDS!$G$2:$CK$25,MATCH($E19,DEMANDS!$E$2:$E$25,0),FALSE)/HLOOKUP(2018,DEMANDS!$G$2:$CK$25,MATCH($E19,DEMANDS!$E$2:$E$25,0),FALSE)</f>
        <v>0.25114165055113313</v>
      </c>
      <c r="AE19" s="18">
        <f>HLOOKUP(REG_TRA_DEMANDS!AE$3,'BY-Demands'!$J$5:$AK$14,MATCH($E19,'BY-Demands'!$I$5:$I$14,0),FALSE)*HLOOKUP(REG_TRA_DEMANDS!$F19,DEMANDS!$G$2:$CK$25,MATCH($E19,DEMANDS!$E$2:$E$25,0),FALSE)/HLOOKUP(2018,DEMANDS!$G$2:$CK$25,MATCH($E19,DEMANDS!$E$2:$E$25,0),FALSE)</f>
        <v>0.48717148054579107</v>
      </c>
      <c r="AF19" s="18">
        <f>HLOOKUP(REG_TRA_DEMANDS!AF$3,'BY-Demands'!$J$5:$AK$14,MATCH($E19,'BY-Demands'!$I$5:$I$14,0),FALSE)*HLOOKUP(REG_TRA_DEMANDS!$F19,DEMANDS!$G$2:$CK$25,MATCH($E19,DEMANDS!$E$2:$E$25,0),FALSE)/HLOOKUP(2018,DEMANDS!$G$2:$CK$25,MATCH($E19,DEMANDS!$E$2:$E$25,0),FALSE)</f>
        <v>0.23365432204500561</v>
      </c>
    </row>
    <row r="20" spans="4:32" ht="14.4">
      <c r="D20" t="s">
        <v>6</v>
      </c>
      <c r="E20" t="str">
        <f>DEMANDS!$E$17</f>
        <v>TRAPS</v>
      </c>
      <c r="F20">
        <v>2036</v>
      </c>
      <c r="G20" s="18">
        <f>HLOOKUP(REG_TRA_DEMANDS!G$3,'BY-Demands'!$J$5:$AK$14,MATCH($E20,'BY-Demands'!$I$5:$I$14,0),FALSE)*HLOOKUP(REG_TRA_DEMANDS!$F20,DEMANDS!$G$2:$CK$25,MATCH($E20,DEMANDS!$E$2:$E$25,0),FALSE)/HLOOKUP(2018,DEMANDS!$G$2:$CK$25,MATCH($E20,DEMANDS!$E$2:$E$25,0),FALSE)</f>
        <v>0.21728184144919854</v>
      </c>
      <c r="H20" s="18">
        <f>HLOOKUP(REG_TRA_DEMANDS!H$3,'BY-Demands'!$J$5:$AK$14,MATCH($E20,'BY-Demands'!$I$5:$I$14,0),FALSE)*HLOOKUP(REG_TRA_DEMANDS!$F20,DEMANDS!$G$2:$CK$25,MATCH($E20,DEMANDS!$E$2:$E$25,0),FALSE)/HLOOKUP(2018,DEMANDS!$G$2:$CK$25,MATCH($E20,DEMANDS!$E$2:$E$25,0),FALSE)</f>
        <v>4.3439791934903562</v>
      </c>
      <c r="I20" s="18">
        <f>HLOOKUP(REG_TRA_DEMANDS!I$3,'BY-Demands'!$J$5:$AK$14,MATCH($E20,'BY-Demands'!$I$5:$I$14,0),FALSE)*HLOOKUP(REG_TRA_DEMANDS!$F20,DEMANDS!$G$2:$CK$25,MATCH($E20,DEMANDS!$E$2:$E$25,0),FALSE)/HLOOKUP(2018,DEMANDS!$G$2:$CK$25,MATCH($E20,DEMANDS!$E$2:$E$25,0),FALSE)</f>
        <v>0.80113873243821065</v>
      </c>
      <c r="J20" s="18">
        <f>HLOOKUP(REG_TRA_DEMANDS!J$3,'BY-Demands'!$J$5:$AK$14,MATCH($E20,'BY-Demands'!$I$5:$I$14,0),FALSE)*HLOOKUP(REG_TRA_DEMANDS!$F20,DEMANDS!$G$2:$CK$25,MATCH($E20,DEMANDS!$E$2:$E$25,0),FALSE)/HLOOKUP(2018,DEMANDS!$G$2:$CK$25,MATCH($E20,DEMANDS!$E$2:$E$25,0),FALSE)</f>
        <v>0.37167666395739335</v>
      </c>
      <c r="K20" s="18">
        <f>HLOOKUP(REG_TRA_DEMANDS!K$3,'BY-Demands'!$J$5:$AK$14,MATCH($E20,'BY-Demands'!$I$5:$I$14,0),FALSE)*HLOOKUP(REG_TRA_DEMANDS!$F20,DEMANDS!$G$2:$CK$25,MATCH($E20,DEMANDS!$E$2:$E$25,0),FALSE)/HLOOKUP(2018,DEMANDS!$G$2:$CK$25,MATCH($E20,DEMANDS!$E$2:$E$25,0),FALSE)</f>
        <v>0.29302972747413664</v>
      </c>
      <c r="L20" s="18">
        <f>HLOOKUP(REG_TRA_DEMANDS!L$3,'BY-Demands'!$J$5:$AK$14,MATCH($E20,'BY-Demands'!$I$5:$I$14,0),FALSE)*HLOOKUP(REG_TRA_DEMANDS!$F20,DEMANDS!$G$2:$CK$25,MATCH($E20,DEMANDS!$E$2:$E$25,0),FALSE)/HLOOKUP(2018,DEMANDS!$G$2:$CK$25,MATCH($E20,DEMANDS!$E$2:$E$25,0),FALSE)</f>
        <v>0.14723744448170553</v>
      </c>
      <c r="M20" s="18">
        <f>HLOOKUP(REG_TRA_DEMANDS!M$3,'BY-Demands'!$J$5:$AK$14,MATCH($E20,'BY-Demands'!$I$5:$I$14,0),FALSE)*HLOOKUP(REG_TRA_DEMANDS!$F20,DEMANDS!$G$2:$CK$25,MATCH($E20,DEMANDS!$E$2:$E$25,0),FALSE)/HLOOKUP(2018,DEMANDS!$G$2:$CK$25,MATCH($E20,DEMANDS!$E$2:$E$25,0),FALSE)</f>
        <v>0.4222051937734711</v>
      </c>
      <c r="N20" s="18">
        <f>HLOOKUP(REG_TRA_DEMANDS!N$3,'BY-Demands'!$J$5:$AK$14,MATCH($E20,'BY-Demands'!$I$5:$I$14,0),FALSE)*HLOOKUP(REG_TRA_DEMANDS!$F20,DEMANDS!$G$2:$CK$25,MATCH($E20,DEMANDS!$E$2:$E$25,0),FALSE)/HLOOKUP(2018,DEMANDS!$G$2:$CK$25,MATCH($E20,DEMANDS!$E$2:$E$25,0),FALSE)</f>
        <v>0.69496056097889358</v>
      </c>
      <c r="O20" s="18">
        <f>HLOOKUP(REG_TRA_DEMANDS!O$3,'BY-Demands'!$J$5:$AK$14,MATCH($E20,'BY-Demands'!$I$5:$I$14,0),FALSE)*HLOOKUP(REG_TRA_DEMANDS!$F20,DEMANDS!$G$2:$CK$25,MATCH($E20,DEMANDS!$E$2:$E$25,0),FALSE)/HLOOKUP(2018,DEMANDS!$G$2:$CK$25,MATCH($E20,DEMANDS!$E$2:$E$25,0),FALSE)</f>
        <v>0.28768091125550604</v>
      </c>
      <c r="P20" s="18">
        <f>HLOOKUP(REG_TRA_DEMANDS!P$3,'BY-Demands'!$J$5:$AK$14,MATCH($E20,'BY-Demands'!$I$5:$I$14,0),FALSE)*HLOOKUP(REG_TRA_DEMANDS!$F20,DEMANDS!$G$2:$CK$25,MATCH($E20,DEMANDS!$E$2:$E$25,0),FALSE)/HLOOKUP(2018,DEMANDS!$G$2:$CK$25,MATCH($E20,DEMANDS!$E$2:$E$25,0),FALSE)</f>
        <v>0.32608320240403965</v>
      </c>
      <c r="Q20" s="18">
        <f>HLOOKUP(REG_TRA_DEMANDS!Q$3,'BY-Demands'!$J$5:$AK$14,MATCH($E20,'BY-Demands'!$I$5:$I$14,0),FALSE)*HLOOKUP(REG_TRA_DEMANDS!$F20,DEMANDS!$G$2:$CK$25,MATCH($E20,DEMANDS!$E$2:$E$25,0),FALSE)/HLOOKUP(2018,DEMANDS!$G$2:$CK$25,MATCH($E20,DEMANDS!$E$2:$E$25,0),FALSE)</f>
        <v>0.56752751962789227</v>
      </c>
      <c r="R20" s="18">
        <f>HLOOKUP(REG_TRA_DEMANDS!R$3,'BY-Demands'!$J$5:$AK$14,MATCH($E20,'BY-Demands'!$I$5:$I$14,0),FALSE)*HLOOKUP(REG_TRA_DEMANDS!$F20,DEMANDS!$G$2:$CK$25,MATCH($E20,DEMANDS!$E$2:$E$25,0),FALSE)/HLOOKUP(2018,DEMANDS!$G$2:$CK$25,MATCH($E20,DEMANDS!$E$2:$E$25,0),FALSE)</f>
        <v>0.50200797971102562</v>
      </c>
      <c r="S20" s="18">
        <f>HLOOKUP(REG_TRA_DEMANDS!S$3,'BY-Demands'!$J$5:$AK$14,MATCH($E20,'BY-Demands'!$I$5:$I$14,0),FALSE)*HLOOKUP(REG_TRA_DEMANDS!$F20,DEMANDS!$G$2:$CK$25,MATCH($E20,DEMANDS!$E$2:$E$25,0),FALSE)/HLOOKUP(2018,DEMANDS!$G$2:$CK$25,MATCH($E20,DEMANDS!$E$2:$E$25,0),FALSE)</f>
        <v>0.44182835834333545</v>
      </c>
      <c r="T20" s="18">
        <f>HLOOKUP(REG_TRA_DEMANDS!T$3,'BY-Demands'!$J$5:$AK$14,MATCH($E20,'BY-Demands'!$I$5:$I$14,0),FALSE)*HLOOKUP(REG_TRA_DEMANDS!$F20,DEMANDS!$G$2:$CK$25,MATCH($E20,DEMANDS!$E$2:$E$25,0),FALSE)/HLOOKUP(2018,DEMANDS!$G$2:$CK$25,MATCH($E20,DEMANDS!$E$2:$E$25,0),FALSE)</f>
        <v>1.8684333363274093</v>
      </c>
      <c r="U20" s="18">
        <f>HLOOKUP(REG_TRA_DEMANDS!U$3,'BY-Demands'!$J$5:$AK$14,MATCH($E20,'BY-Demands'!$I$5:$I$14,0),FALSE)*HLOOKUP(REG_TRA_DEMANDS!$F20,DEMANDS!$G$2:$CK$25,MATCH($E20,DEMANDS!$E$2:$E$25,0),FALSE)/HLOOKUP(2018,DEMANDS!$G$2:$CK$25,MATCH($E20,DEMANDS!$E$2:$E$25,0),FALSE)</f>
        <v>0.57207056336901596</v>
      </c>
      <c r="V20" s="18">
        <f>HLOOKUP(REG_TRA_DEMANDS!V$3,'BY-Demands'!$J$5:$AK$14,MATCH($E20,'BY-Demands'!$I$5:$I$14,0),FALSE)*HLOOKUP(REG_TRA_DEMANDS!$F20,DEMANDS!$G$2:$CK$25,MATCH($E20,DEMANDS!$E$2:$E$25,0),FALSE)/HLOOKUP(2018,DEMANDS!$G$2:$CK$25,MATCH($E20,DEMANDS!$E$2:$E$25,0),FALSE)</f>
        <v>0.68214780175583167</v>
      </c>
      <c r="W20" s="18">
        <f>HLOOKUP(REG_TRA_DEMANDS!W$3,'BY-Demands'!$J$5:$AK$14,MATCH($E20,'BY-Demands'!$I$5:$I$14,0),FALSE)*HLOOKUP(REG_TRA_DEMANDS!$F20,DEMANDS!$G$2:$CK$25,MATCH($E20,DEMANDS!$E$2:$E$25,0),FALSE)/HLOOKUP(2018,DEMANDS!$G$2:$CK$25,MATCH($E20,DEMANDS!$E$2:$E$25,0),FALSE)</f>
        <v>0.6218937728230437</v>
      </c>
      <c r="X20" s="18">
        <f>HLOOKUP(REG_TRA_DEMANDS!X$3,'BY-Demands'!$J$5:$AK$14,MATCH($E20,'BY-Demands'!$I$5:$I$14,0),FALSE)*HLOOKUP(REG_TRA_DEMANDS!$F20,DEMANDS!$G$2:$CK$25,MATCH($E20,DEMANDS!$E$2:$E$25,0),FALSE)/HLOOKUP(2018,DEMANDS!$G$2:$CK$25,MATCH($E20,DEMANDS!$E$2:$E$25,0),FALSE)</f>
        <v>0.41295744007926732</v>
      </c>
      <c r="Y20" s="18">
        <f>HLOOKUP(REG_TRA_DEMANDS!Y$3,'BY-Demands'!$J$5:$AK$14,MATCH($E20,'BY-Demands'!$I$5:$I$14,0),FALSE)*HLOOKUP(REG_TRA_DEMANDS!$F20,DEMANDS!$G$2:$CK$25,MATCH($E20,DEMANDS!$E$2:$E$25,0),FALSE)/HLOOKUP(2018,DEMANDS!$G$2:$CK$25,MATCH($E20,DEMANDS!$E$2:$E$25,0),FALSE)</f>
        <v>0.9229875773263454</v>
      </c>
      <c r="Z20" s="18">
        <f>HLOOKUP(REG_TRA_DEMANDS!Z$3,'BY-Demands'!$J$5:$AK$14,MATCH($E20,'BY-Demands'!$I$5:$I$14,0),FALSE)*HLOOKUP(REG_TRA_DEMANDS!$F20,DEMANDS!$G$2:$CK$25,MATCH($E20,DEMANDS!$E$2:$E$25,0),FALSE)/HLOOKUP(2018,DEMANDS!$G$2:$CK$25,MATCH($E20,DEMANDS!$E$2:$E$25,0),FALSE)</f>
        <v>0.11845849557321259</v>
      </c>
      <c r="AA20" s="18">
        <f>HLOOKUP(REG_TRA_DEMANDS!AA$3,'BY-Demands'!$J$5:$AK$14,MATCH($E20,'BY-Demands'!$I$5:$I$14,0),FALSE)*HLOOKUP(REG_TRA_DEMANDS!$F20,DEMANDS!$G$2:$CK$25,MATCH($E20,DEMANDS!$E$2:$E$25,0),FALSE)/HLOOKUP(2018,DEMANDS!$G$2:$CK$25,MATCH($E20,DEMANDS!$E$2:$E$25,0),FALSE)</f>
        <v>0.49430472381523977</v>
      </c>
      <c r="AB20" s="18">
        <f>HLOOKUP(REG_TRA_DEMANDS!AB$3,'BY-Demands'!$J$5:$AK$14,MATCH($E20,'BY-Demands'!$I$5:$I$14,0),FALSE)*HLOOKUP(REG_TRA_DEMANDS!$F20,DEMANDS!$G$2:$CK$25,MATCH($E20,DEMANDS!$E$2:$E$25,0),FALSE)/HLOOKUP(2018,DEMANDS!$G$2:$CK$25,MATCH($E20,DEMANDS!$E$2:$E$25,0),FALSE)</f>
        <v>0.25857575731573368</v>
      </c>
      <c r="AC20" s="18">
        <f>HLOOKUP(REG_TRA_DEMANDS!AC$3,'BY-Demands'!$J$5:$AK$14,MATCH($E20,'BY-Demands'!$I$5:$I$14,0),FALSE)*HLOOKUP(REG_TRA_DEMANDS!$F20,DEMANDS!$G$2:$CK$25,MATCH($E20,DEMANDS!$E$2:$E$25,0),FALSE)/HLOOKUP(2018,DEMANDS!$G$2:$CK$25,MATCH($E20,DEMANDS!$E$2:$E$25,0),FALSE)</f>
        <v>0.22797297446794484</v>
      </c>
      <c r="AD20" s="18">
        <f>HLOOKUP(REG_TRA_DEMANDS!AD$3,'BY-Demands'!$J$5:$AK$14,MATCH($E20,'BY-Demands'!$I$5:$I$14,0),FALSE)*HLOOKUP(REG_TRA_DEMANDS!$F20,DEMANDS!$G$2:$CK$25,MATCH($E20,DEMANDS!$E$2:$E$25,0),FALSE)/HLOOKUP(2018,DEMANDS!$G$2:$CK$25,MATCH($E20,DEMANDS!$E$2:$E$25,0),FALSE)</f>
        <v>0.25428092118302231</v>
      </c>
      <c r="AE20" s="18">
        <f>HLOOKUP(REG_TRA_DEMANDS!AE$3,'BY-Demands'!$J$5:$AK$14,MATCH($E20,'BY-Demands'!$I$5:$I$14,0),FALSE)*HLOOKUP(REG_TRA_DEMANDS!$F20,DEMANDS!$G$2:$CK$25,MATCH($E20,DEMANDS!$E$2:$E$25,0),FALSE)/HLOOKUP(2018,DEMANDS!$G$2:$CK$25,MATCH($E20,DEMANDS!$E$2:$E$25,0),FALSE)</f>
        <v>0.49326112405261346</v>
      </c>
      <c r="AF20" s="18">
        <f>HLOOKUP(REG_TRA_DEMANDS!AF$3,'BY-Demands'!$J$5:$AK$14,MATCH($E20,'BY-Demands'!$I$5:$I$14,0),FALSE)*HLOOKUP(REG_TRA_DEMANDS!$F20,DEMANDS!$G$2:$CK$25,MATCH($E20,DEMANDS!$E$2:$E$25,0),FALSE)/HLOOKUP(2018,DEMANDS!$G$2:$CK$25,MATCH($E20,DEMANDS!$E$2:$E$25,0),FALSE)</f>
        <v>0.23657500107056817</v>
      </c>
    </row>
    <row r="21" spans="4:32" ht="14.4">
      <c r="D21" t="s">
        <v>6</v>
      </c>
      <c r="E21" t="str">
        <f>DEMANDS!$E$17</f>
        <v>TRAPS</v>
      </c>
      <c r="F21">
        <v>2037</v>
      </c>
      <c r="G21" s="18">
        <f>HLOOKUP(REG_TRA_DEMANDS!G$3,'BY-Demands'!$J$5:$AK$14,MATCH($E21,'BY-Demands'!$I$5:$I$14,0),FALSE)*HLOOKUP(REG_TRA_DEMANDS!$F21,DEMANDS!$G$2:$CK$25,MATCH($E21,DEMANDS!$E$2:$E$25,0),FALSE)/HLOOKUP(2018,DEMANDS!$G$2:$CK$25,MATCH($E21,DEMANDS!$E$2:$E$25,0),FALSE)</f>
        <v>0.21999786446731348</v>
      </c>
      <c r="H21" s="18">
        <f>HLOOKUP(REG_TRA_DEMANDS!H$3,'BY-Demands'!$J$5:$AK$14,MATCH($E21,'BY-Demands'!$I$5:$I$14,0),FALSE)*HLOOKUP(REG_TRA_DEMANDS!$F21,DEMANDS!$G$2:$CK$25,MATCH($E21,DEMANDS!$E$2:$E$25,0),FALSE)/HLOOKUP(2018,DEMANDS!$G$2:$CK$25,MATCH($E21,DEMANDS!$E$2:$E$25,0),FALSE)</f>
        <v>4.3982789334089851</v>
      </c>
      <c r="I21" s="18">
        <f>HLOOKUP(REG_TRA_DEMANDS!I$3,'BY-Demands'!$J$5:$AK$14,MATCH($E21,'BY-Demands'!$I$5:$I$14,0),FALSE)*HLOOKUP(REG_TRA_DEMANDS!$F21,DEMANDS!$G$2:$CK$25,MATCH($E21,DEMANDS!$E$2:$E$25,0),FALSE)/HLOOKUP(2018,DEMANDS!$G$2:$CK$25,MATCH($E21,DEMANDS!$E$2:$E$25,0),FALSE)</f>
        <v>0.81115296659368807</v>
      </c>
      <c r="J21" s="18">
        <f>HLOOKUP(REG_TRA_DEMANDS!J$3,'BY-Demands'!$J$5:$AK$14,MATCH($E21,'BY-Demands'!$I$5:$I$14,0),FALSE)*HLOOKUP(REG_TRA_DEMANDS!$F21,DEMANDS!$G$2:$CK$25,MATCH($E21,DEMANDS!$E$2:$E$25,0),FALSE)/HLOOKUP(2018,DEMANDS!$G$2:$CK$25,MATCH($E21,DEMANDS!$E$2:$E$25,0),FALSE)</f>
        <v>0.37632262225686069</v>
      </c>
      <c r="K21" s="18">
        <f>HLOOKUP(REG_TRA_DEMANDS!K$3,'BY-Demands'!$J$5:$AK$14,MATCH($E21,'BY-Demands'!$I$5:$I$14,0),FALSE)*HLOOKUP(REG_TRA_DEMANDS!$F21,DEMANDS!$G$2:$CK$25,MATCH($E21,DEMANDS!$E$2:$E$25,0),FALSE)/HLOOKUP(2018,DEMANDS!$G$2:$CK$25,MATCH($E21,DEMANDS!$E$2:$E$25,0),FALSE)</f>
        <v>0.29669259906756335</v>
      </c>
      <c r="L21" s="18">
        <f>HLOOKUP(REG_TRA_DEMANDS!L$3,'BY-Demands'!$J$5:$AK$14,MATCH($E21,'BY-Demands'!$I$5:$I$14,0),FALSE)*HLOOKUP(REG_TRA_DEMANDS!$F21,DEMANDS!$G$2:$CK$25,MATCH($E21,DEMANDS!$E$2:$E$25,0),FALSE)/HLOOKUP(2018,DEMANDS!$G$2:$CK$25,MATCH($E21,DEMANDS!$E$2:$E$25,0),FALSE)</f>
        <v>0.14907791253772681</v>
      </c>
      <c r="M21" s="18">
        <f>HLOOKUP(REG_TRA_DEMANDS!M$3,'BY-Demands'!$J$5:$AK$14,MATCH($E21,'BY-Demands'!$I$5:$I$14,0),FALSE)*HLOOKUP(REG_TRA_DEMANDS!$F21,DEMANDS!$G$2:$CK$25,MATCH($E21,DEMANDS!$E$2:$E$25,0),FALSE)/HLOOKUP(2018,DEMANDS!$G$2:$CK$25,MATCH($E21,DEMANDS!$E$2:$E$25,0),FALSE)</f>
        <v>0.42748275869563945</v>
      </c>
      <c r="N21" s="18">
        <f>HLOOKUP(REG_TRA_DEMANDS!N$3,'BY-Demands'!$J$5:$AK$14,MATCH($E21,'BY-Demands'!$I$5:$I$14,0),FALSE)*HLOOKUP(REG_TRA_DEMANDS!$F21,DEMANDS!$G$2:$CK$25,MATCH($E21,DEMANDS!$E$2:$E$25,0),FALSE)/HLOOKUP(2018,DEMANDS!$G$2:$CK$25,MATCH($E21,DEMANDS!$E$2:$E$25,0),FALSE)</f>
        <v>0.7036475679911296</v>
      </c>
      <c r="O21" s="18">
        <f>HLOOKUP(REG_TRA_DEMANDS!O$3,'BY-Demands'!$J$5:$AK$14,MATCH($E21,'BY-Demands'!$I$5:$I$14,0),FALSE)*HLOOKUP(REG_TRA_DEMANDS!$F21,DEMANDS!$G$2:$CK$25,MATCH($E21,DEMANDS!$E$2:$E$25,0),FALSE)/HLOOKUP(2018,DEMANDS!$G$2:$CK$25,MATCH($E21,DEMANDS!$E$2:$E$25,0),FALSE)</f>
        <v>0.29127692264619987</v>
      </c>
      <c r="P21" s="18">
        <f>HLOOKUP(REG_TRA_DEMANDS!P$3,'BY-Demands'!$J$5:$AK$14,MATCH($E21,'BY-Demands'!$I$5:$I$14,0),FALSE)*HLOOKUP(REG_TRA_DEMANDS!$F21,DEMANDS!$G$2:$CK$25,MATCH($E21,DEMANDS!$E$2:$E$25,0),FALSE)/HLOOKUP(2018,DEMANDS!$G$2:$CK$25,MATCH($E21,DEMANDS!$E$2:$E$25,0),FALSE)</f>
        <v>0.33015924243409006</v>
      </c>
      <c r="Q21" s="18">
        <f>HLOOKUP(REG_TRA_DEMANDS!Q$3,'BY-Demands'!$J$5:$AK$14,MATCH($E21,'BY-Demands'!$I$5:$I$14,0),FALSE)*HLOOKUP(REG_TRA_DEMANDS!$F21,DEMANDS!$G$2:$CK$25,MATCH($E21,DEMANDS!$E$2:$E$25,0),FALSE)/HLOOKUP(2018,DEMANDS!$G$2:$CK$25,MATCH($E21,DEMANDS!$E$2:$E$25,0),FALSE)</f>
        <v>0.57462161362324082</v>
      </c>
      <c r="R21" s="18">
        <f>HLOOKUP(REG_TRA_DEMANDS!R$3,'BY-Demands'!$J$5:$AK$14,MATCH($E21,'BY-Demands'!$I$5:$I$14,0),FALSE)*HLOOKUP(REG_TRA_DEMANDS!$F21,DEMANDS!$G$2:$CK$25,MATCH($E21,DEMANDS!$E$2:$E$25,0),FALSE)/HLOOKUP(2018,DEMANDS!$G$2:$CK$25,MATCH($E21,DEMANDS!$E$2:$E$25,0),FALSE)</f>
        <v>0.50828307945741336</v>
      </c>
      <c r="S21" s="18">
        <f>HLOOKUP(REG_TRA_DEMANDS!S$3,'BY-Demands'!$J$5:$AK$14,MATCH($E21,'BY-Demands'!$I$5:$I$14,0),FALSE)*HLOOKUP(REG_TRA_DEMANDS!$F21,DEMANDS!$G$2:$CK$25,MATCH($E21,DEMANDS!$E$2:$E$25,0),FALSE)/HLOOKUP(2018,DEMANDS!$G$2:$CK$25,MATCH($E21,DEMANDS!$E$2:$E$25,0),FALSE)</f>
        <v>0.44735121282262708</v>
      </c>
      <c r="T21" s="18">
        <f>HLOOKUP(REG_TRA_DEMANDS!T$3,'BY-Demands'!$J$5:$AK$14,MATCH($E21,'BY-Demands'!$I$5:$I$14,0),FALSE)*HLOOKUP(REG_TRA_DEMANDS!$F21,DEMANDS!$G$2:$CK$25,MATCH($E21,DEMANDS!$E$2:$E$25,0),FALSE)/HLOOKUP(2018,DEMANDS!$G$2:$CK$25,MATCH($E21,DEMANDS!$E$2:$E$25,0),FALSE)</f>
        <v>1.8917887530315014</v>
      </c>
      <c r="U21" s="18">
        <f>HLOOKUP(REG_TRA_DEMANDS!U$3,'BY-Demands'!$J$5:$AK$14,MATCH($E21,'BY-Demands'!$I$5:$I$14,0),FALSE)*HLOOKUP(REG_TRA_DEMANDS!$F21,DEMANDS!$G$2:$CK$25,MATCH($E21,DEMANDS!$E$2:$E$25,0),FALSE)/HLOOKUP(2018,DEMANDS!$G$2:$CK$25,MATCH($E21,DEMANDS!$E$2:$E$25,0),FALSE)</f>
        <v>0.57922144541112863</v>
      </c>
      <c r="V21" s="18">
        <f>HLOOKUP(REG_TRA_DEMANDS!V$3,'BY-Demands'!$J$5:$AK$14,MATCH($E21,'BY-Demands'!$I$5:$I$14,0),FALSE)*HLOOKUP(REG_TRA_DEMANDS!$F21,DEMANDS!$G$2:$CK$25,MATCH($E21,DEMANDS!$E$2:$E$25,0),FALSE)/HLOOKUP(2018,DEMANDS!$G$2:$CK$25,MATCH($E21,DEMANDS!$E$2:$E$25,0),FALSE)</f>
        <v>0.69067464927777944</v>
      </c>
      <c r="W21" s="18">
        <f>HLOOKUP(REG_TRA_DEMANDS!W$3,'BY-Demands'!$J$5:$AK$14,MATCH($E21,'BY-Demands'!$I$5:$I$14,0),FALSE)*HLOOKUP(REG_TRA_DEMANDS!$F21,DEMANDS!$G$2:$CK$25,MATCH($E21,DEMANDS!$E$2:$E$25,0),FALSE)/HLOOKUP(2018,DEMANDS!$G$2:$CK$25,MATCH($E21,DEMANDS!$E$2:$E$25,0),FALSE)</f>
        <v>0.62966744498333171</v>
      </c>
      <c r="X21" s="18">
        <f>HLOOKUP(REG_TRA_DEMANDS!X$3,'BY-Demands'!$J$5:$AK$14,MATCH($E21,'BY-Demands'!$I$5:$I$14,0),FALSE)*HLOOKUP(REG_TRA_DEMANDS!$F21,DEMANDS!$G$2:$CK$25,MATCH($E21,DEMANDS!$E$2:$E$25,0),FALSE)/HLOOKUP(2018,DEMANDS!$G$2:$CK$25,MATCH($E21,DEMANDS!$E$2:$E$25,0),FALSE)</f>
        <v>0.4181194080802581</v>
      </c>
      <c r="Y21" s="18">
        <f>HLOOKUP(REG_TRA_DEMANDS!Y$3,'BY-Demands'!$J$5:$AK$14,MATCH($E21,'BY-Demands'!$I$5:$I$14,0),FALSE)*HLOOKUP(REG_TRA_DEMANDS!$F21,DEMANDS!$G$2:$CK$25,MATCH($E21,DEMANDS!$E$2:$E$25,0),FALSE)/HLOOKUP(2018,DEMANDS!$G$2:$CK$25,MATCH($E21,DEMANDS!$E$2:$E$25,0),FALSE)</f>
        <v>0.9345249220429247</v>
      </c>
      <c r="Z21" s="18">
        <f>HLOOKUP(REG_TRA_DEMANDS!Z$3,'BY-Demands'!$J$5:$AK$14,MATCH($E21,'BY-Demands'!$I$5:$I$14,0),FALSE)*HLOOKUP(REG_TRA_DEMANDS!$F21,DEMANDS!$G$2:$CK$25,MATCH($E21,DEMANDS!$E$2:$E$25,0),FALSE)/HLOOKUP(2018,DEMANDS!$G$2:$CK$25,MATCH($E21,DEMANDS!$E$2:$E$25,0),FALSE)</f>
        <v>0.11993922676787773</v>
      </c>
      <c r="AA21" s="18">
        <f>HLOOKUP(REG_TRA_DEMANDS!AA$3,'BY-Demands'!$J$5:$AK$14,MATCH($E21,'BY-Demands'!$I$5:$I$14,0),FALSE)*HLOOKUP(REG_TRA_DEMANDS!$F21,DEMANDS!$G$2:$CK$25,MATCH($E21,DEMANDS!$E$2:$E$25,0),FALSE)/HLOOKUP(2018,DEMANDS!$G$2:$CK$25,MATCH($E21,DEMANDS!$E$2:$E$25,0),FALSE)</f>
        <v>0.50048353286293012</v>
      </c>
      <c r="AB21" s="18">
        <f>HLOOKUP(REG_TRA_DEMANDS!AB$3,'BY-Demands'!$J$5:$AK$14,MATCH($E21,'BY-Demands'!$I$5:$I$14,0),FALSE)*HLOOKUP(REG_TRA_DEMANDS!$F21,DEMANDS!$G$2:$CK$25,MATCH($E21,DEMANDS!$E$2:$E$25,0),FALSE)/HLOOKUP(2018,DEMANDS!$G$2:$CK$25,MATCH($E21,DEMANDS!$E$2:$E$25,0),FALSE)</f>
        <v>0.26180795428218034</v>
      </c>
      <c r="AC21" s="18">
        <f>HLOOKUP(REG_TRA_DEMANDS!AC$3,'BY-Demands'!$J$5:$AK$14,MATCH($E21,'BY-Demands'!$I$5:$I$14,0),FALSE)*HLOOKUP(REG_TRA_DEMANDS!$F21,DEMANDS!$G$2:$CK$25,MATCH($E21,DEMANDS!$E$2:$E$25,0),FALSE)/HLOOKUP(2018,DEMANDS!$G$2:$CK$25,MATCH($E21,DEMANDS!$E$2:$E$25,0),FALSE)</f>
        <v>0.23082263664879413</v>
      </c>
      <c r="AD21" s="18">
        <f>HLOOKUP(REG_TRA_DEMANDS!AD$3,'BY-Demands'!$J$5:$AK$14,MATCH($E21,'BY-Demands'!$I$5:$I$14,0),FALSE)*HLOOKUP(REG_TRA_DEMANDS!$F21,DEMANDS!$G$2:$CK$25,MATCH($E21,DEMANDS!$E$2:$E$25,0),FALSE)/HLOOKUP(2018,DEMANDS!$G$2:$CK$25,MATCH($E21,DEMANDS!$E$2:$E$25,0),FALSE)</f>
        <v>0.25745943269781002</v>
      </c>
      <c r="AE21" s="18">
        <f>HLOOKUP(REG_TRA_DEMANDS!AE$3,'BY-Demands'!$J$5:$AK$14,MATCH($E21,'BY-Demands'!$I$5:$I$14,0),FALSE)*HLOOKUP(REG_TRA_DEMANDS!$F21,DEMANDS!$G$2:$CK$25,MATCH($E21,DEMANDS!$E$2:$E$25,0),FALSE)/HLOOKUP(2018,DEMANDS!$G$2:$CK$25,MATCH($E21,DEMANDS!$E$2:$E$25,0),FALSE)</f>
        <v>0.49942688810327102</v>
      </c>
      <c r="AF21" s="18">
        <f>HLOOKUP(REG_TRA_DEMANDS!AF$3,'BY-Demands'!$J$5:$AK$14,MATCH($E21,'BY-Demands'!$I$5:$I$14,0),FALSE)*HLOOKUP(REG_TRA_DEMANDS!$F21,DEMANDS!$G$2:$CK$25,MATCH($E21,DEMANDS!$E$2:$E$25,0),FALSE)/HLOOKUP(2018,DEMANDS!$G$2:$CK$25,MATCH($E21,DEMANDS!$E$2:$E$25,0),FALSE)</f>
        <v>0.23953218858395023</v>
      </c>
    </row>
    <row r="22" spans="4:32" ht="14.4">
      <c r="D22" t="s">
        <v>6</v>
      </c>
      <c r="E22" t="str">
        <f>DEMANDS!$E$17</f>
        <v>TRAPS</v>
      </c>
      <c r="F22">
        <v>2038</v>
      </c>
      <c r="G22" s="18">
        <f>HLOOKUP(REG_TRA_DEMANDS!G$3,'BY-Demands'!$J$5:$AK$14,MATCH($E22,'BY-Demands'!$I$5:$I$14,0),FALSE)*HLOOKUP(REG_TRA_DEMANDS!$F22,DEMANDS!$G$2:$CK$25,MATCH($E22,DEMANDS!$E$2:$E$25,0),FALSE)/HLOOKUP(2018,DEMANDS!$G$2:$CK$25,MATCH($E22,DEMANDS!$E$2:$E$25,0),FALSE)</f>
        <v>0.22274783777315491</v>
      </c>
      <c r="H22" s="18">
        <f>HLOOKUP(REG_TRA_DEMANDS!H$3,'BY-Demands'!$J$5:$AK$14,MATCH($E22,'BY-Demands'!$I$5:$I$14,0),FALSE)*HLOOKUP(REG_TRA_DEMANDS!$F22,DEMANDS!$G$2:$CK$25,MATCH($E22,DEMANDS!$E$2:$E$25,0),FALSE)/HLOOKUP(2018,DEMANDS!$G$2:$CK$25,MATCH($E22,DEMANDS!$E$2:$E$25,0),FALSE)</f>
        <v>4.4532574200765964</v>
      </c>
      <c r="I22" s="18">
        <f>HLOOKUP(REG_TRA_DEMANDS!I$3,'BY-Demands'!$J$5:$AK$14,MATCH($E22,'BY-Demands'!$I$5:$I$14,0),FALSE)*HLOOKUP(REG_TRA_DEMANDS!$F22,DEMANDS!$G$2:$CK$25,MATCH($E22,DEMANDS!$E$2:$E$25,0),FALSE)/HLOOKUP(2018,DEMANDS!$G$2:$CK$25,MATCH($E22,DEMANDS!$E$2:$E$25,0),FALSE)</f>
        <v>0.82129237867610916</v>
      </c>
      <c r="J22" s="18">
        <f>HLOOKUP(REG_TRA_DEMANDS!J$3,'BY-Demands'!$J$5:$AK$14,MATCH($E22,'BY-Demands'!$I$5:$I$14,0),FALSE)*HLOOKUP(REG_TRA_DEMANDS!$F22,DEMANDS!$G$2:$CK$25,MATCH($E22,DEMANDS!$E$2:$E$25,0),FALSE)/HLOOKUP(2018,DEMANDS!$G$2:$CK$25,MATCH($E22,DEMANDS!$E$2:$E$25,0),FALSE)</f>
        <v>0.38102665503507144</v>
      </c>
      <c r="K22" s="18">
        <f>HLOOKUP(REG_TRA_DEMANDS!K$3,'BY-Demands'!$J$5:$AK$14,MATCH($E22,'BY-Demands'!$I$5:$I$14,0),FALSE)*HLOOKUP(REG_TRA_DEMANDS!$F22,DEMANDS!$G$2:$CK$25,MATCH($E22,DEMANDS!$E$2:$E$25,0),FALSE)/HLOOKUP(2018,DEMANDS!$G$2:$CK$25,MATCH($E22,DEMANDS!$E$2:$E$25,0),FALSE)</f>
        <v>0.30040125655590783</v>
      </c>
      <c r="L22" s="18">
        <f>HLOOKUP(REG_TRA_DEMANDS!L$3,'BY-Demands'!$J$5:$AK$14,MATCH($E22,'BY-Demands'!$I$5:$I$14,0),FALSE)*HLOOKUP(REG_TRA_DEMANDS!$F22,DEMANDS!$G$2:$CK$25,MATCH($E22,DEMANDS!$E$2:$E$25,0),FALSE)/HLOOKUP(2018,DEMANDS!$G$2:$CK$25,MATCH($E22,DEMANDS!$E$2:$E$25,0),FALSE)</f>
        <v>0.15094138644444841</v>
      </c>
      <c r="M22" s="18">
        <f>HLOOKUP(REG_TRA_DEMANDS!M$3,'BY-Demands'!$J$5:$AK$14,MATCH($E22,'BY-Demands'!$I$5:$I$14,0),FALSE)*HLOOKUP(REG_TRA_DEMANDS!$F22,DEMANDS!$G$2:$CK$25,MATCH($E22,DEMANDS!$E$2:$E$25,0),FALSE)/HLOOKUP(2018,DEMANDS!$G$2:$CK$25,MATCH($E22,DEMANDS!$E$2:$E$25,0),FALSE)</f>
        <v>0.43282629317933491</v>
      </c>
      <c r="N22" s="18">
        <f>HLOOKUP(REG_TRA_DEMANDS!N$3,'BY-Demands'!$J$5:$AK$14,MATCH($E22,'BY-Demands'!$I$5:$I$14,0),FALSE)*HLOOKUP(REG_TRA_DEMANDS!$F22,DEMANDS!$G$2:$CK$25,MATCH($E22,DEMANDS!$E$2:$E$25,0),FALSE)/HLOOKUP(2018,DEMANDS!$G$2:$CK$25,MATCH($E22,DEMANDS!$E$2:$E$25,0),FALSE)</f>
        <v>0.7124431625910187</v>
      </c>
      <c r="O22" s="18">
        <f>HLOOKUP(REG_TRA_DEMANDS!O$3,'BY-Demands'!$J$5:$AK$14,MATCH($E22,'BY-Demands'!$I$5:$I$14,0),FALSE)*HLOOKUP(REG_TRA_DEMANDS!$F22,DEMANDS!$G$2:$CK$25,MATCH($E22,DEMANDS!$E$2:$E$25,0),FALSE)/HLOOKUP(2018,DEMANDS!$G$2:$CK$25,MATCH($E22,DEMANDS!$E$2:$E$25,0),FALSE)</f>
        <v>0.29491788417927728</v>
      </c>
      <c r="P22" s="18">
        <f>HLOOKUP(REG_TRA_DEMANDS!P$3,'BY-Demands'!$J$5:$AK$14,MATCH($E22,'BY-Demands'!$I$5:$I$14,0),FALSE)*HLOOKUP(REG_TRA_DEMANDS!$F22,DEMANDS!$G$2:$CK$25,MATCH($E22,DEMANDS!$E$2:$E$25,0),FALSE)/HLOOKUP(2018,DEMANDS!$G$2:$CK$25,MATCH($E22,DEMANDS!$E$2:$E$25,0),FALSE)</f>
        <v>0.33428623296451621</v>
      </c>
      <c r="Q22" s="18">
        <f>HLOOKUP(REG_TRA_DEMANDS!Q$3,'BY-Demands'!$J$5:$AK$14,MATCH($E22,'BY-Demands'!$I$5:$I$14,0),FALSE)*HLOOKUP(REG_TRA_DEMANDS!$F22,DEMANDS!$G$2:$CK$25,MATCH($E22,DEMANDS!$E$2:$E$25,0),FALSE)/HLOOKUP(2018,DEMANDS!$G$2:$CK$25,MATCH($E22,DEMANDS!$E$2:$E$25,0),FALSE)</f>
        <v>0.58180438379353139</v>
      </c>
      <c r="R22" s="18">
        <f>HLOOKUP(REG_TRA_DEMANDS!R$3,'BY-Demands'!$J$5:$AK$14,MATCH($E22,'BY-Demands'!$I$5:$I$14,0),FALSE)*HLOOKUP(REG_TRA_DEMANDS!$F22,DEMANDS!$G$2:$CK$25,MATCH($E22,DEMANDS!$E$2:$E$25,0),FALSE)/HLOOKUP(2018,DEMANDS!$G$2:$CK$25,MATCH($E22,DEMANDS!$E$2:$E$25,0),FALSE)</f>
        <v>0.51463661795063098</v>
      </c>
      <c r="S22" s="18">
        <f>HLOOKUP(REG_TRA_DEMANDS!S$3,'BY-Demands'!$J$5:$AK$14,MATCH($E22,'BY-Demands'!$I$5:$I$14,0),FALSE)*HLOOKUP(REG_TRA_DEMANDS!$F22,DEMANDS!$G$2:$CK$25,MATCH($E22,DEMANDS!$E$2:$E$25,0),FALSE)/HLOOKUP(2018,DEMANDS!$G$2:$CK$25,MATCH($E22,DEMANDS!$E$2:$E$25,0),FALSE)</f>
        <v>0.45294310298290991</v>
      </c>
      <c r="T22" s="18">
        <f>HLOOKUP(REG_TRA_DEMANDS!T$3,'BY-Demands'!$J$5:$AK$14,MATCH($E22,'BY-Demands'!$I$5:$I$14,0),FALSE)*HLOOKUP(REG_TRA_DEMANDS!$F22,DEMANDS!$G$2:$CK$25,MATCH($E22,DEMANDS!$E$2:$E$25,0),FALSE)/HLOOKUP(2018,DEMANDS!$G$2:$CK$25,MATCH($E22,DEMANDS!$E$2:$E$25,0),FALSE)</f>
        <v>1.915436112444395</v>
      </c>
      <c r="U22" s="18">
        <f>HLOOKUP(REG_TRA_DEMANDS!U$3,'BY-Demands'!$J$5:$AK$14,MATCH($E22,'BY-Demands'!$I$5:$I$14,0),FALSE)*HLOOKUP(REG_TRA_DEMANDS!$F22,DEMANDS!$G$2:$CK$25,MATCH($E22,DEMANDS!$E$2:$E$25,0),FALSE)/HLOOKUP(2018,DEMANDS!$G$2:$CK$25,MATCH($E22,DEMANDS!$E$2:$E$25,0),FALSE)</f>
        <v>0.58646171347876763</v>
      </c>
      <c r="V22" s="18">
        <f>HLOOKUP(REG_TRA_DEMANDS!V$3,'BY-Demands'!$J$5:$AK$14,MATCH($E22,'BY-Demands'!$I$5:$I$14,0),FALSE)*HLOOKUP(REG_TRA_DEMANDS!$F22,DEMANDS!$G$2:$CK$25,MATCH($E22,DEMANDS!$E$2:$E$25,0),FALSE)/HLOOKUP(2018,DEMANDS!$G$2:$CK$25,MATCH($E22,DEMANDS!$E$2:$E$25,0),FALSE)</f>
        <v>0.69930808239375175</v>
      </c>
      <c r="W22" s="18">
        <f>HLOOKUP(REG_TRA_DEMANDS!W$3,'BY-Demands'!$J$5:$AK$14,MATCH($E22,'BY-Demands'!$I$5:$I$14,0),FALSE)*HLOOKUP(REG_TRA_DEMANDS!$F22,DEMANDS!$G$2:$CK$25,MATCH($E22,DEMANDS!$E$2:$E$25,0),FALSE)/HLOOKUP(2018,DEMANDS!$G$2:$CK$25,MATCH($E22,DEMANDS!$E$2:$E$25,0),FALSE)</f>
        <v>0.63753828804562329</v>
      </c>
      <c r="X22" s="18">
        <f>HLOOKUP(REG_TRA_DEMANDS!X$3,'BY-Demands'!$J$5:$AK$14,MATCH($E22,'BY-Demands'!$I$5:$I$14,0),FALSE)*HLOOKUP(REG_TRA_DEMANDS!$F22,DEMANDS!$G$2:$CK$25,MATCH($E22,DEMANDS!$E$2:$E$25,0),FALSE)/HLOOKUP(2018,DEMANDS!$G$2:$CK$25,MATCH($E22,DEMANDS!$E$2:$E$25,0),FALSE)</f>
        <v>0.42334590068126127</v>
      </c>
      <c r="Y22" s="18">
        <f>HLOOKUP(REG_TRA_DEMANDS!Y$3,'BY-Demands'!$J$5:$AK$14,MATCH($E22,'BY-Demands'!$I$5:$I$14,0),FALSE)*HLOOKUP(REG_TRA_DEMANDS!$F22,DEMANDS!$G$2:$CK$25,MATCH($E22,DEMANDS!$E$2:$E$25,0),FALSE)/HLOOKUP(2018,DEMANDS!$G$2:$CK$25,MATCH($E22,DEMANDS!$E$2:$E$25,0),FALSE)</f>
        <v>0.94620648356846115</v>
      </c>
      <c r="Z22" s="18">
        <f>HLOOKUP(REG_TRA_DEMANDS!Z$3,'BY-Demands'!$J$5:$AK$14,MATCH($E22,'BY-Demands'!$I$5:$I$14,0),FALSE)*HLOOKUP(REG_TRA_DEMANDS!$F22,DEMANDS!$G$2:$CK$25,MATCH($E22,DEMANDS!$E$2:$E$25,0),FALSE)/HLOOKUP(2018,DEMANDS!$G$2:$CK$25,MATCH($E22,DEMANDS!$E$2:$E$25,0),FALSE)</f>
        <v>0.1214384671024762</v>
      </c>
      <c r="AA22" s="18">
        <f>HLOOKUP(REG_TRA_DEMANDS!AA$3,'BY-Demands'!$J$5:$AK$14,MATCH($E22,'BY-Demands'!$I$5:$I$14,0),FALSE)*HLOOKUP(REG_TRA_DEMANDS!$F22,DEMANDS!$G$2:$CK$25,MATCH($E22,DEMANDS!$E$2:$E$25,0),FALSE)/HLOOKUP(2018,DEMANDS!$G$2:$CK$25,MATCH($E22,DEMANDS!$E$2:$E$25,0),FALSE)</f>
        <v>0.50673957702371675</v>
      </c>
      <c r="AB22" s="18">
        <f>HLOOKUP(REG_TRA_DEMANDS!AB$3,'BY-Demands'!$J$5:$AK$14,MATCH($E22,'BY-Demands'!$I$5:$I$14,0),FALSE)*HLOOKUP(REG_TRA_DEMANDS!$F22,DEMANDS!$G$2:$CK$25,MATCH($E22,DEMANDS!$E$2:$E$25,0),FALSE)/HLOOKUP(2018,DEMANDS!$G$2:$CK$25,MATCH($E22,DEMANDS!$E$2:$E$25,0),FALSE)</f>
        <v>0.26508055371070754</v>
      </c>
      <c r="AC22" s="18">
        <f>HLOOKUP(REG_TRA_DEMANDS!AC$3,'BY-Demands'!$J$5:$AK$14,MATCH($E22,'BY-Demands'!$I$5:$I$14,0),FALSE)*HLOOKUP(REG_TRA_DEMANDS!$F22,DEMANDS!$G$2:$CK$25,MATCH($E22,DEMANDS!$E$2:$E$25,0),FALSE)/HLOOKUP(2018,DEMANDS!$G$2:$CK$25,MATCH($E22,DEMANDS!$E$2:$E$25,0),FALSE)</f>
        <v>0.23370791960690404</v>
      </c>
      <c r="AD22" s="18">
        <f>HLOOKUP(REG_TRA_DEMANDS!AD$3,'BY-Demands'!$J$5:$AK$14,MATCH($E22,'BY-Demands'!$I$5:$I$14,0),FALSE)*HLOOKUP(REG_TRA_DEMANDS!$F22,DEMANDS!$G$2:$CK$25,MATCH($E22,DEMANDS!$E$2:$E$25,0),FALSE)/HLOOKUP(2018,DEMANDS!$G$2:$CK$25,MATCH($E22,DEMANDS!$E$2:$E$25,0),FALSE)</f>
        <v>0.26067767560653266</v>
      </c>
      <c r="AE22" s="18">
        <f>HLOOKUP(REG_TRA_DEMANDS!AE$3,'BY-Demands'!$J$5:$AK$14,MATCH($E22,'BY-Demands'!$I$5:$I$14,0),FALSE)*HLOOKUP(REG_TRA_DEMANDS!$F22,DEMANDS!$G$2:$CK$25,MATCH($E22,DEMANDS!$E$2:$E$25,0),FALSE)/HLOOKUP(2018,DEMANDS!$G$2:$CK$25,MATCH($E22,DEMANDS!$E$2:$E$25,0),FALSE)</f>
        <v>0.50566972420456191</v>
      </c>
      <c r="AF22" s="18">
        <f>HLOOKUP(REG_TRA_DEMANDS!AF$3,'BY-Demands'!$J$5:$AK$14,MATCH($E22,'BY-Demands'!$I$5:$I$14,0),FALSE)*HLOOKUP(REG_TRA_DEMANDS!$F22,DEMANDS!$G$2:$CK$25,MATCH($E22,DEMANDS!$E$2:$E$25,0),FALSE)/HLOOKUP(2018,DEMANDS!$G$2:$CK$25,MATCH($E22,DEMANDS!$E$2:$E$25,0),FALSE)</f>
        <v>0.24252634094124961</v>
      </c>
    </row>
    <row r="23" spans="4:32" ht="14.4">
      <c r="D23" t="s">
        <v>6</v>
      </c>
      <c r="E23" t="str">
        <f>DEMANDS!$E$17</f>
        <v>TRAPS</v>
      </c>
      <c r="F23">
        <v>2039</v>
      </c>
      <c r="G23" s="18">
        <f>HLOOKUP(REG_TRA_DEMANDS!G$3,'BY-Demands'!$J$5:$AK$14,MATCH($E23,'BY-Demands'!$I$5:$I$14,0),FALSE)*HLOOKUP(REG_TRA_DEMANDS!$F23,DEMANDS!$G$2:$CK$25,MATCH($E23,DEMANDS!$E$2:$E$25,0),FALSE)/HLOOKUP(2018,DEMANDS!$G$2:$CK$25,MATCH($E23,DEMANDS!$E$2:$E$25,0),FALSE)</f>
        <v>0.22553218574531933</v>
      </c>
      <c r="H23" s="18">
        <f>HLOOKUP(REG_TRA_DEMANDS!H$3,'BY-Demands'!$J$5:$AK$14,MATCH($E23,'BY-Demands'!$I$5:$I$14,0),FALSE)*HLOOKUP(REG_TRA_DEMANDS!$F23,DEMANDS!$G$2:$CK$25,MATCH($E23,DEMANDS!$E$2:$E$25,0),FALSE)/HLOOKUP(2018,DEMANDS!$G$2:$CK$25,MATCH($E23,DEMANDS!$E$2:$E$25,0),FALSE)</f>
        <v>4.5089231378275541</v>
      </c>
      <c r="I23" s="18">
        <f>HLOOKUP(REG_TRA_DEMANDS!I$3,'BY-Demands'!$J$5:$AK$14,MATCH($E23,'BY-Demands'!$I$5:$I$14,0),FALSE)*HLOOKUP(REG_TRA_DEMANDS!$F23,DEMANDS!$G$2:$CK$25,MATCH($E23,DEMANDS!$E$2:$E$25,0),FALSE)/HLOOKUP(2018,DEMANDS!$G$2:$CK$25,MATCH($E23,DEMANDS!$E$2:$E$25,0),FALSE)</f>
        <v>0.83155853340956043</v>
      </c>
      <c r="J23" s="18">
        <f>HLOOKUP(REG_TRA_DEMANDS!J$3,'BY-Demands'!$J$5:$AK$14,MATCH($E23,'BY-Demands'!$I$5:$I$14,0),FALSE)*HLOOKUP(REG_TRA_DEMANDS!$F23,DEMANDS!$G$2:$CK$25,MATCH($E23,DEMANDS!$E$2:$E$25,0),FALSE)/HLOOKUP(2018,DEMANDS!$G$2:$CK$25,MATCH($E23,DEMANDS!$E$2:$E$25,0),FALSE)</f>
        <v>0.38578948822300985</v>
      </c>
      <c r="K23" s="18">
        <f>HLOOKUP(REG_TRA_DEMANDS!K$3,'BY-Demands'!$J$5:$AK$14,MATCH($E23,'BY-Demands'!$I$5:$I$14,0),FALSE)*HLOOKUP(REG_TRA_DEMANDS!$F23,DEMANDS!$G$2:$CK$25,MATCH($E23,DEMANDS!$E$2:$E$25,0),FALSE)/HLOOKUP(2018,DEMANDS!$G$2:$CK$25,MATCH($E23,DEMANDS!$E$2:$E$25,0),FALSE)</f>
        <v>0.30415627226285669</v>
      </c>
      <c r="L23" s="18">
        <f>HLOOKUP(REG_TRA_DEMANDS!L$3,'BY-Demands'!$J$5:$AK$14,MATCH($E23,'BY-Demands'!$I$5:$I$14,0),FALSE)*HLOOKUP(REG_TRA_DEMANDS!$F23,DEMANDS!$G$2:$CK$25,MATCH($E23,DEMANDS!$E$2:$E$25,0),FALSE)/HLOOKUP(2018,DEMANDS!$G$2:$CK$25,MATCH($E23,DEMANDS!$E$2:$E$25,0),FALSE)</f>
        <v>0.152828153775004</v>
      </c>
      <c r="M23" s="18">
        <f>HLOOKUP(REG_TRA_DEMANDS!M$3,'BY-Demands'!$J$5:$AK$14,MATCH($E23,'BY-Demands'!$I$5:$I$14,0),FALSE)*HLOOKUP(REG_TRA_DEMANDS!$F23,DEMANDS!$G$2:$CK$25,MATCH($E23,DEMANDS!$E$2:$E$25,0),FALSE)/HLOOKUP(2018,DEMANDS!$G$2:$CK$25,MATCH($E23,DEMANDS!$E$2:$E$25,0),FALSE)</f>
        <v>0.43823662184407658</v>
      </c>
      <c r="N23" s="18">
        <f>HLOOKUP(REG_TRA_DEMANDS!N$3,'BY-Demands'!$J$5:$AK$14,MATCH($E23,'BY-Demands'!$I$5:$I$14,0),FALSE)*HLOOKUP(REG_TRA_DEMANDS!$F23,DEMANDS!$G$2:$CK$25,MATCH($E23,DEMANDS!$E$2:$E$25,0),FALSE)/HLOOKUP(2018,DEMANDS!$G$2:$CK$25,MATCH($E23,DEMANDS!$E$2:$E$25,0),FALSE)</f>
        <v>0.7213487021234064</v>
      </c>
      <c r="O23" s="18">
        <f>HLOOKUP(REG_TRA_DEMANDS!O$3,'BY-Demands'!$J$5:$AK$14,MATCH($E23,'BY-Demands'!$I$5:$I$14,0),FALSE)*HLOOKUP(REG_TRA_DEMANDS!$F23,DEMANDS!$G$2:$CK$25,MATCH($E23,DEMANDS!$E$2:$E$25,0),FALSE)/HLOOKUP(2018,DEMANDS!$G$2:$CK$25,MATCH($E23,DEMANDS!$E$2:$E$25,0),FALSE)</f>
        <v>0.29860435773151822</v>
      </c>
      <c r="P23" s="18">
        <f>HLOOKUP(REG_TRA_DEMANDS!P$3,'BY-Demands'!$J$5:$AK$14,MATCH($E23,'BY-Demands'!$I$5:$I$14,0),FALSE)*HLOOKUP(REG_TRA_DEMANDS!$F23,DEMANDS!$G$2:$CK$25,MATCH($E23,DEMANDS!$E$2:$E$25,0),FALSE)/HLOOKUP(2018,DEMANDS!$G$2:$CK$25,MATCH($E23,DEMANDS!$E$2:$E$25,0),FALSE)</f>
        <v>0.3384648108765726</v>
      </c>
      <c r="Q23" s="18">
        <f>HLOOKUP(REG_TRA_DEMANDS!Q$3,'BY-Demands'!$J$5:$AK$14,MATCH($E23,'BY-Demands'!$I$5:$I$14,0),FALSE)*HLOOKUP(REG_TRA_DEMANDS!$F23,DEMANDS!$G$2:$CK$25,MATCH($E23,DEMANDS!$E$2:$E$25,0),FALSE)/HLOOKUP(2018,DEMANDS!$G$2:$CK$25,MATCH($E23,DEMANDS!$E$2:$E$25,0),FALSE)</f>
        <v>0.58907693859095045</v>
      </c>
      <c r="R23" s="18">
        <f>HLOOKUP(REG_TRA_DEMANDS!R$3,'BY-Demands'!$J$5:$AK$14,MATCH($E23,'BY-Demands'!$I$5:$I$14,0),FALSE)*HLOOKUP(REG_TRA_DEMANDS!$F23,DEMANDS!$G$2:$CK$25,MATCH($E23,DEMANDS!$E$2:$E$25,0),FALSE)/HLOOKUP(2018,DEMANDS!$G$2:$CK$25,MATCH($E23,DEMANDS!$E$2:$E$25,0),FALSE)</f>
        <v>0.52106957567501389</v>
      </c>
      <c r="S23" s="18">
        <f>HLOOKUP(REG_TRA_DEMANDS!S$3,'BY-Demands'!$J$5:$AK$14,MATCH($E23,'BY-Demands'!$I$5:$I$14,0),FALSE)*HLOOKUP(REG_TRA_DEMANDS!$F23,DEMANDS!$G$2:$CK$25,MATCH($E23,DEMANDS!$E$2:$E$25,0),FALSE)/HLOOKUP(2018,DEMANDS!$G$2:$CK$25,MATCH($E23,DEMANDS!$E$2:$E$25,0),FALSE)</f>
        <v>0.45860489177019625</v>
      </c>
      <c r="T23" s="18">
        <f>HLOOKUP(REG_TRA_DEMANDS!T$3,'BY-Demands'!$J$5:$AK$14,MATCH($E23,'BY-Demands'!$I$5:$I$14,0),FALSE)*HLOOKUP(REG_TRA_DEMANDS!$F23,DEMANDS!$G$2:$CK$25,MATCH($E23,DEMANDS!$E$2:$E$25,0),FALSE)/HLOOKUP(2018,DEMANDS!$G$2:$CK$25,MATCH($E23,DEMANDS!$E$2:$E$25,0),FALSE)</f>
        <v>1.93937906384995</v>
      </c>
      <c r="U23" s="18">
        <f>HLOOKUP(REG_TRA_DEMANDS!U$3,'BY-Demands'!$J$5:$AK$14,MATCH($E23,'BY-Demands'!$I$5:$I$14,0),FALSE)*HLOOKUP(REG_TRA_DEMANDS!$F23,DEMANDS!$G$2:$CK$25,MATCH($E23,DEMANDS!$E$2:$E$25,0),FALSE)/HLOOKUP(2018,DEMANDS!$G$2:$CK$25,MATCH($E23,DEMANDS!$E$2:$E$25,0),FALSE)</f>
        <v>0.59379248489725234</v>
      </c>
      <c r="V23" s="18">
        <f>HLOOKUP(REG_TRA_DEMANDS!V$3,'BY-Demands'!$J$5:$AK$14,MATCH($E23,'BY-Demands'!$I$5:$I$14,0),FALSE)*HLOOKUP(REG_TRA_DEMANDS!$F23,DEMANDS!$G$2:$CK$25,MATCH($E23,DEMANDS!$E$2:$E$25,0),FALSE)/HLOOKUP(2018,DEMANDS!$G$2:$CK$25,MATCH($E23,DEMANDS!$E$2:$E$25,0),FALSE)</f>
        <v>0.70804943342367355</v>
      </c>
      <c r="W23" s="18">
        <f>HLOOKUP(REG_TRA_DEMANDS!W$3,'BY-Demands'!$J$5:$AK$14,MATCH($E23,'BY-Demands'!$I$5:$I$14,0),FALSE)*HLOOKUP(REG_TRA_DEMANDS!$F23,DEMANDS!$G$2:$CK$25,MATCH($E23,DEMANDS!$E$2:$E$25,0),FALSE)/HLOOKUP(2018,DEMANDS!$G$2:$CK$25,MATCH($E23,DEMANDS!$E$2:$E$25,0),FALSE)</f>
        <v>0.64550751664619355</v>
      </c>
      <c r="X23" s="18">
        <f>HLOOKUP(REG_TRA_DEMANDS!X$3,'BY-Demands'!$J$5:$AK$14,MATCH($E23,'BY-Demands'!$I$5:$I$14,0),FALSE)*HLOOKUP(REG_TRA_DEMANDS!$F23,DEMANDS!$G$2:$CK$25,MATCH($E23,DEMANDS!$E$2:$E$25,0),FALSE)/HLOOKUP(2018,DEMANDS!$G$2:$CK$25,MATCH($E23,DEMANDS!$E$2:$E$25,0),FALSE)</f>
        <v>0.42863772443977699</v>
      </c>
      <c r="Y23" s="18">
        <f>HLOOKUP(REG_TRA_DEMANDS!Y$3,'BY-Demands'!$J$5:$AK$14,MATCH($E23,'BY-Demands'!$I$5:$I$14,0),FALSE)*HLOOKUP(REG_TRA_DEMANDS!$F23,DEMANDS!$G$2:$CK$25,MATCH($E23,DEMANDS!$E$2:$E$25,0),FALSE)/HLOOKUP(2018,DEMANDS!$G$2:$CK$25,MATCH($E23,DEMANDS!$E$2:$E$25,0),FALSE)</f>
        <v>0.95803406461306684</v>
      </c>
      <c r="Z23" s="18">
        <f>HLOOKUP(REG_TRA_DEMANDS!Z$3,'BY-Demands'!$J$5:$AK$14,MATCH($E23,'BY-Demands'!$I$5:$I$14,0),FALSE)*HLOOKUP(REG_TRA_DEMANDS!$F23,DEMANDS!$G$2:$CK$25,MATCH($E23,DEMANDS!$E$2:$E$25,0),FALSE)/HLOOKUP(2018,DEMANDS!$G$2:$CK$25,MATCH($E23,DEMANDS!$E$2:$E$25,0),FALSE)</f>
        <v>0.12295644794125715</v>
      </c>
      <c r="AA23" s="18">
        <f>HLOOKUP(REG_TRA_DEMANDS!AA$3,'BY-Demands'!$J$5:$AK$14,MATCH($E23,'BY-Demands'!$I$5:$I$14,0),FALSE)*HLOOKUP(REG_TRA_DEMANDS!$F23,DEMANDS!$G$2:$CK$25,MATCH($E23,DEMANDS!$E$2:$E$25,0),FALSE)/HLOOKUP(2018,DEMANDS!$G$2:$CK$25,MATCH($E23,DEMANDS!$E$2:$E$25,0),FALSE)</f>
        <v>0.51307382173651317</v>
      </c>
      <c r="AB23" s="18">
        <f>HLOOKUP(REG_TRA_DEMANDS!AB$3,'BY-Demands'!$J$5:$AK$14,MATCH($E23,'BY-Demands'!$I$5:$I$14,0),FALSE)*HLOOKUP(REG_TRA_DEMANDS!$F23,DEMANDS!$G$2:$CK$25,MATCH($E23,DEMANDS!$E$2:$E$25,0),FALSE)/HLOOKUP(2018,DEMANDS!$G$2:$CK$25,MATCH($E23,DEMANDS!$E$2:$E$25,0),FALSE)</f>
        <v>0.26839406063209137</v>
      </c>
      <c r="AC23" s="18">
        <f>HLOOKUP(REG_TRA_DEMANDS!AC$3,'BY-Demands'!$J$5:$AK$14,MATCH($E23,'BY-Demands'!$I$5:$I$14,0),FALSE)*HLOOKUP(REG_TRA_DEMANDS!$F23,DEMANDS!$G$2:$CK$25,MATCH($E23,DEMANDS!$E$2:$E$25,0),FALSE)/HLOOKUP(2018,DEMANDS!$G$2:$CK$25,MATCH($E23,DEMANDS!$E$2:$E$25,0),FALSE)</f>
        <v>0.23662926860199032</v>
      </c>
      <c r="AD23" s="18">
        <f>HLOOKUP(REG_TRA_DEMANDS!AD$3,'BY-Demands'!$J$5:$AK$14,MATCH($E23,'BY-Demands'!$I$5:$I$14,0),FALSE)*HLOOKUP(REG_TRA_DEMANDS!$F23,DEMANDS!$G$2:$CK$25,MATCH($E23,DEMANDS!$E$2:$E$25,0),FALSE)/HLOOKUP(2018,DEMANDS!$G$2:$CK$25,MATCH($E23,DEMANDS!$E$2:$E$25,0),FALSE)</f>
        <v>0.26393614655161429</v>
      </c>
      <c r="AE23" s="18">
        <f>HLOOKUP(REG_TRA_DEMANDS!AE$3,'BY-Demands'!$J$5:$AK$14,MATCH($E23,'BY-Demands'!$I$5:$I$14,0),FALSE)*HLOOKUP(REG_TRA_DEMANDS!$F23,DEMANDS!$G$2:$CK$25,MATCH($E23,DEMANDS!$E$2:$E$25,0),FALSE)/HLOOKUP(2018,DEMANDS!$G$2:$CK$25,MATCH($E23,DEMANDS!$E$2:$E$25,0),FALSE)</f>
        <v>0.51199059575711892</v>
      </c>
      <c r="AF23" s="18">
        <f>HLOOKUP(REG_TRA_DEMANDS!AF$3,'BY-Demands'!$J$5:$AK$14,MATCH($E23,'BY-Demands'!$I$5:$I$14,0),FALSE)*HLOOKUP(REG_TRA_DEMANDS!$F23,DEMANDS!$G$2:$CK$25,MATCH($E23,DEMANDS!$E$2:$E$25,0),FALSE)/HLOOKUP(2018,DEMANDS!$G$2:$CK$25,MATCH($E23,DEMANDS!$E$2:$E$25,0),FALSE)</f>
        <v>0.24555792020301517</v>
      </c>
    </row>
    <row r="24" spans="4:32" ht="14.4">
      <c r="D24" t="s">
        <v>6</v>
      </c>
      <c r="E24" t="str">
        <f>DEMANDS!$E$17</f>
        <v>TRAPS</v>
      </c>
      <c r="F24">
        <v>2040</v>
      </c>
      <c r="G24" s="18">
        <f>HLOOKUP(REG_TRA_DEMANDS!G$3,'BY-Demands'!$J$5:$AK$14,MATCH($E24,'BY-Demands'!$I$5:$I$14,0),FALSE)*HLOOKUP(REG_TRA_DEMANDS!$F24,DEMANDS!$G$2:$CK$25,MATCH($E24,DEMANDS!$E$2:$E$25,0),FALSE)/HLOOKUP(2018,DEMANDS!$G$2:$CK$25,MATCH($E24,DEMANDS!$E$2:$E$25,0),FALSE)</f>
        <v>0.22835133806713581</v>
      </c>
      <c r="H24" s="18">
        <f>HLOOKUP(REG_TRA_DEMANDS!H$3,'BY-Demands'!$J$5:$AK$14,MATCH($E24,'BY-Demands'!$I$5:$I$14,0),FALSE)*HLOOKUP(REG_TRA_DEMANDS!$F24,DEMANDS!$G$2:$CK$25,MATCH($E24,DEMANDS!$E$2:$E$25,0),FALSE)/HLOOKUP(2018,DEMANDS!$G$2:$CK$25,MATCH($E24,DEMANDS!$E$2:$E$25,0),FALSE)</f>
        <v>4.5652846770503981</v>
      </c>
      <c r="I24" s="18">
        <f>HLOOKUP(REG_TRA_DEMANDS!I$3,'BY-Demands'!$J$5:$AK$14,MATCH($E24,'BY-Demands'!$I$5:$I$14,0),FALSE)*HLOOKUP(REG_TRA_DEMANDS!$F24,DEMANDS!$G$2:$CK$25,MATCH($E24,DEMANDS!$E$2:$E$25,0),FALSE)/HLOOKUP(2018,DEMANDS!$G$2:$CK$25,MATCH($E24,DEMANDS!$E$2:$E$25,0),FALSE)</f>
        <v>0.84195301507718001</v>
      </c>
      <c r="J24" s="18">
        <f>HLOOKUP(REG_TRA_DEMANDS!J$3,'BY-Demands'!$J$5:$AK$14,MATCH($E24,'BY-Demands'!$I$5:$I$14,0),FALSE)*HLOOKUP(REG_TRA_DEMANDS!$F24,DEMANDS!$G$2:$CK$25,MATCH($E24,DEMANDS!$E$2:$E$25,0),FALSE)/HLOOKUP(2018,DEMANDS!$G$2:$CK$25,MATCH($E24,DEMANDS!$E$2:$E$25,0),FALSE)</f>
        <v>0.39061185682579747</v>
      </c>
      <c r="K24" s="18">
        <f>HLOOKUP(REG_TRA_DEMANDS!K$3,'BY-Demands'!$J$5:$AK$14,MATCH($E24,'BY-Demands'!$I$5:$I$14,0),FALSE)*HLOOKUP(REG_TRA_DEMANDS!$F24,DEMANDS!$G$2:$CK$25,MATCH($E24,DEMANDS!$E$2:$E$25,0),FALSE)/HLOOKUP(2018,DEMANDS!$G$2:$CK$25,MATCH($E24,DEMANDS!$E$2:$E$25,0),FALSE)</f>
        <v>0.30795822566614239</v>
      </c>
      <c r="L24" s="18">
        <f>HLOOKUP(REG_TRA_DEMANDS!L$3,'BY-Demands'!$J$5:$AK$14,MATCH($E24,'BY-Demands'!$I$5:$I$14,0),FALSE)*HLOOKUP(REG_TRA_DEMANDS!$F24,DEMANDS!$G$2:$CK$25,MATCH($E24,DEMANDS!$E$2:$E$25,0),FALSE)/HLOOKUP(2018,DEMANDS!$G$2:$CK$25,MATCH($E24,DEMANDS!$E$2:$E$25,0),FALSE)</f>
        <v>0.15473850569719155</v>
      </c>
      <c r="M24" s="18">
        <f>HLOOKUP(REG_TRA_DEMANDS!M$3,'BY-Demands'!$J$5:$AK$14,MATCH($E24,'BY-Demands'!$I$5:$I$14,0),FALSE)*HLOOKUP(REG_TRA_DEMANDS!$F24,DEMANDS!$G$2:$CK$25,MATCH($E24,DEMANDS!$E$2:$E$25,0),FALSE)/HLOOKUP(2018,DEMANDS!$G$2:$CK$25,MATCH($E24,DEMANDS!$E$2:$E$25,0),FALSE)</f>
        <v>0.44371457961712757</v>
      </c>
      <c r="N24" s="18">
        <f>HLOOKUP(REG_TRA_DEMANDS!N$3,'BY-Demands'!$J$5:$AK$14,MATCH($E24,'BY-Demands'!$I$5:$I$14,0),FALSE)*HLOOKUP(REG_TRA_DEMANDS!$F24,DEMANDS!$G$2:$CK$25,MATCH($E24,DEMANDS!$E$2:$E$25,0),FALSE)/HLOOKUP(2018,DEMANDS!$G$2:$CK$25,MATCH($E24,DEMANDS!$E$2:$E$25,0),FALSE)</f>
        <v>0.73036556089994897</v>
      </c>
      <c r="O24" s="18">
        <f>HLOOKUP(REG_TRA_DEMANDS!O$3,'BY-Demands'!$J$5:$AK$14,MATCH($E24,'BY-Demands'!$I$5:$I$14,0),FALSE)*HLOOKUP(REG_TRA_DEMANDS!$F24,DEMANDS!$G$2:$CK$25,MATCH($E24,DEMANDS!$E$2:$E$25,0),FALSE)/HLOOKUP(2018,DEMANDS!$G$2:$CK$25,MATCH($E24,DEMANDS!$E$2:$E$25,0),FALSE)</f>
        <v>0.30233691220316222</v>
      </c>
      <c r="P24" s="18">
        <f>HLOOKUP(REG_TRA_DEMANDS!P$3,'BY-Demands'!$J$5:$AK$14,MATCH($E24,'BY-Demands'!$I$5:$I$14,0),FALSE)*HLOOKUP(REG_TRA_DEMANDS!$F24,DEMANDS!$G$2:$CK$25,MATCH($E24,DEMANDS!$E$2:$E$25,0),FALSE)/HLOOKUP(2018,DEMANDS!$G$2:$CK$25,MATCH($E24,DEMANDS!$E$2:$E$25,0),FALSE)</f>
        <v>0.34269562101252982</v>
      </c>
      <c r="Q24" s="18">
        <f>HLOOKUP(REG_TRA_DEMANDS!Q$3,'BY-Demands'!$J$5:$AK$14,MATCH($E24,'BY-Demands'!$I$5:$I$14,0),FALSE)*HLOOKUP(REG_TRA_DEMANDS!$F24,DEMANDS!$G$2:$CK$25,MATCH($E24,DEMANDS!$E$2:$E$25,0),FALSE)/HLOOKUP(2018,DEMANDS!$G$2:$CK$25,MATCH($E24,DEMANDS!$E$2:$E$25,0),FALSE)</f>
        <v>0.59644040032333734</v>
      </c>
      <c r="R24" s="18">
        <f>HLOOKUP(REG_TRA_DEMANDS!R$3,'BY-Demands'!$J$5:$AK$14,MATCH($E24,'BY-Demands'!$I$5:$I$14,0),FALSE)*HLOOKUP(REG_TRA_DEMANDS!$F24,DEMANDS!$G$2:$CK$25,MATCH($E24,DEMANDS!$E$2:$E$25,0),FALSE)/HLOOKUP(2018,DEMANDS!$G$2:$CK$25,MATCH($E24,DEMANDS!$E$2:$E$25,0),FALSE)</f>
        <v>0.52758294537095152</v>
      </c>
      <c r="S24" s="18">
        <f>HLOOKUP(REG_TRA_DEMANDS!S$3,'BY-Demands'!$J$5:$AK$14,MATCH($E24,'BY-Demands'!$I$5:$I$14,0),FALSE)*HLOOKUP(REG_TRA_DEMANDS!$F24,DEMANDS!$G$2:$CK$25,MATCH($E24,DEMANDS!$E$2:$E$25,0),FALSE)/HLOOKUP(2018,DEMANDS!$G$2:$CK$25,MATCH($E24,DEMANDS!$E$2:$E$25,0),FALSE)</f>
        <v>0.4643374529173237</v>
      </c>
      <c r="T24" s="18">
        <f>HLOOKUP(REG_TRA_DEMANDS!T$3,'BY-Demands'!$J$5:$AK$14,MATCH($E24,'BY-Demands'!$I$5:$I$14,0),FALSE)*HLOOKUP(REG_TRA_DEMANDS!$F24,DEMANDS!$G$2:$CK$25,MATCH($E24,DEMANDS!$E$2:$E$25,0),FALSE)/HLOOKUP(2018,DEMANDS!$G$2:$CK$25,MATCH($E24,DEMANDS!$E$2:$E$25,0),FALSE)</f>
        <v>1.9636213021480744</v>
      </c>
      <c r="U24" s="18">
        <f>HLOOKUP(REG_TRA_DEMANDS!U$3,'BY-Demands'!$J$5:$AK$14,MATCH($E24,'BY-Demands'!$I$5:$I$14,0),FALSE)*HLOOKUP(REG_TRA_DEMANDS!$F24,DEMANDS!$G$2:$CK$25,MATCH($E24,DEMANDS!$E$2:$E$25,0),FALSE)/HLOOKUP(2018,DEMANDS!$G$2:$CK$25,MATCH($E24,DEMANDS!$E$2:$E$25,0),FALSE)</f>
        <v>0.60121489095846792</v>
      </c>
      <c r="V24" s="18">
        <f>HLOOKUP(REG_TRA_DEMANDS!V$3,'BY-Demands'!$J$5:$AK$14,MATCH($E24,'BY-Demands'!$I$5:$I$14,0),FALSE)*HLOOKUP(REG_TRA_DEMANDS!$F24,DEMANDS!$G$2:$CK$25,MATCH($E24,DEMANDS!$E$2:$E$25,0),FALSE)/HLOOKUP(2018,DEMANDS!$G$2:$CK$25,MATCH($E24,DEMANDS!$E$2:$E$25,0),FALSE)</f>
        <v>0.71690005134146939</v>
      </c>
      <c r="W24" s="18">
        <f>HLOOKUP(REG_TRA_DEMANDS!W$3,'BY-Demands'!$J$5:$AK$14,MATCH($E24,'BY-Demands'!$I$5:$I$14,0),FALSE)*HLOOKUP(REG_TRA_DEMANDS!$F24,DEMANDS!$G$2:$CK$25,MATCH($E24,DEMANDS!$E$2:$E$25,0),FALSE)/HLOOKUP(2018,DEMANDS!$G$2:$CK$25,MATCH($E24,DEMANDS!$E$2:$E$25,0),FALSE)</f>
        <v>0.65357636060427104</v>
      </c>
      <c r="X24" s="18">
        <f>HLOOKUP(REG_TRA_DEMANDS!X$3,'BY-Demands'!$J$5:$AK$14,MATCH($E24,'BY-Demands'!$I$5:$I$14,0),FALSE)*HLOOKUP(REG_TRA_DEMANDS!$F24,DEMANDS!$G$2:$CK$25,MATCH($E24,DEMANDS!$E$2:$E$25,0),FALSE)/HLOOKUP(2018,DEMANDS!$G$2:$CK$25,MATCH($E24,DEMANDS!$E$2:$E$25,0),FALSE)</f>
        <v>0.43399569599527421</v>
      </c>
      <c r="Y24" s="18">
        <f>HLOOKUP(REG_TRA_DEMANDS!Y$3,'BY-Demands'!$J$5:$AK$14,MATCH($E24,'BY-Demands'!$I$5:$I$14,0),FALSE)*HLOOKUP(REG_TRA_DEMANDS!$F24,DEMANDS!$G$2:$CK$25,MATCH($E24,DEMANDS!$E$2:$E$25,0),FALSE)/HLOOKUP(2018,DEMANDS!$G$2:$CK$25,MATCH($E24,DEMANDS!$E$2:$E$25,0),FALSE)</f>
        <v>0.97000949042073026</v>
      </c>
      <c r="Z24" s="18">
        <f>HLOOKUP(REG_TRA_DEMANDS!Z$3,'BY-Demands'!$J$5:$AK$14,MATCH($E24,'BY-Demands'!$I$5:$I$14,0),FALSE)*HLOOKUP(REG_TRA_DEMANDS!$F24,DEMANDS!$G$2:$CK$25,MATCH($E24,DEMANDS!$E$2:$E$25,0),FALSE)/HLOOKUP(2018,DEMANDS!$G$2:$CK$25,MATCH($E24,DEMANDS!$E$2:$E$25,0),FALSE)</f>
        <v>0.12449340354052287</v>
      </c>
      <c r="AA24" s="18">
        <f>HLOOKUP(REG_TRA_DEMANDS!AA$3,'BY-Demands'!$J$5:$AK$14,MATCH($E24,'BY-Demands'!$I$5:$I$14,0),FALSE)*HLOOKUP(REG_TRA_DEMANDS!$F24,DEMANDS!$G$2:$CK$25,MATCH($E24,DEMANDS!$E$2:$E$25,0),FALSE)/HLOOKUP(2018,DEMANDS!$G$2:$CK$25,MATCH($E24,DEMANDS!$E$2:$E$25,0),FALSE)</f>
        <v>0.51948724450821959</v>
      </c>
      <c r="AB24" s="18">
        <f>HLOOKUP(REG_TRA_DEMANDS!AB$3,'BY-Demands'!$J$5:$AK$14,MATCH($E24,'BY-Demands'!$I$5:$I$14,0),FALSE)*HLOOKUP(REG_TRA_DEMANDS!$F24,DEMANDS!$G$2:$CK$25,MATCH($E24,DEMANDS!$E$2:$E$25,0),FALSE)/HLOOKUP(2018,DEMANDS!$G$2:$CK$25,MATCH($E24,DEMANDS!$E$2:$E$25,0),FALSE)</f>
        <v>0.27174898638999251</v>
      </c>
      <c r="AC24" s="18">
        <f>HLOOKUP(REG_TRA_DEMANDS!AC$3,'BY-Demands'!$J$5:$AK$14,MATCH($E24,'BY-Demands'!$I$5:$I$14,0),FALSE)*HLOOKUP(REG_TRA_DEMANDS!$F24,DEMANDS!$G$2:$CK$25,MATCH($E24,DEMANDS!$E$2:$E$25,0),FALSE)/HLOOKUP(2018,DEMANDS!$G$2:$CK$25,MATCH($E24,DEMANDS!$E$2:$E$25,0),FALSE)</f>
        <v>0.23958713445951518</v>
      </c>
      <c r="AD24" s="18">
        <f>HLOOKUP(REG_TRA_DEMANDS!AD$3,'BY-Demands'!$J$5:$AK$14,MATCH($E24,'BY-Demands'!$I$5:$I$14,0),FALSE)*HLOOKUP(REG_TRA_DEMANDS!$F24,DEMANDS!$G$2:$CK$25,MATCH($E24,DEMANDS!$E$2:$E$25,0),FALSE)/HLOOKUP(2018,DEMANDS!$G$2:$CK$25,MATCH($E24,DEMANDS!$E$2:$E$25,0),FALSE)</f>
        <v>0.26723534838350949</v>
      </c>
      <c r="AE24" s="18">
        <f>HLOOKUP(REG_TRA_DEMANDS!AE$3,'BY-Demands'!$J$5:$AK$14,MATCH($E24,'BY-Demands'!$I$5:$I$14,0),FALSE)*HLOOKUP(REG_TRA_DEMANDS!$F24,DEMANDS!$G$2:$CK$25,MATCH($E24,DEMANDS!$E$2:$E$25,0),FALSE)/HLOOKUP(2018,DEMANDS!$G$2:$CK$25,MATCH($E24,DEMANDS!$E$2:$E$25,0),FALSE)</f>
        <v>0.51839047820408291</v>
      </c>
      <c r="AF24" s="18">
        <f>HLOOKUP(REG_TRA_DEMANDS!AF$3,'BY-Demands'!$J$5:$AK$14,MATCH($E24,'BY-Demands'!$I$5:$I$14,0),FALSE)*HLOOKUP(REG_TRA_DEMANDS!$F24,DEMANDS!$G$2:$CK$25,MATCH($E24,DEMANDS!$E$2:$E$25,0),FALSE)/HLOOKUP(2018,DEMANDS!$G$2:$CK$25,MATCH($E24,DEMANDS!$E$2:$E$25,0),FALSE)</f>
        <v>0.24862739420555288</v>
      </c>
    </row>
    <row r="25" spans="4:32" ht="14.4">
      <c r="D25" t="s">
        <v>6</v>
      </c>
      <c r="E25" t="str">
        <f>DEMANDS!$E$17</f>
        <v>TRAPS</v>
      </c>
      <c r="F25">
        <v>2045</v>
      </c>
      <c r="G25" s="18">
        <f>HLOOKUP(REG_TRA_DEMANDS!G$3,'BY-Demands'!$J$5:$AK$14,MATCH($E25,'BY-Demands'!$I$5:$I$14,0),FALSE)*HLOOKUP(REG_TRA_DEMANDS!$F25,DEMANDS!$G$2:$CK$25,MATCH($E25,DEMANDS!$E$2:$E$25,0),FALSE)/HLOOKUP(2018,DEMANDS!$G$2:$CK$25,MATCH($E25,DEMANDS!$E$2:$E$25,0),FALSE)</f>
        <v>0.24298458359373973</v>
      </c>
      <c r="H25" s="18">
        <f>HLOOKUP(REG_TRA_DEMANDS!H$3,'BY-Demands'!$J$5:$AK$14,MATCH($E25,'BY-Demands'!$I$5:$I$14,0),FALSE)*HLOOKUP(REG_TRA_DEMANDS!$F25,DEMANDS!$G$2:$CK$25,MATCH($E25,DEMANDS!$E$2:$E$25,0),FALSE)/HLOOKUP(2018,DEMANDS!$G$2:$CK$25,MATCH($E25,DEMANDS!$E$2:$E$25,0),FALSE)</f>
        <v>4.8578379510692287</v>
      </c>
      <c r="I25" s="18">
        <f>HLOOKUP(REG_TRA_DEMANDS!I$3,'BY-Demands'!$J$5:$AK$14,MATCH($E25,'BY-Demands'!$I$5:$I$14,0),FALSE)*HLOOKUP(REG_TRA_DEMANDS!$F25,DEMANDS!$G$2:$CK$25,MATCH($E25,DEMANDS!$E$2:$E$25,0),FALSE)/HLOOKUP(2018,DEMANDS!$G$2:$CK$25,MATCH($E25,DEMANDS!$E$2:$E$25,0),FALSE)</f>
        <v>0.89590717753479854</v>
      </c>
      <c r="J25" s="18">
        <f>HLOOKUP(REG_TRA_DEMANDS!J$3,'BY-Demands'!$J$5:$AK$14,MATCH($E25,'BY-Demands'!$I$5:$I$14,0),FALSE)*HLOOKUP(REG_TRA_DEMANDS!$F25,DEMANDS!$G$2:$CK$25,MATCH($E25,DEMANDS!$E$2:$E$25,0),FALSE)/HLOOKUP(2018,DEMANDS!$G$2:$CK$25,MATCH($E25,DEMANDS!$E$2:$E$25,0),FALSE)</f>
        <v>0.41564310584284525</v>
      </c>
      <c r="K25" s="18">
        <f>HLOOKUP(REG_TRA_DEMANDS!K$3,'BY-Demands'!$J$5:$AK$14,MATCH($E25,'BY-Demands'!$I$5:$I$14,0),FALSE)*HLOOKUP(REG_TRA_DEMANDS!$F25,DEMANDS!$G$2:$CK$25,MATCH($E25,DEMANDS!$E$2:$E$25,0),FALSE)/HLOOKUP(2018,DEMANDS!$G$2:$CK$25,MATCH($E25,DEMANDS!$E$2:$E$25,0),FALSE)</f>
        <v>0.32769285199351278</v>
      </c>
      <c r="L25" s="18">
        <f>HLOOKUP(REG_TRA_DEMANDS!L$3,'BY-Demands'!$J$5:$AK$14,MATCH($E25,'BY-Demands'!$I$5:$I$14,0),FALSE)*HLOOKUP(REG_TRA_DEMANDS!$F25,DEMANDS!$G$2:$CK$25,MATCH($E25,DEMANDS!$E$2:$E$25,0),FALSE)/HLOOKUP(2018,DEMANDS!$G$2:$CK$25,MATCH($E25,DEMANDS!$E$2:$E$25,0),FALSE)</f>
        <v>0.16465448239105743</v>
      </c>
      <c r="M25" s="18">
        <f>HLOOKUP(REG_TRA_DEMANDS!M$3,'BY-Demands'!$J$5:$AK$14,MATCH($E25,'BY-Demands'!$I$5:$I$14,0),FALSE)*HLOOKUP(REG_TRA_DEMANDS!$F25,DEMANDS!$G$2:$CK$25,MATCH($E25,DEMANDS!$E$2:$E$25,0),FALSE)/HLOOKUP(2018,DEMANDS!$G$2:$CK$25,MATCH($E25,DEMANDS!$E$2:$E$25,0),FALSE)</f>
        <v>0.47214876547402107</v>
      </c>
      <c r="N25" s="18">
        <f>HLOOKUP(REG_TRA_DEMANDS!N$3,'BY-Demands'!$J$5:$AK$14,MATCH($E25,'BY-Demands'!$I$5:$I$14,0),FALSE)*HLOOKUP(REG_TRA_DEMANDS!$F25,DEMANDS!$G$2:$CK$25,MATCH($E25,DEMANDS!$E$2:$E$25,0),FALSE)/HLOOKUP(2018,DEMANDS!$G$2:$CK$25,MATCH($E25,DEMANDS!$E$2:$E$25,0),FALSE)</f>
        <v>0.77716895897630511</v>
      </c>
      <c r="O25" s="18">
        <f>HLOOKUP(REG_TRA_DEMANDS!O$3,'BY-Demands'!$J$5:$AK$14,MATCH($E25,'BY-Demands'!$I$5:$I$14,0),FALSE)*HLOOKUP(REG_TRA_DEMANDS!$F25,DEMANDS!$G$2:$CK$25,MATCH($E25,DEMANDS!$E$2:$E$25,0),FALSE)/HLOOKUP(2018,DEMANDS!$G$2:$CK$25,MATCH($E25,DEMANDS!$E$2:$E$25,0),FALSE)</f>
        <v>0.32171131265762093</v>
      </c>
      <c r="P25" s="18">
        <f>HLOOKUP(REG_TRA_DEMANDS!P$3,'BY-Demands'!$J$5:$AK$14,MATCH($E25,'BY-Demands'!$I$5:$I$14,0),FALSE)*HLOOKUP(REG_TRA_DEMANDS!$F25,DEMANDS!$G$2:$CK$25,MATCH($E25,DEMANDS!$E$2:$E$25,0),FALSE)/HLOOKUP(2018,DEMANDS!$G$2:$CK$25,MATCH($E25,DEMANDS!$E$2:$E$25,0),FALSE)</f>
        <v>0.36465629444503667</v>
      </c>
      <c r="Q25" s="18">
        <f>HLOOKUP(REG_TRA_DEMANDS!Q$3,'BY-Demands'!$J$5:$AK$14,MATCH($E25,'BY-Demands'!$I$5:$I$14,0),FALSE)*HLOOKUP(REG_TRA_DEMANDS!$F25,DEMANDS!$G$2:$CK$25,MATCH($E25,DEMANDS!$E$2:$E$25,0),FALSE)/HLOOKUP(2018,DEMANDS!$G$2:$CK$25,MATCH($E25,DEMANDS!$E$2:$E$25,0),FALSE)</f>
        <v>0.63466158568530495</v>
      </c>
      <c r="R25" s="18">
        <f>HLOOKUP(REG_TRA_DEMANDS!R$3,'BY-Demands'!$J$5:$AK$14,MATCH($E25,'BY-Demands'!$I$5:$I$14,0),FALSE)*HLOOKUP(REG_TRA_DEMANDS!$F25,DEMANDS!$G$2:$CK$25,MATCH($E25,DEMANDS!$E$2:$E$25,0),FALSE)/HLOOKUP(2018,DEMANDS!$G$2:$CK$25,MATCH($E25,DEMANDS!$E$2:$E$25,0),FALSE)</f>
        <v>0.56139159672640015</v>
      </c>
      <c r="S25" s="18">
        <f>HLOOKUP(REG_TRA_DEMANDS!S$3,'BY-Demands'!$J$5:$AK$14,MATCH($E25,'BY-Demands'!$I$5:$I$14,0),FALSE)*HLOOKUP(REG_TRA_DEMANDS!$F25,DEMANDS!$G$2:$CK$25,MATCH($E25,DEMANDS!$E$2:$E$25,0),FALSE)/HLOOKUP(2018,DEMANDS!$G$2:$CK$25,MATCH($E25,DEMANDS!$E$2:$E$25,0),FALSE)</f>
        <v>0.49409319690923942</v>
      </c>
      <c r="T25" s="18">
        <f>HLOOKUP(REG_TRA_DEMANDS!T$3,'BY-Demands'!$J$5:$AK$14,MATCH($E25,'BY-Demands'!$I$5:$I$14,0),FALSE)*HLOOKUP(REG_TRA_DEMANDS!$F25,DEMANDS!$G$2:$CK$25,MATCH($E25,DEMANDS!$E$2:$E$25,0),FALSE)/HLOOKUP(2018,DEMANDS!$G$2:$CK$25,MATCH($E25,DEMANDS!$E$2:$E$25,0),FALSE)</f>
        <v>2.0894543840946076</v>
      </c>
      <c r="U25" s="18">
        <f>HLOOKUP(REG_TRA_DEMANDS!U$3,'BY-Demands'!$J$5:$AK$14,MATCH($E25,'BY-Demands'!$I$5:$I$14,0),FALSE)*HLOOKUP(REG_TRA_DEMANDS!$F25,DEMANDS!$G$2:$CK$25,MATCH($E25,DEMANDS!$E$2:$E$25,0),FALSE)/HLOOKUP(2018,DEMANDS!$G$2:$CK$25,MATCH($E25,DEMANDS!$E$2:$E$25,0),FALSE)</f>
        <v>0.63974203596279944</v>
      </c>
      <c r="V25" s="18">
        <f>HLOOKUP(REG_TRA_DEMANDS!V$3,'BY-Demands'!$J$5:$AK$14,MATCH($E25,'BY-Demands'!$I$5:$I$14,0),FALSE)*HLOOKUP(REG_TRA_DEMANDS!$F25,DEMANDS!$G$2:$CK$25,MATCH($E25,DEMANDS!$E$2:$E$25,0),FALSE)/HLOOKUP(2018,DEMANDS!$G$2:$CK$25,MATCH($E25,DEMANDS!$E$2:$E$25,0),FALSE)</f>
        <v>0.7628405505656537</v>
      </c>
      <c r="W25" s="18">
        <f>HLOOKUP(REG_TRA_DEMANDS!W$3,'BY-Demands'!$J$5:$AK$14,MATCH($E25,'BY-Demands'!$I$5:$I$14,0),FALSE)*HLOOKUP(REG_TRA_DEMANDS!$F25,DEMANDS!$G$2:$CK$25,MATCH($E25,DEMANDS!$E$2:$E$25,0),FALSE)/HLOOKUP(2018,DEMANDS!$G$2:$CK$25,MATCH($E25,DEMANDS!$E$2:$E$25,0),FALSE)</f>
        <v>0.69545894135050113</v>
      </c>
      <c r="X25" s="18">
        <f>HLOOKUP(REG_TRA_DEMANDS!X$3,'BY-Demands'!$J$5:$AK$14,MATCH($E25,'BY-Demands'!$I$5:$I$14,0),FALSE)*HLOOKUP(REG_TRA_DEMANDS!$F25,DEMANDS!$G$2:$CK$25,MATCH($E25,DEMANDS!$E$2:$E$25,0),FALSE)/HLOOKUP(2018,DEMANDS!$G$2:$CK$25,MATCH($E25,DEMANDS!$E$2:$E$25,0),FALSE)</f>
        <v>0.46180707485884398</v>
      </c>
      <c r="Y25" s="18">
        <f>HLOOKUP(REG_TRA_DEMANDS!Y$3,'BY-Demands'!$J$5:$AK$14,MATCH($E25,'BY-Demands'!$I$5:$I$14,0),FALSE)*HLOOKUP(REG_TRA_DEMANDS!$F25,DEMANDS!$G$2:$CK$25,MATCH($E25,DEMANDS!$E$2:$E$25,0),FALSE)/HLOOKUP(2018,DEMANDS!$G$2:$CK$25,MATCH($E25,DEMANDS!$E$2:$E$25,0),FALSE)</f>
        <v>1.0321697876040528</v>
      </c>
      <c r="Z25" s="18">
        <f>HLOOKUP(REG_TRA_DEMANDS!Z$3,'BY-Demands'!$J$5:$AK$14,MATCH($E25,'BY-Demands'!$I$5:$I$14,0),FALSE)*HLOOKUP(REG_TRA_DEMANDS!$F25,DEMANDS!$G$2:$CK$25,MATCH($E25,DEMANDS!$E$2:$E$25,0),FALSE)/HLOOKUP(2018,DEMANDS!$G$2:$CK$25,MATCH($E25,DEMANDS!$E$2:$E$25,0),FALSE)</f>
        <v>0.1324712089515665</v>
      </c>
      <c r="AA25" s="18">
        <f>HLOOKUP(REG_TRA_DEMANDS!AA$3,'BY-Demands'!$J$5:$AK$14,MATCH($E25,'BY-Demands'!$I$5:$I$14,0),FALSE)*HLOOKUP(REG_TRA_DEMANDS!$F25,DEMANDS!$G$2:$CK$25,MATCH($E25,DEMANDS!$E$2:$E$25,0),FALSE)/HLOOKUP(2018,DEMANDS!$G$2:$CK$25,MATCH($E25,DEMANDS!$E$2:$E$25,0),FALSE)</f>
        <v>0.55277710591727669</v>
      </c>
      <c r="AB25" s="18">
        <f>HLOOKUP(REG_TRA_DEMANDS!AB$3,'BY-Demands'!$J$5:$AK$14,MATCH($E25,'BY-Demands'!$I$5:$I$14,0),FALSE)*HLOOKUP(REG_TRA_DEMANDS!$F25,DEMANDS!$G$2:$CK$25,MATCH($E25,DEMANDS!$E$2:$E$25,0),FALSE)/HLOOKUP(2018,DEMANDS!$G$2:$CK$25,MATCH($E25,DEMANDS!$E$2:$E$25,0),FALSE)</f>
        <v>0.28916324668340665</v>
      </c>
      <c r="AC25" s="18">
        <f>HLOOKUP(REG_TRA_DEMANDS!AC$3,'BY-Demands'!$J$5:$AK$14,MATCH($E25,'BY-Demands'!$I$5:$I$14,0),FALSE)*HLOOKUP(REG_TRA_DEMANDS!$F25,DEMANDS!$G$2:$CK$25,MATCH($E25,DEMANDS!$E$2:$E$25,0),FALSE)/HLOOKUP(2018,DEMANDS!$G$2:$CK$25,MATCH($E25,DEMANDS!$E$2:$E$25,0),FALSE)</f>
        <v>0.25494039401664026</v>
      </c>
      <c r="AD25" s="18">
        <f>HLOOKUP(REG_TRA_DEMANDS!AD$3,'BY-Demands'!$J$5:$AK$14,MATCH($E25,'BY-Demands'!$I$5:$I$14,0),FALSE)*HLOOKUP(REG_TRA_DEMANDS!$F25,DEMANDS!$G$2:$CK$25,MATCH($E25,DEMANDS!$E$2:$E$25,0),FALSE)/HLOOKUP(2018,DEMANDS!$G$2:$CK$25,MATCH($E25,DEMANDS!$E$2:$E$25,0),FALSE)</f>
        <v>0.28436036503278228</v>
      </c>
      <c r="AE25" s="18">
        <f>HLOOKUP(REG_TRA_DEMANDS!AE$3,'BY-Demands'!$J$5:$AK$14,MATCH($E25,'BY-Demands'!$I$5:$I$14,0),FALSE)*HLOOKUP(REG_TRA_DEMANDS!$F25,DEMANDS!$G$2:$CK$25,MATCH($E25,DEMANDS!$E$2:$E$25,0),FALSE)/HLOOKUP(2018,DEMANDS!$G$2:$CK$25,MATCH($E25,DEMANDS!$E$2:$E$25,0),FALSE)</f>
        <v>0.55161005646634698</v>
      </c>
      <c r="AF25" s="18">
        <f>HLOOKUP(REG_TRA_DEMANDS!AF$3,'BY-Demands'!$J$5:$AK$14,MATCH($E25,'BY-Demands'!$I$5:$I$14,0),FALSE)*HLOOKUP(REG_TRA_DEMANDS!$F25,DEMANDS!$G$2:$CK$25,MATCH($E25,DEMANDS!$E$2:$E$25,0),FALSE)/HLOOKUP(2018,DEMANDS!$G$2:$CK$25,MATCH($E25,DEMANDS!$E$2:$E$25,0),FALSE)</f>
        <v>0.26455997307653784</v>
      </c>
    </row>
    <row r="26" spans="4:32" ht="14.4">
      <c r="D26" t="s">
        <v>6</v>
      </c>
      <c r="E26" t="str">
        <f>DEMANDS!$E$17</f>
        <v>TRAPS</v>
      </c>
      <c r="F26">
        <v>2050</v>
      </c>
      <c r="G26" s="18">
        <f>HLOOKUP(REG_TRA_DEMANDS!G$3,'BY-Demands'!$J$5:$AK$14,MATCH($E26,'BY-Demands'!$I$5:$I$14,0),FALSE)*HLOOKUP(REG_TRA_DEMANDS!$F26,DEMANDS!$G$2:$CK$25,MATCH($E26,DEMANDS!$E$2:$E$25,0),FALSE)/HLOOKUP(2018,DEMANDS!$G$2:$CK$25,MATCH($E26,DEMANDS!$E$2:$E$25,0),FALSE)</f>
        <v>0.25855555900821897</v>
      </c>
      <c r="H26" s="18">
        <f>HLOOKUP(REG_TRA_DEMANDS!H$3,'BY-Demands'!$J$5:$AK$14,MATCH($E26,'BY-Demands'!$I$5:$I$14,0),FALSE)*HLOOKUP(REG_TRA_DEMANDS!$F26,DEMANDS!$G$2:$CK$25,MATCH($E26,DEMANDS!$E$2:$E$25,0),FALSE)/HLOOKUP(2018,DEMANDS!$G$2:$CK$25,MATCH($E26,DEMANDS!$E$2:$E$25,0),FALSE)</f>
        <v>5.1691386689373724</v>
      </c>
      <c r="I26" s="18">
        <f>HLOOKUP(REG_TRA_DEMANDS!I$3,'BY-Demands'!$J$5:$AK$14,MATCH($E26,'BY-Demands'!$I$5:$I$14,0),FALSE)*HLOOKUP(REG_TRA_DEMANDS!$F26,DEMANDS!$G$2:$CK$25,MATCH($E26,DEMANDS!$E$2:$E$25,0),FALSE)/HLOOKUP(2018,DEMANDS!$G$2:$CK$25,MATCH($E26,DEMANDS!$E$2:$E$25,0),FALSE)</f>
        <v>0.95331883891976077</v>
      </c>
      <c r="J26" s="18">
        <f>HLOOKUP(REG_TRA_DEMANDS!J$3,'BY-Demands'!$J$5:$AK$14,MATCH($E26,'BY-Demands'!$I$5:$I$14,0),FALSE)*HLOOKUP(REG_TRA_DEMANDS!$F26,DEMANDS!$G$2:$CK$25,MATCH($E26,DEMANDS!$E$2:$E$25,0),FALSE)/HLOOKUP(2018,DEMANDS!$G$2:$CK$25,MATCH($E26,DEMANDS!$E$2:$E$25,0),FALSE)</f>
        <v>0.44227841120484146</v>
      </c>
      <c r="K26" s="18">
        <f>HLOOKUP(REG_TRA_DEMANDS!K$3,'BY-Demands'!$J$5:$AK$14,MATCH($E26,'BY-Demands'!$I$5:$I$14,0),FALSE)*HLOOKUP(REG_TRA_DEMANDS!$F26,DEMANDS!$G$2:$CK$25,MATCH($E26,DEMANDS!$E$2:$E$25,0),FALSE)/HLOOKUP(2018,DEMANDS!$G$2:$CK$25,MATCH($E26,DEMANDS!$E$2:$E$25,0),FALSE)</f>
        <v>0.34869211567693537</v>
      </c>
      <c r="L26" s="18">
        <f>HLOOKUP(REG_TRA_DEMANDS!L$3,'BY-Demands'!$J$5:$AK$14,MATCH($E26,'BY-Demands'!$I$5:$I$14,0),FALSE)*HLOOKUP(REG_TRA_DEMANDS!$F26,DEMANDS!$G$2:$CK$25,MATCH($E26,DEMANDS!$E$2:$E$25,0),FALSE)/HLOOKUP(2018,DEMANDS!$G$2:$CK$25,MATCH($E26,DEMANDS!$E$2:$E$25,0),FALSE)</f>
        <v>0.17520589622676636</v>
      </c>
      <c r="M26" s="18">
        <f>HLOOKUP(REG_TRA_DEMANDS!M$3,'BY-Demands'!$J$5:$AK$14,MATCH($E26,'BY-Demands'!$I$5:$I$14,0),FALSE)*HLOOKUP(REG_TRA_DEMANDS!$F26,DEMANDS!$G$2:$CK$25,MATCH($E26,DEMANDS!$E$2:$E$25,0),FALSE)/HLOOKUP(2018,DEMANDS!$G$2:$CK$25,MATCH($E26,DEMANDS!$E$2:$E$25,0),FALSE)</f>
        <v>0.50240507519721178</v>
      </c>
      <c r="N26" s="18">
        <f>HLOOKUP(REG_TRA_DEMANDS!N$3,'BY-Demands'!$J$5:$AK$14,MATCH($E26,'BY-Demands'!$I$5:$I$14,0),FALSE)*HLOOKUP(REG_TRA_DEMANDS!$F26,DEMANDS!$G$2:$CK$25,MATCH($E26,DEMANDS!$E$2:$E$25,0),FALSE)/HLOOKUP(2018,DEMANDS!$G$2:$CK$25,MATCH($E26,DEMANDS!$E$2:$E$25,0),FALSE)</f>
        <v>0.82697161959838528</v>
      </c>
      <c r="O26" s="18">
        <f>HLOOKUP(REG_TRA_DEMANDS!O$3,'BY-Demands'!$J$5:$AK$14,MATCH($E26,'BY-Demands'!$I$5:$I$14,0),FALSE)*HLOOKUP(REG_TRA_DEMANDS!$F26,DEMANDS!$G$2:$CK$25,MATCH($E26,DEMANDS!$E$2:$E$25,0),FALSE)/HLOOKUP(2018,DEMANDS!$G$2:$CK$25,MATCH($E26,DEMANDS!$E$2:$E$25,0),FALSE)</f>
        <v>0.342327266418404</v>
      </c>
      <c r="P26" s="18">
        <f>HLOOKUP(REG_TRA_DEMANDS!P$3,'BY-Demands'!$J$5:$AK$14,MATCH($E26,'BY-Demands'!$I$5:$I$14,0),FALSE)*HLOOKUP(REG_TRA_DEMANDS!$F26,DEMANDS!$G$2:$CK$25,MATCH($E26,DEMANDS!$E$2:$E$25,0),FALSE)/HLOOKUP(2018,DEMANDS!$G$2:$CK$25,MATCH($E26,DEMANDS!$E$2:$E$25,0),FALSE)</f>
        <v>0.38802425512616467</v>
      </c>
      <c r="Q26" s="18">
        <f>HLOOKUP(REG_TRA_DEMANDS!Q$3,'BY-Demands'!$J$5:$AK$14,MATCH($E26,'BY-Demands'!$I$5:$I$14,0),FALSE)*HLOOKUP(REG_TRA_DEMANDS!$F26,DEMANDS!$G$2:$CK$25,MATCH($E26,DEMANDS!$E$2:$E$25,0),FALSE)/HLOOKUP(2018,DEMANDS!$G$2:$CK$25,MATCH($E26,DEMANDS!$E$2:$E$25,0),FALSE)</f>
        <v>0.67533206691938641</v>
      </c>
      <c r="R26" s="18">
        <f>HLOOKUP(REG_TRA_DEMANDS!R$3,'BY-Demands'!$J$5:$AK$14,MATCH($E26,'BY-Demands'!$I$5:$I$14,0),FALSE)*HLOOKUP(REG_TRA_DEMANDS!$F26,DEMANDS!$G$2:$CK$25,MATCH($E26,DEMANDS!$E$2:$E$25,0),FALSE)/HLOOKUP(2018,DEMANDS!$G$2:$CK$25,MATCH($E26,DEMANDS!$E$2:$E$25,0),FALSE)</f>
        <v>0.59736677927187942</v>
      </c>
      <c r="S26" s="18">
        <f>HLOOKUP(REG_TRA_DEMANDS!S$3,'BY-Demands'!$J$5:$AK$14,MATCH($E26,'BY-Demands'!$I$5:$I$14,0),FALSE)*HLOOKUP(REG_TRA_DEMANDS!$F26,DEMANDS!$G$2:$CK$25,MATCH($E26,DEMANDS!$E$2:$E$25,0),FALSE)/HLOOKUP(2018,DEMANDS!$G$2:$CK$25,MATCH($E26,DEMANDS!$E$2:$E$25,0),FALSE)</f>
        <v>0.52575575305888578</v>
      </c>
      <c r="T26" s="18">
        <f>HLOOKUP(REG_TRA_DEMANDS!T$3,'BY-Demands'!$J$5:$AK$14,MATCH($E26,'BY-Demands'!$I$5:$I$14,0),FALSE)*HLOOKUP(REG_TRA_DEMANDS!$F26,DEMANDS!$G$2:$CK$25,MATCH($E26,DEMANDS!$E$2:$E$25,0),FALSE)/HLOOKUP(2018,DEMANDS!$G$2:$CK$25,MATCH($E26,DEMANDS!$E$2:$E$25,0),FALSE)</f>
        <v>2.2233511209296077</v>
      </c>
      <c r="U26" s="18">
        <f>HLOOKUP(REG_TRA_DEMANDS!U$3,'BY-Demands'!$J$5:$AK$14,MATCH($E26,'BY-Demands'!$I$5:$I$14,0),FALSE)*HLOOKUP(REG_TRA_DEMANDS!$F26,DEMANDS!$G$2:$CK$25,MATCH($E26,DEMANDS!$E$2:$E$25,0),FALSE)/HLOOKUP(2018,DEMANDS!$G$2:$CK$25,MATCH($E26,DEMANDS!$E$2:$E$25,0),FALSE)</f>
        <v>0.68073808339205</v>
      </c>
      <c r="V26" s="18">
        <f>HLOOKUP(REG_TRA_DEMANDS!V$3,'BY-Demands'!$J$5:$AK$14,MATCH($E26,'BY-Demands'!$I$5:$I$14,0),FALSE)*HLOOKUP(REG_TRA_DEMANDS!$F26,DEMANDS!$G$2:$CK$25,MATCH($E26,DEMANDS!$E$2:$E$25,0),FALSE)/HLOOKUP(2018,DEMANDS!$G$2:$CK$25,MATCH($E26,DEMANDS!$E$2:$E$25,0),FALSE)</f>
        <v>0.81172501591875379</v>
      </c>
      <c r="W26" s="18">
        <f>HLOOKUP(REG_TRA_DEMANDS!W$3,'BY-Demands'!$J$5:$AK$14,MATCH($E26,'BY-Demands'!$I$5:$I$14,0),FALSE)*HLOOKUP(REG_TRA_DEMANDS!$F26,DEMANDS!$G$2:$CK$25,MATCH($E26,DEMANDS!$E$2:$E$25,0),FALSE)/HLOOKUP(2018,DEMANDS!$G$2:$CK$25,MATCH($E26,DEMANDS!$E$2:$E$25,0),FALSE)</f>
        <v>0.74002544807034321</v>
      </c>
      <c r="X26" s="18">
        <f>HLOOKUP(REG_TRA_DEMANDS!X$3,'BY-Demands'!$J$5:$AK$14,MATCH($E26,'BY-Demands'!$I$5:$I$14,0),FALSE)*HLOOKUP(REG_TRA_DEMANDS!$F26,DEMANDS!$G$2:$CK$25,MATCH($E26,DEMANDS!$E$2:$E$25,0),FALSE)/HLOOKUP(2018,DEMANDS!$G$2:$CK$25,MATCH($E26,DEMANDS!$E$2:$E$25,0),FALSE)</f>
        <v>0.49140066677528565</v>
      </c>
      <c r="Y26" s="18">
        <f>HLOOKUP(REG_TRA_DEMANDS!Y$3,'BY-Demands'!$J$5:$AK$14,MATCH($E26,'BY-Demands'!$I$5:$I$14,0),FALSE)*HLOOKUP(REG_TRA_DEMANDS!$F26,DEMANDS!$G$2:$CK$25,MATCH($E26,DEMANDS!$E$2:$E$25,0),FALSE)/HLOOKUP(2018,DEMANDS!$G$2:$CK$25,MATCH($E26,DEMANDS!$E$2:$E$25,0),FALSE)</f>
        <v>1.0983134505008829</v>
      </c>
      <c r="Z26" s="18">
        <f>HLOOKUP(REG_TRA_DEMANDS!Z$3,'BY-Demands'!$J$5:$AK$14,MATCH($E26,'BY-Demands'!$I$5:$I$14,0),FALSE)*HLOOKUP(REG_TRA_DEMANDS!$F26,DEMANDS!$G$2:$CK$25,MATCH($E26,DEMANDS!$E$2:$E$25,0),FALSE)/HLOOKUP(2018,DEMANDS!$G$2:$CK$25,MATCH($E26,DEMANDS!$E$2:$E$25,0),FALSE)</f>
        <v>0.14096024931455489</v>
      </c>
      <c r="AA26" s="18">
        <f>HLOOKUP(REG_TRA_DEMANDS!AA$3,'BY-Demands'!$J$5:$AK$14,MATCH($E26,'BY-Demands'!$I$5:$I$14,0),FALSE)*HLOOKUP(REG_TRA_DEMANDS!$F26,DEMANDS!$G$2:$CK$25,MATCH($E26,DEMANDS!$E$2:$E$25,0),FALSE)/HLOOKUP(2018,DEMANDS!$G$2:$CK$25,MATCH($E26,DEMANDS!$E$2:$E$25,0),FALSE)</f>
        <v>0.58820025333932024</v>
      </c>
      <c r="AB26" s="18">
        <f>HLOOKUP(REG_TRA_DEMANDS!AB$3,'BY-Demands'!$J$5:$AK$14,MATCH($E26,'BY-Demands'!$I$5:$I$14,0),FALSE)*HLOOKUP(REG_TRA_DEMANDS!$F26,DEMANDS!$G$2:$CK$25,MATCH($E26,DEMANDS!$E$2:$E$25,0),FALSE)/HLOOKUP(2018,DEMANDS!$G$2:$CK$25,MATCH($E26,DEMANDS!$E$2:$E$25,0),FALSE)</f>
        <v>0.30769345028021755</v>
      </c>
      <c r="AC26" s="18">
        <f>HLOOKUP(REG_TRA_DEMANDS!AC$3,'BY-Demands'!$J$5:$AK$14,MATCH($E26,'BY-Demands'!$I$5:$I$14,0),FALSE)*HLOOKUP(REG_TRA_DEMANDS!$F26,DEMANDS!$G$2:$CK$25,MATCH($E26,DEMANDS!$E$2:$E$25,0),FALSE)/HLOOKUP(2018,DEMANDS!$G$2:$CK$25,MATCH($E26,DEMANDS!$E$2:$E$25,0),FALSE)</f>
        <v>0.27127752351135703</v>
      </c>
      <c r="AD26" s="18">
        <f>HLOOKUP(REG_TRA_DEMANDS!AD$3,'BY-Demands'!$J$5:$AK$14,MATCH($E26,'BY-Demands'!$I$5:$I$14,0),FALSE)*HLOOKUP(REG_TRA_DEMANDS!$F26,DEMANDS!$G$2:$CK$25,MATCH($E26,DEMANDS!$E$2:$E$25,0),FALSE)/HLOOKUP(2018,DEMANDS!$G$2:$CK$25,MATCH($E26,DEMANDS!$E$2:$E$25,0),FALSE)</f>
        <v>0.30258278962981289</v>
      </c>
      <c r="AE26" s="18">
        <f>HLOOKUP(REG_TRA_DEMANDS!AE$3,'BY-Demands'!$J$5:$AK$14,MATCH($E26,'BY-Demands'!$I$5:$I$14,0),FALSE)*HLOOKUP(REG_TRA_DEMANDS!$F26,DEMANDS!$G$2:$CK$25,MATCH($E26,DEMANDS!$E$2:$E$25,0),FALSE)/HLOOKUP(2018,DEMANDS!$G$2:$CK$25,MATCH($E26,DEMANDS!$E$2:$E$25,0),FALSE)</f>
        <v>0.58695841684618766</v>
      </c>
      <c r="AF26" s="18">
        <f>HLOOKUP(REG_TRA_DEMANDS!AF$3,'BY-Demands'!$J$5:$AK$14,MATCH($E26,'BY-Demands'!$I$5:$I$14,0),FALSE)*HLOOKUP(REG_TRA_DEMANDS!$F26,DEMANDS!$G$2:$CK$25,MATCH($E26,DEMANDS!$E$2:$E$25,0),FALSE)/HLOOKUP(2018,DEMANDS!$G$2:$CK$25,MATCH($E26,DEMANDS!$E$2:$E$25,0),FALSE)</f>
        <v>0.28151354591438355</v>
      </c>
    </row>
    <row r="27" spans="4:32" ht="14.4">
      <c r="D27" t="s">
        <v>6</v>
      </c>
      <c r="E27" t="str">
        <f>DEMANDS!$E$17</f>
        <v>TRAPS</v>
      </c>
      <c r="F27">
        <v>2055</v>
      </c>
      <c r="G27" s="18">
        <f>HLOOKUP(REG_TRA_DEMANDS!G$3,'BY-Demands'!$J$5:$AK$14,MATCH($E27,'BY-Demands'!$I$5:$I$14,0),FALSE)*HLOOKUP(REG_TRA_DEMANDS!$F27,DEMANDS!$G$2:$CK$25,MATCH($E27,DEMANDS!$E$2:$E$25,0),FALSE)/HLOOKUP(2018,DEMANDS!$G$2:$CK$25,MATCH($E27,DEMANDS!$E$2:$E$25,0),FALSE)</f>
        <v>0.28448685008043495</v>
      </c>
      <c r="H27" s="18">
        <f>HLOOKUP(REG_TRA_DEMANDS!H$3,'BY-Demands'!$J$5:$AK$14,MATCH($E27,'BY-Demands'!$I$5:$I$14,0),FALSE)*HLOOKUP(REG_TRA_DEMANDS!$F27,DEMANDS!$G$2:$CK$25,MATCH($E27,DEMANDS!$E$2:$E$25,0),FALSE)/HLOOKUP(2018,DEMANDS!$G$2:$CK$25,MATCH($E27,DEMANDS!$E$2:$E$25,0),FALSE)</f>
        <v>5.6875666614780425</v>
      </c>
      <c r="I27" s="18">
        <f>HLOOKUP(REG_TRA_DEMANDS!I$3,'BY-Demands'!$J$5:$AK$14,MATCH($E27,'BY-Demands'!$I$5:$I$14,0),FALSE)*HLOOKUP(REG_TRA_DEMANDS!$F27,DEMANDS!$G$2:$CK$25,MATCH($E27,DEMANDS!$E$2:$E$25,0),FALSE)/HLOOKUP(2018,DEMANDS!$G$2:$CK$25,MATCH($E27,DEMANDS!$E$2:$E$25,0),FALSE)</f>
        <v>1.0489299655630266</v>
      </c>
      <c r="J27" s="18">
        <f>HLOOKUP(REG_TRA_DEMANDS!J$3,'BY-Demands'!$J$5:$AK$14,MATCH($E27,'BY-Demands'!$I$5:$I$14,0),FALSE)*HLOOKUP(REG_TRA_DEMANDS!$F27,DEMANDS!$G$2:$CK$25,MATCH($E27,DEMANDS!$E$2:$E$25,0),FALSE)/HLOOKUP(2018,DEMANDS!$G$2:$CK$25,MATCH($E27,DEMANDS!$E$2:$E$25,0),FALSE)</f>
        <v>0.48663580293876041</v>
      </c>
      <c r="K27" s="18">
        <f>HLOOKUP(REG_TRA_DEMANDS!K$3,'BY-Demands'!$J$5:$AK$14,MATCH($E27,'BY-Demands'!$I$5:$I$14,0),FALSE)*HLOOKUP(REG_TRA_DEMANDS!$F27,DEMANDS!$G$2:$CK$25,MATCH($E27,DEMANDS!$E$2:$E$25,0),FALSE)/HLOOKUP(2018,DEMANDS!$G$2:$CK$25,MATCH($E27,DEMANDS!$E$2:$E$25,0),FALSE)</f>
        <v>0.38366346489444708</v>
      </c>
      <c r="L27" s="18">
        <f>HLOOKUP(REG_TRA_DEMANDS!L$3,'BY-Demands'!$J$5:$AK$14,MATCH($E27,'BY-Demands'!$I$5:$I$14,0),FALSE)*HLOOKUP(REG_TRA_DEMANDS!$F27,DEMANDS!$G$2:$CK$25,MATCH($E27,DEMANDS!$E$2:$E$25,0),FALSE)/HLOOKUP(2018,DEMANDS!$G$2:$CK$25,MATCH($E27,DEMANDS!$E$2:$E$25,0),FALSE)</f>
        <v>0.19277780653514348</v>
      </c>
      <c r="M27" s="18">
        <f>HLOOKUP(REG_TRA_DEMANDS!M$3,'BY-Demands'!$J$5:$AK$14,MATCH($E27,'BY-Demands'!$I$5:$I$14,0),FALSE)*HLOOKUP(REG_TRA_DEMANDS!$F27,DEMANDS!$G$2:$CK$25,MATCH($E27,DEMANDS!$E$2:$E$25,0),FALSE)/HLOOKUP(2018,DEMANDS!$G$2:$CK$25,MATCH($E27,DEMANDS!$E$2:$E$25,0),FALSE)</f>
        <v>0.55279274541815371</v>
      </c>
      <c r="N27" s="18">
        <f>HLOOKUP(REG_TRA_DEMANDS!N$3,'BY-Demands'!$J$5:$AK$14,MATCH($E27,'BY-Demands'!$I$5:$I$14,0),FALSE)*HLOOKUP(REG_TRA_DEMANDS!$F27,DEMANDS!$G$2:$CK$25,MATCH($E27,DEMANDS!$E$2:$E$25,0),FALSE)/HLOOKUP(2018,DEMANDS!$G$2:$CK$25,MATCH($E27,DEMANDS!$E$2:$E$25,0),FALSE)</f>
        <v>0.9099110151330444</v>
      </c>
      <c r="O27" s="18">
        <f>HLOOKUP(REG_TRA_DEMANDS!O$3,'BY-Demands'!$J$5:$AK$14,MATCH($E27,'BY-Demands'!$I$5:$I$14,0),FALSE)*HLOOKUP(REG_TRA_DEMANDS!$F27,DEMANDS!$G$2:$CK$25,MATCH($E27,DEMANDS!$E$2:$E$25,0),FALSE)/HLOOKUP(2018,DEMANDS!$G$2:$CK$25,MATCH($E27,DEMANDS!$E$2:$E$25,0),FALSE)</f>
        <v>0.37666026634113803</v>
      </c>
      <c r="P27" s="18">
        <f>HLOOKUP(REG_TRA_DEMANDS!P$3,'BY-Demands'!$J$5:$AK$14,MATCH($E27,'BY-Demands'!$I$5:$I$14,0),FALSE)*HLOOKUP(REG_TRA_DEMANDS!$F27,DEMANDS!$G$2:$CK$25,MATCH($E27,DEMANDS!$E$2:$E$25,0),FALSE)/HLOOKUP(2018,DEMANDS!$G$2:$CK$25,MATCH($E27,DEMANDS!$E$2:$E$25,0),FALSE)</f>
        <v>0.42694033931848524</v>
      </c>
      <c r="Q27" s="18">
        <f>HLOOKUP(REG_TRA_DEMANDS!Q$3,'BY-Demands'!$J$5:$AK$14,MATCH($E27,'BY-Demands'!$I$5:$I$14,0),FALSE)*HLOOKUP(REG_TRA_DEMANDS!$F27,DEMANDS!$G$2:$CK$25,MATCH($E27,DEMANDS!$E$2:$E$25,0),FALSE)/HLOOKUP(2018,DEMANDS!$G$2:$CK$25,MATCH($E27,DEMANDS!$E$2:$E$25,0),FALSE)</f>
        <v>0.7430630894696737</v>
      </c>
      <c r="R27" s="18">
        <f>HLOOKUP(REG_TRA_DEMANDS!R$3,'BY-Demands'!$J$5:$AK$14,MATCH($E27,'BY-Demands'!$I$5:$I$14,0),FALSE)*HLOOKUP(REG_TRA_DEMANDS!$F27,DEMANDS!$G$2:$CK$25,MATCH($E27,DEMANDS!$E$2:$E$25,0),FALSE)/HLOOKUP(2018,DEMANDS!$G$2:$CK$25,MATCH($E27,DEMANDS!$E$2:$E$25,0),FALSE)</f>
        <v>0.6572784357436664</v>
      </c>
      <c r="S27" s="18">
        <f>HLOOKUP(REG_TRA_DEMANDS!S$3,'BY-Demands'!$J$5:$AK$14,MATCH($E27,'BY-Demands'!$I$5:$I$14,0),FALSE)*HLOOKUP(REG_TRA_DEMANDS!$F27,DEMANDS!$G$2:$CK$25,MATCH($E27,DEMANDS!$E$2:$E$25,0),FALSE)/HLOOKUP(2018,DEMANDS!$G$2:$CK$25,MATCH($E27,DEMANDS!$E$2:$E$25,0),FALSE)</f>
        <v>0.57848533086320075</v>
      </c>
      <c r="T27" s="18">
        <f>HLOOKUP(REG_TRA_DEMANDS!T$3,'BY-Demands'!$J$5:$AK$14,MATCH($E27,'BY-Demands'!$I$5:$I$14,0),FALSE)*HLOOKUP(REG_TRA_DEMANDS!$F27,DEMANDS!$G$2:$CK$25,MATCH($E27,DEMANDS!$E$2:$E$25,0),FALSE)/HLOOKUP(2018,DEMANDS!$G$2:$CK$25,MATCH($E27,DEMANDS!$E$2:$E$25,0),FALSE)</f>
        <v>2.4463374890963445</v>
      </c>
      <c r="U27" s="18">
        <f>HLOOKUP(REG_TRA_DEMANDS!U$3,'BY-Demands'!$J$5:$AK$14,MATCH($E27,'BY-Demands'!$I$5:$I$14,0),FALSE)*HLOOKUP(REG_TRA_DEMANDS!$F27,DEMANDS!$G$2:$CK$25,MATCH($E27,DEMANDS!$E$2:$E$25,0),FALSE)/HLOOKUP(2018,DEMANDS!$G$2:$CK$25,MATCH($E27,DEMANDS!$E$2:$E$25,0),FALSE)</f>
        <v>0.74901129110065123</v>
      </c>
      <c r="V27" s="18">
        <f>HLOOKUP(REG_TRA_DEMANDS!V$3,'BY-Demands'!$J$5:$AK$14,MATCH($E27,'BY-Demands'!$I$5:$I$14,0),FALSE)*HLOOKUP(REG_TRA_DEMANDS!$F27,DEMANDS!$G$2:$CK$25,MATCH($E27,DEMANDS!$E$2:$E$25,0),FALSE)/HLOOKUP(2018,DEMANDS!$G$2:$CK$25,MATCH($E27,DEMANDS!$E$2:$E$25,0),FALSE)</f>
        <v>0.89313528510472462</v>
      </c>
      <c r="W27" s="18">
        <f>HLOOKUP(REG_TRA_DEMANDS!W$3,'BY-Demands'!$J$5:$AK$14,MATCH($E27,'BY-Demands'!$I$5:$I$14,0),FALSE)*HLOOKUP(REG_TRA_DEMANDS!$F27,DEMANDS!$G$2:$CK$25,MATCH($E27,DEMANDS!$E$2:$E$25,0),FALSE)/HLOOKUP(2018,DEMANDS!$G$2:$CK$25,MATCH($E27,DEMANDS!$E$2:$E$25,0),FALSE)</f>
        <v>0.81424475849000066</v>
      </c>
      <c r="X27" s="18">
        <f>HLOOKUP(REG_TRA_DEMANDS!X$3,'BY-Demands'!$J$5:$AK$14,MATCH($E27,'BY-Demands'!$I$5:$I$14,0),FALSE)*HLOOKUP(REG_TRA_DEMANDS!$F27,DEMANDS!$G$2:$CK$25,MATCH($E27,DEMANDS!$E$2:$E$25,0),FALSE)/HLOOKUP(2018,DEMANDS!$G$2:$CK$25,MATCH($E27,DEMANDS!$E$2:$E$25,0),FALSE)</f>
        <v>0.54068467278200172</v>
      </c>
      <c r="Y27" s="18">
        <f>HLOOKUP(REG_TRA_DEMANDS!Y$3,'BY-Demands'!$J$5:$AK$14,MATCH($E27,'BY-Demands'!$I$5:$I$14,0),FALSE)*HLOOKUP(REG_TRA_DEMANDS!$F27,DEMANDS!$G$2:$CK$25,MATCH($E27,DEMANDS!$E$2:$E$25,0),FALSE)/HLOOKUP(2018,DEMANDS!$G$2:$CK$25,MATCH($E27,DEMANDS!$E$2:$E$25,0),FALSE)</f>
        <v>1.2084665096063065</v>
      </c>
      <c r="Z27" s="18">
        <f>HLOOKUP(REG_TRA_DEMANDS!Z$3,'BY-Demands'!$J$5:$AK$14,MATCH($E27,'BY-Demands'!$I$5:$I$14,0),FALSE)*HLOOKUP(REG_TRA_DEMANDS!$F27,DEMANDS!$G$2:$CK$25,MATCH($E27,DEMANDS!$E$2:$E$25,0),FALSE)/HLOOKUP(2018,DEMANDS!$G$2:$CK$25,MATCH($E27,DEMANDS!$E$2:$E$25,0),FALSE)</f>
        <v>0.15509756381906206</v>
      </c>
      <c r="AA27" s="18">
        <f>HLOOKUP(REG_TRA_DEMANDS!AA$3,'BY-Demands'!$J$5:$AK$14,MATCH($E27,'BY-Demands'!$I$5:$I$14,0),FALSE)*HLOOKUP(REG_TRA_DEMANDS!$F27,DEMANDS!$G$2:$CK$25,MATCH($E27,DEMANDS!$E$2:$E$25,0),FALSE)/HLOOKUP(2018,DEMANDS!$G$2:$CK$25,MATCH($E27,DEMANDS!$E$2:$E$25,0),FALSE)</f>
        <v>0.64719257219179638</v>
      </c>
      <c r="AB27" s="18">
        <f>HLOOKUP(REG_TRA_DEMANDS!AB$3,'BY-Demands'!$J$5:$AK$14,MATCH($E27,'BY-Demands'!$I$5:$I$14,0),FALSE)*HLOOKUP(REG_TRA_DEMANDS!$F27,DEMANDS!$G$2:$CK$25,MATCH($E27,DEMANDS!$E$2:$E$25,0),FALSE)/HLOOKUP(2018,DEMANDS!$G$2:$CK$25,MATCH($E27,DEMANDS!$E$2:$E$25,0),FALSE)</f>
        <v>0.33855292377534008</v>
      </c>
      <c r="AC27" s="18">
        <f>HLOOKUP(REG_TRA_DEMANDS!AC$3,'BY-Demands'!$J$5:$AK$14,MATCH($E27,'BY-Demands'!$I$5:$I$14,0),FALSE)*HLOOKUP(REG_TRA_DEMANDS!$F27,DEMANDS!$G$2:$CK$25,MATCH($E27,DEMANDS!$E$2:$E$25,0),FALSE)/HLOOKUP(2018,DEMANDS!$G$2:$CK$25,MATCH($E27,DEMANDS!$E$2:$E$25,0),FALSE)</f>
        <v>0.29848473750631616</v>
      </c>
      <c r="AD27" s="18">
        <f>HLOOKUP(REG_TRA_DEMANDS!AD$3,'BY-Demands'!$J$5:$AK$14,MATCH($E27,'BY-Demands'!$I$5:$I$14,0),FALSE)*HLOOKUP(REG_TRA_DEMANDS!$F27,DEMANDS!$G$2:$CK$25,MATCH($E27,DEMANDS!$E$2:$E$25,0),FALSE)/HLOOKUP(2018,DEMANDS!$G$2:$CK$25,MATCH($E27,DEMANDS!$E$2:$E$25,0),FALSE)</f>
        <v>0.33292970006342043</v>
      </c>
      <c r="AE27" s="18">
        <f>HLOOKUP(REG_TRA_DEMANDS!AE$3,'BY-Demands'!$J$5:$AK$14,MATCH($E27,'BY-Demands'!$I$5:$I$14,0),FALSE)*HLOOKUP(REG_TRA_DEMANDS!$F27,DEMANDS!$G$2:$CK$25,MATCH($E27,DEMANDS!$E$2:$E$25,0),FALSE)/HLOOKUP(2018,DEMANDS!$G$2:$CK$25,MATCH($E27,DEMANDS!$E$2:$E$25,0),FALSE)</f>
        <v>0.6458261882950378</v>
      </c>
      <c r="AF27" s="18">
        <f>HLOOKUP(REG_TRA_DEMANDS!AF$3,'BY-Demands'!$J$5:$AK$14,MATCH($E27,'BY-Demands'!$I$5:$I$14,0),FALSE)*HLOOKUP(REG_TRA_DEMANDS!$F27,DEMANDS!$G$2:$CK$25,MATCH($E27,DEMANDS!$E$2:$E$25,0),FALSE)/HLOOKUP(2018,DEMANDS!$G$2:$CK$25,MATCH($E27,DEMANDS!$E$2:$E$25,0),FALSE)</f>
        <v>0.30974736044878864</v>
      </c>
    </row>
    <row r="28" spans="4:32" ht="14.4">
      <c r="D28" t="s">
        <v>6</v>
      </c>
      <c r="E28" t="str">
        <f>DEMANDS!$E$17</f>
        <v>TRAPS</v>
      </c>
      <c r="F28">
        <v>2060</v>
      </c>
      <c r="G28" s="18">
        <f>HLOOKUP(REG_TRA_DEMANDS!G$3,'BY-Demands'!$J$5:$AK$14,MATCH($E28,'BY-Demands'!$I$5:$I$14,0),FALSE)*HLOOKUP(REG_TRA_DEMANDS!$F28,DEMANDS!$G$2:$CK$25,MATCH($E28,DEMANDS!$E$2:$E$25,0),FALSE)/HLOOKUP(2018,DEMANDS!$G$2:$CK$25,MATCH($E28,DEMANDS!$E$2:$E$25,0),FALSE)</f>
        <v>0.29215821612002379</v>
      </c>
      <c r="H28" s="18">
        <f>HLOOKUP(REG_TRA_DEMANDS!H$3,'BY-Demands'!$J$5:$AK$14,MATCH($E28,'BY-Demands'!$I$5:$I$14,0),FALSE)*HLOOKUP(REG_TRA_DEMANDS!$F28,DEMANDS!$G$2:$CK$25,MATCH($E28,DEMANDS!$E$2:$E$25,0),FALSE)/HLOOKUP(2018,DEMANDS!$G$2:$CK$25,MATCH($E28,DEMANDS!$E$2:$E$25,0),FALSE)</f>
        <v>5.8409354576892714</v>
      </c>
      <c r="I28" s="18">
        <f>HLOOKUP(REG_TRA_DEMANDS!I$3,'BY-Demands'!$J$5:$AK$14,MATCH($E28,'BY-Demands'!$I$5:$I$14,0),FALSE)*HLOOKUP(REG_TRA_DEMANDS!$F28,DEMANDS!$G$2:$CK$25,MATCH($E28,DEMANDS!$E$2:$E$25,0),FALSE)/HLOOKUP(2018,DEMANDS!$G$2:$CK$25,MATCH($E28,DEMANDS!$E$2:$E$25,0),FALSE)</f>
        <v>1.0772150188561833</v>
      </c>
      <c r="J28" s="18">
        <f>HLOOKUP(REG_TRA_DEMANDS!J$3,'BY-Demands'!$J$5:$AK$14,MATCH($E28,'BY-Demands'!$I$5:$I$14,0),FALSE)*HLOOKUP(REG_TRA_DEMANDS!$F28,DEMANDS!$G$2:$CK$25,MATCH($E28,DEMANDS!$E$2:$E$25,0),FALSE)/HLOOKUP(2018,DEMANDS!$G$2:$CK$25,MATCH($E28,DEMANDS!$E$2:$E$25,0),FALSE)</f>
        <v>0.49975824206470582</v>
      </c>
      <c r="K28" s="18">
        <f>HLOOKUP(REG_TRA_DEMANDS!K$3,'BY-Demands'!$J$5:$AK$14,MATCH($E28,'BY-Demands'!$I$5:$I$14,0),FALSE)*HLOOKUP(REG_TRA_DEMANDS!$F28,DEMANDS!$G$2:$CK$25,MATCH($E28,DEMANDS!$E$2:$E$25,0),FALSE)/HLOOKUP(2018,DEMANDS!$G$2:$CK$25,MATCH($E28,DEMANDS!$E$2:$E$25,0),FALSE)</f>
        <v>0.39400919045044425</v>
      </c>
      <c r="L28" s="18">
        <f>HLOOKUP(REG_TRA_DEMANDS!L$3,'BY-Demands'!$J$5:$AK$14,MATCH($E28,'BY-Demands'!$I$5:$I$14,0),FALSE)*HLOOKUP(REG_TRA_DEMANDS!$F28,DEMANDS!$G$2:$CK$25,MATCH($E28,DEMANDS!$E$2:$E$25,0),FALSE)/HLOOKUP(2018,DEMANDS!$G$2:$CK$25,MATCH($E28,DEMANDS!$E$2:$E$25,0),FALSE)</f>
        <v>0.19797618079329288</v>
      </c>
      <c r="M28" s="18">
        <f>HLOOKUP(REG_TRA_DEMANDS!M$3,'BY-Demands'!$J$5:$AK$14,MATCH($E28,'BY-Demands'!$I$5:$I$14,0),FALSE)*HLOOKUP(REG_TRA_DEMANDS!$F28,DEMANDS!$G$2:$CK$25,MATCH($E28,DEMANDS!$E$2:$E$25,0),FALSE)/HLOOKUP(2018,DEMANDS!$G$2:$CK$25,MATCH($E28,DEMANDS!$E$2:$E$25,0),FALSE)</f>
        <v>0.56769914792123233</v>
      </c>
      <c r="N28" s="18">
        <f>HLOOKUP(REG_TRA_DEMANDS!N$3,'BY-Demands'!$J$5:$AK$14,MATCH($E28,'BY-Demands'!$I$5:$I$14,0),FALSE)*HLOOKUP(REG_TRA_DEMANDS!$F28,DEMANDS!$G$2:$CK$25,MATCH($E28,DEMANDS!$E$2:$E$25,0),FALSE)/HLOOKUP(2018,DEMANDS!$G$2:$CK$25,MATCH($E28,DEMANDS!$E$2:$E$25,0),FALSE)</f>
        <v>0.93444733538322788</v>
      </c>
      <c r="O28" s="18">
        <f>HLOOKUP(REG_TRA_DEMANDS!O$3,'BY-Demands'!$J$5:$AK$14,MATCH($E28,'BY-Demands'!$I$5:$I$14,0),FALSE)*HLOOKUP(REG_TRA_DEMANDS!$F28,DEMANDS!$G$2:$CK$25,MATCH($E28,DEMANDS!$E$2:$E$25,0),FALSE)/HLOOKUP(2018,DEMANDS!$G$2:$CK$25,MATCH($E28,DEMANDS!$E$2:$E$25,0),FALSE)</f>
        <v>0.38681714626319746</v>
      </c>
      <c r="P28" s="18">
        <f>HLOOKUP(REG_TRA_DEMANDS!P$3,'BY-Demands'!$J$5:$AK$14,MATCH($E28,'BY-Demands'!$I$5:$I$14,0),FALSE)*HLOOKUP(REG_TRA_DEMANDS!$F28,DEMANDS!$G$2:$CK$25,MATCH($E28,DEMANDS!$E$2:$E$25,0),FALSE)/HLOOKUP(2018,DEMANDS!$G$2:$CK$25,MATCH($E28,DEMANDS!$E$2:$E$25,0),FALSE)</f>
        <v>0.43845305289049169</v>
      </c>
      <c r="Q28" s="18">
        <f>HLOOKUP(REG_TRA_DEMANDS!Q$3,'BY-Demands'!$J$5:$AK$14,MATCH($E28,'BY-Demands'!$I$5:$I$14,0),FALSE)*HLOOKUP(REG_TRA_DEMANDS!$F28,DEMANDS!$G$2:$CK$25,MATCH($E28,DEMANDS!$E$2:$E$25,0),FALSE)/HLOOKUP(2018,DEMANDS!$G$2:$CK$25,MATCH($E28,DEMANDS!$E$2:$E$25,0),FALSE)</f>
        <v>0.76310025093502065</v>
      </c>
      <c r="R28" s="18">
        <f>HLOOKUP(REG_TRA_DEMANDS!R$3,'BY-Demands'!$J$5:$AK$14,MATCH($E28,'BY-Demands'!$I$5:$I$14,0),FALSE)*HLOOKUP(REG_TRA_DEMANDS!$F28,DEMANDS!$G$2:$CK$25,MATCH($E28,DEMANDS!$E$2:$E$25,0),FALSE)/HLOOKUP(2018,DEMANDS!$G$2:$CK$25,MATCH($E28,DEMANDS!$E$2:$E$25,0),FALSE)</f>
        <v>0.67500236030851868</v>
      </c>
      <c r="S28" s="18">
        <f>HLOOKUP(REG_TRA_DEMANDS!S$3,'BY-Demands'!$J$5:$AK$14,MATCH($E28,'BY-Demands'!$I$5:$I$14,0),FALSE)*HLOOKUP(REG_TRA_DEMANDS!$F28,DEMANDS!$G$2:$CK$25,MATCH($E28,DEMANDS!$E$2:$E$25,0),FALSE)/HLOOKUP(2018,DEMANDS!$G$2:$CK$25,MATCH($E28,DEMANDS!$E$2:$E$25,0),FALSE)</f>
        <v>0.59408455001983174</v>
      </c>
      <c r="T28" s="18">
        <f>HLOOKUP(REG_TRA_DEMANDS!T$3,'BY-Demands'!$J$5:$AK$14,MATCH($E28,'BY-Demands'!$I$5:$I$14,0),FALSE)*HLOOKUP(REG_TRA_DEMANDS!$F28,DEMANDS!$G$2:$CK$25,MATCH($E28,DEMANDS!$E$2:$E$25,0),FALSE)/HLOOKUP(2018,DEMANDS!$G$2:$CK$25,MATCH($E28,DEMANDS!$E$2:$E$25,0),FALSE)</f>
        <v>2.5123045112273177</v>
      </c>
      <c r="U28" s="18">
        <f>HLOOKUP(REG_TRA_DEMANDS!U$3,'BY-Demands'!$J$5:$AK$14,MATCH($E28,'BY-Demands'!$I$5:$I$14,0),FALSE)*HLOOKUP(REG_TRA_DEMANDS!$F28,DEMANDS!$G$2:$CK$25,MATCH($E28,DEMANDS!$E$2:$E$25,0),FALSE)/HLOOKUP(2018,DEMANDS!$G$2:$CK$25,MATCH($E28,DEMANDS!$E$2:$E$25,0),FALSE)</f>
        <v>0.7692088495473548</v>
      </c>
      <c r="V28" s="18">
        <f>HLOOKUP(REG_TRA_DEMANDS!V$3,'BY-Demands'!$J$5:$AK$14,MATCH($E28,'BY-Demands'!$I$5:$I$14,0),FALSE)*HLOOKUP(REG_TRA_DEMANDS!$F28,DEMANDS!$G$2:$CK$25,MATCH($E28,DEMANDS!$E$2:$E$25,0),FALSE)/HLOOKUP(2018,DEMANDS!$G$2:$CK$25,MATCH($E28,DEMANDS!$E$2:$E$25,0),FALSE)</f>
        <v>0.91721923729082311</v>
      </c>
      <c r="W28" s="18">
        <f>HLOOKUP(REG_TRA_DEMANDS!W$3,'BY-Demands'!$J$5:$AK$14,MATCH($E28,'BY-Demands'!$I$5:$I$14,0),FALSE)*HLOOKUP(REG_TRA_DEMANDS!$F28,DEMANDS!$G$2:$CK$25,MATCH($E28,DEMANDS!$E$2:$E$25,0),FALSE)/HLOOKUP(2018,DEMANDS!$G$2:$CK$25,MATCH($E28,DEMANDS!$E$2:$E$25,0),FALSE)</f>
        <v>0.83620137822981422</v>
      </c>
      <c r="X28" s="18">
        <f>HLOOKUP(REG_TRA_DEMANDS!X$3,'BY-Demands'!$J$5:$AK$14,MATCH($E28,'BY-Demands'!$I$5:$I$14,0),FALSE)*HLOOKUP(REG_TRA_DEMANDS!$F28,DEMANDS!$G$2:$CK$25,MATCH($E28,DEMANDS!$E$2:$E$25,0),FALSE)/HLOOKUP(2018,DEMANDS!$G$2:$CK$25,MATCH($E28,DEMANDS!$E$2:$E$25,0),FALSE)</f>
        <v>0.55526457352515857</v>
      </c>
      <c r="Y28" s="18">
        <f>HLOOKUP(REG_TRA_DEMANDS!Y$3,'BY-Demands'!$J$5:$AK$14,MATCH($E28,'BY-Demands'!$I$5:$I$14,0),FALSE)*HLOOKUP(REG_TRA_DEMANDS!$F28,DEMANDS!$G$2:$CK$25,MATCH($E28,DEMANDS!$E$2:$E$25,0),FALSE)/HLOOKUP(2018,DEMANDS!$G$2:$CK$25,MATCH($E28,DEMANDS!$E$2:$E$25,0),FALSE)</f>
        <v>1.241053565701002</v>
      </c>
      <c r="Z28" s="18">
        <f>HLOOKUP(REG_TRA_DEMANDS!Z$3,'BY-Demands'!$J$5:$AK$14,MATCH($E28,'BY-Demands'!$I$5:$I$14,0),FALSE)*HLOOKUP(REG_TRA_DEMANDS!$F28,DEMANDS!$G$2:$CK$25,MATCH($E28,DEMANDS!$E$2:$E$25,0),FALSE)/HLOOKUP(2018,DEMANDS!$G$2:$CK$25,MATCH($E28,DEMANDS!$E$2:$E$25,0),FALSE)</f>
        <v>0.15927986673945405</v>
      </c>
      <c r="AA28" s="18">
        <f>HLOOKUP(REG_TRA_DEMANDS!AA$3,'BY-Demands'!$J$5:$AK$14,MATCH($E28,'BY-Demands'!$I$5:$I$14,0),FALSE)*HLOOKUP(REG_TRA_DEMANDS!$F28,DEMANDS!$G$2:$CK$25,MATCH($E28,DEMANDS!$E$2:$E$25,0),FALSE)/HLOOKUP(2018,DEMANDS!$G$2:$CK$25,MATCH($E28,DEMANDS!$E$2:$E$25,0),FALSE)</f>
        <v>0.66464452513086048</v>
      </c>
      <c r="AB28" s="18">
        <f>HLOOKUP(REG_TRA_DEMANDS!AB$3,'BY-Demands'!$J$5:$AK$14,MATCH($E28,'BY-Demands'!$I$5:$I$14,0),FALSE)*HLOOKUP(REG_TRA_DEMANDS!$F28,DEMANDS!$G$2:$CK$25,MATCH($E28,DEMANDS!$E$2:$E$25,0),FALSE)/HLOOKUP(2018,DEMANDS!$G$2:$CK$25,MATCH($E28,DEMANDS!$E$2:$E$25,0),FALSE)</f>
        <v>0.34768221534477245</v>
      </c>
      <c r="AC28" s="18">
        <f>HLOOKUP(REG_TRA_DEMANDS!AC$3,'BY-Demands'!$J$5:$AK$14,MATCH($E28,'BY-Demands'!$I$5:$I$14,0),FALSE)*HLOOKUP(REG_TRA_DEMANDS!$F28,DEMANDS!$G$2:$CK$25,MATCH($E28,DEMANDS!$E$2:$E$25,0),FALSE)/HLOOKUP(2018,DEMANDS!$G$2:$CK$25,MATCH($E28,DEMANDS!$E$2:$E$25,0),FALSE)</f>
        <v>0.30653356534491105</v>
      </c>
      <c r="AD28" s="18">
        <f>HLOOKUP(REG_TRA_DEMANDS!AD$3,'BY-Demands'!$J$5:$AK$14,MATCH($E28,'BY-Demands'!$I$5:$I$14,0),FALSE)*HLOOKUP(REG_TRA_DEMANDS!$F28,DEMANDS!$G$2:$CK$25,MATCH($E28,DEMANDS!$E$2:$E$25,0),FALSE)/HLOOKUP(2018,DEMANDS!$G$2:$CK$25,MATCH($E28,DEMANDS!$E$2:$E$25,0),FALSE)</f>
        <v>0.34190735788456378</v>
      </c>
      <c r="AE28" s="18">
        <f>HLOOKUP(REG_TRA_DEMANDS!AE$3,'BY-Demands'!$J$5:$AK$14,MATCH($E28,'BY-Demands'!$I$5:$I$14,0),FALSE)*HLOOKUP(REG_TRA_DEMANDS!$F28,DEMANDS!$G$2:$CK$25,MATCH($E28,DEMANDS!$E$2:$E$25,0),FALSE)/HLOOKUP(2018,DEMANDS!$G$2:$CK$25,MATCH($E28,DEMANDS!$E$2:$E$25,0),FALSE)</f>
        <v>0.66324129583678504</v>
      </c>
      <c r="AF28" s="18">
        <f>HLOOKUP(REG_TRA_DEMANDS!AF$3,'BY-Demands'!$J$5:$AK$14,MATCH($E28,'BY-Demands'!$I$5:$I$14,0),FALSE)*HLOOKUP(REG_TRA_DEMANDS!$F28,DEMANDS!$G$2:$CK$25,MATCH($E28,DEMANDS!$E$2:$E$25,0),FALSE)/HLOOKUP(2018,DEMANDS!$G$2:$CK$25,MATCH($E28,DEMANDS!$E$2:$E$25,0),FALSE)</f>
        <v>0.31809989196694954</v>
      </c>
    </row>
    <row r="29" spans="4:32" ht="14.4">
      <c r="D29" t="s">
        <v>6</v>
      </c>
      <c r="E29" t="str">
        <f>DEMANDS!$E$17</f>
        <v>TRAPS</v>
      </c>
      <c r="F29">
        <v>2065</v>
      </c>
      <c r="G29" s="18">
        <f>HLOOKUP(REG_TRA_DEMANDS!G$3,'BY-Demands'!$J$5:$AK$14,MATCH($E29,'BY-Demands'!$I$5:$I$14,0),FALSE)*HLOOKUP(REG_TRA_DEMANDS!$F29,DEMANDS!$G$2:$CK$25,MATCH($E29,DEMANDS!$E$2:$E$25,0),FALSE)/HLOOKUP(2018,DEMANDS!$G$2:$CK$25,MATCH($E29,DEMANDS!$E$2:$E$25,0),FALSE)</f>
        <v>0.29660941591165296</v>
      </c>
      <c r="H29" s="18">
        <f>HLOOKUP(REG_TRA_DEMANDS!H$3,'BY-Demands'!$J$5:$AK$14,MATCH($E29,'BY-Demands'!$I$5:$I$14,0),FALSE)*HLOOKUP(REG_TRA_DEMANDS!$F29,DEMANDS!$G$2:$CK$25,MATCH($E29,DEMANDS!$E$2:$E$25,0),FALSE)/HLOOKUP(2018,DEMANDS!$G$2:$CK$25,MATCH($E29,DEMANDS!$E$2:$E$25,0),FALSE)</f>
        <v>5.9299254954758691</v>
      </c>
      <c r="I29" s="18">
        <f>HLOOKUP(REG_TRA_DEMANDS!I$3,'BY-Demands'!$J$5:$AK$14,MATCH($E29,'BY-Demands'!$I$5:$I$14,0),FALSE)*HLOOKUP(REG_TRA_DEMANDS!$F29,DEMANDS!$G$2:$CK$25,MATCH($E29,DEMANDS!$E$2:$E$25,0),FALSE)/HLOOKUP(2018,DEMANDS!$G$2:$CK$25,MATCH($E29,DEMANDS!$E$2:$E$25,0),FALSE)</f>
        <v>1.0936270141481543</v>
      </c>
      <c r="J29" s="18">
        <f>HLOOKUP(REG_TRA_DEMANDS!J$3,'BY-Demands'!$J$5:$AK$14,MATCH($E29,'BY-Demands'!$I$5:$I$14,0),FALSE)*HLOOKUP(REG_TRA_DEMANDS!$F29,DEMANDS!$G$2:$CK$25,MATCH($E29,DEMANDS!$E$2:$E$25,0),FALSE)/HLOOKUP(2018,DEMANDS!$G$2:$CK$25,MATCH($E29,DEMANDS!$E$2:$E$25,0),FALSE)</f>
        <v>0.50737234860083524</v>
      </c>
      <c r="K29" s="18">
        <f>HLOOKUP(REG_TRA_DEMANDS!K$3,'BY-Demands'!$J$5:$AK$14,MATCH($E29,'BY-Demands'!$I$5:$I$14,0),FALSE)*HLOOKUP(REG_TRA_DEMANDS!$F29,DEMANDS!$G$2:$CK$25,MATCH($E29,DEMANDS!$E$2:$E$25,0),FALSE)/HLOOKUP(2018,DEMANDS!$G$2:$CK$25,MATCH($E29,DEMANDS!$E$2:$E$25,0),FALSE)</f>
        <v>0.40001214888072328</v>
      </c>
      <c r="L29" s="18">
        <f>HLOOKUP(REG_TRA_DEMANDS!L$3,'BY-Demands'!$J$5:$AK$14,MATCH($E29,'BY-Demands'!$I$5:$I$14,0),FALSE)*HLOOKUP(REG_TRA_DEMANDS!$F29,DEMANDS!$G$2:$CK$25,MATCH($E29,DEMANDS!$E$2:$E$25,0),FALSE)/HLOOKUP(2018,DEMANDS!$G$2:$CK$25,MATCH($E29,DEMANDS!$E$2:$E$25,0),FALSE)</f>
        <v>0.20099246267780652</v>
      </c>
      <c r="M29" s="18">
        <f>HLOOKUP(REG_TRA_DEMANDS!M$3,'BY-Demands'!$J$5:$AK$14,MATCH($E29,'BY-Demands'!$I$5:$I$14,0),FALSE)*HLOOKUP(REG_TRA_DEMANDS!$F29,DEMANDS!$G$2:$CK$25,MATCH($E29,DEMANDS!$E$2:$E$25,0),FALSE)/HLOOKUP(2018,DEMANDS!$G$2:$CK$25,MATCH($E29,DEMANDS!$E$2:$E$25,0),FALSE)</f>
        <v>0.5763483735445738</v>
      </c>
      <c r="N29" s="18">
        <f>HLOOKUP(REG_TRA_DEMANDS!N$3,'BY-Demands'!$J$5:$AK$14,MATCH($E29,'BY-Demands'!$I$5:$I$14,0),FALSE)*HLOOKUP(REG_TRA_DEMANDS!$F29,DEMANDS!$G$2:$CK$25,MATCH($E29,DEMANDS!$E$2:$E$25,0),FALSE)/HLOOKUP(2018,DEMANDS!$G$2:$CK$25,MATCH($E29,DEMANDS!$E$2:$E$25,0),FALSE)</f>
        <v>0.9486841822526566</v>
      </c>
      <c r="O29" s="18">
        <f>HLOOKUP(REG_TRA_DEMANDS!O$3,'BY-Demands'!$J$5:$AK$14,MATCH($E29,'BY-Demands'!$I$5:$I$14,0),FALSE)*HLOOKUP(REG_TRA_DEMANDS!$F29,DEMANDS!$G$2:$CK$25,MATCH($E29,DEMANDS!$E$2:$E$25,0),FALSE)/HLOOKUP(2018,DEMANDS!$G$2:$CK$25,MATCH($E29,DEMANDS!$E$2:$E$25,0),FALSE)</f>
        <v>0.39271052973093468</v>
      </c>
      <c r="P29" s="18">
        <f>HLOOKUP(REG_TRA_DEMANDS!P$3,'BY-Demands'!$J$5:$AK$14,MATCH($E29,'BY-Demands'!$I$5:$I$14,0),FALSE)*HLOOKUP(REG_TRA_DEMANDS!$F29,DEMANDS!$G$2:$CK$25,MATCH($E29,DEMANDS!$E$2:$E$25,0),FALSE)/HLOOKUP(2018,DEMANDS!$G$2:$CK$25,MATCH($E29,DEMANDS!$E$2:$E$25,0),FALSE)</f>
        <v>0.44513313932990078</v>
      </c>
      <c r="Q29" s="18">
        <f>HLOOKUP(REG_TRA_DEMANDS!Q$3,'BY-Demands'!$J$5:$AK$14,MATCH($E29,'BY-Demands'!$I$5:$I$14,0),FALSE)*HLOOKUP(REG_TRA_DEMANDS!$F29,DEMANDS!$G$2:$CK$25,MATCH($E29,DEMANDS!$E$2:$E$25,0),FALSE)/HLOOKUP(2018,DEMANDS!$G$2:$CK$25,MATCH($E29,DEMANDS!$E$2:$E$25,0),FALSE)</f>
        <v>0.77472652564008915</v>
      </c>
      <c r="R29" s="18">
        <f>HLOOKUP(REG_TRA_DEMANDS!R$3,'BY-Demands'!$J$5:$AK$14,MATCH($E29,'BY-Demands'!$I$5:$I$14,0),FALSE)*HLOOKUP(REG_TRA_DEMANDS!$F29,DEMANDS!$G$2:$CK$25,MATCH($E29,DEMANDS!$E$2:$E$25,0),FALSE)/HLOOKUP(2018,DEMANDS!$G$2:$CK$25,MATCH($E29,DEMANDS!$E$2:$E$25,0),FALSE)</f>
        <v>0.68528641257806067</v>
      </c>
      <c r="S29" s="18">
        <f>HLOOKUP(REG_TRA_DEMANDS!S$3,'BY-Demands'!$J$5:$AK$14,MATCH($E29,'BY-Demands'!$I$5:$I$14,0),FALSE)*HLOOKUP(REG_TRA_DEMANDS!$F29,DEMANDS!$G$2:$CK$25,MATCH($E29,DEMANDS!$E$2:$E$25,0),FALSE)/HLOOKUP(2018,DEMANDS!$G$2:$CK$25,MATCH($E29,DEMANDS!$E$2:$E$25,0),FALSE)</f>
        <v>0.60313577254020756</v>
      </c>
      <c r="T29" s="18">
        <f>HLOOKUP(REG_TRA_DEMANDS!T$3,'BY-Demands'!$J$5:$AK$14,MATCH($E29,'BY-Demands'!$I$5:$I$14,0),FALSE)*HLOOKUP(REG_TRA_DEMANDS!$F29,DEMANDS!$G$2:$CK$25,MATCH($E29,DEMANDS!$E$2:$E$25,0),FALSE)/HLOOKUP(2018,DEMANDS!$G$2:$CK$25,MATCH($E29,DEMANDS!$E$2:$E$25,0),FALSE)</f>
        <v>2.5505809268811226</v>
      </c>
      <c r="U29" s="18">
        <f>HLOOKUP(REG_TRA_DEMANDS!U$3,'BY-Demands'!$J$5:$AK$14,MATCH($E29,'BY-Demands'!$I$5:$I$14,0),FALSE)*HLOOKUP(REG_TRA_DEMANDS!$F29,DEMANDS!$G$2:$CK$25,MATCH($E29,DEMANDS!$E$2:$E$25,0),FALSE)/HLOOKUP(2018,DEMANDS!$G$2:$CK$25,MATCH($E29,DEMANDS!$E$2:$E$25,0),FALSE)</f>
        <v>0.7809281922935396</v>
      </c>
      <c r="V29" s="18">
        <f>HLOOKUP(REG_TRA_DEMANDS!V$3,'BY-Demands'!$J$5:$AK$14,MATCH($E29,'BY-Demands'!$I$5:$I$14,0),FALSE)*HLOOKUP(REG_TRA_DEMANDS!$F29,DEMANDS!$G$2:$CK$25,MATCH($E29,DEMANDS!$E$2:$E$25,0),FALSE)/HLOOKUP(2018,DEMANDS!$G$2:$CK$25,MATCH($E29,DEMANDS!$E$2:$E$25,0),FALSE)</f>
        <v>0.93119360409839536</v>
      </c>
      <c r="W29" s="18">
        <f>HLOOKUP(REG_TRA_DEMANDS!W$3,'BY-Demands'!$J$5:$AK$14,MATCH($E29,'BY-Demands'!$I$5:$I$14,0),FALSE)*HLOOKUP(REG_TRA_DEMANDS!$F29,DEMANDS!$G$2:$CK$25,MATCH($E29,DEMANDS!$E$2:$E$25,0),FALSE)/HLOOKUP(2018,DEMANDS!$G$2:$CK$25,MATCH($E29,DEMANDS!$E$2:$E$25,0),FALSE)</f>
        <v>0.84894139098717403</v>
      </c>
      <c r="X29" s="18">
        <f>HLOOKUP(REG_TRA_DEMANDS!X$3,'BY-Demands'!$J$5:$AK$14,MATCH($E29,'BY-Demands'!$I$5:$I$14,0),FALSE)*HLOOKUP(REG_TRA_DEMANDS!$F29,DEMANDS!$G$2:$CK$25,MATCH($E29,DEMANDS!$E$2:$E$25,0),FALSE)/HLOOKUP(2018,DEMANDS!$G$2:$CK$25,MATCH($E29,DEMANDS!$E$2:$E$25,0),FALSE)</f>
        <v>0.56372435119904363</v>
      </c>
      <c r="Y29" s="18">
        <f>HLOOKUP(REG_TRA_DEMANDS!Y$3,'BY-Demands'!$J$5:$AK$14,MATCH($E29,'BY-Demands'!$I$5:$I$14,0),FALSE)*HLOOKUP(REG_TRA_DEMANDS!$F29,DEMANDS!$G$2:$CK$25,MATCH($E29,DEMANDS!$E$2:$E$25,0),FALSE)/HLOOKUP(2018,DEMANDS!$G$2:$CK$25,MATCH($E29,DEMANDS!$E$2:$E$25,0),FALSE)</f>
        <v>1.25996173623412</v>
      </c>
      <c r="Z29" s="18">
        <f>HLOOKUP(REG_TRA_DEMANDS!Z$3,'BY-Demands'!$J$5:$AK$14,MATCH($E29,'BY-Demands'!$I$5:$I$14,0),FALSE)*HLOOKUP(REG_TRA_DEMANDS!$F29,DEMANDS!$G$2:$CK$25,MATCH($E29,DEMANDS!$E$2:$E$25,0),FALSE)/HLOOKUP(2018,DEMANDS!$G$2:$CK$25,MATCH($E29,DEMANDS!$E$2:$E$25,0),FALSE)</f>
        <v>0.1617065878464522</v>
      </c>
      <c r="AA29" s="18">
        <f>HLOOKUP(REG_TRA_DEMANDS!AA$3,'BY-Demands'!$J$5:$AK$14,MATCH($E29,'BY-Demands'!$I$5:$I$14,0),FALSE)*HLOOKUP(REG_TRA_DEMANDS!$F29,DEMANDS!$G$2:$CK$25,MATCH($E29,DEMANDS!$E$2:$E$25,0),FALSE)/HLOOKUP(2018,DEMANDS!$G$2:$CK$25,MATCH($E29,DEMANDS!$E$2:$E$25,0),FALSE)</f>
        <v>0.67477076977685935</v>
      </c>
      <c r="AB29" s="18">
        <f>HLOOKUP(REG_TRA_DEMANDS!AB$3,'BY-Demands'!$J$5:$AK$14,MATCH($E29,'BY-Demands'!$I$5:$I$14,0),FALSE)*HLOOKUP(REG_TRA_DEMANDS!$F29,DEMANDS!$G$2:$CK$25,MATCH($E29,DEMANDS!$E$2:$E$25,0),FALSE)/HLOOKUP(2018,DEMANDS!$G$2:$CK$25,MATCH($E29,DEMANDS!$E$2:$E$25,0),FALSE)</f>
        <v>0.35297935545278858</v>
      </c>
      <c r="AC29" s="18">
        <f>HLOOKUP(REG_TRA_DEMANDS!AC$3,'BY-Demands'!$J$5:$AK$14,MATCH($E29,'BY-Demands'!$I$5:$I$14,0),FALSE)*HLOOKUP(REG_TRA_DEMANDS!$F29,DEMANDS!$G$2:$CK$25,MATCH($E29,DEMANDS!$E$2:$E$25,0),FALSE)/HLOOKUP(2018,DEMANDS!$G$2:$CK$25,MATCH($E29,DEMANDS!$E$2:$E$25,0),FALSE)</f>
        <v>0.31120378191561354</v>
      </c>
      <c r="AD29" s="18">
        <f>HLOOKUP(REG_TRA_DEMANDS!AD$3,'BY-Demands'!$J$5:$AK$14,MATCH($E29,'BY-Demands'!$I$5:$I$14,0),FALSE)*HLOOKUP(REG_TRA_DEMANDS!$F29,DEMANDS!$G$2:$CK$25,MATCH($E29,DEMANDS!$E$2:$E$25,0),FALSE)/HLOOKUP(2018,DEMANDS!$G$2:$CK$25,MATCH($E29,DEMANDS!$E$2:$E$25,0),FALSE)</f>
        <v>0.34711651469139143</v>
      </c>
      <c r="AE29" s="18">
        <f>HLOOKUP(REG_TRA_DEMANDS!AE$3,'BY-Demands'!$J$5:$AK$14,MATCH($E29,'BY-Demands'!$I$5:$I$14,0),FALSE)*HLOOKUP(REG_TRA_DEMANDS!$F29,DEMANDS!$G$2:$CK$25,MATCH($E29,DEMANDS!$E$2:$E$25,0),FALSE)/HLOOKUP(2018,DEMANDS!$G$2:$CK$25,MATCH($E29,DEMANDS!$E$2:$E$25,0),FALSE)</f>
        <v>0.673346161471013</v>
      </c>
      <c r="AF29" s="18">
        <f>HLOOKUP(REG_TRA_DEMANDS!AF$3,'BY-Demands'!$J$5:$AK$14,MATCH($E29,'BY-Demands'!$I$5:$I$14,0),FALSE)*HLOOKUP(REG_TRA_DEMANDS!$F29,DEMANDS!$G$2:$CK$25,MATCH($E29,DEMANDS!$E$2:$E$25,0),FALSE)/HLOOKUP(2018,DEMANDS!$G$2:$CK$25,MATCH($E29,DEMANDS!$E$2:$E$25,0),FALSE)</f>
        <v>0.32294632822893321</v>
      </c>
    </row>
    <row r="30" spans="4:32" ht="14.4">
      <c r="D30" t="s">
        <v>6</v>
      </c>
      <c r="E30" t="str">
        <f>DEMANDS!$E$17</f>
        <v>TRAPS</v>
      </c>
      <c r="F30">
        <v>2070</v>
      </c>
      <c r="G30" s="18">
        <f>HLOOKUP(REG_TRA_DEMANDS!G$3,'BY-Demands'!$J$5:$AK$14,MATCH($E30,'BY-Demands'!$I$5:$I$14,0),FALSE)*HLOOKUP(REG_TRA_DEMANDS!$F30,DEMANDS!$G$2:$CK$25,MATCH($E30,DEMANDS!$E$2:$E$25,0),FALSE)/HLOOKUP(2018,DEMANDS!$G$2:$CK$25,MATCH($E30,DEMANDS!$E$2:$E$25,0),FALSE)</f>
        <v>0.30138686240335427</v>
      </c>
      <c r="H30" s="18">
        <f>HLOOKUP(REG_TRA_DEMANDS!H$3,'BY-Demands'!$J$5:$AK$14,MATCH($E30,'BY-Demands'!$I$5:$I$14,0),FALSE)*HLOOKUP(REG_TRA_DEMANDS!$F30,DEMANDS!$G$2:$CK$25,MATCH($E30,DEMANDS!$E$2:$E$25,0),FALSE)/HLOOKUP(2018,DEMANDS!$G$2:$CK$25,MATCH($E30,DEMANDS!$E$2:$E$25,0),FALSE)</f>
        <v>6.0254379783393581</v>
      </c>
      <c r="I30" s="18">
        <f>HLOOKUP(REG_TRA_DEMANDS!I$3,'BY-Demands'!$J$5:$AK$14,MATCH($E30,'BY-Demands'!$I$5:$I$14,0),FALSE)*HLOOKUP(REG_TRA_DEMANDS!$F30,DEMANDS!$G$2:$CK$25,MATCH($E30,DEMANDS!$E$2:$E$25,0),FALSE)/HLOOKUP(2018,DEMANDS!$G$2:$CK$25,MATCH($E30,DEMANDS!$E$2:$E$25,0),FALSE)</f>
        <v>1.1112419119285002</v>
      </c>
      <c r="J30" s="18">
        <f>HLOOKUP(REG_TRA_DEMANDS!J$3,'BY-Demands'!$J$5:$AK$14,MATCH($E30,'BY-Demands'!$I$5:$I$14,0),FALSE)*HLOOKUP(REG_TRA_DEMANDS!$F30,DEMANDS!$G$2:$CK$25,MATCH($E30,DEMANDS!$E$2:$E$25,0),FALSE)/HLOOKUP(2018,DEMANDS!$G$2:$CK$25,MATCH($E30,DEMANDS!$E$2:$E$25,0),FALSE)</f>
        <v>0.51554452425264019</v>
      </c>
      <c r="K30" s="18">
        <f>HLOOKUP(REG_TRA_DEMANDS!K$3,'BY-Demands'!$J$5:$AK$14,MATCH($E30,'BY-Demands'!$I$5:$I$14,0),FALSE)*HLOOKUP(REG_TRA_DEMANDS!$F30,DEMANDS!$G$2:$CK$25,MATCH($E30,DEMANDS!$E$2:$E$25,0),FALSE)/HLOOKUP(2018,DEMANDS!$G$2:$CK$25,MATCH($E30,DEMANDS!$E$2:$E$25,0),FALSE)</f>
        <v>0.40645508876998604</v>
      </c>
      <c r="L30" s="18">
        <f>HLOOKUP(REG_TRA_DEMANDS!L$3,'BY-Demands'!$J$5:$AK$14,MATCH($E30,'BY-Demands'!$I$5:$I$14,0),FALSE)*HLOOKUP(REG_TRA_DEMANDS!$F30,DEMANDS!$G$2:$CK$25,MATCH($E30,DEMANDS!$E$2:$E$25,0),FALSE)/HLOOKUP(2018,DEMANDS!$G$2:$CK$25,MATCH($E30,DEMANDS!$E$2:$E$25,0),FALSE)</f>
        <v>0.20422982024019926</v>
      </c>
      <c r="M30" s="18">
        <f>HLOOKUP(REG_TRA_DEMANDS!M$3,'BY-Demands'!$J$5:$AK$14,MATCH($E30,'BY-Demands'!$I$5:$I$14,0),FALSE)*HLOOKUP(REG_TRA_DEMANDS!$F30,DEMANDS!$G$2:$CK$25,MATCH($E30,DEMANDS!$E$2:$E$25,0),FALSE)/HLOOKUP(2018,DEMANDS!$G$2:$CK$25,MATCH($E30,DEMANDS!$E$2:$E$25,0),FALSE)</f>
        <v>0.58563153640953292</v>
      </c>
      <c r="N30" s="18">
        <f>HLOOKUP(REG_TRA_DEMANDS!N$3,'BY-Demands'!$J$5:$AK$14,MATCH($E30,'BY-Demands'!$I$5:$I$14,0),FALSE)*HLOOKUP(REG_TRA_DEMANDS!$F30,DEMANDS!$G$2:$CK$25,MATCH($E30,DEMANDS!$E$2:$E$25,0),FALSE)/HLOOKUP(2018,DEMANDS!$G$2:$CK$25,MATCH($E30,DEMANDS!$E$2:$E$25,0),FALSE)</f>
        <v>0.96396450605594897</v>
      </c>
      <c r="O30" s="18">
        <f>HLOOKUP(REG_TRA_DEMANDS!O$3,'BY-Demands'!$J$5:$AK$14,MATCH($E30,'BY-Demands'!$I$5:$I$14,0),FALSE)*HLOOKUP(REG_TRA_DEMANDS!$F30,DEMANDS!$G$2:$CK$25,MATCH($E30,DEMANDS!$E$2:$E$25,0),FALSE)/HLOOKUP(2018,DEMANDS!$G$2:$CK$25,MATCH($E30,DEMANDS!$E$2:$E$25,0),FALSE)</f>
        <v>0.39903586345896452</v>
      </c>
      <c r="P30" s="18">
        <f>HLOOKUP(REG_TRA_DEMANDS!P$3,'BY-Demands'!$J$5:$AK$14,MATCH($E30,'BY-Demands'!$I$5:$I$14,0),FALSE)*HLOOKUP(REG_TRA_DEMANDS!$F30,DEMANDS!$G$2:$CK$25,MATCH($E30,DEMANDS!$E$2:$E$25,0),FALSE)/HLOOKUP(2018,DEMANDS!$G$2:$CK$25,MATCH($E30,DEMANDS!$E$2:$E$25,0),FALSE)</f>
        <v>0.45230283671895821</v>
      </c>
      <c r="Q30" s="18">
        <f>HLOOKUP(REG_TRA_DEMANDS!Q$3,'BY-Demands'!$J$5:$AK$14,MATCH($E30,'BY-Demands'!$I$5:$I$14,0),FALSE)*HLOOKUP(REG_TRA_DEMANDS!$F30,DEMANDS!$G$2:$CK$25,MATCH($E30,DEMANDS!$E$2:$E$25,0),FALSE)/HLOOKUP(2018,DEMANDS!$G$2:$CK$25,MATCH($E30,DEMANDS!$E$2:$E$25,0),FALSE)</f>
        <v>0.78720493773153011</v>
      </c>
      <c r="R30" s="18">
        <f>HLOOKUP(REG_TRA_DEMANDS!R$3,'BY-Demands'!$J$5:$AK$14,MATCH($E30,'BY-Demands'!$I$5:$I$14,0),FALSE)*HLOOKUP(REG_TRA_DEMANDS!$F30,DEMANDS!$G$2:$CK$25,MATCH($E30,DEMANDS!$E$2:$E$25,0),FALSE)/HLOOKUP(2018,DEMANDS!$G$2:$CK$25,MATCH($E30,DEMANDS!$E$2:$E$25,0),FALSE)</f>
        <v>0.69632422524330928</v>
      </c>
      <c r="S30" s="18">
        <f>HLOOKUP(REG_TRA_DEMANDS!S$3,'BY-Demands'!$J$5:$AK$14,MATCH($E30,'BY-Demands'!$I$5:$I$14,0),FALSE)*HLOOKUP(REG_TRA_DEMANDS!$F30,DEMANDS!$G$2:$CK$25,MATCH($E30,DEMANDS!$E$2:$E$25,0),FALSE)/HLOOKUP(2018,DEMANDS!$G$2:$CK$25,MATCH($E30,DEMANDS!$E$2:$E$25,0),FALSE)</f>
        <v>0.61285039630454563</v>
      </c>
      <c r="T30" s="18">
        <f>HLOOKUP(REG_TRA_DEMANDS!T$3,'BY-Demands'!$J$5:$AK$14,MATCH($E30,'BY-Demands'!$I$5:$I$14,0),FALSE)*HLOOKUP(REG_TRA_DEMANDS!$F30,DEMANDS!$G$2:$CK$25,MATCH($E30,DEMANDS!$E$2:$E$25,0),FALSE)/HLOOKUP(2018,DEMANDS!$G$2:$CK$25,MATCH($E30,DEMANDS!$E$2:$E$25,0),FALSE)</f>
        <v>2.5916627781213335</v>
      </c>
      <c r="U30" s="18">
        <f>HLOOKUP(REG_TRA_DEMANDS!U$3,'BY-Demands'!$J$5:$AK$14,MATCH($E30,'BY-Demands'!$I$5:$I$14,0),FALSE)*HLOOKUP(REG_TRA_DEMANDS!$F30,DEMANDS!$G$2:$CK$25,MATCH($E30,DEMANDS!$E$2:$E$25,0),FALSE)/HLOOKUP(2018,DEMANDS!$G$2:$CK$25,MATCH($E30,DEMANDS!$E$2:$E$25,0),FALSE)</f>
        <v>0.79350649376477356</v>
      </c>
      <c r="V30" s="18">
        <f>HLOOKUP(REG_TRA_DEMANDS!V$3,'BY-Demands'!$J$5:$AK$14,MATCH($E30,'BY-Demands'!$I$5:$I$14,0),FALSE)*HLOOKUP(REG_TRA_DEMANDS!$F30,DEMANDS!$G$2:$CK$25,MATCH($E30,DEMANDS!$E$2:$E$25,0),FALSE)/HLOOKUP(2018,DEMANDS!$G$2:$CK$25,MATCH($E30,DEMANDS!$E$2:$E$25,0),FALSE)</f>
        <v>0.94619220959890193</v>
      </c>
      <c r="W30" s="18">
        <f>HLOOKUP(REG_TRA_DEMANDS!W$3,'BY-Demands'!$J$5:$AK$14,MATCH($E30,'BY-Demands'!$I$5:$I$14,0),FALSE)*HLOOKUP(REG_TRA_DEMANDS!$F30,DEMANDS!$G$2:$CK$25,MATCH($E30,DEMANDS!$E$2:$E$25,0),FALSE)/HLOOKUP(2018,DEMANDS!$G$2:$CK$25,MATCH($E30,DEMANDS!$E$2:$E$25,0),FALSE)</f>
        <v>0.86261517156344447</v>
      </c>
      <c r="X30" s="18">
        <f>HLOOKUP(REG_TRA_DEMANDS!X$3,'BY-Demands'!$J$5:$AK$14,MATCH($E30,'BY-Demands'!$I$5:$I$14,0),FALSE)*HLOOKUP(REG_TRA_DEMANDS!$F30,DEMANDS!$G$2:$CK$25,MATCH($E30,DEMANDS!$E$2:$E$25,0),FALSE)/HLOOKUP(2018,DEMANDS!$G$2:$CK$25,MATCH($E30,DEMANDS!$E$2:$E$25,0),FALSE)</f>
        <v>0.57280418069685246</v>
      </c>
      <c r="Y30" s="18">
        <f>HLOOKUP(REG_TRA_DEMANDS!Y$3,'BY-Demands'!$J$5:$AK$14,MATCH($E30,'BY-Demands'!$I$5:$I$14,0),FALSE)*HLOOKUP(REG_TRA_DEMANDS!$F30,DEMANDS!$G$2:$CK$25,MATCH($E30,DEMANDS!$E$2:$E$25,0),FALSE)/HLOOKUP(2018,DEMANDS!$G$2:$CK$25,MATCH($E30,DEMANDS!$E$2:$E$25,0),FALSE)</f>
        <v>1.2802557641831265</v>
      </c>
      <c r="Z30" s="18">
        <f>HLOOKUP(REG_TRA_DEMANDS!Z$3,'BY-Demands'!$J$5:$AK$14,MATCH($E30,'BY-Demands'!$I$5:$I$14,0),FALSE)*HLOOKUP(REG_TRA_DEMANDS!$F30,DEMANDS!$G$2:$CK$25,MATCH($E30,DEMANDS!$E$2:$E$25,0),FALSE)/HLOOKUP(2018,DEMANDS!$G$2:$CK$25,MATCH($E30,DEMANDS!$E$2:$E$25,0),FALSE)</f>
        <v>0.16431117330243827</v>
      </c>
      <c r="AA30" s="18">
        <f>HLOOKUP(REG_TRA_DEMANDS!AA$3,'BY-Demands'!$J$5:$AK$14,MATCH($E30,'BY-Demands'!$I$5:$I$14,0),FALSE)*HLOOKUP(REG_TRA_DEMANDS!$F30,DEMANDS!$G$2:$CK$25,MATCH($E30,DEMANDS!$E$2:$E$25,0),FALSE)/HLOOKUP(2018,DEMANDS!$G$2:$CK$25,MATCH($E30,DEMANDS!$E$2:$E$25,0),FALSE)</f>
        <v>0.68563920845020621</v>
      </c>
      <c r="AB30" s="18">
        <f>HLOOKUP(REG_TRA_DEMANDS!AB$3,'BY-Demands'!$J$5:$AK$14,MATCH($E30,'BY-Demands'!$I$5:$I$14,0),FALSE)*HLOOKUP(REG_TRA_DEMANDS!$F30,DEMANDS!$G$2:$CK$25,MATCH($E30,DEMANDS!$E$2:$E$25,0),FALSE)/HLOOKUP(2018,DEMANDS!$G$2:$CK$25,MATCH($E30,DEMANDS!$E$2:$E$25,0),FALSE)</f>
        <v>0.35866474469833159</v>
      </c>
      <c r="AC30" s="18">
        <f>HLOOKUP(REG_TRA_DEMANDS!AC$3,'BY-Demands'!$J$5:$AK$14,MATCH($E30,'BY-Demands'!$I$5:$I$14,0),FALSE)*HLOOKUP(REG_TRA_DEMANDS!$F30,DEMANDS!$G$2:$CK$25,MATCH($E30,DEMANDS!$E$2:$E$25,0),FALSE)/HLOOKUP(2018,DEMANDS!$G$2:$CK$25,MATCH($E30,DEMANDS!$E$2:$E$25,0),FALSE)</f>
        <v>0.31621629782495259</v>
      </c>
      <c r="AD30" s="18">
        <f>HLOOKUP(REG_TRA_DEMANDS!AD$3,'BY-Demands'!$J$5:$AK$14,MATCH($E30,'BY-Demands'!$I$5:$I$14,0),FALSE)*HLOOKUP(REG_TRA_DEMANDS!$F30,DEMANDS!$G$2:$CK$25,MATCH($E30,DEMANDS!$E$2:$E$25,0),FALSE)/HLOOKUP(2018,DEMANDS!$G$2:$CK$25,MATCH($E30,DEMANDS!$E$2:$E$25,0),FALSE)</f>
        <v>0.35270747197852598</v>
      </c>
      <c r="AE30" s="18">
        <f>HLOOKUP(REG_TRA_DEMANDS!AE$3,'BY-Demands'!$J$5:$AK$14,MATCH($E30,'BY-Demands'!$I$5:$I$14,0),FALSE)*HLOOKUP(REG_TRA_DEMANDS!$F30,DEMANDS!$G$2:$CK$25,MATCH($E30,DEMANDS!$E$2:$E$25,0),FALSE)/HLOOKUP(2018,DEMANDS!$G$2:$CK$25,MATCH($E30,DEMANDS!$E$2:$E$25,0),FALSE)</f>
        <v>0.68419165417707861</v>
      </c>
      <c r="AF30" s="18">
        <f>HLOOKUP(REG_TRA_DEMANDS!AF$3,'BY-Demands'!$J$5:$AK$14,MATCH($E30,'BY-Demands'!$I$5:$I$14,0),FALSE)*HLOOKUP(REG_TRA_DEMANDS!$F30,DEMANDS!$G$2:$CK$25,MATCH($E30,DEMANDS!$E$2:$E$25,0),FALSE)/HLOOKUP(2018,DEMANDS!$G$2:$CK$25,MATCH($E30,DEMANDS!$E$2:$E$25,0),FALSE)</f>
        <v>0.32814797969391801</v>
      </c>
    </row>
    <row r="31" spans="4:32" ht="14.4">
      <c r="D31" s="19" t="s">
        <v>6</v>
      </c>
      <c r="E31" s="19" t="str">
        <f>DEMANDS!$E$18</f>
        <v>TRAPM</v>
      </c>
      <c r="F31" s="19">
        <v>2020</v>
      </c>
      <c r="G31" s="20">
        <f>HLOOKUP(REG_TRA_DEMANDS!G$3,'BY-Demands'!$J$5:$AK$14,MATCH($E31,'BY-Demands'!$I$5:$I$14,0),FALSE)*HLOOKUP(REG_TRA_DEMANDS!$F31,DEMANDS!$G$2:$CK$25,MATCH($E31,DEMANDS!$E$2:$E$25,0),FALSE)/HLOOKUP(2018,DEMANDS!$G$2:$CK$25,MATCH($E31,DEMANDS!$E$2:$E$25,0),FALSE)</f>
        <v>0.32193664473309486</v>
      </c>
      <c r="H31" s="20">
        <f>HLOOKUP(REG_TRA_DEMANDS!H$3,'BY-Demands'!$J$5:$AK$14,MATCH($E31,'BY-Demands'!$I$5:$I$14,0),FALSE)*HLOOKUP(REG_TRA_DEMANDS!$F31,DEMANDS!$G$2:$CK$25,MATCH($E31,DEMANDS!$E$2:$E$25,0),FALSE)/HLOOKUP(2018,DEMANDS!$G$2:$CK$25,MATCH($E31,DEMANDS!$E$2:$E$25,0),FALSE)</f>
        <v>5.637813854608976</v>
      </c>
      <c r="I31" s="20">
        <f>HLOOKUP(REG_TRA_DEMANDS!I$3,'BY-Demands'!$J$5:$AK$14,MATCH($E31,'BY-Demands'!$I$5:$I$14,0),FALSE)*HLOOKUP(REG_TRA_DEMANDS!$F31,DEMANDS!$G$2:$CK$25,MATCH($E31,DEMANDS!$E$2:$E$25,0),FALSE)/HLOOKUP(2018,DEMANDS!$G$2:$CK$25,MATCH($E31,DEMANDS!$E$2:$E$25,0),FALSE)</f>
        <v>1.1480382927336128</v>
      </c>
      <c r="J31" s="20">
        <f>HLOOKUP(REG_TRA_DEMANDS!J$3,'BY-Demands'!$J$5:$AK$14,MATCH($E31,'BY-Demands'!$I$5:$I$14,0),FALSE)*HLOOKUP(REG_TRA_DEMANDS!$F31,DEMANDS!$G$2:$CK$25,MATCH($E31,DEMANDS!$E$2:$E$25,0),FALSE)/HLOOKUP(2018,DEMANDS!$G$2:$CK$25,MATCH($E31,DEMANDS!$E$2:$E$25,0),FALSE)</f>
        <v>0.54522568908947855</v>
      </c>
      <c r="K31" s="20">
        <f>HLOOKUP(REG_TRA_DEMANDS!K$3,'BY-Demands'!$J$5:$AK$14,MATCH($E31,'BY-Demands'!$I$5:$I$14,0),FALSE)*HLOOKUP(REG_TRA_DEMANDS!$F31,DEMANDS!$G$2:$CK$25,MATCH($E31,DEMANDS!$E$2:$E$25,0),FALSE)/HLOOKUP(2018,DEMANDS!$G$2:$CK$25,MATCH($E31,DEMANDS!$E$2:$E$25,0),FALSE)</f>
        <v>0.41020881320348074</v>
      </c>
      <c r="L31" s="20">
        <f>HLOOKUP(REG_TRA_DEMANDS!L$3,'BY-Demands'!$J$5:$AK$14,MATCH($E31,'BY-Demands'!$I$5:$I$14,0),FALSE)*HLOOKUP(REG_TRA_DEMANDS!$F31,DEMANDS!$G$2:$CK$25,MATCH($E31,DEMANDS!$E$2:$E$25,0),FALSE)/HLOOKUP(2018,DEMANDS!$G$2:$CK$25,MATCH($E31,DEMANDS!$E$2:$E$25,0),FALSE)</f>
        <v>0.21133746790128183</v>
      </c>
      <c r="M31" s="20">
        <f>HLOOKUP(REG_TRA_DEMANDS!M$3,'BY-Demands'!$J$5:$AK$14,MATCH($E31,'BY-Demands'!$I$5:$I$14,0),FALSE)*HLOOKUP(REG_TRA_DEMANDS!$F31,DEMANDS!$G$2:$CK$25,MATCH($E31,DEMANDS!$E$2:$E$25,0),FALSE)/HLOOKUP(2018,DEMANDS!$G$2:$CK$25,MATCH($E31,DEMANDS!$E$2:$E$25,0),FALSE)</f>
        <v>0.56924850267004323</v>
      </c>
      <c r="N31" s="20">
        <f>HLOOKUP(REG_TRA_DEMANDS!N$3,'BY-Demands'!$J$5:$AK$14,MATCH($E31,'BY-Demands'!$I$5:$I$14,0),FALSE)*HLOOKUP(REG_TRA_DEMANDS!$F31,DEMANDS!$G$2:$CK$25,MATCH($E31,DEMANDS!$E$2:$E$25,0),FALSE)/HLOOKUP(2018,DEMANDS!$G$2:$CK$25,MATCH($E31,DEMANDS!$E$2:$E$25,0),FALSE)</f>
        <v>0.98828046988197249</v>
      </c>
      <c r="O31" s="20">
        <f>HLOOKUP(REG_TRA_DEMANDS!O$3,'BY-Demands'!$J$5:$AK$14,MATCH($E31,'BY-Demands'!$I$5:$I$14,0),FALSE)*HLOOKUP(REG_TRA_DEMANDS!$F31,DEMANDS!$G$2:$CK$25,MATCH($E31,DEMANDS!$E$2:$E$25,0),FALSE)/HLOOKUP(2018,DEMANDS!$G$2:$CK$25,MATCH($E31,DEMANDS!$E$2:$E$25,0),FALSE)</f>
        <v>0.41882409160736161</v>
      </c>
      <c r="P31" s="20">
        <f>HLOOKUP(REG_TRA_DEMANDS!P$3,'BY-Demands'!$J$5:$AK$14,MATCH($E31,'BY-Demands'!$I$5:$I$14,0),FALSE)*HLOOKUP(REG_TRA_DEMANDS!$F31,DEMANDS!$G$2:$CK$25,MATCH($E31,DEMANDS!$E$2:$E$25,0),FALSE)/HLOOKUP(2018,DEMANDS!$G$2:$CK$25,MATCH($E31,DEMANDS!$E$2:$E$25,0),FALSE)</f>
        <v>0.47278848560105868</v>
      </c>
      <c r="Q31" s="20">
        <f>HLOOKUP(REG_TRA_DEMANDS!Q$3,'BY-Demands'!$J$5:$AK$14,MATCH($E31,'BY-Demands'!$I$5:$I$14,0),FALSE)*HLOOKUP(REG_TRA_DEMANDS!$F31,DEMANDS!$G$2:$CK$25,MATCH($E31,DEMANDS!$E$2:$E$25,0),FALSE)/HLOOKUP(2018,DEMANDS!$G$2:$CK$25,MATCH($E31,DEMANDS!$E$2:$E$25,0),FALSE)</f>
        <v>0.83850274795415447</v>
      </c>
      <c r="R31" s="20">
        <f>HLOOKUP(REG_TRA_DEMANDS!R$3,'BY-Demands'!$J$5:$AK$14,MATCH($E31,'BY-Demands'!$I$5:$I$14,0),FALSE)*HLOOKUP(REG_TRA_DEMANDS!$F31,DEMANDS!$G$2:$CK$25,MATCH($E31,DEMANDS!$E$2:$E$25,0),FALSE)/HLOOKUP(2018,DEMANDS!$G$2:$CK$25,MATCH($E31,DEMANDS!$E$2:$E$25,0),FALSE)</f>
        <v>0.71154373932557857</v>
      </c>
      <c r="S31" s="20">
        <f>HLOOKUP(REG_TRA_DEMANDS!S$3,'BY-Demands'!$J$5:$AK$14,MATCH($E31,'BY-Demands'!$I$5:$I$14,0),FALSE)*HLOOKUP(REG_TRA_DEMANDS!$F31,DEMANDS!$G$2:$CK$25,MATCH($E31,DEMANDS!$E$2:$E$25,0),FALSE)/HLOOKUP(2018,DEMANDS!$G$2:$CK$25,MATCH($E31,DEMANDS!$E$2:$E$25,0),FALSE)</f>
        <v>0.64533477367968184</v>
      </c>
      <c r="T31" s="20">
        <f>HLOOKUP(REG_TRA_DEMANDS!T$3,'BY-Demands'!$J$5:$AK$14,MATCH($E31,'BY-Demands'!$I$5:$I$14,0),FALSE)*HLOOKUP(REG_TRA_DEMANDS!$F31,DEMANDS!$G$2:$CK$25,MATCH($E31,DEMANDS!$E$2:$E$25,0),FALSE)/HLOOKUP(2018,DEMANDS!$G$2:$CK$25,MATCH($E31,DEMANDS!$E$2:$E$25,0),FALSE)</f>
        <v>2.6080003354214218</v>
      </c>
      <c r="U31" s="20">
        <f>HLOOKUP(REG_TRA_DEMANDS!U$3,'BY-Demands'!$J$5:$AK$14,MATCH($E31,'BY-Demands'!$I$5:$I$14,0),FALSE)*HLOOKUP(REG_TRA_DEMANDS!$F31,DEMANDS!$G$2:$CK$25,MATCH($E31,DEMANDS!$E$2:$E$25,0),FALSE)/HLOOKUP(2018,DEMANDS!$G$2:$CK$25,MATCH($E31,DEMANDS!$E$2:$E$25,0),FALSE)</f>
        <v>0.8535978085319772</v>
      </c>
      <c r="V31" s="20">
        <f>HLOOKUP(REG_TRA_DEMANDS!V$3,'BY-Demands'!$J$5:$AK$14,MATCH($E31,'BY-Demands'!$I$5:$I$14,0),FALSE)*HLOOKUP(REG_TRA_DEMANDS!$F31,DEMANDS!$G$2:$CK$25,MATCH($E31,DEMANDS!$E$2:$E$25,0),FALSE)/HLOOKUP(2018,DEMANDS!$G$2:$CK$25,MATCH($E31,DEMANDS!$E$2:$E$25,0),FALSE)</f>
        <v>0.96137078018953437</v>
      </c>
      <c r="W31" s="20">
        <f>HLOOKUP(REG_TRA_DEMANDS!W$3,'BY-Demands'!$J$5:$AK$14,MATCH($E31,'BY-Demands'!$I$5:$I$14,0),FALSE)*HLOOKUP(REG_TRA_DEMANDS!$F31,DEMANDS!$G$2:$CK$25,MATCH($E31,DEMANDS!$E$2:$E$25,0),FALSE)/HLOOKUP(2018,DEMANDS!$G$2:$CK$25,MATCH($E31,DEMANDS!$E$2:$E$25,0),FALSE)</f>
        <v>0.932415749736074</v>
      </c>
      <c r="X31" s="20">
        <f>HLOOKUP(REG_TRA_DEMANDS!X$3,'BY-Demands'!$J$5:$AK$14,MATCH($E31,'BY-Demands'!$I$5:$I$14,0),FALSE)*HLOOKUP(REG_TRA_DEMANDS!$F31,DEMANDS!$G$2:$CK$25,MATCH($E31,DEMANDS!$E$2:$E$25,0),FALSE)/HLOOKUP(2018,DEMANDS!$G$2:$CK$25,MATCH($E31,DEMANDS!$E$2:$E$25,0),FALSE)</f>
        <v>0.58823966562202801</v>
      </c>
      <c r="Y31" s="20">
        <f>HLOOKUP(REG_TRA_DEMANDS!Y$3,'BY-Demands'!$J$5:$AK$14,MATCH($E31,'BY-Demands'!$I$5:$I$14,0),FALSE)*HLOOKUP(REG_TRA_DEMANDS!$F31,DEMANDS!$G$2:$CK$25,MATCH($E31,DEMANDS!$E$2:$E$25,0),FALSE)/HLOOKUP(2018,DEMANDS!$G$2:$CK$25,MATCH($E31,DEMANDS!$E$2:$E$25,0),FALSE)</f>
        <v>1.3170332096303565</v>
      </c>
      <c r="Z31" s="20">
        <f>HLOOKUP(REG_TRA_DEMANDS!Z$3,'BY-Demands'!$J$5:$AK$14,MATCH($E31,'BY-Demands'!$I$5:$I$14,0),FALSE)*HLOOKUP(REG_TRA_DEMANDS!$F31,DEMANDS!$G$2:$CK$25,MATCH($E31,DEMANDS!$E$2:$E$25,0),FALSE)/HLOOKUP(2018,DEMANDS!$G$2:$CK$25,MATCH($E31,DEMANDS!$E$2:$E$25,0),FALSE)</f>
        <v>0.17261327906182664</v>
      </c>
      <c r="AA31" s="20">
        <f>HLOOKUP(REG_TRA_DEMANDS!AA$3,'BY-Demands'!$J$5:$AK$14,MATCH($E31,'BY-Demands'!$I$5:$I$14,0),FALSE)*HLOOKUP(REG_TRA_DEMANDS!$F31,DEMANDS!$G$2:$CK$25,MATCH($E31,DEMANDS!$E$2:$E$25,0),FALSE)/HLOOKUP(2018,DEMANDS!$G$2:$CK$25,MATCH($E31,DEMANDS!$E$2:$E$25,0),FALSE)</f>
        <v>0.72941378774211518</v>
      </c>
      <c r="AB31" s="20">
        <f>HLOOKUP(REG_TRA_DEMANDS!AB$3,'BY-Demands'!$J$5:$AK$14,MATCH($E31,'BY-Demands'!$I$5:$I$14,0),FALSE)*HLOOKUP(REG_TRA_DEMANDS!$F31,DEMANDS!$G$2:$CK$25,MATCH($E31,DEMANDS!$E$2:$E$25,0),FALSE)/HLOOKUP(2018,DEMANDS!$G$2:$CK$25,MATCH($E31,DEMANDS!$E$2:$E$25,0),FALSE)</f>
        <v>0.39273887171064176</v>
      </c>
      <c r="AC31" s="20">
        <f>HLOOKUP(REG_TRA_DEMANDS!AC$3,'BY-Demands'!$J$5:$AK$14,MATCH($E31,'BY-Demands'!$I$5:$I$14,0),FALSE)*HLOOKUP(REG_TRA_DEMANDS!$F31,DEMANDS!$G$2:$CK$25,MATCH($E31,DEMANDS!$E$2:$E$25,0),FALSE)/HLOOKUP(2018,DEMANDS!$G$2:$CK$25,MATCH($E31,DEMANDS!$E$2:$E$25,0),FALSE)</f>
        <v>0.32039449419408184</v>
      </c>
      <c r="AD31" s="20">
        <f>HLOOKUP(REG_TRA_DEMANDS!AD$3,'BY-Demands'!$J$5:$AK$14,MATCH($E31,'BY-Demands'!$I$5:$I$14,0),FALSE)*HLOOKUP(REG_TRA_DEMANDS!$F31,DEMANDS!$G$2:$CK$25,MATCH($E31,DEMANDS!$E$2:$E$25,0),FALSE)/HLOOKUP(2018,DEMANDS!$G$2:$CK$25,MATCH($E31,DEMANDS!$E$2:$E$25,0),FALSE)</f>
        <v>0.34813170258514758</v>
      </c>
      <c r="AE31" s="20">
        <f>HLOOKUP(REG_TRA_DEMANDS!AE$3,'BY-Demands'!$J$5:$AK$14,MATCH($E31,'BY-Demands'!$I$5:$I$14,0),FALSE)*HLOOKUP(REG_TRA_DEMANDS!$F31,DEMANDS!$G$2:$CK$25,MATCH($E31,DEMANDS!$E$2:$E$25,0),FALSE)/HLOOKUP(2018,DEMANDS!$G$2:$CK$25,MATCH($E31,DEMANDS!$E$2:$E$25,0),FALSE)</f>
        <v>0.64114085295794276</v>
      </c>
      <c r="AF31" s="20">
        <f>HLOOKUP(REG_TRA_DEMANDS!AF$3,'BY-Demands'!$J$5:$AK$14,MATCH($E31,'BY-Demands'!$I$5:$I$14,0),FALSE)*HLOOKUP(REG_TRA_DEMANDS!$F31,DEMANDS!$G$2:$CK$25,MATCH($E31,DEMANDS!$E$2:$E$25,0),FALSE)/HLOOKUP(2018,DEMANDS!$G$2:$CK$25,MATCH($E31,DEMANDS!$E$2:$E$25,0),FALSE)</f>
        <v>0.35260315962707711</v>
      </c>
    </row>
    <row r="32" spans="4:32" ht="14.4">
      <c r="D32" t="s">
        <v>6</v>
      </c>
      <c r="E32" t="str">
        <f>DEMANDS!$E$18</f>
        <v>TRAPM</v>
      </c>
      <c r="F32">
        <v>2021</v>
      </c>
      <c r="G32" s="18">
        <f>HLOOKUP(REG_TRA_DEMANDS!G$3,'BY-Demands'!$J$5:$AK$14,MATCH($E32,'BY-Demands'!$I$5:$I$14,0),FALSE)*HLOOKUP(REG_TRA_DEMANDS!$F32,DEMANDS!$G$2:$CK$25,MATCH($E32,DEMANDS!$E$2:$E$25,0),FALSE)/HLOOKUP(2018,DEMANDS!$G$2:$CK$25,MATCH($E32,DEMANDS!$E$2:$E$25,0),FALSE)</f>
        <v>0.38548330575811507</v>
      </c>
      <c r="H32" s="18">
        <f>HLOOKUP(REG_TRA_DEMANDS!H$3,'BY-Demands'!$J$5:$AK$14,MATCH($E32,'BY-Demands'!$I$5:$I$14,0),FALSE)*HLOOKUP(REG_TRA_DEMANDS!$F32,DEMANDS!$G$2:$CK$25,MATCH($E32,DEMANDS!$E$2:$E$25,0),FALSE)/HLOOKUP(2018,DEMANDS!$G$2:$CK$25,MATCH($E32,DEMANDS!$E$2:$E$25,0),FALSE)</f>
        <v>6.7506546939549352</v>
      </c>
      <c r="I32" s="18">
        <f>HLOOKUP(REG_TRA_DEMANDS!I$3,'BY-Demands'!$J$5:$AK$14,MATCH($E32,'BY-Demands'!$I$5:$I$14,0),FALSE)*HLOOKUP(REG_TRA_DEMANDS!$F32,DEMANDS!$G$2:$CK$25,MATCH($E32,DEMANDS!$E$2:$E$25,0),FALSE)/HLOOKUP(2018,DEMANDS!$G$2:$CK$25,MATCH($E32,DEMANDS!$E$2:$E$25,0),FALSE)</f>
        <v>1.3746480975682538</v>
      </c>
      <c r="J32" s="18">
        <f>HLOOKUP(REG_TRA_DEMANDS!J$3,'BY-Demands'!$J$5:$AK$14,MATCH($E32,'BY-Demands'!$I$5:$I$14,0),FALSE)*HLOOKUP(REG_TRA_DEMANDS!$F32,DEMANDS!$G$2:$CK$25,MATCH($E32,DEMANDS!$E$2:$E$25,0),FALSE)/HLOOKUP(2018,DEMANDS!$G$2:$CK$25,MATCH($E32,DEMANDS!$E$2:$E$25,0),FALSE)</f>
        <v>0.65284708793777324</v>
      </c>
      <c r="K32" s="18">
        <f>HLOOKUP(REG_TRA_DEMANDS!K$3,'BY-Demands'!$J$5:$AK$14,MATCH($E32,'BY-Demands'!$I$5:$I$14,0),FALSE)*HLOOKUP(REG_TRA_DEMANDS!$F32,DEMANDS!$G$2:$CK$25,MATCH($E32,DEMANDS!$E$2:$E$25,0),FALSE)/HLOOKUP(2018,DEMANDS!$G$2:$CK$25,MATCH($E32,DEMANDS!$E$2:$E$25,0),FALSE)</f>
        <v>0.49117940424548179</v>
      </c>
      <c r="L32" s="18">
        <f>HLOOKUP(REG_TRA_DEMANDS!L$3,'BY-Demands'!$J$5:$AK$14,MATCH($E32,'BY-Demands'!$I$5:$I$14,0),FALSE)*HLOOKUP(REG_TRA_DEMANDS!$F32,DEMANDS!$G$2:$CK$25,MATCH($E32,DEMANDS!$E$2:$E$25,0),FALSE)/HLOOKUP(2018,DEMANDS!$G$2:$CK$25,MATCH($E32,DEMANDS!$E$2:$E$25,0),FALSE)</f>
        <v>0.25305309939064818</v>
      </c>
      <c r="M32" s="18">
        <f>HLOOKUP(REG_TRA_DEMANDS!M$3,'BY-Demands'!$J$5:$AK$14,MATCH($E32,'BY-Demands'!$I$5:$I$14,0),FALSE)*HLOOKUP(REG_TRA_DEMANDS!$F32,DEMANDS!$G$2:$CK$25,MATCH($E32,DEMANDS!$E$2:$E$25,0),FALSE)/HLOOKUP(2018,DEMANDS!$G$2:$CK$25,MATCH($E32,DEMANDS!$E$2:$E$25,0),FALSE)</f>
        <v>0.68161173385226503</v>
      </c>
      <c r="N32" s="18">
        <f>HLOOKUP(REG_TRA_DEMANDS!N$3,'BY-Demands'!$J$5:$AK$14,MATCH($E32,'BY-Demands'!$I$5:$I$14,0),FALSE)*HLOOKUP(REG_TRA_DEMANDS!$F32,DEMANDS!$G$2:$CK$25,MATCH($E32,DEMANDS!$E$2:$E$25,0),FALSE)/HLOOKUP(2018,DEMANDS!$G$2:$CK$25,MATCH($E32,DEMANDS!$E$2:$E$25,0),FALSE)</f>
        <v>1.1833558831493995</v>
      </c>
      <c r="O32" s="18">
        <f>HLOOKUP(REG_TRA_DEMANDS!O$3,'BY-Demands'!$J$5:$AK$14,MATCH($E32,'BY-Demands'!$I$5:$I$14,0),FALSE)*HLOOKUP(REG_TRA_DEMANDS!$F32,DEMANDS!$G$2:$CK$25,MATCH($E32,DEMANDS!$E$2:$E$25,0),FALSE)/HLOOKUP(2018,DEMANDS!$G$2:$CK$25,MATCH($E32,DEMANDS!$E$2:$E$25,0),FALSE)</f>
        <v>0.50149524139383705</v>
      </c>
      <c r="P32" s="18">
        <f>HLOOKUP(REG_TRA_DEMANDS!P$3,'BY-Demands'!$J$5:$AK$14,MATCH($E32,'BY-Demands'!$I$5:$I$14,0),FALSE)*HLOOKUP(REG_TRA_DEMANDS!$F32,DEMANDS!$G$2:$CK$25,MATCH($E32,DEMANDS!$E$2:$E$25,0),FALSE)/HLOOKUP(2018,DEMANDS!$G$2:$CK$25,MATCH($E32,DEMANDS!$E$2:$E$25,0),FALSE)</f>
        <v>0.56611159784238663</v>
      </c>
      <c r="Q32" s="18">
        <f>HLOOKUP(REG_TRA_DEMANDS!Q$3,'BY-Demands'!$J$5:$AK$14,MATCH($E32,'BY-Demands'!$I$5:$I$14,0),FALSE)*HLOOKUP(REG_TRA_DEMANDS!$F32,DEMANDS!$G$2:$CK$25,MATCH($E32,DEMANDS!$E$2:$E$25,0),FALSE)/HLOOKUP(2018,DEMANDS!$G$2:$CK$25,MATCH($E32,DEMANDS!$E$2:$E$25,0),FALSE)</f>
        <v>1.0040137289639937</v>
      </c>
      <c r="R32" s="18">
        <f>HLOOKUP(REG_TRA_DEMANDS!R$3,'BY-Demands'!$J$5:$AK$14,MATCH($E32,'BY-Demands'!$I$5:$I$14,0),FALSE)*HLOOKUP(REG_TRA_DEMANDS!$F32,DEMANDS!$G$2:$CK$25,MATCH($E32,DEMANDS!$E$2:$E$25,0),FALSE)/HLOOKUP(2018,DEMANDS!$G$2:$CK$25,MATCH($E32,DEMANDS!$E$2:$E$25,0),FALSE)</f>
        <v>0.85199444460296281</v>
      </c>
      <c r="S32" s="18">
        <f>HLOOKUP(REG_TRA_DEMANDS!S$3,'BY-Demands'!$J$5:$AK$14,MATCH($E32,'BY-Demands'!$I$5:$I$14,0),FALSE)*HLOOKUP(REG_TRA_DEMANDS!$F32,DEMANDS!$G$2:$CK$25,MATCH($E32,DEMANDS!$E$2:$E$25,0),FALSE)/HLOOKUP(2018,DEMANDS!$G$2:$CK$25,MATCH($E32,DEMANDS!$E$2:$E$25,0),FALSE)</f>
        <v>0.77271657622247636</v>
      </c>
      <c r="T32" s="18">
        <f>HLOOKUP(REG_TRA_DEMANDS!T$3,'BY-Demands'!$J$5:$AK$14,MATCH($E32,'BY-Demands'!$I$5:$I$14,0),FALSE)*HLOOKUP(REG_TRA_DEMANDS!$F32,DEMANDS!$G$2:$CK$25,MATCH($E32,DEMANDS!$E$2:$E$25,0),FALSE)/HLOOKUP(2018,DEMANDS!$G$2:$CK$25,MATCH($E32,DEMANDS!$E$2:$E$25,0),FALSE)</f>
        <v>3.1227901736691437</v>
      </c>
      <c r="U32" s="18">
        <f>HLOOKUP(REG_TRA_DEMANDS!U$3,'BY-Demands'!$J$5:$AK$14,MATCH($E32,'BY-Demands'!$I$5:$I$14,0),FALSE)*HLOOKUP(REG_TRA_DEMANDS!$F32,DEMANDS!$G$2:$CK$25,MATCH($E32,DEMANDS!$E$2:$E$25,0),FALSE)/HLOOKUP(2018,DEMANDS!$G$2:$CK$25,MATCH($E32,DEMANDS!$E$2:$E$25,0),FALSE)</f>
        <v>1.022088384171332</v>
      </c>
      <c r="V32" s="18">
        <f>HLOOKUP(REG_TRA_DEMANDS!V$3,'BY-Demands'!$J$5:$AK$14,MATCH($E32,'BY-Demands'!$I$5:$I$14,0),FALSE)*HLOOKUP(REG_TRA_DEMANDS!$F32,DEMANDS!$G$2:$CK$25,MATCH($E32,DEMANDS!$E$2:$E$25,0),FALSE)/HLOOKUP(2018,DEMANDS!$G$2:$CK$25,MATCH($E32,DEMANDS!$E$2:$E$25,0),FALSE)</f>
        <v>1.1511345243532731</v>
      </c>
      <c r="W32" s="18">
        <f>HLOOKUP(REG_TRA_DEMANDS!W$3,'BY-Demands'!$J$5:$AK$14,MATCH($E32,'BY-Demands'!$I$5:$I$14,0),FALSE)*HLOOKUP(REG_TRA_DEMANDS!$F32,DEMANDS!$G$2:$CK$25,MATCH($E32,DEMANDS!$E$2:$E$25,0),FALSE)/HLOOKUP(2018,DEMANDS!$G$2:$CK$25,MATCH($E32,DEMANDS!$E$2:$E$25,0),FALSE)</f>
        <v>1.1164640976089664</v>
      </c>
      <c r="X32" s="18">
        <f>HLOOKUP(REG_TRA_DEMANDS!X$3,'BY-Demands'!$J$5:$AK$14,MATCH($E32,'BY-Demands'!$I$5:$I$14,0),FALSE)*HLOOKUP(REG_TRA_DEMANDS!$F32,DEMANDS!$G$2:$CK$25,MATCH($E32,DEMANDS!$E$2:$E$25,0),FALSE)/HLOOKUP(2018,DEMANDS!$G$2:$CK$25,MATCH($E32,DEMANDS!$E$2:$E$25,0),FALSE)</f>
        <v>0.70435153807986861</v>
      </c>
      <c r="Y32" s="18">
        <f>HLOOKUP(REG_TRA_DEMANDS!Y$3,'BY-Demands'!$J$5:$AK$14,MATCH($E32,'BY-Demands'!$I$5:$I$14,0),FALSE)*HLOOKUP(REG_TRA_DEMANDS!$F32,DEMANDS!$G$2:$CK$25,MATCH($E32,DEMANDS!$E$2:$E$25,0),FALSE)/HLOOKUP(2018,DEMANDS!$G$2:$CK$25,MATCH($E32,DEMANDS!$E$2:$E$25,0),FALSE)</f>
        <v>1.5770007041678646</v>
      </c>
      <c r="Z32" s="18">
        <f>HLOOKUP(REG_TRA_DEMANDS!Z$3,'BY-Demands'!$J$5:$AK$14,MATCH($E32,'BY-Demands'!$I$5:$I$14,0),FALSE)*HLOOKUP(REG_TRA_DEMANDS!$F32,DEMANDS!$G$2:$CK$25,MATCH($E32,DEMANDS!$E$2:$E$25,0),FALSE)/HLOOKUP(2018,DEMANDS!$G$2:$CK$25,MATCH($E32,DEMANDS!$E$2:$E$25,0),FALSE)</f>
        <v>0.20668519262746957</v>
      </c>
      <c r="AA32" s="18">
        <f>HLOOKUP(REG_TRA_DEMANDS!AA$3,'BY-Demands'!$J$5:$AK$14,MATCH($E32,'BY-Demands'!$I$5:$I$14,0),FALSE)*HLOOKUP(REG_TRA_DEMANDS!$F32,DEMANDS!$G$2:$CK$25,MATCH($E32,DEMANDS!$E$2:$E$25,0),FALSE)/HLOOKUP(2018,DEMANDS!$G$2:$CK$25,MATCH($E32,DEMANDS!$E$2:$E$25,0),FALSE)</f>
        <v>0.87339183893617134</v>
      </c>
      <c r="AB32" s="18">
        <f>HLOOKUP(REG_TRA_DEMANDS!AB$3,'BY-Demands'!$J$5:$AK$14,MATCH($E32,'BY-Demands'!$I$5:$I$14,0),FALSE)*HLOOKUP(REG_TRA_DEMANDS!$F32,DEMANDS!$G$2:$CK$25,MATCH($E32,DEMANDS!$E$2:$E$25,0),FALSE)/HLOOKUP(2018,DEMANDS!$G$2:$CK$25,MATCH($E32,DEMANDS!$E$2:$E$25,0),FALSE)</f>
        <v>0.47026109342801142</v>
      </c>
      <c r="AC32" s="18">
        <f>HLOOKUP(REG_TRA_DEMANDS!AC$3,'BY-Demands'!$J$5:$AK$14,MATCH($E32,'BY-Demands'!$I$5:$I$14,0),FALSE)*HLOOKUP(REG_TRA_DEMANDS!$F32,DEMANDS!$G$2:$CK$25,MATCH($E32,DEMANDS!$E$2:$E$25,0),FALSE)/HLOOKUP(2018,DEMANDS!$G$2:$CK$25,MATCH($E32,DEMANDS!$E$2:$E$25,0),FALSE)</f>
        <v>0.38363675210390691</v>
      </c>
      <c r="AD32" s="18">
        <f>HLOOKUP(REG_TRA_DEMANDS!AD$3,'BY-Demands'!$J$5:$AK$14,MATCH($E32,'BY-Demands'!$I$5:$I$14,0),FALSE)*HLOOKUP(REG_TRA_DEMANDS!$F32,DEMANDS!$G$2:$CK$25,MATCH($E32,DEMANDS!$E$2:$E$25,0),FALSE)/HLOOKUP(2018,DEMANDS!$G$2:$CK$25,MATCH($E32,DEMANDS!$E$2:$E$25,0),FALSE)</f>
        <v>0.4168489724522747</v>
      </c>
      <c r="AE32" s="18">
        <f>HLOOKUP(REG_TRA_DEMANDS!AE$3,'BY-Demands'!$J$5:$AK$14,MATCH($E32,'BY-Demands'!$I$5:$I$14,0),FALSE)*HLOOKUP(REG_TRA_DEMANDS!$F32,DEMANDS!$G$2:$CK$25,MATCH($E32,DEMANDS!$E$2:$E$25,0),FALSE)/HLOOKUP(2018,DEMANDS!$G$2:$CK$25,MATCH($E32,DEMANDS!$E$2:$E$25,0),FALSE)</f>
        <v>0.76769482287332358</v>
      </c>
      <c r="AF32" s="18">
        <f>HLOOKUP(REG_TRA_DEMANDS!AF$3,'BY-Demands'!$J$5:$AK$14,MATCH($E32,'BY-Demands'!$I$5:$I$14,0),FALSE)*HLOOKUP(REG_TRA_DEMANDS!$F32,DEMANDS!$G$2:$CK$25,MATCH($E32,DEMANDS!$E$2:$E$25,0),FALSE)/HLOOKUP(2018,DEMANDS!$G$2:$CK$25,MATCH($E32,DEMANDS!$E$2:$E$25,0),FALSE)</f>
        <v>0.42220304465957942</v>
      </c>
    </row>
    <row r="33" spans="4:32" ht="14.4">
      <c r="D33" t="s">
        <v>6</v>
      </c>
      <c r="E33" t="str">
        <f>DEMANDS!$E$18</f>
        <v>TRAPM</v>
      </c>
      <c r="F33">
        <v>2022</v>
      </c>
      <c r="G33" s="18">
        <f>HLOOKUP(REG_TRA_DEMANDS!G$3,'BY-Demands'!$J$5:$AK$14,MATCH($E33,'BY-Demands'!$I$5:$I$14,0),FALSE)*HLOOKUP(REG_TRA_DEMANDS!$F33,DEMANDS!$G$2:$CK$25,MATCH($E33,DEMANDS!$E$2:$E$25,0),FALSE)/HLOOKUP(2018,DEMANDS!$G$2:$CK$25,MATCH($E33,DEMANDS!$E$2:$E$25,0),FALSE)</f>
        <v>0.42024852134572355</v>
      </c>
      <c r="H33" s="18">
        <f>HLOOKUP(REG_TRA_DEMANDS!H$3,'BY-Demands'!$J$5:$AK$14,MATCH($E33,'BY-Demands'!$I$5:$I$14,0),FALSE)*HLOOKUP(REG_TRA_DEMANDS!$F33,DEMANDS!$G$2:$CK$25,MATCH($E33,DEMANDS!$E$2:$E$25,0),FALSE)/HLOOKUP(2018,DEMANDS!$G$2:$CK$25,MATCH($E33,DEMANDS!$E$2:$E$25,0),FALSE)</f>
        <v>7.359469556459274</v>
      </c>
      <c r="I33" s="18">
        <f>HLOOKUP(REG_TRA_DEMANDS!I$3,'BY-Demands'!$J$5:$AK$14,MATCH($E33,'BY-Demands'!$I$5:$I$14,0),FALSE)*HLOOKUP(REG_TRA_DEMANDS!$F33,DEMANDS!$G$2:$CK$25,MATCH($E33,DEMANDS!$E$2:$E$25,0),FALSE)/HLOOKUP(2018,DEMANDS!$G$2:$CK$25,MATCH($E33,DEMANDS!$E$2:$E$25,0),FALSE)</f>
        <v>1.4986221757065266</v>
      </c>
      <c r="J33" s="18">
        <f>HLOOKUP(REG_TRA_DEMANDS!J$3,'BY-Demands'!$J$5:$AK$14,MATCH($E33,'BY-Demands'!$I$5:$I$14,0),FALSE)*HLOOKUP(REG_TRA_DEMANDS!$F33,DEMANDS!$G$2:$CK$25,MATCH($E33,DEMANDS!$E$2:$E$25,0),FALSE)/HLOOKUP(2018,DEMANDS!$G$2:$CK$25,MATCH($E33,DEMANDS!$E$2:$E$25,0),FALSE)</f>
        <v>0.71172478619052382</v>
      </c>
      <c r="K33" s="18">
        <f>HLOOKUP(REG_TRA_DEMANDS!K$3,'BY-Demands'!$J$5:$AK$14,MATCH($E33,'BY-Demands'!$I$5:$I$14,0),FALSE)*HLOOKUP(REG_TRA_DEMANDS!$F33,DEMANDS!$G$2:$CK$25,MATCH($E33,DEMANDS!$E$2:$E$25,0),FALSE)/HLOOKUP(2018,DEMANDS!$G$2:$CK$25,MATCH($E33,DEMANDS!$E$2:$E$25,0),FALSE)</f>
        <v>0.53547693315456046</v>
      </c>
      <c r="L33" s="18">
        <f>HLOOKUP(REG_TRA_DEMANDS!L$3,'BY-Demands'!$J$5:$AK$14,MATCH($E33,'BY-Demands'!$I$5:$I$14,0),FALSE)*HLOOKUP(REG_TRA_DEMANDS!$F33,DEMANDS!$G$2:$CK$25,MATCH($E33,DEMANDS!$E$2:$E$25,0),FALSE)/HLOOKUP(2018,DEMANDS!$G$2:$CK$25,MATCH($E33,DEMANDS!$E$2:$E$25,0),FALSE)</f>
        <v>0.27587495814307017</v>
      </c>
      <c r="M33" s="18">
        <f>HLOOKUP(REG_TRA_DEMANDS!M$3,'BY-Demands'!$J$5:$AK$14,MATCH($E33,'BY-Demands'!$I$5:$I$14,0),FALSE)*HLOOKUP(REG_TRA_DEMANDS!$F33,DEMANDS!$G$2:$CK$25,MATCH($E33,DEMANDS!$E$2:$E$25,0),FALSE)/HLOOKUP(2018,DEMANDS!$G$2:$CK$25,MATCH($E33,DEMANDS!$E$2:$E$25,0),FALSE)</f>
        <v>0.74308360181763611</v>
      </c>
      <c r="N33" s="18">
        <f>HLOOKUP(REG_TRA_DEMANDS!N$3,'BY-Demands'!$J$5:$AK$14,MATCH($E33,'BY-Demands'!$I$5:$I$14,0),FALSE)*HLOOKUP(REG_TRA_DEMANDS!$F33,DEMANDS!$G$2:$CK$25,MATCH($E33,DEMANDS!$E$2:$E$25,0),FALSE)/HLOOKUP(2018,DEMANDS!$G$2:$CK$25,MATCH($E33,DEMANDS!$E$2:$E$25,0),FALSE)</f>
        <v>1.2900780726191772</v>
      </c>
      <c r="O33" s="18">
        <f>HLOOKUP(REG_TRA_DEMANDS!O$3,'BY-Demands'!$J$5:$AK$14,MATCH($E33,'BY-Demands'!$I$5:$I$14,0),FALSE)*HLOOKUP(REG_TRA_DEMANDS!$F33,DEMANDS!$G$2:$CK$25,MATCH($E33,DEMANDS!$E$2:$E$25,0),FALSE)/HLOOKUP(2018,DEMANDS!$G$2:$CK$25,MATCH($E33,DEMANDS!$E$2:$E$25,0),FALSE)</f>
        <v>0.54672311487834135</v>
      </c>
      <c r="P33" s="18">
        <f>HLOOKUP(REG_TRA_DEMANDS!P$3,'BY-Demands'!$J$5:$AK$14,MATCH($E33,'BY-Demands'!$I$5:$I$14,0),FALSE)*HLOOKUP(REG_TRA_DEMANDS!$F33,DEMANDS!$G$2:$CK$25,MATCH($E33,DEMANDS!$E$2:$E$25,0),FALSE)/HLOOKUP(2018,DEMANDS!$G$2:$CK$25,MATCH($E33,DEMANDS!$E$2:$E$25,0),FALSE)</f>
        <v>0.61716696509604818</v>
      </c>
      <c r="Q33" s="18">
        <f>HLOOKUP(REG_TRA_DEMANDS!Q$3,'BY-Demands'!$J$5:$AK$14,MATCH($E33,'BY-Demands'!$I$5:$I$14,0),FALSE)*HLOOKUP(REG_TRA_DEMANDS!$F33,DEMANDS!$G$2:$CK$25,MATCH($E33,DEMANDS!$E$2:$E$25,0),FALSE)/HLOOKUP(2018,DEMANDS!$G$2:$CK$25,MATCH($E33,DEMANDS!$E$2:$E$25,0),FALSE)</f>
        <v>1.0945617584609031</v>
      </c>
      <c r="R33" s="18">
        <f>HLOOKUP(REG_TRA_DEMANDS!R$3,'BY-Demands'!$J$5:$AK$14,MATCH($E33,'BY-Demands'!$I$5:$I$14,0),FALSE)*HLOOKUP(REG_TRA_DEMANDS!$F33,DEMANDS!$G$2:$CK$25,MATCH($E33,DEMANDS!$E$2:$E$25,0),FALSE)/HLOOKUP(2018,DEMANDS!$G$2:$CK$25,MATCH($E33,DEMANDS!$E$2:$E$25,0),FALSE)</f>
        <v>0.92883245575318552</v>
      </c>
      <c r="S33" s="18">
        <f>HLOOKUP(REG_TRA_DEMANDS!S$3,'BY-Demands'!$J$5:$AK$14,MATCH($E33,'BY-Demands'!$I$5:$I$14,0),FALSE)*HLOOKUP(REG_TRA_DEMANDS!$F33,DEMANDS!$G$2:$CK$25,MATCH($E33,DEMANDS!$E$2:$E$25,0),FALSE)/HLOOKUP(2018,DEMANDS!$G$2:$CK$25,MATCH($E33,DEMANDS!$E$2:$E$25,0),FALSE)</f>
        <v>0.84240482979719711</v>
      </c>
      <c r="T33" s="18">
        <f>HLOOKUP(REG_TRA_DEMANDS!T$3,'BY-Demands'!$J$5:$AK$14,MATCH($E33,'BY-Demands'!$I$5:$I$14,0),FALSE)*HLOOKUP(REG_TRA_DEMANDS!$F33,DEMANDS!$G$2:$CK$25,MATCH($E33,DEMANDS!$E$2:$E$25,0),FALSE)/HLOOKUP(2018,DEMANDS!$G$2:$CK$25,MATCH($E33,DEMANDS!$E$2:$E$25,0),FALSE)</f>
        <v>3.4044222755028759</v>
      </c>
      <c r="U33" s="18">
        <f>HLOOKUP(REG_TRA_DEMANDS!U$3,'BY-Demands'!$J$5:$AK$14,MATCH($E33,'BY-Demands'!$I$5:$I$14,0),FALSE)*HLOOKUP(REG_TRA_DEMANDS!$F33,DEMANDS!$G$2:$CK$25,MATCH($E33,DEMANDS!$E$2:$E$25,0),FALSE)/HLOOKUP(2018,DEMANDS!$G$2:$CK$25,MATCH($E33,DEMANDS!$E$2:$E$25,0),FALSE)</f>
        <v>1.1142664953749422</v>
      </c>
      <c r="V33" s="18">
        <f>HLOOKUP(REG_TRA_DEMANDS!V$3,'BY-Demands'!$J$5:$AK$14,MATCH($E33,'BY-Demands'!$I$5:$I$14,0),FALSE)*HLOOKUP(REG_TRA_DEMANDS!$F33,DEMANDS!$G$2:$CK$25,MATCH($E33,DEMANDS!$E$2:$E$25,0),FALSE)/HLOOKUP(2018,DEMANDS!$G$2:$CK$25,MATCH($E33,DEMANDS!$E$2:$E$25,0),FALSE)</f>
        <v>1.2549507968395124</v>
      </c>
      <c r="W33" s="18">
        <f>HLOOKUP(REG_TRA_DEMANDS!W$3,'BY-Demands'!$J$5:$AK$14,MATCH($E33,'BY-Demands'!$I$5:$I$14,0),FALSE)*HLOOKUP(REG_TRA_DEMANDS!$F33,DEMANDS!$G$2:$CK$25,MATCH($E33,DEMANDS!$E$2:$E$25,0),FALSE)/HLOOKUP(2018,DEMANDS!$G$2:$CK$25,MATCH($E33,DEMANDS!$E$2:$E$25,0),FALSE)</f>
        <v>1.2171535813542254</v>
      </c>
      <c r="X33" s="18">
        <f>HLOOKUP(REG_TRA_DEMANDS!X$3,'BY-Demands'!$J$5:$AK$14,MATCH($E33,'BY-Demands'!$I$5:$I$14,0),FALSE)*HLOOKUP(REG_TRA_DEMANDS!$F33,DEMANDS!$G$2:$CK$25,MATCH($E33,DEMANDS!$E$2:$E$25,0),FALSE)/HLOOKUP(2018,DEMANDS!$G$2:$CK$25,MATCH($E33,DEMANDS!$E$2:$E$25,0),FALSE)</f>
        <v>0.76787421910143128</v>
      </c>
      <c r="Y33" s="18">
        <f>HLOOKUP(REG_TRA_DEMANDS!Y$3,'BY-Demands'!$J$5:$AK$14,MATCH($E33,'BY-Demands'!$I$5:$I$14,0),FALSE)*HLOOKUP(REG_TRA_DEMANDS!$F33,DEMANDS!$G$2:$CK$25,MATCH($E33,DEMANDS!$E$2:$E$25,0),FALSE)/HLOOKUP(2018,DEMANDS!$G$2:$CK$25,MATCH($E33,DEMANDS!$E$2:$E$25,0),FALSE)</f>
        <v>1.7192241640253143</v>
      </c>
      <c r="Z33" s="18">
        <f>HLOOKUP(REG_TRA_DEMANDS!Z$3,'BY-Demands'!$J$5:$AK$14,MATCH($E33,'BY-Demands'!$I$5:$I$14,0),FALSE)*HLOOKUP(REG_TRA_DEMANDS!$F33,DEMANDS!$G$2:$CK$25,MATCH($E33,DEMANDS!$E$2:$E$25,0),FALSE)/HLOOKUP(2018,DEMANDS!$G$2:$CK$25,MATCH($E33,DEMANDS!$E$2:$E$25,0),FALSE)</f>
        <v>0.22532531315442475</v>
      </c>
      <c r="AA33" s="18">
        <f>HLOOKUP(REG_TRA_DEMANDS!AA$3,'BY-Demands'!$J$5:$AK$14,MATCH($E33,'BY-Demands'!$I$5:$I$14,0),FALSE)*HLOOKUP(REG_TRA_DEMANDS!$F33,DEMANDS!$G$2:$CK$25,MATCH($E33,DEMANDS!$E$2:$E$25,0),FALSE)/HLOOKUP(2018,DEMANDS!$G$2:$CK$25,MATCH($E33,DEMANDS!$E$2:$E$25,0),FALSE)</f>
        <v>0.95215959650055881</v>
      </c>
      <c r="AB33" s="18">
        <f>HLOOKUP(REG_TRA_DEMANDS!AB$3,'BY-Demands'!$J$5:$AK$14,MATCH($E33,'BY-Demands'!$I$5:$I$14,0),FALSE)*HLOOKUP(REG_TRA_DEMANDS!$F33,DEMANDS!$G$2:$CK$25,MATCH($E33,DEMANDS!$E$2:$E$25,0),FALSE)/HLOOKUP(2018,DEMANDS!$G$2:$CK$25,MATCH($E33,DEMANDS!$E$2:$E$25,0),FALSE)</f>
        <v>0.51267208257146324</v>
      </c>
      <c r="AC33" s="18">
        <f>HLOOKUP(REG_TRA_DEMANDS!AC$3,'BY-Demands'!$J$5:$AK$14,MATCH($E33,'BY-Demands'!$I$5:$I$14,0),FALSE)*HLOOKUP(REG_TRA_DEMANDS!$F33,DEMANDS!$G$2:$CK$25,MATCH($E33,DEMANDS!$E$2:$E$25,0),FALSE)/HLOOKUP(2018,DEMANDS!$G$2:$CK$25,MATCH($E33,DEMANDS!$E$2:$E$25,0),FALSE)</f>
        <v>0.41823543431659693</v>
      </c>
      <c r="AD33" s="18">
        <f>HLOOKUP(REG_TRA_DEMANDS!AD$3,'BY-Demands'!$J$5:$AK$14,MATCH($E33,'BY-Demands'!$I$5:$I$14,0),FALSE)*HLOOKUP(REG_TRA_DEMANDS!$F33,DEMANDS!$G$2:$CK$25,MATCH($E33,DEMANDS!$E$2:$E$25,0),FALSE)/HLOOKUP(2018,DEMANDS!$G$2:$CK$25,MATCH($E33,DEMANDS!$E$2:$E$25,0),FALSE)</f>
        <v>0.45444293353517001</v>
      </c>
      <c r="AE33" s="18">
        <f>HLOOKUP(REG_TRA_DEMANDS!AE$3,'BY-Demands'!$J$5:$AK$14,MATCH($E33,'BY-Demands'!$I$5:$I$14,0),FALSE)*HLOOKUP(REG_TRA_DEMANDS!$F33,DEMANDS!$G$2:$CK$25,MATCH($E33,DEMANDS!$E$2:$E$25,0),FALSE)/HLOOKUP(2018,DEMANDS!$G$2:$CK$25,MATCH($E33,DEMANDS!$E$2:$E$25,0),FALSE)</f>
        <v>0.83693018436373534</v>
      </c>
      <c r="AF33" s="18">
        <f>HLOOKUP(REG_TRA_DEMANDS!AF$3,'BY-Demands'!$J$5:$AK$14,MATCH($E33,'BY-Demands'!$I$5:$I$14,0),FALSE)*HLOOKUP(REG_TRA_DEMANDS!$F33,DEMANDS!$G$2:$CK$25,MATCH($E33,DEMANDS!$E$2:$E$25,0),FALSE)/HLOOKUP(2018,DEMANDS!$G$2:$CK$25,MATCH($E33,DEMANDS!$E$2:$E$25,0),FALSE)</f>
        <v>0.46027986835099294</v>
      </c>
    </row>
    <row r="34" spans="4:32" ht="14.4">
      <c r="D34" t="s">
        <v>6</v>
      </c>
      <c r="E34" t="str">
        <f>DEMANDS!$E$18</f>
        <v>TRAPM</v>
      </c>
      <c r="F34">
        <v>2023</v>
      </c>
      <c r="G34" s="18">
        <f>HLOOKUP(REG_TRA_DEMANDS!G$3,'BY-Demands'!$J$5:$AK$14,MATCH($E34,'BY-Demands'!$I$5:$I$14,0),FALSE)*HLOOKUP(REG_TRA_DEMANDS!$F34,DEMANDS!$G$2:$CK$25,MATCH($E34,DEMANDS!$E$2:$E$25,0),FALSE)/HLOOKUP(2018,DEMANDS!$G$2:$CK$25,MATCH($E34,DEMANDS!$E$2:$E$25,0),FALSE)</f>
        <v>0.42177934440498155</v>
      </c>
      <c r="H34" s="18">
        <f>HLOOKUP(REG_TRA_DEMANDS!H$3,'BY-Demands'!$J$5:$AK$14,MATCH($E34,'BY-Demands'!$I$5:$I$14,0),FALSE)*HLOOKUP(REG_TRA_DEMANDS!$F34,DEMANDS!$G$2:$CK$25,MATCH($E34,DEMANDS!$E$2:$E$25,0),FALSE)/HLOOKUP(2018,DEMANDS!$G$2:$CK$25,MATCH($E34,DEMANDS!$E$2:$E$25,0),FALSE)</f>
        <v>7.3862776119995015</v>
      </c>
      <c r="I34" s="18">
        <f>HLOOKUP(REG_TRA_DEMANDS!I$3,'BY-Demands'!$J$5:$AK$14,MATCH($E34,'BY-Demands'!$I$5:$I$14,0),FALSE)*HLOOKUP(REG_TRA_DEMANDS!$F34,DEMANDS!$G$2:$CK$25,MATCH($E34,DEMANDS!$E$2:$E$25,0),FALSE)/HLOOKUP(2018,DEMANDS!$G$2:$CK$25,MATCH($E34,DEMANDS!$E$2:$E$25,0),FALSE)</f>
        <v>1.5040811488311447</v>
      </c>
      <c r="J34" s="18">
        <f>HLOOKUP(REG_TRA_DEMANDS!J$3,'BY-Demands'!$J$5:$AK$14,MATCH($E34,'BY-Demands'!$I$5:$I$14,0),FALSE)*HLOOKUP(REG_TRA_DEMANDS!$F34,DEMANDS!$G$2:$CK$25,MATCH($E34,DEMANDS!$E$2:$E$25,0),FALSE)/HLOOKUP(2018,DEMANDS!$G$2:$CK$25,MATCH($E34,DEMANDS!$E$2:$E$25,0),FALSE)</f>
        <v>0.71431735858329992</v>
      </c>
      <c r="K34" s="18">
        <f>HLOOKUP(REG_TRA_DEMANDS!K$3,'BY-Demands'!$J$5:$AK$14,MATCH($E34,'BY-Demands'!$I$5:$I$14,0),FALSE)*HLOOKUP(REG_TRA_DEMANDS!$F34,DEMANDS!$G$2:$CK$25,MATCH($E34,DEMANDS!$E$2:$E$25,0),FALSE)/HLOOKUP(2018,DEMANDS!$G$2:$CK$25,MATCH($E34,DEMANDS!$E$2:$E$25,0),FALSE)</f>
        <v>0.53742749429954384</v>
      </c>
      <c r="L34" s="18">
        <f>HLOOKUP(REG_TRA_DEMANDS!L$3,'BY-Demands'!$J$5:$AK$14,MATCH($E34,'BY-Demands'!$I$5:$I$14,0),FALSE)*HLOOKUP(REG_TRA_DEMANDS!$F34,DEMANDS!$G$2:$CK$25,MATCH($E34,DEMANDS!$E$2:$E$25,0),FALSE)/HLOOKUP(2018,DEMANDS!$G$2:$CK$25,MATCH($E34,DEMANDS!$E$2:$E$25,0),FALSE)</f>
        <v>0.27687987719916796</v>
      </c>
      <c r="M34" s="18">
        <f>HLOOKUP(REG_TRA_DEMANDS!M$3,'BY-Demands'!$J$5:$AK$14,MATCH($E34,'BY-Demands'!$I$5:$I$14,0),FALSE)*HLOOKUP(REG_TRA_DEMANDS!$F34,DEMANDS!$G$2:$CK$25,MATCH($E34,DEMANDS!$E$2:$E$25,0),FALSE)/HLOOKUP(2018,DEMANDS!$G$2:$CK$25,MATCH($E34,DEMANDS!$E$2:$E$25,0),FALSE)</f>
        <v>0.74579040375706074</v>
      </c>
      <c r="N34" s="18">
        <f>HLOOKUP(REG_TRA_DEMANDS!N$3,'BY-Demands'!$J$5:$AK$14,MATCH($E34,'BY-Demands'!$I$5:$I$14,0),FALSE)*HLOOKUP(REG_TRA_DEMANDS!$F34,DEMANDS!$G$2:$CK$25,MATCH($E34,DEMANDS!$E$2:$E$25,0),FALSE)/HLOOKUP(2018,DEMANDS!$G$2:$CK$25,MATCH($E34,DEMANDS!$E$2:$E$25,0),FALSE)</f>
        <v>1.2947773901931796</v>
      </c>
      <c r="O34" s="18">
        <f>HLOOKUP(REG_TRA_DEMANDS!O$3,'BY-Demands'!$J$5:$AK$14,MATCH($E34,'BY-Demands'!$I$5:$I$14,0),FALSE)*HLOOKUP(REG_TRA_DEMANDS!$F34,DEMANDS!$G$2:$CK$25,MATCH($E34,DEMANDS!$E$2:$E$25,0),FALSE)/HLOOKUP(2018,DEMANDS!$G$2:$CK$25,MATCH($E34,DEMANDS!$E$2:$E$25,0),FALSE)</f>
        <v>0.54871464205517728</v>
      </c>
      <c r="P34" s="18">
        <f>HLOOKUP(REG_TRA_DEMANDS!P$3,'BY-Demands'!$J$5:$AK$14,MATCH($E34,'BY-Demands'!$I$5:$I$14,0),FALSE)*HLOOKUP(REG_TRA_DEMANDS!$F34,DEMANDS!$G$2:$CK$25,MATCH($E34,DEMANDS!$E$2:$E$25,0),FALSE)/HLOOKUP(2018,DEMANDS!$G$2:$CK$25,MATCH($E34,DEMANDS!$E$2:$E$25,0),FALSE)</f>
        <v>0.61941509536562278</v>
      </c>
      <c r="Q34" s="18">
        <f>HLOOKUP(REG_TRA_DEMANDS!Q$3,'BY-Demands'!$J$5:$AK$14,MATCH($E34,'BY-Demands'!$I$5:$I$14,0),FALSE)*HLOOKUP(REG_TRA_DEMANDS!$F34,DEMANDS!$G$2:$CK$25,MATCH($E34,DEMANDS!$E$2:$E$25,0),FALSE)/HLOOKUP(2018,DEMANDS!$G$2:$CK$25,MATCH($E34,DEMANDS!$E$2:$E$25,0),FALSE)</f>
        <v>1.0985488763079054</v>
      </c>
      <c r="R34" s="18">
        <f>HLOOKUP(REG_TRA_DEMANDS!R$3,'BY-Demands'!$J$5:$AK$14,MATCH($E34,'BY-Demands'!$I$5:$I$14,0),FALSE)*HLOOKUP(REG_TRA_DEMANDS!$F34,DEMANDS!$G$2:$CK$25,MATCH($E34,DEMANDS!$E$2:$E$25,0),FALSE)/HLOOKUP(2018,DEMANDS!$G$2:$CK$25,MATCH($E34,DEMANDS!$E$2:$E$25,0),FALSE)</f>
        <v>0.93221587786946347</v>
      </c>
      <c r="S34" s="18">
        <f>HLOOKUP(REG_TRA_DEMANDS!S$3,'BY-Demands'!$J$5:$AK$14,MATCH($E34,'BY-Demands'!$I$5:$I$14,0),FALSE)*HLOOKUP(REG_TRA_DEMANDS!$F34,DEMANDS!$G$2:$CK$25,MATCH($E34,DEMANDS!$E$2:$E$25,0),FALSE)/HLOOKUP(2018,DEMANDS!$G$2:$CK$25,MATCH($E34,DEMANDS!$E$2:$E$25,0),FALSE)</f>
        <v>0.84547342533812686</v>
      </c>
      <c r="T34" s="18">
        <f>HLOOKUP(REG_TRA_DEMANDS!T$3,'BY-Demands'!$J$5:$AK$14,MATCH($E34,'BY-Demands'!$I$5:$I$14,0),FALSE)*HLOOKUP(REG_TRA_DEMANDS!$F34,DEMANDS!$G$2:$CK$25,MATCH($E34,DEMANDS!$E$2:$E$25,0),FALSE)/HLOOKUP(2018,DEMANDS!$G$2:$CK$25,MATCH($E34,DEMANDS!$E$2:$E$25,0),FALSE)</f>
        <v>3.4168234330515159</v>
      </c>
      <c r="U34" s="18">
        <f>HLOOKUP(REG_TRA_DEMANDS!U$3,'BY-Demands'!$J$5:$AK$14,MATCH($E34,'BY-Demands'!$I$5:$I$14,0),FALSE)*HLOOKUP(REG_TRA_DEMANDS!$F34,DEMANDS!$G$2:$CK$25,MATCH($E34,DEMANDS!$E$2:$E$25,0),FALSE)/HLOOKUP(2018,DEMANDS!$G$2:$CK$25,MATCH($E34,DEMANDS!$E$2:$E$25,0),FALSE)</f>
        <v>1.1183253909061304</v>
      </c>
      <c r="V34" s="18">
        <f>HLOOKUP(REG_TRA_DEMANDS!V$3,'BY-Demands'!$J$5:$AK$14,MATCH($E34,'BY-Demands'!$I$5:$I$14,0),FALSE)*HLOOKUP(REG_TRA_DEMANDS!$F34,DEMANDS!$G$2:$CK$25,MATCH($E34,DEMANDS!$E$2:$E$25,0),FALSE)/HLOOKUP(2018,DEMANDS!$G$2:$CK$25,MATCH($E34,DEMANDS!$E$2:$E$25,0),FALSE)</f>
        <v>1.2595221576426017</v>
      </c>
      <c r="W34" s="18">
        <f>HLOOKUP(REG_TRA_DEMANDS!W$3,'BY-Demands'!$J$5:$AK$14,MATCH($E34,'BY-Demands'!$I$5:$I$14,0),FALSE)*HLOOKUP(REG_TRA_DEMANDS!$F34,DEMANDS!$G$2:$CK$25,MATCH($E34,DEMANDS!$E$2:$E$25,0),FALSE)/HLOOKUP(2018,DEMANDS!$G$2:$CK$25,MATCH($E34,DEMANDS!$E$2:$E$25,0),FALSE)</f>
        <v>1.2215872597001454</v>
      </c>
      <c r="X34" s="18">
        <f>HLOOKUP(REG_TRA_DEMANDS!X$3,'BY-Demands'!$J$5:$AK$14,MATCH($E34,'BY-Demands'!$I$5:$I$14,0),FALSE)*HLOOKUP(REG_TRA_DEMANDS!$F34,DEMANDS!$G$2:$CK$25,MATCH($E34,DEMANDS!$E$2:$E$25,0),FALSE)/HLOOKUP(2018,DEMANDS!$G$2:$CK$25,MATCH($E34,DEMANDS!$E$2:$E$25,0),FALSE)</f>
        <v>0.7706713248650543</v>
      </c>
      <c r="Y34" s="18">
        <f>HLOOKUP(REG_TRA_DEMANDS!Y$3,'BY-Demands'!$J$5:$AK$14,MATCH($E34,'BY-Demands'!$I$5:$I$14,0),FALSE)*HLOOKUP(REG_TRA_DEMANDS!$F34,DEMANDS!$G$2:$CK$25,MATCH($E34,DEMANDS!$E$2:$E$25,0),FALSE)/HLOOKUP(2018,DEMANDS!$G$2:$CK$25,MATCH($E34,DEMANDS!$E$2:$E$25,0),FALSE)</f>
        <v>1.7254867154934213</v>
      </c>
      <c r="Z34" s="18">
        <f>HLOOKUP(REG_TRA_DEMANDS!Z$3,'BY-Demands'!$J$5:$AK$14,MATCH($E34,'BY-Demands'!$I$5:$I$14,0),FALSE)*HLOOKUP(REG_TRA_DEMANDS!$F34,DEMANDS!$G$2:$CK$25,MATCH($E34,DEMANDS!$E$2:$E$25,0),FALSE)/HLOOKUP(2018,DEMANDS!$G$2:$CK$25,MATCH($E34,DEMANDS!$E$2:$E$25,0),FALSE)</f>
        <v>0.22614609697088356</v>
      </c>
      <c r="AA34" s="18">
        <f>HLOOKUP(REG_TRA_DEMANDS!AA$3,'BY-Demands'!$J$5:$AK$14,MATCH($E34,'BY-Demands'!$I$5:$I$14,0),FALSE)*HLOOKUP(REG_TRA_DEMANDS!$F34,DEMANDS!$G$2:$CK$25,MATCH($E34,DEMANDS!$E$2:$E$25,0),FALSE)/HLOOKUP(2018,DEMANDS!$G$2:$CK$25,MATCH($E34,DEMANDS!$E$2:$E$25,0),FALSE)</f>
        <v>0.95562799149157351</v>
      </c>
      <c r="AB34" s="18">
        <f>HLOOKUP(REG_TRA_DEMANDS!AB$3,'BY-Demands'!$J$5:$AK$14,MATCH($E34,'BY-Demands'!$I$5:$I$14,0),FALSE)*HLOOKUP(REG_TRA_DEMANDS!$F34,DEMANDS!$G$2:$CK$25,MATCH($E34,DEMANDS!$E$2:$E$25,0),FALSE)/HLOOKUP(2018,DEMANDS!$G$2:$CK$25,MATCH($E34,DEMANDS!$E$2:$E$25,0),FALSE)</f>
        <v>0.51453957336792111</v>
      </c>
      <c r="AC34" s="18">
        <f>HLOOKUP(REG_TRA_DEMANDS!AC$3,'BY-Demands'!$J$5:$AK$14,MATCH($E34,'BY-Demands'!$I$5:$I$14,0),FALSE)*HLOOKUP(REG_TRA_DEMANDS!$F34,DEMANDS!$G$2:$CK$25,MATCH($E34,DEMANDS!$E$2:$E$25,0),FALSE)/HLOOKUP(2018,DEMANDS!$G$2:$CK$25,MATCH($E34,DEMANDS!$E$2:$E$25,0),FALSE)</f>
        <v>0.41975892438147666</v>
      </c>
      <c r="AD34" s="18">
        <f>HLOOKUP(REG_TRA_DEMANDS!AD$3,'BY-Demands'!$J$5:$AK$14,MATCH($E34,'BY-Demands'!$I$5:$I$14,0),FALSE)*HLOOKUP(REG_TRA_DEMANDS!$F34,DEMANDS!$G$2:$CK$25,MATCH($E34,DEMANDS!$E$2:$E$25,0),FALSE)/HLOOKUP(2018,DEMANDS!$G$2:$CK$25,MATCH($E34,DEMANDS!$E$2:$E$25,0),FALSE)</f>
        <v>0.456098315259167</v>
      </c>
      <c r="AE34" s="18">
        <f>HLOOKUP(REG_TRA_DEMANDS!AE$3,'BY-Demands'!$J$5:$AK$14,MATCH($E34,'BY-Demands'!$I$5:$I$14,0),FALSE)*HLOOKUP(REG_TRA_DEMANDS!$F34,DEMANDS!$G$2:$CK$25,MATCH($E34,DEMANDS!$E$2:$E$25,0),FALSE)/HLOOKUP(2018,DEMANDS!$G$2:$CK$25,MATCH($E34,DEMANDS!$E$2:$E$25,0),FALSE)</f>
        <v>0.83997883762516834</v>
      </c>
      <c r="AF34" s="18">
        <f>HLOOKUP(REG_TRA_DEMANDS!AF$3,'BY-Demands'!$J$5:$AK$14,MATCH($E34,'BY-Demands'!$I$5:$I$14,0),FALSE)*HLOOKUP(REG_TRA_DEMANDS!$F34,DEMANDS!$G$2:$CK$25,MATCH($E34,DEMANDS!$E$2:$E$25,0),FALSE)/HLOOKUP(2018,DEMANDS!$G$2:$CK$25,MATCH($E34,DEMANDS!$E$2:$E$25,0),FALSE)</f>
        <v>0.4619565120520287</v>
      </c>
    </row>
    <row r="35" spans="4:32" ht="14.4">
      <c r="D35" t="s">
        <v>6</v>
      </c>
      <c r="E35" t="str">
        <f>DEMANDS!$E$18</f>
        <v>TRAPM</v>
      </c>
      <c r="F35">
        <v>2024</v>
      </c>
      <c r="G35" s="18">
        <f>HLOOKUP(REG_TRA_DEMANDS!G$3,'BY-Demands'!$J$5:$AK$14,MATCH($E35,'BY-Demands'!$I$5:$I$14,0),FALSE)*HLOOKUP(REG_TRA_DEMANDS!$F35,DEMANDS!$G$2:$CK$25,MATCH($E35,DEMANDS!$E$2:$E$25,0),FALSE)/HLOOKUP(2018,DEMANDS!$G$2:$CK$25,MATCH($E35,DEMANDS!$E$2:$E$25,0),FALSE)</f>
        <v>0.42810603457105623</v>
      </c>
      <c r="H35" s="18">
        <f>HLOOKUP(REG_TRA_DEMANDS!H$3,'BY-Demands'!$J$5:$AK$14,MATCH($E35,'BY-Demands'!$I$5:$I$14,0),FALSE)*HLOOKUP(REG_TRA_DEMANDS!$F35,DEMANDS!$G$2:$CK$25,MATCH($E35,DEMANDS!$E$2:$E$25,0),FALSE)/HLOOKUP(2018,DEMANDS!$G$2:$CK$25,MATCH($E35,DEMANDS!$E$2:$E$25,0),FALSE)</f>
        <v>7.4970717761794932</v>
      </c>
      <c r="I35" s="18">
        <f>HLOOKUP(REG_TRA_DEMANDS!I$3,'BY-Demands'!$J$5:$AK$14,MATCH($E35,'BY-Demands'!$I$5:$I$14,0),FALSE)*HLOOKUP(REG_TRA_DEMANDS!$F35,DEMANDS!$G$2:$CK$25,MATCH($E35,DEMANDS!$E$2:$E$25,0),FALSE)/HLOOKUP(2018,DEMANDS!$G$2:$CK$25,MATCH($E35,DEMANDS!$E$2:$E$25,0),FALSE)</f>
        <v>1.5266423660636119</v>
      </c>
      <c r="J35" s="18">
        <f>HLOOKUP(REG_TRA_DEMANDS!J$3,'BY-Demands'!$J$5:$AK$14,MATCH($E35,'BY-Demands'!$I$5:$I$14,0),FALSE)*HLOOKUP(REG_TRA_DEMANDS!$F35,DEMANDS!$G$2:$CK$25,MATCH($E35,DEMANDS!$E$2:$E$25,0),FALSE)/HLOOKUP(2018,DEMANDS!$G$2:$CK$25,MATCH($E35,DEMANDS!$E$2:$E$25,0),FALSE)</f>
        <v>0.72503211896204933</v>
      </c>
      <c r="K35" s="18">
        <f>HLOOKUP(REG_TRA_DEMANDS!K$3,'BY-Demands'!$J$5:$AK$14,MATCH($E35,'BY-Demands'!$I$5:$I$14,0),FALSE)*HLOOKUP(REG_TRA_DEMANDS!$F35,DEMANDS!$G$2:$CK$25,MATCH($E35,DEMANDS!$E$2:$E$25,0),FALSE)/HLOOKUP(2018,DEMANDS!$G$2:$CK$25,MATCH($E35,DEMANDS!$E$2:$E$25,0),FALSE)</f>
        <v>0.54548890671403694</v>
      </c>
      <c r="L35" s="18">
        <f>HLOOKUP(REG_TRA_DEMANDS!L$3,'BY-Demands'!$J$5:$AK$14,MATCH($E35,'BY-Demands'!$I$5:$I$14,0),FALSE)*HLOOKUP(REG_TRA_DEMANDS!$F35,DEMANDS!$G$2:$CK$25,MATCH($E35,DEMANDS!$E$2:$E$25,0),FALSE)/HLOOKUP(2018,DEMANDS!$G$2:$CK$25,MATCH($E35,DEMANDS!$E$2:$E$25,0),FALSE)</f>
        <v>0.28103307535715544</v>
      </c>
      <c r="M35" s="18">
        <f>HLOOKUP(REG_TRA_DEMANDS!M$3,'BY-Demands'!$J$5:$AK$14,MATCH($E35,'BY-Demands'!$I$5:$I$14,0),FALSE)*HLOOKUP(REG_TRA_DEMANDS!$F35,DEMANDS!$G$2:$CK$25,MATCH($E35,DEMANDS!$E$2:$E$25,0),FALSE)/HLOOKUP(2018,DEMANDS!$G$2:$CK$25,MATCH($E35,DEMANDS!$E$2:$E$25,0),FALSE)</f>
        <v>0.75697725981341646</v>
      </c>
      <c r="N35" s="18">
        <f>HLOOKUP(REG_TRA_DEMANDS!N$3,'BY-Demands'!$J$5:$AK$14,MATCH($E35,'BY-Demands'!$I$5:$I$14,0),FALSE)*HLOOKUP(REG_TRA_DEMANDS!$F35,DEMANDS!$G$2:$CK$25,MATCH($E35,DEMANDS!$E$2:$E$25,0),FALSE)/HLOOKUP(2018,DEMANDS!$G$2:$CK$25,MATCH($E35,DEMANDS!$E$2:$E$25,0),FALSE)</f>
        <v>1.3141990510460773</v>
      </c>
      <c r="O35" s="18">
        <f>HLOOKUP(REG_TRA_DEMANDS!O$3,'BY-Demands'!$J$5:$AK$14,MATCH($E35,'BY-Demands'!$I$5:$I$14,0),FALSE)*HLOOKUP(REG_TRA_DEMANDS!$F35,DEMANDS!$G$2:$CK$25,MATCH($E35,DEMANDS!$E$2:$E$25,0),FALSE)/HLOOKUP(2018,DEMANDS!$G$2:$CK$25,MATCH($E35,DEMANDS!$E$2:$E$25,0),FALSE)</f>
        <v>0.55694536168600484</v>
      </c>
      <c r="P35" s="18">
        <f>HLOOKUP(REG_TRA_DEMANDS!P$3,'BY-Demands'!$J$5:$AK$14,MATCH($E35,'BY-Demands'!$I$5:$I$14,0),FALSE)*HLOOKUP(REG_TRA_DEMANDS!$F35,DEMANDS!$G$2:$CK$25,MATCH($E35,DEMANDS!$E$2:$E$25,0),FALSE)/HLOOKUP(2018,DEMANDS!$G$2:$CK$25,MATCH($E35,DEMANDS!$E$2:$E$25,0),FALSE)</f>
        <v>0.62870632179610697</v>
      </c>
      <c r="Q35" s="18">
        <f>HLOOKUP(REG_TRA_DEMANDS!Q$3,'BY-Demands'!$J$5:$AK$14,MATCH($E35,'BY-Demands'!$I$5:$I$14,0),FALSE)*HLOOKUP(REG_TRA_DEMANDS!$F35,DEMANDS!$G$2:$CK$25,MATCH($E35,DEMANDS!$E$2:$E$25,0),FALSE)/HLOOKUP(2018,DEMANDS!$G$2:$CK$25,MATCH($E35,DEMANDS!$E$2:$E$25,0),FALSE)</f>
        <v>1.1150271094525239</v>
      </c>
      <c r="R35" s="18">
        <f>HLOOKUP(REG_TRA_DEMANDS!R$3,'BY-Demands'!$J$5:$AK$14,MATCH($E35,'BY-Demands'!$I$5:$I$14,0),FALSE)*HLOOKUP(REG_TRA_DEMANDS!$F35,DEMANDS!$G$2:$CK$25,MATCH($E35,DEMANDS!$E$2:$E$25,0),FALSE)/HLOOKUP(2018,DEMANDS!$G$2:$CK$25,MATCH($E35,DEMANDS!$E$2:$E$25,0),FALSE)</f>
        <v>0.94619911603750517</v>
      </c>
      <c r="S35" s="18">
        <f>HLOOKUP(REG_TRA_DEMANDS!S$3,'BY-Demands'!$J$5:$AK$14,MATCH($E35,'BY-Demands'!$I$5:$I$14,0),FALSE)*HLOOKUP(REG_TRA_DEMANDS!$F35,DEMANDS!$G$2:$CK$25,MATCH($E35,DEMANDS!$E$2:$E$25,0),FALSE)/HLOOKUP(2018,DEMANDS!$G$2:$CK$25,MATCH($E35,DEMANDS!$E$2:$E$25,0),FALSE)</f>
        <v>0.85815552671819872</v>
      </c>
      <c r="T35" s="18">
        <f>HLOOKUP(REG_TRA_DEMANDS!T$3,'BY-Demands'!$J$5:$AK$14,MATCH($E35,'BY-Demands'!$I$5:$I$14,0),FALSE)*HLOOKUP(REG_TRA_DEMANDS!$F35,DEMANDS!$G$2:$CK$25,MATCH($E35,DEMANDS!$E$2:$E$25,0),FALSE)/HLOOKUP(2018,DEMANDS!$G$2:$CK$25,MATCH($E35,DEMANDS!$E$2:$E$25,0),FALSE)</f>
        <v>3.4680757845472883</v>
      </c>
      <c r="U35" s="18">
        <f>HLOOKUP(REG_TRA_DEMANDS!U$3,'BY-Demands'!$J$5:$AK$14,MATCH($E35,'BY-Demands'!$I$5:$I$14,0),FALSE)*HLOOKUP(REG_TRA_DEMANDS!$F35,DEMANDS!$G$2:$CK$25,MATCH($E35,DEMANDS!$E$2:$E$25,0),FALSE)/HLOOKUP(2018,DEMANDS!$G$2:$CK$25,MATCH($E35,DEMANDS!$E$2:$E$25,0),FALSE)</f>
        <v>1.1351002717697221</v>
      </c>
      <c r="V35" s="18">
        <f>HLOOKUP(REG_TRA_DEMANDS!V$3,'BY-Demands'!$J$5:$AK$14,MATCH($E35,'BY-Demands'!$I$5:$I$14,0),FALSE)*HLOOKUP(REG_TRA_DEMANDS!$F35,DEMANDS!$G$2:$CK$25,MATCH($E35,DEMANDS!$E$2:$E$25,0),FALSE)/HLOOKUP(2018,DEMANDS!$G$2:$CK$25,MATCH($E35,DEMANDS!$E$2:$E$25,0),FALSE)</f>
        <v>1.2784149900072406</v>
      </c>
      <c r="W35" s="18">
        <f>HLOOKUP(REG_TRA_DEMANDS!W$3,'BY-Demands'!$J$5:$AK$14,MATCH($E35,'BY-Demands'!$I$5:$I$14,0),FALSE)*HLOOKUP(REG_TRA_DEMANDS!$F35,DEMANDS!$G$2:$CK$25,MATCH($E35,DEMANDS!$E$2:$E$25,0),FALSE)/HLOOKUP(2018,DEMANDS!$G$2:$CK$25,MATCH($E35,DEMANDS!$E$2:$E$25,0),FALSE)</f>
        <v>1.2399110685956476</v>
      </c>
      <c r="X35" s="18">
        <f>HLOOKUP(REG_TRA_DEMANDS!X$3,'BY-Demands'!$J$5:$AK$14,MATCH($E35,'BY-Demands'!$I$5:$I$14,0),FALSE)*HLOOKUP(REG_TRA_DEMANDS!$F35,DEMANDS!$G$2:$CK$25,MATCH($E35,DEMANDS!$E$2:$E$25,0),FALSE)/HLOOKUP(2018,DEMANDS!$G$2:$CK$25,MATCH($E35,DEMANDS!$E$2:$E$25,0),FALSE)</f>
        <v>0.78223139473803005</v>
      </c>
      <c r="Y35" s="18">
        <f>HLOOKUP(REG_TRA_DEMANDS!Y$3,'BY-Demands'!$J$5:$AK$14,MATCH($E35,'BY-Demands'!$I$5:$I$14,0),FALSE)*HLOOKUP(REG_TRA_DEMANDS!$F35,DEMANDS!$G$2:$CK$25,MATCH($E35,DEMANDS!$E$2:$E$25,0),FALSE)/HLOOKUP(2018,DEMANDS!$G$2:$CK$25,MATCH($E35,DEMANDS!$E$2:$E$25,0),FALSE)</f>
        <v>1.7513690162258224</v>
      </c>
      <c r="Z35" s="18">
        <f>HLOOKUP(REG_TRA_DEMANDS!Z$3,'BY-Demands'!$J$5:$AK$14,MATCH($E35,'BY-Demands'!$I$5:$I$14,0),FALSE)*HLOOKUP(REG_TRA_DEMANDS!$F35,DEMANDS!$G$2:$CK$25,MATCH($E35,DEMANDS!$E$2:$E$25,0),FALSE)/HLOOKUP(2018,DEMANDS!$G$2:$CK$25,MATCH($E35,DEMANDS!$E$2:$E$25,0),FALSE)</f>
        <v>0.22953828842544677</v>
      </c>
      <c r="AA35" s="18">
        <f>HLOOKUP(REG_TRA_DEMANDS!AA$3,'BY-Demands'!$J$5:$AK$14,MATCH($E35,'BY-Demands'!$I$5:$I$14,0),FALSE)*HLOOKUP(REG_TRA_DEMANDS!$F35,DEMANDS!$G$2:$CK$25,MATCH($E35,DEMANDS!$E$2:$E$25,0),FALSE)/HLOOKUP(2018,DEMANDS!$G$2:$CK$25,MATCH($E35,DEMANDS!$E$2:$E$25,0),FALSE)</f>
        <v>0.9699624113639469</v>
      </c>
      <c r="AB35" s="18">
        <f>HLOOKUP(REG_TRA_DEMANDS!AB$3,'BY-Demands'!$J$5:$AK$14,MATCH($E35,'BY-Demands'!$I$5:$I$14,0),FALSE)*HLOOKUP(REG_TRA_DEMANDS!$F35,DEMANDS!$G$2:$CK$25,MATCH($E35,DEMANDS!$E$2:$E$25,0),FALSE)/HLOOKUP(2018,DEMANDS!$G$2:$CK$25,MATCH($E35,DEMANDS!$E$2:$E$25,0),FALSE)</f>
        <v>0.52225766696843989</v>
      </c>
      <c r="AC35" s="18">
        <f>HLOOKUP(REG_TRA_DEMANDS!AC$3,'BY-Demands'!$J$5:$AK$14,MATCH($E35,'BY-Demands'!$I$5:$I$14,0),FALSE)*HLOOKUP(REG_TRA_DEMANDS!$F35,DEMANDS!$G$2:$CK$25,MATCH($E35,DEMANDS!$E$2:$E$25,0),FALSE)/HLOOKUP(2018,DEMANDS!$G$2:$CK$25,MATCH($E35,DEMANDS!$E$2:$E$25,0),FALSE)</f>
        <v>0.42605530824719878</v>
      </c>
      <c r="AD35" s="18">
        <f>HLOOKUP(REG_TRA_DEMANDS!AD$3,'BY-Demands'!$J$5:$AK$14,MATCH($E35,'BY-Demands'!$I$5:$I$14,0),FALSE)*HLOOKUP(REG_TRA_DEMANDS!$F35,DEMANDS!$G$2:$CK$25,MATCH($E35,DEMANDS!$E$2:$E$25,0),FALSE)/HLOOKUP(2018,DEMANDS!$G$2:$CK$25,MATCH($E35,DEMANDS!$E$2:$E$25,0),FALSE)</f>
        <v>0.46293978998805446</v>
      </c>
      <c r="AE35" s="18">
        <f>HLOOKUP(REG_TRA_DEMANDS!AE$3,'BY-Demands'!$J$5:$AK$14,MATCH($E35,'BY-Demands'!$I$5:$I$14,0),FALSE)*HLOOKUP(REG_TRA_DEMANDS!$F35,DEMANDS!$G$2:$CK$25,MATCH($E35,DEMANDS!$E$2:$E$25,0),FALSE)/HLOOKUP(2018,DEMANDS!$G$2:$CK$25,MATCH($E35,DEMANDS!$E$2:$E$25,0),FALSE)</f>
        <v>0.85257852018954572</v>
      </c>
      <c r="AF35" s="18">
        <f>HLOOKUP(REG_TRA_DEMANDS!AF$3,'BY-Demands'!$J$5:$AK$14,MATCH($E35,'BY-Demands'!$I$5:$I$14,0),FALSE)*HLOOKUP(REG_TRA_DEMANDS!$F35,DEMANDS!$G$2:$CK$25,MATCH($E35,DEMANDS!$E$2:$E$25,0),FALSE)/HLOOKUP(2018,DEMANDS!$G$2:$CK$25,MATCH($E35,DEMANDS!$E$2:$E$25,0),FALSE)</f>
        <v>0.46888585973280911</v>
      </c>
    </row>
    <row r="36" spans="4:32" ht="14.4">
      <c r="D36" t="s">
        <v>6</v>
      </c>
      <c r="E36" t="str">
        <f>DEMANDS!$E$18</f>
        <v>TRAPM</v>
      </c>
      <c r="F36">
        <v>2025</v>
      </c>
      <c r="G36" s="18">
        <f>HLOOKUP(REG_TRA_DEMANDS!G$3,'BY-Demands'!$J$5:$AK$14,MATCH($E36,'BY-Demands'!$I$5:$I$14,0),FALSE)*HLOOKUP(REG_TRA_DEMANDS!$F36,DEMANDS!$G$2:$CK$25,MATCH($E36,DEMANDS!$E$2:$E$25,0),FALSE)/HLOOKUP(2018,DEMANDS!$G$2:$CK$25,MATCH($E36,DEMANDS!$E$2:$E$25,0),FALSE)</f>
        <v>0.43452762508962206</v>
      </c>
      <c r="H36" s="18">
        <f>HLOOKUP(REG_TRA_DEMANDS!H$3,'BY-Demands'!$J$5:$AK$14,MATCH($E36,'BY-Demands'!$I$5:$I$14,0),FALSE)*HLOOKUP(REG_TRA_DEMANDS!$F36,DEMANDS!$G$2:$CK$25,MATCH($E36,DEMANDS!$E$2:$E$25,0),FALSE)/HLOOKUP(2018,DEMANDS!$G$2:$CK$25,MATCH($E36,DEMANDS!$E$2:$E$25,0),FALSE)</f>
        <v>7.6095278528221852</v>
      </c>
      <c r="I36" s="18">
        <f>HLOOKUP(REG_TRA_DEMANDS!I$3,'BY-Demands'!$J$5:$AK$14,MATCH($E36,'BY-Demands'!$I$5:$I$14,0),FALSE)*HLOOKUP(REG_TRA_DEMANDS!$F36,DEMANDS!$G$2:$CK$25,MATCH($E36,DEMANDS!$E$2:$E$25,0),FALSE)/HLOOKUP(2018,DEMANDS!$G$2:$CK$25,MATCH($E36,DEMANDS!$E$2:$E$25,0),FALSE)</f>
        <v>1.549542001554566</v>
      </c>
      <c r="J36" s="18">
        <f>HLOOKUP(REG_TRA_DEMANDS!J$3,'BY-Demands'!$J$5:$AK$14,MATCH($E36,'BY-Demands'!$I$5:$I$14,0),FALSE)*HLOOKUP(REG_TRA_DEMANDS!$F36,DEMANDS!$G$2:$CK$25,MATCH($E36,DEMANDS!$E$2:$E$25,0),FALSE)/HLOOKUP(2018,DEMANDS!$G$2:$CK$25,MATCH($E36,DEMANDS!$E$2:$E$25,0),FALSE)</f>
        <v>0.7359076007464801</v>
      </c>
      <c r="K36" s="18">
        <f>HLOOKUP(REG_TRA_DEMANDS!K$3,'BY-Demands'!$J$5:$AK$14,MATCH($E36,'BY-Demands'!$I$5:$I$14,0),FALSE)*HLOOKUP(REG_TRA_DEMANDS!$F36,DEMANDS!$G$2:$CK$25,MATCH($E36,DEMANDS!$E$2:$E$25,0),FALSE)/HLOOKUP(2018,DEMANDS!$G$2:$CK$25,MATCH($E36,DEMANDS!$E$2:$E$25,0),FALSE)</f>
        <v>0.55367124031474746</v>
      </c>
      <c r="L36" s="18">
        <f>HLOOKUP(REG_TRA_DEMANDS!L$3,'BY-Demands'!$J$5:$AK$14,MATCH($E36,'BY-Demands'!$I$5:$I$14,0),FALSE)*HLOOKUP(REG_TRA_DEMANDS!$F36,DEMANDS!$G$2:$CK$25,MATCH($E36,DEMANDS!$E$2:$E$25,0),FALSE)/HLOOKUP(2018,DEMANDS!$G$2:$CK$25,MATCH($E36,DEMANDS!$E$2:$E$25,0),FALSE)</f>
        <v>0.28524857148751276</v>
      </c>
      <c r="M36" s="18">
        <f>HLOOKUP(REG_TRA_DEMANDS!M$3,'BY-Demands'!$J$5:$AK$14,MATCH($E36,'BY-Demands'!$I$5:$I$14,0),FALSE)*HLOOKUP(REG_TRA_DEMANDS!$F36,DEMANDS!$G$2:$CK$25,MATCH($E36,DEMANDS!$E$2:$E$25,0),FALSE)/HLOOKUP(2018,DEMANDS!$G$2:$CK$25,MATCH($E36,DEMANDS!$E$2:$E$25,0),FALSE)</f>
        <v>0.76833191871061768</v>
      </c>
      <c r="N36" s="18">
        <f>HLOOKUP(REG_TRA_DEMANDS!N$3,'BY-Demands'!$J$5:$AK$14,MATCH($E36,'BY-Demands'!$I$5:$I$14,0),FALSE)*HLOOKUP(REG_TRA_DEMANDS!$F36,DEMANDS!$G$2:$CK$25,MATCH($E36,DEMANDS!$E$2:$E$25,0),FALSE)/HLOOKUP(2018,DEMANDS!$G$2:$CK$25,MATCH($E36,DEMANDS!$E$2:$E$25,0),FALSE)</f>
        <v>1.3339120368117683</v>
      </c>
      <c r="O36" s="18">
        <f>HLOOKUP(REG_TRA_DEMANDS!O$3,'BY-Demands'!$J$5:$AK$14,MATCH($E36,'BY-Demands'!$I$5:$I$14,0),FALSE)*HLOOKUP(REG_TRA_DEMANDS!$F36,DEMANDS!$G$2:$CK$25,MATCH($E36,DEMANDS!$E$2:$E$25,0),FALSE)/HLOOKUP(2018,DEMANDS!$G$2:$CK$25,MATCH($E36,DEMANDS!$E$2:$E$25,0),FALSE)</f>
        <v>0.56529954211129496</v>
      </c>
      <c r="P36" s="18">
        <f>HLOOKUP(REG_TRA_DEMANDS!P$3,'BY-Demands'!$J$5:$AK$14,MATCH($E36,'BY-Demands'!$I$5:$I$14,0),FALSE)*HLOOKUP(REG_TRA_DEMANDS!$F36,DEMANDS!$G$2:$CK$25,MATCH($E36,DEMANDS!$E$2:$E$25,0),FALSE)/HLOOKUP(2018,DEMANDS!$G$2:$CK$25,MATCH($E36,DEMANDS!$E$2:$E$25,0),FALSE)</f>
        <v>0.63813691662304861</v>
      </c>
      <c r="Q36" s="18">
        <f>HLOOKUP(REG_TRA_DEMANDS!Q$3,'BY-Demands'!$J$5:$AK$14,MATCH($E36,'BY-Demands'!$I$5:$I$14,0),FALSE)*HLOOKUP(REG_TRA_DEMANDS!$F36,DEMANDS!$G$2:$CK$25,MATCH($E36,DEMANDS!$E$2:$E$25,0),FALSE)/HLOOKUP(2018,DEMANDS!$G$2:$CK$25,MATCH($E36,DEMANDS!$E$2:$E$25,0),FALSE)</f>
        <v>1.1317525160943118</v>
      </c>
      <c r="R36" s="18">
        <f>HLOOKUP(REG_TRA_DEMANDS!R$3,'BY-Demands'!$J$5:$AK$14,MATCH($E36,'BY-Demands'!$I$5:$I$14,0),FALSE)*HLOOKUP(REG_TRA_DEMANDS!$F36,DEMANDS!$G$2:$CK$25,MATCH($E36,DEMANDS!$E$2:$E$25,0),FALSE)/HLOOKUP(2018,DEMANDS!$G$2:$CK$25,MATCH($E36,DEMANDS!$E$2:$E$25,0),FALSE)</f>
        <v>0.96039210277806775</v>
      </c>
      <c r="S36" s="18">
        <f>HLOOKUP(REG_TRA_DEMANDS!S$3,'BY-Demands'!$J$5:$AK$14,MATCH($E36,'BY-Demands'!$I$5:$I$14,0),FALSE)*HLOOKUP(REG_TRA_DEMANDS!$F36,DEMANDS!$G$2:$CK$25,MATCH($E36,DEMANDS!$E$2:$E$25,0),FALSE)/HLOOKUP(2018,DEMANDS!$G$2:$CK$25,MATCH($E36,DEMANDS!$E$2:$E$25,0),FALSE)</f>
        <v>0.87102785961897167</v>
      </c>
      <c r="T36" s="18">
        <f>HLOOKUP(REG_TRA_DEMANDS!T$3,'BY-Demands'!$J$5:$AK$14,MATCH($E36,'BY-Demands'!$I$5:$I$14,0),FALSE)*HLOOKUP(REG_TRA_DEMANDS!$F36,DEMANDS!$G$2:$CK$25,MATCH($E36,DEMANDS!$E$2:$E$25,0),FALSE)/HLOOKUP(2018,DEMANDS!$G$2:$CK$25,MATCH($E36,DEMANDS!$E$2:$E$25,0),FALSE)</f>
        <v>3.5200969213154973</v>
      </c>
      <c r="U36" s="18">
        <f>HLOOKUP(REG_TRA_DEMANDS!U$3,'BY-Demands'!$J$5:$AK$14,MATCH($E36,'BY-Demands'!$I$5:$I$14,0),FALSE)*HLOOKUP(REG_TRA_DEMANDS!$F36,DEMANDS!$G$2:$CK$25,MATCH($E36,DEMANDS!$E$2:$E$25,0),FALSE)/HLOOKUP(2018,DEMANDS!$G$2:$CK$25,MATCH($E36,DEMANDS!$E$2:$E$25,0),FALSE)</f>
        <v>1.1521267758462677</v>
      </c>
      <c r="V36" s="18">
        <f>HLOOKUP(REG_TRA_DEMANDS!V$3,'BY-Demands'!$J$5:$AK$14,MATCH($E36,'BY-Demands'!$I$5:$I$14,0),FALSE)*HLOOKUP(REG_TRA_DEMANDS!$F36,DEMANDS!$G$2:$CK$25,MATCH($E36,DEMANDS!$E$2:$E$25,0),FALSE)/HLOOKUP(2018,DEMANDS!$G$2:$CK$25,MATCH($E36,DEMANDS!$E$2:$E$25,0),FALSE)</f>
        <v>1.2975912148573492</v>
      </c>
      <c r="W36" s="18">
        <f>HLOOKUP(REG_TRA_DEMANDS!W$3,'BY-Demands'!$J$5:$AK$14,MATCH($E36,'BY-Demands'!$I$5:$I$14,0),FALSE)*HLOOKUP(REG_TRA_DEMANDS!$F36,DEMANDS!$G$2:$CK$25,MATCH($E36,DEMANDS!$E$2:$E$25,0),FALSE)/HLOOKUP(2018,DEMANDS!$G$2:$CK$25,MATCH($E36,DEMANDS!$E$2:$E$25,0),FALSE)</f>
        <v>1.2585097346245819</v>
      </c>
      <c r="X36" s="18">
        <f>HLOOKUP(REG_TRA_DEMANDS!X$3,'BY-Demands'!$J$5:$AK$14,MATCH($E36,'BY-Demands'!$I$5:$I$14,0),FALSE)*HLOOKUP(REG_TRA_DEMANDS!$F36,DEMANDS!$G$2:$CK$25,MATCH($E36,DEMANDS!$E$2:$E$25,0),FALSE)/HLOOKUP(2018,DEMANDS!$G$2:$CK$25,MATCH($E36,DEMANDS!$E$2:$E$25,0),FALSE)</f>
        <v>0.79396486565910041</v>
      </c>
      <c r="Y36" s="18">
        <f>HLOOKUP(REG_TRA_DEMANDS!Y$3,'BY-Demands'!$J$5:$AK$14,MATCH($E36,'BY-Demands'!$I$5:$I$14,0),FALSE)*HLOOKUP(REG_TRA_DEMANDS!$F36,DEMANDS!$G$2:$CK$25,MATCH($E36,DEMANDS!$E$2:$E$25,0),FALSE)/HLOOKUP(2018,DEMANDS!$G$2:$CK$25,MATCH($E36,DEMANDS!$E$2:$E$25,0),FALSE)</f>
        <v>1.7776395514692096</v>
      </c>
      <c r="Z36" s="18">
        <f>HLOOKUP(REG_TRA_DEMANDS!Z$3,'BY-Demands'!$J$5:$AK$14,MATCH($E36,'BY-Demands'!$I$5:$I$14,0),FALSE)*HLOOKUP(REG_TRA_DEMANDS!$F36,DEMANDS!$G$2:$CK$25,MATCH($E36,DEMANDS!$E$2:$E$25,0),FALSE)/HLOOKUP(2018,DEMANDS!$G$2:$CK$25,MATCH($E36,DEMANDS!$E$2:$E$25,0),FALSE)</f>
        <v>0.23298136275182846</v>
      </c>
      <c r="AA36" s="18">
        <f>HLOOKUP(REG_TRA_DEMANDS!AA$3,'BY-Demands'!$J$5:$AK$14,MATCH($E36,'BY-Demands'!$I$5:$I$14,0),FALSE)*HLOOKUP(REG_TRA_DEMANDS!$F36,DEMANDS!$G$2:$CK$25,MATCH($E36,DEMANDS!$E$2:$E$25,0),FALSE)/HLOOKUP(2018,DEMANDS!$G$2:$CK$25,MATCH($E36,DEMANDS!$E$2:$E$25,0),FALSE)</f>
        <v>0.98451184753440613</v>
      </c>
      <c r="AB36" s="18">
        <f>HLOOKUP(REG_TRA_DEMANDS!AB$3,'BY-Demands'!$J$5:$AK$14,MATCH($E36,'BY-Demands'!$I$5:$I$14,0),FALSE)*HLOOKUP(REG_TRA_DEMANDS!$F36,DEMANDS!$G$2:$CK$25,MATCH($E36,DEMANDS!$E$2:$E$25,0),FALSE)/HLOOKUP(2018,DEMANDS!$G$2:$CK$25,MATCH($E36,DEMANDS!$E$2:$E$25,0),FALSE)</f>
        <v>0.53009153197296643</v>
      </c>
      <c r="AC36" s="18">
        <f>HLOOKUP(REG_TRA_DEMANDS!AC$3,'BY-Demands'!$J$5:$AK$14,MATCH($E36,'BY-Demands'!$I$5:$I$14,0),FALSE)*HLOOKUP(REG_TRA_DEMANDS!$F36,DEMANDS!$G$2:$CK$25,MATCH($E36,DEMANDS!$E$2:$E$25,0),FALSE)/HLOOKUP(2018,DEMANDS!$G$2:$CK$25,MATCH($E36,DEMANDS!$E$2:$E$25,0),FALSE)</f>
        <v>0.43244613787090669</v>
      </c>
      <c r="AD36" s="18">
        <f>HLOOKUP(REG_TRA_DEMANDS!AD$3,'BY-Demands'!$J$5:$AK$14,MATCH($E36,'BY-Demands'!$I$5:$I$14,0),FALSE)*HLOOKUP(REG_TRA_DEMANDS!$F36,DEMANDS!$G$2:$CK$25,MATCH($E36,DEMANDS!$E$2:$E$25,0),FALSE)/HLOOKUP(2018,DEMANDS!$G$2:$CK$25,MATCH($E36,DEMANDS!$E$2:$E$25,0),FALSE)</f>
        <v>0.46988388683787524</v>
      </c>
      <c r="AE36" s="18">
        <f>HLOOKUP(REG_TRA_DEMANDS!AE$3,'BY-Demands'!$J$5:$AK$14,MATCH($E36,'BY-Demands'!$I$5:$I$14,0),FALSE)*HLOOKUP(REG_TRA_DEMANDS!$F36,DEMANDS!$G$2:$CK$25,MATCH($E36,DEMANDS!$E$2:$E$25,0),FALSE)/HLOOKUP(2018,DEMANDS!$G$2:$CK$25,MATCH($E36,DEMANDS!$E$2:$E$25,0),FALSE)</f>
        <v>0.86536719799238881</v>
      </c>
      <c r="AF36" s="18">
        <f>HLOOKUP(REG_TRA_DEMANDS!AF$3,'BY-Demands'!$J$5:$AK$14,MATCH($E36,'BY-Demands'!$I$5:$I$14,0),FALSE)*HLOOKUP(REG_TRA_DEMANDS!$F36,DEMANDS!$G$2:$CK$25,MATCH($E36,DEMANDS!$E$2:$E$25,0),FALSE)/HLOOKUP(2018,DEMANDS!$G$2:$CK$25,MATCH($E36,DEMANDS!$E$2:$E$25,0),FALSE)</f>
        <v>0.47591914762880122</v>
      </c>
    </row>
    <row r="37" spans="4:32" ht="14.4">
      <c r="D37" t="s">
        <v>6</v>
      </c>
      <c r="E37" t="str">
        <f>DEMANDS!$E$18</f>
        <v>TRAPM</v>
      </c>
      <c r="F37">
        <v>2026</v>
      </c>
      <c r="G37" s="18">
        <f>HLOOKUP(REG_TRA_DEMANDS!G$3,'BY-Demands'!$J$5:$AK$14,MATCH($E37,'BY-Demands'!$I$5:$I$14,0),FALSE)*HLOOKUP(REG_TRA_DEMANDS!$F37,DEMANDS!$G$2:$CK$25,MATCH($E37,DEMANDS!$E$2:$E$25,0),FALSE)/HLOOKUP(2018,DEMANDS!$G$2:$CK$25,MATCH($E37,DEMANDS!$E$2:$E$25,0),FALSE)</f>
        <v>0.44104553946596631</v>
      </c>
      <c r="H37" s="18">
        <f>HLOOKUP(REG_TRA_DEMANDS!H$3,'BY-Demands'!$J$5:$AK$14,MATCH($E37,'BY-Demands'!$I$5:$I$14,0),FALSE)*HLOOKUP(REG_TRA_DEMANDS!$F37,DEMANDS!$G$2:$CK$25,MATCH($E37,DEMANDS!$E$2:$E$25,0),FALSE)/HLOOKUP(2018,DEMANDS!$G$2:$CK$25,MATCH($E37,DEMANDS!$E$2:$E$25,0),FALSE)</f>
        <v>7.7236707706145173</v>
      </c>
      <c r="I37" s="18">
        <f>HLOOKUP(REG_TRA_DEMANDS!I$3,'BY-Demands'!$J$5:$AK$14,MATCH($E37,'BY-Demands'!$I$5:$I$14,0),FALSE)*HLOOKUP(REG_TRA_DEMANDS!$F37,DEMANDS!$G$2:$CK$25,MATCH($E37,DEMANDS!$E$2:$E$25,0),FALSE)/HLOOKUP(2018,DEMANDS!$G$2:$CK$25,MATCH($E37,DEMANDS!$E$2:$E$25,0),FALSE)</f>
        <v>1.5727851315778842</v>
      </c>
      <c r="J37" s="18">
        <f>HLOOKUP(REG_TRA_DEMANDS!J$3,'BY-Demands'!$J$5:$AK$14,MATCH($E37,'BY-Demands'!$I$5:$I$14,0),FALSE)*HLOOKUP(REG_TRA_DEMANDS!$F37,DEMANDS!$G$2:$CK$25,MATCH($E37,DEMANDS!$E$2:$E$25,0),FALSE)/HLOOKUP(2018,DEMANDS!$G$2:$CK$25,MATCH($E37,DEMANDS!$E$2:$E$25,0),FALSE)</f>
        <v>0.7469462147576772</v>
      </c>
      <c r="K37" s="18">
        <f>HLOOKUP(REG_TRA_DEMANDS!K$3,'BY-Demands'!$J$5:$AK$14,MATCH($E37,'BY-Demands'!$I$5:$I$14,0),FALSE)*HLOOKUP(REG_TRA_DEMANDS!$F37,DEMANDS!$G$2:$CK$25,MATCH($E37,DEMANDS!$E$2:$E$25,0),FALSE)/HLOOKUP(2018,DEMANDS!$G$2:$CK$25,MATCH($E37,DEMANDS!$E$2:$E$25,0),FALSE)</f>
        <v>0.56197630891946859</v>
      </c>
      <c r="L37" s="18">
        <f>HLOOKUP(REG_TRA_DEMANDS!L$3,'BY-Demands'!$J$5:$AK$14,MATCH($E37,'BY-Demands'!$I$5:$I$14,0),FALSE)*HLOOKUP(REG_TRA_DEMANDS!$F37,DEMANDS!$G$2:$CK$25,MATCH($E37,DEMANDS!$E$2:$E$25,0),FALSE)/HLOOKUP(2018,DEMANDS!$G$2:$CK$25,MATCH($E37,DEMANDS!$E$2:$E$25,0),FALSE)</f>
        <v>0.28952730005982547</v>
      </c>
      <c r="M37" s="18">
        <f>HLOOKUP(REG_TRA_DEMANDS!M$3,'BY-Demands'!$J$5:$AK$14,MATCH($E37,'BY-Demands'!$I$5:$I$14,0),FALSE)*HLOOKUP(REG_TRA_DEMANDS!$F37,DEMANDS!$G$2:$CK$25,MATCH($E37,DEMANDS!$E$2:$E$25,0),FALSE)/HLOOKUP(2018,DEMANDS!$G$2:$CK$25,MATCH($E37,DEMANDS!$E$2:$E$25,0),FALSE)</f>
        <v>0.77985689749127696</v>
      </c>
      <c r="N37" s="18">
        <f>HLOOKUP(REG_TRA_DEMANDS!N$3,'BY-Demands'!$J$5:$AK$14,MATCH($E37,'BY-Demands'!$I$5:$I$14,0),FALSE)*HLOOKUP(REG_TRA_DEMANDS!$F37,DEMANDS!$G$2:$CK$25,MATCH($E37,DEMANDS!$E$2:$E$25,0),FALSE)/HLOOKUP(2018,DEMANDS!$G$2:$CK$25,MATCH($E37,DEMANDS!$E$2:$E$25,0),FALSE)</f>
        <v>1.3539207173639445</v>
      </c>
      <c r="O37" s="18">
        <f>HLOOKUP(REG_TRA_DEMANDS!O$3,'BY-Demands'!$J$5:$AK$14,MATCH($E37,'BY-Demands'!$I$5:$I$14,0),FALSE)*HLOOKUP(REG_TRA_DEMANDS!$F37,DEMANDS!$G$2:$CK$25,MATCH($E37,DEMANDS!$E$2:$E$25,0),FALSE)/HLOOKUP(2018,DEMANDS!$G$2:$CK$25,MATCH($E37,DEMANDS!$E$2:$E$25,0),FALSE)</f>
        <v>0.57377903524296425</v>
      </c>
      <c r="P37" s="18">
        <f>HLOOKUP(REG_TRA_DEMANDS!P$3,'BY-Demands'!$J$5:$AK$14,MATCH($E37,'BY-Demands'!$I$5:$I$14,0),FALSE)*HLOOKUP(REG_TRA_DEMANDS!$F37,DEMANDS!$G$2:$CK$25,MATCH($E37,DEMANDS!$E$2:$E$25,0),FALSE)/HLOOKUP(2018,DEMANDS!$G$2:$CK$25,MATCH($E37,DEMANDS!$E$2:$E$25,0),FALSE)</f>
        <v>0.64770897037239428</v>
      </c>
      <c r="Q37" s="18">
        <f>HLOOKUP(REG_TRA_DEMANDS!Q$3,'BY-Demands'!$J$5:$AK$14,MATCH($E37,'BY-Demands'!$I$5:$I$14,0),FALSE)*HLOOKUP(REG_TRA_DEMANDS!$F37,DEMANDS!$G$2:$CK$25,MATCH($E37,DEMANDS!$E$2:$E$25,0),FALSE)/HLOOKUP(2018,DEMANDS!$G$2:$CK$25,MATCH($E37,DEMANDS!$E$2:$E$25,0),FALSE)</f>
        <v>1.1487288038357264</v>
      </c>
      <c r="R37" s="18">
        <f>HLOOKUP(REG_TRA_DEMANDS!R$3,'BY-Demands'!$J$5:$AK$14,MATCH($E37,'BY-Demands'!$I$5:$I$14,0),FALSE)*HLOOKUP(REG_TRA_DEMANDS!$F37,DEMANDS!$G$2:$CK$25,MATCH($E37,DEMANDS!$E$2:$E$25,0),FALSE)/HLOOKUP(2018,DEMANDS!$G$2:$CK$25,MATCH($E37,DEMANDS!$E$2:$E$25,0),FALSE)</f>
        <v>0.97479798431973863</v>
      </c>
      <c r="S37" s="18">
        <f>HLOOKUP(REG_TRA_DEMANDS!S$3,'BY-Demands'!$J$5:$AK$14,MATCH($E37,'BY-Demands'!$I$5:$I$14,0),FALSE)*HLOOKUP(REG_TRA_DEMANDS!$F37,DEMANDS!$G$2:$CK$25,MATCH($E37,DEMANDS!$E$2:$E$25,0),FALSE)/HLOOKUP(2018,DEMANDS!$G$2:$CK$25,MATCH($E37,DEMANDS!$E$2:$E$25,0),FALSE)</f>
        <v>0.88409327751325606</v>
      </c>
      <c r="T37" s="18">
        <f>HLOOKUP(REG_TRA_DEMANDS!T$3,'BY-Demands'!$J$5:$AK$14,MATCH($E37,'BY-Demands'!$I$5:$I$14,0),FALSE)*HLOOKUP(REG_TRA_DEMANDS!$F37,DEMANDS!$G$2:$CK$25,MATCH($E37,DEMANDS!$E$2:$E$25,0),FALSE)/HLOOKUP(2018,DEMANDS!$G$2:$CK$25,MATCH($E37,DEMANDS!$E$2:$E$25,0),FALSE)</f>
        <v>3.5728983751352295</v>
      </c>
      <c r="U37" s="18">
        <f>HLOOKUP(REG_TRA_DEMANDS!U$3,'BY-Demands'!$J$5:$AK$14,MATCH($E37,'BY-Demands'!$I$5:$I$14,0),FALSE)*HLOOKUP(REG_TRA_DEMANDS!$F37,DEMANDS!$G$2:$CK$25,MATCH($E37,DEMANDS!$E$2:$E$25,0),FALSE)/HLOOKUP(2018,DEMANDS!$G$2:$CK$25,MATCH($E37,DEMANDS!$E$2:$E$25,0),FALSE)</f>
        <v>1.1694086774839616</v>
      </c>
      <c r="V37" s="18">
        <f>HLOOKUP(REG_TRA_DEMANDS!V$3,'BY-Demands'!$J$5:$AK$14,MATCH($E37,'BY-Demands'!$I$5:$I$14,0),FALSE)*HLOOKUP(REG_TRA_DEMANDS!$F37,DEMANDS!$G$2:$CK$25,MATCH($E37,DEMANDS!$E$2:$E$25,0),FALSE)/HLOOKUP(2018,DEMANDS!$G$2:$CK$25,MATCH($E37,DEMANDS!$E$2:$E$25,0),FALSE)</f>
        <v>1.3170550830802092</v>
      </c>
      <c r="W37" s="18">
        <f>HLOOKUP(REG_TRA_DEMANDS!W$3,'BY-Demands'!$J$5:$AK$14,MATCH($E37,'BY-Demands'!$I$5:$I$14,0),FALSE)*HLOOKUP(REG_TRA_DEMANDS!$F37,DEMANDS!$G$2:$CK$25,MATCH($E37,DEMANDS!$E$2:$E$25,0),FALSE)/HLOOKUP(2018,DEMANDS!$G$2:$CK$25,MATCH($E37,DEMANDS!$E$2:$E$25,0),FALSE)</f>
        <v>1.2773873806439506</v>
      </c>
      <c r="X37" s="18">
        <f>HLOOKUP(REG_TRA_DEMANDS!X$3,'BY-Demands'!$J$5:$AK$14,MATCH($E37,'BY-Demands'!$I$5:$I$14,0),FALSE)*HLOOKUP(REG_TRA_DEMANDS!$F37,DEMANDS!$G$2:$CK$25,MATCH($E37,DEMANDS!$E$2:$E$25,0),FALSE)/HLOOKUP(2018,DEMANDS!$G$2:$CK$25,MATCH($E37,DEMANDS!$E$2:$E$25,0),FALSE)</f>
        <v>0.80587433864398683</v>
      </c>
      <c r="Y37" s="18">
        <f>HLOOKUP(REG_TRA_DEMANDS!Y$3,'BY-Demands'!$J$5:$AK$14,MATCH($E37,'BY-Demands'!$I$5:$I$14,0),FALSE)*HLOOKUP(REG_TRA_DEMANDS!$F37,DEMANDS!$G$2:$CK$25,MATCH($E37,DEMANDS!$E$2:$E$25,0),FALSE)/HLOOKUP(2018,DEMANDS!$G$2:$CK$25,MATCH($E37,DEMANDS!$E$2:$E$25,0),FALSE)</f>
        <v>1.8043041447412476</v>
      </c>
      <c r="Z37" s="18">
        <f>HLOOKUP(REG_TRA_DEMANDS!Z$3,'BY-Demands'!$J$5:$AK$14,MATCH($E37,'BY-Demands'!$I$5:$I$14,0),FALSE)*HLOOKUP(REG_TRA_DEMANDS!$F37,DEMANDS!$G$2:$CK$25,MATCH($E37,DEMANDS!$E$2:$E$25,0),FALSE)/HLOOKUP(2018,DEMANDS!$G$2:$CK$25,MATCH($E37,DEMANDS!$E$2:$E$25,0),FALSE)</f>
        <v>0.23647608319310587</v>
      </c>
      <c r="AA37" s="18">
        <f>HLOOKUP(REG_TRA_DEMANDS!AA$3,'BY-Demands'!$J$5:$AK$14,MATCH($E37,'BY-Demands'!$I$5:$I$14,0),FALSE)*HLOOKUP(REG_TRA_DEMANDS!$F37,DEMANDS!$G$2:$CK$25,MATCH($E37,DEMANDS!$E$2:$E$25,0),FALSE)/HLOOKUP(2018,DEMANDS!$G$2:$CK$25,MATCH($E37,DEMANDS!$E$2:$E$25,0),FALSE)</f>
        <v>0.99927952524742203</v>
      </c>
      <c r="AB37" s="18">
        <f>HLOOKUP(REG_TRA_DEMANDS!AB$3,'BY-Demands'!$J$5:$AK$14,MATCH($E37,'BY-Demands'!$I$5:$I$14,0),FALSE)*HLOOKUP(REG_TRA_DEMANDS!$F37,DEMANDS!$G$2:$CK$25,MATCH($E37,DEMANDS!$E$2:$E$25,0),FALSE)/HLOOKUP(2018,DEMANDS!$G$2:$CK$25,MATCH($E37,DEMANDS!$E$2:$E$25,0),FALSE)</f>
        <v>0.53804290495256091</v>
      </c>
      <c r="AC37" s="18">
        <f>HLOOKUP(REG_TRA_DEMANDS!AC$3,'BY-Demands'!$J$5:$AK$14,MATCH($E37,'BY-Demands'!$I$5:$I$14,0),FALSE)*HLOOKUP(REG_TRA_DEMANDS!$F37,DEMANDS!$G$2:$CK$25,MATCH($E37,DEMANDS!$E$2:$E$25,0),FALSE)/HLOOKUP(2018,DEMANDS!$G$2:$CK$25,MATCH($E37,DEMANDS!$E$2:$E$25,0),FALSE)</f>
        <v>0.43893282993897026</v>
      </c>
      <c r="AD37" s="18">
        <f>HLOOKUP(REG_TRA_DEMANDS!AD$3,'BY-Demands'!$J$5:$AK$14,MATCH($E37,'BY-Demands'!$I$5:$I$14,0),FALSE)*HLOOKUP(REG_TRA_DEMANDS!$F37,DEMANDS!$G$2:$CK$25,MATCH($E37,DEMANDS!$E$2:$E$25,0),FALSE)/HLOOKUP(2018,DEMANDS!$G$2:$CK$25,MATCH($E37,DEMANDS!$E$2:$E$25,0),FALSE)</f>
        <v>0.4769321451404433</v>
      </c>
      <c r="AE37" s="18">
        <f>HLOOKUP(REG_TRA_DEMANDS!AE$3,'BY-Demands'!$J$5:$AK$14,MATCH($E37,'BY-Demands'!$I$5:$I$14,0),FALSE)*HLOOKUP(REG_TRA_DEMANDS!$F37,DEMANDS!$G$2:$CK$25,MATCH($E37,DEMANDS!$E$2:$E$25,0),FALSE)/HLOOKUP(2018,DEMANDS!$G$2:$CK$25,MATCH($E37,DEMANDS!$E$2:$E$25,0),FALSE)</f>
        <v>0.87834770596227463</v>
      </c>
      <c r="AF37" s="18">
        <f>HLOOKUP(REG_TRA_DEMANDS!AF$3,'BY-Demands'!$J$5:$AK$14,MATCH($E37,'BY-Demands'!$I$5:$I$14,0),FALSE)*HLOOKUP(REG_TRA_DEMANDS!$F37,DEMANDS!$G$2:$CK$25,MATCH($E37,DEMANDS!$E$2:$E$25,0),FALSE)/HLOOKUP(2018,DEMANDS!$G$2:$CK$25,MATCH($E37,DEMANDS!$E$2:$E$25,0),FALSE)</f>
        <v>0.48305793484323323</v>
      </c>
    </row>
    <row r="38" spans="4:32" ht="14.4">
      <c r="D38" t="s">
        <v>6</v>
      </c>
      <c r="E38" t="str">
        <f>DEMANDS!$E$18</f>
        <v>TRAPM</v>
      </c>
      <c r="F38">
        <v>2027</v>
      </c>
      <c r="G38" s="18">
        <f>HLOOKUP(REG_TRA_DEMANDS!G$3,'BY-Demands'!$J$5:$AK$14,MATCH($E38,'BY-Demands'!$I$5:$I$14,0),FALSE)*HLOOKUP(REG_TRA_DEMANDS!$F38,DEMANDS!$G$2:$CK$25,MATCH($E38,DEMANDS!$E$2:$E$25,0),FALSE)/HLOOKUP(2018,DEMANDS!$G$2:$CK$25,MATCH($E38,DEMANDS!$E$2:$E$25,0),FALSE)</f>
        <v>0.44766122255795571</v>
      </c>
      <c r="H38" s="18">
        <f>HLOOKUP(REG_TRA_DEMANDS!H$3,'BY-Demands'!$J$5:$AK$14,MATCH($E38,'BY-Demands'!$I$5:$I$14,0),FALSE)*HLOOKUP(REG_TRA_DEMANDS!$F38,DEMANDS!$G$2:$CK$25,MATCH($E38,DEMANDS!$E$2:$E$25,0),FALSE)/HLOOKUP(2018,DEMANDS!$G$2:$CK$25,MATCH($E38,DEMANDS!$E$2:$E$25,0),FALSE)</f>
        <v>7.8395258321737336</v>
      </c>
      <c r="I38" s="18">
        <f>HLOOKUP(REG_TRA_DEMANDS!I$3,'BY-Demands'!$J$5:$AK$14,MATCH($E38,'BY-Demands'!$I$5:$I$14,0),FALSE)*HLOOKUP(REG_TRA_DEMANDS!$F38,DEMANDS!$G$2:$CK$25,MATCH($E38,DEMANDS!$E$2:$E$25,0),FALSE)/HLOOKUP(2018,DEMANDS!$G$2:$CK$25,MATCH($E38,DEMANDS!$E$2:$E$25,0),FALSE)</f>
        <v>1.5963769085515525</v>
      </c>
      <c r="J38" s="18">
        <f>HLOOKUP(REG_TRA_DEMANDS!J$3,'BY-Demands'!$J$5:$AK$14,MATCH($E38,'BY-Demands'!$I$5:$I$14,0),FALSE)*HLOOKUP(REG_TRA_DEMANDS!$F38,DEMANDS!$G$2:$CK$25,MATCH($E38,DEMANDS!$E$2:$E$25,0),FALSE)/HLOOKUP(2018,DEMANDS!$G$2:$CK$25,MATCH($E38,DEMANDS!$E$2:$E$25,0),FALSE)</f>
        <v>0.75815040797904221</v>
      </c>
      <c r="K38" s="18">
        <f>HLOOKUP(REG_TRA_DEMANDS!K$3,'BY-Demands'!$J$5:$AK$14,MATCH($E38,'BY-Demands'!$I$5:$I$14,0),FALSE)*HLOOKUP(REG_TRA_DEMANDS!$F38,DEMANDS!$G$2:$CK$25,MATCH($E38,DEMANDS!$E$2:$E$25,0),FALSE)/HLOOKUP(2018,DEMANDS!$G$2:$CK$25,MATCH($E38,DEMANDS!$E$2:$E$25,0),FALSE)</f>
        <v>0.57040595355326063</v>
      </c>
      <c r="L38" s="18">
        <f>HLOOKUP(REG_TRA_DEMANDS!L$3,'BY-Demands'!$J$5:$AK$14,MATCH($E38,'BY-Demands'!$I$5:$I$14,0),FALSE)*HLOOKUP(REG_TRA_DEMANDS!$F38,DEMANDS!$G$2:$CK$25,MATCH($E38,DEMANDS!$E$2:$E$25,0),FALSE)/HLOOKUP(2018,DEMANDS!$G$2:$CK$25,MATCH($E38,DEMANDS!$E$2:$E$25,0),FALSE)</f>
        <v>0.29387020956072279</v>
      </c>
      <c r="M38" s="18">
        <f>HLOOKUP(REG_TRA_DEMANDS!M$3,'BY-Demands'!$J$5:$AK$14,MATCH($E38,'BY-Demands'!$I$5:$I$14,0),FALSE)*HLOOKUP(REG_TRA_DEMANDS!$F38,DEMANDS!$G$2:$CK$25,MATCH($E38,DEMANDS!$E$2:$E$25,0),FALSE)/HLOOKUP(2018,DEMANDS!$G$2:$CK$25,MATCH($E38,DEMANDS!$E$2:$E$25,0),FALSE)</f>
        <v>0.79155475095364591</v>
      </c>
      <c r="N38" s="18">
        <f>HLOOKUP(REG_TRA_DEMANDS!N$3,'BY-Demands'!$J$5:$AK$14,MATCH($E38,'BY-Demands'!$I$5:$I$14,0),FALSE)*HLOOKUP(REG_TRA_DEMANDS!$F38,DEMANDS!$G$2:$CK$25,MATCH($E38,DEMANDS!$E$2:$E$25,0),FALSE)/HLOOKUP(2018,DEMANDS!$G$2:$CK$25,MATCH($E38,DEMANDS!$E$2:$E$25,0),FALSE)</f>
        <v>1.3742295281244037</v>
      </c>
      <c r="O38" s="18">
        <f>HLOOKUP(REG_TRA_DEMANDS!O$3,'BY-Demands'!$J$5:$AK$14,MATCH($E38,'BY-Demands'!$I$5:$I$14,0),FALSE)*HLOOKUP(REG_TRA_DEMANDS!$F38,DEMANDS!$G$2:$CK$25,MATCH($E38,DEMANDS!$E$2:$E$25,0),FALSE)/HLOOKUP(2018,DEMANDS!$G$2:$CK$25,MATCH($E38,DEMANDS!$E$2:$E$25,0),FALSE)</f>
        <v>0.58238572077160855</v>
      </c>
      <c r="P38" s="18">
        <f>HLOOKUP(REG_TRA_DEMANDS!P$3,'BY-Demands'!$J$5:$AK$14,MATCH($E38,'BY-Demands'!$I$5:$I$14,0),FALSE)*HLOOKUP(REG_TRA_DEMANDS!$F38,DEMANDS!$G$2:$CK$25,MATCH($E38,DEMANDS!$E$2:$E$25,0),FALSE)/HLOOKUP(2018,DEMANDS!$G$2:$CK$25,MATCH($E38,DEMANDS!$E$2:$E$25,0),FALSE)</f>
        <v>0.65742460492798005</v>
      </c>
      <c r="Q38" s="18">
        <f>HLOOKUP(REG_TRA_DEMANDS!Q$3,'BY-Demands'!$J$5:$AK$14,MATCH($E38,'BY-Demands'!$I$5:$I$14,0),FALSE)*HLOOKUP(REG_TRA_DEMANDS!$F38,DEMANDS!$G$2:$CK$25,MATCH($E38,DEMANDS!$E$2:$E$25,0),FALSE)/HLOOKUP(2018,DEMANDS!$G$2:$CK$25,MATCH($E38,DEMANDS!$E$2:$E$25,0),FALSE)</f>
        <v>1.1659597358932619</v>
      </c>
      <c r="R38" s="18">
        <f>HLOOKUP(REG_TRA_DEMANDS!R$3,'BY-Demands'!$J$5:$AK$14,MATCH($E38,'BY-Demands'!$I$5:$I$14,0),FALSE)*HLOOKUP(REG_TRA_DEMANDS!$F38,DEMANDS!$G$2:$CK$25,MATCH($E38,DEMANDS!$E$2:$E$25,0),FALSE)/HLOOKUP(2018,DEMANDS!$G$2:$CK$25,MATCH($E38,DEMANDS!$E$2:$E$25,0),FALSE)</f>
        <v>0.98941995408453465</v>
      </c>
      <c r="S38" s="18">
        <f>HLOOKUP(REG_TRA_DEMANDS!S$3,'BY-Demands'!$J$5:$AK$14,MATCH($E38,'BY-Demands'!$I$5:$I$14,0),FALSE)*HLOOKUP(REG_TRA_DEMANDS!$F38,DEMANDS!$G$2:$CK$25,MATCH($E38,DEMANDS!$E$2:$E$25,0),FALSE)/HLOOKUP(2018,DEMANDS!$G$2:$CK$25,MATCH($E38,DEMANDS!$E$2:$E$25,0),FALSE)</f>
        <v>0.89735467667595481</v>
      </c>
      <c r="T38" s="18">
        <f>HLOOKUP(REG_TRA_DEMANDS!T$3,'BY-Demands'!$J$5:$AK$14,MATCH($E38,'BY-Demands'!$I$5:$I$14,0),FALSE)*HLOOKUP(REG_TRA_DEMANDS!$F38,DEMANDS!$G$2:$CK$25,MATCH($E38,DEMANDS!$E$2:$E$25,0),FALSE)/HLOOKUP(2018,DEMANDS!$G$2:$CK$25,MATCH($E38,DEMANDS!$E$2:$E$25,0),FALSE)</f>
        <v>3.6264918507622572</v>
      </c>
      <c r="U38" s="18">
        <f>HLOOKUP(REG_TRA_DEMANDS!U$3,'BY-Demands'!$J$5:$AK$14,MATCH($E38,'BY-Demands'!$I$5:$I$14,0),FALSE)*HLOOKUP(REG_TRA_DEMANDS!$F38,DEMANDS!$G$2:$CK$25,MATCH($E38,DEMANDS!$E$2:$E$25,0),FALSE)/HLOOKUP(2018,DEMANDS!$G$2:$CK$25,MATCH($E38,DEMANDS!$E$2:$E$25,0),FALSE)</f>
        <v>1.186949807646221</v>
      </c>
      <c r="V38" s="18">
        <f>HLOOKUP(REG_TRA_DEMANDS!V$3,'BY-Demands'!$J$5:$AK$14,MATCH($E38,'BY-Demands'!$I$5:$I$14,0),FALSE)*HLOOKUP(REG_TRA_DEMANDS!$F38,DEMANDS!$G$2:$CK$25,MATCH($E38,DEMANDS!$E$2:$E$25,0),FALSE)/HLOOKUP(2018,DEMANDS!$G$2:$CK$25,MATCH($E38,DEMANDS!$E$2:$E$25,0),FALSE)</f>
        <v>1.3368109093264122</v>
      </c>
      <c r="W38" s="18">
        <f>HLOOKUP(REG_TRA_DEMANDS!W$3,'BY-Demands'!$J$5:$AK$14,MATCH($E38,'BY-Demands'!$I$5:$I$14,0),FALSE)*HLOOKUP(REG_TRA_DEMANDS!$F38,DEMANDS!$G$2:$CK$25,MATCH($E38,DEMANDS!$E$2:$E$25,0),FALSE)/HLOOKUP(2018,DEMANDS!$G$2:$CK$25,MATCH($E38,DEMANDS!$E$2:$E$25,0),FALSE)</f>
        <v>1.2965481913536099</v>
      </c>
      <c r="X38" s="18">
        <f>HLOOKUP(REG_TRA_DEMANDS!X$3,'BY-Demands'!$J$5:$AK$14,MATCH($E38,'BY-Demands'!$I$5:$I$14,0),FALSE)*HLOOKUP(REG_TRA_DEMANDS!$F38,DEMANDS!$G$2:$CK$25,MATCH($E38,DEMANDS!$E$2:$E$25,0),FALSE)/HLOOKUP(2018,DEMANDS!$G$2:$CK$25,MATCH($E38,DEMANDS!$E$2:$E$25,0),FALSE)</f>
        <v>0.81796245372364651</v>
      </c>
      <c r="Y38" s="18">
        <f>HLOOKUP(REG_TRA_DEMANDS!Y$3,'BY-Demands'!$J$5:$AK$14,MATCH($E38,'BY-Demands'!$I$5:$I$14,0),FALSE)*HLOOKUP(REG_TRA_DEMANDS!$F38,DEMANDS!$G$2:$CK$25,MATCH($E38,DEMANDS!$E$2:$E$25,0),FALSE)/HLOOKUP(2018,DEMANDS!$G$2:$CK$25,MATCH($E38,DEMANDS!$E$2:$E$25,0),FALSE)</f>
        <v>1.8313687069123661</v>
      </c>
      <c r="Z38" s="18">
        <f>HLOOKUP(REG_TRA_DEMANDS!Z$3,'BY-Demands'!$J$5:$AK$14,MATCH($E38,'BY-Demands'!$I$5:$I$14,0),FALSE)*HLOOKUP(REG_TRA_DEMANDS!$F38,DEMANDS!$G$2:$CK$25,MATCH($E38,DEMANDS!$E$2:$E$25,0),FALSE)/HLOOKUP(2018,DEMANDS!$G$2:$CK$25,MATCH($E38,DEMANDS!$E$2:$E$25,0),FALSE)</f>
        <v>0.24002322444100241</v>
      </c>
      <c r="AA38" s="18">
        <f>HLOOKUP(REG_TRA_DEMANDS!AA$3,'BY-Demands'!$J$5:$AK$14,MATCH($E38,'BY-Demands'!$I$5:$I$14,0),FALSE)*HLOOKUP(REG_TRA_DEMANDS!$F38,DEMANDS!$G$2:$CK$25,MATCH($E38,DEMANDS!$E$2:$E$25,0),FALSE)/HLOOKUP(2018,DEMANDS!$G$2:$CK$25,MATCH($E38,DEMANDS!$E$2:$E$25,0),FALSE)</f>
        <v>1.0142687181261334</v>
      </c>
      <c r="AB38" s="18">
        <f>HLOOKUP(REG_TRA_DEMANDS!AB$3,'BY-Demands'!$J$5:$AK$14,MATCH($E38,'BY-Demands'!$I$5:$I$14,0),FALSE)*HLOOKUP(REG_TRA_DEMANDS!$F38,DEMANDS!$G$2:$CK$25,MATCH($E38,DEMANDS!$E$2:$E$25,0),FALSE)/HLOOKUP(2018,DEMANDS!$G$2:$CK$25,MATCH($E38,DEMANDS!$E$2:$E$25,0),FALSE)</f>
        <v>0.54611354852684924</v>
      </c>
      <c r="AC38" s="18">
        <f>HLOOKUP(REG_TRA_DEMANDS!AC$3,'BY-Demands'!$J$5:$AK$14,MATCH($E38,'BY-Demands'!$I$5:$I$14,0),FALSE)*HLOOKUP(REG_TRA_DEMANDS!$F38,DEMANDS!$G$2:$CK$25,MATCH($E38,DEMANDS!$E$2:$E$25,0),FALSE)/HLOOKUP(2018,DEMANDS!$G$2:$CK$25,MATCH($E38,DEMANDS!$E$2:$E$25,0),FALSE)</f>
        <v>0.44551682238805479</v>
      </c>
      <c r="AD38" s="18">
        <f>HLOOKUP(REG_TRA_DEMANDS!AD$3,'BY-Demands'!$J$5:$AK$14,MATCH($E38,'BY-Demands'!$I$5:$I$14,0),FALSE)*HLOOKUP(REG_TRA_DEMANDS!$F38,DEMANDS!$G$2:$CK$25,MATCH($E38,DEMANDS!$E$2:$E$25,0),FALSE)/HLOOKUP(2018,DEMANDS!$G$2:$CK$25,MATCH($E38,DEMANDS!$E$2:$E$25,0),FALSE)</f>
        <v>0.48408612731754991</v>
      </c>
      <c r="AE38" s="18">
        <f>HLOOKUP(REG_TRA_DEMANDS!AE$3,'BY-Demands'!$J$5:$AK$14,MATCH($E38,'BY-Demands'!$I$5:$I$14,0),FALSE)*HLOOKUP(REG_TRA_DEMANDS!$F38,DEMANDS!$G$2:$CK$25,MATCH($E38,DEMANDS!$E$2:$E$25,0),FALSE)/HLOOKUP(2018,DEMANDS!$G$2:$CK$25,MATCH($E38,DEMANDS!$E$2:$E$25,0),FALSE)</f>
        <v>0.89152292155170854</v>
      </c>
      <c r="AF38" s="18">
        <f>HLOOKUP(REG_TRA_DEMANDS!AF$3,'BY-Demands'!$J$5:$AK$14,MATCH($E38,'BY-Demands'!$I$5:$I$14,0),FALSE)*HLOOKUP(REG_TRA_DEMANDS!$F38,DEMANDS!$G$2:$CK$25,MATCH($E38,DEMANDS!$E$2:$E$25,0),FALSE)/HLOOKUP(2018,DEMANDS!$G$2:$CK$25,MATCH($E38,DEMANDS!$E$2:$E$25,0),FALSE)</f>
        <v>0.49030380386588163</v>
      </c>
    </row>
    <row r="39" spans="4:32" ht="14.4">
      <c r="D39" t="s">
        <v>6</v>
      </c>
      <c r="E39" t="str">
        <f>DEMANDS!$E$18</f>
        <v>TRAPM</v>
      </c>
      <c r="F39">
        <v>2028</v>
      </c>
      <c r="G39" s="18">
        <f>HLOOKUP(REG_TRA_DEMANDS!G$3,'BY-Demands'!$J$5:$AK$14,MATCH($E39,'BY-Demands'!$I$5:$I$14,0),FALSE)*HLOOKUP(REG_TRA_DEMANDS!$F39,DEMANDS!$G$2:$CK$25,MATCH($E39,DEMANDS!$E$2:$E$25,0),FALSE)/HLOOKUP(2018,DEMANDS!$G$2:$CK$25,MATCH($E39,DEMANDS!$E$2:$E$25,0),FALSE)</f>
        <v>0.45437614089632505</v>
      </c>
      <c r="H39" s="18">
        <f>HLOOKUP(REG_TRA_DEMANDS!H$3,'BY-Demands'!$J$5:$AK$14,MATCH($E39,'BY-Demands'!$I$5:$I$14,0),FALSE)*HLOOKUP(REG_TRA_DEMANDS!$F39,DEMANDS!$G$2:$CK$25,MATCH($E39,DEMANDS!$E$2:$E$25,0),FALSE)/HLOOKUP(2018,DEMANDS!$G$2:$CK$25,MATCH($E39,DEMANDS!$E$2:$E$25,0),FALSE)</f>
        <v>7.9571187196563393</v>
      </c>
      <c r="I39" s="18">
        <f>HLOOKUP(REG_TRA_DEMANDS!I$3,'BY-Demands'!$J$5:$AK$14,MATCH($E39,'BY-Demands'!$I$5:$I$14,0),FALSE)*HLOOKUP(REG_TRA_DEMANDS!$F39,DEMANDS!$G$2:$CK$25,MATCH($E39,DEMANDS!$E$2:$E$25,0),FALSE)/HLOOKUP(2018,DEMANDS!$G$2:$CK$25,MATCH($E39,DEMANDS!$E$2:$E$25,0),FALSE)</f>
        <v>1.6203225621798256</v>
      </c>
      <c r="J39" s="18">
        <f>HLOOKUP(REG_TRA_DEMANDS!J$3,'BY-Demands'!$J$5:$AK$14,MATCH($E39,'BY-Demands'!$I$5:$I$14,0),FALSE)*HLOOKUP(REG_TRA_DEMANDS!$F39,DEMANDS!$G$2:$CK$25,MATCH($E39,DEMANDS!$E$2:$E$25,0),FALSE)/HLOOKUP(2018,DEMANDS!$G$2:$CK$25,MATCH($E39,DEMANDS!$E$2:$E$25,0),FALSE)</f>
        <v>0.76952266409872772</v>
      </c>
      <c r="K39" s="18">
        <f>HLOOKUP(REG_TRA_DEMANDS!K$3,'BY-Demands'!$J$5:$AK$14,MATCH($E39,'BY-Demands'!$I$5:$I$14,0),FALSE)*HLOOKUP(REG_TRA_DEMANDS!$F39,DEMANDS!$G$2:$CK$25,MATCH($E39,DEMANDS!$E$2:$E$25,0),FALSE)/HLOOKUP(2018,DEMANDS!$G$2:$CK$25,MATCH($E39,DEMANDS!$E$2:$E$25,0),FALSE)</f>
        <v>0.5789620428565595</v>
      </c>
      <c r="L39" s="18">
        <f>HLOOKUP(REG_TRA_DEMANDS!L$3,'BY-Demands'!$J$5:$AK$14,MATCH($E39,'BY-Demands'!$I$5:$I$14,0),FALSE)*HLOOKUP(REG_TRA_DEMANDS!$F39,DEMANDS!$G$2:$CK$25,MATCH($E39,DEMANDS!$E$2:$E$25,0),FALSE)/HLOOKUP(2018,DEMANDS!$G$2:$CK$25,MATCH($E39,DEMANDS!$E$2:$E$25,0),FALSE)</f>
        <v>0.2982782627041336</v>
      </c>
      <c r="M39" s="18">
        <f>HLOOKUP(REG_TRA_DEMANDS!M$3,'BY-Demands'!$J$5:$AK$14,MATCH($E39,'BY-Demands'!$I$5:$I$14,0),FALSE)*HLOOKUP(REG_TRA_DEMANDS!$F39,DEMANDS!$G$2:$CK$25,MATCH($E39,DEMANDS!$E$2:$E$25,0),FALSE)/HLOOKUP(2018,DEMANDS!$G$2:$CK$25,MATCH($E39,DEMANDS!$E$2:$E$25,0),FALSE)</f>
        <v>0.80342807221795054</v>
      </c>
      <c r="N39" s="18">
        <f>HLOOKUP(REG_TRA_DEMANDS!N$3,'BY-Demands'!$J$5:$AK$14,MATCH($E39,'BY-Demands'!$I$5:$I$14,0),FALSE)*HLOOKUP(REG_TRA_DEMANDS!$F39,DEMANDS!$G$2:$CK$25,MATCH($E39,DEMANDS!$E$2:$E$25,0),FALSE)/HLOOKUP(2018,DEMANDS!$G$2:$CK$25,MATCH($E39,DEMANDS!$E$2:$E$25,0),FALSE)</f>
        <v>1.3948429710462695</v>
      </c>
      <c r="O39" s="18">
        <f>HLOOKUP(REG_TRA_DEMANDS!O$3,'BY-Demands'!$J$5:$AK$14,MATCH($E39,'BY-Demands'!$I$5:$I$14,0),FALSE)*HLOOKUP(REG_TRA_DEMANDS!$F39,DEMANDS!$G$2:$CK$25,MATCH($E39,DEMANDS!$E$2:$E$25,0),FALSE)/HLOOKUP(2018,DEMANDS!$G$2:$CK$25,MATCH($E39,DEMANDS!$E$2:$E$25,0),FALSE)</f>
        <v>0.59112150658318274</v>
      </c>
      <c r="P39" s="18">
        <f>HLOOKUP(REG_TRA_DEMANDS!P$3,'BY-Demands'!$J$5:$AK$14,MATCH($E39,'BY-Demands'!$I$5:$I$14,0),FALSE)*HLOOKUP(REG_TRA_DEMANDS!$F39,DEMANDS!$G$2:$CK$25,MATCH($E39,DEMANDS!$E$2:$E$25,0),FALSE)/HLOOKUP(2018,DEMANDS!$G$2:$CK$25,MATCH($E39,DEMANDS!$E$2:$E$25,0),FALSE)</f>
        <v>0.66728597400189971</v>
      </c>
      <c r="Q39" s="18">
        <f>HLOOKUP(REG_TRA_DEMANDS!Q$3,'BY-Demands'!$J$5:$AK$14,MATCH($E39,'BY-Demands'!$I$5:$I$14,0),FALSE)*HLOOKUP(REG_TRA_DEMANDS!$F39,DEMANDS!$G$2:$CK$25,MATCH($E39,DEMANDS!$E$2:$E$25,0),FALSE)/HLOOKUP(2018,DEMANDS!$G$2:$CK$25,MATCH($E39,DEMANDS!$E$2:$E$25,0),FALSE)</f>
        <v>1.1834491319316609</v>
      </c>
      <c r="R39" s="18">
        <f>HLOOKUP(REG_TRA_DEMANDS!R$3,'BY-Demands'!$J$5:$AK$14,MATCH($E39,'BY-Demands'!$I$5:$I$14,0),FALSE)*HLOOKUP(REG_TRA_DEMANDS!$F39,DEMANDS!$G$2:$CK$25,MATCH($E39,DEMANDS!$E$2:$E$25,0),FALSE)/HLOOKUP(2018,DEMANDS!$G$2:$CK$25,MATCH($E39,DEMANDS!$E$2:$E$25,0),FALSE)</f>
        <v>1.0042612533958026</v>
      </c>
      <c r="S39" s="18">
        <f>HLOOKUP(REG_TRA_DEMANDS!S$3,'BY-Demands'!$J$5:$AK$14,MATCH($E39,'BY-Demands'!$I$5:$I$14,0),FALSE)*HLOOKUP(REG_TRA_DEMANDS!$F39,DEMANDS!$G$2:$CK$25,MATCH($E39,DEMANDS!$E$2:$E$25,0),FALSE)/HLOOKUP(2018,DEMANDS!$G$2:$CK$25,MATCH($E39,DEMANDS!$E$2:$E$25,0),FALSE)</f>
        <v>0.91081499682609424</v>
      </c>
      <c r="T39" s="18">
        <f>HLOOKUP(REG_TRA_DEMANDS!T$3,'BY-Demands'!$J$5:$AK$14,MATCH($E39,'BY-Demands'!$I$5:$I$14,0),FALSE)*HLOOKUP(REG_TRA_DEMANDS!$F39,DEMANDS!$G$2:$CK$25,MATCH($E39,DEMANDS!$E$2:$E$25,0),FALSE)/HLOOKUP(2018,DEMANDS!$G$2:$CK$25,MATCH($E39,DEMANDS!$E$2:$E$25,0),FALSE)</f>
        <v>3.6808892285236912</v>
      </c>
      <c r="U39" s="18">
        <f>HLOOKUP(REG_TRA_DEMANDS!U$3,'BY-Demands'!$J$5:$AK$14,MATCH($E39,'BY-Demands'!$I$5:$I$14,0),FALSE)*HLOOKUP(REG_TRA_DEMANDS!$F39,DEMANDS!$G$2:$CK$25,MATCH($E39,DEMANDS!$E$2:$E$25,0),FALSE)/HLOOKUP(2018,DEMANDS!$G$2:$CK$25,MATCH($E39,DEMANDS!$E$2:$E$25,0),FALSE)</f>
        <v>1.2047540547609144</v>
      </c>
      <c r="V39" s="18">
        <f>HLOOKUP(REG_TRA_DEMANDS!V$3,'BY-Demands'!$J$5:$AK$14,MATCH($E39,'BY-Demands'!$I$5:$I$14,0),FALSE)*HLOOKUP(REG_TRA_DEMANDS!$F39,DEMANDS!$G$2:$CK$25,MATCH($E39,DEMANDS!$E$2:$E$25,0),FALSE)/HLOOKUP(2018,DEMANDS!$G$2:$CK$25,MATCH($E39,DEMANDS!$E$2:$E$25,0),FALSE)</f>
        <v>1.3568630729663083</v>
      </c>
      <c r="W39" s="18">
        <f>HLOOKUP(REG_TRA_DEMANDS!W$3,'BY-Demands'!$J$5:$AK$14,MATCH($E39,'BY-Demands'!$I$5:$I$14,0),FALSE)*HLOOKUP(REG_TRA_DEMANDS!$F39,DEMANDS!$G$2:$CK$25,MATCH($E39,DEMANDS!$E$2:$E$25,0),FALSE)/HLOOKUP(2018,DEMANDS!$G$2:$CK$25,MATCH($E39,DEMANDS!$E$2:$E$25,0),FALSE)</f>
        <v>1.315996414223914</v>
      </c>
      <c r="X39" s="18">
        <f>HLOOKUP(REG_TRA_DEMANDS!X$3,'BY-Demands'!$J$5:$AK$14,MATCH($E39,'BY-Demands'!$I$5:$I$14,0),FALSE)*HLOOKUP(REG_TRA_DEMANDS!$F39,DEMANDS!$G$2:$CK$25,MATCH($E39,DEMANDS!$E$2:$E$25,0),FALSE)/HLOOKUP(2018,DEMANDS!$G$2:$CK$25,MATCH($E39,DEMANDS!$E$2:$E$25,0),FALSE)</f>
        <v>0.83023189052950119</v>
      </c>
      <c r="Y39" s="18">
        <f>HLOOKUP(REG_TRA_DEMANDS!Y$3,'BY-Demands'!$J$5:$AK$14,MATCH($E39,'BY-Demands'!$I$5:$I$14,0),FALSE)*HLOOKUP(REG_TRA_DEMANDS!$F39,DEMANDS!$G$2:$CK$25,MATCH($E39,DEMANDS!$E$2:$E$25,0),FALSE)/HLOOKUP(2018,DEMANDS!$G$2:$CK$25,MATCH($E39,DEMANDS!$E$2:$E$25,0),FALSE)</f>
        <v>1.8588392375160516</v>
      </c>
      <c r="Z39" s="18">
        <f>HLOOKUP(REG_TRA_DEMANDS!Z$3,'BY-Demands'!$J$5:$AK$14,MATCH($E39,'BY-Demands'!$I$5:$I$14,0),FALSE)*HLOOKUP(REG_TRA_DEMANDS!$F39,DEMANDS!$G$2:$CK$25,MATCH($E39,DEMANDS!$E$2:$E$25,0),FALSE)/HLOOKUP(2018,DEMANDS!$G$2:$CK$25,MATCH($E39,DEMANDS!$E$2:$E$25,0),FALSE)</f>
        <v>0.24362357280761746</v>
      </c>
      <c r="AA39" s="18">
        <f>HLOOKUP(REG_TRA_DEMANDS!AA$3,'BY-Demands'!$J$5:$AK$14,MATCH($E39,'BY-Demands'!$I$5:$I$14,0),FALSE)*HLOOKUP(REG_TRA_DEMANDS!$F39,DEMANDS!$G$2:$CK$25,MATCH($E39,DEMANDS!$E$2:$E$25,0),FALSE)/HLOOKUP(2018,DEMANDS!$G$2:$CK$25,MATCH($E39,DEMANDS!$E$2:$E$25,0),FALSE)</f>
        <v>1.0294827488980252</v>
      </c>
      <c r="AB39" s="18">
        <f>HLOOKUP(REG_TRA_DEMANDS!AB$3,'BY-Demands'!$J$5:$AK$14,MATCH($E39,'BY-Demands'!$I$5:$I$14,0),FALSE)*HLOOKUP(REG_TRA_DEMANDS!$F39,DEMANDS!$G$2:$CK$25,MATCH($E39,DEMANDS!$E$2:$E$25,0),FALSE)/HLOOKUP(2018,DEMANDS!$G$2:$CK$25,MATCH($E39,DEMANDS!$E$2:$E$25,0),FALSE)</f>
        <v>0.55430525175475198</v>
      </c>
      <c r="AC39" s="18">
        <f>HLOOKUP(REG_TRA_DEMANDS!AC$3,'BY-Demands'!$J$5:$AK$14,MATCH($E39,'BY-Demands'!$I$5:$I$14,0),FALSE)*HLOOKUP(REG_TRA_DEMANDS!$F39,DEMANDS!$G$2:$CK$25,MATCH($E39,DEMANDS!$E$2:$E$25,0),FALSE)/HLOOKUP(2018,DEMANDS!$G$2:$CK$25,MATCH($E39,DEMANDS!$E$2:$E$25,0),FALSE)</f>
        <v>0.45219957472387556</v>
      </c>
      <c r="AD39" s="18">
        <f>HLOOKUP(REG_TRA_DEMANDS!AD$3,'BY-Demands'!$J$5:$AK$14,MATCH($E39,'BY-Demands'!$I$5:$I$14,0),FALSE)*HLOOKUP(REG_TRA_DEMANDS!$F39,DEMANDS!$G$2:$CK$25,MATCH($E39,DEMANDS!$E$2:$E$25,0),FALSE)/HLOOKUP(2018,DEMANDS!$G$2:$CK$25,MATCH($E39,DEMANDS!$E$2:$E$25,0),FALSE)</f>
        <v>0.49134741922731318</v>
      </c>
      <c r="AE39" s="18">
        <f>HLOOKUP(REG_TRA_DEMANDS!AE$3,'BY-Demands'!$J$5:$AK$14,MATCH($E39,'BY-Demands'!$I$5:$I$14,0),FALSE)*HLOOKUP(REG_TRA_DEMANDS!$F39,DEMANDS!$G$2:$CK$25,MATCH($E39,DEMANDS!$E$2:$E$25,0),FALSE)/HLOOKUP(2018,DEMANDS!$G$2:$CK$25,MATCH($E39,DEMANDS!$E$2:$E$25,0),FALSE)</f>
        <v>0.90489576537498428</v>
      </c>
      <c r="AF39" s="18">
        <f>HLOOKUP(REG_TRA_DEMANDS!AF$3,'BY-Demands'!$J$5:$AK$14,MATCH($E39,'BY-Demands'!$I$5:$I$14,0),FALSE)*HLOOKUP(REG_TRA_DEMANDS!$F39,DEMANDS!$G$2:$CK$25,MATCH($E39,DEMANDS!$E$2:$E$25,0),FALSE)/HLOOKUP(2018,DEMANDS!$G$2:$CK$25,MATCH($E39,DEMANDS!$E$2:$E$25,0),FALSE)</f>
        <v>0.49765836092386984</v>
      </c>
    </row>
    <row r="40" spans="4:32" ht="14.4">
      <c r="D40" t="s">
        <v>6</v>
      </c>
      <c r="E40" t="str">
        <f>DEMANDS!$E$18</f>
        <v>TRAPM</v>
      </c>
      <c r="F40">
        <v>2029</v>
      </c>
      <c r="G40" s="18">
        <f>HLOOKUP(REG_TRA_DEMANDS!G$3,'BY-Demands'!$J$5:$AK$14,MATCH($E40,'BY-Demands'!$I$5:$I$14,0),FALSE)*HLOOKUP(REG_TRA_DEMANDS!$F40,DEMANDS!$G$2:$CK$25,MATCH($E40,DEMANDS!$E$2:$E$25,0),FALSE)/HLOOKUP(2018,DEMANDS!$G$2:$CK$25,MATCH($E40,DEMANDS!$E$2:$E$25,0),FALSE)</f>
        <v>0.46119178300976993</v>
      </c>
      <c r="H40" s="18">
        <f>HLOOKUP(REG_TRA_DEMANDS!H$3,'BY-Demands'!$J$5:$AK$14,MATCH($E40,'BY-Demands'!$I$5:$I$14,0),FALSE)*HLOOKUP(REG_TRA_DEMANDS!$F40,DEMANDS!$G$2:$CK$25,MATCH($E40,DEMANDS!$E$2:$E$25,0),FALSE)/HLOOKUP(2018,DEMANDS!$G$2:$CK$25,MATCH($E40,DEMANDS!$E$2:$E$25,0),FALSE)</f>
        <v>8.0764755004511848</v>
      </c>
      <c r="I40" s="18">
        <f>HLOOKUP(REG_TRA_DEMANDS!I$3,'BY-Demands'!$J$5:$AK$14,MATCH($E40,'BY-Demands'!$I$5:$I$14,0),FALSE)*HLOOKUP(REG_TRA_DEMANDS!$F40,DEMANDS!$G$2:$CK$25,MATCH($E40,DEMANDS!$E$2:$E$25,0),FALSE)/HLOOKUP(2018,DEMANDS!$G$2:$CK$25,MATCH($E40,DEMANDS!$E$2:$E$25,0),FALSE)</f>
        <v>1.644627400612523</v>
      </c>
      <c r="J40" s="18">
        <f>HLOOKUP(REG_TRA_DEMANDS!J$3,'BY-Demands'!$J$5:$AK$14,MATCH($E40,'BY-Demands'!$I$5:$I$14,0),FALSE)*HLOOKUP(REG_TRA_DEMANDS!$F40,DEMANDS!$G$2:$CK$25,MATCH($E40,DEMANDS!$E$2:$E$25,0),FALSE)/HLOOKUP(2018,DEMANDS!$G$2:$CK$25,MATCH($E40,DEMANDS!$E$2:$E$25,0),FALSE)</f>
        <v>0.78106550406020869</v>
      </c>
      <c r="K40" s="18">
        <f>HLOOKUP(REG_TRA_DEMANDS!K$3,'BY-Demands'!$J$5:$AK$14,MATCH($E40,'BY-Demands'!$I$5:$I$14,0),FALSE)*HLOOKUP(REG_TRA_DEMANDS!$F40,DEMANDS!$G$2:$CK$25,MATCH($E40,DEMANDS!$E$2:$E$25,0),FALSE)/HLOOKUP(2018,DEMANDS!$G$2:$CK$25,MATCH($E40,DEMANDS!$E$2:$E$25,0),FALSE)</f>
        <v>0.5876464734994078</v>
      </c>
      <c r="L40" s="18">
        <f>HLOOKUP(REG_TRA_DEMANDS!L$3,'BY-Demands'!$J$5:$AK$14,MATCH($E40,'BY-Demands'!$I$5:$I$14,0),FALSE)*HLOOKUP(REG_TRA_DEMANDS!$F40,DEMANDS!$G$2:$CK$25,MATCH($E40,DEMANDS!$E$2:$E$25,0),FALSE)/HLOOKUP(2018,DEMANDS!$G$2:$CK$25,MATCH($E40,DEMANDS!$E$2:$E$25,0),FALSE)</f>
        <v>0.30275243664469559</v>
      </c>
      <c r="M40" s="18">
        <f>HLOOKUP(REG_TRA_DEMANDS!M$3,'BY-Demands'!$J$5:$AK$14,MATCH($E40,'BY-Demands'!$I$5:$I$14,0),FALSE)*HLOOKUP(REG_TRA_DEMANDS!$F40,DEMANDS!$G$2:$CK$25,MATCH($E40,DEMANDS!$E$2:$E$25,0),FALSE)/HLOOKUP(2018,DEMANDS!$G$2:$CK$25,MATCH($E40,DEMANDS!$E$2:$E$25,0),FALSE)</f>
        <v>0.81547949330121972</v>
      </c>
      <c r="N40" s="18">
        <f>HLOOKUP(REG_TRA_DEMANDS!N$3,'BY-Demands'!$J$5:$AK$14,MATCH($E40,'BY-Demands'!$I$5:$I$14,0),FALSE)*HLOOKUP(REG_TRA_DEMANDS!$F40,DEMANDS!$G$2:$CK$25,MATCH($E40,DEMANDS!$E$2:$E$25,0),FALSE)/HLOOKUP(2018,DEMANDS!$G$2:$CK$25,MATCH($E40,DEMANDS!$E$2:$E$25,0),FALSE)</f>
        <v>1.4157656156119636</v>
      </c>
      <c r="O40" s="18">
        <f>HLOOKUP(REG_TRA_DEMANDS!O$3,'BY-Demands'!$J$5:$AK$14,MATCH($E40,'BY-Demands'!$I$5:$I$14,0),FALSE)*HLOOKUP(REG_TRA_DEMANDS!$F40,DEMANDS!$G$2:$CK$25,MATCH($E40,DEMANDS!$E$2:$E$25,0),FALSE)/HLOOKUP(2018,DEMANDS!$G$2:$CK$25,MATCH($E40,DEMANDS!$E$2:$E$25,0),FALSE)</f>
        <v>0.59998832918193046</v>
      </c>
      <c r="P40" s="18">
        <f>HLOOKUP(REG_TRA_DEMANDS!P$3,'BY-Demands'!$J$5:$AK$14,MATCH($E40,'BY-Demands'!$I$5:$I$14,0),FALSE)*HLOOKUP(REG_TRA_DEMANDS!$F40,DEMANDS!$G$2:$CK$25,MATCH($E40,DEMANDS!$E$2:$E$25,0),FALSE)/HLOOKUP(2018,DEMANDS!$G$2:$CK$25,MATCH($E40,DEMANDS!$E$2:$E$25,0),FALSE)</f>
        <v>0.67729526361192827</v>
      </c>
      <c r="Q40" s="18">
        <f>HLOOKUP(REG_TRA_DEMANDS!Q$3,'BY-Demands'!$J$5:$AK$14,MATCH($E40,'BY-Demands'!$I$5:$I$14,0),FALSE)*HLOOKUP(REG_TRA_DEMANDS!$F40,DEMANDS!$G$2:$CK$25,MATCH($E40,DEMANDS!$E$2:$E$25,0),FALSE)/HLOOKUP(2018,DEMANDS!$G$2:$CK$25,MATCH($E40,DEMANDS!$E$2:$E$25,0),FALSE)</f>
        <v>1.2012008689106357</v>
      </c>
      <c r="R40" s="18">
        <f>HLOOKUP(REG_TRA_DEMANDS!R$3,'BY-Demands'!$J$5:$AK$14,MATCH($E40,'BY-Demands'!$I$5:$I$14,0),FALSE)*HLOOKUP(REG_TRA_DEMANDS!$F40,DEMANDS!$G$2:$CK$25,MATCH($E40,DEMANDS!$E$2:$E$25,0),FALSE)/HLOOKUP(2018,DEMANDS!$G$2:$CK$25,MATCH($E40,DEMANDS!$E$2:$E$25,0),FALSE)</f>
        <v>1.0193251721967396</v>
      </c>
      <c r="S40" s="18">
        <f>HLOOKUP(REG_TRA_DEMANDS!S$3,'BY-Demands'!$J$5:$AK$14,MATCH($E40,'BY-Demands'!$I$5:$I$14,0),FALSE)*HLOOKUP(REG_TRA_DEMANDS!$F40,DEMANDS!$G$2:$CK$25,MATCH($E40,DEMANDS!$E$2:$E$25,0),FALSE)/HLOOKUP(2018,DEMANDS!$G$2:$CK$25,MATCH($E40,DEMANDS!$E$2:$E$25,0),FALSE)</f>
        <v>0.92447722177848546</v>
      </c>
      <c r="T40" s="18">
        <f>HLOOKUP(REG_TRA_DEMANDS!T$3,'BY-Demands'!$J$5:$AK$14,MATCH($E40,'BY-Demands'!$I$5:$I$14,0),FALSE)*HLOOKUP(REG_TRA_DEMANDS!$F40,DEMANDS!$G$2:$CK$25,MATCH($E40,DEMANDS!$E$2:$E$25,0),FALSE)/HLOOKUP(2018,DEMANDS!$G$2:$CK$25,MATCH($E40,DEMANDS!$E$2:$E$25,0),FALSE)</f>
        <v>3.7361025669515464</v>
      </c>
      <c r="U40" s="18">
        <f>HLOOKUP(REG_TRA_DEMANDS!U$3,'BY-Demands'!$J$5:$AK$14,MATCH($E40,'BY-Demands'!$I$5:$I$14,0),FALSE)*HLOOKUP(REG_TRA_DEMANDS!$F40,DEMANDS!$G$2:$CK$25,MATCH($E40,DEMANDS!$E$2:$E$25,0),FALSE)/HLOOKUP(2018,DEMANDS!$G$2:$CK$25,MATCH($E40,DEMANDS!$E$2:$E$25,0),FALSE)</f>
        <v>1.2228253655823278</v>
      </c>
      <c r="V40" s="18">
        <f>HLOOKUP(REG_TRA_DEMANDS!V$3,'BY-Demands'!$J$5:$AK$14,MATCH($E40,'BY-Demands'!$I$5:$I$14,0),FALSE)*HLOOKUP(REG_TRA_DEMANDS!$F40,DEMANDS!$G$2:$CK$25,MATCH($E40,DEMANDS!$E$2:$E$25,0),FALSE)/HLOOKUP(2018,DEMANDS!$G$2:$CK$25,MATCH($E40,DEMANDS!$E$2:$E$25,0),FALSE)</f>
        <v>1.3772160190608029</v>
      </c>
      <c r="W40" s="18">
        <f>HLOOKUP(REG_TRA_DEMANDS!W$3,'BY-Demands'!$J$5:$AK$14,MATCH($E40,'BY-Demands'!$I$5:$I$14,0),FALSE)*HLOOKUP(REG_TRA_DEMANDS!$F40,DEMANDS!$G$2:$CK$25,MATCH($E40,DEMANDS!$E$2:$E$25,0),FALSE)/HLOOKUP(2018,DEMANDS!$G$2:$CK$25,MATCH($E40,DEMANDS!$E$2:$E$25,0),FALSE)</f>
        <v>1.3357363604372725</v>
      </c>
      <c r="X40" s="18">
        <f>HLOOKUP(REG_TRA_DEMANDS!X$3,'BY-Demands'!$J$5:$AK$14,MATCH($E40,'BY-Demands'!$I$5:$I$14,0),FALSE)*HLOOKUP(REG_TRA_DEMANDS!$F40,DEMANDS!$G$2:$CK$25,MATCH($E40,DEMANDS!$E$2:$E$25,0),FALSE)/HLOOKUP(2018,DEMANDS!$G$2:$CK$25,MATCH($E40,DEMANDS!$E$2:$E$25,0),FALSE)</f>
        <v>0.84268536888744361</v>
      </c>
      <c r="Y40" s="18">
        <f>HLOOKUP(REG_TRA_DEMANDS!Y$3,'BY-Demands'!$J$5:$AK$14,MATCH($E40,'BY-Demands'!$I$5:$I$14,0),FALSE)*HLOOKUP(REG_TRA_DEMANDS!$F40,DEMANDS!$G$2:$CK$25,MATCH($E40,DEMANDS!$E$2:$E$25,0),FALSE)/HLOOKUP(2018,DEMANDS!$G$2:$CK$25,MATCH($E40,DEMANDS!$E$2:$E$25,0),FALSE)</f>
        <v>1.8867218260787921</v>
      </c>
      <c r="Z40" s="18">
        <f>HLOOKUP(REG_TRA_DEMANDS!Z$3,'BY-Demands'!$J$5:$AK$14,MATCH($E40,'BY-Demands'!$I$5:$I$14,0),FALSE)*HLOOKUP(REG_TRA_DEMANDS!$F40,DEMANDS!$G$2:$CK$25,MATCH($E40,DEMANDS!$E$2:$E$25,0),FALSE)/HLOOKUP(2018,DEMANDS!$G$2:$CK$25,MATCH($E40,DEMANDS!$E$2:$E$25,0),FALSE)</f>
        <v>0.2472779263997317</v>
      </c>
      <c r="AA40" s="18">
        <f>HLOOKUP(REG_TRA_DEMANDS!AA$3,'BY-Demands'!$J$5:$AK$14,MATCH($E40,'BY-Demands'!$I$5:$I$14,0),FALSE)*HLOOKUP(REG_TRA_DEMANDS!$F40,DEMANDS!$G$2:$CK$25,MATCH($E40,DEMANDS!$E$2:$E$25,0),FALSE)/HLOOKUP(2018,DEMANDS!$G$2:$CK$25,MATCH($E40,DEMANDS!$E$2:$E$25,0),FALSE)</f>
        <v>1.0449249901314956</v>
      </c>
      <c r="AB40" s="18">
        <f>HLOOKUP(REG_TRA_DEMANDS!AB$3,'BY-Demands'!$J$5:$AK$14,MATCH($E40,'BY-Demands'!$I$5:$I$14,0),FALSE)*HLOOKUP(REG_TRA_DEMANDS!$F40,DEMANDS!$G$2:$CK$25,MATCH($E40,DEMANDS!$E$2:$E$25,0),FALSE)/HLOOKUP(2018,DEMANDS!$G$2:$CK$25,MATCH($E40,DEMANDS!$E$2:$E$25,0),FALSE)</f>
        <v>0.56261983053107323</v>
      </c>
      <c r="AC40" s="18">
        <f>HLOOKUP(REG_TRA_DEMANDS!AC$3,'BY-Demands'!$J$5:$AK$14,MATCH($E40,'BY-Demands'!$I$5:$I$14,0),FALSE)*HLOOKUP(REG_TRA_DEMANDS!$F40,DEMANDS!$G$2:$CK$25,MATCH($E40,DEMANDS!$E$2:$E$25,0),FALSE)/HLOOKUP(2018,DEMANDS!$G$2:$CK$25,MATCH($E40,DEMANDS!$E$2:$E$25,0),FALSE)</f>
        <v>0.45898256834473372</v>
      </c>
      <c r="AD40" s="18">
        <f>HLOOKUP(REG_TRA_DEMANDS!AD$3,'BY-Demands'!$J$5:$AK$14,MATCH($E40,'BY-Demands'!$I$5:$I$14,0),FALSE)*HLOOKUP(REG_TRA_DEMANDS!$F40,DEMANDS!$G$2:$CK$25,MATCH($E40,DEMANDS!$E$2:$E$25,0),FALSE)/HLOOKUP(2018,DEMANDS!$G$2:$CK$25,MATCH($E40,DEMANDS!$E$2:$E$25,0),FALSE)</f>
        <v>0.49871763051572282</v>
      </c>
      <c r="AE40" s="18">
        <f>HLOOKUP(REG_TRA_DEMANDS!AE$3,'BY-Demands'!$J$5:$AK$14,MATCH($E40,'BY-Demands'!$I$5:$I$14,0),FALSE)*HLOOKUP(REG_TRA_DEMANDS!$F40,DEMANDS!$G$2:$CK$25,MATCH($E40,DEMANDS!$E$2:$E$25,0),FALSE)/HLOOKUP(2018,DEMANDS!$G$2:$CK$25,MATCH($E40,DEMANDS!$E$2:$E$25,0),FALSE)</f>
        <v>0.91846920185560899</v>
      </c>
      <c r="AF40" s="18">
        <f>HLOOKUP(REG_TRA_DEMANDS!AF$3,'BY-Demands'!$J$5:$AK$14,MATCH($E40,'BY-Demands'!$I$5:$I$14,0),FALSE)*HLOOKUP(REG_TRA_DEMANDS!$F40,DEMANDS!$G$2:$CK$25,MATCH($E40,DEMANDS!$E$2:$E$25,0),FALSE)/HLOOKUP(2018,DEMANDS!$G$2:$CK$25,MATCH($E40,DEMANDS!$E$2:$E$25,0),FALSE)</f>
        <v>0.50512323633772782</v>
      </c>
    </row>
    <row r="41" spans="4:32" ht="14.4">
      <c r="D41" t="s">
        <v>6</v>
      </c>
      <c r="E41" t="str">
        <f>DEMANDS!$E$18</f>
        <v>TRAPM</v>
      </c>
      <c r="F41">
        <v>2030</v>
      </c>
      <c r="G41" s="18">
        <f>HLOOKUP(REG_TRA_DEMANDS!G$3,'BY-Demands'!$J$5:$AK$14,MATCH($E41,'BY-Demands'!$I$5:$I$14,0),FALSE)*HLOOKUP(REG_TRA_DEMANDS!$F41,DEMANDS!$G$2:$CK$25,MATCH($E41,DEMANDS!$E$2:$E$25,0),FALSE)/HLOOKUP(2018,DEMANDS!$G$2:$CK$25,MATCH($E41,DEMANDS!$E$2:$E$25,0),FALSE)</f>
        <v>0.46810965975491647</v>
      </c>
      <c r="H41" s="18">
        <f>HLOOKUP(REG_TRA_DEMANDS!H$3,'BY-Demands'!$J$5:$AK$14,MATCH($E41,'BY-Demands'!$I$5:$I$14,0),FALSE)*HLOOKUP(REG_TRA_DEMANDS!$F41,DEMANDS!$G$2:$CK$25,MATCH($E41,DEMANDS!$E$2:$E$25,0),FALSE)/HLOOKUP(2018,DEMANDS!$G$2:$CK$25,MATCH($E41,DEMANDS!$E$2:$E$25,0),FALSE)</f>
        <v>8.1976226329579518</v>
      </c>
      <c r="I41" s="18">
        <f>HLOOKUP(REG_TRA_DEMANDS!I$3,'BY-Demands'!$J$5:$AK$14,MATCH($E41,'BY-Demands'!$I$5:$I$14,0),FALSE)*HLOOKUP(REG_TRA_DEMANDS!$F41,DEMANDS!$G$2:$CK$25,MATCH($E41,DEMANDS!$E$2:$E$25,0),FALSE)/HLOOKUP(2018,DEMANDS!$G$2:$CK$25,MATCH($E41,DEMANDS!$E$2:$E$25,0),FALSE)</f>
        <v>1.6692968116217106</v>
      </c>
      <c r="J41" s="18">
        <f>HLOOKUP(REG_TRA_DEMANDS!J$3,'BY-Demands'!$J$5:$AK$14,MATCH($E41,'BY-Demands'!$I$5:$I$14,0),FALSE)*HLOOKUP(REG_TRA_DEMANDS!$F41,DEMANDS!$G$2:$CK$25,MATCH($E41,DEMANDS!$E$2:$E$25,0),FALSE)/HLOOKUP(2018,DEMANDS!$G$2:$CK$25,MATCH($E41,DEMANDS!$E$2:$E$25,0),FALSE)</f>
        <v>0.79278148662111181</v>
      </c>
      <c r="K41" s="18">
        <f>HLOOKUP(REG_TRA_DEMANDS!K$3,'BY-Demands'!$J$5:$AK$14,MATCH($E41,'BY-Demands'!$I$5:$I$14,0),FALSE)*HLOOKUP(REG_TRA_DEMANDS!$F41,DEMANDS!$G$2:$CK$25,MATCH($E41,DEMANDS!$E$2:$E$25,0),FALSE)/HLOOKUP(2018,DEMANDS!$G$2:$CK$25,MATCH($E41,DEMANDS!$E$2:$E$25,0),FALSE)</f>
        <v>0.59646117060189896</v>
      </c>
      <c r="L41" s="18">
        <f>HLOOKUP(REG_TRA_DEMANDS!L$3,'BY-Demands'!$J$5:$AK$14,MATCH($E41,'BY-Demands'!$I$5:$I$14,0),FALSE)*HLOOKUP(REG_TRA_DEMANDS!$F41,DEMANDS!$G$2:$CK$25,MATCH($E41,DEMANDS!$E$2:$E$25,0),FALSE)/HLOOKUP(2018,DEMANDS!$G$2:$CK$25,MATCH($E41,DEMANDS!$E$2:$E$25,0),FALSE)</f>
        <v>0.30729372319436604</v>
      </c>
      <c r="M41" s="18">
        <f>HLOOKUP(REG_TRA_DEMANDS!M$3,'BY-Demands'!$J$5:$AK$14,MATCH($E41,'BY-Demands'!$I$5:$I$14,0),FALSE)*HLOOKUP(REG_TRA_DEMANDS!$F41,DEMANDS!$G$2:$CK$25,MATCH($E41,DEMANDS!$E$2:$E$25,0),FALSE)/HLOOKUP(2018,DEMANDS!$G$2:$CK$25,MATCH($E41,DEMANDS!$E$2:$E$25,0),FALSE)</f>
        <v>0.82771168570073805</v>
      </c>
      <c r="N41" s="18">
        <f>HLOOKUP(REG_TRA_DEMANDS!N$3,'BY-Demands'!$J$5:$AK$14,MATCH($E41,'BY-Demands'!$I$5:$I$14,0),FALSE)*HLOOKUP(REG_TRA_DEMANDS!$F41,DEMANDS!$G$2:$CK$25,MATCH($E41,DEMANDS!$E$2:$E$25,0),FALSE)/HLOOKUP(2018,DEMANDS!$G$2:$CK$25,MATCH($E41,DEMANDS!$E$2:$E$25,0),FALSE)</f>
        <v>1.437002099846143</v>
      </c>
      <c r="O41" s="18">
        <f>HLOOKUP(REG_TRA_DEMANDS!O$3,'BY-Demands'!$J$5:$AK$14,MATCH($E41,'BY-Demands'!$I$5:$I$14,0),FALSE)*HLOOKUP(REG_TRA_DEMANDS!$F41,DEMANDS!$G$2:$CK$25,MATCH($E41,DEMANDS!$E$2:$E$25,0),FALSE)/HLOOKUP(2018,DEMANDS!$G$2:$CK$25,MATCH($E41,DEMANDS!$E$2:$E$25,0),FALSE)</f>
        <v>0.60898815411965934</v>
      </c>
      <c r="P41" s="18">
        <f>HLOOKUP(REG_TRA_DEMANDS!P$3,'BY-Demands'!$J$5:$AK$14,MATCH($E41,'BY-Demands'!$I$5:$I$14,0),FALSE)*HLOOKUP(REG_TRA_DEMANDS!$F41,DEMANDS!$G$2:$CK$25,MATCH($E41,DEMANDS!$E$2:$E$25,0),FALSE)/HLOOKUP(2018,DEMANDS!$G$2:$CK$25,MATCH($E41,DEMANDS!$E$2:$E$25,0),FALSE)</f>
        <v>0.68745469256610714</v>
      </c>
      <c r="Q41" s="18">
        <f>HLOOKUP(REG_TRA_DEMANDS!Q$3,'BY-Demands'!$J$5:$AK$14,MATCH($E41,'BY-Demands'!$I$5:$I$14,0),FALSE)*HLOOKUP(REG_TRA_DEMANDS!$F41,DEMANDS!$G$2:$CK$25,MATCH($E41,DEMANDS!$E$2:$E$25,0),FALSE)/HLOOKUP(2018,DEMANDS!$G$2:$CK$25,MATCH($E41,DEMANDS!$E$2:$E$25,0),FALSE)</f>
        <v>1.2192188819442953</v>
      </c>
      <c r="R41" s="18">
        <f>HLOOKUP(REG_TRA_DEMANDS!R$3,'BY-Demands'!$J$5:$AK$14,MATCH($E41,'BY-Demands'!$I$5:$I$14,0),FALSE)*HLOOKUP(REG_TRA_DEMANDS!$F41,DEMANDS!$G$2:$CK$25,MATCH($E41,DEMANDS!$E$2:$E$25,0),FALSE)/HLOOKUP(2018,DEMANDS!$G$2:$CK$25,MATCH($E41,DEMANDS!$E$2:$E$25,0),FALSE)</f>
        <v>1.0346150497796907</v>
      </c>
      <c r="S41" s="18">
        <f>HLOOKUP(REG_TRA_DEMANDS!S$3,'BY-Demands'!$J$5:$AK$14,MATCH($E41,'BY-Demands'!$I$5:$I$14,0),FALSE)*HLOOKUP(REG_TRA_DEMANDS!$F41,DEMANDS!$G$2:$CK$25,MATCH($E41,DEMANDS!$E$2:$E$25,0),FALSE)/HLOOKUP(2018,DEMANDS!$G$2:$CK$25,MATCH($E41,DEMANDS!$E$2:$E$25,0),FALSE)</f>
        <v>0.93834438010516275</v>
      </c>
      <c r="T41" s="18">
        <f>HLOOKUP(REG_TRA_DEMANDS!T$3,'BY-Demands'!$J$5:$AK$14,MATCH($E41,'BY-Demands'!$I$5:$I$14,0),FALSE)*HLOOKUP(REG_TRA_DEMANDS!$F41,DEMANDS!$G$2:$CK$25,MATCH($E41,DEMANDS!$E$2:$E$25,0),FALSE)/HLOOKUP(2018,DEMANDS!$G$2:$CK$25,MATCH($E41,DEMANDS!$E$2:$E$25,0),FALSE)</f>
        <v>3.7921441054558191</v>
      </c>
      <c r="U41" s="18">
        <f>HLOOKUP(REG_TRA_DEMANDS!U$3,'BY-Demands'!$J$5:$AK$14,MATCH($E41,'BY-Demands'!$I$5:$I$14,0),FALSE)*HLOOKUP(REG_TRA_DEMANDS!$F41,DEMANDS!$G$2:$CK$25,MATCH($E41,DEMANDS!$E$2:$E$25,0),FALSE)/HLOOKUP(2018,DEMANDS!$G$2:$CK$25,MATCH($E41,DEMANDS!$E$2:$E$25,0),FALSE)</f>
        <v>1.2411677460660626</v>
      </c>
      <c r="V41" s="18">
        <f>HLOOKUP(REG_TRA_DEMANDS!V$3,'BY-Demands'!$J$5:$AK$14,MATCH($E41,'BY-Demands'!$I$5:$I$14,0),FALSE)*HLOOKUP(REG_TRA_DEMANDS!$F41,DEMANDS!$G$2:$CK$25,MATCH($E41,DEMANDS!$E$2:$E$25,0),FALSE)/HLOOKUP(2018,DEMANDS!$G$2:$CK$25,MATCH($E41,DEMANDS!$E$2:$E$25,0),FALSE)</f>
        <v>1.3978742593467148</v>
      </c>
      <c r="W41" s="18">
        <f>HLOOKUP(REG_TRA_DEMANDS!W$3,'BY-Demands'!$J$5:$AK$14,MATCH($E41,'BY-Demands'!$I$5:$I$14,0),FALSE)*HLOOKUP(REG_TRA_DEMANDS!$F41,DEMANDS!$G$2:$CK$25,MATCH($E41,DEMANDS!$E$2:$E$25,0),FALSE)/HLOOKUP(2018,DEMANDS!$G$2:$CK$25,MATCH($E41,DEMANDS!$E$2:$E$25,0),FALSE)</f>
        <v>1.3557724058438316</v>
      </c>
      <c r="X41" s="18">
        <f>HLOOKUP(REG_TRA_DEMANDS!X$3,'BY-Demands'!$J$5:$AK$14,MATCH($E41,'BY-Demands'!$I$5:$I$14,0),FALSE)*HLOOKUP(REG_TRA_DEMANDS!$F41,DEMANDS!$G$2:$CK$25,MATCH($E41,DEMANDS!$E$2:$E$25,0),FALSE)/HLOOKUP(2018,DEMANDS!$G$2:$CK$25,MATCH($E41,DEMANDS!$E$2:$E$25,0),FALSE)</f>
        <v>0.85532564942075529</v>
      </c>
      <c r="Y41" s="18">
        <f>HLOOKUP(REG_TRA_DEMANDS!Y$3,'BY-Demands'!$J$5:$AK$14,MATCH($E41,'BY-Demands'!$I$5:$I$14,0),FALSE)*HLOOKUP(REG_TRA_DEMANDS!$F41,DEMANDS!$G$2:$CK$25,MATCH($E41,DEMANDS!$E$2:$E$25,0),FALSE)/HLOOKUP(2018,DEMANDS!$G$2:$CK$25,MATCH($E41,DEMANDS!$E$2:$E$25,0),FALSE)</f>
        <v>1.9150226534699739</v>
      </c>
      <c r="Z41" s="18">
        <f>HLOOKUP(REG_TRA_DEMANDS!Z$3,'BY-Demands'!$J$5:$AK$14,MATCH($E41,'BY-Demands'!$I$5:$I$14,0),FALSE)*HLOOKUP(REG_TRA_DEMANDS!$F41,DEMANDS!$G$2:$CK$25,MATCH($E41,DEMANDS!$E$2:$E$25,0),FALSE)/HLOOKUP(2018,DEMANDS!$G$2:$CK$25,MATCH($E41,DEMANDS!$E$2:$E$25,0),FALSE)</f>
        <v>0.25098709529572766</v>
      </c>
      <c r="AA41" s="18">
        <f>HLOOKUP(REG_TRA_DEMANDS!AA$3,'BY-Demands'!$J$5:$AK$14,MATCH($E41,'BY-Demands'!$I$5:$I$14,0),FALSE)*HLOOKUP(REG_TRA_DEMANDS!$F41,DEMANDS!$G$2:$CK$25,MATCH($E41,DEMANDS!$E$2:$E$25,0),FALSE)/HLOOKUP(2018,DEMANDS!$G$2:$CK$25,MATCH($E41,DEMANDS!$E$2:$E$25,0),FALSE)</f>
        <v>1.0605988649834679</v>
      </c>
      <c r="AB41" s="18">
        <f>HLOOKUP(REG_TRA_DEMANDS!AB$3,'BY-Demands'!$J$5:$AK$14,MATCH($E41,'BY-Demands'!$I$5:$I$14,0),FALSE)*HLOOKUP(REG_TRA_DEMANDS!$F41,DEMANDS!$G$2:$CK$25,MATCH($E41,DEMANDS!$E$2:$E$25,0),FALSE)/HLOOKUP(2018,DEMANDS!$G$2:$CK$25,MATCH($E41,DEMANDS!$E$2:$E$25,0),FALSE)</f>
        <v>0.57105912798903935</v>
      </c>
      <c r="AC41" s="18">
        <f>HLOOKUP(REG_TRA_DEMANDS!AC$3,'BY-Demands'!$J$5:$AK$14,MATCH($E41,'BY-Demands'!$I$5:$I$14,0),FALSE)*HLOOKUP(REG_TRA_DEMANDS!$F41,DEMANDS!$G$2:$CK$25,MATCH($E41,DEMANDS!$E$2:$E$25,0),FALSE)/HLOOKUP(2018,DEMANDS!$G$2:$CK$25,MATCH($E41,DEMANDS!$E$2:$E$25,0),FALSE)</f>
        <v>0.46586730686990468</v>
      </c>
      <c r="AD41" s="18">
        <f>HLOOKUP(REG_TRA_DEMANDS!AD$3,'BY-Demands'!$J$5:$AK$14,MATCH($E41,'BY-Demands'!$I$5:$I$14,0),FALSE)*HLOOKUP(REG_TRA_DEMANDS!$F41,DEMANDS!$G$2:$CK$25,MATCH($E41,DEMANDS!$E$2:$E$25,0),FALSE)/HLOOKUP(2018,DEMANDS!$G$2:$CK$25,MATCH($E41,DEMANDS!$E$2:$E$25,0),FALSE)</f>
        <v>0.50619839497345864</v>
      </c>
      <c r="AE41" s="18">
        <f>HLOOKUP(REG_TRA_DEMANDS!AE$3,'BY-Demands'!$J$5:$AK$14,MATCH($E41,'BY-Demands'!$I$5:$I$14,0),FALSE)*HLOOKUP(REG_TRA_DEMANDS!$F41,DEMANDS!$G$2:$CK$25,MATCH($E41,DEMANDS!$E$2:$E$25,0),FALSE)/HLOOKUP(2018,DEMANDS!$G$2:$CK$25,MATCH($E41,DEMANDS!$E$2:$E$25,0),FALSE)</f>
        <v>0.93224623988344313</v>
      </c>
      <c r="AF41" s="18">
        <f>HLOOKUP(REG_TRA_DEMANDS!AF$3,'BY-Demands'!$J$5:$AK$14,MATCH($E41,'BY-Demands'!$I$5:$I$14,0),FALSE)*HLOOKUP(REG_TRA_DEMANDS!$F41,DEMANDS!$G$2:$CK$25,MATCH($E41,DEMANDS!$E$2:$E$25,0),FALSE)/HLOOKUP(2018,DEMANDS!$G$2:$CK$25,MATCH($E41,DEMANDS!$E$2:$E$25,0),FALSE)</f>
        <v>0.51270008488279373</v>
      </c>
    </row>
    <row r="42" spans="4:32" ht="14.4">
      <c r="D42" t="s">
        <v>6</v>
      </c>
      <c r="E42" t="str">
        <f>DEMANDS!$E$18</f>
        <v>TRAPM</v>
      </c>
      <c r="F42">
        <v>2031</v>
      </c>
      <c r="G42" s="18">
        <f>HLOOKUP(REG_TRA_DEMANDS!G$3,'BY-Demands'!$J$5:$AK$14,MATCH($E42,'BY-Demands'!$I$5:$I$14,0),FALSE)*HLOOKUP(REG_TRA_DEMANDS!$F42,DEMANDS!$G$2:$CK$25,MATCH($E42,DEMANDS!$E$2:$E$25,0),FALSE)/HLOOKUP(2018,DEMANDS!$G$2:$CK$25,MATCH($E42,DEMANDS!$E$2:$E$25,0),FALSE)</f>
        <v>0.47513130465124015</v>
      </c>
      <c r="H42" s="18">
        <f>HLOOKUP(REG_TRA_DEMANDS!H$3,'BY-Demands'!$J$5:$AK$14,MATCH($E42,'BY-Demands'!$I$5:$I$14,0),FALSE)*HLOOKUP(REG_TRA_DEMANDS!$F42,DEMANDS!$G$2:$CK$25,MATCH($E42,DEMANDS!$E$2:$E$25,0),FALSE)/HLOOKUP(2018,DEMANDS!$G$2:$CK$25,MATCH($E42,DEMANDS!$E$2:$E$25,0),FALSE)</f>
        <v>8.32058697245232</v>
      </c>
      <c r="I42" s="18">
        <f>HLOOKUP(REG_TRA_DEMANDS!I$3,'BY-Demands'!$J$5:$AK$14,MATCH($E42,'BY-Demands'!$I$5:$I$14,0),FALSE)*HLOOKUP(REG_TRA_DEMANDS!$F42,DEMANDS!$G$2:$CK$25,MATCH($E42,DEMANDS!$E$2:$E$25,0),FALSE)/HLOOKUP(2018,DEMANDS!$G$2:$CK$25,MATCH($E42,DEMANDS!$E$2:$E$25,0),FALSE)</f>
        <v>1.694336263796036</v>
      </c>
      <c r="J42" s="18">
        <f>HLOOKUP(REG_TRA_DEMANDS!J$3,'BY-Demands'!$J$5:$AK$14,MATCH($E42,'BY-Demands'!$I$5:$I$14,0),FALSE)*HLOOKUP(REG_TRA_DEMANDS!$F42,DEMANDS!$G$2:$CK$25,MATCH($E42,DEMANDS!$E$2:$E$25,0),FALSE)/HLOOKUP(2018,DEMANDS!$G$2:$CK$25,MATCH($E42,DEMANDS!$E$2:$E$25,0),FALSE)</f>
        <v>0.80467320892042837</v>
      </c>
      <c r="K42" s="18">
        <f>HLOOKUP(REG_TRA_DEMANDS!K$3,'BY-Demands'!$J$5:$AK$14,MATCH($E42,'BY-Demands'!$I$5:$I$14,0),FALSE)*HLOOKUP(REG_TRA_DEMANDS!$F42,DEMANDS!$G$2:$CK$25,MATCH($E42,DEMANDS!$E$2:$E$25,0),FALSE)/HLOOKUP(2018,DEMANDS!$G$2:$CK$25,MATCH($E42,DEMANDS!$E$2:$E$25,0),FALSE)</f>
        <v>0.60540808816092739</v>
      </c>
      <c r="L42" s="18">
        <f>HLOOKUP(REG_TRA_DEMANDS!L$3,'BY-Demands'!$J$5:$AK$14,MATCH($E42,'BY-Demands'!$I$5:$I$14,0),FALSE)*HLOOKUP(REG_TRA_DEMANDS!$F42,DEMANDS!$G$2:$CK$25,MATCH($E42,DEMANDS!$E$2:$E$25,0),FALSE)/HLOOKUP(2018,DEMANDS!$G$2:$CK$25,MATCH($E42,DEMANDS!$E$2:$E$25,0),FALSE)</f>
        <v>0.31190312904228146</v>
      </c>
      <c r="M42" s="18">
        <f>HLOOKUP(REG_TRA_DEMANDS!M$3,'BY-Demands'!$J$5:$AK$14,MATCH($E42,'BY-Demands'!$I$5:$I$14,0),FALSE)*HLOOKUP(REG_TRA_DEMANDS!$F42,DEMANDS!$G$2:$CK$25,MATCH($E42,DEMANDS!$E$2:$E$25,0),FALSE)/HLOOKUP(2018,DEMANDS!$G$2:$CK$25,MATCH($E42,DEMANDS!$E$2:$E$25,0),FALSE)</f>
        <v>0.84012736098624907</v>
      </c>
      <c r="N42" s="18">
        <f>HLOOKUP(REG_TRA_DEMANDS!N$3,'BY-Demands'!$J$5:$AK$14,MATCH($E42,'BY-Demands'!$I$5:$I$14,0),FALSE)*HLOOKUP(REG_TRA_DEMANDS!$F42,DEMANDS!$G$2:$CK$25,MATCH($E42,DEMANDS!$E$2:$E$25,0),FALSE)/HLOOKUP(2018,DEMANDS!$G$2:$CK$25,MATCH($E42,DEMANDS!$E$2:$E$25,0),FALSE)</f>
        <v>1.4585571313438348</v>
      </c>
      <c r="O42" s="18">
        <f>HLOOKUP(REG_TRA_DEMANDS!O$3,'BY-Demands'!$J$5:$AK$14,MATCH($E42,'BY-Demands'!$I$5:$I$14,0),FALSE)*HLOOKUP(REG_TRA_DEMANDS!$F42,DEMANDS!$G$2:$CK$25,MATCH($E42,DEMANDS!$E$2:$E$25,0),FALSE)/HLOOKUP(2018,DEMANDS!$G$2:$CK$25,MATCH($E42,DEMANDS!$E$2:$E$25,0),FALSE)</f>
        <v>0.6181229764314542</v>
      </c>
      <c r="P42" s="18">
        <f>HLOOKUP(REG_TRA_DEMANDS!P$3,'BY-Demands'!$J$5:$AK$14,MATCH($E42,'BY-Demands'!$I$5:$I$14,0),FALSE)*HLOOKUP(REG_TRA_DEMANDS!$F42,DEMANDS!$G$2:$CK$25,MATCH($E42,DEMANDS!$E$2:$E$25,0),FALSE)/HLOOKUP(2018,DEMANDS!$G$2:$CK$25,MATCH($E42,DEMANDS!$E$2:$E$25,0),FALSE)</f>
        <v>0.69776651295459868</v>
      </c>
      <c r="Q42" s="18">
        <f>HLOOKUP(REG_TRA_DEMANDS!Q$3,'BY-Demands'!$J$5:$AK$14,MATCH($E42,'BY-Demands'!$I$5:$I$14,0),FALSE)*HLOOKUP(REG_TRA_DEMANDS!$F42,DEMANDS!$G$2:$CK$25,MATCH($E42,DEMANDS!$E$2:$E$25,0),FALSE)/HLOOKUP(2018,DEMANDS!$G$2:$CK$25,MATCH($E42,DEMANDS!$E$2:$E$25,0),FALSE)</f>
        <v>1.2375071651734595</v>
      </c>
      <c r="R42" s="18">
        <f>HLOOKUP(REG_TRA_DEMANDS!R$3,'BY-Demands'!$J$5:$AK$14,MATCH($E42,'BY-Demands'!$I$5:$I$14,0),FALSE)*HLOOKUP(REG_TRA_DEMANDS!$F42,DEMANDS!$G$2:$CK$25,MATCH($E42,DEMANDS!$E$2:$E$25,0),FALSE)/HLOOKUP(2018,DEMANDS!$G$2:$CK$25,MATCH($E42,DEMANDS!$E$2:$E$25,0),FALSE)</f>
        <v>1.0501342755263858</v>
      </c>
      <c r="S42" s="18">
        <f>HLOOKUP(REG_TRA_DEMANDS!S$3,'BY-Demands'!$J$5:$AK$14,MATCH($E42,'BY-Demands'!$I$5:$I$14,0),FALSE)*HLOOKUP(REG_TRA_DEMANDS!$F42,DEMANDS!$G$2:$CK$25,MATCH($E42,DEMANDS!$E$2:$E$25,0),FALSE)/HLOOKUP(2018,DEMANDS!$G$2:$CK$25,MATCH($E42,DEMANDS!$E$2:$E$25,0),FALSE)</f>
        <v>0.95241954580674015</v>
      </c>
      <c r="T42" s="18">
        <f>HLOOKUP(REG_TRA_DEMANDS!T$3,'BY-Demands'!$J$5:$AK$14,MATCH($E42,'BY-Demands'!$I$5:$I$14,0),FALSE)*HLOOKUP(REG_TRA_DEMANDS!$F42,DEMANDS!$G$2:$CK$25,MATCH($E42,DEMANDS!$E$2:$E$25,0),FALSE)/HLOOKUP(2018,DEMANDS!$G$2:$CK$25,MATCH($E42,DEMANDS!$E$2:$E$25,0),FALSE)</f>
        <v>3.8490262670376563</v>
      </c>
      <c r="U42" s="18">
        <f>HLOOKUP(REG_TRA_DEMANDS!U$3,'BY-Demands'!$J$5:$AK$14,MATCH($E42,'BY-Demands'!$I$5:$I$14,0),FALSE)*HLOOKUP(REG_TRA_DEMANDS!$F42,DEMANDS!$G$2:$CK$25,MATCH($E42,DEMANDS!$E$2:$E$25,0),FALSE)/HLOOKUP(2018,DEMANDS!$G$2:$CK$25,MATCH($E42,DEMANDS!$E$2:$E$25,0),FALSE)</f>
        <v>1.2597852622570533</v>
      </c>
      <c r="V42" s="18">
        <f>HLOOKUP(REG_TRA_DEMANDS!V$3,'BY-Demands'!$J$5:$AK$14,MATCH($E42,'BY-Demands'!$I$5:$I$14,0),FALSE)*HLOOKUP(REG_TRA_DEMANDS!$F42,DEMANDS!$G$2:$CK$25,MATCH($E42,DEMANDS!$E$2:$E$25,0),FALSE)/HLOOKUP(2018,DEMANDS!$G$2:$CK$25,MATCH($E42,DEMANDS!$E$2:$E$25,0),FALSE)</f>
        <v>1.4188423732369153</v>
      </c>
      <c r="W42" s="18">
        <f>HLOOKUP(REG_TRA_DEMANDS!W$3,'BY-Demands'!$J$5:$AK$14,MATCH($E42,'BY-Demands'!$I$5:$I$14,0),FALSE)*HLOOKUP(REG_TRA_DEMANDS!$F42,DEMANDS!$G$2:$CK$25,MATCH($E42,DEMANDS!$E$2:$E$25,0),FALSE)/HLOOKUP(2018,DEMANDS!$G$2:$CK$25,MATCH($E42,DEMANDS!$E$2:$E$25,0),FALSE)</f>
        <v>1.3761089919314888</v>
      </c>
      <c r="X42" s="18">
        <f>HLOOKUP(REG_TRA_DEMANDS!X$3,'BY-Demands'!$J$5:$AK$14,MATCH($E42,'BY-Demands'!$I$5:$I$14,0),FALSE)*HLOOKUP(REG_TRA_DEMANDS!$F42,DEMANDS!$G$2:$CK$25,MATCH($E42,DEMANDS!$E$2:$E$25,0),FALSE)/HLOOKUP(2018,DEMANDS!$G$2:$CK$25,MATCH($E42,DEMANDS!$E$2:$E$25,0),FALSE)</f>
        <v>0.86815553416206648</v>
      </c>
      <c r="Y42" s="18">
        <f>HLOOKUP(REG_TRA_DEMANDS!Y$3,'BY-Demands'!$J$5:$AK$14,MATCH($E42,'BY-Demands'!$I$5:$I$14,0),FALSE)*HLOOKUP(REG_TRA_DEMANDS!$F42,DEMANDS!$G$2:$CK$25,MATCH($E42,DEMANDS!$E$2:$E$25,0),FALSE)/HLOOKUP(2018,DEMANDS!$G$2:$CK$25,MATCH($E42,DEMANDS!$E$2:$E$25,0),FALSE)</f>
        <v>1.9437479932720234</v>
      </c>
      <c r="Z42" s="18">
        <f>HLOOKUP(REG_TRA_DEMANDS!Z$3,'BY-Demands'!$J$5:$AK$14,MATCH($E42,'BY-Demands'!$I$5:$I$14,0),FALSE)*HLOOKUP(REG_TRA_DEMANDS!$F42,DEMANDS!$G$2:$CK$25,MATCH($E42,DEMANDS!$E$2:$E$25,0),FALSE)/HLOOKUP(2018,DEMANDS!$G$2:$CK$25,MATCH($E42,DEMANDS!$E$2:$E$25,0),FALSE)</f>
        <v>0.25475190172516354</v>
      </c>
      <c r="AA42" s="18">
        <f>HLOOKUP(REG_TRA_DEMANDS!AA$3,'BY-Demands'!$J$5:$AK$14,MATCH($E42,'BY-Demands'!$I$5:$I$14,0),FALSE)*HLOOKUP(REG_TRA_DEMANDS!$F42,DEMANDS!$G$2:$CK$25,MATCH($E42,DEMANDS!$E$2:$E$25,0),FALSE)/HLOOKUP(2018,DEMANDS!$G$2:$CK$25,MATCH($E42,DEMANDS!$E$2:$E$25,0),FALSE)</f>
        <v>1.07650784795822</v>
      </c>
      <c r="AB42" s="18">
        <f>HLOOKUP(REG_TRA_DEMANDS!AB$3,'BY-Demands'!$J$5:$AK$14,MATCH($E42,'BY-Demands'!$I$5:$I$14,0),FALSE)*HLOOKUP(REG_TRA_DEMANDS!$F42,DEMANDS!$G$2:$CK$25,MATCH($E42,DEMANDS!$E$2:$E$25,0),FALSE)/HLOOKUP(2018,DEMANDS!$G$2:$CK$25,MATCH($E42,DEMANDS!$E$2:$E$25,0),FALSE)</f>
        <v>0.57962501490887486</v>
      </c>
      <c r="AC42" s="18">
        <f>HLOOKUP(REG_TRA_DEMANDS!AC$3,'BY-Demands'!$J$5:$AK$14,MATCH($E42,'BY-Demands'!$I$5:$I$14,0),FALSE)*HLOOKUP(REG_TRA_DEMANDS!$F42,DEMANDS!$G$2:$CK$25,MATCH($E42,DEMANDS!$E$2:$E$25,0),FALSE)/HLOOKUP(2018,DEMANDS!$G$2:$CK$25,MATCH($E42,DEMANDS!$E$2:$E$25,0),FALSE)</f>
        <v>0.4728553164729532</v>
      </c>
      <c r="AD42" s="18">
        <f>HLOOKUP(REG_TRA_DEMANDS!AD$3,'BY-Demands'!$J$5:$AK$14,MATCH($E42,'BY-Demands'!$I$5:$I$14,0),FALSE)*HLOOKUP(REG_TRA_DEMANDS!$F42,DEMANDS!$G$2:$CK$25,MATCH($E42,DEMANDS!$E$2:$E$25,0),FALSE)/HLOOKUP(2018,DEMANDS!$G$2:$CK$25,MATCH($E42,DEMANDS!$E$2:$E$25,0),FALSE)</f>
        <v>0.51379137089806048</v>
      </c>
      <c r="AE42" s="18">
        <f>HLOOKUP(REG_TRA_DEMANDS!AE$3,'BY-Demands'!$J$5:$AK$14,MATCH($E42,'BY-Demands'!$I$5:$I$14,0),FALSE)*HLOOKUP(REG_TRA_DEMANDS!$F42,DEMANDS!$G$2:$CK$25,MATCH($E42,DEMANDS!$E$2:$E$25,0),FALSE)/HLOOKUP(2018,DEMANDS!$G$2:$CK$25,MATCH($E42,DEMANDS!$E$2:$E$25,0),FALSE)</f>
        <v>0.9462299334816946</v>
      </c>
      <c r="AF42" s="18">
        <f>HLOOKUP(REG_TRA_DEMANDS!AF$3,'BY-Demands'!$J$5:$AK$14,MATCH($E42,'BY-Demands'!$I$5:$I$14,0),FALSE)*HLOOKUP(REG_TRA_DEMANDS!$F42,DEMANDS!$G$2:$CK$25,MATCH($E42,DEMANDS!$E$2:$E$25,0),FALSE)/HLOOKUP(2018,DEMANDS!$G$2:$CK$25,MATCH($E42,DEMANDS!$E$2:$E$25,0),FALSE)</f>
        <v>0.52039058615603562</v>
      </c>
    </row>
    <row r="43" spans="4:32" ht="14.4">
      <c r="D43" t="s">
        <v>6</v>
      </c>
      <c r="E43" t="str">
        <f>DEMANDS!$E$18</f>
        <v>TRAPM</v>
      </c>
      <c r="F43">
        <v>2032</v>
      </c>
      <c r="G43" s="18">
        <f>HLOOKUP(REG_TRA_DEMANDS!G$3,'BY-Demands'!$J$5:$AK$14,MATCH($E43,'BY-Demands'!$I$5:$I$14,0),FALSE)*HLOOKUP(REG_TRA_DEMANDS!$F43,DEMANDS!$G$2:$CK$25,MATCH($E43,DEMANDS!$E$2:$E$25,0),FALSE)/HLOOKUP(2018,DEMANDS!$G$2:$CK$25,MATCH($E43,DEMANDS!$E$2:$E$25,0),FALSE)</f>
        <v>0.48225827422100864</v>
      </c>
      <c r="H43" s="18">
        <f>HLOOKUP(REG_TRA_DEMANDS!H$3,'BY-Demands'!$J$5:$AK$14,MATCH($E43,'BY-Demands'!$I$5:$I$14,0),FALSE)*HLOOKUP(REG_TRA_DEMANDS!$F43,DEMANDS!$G$2:$CK$25,MATCH($E43,DEMANDS!$E$2:$E$25,0),FALSE)/HLOOKUP(2018,DEMANDS!$G$2:$CK$25,MATCH($E43,DEMANDS!$E$2:$E$25,0),FALSE)</f>
        <v>8.4453957770391046</v>
      </c>
      <c r="I43" s="18">
        <f>HLOOKUP(REG_TRA_DEMANDS!I$3,'BY-Demands'!$J$5:$AK$14,MATCH($E43,'BY-Demands'!$I$5:$I$14,0),FALSE)*HLOOKUP(REG_TRA_DEMANDS!$F43,DEMANDS!$G$2:$CK$25,MATCH($E43,DEMANDS!$E$2:$E$25,0),FALSE)/HLOOKUP(2018,DEMANDS!$G$2:$CK$25,MATCH($E43,DEMANDS!$E$2:$E$25,0),FALSE)</f>
        <v>1.7197513077529762</v>
      </c>
      <c r="J43" s="18">
        <f>HLOOKUP(REG_TRA_DEMANDS!J$3,'BY-Demands'!$J$5:$AK$14,MATCH($E43,'BY-Demands'!$I$5:$I$14,0),FALSE)*HLOOKUP(REG_TRA_DEMANDS!$F43,DEMANDS!$G$2:$CK$25,MATCH($E43,DEMANDS!$E$2:$E$25,0),FALSE)/HLOOKUP(2018,DEMANDS!$G$2:$CK$25,MATCH($E43,DEMANDS!$E$2:$E$25,0),FALSE)</f>
        <v>0.8167433070542347</v>
      </c>
      <c r="K43" s="18">
        <f>HLOOKUP(REG_TRA_DEMANDS!K$3,'BY-Demands'!$J$5:$AK$14,MATCH($E43,'BY-Demands'!$I$5:$I$14,0),FALSE)*HLOOKUP(REG_TRA_DEMANDS!$F43,DEMANDS!$G$2:$CK$25,MATCH($E43,DEMANDS!$E$2:$E$25,0),FALSE)/HLOOKUP(2018,DEMANDS!$G$2:$CK$25,MATCH($E43,DEMANDS!$E$2:$E$25,0),FALSE)</f>
        <v>0.61448920948334118</v>
      </c>
      <c r="L43" s="18">
        <f>HLOOKUP(REG_TRA_DEMANDS!L$3,'BY-Demands'!$J$5:$AK$14,MATCH($E43,'BY-Demands'!$I$5:$I$14,0),FALSE)*HLOOKUP(REG_TRA_DEMANDS!$F43,DEMANDS!$G$2:$CK$25,MATCH($E43,DEMANDS!$E$2:$E$25,0),FALSE)/HLOOKUP(2018,DEMANDS!$G$2:$CK$25,MATCH($E43,DEMANDS!$E$2:$E$25,0),FALSE)</f>
        <v>0.31658167597791564</v>
      </c>
      <c r="M43" s="18">
        <f>HLOOKUP(REG_TRA_DEMANDS!M$3,'BY-Demands'!$J$5:$AK$14,MATCH($E43,'BY-Demands'!$I$5:$I$14,0),FALSE)*HLOOKUP(REG_TRA_DEMANDS!$F43,DEMANDS!$G$2:$CK$25,MATCH($E43,DEMANDS!$E$2:$E$25,0),FALSE)/HLOOKUP(2018,DEMANDS!$G$2:$CK$25,MATCH($E43,DEMANDS!$E$2:$E$25,0),FALSE)</f>
        <v>0.8527292714010426</v>
      </c>
      <c r="N43" s="18">
        <f>HLOOKUP(REG_TRA_DEMANDS!N$3,'BY-Demands'!$J$5:$AK$14,MATCH($E43,'BY-Demands'!$I$5:$I$14,0),FALSE)*HLOOKUP(REG_TRA_DEMANDS!$F43,DEMANDS!$G$2:$CK$25,MATCH($E43,DEMANDS!$E$2:$E$25,0),FALSE)/HLOOKUP(2018,DEMANDS!$G$2:$CK$25,MATCH($E43,DEMANDS!$E$2:$E$25,0),FALSE)</f>
        <v>1.4804354883139923</v>
      </c>
      <c r="O43" s="18">
        <f>HLOOKUP(REG_TRA_DEMANDS!O$3,'BY-Demands'!$J$5:$AK$14,MATCH($E43,'BY-Demands'!$I$5:$I$14,0),FALSE)*HLOOKUP(REG_TRA_DEMANDS!$F43,DEMANDS!$G$2:$CK$25,MATCH($E43,DEMANDS!$E$2:$E$25,0),FALSE)/HLOOKUP(2018,DEMANDS!$G$2:$CK$25,MATCH($E43,DEMANDS!$E$2:$E$25,0),FALSE)</f>
        <v>0.62739482107792577</v>
      </c>
      <c r="P43" s="18">
        <f>HLOOKUP(REG_TRA_DEMANDS!P$3,'BY-Demands'!$J$5:$AK$14,MATCH($E43,'BY-Demands'!$I$5:$I$14,0),FALSE)*HLOOKUP(REG_TRA_DEMANDS!$F43,DEMANDS!$G$2:$CK$25,MATCH($E43,DEMANDS!$E$2:$E$25,0),FALSE)/HLOOKUP(2018,DEMANDS!$G$2:$CK$25,MATCH($E43,DEMANDS!$E$2:$E$25,0),FALSE)</f>
        <v>0.70823301064891753</v>
      </c>
      <c r="Q43" s="18">
        <f>HLOOKUP(REG_TRA_DEMANDS!Q$3,'BY-Demands'!$J$5:$AK$14,MATCH($E43,'BY-Demands'!$I$5:$I$14,0),FALSE)*HLOOKUP(REG_TRA_DEMANDS!$F43,DEMANDS!$G$2:$CK$25,MATCH($E43,DEMANDS!$E$2:$E$25,0),FALSE)/HLOOKUP(2018,DEMANDS!$G$2:$CK$25,MATCH($E43,DEMANDS!$E$2:$E$25,0),FALSE)</f>
        <v>1.2560697726510612</v>
      </c>
      <c r="R43" s="18">
        <f>HLOOKUP(REG_TRA_DEMANDS!R$3,'BY-Demands'!$J$5:$AK$14,MATCH($E43,'BY-Demands'!$I$5:$I$14,0),FALSE)*HLOOKUP(REG_TRA_DEMANDS!$F43,DEMANDS!$G$2:$CK$25,MATCH($E43,DEMANDS!$E$2:$E$25,0),FALSE)/HLOOKUP(2018,DEMANDS!$G$2:$CK$25,MATCH($E43,DEMANDS!$E$2:$E$25,0),FALSE)</f>
        <v>1.0658862896592816</v>
      </c>
      <c r="S43" s="18">
        <f>HLOOKUP(REG_TRA_DEMANDS!S$3,'BY-Demands'!$J$5:$AK$14,MATCH($E43,'BY-Demands'!$I$5:$I$14,0),FALSE)*HLOOKUP(REG_TRA_DEMANDS!$F43,DEMANDS!$G$2:$CK$25,MATCH($E43,DEMANDS!$E$2:$E$25,0),FALSE)/HLOOKUP(2018,DEMANDS!$G$2:$CK$25,MATCH($E43,DEMANDS!$E$2:$E$25,0),FALSE)</f>
        <v>0.96670583899384099</v>
      </c>
      <c r="T43" s="18">
        <f>HLOOKUP(REG_TRA_DEMANDS!T$3,'BY-Demands'!$J$5:$AK$14,MATCH($E43,'BY-Demands'!$I$5:$I$14,0),FALSE)*HLOOKUP(REG_TRA_DEMANDS!$F43,DEMANDS!$G$2:$CK$25,MATCH($E43,DEMANDS!$E$2:$E$25,0),FALSE)/HLOOKUP(2018,DEMANDS!$G$2:$CK$25,MATCH($E43,DEMANDS!$E$2:$E$25,0),FALSE)</f>
        <v>3.9067616610432201</v>
      </c>
      <c r="U43" s="18">
        <f>HLOOKUP(REG_TRA_DEMANDS!U$3,'BY-Demands'!$J$5:$AK$14,MATCH($E43,'BY-Demands'!$I$5:$I$14,0),FALSE)*HLOOKUP(REG_TRA_DEMANDS!$F43,DEMANDS!$G$2:$CK$25,MATCH($E43,DEMANDS!$E$2:$E$25,0),FALSE)/HLOOKUP(2018,DEMANDS!$G$2:$CK$25,MATCH($E43,DEMANDS!$E$2:$E$25,0),FALSE)</f>
        <v>1.278682041190909</v>
      </c>
      <c r="V43" s="18">
        <f>HLOOKUP(REG_TRA_DEMANDS!V$3,'BY-Demands'!$J$5:$AK$14,MATCH($E43,'BY-Demands'!$I$5:$I$14,0),FALSE)*HLOOKUP(REG_TRA_DEMANDS!$F43,DEMANDS!$G$2:$CK$25,MATCH($E43,DEMANDS!$E$2:$E$25,0),FALSE)/HLOOKUP(2018,DEMANDS!$G$2:$CK$25,MATCH($E43,DEMANDS!$E$2:$E$25,0),FALSE)</f>
        <v>1.4401250088354689</v>
      </c>
      <c r="W43" s="18">
        <f>HLOOKUP(REG_TRA_DEMANDS!W$3,'BY-Demands'!$J$5:$AK$14,MATCH($E43,'BY-Demands'!$I$5:$I$14,0),FALSE)*HLOOKUP(REG_TRA_DEMANDS!$F43,DEMANDS!$G$2:$CK$25,MATCH($E43,DEMANDS!$E$2:$E$25,0),FALSE)/HLOOKUP(2018,DEMANDS!$G$2:$CK$25,MATCH($E43,DEMANDS!$E$2:$E$25,0),FALSE)</f>
        <v>1.396750626810461</v>
      </c>
      <c r="X43" s="18">
        <f>HLOOKUP(REG_TRA_DEMANDS!X$3,'BY-Demands'!$J$5:$AK$14,MATCH($E43,'BY-Demands'!$I$5:$I$14,0),FALSE)*HLOOKUP(REG_TRA_DEMANDS!$F43,DEMANDS!$G$2:$CK$25,MATCH($E43,DEMANDS!$E$2:$E$25,0),FALSE)/HLOOKUP(2018,DEMANDS!$G$2:$CK$25,MATCH($E43,DEMANDS!$E$2:$E$25,0),FALSE)</f>
        <v>0.88117786717449742</v>
      </c>
      <c r="Y43" s="18">
        <f>HLOOKUP(REG_TRA_DEMANDS!Y$3,'BY-Demands'!$J$5:$AK$14,MATCH($E43,'BY-Demands'!$I$5:$I$14,0),FALSE)*HLOOKUP(REG_TRA_DEMANDS!$F43,DEMANDS!$G$2:$CK$25,MATCH($E43,DEMANDS!$E$2:$E$25,0),FALSE)/HLOOKUP(2018,DEMANDS!$G$2:$CK$25,MATCH($E43,DEMANDS!$E$2:$E$25,0),FALSE)</f>
        <v>1.9729042131711032</v>
      </c>
      <c r="Z43" s="18">
        <f>HLOOKUP(REG_TRA_DEMANDS!Z$3,'BY-Demands'!$J$5:$AK$14,MATCH($E43,'BY-Demands'!$I$5:$I$14,0),FALSE)*HLOOKUP(REG_TRA_DEMANDS!$F43,DEMANDS!$G$2:$CK$25,MATCH($E43,DEMANDS!$E$2:$E$25,0),FALSE)/HLOOKUP(2018,DEMANDS!$G$2:$CK$25,MATCH($E43,DEMANDS!$E$2:$E$25,0),FALSE)</f>
        <v>0.25857318025104098</v>
      </c>
      <c r="AA43" s="18">
        <f>HLOOKUP(REG_TRA_DEMANDS!AA$3,'BY-Demands'!$J$5:$AK$14,MATCH($E43,'BY-Demands'!$I$5:$I$14,0),FALSE)*HLOOKUP(REG_TRA_DEMANDS!$F43,DEMANDS!$G$2:$CK$25,MATCH($E43,DEMANDS!$E$2:$E$25,0),FALSE)/HLOOKUP(2018,DEMANDS!$G$2:$CK$25,MATCH($E43,DEMANDS!$E$2:$E$25,0),FALSE)</f>
        <v>1.0926554656775929</v>
      </c>
      <c r="AB43" s="18">
        <f>HLOOKUP(REG_TRA_DEMANDS!AB$3,'BY-Demands'!$J$5:$AK$14,MATCH($E43,'BY-Demands'!$I$5:$I$14,0),FALSE)*HLOOKUP(REG_TRA_DEMANDS!$F43,DEMANDS!$G$2:$CK$25,MATCH($E43,DEMANDS!$E$2:$E$25,0),FALSE)/HLOOKUP(2018,DEMANDS!$G$2:$CK$25,MATCH($E43,DEMANDS!$E$2:$E$25,0),FALSE)</f>
        <v>0.58831939013250778</v>
      </c>
      <c r="AC43" s="18">
        <f>HLOOKUP(REG_TRA_DEMANDS!AC$3,'BY-Demands'!$J$5:$AK$14,MATCH($E43,'BY-Demands'!$I$5:$I$14,0),FALSE)*HLOOKUP(REG_TRA_DEMANDS!$F43,DEMANDS!$G$2:$CK$25,MATCH($E43,DEMANDS!$E$2:$E$25,0),FALSE)/HLOOKUP(2018,DEMANDS!$G$2:$CK$25,MATCH($E43,DEMANDS!$E$2:$E$25,0),FALSE)</f>
        <v>0.47994814622004739</v>
      </c>
      <c r="AD43" s="18">
        <f>HLOOKUP(REG_TRA_DEMANDS!AD$3,'BY-Demands'!$J$5:$AK$14,MATCH($E43,'BY-Demands'!$I$5:$I$14,0),FALSE)*HLOOKUP(REG_TRA_DEMANDS!$F43,DEMANDS!$G$2:$CK$25,MATCH($E43,DEMANDS!$E$2:$E$25,0),FALSE)/HLOOKUP(2018,DEMANDS!$G$2:$CK$25,MATCH($E43,DEMANDS!$E$2:$E$25,0),FALSE)</f>
        <v>0.52149824146153123</v>
      </c>
      <c r="AE43" s="18">
        <f>HLOOKUP(REG_TRA_DEMANDS!AE$3,'BY-Demands'!$J$5:$AK$14,MATCH($E43,'BY-Demands'!$I$5:$I$14,0),FALSE)*HLOOKUP(REG_TRA_DEMANDS!$F43,DEMANDS!$G$2:$CK$25,MATCH($E43,DEMANDS!$E$2:$E$25,0),FALSE)/HLOOKUP(2018,DEMANDS!$G$2:$CK$25,MATCH($E43,DEMANDS!$E$2:$E$25,0),FALSE)</f>
        <v>0.96042338248391979</v>
      </c>
      <c r="AF43" s="18">
        <f>HLOOKUP(REG_TRA_DEMANDS!AF$3,'BY-Demands'!$J$5:$AK$14,MATCH($E43,'BY-Demands'!$I$5:$I$14,0),FALSE)*HLOOKUP(REG_TRA_DEMANDS!$F43,DEMANDS!$G$2:$CK$25,MATCH($E43,DEMANDS!$E$2:$E$25,0),FALSE)/HLOOKUP(2018,DEMANDS!$G$2:$CK$25,MATCH($E43,DEMANDS!$E$2:$E$25,0),FALSE)</f>
        <v>0.52819644494837603</v>
      </c>
    </row>
    <row r="44" spans="4:32" ht="14.4">
      <c r="D44" t="s">
        <v>6</v>
      </c>
      <c r="E44" t="str">
        <f>DEMANDS!$E$18</f>
        <v>TRAPM</v>
      </c>
      <c r="F44">
        <v>2033</v>
      </c>
      <c r="G44" s="18">
        <f>HLOOKUP(REG_TRA_DEMANDS!G$3,'BY-Demands'!$J$5:$AK$14,MATCH($E44,'BY-Demands'!$I$5:$I$14,0),FALSE)*HLOOKUP(REG_TRA_DEMANDS!$F44,DEMANDS!$G$2:$CK$25,MATCH($E44,DEMANDS!$E$2:$E$25,0),FALSE)/HLOOKUP(2018,DEMANDS!$G$2:$CK$25,MATCH($E44,DEMANDS!$E$2:$E$25,0),FALSE)</f>
        <v>0.4894921483343237</v>
      </c>
      <c r="H44" s="18">
        <f>HLOOKUP(REG_TRA_DEMANDS!H$3,'BY-Demands'!$J$5:$AK$14,MATCH($E44,'BY-Demands'!$I$5:$I$14,0),FALSE)*HLOOKUP(REG_TRA_DEMANDS!$F44,DEMANDS!$G$2:$CK$25,MATCH($E44,DEMANDS!$E$2:$E$25,0),FALSE)/HLOOKUP(2018,DEMANDS!$G$2:$CK$25,MATCH($E44,DEMANDS!$E$2:$E$25,0),FALSE)</f>
        <v>8.5720767136946883</v>
      </c>
      <c r="I44" s="18">
        <f>HLOOKUP(REG_TRA_DEMANDS!I$3,'BY-Demands'!$J$5:$AK$14,MATCH($E44,'BY-Demands'!$I$5:$I$14,0),FALSE)*HLOOKUP(REG_TRA_DEMANDS!$F44,DEMANDS!$G$2:$CK$25,MATCH($E44,DEMANDS!$E$2:$E$25,0),FALSE)/HLOOKUP(2018,DEMANDS!$G$2:$CK$25,MATCH($E44,DEMANDS!$E$2:$E$25,0),FALSE)</f>
        <v>1.7455475773692708</v>
      </c>
      <c r="J44" s="18">
        <f>HLOOKUP(REG_TRA_DEMANDS!J$3,'BY-Demands'!$J$5:$AK$14,MATCH($E44,'BY-Demands'!$I$5:$I$14,0),FALSE)*HLOOKUP(REG_TRA_DEMANDS!$F44,DEMANDS!$G$2:$CK$25,MATCH($E44,DEMANDS!$E$2:$E$25,0),FALSE)/HLOOKUP(2018,DEMANDS!$G$2:$CK$25,MATCH($E44,DEMANDS!$E$2:$E$25,0),FALSE)</f>
        <v>0.82899445666004801</v>
      </c>
      <c r="K44" s="18">
        <f>HLOOKUP(REG_TRA_DEMANDS!K$3,'BY-Demands'!$J$5:$AK$14,MATCH($E44,'BY-Demands'!$I$5:$I$14,0),FALSE)*HLOOKUP(REG_TRA_DEMANDS!$F44,DEMANDS!$G$2:$CK$25,MATCH($E44,DEMANDS!$E$2:$E$25,0),FALSE)/HLOOKUP(2018,DEMANDS!$G$2:$CK$25,MATCH($E44,DEMANDS!$E$2:$E$25,0),FALSE)</f>
        <v>0.62370654762559119</v>
      </c>
      <c r="L44" s="18">
        <f>HLOOKUP(REG_TRA_DEMANDS!L$3,'BY-Demands'!$J$5:$AK$14,MATCH($E44,'BY-Demands'!$I$5:$I$14,0),FALSE)*HLOOKUP(REG_TRA_DEMANDS!$F44,DEMANDS!$G$2:$CK$25,MATCH($E44,DEMANDS!$E$2:$E$25,0),FALSE)/HLOOKUP(2018,DEMANDS!$G$2:$CK$25,MATCH($E44,DEMANDS!$E$2:$E$25,0),FALSE)</f>
        <v>0.32133040111758432</v>
      </c>
      <c r="M44" s="18">
        <f>HLOOKUP(REG_TRA_DEMANDS!M$3,'BY-Demands'!$J$5:$AK$14,MATCH($E44,'BY-Demands'!$I$5:$I$14,0),FALSE)*HLOOKUP(REG_TRA_DEMANDS!$F44,DEMANDS!$G$2:$CK$25,MATCH($E44,DEMANDS!$E$2:$E$25,0),FALSE)/HLOOKUP(2018,DEMANDS!$G$2:$CK$25,MATCH($E44,DEMANDS!$E$2:$E$25,0),FALSE)</f>
        <v>0.86552021047205818</v>
      </c>
      <c r="N44" s="18">
        <f>HLOOKUP(REG_TRA_DEMANDS!N$3,'BY-Demands'!$J$5:$AK$14,MATCH($E44,'BY-Demands'!$I$5:$I$14,0),FALSE)*HLOOKUP(REG_TRA_DEMANDS!$F44,DEMANDS!$G$2:$CK$25,MATCH($E44,DEMANDS!$E$2:$E$25,0),FALSE)/HLOOKUP(2018,DEMANDS!$G$2:$CK$25,MATCH($E44,DEMANDS!$E$2:$E$25,0),FALSE)</f>
        <v>1.5026420206387019</v>
      </c>
      <c r="O44" s="18">
        <f>HLOOKUP(REG_TRA_DEMANDS!O$3,'BY-Demands'!$J$5:$AK$14,MATCH($E44,'BY-Demands'!$I$5:$I$14,0),FALSE)*HLOOKUP(REG_TRA_DEMANDS!$F44,DEMANDS!$G$2:$CK$25,MATCH($E44,DEMANDS!$E$2:$E$25,0),FALSE)/HLOOKUP(2018,DEMANDS!$G$2:$CK$25,MATCH($E44,DEMANDS!$E$2:$E$25,0),FALSE)</f>
        <v>0.63680574339409457</v>
      </c>
      <c r="P44" s="18">
        <f>HLOOKUP(REG_TRA_DEMANDS!P$3,'BY-Demands'!$J$5:$AK$14,MATCH($E44,'BY-Demands'!$I$5:$I$14,0),FALSE)*HLOOKUP(REG_TRA_DEMANDS!$F44,DEMANDS!$G$2:$CK$25,MATCH($E44,DEMANDS!$E$2:$E$25,0),FALSE)/HLOOKUP(2018,DEMANDS!$G$2:$CK$25,MATCH($E44,DEMANDS!$E$2:$E$25,0),FALSE)</f>
        <v>0.71885650580865124</v>
      </c>
      <c r="Q44" s="18">
        <f>HLOOKUP(REG_TRA_DEMANDS!Q$3,'BY-Demands'!$J$5:$AK$14,MATCH($E44,'BY-Demands'!$I$5:$I$14,0),FALSE)*HLOOKUP(REG_TRA_DEMANDS!$F44,DEMANDS!$G$2:$CK$25,MATCH($E44,DEMANDS!$E$2:$E$25,0),FALSE)/HLOOKUP(2018,DEMANDS!$G$2:$CK$25,MATCH($E44,DEMANDS!$E$2:$E$25,0),FALSE)</f>
        <v>1.2749108192408269</v>
      </c>
      <c r="R44" s="18">
        <f>HLOOKUP(REG_TRA_DEMANDS!R$3,'BY-Demands'!$J$5:$AK$14,MATCH($E44,'BY-Demands'!$I$5:$I$14,0),FALSE)*HLOOKUP(REG_TRA_DEMANDS!$F44,DEMANDS!$G$2:$CK$25,MATCH($E44,DEMANDS!$E$2:$E$25,0),FALSE)/HLOOKUP(2018,DEMANDS!$G$2:$CK$25,MATCH($E44,DEMANDS!$E$2:$E$25,0),FALSE)</f>
        <v>1.0818745840041706</v>
      </c>
      <c r="S44" s="18">
        <f>HLOOKUP(REG_TRA_DEMANDS!S$3,'BY-Demands'!$J$5:$AK$14,MATCH($E44,'BY-Demands'!$I$5:$I$14,0),FALSE)*HLOOKUP(REG_TRA_DEMANDS!$F44,DEMANDS!$G$2:$CK$25,MATCH($E44,DEMANDS!$E$2:$E$25,0),FALSE)/HLOOKUP(2018,DEMANDS!$G$2:$CK$25,MATCH($E44,DEMANDS!$E$2:$E$25,0),FALSE)</f>
        <v>0.98120642657874846</v>
      </c>
      <c r="T44" s="18">
        <f>HLOOKUP(REG_TRA_DEMANDS!T$3,'BY-Demands'!$J$5:$AK$14,MATCH($E44,'BY-Demands'!$I$5:$I$14,0),FALSE)*HLOOKUP(REG_TRA_DEMANDS!$F44,DEMANDS!$G$2:$CK$25,MATCH($E44,DEMANDS!$E$2:$E$25,0),FALSE)/HLOOKUP(2018,DEMANDS!$G$2:$CK$25,MATCH($E44,DEMANDS!$E$2:$E$25,0),FALSE)</f>
        <v>3.965363085958868</v>
      </c>
      <c r="U44" s="18">
        <f>HLOOKUP(REG_TRA_DEMANDS!U$3,'BY-Demands'!$J$5:$AK$14,MATCH($E44,'BY-Demands'!$I$5:$I$14,0),FALSE)*HLOOKUP(REG_TRA_DEMANDS!$F44,DEMANDS!$G$2:$CK$25,MATCH($E44,DEMANDS!$E$2:$E$25,0),FALSE)/HLOOKUP(2018,DEMANDS!$G$2:$CK$25,MATCH($E44,DEMANDS!$E$2:$E$25,0),FALSE)</f>
        <v>1.2978622718087724</v>
      </c>
      <c r="V44" s="18">
        <f>HLOOKUP(REG_TRA_DEMANDS!V$3,'BY-Demands'!$J$5:$AK$14,MATCH($E44,'BY-Demands'!$I$5:$I$14,0),FALSE)*HLOOKUP(REG_TRA_DEMANDS!$F44,DEMANDS!$G$2:$CK$25,MATCH($E44,DEMANDS!$E$2:$E$25,0),FALSE)/HLOOKUP(2018,DEMANDS!$G$2:$CK$25,MATCH($E44,DEMANDS!$E$2:$E$25,0),FALSE)</f>
        <v>1.4617268839680007</v>
      </c>
      <c r="W44" s="18">
        <f>HLOOKUP(REG_TRA_DEMANDS!W$3,'BY-Demands'!$J$5:$AK$14,MATCH($E44,'BY-Demands'!$I$5:$I$14,0),FALSE)*HLOOKUP(REG_TRA_DEMANDS!$F44,DEMANDS!$G$2:$CK$25,MATCH($E44,DEMANDS!$E$2:$E$25,0),FALSE)/HLOOKUP(2018,DEMANDS!$G$2:$CK$25,MATCH($E44,DEMANDS!$E$2:$E$25,0),FALSE)</f>
        <v>1.4177018862126176</v>
      </c>
      <c r="X44" s="18">
        <f>HLOOKUP(REG_TRA_DEMANDS!X$3,'BY-Demands'!$J$5:$AK$14,MATCH($E44,'BY-Demands'!$I$5:$I$14,0),FALSE)*HLOOKUP(REG_TRA_DEMANDS!$F44,DEMANDS!$G$2:$CK$25,MATCH($E44,DEMANDS!$E$2:$E$25,0),FALSE)/HLOOKUP(2018,DEMANDS!$G$2:$CK$25,MATCH($E44,DEMANDS!$E$2:$E$25,0),FALSE)</f>
        <v>0.89439553518211468</v>
      </c>
      <c r="Y44" s="18">
        <f>HLOOKUP(REG_TRA_DEMANDS!Y$3,'BY-Demands'!$J$5:$AK$14,MATCH($E44,'BY-Demands'!$I$5:$I$14,0),FALSE)*HLOOKUP(REG_TRA_DEMANDS!$F44,DEMANDS!$G$2:$CK$25,MATCH($E44,DEMANDS!$E$2:$E$25,0),FALSE)/HLOOKUP(2018,DEMANDS!$G$2:$CK$25,MATCH($E44,DEMANDS!$E$2:$E$25,0),FALSE)</f>
        <v>2.0024977763686698</v>
      </c>
      <c r="Z44" s="18">
        <f>HLOOKUP(REG_TRA_DEMANDS!Z$3,'BY-Demands'!$J$5:$AK$14,MATCH($E44,'BY-Demands'!$I$5:$I$14,0),FALSE)*HLOOKUP(REG_TRA_DEMANDS!$F44,DEMANDS!$G$2:$CK$25,MATCH($E44,DEMANDS!$E$2:$E$25,0),FALSE)/HLOOKUP(2018,DEMANDS!$G$2:$CK$25,MATCH($E44,DEMANDS!$E$2:$E$25,0),FALSE)</f>
        <v>0.26245177795480656</v>
      </c>
      <c r="AA44" s="18">
        <f>HLOOKUP(REG_TRA_DEMANDS!AA$3,'BY-Demands'!$J$5:$AK$14,MATCH($E44,'BY-Demands'!$I$5:$I$14,0),FALSE)*HLOOKUP(REG_TRA_DEMANDS!$F44,DEMANDS!$G$2:$CK$25,MATCH($E44,DEMANDS!$E$2:$E$25,0),FALSE)/HLOOKUP(2018,DEMANDS!$G$2:$CK$25,MATCH($E44,DEMANDS!$E$2:$E$25,0),FALSE)</f>
        <v>1.1090452976627567</v>
      </c>
      <c r="AB44" s="18">
        <f>HLOOKUP(REG_TRA_DEMANDS!AB$3,'BY-Demands'!$J$5:$AK$14,MATCH($E44,'BY-Demands'!$I$5:$I$14,0),FALSE)*HLOOKUP(REG_TRA_DEMANDS!$F44,DEMANDS!$G$2:$CK$25,MATCH($E44,DEMANDS!$E$2:$E$25,0),FALSE)/HLOOKUP(2018,DEMANDS!$G$2:$CK$25,MATCH($E44,DEMANDS!$E$2:$E$25,0),FALSE)</f>
        <v>0.59714418098449529</v>
      </c>
      <c r="AC44" s="18">
        <f>HLOOKUP(REG_TRA_DEMANDS!AC$3,'BY-Demands'!$J$5:$AK$14,MATCH($E44,'BY-Demands'!$I$5:$I$14,0),FALSE)*HLOOKUP(REG_TRA_DEMANDS!$F44,DEMANDS!$G$2:$CK$25,MATCH($E44,DEMANDS!$E$2:$E$25,0),FALSE)/HLOOKUP(2018,DEMANDS!$G$2:$CK$25,MATCH($E44,DEMANDS!$E$2:$E$25,0),FALSE)</f>
        <v>0.4871473684133481</v>
      </c>
      <c r="AD44" s="18">
        <f>HLOOKUP(REG_TRA_DEMANDS!AD$3,'BY-Demands'!$J$5:$AK$14,MATCH($E44,'BY-Demands'!$I$5:$I$14,0),FALSE)*HLOOKUP(REG_TRA_DEMANDS!$F44,DEMANDS!$G$2:$CK$25,MATCH($E44,DEMANDS!$E$2:$E$25,0),FALSE)/HLOOKUP(2018,DEMANDS!$G$2:$CK$25,MATCH($E44,DEMANDS!$E$2:$E$25,0),FALSE)</f>
        <v>0.52932071508345413</v>
      </c>
      <c r="AE44" s="18">
        <f>HLOOKUP(REG_TRA_DEMANDS!AE$3,'BY-Demands'!$J$5:$AK$14,MATCH($E44,'BY-Demands'!$I$5:$I$14,0),FALSE)*HLOOKUP(REG_TRA_DEMANDS!$F44,DEMANDS!$G$2:$CK$25,MATCH($E44,DEMANDS!$E$2:$E$25,0),FALSE)/HLOOKUP(2018,DEMANDS!$G$2:$CK$25,MATCH($E44,DEMANDS!$E$2:$E$25,0),FALSE)</f>
        <v>0.97482973322117838</v>
      </c>
      <c r="AF44" s="18">
        <f>HLOOKUP(REG_TRA_DEMANDS!AF$3,'BY-Demands'!$J$5:$AK$14,MATCH($E44,'BY-Demands'!$I$5:$I$14,0),FALSE)*HLOOKUP(REG_TRA_DEMANDS!$F44,DEMANDS!$G$2:$CK$25,MATCH($E44,DEMANDS!$E$2:$E$25,0),FALSE)/HLOOKUP(2018,DEMANDS!$G$2:$CK$25,MATCH($E44,DEMANDS!$E$2:$E$25,0),FALSE)</f>
        <v>0.53611939162260158</v>
      </c>
    </row>
    <row r="45" spans="4:32" ht="14.4">
      <c r="D45" t="s">
        <v>6</v>
      </c>
      <c r="E45" t="str">
        <f>DEMANDS!$E$18</f>
        <v>TRAPM</v>
      </c>
      <c r="F45">
        <v>2034</v>
      </c>
      <c r="G45" s="18">
        <f>HLOOKUP(REG_TRA_DEMANDS!G$3,'BY-Demands'!$J$5:$AK$14,MATCH($E45,'BY-Demands'!$I$5:$I$14,0),FALSE)*HLOOKUP(REG_TRA_DEMANDS!$F45,DEMANDS!$G$2:$CK$25,MATCH($E45,DEMANDS!$E$2:$E$25,0),FALSE)/HLOOKUP(2018,DEMANDS!$G$2:$CK$25,MATCH($E45,DEMANDS!$E$2:$E$25,0),FALSE)</f>
        <v>0.49683453055933852</v>
      </c>
      <c r="H45" s="18">
        <f>HLOOKUP(REG_TRA_DEMANDS!H$3,'BY-Demands'!$J$5:$AK$14,MATCH($E45,'BY-Demands'!$I$5:$I$14,0),FALSE)*HLOOKUP(REG_TRA_DEMANDS!$F45,DEMANDS!$G$2:$CK$25,MATCH($E45,DEMANDS!$E$2:$E$25,0),FALSE)/HLOOKUP(2018,DEMANDS!$G$2:$CK$25,MATCH($E45,DEMANDS!$E$2:$E$25,0),FALSE)</f>
        <v>8.7006578644001085</v>
      </c>
      <c r="I45" s="18">
        <f>HLOOKUP(REG_TRA_DEMANDS!I$3,'BY-Demands'!$J$5:$AK$14,MATCH($E45,'BY-Demands'!$I$5:$I$14,0),FALSE)*HLOOKUP(REG_TRA_DEMANDS!$F45,DEMANDS!$G$2:$CK$25,MATCH($E45,DEMANDS!$E$2:$E$25,0),FALSE)/HLOOKUP(2018,DEMANDS!$G$2:$CK$25,MATCH($E45,DEMANDS!$E$2:$E$25,0),FALSE)</f>
        <v>1.7717307910298097</v>
      </c>
      <c r="J45" s="18">
        <f>HLOOKUP(REG_TRA_DEMANDS!J$3,'BY-Demands'!$J$5:$AK$14,MATCH($E45,'BY-Demands'!$I$5:$I$14,0),FALSE)*HLOOKUP(REG_TRA_DEMANDS!$F45,DEMANDS!$G$2:$CK$25,MATCH($E45,DEMANDS!$E$2:$E$25,0),FALSE)/HLOOKUP(2018,DEMANDS!$G$2:$CK$25,MATCH($E45,DEMANDS!$E$2:$E$25,0),FALSE)</f>
        <v>0.84142937350994873</v>
      </c>
      <c r="K45" s="18">
        <f>HLOOKUP(REG_TRA_DEMANDS!K$3,'BY-Demands'!$J$5:$AK$14,MATCH($E45,'BY-Demands'!$I$5:$I$14,0),FALSE)*HLOOKUP(REG_TRA_DEMANDS!$F45,DEMANDS!$G$2:$CK$25,MATCH($E45,DEMANDS!$E$2:$E$25,0),FALSE)/HLOOKUP(2018,DEMANDS!$G$2:$CK$25,MATCH($E45,DEMANDS!$E$2:$E$25,0),FALSE)</f>
        <v>0.63306214583997511</v>
      </c>
      <c r="L45" s="18">
        <f>HLOOKUP(REG_TRA_DEMANDS!L$3,'BY-Demands'!$J$5:$AK$14,MATCH($E45,'BY-Demands'!$I$5:$I$14,0),FALSE)*HLOOKUP(REG_TRA_DEMANDS!$F45,DEMANDS!$G$2:$CK$25,MATCH($E45,DEMANDS!$E$2:$E$25,0),FALSE)/HLOOKUP(2018,DEMANDS!$G$2:$CK$25,MATCH($E45,DEMANDS!$E$2:$E$25,0),FALSE)</f>
        <v>0.32615035713434809</v>
      </c>
      <c r="M45" s="18">
        <f>HLOOKUP(REG_TRA_DEMANDS!M$3,'BY-Demands'!$J$5:$AK$14,MATCH($E45,'BY-Demands'!$I$5:$I$14,0),FALSE)*HLOOKUP(REG_TRA_DEMANDS!$F45,DEMANDS!$G$2:$CK$25,MATCH($E45,DEMANDS!$E$2:$E$25,0),FALSE)/HLOOKUP(2018,DEMANDS!$G$2:$CK$25,MATCH($E45,DEMANDS!$E$2:$E$25,0),FALSE)</f>
        <v>0.87850301362913896</v>
      </c>
      <c r="N45" s="18">
        <f>HLOOKUP(REG_TRA_DEMANDS!N$3,'BY-Demands'!$J$5:$AK$14,MATCH($E45,'BY-Demands'!$I$5:$I$14,0),FALSE)*HLOOKUP(REG_TRA_DEMANDS!$F45,DEMANDS!$G$2:$CK$25,MATCH($E45,DEMANDS!$E$2:$E$25,0),FALSE)/HLOOKUP(2018,DEMANDS!$G$2:$CK$25,MATCH($E45,DEMANDS!$E$2:$E$25,0),FALSE)</f>
        <v>1.5251816509482823</v>
      </c>
      <c r="O45" s="18">
        <f>HLOOKUP(REG_TRA_DEMANDS!O$3,'BY-Demands'!$J$5:$AK$14,MATCH($E45,'BY-Demands'!$I$5:$I$14,0),FALSE)*HLOOKUP(REG_TRA_DEMANDS!$F45,DEMANDS!$G$2:$CK$25,MATCH($E45,DEMANDS!$E$2:$E$25,0),FALSE)/HLOOKUP(2018,DEMANDS!$G$2:$CK$25,MATCH($E45,DEMANDS!$E$2:$E$25,0),FALSE)</f>
        <v>0.64635782954500609</v>
      </c>
      <c r="P45" s="18">
        <f>HLOOKUP(REG_TRA_DEMANDS!P$3,'BY-Demands'!$J$5:$AK$14,MATCH($E45,'BY-Demands'!$I$5:$I$14,0),FALSE)*HLOOKUP(REG_TRA_DEMANDS!$F45,DEMANDS!$G$2:$CK$25,MATCH($E45,DEMANDS!$E$2:$E$25,0),FALSE)/HLOOKUP(2018,DEMANDS!$G$2:$CK$25,MATCH($E45,DEMANDS!$E$2:$E$25,0),FALSE)</f>
        <v>0.7296393533957809</v>
      </c>
      <c r="Q45" s="18">
        <f>HLOOKUP(REG_TRA_DEMANDS!Q$3,'BY-Demands'!$J$5:$AK$14,MATCH($E45,'BY-Demands'!$I$5:$I$14,0),FALSE)*HLOOKUP(REG_TRA_DEMANDS!$F45,DEMANDS!$G$2:$CK$25,MATCH($E45,DEMANDS!$E$2:$E$25,0),FALSE)/HLOOKUP(2018,DEMANDS!$G$2:$CK$25,MATCH($E45,DEMANDS!$E$2:$E$25,0),FALSE)</f>
        <v>1.2940344815294393</v>
      </c>
      <c r="R45" s="18">
        <f>HLOOKUP(REG_TRA_DEMANDS!R$3,'BY-Demands'!$J$5:$AK$14,MATCH($E45,'BY-Demands'!$I$5:$I$14,0),FALSE)*HLOOKUP(REG_TRA_DEMANDS!$F45,DEMANDS!$G$2:$CK$25,MATCH($E45,DEMANDS!$E$2:$E$25,0),FALSE)/HLOOKUP(2018,DEMANDS!$G$2:$CK$25,MATCH($E45,DEMANDS!$E$2:$E$25,0),FALSE)</f>
        <v>1.0981027027642329</v>
      </c>
      <c r="S45" s="18">
        <f>HLOOKUP(REG_TRA_DEMANDS!S$3,'BY-Demands'!$J$5:$AK$14,MATCH($E45,'BY-Demands'!$I$5:$I$14,0),FALSE)*HLOOKUP(REG_TRA_DEMANDS!$F45,DEMANDS!$G$2:$CK$25,MATCH($E45,DEMANDS!$E$2:$E$25,0),FALSE)/HLOOKUP(2018,DEMANDS!$G$2:$CK$25,MATCH($E45,DEMANDS!$E$2:$E$25,0),FALSE)</f>
        <v>0.99592452297742973</v>
      </c>
      <c r="T45" s="18">
        <f>HLOOKUP(REG_TRA_DEMANDS!T$3,'BY-Demands'!$J$5:$AK$14,MATCH($E45,'BY-Demands'!$I$5:$I$14,0),FALSE)*HLOOKUP(REG_TRA_DEMANDS!$F45,DEMANDS!$G$2:$CK$25,MATCH($E45,DEMANDS!$E$2:$E$25,0),FALSE)/HLOOKUP(2018,DEMANDS!$G$2:$CK$25,MATCH($E45,DEMANDS!$E$2:$E$25,0),FALSE)</f>
        <v>4.0248435322482505</v>
      </c>
      <c r="U45" s="18">
        <f>HLOOKUP(REG_TRA_DEMANDS!U$3,'BY-Demands'!$J$5:$AK$14,MATCH($E45,'BY-Demands'!$I$5:$I$14,0),FALSE)*HLOOKUP(REG_TRA_DEMANDS!$F45,DEMANDS!$G$2:$CK$25,MATCH($E45,DEMANDS!$E$2:$E$25,0),FALSE)/HLOOKUP(2018,DEMANDS!$G$2:$CK$25,MATCH($E45,DEMANDS!$E$2:$E$25,0),FALSE)</f>
        <v>1.317330205885904</v>
      </c>
      <c r="V45" s="18">
        <f>HLOOKUP(REG_TRA_DEMANDS!V$3,'BY-Demands'!$J$5:$AK$14,MATCH($E45,'BY-Demands'!$I$5:$I$14,0),FALSE)*HLOOKUP(REG_TRA_DEMANDS!$F45,DEMANDS!$G$2:$CK$25,MATCH($E45,DEMANDS!$E$2:$E$25,0),FALSE)/HLOOKUP(2018,DEMANDS!$G$2:$CK$25,MATCH($E45,DEMANDS!$E$2:$E$25,0),FALSE)</f>
        <v>1.4836527872275207</v>
      </c>
      <c r="W45" s="18">
        <f>HLOOKUP(REG_TRA_DEMANDS!W$3,'BY-Demands'!$J$5:$AK$14,MATCH($E45,'BY-Demands'!$I$5:$I$14,0),FALSE)*HLOOKUP(REG_TRA_DEMANDS!$F45,DEMANDS!$G$2:$CK$25,MATCH($E45,DEMANDS!$E$2:$E$25,0),FALSE)/HLOOKUP(2018,DEMANDS!$G$2:$CK$25,MATCH($E45,DEMANDS!$E$2:$E$25,0),FALSE)</f>
        <v>1.4389674145058069</v>
      </c>
      <c r="X45" s="18">
        <f>HLOOKUP(REG_TRA_DEMANDS!X$3,'BY-Demands'!$J$5:$AK$14,MATCH($E45,'BY-Demands'!$I$5:$I$14,0),FALSE)*HLOOKUP(REG_TRA_DEMANDS!$F45,DEMANDS!$G$2:$CK$25,MATCH($E45,DEMANDS!$E$2:$E$25,0),FALSE)/HLOOKUP(2018,DEMANDS!$G$2:$CK$25,MATCH($E45,DEMANDS!$E$2:$E$25,0),FALSE)</f>
        <v>0.90781146820984626</v>
      </c>
      <c r="Y45" s="18">
        <f>HLOOKUP(REG_TRA_DEMANDS!Y$3,'BY-Demands'!$J$5:$AK$14,MATCH($E45,'BY-Demands'!$I$5:$I$14,0),FALSE)*HLOOKUP(REG_TRA_DEMANDS!$F45,DEMANDS!$G$2:$CK$25,MATCH($E45,DEMANDS!$E$2:$E$25,0),FALSE)/HLOOKUP(2018,DEMANDS!$G$2:$CK$25,MATCH($E45,DEMANDS!$E$2:$E$25,0),FALSE)</f>
        <v>2.0325352430141996</v>
      </c>
      <c r="Z45" s="18">
        <f>HLOOKUP(REG_TRA_DEMANDS!Z$3,'BY-Demands'!$J$5:$AK$14,MATCH($E45,'BY-Demands'!$I$5:$I$14,0),FALSE)*HLOOKUP(REG_TRA_DEMANDS!$F45,DEMANDS!$G$2:$CK$25,MATCH($E45,DEMANDS!$E$2:$E$25,0),FALSE)/HLOOKUP(2018,DEMANDS!$G$2:$CK$25,MATCH($E45,DEMANDS!$E$2:$E$25,0),FALSE)</f>
        <v>0.26638855462412858</v>
      </c>
      <c r="AA45" s="18">
        <f>HLOOKUP(REG_TRA_DEMANDS!AA$3,'BY-Demands'!$J$5:$AK$14,MATCH($E45,'BY-Demands'!$I$5:$I$14,0),FALSE)*HLOOKUP(REG_TRA_DEMANDS!$F45,DEMANDS!$G$2:$CK$25,MATCH($E45,DEMANDS!$E$2:$E$25,0),FALSE)/HLOOKUP(2018,DEMANDS!$G$2:$CK$25,MATCH($E45,DEMANDS!$E$2:$E$25,0),FALSE)</f>
        <v>1.1256809771276981</v>
      </c>
      <c r="AB45" s="18">
        <f>HLOOKUP(REG_TRA_DEMANDS!AB$3,'BY-Demands'!$J$5:$AK$14,MATCH($E45,'BY-Demands'!$I$5:$I$14,0),FALSE)*HLOOKUP(REG_TRA_DEMANDS!$F45,DEMANDS!$G$2:$CK$25,MATCH($E45,DEMANDS!$E$2:$E$25,0),FALSE)/HLOOKUP(2018,DEMANDS!$G$2:$CK$25,MATCH($E45,DEMANDS!$E$2:$E$25,0),FALSE)</f>
        <v>0.60610134369926283</v>
      </c>
      <c r="AC45" s="18">
        <f>HLOOKUP(REG_TRA_DEMANDS!AC$3,'BY-Demands'!$J$5:$AK$14,MATCH($E45,'BY-Demands'!$I$5:$I$14,0),FALSE)*HLOOKUP(REG_TRA_DEMANDS!$F45,DEMANDS!$G$2:$CK$25,MATCH($E45,DEMANDS!$E$2:$E$25,0),FALSE)/HLOOKUP(2018,DEMANDS!$G$2:$CK$25,MATCH($E45,DEMANDS!$E$2:$E$25,0),FALSE)</f>
        <v>0.49445457893954825</v>
      </c>
      <c r="AD45" s="18">
        <f>HLOOKUP(REG_TRA_DEMANDS!AD$3,'BY-Demands'!$J$5:$AK$14,MATCH($E45,'BY-Demands'!$I$5:$I$14,0),FALSE)*HLOOKUP(REG_TRA_DEMANDS!$F45,DEMANDS!$G$2:$CK$25,MATCH($E45,DEMANDS!$E$2:$E$25,0),FALSE)/HLOOKUP(2018,DEMANDS!$G$2:$CK$25,MATCH($E45,DEMANDS!$E$2:$E$25,0),FALSE)</f>
        <v>0.53726052580970585</v>
      </c>
      <c r="AE45" s="18">
        <f>HLOOKUP(REG_TRA_DEMANDS!AE$3,'BY-Demands'!$J$5:$AK$14,MATCH($E45,'BY-Demands'!$I$5:$I$14,0),FALSE)*HLOOKUP(REG_TRA_DEMANDS!$F45,DEMANDS!$G$2:$CK$25,MATCH($E45,DEMANDS!$E$2:$E$25,0),FALSE)/HLOOKUP(2018,DEMANDS!$G$2:$CK$25,MATCH($E45,DEMANDS!$E$2:$E$25,0),FALSE)</f>
        <v>0.98945217921949602</v>
      </c>
      <c r="AF45" s="18">
        <f>HLOOKUP(REG_TRA_DEMANDS!AF$3,'BY-Demands'!$J$5:$AK$14,MATCH($E45,'BY-Demands'!$I$5:$I$14,0),FALSE)*HLOOKUP(REG_TRA_DEMANDS!$F45,DEMANDS!$G$2:$CK$25,MATCH($E45,DEMANDS!$E$2:$E$25,0),FALSE)/HLOOKUP(2018,DEMANDS!$G$2:$CK$25,MATCH($E45,DEMANDS!$E$2:$E$25,0),FALSE)</f>
        <v>0.54416118249694057</v>
      </c>
    </row>
    <row r="46" spans="4:32" ht="14.4">
      <c r="D46" t="s">
        <v>6</v>
      </c>
      <c r="E46" t="str">
        <f>DEMANDS!$E$18</f>
        <v>TRAPM</v>
      </c>
      <c r="F46">
        <v>2035</v>
      </c>
      <c r="G46" s="18">
        <f>HLOOKUP(REG_TRA_DEMANDS!G$3,'BY-Demands'!$J$5:$AK$14,MATCH($E46,'BY-Demands'!$I$5:$I$14,0),FALSE)*HLOOKUP(REG_TRA_DEMANDS!$F46,DEMANDS!$G$2:$CK$25,MATCH($E46,DEMANDS!$E$2:$E$25,0),FALSE)/HLOOKUP(2018,DEMANDS!$G$2:$CK$25,MATCH($E46,DEMANDS!$E$2:$E$25,0),FALSE)</f>
        <v>0.50428704851772865</v>
      </c>
      <c r="H46" s="18">
        <f>HLOOKUP(REG_TRA_DEMANDS!H$3,'BY-Demands'!$J$5:$AK$14,MATCH($E46,'BY-Demands'!$I$5:$I$14,0),FALSE)*HLOOKUP(REG_TRA_DEMANDS!$F46,DEMANDS!$G$2:$CK$25,MATCH($E46,DEMANDS!$E$2:$E$25,0),FALSE)/HLOOKUP(2018,DEMANDS!$G$2:$CK$25,MATCH($E46,DEMANDS!$E$2:$E$25,0),FALSE)</f>
        <v>8.8311677323661097</v>
      </c>
      <c r="I46" s="18">
        <f>HLOOKUP(REG_TRA_DEMANDS!I$3,'BY-Demands'!$J$5:$AK$14,MATCH($E46,'BY-Demands'!$I$5:$I$14,0),FALSE)*HLOOKUP(REG_TRA_DEMANDS!$F46,DEMANDS!$G$2:$CK$25,MATCH($E46,DEMANDS!$E$2:$E$25,0),FALSE)/HLOOKUP(2018,DEMANDS!$G$2:$CK$25,MATCH($E46,DEMANDS!$E$2:$E$25,0),FALSE)</f>
        <v>1.7983067528952568</v>
      </c>
      <c r="J46" s="18">
        <f>HLOOKUP(REG_TRA_DEMANDS!J$3,'BY-Demands'!$J$5:$AK$14,MATCH($E46,'BY-Demands'!$I$5:$I$14,0),FALSE)*HLOOKUP(REG_TRA_DEMANDS!$F46,DEMANDS!$G$2:$CK$25,MATCH($E46,DEMANDS!$E$2:$E$25,0),FALSE)/HLOOKUP(2018,DEMANDS!$G$2:$CK$25,MATCH($E46,DEMANDS!$E$2:$E$25,0),FALSE)</f>
        <v>0.85405081411259798</v>
      </c>
      <c r="K46" s="18">
        <f>HLOOKUP(REG_TRA_DEMANDS!K$3,'BY-Demands'!$J$5:$AK$14,MATCH($E46,'BY-Demands'!$I$5:$I$14,0),FALSE)*HLOOKUP(REG_TRA_DEMANDS!$F46,DEMANDS!$G$2:$CK$25,MATCH($E46,DEMANDS!$E$2:$E$25,0),FALSE)/HLOOKUP(2018,DEMANDS!$G$2:$CK$25,MATCH($E46,DEMANDS!$E$2:$E$25,0),FALSE)</f>
        <v>0.6425580780275747</v>
      </c>
      <c r="L46" s="18">
        <f>HLOOKUP(REG_TRA_DEMANDS!L$3,'BY-Demands'!$J$5:$AK$14,MATCH($E46,'BY-Demands'!$I$5:$I$14,0),FALSE)*HLOOKUP(REG_TRA_DEMANDS!$F46,DEMANDS!$G$2:$CK$25,MATCH($E46,DEMANDS!$E$2:$E$25,0),FALSE)/HLOOKUP(2018,DEMANDS!$G$2:$CK$25,MATCH($E46,DEMANDS!$E$2:$E$25,0),FALSE)</f>
        <v>0.3310426124913633</v>
      </c>
      <c r="M46" s="18">
        <f>HLOOKUP(REG_TRA_DEMANDS!M$3,'BY-Demands'!$J$5:$AK$14,MATCH($E46,'BY-Demands'!$I$5:$I$14,0),FALSE)*HLOOKUP(REG_TRA_DEMANDS!$F46,DEMANDS!$G$2:$CK$25,MATCH($E46,DEMANDS!$E$2:$E$25,0),FALSE)/HLOOKUP(2018,DEMANDS!$G$2:$CK$25,MATCH($E46,DEMANDS!$E$2:$E$25,0),FALSE)</f>
        <v>0.891680558833576</v>
      </c>
      <c r="N46" s="18">
        <f>HLOOKUP(REG_TRA_DEMANDS!N$3,'BY-Demands'!$J$5:$AK$14,MATCH($E46,'BY-Demands'!$I$5:$I$14,0),FALSE)*HLOOKUP(REG_TRA_DEMANDS!$F46,DEMANDS!$G$2:$CK$25,MATCH($E46,DEMANDS!$E$2:$E$25,0),FALSE)/HLOOKUP(2018,DEMANDS!$G$2:$CK$25,MATCH($E46,DEMANDS!$E$2:$E$25,0),FALSE)</f>
        <v>1.5480593757125065</v>
      </c>
      <c r="O46" s="18">
        <f>HLOOKUP(REG_TRA_DEMANDS!O$3,'BY-Demands'!$J$5:$AK$14,MATCH($E46,'BY-Demands'!$I$5:$I$14,0),FALSE)*HLOOKUP(REG_TRA_DEMANDS!$F46,DEMANDS!$G$2:$CK$25,MATCH($E46,DEMANDS!$E$2:$E$25,0),FALSE)/HLOOKUP(2018,DEMANDS!$G$2:$CK$25,MATCH($E46,DEMANDS!$E$2:$E$25,0),FALSE)</f>
        <v>0.6560531969881811</v>
      </c>
      <c r="P46" s="18">
        <f>HLOOKUP(REG_TRA_DEMANDS!P$3,'BY-Demands'!$J$5:$AK$14,MATCH($E46,'BY-Demands'!$I$5:$I$14,0),FALSE)*HLOOKUP(REG_TRA_DEMANDS!$F46,DEMANDS!$G$2:$CK$25,MATCH($E46,DEMANDS!$E$2:$E$25,0),FALSE)/HLOOKUP(2018,DEMANDS!$G$2:$CK$25,MATCH($E46,DEMANDS!$E$2:$E$25,0),FALSE)</f>
        <v>0.74058394369671765</v>
      </c>
      <c r="Q46" s="18">
        <f>HLOOKUP(REG_TRA_DEMANDS!Q$3,'BY-Demands'!$J$5:$AK$14,MATCH($E46,'BY-Demands'!$I$5:$I$14,0),FALSE)*HLOOKUP(REG_TRA_DEMANDS!$F46,DEMANDS!$G$2:$CK$25,MATCH($E46,DEMANDS!$E$2:$E$25,0),FALSE)/HLOOKUP(2018,DEMANDS!$G$2:$CK$25,MATCH($E46,DEMANDS!$E$2:$E$25,0),FALSE)</f>
        <v>1.3134449987523809</v>
      </c>
      <c r="R46" s="18">
        <f>HLOOKUP(REG_TRA_DEMANDS!R$3,'BY-Demands'!$J$5:$AK$14,MATCH($E46,'BY-Demands'!$I$5:$I$14,0),FALSE)*HLOOKUP(REG_TRA_DEMANDS!$F46,DEMANDS!$G$2:$CK$25,MATCH($E46,DEMANDS!$E$2:$E$25,0),FALSE)/HLOOKUP(2018,DEMANDS!$G$2:$CK$25,MATCH($E46,DEMANDS!$E$2:$E$25,0),FALSE)</f>
        <v>1.1145742433056964</v>
      </c>
      <c r="S46" s="18">
        <f>HLOOKUP(REG_TRA_DEMANDS!S$3,'BY-Demands'!$J$5:$AK$14,MATCH($E46,'BY-Demands'!$I$5:$I$14,0),FALSE)*HLOOKUP(REG_TRA_DEMANDS!$F46,DEMANDS!$G$2:$CK$25,MATCH($E46,DEMANDS!$E$2:$E$25,0),FALSE)/HLOOKUP(2018,DEMANDS!$G$2:$CK$25,MATCH($E46,DEMANDS!$E$2:$E$25,0),FALSE)</f>
        <v>1.010863390822091</v>
      </c>
      <c r="T46" s="18">
        <f>HLOOKUP(REG_TRA_DEMANDS!T$3,'BY-Demands'!$J$5:$AK$14,MATCH($E46,'BY-Demands'!$I$5:$I$14,0),FALSE)*HLOOKUP(REG_TRA_DEMANDS!$F46,DEMANDS!$G$2:$CK$25,MATCH($E46,DEMANDS!$E$2:$E$25,0),FALSE)/HLOOKUP(2018,DEMANDS!$G$2:$CK$25,MATCH($E46,DEMANDS!$E$2:$E$25,0),FALSE)</f>
        <v>4.0852161852319746</v>
      </c>
      <c r="U46" s="18">
        <f>HLOOKUP(REG_TRA_DEMANDS!U$3,'BY-Demands'!$J$5:$AK$14,MATCH($E46,'BY-Demands'!$I$5:$I$14,0),FALSE)*HLOOKUP(REG_TRA_DEMANDS!$F46,DEMANDS!$G$2:$CK$25,MATCH($E46,DEMANDS!$E$2:$E$25,0),FALSE)/HLOOKUP(2018,DEMANDS!$G$2:$CK$25,MATCH($E46,DEMANDS!$E$2:$E$25,0),FALSE)</f>
        <v>1.3370901589741924</v>
      </c>
      <c r="V46" s="18">
        <f>HLOOKUP(REG_TRA_DEMANDS!V$3,'BY-Demands'!$J$5:$AK$14,MATCH($E46,'BY-Demands'!$I$5:$I$14,0),FALSE)*HLOOKUP(REG_TRA_DEMANDS!$F46,DEMANDS!$G$2:$CK$25,MATCH($E46,DEMANDS!$E$2:$E$25,0),FALSE)/HLOOKUP(2018,DEMANDS!$G$2:$CK$25,MATCH($E46,DEMANDS!$E$2:$E$25,0),FALSE)</f>
        <v>1.5059075790359335</v>
      </c>
      <c r="W46" s="18">
        <f>HLOOKUP(REG_TRA_DEMANDS!W$3,'BY-Demands'!$J$5:$AK$14,MATCH($E46,'BY-Demands'!$I$5:$I$14,0),FALSE)*HLOOKUP(REG_TRA_DEMANDS!$F46,DEMANDS!$G$2:$CK$25,MATCH($E46,DEMANDS!$E$2:$E$25,0),FALSE)/HLOOKUP(2018,DEMANDS!$G$2:$CK$25,MATCH($E46,DEMANDS!$E$2:$E$25,0),FALSE)</f>
        <v>1.4605519257233939</v>
      </c>
      <c r="X46" s="18">
        <f>HLOOKUP(REG_TRA_DEMANDS!X$3,'BY-Demands'!$J$5:$AK$14,MATCH($E46,'BY-Demands'!$I$5:$I$14,0),FALSE)*HLOOKUP(REG_TRA_DEMANDS!$F46,DEMANDS!$G$2:$CK$25,MATCH($E46,DEMANDS!$E$2:$E$25,0),FALSE)/HLOOKUP(2018,DEMANDS!$G$2:$CK$25,MATCH($E46,DEMANDS!$E$2:$E$25,0),FALSE)</f>
        <v>0.92142864023299398</v>
      </c>
      <c r="Y46" s="18">
        <f>HLOOKUP(REG_TRA_DEMANDS!Y$3,'BY-Demands'!$J$5:$AK$14,MATCH($E46,'BY-Demands'!$I$5:$I$14,0),FALSE)*HLOOKUP(REG_TRA_DEMANDS!$F46,DEMANDS!$G$2:$CK$25,MATCH($E46,DEMANDS!$E$2:$E$25,0),FALSE)/HLOOKUP(2018,DEMANDS!$G$2:$CK$25,MATCH($E46,DEMANDS!$E$2:$E$25,0),FALSE)</f>
        <v>2.0630232716594121</v>
      </c>
      <c r="Z46" s="18">
        <f>HLOOKUP(REG_TRA_DEMANDS!Z$3,'BY-Demands'!$J$5:$AK$14,MATCH($E46,'BY-Demands'!$I$5:$I$14,0),FALSE)*HLOOKUP(REG_TRA_DEMANDS!$F46,DEMANDS!$G$2:$CK$25,MATCH($E46,DEMANDS!$E$2:$E$25,0),FALSE)/HLOOKUP(2018,DEMANDS!$G$2:$CK$25,MATCH($E46,DEMANDS!$E$2:$E$25,0),FALSE)</f>
        <v>0.27038438294349054</v>
      </c>
      <c r="AA46" s="18">
        <f>HLOOKUP(REG_TRA_DEMANDS!AA$3,'BY-Demands'!$J$5:$AK$14,MATCH($E46,'BY-Demands'!$I$5:$I$14,0),FALSE)*HLOOKUP(REG_TRA_DEMANDS!$F46,DEMANDS!$G$2:$CK$25,MATCH($E46,DEMANDS!$E$2:$E$25,0),FALSE)/HLOOKUP(2018,DEMANDS!$G$2:$CK$25,MATCH($E46,DEMANDS!$E$2:$E$25,0),FALSE)</f>
        <v>1.1425661917846135</v>
      </c>
      <c r="AB46" s="18">
        <f>HLOOKUP(REG_TRA_DEMANDS!AB$3,'BY-Demands'!$J$5:$AK$14,MATCH($E46,'BY-Demands'!$I$5:$I$14,0),FALSE)*HLOOKUP(REG_TRA_DEMANDS!$F46,DEMANDS!$G$2:$CK$25,MATCH($E46,DEMANDS!$E$2:$E$25,0),FALSE)/HLOOKUP(2018,DEMANDS!$G$2:$CK$25,MATCH($E46,DEMANDS!$E$2:$E$25,0),FALSE)</f>
        <v>0.61519286385475169</v>
      </c>
      <c r="AC46" s="18">
        <f>HLOOKUP(REG_TRA_DEMANDS!AC$3,'BY-Demands'!$J$5:$AK$14,MATCH($E46,'BY-Demands'!$I$5:$I$14,0),FALSE)*HLOOKUP(REG_TRA_DEMANDS!$F46,DEMANDS!$G$2:$CK$25,MATCH($E46,DEMANDS!$E$2:$E$25,0),FALSE)/HLOOKUP(2018,DEMANDS!$G$2:$CK$25,MATCH($E46,DEMANDS!$E$2:$E$25,0),FALSE)</f>
        <v>0.50187139762364141</v>
      </c>
      <c r="AD46" s="18">
        <f>HLOOKUP(REG_TRA_DEMANDS!AD$3,'BY-Demands'!$J$5:$AK$14,MATCH($E46,'BY-Demands'!$I$5:$I$14,0),FALSE)*HLOOKUP(REG_TRA_DEMANDS!$F46,DEMANDS!$G$2:$CK$25,MATCH($E46,DEMANDS!$E$2:$E$25,0),FALSE)/HLOOKUP(2018,DEMANDS!$G$2:$CK$25,MATCH($E46,DEMANDS!$E$2:$E$25,0),FALSE)</f>
        <v>0.54531943369685154</v>
      </c>
      <c r="AE46" s="18">
        <f>HLOOKUP(REG_TRA_DEMANDS!AE$3,'BY-Demands'!$J$5:$AK$14,MATCH($E46,'BY-Demands'!$I$5:$I$14,0),FALSE)*HLOOKUP(REG_TRA_DEMANDS!$F46,DEMANDS!$G$2:$CK$25,MATCH($E46,DEMANDS!$E$2:$E$25,0),FALSE)/HLOOKUP(2018,DEMANDS!$G$2:$CK$25,MATCH($E46,DEMANDS!$E$2:$E$25,0),FALSE)</f>
        <v>1.0042939619077886</v>
      </c>
      <c r="AF46" s="18">
        <f>HLOOKUP(REG_TRA_DEMANDS!AF$3,'BY-Demands'!$J$5:$AK$14,MATCH($E46,'BY-Demands'!$I$5:$I$14,0),FALSE)*HLOOKUP(REG_TRA_DEMANDS!$F46,DEMANDS!$G$2:$CK$25,MATCH($E46,DEMANDS!$E$2:$E$25,0),FALSE)/HLOOKUP(2018,DEMANDS!$G$2:$CK$25,MATCH($E46,DEMANDS!$E$2:$E$25,0),FALSE)</f>
        <v>0.55232360023439464</v>
      </c>
    </row>
    <row r="47" spans="4:32" ht="14.4">
      <c r="D47" t="s">
        <v>6</v>
      </c>
      <c r="E47" t="str">
        <f>DEMANDS!$E$18</f>
        <v>TRAPM</v>
      </c>
      <c r="F47">
        <v>2036</v>
      </c>
      <c r="G47" s="18">
        <f>HLOOKUP(REG_TRA_DEMANDS!G$3,'BY-Demands'!$J$5:$AK$14,MATCH($E47,'BY-Demands'!$I$5:$I$14,0),FALSE)*HLOOKUP(REG_TRA_DEMANDS!$F47,DEMANDS!$G$2:$CK$25,MATCH($E47,DEMANDS!$E$2:$E$25,0),FALSE)/HLOOKUP(2018,DEMANDS!$G$2:$CK$25,MATCH($E47,DEMANDS!$E$2:$E$25,0),FALSE)</f>
        <v>0.51185135424549455</v>
      </c>
      <c r="H47" s="18">
        <f>HLOOKUP(REG_TRA_DEMANDS!H$3,'BY-Demands'!$J$5:$AK$14,MATCH($E47,'BY-Demands'!$I$5:$I$14,0),FALSE)*HLOOKUP(REG_TRA_DEMANDS!$F47,DEMANDS!$G$2:$CK$25,MATCH($E47,DEMANDS!$E$2:$E$25,0),FALSE)/HLOOKUP(2018,DEMANDS!$G$2:$CK$25,MATCH($E47,DEMANDS!$E$2:$E$25,0),FALSE)</f>
        <v>8.9636352483516006</v>
      </c>
      <c r="I47" s="18">
        <f>HLOOKUP(REG_TRA_DEMANDS!I$3,'BY-Demands'!$J$5:$AK$14,MATCH($E47,'BY-Demands'!$I$5:$I$14,0),FALSE)*HLOOKUP(REG_TRA_DEMANDS!$F47,DEMANDS!$G$2:$CK$25,MATCH($E47,DEMANDS!$E$2:$E$25,0),FALSE)/HLOOKUP(2018,DEMANDS!$G$2:$CK$25,MATCH($E47,DEMANDS!$E$2:$E$25,0),FALSE)</f>
        <v>1.8252813541886856</v>
      </c>
      <c r="J47" s="18">
        <f>HLOOKUP(REG_TRA_DEMANDS!J$3,'BY-Demands'!$J$5:$AK$14,MATCH($E47,'BY-Demands'!$I$5:$I$14,0),FALSE)*HLOOKUP(REG_TRA_DEMANDS!$F47,DEMANDS!$G$2:$CK$25,MATCH($E47,DEMANDS!$E$2:$E$25,0),FALSE)/HLOOKUP(2018,DEMANDS!$G$2:$CK$25,MATCH($E47,DEMANDS!$E$2:$E$25,0),FALSE)</f>
        <v>0.86686157632428684</v>
      </c>
      <c r="K47" s="18">
        <f>HLOOKUP(REG_TRA_DEMANDS!K$3,'BY-Demands'!$J$5:$AK$14,MATCH($E47,'BY-Demands'!$I$5:$I$14,0),FALSE)*HLOOKUP(REG_TRA_DEMANDS!$F47,DEMANDS!$G$2:$CK$25,MATCH($E47,DEMANDS!$E$2:$E$25,0),FALSE)/HLOOKUP(2018,DEMANDS!$G$2:$CK$25,MATCH($E47,DEMANDS!$E$2:$E$25,0),FALSE)</f>
        <v>0.65219644919798814</v>
      </c>
      <c r="L47" s="18">
        <f>HLOOKUP(REG_TRA_DEMANDS!L$3,'BY-Demands'!$J$5:$AK$14,MATCH($E47,'BY-Demands'!$I$5:$I$14,0),FALSE)*HLOOKUP(REG_TRA_DEMANDS!$F47,DEMANDS!$G$2:$CK$25,MATCH($E47,DEMANDS!$E$2:$E$25,0),FALSE)/HLOOKUP(2018,DEMANDS!$G$2:$CK$25,MATCH($E47,DEMANDS!$E$2:$E$25,0),FALSE)</f>
        <v>0.33600825167873377</v>
      </c>
      <c r="M47" s="18">
        <f>HLOOKUP(REG_TRA_DEMANDS!M$3,'BY-Demands'!$J$5:$AK$14,MATCH($E47,'BY-Demands'!$I$5:$I$14,0),FALSE)*HLOOKUP(REG_TRA_DEMANDS!$F47,DEMANDS!$G$2:$CK$25,MATCH($E47,DEMANDS!$E$2:$E$25,0),FALSE)/HLOOKUP(2018,DEMANDS!$G$2:$CK$25,MATCH($E47,DEMANDS!$E$2:$E$25,0),FALSE)</f>
        <v>0.90505576721607961</v>
      </c>
      <c r="N47" s="18">
        <f>HLOOKUP(REG_TRA_DEMANDS!N$3,'BY-Demands'!$J$5:$AK$14,MATCH($E47,'BY-Demands'!$I$5:$I$14,0),FALSE)*HLOOKUP(REG_TRA_DEMANDS!$F47,DEMANDS!$G$2:$CK$25,MATCH($E47,DEMANDS!$E$2:$E$25,0),FALSE)/HLOOKUP(2018,DEMANDS!$G$2:$CK$25,MATCH($E47,DEMANDS!$E$2:$E$25,0),FALSE)</f>
        <v>1.571280266348194</v>
      </c>
      <c r="O47" s="18">
        <f>HLOOKUP(REG_TRA_DEMANDS!O$3,'BY-Demands'!$J$5:$AK$14,MATCH($E47,'BY-Demands'!$I$5:$I$14,0),FALSE)*HLOOKUP(REG_TRA_DEMANDS!$F47,DEMANDS!$G$2:$CK$25,MATCH($E47,DEMANDS!$E$2:$E$25,0),FALSE)/HLOOKUP(2018,DEMANDS!$G$2:$CK$25,MATCH($E47,DEMANDS!$E$2:$E$25,0),FALSE)</f>
        <v>0.66589399494300383</v>
      </c>
      <c r="P47" s="18">
        <f>HLOOKUP(REG_TRA_DEMANDS!P$3,'BY-Demands'!$J$5:$AK$14,MATCH($E47,'BY-Demands'!$I$5:$I$14,0),FALSE)*HLOOKUP(REG_TRA_DEMANDS!$F47,DEMANDS!$G$2:$CK$25,MATCH($E47,DEMANDS!$E$2:$E$25,0),FALSE)/HLOOKUP(2018,DEMANDS!$G$2:$CK$25,MATCH($E47,DEMANDS!$E$2:$E$25,0),FALSE)</f>
        <v>0.75169270285216827</v>
      </c>
      <c r="Q47" s="18">
        <f>HLOOKUP(REG_TRA_DEMANDS!Q$3,'BY-Demands'!$J$5:$AK$14,MATCH($E47,'BY-Demands'!$I$5:$I$14,0),FALSE)*HLOOKUP(REG_TRA_DEMANDS!$F47,DEMANDS!$G$2:$CK$25,MATCH($E47,DEMANDS!$E$2:$E$25,0),FALSE)/HLOOKUP(2018,DEMANDS!$G$2:$CK$25,MATCH($E47,DEMANDS!$E$2:$E$25,0),FALSE)</f>
        <v>1.3331466737336664</v>
      </c>
      <c r="R47" s="18">
        <f>HLOOKUP(REG_TRA_DEMANDS!R$3,'BY-Demands'!$J$5:$AK$14,MATCH($E47,'BY-Demands'!$I$5:$I$14,0),FALSE)*HLOOKUP(REG_TRA_DEMANDS!$F47,DEMANDS!$G$2:$CK$25,MATCH($E47,DEMANDS!$E$2:$E$25,0),FALSE)/HLOOKUP(2018,DEMANDS!$G$2:$CK$25,MATCH($E47,DEMANDS!$E$2:$E$25,0),FALSE)</f>
        <v>1.131292856955282</v>
      </c>
      <c r="S47" s="18">
        <f>HLOOKUP(REG_TRA_DEMANDS!S$3,'BY-Demands'!$J$5:$AK$14,MATCH($E47,'BY-Demands'!$I$5:$I$14,0),FALSE)*HLOOKUP(REG_TRA_DEMANDS!$F47,DEMANDS!$G$2:$CK$25,MATCH($E47,DEMANDS!$E$2:$E$25,0),FALSE)/HLOOKUP(2018,DEMANDS!$G$2:$CK$25,MATCH($E47,DEMANDS!$E$2:$E$25,0),FALSE)</f>
        <v>1.0260263416844224</v>
      </c>
      <c r="T47" s="18">
        <f>HLOOKUP(REG_TRA_DEMANDS!T$3,'BY-Demands'!$J$5:$AK$14,MATCH($E47,'BY-Demands'!$I$5:$I$14,0),FALSE)*HLOOKUP(REG_TRA_DEMANDS!$F47,DEMANDS!$G$2:$CK$25,MATCH($E47,DEMANDS!$E$2:$E$25,0),FALSE)/HLOOKUP(2018,DEMANDS!$G$2:$CK$25,MATCH($E47,DEMANDS!$E$2:$E$25,0),FALSE)</f>
        <v>4.1464944280104534</v>
      </c>
      <c r="U47" s="18">
        <f>HLOOKUP(REG_TRA_DEMANDS!U$3,'BY-Demands'!$J$5:$AK$14,MATCH($E47,'BY-Demands'!$I$5:$I$14,0),FALSE)*HLOOKUP(REG_TRA_DEMANDS!$F47,DEMANDS!$G$2:$CK$25,MATCH($E47,DEMANDS!$E$2:$E$25,0),FALSE)/HLOOKUP(2018,DEMANDS!$G$2:$CK$25,MATCH($E47,DEMANDS!$E$2:$E$25,0),FALSE)</f>
        <v>1.3571465113588053</v>
      </c>
      <c r="V47" s="18">
        <f>HLOOKUP(REG_TRA_DEMANDS!V$3,'BY-Demands'!$J$5:$AK$14,MATCH($E47,'BY-Demands'!$I$5:$I$14,0),FALSE)*HLOOKUP(REG_TRA_DEMANDS!$F47,DEMANDS!$G$2:$CK$25,MATCH($E47,DEMANDS!$E$2:$E$25,0),FALSE)/HLOOKUP(2018,DEMANDS!$G$2:$CK$25,MATCH($E47,DEMANDS!$E$2:$E$25,0),FALSE)</f>
        <v>1.5284961927214722</v>
      </c>
      <c r="W47" s="18">
        <f>HLOOKUP(REG_TRA_DEMANDS!W$3,'BY-Demands'!$J$5:$AK$14,MATCH($E47,'BY-Demands'!$I$5:$I$14,0),FALSE)*HLOOKUP(REG_TRA_DEMANDS!$F47,DEMANDS!$G$2:$CK$25,MATCH($E47,DEMANDS!$E$2:$E$25,0),FALSE)/HLOOKUP(2018,DEMANDS!$G$2:$CK$25,MATCH($E47,DEMANDS!$E$2:$E$25,0),FALSE)</f>
        <v>1.4824602046092445</v>
      </c>
      <c r="X47" s="18">
        <f>HLOOKUP(REG_TRA_DEMANDS!X$3,'BY-Demands'!$J$5:$AK$14,MATCH($E47,'BY-Demands'!$I$5:$I$14,0),FALSE)*HLOOKUP(REG_TRA_DEMANDS!$F47,DEMANDS!$G$2:$CK$25,MATCH($E47,DEMANDS!$E$2:$E$25,0),FALSE)/HLOOKUP(2018,DEMANDS!$G$2:$CK$25,MATCH($E47,DEMANDS!$E$2:$E$25,0),FALSE)</f>
        <v>0.93525006983648895</v>
      </c>
      <c r="Y47" s="18">
        <f>HLOOKUP(REG_TRA_DEMANDS!Y$3,'BY-Demands'!$J$5:$AK$14,MATCH($E47,'BY-Demands'!$I$5:$I$14,0),FALSE)*HLOOKUP(REG_TRA_DEMANDS!$F47,DEMANDS!$G$2:$CK$25,MATCH($E47,DEMANDS!$E$2:$E$25,0),FALSE)/HLOOKUP(2018,DEMANDS!$G$2:$CK$25,MATCH($E47,DEMANDS!$E$2:$E$25,0),FALSE)</f>
        <v>2.0939686207343033</v>
      </c>
      <c r="Z47" s="18">
        <f>HLOOKUP(REG_TRA_DEMANDS!Z$3,'BY-Demands'!$J$5:$AK$14,MATCH($E47,'BY-Demands'!$I$5:$I$14,0),FALSE)*HLOOKUP(REG_TRA_DEMANDS!$F47,DEMANDS!$G$2:$CK$25,MATCH($E47,DEMANDS!$E$2:$E$25,0),FALSE)/HLOOKUP(2018,DEMANDS!$G$2:$CK$25,MATCH($E47,DEMANDS!$E$2:$E$25,0),FALSE)</f>
        <v>0.27444014868764288</v>
      </c>
      <c r="AA47" s="18">
        <f>HLOOKUP(REG_TRA_DEMANDS!AA$3,'BY-Demands'!$J$5:$AK$14,MATCH($E47,'BY-Demands'!$I$5:$I$14,0),FALSE)*HLOOKUP(REG_TRA_DEMANDS!$F47,DEMANDS!$G$2:$CK$25,MATCH($E47,DEMANDS!$E$2:$E$25,0),FALSE)/HLOOKUP(2018,DEMANDS!$G$2:$CK$25,MATCH($E47,DEMANDS!$E$2:$E$25,0),FALSE)</f>
        <v>1.1597046846613825</v>
      </c>
      <c r="AB47" s="18">
        <f>HLOOKUP(REG_TRA_DEMANDS!AB$3,'BY-Demands'!$J$5:$AK$14,MATCH($E47,'BY-Demands'!$I$5:$I$14,0),FALSE)*HLOOKUP(REG_TRA_DEMANDS!$F47,DEMANDS!$G$2:$CK$25,MATCH($E47,DEMANDS!$E$2:$E$25,0),FALSE)/HLOOKUP(2018,DEMANDS!$G$2:$CK$25,MATCH($E47,DEMANDS!$E$2:$E$25,0),FALSE)</f>
        <v>0.62442075681257292</v>
      </c>
      <c r="AC47" s="18">
        <f>HLOOKUP(REG_TRA_DEMANDS!AC$3,'BY-Demands'!$J$5:$AK$14,MATCH($E47,'BY-Demands'!$I$5:$I$14,0),FALSE)*HLOOKUP(REG_TRA_DEMANDS!$F47,DEMANDS!$G$2:$CK$25,MATCH($E47,DEMANDS!$E$2:$E$25,0),FALSE)/HLOOKUP(2018,DEMANDS!$G$2:$CK$25,MATCH($E47,DEMANDS!$E$2:$E$25,0),FALSE)</f>
        <v>0.50939946858799601</v>
      </c>
      <c r="AD47" s="18">
        <f>HLOOKUP(REG_TRA_DEMANDS!AD$3,'BY-Demands'!$J$5:$AK$14,MATCH($E47,'BY-Demands'!$I$5:$I$14,0),FALSE)*HLOOKUP(REG_TRA_DEMANDS!$F47,DEMANDS!$G$2:$CK$25,MATCH($E47,DEMANDS!$E$2:$E$25,0),FALSE)/HLOOKUP(2018,DEMANDS!$G$2:$CK$25,MATCH($E47,DEMANDS!$E$2:$E$25,0),FALSE)</f>
        <v>0.55349922520230421</v>
      </c>
      <c r="AE47" s="18">
        <f>HLOOKUP(REG_TRA_DEMANDS!AE$3,'BY-Demands'!$J$5:$AK$14,MATCH($E47,'BY-Demands'!$I$5:$I$14,0),FALSE)*HLOOKUP(REG_TRA_DEMANDS!$F47,DEMANDS!$G$2:$CK$25,MATCH($E47,DEMANDS!$E$2:$E$25,0),FALSE)/HLOOKUP(2018,DEMANDS!$G$2:$CK$25,MATCH($E47,DEMANDS!$E$2:$E$25,0),FALSE)</f>
        <v>1.0193583713364054</v>
      </c>
      <c r="AF47" s="18">
        <f>HLOOKUP(REG_TRA_DEMANDS!AF$3,'BY-Demands'!$J$5:$AK$14,MATCH($E47,'BY-Demands'!$I$5:$I$14,0),FALSE)*HLOOKUP(REG_TRA_DEMANDS!$F47,DEMANDS!$G$2:$CK$25,MATCH($E47,DEMANDS!$E$2:$E$25,0),FALSE)/HLOOKUP(2018,DEMANDS!$G$2:$CK$25,MATCH($E47,DEMANDS!$E$2:$E$25,0),FALSE)</f>
        <v>0.56060845423791061</v>
      </c>
    </row>
    <row r="48" spans="4:32" ht="14.4">
      <c r="D48" t="s">
        <v>6</v>
      </c>
      <c r="E48" t="str">
        <f>DEMANDS!$E$18</f>
        <v>TRAPM</v>
      </c>
      <c r="F48">
        <v>2037</v>
      </c>
      <c r="G48" s="18">
        <f>HLOOKUP(REG_TRA_DEMANDS!G$3,'BY-Demands'!$J$5:$AK$14,MATCH($E48,'BY-Demands'!$I$5:$I$14,0),FALSE)*HLOOKUP(REG_TRA_DEMANDS!$F48,DEMANDS!$G$2:$CK$25,MATCH($E48,DEMANDS!$E$2:$E$25,0),FALSE)/HLOOKUP(2018,DEMANDS!$G$2:$CK$25,MATCH($E48,DEMANDS!$E$2:$E$25,0),FALSE)</f>
        <v>0.51952912455917688</v>
      </c>
      <c r="H48" s="18">
        <f>HLOOKUP(REG_TRA_DEMANDS!H$3,'BY-Demands'!$J$5:$AK$14,MATCH($E48,'BY-Demands'!$I$5:$I$14,0),FALSE)*HLOOKUP(REG_TRA_DEMANDS!$F48,DEMANDS!$G$2:$CK$25,MATCH($E48,DEMANDS!$E$2:$E$25,0),FALSE)/HLOOKUP(2018,DEMANDS!$G$2:$CK$25,MATCH($E48,DEMANDS!$E$2:$E$25,0),FALSE)</f>
        <v>9.0980897770768738</v>
      </c>
      <c r="I48" s="18">
        <f>HLOOKUP(REG_TRA_DEMANDS!I$3,'BY-Demands'!$J$5:$AK$14,MATCH($E48,'BY-Demands'!$I$5:$I$14,0),FALSE)*HLOOKUP(REG_TRA_DEMANDS!$F48,DEMANDS!$G$2:$CK$25,MATCH($E48,DEMANDS!$E$2:$E$25,0),FALSE)/HLOOKUP(2018,DEMANDS!$G$2:$CK$25,MATCH($E48,DEMANDS!$E$2:$E$25,0),FALSE)</f>
        <v>1.8526605745015154</v>
      </c>
      <c r="J48" s="18">
        <f>HLOOKUP(REG_TRA_DEMANDS!J$3,'BY-Demands'!$J$5:$AK$14,MATCH($E48,'BY-Demands'!$I$5:$I$14,0),FALSE)*HLOOKUP(REG_TRA_DEMANDS!$F48,DEMANDS!$G$2:$CK$25,MATCH($E48,DEMANDS!$E$2:$E$25,0),FALSE)/HLOOKUP(2018,DEMANDS!$G$2:$CK$25,MATCH($E48,DEMANDS!$E$2:$E$25,0),FALSE)</f>
        <v>0.87986449996915095</v>
      </c>
      <c r="K48" s="18">
        <f>HLOOKUP(REG_TRA_DEMANDS!K$3,'BY-Demands'!$J$5:$AK$14,MATCH($E48,'BY-Demands'!$I$5:$I$14,0),FALSE)*HLOOKUP(REG_TRA_DEMANDS!$F48,DEMANDS!$G$2:$CK$25,MATCH($E48,DEMANDS!$E$2:$E$25,0),FALSE)/HLOOKUP(2018,DEMANDS!$G$2:$CK$25,MATCH($E48,DEMANDS!$E$2:$E$25,0),FALSE)</f>
        <v>0.66197939593595789</v>
      </c>
      <c r="L48" s="18">
        <f>HLOOKUP(REG_TRA_DEMANDS!L$3,'BY-Demands'!$J$5:$AK$14,MATCH($E48,'BY-Demands'!$I$5:$I$14,0),FALSE)*HLOOKUP(REG_TRA_DEMANDS!$F48,DEMANDS!$G$2:$CK$25,MATCH($E48,DEMANDS!$E$2:$E$25,0),FALSE)/HLOOKUP(2018,DEMANDS!$G$2:$CK$25,MATCH($E48,DEMANDS!$E$2:$E$25,0),FALSE)</f>
        <v>0.34104837545391464</v>
      </c>
      <c r="M48" s="18">
        <f>HLOOKUP(REG_TRA_DEMANDS!M$3,'BY-Demands'!$J$5:$AK$14,MATCH($E48,'BY-Demands'!$I$5:$I$14,0),FALSE)*HLOOKUP(REG_TRA_DEMANDS!$F48,DEMANDS!$G$2:$CK$25,MATCH($E48,DEMANDS!$E$2:$E$25,0),FALSE)/HLOOKUP(2018,DEMANDS!$G$2:$CK$25,MATCH($E48,DEMANDS!$E$2:$E$25,0),FALSE)</f>
        <v>0.91863160372432062</v>
      </c>
      <c r="N48" s="18">
        <f>HLOOKUP(REG_TRA_DEMANDS!N$3,'BY-Demands'!$J$5:$AK$14,MATCH($E48,'BY-Demands'!$I$5:$I$14,0),FALSE)*HLOOKUP(REG_TRA_DEMANDS!$F48,DEMANDS!$G$2:$CK$25,MATCH($E48,DEMANDS!$E$2:$E$25,0),FALSE)/HLOOKUP(2018,DEMANDS!$G$2:$CK$25,MATCH($E48,DEMANDS!$E$2:$E$25,0),FALSE)</f>
        <v>1.5948494703434166</v>
      </c>
      <c r="O48" s="18">
        <f>HLOOKUP(REG_TRA_DEMANDS!O$3,'BY-Demands'!$J$5:$AK$14,MATCH($E48,'BY-Demands'!$I$5:$I$14,0),FALSE)*HLOOKUP(REG_TRA_DEMANDS!$F48,DEMANDS!$G$2:$CK$25,MATCH($E48,DEMANDS!$E$2:$E$25,0),FALSE)/HLOOKUP(2018,DEMANDS!$G$2:$CK$25,MATCH($E48,DEMANDS!$E$2:$E$25,0),FALSE)</f>
        <v>0.67588240486714879</v>
      </c>
      <c r="P48" s="18">
        <f>HLOOKUP(REG_TRA_DEMANDS!P$3,'BY-Demands'!$J$5:$AK$14,MATCH($E48,'BY-Demands'!$I$5:$I$14,0),FALSE)*HLOOKUP(REG_TRA_DEMANDS!$F48,DEMANDS!$G$2:$CK$25,MATCH($E48,DEMANDS!$E$2:$E$25,0),FALSE)/HLOOKUP(2018,DEMANDS!$G$2:$CK$25,MATCH($E48,DEMANDS!$E$2:$E$25,0),FALSE)</f>
        <v>0.76296809339495064</v>
      </c>
      <c r="Q48" s="18">
        <f>HLOOKUP(REG_TRA_DEMANDS!Q$3,'BY-Demands'!$J$5:$AK$14,MATCH($E48,'BY-Demands'!$I$5:$I$14,0),FALSE)*HLOOKUP(REG_TRA_DEMANDS!$F48,DEMANDS!$G$2:$CK$25,MATCH($E48,DEMANDS!$E$2:$E$25,0),FALSE)/HLOOKUP(2018,DEMANDS!$G$2:$CK$25,MATCH($E48,DEMANDS!$E$2:$E$25,0),FALSE)</f>
        <v>1.3531438738396713</v>
      </c>
      <c r="R48" s="18">
        <f>HLOOKUP(REG_TRA_DEMANDS!R$3,'BY-Demands'!$J$5:$AK$14,MATCH($E48,'BY-Demands'!$I$5:$I$14,0),FALSE)*HLOOKUP(REG_TRA_DEMANDS!$F48,DEMANDS!$G$2:$CK$25,MATCH($E48,DEMANDS!$E$2:$E$25,0),FALSE)/HLOOKUP(2018,DEMANDS!$G$2:$CK$25,MATCH($E48,DEMANDS!$E$2:$E$25,0),FALSE)</f>
        <v>1.1482622498096109</v>
      </c>
      <c r="S48" s="18">
        <f>HLOOKUP(REG_TRA_DEMANDS!S$3,'BY-Demands'!$J$5:$AK$14,MATCH($E48,'BY-Demands'!$I$5:$I$14,0),FALSE)*HLOOKUP(REG_TRA_DEMANDS!$F48,DEMANDS!$G$2:$CK$25,MATCH($E48,DEMANDS!$E$2:$E$25,0),FALSE)/HLOOKUP(2018,DEMANDS!$G$2:$CK$25,MATCH($E48,DEMANDS!$E$2:$E$25,0),FALSE)</f>
        <v>1.0414167368096885</v>
      </c>
      <c r="T48" s="18">
        <f>HLOOKUP(REG_TRA_DEMANDS!T$3,'BY-Demands'!$J$5:$AK$14,MATCH($E48,'BY-Demands'!$I$5:$I$14,0),FALSE)*HLOOKUP(REG_TRA_DEMANDS!$F48,DEMANDS!$G$2:$CK$25,MATCH($E48,DEMANDS!$E$2:$E$25,0),FALSE)/HLOOKUP(2018,DEMANDS!$G$2:$CK$25,MATCH($E48,DEMANDS!$E$2:$E$25,0),FALSE)</f>
        <v>4.2086918444306098</v>
      </c>
      <c r="U48" s="18">
        <f>HLOOKUP(REG_TRA_DEMANDS!U$3,'BY-Demands'!$J$5:$AK$14,MATCH($E48,'BY-Demands'!$I$5:$I$14,0),FALSE)*HLOOKUP(REG_TRA_DEMANDS!$F48,DEMANDS!$G$2:$CK$25,MATCH($E48,DEMANDS!$E$2:$E$25,0),FALSE)/HLOOKUP(2018,DEMANDS!$G$2:$CK$25,MATCH($E48,DEMANDS!$E$2:$E$25,0),FALSE)</f>
        <v>1.3775037090291873</v>
      </c>
      <c r="V48" s="18">
        <f>HLOOKUP(REG_TRA_DEMANDS!V$3,'BY-Demands'!$J$5:$AK$14,MATCH($E48,'BY-Demands'!$I$5:$I$14,0),FALSE)*HLOOKUP(REG_TRA_DEMANDS!$F48,DEMANDS!$G$2:$CK$25,MATCH($E48,DEMANDS!$E$2:$E$25,0),FALSE)/HLOOKUP(2018,DEMANDS!$G$2:$CK$25,MATCH($E48,DEMANDS!$E$2:$E$25,0),FALSE)</f>
        <v>1.5514236356122941</v>
      </c>
      <c r="W48" s="18">
        <f>HLOOKUP(REG_TRA_DEMANDS!W$3,'BY-Demands'!$J$5:$AK$14,MATCH($E48,'BY-Demands'!$I$5:$I$14,0),FALSE)*HLOOKUP(REG_TRA_DEMANDS!$F48,DEMANDS!$G$2:$CK$25,MATCH($E48,DEMANDS!$E$2:$E$25,0),FALSE)/HLOOKUP(2018,DEMANDS!$G$2:$CK$25,MATCH($E48,DEMANDS!$E$2:$E$25,0),FALSE)</f>
        <v>1.5046971076783833</v>
      </c>
      <c r="X48" s="18">
        <f>HLOOKUP(REG_TRA_DEMANDS!X$3,'BY-Demands'!$J$5:$AK$14,MATCH($E48,'BY-Demands'!$I$5:$I$14,0),FALSE)*HLOOKUP(REG_TRA_DEMANDS!$F48,DEMANDS!$G$2:$CK$25,MATCH($E48,DEMANDS!$E$2:$E$25,0),FALSE)/HLOOKUP(2018,DEMANDS!$G$2:$CK$25,MATCH($E48,DEMANDS!$E$2:$E$25,0),FALSE)</f>
        <v>0.94927882088403603</v>
      </c>
      <c r="Y48" s="18">
        <f>HLOOKUP(REG_TRA_DEMANDS!Y$3,'BY-Demands'!$J$5:$AK$14,MATCH($E48,'BY-Demands'!$I$5:$I$14,0),FALSE)*HLOOKUP(REG_TRA_DEMANDS!$F48,DEMANDS!$G$2:$CK$25,MATCH($E48,DEMANDS!$E$2:$E$25,0),FALSE)/HLOOKUP(2018,DEMANDS!$G$2:$CK$25,MATCH($E48,DEMANDS!$E$2:$E$25,0),FALSE)</f>
        <v>2.1253781500453175</v>
      </c>
      <c r="Z48" s="18">
        <f>HLOOKUP(REG_TRA_DEMANDS!Z$3,'BY-Demands'!$J$5:$AK$14,MATCH($E48,'BY-Demands'!$I$5:$I$14,0),FALSE)*HLOOKUP(REG_TRA_DEMANDS!$F48,DEMANDS!$G$2:$CK$25,MATCH($E48,DEMANDS!$E$2:$E$25,0),FALSE)/HLOOKUP(2018,DEMANDS!$G$2:$CK$25,MATCH($E48,DEMANDS!$E$2:$E$25,0),FALSE)</f>
        <v>0.27855675091795751</v>
      </c>
      <c r="AA48" s="18">
        <f>HLOOKUP(REG_TRA_DEMANDS!AA$3,'BY-Demands'!$J$5:$AK$14,MATCH($E48,'BY-Demands'!$I$5:$I$14,0),FALSE)*HLOOKUP(REG_TRA_DEMANDS!$F48,DEMANDS!$G$2:$CK$25,MATCH($E48,DEMANDS!$E$2:$E$25,0),FALSE)/HLOOKUP(2018,DEMANDS!$G$2:$CK$25,MATCH($E48,DEMANDS!$E$2:$E$25,0),FALSE)</f>
        <v>1.177100254931303</v>
      </c>
      <c r="AB48" s="18">
        <f>HLOOKUP(REG_TRA_DEMANDS!AB$3,'BY-Demands'!$J$5:$AK$14,MATCH($E48,'BY-Demands'!$I$5:$I$14,0),FALSE)*HLOOKUP(REG_TRA_DEMANDS!$F48,DEMANDS!$G$2:$CK$25,MATCH($E48,DEMANDS!$E$2:$E$25,0),FALSE)/HLOOKUP(2018,DEMANDS!$G$2:$CK$25,MATCH($E48,DEMANDS!$E$2:$E$25,0),FALSE)</f>
        <v>0.63378706816476138</v>
      </c>
      <c r="AC48" s="18">
        <f>HLOOKUP(REG_TRA_DEMANDS!AC$3,'BY-Demands'!$J$5:$AK$14,MATCH($E48,'BY-Demands'!$I$5:$I$14,0),FALSE)*HLOOKUP(REG_TRA_DEMANDS!$F48,DEMANDS!$G$2:$CK$25,MATCH($E48,DEMANDS!$E$2:$E$25,0),FALSE)/HLOOKUP(2018,DEMANDS!$G$2:$CK$25,MATCH($E48,DEMANDS!$E$2:$E$25,0),FALSE)</f>
        <v>0.51704046061681597</v>
      </c>
      <c r="AD48" s="18">
        <f>HLOOKUP(REG_TRA_DEMANDS!AD$3,'BY-Demands'!$J$5:$AK$14,MATCH($E48,'BY-Demands'!$I$5:$I$14,0),FALSE)*HLOOKUP(REG_TRA_DEMANDS!$F48,DEMANDS!$G$2:$CK$25,MATCH($E48,DEMANDS!$E$2:$E$25,0),FALSE)/HLOOKUP(2018,DEMANDS!$G$2:$CK$25,MATCH($E48,DEMANDS!$E$2:$E$25,0),FALSE)</f>
        <v>0.5618017135803387</v>
      </c>
      <c r="AE48" s="18">
        <f>HLOOKUP(REG_TRA_DEMANDS!AE$3,'BY-Demands'!$J$5:$AK$14,MATCH($E48,'BY-Demands'!$I$5:$I$14,0),FALSE)*HLOOKUP(REG_TRA_DEMANDS!$F48,DEMANDS!$G$2:$CK$25,MATCH($E48,DEMANDS!$E$2:$E$25,0),FALSE)/HLOOKUP(2018,DEMANDS!$G$2:$CK$25,MATCH($E48,DEMANDS!$E$2:$E$25,0),FALSE)</f>
        <v>1.0346487469064511</v>
      </c>
      <c r="AF48" s="18">
        <f>HLOOKUP(REG_TRA_DEMANDS!AF$3,'BY-Demands'!$J$5:$AK$14,MATCH($E48,'BY-Demands'!$I$5:$I$14,0),FALSE)*HLOOKUP(REG_TRA_DEMANDS!$F48,DEMANDS!$G$2:$CK$25,MATCH($E48,DEMANDS!$E$2:$E$25,0),FALSE)/HLOOKUP(2018,DEMANDS!$G$2:$CK$25,MATCH($E48,DEMANDS!$E$2:$E$25,0),FALSE)</f>
        <v>0.56901758105147915</v>
      </c>
    </row>
    <row r="49" spans="4:32" ht="14.4">
      <c r="D49" t="s">
        <v>6</v>
      </c>
      <c r="E49" t="str">
        <f>DEMANDS!$E$18</f>
        <v>TRAPM</v>
      </c>
      <c r="F49">
        <v>2038</v>
      </c>
      <c r="G49" s="18">
        <f>HLOOKUP(REG_TRA_DEMANDS!G$3,'BY-Demands'!$J$5:$AK$14,MATCH($E49,'BY-Demands'!$I$5:$I$14,0),FALSE)*HLOOKUP(REG_TRA_DEMANDS!$F49,DEMANDS!$G$2:$CK$25,MATCH($E49,DEMANDS!$E$2:$E$25,0),FALSE)/HLOOKUP(2018,DEMANDS!$G$2:$CK$25,MATCH($E49,DEMANDS!$E$2:$E$25,0),FALSE)</f>
        <v>0.52732206142756444</v>
      </c>
      <c r="H49" s="18">
        <f>HLOOKUP(REG_TRA_DEMANDS!H$3,'BY-Demands'!$J$5:$AK$14,MATCH($E49,'BY-Demands'!$I$5:$I$14,0),FALSE)*HLOOKUP(REG_TRA_DEMANDS!$F49,DEMANDS!$G$2:$CK$25,MATCH($E49,DEMANDS!$E$2:$E$25,0),FALSE)/HLOOKUP(2018,DEMANDS!$G$2:$CK$25,MATCH($E49,DEMANDS!$E$2:$E$25,0),FALSE)</f>
        <v>9.234561123733025</v>
      </c>
      <c r="I49" s="18">
        <f>HLOOKUP(REG_TRA_DEMANDS!I$3,'BY-Demands'!$J$5:$AK$14,MATCH($E49,'BY-Demands'!$I$5:$I$14,0),FALSE)*HLOOKUP(REG_TRA_DEMANDS!$F49,DEMANDS!$G$2:$CK$25,MATCH($E49,DEMANDS!$E$2:$E$25,0),FALSE)/HLOOKUP(2018,DEMANDS!$G$2:$CK$25,MATCH($E49,DEMANDS!$E$2:$E$25,0),FALSE)</f>
        <v>1.8804504831190381</v>
      </c>
      <c r="J49" s="18">
        <f>HLOOKUP(REG_TRA_DEMANDS!J$3,'BY-Demands'!$J$5:$AK$14,MATCH($E49,'BY-Demands'!$I$5:$I$14,0),FALSE)*HLOOKUP(REG_TRA_DEMANDS!$F49,DEMANDS!$G$2:$CK$25,MATCH($E49,DEMANDS!$E$2:$E$25,0),FALSE)/HLOOKUP(2018,DEMANDS!$G$2:$CK$25,MATCH($E49,DEMANDS!$E$2:$E$25,0),FALSE)</f>
        <v>0.89306246746868823</v>
      </c>
      <c r="K49" s="18">
        <f>HLOOKUP(REG_TRA_DEMANDS!K$3,'BY-Demands'!$J$5:$AK$14,MATCH($E49,'BY-Demands'!$I$5:$I$14,0),FALSE)*HLOOKUP(REG_TRA_DEMANDS!$F49,DEMANDS!$G$2:$CK$25,MATCH($E49,DEMANDS!$E$2:$E$25,0),FALSE)/HLOOKUP(2018,DEMANDS!$G$2:$CK$25,MATCH($E49,DEMANDS!$E$2:$E$25,0),FALSE)</f>
        <v>0.67190908687499717</v>
      </c>
      <c r="L49" s="18">
        <f>HLOOKUP(REG_TRA_DEMANDS!L$3,'BY-Demands'!$J$5:$AK$14,MATCH($E49,'BY-Demands'!$I$5:$I$14,0),FALSE)*HLOOKUP(REG_TRA_DEMANDS!$F49,DEMANDS!$G$2:$CK$25,MATCH($E49,DEMANDS!$E$2:$E$25,0),FALSE)/HLOOKUP(2018,DEMANDS!$G$2:$CK$25,MATCH($E49,DEMANDS!$E$2:$E$25,0),FALSE)</f>
        <v>0.34616410108572337</v>
      </c>
      <c r="M49" s="18">
        <f>HLOOKUP(REG_TRA_DEMANDS!M$3,'BY-Demands'!$J$5:$AK$14,MATCH($E49,'BY-Demands'!$I$5:$I$14,0),FALSE)*HLOOKUP(REG_TRA_DEMANDS!$F49,DEMANDS!$G$2:$CK$25,MATCH($E49,DEMANDS!$E$2:$E$25,0),FALSE)/HLOOKUP(2018,DEMANDS!$G$2:$CK$25,MATCH($E49,DEMANDS!$E$2:$E$25,0),FALSE)</f>
        <v>0.93241107778018539</v>
      </c>
      <c r="N49" s="18">
        <f>HLOOKUP(REG_TRA_DEMANDS!N$3,'BY-Demands'!$J$5:$AK$14,MATCH($E49,'BY-Demands'!$I$5:$I$14,0),FALSE)*HLOOKUP(REG_TRA_DEMANDS!$F49,DEMANDS!$G$2:$CK$25,MATCH($E49,DEMANDS!$E$2:$E$25,0),FALSE)/HLOOKUP(2018,DEMANDS!$G$2:$CK$25,MATCH($E49,DEMANDS!$E$2:$E$25,0),FALSE)</f>
        <v>1.6187722123985677</v>
      </c>
      <c r="O49" s="18">
        <f>HLOOKUP(REG_TRA_DEMANDS!O$3,'BY-Demands'!$J$5:$AK$14,MATCH($E49,'BY-Demands'!$I$5:$I$14,0),FALSE)*HLOOKUP(REG_TRA_DEMANDS!$F49,DEMANDS!$G$2:$CK$25,MATCH($E49,DEMANDS!$E$2:$E$25,0),FALSE)/HLOOKUP(2018,DEMANDS!$G$2:$CK$25,MATCH($E49,DEMANDS!$E$2:$E$25,0),FALSE)</f>
        <v>0.68602064094015591</v>
      </c>
      <c r="P49" s="18">
        <f>HLOOKUP(REG_TRA_DEMANDS!P$3,'BY-Demands'!$J$5:$AK$14,MATCH($E49,'BY-Demands'!$I$5:$I$14,0),FALSE)*HLOOKUP(REG_TRA_DEMANDS!$F49,DEMANDS!$G$2:$CK$25,MATCH($E49,DEMANDS!$E$2:$E$25,0),FALSE)/HLOOKUP(2018,DEMANDS!$G$2:$CK$25,MATCH($E49,DEMANDS!$E$2:$E$25,0),FALSE)</f>
        <v>0.77441261479587487</v>
      </c>
      <c r="Q49" s="18">
        <f>HLOOKUP(REG_TRA_DEMANDS!Q$3,'BY-Demands'!$J$5:$AK$14,MATCH($E49,'BY-Demands'!$I$5:$I$14,0),FALSE)*HLOOKUP(REG_TRA_DEMANDS!$F49,DEMANDS!$G$2:$CK$25,MATCH($E49,DEMANDS!$E$2:$E$25,0),FALSE)/HLOOKUP(2018,DEMANDS!$G$2:$CK$25,MATCH($E49,DEMANDS!$E$2:$E$25,0),FALSE)</f>
        <v>1.3734410319472663</v>
      </c>
      <c r="R49" s="18">
        <f>HLOOKUP(REG_TRA_DEMANDS!R$3,'BY-Demands'!$J$5:$AK$14,MATCH($E49,'BY-Demands'!$I$5:$I$14,0),FALSE)*HLOOKUP(REG_TRA_DEMANDS!$F49,DEMANDS!$G$2:$CK$25,MATCH($E49,DEMANDS!$E$2:$E$25,0),FALSE)/HLOOKUP(2018,DEMANDS!$G$2:$CK$25,MATCH($E49,DEMANDS!$E$2:$E$25,0),FALSE)</f>
        <v>1.1654861835567549</v>
      </c>
      <c r="S49" s="18">
        <f>HLOOKUP(REG_TRA_DEMANDS!S$3,'BY-Demands'!$J$5:$AK$14,MATCH($E49,'BY-Demands'!$I$5:$I$14,0),FALSE)*HLOOKUP(REG_TRA_DEMANDS!$F49,DEMANDS!$G$2:$CK$25,MATCH($E49,DEMANDS!$E$2:$E$25,0),FALSE)/HLOOKUP(2018,DEMANDS!$G$2:$CK$25,MATCH($E49,DEMANDS!$E$2:$E$25,0),FALSE)</f>
        <v>1.0570379878618339</v>
      </c>
      <c r="T49" s="18">
        <f>HLOOKUP(REG_TRA_DEMANDS!T$3,'BY-Demands'!$J$5:$AK$14,MATCH($E49,'BY-Demands'!$I$5:$I$14,0),FALSE)*HLOOKUP(REG_TRA_DEMANDS!$F49,DEMANDS!$G$2:$CK$25,MATCH($E49,DEMANDS!$E$2:$E$25,0),FALSE)/HLOOKUP(2018,DEMANDS!$G$2:$CK$25,MATCH($E49,DEMANDS!$E$2:$E$25,0),FALSE)</f>
        <v>4.271822222097069</v>
      </c>
      <c r="U49" s="18">
        <f>HLOOKUP(REG_TRA_DEMANDS!U$3,'BY-Demands'!$J$5:$AK$14,MATCH($E49,'BY-Demands'!$I$5:$I$14,0),FALSE)*HLOOKUP(REG_TRA_DEMANDS!$F49,DEMANDS!$G$2:$CK$25,MATCH($E49,DEMANDS!$E$2:$E$25,0),FALSE)/HLOOKUP(2018,DEMANDS!$G$2:$CK$25,MATCH($E49,DEMANDS!$E$2:$E$25,0),FALSE)</f>
        <v>1.3981662646646249</v>
      </c>
      <c r="V49" s="18">
        <f>HLOOKUP(REG_TRA_DEMANDS!V$3,'BY-Demands'!$J$5:$AK$14,MATCH($E49,'BY-Demands'!$I$5:$I$14,0),FALSE)*HLOOKUP(REG_TRA_DEMANDS!$F49,DEMANDS!$G$2:$CK$25,MATCH($E49,DEMANDS!$E$2:$E$25,0),FALSE)/HLOOKUP(2018,DEMANDS!$G$2:$CK$25,MATCH($E49,DEMANDS!$E$2:$E$25,0),FALSE)</f>
        <v>1.5746949901464784</v>
      </c>
      <c r="W49" s="18">
        <f>HLOOKUP(REG_TRA_DEMANDS!W$3,'BY-Demands'!$J$5:$AK$14,MATCH($E49,'BY-Demands'!$I$5:$I$14,0),FALSE)*HLOOKUP(REG_TRA_DEMANDS!$F49,DEMANDS!$G$2:$CK$25,MATCH($E49,DEMANDS!$E$2:$E$25,0),FALSE)/HLOOKUP(2018,DEMANDS!$G$2:$CK$25,MATCH($E49,DEMANDS!$E$2:$E$25,0),FALSE)</f>
        <v>1.5272675642935587</v>
      </c>
      <c r="X49" s="18">
        <f>HLOOKUP(REG_TRA_DEMANDS!X$3,'BY-Demands'!$J$5:$AK$14,MATCH($E49,'BY-Demands'!$I$5:$I$14,0),FALSE)*HLOOKUP(REG_TRA_DEMANDS!$F49,DEMANDS!$G$2:$CK$25,MATCH($E49,DEMANDS!$E$2:$E$25,0),FALSE)/HLOOKUP(2018,DEMANDS!$G$2:$CK$25,MATCH($E49,DEMANDS!$E$2:$E$25,0),FALSE)</f>
        <v>0.96351800319729652</v>
      </c>
      <c r="Y49" s="18">
        <f>HLOOKUP(REG_TRA_DEMANDS!Y$3,'BY-Demands'!$J$5:$AK$14,MATCH($E49,'BY-Demands'!$I$5:$I$14,0),FALSE)*HLOOKUP(REG_TRA_DEMANDS!$F49,DEMANDS!$G$2:$CK$25,MATCH($E49,DEMANDS!$E$2:$E$25,0),FALSE)/HLOOKUP(2018,DEMANDS!$G$2:$CK$25,MATCH($E49,DEMANDS!$E$2:$E$25,0),FALSE)</f>
        <v>2.1572588222959972</v>
      </c>
      <c r="Z49" s="18">
        <f>HLOOKUP(REG_TRA_DEMANDS!Z$3,'BY-Demands'!$J$5:$AK$14,MATCH($E49,'BY-Demands'!$I$5:$I$14,0),FALSE)*HLOOKUP(REG_TRA_DEMANDS!$F49,DEMANDS!$G$2:$CK$25,MATCH($E49,DEMANDS!$E$2:$E$25,0),FALSE)/HLOOKUP(2018,DEMANDS!$G$2:$CK$25,MATCH($E49,DEMANDS!$E$2:$E$25,0),FALSE)</f>
        <v>0.28273510218172682</v>
      </c>
      <c r="AA49" s="18">
        <f>HLOOKUP(REG_TRA_DEMANDS!AA$3,'BY-Demands'!$J$5:$AK$14,MATCH($E49,'BY-Demands'!$I$5:$I$14,0),FALSE)*HLOOKUP(REG_TRA_DEMANDS!$F49,DEMANDS!$G$2:$CK$25,MATCH($E49,DEMANDS!$E$2:$E$25,0),FALSE)/HLOOKUP(2018,DEMANDS!$G$2:$CK$25,MATCH($E49,DEMANDS!$E$2:$E$25,0),FALSE)</f>
        <v>1.1947567587552725</v>
      </c>
      <c r="AB49" s="18">
        <f>HLOOKUP(REG_TRA_DEMANDS!AB$3,'BY-Demands'!$J$5:$AK$14,MATCH($E49,'BY-Demands'!$I$5:$I$14,0),FALSE)*HLOOKUP(REG_TRA_DEMANDS!$F49,DEMANDS!$G$2:$CK$25,MATCH($E49,DEMANDS!$E$2:$E$25,0),FALSE)/HLOOKUP(2018,DEMANDS!$G$2:$CK$25,MATCH($E49,DEMANDS!$E$2:$E$25,0),FALSE)</f>
        <v>0.64329387418723283</v>
      </c>
      <c r="AC49" s="18">
        <f>HLOOKUP(REG_TRA_DEMANDS!AC$3,'BY-Demands'!$J$5:$AK$14,MATCH($E49,'BY-Demands'!$I$5:$I$14,0),FALSE)*HLOOKUP(REG_TRA_DEMANDS!$F49,DEMANDS!$G$2:$CK$25,MATCH($E49,DEMANDS!$E$2:$E$25,0),FALSE)/HLOOKUP(2018,DEMANDS!$G$2:$CK$25,MATCH($E49,DEMANDS!$E$2:$E$25,0),FALSE)</f>
        <v>0.52479606752606811</v>
      </c>
      <c r="AD49" s="18">
        <f>HLOOKUP(REG_TRA_DEMANDS!AD$3,'BY-Demands'!$J$5:$AK$14,MATCH($E49,'BY-Demands'!$I$5:$I$14,0),FALSE)*HLOOKUP(REG_TRA_DEMANDS!$F49,DEMANDS!$G$2:$CK$25,MATCH($E49,DEMANDS!$E$2:$E$25,0),FALSE)/HLOOKUP(2018,DEMANDS!$G$2:$CK$25,MATCH($E49,DEMANDS!$E$2:$E$25,0),FALSE)</f>
        <v>0.57022873928404372</v>
      </c>
      <c r="AE49" s="18">
        <f>HLOOKUP(REG_TRA_DEMANDS!AE$3,'BY-Demands'!$J$5:$AK$14,MATCH($E49,'BY-Demands'!$I$5:$I$14,0),FALSE)*HLOOKUP(REG_TRA_DEMANDS!$F49,DEMANDS!$G$2:$CK$25,MATCH($E49,DEMANDS!$E$2:$E$25,0),FALSE)/HLOOKUP(2018,DEMANDS!$G$2:$CK$25,MATCH($E49,DEMANDS!$E$2:$E$25,0),FALSE)</f>
        <v>1.050168478110048</v>
      </c>
      <c r="AF49" s="18">
        <f>HLOOKUP(REG_TRA_DEMANDS!AF$3,'BY-Demands'!$J$5:$AK$14,MATCH($E49,'BY-Demands'!$I$5:$I$14,0),FALSE)*HLOOKUP(REG_TRA_DEMANDS!$F49,DEMANDS!$G$2:$CK$25,MATCH($E49,DEMANDS!$E$2:$E$25,0),FALSE)/HLOOKUP(2018,DEMANDS!$G$2:$CK$25,MATCH($E49,DEMANDS!$E$2:$E$25,0),FALSE)</f>
        <v>0.57755284476725133</v>
      </c>
    </row>
    <row r="50" spans="4:32" ht="14.4">
      <c r="D50" t="s">
        <v>6</v>
      </c>
      <c r="E50" t="str">
        <f>DEMANDS!$E$18</f>
        <v>TRAPM</v>
      </c>
      <c r="F50">
        <v>2039</v>
      </c>
      <c r="G50" s="18">
        <f>HLOOKUP(REG_TRA_DEMANDS!G$3,'BY-Demands'!$J$5:$AK$14,MATCH($E50,'BY-Demands'!$I$5:$I$14,0),FALSE)*HLOOKUP(REG_TRA_DEMANDS!$F50,DEMANDS!$G$2:$CK$25,MATCH($E50,DEMANDS!$E$2:$E$25,0),FALSE)/HLOOKUP(2018,DEMANDS!$G$2:$CK$25,MATCH($E50,DEMANDS!$E$2:$E$25,0),FALSE)</f>
        <v>0.53523189234897783</v>
      </c>
      <c r="H50" s="18">
        <f>HLOOKUP(REG_TRA_DEMANDS!H$3,'BY-Demands'!$J$5:$AK$14,MATCH($E50,'BY-Demands'!$I$5:$I$14,0),FALSE)*HLOOKUP(REG_TRA_DEMANDS!$F50,DEMANDS!$G$2:$CK$25,MATCH($E50,DEMANDS!$E$2:$E$25,0),FALSE)/HLOOKUP(2018,DEMANDS!$G$2:$CK$25,MATCH($E50,DEMANDS!$E$2:$E$25,0),FALSE)</f>
        <v>9.3730795405890195</v>
      </c>
      <c r="I50" s="18">
        <f>HLOOKUP(REG_TRA_DEMANDS!I$3,'BY-Demands'!$J$5:$AK$14,MATCH($E50,'BY-Demands'!$I$5:$I$14,0),FALSE)*HLOOKUP(REG_TRA_DEMANDS!$F50,DEMANDS!$G$2:$CK$25,MATCH($E50,DEMANDS!$E$2:$E$25,0),FALSE)/HLOOKUP(2018,DEMANDS!$G$2:$CK$25,MATCH($E50,DEMANDS!$E$2:$E$25,0),FALSE)</f>
        <v>1.9086572403658233</v>
      </c>
      <c r="J50" s="18">
        <f>HLOOKUP(REG_TRA_DEMANDS!J$3,'BY-Demands'!$J$5:$AK$14,MATCH($E50,'BY-Demands'!$I$5:$I$14,0),FALSE)*HLOOKUP(REG_TRA_DEMANDS!$F50,DEMANDS!$G$2:$CK$25,MATCH($E50,DEMANDS!$E$2:$E$25,0),FALSE)/HLOOKUP(2018,DEMANDS!$G$2:$CK$25,MATCH($E50,DEMANDS!$E$2:$E$25,0),FALSE)</f>
        <v>0.90645840448071846</v>
      </c>
      <c r="K50" s="18">
        <f>HLOOKUP(REG_TRA_DEMANDS!K$3,'BY-Demands'!$J$5:$AK$14,MATCH($E50,'BY-Demands'!$I$5:$I$14,0),FALSE)*HLOOKUP(REG_TRA_DEMANDS!$F50,DEMANDS!$G$2:$CK$25,MATCH($E50,DEMANDS!$E$2:$E$25,0),FALSE)/HLOOKUP(2018,DEMANDS!$G$2:$CK$25,MATCH($E50,DEMANDS!$E$2:$E$25,0),FALSE)</f>
        <v>0.68198772317812206</v>
      </c>
      <c r="L50" s="18">
        <f>HLOOKUP(REG_TRA_DEMANDS!L$3,'BY-Demands'!$J$5:$AK$14,MATCH($E50,'BY-Demands'!$I$5:$I$14,0),FALSE)*HLOOKUP(REG_TRA_DEMANDS!$F50,DEMANDS!$G$2:$CK$25,MATCH($E50,DEMANDS!$E$2:$E$25,0),FALSE)/HLOOKUP(2018,DEMANDS!$G$2:$CK$25,MATCH($E50,DEMANDS!$E$2:$E$25,0),FALSE)</f>
        <v>0.3513565626020092</v>
      </c>
      <c r="M50" s="18">
        <f>HLOOKUP(REG_TRA_DEMANDS!M$3,'BY-Demands'!$J$5:$AK$14,MATCH($E50,'BY-Demands'!$I$5:$I$14,0),FALSE)*HLOOKUP(REG_TRA_DEMANDS!$F50,DEMANDS!$G$2:$CK$25,MATCH($E50,DEMANDS!$E$2:$E$25,0),FALSE)/HLOOKUP(2018,DEMANDS!$G$2:$CK$25,MATCH($E50,DEMANDS!$E$2:$E$25,0),FALSE)</f>
        <v>0.94639724394688807</v>
      </c>
      <c r="N50" s="18">
        <f>HLOOKUP(REG_TRA_DEMANDS!N$3,'BY-Demands'!$J$5:$AK$14,MATCH($E50,'BY-Demands'!$I$5:$I$14,0),FALSE)*HLOOKUP(REG_TRA_DEMANDS!$F50,DEMANDS!$G$2:$CK$25,MATCH($E50,DEMANDS!$E$2:$E$25,0),FALSE)/HLOOKUP(2018,DEMANDS!$G$2:$CK$25,MATCH($E50,DEMANDS!$E$2:$E$25,0),FALSE)</f>
        <v>1.6430537955845459</v>
      </c>
      <c r="O50" s="18">
        <f>HLOOKUP(REG_TRA_DEMANDS!O$3,'BY-Demands'!$J$5:$AK$14,MATCH($E50,'BY-Demands'!$I$5:$I$14,0),FALSE)*HLOOKUP(REG_TRA_DEMANDS!$F50,DEMANDS!$G$2:$CK$25,MATCH($E50,DEMANDS!$E$2:$E$25,0),FALSE)/HLOOKUP(2018,DEMANDS!$G$2:$CK$25,MATCH($E50,DEMANDS!$E$2:$E$25,0),FALSE)</f>
        <v>0.69631095055425818</v>
      </c>
      <c r="P50" s="18">
        <f>HLOOKUP(REG_TRA_DEMANDS!P$3,'BY-Demands'!$J$5:$AK$14,MATCH($E50,'BY-Demands'!$I$5:$I$14,0),FALSE)*HLOOKUP(REG_TRA_DEMANDS!$F50,DEMANDS!$G$2:$CK$25,MATCH($E50,DEMANDS!$E$2:$E$25,0),FALSE)/HLOOKUP(2018,DEMANDS!$G$2:$CK$25,MATCH($E50,DEMANDS!$E$2:$E$25,0),FALSE)</f>
        <v>0.78602880401781294</v>
      </c>
      <c r="Q50" s="18">
        <f>HLOOKUP(REG_TRA_DEMANDS!Q$3,'BY-Demands'!$J$5:$AK$14,MATCH($E50,'BY-Demands'!$I$5:$I$14,0),FALSE)*HLOOKUP(REG_TRA_DEMANDS!$F50,DEMANDS!$G$2:$CK$25,MATCH($E50,DEMANDS!$E$2:$E$25,0),FALSE)/HLOOKUP(2018,DEMANDS!$G$2:$CK$25,MATCH($E50,DEMANDS!$E$2:$E$25,0),FALSE)</f>
        <v>1.3940426474264749</v>
      </c>
      <c r="R50" s="18">
        <f>HLOOKUP(REG_TRA_DEMANDS!R$3,'BY-Demands'!$J$5:$AK$14,MATCH($E50,'BY-Demands'!$I$5:$I$14,0),FALSE)*HLOOKUP(REG_TRA_DEMANDS!$F50,DEMANDS!$G$2:$CK$25,MATCH($E50,DEMANDS!$E$2:$E$25,0),FALSE)/HLOOKUP(2018,DEMANDS!$G$2:$CK$25,MATCH($E50,DEMANDS!$E$2:$E$25,0),FALSE)</f>
        <v>1.1829684763101063</v>
      </c>
      <c r="S50" s="18">
        <f>HLOOKUP(REG_TRA_DEMANDS!S$3,'BY-Demands'!$J$5:$AK$14,MATCH($E50,'BY-Demands'!$I$5:$I$14,0),FALSE)*HLOOKUP(REG_TRA_DEMANDS!$F50,DEMANDS!$G$2:$CK$25,MATCH($E50,DEMANDS!$E$2:$E$25,0),FALSE)/HLOOKUP(2018,DEMANDS!$G$2:$CK$25,MATCH($E50,DEMANDS!$E$2:$E$25,0),FALSE)</f>
        <v>1.0728935576797611</v>
      </c>
      <c r="T50" s="18">
        <f>HLOOKUP(REG_TRA_DEMANDS!T$3,'BY-Demands'!$J$5:$AK$14,MATCH($E50,'BY-Demands'!$I$5:$I$14,0),FALSE)*HLOOKUP(REG_TRA_DEMANDS!$F50,DEMANDS!$G$2:$CK$25,MATCH($E50,DEMANDS!$E$2:$E$25,0),FALSE)/HLOOKUP(2018,DEMANDS!$G$2:$CK$25,MATCH($E50,DEMANDS!$E$2:$E$25,0),FALSE)</f>
        <v>4.3358995554285249</v>
      </c>
      <c r="U50" s="18">
        <f>HLOOKUP(REG_TRA_DEMANDS!U$3,'BY-Demands'!$J$5:$AK$14,MATCH($E50,'BY-Demands'!$I$5:$I$14,0),FALSE)*HLOOKUP(REG_TRA_DEMANDS!$F50,DEMANDS!$G$2:$CK$25,MATCH($E50,DEMANDS!$E$2:$E$25,0),FALSE)/HLOOKUP(2018,DEMANDS!$G$2:$CK$25,MATCH($E50,DEMANDS!$E$2:$E$25,0),FALSE)</f>
        <v>1.419138758634594</v>
      </c>
      <c r="V50" s="18">
        <f>HLOOKUP(REG_TRA_DEMANDS!V$3,'BY-Demands'!$J$5:$AK$14,MATCH($E50,'BY-Demands'!$I$5:$I$14,0),FALSE)*HLOOKUP(REG_TRA_DEMANDS!$F50,DEMANDS!$G$2:$CK$25,MATCH($E50,DEMANDS!$E$2:$E$25,0),FALSE)/HLOOKUP(2018,DEMANDS!$G$2:$CK$25,MATCH($E50,DEMANDS!$E$2:$E$25,0),FALSE)</f>
        <v>1.5983154149986754</v>
      </c>
      <c r="W50" s="18">
        <f>HLOOKUP(REG_TRA_DEMANDS!W$3,'BY-Demands'!$J$5:$AK$14,MATCH($E50,'BY-Demands'!$I$5:$I$14,0),FALSE)*HLOOKUP(REG_TRA_DEMANDS!$F50,DEMANDS!$G$2:$CK$25,MATCH($E50,DEMANDS!$E$2:$E$25,0),FALSE)/HLOOKUP(2018,DEMANDS!$G$2:$CK$25,MATCH($E50,DEMANDS!$E$2:$E$25,0),FALSE)</f>
        <v>1.5501765777579619</v>
      </c>
      <c r="X50" s="18">
        <f>HLOOKUP(REG_TRA_DEMANDS!X$3,'BY-Demands'!$J$5:$AK$14,MATCH($E50,'BY-Demands'!$I$5:$I$14,0),FALSE)*HLOOKUP(REG_TRA_DEMANDS!$F50,DEMANDS!$G$2:$CK$25,MATCH($E50,DEMANDS!$E$2:$E$25,0),FALSE)/HLOOKUP(2018,DEMANDS!$G$2:$CK$25,MATCH($E50,DEMANDS!$E$2:$E$25,0),FALSE)</f>
        <v>0.97797077324525583</v>
      </c>
      <c r="Y50" s="18">
        <f>HLOOKUP(REG_TRA_DEMANDS!Y$3,'BY-Demands'!$J$5:$AK$14,MATCH($E50,'BY-Demands'!$I$5:$I$14,0),FALSE)*HLOOKUP(REG_TRA_DEMANDS!$F50,DEMANDS!$G$2:$CK$25,MATCH($E50,DEMANDS!$E$2:$E$25,0),FALSE)/HLOOKUP(2018,DEMANDS!$G$2:$CK$25,MATCH($E50,DEMANDS!$E$2:$E$25,0),FALSE)</f>
        <v>2.1896177046304373</v>
      </c>
      <c r="Z50" s="18">
        <f>HLOOKUP(REG_TRA_DEMANDS!Z$3,'BY-Demands'!$J$5:$AK$14,MATCH($E50,'BY-Demands'!$I$5:$I$14,0),FALSE)*HLOOKUP(REG_TRA_DEMANDS!$F50,DEMANDS!$G$2:$CK$25,MATCH($E50,DEMANDS!$E$2:$E$25,0),FALSE)/HLOOKUP(2018,DEMANDS!$G$2:$CK$25,MATCH($E50,DEMANDS!$E$2:$E$25,0),FALSE)</f>
        <v>0.28697612871445266</v>
      </c>
      <c r="AA50" s="18">
        <f>HLOOKUP(REG_TRA_DEMANDS!AA$3,'BY-Demands'!$J$5:$AK$14,MATCH($E50,'BY-Demands'!$I$5:$I$14,0),FALSE)*HLOOKUP(REG_TRA_DEMANDS!$F50,DEMANDS!$G$2:$CK$25,MATCH($E50,DEMANDS!$E$2:$E$25,0),FALSE)/HLOOKUP(2018,DEMANDS!$G$2:$CK$25,MATCH($E50,DEMANDS!$E$2:$E$25,0),FALSE)</f>
        <v>1.2126781101366015</v>
      </c>
      <c r="AB50" s="18">
        <f>HLOOKUP(REG_TRA_DEMANDS!AB$3,'BY-Demands'!$J$5:$AK$14,MATCH($E50,'BY-Demands'!$I$5:$I$14,0),FALSE)*HLOOKUP(REG_TRA_DEMANDS!$F50,DEMANDS!$G$2:$CK$25,MATCH($E50,DEMANDS!$E$2:$E$25,0),FALSE)/HLOOKUP(2018,DEMANDS!$G$2:$CK$25,MATCH($E50,DEMANDS!$E$2:$E$25,0),FALSE)</f>
        <v>0.65294328230004117</v>
      </c>
      <c r="AC50" s="18">
        <f>HLOOKUP(REG_TRA_DEMANDS!AC$3,'BY-Demands'!$J$5:$AK$14,MATCH($E50,'BY-Demands'!$I$5:$I$14,0),FALSE)*HLOOKUP(REG_TRA_DEMANDS!$F50,DEMANDS!$G$2:$CK$25,MATCH($E50,DEMANDS!$E$2:$E$25,0),FALSE)/HLOOKUP(2018,DEMANDS!$G$2:$CK$25,MATCH($E50,DEMANDS!$E$2:$E$25,0),FALSE)</f>
        <v>0.53266800853895901</v>
      </c>
      <c r="AD50" s="18">
        <f>HLOOKUP(REG_TRA_DEMANDS!AD$3,'BY-Demands'!$J$5:$AK$14,MATCH($E50,'BY-Demands'!$I$5:$I$14,0),FALSE)*HLOOKUP(REG_TRA_DEMANDS!$F50,DEMANDS!$G$2:$CK$25,MATCH($E50,DEMANDS!$E$2:$E$25,0),FALSE)/HLOOKUP(2018,DEMANDS!$G$2:$CK$25,MATCH($E50,DEMANDS!$E$2:$E$25,0),FALSE)</f>
        <v>0.57878217037330437</v>
      </c>
      <c r="AE50" s="18">
        <f>HLOOKUP(REG_TRA_DEMANDS!AE$3,'BY-Demands'!$J$5:$AK$14,MATCH($E50,'BY-Demands'!$I$5:$I$14,0),FALSE)*HLOOKUP(REG_TRA_DEMANDS!$F50,DEMANDS!$G$2:$CK$25,MATCH($E50,DEMANDS!$E$2:$E$25,0),FALSE)/HLOOKUP(2018,DEMANDS!$G$2:$CK$25,MATCH($E50,DEMANDS!$E$2:$E$25,0),FALSE)</f>
        <v>1.0659210052816985</v>
      </c>
      <c r="AF50" s="18">
        <f>HLOOKUP(REG_TRA_DEMANDS!AF$3,'BY-Demands'!$J$5:$AK$14,MATCH($E50,'BY-Demands'!$I$5:$I$14,0),FALSE)*HLOOKUP(REG_TRA_DEMANDS!$F50,DEMANDS!$G$2:$CK$25,MATCH($E50,DEMANDS!$E$2:$E$25,0),FALSE)/HLOOKUP(2018,DEMANDS!$G$2:$CK$25,MATCH($E50,DEMANDS!$E$2:$E$25,0),FALSE)</f>
        <v>0.58621613743876</v>
      </c>
    </row>
    <row r="51" spans="4:32" ht="14.4">
      <c r="D51" t="s">
        <v>6</v>
      </c>
      <c r="E51" t="str">
        <f>DEMANDS!$E$18</f>
        <v>TRAPM</v>
      </c>
      <c r="F51">
        <v>2040</v>
      </c>
      <c r="G51" s="18">
        <f>HLOOKUP(REG_TRA_DEMANDS!G$3,'BY-Demands'!$J$5:$AK$14,MATCH($E51,'BY-Demands'!$I$5:$I$14,0),FALSE)*HLOOKUP(REG_TRA_DEMANDS!$F51,DEMANDS!$G$2:$CK$25,MATCH($E51,DEMANDS!$E$2:$E$25,0),FALSE)/HLOOKUP(2018,DEMANDS!$G$2:$CK$25,MATCH($E51,DEMANDS!$E$2:$E$25,0),FALSE)</f>
        <v>0.54326037073421252</v>
      </c>
      <c r="H51" s="18">
        <f>HLOOKUP(REG_TRA_DEMANDS!H$3,'BY-Demands'!$J$5:$AK$14,MATCH($E51,'BY-Demands'!$I$5:$I$14,0),FALSE)*HLOOKUP(REG_TRA_DEMANDS!$F51,DEMANDS!$G$2:$CK$25,MATCH($E51,DEMANDS!$E$2:$E$25,0),FALSE)/HLOOKUP(2018,DEMANDS!$G$2:$CK$25,MATCH($E51,DEMANDS!$E$2:$E$25,0),FALSE)</f>
        <v>9.5136757336978555</v>
      </c>
      <c r="I51" s="18">
        <f>HLOOKUP(REG_TRA_DEMANDS!I$3,'BY-Demands'!$J$5:$AK$14,MATCH($E51,'BY-Demands'!$I$5:$I$14,0),FALSE)*HLOOKUP(REG_TRA_DEMANDS!$F51,DEMANDS!$G$2:$CK$25,MATCH($E51,DEMANDS!$E$2:$E$25,0),FALSE)/HLOOKUP(2018,DEMANDS!$G$2:$CK$25,MATCH($E51,DEMANDS!$E$2:$E$25,0),FALSE)</f>
        <v>1.9372870989713109</v>
      </c>
      <c r="J51" s="18">
        <f>HLOOKUP(REG_TRA_DEMANDS!J$3,'BY-Demands'!$J$5:$AK$14,MATCH($E51,'BY-Demands'!$I$5:$I$14,0),FALSE)*HLOOKUP(REG_TRA_DEMANDS!$F51,DEMANDS!$G$2:$CK$25,MATCH($E51,DEMANDS!$E$2:$E$25,0),FALSE)/HLOOKUP(2018,DEMANDS!$G$2:$CK$25,MATCH($E51,DEMANDS!$E$2:$E$25,0),FALSE)</f>
        <v>0.92005528054792918</v>
      </c>
      <c r="K51" s="18">
        <f>HLOOKUP(REG_TRA_DEMANDS!K$3,'BY-Demands'!$J$5:$AK$14,MATCH($E51,'BY-Demands'!$I$5:$I$14,0),FALSE)*HLOOKUP(REG_TRA_DEMANDS!$F51,DEMANDS!$G$2:$CK$25,MATCH($E51,DEMANDS!$E$2:$E$25,0),FALSE)/HLOOKUP(2018,DEMANDS!$G$2:$CK$25,MATCH($E51,DEMANDS!$E$2:$E$25,0),FALSE)</f>
        <v>0.69221753902579397</v>
      </c>
      <c r="L51" s="18">
        <f>HLOOKUP(REG_TRA_DEMANDS!L$3,'BY-Demands'!$J$5:$AK$14,MATCH($E51,'BY-Demands'!$I$5:$I$14,0),FALSE)*HLOOKUP(REG_TRA_DEMANDS!$F51,DEMANDS!$G$2:$CK$25,MATCH($E51,DEMANDS!$E$2:$E$25,0),FALSE)/HLOOKUP(2018,DEMANDS!$G$2:$CK$25,MATCH($E51,DEMANDS!$E$2:$E$25,0),FALSE)</f>
        <v>0.35662691104103927</v>
      </c>
      <c r="M51" s="18">
        <f>HLOOKUP(REG_TRA_DEMANDS!M$3,'BY-Demands'!$J$5:$AK$14,MATCH($E51,'BY-Demands'!$I$5:$I$14,0),FALSE)*HLOOKUP(REG_TRA_DEMANDS!$F51,DEMANDS!$G$2:$CK$25,MATCH($E51,DEMANDS!$E$2:$E$25,0),FALSE)/HLOOKUP(2018,DEMANDS!$G$2:$CK$25,MATCH($E51,DEMANDS!$E$2:$E$25,0),FALSE)</f>
        <v>0.96059320260609127</v>
      </c>
      <c r="N51" s="18">
        <f>HLOOKUP(REG_TRA_DEMANDS!N$3,'BY-Demands'!$J$5:$AK$14,MATCH($E51,'BY-Demands'!$I$5:$I$14,0),FALSE)*HLOOKUP(REG_TRA_DEMANDS!$F51,DEMANDS!$G$2:$CK$25,MATCH($E51,DEMANDS!$E$2:$E$25,0),FALSE)/HLOOKUP(2018,DEMANDS!$G$2:$CK$25,MATCH($E51,DEMANDS!$E$2:$E$25,0),FALSE)</f>
        <v>1.6676996025183142</v>
      </c>
      <c r="O51" s="18">
        <f>HLOOKUP(REG_TRA_DEMANDS!O$3,'BY-Demands'!$J$5:$AK$14,MATCH($E51,'BY-Demands'!$I$5:$I$14,0),FALSE)*HLOOKUP(REG_TRA_DEMANDS!$F51,DEMANDS!$G$2:$CK$25,MATCH($E51,DEMANDS!$E$2:$E$25,0),FALSE)/HLOOKUP(2018,DEMANDS!$G$2:$CK$25,MATCH($E51,DEMANDS!$E$2:$E$25,0),FALSE)</f>
        <v>0.70675561481257199</v>
      </c>
      <c r="P51" s="18">
        <f>HLOOKUP(REG_TRA_DEMANDS!P$3,'BY-Demands'!$J$5:$AK$14,MATCH($E51,'BY-Demands'!$I$5:$I$14,0),FALSE)*HLOOKUP(REG_TRA_DEMANDS!$F51,DEMANDS!$G$2:$CK$25,MATCH($E51,DEMANDS!$E$2:$E$25,0),FALSE)/HLOOKUP(2018,DEMANDS!$G$2:$CK$25,MATCH($E51,DEMANDS!$E$2:$E$25,0),FALSE)</f>
        <v>0.79781923607808014</v>
      </c>
      <c r="Q51" s="18">
        <f>HLOOKUP(REG_TRA_DEMANDS!Q$3,'BY-Demands'!$J$5:$AK$14,MATCH($E51,'BY-Demands'!$I$5:$I$14,0),FALSE)*HLOOKUP(REG_TRA_DEMANDS!$F51,DEMANDS!$G$2:$CK$25,MATCH($E51,DEMANDS!$E$2:$E$25,0),FALSE)/HLOOKUP(2018,DEMANDS!$G$2:$CK$25,MATCH($E51,DEMANDS!$E$2:$E$25,0),FALSE)</f>
        <v>1.4149532871378723</v>
      </c>
      <c r="R51" s="18">
        <f>HLOOKUP(REG_TRA_DEMANDS!R$3,'BY-Demands'!$J$5:$AK$14,MATCH($E51,'BY-Demands'!$I$5:$I$14,0),FALSE)*HLOOKUP(REG_TRA_DEMANDS!$F51,DEMANDS!$G$2:$CK$25,MATCH($E51,DEMANDS!$E$2:$E$25,0),FALSE)/HLOOKUP(2018,DEMANDS!$G$2:$CK$25,MATCH($E51,DEMANDS!$E$2:$E$25,0),FALSE)</f>
        <v>1.2007130034547577</v>
      </c>
      <c r="S51" s="18">
        <f>HLOOKUP(REG_TRA_DEMANDS!S$3,'BY-Demands'!$J$5:$AK$14,MATCH($E51,'BY-Demands'!$I$5:$I$14,0),FALSE)*HLOOKUP(REG_TRA_DEMANDS!$F51,DEMANDS!$G$2:$CK$25,MATCH($E51,DEMANDS!$E$2:$E$25,0),FALSE)/HLOOKUP(2018,DEMANDS!$G$2:$CK$25,MATCH($E51,DEMANDS!$E$2:$E$25,0),FALSE)</f>
        <v>1.0889869610449576</v>
      </c>
      <c r="T51" s="18">
        <f>HLOOKUP(REG_TRA_DEMANDS!T$3,'BY-Demands'!$J$5:$AK$14,MATCH($E51,'BY-Demands'!$I$5:$I$14,0),FALSE)*HLOOKUP(REG_TRA_DEMANDS!$F51,DEMANDS!$G$2:$CK$25,MATCH($E51,DEMANDS!$E$2:$E$25,0),FALSE)/HLOOKUP(2018,DEMANDS!$G$2:$CK$25,MATCH($E51,DEMANDS!$E$2:$E$25,0),FALSE)</f>
        <v>4.4009380487599516</v>
      </c>
      <c r="U51" s="18">
        <f>HLOOKUP(REG_TRA_DEMANDS!U$3,'BY-Demands'!$J$5:$AK$14,MATCH($E51,'BY-Demands'!$I$5:$I$14,0),FALSE)*HLOOKUP(REG_TRA_DEMANDS!$F51,DEMANDS!$G$2:$CK$25,MATCH($E51,DEMANDS!$E$2:$E$25,0),FALSE)/HLOOKUP(2018,DEMANDS!$G$2:$CK$25,MATCH($E51,DEMANDS!$E$2:$E$25,0),FALSE)</f>
        <v>1.440425840014113</v>
      </c>
      <c r="V51" s="18">
        <f>HLOOKUP(REG_TRA_DEMANDS!V$3,'BY-Demands'!$J$5:$AK$14,MATCH($E51,'BY-Demands'!$I$5:$I$14,0),FALSE)*HLOOKUP(REG_TRA_DEMANDS!$F51,DEMANDS!$G$2:$CK$25,MATCH($E51,DEMANDS!$E$2:$E$25,0),FALSE)/HLOOKUP(2018,DEMANDS!$G$2:$CK$25,MATCH($E51,DEMANDS!$E$2:$E$25,0),FALSE)</f>
        <v>1.6222901462236556</v>
      </c>
      <c r="W51" s="18">
        <f>HLOOKUP(REG_TRA_DEMANDS!W$3,'BY-Demands'!$J$5:$AK$14,MATCH($E51,'BY-Demands'!$I$5:$I$14,0),FALSE)*HLOOKUP(REG_TRA_DEMANDS!$F51,DEMANDS!$G$2:$CK$25,MATCH($E51,DEMANDS!$E$2:$E$25,0),FALSE)/HLOOKUP(2018,DEMANDS!$G$2:$CK$25,MATCH($E51,DEMANDS!$E$2:$E$25,0),FALSE)</f>
        <v>1.5734292264243313</v>
      </c>
      <c r="X51" s="18">
        <f>HLOOKUP(REG_TRA_DEMANDS!X$3,'BY-Demands'!$J$5:$AK$14,MATCH($E51,'BY-Demands'!$I$5:$I$14,0),FALSE)*HLOOKUP(REG_TRA_DEMANDS!$F51,DEMANDS!$G$2:$CK$25,MATCH($E51,DEMANDS!$E$2:$E$25,0),FALSE)/HLOOKUP(2018,DEMANDS!$G$2:$CK$25,MATCH($E51,DEMANDS!$E$2:$E$25,0),FALSE)</f>
        <v>0.99264033484393466</v>
      </c>
      <c r="Y51" s="18">
        <f>HLOOKUP(REG_TRA_DEMANDS!Y$3,'BY-Demands'!$J$5:$AK$14,MATCH($E51,'BY-Demands'!$I$5:$I$14,0),FALSE)*HLOOKUP(REG_TRA_DEMANDS!$F51,DEMANDS!$G$2:$CK$25,MATCH($E51,DEMANDS!$E$2:$E$25,0),FALSE)/HLOOKUP(2018,DEMANDS!$G$2:$CK$25,MATCH($E51,DEMANDS!$E$2:$E$25,0),FALSE)</f>
        <v>2.2224619701998938</v>
      </c>
      <c r="Z51" s="18">
        <f>HLOOKUP(REG_TRA_DEMANDS!Z$3,'BY-Demands'!$J$5:$AK$14,MATCH($E51,'BY-Demands'!$I$5:$I$14,0),FALSE)*HLOOKUP(REG_TRA_DEMANDS!$F51,DEMANDS!$G$2:$CK$25,MATCH($E51,DEMANDS!$E$2:$E$25,0),FALSE)/HLOOKUP(2018,DEMANDS!$G$2:$CK$25,MATCH($E51,DEMANDS!$E$2:$E$25,0),FALSE)</f>
        <v>0.2912807706451695</v>
      </c>
      <c r="AA51" s="18">
        <f>HLOOKUP(REG_TRA_DEMANDS!AA$3,'BY-Demands'!$J$5:$AK$14,MATCH($E51,'BY-Demands'!$I$5:$I$14,0),FALSE)*HLOOKUP(REG_TRA_DEMANDS!$F51,DEMANDS!$G$2:$CK$25,MATCH($E51,DEMANDS!$E$2:$E$25,0),FALSE)/HLOOKUP(2018,DEMANDS!$G$2:$CK$25,MATCH($E51,DEMANDS!$E$2:$E$25,0),FALSE)</f>
        <v>1.2308682817886505</v>
      </c>
      <c r="AB51" s="18">
        <f>HLOOKUP(REG_TRA_DEMANDS!AB$3,'BY-Demands'!$J$5:$AK$14,MATCH($E51,'BY-Demands'!$I$5:$I$14,0),FALSE)*HLOOKUP(REG_TRA_DEMANDS!$F51,DEMANDS!$G$2:$CK$25,MATCH($E51,DEMANDS!$E$2:$E$25,0),FALSE)/HLOOKUP(2018,DEMANDS!$G$2:$CK$25,MATCH($E51,DEMANDS!$E$2:$E$25,0),FALSE)</f>
        <v>0.66273743153454179</v>
      </c>
      <c r="AC51" s="18">
        <f>HLOOKUP(REG_TRA_DEMANDS!AC$3,'BY-Demands'!$J$5:$AK$14,MATCH($E51,'BY-Demands'!$I$5:$I$14,0),FALSE)*HLOOKUP(REG_TRA_DEMANDS!$F51,DEMANDS!$G$2:$CK$25,MATCH($E51,DEMANDS!$E$2:$E$25,0),FALSE)/HLOOKUP(2018,DEMANDS!$G$2:$CK$25,MATCH($E51,DEMANDS!$E$2:$E$25,0),FALSE)</f>
        <v>0.54065802866704349</v>
      </c>
      <c r="AD51" s="18">
        <f>HLOOKUP(REG_TRA_DEMANDS!AD$3,'BY-Demands'!$J$5:$AK$14,MATCH($E51,'BY-Demands'!$I$5:$I$14,0),FALSE)*HLOOKUP(REG_TRA_DEMANDS!$F51,DEMANDS!$G$2:$CK$25,MATCH($E51,DEMANDS!$E$2:$E$25,0),FALSE)/HLOOKUP(2018,DEMANDS!$G$2:$CK$25,MATCH($E51,DEMANDS!$E$2:$E$25,0),FALSE)</f>
        <v>0.58746390292890394</v>
      </c>
      <c r="AE51" s="18">
        <f>HLOOKUP(REG_TRA_DEMANDS!AE$3,'BY-Demands'!$J$5:$AK$14,MATCH($E51,'BY-Demands'!$I$5:$I$14,0),FALSE)*HLOOKUP(REG_TRA_DEMANDS!$F51,DEMANDS!$G$2:$CK$25,MATCH($E51,DEMANDS!$E$2:$E$25,0),FALSE)/HLOOKUP(2018,DEMANDS!$G$2:$CK$25,MATCH($E51,DEMANDS!$E$2:$E$25,0),FALSE)</f>
        <v>1.0819098203609239</v>
      </c>
      <c r="AF51" s="18">
        <f>HLOOKUP(REG_TRA_DEMANDS!AF$3,'BY-Demands'!$J$5:$AK$14,MATCH($E51,'BY-Demands'!$I$5:$I$14,0),FALSE)*HLOOKUP(REG_TRA_DEMANDS!$F51,DEMANDS!$G$2:$CK$25,MATCH($E51,DEMANDS!$E$2:$E$25,0),FALSE)/HLOOKUP(2018,DEMANDS!$G$2:$CK$25,MATCH($E51,DEMANDS!$E$2:$E$25,0),FALSE)</f>
        <v>0.59500937950034138</v>
      </c>
    </row>
    <row r="52" spans="4:32" ht="14.4">
      <c r="D52" t="s">
        <v>6</v>
      </c>
      <c r="E52" t="str">
        <f>DEMANDS!$E$18</f>
        <v>TRAPM</v>
      </c>
      <c r="F52">
        <v>2045</v>
      </c>
      <c r="G52" s="18">
        <f>HLOOKUP(REG_TRA_DEMANDS!G$3,'BY-Demands'!$J$5:$AK$14,MATCH($E52,'BY-Demands'!$I$5:$I$14,0),FALSE)*HLOOKUP(REG_TRA_DEMANDS!$F52,DEMANDS!$G$2:$CK$25,MATCH($E52,DEMANDS!$E$2:$E$25,0),FALSE)/HLOOKUP(2018,DEMANDS!$G$2:$CK$25,MATCH($E52,DEMANDS!$E$2:$E$25,0),FALSE)</f>
        <v>0.58524570733626213</v>
      </c>
      <c r="H52" s="18">
        <f>HLOOKUP(REG_TRA_DEMANDS!H$3,'BY-Demands'!$J$5:$AK$14,MATCH($E52,'BY-Demands'!$I$5:$I$14,0),FALSE)*HLOOKUP(REG_TRA_DEMANDS!$F52,DEMANDS!$G$2:$CK$25,MATCH($E52,DEMANDS!$E$2:$E$25,0),FALSE)/HLOOKUP(2018,DEMANDS!$G$2:$CK$25,MATCH($E52,DEMANDS!$E$2:$E$25,0),FALSE)</f>
        <v>10.24893068605564</v>
      </c>
      <c r="I52" s="18">
        <f>HLOOKUP(REG_TRA_DEMANDS!I$3,'BY-Demands'!$J$5:$AK$14,MATCH($E52,'BY-Demands'!$I$5:$I$14,0),FALSE)*HLOOKUP(REG_TRA_DEMANDS!$F52,DEMANDS!$G$2:$CK$25,MATCH($E52,DEMANDS!$E$2:$E$25,0),FALSE)/HLOOKUP(2018,DEMANDS!$G$2:$CK$25,MATCH($E52,DEMANDS!$E$2:$E$25,0),FALSE)</f>
        <v>2.0870084026533582</v>
      </c>
      <c r="J52" s="18">
        <f>HLOOKUP(REG_TRA_DEMANDS!J$3,'BY-Demands'!$J$5:$AK$14,MATCH($E52,'BY-Demands'!$I$5:$I$14,0),FALSE)*HLOOKUP(REG_TRA_DEMANDS!$F52,DEMANDS!$G$2:$CK$25,MATCH($E52,DEMANDS!$E$2:$E$25,0),FALSE)/HLOOKUP(2018,DEMANDS!$G$2:$CK$25,MATCH($E52,DEMANDS!$E$2:$E$25,0),FALSE)</f>
        <v>0.99116083642363451</v>
      </c>
      <c r="K52" s="18">
        <f>HLOOKUP(REG_TRA_DEMANDS!K$3,'BY-Demands'!$J$5:$AK$14,MATCH($E52,'BY-Demands'!$I$5:$I$14,0),FALSE)*HLOOKUP(REG_TRA_DEMANDS!$F52,DEMANDS!$G$2:$CK$25,MATCH($E52,DEMANDS!$E$2:$E$25,0),FALSE)/HLOOKUP(2018,DEMANDS!$G$2:$CK$25,MATCH($E52,DEMANDS!$E$2:$E$25,0),FALSE)</f>
        <v>0.74571488200069547</v>
      </c>
      <c r="L52" s="18">
        <f>HLOOKUP(REG_TRA_DEMANDS!L$3,'BY-Demands'!$J$5:$AK$14,MATCH($E52,'BY-Demands'!$I$5:$I$14,0),FALSE)*HLOOKUP(REG_TRA_DEMANDS!$F52,DEMANDS!$G$2:$CK$25,MATCH($E52,DEMANDS!$E$2:$E$25,0),FALSE)/HLOOKUP(2018,DEMANDS!$G$2:$CK$25,MATCH($E52,DEMANDS!$E$2:$E$25,0),FALSE)</f>
        <v>0.38418846661920741</v>
      </c>
      <c r="M52" s="18">
        <f>HLOOKUP(REG_TRA_DEMANDS!M$3,'BY-Demands'!$J$5:$AK$14,MATCH($E52,'BY-Demands'!$I$5:$I$14,0),FALSE)*HLOOKUP(REG_TRA_DEMANDS!$F52,DEMANDS!$G$2:$CK$25,MATCH($E52,DEMANDS!$E$2:$E$25,0),FALSE)/HLOOKUP(2018,DEMANDS!$G$2:$CK$25,MATCH($E52,DEMANDS!$E$2:$E$25,0),FALSE)</f>
        <v>1.0348316914076041</v>
      </c>
      <c r="N52" s="18">
        <f>HLOOKUP(REG_TRA_DEMANDS!N$3,'BY-Demands'!$J$5:$AK$14,MATCH($E52,'BY-Demands'!$I$5:$I$14,0),FALSE)*HLOOKUP(REG_TRA_DEMANDS!$F52,DEMANDS!$G$2:$CK$25,MATCH($E52,DEMANDS!$E$2:$E$25,0),FALSE)/HLOOKUP(2018,DEMANDS!$G$2:$CK$25,MATCH($E52,DEMANDS!$E$2:$E$25,0),FALSE)</f>
        <v>1.7965861050773093</v>
      </c>
      <c r="O52" s="18">
        <f>HLOOKUP(REG_TRA_DEMANDS!O$3,'BY-Demands'!$J$5:$AK$14,MATCH($E52,'BY-Demands'!$I$5:$I$14,0),FALSE)*HLOOKUP(REG_TRA_DEMANDS!$F52,DEMANDS!$G$2:$CK$25,MATCH($E52,DEMANDS!$E$2:$E$25,0),FALSE)/HLOOKUP(2018,DEMANDS!$G$2:$CK$25,MATCH($E52,DEMANDS!$E$2:$E$25,0),FALSE)</f>
        <v>0.76137651849305032</v>
      </c>
      <c r="P52" s="18">
        <f>HLOOKUP(REG_TRA_DEMANDS!P$3,'BY-Demands'!$J$5:$AK$14,MATCH($E52,'BY-Demands'!$I$5:$I$14,0),FALSE)*HLOOKUP(REG_TRA_DEMANDS!$F52,DEMANDS!$G$2:$CK$25,MATCH($E52,DEMANDS!$E$2:$E$25,0),FALSE)/HLOOKUP(2018,DEMANDS!$G$2:$CK$25,MATCH($E52,DEMANDS!$E$2:$E$25,0),FALSE)</f>
        <v>0.85947790101816712</v>
      </c>
      <c r="Q52" s="18">
        <f>HLOOKUP(REG_TRA_DEMANDS!Q$3,'BY-Demands'!$J$5:$AK$14,MATCH($E52,'BY-Demands'!$I$5:$I$14,0),FALSE)*HLOOKUP(REG_TRA_DEMANDS!$F52,DEMANDS!$G$2:$CK$25,MATCH($E52,DEMANDS!$E$2:$E$25,0),FALSE)/HLOOKUP(2018,DEMANDS!$G$2:$CK$25,MATCH($E52,DEMANDS!$E$2:$E$25,0),FALSE)</f>
        <v>1.524306542477244</v>
      </c>
      <c r="R52" s="18">
        <f>HLOOKUP(REG_TRA_DEMANDS!R$3,'BY-Demands'!$J$5:$AK$14,MATCH($E52,'BY-Demands'!$I$5:$I$14,0),FALSE)*HLOOKUP(REG_TRA_DEMANDS!$F52,DEMANDS!$G$2:$CK$25,MATCH($E52,DEMANDS!$E$2:$E$25,0),FALSE)/HLOOKUP(2018,DEMANDS!$G$2:$CK$25,MATCH($E52,DEMANDS!$E$2:$E$25,0),FALSE)</f>
        <v>1.2935089118777741</v>
      </c>
      <c r="S52" s="18">
        <f>HLOOKUP(REG_TRA_DEMANDS!S$3,'BY-Demands'!$J$5:$AK$14,MATCH($E52,'BY-Demands'!$I$5:$I$14,0),FALSE)*HLOOKUP(REG_TRA_DEMANDS!$F52,DEMANDS!$G$2:$CK$25,MATCH($E52,DEMANDS!$E$2:$E$25,0),FALSE)/HLOOKUP(2018,DEMANDS!$G$2:$CK$25,MATCH($E52,DEMANDS!$E$2:$E$25,0),FALSE)</f>
        <v>1.1731482335723893</v>
      </c>
      <c r="T52" s="18">
        <f>HLOOKUP(REG_TRA_DEMANDS!T$3,'BY-Demands'!$J$5:$AK$14,MATCH($E52,'BY-Demands'!$I$5:$I$14,0),FALSE)*HLOOKUP(REG_TRA_DEMANDS!$F52,DEMANDS!$G$2:$CK$25,MATCH($E52,DEMANDS!$E$2:$E$25,0),FALSE)/HLOOKUP(2018,DEMANDS!$G$2:$CK$25,MATCH($E52,DEMANDS!$E$2:$E$25,0),FALSE)</f>
        <v>4.7410601620152075</v>
      </c>
      <c r="U52" s="18">
        <f>HLOOKUP(REG_TRA_DEMANDS!U$3,'BY-Demands'!$J$5:$AK$14,MATCH($E52,'BY-Demands'!$I$5:$I$14,0),FALSE)*HLOOKUP(REG_TRA_DEMANDS!$F52,DEMANDS!$G$2:$CK$25,MATCH($E52,DEMANDS!$E$2:$E$25,0),FALSE)/HLOOKUP(2018,DEMANDS!$G$2:$CK$25,MATCH($E52,DEMANDS!$E$2:$E$25,0),FALSE)</f>
        <v>1.5517477162289173</v>
      </c>
      <c r="V52" s="18">
        <f>HLOOKUP(REG_TRA_DEMANDS!V$3,'BY-Demands'!$J$5:$AK$14,MATCH($E52,'BY-Demands'!$I$5:$I$14,0),FALSE)*HLOOKUP(REG_TRA_DEMANDS!$F52,DEMANDS!$G$2:$CK$25,MATCH($E52,DEMANDS!$E$2:$E$25,0),FALSE)/HLOOKUP(2018,DEMANDS!$G$2:$CK$25,MATCH($E52,DEMANDS!$E$2:$E$25,0),FALSE)</f>
        <v>1.747667224185987</v>
      </c>
      <c r="W52" s="18">
        <f>HLOOKUP(REG_TRA_DEMANDS!W$3,'BY-Demands'!$J$5:$AK$14,MATCH($E52,'BY-Demands'!$I$5:$I$14,0),FALSE)*HLOOKUP(REG_TRA_DEMANDS!$F52,DEMANDS!$G$2:$CK$25,MATCH($E52,DEMANDS!$E$2:$E$25,0),FALSE)/HLOOKUP(2018,DEMANDS!$G$2:$CK$25,MATCH($E52,DEMANDS!$E$2:$E$25,0),FALSE)</f>
        <v>1.6950301368710976</v>
      </c>
      <c r="X52" s="18">
        <f>HLOOKUP(REG_TRA_DEMANDS!X$3,'BY-Demands'!$J$5:$AK$14,MATCH($E52,'BY-Demands'!$I$5:$I$14,0),FALSE)*HLOOKUP(REG_TRA_DEMANDS!$F52,DEMANDS!$G$2:$CK$25,MATCH($E52,DEMANDS!$E$2:$E$25,0),FALSE)/HLOOKUP(2018,DEMANDS!$G$2:$CK$25,MATCH($E52,DEMANDS!$E$2:$E$25,0),FALSE)</f>
        <v>1.0693555543378002</v>
      </c>
      <c r="Y52" s="18">
        <f>HLOOKUP(REG_TRA_DEMANDS!Y$3,'BY-Demands'!$J$5:$AK$14,MATCH($E52,'BY-Demands'!$I$5:$I$14,0),FALSE)*HLOOKUP(REG_TRA_DEMANDS!$F52,DEMANDS!$G$2:$CK$25,MATCH($E52,DEMANDS!$E$2:$E$25,0),FALSE)/HLOOKUP(2018,DEMANDS!$G$2:$CK$25,MATCH($E52,DEMANDS!$E$2:$E$25,0),FALSE)</f>
        <v>2.3942227297376966</v>
      </c>
      <c r="Z52" s="18">
        <f>HLOOKUP(REG_TRA_DEMANDS!Z$3,'BY-Demands'!$J$5:$AK$14,MATCH($E52,'BY-Demands'!$I$5:$I$14,0),FALSE)*HLOOKUP(REG_TRA_DEMANDS!$F52,DEMANDS!$G$2:$CK$25,MATCH($E52,DEMANDS!$E$2:$E$25,0),FALSE)/HLOOKUP(2018,DEMANDS!$G$2:$CK$25,MATCH($E52,DEMANDS!$E$2:$E$25,0),FALSE)</f>
        <v>0.31379211485515435</v>
      </c>
      <c r="AA52" s="18">
        <f>HLOOKUP(REG_TRA_DEMANDS!AA$3,'BY-Demands'!$J$5:$AK$14,MATCH($E52,'BY-Demands'!$I$5:$I$14,0),FALSE)*HLOOKUP(REG_TRA_DEMANDS!$F52,DEMANDS!$G$2:$CK$25,MATCH($E52,DEMANDS!$E$2:$E$25,0),FALSE)/HLOOKUP(2018,DEMANDS!$G$2:$CK$25,MATCH($E52,DEMANDS!$E$2:$E$25,0),FALSE)</f>
        <v>1.3259947108595578</v>
      </c>
      <c r="AB52" s="18">
        <f>HLOOKUP(REG_TRA_DEMANDS!AB$3,'BY-Demands'!$J$5:$AK$14,MATCH($E52,'BY-Demands'!$I$5:$I$14,0),FALSE)*HLOOKUP(REG_TRA_DEMANDS!$F52,DEMANDS!$G$2:$CK$25,MATCH($E52,DEMANDS!$E$2:$E$25,0),FALSE)/HLOOKUP(2018,DEMANDS!$G$2:$CK$25,MATCH($E52,DEMANDS!$E$2:$E$25,0),FALSE)</f>
        <v>0.71395643376757767</v>
      </c>
      <c r="AC52" s="18">
        <f>HLOOKUP(REG_TRA_DEMANDS!AC$3,'BY-Demands'!$J$5:$AK$14,MATCH($E52,'BY-Demands'!$I$5:$I$14,0),FALSE)*HLOOKUP(REG_TRA_DEMANDS!$F52,DEMANDS!$G$2:$CK$25,MATCH($E52,DEMANDS!$E$2:$E$25,0),FALSE)/HLOOKUP(2018,DEMANDS!$G$2:$CK$25,MATCH($E52,DEMANDS!$E$2:$E$25,0),FALSE)</f>
        <v>0.58244224585466553</v>
      </c>
      <c r="AD52" s="18">
        <f>HLOOKUP(REG_TRA_DEMANDS!AD$3,'BY-Demands'!$J$5:$AK$14,MATCH($E52,'BY-Demands'!$I$5:$I$14,0),FALSE)*HLOOKUP(REG_TRA_DEMANDS!$F52,DEMANDS!$G$2:$CK$25,MATCH($E52,DEMANDS!$E$2:$E$25,0),FALSE)/HLOOKUP(2018,DEMANDS!$G$2:$CK$25,MATCH($E52,DEMANDS!$E$2:$E$25,0),FALSE)</f>
        <v>0.63286546548479117</v>
      </c>
      <c r="AE52" s="18">
        <f>HLOOKUP(REG_TRA_DEMANDS!AE$3,'BY-Demands'!$J$5:$AK$14,MATCH($E52,'BY-Demands'!$I$5:$I$14,0),FALSE)*HLOOKUP(REG_TRA_DEMANDS!$F52,DEMANDS!$G$2:$CK$25,MATCH($E52,DEMANDS!$E$2:$E$25,0),FALSE)/HLOOKUP(2018,DEMANDS!$G$2:$CK$25,MATCH($E52,DEMANDS!$E$2:$E$25,0),FALSE)</f>
        <v>1.1655241431202406</v>
      </c>
      <c r="AF52" s="18">
        <f>HLOOKUP(REG_TRA_DEMANDS!AF$3,'BY-Demands'!$J$5:$AK$14,MATCH($E52,'BY-Demands'!$I$5:$I$14,0),FALSE)*HLOOKUP(REG_TRA_DEMANDS!$F52,DEMANDS!$G$2:$CK$25,MATCH($E52,DEMANDS!$E$2:$E$25,0),FALSE)/HLOOKUP(2018,DEMANDS!$G$2:$CK$25,MATCH($E52,DEMANDS!$E$2:$E$25,0),FALSE)</f>
        <v>0.64099408669688496</v>
      </c>
    </row>
    <row r="53" spans="4:32" ht="14.4">
      <c r="D53" t="s">
        <v>6</v>
      </c>
      <c r="E53" t="str">
        <f>DEMANDS!$E$18</f>
        <v>TRAPM</v>
      </c>
      <c r="F53">
        <v>2050</v>
      </c>
      <c r="G53" s="18">
        <f>HLOOKUP(REG_TRA_DEMANDS!G$3,'BY-Demands'!$J$5:$AK$14,MATCH($E53,'BY-Demands'!$I$5:$I$14,0),FALSE)*HLOOKUP(REG_TRA_DEMANDS!$F53,DEMANDS!$G$2:$CK$25,MATCH($E53,DEMANDS!$E$2:$E$25,0),FALSE)/HLOOKUP(2018,DEMANDS!$G$2:$CK$25,MATCH($E53,DEMANDS!$E$2:$E$25,0),FALSE)</f>
        <v>0.63047583885535119</v>
      </c>
      <c r="H53" s="18">
        <f>HLOOKUP(REG_TRA_DEMANDS!H$3,'BY-Demands'!$J$5:$AK$14,MATCH($E53,'BY-Demands'!$I$5:$I$14,0),FALSE)*HLOOKUP(REG_TRA_DEMANDS!$F53,DEMANDS!$G$2:$CK$25,MATCH($E53,DEMANDS!$E$2:$E$25,0),FALSE)/HLOOKUP(2018,DEMANDS!$G$2:$CK$25,MATCH($E53,DEMANDS!$E$2:$E$25,0),FALSE)</f>
        <v>11.041009085007447</v>
      </c>
      <c r="I53" s="18">
        <f>HLOOKUP(REG_TRA_DEMANDS!I$3,'BY-Demands'!$J$5:$AK$14,MATCH($E53,'BY-Demands'!$I$5:$I$14,0),FALSE)*HLOOKUP(REG_TRA_DEMANDS!$F53,DEMANDS!$G$2:$CK$25,MATCH($E53,DEMANDS!$E$2:$E$25,0),FALSE)/HLOOKUP(2018,DEMANDS!$G$2:$CK$25,MATCH($E53,DEMANDS!$E$2:$E$25,0),FALSE)</f>
        <v>2.2483007681507421</v>
      </c>
      <c r="J53" s="18">
        <f>HLOOKUP(REG_TRA_DEMANDS!J$3,'BY-Demands'!$J$5:$AK$14,MATCH($E53,'BY-Demands'!$I$5:$I$14,0),FALSE)*HLOOKUP(REG_TRA_DEMANDS!$F53,DEMANDS!$G$2:$CK$25,MATCH($E53,DEMANDS!$E$2:$E$25,0),FALSE)/HLOOKUP(2018,DEMANDS!$G$2:$CK$25,MATCH($E53,DEMANDS!$E$2:$E$25,0),FALSE)</f>
        <v>1.0677617143558387</v>
      </c>
      <c r="K53" s="18">
        <f>HLOOKUP(REG_TRA_DEMANDS!K$3,'BY-Demands'!$J$5:$AK$14,MATCH($E53,'BY-Demands'!$I$5:$I$14,0),FALSE)*HLOOKUP(REG_TRA_DEMANDS!$F53,DEMANDS!$G$2:$CK$25,MATCH($E53,DEMANDS!$E$2:$E$25,0),FALSE)/HLOOKUP(2018,DEMANDS!$G$2:$CK$25,MATCH($E53,DEMANDS!$E$2:$E$25,0),FALSE)</f>
        <v>0.80334671383787304</v>
      </c>
      <c r="L53" s="18">
        <f>HLOOKUP(REG_TRA_DEMANDS!L$3,'BY-Demands'!$J$5:$AK$14,MATCH($E53,'BY-Demands'!$I$5:$I$14,0),FALSE)*HLOOKUP(REG_TRA_DEMANDS!$F53,DEMANDS!$G$2:$CK$25,MATCH($E53,DEMANDS!$E$2:$E$25,0),FALSE)/HLOOKUP(2018,DEMANDS!$G$2:$CK$25,MATCH($E53,DEMANDS!$E$2:$E$25,0),FALSE)</f>
        <v>0.41388008956573813</v>
      </c>
      <c r="M53" s="18">
        <f>HLOOKUP(REG_TRA_DEMANDS!M$3,'BY-Demands'!$J$5:$AK$14,MATCH($E53,'BY-Demands'!$I$5:$I$14,0),FALSE)*HLOOKUP(REG_TRA_DEMANDS!$F53,DEMANDS!$G$2:$CK$25,MATCH($E53,DEMANDS!$E$2:$E$25,0),FALSE)/HLOOKUP(2018,DEMANDS!$G$2:$CK$25,MATCH($E53,DEMANDS!$E$2:$E$25,0),FALSE)</f>
        <v>1.1148076278660233</v>
      </c>
      <c r="N53" s="18">
        <f>HLOOKUP(REG_TRA_DEMANDS!N$3,'BY-Demands'!$J$5:$AK$14,MATCH($E53,'BY-Demands'!$I$5:$I$14,0),FALSE)*HLOOKUP(REG_TRA_DEMANDS!$F53,DEMANDS!$G$2:$CK$25,MATCH($E53,DEMANDS!$E$2:$E$25,0),FALSE)/HLOOKUP(2018,DEMANDS!$G$2:$CK$25,MATCH($E53,DEMANDS!$E$2:$E$25,0),FALSE)</f>
        <v>1.9354334726007174</v>
      </c>
      <c r="O53" s="18">
        <f>HLOOKUP(REG_TRA_DEMANDS!O$3,'BY-Demands'!$J$5:$AK$14,MATCH($E53,'BY-Demands'!$I$5:$I$14,0),FALSE)*HLOOKUP(REG_TRA_DEMANDS!$F53,DEMANDS!$G$2:$CK$25,MATCH($E53,DEMANDS!$E$2:$E$25,0),FALSE)/HLOOKUP(2018,DEMANDS!$G$2:$CK$25,MATCH($E53,DEMANDS!$E$2:$E$25,0),FALSE)</f>
        <v>0.82021874430573871</v>
      </c>
      <c r="P53" s="18">
        <f>HLOOKUP(REG_TRA_DEMANDS!P$3,'BY-Demands'!$J$5:$AK$14,MATCH($E53,'BY-Demands'!$I$5:$I$14,0),FALSE)*HLOOKUP(REG_TRA_DEMANDS!$F53,DEMANDS!$G$2:$CK$25,MATCH($E53,DEMANDS!$E$2:$E$25,0),FALSE)/HLOOKUP(2018,DEMANDS!$G$2:$CK$25,MATCH($E53,DEMANDS!$E$2:$E$25,0),FALSE)</f>
        <v>0.92590179445898912</v>
      </c>
      <c r="Q53" s="18">
        <f>HLOOKUP(REG_TRA_DEMANDS!Q$3,'BY-Demands'!$J$5:$AK$14,MATCH($E53,'BY-Demands'!$I$5:$I$14,0),FALSE)*HLOOKUP(REG_TRA_DEMANDS!$F53,DEMANDS!$G$2:$CK$25,MATCH($E53,DEMANDS!$E$2:$E$25,0),FALSE)/HLOOKUP(2018,DEMANDS!$G$2:$CK$25,MATCH($E53,DEMANDS!$E$2:$E$25,0),FALSE)</f>
        <v>1.6421110552270324</v>
      </c>
      <c r="R53" s="18">
        <f>HLOOKUP(REG_TRA_DEMANDS!R$3,'BY-Demands'!$J$5:$AK$14,MATCH($E53,'BY-Demands'!$I$5:$I$14,0),FALSE)*HLOOKUP(REG_TRA_DEMANDS!$F53,DEMANDS!$G$2:$CK$25,MATCH($E53,DEMANDS!$E$2:$E$25,0),FALSE)/HLOOKUP(2018,DEMANDS!$G$2:$CK$25,MATCH($E53,DEMANDS!$E$2:$E$25,0),FALSE)</f>
        <v>1.3934764596478089</v>
      </c>
      <c r="S53" s="18">
        <f>HLOOKUP(REG_TRA_DEMANDS!S$3,'BY-Demands'!$J$5:$AK$14,MATCH($E53,'BY-Demands'!$I$5:$I$14,0),FALSE)*HLOOKUP(REG_TRA_DEMANDS!$F53,DEMANDS!$G$2:$CK$25,MATCH($E53,DEMANDS!$E$2:$E$25,0),FALSE)/HLOOKUP(2018,DEMANDS!$G$2:$CK$25,MATCH($E53,DEMANDS!$E$2:$E$25,0),FALSE)</f>
        <v>1.2638138262127447</v>
      </c>
      <c r="T53" s="18">
        <f>HLOOKUP(REG_TRA_DEMANDS!T$3,'BY-Demands'!$J$5:$AK$14,MATCH($E53,'BY-Demands'!$I$5:$I$14,0),FALSE)*HLOOKUP(REG_TRA_DEMANDS!$F53,DEMANDS!$G$2:$CK$25,MATCH($E53,DEMANDS!$E$2:$E$25,0),FALSE)/HLOOKUP(2018,DEMANDS!$G$2:$CK$25,MATCH($E53,DEMANDS!$E$2:$E$25,0),FALSE)</f>
        <v>5.1074682739924437</v>
      </c>
      <c r="U53" s="18">
        <f>HLOOKUP(REG_TRA_DEMANDS!U$3,'BY-Demands'!$J$5:$AK$14,MATCH($E53,'BY-Demands'!$I$5:$I$14,0),FALSE)*HLOOKUP(REG_TRA_DEMANDS!$F53,DEMANDS!$G$2:$CK$25,MATCH($E53,DEMANDS!$E$2:$E$25,0),FALSE)/HLOOKUP(2018,DEMANDS!$G$2:$CK$25,MATCH($E53,DEMANDS!$E$2:$E$25,0),FALSE)</f>
        <v>1.6716729927575216</v>
      </c>
      <c r="V53" s="18">
        <f>HLOOKUP(REG_TRA_DEMANDS!V$3,'BY-Demands'!$J$5:$AK$14,MATCH($E53,'BY-Demands'!$I$5:$I$14,0),FALSE)*HLOOKUP(REG_TRA_DEMANDS!$F53,DEMANDS!$G$2:$CK$25,MATCH($E53,DEMANDS!$E$2:$E$25,0),FALSE)/HLOOKUP(2018,DEMANDS!$G$2:$CK$25,MATCH($E53,DEMANDS!$E$2:$E$25,0),FALSE)</f>
        <v>1.8827339447285707</v>
      </c>
      <c r="W53" s="18">
        <f>HLOOKUP(REG_TRA_DEMANDS!W$3,'BY-Demands'!$J$5:$AK$14,MATCH($E53,'BY-Demands'!$I$5:$I$14,0),FALSE)*HLOOKUP(REG_TRA_DEMANDS!$F53,DEMANDS!$G$2:$CK$25,MATCH($E53,DEMANDS!$E$2:$E$25,0),FALSE)/HLOOKUP(2018,DEMANDS!$G$2:$CK$25,MATCH($E53,DEMANDS!$E$2:$E$25,0),FALSE)</f>
        <v>1.8260288525531752</v>
      </c>
      <c r="X53" s="18">
        <f>HLOOKUP(REG_TRA_DEMANDS!X$3,'BY-Demands'!$J$5:$AK$14,MATCH($E53,'BY-Demands'!$I$5:$I$14,0),FALSE)*HLOOKUP(REG_TRA_DEMANDS!$F53,DEMANDS!$G$2:$CK$25,MATCH($E53,DEMANDS!$E$2:$E$25,0),FALSE)/HLOOKUP(2018,DEMANDS!$G$2:$CK$25,MATCH($E53,DEMANDS!$E$2:$E$25,0),FALSE)</f>
        <v>1.15199963315302</v>
      </c>
      <c r="Y53" s="18">
        <f>HLOOKUP(REG_TRA_DEMANDS!Y$3,'BY-Demands'!$J$5:$AK$14,MATCH($E53,'BY-Demands'!$I$5:$I$14,0),FALSE)*HLOOKUP(REG_TRA_DEMANDS!$F53,DEMANDS!$G$2:$CK$25,MATCH($E53,DEMANDS!$E$2:$E$25,0),FALSE)/HLOOKUP(2018,DEMANDS!$G$2:$CK$25,MATCH($E53,DEMANDS!$E$2:$E$25,0),FALSE)</f>
        <v>2.5792578484828019</v>
      </c>
      <c r="Z53" s="18">
        <f>HLOOKUP(REG_TRA_DEMANDS!Z$3,'BY-Demands'!$J$5:$AK$14,MATCH($E53,'BY-Demands'!$I$5:$I$14,0),FALSE)*HLOOKUP(REG_TRA_DEMANDS!$F53,DEMANDS!$G$2:$CK$25,MATCH($E53,DEMANDS!$E$2:$E$25,0),FALSE)/HLOOKUP(2018,DEMANDS!$G$2:$CK$25,MATCH($E53,DEMANDS!$E$2:$E$25,0),FALSE)</f>
        <v>0.33804322587850616</v>
      </c>
      <c r="AA53" s="18">
        <f>HLOOKUP(REG_TRA_DEMANDS!AA$3,'BY-Demands'!$J$5:$AK$14,MATCH($E53,'BY-Demands'!$I$5:$I$14,0),FALSE)*HLOOKUP(REG_TRA_DEMANDS!$F53,DEMANDS!$G$2:$CK$25,MATCH($E53,DEMANDS!$E$2:$E$25,0),FALSE)/HLOOKUP(2018,DEMANDS!$G$2:$CK$25,MATCH($E53,DEMANDS!$E$2:$E$25,0),FALSE)</f>
        <v>1.4284728912442879</v>
      </c>
      <c r="AB53" s="18">
        <f>HLOOKUP(REG_TRA_DEMANDS!AB$3,'BY-Demands'!$J$5:$AK$14,MATCH($E53,'BY-Demands'!$I$5:$I$14,0),FALSE)*HLOOKUP(REG_TRA_DEMANDS!$F53,DEMANDS!$G$2:$CK$25,MATCH($E53,DEMANDS!$E$2:$E$25,0),FALSE)/HLOOKUP(2018,DEMANDS!$G$2:$CK$25,MATCH($E53,DEMANDS!$E$2:$E$25,0),FALSE)</f>
        <v>0.76913384556814524</v>
      </c>
      <c r="AC53" s="18">
        <f>HLOOKUP(REG_TRA_DEMANDS!AC$3,'BY-Demands'!$J$5:$AK$14,MATCH($E53,'BY-Demands'!$I$5:$I$14,0),FALSE)*HLOOKUP(REG_TRA_DEMANDS!$F53,DEMANDS!$G$2:$CK$25,MATCH($E53,DEMANDS!$E$2:$E$25,0),FALSE)/HLOOKUP(2018,DEMANDS!$G$2:$CK$25,MATCH($E53,DEMANDS!$E$2:$E$25,0),FALSE)</f>
        <v>0.62745571464572114</v>
      </c>
      <c r="AD53" s="18">
        <f>HLOOKUP(REG_TRA_DEMANDS!AD$3,'BY-Demands'!$J$5:$AK$14,MATCH($E53,'BY-Demands'!$I$5:$I$14,0),FALSE)*HLOOKUP(REG_TRA_DEMANDS!$F53,DEMANDS!$G$2:$CK$25,MATCH($E53,DEMANDS!$E$2:$E$25,0),FALSE)/HLOOKUP(2018,DEMANDS!$G$2:$CK$25,MATCH($E53,DEMANDS!$E$2:$E$25,0),FALSE)</f>
        <v>0.68177584257760415</v>
      </c>
      <c r="AE53" s="18">
        <f>HLOOKUP(REG_TRA_DEMANDS!AE$3,'BY-Demands'!$J$5:$AK$14,MATCH($E53,'BY-Demands'!$I$5:$I$14,0),FALSE)*HLOOKUP(REG_TRA_DEMANDS!$F53,DEMANDS!$G$2:$CK$25,MATCH($E53,DEMANDS!$E$2:$E$25,0),FALSE)/HLOOKUP(2018,DEMANDS!$G$2:$CK$25,MATCH($E53,DEMANDS!$E$2:$E$25,0),FALSE)</f>
        <v>1.2556005155244772</v>
      </c>
      <c r="AF53" s="18">
        <f>HLOOKUP(REG_TRA_DEMANDS!AF$3,'BY-Demands'!$J$5:$AK$14,MATCH($E53,'BY-Demands'!$I$5:$I$14,0),FALSE)*HLOOKUP(REG_TRA_DEMANDS!$F53,DEMANDS!$G$2:$CK$25,MATCH($E53,DEMANDS!$E$2:$E$25,0),FALSE)/HLOOKUP(2018,DEMANDS!$G$2:$CK$25,MATCH($E53,DEMANDS!$E$2:$E$25,0),FALSE)</f>
        <v>0.69053267618302816</v>
      </c>
    </row>
    <row r="54" spans="4:32" ht="14.4">
      <c r="D54" t="s">
        <v>6</v>
      </c>
      <c r="E54" t="str">
        <f>DEMANDS!$E$18</f>
        <v>TRAPM</v>
      </c>
      <c r="F54">
        <v>2055</v>
      </c>
      <c r="G54" s="18">
        <f>HLOOKUP(REG_TRA_DEMANDS!G$3,'BY-Demands'!$J$5:$AK$14,MATCH($E54,'BY-Demands'!$I$5:$I$14,0),FALSE)*HLOOKUP(REG_TRA_DEMANDS!$F54,DEMANDS!$G$2:$CK$25,MATCH($E54,DEMANDS!$E$2:$E$25,0),FALSE)/HLOOKUP(2018,DEMANDS!$G$2:$CK$25,MATCH($E54,DEMANDS!$E$2:$E$25,0),FALSE)</f>
        <v>0.64944725008427273</v>
      </c>
      <c r="H54" s="18">
        <f>HLOOKUP(REG_TRA_DEMANDS!H$3,'BY-Demands'!$J$5:$AK$14,MATCH($E54,'BY-Demands'!$I$5:$I$14,0),FALSE)*HLOOKUP(REG_TRA_DEMANDS!$F54,DEMANDS!$G$2:$CK$25,MATCH($E54,DEMANDS!$E$2:$E$25,0),FALSE)/HLOOKUP(2018,DEMANDS!$G$2:$CK$25,MATCH($E54,DEMANDS!$E$2:$E$25,0),FALSE)</f>
        <v>11.373239934827517</v>
      </c>
      <c r="I54" s="18">
        <f>HLOOKUP(REG_TRA_DEMANDS!I$3,'BY-Demands'!$J$5:$AK$14,MATCH($E54,'BY-Demands'!$I$5:$I$14,0),FALSE)*HLOOKUP(REG_TRA_DEMANDS!$F54,DEMANDS!$G$2:$CK$25,MATCH($E54,DEMANDS!$E$2:$E$25,0),FALSE)/HLOOKUP(2018,DEMANDS!$G$2:$CK$25,MATCH($E54,DEMANDS!$E$2:$E$25,0),FALSE)</f>
        <v>2.3159535405651877</v>
      </c>
      <c r="J54" s="18">
        <f>HLOOKUP(REG_TRA_DEMANDS!J$3,'BY-Demands'!$J$5:$AK$14,MATCH($E54,'BY-Demands'!$I$5:$I$14,0),FALSE)*HLOOKUP(REG_TRA_DEMANDS!$F54,DEMANDS!$G$2:$CK$25,MATCH($E54,DEMANDS!$E$2:$E$25,0),FALSE)/HLOOKUP(2018,DEMANDS!$G$2:$CK$25,MATCH($E54,DEMANDS!$E$2:$E$25,0),FALSE)</f>
        <v>1.0998913303206945</v>
      </c>
      <c r="K54" s="18">
        <f>HLOOKUP(REG_TRA_DEMANDS!K$3,'BY-Demands'!$J$5:$AK$14,MATCH($E54,'BY-Demands'!$I$5:$I$14,0),FALSE)*HLOOKUP(REG_TRA_DEMANDS!$F54,DEMANDS!$G$2:$CK$25,MATCH($E54,DEMANDS!$E$2:$E$25,0),FALSE)/HLOOKUP(2018,DEMANDS!$G$2:$CK$25,MATCH($E54,DEMANDS!$E$2:$E$25,0),FALSE)</f>
        <v>0.82751991751732068</v>
      </c>
      <c r="L54" s="18">
        <f>HLOOKUP(REG_TRA_DEMANDS!L$3,'BY-Demands'!$J$5:$AK$14,MATCH($E54,'BY-Demands'!$I$5:$I$14,0),FALSE)*HLOOKUP(REG_TRA_DEMANDS!$F54,DEMANDS!$G$2:$CK$25,MATCH($E54,DEMANDS!$E$2:$E$25,0),FALSE)/HLOOKUP(2018,DEMANDS!$G$2:$CK$25,MATCH($E54,DEMANDS!$E$2:$E$25,0),FALSE)</f>
        <v>0.4263339996043366</v>
      </c>
      <c r="M54" s="18">
        <f>HLOOKUP(REG_TRA_DEMANDS!M$3,'BY-Demands'!$J$5:$AK$14,MATCH($E54,'BY-Demands'!$I$5:$I$14,0),FALSE)*HLOOKUP(REG_TRA_DEMANDS!$F54,DEMANDS!$G$2:$CK$25,MATCH($E54,DEMANDS!$E$2:$E$25,0),FALSE)/HLOOKUP(2018,DEMANDS!$G$2:$CK$25,MATCH($E54,DEMANDS!$E$2:$E$25,0),FALSE)</f>
        <v>1.1483528847116817</v>
      </c>
      <c r="N54" s="18">
        <f>HLOOKUP(REG_TRA_DEMANDS!N$3,'BY-Demands'!$J$5:$AK$14,MATCH($E54,'BY-Demands'!$I$5:$I$14,0),FALSE)*HLOOKUP(REG_TRA_DEMANDS!$F54,DEMANDS!$G$2:$CK$25,MATCH($E54,DEMANDS!$E$2:$E$25,0),FALSE)/HLOOKUP(2018,DEMANDS!$G$2:$CK$25,MATCH($E54,DEMANDS!$E$2:$E$25,0),FALSE)</f>
        <v>1.9936718729517764</v>
      </c>
      <c r="O54" s="18">
        <f>HLOOKUP(REG_TRA_DEMANDS!O$3,'BY-Demands'!$J$5:$AK$14,MATCH($E54,'BY-Demands'!$I$5:$I$14,0),FALSE)*HLOOKUP(REG_TRA_DEMANDS!$F54,DEMANDS!$G$2:$CK$25,MATCH($E54,DEMANDS!$E$2:$E$25,0),FALSE)/HLOOKUP(2018,DEMANDS!$G$2:$CK$25,MATCH($E54,DEMANDS!$E$2:$E$25,0),FALSE)</f>
        <v>0.84489963790531697</v>
      </c>
      <c r="P54" s="18">
        <f>HLOOKUP(REG_TRA_DEMANDS!P$3,'BY-Demands'!$J$5:$AK$14,MATCH($E54,'BY-Demands'!$I$5:$I$14,0),FALSE)*HLOOKUP(REG_TRA_DEMANDS!$F54,DEMANDS!$G$2:$CK$25,MATCH($E54,DEMANDS!$E$2:$E$25,0),FALSE)/HLOOKUP(2018,DEMANDS!$G$2:$CK$25,MATCH($E54,DEMANDS!$E$2:$E$25,0),FALSE)</f>
        <v>0.95376275695387047</v>
      </c>
      <c r="Q54" s="18">
        <f>HLOOKUP(REG_TRA_DEMANDS!Q$3,'BY-Demands'!$J$5:$AK$14,MATCH($E54,'BY-Demands'!$I$5:$I$14,0),FALSE)*HLOOKUP(REG_TRA_DEMANDS!$F54,DEMANDS!$G$2:$CK$25,MATCH($E54,DEMANDS!$E$2:$E$25,0),FALSE)/HLOOKUP(2018,DEMANDS!$G$2:$CK$25,MATCH($E54,DEMANDS!$E$2:$E$25,0),FALSE)</f>
        <v>1.6915232010894812</v>
      </c>
      <c r="R54" s="18">
        <f>HLOOKUP(REG_TRA_DEMANDS!R$3,'BY-Demands'!$J$5:$AK$14,MATCH($E54,'BY-Demands'!$I$5:$I$14,0),FALSE)*HLOOKUP(REG_TRA_DEMANDS!$F54,DEMANDS!$G$2:$CK$25,MATCH($E54,DEMANDS!$E$2:$E$25,0),FALSE)/HLOOKUP(2018,DEMANDS!$G$2:$CK$25,MATCH($E54,DEMANDS!$E$2:$E$25,0),FALSE)</f>
        <v>1.4354070354519446</v>
      </c>
      <c r="S54" s="18">
        <f>HLOOKUP(REG_TRA_DEMANDS!S$3,'BY-Demands'!$J$5:$AK$14,MATCH($E54,'BY-Demands'!$I$5:$I$14,0),FALSE)*HLOOKUP(REG_TRA_DEMANDS!$F54,DEMANDS!$G$2:$CK$25,MATCH($E54,DEMANDS!$E$2:$E$25,0),FALSE)/HLOOKUP(2018,DEMANDS!$G$2:$CK$25,MATCH($E54,DEMANDS!$E$2:$E$25,0),FALSE)</f>
        <v>1.3018427725041815</v>
      </c>
      <c r="T54" s="18">
        <f>HLOOKUP(REG_TRA_DEMANDS!T$3,'BY-Demands'!$J$5:$AK$14,MATCH($E54,'BY-Demands'!$I$5:$I$14,0),FALSE)*HLOOKUP(REG_TRA_DEMANDS!$F54,DEMANDS!$G$2:$CK$25,MATCH($E54,DEMANDS!$E$2:$E$25,0),FALSE)/HLOOKUP(2018,DEMANDS!$G$2:$CK$25,MATCH($E54,DEMANDS!$E$2:$E$25,0),FALSE)</f>
        <v>5.261155179965713</v>
      </c>
      <c r="U54" s="18">
        <f>HLOOKUP(REG_TRA_DEMANDS!U$3,'BY-Demands'!$J$5:$AK$14,MATCH($E54,'BY-Demands'!$I$5:$I$14,0),FALSE)*HLOOKUP(REG_TRA_DEMANDS!$F54,DEMANDS!$G$2:$CK$25,MATCH($E54,DEMANDS!$E$2:$E$25,0),FALSE)/HLOOKUP(2018,DEMANDS!$G$2:$CK$25,MATCH($E54,DEMANDS!$E$2:$E$25,0),FALSE)</f>
        <v>1.7219746757585115</v>
      </c>
      <c r="V54" s="18">
        <f>HLOOKUP(REG_TRA_DEMANDS!V$3,'BY-Demands'!$J$5:$AK$14,MATCH($E54,'BY-Demands'!$I$5:$I$14,0),FALSE)*HLOOKUP(REG_TRA_DEMANDS!$F54,DEMANDS!$G$2:$CK$25,MATCH($E54,DEMANDS!$E$2:$E$25,0),FALSE)/HLOOKUP(2018,DEMANDS!$G$2:$CK$25,MATCH($E54,DEMANDS!$E$2:$E$25,0),FALSE)</f>
        <v>1.9393865834164268</v>
      </c>
      <c r="W54" s="18">
        <f>HLOOKUP(REG_TRA_DEMANDS!W$3,'BY-Demands'!$J$5:$AK$14,MATCH($E54,'BY-Demands'!$I$5:$I$14,0),FALSE)*HLOOKUP(REG_TRA_DEMANDS!$F54,DEMANDS!$G$2:$CK$25,MATCH($E54,DEMANDS!$E$2:$E$25,0),FALSE)/HLOOKUP(2018,DEMANDS!$G$2:$CK$25,MATCH($E54,DEMANDS!$E$2:$E$25,0),FALSE)</f>
        <v>1.8809751996496098</v>
      </c>
      <c r="X54" s="18">
        <f>HLOOKUP(REG_TRA_DEMANDS!X$3,'BY-Demands'!$J$5:$AK$14,MATCH($E54,'BY-Demands'!$I$5:$I$14,0),FALSE)*HLOOKUP(REG_TRA_DEMANDS!$F54,DEMANDS!$G$2:$CK$25,MATCH($E54,DEMANDS!$E$2:$E$25,0),FALSE)/HLOOKUP(2018,DEMANDS!$G$2:$CK$25,MATCH($E54,DEMANDS!$E$2:$E$25,0),FALSE)</f>
        <v>1.186664020635007</v>
      </c>
      <c r="Y54" s="18">
        <f>HLOOKUP(REG_TRA_DEMANDS!Y$3,'BY-Demands'!$J$5:$AK$14,MATCH($E54,'BY-Demands'!$I$5:$I$14,0),FALSE)*HLOOKUP(REG_TRA_DEMANDS!$F54,DEMANDS!$G$2:$CK$25,MATCH($E54,DEMANDS!$E$2:$E$25,0),FALSE)/HLOOKUP(2018,DEMANDS!$G$2:$CK$25,MATCH($E54,DEMANDS!$E$2:$E$25,0),FALSE)</f>
        <v>2.656869325867611</v>
      </c>
      <c r="Z54" s="18">
        <f>HLOOKUP(REG_TRA_DEMANDS!Z$3,'BY-Demands'!$J$5:$AK$14,MATCH($E54,'BY-Demands'!$I$5:$I$14,0),FALSE)*HLOOKUP(REG_TRA_DEMANDS!$F54,DEMANDS!$G$2:$CK$25,MATCH($E54,DEMANDS!$E$2:$E$25,0),FALSE)/HLOOKUP(2018,DEMANDS!$G$2:$CK$25,MATCH($E54,DEMANDS!$E$2:$E$25,0),FALSE)</f>
        <v>0.34821515738810316</v>
      </c>
      <c r="AA54" s="18">
        <f>HLOOKUP(REG_TRA_DEMANDS!AA$3,'BY-Demands'!$J$5:$AK$14,MATCH($E54,'BY-Demands'!$I$5:$I$14,0),FALSE)*HLOOKUP(REG_TRA_DEMANDS!$F54,DEMANDS!$G$2:$CK$25,MATCH($E54,DEMANDS!$E$2:$E$25,0),FALSE)/HLOOKUP(2018,DEMANDS!$G$2:$CK$25,MATCH($E54,DEMANDS!$E$2:$E$25,0),FALSE)</f>
        <v>1.4714565315029897</v>
      </c>
      <c r="AB54" s="18">
        <f>HLOOKUP(REG_TRA_DEMANDS!AB$3,'BY-Demands'!$J$5:$AK$14,MATCH($E54,'BY-Demands'!$I$5:$I$14,0),FALSE)*HLOOKUP(REG_TRA_DEMANDS!$F54,DEMANDS!$G$2:$CK$25,MATCH($E54,DEMANDS!$E$2:$E$25,0),FALSE)/HLOOKUP(2018,DEMANDS!$G$2:$CK$25,MATCH($E54,DEMANDS!$E$2:$E$25,0),FALSE)</f>
        <v>0.79227756270224914</v>
      </c>
      <c r="AC54" s="18">
        <f>HLOOKUP(REG_TRA_DEMANDS!AC$3,'BY-Demands'!$J$5:$AK$14,MATCH($E54,'BY-Demands'!$I$5:$I$14,0),FALSE)*HLOOKUP(REG_TRA_DEMANDS!$F54,DEMANDS!$G$2:$CK$25,MATCH($E54,DEMANDS!$E$2:$E$25,0),FALSE)/HLOOKUP(2018,DEMANDS!$G$2:$CK$25,MATCH($E54,DEMANDS!$E$2:$E$25,0),FALSE)</f>
        <v>0.64633624845347559</v>
      </c>
      <c r="AD54" s="18">
        <f>HLOOKUP(REG_TRA_DEMANDS!AD$3,'BY-Demands'!$J$5:$AK$14,MATCH($E54,'BY-Demands'!$I$5:$I$14,0),FALSE)*HLOOKUP(REG_TRA_DEMANDS!$F54,DEMANDS!$G$2:$CK$25,MATCH($E54,DEMANDS!$E$2:$E$25,0),FALSE)/HLOOKUP(2018,DEMANDS!$G$2:$CK$25,MATCH($E54,DEMANDS!$E$2:$E$25,0),FALSE)</f>
        <v>0.70229090291515273</v>
      </c>
      <c r="AE54" s="18">
        <f>HLOOKUP(REG_TRA_DEMANDS!AE$3,'BY-Demands'!$J$5:$AK$14,MATCH($E54,'BY-Demands'!$I$5:$I$14,0),FALSE)*HLOOKUP(REG_TRA_DEMANDS!$F54,DEMANDS!$G$2:$CK$25,MATCH($E54,DEMANDS!$E$2:$E$25,0),FALSE)/HLOOKUP(2018,DEMANDS!$G$2:$CK$25,MATCH($E54,DEMANDS!$E$2:$E$25,0),FALSE)</f>
        <v>1.2933823181745321</v>
      </c>
      <c r="AF54" s="18">
        <f>HLOOKUP(REG_TRA_DEMANDS!AF$3,'BY-Demands'!$J$5:$AK$14,MATCH($E54,'BY-Demands'!$I$5:$I$14,0),FALSE)*HLOOKUP(REG_TRA_DEMANDS!$F54,DEMANDS!$G$2:$CK$25,MATCH($E54,DEMANDS!$E$2:$E$25,0),FALSE)/HLOOKUP(2018,DEMANDS!$G$2:$CK$25,MATCH($E54,DEMANDS!$E$2:$E$25,0),FALSE)</f>
        <v>0.71131123510553984</v>
      </c>
    </row>
    <row r="55" spans="4:32" ht="14.4">
      <c r="D55" t="s">
        <v>6</v>
      </c>
      <c r="E55" t="str">
        <f>DEMANDS!$E$18</f>
        <v>TRAPM</v>
      </c>
      <c r="F55">
        <v>2060</v>
      </c>
      <c r="G55" s="18">
        <f>HLOOKUP(REG_TRA_DEMANDS!G$3,'BY-Demands'!$J$5:$AK$14,MATCH($E55,'BY-Demands'!$I$5:$I$14,0),FALSE)*HLOOKUP(REG_TRA_DEMANDS!$F55,DEMANDS!$G$2:$CK$25,MATCH($E55,DEMANDS!$E$2:$E$25,0),FALSE)/HLOOKUP(2018,DEMANDS!$G$2:$CK$25,MATCH($E55,DEMANDS!$E$2:$E$25,0),FALSE)</f>
        <v>0.66696000182443971</v>
      </c>
      <c r="H55" s="18">
        <f>HLOOKUP(REG_TRA_DEMANDS!H$3,'BY-Demands'!$J$5:$AK$14,MATCH($E55,'BY-Demands'!$I$5:$I$14,0),FALSE)*HLOOKUP(REG_TRA_DEMANDS!$F55,DEMANDS!$G$2:$CK$25,MATCH($E55,DEMANDS!$E$2:$E$25,0),FALSE)/HLOOKUP(2018,DEMANDS!$G$2:$CK$25,MATCH($E55,DEMANDS!$E$2:$E$25,0),FALSE)</f>
        <v>11.679926470853564</v>
      </c>
      <c r="I55" s="18">
        <f>HLOOKUP(REG_TRA_DEMANDS!I$3,'BY-Demands'!$J$5:$AK$14,MATCH($E55,'BY-Demands'!$I$5:$I$14,0),FALSE)*HLOOKUP(REG_TRA_DEMANDS!$F55,DEMANDS!$G$2:$CK$25,MATCH($E55,DEMANDS!$E$2:$E$25,0),FALSE)/HLOOKUP(2018,DEMANDS!$G$2:$CK$25,MATCH($E55,DEMANDS!$E$2:$E$25,0),FALSE)</f>
        <v>2.3784046778860652</v>
      </c>
      <c r="J55" s="18">
        <f>HLOOKUP(REG_TRA_DEMANDS!J$3,'BY-Demands'!$J$5:$AK$14,MATCH($E55,'BY-Demands'!$I$5:$I$14,0),FALSE)*HLOOKUP(REG_TRA_DEMANDS!$F55,DEMANDS!$G$2:$CK$25,MATCH($E55,DEMANDS!$E$2:$E$25,0),FALSE)/HLOOKUP(2018,DEMANDS!$G$2:$CK$25,MATCH($E55,DEMANDS!$E$2:$E$25,0),FALSE)</f>
        <v>1.1295505887232342</v>
      </c>
      <c r="K55" s="18">
        <f>HLOOKUP(REG_TRA_DEMANDS!K$3,'BY-Demands'!$J$5:$AK$14,MATCH($E55,'BY-Demands'!$I$5:$I$14,0),FALSE)*HLOOKUP(REG_TRA_DEMANDS!$F55,DEMANDS!$G$2:$CK$25,MATCH($E55,DEMANDS!$E$2:$E$25,0),FALSE)/HLOOKUP(2018,DEMANDS!$G$2:$CK$25,MATCH($E55,DEMANDS!$E$2:$E$25,0),FALSE)</f>
        <v>0.84983451023234702</v>
      </c>
      <c r="L55" s="18">
        <f>HLOOKUP(REG_TRA_DEMANDS!L$3,'BY-Demands'!$J$5:$AK$14,MATCH($E55,'BY-Demands'!$I$5:$I$14,0),FALSE)*HLOOKUP(REG_TRA_DEMANDS!$F55,DEMANDS!$G$2:$CK$25,MATCH($E55,DEMANDS!$E$2:$E$25,0),FALSE)/HLOOKUP(2018,DEMANDS!$G$2:$CK$25,MATCH($E55,DEMANDS!$E$2:$E$25,0),FALSE)</f>
        <v>0.43783036284630034</v>
      </c>
      <c r="M55" s="18">
        <f>HLOOKUP(REG_TRA_DEMANDS!M$3,'BY-Demands'!$J$5:$AK$14,MATCH($E55,'BY-Demands'!$I$5:$I$14,0),FALSE)*HLOOKUP(REG_TRA_DEMANDS!$F55,DEMANDS!$G$2:$CK$25,MATCH($E55,DEMANDS!$E$2:$E$25,0),FALSE)/HLOOKUP(2018,DEMANDS!$G$2:$CK$25,MATCH($E55,DEMANDS!$E$2:$E$25,0),FALSE)</f>
        <v>1.1793189392718493</v>
      </c>
      <c r="N55" s="18">
        <f>HLOOKUP(REG_TRA_DEMANDS!N$3,'BY-Demands'!$J$5:$AK$14,MATCH($E55,'BY-Demands'!$I$5:$I$14,0),FALSE)*HLOOKUP(REG_TRA_DEMANDS!$F55,DEMANDS!$G$2:$CK$25,MATCH($E55,DEMANDS!$E$2:$E$25,0),FALSE)/HLOOKUP(2018,DEMANDS!$G$2:$CK$25,MATCH($E55,DEMANDS!$E$2:$E$25,0),FALSE)</f>
        <v>2.0474324833136306</v>
      </c>
      <c r="O55" s="18">
        <f>HLOOKUP(REG_TRA_DEMANDS!O$3,'BY-Demands'!$J$5:$AK$14,MATCH($E55,'BY-Demands'!$I$5:$I$14,0),FALSE)*HLOOKUP(REG_TRA_DEMANDS!$F55,DEMANDS!$G$2:$CK$25,MATCH($E55,DEMANDS!$E$2:$E$25,0),FALSE)/HLOOKUP(2018,DEMANDS!$G$2:$CK$25,MATCH($E55,DEMANDS!$E$2:$E$25,0),FALSE)</f>
        <v>0.8676828856626565</v>
      </c>
      <c r="P55" s="18">
        <f>HLOOKUP(REG_TRA_DEMANDS!P$3,'BY-Demands'!$J$5:$AK$14,MATCH($E55,'BY-Demands'!$I$5:$I$14,0),FALSE)*HLOOKUP(REG_TRA_DEMANDS!$F55,DEMANDS!$G$2:$CK$25,MATCH($E55,DEMANDS!$E$2:$E$25,0),FALSE)/HLOOKUP(2018,DEMANDS!$G$2:$CK$25,MATCH($E55,DEMANDS!$E$2:$E$25,0),FALSE)</f>
        <v>0.97948156687936183</v>
      </c>
      <c r="Q55" s="18">
        <f>HLOOKUP(REG_TRA_DEMANDS!Q$3,'BY-Demands'!$J$5:$AK$14,MATCH($E55,'BY-Demands'!$I$5:$I$14,0),FALSE)*HLOOKUP(REG_TRA_DEMANDS!$F55,DEMANDS!$G$2:$CK$25,MATCH($E55,DEMANDS!$E$2:$E$25,0),FALSE)/HLOOKUP(2018,DEMANDS!$G$2:$CK$25,MATCH($E55,DEMANDS!$E$2:$E$25,0),FALSE)</f>
        <v>1.7371361833287142</v>
      </c>
      <c r="R55" s="18">
        <f>HLOOKUP(REG_TRA_DEMANDS!R$3,'BY-Demands'!$J$5:$AK$14,MATCH($E55,'BY-Demands'!$I$5:$I$14,0),FALSE)*HLOOKUP(REG_TRA_DEMANDS!$F55,DEMANDS!$G$2:$CK$25,MATCH($E55,DEMANDS!$E$2:$E$25,0),FALSE)/HLOOKUP(2018,DEMANDS!$G$2:$CK$25,MATCH($E55,DEMANDS!$E$2:$E$25,0),FALSE)</f>
        <v>1.4741136849214698</v>
      </c>
      <c r="S55" s="18">
        <f>HLOOKUP(REG_TRA_DEMANDS!S$3,'BY-Demands'!$J$5:$AK$14,MATCH($E55,'BY-Demands'!$I$5:$I$14,0),FALSE)*HLOOKUP(REG_TRA_DEMANDS!$F55,DEMANDS!$G$2:$CK$25,MATCH($E55,DEMANDS!$E$2:$E$25,0),FALSE)/HLOOKUP(2018,DEMANDS!$G$2:$CK$25,MATCH($E55,DEMANDS!$E$2:$E$25,0),FALSE)</f>
        <v>1.3369477779940624</v>
      </c>
      <c r="T55" s="18">
        <f>HLOOKUP(REG_TRA_DEMANDS!T$3,'BY-Demands'!$J$5:$AK$14,MATCH($E55,'BY-Demands'!$I$5:$I$14,0),FALSE)*HLOOKUP(REG_TRA_DEMANDS!$F55,DEMANDS!$G$2:$CK$25,MATCH($E55,DEMANDS!$E$2:$E$25,0),FALSE)/HLOOKUP(2018,DEMANDS!$G$2:$CK$25,MATCH($E55,DEMANDS!$E$2:$E$25,0),FALSE)</f>
        <v>5.4030255235868108</v>
      </c>
      <c r="U55" s="18">
        <f>HLOOKUP(REG_TRA_DEMANDS!U$3,'BY-Demands'!$J$5:$AK$14,MATCH($E55,'BY-Demands'!$I$5:$I$14,0),FALSE)*HLOOKUP(REG_TRA_DEMANDS!$F55,DEMANDS!$G$2:$CK$25,MATCH($E55,DEMANDS!$E$2:$E$25,0),FALSE)/HLOOKUP(2018,DEMANDS!$G$2:$CK$25,MATCH($E55,DEMANDS!$E$2:$E$25,0),FALSE)</f>
        <v>1.7684088010789285</v>
      </c>
      <c r="V55" s="18">
        <f>HLOOKUP(REG_TRA_DEMANDS!V$3,'BY-Demands'!$J$5:$AK$14,MATCH($E55,'BY-Demands'!$I$5:$I$14,0),FALSE)*HLOOKUP(REG_TRA_DEMANDS!$F55,DEMANDS!$G$2:$CK$25,MATCH($E55,DEMANDS!$E$2:$E$25,0),FALSE)/HLOOKUP(2018,DEMANDS!$G$2:$CK$25,MATCH($E55,DEMANDS!$E$2:$E$25,0),FALSE)</f>
        <v>1.9916833569560413</v>
      </c>
      <c r="W55" s="18">
        <f>HLOOKUP(REG_TRA_DEMANDS!W$3,'BY-Demands'!$J$5:$AK$14,MATCH($E55,'BY-Demands'!$I$5:$I$14,0),FALSE)*HLOOKUP(REG_TRA_DEMANDS!$F55,DEMANDS!$G$2:$CK$25,MATCH($E55,DEMANDS!$E$2:$E$25,0),FALSE)/HLOOKUP(2018,DEMANDS!$G$2:$CK$25,MATCH($E55,DEMANDS!$E$2:$E$25,0),FALSE)</f>
        <v>1.9316968736525413</v>
      </c>
      <c r="X55" s="18">
        <f>HLOOKUP(REG_TRA_DEMANDS!X$3,'BY-Demands'!$J$5:$AK$14,MATCH($E55,'BY-Demands'!$I$5:$I$14,0),FALSE)*HLOOKUP(REG_TRA_DEMANDS!$F55,DEMANDS!$G$2:$CK$25,MATCH($E55,DEMANDS!$E$2:$E$25,0),FALSE)/HLOOKUP(2018,DEMANDS!$G$2:$CK$25,MATCH($E55,DEMANDS!$E$2:$E$25,0),FALSE)</f>
        <v>1.2186631589632895</v>
      </c>
      <c r="Y55" s="18">
        <f>HLOOKUP(REG_TRA_DEMANDS!Y$3,'BY-Demands'!$J$5:$AK$14,MATCH($E55,'BY-Demands'!$I$5:$I$14,0),FALSE)*HLOOKUP(REG_TRA_DEMANDS!$F55,DEMANDS!$G$2:$CK$25,MATCH($E55,DEMANDS!$E$2:$E$25,0),FALSE)/HLOOKUP(2018,DEMANDS!$G$2:$CK$25,MATCH($E55,DEMANDS!$E$2:$E$25,0),FALSE)</f>
        <v>2.7285134707984686</v>
      </c>
      <c r="Z55" s="18">
        <f>HLOOKUP(REG_TRA_DEMANDS!Z$3,'BY-Demands'!$J$5:$AK$14,MATCH($E55,'BY-Demands'!$I$5:$I$14,0),FALSE)*HLOOKUP(REG_TRA_DEMANDS!$F55,DEMANDS!$G$2:$CK$25,MATCH($E55,DEMANDS!$E$2:$E$25,0),FALSE)/HLOOKUP(2018,DEMANDS!$G$2:$CK$25,MATCH($E55,DEMANDS!$E$2:$E$25,0),FALSE)</f>
        <v>0.35760499713676586</v>
      </c>
      <c r="AA55" s="18">
        <f>HLOOKUP(REG_TRA_DEMANDS!AA$3,'BY-Demands'!$J$5:$AK$14,MATCH($E55,'BY-Demands'!$I$5:$I$14,0),FALSE)*HLOOKUP(REG_TRA_DEMANDS!$F55,DEMANDS!$G$2:$CK$25,MATCH($E55,DEMANDS!$E$2:$E$25,0),FALSE)/HLOOKUP(2018,DEMANDS!$G$2:$CK$25,MATCH($E55,DEMANDS!$E$2:$E$25,0),FALSE)</f>
        <v>1.5111352782053822</v>
      </c>
      <c r="AB55" s="18">
        <f>HLOOKUP(REG_TRA_DEMANDS!AB$3,'BY-Demands'!$J$5:$AK$14,MATCH($E55,'BY-Demands'!$I$5:$I$14,0),FALSE)*HLOOKUP(REG_TRA_DEMANDS!$F55,DEMANDS!$G$2:$CK$25,MATCH($E55,DEMANDS!$E$2:$E$25,0),FALSE)/HLOOKUP(2018,DEMANDS!$G$2:$CK$25,MATCH($E55,DEMANDS!$E$2:$E$25,0),FALSE)</f>
        <v>0.81364182325321555</v>
      </c>
      <c r="AC55" s="18">
        <f>HLOOKUP(REG_TRA_DEMANDS!AC$3,'BY-Demands'!$J$5:$AK$14,MATCH($E55,'BY-Demands'!$I$5:$I$14,0),FALSE)*HLOOKUP(REG_TRA_DEMANDS!$F55,DEMANDS!$G$2:$CK$25,MATCH($E55,DEMANDS!$E$2:$E$25,0),FALSE)/HLOOKUP(2018,DEMANDS!$G$2:$CK$25,MATCH($E55,DEMANDS!$E$2:$E$25,0),FALSE)</f>
        <v>0.6637651100867612</v>
      </c>
      <c r="AD55" s="18">
        <f>HLOOKUP(REG_TRA_DEMANDS!AD$3,'BY-Demands'!$J$5:$AK$14,MATCH($E55,'BY-Demands'!$I$5:$I$14,0),FALSE)*HLOOKUP(REG_TRA_DEMANDS!$F55,DEMANDS!$G$2:$CK$25,MATCH($E55,DEMANDS!$E$2:$E$25,0),FALSE)/HLOOKUP(2018,DEMANDS!$G$2:$CK$25,MATCH($E55,DEMANDS!$E$2:$E$25,0),FALSE)</f>
        <v>0.72122861684116435</v>
      </c>
      <c r="AE55" s="18">
        <f>HLOOKUP(REG_TRA_DEMANDS!AE$3,'BY-Demands'!$J$5:$AK$14,MATCH($E55,'BY-Demands'!$I$5:$I$14,0),FALSE)*HLOOKUP(REG_TRA_DEMANDS!$F55,DEMANDS!$G$2:$CK$25,MATCH($E55,DEMANDS!$E$2:$E$25,0),FALSE)/HLOOKUP(2018,DEMANDS!$G$2:$CK$25,MATCH($E55,DEMANDS!$E$2:$E$25,0),FALSE)</f>
        <v>1.3282591822160277</v>
      </c>
      <c r="AF55" s="18">
        <f>HLOOKUP(REG_TRA_DEMANDS!AF$3,'BY-Demands'!$J$5:$AK$14,MATCH($E55,'BY-Demands'!$I$5:$I$14,0),FALSE)*HLOOKUP(REG_TRA_DEMANDS!$F55,DEMANDS!$G$2:$CK$25,MATCH($E55,DEMANDS!$E$2:$E$25,0),FALSE)/HLOOKUP(2018,DEMANDS!$G$2:$CK$25,MATCH($E55,DEMANDS!$E$2:$E$25,0),FALSE)</f>
        <v>0.73049218793701065</v>
      </c>
    </row>
    <row r="56" spans="4:32" ht="14.4">
      <c r="D56" t="s">
        <v>6</v>
      </c>
      <c r="E56" t="str">
        <f>DEMANDS!$E$18</f>
        <v>TRAPM</v>
      </c>
      <c r="F56">
        <v>2065</v>
      </c>
      <c r="G56" s="18">
        <f>HLOOKUP(REG_TRA_DEMANDS!G$3,'BY-Demands'!$J$5:$AK$14,MATCH($E56,'BY-Demands'!$I$5:$I$14,0),FALSE)*HLOOKUP(REG_TRA_DEMANDS!$F56,DEMANDS!$G$2:$CK$25,MATCH($E56,DEMANDS!$E$2:$E$25,0),FALSE)/HLOOKUP(2018,DEMANDS!$G$2:$CK$25,MATCH($E56,DEMANDS!$E$2:$E$25,0),FALSE)</f>
        <v>0.677121524100186</v>
      </c>
      <c r="H56" s="18">
        <f>HLOOKUP(REG_TRA_DEMANDS!H$3,'BY-Demands'!$J$5:$AK$14,MATCH($E56,'BY-Demands'!$I$5:$I$14,0),FALSE)*HLOOKUP(REG_TRA_DEMANDS!$F56,DEMANDS!$G$2:$CK$25,MATCH($E56,DEMANDS!$E$2:$E$25,0),FALSE)/HLOOKUP(2018,DEMANDS!$G$2:$CK$25,MATCH($E56,DEMANDS!$E$2:$E$25,0),FALSE)</f>
        <v>11.857876921687193</v>
      </c>
      <c r="I56" s="18">
        <f>HLOOKUP(REG_TRA_DEMANDS!I$3,'BY-Demands'!$J$5:$AK$14,MATCH($E56,'BY-Demands'!$I$5:$I$14,0),FALSE)*HLOOKUP(REG_TRA_DEMANDS!$F56,DEMANDS!$G$2:$CK$25,MATCH($E56,DEMANDS!$E$2:$E$25,0),FALSE)/HLOOKUP(2018,DEMANDS!$G$2:$CK$25,MATCH($E56,DEMANDS!$E$2:$E$25,0),FALSE)</f>
        <v>2.4146410519549257</v>
      </c>
      <c r="J56" s="18">
        <f>HLOOKUP(REG_TRA_DEMANDS!J$3,'BY-Demands'!$J$5:$AK$14,MATCH($E56,'BY-Demands'!$I$5:$I$14,0),FALSE)*HLOOKUP(REG_TRA_DEMANDS!$F56,DEMANDS!$G$2:$CK$25,MATCH($E56,DEMANDS!$E$2:$E$25,0),FALSE)/HLOOKUP(2018,DEMANDS!$G$2:$CK$25,MATCH($E56,DEMANDS!$E$2:$E$25,0),FALSE)</f>
        <v>1.1467599467619414</v>
      </c>
      <c r="K56" s="18">
        <f>HLOOKUP(REG_TRA_DEMANDS!K$3,'BY-Demands'!$J$5:$AK$14,MATCH($E56,'BY-Demands'!$I$5:$I$14,0),FALSE)*HLOOKUP(REG_TRA_DEMANDS!$F56,DEMANDS!$G$2:$CK$25,MATCH($E56,DEMANDS!$E$2:$E$25,0),FALSE)/HLOOKUP(2018,DEMANDS!$G$2:$CK$25,MATCH($E56,DEMANDS!$E$2:$E$25,0),FALSE)</f>
        <v>0.8627822316591216</v>
      </c>
      <c r="L56" s="18">
        <f>HLOOKUP(REG_TRA_DEMANDS!L$3,'BY-Demands'!$J$5:$AK$14,MATCH($E56,'BY-Demands'!$I$5:$I$14,0),FALSE)*HLOOKUP(REG_TRA_DEMANDS!$F56,DEMANDS!$G$2:$CK$25,MATCH($E56,DEMANDS!$E$2:$E$25,0),FALSE)/HLOOKUP(2018,DEMANDS!$G$2:$CK$25,MATCH($E56,DEMANDS!$E$2:$E$25,0),FALSE)</f>
        <v>0.44450096224190216</v>
      </c>
      <c r="M56" s="18">
        <f>HLOOKUP(REG_TRA_DEMANDS!M$3,'BY-Demands'!$J$5:$AK$14,MATCH($E56,'BY-Demands'!$I$5:$I$14,0),FALSE)*HLOOKUP(REG_TRA_DEMANDS!$F56,DEMANDS!$G$2:$CK$25,MATCH($E56,DEMANDS!$E$2:$E$25,0),FALSE)/HLOOKUP(2018,DEMANDS!$G$2:$CK$25,MATCH($E56,DEMANDS!$E$2:$E$25,0),FALSE)</f>
        <v>1.1972865469827159</v>
      </c>
      <c r="N56" s="18">
        <f>HLOOKUP(REG_TRA_DEMANDS!N$3,'BY-Demands'!$J$5:$AK$14,MATCH($E56,'BY-Demands'!$I$5:$I$14,0),FALSE)*HLOOKUP(REG_TRA_DEMANDS!$F56,DEMANDS!$G$2:$CK$25,MATCH($E56,DEMANDS!$E$2:$E$25,0),FALSE)/HLOOKUP(2018,DEMANDS!$G$2:$CK$25,MATCH($E56,DEMANDS!$E$2:$E$25,0),FALSE)</f>
        <v>2.0786263041280226</v>
      </c>
      <c r="O56" s="18">
        <f>HLOOKUP(REG_TRA_DEMANDS!O$3,'BY-Demands'!$J$5:$AK$14,MATCH($E56,'BY-Demands'!$I$5:$I$14,0),FALSE)*HLOOKUP(REG_TRA_DEMANDS!$F56,DEMANDS!$G$2:$CK$25,MATCH($E56,DEMANDS!$E$2:$E$25,0),FALSE)/HLOOKUP(2018,DEMANDS!$G$2:$CK$25,MATCH($E56,DEMANDS!$E$2:$E$25,0),FALSE)</f>
        <v>0.8809025374361158</v>
      </c>
      <c r="P56" s="18">
        <f>HLOOKUP(REG_TRA_DEMANDS!P$3,'BY-Demands'!$J$5:$AK$14,MATCH($E56,'BY-Demands'!$I$5:$I$14,0),FALSE)*HLOOKUP(REG_TRA_DEMANDS!$F56,DEMANDS!$G$2:$CK$25,MATCH($E56,DEMANDS!$E$2:$E$25,0),FALSE)/HLOOKUP(2018,DEMANDS!$G$2:$CK$25,MATCH($E56,DEMANDS!$E$2:$E$25,0),FALSE)</f>
        <v>0.99440453637273685</v>
      </c>
      <c r="Q56" s="18">
        <f>HLOOKUP(REG_TRA_DEMANDS!Q$3,'BY-Demands'!$J$5:$AK$14,MATCH($E56,'BY-Demands'!$I$5:$I$14,0),FALSE)*HLOOKUP(REG_TRA_DEMANDS!$F56,DEMANDS!$G$2:$CK$25,MATCH($E56,DEMANDS!$E$2:$E$25,0),FALSE)/HLOOKUP(2018,DEMANDS!$G$2:$CK$25,MATCH($E56,DEMANDS!$E$2:$E$25,0),FALSE)</f>
        <v>1.7636024601288425</v>
      </c>
      <c r="R56" s="18">
        <f>HLOOKUP(REG_TRA_DEMANDS!R$3,'BY-Demands'!$J$5:$AK$14,MATCH($E56,'BY-Demands'!$I$5:$I$14,0),FALSE)*HLOOKUP(REG_TRA_DEMANDS!$F56,DEMANDS!$G$2:$CK$25,MATCH($E56,DEMANDS!$E$2:$E$25,0),FALSE)/HLOOKUP(2018,DEMANDS!$G$2:$CK$25,MATCH($E56,DEMANDS!$E$2:$E$25,0),FALSE)</f>
        <v>1.4965726614797894</v>
      </c>
      <c r="S56" s="18">
        <f>HLOOKUP(REG_TRA_DEMANDS!S$3,'BY-Demands'!$J$5:$AK$14,MATCH($E56,'BY-Demands'!$I$5:$I$14,0),FALSE)*HLOOKUP(REG_TRA_DEMANDS!$F56,DEMANDS!$G$2:$CK$25,MATCH($E56,DEMANDS!$E$2:$E$25,0),FALSE)/HLOOKUP(2018,DEMANDS!$G$2:$CK$25,MATCH($E56,DEMANDS!$E$2:$E$25,0),FALSE)</f>
        <v>1.3573169524429556</v>
      </c>
      <c r="T56" s="18">
        <f>HLOOKUP(REG_TRA_DEMANDS!T$3,'BY-Demands'!$J$5:$AK$14,MATCH($E56,'BY-Demands'!$I$5:$I$14,0),FALSE)*HLOOKUP(REG_TRA_DEMANDS!$F56,DEMANDS!$G$2:$CK$25,MATCH($E56,DEMANDS!$E$2:$E$25,0),FALSE)/HLOOKUP(2018,DEMANDS!$G$2:$CK$25,MATCH($E56,DEMANDS!$E$2:$E$25,0),FALSE)</f>
        <v>5.4853437496635902</v>
      </c>
      <c r="U56" s="18">
        <f>HLOOKUP(REG_TRA_DEMANDS!U$3,'BY-Demands'!$J$5:$AK$14,MATCH($E56,'BY-Demands'!$I$5:$I$14,0),FALSE)*HLOOKUP(REG_TRA_DEMANDS!$F56,DEMANDS!$G$2:$CK$25,MATCH($E56,DEMANDS!$E$2:$E$25,0),FALSE)/HLOOKUP(2018,DEMANDS!$G$2:$CK$25,MATCH($E56,DEMANDS!$E$2:$E$25,0),FALSE)</f>
        <v>1.7953515343397446</v>
      </c>
      <c r="V56" s="18">
        <f>HLOOKUP(REG_TRA_DEMANDS!V$3,'BY-Demands'!$J$5:$AK$14,MATCH($E56,'BY-Demands'!$I$5:$I$14,0),FALSE)*HLOOKUP(REG_TRA_DEMANDS!$F56,DEMANDS!$G$2:$CK$25,MATCH($E56,DEMANDS!$E$2:$E$25,0),FALSE)/HLOOKUP(2018,DEMANDS!$G$2:$CK$25,MATCH($E56,DEMANDS!$E$2:$E$25,0),FALSE)</f>
        <v>2.0220278075116673</v>
      </c>
      <c r="W56" s="18">
        <f>HLOOKUP(REG_TRA_DEMANDS!W$3,'BY-Demands'!$J$5:$AK$14,MATCH($E56,'BY-Demands'!$I$5:$I$14,0),FALSE)*HLOOKUP(REG_TRA_DEMANDS!$F56,DEMANDS!$G$2:$CK$25,MATCH($E56,DEMANDS!$E$2:$E$25,0),FALSE)/HLOOKUP(2018,DEMANDS!$G$2:$CK$25,MATCH($E56,DEMANDS!$E$2:$E$25,0),FALSE)</f>
        <v>1.9611273953598634</v>
      </c>
      <c r="X56" s="18">
        <f>HLOOKUP(REG_TRA_DEMANDS!X$3,'BY-Demands'!$J$5:$AK$14,MATCH($E56,'BY-Demands'!$I$5:$I$14,0),FALSE)*HLOOKUP(REG_TRA_DEMANDS!$F56,DEMANDS!$G$2:$CK$25,MATCH($E56,DEMANDS!$E$2:$E$25,0),FALSE)/HLOOKUP(2018,DEMANDS!$G$2:$CK$25,MATCH($E56,DEMANDS!$E$2:$E$25,0),FALSE)</f>
        <v>1.2372301986696621</v>
      </c>
      <c r="Y56" s="18">
        <f>HLOOKUP(REG_TRA_DEMANDS!Y$3,'BY-Demands'!$J$5:$AK$14,MATCH($E56,'BY-Demands'!$I$5:$I$14,0),FALSE)*HLOOKUP(REG_TRA_DEMANDS!$F56,DEMANDS!$G$2:$CK$25,MATCH($E56,DEMANDS!$E$2:$E$25,0),FALSE)/HLOOKUP(2018,DEMANDS!$G$2:$CK$25,MATCH($E56,DEMANDS!$E$2:$E$25,0),FALSE)</f>
        <v>2.7700839552913159</v>
      </c>
      <c r="Z56" s="18">
        <f>HLOOKUP(REG_TRA_DEMANDS!Z$3,'BY-Demands'!$J$5:$AK$14,MATCH($E56,'BY-Demands'!$I$5:$I$14,0),FALSE)*HLOOKUP(REG_TRA_DEMANDS!$F56,DEMANDS!$G$2:$CK$25,MATCH($E56,DEMANDS!$E$2:$E$25,0),FALSE)/HLOOKUP(2018,DEMANDS!$G$2:$CK$25,MATCH($E56,DEMANDS!$E$2:$E$25,0),FALSE)</f>
        <v>0.36305331657778678</v>
      </c>
      <c r="AA56" s="18">
        <f>HLOOKUP(REG_TRA_DEMANDS!AA$3,'BY-Demands'!$J$5:$AK$14,MATCH($E56,'BY-Demands'!$I$5:$I$14,0),FALSE)*HLOOKUP(REG_TRA_DEMANDS!$F56,DEMANDS!$G$2:$CK$25,MATCH($E56,DEMANDS!$E$2:$E$25,0),FALSE)/HLOOKUP(2018,DEMANDS!$G$2:$CK$25,MATCH($E56,DEMANDS!$E$2:$E$25,0),FALSE)</f>
        <v>1.5341583001994239</v>
      </c>
      <c r="AB56" s="18">
        <f>HLOOKUP(REG_TRA_DEMANDS!AB$3,'BY-Demands'!$J$5:$AK$14,MATCH($E56,'BY-Demands'!$I$5:$I$14,0),FALSE)*HLOOKUP(REG_TRA_DEMANDS!$F56,DEMANDS!$G$2:$CK$25,MATCH($E56,DEMANDS!$E$2:$E$25,0),FALSE)/HLOOKUP(2018,DEMANDS!$G$2:$CK$25,MATCH($E56,DEMANDS!$E$2:$E$25,0),FALSE)</f>
        <v>0.82603812811235267</v>
      </c>
      <c r="AC56" s="18">
        <f>HLOOKUP(REG_TRA_DEMANDS!AC$3,'BY-Demands'!$J$5:$AK$14,MATCH($E56,'BY-Demands'!$I$5:$I$14,0),FALSE)*HLOOKUP(REG_TRA_DEMANDS!$F56,DEMANDS!$G$2:$CK$25,MATCH($E56,DEMANDS!$E$2:$E$25,0),FALSE)/HLOOKUP(2018,DEMANDS!$G$2:$CK$25,MATCH($E56,DEMANDS!$E$2:$E$25,0),FALSE)</f>
        <v>0.67387795633475134</v>
      </c>
      <c r="AD56" s="18">
        <f>HLOOKUP(REG_TRA_DEMANDS!AD$3,'BY-Demands'!$J$5:$AK$14,MATCH($E56,'BY-Demands'!$I$5:$I$14,0),FALSE)*HLOOKUP(REG_TRA_DEMANDS!$F56,DEMANDS!$G$2:$CK$25,MATCH($E56,DEMANDS!$E$2:$E$25,0),FALSE)/HLOOKUP(2018,DEMANDS!$G$2:$CK$25,MATCH($E56,DEMANDS!$E$2:$E$25,0),FALSE)</f>
        <v>0.73221695292712097</v>
      </c>
      <c r="AE56" s="18">
        <f>HLOOKUP(REG_TRA_DEMANDS!AE$3,'BY-Demands'!$J$5:$AK$14,MATCH($E56,'BY-Demands'!$I$5:$I$14,0),FALSE)*HLOOKUP(REG_TRA_DEMANDS!$F56,DEMANDS!$G$2:$CK$25,MATCH($E56,DEMANDS!$E$2:$E$25,0),FALSE)/HLOOKUP(2018,DEMANDS!$G$2:$CK$25,MATCH($E56,DEMANDS!$E$2:$E$25,0),FALSE)</f>
        <v>1.3484959808713171</v>
      </c>
      <c r="AF56" s="18">
        <f>HLOOKUP(REG_TRA_DEMANDS!AF$3,'BY-Demands'!$J$5:$AK$14,MATCH($E56,'BY-Demands'!$I$5:$I$14,0),FALSE)*HLOOKUP(REG_TRA_DEMANDS!$F56,DEMANDS!$G$2:$CK$25,MATCH($E56,DEMANDS!$E$2:$E$25,0),FALSE)/HLOOKUP(2018,DEMANDS!$G$2:$CK$25,MATCH($E56,DEMANDS!$E$2:$E$25,0),FALSE)</f>
        <v>0.74162165989886075</v>
      </c>
    </row>
    <row r="57" spans="4:32" ht="14.4">
      <c r="D57" t="s">
        <v>6</v>
      </c>
      <c r="E57" t="str">
        <f>DEMANDS!$E$18</f>
        <v>TRAPM</v>
      </c>
      <c r="F57">
        <v>2070</v>
      </c>
      <c r="G57" s="17">
        <f>HLOOKUP(REG_TRA_DEMANDS!G$3,'BY-Demands'!$J$5:$AK$14,MATCH($E57,'BY-Demands'!$I$5:$I$14,0),FALSE)*HLOOKUP(REG_TRA_DEMANDS!$F57,DEMANDS!$G$2:$CK$25,MATCH($E57,DEMANDS!$E$2:$E$25,0),FALSE)/HLOOKUP(2018,DEMANDS!$G$2:$CK$25,MATCH($E57,DEMANDS!$E$2:$E$25,0),FALSE)</f>
        <v>0.68802782604554202</v>
      </c>
      <c r="H57" s="17">
        <f>HLOOKUP(REG_TRA_DEMANDS!H$3,'BY-Demands'!$J$5:$AK$14,MATCH($E57,'BY-Demands'!$I$5:$I$14,0),FALSE)*HLOOKUP(REG_TRA_DEMANDS!$F57,DEMANDS!$G$2:$CK$25,MATCH($E57,DEMANDS!$E$2:$E$25,0),FALSE)/HLOOKUP(2018,DEMANDS!$G$2:$CK$25,MATCH($E57,DEMANDS!$E$2:$E$25,0),FALSE)</f>
        <v>12.048870091355885</v>
      </c>
      <c r="I57" s="17">
        <f>HLOOKUP(REG_TRA_DEMANDS!I$3,'BY-Demands'!$J$5:$AK$14,MATCH($E57,'BY-Demands'!$I$5:$I$14,0),FALSE)*HLOOKUP(REG_TRA_DEMANDS!$F57,DEMANDS!$G$2:$CK$25,MATCH($E57,DEMANDS!$E$2:$E$25,0),FALSE)/HLOOKUP(2018,DEMANDS!$G$2:$CK$25,MATCH($E57,DEMANDS!$E$2:$E$25,0),FALSE)</f>
        <v>2.4535333385902804</v>
      </c>
      <c r="J57" s="17">
        <f>HLOOKUP(REG_TRA_DEMANDS!J$3,'BY-Demands'!$J$5:$AK$14,MATCH($E57,'BY-Demands'!$I$5:$I$14,0),FALSE)*HLOOKUP(REG_TRA_DEMANDS!$F57,DEMANDS!$G$2:$CK$25,MATCH($E57,DEMANDS!$E$2:$E$25,0),FALSE)/HLOOKUP(2018,DEMANDS!$G$2:$CK$25,MATCH($E57,DEMANDS!$E$2:$E$25,0),FALSE)</f>
        <v>1.1652306492770421</v>
      </c>
      <c r="K57" s="17">
        <f>HLOOKUP(REG_TRA_DEMANDS!K$3,'BY-Demands'!$J$5:$AK$14,MATCH($E57,'BY-Demands'!$I$5:$I$14,0),FALSE)*HLOOKUP(REG_TRA_DEMANDS!$F57,DEMANDS!$G$2:$CK$25,MATCH($E57,DEMANDS!$E$2:$E$25,0),FALSE)/HLOOKUP(2018,DEMANDS!$G$2:$CK$25,MATCH($E57,DEMANDS!$E$2:$E$25,0),FALSE)</f>
        <v>0.87667894472560837</v>
      </c>
      <c r="L57" s="17">
        <f>HLOOKUP(REG_TRA_DEMANDS!L$3,'BY-Demands'!$J$5:$AK$14,MATCH($E57,'BY-Demands'!$I$5:$I$14,0),FALSE)*HLOOKUP(REG_TRA_DEMANDS!$F57,DEMANDS!$G$2:$CK$25,MATCH($E57,DEMANDS!$E$2:$E$25,0),FALSE)/HLOOKUP(2018,DEMANDS!$G$2:$CK$25,MATCH($E57,DEMANDS!$E$2:$E$25,0),FALSE)</f>
        <v>0.45166047724277852</v>
      </c>
      <c r="M57" s="17">
        <f>HLOOKUP(REG_TRA_DEMANDS!M$3,'BY-Demands'!$J$5:$AK$14,MATCH($E57,'BY-Demands'!$I$5:$I$14,0),FALSE)*HLOOKUP(REG_TRA_DEMANDS!$F57,DEMANDS!$G$2:$CK$25,MATCH($E57,DEMANDS!$E$2:$E$25,0),FALSE)/HLOOKUP(2018,DEMANDS!$G$2:$CK$25,MATCH($E57,DEMANDS!$E$2:$E$25,0),FALSE)</f>
        <v>1.2165710744002409</v>
      </c>
      <c r="N57" s="17">
        <f>HLOOKUP(REG_TRA_DEMANDS!N$3,'BY-Demands'!$J$5:$AK$14,MATCH($E57,'BY-Demands'!$I$5:$I$14,0),FALSE)*HLOOKUP(REG_TRA_DEMANDS!$F57,DEMANDS!$G$2:$CK$25,MATCH($E57,DEMANDS!$E$2:$E$25,0),FALSE)/HLOOKUP(2018,DEMANDS!$G$2:$CK$25,MATCH($E57,DEMANDS!$E$2:$E$25,0),FALSE)</f>
        <v>2.11210644808668</v>
      </c>
      <c r="O57" s="17">
        <f>HLOOKUP(REG_TRA_DEMANDS!O$3,'BY-Demands'!$J$5:$AK$14,MATCH($E57,'BY-Demands'!$I$5:$I$14,0),FALSE)*HLOOKUP(REG_TRA_DEMANDS!$F57,DEMANDS!$G$2:$CK$25,MATCH($E57,DEMANDS!$E$2:$E$25,0),FALSE)/HLOOKUP(2018,DEMANDS!$G$2:$CK$25,MATCH($E57,DEMANDS!$E$2:$E$25,0),FALSE)</f>
        <v>0.89509111174037481</v>
      </c>
      <c r="P57" s="17">
        <f>HLOOKUP(REG_TRA_DEMANDS!P$3,'BY-Demands'!$J$5:$AK$14,MATCH($E57,'BY-Demands'!$I$5:$I$14,0),FALSE)*HLOOKUP(REG_TRA_DEMANDS!$F57,DEMANDS!$G$2:$CK$25,MATCH($E57,DEMANDS!$E$2:$E$25,0),FALSE)/HLOOKUP(2018,DEMANDS!$G$2:$CK$25,MATCH($E57,DEMANDS!$E$2:$E$25,0),FALSE)</f>
        <v>1.0104212715428749</v>
      </c>
      <c r="Q57" s="17">
        <f>HLOOKUP(REG_TRA_DEMANDS!Q$3,'BY-Demands'!$J$5:$AK$14,MATCH($E57,'BY-Demands'!$I$5:$I$14,0),FALSE)*HLOOKUP(REG_TRA_DEMANDS!$F57,DEMANDS!$G$2:$CK$25,MATCH($E57,DEMANDS!$E$2:$E$25,0),FALSE)/HLOOKUP(2018,DEMANDS!$G$2:$CK$25,MATCH($E57,DEMANDS!$E$2:$E$25,0),FALSE)</f>
        <v>1.7920085589709938</v>
      </c>
      <c r="R57" s="17">
        <f>HLOOKUP(REG_TRA_DEMANDS!R$3,'BY-Demands'!$J$5:$AK$14,MATCH($E57,'BY-Demands'!$I$5:$I$14,0),FALSE)*HLOOKUP(REG_TRA_DEMANDS!$F57,DEMANDS!$G$2:$CK$25,MATCH($E57,DEMANDS!$E$2:$E$25,0),FALSE)/HLOOKUP(2018,DEMANDS!$G$2:$CK$25,MATCH($E57,DEMANDS!$E$2:$E$25,0),FALSE)</f>
        <v>1.5206777485997918</v>
      </c>
      <c r="S57" s="17">
        <f>HLOOKUP(REG_TRA_DEMANDS!S$3,'BY-Demands'!$J$5:$AK$14,MATCH($E57,'BY-Demands'!$I$5:$I$14,0),FALSE)*HLOOKUP(REG_TRA_DEMANDS!$F57,DEMANDS!$G$2:$CK$25,MATCH($E57,DEMANDS!$E$2:$E$25,0),FALSE)/HLOOKUP(2018,DEMANDS!$G$2:$CK$25,MATCH($E57,DEMANDS!$E$2:$E$25,0),FALSE)</f>
        <v>1.3791790672805622</v>
      </c>
      <c r="T57" s="17">
        <f>HLOOKUP(REG_TRA_DEMANDS!T$3,'BY-Demands'!$J$5:$AK$14,MATCH($E57,'BY-Demands'!$I$5:$I$14,0),FALSE)*HLOOKUP(REG_TRA_DEMANDS!$F57,DEMANDS!$G$2:$CK$25,MATCH($E57,DEMANDS!$E$2:$E$25,0),FALSE)/HLOOKUP(2018,DEMANDS!$G$2:$CK$25,MATCH($E57,DEMANDS!$E$2:$E$25,0),FALSE)</f>
        <v>5.5736954163565127</v>
      </c>
      <c r="U57" s="17">
        <f>HLOOKUP(REG_TRA_DEMANDS!U$3,'BY-Demands'!$J$5:$AK$14,MATCH($E57,'BY-Demands'!$I$5:$I$14,0),FALSE)*HLOOKUP(REG_TRA_DEMANDS!$F57,DEMANDS!$G$2:$CK$25,MATCH($E57,DEMANDS!$E$2:$E$25,0),FALSE)/HLOOKUP(2018,DEMANDS!$G$2:$CK$25,MATCH($E57,DEMANDS!$E$2:$E$25,0),FALSE)</f>
        <v>1.8242690110919244</v>
      </c>
      <c r="V57" s="17">
        <f>HLOOKUP(REG_TRA_DEMANDS!V$3,'BY-Demands'!$J$5:$AK$14,MATCH($E57,'BY-Demands'!$I$5:$I$14,0),FALSE)*HLOOKUP(REG_TRA_DEMANDS!$F57,DEMANDS!$G$2:$CK$25,MATCH($E57,DEMANDS!$E$2:$E$25,0),FALSE)/HLOOKUP(2018,DEMANDS!$G$2:$CK$25,MATCH($E57,DEMANDS!$E$2:$E$25,0),FALSE)</f>
        <v>2.0545963273795511</v>
      </c>
      <c r="W57" s="17">
        <f>HLOOKUP(REG_TRA_DEMANDS!W$3,'BY-Demands'!$J$5:$AK$14,MATCH($E57,'BY-Demands'!$I$5:$I$14,0),FALSE)*HLOOKUP(REG_TRA_DEMANDS!$F57,DEMANDS!$G$2:$CK$25,MATCH($E57,DEMANDS!$E$2:$E$25,0),FALSE)/HLOOKUP(2018,DEMANDS!$G$2:$CK$25,MATCH($E57,DEMANDS!$E$2:$E$25,0),FALSE)</f>
        <v>1.9927150007834651</v>
      </c>
      <c r="X57" s="17">
        <f>HLOOKUP(REG_TRA_DEMANDS!X$3,'BY-Demands'!$J$5:$AK$14,MATCH($E57,'BY-Demands'!$I$5:$I$14,0),FALSE)*HLOOKUP(REG_TRA_DEMANDS!$F57,DEMANDS!$G$2:$CK$25,MATCH($E57,DEMANDS!$E$2:$E$25,0),FALSE)/HLOOKUP(2018,DEMANDS!$G$2:$CK$25,MATCH($E57,DEMANDS!$E$2:$E$25,0),FALSE)</f>
        <v>1.2571580929136617</v>
      </c>
      <c r="Y57" s="17">
        <f>HLOOKUP(REG_TRA_DEMANDS!Y$3,'BY-Demands'!$J$5:$AK$14,MATCH($E57,'BY-Demands'!$I$5:$I$14,0),FALSE)*HLOOKUP(REG_TRA_DEMANDS!$F57,DEMANDS!$G$2:$CK$25,MATCH($E57,DEMANDS!$E$2:$E$25,0),FALSE)/HLOOKUP(2018,DEMANDS!$G$2:$CK$25,MATCH($E57,DEMANDS!$E$2:$E$25,0),FALSE)</f>
        <v>2.8147013111943657</v>
      </c>
      <c r="Z57" s="17">
        <f>HLOOKUP(REG_TRA_DEMANDS!Z$3,'BY-Demands'!$J$5:$AK$14,MATCH($E57,'BY-Demands'!$I$5:$I$14,0),FALSE)*HLOOKUP(REG_TRA_DEMANDS!$F57,DEMANDS!$G$2:$CK$25,MATCH($E57,DEMANDS!$E$2:$E$25,0),FALSE)/HLOOKUP(2018,DEMANDS!$G$2:$CK$25,MATCH($E57,DEMANDS!$E$2:$E$25,0),FALSE)</f>
        <v>0.36890096571007824</v>
      </c>
      <c r="AA57" s="17">
        <f>HLOOKUP(REG_TRA_DEMANDS!AA$3,'BY-Demands'!$J$5:$AK$14,MATCH($E57,'BY-Demands'!$I$5:$I$14,0),FALSE)*HLOOKUP(REG_TRA_DEMANDS!$F57,DEMANDS!$G$2:$CK$25,MATCH($E57,DEMANDS!$E$2:$E$25,0),FALSE)/HLOOKUP(2018,DEMANDS!$G$2:$CK$25,MATCH($E57,DEMANDS!$E$2:$E$25,0),FALSE)</f>
        <v>1.5588687739599265</v>
      </c>
      <c r="AB57" s="17">
        <f>HLOOKUP(REG_TRA_DEMANDS!AB$3,'BY-Demands'!$J$5:$AK$14,MATCH($E57,'BY-Demands'!$I$5:$I$14,0),FALSE)*HLOOKUP(REG_TRA_DEMANDS!$F57,DEMANDS!$G$2:$CK$25,MATCH($E57,DEMANDS!$E$2:$E$25,0),FALSE)/HLOOKUP(2018,DEMANDS!$G$2:$CK$25,MATCH($E57,DEMANDS!$E$2:$E$25,0),FALSE)</f>
        <v>0.83934300902799319</v>
      </c>
      <c r="AC57" s="17">
        <f>HLOOKUP(REG_TRA_DEMANDS!AC$3,'BY-Demands'!$J$5:$AK$14,MATCH($E57,'BY-Demands'!$I$5:$I$14,0),FALSE)*HLOOKUP(REG_TRA_DEMANDS!$F57,DEMANDS!$G$2:$CK$25,MATCH($E57,DEMANDS!$E$2:$E$25,0),FALSE)/HLOOKUP(2018,DEMANDS!$G$2:$CK$25,MATCH($E57,DEMANDS!$E$2:$E$25,0),FALSE)</f>
        <v>0.68473201458651489</v>
      </c>
      <c r="AD57" s="17">
        <f>HLOOKUP(REG_TRA_DEMANDS!AD$3,'BY-Demands'!$J$5:$AK$14,MATCH($E57,'BY-Demands'!$I$5:$I$14,0),FALSE)*HLOOKUP(REG_TRA_DEMANDS!$F57,DEMANDS!$G$2:$CK$25,MATCH($E57,DEMANDS!$E$2:$E$25,0),FALSE)/HLOOKUP(2018,DEMANDS!$G$2:$CK$25,MATCH($E57,DEMANDS!$E$2:$E$25,0),FALSE)</f>
        <v>0.74401066926001103</v>
      </c>
      <c r="AE57" s="17">
        <f>HLOOKUP(REG_TRA_DEMANDS!AE$3,'BY-Demands'!$J$5:$AK$14,MATCH($E57,'BY-Demands'!$I$5:$I$14,0),FALSE)*HLOOKUP(REG_TRA_DEMANDS!$F57,DEMANDS!$G$2:$CK$25,MATCH($E57,DEMANDS!$E$2:$E$25,0),FALSE)/HLOOKUP(2018,DEMANDS!$G$2:$CK$25,MATCH($E57,DEMANDS!$E$2:$E$25,0),FALSE)</f>
        <v>1.3702160175501477</v>
      </c>
      <c r="AF57" s="17">
        <f>HLOOKUP(REG_TRA_DEMANDS!AF$3,'BY-Demands'!$J$5:$AK$14,MATCH($E57,'BY-Demands'!$I$5:$I$14,0),FALSE)*HLOOKUP(REG_TRA_DEMANDS!$F57,DEMANDS!$G$2:$CK$25,MATCH($E57,DEMANDS!$E$2:$E$25,0),FALSE)/HLOOKUP(2018,DEMANDS!$G$2:$CK$25,MATCH($E57,DEMANDS!$E$2:$E$25,0),FALSE)</f>
        <v>0.75356685653519806</v>
      </c>
    </row>
    <row r="58" spans="4:32" ht="14.4">
      <c r="D58" s="19" t="s">
        <v>6</v>
      </c>
      <c r="E58" s="19" t="str">
        <f>DEMANDS!$E$19</f>
        <v>TRAPL</v>
      </c>
      <c r="F58" s="19">
        <v>2020</v>
      </c>
      <c r="G58" s="20">
        <f>HLOOKUP(REG_TRA_DEMANDS!G$3,'BY-Demands'!$J$5:$AK$14,MATCH($E58,'BY-Demands'!$I$5:$I$14,0),FALSE)*HLOOKUP(REG_TRA_DEMANDS!$F58,DEMANDS!$G$2:$CK$25,MATCH($E58,DEMANDS!$E$2:$E$25,0),FALSE)/HLOOKUP(2018,DEMANDS!$G$2:$CK$25,MATCH($E58,DEMANDS!$E$2:$E$25,0),FALSE)</f>
        <v>0.24691992873589347</v>
      </c>
      <c r="H58" s="20">
        <f>HLOOKUP(REG_TRA_DEMANDS!H$3,'BY-Demands'!$J$5:$AK$14,MATCH($E58,'BY-Demands'!$I$5:$I$14,0),FALSE)*HLOOKUP(REG_TRA_DEMANDS!$F58,DEMANDS!$G$2:$CK$25,MATCH($E58,DEMANDS!$E$2:$E$25,0),FALSE)/HLOOKUP(2018,DEMANDS!$G$2:$CK$25,MATCH($E58,DEMANDS!$E$2:$E$25,0),FALSE)</f>
        <v>4.3987208375893516</v>
      </c>
      <c r="I58" s="20">
        <f>HLOOKUP(REG_TRA_DEMANDS!I$3,'BY-Demands'!$J$5:$AK$14,MATCH($E58,'BY-Demands'!$I$5:$I$14,0),FALSE)*HLOOKUP(REG_TRA_DEMANDS!$F58,DEMANDS!$G$2:$CK$25,MATCH($E58,DEMANDS!$E$2:$E$25,0),FALSE)/HLOOKUP(2018,DEMANDS!$G$2:$CK$25,MATCH($E58,DEMANDS!$E$2:$E$25,0),FALSE)</f>
        <v>0.88875644567261247</v>
      </c>
      <c r="J58" s="20">
        <f>HLOOKUP(REG_TRA_DEMANDS!J$3,'BY-Demands'!$J$5:$AK$14,MATCH($E58,'BY-Demands'!$I$5:$I$14,0),FALSE)*HLOOKUP(REG_TRA_DEMANDS!$F58,DEMANDS!$G$2:$CK$25,MATCH($E58,DEMANDS!$E$2:$E$25,0),FALSE)/HLOOKUP(2018,DEMANDS!$G$2:$CK$25,MATCH($E58,DEMANDS!$E$2:$E$25,0),FALSE)</f>
        <v>0.42797186154821204</v>
      </c>
      <c r="K58" s="20">
        <f>HLOOKUP(REG_TRA_DEMANDS!K$3,'BY-Demands'!$J$5:$AK$14,MATCH($E58,'BY-Demands'!$I$5:$I$14,0),FALSE)*HLOOKUP(REG_TRA_DEMANDS!$F58,DEMANDS!$G$2:$CK$25,MATCH($E58,DEMANDS!$E$2:$E$25,0),FALSE)/HLOOKUP(2018,DEMANDS!$G$2:$CK$25,MATCH($E58,DEMANDS!$E$2:$E$25,0),FALSE)</f>
        <v>0.3179797101881926</v>
      </c>
      <c r="L58" s="20">
        <f>HLOOKUP(REG_TRA_DEMANDS!L$3,'BY-Demands'!$J$5:$AK$14,MATCH($E58,'BY-Demands'!$I$5:$I$14,0),FALSE)*HLOOKUP(REG_TRA_DEMANDS!$F58,DEMANDS!$G$2:$CK$25,MATCH($E58,DEMANDS!$E$2:$E$25,0),FALSE)/HLOOKUP(2018,DEMANDS!$G$2:$CK$25,MATCH($E58,DEMANDS!$E$2:$E$25,0),FALSE)</f>
        <v>0.16373165329654596</v>
      </c>
      <c r="M58" s="20">
        <f>HLOOKUP(REG_TRA_DEMANDS!M$3,'BY-Demands'!$J$5:$AK$14,MATCH($E58,'BY-Demands'!$I$5:$I$14,0),FALSE)*HLOOKUP(REG_TRA_DEMANDS!$F58,DEMANDS!$G$2:$CK$25,MATCH($E58,DEMANDS!$E$2:$E$25,0),FALSE)/HLOOKUP(2018,DEMANDS!$G$2:$CK$25,MATCH($E58,DEMANDS!$E$2:$E$25,0),FALSE)</f>
        <v>0.44489964535650628</v>
      </c>
      <c r="N58" s="20">
        <f>HLOOKUP(REG_TRA_DEMANDS!N$3,'BY-Demands'!$J$5:$AK$14,MATCH($E58,'BY-Demands'!$I$5:$I$14,0),FALSE)*HLOOKUP(REG_TRA_DEMANDS!$F58,DEMANDS!$G$2:$CK$25,MATCH($E58,DEMANDS!$E$2:$E$25,0),FALSE)/HLOOKUP(2018,DEMANDS!$G$2:$CK$25,MATCH($E58,DEMANDS!$E$2:$E$25,0),FALSE)</f>
        <v>0.75655804209376709</v>
      </c>
      <c r="O58" s="20">
        <f>HLOOKUP(REG_TRA_DEMANDS!O$3,'BY-Demands'!$J$5:$AK$14,MATCH($E58,'BY-Demands'!$I$5:$I$14,0),FALSE)*HLOOKUP(REG_TRA_DEMANDS!$F58,DEMANDS!$G$2:$CK$25,MATCH($E58,DEMANDS!$E$2:$E$25,0),FALSE)/HLOOKUP(2018,DEMANDS!$G$2:$CK$25,MATCH($E58,DEMANDS!$E$2:$E$25,0),FALSE)</f>
        <v>0.32608978147557938</v>
      </c>
      <c r="P58" s="20">
        <f>HLOOKUP(REG_TRA_DEMANDS!P$3,'BY-Demands'!$J$5:$AK$14,MATCH($E58,'BY-Demands'!$I$5:$I$14,0),FALSE)*HLOOKUP(REG_TRA_DEMANDS!$F58,DEMANDS!$G$2:$CK$25,MATCH($E58,DEMANDS!$E$2:$E$25,0),FALSE)/HLOOKUP(2018,DEMANDS!$G$2:$CK$25,MATCH($E58,DEMANDS!$E$2:$E$25,0),FALSE)</f>
        <v>0.36138234861168406</v>
      </c>
      <c r="Q58" s="20">
        <f>HLOOKUP(REG_TRA_DEMANDS!Q$3,'BY-Demands'!$J$5:$AK$14,MATCH($E58,'BY-Demands'!$I$5:$I$14,0),FALSE)*HLOOKUP(REG_TRA_DEMANDS!$F58,DEMANDS!$G$2:$CK$25,MATCH($E58,DEMANDS!$E$2:$E$25,0),FALSE)/HLOOKUP(2018,DEMANDS!$G$2:$CK$25,MATCH($E58,DEMANDS!$E$2:$E$25,0),FALSE)</f>
        <v>0.6423173913018575</v>
      </c>
      <c r="R58" s="20">
        <f>HLOOKUP(REG_TRA_DEMANDS!R$3,'BY-Demands'!$J$5:$AK$14,MATCH($E58,'BY-Demands'!$I$5:$I$14,0),FALSE)*HLOOKUP(REG_TRA_DEMANDS!$F58,DEMANDS!$G$2:$CK$25,MATCH($E58,DEMANDS!$E$2:$E$25,0),FALSE)/HLOOKUP(2018,DEMANDS!$G$2:$CK$25,MATCH($E58,DEMANDS!$E$2:$E$25,0),FALSE)</f>
        <v>0.55001910270518006</v>
      </c>
      <c r="S58" s="20">
        <f>HLOOKUP(REG_TRA_DEMANDS!S$3,'BY-Demands'!$J$5:$AK$14,MATCH($E58,'BY-Demands'!$I$5:$I$14,0),FALSE)*HLOOKUP(REG_TRA_DEMANDS!$F58,DEMANDS!$G$2:$CK$25,MATCH($E58,DEMANDS!$E$2:$E$25,0),FALSE)/HLOOKUP(2018,DEMANDS!$G$2:$CK$25,MATCH($E58,DEMANDS!$E$2:$E$25,0),FALSE)</f>
        <v>0.4931482203824476</v>
      </c>
      <c r="T58" s="20">
        <f>HLOOKUP(REG_TRA_DEMANDS!T$3,'BY-Demands'!$J$5:$AK$14,MATCH($E58,'BY-Demands'!$I$5:$I$14,0),FALSE)*HLOOKUP(REG_TRA_DEMANDS!$F58,DEMANDS!$G$2:$CK$25,MATCH($E58,DEMANDS!$E$2:$E$25,0),FALSE)/HLOOKUP(2018,DEMANDS!$G$2:$CK$25,MATCH($E58,DEMANDS!$E$2:$E$25,0),FALSE)</f>
        <v>2.0108638092840883</v>
      </c>
      <c r="U58" s="20">
        <f>HLOOKUP(REG_TRA_DEMANDS!U$3,'BY-Demands'!$J$5:$AK$14,MATCH($E58,'BY-Demands'!$I$5:$I$14,0),FALSE)*HLOOKUP(REG_TRA_DEMANDS!$F58,DEMANDS!$G$2:$CK$25,MATCH($E58,DEMANDS!$E$2:$E$25,0),FALSE)/HLOOKUP(2018,DEMANDS!$G$2:$CK$25,MATCH($E58,DEMANDS!$E$2:$E$25,0),FALSE)</f>
        <v>0.66874174579532897</v>
      </c>
      <c r="V58" s="20">
        <f>HLOOKUP(REG_TRA_DEMANDS!V$3,'BY-Demands'!$J$5:$AK$14,MATCH($E58,'BY-Demands'!$I$5:$I$14,0),FALSE)*HLOOKUP(REG_TRA_DEMANDS!$F58,DEMANDS!$G$2:$CK$25,MATCH($E58,DEMANDS!$E$2:$E$25,0),FALSE)/HLOOKUP(2018,DEMANDS!$G$2:$CK$25,MATCH($E58,DEMANDS!$E$2:$E$25,0),FALSE)</f>
        <v>0.74081659382873055</v>
      </c>
      <c r="W58" s="20">
        <f>HLOOKUP(REG_TRA_DEMANDS!W$3,'BY-Demands'!$J$5:$AK$14,MATCH($E58,'BY-Demands'!$I$5:$I$14,0),FALSE)*HLOOKUP(REG_TRA_DEMANDS!$F58,DEMANDS!$G$2:$CK$25,MATCH($E58,DEMANDS!$E$2:$E$25,0),FALSE)/HLOOKUP(2018,DEMANDS!$G$2:$CK$25,MATCH($E58,DEMANDS!$E$2:$E$25,0),FALSE)</f>
        <v>0.71668860020583103</v>
      </c>
      <c r="X58" s="20">
        <f>HLOOKUP(REG_TRA_DEMANDS!X$3,'BY-Demands'!$J$5:$AK$14,MATCH($E58,'BY-Demands'!$I$5:$I$14,0),FALSE)*HLOOKUP(REG_TRA_DEMANDS!$F58,DEMANDS!$G$2:$CK$25,MATCH($E58,DEMANDS!$E$2:$E$25,0),FALSE)/HLOOKUP(2018,DEMANDS!$G$2:$CK$25,MATCH($E58,DEMANDS!$E$2:$E$25,0),FALSE)</f>
        <v>0.45133306783785199</v>
      </c>
      <c r="Y58" s="20">
        <f>HLOOKUP(REG_TRA_DEMANDS!Y$3,'BY-Demands'!$J$5:$AK$14,MATCH($E58,'BY-Demands'!$I$5:$I$14,0),FALSE)*HLOOKUP(REG_TRA_DEMANDS!$F58,DEMANDS!$G$2:$CK$25,MATCH($E58,DEMANDS!$E$2:$E$25,0),FALSE)/HLOOKUP(2018,DEMANDS!$G$2:$CK$25,MATCH($E58,DEMANDS!$E$2:$E$25,0),FALSE)</f>
        <v>1.0254216517463635</v>
      </c>
      <c r="Z58" s="20">
        <f>HLOOKUP(REG_TRA_DEMANDS!Z$3,'BY-Demands'!$J$5:$AK$14,MATCH($E58,'BY-Demands'!$I$5:$I$14,0),FALSE)*HLOOKUP(REG_TRA_DEMANDS!$F58,DEMANDS!$G$2:$CK$25,MATCH($E58,DEMANDS!$E$2:$E$25,0),FALSE)/HLOOKUP(2018,DEMANDS!$G$2:$CK$25,MATCH($E58,DEMANDS!$E$2:$E$25,0),FALSE)</f>
        <v>0.13228753815021471</v>
      </c>
      <c r="AA58" s="20">
        <f>HLOOKUP(REG_TRA_DEMANDS!AA$3,'BY-Demands'!$J$5:$AK$14,MATCH($E58,'BY-Demands'!$I$5:$I$14,0),FALSE)*HLOOKUP(REG_TRA_DEMANDS!$F58,DEMANDS!$G$2:$CK$25,MATCH($E58,DEMANDS!$E$2:$E$25,0),FALSE)/HLOOKUP(2018,DEMANDS!$G$2:$CK$25,MATCH($E58,DEMANDS!$E$2:$E$25,0),FALSE)</f>
        <v>0.56861509056325599</v>
      </c>
      <c r="AB58" s="20">
        <f>HLOOKUP(REG_TRA_DEMANDS!AB$3,'BY-Demands'!$J$5:$AK$14,MATCH($E58,'BY-Demands'!$I$5:$I$14,0),FALSE)*HLOOKUP(REG_TRA_DEMANDS!$F58,DEMANDS!$G$2:$CK$25,MATCH($E58,DEMANDS!$E$2:$E$25,0),FALSE)/HLOOKUP(2018,DEMANDS!$G$2:$CK$25,MATCH($E58,DEMANDS!$E$2:$E$25,0),FALSE)</f>
        <v>0.29804677121625045</v>
      </c>
      <c r="AC58" s="20">
        <f>HLOOKUP(REG_TRA_DEMANDS!AC$3,'BY-Demands'!$J$5:$AK$14,MATCH($E58,'BY-Demands'!$I$5:$I$14,0),FALSE)*HLOOKUP(REG_TRA_DEMANDS!$F58,DEMANDS!$G$2:$CK$25,MATCH($E58,DEMANDS!$E$2:$E$25,0),FALSE)/HLOOKUP(2018,DEMANDS!$G$2:$CK$25,MATCH($E58,DEMANDS!$E$2:$E$25,0),FALSE)</f>
        <v>0.24842415692533032</v>
      </c>
      <c r="AD58" s="20">
        <f>HLOOKUP(REG_TRA_DEMANDS!AD$3,'BY-Demands'!$J$5:$AK$14,MATCH($E58,'BY-Demands'!$I$5:$I$14,0),FALSE)*HLOOKUP(REG_TRA_DEMANDS!$F58,DEMANDS!$G$2:$CK$25,MATCH($E58,DEMANDS!$E$2:$E$25,0),FALSE)/HLOOKUP(2018,DEMANDS!$G$2:$CK$25,MATCH($E58,DEMANDS!$E$2:$E$25,0),FALSE)</f>
        <v>0.2656886095187837</v>
      </c>
      <c r="AE58" s="20">
        <f>HLOOKUP(REG_TRA_DEMANDS!AE$3,'BY-Demands'!$J$5:$AK$14,MATCH($E58,'BY-Demands'!$I$5:$I$14,0),FALSE)*HLOOKUP(REG_TRA_DEMANDS!$F58,DEMANDS!$G$2:$CK$25,MATCH($E58,DEMANDS!$E$2:$E$25,0),FALSE)/HLOOKUP(2018,DEMANDS!$G$2:$CK$25,MATCH($E58,DEMANDS!$E$2:$E$25,0),FALSE)</f>
        <v>0.48941780878588725</v>
      </c>
      <c r="AF58" s="20">
        <f>HLOOKUP(REG_TRA_DEMANDS!AF$3,'BY-Demands'!$J$5:$AK$14,MATCH($E58,'BY-Demands'!$I$5:$I$14,0),FALSE)*HLOOKUP(REG_TRA_DEMANDS!$F58,DEMANDS!$G$2:$CK$25,MATCH($E58,DEMANDS!$E$2:$E$25,0),FALSE)/HLOOKUP(2018,DEMANDS!$G$2:$CK$25,MATCH($E58,DEMANDS!$E$2:$E$25,0),FALSE)</f>
        <v>0.28271035318427856</v>
      </c>
    </row>
    <row r="59" spans="4:32" ht="14.4">
      <c r="D59" t="s">
        <v>6</v>
      </c>
      <c r="E59" t="str">
        <f>DEMANDS!$E$19</f>
        <v>TRAPL</v>
      </c>
      <c r="F59">
        <v>2021</v>
      </c>
      <c r="G59" s="18">
        <f>HLOOKUP(REG_TRA_DEMANDS!G$3,'BY-Demands'!$J$5:$AK$14,MATCH($E59,'BY-Demands'!$I$5:$I$14,0),FALSE)*HLOOKUP(REG_TRA_DEMANDS!$F59,DEMANDS!$G$2:$CK$25,MATCH($E59,DEMANDS!$E$2:$E$25,0),FALSE)/HLOOKUP(2018,DEMANDS!$G$2:$CK$25,MATCH($E59,DEMANDS!$E$2:$E$25,0),FALSE)</f>
        <v>0.2508197434186043</v>
      </c>
      <c r="H59" s="18">
        <f>HLOOKUP(REG_TRA_DEMANDS!H$3,'BY-Demands'!$J$5:$AK$14,MATCH($E59,'BY-Demands'!$I$5:$I$14,0),FALSE)*HLOOKUP(REG_TRA_DEMANDS!$F59,DEMANDS!$G$2:$CK$25,MATCH($E59,DEMANDS!$E$2:$E$25,0),FALSE)/HLOOKUP(2018,DEMANDS!$G$2:$CK$25,MATCH($E59,DEMANDS!$E$2:$E$25,0),FALSE)</f>
        <v>4.4681935455858186</v>
      </c>
      <c r="I59" s="18">
        <f>HLOOKUP(REG_TRA_DEMANDS!I$3,'BY-Demands'!$J$5:$AK$14,MATCH($E59,'BY-Demands'!$I$5:$I$14,0),FALSE)*HLOOKUP(REG_TRA_DEMANDS!$F59,DEMANDS!$G$2:$CK$25,MATCH($E59,DEMANDS!$E$2:$E$25,0),FALSE)/HLOOKUP(2018,DEMANDS!$G$2:$CK$25,MATCH($E59,DEMANDS!$E$2:$E$25,0),FALSE)</f>
        <v>0.90279332578160998</v>
      </c>
      <c r="J59" s="18">
        <f>HLOOKUP(REG_TRA_DEMANDS!J$3,'BY-Demands'!$J$5:$AK$14,MATCH($E59,'BY-Demands'!$I$5:$I$14,0),FALSE)*HLOOKUP(REG_TRA_DEMANDS!$F59,DEMANDS!$G$2:$CK$25,MATCH($E59,DEMANDS!$E$2:$E$25,0),FALSE)/HLOOKUP(2018,DEMANDS!$G$2:$CK$25,MATCH($E59,DEMANDS!$E$2:$E$25,0),FALSE)</f>
        <v>0.4347311821020341</v>
      </c>
      <c r="K59" s="18">
        <f>HLOOKUP(REG_TRA_DEMANDS!K$3,'BY-Demands'!$J$5:$AK$14,MATCH($E59,'BY-Demands'!$I$5:$I$14,0),FALSE)*HLOOKUP(REG_TRA_DEMANDS!$F59,DEMANDS!$G$2:$CK$25,MATCH($E59,DEMANDS!$E$2:$E$25,0),FALSE)/HLOOKUP(2018,DEMANDS!$G$2:$CK$25,MATCH($E59,DEMANDS!$E$2:$E$25,0),FALSE)</f>
        <v>0.32300183193002424</v>
      </c>
      <c r="L59" s="18">
        <f>HLOOKUP(REG_TRA_DEMANDS!L$3,'BY-Demands'!$J$5:$AK$14,MATCH($E59,'BY-Demands'!$I$5:$I$14,0),FALSE)*HLOOKUP(REG_TRA_DEMANDS!$F59,DEMANDS!$G$2:$CK$25,MATCH($E59,DEMANDS!$E$2:$E$25,0),FALSE)/HLOOKUP(2018,DEMANDS!$G$2:$CK$25,MATCH($E59,DEMANDS!$E$2:$E$25,0),FALSE)</f>
        <v>0.16631760538562726</v>
      </c>
      <c r="M59" s="18">
        <f>HLOOKUP(REG_TRA_DEMANDS!M$3,'BY-Demands'!$J$5:$AK$14,MATCH($E59,'BY-Demands'!$I$5:$I$14,0),FALSE)*HLOOKUP(REG_TRA_DEMANDS!$F59,DEMANDS!$G$2:$CK$25,MATCH($E59,DEMANDS!$E$2:$E$25,0),FALSE)/HLOOKUP(2018,DEMANDS!$G$2:$CK$25,MATCH($E59,DEMANDS!$E$2:$E$25,0),FALSE)</f>
        <v>0.45192632067662569</v>
      </c>
      <c r="N59" s="18">
        <f>HLOOKUP(REG_TRA_DEMANDS!N$3,'BY-Demands'!$J$5:$AK$14,MATCH($E59,'BY-Demands'!$I$5:$I$14,0),FALSE)*HLOOKUP(REG_TRA_DEMANDS!$F59,DEMANDS!$G$2:$CK$25,MATCH($E59,DEMANDS!$E$2:$E$25,0),FALSE)/HLOOKUP(2018,DEMANDS!$G$2:$CK$25,MATCH($E59,DEMANDS!$E$2:$E$25,0),FALSE)</f>
        <v>0.76850700132109639</v>
      </c>
      <c r="O59" s="18">
        <f>HLOOKUP(REG_TRA_DEMANDS!O$3,'BY-Demands'!$J$5:$AK$14,MATCH($E59,'BY-Demands'!$I$5:$I$14,0),FALSE)*HLOOKUP(REG_TRA_DEMANDS!$F59,DEMANDS!$G$2:$CK$25,MATCH($E59,DEMANDS!$E$2:$E$25,0),FALSE)/HLOOKUP(2018,DEMANDS!$G$2:$CK$25,MATCH($E59,DEMANDS!$E$2:$E$25,0),FALSE)</f>
        <v>0.33123999241315272</v>
      </c>
      <c r="P59" s="18">
        <f>HLOOKUP(REG_TRA_DEMANDS!P$3,'BY-Demands'!$J$5:$AK$14,MATCH($E59,'BY-Demands'!$I$5:$I$14,0),FALSE)*HLOOKUP(REG_TRA_DEMANDS!$F59,DEMANDS!$G$2:$CK$25,MATCH($E59,DEMANDS!$E$2:$E$25,0),FALSE)/HLOOKUP(2018,DEMANDS!$G$2:$CK$25,MATCH($E59,DEMANDS!$E$2:$E$25,0),FALSE)</f>
        <v>0.36708996482720546</v>
      </c>
      <c r="Q59" s="18">
        <f>HLOOKUP(REG_TRA_DEMANDS!Q$3,'BY-Demands'!$J$5:$AK$14,MATCH($E59,'BY-Demands'!$I$5:$I$14,0),FALSE)*HLOOKUP(REG_TRA_DEMANDS!$F59,DEMANDS!$G$2:$CK$25,MATCH($E59,DEMANDS!$E$2:$E$25,0),FALSE)/HLOOKUP(2018,DEMANDS!$G$2:$CK$25,MATCH($E59,DEMANDS!$E$2:$E$25,0),FALSE)</f>
        <v>0.65246205158255421</v>
      </c>
      <c r="R59" s="18">
        <f>HLOOKUP(REG_TRA_DEMANDS!R$3,'BY-Demands'!$J$5:$AK$14,MATCH($E59,'BY-Demands'!$I$5:$I$14,0),FALSE)*HLOOKUP(REG_TRA_DEMANDS!$F59,DEMANDS!$G$2:$CK$25,MATCH($E59,DEMANDS!$E$2:$E$25,0),FALSE)/HLOOKUP(2018,DEMANDS!$G$2:$CK$25,MATCH($E59,DEMANDS!$E$2:$E$25,0),FALSE)</f>
        <v>0.55870601827121913</v>
      </c>
      <c r="S59" s="18">
        <f>HLOOKUP(REG_TRA_DEMANDS!S$3,'BY-Demands'!$J$5:$AK$14,MATCH($E59,'BY-Demands'!$I$5:$I$14,0),FALSE)*HLOOKUP(REG_TRA_DEMANDS!$F59,DEMANDS!$G$2:$CK$25,MATCH($E59,DEMANDS!$E$2:$E$25,0),FALSE)/HLOOKUP(2018,DEMANDS!$G$2:$CK$25,MATCH($E59,DEMANDS!$E$2:$E$25,0),FALSE)</f>
        <v>0.50093692614000196</v>
      </c>
      <c r="T59" s="18">
        <f>HLOOKUP(REG_TRA_DEMANDS!T$3,'BY-Demands'!$J$5:$AK$14,MATCH($E59,'BY-Demands'!$I$5:$I$14,0),FALSE)*HLOOKUP(REG_TRA_DEMANDS!$F59,DEMANDS!$G$2:$CK$25,MATCH($E59,DEMANDS!$E$2:$E$25,0),FALSE)/HLOOKUP(2018,DEMANDS!$G$2:$CK$25,MATCH($E59,DEMANDS!$E$2:$E$25,0),FALSE)</f>
        <v>2.0426230773533973</v>
      </c>
      <c r="U59" s="18">
        <f>HLOOKUP(REG_TRA_DEMANDS!U$3,'BY-Demands'!$J$5:$AK$14,MATCH($E59,'BY-Demands'!$I$5:$I$14,0),FALSE)*HLOOKUP(REG_TRA_DEMANDS!$F59,DEMANDS!$G$2:$CK$25,MATCH($E59,DEMANDS!$E$2:$E$25,0),FALSE)/HLOOKUP(2018,DEMANDS!$G$2:$CK$25,MATCH($E59,DEMANDS!$E$2:$E$25,0),FALSE)</f>
        <v>0.67930374819240469</v>
      </c>
      <c r="V59" s="18">
        <f>HLOOKUP(REG_TRA_DEMANDS!V$3,'BY-Demands'!$J$5:$AK$14,MATCH($E59,'BY-Demands'!$I$5:$I$14,0),FALSE)*HLOOKUP(REG_TRA_DEMANDS!$F59,DEMANDS!$G$2:$CK$25,MATCH($E59,DEMANDS!$E$2:$E$25,0),FALSE)/HLOOKUP(2018,DEMANDS!$G$2:$CK$25,MATCH($E59,DEMANDS!$E$2:$E$25,0),FALSE)</f>
        <v>0.75251693508753292</v>
      </c>
      <c r="W59" s="18">
        <f>HLOOKUP(REG_TRA_DEMANDS!W$3,'BY-Demands'!$J$5:$AK$14,MATCH($E59,'BY-Demands'!$I$5:$I$14,0),FALSE)*HLOOKUP(REG_TRA_DEMANDS!$F59,DEMANDS!$G$2:$CK$25,MATCH($E59,DEMANDS!$E$2:$E$25,0),FALSE)/HLOOKUP(2018,DEMANDS!$G$2:$CK$25,MATCH($E59,DEMANDS!$E$2:$E$25,0),FALSE)</f>
        <v>0.72800786771219617</v>
      </c>
      <c r="X59" s="18">
        <f>HLOOKUP(REG_TRA_DEMANDS!X$3,'BY-Demands'!$J$5:$AK$14,MATCH($E59,'BY-Demands'!$I$5:$I$14,0),FALSE)*HLOOKUP(REG_TRA_DEMANDS!$F59,DEMANDS!$G$2:$CK$25,MATCH($E59,DEMANDS!$E$2:$E$25,0),FALSE)/HLOOKUP(2018,DEMANDS!$G$2:$CK$25,MATCH($E59,DEMANDS!$E$2:$E$25,0),FALSE)</f>
        <v>0.45846135162506146</v>
      </c>
      <c r="Y59" s="18">
        <f>HLOOKUP(REG_TRA_DEMANDS!Y$3,'BY-Demands'!$J$5:$AK$14,MATCH($E59,'BY-Demands'!$I$5:$I$14,0),FALSE)*HLOOKUP(REG_TRA_DEMANDS!$F59,DEMANDS!$G$2:$CK$25,MATCH($E59,DEMANDS!$E$2:$E$25,0),FALSE)/HLOOKUP(2018,DEMANDS!$G$2:$CK$25,MATCH($E59,DEMANDS!$E$2:$E$25,0),FALSE)</f>
        <v>1.0416170007160588</v>
      </c>
      <c r="Z59" s="18">
        <f>HLOOKUP(REG_TRA_DEMANDS!Z$3,'BY-Demands'!$J$5:$AK$14,MATCH($E59,'BY-Demands'!$I$5:$I$14,0),FALSE)*HLOOKUP(REG_TRA_DEMANDS!$F59,DEMANDS!$G$2:$CK$25,MATCH($E59,DEMANDS!$E$2:$E$25,0),FALSE)/HLOOKUP(2018,DEMANDS!$G$2:$CK$25,MATCH($E59,DEMANDS!$E$2:$E$25,0),FALSE)</f>
        <v>0.13437686680934324</v>
      </c>
      <c r="AA59" s="18">
        <f>HLOOKUP(REG_TRA_DEMANDS!AA$3,'BY-Demands'!$J$5:$AK$14,MATCH($E59,'BY-Demands'!$I$5:$I$14,0),FALSE)*HLOOKUP(REG_TRA_DEMANDS!$F59,DEMANDS!$G$2:$CK$25,MATCH($E59,DEMANDS!$E$2:$E$25,0),FALSE)/HLOOKUP(2018,DEMANDS!$G$2:$CK$25,MATCH($E59,DEMANDS!$E$2:$E$25,0),FALSE)</f>
        <v>0.57759570824908646</v>
      </c>
      <c r="AB59" s="18">
        <f>HLOOKUP(REG_TRA_DEMANDS!AB$3,'BY-Demands'!$J$5:$AK$14,MATCH($E59,'BY-Demands'!$I$5:$I$14,0),FALSE)*HLOOKUP(REG_TRA_DEMANDS!$F59,DEMANDS!$G$2:$CK$25,MATCH($E59,DEMANDS!$E$2:$E$25,0),FALSE)/HLOOKUP(2018,DEMANDS!$G$2:$CK$25,MATCH($E59,DEMANDS!$E$2:$E$25,0),FALSE)</f>
        <v>0.3027540752417871</v>
      </c>
      <c r="AC59" s="18">
        <f>HLOOKUP(REG_TRA_DEMANDS!AC$3,'BY-Demands'!$J$5:$AK$14,MATCH($E59,'BY-Demands'!$I$5:$I$14,0),FALSE)*HLOOKUP(REG_TRA_DEMANDS!$F59,DEMANDS!$G$2:$CK$25,MATCH($E59,DEMANDS!$E$2:$E$25,0),FALSE)/HLOOKUP(2018,DEMANDS!$G$2:$CK$25,MATCH($E59,DEMANDS!$E$2:$E$25,0),FALSE)</f>
        <v>0.25234772915247811</v>
      </c>
      <c r="AD59" s="18">
        <f>HLOOKUP(REG_TRA_DEMANDS!AD$3,'BY-Demands'!$J$5:$AK$14,MATCH($E59,'BY-Demands'!$I$5:$I$14,0),FALSE)*HLOOKUP(REG_TRA_DEMANDS!$F59,DEMANDS!$G$2:$CK$25,MATCH($E59,DEMANDS!$E$2:$E$25,0),FALSE)/HLOOKUP(2018,DEMANDS!$G$2:$CK$25,MATCH($E59,DEMANDS!$E$2:$E$25,0),FALSE)</f>
        <v>0.26988485380629379</v>
      </c>
      <c r="AE59" s="18">
        <f>HLOOKUP(REG_TRA_DEMANDS!AE$3,'BY-Demands'!$J$5:$AK$14,MATCH($E59,'BY-Demands'!$I$5:$I$14,0),FALSE)*HLOOKUP(REG_TRA_DEMANDS!$F59,DEMANDS!$G$2:$CK$25,MATCH($E59,DEMANDS!$E$2:$E$25,0),FALSE)/HLOOKUP(2018,DEMANDS!$G$2:$CK$25,MATCH($E59,DEMANDS!$E$2:$E$25,0),FALSE)</f>
        <v>0.49714759700692984</v>
      </c>
      <c r="AF59" s="18">
        <f>HLOOKUP(REG_TRA_DEMANDS!AF$3,'BY-Demands'!$J$5:$AK$14,MATCH($E59,'BY-Demands'!$I$5:$I$14,0),FALSE)*HLOOKUP(REG_TRA_DEMANDS!$F59,DEMANDS!$G$2:$CK$25,MATCH($E59,DEMANDS!$E$2:$E$25,0),FALSE)/HLOOKUP(2018,DEMANDS!$G$2:$CK$25,MATCH($E59,DEMANDS!$E$2:$E$25,0),FALSE)</f>
        <v>0.28717543622535491</v>
      </c>
    </row>
    <row r="60" spans="4:32" ht="14.4">
      <c r="D60" t="s">
        <v>6</v>
      </c>
      <c r="E60" t="str">
        <f>DEMANDS!$E$19</f>
        <v>TRAPL</v>
      </c>
      <c r="F60">
        <v>2022</v>
      </c>
      <c r="G60" s="18">
        <f>HLOOKUP(REG_TRA_DEMANDS!G$3,'BY-Demands'!$J$5:$AK$14,MATCH($E60,'BY-Demands'!$I$5:$I$14,0),FALSE)*HLOOKUP(REG_TRA_DEMANDS!$F60,DEMANDS!$G$2:$CK$25,MATCH($E60,DEMANDS!$E$2:$E$25,0),FALSE)/HLOOKUP(2018,DEMANDS!$G$2:$CK$25,MATCH($E60,DEMANDS!$E$2:$E$25,0),FALSE)</f>
        <v>0.25976817539283303</v>
      </c>
      <c r="H60" s="18">
        <f>HLOOKUP(REG_TRA_DEMANDS!H$3,'BY-Demands'!$J$5:$AK$14,MATCH($E60,'BY-Demands'!$I$5:$I$14,0),FALSE)*HLOOKUP(REG_TRA_DEMANDS!$F60,DEMANDS!$G$2:$CK$25,MATCH($E60,DEMANDS!$E$2:$E$25,0),FALSE)/HLOOKUP(2018,DEMANDS!$G$2:$CK$25,MATCH($E60,DEMANDS!$E$2:$E$25,0),FALSE)</f>
        <v>4.6276041463838293</v>
      </c>
      <c r="I60" s="18">
        <f>HLOOKUP(REG_TRA_DEMANDS!I$3,'BY-Demands'!$J$5:$AK$14,MATCH($E60,'BY-Demands'!$I$5:$I$14,0),FALSE)*HLOOKUP(REG_TRA_DEMANDS!$F60,DEMANDS!$G$2:$CK$25,MATCH($E60,DEMANDS!$E$2:$E$25,0),FALSE)/HLOOKUP(2018,DEMANDS!$G$2:$CK$25,MATCH($E60,DEMANDS!$E$2:$E$25,0),FALSE)</f>
        <v>0.93500205286359961</v>
      </c>
      <c r="J60" s="18">
        <f>HLOOKUP(REG_TRA_DEMANDS!J$3,'BY-Demands'!$J$5:$AK$14,MATCH($E60,'BY-Demands'!$I$5:$I$14,0),FALSE)*HLOOKUP(REG_TRA_DEMANDS!$F60,DEMANDS!$G$2:$CK$25,MATCH($E60,DEMANDS!$E$2:$E$25,0),FALSE)/HLOOKUP(2018,DEMANDS!$G$2:$CK$25,MATCH($E60,DEMANDS!$E$2:$E$25,0),FALSE)</f>
        <v>0.45024097553812592</v>
      </c>
      <c r="K60" s="18">
        <f>HLOOKUP(REG_TRA_DEMANDS!K$3,'BY-Demands'!$J$5:$AK$14,MATCH($E60,'BY-Demands'!$I$5:$I$14,0),FALSE)*HLOOKUP(REG_TRA_DEMANDS!$F60,DEMANDS!$G$2:$CK$25,MATCH($E60,DEMANDS!$E$2:$E$25,0),FALSE)/HLOOKUP(2018,DEMANDS!$G$2:$CK$25,MATCH($E60,DEMANDS!$E$2:$E$25,0),FALSE)</f>
        <v>0.33452548585448127</v>
      </c>
      <c r="L60" s="18">
        <f>HLOOKUP(REG_TRA_DEMANDS!L$3,'BY-Demands'!$J$5:$AK$14,MATCH($E60,'BY-Demands'!$I$5:$I$14,0),FALSE)*HLOOKUP(REG_TRA_DEMANDS!$F60,DEMANDS!$G$2:$CK$25,MATCH($E60,DEMANDS!$E$2:$E$25,0),FALSE)/HLOOKUP(2018,DEMANDS!$G$2:$CK$25,MATCH($E60,DEMANDS!$E$2:$E$25,0),FALSE)</f>
        <v>0.17225127614704752</v>
      </c>
      <c r="M60" s="18">
        <f>HLOOKUP(REG_TRA_DEMANDS!M$3,'BY-Demands'!$J$5:$AK$14,MATCH($E60,'BY-Demands'!$I$5:$I$14,0),FALSE)*HLOOKUP(REG_TRA_DEMANDS!$F60,DEMANDS!$G$2:$CK$25,MATCH($E60,DEMANDS!$E$2:$E$25,0),FALSE)/HLOOKUP(2018,DEMANDS!$G$2:$CK$25,MATCH($E60,DEMANDS!$E$2:$E$25,0),FALSE)</f>
        <v>0.46804958068327124</v>
      </c>
      <c r="N60" s="18">
        <f>HLOOKUP(REG_TRA_DEMANDS!N$3,'BY-Demands'!$J$5:$AK$14,MATCH($E60,'BY-Demands'!$I$5:$I$14,0),FALSE)*HLOOKUP(REG_TRA_DEMANDS!$F60,DEMANDS!$G$2:$CK$25,MATCH($E60,DEMANDS!$E$2:$E$25,0),FALSE)/HLOOKUP(2018,DEMANDS!$G$2:$CK$25,MATCH($E60,DEMANDS!$E$2:$E$25,0),FALSE)</f>
        <v>0.79592482947652643</v>
      </c>
      <c r="O60" s="18">
        <f>HLOOKUP(REG_TRA_DEMANDS!O$3,'BY-Demands'!$J$5:$AK$14,MATCH($E60,'BY-Demands'!$I$5:$I$14,0),FALSE)*HLOOKUP(REG_TRA_DEMANDS!$F60,DEMANDS!$G$2:$CK$25,MATCH($E60,DEMANDS!$E$2:$E$25,0),FALSE)/HLOOKUP(2018,DEMANDS!$G$2:$CK$25,MATCH($E60,DEMANDS!$E$2:$E$25,0),FALSE)</f>
        <v>0.34305755708670499</v>
      </c>
      <c r="P60" s="18">
        <f>HLOOKUP(REG_TRA_DEMANDS!P$3,'BY-Demands'!$J$5:$AK$14,MATCH($E60,'BY-Demands'!$I$5:$I$14,0),FALSE)*HLOOKUP(REG_TRA_DEMANDS!$F60,DEMANDS!$G$2:$CK$25,MATCH($E60,DEMANDS!$E$2:$E$25,0),FALSE)/HLOOKUP(2018,DEMANDS!$G$2:$CK$25,MATCH($E60,DEMANDS!$E$2:$E$25,0),FALSE)</f>
        <v>0.38018653981730099</v>
      </c>
      <c r="Q60" s="18">
        <f>HLOOKUP(REG_TRA_DEMANDS!Q$3,'BY-Demands'!$J$5:$AK$14,MATCH($E60,'BY-Demands'!$I$5:$I$14,0),FALSE)*HLOOKUP(REG_TRA_DEMANDS!$F60,DEMANDS!$G$2:$CK$25,MATCH($E60,DEMANDS!$E$2:$E$25,0),FALSE)/HLOOKUP(2018,DEMANDS!$G$2:$CK$25,MATCH($E60,DEMANDS!$E$2:$E$25,0),FALSE)</f>
        <v>0.67573977368199856</v>
      </c>
      <c r="R60" s="18">
        <f>HLOOKUP(REG_TRA_DEMANDS!R$3,'BY-Demands'!$J$5:$AK$14,MATCH($E60,'BY-Demands'!$I$5:$I$14,0),FALSE)*HLOOKUP(REG_TRA_DEMANDS!$F60,DEMANDS!$G$2:$CK$25,MATCH($E60,DEMANDS!$E$2:$E$25,0),FALSE)/HLOOKUP(2018,DEMANDS!$G$2:$CK$25,MATCH($E60,DEMANDS!$E$2:$E$25,0),FALSE)</f>
        <v>0.57863883029769614</v>
      </c>
      <c r="S60" s="18">
        <f>HLOOKUP(REG_TRA_DEMANDS!S$3,'BY-Demands'!$J$5:$AK$14,MATCH($E60,'BY-Demands'!$I$5:$I$14,0),FALSE)*HLOOKUP(REG_TRA_DEMANDS!$F60,DEMANDS!$G$2:$CK$25,MATCH($E60,DEMANDS!$E$2:$E$25,0),FALSE)/HLOOKUP(2018,DEMANDS!$G$2:$CK$25,MATCH($E60,DEMANDS!$E$2:$E$25,0),FALSE)</f>
        <v>0.51880872500976583</v>
      </c>
      <c r="T60" s="18">
        <f>HLOOKUP(REG_TRA_DEMANDS!T$3,'BY-Demands'!$J$5:$AK$14,MATCH($E60,'BY-Demands'!$I$5:$I$14,0),FALSE)*HLOOKUP(REG_TRA_DEMANDS!$F60,DEMANDS!$G$2:$CK$25,MATCH($E60,DEMANDS!$E$2:$E$25,0),FALSE)/HLOOKUP(2018,DEMANDS!$G$2:$CK$25,MATCH($E60,DEMANDS!$E$2:$E$25,0),FALSE)</f>
        <v>2.1154972195862172</v>
      </c>
      <c r="U60" s="18">
        <f>HLOOKUP(REG_TRA_DEMANDS!U$3,'BY-Demands'!$J$5:$AK$14,MATCH($E60,'BY-Demands'!$I$5:$I$14,0),FALSE)*HLOOKUP(REG_TRA_DEMANDS!$F60,DEMANDS!$G$2:$CK$25,MATCH($E60,DEMANDS!$E$2:$E$25,0),FALSE)/HLOOKUP(2018,DEMANDS!$G$2:$CK$25,MATCH($E60,DEMANDS!$E$2:$E$25,0),FALSE)</f>
        <v>0.70353909465152831</v>
      </c>
      <c r="V60" s="18">
        <f>HLOOKUP(REG_TRA_DEMANDS!V$3,'BY-Demands'!$J$5:$AK$14,MATCH($E60,'BY-Demands'!$I$5:$I$14,0),FALSE)*HLOOKUP(REG_TRA_DEMANDS!$F60,DEMANDS!$G$2:$CK$25,MATCH($E60,DEMANDS!$E$2:$E$25,0),FALSE)/HLOOKUP(2018,DEMANDS!$G$2:$CK$25,MATCH($E60,DEMANDS!$E$2:$E$25,0),FALSE)</f>
        <v>0.77936428973077365</v>
      </c>
      <c r="W60" s="18">
        <f>HLOOKUP(REG_TRA_DEMANDS!W$3,'BY-Demands'!$J$5:$AK$14,MATCH($E60,'BY-Demands'!$I$5:$I$14,0),FALSE)*HLOOKUP(REG_TRA_DEMANDS!$F60,DEMANDS!$G$2:$CK$25,MATCH($E60,DEMANDS!$E$2:$E$25,0),FALSE)/HLOOKUP(2018,DEMANDS!$G$2:$CK$25,MATCH($E60,DEMANDS!$E$2:$E$25,0),FALSE)</f>
        <v>0.75398081861364685</v>
      </c>
      <c r="X60" s="18">
        <f>HLOOKUP(REG_TRA_DEMANDS!X$3,'BY-Demands'!$J$5:$AK$14,MATCH($E60,'BY-Demands'!$I$5:$I$14,0),FALSE)*HLOOKUP(REG_TRA_DEMANDS!$F60,DEMANDS!$G$2:$CK$25,MATCH($E60,DEMANDS!$E$2:$E$25,0),FALSE)/HLOOKUP(2018,DEMANDS!$G$2:$CK$25,MATCH($E60,DEMANDS!$E$2:$E$25,0),FALSE)</f>
        <v>0.47481776026304878</v>
      </c>
      <c r="Y60" s="18">
        <f>HLOOKUP(REG_TRA_DEMANDS!Y$3,'BY-Demands'!$J$5:$AK$14,MATCH($E60,'BY-Demands'!$I$5:$I$14,0),FALSE)*HLOOKUP(REG_TRA_DEMANDS!$F60,DEMANDS!$G$2:$CK$25,MATCH($E60,DEMANDS!$E$2:$E$25,0),FALSE)/HLOOKUP(2018,DEMANDS!$G$2:$CK$25,MATCH($E60,DEMANDS!$E$2:$E$25,0),FALSE)</f>
        <v>1.0787785046194889</v>
      </c>
      <c r="Z60" s="18">
        <f>HLOOKUP(REG_TRA_DEMANDS!Z$3,'BY-Demands'!$J$5:$AK$14,MATCH($E60,'BY-Demands'!$I$5:$I$14,0),FALSE)*HLOOKUP(REG_TRA_DEMANDS!$F60,DEMANDS!$G$2:$CK$25,MATCH($E60,DEMANDS!$E$2:$E$25,0),FALSE)/HLOOKUP(2018,DEMANDS!$G$2:$CK$25,MATCH($E60,DEMANDS!$E$2:$E$25,0),FALSE)</f>
        <v>0.13917099599217461</v>
      </c>
      <c r="AA60" s="18">
        <f>HLOOKUP(REG_TRA_DEMANDS!AA$3,'BY-Demands'!$J$5:$AK$14,MATCH($E60,'BY-Demands'!$I$5:$I$14,0),FALSE)*HLOOKUP(REG_TRA_DEMANDS!$F60,DEMANDS!$G$2:$CK$25,MATCH($E60,DEMANDS!$E$2:$E$25,0),FALSE)/HLOOKUP(2018,DEMANDS!$G$2:$CK$25,MATCH($E60,DEMANDS!$E$2:$E$25,0),FALSE)</f>
        <v>0.5982024429240651</v>
      </c>
      <c r="AB60" s="18">
        <f>HLOOKUP(REG_TRA_DEMANDS!AB$3,'BY-Demands'!$J$5:$AK$14,MATCH($E60,'BY-Demands'!$I$5:$I$14,0),FALSE)*HLOOKUP(REG_TRA_DEMANDS!$F60,DEMANDS!$G$2:$CK$25,MATCH($E60,DEMANDS!$E$2:$E$25,0),FALSE)/HLOOKUP(2018,DEMANDS!$G$2:$CK$25,MATCH($E60,DEMANDS!$E$2:$E$25,0),FALSE)</f>
        <v>0.31355535511830862</v>
      </c>
      <c r="AC60" s="18">
        <f>HLOOKUP(REG_TRA_DEMANDS!AC$3,'BY-Demands'!$J$5:$AK$14,MATCH($E60,'BY-Demands'!$I$5:$I$14,0),FALSE)*HLOOKUP(REG_TRA_DEMANDS!$F60,DEMANDS!$G$2:$CK$25,MATCH($E60,DEMANDS!$E$2:$E$25,0),FALSE)/HLOOKUP(2018,DEMANDS!$G$2:$CK$25,MATCH($E60,DEMANDS!$E$2:$E$25,0),FALSE)</f>
        <v>0.26135067468377698</v>
      </c>
      <c r="AD60" s="18">
        <f>HLOOKUP(REG_TRA_DEMANDS!AD$3,'BY-Demands'!$J$5:$AK$14,MATCH($E60,'BY-Demands'!$I$5:$I$14,0),FALSE)*HLOOKUP(REG_TRA_DEMANDS!$F60,DEMANDS!$G$2:$CK$25,MATCH($E60,DEMANDS!$E$2:$E$25,0),FALSE)/HLOOKUP(2018,DEMANDS!$G$2:$CK$25,MATCH($E60,DEMANDS!$E$2:$E$25,0),FALSE)</f>
        <v>0.27951346685821654</v>
      </c>
      <c r="AE60" s="18">
        <f>HLOOKUP(REG_TRA_DEMANDS!AE$3,'BY-Demands'!$J$5:$AK$14,MATCH($E60,'BY-Demands'!$I$5:$I$14,0),FALSE)*HLOOKUP(REG_TRA_DEMANDS!$F60,DEMANDS!$G$2:$CK$25,MATCH($E60,DEMANDS!$E$2:$E$25,0),FALSE)/HLOOKUP(2018,DEMANDS!$G$2:$CK$25,MATCH($E60,DEMANDS!$E$2:$E$25,0),FALSE)</f>
        <v>0.5148842049482879</v>
      </c>
      <c r="AF60" s="18">
        <f>HLOOKUP(REG_TRA_DEMANDS!AF$3,'BY-Demands'!$J$5:$AK$14,MATCH($E60,'BY-Demands'!$I$5:$I$14,0),FALSE)*HLOOKUP(REG_TRA_DEMANDS!$F60,DEMANDS!$G$2:$CK$25,MATCH($E60,DEMANDS!$E$2:$E$25,0),FALSE)/HLOOKUP(2018,DEMANDS!$G$2:$CK$25,MATCH($E60,DEMANDS!$E$2:$E$25,0),FALSE)</f>
        <v>0.2974209209735123</v>
      </c>
    </row>
    <row r="61" spans="4:32" ht="14.4">
      <c r="D61" t="s">
        <v>6</v>
      </c>
      <c r="E61" t="str">
        <f>DEMANDS!$E$19</f>
        <v>TRAPL</v>
      </c>
      <c r="F61">
        <v>2023</v>
      </c>
      <c r="G61" s="18">
        <f>HLOOKUP(REG_TRA_DEMANDS!G$3,'BY-Demands'!$J$5:$AK$14,MATCH($E61,'BY-Demands'!$I$5:$I$14,0),FALSE)*HLOOKUP(REG_TRA_DEMANDS!$F61,DEMANDS!$G$2:$CK$25,MATCH($E61,DEMANDS!$E$2:$E$25,0),FALSE)/HLOOKUP(2018,DEMANDS!$G$2:$CK$25,MATCH($E61,DEMANDS!$E$2:$E$25,0),FALSE)</f>
        <v>0.26071442289342939</v>
      </c>
      <c r="H61" s="18">
        <f>HLOOKUP(REG_TRA_DEMANDS!H$3,'BY-Demands'!$J$5:$AK$14,MATCH($E61,'BY-Demands'!$I$5:$I$14,0),FALSE)*HLOOKUP(REG_TRA_DEMANDS!$F61,DEMANDS!$G$2:$CK$25,MATCH($E61,DEMANDS!$E$2:$E$25,0),FALSE)/HLOOKUP(2018,DEMANDS!$G$2:$CK$25,MATCH($E61,DEMANDS!$E$2:$E$25,0),FALSE)</f>
        <v>4.6444609412958435</v>
      </c>
      <c r="I61" s="18">
        <f>HLOOKUP(REG_TRA_DEMANDS!I$3,'BY-Demands'!$J$5:$AK$14,MATCH($E61,'BY-Demands'!$I$5:$I$14,0),FALSE)*HLOOKUP(REG_TRA_DEMANDS!$F61,DEMANDS!$G$2:$CK$25,MATCH($E61,DEMANDS!$E$2:$E$25,0),FALSE)/HLOOKUP(2018,DEMANDS!$G$2:$CK$25,MATCH($E61,DEMANDS!$E$2:$E$25,0),FALSE)</f>
        <v>0.93840794873300959</v>
      </c>
      <c r="J61" s="18">
        <f>HLOOKUP(REG_TRA_DEMANDS!J$3,'BY-Demands'!$J$5:$AK$14,MATCH($E61,'BY-Demands'!$I$5:$I$14,0),FALSE)*HLOOKUP(REG_TRA_DEMANDS!$F61,DEMANDS!$G$2:$CK$25,MATCH($E61,DEMANDS!$E$2:$E$25,0),FALSE)/HLOOKUP(2018,DEMANDS!$G$2:$CK$25,MATCH($E61,DEMANDS!$E$2:$E$25,0),FALSE)</f>
        <v>0.45188105095200115</v>
      </c>
      <c r="K61" s="18">
        <f>HLOOKUP(REG_TRA_DEMANDS!K$3,'BY-Demands'!$J$5:$AK$14,MATCH($E61,'BY-Demands'!$I$5:$I$14,0),FALSE)*HLOOKUP(REG_TRA_DEMANDS!$F61,DEMANDS!$G$2:$CK$25,MATCH($E61,DEMANDS!$E$2:$E$25,0),FALSE)/HLOOKUP(2018,DEMANDS!$G$2:$CK$25,MATCH($E61,DEMANDS!$E$2:$E$25,0),FALSE)</f>
        <v>0.33574404892286674</v>
      </c>
      <c r="L61" s="18">
        <f>HLOOKUP(REG_TRA_DEMANDS!L$3,'BY-Demands'!$J$5:$AK$14,MATCH($E61,'BY-Demands'!$I$5:$I$14,0),FALSE)*HLOOKUP(REG_TRA_DEMANDS!$F61,DEMANDS!$G$2:$CK$25,MATCH($E61,DEMANDS!$E$2:$E$25,0),FALSE)/HLOOKUP(2018,DEMANDS!$G$2:$CK$25,MATCH($E61,DEMANDS!$E$2:$E$25,0),FALSE)</f>
        <v>0.17287872921854944</v>
      </c>
      <c r="M61" s="18">
        <f>HLOOKUP(REG_TRA_DEMANDS!M$3,'BY-Demands'!$J$5:$AK$14,MATCH($E61,'BY-Demands'!$I$5:$I$14,0),FALSE)*HLOOKUP(REG_TRA_DEMANDS!$F61,DEMANDS!$G$2:$CK$25,MATCH($E61,DEMANDS!$E$2:$E$25,0),FALSE)/HLOOKUP(2018,DEMANDS!$G$2:$CK$25,MATCH($E61,DEMANDS!$E$2:$E$25,0),FALSE)</f>
        <v>0.46975452681536367</v>
      </c>
      <c r="N61" s="18">
        <f>HLOOKUP(REG_TRA_DEMANDS!N$3,'BY-Demands'!$J$5:$AK$14,MATCH($E61,'BY-Demands'!$I$5:$I$14,0),FALSE)*HLOOKUP(REG_TRA_DEMANDS!$F61,DEMANDS!$G$2:$CK$25,MATCH($E61,DEMANDS!$E$2:$E$25,0),FALSE)/HLOOKUP(2018,DEMANDS!$G$2:$CK$25,MATCH($E61,DEMANDS!$E$2:$E$25,0),FALSE)</f>
        <v>0.79882411411528476</v>
      </c>
      <c r="O61" s="18">
        <f>HLOOKUP(REG_TRA_DEMANDS!O$3,'BY-Demands'!$J$5:$AK$14,MATCH($E61,'BY-Demands'!$I$5:$I$14,0),FALSE)*HLOOKUP(REG_TRA_DEMANDS!$F61,DEMANDS!$G$2:$CK$25,MATCH($E61,DEMANDS!$E$2:$E$25,0),FALSE)/HLOOKUP(2018,DEMANDS!$G$2:$CK$25,MATCH($E61,DEMANDS!$E$2:$E$25,0),FALSE)</f>
        <v>0.34430719960147066</v>
      </c>
      <c r="P61" s="18">
        <f>HLOOKUP(REG_TRA_DEMANDS!P$3,'BY-Demands'!$J$5:$AK$14,MATCH($E61,'BY-Demands'!$I$5:$I$14,0),FALSE)*HLOOKUP(REG_TRA_DEMANDS!$F61,DEMANDS!$G$2:$CK$25,MATCH($E61,DEMANDS!$E$2:$E$25,0),FALSE)/HLOOKUP(2018,DEMANDS!$G$2:$CK$25,MATCH($E61,DEMANDS!$E$2:$E$25,0),FALSE)</f>
        <v>0.38157143064358667</v>
      </c>
      <c r="Q61" s="18">
        <f>HLOOKUP(REG_TRA_DEMANDS!Q$3,'BY-Demands'!$J$5:$AK$14,MATCH($E61,'BY-Demands'!$I$5:$I$14,0),FALSE)*HLOOKUP(REG_TRA_DEMANDS!$F61,DEMANDS!$G$2:$CK$25,MATCH($E61,DEMANDS!$E$2:$E$25,0),FALSE)/HLOOKUP(2018,DEMANDS!$G$2:$CK$25,MATCH($E61,DEMANDS!$E$2:$E$25,0),FALSE)</f>
        <v>0.67820126485940402</v>
      </c>
      <c r="R61" s="18">
        <f>HLOOKUP(REG_TRA_DEMANDS!R$3,'BY-Demands'!$J$5:$AK$14,MATCH($E61,'BY-Demands'!$I$5:$I$14,0),FALSE)*HLOOKUP(REG_TRA_DEMANDS!$F61,DEMANDS!$G$2:$CK$25,MATCH($E61,DEMANDS!$E$2:$E$25,0),FALSE)/HLOOKUP(2018,DEMANDS!$G$2:$CK$25,MATCH($E61,DEMANDS!$E$2:$E$25,0),FALSE)</f>
        <v>0.58074661561854679</v>
      </c>
      <c r="S61" s="18">
        <f>HLOOKUP(REG_TRA_DEMANDS!S$3,'BY-Demands'!$J$5:$AK$14,MATCH($E61,'BY-Demands'!$I$5:$I$14,0),FALSE)*HLOOKUP(REG_TRA_DEMANDS!$F61,DEMANDS!$G$2:$CK$25,MATCH($E61,DEMANDS!$E$2:$E$25,0),FALSE)/HLOOKUP(2018,DEMANDS!$G$2:$CK$25,MATCH($E61,DEMANDS!$E$2:$E$25,0),FALSE)</f>
        <v>0.52069856951664462</v>
      </c>
      <c r="T61" s="18">
        <f>HLOOKUP(REG_TRA_DEMANDS!T$3,'BY-Demands'!$J$5:$AK$14,MATCH($E61,'BY-Demands'!$I$5:$I$14,0),FALSE)*HLOOKUP(REG_TRA_DEMANDS!$F61,DEMANDS!$G$2:$CK$25,MATCH($E61,DEMANDS!$E$2:$E$25,0),FALSE)/HLOOKUP(2018,DEMANDS!$G$2:$CK$25,MATCH($E61,DEMANDS!$E$2:$E$25,0),FALSE)</f>
        <v>2.1232032596102686</v>
      </c>
      <c r="U61" s="18">
        <f>HLOOKUP(REG_TRA_DEMANDS!U$3,'BY-Demands'!$J$5:$AK$14,MATCH($E61,'BY-Demands'!$I$5:$I$14,0),FALSE)*HLOOKUP(REG_TRA_DEMANDS!$F61,DEMANDS!$G$2:$CK$25,MATCH($E61,DEMANDS!$E$2:$E$25,0),FALSE)/HLOOKUP(2018,DEMANDS!$G$2:$CK$25,MATCH($E61,DEMANDS!$E$2:$E$25,0),FALSE)</f>
        <v>0.70610184934185605</v>
      </c>
      <c r="V61" s="18">
        <f>HLOOKUP(REG_TRA_DEMANDS!V$3,'BY-Demands'!$J$5:$AK$14,MATCH($E61,'BY-Demands'!$I$5:$I$14,0),FALSE)*HLOOKUP(REG_TRA_DEMANDS!$F61,DEMANDS!$G$2:$CK$25,MATCH($E61,DEMANDS!$E$2:$E$25,0),FALSE)/HLOOKUP(2018,DEMANDS!$G$2:$CK$25,MATCH($E61,DEMANDS!$E$2:$E$25,0),FALSE)</f>
        <v>0.78220324993094659</v>
      </c>
      <c r="W61" s="18">
        <f>HLOOKUP(REG_TRA_DEMANDS!W$3,'BY-Demands'!$J$5:$AK$14,MATCH($E61,'BY-Demands'!$I$5:$I$14,0),FALSE)*HLOOKUP(REG_TRA_DEMANDS!$F61,DEMANDS!$G$2:$CK$25,MATCH($E61,DEMANDS!$E$2:$E$25,0),FALSE)/HLOOKUP(2018,DEMANDS!$G$2:$CK$25,MATCH($E61,DEMANDS!$E$2:$E$25,0),FALSE)</f>
        <v>0.75672731542385796</v>
      </c>
      <c r="X61" s="18">
        <f>HLOOKUP(REG_TRA_DEMANDS!X$3,'BY-Demands'!$J$5:$AK$14,MATCH($E61,'BY-Demands'!$I$5:$I$14,0),FALSE)*HLOOKUP(REG_TRA_DEMANDS!$F61,DEMANDS!$G$2:$CK$25,MATCH($E61,DEMANDS!$E$2:$E$25,0),FALSE)/HLOOKUP(2018,DEMANDS!$G$2:$CK$25,MATCH($E61,DEMANDS!$E$2:$E$25,0),FALSE)</f>
        <v>0.47654736058151825</v>
      </c>
      <c r="Y61" s="18">
        <f>HLOOKUP(REG_TRA_DEMANDS!Y$3,'BY-Demands'!$J$5:$AK$14,MATCH($E61,'BY-Demands'!$I$5:$I$14,0),FALSE)*HLOOKUP(REG_TRA_DEMANDS!$F61,DEMANDS!$G$2:$CK$25,MATCH($E61,DEMANDS!$E$2:$E$25,0),FALSE)/HLOOKUP(2018,DEMANDS!$G$2:$CK$25,MATCH($E61,DEMANDS!$E$2:$E$25,0),FALSE)</f>
        <v>1.0827081294172518</v>
      </c>
      <c r="Z61" s="18">
        <f>HLOOKUP(REG_TRA_DEMANDS!Z$3,'BY-Demands'!$J$5:$AK$14,MATCH($E61,'BY-Demands'!$I$5:$I$14,0),FALSE)*HLOOKUP(REG_TRA_DEMANDS!$F61,DEMANDS!$G$2:$CK$25,MATCH($E61,DEMANDS!$E$2:$E$25,0),FALSE)/HLOOKUP(2018,DEMANDS!$G$2:$CK$25,MATCH($E61,DEMANDS!$E$2:$E$25,0),FALSE)</f>
        <v>0.13967794880467352</v>
      </c>
      <c r="AA61" s="18">
        <f>HLOOKUP(REG_TRA_DEMANDS!AA$3,'BY-Demands'!$J$5:$AK$14,MATCH($E61,'BY-Demands'!$I$5:$I$14,0),FALSE)*HLOOKUP(REG_TRA_DEMANDS!$F61,DEMANDS!$G$2:$CK$25,MATCH($E61,DEMANDS!$E$2:$E$25,0),FALSE)/HLOOKUP(2018,DEMANDS!$G$2:$CK$25,MATCH($E61,DEMANDS!$E$2:$E$25,0),FALSE)</f>
        <v>0.6003814918611089</v>
      </c>
      <c r="AB61" s="18">
        <f>HLOOKUP(REG_TRA_DEMANDS!AB$3,'BY-Demands'!$J$5:$AK$14,MATCH($E61,'BY-Demands'!$I$5:$I$14,0),FALSE)*HLOOKUP(REG_TRA_DEMANDS!$F61,DEMANDS!$G$2:$CK$25,MATCH($E61,DEMANDS!$E$2:$E$25,0),FALSE)/HLOOKUP(2018,DEMANDS!$G$2:$CK$25,MATCH($E61,DEMANDS!$E$2:$E$25,0),FALSE)</f>
        <v>0.31469753110130044</v>
      </c>
      <c r="AC61" s="18">
        <f>HLOOKUP(REG_TRA_DEMANDS!AC$3,'BY-Demands'!$J$5:$AK$14,MATCH($E61,'BY-Demands'!$I$5:$I$14,0),FALSE)*HLOOKUP(REG_TRA_DEMANDS!$F61,DEMANDS!$G$2:$CK$25,MATCH($E61,DEMANDS!$E$2:$E$25,0),FALSE)/HLOOKUP(2018,DEMANDS!$G$2:$CK$25,MATCH($E61,DEMANDS!$E$2:$E$25,0),FALSE)</f>
        <v>0.26230268669342638</v>
      </c>
      <c r="AD61" s="18">
        <f>HLOOKUP(REG_TRA_DEMANDS!AD$3,'BY-Demands'!$J$5:$AK$14,MATCH($E61,'BY-Demands'!$I$5:$I$14,0),FALSE)*HLOOKUP(REG_TRA_DEMANDS!$F61,DEMANDS!$G$2:$CK$25,MATCH($E61,DEMANDS!$E$2:$E$25,0),FALSE)/HLOOKUP(2018,DEMANDS!$G$2:$CK$25,MATCH($E61,DEMANDS!$E$2:$E$25,0),FALSE)</f>
        <v>0.28053163976949652</v>
      </c>
      <c r="AE61" s="18">
        <f>HLOOKUP(REG_TRA_DEMANDS!AE$3,'BY-Demands'!$J$5:$AK$14,MATCH($E61,'BY-Demands'!$I$5:$I$14,0),FALSE)*HLOOKUP(REG_TRA_DEMANDS!$F61,DEMANDS!$G$2:$CK$25,MATCH($E61,DEMANDS!$E$2:$E$25,0),FALSE)/HLOOKUP(2018,DEMANDS!$G$2:$CK$25,MATCH($E61,DEMANDS!$E$2:$E$25,0),FALSE)</f>
        <v>0.5167597537574985</v>
      </c>
      <c r="AF61" s="18">
        <f>HLOOKUP(REG_TRA_DEMANDS!AF$3,'BY-Demands'!$J$5:$AK$14,MATCH($E61,'BY-Demands'!$I$5:$I$14,0),FALSE)*HLOOKUP(REG_TRA_DEMANDS!$F61,DEMANDS!$G$2:$CK$25,MATCH($E61,DEMANDS!$E$2:$E$25,0),FALSE)/HLOOKUP(2018,DEMANDS!$G$2:$CK$25,MATCH($E61,DEMANDS!$E$2:$E$25,0),FALSE)</f>
        <v>0.29850432467633559</v>
      </c>
    </row>
    <row r="62" spans="4:32" ht="14.4">
      <c r="D62" t="s">
        <v>6</v>
      </c>
      <c r="E62" t="str">
        <f>DEMANDS!$E$19</f>
        <v>TRAPL</v>
      </c>
      <c r="F62">
        <v>2024</v>
      </c>
      <c r="G62" s="18">
        <f>HLOOKUP(REG_TRA_DEMANDS!G$3,'BY-Demands'!$J$5:$AK$14,MATCH($E62,'BY-Demands'!$I$5:$I$14,0),FALSE)*HLOOKUP(REG_TRA_DEMANDS!$F62,DEMANDS!$G$2:$CK$25,MATCH($E62,DEMANDS!$E$2:$E$25,0),FALSE)/HLOOKUP(2018,DEMANDS!$G$2:$CK$25,MATCH($E62,DEMANDS!$E$2:$E$25,0),FALSE)</f>
        <v>0.26723228346576511</v>
      </c>
      <c r="H62" s="18">
        <f>HLOOKUP(REG_TRA_DEMANDS!H$3,'BY-Demands'!$J$5:$AK$14,MATCH($E62,'BY-Demands'!$I$5:$I$14,0),FALSE)*HLOOKUP(REG_TRA_DEMANDS!$F62,DEMANDS!$G$2:$CK$25,MATCH($E62,DEMANDS!$E$2:$E$25,0),FALSE)/HLOOKUP(2018,DEMANDS!$G$2:$CK$25,MATCH($E62,DEMANDS!$E$2:$E$25,0),FALSE)</f>
        <v>4.7605724648282388</v>
      </c>
      <c r="I62" s="18">
        <f>HLOOKUP(REG_TRA_DEMANDS!I$3,'BY-Demands'!$J$5:$AK$14,MATCH($E62,'BY-Demands'!$I$5:$I$14,0),FALSE)*HLOOKUP(REG_TRA_DEMANDS!$F62,DEMANDS!$G$2:$CK$25,MATCH($E62,DEMANDS!$E$2:$E$25,0),FALSE)/HLOOKUP(2018,DEMANDS!$G$2:$CK$25,MATCH($E62,DEMANDS!$E$2:$E$25,0),FALSE)</f>
        <v>0.96186814745133475</v>
      </c>
      <c r="J62" s="18">
        <f>HLOOKUP(REG_TRA_DEMANDS!J$3,'BY-Demands'!$J$5:$AK$14,MATCH($E62,'BY-Demands'!$I$5:$I$14,0),FALSE)*HLOOKUP(REG_TRA_DEMANDS!$F62,DEMANDS!$G$2:$CK$25,MATCH($E62,DEMANDS!$E$2:$E$25,0),FALSE)/HLOOKUP(2018,DEMANDS!$G$2:$CK$25,MATCH($E62,DEMANDS!$E$2:$E$25,0),FALSE)</f>
        <v>0.46317807722580112</v>
      </c>
      <c r="K62" s="18">
        <f>HLOOKUP(REG_TRA_DEMANDS!K$3,'BY-Demands'!$J$5:$AK$14,MATCH($E62,'BY-Demands'!$I$5:$I$14,0),FALSE)*HLOOKUP(REG_TRA_DEMANDS!$F62,DEMANDS!$G$2:$CK$25,MATCH($E62,DEMANDS!$E$2:$E$25,0),FALSE)/HLOOKUP(2018,DEMANDS!$G$2:$CK$25,MATCH($E62,DEMANDS!$E$2:$E$25,0),FALSE)</f>
        <v>0.34413765014593833</v>
      </c>
      <c r="L62" s="18">
        <f>HLOOKUP(REG_TRA_DEMANDS!L$3,'BY-Demands'!$J$5:$AK$14,MATCH($E62,'BY-Demands'!$I$5:$I$14,0),FALSE)*HLOOKUP(REG_TRA_DEMANDS!$F62,DEMANDS!$G$2:$CK$25,MATCH($E62,DEMANDS!$E$2:$E$25,0),FALSE)/HLOOKUP(2018,DEMANDS!$G$2:$CK$25,MATCH($E62,DEMANDS!$E$2:$E$25,0),FALSE)</f>
        <v>0.17720069744901315</v>
      </c>
      <c r="M62" s="18">
        <f>HLOOKUP(REG_TRA_DEMANDS!M$3,'BY-Demands'!$J$5:$AK$14,MATCH($E62,'BY-Demands'!$I$5:$I$14,0),FALSE)*HLOOKUP(REG_TRA_DEMANDS!$F62,DEMANDS!$G$2:$CK$25,MATCH($E62,DEMANDS!$E$2:$E$25,0),FALSE)/HLOOKUP(2018,DEMANDS!$G$2:$CK$25,MATCH($E62,DEMANDS!$E$2:$E$25,0),FALSE)</f>
        <v>0.48149838998574768</v>
      </c>
      <c r="N62" s="18">
        <f>HLOOKUP(REG_TRA_DEMANDS!N$3,'BY-Demands'!$J$5:$AK$14,MATCH($E62,'BY-Demands'!$I$5:$I$14,0),FALSE)*HLOOKUP(REG_TRA_DEMANDS!$F62,DEMANDS!$G$2:$CK$25,MATCH($E62,DEMANDS!$E$2:$E$25,0),FALSE)/HLOOKUP(2018,DEMANDS!$G$2:$CK$25,MATCH($E62,DEMANDS!$E$2:$E$25,0),FALSE)</f>
        <v>0.81879471696816686</v>
      </c>
      <c r="O62" s="18">
        <f>HLOOKUP(REG_TRA_DEMANDS!O$3,'BY-Demands'!$J$5:$AK$14,MATCH($E62,'BY-Demands'!$I$5:$I$14,0),FALSE)*HLOOKUP(REG_TRA_DEMANDS!$F62,DEMANDS!$G$2:$CK$25,MATCH($E62,DEMANDS!$E$2:$E$25,0),FALSE)/HLOOKUP(2018,DEMANDS!$G$2:$CK$25,MATCH($E62,DEMANDS!$E$2:$E$25,0),FALSE)</f>
        <v>0.35291487959150741</v>
      </c>
      <c r="P62" s="18">
        <f>HLOOKUP(REG_TRA_DEMANDS!P$3,'BY-Demands'!$J$5:$AK$14,MATCH($E62,'BY-Demands'!$I$5:$I$14,0),FALSE)*HLOOKUP(REG_TRA_DEMANDS!$F62,DEMANDS!$G$2:$CK$25,MATCH($E62,DEMANDS!$E$2:$E$25,0),FALSE)/HLOOKUP(2018,DEMANDS!$G$2:$CK$25,MATCH($E62,DEMANDS!$E$2:$E$25,0),FALSE)</f>
        <v>0.39111071640967626</v>
      </c>
      <c r="Q62" s="18">
        <f>HLOOKUP(REG_TRA_DEMANDS!Q$3,'BY-Demands'!$J$5:$AK$14,MATCH($E62,'BY-Demands'!$I$5:$I$14,0),FALSE)*HLOOKUP(REG_TRA_DEMANDS!$F62,DEMANDS!$G$2:$CK$25,MATCH($E62,DEMANDS!$E$2:$E$25,0),FALSE)/HLOOKUP(2018,DEMANDS!$G$2:$CK$25,MATCH($E62,DEMANDS!$E$2:$E$25,0),FALSE)</f>
        <v>0.69515629648088906</v>
      </c>
      <c r="R62" s="18">
        <f>HLOOKUP(REG_TRA_DEMANDS!R$3,'BY-Demands'!$J$5:$AK$14,MATCH($E62,'BY-Demands'!$I$5:$I$14,0),FALSE)*HLOOKUP(REG_TRA_DEMANDS!$F62,DEMANDS!$G$2:$CK$25,MATCH($E62,DEMANDS!$E$2:$E$25,0),FALSE)/HLOOKUP(2018,DEMANDS!$G$2:$CK$25,MATCH($E62,DEMANDS!$E$2:$E$25,0),FALSE)</f>
        <v>0.59526528100901044</v>
      </c>
      <c r="S62" s="18">
        <f>HLOOKUP(REG_TRA_DEMANDS!S$3,'BY-Demands'!$J$5:$AK$14,MATCH($E62,'BY-Demands'!$I$5:$I$14,0),FALSE)*HLOOKUP(REG_TRA_DEMANDS!$F62,DEMANDS!$G$2:$CK$25,MATCH($E62,DEMANDS!$E$2:$E$25,0),FALSE)/HLOOKUP(2018,DEMANDS!$G$2:$CK$25,MATCH($E62,DEMANDS!$E$2:$E$25,0),FALSE)</f>
        <v>0.53371603375456067</v>
      </c>
      <c r="T62" s="18">
        <f>HLOOKUP(REG_TRA_DEMANDS!T$3,'BY-Demands'!$J$5:$AK$14,MATCH($E62,'BY-Demands'!$I$5:$I$14,0),FALSE)*HLOOKUP(REG_TRA_DEMANDS!$F62,DEMANDS!$G$2:$CK$25,MATCH($E62,DEMANDS!$E$2:$E$25,0),FALSE)/HLOOKUP(2018,DEMANDS!$G$2:$CK$25,MATCH($E62,DEMANDS!$E$2:$E$25,0),FALSE)</f>
        <v>2.1762833411005249</v>
      </c>
      <c r="U62" s="18">
        <f>HLOOKUP(REG_TRA_DEMANDS!U$3,'BY-Demands'!$J$5:$AK$14,MATCH($E62,'BY-Demands'!$I$5:$I$14,0),FALSE)*HLOOKUP(REG_TRA_DEMANDS!$F62,DEMANDS!$G$2:$CK$25,MATCH($E62,DEMANDS!$E$2:$E$25,0),FALSE)/HLOOKUP(2018,DEMANDS!$G$2:$CK$25,MATCH($E62,DEMANDS!$E$2:$E$25,0),FALSE)</f>
        <v>0.72375439557540222</v>
      </c>
      <c r="V62" s="18">
        <f>HLOOKUP(REG_TRA_DEMANDS!V$3,'BY-Demands'!$J$5:$AK$14,MATCH($E62,'BY-Demands'!$I$5:$I$14,0),FALSE)*HLOOKUP(REG_TRA_DEMANDS!$F62,DEMANDS!$G$2:$CK$25,MATCH($E62,DEMANDS!$E$2:$E$25,0),FALSE)/HLOOKUP(2018,DEMANDS!$G$2:$CK$25,MATCH($E62,DEMANDS!$E$2:$E$25,0),FALSE)</f>
        <v>0.80175833117922013</v>
      </c>
      <c r="W62" s="18">
        <f>HLOOKUP(REG_TRA_DEMANDS!W$3,'BY-Demands'!$J$5:$AK$14,MATCH($E62,'BY-Demands'!$I$5:$I$14,0),FALSE)*HLOOKUP(REG_TRA_DEMANDS!$F62,DEMANDS!$G$2:$CK$25,MATCH($E62,DEMANDS!$E$2:$E$25,0),FALSE)/HLOOKUP(2018,DEMANDS!$G$2:$CK$25,MATCH($E62,DEMANDS!$E$2:$E$25,0),FALSE)</f>
        <v>0.7756454983094544</v>
      </c>
      <c r="X62" s="18">
        <f>HLOOKUP(REG_TRA_DEMANDS!X$3,'BY-Demands'!$J$5:$AK$14,MATCH($E62,'BY-Demands'!$I$5:$I$14,0),FALSE)*HLOOKUP(REG_TRA_DEMANDS!$F62,DEMANDS!$G$2:$CK$25,MATCH($E62,DEMANDS!$E$2:$E$25,0),FALSE)/HLOOKUP(2018,DEMANDS!$G$2:$CK$25,MATCH($E62,DEMANDS!$E$2:$E$25,0),FALSE)</f>
        <v>0.48846104459605616</v>
      </c>
      <c r="Y62" s="18">
        <f>HLOOKUP(REG_TRA_DEMANDS!Y$3,'BY-Demands'!$J$5:$AK$14,MATCH($E62,'BY-Demands'!$I$5:$I$14,0),FALSE)*HLOOKUP(REG_TRA_DEMANDS!$F62,DEMANDS!$G$2:$CK$25,MATCH($E62,DEMANDS!$E$2:$E$25,0),FALSE)/HLOOKUP(2018,DEMANDS!$G$2:$CK$25,MATCH($E62,DEMANDS!$E$2:$E$25,0),FALSE)</f>
        <v>1.109775832652683</v>
      </c>
      <c r="Z62" s="18">
        <f>HLOOKUP(REG_TRA_DEMANDS!Z$3,'BY-Demands'!$J$5:$AK$14,MATCH($E62,'BY-Demands'!$I$5:$I$14,0),FALSE)*HLOOKUP(REG_TRA_DEMANDS!$F62,DEMANDS!$G$2:$CK$25,MATCH($E62,DEMANDS!$E$2:$E$25,0),FALSE)/HLOOKUP(2018,DEMANDS!$G$2:$CK$25,MATCH($E62,DEMANDS!$E$2:$E$25,0),FALSE)</f>
        <v>0.14316989752479031</v>
      </c>
      <c r="AA62" s="18">
        <f>HLOOKUP(REG_TRA_DEMANDS!AA$3,'BY-Demands'!$J$5:$AK$14,MATCH($E62,'BY-Demands'!$I$5:$I$14,0),FALSE)*HLOOKUP(REG_TRA_DEMANDS!$F62,DEMANDS!$G$2:$CK$25,MATCH($E62,DEMANDS!$E$2:$E$25,0),FALSE)/HLOOKUP(2018,DEMANDS!$G$2:$CK$25,MATCH($E62,DEMANDS!$E$2:$E$25,0),FALSE)</f>
        <v>0.61539102915763644</v>
      </c>
      <c r="AB62" s="18">
        <f>HLOOKUP(REG_TRA_DEMANDS!AB$3,'BY-Demands'!$J$5:$AK$14,MATCH($E62,'BY-Demands'!$I$5:$I$14,0),FALSE)*HLOOKUP(REG_TRA_DEMANDS!$F62,DEMANDS!$G$2:$CK$25,MATCH($E62,DEMANDS!$E$2:$E$25,0),FALSE)/HLOOKUP(2018,DEMANDS!$G$2:$CK$25,MATCH($E62,DEMANDS!$E$2:$E$25,0),FALSE)</f>
        <v>0.32256496937883294</v>
      </c>
      <c r="AC62" s="18">
        <f>HLOOKUP(REG_TRA_DEMANDS!AC$3,'BY-Demands'!$J$5:$AK$14,MATCH($E62,'BY-Demands'!$I$5:$I$14,0),FALSE)*HLOOKUP(REG_TRA_DEMANDS!$F62,DEMANDS!$G$2:$CK$25,MATCH($E62,DEMANDS!$E$2:$E$25,0),FALSE)/HLOOKUP(2018,DEMANDS!$G$2:$CK$25,MATCH($E62,DEMANDS!$E$2:$E$25,0),FALSE)</f>
        <v>0.26886025386076201</v>
      </c>
      <c r="AD62" s="18">
        <f>HLOOKUP(REG_TRA_DEMANDS!AD$3,'BY-Demands'!$J$5:$AK$14,MATCH($E62,'BY-Demands'!$I$5:$I$14,0),FALSE)*HLOOKUP(REG_TRA_DEMANDS!$F62,DEMANDS!$G$2:$CK$25,MATCH($E62,DEMANDS!$E$2:$E$25,0),FALSE)/HLOOKUP(2018,DEMANDS!$G$2:$CK$25,MATCH($E62,DEMANDS!$E$2:$E$25,0),FALSE)</f>
        <v>0.28754493076373394</v>
      </c>
      <c r="AE62" s="18">
        <f>HLOOKUP(REG_TRA_DEMANDS!AE$3,'BY-Demands'!$J$5:$AK$14,MATCH($E62,'BY-Demands'!$I$5:$I$14,0),FALSE)*HLOOKUP(REG_TRA_DEMANDS!$F62,DEMANDS!$G$2:$CK$25,MATCH($E62,DEMANDS!$E$2:$E$25,0),FALSE)/HLOOKUP(2018,DEMANDS!$G$2:$CK$25,MATCH($E62,DEMANDS!$E$2:$E$25,0),FALSE)</f>
        <v>0.52967874760143596</v>
      </c>
      <c r="AF62" s="18">
        <f>HLOOKUP(REG_TRA_DEMANDS!AF$3,'BY-Demands'!$J$5:$AK$14,MATCH($E62,'BY-Demands'!$I$5:$I$14,0),FALSE)*HLOOKUP(REG_TRA_DEMANDS!$F62,DEMANDS!$G$2:$CK$25,MATCH($E62,DEMANDS!$E$2:$E$25,0),FALSE)/HLOOKUP(2018,DEMANDS!$G$2:$CK$25,MATCH($E62,DEMANDS!$E$2:$E$25,0),FALSE)</f>
        <v>0.305966932793244</v>
      </c>
    </row>
    <row r="63" spans="4:32" ht="14.4">
      <c r="D63" t="s">
        <v>6</v>
      </c>
      <c r="E63" t="str">
        <f>DEMANDS!$E$19</f>
        <v>TRAPL</v>
      </c>
      <c r="F63">
        <v>2025</v>
      </c>
      <c r="G63" s="18">
        <f>HLOOKUP(REG_TRA_DEMANDS!G$3,'BY-Demands'!$J$5:$AK$14,MATCH($E63,'BY-Demands'!$I$5:$I$14,0),FALSE)*HLOOKUP(REG_TRA_DEMANDS!$F63,DEMANDS!$G$2:$CK$25,MATCH($E63,DEMANDS!$E$2:$E$25,0),FALSE)/HLOOKUP(2018,DEMANDS!$G$2:$CK$25,MATCH($E63,DEMANDS!$E$2:$E$25,0),FALSE)</f>
        <v>0.27391309055240926</v>
      </c>
      <c r="H63" s="18">
        <f>HLOOKUP(REG_TRA_DEMANDS!H$3,'BY-Demands'!$J$5:$AK$14,MATCH($E63,'BY-Demands'!$I$5:$I$14,0),FALSE)*HLOOKUP(REG_TRA_DEMANDS!$F63,DEMANDS!$G$2:$CK$25,MATCH($E63,DEMANDS!$E$2:$E$25,0),FALSE)/HLOOKUP(2018,DEMANDS!$G$2:$CK$25,MATCH($E63,DEMANDS!$E$2:$E$25,0),FALSE)</f>
        <v>4.8795867764489449</v>
      </c>
      <c r="I63" s="18">
        <f>HLOOKUP(REG_TRA_DEMANDS!I$3,'BY-Demands'!$J$5:$AK$14,MATCH($E63,'BY-Demands'!$I$5:$I$14,0),FALSE)*HLOOKUP(REG_TRA_DEMANDS!$F63,DEMANDS!$G$2:$CK$25,MATCH($E63,DEMANDS!$E$2:$E$25,0),FALSE)/HLOOKUP(2018,DEMANDS!$G$2:$CK$25,MATCH($E63,DEMANDS!$E$2:$E$25,0),FALSE)</f>
        <v>0.98591485113761812</v>
      </c>
      <c r="J63" s="18">
        <f>HLOOKUP(REG_TRA_DEMANDS!J$3,'BY-Demands'!$J$5:$AK$14,MATCH($E63,'BY-Demands'!$I$5:$I$14,0),FALSE)*HLOOKUP(REG_TRA_DEMANDS!$F63,DEMANDS!$G$2:$CK$25,MATCH($E63,DEMANDS!$E$2:$E$25,0),FALSE)/HLOOKUP(2018,DEMANDS!$G$2:$CK$25,MATCH($E63,DEMANDS!$E$2:$E$25,0),FALSE)</f>
        <v>0.47475752915644615</v>
      </c>
      <c r="K63" s="18">
        <f>HLOOKUP(REG_TRA_DEMANDS!K$3,'BY-Demands'!$J$5:$AK$14,MATCH($E63,'BY-Demands'!$I$5:$I$14,0),FALSE)*HLOOKUP(REG_TRA_DEMANDS!$F63,DEMANDS!$G$2:$CK$25,MATCH($E63,DEMANDS!$E$2:$E$25,0),FALSE)/HLOOKUP(2018,DEMANDS!$G$2:$CK$25,MATCH($E63,DEMANDS!$E$2:$E$25,0),FALSE)</f>
        <v>0.35274109139958681</v>
      </c>
      <c r="L63" s="18">
        <f>HLOOKUP(REG_TRA_DEMANDS!L$3,'BY-Demands'!$J$5:$AK$14,MATCH($E63,'BY-Demands'!$I$5:$I$14,0),FALSE)*HLOOKUP(REG_TRA_DEMANDS!$F63,DEMANDS!$G$2:$CK$25,MATCH($E63,DEMANDS!$E$2:$E$25,0),FALSE)/HLOOKUP(2018,DEMANDS!$G$2:$CK$25,MATCH($E63,DEMANDS!$E$2:$E$25,0),FALSE)</f>
        <v>0.18163071488523846</v>
      </c>
      <c r="M63" s="18">
        <f>HLOOKUP(REG_TRA_DEMANDS!M$3,'BY-Demands'!$J$5:$AK$14,MATCH($E63,'BY-Demands'!$I$5:$I$14,0),FALSE)*HLOOKUP(REG_TRA_DEMANDS!$F63,DEMANDS!$G$2:$CK$25,MATCH($E63,DEMANDS!$E$2:$E$25,0),FALSE)/HLOOKUP(2018,DEMANDS!$G$2:$CK$25,MATCH($E63,DEMANDS!$E$2:$E$25,0),FALSE)</f>
        <v>0.49353584973539139</v>
      </c>
      <c r="N63" s="18">
        <f>HLOOKUP(REG_TRA_DEMANDS!N$3,'BY-Demands'!$J$5:$AK$14,MATCH($E63,'BY-Demands'!$I$5:$I$14,0),FALSE)*HLOOKUP(REG_TRA_DEMANDS!$F63,DEMANDS!$G$2:$CK$25,MATCH($E63,DEMANDS!$E$2:$E$25,0),FALSE)/HLOOKUP(2018,DEMANDS!$G$2:$CK$25,MATCH($E63,DEMANDS!$E$2:$E$25,0),FALSE)</f>
        <v>0.8392645848923711</v>
      </c>
      <c r="O63" s="18">
        <f>HLOOKUP(REG_TRA_DEMANDS!O$3,'BY-Demands'!$J$5:$AK$14,MATCH($E63,'BY-Demands'!$I$5:$I$14,0),FALSE)*HLOOKUP(REG_TRA_DEMANDS!$F63,DEMANDS!$G$2:$CK$25,MATCH($E63,DEMANDS!$E$2:$E$25,0),FALSE)/HLOOKUP(2018,DEMANDS!$G$2:$CK$25,MATCH($E63,DEMANDS!$E$2:$E$25,0),FALSE)</f>
        <v>0.36173775158129501</v>
      </c>
      <c r="P63" s="18">
        <f>HLOOKUP(REG_TRA_DEMANDS!P$3,'BY-Demands'!$J$5:$AK$14,MATCH($E63,'BY-Demands'!$I$5:$I$14,0),FALSE)*HLOOKUP(REG_TRA_DEMANDS!$F63,DEMANDS!$G$2:$CK$25,MATCH($E63,DEMANDS!$E$2:$E$25,0),FALSE)/HLOOKUP(2018,DEMANDS!$G$2:$CK$25,MATCH($E63,DEMANDS!$E$2:$E$25,0),FALSE)</f>
        <v>0.40088848431991819</v>
      </c>
      <c r="Q63" s="18">
        <f>HLOOKUP(REG_TRA_DEMANDS!Q$3,'BY-Demands'!$J$5:$AK$14,MATCH($E63,'BY-Demands'!$I$5:$I$14,0),FALSE)*HLOOKUP(REG_TRA_DEMANDS!$F63,DEMANDS!$G$2:$CK$25,MATCH($E63,DEMANDS!$E$2:$E$25,0),FALSE)/HLOOKUP(2018,DEMANDS!$G$2:$CK$25,MATCH($E63,DEMANDS!$E$2:$E$25,0),FALSE)</f>
        <v>0.71253520389291125</v>
      </c>
      <c r="R63" s="18">
        <f>HLOOKUP(REG_TRA_DEMANDS!R$3,'BY-Demands'!$J$5:$AK$14,MATCH($E63,'BY-Demands'!$I$5:$I$14,0),FALSE)*HLOOKUP(REG_TRA_DEMANDS!$F63,DEMANDS!$G$2:$CK$25,MATCH($E63,DEMANDS!$E$2:$E$25,0),FALSE)/HLOOKUP(2018,DEMANDS!$G$2:$CK$25,MATCH($E63,DEMANDS!$E$2:$E$25,0),FALSE)</f>
        <v>0.61014691303423563</v>
      </c>
      <c r="S63" s="18">
        <f>HLOOKUP(REG_TRA_DEMANDS!S$3,'BY-Demands'!$J$5:$AK$14,MATCH($E63,'BY-Demands'!$I$5:$I$14,0),FALSE)*HLOOKUP(REG_TRA_DEMANDS!$F63,DEMANDS!$G$2:$CK$25,MATCH($E63,DEMANDS!$E$2:$E$25,0),FALSE)/HLOOKUP(2018,DEMANDS!$G$2:$CK$25,MATCH($E63,DEMANDS!$E$2:$E$25,0),FALSE)</f>
        <v>0.5470589345984247</v>
      </c>
      <c r="T63" s="18">
        <f>HLOOKUP(REG_TRA_DEMANDS!T$3,'BY-Demands'!$J$5:$AK$14,MATCH($E63,'BY-Demands'!$I$5:$I$14,0),FALSE)*HLOOKUP(REG_TRA_DEMANDS!$F63,DEMANDS!$G$2:$CK$25,MATCH($E63,DEMANDS!$E$2:$E$25,0),FALSE)/HLOOKUP(2018,DEMANDS!$G$2:$CK$25,MATCH($E63,DEMANDS!$E$2:$E$25,0),FALSE)</f>
        <v>2.2306904246280381</v>
      </c>
      <c r="U63" s="18">
        <f>HLOOKUP(REG_TRA_DEMANDS!U$3,'BY-Demands'!$J$5:$AK$14,MATCH($E63,'BY-Demands'!$I$5:$I$14,0),FALSE)*HLOOKUP(REG_TRA_DEMANDS!$F63,DEMANDS!$G$2:$CK$25,MATCH($E63,DEMANDS!$E$2:$E$25,0),FALSE)/HLOOKUP(2018,DEMANDS!$G$2:$CK$25,MATCH($E63,DEMANDS!$E$2:$E$25,0),FALSE)</f>
        <v>0.74184825546478728</v>
      </c>
      <c r="V63" s="18">
        <f>HLOOKUP(REG_TRA_DEMANDS!V$3,'BY-Demands'!$J$5:$AK$14,MATCH($E63,'BY-Demands'!$I$5:$I$14,0),FALSE)*HLOOKUP(REG_TRA_DEMANDS!$F63,DEMANDS!$G$2:$CK$25,MATCH($E63,DEMANDS!$E$2:$E$25,0),FALSE)/HLOOKUP(2018,DEMANDS!$G$2:$CK$25,MATCH($E63,DEMANDS!$E$2:$E$25,0),FALSE)</f>
        <v>0.8218022894587006</v>
      </c>
      <c r="W63" s="18">
        <f>HLOOKUP(REG_TRA_DEMANDS!W$3,'BY-Demands'!$J$5:$AK$14,MATCH($E63,'BY-Demands'!$I$5:$I$14,0),FALSE)*HLOOKUP(REG_TRA_DEMANDS!$F63,DEMANDS!$G$2:$CK$25,MATCH($E63,DEMANDS!$E$2:$E$25,0),FALSE)/HLOOKUP(2018,DEMANDS!$G$2:$CK$25,MATCH($E63,DEMANDS!$E$2:$E$25,0),FALSE)</f>
        <v>0.79503663576719064</v>
      </c>
      <c r="X63" s="18">
        <f>HLOOKUP(REG_TRA_DEMANDS!X$3,'BY-Demands'!$J$5:$AK$14,MATCH($E63,'BY-Demands'!$I$5:$I$14,0),FALSE)*HLOOKUP(REG_TRA_DEMANDS!$F63,DEMANDS!$G$2:$CK$25,MATCH($E63,DEMANDS!$E$2:$E$25,0),FALSE)/HLOOKUP(2018,DEMANDS!$G$2:$CK$25,MATCH($E63,DEMANDS!$E$2:$E$25,0),FALSE)</f>
        <v>0.5006725707109575</v>
      </c>
      <c r="Y63" s="18">
        <f>HLOOKUP(REG_TRA_DEMANDS!Y$3,'BY-Demands'!$J$5:$AK$14,MATCH($E63,'BY-Demands'!$I$5:$I$14,0),FALSE)*HLOOKUP(REG_TRA_DEMANDS!$F63,DEMANDS!$G$2:$CK$25,MATCH($E63,DEMANDS!$E$2:$E$25,0),FALSE)/HLOOKUP(2018,DEMANDS!$G$2:$CK$25,MATCH($E63,DEMANDS!$E$2:$E$25,0),FALSE)</f>
        <v>1.137520228469</v>
      </c>
      <c r="Z63" s="18">
        <f>HLOOKUP(REG_TRA_DEMANDS!Z$3,'BY-Demands'!$J$5:$AK$14,MATCH($E63,'BY-Demands'!$I$5:$I$14,0),FALSE)*HLOOKUP(REG_TRA_DEMANDS!$F63,DEMANDS!$G$2:$CK$25,MATCH($E63,DEMANDS!$E$2:$E$25,0),FALSE)/HLOOKUP(2018,DEMANDS!$G$2:$CK$25,MATCH($E63,DEMANDS!$E$2:$E$25,0),FALSE)</f>
        <v>0.14674914496291006</v>
      </c>
      <c r="AA63" s="18">
        <f>HLOOKUP(REG_TRA_DEMANDS!AA$3,'BY-Demands'!$J$5:$AK$14,MATCH($E63,'BY-Demands'!$I$5:$I$14,0),FALSE)*HLOOKUP(REG_TRA_DEMANDS!$F63,DEMANDS!$G$2:$CK$25,MATCH($E63,DEMANDS!$E$2:$E$25,0),FALSE)/HLOOKUP(2018,DEMANDS!$G$2:$CK$25,MATCH($E63,DEMANDS!$E$2:$E$25,0),FALSE)</f>
        <v>0.63077580488657747</v>
      </c>
      <c r="AB63" s="18">
        <f>HLOOKUP(REG_TRA_DEMANDS!AB$3,'BY-Demands'!$J$5:$AK$14,MATCH($E63,'BY-Demands'!$I$5:$I$14,0),FALSE)*HLOOKUP(REG_TRA_DEMANDS!$F63,DEMANDS!$G$2:$CK$25,MATCH($E63,DEMANDS!$E$2:$E$25,0),FALSE)/HLOOKUP(2018,DEMANDS!$G$2:$CK$25,MATCH($E63,DEMANDS!$E$2:$E$25,0),FALSE)</f>
        <v>0.33062909361330378</v>
      </c>
      <c r="AC63" s="18">
        <f>HLOOKUP(REG_TRA_DEMANDS!AC$3,'BY-Demands'!$J$5:$AK$14,MATCH($E63,'BY-Demands'!$I$5:$I$14,0),FALSE)*HLOOKUP(REG_TRA_DEMANDS!$F63,DEMANDS!$G$2:$CK$25,MATCH($E63,DEMANDS!$E$2:$E$25,0),FALSE)/HLOOKUP(2018,DEMANDS!$G$2:$CK$25,MATCH($E63,DEMANDS!$E$2:$E$25,0),FALSE)</f>
        <v>0.27558176020728109</v>
      </c>
      <c r="AD63" s="18">
        <f>HLOOKUP(REG_TRA_DEMANDS!AD$3,'BY-Demands'!$J$5:$AK$14,MATCH($E63,'BY-Demands'!$I$5:$I$14,0),FALSE)*HLOOKUP(REG_TRA_DEMANDS!$F63,DEMANDS!$G$2:$CK$25,MATCH($E63,DEMANDS!$E$2:$E$25,0),FALSE)/HLOOKUP(2018,DEMANDS!$G$2:$CK$25,MATCH($E63,DEMANDS!$E$2:$E$25,0),FALSE)</f>
        <v>0.29473355403282725</v>
      </c>
      <c r="AE63" s="18">
        <f>HLOOKUP(REG_TRA_DEMANDS!AE$3,'BY-Demands'!$J$5:$AK$14,MATCH($E63,'BY-Demands'!$I$5:$I$14,0),FALSE)*HLOOKUP(REG_TRA_DEMANDS!$F63,DEMANDS!$G$2:$CK$25,MATCH($E63,DEMANDS!$E$2:$E$25,0),FALSE)/HLOOKUP(2018,DEMANDS!$G$2:$CK$25,MATCH($E63,DEMANDS!$E$2:$E$25,0),FALSE)</f>
        <v>0.54292071629147187</v>
      </c>
      <c r="AF63" s="18">
        <f>HLOOKUP(REG_TRA_DEMANDS!AF$3,'BY-Demands'!$J$5:$AK$14,MATCH($E63,'BY-Demands'!$I$5:$I$14,0),FALSE)*HLOOKUP(REG_TRA_DEMANDS!$F63,DEMANDS!$G$2:$CK$25,MATCH($E63,DEMANDS!$E$2:$E$25,0),FALSE)/HLOOKUP(2018,DEMANDS!$G$2:$CK$25,MATCH($E63,DEMANDS!$E$2:$E$25,0),FALSE)</f>
        <v>0.31361610611307505</v>
      </c>
    </row>
    <row r="64" spans="4:32" ht="14.4">
      <c r="D64" t="s">
        <v>6</v>
      </c>
      <c r="E64" t="str">
        <f>DEMANDS!$E$19</f>
        <v>TRAPL</v>
      </c>
      <c r="F64">
        <v>2026</v>
      </c>
      <c r="G64" s="18">
        <f>HLOOKUP(REG_TRA_DEMANDS!G$3,'BY-Demands'!$J$5:$AK$14,MATCH($E64,'BY-Demands'!$I$5:$I$14,0),FALSE)*HLOOKUP(REG_TRA_DEMANDS!$F64,DEMANDS!$G$2:$CK$25,MATCH($E64,DEMANDS!$E$2:$E$25,0),FALSE)/HLOOKUP(2018,DEMANDS!$G$2:$CK$25,MATCH($E64,DEMANDS!$E$2:$E$25,0),FALSE)</f>
        <v>0.28076091781621948</v>
      </c>
      <c r="H64" s="18">
        <f>HLOOKUP(REG_TRA_DEMANDS!H$3,'BY-Demands'!$J$5:$AK$14,MATCH($E64,'BY-Demands'!$I$5:$I$14,0),FALSE)*HLOOKUP(REG_TRA_DEMANDS!$F64,DEMANDS!$G$2:$CK$25,MATCH($E64,DEMANDS!$E$2:$E$25,0),FALSE)/HLOOKUP(2018,DEMANDS!$G$2:$CK$25,MATCH($E64,DEMANDS!$E$2:$E$25,0),FALSE)</f>
        <v>5.0015764458601675</v>
      </c>
      <c r="I64" s="18">
        <f>HLOOKUP(REG_TRA_DEMANDS!I$3,'BY-Demands'!$J$5:$AK$14,MATCH($E64,'BY-Demands'!$I$5:$I$14,0),FALSE)*HLOOKUP(REG_TRA_DEMANDS!$F64,DEMANDS!$G$2:$CK$25,MATCH($E64,DEMANDS!$E$2:$E$25,0),FALSE)/HLOOKUP(2018,DEMANDS!$G$2:$CK$25,MATCH($E64,DEMANDS!$E$2:$E$25,0),FALSE)</f>
        <v>1.0105627224160585</v>
      </c>
      <c r="J64" s="18">
        <f>HLOOKUP(REG_TRA_DEMANDS!J$3,'BY-Demands'!$J$5:$AK$14,MATCH($E64,'BY-Demands'!$I$5:$I$14,0),FALSE)*HLOOKUP(REG_TRA_DEMANDS!$F64,DEMANDS!$G$2:$CK$25,MATCH($E64,DEMANDS!$E$2:$E$25,0),FALSE)/HLOOKUP(2018,DEMANDS!$G$2:$CK$25,MATCH($E64,DEMANDS!$E$2:$E$25,0),FALSE)</f>
        <v>0.48662646738535725</v>
      </c>
      <c r="K64" s="18">
        <f>HLOOKUP(REG_TRA_DEMANDS!K$3,'BY-Demands'!$J$5:$AK$14,MATCH($E64,'BY-Demands'!$I$5:$I$14,0),FALSE)*HLOOKUP(REG_TRA_DEMANDS!$F64,DEMANDS!$G$2:$CK$25,MATCH($E64,DEMANDS!$E$2:$E$25,0),FALSE)/HLOOKUP(2018,DEMANDS!$G$2:$CK$25,MATCH($E64,DEMANDS!$E$2:$E$25,0),FALSE)</f>
        <v>0.36155961868457642</v>
      </c>
      <c r="L64" s="18">
        <f>HLOOKUP(REG_TRA_DEMANDS!L$3,'BY-Demands'!$J$5:$AK$14,MATCH($E64,'BY-Demands'!$I$5:$I$14,0),FALSE)*HLOOKUP(REG_TRA_DEMANDS!$F64,DEMANDS!$G$2:$CK$25,MATCH($E64,DEMANDS!$E$2:$E$25,0),FALSE)/HLOOKUP(2018,DEMANDS!$G$2:$CK$25,MATCH($E64,DEMANDS!$E$2:$E$25,0),FALSE)</f>
        <v>0.18617148275736942</v>
      </c>
      <c r="M64" s="18">
        <f>HLOOKUP(REG_TRA_DEMANDS!M$3,'BY-Demands'!$J$5:$AK$14,MATCH($E64,'BY-Demands'!$I$5:$I$14,0),FALSE)*HLOOKUP(REG_TRA_DEMANDS!$F64,DEMANDS!$G$2:$CK$25,MATCH($E64,DEMANDS!$E$2:$E$25,0),FALSE)/HLOOKUP(2018,DEMANDS!$G$2:$CK$25,MATCH($E64,DEMANDS!$E$2:$E$25,0),FALSE)</f>
        <v>0.50587424597877617</v>
      </c>
      <c r="N64" s="18">
        <f>HLOOKUP(REG_TRA_DEMANDS!N$3,'BY-Demands'!$J$5:$AK$14,MATCH($E64,'BY-Demands'!$I$5:$I$14,0),FALSE)*HLOOKUP(REG_TRA_DEMANDS!$F64,DEMANDS!$G$2:$CK$25,MATCH($E64,DEMANDS!$E$2:$E$25,0),FALSE)/HLOOKUP(2018,DEMANDS!$G$2:$CK$25,MATCH($E64,DEMANDS!$E$2:$E$25,0),FALSE)</f>
        <v>0.86024619951468029</v>
      </c>
      <c r="O64" s="18">
        <f>HLOOKUP(REG_TRA_DEMANDS!O$3,'BY-Demands'!$J$5:$AK$14,MATCH($E64,'BY-Demands'!$I$5:$I$14,0),FALSE)*HLOOKUP(REG_TRA_DEMANDS!$F64,DEMANDS!$G$2:$CK$25,MATCH($E64,DEMANDS!$E$2:$E$25,0),FALSE)/HLOOKUP(2018,DEMANDS!$G$2:$CK$25,MATCH($E64,DEMANDS!$E$2:$E$25,0),FALSE)</f>
        <v>0.37078119537082743</v>
      </c>
      <c r="P64" s="18">
        <f>HLOOKUP(REG_TRA_DEMANDS!P$3,'BY-Demands'!$J$5:$AK$14,MATCH($E64,'BY-Demands'!$I$5:$I$14,0),FALSE)*HLOOKUP(REG_TRA_DEMANDS!$F64,DEMANDS!$G$2:$CK$25,MATCH($E64,DEMANDS!$E$2:$E$25,0),FALSE)/HLOOKUP(2018,DEMANDS!$G$2:$CK$25,MATCH($E64,DEMANDS!$E$2:$E$25,0),FALSE)</f>
        <v>0.41091069642791617</v>
      </c>
      <c r="Q64" s="18">
        <f>HLOOKUP(REG_TRA_DEMANDS!Q$3,'BY-Demands'!$J$5:$AK$14,MATCH($E64,'BY-Demands'!$I$5:$I$14,0),FALSE)*HLOOKUP(REG_TRA_DEMANDS!$F64,DEMANDS!$G$2:$CK$25,MATCH($E64,DEMANDS!$E$2:$E$25,0),FALSE)/HLOOKUP(2018,DEMANDS!$G$2:$CK$25,MATCH($E64,DEMANDS!$E$2:$E$25,0),FALSE)</f>
        <v>0.73034858399023395</v>
      </c>
      <c r="R64" s="18">
        <f>HLOOKUP(REG_TRA_DEMANDS!R$3,'BY-Demands'!$J$5:$AK$14,MATCH($E64,'BY-Demands'!$I$5:$I$14,0),FALSE)*HLOOKUP(REG_TRA_DEMANDS!$F64,DEMANDS!$G$2:$CK$25,MATCH($E64,DEMANDS!$E$2:$E$25,0),FALSE)/HLOOKUP(2018,DEMANDS!$G$2:$CK$25,MATCH($E64,DEMANDS!$E$2:$E$25,0),FALSE)</f>
        <v>0.62540058586009162</v>
      </c>
      <c r="S64" s="18">
        <f>HLOOKUP(REG_TRA_DEMANDS!S$3,'BY-Demands'!$J$5:$AK$14,MATCH($E64,'BY-Demands'!$I$5:$I$14,0),FALSE)*HLOOKUP(REG_TRA_DEMANDS!$F64,DEMANDS!$G$2:$CK$25,MATCH($E64,DEMANDS!$E$2:$E$25,0),FALSE)/HLOOKUP(2018,DEMANDS!$G$2:$CK$25,MATCH($E64,DEMANDS!$E$2:$E$25,0),FALSE)</f>
        <v>0.56073540796338528</v>
      </c>
      <c r="T64" s="18">
        <f>HLOOKUP(REG_TRA_DEMANDS!T$3,'BY-Demands'!$J$5:$AK$14,MATCH($E64,'BY-Demands'!$I$5:$I$14,0),FALSE)*HLOOKUP(REG_TRA_DEMANDS!$F64,DEMANDS!$G$2:$CK$25,MATCH($E64,DEMANDS!$E$2:$E$25,0),FALSE)/HLOOKUP(2018,DEMANDS!$G$2:$CK$25,MATCH($E64,DEMANDS!$E$2:$E$25,0),FALSE)</f>
        <v>2.286457685243739</v>
      </c>
      <c r="U64" s="18">
        <f>HLOOKUP(REG_TRA_DEMANDS!U$3,'BY-Demands'!$J$5:$AK$14,MATCH($E64,'BY-Demands'!$I$5:$I$14,0),FALSE)*HLOOKUP(REG_TRA_DEMANDS!$F64,DEMANDS!$G$2:$CK$25,MATCH($E64,DEMANDS!$E$2:$E$25,0),FALSE)/HLOOKUP(2018,DEMANDS!$G$2:$CK$25,MATCH($E64,DEMANDS!$E$2:$E$25,0),FALSE)</f>
        <v>0.76039446185140702</v>
      </c>
      <c r="V64" s="18">
        <f>HLOOKUP(REG_TRA_DEMANDS!V$3,'BY-Demands'!$J$5:$AK$14,MATCH($E64,'BY-Demands'!$I$5:$I$14,0),FALSE)*HLOOKUP(REG_TRA_DEMANDS!$F64,DEMANDS!$G$2:$CK$25,MATCH($E64,DEMANDS!$E$2:$E$25,0),FALSE)/HLOOKUP(2018,DEMANDS!$G$2:$CK$25,MATCH($E64,DEMANDS!$E$2:$E$25,0),FALSE)</f>
        <v>0.84234734669516809</v>
      </c>
      <c r="W64" s="18">
        <f>HLOOKUP(REG_TRA_DEMANDS!W$3,'BY-Demands'!$J$5:$AK$14,MATCH($E64,'BY-Demands'!$I$5:$I$14,0),FALSE)*HLOOKUP(REG_TRA_DEMANDS!$F64,DEMANDS!$G$2:$CK$25,MATCH($E64,DEMANDS!$E$2:$E$25,0),FALSE)/HLOOKUP(2018,DEMANDS!$G$2:$CK$25,MATCH($E64,DEMANDS!$E$2:$E$25,0),FALSE)</f>
        <v>0.81491255166137044</v>
      </c>
      <c r="X64" s="18">
        <f>HLOOKUP(REG_TRA_DEMANDS!X$3,'BY-Demands'!$J$5:$AK$14,MATCH($E64,'BY-Demands'!$I$5:$I$14,0),FALSE)*HLOOKUP(REG_TRA_DEMANDS!$F64,DEMANDS!$G$2:$CK$25,MATCH($E64,DEMANDS!$E$2:$E$25,0),FALSE)/HLOOKUP(2018,DEMANDS!$G$2:$CK$25,MATCH($E64,DEMANDS!$E$2:$E$25,0),FALSE)</f>
        <v>0.51318938497873146</v>
      </c>
      <c r="Y64" s="18">
        <f>HLOOKUP(REG_TRA_DEMANDS!Y$3,'BY-Demands'!$J$5:$AK$14,MATCH($E64,'BY-Demands'!$I$5:$I$14,0),FALSE)*HLOOKUP(REG_TRA_DEMANDS!$F64,DEMANDS!$G$2:$CK$25,MATCH($E64,DEMANDS!$E$2:$E$25,0),FALSE)/HLOOKUP(2018,DEMANDS!$G$2:$CK$25,MATCH($E64,DEMANDS!$E$2:$E$25,0),FALSE)</f>
        <v>1.1659582341807249</v>
      </c>
      <c r="Z64" s="18">
        <f>HLOOKUP(REG_TRA_DEMANDS!Z$3,'BY-Demands'!$J$5:$AK$14,MATCH($E64,'BY-Demands'!$I$5:$I$14,0),FALSE)*HLOOKUP(REG_TRA_DEMANDS!$F64,DEMANDS!$G$2:$CK$25,MATCH($E64,DEMANDS!$E$2:$E$25,0),FALSE)/HLOOKUP(2018,DEMANDS!$G$2:$CK$25,MATCH($E64,DEMANDS!$E$2:$E$25,0),FALSE)</f>
        <v>0.15041787358698283</v>
      </c>
      <c r="AA64" s="18">
        <f>HLOOKUP(REG_TRA_DEMANDS!AA$3,'BY-Demands'!$J$5:$AK$14,MATCH($E64,'BY-Demands'!$I$5:$I$14,0),FALSE)*HLOOKUP(REG_TRA_DEMANDS!$F64,DEMANDS!$G$2:$CK$25,MATCH($E64,DEMANDS!$E$2:$E$25,0),FALSE)/HLOOKUP(2018,DEMANDS!$G$2:$CK$25,MATCH($E64,DEMANDS!$E$2:$E$25,0),FALSE)</f>
        <v>0.64654520000874183</v>
      </c>
      <c r="AB64" s="18">
        <f>HLOOKUP(REG_TRA_DEMANDS!AB$3,'BY-Demands'!$J$5:$AK$14,MATCH($E64,'BY-Demands'!$I$5:$I$14,0),FALSE)*HLOOKUP(REG_TRA_DEMANDS!$F64,DEMANDS!$G$2:$CK$25,MATCH($E64,DEMANDS!$E$2:$E$25,0),FALSE)/HLOOKUP(2018,DEMANDS!$G$2:$CK$25,MATCH($E64,DEMANDS!$E$2:$E$25,0),FALSE)</f>
        <v>0.33889482095363632</v>
      </c>
      <c r="AC64" s="18">
        <f>HLOOKUP(REG_TRA_DEMANDS!AC$3,'BY-Demands'!$J$5:$AK$14,MATCH($E64,'BY-Demands'!$I$5:$I$14,0),FALSE)*HLOOKUP(REG_TRA_DEMANDS!$F64,DEMANDS!$G$2:$CK$25,MATCH($E64,DEMANDS!$E$2:$E$25,0),FALSE)/HLOOKUP(2018,DEMANDS!$G$2:$CK$25,MATCH($E64,DEMANDS!$E$2:$E$25,0),FALSE)</f>
        <v>0.28247130421246308</v>
      </c>
      <c r="AD64" s="18">
        <f>HLOOKUP(REG_TRA_DEMANDS!AD$3,'BY-Demands'!$J$5:$AK$14,MATCH($E64,'BY-Demands'!$I$5:$I$14,0),FALSE)*HLOOKUP(REG_TRA_DEMANDS!$F64,DEMANDS!$G$2:$CK$25,MATCH($E64,DEMANDS!$E$2:$E$25,0),FALSE)/HLOOKUP(2018,DEMANDS!$G$2:$CK$25,MATCH($E64,DEMANDS!$E$2:$E$25,0),FALSE)</f>
        <v>0.30210189288364792</v>
      </c>
      <c r="AE64" s="18">
        <f>HLOOKUP(REG_TRA_DEMANDS!AE$3,'BY-Demands'!$J$5:$AK$14,MATCH($E64,'BY-Demands'!$I$5:$I$14,0),FALSE)*HLOOKUP(REG_TRA_DEMANDS!$F64,DEMANDS!$G$2:$CK$25,MATCH($E64,DEMANDS!$E$2:$E$25,0),FALSE)/HLOOKUP(2018,DEMANDS!$G$2:$CK$25,MATCH($E64,DEMANDS!$E$2:$E$25,0),FALSE)</f>
        <v>0.55649373419875858</v>
      </c>
      <c r="AF64" s="18">
        <f>HLOOKUP(REG_TRA_DEMANDS!AF$3,'BY-Demands'!$J$5:$AK$14,MATCH($E64,'BY-Demands'!$I$5:$I$14,0),FALSE)*HLOOKUP(REG_TRA_DEMANDS!$F64,DEMANDS!$G$2:$CK$25,MATCH($E64,DEMANDS!$E$2:$E$25,0),FALSE)/HLOOKUP(2018,DEMANDS!$G$2:$CK$25,MATCH($E64,DEMANDS!$E$2:$E$25,0),FALSE)</f>
        <v>0.32145650876590193</v>
      </c>
    </row>
    <row r="65" spans="4:32" ht="14.4">
      <c r="D65" t="s">
        <v>6</v>
      </c>
      <c r="E65" t="str">
        <f>DEMANDS!$E$19</f>
        <v>TRAPL</v>
      </c>
      <c r="F65">
        <v>2027</v>
      </c>
      <c r="G65" s="18">
        <f>HLOOKUP(REG_TRA_DEMANDS!G$3,'BY-Demands'!$J$5:$AK$14,MATCH($E65,'BY-Demands'!$I$5:$I$14,0),FALSE)*HLOOKUP(REG_TRA_DEMANDS!$F65,DEMANDS!$G$2:$CK$25,MATCH($E65,DEMANDS!$E$2:$E$25,0),FALSE)/HLOOKUP(2018,DEMANDS!$G$2:$CK$25,MATCH($E65,DEMANDS!$E$2:$E$25,0),FALSE)</f>
        <v>0.28777994076162494</v>
      </c>
      <c r="H65" s="18">
        <f>HLOOKUP(REG_TRA_DEMANDS!H$3,'BY-Demands'!$J$5:$AK$14,MATCH($E65,'BY-Demands'!$I$5:$I$14,0),FALSE)*HLOOKUP(REG_TRA_DEMANDS!$F65,DEMANDS!$G$2:$CK$25,MATCH($E65,DEMANDS!$E$2:$E$25,0),FALSE)/HLOOKUP(2018,DEMANDS!$G$2:$CK$25,MATCH($E65,DEMANDS!$E$2:$E$25,0),FALSE)</f>
        <v>5.126615857006672</v>
      </c>
      <c r="I65" s="18">
        <f>HLOOKUP(REG_TRA_DEMANDS!I$3,'BY-Demands'!$J$5:$AK$14,MATCH($E65,'BY-Demands'!$I$5:$I$14,0),FALSE)*HLOOKUP(REG_TRA_DEMANDS!$F65,DEMANDS!$G$2:$CK$25,MATCH($E65,DEMANDS!$E$2:$E$25,0),FALSE)/HLOOKUP(2018,DEMANDS!$G$2:$CK$25,MATCH($E65,DEMANDS!$E$2:$E$25,0),FALSE)</f>
        <v>1.03582679047646</v>
      </c>
      <c r="J65" s="18">
        <f>HLOOKUP(REG_TRA_DEMANDS!J$3,'BY-Demands'!$J$5:$AK$14,MATCH($E65,'BY-Demands'!$I$5:$I$14,0),FALSE)*HLOOKUP(REG_TRA_DEMANDS!$F65,DEMANDS!$G$2:$CK$25,MATCH($E65,DEMANDS!$E$2:$E$25,0),FALSE)/HLOOKUP(2018,DEMANDS!$G$2:$CK$25,MATCH($E65,DEMANDS!$E$2:$E$25,0),FALSE)</f>
        <v>0.49879212906999121</v>
      </c>
      <c r="K65" s="18">
        <f>HLOOKUP(REG_TRA_DEMANDS!K$3,'BY-Demands'!$J$5:$AK$14,MATCH($E65,'BY-Demands'!$I$5:$I$14,0),FALSE)*HLOOKUP(REG_TRA_DEMANDS!$F65,DEMANDS!$G$2:$CK$25,MATCH($E65,DEMANDS!$E$2:$E$25,0),FALSE)/HLOOKUP(2018,DEMANDS!$G$2:$CK$25,MATCH($E65,DEMANDS!$E$2:$E$25,0),FALSE)</f>
        <v>0.37059860915169085</v>
      </c>
      <c r="L65" s="18">
        <f>HLOOKUP(REG_TRA_DEMANDS!L$3,'BY-Demands'!$J$5:$AK$14,MATCH($E65,'BY-Demands'!$I$5:$I$14,0),FALSE)*HLOOKUP(REG_TRA_DEMANDS!$F65,DEMANDS!$G$2:$CK$25,MATCH($E65,DEMANDS!$E$2:$E$25,0),FALSE)/HLOOKUP(2018,DEMANDS!$G$2:$CK$25,MATCH($E65,DEMANDS!$E$2:$E$25,0),FALSE)</f>
        <v>0.19082576982630364</v>
      </c>
      <c r="M65" s="18">
        <f>HLOOKUP(REG_TRA_DEMANDS!M$3,'BY-Demands'!$J$5:$AK$14,MATCH($E65,'BY-Demands'!$I$5:$I$14,0),FALSE)*HLOOKUP(REG_TRA_DEMANDS!$F65,DEMANDS!$G$2:$CK$25,MATCH($E65,DEMANDS!$E$2:$E$25,0),FALSE)/HLOOKUP(2018,DEMANDS!$G$2:$CK$25,MATCH($E65,DEMANDS!$E$2:$E$25,0),FALSE)</f>
        <v>0.51852110212824554</v>
      </c>
      <c r="N65" s="18">
        <f>HLOOKUP(REG_TRA_DEMANDS!N$3,'BY-Demands'!$J$5:$AK$14,MATCH($E65,'BY-Demands'!$I$5:$I$14,0),FALSE)*HLOOKUP(REG_TRA_DEMANDS!$F65,DEMANDS!$G$2:$CK$25,MATCH($E65,DEMANDS!$E$2:$E$25,0),FALSE)/HLOOKUP(2018,DEMANDS!$G$2:$CK$25,MATCH($E65,DEMANDS!$E$2:$E$25,0),FALSE)</f>
        <v>0.88175235450254719</v>
      </c>
      <c r="O65" s="18">
        <f>HLOOKUP(REG_TRA_DEMANDS!O$3,'BY-Demands'!$J$5:$AK$14,MATCH($E65,'BY-Demands'!$I$5:$I$14,0),FALSE)*HLOOKUP(REG_TRA_DEMANDS!$F65,DEMANDS!$G$2:$CK$25,MATCH($E65,DEMANDS!$E$2:$E$25,0),FALSE)/HLOOKUP(2018,DEMANDS!$G$2:$CK$25,MATCH($E65,DEMANDS!$E$2:$E$25,0),FALSE)</f>
        <v>0.38005072525509814</v>
      </c>
      <c r="P65" s="18">
        <f>HLOOKUP(REG_TRA_DEMANDS!P$3,'BY-Demands'!$J$5:$AK$14,MATCH($E65,'BY-Demands'!$I$5:$I$14,0),FALSE)*HLOOKUP(REG_TRA_DEMANDS!$F65,DEMANDS!$G$2:$CK$25,MATCH($E65,DEMANDS!$E$2:$E$25,0),FALSE)/HLOOKUP(2018,DEMANDS!$G$2:$CK$25,MATCH($E65,DEMANDS!$E$2:$E$25,0),FALSE)</f>
        <v>0.42118346383861399</v>
      </c>
      <c r="Q65" s="18">
        <f>HLOOKUP(REG_TRA_DEMANDS!Q$3,'BY-Demands'!$J$5:$AK$14,MATCH($E65,'BY-Demands'!$I$5:$I$14,0),FALSE)*HLOOKUP(REG_TRA_DEMANDS!$F65,DEMANDS!$G$2:$CK$25,MATCH($E65,DEMANDS!$E$2:$E$25,0),FALSE)/HLOOKUP(2018,DEMANDS!$G$2:$CK$25,MATCH($E65,DEMANDS!$E$2:$E$25,0),FALSE)</f>
        <v>0.74860729858998976</v>
      </c>
      <c r="R65" s="18">
        <f>HLOOKUP(REG_TRA_DEMANDS!R$3,'BY-Demands'!$J$5:$AK$14,MATCH($E65,'BY-Demands'!$I$5:$I$14,0),FALSE)*HLOOKUP(REG_TRA_DEMANDS!$F65,DEMANDS!$G$2:$CK$25,MATCH($E65,DEMANDS!$E$2:$E$25,0),FALSE)/HLOOKUP(2018,DEMANDS!$G$2:$CK$25,MATCH($E65,DEMANDS!$E$2:$E$25,0),FALSE)</f>
        <v>0.64103560050659381</v>
      </c>
      <c r="S65" s="18">
        <f>HLOOKUP(REG_TRA_DEMANDS!S$3,'BY-Demands'!$J$5:$AK$14,MATCH($E65,'BY-Demands'!$I$5:$I$14,0),FALSE)*HLOOKUP(REG_TRA_DEMANDS!$F65,DEMANDS!$G$2:$CK$25,MATCH($E65,DEMANDS!$E$2:$E$25,0),FALSE)/HLOOKUP(2018,DEMANDS!$G$2:$CK$25,MATCH($E65,DEMANDS!$E$2:$E$25,0),FALSE)</f>
        <v>0.57475379316246988</v>
      </c>
      <c r="T65" s="18">
        <f>HLOOKUP(REG_TRA_DEMANDS!T$3,'BY-Demands'!$J$5:$AK$14,MATCH($E65,'BY-Demands'!$I$5:$I$14,0),FALSE)*HLOOKUP(REG_TRA_DEMANDS!$F65,DEMANDS!$G$2:$CK$25,MATCH($E65,DEMANDS!$E$2:$E$25,0),FALSE)/HLOOKUP(2018,DEMANDS!$G$2:$CK$25,MATCH($E65,DEMANDS!$E$2:$E$25,0),FALSE)</f>
        <v>2.3436191273748324</v>
      </c>
      <c r="U65" s="18">
        <f>HLOOKUP(REG_TRA_DEMANDS!U$3,'BY-Demands'!$J$5:$AK$14,MATCH($E65,'BY-Demands'!$I$5:$I$14,0),FALSE)*HLOOKUP(REG_TRA_DEMANDS!$F65,DEMANDS!$G$2:$CK$25,MATCH($E65,DEMANDS!$E$2:$E$25,0),FALSE)/HLOOKUP(2018,DEMANDS!$G$2:$CK$25,MATCH($E65,DEMANDS!$E$2:$E$25,0),FALSE)</f>
        <v>0.77940432339769206</v>
      </c>
      <c r="V65" s="18">
        <f>HLOOKUP(REG_TRA_DEMANDS!V$3,'BY-Demands'!$J$5:$AK$14,MATCH($E65,'BY-Demands'!$I$5:$I$14,0),FALSE)*HLOOKUP(REG_TRA_DEMANDS!$F65,DEMANDS!$G$2:$CK$25,MATCH($E65,DEMANDS!$E$2:$E$25,0),FALSE)/HLOOKUP(2018,DEMANDS!$G$2:$CK$25,MATCH($E65,DEMANDS!$E$2:$E$25,0),FALSE)</f>
        <v>0.86340603036254715</v>
      </c>
      <c r="W65" s="18">
        <f>HLOOKUP(REG_TRA_DEMANDS!W$3,'BY-Demands'!$J$5:$AK$14,MATCH($E65,'BY-Demands'!$I$5:$I$14,0),FALSE)*HLOOKUP(REG_TRA_DEMANDS!$F65,DEMANDS!$G$2:$CK$25,MATCH($E65,DEMANDS!$E$2:$E$25,0),FALSE)/HLOOKUP(2018,DEMANDS!$G$2:$CK$25,MATCH($E65,DEMANDS!$E$2:$E$25,0),FALSE)</f>
        <v>0.83528536545290455</v>
      </c>
      <c r="X65" s="18">
        <f>HLOOKUP(REG_TRA_DEMANDS!X$3,'BY-Demands'!$J$5:$AK$14,MATCH($E65,'BY-Demands'!$I$5:$I$14,0),FALSE)*HLOOKUP(REG_TRA_DEMANDS!$F65,DEMANDS!$G$2:$CK$25,MATCH($E65,DEMANDS!$E$2:$E$25,0),FALSE)/HLOOKUP(2018,DEMANDS!$G$2:$CK$25,MATCH($E65,DEMANDS!$E$2:$E$25,0),FALSE)</f>
        <v>0.52601911960319969</v>
      </c>
      <c r="Y65" s="18">
        <f>HLOOKUP(REG_TRA_DEMANDS!Y$3,'BY-Demands'!$J$5:$AK$14,MATCH($E65,'BY-Demands'!$I$5:$I$14,0),FALSE)*HLOOKUP(REG_TRA_DEMANDS!$F65,DEMANDS!$G$2:$CK$25,MATCH($E65,DEMANDS!$E$2:$E$25,0),FALSE)/HLOOKUP(2018,DEMANDS!$G$2:$CK$25,MATCH($E65,DEMANDS!$E$2:$E$25,0),FALSE)</f>
        <v>1.195107190035243</v>
      </c>
      <c r="Z65" s="18">
        <f>HLOOKUP(REG_TRA_DEMANDS!Z$3,'BY-Demands'!$J$5:$AK$14,MATCH($E65,'BY-Demands'!$I$5:$I$14,0),FALSE)*HLOOKUP(REG_TRA_DEMANDS!$F65,DEMANDS!$G$2:$CK$25,MATCH($E65,DEMANDS!$E$2:$E$25,0),FALSE)/HLOOKUP(2018,DEMANDS!$G$2:$CK$25,MATCH($E65,DEMANDS!$E$2:$E$25,0),FALSE)</f>
        <v>0.15417832042665738</v>
      </c>
      <c r="AA65" s="18">
        <f>HLOOKUP(REG_TRA_DEMANDS!AA$3,'BY-Demands'!$J$5:$AK$14,MATCH($E65,'BY-Demands'!$I$5:$I$14,0),FALSE)*HLOOKUP(REG_TRA_DEMANDS!$F65,DEMANDS!$G$2:$CK$25,MATCH($E65,DEMANDS!$E$2:$E$25,0),FALSE)/HLOOKUP(2018,DEMANDS!$G$2:$CK$25,MATCH($E65,DEMANDS!$E$2:$E$25,0),FALSE)</f>
        <v>0.6627088300089603</v>
      </c>
      <c r="AB65" s="18">
        <f>HLOOKUP(REG_TRA_DEMANDS!AB$3,'BY-Demands'!$J$5:$AK$14,MATCH($E65,'BY-Demands'!$I$5:$I$14,0),FALSE)*HLOOKUP(REG_TRA_DEMANDS!$F65,DEMANDS!$G$2:$CK$25,MATCH($E65,DEMANDS!$E$2:$E$25,0),FALSE)/HLOOKUP(2018,DEMANDS!$G$2:$CK$25,MATCH($E65,DEMANDS!$E$2:$E$25,0),FALSE)</f>
        <v>0.34736719147747719</v>
      </c>
      <c r="AC65" s="18">
        <f>HLOOKUP(REG_TRA_DEMANDS!AC$3,'BY-Demands'!$J$5:$AK$14,MATCH($E65,'BY-Demands'!$I$5:$I$14,0),FALSE)*HLOOKUP(REG_TRA_DEMANDS!$F65,DEMANDS!$G$2:$CK$25,MATCH($E65,DEMANDS!$E$2:$E$25,0),FALSE)/HLOOKUP(2018,DEMANDS!$G$2:$CK$25,MATCH($E65,DEMANDS!$E$2:$E$25,0),FALSE)</f>
        <v>0.28953308681777468</v>
      </c>
      <c r="AD65" s="18">
        <f>HLOOKUP(REG_TRA_DEMANDS!AD$3,'BY-Demands'!$J$5:$AK$14,MATCH($E65,'BY-Demands'!$I$5:$I$14,0),FALSE)*HLOOKUP(REG_TRA_DEMANDS!$F65,DEMANDS!$G$2:$CK$25,MATCH($E65,DEMANDS!$E$2:$E$25,0),FALSE)/HLOOKUP(2018,DEMANDS!$G$2:$CK$25,MATCH($E65,DEMANDS!$E$2:$E$25,0),FALSE)</f>
        <v>0.30965444020573907</v>
      </c>
      <c r="AE65" s="18">
        <f>HLOOKUP(REG_TRA_DEMANDS!AE$3,'BY-Demands'!$J$5:$AK$14,MATCH($E65,'BY-Demands'!$I$5:$I$14,0),FALSE)*HLOOKUP(REG_TRA_DEMANDS!$F65,DEMANDS!$G$2:$CK$25,MATCH($E65,DEMANDS!$E$2:$E$25,0),FALSE)/HLOOKUP(2018,DEMANDS!$G$2:$CK$25,MATCH($E65,DEMANDS!$E$2:$E$25,0),FALSE)</f>
        <v>0.57040607755372752</v>
      </c>
      <c r="AF65" s="18">
        <f>HLOOKUP(REG_TRA_DEMANDS!AF$3,'BY-Demands'!$J$5:$AK$14,MATCH($E65,'BY-Demands'!$I$5:$I$14,0),FALSE)*HLOOKUP(REG_TRA_DEMANDS!$F65,DEMANDS!$G$2:$CK$25,MATCH($E65,DEMANDS!$E$2:$E$25,0),FALSE)/HLOOKUP(2018,DEMANDS!$G$2:$CK$25,MATCH($E65,DEMANDS!$E$2:$E$25,0),FALSE)</f>
        <v>0.32949292148504944</v>
      </c>
    </row>
    <row r="66" spans="4:32" ht="14.4">
      <c r="D66" t="s">
        <v>6</v>
      </c>
      <c r="E66" t="str">
        <f>DEMANDS!$E$19</f>
        <v>TRAPL</v>
      </c>
      <c r="F66">
        <v>2028</v>
      </c>
      <c r="G66" s="18">
        <f>HLOOKUP(REG_TRA_DEMANDS!G$3,'BY-Demands'!$J$5:$AK$14,MATCH($E66,'BY-Demands'!$I$5:$I$14,0),FALSE)*HLOOKUP(REG_TRA_DEMANDS!$F66,DEMANDS!$G$2:$CK$25,MATCH($E66,DEMANDS!$E$2:$E$25,0),FALSE)/HLOOKUP(2018,DEMANDS!$G$2:$CK$25,MATCH($E66,DEMANDS!$E$2:$E$25,0),FALSE)</f>
        <v>0.29497443928066552</v>
      </c>
      <c r="H66" s="18">
        <f>HLOOKUP(REG_TRA_DEMANDS!H$3,'BY-Demands'!$J$5:$AK$14,MATCH($E66,'BY-Demands'!$I$5:$I$14,0),FALSE)*HLOOKUP(REG_TRA_DEMANDS!$F66,DEMANDS!$G$2:$CK$25,MATCH($E66,DEMANDS!$E$2:$E$25,0),FALSE)/HLOOKUP(2018,DEMANDS!$G$2:$CK$25,MATCH($E66,DEMANDS!$E$2:$E$25,0),FALSE)</f>
        <v>5.2547812534318377</v>
      </c>
      <c r="I66" s="18">
        <f>HLOOKUP(REG_TRA_DEMANDS!I$3,'BY-Demands'!$J$5:$AK$14,MATCH($E66,'BY-Demands'!$I$5:$I$14,0),FALSE)*HLOOKUP(REG_TRA_DEMANDS!$F66,DEMANDS!$G$2:$CK$25,MATCH($E66,DEMANDS!$E$2:$E$25,0),FALSE)/HLOOKUP(2018,DEMANDS!$G$2:$CK$25,MATCH($E66,DEMANDS!$E$2:$E$25,0),FALSE)</f>
        <v>1.0617224602383712</v>
      </c>
      <c r="J66" s="18">
        <f>HLOOKUP(REG_TRA_DEMANDS!J$3,'BY-Demands'!$J$5:$AK$14,MATCH($E66,'BY-Demands'!$I$5:$I$14,0),FALSE)*HLOOKUP(REG_TRA_DEMANDS!$F66,DEMANDS!$G$2:$CK$25,MATCH($E66,DEMANDS!$E$2:$E$25,0),FALSE)/HLOOKUP(2018,DEMANDS!$G$2:$CK$25,MATCH($E66,DEMANDS!$E$2:$E$25,0),FALSE)</f>
        <v>0.51126193229674088</v>
      </c>
      <c r="K66" s="18">
        <f>HLOOKUP(REG_TRA_DEMANDS!K$3,'BY-Demands'!$J$5:$AK$14,MATCH($E66,'BY-Demands'!$I$5:$I$14,0),FALSE)*HLOOKUP(REG_TRA_DEMANDS!$F66,DEMANDS!$G$2:$CK$25,MATCH($E66,DEMANDS!$E$2:$E$25,0),FALSE)/HLOOKUP(2018,DEMANDS!$G$2:$CK$25,MATCH($E66,DEMANDS!$E$2:$E$25,0),FALSE)</f>
        <v>0.37986357438048307</v>
      </c>
      <c r="L66" s="18">
        <f>HLOOKUP(REG_TRA_DEMANDS!L$3,'BY-Demands'!$J$5:$AK$14,MATCH($E66,'BY-Demands'!$I$5:$I$14,0),FALSE)*HLOOKUP(REG_TRA_DEMANDS!$F66,DEMANDS!$G$2:$CK$25,MATCH($E66,DEMANDS!$E$2:$E$25,0),FALSE)/HLOOKUP(2018,DEMANDS!$G$2:$CK$25,MATCH($E66,DEMANDS!$E$2:$E$25,0),FALSE)</f>
        <v>0.19559641407196118</v>
      </c>
      <c r="M66" s="18">
        <f>HLOOKUP(REG_TRA_DEMANDS!M$3,'BY-Demands'!$J$5:$AK$14,MATCH($E66,'BY-Demands'!$I$5:$I$14,0),FALSE)*HLOOKUP(REG_TRA_DEMANDS!$F66,DEMANDS!$G$2:$CK$25,MATCH($E66,DEMANDS!$E$2:$E$25,0),FALSE)/HLOOKUP(2018,DEMANDS!$G$2:$CK$25,MATCH($E66,DEMANDS!$E$2:$E$25,0),FALSE)</f>
        <v>0.53148412968145153</v>
      </c>
      <c r="N66" s="18">
        <f>HLOOKUP(REG_TRA_DEMANDS!N$3,'BY-Demands'!$J$5:$AK$14,MATCH($E66,'BY-Demands'!$I$5:$I$14,0),FALSE)*HLOOKUP(REG_TRA_DEMANDS!$F66,DEMANDS!$G$2:$CK$25,MATCH($E66,DEMANDS!$E$2:$E$25,0),FALSE)/HLOOKUP(2018,DEMANDS!$G$2:$CK$25,MATCH($E66,DEMANDS!$E$2:$E$25,0),FALSE)</f>
        <v>0.90379616336511071</v>
      </c>
      <c r="O66" s="18">
        <f>HLOOKUP(REG_TRA_DEMANDS!O$3,'BY-Demands'!$J$5:$AK$14,MATCH($E66,'BY-Demands'!$I$5:$I$14,0),FALSE)*HLOOKUP(REG_TRA_DEMANDS!$F66,DEMANDS!$G$2:$CK$25,MATCH($E66,DEMANDS!$E$2:$E$25,0),FALSE)/HLOOKUP(2018,DEMANDS!$G$2:$CK$25,MATCH($E66,DEMANDS!$E$2:$E$25,0),FALSE)</f>
        <v>0.3895519933864755</v>
      </c>
      <c r="P66" s="18">
        <f>HLOOKUP(REG_TRA_DEMANDS!P$3,'BY-Demands'!$J$5:$AK$14,MATCH($E66,'BY-Demands'!$I$5:$I$14,0),FALSE)*HLOOKUP(REG_TRA_DEMANDS!$F66,DEMANDS!$G$2:$CK$25,MATCH($E66,DEMANDS!$E$2:$E$25,0),FALSE)/HLOOKUP(2018,DEMANDS!$G$2:$CK$25,MATCH($E66,DEMANDS!$E$2:$E$25,0),FALSE)</f>
        <v>0.43171305043457925</v>
      </c>
      <c r="Q66" s="18">
        <f>HLOOKUP(REG_TRA_DEMANDS!Q$3,'BY-Demands'!$J$5:$AK$14,MATCH($E66,'BY-Demands'!$I$5:$I$14,0),FALSE)*HLOOKUP(REG_TRA_DEMANDS!$F66,DEMANDS!$G$2:$CK$25,MATCH($E66,DEMANDS!$E$2:$E$25,0),FALSE)/HLOOKUP(2018,DEMANDS!$G$2:$CK$25,MATCH($E66,DEMANDS!$E$2:$E$25,0),FALSE)</f>
        <v>0.76732248105473932</v>
      </c>
      <c r="R66" s="18">
        <f>HLOOKUP(REG_TRA_DEMANDS!R$3,'BY-Demands'!$J$5:$AK$14,MATCH($E66,'BY-Demands'!$I$5:$I$14,0),FALSE)*HLOOKUP(REG_TRA_DEMANDS!$F66,DEMANDS!$G$2:$CK$25,MATCH($E66,DEMANDS!$E$2:$E$25,0),FALSE)/HLOOKUP(2018,DEMANDS!$G$2:$CK$25,MATCH($E66,DEMANDS!$E$2:$E$25,0),FALSE)</f>
        <v>0.65706149051925855</v>
      </c>
      <c r="S66" s="18">
        <f>HLOOKUP(REG_TRA_DEMANDS!S$3,'BY-Demands'!$J$5:$AK$14,MATCH($E66,'BY-Demands'!$I$5:$I$14,0),FALSE)*HLOOKUP(REG_TRA_DEMANDS!$F66,DEMANDS!$G$2:$CK$25,MATCH($E66,DEMANDS!$E$2:$E$25,0),FALSE)/HLOOKUP(2018,DEMANDS!$G$2:$CK$25,MATCH($E66,DEMANDS!$E$2:$E$25,0),FALSE)</f>
        <v>0.58912263799153153</v>
      </c>
      <c r="T66" s="18">
        <f>HLOOKUP(REG_TRA_DEMANDS!T$3,'BY-Demands'!$J$5:$AK$14,MATCH($E66,'BY-Demands'!$I$5:$I$14,0),FALSE)*HLOOKUP(REG_TRA_DEMANDS!$F66,DEMANDS!$G$2:$CK$25,MATCH($E66,DEMANDS!$E$2:$E$25,0),FALSE)/HLOOKUP(2018,DEMANDS!$G$2:$CK$25,MATCH($E66,DEMANDS!$E$2:$E$25,0),FALSE)</f>
        <v>2.4022096055592024</v>
      </c>
      <c r="U66" s="18">
        <f>HLOOKUP(REG_TRA_DEMANDS!U$3,'BY-Demands'!$J$5:$AK$14,MATCH($E66,'BY-Demands'!$I$5:$I$14,0),FALSE)*HLOOKUP(REG_TRA_DEMANDS!$F66,DEMANDS!$G$2:$CK$25,MATCH($E66,DEMANDS!$E$2:$E$25,0),FALSE)/HLOOKUP(2018,DEMANDS!$G$2:$CK$25,MATCH($E66,DEMANDS!$E$2:$E$25,0),FALSE)</f>
        <v>0.79888943148263436</v>
      </c>
      <c r="V66" s="18">
        <f>HLOOKUP(REG_TRA_DEMANDS!V$3,'BY-Demands'!$J$5:$AK$14,MATCH($E66,'BY-Demands'!$I$5:$I$14,0),FALSE)*HLOOKUP(REG_TRA_DEMANDS!$F66,DEMANDS!$G$2:$CK$25,MATCH($E66,DEMANDS!$E$2:$E$25,0),FALSE)/HLOOKUP(2018,DEMANDS!$G$2:$CK$25,MATCH($E66,DEMANDS!$E$2:$E$25,0),FALSE)</f>
        <v>0.88499118112161079</v>
      </c>
      <c r="W66" s="18">
        <f>HLOOKUP(REG_TRA_DEMANDS!W$3,'BY-Demands'!$J$5:$AK$14,MATCH($E66,'BY-Demands'!$I$5:$I$14,0),FALSE)*HLOOKUP(REG_TRA_DEMANDS!$F66,DEMANDS!$G$2:$CK$25,MATCH($E66,DEMANDS!$E$2:$E$25,0),FALSE)/HLOOKUP(2018,DEMANDS!$G$2:$CK$25,MATCH($E66,DEMANDS!$E$2:$E$25,0),FALSE)</f>
        <v>0.85616749958922711</v>
      </c>
      <c r="X66" s="18">
        <f>HLOOKUP(REG_TRA_DEMANDS!X$3,'BY-Demands'!$J$5:$AK$14,MATCH($E66,'BY-Demands'!$I$5:$I$14,0),FALSE)*HLOOKUP(REG_TRA_DEMANDS!$F66,DEMANDS!$G$2:$CK$25,MATCH($E66,DEMANDS!$E$2:$E$25,0),FALSE)/HLOOKUP(2018,DEMANDS!$G$2:$CK$25,MATCH($E66,DEMANDS!$E$2:$E$25,0),FALSE)</f>
        <v>0.53916959759327965</v>
      </c>
      <c r="Y66" s="18">
        <f>HLOOKUP(REG_TRA_DEMANDS!Y$3,'BY-Demands'!$J$5:$AK$14,MATCH($E66,'BY-Demands'!$I$5:$I$14,0),FALSE)*HLOOKUP(REG_TRA_DEMANDS!$F66,DEMANDS!$G$2:$CK$25,MATCH($E66,DEMANDS!$E$2:$E$25,0),FALSE)/HLOOKUP(2018,DEMANDS!$G$2:$CK$25,MATCH($E66,DEMANDS!$E$2:$E$25,0),FALSE)</f>
        <v>1.2249848697861239</v>
      </c>
      <c r="Z66" s="18">
        <f>HLOOKUP(REG_TRA_DEMANDS!Z$3,'BY-Demands'!$J$5:$AK$14,MATCH($E66,'BY-Demands'!$I$5:$I$14,0),FALSE)*HLOOKUP(REG_TRA_DEMANDS!$F66,DEMANDS!$G$2:$CK$25,MATCH($E66,DEMANDS!$E$2:$E$25,0),FALSE)/HLOOKUP(2018,DEMANDS!$G$2:$CK$25,MATCH($E66,DEMANDS!$E$2:$E$25,0),FALSE)</f>
        <v>0.15803277843732377</v>
      </c>
      <c r="AA66" s="18">
        <f>HLOOKUP(REG_TRA_DEMANDS!AA$3,'BY-Demands'!$J$5:$AK$14,MATCH($E66,'BY-Demands'!$I$5:$I$14,0),FALSE)*HLOOKUP(REG_TRA_DEMANDS!$F66,DEMANDS!$G$2:$CK$25,MATCH($E66,DEMANDS!$E$2:$E$25,0),FALSE)/HLOOKUP(2018,DEMANDS!$G$2:$CK$25,MATCH($E66,DEMANDS!$E$2:$E$25,0),FALSE)</f>
        <v>0.67927655075918425</v>
      </c>
      <c r="AB66" s="18">
        <f>HLOOKUP(REG_TRA_DEMANDS!AB$3,'BY-Demands'!$J$5:$AK$14,MATCH($E66,'BY-Demands'!$I$5:$I$14,0),FALSE)*HLOOKUP(REG_TRA_DEMANDS!$F66,DEMANDS!$G$2:$CK$25,MATCH($E66,DEMANDS!$E$2:$E$25,0),FALSE)/HLOOKUP(2018,DEMANDS!$G$2:$CK$25,MATCH($E66,DEMANDS!$E$2:$E$25,0),FALSE)</f>
        <v>0.35605137126441411</v>
      </c>
      <c r="AC66" s="18">
        <f>HLOOKUP(REG_TRA_DEMANDS!AC$3,'BY-Demands'!$J$5:$AK$14,MATCH($E66,'BY-Demands'!$I$5:$I$14,0),FALSE)*HLOOKUP(REG_TRA_DEMANDS!$F66,DEMANDS!$G$2:$CK$25,MATCH($E66,DEMANDS!$E$2:$E$25,0),FALSE)/HLOOKUP(2018,DEMANDS!$G$2:$CK$25,MATCH($E66,DEMANDS!$E$2:$E$25,0),FALSE)</f>
        <v>0.29677141398821899</v>
      </c>
      <c r="AD66" s="18">
        <f>HLOOKUP(REG_TRA_DEMANDS!AD$3,'BY-Demands'!$J$5:$AK$14,MATCH($E66,'BY-Demands'!$I$5:$I$14,0),FALSE)*HLOOKUP(REG_TRA_DEMANDS!$F66,DEMANDS!$G$2:$CK$25,MATCH($E66,DEMANDS!$E$2:$E$25,0),FALSE)/HLOOKUP(2018,DEMANDS!$G$2:$CK$25,MATCH($E66,DEMANDS!$E$2:$E$25,0),FALSE)</f>
        <v>0.31739580121088251</v>
      </c>
      <c r="AE66" s="18">
        <f>HLOOKUP(REG_TRA_DEMANDS!AE$3,'BY-Demands'!$J$5:$AK$14,MATCH($E66,'BY-Demands'!$I$5:$I$14,0),FALSE)*HLOOKUP(REG_TRA_DEMANDS!$F66,DEMANDS!$G$2:$CK$25,MATCH($E66,DEMANDS!$E$2:$E$25,0),FALSE)/HLOOKUP(2018,DEMANDS!$G$2:$CK$25,MATCH($E66,DEMANDS!$E$2:$E$25,0),FALSE)</f>
        <v>0.58466622949257063</v>
      </c>
      <c r="AF66" s="18">
        <f>HLOOKUP(REG_TRA_DEMANDS!AF$3,'BY-Demands'!$J$5:$AK$14,MATCH($E66,'BY-Demands'!$I$5:$I$14,0),FALSE)*HLOOKUP(REG_TRA_DEMANDS!$F66,DEMANDS!$G$2:$CK$25,MATCH($E66,DEMANDS!$E$2:$E$25,0),FALSE)/HLOOKUP(2018,DEMANDS!$G$2:$CK$25,MATCH($E66,DEMANDS!$E$2:$E$25,0),FALSE)</f>
        <v>0.33773024452217559</v>
      </c>
    </row>
    <row r="67" spans="4:32" ht="14.4">
      <c r="D67" t="s">
        <v>6</v>
      </c>
      <c r="E67" t="str">
        <f>DEMANDS!$E$19</f>
        <v>TRAPL</v>
      </c>
      <c r="F67">
        <v>2029</v>
      </c>
      <c r="G67" s="18">
        <f>HLOOKUP(REG_TRA_DEMANDS!G$3,'BY-Demands'!$J$5:$AK$14,MATCH($E67,'BY-Demands'!$I$5:$I$14,0),FALSE)*HLOOKUP(REG_TRA_DEMANDS!$F67,DEMANDS!$G$2:$CK$25,MATCH($E67,DEMANDS!$E$2:$E$25,0),FALSE)/HLOOKUP(2018,DEMANDS!$G$2:$CK$25,MATCH($E67,DEMANDS!$E$2:$E$25,0),FALSE)</f>
        <v>0.30234880026268207</v>
      </c>
      <c r="H67" s="18">
        <f>HLOOKUP(REG_TRA_DEMANDS!H$3,'BY-Demands'!$J$5:$AK$14,MATCH($E67,'BY-Demands'!$I$5:$I$14,0),FALSE)*HLOOKUP(REG_TRA_DEMANDS!$F67,DEMANDS!$G$2:$CK$25,MATCH($E67,DEMANDS!$E$2:$E$25,0),FALSE)/HLOOKUP(2018,DEMANDS!$G$2:$CK$25,MATCH($E67,DEMANDS!$E$2:$E$25,0),FALSE)</f>
        <v>5.3861507847676338</v>
      </c>
      <c r="I67" s="18">
        <f>HLOOKUP(REG_TRA_DEMANDS!I$3,'BY-Demands'!$J$5:$AK$14,MATCH($E67,'BY-Demands'!$I$5:$I$14,0),FALSE)*HLOOKUP(REG_TRA_DEMANDS!$F67,DEMANDS!$G$2:$CK$25,MATCH($E67,DEMANDS!$E$2:$E$25,0),FALSE)/HLOOKUP(2018,DEMANDS!$G$2:$CK$25,MATCH($E67,DEMANDS!$E$2:$E$25,0),FALSE)</f>
        <v>1.0882655217443304</v>
      </c>
      <c r="J67" s="18">
        <f>HLOOKUP(REG_TRA_DEMANDS!J$3,'BY-Demands'!$J$5:$AK$14,MATCH($E67,'BY-Demands'!$I$5:$I$14,0),FALSE)*HLOOKUP(REG_TRA_DEMANDS!$F67,DEMANDS!$G$2:$CK$25,MATCH($E67,DEMANDS!$E$2:$E$25,0),FALSE)/HLOOKUP(2018,DEMANDS!$G$2:$CK$25,MATCH($E67,DEMANDS!$E$2:$E$25,0),FALSE)</f>
        <v>0.52404348060415928</v>
      </c>
      <c r="K67" s="18">
        <f>HLOOKUP(REG_TRA_DEMANDS!K$3,'BY-Demands'!$J$5:$AK$14,MATCH($E67,'BY-Demands'!$I$5:$I$14,0),FALSE)*HLOOKUP(REG_TRA_DEMANDS!$F67,DEMANDS!$G$2:$CK$25,MATCH($E67,DEMANDS!$E$2:$E$25,0),FALSE)/HLOOKUP(2018,DEMANDS!$G$2:$CK$25,MATCH($E67,DEMANDS!$E$2:$E$25,0),FALSE)</f>
        <v>0.38936016373999505</v>
      </c>
      <c r="L67" s="18">
        <f>HLOOKUP(REG_TRA_DEMANDS!L$3,'BY-Demands'!$J$5:$AK$14,MATCH($E67,'BY-Demands'!$I$5:$I$14,0),FALSE)*HLOOKUP(REG_TRA_DEMANDS!$F67,DEMANDS!$G$2:$CK$25,MATCH($E67,DEMANDS!$E$2:$E$25,0),FALSE)/HLOOKUP(2018,DEMANDS!$G$2:$CK$25,MATCH($E67,DEMANDS!$E$2:$E$25,0),FALSE)</f>
        <v>0.20048632442376021</v>
      </c>
      <c r="M67" s="18">
        <f>HLOOKUP(REG_TRA_DEMANDS!M$3,'BY-Demands'!$J$5:$AK$14,MATCH($E67,'BY-Demands'!$I$5:$I$14,0),FALSE)*HLOOKUP(REG_TRA_DEMANDS!$F67,DEMANDS!$G$2:$CK$25,MATCH($E67,DEMANDS!$E$2:$E$25,0),FALSE)/HLOOKUP(2018,DEMANDS!$G$2:$CK$25,MATCH($E67,DEMANDS!$E$2:$E$25,0),FALSE)</f>
        <v>0.54477123292348784</v>
      </c>
      <c r="N67" s="18">
        <f>HLOOKUP(REG_TRA_DEMANDS!N$3,'BY-Demands'!$J$5:$AK$14,MATCH($E67,'BY-Demands'!$I$5:$I$14,0),FALSE)*HLOOKUP(REG_TRA_DEMANDS!$F67,DEMANDS!$G$2:$CK$25,MATCH($E67,DEMANDS!$E$2:$E$25,0),FALSE)/HLOOKUP(2018,DEMANDS!$G$2:$CK$25,MATCH($E67,DEMANDS!$E$2:$E$25,0),FALSE)</f>
        <v>0.92639106744923838</v>
      </c>
      <c r="O67" s="18">
        <f>HLOOKUP(REG_TRA_DEMANDS!O$3,'BY-Demands'!$J$5:$AK$14,MATCH($E67,'BY-Demands'!$I$5:$I$14,0),FALSE)*HLOOKUP(REG_TRA_DEMANDS!$F67,DEMANDS!$G$2:$CK$25,MATCH($E67,DEMANDS!$E$2:$E$25,0),FALSE)/HLOOKUP(2018,DEMANDS!$G$2:$CK$25,MATCH($E67,DEMANDS!$E$2:$E$25,0),FALSE)</f>
        <v>0.39929079322113731</v>
      </c>
      <c r="P67" s="18">
        <f>HLOOKUP(REG_TRA_DEMANDS!P$3,'BY-Demands'!$J$5:$AK$14,MATCH($E67,'BY-Demands'!$I$5:$I$14,0),FALSE)*HLOOKUP(REG_TRA_DEMANDS!$F67,DEMANDS!$G$2:$CK$25,MATCH($E67,DEMANDS!$E$2:$E$25,0),FALSE)/HLOOKUP(2018,DEMANDS!$G$2:$CK$25,MATCH($E67,DEMANDS!$E$2:$E$25,0),FALSE)</f>
        <v>0.44250587669544367</v>
      </c>
      <c r="Q67" s="18">
        <f>HLOOKUP(REG_TRA_DEMANDS!Q$3,'BY-Demands'!$J$5:$AK$14,MATCH($E67,'BY-Demands'!$I$5:$I$14,0),FALSE)*HLOOKUP(REG_TRA_DEMANDS!$F67,DEMANDS!$G$2:$CK$25,MATCH($E67,DEMANDS!$E$2:$E$25,0),FALSE)/HLOOKUP(2018,DEMANDS!$G$2:$CK$25,MATCH($E67,DEMANDS!$E$2:$E$25,0),FALSE)</f>
        <v>0.78650554308110776</v>
      </c>
      <c r="R67" s="18">
        <f>HLOOKUP(REG_TRA_DEMANDS!R$3,'BY-Demands'!$J$5:$AK$14,MATCH($E67,'BY-Demands'!$I$5:$I$14,0),FALSE)*HLOOKUP(REG_TRA_DEMANDS!$F67,DEMANDS!$G$2:$CK$25,MATCH($E67,DEMANDS!$E$2:$E$25,0),FALSE)/HLOOKUP(2018,DEMANDS!$G$2:$CK$25,MATCH($E67,DEMANDS!$E$2:$E$25,0),FALSE)</f>
        <v>0.67348802778223982</v>
      </c>
      <c r="S67" s="18">
        <f>HLOOKUP(REG_TRA_DEMANDS!S$3,'BY-Demands'!$J$5:$AK$14,MATCH($E67,'BY-Demands'!$I$5:$I$14,0),FALSE)*HLOOKUP(REG_TRA_DEMANDS!$F67,DEMANDS!$G$2:$CK$25,MATCH($E67,DEMANDS!$E$2:$E$25,0),FALSE)/HLOOKUP(2018,DEMANDS!$G$2:$CK$25,MATCH($E67,DEMANDS!$E$2:$E$25,0),FALSE)</f>
        <v>0.60385070394131979</v>
      </c>
      <c r="T67" s="18">
        <f>HLOOKUP(REG_TRA_DEMANDS!T$3,'BY-Demands'!$J$5:$AK$14,MATCH($E67,'BY-Demands'!$I$5:$I$14,0),FALSE)*HLOOKUP(REG_TRA_DEMANDS!$F67,DEMANDS!$G$2:$CK$25,MATCH($E67,DEMANDS!$E$2:$E$25,0),FALSE)/HLOOKUP(2018,DEMANDS!$G$2:$CK$25,MATCH($E67,DEMANDS!$E$2:$E$25,0),FALSE)</f>
        <v>2.4622648456981824</v>
      </c>
      <c r="U67" s="18">
        <f>HLOOKUP(REG_TRA_DEMANDS!U$3,'BY-Demands'!$J$5:$AK$14,MATCH($E67,'BY-Demands'!$I$5:$I$14,0),FALSE)*HLOOKUP(REG_TRA_DEMANDS!$F67,DEMANDS!$G$2:$CK$25,MATCH($E67,DEMANDS!$E$2:$E$25,0),FALSE)/HLOOKUP(2018,DEMANDS!$G$2:$CK$25,MATCH($E67,DEMANDS!$E$2:$E$25,0),FALSE)</f>
        <v>0.81886166726970011</v>
      </c>
      <c r="V67" s="18">
        <f>HLOOKUP(REG_TRA_DEMANDS!V$3,'BY-Demands'!$J$5:$AK$14,MATCH($E67,'BY-Demands'!$I$5:$I$14,0),FALSE)*HLOOKUP(REG_TRA_DEMANDS!$F67,DEMANDS!$G$2:$CK$25,MATCH($E67,DEMANDS!$E$2:$E$25,0),FALSE)/HLOOKUP(2018,DEMANDS!$G$2:$CK$25,MATCH($E67,DEMANDS!$E$2:$E$25,0),FALSE)</f>
        <v>0.90711596064965083</v>
      </c>
      <c r="W67" s="18">
        <f>HLOOKUP(REG_TRA_DEMANDS!W$3,'BY-Demands'!$J$5:$AK$14,MATCH($E67,'BY-Demands'!$I$5:$I$14,0),FALSE)*HLOOKUP(REG_TRA_DEMANDS!$F67,DEMANDS!$G$2:$CK$25,MATCH($E67,DEMANDS!$E$2:$E$25,0),FALSE)/HLOOKUP(2018,DEMANDS!$G$2:$CK$25,MATCH($E67,DEMANDS!$E$2:$E$25,0),FALSE)</f>
        <v>0.87757168707895761</v>
      </c>
      <c r="X67" s="18">
        <f>HLOOKUP(REG_TRA_DEMANDS!X$3,'BY-Demands'!$J$5:$AK$14,MATCH($E67,'BY-Demands'!$I$5:$I$14,0),FALSE)*HLOOKUP(REG_TRA_DEMANDS!$F67,DEMANDS!$G$2:$CK$25,MATCH($E67,DEMANDS!$E$2:$E$25,0),FALSE)/HLOOKUP(2018,DEMANDS!$G$2:$CK$25,MATCH($E67,DEMANDS!$E$2:$E$25,0),FALSE)</f>
        <v>0.55264883753311156</v>
      </c>
      <c r="Y67" s="18">
        <f>HLOOKUP(REG_TRA_DEMANDS!Y$3,'BY-Demands'!$J$5:$AK$14,MATCH($E67,'BY-Demands'!$I$5:$I$14,0),FALSE)*HLOOKUP(REG_TRA_DEMANDS!$F67,DEMANDS!$G$2:$CK$25,MATCH($E67,DEMANDS!$E$2:$E$25,0),FALSE)/HLOOKUP(2018,DEMANDS!$G$2:$CK$25,MATCH($E67,DEMANDS!$E$2:$E$25,0),FALSE)</f>
        <v>1.2556094915307767</v>
      </c>
      <c r="Z67" s="18">
        <f>HLOOKUP(REG_TRA_DEMANDS!Z$3,'BY-Demands'!$J$5:$AK$14,MATCH($E67,'BY-Demands'!$I$5:$I$14,0),FALSE)*HLOOKUP(REG_TRA_DEMANDS!$F67,DEMANDS!$G$2:$CK$25,MATCH($E67,DEMANDS!$E$2:$E$25,0),FALSE)/HLOOKUP(2018,DEMANDS!$G$2:$CK$25,MATCH($E67,DEMANDS!$E$2:$E$25,0),FALSE)</f>
        <v>0.16198359789825684</v>
      </c>
      <c r="AA67" s="18">
        <f>HLOOKUP(REG_TRA_DEMANDS!AA$3,'BY-Demands'!$J$5:$AK$14,MATCH($E67,'BY-Demands'!$I$5:$I$14,0),FALSE)*HLOOKUP(REG_TRA_DEMANDS!$F67,DEMANDS!$G$2:$CK$25,MATCH($E67,DEMANDS!$E$2:$E$25,0),FALSE)/HLOOKUP(2018,DEMANDS!$G$2:$CK$25,MATCH($E67,DEMANDS!$E$2:$E$25,0),FALSE)</f>
        <v>0.69625846452816376</v>
      </c>
      <c r="AB67" s="18">
        <f>HLOOKUP(REG_TRA_DEMANDS!AB$3,'BY-Demands'!$J$5:$AK$14,MATCH($E67,'BY-Demands'!$I$5:$I$14,0),FALSE)*HLOOKUP(REG_TRA_DEMANDS!$F67,DEMANDS!$G$2:$CK$25,MATCH($E67,DEMANDS!$E$2:$E$25,0),FALSE)/HLOOKUP(2018,DEMANDS!$G$2:$CK$25,MATCH($E67,DEMANDS!$E$2:$E$25,0),FALSE)</f>
        <v>0.36495265554602441</v>
      </c>
      <c r="AC67" s="18">
        <f>HLOOKUP(REG_TRA_DEMANDS!AC$3,'BY-Demands'!$J$5:$AK$14,MATCH($E67,'BY-Demands'!$I$5:$I$14,0),FALSE)*HLOOKUP(REG_TRA_DEMANDS!$F67,DEMANDS!$G$2:$CK$25,MATCH($E67,DEMANDS!$E$2:$E$25,0),FALSE)/HLOOKUP(2018,DEMANDS!$G$2:$CK$25,MATCH($E67,DEMANDS!$E$2:$E$25,0),FALSE)</f>
        <v>0.30419069933792442</v>
      </c>
      <c r="AD67" s="18">
        <f>HLOOKUP(REG_TRA_DEMANDS!AD$3,'BY-Demands'!$J$5:$AK$14,MATCH($E67,'BY-Demands'!$I$5:$I$14,0),FALSE)*HLOOKUP(REG_TRA_DEMANDS!$F67,DEMANDS!$G$2:$CK$25,MATCH($E67,DEMANDS!$E$2:$E$25,0),FALSE)/HLOOKUP(2018,DEMANDS!$G$2:$CK$25,MATCH($E67,DEMANDS!$E$2:$E$25,0),FALSE)</f>
        <v>0.32533069624115457</v>
      </c>
      <c r="AE67" s="18">
        <f>HLOOKUP(REG_TRA_DEMANDS!AE$3,'BY-Demands'!$J$5:$AK$14,MATCH($E67,'BY-Demands'!$I$5:$I$14,0),FALSE)*HLOOKUP(REG_TRA_DEMANDS!$F67,DEMANDS!$G$2:$CK$25,MATCH($E67,DEMANDS!$E$2:$E$25,0),FALSE)/HLOOKUP(2018,DEMANDS!$G$2:$CK$25,MATCH($E67,DEMANDS!$E$2:$E$25,0),FALSE)</f>
        <v>0.59928288522988482</v>
      </c>
      <c r="AF67" s="18">
        <f>HLOOKUP(REG_TRA_DEMANDS!AF$3,'BY-Demands'!$J$5:$AK$14,MATCH($E67,'BY-Demands'!$I$5:$I$14,0),FALSE)*HLOOKUP(REG_TRA_DEMANDS!$F67,DEMANDS!$G$2:$CK$25,MATCH($E67,DEMANDS!$E$2:$E$25,0),FALSE)/HLOOKUP(2018,DEMANDS!$G$2:$CK$25,MATCH($E67,DEMANDS!$E$2:$E$25,0),FALSE)</f>
        <v>0.34617350063523</v>
      </c>
    </row>
    <row r="68" spans="4:32" ht="14.4">
      <c r="D68" t="s">
        <v>6</v>
      </c>
      <c r="E68" t="str">
        <f>DEMANDS!$E$19</f>
        <v>TRAPL</v>
      </c>
      <c r="F68">
        <v>2030</v>
      </c>
      <c r="G68" s="18">
        <f>HLOOKUP(REG_TRA_DEMANDS!G$3,'BY-Demands'!$J$5:$AK$14,MATCH($E68,'BY-Demands'!$I$5:$I$14,0),FALSE)*HLOOKUP(REG_TRA_DEMANDS!$F68,DEMANDS!$G$2:$CK$25,MATCH($E68,DEMANDS!$E$2:$E$25,0),FALSE)/HLOOKUP(2018,DEMANDS!$G$2:$CK$25,MATCH($E68,DEMANDS!$E$2:$E$25,0),FALSE)</f>
        <v>0.30990752026924911</v>
      </c>
      <c r="H68" s="18">
        <f>HLOOKUP(REG_TRA_DEMANDS!H$3,'BY-Demands'!$J$5:$AK$14,MATCH($E68,'BY-Demands'!$I$5:$I$14,0),FALSE)*HLOOKUP(REG_TRA_DEMANDS!$F68,DEMANDS!$G$2:$CK$25,MATCH($E68,DEMANDS!$E$2:$E$25,0),FALSE)/HLOOKUP(2018,DEMANDS!$G$2:$CK$25,MATCH($E68,DEMANDS!$E$2:$E$25,0),FALSE)</f>
        <v>5.5208045543868227</v>
      </c>
      <c r="I68" s="18">
        <f>HLOOKUP(REG_TRA_DEMANDS!I$3,'BY-Demands'!$J$5:$AK$14,MATCH($E68,'BY-Demands'!$I$5:$I$14,0),FALSE)*HLOOKUP(REG_TRA_DEMANDS!$F68,DEMANDS!$G$2:$CK$25,MATCH($E68,DEMANDS!$E$2:$E$25,0),FALSE)/HLOOKUP(2018,DEMANDS!$G$2:$CK$25,MATCH($E68,DEMANDS!$E$2:$E$25,0),FALSE)</f>
        <v>1.1154721597879385</v>
      </c>
      <c r="J68" s="18">
        <f>HLOOKUP(REG_TRA_DEMANDS!J$3,'BY-Demands'!$J$5:$AK$14,MATCH($E68,'BY-Demands'!$I$5:$I$14,0),FALSE)*HLOOKUP(REG_TRA_DEMANDS!$F68,DEMANDS!$G$2:$CK$25,MATCH($E68,DEMANDS!$E$2:$E$25,0),FALSE)/HLOOKUP(2018,DEMANDS!$G$2:$CK$25,MATCH($E68,DEMANDS!$E$2:$E$25,0),FALSE)</f>
        <v>0.53714456761926321</v>
      </c>
      <c r="K68" s="18">
        <f>HLOOKUP(REG_TRA_DEMANDS!K$3,'BY-Demands'!$J$5:$AK$14,MATCH($E68,'BY-Demands'!$I$5:$I$14,0),FALSE)*HLOOKUP(REG_TRA_DEMANDS!$F68,DEMANDS!$G$2:$CK$25,MATCH($E68,DEMANDS!$E$2:$E$25,0),FALSE)/HLOOKUP(2018,DEMANDS!$G$2:$CK$25,MATCH($E68,DEMANDS!$E$2:$E$25,0),FALSE)</f>
        <v>0.39909416783349494</v>
      </c>
      <c r="L68" s="18">
        <f>HLOOKUP(REG_TRA_DEMANDS!L$3,'BY-Demands'!$J$5:$AK$14,MATCH($E68,'BY-Demands'!$I$5:$I$14,0),FALSE)*HLOOKUP(REG_TRA_DEMANDS!$F68,DEMANDS!$G$2:$CK$25,MATCH($E68,DEMANDS!$E$2:$E$25,0),FALSE)/HLOOKUP(2018,DEMANDS!$G$2:$CK$25,MATCH($E68,DEMANDS!$E$2:$E$25,0),FALSE)</f>
        <v>0.20549848253435418</v>
      </c>
      <c r="M68" s="18">
        <f>HLOOKUP(REG_TRA_DEMANDS!M$3,'BY-Demands'!$J$5:$AK$14,MATCH($E68,'BY-Demands'!$I$5:$I$14,0),FALSE)*HLOOKUP(REG_TRA_DEMANDS!$F68,DEMANDS!$G$2:$CK$25,MATCH($E68,DEMANDS!$E$2:$E$25,0),FALSE)/HLOOKUP(2018,DEMANDS!$G$2:$CK$25,MATCH($E68,DEMANDS!$E$2:$E$25,0),FALSE)</f>
        <v>0.558390513746575</v>
      </c>
      <c r="N68" s="18">
        <f>HLOOKUP(REG_TRA_DEMANDS!N$3,'BY-Demands'!$J$5:$AK$14,MATCH($E68,'BY-Demands'!$I$5:$I$14,0),FALSE)*HLOOKUP(REG_TRA_DEMANDS!$F68,DEMANDS!$G$2:$CK$25,MATCH($E68,DEMANDS!$E$2:$E$25,0),FALSE)/HLOOKUP(2018,DEMANDS!$G$2:$CK$25,MATCH($E68,DEMANDS!$E$2:$E$25,0),FALSE)</f>
        <v>0.9495508441354692</v>
      </c>
      <c r="O68" s="18">
        <f>HLOOKUP(REG_TRA_DEMANDS!O$3,'BY-Demands'!$J$5:$AK$14,MATCH($E68,'BY-Demands'!$I$5:$I$14,0),FALSE)*HLOOKUP(REG_TRA_DEMANDS!$F68,DEMANDS!$G$2:$CK$25,MATCH($E68,DEMANDS!$E$2:$E$25,0),FALSE)/HLOOKUP(2018,DEMANDS!$G$2:$CK$25,MATCH($E68,DEMANDS!$E$2:$E$25,0),FALSE)</f>
        <v>0.40927306305166572</v>
      </c>
      <c r="P68" s="18">
        <f>HLOOKUP(REG_TRA_DEMANDS!P$3,'BY-Demands'!$J$5:$AK$14,MATCH($E68,'BY-Demands'!$I$5:$I$14,0),FALSE)*HLOOKUP(REG_TRA_DEMANDS!$F68,DEMANDS!$G$2:$CK$25,MATCH($E68,DEMANDS!$E$2:$E$25,0),FALSE)/HLOOKUP(2018,DEMANDS!$G$2:$CK$25,MATCH($E68,DEMANDS!$E$2:$E$25,0),FALSE)</f>
        <v>0.45356852361282979</v>
      </c>
      <c r="Q68" s="18">
        <f>HLOOKUP(REG_TRA_DEMANDS!Q$3,'BY-Demands'!$J$5:$AK$14,MATCH($E68,'BY-Demands'!$I$5:$I$14,0),FALSE)*HLOOKUP(REG_TRA_DEMANDS!$F68,DEMANDS!$G$2:$CK$25,MATCH($E68,DEMANDS!$E$2:$E$25,0),FALSE)/HLOOKUP(2018,DEMANDS!$G$2:$CK$25,MATCH($E68,DEMANDS!$E$2:$E$25,0),FALSE)</f>
        <v>0.80616818165813531</v>
      </c>
      <c r="R68" s="18">
        <f>HLOOKUP(REG_TRA_DEMANDS!R$3,'BY-Demands'!$J$5:$AK$14,MATCH($E68,'BY-Demands'!$I$5:$I$14,0),FALSE)*HLOOKUP(REG_TRA_DEMANDS!$F68,DEMANDS!$G$2:$CK$25,MATCH($E68,DEMANDS!$E$2:$E$25,0),FALSE)/HLOOKUP(2018,DEMANDS!$G$2:$CK$25,MATCH($E68,DEMANDS!$E$2:$E$25,0),FALSE)</f>
        <v>0.69032522847679589</v>
      </c>
      <c r="S68" s="18">
        <f>HLOOKUP(REG_TRA_DEMANDS!S$3,'BY-Demands'!$J$5:$AK$14,MATCH($E68,'BY-Demands'!$I$5:$I$14,0),FALSE)*HLOOKUP(REG_TRA_DEMANDS!$F68,DEMANDS!$G$2:$CK$25,MATCH($E68,DEMANDS!$E$2:$E$25,0),FALSE)/HLOOKUP(2018,DEMANDS!$G$2:$CK$25,MATCH($E68,DEMANDS!$E$2:$E$25,0),FALSE)</f>
        <v>0.61894697153985268</v>
      </c>
      <c r="T68" s="18">
        <f>HLOOKUP(REG_TRA_DEMANDS!T$3,'BY-Demands'!$J$5:$AK$14,MATCH($E68,'BY-Demands'!$I$5:$I$14,0),FALSE)*HLOOKUP(REG_TRA_DEMANDS!$F68,DEMANDS!$G$2:$CK$25,MATCH($E68,DEMANDS!$E$2:$E$25,0),FALSE)/HLOOKUP(2018,DEMANDS!$G$2:$CK$25,MATCH($E68,DEMANDS!$E$2:$E$25,0),FALSE)</f>
        <v>2.5238214668406367</v>
      </c>
      <c r="U68" s="18">
        <f>HLOOKUP(REG_TRA_DEMANDS!U$3,'BY-Demands'!$J$5:$AK$14,MATCH($E68,'BY-Demands'!$I$5:$I$14,0),FALSE)*HLOOKUP(REG_TRA_DEMANDS!$F68,DEMANDS!$G$2:$CK$25,MATCH($E68,DEMANDS!$E$2:$E$25,0),FALSE)/HLOOKUP(2018,DEMANDS!$G$2:$CK$25,MATCH($E68,DEMANDS!$E$2:$E$25,0),FALSE)</f>
        <v>0.83933320895144248</v>
      </c>
      <c r="V68" s="18">
        <f>HLOOKUP(REG_TRA_DEMANDS!V$3,'BY-Demands'!$J$5:$AK$14,MATCH($E68,'BY-Demands'!$I$5:$I$14,0),FALSE)*HLOOKUP(REG_TRA_DEMANDS!$F68,DEMANDS!$G$2:$CK$25,MATCH($E68,DEMANDS!$E$2:$E$25,0),FALSE)/HLOOKUP(2018,DEMANDS!$G$2:$CK$25,MATCH($E68,DEMANDS!$E$2:$E$25,0),FALSE)</f>
        <v>0.92979385966589201</v>
      </c>
      <c r="W68" s="18">
        <f>HLOOKUP(REG_TRA_DEMANDS!W$3,'BY-Demands'!$J$5:$AK$14,MATCH($E68,'BY-Demands'!$I$5:$I$14,0),FALSE)*HLOOKUP(REG_TRA_DEMANDS!$F68,DEMANDS!$G$2:$CK$25,MATCH($E68,DEMANDS!$E$2:$E$25,0),FALSE)/HLOOKUP(2018,DEMANDS!$G$2:$CK$25,MATCH($E68,DEMANDS!$E$2:$E$25,0),FALSE)</f>
        <v>0.89951097925593149</v>
      </c>
      <c r="X68" s="18">
        <f>HLOOKUP(REG_TRA_DEMANDS!X$3,'BY-Demands'!$J$5:$AK$14,MATCH($E68,'BY-Demands'!$I$5:$I$14,0),FALSE)*HLOOKUP(REG_TRA_DEMANDS!$F68,DEMANDS!$G$2:$CK$25,MATCH($E68,DEMANDS!$E$2:$E$25,0),FALSE)/HLOOKUP(2018,DEMANDS!$G$2:$CK$25,MATCH($E68,DEMANDS!$E$2:$E$25,0),FALSE)</f>
        <v>0.56646505847143924</v>
      </c>
      <c r="Y68" s="18">
        <f>HLOOKUP(REG_TRA_DEMANDS!Y$3,'BY-Demands'!$J$5:$AK$14,MATCH($E68,'BY-Demands'!$I$5:$I$14,0),FALSE)*HLOOKUP(REG_TRA_DEMANDS!$F68,DEMANDS!$G$2:$CK$25,MATCH($E68,DEMANDS!$E$2:$E$25,0),FALSE)/HLOOKUP(2018,DEMANDS!$G$2:$CK$25,MATCH($E68,DEMANDS!$E$2:$E$25,0),FALSE)</f>
        <v>1.286999728819046</v>
      </c>
      <c r="Z68" s="18">
        <f>HLOOKUP(REG_TRA_DEMANDS!Z$3,'BY-Demands'!$J$5:$AK$14,MATCH($E68,'BY-Demands'!$I$5:$I$14,0),FALSE)*HLOOKUP(REG_TRA_DEMANDS!$F68,DEMANDS!$G$2:$CK$25,MATCH($E68,DEMANDS!$E$2:$E$25,0),FALSE)/HLOOKUP(2018,DEMANDS!$G$2:$CK$25,MATCH($E68,DEMANDS!$E$2:$E$25,0),FALSE)</f>
        <v>0.16603318784571328</v>
      </c>
      <c r="AA68" s="18">
        <f>HLOOKUP(REG_TRA_DEMANDS!AA$3,'BY-Demands'!$J$5:$AK$14,MATCH($E68,'BY-Demands'!$I$5:$I$14,0),FALSE)*HLOOKUP(REG_TRA_DEMANDS!$F68,DEMANDS!$G$2:$CK$25,MATCH($E68,DEMANDS!$E$2:$E$25,0),FALSE)/HLOOKUP(2018,DEMANDS!$G$2:$CK$25,MATCH($E68,DEMANDS!$E$2:$E$25,0),FALSE)</f>
        <v>0.71366492614136778</v>
      </c>
      <c r="AB68" s="18">
        <f>HLOOKUP(REG_TRA_DEMANDS!AB$3,'BY-Demands'!$J$5:$AK$14,MATCH($E68,'BY-Demands'!$I$5:$I$14,0),FALSE)*HLOOKUP(REG_TRA_DEMANDS!$F68,DEMANDS!$G$2:$CK$25,MATCH($E68,DEMANDS!$E$2:$E$25,0),FALSE)/HLOOKUP(2018,DEMANDS!$G$2:$CK$25,MATCH($E68,DEMANDS!$E$2:$E$25,0),FALSE)</f>
        <v>0.37407647193467497</v>
      </c>
      <c r="AC68" s="18">
        <f>HLOOKUP(REG_TRA_DEMANDS!AC$3,'BY-Demands'!$J$5:$AK$14,MATCH($E68,'BY-Demands'!$I$5:$I$14,0),FALSE)*HLOOKUP(REG_TRA_DEMANDS!$F68,DEMANDS!$G$2:$CK$25,MATCH($E68,DEMANDS!$E$2:$E$25,0),FALSE)/HLOOKUP(2018,DEMANDS!$G$2:$CK$25,MATCH($E68,DEMANDS!$E$2:$E$25,0),FALSE)</f>
        <v>0.31179546682137249</v>
      </c>
      <c r="AD68" s="18">
        <f>HLOOKUP(REG_TRA_DEMANDS!AD$3,'BY-Demands'!$J$5:$AK$14,MATCH($E68,'BY-Demands'!$I$5:$I$14,0),FALSE)*HLOOKUP(REG_TRA_DEMANDS!$F68,DEMANDS!$G$2:$CK$25,MATCH($E68,DEMANDS!$E$2:$E$25,0),FALSE)/HLOOKUP(2018,DEMANDS!$G$2:$CK$25,MATCH($E68,DEMANDS!$E$2:$E$25,0),FALSE)</f>
        <v>0.33346396364718339</v>
      </c>
      <c r="AE68" s="18">
        <f>HLOOKUP(REG_TRA_DEMANDS!AE$3,'BY-Demands'!$J$5:$AK$14,MATCH($E68,'BY-Demands'!$I$5:$I$14,0),FALSE)*HLOOKUP(REG_TRA_DEMANDS!$F68,DEMANDS!$G$2:$CK$25,MATCH($E68,DEMANDS!$E$2:$E$25,0),FALSE)/HLOOKUP(2018,DEMANDS!$G$2:$CK$25,MATCH($E68,DEMANDS!$E$2:$E$25,0),FALSE)</f>
        <v>0.6142649573606318</v>
      </c>
      <c r="AF68" s="18">
        <f>HLOOKUP(REG_TRA_DEMANDS!AF$3,'BY-Demands'!$J$5:$AK$14,MATCH($E68,'BY-Demands'!$I$5:$I$14,0),FALSE)*HLOOKUP(REG_TRA_DEMANDS!$F68,DEMANDS!$G$2:$CK$25,MATCH($E68,DEMANDS!$E$2:$E$25,0),FALSE)/HLOOKUP(2018,DEMANDS!$G$2:$CK$25,MATCH($E68,DEMANDS!$E$2:$E$25,0),FALSE)</f>
        <v>0.35482783815111069</v>
      </c>
    </row>
    <row r="69" spans="4:32" ht="14.4">
      <c r="D69" t="s">
        <v>6</v>
      </c>
      <c r="E69" t="str">
        <f>DEMANDS!$E$19</f>
        <v>TRAPL</v>
      </c>
      <c r="F69">
        <v>2031</v>
      </c>
      <c r="G69" s="18">
        <f>HLOOKUP(REG_TRA_DEMANDS!G$3,'BY-Demands'!$J$5:$AK$14,MATCH($E69,'BY-Demands'!$I$5:$I$14,0),FALSE)*HLOOKUP(REG_TRA_DEMANDS!$F69,DEMANDS!$G$2:$CK$25,MATCH($E69,DEMANDS!$E$2:$E$25,0),FALSE)/HLOOKUP(2018,DEMANDS!$G$2:$CK$25,MATCH($E69,DEMANDS!$E$2:$E$25,0),FALSE)</f>
        <v>0.31765520827598032</v>
      </c>
      <c r="H69" s="18">
        <f>HLOOKUP(REG_TRA_DEMANDS!H$3,'BY-Demands'!$J$5:$AK$14,MATCH($E69,'BY-Demands'!$I$5:$I$14,0),FALSE)*HLOOKUP(REG_TRA_DEMANDS!$F69,DEMANDS!$G$2:$CK$25,MATCH($E69,DEMANDS!$E$2:$E$25,0),FALSE)/HLOOKUP(2018,DEMANDS!$G$2:$CK$25,MATCH($E69,DEMANDS!$E$2:$E$25,0),FALSE)</f>
        <v>5.6588246682464929</v>
      </c>
      <c r="I69" s="18">
        <f>HLOOKUP(REG_TRA_DEMANDS!I$3,'BY-Demands'!$J$5:$AK$14,MATCH($E69,'BY-Demands'!$I$5:$I$14,0),FALSE)*HLOOKUP(REG_TRA_DEMANDS!$F69,DEMANDS!$G$2:$CK$25,MATCH($E69,DEMANDS!$E$2:$E$25,0),FALSE)/HLOOKUP(2018,DEMANDS!$G$2:$CK$25,MATCH($E69,DEMANDS!$E$2:$E$25,0),FALSE)</f>
        <v>1.1433589637826369</v>
      </c>
      <c r="J69" s="18">
        <f>HLOOKUP(REG_TRA_DEMANDS!J$3,'BY-Demands'!$J$5:$AK$14,MATCH($E69,'BY-Demands'!$I$5:$I$14,0),FALSE)*HLOOKUP(REG_TRA_DEMANDS!$F69,DEMANDS!$G$2:$CK$25,MATCH($E69,DEMANDS!$E$2:$E$25,0),FALSE)/HLOOKUP(2018,DEMANDS!$G$2:$CK$25,MATCH($E69,DEMANDS!$E$2:$E$25,0),FALSE)</f>
        <v>0.55057318180974479</v>
      </c>
      <c r="K69" s="18">
        <f>HLOOKUP(REG_TRA_DEMANDS!K$3,'BY-Demands'!$J$5:$AK$14,MATCH($E69,'BY-Demands'!$I$5:$I$14,0),FALSE)*HLOOKUP(REG_TRA_DEMANDS!$F69,DEMANDS!$G$2:$CK$25,MATCH($E69,DEMANDS!$E$2:$E$25,0),FALSE)/HLOOKUP(2018,DEMANDS!$G$2:$CK$25,MATCH($E69,DEMANDS!$E$2:$E$25,0),FALSE)</f>
        <v>0.40907152202933222</v>
      </c>
      <c r="L69" s="18">
        <f>HLOOKUP(REG_TRA_DEMANDS!L$3,'BY-Demands'!$J$5:$AK$14,MATCH($E69,'BY-Demands'!$I$5:$I$14,0),FALSE)*HLOOKUP(REG_TRA_DEMANDS!$F69,DEMANDS!$G$2:$CK$25,MATCH($E69,DEMANDS!$E$2:$E$25,0),FALSE)/HLOOKUP(2018,DEMANDS!$G$2:$CK$25,MATCH($E69,DEMANDS!$E$2:$E$25,0),FALSE)</f>
        <v>0.21063594459771301</v>
      </c>
      <c r="M69" s="18">
        <f>HLOOKUP(REG_TRA_DEMANDS!M$3,'BY-Demands'!$J$5:$AK$14,MATCH($E69,'BY-Demands'!$I$5:$I$14,0),FALSE)*HLOOKUP(REG_TRA_DEMANDS!$F69,DEMANDS!$G$2:$CK$25,MATCH($E69,DEMANDS!$E$2:$E$25,0),FALSE)/HLOOKUP(2018,DEMANDS!$G$2:$CK$25,MATCH($E69,DEMANDS!$E$2:$E$25,0),FALSE)</f>
        <v>0.57235027659023929</v>
      </c>
      <c r="N69" s="18">
        <f>HLOOKUP(REG_TRA_DEMANDS!N$3,'BY-Demands'!$J$5:$AK$14,MATCH($E69,'BY-Demands'!$I$5:$I$14,0),FALSE)*HLOOKUP(REG_TRA_DEMANDS!$F69,DEMANDS!$G$2:$CK$25,MATCH($E69,DEMANDS!$E$2:$E$25,0),FALSE)/HLOOKUP(2018,DEMANDS!$G$2:$CK$25,MATCH($E69,DEMANDS!$E$2:$E$25,0),FALSE)</f>
        <v>0.97328961523885582</v>
      </c>
      <c r="O69" s="18">
        <f>HLOOKUP(REG_TRA_DEMANDS!O$3,'BY-Demands'!$J$5:$AK$14,MATCH($E69,'BY-Demands'!$I$5:$I$14,0),FALSE)*HLOOKUP(REG_TRA_DEMANDS!$F69,DEMANDS!$G$2:$CK$25,MATCH($E69,DEMANDS!$E$2:$E$25,0),FALSE)/HLOOKUP(2018,DEMANDS!$G$2:$CK$25,MATCH($E69,DEMANDS!$E$2:$E$25,0),FALSE)</f>
        <v>0.41950488962795734</v>
      </c>
      <c r="P69" s="18">
        <f>HLOOKUP(REG_TRA_DEMANDS!P$3,'BY-Demands'!$J$5:$AK$14,MATCH($E69,'BY-Demands'!$I$5:$I$14,0),FALSE)*HLOOKUP(REG_TRA_DEMANDS!$F69,DEMANDS!$G$2:$CK$25,MATCH($E69,DEMANDS!$E$2:$E$25,0),FALSE)/HLOOKUP(2018,DEMANDS!$G$2:$CK$25,MATCH($E69,DEMANDS!$E$2:$E$25,0),FALSE)</f>
        <v>0.46490773670315044</v>
      </c>
      <c r="Q69" s="18">
        <f>HLOOKUP(REG_TRA_DEMANDS!Q$3,'BY-Demands'!$J$5:$AK$14,MATCH($E69,'BY-Demands'!$I$5:$I$14,0),FALSE)*HLOOKUP(REG_TRA_DEMANDS!$F69,DEMANDS!$G$2:$CK$25,MATCH($E69,DEMANDS!$E$2:$E$25,0),FALSE)/HLOOKUP(2018,DEMANDS!$G$2:$CK$25,MATCH($E69,DEMANDS!$E$2:$E$25,0),FALSE)</f>
        <v>0.82632238619958864</v>
      </c>
      <c r="R69" s="18">
        <f>HLOOKUP(REG_TRA_DEMANDS!R$3,'BY-Demands'!$J$5:$AK$14,MATCH($E69,'BY-Demands'!$I$5:$I$14,0),FALSE)*HLOOKUP(REG_TRA_DEMANDS!$F69,DEMANDS!$G$2:$CK$25,MATCH($E69,DEMANDS!$E$2:$E$25,0),FALSE)/HLOOKUP(2018,DEMANDS!$G$2:$CK$25,MATCH($E69,DEMANDS!$E$2:$E$25,0),FALSE)</f>
        <v>0.70758335918871573</v>
      </c>
      <c r="S69" s="18">
        <f>HLOOKUP(REG_TRA_DEMANDS!S$3,'BY-Demands'!$J$5:$AK$14,MATCH($E69,'BY-Demands'!$I$5:$I$14,0),FALSE)*HLOOKUP(REG_TRA_DEMANDS!$F69,DEMANDS!$G$2:$CK$25,MATCH($E69,DEMANDS!$E$2:$E$25,0),FALSE)/HLOOKUP(2018,DEMANDS!$G$2:$CK$25,MATCH($E69,DEMANDS!$E$2:$E$25,0),FALSE)</f>
        <v>0.63442064582834889</v>
      </c>
      <c r="T69" s="18">
        <f>HLOOKUP(REG_TRA_DEMANDS!T$3,'BY-Demands'!$J$5:$AK$14,MATCH($E69,'BY-Demands'!$I$5:$I$14,0),FALSE)*HLOOKUP(REG_TRA_DEMANDS!$F69,DEMANDS!$G$2:$CK$25,MATCH($E69,DEMANDS!$E$2:$E$25,0),FALSE)/HLOOKUP(2018,DEMANDS!$G$2:$CK$25,MATCH($E69,DEMANDS!$E$2:$E$25,0),FALSE)</f>
        <v>2.5869170035116524</v>
      </c>
      <c r="U69" s="18">
        <f>HLOOKUP(REG_TRA_DEMANDS!U$3,'BY-Demands'!$J$5:$AK$14,MATCH($E69,'BY-Demands'!$I$5:$I$14,0),FALSE)*HLOOKUP(REG_TRA_DEMANDS!$F69,DEMANDS!$G$2:$CK$25,MATCH($E69,DEMANDS!$E$2:$E$25,0),FALSE)/HLOOKUP(2018,DEMANDS!$G$2:$CK$25,MATCH($E69,DEMANDS!$E$2:$E$25,0),FALSE)</f>
        <v>0.86031653917522832</v>
      </c>
      <c r="V69" s="18">
        <f>HLOOKUP(REG_TRA_DEMANDS!V$3,'BY-Demands'!$J$5:$AK$14,MATCH($E69,'BY-Demands'!$I$5:$I$14,0),FALSE)*HLOOKUP(REG_TRA_DEMANDS!$F69,DEMANDS!$G$2:$CK$25,MATCH($E69,DEMANDS!$E$2:$E$25,0),FALSE)/HLOOKUP(2018,DEMANDS!$G$2:$CK$25,MATCH($E69,DEMANDS!$E$2:$E$25,0),FALSE)</f>
        <v>0.95303870615753916</v>
      </c>
      <c r="W69" s="18">
        <f>HLOOKUP(REG_TRA_DEMANDS!W$3,'BY-Demands'!$J$5:$AK$14,MATCH($E69,'BY-Demands'!$I$5:$I$14,0),FALSE)*HLOOKUP(REG_TRA_DEMANDS!$F69,DEMANDS!$G$2:$CK$25,MATCH($E69,DEMANDS!$E$2:$E$25,0),FALSE)/HLOOKUP(2018,DEMANDS!$G$2:$CK$25,MATCH($E69,DEMANDS!$E$2:$E$25,0),FALSE)</f>
        <v>0.92199875373732965</v>
      </c>
      <c r="X69" s="18">
        <f>HLOOKUP(REG_TRA_DEMANDS!X$3,'BY-Demands'!$J$5:$AK$14,MATCH($E69,'BY-Demands'!$I$5:$I$14,0),FALSE)*HLOOKUP(REG_TRA_DEMANDS!$F69,DEMANDS!$G$2:$CK$25,MATCH($E69,DEMANDS!$E$2:$E$25,0),FALSE)/HLOOKUP(2018,DEMANDS!$G$2:$CK$25,MATCH($E69,DEMANDS!$E$2:$E$25,0),FALSE)</f>
        <v>0.58062668493322511</v>
      </c>
      <c r="Y69" s="18">
        <f>HLOOKUP(REG_TRA_DEMANDS!Y$3,'BY-Demands'!$J$5:$AK$14,MATCH($E69,'BY-Demands'!$I$5:$I$14,0),FALSE)*HLOOKUP(REG_TRA_DEMANDS!$F69,DEMANDS!$G$2:$CK$25,MATCH($E69,DEMANDS!$E$2:$E$25,0),FALSE)/HLOOKUP(2018,DEMANDS!$G$2:$CK$25,MATCH($E69,DEMANDS!$E$2:$E$25,0),FALSE)</f>
        <v>1.319174722039522</v>
      </c>
      <c r="Z69" s="18">
        <f>HLOOKUP(REG_TRA_DEMANDS!Z$3,'BY-Demands'!$J$5:$AK$14,MATCH($E69,'BY-Demands'!$I$5:$I$14,0),FALSE)*HLOOKUP(REG_TRA_DEMANDS!$F69,DEMANDS!$G$2:$CK$25,MATCH($E69,DEMANDS!$E$2:$E$25,0),FALSE)/HLOOKUP(2018,DEMANDS!$G$2:$CK$25,MATCH($E69,DEMANDS!$E$2:$E$25,0),FALSE)</f>
        <v>0.17018401754185608</v>
      </c>
      <c r="AA69" s="18">
        <f>HLOOKUP(REG_TRA_DEMANDS!AA$3,'BY-Demands'!$J$5:$AK$14,MATCH($E69,'BY-Demands'!$I$5:$I$14,0),FALSE)*HLOOKUP(REG_TRA_DEMANDS!$F69,DEMANDS!$G$2:$CK$25,MATCH($E69,DEMANDS!$E$2:$E$25,0),FALSE)/HLOOKUP(2018,DEMANDS!$G$2:$CK$25,MATCH($E69,DEMANDS!$E$2:$E$25,0),FALSE)</f>
        <v>0.73150654929490189</v>
      </c>
      <c r="AB69" s="18">
        <f>HLOOKUP(REG_TRA_DEMANDS!AB$3,'BY-Demands'!$J$5:$AK$14,MATCH($E69,'BY-Demands'!$I$5:$I$14,0),FALSE)*HLOOKUP(REG_TRA_DEMANDS!$F69,DEMANDS!$G$2:$CK$25,MATCH($E69,DEMANDS!$E$2:$E$25,0),FALSE)/HLOOKUP(2018,DEMANDS!$G$2:$CK$25,MATCH($E69,DEMANDS!$E$2:$E$25,0),FALSE)</f>
        <v>0.38342838373304183</v>
      </c>
      <c r="AC69" s="18">
        <f>HLOOKUP(REG_TRA_DEMANDS!AC$3,'BY-Demands'!$J$5:$AK$14,MATCH($E69,'BY-Demands'!$I$5:$I$14,0),FALSE)*HLOOKUP(REG_TRA_DEMANDS!$F69,DEMANDS!$G$2:$CK$25,MATCH($E69,DEMANDS!$E$2:$E$25,0),FALSE)/HLOOKUP(2018,DEMANDS!$G$2:$CK$25,MATCH($E69,DEMANDS!$E$2:$E$25,0),FALSE)</f>
        <v>0.31959035349190679</v>
      </c>
      <c r="AD69" s="18">
        <f>HLOOKUP(REG_TRA_DEMANDS!AD$3,'BY-Demands'!$J$5:$AK$14,MATCH($E69,'BY-Demands'!$I$5:$I$14,0),FALSE)*HLOOKUP(REG_TRA_DEMANDS!$F69,DEMANDS!$G$2:$CK$25,MATCH($E69,DEMANDS!$E$2:$E$25,0),FALSE)/HLOOKUP(2018,DEMANDS!$G$2:$CK$25,MATCH($E69,DEMANDS!$E$2:$E$25,0),FALSE)</f>
        <v>0.3418005627383629</v>
      </c>
      <c r="AE69" s="18">
        <f>HLOOKUP(REG_TRA_DEMANDS!AE$3,'BY-Demands'!$J$5:$AK$14,MATCH($E69,'BY-Demands'!$I$5:$I$14,0),FALSE)*HLOOKUP(REG_TRA_DEMANDS!$F69,DEMANDS!$G$2:$CK$25,MATCH($E69,DEMANDS!$E$2:$E$25,0),FALSE)/HLOOKUP(2018,DEMANDS!$G$2:$CK$25,MATCH($E69,DEMANDS!$E$2:$E$25,0),FALSE)</f>
        <v>0.62962158129464763</v>
      </c>
      <c r="AF69" s="18">
        <f>HLOOKUP(REG_TRA_DEMANDS!AF$3,'BY-Demands'!$J$5:$AK$14,MATCH($E69,'BY-Demands'!$I$5:$I$14,0),FALSE)*HLOOKUP(REG_TRA_DEMANDS!$F69,DEMANDS!$G$2:$CK$25,MATCH($E69,DEMANDS!$E$2:$E$25,0),FALSE)/HLOOKUP(2018,DEMANDS!$G$2:$CK$25,MATCH($E69,DEMANDS!$E$2:$E$25,0),FALSE)</f>
        <v>0.36369853410488839</v>
      </c>
    </row>
    <row r="70" spans="4:32" ht="14.4">
      <c r="D70" t="s">
        <v>6</v>
      </c>
      <c r="E70" t="str">
        <f>DEMANDS!$E$19</f>
        <v>TRAPL</v>
      </c>
      <c r="F70">
        <v>2032</v>
      </c>
      <c r="G70" s="18">
        <f>HLOOKUP(REG_TRA_DEMANDS!G$3,'BY-Demands'!$J$5:$AK$14,MATCH($E70,'BY-Demands'!$I$5:$I$14,0),FALSE)*HLOOKUP(REG_TRA_DEMANDS!$F70,DEMANDS!$G$2:$CK$25,MATCH($E70,DEMANDS!$E$2:$E$25,0),FALSE)/HLOOKUP(2018,DEMANDS!$G$2:$CK$25,MATCH($E70,DEMANDS!$E$2:$E$25,0),FALSE)</f>
        <v>0.32559658848287981</v>
      </c>
      <c r="H70" s="18">
        <f>HLOOKUP(REG_TRA_DEMANDS!H$3,'BY-Demands'!$J$5:$AK$14,MATCH($E70,'BY-Demands'!$I$5:$I$14,0),FALSE)*HLOOKUP(REG_TRA_DEMANDS!$F70,DEMANDS!$G$2:$CK$25,MATCH($E70,DEMANDS!$E$2:$E$25,0),FALSE)/HLOOKUP(2018,DEMANDS!$G$2:$CK$25,MATCH($E70,DEMANDS!$E$2:$E$25,0),FALSE)</f>
        <v>5.8002952849526555</v>
      </c>
      <c r="I70" s="18">
        <f>HLOOKUP(REG_TRA_DEMANDS!I$3,'BY-Demands'!$J$5:$AK$14,MATCH($E70,'BY-Demands'!$I$5:$I$14,0),FALSE)*HLOOKUP(REG_TRA_DEMANDS!$F70,DEMANDS!$G$2:$CK$25,MATCH($E70,DEMANDS!$E$2:$E$25,0),FALSE)/HLOOKUP(2018,DEMANDS!$G$2:$CK$25,MATCH($E70,DEMANDS!$E$2:$E$25,0),FALSE)</f>
        <v>1.1719429378772026</v>
      </c>
      <c r="J70" s="18">
        <f>HLOOKUP(REG_TRA_DEMANDS!J$3,'BY-Demands'!$J$5:$AK$14,MATCH($E70,'BY-Demands'!$I$5:$I$14,0),FALSE)*HLOOKUP(REG_TRA_DEMANDS!$F70,DEMANDS!$G$2:$CK$25,MATCH($E70,DEMANDS!$E$2:$E$25,0),FALSE)/HLOOKUP(2018,DEMANDS!$G$2:$CK$25,MATCH($E70,DEMANDS!$E$2:$E$25,0),FALSE)</f>
        <v>0.56433751135498833</v>
      </c>
      <c r="K70" s="18">
        <f>HLOOKUP(REG_TRA_DEMANDS!K$3,'BY-Demands'!$J$5:$AK$14,MATCH($E70,'BY-Demands'!$I$5:$I$14,0),FALSE)*HLOOKUP(REG_TRA_DEMANDS!$F70,DEMANDS!$G$2:$CK$25,MATCH($E70,DEMANDS!$E$2:$E$25,0),FALSE)/HLOOKUP(2018,DEMANDS!$G$2:$CK$25,MATCH($E70,DEMANDS!$E$2:$E$25,0),FALSE)</f>
        <v>0.41929831008006552</v>
      </c>
      <c r="L70" s="18">
        <f>HLOOKUP(REG_TRA_DEMANDS!L$3,'BY-Demands'!$J$5:$AK$14,MATCH($E70,'BY-Demands'!$I$5:$I$14,0),FALSE)*HLOOKUP(REG_TRA_DEMANDS!$F70,DEMANDS!$G$2:$CK$25,MATCH($E70,DEMANDS!$E$2:$E$25,0),FALSE)/HLOOKUP(2018,DEMANDS!$G$2:$CK$25,MATCH($E70,DEMANDS!$E$2:$E$25,0),FALSE)</f>
        <v>0.21590184321265582</v>
      </c>
      <c r="M70" s="18">
        <f>HLOOKUP(REG_TRA_DEMANDS!M$3,'BY-Demands'!$J$5:$AK$14,MATCH($E70,'BY-Demands'!$I$5:$I$14,0),FALSE)*HLOOKUP(REG_TRA_DEMANDS!$F70,DEMANDS!$G$2:$CK$25,MATCH($E70,DEMANDS!$E$2:$E$25,0),FALSE)/HLOOKUP(2018,DEMANDS!$G$2:$CK$25,MATCH($E70,DEMANDS!$E$2:$E$25,0),FALSE)</f>
        <v>0.58665903350499515</v>
      </c>
      <c r="N70" s="18">
        <f>HLOOKUP(REG_TRA_DEMANDS!N$3,'BY-Demands'!$J$5:$AK$14,MATCH($E70,'BY-Demands'!$I$5:$I$14,0),FALSE)*HLOOKUP(REG_TRA_DEMANDS!$F70,DEMANDS!$G$2:$CK$25,MATCH($E70,DEMANDS!$E$2:$E$25,0),FALSE)/HLOOKUP(2018,DEMANDS!$G$2:$CK$25,MATCH($E70,DEMANDS!$E$2:$E$25,0),FALSE)</f>
        <v>0.99762185561982719</v>
      </c>
      <c r="O70" s="18">
        <f>HLOOKUP(REG_TRA_DEMANDS!O$3,'BY-Demands'!$J$5:$AK$14,MATCH($E70,'BY-Demands'!$I$5:$I$14,0),FALSE)*HLOOKUP(REG_TRA_DEMANDS!$F70,DEMANDS!$G$2:$CK$25,MATCH($E70,DEMANDS!$E$2:$E$25,0),FALSE)/HLOOKUP(2018,DEMANDS!$G$2:$CK$25,MATCH($E70,DEMANDS!$E$2:$E$25,0),FALSE)</f>
        <v>0.42999251186865622</v>
      </c>
      <c r="P70" s="18">
        <f>HLOOKUP(REG_TRA_DEMANDS!P$3,'BY-Demands'!$J$5:$AK$14,MATCH($E70,'BY-Demands'!$I$5:$I$14,0),FALSE)*HLOOKUP(REG_TRA_DEMANDS!$F70,DEMANDS!$G$2:$CK$25,MATCH($E70,DEMANDS!$E$2:$E$25,0),FALSE)/HLOOKUP(2018,DEMANDS!$G$2:$CK$25,MATCH($E70,DEMANDS!$E$2:$E$25,0),FALSE)</f>
        <v>0.47653043012072915</v>
      </c>
      <c r="Q70" s="18">
        <f>HLOOKUP(REG_TRA_DEMANDS!Q$3,'BY-Demands'!$J$5:$AK$14,MATCH($E70,'BY-Demands'!$I$5:$I$14,0),FALSE)*HLOOKUP(REG_TRA_DEMANDS!$F70,DEMANDS!$G$2:$CK$25,MATCH($E70,DEMANDS!$E$2:$E$25,0),FALSE)/HLOOKUP(2018,DEMANDS!$G$2:$CK$25,MATCH($E70,DEMANDS!$E$2:$E$25,0),FALSE)</f>
        <v>0.84698044585457832</v>
      </c>
      <c r="R70" s="18">
        <f>HLOOKUP(REG_TRA_DEMANDS!R$3,'BY-Demands'!$J$5:$AK$14,MATCH($E70,'BY-Demands'!$I$5:$I$14,0),FALSE)*HLOOKUP(REG_TRA_DEMANDS!$F70,DEMANDS!$G$2:$CK$25,MATCH($E70,DEMANDS!$E$2:$E$25,0),FALSE)/HLOOKUP(2018,DEMANDS!$G$2:$CK$25,MATCH($E70,DEMANDS!$E$2:$E$25,0),FALSE)</f>
        <v>0.72527294316843349</v>
      </c>
      <c r="S70" s="18">
        <f>HLOOKUP(REG_TRA_DEMANDS!S$3,'BY-Demands'!$J$5:$AK$14,MATCH($E70,'BY-Demands'!$I$5:$I$14,0),FALSE)*HLOOKUP(REG_TRA_DEMANDS!$F70,DEMANDS!$G$2:$CK$25,MATCH($E70,DEMANDS!$E$2:$E$25,0),FALSE)/HLOOKUP(2018,DEMANDS!$G$2:$CK$25,MATCH($E70,DEMANDS!$E$2:$E$25,0),FALSE)</f>
        <v>0.65028116197405761</v>
      </c>
      <c r="T70" s="18">
        <f>HLOOKUP(REG_TRA_DEMANDS!T$3,'BY-Demands'!$J$5:$AK$14,MATCH($E70,'BY-Demands'!$I$5:$I$14,0),FALSE)*HLOOKUP(REG_TRA_DEMANDS!$F70,DEMANDS!$G$2:$CK$25,MATCH($E70,DEMANDS!$E$2:$E$25,0),FALSE)/HLOOKUP(2018,DEMANDS!$G$2:$CK$25,MATCH($E70,DEMANDS!$E$2:$E$25,0),FALSE)</f>
        <v>2.6515899285994435</v>
      </c>
      <c r="U70" s="18">
        <f>HLOOKUP(REG_TRA_DEMANDS!U$3,'BY-Demands'!$J$5:$AK$14,MATCH($E70,'BY-Demands'!$I$5:$I$14,0),FALSE)*HLOOKUP(REG_TRA_DEMANDS!$F70,DEMANDS!$G$2:$CK$25,MATCH($E70,DEMANDS!$E$2:$E$25,0),FALSE)/HLOOKUP(2018,DEMANDS!$G$2:$CK$25,MATCH($E70,DEMANDS!$E$2:$E$25,0),FALSE)</f>
        <v>0.88182445265460896</v>
      </c>
      <c r="V70" s="18">
        <f>HLOOKUP(REG_TRA_DEMANDS!V$3,'BY-Demands'!$J$5:$AK$14,MATCH($E70,'BY-Demands'!$I$5:$I$14,0),FALSE)*HLOOKUP(REG_TRA_DEMANDS!$F70,DEMANDS!$G$2:$CK$25,MATCH($E70,DEMANDS!$E$2:$E$25,0),FALSE)/HLOOKUP(2018,DEMANDS!$G$2:$CK$25,MATCH($E70,DEMANDS!$E$2:$E$25,0),FALSE)</f>
        <v>0.97686467381147768</v>
      </c>
      <c r="W70" s="18">
        <f>HLOOKUP(REG_TRA_DEMANDS!W$3,'BY-Demands'!$J$5:$AK$14,MATCH($E70,'BY-Demands'!$I$5:$I$14,0),FALSE)*HLOOKUP(REG_TRA_DEMANDS!$F70,DEMANDS!$G$2:$CK$25,MATCH($E70,DEMANDS!$E$2:$E$25,0),FALSE)/HLOOKUP(2018,DEMANDS!$G$2:$CK$25,MATCH($E70,DEMANDS!$E$2:$E$25,0),FALSE)</f>
        <v>0.94504872258076289</v>
      </c>
      <c r="X70" s="18">
        <f>HLOOKUP(REG_TRA_DEMANDS!X$3,'BY-Demands'!$J$5:$AK$14,MATCH($E70,'BY-Demands'!$I$5:$I$14,0),FALSE)*HLOOKUP(REG_TRA_DEMANDS!$F70,DEMANDS!$G$2:$CK$25,MATCH($E70,DEMANDS!$E$2:$E$25,0),FALSE)/HLOOKUP(2018,DEMANDS!$G$2:$CK$25,MATCH($E70,DEMANDS!$E$2:$E$25,0),FALSE)</f>
        <v>0.59514235205655563</v>
      </c>
      <c r="Y70" s="18">
        <f>HLOOKUP(REG_TRA_DEMANDS!Y$3,'BY-Demands'!$J$5:$AK$14,MATCH($E70,'BY-Demands'!$I$5:$I$14,0),FALSE)*HLOOKUP(REG_TRA_DEMANDS!$F70,DEMANDS!$G$2:$CK$25,MATCH($E70,DEMANDS!$E$2:$E$25,0),FALSE)/HLOOKUP(2018,DEMANDS!$G$2:$CK$25,MATCH($E70,DEMANDS!$E$2:$E$25,0),FALSE)</f>
        <v>1.35215409009051</v>
      </c>
      <c r="Z70" s="18">
        <f>HLOOKUP(REG_TRA_DEMANDS!Z$3,'BY-Demands'!$J$5:$AK$14,MATCH($E70,'BY-Demands'!$I$5:$I$14,0),FALSE)*HLOOKUP(REG_TRA_DEMANDS!$F70,DEMANDS!$G$2:$CK$25,MATCH($E70,DEMANDS!$E$2:$E$25,0),FALSE)/HLOOKUP(2018,DEMANDS!$G$2:$CK$25,MATCH($E70,DEMANDS!$E$2:$E$25,0),FALSE)</f>
        <v>0.17443861798040247</v>
      </c>
      <c r="AA70" s="18">
        <f>HLOOKUP(REG_TRA_DEMANDS!AA$3,'BY-Demands'!$J$5:$AK$14,MATCH($E70,'BY-Demands'!$I$5:$I$14,0),FALSE)*HLOOKUP(REG_TRA_DEMANDS!$F70,DEMANDS!$G$2:$CK$25,MATCH($E70,DEMANDS!$E$2:$E$25,0),FALSE)/HLOOKUP(2018,DEMANDS!$G$2:$CK$25,MATCH($E70,DEMANDS!$E$2:$E$25,0),FALSE)</f>
        <v>0.74979421302727423</v>
      </c>
      <c r="AB70" s="18">
        <f>HLOOKUP(REG_TRA_DEMANDS!AB$3,'BY-Demands'!$J$5:$AK$14,MATCH($E70,'BY-Demands'!$I$5:$I$14,0),FALSE)*HLOOKUP(REG_TRA_DEMANDS!$F70,DEMANDS!$G$2:$CK$25,MATCH($E70,DEMANDS!$E$2:$E$25,0),FALSE)/HLOOKUP(2018,DEMANDS!$G$2:$CK$25,MATCH($E70,DEMANDS!$E$2:$E$25,0),FALSE)</f>
        <v>0.39301409332636777</v>
      </c>
      <c r="AC70" s="18">
        <f>HLOOKUP(REG_TRA_DEMANDS!AC$3,'BY-Demands'!$J$5:$AK$14,MATCH($E70,'BY-Demands'!$I$5:$I$14,0),FALSE)*HLOOKUP(REG_TRA_DEMANDS!$F70,DEMANDS!$G$2:$CK$25,MATCH($E70,DEMANDS!$E$2:$E$25,0),FALSE)/HLOOKUP(2018,DEMANDS!$G$2:$CK$25,MATCH($E70,DEMANDS!$E$2:$E$25,0),FALSE)</f>
        <v>0.32758011232920442</v>
      </c>
      <c r="AD70" s="18">
        <f>HLOOKUP(REG_TRA_DEMANDS!AD$3,'BY-Demands'!$J$5:$AK$14,MATCH($E70,'BY-Demands'!$I$5:$I$14,0),FALSE)*HLOOKUP(REG_TRA_DEMANDS!$F70,DEMANDS!$G$2:$CK$25,MATCH($E70,DEMANDS!$E$2:$E$25,0),FALSE)/HLOOKUP(2018,DEMANDS!$G$2:$CK$25,MATCH($E70,DEMANDS!$E$2:$E$25,0),FALSE)</f>
        <v>0.35034557680682193</v>
      </c>
      <c r="AE70" s="18">
        <f>HLOOKUP(REG_TRA_DEMANDS!AE$3,'BY-Demands'!$J$5:$AK$14,MATCH($E70,'BY-Demands'!$I$5:$I$14,0),FALSE)*HLOOKUP(REG_TRA_DEMANDS!$F70,DEMANDS!$G$2:$CK$25,MATCH($E70,DEMANDS!$E$2:$E$25,0),FALSE)/HLOOKUP(2018,DEMANDS!$G$2:$CK$25,MATCH($E70,DEMANDS!$E$2:$E$25,0),FALSE)</f>
        <v>0.64536212082701372</v>
      </c>
      <c r="AF70" s="18">
        <f>HLOOKUP(REG_TRA_DEMANDS!AF$3,'BY-Demands'!$J$5:$AK$14,MATCH($E70,'BY-Demands'!$I$5:$I$14,0),FALSE)*HLOOKUP(REG_TRA_DEMANDS!$F70,DEMANDS!$G$2:$CK$25,MATCH($E70,DEMANDS!$E$2:$E$25,0),FALSE)/HLOOKUP(2018,DEMANDS!$G$2:$CK$25,MATCH($E70,DEMANDS!$E$2:$E$25,0),FALSE)</f>
        <v>0.37279099745751054</v>
      </c>
    </row>
    <row r="71" spans="4:32" ht="14.4">
      <c r="D71" t="s">
        <v>6</v>
      </c>
      <c r="E71" t="str">
        <f>DEMANDS!$E$19</f>
        <v>TRAPL</v>
      </c>
      <c r="F71">
        <v>2033</v>
      </c>
      <c r="G71" s="18">
        <f>HLOOKUP(REG_TRA_DEMANDS!G$3,'BY-Demands'!$J$5:$AK$14,MATCH($E71,'BY-Demands'!$I$5:$I$14,0),FALSE)*HLOOKUP(REG_TRA_DEMANDS!$F71,DEMANDS!$G$2:$CK$25,MATCH($E71,DEMANDS!$E$2:$E$25,0),FALSE)/HLOOKUP(2018,DEMANDS!$G$2:$CK$25,MATCH($E71,DEMANDS!$E$2:$E$25,0),FALSE)</f>
        <v>0.33373650319495174</v>
      </c>
      <c r="H71" s="18">
        <f>HLOOKUP(REG_TRA_DEMANDS!H$3,'BY-Demands'!$J$5:$AK$14,MATCH($E71,'BY-Demands'!$I$5:$I$14,0),FALSE)*HLOOKUP(REG_TRA_DEMANDS!$F71,DEMANDS!$G$2:$CK$25,MATCH($E71,DEMANDS!$E$2:$E$25,0),FALSE)/HLOOKUP(2018,DEMANDS!$G$2:$CK$25,MATCH($E71,DEMANDS!$E$2:$E$25,0),FALSE)</f>
        <v>5.9453026670764704</v>
      </c>
      <c r="I71" s="18">
        <f>HLOOKUP(REG_TRA_DEMANDS!I$3,'BY-Demands'!$J$5:$AK$14,MATCH($E71,'BY-Demands'!$I$5:$I$14,0),FALSE)*HLOOKUP(REG_TRA_DEMANDS!$F71,DEMANDS!$G$2:$CK$25,MATCH($E71,DEMANDS!$E$2:$E$25,0),FALSE)/HLOOKUP(2018,DEMANDS!$G$2:$CK$25,MATCH($E71,DEMANDS!$E$2:$E$25,0),FALSE)</f>
        <v>1.2012415113241326</v>
      </c>
      <c r="J71" s="18">
        <f>HLOOKUP(REG_TRA_DEMANDS!J$3,'BY-Demands'!$J$5:$AK$14,MATCH($E71,'BY-Demands'!$I$5:$I$14,0),FALSE)*HLOOKUP(REG_TRA_DEMANDS!$F71,DEMANDS!$G$2:$CK$25,MATCH($E71,DEMANDS!$E$2:$E$25,0),FALSE)/HLOOKUP(2018,DEMANDS!$G$2:$CK$25,MATCH($E71,DEMANDS!$E$2:$E$25,0),FALSE)</f>
        <v>0.57844594913886305</v>
      </c>
      <c r="K71" s="18">
        <f>HLOOKUP(REG_TRA_DEMANDS!K$3,'BY-Demands'!$J$5:$AK$14,MATCH($E71,'BY-Demands'!$I$5:$I$14,0),FALSE)*HLOOKUP(REG_TRA_DEMANDS!$F71,DEMANDS!$G$2:$CK$25,MATCH($E71,DEMANDS!$E$2:$E$25,0),FALSE)/HLOOKUP(2018,DEMANDS!$G$2:$CK$25,MATCH($E71,DEMANDS!$E$2:$E$25,0),FALSE)</f>
        <v>0.42978076783206709</v>
      </c>
      <c r="L71" s="18">
        <f>HLOOKUP(REG_TRA_DEMANDS!L$3,'BY-Demands'!$J$5:$AK$14,MATCH($E71,'BY-Demands'!$I$5:$I$14,0),FALSE)*HLOOKUP(REG_TRA_DEMANDS!$F71,DEMANDS!$G$2:$CK$25,MATCH($E71,DEMANDS!$E$2:$E$25,0),FALSE)/HLOOKUP(2018,DEMANDS!$G$2:$CK$25,MATCH($E71,DEMANDS!$E$2:$E$25,0),FALSE)</f>
        <v>0.22129938929297219</v>
      </c>
      <c r="M71" s="18">
        <f>HLOOKUP(REG_TRA_DEMANDS!M$3,'BY-Demands'!$J$5:$AK$14,MATCH($E71,'BY-Demands'!$I$5:$I$14,0),FALSE)*HLOOKUP(REG_TRA_DEMANDS!$F71,DEMANDS!$G$2:$CK$25,MATCH($E71,DEMANDS!$E$2:$E$25,0),FALSE)/HLOOKUP(2018,DEMANDS!$G$2:$CK$25,MATCH($E71,DEMANDS!$E$2:$E$25,0),FALSE)</f>
        <v>0.60132550934262008</v>
      </c>
      <c r="N71" s="18">
        <f>HLOOKUP(REG_TRA_DEMANDS!N$3,'BY-Demands'!$J$5:$AK$14,MATCH($E71,'BY-Demands'!$I$5:$I$14,0),FALSE)*HLOOKUP(REG_TRA_DEMANDS!$F71,DEMANDS!$G$2:$CK$25,MATCH($E71,DEMANDS!$E$2:$E$25,0),FALSE)/HLOOKUP(2018,DEMANDS!$G$2:$CK$25,MATCH($E71,DEMANDS!$E$2:$E$25,0),FALSE)</f>
        <v>1.0225624020103228</v>
      </c>
      <c r="O71" s="18">
        <f>HLOOKUP(REG_TRA_DEMANDS!O$3,'BY-Demands'!$J$5:$AK$14,MATCH($E71,'BY-Demands'!$I$5:$I$14,0),FALSE)*HLOOKUP(REG_TRA_DEMANDS!$F71,DEMANDS!$G$2:$CK$25,MATCH($E71,DEMANDS!$E$2:$E$25,0),FALSE)/HLOOKUP(2018,DEMANDS!$G$2:$CK$25,MATCH($E71,DEMANDS!$E$2:$E$25,0),FALSE)</f>
        <v>0.44074232466537255</v>
      </c>
      <c r="P71" s="18">
        <f>HLOOKUP(REG_TRA_DEMANDS!P$3,'BY-Demands'!$J$5:$AK$14,MATCH($E71,'BY-Demands'!$I$5:$I$14,0),FALSE)*HLOOKUP(REG_TRA_DEMANDS!$F71,DEMANDS!$G$2:$CK$25,MATCH($E71,DEMANDS!$E$2:$E$25,0),FALSE)/HLOOKUP(2018,DEMANDS!$G$2:$CK$25,MATCH($E71,DEMANDS!$E$2:$E$25,0),FALSE)</f>
        <v>0.48844369087374734</v>
      </c>
      <c r="Q71" s="18">
        <f>HLOOKUP(REG_TRA_DEMANDS!Q$3,'BY-Demands'!$J$5:$AK$14,MATCH($E71,'BY-Demands'!$I$5:$I$14,0),FALSE)*HLOOKUP(REG_TRA_DEMANDS!$F71,DEMANDS!$G$2:$CK$25,MATCH($E71,DEMANDS!$E$2:$E$25,0),FALSE)/HLOOKUP(2018,DEMANDS!$G$2:$CK$25,MATCH($E71,DEMANDS!$E$2:$E$25,0),FALSE)</f>
        <v>0.8681549570009427</v>
      </c>
      <c r="R71" s="18">
        <f>HLOOKUP(REG_TRA_DEMANDS!R$3,'BY-Demands'!$J$5:$AK$14,MATCH($E71,'BY-Demands'!$I$5:$I$14,0),FALSE)*HLOOKUP(REG_TRA_DEMANDS!$F71,DEMANDS!$G$2:$CK$25,MATCH($E71,DEMANDS!$E$2:$E$25,0),FALSE)/HLOOKUP(2018,DEMANDS!$G$2:$CK$25,MATCH($E71,DEMANDS!$E$2:$E$25,0),FALSE)</f>
        <v>0.74340476674764422</v>
      </c>
      <c r="S71" s="18">
        <f>HLOOKUP(REG_TRA_DEMANDS!S$3,'BY-Demands'!$J$5:$AK$14,MATCH($E71,'BY-Demands'!$I$5:$I$14,0),FALSE)*HLOOKUP(REG_TRA_DEMANDS!$F71,DEMANDS!$G$2:$CK$25,MATCH($E71,DEMANDS!$E$2:$E$25,0),FALSE)/HLOOKUP(2018,DEMANDS!$G$2:$CK$25,MATCH($E71,DEMANDS!$E$2:$E$25,0),FALSE)</f>
        <v>0.66653819102340894</v>
      </c>
      <c r="T71" s="18">
        <f>HLOOKUP(REG_TRA_DEMANDS!T$3,'BY-Demands'!$J$5:$AK$14,MATCH($E71,'BY-Demands'!$I$5:$I$14,0),FALSE)*HLOOKUP(REG_TRA_DEMANDS!$F71,DEMANDS!$G$2:$CK$25,MATCH($E71,DEMANDS!$E$2:$E$25,0),FALSE)/HLOOKUP(2018,DEMANDS!$G$2:$CK$25,MATCH($E71,DEMANDS!$E$2:$E$25,0),FALSE)</f>
        <v>2.7178796768144293</v>
      </c>
      <c r="U71" s="18">
        <f>HLOOKUP(REG_TRA_DEMANDS!U$3,'BY-Demands'!$J$5:$AK$14,MATCH($E71,'BY-Demands'!$I$5:$I$14,0),FALSE)*HLOOKUP(REG_TRA_DEMANDS!$F71,DEMANDS!$G$2:$CK$25,MATCH($E71,DEMANDS!$E$2:$E$25,0),FALSE)/HLOOKUP(2018,DEMANDS!$G$2:$CK$25,MATCH($E71,DEMANDS!$E$2:$E$25,0),FALSE)</f>
        <v>0.90387006397097414</v>
      </c>
      <c r="V71" s="18">
        <f>HLOOKUP(REG_TRA_DEMANDS!V$3,'BY-Demands'!$J$5:$AK$14,MATCH($E71,'BY-Demands'!$I$5:$I$14,0),FALSE)*HLOOKUP(REG_TRA_DEMANDS!$F71,DEMANDS!$G$2:$CK$25,MATCH($E71,DEMANDS!$E$2:$E$25,0),FALSE)/HLOOKUP(2018,DEMANDS!$G$2:$CK$25,MATCH($E71,DEMANDS!$E$2:$E$25,0),FALSE)</f>
        <v>1.0012862906567646</v>
      </c>
      <c r="W71" s="18">
        <f>HLOOKUP(REG_TRA_DEMANDS!W$3,'BY-Demands'!$J$5:$AK$14,MATCH($E71,'BY-Demands'!$I$5:$I$14,0),FALSE)*HLOOKUP(REG_TRA_DEMANDS!$F71,DEMANDS!$G$2:$CK$25,MATCH($E71,DEMANDS!$E$2:$E$25,0),FALSE)/HLOOKUP(2018,DEMANDS!$G$2:$CK$25,MATCH($E71,DEMANDS!$E$2:$E$25,0),FALSE)</f>
        <v>0.96867494064528181</v>
      </c>
      <c r="X71" s="18">
        <f>HLOOKUP(REG_TRA_DEMANDS!X$3,'BY-Demands'!$J$5:$AK$14,MATCH($E71,'BY-Demands'!$I$5:$I$14,0),FALSE)*HLOOKUP(REG_TRA_DEMANDS!$F71,DEMANDS!$G$2:$CK$25,MATCH($E71,DEMANDS!$E$2:$E$25,0),FALSE)/HLOOKUP(2018,DEMANDS!$G$2:$CK$25,MATCH($E71,DEMANDS!$E$2:$E$25,0),FALSE)</f>
        <v>0.6100209108579695</v>
      </c>
      <c r="Y71" s="18">
        <f>HLOOKUP(REG_TRA_DEMANDS!Y$3,'BY-Demands'!$J$5:$AK$14,MATCH($E71,'BY-Demands'!$I$5:$I$14,0),FALSE)*HLOOKUP(REG_TRA_DEMANDS!$F71,DEMANDS!$G$2:$CK$25,MATCH($E71,DEMANDS!$E$2:$E$25,0),FALSE)/HLOOKUP(2018,DEMANDS!$G$2:$CK$25,MATCH($E71,DEMANDS!$E$2:$E$25,0),FALSE)</f>
        <v>1.3859579423427726</v>
      </c>
      <c r="Z71" s="18">
        <f>HLOOKUP(REG_TRA_DEMANDS!Z$3,'BY-Demands'!$J$5:$AK$14,MATCH($E71,'BY-Demands'!$I$5:$I$14,0),FALSE)*HLOOKUP(REG_TRA_DEMANDS!$F71,DEMANDS!$G$2:$CK$25,MATCH($E71,DEMANDS!$E$2:$E$25,0),FALSE)/HLOOKUP(2018,DEMANDS!$G$2:$CK$25,MATCH($E71,DEMANDS!$E$2:$E$25,0),FALSE)</f>
        <v>0.17879958342991251</v>
      </c>
      <c r="AA71" s="18">
        <f>HLOOKUP(REG_TRA_DEMANDS!AA$3,'BY-Demands'!$J$5:$AK$14,MATCH($E71,'BY-Demands'!$I$5:$I$14,0),FALSE)*HLOOKUP(REG_TRA_DEMANDS!$F71,DEMANDS!$G$2:$CK$25,MATCH($E71,DEMANDS!$E$2:$E$25,0),FALSE)/HLOOKUP(2018,DEMANDS!$G$2:$CK$25,MATCH($E71,DEMANDS!$E$2:$E$25,0),FALSE)</f>
        <v>0.76853906835295616</v>
      </c>
      <c r="AB71" s="18">
        <f>HLOOKUP(REG_TRA_DEMANDS!AB$3,'BY-Demands'!$J$5:$AK$14,MATCH($E71,'BY-Demands'!$I$5:$I$14,0),FALSE)*HLOOKUP(REG_TRA_DEMANDS!$F71,DEMANDS!$G$2:$CK$25,MATCH($E71,DEMANDS!$E$2:$E$25,0),FALSE)/HLOOKUP(2018,DEMANDS!$G$2:$CK$25,MATCH($E71,DEMANDS!$E$2:$E$25,0),FALSE)</f>
        <v>0.40283944565952695</v>
      </c>
      <c r="AC71" s="18">
        <f>HLOOKUP(REG_TRA_DEMANDS!AC$3,'BY-Demands'!$J$5:$AK$14,MATCH($E71,'BY-Demands'!$I$5:$I$14,0),FALSE)*HLOOKUP(REG_TRA_DEMANDS!$F71,DEMANDS!$G$2:$CK$25,MATCH($E71,DEMANDS!$E$2:$E$25,0),FALSE)/HLOOKUP(2018,DEMANDS!$G$2:$CK$25,MATCH($E71,DEMANDS!$E$2:$E$25,0),FALSE)</f>
        <v>0.33576961513743447</v>
      </c>
      <c r="AD71" s="18">
        <f>HLOOKUP(REG_TRA_DEMANDS!AD$3,'BY-Demands'!$J$5:$AK$14,MATCH($E71,'BY-Demands'!$I$5:$I$14,0),FALSE)*HLOOKUP(REG_TRA_DEMANDS!$F71,DEMANDS!$G$2:$CK$25,MATCH($E71,DEMANDS!$E$2:$E$25,0),FALSE)/HLOOKUP(2018,DEMANDS!$G$2:$CK$25,MATCH($E71,DEMANDS!$E$2:$E$25,0),FALSE)</f>
        <v>0.35910421622699246</v>
      </c>
      <c r="AE71" s="18">
        <f>HLOOKUP(REG_TRA_DEMANDS!AE$3,'BY-Demands'!$J$5:$AK$14,MATCH($E71,'BY-Demands'!$I$5:$I$14,0),FALSE)*HLOOKUP(REG_TRA_DEMANDS!$F71,DEMANDS!$G$2:$CK$25,MATCH($E71,DEMANDS!$E$2:$E$25,0),FALSE)/HLOOKUP(2018,DEMANDS!$G$2:$CK$25,MATCH($E71,DEMANDS!$E$2:$E$25,0),FALSE)</f>
        <v>0.661496173847689</v>
      </c>
      <c r="AF71" s="18">
        <f>HLOOKUP(REG_TRA_DEMANDS!AF$3,'BY-Demands'!$J$5:$AK$14,MATCH($E71,'BY-Demands'!$I$5:$I$14,0),FALSE)*HLOOKUP(REG_TRA_DEMANDS!$F71,DEMANDS!$G$2:$CK$25,MATCH($E71,DEMANDS!$E$2:$E$25,0),FALSE)/HLOOKUP(2018,DEMANDS!$G$2:$CK$25,MATCH($E71,DEMANDS!$E$2:$E$25,0),FALSE)</f>
        <v>0.38211077239394831</v>
      </c>
    </row>
    <row r="72" spans="4:32" ht="14.4">
      <c r="D72" t="s">
        <v>6</v>
      </c>
      <c r="E72" t="str">
        <f>DEMANDS!$E$19</f>
        <v>TRAPL</v>
      </c>
      <c r="F72">
        <v>2034</v>
      </c>
      <c r="G72" s="18">
        <f>HLOOKUP(REG_TRA_DEMANDS!G$3,'BY-Demands'!$J$5:$AK$14,MATCH($E72,'BY-Demands'!$I$5:$I$14,0),FALSE)*HLOOKUP(REG_TRA_DEMANDS!$F72,DEMANDS!$G$2:$CK$25,MATCH($E72,DEMANDS!$E$2:$E$25,0),FALSE)/HLOOKUP(2018,DEMANDS!$G$2:$CK$25,MATCH($E72,DEMANDS!$E$2:$E$25,0),FALSE)</f>
        <v>0.34207991577482555</v>
      </c>
      <c r="H72" s="18">
        <f>HLOOKUP(REG_TRA_DEMANDS!H$3,'BY-Demands'!$J$5:$AK$14,MATCH($E72,'BY-Demands'!$I$5:$I$14,0),FALSE)*HLOOKUP(REG_TRA_DEMANDS!$F72,DEMANDS!$G$2:$CK$25,MATCH($E72,DEMANDS!$E$2:$E$25,0),FALSE)/HLOOKUP(2018,DEMANDS!$G$2:$CK$25,MATCH($E72,DEMANDS!$E$2:$E$25,0),FALSE)</f>
        <v>6.0939352337533821</v>
      </c>
      <c r="I72" s="18">
        <f>HLOOKUP(REG_TRA_DEMANDS!I$3,'BY-Demands'!$J$5:$AK$14,MATCH($E72,'BY-Demands'!$I$5:$I$14,0),FALSE)*HLOOKUP(REG_TRA_DEMANDS!$F72,DEMANDS!$G$2:$CK$25,MATCH($E72,DEMANDS!$E$2:$E$25,0),FALSE)/HLOOKUP(2018,DEMANDS!$G$2:$CK$25,MATCH($E72,DEMANDS!$E$2:$E$25,0),FALSE)</f>
        <v>1.2312725491072358</v>
      </c>
      <c r="J72" s="18">
        <f>HLOOKUP(REG_TRA_DEMANDS!J$3,'BY-Demands'!$J$5:$AK$14,MATCH($E72,'BY-Demands'!$I$5:$I$14,0),FALSE)*HLOOKUP(REG_TRA_DEMANDS!$F72,DEMANDS!$G$2:$CK$25,MATCH($E72,DEMANDS!$E$2:$E$25,0),FALSE)/HLOOKUP(2018,DEMANDS!$G$2:$CK$25,MATCH($E72,DEMANDS!$E$2:$E$25,0),FALSE)</f>
        <v>0.59290709786733442</v>
      </c>
      <c r="K72" s="18">
        <f>HLOOKUP(REG_TRA_DEMANDS!K$3,'BY-Demands'!$J$5:$AK$14,MATCH($E72,'BY-Demands'!$I$5:$I$14,0),FALSE)*HLOOKUP(REG_TRA_DEMANDS!$F72,DEMANDS!$G$2:$CK$25,MATCH($E72,DEMANDS!$E$2:$E$25,0),FALSE)/HLOOKUP(2018,DEMANDS!$G$2:$CK$25,MATCH($E72,DEMANDS!$E$2:$E$25,0),FALSE)</f>
        <v>0.44052528702786875</v>
      </c>
      <c r="L72" s="18">
        <f>HLOOKUP(REG_TRA_DEMANDS!L$3,'BY-Demands'!$J$5:$AK$14,MATCH($E72,'BY-Demands'!$I$5:$I$14,0),FALSE)*HLOOKUP(REG_TRA_DEMANDS!$F72,DEMANDS!$G$2:$CK$25,MATCH($E72,DEMANDS!$E$2:$E$25,0),FALSE)/HLOOKUP(2018,DEMANDS!$G$2:$CK$25,MATCH($E72,DEMANDS!$E$2:$E$25,0),FALSE)</f>
        <v>0.22683187402529648</v>
      </c>
      <c r="M72" s="18">
        <f>HLOOKUP(REG_TRA_DEMANDS!M$3,'BY-Demands'!$J$5:$AK$14,MATCH($E72,'BY-Demands'!$I$5:$I$14,0),FALSE)*HLOOKUP(REG_TRA_DEMANDS!$F72,DEMANDS!$G$2:$CK$25,MATCH($E72,DEMANDS!$E$2:$E$25,0),FALSE)/HLOOKUP(2018,DEMANDS!$G$2:$CK$25,MATCH($E72,DEMANDS!$E$2:$E$25,0),FALSE)</f>
        <v>0.61635864707618548</v>
      </c>
      <c r="N72" s="18">
        <f>HLOOKUP(REG_TRA_DEMANDS!N$3,'BY-Demands'!$J$5:$AK$14,MATCH($E72,'BY-Demands'!$I$5:$I$14,0),FALSE)*HLOOKUP(REG_TRA_DEMANDS!$F72,DEMANDS!$G$2:$CK$25,MATCH($E72,DEMANDS!$E$2:$E$25,0),FALSE)/HLOOKUP(2018,DEMANDS!$G$2:$CK$25,MATCH($E72,DEMANDS!$E$2:$E$25,0),FALSE)</f>
        <v>1.0481264620605808</v>
      </c>
      <c r="O72" s="18">
        <f>HLOOKUP(REG_TRA_DEMANDS!O$3,'BY-Demands'!$J$5:$AK$14,MATCH($E72,'BY-Demands'!$I$5:$I$14,0),FALSE)*HLOOKUP(REG_TRA_DEMANDS!$F72,DEMANDS!$G$2:$CK$25,MATCH($E72,DEMANDS!$E$2:$E$25,0),FALSE)/HLOOKUP(2018,DEMANDS!$G$2:$CK$25,MATCH($E72,DEMANDS!$E$2:$E$25,0),FALSE)</f>
        <v>0.45176088278200688</v>
      </c>
      <c r="P72" s="18">
        <f>HLOOKUP(REG_TRA_DEMANDS!P$3,'BY-Demands'!$J$5:$AK$14,MATCH($E72,'BY-Demands'!$I$5:$I$14,0),FALSE)*HLOOKUP(REG_TRA_DEMANDS!$F72,DEMANDS!$G$2:$CK$25,MATCH($E72,DEMANDS!$E$2:$E$25,0),FALSE)/HLOOKUP(2018,DEMANDS!$G$2:$CK$25,MATCH($E72,DEMANDS!$E$2:$E$25,0),FALSE)</f>
        <v>0.50065478314559098</v>
      </c>
      <c r="Q72" s="18">
        <f>HLOOKUP(REG_TRA_DEMANDS!Q$3,'BY-Demands'!$J$5:$AK$14,MATCH($E72,'BY-Demands'!$I$5:$I$14,0),FALSE)*HLOOKUP(REG_TRA_DEMANDS!$F72,DEMANDS!$G$2:$CK$25,MATCH($E72,DEMANDS!$E$2:$E$25,0),FALSE)/HLOOKUP(2018,DEMANDS!$G$2:$CK$25,MATCH($E72,DEMANDS!$E$2:$E$25,0),FALSE)</f>
        <v>0.88985883092596607</v>
      </c>
      <c r="R72" s="18">
        <f>HLOOKUP(REG_TRA_DEMANDS!R$3,'BY-Demands'!$J$5:$AK$14,MATCH($E72,'BY-Demands'!$I$5:$I$14,0),FALSE)*HLOOKUP(REG_TRA_DEMANDS!$F72,DEMANDS!$G$2:$CK$25,MATCH($E72,DEMANDS!$E$2:$E$25,0),FALSE)/HLOOKUP(2018,DEMANDS!$G$2:$CK$25,MATCH($E72,DEMANDS!$E$2:$E$25,0),FALSE)</f>
        <v>0.76198988591633532</v>
      </c>
      <c r="S72" s="18">
        <f>HLOOKUP(REG_TRA_DEMANDS!S$3,'BY-Demands'!$J$5:$AK$14,MATCH($E72,'BY-Demands'!$I$5:$I$14,0),FALSE)*HLOOKUP(REG_TRA_DEMANDS!$F72,DEMANDS!$G$2:$CK$25,MATCH($E72,DEMANDS!$E$2:$E$25,0),FALSE)/HLOOKUP(2018,DEMANDS!$G$2:$CK$25,MATCH($E72,DEMANDS!$E$2:$E$25,0),FALSE)</f>
        <v>0.68320164579899412</v>
      </c>
      <c r="T72" s="18">
        <f>HLOOKUP(REG_TRA_DEMANDS!T$3,'BY-Demands'!$J$5:$AK$14,MATCH($E72,'BY-Demands'!$I$5:$I$14,0),FALSE)*HLOOKUP(REG_TRA_DEMANDS!$F72,DEMANDS!$G$2:$CK$25,MATCH($E72,DEMANDS!$E$2:$E$25,0),FALSE)/HLOOKUP(2018,DEMANDS!$G$2:$CK$25,MATCH($E72,DEMANDS!$E$2:$E$25,0),FALSE)</f>
        <v>2.7858266687347895</v>
      </c>
      <c r="U72" s="18">
        <f>HLOOKUP(REG_TRA_DEMANDS!U$3,'BY-Demands'!$J$5:$AK$14,MATCH($E72,'BY-Demands'!$I$5:$I$14,0),FALSE)*HLOOKUP(REG_TRA_DEMANDS!$F72,DEMANDS!$G$2:$CK$25,MATCH($E72,DEMANDS!$E$2:$E$25,0),FALSE)/HLOOKUP(2018,DEMANDS!$G$2:$CK$25,MATCH($E72,DEMANDS!$E$2:$E$25,0),FALSE)</f>
        <v>0.92646681557024835</v>
      </c>
      <c r="V72" s="18">
        <f>HLOOKUP(REG_TRA_DEMANDS!V$3,'BY-Demands'!$J$5:$AK$14,MATCH($E72,'BY-Demands'!$I$5:$I$14,0),FALSE)*HLOOKUP(REG_TRA_DEMANDS!$F72,DEMANDS!$G$2:$CK$25,MATCH($E72,DEMANDS!$E$2:$E$25,0),FALSE)/HLOOKUP(2018,DEMANDS!$G$2:$CK$25,MATCH($E72,DEMANDS!$E$2:$E$25,0),FALSE)</f>
        <v>1.0263184479231835</v>
      </c>
      <c r="W72" s="18">
        <f>HLOOKUP(REG_TRA_DEMANDS!W$3,'BY-Demands'!$J$5:$AK$14,MATCH($E72,'BY-Demands'!$I$5:$I$14,0),FALSE)*HLOOKUP(REG_TRA_DEMANDS!$F72,DEMANDS!$G$2:$CK$25,MATCH($E72,DEMANDS!$E$2:$E$25,0),FALSE)/HLOOKUP(2018,DEMANDS!$G$2:$CK$25,MATCH($E72,DEMANDS!$E$2:$E$25,0),FALSE)</f>
        <v>0.99289181416141381</v>
      </c>
      <c r="X72" s="18">
        <f>HLOOKUP(REG_TRA_DEMANDS!X$3,'BY-Demands'!$J$5:$AK$14,MATCH($E72,'BY-Demands'!$I$5:$I$14,0),FALSE)*HLOOKUP(REG_TRA_DEMANDS!$F72,DEMANDS!$G$2:$CK$25,MATCH($E72,DEMANDS!$E$2:$E$25,0),FALSE)/HLOOKUP(2018,DEMANDS!$G$2:$CK$25,MATCH($E72,DEMANDS!$E$2:$E$25,0),FALSE)</f>
        <v>0.62527143362941884</v>
      </c>
      <c r="Y72" s="18">
        <f>HLOOKUP(REG_TRA_DEMANDS!Y$3,'BY-Demands'!$J$5:$AK$14,MATCH($E72,'BY-Demands'!$I$5:$I$14,0),FALSE)*HLOOKUP(REG_TRA_DEMANDS!$F72,DEMANDS!$G$2:$CK$25,MATCH($E72,DEMANDS!$E$2:$E$25,0),FALSE)/HLOOKUP(2018,DEMANDS!$G$2:$CK$25,MATCH($E72,DEMANDS!$E$2:$E$25,0),FALSE)</f>
        <v>1.4206068909013416</v>
      </c>
      <c r="Z72" s="18">
        <f>HLOOKUP(REG_TRA_DEMANDS!Z$3,'BY-Demands'!$J$5:$AK$14,MATCH($E72,'BY-Demands'!$I$5:$I$14,0),FALSE)*HLOOKUP(REG_TRA_DEMANDS!$F72,DEMANDS!$G$2:$CK$25,MATCH($E72,DEMANDS!$E$2:$E$25,0),FALSE)/HLOOKUP(2018,DEMANDS!$G$2:$CK$25,MATCH($E72,DEMANDS!$E$2:$E$25,0),FALSE)</f>
        <v>0.1832695730156603</v>
      </c>
      <c r="AA72" s="18">
        <f>HLOOKUP(REG_TRA_DEMANDS!AA$3,'BY-Demands'!$J$5:$AK$14,MATCH($E72,'BY-Demands'!$I$5:$I$14,0),FALSE)*HLOOKUP(REG_TRA_DEMANDS!$F72,DEMANDS!$G$2:$CK$25,MATCH($E72,DEMANDS!$E$2:$E$25,0),FALSE)/HLOOKUP(2018,DEMANDS!$G$2:$CK$25,MATCH($E72,DEMANDS!$E$2:$E$25,0),FALSE)</f>
        <v>0.78775254506177994</v>
      </c>
      <c r="AB72" s="18">
        <f>HLOOKUP(REG_TRA_DEMANDS!AB$3,'BY-Demands'!$J$5:$AK$14,MATCH($E72,'BY-Demands'!$I$5:$I$14,0),FALSE)*HLOOKUP(REG_TRA_DEMANDS!$F72,DEMANDS!$G$2:$CK$25,MATCH($E72,DEMANDS!$E$2:$E$25,0),FALSE)/HLOOKUP(2018,DEMANDS!$G$2:$CK$25,MATCH($E72,DEMANDS!$E$2:$E$25,0),FALSE)</f>
        <v>0.41291043180101511</v>
      </c>
      <c r="AC72" s="18">
        <f>HLOOKUP(REG_TRA_DEMANDS!AC$3,'BY-Demands'!$J$5:$AK$14,MATCH($E72,'BY-Demands'!$I$5:$I$14,0),FALSE)*HLOOKUP(REG_TRA_DEMANDS!$F72,DEMANDS!$G$2:$CK$25,MATCH($E72,DEMANDS!$E$2:$E$25,0),FALSE)/HLOOKUP(2018,DEMANDS!$G$2:$CK$25,MATCH($E72,DEMANDS!$E$2:$E$25,0),FALSE)</f>
        <v>0.34416385551587031</v>
      </c>
      <c r="AD72" s="18">
        <f>HLOOKUP(REG_TRA_DEMANDS!AD$3,'BY-Demands'!$J$5:$AK$14,MATCH($E72,'BY-Demands'!$I$5:$I$14,0),FALSE)*HLOOKUP(REG_TRA_DEMANDS!$F72,DEMANDS!$G$2:$CK$25,MATCH($E72,DEMANDS!$E$2:$E$25,0),FALSE)/HLOOKUP(2018,DEMANDS!$G$2:$CK$25,MATCH($E72,DEMANDS!$E$2:$E$25,0),FALSE)</f>
        <v>0.36808182163266723</v>
      </c>
      <c r="AE72" s="18">
        <f>HLOOKUP(REG_TRA_DEMANDS!AE$3,'BY-Demands'!$J$5:$AK$14,MATCH($E72,'BY-Demands'!$I$5:$I$14,0),FALSE)*HLOOKUP(REG_TRA_DEMANDS!$F72,DEMANDS!$G$2:$CK$25,MATCH($E72,DEMANDS!$E$2:$E$25,0),FALSE)/HLOOKUP(2018,DEMANDS!$G$2:$CK$25,MATCH($E72,DEMANDS!$E$2:$E$25,0),FALSE)</f>
        <v>0.6780335781938811</v>
      </c>
      <c r="AF72" s="18">
        <f>HLOOKUP(REG_TRA_DEMANDS!AF$3,'BY-Demands'!$J$5:$AK$14,MATCH($E72,'BY-Demands'!$I$5:$I$14,0),FALSE)*HLOOKUP(REG_TRA_DEMANDS!$F72,DEMANDS!$G$2:$CK$25,MATCH($E72,DEMANDS!$E$2:$E$25,0),FALSE)/HLOOKUP(2018,DEMANDS!$G$2:$CK$25,MATCH($E72,DEMANDS!$E$2:$E$25,0),FALSE)</f>
        <v>0.39166354170379697</v>
      </c>
    </row>
    <row r="73" spans="4:32" ht="14.4">
      <c r="D73" t="s">
        <v>6</v>
      </c>
      <c r="E73" t="str">
        <f>DEMANDS!$E$19</f>
        <v>TRAPL</v>
      </c>
      <c r="F73">
        <v>2035</v>
      </c>
      <c r="G73" s="18">
        <f>HLOOKUP(REG_TRA_DEMANDS!G$3,'BY-Demands'!$J$5:$AK$14,MATCH($E73,'BY-Demands'!$I$5:$I$14,0),FALSE)*HLOOKUP(REG_TRA_DEMANDS!$F73,DEMANDS!$G$2:$CK$25,MATCH($E73,DEMANDS!$E$2:$E$25,0),FALSE)/HLOOKUP(2018,DEMANDS!$G$2:$CK$25,MATCH($E73,DEMANDS!$E$2:$E$25,0),FALSE)</f>
        <v>0.3506319136691961</v>
      </c>
      <c r="H73" s="18">
        <f>HLOOKUP(REG_TRA_DEMANDS!H$3,'BY-Demands'!$J$5:$AK$14,MATCH($E73,'BY-Demands'!$I$5:$I$14,0),FALSE)*HLOOKUP(REG_TRA_DEMANDS!$F73,DEMANDS!$G$2:$CK$25,MATCH($E73,DEMANDS!$E$2:$E$25,0),FALSE)/HLOOKUP(2018,DEMANDS!$G$2:$CK$25,MATCH($E73,DEMANDS!$E$2:$E$25,0),FALSE)</f>
        <v>6.2462836145972149</v>
      </c>
      <c r="I73" s="18">
        <f>HLOOKUP(REG_TRA_DEMANDS!I$3,'BY-Demands'!$J$5:$AK$14,MATCH($E73,'BY-Demands'!$I$5:$I$14,0),FALSE)*HLOOKUP(REG_TRA_DEMANDS!$F73,DEMANDS!$G$2:$CK$25,MATCH($E73,DEMANDS!$E$2:$E$25,0),FALSE)/HLOOKUP(2018,DEMANDS!$G$2:$CK$25,MATCH($E73,DEMANDS!$E$2:$E$25,0),FALSE)</f>
        <v>1.2620543628349166</v>
      </c>
      <c r="J73" s="18">
        <f>HLOOKUP(REG_TRA_DEMANDS!J$3,'BY-Demands'!$J$5:$AK$14,MATCH($E73,'BY-Demands'!$I$5:$I$14,0),FALSE)*HLOOKUP(REG_TRA_DEMANDS!$F73,DEMANDS!$G$2:$CK$25,MATCH($E73,DEMANDS!$E$2:$E$25,0),FALSE)/HLOOKUP(2018,DEMANDS!$G$2:$CK$25,MATCH($E73,DEMANDS!$E$2:$E$25,0),FALSE)</f>
        <v>0.60772977531401784</v>
      </c>
      <c r="K73" s="18">
        <f>HLOOKUP(REG_TRA_DEMANDS!K$3,'BY-Demands'!$J$5:$AK$14,MATCH($E73,'BY-Demands'!$I$5:$I$14,0),FALSE)*HLOOKUP(REG_TRA_DEMANDS!$F73,DEMANDS!$G$2:$CK$25,MATCH($E73,DEMANDS!$E$2:$E$25,0),FALSE)/HLOOKUP(2018,DEMANDS!$G$2:$CK$25,MATCH($E73,DEMANDS!$E$2:$E$25,0),FALSE)</f>
        <v>0.45153841920356536</v>
      </c>
      <c r="L73" s="18">
        <f>HLOOKUP(REG_TRA_DEMANDS!L$3,'BY-Demands'!$J$5:$AK$14,MATCH($E73,'BY-Demands'!$I$5:$I$14,0),FALSE)*HLOOKUP(REG_TRA_DEMANDS!$F73,DEMANDS!$G$2:$CK$25,MATCH($E73,DEMANDS!$E$2:$E$25,0),FALSE)/HLOOKUP(2018,DEMANDS!$G$2:$CK$25,MATCH($E73,DEMANDS!$E$2:$E$25,0),FALSE)</f>
        <v>0.23250267087592885</v>
      </c>
      <c r="M73" s="18">
        <f>HLOOKUP(REG_TRA_DEMANDS!M$3,'BY-Demands'!$J$5:$AK$14,MATCH($E73,'BY-Demands'!$I$5:$I$14,0),FALSE)*HLOOKUP(REG_TRA_DEMANDS!$F73,DEMANDS!$G$2:$CK$25,MATCH($E73,DEMANDS!$E$2:$E$25,0),FALSE)/HLOOKUP(2018,DEMANDS!$G$2:$CK$25,MATCH($E73,DEMANDS!$E$2:$E$25,0),FALSE)</f>
        <v>0.63176761325308994</v>
      </c>
      <c r="N73" s="18">
        <f>HLOOKUP(REG_TRA_DEMANDS!N$3,'BY-Demands'!$J$5:$AK$14,MATCH($E73,'BY-Demands'!$I$5:$I$14,0),FALSE)*HLOOKUP(REG_TRA_DEMANDS!$F73,DEMANDS!$G$2:$CK$25,MATCH($E73,DEMANDS!$E$2:$E$25,0),FALSE)/HLOOKUP(2018,DEMANDS!$G$2:$CK$25,MATCH($E73,DEMANDS!$E$2:$E$25,0),FALSE)</f>
        <v>1.0743296236120952</v>
      </c>
      <c r="O73" s="18">
        <f>HLOOKUP(REG_TRA_DEMANDS!O$3,'BY-Demands'!$J$5:$AK$14,MATCH($E73,'BY-Demands'!$I$5:$I$14,0),FALSE)*HLOOKUP(REG_TRA_DEMANDS!$F73,DEMANDS!$G$2:$CK$25,MATCH($E73,DEMANDS!$E$2:$E$25,0),FALSE)/HLOOKUP(2018,DEMANDS!$G$2:$CK$25,MATCH($E73,DEMANDS!$E$2:$E$25,0),FALSE)</f>
        <v>0.46305490485155693</v>
      </c>
      <c r="P73" s="18">
        <f>HLOOKUP(REG_TRA_DEMANDS!P$3,'BY-Demands'!$J$5:$AK$14,MATCH($E73,'BY-Demands'!$I$5:$I$14,0),FALSE)*HLOOKUP(REG_TRA_DEMANDS!$F73,DEMANDS!$G$2:$CK$25,MATCH($E73,DEMANDS!$E$2:$E$25,0),FALSE)/HLOOKUP(2018,DEMANDS!$G$2:$CK$25,MATCH($E73,DEMANDS!$E$2:$E$25,0),FALSE)</f>
        <v>0.51317115272423075</v>
      </c>
      <c r="Q73" s="18">
        <f>HLOOKUP(REG_TRA_DEMANDS!Q$3,'BY-Demands'!$J$5:$AK$14,MATCH($E73,'BY-Demands'!$I$5:$I$14,0),FALSE)*HLOOKUP(REG_TRA_DEMANDS!$F73,DEMANDS!$G$2:$CK$25,MATCH($E73,DEMANDS!$E$2:$E$25,0),FALSE)/HLOOKUP(2018,DEMANDS!$G$2:$CK$25,MATCH($E73,DEMANDS!$E$2:$E$25,0),FALSE)</f>
        <v>0.91210530169911508</v>
      </c>
      <c r="R73" s="18">
        <f>HLOOKUP(REG_TRA_DEMANDS!R$3,'BY-Demands'!$J$5:$AK$14,MATCH($E73,'BY-Demands'!$I$5:$I$14,0),FALSE)*HLOOKUP(REG_TRA_DEMANDS!$F73,DEMANDS!$G$2:$CK$25,MATCH($E73,DEMANDS!$E$2:$E$25,0),FALSE)/HLOOKUP(2018,DEMANDS!$G$2:$CK$25,MATCH($E73,DEMANDS!$E$2:$E$25,0),FALSE)</f>
        <v>0.78103963306424351</v>
      </c>
      <c r="S73" s="18">
        <f>HLOOKUP(REG_TRA_DEMANDS!S$3,'BY-Demands'!$J$5:$AK$14,MATCH($E73,'BY-Demands'!$I$5:$I$14,0),FALSE)*HLOOKUP(REG_TRA_DEMANDS!$F73,DEMANDS!$G$2:$CK$25,MATCH($E73,DEMANDS!$E$2:$E$25,0),FALSE)/HLOOKUP(2018,DEMANDS!$G$2:$CK$25,MATCH($E73,DEMANDS!$E$2:$E$25,0),FALSE)</f>
        <v>0.70028168694396897</v>
      </c>
      <c r="T73" s="18">
        <f>HLOOKUP(REG_TRA_DEMANDS!T$3,'BY-Demands'!$J$5:$AK$14,MATCH($E73,'BY-Demands'!$I$5:$I$14,0),FALSE)*HLOOKUP(REG_TRA_DEMANDS!$F73,DEMANDS!$G$2:$CK$25,MATCH($E73,DEMANDS!$E$2:$E$25,0),FALSE)/HLOOKUP(2018,DEMANDS!$G$2:$CK$25,MATCH($E73,DEMANDS!$E$2:$E$25,0),FALSE)</f>
        <v>2.8554723354531593</v>
      </c>
      <c r="U73" s="18">
        <f>HLOOKUP(REG_TRA_DEMANDS!U$3,'BY-Demands'!$J$5:$AK$14,MATCH($E73,'BY-Demands'!$I$5:$I$14,0),FALSE)*HLOOKUP(REG_TRA_DEMANDS!$F73,DEMANDS!$G$2:$CK$25,MATCH($E73,DEMANDS!$E$2:$E$25,0),FALSE)/HLOOKUP(2018,DEMANDS!$G$2:$CK$25,MATCH($E73,DEMANDS!$E$2:$E$25,0),FALSE)</f>
        <v>0.94962848595950444</v>
      </c>
      <c r="V73" s="18">
        <f>HLOOKUP(REG_TRA_DEMANDS!V$3,'BY-Demands'!$J$5:$AK$14,MATCH($E73,'BY-Demands'!$I$5:$I$14,0),FALSE)*HLOOKUP(REG_TRA_DEMANDS!$F73,DEMANDS!$G$2:$CK$25,MATCH($E73,DEMANDS!$E$2:$E$25,0),FALSE)/HLOOKUP(2018,DEMANDS!$G$2:$CK$25,MATCH($E73,DEMANDS!$E$2:$E$25,0),FALSE)</f>
        <v>1.0519764091212629</v>
      </c>
      <c r="W73" s="18">
        <f>HLOOKUP(REG_TRA_DEMANDS!W$3,'BY-Demands'!$J$5:$AK$14,MATCH($E73,'BY-Demands'!$I$5:$I$14,0),FALSE)*HLOOKUP(REG_TRA_DEMANDS!$F73,DEMANDS!$G$2:$CK$25,MATCH($E73,DEMANDS!$E$2:$E$25,0),FALSE)/HLOOKUP(2018,DEMANDS!$G$2:$CK$25,MATCH($E73,DEMANDS!$E$2:$E$25,0),FALSE)</f>
        <v>1.0177141095154489</v>
      </c>
      <c r="X73" s="18">
        <f>HLOOKUP(REG_TRA_DEMANDS!X$3,'BY-Demands'!$J$5:$AK$14,MATCH($E73,'BY-Demands'!$I$5:$I$14,0),FALSE)*HLOOKUP(REG_TRA_DEMANDS!$F73,DEMANDS!$G$2:$CK$25,MATCH($E73,DEMANDS!$E$2:$E$25,0),FALSE)/HLOOKUP(2018,DEMANDS!$G$2:$CK$25,MATCH($E73,DEMANDS!$E$2:$E$25,0),FALSE)</f>
        <v>0.64090321947015416</v>
      </c>
      <c r="Y73" s="18">
        <f>HLOOKUP(REG_TRA_DEMANDS!Y$3,'BY-Demands'!$J$5:$AK$14,MATCH($E73,'BY-Demands'!$I$5:$I$14,0),FALSE)*HLOOKUP(REG_TRA_DEMANDS!$F73,DEMANDS!$G$2:$CK$25,MATCH($E73,DEMANDS!$E$2:$E$25,0),FALSE)/HLOOKUP(2018,DEMANDS!$G$2:$CK$25,MATCH($E73,DEMANDS!$E$2:$E$25,0),FALSE)</f>
        <v>1.4561220631738754</v>
      </c>
      <c r="Z73" s="18">
        <f>HLOOKUP(REG_TRA_DEMANDS!Z$3,'BY-Demands'!$J$5:$AK$14,MATCH($E73,'BY-Demands'!$I$5:$I$14,0),FALSE)*HLOOKUP(REG_TRA_DEMANDS!$F73,DEMANDS!$G$2:$CK$25,MATCH($E73,DEMANDS!$E$2:$E$25,0),FALSE)/HLOOKUP(2018,DEMANDS!$G$2:$CK$25,MATCH($E73,DEMANDS!$E$2:$E$25,0),FALSE)</f>
        <v>0.18785131234105179</v>
      </c>
      <c r="AA73" s="18">
        <f>HLOOKUP(REG_TRA_DEMANDS!AA$3,'BY-Demands'!$J$5:$AK$14,MATCH($E73,'BY-Demands'!$I$5:$I$14,0),FALSE)*HLOOKUP(REG_TRA_DEMANDS!$F73,DEMANDS!$G$2:$CK$25,MATCH($E73,DEMANDS!$E$2:$E$25,0),FALSE)/HLOOKUP(2018,DEMANDS!$G$2:$CK$25,MATCH($E73,DEMANDS!$E$2:$E$25,0),FALSE)</f>
        <v>0.80744635868832437</v>
      </c>
      <c r="AB73" s="18">
        <f>HLOOKUP(REG_TRA_DEMANDS!AB$3,'BY-Demands'!$J$5:$AK$14,MATCH($E73,'BY-Demands'!$I$5:$I$14,0),FALSE)*HLOOKUP(REG_TRA_DEMANDS!$F73,DEMANDS!$G$2:$CK$25,MATCH($E73,DEMANDS!$E$2:$E$25,0),FALSE)/HLOOKUP(2018,DEMANDS!$G$2:$CK$25,MATCH($E73,DEMANDS!$E$2:$E$25,0),FALSE)</f>
        <v>0.42323319259604042</v>
      </c>
      <c r="AC73" s="18">
        <f>HLOOKUP(REG_TRA_DEMANDS!AC$3,'BY-Demands'!$J$5:$AK$14,MATCH($E73,'BY-Demands'!$I$5:$I$14,0),FALSE)*HLOOKUP(REG_TRA_DEMANDS!$F73,DEMANDS!$G$2:$CK$25,MATCH($E73,DEMANDS!$E$2:$E$25,0),FALSE)/HLOOKUP(2018,DEMANDS!$G$2:$CK$25,MATCH($E73,DEMANDS!$E$2:$E$25,0),FALSE)</f>
        <v>0.35276795190376697</v>
      </c>
      <c r="AD73" s="18">
        <f>HLOOKUP(REG_TRA_DEMANDS!AD$3,'BY-Demands'!$J$5:$AK$14,MATCH($E73,'BY-Demands'!$I$5:$I$14,0),FALSE)*HLOOKUP(REG_TRA_DEMANDS!$F73,DEMANDS!$G$2:$CK$25,MATCH($E73,DEMANDS!$E$2:$E$25,0),FALSE)/HLOOKUP(2018,DEMANDS!$G$2:$CK$25,MATCH($E73,DEMANDS!$E$2:$E$25,0),FALSE)</f>
        <v>0.37728386717348389</v>
      </c>
      <c r="AE73" s="18">
        <f>HLOOKUP(REG_TRA_DEMANDS!AE$3,'BY-Demands'!$J$5:$AK$14,MATCH($E73,'BY-Demands'!$I$5:$I$14,0),FALSE)*HLOOKUP(REG_TRA_DEMANDS!$F73,DEMANDS!$G$2:$CK$25,MATCH($E73,DEMANDS!$E$2:$E$25,0),FALSE)/HLOOKUP(2018,DEMANDS!$G$2:$CK$25,MATCH($E73,DEMANDS!$E$2:$E$25,0),FALSE)</f>
        <v>0.69498441764872809</v>
      </c>
      <c r="AF73" s="18">
        <f>HLOOKUP(REG_TRA_DEMANDS!AF$3,'BY-Demands'!$J$5:$AK$14,MATCH($E73,'BY-Demands'!$I$5:$I$14,0),FALSE)*HLOOKUP(REG_TRA_DEMANDS!$F73,DEMANDS!$G$2:$CK$25,MATCH($E73,DEMANDS!$E$2:$E$25,0),FALSE)/HLOOKUP(2018,DEMANDS!$G$2:$CK$25,MATCH($E73,DEMANDS!$E$2:$E$25,0),FALSE)</f>
        <v>0.40145513024639179</v>
      </c>
    </row>
    <row r="74" spans="4:32" ht="14.4">
      <c r="D74" t="s">
        <v>6</v>
      </c>
      <c r="E74" t="str">
        <f>DEMANDS!$E$19</f>
        <v>TRAPL</v>
      </c>
      <c r="F74">
        <v>2036</v>
      </c>
      <c r="G74" s="18">
        <f>HLOOKUP(REG_TRA_DEMANDS!G$3,'BY-Demands'!$J$5:$AK$14,MATCH($E74,'BY-Demands'!$I$5:$I$14,0),FALSE)*HLOOKUP(REG_TRA_DEMANDS!$F74,DEMANDS!$G$2:$CK$25,MATCH($E74,DEMANDS!$E$2:$E$25,0),FALSE)/HLOOKUP(2018,DEMANDS!$G$2:$CK$25,MATCH($E74,DEMANDS!$E$2:$E$25,0),FALSE)</f>
        <v>0.35939771151092598</v>
      </c>
      <c r="H74" s="18">
        <f>HLOOKUP(REG_TRA_DEMANDS!H$3,'BY-Demands'!$J$5:$AK$14,MATCH($E74,'BY-Demands'!$I$5:$I$14,0),FALSE)*HLOOKUP(REG_TRA_DEMANDS!$F74,DEMANDS!$G$2:$CK$25,MATCH($E74,DEMANDS!$E$2:$E$25,0),FALSE)/HLOOKUP(2018,DEMANDS!$G$2:$CK$25,MATCH($E74,DEMANDS!$E$2:$E$25,0),FALSE)</f>
        <v>6.402440704962145</v>
      </c>
      <c r="I74" s="18">
        <f>HLOOKUP(REG_TRA_DEMANDS!I$3,'BY-Demands'!$J$5:$AK$14,MATCH($E74,'BY-Demands'!$I$5:$I$14,0),FALSE)*HLOOKUP(REG_TRA_DEMANDS!$F74,DEMANDS!$G$2:$CK$25,MATCH($E74,DEMANDS!$E$2:$E$25,0),FALSE)/HLOOKUP(2018,DEMANDS!$G$2:$CK$25,MATCH($E74,DEMANDS!$E$2:$E$25,0),FALSE)</f>
        <v>1.2936057219057895</v>
      </c>
      <c r="J74" s="18">
        <f>HLOOKUP(REG_TRA_DEMANDS!J$3,'BY-Demands'!$J$5:$AK$14,MATCH($E74,'BY-Demands'!$I$5:$I$14,0),FALSE)*HLOOKUP(REG_TRA_DEMANDS!$F74,DEMANDS!$G$2:$CK$25,MATCH($E74,DEMANDS!$E$2:$E$25,0),FALSE)/HLOOKUP(2018,DEMANDS!$G$2:$CK$25,MATCH($E74,DEMANDS!$E$2:$E$25,0),FALSE)</f>
        <v>0.62292301969686825</v>
      </c>
      <c r="K74" s="18">
        <f>HLOOKUP(REG_TRA_DEMANDS!K$3,'BY-Demands'!$J$5:$AK$14,MATCH($E74,'BY-Demands'!$I$5:$I$14,0),FALSE)*HLOOKUP(REG_TRA_DEMANDS!$F74,DEMANDS!$G$2:$CK$25,MATCH($E74,DEMANDS!$E$2:$E$25,0),FALSE)/HLOOKUP(2018,DEMANDS!$G$2:$CK$25,MATCH($E74,DEMANDS!$E$2:$E$25,0),FALSE)</f>
        <v>0.46282687968365444</v>
      </c>
      <c r="L74" s="18">
        <f>HLOOKUP(REG_TRA_DEMANDS!L$3,'BY-Demands'!$J$5:$AK$14,MATCH($E74,'BY-Demands'!$I$5:$I$14,0),FALSE)*HLOOKUP(REG_TRA_DEMANDS!$F74,DEMANDS!$G$2:$CK$25,MATCH($E74,DEMANDS!$E$2:$E$25,0),FALSE)/HLOOKUP(2018,DEMANDS!$G$2:$CK$25,MATCH($E74,DEMANDS!$E$2:$E$25,0),FALSE)</f>
        <v>0.23831523764782703</v>
      </c>
      <c r="M74" s="18">
        <f>HLOOKUP(REG_TRA_DEMANDS!M$3,'BY-Demands'!$J$5:$AK$14,MATCH($E74,'BY-Demands'!$I$5:$I$14,0),FALSE)*HLOOKUP(REG_TRA_DEMANDS!$F74,DEMANDS!$G$2:$CK$25,MATCH($E74,DEMANDS!$E$2:$E$25,0),FALSE)/HLOOKUP(2018,DEMANDS!$G$2:$CK$25,MATCH($E74,DEMANDS!$E$2:$E$25,0),FALSE)</f>
        <v>0.64756180358441717</v>
      </c>
      <c r="N74" s="18">
        <f>HLOOKUP(REG_TRA_DEMANDS!N$3,'BY-Demands'!$J$5:$AK$14,MATCH($E74,'BY-Demands'!$I$5:$I$14,0),FALSE)*HLOOKUP(REG_TRA_DEMANDS!$F74,DEMANDS!$G$2:$CK$25,MATCH($E74,DEMANDS!$E$2:$E$25,0),FALSE)/HLOOKUP(2018,DEMANDS!$G$2:$CK$25,MATCH($E74,DEMANDS!$E$2:$E$25,0),FALSE)</f>
        <v>1.1011878642023973</v>
      </c>
      <c r="O74" s="18">
        <f>HLOOKUP(REG_TRA_DEMANDS!O$3,'BY-Demands'!$J$5:$AK$14,MATCH($E74,'BY-Demands'!$I$5:$I$14,0),FALSE)*HLOOKUP(REG_TRA_DEMANDS!$F74,DEMANDS!$G$2:$CK$25,MATCH($E74,DEMANDS!$E$2:$E$25,0),FALSE)/HLOOKUP(2018,DEMANDS!$G$2:$CK$25,MATCH($E74,DEMANDS!$E$2:$E$25,0),FALSE)</f>
        <v>0.47463127747284584</v>
      </c>
      <c r="P74" s="18">
        <f>HLOOKUP(REG_TRA_DEMANDS!P$3,'BY-Demands'!$J$5:$AK$14,MATCH($E74,'BY-Demands'!$I$5:$I$14,0),FALSE)*HLOOKUP(REG_TRA_DEMANDS!$F74,DEMANDS!$G$2:$CK$25,MATCH($E74,DEMANDS!$E$2:$E$25,0),FALSE)/HLOOKUP(2018,DEMANDS!$G$2:$CK$25,MATCH($E74,DEMANDS!$E$2:$E$25,0),FALSE)</f>
        <v>0.52600043154233644</v>
      </c>
      <c r="Q74" s="18">
        <f>HLOOKUP(REG_TRA_DEMANDS!Q$3,'BY-Demands'!$J$5:$AK$14,MATCH($E74,'BY-Demands'!$I$5:$I$14,0),FALSE)*HLOOKUP(REG_TRA_DEMANDS!$F74,DEMANDS!$G$2:$CK$25,MATCH($E74,DEMANDS!$E$2:$E$25,0),FALSE)/HLOOKUP(2018,DEMANDS!$G$2:$CK$25,MATCH($E74,DEMANDS!$E$2:$E$25,0),FALSE)</f>
        <v>0.93490793424159291</v>
      </c>
      <c r="R74" s="18">
        <f>HLOOKUP(REG_TRA_DEMANDS!R$3,'BY-Demands'!$J$5:$AK$14,MATCH($E74,'BY-Demands'!$I$5:$I$14,0),FALSE)*HLOOKUP(REG_TRA_DEMANDS!$F74,DEMANDS!$G$2:$CK$25,MATCH($E74,DEMANDS!$E$2:$E$25,0),FALSE)/HLOOKUP(2018,DEMANDS!$G$2:$CK$25,MATCH($E74,DEMANDS!$E$2:$E$25,0),FALSE)</f>
        <v>0.80056562389084951</v>
      </c>
      <c r="S74" s="18">
        <f>HLOOKUP(REG_TRA_DEMANDS!S$3,'BY-Demands'!$J$5:$AK$14,MATCH($E74,'BY-Demands'!$I$5:$I$14,0),FALSE)*HLOOKUP(REG_TRA_DEMANDS!$F74,DEMANDS!$G$2:$CK$25,MATCH($E74,DEMANDS!$E$2:$E$25,0),FALSE)/HLOOKUP(2018,DEMANDS!$G$2:$CK$25,MATCH($E74,DEMANDS!$E$2:$E$25,0),FALSE)</f>
        <v>0.71778872911756797</v>
      </c>
      <c r="T74" s="18">
        <f>HLOOKUP(REG_TRA_DEMANDS!T$3,'BY-Demands'!$J$5:$AK$14,MATCH($E74,'BY-Demands'!$I$5:$I$14,0),FALSE)*HLOOKUP(REG_TRA_DEMANDS!$F74,DEMANDS!$G$2:$CK$25,MATCH($E74,DEMANDS!$E$2:$E$25,0),FALSE)/HLOOKUP(2018,DEMANDS!$G$2:$CK$25,MATCH($E74,DEMANDS!$E$2:$E$25,0),FALSE)</f>
        <v>2.9268591438394878</v>
      </c>
      <c r="U74" s="18">
        <f>HLOOKUP(REG_TRA_DEMANDS!U$3,'BY-Demands'!$J$5:$AK$14,MATCH($E74,'BY-Demands'!$I$5:$I$14,0),FALSE)*HLOOKUP(REG_TRA_DEMANDS!$F74,DEMANDS!$G$2:$CK$25,MATCH($E74,DEMANDS!$E$2:$E$25,0),FALSE)/HLOOKUP(2018,DEMANDS!$G$2:$CK$25,MATCH($E74,DEMANDS!$E$2:$E$25,0),FALSE)</f>
        <v>0.97336919810849198</v>
      </c>
      <c r="V74" s="18">
        <f>HLOOKUP(REG_TRA_DEMANDS!V$3,'BY-Demands'!$J$5:$AK$14,MATCH($E74,'BY-Demands'!$I$5:$I$14,0),FALSE)*HLOOKUP(REG_TRA_DEMANDS!$F74,DEMANDS!$G$2:$CK$25,MATCH($E74,DEMANDS!$E$2:$E$25,0),FALSE)/HLOOKUP(2018,DEMANDS!$G$2:$CK$25,MATCH($E74,DEMANDS!$E$2:$E$25,0),FALSE)</f>
        <v>1.0782758193492945</v>
      </c>
      <c r="W74" s="18">
        <f>HLOOKUP(REG_TRA_DEMANDS!W$3,'BY-Demands'!$J$5:$AK$14,MATCH($E74,'BY-Demands'!$I$5:$I$14,0),FALSE)*HLOOKUP(REG_TRA_DEMANDS!$F74,DEMANDS!$G$2:$CK$25,MATCH($E74,DEMANDS!$E$2:$E$25,0),FALSE)/HLOOKUP(2018,DEMANDS!$G$2:$CK$25,MATCH($E74,DEMANDS!$E$2:$E$25,0),FALSE)</f>
        <v>1.043156962253335</v>
      </c>
      <c r="X74" s="18">
        <f>HLOOKUP(REG_TRA_DEMANDS!X$3,'BY-Demands'!$J$5:$AK$14,MATCH($E74,'BY-Demands'!$I$5:$I$14,0),FALSE)*HLOOKUP(REG_TRA_DEMANDS!$F74,DEMANDS!$G$2:$CK$25,MATCH($E74,DEMANDS!$E$2:$E$25,0),FALSE)/HLOOKUP(2018,DEMANDS!$G$2:$CK$25,MATCH($E74,DEMANDS!$E$2:$E$25,0),FALSE)</f>
        <v>0.65692579995690792</v>
      </c>
      <c r="Y74" s="18">
        <f>HLOOKUP(REG_TRA_DEMANDS!Y$3,'BY-Demands'!$J$5:$AK$14,MATCH($E74,'BY-Demands'!$I$5:$I$14,0),FALSE)*HLOOKUP(REG_TRA_DEMANDS!$F74,DEMANDS!$G$2:$CK$25,MATCH($E74,DEMANDS!$E$2:$E$25,0),FALSE)/HLOOKUP(2018,DEMANDS!$G$2:$CK$25,MATCH($E74,DEMANDS!$E$2:$E$25,0),FALSE)</f>
        <v>1.4925251147532219</v>
      </c>
      <c r="Z74" s="18">
        <f>HLOOKUP(REG_TRA_DEMANDS!Z$3,'BY-Demands'!$J$5:$AK$14,MATCH($E74,'BY-Demands'!$I$5:$I$14,0),FALSE)*HLOOKUP(REG_TRA_DEMANDS!$F74,DEMANDS!$G$2:$CK$25,MATCH($E74,DEMANDS!$E$2:$E$25,0),FALSE)/HLOOKUP(2018,DEMANDS!$G$2:$CK$25,MATCH($E74,DEMANDS!$E$2:$E$25,0),FALSE)</f>
        <v>0.19254759514957806</v>
      </c>
      <c r="AA74" s="18">
        <f>HLOOKUP(REG_TRA_DEMANDS!AA$3,'BY-Demands'!$J$5:$AK$14,MATCH($E74,'BY-Demands'!$I$5:$I$14,0),FALSE)*HLOOKUP(REG_TRA_DEMANDS!$F74,DEMANDS!$G$2:$CK$25,MATCH($E74,DEMANDS!$E$2:$E$25,0),FALSE)/HLOOKUP(2018,DEMANDS!$G$2:$CK$25,MATCH($E74,DEMANDS!$E$2:$E$25,0),FALSE)</f>
        <v>0.82763251765553236</v>
      </c>
      <c r="AB74" s="18">
        <f>HLOOKUP(REG_TRA_DEMANDS!AB$3,'BY-Demands'!$J$5:$AK$14,MATCH($E74,'BY-Demands'!$I$5:$I$14,0),FALSE)*HLOOKUP(REG_TRA_DEMANDS!$F74,DEMANDS!$G$2:$CK$25,MATCH($E74,DEMANDS!$E$2:$E$25,0),FALSE)/HLOOKUP(2018,DEMANDS!$G$2:$CK$25,MATCH($E74,DEMANDS!$E$2:$E$25,0),FALSE)</f>
        <v>0.43381402241094136</v>
      </c>
      <c r="AC74" s="18">
        <f>HLOOKUP(REG_TRA_DEMANDS!AC$3,'BY-Demands'!$J$5:$AK$14,MATCH($E74,'BY-Demands'!$I$5:$I$14,0),FALSE)*HLOOKUP(REG_TRA_DEMANDS!$F74,DEMANDS!$G$2:$CK$25,MATCH($E74,DEMANDS!$E$2:$E$25,0),FALSE)/HLOOKUP(2018,DEMANDS!$G$2:$CK$25,MATCH($E74,DEMANDS!$E$2:$E$25,0),FALSE)</f>
        <v>0.36158715070136116</v>
      </c>
      <c r="AD74" s="18">
        <f>HLOOKUP(REG_TRA_DEMANDS!AD$3,'BY-Demands'!$J$5:$AK$14,MATCH($E74,'BY-Demands'!$I$5:$I$14,0),FALSE)*HLOOKUP(REG_TRA_DEMANDS!$F74,DEMANDS!$G$2:$CK$25,MATCH($E74,DEMANDS!$E$2:$E$25,0),FALSE)/HLOOKUP(2018,DEMANDS!$G$2:$CK$25,MATCH($E74,DEMANDS!$E$2:$E$25,0),FALSE)</f>
        <v>0.38671596385282092</v>
      </c>
      <c r="AE74" s="18">
        <f>HLOOKUP(REG_TRA_DEMANDS!AE$3,'BY-Demands'!$J$5:$AK$14,MATCH($E74,'BY-Demands'!$I$5:$I$14,0),FALSE)*HLOOKUP(REG_TRA_DEMANDS!$F74,DEMANDS!$G$2:$CK$25,MATCH($E74,DEMANDS!$E$2:$E$25,0),FALSE)/HLOOKUP(2018,DEMANDS!$G$2:$CK$25,MATCH($E74,DEMANDS!$E$2:$E$25,0),FALSE)</f>
        <v>0.71235902808994633</v>
      </c>
      <c r="AF74" s="18">
        <f>HLOOKUP(REG_TRA_DEMANDS!AF$3,'BY-Demands'!$J$5:$AK$14,MATCH($E74,'BY-Demands'!$I$5:$I$14,0),FALSE)*HLOOKUP(REG_TRA_DEMANDS!$F74,DEMANDS!$G$2:$CK$25,MATCH($E74,DEMANDS!$E$2:$E$25,0),FALSE)/HLOOKUP(2018,DEMANDS!$G$2:$CK$25,MATCH($E74,DEMANDS!$E$2:$E$25,0),FALSE)</f>
        <v>0.41149150850255162</v>
      </c>
    </row>
    <row r="75" spans="4:32" ht="14.4">
      <c r="D75" t="s">
        <v>6</v>
      </c>
      <c r="E75" t="str">
        <f>DEMANDS!$E$19</f>
        <v>TRAPL</v>
      </c>
      <c r="F75">
        <v>2037</v>
      </c>
      <c r="G75" s="18">
        <f>HLOOKUP(REG_TRA_DEMANDS!G$3,'BY-Demands'!$J$5:$AK$14,MATCH($E75,'BY-Demands'!$I$5:$I$14,0),FALSE)*HLOOKUP(REG_TRA_DEMANDS!$F75,DEMANDS!$G$2:$CK$25,MATCH($E75,DEMANDS!$E$2:$E$25,0),FALSE)/HLOOKUP(2018,DEMANDS!$G$2:$CK$25,MATCH($E75,DEMANDS!$E$2:$E$25,0),FALSE)</f>
        <v>0.36838265429869904</v>
      </c>
      <c r="H75" s="18">
        <f>HLOOKUP(REG_TRA_DEMANDS!H$3,'BY-Demands'!$J$5:$AK$14,MATCH($E75,'BY-Demands'!$I$5:$I$14,0),FALSE)*HLOOKUP(REG_TRA_DEMANDS!$F75,DEMANDS!$G$2:$CK$25,MATCH($E75,DEMANDS!$E$2:$E$25,0),FALSE)/HLOOKUP(2018,DEMANDS!$G$2:$CK$25,MATCH($E75,DEMANDS!$E$2:$E$25,0),FALSE)</f>
        <v>6.5625017225861981</v>
      </c>
      <c r="I75" s="18">
        <f>HLOOKUP(REG_TRA_DEMANDS!I$3,'BY-Demands'!$J$5:$AK$14,MATCH($E75,'BY-Demands'!$I$5:$I$14,0),FALSE)*HLOOKUP(REG_TRA_DEMANDS!$F75,DEMANDS!$G$2:$CK$25,MATCH($E75,DEMANDS!$E$2:$E$25,0),FALSE)/HLOOKUP(2018,DEMANDS!$G$2:$CK$25,MATCH($E75,DEMANDS!$E$2:$E$25,0),FALSE)</f>
        <v>1.3259458649534341</v>
      </c>
      <c r="J75" s="18">
        <f>HLOOKUP(REG_TRA_DEMANDS!J$3,'BY-Demands'!$J$5:$AK$14,MATCH($E75,'BY-Demands'!$I$5:$I$14,0),FALSE)*HLOOKUP(REG_TRA_DEMANDS!$F75,DEMANDS!$G$2:$CK$25,MATCH($E75,DEMANDS!$E$2:$E$25,0),FALSE)/HLOOKUP(2018,DEMANDS!$G$2:$CK$25,MATCH($E75,DEMANDS!$E$2:$E$25,0),FALSE)</f>
        <v>0.63849609518928985</v>
      </c>
      <c r="K75" s="18">
        <f>HLOOKUP(REG_TRA_DEMANDS!K$3,'BY-Demands'!$J$5:$AK$14,MATCH($E75,'BY-Demands'!$I$5:$I$14,0),FALSE)*HLOOKUP(REG_TRA_DEMANDS!$F75,DEMANDS!$G$2:$CK$25,MATCH($E75,DEMANDS!$E$2:$E$25,0),FALSE)/HLOOKUP(2018,DEMANDS!$G$2:$CK$25,MATCH($E75,DEMANDS!$E$2:$E$25,0),FALSE)</f>
        <v>0.47439755167574577</v>
      </c>
      <c r="L75" s="18">
        <f>HLOOKUP(REG_TRA_DEMANDS!L$3,'BY-Demands'!$J$5:$AK$14,MATCH($E75,'BY-Demands'!$I$5:$I$14,0),FALSE)*HLOOKUP(REG_TRA_DEMANDS!$F75,DEMANDS!$G$2:$CK$25,MATCH($E75,DEMANDS!$E$2:$E$25,0),FALSE)/HLOOKUP(2018,DEMANDS!$G$2:$CK$25,MATCH($E75,DEMANDS!$E$2:$E$25,0),FALSE)</f>
        <v>0.24427311858902268</v>
      </c>
      <c r="M75" s="18">
        <f>HLOOKUP(REG_TRA_DEMANDS!M$3,'BY-Demands'!$J$5:$AK$14,MATCH($E75,'BY-Demands'!$I$5:$I$14,0),FALSE)*HLOOKUP(REG_TRA_DEMANDS!$F75,DEMANDS!$G$2:$CK$25,MATCH($E75,DEMANDS!$E$2:$E$25,0),FALSE)/HLOOKUP(2018,DEMANDS!$G$2:$CK$25,MATCH($E75,DEMANDS!$E$2:$E$25,0),FALSE)</f>
        <v>0.66375084867402745</v>
      </c>
      <c r="N75" s="18">
        <f>HLOOKUP(REG_TRA_DEMANDS!N$3,'BY-Demands'!$J$5:$AK$14,MATCH($E75,'BY-Demands'!$I$5:$I$14,0),FALSE)*HLOOKUP(REG_TRA_DEMANDS!$F75,DEMANDS!$G$2:$CK$25,MATCH($E75,DEMANDS!$E$2:$E$25,0),FALSE)/HLOOKUP(2018,DEMANDS!$G$2:$CK$25,MATCH($E75,DEMANDS!$E$2:$E$25,0),FALSE)</f>
        <v>1.1287175608074571</v>
      </c>
      <c r="O75" s="18">
        <f>HLOOKUP(REG_TRA_DEMANDS!O$3,'BY-Demands'!$J$5:$AK$14,MATCH($E75,'BY-Demands'!$I$5:$I$14,0),FALSE)*HLOOKUP(REG_TRA_DEMANDS!$F75,DEMANDS!$G$2:$CK$25,MATCH($E75,DEMANDS!$E$2:$E$25,0),FALSE)/HLOOKUP(2018,DEMANDS!$G$2:$CK$25,MATCH($E75,DEMANDS!$E$2:$E$25,0),FALSE)</f>
        <v>0.48649705940966692</v>
      </c>
      <c r="P75" s="18">
        <f>HLOOKUP(REG_TRA_DEMANDS!P$3,'BY-Demands'!$J$5:$AK$14,MATCH($E75,'BY-Demands'!$I$5:$I$14,0),FALSE)*HLOOKUP(REG_TRA_DEMANDS!$F75,DEMANDS!$G$2:$CK$25,MATCH($E75,DEMANDS!$E$2:$E$25,0),FALSE)/HLOOKUP(2018,DEMANDS!$G$2:$CK$25,MATCH($E75,DEMANDS!$E$2:$E$25,0),FALSE)</f>
        <v>0.53915044233089482</v>
      </c>
      <c r="Q75" s="18">
        <f>HLOOKUP(REG_TRA_DEMANDS!Q$3,'BY-Demands'!$J$5:$AK$14,MATCH($E75,'BY-Demands'!$I$5:$I$14,0),FALSE)*HLOOKUP(REG_TRA_DEMANDS!$F75,DEMANDS!$G$2:$CK$25,MATCH($E75,DEMANDS!$E$2:$E$25,0),FALSE)/HLOOKUP(2018,DEMANDS!$G$2:$CK$25,MATCH($E75,DEMANDS!$E$2:$E$25,0),FALSE)</f>
        <v>0.95828063259763274</v>
      </c>
      <c r="R75" s="18">
        <f>HLOOKUP(REG_TRA_DEMANDS!R$3,'BY-Demands'!$J$5:$AK$14,MATCH($E75,'BY-Demands'!$I$5:$I$14,0),FALSE)*HLOOKUP(REG_TRA_DEMANDS!$F75,DEMANDS!$G$2:$CK$25,MATCH($E75,DEMANDS!$E$2:$E$25,0),FALSE)/HLOOKUP(2018,DEMANDS!$G$2:$CK$25,MATCH($E75,DEMANDS!$E$2:$E$25,0),FALSE)</f>
        <v>0.82057976448812076</v>
      </c>
      <c r="S75" s="18">
        <f>HLOOKUP(REG_TRA_DEMANDS!S$3,'BY-Demands'!$J$5:$AK$14,MATCH($E75,'BY-Demands'!$I$5:$I$14,0),FALSE)*HLOOKUP(REG_TRA_DEMANDS!$F75,DEMANDS!$G$2:$CK$25,MATCH($E75,DEMANDS!$E$2:$E$25,0),FALSE)/HLOOKUP(2018,DEMANDS!$G$2:$CK$25,MATCH($E75,DEMANDS!$E$2:$E$25,0),FALSE)</f>
        <v>0.73573344734550716</v>
      </c>
      <c r="T75" s="18">
        <f>HLOOKUP(REG_TRA_DEMANDS!T$3,'BY-Demands'!$J$5:$AK$14,MATCH($E75,'BY-Demands'!$I$5:$I$14,0),FALSE)*HLOOKUP(REG_TRA_DEMANDS!$F75,DEMANDS!$G$2:$CK$25,MATCH($E75,DEMANDS!$E$2:$E$25,0),FALSE)/HLOOKUP(2018,DEMANDS!$G$2:$CK$25,MATCH($E75,DEMANDS!$E$2:$E$25,0),FALSE)</f>
        <v>3.0000306224354745</v>
      </c>
      <c r="U75" s="18">
        <f>HLOOKUP(REG_TRA_DEMANDS!U$3,'BY-Demands'!$J$5:$AK$14,MATCH($E75,'BY-Demands'!$I$5:$I$14,0),FALSE)*HLOOKUP(REG_TRA_DEMANDS!$F75,DEMANDS!$G$2:$CK$25,MATCH($E75,DEMANDS!$E$2:$E$25,0),FALSE)/HLOOKUP(2018,DEMANDS!$G$2:$CK$25,MATCH($E75,DEMANDS!$E$2:$E$25,0),FALSE)</f>
        <v>0.99770342806120416</v>
      </c>
      <c r="V75" s="18">
        <f>HLOOKUP(REG_TRA_DEMANDS!V$3,'BY-Demands'!$J$5:$AK$14,MATCH($E75,'BY-Demands'!$I$5:$I$14,0),FALSE)*HLOOKUP(REG_TRA_DEMANDS!$F75,DEMANDS!$G$2:$CK$25,MATCH($E75,DEMANDS!$E$2:$E$25,0),FALSE)/HLOOKUP(2018,DEMANDS!$G$2:$CK$25,MATCH($E75,DEMANDS!$E$2:$E$25,0),FALSE)</f>
        <v>1.1052327148330268</v>
      </c>
      <c r="W75" s="18">
        <f>HLOOKUP(REG_TRA_DEMANDS!W$3,'BY-Demands'!$J$5:$AK$14,MATCH($E75,'BY-Demands'!$I$5:$I$14,0),FALSE)*HLOOKUP(REG_TRA_DEMANDS!$F75,DEMANDS!$G$2:$CK$25,MATCH($E75,DEMANDS!$E$2:$E$25,0),FALSE)/HLOOKUP(2018,DEMANDS!$G$2:$CK$25,MATCH($E75,DEMANDS!$E$2:$E$25,0),FALSE)</f>
        <v>1.0692358863096685</v>
      </c>
      <c r="X75" s="18">
        <f>HLOOKUP(REG_TRA_DEMANDS!X$3,'BY-Demands'!$J$5:$AK$14,MATCH($E75,'BY-Demands'!$I$5:$I$14,0),FALSE)*HLOOKUP(REG_TRA_DEMANDS!$F75,DEMANDS!$G$2:$CK$25,MATCH($E75,DEMANDS!$E$2:$E$25,0),FALSE)/HLOOKUP(2018,DEMANDS!$G$2:$CK$25,MATCH($E75,DEMANDS!$E$2:$E$25,0),FALSE)</f>
        <v>0.67334894495583053</v>
      </c>
      <c r="Y75" s="18">
        <f>HLOOKUP(REG_TRA_DEMANDS!Y$3,'BY-Demands'!$J$5:$AK$14,MATCH($E75,'BY-Demands'!$I$5:$I$14,0),FALSE)*HLOOKUP(REG_TRA_DEMANDS!$F75,DEMANDS!$G$2:$CK$25,MATCH($E75,DEMANDS!$E$2:$E$25,0),FALSE)/HLOOKUP(2018,DEMANDS!$G$2:$CK$25,MATCH($E75,DEMANDS!$E$2:$E$25,0),FALSE)</f>
        <v>1.5298382426220525</v>
      </c>
      <c r="Z75" s="18">
        <f>HLOOKUP(REG_TRA_DEMANDS!Z$3,'BY-Demands'!$J$5:$AK$14,MATCH($E75,'BY-Demands'!$I$5:$I$14,0),FALSE)*HLOOKUP(REG_TRA_DEMANDS!$F75,DEMANDS!$G$2:$CK$25,MATCH($E75,DEMANDS!$E$2:$E$25,0),FALSE)/HLOOKUP(2018,DEMANDS!$G$2:$CK$25,MATCH($E75,DEMANDS!$E$2:$E$25,0),FALSE)</f>
        <v>0.19736128502831751</v>
      </c>
      <c r="AA75" s="18">
        <f>HLOOKUP(REG_TRA_DEMANDS!AA$3,'BY-Demands'!$J$5:$AK$14,MATCH($E75,'BY-Demands'!$I$5:$I$14,0),FALSE)*HLOOKUP(REG_TRA_DEMANDS!$F75,DEMANDS!$G$2:$CK$25,MATCH($E75,DEMANDS!$E$2:$E$25,0),FALSE)/HLOOKUP(2018,DEMANDS!$G$2:$CK$25,MATCH($E75,DEMANDS!$E$2:$E$25,0),FALSE)</f>
        <v>0.84832333059692067</v>
      </c>
      <c r="AB75" s="18">
        <f>HLOOKUP(REG_TRA_DEMANDS!AB$3,'BY-Demands'!$J$5:$AK$14,MATCH($E75,'BY-Demands'!$I$5:$I$14,0),FALSE)*HLOOKUP(REG_TRA_DEMANDS!$F75,DEMANDS!$G$2:$CK$25,MATCH($E75,DEMANDS!$E$2:$E$25,0),FALSE)/HLOOKUP(2018,DEMANDS!$G$2:$CK$25,MATCH($E75,DEMANDS!$E$2:$E$25,0),FALSE)</f>
        <v>0.44465937297121488</v>
      </c>
      <c r="AC75" s="18">
        <f>HLOOKUP(REG_TRA_DEMANDS!AC$3,'BY-Demands'!$J$5:$AK$14,MATCH($E75,'BY-Demands'!$I$5:$I$14,0),FALSE)*HLOOKUP(REG_TRA_DEMANDS!$F75,DEMANDS!$G$2:$CK$25,MATCH($E75,DEMANDS!$E$2:$E$25,0),FALSE)/HLOOKUP(2018,DEMANDS!$G$2:$CK$25,MATCH($E75,DEMANDS!$E$2:$E$25,0),FALSE)</f>
        <v>0.37062682946889514</v>
      </c>
      <c r="AD75" s="18">
        <f>HLOOKUP(REG_TRA_DEMANDS!AD$3,'BY-Demands'!$J$5:$AK$14,MATCH($E75,'BY-Demands'!$I$5:$I$14,0),FALSE)*HLOOKUP(REG_TRA_DEMANDS!$F75,DEMANDS!$G$2:$CK$25,MATCH($E75,DEMANDS!$E$2:$E$25,0),FALSE)/HLOOKUP(2018,DEMANDS!$G$2:$CK$25,MATCH($E75,DEMANDS!$E$2:$E$25,0),FALSE)</f>
        <v>0.39638386294914146</v>
      </c>
      <c r="AE75" s="18">
        <f>HLOOKUP(REG_TRA_DEMANDS!AE$3,'BY-Demands'!$J$5:$AK$14,MATCH($E75,'BY-Demands'!$I$5:$I$14,0),FALSE)*HLOOKUP(REG_TRA_DEMANDS!$F75,DEMANDS!$G$2:$CK$25,MATCH($E75,DEMANDS!$E$2:$E$25,0),FALSE)/HLOOKUP(2018,DEMANDS!$G$2:$CK$25,MATCH($E75,DEMANDS!$E$2:$E$25,0),FALSE)</f>
        <v>0.73016800379219482</v>
      </c>
      <c r="AF75" s="18">
        <f>HLOOKUP(REG_TRA_DEMANDS!AF$3,'BY-Demands'!$J$5:$AK$14,MATCH($E75,'BY-Demands'!$I$5:$I$14,0),FALSE)*HLOOKUP(REG_TRA_DEMANDS!$F75,DEMANDS!$G$2:$CK$25,MATCH($E75,DEMANDS!$E$2:$E$25,0),FALSE)/HLOOKUP(2018,DEMANDS!$G$2:$CK$25,MATCH($E75,DEMANDS!$E$2:$E$25,0),FALSE)</f>
        <v>0.42177879621511538</v>
      </c>
    </row>
    <row r="76" spans="4:32" ht="14.4">
      <c r="D76" t="s">
        <v>6</v>
      </c>
      <c r="E76" t="str">
        <f>DEMANDS!$E$19</f>
        <v>TRAPL</v>
      </c>
      <c r="F76">
        <v>2038</v>
      </c>
      <c r="G76" s="18">
        <f>HLOOKUP(REG_TRA_DEMANDS!G$3,'BY-Demands'!$J$5:$AK$14,MATCH($E76,'BY-Demands'!$I$5:$I$14,0),FALSE)*HLOOKUP(REG_TRA_DEMANDS!$F76,DEMANDS!$G$2:$CK$25,MATCH($E76,DEMANDS!$E$2:$E$25,0),FALSE)/HLOOKUP(2018,DEMANDS!$G$2:$CK$25,MATCH($E76,DEMANDS!$E$2:$E$25,0),FALSE)</f>
        <v>0.37759222065616654</v>
      </c>
      <c r="H76" s="18">
        <f>HLOOKUP(REG_TRA_DEMANDS!H$3,'BY-Demands'!$J$5:$AK$14,MATCH($E76,'BY-Demands'!$I$5:$I$14,0),FALSE)*HLOOKUP(REG_TRA_DEMANDS!$F76,DEMANDS!$G$2:$CK$25,MATCH($E76,DEMANDS!$E$2:$E$25,0),FALSE)/HLOOKUP(2018,DEMANDS!$G$2:$CK$25,MATCH($E76,DEMANDS!$E$2:$E$25,0),FALSE)</f>
        <v>6.7265642656508531</v>
      </c>
      <c r="I76" s="18">
        <f>HLOOKUP(REG_TRA_DEMANDS!I$3,'BY-Demands'!$J$5:$AK$14,MATCH($E76,'BY-Demands'!$I$5:$I$14,0),FALSE)*HLOOKUP(REG_TRA_DEMANDS!$F76,DEMANDS!$G$2:$CK$25,MATCH($E76,DEMANDS!$E$2:$E$25,0),FALSE)/HLOOKUP(2018,DEMANDS!$G$2:$CK$25,MATCH($E76,DEMANDS!$E$2:$E$25,0),FALSE)</f>
        <v>1.3590945115772699</v>
      </c>
      <c r="J76" s="18">
        <f>HLOOKUP(REG_TRA_DEMANDS!J$3,'BY-Demands'!$J$5:$AK$14,MATCH($E76,'BY-Demands'!$I$5:$I$14,0),FALSE)*HLOOKUP(REG_TRA_DEMANDS!$F76,DEMANDS!$G$2:$CK$25,MATCH($E76,DEMANDS!$E$2:$E$25,0),FALSE)/HLOOKUP(2018,DEMANDS!$G$2:$CK$25,MATCH($E76,DEMANDS!$E$2:$E$25,0),FALSE)</f>
        <v>0.65445849756902208</v>
      </c>
      <c r="K76" s="18">
        <f>HLOOKUP(REG_TRA_DEMANDS!K$3,'BY-Demands'!$J$5:$AK$14,MATCH($E76,'BY-Demands'!$I$5:$I$14,0),FALSE)*HLOOKUP(REG_TRA_DEMANDS!$F76,DEMANDS!$G$2:$CK$25,MATCH($E76,DEMANDS!$E$2:$E$25,0),FALSE)/HLOOKUP(2018,DEMANDS!$G$2:$CK$25,MATCH($E76,DEMANDS!$E$2:$E$25,0),FALSE)</f>
        <v>0.48625749046763939</v>
      </c>
      <c r="L76" s="18">
        <f>HLOOKUP(REG_TRA_DEMANDS!L$3,'BY-Demands'!$J$5:$AK$14,MATCH($E76,'BY-Demands'!$I$5:$I$14,0),FALSE)*HLOOKUP(REG_TRA_DEMANDS!$F76,DEMANDS!$G$2:$CK$25,MATCH($E76,DEMANDS!$E$2:$E$25,0),FALSE)/HLOOKUP(2018,DEMANDS!$G$2:$CK$25,MATCH($E76,DEMANDS!$E$2:$E$25,0),FALSE)</f>
        <v>0.25037994655374829</v>
      </c>
      <c r="M76" s="18">
        <f>HLOOKUP(REG_TRA_DEMANDS!M$3,'BY-Demands'!$J$5:$AK$14,MATCH($E76,'BY-Demands'!$I$5:$I$14,0),FALSE)*HLOOKUP(REG_TRA_DEMANDS!$F76,DEMANDS!$G$2:$CK$25,MATCH($E76,DEMANDS!$E$2:$E$25,0),FALSE)/HLOOKUP(2018,DEMANDS!$G$2:$CK$25,MATCH($E76,DEMANDS!$E$2:$E$25,0),FALSE)</f>
        <v>0.68034461989087824</v>
      </c>
      <c r="N76" s="18">
        <f>HLOOKUP(REG_TRA_DEMANDS!N$3,'BY-Demands'!$J$5:$AK$14,MATCH($E76,'BY-Demands'!$I$5:$I$14,0),FALSE)*HLOOKUP(REG_TRA_DEMANDS!$F76,DEMANDS!$G$2:$CK$25,MATCH($E76,DEMANDS!$E$2:$E$25,0),FALSE)/HLOOKUP(2018,DEMANDS!$G$2:$CK$25,MATCH($E76,DEMANDS!$E$2:$E$25,0),FALSE)</f>
        <v>1.1569354998276435</v>
      </c>
      <c r="O76" s="18">
        <f>HLOOKUP(REG_TRA_DEMANDS!O$3,'BY-Demands'!$J$5:$AK$14,MATCH($E76,'BY-Demands'!$I$5:$I$14,0),FALSE)*HLOOKUP(REG_TRA_DEMANDS!$F76,DEMANDS!$G$2:$CK$25,MATCH($E76,DEMANDS!$E$2:$E$25,0),FALSE)/HLOOKUP(2018,DEMANDS!$G$2:$CK$25,MATCH($E76,DEMANDS!$E$2:$E$25,0),FALSE)</f>
        <v>0.49865948589490855</v>
      </c>
      <c r="P76" s="18">
        <f>HLOOKUP(REG_TRA_DEMANDS!P$3,'BY-Demands'!$J$5:$AK$14,MATCH($E76,'BY-Demands'!$I$5:$I$14,0),FALSE)*HLOOKUP(REG_TRA_DEMANDS!$F76,DEMANDS!$G$2:$CK$25,MATCH($E76,DEMANDS!$E$2:$E$25,0),FALSE)/HLOOKUP(2018,DEMANDS!$G$2:$CK$25,MATCH($E76,DEMANDS!$E$2:$E$25,0),FALSE)</f>
        <v>0.5526292033891671</v>
      </c>
      <c r="Q76" s="18">
        <f>HLOOKUP(REG_TRA_DEMANDS!Q$3,'BY-Demands'!$J$5:$AK$14,MATCH($E76,'BY-Demands'!$I$5:$I$14,0),FALSE)*HLOOKUP(REG_TRA_DEMANDS!$F76,DEMANDS!$G$2:$CK$25,MATCH($E76,DEMANDS!$E$2:$E$25,0),FALSE)/HLOOKUP(2018,DEMANDS!$G$2:$CK$25,MATCH($E76,DEMANDS!$E$2:$E$25,0),FALSE)</f>
        <v>0.98223764841257344</v>
      </c>
      <c r="R76" s="18">
        <f>HLOOKUP(REG_TRA_DEMANDS!R$3,'BY-Demands'!$J$5:$AK$14,MATCH($E76,'BY-Demands'!$I$5:$I$14,0),FALSE)*HLOOKUP(REG_TRA_DEMANDS!$F76,DEMANDS!$G$2:$CK$25,MATCH($E76,DEMANDS!$E$2:$E$25,0),FALSE)/HLOOKUP(2018,DEMANDS!$G$2:$CK$25,MATCH($E76,DEMANDS!$E$2:$E$25,0),FALSE)</f>
        <v>0.84109425860032383</v>
      </c>
      <c r="S76" s="18">
        <f>HLOOKUP(REG_TRA_DEMANDS!S$3,'BY-Demands'!$J$5:$AK$14,MATCH($E76,'BY-Demands'!$I$5:$I$14,0),FALSE)*HLOOKUP(REG_TRA_DEMANDS!$F76,DEMANDS!$G$2:$CK$25,MATCH($E76,DEMANDS!$E$2:$E$25,0),FALSE)/HLOOKUP(2018,DEMANDS!$G$2:$CK$25,MATCH($E76,DEMANDS!$E$2:$E$25,0),FALSE)</f>
        <v>0.75412678352914475</v>
      </c>
      <c r="T76" s="18">
        <f>HLOOKUP(REG_TRA_DEMANDS!T$3,'BY-Demands'!$J$5:$AK$14,MATCH($E76,'BY-Demands'!$I$5:$I$14,0),FALSE)*HLOOKUP(REG_TRA_DEMANDS!$F76,DEMANDS!$G$2:$CK$25,MATCH($E76,DEMANDS!$E$2:$E$25,0),FALSE)/HLOOKUP(2018,DEMANDS!$G$2:$CK$25,MATCH($E76,DEMANDS!$E$2:$E$25,0),FALSE)</f>
        <v>3.0750313879963613</v>
      </c>
      <c r="U76" s="18">
        <f>HLOOKUP(REG_TRA_DEMANDS!U$3,'BY-Demands'!$J$5:$AK$14,MATCH($E76,'BY-Demands'!$I$5:$I$14,0),FALSE)*HLOOKUP(REG_TRA_DEMANDS!$F76,DEMANDS!$G$2:$CK$25,MATCH($E76,DEMANDS!$E$2:$E$25,0),FALSE)/HLOOKUP(2018,DEMANDS!$G$2:$CK$25,MATCH($E76,DEMANDS!$E$2:$E$25,0),FALSE)</f>
        <v>1.0226460137627342</v>
      </c>
      <c r="V76" s="18">
        <f>HLOOKUP(REG_TRA_DEMANDS!V$3,'BY-Demands'!$J$5:$AK$14,MATCH($E76,'BY-Demands'!$I$5:$I$14,0),FALSE)*HLOOKUP(REG_TRA_DEMANDS!$F76,DEMANDS!$G$2:$CK$25,MATCH($E76,DEMANDS!$E$2:$E$25,0),FALSE)/HLOOKUP(2018,DEMANDS!$G$2:$CK$25,MATCH($E76,DEMANDS!$E$2:$E$25,0),FALSE)</f>
        <v>1.1328635327038523</v>
      </c>
      <c r="W76" s="18">
        <f>HLOOKUP(REG_TRA_DEMANDS!W$3,'BY-Demands'!$J$5:$AK$14,MATCH($E76,'BY-Demands'!$I$5:$I$14,0),FALSE)*HLOOKUP(REG_TRA_DEMANDS!$F76,DEMANDS!$G$2:$CK$25,MATCH($E76,DEMANDS!$E$2:$E$25,0),FALSE)/HLOOKUP(2018,DEMANDS!$G$2:$CK$25,MATCH($E76,DEMANDS!$E$2:$E$25,0),FALSE)</f>
        <v>1.0959667834674101</v>
      </c>
      <c r="X76" s="18">
        <f>HLOOKUP(REG_TRA_DEMANDS!X$3,'BY-Demands'!$J$5:$AK$14,MATCH($E76,'BY-Demands'!$I$5:$I$14,0),FALSE)*HLOOKUP(REG_TRA_DEMANDS!$F76,DEMANDS!$G$2:$CK$25,MATCH($E76,DEMANDS!$E$2:$E$25,0),FALSE)/HLOOKUP(2018,DEMANDS!$G$2:$CK$25,MATCH($E76,DEMANDS!$E$2:$E$25,0),FALSE)</f>
        <v>0.69018266857972632</v>
      </c>
      <c r="Y76" s="18">
        <f>HLOOKUP(REG_TRA_DEMANDS!Y$3,'BY-Demands'!$J$5:$AK$14,MATCH($E76,'BY-Demands'!$I$5:$I$14,0),FALSE)*HLOOKUP(REG_TRA_DEMANDS!$F76,DEMANDS!$G$2:$CK$25,MATCH($E76,DEMANDS!$E$2:$E$25,0),FALSE)/HLOOKUP(2018,DEMANDS!$G$2:$CK$25,MATCH($E76,DEMANDS!$E$2:$E$25,0),FALSE)</f>
        <v>1.5680841986876035</v>
      </c>
      <c r="Z76" s="18">
        <f>HLOOKUP(REG_TRA_DEMANDS!Z$3,'BY-Demands'!$J$5:$AK$14,MATCH($E76,'BY-Demands'!$I$5:$I$14,0),FALSE)*HLOOKUP(REG_TRA_DEMANDS!$F76,DEMANDS!$G$2:$CK$25,MATCH($E76,DEMANDS!$E$2:$E$25,0),FALSE)/HLOOKUP(2018,DEMANDS!$G$2:$CK$25,MATCH($E76,DEMANDS!$E$2:$E$25,0),FALSE)</f>
        <v>0.20229531715402543</v>
      </c>
      <c r="AA76" s="18">
        <f>HLOOKUP(REG_TRA_DEMANDS!AA$3,'BY-Demands'!$J$5:$AK$14,MATCH($E76,'BY-Demands'!$I$5:$I$14,0),FALSE)*HLOOKUP(REG_TRA_DEMANDS!$F76,DEMANDS!$G$2:$CK$25,MATCH($E76,DEMANDS!$E$2:$E$25,0),FALSE)/HLOOKUP(2018,DEMANDS!$G$2:$CK$25,MATCH($E76,DEMANDS!$E$2:$E$25,0),FALSE)</f>
        <v>0.86953141386184352</v>
      </c>
      <c r="AB76" s="18">
        <f>HLOOKUP(REG_TRA_DEMANDS!AB$3,'BY-Demands'!$J$5:$AK$14,MATCH($E76,'BY-Demands'!$I$5:$I$14,0),FALSE)*HLOOKUP(REG_TRA_DEMANDS!$F76,DEMANDS!$G$2:$CK$25,MATCH($E76,DEMANDS!$E$2:$E$25,0),FALSE)/HLOOKUP(2018,DEMANDS!$G$2:$CK$25,MATCH($E76,DEMANDS!$E$2:$E$25,0),FALSE)</f>
        <v>0.45577585729549519</v>
      </c>
      <c r="AC76" s="18">
        <f>HLOOKUP(REG_TRA_DEMANDS!AC$3,'BY-Demands'!$J$5:$AK$14,MATCH($E76,'BY-Demands'!$I$5:$I$14,0),FALSE)*HLOOKUP(REG_TRA_DEMANDS!$F76,DEMANDS!$G$2:$CK$25,MATCH($E76,DEMANDS!$E$2:$E$25,0),FALSE)/HLOOKUP(2018,DEMANDS!$G$2:$CK$25,MATCH($E76,DEMANDS!$E$2:$E$25,0),FALSE)</f>
        <v>0.37989250020561749</v>
      </c>
      <c r="AD76" s="18">
        <f>HLOOKUP(REG_TRA_DEMANDS!AD$3,'BY-Demands'!$J$5:$AK$14,MATCH($E76,'BY-Demands'!$I$5:$I$14,0),FALSE)*HLOOKUP(REG_TRA_DEMANDS!$F76,DEMANDS!$G$2:$CK$25,MATCH($E76,DEMANDS!$E$2:$E$25,0),FALSE)/HLOOKUP(2018,DEMANDS!$G$2:$CK$25,MATCH($E76,DEMANDS!$E$2:$E$25,0),FALSE)</f>
        <v>0.40629345952286994</v>
      </c>
      <c r="AE76" s="18">
        <f>HLOOKUP(REG_TRA_DEMANDS!AE$3,'BY-Demands'!$J$5:$AK$14,MATCH($E76,'BY-Demands'!$I$5:$I$14,0),FALSE)*HLOOKUP(REG_TRA_DEMANDS!$F76,DEMANDS!$G$2:$CK$25,MATCH($E76,DEMANDS!$E$2:$E$25,0),FALSE)/HLOOKUP(2018,DEMANDS!$G$2:$CK$25,MATCH($E76,DEMANDS!$E$2:$E$25,0),FALSE)</f>
        <v>0.74842220388699965</v>
      </c>
      <c r="AF76" s="18">
        <f>HLOOKUP(REG_TRA_DEMANDS!AF$3,'BY-Demands'!$J$5:$AK$14,MATCH($E76,'BY-Demands'!$I$5:$I$14,0),FALSE)*HLOOKUP(REG_TRA_DEMANDS!$F76,DEMANDS!$G$2:$CK$25,MATCH($E76,DEMANDS!$E$2:$E$25,0),FALSE)/HLOOKUP(2018,DEMANDS!$G$2:$CK$25,MATCH($E76,DEMANDS!$E$2:$E$25,0),FALSE)</f>
        <v>0.43232326612049321</v>
      </c>
    </row>
    <row r="77" spans="4:32" ht="14.4">
      <c r="D77" t="s">
        <v>6</v>
      </c>
      <c r="E77" t="str">
        <f>DEMANDS!$E$19</f>
        <v>TRAPL</v>
      </c>
      <c r="F77">
        <v>2039</v>
      </c>
      <c r="G77" s="18">
        <f>HLOOKUP(REG_TRA_DEMANDS!G$3,'BY-Demands'!$J$5:$AK$14,MATCH($E77,'BY-Demands'!$I$5:$I$14,0),FALSE)*HLOOKUP(REG_TRA_DEMANDS!$F77,DEMANDS!$G$2:$CK$25,MATCH($E77,DEMANDS!$E$2:$E$25,0),FALSE)/HLOOKUP(2018,DEMANDS!$G$2:$CK$25,MATCH($E77,DEMANDS!$E$2:$E$25,0),FALSE)</f>
        <v>0.38703202617257065</v>
      </c>
      <c r="H77" s="18">
        <f>HLOOKUP(REG_TRA_DEMANDS!H$3,'BY-Demands'!$J$5:$AK$14,MATCH($E77,'BY-Demands'!$I$5:$I$14,0),FALSE)*HLOOKUP(REG_TRA_DEMANDS!$F77,DEMANDS!$G$2:$CK$25,MATCH($E77,DEMANDS!$E$2:$E$25,0),FALSE)/HLOOKUP(2018,DEMANDS!$G$2:$CK$25,MATCH($E77,DEMANDS!$E$2:$E$25,0),FALSE)</f>
        <v>6.8947283722921231</v>
      </c>
      <c r="I77" s="18">
        <f>HLOOKUP(REG_TRA_DEMANDS!I$3,'BY-Demands'!$J$5:$AK$14,MATCH($E77,'BY-Demands'!$I$5:$I$14,0),FALSE)*HLOOKUP(REG_TRA_DEMANDS!$F77,DEMANDS!$G$2:$CK$25,MATCH($E77,DEMANDS!$E$2:$E$25,0),FALSE)/HLOOKUP(2018,DEMANDS!$G$2:$CK$25,MATCH($E77,DEMANDS!$E$2:$E$25,0),FALSE)</f>
        <v>1.3930718743667014</v>
      </c>
      <c r="J77" s="18">
        <f>HLOOKUP(REG_TRA_DEMANDS!J$3,'BY-Demands'!$J$5:$AK$14,MATCH($E77,'BY-Demands'!$I$5:$I$14,0),FALSE)*HLOOKUP(REG_TRA_DEMANDS!$F77,DEMANDS!$G$2:$CK$25,MATCH($E77,DEMANDS!$E$2:$E$25,0),FALSE)/HLOOKUP(2018,DEMANDS!$G$2:$CK$25,MATCH($E77,DEMANDS!$E$2:$E$25,0),FALSE)</f>
        <v>0.67081996000824762</v>
      </c>
      <c r="K77" s="18">
        <f>HLOOKUP(REG_TRA_DEMANDS!K$3,'BY-Demands'!$J$5:$AK$14,MATCH($E77,'BY-Demands'!$I$5:$I$14,0),FALSE)*HLOOKUP(REG_TRA_DEMANDS!$F77,DEMANDS!$G$2:$CK$25,MATCH($E77,DEMANDS!$E$2:$E$25,0),FALSE)/HLOOKUP(2018,DEMANDS!$G$2:$CK$25,MATCH($E77,DEMANDS!$E$2:$E$25,0),FALSE)</f>
        <v>0.49841392772933035</v>
      </c>
      <c r="L77" s="18">
        <f>HLOOKUP(REG_TRA_DEMANDS!L$3,'BY-Demands'!$J$5:$AK$14,MATCH($E77,'BY-Demands'!$I$5:$I$14,0),FALSE)*HLOOKUP(REG_TRA_DEMANDS!$F77,DEMANDS!$G$2:$CK$25,MATCH($E77,DEMANDS!$E$2:$E$25,0),FALSE)/HLOOKUP(2018,DEMANDS!$G$2:$CK$25,MATCH($E77,DEMANDS!$E$2:$E$25,0),FALSE)</f>
        <v>0.25663944521759191</v>
      </c>
      <c r="M77" s="18">
        <f>HLOOKUP(REG_TRA_DEMANDS!M$3,'BY-Demands'!$J$5:$AK$14,MATCH($E77,'BY-Demands'!$I$5:$I$14,0),FALSE)*HLOOKUP(REG_TRA_DEMANDS!$F77,DEMANDS!$G$2:$CK$25,MATCH($E77,DEMANDS!$E$2:$E$25,0),FALSE)/HLOOKUP(2018,DEMANDS!$G$2:$CK$25,MATCH($E77,DEMANDS!$E$2:$E$25,0),FALSE)</f>
        <v>0.69735323538815008</v>
      </c>
      <c r="N77" s="18">
        <f>HLOOKUP(REG_TRA_DEMANDS!N$3,'BY-Demands'!$J$5:$AK$14,MATCH($E77,'BY-Demands'!$I$5:$I$14,0),FALSE)*HLOOKUP(REG_TRA_DEMANDS!$F77,DEMANDS!$G$2:$CK$25,MATCH($E77,DEMANDS!$E$2:$E$25,0),FALSE)/HLOOKUP(2018,DEMANDS!$G$2:$CK$25,MATCH($E77,DEMANDS!$E$2:$E$25,0),FALSE)</f>
        <v>1.1858588873233344</v>
      </c>
      <c r="O77" s="18">
        <f>HLOOKUP(REG_TRA_DEMANDS!O$3,'BY-Demands'!$J$5:$AK$14,MATCH($E77,'BY-Demands'!$I$5:$I$14,0),FALSE)*HLOOKUP(REG_TRA_DEMANDS!$F77,DEMANDS!$G$2:$CK$25,MATCH($E77,DEMANDS!$E$2:$E$25,0),FALSE)/HLOOKUP(2018,DEMANDS!$G$2:$CK$25,MATCH($E77,DEMANDS!$E$2:$E$25,0),FALSE)</f>
        <v>0.51112597304228125</v>
      </c>
      <c r="P77" s="18">
        <f>HLOOKUP(REG_TRA_DEMANDS!P$3,'BY-Demands'!$J$5:$AK$14,MATCH($E77,'BY-Demands'!$I$5:$I$14,0),FALSE)*HLOOKUP(REG_TRA_DEMANDS!$F77,DEMANDS!$G$2:$CK$25,MATCH($E77,DEMANDS!$E$2:$E$25,0),FALSE)/HLOOKUP(2018,DEMANDS!$G$2:$CK$25,MATCH($E77,DEMANDS!$E$2:$E$25,0),FALSE)</f>
        <v>0.56644493347389624</v>
      </c>
      <c r="Q77" s="18">
        <f>HLOOKUP(REG_TRA_DEMANDS!Q$3,'BY-Demands'!$J$5:$AK$14,MATCH($E77,'BY-Demands'!$I$5:$I$14,0),FALSE)*HLOOKUP(REG_TRA_DEMANDS!$F77,DEMANDS!$G$2:$CK$25,MATCH($E77,DEMANDS!$E$2:$E$25,0),FALSE)/HLOOKUP(2018,DEMANDS!$G$2:$CK$25,MATCH($E77,DEMANDS!$E$2:$E$25,0),FALSE)</f>
        <v>1.0067935896228877</v>
      </c>
      <c r="R77" s="18">
        <f>HLOOKUP(REG_TRA_DEMANDS!R$3,'BY-Demands'!$J$5:$AK$14,MATCH($E77,'BY-Demands'!$I$5:$I$14,0),FALSE)*HLOOKUP(REG_TRA_DEMANDS!$F77,DEMANDS!$G$2:$CK$25,MATCH($E77,DEMANDS!$E$2:$E$25,0),FALSE)/HLOOKUP(2018,DEMANDS!$G$2:$CK$25,MATCH($E77,DEMANDS!$E$2:$E$25,0),FALSE)</f>
        <v>0.86212161506533169</v>
      </c>
      <c r="S77" s="18">
        <f>HLOOKUP(REG_TRA_DEMANDS!S$3,'BY-Demands'!$J$5:$AK$14,MATCH($E77,'BY-Demands'!$I$5:$I$14,0),FALSE)*HLOOKUP(REG_TRA_DEMANDS!$F77,DEMANDS!$G$2:$CK$25,MATCH($E77,DEMANDS!$E$2:$E$25,0),FALSE)/HLOOKUP(2018,DEMANDS!$G$2:$CK$25,MATCH($E77,DEMANDS!$E$2:$E$25,0),FALSE)</f>
        <v>0.77297995311737344</v>
      </c>
      <c r="T77" s="18">
        <f>HLOOKUP(REG_TRA_DEMANDS!T$3,'BY-Demands'!$J$5:$AK$14,MATCH($E77,'BY-Demands'!$I$5:$I$14,0),FALSE)*HLOOKUP(REG_TRA_DEMANDS!$F77,DEMANDS!$G$2:$CK$25,MATCH($E77,DEMANDS!$E$2:$E$25,0),FALSE)/HLOOKUP(2018,DEMANDS!$G$2:$CK$25,MATCH($E77,DEMANDS!$E$2:$E$25,0),FALSE)</f>
        <v>3.1519071726962702</v>
      </c>
      <c r="U77" s="18">
        <f>HLOOKUP(REG_TRA_DEMANDS!U$3,'BY-Demands'!$J$5:$AK$14,MATCH($E77,'BY-Demands'!$I$5:$I$14,0),FALSE)*HLOOKUP(REG_TRA_DEMANDS!$F77,DEMANDS!$G$2:$CK$25,MATCH($E77,DEMANDS!$E$2:$E$25,0),FALSE)/HLOOKUP(2018,DEMANDS!$G$2:$CK$25,MATCH($E77,DEMANDS!$E$2:$E$25,0),FALSE)</f>
        <v>1.0482121641068025</v>
      </c>
      <c r="V77" s="18">
        <f>HLOOKUP(REG_TRA_DEMANDS!V$3,'BY-Demands'!$J$5:$AK$14,MATCH($E77,'BY-Demands'!$I$5:$I$14,0),FALSE)*HLOOKUP(REG_TRA_DEMANDS!$F77,DEMANDS!$G$2:$CK$25,MATCH($E77,DEMANDS!$E$2:$E$25,0),FALSE)/HLOOKUP(2018,DEMANDS!$G$2:$CK$25,MATCH($E77,DEMANDS!$E$2:$E$25,0),FALSE)</f>
        <v>1.1611851210214486</v>
      </c>
      <c r="W77" s="18">
        <f>HLOOKUP(REG_TRA_DEMANDS!W$3,'BY-Demands'!$J$5:$AK$14,MATCH($E77,'BY-Demands'!$I$5:$I$14,0),FALSE)*HLOOKUP(REG_TRA_DEMANDS!$F77,DEMANDS!$G$2:$CK$25,MATCH($E77,DEMANDS!$E$2:$E$25,0),FALSE)/HLOOKUP(2018,DEMANDS!$G$2:$CK$25,MATCH($E77,DEMANDS!$E$2:$E$25,0),FALSE)</f>
        <v>1.1233659530540954</v>
      </c>
      <c r="X77" s="18">
        <f>HLOOKUP(REG_TRA_DEMANDS!X$3,'BY-Demands'!$J$5:$AK$14,MATCH($E77,'BY-Demands'!$I$5:$I$14,0),FALSE)*HLOOKUP(REG_TRA_DEMANDS!$F77,DEMANDS!$G$2:$CK$25,MATCH($E77,DEMANDS!$E$2:$E$25,0),FALSE)/HLOOKUP(2018,DEMANDS!$G$2:$CK$25,MATCH($E77,DEMANDS!$E$2:$E$25,0),FALSE)</f>
        <v>0.70743723529421942</v>
      </c>
      <c r="Y77" s="18">
        <f>HLOOKUP(REG_TRA_DEMANDS!Y$3,'BY-Demands'!$J$5:$AK$14,MATCH($E77,'BY-Demands'!$I$5:$I$14,0),FALSE)*HLOOKUP(REG_TRA_DEMANDS!$F77,DEMANDS!$G$2:$CK$25,MATCH($E77,DEMANDS!$E$2:$E$25,0),FALSE)/HLOOKUP(2018,DEMANDS!$G$2:$CK$25,MATCH($E77,DEMANDS!$E$2:$E$25,0),FALSE)</f>
        <v>1.6072863036547935</v>
      </c>
      <c r="Z77" s="18">
        <f>HLOOKUP(REG_TRA_DEMANDS!Z$3,'BY-Demands'!$J$5:$AK$14,MATCH($E77,'BY-Demands'!$I$5:$I$14,0),FALSE)*HLOOKUP(REG_TRA_DEMANDS!$F77,DEMANDS!$G$2:$CK$25,MATCH($E77,DEMANDS!$E$2:$E$25,0),FALSE)/HLOOKUP(2018,DEMANDS!$G$2:$CK$25,MATCH($E77,DEMANDS!$E$2:$E$25,0),FALSE)</f>
        <v>0.20735270008287604</v>
      </c>
      <c r="AA77" s="18">
        <f>HLOOKUP(REG_TRA_DEMANDS!AA$3,'BY-Demands'!$J$5:$AK$14,MATCH($E77,'BY-Demands'!$I$5:$I$14,0),FALSE)*HLOOKUP(REG_TRA_DEMANDS!$F77,DEMANDS!$G$2:$CK$25,MATCH($E77,DEMANDS!$E$2:$E$25,0),FALSE)/HLOOKUP(2018,DEMANDS!$G$2:$CK$25,MATCH($E77,DEMANDS!$E$2:$E$25,0),FALSE)</f>
        <v>0.89126969920838961</v>
      </c>
      <c r="AB77" s="18">
        <f>HLOOKUP(REG_TRA_DEMANDS!AB$3,'BY-Demands'!$J$5:$AK$14,MATCH($E77,'BY-Demands'!$I$5:$I$14,0),FALSE)*HLOOKUP(REG_TRA_DEMANDS!$F77,DEMANDS!$G$2:$CK$25,MATCH($E77,DEMANDS!$E$2:$E$25,0),FALSE)/HLOOKUP(2018,DEMANDS!$G$2:$CK$25,MATCH($E77,DEMANDS!$E$2:$E$25,0),FALSE)</f>
        <v>0.46717025372788257</v>
      </c>
      <c r="AC77" s="18">
        <f>HLOOKUP(REG_TRA_DEMANDS!AC$3,'BY-Demands'!$J$5:$AK$14,MATCH($E77,'BY-Demands'!$I$5:$I$14,0),FALSE)*HLOOKUP(REG_TRA_DEMANDS!$F77,DEMANDS!$G$2:$CK$25,MATCH($E77,DEMANDS!$E$2:$E$25,0),FALSE)/HLOOKUP(2018,DEMANDS!$G$2:$CK$25,MATCH($E77,DEMANDS!$E$2:$E$25,0),FALSE)</f>
        <v>0.38938981271075795</v>
      </c>
      <c r="AD77" s="18">
        <f>HLOOKUP(REG_TRA_DEMANDS!AD$3,'BY-Demands'!$J$5:$AK$14,MATCH($E77,'BY-Demands'!$I$5:$I$14,0),FALSE)*HLOOKUP(REG_TRA_DEMANDS!$F77,DEMANDS!$G$2:$CK$25,MATCH($E77,DEMANDS!$E$2:$E$25,0),FALSE)/HLOOKUP(2018,DEMANDS!$G$2:$CK$25,MATCH($E77,DEMANDS!$E$2:$E$25,0),FALSE)</f>
        <v>0.41645079601094165</v>
      </c>
      <c r="AE77" s="18">
        <f>HLOOKUP(REG_TRA_DEMANDS!AE$3,'BY-Demands'!$J$5:$AK$14,MATCH($E77,'BY-Demands'!$I$5:$I$14,0),FALSE)*HLOOKUP(REG_TRA_DEMANDS!$F77,DEMANDS!$G$2:$CK$25,MATCH($E77,DEMANDS!$E$2:$E$25,0),FALSE)/HLOOKUP(2018,DEMANDS!$G$2:$CK$25,MATCH($E77,DEMANDS!$E$2:$E$25,0),FALSE)</f>
        <v>0.76713275898417466</v>
      </c>
      <c r="AF77" s="18">
        <f>HLOOKUP(REG_TRA_DEMANDS!AF$3,'BY-Demands'!$J$5:$AK$14,MATCH($E77,'BY-Demands'!$I$5:$I$14,0),FALSE)*HLOOKUP(REG_TRA_DEMANDS!$F77,DEMANDS!$G$2:$CK$25,MATCH($E77,DEMANDS!$E$2:$E$25,0),FALSE)/HLOOKUP(2018,DEMANDS!$G$2:$CK$25,MATCH($E77,DEMANDS!$E$2:$E$25,0),FALSE)</f>
        <v>0.44313134777350549</v>
      </c>
    </row>
    <row r="78" spans="4:32" ht="14.4">
      <c r="D78" t="s">
        <v>6</v>
      </c>
      <c r="E78" t="str">
        <f>DEMANDS!$E$19</f>
        <v>TRAPL</v>
      </c>
      <c r="F78">
        <v>2040</v>
      </c>
      <c r="G78" s="18">
        <f>HLOOKUP(REG_TRA_DEMANDS!G$3,'BY-Demands'!$J$5:$AK$14,MATCH($E78,'BY-Demands'!$I$5:$I$14,0),FALSE)*HLOOKUP(REG_TRA_DEMANDS!$F78,DEMANDS!$G$2:$CK$25,MATCH($E78,DEMANDS!$E$2:$E$25,0),FALSE)/HLOOKUP(2018,DEMANDS!$G$2:$CK$25,MATCH($E78,DEMANDS!$E$2:$E$25,0),FALSE)</f>
        <v>0.39670782682688494</v>
      </c>
      <c r="H78" s="18">
        <f>HLOOKUP(REG_TRA_DEMANDS!H$3,'BY-Demands'!$J$5:$AK$14,MATCH($E78,'BY-Demands'!$I$5:$I$14,0),FALSE)*HLOOKUP(REG_TRA_DEMANDS!$F78,DEMANDS!$G$2:$CK$25,MATCH($E78,DEMANDS!$E$2:$E$25,0),FALSE)/HLOOKUP(2018,DEMANDS!$G$2:$CK$25,MATCH($E78,DEMANDS!$E$2:$E$25,0),FALSE)</f>
        <v>7.0670965815994267</v>
      </c>
      <c r="I78" s="18">
        <f>HLOOKUP(REG_TRA_DEMANDS!I$3,'BY-Demands'!$J$5:$AK$14,MATCH($E78,'BY-Demands'!$I$5:$I$14,0),FALSE)*HLOOKUP(REG_TRA_DEMANDS!$F78,DEMANDS!$G$2:$CK$25,MATCH($E78,DEMANDS!$E$2:$E$25,0),FALSE)/HLOOKUP(2018,DEMANDS!$G$2:$CK$25,MATCH($E78,DEMANDS!$E$2:$E$25,0),FALSE)</f>
        <v>1.4278986712258688</v>
      </c>
      <c r="J78" s="18">
        <f>HLOOKUP(REG_TRA_DEMANDS!J$3,'BY-Demands'!$J$5:$AK$14,MATCH($E78,'BY-Demands'!$I$5:$I$14,0),FALSE)*HLOOKUP(REG_TRA_DEMANDS!$F78,DEMANDS!$G$2:$CK$25,MATCH($E78,DEMANDS!$E$2:$E$25,0),FALSE)/HLOOKUP(2018,DEMANDS!$G$2:$CK$25,MATCH($E78,DEMANDS!$E$2:$E$25,0),FALSE)</f>
        <v>0.68759045900845372</v>
      </c>
      <c r="K78" s="18">
        <f>HLOOKUP(REG_TRA_DEMANDS!K$3,'BY-Demands'!$J$5:$AK$14,MATCH($E78,'BY-Demands'!$I$5:$I$14,0),FALSE)*HLOOKUP(REG_TRA_DEMANDS!$F78,DEMANDS!$G$2:$CK$25,MATCH($E78,DEMANDS!$E$2:$E$25,0),FALSE)/HLOOKUP(2018,DEMANDS!$G$2:$CK$25,MATCH($E78,DEMANDS!$E$2:$E$25,0),FALSE)</f>
        <v>0.51087427592256351</v>
      </c>
      <c r="L78" s="18">
        <f>HLOOKUP(REG_TRA_DEMANDS!L$3,'BY-Demands'!$J$5:$AK$14,MATCH($E78,'BY-Demands'!$I$5:$I$14,0),FALSE)*HLOOKUP(REG_TRA_DEMANDS!$F78,DEMANDS!$G$2:$CK$25,MATCH($E78,DEMANDS!$E$2:$E$25,0),FALSE)/HLOOKUP(2018,DEMANDS!$G$2:$CK$25,MATCH($E78,DEMANDS!$E$2:$E$25,0),FALSE)</f>
        <v>0.26305543134803172</v>
      </c>
      <c r="M78" s="18">
        <f>HLOOKUP(REG_TRA_DEMANDS!M$3,'BY-Demands'!$J$5:$AK$14,MATCH($E78,'BY-Demands'!$I$5:$I$14,0),FALSE)*HLOOKUP(REG_TRA_DEMANDS!$F78,DEMANDS!$G$2:$CK$25,MATCH($E78,DEMANDS!$E$2:$E$25,0),FALSE)/HLOOKUP(2018,DEMANDS!$G$2:$CK$25,MATCH($E78,DEMANDS!$E$2:$E$25,0),FALSE)</f>
        <v>0.71478706627285371</v>
      </c>
      <c r="N78" s="18">
        <f>HLOOKUP(REG_TRA_DEMANDS!N$3,'BY-Demands'!$J$5:$AK$14,MATCH($E78,'BY-Demands'!$I$5:$I$14,0),FALSE)*HLOOKUP(REG_TRA_DEMANDS!$F78,DEMANDS!$G$2:$CK$25,MATCH($E78,DEMANDS!$E$2:$E$25,0),FALSE)/HLOOKUP(2018,DEMANDS!$G$2:$CK$25,MATCH($E78,DEMANDS!$E$2:$E$25,0),FALSE)</f>
        <v>1.2155053595064178</v>
      </c>
      <c r="O78" s="18">
        <f>HLOOKUP(REG_TRA_DEMANDS!O$3,'BY-Demands'!$J$5:$AK$14,MATCH($E78,'BY-Demands'!$I$5:$I$14,0),FALSE)*HLOOKUP(REG_TRA_DEMANDS!$F78,DEMANDS!$G$2:$CK$25,MATCH($E78,DEMANDS!$E$2:$E$25,0),FALSE)/HLOOKUP(2018,DEMANDS!$G$2:$CK$25,MATCH($E78,DEMANDS!$E$2:$E$25,0),FALSE)</f>
        <v>0.52390412236833817</v>
      </c>
      <c r="P78" s="18">
        <f>HLOOKUP(REG_TRA_DEMANDS!P$3,'BY-Demands'!$J$5:$AK$14,MATCH($E78,'BY-Demands'!$I$5:$I$14,0),FALSE)*HLOOKUP(REG_TRA_DEMANDS!$F78,DEMANDS!$G$2:$CK$25,MATCH($E78,DEMANDS!$E$2:$E$25,0),FALSE)/HLOOKUP(2018,DEMANDS!$G$2:$CK$25,MATCH($E78,DEMANDS!$E$2:$E$25,0),FALSE)</f>
        <v>0.58060605681074362</v>
      </c>
      <c r="Q78" s="18">
        <f>HLOOKUP(REG_TRA_DEMANDS!Q$3,'BY-Demands'!$J$5:$AK$14,MATCH($E78,'BY-Demands'!$I$5:$I$14,0),FALSE)*HLOOKUP(REG_TRA_DEMANDS!$F78,DEMANDS!$G$2:$CK$25,MATCH($E78,DEMANDS!$E$2:$E$25,0),FALSE)/HLOOKUP(2018,DEMANDS!$G$2:$CK$25,MATCH($E78,DEMANDS!$E$2:$E$25,0),FALSE)</f>
        <v>1.0319634293634599</v>
      </c>
      <c r="R78" s="18">
        <f>HLOOKUP(REG_TRA_DEMANDS!R$3,'BY-Demands'!$J$5:$AK$14,MATCH($E78,'BY-Demands'!$I$5:$I$14,0),FALSE)*HLOOKUP(REG_TRA_DEMANDS!$F78,DEMANDS!$G$2:$CK$25,MATCH($E78,DEMANDS!$E$2:$E$25,0),FALSE)/HLOOKUP(2018,DEMANDS!$G$2:$CK$25,MATCH($E78,DEMANDS!$E$2:$E$25,0),FALSE)</f>
        <v>0.883674655441965</v>
      </c>
      <c r="S78" s="18">
        <f>HLOOKUP(REG_TRA_DEMANDS!S$3,'BY-Demands'!$J$5:$AK$14,MATCH($E78,'BY-Demands'!$I$5:$I$14,0),FALSE)*HLOOKUP(REG_TRA_DEMANDS!$F78,DEMANDS!$G$2:$CK$25,MATCH($E78,DEMANDS!$E$2:$E$25,0),FALSE)/HLOOKUP(2018,DEMANDS!$G$2:$CK$25,MATCH($E78,DEMANDS!$E$2:$E$25,0),FALSE)</f>
        <v>0.79230445194530763</v>
      </c>
      <c r="T78" s="18">
        <f>HLOOKUP(REG_TRA_DEMANDS!T$3,'BY-Demands'!$J$5:$AK$14,MATCH($E78,'BY-Demands'!$I$5:$I$14,0),FALSE)*HLOOKUP(REG_TRA_DEMANDS!$F78,DEMANDS!$G$2:$CK$25,MATCH($E78,DEMANDS!$E$2:$E$25,0),FALSE)/HLOOKUP(2018,DEMANDS!$G$2:$CK$25,MATCH($E78,DEMANDS!$E$2:$E$25,0),FALSE)</f>
        <v>3.2307048520136767</v>
      </c>
      <c r="U78" s="18">
        <f>HLOOKUP(REG_TRA_DEMANDS!U$3,'BY-Demands'!$J$5:$AK$14,MATCH($E78,'BY-Demands'!$I$5:$I$14,0),FALSE)*HLOOKUP(REG_TRA_DEMANDS!$F78,DEMANDS!$G$2:$CK$25,MATCH($E78,DEMANDS!$E$2:$E$25,0),FALSE)/HLOOKUP(2018,DEMANDS!$G$2:$CK$25,MATCH($E78,DEMANDS!$E$2:$E$25,0),FALSE)</f>
        <v>1.0744174682094725</v>
      </c>
      <c r="V78" s="18">
        <f>HLOOKUP(REG_TRA_DEMANDS!V$3,'BY-Demands'!$J$5:$AK$14,MATCH($E78,'BY-Demands'!$I$5:$I$14,0),FALSE)*HLOOKUP(REG_TRA_DEMANDS!$F78,DEMANDS!$G$2:$CK$25,MATCH($E78,DEMANDS!$E$2:$E$25,0),FALSE)/HLOOKUP(2018,DEMANDS!$G$2:$CK$25,MATCH($E78,DEMANDS!$E$2:$E$25,0),FALSE)</f>
        <v>1.1902147490469845</v>
      </c>
      <c r="W78" s="18">
        <f>HLOOKUP(REG_TRA_DEMANDS!W$3,'BY-Demands'!$J$5:$AK$14,MATCH($E78,'BY-Demands'!$I$5:$I$14,0),FALSE)*HLOOKUP(REG_TRA_DEMANDS!$F78,DEMANDS!$G$2:$CK$25,MATCH($E78,DEMANDS!$E$2:$E$25,0),FALSE)/HLOOKUP(2018,DEMANDS!$G$2:$CK$25,MATCH($E78,DEMANDS!$E$2:$E$25,0),FALSE)</f>
        <v>1.1514501018804475</v>
      </c>
      <c r="X78" s="18">
        <f>HLOOKUP(REG_TRA_DEMANDS!X$3,'BY-Demands'!$J$5:$AK$14,MATCH($E78,'BY-Demands'!$I$5:$I$14,0),FALSE)*HLOOKUP(REG_TRA_DEMANDS!$F78,DEMANDS!$G$2:$CK$25,MATCH($E78,DEMANDS!$E$2:$E$25,0),FALSE)/HLOOKUP(2018,DEMANDS!$G$2:$CK$25,MATCH($E78,DEMANDS!$E$2:$E$25,0),FALSE)</f>
        <v>0.7251231661765748</v>
      </c>
      <c r="Y78" s="18">
        <f>HLOOKUP(REG_TRA_DEMANDS!Y$3,'BY-Demands'!$J$5:$AK$14,MATCH($E78,'BY-Demands'!$I$5:$I$14,0),FALSE)*HLOOKUP(REG_TRA_DEMANDS!$F78,DEMANDS!$G$2:$CK$25,MATCH($E78,DEMANDS!$E$2:$E$25,0),FALSE)/HLOOKUP(2018,DEMANDS!$G$2:$CK$25,MATCH($E78,DEMANDS!$E$2:$E$25,0),FALSE)</f>
        <v>1.6474684612461632</v>
      </c>
      <c r="Z78" s="18">
        <f>HLOOKUP(REG_TRA_DEMANDS!Z$3,'BY-Demands'!$J$5:$AK$14,MATCH($E78,'BY-Demands'!$I$5:$I$14,0),FALSE)*HLOOKUP(REG_TRA_DEMANDS!$F78,DEMANDS!$G$2:$CK$25,MATCH($E78,DEMANDS!$E$2:$E$25,0),FALSE)/HLOOKUP(2018,DEMANDS!$G$2:$CK$25,MATCH($E78,DEMANDS!$E$2:$E$25,0),FALSE)</f>
        <v>0.21253651758494793</v>
      </c>
      <c r="AA78" s="18">
        <f>HLOOKUP(REG_TRA_DEMANDS!AA$3,'BY-Demands'!$J$5:$AK$14,MATCH($E78,'BY-Demands'!$I$5:$I$14,0),FALSE)*HLOOKUP(REG_TRA_DEMANDS!$F78,DEMANDS!$G$2:$CK$25,MATCH($E78,DEMANDS!$E$2:$E$25,0),FALSE)/HLOOKUP(2018,DEMANDS!$G$2:$CK$25,MATCH($E78,DEMANDS!$E$2:$E$25,0),FALSE)</f>
        <v>0.91355144168859925</v>
      </c>
      <c r="AB78" s="18">
        <f>HLOOKUP(REG_TRA_DEMANDS!AB$3,'BY-Demands'!$J$5:$AK$14,MATCH($E78,'BY-Demands'!$I$5:$I$14,0),FALSE)*HLOOKUP(REG_TRA_DEMANDS!$F78,DEMANDS!$G$2:$CK$25,MATCH($E78,DEMANDS!$E$2:$E$25,0),FALSE)/HLOOKUP(2018,DEMANDS!$G$2:$CK$25,MATCH($E78,DEMANDS!$E$2:$E$25,0),FALSE)</f>
        <v>0.47884951007107962</v>
      </c>
      <c r="AC78" s="18">
        <f>HLOOKUP(REG_TRA_DEMANDS!AC$3,'BY-Demands'!$J$5:$AK$14,MATCH($E78,'BY-Demands'!$I$5:$I$14,0),FALSE)*HLOOKUP(REG_TRA_DEMANDS!$F78,DEMANDS!$G$2:$CK$25,MATCH($E78,DEMANDS!$E$2:$E$25,0),FALSE)/HLOOKUP(2018,DEMANDS!$G$2:$CK$25,MATCH($E78,DEMANDS!$E$2:$E$25,0),FALSE)</f>
        <v>0.39912455802852681</v>
      </c>
      <c r="AD78" s="18">
        <f>HLOOKUP(REG_TRA_DEMANDS!AD$3,'BY-Demands'!$J$5:$AK$14,MATCH($E78,'BY-Demands'!$I$5:$I$14,0),FALSE)*HLOOKUP(REG_TRA_DEMANDS!$F78,DEMANDS!$G$2:$CK$25,MATCH($E78,DEMANDS!$E$2:$E$25,0),FALSE)/HLOOKUP(2018,DEMANDS!$G$2:$CK$25,MATCH($E78,DEMANDS!$E$2:$E$25,0),FALSE)</f>
        <v>0.42686206591121517</v>
      </c>
      <c r="AE78" s="18">
        <f>HLOOKUP(REG_TRA_DEMANDS!AE$3,'BY-Demands'!$J$5:$AK$14,MATCH($E78,'BY-Demands'!$I$5:$I$14,0),FALSE)*HLOOKUP(REG_TRA_DEMANDS!$F78,DEMANDS!$G$2:$CK$25,MATCH($E78,DEMANDS!$E$2:$E$25,0),FALSE)/HLOOKUP(2018,DEMANDS!$G$2:$CK$25,MATCH($E78,DEMANDS!$E$2:$E$25,0),FALSE)</f>
        <v>0.78631107795877886</v>
      </c>
      <c r="AF78" s="18">
        <f>HLOOKUP(REG_TRA_DEMANDS!AF$3,'BY-Demands'!$J$5:$AK$14,MATCH($E78,'BY-Demands'!$I$5:$I$14,0),FALSE)*HLOOKUP(REG_TRA_DEMANDS!$F78,DEMANDS!$G$2:$CK$25,MATCH($E78,DEMANDS!$E$2:$E$25,0),FALSE)/HLOOKUP(2018,DEMANDS!$G$2:$CK$25,MATCH($E78,DEMANDS!$E$2:$E$25,0),FALSE)</f>
        <v>0.4542096314678431</v>
      </c>
    </row>
    <row r="79" spans="4:32" ht="14.4">
      <c r="D79" t="s">
        <v>6</v>
      </c>
      <c r="E79" t="str">
        <f>DEMANDS!$E$19</f>
        <v>TRAPL</v>
      </c>
      <c r="F79">
        <v>2045</v>
      </c>
      <c r="G79" s="18">
        <f>HLOOKUP(REG_TRA_DEMANDS!G$3,'BY-Demands'!$J$5:$AK$14,MATCH($E79,'BY-Demands'!$I$5:$I$14,0),FALSE)*HLOOKUP(REG_TRA_DEMANDS!$F79,DEMANDS!$G$2:$CK$25,MATCH($E79,DEMANDS!$E$2:$E$25,0),FALSE)/HLOOKUP(2018,DEMANDS!$G$2:$CK$25,MATCH($E79,DEMANDS!$E$2:$E$25,0),FALSE)</f>
        <v>0.44883849338992921</v>
      </c>
      <c r="H79" s="18">
        <f>HLOOKUP(REG_TRA_DEMANDS!H$3,'BY-Demands'!$J$5:$AK$14,MATCH($E79,'BY-Demands'!$I$5:$I$14,0),FALSE)*HLOOKUP(REG_TRA_DEMANDS!$F79,DEMANDS!$G$2:$CK$25,MATCH($E79,DEMANDS!$E$2:$E$25,0),FALSE)/HLOOKUP(2018,DEMANDS!$G$2:$CK$25,MATCH($E79,DEMANDS!$E$2:$E$25,0),FALSE)</f>
        <v>7.9957711137128484</v>
      </c>
      <c r="I79" s="18">
        <f>HLOOKUP(REG_TRA_DEMANDS!I$3,'BY-Demands'!$J$5:$AK$14,MATCH($E79,'BY-Demands'!$I$5:$I$14,0),FALSE)*HLOOKUP(REG_TRA_DEMANDS!$F79,DEMANDS!$G$2:$CK$25,MATCH($E79,DEMANDS!$E$2:$E$25,0),FALSE)/HLOOKUP(2018,DEMANDS!$G$2:$CK$25,MATCH($E79,DEMANDS!$E$2:$E$25,0),FALSE)</f>
        <v>1.6155362838005574</v>
      </c>
      <c r="J79" s="18">
        <f>HLOOKUP(REG_TRA_DEMANDS!J$3,'BY-Demands'!$J$5:$AK$14,MATCH($E79,'BY-Demands'!$I$5:$I$14,0),FALSE)*HLOOKUP(REG_TRA_DEMANDS!$F79,DEMANDS!$G$2:$CK$25,MATCH($E79,DEMANDS!$E$2:$E$25,0),FALSE)/HLOOKUP(2018,DEMANDS!$G$2:$CK$25,MATCH($E79,DEMANDS!$E$2:$E$25,0),FALSE)</f>
        <v>0.77794549242739874</v>
      </c>
      <c r="K79" s="18">
        <f>HLOOKUP(REG_TRA_DEMANDS!K$3,'BY-Demands'!$J$5:$AK$14,MATCH($E79,'BY-Demands'!$I$5:$I$14,0),FALSE)*HLOOKUP(REG_TRA_DEMANDS!$F79,DEMANDS!$G$2:$CK$25,MATCH($E79,DEMANDS!$E$2:$E$25,0),FALSE)/HLOOKUP(2018,DEMANDS!$G$2:$CK$25,MATCH($E79,DEMANDS!$E$2:$E$25,0),FALSE)</f>
        <v>0.57800735153333949</v>
      </c>
      <c r="L79" s="18">
        <f>HLOOKUP(REG_TRA_DEMANDS!L$3,'BY-Demands'!$J$5:$AK$14,MATCH($E79,'BY-Demands'!$I$5:$I$14,0),FALSE)*HLOOKUP(REG_TRA_DEMANDS!$F79,DEMANDS!$G$2:$CK$25,MATCH($E79,DEMANDS!$E$2:$E$25,0),FALSE)/HLOOKUP(2018,DEMANDS!$G$2:$CK$25,MATCH($E79,DEMANDS!$E$2:$E$25,0),FALSE)</f>
        <v>0.29762307547264893</v>
      </c>
      <c r="M79" s="18">
        <f>HLOOKUP(REG_TRA_DEMANDS!M$3,'BY-Demands'!$J$5:$AK$14,MATCH($E79,'BY-Demands'!$I$5:$I$14,0),FALSE)*HLOOKUP(REG_TRA_DEMANDS!$F79,DEMANDS!$G$2:$CK$25,MATCH($E79,DEMANDS!$E$2:$E$25,0),FALSE)/HLOOKUP(2018,DEMANDS!$G$2:$CK$25,MATCH($E79,DEMANDS!$E$2:$E$25,0),FALSE)</f>
        <v>0.80871595724910195</v>
      </c>
      <c r="N79" s="18">
        <f>HLOOKUP(REG_TRA_DEMANDS!N$3,'BY-Demands'!$J$5:$AK$14,MATCH($E79,'BY-Demands'!$I$5:$I$14,0),FALSE)*HLOOKUP(REG_TRA_DEMANDS!$F79,DEMANDS!$G$2:$CK$25,MATCH($E79,DEMANDS!$E$2:$E$25,0),FALSE)/HLOOKUP(2018,DEMANDS!$G$2:$CK$25,MATCH($E79,DEMANDS!$E$2:$E$25,0),FALSE)</f>
        <v>1.3752327465581322</v>
      </c>
      <c r="O79" s="18">
        <f>HLOOKUP(REG_TRA_DEMANDS!O$3,'BY-Demands'!$J$5:$AK$14,MATCH($E79,'BY-Demands'!$I$5:$I$14,0),FALSE)*HLOOKUP(REG_TRA_DEMANDS!$F79,DEMANDS!$G$2:$CK$25,MATCH($E79,DEMANDS!$E$2:$E$25,0),FALSE)/HLOOKUP(2018,DEMANDS!$G$2:$CK$25,MATCH($E79,DEMANDS!$E$2:$E$25,0),FALSE)</f>
        <v>0.59274942681479259</v>
      </c>
      <c r="P79" s="18">
        <f>HLOOKUP(REG_TRA_DEMANDS!P$3,'BY-Demands'!$J$5:$AK$14,MATCH($E79,'BY-Demands'!$I$5:$I$14,0),FALSE)*HLOOKUP(REG_TRA_DEMANDS!$F79,DEMANDS!$G$2:$CK$25,MATCH($E79,DEMANDS!$E$2:$E$25,0),FALSE)/HLOOKUP(2018,DEMANDS!$G$2:$CK$25,MATCH($E79,DEMANDS!$E$2:$E$25,0),FALSE)</f>
        <v>0.65690246112971584</v>
      </c>
      <c r="Q79" s="18">
        <f>HLOOKUP(REG_TRA_DEMANDS!Q$3,'BY-Demands'!$J$5:$AK$14,MATCH($E79,'BY-Demands'!$I$5:$I$14,0),FALSE)*HLOOKUP(REG_TRA_DEMANDS!$F79,DEMANDS!$G$2:$CK$25,MATCH($E79,DEMANDS!$E$2:$E$25,0),FALSE)/HLOOKUP(2018,DEMANDS!$G$2:$CK$25,MATCH($E79,DEMANDS!$E$2:$E$25,0),FALSE)</f>
        <v>1.1675718993845923</v>
      </c>
      <c r="R79" s="18">
        <f>HLOOKUP(REG_TRA_DEMANDS!R$3,'BY-Demands'!$J$5:$AK$14,MATCH($E79,'BY-Demands'!$I$5:$I$14,0),FALSE)*HLOOKUP(REG_TRA_DEMANDS!$F79,DEMANDS!$G$2:$CK$25,MATCH($E79,DEMANDS!$E$2:$E$25,0),FALSE)/HLOOKUP(2018,DEMANDS!$G$2:$CK$25,MATCH($E79,DEMANDS!$E$2:$E$25,0),FALSE)</f>
        <v>0.99979676269033202</v>
      </c>
      <c r="S79" s="18">
        <f>HLOOKUP(REG_TRA_DEMANDS!S$3,'BY-Demands'!$J$5:$AK$14,MATCH($E79,'BY-Demands'!$I$5:$I$14,0),FALSE)*HLOOKUP(REG_TRA_DEMANDS!$F79,DEMANDS!$G$2:$CK$25,MATCH($E79,DEMANDS!$E$2:$E$25,0),FALSE)/HLOOKUP(2018,DEMANDS!$G$2:$CK$25,MATCH($E79,DEMANDS!$E$2:$E$25,0),FALSE)</f>
        <v>0.89641976404072621</v>
      </c>
      <c r="T79" s="18">
        <f>HLOOKUP(REG_TRA_DEMANDS!T$3,'BY-Demands'!$J$5:$AK$14,MATCH($E79,'BY-Demands'!$I$5:$I$14,0),FALSE)*HLOOKUP(REG_TRA_DEMANDS!$F79,DEMANDS!$G$2:$CK$25,MATCH($E79,DEMANDS!$E$2:$E$25,0),FALSE)/HLOOKUP(2018,DEMANDS!$G$2:$CK$25,MATCH($E79,DEMANDS!$E$2:$E$25,0),FALSE)</f>
        <v>3.6552460029938634</v>
      </c>
      <c r="U79" s="18">
        <f>HLOOKUP(REG_TRA_DEMANDS!U$3,'BY-Demands'!$J$5:$AK$14,MATCH($E79,'BY-Demands'!$I$5:$I$14,0),FALSE)*HLOOKUP(REG_TRA_DEMANDS!$F79,DEMANDS!$G$2:$CK$25,MATCH($E79,DEMANDS!$E$2:$E$25,0),FALSE)/HLOOKUP(2018,DEMANDS!$G$2:$CK$25,MATCH($E79,DEMANDS!$E$2:$E$25,0),FALSE)</f>
        <v>1.2156047476053486</v>
      </c>
      <c r="V79" s="18">
        <f>HLOOKUP(REG_TRA_DEMANDS!V$3,'BY-Demands'!$J$5:$AK$14,MATCH($E79,'BY-Demands'!$I$5:$I$14,0),FALSE)*HLOOKUP(REG_TRA_DEMANDS!$F79,DEMANDS!$G$2:$CK$25,MATCH($E79,DEMANDS!$E$2:$E$25,0),FALSE)/HLOOKUP(2018,DEMANDS!$G$2:$CK$25,MATCH($E79,DEMANDS!$E$2:$E$25,0),FALSE)</f>
        <v>1.346618742175312</v>
      </c>
      <c r="W79" s="18">
        <f>HLOOKUP(REG_TRA_DEMANDS!W$3,'BY-Demands'!$J$5:$AK$14,MATCH($E79,'BY-Demands'!$I$5:$I$14,0),FALSE)*HLOOKUP(REG_TRA_DEMANDS!$F79,DEMANDS!$G$2:$CK$25,MATCH($E79,DEMANDS!$E$2:$E$25,0),FALSE)/HLOOKUP(2018,DEMANDS!$G$2:$CK$25,MATCH($E79,DEMANDS!$E$2:$E$25,0),FALSE)</f>
        <v>1.3027601020012844</v>
      </c>
      <c r="X79" s="18">
        <f>HLOOKUP(REG_TRA_DEMANDS!X$3,'BY-Demands'!$J$5:$AK$14,MATCH($E79,'BY-Demands'!$I$5:$I$14,0),FALSE)*HLOOKUP(REG_TRA_DEMANDS!$F79,DEMANDS!$G$2:$CK$25,MATCH($E79,DEMANDS!$E$2:$E$25,0),FALSE)/HLOOKUP(2018,DEMANDS!$G$2:$CK$25,MATCH($E79,DEMANDS!$E$2:$E$25,0),FALSE)</f>
        <v>0.82041030556942984</v>
      </c>
      <c r="Y79" s="18">
        <f>HLOOKUP(REG_TRA_DEMANDS!Y$3,'BY-Demands'!$J$5:$AK$14,MATCH($E79,'BY-Demands'!$I$5:$I$14,0),FALSE)*HLOOKUP(REG_TRA_DEMANDS!$F79,DEMANDS!$G$2:$CK$25,MATCH($E79,DEMANDS!$E$2:$E$25,0),FALSE)/HLOOKUP(2018,DEMANDS!$G$2:$CK$25,MATCH($E79,DEMANDS!$E$2:$E$25,0),FALSE)</f>
        <v>1.8639593475321885</v>
      </c>
      <c r="Z79" s="18">
        <f>HLOOKUP(REG_TRA_DEMANDS!Z$3,'BY-Demands'!$J$5:$AK$14,MATCH($E79,'BY-Demands'!$I$5:$I$14,0),FALSE)*HLOOKUP(REG_TRA_DEMANDS!$F79,DEMANDS!$G$2:$CK$25,MATCH($E79,DEMANDS!$E$2:$E$25,0),FALSE)/HLOOKUP(2018,DEMANDS!$G$2:$CK$25,MATCH($E79,DEMANDS!$E$2:$E$25,0),FALSE)</f>
        <v>0.24046556153478271</v>
      </c>
      <c r="AA79" s="18">
        <f>HLOOKUP(REG_TRA_DEMANDS!AA$3,'BY-Demands'!$J$5:$AK$14,MATCH($E79,'BY-Demands'!$I$5:$I$14,0),FALSE)*HLOOKUP(REG_TRA_DEMANDS!$F79,DEMANDS!$G$2:$CK$25,MATCH($E79,DEMANDS!$E$2:$E$25,0),FALSE)/HLOOKUP(2018,DEMANDS!$G$2:$CK$25,MATCH($E79,DEMANDS!$E$2:$E$25,0),FALSE)</f>
        <v>1.0335996040245516</v>
      </c>
      <c r="AB79" s="18">
        <f>HLOOKUP(REG_TRA_DEMANDS!AB$3,'BY-Demands'!$J$5:$AK$14,MATCH($E79,'BY-Demands'!$I$5:$I$14,0),FALSE)*HLOOKUP(REG_TRA_DEMANDS!$F79,DEMANDS!$G$2:$CK$25,MATCH($E79,DEMANDS!$E$2:$E$25,0),FALSE)/HLOOKUP(2018,DEMANDS!$G$2:$CK$25,MATCH($E79,DEMANDS!$E$2:$E$25,0),FALSE)</f>
        <v>0.54177426843307119</v>
      </c>
      <c r="AC79" s="18">
        <f>HLOOKUP(REG_TRA_DEMANDS!AC$3,'BY-Demands'!$J$5:$AK$14,MATCH($E79,'BY-Demands'!$I$5:$I$14,0),FALSE)*HLOOKUP(REG_TRA_DEMANDS!$F79,DEMANDS!$G$2:$CK$25,MATCH($E79,DEMANDS!$E$2:$E$25,0),FALSE)/HLOOKUP(2018,DEMANDS!$G$2:$CK$25,MATCH($E79,DEMANDS!$E$2:$E$25,0),FALSE)</f>
        <v>0.45157280291981583</v>
      </c>
      <c r="AD79" s="18">
        <f>HLOOKUP(REG_TRA_DEMANDS!AD$3,'BY-Demands'!$J$5:$AK$14,MATCH($E79,'BY-Demands'!$I$5:$I$14,0),FALSE)*HLOOKUP(REG_TRA_DEMANDS!$F79,DEMANDS!$G$2:$CK$25,MATCH($E79,DEMANDS!$E$2:$E$25,0),FALSE)/HLOOKUP(2018,DEMANDS!$G$2:$CK$25,MATCH($E79,DEMANDS!$E$2:$E$25,0),FALSE)</f>
        <v>0.48295524714340793</v>
      </c>
      <c r="AE79" s="18">
        <f>HLOOKUP(REG_TRA_DEMANDS!AE$3,'BY-Demands'!$J$5:$AK$14,MATCH($E79,'BY-Demands'!$I$5:$I$14,0),FALSE)*HLOOKUP(REG_TRA_DEMANDS!$F79,DEMANDS!$G$2:$CK$25,MATCH($E79,DEMANDS!$E$2:$E$25,0),FALSE)/HLOOKUP(2018,DEMANDS!$G$2:$CK$25,MATCH($E79,DEMANDS!$E$2:$E$25,0),FALSE)</f>
        <v>0.88963881148944246</v>
      </c>
      <c r="AF79" s="18">
        <f>HLOOKUP(REG_TRA_DEMANDS!AF$3,'BY-Demands'!$J$5:$AK$14,MATCH($E79,'BY-Demands'!$I$5:$I$14,0),FALSE)*HLOOKUP(REG_TRA_DEMANDS!$F79,DEMANDS!$G$2:$CK$25,MATCH($E79,DEMANDS!$E$2:$E$25,0),FALSE)/HLOOKUP(2018,DEMANDS!$G$2:$CK$25,MATCH($E79,DEMANDS!$E$2:$E$25,0),FALSE)</f>
        <v>0.51389650741674153</v>
      </c>
    </row>
    <row r="80" spans="4:32" ht="14.4">
      <c r="D80" t="s">
        <v>6</v>
      </c>
      <c r="E80" t="str">
        <f>DEMANDS!$E$19</f>
        <v>TRAPL</v>
      </c>
      <c r="F80">
        <v>2050</v>
      </c>
      <c r="G80" s="18">
        <f>HLOOKUP(REG_TRA_DEMANDS!G$3,'BY-Demands'!$J$5:$AK$14,MATCH($E80,'BY-Demands'!$I$5:$I$14,0),FALSE)*HLOOKUP(REG_TRA_DEMANDS!$F80,DEMANDS!$G$2:$CK$25,MATCH($E80,DEMANDS!$E$2:$E$25,0),FALSE)/HLOOKUP(2018,DEMANDS!$G$2:$CK$25,MATCH($E80,DEMANDS!$E$2:$E$25,0),FALSE)</f>
        <v>0.50781955768282017</v>
      </c>
      <c r="H80" s="18">
        <f>HLOOKUP(REG_TRA_DEMANDS!H$3,'BY-Demands'!$J$5:$AK$14,MATCH($E80,'BY-Demands'!$I$5:$I$14,0),FALSE)*HLOOKUP(REG_TRA_DEMANDS!$F80,DEMANDS!$G$2:$CK$25,MATCH($E80,DEMANDS!$E$2:$E$25,0),FALSE)/HLOOKUP(2018,DEMANDS!$G$2:$CK$25,MATCH($E80,DEMANDS!$E$2:$E$25,0),FALSE)</f>
        <v>9.0464811064483328</v>
      </c>
      <c r="I80" s="18">
        <f>HLOOKUP(REG_TRA_DEMANDS!I$3,'BY-Demands'!$J$5:$AK$14,MATCH($E80,'BY-Demands'!$I$5:$I$14,0),FALSE)*HLOOKUP(REG_TRA_DEMANDS!$F80,DEMANDS!$G$2:$CK$25,MATCH($E80,DEMANDS!$E$2:$E$25,0),FALSE)/HLOOKUP(2018,DEMANDS!$G$2:$CK$25,MATCH($E80,DEMANDS!$E$2:$E$25,0),FALSE)</f>
        <v>1.8278310197147498</v>
      </c>
      <c r="J80" s="18">
        <f>HLOOKUP(REG_TRA_DEMANDS!J$3,'BY-Demands'!$J$5:$AK$14,MATCH($E80,'BY-Demands'!$I$5:$I$14,0),FALSE)*HLOOKUP(REG_TRA_DEMANDS!$F80,DEMANDS!$G$2:$CK$25,MATCH($E80,DEMANDS!$E$2:$E$25,0),FALSE)/HLOOKUP(2018,DEMANDS!$G$2:$CK$25,MATCH($E80,DEMANDS!$E$2:$E$25,0),FALSE)</f>
        <v>0.88017391931360012</v>
      </c>
      <c r="K80" s="18">
        <f>HLOOKUP(REG_TRA_DEMANDS!K$3,'BY-Demands'!$J$5:$AK$14,MATCH($E80,'BY-Demands'!$I$5:$I$14,0),FALSE)*HLOOKUP(REG_TRA_DEMANDS!$F80,DEMANDS!$G$2:$CK$25,MATCH($E80,DEMANDS!$E$2:$E$25,0),FALSE)/HLOOKUP(2018,DEMANDS!$G$2:$CK$25,MATCH($E80,DEMANDS!$E$2:$E$25,0),FALSE)</f>
        <v>0.65396226463597851</v>
      </c>
      <c r="L80" s="18">
        <f>HLOOKUP(REG_TRA_DEMANDS!L$3,'BY-Demands'!$J$5:$AK$14,MATCH($E80,'BY-Demands'!$I$5:$I$14,0),FALSE)*HLOOKUP(REG_TRA_DEMANDS!$F80,DEMANDS!$G$2:$CK$25,MATCH($E80,DEMANDS!$E$2:$E$25,0),FALSE)/HLOOKUP(2018,DEMANDS!$G$2:$CK$25,MATCH($E80,DEMANDS!$E$2:$E$25,0),FALSE)</f>
        <v>0.3367331919355212</v>
      </c>
      <c r="M80" s="18">
        <f>HLOOKUP(REG_TRA_DEMANDS!M$3,'BY-Demands'!$J$5:$AK$14,MATCH($E80,'BY-Demands'!$I$5:$I$14,0),FALSE)*HLOOKUP(REG_TRA_DEMANDS!$F80,DEMANDS!$G$2:$CK$25,MATCH($E80,DEMANDS!$E$2:$E$25,0),FALSE)/HLOOKUP(2018,DEMANDS!$G$2:$CK$25,MATCH($E80,DEMANDS!$E$2:$E$25,0),FALSE)</f>
        <v>0.9149878759273371</v>
      </c>
      <c r="N80" s="18">
        <f>HLOOKUP(REG_TRA_DEMANDS!N$3,'BY-Demands'!$J$5:$AK$14,MATCH($E80,'BY-Demands'!$I$5:$I$14,0),FALSE)*HLOOKUP(REG_TRA_DEMANDS!$F80,DEMANDS!$G$2:$CK$25,MATCH($E80,DEMANDS!$E$2:$E$25,0),FALSE)/HLOOKUP(2018,DEMANDS!$G$2:$CK$25,MATCH($E80,DEMANDS!$E$2:$E$25,0),FALSE)</f>
        <v>1.5559496240920014</v>
      </c>
      <c r="O80" s="18">
        <f>HLOOKUP(REG_TRA_DEMANDS!O$3,'BY-Demands'!$J$5:$AK$14,MATCH($E80,'BY-Demands'!$I$5:$I$14,0),FALSE)*HLOOKUP(REG_TRA_DEMANDS!$F80,DEMANDS!$G$2:$CK$25,MATCH($E80,DEMANDS!$E$2:$E$25,0),FALSE)/HLOOKUP(2018,DEMANDS!$G$2:$CK$25,MATCH($E80,DEMANDS!$E$2:$E$25,0),FALSE)</f>
        <v>0.67064156968446653</v>
      </c>
      <c r="P80" s="18">
        <f>HLOOKUP(REG_TRA_DEMANDS!P$3,'BY-Demands'!$J$5:$AK$14,MATCH($E80,'BY-Demands'!$I$5:$I$14,0),FALSE)*HLOOKUP(REG_TRA_DEMANDS!$F80,DEMANDS!$G$2:$CK$25,MATCH($E80,DEMANDS!$E$2:$E$25,0),FALSE)/HLOOKUP(2018,DEMANDS!$G$2:$CK$25,MATCH($E80,DEMANDS!$E$2:$E$25,0),FALSE)</f>
        <v>0.74322483959022478</v>
      </c>
      <c r="Q80" s="18">
        <f>HLOOKUP(REG_TRA_DEMANDS!Q$3,'BY-Demands'!$J$5:$AK$14,MATCH($E80,'BY-Demands'!$I$5:$I$14,0),FALSE)*HLOOKUP(REG_TRA_DEMANDS!$F80,DEMANDS!$G$2:$CK$25,MATCH($E80,DEMANDS!$E$2:$E$25,0),FALSE)/HLOOKUP(2018,DEMANDS!$G$2:$CK$25,MATCH($E80,DEMANDS!$E$2:$E$25,0),FALSE)</f>
        <v>1.3210004361040337</v>
      </c>
      <c r="R80" s="18">
        <f>HLOOKUP(REG_TRA_DEMANDS!R$3,'BY-Demands'!$J$5:$AK$14,MATCH($E80,'BY-Demands'!$I$5:$I$14,0),FALSE)*HLOOKUP(REG_TRA_DEMANDS!$F80,DEMANDS!$G$2:$CK$25,MATCH($E80,DEMANDS!$E$2:$E$25,0),FALSE)/HLOOKUP(2018,DEMANDS!$G$2:$CK$25,MATCH($E80,DEMANDS!$E$2:$E$25,0),FALSE)</f>
        <v>1.1311782685293004</v>
      </c>
      <c r="S80" s="18">
        <f>HLOOKUP(REG_TRA_DEMANDS!S$3,'BY-Demands'!$J$5:$AK$14,MATCH($E80,'BY-Demands'!$I$5:$I$14,0),FALSE)*HLOOKUP(REG_TRA_DEMANDS!$F80,DEMANDS!$G$2:$CK$25,MATCH($E80,DEMANDS!$E$2:$E$25,0),FALSE)/HLOOKUP(2018,DEMANDS!$G$2:$CK$25,MATCH($E80,DEMANDS!$E$2:$E$25,0),FALSE)</f>
        <v>1.0142166832331532</v>
      </c>
      <c r="T80" s="18">
        <f>HLOOKUP(REG_TRA_DEMANDS!T$3,'BY-Demands'!$J$5:$AK$14,MATCH($E80,'BY-Demands'!$I$5:$I$14,0),FALSE)*HLOOKUP(REG_TRA_DEMANDS!$F80,DEMANDS!$G$2:$CK$25,MATCH($E80,DEMANDS!$E$2:$E$25,0),FALSE)/HLOOKUP(2018,DEMANDS!$G$2:$CK$25,MATCH($E80,DEMANDS!$E$2:$E$25,0),FALSE)</f>
        <v>4.1355753479228854</v>
      </c>
      <c r="U80" s="18">
        <f>HLOOKUP(REG_TRA_DEMANDS!U$3,'BY-Demands'!$J$5:$AK$14,MATCH($E80,'BY-Demands'!$I$5:$I$14,0),FALSE)*HLOOKUP(REG_TRA_DEMANDS!$F80,DEMANDS!$G$2:$CK$25,MATCH($E80,DEMANDS!$E$2:$E$25,0),FALSE)/HLOOKUP(2018,DEMANDS!$G$2:$CK$25,MATCH($E80,DEMANDS!$E$2:$E$25,0),FALSE)</f>
        <v>1.3753451950695263</v>
      </c>
      <c r="V80" s="18">
        <f>HLOOKUP(REG_TRA_DEMANDS!V$3,'BY-Demands'!$J$5:$AK$14,MATCH($E80,'BY-Demands'!$I$5:$I$14,0),FALSE)*HLOOKUP(REG_TRA_DEMANDS!$F80,DEMANDS!$G$2:$CK$25,MATCH($E80,DEMANDS!$E$2:$E$25,0),FALSE)/HLOOKUP(2018,DEMANDS!$G$2:$CK$25,MATCH($E80,DEMANDS!$E$2:$E$25,0),FALSE)</f>
        <v>1.5235755045295905</v>
      </c>
      <c r="W80" s="18">
        <f>HLOOKUP(REG_TRA_DEMANDS!W$3,'BY-Demands'!$J$5:$AK$14,MATCH($E80,'BY-Demands'!$I$5:$I$14,0),FALSE)*HLOOKUP(REG_TRA_DEMANDS!$F80,DEMANDS!$G$2:$CK$25,MATCH($E80,DEMANDS!$E$2:$E$25,0),FALSE)/HLOOKUP(2018,DEMANDS!$G$2:$CK$25,MATCH($E80,DEMANDS!$E$2:$E$25,0),FALSE)</f>
        <v>1.4739534788304813</v>
      </c>
      <c r="X80" s="18">
        <f>HLOOKUP(REG_TRA_DEMANDS!X$3,'BY-Demands'!$J$5:$AK$14,MATCH($E80,'BY-Demands'!$I$5:$I$14,0),FALSE)*HLOOKUP(REG_TRA_DEMANDS!$F80,DEMANDS!$G$2:$CK$25,MATCH($E80,DEMANDS!$E$2:$E$25,0),FALSE)/HLOOKUP(2018,DEMANDS!$G$2:$CK$25,MATCH($E80,DEMANDS!$E$2:$E$25,0),FALSE)</f>
        <v>0.92821895766135987</v>
      </c>
      <c r="Y80" s="18">
        <f>HLOOKUP(REG_TRA_DEMANDS!Y$3,'BY-Demands'!$J$5:$AK$14,MATCH($E80,'BY-Demands'!$I$5:$I$14,0),FALSE)*HLOOKUP(REG_TRA_DEMANDS!$F80,DEMANDS!$G$2:$CK$25,MATCH($E80,DEMANDS!$E$2:$E$25,0),FALSE)/HLOOKUP(2018,DEMANDS!$G$2:$CK$25,MATCH($E80,DEMANDS!$E$2:$E$25,0),FALSE)</f>
        <v>2.1088989142921681</v>
      </c>
      <c r="Z80" s="18">
        <f>HLOOKUP(REG_TRA_DEMANDS!Z$3,'BY-Demands'!$J$5:$AK$14,MATCH($E80,'BY-Demands'!$I$5:$I$14,0),FALSE)*HLOOKUP(REG_TRA_DEMANDS!$F80,DEMANDS!$G$2:$CK$25,MATCH($E80,DEMANDS!$E$2:$E$25,0),FALSE)/HLOOKUP(2018,DEMANDS!$G$2:$CK$25,MATCH($E80,DEMANDS!$E$2:$E$25,0),FALSE)</f>
        <v>0.27206471123780901</v>
      </c>
      <c r="AA80" s="18">
        <f>HLOOKUP(REG_TRA_DEMANDS!AA$3,'BY-Demands'!$J$5:$AK$14,MATCH($E80,'BY-Demands'!$I$5:$I$14,0),FALSE)*HLOOKUP(REG_TRA_DEMANDS!$F80,DEMANDS!$G$2:$CK$25,MATCH($E80,DEMANDS!$E$2:$E$25,0),FALSE)/HLOOKUP(2018,DEMANDS!$G$2:$CK$25,MATCH($E80,DEMANDS!$E$2:$E$25,0),FALSE)</f>
        <v>1.1694230808338753</v>
      </c>
      <c r="AB80" s="18">
        <f>HLOOKUP(REG_TRA_DEMANDS!AB$3,'BY-Demands'!$J$5:$AK$14,MATCH($E80,'BY-Demands'!$I$5:$I$14,0),FALSE)*HLOOKUP(REG_TRA_DEMANDS!$F80,DEMANDS!$G$2:$CK$25,MATCH($E80,DEMANDS!$E$2:$E$25,0),FALSE)/HLOOKUP(2018,DEMANDS!$G$2:$CK$25,MATCH($E80,DEMANDS!$E$2:$E$25,0),FALSE)</f>
        <v>0.61296785683798671</v>
      </c>
      <c r="AC80" s="18">
        <f>HLOOKUP(REG_TRA_DEMANDS!AC$3,'BY-Demands'!$J$5:$AK$14,MATCH($E80,'BY-Demands'!$I$5:$I$14,0),FALSE)*HLOOKUP(REG_TRA_DEMANDS!$F80,DEMANDS!$G$2:$CK$25,MATCH($E80,DEMANDS!$E$2:$E$25,0),FALSE)/HLOOKUP(2018,DEMANDS!$G$2:$CK$25,MATCH($E80,DEMANDS!$E$2:$E$25,0),FALSE)</f>
        <v>0.51091317794151914</v>
      </c>
      <c r="AD80" s="18">
        <f>HLOOKUP(REG_TRA_DEMANDS!AD$3,'BY-Demands'!$J$5:$AK$14,MATCH($E80,'BY-Demands'!$I$5:$I$14,0),FALSE)*HLOOKUP(REG_TRA_DEMANDS!$F80,DEMANDS!$G$2:$CK$25,MATCH($E80,DEMANDS!$E$2:$E$25,0),FALSE)/HLOOKUP(2018,DEMANDS!$G$2:$CK$25,MATCH($E80,DEMANDS!$E$2:$E$25,0),FALSE)</f>
        <v>0.54641953307667301</v>
      </c>
      <c r="AE80" s="18">
        <f>HLOOKUP(REG_TRA_DEMANDS!AE$3,'BY-Demands'!$J$5:$AK$14,MATCH($E80,'BY-Demands'!$I$5:$I$14,0),FALSE)*HLOOKUP(REG_TRA_DEMANDS!$F80,DEMANDS!$G$2:$CK$25,MATCH($E80,DEMANDS!$E$2:$E$25,0),FALSE)/HLOOKUP(2018,DEMANDS!$G$2:$CK$25,MATCH($E80,DEMANDS!$E$2:$E$25,0),FALSE)</f>
        <v>1.0065446578254094</v>
      </c>
      <c r="AF80" s="18">
        <f>HLOOKUP(REG_TRA_DEMANDS!AF$3,'BY-Demands'!$J$5:$AK$14,MATCH($E80,'BY-Demands'!$I$5:$I$14,0),FALSE)*HLOOKUP(REG_TRA_DEMANDS!$F80,DEMANDS!$G$2:$CK$25,MATCH($E80,DEMANDS!$E$2:$E$25,0),FALSE)/HLOOKUP(2018,DEMANDS!$G$2:$CK$25,MATCH($E80,DEMANDS!$E$2:$E$25,0),FALSE)</f>
        <v>0.58142672906710913</v>
      </c>
    </row>
    <row r="81" spans="4:32" ht="14.4">
      <c r="D81" t="s">
        <v>6</v>
      </c>
      <c r="E81" t="str">
        <f>DEMANDS!$E$19</f>
        <v>TRAPL</v>
      </c>
      <c r="F81">
        <v>2055</v>
      </c>
      <c r="G81" s="18">
        <f>HLOOKUP(REG_TRA_DEMANDS!G$3,'BY-Demands'!$J$5:$AK$14,MATCH($E81,'BY-Demands'!$I$5:$I$14,0),FALSE)*HLOOKUP(REG_TRA_DEMANDS!$F81,DEMANDS!$G$2:$CK$25,MATCH($E81,DEMANDS!$E$2:$E$25,0),FALSE)/HLOOKUP(2018,DEMANDS!$G$2:$CK$25,MATCH($E81,DEMANDS!$E$2:$E$25,0),FALSE)</f>
        <v>0.55346110058160747</v>
      </c>
      <c r="H81" s="18">
        <f>HLOOKUP(REG_TRA_DEMANDS!H$3,'BY-Demands'!$J$5:$AK$14,MATCH($E81,'BY-Demands'!$I$5:$I$14,0),FALSE)*HLOOKUP(REG_TRA_DEMANDS!$F81,DEMANDS!$G$2:$CK$25,MATCH($E81,DEMANDS!$E$2:$E$25,0),FALSE)/HLOOKUP(2018,DEMANDS!$G$2:$CK$25,MATCH($E81,DEMANDS!$E$2:$E$25,0),FALSE)</f>
        <v>9.8595560446942532</v>
      </c>
      <c r="I81" s="18">
        <f>HLOOKUP(REG_TRA_DEMANDS!I$3,'BY-Demands'!$J$5:$AK$14,MATCH($E81,'BY-Demands'!$I$5:$I$14,0),FALSE)*HLOOKUP(REG_TRA_DEMANDS!$F81,DEMANDS!$G$2:$CK$25,MATCH($E81,DEMANDS!$E$2:$E$25,0),FALSE)/HLOOKUP(2018,DEMANDS!$G$2:$CK$25,MATCH($E81,DEMANDS!$E$2:$E$25,0),FALSE)</f>
        <v>1.9921118683664107</v>
      </c>
      <c r="J81" s="18">
        <f>HLOOKUP(REG_TRA_DEMANDS!J$3,'BY-Demands'!$J$5:$AK$14,MATCH($E81,'BY-Demands'!$I$5:$I$14,0),FALSE)*HLOOKUP(REG_TRA_DEMANDS!$F81,DEMANDS!$G$2:$CK$25,MATCH($E81,DEMANDS!$E$2:$E$25,0),FALSE)/HLOOKUP(2018,DEMANDS!$G$2:$CK$25,MATCH($E81,DEMANDS!$E$2:$E$25,0),FALSE)</f>
        <v>0.95928173445969744</v>
      </c>
      <c r="K81" s="18">
        <f>HLOOKUP(REG_TRA_DEMANDS!K$3,'BY-Demands'!$J$5:$AK$14,MATCH($E81,'BY-Demands'!$I$5:$I$14,0),FALSE)*HLOOKUP(REG_TRA_DEMANDS!$F81,DEMANDS!$G$2:$CK$25,MATCH($E81,DEMANDS!$E$2:$E$25,0),FALSE)/HLOOKUP(2018,DEMANDS!$G$2:$CK$25,MATCH($E81,DEMANDS!$E$2:$E$25,0),FALSE)</f>
        <v>0.71273874597467834</v>
      </c>
      <c r="L81" s="18">
        <f>HLOOKUP(REG_TRA_DEMANDS!L$3,'BY-Demands'!$J$5:$AK$14,MATCH($E81,'BY-Demands'!$I$5:$I$14,0),FALSE)*HLOOKUP(REG_TRA_DEMANDS!$F81,DEMANDS!$G$2:$CK$25,MATCH($E81,DEMANDS!$E$2:$E$25,0),FALSE)/HLOOKUP(2018,DEMANDS!$G$2:$CK$25,MATCH($E81,DEMANDS!$E$2:$E$25,0),FALSE)</f>
        <v>0.36699792316269075</v>
      </c>
      <c r="M81" s="18">
        <f>HLOOKUP(REG_TRA_DEMANDS!M$3,'BY-Demands'!$J$5:$AK$14,MATCH($E81,'BY-Demands'!$I$5:$I$14,0),FALSE)*HLOOKUP(REG_TRA_DEMANDS!$F81,DEMANDS!$G$2:$CK$25,MATCH($E81,DEMANDS!$E$2:$E$25,0),FALSE)/HLOOKUP(2018,DEMANDS!$G$2:$CK$25,MATCH($E81,DEMANDS!$E$2:$E$25,0),FALSE)</f>
        <v>0.99722468181477719</v>
      </c>
      <c r="N81" s="18">
        <f>HLOOKUP(REG_TRA_DEMANDS!N$3,'BY-Demands'!$J$5:$AK$14,MATCH($E81,'BY-Demands'!$I$5:$I$14,0),FALSE)*HLOOKUP(REG_TRA_DEMANDS!$F81,DEMANDS!$G$2:$CK$25,MATCH($E81,DEMANDS!$E$2:$E$25,0),FALSE)/HLOOKUP(2018,DEMANDS!$G$2:$CK$25,MATCH($E81,DEMANDS!$E$2:$E$25,0),FALSE)</f>
        <v>1.6957944576395565</v>
      </c>
      <c r="O81" s="18">
        <f>HLOOKUP(REG_TRA_DEMANDS!O$3,'BY-Demands'!$J$5:$AK$14,MATCH($E81,'BY-Demands'!$I$5:$I$14,0),FALSE)*HLOOKUP(REG_TRA_DEMANDS!$F81,DEMANDS!$G$2:$CK$25,MATCH($E81,DEMANDS!$E$2:$E$25,0),FALSE)/HLOOKUP(2018,DEMANDS!$G$2:$CK$25,MATCH($E81,DEMANDS!$E$2:$E$25,0),FALSE)</f>
        <v>0.73091714495402282</v>
      </c>
      <c r="P81" s="18">
        <f>HLOOKUP(REG_TRA_DEMANDS!P$3,'BY-Demands'!$J$5:$AK$14,MATCH($E81,'BY-Demands'!$I$5:$I$14,0),FALSE)*HLOOKUP(REG_TRA_DEMANDS!$F81,DEMANDS!$G$2:$CK$25,MATCH($E81,DEMANDS!$E$2:$E$25,0),FALSE)/HLOOKUP(2018,DEMANDS!$G$2:$CK$25,MATCH($E81,DEMANDS!$E$2:$E$25,0),FALSE)</f>
        <v>0.81002401635763255</v>
      </c>
      <c r="Q81" s="18">
        <f>HLOOKUP(REG_TRA_DEMANDS!Q$3,'BY-Demands'!$J$5:$AK$14,MATCH($E81,'BY-Demands'!$I$5:$I$14,0),FALSE)*HLOOKUP(REG_TRA_DEMANDS!$F81,DEMANDS!$G$2:$CK$25,MATCH($E81,DEMANDS!$E$2:$E$25,0),FALSE)/HLOOKUP(2018,DEMANDS!$G$2:$CK$25,MATCH($E81,DEMANDS!$E$2:$E$25,0),FALSE)</f>
        <v>1.4397286283557726</v>
      </c>
      <c r="R81" s="18">
        <f>HLOOKUP(REG_TRA_DEMANDS!R$3,'BY-Demands'!$J$5:$AK$14,MATCH($E81,'BY-Demands'!$I$5:$I$14,0),FALSE)*HLOOKUP(REG_TRA_DEMANDS!$F81,DEMANDS!$G$2:$CK$25,MATCH($E81,DEMANDS!$E$2:$E$25,0),FALSE)/HLOOKUP(2018,DEMANDS!$G$2:$CK$25,MATCH($E81,DEMANDS!$E$2:$E$25,0),FALSE)</f>
        <v>1.2328457224273695</v>
      </c>
      <c r="S81" s="18">
        <f>HLOOKUP(REG_TRA_DEMANDS!S$3,'BY-Demands'!$J$5:$AK$14,MATCH($E81,'BY-Demands'!$I$5:$I$14,0),FALSE)*HLOOKUP(REG_TRA_DEMANDS!$F81,DEMANDS!$G$2:$CK$25,MATCH($E81,DEMANDS!$E$2:$E$25,0),FALSE)/HLOOKUP(2018,DEMANDS!$G$2:$CK$25,MATCH($E81,DEMANDS!$E$2:$E$25,0),FALSE)</f>
        <v>1.1053719244130613</v>
      </c>
      <c r="T81" s="18">
        <f>HLOOKUP(REG_TRA_DEMANDS!T$3,'BY-Demands'!$J$5:$AK$14,MATCH($E81,'BY-Demands'!$I$5:$I$14,0),FALSE)*HLOOKUP(REG_TRA_DEMANDS!$F81,DEMANDS!$G$2:$CK$25,MATCH($E81,DEMANDS!$E$2:$E$25,0),FALSE)/HLOOKUP(2018,DEMANDS!$G$2:$CK$25,MATCH($E81,DEMANDS!$E$2:$E$25,0),FALSE)</f>
        <v>4.5072704447298575</v>
      </c>
      <c r="U81" s="18">
        <f>HLOOKUP(REG_TRA_DEMANDS!U$3,'BY-Demands'!$J$5:$AK$14,MATCH($E81,'BY-Demands'!$I$5:$I$14,0),FALSE)*HLOOKUP(REG_TRA_DEMANDS!$F81,DEMANDS!$G$2:$CK$25,MATCH($E81,DEMANDS!$E$2:$E$25,0),FALSE)/HLOOKUP(2018,DEMANDS!$G$2:$CK$25,MATCH($E81,DEMANDS!$E$2:$E$25,0),FALSE)</f>
        <v>1.498957757389574</v>
      </c>
      <c r="V81" s="18">
        <f>HLOOKUP(REG_TRA_DEMANDS!V$3,'BY-Demands'!$J$5:$AK$14,MATCH($E81,'BY-Demands'!$I$5:$I$14,0),FALSE)*HLOOKUP(REG_TRA_DEMANDS!$F81,DEMANDS!$G$2:$CK$25,MATCH($E81,DEMANDS!$E$2:$E$25,0),FALSE)/HLOOKUP(2018,DEMANDS!$G$2:$CK$25,MATCH($E81,DEMANDS!$E$2:$E$25,0),FALSE)</f>
        <v>1.6605106337452356</v>
      </c>
      <c r="W81" s="18">
        <f>HLOOKUP(REG_TRA_DEMANDS!W$3,'BY-Demands'!$J$5:$AK$14,MATCH($E81,'BY-Demands'!$I$5:$I$14,0),FALSE)*HLOOKUP(REG_TRA_DEMANDS!$F81,DEMANDS!$G$2:$CK$25,MATCH($E81,DEMANDS!$E$2:$E$25,0),FALSE)/HLOOKUP(2018,DEMANDS!$G$2:$CK$25,MATCH($E81,DEMANDS!$E$2:$E$25,0),FALSE)</f>
        <v>1.606428705349576</v>
      </c>
      <c r="X81" s="18">
        <f>HLOOKUP(REG_TRA_DEMANDS!X$3,'BY-Demands'!$J$5:$AK$14,MATCH($E81,'BY-Demands'!$I$5:$I$14,0),FALSE)*HLOOKUP(REG_TRA_DEMANDS!$F81,DEMANDS!$G$2:$CK$25,MATCH($E81,DEMANDS!$E$2:$E$25,0),FALSE)/HLOOKUP(2018,DEMANDS!$G$2:$CK$25,MATCH($E81,DEMANDS!$E$2:$E$25,0),FALSE)</f>
        <v>1.0116449398525176</v>
      </c>
      <c r="Y81" s="18">
        <f>HLOOKUP(REG_TRA_DEMANDS!Y$3,'BY-Demands'!$J$5:$AK$14,MATCH($E81,'BY-Demands'!$I$5:$I$14,0),FALSE)*HLOOKUP(REG_TRA_DEMANDS!$F81,DEMANDS!$G$2:$CK$25,MATCH($E81,DEMANDS!$E$2:$E$25,0),FALSE)/HLOOKUP(2018,DEMANDS!$G$2:$CK$25,MATCH($E81,DEMANDS!$E$2:$E$25,0),FALSE)</f>
        <v>2.2984414374377438</v>
      </c>
      <c r="Z81" s="18">
        <f>HLOOKUP(REG_TRA_DEMANDS!Z$3,'BY-Demands'!$J$5:$AK$14,MATCH($E81,'BY-Demands'!$I$5:$I$14,0),FALSE)*HLOOKUP(REG_TRA_DEMANDS!$F81,DEMANDS!$G$2:$CK$25,MATCH($E81,DEMANDS!$E$2:$E$25,0),FALSE)/HLOOKUP(2018,DEMANDS!$G$2:$CK$25,MATCH($E81,DEMANDS!$E$2:$E$25,0),FALSE)</f>
        <v>0.2965172022877155</v>
      </c>
      <c r="AA81" s="18">
        <f>HLOOKUP(REG_TRA_DEMANDS!AA$3,'BY-Demands'!$J$5:$AK$14,MATCH($E81,'BY-Demands'!$I$5:$I$14,0),FALSE)*HLOOKUP(REG_TRA_DEMANDS!$F81,DEMANDS!$G$2:$CK$25,MATCH($E81,DEMANDS!$E$2:$E$25,0),FALSE)/HLOOKUP(2018,DEMANDS!$G$2:$CK$25,MATCH($E81,DEMANDS!$E$2:$E$25,0),FALSE)</f>
        <v>1.2745278821421546</v>
      </c>
      <c r="AB81" s="18">
        <f>HLOOKUP(REG_TRA_DEMANDS!AB$3,'BY-Demands'!$J$5:$AK$14,MATCH($E81,'BY-Demands'!$I$5:$I$14,0),FALSE)*HLOOKUP(REG_TRA_DEMANDS!$F81,DEMANDS!$G$2:$CK$25,MATCH($E81,DEMANDS!$E$2:$E$25,0),FALSE)/HLOOKUP(2018,DEMANDS!$G$2:$CK$25,MATCH($E81,DEMANDS!$E$2:$E$25,0),FALSE)</f>
        <v>0.66805986404839568</v>
      </c>
      <c r="AC81" s="18">
        <f>HLOOKUP(REG_TRA_DEMANDS!AC$3,'BY-Demands'!$J$5:$AK$14,MATCH($E81,'BY-Demands'!$I$5:$I$14,0),FALSE)*HLOOKUP(REG_TRA_DEMANDS!$F81,DEMANDS!$G$2:$CK$25,MATCH($E81,DEMANDS!$E$2:$E$25,0),FALSE)/HLOOKUP(2018,DEMANDS!$G$2:$CK$25,MATCH($E81,DEMANDS!$E$2:$E$25,0),FALSE)</f>
        <v>0.55683276763786227</v>
      </c>
      <c r="AD81" s="18">
        <f>HLOOKUP(REG_TRA_DEMANDS!AD$3,'BY-Demands'!$J$5:$AK$14,MATCH($E81,'BY-Demands'!$I$5:$I$14,0),FALSE)*HLOOKUP(REG_TRA_DEMANDS!$F81,DEMANDS!$G$2:$CK$25,MATCH($E81,DEMANDS!$E$2:$E$25,0),FALSE)/HLOOKUP(2018,DEMANDS!$G$2:$CK$25,MATCH($E81,DEMANDS!$E$2:$E$25,0),FALSE)</f>
        <v>0.59553034454965548</v>
      </c>
      <c r="AE81" s="18">
        <f>HLOOKUP(REG_TRA_DEMANDS!AE$3,'BY-Demands'!$J$5:$AK$14,MATCH($E81,'BY-Demands'!$I$5:$I$14,0),FALSE)*HLOOKUP(REG_TRA_DEMANDS!$F81,DEMANDS!$G$2:$CK$25,MATCH($E81,DEMANDS!$E$2:$E$25,0),FALSE)/HLOOKUP(2018,DEMANDS!$G$2:$CK$25,MATCH($E81,DEMANDS!$E$2:$E$25,0),FALSE)</f>
        <v>1.0970103566836986</v>
      </c>
      <c r="AF81" s="18">
        <f>HLOOKUP(REG_TRA_DEMANDS!AF$3,'BY-Demands'!$J$5:$AK$14,MATCH($E81,'BY-Demands'!$I$5:$I$14,0),FALSE)*HLOOKUP(REG_TRA_DEMANDS!$F81,DEMANDS!$G$2:$CK$25,MATCH($E81,DEMANDS!$E$2:$E$25,0),FALSE)/HLOOKUP(2018,DEMANDS!$G$2:$CK$25,MATCH($E81,DEMANDS!$E$2:$E$25,0),FALSE)</f>
        <v>0.63368389914993795</v>
      </c>
    </row>
    <row r="82" spans="4:32" ht="14.4">
      <c r="D82" t="s">
        <v>6</v>
      </c>
      <c r="E82" t="str">
        <f>DEMANDS!$E$19</f>
        <v>TRAPL</v>
      </c>
      <c r="F82">
        <v>2060</v>
      </c>
      <c r="G82" s="18">
        <f>HLOOKUP(REG_TRA_DEMANDS!G$3,'BY-Demands'!$J$5:$AK$14,MATCH($E82,'BY-Demands'!$I$5:$I$14,0),FALSE)*HLOOKUP(REG_TRA_DEMANDS!$F82,DEMANDS!$G$2:$CK$25,MATCH($E82,DEMANDS!$E$2:$E$25,0),FALSE)/HLOOKUP(2018,DEMANDS!$G$2:$CK$25,MATCH($E82,DEMANDS!$E$2:$E$25,0),FALSE)</f>
        <v>0.56838552570014955</v>
      </c>
      <c r="H82" s="18">
        <f>HLOOKUP(REG_TRA_DEMANDS!H$3,'BY-Demands'!$J$5:$AK$14,MATCH($E82,'BY-Demands'!$I$5:$I$14,0),FALSE)*HLOOKUP(REG_TRA_DEMANDS!$F82,DEMANDS!$G$2:$CK$25,MATCH($E82,DEMANDS!$E$2:$E$25,0),FALSE)/HLOOKUP(2018,DEMANDS!$G$2:$CK$25,MATCH($E82,DEMANDS!$E$2:$E$25,0),FALSE)</f>
        <v>10.125425146852429</v>
      </c>
      <c r="I82" s="18">
        <f>HLOOKUP(REG_TRA_DEMANDS!I$3,'BY-Demands'!$J$5:$AK$14,MATCH($E82,'BY-Demands'!$I$5:$I$14,0),FALSE)*HLOOKUP(REG_TRA_DEMANDS!$F82,DEMANDS!$G$2:$CK$25,MATCH($E82,DEMANDS!$E$2:$E$25,0),FALSE)/HLOOKUP(2018,DEMANDS!$G$2:$CK$25,MATCH($E82,DEMANDS!$E$2:$E$25,0),FALSE)</f>
        <v>2.0458304122278497</v>
      </c>
      <c r="J82" s="18">
        <f>HLOOKUP(REG_TRA_DEMANDS!J$3,'BY-Demands'!$J$5:$AK$14,MATCH($E82,'BY-Demands'!$I$5:$I$14,0),FALSE)*HLOOKUP(REG_TRA_DEMANDS!$F82,DEMANDS!$G$2:$CK$25,MATCH($E82,DEMANDS!$E$2:$E$25,0),FALSE)/HLOOKUP(2018,DEMANDS!$G$2:$CK$25,MATCH($E82,DEMANDS!$E$2:$E$25,0),FALSE)</f>
        <v>0.98514936706925949</v>
      </c>
      <c r="K82" s="18">
        <f>HLOOKUP(REG_TRA_DEMANDS!K$3,'BY-Demands'!$J$5:$AK$14,MATCH($E82,'BY-Demands'!$I$5:$I$14,0),FALSE)*HLOOKUP(REG_TRA_DEMANDS!$F82,DEMANDS!$G$2:$CK$25,MATCH($E82,DEMANDS!$E$2:$E$25,0),FALSE)/HLOOKUP(2018,DEMANDS!$G$2:$CK$25,MATCH($E82,DEMANDS!$E$2:$E$25,0),FALSE)</f>
        <v>0.73195819253055106</v>
      </c>
      <c r="L82" s="18">
        <f>HLOOKUP(REG_TRA_DEMANDS!L$3,'BY-Demands'!$J$5:$AK$14,MATCH($E82,'BY-Demands'!$I$5:$I$14,0),FALSE)*HLOOKUP(REG_TRA_DEMANDS!$F82,DEMANDS!$G$2:$CK$25,MATCH($E82,DEMANDS!$E$2:$E$25,0),FALSE)/HLOOKUP(2018,DEMANDS!$G$2:$CK$25,MATCH($E82,DEMANDS!$E$2:$E$25,0),FALSE)</f>
        <v>0.3768942519510125</v>
      </c>
      <c r="M82" s="18">
        <f>HLOOKUP(REG_TRA_DEMANDS!M$3,'BY-Demands'!$J$5:$AK$14,MATCH($E82,'BY-Demands'!$I$5:$I$14,0),FALSE)*HLOOKUP(REG_TRA_DEMANDS!$F82,DEMANDS!$G$2:$CK$25,MATCH($E82,DEMANDS!$E$2:$E$25,0),FALSE)/HLOOKUP(2018,DEMANDS!$G$2:$CK$25,MATCH($E82,DEMANDS!$E$2:$E$25,0),FALSE)</f>
        <v>1.0241154697571759</v>
      </c>
      <c r="N82" s="18">
        <f>HLOOKUP(REG_TRA_DEMANDS!N$3,'BY-Demands'!$J$5:$AK$14,MATCH($E82,'BY-Demands'!$I$5:$I$14,0),FALSE)*HLOOKUP(REG_TRA_DEMANDS!$F82,DEMANDS!$G$2:$CK$25,MATCH($E82,DEMANDS!$E$2:$E$25,0),FALSE)/HLOOKUP(2018,DEMANDS!$G$2:$CK$25,MATCH($E82,DEMANDS!$E$2:$E$25,0),FALSE)</f>
        <v>1.7415226169860478</v>
      </c>
      <c r="O82" s="18">
        <f>HLOOKUP(REG_TRA_DEMANDS!O$3,'BY-Demands'!$J$5:$AK$14,MATCH($E82,'BY-Demands'!$I$5:$I$14,0),FALSE)*HLOOKUP(REG_TRA_DEMANDS!$F82,DEMANDS!$G$2:$CK$25,MATCH($E82,DEMANDS!$E$2:$E$25,0),FALSE)/HLOOKUP(2018,DEMANDS!$G$2:$CK$25,MATCH($E82,DEMANDS!$E$2:$E$25,0),FALSE)</f>
        <v>0.75062678342050515</v>
      </c>
      <c r="P82" s="18">
        <f>HLOOKUP(REG_TRA_DEMANDS!P$3,'BY-Demands'!$J$5:$AK$14,MATCH($E82,'BY-Demands'!$I$5:$I$14,0),FALSE)*HLOOKUP(REG_TRA_DEMANDS!$F82,DEMANDS!$G$2:$CK$25,MATCH($E82,DEMANDS!$E$2:$E$25,0),FALSE)/HLOOKUP(2018,DEMANDS!$G$2:$CK$25,MATCH($E82,DEMANDS!$E$2:$E$25,0),FALSE)</f>
        <v>0.83186682114309296</v>
      </c>
      <c r="Q82" s="18">
        <f>HLOOKUP(REG_TRA_DEMANDS!Q$3,'BY-Demands'!$J$5:$AK$14,MATCH($E82,'BY-Demands'!$I$5:$I$14,0),FALSE)*HLOOKUP(REG_TRA_DEMANDS!$F82,DEMANDS!$G$2:$CK$25,MATCH($E82,DEMANDS!$E$2:$E$25,0),FALSE)/HLOOKUP(2018,DEMANDS!$G$2:$CK$25,MATCH($E82,DEMANDS!$E$2:$E$25,0),FALSE)</f>
        <v>1.4785518122838519</v>
      </c>
      <c r="R82" s="18">
        <f>HLOOKUP(REG_TRA_DEMANDS!R$3,'BY-Demands'!$J$5:$AK$14,MATCH($E82,'BY-Demands'!$I$5:$I$14,0),FALSE)*HLOOKUP(REG_TRA_DEMANDS!$F82,DEMANDS!$G$2:$CK$25,MATCH($E82,DEMANDS!$E$2:$E$25,0),FALSE)/HLOOKUP(2018,DEMANDS!$G$2:$CK$25,MATCH($E82,DEMANDS!$E$2:$E$25,0),FALSE)</f>
        <v>1.2660901792604637</v>
      </c>
      <c r="S82" s="18">
        <f>HLOOKUP(REG_TRA_DEMANDS!S$3,'BY-Demands'!$J$5:$AK$14,MATCH($E82,'BY-Demands'!$I$5:$I$14,0),FALSE)*HLOOKUP(REG_TRA_DEMANDS!$F82,DEMANDS!$G$2:$CK$25,MATCH($E82,DEMANDS!$E$2:$E$25,0),FALSE)/HLOOKUP(2018,DEMANDS!$G$2:$CK$25,MATCH($E82,DEMANDS!$E$2:$E$25,0),FALSE)</f>
        <v>1.1351789704668951</v>
      </c>
      <c r="T82" s="18">
        <f>HLOOKUP(REG_TRA_DEMANDS!T$3,'BY-Demands'!$J$5:$AK$14,MATCH($E82,'BY-Demands'!$I$5:$I$14,0),FALSE)*HLOOKUP(REG_TRA_DEMANDS!$F82,DEMANDS!$G$2:$CK$25,MATCH($E82,DEMANDS!$E$2:$E$25,0),FALSE)/HLOOKUP(2018,DEMANDS!$G$2:$CK$25,MATCH($E82,DEMANDS!$E$2:$E$25,0),FALSE)</f>
        <v>4.6288118144317192</v>
      </c>
      <c r="U82" s="18">
        <f>HLOOKUP(REG_TRA_DEMANDS!U$3,'BY-Demands'!$J$5:$AK$14,MATCH($E82,'BY-Demands'!$I$5:$I$14,0),FALSE)*HLOOKUP(REG_TRA_DEMANDS!$F82,DEMANDS!$G$2:$CK$25,MATCH($E82,DEMANDS!$E$2:$E$25,0),FALSE)/HLOOKUP(2018,DEMANDS!$G$2:$CK$25,MATCH($E82,DEMANDS!$E$2:$E$25,0),FALSE)</f>
        <v>1.53937809186748</v>
      </c>
      <c r="V82" s="18">
        <f>HLOOKUP(REG_TRA_DEMANDS!V$3,'BY-Demands'!$J$5:$AK$14,MATCH($E82,'BY-Demands'!$I$5:$I$14,0),FALSE)*HLOOKUP(REG_TRA_DEMANDS!$F82,DEMANDS!$G$2:$CK$25,MATCH($E82,DEMANDS!$E$2:$E$25,0),FALSE)/HLOOKUP(2018,DEMANDS!$G$2:$CK$25,MATCH($E82,DEMANDS!$E$2:$E$25,0),FALSE)</f>
        <v>1.70528734268798</v>
      </c>
      <c r="W82" s="18">
        <f>HLOOKUP(REG_TRA_DEMANDS!W$3,'BY-Demands'!$J$5:$AK$14,MATCH($E82,'BY-Demands'!$I$5:$I$14,0),FALSE)*HLOOKUP(REG_TRA_DEMANDS!$F82,DEMANDS!$G$2:$CK$25,MATCH($E82,DEMANDS!$E$2:$E$25,0),FALSE)/HLOOKUP(2018,DEMANDS!$G$2:$CK$25,MATCH($E82,DEMANDS!$E$2:$E$25,0),FALSE)</f>
        <v>1.6497470612305438</v>
      </c>
      <c r="X82" s="18">
        <f>HLOOKUP(REG_TRA_DEMANDS!X$3,'BY-Demands'!$J$5:$AK$14,MATCH($E82,'BY-Demands'!$I$5:$I$14,0),FALSE)*HLOOKUP(REG_TRA_DEMANDS!$F82,DEMANDS!$G$2:$CK$25,MATCH($E82,DEMANDS!$E$2:$E$25,0),FALSE)/HLOOKUP(2018,DEMANDS!$G$2:$CK$25,MATCH($E82,DEMANDS!$E$2:$E$25,0),FALSE)</f>
        <v>1.0389245790819319</v>
      </c>
      <c r="Y82" s="18">
        <f>HLOOKUP(REG_TRA_DEMANDS!Y$3,'BY-Demands'!$J$5:$AK$14,MATCH($E82,'BY-Demands'!$I$5:$I$14,0),FALSE)*HLOOKUP(REG_TRA_DEMANDS!$F82,DEMANDS!$G$2:$CK$25,MATCH($E82,DEMANDS!$E$2:$E$25,0),FALSE)/HLOOKUP(2018,DEMANDS!$G$2:$CK$25,MATCH($E82,DEMANDS!$E$2:$E$25,0),FALSE)</f>
        <v>2.360420349932852</v>
      </c>
      <c r="Z82" s="18">
        <f>HLOOKUP(REG_TRA_DEMANDS!Z$3,'BY-Demands'!$J$5:$AK$14,MATCH($E82,'BY-Demands'!$I$5:$I$14,0),FALSE)*HLOOKUP(REG_TRA_DEMANDS!$F82,DEMANDS!$G$2:$CK$25,MATCH($E82,DEMANDS!$E$2:$E$25,0),FALSE)/HLOOKUP(2018,DEMANDS!$G$2:$CK$25,MATCH($E82,DEMANDS!$E$2:$E$25,0),FALSE)</f>
        <v>0.30451297430719837</v>
      </c>
      <c r="AA82" s="18">
        <f>HLOOKUP(REG_TRA_DEMANDS!AA$3,'BY-Demands'!$J$5:$AK$14,MATCH($E82,'BY-Demands'!$I$5:$I$14,0),FALSE)*HLOOKUP(REG_TRA_DEMANDS!$F82,DEMANDS!$G$2:$CK$25,MATCH($E82,DEMANDS!$E$2:$E$25,0),FALSE)/HLOOKUP(2018,DEMANDS!$G$2:$CK$25,MATCH($E82,DEMANDS!$E$2:$E$25,0),FALSE)</f>
        <v>1.3088963245106169</v>
      </c>
      <c r="AB82" s="18">
        <f>HLOOKUP(REG_TRA_DEMANDS!AB$3,'BY-Demands'!$J$5:$AK$14,MATCH($E82,'BY-Demands'!$I$5:$I$14,0),FALSE)*HLOOKUP(REG_TRA_DEMANDS!$F82,DEMANDS!$G$2:$CK$25,MATCH($E82,DEMANDS!$E$2:$E$25,0),FALSE)/HLOOKUP(2018,DEMANDS!$G$2:$CK$25,MATCH($E82,DEMANDS!$E$2:$E$25,0),FALSE)</f>
        <v>0.68607451657811491</v>
      </c>
      <c r="AC82" s="18">
        <f>HLOOKUP(REG_TRA_DEMANDS!AC$3,'BY-Demands'!$J$5:$AK$14,MATCH($E82,'BY-Demands'!$I$5:$I$14,0),FALSE)*HLOOKUP(REG_TRA_DEMANDS!$F82,DEMANDS!$G$2:$CK$25,MATCH($E82,DEMANDS!$E$2:$E$25,0),FALSE)/HLOOKUP(2018,DEMANDS!$G$2:$CK$25,MATCH($E82,DEMANDS!$E$2:$E$25,0),FALSE)</f>
        <v>0.57184811186969497</v>
      </c>
      <c r="AD82" s="18">
        <f>HLOOKUP(REG_TRA_DEMANDS!AD$3,'BY-Demands'!$J$5:$AK$14,MATCH($E82,'BY-Demands'!$I$5:$I$14,0),FALSE)*HLOOKUP(REG_TRA_DEMANDS!$F82,DEMANDS!$G$2:$CK$25,MATCH($E82,DEMANDS!$E$2:$E$25,0),FALSE)/HLOOKUP(2018,DEMANDS!$G$2:$CK$25,MATCH($E82,DEMANDS!$E$2:$E$25,0),FALSE)</f>
        <v>0.61158919317282145</v>
      </c>
      <c r="AE82" s="18">
        <f>HLOOKUP(REG_TRA_DEMANDS!AE$3,'BY-Demands'!$J$5:$AK$14,MATCH($E82,'BY-Demands'!$I$5:$I$14,0),FALSE)*HLOOKUP(REG_TRA_DEMANDS!$F82,DEMANDS!$G$2:$CK$25,MATCH($E82,DEMANDS!$E$2:$E$25,0),FALSE)/HLOOKUP(2018,DEMANDS!$G$2:$CK$25,MATCH($E82,DEMANDS!$E$2:$E$25,0),FALSE)</f>
        <v>1.1265919278282397</v>
      </c>
      <c r="AF82" s="18">
        <f>HLOOKUP(REG_TRA_DEMANDS!AF$3,'BY-Demands'!$J$5:$AK$14,MATCH($E82,'BY-Demands'!$I$5:$I$14,0),FALSE)*HLOOKUP(REG_TRA_DEMANDS!$F82,DEMANDS!$G$2:$CK$25,MATCH($E82,DEMANDS!$E$2:$E$25,0),FALSE)/HLOOKUP(2018,DEMANDS!$G$2:$CK$25,MATCH($E82,DEMANDS!$E$2:$E$25,0),FALSE)</f>
        <v>0.65077158226217591</v>
      </c>
    </row>
    <row r="83" spans="4:32" ht="14.4">
      <c r="D83" t="s">
        <v>6</v>
      </c>
      <c r="E83" t="str">
        <f>DEMANDS!$E$19</f>
        <v>TRAPL</v>
      </c>
      <c r="F83">
        <v>2065</v>
      </c>
      <c r="G83" s="18">
        <f>HLOOKUP(REG_TRA_DEMANDS!G$3,'BY-Demands'!$J$5:$AK$14,MATCH($E83,'BY-Demands'!$I$5:$I$14,0),FALSE)*HLOOKUP(REG_TRA_DEMANDS!$F83,DEMANDS!$G$2:$CK$25,MATCH($E83,DEMANDS!$E$2:$E$25,0),FALSE)/HLOOKUP(2018,DEMANDS!$G$2:$CK$25,MATCH($E83,DEMANDS!$E$2:$E$25,0),FALSE)</f>
        <v>0.5770452086868576</v>
      </c>
      <c r="H83" s="18">
        <f>HLOOKUP(REG_TRA_DEMANDS!H$3,'BY-Demands'!$J$5:$AK$14,MATCH($E83,'BY-Demands'!$I$5:$I$14,0),FALSE)*HLOOKUP(REG_TRA_DEMANDS!$F83,DEMANDS!$G$2:$CK$25,MATCH($E83,DEMANDS!$E$2:$E$25,0),FALSE)/HLOOKUP(2018,DEMANDS!$G$2:$CK$25,MATCH($E83,DEMANDS!$E$2:$E$25,0),FALSE)</f>
        <v>10.279691868844294</v>
      </c>
      <c r="I83" s="18">
        <f>HLOOKUP(REG_TRA_DEMANDS!I$3,'BY-Demands'!$J$5:$AK$14,MATCH($E83,'BY-Demands'!$I$5:$I$14,0),FALSE)*HLOOKUP(REG_TRA_DEMANDS!$F83,DEMANDS!$G$2:$CK$25,MATCH($E83,DEMANDS!$E$2:$E$25,0),FALSE)/HLOOKUP(2018,DEMANDS!$G$2:$CK$25,MATCH($E83,DEMANDS!$E$2:$E$25,0),FALSE)</f>
        <v>2.0769998245605024</v>
      </c>
      <c r="J83" s="18">
        <f>HLOOKUP(REG_TRA_DEMANDS!J$3,'BY-Demands'!$J$5:$AK$14,MATCH($E83,'BY-Demands'!$I$5:$I$14,0),FALSE)*HLOOKUP(REG_TRA_DEMANDS!$F83,DEMANDS!$G$2:$CK$25,MATCH($E83,DEMANDS!$E$2:$E$25,0),FALSE)/HLOOKUP(2018,DEMANDS!$G$2:$CK$25,MATCH($E83,DEMANDS!$E$2:$E$25,0),FALSE)</f>
        <v>1.0001586887842471</v>
      </c>
      <c r="K83" s="18">
        <f>HLOOKUP(REG_TRA_DEMANDS!K$3,'BY-Demands'!$J$5:$AK$14,MATCH($E83,'BY-Demands'!$I$5:$I$14,0),FALSE)*HLOOKUP(REG_TRA_DEMANDS!$F83,DEMANDS!$G$2:$CK$25,MATCH($E83,DEMANDS!$E$2:$E$25,0),FALSE)/HLOOKUP(2018,DEMANDS!$G$2:$CK$25,MATCH($E83,DEMANDS!$E$2:$E$25,0),FALSE)</f>
        <v>0.74310999992225146</v>
      </c>
      <c r="L83" s="18">
        <f>HLOOKUP(REG_TRA_DEMANDS!L$3,'BY-Demands'!$J$5:$AK$14,MATCH($E83,'BY-Demands'!$I$5:$I$14,0),FALSE)*HLOOKUP(REG_TRA_DEMANDS!$F83,DEMANDS!$G$2:$CK$25,MATCH($E83,DEMANDS!$E$2:$E$25,0),FALSE)/HLOOKUP(2018,DEMANDS!$G$2:$CK$25,MATCH($E83,DEMANDS!$E$2:$E$25,0),FALSE)</f>
        <v>0.38263645437143456</v>
      </c>
      <c r="M83" s="18">
        <f>HLOOKUP(REG_TRA_DEMANDS!M$3,'BY-Demands'!$J$5:$AK$14,MATCH($E83,'BY-Demands'!$I$5:$I$14,0),FALSE)*HLOOKUP(REG_TRA_DEMANDS!$F83,DEMANDS!$G$2:$CK$25,MATCH($E83,DEMANDS!$E$2:$E$25,0),FALSE)/HLOOKUP(2018,DEMANDS!$G$2:$CK$25,MATCH($E83,DEMANDS!$E$2:$E$25,0),FALSE)</f>
        <v>1.0397184626359202</v>
      </c>
      <c r="N83" s="18">
        <f>HLOOKUP(REG_TRA_DEMANDS!N$3,'BY-Demands'!$J$5:$AK$14,MATCH($E83,'BY-Demands'!$I$5:$I$14,0),FALSE)*HLOOKUP(REG_TRA_DEMANDS!$F83,DEMANDS!$G$2:$CK$25,MATCH($E83,DEMANDS!$E$2:$E$25,0),FALSE)/HLOOKUP(2018,DEMANDS!$G$2:$CK$25,MATCH($E83,DEMANDS!$E$2:$E$25,0),FALSE)</f>
        <v>1.7680557236458354</v>
      </c>
      <c r="O83" s="18">
        <f>HLOOKUP(REG_TRA_DEMANDS!O$3,'BY-Demands'!$J$5:$AK$14,MATCH($E83,'BY-Demands'!$I$5:$I$14,0),FALSE)*HLOOKUP(REG_TRA_DEMANDS!$F83,DEMANDS!$G$2:$CK$25,MATCH($E83,DEMANDS!$E$2:$E$25,0),FALSE)/HLOOKUP(2018,DEMANDS!$G$2:$CK$25,MATCH($E83,DEMANDS!$E$2:$E$25,0),FALSE)</f>
        <v>0.76206301761691053</v>
      </c>
      <c r="P83" s="18">
        <f>HLOOKUP(REG_TRA_DEMANDS!P$3,'BY-Demands'!$J$5:$AK$14,MATCH($E83,'BY-Demands'!$I$5:$I$14,0),FALSE)*HLOOKUP(REG_TRA_DEMANDS!$F83,DEMANDS!$G$2:$CK$25,MATCH($E83,DEMANDS!$E$2:$E$25,0),FALSE)/HLOOKUP(2018,DEMANDS!$G$2:$CK$25,MATCH($E83,DEMANDS!$E$2:$E$25,0),FALSE)</f>
        <v>0.84454079441042085</v>
      </c>
      <c r="Q83" s="18">
        <f>HLOOKUP(REG_TRA_DEMANDS!Q$3,'BY-Demands'!$J$5:$AK$14,MATCH($E83,'BY-Demands'!$I$5:$I$14,0),FALSE)*HLOOKUP(REG_TRA_DEMANDS!$F83,DEMANDS!$G$2:$CK$25,MATCH($E83,DEMANDS!$E$2:$E$25,0),FALSE)/HLOOKUP(2018,DEMANDS!$G$2:$CK$25,MATCH($E83,DEMANDS!$E$2:$E$25,0),FALSE)</f>
        <v>1.5010784062853952</v>
      </c>
      <c r="R83" s="18">
        <f>HLOOKUP(REG_TRA_DEMANDS!R$3,'BY-Demands'!$J$5:$AK$14,MATCH($E83,'BY-Demands'!$I$5:$I$14,0),FALSE)*HLOOKUP(REG_TRA_DEMANDS!$F83,DEMANDS!$G$2:$CK$25,MATCH($E83,DEMANDS!$E$2:$E$25,0),FALSE)/HLOOKUP(2018,DEMANDS!$G$2:$CK$25,MATCH($E83,DEMANDS!$E$2:$E$25,0),FALSE)</f>
        <v>1.2853797971153069</v>
      </c>
      <c r="S83" s="18">
        <f>HLOOKUP(REG_TRA_DEMANDS!S$3,'BY-Demands'!$J$5:$AK$14,MATCH($E83,'BY-Demands'!$I$5:$I$14,0),FALSE)*HLOOKUP(REG_TRA_DEMANDS!$F83,DEMANDS!$G$2:$CK$25,MATCH($E83,DEMANDS!$E$2:$E$25,0),FALSE)/HLOOKUP(2018,DEMANDS!$G$2:$CK$25,MATCH($E83,DEMANDS!$E$2:$E$25,0),FALSE)</f>
        <v>1.1524740801643347</v>
      </c>
      <c r="T83" s="18">
        <f>HLOOKUP(REG_TRA_DEMANDS!T$3,'BY-Demands'!$J$5:$AK$14,MATCH($E83,'BY-Demands'!$I$5:$I$14,0),FALSE)*HLOOKUP(REG_TRA_DEMANDS!$F83,DEMANDS!$G$2:$CK$25,MATCH($E83,DEMANDS!$E$2:$E$25,0),FALSE)/HLOOKUP(2018,DEMANDS!$G$2:$CK$25,MATCH($E83,DEMANDS!$E$2:$E$25,0),FALSE)</f>
        <v>4.699334445824789</v>
      </c>
      <c r="U83" s="18">
        <f>HLOOKUP(REG_TRA_DEMANDS!U$3,'BY-Demands'!$J$5:$AK$14,MATCH($E83,'BY-Demands'!$I$5:$I$14,0),FALSE)*HLOOKUP(REG_TRA_DEMANDS!$F83,DEMANDS!$G$2:$CK$25,MATCH($E83,DEMANDS!$E$2:$E$25,0),FALSE)/HLOOKUP(2018,DEMANDS!$G$2:$CK$25,MATCH($E83,DEMANDS!$E$2:$E$25,0),FALSE)</f>
        <v>1.5628314095004987</v>
      </c>
      <c r="V83" s="18">
        <f>HLOOKUP(REG_TRA_DEMANDS!V$3,'BY-Demands'!$J$5:$AK$14,MATCH($E83,'BY-Demands'!$I$5:$I$14,0),FALSE)*HLOOKUP(REG_TRA_DEMANDS!$F83,DEMANDS!$G$2:$CK$25,MATCH($E83,DEMANDS!$E$2:$E$25,0),FALSE)/HLOOKUP(2018,DEMANDS!$G$2:$CK$25,MATCH($E83,DEMANDS!$E$2:$E$25,0),FALSE)</f>
        <v>1.7312683839376373</v>
      </c>
      <c r="W83" s="18">
        <f>HLOOKUP(REG_TRA_DEMANDS!W$3,'BY-Demands'!$J$5:$AK$14,MATCH($E83,'BY-Demands'!$I$5:$I$14,0),FALSE)*HLOOKUP(REG_TRA_DEMANDS!$F83,DEMANDS!$G$2:$CK$25,MATCH($E83,DEMANDS!$E$2:$E$25,0),FALSE)/HLOOKUP(2018,DEMANDS!$G$2:$CK$25,MATCH($E83,DEMANDS!$E$2:$E$25,0),FALSE)</f>
        <v>1.6748819140945601</v>
      </c>
      <c r="X83" s="18">
        <f>HLOOKUP(REG_TRA_DEMANDS!X$3,'BY-Demands'!$J$5:$AK$14,MATCH($E83,'BY-Demands'!$I$5:$I$14,0),FALSE)*HLOOKUP(REG_TRA_DEMANDS!$F83,DEMANDS!$G$2:$CK$25,MATCH($E83,DEMANDS!$E$2:$E$25,0),FALSE)/HLOOKUP(2018,DEMANDS!$G$2:$CK$25,MATCH($E83,DEMANDS!$E$2:$E$25,0),FALSE)</f>
        <v>1.0547531973263291</v>
      </c>
      <c r="Y83" s="18">
        <f>HLOOKUP(REG_TRA_DEMANDS!Y$3,'BY-Demands'!$J$5:$AK$14,MATCH($E83,'BY-Demands'!$I$5:$I$14,0),FALSE)*HLOOKUP(REG_TRA_DEMANDS!$F83,DEMANDS!$G$2:$CK$25,MATCH($E83,DEMANDS!$E$2:$E$25,0),FALSE)/HLOOKUP(2018,DEMANDS!$G$2:$CK$25,MATCH($E83,DEMANDS!$E$2:$E$25,0),FALSE)</f>
        <v>2.3963827223395278</v>
      </c>
      <c r="Z83" s="18">
        <f>HLOOKUP(REG_TRA_DEMANDS!Z$3,'BY-Demands'!$J$5:$AK$14,MATCH($E83,'BY-Demands'!$I$5:$I$14,0),FALSE)*HLOOKUP(REG_TRA_DEMANDS!$F83,DEMANDS!$G$2:$CK$25,MATCH($E83,DEMANDS!$E$2:$E$25,0),FALSE)/HLOOKUP(2018,DEMANDS!$G$2:$CK$25,MATCH($E83,DEMANDS!$E$2:$E$25,0),FALSE)</f>
        <v>0.30915240600207067</v>
      </c>
      <c r="AA83" s="18">
        <f>HLOOKUP(REG_TRA_DEMANDS!AA$3,'BY-Demands'!$J$5:$AK$14,MATCH($E83,'BY-Demands'!$I$5:$I$14,0),FALSE)*HLOOKUP(REG_TRA_DEMANDS!$F83,DEMANDS!$G$2:$CK$25,MATCH($E83,DEMANDS!$E$2:$E$25,0),FALSE)/HLOOKUP(2018,DEMANDS!$G$2:$CK$25,MATCH($E83,DEMANDS!$E$2:$E$25,0),FALSE)</f>
        <v>1.3288381188037899</v>
      </c>
      <c r="AB83" s="18">
        <f>HLOOKUP(REG_TRA_DEMANDS!AB$3,'BY-Demands'!$J$5:$AK$14,MATCH($E83,'BY-Demands'!$I$5:$I$14,0),FALSE)*HLOOKUP(REG_TRA_DEMANDS!$F83,DEMANDS!$G$2:$CK$25,MATCH($E83,DEMANDS!$E$2:$E$25,0),FALSE)/HLOOKUP(2018,DEMANDS!$G$2:$CK$25,MATCH($E83,DEMANDS!$E$2:$E$25,0),FALSE)</f>
        <v>0.6965272595671399</v>
      </c>
      <c r="AC83" s="18">
        <f>HLOOKUP(REG_TRA_DEMANDS!AC$3,'BY-Demands'!$J$5:$AK$14,MATCH($E83,'BY-Demands'!$I$5:$I$14,0),FALSE)*HLOOKUP(REG_TRA_DEMANDS!$F83,DEMANDS!$G$2:$CK$25,MATCH($E83,DEMANDS!$E$2:$E$25,0),FALSE)/HLOOKUP(2018,DEMANDS!$G$2:$CK$25,MATCH($E83,DEMANDS!$E$2:$E$25,0),FALSE)</f>
        <v>0.58056054936401558</v>
      </c>
      <c r="AD83" s="18">
        <f>HLOOKUP(REG_TRA_DEMANDS!AD$3,'BY-Demands'!$J$5:$AK$14,MATCH($E83,'BY-Demands'!$I$5:$I$14,0),FALSE)*HLOOKUP(REG_TRA_DEMANDS!$F83,DEMANDS!$G$2:$CK$25,MATCH($E83,DEMANDS!$E$2:$E$25,0),FALSE)/HLOOKUP(2018,DEMANDS!$G$2:$CK$25,MATCH($E83,DEMANDS!$E$2:$E$25,0),FALSE)</f>
        <v>0.62090710907936975</v>
      </c>
      <c r="AE83" s="18">
        <f>HLOOKUP(REG_TRA_DEMANDS!AE$3,'BY-Demands'!$J$5:$AK$14,MATCH($E83,'BY-Demands'!$I$5:$I$14,0),FALSE)*HLOOKUP(REG_TRA_DEMANDS!$F83,DEMANDS!$G$2:$CK$25,MATCH($E83,DEMANDS!$E$2:$E$25,0),FALSE)/HLOOKUP(2018,DEMANDS!$G$2:$CK$25,MATCH($E83,DEMANDS!$E$2:$E$25,0),FALSE)</f>
        <v>1.1437562089530262</v>
      </c>
      <c r="AF83" s="18">
        <f>HLOOKUP(REG_TRA_DEMANDS!AF$3,'BY-Demands'!$J$5:$AK$14,MATCH($E83,'BY-Demands'!$I$5:$I$14,0),FALSE)*HLOOKUP(REG_TRA_DEMANDS!$F83,DEMANDS!$G$2:$CK$25,MATCH($E83,DEMANDS!$E$2:$E$25,0),FALSE)/HLOOKUP(2018,DEMANDS!$G$2:$CK$25,MATCH($E83,DEMANDS!$E$2:$E$25,0),FALSE)</f>
        <v>0.66068646458119173</v>
      </c>
    </row>
    <row r="84" spans="4:32" ht="14.4">
      <c r="D84" t="s">
        <v>6</v>
      </c>
      <c r="E84" t="str">
        <f>DEMANDS!$E$19</f>
        <v>TRAPL</v>
      </c>
      <c r="F84">
        <v>2070</v>
      </c>
      <c r="G84" s="17">
        <f>HLOOKUP(REG_TRA_DEMANDS!G$3,'BY-Demands'!$J$5:$AK$14,MATCH($E84,'BY-Demands'!$I$5:$I$14,0),FALSE)*HLOOKUP(REG_TRA_DEMANDS!$F84,DEMANDS!$G$2:$CK$25,MATCH($E84,DEMANDS!$E$2:$E$25,0),FALSE)/HLOOKUP(2018,DEMANDS!$G$2:$CK$25,MATCH($E84,DEMANDS!$E$2:$E$25,0),FALSE)</f>
        <v>0.58633959537826086</v>
      </c>
      <c r="H84" s="17">
        <f>HLOOKUP(REG_TRA_DEMANDS!H$3,'BY-Demands'!$J$5:$AK$14,MATCH($E84,'BY-Demands'!$I$5:$I$14,0),FALSE)*HLOOKUP(REG_TRA_DEMANDS!$F84,DEMANDS!$G$2:$CK$25,MATCH($E84,DEMANDS!$E$2:$E$25,0),FALSE)/HLOOKUP(2018,DEMANDS!$G$2:$CK$25,MATCH($E84,DEMANDS!$E$2:$E$25,0),FALSE)</f>
        <v>10.445265431988391</v>
      </c>
      <c r="I84" s="17">
        <f>HLOOKUP(REG_TRA_DEMANDS!I$3,'BY-Demands'!$J$5:$AK$14,MATCH($E84,'BY-Demands'!$I$5:$I$14,0),FALSE)*HLOOKUP(REG_TRA_DEMANDS!$F84,DEMANDS!$G$2:$CK$25,MATCH($E84,DEMANDS!$E$2:$E$25,0),FALSE)/HLOOKUP(2018,DEMANDS!$G$2:$CK$25,MATCH($E84,DEMANDS!$E$2:$E$25,0),FALSE)</f>
        <v>2.1104537710396212</v>
      </c>
      <c r="J84" s="17">
        <f>HLOOKUP(REG_TRA_DEMANDS!J$3,'BY-Demands'!$J$5:$AK$14,MATCH($E84,'BY-Demands'!$I$5:$I$14,0),FALSE)*HLOOKUP(REG_TRA_DEMANDS!$F84,DEMANDS!$G$2:$CK$25,MATCH($E84,DEMANDS!$E$2:$E$25,0),FALSE)/HLOOKUP(2018,DEMANDS!$G$2:$CK$25,MATCH($E84,DEMANDS!$E$2:$E$25,0),FALSE)</f>
        <v>1.0162681052847005</v>
      </c>
      <c r="K84" s="17">
        <f>HLOOKUP(REG_TRA_DEMANDS!K$3,'BY-Demands'!$J$5:$AK$14,MATCH($E84,'BY-Demands'!$I$5:$I$14,0),FALSE)*HLOOKUP(REG_TRA_DEMANDS!$F84,DEMANDS!$G$2:$CK$25,MATCH($E84,DEMANDS!$E$2:$E$25,0),FALSE)/HLOOKUP(2018,DEMANDS!$G$2:$CK$25,MATCH($E84,DEMANDS!$E$2:$E$25,0),FALSE)</f>
        <v>0.75507916904375461</v>
      </c>
      <c r="L84" s="17">
        <f>HLOOKUP(REG_TRA_DEMANDS!L$3,'BY-Demands'!$J$5:$AK$14,MATCH($E84,'BY-Demands'!$I$5:$I$14,0),FALSE)*HLOOKUP(REG_TRA_DEMANDS!$F84,DEMANDS!$G$2:$CK$25,MATCH($E84,DEMANDS!$E$2:$E$25,0),FALSE)/HLOOKUP(2018,DEMANDS!$G$2:$CK$25,MATCH($E84,DEMANDS!$E$2:$E$25,0),FALSE)</f>
        <v>0.38879952637275761</v>
      </c>
      <c r="M84" s="17">
        <f>HLOOKUP(REG_TRA_DEMANDS!M$3,'BY-Demands'!$J$5:$AK$14,MATCH($E84,'BY-Demands'!$I$5:$I$14,0),FALSE)*HLOOKUP(REG_TRA_DEMANDS!$F84,DEMANDS!$G$2:$CK$25,MATCH($E84,DEMANDS!$E$2:$E$25,0),FALSE)/HLOOKUP(2018,DEMANDS!$G$2:$CK$25,MATCH($E84,DEMANDS!$E$2:$E$25,0),FALSE)</f>
        <v>1.0564650628960977</v>
      </c>
      <c r="N84" s="17">
        <f>HLOOKUP(REG_TRA_DEMANDS!N$3,'BY-Demands'!$J$5:$AK$14,MATCH($E84,'BY-Demands'!$I$5:$I$14,0),FALSE)*HLOOKUP(REG_TRA_DEMANDS!$F84,DEMANDS!$G$2:$CK$25,MATCH($E84,DEMANDS!$E$2:$E$25,0),FALSE)/HLOOKUP(2018,DEMANDS!$G$2:$CK$25,MATCH($E84,DEMANDS!$E$2:$E$25,0),FALSE)</f>
        <v>1.7965335505823219</v>
      </c>
      <c r="O84" s="17">
        <f>HLOOKUP(REG_TRA_DEMANDS!O$3,'BY-Demands'!$J$5:$AK$14,MATCH($E84,'BY-Demands'!$I$5:$I$14,0),FALSE)*HLOOKUP(REG_TRA_DEMANDS!$F84,DEMANDS!$G$2:$CK$25,MATCH($E84,DEMANDS!$E$2:$E$25,0),FALSE)/HLOOKUP(2018,DEMANDS!$G$2:$CK$25,MATCH($E84,DEMANDS!$E$2:$E$25,0),FALSE)</f>
        <v>0.77433746035089901</v>
      </c>
      <c r="P84" s="17">
        <f>HLOOKUP(REG_TRA_DEMANDS!P$3,'BY-Demands'!$J$5:$AK$14,MATCH($E84,'BY-Demands'!$I$5:$I$14,0),FALSE)*HLOOKUP(REG_TRA_DEMANDS!$F84,DEMANDS!$G$2:$CK$25,MATCH($E84,DEMANDS!$E$2:$E$25,0),FALSE)/HLOOKUP(2018,DEMANDS!$G$2:$CK$25,MATCH($E84,DEMANDS!$E$2:$E$25,0),FALSE)</f>
        <v>0.85814369519141498</v>
      </c>
      <c r="Q84" s="17">
        <f>HLOOKUP(REG_TRA_DEMANDS!Q$3,'BY-Demands'!$J$5:$AK$14,MATCH($E84,'BY-Demands'!$I$5:$I$14,0),FALSE)*HLOOKUP(REG_TRA_DEMANDS!$F84,DEMANDS!$G$2:$CK$25,MATCH($E84,DEMANDS!$E$2:$E$25,0),FALSE)/HLOOKUP(2018,DEMANDS!$G$2:$CK$25,MATCH($E84,DEMANDS!$E$2:$E$25,0),FALSE)</f>
        <v>1.5252560668085289</v>
      </c>
      <c r="R84" s="17">
        <f>HLOOKUP(REG_TRA_DEMANDS!R$3,'BY-Demands'!$J$5:$AK$14,MATCH($E84,'BY-Demands'!$I$5:$I$14,0),FALSE)*HLOOKUP(REG_TRA_DEMANDS!$F84,DEMANDS!$G$2:$CK$25,MATCH($E84,DEMANDS!$E$2:$E$25,0),FALSE)/HLOOKUP(2018,DEMANDS!$G$2:$CK$25,MATCH($E84,DEMANDS!$E$2:$E$25,0),FALSE)</f>
        <v>1.3060832302256755</v>
      </c>
      <c r="S84" s="17">
        <f>HLOOKUP(REG_TRA_DEMANDS!S$3,'BY-Demands'!$J$5:$AK$14,MATCH($E84,'BY-Demands'!$I$5:$I$14,0),FALSE)*HLOOKUP(REG_TRA_DEMANDS!$F84,DEMANDS!$G$2:$CK$25,MATCH($E84,DEMANDS!$E$2:$E$25,0),FALSE)/HLOOKUP(2018,DEMANDS!$G$2:$CK$25,MATCH($E84,DEMANDS!$E$2:$E$25,0),FALSE)</f>
        <v>1.1710368194291527</v>
      </c>
      <c r="T84" s="17">
        <f>HLOOKUP(REG_TRA_DEMANDS!T$3,'BY-Demands'!$J$5:$AK$14,MATCH($E84,'BY-Demands'!$I$5:$I$14,0),FALSE)*HLOOKUP(REG_TRA_DEMANDS!$F84,DEMANDS!$G$2:$CK$25,MATCH($E84,DEMANDS!$E$2:$E$25,0),FALSE)/HLOOKUP(2018,DEMANDS!$G$2:$CK$25,MATCH($E84,DEMANDS!$E$2:$E$25,0),FALSE)</f>
        <v>4.7750259702915114</v>
      </c>
      <c r="U84" s="17">
        <f>HLOOKUP(REG_TRA_DEMANDS!U$3,'BY-Demands'!$J$5:$AK$14,MATCH($E84,'BY-Demands'!$I$5:$I$14,0),FALSE)*HLOOKUP(REG_TRA_DEMANDS!$F84,DEMANDS!$G$2:$CK$25,MATCH($E84,DEMANDS!$E$2:$E$25,0),FALSE)/HLOOKUP(2018,DEMANDS!$G$2:$CK$25,MATCH($E84,DEMANDS!$E$2:$E$25,0),FALSE)</f>
        <v>1.5880037170332539</v>
      </c>
      <c r="V84" s="17">
        <f>HLOOKUP(REG_TRA_DEMANDS!V$3,'BY-Demands'!$J$5:$AK$14,MATCH($E84,'BY-Demands'!$I$5:$I$14,0),FALSE)*HLOOKUP(REG_TRA_DEMANDS!$F84,DEMANDS!$G$2:$CK$25,MATCH($E84,DEMANDS!$E$2:$E$25,0),FALSE)/HLOOKUP(2018,DEMANDS!$G$2:$CK$25,MATCH($E84,DEMANDS!$E$2:$E$25,0),FALSE)</f>
        <v>1.759153682324456</v>
      </c>
      <c r="W84" s="17">
        <f>HLOOKUP(REG_TRA_DEMANDS!W$3,'BY-Demands'!$J$5:$AK$14,MATCH($E84,'BY-Demands'!$I$5:$I$14,0),FALSE)*HLOOKUP(REG_TRA_DEMANDS!$F84,DEMANDS!$G$2:$CK$25,MATCH($E84,DEMANDS!$E$2:$E$25,0),FALSE)/HLOOKUP(2018,DEMANDS!$G$2:$CK$25,MATCH($E84,DEMANDS!$E$2:$E$25,0),FALSE)</f>
        <v>1.7018590034762693</v>
      </c>
      <c r="X84" s="17">
        <f>HLOOKUP(REG_TRA_DEMANDS!X$3,'BY-Demands'!$J$5:$AK$14,MATCH($E84,'BY-Demands'!$I$5:$I$14,0),FALSE)*HLOOKUP(REG_TRA_DEMANDS!$F84,DEMANDS!$G$2:$CK$25,MATCH($E84,DEMANDS!$E$2:$E$25,0),FALSE)/HLOOKUP(2018,DEMANDS!$G$2:$CK$25,MATCH($E84,DEMANDS!$E$2:$E$25,0),FALSE)</f>
        <v>1.0717419599611555</v>
      </c>
      <c r="Y84" s="17">
        <f>HLOOKUP(REG_TRA_DEMANDS!Y$3,'BY-Demands'!$J$5:$AK$14,MATCH($E84,'BY-Demands'!$I$5:$I$14,0),FALSE)*HLOOKUP(REG_TRA_DEMANDS!$F84,DEMANDS!$G$2:$CK$25,MATCH($E84,DEMANDS!$E$2:$E$25,0),FALSE)/HLOOKUP(2018,DEMANDS!$G$2:$CK$25,MATCH($E84,DEMANDS!$E$2:$E$25,0),FALSE)</f>
        <v>2.4349809246063936</v>
      </c>
      <c r="Z84" s="17">
        <f>HLOOKUP(REG_TRA_DEMANDS!Z$3,'BY-Demands'!$J$5:$AK$14,MATCH($E84,'BY-Demands'!$I$5:$I$14,0),FALSE)*HLOOKUP(REG_TRA_DEMANDS!$F84,DEMANDS!$G$2:$CK$25,MATCH($E84,DEMANDS!$E$2:$E$25,0),FALSE)/HLOOKUP(2018,DEMANDS!$G$2:$CK$25,MATCH($E84,DEMANDS!$E$2:$E$25,0),FALSE)</f>
        <v>0.31413188068569153</v>
      </c>
      <c r="AA84" s="17">
        <f>HLOOKUP(REG_TRA_DEMANDS!AA$3,'BY-Demands'!$J$5:$AK$14,MATCH($E84,'BY-Demands'!$I$5:$I$14,0),FALSE)*HLOOKUP(REG_TRA_DEMANDS!$F84,DEMANDS!$G$2:$CK$25,MATCH($E84,DEMANDS!$E$2:$E$25,0),FALSE)/HLOOKUP(2018,DEMANDS!$G$2:$CK$25,MATCH($E84,DEMANDS!$E$2:$E$25,0),FALSE)</f>
        <v>1.35024152904013</v>
      </c>
      <c r="AB84" s="17">
        <f>HLOOKUP(REG_TRA_DEMANDS!AB$3,'BY-Demands'!$J$5:$AK$14,MATCH($E84,'BY-Demands'!$I$5:$I$14,0),FALSE)*HLOOKUP(REG_TRA_DEMANDS!$F84,DEMANDS!$G$2:$CK$25,MATCH($E84,DEMANDS!$E$2:$E$25,0),FALSE)/HLOOKUP(2018,DEMANDS!$G$2:$CK$25,MATCH($E84,DEMANDS!$E$2:$E$25,0),FALSE)</f>
        <v>0.70774612698699491</v>
      </c>
      <c r="AC84" s="17">
        <f>HLOOKUP(REG_TRA_DEMANDS!AC$3,'BY-Demands'!$J$5:$AK$14,MATCH($E84,'BY-Demands'!$I$5:$I$14,0),FALSE)*HLOOKUP(REG_TRA_DEMANDS!$F84,DEMANDS!$G$2:$CK$25,MATCH($E84,DEMANDS!$E$2:$E$25,0),FALSE)/HLOOKUP(2018,DEMANDS!$G$2:$CK$25,MATCH($E84,DEMANDS!$E$2:$E$25,0),FALSE)</f>
        <v>0.5899115571573943</v>
      </c>
      <c r="AD84" s="17">
        <f>HLOOKUP(REG_TRA_DEMANDS!AD$3,'BY-Demands'!$J$5:$AK$14,MATCH($E84,'BY-Demands'!$I$5:$I$14,0),FALSE)*HLOOKUP(REG_TRA_DEMANDS!$F84,DEMANDS!$G$2:$CK$25,MATCH($E84,DEMANDS!$E$2:$E$25,0),FALSE)/HLOOKUP(2018,DEMANDS!$G$2:$CK$25,MATCH($E84,DEMANDS!$E$2:$E$25,0),FALSE)</f>
        <v>0.63090797328263992</v>
      </c>
      <c r="AE84" s="17">
        <f>HLOOKUP(REG_TRA_DEMANDS!AE$3,'BY-Demands'!$J$5:$AK$14,MATCH($E84,'BY-Demands'!$I$5:$I$14,0),FALSE)*HLOOKUP(REG_TRA_DEMANDS!$F84,DEMANDS!$G$2:$CK$25,MATCH($E84,DEMANDS!$E$2:$E$25,0),FALSE)/HLOOKUP(2018,DEMANDS!$G$2:$CK$25,MATCH($E84,DEMANDS!$E$2:$E$25,0),FALSE)</f>
        <v>1.1621785306821919</v>
      </c>
      <c r="AF84" s="17">
        <f>HLOOKUP(REG_TRA_DEMANDS!AF$3,'BY-Demands'!$J$5:$AK$14,MATCH($E84,'BY-Demands'!$I$5:$I$14,0),FALSE)*HLOOKUP(REG_TRA_DEMANDS!$F84,DEMANDS!$G$2:$CK$25,MATCH($E84,DEMANDS!$E$2:$E$25,0),FALSE)/HLOOKUP(2018,DEMANDS!$G$2:$CK$25,MATCH($E84,DEMANDS!$E$2:$E$25,0),FALSE)</f>
        <v>0.67132804931519818</v>
      </c>
    </row>
    <row r="85" spans="4:32" ht="14.4">
      <c r="D85" s="19" t="s">
        <v>6</v>
      </c>
      <c r="E85" s="19" t="str">
        <f>DEMANDS!$E$20</f>
        <v>TRAF</v>
      </c>
      <c r="F85" s="19">
        <v>2020</v>
      </c>
      <c r="G85" s="20">
        <f>HLOOKUP(REG_TRA_DEMANDS!G$3,'BY-Demands'!$J$5:$AK$14,MATCH($E85,'BY-Demands'!$I$5:$I$14,0),FALSE)*HLOOKUP(REG_TRA_DEMANDS!$F85,DEMANDS!$G$2:$CK$25,MATCH($E85,DEMANDS!$E$2:$E$25,0),FALSE)/HLOOKUP(2018,DEMANDS!$G$2:$CK$25,MATCH($E85,DEMANDS!$E$2:$E$25,0),FALSE)</f>
        <v>0.17204890056295077</v>
      </c>
      <c r="H85" s="20">
        <f>HLOOKUP(REG_TRA_DEMANDS!H$3,'BY-Demands'!$J$5:$AK$14,MATCH($E85,'BY-Demands'!$I$5:$I$14,0),FALSE)*HLOOKUP(REG_TRA_DEMANDS!$F85,DEMANDS!$G$2:$CK$25,MATCH($E85,DEMANDS!$E$2:$E$25,0),FALSE)/HLOOKUP(2018,DEMANDS!$G$2:$CK$25,MATCH($E85,DEMANDS!$E$2:$E$25,0),FALSE)</f>
        <v>2.569687645211808</v>
      </c>
      <c r="I85" s="20">
        <f>HLOOKUP(REG_TRA_DEMANDS!I$3,'BY-Demands'!$J$5:$AK$14,MATCH($E85,'BY-Demands'!$I$5:$I$14,0),FALSE)*HLOOKUP(REG_TRA_DEMANDS!$F85,DEMANDS!$G$2:$CK$25,MATCH($E85,DEMANDS!$E$2:$E$25,0),FALSE)/HLOOKUP(2018,DEMANDS!$G$2:$CK$25,MATCH($E85,DEMANDS!$E$2:$E$25,0),FALSE)</f>
        <v>0.46631434625206813</v>
      </c>
      <c r="J85" s="20">
        <f>HLOOKUP(REG_TRA_DEMANDS!J$3,'BY-Demands'!$J$5:$AK$14,MATCH($E85,'BY-Demands'!$I$5:$I$14,0),FALSE)*HLOOKUP(REG_TRA_DEMANDS!$F85,DEMANDS!$G$2:$CK$25,MATCH($E85,DEMANDS!$E$2:$E$25,0),FALSE)/HLOOKUP(2018,DEMANDS!$G$2:$CK$25,MATCH($E85,DEMANDS!$E$2:$E$25,0),FALSE)</f>
        <v>0.29987979520590724</v>
      </c>
      <c r="K85" s="20">
        <f>HLOOKUP(REG_TRA_DEMANDS!K$3,'BY-Demands'!$J$5:$AK$14,MATCH($E85,'BY-Demands'!$I$5:$I$14,0),FALSE)*HLOOKUP(REG_TRA_DEMANDS!$F85,DEMANDS!$G$2:$CK$25,MATCH($E85,DEMANDS!$E$2:$E$25,0),FALSE)/HLOOKUP(2018,DEMANDS!$G$2:$CK$25,MATCH($E85,DEMANDS!$E$2:$E$25,0),FALSE)</f>
        <v>0.21358994392489267</v>
      </c>
      <c r="L85" s="20">
        <f>HLOOKUP(REG_TRA_DEMANDS!L$3,'BY-Demands'!$J$5:$AK$14,MATCH($E85,'BY-Demands'!$I$5:$I$14,0),FALSE)*HLOOKUP(REG_TRA_DEMANDS!$F85,DEMANDS!$G$2:$CK$25,MATCH($E85,DEMANDS!$E$2:$E$25,0),FALSE)/HLOOKUP(2018,DEMANDS!$G$2:$CK$25,MATCH($E85,DEMANDS!$E$2:$E$25,0),FALSE)</f>
        <v>0.10307403778223755</v>
      </c>
      <c r="M85" s="20">
        <f>HLOOKUP(REG_TRA_DEMANDS!M$3,'BY-Demands'!$J$5:$AK$14,MATCH($E85,'BY-Demands'!$I$5:$I$14,0),FALSE)*HLOOKUP(REG_TRA_DEMANDS!$F85,DEMANDS!$G$2:$CK$25,MATCH($E85,DEMANDS!$E$2:$E$25,0),FALSE)/HLOOKUP(2018,DEMANDS!$G$2:$CK$25,MATCH($E85,DEMANDS!$E$2:$E$25,0),FALSE)</f>
        <v>0.2701095629847175</v>
      </c>
      <c r="N85" s="20">
        <f>HLOOKUP(REG_TRA_DEMANDS!N$3,'BY-Demands'!$J$5:$AK$14,MATCH($E85,'BY-Demands'!$I$5:$I$14,0),FALSE)*HLOOKUP(REG_TRA_DEMANDS!$F85,DEMANDS!$G$2:$CK$25,MATCH($E85,DEMANDS!$E$2:$E$25,0),FALSE)/HLOOKUP(2018,DEMANDS!$G$2:$CK$25,MATCH($E85,DEMANDS!$E$2:$E$25,0),FALSE)</f>
        <v>0.41793830270136295</v>
      </c>
      <c r="O85" s="20">
        <f>HLOOKUP(REG_TRA_DEMANDS!O$3,'BY-Demands'!$J$5:$AK$14,MATCH($E85,'BY-Demands'!$I$5:$I$14,0),FALSE)*HLOOKUP(REG_TRA_DEMANDS!$F85,DEMANDS!$G$2:$CK$25,MATCH($E85,DEMANDS!$E$2:$E$25,0),FALSE)/HLOOKUP(2018,DEMANDS!$G$2:$CK$25,MATCH($E85,DEMANDS!$E$2:$E$25,0),FALSE)</f>
        <v>0.1966030156714941</v>
      </c>
      <c r="P85" s="20">
        <f>HLOOKUP(REG_TRA_DEMANDS!P$3,'BY-Demands'!$J$5:$AK$14,MATCH($E85,'BY-Demands'!$I$5:$I$14,0),FALSE)*HLOOKUP(REG_TRA_DEMANDS!$F85,DEMANDS!$G$2:$CK$25,MATCH($E85,DEMANDS!$E$2:$E$25,0),FALSE)/HLOOKUP(2018,DEMANDS!$G$2:$CK$25,MATCH($E85,DEMANDS!$E$2:$E$25,0),FALSE)</f>
        <v>0.22386128578595152</v>
      </c>
      <c r="Q85" s="20">
        <f>HLOOKUP(REG_TRA_DEMANDS!Q$3,'BY-Demands'!$J$5:$AK$14,MATCH($E85,'BY-Demands'!$I$5:$I$14,0),FALSE)*HLOOKUP(REG_TRA_DEMANDS!$F85,DEMANDS!$G$2:$CK$25,MATCH($E85,DEMANDS!$E$2:$E$25,0),FALSE)/HLOOKUP(2018,DEMANDS!$G$2:$CK$25,MATCH($E85,DEMANDS!$E$2:$E$25,0),FALSE)</f>
        <v>0.45246092689675516</v>
      </c>
      <c r="R85" s="20">
        <f>HLOOKUP(REG_TRA_DEMANDS!R$3,'BY-Demands'!$J$5:$AK$14,MATCH($E85,'BY-Demands'!$I$5:$I$14,0),FALSE)*HLOOKUP(REG_TRA_DEMANDS!$F85,DEMANDS!$G$2:$CK$25,MATCH($E85,DEMANDS!$E$2:$E$25,0),FALSE)/HLOOKUP(2018,DEMANDS!$G$2:$CK$25,MATCH($E85,DEMANDS!$E$2:$E$25,0),FALSE)</f>
        <v>0.29848821039150208</v>
      </c>
      <c r="S85" s="20">
        <f>HLOOKUP(REG_TRA_DEMANDS!S$3,'BY-Demands'!$J$5:$AK$14,MATCH($E85,'BY-Demands'!$I$5:$I$14,0),FALSE)*HLOOKUP(REG_TRA_DEMANDS!$F85,DEMANDS!$G$2:$CK$25,MATCH($E85,DEMANDS!$E$2:$E$25,0),FALSE)/HLOOKUP(2018,DEMANDS!$G$2:$CK$25,MATCH($E85,DEMANDS!$E$2:$E$25,0),FALSE)</f>
        <v>0.29372806967933029</v>
      </c>
      <c r="T85" s="20">
        <f>HLOOKUP(REG_TRA_DEMANDS!T$3,'BY-Demands'!$J$5:$AK$14,MATCH($E85,'BY-Demands'!$I$5:$I$14,0),FALSE)*HLOOKUP(REG_TRA_DEMANDS!$F85,DEMANDS!$G$2:$CK$25,MATCH($E85,DEMANDS!$E$2:$E$25,0),FALSE)/HLOOKUP(2018,DEMANDS!$G$2:$CK$25,MATCH($E85,DEMANDS!$E$2:$E$25,0),FALSE)</f>
        <v>1.5716055093233545</v>
      </c>
      <c r="U85" s="20">
        <f>HLOOKUP(REG_TRA_DEMANDS!U$3,'BY-Demands'!$J$5:$AK$14,MATCH($E85,'BY-Demands'!$I$5:$I$14,0),FALSE)*HLOOKUP(REG_TRA_DEMANDS!$F85,DEMANDS!$G$2:$CK$25,MATCH($E85,DEMANDS!$E$2:$E$25,0),FALSE)/HLOOKUP(2018,DEMANDS!$G$2:$CK$25,MATCH($E85,DEMANDS!$E$2:$E$25,0),FALSE)</f>
        <v>0.4276124858448539</v>
      </c>
      <c r="V85" s="20">
        <f>HLOOKUP(REG_TRA_DEMANDS!V$3,'BY-Demands'!$J$5:$AK$14,MATCH($E85,'BY-Demands'!$I$5:$I$14,0),FALSE)*HLOOKUP(REG_TRA_DEMANDS!$F85,DEMANDS!$G$2:$CK$25,MATCH($E85,DEMANDS!$E$2:$E$25,0),FALSE)/HLOOKUP(2018,DEMANDS!$G$2:$CK$25,MATCH($E85,DEMANDS!$E$2:$E$25,0),FALSE)</f>
        <v>0.48181074301179039</v>
      </c>
      <c r="W85" s="20">
        <f>HLOOKUP(REG_TRA_DEMANDS!W$3,'BY-Demands'!$J$5:$AK$14,MATCH($E85,'BY-Demands'!$I$5:$I$14,0),FALSE)*HLOOKUP(REG_TRA_DEMANDS!$F85,DEMANDS!$G$2:$CK$25,MATCH($E85,DEMANDS!$E$2:$E$25,0),FALSE)/HLOOKUP(2018,DEMANDS!$G$2:$CK$25,MATCH($E85,DEMANDS!$E$2:$E$25,0),FALSE)</f>
        <v>0.39443172863770537</v>
      </c>
      <c r="X85" s="20">
        <f>HLOOKUP(REG_TRA_DEMANDS!X$3,'BY-Demands'!$J$5:$AK$14,MATCH($E85,'BY-Demands'!$I$5:$I$14,0),FALSE)*HLOOKUP(REG_TRA_DEMANDS!$F85,DEMANDS!$G$2:$CK$25,MATCH($E85,DEMANDS!$E$2:$E$25,0),FALSE)/HLOOKUP(2018,DEMANDS!$G$2:$CK$25,MATCH($E85,DEMANDS!$E$2:$E$25,0),FALSE)</f>
        <v>0.36637376033202923</v>
      </c>
      <c r="Y85" s="20">
        <f>HLOOKUP(REG_TRA_DEMANDS!Y$3,'BY-Demands'!$J$5:$AK$14,MATCH($E85,'BY-Demands'!$I$5:$I$14,0),FALSE)*HLOOKUP(REG_TRA_DEMANDS!$F85,DEMANDS!$G$2:$CK$25,MATCH($E85,DEMANDS!$E$2:$E$25,0),FALSE)/HLOOKUP(2018,DEMANDS!$G$2:$CK$25,MATCH($E85,DEMANDS!$E$2:$E$25,0),FALSE)</f>
        <v>0.58502580441542917</v>
      </c>
      <c r="Z85" s="20">
        <f>HLOOKUP(REG_TRA_DEMANDS!Z$3,'BY-Demands'!$J$5:$AK$14,MATCH($E85,'BY-Demands'!$I$5:$I$14,0),FALSE)*HLOOKUP(REG_TRA_DEMANDS!$F85,DEMANDS!$G$2:$CK$25,MATCH($E85,DEMANDS!$E$2:$E$25,0),FALSE)/HLOOKUP(2018,DEMANDS!$G$2:$CK$25,MATCH($E85,DEMANDS!$E$2:$E$25,0),FALSE)</f>
        <v>0.07802149668403971</v>
      </c>
      <c r="AA85" s="20">
        <f>HLOOKUP(REG_TRA_DEMANDS!AA$3,'BY-Demands'!$J$5:$AK$14,MATCH($E85,'BY-Demands'!$I$5:$I$14,0),FALSE)*HLOOKUP(REG_TRA_DEMANDS!$F85,DEMANDS!$G$2:$CK$25,MATCH($E85,DEMANDS!$E$2:$E$25,0),FALSE)/HLOOKUP(2018,DEMANDS!$G$2:$CK$25,MATCH($E85,DEMANDS!$E$2:$E$25,0),FALSE)</f>
        <v>0.32949954987444952</v>
      </c>
      <c r="AB85" s="20">
        <f>HLOOKUP(REG_TRA_DEMANDS!AB$3,'BY-Demands'!$J$5:$AK$14,MATCH($E85,'BY-Demands'!$I$5:$I$14,0),FALSE)*HLOOKUP(REG_TRA_DEMANDS!$F85,DEMANDS!$G$2:$CK$25,MATCH($E85,DEMANDS!$E$2:$E$25,0),FALSE)/HLOOKUP(2018,DEMANDS!$G$2:$CK$25,MATCH($E85,DEMANDS!$E$2:$E$25,0),FALSE)</f>
        <v>0.14632332855477975</v>
      </c>
      <c r="AC85" s="20">
        <f>HLOOKUP(REG_TRA_DEMANDS!AC$3,'BY-Demands'!$J$5:$AK$14,MATCH($E85,'BY-Demands'!$I$5:$I$14,0),FALSE)*HLOOKUP(REG_TRA_DEMANDS!$F85,DEMANDS!$G$2:$CK$25,MATCH($E85,DEMANDS!$E$2:$E$25,0),FALSE)/HLOOKUP(2018,DEMANDS!$G$2:$CK$25,MATCH($E85,DEMANDS!$E$2:$E$25,0),FALSE)</f>
        <v>0.15956618353478186</v>
      </c>
      <c r="AD85" s="20">
        <f>HLOOKUP(REG_TRA_DEMANDS!AD$3,'BY-Demands'!$J$5:$AK$14,MATCH($E85,'BY-Demands'!$I$5:$I$14,0),FALSE)*HLOOKUP(REG_TRA_DEMANDS!$F85,DEMANDS!$G$2:$CK$25,MATCH($E85,DEMANDS!$E$2:$E$25,0),FALSE)/HLOOKUP(2018,DEMANDS!$G$2:$CK$25,MATCH($E85,DEMANDS!$E$2:$E$25,0),FALSE)</f>
        <v>0.18547514453262426</v>
      </c>
      <c r="AE85" s="20">
        <f>HLOOKUP(REG_TRA_DEMANDS!AE$3,'BY-Demands'!$J$5:$AK$14,MATCH($E85,'BY-Demands'!$I$5:$I$14,0),FALSE)*HLOOKUP(REG_TRA_DEMANDS!$F85,DEMANDS!$G$2:$CK$25,MATCH($E85,DEMANDS!$E$2:$E$25,0),FALSE)/HLOOKUP(2018,DEMANDS!$G$2:$CK$25,MATCH($E85,DEMANDS!$E$2:$E$25,0),FALSE)</f>
        <v>0.38760448446279</v>
      </c>
      <c r="AF85" s="20">
        <f>HLOOKUP(REG_TRA_DEMANDS!AF$3,'BY-Demands'!$J$5:$AK$14,MATCH($E85,'BY-Demands'!$I$5:$I$14,0),FALSE)*HLOOKUP(REG_TRA_DEMANDS!$F85,DEMANDS!$G$2:$CK$25,MATCH($E85,DEMANDS!$E$2:$E$25,0),FALSE)/HLOOKUP(2018,DEMANDS!$G$2:$CK$25,MATCH($E85,DEMANDS!$E$2:$E$25,0),FALSE)</f>
        <v>0.1494640992212731</v>
      </c>
    </row>
    <row r="86" spans="4:32" ht="14.4">
      <c r="D86" t="s">
        <v>6</v>
      </c>
      <c r="E86" t="str">
        <f>DEMANDS!$E$20</f>
        <v>TRAF</v>
      </c>
      <c r="F86">
        <v>2021</v>
      </c>
      <c r="G86" s="18">
        <f>HLOOKUP(REG_TRA_DEMANDS!G$3,'BY-Demands'!$J$5:$AK$14,MATCH($E86,'BY-Demands'!$I$5:$I$14,0),FALSE)*HLOOKUP(REG_TRA_DEMANDS!$F86,DEMANDS!$G$2:$CK$25,MATCH($E86,DEMANDS!$E$2:$E$25,0),FALSE)/HLOOKUP(2018,DEMANDS!$G$2:$CK$25,MATCH($E86,DEMANDS!$E$2:$E$25,0),FALSE)</f>
        <v>0.17754129095944199</v>
      </c>
      <c r="H86" s="18">
        <f>HLOOKUP(REG_TRA_DEMANDS!H$3,'BY-Demands'!$J$5:$AK$14,MATCH($E86,'BY-Demands'!$I$5:$I$14,0),FALSE)*HLOOKUP(REG_TRA_DEMANDS!$F86,DEMANDS!$G$2:$CK$25,MATCH($E86,DEMANDS!$E$2:$E$25,0),FALSE)/HLOOKUP(2018,DEMANDS!$G$2:$CK$25,MATCH($E86,DEMANDS!$E$2:$E$25,0),FALSE)</f>
        <v>2.6517208793583955</v>
      </c>
      <c r="I86" s="18">
        <f>HLOOKUP(REG_TRA_DEMANDS!I$3,'BY-Demands'!$J$5:$AK$14,MATCH($E86,'BY-Demands'!$I$5:$I$14,0),FALSE)*HLOOKUP(REG_TRA_DEMANDS!$F86,DEMANDS!$G$2:$CK$25,MATCH($E86,DEMANDS!$E$2:$E$25,0),FALSE)/HLOOKUP(2018,DEMANDS!$G$2:$CK$25,MATCH($E86,DEMANDS!$E$2:$E$25,0),FALSE)</f>
        <v>0.48120069791558168</v>
      </c>
      <c r="J86" s="18">
        <f>HLOOKUP(REG_TRA_DEMANDS!J$3,'BY-Demands'!$J$5:$AK$14,MATCH($E86,'BY-Demands'!$I$5:$I$14,0),FALSE)*HLOOKUP(REG_TRA_DEMANDS!$F86,DEMANDS!$G$2:$CK$25,MATCH($E86,DEMANDS!$E$2:$E$25,0),FALSE)/HLOOKUP(2018,DEMANDS!$G$2:$CK$25,MATCH($E86,DEMANDS!$E$2:$E$25,0),FALSE)</f>
        <v>0.30945298574593072</v>
      </c>
      <c r="K86" s="18">
        <f>HLOOKUP(REG_TRA_DEMANDS!K$3,'BY-Demands'!$J$5:$AK$14,MATCH($E86,'BY-Demands'!$I$5:$I$14,0),FALSE)*HLOOKUP(REG_TRA_DEMANDS!$F86,DEMANDS!$G$2:$CK$25,MATCH($E86,DEMANDS!$E$2:$E$25,0),FALSE)/HLOOKUP(2018,DEMANDS!$G$2:$CK$25,MATCH($E86,DEMANDS!$E$2:$E$25,0),FALSE)</f>
        <v>0.22040846675742282</v>
      </c>
      <c r="L86" s="18">
        <f>HLOOKUP(REG_TRA_DEMANDS!L$3,'BY-Demands'!$J$5:$AK$14,MATCH($E86,'BY-Demands'!$I$5:$I$14,0),FALSE)*HLOOKUP(REG_TRA_DEMANDS!$F86,DEMANDS!$G$2:$CK$25,MATCH($E86,DEMANDS!$E$2:$E$25,0),FALSE)/HLOOKUP(2018,DEMANDS!$G$2:$CK$25,MATCH($E86,DEMANDS!$E$2:$E$25,0),FALSE)</f>
        <v>0.1063645142304471</v>
      </c>
      <c r="M86" s="18">
        <f>HLOOKUP(REG_TRA_DEMANDS!M$3,'BY-Demands'!$J$5:$AK$14,MATCH($E86,'BY-Demands'!$I$5:$I$14,0),FALSE)*HLOOKUP(REG_TRA_DEMANDS!$F86,DEMANDS!$G$2:$CK$25,MATCH($E86,DEMANDS!$E$2:$E$25,0),FALSE)/HLOOKUP(2018,DEMANDS!$G$2:$CK$25,MATCH($E86,DEMANDS!$E$2:$E$25,0),FALSE)</f>
        <v>0.27873238571060233</v>
      </c>
      <c r="N86" s="18">
        <f>HLOOKUP(REG_TRA_DEMANDS!N$3,'BY-Demands'!$J$5:$AK$14,MATCH($E86,'BY-Demands'!$I$5:$I$14,0),FALSE)*HLOOKUP(REG_TRA_DEMANDS!$F86,DEMANDS!$G$2:$CK$25,MATCH($E86,DEMANDS!$E$2:$E$25,0),FALSE)/HLOOKUP(2018,DEMANDS!$G$2:$CK$25,MATCH($E86,DEMANDS!$E$2:$E$25,0),FALSE)</f>
        <v>0.4312803253040759</v>
      </c>
      <c r="O86" s="18">
        <f>HLOOKUP(REG_TRA_DEMANDS!O$3,'BY-Demands'!$J$5:$AK$14,MATCH($E86,'BY-Demands'!$I$5:$I$14,0),FALSE)*HLOOKUP(REG_TRA_DEMANDS!$F86,DEMANDS!$G$2:$CK$25,MATCH($E86,DEMANDS!$E$2:$E$25,0),FALSE)/HLOOKUP(2018,DEMANDS!$G$2:$CK$25,MATCH($E86,DEMANDS!$E$2:$E$25,0),FALSE)</f>
        <v>0.20287925755192526</v>
      </c>
      <c r="P86" s="18">
        <f>HLOOKUP(REG_TRA_DEMANDS!P$3,'BY-Demands'!$J$5:$AK$14,MATCH($E86,'BY-Demands'!$I$5:$I$14,0),FALSE)*HLOOKUP(REG_TRA_DEMANDS!$F86,DEMANDS!$G$2:$CK$25,MATCH($E86,DEMANDS!$E$2:$E$25,0),FALSE)/HLOOKUP(2018,DEMANDS!$G$2:$CK$25,MATCH($E86,DEMANDS!$E$2:$E$25,0),FALSE)</f>
        <v>0.23100770504334786</v>
      </c>
      <c r="Q86" s="18">
        <f>HLOOKUP(REG_TRA_DEMANDS!Q$3,'BY-Demands'!$J$5:$AK$14,MATCH($E86,'BY-Demands'!$I$5:$I$14,0),FALSE)*HLOOKUP(REG_TRA_DEMANDS!$F86,DEMANDS!$G$2:$CK$25,MATCH($E86,DEMANDS!$E$2:$E$25,0),FALSE)/HLOOKUP(2018,DEMANDS!$G$2:$CK$25,MATCH($E86,DEMANDS!$E$2:$E$25,0),FALSE)</f>
        <v>0.46690502994852667</v>
      </c>
      <c r="R86" s="18">
        <f>HLOOKUP(REG_TRA_DEMANDS!R$3,'BY-Demands'!$J$5:$AK$14,MATCH($E86,'BY-Demands'!$I$5:$I$14,0),FALSE)*HLOOKUP(REG_TRA_DEMANDS!$F86,DEMANDS!$G$2:$CK$25,MATCH($E86,DEMANDS!$E$2:$E$25,0),FALSE)/HLOOKUP(2018,DEMANDS!$G$2:$CK$25,MATCH($E86,DEMANDS!$E$2:$E$25,0),FALSE)</f>
        <v>0.30801697677626777</v>
      </c>
      <c r="S86" s="18">
        <f>HLOOKUP(REG_TRA_DEMANDS!S$3,'BY-Demands'!$J$5:$AK$14,MATCH($E86,'BY-Demands'!$I$5:$I$14,0),FALSE)*HLOOKUP(REG_TRA_DEMANDS!$F86,DEMANDS!$G$2:$CK$25,MATCH($E86,DEMANDS!$E$2:$E$25,0),FALSE)/HLOOKUP(2018,DEMANDS!$G$2:$CK$25,MATCH($E86,DEMANDS!$E$2:$E$25,0),FALSE)</f>
        <v>0.3031048760629107</v>
      </c>
      <c r="T86" s="18">
        <f>HLOOKUP(REG_TRA_DEMANDS!T$3,'BY-Demands'!$J$5:$AK$14,MATCH($E86,'BY-Demands'!$I$5:$I$14,0),FALSE)*HLOOKUP(REG_TRA_DEMANDS!$F86,DEMANDS!$G$2:$CK$25,MATCH($E86,DEMANDS!$E$2:$E$25,0),FALSE)/HLOOKUP(2018,DEMANDS!$G$2:$CK$25,MATCH($E86,DEMANDS!$E$2:$E$25,0),FALSE)</f>
        <v>1.6217765419671932</v>
      </c>
      <c r="U86" s="18">
        <f>HLOOKUP(REG_TRA_DEMANDS!U$3,'BY-Demands'!$J$5:$AK$14,MATCH($E86,'BY-Demands'!$I$5:$I$14,0),FALSE)*HLOOKUP(REG_TRA_DEMANDS!$F86,DEMANDS!$G$2:$CK$25,MATCH($E86,DEMANDS!$E$2:$E$25,0),FALSE)/HLOOKUP(2018,DEMANDS!$G$2:$CK$25,MATCH($E86,DEMANDS!$E$2:$E$25,0),FALSE)</f>
        <v>0.44126334152012564</v>
      </c>
      <c r="V86" s="18">
        <f>HLOOKUP(REG_TRA_DEMANDS!V$3,'BY-Demands'!$J$5:$AK$14,MATCH($E86,'BY-Demands'!$I$5:$I$14,0),FALSE)*HLOOKUP(REG_TRA_DEMANDS!$F86,DEMANDS!$G$2:$CK$25,MATCH($E86,DEMANDS!$E$2:$E$25,0),FALSE)/HLOOKUP(2018,DEMANDS!$G$2:$CK$25,MATCH($E86,DEMANDS!$E$2:$E$25,0),FALSE)</f>
        <v>0.49719179275512204</v>
      </c>
      <c r="W86" s="18">
        <f>HLOOKUP(REG_TRA_DEMANDS!W$3,'BY-Demands'!$J$5:$AK$14,MATCH($E86,'BY-Demands'!$I$5:$I$14,0),FALSE)*HLOOKUP(REG_TRA_DEMANDS!$F86,DEMANDS!$G$2:$CK$25,MATCH($E86,DEMANDS!$E$2:$E$25,0),FALSE)/HLOOKUP(2018,DEMANDS!$G$2:$CK$25,MATCH($E86,DEMANDS!$E$2:$E$25,0),FALSE)</f>
        <v>0.40702334085581721</v>
      </c>
      <c r="X86" s="18">
        <f>HLOOKUP(REG_TRA_DEMANDS!X$3,'BY-Demands'!$J$5:$AK$14,MATCH($E86,'BY-Demands'!$I$5:$I$14,0),FALSE)*HLOOKUP(REG_TRA_DEMANDS!$F86,DEMANDS!$G$2:$CK$25,MATCH($E86,DEMANDS!$E$2:$E$25,0),FALSE)/HLOOKUP(2018,DEMANDS!$G$2:$CK$25,MATCH($E86,DEMANDS!$E$2:$E$25,0),FALSE)</f>
        <v>0.37806966606690923</v>
      </c>
      <c r="Y86" s="18">
        <f>HLOOKUP(REG_TRA_DEMANDS!Y$3,'BY-Demands'!$J$5:$AK$14,MATCH($E86,'BY-Demands'!$I$5:$I$14,0),FALSE)*HLOOKUP(REG_TRA_DEMANDS!$F86,DEMANDS!$G$2:$CK$25,MATCH($E86,DEMANDS!$E$2:$E$25,0),FALSE)/HLOOKUP(2018,DEMANDS!$G$2:$CK$25,MATCH($E86,DEMANDS!$E$2:$E$25,0),FALSE)</f>
        <v>0.60370183256415433</v>
      </c>
      <c r="Z86" s="18">
        <f>HLOOKUP(REG_TRA_DEMANDS!Z$3,'BY-Demands'!$J$5:$AK$14,MATCH($E86,'BY-Demands'!$I$5:$I$14,0),FALSE)*HLOOKUP(REG_TRA_DEMANDS!$F86,DEMANDS!$G$2:$CK$25,MATCH($E86,DEMANDS!$E$2:$E$25,0),FALSE)/HLOOKUP(2018,DEMANDS!$G$2:$CK$25,MATCH($E86,DEMANDS!$E$2:$E$25,0),FALSE)</f>
        <v>0.080512210182964394</v>
      </c>
      <c r="AA86" s="18">
        <f>HLOOKUP(REG_TRA_DEMANDS!AA$3,'BY-Demands'!$J$5:$AK$14,MATCH($E86,'BY-Demands'!$I$5:$I$14,0),FALSE)*HLOOKUP(REG_TRA_DEMANDS!$F86,DEMANDS!$G$2:$CK$25,MATCH($E86,DEMANDS!$E$2:$E$25,0),FALSE)/HLOOKUP(2018,DEMANDS!$G$2:$CK$25,MATCH($E86,DEMANDS!$E$2:$E$25,0),FALSE)</f>
        <v>0.3400183044695505</v>
      </c>
      <c r="AB86" s="18">
        <f>HLOOKUP(REG_TRA_DEMANDS!AB$3,'BY-Demands'!$J$5:$AK$14,MATCH($E86,'BY-Demands'!$I$5:$I$14,0),FALSE)*HLOOKUP(REG_TRA_DEMANDS!$F86,DEMANDS!$G$2:$CK$25,MATCH($E86,DEMANDS!$E$2:$E$25,0),FALSE)/HLOOKUP(2018,DEMANDS!$G$2:$CK$25,MATCH($E86,DEMANDS!$E$2:$E$25,0),FALSE)</f>
        <v>0.15099447054933643</v>
      </c>
      <c r="AC86" s="18">
        <f>HLOOKUP(REG_TRA_DEMANDS!AC$3,'BY-Demands'!$J$5:$AK$14,MATCH($E86,'BY-Demands'!$I$5:$I$14,0),FALSE)*HLOOKUP(REG_TRA_DEMANDS!$F86,DEMANDS!$G$2:$CK$25,MATCH($E86,DEMANDS!$E$2:$E$25,0),FALSE)/HLOOKUP(2018,DEMANDS!$G$2:$CK$25,MATCH($E86,DEMANDS!$E$2:$E$25,0),FALSE)</f>
        <v>0.16466008283424605</v>
      </c>
      <c r="AD86" s="18">
        <f>HLOOKUP(REG_TRA_DEMANDS!AD$3,'BY-Demands'!$J$5:$AK$14,MATCH($E86,'BY-Demands'!$I$5:$I$14,0),FALSE)*HLOOKUP(REG_TRA_DEMANDS!$F86,DEMANDS!$G$2:$CK$25,MATCH($E86,DEMANDS!$E$2:$E$25,0),FALSE)/HLOOKUP(2018,DEMANDS!$G$2:$CK$25,MATCH($E86,DEMANDS!$E$2:$E$25,0),FALSE)</f>
        <v>0.19139614663891835</v>
      </c>
      <c r="AE86" s="18">
        <f>HLOOKUP(REG_TRA_DEMANDS!AE$3,'BY-Demands'!$J$5:$AK$14,MATCH($E86,'BY-Demands'!$I$5:$I$14,0),FALSE)*HLOOKUP(REG_TRA_DEMANDS!$F86,DEMANDS!$G$2:$CK$25,MATCH($E86,DEMANDS!$E$2:$E$25,0),FALSE)/HLOOKUP(2018,DEMANDS!$G$2:$CK$25,MATCH($E86,DEMANDS!$E$2:$E$25,0),FALSE)</f>
        <v>0.39997814765467676</v>
      </c>
      <c r="AF86" s="18">
        <f>HLOOKUP(REG_TRA_DEMANDS!AF$3,'BY-Demands'!$J$5:$AK$14,MATCH($E86,'BY-Demands'!$I$5:$I$14,0),FALSE)*HLOOKUP(REG_TRA_DEMANDS!$F86,DEMANDS!$G$2:$CK$25,MATCH($E86,DEMANDS!$E$2:$E$25,0),FALSE)/HLOOKUP(2018,DEMANDS!$G$2:$CK$25,MATCH($E86,DEMANDS!$E$2:$E$25,0),FALSE)</f>
        <v>0.15423550537671535</v>
      </c>
    </row>
    <row r="87" spans="4:32" ht="14.4">
      <c r="D87" t="s">
        <v>6</v>
      </c>
      <c r="E87" t="str">
        <f>DEMANDS!$E$20</f>
        <v>TRAF</v>
      </c>
      <c r="F87">
        <v>2022</v>
      </c>
      <c r="G87" s="18">
        <f>HLOOKUP(REG_TRA_DEMANDS!G$3,'BY-Demands'!$J$5:$AK$14,MATCH($E87,'BY-Demands'!$I$5:$I$14,0),FALSE)*HLOOKUP(REG_TRA_DEMANDS!$F87,DEMANDS!$G$2:$CK$25,MATCH($E87,DEMANDS!$E$2:$E$25,0),FALSE)/HLOOKUP(2018,DEMANDS!$G$2:$CK$25,MATCH($E87,DEMANDS!$E$2:$E$25,0),FALSE)</f>
        <v>0.18086047544281453</v>
      </c>
      <c r="H87" s="18">
        <f>HLOOKUP(REG_TRA_DEMANDS!H$3,'BY-Demands'!$J$5:$AK$14,MATCH($E87,'BY-Demands'!$I$5:$I$14,0),FALSE)*HLOOKUP(REG_TRA_DEMANDS!$F87,DEMANDS!$G$2:$CK$25,MATCH($E87,DEMANDS!$E$2:$E$25,0),FALSE)/HLOOKUP(2018,DEMANDS!$G$2:$CK$25,MATCH($E87,DEMANDS!$E$2:$E$25,0),FALSE)</f>
        <v>2.7012955487180546</v>
      </c>
      <c r="I87" s="18">
        <f>HLOOKUP(REG_TRA_DEMANDS!I$3,'BY-Demands'!$J$5:$AK$14,MATCH($E87,'BY-Demands'!$I$5:$I$14,0),FALSE)*HLOOKUP(REG_TRA_DEMANDS!$F87,DEMANDS!$G$2:$CK$25,MATCH($E87,DEMANDS!$E$2:$E$25,0),FALSE)/HLOOKUP(2018,DEMANDS!$G$2:$CK$25,MATCH($E87,DEMANDS!$E$2:$E$25,0),FALSE)</f>
        <v>0.49019688061357891</v>
      </c>
      <c r="J87" s="18">
        <f>HLOOKUP(REG_TRA_DEMANDS!J$3,'BY-Demands'!$J$5:$AK$14,MATCH($E87,'BY-Demands'!$I$5:$I$14,0),FALSE)*HLOOKUP(REG_TRA_DEMANDS!$F87,DEMANDS!$G$2:$CK$25,MATCH($E87,DEMANDS!$E$2:$E$25,0),FALSE)/HLOOKUP(2018,DEMANDS!$G$2:$CK$25,MATCH($E87,DEMANDS!$E$2:$E$25,0),FALSE)</f>
        <v>0.31523829654924035</v>
      </c>
      <c r="K87" s="18">
        <f>HLOOKUP(REG_TRA_DEMANDS!K$3,'BY-Demands'!$J$5:$AK$14,MATCH($E87,'BY-Demands'!$I$5:$I$14,0),FALSE)*HLOOKUP(REG_TRA_DEMANDS!$F87,DEMANDS!$G$2:$CK$25,MATCH($E87,DEMANDS!$E$2:$E$25,0),FALSE)/HLOOKUP(2018,DEMANDS!$G$2:$CK$25,MATCH($E87,DEMANDS!$E$2:$E$25,0),FALSE)</f>
        <v>0.22452906517659446</v>
      </c>
      <c r="L87" s="18">
        <f>HLOOKUP(REG_TRA_DEMANDS!L$3,'BY-Demands'!$J$5:$AK$14,MATCH($E87,'BY-Demands'!$I$5:$I$14,0),FALSE)*HLOOKUP(REG_TRA_DEMANDS!$F87,DEMANDS!$G$2:$CK$25,MATCH($E87,DEMANDS!$E$2:$E$25,0),FALSE)/HLOOKUP(2018,DEMANDS!$G$2:$CK$25,MATCH($E87,DEMANDS!$E$2:$E$25,0),FALSE)</f>
        <v>0.10835302880813938</v>
      </c>
      <c r="M87" s="18">
        <f>HLOOKUP(REG_TRA_DEMANDS!M$3,'BY-Demands'!$J$5:$AK$14,MATCH($E87,'BY-Demands'!$I$5:$I$14,0),FALSE)*HLOOKUP(REG_TRA_DEMANDS!$F87,DEMANDS!$G$2:$CK$25,MATCH($E87,DEMANDS!$E$2:$E$25,0),FALSE)/HLOOKUP(2018,DEMANDS!$G$2:$CK$25,MATCH($E87,DEMANDS!$E$2:$E$25,0),FALSE)</f>
        <v>0.28394336623611505</v>
      </c>
      <c r="N87" s="18">
        <f>HLOOKUP(REG_TRA_DEMANDS!N$3,'BY-Demands'!$J$5:$AK$14,MATCH($E87,'BY-Demands'!$I$5:$I$14,0),FALSE)*HLOOKUP(REG_TRA_DEMANDS!$F87,DEMANDS!$G$2:$CK$25,MATCH($E87,DEMANDS!$E$2:$E$25,0),FALSE)/HLOOKUP(2018,DEMANDS!$G$2:$CK$25,MATCH($E87,DEMANDS!$E$2:$E$25,0),FALSE)</f>
        <v>0.43934323256354924</v>
      </c>
      <c r="O87" s="18">
        <f>HLOOKUP(REG_TRA_DEMANDS!O$3,'BY-Demands'!$J$5:$AK$14,MATCH($E87,'BY-Demands'!$I$5:$I$14,0),FALSE)*HLOOKUP(REG_TRA_DEMANDS!$F87,DEMANDS!$G$2:$CK$25,MATCH($E87,DEMANDS!$E$2:$E$25,0),FALSE)/HLOOKUP(2018,DEMANDS!$G$2:$CK$25,MATCH($E87,DEMANDS!$E$2:$E$25,0),FALSE)</f>
        <v>0.20667214246351648</v>
      </c>
      <c r="P87" s="18">
        <f>HLOOKUP(REG_TRA_DEMANDS!P$3,'BY-Demands'!$J$5:$AK$14,MATCH($E87,'BY-Demands'!$I$5:$I$14,0),FALSE)*HLOOKUP(REG_TRA_DEMANDS!$F87,DEMANDS!$G$2:$CK$25,MATCH($E87,DEMANDS!$E$2:$E$25,0),FALSE)/HLOOKUP(2018,DEMANDS!$G$2:$CK$25,MATCH($E87,DEMANDS!$E$2:$E$25,0),FALSE)</f>
        <v>0.2353264592101999</v>
      </c>
      <c r="Q87" s="18">
        <f>HLOOKUP(REG_TRA_DEMANDS!Q$3,'BY-Demands'!$J$5:$AK$14,MATCH($E87,'BY-Demands'!$I$5:$I$14,0),FALSE)*HLOOKUP(REG_TRA_DEMANDS!$F87,DEMANDS!$G$2:$CK$25,MATCH($E87,DEMANDS!$E$2:$E$25,0),FALSE)/HLOOKUP(2018,DEMANDS!$G$2:$CK$25,MATCH($E87,DEMANDS!$E$2:$E$25,0),FALSE)</f>
        <v>0.47563395110393142</v>
      </c>
      <c r="R87" s="18">
        <f>HLOOKUP(REG_TRA_DEMANDS!R$3,'BY-Demands'!$J$5:$AK$14,MATCH($E87,'BY-Demands'!$I$5:$I$14,0),FALSE)*HLOOKUP(REG_TRA_DEMANDS!$F87,DEMANDS!$G$2:$CK$25,MATCH($E87,DEMANDS!$E$2:$E$25,0),FALSE)/HLOOKUP(2018,DEMANDS!$G$2:$CK$25,MATCH($E87,DEMANDS!$E$2:$E$25,0),FALSE)</f>
        <v>0.31377544098707866</v>
      </c>
      <c r="S87" s="18">
        <f>HLOOKUP(REG_TRA_DEMANDS!S$3,'BY-Demands'!$J$5:$AK$14,MATCH($E87,'BY-Demands'!$I$5:$I$14,0),FALSE)*HLOOKUP(REG_TRA_DEMANDS!$F87,DEMANDS!$G$2:$CK$25,MATCH($E87,DEMANDS!$E$2:$E$25,0),FALSE)/HLOOKUP(2018,DEMANDS!$G$2:$CK$25,MATCH($E87,DEMANDS!$E$2:$E$25,0),FALSE)</f>
        <v>0.30877150716616431</v>
      </c>
      <c r="T87" s="18">
        <f>HLOOKUP(REG_TRA_DEMANDS!T$3,'BY-Demands'!$J$5:$AK$14,MATCH($E87,'BY-Demands'!$I$5:$I$14,0),FALSE)*HLOOKUP(REG_TRA_DEMANDS!$F87,DEMANDS!$G$2:$CK$25,MATCH($E87,DEMANDS!$E$2:$E$25,0),FALSE)/HLOOKUP(2018,DEMANDS!$G$2:$CK$25,MATCH($E87,DEMANDS!$E$2:$E$25,0),FALSE)</f>
        <v>1.6520961115980388</v>
      </c>
      <c r="U87" s="18">
        <f>HLOOKUP(REG_TRA_DEMANDS!U$3,'BY-Demands'!$J$5:$AK$14,MATCH($E87,'BY-Demands'!$I$5:$I$14,0),FALSE)*HLOOKUP(REG_TRA_DEMANDS!$F87,DEMANDS!$G$2:$CK$25,MATCH($E87,DEMANDS!$E$2:$E$25,0),FALSE)/HLOOKUP(2018,DEMANDS!$G$2:$CK$25,MATCH($E87,DEMANDS!$E$2:$E$25,0),FALSE)</f>
        <v>0.44951288408197004</v>
      </c>
      <c r="V87" s="18">
        <f>HLOOKUP(REG_TRA_DEMANDS!V$3,'BY-Demands'!$J$5:$AK$14,MATCH($E87,'BY-Demands'!$I$5:$I$14,0),FALSE)*HLOOKUP(REG_TRA_DEMANDS!$F87,DEMANDS!$G$2:$CK$25,MATCH($E87,DEMANDS!$E$2:$E$25,0),FALSE)/HLOOKUP(2018,DEMANDS!$G$2:$CK$25,MATCH($E87,DEMANDS!$E$2:$E$25,0),FALSE)</f>
        <v>0.50648693347903373</v>
      </c>
      <c r="W87" s="18">
        <f>HLOOKUP(REG_TRA_DEMANDS!W$3,'BY-Demands'!$J$5:$AK$14,MATCH($E87,'BY-Demands'!$I$5:$I$14,0),FALSE)*HLOOKUP(REG_TRA_DEMANDS!$F87,DEMANDS!$G$2:$CK$25,MATCH($E87,DEMANDS!$E$2:$E$25,0),FALSE)/HLOOKUP(2018,DEMANDS!$G$2:$CK$25,MATCH($E87,DEMANDS!$E$2:$E$25,0),FALSE)</f>
        <v>0.41463275695298701</v>
      </c>
      <c r="X87" s="18">
        <f>HLOOKUP(REG_TRA_DEMANDS!X$3,'BY-Demands'!$J$5:$AK$14,MATCH($E87,'BY-Demands'!$I$5:$I$14,0),FALSE)*HLOOKUP(REG_TRA_DEMANDS!$F87,DEMANDS!$G$2:$CK$25,MATCH($E87,DEMANDS!$E$2:$E$25,0),FALSE)/HLOOKUP(2018,DEMANDS!$G$2:$CK$25,MATCH($E87,DEMANDS!$E$2:$E$25,0),FALSE)</f>
        <v>0.38513778505186008</v>
      </c>
      <c r="Y87" s="18">
        <f>HLOOKUP(REG_TRA_DEMANDS!Y$3,'BY-Demands'!$J$5:$AK$14,MATCH($E87,'BY-Demands'!$I$5:$I$14,0),FALSE)*HLOOKUP(REG_TRA_DEMANDS!$F87,DEMANDS!$G$2:$CK$25,MATCH($E87,DEMANDS!$E$2:$E$25,0),FALSE)/HLOOKUP(2018,DEMANDS!$G$2:$CK$25,MATCH($E87,DEMANDS!$E$2:$E$25,0),FALSE)</f>
        <v>0.6149882085074736</v>
      </c>
      <c r="Z87" s="18">
        <f>HLOOKUP(REG_TRA_DEMANDS!Z$3,'BY-Demands'!$J$5:$AK$14,MATCH($E87,'BY-Demands'!$I$5:$I$14,0),FALSE)*HLOOKUP(REG_TRA_DEMANDS!$F87,DEMANDS!$G$2:$CK$25,MATCH($E87,DEMANDS!$E$2:$E$25,0),FALSE)/HLOOKUP(2018,DEMANDS!$G$2:$CK$25,MATCH($E87,DEMANDS!$E$2:$E$25,0),FALSE)</f>
        <v>0.082017408648725088</v>
      </c>
      <c r="AA87" s="18">
        <f>HLOOKUP(REG_TRA_DEMANDS!AA$3,'BY-Demands'!$J$5:$AK$14,MATCH($E87,'BY-Demands'!$I$5:$I$14,0),FALSE)*HLOOKUP(REG_TRA_DEMANDS!$F87,DEMANDS!$G$2:$CK$25,MATCH($E87,DEMANDS!$E$2:$E$25,0),FALSE)/HLOOKUP(2018,DEMANDS!$G$2:$CK$25,MATCH($E87,DEMANDS!$E$2:$E$25,0),FALSE)</f>
        <v>0.34637504252276086</v>
      </c>
      <c r="AB87" s="18">
        <f>HLOOKUP(REG_TRA_DEMANDS!AB$3,'BY-Demands'!$J$5:$AK$14,MATCH($E87,'BY-Demands'!$I$5:$I$14,0),FALSE)*HLOOKUP(REG_TRA_DEMANDS!$F87,DEMANDS!$G$2:$CK$25,MATCH($E87,DEMANDS!$E$2:$E$25,0),FALSE)/HLOOKUP(2018,DEMANDS!$G$2:$CK$25,MATCH($E87,DEMANDS!$E$2:$E$25,0),FALSE)</f>
        <v>0.153817354741594</v>
      </c>
      <c r="AC87" s="18">
        <f>HLOOKUP(REG_TRA_DEMANDS!AC$3,'BY-Demands'!$J$5:$AK$14,MATCH($E87,'BY-Demands'!$I$5:$I$14,0),FALSE)*HLOOKUP(REG_TRA_DEMANDS!$F87,DEMANDS!$G$2:$CK$25,MATCH($E87,DEMANDS!$E$2:$E$25,0),FALSE)/HLOOKUP(2018,DEMANDS!$G$2:$CK$25,MATCH($E87,DEMANDS!$E$2:$E$25,0),FALSE)</f>
        <v>0.16773844950050576</v>
      </c>
      <c r="AD87" s="18">
        <f>HLOOKUP(REG_TRA_DEMANDS!AD$3,'BY-Demands'!$J$5:$AK$14,MATCH($E87,'BY-Demands'!$I$5:$I$14,0),FALSE)*HLOOKUP(REG_TRA_DEMANDS!$F87,DEMANDS!$G$2:$CK$25,MATCH($E87,DEMANDS!$E$2:$E$25,0),FALSE)/HLOOKUP(2018,DEMANDS!$G$2:$CK$25,MATCH($E87,DEMANDS!$E$2:$E$25,0),FALSE)</f>
        <v>0.19497435155490217</v>
      </c>
      <c r="AE87" s="18">
        <f>HLOOKUP(REG_TRA_DEMANDS!AE$3,'BY-Demands'!$J$5:$AK$14,MATCH($E87,'BY-Demands'!$I$5:$I$14,0),FALSE)*HLOOKUP(REG_TRA_DEMANDS!$F87,DEMANDS!$G$2:$CK$25,MATCH($E87,DEMANDS!$E$2:$E$25,0),FALSE)/HLOOKUP(2018,DEMANDS!$G$2:$CK$25,MATCH($E87,DEMANDS!$E$2:$E$25,0),FALSE)</f>
        <v>0.40745585187891131</v>
      </c>
      <c r="AF87" s="18">
        <f>HLOOKUP(REG_TRA_DEMANDS!AF$3,'BY-Demands'!$J$5:$AK$14,MATCH($E87,'BY-Demands'!$I$5:$I$14,0),FALSE)*HLOOKUP(REG_TRA_DEMANDS!$F87,DEMANDS!$G$2:$CK$25,MATCH($E87,DEMANDS!$E$2:$E$25,0),FALSE)/HLOOKUP(2018,DEMANDS!$G$2:$CK$25,MATCH($E87,DEMANDS!$E$2:$E$25,0),FALSE)</f>
        <v>0.15711898162871837</v>
      </c>
    </row>
    <row r="88" spans="4:32" ht="14.4">
      <c r="D88" t="s">
        <v>6</v>
      </c>
      <c r="E88" t="str">
        <f>DEMANDS!$E$20</f>
        <v>TRAF</v>
      </c>
      <c r="F88">
        <v>2023</v>
      </c>
      <c r="G88" s="18">
        <f>HLOOKUP(REG_TRA_DEMANDS!G$3,'BY-Demands'!$J$5:$AK$14,MATCH($E88,'BY-Demands'!$I$5:$I$14,0),FALSE)*HLOOKUP(REG_TRA_DEMANDS!$F88,DEMANDS!$G$2:$CK$25,MATCH($E88,DEMANDS!$E$2:$E$25,0),FALSE)/HLOOKUP(2018,DEMANDS!$G$2:$CK$25,MATCH($E88,DEMANDS!$E$2:$E$25,0),FALSE)</f>
        <v>0.20339128350559066</v>
      </c>
      <c r="H88" s="18">
        <f>HLOOKUP(REG_TRA_DEMANDS!H$3,'BY-Demands'!$J$5:$AK$14,MATCH($E88,'BY-Demands'!$I$5:$I$14,0),FALSE)*HLOOKUP(REG_TRA_DEMANDS!$F88,DEMANDS!$G$2:$CK$25,MATCH($E88,DEMANDS!$E$2:$E$25,0),FALSE)/HLOOKUP(2018,DEMANDS!$G$2:$CK$25,MATCH($E88,DEMANDS!$E$2:$E$25,0),FALSE)</f>
        <v>3.0378111493764286</v>
      </c>
      <c r="I88" s="18">
        <f>HLOOKUP(REG_TRA_DEMANDS!I$3,'BY-Demands'!$J$5:$AK$14,MATCH($E88,'BY-Demands'!$I$5:$I$14,0),FALSE)*HLOOKUP(REG_TRA_DEMANDS!$F88,DEMANDS!$G$2:$CK$25,MATCH($E88,DEMANDS!$E$2:$E$25,0),FALSE)/HLOOKUP(2018,DEMANDS!$G$2:$CK$25,MATCH($E88,DEMANDS!$E$2:$E$25,0),FALSE)</f>
        <v>0.55126346690356265</v>
      </c>
      <c r="J88" s="18">
        <f>HLOOKUP(REG_TRA_DEMANDS!J$3,'BY-Demands'!$J$5:$AK$14,MATCH($E88,'BY-Demands'!$I$5:$I$14,0),FALSE)*HLOOKUP(REG_TRA_DEMANDS!$F88,DEMANDS!$G$2:$CK$25,MATCH($E88,DEMANDS!$E$2:$E$25,0),FALSE)/HLOOKUP(2018,DEMANDS!$G$2:$CK$25,MATCH($E88,DEMANDS!$E$2:$E$25,0),FALSE)</f>
        <v>0.35450930662591773</v>
      </c>
      <c r="K88" s="18">
        <f>HLOOKUP(REG_TRA_DEMANDS!K$3,'BY-Demands'!$J$5:$AK$14,MATCH($E88,'BY-Demands'!$I$5:$I$14,0),FALSE)*HLOOKUP(REG_TRA_DEMANDS!$F88,DEMANDS!$G$2:$CK$25,MATCH($E88,DEMANDS!$E$2:$E$25,0),FALSE)/HLOOKUP(2018,DEMANDS!$G$2:$CK$25,MATCH($E88,DEMANDS!$E$2:$E$25,0),FALSE)</f>
        <v>0.25249991541140943</v>
      </c>
      <c r="L88" s="18">
        <f>HLOOKUP(REG_TRA_DEMANDS!L$3,'BY-Demands'!$J$5:$AK$14,MATCH($E88,'BY-Demands'!$I$5:$I$14,0),FALSE)*HLOOKUP(REG_TRA_DEMANDS!$F88,DEMANDS!$G$2:$CK$25,MATCH($E88,DEMANDS!$E$2:$E$25,0),FALSE)/HLOOKUP(2018,DEMANDS!$G$2:$CK$25,MATCH($E88,DEMANDS!$E$2:$E$25,0),FALSE)</f>
        <v>0.12185117586940007</v>
      </c>
      <c r="M88" s="18">
        <f>HLOOKUP(REG_TRA_DEMANDS!M$3,'BY-Demands'!$J$5:$AK$14,MATCH($E88,'BY-Demands'!$I$5:$I$14,0),FALSE)*HLOOKUP(REG_TRA_DEMANDS!$F88,DEMANDS!$G$2:$CK$25,MATCH($E88,DEMANDS!$E$2:$E$25,0),FALSE)/HLOOKUP(2018,DEMANDS!$G$2:$CK$25,MATCH($E88,DEMANDS!$E$2:$E$25,0),FALSE)</f>
        <v>0.31931579058533249</v>
      </c>
      <c r="N88" s="18">
        <f>HLOOKUP(REG_TRA_DEMANDS!N$3,'BY-Demands'!$J$5:$AK$14,MATCH($E88,'BY-Demands'!$I$5:$I$14,0),FALSE)*HLOOKUP(REG_TRA_DEMANDS!$F88,DEMANDS!$G$2:$CK$25,MATCH($E88,DEMANDS!$E$2:$E$25,0),FALSE)/HLOOKUP(2018,DEMANDS!$G$2:$CK$25,MATCH($E88,DEMANDS!$E$2:$E$25,0),FALSE)</f>
        <v>0.49407469349957212</v>
      </c>
      <c r="O88" s="18">
        <f>HLOOKUP(REG_TRA_DEMANDS!O$3,'BY-Demands'!$J$5:$AK$14,MATCH($E88,'BY-Demands'!$I$5:$I$14,0),FALSE)*HLOOKUP(REG_TRA_DEMANDS!$F88,DEMANDS!$G$2:$CK$25,MATCH($E88,DEMANDS!$E$2:$E$25,0),FALSE)/HLOOKUP(2018,DEMANDS!$G$2:$CK$25,MATCH($E88,DEMANDS!$E$2:$E$25,0),FALSE)</f>
        <v>0.23241845526274671</v>
      </c>
      <c r="P88" s="18">
        <f>HLOOKUP(REG_TRA_DEMANDS!P$3,'BY-Demands'!$J$5:$AK$14,MATCH($E88,'BY-Demands'!$I$5:$I$14,0),FALSE)*HLOOKUP(REG_TRA_DEMANDS!$F88,DEMANDS!$G$2:$CK$25,MATCH($E88,DEMANDS!$E$2:$E$25,0),FALSE)/HLOOKUP(2018,DEMANDS!$G$2:$CK$25,MATCH($E88,DEMANDS!$E$2:$E$25,0),FALSE)</f>
        <v>0.26464240163253511</v>
      </c>
      <c r="Q88" s="18">
        <f>HLOOKUP(REG_TRA_DEMANDS!Q$3,'BY-Demands'!$J$5:$AK$14,MATCH($E88,'BY-Demands'!$I$5:$I$14,0),FALSE)*HLOOKUP(REG_TRA_DEMANDS!$F88,DEMANDS!$G$2:$CK$25,MATCH($E88,DEMANDS!$E$2:$E$25,0),FALSE)/HLOOKUP(2018,DEMANDS!$G$2:$CK$25,MATCH($E88,DEMANDS!$E$2:$E$25,0),FALSE)</f>
        <v>0.53488635124401007</v>
      </c>
      <c r="R88" s="18">
        <f>HLOOKUP(REG_TRA_DEMANDS!R$3,'BY-Demands'!$J$5:$AK$14,MATCH($E88,'BY-Demands'!$I$5:$I$14,0),FALSE)*HLOOKUP(REG_TRA_DEMANDS!$F88,DEMANDS!$G$2:$CK$25,MATCH($E88,DEMANDS!$E$2:$E$25,0),FALSE)/HLOOKUP(2018,DEMANDS!$G$2:$CK$25,MATCH($E88,DEMANDS!$E$2:$E$25,0),FALSE)</f>
        <v>0.35286421490732695</v>
      </c>
      <c r="S88" s="18">
        <f>HLOOKUP(REG_TRA_DEMANDS!S$3,'BY-Demands'!$J$5:$AK$14,MATCH($E88,'BY-Demands'!$I$5:$I$14,0),FALSE)*HLOOKUP(REG_TRA_DEMANDS!$F88,DEMANDS!$G$2:$CK$25,MATCH($E88,DEMANDS!$E$2:$E$25,0),FALSE)/HLOOKUP(2018,DEMANDS!$G$2:$CK$25,MATCH($E88,DEMANDS!$E$2:$E$25,0),FALSE)</f>
        <v>0.34723691286733754</v>
      </c>
      <c r="T88" s="18">
        <f>HLOOKUP(REG_TRA_DEMANDS!T$3,'BY-Demands'!$J$5:$AK$14,MATCH($E88,'BY-Demands'!$I$5:$I$14,0),FALSE)*HLOOKUP(REG_TRA_DEMANDS!$F88,DEMANDS!$G$2:$CK$25,MATCH($E88,DEMANDS!$E$2:$E$25,0),FALSE)/HLOOKUP(2018,DEMANDS!$G$2:$CK$25,MATCH($E88,DEMANDS!$E$2:$E$25,0),FALSE)</f>
        <v>1.8579070291052393</v>
      </c>
      <c r="U88" s="18">
        <f>HLOOKUP(REG_TRA_DEMANDS!U$3,'BY-Demands'!$J$5:$AK$14,MATCH($E88,'BY-Demands'!$I$5:$I$14,0),FALSE)*HLOOKUP(REG_TRA_DEMANDS!$F88,DEMANDS!$G$2:$CK$25,MATCH($E88,DEMANDS!$E$2:$E$25,0),FALSE)/HLOOKUP(2018,DEMANDS!$G$2:$CK$25,MATCH($E88,DEMANDS!$E$2:$E$25,0),FALSE)</f>
        <v>0.50551123578484436</v>
      </c>
      <c r="V88" s="18">
        <f>HLOOKUP(REG_TRA_DEMANDS!V$3,'BY-Demands'!$J$5:$AK$14,MATCH($E88,'BY-Demands'!$I$5:$I$14,0),FALSE)*HLOOKUP(REG_TRA_DEMANDS!$F88,DEMANDS!$G$2:$CK$25,MATCH($E88,DEMANDS!$E$2:$E$25,0),FALSE)/HLOOKUP(2018,DEMANDS!$G$2:$CK$25,MATCH($E88,DEMANDS!$E$2:$E$25,0),FALSE)</f>
        <v>0.56958286340280717</v>
      </c>
      <c r="W88" s="18">
        <f>HLOOKUP(REG_TRA_DEMANDS!W$3,'BY-Demands'!$J$5:$AK$14,MATCH($E88,'BY-Demands'!$I$5:$I$14,0),FALSE)*HLOOKUP(REG_TRA_DEMANDS!$F88,DEMANDS!$G$2:$CK$25,MATCH($E88,DEMANDS!$E$2:$E$25,0),FALSE)/HLOOKUP(2018,DEMANDS!$G$2:$CK$25,MATCH($E88,DEMANDS!$E$2:$E$25,0),FALSE)</f>
        <v>0.4662858947686136</v>
      </c>
      <c r="X88" s="18">
        <f>HLOOKUP(REG_TRA_DEMANDS!X$3,'BY-Demands'!$J$5:$AK$14,MATCH($E88,'BY-Demands'!$I$5:$I$14,0),FALSE)*HLOOKUP(REG_TRA_DEMANDS!$F88,DEMANDS!$G$2:$CK$25,MATCH($E88,DEMANDS!$E$2:$E$25,0),FALSE)/HLOOKUP(2018,DEMANDS!$G$2:$CK$25,MATCH($E88,DEMANDS!$E$2:$E$25,0),FALSE)</f>
        <v>0.43311656809708032</v>
      </c>
      <c r="Y88" s="18">
        <f>HLOOKUP(REG_TRA_DEMANDS!Y$3,'BY-Demands'!$J$5:$AK$14,MATCH($E88,'BY-Demands'!$I$5:$I$14,0),FALSE)*HLOOKUP(REG_TRA_DEMANDS!$F88,DEMANDS!$G$2:$CK$25,MATCH($E88,DEMANDS!$E$2:$E$25,0),FALSE)/HLOOKUP(2018,DEMANDS!$G$2:$CK$25,MATCH($E88,DEMANDS!$E$2:$E$25,0),FALSE)</f>
        <v>0.6916007533591183</v>
      </c>
      <c r="Z88" s="18">
        <f>HLOOKUP(REG_TRA_DEMANDS!Z$3,'BY-Demands'!$J$5:$AK$14,MATCH($E88,'BY-Demands'!$I$5:$I$14,0),FALSE)*HLOOKUP(REG_TRA_DEMANDS!$F88,DEMANDS!$G$2:$CK$25,MATCH($E88,DEMANDS!$E$2:$E$25,0),FALSE)/HLOOKUP(2018,DEMANDS!$G$2:$CK$25,MATCH($E88,DEMANDS!$E$2:$E$25,0),FALSE)</f>
        <v>0.092234779180049284</v>
      </c>
      <c r="AA88" s="18">
        <f>HLOOKUP(REG_TRA_DEMANDS!AA$3,'BY-Demands'!$J$5:$AK$14,MATCH($E88,'BY-Demands'!$I$5:$I$14,0),FALSE)*HLOOKUP(REG_TRA_DEMANDS!$F88,DEMANDS!$G$2:$CK$25,MATCH($E88,DEMANDS!$E$2:$E$25,0),FALSE)/HLOOKUP(2018,DEMANDS!$G$2:$CK$25,MATCH($E88,DEMANDS!$E$2:$E$25,0),FALSE)</f>
        <v>0.38952493241279257</v>
      </c>
      <c r="AB88" s="18">
        <f>HLOOKUP(REG_TRA_DEMANDS!AB$3,'BY-Demands'!$J$5:$AK$14,MATCH($E88,'BY-Demands'!$I$5:$I$14,0),FALSE)*HLOOKUP(REG_TRA_DEMANDS!$F88,DEMANDS!$G$2:$CK$25,MATCH($E88,DEMANDS!$E$2:$E$25,0),FALSE)/HLOOKUP(2018,DEMANDS!$G$2:$CK$25,MATCH($E88,DEMANDS!$E$2:$E$25,0),FALSE)</f>
        <v>0.17297924894717778</v>
      </c>
      <c r="AC88" s="18">
        <f>HLOOKUP(REG_TRA_DEMANDS!AC$3,'BY-Demands'!$J$5:$AK$14,MATCH($E88,'BY-Demands'!$I$5:$I$14,0),FALSE)*HLOOKUP(REG_TRA_DEMANDS!$F88,DEMANDS!$G$2:$CK$25,MATCH($E88,DEMANDS!$E$2:$E$25,0),FALSE)/HLOOKUP(2018,DEMANDS!$G$2:$CK$25,MATCH($E88,DEMANDS!$E$2:$E$25,0),FALSE)</f>
        <v>0.18863457288617339</v>
      </c>
      <c r="AD88" s="18">
        <f>HLOOKUP(REG_TRA_DEMANDS!AD$3,'BY-Demands'!$J$5:$AK$14,MATCH($E88,'BY-Demands'!$I$5:$I$14,0),FALSE)*HLOOKUP(REG_TRA_DEMANDS!$F88,DEMANDS!$G$2:$CK$25,MATCH($E88,DEMANDS!$E$2:$E$25,0),FALSE)/HLOOKUP(2018,DEMANDS!$G$2:$CK$25,MATCH($E88,DEMANDS!$E$2:$E$25,0),FALSE)</f>
        <v>0.21926340465670446</v>
      </c>
      <c r="AE88" s="18">
        <f>HLOOKUP(REG_TRA_DEMANDS!AE$3,'BY-Demands'!$J$5:$AK$14,MATCH($E88,'BY-Demands'!$I$5:$I$14,0),FALSE)*HLOOKUP(REG_TRA_DEMANDS!$F88,DEMANDS!$G$2:$CK$25,MATCH($E88,DEMANDS!$E$2:$E$25,0),FALSE)/HLOOKUP(2018,DEMANDS!$G$2:$CK$25,MATCH($E88,DEMANDS!$E$2:$E$25,0),FALSE)</f>
        <v>0.45821492220791399</v>
      </c>
      <c r="AF88" s="18">
        <f>HLOOKUP(REG_TRA_DEMANDS!AF$3,'BY-Demands'!$J$5:$AK$14,MATCH($E88,'BY-Demands'!$I$5:$I$14,0),FALSE)*HLOOKUP(REG_TRA_DEMANDS!$F88,DEMANDS!$G$2:$CK$25,MATCH($E88,DEMANDS!$E$2:$E$25,0),FALSE)/HLOOKUP(2018,DEMANDS!$G$2:$CK$25,MATCH($E88,DEMANDS!$E$2:$E$25,0),FALSE)</f>
        <v>0.17669217809095369</v>
      </c>
    </row>
    <row r="89" spans="4:32" ht="14.4">
      <c r="D89" t="s">
        <v>6</v>
      </c>
      <c r="E89" t="str">
        <f>DEMANDS!$E$20</f>
        <v>TRAF</v>
      </c>
      <c r="F89">
        <v>2024</v>
      </c>
      <c r="G89" s="18">
        <f>HLOOKUP(REG_TRA_DEMANDS!G$3,'BY-Demands'!$J$5:$AK$14,MATCH($E89,'BY-Demands'!$I$5:$I$14,0),FALSE)*HLOOKUP(REG_TRA_DEMANDS!$F89,DEMANDS!$G$2:$CK$25,MATCH($E89,DEMANDS!$E$2:$E$25,0),FALSE)/HLOOKUP(2018,DEMANDS!$G$2:$CK$25,MATCH($E89,DEMANDS!$E$2:$E$25,0),FALSE)</f>
        <v>0.2329960147714043</v>
      </c>
      <c r="H89" s="18">
        <f>HLOOKUP(REG_TRA_DEMANDS!H$3,'BY-Demands'!$J$5:$AK$14,MATCH($E89,'BY-Demands'!$I$5:$I$14,0),FALSE)*HLOOKUP(REG_TRA_DEMANDS!$F89,DEMANDS!$G$2:$CK$25,MATCH($E89,DEMANDS!$E$2:$E$25,0),FALSE)/HLOOKUP(2018,DEMANDS!$G$2:$CK$25,MATCH($E89,DEMANDS!$E$2:$E$25,0),FALSE)</f>
        <v>3.4799814388967749</v>
      </c>
      <c r="I89" s="18">
        <f>HLOOKUP(REG_TRA_DEMANDS!I$3,'BY-Demands'!$J$5:$AK$14,MATCH($E89,'BY-Demands'!$I$5:$I$14,0),FALSE)*HLOOKUP(REG_TRA_DEMANDS!$F89,DEMANDS!$G$2:$CK$25,MATCH($E89,DEMANDS!$E$2:$E$25,0),FALSE)/HLOOKUP(2018,DEMANDS!$G$2:$CK$25,MATCH($E89,DEMANDS!$E$2:$E$25,0),FALSE)</f>
        <v>0.63150292708619216</v>
      </c>
      <c r="J89" s="18">
        <f>HLOOKUP(REG_TRA_DEMANDS!J$3,'BY-Demands'!$J$5:$AK$14,MATCH($E89,'BY-Demands'!$I$5:$I$14,0),FALSE)*HLOOKUP(REG_TRA_DEMANDS!$F89,DEMANDS!$G$2:$CK$25,MATCH($E89,DEMANDS!$E$2:$E$25,0),FALSE)/HLOOKUP(2018,DEMANDS!$G$2:$CK$25,MATCH($E89,DEMANDS!$E$2:$E$25,0),FALSE)</f>
        <v>0.40611010570146788</v>
      </c>
      <c r="K89" s="18">
        <f>HLOOKUP(REG_TRA_DEMANDS!K$3,'BY-Demands'!$J$5:$AK$14,MATCH($E89,'BY-Demands'!$I$5:$I$14,0),FALSE)*HLOOKUP(REG_TRA_DEMANDS!$F89,DEMANDS!$G$2:$CK$25,MATCH($E89,DEMANDS!$E$2:$E$25,0),FALSE)/HLOOKUP(2018,DEMANDS!$G$2:$CK$25,MATCH($E89,DEMANDS!$E$2:$E$25,0),FALSE)</f>
        <v>0.2892526808768478</v>
      </c>
      <c r="L89" s="18">
        <f>HLOOKUP(REG_TRA_DEMANDS!L$3,'BY-Demands'!$J$5:$AK$14,MATCH($E89,'BY-Demands'!$I$5:$I$14,0),FALSE)*HLOOKUP(REG_TRA_DEMANDS!$F89,DEMANDS!$G$2:$CK$25,MATCH($E89,DEMANDS!$E$2:$E$25,0),FALSE)/HLOOKUP(2018,DEMANDS!$G$2:$CK$25,MATCH($E89,DEMANDS!$E$2:$E$25,0),FALSE)</f>
        <v>0.13958729146816826</v>
      </c>
      <c r="M89" s="18">
        <f>HLOOKUP(REG_TRA_DEMANDS!M$3,'BY-Demands'!$J$5:$AK$14,MATCH($E89,'BY-Demands'!$I$5:$I$14,0),FALSE)*HLOOKUP(REG_TRA_DEMANDS!$F89,DEMANDS!$G$2:$CK$25,MATCH($E89,DEMANDS!$E$2:$E$25,0),FALSE)/HLOOKUP(2018,DEMANDS!$G$2:$CK$25,MATCH($E89,DEMANDS!$E$2:$E$25,0),FALSE)</f>
        <v>0.36579397788164181</v>
      </c>
      <c r="N89" s="18">
        <f>HLOOKUP(REG_TRA_DEMANDS!N$3,'BY-Demands'!$J$5:$AK$14,MATCH($E89,'BY-Demands'!$I$5:$I$14,0),FALSE)*HLOOKUP(REG_TRA_DEMANDS!$F89,DEMANDS!$G$2:$CK$25,MATCH($E89,DEMANDS!$E$2:$E$25,0),FALSE)/HLOOKUP(2018,DEMANDS!$G$2:$CK$25,MATCH($E89,DEMANDS!$E$2:$E$25,0),FALSE)</f>
        <v>0.56599000999784299</v>
      </c>
      <c r="O89" s="18">
        <f>HLOOKUP(REG_TRA_DEMANDS!O$3,'BY-Demands'!$J$5:$AK$14,MATCH($E89,'BY-Demands'!$I$5:$I$14,0),FALSE)*HLOOKUP(REG_TRA_DEMANDS!$F89,DEMANDS!$G$2:$CK$25,MATCH($E89,DEMANDS!$E$2:$E$25,0),FALSE)/HLOOKUP(2018,DEMANDS!$G$2:$CK$25,MATCH($E89,DEMANDS!$E$2:$E$25,0),FALSE)</f>
        <v>0.26624825263987978</v>
      </c>
      <c r="P89" s="18">
        <f>HLOOKUP(REG_TRA_DEMANDS!P$3,'BY-Demands'!$J$5:$AK$14,MATCH($E89,'BY-Demands'!$I$5:$I$14,0),FALSE)*HLOOKUP(REG_TRA_DEMANDS!$F89,DEMANDS!$G$2:$CK$25,MATCH($E89,DEMANDS!$E$2:$E$25,0),FALSE)/HLOOKUP(2018,DEMANDS!$G$2:$CK$25,MATCH($E89,DEMANDS!$E$2:$E$25,0),FALSE)</f>
        <v>0.30316257342571512</v>
      </c>
      <c r="Q89" s="18">
        <f>HLOOKUP(REG_TRA_DEMANDS!Q$3,'BY-Demands'!$J$5:$AK$14,MATCH($E89,'BY-Demands'!$I$5:$I$14,0),FALSE)*HLOOKUP(REG_TRA_DEMANDS!$F89,DEMANDS!$G$2:$CK$25,MATCH($E89,DEMANDS!$E$2:$E$25,0),FALSE)/HLOOKUP(2018,DEMANDS!$G$2:$CK$25,MATCH($E89,DEMANDS!$E$2:$E$25,0),FALSE)</f>
        <v>0.61274203125841575</v>
      </c>
      <c r="R89" s="18">
        <f>HLOOKUP(REG_TRA_DEMANDS!R$3,'BY-Demands'!$J$5:$AK$14,MATCH($E89,'BY-Demands'!$I$5:$I$14,0),FALSE)*HLOOKUP(REG_TRA_DEMANDS!$F89,DEMANDS!$G$2:$CK$25,MATCH($E89,DEMANDS!$E$2:$E$25,0),FALSE)/HLOOKUP(2018,DEMANDS!$G$2:$CK$25,MATCH($E89,DEMANDS!$E$2:$E$25,0),FALSE)</f>
        <v>0.40422556174383772</v>
      </c>
      <c r="S89" s="18">
        <f>HLOOKUP(REG_TRA_DEMANDS!S$3,'BY-Demands'!$J$5:$AK$14,MATCH($E89,'BY-Demands'!$I$5:$I$14,0),FALSE)*HLOOKUP(REG_TRA_DEMANDS!$F89,DEMANDS!$G$2:$CK$25,MATCH($E89,DEMANDS!$E$2:$E$25,0),FALSE)/HLOOKUP(2018,DEMANDS!$G$2:$CK$25,MATCH($E89,DEMANDS!$E$2:$E$25,0),FALSE)</f>
        <v>0.39777917462913875</v>
      </c>
      <c r="T89" s="18">
        <f>HLOOKUP(REG_TRA_DEMANDS!T$3,'BY-Demands'!$J$5:$AK$14,MATCH($E89,'BY-Demands'!$I$5:$I$14,0),FALSE)*HLOOKUP(REG_TRA_DEMANDS!$F89,DEMANDS!$G$2:$CK$25,MATCH($E89,DEMANDS!$E$2:$E$25,0),FALSE)/HLOOKUP(2018,DEMANDS!$G$2:$CK$25,MATCH($E89,DEMANDS!$E$2:$E$25,0),FALSE)</f>
        <v>2.1283357188972238</v>
      </c>
      <c r="U89" s="18">
        <f>HLOOKUP(REG_TRA_DEMANDS!U$3,'BY-Demands'!$J$5:$AK$14,MATCH($E89,'BY-Demands'!$I$5:$I$14,0),FALSE)*HLOOKUP(REG_TRA_DEMANDS!$F89,DEMANDS!$G$2:$CK$25,MATCH($E89,DEMANDS!$E$2:$E$25,0),FALSE)/HLOOKUP(2018,DEMANDS!$G$2:$CK$25,MATCH($E89,DEMANDS!$E$2:$E$25,0),FALSE)</f>
        <v>0.57909120454908258</v>
      </c>
      <c r="V89" s="18">
        <f>HLOOKUP(REG_TRA_DEMANDS!V$3,'BY-Demands'!$J$5:$AK$14,MATCH($E89,'BY-Demands'!$I$5:$I$14,0),FALSE)*HLOOKUP(REG_TRA_DEMANDS!$F89,DEMANDS!$G$2:$CK$25,MATCH($E89,DEMANDS!$E$2:$E$25,0),FALSE)/HLOOKUP(2018,DEMANDS!$G$2:$CK$25,MATCH($E89,DEMANDS!$E$2:$E$25,0),FALSE)</f>
        <v>0.65248881352032662</v>
      </c>
      <c r="W89" s="18">
        <f>HLOOKUP(REG_TRA_DEMANDS!W$3,'BY-Demands'!$J$5:$AK$14,MATCH($E89,'BY-Demands'!$I$5:$I$14,0),FALSE)*HLOOKUP(REG_TRA_DEMANDS!$F89,DEMANDS!$G$2:$CK$25,MATCH($E89,DEMANDS!$E$2:$E$25,0),FALSE)/HLOOKUP(2018,DEMANDS!$G$2:$CK$25,MATCH($E89,DEMANDS!$E$2:$E$25,0),FALSE)</f>
        <v>0.53415639722937824</v>
      </c>
      <c r="X89" s="18">
        <f>HLOOKUP(REG_TRA_DEMANDS!X$3,'BY-Demands'!$J$5:$AK$14,MATCH($E89,'BY-Demands'!$I$5:$I$14,0),FALSE)*HLOOKUP(REG_TRA_DEMANDS!$F89,DEMANDS!$G$2:$CK$25,MATCH($E89,DEMANDS!$E$2:$E$25,0),FALSE)/HLOOKUP(2018,DEMANDS!$G$2:$CK$25,MATCH($E89,DEMANDS!$E$2:$E$25,0),FALSE)</f>
        <v>0.49615909078676634</v>
      </c>
      <c r="Y89" s="18">
        <f>HLOOKUP(REG_TRA_DEMANDS!Y$3,'BY-Demands'!$J$5:$AK$14,MATCH($E89,'BY-Demands'!$I$5:$I$14,0),FALSE)*HLOOKUP(REG_TRA_DEMANDS!$F89,DEMANDS!$G$2:$CK$25,MATCH($E89,DEMANDS!$E$2:$E$25,0),FALSE)/HLOOKUP(2018,DEMANDS!$G$2:$CK$25,MATCH($E89,DEMANDS!$E$2:$E$25,0),FALSE)</f>
        <v>0.79226708523694522</v>
      </c>
      <c r="Z89" s="18">
        <f>HLOOKUP(REG_TRA_DEMANDS!Z$3,'BY-Demands'!$J$5:$AK$14,MATCH($E89,'BY-Demands'!$I$5:$I$14,0),FALSE)*HLOOKUP(REG_TRA_DEMANDS!$F89,DEMANDS!$G$2:$CK$25,MATCH($E89,DEMANDS!$E$2:$E$25,0),FALSE)/HLOOKUP(2018,DEMANDS!$G$2:$CK$25,MATCH($E89,DEMANDS!$E$2:$E$25,0),FALSE)</f>
        <v>0.10566006370514532</v>
      </c>
      <c r="AA89" s="18">
        <f>HLOOKUP(REG_TRA_DEMANDS!AA$3,'BY-Demands'!$J$5:$AK$14,MATCH($E89,'BY-Demands'!$I$5:$I$14,0),FALSE)*HLOOKUP(REG_TRA_DEMANDS!$F89,DEMANDS!$G$2:$CK$25,MATCH($E89,DEMANDS!$E$2:$E$25,0),FALSE)/HLOOKUP(2018,DEMANDS!$G$2:$CK$25,MATCH($E89,DEMANDS!$E$2:$E$25,0),FALSE)</f>
        <v>0.44622245035287672</v>
      </c>
      <c r="AB89" s="18">
        <f>HLOOKUP(REG_TRA_DEMANDS!AB$3,'BY-Demands'!$J$5:$AK$14,MATCH($E89,'BY-Demands'!$I$5:$I$14,0),FALSE)*HLOOKUP(REG_TRA_DEMANDS!$F89,DEMANDS!$G$2:$CK$25,MATCH($E89,DEMANDS!$E$2:$E$25,0),FALSE)/HLOOKUP(2018,DEMANDS!$G$2:$CK$25,MATCH($E89,DEMANDS!$E$2:$E$25,0),FALSE)</f>
        <v>0.19815733962726695</v>
      </c>
      <c r="AC89" s="18">
        <f>HLOOKUP(REG_TRA_DEMANDS!AC$3,'BY-Demands'!$J$5:$AK$14,MATCH($E89,'BY-Demands'!$I$5:$I$14,0),FALSE)*HLOOKUP(REG_TRA_DEMANDS!$F89,DEMANDS!$G$2:$CK$25,MATCH($E89,DEMANDS!$E$2:$E$25,0),FALSE)/HLOOKUP(2018,DEMANDS!$G$2:$CK$25,MATCH($E89,DEMANDS!$E$2:$E$25,0),FALSE)</f>
        <v>0.21609138293960523</v>
      </c>
      <c r="AD89" s="18">
        <f>HLOOKUP(REG_TRA_DEMANDS!AD$3,'BY-Demands'!$J$5:$AK$14,MATCH($E89,'BY-Demands'!$I$5:$I$14,0),FALSE)*HLOOKUP(REG_TRA_DEMANDS!$F89,DEMANDS!$G$2:$CK$25,MATCH($E89,DEMANDS!$E$2:$E$25,0),FALSE)/HLOOKUP(2018,DEMANDS!$G$2:$CK$25,MATCH($E89,DEMANDS!$E$2:$E$25,0),FALSE)</f>
        <v>0.25117841133451357</v>
      </c>
      <c r="AE89" s="18">
        <f>HLOOKUP(REG_TRA_DEMANDS!AE$3,'BY-Demands'!$J$5:$AK$14,MATCH($E89,'BY-Demands'!$I$5:$I$14,0),FALSE)*HLOOKUP(REG_TRA_DEMANDS!$F89,DEMANDS!$G$2:$CK$25,MATCH($E89,DEMANDS!$E$2:$E$25,0),FALSE)/HLOOKUP(2018,DEMANDS!$G$2:$CK$25,MATCH($E89,DEMANDS!$E$2:$E$25,0),FALSE)</f>
        <v>0.52491064977373236</v>
      </c>
      <c r="AF89" s="18">
        <f>HLOOKUP(REG_TRA_DEMANDS!AF$3,'BY-Demands'!$J$5:$AK$14,MATCH($E89,'BY-Demands'!$I$5:$I$14,0),FALSE)*HLOOKUP(REG_TRA_DEMANDS!$F89,DEMANDS!$G$2:$CK$25,MATCH($E89,DEMANDS!$E$2:$E$25,0),FALSE)/HLOOKUP(2018,DEMANDS!$G$2:$CK$25,MATCH($E89,DEMANDS!$E$2:$E$25,0),FALSE)</f>
        <v>0.20241070623530358</v>
      </c>
    </row>
    <row r="90" spans="4:32" ht="14.4">
      <c r="D90" t="s">
        <v>6</v>
      </c>
      <c r="E90" t="str">
        <f>DEMANDS!$E$20</f>
        <v>TRAF</v>
      </c>
      <c r="F90">
        <v>2025</v>
      </c>
      <c r="G90" s="18">
        <f>HLOOKUP(REG_TRA_DEMANDS!G$3,'BY-Demands'!$J$5:$AK$14,MATCH($E90,'BY-Demands'!$I$5:$I$14,0),FALSE)*HLOOKUP(REG_TRA_DEMANDS!$F90,DEMANDS!$G$2:$CK$25,MATCH($E90,DEMANDS!$E$2:$E$25,0),FALSE)/HLOOKUP(2018,DEMANDS!$G$2:$CK$25,MATCH($E90,DEMANDS!$E$2:$E$25,0),FALSE)</f>
        <v>0.24021889122931783</v>
      </c>
      <c r="H90" s="18">
        <f>HLOOKUP(REG_TRA_DEMANDS!H$3,'BY-Demands'!$J$5:$AK$14,MATCH($E90,'BY-Demands'!$I$5:$I$14,0),FALSE)*HLOOKUP(REG_TRA_DEMANDS!$F90,DEMANDS!$G$2:$CK$25,MATCH($E90,DEMANDS!$E$2:$E$25,0),FALSE)/HLOOKUP(2018,DEMANDS!$G$2:$CK$25,MATCH($E90,DEMANDS!$E$2:$E$25,0),FALSE)</f>
        <v>3.5878608635025744</v>
      </c>
      <c r="I90" s="18">
        <f>HLOOKUP(REG_TRA_DEMANDS!I$3,'BY-Demands'!$J$5:$AK$14,MATCH($E90,'BY-Demands'!$I$5:$I$14,0),FALSE)*HLOOKUP(REG_TRA_DEMANDS!$F90,DEMANDS!$G$2:$CK$25,MATCH($E90,DEMANDS!$E$2:$E$25,0),FALSE)/HLOOKUP(2018,DEMANDS!$G$2:$CK$25,MATCH($E90,DEMANDS!$E$2:$E$25,0),FALSE)</f>
        <v>0.65107951782586393</v>
      </c>
      <c r="J90" s="18">
        <f>HLOOKUP(REG_TRA_DEMANDS!J$3,'BY-Demands'!$J$5:$AK$14,MATCH($E90,'BY-Demands'!$I$5:$I$14,0),FALSE)*HLOOKUP(REG_TRA_DEMANDS!$F90,DEMANDS!$G$2:$CK$25,MATCH($E90,DEMANDS!$E$2:$E$25,0),FALSE)/HLOOKUP(2018,DEMANDS!$G$2:$CK$25,MATCH($E90,DEMANDS!$E$2:$E$25,0),FALSE)</f>
        <v>0.41869951897821323</v>
      </c>
      <c r="K90" s="18">
        <f>HLOOKUP(REG_TRA_DEMANDS!K$3,'BY-Demands'!$J$5:$AK$14,MATCH($E90,'BY-Demands'!$I$5:$I$14,0),FALSE)*HLOOKUP(REG_TRA_DEMANDS!$F90,DEMANDS!$G$2:$CK$25,MATCH($E90,DEMANDS!$E$2:$E$25,0),FALSE)/HLOOKUP(2018,DEMANDS!$G$2:$CK$25,MATCH($E90,DEMANDS!$E$2:$E$25,0),FALSE)</f>
        <v>0.29821951398403002</v>
      </c>
      <c r="L90" s="18">
        <f>HLOOKUP(REG_TRA_DEMANDS!L$3,'BY-Demands'!$J$5:$AK$14,MATCH($E90,'BY-Demands'!$I$5:$I$14,0),FALSE)*HLOOKUP(REG_TRA_DEMANDS!$F90,DEMANDS!$G$2:$CK$25,MATCH($E90,DEMANDS!$E$2:$E$25,0),FALSE)/HLOOKUP(2018,DEMANDS!$G$2:$CK$25,MATCH($E90,DEMANDS!$E$2:$E$25,0),FALSE)</f>
        <v>0.14391449750368146</v>
      </c>
      <c r="M90" s="18">
        <f>HLOOKUP(REG_TRA_DEMANDS!M$3,'BY-Demands'!$J$5:$AK$14,MATCH($E90,'BY-Demands'!$I$5:$I$14,0),FALSE)*HLOOKUP(REG_TRA_DEMANDS!$F90,DEMANDS!$G$2:$CK$25,MATCH($E90,DEMANDS!$E$2:$E$25,0),FALSE)/HLOOKUP(2018,DEMANDS!$G$2:$CK$25,MATCH($E90,DEMANDS!$E$2:$E$25,0),FALSE)</f>
        <v>0.37713359119597267</v>
      </c>
      <c r="N90" s="18">
        <f>HLOOKUP(REG_TRA_DEMANDS!N$3,'BY-Demands'!$J$5:$AK$14,MATCH($E90,'BY-Demands'!$I$5:$I$14,0),FALSE)*HLOOKUP(REG_TRA_DEMANDS!$F90,DEMANDS!$G$2:$CK$25,MATCH($E90,DEMANDS!$E$2:$E$25,0),FALSE)/HLOOKUP(2018,DEMANDS!$G$2:$CK$25,MATCH($E90,DEMANDS!$E$2:$E$25,0),FALSE)</f>
        <v>0.58353570030777602</v>
      </c>
      <c r="O90" s="18">
        <f>HLOOKUP(REG_TRA_DEMANDS!O$3,'BY-Demands'!$J$5:$AK$14,MATCH($E90,'BY-Demands'!$I$5:$I$14,0),FALSE)*HLOOKUP(REG_TRA_DEMANDS!$F90,DEMANDS!$G$2:$CK$25,MATCH($E90,DEMANDS!$E$2:$E$25,0),FALSE)/HLOOKUP(2018,DEMANDS!$G$2:$CK$25,MATCH($E90,DEMANDS!$E$2:$E$25,0),FALSE)</f>
        <v>0.274501948471716</v>
      </c>
      <c r="P90" s="18">
        <f>HLOOKUP(REG_TRA_DEMANDS!P$3,'BY-Demands'!$J$5:$AK$14,MATCH($E90,'BY-Demands'!$I$5:$I$14,0),FALSE)*HLOOKUP(REG_TRA_DEMANDS!$F90,DEMANDS!$G$2:$CK$25,MATCH($E90,DEMANDS!$E$2:$E$25,0),FALSE)/HLOOKUP(2018,DEMANDS!$G$2:$CK$25,MATCH($E90,DEMANDS!$E$2:$E$25,0),FALSE)</f>
        <v>0.31256061320191225</v>
      </c>
      <c r="Q90" s="18">
        <f>HLOOKUP(REG_TRA_DEMANDS!Q$3,'BY-Demands'!$J$5:$AK$14,MATCH($E90,'BY-Demands'!$I$5:$I$14,0),FALSE)*HLOOKUP(REG_TRA_DEMANDS!$F90,DEMANDS!$G$2:$CK$25,MATCH($E90,DEMANDS!$E$2:$E$25,0),FALSE)/HLOOKUP(2018,DEMANDS!$G$2:$CK$25,MATCH($E90,DEMANDS!$E$2:$E$25,0),FALSE)</f>
        <v>0.63173703422742655</v>
      </c>
      <c r="R90" s="18">
        <f>HLOOKUP(REG_TRA_DEMANDS!R$3,'BY-Demands'!$J$5:$AK$14,MATCH($E90,'BY-Demands'!$I$5:$I$14,0),FALSE)*HLOOKUP(REG_TRA_DEMANDS!$F90,DEMANDS!$G$2:$CK$25,MATCH($E90,DEMANDS!$E$2:$E$25,0),FALSE)/HLOOKUP(2018,DEMANDS!$G$2:$CK$25,MATCH($E90,DEMANDS!$E$2:$E$25,0),FALSE)</f>
        <v>0.41675655415789664</v>
      </c>
      <c r="S90" s="18">
        <f>HLOOKUP(REG_TRA_DEMANDS!S$3,'BY-Demands'!$J$5:$AK$14,MATCH($E90,'BY-Demands'!$I$5:$I$14,0),FALSE)*HLOOKUP(REG_TRA_DEMANDS!$F90,DEMANDS!$G$2:$CK$25,MATCH($E90,DEMANDS!$E$2:$E$25,0),FALSE)/HLOOKUP(2018,DEMANDS!$G$2:$CK$25,MATCH($E90,DEMANDS!$E$2:$E$25,0),FALSE)</f>
        <v>0.410110329042642</v>
      </c>
      <c r="T90" s="18">
        <f>HLOOKUP(REG_TRA_DEMANDS!T$3,'BY-Demands'!$J$5:$AK$14,MATCH($E90,'BY-Demands'!$I$5:$I$14,0),FALSE)*HLOOKUP(REG_TRA_DEMANDS!$F90,DEMANDS!$G$2:$CK$25,MATCH($E90,DEMANDS!$E$2:$E$25,0),FALSE)/HLOOKUP(2018,DEMANDS!$G$2:$CK$25,MATCH($E90,DEMANDS!$E$2:$E$25,0),FALSE)</f>
        <v>2.1943141261830372</v>
      </c>
      <c r="U90" s="18">
        <f>HLOOKUP(REG_TRA_DEMANDS!U$3,'BY-Demands'!$J$5:$AK$14,MATCH($E90,'BY-Demands'!$I$5:$I$14,0),FALSE)*HLOOKUP(REG_TRA_DEMANDS!$F90,DEMANDS!$G$2:$CK$25,MATCH($E90,DEMANDS!$E$2:$E$25,0),FALSE)/HLOOKUP(2018,DEMANDS!$G$2:$CK$25,MATCH($E90,DEMANDS!$E$2:$E$25,0),FALSE)</f>
        <v>0.5970430318901041</v>
      </c>
      <c r="V90" s="18">
        <f>HLOOKUP(REG_TRA_DEMANDS!V$3,'BY-Demands'!$J$5:$AK$14,MATCH($E90,'BY-Demands'!$I$5:$I$14,0),FALSE)*HLOOKUP(REG_TRA_DEMANDS!$F90,DEMANDS!$G$2:$CK$25,MATCH($E90,DEMANDS!$E$2:$E$25,0),FALSE)/HLOOKUP(2018,DEMANDS!$G$2:$CK$25,MATCH($E90,DEMANDS!$E$2:$E$25,0),FALSE)</f>
        <v>0.67271596673945666</v>
      </c>
      <c r="W90" s="18">
        <f>HLOOKUP(REG_TRA_DEMANDS!W$3,'BY-Demands'!$J$5:$AK$14,MATCH($E90,'BY-Demands'!$I$5:$I$14,0),FALSE)*HLOOKUP(REG_TRA_DEMANDS!$F90,DEMANDS!$G$2:$CK$25,MATCH($E90,DEMANDS!$E$2:$E$25,0),FALSE)/HLOOKUP(2018,DEMANDS!$G$2:$CK$25,MATCH($E90,DEMANDS!$E$2:$E$25,0),FALSE)</f>
        <v>0.55071524554348894</v>
      </c>
      <c r="X90" s="18">
        <f>HLOOKUP(REG_TRA_DEMANDS!X$3,'BY-Demands'!$J$5:$AK$14,MATCH($E90,'BY-Demands'!$I$5:$I$14,0),FALSE)*HLOOKUP(REG_TRA_DEMANDS!$F90,DEMANDS!$G$2:$CK$25,MATCH($E90,DEMANDS!$E$2:$E$25,0),FALSE)/HLOOKUP(2018,DEMANDS!$G$2:$CK$25,MATCH($E90,DEMANDS!$E$2:$E$25,0),FALSE)</f>
        <v>0.51154002260115605</v>
      </c>
      <c r="Y90" s="18">
        <f>HLOOKUP(REG_TRA_DEMANDS!Y$3,'BY-Demands'!$J$5:$AK$14,MATCH($E90,'BY-Demands'!$I$5:$I$14,0),FALSE)*HLOOKUP(REG_TRA_DEMANDS!$F90,DEMANDS!$G$2:$CK$25,MATCH($E90,DEMANDS!$E$2:$E$25,0),FALSE)/HLOOKUP(2018,DEMANDS!$G$2:$CK$25,MATCH($E90,DEMANDS!$E$2:$E$25,0),FALSE)</f>
        <v>0.81682736487929053</v>
      </c>
      <c r="Z90" s="18">
        <f>HLOOKUP(REG_TRA_DEMANDS!Z$3,'BY-Demands'!$J$5:$AK$14,MATCH($E90,'BY-Demands'!$I$5:$I$14,0),FALSE)*HLOOKUP(REG_TRA_DEMANDS!$F90,DEMANDS!$G$2:$CK$25,MATCH($E90,DEMANDS!$E$2:$E$25,0),FALSE)/HLOOKUP(2018,DEMANDS!$G$2:$CK$25,MATCH($E90,DEMANDS!$E$2:$E$25,0),FALSE)</f>
        <v>0.10893552568000479</v>
      </c>
      <c r="AA90" s="18">
        <f>HLOOKUP(REG_TRA_DEMANDS!AA$3,'BY-Demands'!$J$5:$AK$14,MATCH($E90,'BY-Demands'!$I$5:$I$14,0),FALSE)*HLOOKUP(REG_TRA_DEMANDS!$F90,DEMANDS!$G$2:$CK$25,MATCH($E90,DEMANDS!$E$2:$E$25,0),FALSE)/HLOOKUP(2018,DEMANDS!$G$2:$CK$25,MATCH($E90,DEMANDS!$E$2:$E$25,0),FALSE)</f>
        <v>0.46005534631381578</v>
      </c>
      <c r="AB90" s="18">
        <f>HLOOKUP(REG_TRA_DEMANDS!AB$3,'BY-Demands'!$J$5:$AK$14,MATCH($E90,'BY-Demands'!$I$5:$I$14,0),FALSE)*HLOOKUP(REG_TRA_DEMANDS!$F90,DEMANDS!$G$2:$CK$25,MATCH($E90,DEMANDS!$E$2:$E$25,0),FALSE)/HLOOKUP(2018,DEMANDS!$G$2:$CK$25,MATCH($E90,DEMANDS!$E$2:$E$25,0),FALSE)</f>
        <v>0.20430021715571217</v>
      </c>
      <c r="AC90" s="18">
        <f>HLOOKUP(REG_TRA_DEMANDS!AC$3,'BY-Demands'!$J$5:$AK$14,MATCH($E90,'BY-Demands'!$I$5:$I$14,0),FALSE)*HLOOKUP(REG_TRA_DEMANDS!$F90,DEMANDS!$G$2:$CK$25,MATCH($E90,DEMANDS!$E$2:$E$25,0),FALSE)/HLOOKUP(2018,DEMANDS!$G$2:$CK$25,MATCH($E90,DEMANDS!$E$2:$E$25,0),FALSE)</f>
        <v>0.22279021581073291</v>
      </c>
      <c r="AD90" s="18">
        <f>HLOOKUP(REG_TRA_DEMANDS!AD$3,'BY-Demands'!$J$5:$AK$14,MATCH($E90,'BY-Demands'!$I$5:$I$14,0),FALSE)*HLOOKUP(REG_TRA_DEMANDS!$F90,DEMANDS!$G$2:$CK$25,MATCH($E90,DEMANDS!$E$2:$E$25,0),FALSE)/HLOOKUP(2018,DEMANDS!$G$2:$CK$25,MATCH($E90,DEMANDS!$E$2:$E$25,0),FALSE)</f>
        <v>0.2589649420858835</v>
      </c>
      <c r="AE90" s="18">
        <f>HLOOKUP(REG_TRA_DEMANDS!AE$3,'BY-Demands'!$J$5:$AK$14,MATCH($E90,'BY-Demands'!$I$5:$I$14,0),FALSE)*HLOOKUP(REG_TRA_DEMANDS!$F90,DEMANDS!$G$2:$CK$25,MATCH($E90,DEMANDS!$E$2:$E$25,0),FALSE)/HLOOKUP(2018,DEMANDS!$G$2:$CK$25,MATCH($E90,DEMANDS!$E$2:$E$25,0),FALSE)</f>
        <v>0.5411828799167181</v>
      </c>
      <c r="AF90" s="18">
        <f>HLOOKUP(REG_TRA_DEMANDS!AF$3,'BY-Demands'!$J$5:$AK$14,MATCH($E90,'BY-Demands'!$I$5:$I$14,0),FALSE)*HLOOKUP(REG_TRA_DEMANDS!$F90,DEMANDS!$G$2:$CK$25,MATCH($E90,DEMANDS!$E$2:$E$25,0),FALSE)/HLOOKUP(2018,DEMANDS!$G$2:$CK$25,MATCH($E90,DEMANDS!$E$2:$E$25,0),FALSE)</f>
        <v>0.20868543812859797</v>
      </c>
    </row>
    <row r="91" spans="4:32" ht="14.4">
      <c r="D91" t="s">
        <v>6</v>
      </c>
      <c r="E91" t="str">
        <f>DEMANDS!$E$20</f>
        <v>TRAF</v>
      </c>
      <c r="F91">
        <v>2026</v>
      </c>
      <c r="G91" s="18">
        <f>HLOOKUP(REG_TRA_DEMANDS!G$3,'BY-Demands'!$J$5:$AK$14,MATCH($E91,'BY-Demands'!$I$5:$I$14,0),FALSE)*HLOOKUP(REG_TRA_DEMANDS!$F91,DEMANDS!$G$2:$CK$25,MATCH($E91,DEMANDS!$E$2:$E$25,0),FALSE)/HLOOKUP(2018,DEMANDS!$G$2:$CK$25,MATCH($E91,DEMANDS!$E$2:$E$25,0),FALSE)</f>
        <v>0.24502326905390417</v>
      </c>
      <c r="H91" s="18">
        <f>HLOOKUP(REG_TRA_DEMANDS!H$3,'BY-Demands'!$J$5:$AK$14,MATCH($E91,'BY-Demands'!$I$5:$I$14,0),FALSE)*HLOOKUP(REG_TRA_DEMANDS!$F91,DEMANDS!$G$2:$CK$25,MATCH($E91,DEMANDS!$E$2:$E$25,0),FALSE)/HLOOKUP(2018,DEMANDS!$G$2:$CK$25,MATCH($E91,DEMANDS!$E$2:$E$25,0),FALSE)</f>
        <v>3.659618080772626</v>
      </c>
      <c r="I91" s="18">
        <f>HLOOKUP(REG_TRA_DEMANDS!I$3,'BY-Demands'!$J$5:$AK$14,MATCH($E91,'BY-Demands'!$I$5:$I$14,0),FALSE)*HLOOKUP(REG_TRA_DEMANDS!$F91,DEMANDS!$G$2:$CK$25,MATCH($E91,DEMANDS!$E$2:$E$25,0),FALSE)/HLOOKUP(2018,DEMANDS!$G$2:$CK$25,MATCH($E91,DEMANDS!$E$2:$E$25,0),FALSE)</f>
        <v>0.66410110818238122</v>
      </c>
      <c r="J91" s="18">
        <f>HLOOKUP(REG_TRA_DEMANDS!J$3,'BY-Demands'!$J$5:$AK$14,MATCH($E91,'BY-Demands'!$I$5:$I$14,0),FALSE)*HLOOKUP(REG_TRA_DEMANDS!$F91,DEMANDS!$G$2:$CK$25,MATCH($E91,DEMANDS!$E$2:$E$25,0),FALSE)/HLOOKUP(2018,DEMANDS!$G$2:$CK$25,MATCH($E91,DEMANDS!$E$2:$E$25,0),FALSE)</f>
        <v>0.42707350935777755</v>
      </c>
      <c r="K91" s="18">
        <f>HLOOKUP(REG_TRA_DEMANDS!K$3,'BY-Demands'!$J$5:$AK$14,MATCH($E91,'BY-Demands'!$I$5:$I$14,0),FALSE)*HLOOKUP(REG_TRA_DEMANDS!$F91,DEMANDS!$G$2:$CK$25,MATCH($E91,DEMANDS!$E$2:$E$25,0),FALSE)/HLOOKUP(2018,DEMANDS!$G$2:$CK$25,MATCH($E91,DEMANDS!$E$2:$E$25,0),FALSE)</f>
        <v>0.30418390426371067</v>
      </c>
      <c r="L91" s="18">
        <f>HLOOKUP(REG_TRA_DEMANDS!L$3,'BY-Demands'!$J$5:$AK$14,MATCH($E91,'BY-Demands'!$I$5:$I$14,0),FALSE)*HLOOKUP(REG_TRA_DEMANDS!$F91,DEMANDS!$G$2:$CK$25,MATCH($E91,DEMANDS!$E$2:$E$25,0),FALSE)/HLOOKUP(2018,DEMANDS!$G$2:$CK$25,MATCH($E91,DEMANDS!$E$2:$E$25,0),FALSE)</f>
        <v>0.1467927874537551</v>
      </c>
      <c r="M91" s="18">
        <f>HLOOKUP(REG_TRA_DEMANDS!M$3,'BY-Demands'!$J$5:$AK$14,MATCH($E91,'BY-Demands'!$I$5:$I$14,0),FALSE)*HLOOKUP(REG_TRA_DEMANDS!$F91,DEMANDS!$G$2:$CK$25,MATCH($E91,DEMANDS!$E$2:$E$25,0),FALSE)/HLOOKUP(2018,DEMANDS!$G$2:$CK$25,MATCH($E91,DEMANDS!$E$2:$E$25,0),FALSE)</f>
        <v>0.38467626301989216</v>
      </c>
      <c r="N91" s="18">
        <f>HLOOKUP(REG_TRA_DEMANDS!N$3,'BY-Demands'!$J$5:$AK$14,MATCH($E91,'BY-Demands'!$I$5:$I$14,0),FALSE)*HLOOKUP(REG_TRA_DEMANDS!$F91,DEMANDS!$G$2:$CK$25,MATCH($E91,DEMANDS!$E$2:$E$25,0),FALSE)/HLOOKUP(2018,DEMANDS!$G$2:$CK$25,MATCH($E91,DEMANDS!$E$2:$E$25,0),FALSE)</f>
        <v>0.59520641431393151</v>
      </c>
      <c r="O91" s="18">
        <f>HLOOKUP(REG_TRA_DEMANDS!O$3,'BY-Demands'!$J$5:$AK$14,MATCH($E91,'BY-Demands'!$I$5:$I$14,0),FALSE)*HLOOKUP(REG_TRA_DEMANDS!$F91,DEMANDS!$G$2:$CK$25,MATCH($E91,DEMANDS!$E$2:$E$25,0),FALSE)/HLOOKUP(2018,DEMANDS!$G$2:$CK$25,MATCH($E91,DEMANDS!$E$2:$E$25,0),FALSE)</f>
        <v>0.27999198744115034</v>
      </c>
      <c r="P91" s="18">
        <f>HLOOKUP(REG_TRA_DEMANDS!P$3,'BY-Demands'!$J$5:$AK$14,MATCH($E91,'BY-Demands'!$I$5:$I$14,0),FALSE)*HLOOKUP(REG_TRA_DEMANDS!$F91,DEMANDS!$G$2:$CK$25,MATCH($E91,DEMANDS!$E$2:$E$25,0),FALSE)/HLOOKUP(2018,DEMANDS!$G$2:$CK$25,MATCH($E91,DEMANDS!$E$2:$E$25,0),FALSE)</f>
        <v>0.31881182546595055</v>
      </c>
      <c r="Q91" s="18">
        <f>HLOOKUP(REG_TRA_DEMANDS!Q$3,'BY-Demands'!$J$5:$AK$14,MATCH($E91,'BY-Demands'!$I$5:$I$14,0),FALSE)*HLOOKUP(REG_TRA_DEMANDS!$F91,DEMANDS!$G$2:$CK$25,MATCH($E91,DEMANDS!$E$2:$E$25,0),FALSE)/HLOOKUP(2018,DEMANDS!$G$2:$CK$25,MATCH($E91,DEMANDS!$E$2:$E$25,0),FALSE)</f>
        <v>0.64437177491197517</v>
      </c>
      <c r="R91" s="18">
        <f>HLOOKUP(REG_TRA_DEMANDS!R$3,'BY-Demands'!$J$5:$AK$14,MATCH($E91,'BY-Demands'!$I$5:$I$14,0),FALSE)*HLOOKUP(REG_TRA_DEMANDS!$F91,DEMANDS!$G$2:$CK$25,MATCH($E91,DEMANDS!$E$2:$E$25,0),FALSE)/HLOOKUP(2018,DEMANDS!$G$2:$CK$25,MATCH($E91,DEMANDS!$E$2:$E$25,0),FALSE)</f>
        <v>0.42509168524105462</v>
      </c>
      <c r="S91" s="18">
        <f>HLOOKUP(REG_TRA_DEMANDS!S$3,'BY-Demands'!$J$5:$AK$14,MATCH($E91,'BY-Demands'!$I$5:$I$14,0),FALSE)*HLOOKUP(REG_TRA_DEMANDS!$F91,DEMANDS!$G$2:$CK$25,MATCH($E91,DEMANDS!$E$2:$E$25,0),FALSE)/HLOOKUP(2018,DEMANDS!$G$2:$CK$25,MATCH($E91,DEMANDS!$E$2:$E$25,0),FALSE)</f>
        <v>0.41831253562349485</v>
      </c>
      <c r="T91" s="18">
        <f>HLOOKUP(REG_TRA_DEMANDS!T$3,'BY-Demands'!$J$5:$AK$14,MATCH($E91,'BY-Demands'!$I$5:$I$14,0),FALSE)*HLOOKUP(REG_TRA_DEMANDS!$F91,DEMANDS!$G$2:$CK$25,MATCH($E91,DEMANDS!$E$2:$E$25,0),FALSE)/HLOOKUP(2018,DEMANDS!$G$2:$CK$25,MATCH($E91,DEMANDS!$E$2:$E$25,0),FALSE)</f>
        <v>2.2382004087066978</v>
      </c>
      <c r="U91" s="18">
        <f>HLOOKUP(REG_TRA_DEMANDS!U$3,'BY-Demands'!$J$5:$AK$14,MATCH($E91,'BY-Demands'!$I$5:$I$14,0),FALSE)*HLOOKUP(REG_TRA_DEMANDS!$F91,DEMANDS!$G$2:$CK$25,MATCH($E91,DEMANDS!$E$2:$E$25,0),FALSE)/HLOOKUP(2018,DEMANDS!$G$2:$CK$25,MATCH($E91,DEMANDS!$E$2:$E$25,0),FALSE)</f>
        <v>0.6089838925279063</v>
      </c>
      <c r="V91" s="18">
        <f>HLOOKUP(REG_TRA_DEMANDS!V$3,'BY-Demands'!$J$5:$AK$14,MATCH($E91,'BY-Demands'!$I$5:$I$14,0),FALSE)*HLOOKUP(REG_TRA_DEMANDS!$F91,DEMANDS!$G$2:$CK$25,MATCH($E91,DEMANDS!$E$2:$E$25,0),FALSE)/HLOOKUP(2018,DEMANDS!$G$2:$CK$25,MATCH($E91,DEMANDS!$E$2:$E$25,0),FALSE)</f>
        <v>0.68617028607424591</v>
      </c>
      <c r="W91" s="18">
        <f>HLOOKUP(REG_TRA_DEMANDS!W$3,'BY-Demands'!$J$5:$AK$14,MATCH($E91,'BY-Demands'!$I$5:$I$14,0),FALSE)*HLOOKUP(REG_TRA_DEMANDS!$F91,DEMANDS!$G$2:$CK$25,MATCH($E91,DEMANDS!$E$2:$E$25,0),FALSE)/HLOOKUP(2018,DEMANDS!$G$2:$CK$25,MATCH($E91,DEMANDS!$E$2:$E$25,0),FALSE)</f>
        <v>0.56172955045435879</v>
      </c>
      <c r="X91" s="18">
        <f>HLOOKUP(REG_TRA_DEMANDS!X$3,'BY-Demands'!$J$5:$AK$14,MATCH($E91,'BY-Demands'!$I$5:$I$14,0),FALSE)*HLOOKUP(REG_TRA_DEMANDS!$F91,DEMANDS!$G$2:$CK$25,MATCH($E91,DEMANDS!$E$2:$E$25,0),FALSE)/HLOOKUP(2018,DEMANDS!$G$2:$CK$25,MATCH($E91,DEMANDS!$E$2:$E$25,0),FALSE)</f>
        <v>0.52177082305317912</v>
      </c>
      <c r="Y91" s="18">
        <f>HLOOKUP(REG_TRA_DEMANDS!Y$3,'BY-Demands'!$J$5:$AK$14,MATCH($E91,'BY-Demands'!$I$5:$I$14,0),FALSE)*HLOOKUP(REG_TRA_DEMANDS!$F91,DEMANDS!$G$2:$CK$25,MATCH($E91,DEMANDS!$E$2:$E$25,0),FALSE)/HLOOKUP(2018,DEMANDS!$G$2:$CK$25,MATCH($E91,DEMANDS!$E$2:$E$25,0),FALSE)</f>
        <v>0.83316391217687624</v>
      </c>
      <c r="Z91" s="18">
        <f>HLOOKUP(REG_TRA_DEMANDS!Z$3,'BY-Demands'!$J$5:$AK$14,MATCH($E91,'BY-Demands'!$I$5:$I$14,0),FALSE)*HLOOKUP(REG_TRA_DEMANDS!$F91,DEMANDS!$G$2:$CK$25,MATCH($E91,DEMANDS!$E$2:$E$25,0),FALSE)/HLOOKUP(2018,DEMANDS!$G$2:$CK$25,MATCH($E91,DEMANDS!$E$2:$E$25,0),FALSE)</f>
        <v>0.11111423619360489</v>
      </c>
      <c r="AA91" s="18">
        <f>HLOOKUP(REG_TRA_DEMANDS!AA$3,'BY-Demands'!$J$5:$AK$14,MATCH($E91,'BY-Demands'!$I$5:$I$14,0),FALSE)*HLOOKUP(REG_TRA_DEMANDS!$F91,DEMANDS!$G$2:$CK$25,MATCH($E91,DEMANDS!$E$2:$E$25,0),FALSE)/HLOOKUP(2018,DEMANDS!$G$2:$CK$25,MATCH($E91,DEMANDS!$E$2:$E$25,0),FALSE)</f>
        <v>0.46925645324009208</v>
      </c>
      <c r="AB91" s="18">
        <f>HLOOKUP(REG_TRA_DEMANDS!AB$3,'BY-Demands'!$J$5:$AK$14,MATCH($E91,'BY-Demands'!$I$5:$I$14,0),FALSE)*HLOOKUP(REG_TRA_DEMANDS!$F91,DEMANDS!$G$2:$CK$25,MATCH($E91,DEMANDS!$E$2:$E$25,0),FALSE)/HLOOKUP(2018,DEMANDS!$G$2:$CK$25,MATCH($E91,DEMANDS!$E$2:$E$25,0),FALSE)</f>
        <v>0.20838622149882643</v>
      </c>
      <c r="AC91" s="18">
        <f>HLOOKUP(REG_TRA_DEMANDS!AC$3,'BY-Demands'!$J$5:$AK$14,MATCH($E91,'BY-Demands'!$I$5:$I$14,0),FALSE)*HLOOKUP(REG_TRA_DEMANDS!$F91,DEMANDS!$G$2:$CK$25,MATCH($E91,DEMANDS!$E$2:$E$25,0),FALSE)/HLOOKUP(2018,DEMANDS!$G$2:$CK$25,MATCH($E91,DEMANDS!$E$2:$E$25,0),FALSE)</f>
        <v>0.22724602012694758</v>
      </c>
      <c r="AD91" s="18">
        <f>HLOOKUP(REG_TRA_DEMANDS!AD$3,'BY-Demands'!$J$5:$AK$14,MATCH($E91,'BY-Demands'!$I$5:$I$14,0),FALSE)*HLOOKUP(REG_TRA_DEMANDS!$F91,DEMANDS!$G$2:$CK$25,MATCH($E91,DEMANDS!$E$2:$E$25,0),FALSE)/HLOOKUP(2018,DEMANDS!$G$2:$CK$25,MATCH($E91,DEMANDS!$E$2:$E$25,0),FALSE)</f>
        <v>0.26414424092760114</v>
      </c>
      <c r="AE91" s="18">
        <f>HLOOKUP(REG_TRA_DEMANDS!AE$3,'BY-Demands'!$J$5:$AK$14,MATCH($E91,'BY-Demands'!$I$5:$I$14,0),FALSE)*HLOOKUP(REG_TRA_DEMANDS!$F91,DEMANDS!$G$2:$CK$25,MATCH($E91,DEMANDS!$E$2:$E$25,0),FALSE)/HLOOKUP(2018,DEMANDS!$G$2:$CK$25,MATCH($E91,DEMANDS!$E$2:$E$25,0),FALSE)</f>
        <v>0.55200653751505246</v>
      </c>
      <c r="AF91" s="18">
        <f>HLOOKUP(REG_TRA_DEMANDS!AF$3,'BY-Demands'!$J$5:$AK$14,MATCH($E91,'BY-Demands'!$I$5:$I$14,0),FALSE)*HLOOKUP(REG_TRA_DEMANDS!$F91,DEMANDS!$G$2:$CK$25,MATCH($E91,DEMANDS!$E$2:$E$25,0),FALSE)/HLOOKUP(2018,DEMANDS!$G$2:$CK$25,MATCH($E91,DEMANDS!$E$2:$E$25,0),FALSE)</f>
        <v>0.21285914689116991</v>
      </c>
    </row>
    <row r="92" spans="4:32" ht="14.4">
      <c r="D92" t="s">
        <v>6</v>
      </c>
      <c r="E92" t="str">
        <f>DEMANDS!$E$20</f>
        <v>TRAF</v>
      </c>
      <c r="F92">
        <v>2027</v>
      </c>
      <c r="G92" s="18">
        <f>HLOOKUP(REG_TRA_DEMANDS!G$3,'BY-Demands'!$J$5:$AK$14,MATCH($E92,'BY-Demands'!$I$5:$I$14,0),FALSE)*HLOOKUP(REG_TRA_DEMANDS!$F92,DEMANDS!$G$2:$CK$25,MATCH($E92,DEMANDS!$E$2:$E$25,0),FALSE)/HLOOKUP(2018,DEMANDS!$G$2:$CK$25,MATCH($E92,DEMANDS!$E$2:$E$25,0),FALSE)</f>
        <v>0.24992373443498225</v>
      </c>
      <c r="H92" s="18">
        <f>HLOOKUP(REG_TRA_DEMANDS!H$3,'BY-Demands'!$J$5:$AK$14,MATCH($E92,'BY-Demands'!$I$5:$I$14,0),FALSE)*HLOOKUP(REG_TRA_DEMANDS!$F92,DEMANDS!$G$2:$CK$25,MATCH($E92,DEMANDS!$E$2:$E$25,0),FALSE)/HLOOKUP(2018,DEMANDS!$G$2:$CK$25,MATCH($E92,DEMANDS!$E$2:$E$25,0),FALSE)</f>
        <v>3.7328104423880779</v>
      </c>
      <c r="I92" s="18">
        <f>HLOOKUP(REG_TRA_DEMANDS!I$3,'BY-Demands'!$J$5:$AK$14,MATCH($E92,'BY-Demands'!$I$5:$I$14,0),FALSE)*HLOOKUP(REG_TRA_DEMANDS!$F92,DEMANDS!$G$2:$CK$25,MATCH($E92,DEMANDS!$E$2:$E$25,0),FALSE)/HLOOKUP(2018,DEMANDS!$G$2:$CK$25,MATCH($E92,DEMANDS!$E$2:$E$25,0),FALSE)</f>
        <v>0.67738313034602882</v>
      </c>
      <c r="J92" s="18">
        <f>HLOOKUP(REG_TRA_DEMANDS!J$3,'BY-Demands'!$J$5:$AK$14,MATCH($E92,'BY-Demands'!$I$5:$I$14,0),FALSE)*HLOOKUP(REG_TRA_DEMANDS!$F92,DEMANDS!$G$2:$CK$25,MATCH($E92,DEMANDS!$E$2:$E$25,0),FALSE)/HLOOKUP(2018,DEMANDS!$G$2:$CK$25,MATCH($E92,DEMANDS!$E$2:$E$25,0),FALSE)</f>
        <v>0.43561497954493306</v>
      </c>
      <c r="K92" s="18">
        <f>HLOOKUP(REG_TRA_DEMANDS!K$3,'BY-Demands'!$J$5:$AK$14,MATCH($E92,'BY-Demands'!$I$5:$I$14,0),FALSE)*HLOOKUP(REG_TRA_DEMANDS!$F92,DEMANDS!$G$2:$CK$25,MATCH($E92,DEMANDS!$E$2:$E$25,0),FALSE)/HLOOKUP(2018,DEMANDS!$G$2:$CK$25,MATCH($E92,DEMANDS!$E$2:$E$25,0),FALSE)</f>
        <v>0.31026758234898483</v>
      </c>
      <c r="L92" s="18">
        <f>HLOOKUP(REG_TRA_DEMANDS!L$3,'BY-Demands'!$J$5:$AK$14,MATCH($E92,'BY-Demands'!$I$5:$I$14,0),FALSE)*HLOOKUP(REG_TRA_DEMANDS!$F92,DEMANDS!$G$2:$CK$25,MATCH($E92,DEMANDS!$E$2:$E$25,0),FALSE)/HLOOKUP(2018,DEMANDS!$G$2:$CK$25,MATCH($E92,DEMANDS!$E$2:$E$25,0),FALSE)</f>
        <v>0.14972864320283019</v>
      </c>
      <c r="M92" s="18">
        <f>HLOOKUP(REG_TRA_DEMANDS!M$3,'BY-Demands'!$J$5:$AK$14,MATCH($E92,'BY-Demands'!$I$5:$I$14,0),FALSE)*HLOOKUP(REG_TRA_DEMANDS!$F92,DEMANDS!$G$2:$CK$25,MATCH($E92,DEMANDS!$E$2:$E$25,0),FALSE)/HLOOKUP(2018,DEMANDS!$G$2:$CK$25,MATCH($E92,DEMANDS!$E$2:$E$25,0),FALSE)</f>
        <v>0.39236978828028996</v>
      </c>
      <c r="N92" s="18">
        <f>HLOOKUP(REG_TRA_DEMANDS!N$3,'BY-Demands'!$J$5:$AK$14,MATCH($E92,'BY-Demands'!$I$5:$I$14,0),FALSE)*HLOOKUP(REG_TRA_DEMANDS!$F92,DEMANDS!$G$2:$CK$25,MATCH($E92,DEMANDS!$E$2:$E$25,0),FALSE)/HLOOKUP(2018,DEMANDS!$G$2:$CK$25,MATCH($E92,DEMANDS!$E$2:$E$25,0),FALSE)</f>
        <v>0.60711054260021013</v>
      </c>
      <c r="O92" s="18">
        <f>HLOOKUP(REG_TRA_DEMANDS!O$3,'BY-Demands'!$J$5:$AK$14,MATCH($E92,'BY-Demands'!$I$5:$I$14,0),FALSE)*HLOOKUP(REG_TRA_DEMANDS!$F92,DEMANDS!$G$2:$CK$25,MATCH($E92,DEMANDS!$E$2:$E$25,0),FALSE)/HLOOKUP(2018,DEMANDS!$G$2:$CK$25,MATCH($E92,DEMANDS!$E$2:$E$25,0),FALSE)</f>
        <v>0.28559182718997334</v>
      </c>
      <c r="P92" s="18">
        <f>HLOOKUP(REG_TRA_DEMANDS!P$3,'BY-Demands'!$J$5:$AK$14,MATCH($E92,'BY-Demands'!$I$5:$I$14,0),FALSE)*HLOOKUP(REG_TRA_DEMANDS!$F92,DEMANDS!$G$2:$CK$25,MATCH($E92,DEMANDS!$E$2:$E$25,0),FALSE)/HLOOKUP(2018,DEMANDS!$G$2:$CK$25,MATCH($E92,DEMANDS!$E$2:$E$25,0),FALSE)</f>
        <v>0.3251880619752695</v>
      </c>
      <c r="Q92" s="18">
        <f>HLOOKUP(REG_TRA_DEMANDS!Q$3,'BY-Demands'!$J$5:$AK$14,MATCH($E92,'BY-Demands'!$I$5:$I$14,0),FALSE)*HLOOKUP(REG_TRA_DEMANDS!$F92,DEMANDS!$G$2:$CK$25,MATCH($E92,DEMANDS!$E$2:$E$25,0),FALSE)/HLOOKUP(2018,DEMANDS!$G$2:$CK$25,MATCH($E92,DEMANDS!$E$2:$E$25,0),FALSE)</f>
        <v>0.65725921041021462</v>
      </c>
      <c r="R92" s="18">
        <f>HLOOKUP(REG_TRA_DEMANDS!R$3,'BY-Demands'!$J$5:$AK$14,MATCH($E92,'BY-Demands'!$I$5:$I$14,0),FALSE)*HLOOKUP(REG_TRA_DEMANDS!$F92,DEMANDS!$G$2:$CK$25,MATCH($E92,DEMANDS!$E$2:$E$25,0),FALSE)/HLOOKUP(2018,DEMANDS!$G$2:$CK$25,MATCH($E92,DEMANDS!$E$2:$E$25,0),FALSE)</f>
        <v>0.43359351894587572</v>
      </c>
      <c r="S92" s="18">
        <f>HLOOKUP(REG_TRA_DEMANDS!S$3,'BY-Demands'!$J$5:$AK$14,MATCH($E92,'BY-Demands'!$I$5:$I$14,0),FALSE)*HLOOKUP(REG_TRA_DEMANDS!$F92,DEMANDS!$G$2:$CK$25,MATCH($E92,DEMANDS!$E$2:$E$25,0),FALSE)/HLOOKUP(2018,DEMANDS!$G$2:$CK$25,MATCH($E92,DEMANDS!$E$2:$E$25,0),FALSE)</f>
        <v>0.42667878633596473</v>
      </c>
      <c r="T92" s="18">
        <f>HLOOKUP(REG_TRA_DEMANDS!T$3,'BY-Demands'!$J$5:$AK$14,MATCH($E92,'BY-Demands'!$I$5:$I$14,0),FALSE)*HLOOKUP(REG_TRA_DEMANDS!$F92,DEMANDS!$G$2:$CK$25,MATCH($E92,DEMANDS!$E$2:$E$25,0),FALSE)/HLOOKUP(2018,DEMANDS!$G$2:$CK$25,MATCH($E92,DEMANDS!$E$2:$E$25,0),FALSE)</f>
        <v>2.2829644168808318</v>
      </c>
      <c r="U92" s="18">
        <f>HLOOKUP(REG_TRA_DEMANDS!U$3,'BY-Demands'!$J$5:$AK$14,MATCH($E92,'BY-Demands'!$I$5:$I$14,0),FALSE)*HLOOKUP(REG_TRA_DEMANDS!$F92,DEMANDS!$G$2:$CK$25,MATCH($E92,DEMANDS!$E$2:$E$25,0),FALSE)/HLOOKUP(2018,DEMANDS!$G$2:$CK$25,MATCH($E92,DEMANDS!$E$2:$E$25,0),FALSE)</f>
        <v>0.62116357037846426</v>
      </c>
      <c r="V92" s="18">
        <f>HLOOKUP(REG_TRA_DEMANDS!V$3,'BY-Demands'!$J$5:$AK$14,MATCH($E92,'BY-Demands'!$I$5:$I$14,0),FALSE)*HLOOKUP(REG_TRA_DEMANDS!$F92,DEMANDS!$G$2:$CK$25,MATCH($E92,DEMANDS!$E$2:$E$25,0),FALSE)/HLOOKUP(2018,DEMANDS!$G$2:$CK$25,MATCH($E92,DEMANDS!$E$2:$E$25,0),FALSE)</f>
        <v>0.6998936917957308</v>
      </c>
      <c r="W92" s="18">
        <f>HLOOKUP(REG_TRA_DEMANDS!W$3,'BY-Demands'!$J$5:$AK$14,MATCH($E92,'BY-Demands'!$I$5:$I$14,0),FALSE)*HLOOKUP(REG_TRA_DEMANDS!$F92,DEMANDS!$G$2:$CK$25,MATCH($E92,DEMANDS!$E$2:$E$25,0),FALSE)/HLOOKUP(2018,DEMANDS!$G$2:$CK$25,MATCH($E92,DEMANDS!$E$2:$E$25,0),FALSE)</f>
        <v>0.57296414146344588</v>
      </c>
      <c r="X92" s="18">
        <f>HLOOKUP(REG_TRA_DEMANDS!X$3,'BY-Demands'!$J$5:$AK$14,MATCH($E92,'BY-Demands'!$I$5:$I$14,0),FALSE)*HLOOKUP(REG_TRA_DEMANDS!$F92,DEMANDS!$G$2:$CK$25,MATCH($E92,DEMANDS!$E$2:$E$25,0),FALSE)/HLOOKUP(2018,DEMANDS!$G$2:$CK$25,MATCH($E92,DEMANDS!$E$2:$E$25,0),FALSE)</f>
        <v>0.53220623951424273</v>
      </c>
      <c r="Y92" s="18">
        <f>HLOOKUP(REG_TRA_DEMANDS!Y$3,'BY-Demands'!$J$5:$AK$14,MATCH($E92,'BY-Demands'!$I$5:$I$14,0),FALSE)*HLOOKUP(REG_TRA_DEMANDS!$F92,DEMANDS!$G$2:$CK$25,MATCH($E92,DEMANDS!$E$2:$E$25,0),FALSE)/HLOOKUP(2018,DEMANDS!$G$2:$CK$25,MATCH($E92,DEMANDS!$E$2:$E$25,0),FALSE)</f>
        <v>0.84982719042041388</v>
      </c>
      <c r="Z92" s="18">
        <f>HLOOKUP(REG_TRA_DEMANDS!Z$3,'BY-Demands'!$J$5:$AK$14,MATCH($E92,'BY-Demands'!$I$5:$I$14,0),FALSE)*HLOOKUP(REG_TRA_DEMANDS!$F92,DEMANDS!$G$2:$CK$25,MATCH($E92,DEMANDS!$E$2:$E$25,0),FALSE)/HLOOKUP(2018,DEMANDS!$G$2:$CK$25,MATCH($E92,DEMANDS!$E$2:$E$25,0),FALSE)</f>
        <v>0.11333652091747699</v>
      </c>
      <c r="AA92" s="18">
        <f>HLOOKUP(REG_TRA_DEMANDS!AA$3,'BY-Demands'!$J$5:$AK$14,MATCH($E92,'BY-Demands'!$I$5:$I$14,0),FALSE)*HLOOKUP(REG_TRA_DEMANDS!$F92,DEMANDS!$G$2:$CK$25,MATCH($E92,DEMANDS!$E$2:$E$25,0),FALSE)/HLOOKUP(2018,DEMANDS!$G$2:$CK$25,MATCH($E92,DEMANDS!$E$2:$E$25,0),FALSE)</f>
        <v>0.4786415823048939</v>
      </c>
      <c r="AB92" s="18">
        <f>HLOOKUP(REG_TRA_DEMANDS!AB$3,'BY-Demands'!$J$5:$AK$14,MATCH($E92,'BY-Demands'!$I$5:$I$14,0),FALSE)*HLOOKUP(REG_TRA_DEMANDS!$F92,DEMANDS!$G$2:$CK$25,MATCH($E92,DEMANDS!$E$2:$E$25,0),FALSE)/HLOOKUP(2018,DEMANDS!$G$2:$CK$25,MATCH($E92,DEMANDS!$E$2:$E$25,0),FALSE)</f>
        <v>0.21255394592880297</v>
      </c>
      <c r="AC92" s="18">
        <f>HLOOKUP(REG_TRA_DEMANDS!AC$3,'BY-Demands'!$J$5:$AK$14,MATCH($E92,'BY-Demands'!$I$5:$I$14,0),FALSE)*HLOOKUP(REG_TRA_DEMANDS!$F92,DEMANDS!$G$2:$CK$25,MATCH($E92,DEMANDS!$E$2:$E$25,0),FALSE)/HLOOKUP(2018,DEMANDS!$G$2:$CK$25,MATCH($E92,DEMANDS!$E$2:$E$25,0),FALSE)</f>
        <v>0.23179094052948654</v>
      </c>
      <c r="AD92" s="18">
        <f>HLOOKUP(REG_TRA_DEMANDS!AD$3,'BY-Demands'!$J$5:$AK$14,MATCH($E92,'BY-Demands'!$I$5:$I$14,0),FALSE)*HLOOKUP(REG_TRA_DEMANDS!$F92,DEMANDS!$G$2:$CK$25,MATCH($E92,DEMANDS!$E$2:$E$25,0),FALSE)/HLOOKUP(2018,DEMANDS!$G$2:$CK$25,MATCH($E92,DEMANDS!$E$2:$E$25,0),FALSE)</f>
        <v>0.26942712574615318</v>
      </c>
      <c r="AE92" s="18">
        <f>HLOOKUP(REG_TRA_DEMANDS!AE$3,'BY-Demands'!$J$5:$AK$14,MATCH($E92,'BY-Demands'!$I$5:$I$14,0),FALSE)*HLOOKUP(REG_TRA_DEMANDS!$F92,DEMANDS!$G$2:$CK$25,MATCH($E92,DEMANDS!$E$2:$E$25,0),FALSE)/HLOOKUP(2018,DEMANDS!$G$2:$CK$25,MATCH($E92,DEMANDS!$E$2:$E$25,0),FALSE)</f>
        <v>0.56304666826535343</v>
      </c>
      <c r="AF92" s="18">
        <f>HLOOKUP(REG_TRA_DEMANDS!AF$3,'BY-Demands'!$J$5:$AK$14,MATCH($E92,'BY-Demands'!$I$5:$I$14,0),FALSE)*HLOOKUP(REG_TRA_DEMANDS!$F92,DEMANDS!$G$2:$CK$25,MATCH($E92,DEMANDS!$E$2:$E$25,0),FALSE)/HLOOKUP(2018,DEMANDS!$G$2:$CK$25,MATCH($E92,DEMANDS!$E$2:$E$25,0),FALSE)</f>
        <v>0.21711632982899332</v>
      </c>
    </row>
    <row r="93" spans="4:32" ht="14.4">
      <c r="D93" t="s">
        <v>6</v>
      </c>
      <c r="E93" t="str">
        <f>DEMANDS!$E$20</f>
        <v>TRAF</v>
      </c>
      <c r="F93">
        <v>2028</v>
      </c>
      <c r="G93" s="18">
        <f>HLOOKUP(REG_TRA_DEMANDS!G$3,'BY-Demands'!$J$5:$AK$14,MATCH($E93,'BY-Demands'!$I$5:$I$14,0),FALSE)*HLOOKUP(REG_TRA_DEMANDS!$F93,DEMANDS!$G$2:$CK$25,MATCH($E93,DEMANDS!$E$2:$E$25,0),FALSE)/HLOOKUP(2018,DEMANDS!$G$2:$CK$25,MATCH($E93,DEMANDS!$E$2:$E$25,0),FALSE)</f>
        <v>0.25492220912368185</v>
      </c>
      <c r="H93" s="18">
        <f>HLOOKUP(REG_TRA_DEMANDS!H$3,'BY-Demands'!$J$5:$AK$14,MATCH($E93,'BY-Demands'!$I$5:$I$14,0),FALSE)*HLOOKUP(REG_TRA_DEMANDS!$F93,DEMANDS!$G$2:$CK$25,MATCH($E93,DEMANDS!$E$2:$E$25,0),FALSE)/HLOOKUP(2018,DEMANDS!$G$2:$CK$25,MATCH($E93,DEMANDS!$E$2:$E$25,0),FALSE)</f>
        <v>3.8074666512358397</v>
      </c>
      <c r="I93" s="18">
        <f>HLOOKUP(REG_TRA_DEMANDS!I$3,'BY-Demands'!$J$5:$AK$14,MATCH($E93,'BY-Demands'!$I$5:$I$14,0),FALSE)*HLOOKUP(REG_TRA_DEMANDS!$F93,DEMANDS!$G$2:$CK$25,MATCH($E93,DEMANDS!$E$2:$E$25,0),FALSE)/HLOOKUP(2018,DEMANDS!$G$2:$CK$25,MATCH($E93,DEMANDS!$E$2:$E$25,0),FALSE)</f>
        <v>0.69093079295294935</v>
      </c>
      <c r="J93" s="18">
        <f>HLOOKUP(REG_TRA_DEMANDS!J$3,'BY-Demands'!$J$5:$AK$14,MATCH($E93,'BY-Demands'!$I$5:$I$14,0),FALSE)*HLOOKUP(REG_TRA_DEMANDS!$F93,DEMANDS!$G$2:$CK$25,MATCH($E93,DEMANDS!$E$2:$E$25,0),FALSE)/HLOOKUP(2018,DEMANDS!$G$2:$CK$25,MATCH($E93,DEMANDS!$E$2:$E$25,0),FALSE)</f>
        <v>0.44432727913583175</v>
      </c>
      <c r="K93" s="18">
        <f>HLOOKUP(REG_TRA_DEMANDS!K$3,'BY-Demands'!$J$5:$AK$14,MATCH($E93,'BY-Demands'!$I$5:$I$14,0),FALSE)*HLOOKUP(REG_TRA_DEMANDS!$F93,DEMANDS!$G$2:$CK$25,MATCH($E93,DEMANDS!$E$2:$E$25,0),FALSE)/HLOOKUP(2018,DEMANDS!$G$2:$CK$25,MATCH($E93,DEMANDS!$E$2:$E$25,0),FALSE)</f>
        <v>0.31647293399596454</v>
      </c>
      <c r="L93" s="18">
        <f>HLOOKUP(REG_TRA_DEMANDS!L$3,'BY-Demands'!$J$5:$AK$14,MATCH($E93,'BY-Demands'!$I$5:$I$14,0),FALSE)*HLOOKUP(REG_TRA_DEMANDS!$F93,DEMANDS!$G$2:$CK$25,MATCH($E93,DEMANDS!$E$2:$E$25,0),FALSE)/HLOOKUP(2018,DEMANDS!$G$2:$CK$25,MATCH($E93,DEMANDS!$E$2:$E$25,0),FALSE)</f>
        <v>0.15272321606688677</v>
      </c>
      <c r="M93" s="18">
        <f>HLOOKUP(REG_TRA_DEMANDS!M$3,'BY-Demands'!$J$5:$AK$14,MATCH($E93,'BY-Demands'!$I$5:$I$14,0),FALSE)*HLOOKUP(REG_TRA_DEMANDS!$F93,DEMANDS!$G$2:$CK$25,MATCH($E93,DEMANDS!$E$2:$E$25,0),FALSE)/HLOOKUP(2018,DEMANDS!$G$2:$CK$25,MATCH($E93,DEMANDS!$E$2:$E$25,0),FALSE)</f>
        <v>0.40021718404589579</v>
      </c>
      <c r="N93" s="18">
        <f>HLOOKUP(REG_TRA_DEMANDS!N$3,'BY-Demands'!$J$5:$AK$14,MATCH($E93,'BY-Demands'!$I$5:$I$14,0),FALSE)*HLOOKUP(REG_TRA_DEMANDS!$F93,DEMANDS!$G$2:$CK$25,MATCH($E93,DEMANDS!$E$2:$E$25,0),FALSE)/HLOOKUP(2018,DEMANDS!$G$2:$CK$25,MATCH($E93,DEMANDS!$E$2:$E$25,0),FALSE)</f>
        <v>0.61925275345221431</v>
      </c>
      <c r="O93" s="18">
        <f>HLOOKUP(REG_TRA_DEMANDS!O$3,'BY-Demands'!$J$5:$AK$14,MATCH($E93,'BY-Demands'!$I$5:$I$14,0),FALSE)*HLOOKUP(REG_TRA_DEMANDS!$F93,DEMANDS!$G$2:$CK$25,MATCH($E93,DEMANDS!$E$2:$E$25,0),FALSE)/HLOOKUP(2018,DEMANDS!$G$2:$CK$25,MATCH($E93,DEMANDS!$E$2:$E$25,0),FALSE)</f>
        <v>0.29130366373377281</v>
      </c>
      <c r="P93" s="18">
        <f>HLOOKUP(REG_TRA_DEMANDS!P$3,'BY-Demands'!$J$5:$AK$14,MATCH($E93,'BY-Demands'!$I$5:$I$14,0),FALSE)*HLOOKUP(REG_TRA_DEMANDS!$F93,DEMANDS!$G$2:$CK$25,MATCH($E93,DEMANDS!$E$2:$E$25,0),FALSE)/HLOOKUP(2018,DEMANDS!$G$2:$CK$25,MATCH($E93,DEMANDS!$E$2:$E$25,0),FALSE)</f>
        <v>0.33169182321477492</v>
      </c>
      <c r="Q93" s="18">
        <f>HLOOKUP(REG_TRA_DEMANDS!Q$3,'BY-Demands'!$J$5:$AK$14,MATCH($E93,'BY-Demands'!$I$5:$I$14,0),FALSE)*HLOOKUP(REG_TRA_DEMANDS!$F93,DEMANDS!$G$2:$CK$25,MATCH($E93,DEMANDS!$E$2:$E$25,0),FALSE)/HLOOKUP(2018,DEMANDS!$G$2:$CK$25,MATCH($E93,DEMANDS!$E$2:$E$25,0),FALSE)</f>
        <v>0.67040439461841883</v>
      </c>
      <c r="R93" s="18">
        <f>HLOOKUP(REG_TRA_DEMANDS!R$3,'BY-Demands'!$J$5:$AK$14,MATCH($E93,'BY-Demands'!$I$5:$I$14,0),FALSE)*HLOOKUP(REG_TRA_DEMANDS!$F93,DEMANDS!$G$2:$CK$25,MATCH($E93,DEMANDS!$E$2:$E$25,0),FALSE)/HLOOKUP(2018,DEMANDS!$G$2:$CK$25,MATCH($E93,DEMANDS!$E$2:$E$25,0),FALSE)</f>
        <v>0.44226538932479315</v>
      </c>
      <c r="S93" s="18">
        <f>HLOOKUP(REG_TRA_DEMANDS!S$3,'BY-Demands'!$J$5:$AK$14,MATCH($E93,'BY-Demands'!$I$5:$I$14,0),FALSE)*HLOOKUP(REG_TRA_DEMANDS!$F93,DEMANDS!$G$2:$CK$25,MATCH($E93,DEMANDS!$E$2:$E$25,0),FALSE)/HLOOKUP(2018,DEMANDS!$G$2:$CK$25,MATCH($E93,DEMANDS!$E$2:$E$25,0),FALSE)</f>
        <v>0.43521236206268404</v>
      </c>
      <c r="T93" s="18">
        <f>HLOOKUP(REG_TRA_DEMANDS!T$3,'BY-Demands'!$J$5:$AK$14,MATCH($E93,'BY-Demands'!$I$5:$I$14,0),FALSE)*HLOOKUP(REG_TRA_DEMANDS!$F93,DEMANDS!$G$2:$CK$25,MATCH($E93,DEMANDS!$E$2:$E$25,0),FALSE)/HLOOKUP(2018,DEMANDS!$G$2:$CK$25,MATCH($E93,DEMANDS!$E$2:$E$25,0),FALSE)</f>
        <v>2.3286237052184484</v>
      </c>
      <c r="U93" s="18">
        <f>HLOOKUP(REG_TRA_DEMANDS!U$3,'BY-Demands'!$J$5:$AK$14,MATCH($E93,'BY-Demands'!$I$5:$I$14,0),FALSE)*HLOOKUP(REG_TRA_DEMANDS!$F93,DEMANDS!$G$2:$CK$25,MATCH($E93,DEMANDS!$E$2:$E$25,0),FALSE)/HLOOKUP(2018,DEMANDS!$G$2:$CK$25,MATCH($E93,DEMANDS!$E$2:$E$25,0),FALSE)</f>
        <v>0.63358684178603364</v>
      </c>
      <c r="V93" s="18">
        <f>HLOOKUP(REG_TRA_DEMANDS!V$3,'BY-Demands'!$J$5:$AK$14,MATCH($E93,'BY-Demands'!$I$5:$I$14,0),FALSE)*HLOOKUP(REG_TRA_DEMANDS!$F93,DEMANDS!$G$2:$CK$25,MATCH($E93,DEMANDS!$E$2:$E$25,0),FALSE)/HLOOKUP(2018,DEMANDS!$G$2:$CK$25,MATCH($E93,DEMANDS!$E$2:$E$25,0),FALSE)</f>
        <v>0.71389156563164535</v>
      </c>
      <c r="W93" s="18">
        <f>HLOOKUP(REG_TRA_DEMANDS!W$3,'BY-Demands'!$J$5:$AK$14,MATCH($E93,'BY-Demands'!$I$5:$I$14,0),FALSE)*HLOOKUP(REG_TRA_DEMANDS!$F93,DEMANDS!$G$2:$CK$25,MATCH($E93,DEMANDS!$E$2:$E$25,0),FALSE)/HLOOKUP(2018,DEMANDS!$G$2:$CK$25,MATCH($E93,DEMANDS!$E$2:$E$25,0),FALSE)</f>
        <v>0.58442342429271477</v>
      </c>
      <c r="X93" s="18">
        <f>HLOOKUP(REG_TRA_DEMANDS!X$3,'BY-Demands'!$J$5:$AK$14,MATCH($E93,'BY-Demands'!$I$5:$I$14,0),FALSE)*HLOOKUP(REG_TRA_DEMANDS!$F93,DEMANDS!$G$2:$CK$25,MATCH($E93,DEMANDS!$E$2:$E$25,0),FALSE)/HLOOKUP(2018,DEMANDS!$G$2:$CK$25,MATCH($E93,DEMANDS!$E$2:$E$25,0),FALSE)</f>
        <v>0.5428503643045276</v>
      </c>
      <c r="Y93" s="18">
        <f>HLOOKUP(REG_TRA_DEMANDS!Y$3,'BY-Demands'!$J$5:$AK$14,MATCH($E93,'BY-Demands'!$I$5:$I$14,0),FALSE)*HLOOKUP(REG_TRA_DEMANDS!$F93,DEMANDS!$G$2:$CK$25,MATCH($E93,DEMANDS!$E$2:$E$25,0),FALSE)/HLOOKUP(2018,DEMANDS!$G$2:$CK$25,MATCH($E93,DEMANDS!$E$2:$E$25,0),FALSE)</f>
        <v>0.86682373422882197</v>
      </c>
      <c r="Z93" s="18">
        <f>HLOOKUP(REG_TRA_DEMANDS!Z$3,'BY-Demands'!$J$5:$AK$14,MATCH($E93,'BY-Demands'!$I$5:$I$14,0),FALSE)*HLOOKUP(REG_TRA_DEMANDS!$F93,DEMANDS!$G$2:$CK$25,MATCH($E93,DEMANDS!$E$2:$E$25,0),FALSE)/HLOOKUP(2018,DEMANDS!$G$2:$CK$25,MATCH($E93,DEMANDS!$E$2:$E$25,0),FALSE)</f>
        <v>0.11560325133582652</v>
      </c>
      <c r="AA93" s="18">
        <f>HLOOKUP(REG_TRA_DEMANDS!AA$3,'BY-Demands'!$J$5:$AK$14,MATCH($E93,'BY-Demands'!$I$5:$I$14,0),FALSE)*HLOOKUP(REG_TRA_DEMANDS!$F93,DEMANDS!$G$2:$CK$25,MATCH($E93,DEMANDS!$E$2:$E$25,0),FALSE)/HLOOKUP(2018,DEMANDS!$G$2:$CK$25,MATCH($E93,DEMANDS!$E$2:$E$25,0),FALSE)</f>
        <v>0.48821441395099185</v>
      </c>
      <c r="AB93" s="18">
        <f>HLOOKUP(REG_TRA_DEMANDS!AB$3,'BY-Demands'!$J$5:$AK$14,MATCH($E93,'BY-Demands'!$I$5:$I$14,0),FALSE)*HLOOKUP(REG_TRA_DEMANDS!$F93,DEMANDS!$G$2:$CK$25,MATCH($E93,DEMANDS!$E$2:$E$25,0),FALSE)/HLOOKUP(2018,DEMANDS!$G$2:$CK$25,MATCH($E93,DEMANDS!$E$2:$E$25,0),FALSE)</f>
        <v>0.21680502484737901</v>
      </c>
      <c r="AC93" s="18">
        <f>HLOOKUP(REG_TRA_DEMANDS!AC$3,'BY-Demands'!$J$5:$AK$14,MATCH($E93,'BY-Demands'!$I$5:$I$14,0),FALSE)*HLOOKUP(REG_TRA_DEMANDS!$F93,DEMANDS!$G$2:$CK$25,MATCH($E93,DEMANDS!$E$2:$E$25,0),FALSE)/HLOOKUP(2018,DEMANDS!$G$2:$CK$25,MATCH($E93,DEMANDS!$E$2:$E$25,0),FALSE)</f>
        <v>0.23642675934007623</v>
      </c>
      <c r="AD93" s="18">
        <f>HLOOKUP(REG_TRA_DEMANDS!AD$3,'BY-Demands'!$J$5:$AK$14,MATCH($E93,'BY-Demands'!$I$5:$I$14,0),FALSE)*HLOOKUP(REG_TRA_DEMANDS!$F93,DEMANDS!$G$2:$CK$25,MATCH($E93,DEMANDS!$E$2:$E$25,0),FALSE)/HLOOKUP(2018,DEMANDS!$G$2:$CK$25,MATCH($E93,DEMANDS!$E$2:$E$25,0),FALSE)</f>
        <v>0.27481566826107623</v>
      </c>
      <c r="AE93" s="18">
        <f>HLOOKUP(REG_TRA_DEMANDS!AE$3,'BY-Demands'!$J$5:$AK$14,MATCH($E93,'BY-Demands'!$I$5:$I$14,0),FALSE)*HLOOKUP(REG_TRA_DEMANDS!$F93,DEMANDS!$G$2:$CK$25,MATCH($E93,DEMANDS!$E$2:$E$25,0),FALSE)/HLOOKUP(2018,DEMANDS!$G$2:$CK$25,MATCH($E93,DEMANDS!$E$2:$E$25,0),FALSE)</f>
        <v>0.57430760163066052</v>
      </c>
      <c r="AF93" s="18">
        <f>HLOOKUP(REG_TRA_DEMANDS!AF$3,'BY-Demands'!$J$5:$AK$14,MATCH($E93,'BY-Demands'!$I$5:$I$14,0),FALSE)*HLOOKUP(REG_TRA_DEMANDS!$F93,DEMANDS!$G$2:$CK$25,MATCH($E93,DEMANDS!$E$2:$E$25,0),FALSE)/HLOOKUP(2018,DEMANDS!$G$2:$CK$25,MATCH($E93,DEMANDS!$E$2:$E$25,0),FALSE)</f>
        <v>0.22145865642557316</v>
      </c>
    </row>
    <row r="94" spans="4:32" ht="14.4">
      <c r="D94" t="s">
        <v>6</v>
      </c>
      <c r="E94" t="str">
        <f>DEMANDS!$E$20</f>
        <v>TRAF</v>
      </c>
      <c r="F94">
        <v>2029</v>
      </c>
      <c r="G94" s="18">
        <f>HLOOKUP(REG_TRA_DEMANDS!G$3,'BY-Demands'!$J$5:$AK$14,MATCH($E94,'BY-Demands'!$I$5:$I$14,0),FALSE)*HLOOKUP(REG_TRA_DEMANDS!$F94,DEMANDS!$G$2:$CK$25,MATCH($E94,DEMANDS!$E$2:$E$25,0),FALSE)/HLOOKUP(2018,DEMANDS!$G$2:$CK$25,MATCH($E94,DEMANDS!$E$2:$E$25,0),FALSE)</f>
        <v>0.26002065330615548</v>
      </c>
      <c r="H94" s="18">
        <f>HLOOKUP(REG_TRA_DEMANDS!H$3,'BY-Demands'!$J$5:$AK$14,MATCH($E94,'BY-Demands'!$I$5:$I$14,0),FALSE)*HLOOKUP(REG_TRA_DEMANDS!$F94,DEMANDS!$G$2:$CK$25,MATCH($E94,DEMANDS!$E$2:$E$25,0),FALSE)/HLOOKUP(2018,DEMANDS!$G$2:$CK$25,MATCH($E94,DEMANDS!$E$2:$E$25,0),FALSE)</f>
        <v>3.8836159842605564</v>
      </c>
      <c r="I94" s="18">
        <f>HLOOKUP(REG_TRA_DEMANDS!I$3,'BY-Demands'!$J$5:$AK$14,MATCH($E94,'BY-Demands'!$I$5:$I$14,0),FALSE)*HLOOKUP(REG_TRA_DEMANDS!$F94,DEMANDS!$G$2:$CK$25,MATCH($E94,DEMANDS!$E$2:$E$25,0),FALSE)/HLOOKUP(2018,DEMANDS!$G$2:$CK$25,MATCH($E94,DEMANDS!$E$2:$E$25,0),FALSE)</f>
        <v>0.70474940881200832</v>
      </c>
      <c r="J94" s="18">
        <f>HLOOKUP(REG_TRA_DEMANDS!J$3,'BY-Demands'!$J$5:$AK$14,MATCH($E94,'BY-Demands'!$I$5:$I$14,0),FALSE)*HLOOKUP(REG_TRA_DEMANDS!$F94,DEMANDS!$G$2:$CK$25,MATCH($E94,DEMANDS!$E$2:$E$25,0),FALSE)/HLOOKUP(2018,DEMANDS!$G$2:$CK$25,MATCH($E94,DEMANDS!$E$2:$E$25,0),FALSE)</f>
        <v>0.45321382471854837</v>
      </c>
      <c r="K94" s="18">
        <f>HLOOKUP(REG_TRA_DEMANDS!K$3,'BY-Demands'!$J$5:$AK$14,MATCH($E94,'BY-Demands'!$I$5:$I$14,0),FALSE)*HLOOKUP(REG_TRA_DEMANDS!$F94,DEMANDS!$G$2:$CK$25,MATCH($E94,DEMANDS!$E$2:$E$25,0),FALSE)/HLOOKUP(2018,DEMANDS!$G$2:$CK$25,MATCH($E94,DEMANDS!$E$2:$E$25,0),FALSE)</f>
        <v>0.32280239267588384</v>
      </c>
      <c r="L94" s="18">
        <f>HLOOKUP(REG_TRA_DEMANDS!L$3,'BY-Demands'!$J$5:$AK$14,MATCH($E94,'BY-Demands'!$I$5:$I$14,0),FALSE)*HLOOKUP(REG_TRA_DEMANDS!$F94,DEMANDS!$G$2:$CK$25,MATCH($E94,DEMANDS!$E$2:$E$25,0),FALSE)/HLOOKUP(2018,DEMANDS!$G$2:$CK$25,MATCH($E94,DEMANDS!$E$2:$E$25,0),FALSE)</f>
        <v>0.15577768038822451</v>
      </c>
      <c r="M94" s="18">
        <f>HLOOKUP(REG_TRA_DEMANDS!M$3,'BY-Demands'!$J$5:$AK$14,MATCH($E94,'BY-Demands'!$I$5:$I$14,0),FALSE)*HLOOKUP(REG_TRA_DEMANDS!$F94,DEMANDS!$G$2:$CK$25,MATCH($E94,DEMANDS!$E$2:$E$25,0),FALSE)/HLOOKUP(2018,DEMANDS!$G$2:$CK$25,MATCH($E94,DEMANDS!$E$2:$E$25,0),FALSE)</f>
        <v>0.40822152772681364</v>
      </c>
      <c r="N94" s="18">
        <f>HLOOKUP(REG_TRA_DEMANDS!N$3,'BY-Demands'!$J$5:$AK$14,MATCH($E94,'BY-Demands'!$I$5:$I$14,0),FALSE)*HLOOKUP(REG_TRA_DEMANDS!$F94,DEMANDS!$G$2:$CK$25,MATCH($E94,DEMANDS!$E$2:$E$25,0),FALSE)/HLOOKUP(2018,DEMANDS!$G$2:$CK$25,MATCH($E94,DEMANDS!$E$2:$E$25,0),FALSE)</f>
        <v>0.63163780852125861</v>
      </c>
      <c r="O94" s="18">
        <f>HLOOKUP(REG_TRA_DEMANDS!O$3,'BY-Demands'!$J$5:$AK$14,MATCH($E94,'BY-Demands'!$I$5:$I$14,0),FALSE)*HLOOKUP(REG_TRA_DEMANDS!$F94,DEMANDS!$G$2:$CK$25,MATCH($E94,DEMANDS!$E$2:$E$25,0),FALSE)/HLOOKUP(2018,DEMANDS!$G$2:$CK$25,MATCH($E94,DEMANDS!$E$2:$E$25,0),FALSE)</f>
        <v>0.29712973700844825</v>
      </c>
      <c r="P94" s="18">
        <f>HLOOKUP(REG_TRA_DEMANDS!P$3,'BY-Demands'!$J$5:$AK$14,MATCH($E94,'BY-Demands'!$I$5:$I$14,0),FALSE)*HLOOKUP(REG_TRA_DEMANDS!$F94,DEMANDS!$G$2:$CK$25,MATCH($E94,DEMANDS!$E$2:$E$25,0),FALSE)/HLOOKUP(2018,DEMANDS!$G$2:$CK$25,MATCH($E94,DEMANDS!$E$2:$E$25,0),FALSE)</f>
        <v>0.33832565967907041</v>
      </c>
      <c r="Q94" s="18">
        <f>HLOOKUP(REG_TRA_DEMANDS!Q$3,'BY-Demands'!$J$5:$AK$14,MATCH($E94,'BY-Demands'!$I$5:$I$14,0),FALSE)*HLOOKUP(REG_TRA_DEMANDS!$F94,DEMANDS!$G$2:$CK$25,MATCH($E94,DEMANDS!$E$2:$E$25,0),FALSE)/HLOOKUP(2018,DEMANDS!$G$2:$CK$25,MATCH($E94,DEMANDS!$E$2:$E$25,0),FALSE)</f>
        <v>0.68381248251078719</v>
      </c>
      <c r="R94" s="18">
        <f>HLOOKUP(REG_TRA_DEMANDS!R$3,'BY-Demands'!$J$5:$AK$14,MATCH($E94,'BY-Demands'!$I$5:$I$14,0),FALSE)*HLOOKUP(REG_TRA_DEMANDS!$F94,DEMANDS!$G$2:$CK$25,MATCH($E94,DEMANDS!$E$2:$E$25,0),FALSE)/HLOOKUP(2018,DEMANDS!$G$2:$CK$25,MATCH($E94,DEMANDS!$E$2:$E$25,0),FALSE)</f>
        <v>0.45111069711128904</v>
      </c>
      <c r="S94" s="18">
        <f>HLOOKUP(REG_TRA_DEMANDS!S$3,'BY-Demands'!$J$5:$AK$14,MATCH($E94,'BY-Demands'!$I$5:$I$14,0),FALSE)*HLOOKUP(REG_TRA_DEMANDS!$F94,DEMANDS!$G$2:$CK$25,MATCH($E94,DEMANDS!$E$2:$E$25,0),FALSE)/HLOOKUP(2018,DEMANDS!$G$2:$CK$25,MATCH($E94,DEMANDS!$E$2:$E$25,0),FALSE)</f>
        <v>0.44391660930393767</v>
      </c>
      <c r="T94" s="18">
        <f>HLOOKUP(REG_TRA_DEMANDS!T$3,'BY-Demands'!$J$5:$AK$14,MATCH($E94,'BY-Demands'!$I$5:$I$14,0),FALSE)*HLOOKUP(REG_TRA_DEMANDS!$F94,DEMANDS!$G$2:$CK$25,MATCH($E94,DEMANDS!$E$2:$E$25,0),FALSE)/HLOOKUP(2018,DEMANDS!$G$2:$CK$25,MATCH($E94,DEMANDS!$E$2:$E$25,0),FALSE)</f>
        <v>2.3751961793228173</v>
      </c>
      <c r="U94" s="18">
        <f>HLOOKUP(REG_TRA_DEMANDS!U$3,'BY-Demands'!$J$5:$AK$14,MATCH($E94,'BY-Demands'!$I$5:$I$14,0),FALSE)*HLOOKUP(REG_TRA_DEMANDS!$F94,DEMANDS!$G$2:$CK$25,MATCH($E94,DEMANDS!$E$2:$E$25,0),FALSE)/HLOOKUP(2018,DEMANDS!$G$2:$CK$25,MATCH($E94,DEMANDS!$E$2:$E$25,0),FALSE)</f>
        <v>0.64625857862175418</v>
      </c>
      <c r="V94" s="18">
        <f>HLOOKUP(REG_TRA_DEMANDS!V$3,'BY-Demands'!$J$5:$AK$14,MATCH($E94,'BY-Demands'!$I$5:$I$14,0),FALSE)*HLOOKUP(REG_TRA_DEMANDS!$F94,DEMANDS!$G$2:$CK$25,MATCH($E94,DEMANDS!$E$2:$E$25,0),FALSE)/HLOOKUP(2018,DEMANDS!$G$2:$CK$25,MATCH($E94,DEMANDS!$E$2:$E$25,0),FALSE)</f>
        <v>0.72816939694427818</v>
      </c>
      <c r="W94" s="18">
        <f>HLOOKUP(REG_TRA_DEMANDS!W$3,'BY-Demands'!$J$5:$AK$14,MATCH($E94,'BY-Demands'!$I$5:$I$14,0),FALSE)*HLOOKUP(REG_TRA_DEMANDS!$F94,DEMANDS!$G$2:$CK$25,MATCH($E94,DEMANDS!$E$2:$E$25,0),FALSE)/HLOOKUP(2018,DEMANDS!$G$2:$CK$25,MATCH($E94,DEMANDS!$E$2:$E$25,0),FALSE)</f>
        <v>0.59611189277856902</v>
      </c>
      <c r="X94" s="18">
        <f>HLOOKUP(REG_TRA_DEMANDS!X$3,'BY-Demands'!$J$5:$AK$14,MATCH($E94,'BY-Demands'!$I$5:$I$14,0),FALSE)*HLOOKUP(REG_TRA_DEMANDS!$F94,DEMANDS!$G$2:$CK$25,MATCH($E94,DEMANDS!$E$2:$E$25,0),FALSE)/HLOOKUP(2018,DEMANDS!$G$2:$CK$25,MATCH($E94,DEMANDS!$E$2:$E$25,0),FALSE)</f>
        <v>0.55370737159061811</v>
      </c>
      <c r="Y94" s="18">
        <f>HLOOKUP(REG_TRA_DEMANDS!Y$3,'BY-Demands'!$J$5:$AK$14,MATCH($E94,'BY-Demands'!$I$5:$I$14,0),FALSE)*HLOOKUP(REG_TRA_DEMANDS!$F94,DEMANDS!$G$2:$CK$25,MATCH($E94,DEMANDS!$E$2:$E$25,0),FALSE)/HLOOKUP(2018,DEMANDS!$G$2:$CK$25,MATCH($E94,DEMANDS!$E$2:$E$25,0),FALSE)</f>
        <v>0.88416020891339853</v>
      </c>
      <c r="Z94" s="18">
        <f>HLOOKUP(REG_TRA_DEMANDS!Z$3,'BY-Demands'!$J$5:$AK$14,MATCH($E94,'BY-Demands'!$I$5:$I$14,0),FALSE)*HLOOKUP(REG_TRA_DEMANDS!$F94,DEMANDS!$G$2:$CK$25,MATCH($E94,DEMANDS!$E$2:$E$25,0),FALSE)/HLOOKUP(2018,DEMANDS!$G$2:$CK$25,MATCH($E94,DEMANDS!$E$2:$E$25,0),FALSE)</f>
        <v>0.11791531636254304</v>
      </c>
      <c r="AA94" s="18">
        <f>HLOOKUP(REG_TRA_DEMANDS!AA$3,'BY-Demands'!$J$5:$AK$14,MATCH($E94,'BY-Demands'!$I$5:$I$14,0),FALSE)*HLOOKUP(REG_TRA_DEMANDS!$F94,DEMANDS!$G$2:$CK$25,MATCH($E94,DEMANDS!$E$2:$E$25,0),FALSE)/HLOOKUP(2018,DEMANDS!$G$2:$CK$25,MATCH($E94,DEMANDS!$E$2:$E$25,0),FALSE)</f>
        <v>0.49797870223001162</v>
      </c>
      <c r="AB94" s="18">
        <f>HLOOKUP(REG_TRA_DEMANDS!AB$3,'BY-Demands'!$J$5:$AK$14,MATCH($E94,'BY-Demands'!$I$5:$I$14,0),FALSE)*HLOOKUP(REG_TRA_DEMANDS!$F94,DEMANDS!$G$2:$CK$25,MATCH($E94,DEMANDS!$E$2:$E$25,0),FALSE)/HLOOKUP(2018,DEMANDS!$G$2:$CK$25,MATCH($E94,DEMANDS!$E$2:$E$25,0),FALSE)</f>
        <v>0.22114112534432659</v>
      </c>
      <c r="AC94" s="18">
        <f>HLOOKUP(REG_TRA_DEMANDS!AC$3,'BY-Demands'!$J$5:$AK$14,MATCH($E94,'BY-Demands'!$I$5:$I$14,0),FALSE)*HLOOKUP(REG_TRA_DEMANDS!$F94,DEMANDS!$G$2:$CK$25,MATCH($E94,DEMANDS!$E$2:$E$25,0),FALSE)/HLOOKUP(2018,DEMANDS!$G$2:$CK$25,MATCH($E94,DEMANDS!$E$2:$E$25,0),FALSE)</f>
        <v>0.24115529452687778</v>
      </c>
      <c r="AD94" s="18">
        <f>HLOOKUP(REG_TRA_DEMANDS!AD$3,'BY-Demands'!$J$5:$AK$14,MATCH($E94,'BY-Demands'!$I$5:$I$14,0),FALSE)*HLOOKUP(REG_TRA_DEMANDS!$F94,DEMANDS!$G$2:$CK$25,MATCH($E94,DEMANDS!$E$2:$E$25,0),FALSE)/HLOOKUP(2018,DEMANDS!$G$2:$CK$25,MATCH($E94,DEMANDS!$E$2:$E$25,0),FALSE)</f>
        <v>0.28031198162629772</v>
      </c>
      <c r="AE94" s="18">
        <f>HLOOKUP(REG_TRA_DEMANDS!AE$3,'BY-Demands'!$J$5:$AK$14,MATCH($E94,'BY-Demands'!$I$5:$I$14,0),FALSE)*HLOOKUP(REG_TRA_DEMANDS!$F94,DEMANDS!$G$2:$CK$25,MATCH($E94,DEMANDS!$E$2:$E$25,0),FALSE)/HLOOKUP(2018,DEMANDS!$G$2:$CK$25,MATCH($E94,DEMANDS!$E$2:$E$25,0),FALSE)</f>
        <v>0.5857937536632738</v>
      </c>
      <c r="AF94" s="18">
        <f>HLOOKUP(REG_TRA_DEMANDS!AF$3,'BY-Demands'!$J$5:$AK$14,MATCH($E94,'BY-Demands'!$I$5:$I$14,0),FALSE)*HLOOKUP(REG_TRA_DEMANDS!$F94,DEMANDS!$G$2:$CK$25,MATCH($E94,DEMANDS!$E$2:$E$25,0),FALSE)/HLOOKUP(2018,DEMANDS!$G$2:$CK$25,MATCH($E94,DEMANDS!$E$2:$E$25,0),FALSE)</f>
        <v>0.22588782955408462</v>
      </c>
    </row>
    <row r="95" spans="4:32" ht="14.4">
      <c r="D95" t="s">
        <v>6</v>
      </c>
      <c r="E95" t="str">
        <f>DEMANDS!$E$20</f>
        <v>TRAF</v>
      </c>
      <c r="F95">
        <v>2030</v>
      </c>
      <c r="G95" s="18">
        <f>HLOOKUP(REG_TRA_DEMANDS!G$3,'BY-Demands'!$J$5:$AK$14,MATCH($E95,'BY-Demands'!$I$5:$I$14,0),FALSE)*HLOOKUP(REG_TRA_DEMANDS!$F95,DEMANDS!$G$2:$CK$25,MATCH($E95,DEMANDS!$E$2:$E$25,0),FALSE)/HLOOKUP(2018,DEMANDS!$G$2:$CK$25,MATCH($E95,DEMANDS!$E$2:$E$25,0),FALSE)</f>
        <v>0.26522106637227866</v>
      </c>
      <c r="H95" s="18">
        <f>HLOOKUP(REG_TRA_DEMANDS!H$3,'BY-Demands'!$J$5:$AK$14,MATCH($E95,'BY-Demands'!$I$5:$I$14,0),FALSE)*HLOOKUP(REG_TRA_DEMANDS!$F95,DEMANDS!$G$2:$CK$25,MATCH($E95,DEMANDS!$E$2:$E$25,0),FALSE)/HLOOKUP(2018,DEMANDS!$G$2:$CK$25,MATCH($E95,DEMANDS!$E$2:$E$25,0),FALSE)</f>
        <v>3.9612883039457678</v>
      </c>
      <c r="I95" s="18">
        <f>HLOOKUP(REG_TRA_DEMANDS!I$3,'BY-Demands'!$J$5:$AK$14,MATCH($E95,'BY-Demands'!$I$5:$I$14,0),FALSE)*HLOOKUP(REG_TRA_DEMANDS!$F95,DEMANDS!$G$2:$CK$25,MATCH($E95,DEMANDS!$E$2:$E$25,0),FALSE)/HLOOKUP(2018,DEMANDS!$G$2:$CK$25,MATCH($E95,DEMANDS!$E$2:$E$25,0),FALSE)</f>
        <v>0.71884439698824854</v>
      </c>
      <c r="J95" s="18">
        <f>HLOOKUP(REG_TRA_DEMANDS!J$3,'BY-Demands'!$J$5:$AK$14,MATCH($E95,'BY-Demands'!$I$5:$I$14,0),FALSE)*HLOOKUP(REG_TRA_DEMANDS!$F95,DEMANDS!$G$2:$CK$25,MATCH($E95,DEMANDS!$E$2:$E$25,0),FALSE)/HLOOKUP(2018,DEMANDS!$G$2:$CK$25,MATCH($E95,DEMANDS!$E$2:$E$25,0),FALSE)</f>
        <v>0.46227810121291929</v>
      </c>
      <c r="K95" s="18">
        <f>HLOOKUP(REG_TRA_DEMANDS!K$3,'BY-Demands'!$J$5:$AK$14,MATCH($E95,'BY-Demands'!$I$5:$I$14,0),FALSE)*HLOOKUP(REG_TRA_DEMANDS!$F95,DEMANDS!$G$2:$CK$25,MATCH($E95,DEMANDS!$E$2:$E$25,0),FALSE)/HLOOKUP(2018,DEMANDS!$G$2:$CK$25,MATCH($E95,DEMANDS!$E$2:$E$25,0),FALSE)</f>
        <v>0.32925844052940151</v>
      </c>
      <c r="L95" s="18">
        <f>HLOOKUP(REG_TRA_DEMANDS!L$3,'BY-Demands'!$J$5:$AK$14,MATCH($E95,'BY-Demands'!$I$5:$I$14,0),FALSE)*HLOOKUP(REG_TRA_DEMANDS!$F95,DEMANDS!$G$2:$CK$25,MATCH($E95,DEMANDS!$E$2:$E$25,0),FALSE)/HLOOKUP(2018,DEMANDS!$G$2:$CK$25,MATCH($E95,DEMANDS!$E$2:$E$25,0),FALSE)</f>
        <v>0.15889323399598901</v>
      </c>
      <c r="M95" s="18">
        <f>HLOOKUP(REG_TRA_DEMANDS!M$3,'BY-Demands'!$J$5:$AK$14,MATCH($E95,'BY-Demands'!$I$5:$I$14,0),FALSE)*HLOOKUP(REG_TRA_DEMANDS!$F95,DEMANDS!$G$2:$CK$25,MATCH($E95,DEMANDS!$E$2:$E$25,0),FALSE)/HLOOKUP(2018,DEMANDS!$G$2:$CK$25,MATCH($E95,DEMANDS!$E$2:$E$25,0),FALSE)</f>
        <v>0.41638595828135</v>
      </c>
      <c r="N95" s="18">
        <f>HLOOKUP(REG_TRA_DEMANDS!N$3,'BY-Demands'!$J$5:$AK$14,MATCH($E95,'BY-Demands'!$I$5:$I$14,0),FALSE)*HLOOKUP(REG_TRA_DEMANDS!$F95,DEMANDS!$G$2:$CK$25,MATCH($E95,DEMANDS!$E$2:$E$25,0),FALSE)/HLOOKUP(2018,DEMANDS!$G$2:$CK$25,MATCH($E95,DEMANDS!$E$2:$E$25,0),FALSE)</f>
        <v>0.64427056469168376</v>
      </c>
      <c r="O95" s="18">
        <f>HLOOKUP(REG_TRA_DEMANDS!O$3,'BY-Demands'!$J$5:$AK$14,MATCH($E95,'BY-Demands'!$I$5:$I$14,0),FALSE)*HLOOKUP(REG_TRA_DEMANDS!$F95,DEMANDS!$G$2:$CK$25,MATCH($E95,DEMANDS!$E$2:$E$25,0),FALSE)/HLOOKUP(2018,DEMANDS!$G$2:$CK$25,MATCH($E95,DEMANDS!$E$2:$E$25,0),FALSE)</f>
        <v>0.3030723317486172</v>
      </c>
      <c r="P95" s="18">
        <f>HLOOKUP(REG_TRA_DEMANDS!P$3,'BY-Demands'!$J$5:$AK$14,MATCH($E95,'BY-Demands'!$I$5:$I$14,0),FALSE)*HLOOKUP(REG_TRA_DEMANDS!$F95,DEMANDS!$G$2:$CK$25,MATCH($E95,DEMANDS!$E$2:$E$25,0),FALSE)/HLOOKUP(2018,DEMANDS!$G$2:$CK$25,MATCH($E95,DEMANDS!$E$2:$E$25,0),FALSE)</f>
        <v>0.34509217287265181</v>
      </c>
      <c r="Q95" s="18">
        <f>HLOOKUP(REG_TRA_DEMANDS!Q$3,'BY-Demands'!$J$5:$AK$14,MATCH($E95,'BY-Demands'!$I$5:$I$14,0),FALSE)*HLOOKUP(REG_TRA_DEMANDS!$F95,DEMANDS!$G$2:$CK$25,MATCH($E95,DEMANDS!$E$2:$E$25,0),FALSE)/HLOOKUP(2018,DEMANDS!$G$2:$CK$25,MATCH($E95,DEMANDS!$E$2:$E$25,0),FALSE)</f>
        <v>0.69748873216100293</v>
      </c>
      <c r="R95" s="18">
        <f>HLOOKUP(REG_TRA_DEMANDS!R$3,'BY-Demands'!$J$5:$AK$14,MATCH($E95,'BY-Demands'!$I$5:$I$14,0),FALSE)*HLOOKUP(REG_TRA_DEMANDS!$F95,DEMANDS!$G$2:$CK$25,MATCH($E95,DEMANDS!$E$2:$E$25,0),FALSE)/HLOOKUP(2018,DEMANDS!$G$2:$CK$25,MATCH($E95,DEMANDS!$E$2:$E$25,0),FALSE)</f>
        <v>0.46013291105351484</v>
      </c>
      <c r="S95" s="18">
        <f>HLOOKUP(REG_TRA_DEMANDS!S$3,'BY-Demands'!$J$5:$AK$14,MATCH($E95,'BY-Demands'!$I$5:$I$14,0),FALSE)*HLOOKUP(REG_TRA_DEMANDS!$F95,DEMANDS!$G$2:$CK$25,MATCH($E95,DEMANDS!$E$2:$E$25,0),FALSE)/HLOOKUP(2018,DEMANDS!$G$2:$CK$25,MATCH($E95,DEMANDS!$E$2:$E$25,0),FALSE)</f>
        <v>0.45279494149001648</v>
      </c>
      <c r="T95" s="18">
        <f>HLOOKUP(REG_TRA_DEMANDS!T$3,'BY-Demands'!$J$5:$AK$14,MATCH($E95,'BY-Demands'!$I$5:$I$14,0),FALSE)*HLOOKUP(REG_TRA_DEMANDS!$F95,DEMANDS!$G$2:$CK$25,MATCH($E95,DEMANDS!$E$2:$E$25,0),FALSE)/HLOOKUP(2018,DEMANDS!$G$2:$CK$25,MATCH($E95,DEMANDS!$E$2:$E$25,0),FALSE)</f>
        <v>2.4227001029092738</v>
      </c>
      <c r="U95" s="18">
        <f>HLOOKUP(REG_TRA_DEMANDS!U$3,'BY-Demands'!$J$5:$AK$14,MATCH($E95,'BY-Demands'!$I$5:$I$14,0),FALSE)*HLOOKUP(REG_TRA_DEMANDS!$F95,DEMANDS!$G$2:$CK$25,MATCH($E95,DEMANDS!$E$2:$E$25,0),FALSE)/HLOOKUP(2018,DEMANDS!$G$2:$CK$25,MATCH($E95,DEMANDS!$E$2:$E$25,0),FALSE)</f>
        <v>0.65918375019418929</v>
      </c>
      <c r="V95" s="18">
        <f>HLOOKUP(REG_TRA_DEMANDS!V$3,'BY-Demands'!$J$5:$AK$14,MATCH($E95,'BY-Demands'!$I$5:$I$14,0),FALSE)*HLOOKUP(REG_TRA_DEMANDS!$F95,DEMANDS!$G$2:$CK$25,MATCH($E95,DEMANDS!$E$2:$E$25,0),FALSE)/HLOOKUP(2018,DEMANDS!$G$2:$CK$25,MATCH($E95,DEMANDS!$E$2:$E$25,0),FALSE)</f>
        <v>0.74273278488316374</v>
      </c>
      <c r="W95" s="18">
        <f>HLOOKUP(REG_TRA_DEMANDS!W$3,'BY-Demands'!$J$5:$AK$14,MATCH($E95,'BY-Demands'!$I$5:$I$14,0),FALSE)*HLOOKUP(REG_TRA_DEMANDS!$F95,DEMANDS!$G$2:$CK$25,MATCH($E95,DEMANDS!$E$2:$E$25,0),FALSE)/HLOOKUP(2018,DEMANDS!$G$2:$CK$25,MATCH($E95,DEMANDS!$E$2:$E$25,0),FALSE)</f>
        <v>0.60803413063414047</v>
      </c>
      <c r="X95" s="18">
        <f>HLOOKUP(REG_TRA_DEMANDS!X$3,'BY-Demands'!$J$5:$AK$14,MATCH($E95,'BY-Demands'!$I$5:$I$14,0),FALSE)*HLOOKUP(REG_TRA_DEMANDS!$F95,DEMANDS!$G$2:$CK$25,MATCH($E95,DEMANDS!$E$2:$E$25,0),FALSE)/HLOOKUP(2018,DEMANDS!$G$2:$CK$25,MATCH($E95,DEMANDS!$E$2:$E$25,0),FALSE)</f>
        <v>0.56478151902243057</v>
      </c>
      <c r="Y95" s="18">
        <f>HLOOKUP(REG_TRA_DEMANDS!Y$3,'BY-Demands'!$J$5:$AK$14,MATCH($E95,'BY-Demands'!$I$5:$I$14,0),FALSE)*HLOOKUP(REG_TRA_DEMANDS!$F95,DEMANDS!$G$2:$CK$25,MATCH($E95,DEMANDS!$E$2:$E$25,0),FALSE)/HLOOKUP(2018,DEMANDS!$G$2:$CK$25,MATCH($E95,DEMANDS!$E$2:$E$25,0),FALSE)</f>
        <v>0.90184341309166649</v>
      </c>
      <c r="Z95" s="18">
        <f>HLOOKUP(REG_TRA_DEMANDS!Z$3,'BY-Demands'!$J$5:$AK$14,MATCH($E95,'BY-Demands'!$I$5:$I$14,0),FALSE)*HLOOKUP(REG_TRA_DEMANDS!$F95,DEMANDS!$G$2:$CK$25,MATCH($E95,DEMANDS!$E$2:$E$25,0),FALSE)/HLOOKUP(2018,DEMANDS!$G$2:$CK$25,MATCH($E95,DEMANDS!$E$2:$E$25,0),FALSE)</f>
        <v>0.12027362268979393</v>
      </c>
      <c r="AA95" s="18">
        <f>HLOOKUP(REG_TRA_DEMANDS!AA$3,'BY-Demands'!$J$5:$AK$14,MATCH($E95,'BY-Demands'!$I$5:$I$14,0),FALSE)*HLOOKUP(REG_TRA_DEMANDS!$F95,DEMANDS!$G$2:$CK$25,MATCH($E95,DEMANDS!$E$2:$E$25,0),FALSE)/HLOOKUP(2018,DEMANDS!$G$2:$CK$25,MATCH($E95,DEMANDS!$E$2:$E$25,0),FALSE)</f>
        <v>0.50793827627461186</v>
      </c>
      <c r="AB95" s="18">
        <f>HLOOKUP(REG_TRA_DEMANDS!AB$3,'BY-Demands'!$J$5:$AK$14,MATCH($E95,'BY-Demands'!$I$5:$I$14,0),FALSE)*HLOOKUP(REG_TRA_DEMANDS!$F95,DEMANDS!$G$2:$CK$25,MATCH($E95,DEMANDS!$E$2:$E$25,0),FALSE)/HLOOKUP(2018,DEMANDS!$G$2:$CK$25,MATCH($E95,DEMANDS!$E$2:$E$25,0),FALSE)</f>
        <v>0.22556394785121311</v>
      </c>
      <c r="AC95" s="18">
        <f>HLOOKUP(REG_TRA_DEMANDS!AC$3,'BY-Demands'!$J$5:$AK$14,MATCH($E95,'BY-Demands'!$I$5:$I$14,0),FALSE)*HLOOKUP(REG_TRA_DEMANDS!$F95,DEMANDS!$G$2:$CK$25,MATCH($E95,DEMANDS!$E$2:$E$25,0),FALSE)/HLOOKUP(2018,DEMANDS!$G$2:$CK$25,MATCH($E95,DEMANDS!$E$2:$E$25,0),FALSE)</f>
        <v>0.24597840041741534</v>
      </c>
      <c r="AD95" s="18">
        <f>HLOOKUP(REG_TRA_DEMANDS!AD$3,'BY-Demands'!$J$5:$AK$14,MATCH($E95,'BY-Demands'!$I$5:$I$14,0),FALSE)*HLOOKUP(REG_TRA_DEMANDS!$F95,DEMANDS!$G$2:$CK$25,MATCH($E95,DEMANDS!$E$2:$E$25,0),FALSE)/HLOOKUP(2018,DEMANDS!$G$2:$CK$25,MATCH($E95,DEMANDS!$E$2:$E$25,0),FALSE)</f>
        <v>0.28591822125882371</v>
      </c>
      <c r="AE95" s="18">
        <f>HLOOKUP(REG_TRA_DEMANDS!AE$3,'BY-Demands'!$J$5:$AK$14,MATCH($E95,'BY-Demands'!$I$5:$I$14,0),FALSE)*HLOOKUP(REG_TRA_DEMANDS!$F95,DEMANDS!$G$2:$CK$25,MATCH($E95,DEMANDS!$E$2:$E$25,0),FALSE)/HLOOKUP(2018,DEMANDS!$G$2:$CK$25,MATCH($E95,DEMANDS!$E$2:$E$25,0),FALSE)</f>
        <v>0.59750962873653923</v>
      </c>
      <c r="AF95" s="18">
        <f>HLOOKUP(REG_TRA_DEMANDS!AF$3,'BY-Demands'!$J$5:$AK$14,MATCH($E95,'BY-Demands'!$I$5:$I$14,0),FALSE)*HLOOKUP(REG_TRA_DEMANDS!$F95,DEMANDS!$G$2:$CK$25,MATCH($E95,DEMANDS!$E$2:$E$25,0),FALSE)/HLOOKUP(2018,DEMANDS!$G$2:$CK$25,MATCH($E95,DEMANDS!$E$2:$E$25,0),FALSE)</f>
        <v>0.23040558614516632</v>
      </c>
    </row>
    <row r="96" spans="4:32" ht="14.4">
      <c r="D96" t="s">
        <v>6</v>
      </c>
      <c r="E96" t="str">
        <f>DEMANDS!$E$20</f>
        <v>TRAF</v>
      </c>
      <c r="F96">
        <v>2031</v>
      </c>
      <c r="G96" s="18">
        <f>HLOOKUP(REG_TRA_DEMANDS!G$3,'BY-Demands'!$J$5:$AK$14,MATCH($E96,'BY-Demands'!$I$5:$I$14,0),FALSE)*HLOOKUP(REG_TRA_DEMANDS!$F96,DEMANDS!$G$2:$CK$25,MATCH($E96,DEMANDS!$E$2:$E$25,0),FALSE)/HLOOKUP(2018,DEMANDS!$G$2:$CK$25,MATCH($E96,DEMANDS!$E$2:$E$25,0),FALSE)</f>
        <v>0.27132115089884107</v>
      </c>
      <c r="H96" s="18">
        <f>HLOOKUP(REG_TRA_DEMANDS!H$3,'BY-Demands'!$J$5:$AK$14,MATCH($E96,'BY-Demands'!$I$5:$I$14,0),FALSE)*HLOOKUP(REG_TRA_DEMANDS!$F96,DEMANDS!$G$2:$CK$25,MATCH($E96,DEMANDS!$E$2:$E$25,0),FALSE)/HLOOKUP(2018,DEMANDS!$G$2:$CK$25,MATCH($E96,DEMANDS!$E$2:$E$25,0),FALSE)</f>
        <v>4.0523979349365202</v>
      </c>
      <c r="I96" s="18">
        <f>HLOOKUP(REG_TRA_DEMANDS!I$3,'BY-Demands'!$J$5:$AK$14,MATCH($E96,'BY-Demands'!$I$5:$I$14,0),FALSE)*HLOOKUP(REG_TRA_DEMANDS!$F96,DEMANDS!$G$2:$CK$25,MATCH($E96,DEMANDS!$E$2:$E$25,0),FALSE)/HLOOKUP(2018,DEMANDS!$G$2:$CK$25,MATCH($E96,DEMANDS!$E$2:$E$25,0),FALSE)</f>
        <v>0.7353778181189784</v>
      </c>
      <c r="J96" s="18">
        <f>HLOOKUP(REG_TRA_DEMANDS!J$3,'BY-Demands'!$J$5:$AK$14,MATCH($E96,'BY-Demands'!$I$5:$I$14,0),FALSE)*HLOOKUP(REG_TRA_DEMANDS!$F96,DEMANDS!$G$2:$CK$25,MATCH($E96,DEMANDS!$E$2:$E$25,0),FALSE)/HLOOKUP(2018,DEMANDS!$G$2:$CK$25,MATCH($E96,DEMANDS!$E$2:$E$25,0),FALSE)</f>
        <v>0.47291049754081654</v>
      </c>
      <c r="K96" s="18">
        <f>HLOOKUP(REG_TRA_DEMANDS!K$3,'BY-Demands'!$J$5:$AK$14,MATCH($E96,'BY-Demands'!$I$5:$I$14,0),FALSE)*HLOOKUP(REG_TRA_DEMANDS!$F96,DEMANDS!$G$2:$CK$25,MATCH($E96,DEMANDS!$E$2:$E$25,0),FALSE)/HLOOKUP(2018,DEMANDS!$G$2:$CK$25,MATCH($E96,DEMANDS!$E$2:$E$25,0),FALSE)</f>
        <v>0.3368313846615778</v>
      </c>
      <c r="L96" s="18">
        <f>HLOOKUP(REG_TRA_DEMANDS!L$3,'BY-Demands'!$J$5:$AK$14,MATCH($E96,'BY-Demands'!$I$5:$I$14,0),FALSE)*HLOOKUP(REG_TRA_DEMANDS!$F96,DEMANDS!$G$2:$CK$25,MATCH($E96,DEMANDS!$E$2:$E$25,0),FALSE)/HLOOKUP(2018,DEMANDS!$G$2:$CK$25,MATCH($E96,DEMANDS!$E$2:$E$25,0),FALSE)</f>
        <v>0.16254777837789677</v>
      </c>
      <c r="M96" s="18">
        <f>HLOOKUP(REG_TRA_DEMANDS!M$3,'BY-Demands'!$J$5:$AK$14,MATCH($E96,'BY-Demands'!$I$5:$I$14,0),FALSE)*HLOOKUP(REG_TRA_DEMANDS!$F96,DEMANDS!$G$2:$CK$25,MATCH($E96,DEMANDS!$E$2:$E$25,0),FALSE)/HLOOKUP(2018,DEMANDS!$G$2:$CK$25,MATCH($E96,DEMANDS!$E$2:$E$25,0),FALSE)</f>
        <v>0.42596283532182105</v>
      </c>
      <c r="N96" s="18">
        <f>HLOOKUP(REG_TRA_DEMANDS!N$3,'BY-Demands'!$J$5:$AK$14,MATCH($E96,'BY-Demands'!$I$5:$I$14,0),FALSE)*HLOOKUP(REG_TRA_DEMANDS!$F96,DEMANDS!$G$2:$CK$25,MATCH($E96,DEMANDS!$E$2:$E$25,0),FALSE)/HLOOKUP(2018,DEMANDS!$G$2:$CK$25,MATCH($E96,DEMANDS!$E$2:$E$25,0),FALSE)</f>
        <v>0.65908878767959267</v>
      </c>
      <c r="O96" s="18">
        <f>HLOOKUP(REG_TRA_DEMANDS!O$3,'BY-Demands'!$J$5:$AK$14,MATCH($E96,'BY-Demands'!$I$5:$I$14,0),FALSE)*HLOOKUP(REG_TRA_DEMANDS!$F96,DEMANDS!$G$2:$CK$25,MATCH($E96,DEMANDS!$E$2:$E$25,0),FALSE)/HLOOKUP(2018,DEMANDS!$G$2:$CK$25,MATCH($E96,DEMANDS!$E$2:$E$25,0),FALSE)</f>
        <v>0.31004299537883545</v>
      </c>
      <c r="P96" s="18">
        <f>HLOOKUP(REG_TRA_DEMANDS!P$3,'BY-Demands'!$J$5:$AK$14,MATCH($E96,'BY-Demands'!$I$5:$I$14,0),FALSE)*HLOOKUP(REG_TRA_DEMANDS!$F96,DEMANDS!$G$2:$CK$25,MATCH($E96,DEMANDS!$E$2:$E$25,0),FALSE)/HLOOKUP(2018,DEMANDS!$G$2:$CK$25,MATCH($E96,DEMANDS!$E$2:$E$25,0),FALSE)</f>
        <v>0.35302929284872286</v>
      </c>
      <c r="Q96" s="18">
        <f>HLOOKUP(REG_TRA_DEMANDS!Q$3,'BY-Demands'!$J$5:$AK$14,MATCH($E96,'BY-Demands'!$I$5:$I$14,0),FALSE)*HLOOKUP(REG_TRA_DEMANDS!$F96,DEMANDS!$G$2:$CK$25,MATCH($E96,DEMANDS!$E$2:$E$25,0),FALSE)/HLOOKUP(2018,DEMANDS!$G$2:$CK$25,MATCH($E96,DEMANDS!$E$2:$E$25,0),FALSE)</f>
        <v>0.71353097300070611</v>
      </c>
      <c r="R96" s="18">
        <f>HLOOKUP(REG_TRA_DEMANDS!R$3,'BY-Demands'!$J$5:$AK$14,MATCH($E96,'BY-Demands'!$I$5:$I$14,0),FALSE)*HLOOKUP(REG_TRA_DEMANDS!$F96,DEMANDS!$G$2:$CK$25,MATCH($E96,DEMANDS!$E$2:$E$25,0),FALSE)/HLOOKUP(2018,DEMANDS!$G$2:$CK$25,MATCH($E96,DEMANDS!$E$2:$E$25,0),FALSE)</f>
        <v>0.47071596800774573</v>
      </c>
      <c r="S96" s="18">
        <f>HLOOKUP(REG_TRA_DEMANDS!S$3,'BY-Demands'!$J$5:$AK$14,MATCH($E96,'BY-Demands'!$I$5:$I$14,0),FALSE)*HLOOKUP(REG_TRA_DEMANDS!$F96,DEMANDS!$G$2:$CK$25,MATCH($E96,DEMANDS!$E$2:$E$25,0),FALSE)/HLOOKUP(2018,DEMANDS!$G$2:$CK$25,MATCH($E96,DEMANDS!$E$2:$E$25,0),FALSE)</f>
        <v>0.46320922514428686</v>
      </c>
      <c r="T96" s="18">
        <f>HLOOKUP(REG_TRA_DEMANDS!T$3,'BY-Demands'!$J$5:$AK$14,MATCH($E96,'BY-Demands'!$I$5:$I$14,0),FALSE)*HLOOKUP(REG_TRA_DEMANDS!$F96,DEMANDS!$G$2:$CK$25,MATCH($E96,DEMANDS!$E$2:$E$25,0),FALSE)/HLOOKUP(2018,DEMANDS!$G$2:$CK$25,MATCH($E96,DEMANDS!$E$2:$E$25,0),FALSE)</f>
        <v>2.4784222052761873</v>
      </c>
      <c r="U96" s="18">
        <f>HLOOKUP(REG_TRA_DEMANDS!U$3,'BY-Demands'!$J$5:$AK$14,MATCH($E96,'BY-Demands'!$I$5:$I$14,0),FALSE)*HLOOKUP(REG_TRA_DEMANDS!$F96,DEMANDS!$G$2:$CK$25,MATCH($E96,DEMANDS!$E$2:$E$25,0),FALSE)/HLOOKUP(2018,DEMANDS!$G$2:$CK$25,MATCH($E96,DEMANDS!$E$2:$E$25,0),FALSE)</f>
        <v>0.67434497644865576</v>
      </c>
      <c r="V96" s="18">
        <f>HLOOKUP(REG_TRA_DEMANDS!V$3,'BY-Demands'!$J$5:$AK$14,MATCH($E96,'BY-Demands'!$I$5:$I$14,0),FALSE)*HLOOKUP(REG_TRA_DEMANDS!$F96,DEMANDS!$G$2:$CK$25,MATCH($E96,DEMANDS!$E$2:$E$25,0),FALSE)/HLOOKUP(2018,DEMANDS!$G$2:$CK$25,MATCH($E96,DEMANDS!$E$2:$E$25,0),FALSE)</f>
        <v>0.75981563893547666</v>
      </c>
      <c r="W96" s="18">
        <f>HLOOKUP(REG_TRA_DEMANDS!W$3,'BY-Demands'!$J$5:$AK$14,MATCH($E96,'BY-Demands'!$I$5:$I$14,0),FALSE)*HLOOKUP(REG_TRA_DEMANDS!$F96,DEMANDS!$G$2:$CK$25,MATCH($E96,DEMANDS!$E$2:$E$25,0),FALSE)/HLOOKUP(2018,DEMANDS!$G$2:$CK$25,MATCH($E96,DEMANDS!$E$2:$E$25,0),FALSE)</f>
        <v>0.6220189156387258</v>
      </c>
      <c r="X96" s="18">
        <f>HLOOKUP(REG_TRA_DEMANDS!X$3,'BY-Demands'!$J$5:$AK$14,MATCH($E96,'BY-Demands'!$I$5:$I$14,0),FALSE)*HLOOKUP(REG_TRA_DEMANDS!$F96,DEMANDS!$G$2:$CK$25,MATCH($E96,DEMANDS!$E$2:$E$25,0),FALSE)/HLOOKUP(2018,DEMANDS!$G$2:$CK$25,MATCH($E96,DEMANDS!$E$2:$E$25,0),FALSE)</f>
        <v>0.57777149395994643</v>
      </c>
      <c r="Y96" s="18">
        <f>HLOOKUP(REG_TRA_DEMANDS!Y$3,'BY-Demands'!$J$5:$AK$14,MATCH($E96,'BY-Demands'!$I$5:$I$14,0),FALSE)*HLOOKUP(REG_TRA_DEMANDS!$F96,DEMANDS!$G$2:$CK$25,MATCH($E96,DEMANDS!$E$2:$E$25,0),FALSE)/HLOOKUP(2018,DEMANDS!$G$2:$CK$25,MATCH($E96,DEMANDS!$E$2:$E$25,0),FALSE)</f>
        <v>0.92258581159277486</v>
      </c>
      <c r="Z96" s="18">
        <f>HLOOKUP(REG_TRA_DEMANDS!Z$3,'BY-Demands'!$J$5:$AK$14,MATCH($E96,'BY-Demands'!$I$5:$I$14,0),FALSE)*HLOOKUP(REG_TRA_DEMANDS!$F96,DEMANDS!$G$2:$CK$25,MATCH($E96,DEMANDS!$E$2:$E$25,0),FALSE)/HLOOKUP(2018,DEMANDS!$G$2:$CK$25,MATCH($E96,DEMANDS!$E$2:$E$25,0),FALSE)</f>
        <v>0.12303991601165919</v>
      </c>
      <c r="AA96" s="18">
        <f>HLOOKUP(REG_TRA_DEMANDS!AA$3,'BY-Demands'!$J$5:$AK$14,MATCH($E96,'BY-Demands'!$I$5:$I$14,0),FALSE)*HLOOKUP(REG_TRA_DEMANDS!$F96,DEMANDS!$G$2:$CK$25,MATCH($E96,DEMANDS!$E$2:$E$25,0),FALSE)/HLOOKUP(2018,DEMANDS!$G$2:$CK$25,MATCH($E96,DEMANDS!$E$2:$E$25,0),FALSE)</f>
        <v>0.51962085662892799</v>
      </c>
      <c r="AB96" s="18">
        <f>HLOOKUP(REG_TRA_DEMANDS!AB$3,'BY-Demands'!$J$5:$AK$14,MATCH($E96,'BY-Demands'!$I$5:$I$14,0),FALSE)*HLOOKUP(REG_TRA_DEMANDS!$F96,DEMANDS!$G$2:$CK$25,MATCH($E96,DEMANDS!$E$2:$E$25,0),FALSE)/HLOOKUP(2018,DEMANDS!$G$2:$CK$25,MATCH($E96,DEMANDS!$E$2:$E$25,0),FALSE)</f>
        <v>0.23075191865179107</v>
      </c>
      <c r="AC96" s="18">
        <f>HLOOKUP(REG_TRA_DEMANDS!AC$3,'BY-Demands'!$J$5:$AK$14,MATCH($E96,'BY-Demands'!$I$5:$I$14,0),FALSE)*HLOOKUP(REG_TRA_DEMANDS!$F96,DEMANDS!$G$2:$CK$25,MATCH($E96,DEMANDS!$E$2:$E$25,0),FALSE)/HLOOKUP(2018,DEMANDS!$G$2:$CK$25,MATCH($E96,DEMANDS!$E$2:$E$25,0),FALSE)</f>
        <v>0.25163590362701593</v>
      </c>
      <c r="AD96" s="18">
        <f>HLOOKUP(REG_TRA_DEMANDS!AD$3,'BY-Demands'!$J$5:$AK$14,MATCH($E96,'BY-Demands'!$I$5:$I$14,0),FALSE)*HLOOKUP(REG_TRA_DEMANDS!$F96,DEMANDS!$G$2:$CK$25,MATCH($E96,DEMANDS!$E$2:$E$25,0),FALSE)/HLOOKUP(2018,DEMANDS!$G$2:$CK$25,MATCH($E96,DEMANDS!$E$2:$E$25,0),FALSE)</f>
        <v>0.29249434034777666</v>
      </c>
      <c r="AE96" s="18">
        <f>HLOOKUP(REG_TRA_DEMANDS!AE$3,'BY-Demands'!$J$5:$AK$14,MATCH($E96,'BY-Demands'!$I$5:$I$14,0),FALSE)*HLOOKUP(REG_TRA_DEMANDS!$F96,DEMANDS!$G$2:$CK$25,MATCH($E96,DEMANDS!$E$2:$E$25,0),FALSE)/HLOOKUP(2018,DEMANDS!$G$2:$CK$25,MATCH($E96,DEMANDS!$E$2:$E$25,0),FALSE)</f>
        <v>0.61125235019747959</v>
      </c>
      <c r="AF96" s="18">
        <f>HLOOKUP(REG_TRA_DEMANDS!AF$3,'BY-Demands'!$J$5:$AK$14,MATCH($E96,'BY-Demands'!$I$5:$I$14,0),FALSE)*HLOOKUP(REG_TRA_DEMANDS!$F96,DEMANDS!$G$2:$CK$25,MATCH($E96,DEMANDS!$E$2:$E$25,0),FALSE)/HLOOKUP(2018,DEMANDS!$G$2:$CK$25,MATCH($E96,DEMANDS!$E$2:$E$25,0),FALSE)</f>
        <v>0.2357049146265052</v>
      </c>
    </row>
    <row r="97" spans="4:32" ht="14.4">
      <c r="D97" t="s">
        <v>6</v>
      </c>
      <c r="E97" t="str">
        <f>DEMANDS!$E$20</f>
        <v>TRAF</v>
      </c>
      <c r="F97">
        <v>2032</v>
      </c>
      <c r="G97" s="18">
        <f>HLOOKUP(REG_TRA_DEMANDS!G$3,'BY-Demands'!$J$5:$AK$14,MATCH($E97,'BY-Demands'!$I$5:$I$14,0),FALSE)*HLOOKUP(REG_TRA_DEMANDS!$F97,DEMANDS!$G$2:$CK$25,MATCH($E97,DEMANDS!$E$2:$E$25,0),FALSE)/HLOOKUP(2018,DEMANDS!$G$2:$CK$25,MATCH($E97,DEMANDS!$E$2:$E$25,0),FALSE)</f>
        <v>0.27756153736951439</v>
      </c>
      <c r="H97" s="18">
        <f>HLOOKUP(REG_TRA_DEMANDS!H$3,'BY-Demands'!$J$5:$AK$14,MATCH($E97,'BY-Demands'!$I$5:$I$14,0),FALSE)*HLOOKUP(REG_TRA_DEMANDS!$F97,DEMANDS!$G$2:$CK$25,MATCH($E97,DEMANDS!$E$2:$E$25,0),FALSE)/HLOOKUP(2018,DEMANDS!$G$2:$CK$25,MATCH($E97,DEMANDS!$E$2:$E$25,0),FALSE)</f>
        <v>4.1456030874400609</v>
      </c>
      <c r="I97" s="18">
        <f>HLOOKUP(REG_TRA_DEMANDS!I$3,'BY-Demands'!$J$5:$AK$14,MATCH($E97,'BY-Demands'!$I$5:$I$14,0),FALSE)*HLOOKUP(REG_TRA_DEMANDS!$F97,DEMANDS!$G$2:$CK$25,MATCH($E97,DEMANDS!$E$2:$E$25,0),FALSE)/HLOOKUP(2018,DEMANDS!$G$2:$CK$25,MATCH($E97,DEMANDS!$E$2:$E$25,0),FALSE)</f>
        <v>0.75229150793571486</v>
      </c>
      <c r="J97" s="18">
        <f>HLOOKUP(REG_TRA_DEMANDS!J$3,'BY-Demands'!$J$5:$AK$14,MATCH($E97,'BY-Demands'!$I$5:$I$14,0),FALSE)*HLOOKUP(REG_TRA_DEMANDS!$F97,DEMANDS!$G$2:$CK$25,MATCH($E97,DEMANDS!$E$2:$E$25,0),FALSE)/HLOOKUP(2018,DEMANDS!$G$2:$CK$25,MATCH($E97,DEMANDS!$E$2:$E$25,0),FALSE)</f>
        <v>0.4837874389842553</v>
      </c>
      <c r="K97" s="18">
        <f>HLOOKUP(REG_TRA_DEMANDS!K$3,'BY-Demands'!$J$5:$AK$14,MATCH($E97,'BY-Demands'!$I$5:$I$14,0),FALSE)*HLOOKUP(REG_TRA_DEMANDS!$F97,DEMANDS!$G$2:$CK$25,MATCH($E97,DEMANDS!$E$2:$E$25,0),FALSE)/HLOOKUP(2018,DEMANDS!$G$2:$CK$25,MATCH($E97,DEMANDS!$E$2:$E$25,0),FALSE)</f>
        <v>0.34457850650879407</v>
      </c>
      <c r="L97" s="18">
        <f>HLOOKUP(REG_TRA_DEMANDS!L$3,'BY-Demands'!$J$5:$AK$14,MATCH($E97,'BY-Demands'!$I$5:$I$14,0),FALSE)*HLOOKUP(REG_TRA_DEMANDS!$F97,DEMANDS!$G$2:$CK$25,MATCH($E97,DEMANDS!$E$2:$E$25,0),FALSE)/HLOOKUP(2018,DEMANDS!$G$2:$CK$25,MATCH($E97,DEMANDS!$E$2:$E$25,0),FALSE)</f>
        <v>0.1662863772805884</v>
      </c>
      <c r="M97" s="18">
        <f>HLOOKUP(REG_TRA_DEMANDS!M$3,'BY-Demands'!$J$5:$AK$14,MATCH($E97,'BY-Demands'!$I$5:$I$14,0),FALSE)*HLOOKUP(REG_TRA_DEMANDS!$F97,DEMANDS!$G$2:$CK$25,MATCH($E97,DEMANDS!$E$2:$E$25,0),FALSE)/HLOOKUP(2018,DEMANDS!$G$2:$CK$25,MATCH($E97,DEMANDS!$E$2:$E$25,0),FALSE)</f>
        <v>0.43575998053422293</v>
      </c>
      <c r="N97" s="18">
        <f>HLOOKUP(REG_TRA_DEMANDS!N$3,'BY-Demands'!$J$5:$AK$14,MATCH($E97,'BY-Demands'!$I$5:$I$14,0),FALSE)*HLOOKUP(REG_TRA_DEMANDS!$F97,DEMANDS!$G$2:$CK$25,MATCH($E97,DEMANDS!$E$2:$E$25,0),FALSE)/HLOOKUP(2018,DEMANDS!$G$2:$CK$25,MATCH($E97,DEMANDS!$E$2:$E$25,0),FALSE)</f>
        <v>0.67424782979622322</v>
      </c>
      <c r="O97" s="18">
        <f>HLOOKUP(REG_TRA_DEMANDS!O$3,'BY-Demands'!$J$5:$AK$14,MATCH($E97,'BY-Demands'!$I$5:$I$14,0),FALSE)*HLOOKUP(REG_TRA_DEMANDS!$F97,DEMANDS!$G$2:$CK$25,MATCH($E97,DEMANDS!$E$2:$E$25,0),FALSE)/HLOOKUP(2018,DEMANDS!$G$2:$CK$25,MATCH($E97,DEMANDS!$E$2:$E$25,0),FALSE)</f>
        <v>0.31717398427254867</v>
      </c>
      <c r="P97" s="18">
        <f>HLOOKUP(REG_TRA_DEMANDS!P$3,'BY-Demands'!$J$5:$AK$14,MATCH($E97,'BY-Demands'!$I$5:$I$14,0),FALSE)*HLOOKUP(REG_TRA_DEMANDS!$F97,DEMANDS!$G$2:$CK$25,MATCH($E97,DEMANDS!$E$2:$E$25,0),FALSE)/HLOOKUP(2018,DEMANDS!$G$2:$CK$25,MATCH($E97,DEMANDS!$E$2:$E$25,0),FALSE)</f>
        <v>0.3611489665842435</v>
      </c>
      <c r="Q97" s="18">
        <f>HLOOKUP(REG_TRA_DEMANDS!Q$3,'BY-Demands'!$J$5:$AK$14,MATCH($E97,'BY-Demands'!$I$5:$I$14,0),FALSE)*HLOOKUP(REG_TRA_DEMANDS!$F97,DEMANDS!$G$2:$CK$25,MATCH($E97,DEMANDS!$E$2:$E$25,0),FALSE)/HLOOKUP(2018,DEMANDS!$G$2:$CK$25,MATCH($E97,DEMANDS!$E$2:$E$25,0),FALSE)</f>
        <v>0.72994218537972244</v>
      </c>
      <c r="R97" s="18">
        <f>HLOOKUP(REG_TRA_DEMANDS!R$3,'BY-Demands'!$J$5:$AK$14,MATCH($E97,'BY-Demands'!$I$5:$I$14,0),FALSE)*HLOOKUP(REG_TRA_DEMANDS!$F97,DEMANDS!$G$2:$CK$25,MATCH($E97,DEMANDS!$E$2:$E$25,0),FALSE)/HLOOKUP(2018,DEMANDS!$G$2:$CK$25,MATCH($E97,DEMANDS!$E$2:$E$25,0),FALSE)</f>
        <v>0.48154243527192386</v>
      </c>
      <c r="S97" s="18">
        <f>HLOOKUP(REG_TRA_DEMANDS!S$3,'BY-Demands'!$J$5:$AK$14,MATCH($E97,'BY-Demands'!$I$5:$I$14,0),FALSE)*HLOOKUP(REG_TRA_DEMANDS!$F97,DEMANDS!$G$2:$CK$25,MATCH($E97,DEMANDS!$E$2:$E$25,0),FALSE)/HLOOKUP(2018,DEMANDS!$G$2:$CK$25,MATCH($E97,DEMANDS!$E$2:$E$25,0),FALSE)</f>
        <v>0.47386303732260543</v>
      </c>
      <c r="T97" s="18">
        <f>HLOOKUP(REG_TRA_DEMANDS!T$3,'BY-Demands'!$J$5:$AK$14,MATCH($E97,'BY-Demands'!$I$5:$I$14,0),FALSE)*HLOOKUP(REG_TRA_DEMANDS!$F97,DEMANDS!$G$2:$CK$25,MATCH($E97,DEMANDS!$E$2:$E$25,0),FALSE)/HLOOKUP(2018,DEMANDS!$G$2:$CK$25,MATCH($E97,DEMANDS!$E$2:$E$25,0),FALSE)</f>
        <v>2.5354259159975396</v>
      </c>
      <c r="U97" s="18">
        <f>HLOOKUP(REG_TRA_DEMANDS!U$3,'BY-Demands'!$J$5:$AK$14,MATCH($E97,'BY-Demands'!$I$5:$I$14,0),FALSE)*HLOOKUP(REG_TRA_DEMANDS!$F97,DEMANDS!$G$2:$CK$25,MATCH($E97,DEMANDS!$E$2:$E$25,0),FALSE)/HLOOKUP(2018,DEMANDS!$G$2:$CK$25,MATCH($E97,DEMANDS!$E$2:$E$25,0),FALSE)</f>
        <v>0.68985491090697482</v>
      </c>
      <c r="V97" s="18">
        <f>HLOOKUP(REG_TRA_DEMANDS!V$3,'BY-Demands'!$J$5:$AK$14,MATCH($E97,'BY-Demands'!$I$5:$I$14,0),FALSE)*HLOOKUP(REG_TRA_DEMANDS!$F97,DEMANDS!$G$2:$CK$25,MATCH($E97,DEMANDS!$E$2:$E$25,0),FALSE)/HLOOKUP(2018,DEMANDS!$G$2:$CK$25,MATCH($E97,DEMANDS!$E$2:$E$25,0),FALSE)</f>
        <v>0.77729139863099261</v>
      </c>
      <c r="W97" s="18">
        <f>HLOOKUP(REG_TRA_DEMANDS!W$3,'BY-Demands'!$J$5:$AK$14,MATCH($E97,'BY-Demands'!$I$5:$I$14,0),FALSE)*HLOOKUP(REG_TRA_DEMANDS!$F97,DEMANDS!$G$2:$CK$25,MATCH($E97,DEMANDS!$E$2:$E$25,0),FALSE)/HLOOKUP(2018,DEMANDS!$G$2:$CK$25,MATCH($E97,DEMANDS!$E$2:$E$25,0),FALSE)</f>
        <v>0.63632535069841645</v>
      </c>
      <c r="X97" s="18">
        <f>HLOOKUP(REG_TRA_DEMANDS!X$3,'BY-Demands'!$J$5:$AK$14,MATCH($E97,'BY-Demands'!$I$5:$I$14,0),FALSE)*HLOOKUP(REG_TRA_DEMANDS!$F97,DEMANDS!$G$2:$CK$25,MATCH($E97,DEMANDS!$E$2:$E$25,0),FALSE)/HLOOKUP(2018,DEMANDS!$G$2:$CK$25,MATCH($E97,DEMANDS!$E$2:$E$25,0),FALSE)</f>
        <v>0.59106023832102517</v>
      </c>
      <c r="Y97" s="18">
        <f>HLOOKUP(REG_TRA_DEMANDS!Y$3,'BY-Demands'!$J$5:$AK$14,MATCH($E97,'BY-Demands'!$I$5:$I$14,0),FALSE)*HLOOKUP(REG_TRA_DEMANDS!$F97,DEMANDS!$G$2:$CK$25,MATCH($E97,DEMANDS!$E$2:$E$25,0),FALSE)/HLOOKUP(2018,DEMANDS!$G$2:$CK$25,MATCH($E97,DEMANDS!$E$2:$E$25,0),FALSE)</f>
        <v>0.94380528525940877</v>
      </c>
      <c r="Z97" s="18">
        <f>HLOOKUP(REG_TRA_DEMANDS!Z$3,'BY-Demands'!$J$5:$AK$14,MATCH($E97,'BY-Demands'!$I$5:$I$14,0),FALSE)*HLOOKUP(REG_TRA_DEMANDS!$F97,DEMANDS!$G$2:$CK$25,MATCH($E97,DEMANDS!$E$2:$E$25,0),FALSE)/HLOOKUP(2018,DEMANDS!$G$2:$CK$25,MATCH($E97,DEMANDS!$E$2:$E$25,0),FALSE)</f>
        <v>0.12586983407992736</v>
      </c>
      <c r="AA97" s="18">
        <f>HLOOKUP(REG_TRA_DEMANDS!AA$3,'BY-Demands'!$J$5:$AK$14,MATCH($E97,'BY-Demands'!$I$5:$I$14,0),FALSE)*HLOOKUP(REG_TRA_DEMANDS!$F97,DEMANDS!$G$2:$CK$25,MATCH($E97,DEMANDS!$E$2:$E$25,0),FALSE)/HLOOKUP(2018,DEMANDS!$G$2:$CK$25,MATCH($E97,DEMANDS!$E$2:$E$25,0),FALSE)</f>
        <v>0.53157213633139333</v>
      </c>
      <c r="AB97" s="18">
        <f>HLOOKUP(REG_TRA_DEMANDS!AB$3,'BY-Demands'!$J$5:$AK$14,MATCH($E97,'BY-Demands'!$I$5:$I$14,0),FALSE)*HLOOKUP(REG_TRA_DEMANDS!$F97,DEMANDS!$G$2:$CK$25,MATCH($E97,DEMANDS!$E$2:$E$25,0),FALSE)/HLOOKUP(2018,DEMANDS!$G$2:$CK$25,MATCH($E97,DEMANDS!$E$2:$E$25,0),FALSE)</f>
        <v>0.23605921278078226</v>
      </c>
      <c r="AC97" s="18">
        <f>HLOOKUP(REG_TRA_DEMANDS!AC$3,'BY-Demands'!$J$5:$AK$14,MATCH($E97,'BY-Demands'!$I$5:$I$14,0),FALSE)*HLOOKUP(REG_TRA_DEMANDS!$F97,DEMANDS!$G$2:$CK$25,MATCH($E97,DEMANDS!$E$2:$E$25,0),FALSE)/HLOOKUP(2018,DEMANDS!$G$2:$CK$25,MATCH($E97,DEMANDS!$E$2:$E$25,0),FALSE)</f>
        <v>0.25742352941043728</v>
      </c>
      <c r="AD97" s="18">
        <f>HLOOKUP(REG_TRA_DEMANDS!AD$3,'BY-Demands'!$J$5:$AK$14,MATCH($E97,'BY-Demands'!$I$5:$I$14,0),FALSE)*HLOOKUP(REG_TRA_DEMANDS!$F97,DEMANDS!$G$2:$CK$25,MATCH($E97,DEMANDS!$E$2:$E$25,0),FALSE)/HLOOKUP(2018,DEMANDS!$G$2:$CK$25,MATCH($E97,DEMANDS!$E$2:$E$25,0),FALSE)</f>
        <v>0.29922171017577553</v>
      </c>
      <c r="AE97" s="18">
        <f>HLOOKUP(REG_TRA_DEMANDS!AE$3,'BY-Demands'!$J$5:$AK$14,MATCH($E97,'BY-Demands'!$I$5:$I$14,0),FALSE)*HLOOKUP(REG_TRA_DEMANDS!$F97,DEMANDS!$G$2:$CK$25,MATCH($E97,DEMANDS!$E$2:$E$25,0),FALSE)/HLOOKUP(2018,DEMANDS!$G$2:$CK$25,MATCH($E97,DEMANDS!$E$2:$E$25,0),FALSE)</f>
        <v>0.62531115425202177</v>
      </c>
      <c r="AF97" s="18">
        <f>HLOOKUP(REG_TRA_DEMANDS!AF$3,'BY-Demands'!$J$5:$AK$14,MATCH($E97,'BY-Demands'!$I$5:$I$14,0),FALSE)*HLOOKUP(REG_TRA_DEMANDS!$F97,DEMANDS!$G$2:$CK$25,MATCH($E97,DEMANDS!$E$2:$E$25,0),FALSE)/HLOOKUP(2018,DEMANDS!$G$2:$CK$25,MATCH($E97,DEMANDS!$E$2:$E$25,0),FALSE)</f>
        <v>0.2411261276629148</v>
      </c>
    </row>
    <row r="98" spans="4:32" ht="14.4">
      <c r="D98" t="s">
        <v>6</v>
      </c>
      <c r="E98" t="str">
        <f>DEMANDS!$E$20</f>
        <v>TRAF</v>
      </c>
      <c r="F98">
        <v>2033</v>
      </c>
      <c r="G98" s="18">
        <f>HLOOKUP(REG_TRA_DEMANDS!G$3,'BY-Demands'!$J$5:$AK$14,MATCH($E98,'BY-Demands'!$I$5:$I$14,0),FALSE)*HLOOKUP(REG_TRA_DEMANDS!$F98,DEMANDS!$G$2:$CK$25,MATCH($E98,DEMANDS!$E$2:$E$25,0),FALSE)/HLOOKUP(2018,DEMANDS!$G$2:$CK$25,MATCH($E98,DEMANDS!$E$2:$E$25,0),FALSE)</f>
        <v>0.28394545272901323</v>
      </c>
      <c r="H98" s="18">
        <f>HLOOKUP(REG_TRA_DEMANDS!H$3,'BY-Demands'!$J$5:$AK$14,MATCH($E98,'BY-Demands'!$I$5:$I$14,0),FALSE)*HLOOKUP(REG_TRA_DEMANDS!$F98,DEMANDS!$G$2:$CK$25,MATCH($E98,DEMANDS!$E$2:$E$25,0),FALSE)/HLOOKUP(2018,DEMANDS!$G$2:$CK$25,MATCH($E98,DEMANDS!$E$2:$E$25,0),FALSE)</f>
        <v>4.2409519584511823</v>
      </c>
      <c r="I98" s="18">
        <f>HLOOKUP(REG_TRA_DEMANDS!I$3,'BY-Demands'!$J$5:$AK$14,MATCH($E98,'BY-Demands'!$I$5:$I$14,0),FALSE)*HLOOKUP(REG_TRA_DEMANDS!$F98,DEMANDS!$G$2:$CK$25,MATCH($E98,DEMANDS!$E$2:$E$25,0),FALSE)/HLOOKUP(2018,DEMANDS!$G$2:$CK$25,MATCH($E98,DEMANDS!$E$2:$E$25,0),FALSE)</f>
        <v>0.76959421261823624</v>
      </c>
      <c r="J98" s="18">
        <f>HLOOKUP(REG_TRA_DEMANDS!J$3,'BY-Demands'!$J$5:$AK$14,MATCH($E98,'BY-Demands'!$I$5:$I$14,0),FALSE)*HLOOKUP(REG_TRA_DEMANDS!$F98,DEMANDS!$G$2:$CK$25,MATCH($E98,DEMANDS!$E$2:$E$25,0),FALSE)/HLOOKUP(2018,DEMANDS!$G$2:$CK$25,MATCH($E98,DEMANDS!$E$2:$E$25,0),FALSE)</f>
        <v>0.49491455008089313</v>
      </c>
      <c r="K98" s="18">
        <f>HLOOKUP(REG_TRA_DEMANDS!K$3,'BY-Demands'!$J$5:$AK$14,MATCH($E98,'BY-Demands'!$I$5:$I$14,0),FALSE)*HLOOKUP(REG_TRA_DEMANDS!$F98,DEMANDS!$G$2:$CK$25,MATCH($E98,DEMANDS!$E$2:$E$25,0),FALSE)/HLOOKUP(2018,DEMANDS!$G$2:$CK$25,MATCH($E98,DEMANDS!$E$2:$E$25,0),FALSE)</f>
        <v>0.3525038121584963</v>
      </c>
      <c r="L98" s="18">
        <f>HLOOKUP(REG_TRA_DEMANDS!L$3,'BY-Demands'!$J$5:$AK$14,MATCH($E98,'BY-Demands'!$I$5:$I$14,0),FALSE)*HLOOKUP(REG_TRA_DEMANDS!$F98,DEMANDS!$G$2:$CK$25,MATCH($E98,DEMANDS!$E$2:$E$25,0),FALSE)/HLOOKUP(2018,DEMANDS!$G$2:$CK$25,MATCH($E98,DEMANDS!$E$2:$E$25,0),FALSE)</f>
        <v>0.1701109639580419</v>
      </c>
      <c r="M98" s="18">
        <f>HLOOKUP(REG_TRA_DEMANDS!M$3,'BY-Demands'!$J$5:$AK$14,MATCH($E98,'BY-Demands'!$I$5:$I$14,0),FALSE)*HLOOKUP(REG_TRA_DEMANDS!$F98,DEMANDS!$G$2:$CK$25,MATCH($E98,DEMANDS!$E$2:$E$25,0),FALSE)/HLOOKUP(2018,DEMANDS!$G$2:$CK$25,MATCH($E98,DEMANDS!$E$2:$E$25,0),FALSE)</f>
        <v>0.44578246008650996</v>
      </c>
      <c r="N98" s="18">
        <f>HLOOKUP(REG_TRA_DEMANDS!N$3,'BY-Demands'!$J$5:$AK$14,MATCH($E98,'BY-Demands'!$I$5:$I$14,0),FALSE)*HLOOKUP(REG_TRA_DEMANDS!$F98,DEMANDS!$G$2:$CK$25,MATCH($E98,DEMANDS!$E$2:$E$25,0),FALSE)/HLOOKUP(2018,DEMANDS!$G$2:$CK$25,MATCH($E98,DEMANDS!$E$2:$E$25,0),FALSE)</f>
        <v>0.68975552988153632</v>
      </c>
      <c r="O98" s="18">
        <f>HLOOKUP(REG_TRA_DEMANDS!O$3,'BY-Demands'!$J$5:$AK$14,MATCH($E98,'BY-Demands'!$I$5:$I$14,0),FALSE)*HLOOKUP(REG_TRA_DEMANDS!$F98,DEMANDS!$G$2:$CK$25,MATCH($E98,DEMANDS!$E$2:$E$25,0),FALSE)/HLOOKUP(2018,DEMANDS!$G$2:$CK$25,MATCH($E98,DEMANDS!$E$2:$E$25,0),FALSE)</f>
        <v>0.32446898591081724</v>
      </c>
      <c r="P98" s="18">
        <f>HLOOKUP(REG_TRA_DEMANDS!P$3,'BY-Demands'!$J$5:$AK$14,MATCH($E98,'BY-Demands'!$I$5:$I$14,0),FALSE)*HLOOKUP(REG_TRA_DEMANDS!$F98,DEMANDS!$G$2:$CK$25,MATCH($E98,DEMANDS!$E$2:$E$25,0),FALSE)/HLOOKUP(2018,DEMANDS!$G$2:$CK$25,MATCH($E98,DEMANDS!$E$2:$E$25,0),FALSE)</f>
        <v>0.36945539281568102</v>
      </c>
      <c r="Q98" s="18">
        <f>HLOOKUP(REG_TRA_DEMANDS!Q$3,'BY-Demands'!$J$5:$AK$14,MATCH($E98,'BY-Demands'!$I$5:$I$14,0),FALSE)*HLOOKUP(REG_TRA_DEMANDS!$F98,DEMANDS!$G$2:$CK$25,MATCH($E98,DEMANDS!$E$2:$E$25,0),FALSE)/HLOOKUP(2018,DEMANDS!$G$2:$CK$25,MATCH($E98,DEMANDS!$E$2:$E$25,0),FALSE)</f>
        <v>0.74673085564345587</v>
      </c>
      <c r="R98" s="18">
        <f>HLOOKUP(REG_TRA_DEMANDS!R$3,'BY-Demands'!$J$5:$AK$14,MATCH($E98,'BY-Demands'!$I$5:$I$14,0),FALSE)*HLOOKUP(REG_TRA_DEMANDS!$F98,DEMANDS!$G$2:$CK$25,MATCH($E98,DEMANDS!$E$2:$E$25,0),FALSE)/HLOOKUP(2018,DEMANDS!$G$2:$CK$25,MATCH($E98,DEMANDS!$E$2:$E$25,0),FALSE)</f>
        <v>0.49261791128317806</v>
      </c>
      <c r="S98" s="18">
        <f>HLOOKUP(REG_TRA_DEMANDS!S$3,'BY-Demands'!$J$5:$AK$14,MATCH($E98,'BY-Demands'!$I$5:$I$14,0),FALSE)*HLOOKUP(REG_TRA_DEMANDS!$F98,DEMANDS!$G$2:$CK$25,MATCH($E98,DEMANDS!$E$2:$E$25,0),FALSE)/HLOOKUP(2018,DEMANDS!$G$2:$CK$25,MATCH($E98,DEMANDS!$E$2:$E$25,0),FALSE)</f>
        <v>0.48476188718102531</v>
      </c>
      <c r="T98" s="18">
        <f>HLOOKUP(REG_TRA_DEMANDS!T$3,'BY-Demands'!$J$5:$AK$14,MATCH($E98,'BY-Demands'!$I$5:$I$14,0),FALSE)*HLOOKUP(REG_TRA_DEMANDS!$F98,DEMANDS!$G$2:$CK$25,MATCH($E98,DEMANDS!$E$2:$E$25,0),FALSE)/HLOOKUP(2018,DEMANDS!$G$2:$CK$25,MATCH($E98,DEMANDS!$E$2:$E$25,0),FALSE)</f>
        <v>2.593740712065483</v>
      </c>
      <c r="U98" s="18">
        <f>HLOOKUP(REG_TRA_DEMANDS!U$3,'BY-Demands'!$J$5:$AK$14,MATCH($E98,'BY-Demands'!$I$5:$I$14,0),FALSE)*HLOOKUP(REG_TRA_DEMANDS!$F98,DEMANDS!$G$2:$CK$25,MATCH($E98,DEMANDS!$E$2:$E$25,0),FALSE)/HLOOKUP(2018,DEMANDS!$G$2:$CK$25,MATCH($E98,DEMANDS!$E$2:$E$25,0),FALSE)</f>
        <v>0.70572157385783518</v>
      </c>
      <c r="V98" s="18">
        <f>HLOOKUP(REG_TRA_DEMANDS!V$3,'BY-Demands'!$J$5:$AK$14,MATCH($E98,'BY-Demands'!$I$5:$I$14,0),FALSE)*HLOOKUP(REG_TRA_DEMANDS!$F98,DEMANDS!$G$2:$CK$25,MATCH($E98,DEMANDS!$E$2:$E$25,0),FALSE)/HLOOKUP(2018,DEMANDS!$G$2:$CK$25,MATCH($E98,DEMANDS!$E$2:$E$25,0),FALSE)</f>
        <v>0.79516910079950542</v>
      </c>
      <c r="W98" s="18">
        <f>HLOOKUP(REG_TRA_DEMANDS!W$3,'BY-Demands'!$J$5:$AK$14,MATCH($E98,'BY-Demands'!$I$5:$I$14,0),FALSE)*HLOOKUP(REG_TRA_DEMANDS!$F98,DEMANDS!$G$2:$CK$25,MATCH($E98,DEMANDS!$E$2:$E$25,0),FALSE)/HLOOKUP(2018,DEMANDS!$G$2:$CK$25,MATCH($E98,DEMANDS!$E$2:$E$25,0),FALSE)</f>
        <v>0.65096083376447988</v>
      </c>
      <c r="X98" s="18">
        <f>HLOOKUP(REG_TRA_DEMANDS!X$3,'BY-Demands'!$J$5:$AK$14,MATCH($E98,'BY-Demands'!$I$5:$I$14,0),FALSE)*HLOOKUP(REG_TRA_DEMANDS!$F98,DEMANDS!$G$2:$CK$25,MATCH($E98,DEMANDS!$E$2:$E$25,0),FALSE)/HLOOKUP(2018,DEMANDS!$G$2:$CK$25,MATCH($E98,DEMANDS!$E$2:$E$25,0),FALSE)</f>
        <v>0.60465462380240864</v>
      </c>
      <c r="Y98" s="18">
        <f>HLOOKUP(REG_TRA_DEMANDS!Y$3,'BY-Demands'!$J$5:$AK$14,MATCH($E98,'BY-Demands'!$I$5:$I$14,0),FALSE)*HLOOKUP(REG_TRA_DEMANDS!$F98,DEMANDS!$G$2:$CK$25,MATCH($E98,DEMANDS!$E$2:$E$25,0),FALSE)/HLOOKUP(2018,DEMANDS!$G$2:$CK$25,MATCH($E98,DEMANDS!$E$2:$E$25,0),FALSE)</f>
        <v>0.9655128068203751</v>
      </c>
      <c r="Z98" s="18">
        <f>HLOOKUP(REG_TRA_DEMANDS!Z$3,'BY-Demands'!$J$5:$AK$14,MATCH($E98,'BY-Demands'!$I$5:$I$14,0),FALSE)*HLOOKUP(REG_TRA_DEMANDS!$F98,DEMANDS!$G$2:$CK$25,MATCH($E98,DEMANDS!$E$2:$E$25,0),FALSE)/HLOOKUP(2018,DEMANDS!$G$2:$CK$25,MATCH($E98,DEMANDS!$E$2:$E$25,0),FALSE)</f>
        <v>0.12876484026376567</v>
      </c>
      <c r="AA98" s="18">
        <f>HLOOKUP(REG_TRA_DEMANDS!AA$3,'BY-Demands'!$J$5:$AK$14,MATCH($E98,'BY-Demands'!$I$5:$I$14,0),FALSE)*HLOOKUP(REG_TRA_DEMANDS!$F98,DEMANDS!$G$2:$CK$25,MATCH($E98,DEMANDS!$E$2:$E$25,0),FALSE)/HLOOKUP(2018,DEMANDS!$G$2:$CK$25,MATCH($E98,DEMANDS!$E$2:$E$25,0),FALSE)</f>
        <v>0.54379829546701541</v>
      </c>
      <c r="AB98" s="18">
        <f>HLOOKUP(REG_TRA_DEMANDS!AB$3,'BY-Demands'!$J$5:$AK$14,MATCH($E98,'BY-Demands'!$I$5:$I$14,0),FALSE)*HLOOKUP(REG_TRA_DEMANDS!$F98,DEMANDS!$G$2:$CK$25,MATCH($E98,DEMANDS!$E$2:$E$25,0),FALSE)/HLOOKUP(2018,DEMANDS!$G$2:$CK$25,MATCH($E98,DEMANDS!$E$2:$E$25,0),FALSE)</f>
        <v>0.24148857467474025</v>
      </c>
      <c r="AC98" s="18">
        <f>HLOOKUP(REG_TRA_DEMANDS!AC$3,'BY-Demands'!$J$5:$AK$14,MATCH($E98,'BY-Demands'!$I$5:$I$14,0),FALSE)*HLOOKUP(REG_TRA_DEMANDS!$F98,DEMANDS!$G$2:$CK$25,MATCH($E98,DEMANDS!$E$2:$E$25,0),FALSE)/HLOOKUP(2018,DEMANDS!$G$2:$CK$25,MATCH($E98,DEMANDS!$E$2:$E$25,0),FALSE)</f>
        <v>0.26334427058687732</v>
      </c>
      <c r="AD98" s="18">
        <f>HLOOKUP(REG_TRA_DEMANDS!AD$3,'BY-Demands'!$J$5:$AK$14,MATCH($E98,'BY-Demands'!$I$5:$I$14,0),FALSE)*HLOOKUP(REG_TRA_DEMANDS!$F98,DEMANDS!$G$2:$CK$25,MATCH($E98,DEMANDS!$E$2:$E$25,0),FALSE)/HLOOKUP(2018,DEMANDS!$G$2:$CK$25,MATCH($E98,DEMANDS!$E$2:$E$25,0),FALSE)</f>
        <v>0.30610380950981836</v>
      </c>
      <c r="AE98" s="18">
        <f>HLOOKUP(REG_TRA_DEMANDS!AE$3,'BY-Demands'!$J$5:$AK$14,MATCH($E98,'BY-Demands'!$I$5:$I$14,0),FALSE)*HLOOKUP(REG_TRA_DEMANDS!$F98,DEMANDS!$G$2:$CK$25,MATCH($E98,DEMANDS!$E$2:$E$25,0),FALSE)/HLOOKUP(2018,DEMANDS!$G$2:$CK$25,MATCH($E98,DEMANDS!$E$2:$E$25,0),FALSE)</f>
        <v>0.63969331079981817</v>
      </c>
      <c r="AF98" s="18">
        <f>HLOOKUP(REG_TRA_DEMANDS!AF$3,'BY-Demands'!$J$5:$AK$14,MATCH($E98,'BY-Demands'!$I$5:$I$14,0),FALSE)*HLOOKUP(REG_TRA_DEMANDS!$F98,DEMANDS!$G$2:$CK$25,MATCH($E98,DEMANDS!$E$2:$E$25,0),FALSE)/HLOOKUP(2018,DEMANDS!$G$2:$CK$25,MATCH($E98,DEMANDS!$E$2:$E$25,0),FALSE)</f>
        <v>0.24667202859916182</v>
      </c>
    </row>
    <row r="99" spans="4:32" ht="14.4">
      <c r="D99" t="s">
        <v>6</v>
      </c>
      <c r="E99" t="str">
        <f>DEMANDS!$E$20</f>
        <v>TRAF</v>
      </c>
      <c r="F99">
        <v>2034</v>
      </c>
      <c r="G99" s="18">
        <f>HLOOKUP(REG_TRA_DEMANDS!G$3,'BY-Demands'!$J$5:$AK$14,MATCH($E99,'BY-Demands'!$I$5:$I$14,0),FALSE)*HLOOKUP(REG_TRA_DEMANDS!$F99,DEMANDS!$G$2:$CK$25,MATCH($E99,DEMANDS!$E$2:$E$25,0),FALSE)/HLOOKUP(2018,DEMANDS!$G$2:$CK$25,MATCH($E99,DEMANDS!$E$2:$E$25,0),FALSE)</f>
        <v>0.2904761981417805</v>
      </c>
      <c r="H99" s="18">
        <f>HLOOKUP(REG_TRA_DEMANDS!H$3,'BY-Demands'!$J$5:$AK$14,MATCH($E99,'BY-Demands'!$I$5:$I$14,0),FALSE)*HLOOKUP(REG_TRA_DEMANDS!$F99,DEMANDS!$G$2:$CK$25,MATCH($E99,DEMANDS!$E$2:$E$25,0),FALSE)/HLOOKUP(2018,DEMANDS!$G$2:$CK$25,MATCH($E99,DEMANDS!$E$2:$E$25,0),FALSE)</f>
        <v>4.3384938534955584</v>
      </c>
      <c r="I99" s="18">
        <f>HLOOKUP(REG_TRA_DEMANDS!I$3,'BY-Demands'!$J$5:$AK$14,MATCH($E99,'BY-Demands'!$I$5:$I$14,0),FALSE)*HLOOKUP(REG_TRA_DEMANDS!$F99,DEMANDS!$G$2:$CK$25,MATCH($E99,DEMANDS!$E$2:$E$25,0),FALSE)/HLOOKUP(2018,DEMANDS!$G$2:$CK$25,MATCH($E99,DEMANDS!$E$2:$E$25,0),FALSE)</f>
        <v>0.78729487950845556</v>
      </c>
      <c r="J99" s="18">
        <f>HLOOKUP(REG_TRA_DEMANDS!J$3,'BY-Demands'!$J$5:$AK$14,MATCH($E99,'BY-Demands'!$I$5:$I$14,0),FALSE)*HLOOKUP(REG_TRA_DEMANDS!$F99,DEMANDS!$G$2:$CK$25,MATCH($E99,DEMANDS!$E$2:$E$25,0),FALSE)/HLOOKUP(2018,DEMANDS!$G$2:$CK$25,MATCH($E99,DEMANDS!$E$2:$E$25,0),FALSE)</f>
        <v>0.50629758473275355</v>
      </c>
      <c r="K99" s="18">
        <f>HLOOKUP(REG_TRA_DEMANDS!K$3,'BY-Demands'!$J$5:$AK$14,MATCH($E99,'BY-Demands'!$I$5:$I$14,0),FALSE)*HLOOKUP(REG_TRA_DEMANDS!$F99,DEMANDS!$G$2:$CK$25,MATCH($E99,DEMANDS!$E$2:$E$25,0),FALSE)/HLOOKUP(2018,DEMANDS!$G$2:$CK$25,MATCH($E99,DEMANDS!$E$2:$E$25,0),FALSE)</f>
        <v>0.36061139983814167</v>
      </c>
      <c r="L99" s="18">
        <f>HLOOKUP(REG_TRA_DEMANDS!L$3,'BY-Demands'!$J$5:$AK$14,MATCH($E99,'BY-Demands'!$I$5:$I$14,0),FALSE)*HLOOKUP(REG_TRA_DEMANDS!$F99,DEMANDS!$G$2:$CK$25,MATCH($E99,DEMANDS!$E$2:$E$25,0),FALSE)/HLOOKUP(2018,DEMANDS!$G$2:$CK$25,MATCH($E99,DEMANDS!$E$2:$E$25,0),FALSE)</f>
        <v>0.17402351612907685</v>
      </c>
      <c r="M99" s="18">
        <f>HLOOKUP(REG_TRA_DEMANDS!M$3,'BY-Demands'!$J$5:$AK$14,MATCH($E99,'BY-Demands'!$I$5:$I$14,0),FALSE)*HLOOKUP(REG_TRA_DEMANDS!$F99,DEMANDS!$G$2:$CK$25,MATCH($E99,DEMANDS!$E$2:$E$25,0),FALSE)/HLOOKUP(2018,DEMANDS!$G$2:$CK$25,MATCH($E99,DEMANDS!$E$2:$E$25,0),FALSE)</f>
        <v>0.45603545666849965</v>
      </c>
      <c r="N99" s="18">
        <f>HLOOKUP(REG_TRA_DEMANDS!N$3,'BY-Demands'!$J$5:$AK$14,MATCH($E99,'BY-Demands'!$I$5:$I$14,0),FALSE)*HLOOKUP(REG_TRA_DEMANDS!$F99,DEMANDS!$G$2:$CK$25,MATCH($E99,DEMANDS!$E$2:$E$25,0),FALSE)/HLOOKUP(2018,DEMANDS!$G$2:$CK$25,MATCH($E99,DEMANDS!$E$2:$E$25,0),FALSE)</f>
        <v>0.70561990706881161</v>
      </c>
      <c r="O99" s="18">
        <f>HLOOKUP(REG_TRA_DEMANDS!O$3,'BY-Demands'!$J$5:$AK$14,MATCH($E99,'BY-Demands'!$I$5:$I$14,0),FALSE)*HLOOKUP(REG_TRA_DEMANDS!$F99,DEMANDS!$G$2:$CK$25,MATCH($E99,DEMANDS!$E$2:$E$25,0),FALSE)/HLOOKUP(2018,DEMANDS!$G$2:$CK$25,MATCH($E99,DEMANDS!$E$2:$E$25,0),FALSE)</f>
        <v>0.33193177258676598</v>
      </c>
      <c r="P99" s="18">
        <f>HLOOKUP(REG_TRA_DEMANDS!P$3,'BY-Demands'!$J$5:$AK$14,MATCH($E99,'BY-Demands'!$I$5:$I$14,0),FALSE)*HLOOKUP(REG_TRA_DEMANDS!$F99,DEMANDS!$G$2:$CK$25,MATCH($E99,DEMANDS!$E$2:$E$25,0),FALSE)/HLOOKUP(2018,DEMANDS!$G$2:$CK$25,MATCH($E99,DEMANDS!$E$2:$E$25,0),FALSE)</f>
        <v>0.37795286685044166</v>
      </c>
      <c r="Q99" s="18">
        <f>HLOOKUP(REG_TRA_DEMANDS!Q$3,'BY-Demands'!$J$5:$AK$14,MATCH($E99,'BY-Demands'!$I$5:$I$14,0),FALSE)*HLOOKUP(REG_TRA_DEMANDS!$F99,DEMANDS!$G$2:$CK$25,MATCH($E99,DEMANDS!$E$2:$E$25,0),FALSE)/HLOOKUP(2018,DEMANDS!$G$2:$CK$25,MATCH($E99,DEMANDS!$E$2:$E$25,0),FALSE)</f>
        <v>0.76390566532325532</v>
      </c>
      <c r="R99" s="18">
        <f>HLOOKUP(REG_TRA_DEMANDS!R$3,'BY-Demands'!$J$5:$AK$14,MATCH($E99,'BY-Demands'!$I$5:$I$14,0),FALSE)*HLOOKUP(REG_TRA_DEMANDS!$F99,DEMANDS!$G$2:$CK$25,MATCH($E99,DEMANDS!$E$2:$E$25,0),FALSE)/HLOOKUP(2018,DEMANDS!$G$2:$CK$25,MATCH($E99,DEMANDS!$E$2:$E$25,0),FALSE)</f>
        <v>0.50394812324269112</v>
      </c>
      <c r="S99" s="18">
        <f>HLOOKUP(REG_TRA_DEMANDS!S$3,'BY-Demands'!$J$5:$AK$14,MATCH($E99,'BY-Demands'!$I$5:$I$14,0),FALSE)*HLOOKUP(REG_TRA_DEMANDS!$F99,DEMANDS!$G$2:$CK$25,MATCH($E99,DEMANDS!$E$2:$E$25,0),FALSE)/HLOOKUP(2018,DEMANDS!$G$2:$CK$25,MATCH($E99,DEMANDS!$E$2:$E$25,0),FALSE)</f>
        <v>0.49591141058618882</v>
      </c>
      <c r="T99" s="18">
        <f>HLOOKUP(REG_TRA_DEMANDS!T$3,'BY-Demands'!$J$5:$AK$14,MATCH($E99,'BY-Demands'!$I$5:$I$14,0),FALSE)*HLOOKUP(REG_TRA_DEMANDS!$F99,DEMANDS!$G$2:$CK$25,MATCH($E99,DEMANDS!$E$2:$E$25,0),FALSE)/HLOOKUP(2018,DEMANDS!$G$2:$CK$25,MATCH($E99,DEMANDS!$E$2:$E$25,0),FALSE)</f>
        <v>2.6533967484429888</v>
      </c>
      <c r="U99" s="18">
        <f>HLOOKUP(REG_TRA_DEMANDS!U$3,'BY-Demands'!$J$5:$AK$14,MATCH($E99,'BY-Demands'!$I$5:$I$14,0),FALSE)*HLOOKUP(REG_TRA_DEMANDS!$F99,DEMANDS!$G$2:$CK$25,MATCH($E99,DEMANDS!$E$2:$E$25,0),FALSE)/HLOOKUP(2018,DEMANDS!$G$2:$CK$25,MATCH($E99,DEMANDS!$E$2:$E$25,0),FALSE)</f>
        <v>0.72195317005656534</v>
      </c>
      <c r="V99" s="18">
        <f>HLOOKUP(REG_TRA_DEMANDS!V$3,'BY-Demands'!$J$5:$AK$14,MATCH($E99,'BY-Demands'!$I$5:$I$14,0),FALSE)*HLOOKUP(REG_TRA_DEMANDS!$F99,DEMANDS!$G$2:$CK$25,MATCH($E99,DEMANDS!$E$2:$E$25,0),FALSE)/HLOOKUP(2018,DEMANDS!$G$2:$CK$25,MATCH($E99,DEMANDS!$E$2:$E$25,0),FALSE)</f>
        <v>0.81345799011789399</v>
      </c>
      <c r="W99" s="18">
        <f>HLOOKUP(REG_TRA_DEMANDS!W$3,'BY-Demands'!$J$5:$AK$14,MATCH($E99,'BY-Demands'!$I$5:$I$14,0),FALSE)*HLOOKUP(REG_TRA_DEMANDS!$F99,DEMANDS!$G$2:$CK$25,MATCH($E99,DEMANDS!$E$2:$E$25,0),FALSE)/HLOOKUP(2018,DEMANDS!$G$2:$CK$25,MATCH($E99,DEMANDS!$E$2:$E$25,0),FALSE)</f>
        <v>0.66593293294106293</v>
      </c>
      <c r="X99" s="18">
        <f>HLOOKUP(REG_TRA_DEMANDS!X$3,'BY-Demands'!$J$5:$AK$14,MATCH($E99,'BY-Demands'!$I$5:$I$14,0),FALSE)*HLOOKUP(REG_TRA_DEMANDS!$F99,DEMANDS!$G$2:$CK$25,MATCH($E99,DEMANDS!$E$2:$E$25,0),FALSE)/HLOOKUP(2018,DEMANDS!$G$2:$CK$25,MATCH($E99,DEMANDS!$E$2:$E$25,0),FALSE)</f>
        <v>0.61856168014986401</v>
      </c>
      <c r="Y99" s="18">
        <f>HLOOKUP(REG_TRA_DEMANDS!Y$3,'BY-Demands'!$J$5:$AK$14,MATCH($E99,'BY-Demands'!$I$5:$I$14,0),FALSE)*HLOOKUP(REG_TRA_DEMANDS!$F99,DEMANDS!$G$2:$CK$25,MATCH($E99,DEMANDS!$E$2:$E$25,0),FALSE)/HLOOKUP(2018,DEMANDS!$G$2:$CK$25,MATCH($E99,DEMANDS!$E$2:$E$25,0),FALSE)</f>
        <v>0.98771960137724346</v>
      </c>
      <c r="Z99" s="18">
        <f>HLOOKUP(REG_TRA_DEMANDS!Z$3,'BY-Demands'!$J$5:$AK$14,MATCH($E99,'BY-Demands'!$I$5:$I$14,0),FALSE)*HLOOKUP(REG_TRA_DEMANDS!$F99,DEMANDS!$G$2:$CK$25,MATCH($E99,DEMANDS!$E$2:$E$25,0),FALSE)/HLOOKUP(2018,DEMANDS!$G$2:$CK$25,MATCH($E99,DEMANDS!$E$2:$E$25,0),FALSE)</f>
        <v>0.13172643158983227</v>
      </c>
      <c r="AA99" s="18">
        <f>HLOOKUP(REG_TRA_DEMANDS!AA$3,'BY-Demands'!$J$5:$AK$14,MATCH($E99,'BY-Demands'!$I$5:$I$14,0),FALSE)*HLOOKUP(REG_TRA_DEMANDS!$F99,DEMANDS!$G$2:$CK$25,MATCH($E99,DEMANDS!$E$2:$E$25,0),FALSE)/HLOOKUP(2018,DEMANDS!$G$2:$CK$25,MATCH($E99,DEMANDS!$E$2:$E$25,0),FALSE)</f>
        <v>0.55630565626275663</v>
      </c>
      <c r="AB99" s="18">
        <f>HLOOKUP(REG_TRA_DEMANDS!AB$3,'BY-Demands'!$J$5:$AK$14,MATCH($E99,'BY-Demands'!$I$5:$I$14,0),FALSE)*HLOOKUP(REG_TRA_DEMANDS!$F99,DEMANDS!$G$2:$CK$25,MATCH($E99,DEMANDS!$E$2:$E$25,0),FALSE)/HLOOKUP(2018,DEMANDS!$G$2:$CK$25,MATCH($E99,DEMANDS!$E$2:$E$25,0),FALSE)</f>
        <v>0.24704281189225921</v>
      </c>
      <c r="AC99" s="18">
        <f>HLOOKUP(REG_TRA_DEMANDS!AC$3,'BY-Demands'!$J$5:$AK$14,MATCH($E99,'BY-Demands'!$I$5:$I$14,0),FALSE)*HLOOKUP(REG_TRA_DEMANDS!$F99,DEMANDS!$G$2:$CK$25,MATCH($E99,DEMANDS!$E$2:$E$25,0),FALSE)/HLOOKUP(2018,DEMANDS!$G$2:$CK$25,MATCH($E99,DEMANDS!$E$2:$E$25,0),FALSE)</f>
        <v>0.26940118881037545</v>
      </c>
      <c r="AD99" s="18">
        <f>HLOOKUP(REG_TRA_DEMANDS!AD$3,'BY-Demands'!$J$5:$AK$14,MATCH($E99,'BY-Demands'!$I$5:$I$14,0),FALSE)*HLOOKUP(REG_TRA_DEMANDS!$F99,DEMANDS!$G$2:$CK$25,MATCH($E99,DEMANDS!$E$2:$E$25,0),FALSE)/HLOOKUP(2018,DEMANDS!$G$2:$CK$25,MATCH($E99,DEMANDS!$E$2:$E$25,0),FALSE)</f>
        <v>0.31314419712854413</v>
      </c>
      <c r="AE99" s="18">
        <f>HLOOKUP(REG_TRA_DEMANDS!AE$3,'BY-Demands'!$J$5:$AK$14,MATCH($E99,'BY-Demands'!$I$5:$I$14,0),FALSE)*HLOOKUP(REG_TRA_DEMANDS!$F99,DEMANDS!$G$2:$CK$25,MATCH($E99,DEMANDS!$E$2:$E$25,0),FALSE)/HLOOKUP(2018,DEMANDS!$G$2:$CK$25,MATCH($E99,DEMANDS!$E$2:$E$25,0),FALSE)</f>
        <v>0.65440625694821386</v>
      </c>
      <c r="AF99" s="18">
        <f>HLOOKUP(REG_TRA_DEMANDS!AF$3,'BY-Demands'!$J$5:$AK$14,MATCH($E99,'BY-Demands'!$I$5:$I$14,0),FALSE)*HLOOKUP(REG_TRA_DEMANDS!$F99,DEMANDS!$G$2:$CK$25,MATCH($E99,DEMANDS!$E$2:$E$25,0),FALSE)/HLOOKUP(2018,DEMANDS!$G$2:$CK$25,MATCH($E99,DEMANDS!$E$2:$E$25,0),FALSE)</f>
        <v>0.2523454852569425</v>
      </c>
    </row>
    <row r="100" spans="4:32" ht="14.4">
      <c r="D100" t="s">
        <v>6</v>
      </c>
      <c r="E100" t="str">
        <f>DEMANDS!$E$20</f>
        <v>TRAF</v>
      </c>
      <c r="F100">
        <v>2035</v>
      </c>
      <c r="G100" s="18">
        <f>HLOOKUP(REG_TRA_DEMANDS!G$3,'BY-Demands'!$J$5:$AK$14,MATCH($E100,'BY-Demands'!$I$5:$I$14,0),FALSE)*HLOOKUP(REG_TRA_DEMANDS!$F100,DEMANDS!$G$2:$CK$25,MATCH($E100,DEMANDS!$E$2:$E$25,0),FALSE)/HLOOKUP(2018,DEMANDS!$G$2:$CK$25,MATCH($E100,DEMANDS!$E$2:$E$25,0),FALSE)</f>
        <v>0.29715715069904142</v>
      </c>
      <c r="H100" s="18">
        <f>HLOOKUP(REG_TRA_DEMANDS!H$3,'BY-Demands'!$J$5:$AK$14,MATCH($E100,'BY-Demands'!$I$5:$I$14,0),FALSE)*HLOOKUP(REG_TRA_DEMANDS!$F100,DEMANDS!$G$2:$CK$25,MATCH($E100,DEMANDS!$E$2:$E$25,0),FALSE)/HLOOKUP(2018,DEMANDS!$G$2:$CK$25,MATCH($E100,DEMANDS!$E$2:$E$25,0),FALSE)</f>
        <v>4.4382792121259556</v>
      </c>
      <c r="I100" s="18">
        <f>HLOOKUP(REG_TRA_DEMANDS!I$3,'BY-Demands'!$J$5:$AK$14,MATCH($E100,'BY-Demands'!$I$5:$I$14,0),FALSE)*HLOOKUP(REG_TRA_DEMANDS!$F100,DEMANDS!$G$2:$CK$25,MATCH($E100,DEMANDS!$E$2:$E$25,0),FALSE)/HLOOKUP(2018,DEMANDS!$G$2:$CK$25,MATCH($E100,DEMANDS!$E$2:$E$25,0),FALSE)</f>
        <v>0.80540266173715003</v>
      </c>
      <c r="J100" s="18">
        <f>HLOOKUP(REG_TRA_DEMANDS!J$3,'BY-Demands'!$J$5:$AK$14,MATCH($E100,'BY-Demands'!$I$5:$I$14,0),FALSE)*HLOOKUP(REG_TRA_DEMANDS!$F100,DEMANDS!$G$2:$CK$25,MATCH($E100,DEMANDS!$E$2:$E$25,0),FALSE)/HLOOKUP(2018,DEMANDS!$G$2:$CK$25,MATCH($E100,DEMANDS!$E$2:$E$25,0),FALSE)</f>
        <v>0.51794242918160693</v>
      </c>
      <c r="K100" s="18">
        <f>HLOOKUP(REG_TRA_DEMANDS!K$3,'BY-Demands'!$J$5:$AK$14,MATCH($E100,'BY-Demands'!$I$5:$I$14,0),FALSE)*HLOOKUP(REG_TRA_DEMANDS!$F100,DEMANDS!$G$2:$CK$25,MATCH($E100,DEMANDS!$E$2:$E$25,0),FALSE)/HLOOKUP(2018,DEMANDS!$G$2:$CK$25,MATCH($E100,DEMANDS!$E$2:$E$25,0),FALSE)</f>
        <v>0.36890546203441893</v>
      </c>
      <c r="L100" s="18">
        <f>HLOOKUP(REG_TRA_DEMANDS!L$3,'BY-Demands'!$J$5:$AK$14,MATCH($E100,'BY-Demands'!$I$5:$I$14,0),FALSE)*HLOOKUP(REG_TRA_DEMANDS!$F100,DEMANDS!$G$2:$CK$25,MATCH($E100,DEMANDS!$E$2:$E$25,0),FALSE)/HLOOKUP(2018,DEMANDS!$G$2:$CK$25,MATCH($E100,DEMANDS!$E$2:$E$25,0),FALSE)</f>
        <v>0.17802605700004562</v>
      </c>
      <c r="M100" s="18">
        <f>HLOOKUP(REG_TRA_DEMANDS!M$3,'BY-Demands'!$J$5:$AK$14,MATCH($E100,'BY-Demands'!$I$5:$I$14,0),FALSE)*HLOOKUP(REG_TRA_DEMANDS!$F100,DEMANDS!$G$2:$CK$25,MATCH($E100,DEMANDS!$E$2:$E$25,0),FALSE)/HLOOKUP(2018,DEMANDS!$G$2:$CK$25,MATCH($E100,DEMANDS!$E$2:$E$25,0),FALSE)</f>
        <v>0.46652427217187514</v>
      </c>
      <c r="N100" s="18">
        <f>HLOOKUP(REG_TRA_DEMANDS!N$3,'BY-Demands'!$J$5:$AK$14,MATCH($E100,'BY-Demands'!$I$5:$I$14,0),FALSE)*HLOOKUP(REG_TRA_DEMANDS!$F100,DEMANDS!$G$2:$CK$25,MATCH($E100,DEMANDS!$E$2:$E$25,0),FALSE)/HLOOKUP(2018,DEMANDS!$G$2:$CK$25,MATCH($E100,DEMANDS!$E$2:$E$25,0),FALSE)</f>
        <v>0.72184916493139417</v>
      </c>
      <c r="O100" s="18">
        <f>HLOOKUP(REG_TRA_DEMANDS!O$3,'BY-Demands'!$J$5:$AK$14,MATCH($E100,'BY-Demands'!$I$5:$I$14,0),FALSE)*HLOOKUP(REG_TRA_DEMANDS!$F100,DEMANDS!$G$2:$CK$25,MATCH($E100,DEMANDS!$E$2:$E$25,0),FALSE)/HLOOKUP(2018,DEMANDS!$G$2:$CK$25,MATCH($E100,DEMANDS!$E$2:$E$25,0),FALSE)</f>
        <v>0.33956620335626164</v>
      </c>
      <c r="P100" s="18">
        <f>HLOOKUP(REG_TRA_DEMANDS!P$3,'BY-Demands'!$J$5:$AK$14,MATCH($E100,'BY-Demands'!$I$5:$I$14,0),FALSE)*HLOOKUP(REG_TRA_DEMANDS!$F100,DEMANDS!$G$2:$CK$25,MATCH($E100,DEMANDS!$E$2:$E$25,0),FALSE)/HLOOKUP(2018,DEMANDS!$G$2:$CK$25,MATCH($E100,DEMANDS!$E$2:$E$25,0),FALSE)</f>
        <v>0.38664578278800182</v>
      </c>
      <c r="Q100" s="18">
        <f>HLOOKUP(REG_TRA_DEMANDS!Q$3,'BY-Demands'!$J$5:$AK$14,MATCH($E100,'BY-Demands'!$I$5:$I$14,0),FALSE)*HLOOKUP(REG_TRA_DEMANDS!$F100,DEMANDS!$G$2:$CK$25,MATCH($E100,DEMANDS!$E$2:$E$25,0),FALSE)/HLOOKUP(2018,DEMANDS!$G$2:$CK$25,MATCH($E100,DEMANDS!$E$2:$E$25,0),FALSE)</f>
        <v>0.78147549562569019</v>
      </c>
      <c r="R100" s="18">
        <f>HLOOKUP(REG_TRA_DEMANDS!R$3,'BY-Demands'!$J$5:$AK$14,MATCH($E100,'BY-Demands'!$I$5:$I$14,0),FALSE)*HLOOKUP(REG_TRA_DEMANDS!$F100,DEMANDS!$G$2:$CK$25,MATCH($E100,DEMANDS!$E$2:$E$25,0),FALSE)/HLOOKUP(2018,DEMANDS!$G$2:$CK$25,MATCH($E100,DEMANDS!$E$2:$E$25,0),FALSE)</f>
        <v>0.51553893007727292</v>
      </c>
      <c r="S100" s="18">
        <f>HLOOKUP(REG_TRA_DEMANDS!S$3,'BY-Demands'!$J$5:$AK$14,MATCH($E100,'BY-Demands'!$I$5:$I$14,0),FALSE)*HLOOKUP(REG_TRA_DEMANDS!$F100,DEMANDS!$G$2:$CK$25,MATCH($E100,DEMANDS!$E$2:$E$25,0),FALSE)/HLOOKUP(2018,DEMANDS!$G$2:$CK$25,MATCH($E100,DEMANDS!$E$2:$E$25,0),FALSE)</f>
        <v>0.50731737302967117</v>
      </c>
      <c r="T100" s="18">
        <f>HLOOKUP(REG_TRA_DEMANDS!T$3,'BY-Demands'!$J$5:$AK$14,MATCH($E100,'BY-Demands'!$I$5:$I$14,0),FALSE)*HLOOKUP(REG_TRA_DEMANDS!$F100,DEMANDS!$G$2:$CK$25,MATCH($E100,DEMANDS!$E$2:$E$25,0),FALSE)/HLOOKUP(2018,DEMANDS!$G$2:$CK$25,MATCH($E100,DEMANDS!$E$2:$E$25,0),FALSE)</f>
        <v>2.714424873657177</v>
      </c>
      <c r="U100" s="18">
        <f>HLOOKUP(REG_TRA_DEMANDS!U$3,'BY-Demands'!$J$5:$AK$14,MATCH($E100,'BY-Demands'!$I$5:$I$14,0),FALSE)*HLOOKUP(REG_TRA_DEMANDS!$F100,DEMANDS!$G$2:$CK$25,MATCH($E100,DEMANDS!$E$2:$E$25,0),FALSE)/HLOOKUP(2018,DEMANDS!$G$2:$CK$25,MATCH($E100,DEMANDS!$E$2:$E$25,0),FALSE)</f>
        <v>0.73855809296786634</v>
      </c>
      <c r="V100" s="18">
        <f>HLOOKUP(REG_TRA_DEMANDS!V$3,'BY-Demands'!$J$5:$AK$14,MATCH($E100,'BY-Demands'!$I$5:$I$14,0),FALSE)*HLOOKUP(REG_TRA_DEMANDS!$F100,DEMANDS!$G$2:$CK$25,MATCH($E100,DEMANDS!$E$2:$E$25,0),FALSE)/HLOOKUP(2018,DEMANDS!$G$2:$CK$25,MATCH($E100,DEMANDS!$E$2:$E$25,0),FALSE)</f>
        <v>0.83216752389060533</v>
      </c>
      <c r="W100" s="18">
        <f>HLOOKUP(REG_TRA_DEMANDS!W$3,'BY-Demands'!$J$5:$AK$14,MATCH($E100,'BY-Demands'!$I$5:$I$14,0),FALSE)*HLOOKUP(REG_TRA_DEMANDS!$F100,DEMANDS!$G$2:$CK$25,MATCH($E100,DEMANDS!$E$2:$E$25,0),FALSE)/HLOOKUP(2018,DEMANDS!$G$2:$CK$25,MATCH($E100,DEMANDS!$E$2:$E$25,0),FALSE)</f>
        <v>0.68124939039870736</v>
      </c>
      <c r="X100" s="18">
        <f>HLOOKUP(REG_TRA_DEMANDS!X$3,'BY-Demands'!$J$5:$AK$14,MATCH($E100,'BY-Demands'!$I$5:$I$14,0),FALSE)*HLOOKUP(REG_TRA_DEMANDS!$F100,DEMANDS!$G$2:$CK$25,MATCH($E100,DEMANDS!$E$2:$E$25,0),FALSE)/HLOOKUP(2018,DEMANDS!$G$2:$CK$25,MATCH($E100,DEMANDS!$E$2:$E$25,0),FALSE)</f>
        <v>0.63278859879331095</v>
      </c>
      <c r="Y100" s="18">
        <f>HLOOKUP(REG_TRA_DEMANDS!Y$3,'BY-Demands'!$J$5:$AK$14,MATCH($E100,'BY-Demands'!$I$5:$I$14,0),FALSE)*HLOOKUP(REG_TRA_DEMANDS!$F100,DEMANDS!$G$2:$CK$25,MATCH($E100,DEMANDS!$E$2:$E$25,0),FALSE)/HLOOKUP(2018,DEMANDS!$G$2:$CK$25,MATCH($E100,DEMANDS!$E$2:$E$25,0),FALSE)</f>
        <v>1.0104371522089199</v>
      </c>
      <c r="Z100" s="18">
        <f>HLOOKUP(REG_TRA_DEMANDS!Z$3,'BY-Demands'!$J$5:$AK$14,MATCH($E100,'BY-Demands'!$I$5:$I$14,0),FALSE)*HLOOKUP(REG_TRA_DEMANDS!$F100,DEMANDS!$G$2:$CK$25,MATCH($E100,DEMANDS!$E$2:$E$25,0),FALSE)/HLOOKUP(2018,DEMANDS!$G$2:$CK$25,MATCH($E100,DEMANDS!$E$2:$E$25,0),FALSE)</f>
        <v>0.13475613951639842</v>
      </c>
      <c r="AA100" s="18">
        <f>HLOOKUP(REG_TRA_DEMANDS!AA$3,'BY-Demands'!$J$5:$AK$14,MATCH($E100,'BY-Demands'!$I$5:$I$14,0),FALSE)*HLOOKUP(REG_TRA_DEMANDS!$F100,DEMANDS!$G$2:$CK$25,MATCH($E100,DEMANDS!$E$2:$E$25,0),FALSE)/HLOOKUP(2018,DEMANDS!$G$2:$CK$25,MATCH($E100,DEMANDS!$E$2:$E$25,0),FALSE)</f>
        <v>0.5691006863568</v>
      </c>
      <c r="AB100" s="18">
        <f>HLOOKUP(REG_TRA_DEMANDS!AB$3,'BY-Demands'!$J$5:$AK$14,MATCH($E100,'BY-Demands'!$I$5:$I$14,0),FALSE)*HLOOKUP(REG_TRA_DEMANDS!$F100,DEMANDS!$G$2:$CK$25,MATCH($E100,DEMANDS!$E$2:$E$25,0),FALSE)/HLOOKUP(2018,DEMANDS!$G$2:$CK$25,MATCH($E100,DEMANDS!$E$2:$E$25,0),FALSE)</f>
        <v>0.25272479656578117</v>
      </c>
      <c r="AC100" s="18">
        <f>HLOOKUP(REG_TRA_DEMANDS!AC$3,'BY-Demands'!$J$5:$AK$14,MATCH($E100,'BY-Demands'!$I$5:$I$14,0),FALSE)*HLOOKUP(REG_TRA_DEMANDS!$F100,DEMANDS!$G$2:$CK$25,MATCH($E100,DEMANDS!$E$2:$E$25,0),FALSE)/HLOOKUP(2018,DEMANDS!$G$2:$CK$25,MATCH($E100,DEMANDS!$E$2:$E$25,0),FALSE)</f>
        <v>0.27559741615301409</v>
      </c>
      <c r="AD100" s="18">
        <f>HLOOKUP(REG_TRA_DEMANDS!AD$3,'BY-Demands'!$J$5:$AK$14,MATCH($E100,'BY-Demands'!$I$5:$I$14,0),FALSE)*HLOOKUP(REG_TRA_DEMANDS!$F100,DEMANDS!$G$2:$CK$25,MATCH($E100,DEMANDS!$E$2:$E$25,0),FALSE)/HLOOKUP(2018,DEMANDS!$G$2:$CK$25,MATCH($E100,DEMANDS!$E$2:$E$25,0),FALSE)</f>
        <v>0.32034651366250061</v>
      </c>
      <c r="AE100" s="18">
        <f>HLOOKUP(REG_TRA_DEMANDS!AE$3,'BY-Demands'!$J$5:$AK$14,MATCH($E100,'BY-Demands'!$I$5:$I$14,0),FALSE)*HLOOKUP(REG_TRA_DEMANDS!$F100,DEMANDS!$G$2:$CK$25,MATCH($E100,DEMANDS!$E$2:$E$25,0),FALSE)/HLOOKUP(2018,DEMANDS!$G$2:$CK$25,MATCH($E100,DEMANDS!$E$2:$E$25,0),FALSE)</f>
        <v>0.66945760085802275</v>
      </c>
      <c r="AF100" s="18">
        <f>HLOOKUP(REG_TRA_DEMANDS!AF$3,'BY-Demands'!$J$5:$AK$14,MATCH($E100,'BY-Demands'!$I$5:$I$14,0),FALSE)*HLOOKUP(REG_TRA_DEMANDS!$F100,DEMANDS!$G$2:$CK$25,MATCH($E100,DEMANDS!$E$2:$E$25,0),FALSE)/HLOOKUP(2018,DEMANDS!$G$2:$CK$25,MATCH($E100,DEMANDS!$E$2:$E$25,0),FALSE)</f>
        <v>0.25814943141785218</v>
      </c>
    </row>
    <row r="101" spans="4:32" ht="14.4">
      <c r="D101" t="s">
        <v>6</v>
      </c>
      <c r="E101" t="str">
        <f>DEMANDS!$E$20</f>
        <v>TRAF</v>
      </c>
      <c r="F101">
        <v>2036</v>
      </c>
      <c r="G101" s="18">
        <f>HLOOKUP(REG_TRA_DEMANDS!G$3,'BY-Demands'!$J$5:$AK$14,MATCH($E101,'BY-Demands'!$I$5:$I$14,0),FALSE)*HLOOKUP(REG_TRA_DEMANDS!$F101,DEMANDS!$G$2:$CK$25,MATCH($E101,DEMANDS!$E$2:$E$25,0),FALSE)/HLOOKUP(2018,DEMANDS!$G$2:$CK$25,MATCH($E101,DEMANDS!$E$2:$E$25,0),FALSE)</f>
        <v>0.30399176516511939</v>
      </c>
      <c r="H101" s="18">
        <f>HLOOKUP(REG_TRA_DEMANDS!H$3,'BY-Demands'!$J$5:$AK$14,MATCH($E101,'BY-Demands'!$I$5:$I$14,0),FALSE)*HLOOKUP(REG_TRA_DEMANDS!$F101,DEMANDS!$G$2:$CK$25,MATCH($E101,DEMANDS!$E$2:$E$25,0),FALSE)/HLOOKUP(2018,DEMANDS!$G$2:$CK$25,MATCH($E101,DEMANDS!$E$2:$E$25,0),FALSE)</f>
        <v>4.5403596340048535</v>
      </c>
      <c r="I101" s="18">
        <f>HLOOKUP(REG_TRA_DEMANDS!I$3,'BY-Demands'!$J$5:$AK$14,MATCH($E101,'BY-Demands'!$I$5:$I$14,0),FALSE)*HLOOKUP(REG_TRA_DEMANDS!$F101,DEMANDS!$G$2:$CK$25,MATCH($E101,DEMANDS!$E$2:$E$25,0),FALSE)/HLOOKUP(2018,DEMANDS!$G$2:$CK$25,MATCH($E101,DEMANDS!$E$2:$E$25,0),FALSE)</f>
        <v>0.82392692295710446</v>
      </c>
      <c r="J101" s="18">
        <f>HLOOKUP(REG_TRA_DEMANDS!J$3,'BY-Demands'!$J$5:$AK$14,MATCH($E101,'BY-Demands'!$I$5:$I$14,0),FALSE)*HLOOKUP(REG_TRA_DEMANDS!$F101,DEMANDS!$G$2:$CK$25,MATCH($E101,DEMANDS!$E$2:$E$25,0),FALSE)/HLOOKUP(2018,DEMANDS!$G$2:$CK$25,MATCH($E101,DEMANDS!$E$2:$E$25,0),FALSE)</f>
        <v>0.52985510505278388</v>
      </c>
      <c r="K101" s="18">
        <f>HLOOKUP(REG_TRA_DEMANDS!K$3,'BY-Demands'!$J$5:$AK$14,MATCH($E101,'BY-Demands'!$I$5:$I$14,0),FALSE)*HLOOKUP(REG_TRA_DEMANDS!$F101,DEMANDS!$G$2:$CK$25,MATCH($E101,DEMANDS!$E$2:$E$25,0),FALSE)/HLOOKUP(2018,DEMANDS!$G$2:$CK$25,MATCH($E101,DEMANDS!$E$2:$E$25,0),FALSE)</f>
        <v>0.37739028766121052</v>
      </c>
      <c r="L101" s="18">
        <f>HLOOKUP(REG_TRA_DEMANDS!L$3,'BY-Demands'!$J$5:$AK$14,MATCH($E101,'BY-Demands'!$I$5:$I$14,0),FALSE)*HLOOKUP(REG_TRA_DEMANDS!$F101,DEMANDS!$G$2:$CK$25,MATCH($E101,DEMANDS!$E$2:$E$25,0),FALSE)/HLOOKUP(2018,DEMANDS!$G$2:$CK$25,MATCH($E101,DEMANDS!$E$2:$E$25,0),FALSE)</f>
        <v>0.18212065631104665</v>
      </c>
      <c r="M101" s="18">
        <f>HLOOKUP(REG_TRA_DEMANDS!M$3,'BY-Demands'!$J$5:$AK$14,MATCH($E101,'BY-Demands'!$I$5:$I$14,0),FALSE)*HLOOKUP(REG_TRA_DEMANDS!$F101,DEMANDS!$G$2:$CK$25,MATCH($E101,DEMANDS!$E$2:$E$25,0),FALSE)/HLOOKUP(2018,DEMANDS!$G$2:$CK$25,MATCH($E101,DEMANDS!$E$2:$E$25,0),FALSE)</f>
        <v>0.4772543304318283</v>
      </c>
      <c r="N101" s="18">
        <f>HLOOKUP(REG_TRA_DEMANDS!N$3,'BY-Demands'!$J$5:$AK$14,MATCH($E101,'BY-Demands'!$I$5:$I$14,0),FALSE)*HLOOKUP(REG_TRA_DEMANDS!$F101,DEMANDS!$G$2:$CK$25,MATCH($E101,DEMANDS!$E$2:$E$25,0),FALSE)/HLOOKUP(2018,DEMANDS!$G$2:$CK$25,MATCH($E101,DEMANDS!$E$2:$E$25,0),FALSE)</f>
        <v>0.73845169572481628</v>
      </c>
      <c r="O101" s="18">
        <f>HLOOKUP(REG_TRA_DEMANDS!O$3,'BY-Demands'!$J$5:$AK$14,MATCH($E101,'BY-Demands'!$I$5:$I$14,0),FALSE)*HLOOKUP(REG_TRA_DEMANDS!$F101,DEMANDS!$G$2:$CK$25,MATCH($E101,DEMANDS!$E$2:$E$25,0),FALSE)/HLOOKUP(2018,DEMANDS!$G$2:$CK$25,MATCH($E101,DEMANDS!$E$2:$E$25,0),FALSE)</f>
        <v>0.34737622603345564</v>
      </c>
      <c r="P101" s="18">
        <f>HLOOKUP(REG_TRA_DEMANDS!P$3,'BY-Demands'!$J$5:$AK$14,MATCH($E101,'BY-Demands'!$I$5:$I$14,0),FALSE)*HLOOKUP(REG_TRA_DEMANDS!$F101,DEMANDS!$G$2:$CK$25,MATCH($E101,DEMANDS!$E$2:$E$25,0),FALSE)/HLOOKUP(2018,DEMANDS!$G$2:$CK$25,MATCH($E101,DEMANDS!$E$2:$E$25,0),FALSE)</f>
        <v>0.39553863579212584</v>
      </c>
      <c r="Q101" s="18">
        <f>HLOOKUP(REG_TRA_DEMANDS!Q$3,'BY-Demands'!$J$5:$AK$14,MATCH($E101,'BY-Demands'!$I$5:$I$14,0),FALSE)*HLOOKUP(REG_TRA_DEMANDS!$F101,DEMANDS!$G$2:$CK$25,MATCH($E101,DEMANDS!$E$2:$E$25,0),FALSE)/HLOOKUP(2018,DEMANDS!$G$2:$CK$25,MATCH($E101,DEMANDS!$E$2:$E$25,0),FALSE)</f>
        <v>0.79944943202508101</v>
      </c>
      <c r="R101" s="18">
        <f>HLOOKUP(REG_TRA_DEMANDS!R$3,'BY-Demands'!$J$5:$AK$14,MATCH($E101,'BY-Demands'!$I$5:$I$14,0),FALSE)*HLOOKUP(REG_TRA_DEMANDS!$F101,DEMANDS!$G$2:$CK$25,MATCH($E101,DEMANDS!$E$2:$E$25,0),FALSE)/HLOOKUP(2018,DEMANDS!$G$2:$CK$25,MATCH($E101,DEMANDS!$E$2:$E$25,0),FALSE)</f>
        <v>0.52739632546905024</v>
      </c>
      <c r="S101" s="18">
        <f>HLOOKUP(REG_TRA_DEMANDS!S$3,'BY-Demands'!$J$5:$AK$14,MATCH($E101,'BY-Demands'!$I$5:$I$14,0),FALSE)*HLOOKUP(REG_TRA_DEMANDS!$F101,DEMANDS!$G$2:$CK$25,MATCH($E101,DEMANDS!$E$2:$E$25,0),FALSE)/HLOOKUP(2018,DEMANDS!$G$2:$CK$25,MATCH($E101,DEMANDS!$E$2:$E$25,0),FALSE)</f>
        <v>0.51898567260935358</v>
      </c>
      <c r="T101" s="18">
        <f>HLOOKUP(REG_TRA_DEMANDS!T$3,'BY-Demands'!$J$5:$AK$14,MATCH($E101,'BY-Demands'!$I$5:$I$14,0),FALSE)*HLOOKUP(REG_TRA_DEMANDS!$F101,DEMANDS!$G$2:$CK$25,MATCH($E101,DEMANDS!$E$2:$E$25,0),FALSE)/HLOOKUP(2018,DEMANDS!$G$2:$CK$25,MATCH($E101,DEMANDS!$E$2:$E$25,0),FALSE)</f>
        <v>2.7768566457512924</v>
      </c>
      <c r="U101" s="18">
        <f>HLOOKUP(REG_TRA_DEMANDS!U$3,'BY-Demands'!$J$5:$AK$14,MATCH($E101,'BY-Demands'!$I$5:$I$14,0),FALSE)*HLOOKUP(REG_TRA_DEMANDS!$F101,DEMANDS!$G$2:$CK$25,MATCH($E101,DEMANDS!$E$2:$E$25,0),FALSE)/HLOOKUP(2018,DEMANDS!$G$2:$CK$25,MATCH($E101,DEMANDS!$E$2:$E$25,0),FALSE)</f>
        <v>0.75554492910612725</v>
      </c>
      <c r="V101" s="18">
        <f>HLOOKUP(REG_TRA_DEMANDS!V$3,'BY-Demands'!$J$5:$AK$14,MATCH($E101,'BY-Demands'!$I$5:$I$14,0),FALSE)*HLOOKUP(REG_TRA_DEMANDS!$F101,DEMANDS!$G$2:$CK$25,MATCH($E101,DEMANDS!$E$2:$E$25,0),FALSE)/HLOOKUP(2018,DEMANDS!$G$2:$CK$25,MATCH($E101,DEMANDS!$E$2:$E$25,0),FALSE)</f>
        <v>0.85130737694008929</v>
      </c>
      <c r="W101" s="18">
        <f>HLOOKUP(REG_TRA_DEMANDS!W$3,'BY-Demands'!$J$5:$AK$14,MATCH($E101,'BY-Demands'!$I$5:$I$14,0),FALSE)*HLOOKUP(REG_TRA_DEMANDS!$F101,DEMANDS!$G$2:$CK$25,MATCH($E101,DEMANDS!$E$2:$E$25,0),FALSE)/HLOOKUP(2018,DEMANDS!$G$2:$CK$25,MATCH($E101,DEMANDS!$E$2:$E$25,0),FALSE)</f>
        <v>0.69691812637787753</v>
      </c>
      <c r="X101" s="18">
        <f>HLOOKUP(REG_TRA_DEMANDS!X$3,'BY-Demands'!$J$5:$AK$14,MATCH($E101,'BY-Demands'!$I$5:$I$14,0),FALSE)*HLOOKUP(REG_TRA_DEMANDS!$F101,DEMANDS!$G$2:$CK$25,MATCH($E101,DEMANDS!$E$2:$E$25,0),FALSE)/HLOOKUP(2018,DEMANDS!$G$2:$CK$25,MATCH($E101,DEMANDS!$E$2:$E$25,0),FALSE)</f>
        <v>0.64734273656555708</v>
      </c>
      <c r="Y101" s="18">
        <f>HLOOKUP(REG_TRA_DEMANDS!Y$3,'BY-Demands'!$J$5:$AK$14,MATCH($E101,'BY-Demands'!$I$5:$I$14,0),FALSE)*HLOOKUP(REG_TRA_DEMANDS!$F101,DEMANDS!$G$2:$CK$25,MATCH($E101,DEMANDS!$E$2:$E$25,0),FALSE)/HLOOKUP(2018,DEMANDS!$G$2:$CK$25,MATCH($E101,DEMANDS!$E$2:$E$25,0),FALSE)</f>
        <v>1.0336772067097253</v>
      </c>
      <c r="Z101" s="18">
        <f>HLOOKUP(REG_TRA_DEMANDS!Z$3,'BY-Demands'!$J$5:$AK$14,MATCH($E101,'BY-Demands'!$I$5:$I$14,0),FALSE)*HLOOKUP(REG_TRA_DEMANDS!$F101,DEMANDS!$G$2:$CK$25,MATCH($E101,DEMANDS!$E$2:$E$25,0),FALSE)/HLOOKUP(2018,DEMANDS!$G$2:$CK$25,MATCH($E101,DEMANDS!$E$2:$E$25,0),FALSE)</f>
        <v>0.13785553072527557</v>
      </c>
      <c r="AA101" s="18">
        <f>HLOOKUP(REG_TRA_DEMANDS!AA$3,'BY-Demands'!$J$5:$AK$14,MATCH($E101,'BY-Demands'!$I$5:$I$14,0),FALSE)*HLOOKUP(REG_TRA_DEMANDS!$F101,DEMANDS!$G$2:$CK$25,MATCH($E101,DEMANDS!$E$2:$E$25,0),FALSE)/HLOOKUP(2018,DEMANDS!$G$2:$CK$25,MATCH($E101,DEMANDS!$E$2:$E$25,0),FALSE)</f>
        <v>0.58219000214300642</v>
      </c>
      <c r="AB101" s="18">
        <f>HLOOKUP(REG_TRA_DEMANDS!AB$3,'BY-Demands'!$J$5:$AK$14,MATCH($E101,'BY-Demands'!$I$5:$I$14,0),FALSE)*HLOOKUP(REG_TRA_DEMANDS!$F101,DEMANDS!$G$2:$CK$25,MATCH($E101,DEMANDS!$E$2:$E$25,0),FALSE)/HLOOKUP(2018,DEMANDS!$G$2:$CK$25,MATCH($E101,DEMANDS!$E$2:$E$25,0),FALSE)</f>
        <v>0.25853746688679413</v>
      </c>
      <c r="AC101" s="18">
        <f>HLOOKUP(REG_TRA_DEMANDS!AC$3,'BY-Demands'!$J$5:$AK$14,MATCH($E101,'BY-Demands'!$I$5:$I$14,0),FALSE)*HLOOKUP(REG_TRA_DEMANDS!$F101,DEMANDS!$G$2:$CK$25,MATCH($E101,DEMANDS!$E$2:$E$25,0),FALSE)/HLOOKUP(2018,DEMANDS!$G$2:$CK$25,MATCH($E101,DEMANDS!$E$2:$E$25,0),FALSE)</f>
        <v>0.28193615672453343</v>
      </c>
      <c r="AD101" s="18">
        <f>HLOOKUP(REG_TRA_DEMANDS!AD$3,'BY-Demands'!$J$5:$AK$14,MATCH($E101,'BY-Demands'!$I$5:$I$14,0),FALSE)*HLOOKUP(REG_TRA_DEMANDS!$F101,DEMANDS!$G$2:$CK$25,MATCH($E101,DEMANDS!$E$2:$E$25,0),FALSE)/HLOOKUP(2018,DEMANDS!$G$2:$CK$25,MATCH($E101,DEMANDS!$E$2:$E$25,0),FALSE)</f>
        <v>0.32771448347673815</v>
      </c>
      <c r="AE101" s="18">
        <f>HLOOKUP(REG_TRA_DEMANDS!AE$3,'BY-Demands'!$J$5:$AK$14,MATCH($E101,'BY-Demands'!$I$5:$I$14,0),FALSE)*HLOOKUP(REG_TRA_DEMANDS!$F101,DEMANDS!$G$2:$CK$25,MATCH($E101,DEMANDS!$E$2:$E$25,0),FALSE)/HLOOKUP(2018,DEMANDS!$G$2:$CK$25,MATCH($E101,DEMANDS!$E$2:$E$25,0),FALSE)</f>
        <v>0.68485512567775719</v>
      </c>
      <c r="AF101" s="18">
        <f>HLOOKUP(REG_TRA_DEMANDS!AF$3,'BY-Demands'!$J$5:$AK$14,MATCH($E101,'BY-Demands'!$I$5:$I$14,0),FALSE)*HLOOKUP(REG_TRA_DEMANDS!$F101,DEMANDS!$G$2:$CK$25,MATCH($E101,DEMANDS!$E$2:$E$25,0),FALSE)/HLOOKUP(2018,DEMANDS!$G$2:$CK$25,MATCH($E101,DEMANDS!$E$2:$E$25,0),FALSE)</f>
        <v>0.2640868683404628</v>
      </c>
    </row>
    <row r="102" spans="4:32" ht="14.4">
      <c r="D102" t="s">
        <v>6</v>
      </c>
      <c r="E102" t="str">
        <f>DEMANDS!$E$20</f>
        <v>TRAF</v>
      </c>
      <c r="F102">
        <v>2037</v>
      </c>
      <c r="G102" s="18">
        <f>HLOOKUP(REG_TRA_DEMANDS!G$3,'BY-Demands'!$J$5:$AK$14,MATCH($E102,'BY-Demands'!$I$5:$I$14,0),FALSE)*HLOOKUP(REG_TRA_DEMANDS!$F102,DEMANDS!$G$2:$CK$25,MATCH($E102,DEMANDS!$E$2:$E$25,0),FALSE)/HLOOKUP(2018,DEMANDS!$G$2:$CK$25,MATCH($E102,DEMANDS!$E$2:$E$25,0),FALSE)</f>
        <v>0.31098357576391711</v>
      </c>
      <c r="H102" s="18">
        <f>HLOOKUP(REG_TRA_DEMANDS!H$3,'BY-Demands'!$J$5:$AK$14,MATCH($E102,'BY-Demands'!$I$5:$I$14,0),FALSE)*HLOOKUP(REG_TRA_DEMANDS!$F102,DEMANDS!$G$2:$CK$25,MATCH($E102,DEMANDS!$E$2:$E$25,0),FALSE)/HLOOKUP(2018,DEMANDS!$G$2:$CK$25,MATCH($E102,DEMANDS!$E$2:$E$25,0),FALSE)</f>
        <v>4.6447879055869645</v>
      </c>
      <c r="I102" s="18">
        <f>HLOOKUP(REG_TRA_DEMANDS!I$3,'BY-Demands'!$J$5:$AK$14,MATCH($E102,'BY-Demands'!$I$5:$I$14,0),FALSE)*HLOOKUP(REG_TRA_DEMANDS!$F102,DEMANDS!$G$2:$CK$25,MATCH($E102,DEMANDS!$E$2:$E$25,0),FALSE)/HLOOKUP(2018,DEMANDS!$G$2:$CK$25,MATCH($E102,DEMANDS!$E$2:$E$25,0),FALSE)</f>
        <v>0.84287724218511784</v>
      </c>
      <c r="J102" s="18">
        <f>HLOOKUP(REG_TRA_DEMANDS!J$3,'BY-Demands'!$J$5:$AK$14,MATCH($E102,'BY-Demands'!$I$5:$I$14,0),FALSE)*HLOOKUP(REG_TRA_DEMANDS!$F102,DEMANDS!$G$2:$CK$25,MATCH($E102,DEMANDS!$E$2:$E$25,0),FALSE)/HLOOKUP(2018,DEMANDS!$G$2:$CK$25,MATCH($E102,DEMANDS!$E$2:$E$25,0),FALSE)</f>
        <v>0.54204177246899787</v>
      </c>
      <c r="K102" s="18">
        <f>HLOOKUP(REG_TRA_DEMANDS!K$3,'BY-Demands'!$J$5:$AK$14,MATCH($E102,'BY-Demands'!$I$5:$I$14,0),FALSE)*HLOOKUP(REG_TRA_DEMANDS!$F102,DEMANDS!$G$2:$CK$25,MATCH($E102,DEMANDS!$E$2:$E$25,0),FALSE)/HLOOKUP(2018,DEMANDS!$G$2:$CK$25,MATCH($E102,DEMANDS!$E$2:$E$25,0),FALSE)</f>
        <v>0.38607026427741842</v>
      </c>
      <c r="L102" s="18">
        <f>HLOOKUP(REG_TRA_DEMANDS!L$3,'BY-Demands'!$J$5:$AK$14,MATCH($E102,'BY-Demands'!$I$5:$I$14,0),FALSE)*HLOOKUP(REG_TRA_DEMANDS!$F102,DEMANDS!$G$2:$CK$25,MATCH($E102,DEMANDS!$E$2:$E$25,0),FALSE)/HLOOKUP(2018,DEMANDS!$G$2:$CK$25,MATCH($E102,DEMANDS!$E$2:$E$25,0),FALSE)</f>
        <v>0.18630943140620074</v>
      </c>
      <c r="M102" s="18">
        <f>HLOOKUP(REG_TRA_DEMANDS!M$3,'BY-Demands'!$J$5:$AK$14,MATCH($E102,'BY-Demands'!$I$5:$I$14,0),FALSE)*HLOOKUP(REG_TRA_DEMANDS!$F102,DEMANDS!$G$2:$CK$25,MATCH($E102,DEMANDS!$E$2:$E$25,0),FALSE)/HLOOKUP(2018,DEMANDS!$G$2:$CK$25,MATCH($E102,DEMANDS!$E$2:$E$25,0),FALSE)</f>
        <v>0.48823118003176036</v>
      </c>
      <c r="N102" s="18">
        <f>HLOOKUP(REG_TRA_DEMANDS!N$3,'BY-Demands'!$J$5:$AK$14,MATCH($E102,'BY-Demands'!$I$5:$I$14,0),FALSE)*HLOOKUP(REG_TRA_DEMANDS!$F102,DEMANDS!$G$2:$CK$25,MATCH($E102,DEMANDS!$E$2:$E$25,0),FALSE)/HLOOKUP(2018,DEMANDS!$G$2:$CK$25,MATCH($E102,DEMANDS!$E$2:$E$25,0),FALSE)</f>
        <v>0.75543608472648704</v>
      </c>
      <c r="O102" s="18">
        <f>HLOOKUP(REG_TRA_DEMANDS!O$3,'BY-Demands'!$J$5:$AK$14,MATCH($E102,'BY-Demands'!$I$5:$I$14,0),FALSE)*HLOOKUP(REG_TRA_DEMANDS!$F102,DEMANDS!$G$2:$CK$25,MATCH($E102,DEMANDS!$E$2:$E$25,0),FALSE)/HLOOKUP(2018,DEMANDS!$G$2:$CK$25,MATCH($E102,DEMANDS!$E$2:$E$25,0),FALSE)</f>
        <v>0.35536587923222507</v>
      </c>
      <c r="P102" s="18">
        <f>HLOOKUP(REG_TRA_DEMANDS!P$3,'BY-Demands'!$J$5:$AK$14,MATCH($E102,'BY-Demands'!$I$5:$I$14,0),FALSE)*HLOOKUP(REG_TRA_DEMANDS!$F102,DEMANDS!$G$2:$CK$25,MATCH($E102,DEMANDS!$E$2:$E$25,0),FALSE)/HLOOKUP(2018,DEMANDS!$G$2:$CK$25,MATCH($E102,DEMANDS!$E$2:$E$25,0),FALSE)</f>
        <v>0.40463602441534474</v>
      </c>
      <c r="Q102" s="18">
        <f>HLOOKUP(REG_TRA_DEMANDS!Q$3,'BY-Demands'!$J$5:$AK$14,MATCH($E102,'BY-Demands'!$I$5:$I$14,0),FALSE)*HLOOKUP(REG_TRA_DEMANDS!$F102,DEMANDS!$G$2:$CK$25,MATCH($E102,DEMANDS!$E$2:$E$25,0),FALSE)/HLOOKUP(2018,DEMANDS!$G$2:$CK$25,MATCH($E102,DEMANDS!$E$2:$E$25,0),FALSE)</f>
        <v>0.81783676896165791</v>
      </c>
      <c r="R102" s="18">
        <f>HLOOKUP(REG_TRA_DEMANDS!R$3,'BY-Demands'!$J$5:$AK$14,MATCH($E102,'BY-Demands'!$I$5:$I$14,0),FALSE)*HLOOKUP(REG_TRA_DEMANDS!$F102,DEMANDS!$G$2:$CK$25,MATCH($E102,DEMANDS!$E$2:$E$25,0),FALSE)/HLOOKUP(2018,DEMANDS!$G$2:$CK$25,MATCH($E102,DEMANDS!$E$2:$E$25,0),FALSE)</f>
        <v>0.53952644095483837</v>
      </c>
      <c r="S102" s="18">
        <f>HLOOKUP(REG_TRA_DEMANDS!S$3,'BY-Demands'!$J$5:$AK$14,MATCH($E102,'BY-Demands'!$I$5:$I$14,0),FALSE)*HLOOKUP(REG_TRA_DEMANDS!$F102,DEMANDS!$G$2:$CK$25,MATCH($E102,DEMANDS!$E$2:$E$25,0),FALSE)/HLOOKUP(2018,DEMANDS!$G$2:$CK$25,MATCH($E102,DEMANDS!$E$2:$E$25,0),FALSE)</f>
        <v>0.53092234307936881</v>
      </c>
      <c r="T102" s="18">
        <f>HLOOKUP(REG_TRA_DEMANDS!T$3,'BY-Demands'!$J$5:$AK$14,MATCH($E102,'BY-Demands'!$I$5:$I$14,0),FALSE)*HLOOKUP(REG_TRA_DEMANDS!$F102,DEMANDS!$G$2:$CK$25,MATCH($E102,DEMANDS!$E$2:$E$25,0),FALSE)/HLOOKUP(2018,DEMANDS!$G$2:$CK$25,MATCH($E102,DEMANDS!$E$2:$E$25,0),FALSE)</f>
        <v>2.840724348603572</v>
      </c>
      <c r="U102" s="18">
        <f>HLOOKUP(REG_TRA_DEMANDS!U$3,'BY-Demands'!$J$5:$AK$14,MATCH($E102,'BY-Demands'!$I$5:$I$14,0),FALSE)*HLOOKUP(REG_TRA_DEMANDS!$F102,DEMANDS!$G$2:$CK$25,MATCH($E102,DEMANDS!$E$2:$E$25,0),FALSE)/HLOOKUP(2018,DEMANDS!$G$2:$CK$25,MATCH($E102,DEMANDS!$E$2:$E$25,0),FALSE)</f>
        <v>0.77292246247556806</v>
      </c>
      <c r="V102" s="18">
        <f>HLOOKUP(REG_TRA_DEMANDS!V$3,'BY-Demands'!$J$5:$AK$14,MATCH($E102,'BY-Demands'!$I$5:$I$14,0),FALSE)*HLOOKUP(REG_TRA_DEMANDS!$F102,DEMANDS!$G$2:$CK$25,MATCH($E102,DEMANDS!$E$2:$E$25,0),FALSE)/HLOOKUP(2018,DEMANDS!$G$2:$CK$25,MATCH($E102,DEMANDS!$E$2:$E$25,0),FALSE)</f>
        <v>0.87088744660971129</v>
      </c>
      <c r="W102" s="18">
        <f>HLOOKUP(REG_TRA_DEMANDS!W$3,'BY-Demands'!$J$5:$AK$14,MATCH($E102,'BY-Demands'!$I$5:$I$14,0),FALSE)*HLOOKUP(REG_TRA_DEMANDS!$F102,DEMANDS!$G$2:$CK$25,MATCH($E102,DEMANDS!$E$2:$E$25,0),FALSE)/HLOOKUP(2018,DEMANDS!$G$2:$CK$25,MATCH($E102,DEMANDS!$E$2:$E$25,0),FALSE)</f>
        <v>0.71294724328456882</v>
      </c>
      <c r="X102" s="18">
        <f>HLOOKUP(REG_TRA_DEMANDS!X$3,'BY-Demands'!$J$5:$AK$14,MATCH($E102,'BY-Demands'!$I$5:$I$14,0),FALSE)*HLOOKUP(REG_TRA_DEMANDS!$F102,DEMANDS!$G$2:$CK$25,MATCH($E102,DEMANDS!$E$2:$E$25,0),FALSE)/HLOOKUP(2018,DEMANDS!$G$2:$CK$25,MATCH($E102,DEMANDS!$E$2:$E$25,0),FALSE)</f>
        <v>0.66223161950656484</v>
      </c>
      <c r="Y102" s="18">
        <f>HLOOKUP(REG_TRA_DEMANDS!Y$3,'BY-Demands'!$J$5:$AK$14,MATCH($E102,'BY-Demands'!$I$5:$I$14,0),FALSE)*HLOOKUP(REG_TRA_DEMANDS!$F102,DEMANDS!$G$2:$CK$25,MATCH($E102,DEMANDS!$E$2:$E$25,0),FALSE)/HLOOKUP(2018,DEMANDS!$G$2:$CK$25,MATCH($E102,DEMANDS!$E$2:$E$25,0),FALSE)</f>
        <v>1.0574517824640488</v>
      </c>
      <c r="Z102" s="18">
        <f>HLOOKUP(REG_TRA_DEMANDS!Z$3,'BY-Demands'!$J$5:$AK$14,MATCH($E102,'BY-Demands'!$I$5:$I$14,0),FALSE)*HLOOKUP(REG_TRA_DEMANDS!$F102,DEMANDS!$G$2:$CK$25,MATCH($E102,DEMANDS!$E$2:$E$25,0),FALSE)/HLOOKUP(2018,DEMANDS!$G$2:$CK$25,MATCH($E102,DEMANDS!$E$2:$E$25,0),FALSE)</f>
        <v>0.14102620793195692</v>
      </c>
      <c r="AA102" s="18">
        <f>HLOOKUP(REG_TRA_DEMANDS!AA$3,'BY-Demands'!$J$5:$AK$14,MATCH($E102,'BY-Demands'!$I$5:$I$14,0),FALSE)*HLOOKUP(REG_TRA_DEMANDS!$F102,DEMANDS!$G$2:$CK$25,MATCH($E102,DEMANDS!$E$2:$E$25,0),FALSE)/HLOOKUP(2018,DEMANDS!$G$2:$CK$25,MATCH($E102,DEMANDS!$E$2:$E$25,0),FALSE)</f>
        <v>0.59558037219229554</v>
      </c>
      <c r="AB102" s="18">
        <f>HLOOKUP(REG_TRA_DEMANDS!AB$3,'BY-Demands'!$J$5:$AK$14,MATCH($E102,'BY-Demands'!$I$5:$I$14,0),FALSE)*HLOOKUP(REG_TRA_DEMANDS!$F102,DEMANDS!$G$2:$CK$25,MATCH($E102,DEMANDS!$E$2:$E$25,0),FALSE)/HLOOKUP(2018,DEMANDS!$G$2:$CK$25,MATCH($E102,DEMANDS!$E$2:$E$25,0),FALSE)</f>
        <v>0.26448382862519043</v>
      </c>
      <c r="AC102" s="18">
        <f>HLOOKUP(REG_TRA_DEMANDS!AC$3,'BY-Demands'!$J$5:$AK$14,MATCH($E102,'BY-Demands'!$I$5:$I$14,0),FALSE)*HLOOKUP(REG_TRA_DEMANDS!$F102,DEMANDS!$G$2:$CK$25,MATCH($E102,DEMANDS!$E$2:$E$25,0),FALSE)/HLOOKUP(2018,DEMANDS!$G$2:$CK$25,MATCH($E102,DEMANDS!$E$2:$E$25,0),FALSE)</f>
        <v>0.28842068832919771</v>
      </c>
      <c r="AD102" s="18">
        <f>HLOOKUP(REG_TRA_DEMANDS!AD$3,'BY-Demands'!$J$5:$AK$14,MATCH($E102,'BY-Demands'!$I$5:$I$14,0),FALSE)*HLOOKUP(REG_TRA_DEMANDS!$F102,DEMANDS!$G$2:$CK$25,MATCH($E102,DEMANDS!$E$2:$E$25,0),FALSE)/HLOOKUP(2018,DEMANDS!$G$2:$CK$25,MATCH($E102,DEMANDS!$E$2:$E$25,0),FALSE)</f>
        <v>0.33525191659670311</v>
      </c>
      <c r="AE102" s="18">
        <f>HLOOKUP(REG_TRA_DEMANDS!AE$3,'BY-Demands'!$J$5:$AK$14,MATCH($E102,'BY-Demands'!$I$5:$I$14,0),FALSE)*HLOOKUP(REG_TRA_DEMANDS!$F102,DEMANDS!$G$2:$CK$25,MATCH($E102,DEMANDS!$E$2:$E$25,0),FALSE)/HLOOKUP(2018,DEMANDS!$G$2:$CK$25,MATCH($E102,DEMANDS!$E$2:$E$25,0),FALSE)</f>
        <v>0.70060679356834576</v>
      </c>
      <c r="AF102" s="18">
        <f>HLOOKUP(REG_TRA_DEMANDS!AF$3,'BY-Demands'!$J$5:$AK$14,MATCH($E102,'BY-Demands'!$I$5:$I$14,0),FALSE)*HLOOKUP(REG_TRA_DEMANDS!$F102,DEMANDS!$G$2:$CK$25,MATCH($E102,DEMANDS!$E$2:$E$25,0),FALSE)/HLOOKUP(2018,DEMANDS!$G$2:$CK$25,MATCH($E102,DEMANDS!$E$2:$E$25,0),FALSE)</f>
        <v>0.27016086631229341</v>
      </c>
    </row>
    <row r="103" spans="4:32" ht="14.4">
      <c r="D103" t="s">
        <v>6</v>
      </c>
      <c r="E103" t="str">
        <f>DEMANDS!$E$20</f>
        <v>TRAF</v>
      </c>
      <c r="F103">
        <v>2038</v>
      </c>
      <c r="G103" s="18">
        <f>HLOOKUP(REG_TRA_DEMANDS!G$3,'BY-Demands'!$J$5:$AK$14,MATCH($E103,'BY-Demands'!$I$5:$I$14,0),FALSE)*HLOOKUP(REG_TRA_DEMANDS!$F103,DEMANDS!$G$2:$CK$25,MATCH($E103,DEMANDS!$E$2:$E$25,0),FALSE)/HLOOKUP(2018,DEMANDS!$G$2:$CK$25,MATCH($E103,DEMANDS!$E$2:$E$25,0),FALSE)</f>
        <v>0.31813619800648713</v>
      </c>
      <c r="H103" s="18">
        <f>HLOOKUP(REG_TRA_DEMANDS!H$3,'BY-Demands'!$J$5:$AK$14,MATCH($E103,'BY-Demands'!$I$5:$I$14,0),FALSE)*HLOOKUP(REG_TRA_DEMANDS!$F103,DEMANDS!$G$2:$CK$25,MATCH($E103,DEMANDS!$E$2:$E$25,0),FALSE)/HLOOKUP(2018,DEMANDS!$G$2:$CK$25,MATCH($E103,DEMANDS!$E$2:$E$25,0),FALSE)</f>
        <v>4.7516180274154634</v>
      </c>
      <c r="I103" s="18">
        <f>HLOOKUP(REG_TRA_DEMANDS!I$3,'BY-Demands'!$J$5:$AK$14,MATCH($E103,'BY-Demands'!$I$5:$I$14,0),FALSE)*HLOOKUP(REG_TRA_DEMANDS!$F103,DEMANDS!$G$2:$CK$25,MATCH($E103,DEMANDS!$E$2:$E$25,0),FALSE)/HLOOKUP(2018,DEMANDS!$G$2:$CK$25,MATCH($E103,DEMANDS!$E$2:$E$25,0),FALSE)</f>
        <v>0.86226341875537538</v>
      </c>
      <c r="J103" s="18">
        <f>HLOOKUP(REG_TRA_DEMANDS!J$3,'BY-Demands'!$J$5:$AK$14,MATCH($E103,'BY-Demands'!$I$5:$I$14,0),FALSE)*HLOOKUP(REG_TRA_DEMANDS!$F103,DEMANDS!$G$2:$CK$25,MATCH($E103,DEMANDS!$E$2:$E$25,0),FALSE)/HLOOKUP(2018,DEMANDS!$G$2:$CK$25,MATCH($E103,DEMANDS!$E$2:$E$25,0),FALSE)</f>
        <v>0.55450873323578476</v>
      </c>
      <c r="K103" s="18">
        <f>HLOOKUP(REG_TRA_DEMANDS!K$3,'BY-Demands'!$J$5:$AK$14,MATCH($E103,'BY-Demands'!$I$5:$I$14,0),FALSE)*HLOOKUP(REG_TRA_DEMANDS!$F103,DEMANDS!$G$2:$CK$25,MATCH($E103,DEMANDS!$E$2:$E$25,0),FALSE)/HLOOKUP(2018,DEMANDS!$G$2:$CK$25,MATCH($E103,DEMANDS!$E$2:$E$25,0),FALSE)</f>
        <v>0.39494988035579887</v>
      </c>
      <c r="L103" s="18">
        <f>HLOOKUP(REG_TRA_DEMANDS!L$3,'BY-Demands'!$J$5:$AK$14,MATCH($E103,'BY-Demands'!$I$5:$I$14,0),FALSE)*HLOOKUP(REG_TRA_DEMANDS!$F103,DEMANDS!$G$2:$CK$25,MATCH($E103,DEMANDS!$E$2:$E$25,0),FALSE)/HLOOKUP(2018,DEMANDS!$G$2:$CK$25,MATCH($E103,DEMANDS!$E$2:$E$25,0),FALSE)</f>
        <v>0.19059454832854328</v>
      </c>
      <c r="M103" s="18">
        <f>HLOOKUP(REG_TRA_DEMANDS!M$3,'BY-Demands'!$J$5:$AK$14,MATCH($E103,'BY-Demands'!$I$5:$I$14,0),FALSE)*HLOOKUP(REG_TRA_DEMANDS!$F103,DEMANDS!$G$2:$CK$25,MATCH($E103,DEMANDS!$E$2:$E$25,0),FALSE)/HLOOKUP(2018,DEMANDS!$G$2:$CK$25,MATCH($E103,DEMANDS!$E$2:$E$25,0),FALSE)</f>
        <v>0.49946049717249069</v>
      </c>
      <c r="N103" s="18">
        <f>HLOOKUP(REG_TRA_DEMANDS!N$3,'BY-Demands'!$J$5:$AK$14,MATCH($E103,'BY-Demands'!$I$5:$I$14,0),FALSE)*HLOOKUP(REG_TRA_DEMANDS!$F103,DEMANDS!$G$2:$CK$25,MATCH($E103,DEMANDS!$E$2:$E$25,0),FALSE)/HLOOKUP(2018,DEMANDS!$G$2:$CK$25,MATCH($E103,DEMANDS!$E$2:$E$25,0),FALSE)</f>
        <v>0.77281111467519614</v>
      </c>
      <c r="O103" s="18">
        <f>HLOOKUP(REG_TRA_DEMANDS!O$3,'BY-Demands'!$J$5:$AK$14,MATCH($E103,'BY-Demands'!$I$5:$I$14,0),FALSE)*HLOOKUP(REG_TRA_DEMANDS!$F103,DEMANDS!$G$2:$CK$25,MATCH($E103,DEMANDS!$E$2:$E$25,0),FALSE)/HLOOKUP(2018,DEMANDS!$G$2:$CK$25,MATCH($E103,DEMANDS!$E$2:$E$25,0),FALSE)</f>
        <v>0.36353929445456618</v>
      </c>
      <c r="P103" s="18">
        <f>HLOOKUP(REG_TRA_DEMANDS!P$3,'BY-Demands'!$J$5:$AK$14,MATCH($E103,'BY-Demands'!$I$5:$I$14,0),FALSE)*HLOOKUP(REG_TRA_DEMANDS!$F103,DEMANDS!$G$2:$CK$25,MATCH($E103,DEMANDS!$E$2:$E$25,0),FALSE)/HLOOKUP(2018,DEMANDS!$G$2:$CK$25,MATCH($E103,DEMANDS!$E$2:$E$25,0),FALSE)</f>
        <v>0.41394265297689753</v>
      </c>
      <c r="Q103" s="18">
        <f>HLOOKUP(REG_TRA_DEMANDS!Q$3,'BY-Demands'!$J$5:$AK$14,MATCH($E103,'BY-Demands'!$I$5:$I$14,0),FALSE)*HLOOKUP(REG_TRA_DEMANDS!$F103,DEMANDS!$G$2:$CK$25,MATCH($E103,DEMANDS!$E$2:$E$25,0),FALSE)/HLOOKUP(2018,DEMANDS!$G$2:$CK$25,MATCH($E103,DEMANDS!$E$2:$E$25,0),FALSE)</f>
        <v>0.8366470146477758</v>
      </c>
      <c r="R103" s="18">
        <f>HLOOKUP(REG_TRA_DEMANDS!R$3,'BY-Demands'!$J$5:$AK$14,MATCH($E103,'BY-Demands'!$I$5:$I$14,0),FALSE)*HLOOKUP(REG_TRA_DEMANDS!$F103,DEMANDS!$G$2:$CK$25,MATCH($E103,DEMANDS!$E$2:$E$25,0),FALSE)/HLOOKUP(2018,DEMANDS!$G$2:$CK$25,MATCH($E103,DEMANDS!$E$2:$E$25,0),FALSE)</f>
        <v>0.55193554909679954</v>
      </c>
      <c r="S103" s="18">
        <f>HLOOKUP(REG_TRA_DEMANDS!S$3,'BY-Demands'!$J$5:$AK$14,MATCH($E103,'BY-Demands'!$I$5:$I$14,0),FALSE)*HLOOKUP(REG_TRA_DEMANDS!$F103,DEMANDS!$G$2:$CK$25,MATCH($E103,DEMANDS!$E$2:$E$25,0),FALSE)/HLOOKUP(2018,DEMANDS!$G$2:$CK$25,MATCH($E103,DEMANDS!$E$2:$E$25,0),FALSE)</f>
        <v>0.54313355697019405</v>
      </c>
      <c r="T103" s="18">
        <f>HLOOKUP(REG_TRA_DEMANDS!T$3,'BY-Demands'!$J$5:$AK$14,MATCH($E103,'BY-Demands'!$I$5:$I$14,0),FALSE)*HLOOKUP(REG_TRA_DEMANDS!$F103,DEMANDS!$G$2:$CK$25,MATCH($E103,DEMANDS!$E$2:$E$25,0),FALSE)/HLOOKUP(2018,DEMANDS!$G$2:$CK$25,MATCH($E103,DEMANDS!$E$2:$E$25,0),FALSE)</f>
        <v>2.9060610086214536</v>
      </c>
      <c r="U103" s="18">
        <f>HLOOKUP(REG_TRA_DEMANDS!U$3,'BY-Demands'!$J$5:$AK$14,MATCH($E103,'BY-Demands'!$I$5:$I$14,0),FALSE)*HLOOKUP(REG_TRA_DEMANDS!$F103,DEMANDS!$G$2:$CK$25,MATCH($E103,DEMANDS!$E$2:$E$25,0),FALSE)/HLOOKUP(2018,DEMANDS!$G$2:$CK$25,MATCH($E103,DEMANDS!$E$2:$E$25,0),FALSE)</f>
        <v>0.79069967911250605</v>
      </c>
      <c r="V103" s="18">
        <f>HLOOKUP(REG_TRA_DEMANDS!V$3,'BY-Demands'!$J$5:$AK$14,MATCH($E103,'BY-Demands'!$I$5:$I$14,0),FALSE)*HLOOKUP(REG_TRA_DEMANDS!$F103,DEMANDS!$G$2:$CK$25,MATCH($E103,DEMANDS!$E$2:$E$25,0),FALSE)/HLOOKUP(2018,DEMANDS!$G$2:$CK$25,MATCH($E103,DEMANDS!$E$2:$E$25,0),FALSE)</f>
        <v>0.89091785788173461</v>
      </c>
      <c r="W103" s="18">
        <f>HLOOKUP(REG_TRA_DEMANDS!W$3,'BY-Demands'!$J$5:$AK$14,MATCH($E103,'BY-Demands'!$I$5:$I$14,0),FALSE)*HLOOKUP(REG_TRA_DEMANDS!$F103,DEMANDS!$G$2:$CK$25,MATCH($E103,DEMANDS!$E$2:$E$25,0),FALSE)/HLOOKUP(2018,DEMANDS!$G$2:$CK$25,MATCH($E103,DEMANDS!$E$2:$E$25,0),FALSE)</f>
        <v>0.72934502988011363</v>
      </c>
      <c r="X103" s="18">
        <f>HLOOKUP(REG_TRA_DEMANDS!X$3,'BY-Demands'!$J$5:$AK$14,MATCH($E103,'BY-Demands'!$I$5:$I$14,0),FALSE)*HLOOKUP(REG_TRA_DEMANDS!$F103,DEMANDS!$G$2:$CK$25,MATCH($E103,DEMANDS!$E$2:$E$25,0),FALSE)/HLOOKUP(2018,DEMANDS!$G$2:$CK$25,MATCH($E103,DEMANDS!$E$2:$E$25,0),FALSE)</f>
        <v>0.67746294675521568</v>
      </c>
      <c r="Y103" s="18">
        <f>HLOOKUP(REG_TRA_DEMANDS!Y$3,'BY-Demands'!$J$5:$AK$14,MATCH($E103,'BY-Demands'!$I$5:$I$14,0),FALSE)*HLOOKUP(REG_TRA_DEMANDS!$F103,DEMANDS!$G$2:$CK$25,MATCH($E103,DEMANDS!$E$2:$E$25,0),FALSE)/HLOOKUP(2018,DEMANDS!$G$2:$CK$25,MATCH($E103,DEMANDS!$E$2:$E$25,0),FALSE)</f>
        <v>1.0817731734607219</v>
      </c>
      <c r="Z103" s="18">
        <f>HLOOKUP(REG_TRA_DEMANDS!Z$3,'BY-Demands'!$J$5:$AK$14,MATCH($E103,'BY-Demands'!$I$5:$I$14,0),FALSE)*HLOOKUP(REG_TRA_DEMANDS!$F103,DEMANDS!$G$2:$CK$25,MATCH($E103,DEMANDS!$E$2:$E$25,0),FALSE)/HLOOKUP(2018,DEMANDS!$G$2:$CK$25,MATCH($E103,DEMANDS!$E$2:$E$25,0),FALSE)</f>
        <v>0.14426981071439188</v>
      </c>
      <c r="AA103" s="18">
        <f>HLOOKUP(REG_TRA_DEMANDS!AA$3,'BY-Demands'!$J$5:$AK$14,MATCH($E103,'BY-Demands'!$I$5:$I$14,0),FALSE)*HLOOKUP(REG_TRA_DEMANDS!$F103,DEMANDS!$G$2:$CK$25,MATCH($E103,DEMANDS!$E$2:$E$25,0),FALSE)/HLOOKUP(2018,DEMANDS!$G$2:$CK$25,MATCH($E103,DEMANDS!$E$2:$E$25,0),FALSE)</f>
        <v>0.60927872075271816</v>
      </c>
      <c r="AB103" s="18">
        <f>HLOOKUP(REG_TRA_DEMANDS!AB$3,'BY-Demands'!$J$5:$AK$14,MATCH($E103,'BY-Demands'!$I$5:$I$14,0),FALSE)*HLOOKUP(REG_TRA_DEMANDS!$F103,DEMANDS!$G$2:$CK$25,MATCH($E103,DEMANDS!$E$2:$E$25,0),FALSE)/HLOOKUP(2018,DEMANDS!$G$2:$CK$25,MATCH($E103,DEMANDS!$E$2:$E$25,0),FALSE)</f>
        <v>0.27056695668356973</v>
      </c>
      <c r="AC103" s="18">
        <f>HLOOKUP(REG_TRA_DEMANDS!AC$3,'BY-Demands'!$J$5:$AK$14,MATCH($E103,'BY-Demands'!$I$5:$I$14,0),FALSE)*HLOOKUP(REG_TRA_DEMANDS!$F103,DEMANDS!$G$2:$CK$25,MATCH($E103,DEMANDS!$E$2:$E$25,0),FALSE)/HLOOKUP(2018,DEMANDS!$G$2:$CK$25,MATCH($E103,DEMANDS!$E$2:$E$25,0),FALSE)</f>
        <v>0.29505436416076913</v>
      </c>
      <c r="AD103" s="18">
        <f>HLOOKUP(REG_TRA_DEMANDS!AD$3,'BY-Demands'!$J$5:$AK$14,MATCH($E103,'BY-Demands'!$I$5:$I$14,0),FALSE)*HLOOKUP(REG_TRA_DEMANDS!$F103,DEMANDS!$G$2:$CK$25,MATCH($E103,DEMANDS!$E$2:$E$25,0),FALSE)/HLOOKUP(2018,DEMANDS!$G$2:$CK$25,MATCH($E103,DEMANDS!$E$2:$E$25,0),FALSE)</f>
        <v>0.34296271067842721</v>
      </c>
      <c r="AE103" s="18">
        <f>HLOOKUP(REG_TRA_DEMANDS!AE$3,'BY-Demands'!$J$5:$AK$14,MATCH($E103,'BY-Demands'!$I$5:$I$14,0),FALSE)*HLOOKUP(REG_TRA_DEMANDS!$F103,DEMANDS!$G$2:$CK$25,MATCH($E103,DEMANDS!$E$2:$E$25,0),FALSE)/HLOOKUP(2018,DEMANDS!$G$2:$CK$25,MATCH($E103,DEMANDS!$E$2:$E$25,0),FALSE)</f>
        <v>0.71672074982041745</v>
      </c>
      <c r="AF103" s="18">
        <f>HLOOKUP(REG_TRA_DEMANDS!AF$3,'BY-Demands'!$J$5:$AK$14,MATCH($E103,'BY-Demands'!$I$5:$I$14,0),FALSE)*HLOOKUP(REG_TRA_DEMANDS!$F103,DEMANDS!$G$2:$CK$25,MATCH($E103,DEMANDS!$E$2:$E$25,0),FALSE)/HLOOKUP(2018,DEMANDS!$G$2:$CK$25,MATCH($E103,DEMANDS!$E$2:$E$25,0),FALSE)</f>
        <v>0.27637456623747608</v>
      </c>
    </row>
    <row r="104" spans="4:32" ht="14.4">
      <c r="D104" t="s">
        <v>6</v>
      </c>
      <c r="E104" t="str">
        <f>DEMANDS!$E$20</f>
        <v>TRAF</v>
      </c>
      <c r="F104">
        <v>2039</v>
      </c>
      <c r="G104" s="18">
        <f>HLOOKUP(REG_TRA_DEMANDS!G$3,'BY-Demands'!$J$5:$AK$14,MATCH($E104,'BY-Demands'!$I$5:$I$14,0),FALSE)*HLOOKUP(REG_TRA_DEMANDS!$F104,DEMANDS!$G$2:$CK$25,MATCH($E104,DEMANDS!$E$2:$E$25,0),FALSE)/HLOOKUP(2018,DEMANDS!$G$2:$CK$25,MATCH($E104,DEMANDS!$E$2:$E$25,0),FALSE)</f>
        <v>0.3254533305606363</v>
      </c>
      <c r="H104" s="18">
        <f>HLOOKUP(REG_TRA_DEMANDS!H$3,'BY-Demands'!$J$5:$AK$14,MATCH($E104,'BY-Demands'!$I$5:$I$14,0),FALSE)*HLOOKUP(REG_TRA_DEMANDS!$F104,DEMANDS!$G$2:$CK$25,MATCH($E104,DEMANDS!$E$2:$E$25,0),FALSE)/HLOOKUP(2018,DEMANDS!$G$2:$CK$25,MATCH($E104,DEMANDS!$E$2:$E$25,0),FALSE)</f>
        <v>4.8609052420460195</v>
      </c>
      <c r="I104" s="18">
        <f>HLOOKUP(REG_TRA_DEMANDS!I$3,'BY-Demands'!$J$5:$AK$14,MATCH($E104,'BY-Demands'!$I$5:$I$14,0),FALSE)*HLOOKUP(REG_TRA_DEMANDS!$F104,DEMANDS!$G$2:$CK$25,MATCH($E104,DEMANDS!$E$2:$E$25,0),FALSE)/HLOOKUP(2018,DEMANDS!$G$2:$CK$25,MATCH($E104,DEMANDS!$E$2:$E$25,0),FALSE)</f>
        <v>0.88209547738674898</v>
      </c>
      <c r="J104" s="18">
        <f>HLOOKUP(REG_TRA_DEMANDS!J$3,'BY-Demands'!$J$5:$AK$14,MATCH($E104,'BY-Demands'!$I$5:$I$14,0),FALSE)*HLOOKUP(REG_TRA_DEMANDS!$F104,DEMANDS!$G$2:$CK$25,MATCH($E104,DEMANDS!$E$2:$E$25,0),FALSE)/HLOOKUP(2018,DEMANDS!$G$2:$CK$25,MATCH($E104,DEMANDS!$E$2:$E$25,0),FALSE)</f>
        <v>0.56726243410020782</v>
      </c>
      <c r="K104" s="18">
        <f>HLOOKUP(REG_TRA_DEMANDS!K$3,'BY-Demands'!$J$5:$AK$14,MATCH($E104,'BY-Demands'!$I$5:$I$14,0),FALSE)*HLOOKUP(REG_TRA_DEMANDS!$F104,DEMANDS!$G$2:$CK$25,MATCH($E104,DEMANDS!$E$2:$E$25,0),FALSE)/HLOOKUP(2018,DEMANDS!$G$2:$CK$25,MATCH($E104,DEMANDS!$E$2:$E$25,0),FALSE)</f>
        <v>0.40403372760398226</v>
      </c>
      <c r="L104" s="18">
        <f>HLOOKUP(REG_TRA_DEMANDS!L$3,'BY-Demands'!$J$5:$AK$14,MATCH($E104,'BY-Demands'!$I$5:$I$14,0),FALSE)*HLOOKUP(REG_TRA_DEMANDS!$F104,DEMANDS!$G$2:$CK$25,MATCH($E104,DEMANDS!$E$2:$E$25,0),FALSE)/HLOOKUP(2018,DEMANDS!$G$2:$CK$25,MATCH($E104,DEMANDS!$E$2:$E$25,0),FALSE)</f>
        <v>0.19497822294009978</v>
      </c>
      <c r="M104" s="18">
        <f>HLOOKUP(REG_TRA_DEMANDS!M$3,'BY-Demands'!$J$5:$AK$14,MATCH($E104,'BY-Demands'!$I$5:$I$14,0),FALSE)*HLOOKUP(REG_TRA_DEMANDS!$F104,DEMANDS!$G$2:$CK$25,MATCH($E104,DEMANDS!$E$2:$E$25,0),FALSE)/HLOOKUP(2018,DEMANDS!$G$2:$CK$25,MATCH($E104,DEMANDS!$E$2:$E$25,0),FALSE)</f>
        <v>0.510948088607458</v>
      </c>
      <c r="N104" s="18">
        <f>HLOOKUP(REG_TRA_DEMANDS!N$3,'BY-Demands'!$J$5:$AK$14,MATCH($E104,'BY-Demands'!$I$5:$I$14,0),FALSE)*HLOOKUP(REG_TRA_DEMANDS!$F104,DEMANDS!$G$2:$CK$25,MATCH($E104,DEMANDS!$E$2:$E$25,0),FALSE)/HLOOKUP(2018,DEMANDS!$G$2:$CK$25,MATCH($E104,DEMANDS!$E$2:$E$25,0),FALSE)</f>
        <v>0.79058577031272559</v>
      </c>
      <c r="O104" s="18">
        <f>HLOOKUP(REG_TRA_DEMANDS!O$3,'BY-Demands'!$J$5:$AK$14,MATCH($E104,'BY-Demands'!$I$5:$I$14,0),FALSE)*HLOOKUP(REG_TRA_DEMANDS!$F104,DEMANDS!$G$2:$CK$25,MATCH($E104,DEMANDS!$E$2:$E$25,0),FALSE)/HLOOKUP(2018,DEMANDS!$G$2:$CK$25,MATCH($E104,DEMANDS!$E$2:$E$25,0),FALSE)</f>
        <v>0.37190069822702121</v>
      </c>
      <c r="P104" s="18">
        <f>HLOOKUP(REG_TRA_DEMANDS!P$3,'BY-Demands'!$J$5:$AK$14,MATCH($E104,'BY-Demands'!$I$5:$I$14,0),FALSE)*HLOOKUP(REG_TRA_DEMANDS!$F104,DEMANDS!$G$2:$CK$25,MATCH($E104,DEMANDS!$E$2:$E$25,0),FALSE)/HLOOKUP(2018,DEMANDS!$G$2:$CK$25,MATCH($E104,DEMANDS!$E$2:$E$25,0),FALSE)</f>
        <v>0.42346333399536618</v>
      </c>
      <c r="Q104" s="18">
        <f>HLOOKUP(REG_TRA_DEMANDS!Q$3,'BY-Demands'!$J$5:$AK$14,MATCH($E104,'BY-Demands'!$I$5:$I$14,0),FALSE)*HLOOKUP(REG_TRA_DEMANDS!$F104,DEMANDS!$G$2:$CK$25,MATCH($E104,DEMANDS!$E$2:$E$25,0),FALSE)/HLOOKUP(2018,DEMANDS!$G$2:$CK$25,MATCH($E104,DEMANDS!$E$2:$E$25,0),FALSE)</f>
        <v>0.85588989598467469</v>
      </c>
      <c r="R104" s="18">
        <f>HLOOKUP(REG_TRA_DEMANDS!R$3,'BY-Demands'!$J$5:$AK$14,MATCH($E104,'BY-Demands'!$I$5:$I$14,0),FALSE)*HLOOKUP(REG_TRA_DEMANDS!$F104,DEMANDS!$G$2:$CK$25,MATCH($E104,DEMANDS!$E$2:$E$25,0),FALSE)/HLOOKUP(2018,DEMANDS!$G$2:$CK$25,MATCH($E104,DEMANDS!$E$2:$E$25,0),FALSE)</f>
        <v>0.56463006672602589</v>
      </c>
      <c r="S104" s="18">
        <f>HLOOKUP(REG_TRA_DEMANDS!S$3,'BY-Demands'!$J$5:$AK$14,MATCH($E104,'BY-Demands'!$I$5:$I$14,0),FALSE)*HLOOKUP(REG_TRA_DEMANDS!$F104,DEMANDS!$G$2:$CK$25,MATCH($E104,DEMANDS!$E$2:$E$25,0),FALSE)/HLOOKUP(2018,DEMANDS!$G$2:$CK$25,MATCH($E104,DEMANDS!$E$2:$E$25,0),FALSE)</f>
        <v>0.55562562878050847</v>
      </c>
      <c r="T104" s="18">
        <f>HLOOKUP(REG_TRA_DEMANDS!T$3,'BY-Demands'!$J$5:$AK$14,MATCH($E104,'BY-Demands'!$I$5:$I$14,0),FALSE)*HLOOKUP(REG_TRA_DEMANDS!$F104,DEMANDS!$G$2:$CK$25,MATCH($E104,DEMANDS!$E$2:$E$25,0),FALSE)/HLOOKUP(2018,DEMANDS!$G$2:$CK$25,MATCH($E104,DEMANDS!$E$2:$E$25,0),FALSE)</f>
        <v>2.9729004118197468</v>
      </c>
      <c r="U104" s="18">
        <f>HLOOKUP(REG_TRA_DEMANDS!U$3,'BY-Demands'!$J$5:$AK$14,MATCH($E104,'BY-Demands'!$I$5:$I$14,0),FALSE)*HLOOKUP(REG_TRA_DEMANDS!$F104,DEMANDS!$G$2:$CK$25,MATCH($E104,DEMANDS!$E$2:$E$25,0),FALSE)/HLOOKUP(2018,DEMANDS!$G$2:$CK$25,MATCH($E104,DEMANDS!$E$2:$E$25,0),FALSE)</f>
        <v>0.80888577173209364</v>
      </c>
      <c r="V104" s="18">
        <f>HLOOKUP(REG_TRA_DEMANDS!V$3,'BY-Demands'!$J$5:$AK$14,MATCH($E104,'BY-Demands'!$I$5:$I$14,0),FALSE)*HLOOKUP(REG_TRA_DEMANDS!$F104,DEMANDS!$G$2:$CK$25,MATCH($E104,DEMANDS!$E$2:$E$25,0),FALSE)/HLOOKUP(2018,DEMANDS!$G$2:$CK$25,MATCH($E104,DEMANDS!$E$2:$E$25,0),FALSE)</f>
        <v>0.91140896861301435</v>
      </c>
      <c r="W104" s="18">
        <f>HLOOKUP(REG_TRA_DEMANDS!W$3,'BY-Demands'!$J$5:$AK$14,MATCH($E104,'BY-Demands'!$I$5:$I$14,0),FALSE)*HLOOKUP(REG_TRA_DEMANDS!$F104,DEMANDS!$G$2:$CK$25,MATCH($E104,DEMANDS!$E$2:$E$25,0),FALSE)/HLOOKUP(2018,DEMANDS!$G$2:$CK$25,MATCH($E104,DEMANDS!$E$2:$E$25,0),FALSE)</f>
        <v>0.74611996556735627</v>
      </c>
      <c r="X104" s="18">
        <f>HLOOKUP(REG_TRA_DEMANDS!X$3,'BY-Demands'!$J$5:$AK$14,MATCH($E104,'BY-Demands'!$I$5:$I$14,0),FALSE)*HLOOKUP(REG_TRA_DEMANDS!$F104,DEMANDS!$G$2:$CK$25,MATCH($E104,DEMANDS!$E$2:$E$25,0),FALSE)/HLOOKUP(2018,DEMANDS!$G$2:$CK$25,MATCH($E104,DEMANDS!$E$2:$E$25,0),FALSE)</f>
        <v>0.69304459453058564</v>
      </c>
      <c r="Y104" s="18">
        <f>HLOOKUP(REG_TRA_DEMANDS!Y$3,'BY-Demands'!$J$5:$AK$14,MATCH($E104,'BY-Demands'!$I$5:$I$14,0),FALSE)*HLOOKUP(REG_TRA_DEMANDS!$F104,DEMANDS!$G$2:$CK$25,MATCH($E104,DEMANDS!$E$2:$E$25,0),FALSE)/HLOOKUP(2018,DEMANDS!$G$2:$CK$25,MATCH($E104,DEMANDS!$E$2:$E$25,0),FALSE)</f>
        <v>1.1066539564503184</v>
      </c>
      <c r="Z104" s="18">
        <f>HLOOKUP(REG_TRA_DEMANDS!Z$3,'BY-Demands'!$J$5:$AK$14,MATCH($E104,'BY-Demands'!$I$5:$I$14,0),FALSE)*HLOOKUP(REG_TRA_DEMANDS!$F104,DEMANDS!$G$2:$CK$25,MATCH($E104,DEMANDS!$E$2:$E$25,0),FALSE)/HLOOKUP(2018,DEMANDS!$G$2:$CK$25,MATCH($E104,DEMANDS!$E$2:$E$25,0),FALSE)</f>
        <v>0.14758801636082289</v>
      </c>
      <c r="AA104" s="18">
        <f>HLOOKUP(REG_TRA_DEMANDS!AA$3,'BY-Demands'!$J$5:$AK$14,MATCH($E104,'BY-Demands'!$I$5:$I$14,0),FALSE)*HLOOKUP(REG_TRA_DEMANDS!$F104,DEMANDS!$G$2:$CK$25,MATCH($E104,DEMANDS!$E$2:$E$25,0),FALSE)/HLOOKUP(2018,DEMANDS!$G$2:$CK$25,MATCH($E104,DEMANDS!$E$2:$E$25,0),FALSE)</f>
        <v>0.6232921313300307</v>
      </c>
      <c r="AB104" s="18">
        <f>HLOOKUP(REG_TRA_DEMANDS!AB$3,'BY-Demands'!$J$5:$AK$14,MATCH($E104,'BY-Demands'!$I$5:$I$14,0),FALSE)*HLOOKUP(REG_TRA_DEMANDS!$F104,DEMANDS!$G$2:$CK$25,MATCH($E104,DEMANDS!$E$2:$E$25,0),FALSE)/HLOOKUP(2018,DEMANDS!$G$2:$CK$25,MATCH($E104,DEMANDS!$E$2:$E$25,0),FALSE)</f>
        <v>0.27678999668729182</v>
      </c>
      <c r="AC104" s="18">
        <f>HLOOKUP(REG_TRA_DEMANDS!AC$3,'BY-Demands'!$J$5:$AK$14,MATCH($E104,'BY-Demands'!$I$5:$I$14,0),FALSE)*HLOOKUP(REG_TRA_DEMANDS!$F104,DEMANDS!$G$2:$CK$25,MATCH($E104,DEMANDS!$E$2:$E$25,0),FALSE)/HLOOKUP(2018,DEMANDS!$G$2:$CK$25,MATCH($E104,DEMANDS!$E$2:$E$25,0),FALSE)</f>
        <v>0.30184061453646688</v>
      </c>
      <c r="AD104" s="18">
        <f>HLOOKUP(REG_TRA_DEMANDS!AD$3,'BY-Demands'!$J$5:$AK$14,MATCH($E104,'BY-Demands'!$I$5:$I$14,0),FALSE)*HLOOKUP(REG_TRA_DEMANDS!$F104,DEMANDS!$G$2:$CK$25,MATCH($E104,DEMANDS!$E$2:$E$25,0),FALSE)/HLOOKUP(2018,DEMANDS!$G$2:$CK$25,MATCH($E104,DEMANDS!$E$2:$E$25,0),FALSE)</f>
        <v>0.35085085302403102</v>
      </c>
      <c r="AE104" s="18">
        <f>HLOOKUP(REG_TRA_DEMANDS!AE$3,'BY-Demands'!$J$5:$AK$14,MATCH($E104,'BY-Demands'!$I$5:$I$14,0),FALSE)*HLOOKUP(REG_TRA_DEMANDS!$F104,DEMANDS!$G$2:$CK$25,MATCH($E104,DEMANDS!$E$2:$E$25,0),FALSE)/HLOOKUP(2018,DEMANDS!$G$2:$CK$25,MATCH($E104,DEMANDS!$E$2:$E$25,0),FALSE)</f>
        <v>0.73320532706628705</v>
      </c>
      <c r="AF104" s="18">
        <f>HLOOKUP(REG_TRA_DEMANDS!AF$3,'BY-Demands'!$J$5:$AK$14,MATCH($E104,'BY-Demands'!$I$5:$I$14,0),FALSE)*HLOOKUP(REG_TRA_DEMANDS!$F104,DEMANDS!$G$2:$CK$25,MATCH($E104,DEMANDS!$E$2:$E$25,0),FALSE)/HLOOKUP(2018,DEMANDS!$G$2:$CK$25,MATCH($E104,DEMANDS!$E$2:$E$25,0),FALSE)</f>
        <v>0.28273118126093805</v>
      </c>
    </row>
    <row r="105" spans="4:32" ht="14.4">
      <c r="D105" t="s">
        <v>6</v>
      </c>
      <c r="E105" t="str">
        <f>DEMANDS!$E$20</f>
        <v>TRAF</v>
      </c>
      <c r="F105">
        <v>2040</v>
      </c>
      <c r="G105" s="18">
        <f>HLOOKUP(REG_TRA_DEMANDS!G$3,'BY-Demands'!$J$5:$AK$14,MATCH($E105,'BY-Demands'!$I$5:$I$14,0),FALSE)*HLOOKUP(REG_TRA_DEMANDS!$F105,DEMANDS!$G$2:$CK$25,MATCH($E105,DEMANDS!$E$2:$E$25,0),FALSE)/HLOOKUP(2018,DEMANDS!$G$2:$CK$25,MATCH($E105,DEMANDS!$E$2:$E$25,0),FALSE)</f>
        <v>0.33293875716353089</v>
      </c>
      <c r="H105" s="18">
        <f>HLOOKUP(REG_TRA_DEMANDS!H$3,'BY-Demands'!$J$5:$AK$14,MATCH($E105,'BY-Demands'!$I$5:$I$14,0),FALSE)*HLOOKUP(REG_TRA_DEMANDS!$F105,DEMANDS!$G$2:$CK$25,MATCH($E105,DEMANDS!$E$2:$E$25,0),FALSE)/HLOOKUP(2018,DEMANDS!$G$2:$CK$25,MATCH($E105,DEMANDS!$E$2:$E$25,0),FALSE)</f>
        <v>4.972706062613077</v>
      </c>
      <c r="I105" s="18">
        <f>HLOOKUP(REG_TRA_DEMANDS!I$3,'BY-Demands'!$J$5:$AK$14,MATCH($E105,'BY-Demands'!$I$5:$I$14,0),FALSE)*HLOOKUP(REG_TRA_DEMANDS!$F105,DEMANDS!$G$2:$CK$25,MATCH($E105,DEMANDS!$E$2:$E$25,0),FALSE)/HLOOKUP(2018,DEMANDS!$G$2:$CK$25,MATCH($E105,DEMANDS!$E$2:$E$25,0),FALSE)</f>
        <v>0.90238367336664405</v>
      </c>
      <c r="J105" s="18">
        <f>HLOOKUP(REG_TRA_DEMANDS!J$3,'BY-Demands'!$J$5:$AK$14,MATCH($E105,'BY-Demands'!$I$5:$I$14,0),FALSE)*HLOOKUP(REG_TRA_DEMANDS!$F105,DEMANDS!$G$2:$CK$25,MATCH($E105,DEMANDS!$E$2:$E$25,0),FALSE)/HLOOKUP(2018,DEMANDS!$G$2:$CK$25,MATCH($E105,DEMANDS!$E$2:$E$25,0),FALSE)</f>
        <v>0.58030947008451239</v>
      </c>
      <c r="K105" s="18">
        <f>HLOOKUP(REG_TRA_DEMANDS!K$3,'BY-Demands'!$J$5:$AK$14,MATCH($E105,'BY-Demands'!$I$5:$I$14,0),FALSE)*HLOOKUP(REG_TRA_DEMANDS!$F105,DEMANDS!$G$2:$CK$25,MATCH($E105,DEMANDS!$E$2:$E$25,0),FALSE)/HLOOKUP(2018,DEMANDS!$G$2:$CK$25,MATCH($E105,DEMANDS!$E$2:$E$25,0),FALSE)</f>
        <v>0.41332650333887377</v>
      </c>
      <c r="L105" s="18">
        <f>HLOOKUP(REG_TRA_DEMANDS!L$3,'BY-Demands'!$J$5:$AK$14,MATCH($E105,'BY-Demands'!$I$5:$I$14,0),FALSE)*HLOOKUP(REG_TRA_DEMANDS!$F105,DEMANDS!$G$2:$CK$25,MATCH($E105,DEMANDS!$E$2:$E$25,0),FALSE)/HLOOKUP(2018,DEMANDS!$G$2:$CK$25,MATCH($E105,DEMANDS!$E$2:$E$25,0),FALSE)</f>
        <v>0.19946272206772206</v>
      </c>
      <c r="M105" s="18">
        <f>HLOOKUP(REG_TRA_DEMANDS!M$3,'BY-Demands'!$J$5:$AK$14,MATCH($E105,'BY-Demands'!$I$5:$I$14,0),FALSE)*HLOOKUP(REG_TRA_DEMANDS!$F105,DEMANDS!$G$2:$CK$25,MATCH($E105,DEMANDS!$E$2:$E$25,0),FALSE)/HLOOKUP(2018,DEMANDS!$G$2:$CK$25,MATCH($E105,DEMANDS!$E$2:$E$25,0),FALSE)</f>
        <v>0.52269989464542943</v>
      </c>
      <c r="N105" s="18">
        <f>HLOOKUP(REG_TRA_DEMANDS!N$3,'BY-Demands'!$J$5:$AK$14,MATCH($E105,'BY-Demands'!$I$5:$I$14,0),FALSE)*HLOOKUP(REG_TRA_DEMANDS!$F105,DEMANDS!$G$2:$CK$25,MATCH($E105,DEMANDS!$E$2:$E$25,0),FALSE)/HLOOKUP(2018,DEMANDS!$G$2:$CK$25,MATCH($E105,DEMANDS!$E$2:$E$25,0),FALSE)</f>
        <v>0.80876924302991815</v>
      </c>
      <c r="O105" s="18">
        <f>HLOOKUP(REG_TRA_DEMANDS!O$3,'BY-Demands'!$J$5:$AK$14,MATCH($E105,'BY-Demands'!$I$5:$I$14,0),FALSE)*HLOOKUP(REG_TRA_DEMANDS!$F105,DEMANDS!$G$2:$CK$25,MATCH($E105,DEMANDS!$E$2:$E$25,0),FALSE)/HLOOKUP(2018,DEMANDS!$G$2:$CK$25,MATCH($E105,DEMANDS!$E$2:$E$25,0),FALSE)</f>
        <v>0.3804544142862426</v>
      </c>
      <c r="P105" s="18">
        <f>HLOOKUP(REG_TRA_DEMANDS!P$3,'BY-Demands'!$J$5:$AK$14,MATCH($E105,'BY-Demands'!$I$5:$I$14,0),FALSE)*HLOOKUP(REG_TRA_DEMANDS!$F105,DEMANDS!$G$2:$CK$25,MATCH($E105,DEMANDS!$E$2:$E$25,0),FALSE)/HLOOKUP(2018,DEMANDS!$G$2:$CK$25,MATCH($E105,DEMANDS!$E$2:$E$25,0),FALSE)</f>
        <v>0.43320299067725954</v>
      </c>
      <c r="Q105" s="18">
        <f>HLOOKUP(REG_TRA_DEMANDS!Q$3,'BY-Demands'!$J$5:$AK$14,MATCH($E105,'BY-Demands'!$I$5:$I$14,0),FALSE)*HLOOKUP(REG_TRA_DEMANDS!$F105,DEMANDS!$G$2:$CK$25,MATCH($E105,DEMANDS!$E$2:$E$25,0),FALSE)/HLOOKUP(2018,DEMANDS!$G$2:$CK$25,MATCH($E105,DEMANDS!$E$2:$E$25,0),FALSE)</f>
        <v>0.87557536359232202</v>
      </c>
      <c r="R105" s="18">
        <f>HLOOKUP(REG_TRA_DEMANDS!R$3,'BY-Demands'!$J$5:$AK$14,MATCH($E105,'BY-Demands'!$I$5:$I$14,0),FALSE)*HLOOKUP(REG_TRA_DEMANDS!$F105,DEMANDS!$G$2:$CK$25,MATCH($E105,DEMANDS!$E$2:$E$25,0),FALSE)/HLOOKUP(2018,DEMANDS!$G$2:$CK$25,MATCH($E105,DEMANDS!$E$2:$E$25,0),FALSE)</f>
        <v>0.57761655826072433</v>
      </c>
      <c r="S105" s="18">
        <f>HLOOKUP(REG_TRA_DEMANDS!S$3,'BY-Demands'!$J$5:$AK$14,MATCH($E105,'BY-Demands'!$I$5:$I$14,0),FALSE)*HLOOKUP(REG_TRA_DEMANDS!$F105,DEMANDS!$G$2:$CK$25,MATCH($E105,DEMANDS!$E$2:$E$25,0),FALSE)/HLOOKUP(2018,DEMANDS!$G$2:$CK$25,MATCH($E105,DEMANDS!$E$2:$E$25,0),FALSE)</f>
        <v>0.56840501824246015</v>
      </c>
      <c r="T105" s="18">
        <f>HLOOKUP(REG_TRA_DEMANDS!T$3,'BY-Demands'!$J$5:$AK$14,MATCH($E105,'BY-Demands'!$I$5:$I$14,0),FALSE)*HLOOKUP(REG_TRA_DEMANDS!$F105,DEMANDS!$G$2:$CK$25,MATCH($E105,DEMANDS!$E$2:$E$25,0),FALSE)/HLOOKUP(2018,DEMANDS!$G$2:$CK$25,MATCH($E105,DEMANDS!$E$2:$E$25,0),FALSE)</f>
        <v>3.0412771212916003</v>
      </c>
      <c r="U105" s="18">
        <f>HLOOKUP(REG_TRA_DEMANDS!U$3,'BY-Demands'!$J$5:$AK$14,MATCH($E105,'BY-Demands'!$I$5:$I$14,0),FALSE)*HLOOKUP(REG_TRA_DEMANDS!$F105,DEMANDS!$G$2:$CK$25,MATCH($E105,DEMANDS!$E$2:$E$25,0),FALSE)/HLOOKUP(2018,DEMANDS!$G$2:$CK$25,MATCH($E105,DEMANDS!$E$2:$E$25,0),FALSE)</f>
        <v>0.82749014448193159</v>
      </c>
      <c r="V105" s="18">
        <f>HLOOKUP(REG_TRA_DEMANDS!V$3,'BY-Demands'!$J$5:$AK$14,MATCH($E105,'BY-Demands'!$I$5:$I$14,0),FALSE)*HLOOKUP(REG_TRA_DEMANDS!$F105,DEMANDS!$G$2:$CK$25,MATCH($E105,DEMANDS!$E$2:$E$25,0),FALSE)/HLOOKUP(2018,DEMANDS!$G$2:$CK$25,MATCH($E105,DEMANDS!$E$2:$E$25,0),FALSE)</f>
        <v>0.93237137489111355</v>
      </c>
      <c r="W105" s="18">
        <f>HLOOKUP(REG_TRA_DEMANDS!W$3,'BY-Demands'!$J$5:$AK$14,MATCH($E105,'BY-Demands'!$I$5:$I$14,0),FALSE)*HLOOKUP(REG_TRA_DEMANDS!$F105,DEMANDS!$G$2:$CK$25,MATCH($E105,DEMANDS!$E$2:$E$25,0),FALSE)/HLOOKUP(2018,DEMANDS!$G$2:$CK$25,MATCH($E105,DEMANDS!$E$2:$E$25,0),FALSE)</f>
        <v>0.76328072477540532</v>
      </c>
      <c r="X105" s="18">
        <f>HLOOKUP(REG_TRA_DEMANDS!X$3,'BY-Demands'!$J$5:$AK$14,MATCH($E105,'BY-Demands'!$I$5:$I$14,0),FALSE)*HLOOKUP(REG_TRA_DEMANDS!$F105,DEMANDS!$G$2:$CK$25,MATCH($E105,DEMANDS!$E$2:$E$25,0),FALSE)/HLOOKUP(2018,DEMANDS!$G$2:$CK$25,MATCH($E105,DEMANDS!$E$2:$E$25,0),FALSE)</f>
        <v>0.70898462020478892</v>
      </c>
      <c r="Y105" s="18">
        <f>HLOOKUP(REG_TRA_DEMANDS!Y$3,'BY-Demands'!$J$5:$AK$14,MATCH($E105,'BY-Demands'!$I$5:$I$14,0),FALSE)*HLOOKUP(REG_TRA_DEMANDS!$F105,DEMANDS!$G$2:$CK$25,MATCH($E105,DEMANDS!$E$2:$E$25,0),FALSE)/HLOOKUP(2018,DEMANDS!$G$2:$CK$25,MATCH($E105,DEMANDS!$E$2:$E$25,0),FALSE)</f>
        <v>1.1321069974486755</v>
      </c>
      <c r="Z105" s="18">
        <f>HLOOKUP(REG_TRA_DEMANDS!Z$3,'BY-Demands'!$J$5:$AK$14,MATCH($E105,'BY-Demands'!$I$5:$I$14,0),FALSE)*HLOOKUP(REG_TRA_DEMANDS!$F105,DEMANDS!$G$2:$CK$25,MATCH($E105,DEMANDS!$E$2:$E$25,0),FALSE)/HLOOKUP(2018,DEMANDS!$G$2:$CK$25,MATCH($E105,DEMANDS!$E$2:$E$25,0),FALSE)</f>
        <v>0.15098254073712178</v>
      </c>
      <c r="AA105" s="18">
        <f>HLOOKUP(REG_TRA_DEMANDS!AA$3,'BY-Demands'!$J$5:$AK$14,MATCH($E105,'BY-Demands'!$I$5:$I$14,0),FALSE)*HLOOKUP(REG_TRA_DEMANDS!$F105,DEMANDS!$G$2:$CK$25,MATCH($E105,DEMANDS!$E$2:$E$25,0),FALSE)/HLOOKUP(2018,DEMANDS!$G$2:$CK$25,MATCH($E105,DEMANDS!$E$2:$E$25,0),FALSE)</f>
        <v>0.63762785035062131</v>
      </c>
      <c r="AB105" s="18">
        <f>HLOOKUP(REG_TRA_DEMANDS!AB$3,'BY-Demands'!$J$5:$AK$14,MATCH($E105,'BY-Demands'!$I$5:$I$14,0),FALSE)*HLOOKUP(REG_TRA_DEMANDS!$F105,DEMANDS!$G$2:$CK$25,MATCH($E105,DEMANDS!$E$2:$E$25,0),FALSE)/HLOOKUP(2018,DEMANDS!$G$2:$CK$25,MATCH($E105,DEMANDS!$E$2:$E$25,0),FALSE)</f>
        <v>0.28315616661109949</v>
      </c>
      <c r="AC105" s="18">
        <f>HLOOKUP(REG_TRA_DEMANDS!AC$3,'BY-Demands'!$J$5:$AK$14,MATCH($E105,'BY-Demands'!$I$5:$I$14,0),FALSE)*HLOOKUP(REG_TRA_DEMANDS!$F105,DEMANDS!$G$2:$CK$25,MATCH($E105,DEMANDS!$E$2:$E$25,0),FALSE)/HLOOKUP(2018,DEMANDS!$G$2:$CK$25,MATCH($E105,DEMANDS!$E$2:$E$25,0),FALSE)</f>
        <v>0.30878294867080552</v>
      </c>
      <c r="AD105" s="18">
        <f>HLOOKUP(REG_TRA_DEMANDS!AD$3,'BY-Demands'!$J$5:$AK$14,MATCH($E105,'BY-Demands'!$I$5:$I$14,0),FALSE)*HLOOKUP(REG_TRA_DEMANDS!$F105,DEMANDS!$G$2:$CK$25,MATCH($E105,DEMANDS!$E$2:$E$25,0),FALSE)/HLOOKUP(2018,DEMANDS!$G$2:$CK$25,MATCH($E105,DEMANDS!$E$2:$E$25,0),FALSE)</f>
        <v>0.35892042264358365</v>
      </c>
      <c r="AE105" s="18">
        <f>HLOOKUP(REG_TRA_DEMANDS!AE$3,'BY-Demands'!$J$5:$AK$14,MATCH($E105,'BY-Demands'!$I$5:$I$14,0),FALSE)*HLOOKUP(REG_TRA_DEMANDS!$F105,DEMANDS!$G$2:$CK$25,MATCH($E105,DEMANDS!$E$2:$E$25,0),FALSE)/HLOOKUP(2018,DEMANDS!$G$2:$CK$25,MATCH($E105,DEMANDS!$E$2:$E$25,0),FALSE)</f>
        <v>0.7500690495888116</v>
      </c>
      <c r="AF105" s="18">
        <f>HLOOKUP(REG_TRA_DEMANDS!AF$3,'BY-Demands'!$J$5:$AK$14,MATCH($E105,'BY-Demands'!$I$5:$I$14,0),FALSE)*HLOOKUP(REG_TRA_DEMANDS!$F105,DEMANDS!$G$2:$CK$25,MATCH($E105,DEMANDS!$E$2:$E$25,0),FALSE)/HLOOKUP(2018,DEMANDS!$G$2:$CK$25,MATCH($E105,DEMANDS!$E$2:$E$25,0),FALSE)</f>
        <v>0.28923399842993958</v>
      </c>
    </row>
    <row r="106" spans="4:32" ht="14.4">
      <c r="D106" t="s">
        <v>6</v>
      </c>
      <c r="E106" t="str">
        <f>DEMANDS!$E$20</f>
        <v>TRAF</v>
      </c>
      <c r="F106">
        <v>2045</v>
      </c>
      <c r="G106" s="18">
        <f>HLOOKUP(REG_TRA_DEMANDS!G$3,'BY-Demands'!$J$5:$AK$14,MATCH($E106,'BY-Demands'!$I$5:$I$14,0),FALSE)*HLOOKUP(REG_TRA_DEMANDS!$F106,DEMANDS!$G$2:$CK$25,MATCH($E106,DEMANDS!$E$2:$E$25,0),FALSE)/HLOOKUP(2018,DEMANDS!$G$2:$CK$25,MATCH($E106,DEMANDS!$E$2:$E$25,0),FALSE)</f>
        <v>0.37302893691379763</v>
      </c>
      <c r="H106" s="18">
        <f>HLOOKUP(REG_TRA_DEMANDS!H$3,'BY-Demands'!$J$5:$AK$14,MATCH($E106,'BY-Demands'!$I$5:$I$14,0),FALSE)*HLOOKUP(REG_TRA_DEMANDS!$F106,DEMANDS!$G$2:$CK$25,MATCH($E106,DEMANDS!$E$2:$E$25,0),FALSE)/HLOOKUP(2018,DEMANDS!$G$2:$CK$25,MATCH($E106,DEMANDS!$E$2:$E$25,0),FALSE)</f>
        <v>5.5714848938726664</v>
      </c>
      <c r="I106" s="18">
        <f>HLOOKUP(REG_TRA_DEMANDS!I$3,'BY-Demands'!$J$5:$AK$14,MATCH($E106,'BY-Demands'!$I$5:$I$14,0),FALSE)*HLOOKUP(REG_TRA_DEMANDS!$F106,DEMANDS!$G$2:$CK$25,MATCH($E106,DEMANDS!$E$2:$E$25,0),FALSE)/HLOOKUP(2018,DEMANDS!$G$2:$CK$25,MATCH($E106,DEMANDS!$E$2:$E$25,0),FALSE)</f>
        <v>1.011042466885254</v>
      </c>
      <c r="J106" s="18">
        <f>HLOOKUP(REG_TRA_DEMANDS!J$3,'BY-Demands'!$J$5:$AK$14,MATCH($E106,'BY-Demands'!$I$5:$I$14,0),FALSE)*HLOOKUP(REG_TRA_DEMANDS!$F106,DEMANDS!$G$2:$CK$25,MATCH($E106,DEMANDS!$E$2:$E$25,0),FALSE)/HLOOKUP(2018,DEMANDS!$G$2:$CK$25,MATCH($E106,DEMANDS!$E$2:$E$25,0),FALSE)</f>
        <v>0.65018631820118611</v>
      </c>
      <c r="K106" s="18">
        <f>HLOOKUP(REG_TRA_DEMANDS!K$3,'BY-Demands'!$J$5:$AK$14,MATCH($E106,'BY-Demands'!$I$5:$I$14,0),FALSE)*HLOOKUP(REG_TRA_DEMANDS!$F106,DEMANDS!$G$2:$CK$25,MATCH($E106,DEMANDS!$E$2:$E$25,0),FALSE)/HLOOKUP(2018,DEMANDS!$G$2:$CK$25,MATCH($E106,DEMANDS!$E$2:$E$25,0),FALSE)</f>
        <v>0.46309641884998914</v>
      </c>
      <c r="L106" s="18">
        <f>HLOOKUP(REG_TRA_DEMANDS!L$3,'BY-Demands'!$J$5:$AK$14,MATCH($E106,'BY-Demands'!$I$5:$I$14,0),FALSE)*HLOOKUP(REG_TRA_DEMANDS!$F106,DEMANDS!$G$2:$CK$25,MATCH($E106,DEMANDS!$E$2:$E$25,0),FALSE)/HLOOKUP(2018,DEMANDS!$G$2:$CK$25,MATCH($E106,DEMANDS!$E$2:$E$25,0),FALSE)</f>
        <v>0.22348064190769074</v>
      </c>
      <c r="M106" s="18">
        <f>HLOOKUP(REG_TRA_DEMANDS!M$3,'BY-Demands'!$J$5:$AK$14,MATCH($E106,'BY-Demands'!$I$5:$I$14,0),FALSE)*HLOOKUP(REG_TRA_DEMANDS!$F106,DEMANDS!$G$2:$CK$25,MATCH($E106,DEMANDS!$E$2:$E$25,0),FALSE)/HLOOKUP(2018,DEMANDS!$G$2:$CK$25,MATCH($E106,DEMANDS!$E$2:$E$25,0),FALSE)</f>
        <v>0.5856397965970912</v>
      </c>
      <c r="N106" s="18">
        <f>HLOOKUP(REG_TRA_DEMANDS!N$3,'BY-Demands'!$J$5:$AK$14,MATCH($E106,'BY-Demands'!$I$5:$I$14,0),FALSE)*HLOOKUP(REG_TRA_DEMANDS!$F106,DEMANDS!$G$2:$CK$25,MATCH($E106,DEMANDS!$E$2:$E$25,0),FALSE)/HLOOKUP(2018,DEMANDS!$G$2:$CK$25,MATCH($E106,DEMANDS!$E$2:$E$25,0),FALSE)</f>
        <v>0.90615563506727081</v>
      </c>
      <c r="O106" s="18">
        <f>HLOOKUP(REG_TRA_DEMANDS!O$3,'BY-Demands'!$J$5:$AK$14,MATCH($E106,'BY-Demands'!$I$5:$I$14,0),FALSE)*HLOOKUP(REG_TRA_DEMANDS!$F106,DEMANDS!$G$2:$CK$25,MATCH($E106,DEMANDS!$E$2:$E$25,0),FALSE)/HLOOKUP(2018,DEMANDS!$G$2:$CK$25,MATCH($E106,DEMANDS!$E$2:$E$25,0),FALSE)</f>
        <v>0.4262661004517746</v>
      </c>
      <c r="P106" s="18">
        <f>HLOOKUP(REG_TRA_DEMANDS!P$3,'BY-Demands'!$J$5:$AK$14,MATCH($E106,'BY-Demands'!$I$5:$I$14,0),FALSE)*HLOOKUP(REG_TRA_DEMANDS!$F106,DEMANDS!$G$2:$CK$25,MATCH($E106,DEMANDS!$E$2:$E$25,0),FALSE)/HLOOKUP(2018,DEMANDS!$G$2:$CK$25,MATCH($E106,DEMANDS!$E$2:$E$25,0),FALSE)</f>
        <v>0.48536629516173613</v>
      </c>
      <c r="Q106" s="18">
        <f>HLOOKUP(REG_TRA_DEMANDS!Q$3,'BY-Demands'!$J$5:$AK$14,MATCH($E106,'BY-Demands'!$I$5:$I$14,0),FALSE)*HLOOKUP(REG_TRA_DEMANDS!$F106,DEMANDS!$G$2:$CK$25,MATCH($E106,DEMANDS!$E$2:$E$25,0),FALSE)/HLOOKUP(2018,DEMANDS!$G$2:$CK$25,MATCH($E106,DEMANDS!$E$2:$E$25,0),FALSE)</f>
        <v>0.98100608607826012</v>
      </c>
      <c r="R106" s="18">
        <f>HLOOKUP(REG_TRA_DEMANDS!R$3,'BY-Demands'!$J$5:$AK$14,MATCH($E106,'BY-Demands'!$I$5:$I$14,0),FALSE)*HLOOKUP(REG_TRA_DEMANDS!$F106,DEMANDS!$G$2:$CK$25,MATCH($E106,DEMANDS!$E$2:$E$25,0),FALSE)/HLOOKUP(2018,DEMANDS!$G$2:$CK$25,MATCH($E106,DEMANDS!$E$2:$E$25,0),FALSE)</f>
        <v>0.64716914458226482</v>
      </c>
      <c r="S106" s="18">
        <f>HLOOKUP(REG_TRA_DEMANDS!S$3,'BY-Demands'!$J$5:$AK$14,MATCH($E106,'BY-Demands'!$I$5:$I$14,0),FALSE)*HLOOKUP(REG_TRA_DEMANDS!$F106,DEMANDS!$G$2:$CK$25,MATCH($E106,DEMANDS!$E$2:$E$25,0),FALSE)/HLOOKUP(2018,DEMANDS!$G$2:$CK$25,MATCH($E106,DEMANDS!$E$2:$E$25,0),FALSE)</f>
        <v>0.6368484146990081</v>
      </c>
      <c r="T106" s="18">
        <f>HLOOKUP(REG_TRA_DEMANDS!T$3,'BY-Demands'!$J$5:$AK$14,MATCH($E106,'BY-Demands'!$I$5:$I$14,0),FALSE)*HLOOKUP(REG_TRA_DEMANDS!$F106,DEMANDS!$G$2:$CK$25,MATCH($E106,DEMANDS!$E$2:$E$25,0),FALSE)/HLOOKUP(2018,DEMANDS!$G$2:$CK$25,MATCH($E106,DEMANDS!$E$2:$E$25,0),FALSE)</f>
        <v>3.4074866533439701</v>
      </c>
      <c r="U106" s="18">
        <f>HLOOKUP(REG_TRA_DEMANDS!U$3,'BY-Demands'!$J$5:$AK$14,MATCH($E106,'BY-Demands'!$I$5:$I$14,0),FALSE)*HLOOKUP(REG_TRA_DEMANDS!$F106,DEMANDS!$G$2:$CK$25,MATCH($E106,DEMANDS!$E$2:$E$25,0),FALSE)/HLOOKUP(2018,DEMANDS!$G$2:$CK$25,MATCH($E106,DEMANDS!$E$2:$E$25,0),FALSE)</f>
        <v>0.92713077784189979</v>
      </c>
      <c r="V106" s="18">
        <f>HLOOKUP(REG_TRA_DEMANDS!V$3,'BY-Demands'!$J$5:$AK$14,MATCH($E106,'BY-Demands'!$I$5:$I$14,0),FALSE)*HLOOKUP(REG_TRA_DEMANDS!$F106,DEMANDS!$G$2:$CK$25,MATCH($E106,DEMANDS!$E$2:$E$25,0),FALSE)/HLOOKUP(2018,DEMANDS!$G$2:$CK$25,MATCH($E106,DEMANDS!$E$2:$E$25,0),FALSE)</f>
        <v>1.0446410797816994</v>
      </c>
      <c r="W106" s="18">
        <f>HLOOKUP(REG_TRA_DEMANDS!W$3,'BY-Demands'!$J$5:$AK$14,MATCH($E106,'BY-Demands'!$I$5:$I$14,0),FALSE)*HLOOKUP(REG_TRA_DEMANDS!$F106,DEMANDS!$G$2:$CK$25,MATCH($E106,DEMANDS!$E$2:$E$25,0),FALSE)/HLOOKUP(2018,DEMANDS!$G$2:$CK$25,MATCH($E106,DEMANDS!$E$2:$E$25,0),FALSE)</f>
        <v>0.85518970442336473</v>
      </c>
      <c r="X106" s="18">
        <f>HLOOKUP(REG_TRA_DEMANDS!X$3,'BY-Demands'!$J$5:$AK$14,MATCH($E106,'BY-Demands'!$I$5:$I$14,0),FALSE)*HLOOKUP(REG_TRA_DEMANDS!$F106,DEMANDS!$G$2:$CK$25,MATCH($E106,DEMANDS!$E$2:$E$25,0),FALSE)/HLOOKUP(2018,DEMANDS!$G$2:$CK$25,MATCH($E106,DEMANDS!$E$2:$E$25,0),FALSE)</f>
        <v>0.79435563890605665</v>
      </c>
      <c r="Y106" s="18">
        <f>HLOOKUP(REG_TRA_DEMANDS!Y$3,'BY-Demands'!$J$5:$AK$14,MATCH($E106,'BY-Demands'!$I$5:$I$14,0),FALSE)*HLOOKUP(REG_TRA_DEMANDS!$F106,DEMANDS!$G$2:$CK$25,MATCH($E106,DEMANDS!$E$2:$E$25,0),FALSE)/HLOOKUP(2018,DEMANDS!$G$2:$CK$25,MATCH($E106,DEMANDS!$E$2:$E$25,0),FALSE)</f>
        <v>1.2684274829665558</v>
      </c>
      <c r="Z106" s="18">
        <f>HLOOKUP(REG_TRA_DEMANDS!Z$3,'BY-Demands'!$J$5:$AK$14,MATCH($E106,'BY-Demands'!$I$5:$I$14,0),FALSE)*HLOOKUP(REG_TRA_DEMANDS!$F106,DEMANDS!$G$2:$CK$25,MATCH($E106,DEMANDS!$E$2:$E$25,0),FALSE)/HLOOKUP(2018,DEMANDS!$G$2:$CK$25,MATCH($E106,DEMANDS!$E$2:$E$25,0),FALSE)</f>
        <v>0.16916281283542289</v>
      </c>
      <c r="AA106" s="18">
        <f>HLOOKUP(REG_TRA_DEMANDS!AA$3,'BY-Demands'!$J$5:$AK$14,MATCH($E106,'BY-Demands'!$I$5:$I$14,0),FALSE)*HLOOKUP(REG_TRA_DEMANDS!$F106,DEMANDS!$G$2:$CK$25,MATCH($E106,DEMANDS!$E$2:$E$25,0),FALSE)/HLOOKUP(2018,DEMANDS!$G$2:$CK$25,MATCH($E106,DEMANDS!$E$2:$E$25,0),FALSE)</f>
        <v>0.71440658092591713</v>
      </c>
      <c r="AB106" s="18">
        <f>HLOOKUP(REG_TRA_DEMANDS!AB$3,'BY-Demands'!$J$5:$AK$14,MATCH($E106,'BY-Demands'!$I$5:$I$14,0),FALSE)*HLOOKUP(REG_TRA_DEMANDS!$F106,DEMANDS!$G$2:$CK$25,MATCH($E106,DEMANDS!$E$2:$E$25,0),FALSE)/HLOOKUP(2018,DEMANDS!$G$2:$CK$25,MATCH($E106,DEMANDS!$E$2:$E$25,0),FALSE)</f>
        <v>0.31725187151955431</v>
      </c>
      <c r="AC106" s="18">
        <f>HLOOKUP(REG_TRA_DEMANDS!AC$3,'BY-Demands'!$J$5:$AK$14,MATCH($E106,'BY-Demands'!$I$5:$I$14,0),FALSE)*HLOOKUP(REG_TRA_DEMANDS!$F106,DEMANDS!$G$2:$CK$25,MATCH($E106,DEMANDS!$E$2:$E$25,0),FALSE)/HLOOKUP(2018,DEMANDS!$G$2:$CK$25,MATCH($E106,DEMANDS!$E$2:$E$25,0),FALSE)</f>
        <v>0.34596445322585995</v>
      </c>
      <c r="AD106" s="18">
        <f>HLOOKUP(REG_TRA_DEMANDS!AD$3,'BY-Demands'!$J$5:$AK$14,MATCH($E106,'BY-Demands'!$I$5:$I$14,0),FALSE)*HLOOKUP(REG_TRA_DEMANDS!$F106,DEMANDS!$G$2:$CK$25,MATCH($E106,DEMANDS!$E$2:$E$25,0),FALSE)/HLOOKUP(2018,DEMANDS!$G$2:$CK$25,MATCH($E106,DEMANDS!$E$2:$E$25,0),FALSE)</f>
        <v>0.402139134644588</v>
      </c>
      <c r="AE106" s="18">
        <f>HLOOKUP(REG_TRA_DEMANDS!AE$3,'BY-Demands'!$J$5:$AK$14,MATCH($E106,'BY-Demands'!$I$5:$I$14,0),FALSE)*HLOOKUP(REG_TRA_DEMANDS!$F106,DEMANDS!$G$2:$CK$25,MATCH($E106,DEMANDS!$E$2:$E$25,0),FALSE)/HLOOKUP(2018,DEMANDS!$G$2:$CK$25,MATCH($E106,DEMANDS!$E$2:$E$25,0),FALSE)</f>
        <v>0.84038717079317882</v>
      </c>
      <c r="AF106" s="18">
        <f>HLOOKUP(REG_TRA_DEMANDS!AF$3,'BY-Demands'!$J$5:$AK$14,MATCH($E106,'BY-Demands'!$I$5:$I$14,0),FALSE)*HLOOKUP(REG_TRA_DEMANDS!$F106,DEMANDS!$G$2:$CK$25,MATCH($E106,DEMANDS!$E$2:$E$25,0),FALSE)/HLOOKUP(2018,DEMANDS!$G$2:$CK$25,MATCH($E106,DEMANDS!$E$2:$E$25,0),FALSE)</f>
        <v>0.32406155376093176</v>
      </c>
    </row>
    <row r="107" spans="4:32" ht="14.4">
      <c r="D107" t="s">
        <v>6</v>
      </c>
      <c r="E107" t="str">
        <f>DEMANDS!$E$20</f>
        <v>TRAF</v>
      </c>
      <c r="F107">
        <v>2050</v>
      </c>
      <c r="G107" s="18">
        <f>HLOOKUP(REG_TRA_DEMANDS!G$3,'BY-Demands'!$J$5:$AK$14,MATCH($E107,'BY-Demands'!$I$5:$I$14,0),FALSE)*HLOOKUP(REG_TRA_DEMANDS!$F107,DEMANDS!$G$2:$CK$25,MATCH($E107,DEMANDS!$E$2:$E$25,0),FALSE)/HLOOKUP(2018,DEMANDS!$G$2:$CK$25,MATCH($E107,DEMANDS!$E$2:$E$25,0),FALSE)</f>
        <v>0.41794649851080828</v>
      </c>
      <c r="H107" s="18">
        <f>HLOOKUP(REG_TRA_DEMANDS!H$3,'BY-Demands'!$J$5:$AK$14,MATCH($E107,'BY-Demands'!$I$5:$I$14,0),FALSE)*HLOOKUP(REG_TRA_DEMANDS!$F107,DEMANDS!$G$2:$CK$25,MATCH($E107,DEMANDS!$E$2:$E$25,0),FALSE)/HLOOKUP(2018,DEMANDS!$G$2:$CK$25,MATCH($E107,DEMANDS!$E$2:$E$25,0),FALSE)</f>
        <v>6.2423645258331524</v>
      </c>
      <c r="I107" s="18">
        <f>HLOOKUP(REG_TRA_DEMANDS!I$3,'BY-Demands'!$J$5:$AK$14,MATCH($E107,'BY-Demands'!$I$5:$I$14,0),FALSE)*HLOOKUP(REG_TRA_DEMANDS!$F107,DEMANDS!$G$2:$CK$25,MATCH($E107,DEMANDS!$E$2:$E$25,0),FALSE)/HLOOKUP(2018,DEMANDS!$G$2:$CK$25,MATCH($E107,DEMANDS!$E$2:$E$25,0),FALSE)</f>
        <v>1.1327851999269176</v>
      </c>
      <c r="J107" s="18">
        <f>HLOOKUP(REG_TRA_DEMANDS!J$3,'BY-Demands'!$J$5:$AK$14,MATCH($E107,'BY-Demands'!$I$5:$I$14,0),FALSE)*HLOOKUP(REG_TRA_DEMANDS!$F107,DEMANDS!$G$2:$CK$25,MATCH($E107,DEMANDS!$E$2:$E$25,0),FALSE)/HLOOKUP(2018,DEMANDS!$G$2:$CK$25,MATCH($E107,DEMANDS!$E$2:$E$25,0),FALSE)</f>
        <v>0.72847725251571149</v>
      </c>
      <c r="K107" s="18">
        <f>HLOOKUP(REG_TRA_DEMANDS!K$3,'BY-Demands'!$J$5:$AK$14,MATCH($E107,'BY-Demands'!$I$5:$I$14,0),FALSE)*HLOOKUP(REG_TRA_DEMANDS!$F107,DEMANDS!$G$2:$CK$25,MATCH($E107,DEMANDS!$E$2:$E$25,0),FALSE)/HLOOKUP(2018,DEMANDS!$G$2:$CK$25,MATCH($E107,DEMANDS!$E$2:$E$25,0),FALSE)</f>
        <v>0.51885928296220762</v>
      </c>
      <c r="L107" s="18">
        <f>HLOOKUP(REG_TRA_DEMANDS!L$3,'BY-Demands'!$J$5:$AK$14,MATCH($E107,'BY-Demands'!$I$5:$I$14,0),FALSE)*HLOOKUP(REG_TRA_DEMANDS!$F107,DEMANDS!$G$2:$CK$25,MATCH($E107,DEMANDS!$E$2:$E$25,0),FALSE)/HLOOKUP(2018,DEMANDS!$G$2:$CK$25,MATCH($E107,DEMANDS!$E$2:$E$25,0),FALSE)</f>
        <v>0.25039063334609724</v>
      </c>
      <c r="M107" s="18">
        <f>HLOOKUP(REG_TRA_DEMANDS!M$3,'BY-Demands'!$J$5:$AK$14,MATCH($E107,'BY-Demands'!$I$5:$I$14,0),FALSE)*HLOOKUP(REG_TRA_DEMANDS!$F107,DEMANDS!$G$2:$CK$25,MATCH($E107,DEMANDS!$E$2:$E$25,0),FALSE)/HLOOKUP(2018,DEMANDS!$G$2:$CK$25,MATCH($E107,DEMANDS!$E$2:$E$25,0),FALSE)</f>
        <v>0.65615848572331714</v>
      </c>
      <c r="N107" s="18">
        <f>HLOOKUP(REG_TRA_DEMANDS!N$3,'BY-Demands'!$J$5:$AK$14,MATCH($E107,'BY-Demands'!$I$5:$I$14,0),FALSE)*HLOOKUP(REG_TRA_DEMANDS!$F107,DEMANDS!$G$2:$CK$25,MATCH($E107,DEMANDS!$E$2:$E$25,0),FALSE)/HLOOKUP(2018,DEMANDS!$G$2:$CK$25,MATCH($E107,DEMANDS!$E$2:$E$25,0),FALSE)</f>
        <v>1.0152686220954548</v>
      </c>
      <c r="O107" s="18">
        <f>HLOOKUP(REG_TRA_DEMANDS!O$3,'BY-Demands'!$J$5:$AK$14,MATCH($E107,'BY-Demands'!$I$5:$I$14,0),FALSE)*HLOOKUP(REG_TRA_DEMANDS!$F107,DEMANDS!$G$2:$CK$25,MATCH($E107,DEMANDS!$E$2:$E$25,0),FALSE)/HLOOKUP(2018,DEMANDS!$G$2:$CK$25,MATCH($E107,DEMANDS!$E$2:$E$25,0),FALSE)</f>
        <v>0.47759411264881413</v>
      </c>
      <c r="P107" s="18">
        <f>HLOOKUP(REG_TRA_DEMANDS!P$3,'BY-Demands'!$J$5:$AK$14,MATCH($E107,'BY-Demands'!$I$5:$I$14,0),FALSE)*HLOOKUP(REG_TRA_DEMANDS!$F107,DEMANDS!$G$2:$CK$25,MATCH($E107,DEMANDS!$E$2:$E$25,0),FALSE)/HLOOKUP(2018,DEMANDS!$G$2:$CK$25,MATCH($E107,DEMANDS!$E$2:$E$25,0),FALSE)</f>
        <v>0.54381074357480441</v>
      </c>
      <c r="Q107" s="18">
        <f>HLOOKUP(REG_TRA_DEMANDS!Q$3,'BY-Demands'!$J$5:$AK$14,MATCH($E107,'BY-Demands'!$I$5:$I$14,0),FALSE)*HLOOKUP(REG_TRA_DEMANDS!$F107,DEMANDS!$G$2:$CK$25,MATCH($E107,DEMANDS!$E$2:$E$25,0),FALSE)/HLOOKUP(2018,DEMANDS!$G$2:$CK$25,MATCH($E107,DEMANDS!$E$2:$E$25,0),FALSE)</f>
        <v>1.0991320461258189</v>
      </c>
      <c r="R107" s="18">
        <f>HLOOKUP(REG_TRA_DEMANDS!R$3,'BY-Demands'!$J$5:$AK$14,MATCH($E107,'BY-Demands'!$I$5:$I$14,0),FALSE)*HLOOKUP(REG_TRA_DEMANDS!$F107,DEMANDS!$G$2:$CK$25,MATCH($E107,DEMANDS!$E$2:$E$25,0),FALSE)/HLOOKUP(2018,DEMANDS!$G$2:$CK$25,MATCH($E107,DEMANDS!$E$2:$E$25,0),FALSE)</f>
        <v>0.72509677174159193</v>
      </c>
      <c r="S107" s="18">
        <f>HLOOKUP(REG_TRA_DEMANDS!S$3,'BY-Demands'!$J$5:$AK$14,MATCH($E107,'BY-Demands'!$I$5:$I$14,0),FALSE)*HLOOKUP(REG_TRA_DEMANDS!$F107,DEMANDS!$G$2:$CK$25,MATCH($E107,DEMANDS!$E$2:$E$25,0),FALSE)/HLOOKUP(2018,DEMANDS!$G$2:$CK$25,MATCH($E107,DEMANDS!$E$2:$E$25,0),FALSE)</f>
        <v>0.71353329103022867</v>
      </c>
      <c r="T107" s="18">
        <f>HLOOKUP(REG_TRA_DEMANDS!T$3,'BY-Demands'!$J$5:$AK$14,MATCH($E107,'BY-Demands'!$I$5:$I$14,0),FALSE)*HLOOKUP(REG_TRA_DEMANDS!$F107,DEMANDS!$G$2:$CK$25,MATCH($E107,DEMANDS!$E$2:$E$25,0),FALSE)/HLOOKUP(2018,DEMANDS!$G$2:$CK$25,MATCH($E107,DEMANDS!$E$2:$E$25,0),FALSE)</f>
        <v>3.8177926014799421</v>
      </c>
      <c r="U107" s="18">
        <f>HLOOKUP(REG_TRA_DEMANDS!U$3,'BY-Demands'!$J$5:$AK$14,MATCH($E107,'BY-Demands'!$I$5:$I$14,0),FALSE)*HLOOKUP(REG_TRA_DEMANDS!$F107,DEMANDS!$G$2:$CK$25,MATCH($E107,DEMANDS!$E$2:$E$25,0),FALSE)/HLOOKUP(2018,DEMANDS!$G$2:$CK$25,MATCH($E107,DEMANDS!$E$2:$E$25,0),FALSE)</f>
        <v>1.038769446323593</v>
      </c>
      <c r="V107" s="18">
        <f>HLOOKUP(REG_TRA_DEMANDS!V$3,'BY-Demands'!$J$5:$AK$14,MATCH($E107,'BY-Demands'!$I$5:$I$14,0),FALSE)*HLOOKUP(REG_TRA_DEMANDS!$F107,DEMANDS!$G$2:$CK$25,MATCH($E107,DEMANDS!$E$2:$E$25,0),FALSE)/HLOOKUP(2018,DEMANDS!$G$2:$CK$25,MATCH($E107,DEMANDS!$E$2:$E$25,0),FALSE)</f>
        <v>1.1704295251395069</v>
      </c>
      <c r="W107" s="18">
        <f>HLOOKUP(REG_TRA_DEMANDS!W$3,'BY-Demands'!$J$5:$AK$14,MATCH($E107,'BY-Demands'!$I$5:$I$14,0),FALSE)*HLOOKUP(REG_TRA_DEMANDS!$F107,DEMANDS!$G$2:$CK$25,MATCH($E107,DEMANDS!$E$2:$E$25,0),FALSE)/HLOOKUP(2018,DEMANDS!$G$2:$CK$25,MATCH($E107,DEMANDS!$E$2:$E$25,0),FALSE)</f>
        <v>0.95816572698979274</v>
      </c>
      <c r="X107" s="18">
        <f>HLOOKUP(REG_TRA_DEMANDS!X$3,'BY-Demands'!$J$5:$AK$14,MATCH($E107,'BY-Demands'!$I$5:$I$14,0),FALSE)*HLOOKUP(REG_TRA_DEMANDS!$F107,DEMANDS!$G$2:$CK$25,MATCH($E107,DEMANDS!$E$2:$E$25,0),FALSE)/HLOOKUP(2018,DEMANDS!$G$2:$CK$25,MATCH($E107,DEMANDS!$E$2:$E$25,0),FALSE)</f>
        <v>0.8900064445397784</v>
      </c>
      <c r="Y107" s="18">
        <f>HLOOKUP(REG_TRA_DEMANDS!Y$3,'BY-Demands'!$J$5:$AK$14,MATCH($E107,'BY-Demands'!$I$5:$I$14,0),FALSE)*HLOOKUP(REG_TRA_DEMANDS!$F107,DEMANDS!$G$2:$CK$25,MATCH($E107,DEMANDS!$E$2:$E$25,0),FALSE)/HLOOKUP(2018,DEMANDS!$G$2:$CK$25,MATCH($E107,DEMANDS!$E$2:$E$25,0),FALSE)</f>
        <v>1.4211627374185651</v>
      </c>
      <c r="Z107" s="18">
        <f>HLOOKUP(REG_TRA_DEMANDS!Z$3,'BY-Demands'!$J$5:$AK$14,MATCH($E107,'BY-Demands'!$I$5:$I$14,0),FALSE)*HLOOKUP(REG_TRA_DEMANDS!$F107,DEMANDS!$G$2:$CK$25,MATCH($E107,DEMANDS!$E$2:$E$25,0),FALSE)/HLOOKUP(2018,DEMANDS!$G$2:$CK$25,MATCH($E107,DEMANDS!$E$2:$E$25,0),FALSE)</f>
        <v>0.18953222741307688</v>
      </c>
      <c r="AA107" s="18">
        <f>HLOOKUP(REG_TRA_DEMANDS!AA$3,'BY-Demands'!$J$5:$AK$14,MATCH($E107,'BY-Demands'!$I$5:$I$14,0),FALSE)*HLOOKUP(REG_TRA_DEMANDS!$F107,DEMANDS!$G$2:$CK$25,MATCH($E107,DEMANDS!$E$2:$E$25,0),FALSE)/HLOOKUP(2018,DEMANDS!$G$2:$CK$25,MATCH($E107,DEMANDS!$E$2:$E$25,0),FALSE)</f>
        <v>0.80043047459362238</v>
      </c>
      <c r="AB107" s="18">
        <f>HLOOKUP(REG_TRA_DEMANDS!AB$3,'BY-Demands'!$J$5:$AK$14,MATCH($E107,'BY-Demands'!$I$5:$I$14,0),FALSE)*HLOOKUP(REG_TRA_DEMANDS!$F107,DEMANDS!$G$2:$CK$25,MATCH($E107,DEMANDS!$E$2:$E$25,0),FALSE)/HLOOKUP(2018,DEMANDS!$G$2:$CK$25,MATCH($E107,DEMANDS!$E$2:$E$25,0),FALSE)</f>
        <v>0.35545314512219583</v>
      </c>
      <c r="AC107" s="18">
        <f>HLOOKUP(REG_TRA_DEMANDS!AC$3,'BY-Demands'!$J$5:$AK$14,MATCH($E107,'BY-Demands'!$I$5:$I$14,0),FALSE)*HLOOKUP(REG_TRA_DEMANDS!$F107,DEMANDS!$G$2:$CK$25,MATCH($E107,DEMANDS!$E$2:$E$25,0),FALSE)/HLOOKUP(2018,DEMANDS!$G$2:$CK$25,MATCH($E107,DEMANDS!$E$2:$E$25,0),FALSE)</f>
        <v>0.38762309710136106</v>
      </c>
      <c r="AD107" s="18">
        <f>HLOOKUP(REG_TRA_DEMANDS!AD$3,'BY-Demands'!$J$5:$AK$14,MATCH($E107,'BY-Demands'!$I$5:$I$14,0),FALSE)*HLOOKUP(REG_TRA_DEMANDS!$F107,DEMANDS!$G$2:$CK$25,MATCH($E107,DEMANDS!$E$2:$E$25,0),FALSE)/HLOOKUP(2018,DEMANDS!$G$2:$CK$25,MATCH($E107,DEMANDS!$E$2:$E$25,0),FALSE)</f>
        <v>0.45056194468289085</v>
      </c>
      <c r="AE107" s="18">
        <f>HLOOKUP(REG_TRA_DEMANDS!AE$3,'BY-Demands'!$J$5:$AK$14,MATCH($E107,'BY-Demands'!$I$5:$I$14,0),FALSE)*HLOOKUP(REG_TRA_DEMANDS!$F107,DEMANDS!$G$2:$CK$25,MATCH($E107,DEMANDS!$E$2:$E$25,0),FALSE)/HLOOKUP(2018,DEMANDS!$G$2:$CK$25,MATCH($E107,DEMANDS!$E$2:$E$25,0),FALSE)</f>
        <v>0.94158077475791158</v>
      </c>
      <c r="AF107" s="18">
        <f>HLOOKUP(REG_TRA_DEMANDS!AF$3,'BY-Demands'!$J$5:$AK$14,MATCH($E107,'BY-Demands'!$I$5:$I$14,0),FALSE)*HLOOKUP(REG_TRA_DEMANDS!$F107,DEMANDS!$G$2:$CK$25,MATCH($E107,DEMANDS!$E$2:$E$25,0),FALSE)/HLOOKUP(2018,DEMANDS!$G$2:$CK$25,MATCH($E107,DEMANDS!$E$2:$E$25,0),FALSE)</f>
        <v>0.36308280214639782</v>
      </c>
    </row>
    <row r="108" spans="4:32" ht="14.4">
      <c r="D108" t="s">
        <v>6</v>
      </c>
      <c r="E108" t="str">
        <f>DEMANDS!$E$20</f>
        <v>TRAF</v>
      </c>
      <c r="F108">
        <v>2055</v>
      </c>
      <c r="G108" s="18">
        <f>HLOOKUP(REG_TRA_DEMANDS!G$3,'BY-Demands'!$J$5:$AK$14,MATCH($E108,'BY-Demands'!$I$5:$I$14,0),FALSE)*HLOOKUP(REG_TRA_DEMANDS!$F108,DEMANDS!$G$2:$CK$25,MATCH($E108,DEMANDS!$E$2:$E$25,0),FALSE)/HLOOKUP(2018,DEMANDS!$G$2:$CK$25,MATCH($E108,DEMANDS!$E$2:$E$25,0),FALSE)</f>
        <v>0.4682727218500245</v>
      </c>
      <c r="H108" s="18">
        <f>HLOOKUP(REG_TRA_DEMANDS!H$3,'BY-Demands'!$J$5:$AK$14,MATCH($E108,'BY-Demands'!$I$5:$I$14,0),FALSE)*HLOOKUP(REG_TRA_DEMANDS!$F108,DEMANDS!$G$2:$CK$25,MATCH($E108,DEMANDS!$E$2:$E$25,0),FALSE)/HLOOKUP(2018,DEMANDS!$G$2:$CK$25,MATCH($E108,DEMANDS!$E$2:$E$25,0),FALSE)</f>
        <v>6.9940268376631325</v>
      </c>
      <c r="I108" s="18">
        <f>HLOOKUP(REG_TRA_DEMANDS!I$3,'BY-Demands'!$J$5:$AK$14,MATCH($E108,'BY-Demands'!$I$5:$I$14,0),FALSE)*HLOOKUP(REG_TRA_DEMANDS!$F108,DEMANDS!$G$2:$CK$25,MATCH($E108,DEMANDS!$E$2:$E$25,0),FALSE)/HLOOKUP(2018,DEMANDS!$G$2:$CK$25,MATCH($E108,DEMANDS!$E$2:$E$25,0),FALSE)</f>
        <v>1.2691873498911108</v>
      </c>
      <c r="J108" s="18">
        <f>HLOOKUP(REG_TRA_DEMANDS!J$3,'BY-Demands'!$J$5:$AK$14,MATCH($E108,'BY-Demands'!$I$5:$I$14,0),FALSE)*HLOOKUP(REG_TRA_DEMANDS!$F108,DEMANDS!$G$2:$CK$25,MATCH($E108,DEMANDS!$E$2:$E$25,0),FALSE)/HLOOKUP(2018,DEMANDS!$G$2:$CK$25,MATCH($E108,DEMANDS!$E$2:$E$25,0),FALSE)</f>
        <v>0.81619543902588321</v>
      </c>
      <c r="K108" s="18">
        <f>HLOOKUP(REG_TRA_DEMANDS!K$3,'BY-Demands'!$J$5:$AK$14,MATCH($E108,'BY-Demands'!$I$5:$I$14,0),FALSE)*HLOOKUP(REG_TRA_DEMANDS!$F108,DEMANDS!$G$2:$CK$25,MATCH($E108,DEMANDS!$E$2:$E$25,0),FALSE)/HLOOKUP(2018,DEMANDS!$G$2:$CK$25,MATCH($E108,DEMANDS!$E$2:$E$25,0),FALSE)</f>
        <v>0.58133672504874867</v>
      </c>
      <c r="L108" s="18">
        <f>HLOOKUP(REG_TRA_DEMANDS!L$3,'BY-Demands'!$J$5:$AK$14,MATCH($E108,'BY-Demands'!$I$5:$I$14,0),FALSE)*HLOOKUP(REG_TRA_DEMANDS!$F108,DEMANDS!$G$2:$CK$25,MATCH($E108,DEMANDS!$E$2:$E$25,0),FALSE)/HLOOKUP(2018,DEMANDS!$G$2:$CK$25,MATCH($E108,DEMANDS!$E$2:$E$25,0),FALSE)</f>
        <v>0.28054093961908444</v>
      </c>
      <c r="M108" s="18">
        <f>HLOOKUP(REG_TRA_DEMANDS!M$3,'BY-Demands'!$J$5:$AK$14,MATCH($E108,'BY-Demands'!$I$5:$I$14,0),FALSE)*HLOOKUP(REG_TRA_DEMANDS!$F108,DEMANDS!$G$2:$CK$25,MATCH($E108,DEMANDS!$E$2:$E$25,0),FALSE)/HLOOKUP(2018,DEMANDS!$G$2:$CK$25,MATCH($E108,DEMANDS!$E$2:$E$25,0),FALSE)</f>
        <v>0.73516854709742763</v>
      </c>
      <c r="N108" s="18">
        <f>HLOOKUP(REG_TRA_DEMANDS!N$3,'BY-Demands'!$J$5:$AK$14,MATCH($E108,'BY-Demands'!$I$5:$I$14,0),FALSE)*HLOOKUP(REG_TRA_DEMANDS!$F108,DEMANDS!$G$2:$CK$25,MATCH($E108,DEMANDS!$E$2:$E$25,0),FALSE)/HLOOKUP(2018,DEMANDS!$G$2:$CK$25,MATCH($E108,DEMANDS!$E$2:$E$25,0),FALSE)</f>
        <v>1.1375202394841162</v>
      </c>
      <c r="O108" s="18">
        <f>HLOOKUP(REG_TRA_DEMANDS!O$3,'BY-Demands'!$J$5:$AK$14,MATCH($E108,'BY-Demands'!$I$5:$I$14,0),FALSE)*HLOOKUP(REG_TRA_DEMANDS!$F108,DEMANDS!$G$2:$CK$25,MATCH($E108,DEMANDS!$E$2:$E$25,0),FALSE)/HLOOKUP(2018,DEMANDS!$G$2:$CK$25,MATCH($E108,DEMANDS!$E$2:$E$25,0),FALSE)</f>
        <v>0.53510268866105559</v>
      </c>
      <c r="P108" s="18">
        <f>HLOOKUP(REG_TRA_DEMANDS!P$3,'BY-Demands'!$J$5:$AK$14,MATCH($E108,'BY-Demands'!$I$5:$I$14,0),FALSE)*HLOOKUP(REG_TRA_DEMANDS!$F108,DEMANDS!$G$2:$CK$25,MATCH($E108,DEMANDS!$E$2:$E$25,0),FALSE)/HLOOKUP(2018,DEMANDS!$G$2:$CK$25,MATCH($E108,DEMANDS!$E$2:$E$25,0),FALSE)</f>
        <v>0.60929266777545188</v>
      </c>
      <c r="Q108" s="18">
        <f>HLOOKUP(REG_TRA_DEMANDS!Q$3,'BY-Demands'!$J$5:$AK$14,MATCH($E108,'BY-Demands'!$I$5:$I$14,0),FALSE)*HLOOKUP(REG_TRA_DEMANDS!$F108,DEMANDS!$G$2:$CK$25,MATCH($E108,DEMANDS!$E$2:$E$25,0),FALSE)/HLOOKUP(2018,DEMANDS!$G$2:$CK$25,MATCH($E108,DEMANDS!$E$2:$E$25,0),FALSE)</f>
        <v>1.2314819163357906</v>
      </c>
      <c r="R108" s="18">
        <f>HLOOKUP(REG_TRA_DEMANDS!R$3,'BY-Demands'!$J$5:$AK$14,MATCH($E108,'BY-Demands'!$I$5:$I$14,0),FALSE)*HLOOKUP(REG_TRA_DEMANDS!$F108,DEMANDS!$G$2:$CK$25,MATCH($E108,DEMANDS!$E$2:$E$25,0),FALSE)/HLOOKUP(2018,DEMANDS!$G$2:$CK$25,MATCH($E108,DEMANDS!$E$2:$E$25,0),FALSE)</f>
        <v>0.81240790416460551</v>
      </c>
      <c r="S108" s="18">
        <f>HLOOKUP(REG_TRA_DEMANDS!S$3,'BY-Demands'!$J$5:$AK$14,MATCH($E108,'BY-Demands'!$I$5:$I$14,0),FALSE)*HLOOKUP(REG_TRA_DEMANDS!$F108,DEMANDS!$G$2:$CK$25,MATCH($E108,DEMANDS!$E$2:$E$25,0),FALSE)/HLOOKUP(2018,DEMANDS!$G$2:$CK$25,MATCH($E108,DEMANDS!$E$2:$E$25,0),FALSE)</f>
        <v>0.79945202917566771</v>
      </c>
      <c r="T108" s="18">
        <f>HLOOKUP(REG_TRA_DEMANDS!T$3,'BY-Demands'!$J$5:$AK$14,MATCH($E108,'BY-Demands'!$I$5:$I$14,0),FALSE)*HLOOKUP(REG_TRA_DEMANDS!$F108,DEMANDS!$G$2:$CK$25,MATCH($E108,DEMANDS!$E$2:$E$25,0),FALSE)/HLOOKUP(2018,DEMANDS!$G$2:$CK$25,MATCH($E108,DEMANDS!$E$2:$E$25,0),FALSE)</f>
        <v>4.277504750784904</v>
      </c>
      <c r="U108" s="18">
        <f>HLOOKUP(REG_TRA_DEMANDS!U$3,'BY-Demands'!$J$5:$AK$14,MATCH($E108,'BY-Demands'!$I$5:$I$14,0),FALSE)*HLOOKUP(REG_TRA_DEMANDS!$F108,DEMANDS!$G$2:$CK$25,MATCH($E108,DEMANDS!$E$2:$E$25,0),FALSE)/HLOOKUP(2018,DEMANDS!$G$2:$CK$25,MATCH($E108,DEMANDS!$E$2:$E$25,0),FALSE)</f>
        <v>1.1638508702376713</v>
      </c>
      <c r="V108" s="18">
        <f>HLOOKUP(REG_TRA_DEMANDS!V$3,'BY-Demands'!$J$5:$AK$14,MATCH($E108,'BY-Demands'!$I$5:$I$14,0),FALSE)*HLOOKUP(REG_TRA_DEMANDS!$F108,DEMANDS!$G$2:$CK$25,MATCH($E108,DEMANDS!$E$2:$E$25,0),FALSE)/HLOOKUP(2018,DEMANDS!$G$2:$CK$25,MATCH($E108,DEMANDS!$E$2:$E$25,0),FALSE)</f>
        <v>1.3113645440829909</v>
      </c>
      <c r="W108" s="18">
        <f>HLOOKUP(REG_TRA_DEMANDS!W$3,'BY-Demands'!$J$5:$AK$14,MATCH($E108,'BY-Demands'!$I$5:$I$14,0),FALSE)*HLOOKUP(REG_TRA_DEMANDS!$F108,DEMANDS!$G$2:$CK$25,MATCH($E108,DEMANDS!$E$2:$E$25,0),FALSE)/HLOOKUP(2018,DEMANDS!$G$2:$CK$25,MATCH($E108,DEMANDS!$E$2:$E$25,0),FALSE)</f>
        <v>1.0735414091507565</v>
      </c>
      <c r="X108" s="18">
        <f>HLOOKUP(REG_TRA_DEMANDS!X$3,'BY-Demands'!$J$5:$AK$14,MATCH($E108,'BY-Demands'!$I$5:$I$14,0),FALSE)*HLOOKUP(REG_TRA_DEMANDS!$F108,DEMANDS!$G$2:$CK$25,MATCH($E108,DEMANDS!$E$2:$E$25,0),FALSE)/HLOOKUP(2018,DEMANDS!$G$2:$CK$25,MATCH($E108,DEMANDS!$E$2:$E$25,0),FALSE)</f>
        <v>0.9971748578674291</v>
      </c>
      <c r="Y108" s="18">
        <f>HLOOKUP(REG_TRA_DEMANDS!Y$3,'BY-Demands'!$J$5:$AK$14,MATCH($E108,'BY-Demands'!$I$5:$I$14,0),FALSE)*HLOOKUP(REG_TRA_DEMANDS!$F108,DEMANDS!$G$2:$CK$25,MATCH($E108,DEMANDS!$E$2:$E$25,0),FALSE)/HLOOKUP(2018,DEMANDS!$G$2:$CK$25,MATCH($E108,DEMANDS!$E$2:$E$25,0),FALSE)</f>
        <v>1.5922893136180041</v>
      </c>
      <c r="Z108" s="18">
        <f>HLOOKUP(REG_TRA_DEMANDS!Z$3,'BY-Demands'!$J$5:$AK$14,MATCH($E108,'BY-Demands'!$I$5:$I$14,0),FALSE)*HLOOKUP(REG_TRA_DEMANDS!$F108,DEMANDS!$G$2:$CK$25,MATCH($E108,DEMANDS!$E$2:$E$25,0),FALSE)/HLOOKUP(2018,DEMANDS!$G$2:$CK$25,MATCH($E108,DEMANDS!$E$2:$E$25,0),FALSE)</f>
        <v>0.21235438584903985</v>
      </c>
      <c r="AA108" s="18">
        <f>HLOOKUP(REG_TRA_DEMANDS!AA$3,'BY-Demands'!$J$5:$AK$14,MATCH($E108,'BY-Demands'!$I$5:$I$14,0),FALSE)*HLOOKUP(REG_TRA_DEMANDS!$F108,DEMANDS!$G$2:$CK$25,MATCH($E108,DEMANDS!$E$2:$E$25,0),FALSE)/HLOOKUP(2018,DEMANDS!$G$2:$CK$25,MATCH($E108,DEMANDS!$E$2:$E$25,0),FALSE)</f>
        <v>0.89681276987649983</v>
      </c>
      <c r="AB108" s="18">
        <f>HLOOKUP(REG_TRA_DEMANDS!AB$3,'BY-Demands'!$J$5:$AK$14,MATCH($E108,'BY-Demands'!$I$5:$I$14,0),FALSE)*HLOOKUP(REG_TRA_DEMANDS!$F108,DEMANDS!$G$2:$CK$25,MATCH($E108,DEMANDS!$E$2:$E$25,0),FALSE)/HLOOKUP(2018,DEMANDS!$G$2:$CK$25,MATCH($E108,DEMANDS!$E$2:$E$25,0),FALSE)</f>
        <v>0.39825435157274797</v>
      </c>
      <c r="AC108" s="18">
        <f>HLOOKUP(REG_TRA_DEMANDS!AC$3,'BY-Demands'!$J$5:$AK$14,MATCH($E108,'BY-Demands'!$I$5:$I$14,0),FALSE)*HLOOKUP(REG_TRA_DEMANDS!$F108,DEMANDS!$G$2:$CK$25,MATCH($E108,DEMANDS!$E$2:$E$25,0),FALSE)/HLOOKUP(2018,DEMANDS!$G$2:$CK$25,MATCH($E108,DEMANDS!$E$2:$E$25,0),FALSE)</f>
        <v>0.43429798641295875</v>
      </c>
      <c r="AD108" s="18">
        <f>HLOOKUP(REG_TRA_DEMANDS!AD$3,'BY-Demands'!$J$5:$AK$14,MATCH($E108,'BY-Demands'!$I$5:$I$14,0),FALSE)*HLOOKUP(REG_TRA_DEMANDS!$F108,DEMANDS!$G$2:$CK$25,MATCH($E108,DEMANDS!$E$2:$E$25,0),FALSE)/HLOOKUP(2018,DEMANDS!$G$2:$CK$25,MATCH($E108,DEMANDS!$E$2:$E$25,0),FALSE)</f>
        <v>0.5048154942091021</v>
      </c>
      <c r="AE108" s="18">
        <f>HLOOKUP(REG_TRA_DEMANDS!AE$3,'BY-Demands'!$J$5:$AK$14,MATCH($E108,'BY-Demands'!$I$5:$I$14,0),FALSE)*HLOOKUP(REG_TRA_DEMANDS!$F108,DEMANDS!$G$2:$CK$25,MATCH($E108,DEMANDS!$E$2:$E$25,0),FALSE)/HLOOKUP(2018,DEMANDS!$G$2:$CK$25,MATCH($E108,DEMANDS!$E$2:$E$25,0),FALSE)</f>
        <v>1.05495941181127</v>
      </c>
      <c r="AF108" s="18">
        <f>HLOOKUP(REG_TRA_DEMANDS!AF$3,'BY-Demands'!$J$5:$AK$14,MATCH($E108,'BY-Demands'!$I$5:$I$14,0),FALSE)*HLOOKUP(REG_TRA_DEMANDS!$F108,DEMANDS!$G$2:$CK$25,MATCH($E108,DEMANDS!$E$2:$E$25,0),FALSE)/HLOOKUP(2018,DEMANDS!$G$2:$CK$25,MATCH($E108,DEMANDS!$E$2:$E$25,0),FALSE)</f>
        <v>0.40680271906532256</v>
      </c>
    </row>
    <row r="109" spans="4:32" ht="14.4">
      <c r="D109" t="s">
        <v>6</v>
      </c>
      <c r="E109" t="str">
        <f>DEMANDS!$E$20</f>
        <v>TRAF</v>
      </c>
      <c r="F109">
        <v>2060</v>
      </c>
      <c r="G109" s="18">
        <f>HLOOKUP(REG_TRA_DEMANDS!G$3,'BY-Demands'!$J$5:$AK$14,MATCH($E109,'BY-Demands'!$I$5:$I$14,0),FALSE)*HLOOKUP(REG_TRA_DEMANDS!$F109,DEMANDS!$G$2:$CK$25,MATCH($E109,DEMANDS!$E$2:$E$25,0),FALSE)/HLOOKUP(2018,DEMANDS!$G$2:$CK$25,MATCH($E109,DEMANDS!$E$2:$E$25,0),FALSE)</f>
        <v>0.52465888052692888</v>
      </c>
      <c r="H109" s="18">
        <f>HLOOKUP(REG_TRA_DEMANDS!H$3,'BY-Demands'!$J$5:$AK$14,MATCH($E109,'BY-Demands'!$I$5:$I$14,0),FALSE)*HLOOKUP(REG_TRA_DEMANDS!$F109,DEMANDS!$G$2:$CK$25,MATCH($E109,DEMANDS!$E$2:$E$25,0),FALSE)/HLOOKUP(2018,DEMANDS!$G$2:$CK$25,MATCH($E109,DEMANDS!$E$2:$E$25,0),FALSE)</f>
        <v>7.8361991203042445</v>
      </c>
      <c r="I109" s="18">
        <f>HLOOKUP(REG_TRA_DEMANDS!I$3,'BY-Demands'!$J$5:$AK$14,MATCH($E109,'BY-Demands'!$I$5:$I$14,0),FALSE)*HLOOKUP(REG_TRA_DEMANDS!$F109,DEMANDS!$G$2:$CK$25,MATCH($E109,DEMANDS!$E$2:$E$25,0),FALSE)/HLOOKUP(2018,DEMANDS!$G$2:$CK$25,MATCH($E109,DEMANDS!$E$2:$E$25,0),FALSE)</f>
        <v>1.4220141022565842</v>
      </c>
      <c r="J109" s="18">
        <f>HLOOKUP(REG_TRA_DEMANDS!J$3,'BY-Demands'!$J$5:$AK$14,MATCH($E109,'BY-Demands'!$I$5:$I$14,0),FALSE)*HLOOKUP(REG_TRA_DEMANDS!$F109,DEMANDS!$G$2:$CK$25,MATCH($E109,DEMANDS!$E$2:$E$25,0),FALSE)/HLOOKUP(2018,DEMANDS!$G$2:$CK$25,MATCH($E109,DEMANDS!$E$2:$E$25,0),FALSE)</f>
        <v>0.91447604216342571</v>
      </c>
      <c r="K109" s="18">
        <f>HLOOKUP(REG_TRA_DEMANDS!K$3,'BY-Demands'!$J$5:$AK$14,MATCH($E109,'BY-Demands'!$I$5:$I$14,0),FALSE)*HLOOKUP(REG_TRA_DEMANDS!$F109,DEMANDS!$G$2:$CK$25,MATCH($E109,DEMANDS!$E$2:$E$25,0),FALSE)/HLOOKUP(2018,DEMANDS!$G$2:$CK$25,MATCH($E109,DEMANDS!$E$2:$E$25,0),FALSE)</f>
        <v>0.65133726809513415</v>
      </c>
      <c r="L109" s="18">
        <f>HLOOKUP(REG_TRA_DEMANDS!L$3,'BY-Demands'!$J$5:$AK$14,MATCH($E109,'BY-Demands'!$I$5:$I$14,0),FALSE)*HLOOKUP(REG_TRA_DEMANDS!$F109,DEMANDS!$G$2:$CK$25,MATCH($E109,DEMANDS!$E$2:$E$25,0),FALSE)/HLOOKUP(2018,DEMANDS!$G$2:$CK$25,MATCH($E109,DEMANDS!$E$2:$E$25,0),FALSE)</f>
        <v>0.31432173700193067</v>
      </c>
      <c r="M109" s="18">
        <f>HLOOKUP(REG_TRA_DEMANDS!M$3,'BY-Demands'!$J$5:$AK$14,MATCH($E109,'BY-Demands'!$I$5:$I$14,0),FALSE)*HLOOKUP(REG_TRA_DEMANDS!$F109,DEMANDS!$G$2:$CK$25,MATCH($E109,DEMANDS!$E$2:$E$25,0),FALSE)/HLOOKUP(2018,DEMANDS!$G$2:$CK$25,MATCH($E109,DEMANDS!$E$2:$E$25,0),FALSE)</f>
        <v>0.82369245296820615</v>
      </c>
      <c r="N109" s="18">
        <f>HLOOKUP(REG_TRA_DEMANDS!N$3,'BY-Demands'!$J$5:$AK$14,MATCH($E109,'BY-Demands'!$I$5:$I$14,0),FALSE)*HLOOKUP(REG_TRA_DEMANDS!$F109,DEMANDS!$G$2:$CK$25,MATCH($E109,DEMANDS!$E$2:$E$25,0),FALSE)/HLOOKUP(2018,DEMANDS!$G$2:$CK$25,MATCH($E109,DEMANDS!$E$2:$E$25,0),FALSE)</f>
        <v>1.2744925501246753</v>
      </c>
      <c r="O109" s="18">
        <f>HLOOKUP(REG_TRA_DEMANDS!O$3,'BY-Demands'!$J$5:$AK$14,MATCH($E109,'BY-Demands'!$I$5:$I$14,0),FALSE)*HLOOKUP(REG_TRA_DEMANDS!$F109,DEMANDS!$G$2:$CK$25,MATCH($E109,DEMANDS!$E$2:$E$25,0),FALSE)/HLOOKUP(2018,DEMANDS!$G$2:$CK$25,MATCH($E109,DEMANDS!$E$2:$E$25,0),FALSE)</f>
        <v>0.59953604918668513</v>
      </c>
      <c r="P109" s="18">
        <f>HLOOKUP(REG_TRA_DEMANDS!P$3,'BY-Demands'!$J$5:$AK$14,MATCH($E109,'BY-Demands'!$I$5:$I$14,0),FALSE)*HLOOKUP(REG_TRA_DEMANDS!$F109,DEMANDS!$G$2:$CK$25,MATCH($E109,DEMANDS!$E$2:$E$25,0),FALSE)/HLOOKUP(2018,DEMANDS!$G$2:$CK$25,MATCH($E109,DEMANDS!$E$2:$E$25,0),FALSE)</f>
        <v>0.6826594718680129</v>
      </c>
      <c r="Q109" s="18">
        <f>HLOOKUP(REG_TRA_DEMANDS!Q$3,'BY-Demands'!$J$5:$AK$14,MATCH($E109,'BY-Demands'!$I$5:$I$14,0),FALSE)*HLOOKUP(REG_TRA_DEMANDS!$F109,DEMANDS!$G$2:$CK$25,MATCH($E109,DEMANDS!$E$2:$E$25,0),FALSE)/HLOOKUP(2018,DEMANDS!$G$2:$CK$25,MATCH($E109,DEMANDS!$E$2:$E$25,0),FALSE)</f>
        <v>1.3797684414784777</v>
      </c>
      <c r="R109" s="18">
        <f>HLOOKUP(REG_TRA_DEMANDS!R$3,'BY-Demands'!$J$5:$AK$14,MATCH($E109,'BY-Demands'!$I$5:$I$14,0),FALSE)*HLOOKUP(REG_TRA_DEMANDS!$F109,DEMANDS!$G$2:$CK$25,MATCH($E109,DEMANDS!$E$2:$E$25,0),FALSE)/HLOOKUP(2018,DEMANDS!$G$2:$CK$25,MATCH($E109,DEMANDS!$E$2:$E$25,0),FALSE)</f>
        <v>0.91023243858040281</v>
      </c>
      <c r="S109" s="18">
        <f>HLOOKUP(REG_TRA_DEMANDS!S$3,'BY-Demands'!$J$5:$AK$14,MATCH($E109,'BY-Demands'!$I$5:$I$14,0),FALSE)*HLOOKUP(REG_TRA_DEMANDS!$F109,DEMANDS!$G$2:$CK$25,MATCH($E109,DEMANDS!$E$2:$E$25,0),FALSE)/HLOOKUP(2018,DEMANDS!$G$2:$CK$25,MATCH($E109,DEMANDS!$E$2:$E$25,0),FALSE)</f>
        <v>0.89571650683642212</v>
      </c>
      <c r="T109" s="18">
        <f>HLOOKUP(REG_TRA_DEMANDS!T$3,'BY-Demands'!$J$5:$AK$14,MATCH($E109,'BY-Demands'!$I$5:$I$14,0),FALSE)*HLOOKUP(REG_TRA_DEMANDS!$F109,DEMANDS!$G$2:$CK$25,MATCH($E109,DEMANDS!$E$2:$E$25,0),FALSE)/HLOOKUP(2018,DEMANDS!$G$2:$CK$25,MATCH($E109,DEMANDS!$E$2:$E$25,0),FALSE)</f>
        <v>4.7925722538973687</v>
      </c>
      <c r="U109" s="18">
        <f>HLOOKUP(REG_TRA_DEMANDS!U$3,'BY-Demands'!$J$5:$AK$14,MATCH($E109,'BY-Demands'!$I$5:$I$14,0),FALSE)*HLOOKUP(REG_TRA_DEMANDS!$F109,DEMANDS!$G$2:$CK$25,MATCH($E109,DEMANDS!$E$2:$E$25,0),FALSE)/HLOOKUP(2018,DEMANDS!$G$2:$CK$25,MATCH($E109,DEMANDS!$E$2:$E$25,0),FALSE)</f>
        <v>1.3039937331108424</v>
      </c>
      <c r="V109" s="18">
        <f>HLOOKUP(REG_TRA_DEMANDS!V$3,'BY-Demands'!$J$5:$AK$14,MATCH($E109,'BY-Demands'!$I$5:$I$14,0),FALSE)*HLOOKUP(REG_TRA_DEMANDS!$F109,DEMANDS!$G$2:$CK$25,MATCH($E109,DEMANDS!$E$2:$E$25,0),FALSE)/HLOOKUP(2018,DEMANDS!$G$2:$CK$25,MATCH($E109,DEMANDS!$E$2:$E$25,0),FALSE)</f>
        <v>1.4692699821230308</v>
      </c>
      <c r="W109" s="18">
        <f>HLOOKUP(REG_TRA_DEMANDS!W$3,'BY-Demands'!$J$5:$AK$14,MATCH($E109,'BY-Demands'!$I$5:$I$14,0),FALSE)*HLOOKUP(REG_TRA_DEMANDS!$F109,DEMANDS!$G$2:$CK$25,MATCH($E109,DEMANDS!$E$2:$E$25,0),FALSE)/HLOOKUP(2018,DEMANDS!$G$2:$CK$25,MATCH($E109,DEMANDS!$E$2:$E$25,0),FALSE)</f>
        <v>1.2028098320549401</v>
      </c>
      <c r="X109" s="18">
        <f>HLOOKUP(REG_TRA_DEMANDS!X$3,'BY-Demands'!$J$5:$AK$14,MATCH($E109,'BY-Demands'!$I$5:$I$14,0),FALSE)*HLOOKUP(REG_TRA_DEMANDS!$F109,DEMANDS!$G$2:$CK$25,MATCH($E109,DEMANDS!$E$2:$E$25,0),FALSE)/HLOOKUP(2018,DEMANDS!$G$2:$CK$25,MATCH($E109,DEMANDS!$E$2:$E$25,0),FALSE)</f>
        <v>1.1172477494554649</v>
      </c>
      <c r="Y109" s="18">
        <f>HLOOKUP(REG_TRA_DEMANDS!Y$3,'BY-Demands'!$J$5:$AK$14,MATCH($E109,'BY-Demands'!$I$5:$I$14,0),FALSE)*HLOOKUP(REG_TRA_DEMANDS!$F109,DEMANDS!$G$2:$CK$25,MATCH($E109,DEMANDS!$E$2:$E$25,0),FALSE)/HLOOKUP(2018,DEMANDS!$G$2:$CK$25,MATCH($E109,DEMANDS!$E$2:$E$25,0),FALSE)</f>
        <v>1.7840217671815906</v>
      </c>
      <c r="Z109" s="18">
        <f>HLOOKUP(REG_TRA_DEMANDS!Z$3,'BY-Demands'!$J$5:$AK$14,MATCH($E109,'BY-Demands'!$I$5:$I$14,0),FALSE)*HLOOKUP(REG_TRA_DEMANDS!$F109,DEMANDS!$G$2:$CK$25,MATCH($E109,DEMANDS!$E$2:$E$25,0),FALSE)/HLOOKUP(2018,DEMANDS!$G$2:$CK$25,MATCH($E109,DEMANDS!$E$2:$E$25,0),FALSE)</f>
        <v>0.23792463057505114</v>
      </c>
      <c r="AA109" s="18">
        <f>HLOOKUP(REG_TRA_DEMANDS!AA$3,'BY-Demands'!$J$5:$AK$14,MATCH($E109,'BY-Demands'!$I$5:$I$14,0),FALSE)*HLOOKUP(REG_TRA_DEMANDS!$F109,DEMANDS!$G$2:$CK$25,MATCH($E109,DEMANDS!$E$2:$E$25,0),FALSE)/HLOOKUP(2018,DEMANDS!$G$2:$CK$25,MATCH($E109,DEMANDS!$E$2:$E$25,0),FALSE)</f>
        <v>1.0048007537717609</v>
      </c>
      <c r="AB109" s="18">
        <f>HLOOKUP(REG_TRA_DEMANDS!AB$3,'BY-Demands'!$J$5:$AK$14,MATCH($E109,'BY-Demands'!$I$5:$I$14,0),FALSE)*HLOOKUP(REG_TRA_DEMANDS!$F109,DEMANDS!$G$2:$CK$25,MATCH($E109,DEMANDS!$E$2:$E$25,0),FALSE)/HLOOKUP(2018,DEMANDS!$G$2:$CK$25,MATCH($E109,DEMANDS!$E$2:$E$25,0),FALSE)</f>
        <v>0.44620938293317103</v>
      </c>
      <c r="AC109" s="18">
        <f>HLOOKUP(REG_TRA_DEMANDS!AC$3,'BY-Demands'!$J$5:$AK$14,MATCH($E109,'BY-Demands'!$I$5:$I$14,0),FALSE)*HLOOKUP(REG_TRA_DEMANDS!$F109,DEMANDS!$G$2:$CK$25,MATCH($E109,DEMANDS!$E$2:$E$25,0),FALSE)/HLOOKUP(2018,DEMANDS!$G$2:$CK$25,MATCH($E109,DEMANDS!$E$2:$E$25,0),FALSE)</f>
        <v>0.48659314270178516</v>
      </c>
      <c r="AD109" s="18">
        <f>HLOOKUP(REG_TRA_DEMANDS!AD$3,'BY-Demands'!$J$5:$AK$14,MATCH($E109,'BY-Demands'!$I$5:$I$14,0),FALSE)*HLOOKUP(REG_TRA_DEMANDS!$F109,DEMANDS!$G$2:$CK$25,MATCH($E109,DEMANDS!$E$2:$E$25,0),FALSE)/HLOOKUP(2018,DEMANDS!$G$2:$CK$25,MATCH($E109,DEMANDS!$E$2:$E$25,0),FALSE)</f>
        <v>0.56560188049822457</v>
      </c>
      <c r="AE109" s="18">
        <f>HLOOKUP(REG_TRA_DEMANDS!AE$3,'BY-Demands'!$J$5:$AK$14,MATCH($E109,'BY-Demands'!$I$5:$I$14,0),FALSE)*HLOOKUP(REG_TRA_DEMANDS!$F109,DEMANDS!$G$2:$CK$25,MATCH($E109,DEMANDS!$E$2:$E$25,0),FALSE)/HLOOKUP(2018,DEMANDS!$G$2:$CK$25,MATCH($E109,DEMANDS!$E$2:$E$25,0),FALSE)</f>
        <v>1.1819903192642465</v>
      </c>
      <c r="AF109" s="18">
        <f>HLOOKUP(REG_TRA_DEMANDS!AF$3,'BY-Demands'!$J$5:$AK$14,MATCH($E109,'BY-Demands'!$I$5:$I$14,0),FALSE)*HLOOKUP(REG_TRA_DEMANDS!$F109,DEMANDS!$G$2:$CK$25,MATCH($E109,DEMANDS!$E$2:$E$25,0),FALSE)/HLOOKUP(2018,DEMANDS!$G$2:$CK$25,MATCH($E109,DEMANDS!$E$2:$E$25,0),FALSE)</f>
        <v>0.45578708564723913</v>
      </c>
    </row>
    <row r="110" spans="4:32" ht="14.4">
      <c r="D110" t="s">
        <v>6</v>
      </c>
      <c r="E110" t="str">
        <f>DEMANDS!$E$20</f>
        <v>TRAF</v>
      </c>
      <c r="F110">
        <v>2065</v>
      </c>
      <c r="G110" s="18">
        <f>HLOOKUP(REG_TRA_DEMANDS!G$3,'BY-Demands'!$J$5:$AK$14,MATCH($E110,'BY-Demands'!$I$5:$I$14,0),FALSE)*HLOOKUP(REG_TRA_DEMANDS!$F110,DEMANDS!$G$2:$CK$25,MATCH($E110,DEMANDS!$E$2:$E$25,0),FALSE)/HLOOKUP(2018,DEMANDS!$G$2:$CK$25,MATCH($E110,DEMANDS!$E$2:$E$25,0),FALSE)</f>
        <v>0.58783466999372003</v>
      </c>
      <c r="H110" s="18">
        <f>HLOOKUP(REG_TRA_DEMANDS!H$3,'BY-Demands'!$J$5:$AK$14,MATCH($E110,'BY-Demands'!$I$5:$I$14,0),FALSE)*HLOOKUP(REG_TRA_DEMANDS!$F110,DEMANDS!$G$2:$CK$25,MATCH($E110,DEMANDS!$E$2:$E$25,0),FALSE)/HLOOKUP(2018,DEMANDS!$G$2:$CK$25,MATCH($E110,DEMANDS!$E$2:$E$25,0),FALSE)</f>
        <v>8.7797799577180609</v>
      </c>
      <c r="I110" s="18">
        <f>HLOOKUP(REG_TRA_DEMANDS!I$3,'BY-Demands'!$J$5:$AK$14,MATCH($E110,'BY-Demands'!$I$5:$I$14,0),FALSE)*HLOOKUP(REG_TRA_DEMANDS!$F110,DEMANDS!$G$2:$CK$25,MATCH($E110,DEMANDS!$E$2:$E$25,0),FALSE)/HLOOKUP(2018,DEMANDS!$G$2:$CK$25,MATCH($E110,DEMANDS!$E$2:$E$25,0),FALSE)</f>
        <v>1.5932431939146621</v>
      </c>
      <c r="J110" s="18">
        <f>HLOOKUP(REG_TRA_DEMANDS!J$3,'BY-Demands'!$J$5:$AK$14,MATCH($E110,'BY-Demands'!$I$5:$I$14,0),FALSE)*HLOOKUP(REG_TRA_DEMANDS!$F110,DEMANDS!$G$2:$CK$25,MATCH($E110,DEMANDS!$E$2:$E$25,0),FALSE)/HLOOKUP(2018,DEMANDS!$G$2:$CK$25,MATCH($E110,DEMANDS!$E$2:$E$25,0),FALSE)</f>
        <v>1.0245909150006458</v>
      </c>
      <c r="K110" s="18">
        <f>HLOOKUP(REG_TRA_DEMANDS!K$3,'BY-Demands'!$J$5:$AK$14,MATCH($E110,'BY-Demands'!$I$5:$I$14,0),FALSE)*HLOOKUP(REG_TRA_DEMANDS!$F110,DEMANDS!$G$2:$CK$25,MATCH($E110,DEMANDS!$E$2:$E$25,0),FALSE)/HLOOKUP(2018,DEMANDS!$G$2:$CK$25,MATCH($E110,DEMANDS!$E$2:$E$25,0),FALSE)</f>
        <v>0.72976679182629878</v>
      </c>
      <c r="L110" s="18">
        <f>HLOOKUP(REG_TRA_DEMANDS!L$3,'BY-Demands'!$J$5:$AK$14,MATCH($E110,'BY-Demands'!$I$5:$I$14,0),FALSE)*HLOOKUP(REG_TRA_DEMANDS!$F110,DEMANDS!$G$2:$CK$25,MATCH($E110,DEMANDS!$E$2:$E$25,0),FALSE)/HLOOKUP(2018,DEMANDS!$G$2:$CK$25,MATCH($E110,DEMANDS!$E$2:$E$25,0),FALSE)</f>
        <v>0.35217018409526224</v>
      </c>
      <c r="M110" s="18">
        <f>HLOOKUP(REG_TRA_DEMANDS!M$3,'BY-Demands'!$J$5:$AK$14,MATCH($E110,'BY-Demands'!$I$5:$I$14,0),FALSE)*HLOOKUP(REG_TRA_DEMANDS!$F110,DEMANDS!$G$2:$CK$25,MATCH($E110,DEMANDS!$E$2:$E$25,0),FALSE)/HLOOKUP(2018,DEMANDS!$G$2:$CK$25,MATCH($E110,DEMANDS!$E$2:$E$25,0),FALSE)</f>
        <v>0.92287579461266966</v>
      </c>
      <c r="N110" s="18">
        <f>HLOOKUP(REG_TRA_DEMANDS!N$3,'BY-Demands'!$J$5:$AK$14,MATCH($E110,'BY-Demands'!$I$5:$I$14,0),FALSE)*HLOOKUP(REG_TRA_DEMANDS!$F110,DEMANDS!$G$2:$CK$25,MATCH($E110,DEMANDS!$E$2:$E$25,0),FALSE)/HLOOKUP(2018,DEMANDS!$G$2:$CK$25,MATCH($E110,DEMANDS!$E$2:$E$25,0),FALSE)</f>
        <v>1.4279581179671652</v>
      </c>
      <c r="O110" s="18">
        <f>HLOOKUP(REG_TRA_DEMANDS!O$3,'BY-Demands'!$J$5:$AK$14,MATCH($E110,'BY-Demands'!$I$5:$I$14,0),FALSE)*HLOOKUP(REG_TRA_DEMANDS!$F110,DEMANDS!$G$2:$CK$25,MATCH($E110,DEMANDS!$E$2:$E$25,0),FALSE)/HLOOKUP(2018,DEMANDS!$G$2:$CK$25,MATCH($E110,DEMANDS!$E$2:$E$25,0),FALSE)</f>
        <v>0.67172802882711302</v>
      </c>
      <c r="P110" s="18">
        <f>HLOOKUP(REG_TRA_DEMANDS!P$3,'BY-Demands'!$J$5:$AK$14,MATCH($E110,'BY-Demands'!$I$5:$I$14,0),FALSE)*HLOOKUP(REG_TRA_DEMANDS!$F110,DEMANDS!$G$2:$CK$25,MATCH($E110,DEMANDS!$E$2:$E$25,0),FALSE)/HLOOKUP(2018,DEMANDS!$G$2:$CK$25,MATCH($E110,DEMANDS!$E$2:$E$25,0),FALSE)</f>
        <v>0.76486059849133481</v>
      </c>
      <c r="Q110" s="18">
        <f>HLOOKUP(REG_TRA_DEMANDS!Q$3,'BY-Demands'!$J$5:$AK$14,MATCH($E110,'BY-Demands'!$I$5:$I$14,0),FALSE)*HLOOKUP(REG_TRA_DEMANDS!$F110,DEMANDS!$G$2:$CK$25,MATCH($E110,DEMANDS!$E$2:$E$25,0),FALSE)/HLOOKUP(2018,DEMANDS!$G$2:$CK$25,MATCH($E110,DEMANDS!$E$2:$E$25,0),FALSE)</f>
        <v>1.5459106031897629</v>
      </c>
      <c r="R110" s="18">
        <f>HLOOKUP(REG_TRA_DEMANDS!R$3,'BY-Demands'!$J$5:$AK$14,MATCH($E110,'BY-Demands'!$I$5:$I$14,0),FALSE)*HLOOKUP(REG_TRA_DEMANDS!$F110,DEMANDS!$G$2:$CK$25,MATCH($E110,DEMANDS!$E$2:$E$25,0),FALSE)/HLOOKUP(2018,DEMANDS!$G$2:$CK$25,MATCH($E110,DEMANDS!$E$2:$E$25,0),FALSE)</f>
        <v>1.0198363260583885</v>
      </c>
      <c r="S110" s="18">
        <f>HLOOKUP(REG_TRA_DEMANDS!S$3,'BY-Demands'!$J$5:$AK$14,MATCH($E110,'BY-Demands'!$I$5:$I$14,0),FALSE)*HLOOKUP(REG_TRA_DEMANDS!$F110,DEMANDS!$G$2:$CK$25,MATCH($E110,DEMANDS!$E$2:$E$25,0),FALSE)/HLOOKUP(2018,DEMANDS!$G$2:$CK$25,MATCH($E110,DEMANDS!$E$2:$E$25,0),FALSE)</f>
        <v>1.0035724863273154</v>
      </c>
      <c r="T110" s="18">
        <f>HLOOKUP(REG_TRA_DEMANDS!T$3,'BY-Demands'!$J$5:$AK$14,MATCH($E110,'BY-Demands'!$I$5:$I$14,0),FALSE)*HLOOKUP(REG_TRA_DEMANDS!$F110,DEMANDS!$G$2:$CK$25,MATCH($E110,DEMANDS!$E$2:$E$25,0),FALSE)/HLOOKUP(2018,DEMANDS!$G$2:$CK$25,MATCH($E110,DEMANDS!$E$2:$E$25,0),FALSE)</f>
        <v>5.369660619222512</v>
      </c>
      <c r="U110" s="18">
        <f>HLOOKUP(REG_TRA_DEMANDS!U$3,'BY-Demands'!$J$5:$AK$14,MATCH($E110,'BY-Demands'!$I$5:$I$14,0),FALSE)*HLOOKUP(REG_TRA_DEMANDS!$F110,DEMANDS!$G$2:$CK$25,MATCH($E110,DEMANDS!$E$2:$E$25,0),FALSE)/HLOOKUP(2018,DEMANDS!$G$2:$CK$25,MATCH($E110,DEMANDS!$E$2:$E$25,0),FALSE)</f>
        <v>1.4610116291317548</v>
      </c>
      <c r="V110" s="18">
        <f>HLOOKUP(REG_TRA_DEMANDS!V$3,'BY-Demands'!$J$5:$AK$14,MATCH($E110,'BY-Demands'!$I$5:$I$14,0),FALSE)*HLOOKUP(REG_TRA_DEMANDS!$F110,DEMANDS!$G$2:$CK$25,MATCH($E110,DEMANDS!$E$2:$E$25,0),FALSE)/HLOOKUP(2018,DEMANDS!$G$2:$CK$25,MATCH($E110,DEMANDS!$E$2:$E$25,0),FALSE)</f>
        <v>1.6461892996179652</v>
      </c>
      <c r="W110" s="18">
        <f>HLOOKUP(REG_TRA_DEMANDS!W$3,'BY-Demands'!$J$5:$AK$14,MATCH($E110,'BY-Demands'!$I$5:$I$14,0),FALSE)*HLOOKUP(REG_TRA_DEMANDS!$F110,DEMANDS!$G$2:$CK$25,MATCH($E110,DEMANDS!$E$2:$E$25,0),FALSE)/HLOOKUP(2018,DEMANDS!$G$2:$CK$25,MATCH($E110,DEMANDS!$E$2:$E$25,0),FALSE)</f>
        <v>1.347643863344322</v>
      </c>
      <c r="X110" s="18">
        <f>HLOOKUP(REG_TRA_DEMANDS!X$3,'BY-Demands'!$J$5:$AK$14,MATCH($E110,'BY-Demands'!$I$5:$I$14,0),FALSE)*HLOOKUP(REG_TRA_DEMANDS!$F110,DEMANDS!$G$2:$CK$25,MATCH($E110,DEMANDS!$E$2:$E$25,0),FALSE)/HLOOKUP(2018,DEMANDS!$G$2:$CK$25,MATCH($E110,DEMANDS!$E$2:$E$25,0),FALSE)</f>
        <v>1.2517789872207654</v>
      </c>
      <c r="Y110" s="18">
        <f>HLOOKUP(REG_TRA_DEMANDS!Y$3,'BY-Demands'!$J$5:$AK$14,MATCH($E110,'BY-Demands'!$I$5:$I$14,0),FALSE)*HLOOKUP(REG_TRA_DEMANDS!$F110,DEMANDS!$G$2:$CK$25,MATCH($E110,DEMANDS!$E$2:$E$25,0),FALSE)/HLOOKUP(2018,DEMANDS!$G$2:$CK$25,MATCH($E110,DEMANDS!$E$2:$E$25,0),FALSE)</f>
        <v>1.9988413151790287</v>
      </c>
      <c r="Z110" s="18">
        <f>HLOOKUP(REG_TRA_DEMANDS!Z$3,'BY-Demands'!$J$5:$AK$14,MATCH($E110,'BY-Demands'!$I$5:$I$14,0),FALSE)*HLOOKUP(REG_TRA_DEMANDS!$F110,DEMANDS!$G$2:$CK$25,MATCH($E110,DEMANDS!$E$2:$E$25,0),FALSE)/HLOOKUP(2018,DEMANDS!$G$2:$CK$25,MATCH($E110,DEMANDS!$E$2:$E$25,0),FALSE)</f>
        <v>0.26657386711342324</v>
      </c>
      <c r="AA110" s="18">
        <f>HLOOKUP(REG_TRA_DEMANDS!AA$3,'BY-Demands'!$J$5:$AK$14,MATCH($E110,'BY-Demands'!$I$5:$I$14,0),FALSE)*HLOOKUP(REG_TRA_DEMANDS!$F110,DEMANDS!$G$2:$CK$25,MATCH($E110,DEMANDS!$E$2:$E$25,0),FALSE)/HLOOKUP(2018,DEMANDS!$G$2:$CK$25,MATCH($E110,DEMANDS!$E$2:$E$25,0),FALSE)</f>
        <v>1.1257919029401577</v>
      </c>
      <c r="AB110" s="18">
        <f>HLOOKUP(REG_TRA_DEMANDS!AB$3,'BY-Demands'!$J$5:$AK$14,MATCH($E110,'BY-Demands'!$I$5:$I$14,0),FALSE)*HLOOKUP(REG_TRA_DEMANDS!$F110,DEMANDS!$G$2:$CK$25,MATCH($E110,DEMANDS!$E$2:$E$25,0),FALSE)/HLOOKUP(2018,DEMANDS!$G$2:$CK$25,MATCH($E110,DEMANDS!$E$2:$E$25,0),FALSE)</f>
        <v>0.49993882711217968</v>
      </c>
      <c r="AC110" s="18">
        <f>HLOOKUP(REG_TRA_DEMANDS!AC$3,'BY-Demands'!$J$5:$AK$14,MATCH($E110,'BY-Demands'!$I$5:$I$14,0),FALSE)*HLOOKUP(REG_TRA_DEMANDS!$F110,DEMANDS!$G$2:$CK$25,MATCH($E110,DEMANDS!$E$2:$E$25,0),FALSE)/HLOOKUP(2018,DEMANDS!$G$2:$CK$25,MATCH($E110,DEMANDS!$E$2:$E$25,0),FALSE)</f>
        <v>0.54518531960049366</v>
      </c>
      <c r="AD110" s="18">
        <f>HLOOKUP(REG_TRA_DEMANDS!AD$3,'BY-Demands'!$J$5:$AK$14,MATCH($E110,'BY-Demands'!$I$5:$I$14,0),FALSE)*HLOOKUP(REG_TRA_DEMANDS!$F110,DEMANDS!$G$2:$CK$25,MATCH($E110,DEMANDS!$E$2:$E$25,0),FALSE)/HLOOKUP(2018,DEMANDS!$G$2:$CK$25,MATCH($E110,DEMANDS!$E$2:$E$25,0),FALSE)</f>
        <v>0.63370774251754269</v>
      </c>
      <c r="AE110" s="18">
        <f>HLOOKUP(REG_TRA_DEMANDS!AE$3,'BY-Demands'!$J$5:$AK$14,MATCH($E110,'BY-Demands'!$I$5:$I$14,0),FALSE)*HLOOKUP(REG_TRA_DEMANDS!$F110,DEMANDS!$G$2:$CK$25,MATCH($E110,DEMANDS!$E$2:$E$25,0),FALSE)/HLOOKUP(2018,DEMANDS!$G$2:$CK$25,MATCH($E110,DEMANDS!$E$2:$E$25,0),FALSE)</f>
        <v>1.3243174089851468</v>
      </c>
      <c r="AF110" s="18">
        <f>HLOOKUP(REG_TRA_DEMANDS!AF$3,'BY-Demands'!$J$5:$AK$14,MATCH($E110,'BY-Demands'!$I$5:$I$14,0),FALSE)*HLOOKUP(REG_TRA_DEMANDS!$F110,DEMANDS!$G$2:$CK$25,MATCH($E110,DEMANDS!$E$2:$E$25,0),FALSE)/HLOOKUP(2018,DEMANDS!$G$2:$CK$25,MATCH($E110,DEMANDS!$E$2:$E$25,0),FALSE)</f>
        <v>0.51066981046762716</v>
      </c>
    </row>
    <row r="111" spans="4:32" ht="14.4">
      <c r="D111" t="s">
        <v>6</v>
      </c>
      <c r="E111" t="str">
        <f>DEMANDS!$E$20</f>
        <v>TRAF</v>
      </c>
      <c r="F111">
        <v>2070</v>
      </c>
      <c r="G111" s="17">
        <f>HLOOKUP(REG_TRA_DEMANDS!G$3,'BY-Demands'!$J$5:$AK$14,MATCH($E111,'BY-Demands'!$I$5:$I$14,0),FALSE)*HLOOKUP(REG_TRA_DEMANDS!$F111,DEMANDS!$G$2:$CK$25,MATCH($E111,DEMANDS!$E$2:$E$25,0),FALSE)/HLOOKUP(2018,DEMANDS!$G$2:$CK$25,MATCH($E111,DEMANDS!$E$2:$E$25,0),FALSE)</f>
        <v>0.65861765057627741</v>
      </c>
      <c r="H111" s="17">
        <f>HLOOKUP(REG_TRA_DEMANDS!H$3,'BY-Demands'!$J$5:$AK$14,MATCH($E111,'BY-Demands'!$I$5:$I$14,0),FALSE)*HLOOKUP(REG_TRA_DEMANDS!$F111,DEMANDS!$G$2:$CK$25,MATCH($E111,DEMANDS!$E$2:$E$25,0),FALSE)/HLOOKUP(2018,DEMANDS!$G$2:$CK$25,MATCH($E111,DEMANDS!$E$2:$E$25,0),FALSE)</f>
        <v>9.8369802658811079</v>
      </c>
      <c r="I111" s="17">
        <f>HLOOKUP(REG_TRA_DEMANDS!I$3,'BY-Demands'!$J$5:$AK$14,MATCH($E111,'BY-Demands'!$I$5:$I$14,0),FALSE)*HLOOKUP(REG_TRA_DEMANDS!$F111,DEMANDS!$G$2:$CK$25,MATCH($E111,DEMANDS!$E$2:$E$25,0),FALSE)/HLOOKUP(2018,DEMANDS!$G$2:$CK$25,MATCH($E111,DEMANDS!$E$2:$E$25,0),FALSE)</f>
        <v>1.7850905071385621</v>
      </c>
      <c r="J111" s="17">
        <f>HLOOKUP(REG_TRA_DEMANDS!J$3,'BY-Demands'!$J$5:$AK$14,MATCH($E111,'BY-Demands'!$I$5:$I$14,0),FALSE)*HLOOKUP(REG_TRA_DEMANDS!$F111,DEMANDS!$G$2:$CK$25,MATCH($E111,DEMANDS!$E$2:$E$25,0),FALSE)/HLOOKUP(2018,DEMANDS!$G$2:$CK$25,MATCH($E111,DEMANDS!$E$2:$E$25,0),FALSE)</f>
        <v>1.1479650583500507</v>
      </c>
      <c r="K111" s="17">
        <f>HLOOKUP(REG_TRA_DEMANDS!K$3,'BY-Demands'!$J$5:$AK$14,MATCH($E111,'BY-Demands'!$I$5:$I$14,0),FALSE)*HLOOKUP(REG_TRA_DEMANDS!$F111,DEMANDS!$G$2:$CK$25,MATCH($E111,DEMANDS!$E$2:$E$25,0),FALSE)/HLOOKUP(2018,DEMANDS!$G$2:$CK$25,MATCH($E111,DEMANDS!$E$2:$E$25,0),FALSE)</f>
        <v>0.81764025573101862</v>
      </c>
      <c r="L111" s="17">
        <f>HLOOKUP(REG_TRA_DEMANDS!L$3,'BY-Demands'!$J$5:$AK$14,MATCH($E111,'BY-Demands'!$I$5:$I$14,0),FALSE)*HLOOKUP(REG_TRA_DEMANDS!$F111,DEMANDS!$G$2:$CK$25,MATCH($E111,DEMANDS!$E$2:$E$25,0),FALSE)/HLOOKUP(2018,DEMANDS!$G$2:$CK$25,MATCH($E111,DEMANDS!$E$2:$E$25,0),FALSE)</f>
        <v>0.39457607911135056</v>
      </c>
      <c r="M111" s="17">
        <f>HLOOKUP(REG_TRA_DEMANDS!M$3,'BY-Demands'!$J$5:$AK$14,MATCH($E111,'BY-Demands'!$I$5:$I$14,0),FALSE)*HLOOKUP(REG_TRA_DEMANDS!$F111,DEMANDS!$G$2:$CK$25,MATCH($E111,DEMANDS!$E$2:$E$25,0),FALSE)/HLOOKUP(2018,DEMANDS!$G$2:$CK$25,MATCH($E111,DEMANDS!$E$2:$E$25,0),FALSE)</f>
        <v>1.034002107476929</v>
      </c>
      <c r="N111" s="17">
        <f>HLOOKUP(REG_TRA_DEMANDS!N$3,'BY-Demands'!$J$5:$AK$14,MATCH($E111,'BY-Demands'!$I$5:$I$14,0),FALSE)*HLOOKUP(REG_TRA_DEMANDS!$F111,DEMANDS!$G$2:$CK$25,MATCH($E111,DEMANDS!$E$2:$E$25,0),FALSE)/HLOOKUP(2018,DEMANDS!$G$2:$CK$25,MATCH($E111,DEMANDS!$E$2:$E$25,0),FALSE)</f>
        <v>1.5999029468386146</v>
      </c>
      <c r="O111" s="17">
        <f>HLOOKUP(REG_TRA_DEMANDS!O$3,'BY-Demands'!$J$5:$AK$14,MATCH($E111,'BY-Demands'!$I$5:$I$14,0),FALSE)*HLOOKUP(REG_TRA_DEMANDS!$F111,DEMANDS!$G$2:$CK$25,MATCH($E111,DEMANDS!$E$2:$E$25,0),FALSE)/HLOOKUP(2018,DEMANDS!$G$2:$CK$25,MATCH($E111,DEMANDS!$E$2:$E$25,0),FALSE)</f>
        <v>0.75261286677268202</v>
      </c>
      <c r="P111" s="17">
        <f>HLOOKUP(REG_TRA_DEMANDS!P$3,'BY-Demands'!$J$5:$AK$14,MATCH($E111,'BY-Demands'!$I$5:$I$14,0),FALSE)*HLOOKUP(REG_TRA_DEMANDS!$F111,DEMANDS!$G$2:$CK$25,MATCH($E111,DEMANDS!$E$2:$E$25,0),FALSE)/HLOOKUP(2018,DEMANDS!$G$2:$CK$25,MATCH($E111,DEMANDS!$E$2:$E$25,0),FALSE)</f>
        <v>0.8569598155925543</v>
      </c>
      <c r="Q111" s="17">
        <f>HLOOKUP(REG_TRA_DEMANDS!Q$3,'BY-Demands'!$J$5:$AK$14,MATCH($E111,'BY-Demands'!$I$5:$I$14,0),FALSE)*HLOOKUP(REG_TRA_DEMANDS!$F111,DEMANDS!$G$2:$CK$25,MATCH($E111,DEMANDS!$E$2:$E$25,0),FALSE)/HLOOKUP(2018,DEMANDS!$G$2:$CK$25,MATCH($E111,DEMANDS!$E$2:$E$25,0),FALSE)</f>
        <v>1.732058453586405</v>
      </c>
      <c r="R111" s="17">
        <f>HLOOKUP(REG_TRA_DEMANDS!R$3,'BY-Demands'!$J$5:$AK$14,MATCH($E111,'BY-Demands'!$I$5:$I$14,0),FALSE)*HLOOKUP(REG_TRA_DEMANDS!$F111,DEMANDS!$G$2:$CK$25,MATCH($E111,DEMANDS!$E$2:$E$25,0),FALSE)/HLOOKUP(2018,DEMANDS!$G$2:$CK$25,MATCH($E111,DEMANDS!$E$2:$E$25,0),FALSE)</f>
        <v>1.1426379547298458</v>
      </c>
      <c r="S111" s="17">
        <f>HLOOKUP(REG_TRA_DEMANDS!S$3,'BY-Demands'!$J$5:$AK$14,MATCH($E111,'BY-Demands'!$I$5:$I$14,0),FALSE)*HLOOKUP(REG_TRA_DEMANDS!$F111,DEMANDS!$G$2:$CK$25,MATCH($E111,DEMANDS!$E$2:$E$25,0),FALSE)/HLOOKUP(2018,DEMANDS!$G$2:$CK$25,MATCH($E111,DEMANDS!$E$2:$E$25,0),FALSE)</f>
        <v>1.1244157360350162</v>
      </c>
      <c r="T111" s="17">
        <f>HLOOKUP(REG_TRA_DEMANDS!T$3,'BY-Demands'!$J$5:$AK$14,MATCH($E111,'BY-Demands'!$I$5:$I$14,0),FALSE)*HLOOKUP(REG_TRA_DEMANDS!$F111,DEMANDS!$G$2:$CK$25,MATCH($E111,DEMANDS!$E$2:$E$25,0),FALSE)/HLOOKUP(2018,DEMANDS!$G$2:$CK$25,MATCH($E111,DEMANDS!$E$2:$E$25,0),FALSE)</f>
        <v>6.0162379695332895</v>
      </c>
      <c r="U111" s="17">
        <f>HLOOKUP(REG_TRA_DEMANDS!U$3,'BY-Demands'!$J$5:$AK$14,MATCH($E111,'BY-Demands'!$I$5:$I$14,0),FALSE)*HLOOKUP(REG_TRA_DEMANDS!$F111,DEMANDS!$G$2:$CK$25,MATCH($E111,DEMANDS!$E$2:$E$25,0),FALSE)/HLOOKUP(2018,DEMANDS!$G$2:$CK$25,MATCH($E111,DEMANDS!$E$2:$E$25,0),FALSE)</f>
        <v>1.6369365329432777</v>
      </c>
      <c r="V111" s="17">
        <f>HLOOKUP(REG_TRA_DEMANDS!V$3,'BY-Demands'!$J$5:$AK$14,MATCH($E111,'BY-Demands'!$I$5:$I$14,0),FALSE)*HLOOKUP(REG_TRA_DEMANDS!$F111,DEMANDS!$G$2:$CK$25,MATCH($E111,DEMANDS!$E$2:$E$25,0),FALSE)/HLOOKUP(2018,DEMANDS!$G$2:$CK$25,MATCH($E111,DEMANDS!$E$2:$E$25,0),FALSE)</f>
        <v>1.8444120162728317</v>
      </c>
      <c r="W111" s="17">
        <f>HLOOKUP(REG_TRA_DEMANDS!W$3,'BY-Demands'!$J$5:$AK$14,MATCH($E111,'BY-Demands'!$I$5:$I$14,0),FALSE)*HLOOKUP(REG_TRA_DEMANDS!$F111,DEMANDS!$G$2:$CK$25,MATCH($E111,DEMANDS!$E$2:$E$25,0),FALSE)/HLOOKUP(2018,DEMANDS!$G$2:$CK$25,MATCH($E111,DEMANDS!$E$2:$E$25,0),FALSE)</f>
        <v>1.5099178057987928</v>
      </c>
      <c r="X111" s="17">
        <f>HLOOKUP(REG_TRA_DEMANDS!X$3,'BY-Demands'!$J$5:$AK$14,MATCH($E111,'BY-Demands'!$I$5:$I$14,0),FALSE)*HLOOKUP(REG_TRA_DEMANDS!$F111,DEMANDS!$G$2:$CK$25,MATCH($E111,DEMANDS!$E$2:$E$25,0),FALSE)/HLOOKUP(2018,DEMANDS!$G$2:$CK$25,MATCH($E111,DEMANDS!$E$2:$E$25,0),FALSE)</f>
        <v>1.4025095450952223</v>
      </c>
      <c r="Y111" s="17">
        <f>HLOOKUP(REG_TRA_DEMANDS!Y$3,'BY-Demands'!$J$5:$AK$14,MATCH($E111,'BY-Demands'!$I$5:$I$14,0),FALSE)*HLOOKUP(REG_TRA_DEMANDS!$F111,DEMANDS!$G$2:$CK$25,MATCH($E111,DEMANDS!$E$2:$E$25,0),FALSE)/HLOOKUP(2018,DEMANDS!$G$2:$CK$25,MATCH($E111,DEMANDS!$E$2:$E$25,0),FALSE)</f>
        <v>2.2395279456587214</v>
      </c>
      <c r="Z111" s="17">
        <f>HLOOKUP(REG_TRA_DEMANDS!Z$3,'BY-Demands'!$J$5:$AK$14,MATCH($E111,'BY-Demands'!$I$5:$I$14,0),FALSE)*HLOOKUP(REG_TRA_DEMANDS!$F111,DEMANDS!$G$2:$CK$25,MATCH($E111,DEMANDS!$E$2:$E$25,0),FALSE)/HLOOKUP(2018,DEMANDS!$G$2:$CK$25,MATCH($E111,DEMANDS!$E$2:$E$25,0),FALSE)</f>
        <v>0.29867284633815705</v>
      </c>
      <c r="AA111" s="17">
        <f>HLOOKUP(REG_TRA_DEMANDS!AA$3,'BY-Demands'!$J$5:$AK$14,MATCH($E111,'BY-Demands'!$I$5:$I$14,0),FALSE)*HLOOKUP(REG_TRA_DEMANDS!$F111,DEMANDS!$G$2:$CK$25,MATCH($E111,DEMANDS!$E$2:$E$25,0),FALSE)/HLOOKUP(2018,DEMANDS!$G$2:$CK$25,MATCH($E111,DEMANDS!$E$2:$E$25,0),FALSE)</f>
        <v>1.2613519685053018</v>
      </c>
      <c r="AB111" s="17">
        <f>HLOOKUP(REG_TRA_DEMANDS!AB$3,'BY-Demands'!$J$5:$AK$14,MATCH($E111,'BY-Demands'!$I$5:$I$14,0),FALSE)*HLOOKUP(REG_TRA_DEMANDS!$F111,DEMANDS!$G$2:$CK$25,MATCH($E111,DEMANDS!$E$2:$E$25,0),FALSE)/HLOOKUP(2018,DEMANDS!$G$2:$CK$25,MATCH($E111,DEMANDS!$E$2:$E$25,0),FALSE)</f>
        <v>0.56013799891728255</v>
      </c>
      <c r="AC111" s="17">
        <f>HLOOKUP(REG_TRA_DEMANDS!AC$3,'BY-Demands'!$J$5:$AK$14,MATCH($E111,'BY-Demands'!$I$5:$I$14,0),FALSE)*HLOOKUP(REG_TRA_DEMANDS!$F111,DEMANDS!$G$2:$CK$25,MATCH($E111,DEMANDS!$E$2:$E$25,0),FALSE)/HLOOKUP(2018,DEMANDS!$G$2:$CK$25,MATCH($E111,DEMANDS!$E$2:$E$25,0),FALSE)</f>
        <v>0.61083276072809733</v>
      </c>
      <c r="AD111" s="17">
        <f>HLOOKUP(REG_TRA_DEMANDS!AD$3,'BY-Demands'!$J$5:$AK$14,MATCH($E111,'BY-Demands'!$I$5:$I$14,0),FALSE)*HLOOKUP(REG_TRA_DEMANDS!$F111,DEMANDS!$G$2:$CK$25,MATCH($E111,DEMANDS!$E$2:$E$25,0),FALSE)/HLOOKUP(2018,DEMANDS!$G$2:$CK$25,MATCH($E111,DEMANDS!$E$2:$E$25,0),FALSE)</f>
        <v>0.71001444085181198</v>
      </c>
      <c r="AE111" s="17">
        <f>HLOOKUP(REG_TRA_DEMANDS!AE$3,'BY-Demands'!$J$5:$AK$14,MATCH($E111,'BY-Demands'!$I$5:$I$14,0),FALSE)*HLOOKUP(REG_TRA_DEMANDS!$F111,DEMANDS!$G$2:$CK$25,MATCH($E111,DEMANDS!$E$2:$E$25,0),FALSE)/HLOOKUP(2018,DEMANDS!$G$2:$CK$25,MATCH($E111,DEMANDS!$E$2:$E$25,0),FALSE)</f>
        <v>1.4837825413264218</v>
      </c>
      <c r="AF111" s="17">
        <f>HLOOKUP(REG_TRA_DEMANDS!AF$3,'BY-Demands'!$J$5:$AK$14,MATCH($E111,'BY-Demands'!$I$5:$I$14,0),FALSE)*HLOOKUP(REG_TRA_DEMANDS!$F111,DEMANDS!$G$2:$CK$25,MATCH($E111,DEMANDS!$E$2:$E$25,0),FALSE)/HLOOKUP(2018,DEMANDS!$G$2:$CK$25,MATCH($E111,DEMANDS!$E$2:$E$25,0),FALSE)</f>
        <v>0.57216113298321547</v>
      </c>
    </row>
    <row r="112" spans="4:32" ht="14.4">
      <c r="D112" s="19" t="s">
        <v>6</v>
      </c>
      <c r="E112" s="19" t="str">
        <f>DEMANDS!$E$21</f>
        <v>TTURS</v>
      </c>
      <c r="F112" s="19">
        <v>2020</v>
      </c>
      <c r="G112" s="20">
        <f>HLOOKUP(REG_TRA_DEMANDS!G$3,'BY-Demands'!$J$5:$AK$14,MATCH($E112,'BY-Demands'!$I$5:$I$14,0),FALSE)*HLOOKUP(REG_TRA_DEMANDS!$F112,DEMANDS!$G$2:$CK$25,MATCH($E112,DEMANDS!$E$2:$E$25,0),FALSE)/HLOOKUP(2018,DEMANDS!$G$2:$CK$25,MATCH($E112,DEMANDS!$E$2:$E$25,0),FALSE)</f>
        <v>0.040298189842888223</v>
      </c>
      <c r="H112" s="20">
        <f>HLOOKUP(REG_TRA_DEMANDS!H$3,'BY-Demands'!$J$5:$AK$14,MATCH($E112,'BY-Demands'!$I$5:$I$14,0),FALSE)*HLOOKUP(REG_TRA_DEMANDS!$F112,DEMANDS!$G$2:$CK$25,MATCH($E112,DEMANDS!$E$2:$E$25,0),FALSE)/HLOOKUP(2018,DEMANDS!$G$2:$CK$25,MATCH($E112,DEMANDS!$E$2:$E$25,0),FALSE)</f>
        <v>0.953701411658192</v>
      </c>
      <c r="I112" s="20">
        <f>HLOOKUP(REG_TRA_DEMANDS!I$3,'BY-Demands'!$J$5:$AK$14,MATCH($E112,'BY-Demands'!$I$5:$I$14,0),FALSE)*HLOOKUP(REG_TRA_DEMANDS!$F112,DEMANDS!$G$2:$CK$25,MATCH($E112,DEMANDS!$E$2:$E$25,0),FALSE)/HLOOKUP(2018,DEMANDS!$G$2:$CK$25,MATCH($E112,DEMANDS!$E$2:$E$25,0),FALSE)</f>
        <v>0.1574950543244924</v>
      </c>
      <c r="J112" s="20">
        <f>HLOOKUP(REG_TRA_DEMANDS!J$3,'BY-Demands'!$J$5:$AK$14,MATCH($E112,'BY-Demands'!$I$5:$I$14,0),FALSE)*HLOOKUP(REG_TRA_DEMANDS!$F112,DEMANDS!$G$2:$CK$25,MATCH($E112,DEMANDS!$E$2:$E$25,0),FALSE)/HLOOKUP(2018,DEMANDS!$G$2:$CK$25,MATCH($E112,DEMANDS!$E$2:$E$25,0),FALSE)</f>
        <v>0.070239407968971462</v>
      </c>
      <c r="K112" s="20">
        <f>HLOOKUP(REG_TRA_DEMANDS!K$3,'BY-Demands'!$J$5:$AK$14,MATCH($E112,'BY-Demands'!$I$5:$I$14,0),FALSE)*HLOOKUP(REG_TRA_DEMANDS!$F112,DEMANDS!$G$2:$CK$25,MATCH($E112,DEMANDS!$E$2:$E$25,0),FALSE)/HLOOKUP(2018,DEMANDS!$G$2:$CK$25,MATCH($E112,DEMANDS!$E$2:$E$25,0),FALSE)</f>
        <v>0.059951095783093877</v>
      </c>
      <c r="L112" s="20">
        <f>HLOOKUP(REG_TRA_DEMANDS!L$3,'BY-Demands'!$J$5:$AK$14,MATCH($E112,'BY-Demands'!$I$5:$I$14,0),FALSE)*HLOOKUP(REG_TRA_DEMANDS!$F112,DEMANDS!$G$2:$CK$25,MATCH($E112,DEMANDS!$E$2:$E$25,0),FALSE)/HLOOKUP(2018,DEMANDS!$G$2:$CK$25,MATCH($E112,DEMANDS!$E$2:$E$25,0),FALSE)</f>
        <v>0.028931144408212772</v>
      </c>
      <c r="M112" s="20">
        <f>HLOOKUP(REG_TRA_DEMANDS!M$3,'BY-Demands'!$J$5:$AK$14,MATCH($E112,'BY-Demands'!$I$5:$I$14,0),FALSE)*HLOOKUP(REG_TRA_DEMANDS!$F112,DEMANDS!$G$2:$CK$25,MATCH($E112,DEMANDS!$E$2:$E$25,0),FALSE)/HLOOKUP(2018,DEMANDS!$G$2:$CK$25,MATCH($E112,DEMANDS!$E$2:$E$25,0),FALSE)</f>
        <v>0.091227989526291062</v>
      </c>
      <c r="N112" s="20">
        <f>HLOOKUP(REG_TRA_DEMANDS!N$3,'BY-Demands'!$J$5:$AK$14,MATCH($E112,'BY-Demands'!$I$5:$I$14,0),FALSE)*HLOOKUP(REG_TRA_DEMANDS!$F112,DEMANDS!$G$2:$CK$25,MATCH($E112,DEMANDS!$E$2:$E$25,0),FALSE)/HLOOKUP(2018,DEMANDS!$G$2:$CK$25,MATCH($E112,DEMANDS!$E$2:$E$25,0),FALSE)</f>
        <v>0.1380580366000895</v>
      </c>
      <c r="O112" s="20">
        <f>HLOOKUP(REG_TRA_DEMANDS!O$3,'BY-Demands'!$J$5:$AK$14,MATCH($E112,'BY-Demands'!$I$5:$I$14,0),FALSE)*HLOOKUP(REG_TRA_DEMANDS!$F112,DEMANDS!$G$2:$CK$25,MATCH($E112,DEMANDS!$E$2:$E$25,0),FALSE)/HLOOKUP(2018,DEMANDS!$G$2:$CK$25,MATCH($E112,DEMANDS!$E$2:$E$25,0),FALSE)</f>
        <v>0.055183151449824552</v>
      </c>
      <c r="P112" s="20">
        <f>HLOOKUP(REG_TRA_DEMANDS!P$3,'BY-Demands'!$J$5:$AK$14,MATCH($E112,'BY-Demands'!$I$5:$I$14,0),FALSE)*HLOOKUP(REG_TRA_DEMANDS!$F112,DEMANDS!$G$2:$CK$25,MATCH($E112,DEMANDS!$E$2:$E$25,0),FALSE)/HLOOKUP(2018,DEMANDS!$G$2:$CK$25,MATCH($E112,DEMANDS!$E$2:$E$25,0),FALSE)</f>
        <v>0.062834088251830053</v>
      </c>
      <c r="Q112" s="20">
        <f>HLOOKUP(REG_TRA_DEMANDS!Q$3,'BY-Demands'!$J$5:$AK$14,MATCH($E112,'BY-Demands'!$I$5:$I$14,0),FALSE)*HLOOKUP(REG_TRA_DEMANDS!$F112,DEMANDS!$G$2:$CK$25,MATCH($E112,DEMANDS!$E$2:$E$25,0),FALSE)/HLOOKUP(2018,DEMANDS!$G$2:$CK$25,MATCH($E112,DEMANDS!$E$2:$E$25,0),FALSE)</f>
        <v>0.10597775556201978</v>
      </c>
      <c r="R112" s="20">
        <f>HLOOKUP(REG_TRA_DEMANDS!R$3,'BY-Demands'!$J$5:$AK$14,MATCH($E112,'BY-Demands'!$I$5:$I$14,0),FALSE)*HLOOKUP(REG_TRA_DEMANDS!$F112,DEMANDS!$G$2:$CK$25,MATCH($E112,DEMANDS!$E$2:$E$25,0),FALSE)/HLOOKUP(2018,DEMANDS!$G$2:$CK$25,MATCH($E112,DEMANDS!$E$2:$E$25,0),FALSE)</f>
        <v>0.10081271847771658</v>
      </c>
      <c r="S112" s="20">
        <f>HLOOKUP(REG_TRA_DEMANDS!S$3,'BY-Demands'!$J$5:$AK$14,MATCH($E112,'BY-Demands'!$I$5:$I$14,0),FALSE)*HLOOKUP(REG_TRA_DEMANDS!$F112,DEMANDS!$G$2:$CK$25,MATCH($E112,DEMANDS!$E$2:$E$25,0),FALSE)/HLOOKUP(2018,DEMANDS!$G$2:$CK$25,MATCH($E112,DEMANDS!$E$2:$E$25,0),FALSE)</f>
        <v>0.084102262744369605</v>
      </c>
      <c r="T112" s="20">
        <f>HLOOKUP(REG_TRA_DEMANDS!T$3,'BY-Demands'!$J$5:$AK$14,MATCH($E112,'BY-Demands'!$I$5:$I$14,0),FALSE)*HLOOKUP(REG_TRA_DEMANDS!$F112,DEMANDS!$G$2:$CK$25,MATCH($E112,DEMANDS!$E$2:$E$25,0),FALSE)/HLOOKUP(2018,DEMANDS!$G$2:$CK$25,MATCH($E112,DEMANDS!$E$2:$E$25,0),FALSE)</f>
        <v>0.38425837356195192</v>
      </c>
      <c r="U112" s="20">
        <f>HLOOKUP(REG_TRA_DEMANDS!U$3,'BY-Demands'!$J$5:$AK$14,MATCH($E112,'BY-Demands'!$I$5:$I$14,0),FALSE)*HLOOKUP(REG_TRA_DEMANDS!$F112,DEMANDS!$G$2:$CK$25,MATCH($E112,DEMANDS!$E$2:$E$25,0),FALSE)/HLOOKUP(2018,DEMANDS!$G$2:$CK$25,MATCH($E112,DEMANDS!$E$2:$E$25,0),FALSE)</f>
        <v>0.10455147767729034</v>
      </c>
      <c r="V112" s="20">
        <f>HLOOKUP(REG_TRA_DEMANDS!V$3,'BY-Demands'!$J$5:$AK$14,MATCH($E112,'BY-Demands'!$I$5:$I$14,0),FALSE)*HLOOKUP(REG_TRA_DEMANDS!$F112,DEMANDS!$G$2:$CK$25,MATCH($E112,DEMANDS!$E$2:$E$25,0),FALSE)/HLOOKUP(2018,DEMANDS!$G$2:$CK$25,MATCH($E112,DEMANDS!$E$2:$E$25,0),FALSE)</f>
        <v>0.13795540121880615</v>
      </c>
      <c r="W112" s="20">
        <f>HLOOKUP(REG_TRA_DEMANDS!W$3,'BY-Demands'!$J$5:$AK$14,MATCH($E112,'BY-Demands'!$I$5:$I$14,0),FALSE)*HLOOKUP(REG_TRA_DEMANDS!$F112,DEMANDS!$G$2:$CK$25,MATCH($E112,DEMANDS!$E$2:$E$25,0),FALSE)/HLOOKUP(2018,DEMANDS!$G$2:$CK$25,MATCH($E112,DEMANDS!$E$2:$E$25,0),FALSE)</f>
        <v>0.11293643441302517</v>
      </c>
      <c r="X112" s="20">
        <f>HLOOKUP(REG_TRA_DEMANDS!X$3,'BY-Demands'!$J$5:$AK$14,MATCH($E112,'BY-Demands'!$I$5:$I$14,0),FALSE)*HLOOKUP(REG_TRA_DEMANDS!$F112,DEMANDS!$G$2:$CK$25,MATCH($E112,DEMANDS!$E$2:$E$25,0),FALSE)/HLOOKUP(2018,DEMANDS!$G$2:$CK$25,MATCH($E112,DEMANDS!$E$2:$E$25,0),FALSE)</f>
        <v>0.082232883144582727</v>
      </c>
      <c r="Y112" s="20">
        <f>HLOOKUP(REG_TRA_DEMANDS!Y$3,'BY-Demands'!$J$5:$AK$14,MATCH($E112,'BY-Demands'!$I$5:$I$14,0),FALSE)*HLOOKUP(REG_TRA_DEMANDS!$F112,DEMANDS!$G$2:$CK$25,MATCH($E112,DEMANDS!$E$2:$E$25,0),FALSE)/HLOOKUP(2018,DEMANDS!$G$2:$CK$25,MATCH($E112,DEMANDS!$E$2:$E$25,0),FALSE)</f>
        <v>0.18266124981514886</v>
      </c>
      <c r="Z112" s="20">
        <f>HLOOKUP(REG_TRA_DEMANDS!Z$3,'BY-Demands'!$J$5:$AK$14,MATCH($E112,'BY-Demands'!$I$5:$I$14,0),FALSE)*HLOOKUP(REG_TRA_DEMANDS!$F112,DEMANDS!$G$2:$CK$25,MATCH($E112,DEMANDS!$E$2:$E$25,0),FALSE)/HLOOKUP(2018,DEMANDS!$G$2:$CK$25,MATCH($E112,DEMANDS!$E$2:$E$25,0),FALSE)</f>
        <v>0.022681711433385598</v>
      </c>
      <c r="AA112" s="20">
        <f>HLOOKUP(REG_TRA_DEMANDS!AA$3,'BY-Demands'!$J$5:$AK$14,MATCH($E112,'BY-Demands'!$I$5:$I$14,0),FALSE)*HLOOKUP(REG_TRA_DEMANDS!$F112,DEMANDS!$G$2:$CK$25,MATCH($E112,DEMANDS!$E$2:$E$25,0),FALSE)/HLOOKUP(2018,DEMANDS!$G$2:$CK$25,MATCH($E112,DEMANDS!$E$2:$E$25,0),FALSE)</f>
        <v>0.09237679796644771</v>
      </c>
      <c r="AB112" s="20">
        <f>HLOOKUP(REG_TRA_DEMANDS!AB$3,'BY-Demands'!$J$5:$AK$14,MATCH($E112,'BY-Demands'!$I$5:$I$14,0),FALSE)*HLOOKUP(REG_TRA_DEMANDS!$F112,DEMANDS!$G$2:$CK$25,MATCH($E112,DEMANDS!$E$2:$E$25,0),FALSE)/HLOOKUP(2018,DEMANDS!$G$2:$CK$25,MATCH($E112,DEMANDS!$E$2:$E$25,0),FALSE)</f>
        <v>0.045686193445151825</v>
      </c>
      <c r="AC112" s="20">
        <f>HLOOKUP(REG_TRA_DEMANDS!AC$3,'BY-Demands'!$J$5:$AK$14,MATCH($E112,'BY-Demands'!$I$5:$I$14,0),FALSE)*HLOOKUP(REG_TRA_DEMANDS!$F112,DEMANDS!$G$2:$CK$25,MATCH($E112,DEMANDS!$E$2:$E$25,0),FALSE)/HLOOKUP(2018,DEMANDS!$G$2:$CK$25,MATCH($E112,DEMANDS!$E$2:$E$25,0),FALSE)</f>
        <v>0.046387653188956733</v>
      </c>
      <c r="AD112" s="20">
        <f>HLOOKUP(REG_TRA_DEMANDS!AD$3,'BY-Demands'!$J$5:$AK$14,MATCH($E112,'BY-Demands'!$I$5:$I$14,0),FALSE)*HLOOKUP(REG_TRA_DEMANDS!$F112,DEMANDS!$G$2:$CK$25,MATCH($E112,DEMANDS!$E$2:$E$25,0),FALSE)/HLOOKUP(2018,DEMANDS!$G$2:$CK$25,MATCH($E112,DEMANDS!$E$2:$E$25,0),FALSE)</f>
        <v>0.053919674514716867</v>
      </c>
      <c r="AE112" s="20">
        <f>HLOOKUP(REG_TRA_DEMANDS!AE$3,'BY-Demands'!$J$5:$AK$14,MATCH($E112,'BY-Demands'!$I$5:$I$14,0),FALSE)*HLOOKUP(REG_TRA_DEMANDS!$F112,DEMANDS!$G$2:$CK$25,MATCH($E112,DEMANDS!$E$2:$E$25,0),FALSE)/HLOOKUP(2018,DEMANDS!$G$2:$CK$25,MATCH($E112,DEMANDS!$E$2:$E$25,0),FALSE)</f>
        <v>0.11268090770514057</v>
      </c>
      <c r="AF112" s="20">
        <f>HLOOKUP(REG_TRA_DEMANDS!AF$3,'BY-Demands'!$J$5:$AK$14,MATCH($E112,'BY-Demands'!$I$5:$I$14,0),FALSE)*HLOOKUP(REG_TRA_DEMANDS!$F112,DEMANDS!$G$2:$CK$25,MATCH($E112,DEMANDS!$E$2:$E$25,0),FALSE)/HLOOKUP(2018,DEMANDS!$G$2:$CK$25,MATCH($E112,DEMANDS!$E$2:$E$25,0),FALSE)</f>
        <v>0.043450865623823776</v>
      </c>
    </row>
    <row r="113" spans="4:32" ht="14.4">
      <c r="D113" t="s">
        <v>6</v>
      </c>
      <c r="E113" t="str">
        <f>DEMANDS!$E$21</f>
        <v>TTURS</v>
      </c>
      <c r="F113">
        <v>2021</v>
      </c>
      <c r="G113" s="18">
        <f>HLOOKUP(REG_TRA_DEMANDS!G$3,'BY-Demands'!$J$5:$AK$14,MATCH($E113,'BY-Demands'!$I$5:$I$14,0),FALSE)*HLOOKUP(REG_TRA_DEMANDS!$F113,DEMANDS!$G$2:$CK$25,MATCH($E113,DEMANDS!$E$2:$E$25,0),FALSE)/HLOOKUP(2018,DEMANDS!$G$2:$CK$25,MATCH($E113,DEMANDS!$E$2:$E$25,0),FALSE)</f>
        <v>0.10300786940522516</v>
      </c>
      <c r="H113" s="18">
        <f>HLOOKUP(REG_TRA_DEMANDS!H$3,'BY-Demands'!$J$5:$AK$14,MATCH($E113,'BY-Demands'!$I$5:$I$14,0),FALSE)*HLOOKUP(REG_TRA_DEMANDS!$F113,DEMANDS!$G$2:$CK$25,MATCH($E113,DEMANDS!$E$2:$E$25,0),FALSE)/HLOOKUP(2018,DEMANDS!$G$2:$CK$25,MATCH($E113,DEMANDS!$E$2:$E$25,0),FALSE)</f>
        <v>2.4377956143110233</v>
      </c>
      <c r="I113" s="18">
        <f>HLOOKUP(REG_TRA_DEMANDS!I$3,'BY-Demands'!$J$5:$AK$14,MATCH($E113,'BY-Demands'!$I$5:$I$14,0),FALSE)*HLOOKUP(REG_TRA_DEMANDS!$F113,DEMANDS!$G$2:$CK$25,MATCH($E113,DEMANDS!$E$2:$E$25,0),FALSE)/HLOOKUP(2018,DEMANDS!$G$2:$CK$25,MATCH($E113,DEMANDS!$E$2:$E$25,0),FALSE)</f>
        <v>0.40257962084838445</v>
      </c>
      <c r="J113" s="18">
        <f>HLOOKUP(REG_TRA_DEMANDS!J$3,'BY-Demands'!$J$5:$AK$14,MATCH($E113,'BY-Demands'!$I$5:$I$14,0),FALSE)*HLOOKUP(REG_TRA_DEMANDS!$F113,DEMANDS!$G$2:$CK$25,MATCH($E113,DEMANDS!$E$2:$E$25,0),FALSE)/HLOOKUP(2018,DEMANDS!$G$2:$CK$25,MATCH($E113,DEMANDS!$E$2:$E$25,0),FALSE)</f>
        <v>0.1795418551398037</v>
      </c>
      <c r="K113" s="18">
        <f>HLOOKUP(REG_TRA_DEMANDS!K$3,'BY-Demands'!$J$5:$AK$14,MATCH($E113,'BY-Demands'!$I$5:$I$14,0),FALSE)*HLOOKUP(REG_TRA_DEMANDS!$F113,DEMANDS!$G$2:$CK$25,MATCH($E113,DEMANDS!$E$2:$E$25,0),FALSE)/HLOOKUP(2018,DEMANDS!$G$2:$CK$25,MATCH($E113,DEMANDS!$E$2:$E$25,0),FALSE)</f>
        <v>0.15324347493526222</v>
      </c>
      <c r="L113" s="18">
        <f>HLOOKUP(REG_TRA_DEMANDS!L$3,'BY-Demands'!$J$5:$AK$14,MATCH($E113,'BY-Demands'!$I$5:$I$14,0),FALSE)*HLOOKUP(REG_TRA_DEMANDS!$F113,DEMANDS!$G$2:$CK$25,MATCH($E113,DEMANDS!$E$2:$E$25,0),FALSE)/HLOOKUP(2018,DEMANDS!$G$2:$CK$25,MATCH($E113,DEMANDS!$E$2:$E$25,0),FALSE)</f>
        <v>0.073952094537338697</v>
      </c>
      <c r="M113" s="18">
        <f>HLOOKUP(REG_TRA_DEMANDS!M$3,'BY-Demands'!$J$5:$AK$14,MATCH($E113,'BY-Demands'!$I$5:$I$14,0),FALSE)*HLOOKUP(REG_TRA_DEMANDS!$F113,DEMANDS!$G$2:$CK$25,MATCH($E113,DEMANDS!$E$2:$E$25,0),FALSE)/HLOOKUP(2018,DEMANDS!$G$2:$CK$25,MATCH($E113,DEMANDS!$E$2:$E$25,0),FALSE)</f>
        <v>0.23319163634551807</v>
      </c>
      <c r="N113" s="18">
        <f>HLOOKUP(REG_TRA_DEMANDS!N$3,'BY-Demands'!$J$5:$AK$14,MATCH($E113,'BY-Demands'!$I$5:$I$14,0),FALSE)*HLOOKUP(REG_TRA_DEMANDS!$F113,DEMANDS!$G$2:$CK$25,MATCH($E113,DEMANDS!$E$2:$E$25,0),FALSE)/HLOOKUP(2018,DEMANDS!$G$2:$CK$25,MATCH($E113,DEMANDS!$E$2:$E$25,0),FALSE)</f>
        <v>0.35289585611383317</v>
      </c>
      <c r="O113" s="18">
        <f>HLOOKUP(REG_TRA_DEMANDS!O$3,'BY-Demands'!$J$5:$AK$14,MATCH($E113,'BY-Demands'!$I$5:$I$14,0),FALSE)*HLOOKUP(REG_TRA_DEMANDS!$F113,DEMANDS!$G$2:$CK$25,MATCH($E113,DEMANDS!$E$2:$E$25,0),FALSE)/HLOOKUP(2018,DEMANDS!$G$2:$CK$25,MATCH($E113,DEMANDS!$E$2:$E$25,0),FALSE)</f>
        <v>0.14105593526840385</v>
      </c>
      <c r="P113" s="18">
        <f>HLOOKUP(REG_TRA_DEMANDS!P$3,'BY-Demands'!$J$5:$AK$14,MATCH($E113,'BY-Demands'!$I$5:$I$14,0),FALSE)*HLOOKUP(REG_TRA_DEMANDS!$F113,DEMANDS!$G$2:$CK$25,MATCH($E113,DEMANDS!$E$2:$E$25,0),FALSE)/HLOOKUP(2018,DEMANDS!$G$2:$CK$25,MATCH($E113,DEMANDS!$E$2:$E$25,0),FALSE)</f>
        <v>0.16061281119760137</v>
      </c>
      <c r="Q113" s="18">
        <f>HLOOKUP(REG_TRA_DEMANDS!Q$3,'BY-Demands'!$J$5:$AK$14,MATCH($E113,'BY-Demands'!$I$5:$I$14,0),FALSE)*HLOOKUP(REG_TRA_DEMANDS!$F113,DEMANDS!$G$2:$CK$25,MATCH($E113,DEMANDS!$E$2:$E$25,0),FALSE)/HLOOKUP(2018,DEMANDS!$G$2:$CK$25,MATCH($E113,DEMANDS!$E$2:$E$25,0),FALSE)</f>
        <v>0.27089412321873685</v>
      </c>
      <c r="R113" s="18">
        <f>HLOOKUP(REG_TRA_DEMANDS!R$3,'BY-Demands'!$J$5:$AK$14,MATCH($E113,'BY-Demands'!$I$5:$I$14,0),FALSE)*HLOOKUP(REG_TRA_DEMANDS!$F113,DEMANDS!$G$2:$CK$25,MATCH($E113,DEMANDS!$E$2:$E$25,0),FALSE)/HLOOKUP(2018,DEMANDS!$G$2:$CK$25,MATCH($E113,DEMANDS!$E$2:$E$25,0),FALSE)</f>
        <v>0.25769155835100138</v>
      </c>
      <c r="S113" s="18">
        <f>HLOOKUP(REG_TRA_DEMANDS!S$3,'BY-Demands'!$J$5:$AK$14,MATCH($E113,'BY-Demands'!$I$5:$I$14,0),FALSE)*HLOOKUP(REG_TRA_DEMANDS!$F113,DEMANDS!$G$2:$CK$25,MATCH($E113,DEMANDS!$E$2:$E$25,0),FALSE)/HLOOKUP(2018,DEMANDS!$G$2:$CK$25,MATCH($E113,DEMANDS!$E$2:$E$25,0),FALSE)</f>
        <v>0.21497727146632192</v>
      </c>
      <c r="T113" s="18">
        <f>HLOOKUP(REG_TRA_DEMANDS!T$3,'BY-Demands'!$J$5:$AK$14,MATCH($E113,'BY-Demands'!$I$5:$I$14,0),FALSE)*HLOOKUP(REG_TRA_DEMANDS!$F113,DEMANDS!$G$2:$CK$25,MATCH($E113,DEMANDS!$E$2:$E$25,0),FALSE)/HLOOKUP(2018,DEMANDS!$G$2:$CK$25,MATCH($E113,DEMANDS!$E$2:$E$25,0),FALSE)</f>
        <v>0.98221871791392867</v>
      </c>
      <c r="U113" s="18">
        <f>HLOOKUP(REG_TRA_DEMANDS!U$3,'BY-Demands'!$J$5:$AK$14,MATCH($E113,'BY-Demands'!$I$5:$I$14,0),FALSE)*HLOOKUP(REG_TRA_DEMANDS!$F113,DEMANDS!$G$2:$CK$25,MATCH($E113,DEMANDS!$E$2:$E$25,0),FALSE)/HLOOKUP(2018,DEMANDS!$G$2:$CK$25,MATCH($E113,DEMANDS!$E$2:$E$25,0),FALSE)</f>
        <v>0.26724835534036395</v>
      </c>
      <c r="V113" s="18">
        <f>HLOOKUP(REG_TRA_DEMANDS!V$3,'BY-Demands'!$J$5:$AK$14,MATCH($E113,'BY-Demands'!$I$5:$I$14,0),FALSE)*HLOOKUP(REG_TRA_DEMANDS!$F113,DEMANDS!$G$2:$CK$25,MATCH($E113,DEMANDS!$E$2:$E$25,0),FALSE)/HLOOKUP(2018,DEMANDS!$G$2:$CK$25,MATCH($E113,DEMANDS!$E$2:$E$25,0),FALSE)</f>
        <v>0.35263350557171685</v>
      </c>
      <c r="W113" s="18">
        <f>HLOOKUP(REG_TRA_DEMANDS!W$3,'BY-Demands'!$J$5:$AK$14,MATCH($E113,'BY-Demands'!$I$5:$I$14,0),FALSE)*HLOOKUP(REG_TRA_DEMANDS!$F113,DEMANDS!$G$2:$CK$25,MATCH($E113,DEMANDS!$E$2:$E$25,0),FALSE)/HLOOKUP(2018,DEMANDS!$G$2:$CK$25,MATCH($E113,DEMANDS!$E$2:$E$25,0),FALSE)</f>
        <v>0.28868148997421322</v>
      </c>
      <c r="X113" s="18">
        <f>HLOOKUP(REG_TRA_DEMANDS!X$3,'BY-Demands'!$J$5:$AK$14,MATCH($E113,'BY-Demands'!$I$5:$I$14,0),FALSE)*HLOOKUP(REG_TRA_DEMANDS!$F113,DEMANDS!$G$2:$CK$25,MATCH($E113,DEMANDS!$E$2:$E$25,0),FALSE)/HLOOKUP(2018,DEMANDS!$G$2:$CK$25,MATCH($E113,DEMANDS!$E$2:$E$25,0),FALSE)</f>
        <v>0.21019887297164064</v>
      </c>
      <c r="Y113" s="18">
        <f>HLOOKUP(REG_TRA_DEMANDS!Y$3,'BY-Demands'!$J$5:$AK$14,MATCH($E113,'BY-Demands'!$I$5:$I$14,0),FALSE)*HLOOKUP(REG_TRA_DEMANDS!$F113,DEMANDS!$G$2:$CK$25,MATCH($E113,DEMANDS!$E$2:$E$25,0),FALSE)/HLOOKUP(2018,DEMANDS!$G$2:$CK$25,MATCH($E113,DEMANDS!$E$2:$E$25,0),FALSE)</f>
        <v>0.46690797377526899</v>
      </c>
      <c r="Z113" s="18">
        <f>HLOOKUP(REG_TRA_DEMANDS!Z$3,'BY-Demands'!$J$5:$AK$14,MATCH($E113,'BY-Demands'!$I$5:$I$14,0),FALSE)*HLOOKUP(REG_TRA_DEMANDS!$F113,DEMANDS!$G$2:$CK$25,MATCH($E113,DEMANDS!$E$2:$E$25,0),FALSE)/HLOOKUP(2018,DEMANDS!$G$2:$CK$25,MATCH($E113,DEMANDS!$E$2:$E$25,0),FALSE)</f>
        <v>0.057977660493589413</v>
      </c>
      <c r="AA113" s="18">
        <f>HLOOKUP(REG_TRA_DEMANDS!AA$3,'BY-Demands'!$J$5:$AK$14,MATCH($E113,'BY-Demands'!$I$5:$I$14,0),FALSE)*HLOOKUP(REG_TRA_DEMANDS!$F113,DEMANDS!$G$2:$CK$25,MATCH($E113,DEMANDS!$E$2:$E$25,0),FALSE)/HLOOKUP(2018,DEMANDS!$G$2:$CK$25,MATCH($E113,DEMANDS!$E$2:$E$25,0),FALSE)</f>
        <v>0.2361281531031352</v>
      </c>
      <c r="AB113" s="18">
        <f>HLOOKUP(REG_TRA_DEMANDS!AB$3,'BY-Demands'!$J$5:$AK$14,MATCH($E113,'BY-Demands'!$I$5:$I$14,0),FALSE)*HLOOKUP(REG_TRA_DEMANDS!$F113,DEMANDS!$G$2:$CK$25,MATCH($E113,DEMANDS!$E$2:$E$25,0),FALSE)/HLOOKUP(2018,DEMANDS!$G$2:$CK$25,MATCH($E113,DEMANDS!$E$2:$E$25,0),FALSE)</f>
        <v>0.11678036820928248</v>
      </c>
      <c r="AC113" s="18">
        <f>HLOOKUP(REG_TRA_DEMANDS!AC$3,'BY-Demands'!$J$5:$AK$14,MATCH($E113,'BY-Demands'!$I$5:$I$14,0),FALSE)*HLOOKUP(REG_TRA_DEMANDS!$F113,DEMANDS!$G$2:$CK$25,MATCH($E113,DEMANDS!$E$2:$E$25,0),FALSE)/HLOOKUP(2018,DEMANDS!$G$2:$CK$25,MATCH($E113,DEMANDS!$E$2:$E$25,0),FALSE)</f>
        <v>0.11857339846609016</v>
      </c>
      <c r="AD113" s="18">
        <f>HLOOKUP(REG_TRA_DEMANDS!AD$3,'BY-Demands'!$J$5:$AK$14,MATCH($E113,'BY-Demands'!$I$5:$I$14,0),FALSE)*HLOOKUP(REG_TRA_DEMANDS!$F113,DEMANDS!$G$2:$CK$25,MATCH($E113,DEMANDS!$E$2:$E$25,0),FALSE)/HLOOKUP(2018,DEMANDS!$G$2:$CK$25,MATCH($E113,DEMANDS!$E$2:$E$25,0),FALSE)</f>
        <v>0.13782630962924983</v>
      </c>
      <c r="AE113" s="18">
        <f>HLOOKUP(REG_TRA_DEMANDS!AE$3,'BY-Demands'!$J$5:$AK$14,MATCH($E113,'BY-Demands'!$I$5:$I$14,0),FALSE)*HLOOKUP(REG_TRA_DEMANDS!$F113,DEMANDS!$G$2:$CK$25,MATCH($E113,DEMANDS!$E$2:$E$25,0),FALSE)/HLOOKUP(2018,DEMANDS!$G$2:$CK$25,MATCH($E113,DEMANDS!$E$2:$E$25,0),FALSE)</f>
        <v>0.28802832759004793</v>
      </c>
      <c r="AF113" s="18">
        <f>HLOOKUP(REG_TRA_DEMANDS!AF$3,'BY-Demands'!$J$5:$AK$14,MATCH($E113,'BY-Demands'!$I$5:$I$14,0),FALSE)*HLOOKUP(REG_TRA_DEMANDS!$F113,DEMANDS!$G$2:$CK$25,MATCH($E113,DEMANDS!$E$2:$E$25,0),FALSE)/HLOOKUP(2018,DEMANDS!$G$2:$CK$25,MATCH($E113,DEMANDS!$E$2:$E$25,0),FALSE)</f>
        <v>0.11106655433340036</v>
      </c>
    </row>
    <row r="114" spans="4:32" ht="14.4">
      <c r="D114" t="s">
        <v>6</v>
      </c>
      <c r="E114" t="str">
        <f>DEMANDS!$E$21</f>
        <v>TTURS</v>
      </c>
      <c r="F114">
        <v>2022</v>
      </c>
      <c r="G114" s="18">
        <f>HLOOKUP(REG_TRA_DEMANDS!G$3,'BY-Demands'!$J$5:$AK$14,MATCH($E114,'BY-Demands'!$I$5:$I$14,0),FALSE)*HLOOKUP(REG_TRA_DEMANDS!$F114,DEMANDS!$G$2:$CK$25,MATCH($E114,DEMANDS!$E$2:$E$25,0),FALSE)/HLOOKUP(2018,DEMANDS!$G$2:$CK$25,MATCH($E114,DEMANDS!$E$2:$E$25,0),FALSE)</f>
        <v>0.091837705905009476</v>
      </c>
      <c r="H114" s="18">
        <f>HLOOKUP(REG_TRA_DEMANDS!H$3,'BY-Demands'!$J$5:$AK$14,MATCH($E114,'BY-Demands'!$I$5:$I$14,0),FALSE)*HLOOKUP(REG_TRA_DEMANDS!$F114,DEMANDS!$G$2:$CK$25,MATCH($E114,DEMANDS!$E$2:$E$25,0),FALSE)/HLOOKUP(2018,DEMANDS!$G$2:$CK$25,MATCH($E114,DEMANDS!$E$2:$E$25,0),FALSE)</f>
        <v>2.1734412911977099</v>
      </c>
      <c r="I114" s="18">
        <f>HLOOKUP(REG_TRA_DEMANDS!I$3,'BY-Demands'!$J$5:$AK$14,MATCH($E114,'BY-Demands'!$I$5:$I$14,0),FALSE)*HLOOKUP(REG_TRA_DEMANDS!$F114,DEMANDS!$G$2:$CK$25,MATCH($E114,DEMANDS!$E$2:$E$25,0),FALSE)/HLOOKUP(2018,DEMANDS!$G$2:$CK$25,MATCH($E114,DEMANDS!$E$2:$E$25,0),FALSE)</f>
        <v>0.35892392529136918</v>
      </c>
      <c r="J114" s="18">
        <f>HLOOKUP(REG_TRA_DEMANDS!J$3,'BY-Demands'!$J$5:$AK$14,MATCH($E114,'BY-Demands'!$I$5:$I$14,0),FALSE)*HLOOKUP(REG_TRA_DEMANDS!$F114,DEMANDS!$G$2:$CK$25,MATCH($E114,DEMANDS!$E$2:$E$25,0),FALSE)/HLOOKUP(2018,DEMANDS!$G$2:$CK$25,MATCH($E114,DEMANDS!$E$2:$E$25,0),FALSE)</f>
        <v>0.16007235355100646</v>
      </c>
      <c r="K114" s="18">
        <f>HLOOKUP(REG_TRA_DEMANDS!K$3,'BY-Demands'!$J$5:$AK$14,MATCH($E114,'BY-Demands'!$I$5:$I$14,0),FALSE)*HLOOKUP(REG_TRA_DEMANDS!$F114,DEMANDS!$G$2:$CK$25,MATCH($E114,DEMANDS!$E$2:$E$25,0),FALSE)/HLOOKUP(2018,DEMANDS!$G$2:$CK$25,MATCH($E114,DEMANDS!$E$2:$E$25,0),FALSE)</f>
        <v>0.1366257671790308</v>
      </c>
      <c r="L114" s="18">
        <f>HLOOKUP(REG_TRA_DEMANDS!L$3,'BY-Demands'!$J$5:$AK$14,MATCH($E114,'BY-Demands'!$I$5:$I$14,0),FALSE)*HLOOKUP(REG_TRA_DEMANDS!$F114,DEMANDS!$G$2:$CK$25,MATCH($E114,DEMANDS!$E$2:$E$25,0),FALSE)/HLOOKUP(2018,DEMANDS!$G$2:$CK$25,MATCH($E114,DEMANDS!$E$2:$E$25,0),FALSE)</f>
        <v>0.065932736483093002</v>
      </c>
      <c r="M114" s="18">
        <f>HLOOKUP(REG_TRA_DEMANDS!M$3,'BY-Demands'!$J$5:$AK$14,MATCH($E114,'BY-Demands'!$I$5:$I$14,0),FALSE)*HLOOKUP(REG_TRA_DEMANDS!$F114,DEMANDS!$G$2:$CK$25,MATCH($E114,DEMANDS!$E$2:$E$25,0),FALSE)/HLOOKUP(2018,DEMANDS!$G$2:$CK$25,MATCH($E114,DEMANDS!$E$2:$E$25,0),FALSE)</f>
        <v>0.20790435761717901</v>
      </c>
      <c r="N114" s="18">
        <f>HLOOKUP(REG_TRA_DEMANDS!N$3,'BY-Demands'!$J$5:$AK$14,MATCH($E114,'BY-Demands'!$I$5:$I$14,0),FALSE)*HLOOKUP(REG_TRA_DEMANDS!$F114,DEMANDS!$G$2:$CK$25,MATCH($E114,DEMANDS!$E$2:$E$25,0),FALSE)/HLOOKUP(2018,DEMANDS!$G$2:$CK$25,MATCH($E114,DEMANDS!$E$2:$E$25,0),FALSE)</f>
        <v>0.31462786324978359</v>
      </c>
      <c r="O114" s="18">
        <f>HLOOKUP(REG_TRA_DEMANDS!O$3,'BY-Demands'!$J$5:$AK$14,MATCH($E114,'BY-Demands'!$I$5:$I$14,0),FALSE)*HLOOKUP(REG_TRA_DEMANDS!$F114,DEMANDS!$G$2:$CK$25,MATCH($E114,DEMANDS!$E$2:$E$25,0),FALSE)/HLOOKUP(2018,DEMANDS!$G$2:$CK$25,MATCH($E114,DEMANDS!$E$2:$E$25,0),FALSE)</f>
        <v>0.12575984314727132</v>
      </c>
      <c r="P114" s="18">
        <f>HLOOKUP(REG_TRA_DEMANDS!P$3,'BY-Demands'!$J$5:$AK$14,MATCH($E114,'BY-Demands'!$I$5:$I$14,0),FALSE)*HLOOKUP(REG_TRA_DEMANDS!$F114,DEMANDS!$G$2:$CK$25,MATCH($E114,DEMANDS!$E$2:$E$25,0),FALSE)/HLOOKUP(2018,DEMANDS!$G$2:$CK$25,MATCH($E114,DEMANDS!$E$2:$E$25,0),FALSE)</f>
        <v>0.1431959733223441</v>
      </c>
      <c r="Q114" s="18">
        <f>HLOOKUP(REG_TRA_DEMANDS!Q$3,'BY-Demands'!$J$5:$AK$14,MATCH($E114,'BY-Demands'!$I$5:$I$14,0),FALSE)*HLOOKUP(REG_TRA_DEMANDS!$F114,DEMANDS!$G$2:$CK$25,MATCH($E114,DEMANDS!$E$2:$E$25,0),FALSE)/HLOOKUP(2018,DEMANDS!$G$2:$CK$25,MATCH($E114,DEMANDS!$E$2:$E$25,0),FALSE)</f>
        <v>0.24151839042207951</v>
      </c>
      <c r="R114" s="18">
        <f>HLOOKUP(REG_TRA_DEMANDS!R$3,'BY-Demands'!$J$5:$AK$14,MATCH($E114,'BY-Demands'!$I$5:$I$14,0),FALSE)*HLOOKUP(REG_TRA_DEMANDS!$F114,DEMANDS!$G$2:$CK$25,MATCH($E114,DEMANDS!$E$2:$E$25,0),FALSE)/HLOOKUP(2018,DEMANDS!$G$2:$CK$25,MATCH($E114,DEMANDS!$E$2:$E$25,0),FALSE)</f>
        <v>0.22974751042508584</v>
      </c>
      <c r="S114" s="18">
        <f>HLOOKUP(REG_TRA_DEMANDS!S$3,'BY-Demands'!$J$5:$AK$14,MATCH($E114,'BY-Demands'!$I$5:$I$14,0),FALSE)*HLOOKUP(REG_TRA_DEMANDS!$F114,DEMANDS!$G$2:$CK$25,MATCH($E114,DEMANDS!$E$2:$E$25,0),FALSE)/HLOOKUP(2018,DEMANDS!$G$2:$CK$25,MATCH($E114,DEMANDS!$E$2:$E$25,0),FALSE)</f>
        <v>0.19166515672232687</v>
      </c>
      <c r="T114" s="18">
        <f>HLOOKUP(REG_TRA_DEMANDS!T$3,'BY-Demands'!$J$5:$AK$14,MATCH($E114,'BY-Demands'!$I$5:$I$14,0),FALSE)*HLOOKUP(REG_TRA_DEMANDS!$F114,DEMANDS!$G$2:$CK$25,MATCH($E114,DEMANDS!$E$2:$E$25,0),FALSE)/HLOOKUP(2018,DEMANDS!$G$2:$CK$25,MATCH($E114,DEMANDS!$E$2:$E$25,0),FALSE)</f>
        <v>0.87570701414390317</v>
      </c>
      <c r="U114" s="18">
        <f>HLOOKUP(REG_TRA_DEMANDS!U$3,'BY-Demands'!$J$5:$AK$14,MATCH($E114,'BY-Demands'!$I$5:$I$14,0),FALSE)*HLOOKUP(REG_TRA_DEMANDS!$F114,DEMANDS!$G$2:$CK$25,MATCH($E114,DEMANDS!$E$2:$E$25,0),FALSE)/HLOOKUP(2018,DEMANDS!$G$2:$CK$25,MATCH($E114,DEMANDS!$E$2:$E$25,0),FALSE)</f>
        <v>0.23826796926352917</v>
      </c>
      <c r="V114" s="18">
        <f>HLOOKUP(REG_TRA_DEMANDS!V$3,'BY-Demands'!$J$5:$AK$14,MATCH($E114,'BY-Demands'!$I$5:$I$14,0),FALSE)*HLOOKUP(REG_TRA_DEMANDS!$F114,DEMANDS!$G$2:$CK$25,MATCH($E114,DEMANDS!$E$2:$E$25,0),FALSE)/HLOOKUP(2018,DEMANDS!$G$2:$CK$25,MATCH($E114,DEMANDS!$E$2:$E$25,0),FALSE)</f>
        <v>0.3143939619753468</v>
      </c>
      <c r="W114" s="18">
        <f>HLOOKUP(REG_TRA_DEMANDS!W$3,'BY-Demands'!$J$5:$AK$14,MATCH($E114,'BY-Demands'!$I$5:$I$14,0),FALSE)*HLOOKUP(REG_TRA_DEMANDS!$F114,DEMANDS!$G$2:$CK$25,MATCH($E114,DEMANDS!$E$2:$E$25,0),FALSE)/HLOOKUP(2018,DEMANDS!$G$2:$CK$25,MATCH($E114,DEMANDS!$E$2:$E$25,0),FALSE)</f>
        <v>0.25737689682888343</v>
      </c>
      <c r="X114" s="18">
        <f>HLOOKUP(REG_TRA_DEMANDS!X$3,'BY-Demands'!$J$5:$AK$14,MATCH($E114,'BY-Demands'!$I$5:$I$14,0),FALSE)*HLOOKUP(REG_TRA_DEMANDS!$F114,DEMANDS!$G$2:$CK$25,MATCH($E114,DEMANDS!$E$2:$E$25,0),FALSE)/HLOOKUP(2018,DEMANDS!$G$2:$CK$25,MATCH($E114,DEMANDS!$E$2:$E$25,0),FALSE)</f>
        <v>0.18740492730310521</v>
      </c>
      <c r="Y114" s="18">
        <f>HLOOKUP(REG_TRA_DEMANDS!Y$3,'BY-Demands'!$J$5:$AK$14,MATCH($E114,'BY-Demands'!$I$5:$I$14,0),FALSE)*HLOOKUP(REG_TRA_DEMANDS!$F114,DEMANDS!$G$2:$CK$25,MATCH($E114,DEMANDS!$E$2:$E$25,0),FALSE)/HLOOKUP(2018,DEMANDS!$G$2:$CK$25,MATCH($E114,DEMANDS!$E$2:$E$25,0),FALSE)</f>
        <v>0.41627651778323177</v>
      </c>
      <c r="Z114" s="18">
        <f>HLOOKUP(REG_TRA_DEMANDS!Z$3,'BY-Demands'!$J$5:$AK$14,MATCH($E114,'BY-Demands'!$I$5:$I$14,0),FALSE)*HLOOKUP(REG_TRA_DEMANDS!$F114,DEMANDS!$G$2:$CK$25,MATCH($E114,DEMANDS!$E$2:$E$25,0),FALSE)/HLOOKUP(2018,DEMANDS!$G$2:$CK$25,MATCH($E114,DEMANDS!$E$2:$E$25,0),FALSE)</f>
        <v>0.051690568538258291</v>
      </c>
      <c r="AA114" s="18">
        <f>HLOOKUP(REG_TRA_DEMANDS!AA$3,'BY-Demands'!$J$5:$AK$14,MATCH($E114,'BY-Demands'!$I$5:$I$14,0),FALSE)*HLOOKUP(REG_TRA_DEMANDS!$F114,DEMANDS!$G$2:$CK$25,MATCH($E114,DEMANDS!$E$2:$E$25,0),FALSE)/HLOOKUP(2018,DEMANDS!$G$2:$CK$25,MATCH($E114,DEMANDS!$E$2:$E$25,0),FALSE)</f>
        <v>0.21052243877863147</v>
      </c>
      <c r="AB114" s="18">
        <f>HLOOKUP(REG_TRA_DEMANDS!AB$3,'BY-Demands'!$J$5:$AK$14,MATCH($E114,'BY-Demands'!$I$5:$I$14,0),FALSE)*HLOOKUP(REG_TRA_DEMANDS!$F114,DEMANDS!$G$2:$CK$25,MATCH($E114,DEMANDS!$E$2:$E$25,0),FALSE)/HLOOKUP(2018,DEMANDS!$G$2:$CK$25,MATCH($E114,DEMANDS!$E$2:$E$25,0),FALSE)</f>
        <v>0.10411671625681421</v>
      </c>
      <c r="AC114" s="18">
        <f>HLOOKUP(REG_TRA_DEMANDS!AC$3,'BY-Demands'!$J$5:$AK$14,MATCH($E114,'BY-Demands'!$I$5:$I$14,0),FALSE)*HLOOKUP(REG_TRA_DEMANDS!$F114,DEMANDS!$G$2:$CK$25,MATCH($E114,DEMANDS!$E$2:$E$25,0),FALSE)/HLOOKUP(2018,DEMANDS!$G$2:$CK$25,MATCH($E114,DEMANDS!$E$2:$E$25,0),FALSE)</f>
        <v>0.10571531048417072</v>
      </c>
      <c r="AD114" s="18">
        <f>HLOOKUP(REG_TRA_DEMANDS!AD$3,'BY-Demands'!$J$5:$AK$14,MATCH($E114,'BY-Demands'!$I$5:$I$14,0),FALSE)*HLOOKUP(REG_TRA_DEMANDS!$F114,DEMANDS!$G$2:$CK$25,MATCH($E114,DEMANDS!$E$2:$E$25,0),FALSE)/HLOOKUP(2018,DEMANDS!$G$2:$CK$25,MATCH($E114,DEMANDS!$E$2:$E$25,0),FALSE)</f>
        <v>0.12288043780334469</v>
      </c>
      <c r="AE114" s="18">
        <f>HLOOKUP(REG_TRA_DEMANDS!AE$3,'BY-Demands'!$J$5:$AK$14,MATCH($E114,'BY-Demands'!$I$5:$I$14,0),FALSE)*HLOOKUP(REG_TRA_DEMANDS!$F114,DEMANDS!$G$2:$CK$25,MATCH($E114,DEMANDS!$E$2:$E$25,0),FALSE)/HLOOKUP(2018,DEMANDS!$G$2:$CK$25,MATCH($E114,DEMANDS!$E$2:$E$25,0),FALSE)</f>
        <v>0.25679456331114792</v>
      </c>
      <c r="AF114" s="18">
        <f>HLOOKUP(REG_TRA_DEMANDS!AF$3,'BY-Demands'!$J$5:$AK$14,MATCH($E114,'BY-Demands'!$I$5:$I$14,0),FALSE)*HLOOKUP(REG_TRA_DEMANDS!$F114,DEMANDS!$G$2:$CK$25,MATCH($E114,DEMANDS!$E$2:$E$25,0),FALSE)/HLOOKUP(2018,DEMANDS!$G$2:$CK$25,MATCH($E114,DEMANDS!$E$2:$E$25,0),FALSE)</f>
        <v>0.099022507810807792</v>
      </c>
    </row>
    <row r="115" spans="4:32" ht="14.4">
      <c r="D115" t="s">
        <v>6</v>
      </c>
      <c r="E115" t="str">
        <f>DEMANDS!$E$21</f>
        <v>TTURS</v>
      </c>
      <c r="F115">
        <v>2023</v>
      </c>
      <c r="G115" s="18">
        <f>HLOOKUP(REG_TRA_DEMANDS!G$3,'BY-Demands'!$J$5:$AK$14,MATCH($E115,'BY-Demands'!$I$5:$I$14,0),FALSE)*HLOOKUP(REG_TRA_DEMANDS!$F115,DEMANDS!$G$2:$CK$25,MATCH($E115,DEMANDS!$E$2:$E$25,0),FALSE)/HLOOKUP(2018,DEMANDS!$G$2:$CK$25,MATCH($E115,DEMANDS!$E$2:$E$25,0),FALSE)</f>
        <v>0.080667542404793777</v>
      </c>
      <c r="H115" s="18">
        <f>HLOOKUP(REG_TRA_DEMANDS!H$3,'BY-Demands'!$J$5:$AK$14,MATCH($E115,'BY-Demands'!$I$5:$I$14,0),FALSE)*HLOOKUP(REG_TRA_DEMANDS!$F115,DEMANDS!$G$2:$CK$25,MATCH($E115,DEMANDS!$E$2:$E$25,0),FALSE)/HLOOKUP(2018,DEMANDS!$G$2:$CK$25,MATCH($E115,DEMANDS!$E$2:$E$25,0),FALSE)</f>
        <v>1.9090869680843967</v>
      </c>
      <c r="I115" s="18">
        <f>HLOOKUP(REG_TRA_DEMANDS!I$3,'BY-Demands'!$J$5:$AK$14,MATCH($E115,'BY-Demands'!$I$5:$I$14,0),FALSE)*HLOOKUP(REG_TRA_DEMANDS!$F115,DEMANDS!$G$2:$CK$25,MATCH($E115,DEMANDS!$E$2:$E$25,0),FALSE)/HLOOKUP(2018,DEMANDS!$G$2:$CK$25,MATCH($E115,DEMANDS!$E$2:$E$25,0),FALSE)</f>
        <v>0.31526822973435392</v>
      </c>
      <c r="J115" s="18">
        <f>HLOOKUP(REG_TRA_DEMANDS!J$3,'BY-Demands'!$J$5:$AK$14,MATCH($E115,'BY-Demands'!$I$5:$I$14,0),FALSE)*HLOOKUP(REG_TRA_DEMANDS!$F115,DEMANDS!$G$2:$CK$25,MATCH($E115,DEMANDS!$E$2:$E$25,0),FALSE)/HLOOKUP(2018,DEMANDS!$G$2:$CK$25,MATCH($E115,DEMANDS!$E$2:$E$25,0),FALSE)</f>
        <v>0.14060285196220926</v>
      </c>
      <c r="K115" s="18">
        <f>HLOOKUP(REG_TRA_DEMANDS!K$3,'BY-Demands'!$J$5:$AK$14,MATCH($E115,'BY-Demands'!$I$5:$I$14,0),FALSE)*HLOOKUP(REG_TRA_DEMANDS!$F115,DEMANDS!$G$2:$CK$25,MATCH($E115,DEMANDS!$E$2:$E$25,0),FALSE)/HLOOKUP(2018,DEMANDS!$G$2:$CK$25,MATCH($E115,DEMANDS!$E$2:$E$25,0),FALSE)</f>
        <v>0.12000805942279937</v>
      </c>
      <c r="L115" s="18">
        <f>HLOOKUP(REG_TRA_DEMANDS!L$3,'BY-Demands'!$J$5:$AK$14,MATCH($E115,'BY-Demands'!$I$5:$I$14,0),FALSE)*HLOOKUP(REG_TRA_DEMANDS!$F115,DEMANDS!$G$2:$CK$25,MATCH($E115,DEMANDS!$E$2:$E$25,0),FALSE)/HLOOKUP(2018,DEMANDS!$G$2:$CK$25,MATCH($E115,DEMANDS!$E$2:$E$25,0),FALSE)</f>
        <v>0.057913378428847313</v>
      </c>
      <c r="M115" s="18">
        <f>HLOOKUP(REG_TRA_DEMANDS!M$3,'BY-Demands'!$J$5:$AK$14,MATCH($E115,'BY-Demands'!$I$5:$I$14,0),FALSE)*HLOOKUP(REG_TRA_DEMANDS!$F115,DEMANDS!$G$2:$CK$25,MATCH($E115,DEMANDS!$E$2:$E$25,0),FALSE)/HLOOKUP(2018,DEMANDS!$G$2:$CK$25,MATCH($E115,DEMANDS!$E$2:$E$25,0),FALSE)</f>
        <v>0.18261707888883996</v>
      </c>
      <c r="N115" s="18">
        <f>HLOOKUP(REG_TRA_DEMANDS!N$3,'BY-Demands'!$J$5:$AK$14,MATCH($E115,'BY-Demands'!$I$5:$I$14,0),FALSE)*HLOOKUP(REG_TRA_DEMANDS!$F115,DEMANDS!$G$2:$CK$25,MATCH($E115,DEMANDS!$E$2:$E$25,0),FALSE)/HLOOKUP(2018,DEMANDS!$G$2:$CK$25,MATCH($E115,DEMANDS!$E$2:$E$25,0),FALSE)</f>
        <v>0.27635987038573406</v>
      </c>
      <c r="O115" s="18">
        <f>HLOOKUP(REG_TRA_DEMANDS!O$3,'BY-Demands'!$J$5:$AK$14,MATCH($E115,'BY-Demands'!$I$5:$I$14,0),FALSE)*HLOOKUP(REG_TRA_DEMANDS!$F115,DEMANDS!$G$2:$CK$25,MATCH($E115,DEMANDS!$E$2:$E$25,0),FALSE)/HLOOKUP(2018,DEMANDS!$G$2:$CK$25,MATCH($E115,DEMANDS!$E$2:$E$25,0),FALSE)</f>
        <v>0.1104637510261388</v>
      </c>
      <c r="P115" s="18">
        <f>HLOOKUP(REG_TRA_DEMANDS!P$3,'BY-Demands'!$J$5:$AK$14,MATCH($E115,'BY-Demands'!$I$5:$I$14,0),FALSE)*HLOOKUP(REG_TRA_DEMANDS!$F115,DEMANDS!$G$2:$CK$25,MATCH($E115,DEMANDS!$E$2:$E$25,0),FALSE)/HLOOKUP(2018,DEMANDS!$G$2:$CK$25,MATCH($E115,DEMANDS!$E$2:$E$25,0),FALSE)</f>
        <v>0.12577913544708683</v>
      </c>
      <c r="Q115" s="18">
        <f>HLOOKUP(REG_TRA_DEMANDS!Q$3,'BY-Demands'!$J$5:$AK$14,MATCH($E115,'BY-Demands'!$I$5:$I$14,0),FALSE)*HLOOKUP(REG_TRA_DEMANDS!$F115,DEMANDS!$G$2:$CK$25,MATCH($E115,DEMANDS!$E$2:$E$25,0),FALSE)/HLOOKUP(2018,DEMANDS!$G$2:$CK$25,MATCH($E115,DEMANDS!$E$2:$E$25,0),FALSE)</f>
        <v>0.2121426576254222</v>
      </c>
      <c r="R115" s="18">
        <f>HLOOKUP(REG_TRA_DEMANDS!R$3,'BY-Demands'!$J$5:$AK$14,MATCH($E115,'BY-Demands'!$I$5:$I$14,0),FALSE)*HLOOKUP(REG_TRA_DEMANDS!$F115,DEMANDS!$G$2:$CK$25,MATCH($E115,DEMANDS!$E$2:$E$25,0),FALSE)/HLOOKUP(2018,DEMANDS!$G$2:$CK$25,MATCH($E115,DEMANDS!$E$2:$E$25,0),FALSE)</f>
        <v>0.20180346249917036</v>
      </c>
      <c r="S115" s="18">
        <f>HLOOKUP(REG_TRA_DEMANDS!S$3,'BY-Demands'!$J$5:$AK$14,MATCH($E115,'BY-Demands'!$I$5:$I$14,0),FALSE)*HLOOKUP(REG_TRA_DEMANDS!$F115,DEMANDS!$G$2:$CK$25,MATCH($E115,DEMANDS!$E$2:$E$25,0),FALSE)/HLOOKUP(2018,DEMANDS!$G$2:$CK$25,MATCH($E115,DEMANDS!$E$2:$E$25,0),FALSE)</f>
        <v>0.16835304197833179</v>
      </c>
      <c r="T115" s="18">
        <f>HLOOKUP(REG_TRA_DEMANDS!T$3,'BY-Demands'!$J$5:$AK$14,MATCH($E115,'BY-Demands'!$I$5:$I$14,0),FALSE)*HLOOKUP(REG_TRA_DEMANDS!$F115,DEMANDS!$G$2:$CK$25,MATCH($E115,DEMANDS!$E$2:$E$25,0),FALSE)/HLOOKUP(2018,DEMANDS!$G$2:$CK$25,MATCH($E115,DEMANDS!$E$2:$E$25,0),FALSE)</f>
        <v>0.76919531037387767</v>
      </c>
      <c r="U115" s="18">
        <f>HLOOKUP(REG_TRA_DEMANDS!U$3,'BY-Demands'!$J$5:$AK$14,MATCH($E115,'BY-Demands'!$I$5:$I$14,0),FALSE)*HLOOKUP(REG_TRA_DEMANDS!$F115,DEMANDS!$G$2:$CK$25,MATCH($E115,DEMANDS!$E$2:$E$25,0),FALSE)/HLOOKUP(2018,DEMANDS!$G$2:$CK$25,MATCH($E115,DEMANDS!$E$2:$E$25,0),FALSE)</f>
        <v>0.20928758318669435</v>
      </c>
      <c r="V115" s="18">
        <f>HLOOKUP(REG_TRA_DEMANDS!V$3,'BY-Demands'!$J$5:$AK$14,MATCH($E115,'BY-Demands'!$I$5:$I$14,0),FALSE)*HLOOKUP(REG_TRA_DEMANDS!$F115,DEMANDS!$G$2:$CK$25,MATCH($E115,DEMANDS!$E$2:$E$25,0),FALSE)/HLOOKUP(2018,DEMANDS!$G$2:$CK$25,MATCH($E115,DEMANDS!$E$2:$E$25,0),FALSE)</f>
        <v>0.27615441837897681</v>
      </c>
      <c r="W115" s="18">
        <f>HLOOKUP(REG_TRA_DEMANDS!W$3,'BY-Demands'!$J$5:$AK$14,MATCH($E115,'BY-Demands'!$I$5:$I$14,0),FALSE)*HLOOKUP(REG_TRA_DEMANDS!$F115,DEMANDS!$G$2:$CK$25,MATCH($E115,DEMANDS!$E$2:$E$25,0),FALSE)/HLOOKUP(2018,DEMANDS!$G$2:$CK$25,MATCH($E115,DEMANDS!$E$2:$E$25,0),FALSE)</f>
        <v>0.2260723036835536</v>
      </c>
      <c r="X115" s="18">
        <f>HLOOKUP(REG_TRA_DEMANDS!X$3,'BY-Demands'!$J$5:$AK$14,MATCH($E115,'BY-Demands'!$I$5:$I$14,0),FALSE)*HLOOKUP(REG_TRA_DEMANDS!$F115,DEMANDS!$G$2:$CK$25,MATCH($E115,DEMANDS!$E$2:$E$25,0),FALSE)/HLOOKUP(2018,DEMANDS!$G$2:$CK$25,MATCH($E115,DEMANDS!$E$2:$E$25,0),FALSE)</f>
        <v>0.16461098163456978</v>
      </c>
      <c r="Y115" s="18">
        <f>HLOOKUP(REG_TRA_DEMANDS!Y$3,'BY-Demands'!$J$5:$AK$14,MATCH($E115,'BY-Demands'!$I$5:$I$14,0),FALSE)*HLOOKUP(REG_TRA_DEMANDS!$F115,DEMANDS!$G$2:$CK$25,MATCH($E115,DEMANDS!$E$2:$E$25,0),FALSE)/HLOOKUP(2018,DEMANDS!$G$2:$CK$25,MATCH($E115,DEMANDS!$E$2:$E$25,0),FALSE)</f>
        <v>0.36564506179119455</v>
      </c>
      <c r="Z115" s="18">
        <f>HLOOKUP(REG_TRA_DEMANDS!Z$3,'BY-Demands'!$J$5:$AK$14,MATCH($E115,'BY-Demands'!$I$5:$I$14,0),FALSE)*HLOOKUP(REG_TRA_DEMANDS!$F115,DEMANDS!$G$2:$CK$25,MATCH($E115,DEMANDS!$E$2:$E$25,0),FALSE)/HLOOKUP(2018,DEMANDS!$G$2:$CK$25,MATCH($E115,DEMANDS!$E$2:$E$25,0),FALSE)</f>
        <v>0.04540347658292717</v>
      </c>
      <c r="AA115" s="18">
        <f>HLOOKUP(REG_TRA_DEMANDS!AA$3,'BY-Demands'!$J$5:$AK$14,MATCH($E115,'BY-Demands'!$I$5:$I$14,0),FALSE)*HLOOKUP(REG_TRA_DEMANDS!$F115,DEMANDS!$G$2:$CK$25,MATCH($E115,DEMANDS!$E$2:$E$25,0),FALSE)/HLOOKUP(2018,DEMANDS!$G$2:$CK$25,MATCH($E115,DEMANDS!$E$2:$E$25,0),FALSE)</f>
        <v>0.18491672445412774</v>
      </c>
      <c r="AB115" s="18">
        <f>HLOOKUP(REG_TRA_DEMANDS!AB$3,'BY-Demands'!$J$5:$AK$14,MATCH($E115,'BY-Demands'!$I$5:$I$14,0),FALSE)*HLOOKUP(REG_TRA_DEMANDS!$F115,DEMANDS!$G$2:$CK$25,MATCH($E115,DEMANDS!$E$2:$E$25,0),FALSE)/HLOOKUP(2018,DEMANDS!$G$2:$CK$25,MATCH($E115,DEMANDS!$E$2:$E$25,0),FALSE)</f>
        <v>0.091453064304345938</v>
      </c>
      <c r="AC115" s="18">
        <f>HLOOKUP(REG_TRA_DEMANDS!AC$3,'BY-Demands'!$J$5:$AK$14,MATCH($E115,'BY-Demands'!$I$5:$I$14,0),FALSE)*HLOOKUP(REG_TRA_DEMANDS!$F115,DEMANDS!$G$2:$CK$25,MATCH($E115,DEMANDS!$E$2:$E$25,0),FALSE)/HLOOKUP(2018,DEMANDS!$G$2:$CK$25,MATCH($E115,DEMANDS!$E$2:$E$25,0),FALSE)</f>
        <v>0.092857222502251313</v>
      </c>
      <c r="AD115" s="18">
        <f>HLOOKUP(REG_TRA_DEMANDS!AD$3,'BY-Demands'!$J$5:$AK$14,MATCH($E115,'BY-Demands'!$I$5:$I$14,0),FALSE)*HLOOKUP(REG_TRA_DEMANDS!$F115,DEMANDS!$G$2:$CK$25,MATCH($E115,DEMANDS!$E$2:$E$25,0),FALSE)/HLOOKUP(2018,DEMANDS!$G$2:$CK$25,MATCH($E115,DEMANDS!$E$2:$E$25,0),FALSE)</f>
        <v>0.10793456597743951</v>
      </c>
      <c r="AE115" s="18">
        <f>HLOOKUP(REG_TRA_DEMANDS!AE$3,'BY-Demands'!$J$5:$AK$14,MATCH($E115,'BY-Demands'!$I$5:$I$14,0),FALSE)*HLOOKUP(REG_TRA_DEMANDS!$F115,DEMANDS!$G$2:$CK$25,MATCH($E115,DEMANDS!$E$2:$E$25,0),FALSE)/HLOOKUP(2018,DEMANDS!$G$2:$CK$25,MATCH($E115,DEMANDS!$E$2:$E$25,0),FALSE)</f>
        <v>0.22556079903224788</v>
      </c>
      <c r="AF115" s="18">
        <f>HLOOKUP(REG_TRA_DEMANDS!AF$3,'BY-Demands'!$J$5:$AK$14,MATCH($E115,'BY-Demands'!$I$5:$I$14,0),FALSE)*HLOOKUP(REG_TRA_DEMANDS!$F115,DEMANDS!$G$2:$CK$25,MATCH($E115,DEMANDS!$E$2:$E$25,0),FALSE)/HLOOKUP(2018,DEMANDS!$G$2:$CK$25,MATCH($E115,DEMANDS!$E$2:$E$25,0),FALSE)</f>
        <v>0.086978461288215222</v>
      </c>
    </row>
    <row r="116" spans="4:32" ht="14.4">
      <c r="D116" t="s">
        <v>6</v>
      </c>
      <c r="E116" t="str">
        <f>DEMANDS!$E$21</f>
        <v>TTURS</v>
      </c>
      <c r="F116">
        <v>2024</v>
      </c>
      <c r="G116" s="18">
        <f>HLOOKUP(REG_TRA_DEMANDS!G$3,'BY-Demands'!$J$5:$AK$14,MATCH($E116,'BY-Demands'!$I$5:$I$14,0),FALSE)*HLOOKUP(REG_TRA_DEMANDS!$F116,DEMANDS!$G$2:$CK$25,MATCH($E116,DEMANDS!$E$2:$E$25,0),FALSE)/HLOOKUP(2018,DEMANDS!$G$2:$CK$25,MATCH($E116,DEMANDS!$E$2:$E$25,0),FALSE)</f>
        <v>0.069497378904578105</v>
      </c>
      <c r="H116" s="18">
        <f>HLOOKUP(REG_TRA_DEMANDS!H$3,'BY-Demands'!$J$5:$AK$14,MATCH($E116,'BY-Demands'!$I$5:$I$14,0),FALSE)*HLOOKUP(REG_TRA_DEMANDS!$F116,DEMANDS!$G$2:$CK$25,MATCH($E116,DEMANDS!$E$2:$E$25,0),FALSE)/HLOOKUP(2018,DEMANDS!$G$2:$CK$25,MATCH($E116,DEMANDS!$E$2:$E$25,0),FALSE)</f>
        <v>1.6447326449710831</v>
      </c>
      <c r="I116" s="18">
        <f>HLOOKUP(REG_TRA_DEMANDS!I$3,'BY-Demands'!$J$5:$AK$14,MATCH($E116,'BY-Demands'!$I$5:$I$14,0),FALSE)*HLOOKUP(REG_TRA_DEMANDS!$F116,DEMANDS!$G$2:$CK$25,MATCH($E116,DEMANDS!$E$2:$E$25,0),FALSE)/HLOOKUP(2018,DEMANDS!$G$2:$CK$25,MATCH($E116,DEMANDS!$E$2:$E$25,0),FALSE)</f>
        <v>0.27161253417733866</v>
      </c>
      <c r="J116" s="18">
        <f>HLOOKUP(REG_TRA_DEMANDS!J$3,'BY-Demands'!$J$5:$AK$14,MATCH($E116,'BY-Demands'!$I$5:$I$14,0),FALSE)*HLOOKUP(REG_TRA_DEMANDS!$F116,DEMANDS!$G$2:$CK$25,MATCH($E116,DEMANDS!$E$2:$E$25,0),FALSE)/HLOOKUP(2018,DEMANDS!$G$2:$CK$25,MATCH($E116,DEMANDS!$E$2:$E$25,0),FALSE)</f>
        <v>0.12113335037341202</v>
      </c>
      <c r="K116" s="18">
        <f>HLOOKUP(REG_TRA_DEMANDS!K$3,'BY-Demands'!$J$5:$AK$14,MATCH($E116,'BY-Demands'!$I$5:$I$14,0),FALSE)*HLOOKUP(REG_TRA_DEMANDS!$F116,DEMANDS!$G$2:$CK$25,MATCH($E116,DEMANDS!$E$2:$E$25,0),FALSE)/HLOOKUP(2018,DEMANDS!$G$2:$CK$25,MATCH($E116,DEMANDS!$E$2:$E$25,0),FALSE)</f>
        <v>0.10339035166656793</v>
      </c>
      <c r="L116" s="18">
        <f>HLOOKUP(REG_TRA_DEMANDS!L$3,'BY-Demands'!$J$5:$AK$14,MATCH($E116,'BY-Demands'!$I$5:$I$14,0),FALSE)*HLOOKUP(REG_TRA_DEMANDS!$F116,DEMANDS!$G$2:$CK$25,MATCH($E116,DEMANDS!$E$2:$E$25,0),FALSE)/HLOOKUP(2018,DEMANDS!$G$2:$CK$25,MATCH($E116,DEMANDS!$E$2:$E$25,0),FALSE)</f>
        <v>0.049894020374601618</v>
      </c>
      <c r="M116" s="18">
        <f>HLOOKUP(REG_TRA_DEMANDS!M$3,'BY-Demands'!$J$5:$AK$14,MATCH($E116,'BY-Demands'!$I$5:$I$14,0),FALSE)*HLOOKUP(REG_TRA_DEMANDS!$F116,DEMANDS!$G$2:$CK$25,MATCH($E116,DEMANDS!$E$2:$E$25,0),FALSE)/HLOOKUP(2018,DEMANDS!$G$2:$CK$25,MATCH($E116,DEMANDS!$E$2:$E$25,0),FALSE)</f>
        <v>0.15732980016050091</v>
      </c>
      <c r="N116" s="18">
        <f>HLOOKUP(REG_TRA_DEMANDS!N$3,'BY-Demands'!$J$5:$AK$14,MATCH($E116,'BY-Demands'!$I$5:$I$14,0),FALSE)*HLOOKUP(REG_TRA_DEMANDS!$F116,DEMANDS!$G$2:$CK$25,MATCH($E116,DEMANDS!$E$2:$E$25,0),FALSE)/HLOOKUP(2018,DEMANDS!$G$2:$CK$25,MATCH($E116,DEMANDS!$E$2:$E$25,0),FALSE)</f>
        <v>0.23809187752168445</v>
      </c>
      <c r="O116" s="18">
        <f>HLOOKUP(REG_TRA_DEMANDS!O$3,'BY-Demands'!$J$5:$AK$14,MATCH($E116,'BY-Demands'!$I$5:$I$14,0),FALSE)*HLOOKUP(REG_TRA_DEMANDS!$F116,DEMANDS!$G$2:$CK$25,MATCH($E116,DEMANDS!$E$2:$E$25,0),FALSE)/HLOOKUP(2018,DEMANDS!$G$2:$CK$25,MATCH($E116,DEMANDS!$E$2:$E$25,0),FALSE)</f>
        <v>0.09516765890500628</v>
      </c>
      <c r="P116" s="18">
        <f>HLOOKUP(REG_TRA_DEMANDS!P$3,'BY-Demands'!$J$5:$AK$14,MATCH($E116,'BY-Demands'!$I$5:$I$14,0),FALSE)*HLOOKUP(REG_TRA_DEMANDS!$F116,DEMANDS!$G$2:$CK$25,MATCH($E116,DEMANDS!$E$2:$E$25,0),FALSE)/HLOOKUP(2018,DEMANDS!$G$2:$CK$25,MATCH($E116,DEMANDS!$E$2:$E$25,0),FALSE)</f>
        <v>0.10836229757182954</v>
      </c>
      <c r="Q116" s="18">
        <f>HLOOKUP(REG_TRA_DEMANDS!Q$3,'BY-Demands'!$J$5:$AK$14,MATCH($E116,'BY-Demands'!$I$5:$I$14,0),FALSE)*HLOOKUP(REG_TRA_DEMANDS!$F116,DEMANDS!$G$2:$CK$25,MATCH($E116,DEMANDS!$E$2:$E$25,0),FALSE)/HLOOKUP(2018,DEMANDS!$G$2:$CK$25,MATCH($E116,DEMANDS!$E$2:$E$25,0),FALSE)</f>
        <v>0.18276692482876489</v>
      </c>
      <c r="R116" s="18">
        <f>HLOOKUP(REG_TRA_DEMANDS!R$3,'BY-Demands'!$J$5:$AK$14,MATCH($E116,'BY-Demands'!$I$5:$I$14,0),FALSE)*HLOOKUP(REG_TRA_DEMANDS!$F116,DEMANDS!$G$2:$CK$25,MATCH($E116,DEMANDS!$E$2:$E$25,0),FALSE)/HLOOKUP(2018,DEMANDS!$G$2:$CK$25,MATCH($E116,DEMANDS!$E$2:$E$25,0),FALSE)</f>
        <v>0.17385941457325485</v>
      </c>
      <c r="S116" s="18">
        <f>HLOOKUP(REG_TRA_DEMANDS!S$3,'BY-Demands'!$J$5:$AK$14,MATCH($E116,'BY-Demands'!$I$5:$I$14,0),FALSE)*HLOOKUP(REG_TRA_DEMANDS!$F116,DEMANDS!$G$2:$CK$25,MATCH($E116,DEMANDS!$E$2:$E$25,0),FALSE)/HLOOKUP(2018,DEMANDS!$G$2:$CK$25,MATCH($E116,DEMANDS!$E$2:$E$25,0),FALSE)</f>
        <v>0.1450409272343367</v>
      </c>
      <c r="T116" s="18">
        <f>HLOOKUP(REG_TRA_DEMANDS!T$3,'BY-Demands'!$J$5:$AK$14,MATCH($E116,'BY-Demands'!$I$5:$I$14,0),FALSE)*HLOOKUP(REG_TRA_DEMANDS!$F116,DEMANDS!$G$2:$CK$25,MATCH($E116,DEMANDS!$E$2:$E$25,0),FALSE)/HLOOKUP(2018,DEMANDS!$G$2:$CK$25,MATCH($E116,DEMANDS!$E$2:$E$25,0),FALSE)</f>
        <v>0.66268360660385217</v>
      </c>
      <c r="U116" s="18">
        <f>HLOOKUP(REG_TRA_DEMANDS!U$3,'BY-Demands'!$J$5:$AK$14,MATCH($E116,'BY-Demands'!$I$5:$I$14,0),FALSE)*HLOOKUP(REG_TRA_DEMANDS!$F116,DEMANDS!$G$2:$CK$25,MATCH($E116,DEMANDS!$E$2:$E$25,0),FALSE)/HLOOKUP(2018,DEMANDS!$G$2:$CK$25,MATCH($E116,DEMANDS!$E$2:$E$25,0),FALSE)</f>
        <v>0.18030719710985951</v>
      </c>
      <c r="V116" s="18">
        <f>HLOOKUP(REG_TRA_DEMANDS!V$3,'BY-Demands'!$J$5:$AK$14,MATCH($E116,'BY-Demands'!$I$5:$I$14,0),FALSE)*HLOOKUP(REG_TRA_DEMANDS!$F116,DEMANDS!$G$2:$CK$25,MATCH($E116,DEMANDS!$E$2:$E$25,0),FALSE)/HLOOKUP(2018,DEMANDS!$G$2:$CK$25,MATCH($E116,DEMANDS!$E$2:$E$25,0),FALSE)</f>
        <v>0.23791487478260676</v>
      </c>
      <c r="W116" s="18">
        <f>HLOOKUP(REG_TRA_DEMANDS!W$3,'BY-Demands'!$J$5:$AK$14,MATCH($E116,'BY-Demands'!$I$5:$I$14,0),FALSE)*HLOOKUP(REG_TRA_DEMANDS!$F116,DEMANDS!$G$2:$CK$25,MATCH($E116,DEMANDS!$E$2:$E$25,0),FALSE)/HLOOKUP(2018,DEMANDS!$G$2:$CK$25,MATCH($E116,DEMANDS!$E$2:$E$25,0),FALSE)</f>
        <v>0.19476771053822381</v>
      </c>
      <c r="X116" s="18">
        <f>HLOOKUP(REG_TRA_DEMANDS!X$3,'BY-Demands'!$J$5:$AK$14,MATCH($E116,'BY-Demands'!$I$5:$I$14,0),FALSE)*HLOOKUP(REG_TRA_DEMANDS!$F116,DEMANDS!$G$2:$CK$25,MATCH($E116,DEMANDS!$E$2:$E$25,0),FALSE)/HLOOKUP(2018,DEMANDS!$G$2:$CK$25,MATCH($E116,DEMANDS!$E$2:$E$25,0),FALSE)</f>
        <v>0.14181703596603437</v>
      </c>
      <c r="Y116" s="18">
        <f>HLOOKUP(REG_TRA_DEMANDS!Y$3,'BY-Demands'!$J$5:$AK$14,MATCH($E116,'BY-Demands'!$I$5:$I$14,0),FALSE)*HLOOKUP(REG_TRA_DEMANDS!$F116,DEMANDS!$G$2:$CK$25,MATCH($E116,DEMANDS!$E$2:$E$25,0),FALSE)/HLOOKUP(2018,DEMANDS!$G$2:$CK$25,MATCH($E116,DEMANDS!$E$2:$E$25,0),FALSE)</f>
        <v>0.31501360579915738</v>
      </c>
      <c r="Z116" s="18">
        <f>HLOOKUP(REG_TRA_DEMANDS!Z$3,'BY-Demands'!$J$5:$AK$14,MATCH($E116,'BY-Demands'!$I$5:$I$14,0),FALSE)*HLOOKUP(REG_TRA_DEMANDS!$F116,DEMANDS!$G$2:$CK$25,MATCH($E116,DEMANDS!$E$2:$E$25,0),FALSE)/HLOOKUP(2018,DEMANDS!$G$2:$CK$25,MATCH($E116,DEMANDS!$E$2:$E$25,0),FALSE)</f>
        <v>0.039116384627596049</v>
      </c>
      <c r="AA116" s="18">
        <f>HLOOKUP(REG_TRA_DEMANDS!AA$3,'BY-Demands'!$J$5:$AK$14,MATCH($E116,'BY-Demands'!$I$5:$I$14,0),FALSE)*HLOOKUP(REG_TRA_DEMANDS!$F116,DEMANDS!$G$2:$CK$25,MATCH($E116,DEMANDS!$E$2:$E$25,0),FALSE)/HLOOKUP(2018,DEMANDS!$G$2:$CK$25,MATCH($E116,DEMANDS!$E$2:$E$25,0),FALSE)</f>
        <v>0.15931101012962401</v>
      </c>
      <c r="AB116" s="18">
        <f>HLOOKUP(REG_TRA_DEMANDS!AB$3,'BY-Demands'!$J$5:$AK$14,MATCH($E116,'BY-Demands'!$I$5:$I$14,0),FALSE)*HLOOKUP(REG_TRA_DEMANDS!$F116,DEMANDS!$G$2:$CK$25,MATCH($E116,DEMANDS!$E$2:$E$25,0),FALSE)/HLOOKUP(2018,DEMANDS!$G$2:$CK$25,MATCH($E116,DEMANDS!$E$2:$E$25,0),FALSE)</f>
        <v>0.078789412351877683</v>
      </c>
      <c r="AC116" s="18">
        <f>HLOOKUP(REG_TRA_DEMANDS!AC$3,'BY-Demands'!$J$5:$AK$14,MATCH($E116,'BY-Demands'!$I$5:$I$14,0),FALSE)*HLOOKUP(REG_TRA_DEMANDS!$F116,DEMANDS!$G$2:$CK$25,MATCH($E116,DEMANDS!$E$2:$E$25,0),FALSE)/HLOOKUP(2018,DEMANDS!$G$2:$CK$25,MATCH($E116,DEMANDS!$E$2:$E$25,0),FALSE)</f>
        <v>0.079999134520331888</v>
      </c>
      <c r="AD116" s="18">
        <f>HLOOKUP(REG_TRA_DEMANDS!AD$3,'BY-Demands'!$J$5:$AK$14,MATCH($E116,'BY-Demands'!$I$5:$I$14,0),FALSE)*HLOOKUP(REG_TRA_DEMANDS!$F116,DEMANDS!$G$2:$CK$25,MATCH($E116,DEMANDS!$E$2:$E$25,0),FALSE)/HLOOKUP(2018,DEMANDS!$G$2:$CK$25,MATCH($E116,DEMANDS!$E$2:$E$25,0),FALSE)</f>
        <v>0.092988694151534365</v>
      </c>
      <c r="AE116" s="18">
        <f>HLOOKUP(REG_TRA_DEMANDS!AE$3,'BY-Demands'!$J$5:$AK$14,MATCH($E116,'BY-Demands'!$I$5:$I$14,0),FALSE)*HLOOKUP(REG_TRA_DEMANDS!$F116,DEMANDS!$G$2:$CK$25,MATCH($E116,DEMANDS!$E$2:$E$25,0),FALSE)/HLOOKUP(2018,DEMANDS!$G$2:$CK$25,MATCH($E116,DEMANDS!$E$2:$E$25,0),FALSE)</f>
        <v>0.19432703475334784</v>
      </c>
      <c r="AF116" s="18">
        <f>HLOOKUP(REG_TRA_DEMANDS!AF$3,'BY-Demands'!$J$5:$AK$14,MATCH($E116,'BY-Demands'!$I$5:$I$14,0),FALSE)*HLOOKUP(REG_TRA_DEMANDS!$F116,DEMANDS!$G$2:$CK$25,MATCH($E116,DEMANDS!$E$2:$E$25,0),FALSE)/HLOOKUP(2018,DEMANDS!$G$2:$CK$25,MATCH($E116,DEMANDS!$E$2:$E$25,0),FALSE)</f>
        <v>0.074934414765622653</v>
      </c>
    </row>
    <row r="117" spans="4:32" ht="14.4">
      <c r="D117" t="s">
        <v>6</v>
      </c>
      <c r="E117" t="str">
        <f>DEMANDS!$E$21</f>
        <v>TTURS</v>
      </c>
      <c r="F117">
        <v>2025</v>
      </c>
      <c r="G117" s="18">
        <f>HLOOKUP(REG_TRA_DEMANDS!G$3,'BY-Demands'!$J$5:$AK$14,MATCH($E117,'BY-Demands'!$I$5:$I$14,0),FALSE)*HLOOKUP(REG_TRA_DEMANDS!$F117,DEMANDS!$G$2:$CK$25,MATCH($E117,DEMANDS!$E$2:$E$25,0),FALSE)/HLOOKUP(2018,DEMANDS!$G$2:$CK$25,MATCH($E117,DEMANDS!$E$2:$E$25,0),FALSE)</f>
        <v>0.058327215404362399</v>
      </c>
      <c r="H117" s="18">
        <f>HLOOKUP(REG_TRA_DEMANDS!H$3,'BY-Demands'!$J$5:$AK$14,MATCH($E117,'BY-Demands'!$I$5:$I$14,0),FALSE)*HLOOKUP(REG_TRA_DEMANDS!$F117,DEMANDS!$G$2:$CK$25,MATCH($E117,DEMANDS!$E$2:$E$25,0),FALSE)/HLOOKUP(2018,DEMANDS!$G$2:$CK$25,MATCH($E117,DEMANDS!$E$2:$E$25,0),FALSE)</f>
        <v>1.3803783218577697</v>
      </c>
      <c r="I117" s="18">
        <f>HLOOKUP(REG_TRA_DEMANDS!I$3,'BY-Demands'!$J$5:$AK$14,MATCH($E117,'BY-Demands'!$I$5:$I$14,0),FALSE)*HLOOKUP(REG_TRA_DEMANDS!$F117,DEMANDS!$G$2:$CK$25,MATCH($E117,DEMANDS!$E$2:$E$25,0),FALSE)/HLOOKUP(2018,DEMANDS!$G$2:$CK$25,MATCH($E117,DEMANDS!$E$2:$E$25,0),FALSE)</f>
        <v>0.2279568386203234</v>
      </c>
      <c r="J117" s="18">
        <f>HLOOKUP(REG_TRA_DEMANDS!J$3,'BY-Demands'!$J$5:$AK$14,MATCH($E117,'BY-Demands'!$I$5:$I$14,0),FALSE)*HLOOKUP(REG_TRA_DEMANDS!$F117,DEMANDS!$G$2:$CK$25,MATCH($E117,DEMANDS!$E$2:$E$25,0),FALSE)/HLOOKUP(2018,DEMANDS!$G$2:$CK$25,MATCH($E117,DEMANDS!$E$2:$E$25,0),FALSE)</f>
        <v>0.1016638487846148</v>
      </c>
      <c r="K117" s="18">
        <f>HLOOKUP(REG_TRA_DEMANDS!K$3,'BY-Demands'!$J$5:$AK$14,MATCH($E117,'BY-Demands'!$I$5:$I$14,0),FALSE)*HLOOKUP(REG_TRA_DEMANDS!$F117,DEMANDS!$G$2:$CK$25,MATCH($E117,DEMANDS!$E$2:$E$25,0),FALSE)/HLOOKUP(2018,DEMANDS!$G$2:$CK$25,MATCH($E117,DEMANDS!$E$2:$E$25,0),FALSE)</f>
        <v>0.086772643910336511</v>
      </c>
      <c r="L117" s="18">
        <f>HLOOKUP(REG_TRA_DEMANDS!L$3,'BY-Demands'!$J$5:$AK$14,MATCH($E117,'BY-Demands'!$I$5:$I$14,0),FALSE)*HLOOKUP(REG_TRA_DEMANDS!$F117,DEMANDS!$G$2:$CK$25,MATCH($E117,DEMANDS!$E$2:$E$25,0),FALSE)/HLOOKUP(2018,DEMANDS!$G$2:$CK$25,MATCH($E117,DEMANDS!$E$2:$E$25,0),FALSE)</f>
        <v>0.041874662320355922</v>
      </c>
      <c r="M117" s="18">
        <f>HLOOKUP(REG_TRA_DEMANDS!M$3,'BY-Demands'!$J$5:$AK$14,MATCH($E117,'BY-Demands'!$I$5:$I$14,0),FALSE)*HLOOKUP(REG_TRA_DEMANDS!$F117,DEMANDS!$G$2:$CK$25,MATCH($E117,DEMANDS!$E$2:$E$25,0),FALSE)/HLOOKUP(2018,DEMANDS!$G$2:$CK$25,MATCH($E117,DEMANDS!$E$2:$E$25,0),FALSE)</f>
        <v>0.13204252143216189</v>
      </c>
      <c r="N117" s="18">
        <f>HLOOKUP(REG_TRA_DEMANDS!N$3,'BY-Demands'!$J$5:$AK$14,MATCH($E117,'BY-Demands'!$I$5:$I$14,0),FALSE)*HLOOKUP(REG_TRA_DEMANDS!$F117,DEMANDS!$G$2:$CK$25,MATCH($E117,DEMANDS!$E$2:$E$25,0),FALSE)/HLOOKUP(2018,DEMANDS!$G$2:$CK$25,MATCH($E117,DEMANDS!$E$2:$E$25,0),FALSE)</f>
        <v>0.19982388465763487</v>
      </c>
      <c r="O117" s="18">
        <f>HLOOKUP(REG_TRA_DEMANDS!O$3,'BY-Demands'!$J$5:$AK$14,MATCH($E117,'BY-Demands'!$I$5:$I$14,0),FALSE)*HLOOKUP(REG_TRA_DEMANDS!$F117,DEMANDS!$G$2:$CK$25,MATCH($E117,DEMANDS!$E$2:$E$25,0),FALSE)/HLOOKUP(2018,DEMANDS!$G$2:$CK$25,MATCH($E117,DEMANDS!$E$2:$E$25,0),FALSE)</f>
        <v>0.079871566783873763</v>
      </c>
      <c r="P117" s="18">
        <f>HLOOKUP(REG_TRA_DEMANDS!P$3,'BY-Demands'!$J$5:$AK$14,MATCH($E117,'BY-Demands'!$I$5:$I$14,0),FALSE)*HLOOKUP(REG_TRA_DEMANDS!$F117,DEMANDS!$G$2:$CK$25,MATCH($E117,DEMANDS!$E$2:$E$25,0),FALSE)/HLOOKUP(2018,DEMANDS!$G$2:$CK$25,MATCH($E117,DEMANDS!$E$2:$E$25,0),FALSE)</f>
        <v>0.090945459696572264</v>
      </c>
      <c r="Q117" s="18">
        <f>HLOOKUP(REG_TRA_DEMANDS!Q$3,'BY-Demands'!$J$5:$AK$14,MATCH($E117,'BY-Demands'!$I$5:$I$14,0),FALSE)*HLOOKUP(REG_TRA_DEMANDS!$F117,DEMANDS!$G$2:$CK$25,MATCH($E117,DEMANDS!$E$2:$E$25,0),FALSE)/HLOOKUP(2018,DEMANDS!$G$2:$CK$25,MATCH($E117,DEMANDS!$E$2:$E$25,0),FALSE)</f>
        <v>0.15339119203210758</v>
      </c>
      <c r="R117" s="18">
        <f>HLOOKUP(REG_TRA_DEMANDS!R$3,'BY-Demands'!$J$5:$AK$14,MATCH($E117,'BY-Demands'!$I$5:$I$14,0),FALSE)*HLOOKUP(REG_TRA_DEMANDS!$F117,DEMANDS!$G$2:$CK$25,MATCH($E117,DEMANDS!$E$2:$E$25,0),FALSE)/HLOOKUP(2018,DEMANDS!$G$2:$CK$25,MATCH($E117,DEMANDS!$E$2:$E$25,0),FALSE)</f>
        <v>0.14591536664733934</v>
      </c>
      <c r="S117" s="18">
        <f>HLOOKUP(REG_TRA_DEMANDS!S$3,'BY-Demands'!$J$5:$AK$14,MATCH($E117,'BY-Demands'!$I$5:$I$14,0),FALSE)*HLOOKUP(REG_TRA_DEMANDS!$F117,DEMANDS!$G$2:$CK$25,MATCH($E117,DEMANDS!$E$2:$E$25,0),FALSE)/HLOOKUP(2018,DEMANDS!$G$2:$CK$25,MATCH($E117,DEMANDS!$E$2:$E$25,0),FALSE)</f>
        <v>0.12172881249034162</v>
      </c>
      <c r="T117" s="18">
        <f>HLOOKUP(REG_TRA_DEMANDS!T$3,'BY-Demands'!$J$5:$AK$14,MATCH($E117,'BY-Demands'!$I$5:$I$14,0),FALSE)*HLOOKUP(REG_TRA_DEMANDS!$F117,DEMANDS!$G$2:$CK$25,MATCH($E117,DEMANDS!$E$2:$E$25,0),FALSE)/HLOOKUP(2018,DEMANDS!$G$2:$CK$25,MATCH($E117,DEMANDS!$E$2:$E$25,0),FALSE)</f>
        <v>0.55617190283382656</v>
      </c>
      <c r="U117" s="18">
        <f>HLOOKUP(REG_TRA_DEMANDS!U$3,'BY-Demands'!$J$5:$AK$14,MATCH($E117,'BY-Demands'!$I$5:$I$14,0),FALSE)*HLOOKUP(REG_TRA_DEMANDS!$F117,DEMANDS!$G$2:$CK$25,MATCH($E117,DEMANDS!$E$2:$E$25,0),FALSE)/HLOOKUP(2018,DEMANDS!$G$2:$CK$25,MATCH($E117,DEMANDS!$E$2:$E$25,0),FALSE)</f>
        <v>0.15132681103302473</v>
      </c>
      <c r="V117" s="18">
        <f>HLOOKUP(REG_TRA_DEMANDS!V$3,'BY-Demands'!$J$5:$AK$14,MATCH($E117,'BY-Demands'!$I$5:$I$14,0),FALSE)*HLOOKUP(REG_TRA_DEMANDS!$F117,DEMANDS!$G$2:$CK$25,MATCH($E117,DEMANDS!$E$2:$E$25,0),FALSE)/HLOOKUP(2018,DEMANDS!$G$2:$CK$25,MATCH($E117,DEMANDS!$E$2:$E$25,0),FALSE)</f>
        <v>0.19967533118623673</v>
      </c>
      <c r="W117" s="18">
        <f>HLOOKUP(REG_TRA_DEMANDS!W$3,'BY-Demands'!$J$5:$AK$14,MATCH($E117,'BY-Demands'!$I$5:$I$14,0),FALSE)*HLOOKUP(REG_TRA_DEMANDS!$F117,DEMANDS!$G$2:$CK$25,MATCH($E117,DEMANDS!$E$2:$E$25,0),FALSE)/HLOOKUP(2018,DEMANDS!$G$2:$CK$25,MATCH($E117,DEMANDS!$E$2:$E$25,0),FALSE)</f>
        <v>0.16346311739289401</v>
      </c>
      <c r="X117" s="18">
        <f>HLOOKUP(REG_TRA_DEMANDS!X$3,'BY-Demands'!$J$5:$AK$14,MATCH($E117,'BY-Demands'!$I$5:$I$14,0),FALSE)*HLOOKUP(REG_TRA_DEMANDS!$F117,DEMANDS!$G$2:$CK$25,MATCH($E117,DEMANDS!$E$2:$E$25,0),FALSE)/HLOOKUP(2018,DEMANDS!$G$2:$CK$25,MATCH($E117,DEMANDS!$E$2:$E$25,0),FALSE)</f>
        <v>0.11902309029749894</v>
      </c>
      <c r="Y117" s="18">
        <f>HLOOKUP(REG_TRA_DEMANDS!Y$3,'BY-Demands'!$J$5:$AK$14,MATCH($E117,'BY-Demands'!$I$5:$I$14,0),FALSE)*HLOOKUP(REG_TRA_DEMANDS!$F117,DEMANDS!$G$2:$CK$25,MATCH($E117,DEMANDS!$E$2:$E$25,0),FALSE)/HLOOKUP(2018,DEMANDS!$G$2:$CK$25,MATCH($E117,DEMANDS!$E$2:$E$25,0),FALSE)</f>
        <v>0.2643821498071201</v>
      </c>
      <c r="Z117" s="18">
        <f>HLOOKUP(REG_TRA_DEMANDS!Z$3,'BY-Demands'!$J$5:$AK$14,MATCH($E117,'BY-Demands'!$I$5:$I$14,0),FALSE)*HLOOKUP(REG_TRA_DEMANDS!$F117,DEMANDS!$G$2:$CK$25,MATCH($E117,DEMANDS!$E$2:$E$25,0),FALSE)/HLOOKUP(2018,DEMANDS!$G$2:$CK$25,MATCH($E117,DEMANDS!$E$2:$E$25,0),FALSE)</f>
        <v>0.032829292672264934</v>
      </c>
      <c r="AA117" s="18">
        <f>HLOOKUP(REG_TRA_DEMANDS!AA$3,'BY-Demands'!$J$5:$AK$14,MATCH($E117,'BY-Demands'!$I$5:$I$14,0),FALSE)*HLOOKUP(REG_TRA_DEMANDS!$F117,DEMANDS!$G$2:$CK$25,MATCH($E117,DEMANDS!$E$2:$E$25,0),FALSE)/HLOOKUP(2018,DEMANDS!$G$2:$CK$25,MATCH($E117,DEMANDS!$E$2:$E$25,0),FALSE)</f>
        <v>0.13370529580512028</v>
      </c>
      <c r="AB117" s="18">
        <f>HLOOKUP(REG_TRA_DEMANDS!AB$3,'BY-Demands'!$J$5:$AK$14,MATCH($E117,'BY-Demands'!$I$5:$I$14,0),FALSE)*HLOOKUP(REG_TRA_DEMANDS!$F117,DEMANDS!$G$2:$CK$25,MATCH($E117,DEMANDS!$E$2:$E$25,0),FALSE)/HLOOKUP(2018,DEMANDS!$G$2:$CK$25,MATCH($E117,DEMANDS!$E$2:$E$25,0),FALSE)</f>
        <v>0.066125760399409414</v>
      </c>
      <c r="AC117" s="18">
        <f>HLOOKUP(REG_TRA_DEMANDS!AC$3,'BY-Demands'!$J$5:$AK$14,MATCH($E117,'BY-Demands'!$I$5:$I$14,0),FALSE)*HLOOKUP(REG_TRA_DEMANDS!$F117,DEMANDS!$G$2:$CK$25,MATCH($E117,DEMANDS!$E$2:$E$25,0),FALSE)/HLOOKUP(2018,DEMANDS!$G$2:$CK$25,MATCH($E117,DEMANDS!$E$2:$E$25,0),FALSE)</f>
        <v>0.067141046538412449</v>
      </c>
      <c r="AD117" s="18">
        <f>HLOOKUP(REG_TRA_DEMANDS!AD$3,'BY-Demands'!$J$5:$AK$14,MATCH($E117,'BY-Demands'!$I$5:$I$14,0),FALSE)*HLOOKUP(REG_TRA_DEMANDS!$F117,DEMANDS!$G$2:$CK$25,MATCH($E117,DEMANDS!$E$2:$E$25,0),FALSE)/HLOOKUP(2018,DEMANDS!$G$2:$CK$25,MATCH($E117,DEMANDS!$E$2:$E$25,0),FALSE)</f>
        <v>0.078042822325629202</v>
      </c>
      <c r="AE117" s="18">
        <f>HLOOKUP(REG_TRA_DEMANDS!AE$3,'BY-Demands'!$J$5:$AK$14,MATCH($E117,'BY-Demands'!$I$5:$I$14,0),FALSE)*HLOOKUP(REG_TRA_DEMANDS!$F117,DEMANDS!$G$2:$CK$25,MATCH($E117,DEMANDS!$E$2:$E$25,0),FALSE)/HLOOKUP(2018,DEMANDS!$G$2:$CK$25,MATCH($E117,DEMANDS!$E$2:$E$25,0),FALSE)</f>
        <v>0.1630932704744478</v>
      </c>
      <c r="AF117" s="18">
        <f>HLOOKUP(REG_TRA_DEMANDS!AF$3,'BY-Demands'!$J$5:$AK$14,MATCH($E117,'BY-Demands'!$I$5:$I$14,0),FALSE)*HLOOKUP(REG_TRA_DEMANDS!$F117,DEMANDS!$G$2:$CK$25,MATCH($E117,DEMANDS!$E$2:$E$25,0),FALSE)/HLOOKUP(2018,DEMANDS!$G$2:$CK$25,MATCH($E117,DEMANDS!$E$2:$E$25,0),FALSE)</f>
        <v>0.062890368243030098</v>
      </c>
    </row>
    <row r="118" spans="4:32" ht="14.4">
      <c r="D118" t="s">
        <v>6</v>
      </c>
      <c r="E118" t="str">
        <f>DEMANDS!$E$21</f>
        <v>TTURS</v>
      </c>
      <c r="F118">
        <v>2026</v>
      </c>
      <c r="G118" s="18">
        <f>HLOOKUP(REG_TRA_DEMANDS!G$3,'BY-Demands'!$J$5:$AK$14,MATCH($E118,'BY-Demands'!$I$5:$I$14,0),FALSE)*HLOOKUP(REG_TRA_DEMANDS!$F118,DEMANDS!$G$2:$CK$25,MATCH($E118,DEMANDS!$E$2:$E$25,0),FALSE)/HLOOKUP(2018,DEMANDS!$G$2:$CK$25,MATCH($E118,DEMANDS!$E$2:$E$25,0),FALSE)</f>
        <v>0.047157051904146714</v>
      </c>
      <c r="H118" s="18">
        <f>HLOOKUP(REG_TRA_DEMANDS!H$3,'BY-Demands'!$J$5:$AK$14,MATCH($E118,'BY-Demands'!$I$5:$I$14,0),FALSE)*HLOOKUP(REG_TRA_DEMANDS!$F118,DEMANDS!$G$2:$CK$25,MATCH($E118,DEMANDS!$E$2:$E$25,0),FALSE)/HLOOKUP(2018,DEMANDS!$G$2:$CK$25,MATCH($E118,DEMANDS!$E$2:$E$25,0),FALSE)</f>
        <v>1.1160239987444565</v>
      </c>
      <c r="I118" s="18">
        <f>HLOOKUP(REG_TRA_DEMANDS!I$3,'BY-Demands'!$J$5:$AK$14,MATCH($E118,'BY-Demands'!$I$5:$I$14,0),FALSE)*HLOOKUP(REG_TRA_DEMANDS!$F118,DEMANDS!$G$2:$CK$25,MATCH($E118,DEMANDS!$E$2:$E$25,0),FALSE)/HLOOKUP(2018,DEMANDS!$G$2:$CK$25,MATCH($E118,DEMANDS!$E$2:$E$25,0),FALSE)</f>
        <v>0.18430114306330819</v>
      </c>
      <c r="J118" s="18">
        <f>HLOOKUP(REG_TRA_DEMANDS!J$3,'BY-Demands'!$J$5:$AK$14,MATCH($E118,'BY-Demands'!$I$5:$I$14,0),FALSE)*HLOOKUP(REG_TRA_DEMANDS!$F118,DEMANDS!$G$2:$CK$25,MATCH($E118,DEMANDS!$E$2:$E$25,0),FALSE)/HLOOKUP(2018,DEMANDS!$G$2:$CK$25,MATCH($E118,DEMANDS!$E$2:$E$25,0),FALSE)</f>
        <v>0.082194347195817585</v>
      </c>
      <c r="K118" s="18">
        <f>HLOOKUP(REG_TRA_DEMANDS!K$3,'BY-Demands'!$J$5:$AK$14,MATCH($E118,'BY-Demands'!$I$5:$I$14,0),FALSE)*HLOOKUP(REG_TRA_DEMANDS!$F118,DEMANDS!$G$2:$CK$25,MATCH($E118,DEMANDS!$E$2:$E$25,0),FALSE)/HLOOKUP(2018,DEMANDS!$G$2:$CK$25,MATCH($E118,DEMANDS!$E$2:$E$25,0),FALSE)</f>
        <v>0.070154936154105091</v>
      </c>
      <c r="L118" s="18">
        <f>HLOOKUP(REG_TRA_DEMANDS!L$3,'BY-Demands'!$J$5:$AK$14,MATCH($E118,'BY-Demands'!$I$5:$I$14,0),FALSE)*HLOOKUP(REG_TRA_DEMANDS!$F118,DEMANDS!$G$2:$CK$25,MATCH($E118,DEMANDS!$E$2:$E$25,0),FALSE)/HLOOKUP(2018,DEMANDS!$G$2:$CK$25,MATCH($E118,DEMANDS!$E$2:$E$25,0),FALSE)</f>
        <v>0.033855304266110241</v>
      </c>
      <c r="M118" s="18">
        <f>HLOOKUP(REG_TRA_DEMANDS!M$3,'BY-Demands'!$J$5:$AK$14,MATCH($E118,'BY-Demands'!$I$5:$I$14,0),FALSE)*HLOOKUP(REG_TRA_DEMANDS!$F118,DEMANDS!$G$2:$CK$25,MATCH($E118,DEMANDS!$E$2:$E$25,0),FALSE)/HLOOKUP(2018,DEMANDS!$G$2:$CK$25,MATCH($E118,DEMANDS!$E$2:$E$25,0),FALSE)</f>
        <v>0.10675524270382285</v>
      </c>
      <c r="N118" s="18">
        <f>HLOOKUP(REG_TRA_DEMANDS!N$3,'BY-Demands'!$J$5:$AK$14,MATCH($E118,'BY-Demands'!$I$5:$I$14,0),FALSE)*HLOOKUP(REG_TRA_DEMANDS!$F118,DEMANDS!$G$2:$CK$25,MATCH($E118,DEMANDS!$E$2:$E$25,0),FALSE)/HLOOKUP(2018,DEMANDS!$G$2:$CK$25,MATCH($E118,DEMANDS!$E$2:$E$25,0),FALSE)</f>
        <v>0.16155589179358529</v>
      </c>
      <c r="O118" s="18">
        <f>HLOOKUP(REG_TRA_DEMANDS!O$3,'BY-Demands'!$J$5:$AK$14,MATCH($E118,'BY-Demands'!$I$5:$I$14,0),FALSE)*HLOOKUP(REG_TRA_DEMANDS!$F118,DEMANDS!$G$2:$CK$25,MATCH($E118,DEMANDS!$E$2:$E$25,0),FALSE)/HLOOKUP(2018,DEMANDS!$G$2:$CK$25,MATCH($E118,DEMANDS!$E$2:$E$25,0),FALSE)</f>
        <v>0.064575474662741258</v>
      </c>
      <c r="P118" s="18">
        <f>HLOOKUP(REG_TRA_DEMANDS!P$3,'BY-Demands'!$J$5:$AK$14,MATCH($E118,'BY-Demands'!$I$5:$I$14,0),FALSE)*HLOOKUP(REG_TRA_DEMANDS!$F118,DEMANDS!$G$2:$CK$25,MATCH($E118,DEMANDS!$E$2:$E$25,0),FALSE)/HLOOKUP(2018,DEMANDS!$G$2:$CK$25,MATCH($E118,DEMANDS!$E$2:$E$25,0),FALSE)</f>
        <v>0.073528621821315004</v>
      </c>
      <c r="Q118" s="18">
        <f>HLOOKUP(REG_TRA_DEMANDS!Q$3,'BY-Demands'!$J$5:$AK$14,MATCH($E118,'BY-Demands'!$I$5:$I$14,0),FALSE)*HLOOKUP(REG_TRA_DEMANDS!$F118,DEMANDS!$G$2:$CK$25,MATCH($E118,DEMANDS!$E$2:$E$25,0),FALSE)/HLOOKUP(2018,DEMANDS!$G$2:$CK$25,MATCH($E118,DEMANDS!$E$2:$E$25,0),FALSE)</f>
        <v>0.12401545923545029</v>
      </c>
      <c r="R118" s="18">
        <f>HLOOKUP(REG_TRA_DEMANDS!R$3,'BY-Demands'!$J$5:$AK$14,MATCH($E118,'BY-Demands'!$I$5:$I$14,0),FALSE)*HLOOKUP(REG_TRA_DEMANDS!$F118,DEMANDS!$G$2:$CK$25,MATCH($E118,DEMANDS!$E$2:$E$25,0),FALSE)/HLOOKUP(2018,DEMANDS!$G$2:$CK$25,MATCH($E118,DEMANDS!$E$2:$E$25,0),FALSE)</f>
        <v>0.11797131872142386</v>
      </c>
      <c r="S118" s="18">
        <f>HLOOKUP(REG_TRA_DEMANDS!S$3,'BY-Demands'!$J$5:$AK$14,MATCH($E118,'BY-Demands'!$I$5:$I$14,0),FALSE)*HLOOKUP(REG_TRA_DEMANDS!$F118,DEMANDS!$G$2:$CK$25,MATCH($E118,DEMANDS!$E$2:$E$25,0),FALSE)/HLOOKUP(2018,DEMANDS!$G$2:$CK$25,MATCH($E118,DEMANDS!$E$2:$E$25,0),FALSE)</f>
        <v>0.098416697746346538</v>
      </c>
      <c r="T118" s="18">
        <f>HLOOKUP(REG_TRA_DEMANDS!T$3,'BY-Demands'!$J$5:$AK$14,MATCH($E118,'BY-Demands'!$I$5:$I$14,0),FALSE)*HLOOKUP(REG_TRA_DEMANDS!$F118,DEMANDS!$G$2:$CK$25,MATCH($E118,DEMANDS!$E$2:$E$25,0),FALSE)/HLOOKUP(2018,DEMANDS!$G$2:$CK$25,MATCH($E118,DEMANDS!$E$2:$E$25,0),FALSE)</f>
        <v>0.44966019906380111</v>
      </c>
      <c r="U118" s="18">
        <f>HLOOKUP(REG_TRA_DEMANDS!U$3,'BY-Demands'!$J$5:$AK$14,MATCH($E118,'BY-Demands'!$I$5:$I$14,0),FALSE)*HLOOKUP(REG_TRA_DEMANDS!$F118,DEMANDS!$G$2:$CK$25,MATCH($E118,DEMANDS!$E$2:$E$25,0),FALSE)/HLOOKUP(2018,DEMANDS!$G$2:$CK$25,MATCH($E118,DEMANDS!$E$2:$E$25,0),FALSE)</f>
        <v>0.1223464249561899</v>
      </c>
      <c r="V118" s="18">
        <f>HLOOKUP(REG_TRA_DEMANDS!V$3,'BY-Demands'!$J$5:$AK$14,MATCH($E118,'BY-Demands'!$I$5:$I$14,0),FALSE)*HLOOKUP(REG_TRA_DEMANDS!$F118,DEMANDS!$G$2:$CK$25,MATCH($E118,DEMANDS!$E$2:$E$25,0),FALSE)/HLOOKUP(2018,DEMANDS!$G$2:$CK$25,MATCH($E118,DEMANDS!$E$2:$E$25,0),FALSE)</f>
        <v>0.16143578758986674</v>
      </c>
      <c r="W118" s="18">
        <f>HLOOKUP(REG_TRA_DEMANDS!W$3,'BY-Demands'!$J$5:$AK$14,MATCH($E118,'BY-Demands'!$I$5:$I$14,0),FALSE)*HLOOKUP(REG_TRA_DEMANDS!$F118,DEMANDS!$G$2:$CK$25,MATCH($E118,DEMANDS!$E$2:$E$25,0),FALSE)/HLOOKUP(2018,DEMANDS!$G$2:$CK$25,MATCH($E118,DEMANDS!$E$2:$E$25,0),FALSE)</f>
        <v>0.13215852424756425</v>
      </c>
      <c r="X118" s="18">
        <f>HLOOKUP(REG_TRA_DEMANDS!X$3,'BY-Demands'!$J$5:$AK$14,MATCH($E118,'BY-Demands'!$I$5:$I$14,0),FALSE)*HLOOKUP(REG_TRA_DEMANDS!$F118,DEMANDS!$G$2:$CK$25,MATCH($E118,DEMANDS!$E$2:$E$25,0),FALSE)/HLOOKUP(2018,DEMANDS!$G$2:$CK$25,MATCH($E118,DEMANDS!$E$2:$E$25,0),FALSE)</f>
        <v>0.096229144628963523</v>
      </c>
      <c r="Y118" s="18">
        <f>HLOOKUP(REG_TRA_DEMANDS!Y$3,'BY-Demands'!$J$5:$AK$14,MATCH($E118,'BY-Demands'!$I$5:$I$14,0),FALSE)*HLOOKUP(REG_TRA_DEMANDS!$F118,DEMANDS!$G$2:$CK$25,MATCH($E118,DEMANDS!$E$2:$E$25,0),FALSE)/HLOOKUP(2018,DEMANDS!$G$2:$CK$25,MATCH($E118,DEMANDS!$E$2:$E$25,0),FALSE)</f>
        <v>0.21375069381508294</v>
      </c>
      <c r="Z118" s="18">
        <f>HLOOKUP(REG_TRA_DEMANDS!Z$3,'BY-Demands'!$J$5:$AK$14,MATCH($E118,'BY-Demands'!$I$5:$I$14,0),FALSE)*HLOOKUP(REG_TRA_DEMANDS!$F118,DEMANDS!$G$2:$CK$25,MATCH($E118,DEMANDS!$E$2:$E$25,0),FALSE)/HLOOKUP(2018,DEMANDS!$G$2:$CK$25,MATCH($E118,DEMANDS!$E$2:$E$25,0),FALSE)</f>
        <v>0.026542200716933816</v>
      </c>
      <c r="AA118" s="18">
        <f>HLOOKUP(REG_TRA_DEMANDS!AA$3,'BY-Demands'!$J$5:$AK$14,MATCH($E118,'BY-Demands'!$I$5:$I$14,0),FALSE)*HLOOKUP(REG_TRA_DEMANDS!$F118,DEMANDS!$G$2:$CK$25,MATCH($E118,DEMANDS!$E$2:$E$25,0),FALSE)/HLOOKUP(2018,DEMANDS!$G$2:$CK$25,MATCH($E118,DEMANDS!$E$2:$E$25,0),FALSE)</f>
        <v>0.10809958148061657</v>
      </c>
      <c r="AB118" s="18">
        <f>HLOOKUP(REG_TRA_DEMANDS!AB$3,'BY-Demands'!$J$5:$AK$14,MATCH($E118,'BY-Demands'!$I$5:$I$14,0),FALSE)*HLOOKUP(REG_TRA_DEMANDS!$F118,DEMANDS!$G$2:$CK$25,MATCH($E118,DEMANDS!$E$2:$E$25,0),FALSE)/HLOOKUP(2018,DEMANDS!$G$2:$CK$25,MATCH($E118,DEMANDS!$E$2:$E$25,0),FALSE)</f>
        <v>0.053462108446941145</v>
      </c>
      <c r="AC118" s="18">
        <f>HLOOKUP(REG_TRA_DEMANDS!AC$3,'BY-Demands'!$J$5:$AK$14,MATCH($E118,'BY-Demands'!$I$5:$I$14,0),FALSE)*HLOOKUP(REG_TRA_DEMANDS!$F118,DEMANDS!$G$2:$CK$25,MATCH($E118,DEMANDS!$E$2:$E$25,0),FALSE)/HLOOKUP(2018,DEMANDS!$G$2:$CK$25,MATCH($E118,DEMANDS!$E$2:$E$25,0),FALSE)</f>
        <v>0.054282958556493031</v>
      </c>
      <c r="AD118" s="18">
        <f>HLOOKUP(REG_TRA_DEMANDS!AD$3,'BY-Demands'!$J$5:$AK$14,MATCH($E118,'BY-Demands'!$I$5:$I$14,0),FALSE)*HLOOKUP(REG_TRA_DEMANDS!$F118,DEMANDS!$G$2:$CK$25,MATCH($E118,DEMANDS!$E$2:$E$25,0),FALSE)/HLOOKUP(2018,DEMANDS!$G$2:$CK$25,MATCH($E118,DEMANDS!$E$2:$E$25,0),FALSE)</f>
        <v>0.063096950499724039</v>
      </c>
      <c r="AE118" s="18">
        <f>HLOOKUP(REG_TRA_DEMANDS!AE$3,'BY-Demands'!$J$5:$AK$14,MATCH($E118,'BY-Demands'!$I$5:$I$14,0),FALSE)*HLOOKUP(REG_TRA_DEMANDS!$F118,DEMANDS!$G$2:$CK$25,MATCH($E118,DEMANDS!$E$2:$E$25,0),FALSE)/HLOOKUP(2018,DEMANDS!$G$2:$CK$25,MATCH($E118,DEMANDS!$E$2:$E$25,0),FALSE)</f>
        <v>0.13185950619554779</v>
      </c>
      <c r="AF118" s="18">
        <f>HLOOKUP(REG_TRA_DEMANDS!AF$3,'BY-Demands'!$J$5:$AK$14,MATCH($E118,'BY-Demands'!$I$5:$I$14,0),FALSE)*HLOOKUP(REG_TRA_DEMANDS!$F118,DEMANDS!$G$2:$CK$25,MATCH($E118,DEMANDS!$E$2:$E$25,0),FALSE)/HLOOKUP(2018,DEMANDS!$G$2:$CK$25,MATCH($E118,DEMANDS!$E$2:$E$25,0),FALSE)</f>
        <v>0.050846321720437522</v>
      </c>
    </row>
    <row r="119" spans="4:32" ht="14.4">
      <c r="D119" t="s">
        <v>6</v>
      </c>
      <c r="E119" t="str">
        <f>DEMANDS!$E$21</f>
        <v>TTURS</v>
      </c>
      <c r="F119">
        <v>2027</v>
      </c>
      <c r="G119" s="18">
        <f>HLOOKUP(REG_TRA_DEMANDS!G$3,'BY-Demands'!$J$5:$AK$14,MATCH($E119,'BY-Demands'!$I$5:$I$14,0),FALSE)*HLOOKUP(REG_TRA_DEMANDS!$F119,DEMANDS!$G$2:$CK$25,MATCH($E119,DEMANDS!$E$2:$E$25,0),FALSE)/HLOOKUP(2018,DEMANDS!$G$2:$CK$25,MATCH($E119,DEMANDS!$E$2:$E$25,0),FALSE)</f>
        <v>0.035986888403931029</v>
      </c>
      <c r="H119" s="18">
        <f>HLOOKUP(REG_TRA_DEMANDS!H$3,'BY-Demands'!$J$5:$AK$14,MATCH($E119,'BY-Demands'!$I$5:$I$14,0),FALSE)*HLOOKUP(REG_TRA_DEMANDS!$F119,DEMANDS!$G$2:$CK$25,MATCH($E119,DEMANDS!$E$2:$E$25,0),FALSE)/HLOOKUP(2018,DEMANDS!$G$2:$CK$25,MATCH($E119,DEMANDS!$E$2:$E$25,0),FALSE)</f>
        <v>0.85166967563114326</v>
      </c>
      <c r="I119" s="18">
        <f>HLOOKUP(REG_TRA_DEMANDS!I$3,'BY-Demands'!$J$5:$AK$14,MATCH($E119,'BY-Demands'!$I$5:$I$14,0),FALSE)*HLOOKUP(REG_TRA_DEMANDS!$F119,DEMANDS!$G$2:$CK$25,MATCH($E119,DEMANDS!$E$2:$E$25,0),FALSE)/HLOOKUP(2018,DEMANDS!$G$2:$CK$25,MATCH($E119,DEMANDS!$E$2:$E$25,0),FALSE)</f>
        <v>0.14064544750629296</v>
      </c>
      <c r="J119" s="18">
        <f>HLOOKUP(REG_TRA_DEMANDS!J$3,'BY-Demands'!$J$5:$AK$14,MATCH($E119,'BY-Demands'!$I$5:$I$14,0),FALSE)*HLOOKUP(REG_TRA_DEMANDS!$F119,DEMANDS!$G$2:$CK$25,MATCH($E119,DEMANDS!$E$2:$E$25,0),FALSE)/HLOOKUP(2018,DEMANDS!$G$2:$CK$25,MATCH($E119,DEMANDS!$E$2:$E$25,0),FALSE)</f>
        <v>0.06272484560702038</v>
      </c>
      <c r="K119" s="18">
        <f>HLOOKUP(REG_TRA_DEMANDS!K$3,'BY-Demands'!$J$5:$AK$14,MATCH($E119,'BY-Demands'!$I$5:$I$14,0),FALSE)*HLOOKUP(REG_TRA_DEMANDS!$F119,DEMANDS!$G$2:$CK$25,MATCH($E119,DEMANDS!$E$2:$E$25,0),FALSE)/HLOOKUP(2018,DEMANDS!$G$2:$CK$25,MATCH($E119,DEMANDS!$E$2:$E$25,0),FALSE)</f>
        <v>0.053537228397873671</v>
      </c>
      <c r="L119" s="18">
        <f>HLOOKUP(REG_TRA_DEMANDS!L$3,'BY-Demands'!$J$5:$AK$14,MATCH($E119,'BY-Demands'!$I$5:$I$14,0),FALSE)*HLOOKUP(REG_TRA_DEMANDS!$F119,DEMANDS!$G$2:$CK$25,MATCH($E119,DEMANDS!$E$2:$E$25,0),FALSE)/HLOOKUP(2018,DEMANDS!$G$2:$CK$25,MATCH($E119,DEMANDS!$E$2:$E$25,0),FALSE)</f>
        <v>0.025835946211864549</v>
      </c>
      <c r="M119" s="18">
        <f>HLOOKUP(REG_TRA_DEMANDS!M$3,'BY-Demands'!$J$5:$AK$14,MATCH($E119,'BY-Demands'!$I$5:$I$14,0),FALSE)*HLOOKUP(REG_TRA_DEMANDS!$F119,DEMANDS!$G$2:$CK$25,MATCH($E119,DEMANDS!$E$2:$E$25,0),FALSE)/HLOOKUP(2018,DEMANDS!$G$2:$CK$25,MATCH($E119,DEMANDS!$E$2:$E$25,0),FALSE)</f>
        <v>0.081467963975483809</v>
      </c>
      <c r="N119" s="18">
        <f>HLOOKUP(REG_TRA_DEMANDS!N$3,'BY-Demands'!$J$5:$AK$14,MATCH($E119,'BY-Demands'!$I$5:$I$14,0),FALSE)*HLOOKUP(REG_TRA_DEMANDS!$F119,DEMANDS!$G$2:$CK$25,MATCH($E119,DEMANDS!$E$2:$E$25,0),FALSE)/HLOOKUP(2018,DEMANDS!$G$2:$CK$25,MATCH($E119,DEMANDS!$E$2:$E$25,0),FALSE)</f>
        <v>0.12328789892953573</v>
      </c>
      <c r="O119" s="18">
        <f>HLOOKUP(REG_TRA_DEMANDS!O$3,'BY-Demands'!$J$5:$AK$14,MATCH($E119,'BY-Demands'!$I$5:$I$14,0),FALSE)*HLOOKUP(REG_TRA_DEMANDS!$F119,DEMANDS!$G$2:$CK$25,MATCH($E119,DEMANDS!$E$2:$E$25,0),FALSE)/HLOOKUP(2018,DEMANDS!$G$2:$CK$25,MATCH($E119,DEMANDS!$E$2:$E$25,0),FALSE)</f>
        <v>0.049279382541608754</v>
      </c>
      <c r="P119" s="18">
        <f>HLOOKUP(REG_TRA_DEMANDS!P$3,'BY-Demands'!$J$5:$AK$14,MATCH($E119,'BY-Demands'!$I$5:$I$14,0),FALSE)*HLOOKUP(REG_TRA_DEMANDS!$F119,DEMANDS!$G$2:$CK$25,MATCH($E119,DEMANDS!$E$2:$E$25,0),FALSE)/HLOOKUP(2018,DEMANDS!$G$2:$CK$25,MATCH($E119,DEMANDS!$E$2:$E$25,0),FALSE)</f>
        <v>0.056111783946057731</v>
      </c>
      <c r="Q119" s="18">
        <f>HLOOKUP(REG_TRA_DEMANDS!Q$3,'BY-Demands'!$J$5:$AK$14,MATCH($E119,'BY-Demands'!$I$5:$I$14,0),FALSE)*HLOOKUP(REG_TRA_DEMANDS!$F119,DEMANDS!$G$2:$CK$25,MATCH($E119,DEMANDS!$E$2:$E$25,0),FALSE)/HLOOKUP(2018,DEMANDS!$G$2:$CK$25,MATCH($E119,DEMANDS!$E$2:$E$25,0),FALSE)</f>
        <v>0.094639726438792995</v>
      </c>
      <c r="R119" s="18">
        <f>HLOOKUP(REG_TRA_DEMANDS!R$3,'BY-Demands'!$J$5:$AK$14,MATCH($E119,'BY-Demands'!$I$5:$I$14,0),FALSE)*HLOOKUP(REG_TRA_DEMANDS!$F119,DEMANDS!$G$2:$CK$25,MATCH($E119,DEMANDS!$E$2:$E$25,0),FALSE)/HLOOKUP(2018,DEMANDS!$G$2:$CK$25,MATCH($E119,DEMANDS!$E$2:$E$25,0),FALSE)</f>
        <v>0.09002727079550836</v>
      </c>
      <c r="S119" s="18">
        <f>HLOOKUP(REG_TRA_DEMANDS!S$3,'BY-Demands'!$J$5:$AK$14,MATCH($E119,'BY-Demands'!$I$5:$I$14,0),FALSE)*HLOOKUP(REG_TRA_DEMANDS!$F119,DEMANDS!$G$2:$CK$25,MATCH($E119,DEMANDS!$E$2:$E$25,0),FALSE)/HLOOKUP(2018,DEMANDS!$G$2:$CK$25,MATCH($E119,DEMANDS!$E$2:$E$25,0),FALSE)</f>
        <v>0.075104583002351469</v>
      </c>
      <c r="T119" s="18">
        <f>HLOOKUP(REG_TRA_DEMANDS!T$3,'BY-Demands'!$J$5:$AK$14,MATCH($E119,'BY-Demands'!$I$5:$I$14,0),FALSE)*HLOOKUP(REG_TRA_DEMANDS!$F119,DEMANDS!$G$2:$CK$25,MATCH($E119,DEMANDS!$E$2:$E$25,0),FALSE)/HLOOKUP(2018,DEMANDS!$G$2:$CK$25,MATCH($E119,DEMANDS!$E$2:$E$25,0),FALSE)</f>
        <v>0.34314849529377561</v>
      </c>
      <c r="U119" s="18">
        <f>HLOOKUP(REG_TRA_DEMANDS!U$3,'BY-Demands'!$J$5:$AK$14,MATCH($E119,'BY-Demands'!$I$5:$I$14,0),FALSE)*HLOOKUP(REG_TRA_DEMANDS!$F119,DEMANDS!$G$2:$CK$25,MATCH($E119,DEMANDS!$E$2:$E$25,0),FALSE)/HLOOKUP(2018,DEMANDS!$G$2:$CK$25,MATCH($E119,DEMANDS!$E$2:$E$25,0),FALSE)</f>
        <v>0.093366038879355087</v>
      </c>
      <c r="V119" s="18">
        <f>HLOOKUP(REG_TRA_DEMANDS!V$3,'BY-Demands'!$J$5:$AK$14,MATCH($E119,'BY-Demands'!$I$5:$I$14,0),FALSE)*HLOOKUP(REG_TRA_DEMANDS!$F119,DEMANDS!$G$2:$CK$25,MATCH($E119,DEMANDS!$E$2:$E$25,0),FALSE)/HLOOKUP(2018,DEMANDS!$G$2:$CK$25,MATCH($E119,DEMANDS!$E$2:$E$25,0),FALSE)</f>
        <v>0.12319624399349671</v>
      </c>
      <c r="W119" s="18">
        <f>HLOOKUP(REG_TRA_DEMANDS!W$3,'BY-Demands'!$J$5:$AK$14,MATCH($E119,'BY-Demands'!$I$5:$I$14,0),FALSE)*HLOOKUP(REG_TRA_DEMANDS!$F119,DEMANDS!$G$2:$CK$25,MATCH($E119,DEMANDS!$E$2:$E$25,0),FALSE)/HLOOKUP(2018,DEMANDS!$G$2:$CK$25,MATCH($E119,DEMANDS!$E$2:$E$25,0),FALSE)</f>
        <v>0.10085393110223446</v>
      </c>
      <c r="X119" s="18">
        <f>HLOOKUP(REG_TRA_DEMANDS!X$3,'BY-Demands'!$J$5:$AK$14,MATCH($E119,'BY-Demands'!$I$5:$I$14,0),FALSE)*HLOOKUP(REG_TRA_DEMANDS!$F119,DEMANDS!$G$2:$CK$25,MATCH($E119,DEMANDS!$E$2:$E$25,0),FALSE)/HLOOKUP(2018,DEMANDS!$G$2:$CK$25,MATCH($E119,DEMANDS!$E$2:$E$25,0),FALSE)</f>
        <v>0.073435198960428119</v>
      </c>
      <c r="Y119" s="18">
        <f>HLOOKUP(REG_TRA_DEMANDS!Y$3,'BY-Demands'!$J$5:$AK$14,MATCH($E119,'BY-Demands'!$I$5:$I$14,0),FALSE)*HLOOKUP(REG_TRA_DEMANDS!$F119,DEMANDS!$G$2:$CK$25,MATCH($E119,DEMANDS!$E$2:$E$25,0),FALSE)/HLOOKUP(2018,DEMANDS!$G$2:$CK$25,MATCH($E119,DEMANDS!$E$2:$E$25,0),FALSE)</f>
        <v>0.16311923782304572</v>
      </c>
      <c r="Z119" s="18">
        <f>HLOOKUP(REG_TRA_DEMANDS!Z$3,'BY-Demands'!$J$5:$AK$14,MATCH($E119,'BY-Demands'!$I$5:$I$14,0),FALSE)*HLOOKUP(REG_TRA_DEMANDS!$F119,DEMANDS!$G$2:$CK$25,MATCH($E119,DEMANDS!$E$2:$E$25,0),FALSE)/HLOOKUP(2018,DEMANDS!$G$2:$CK$25,MATCH($E119,DEMANDS!$E$2:$E$25,0),FALSE)</f>
        <v>0.020255108761602698</v>
      </c>
      <c r="AA119" s="18">
        <f>HLOOKUP(REG_TRA_DEMANDS!AA$3,'BY-Demands'!$J$5:$AK$14,MATCH($E119,'BY-Demands'!$I$5:$I$14,0),FALSE)*HLOOKUP(REG_TRA_DEMANDS!$F119,DEMANDS!$G$2:$CK$25,MATCH($E119,DEMANDS!$E$2:$E$25,0),FALSE)/HLOOKUP(2018,DEMANDS!$G$2:$CK$25,MATCH($E119,DEMANDS!$E$2:$E$25,0),FALSE)</f>
        <v>0.082493867156112857</v>
      </c>
      <c r="AB119" s="18">
        <f>HLOOKUP(REG_TRA_DEMANDS!AB$3,'BY-Demands'!$J$5:$AK$14,MATCH($E119,'BY-Demands'!$I$5:$I$14,0),FALSE)*HLOOKUP(REG_TRA_DEMANDS!$F119,DEMANDS!$G$2:$CK$25,MATCH($E119,DEMANDS!$E$2:$E$25,0),FALSE)/HLOOKUP(2018,DEMANDS!$G$2:$CK$25,MATCH($E119,DEMANDS!$E$2:$E$25,0),FALSE)</f>
        <v>0.040798456494472883</v>
      </c>
      <c r="AC119" s="18">
        <f>HLOOKUP(REG_TRA_DEMANDS!AC$3,'BY-Demands'!$J$5:$AK$14,MATCH($E119,'BY-Demands'!$I$5:$I$14,0),FALSE)*HLOOKUP(REG_TRA_DEMANDS!$F119,DEMANDS!$G$2:$CK$25,MATCH($E119,DEMANDS!$E$2:$E$25,0),FALSE)/HLOOKUP(2018,DEMANDS!$G$2:$CK$25,MATCH($E119,DEMANDS!$E$2:$E$25,0),FALSE)</f>
        <v>0.041424870574573606</v>
      </c>
      <c r="AD119" s="18">
        <f>HLOOKUP(REG_TRA_DEMANDS!AD$3,'BY-Demands'!$J$5:$AK$14,MATCH($E119,'BY-Demands'!$I$5:$I$14,0),FALSE)*HLOOKUP(REG_TRA_DEMANDS!$F119,DEMANDS!$G$2:$CK$25,MATCH($E119,DEMANDS!$E$2:$E$25,0),FALSE)/HLOOKUP(2018,DEMANDS!$G$2:$CK$25,MATCH($E119,DEMANDS!$E$2:$E$25,0),FALSE)</f>
        <v>0.04815107867381889</v>
      </c>
      <c r="AE119" s="18">
        <f>HLOOKUP(REG_TRA_DEMANDS!AE$3,'BY-Demands'!$J$5:$AK$14,MATCH($E119,'BY-Demands'!$I$5:$I$14,0),FALSE)*HLOOKUP(REG_TRA_DEMANDS!$F119,DEMANDS!$G$2:$CK$25,MATCH($E119,DEMANDS!$E$2:$E$25,0),FALSE)/HLOOKUP(2018,DEMANDS!$G$2:$CK$25,MATCH($E119,DEMANDS!$E$2:$E$25,0),FALSE)</f>
        <v>0.10062574191664775</v>
      </c>
      <c r="AF119" s="18">
        <f>HLOOKUP(REG_TRA_DEMANDS!AF$3,'BY-Demands'!$J$5:$AK$14,MATCH($E119,'BY-Demands'!$I$5:$I$14,0),FALSE)*HLOOKUP(REG_TRA_DEMANDS!$F119,DEMANDS!$G$2:$CK$25,MATCH($E119,DEMANDS!$E$2:$E$25,0),FALSE)/HLOOKUP(2018,DEMANDS!$G$2:$CK$25,MATCH($E119,DEMANDS!$E$2:$E$25,0),FALSE)</f>
        <v>0.03880227519784496</v>
      </c>
    </row>
    <row r="120" spans="4:32" ht="14.4">
      <c r="D120" t="s">
        <v>6</v>
      </c>
      <c r="E120" t="str">
        <f>DEMANDS!$E$21</f>
        <v>TTURS</v>
      </c>
      <c r="F120">
        <v>2028</v>
      </c>
      <c r="G120" s="18">
        <f>HLOOKUP(REG_TRA_DEMANDS!G$3,'BY-Demands'!$J$5:$AK$14,MATCH($E120,'BY-Demands'!$I$5:$I$14,0),FALSE)*HLOOKUP(REG_TRA_DEMANDS!$F120,DEMANDS!$G$2:$CK$25,MATCH($E120,DEMANDS!$E$2:$E$25,0),FALSE)/HLOOKUP(2018,DEMANDS!$G$2:$CK$25,MATCH($E120,DEMANDS!$E$2:$E$25,0),FALSE)</f>
        <v>0.024816724903715344</v>
      </c>
      <c r="H120" s="18">
        <f>HLOOKUP(REG_TRA_DEMANDS!H$3,'BY-Demands'!$J$5:$AK$14,MATCH($E120,'BY-Demands'!$I$5:$I$14,0),FALSE)*HLOOKUP(REG_TRA_DEMANDS!$F120,DEMANDS!$G$2:$CK$25,MATCH($E120,DEMANDS!$E$2:$E$25,0),FALSE)/HLOOKUP(2018,DEMANDS!$G$2:$CK$25,MATCH($E120,DEMANDS!$E$2:$E$25,0),FALSE)</f>
        <v>0.58731535251782996</v>
      </c>
      <c r="I120" s="18">
        <f>HLOOKUP(REG_TRA_DEMANDS!I$3,'BY-Demands'!$J$5:$AK$14,MATCH($E120,'BY-Demands'!$I$5:$I$14,0),FALSE)*HLOOKUP(REG_TRA_DEMANDS!$F120,DEMANDS!$G$2:$CK$25,MATCH($E120,DEMANDS!$E$2:$E$25,0),FALSE)/HLOOKUP(2018,DEMANDS!$G$2:$CK$25,MATCH($E120,DEMANDS!$E$2:$E$25,0),FALSE)</f>
        <v>0.096989751949277725</v>
      </c>
      <c r="J120" s="18">
        <f>HLOOKUP(REG_TRA_DEMANDS!J$3,'BY-Demands'!$J$5:$AK$14,MATCH($E120,'BY-Demands'!$I$5:$I$14,0),FALSE)*HLOOKUP(REG_TRA_DEMANDS!$F120,DEMANDS!$G$2:$CK$25,MATCH($E120,DEMANDS!$E$2:$E$25,0),FALSE)/HLOOKUP(2018,DEMANDS!$G$2:$CK$25,MATCH($E120,DEMANDS!$E$2:$E$25,0),FALSE)</f>
        <v>0.04325534401822316</v>
      </c>
      <c r="K120" s="18">
        <f>HLOOKUP(REG_TRA_DEMANDS!K$3,'BY-Demands'!$J$5:$AK$14,MATCH($E120,'BY-Demands'!$I$5:$I$14,0),FALSE)*HLOOKUP(REG_TRA_DEMANDS!$F120,DEMANDS!$G$2:$CK$25,MATCH($E120,DEMANDS!$E$2:$E$25,0),FALSE)/HLOOKUP(2018,DEMANDS!$G$2:$CK$25,MATCH($E120,DEMANDS!$E$2:$E$25,0),FALSE)</f>
        <v>0.036919520641642257</v>
      </c>
      <c r="L120" s="18">
        <f>HLOOKUP(REG_TRA_DEMANDS!L$3,'BY-Demands'!$J$5:$AK$14,MATCH($E120,'BY-Demands'!$I$5:$I$14,0),FALSE)*HLOOKUP(REG_TRA_DEMANDS!$F120,DEMANDS!$G$2:$CK$25,MATCH($E120,DEMANDS!$E$2:$E$25,0),FALSE)/HLOOKUP(2018,DEMANDS!$G$2:$CK$25,MATCH($E120,DEMANDS!$E$2:$E$25,0),FALSE)</f>
        <v>0.017816588157618857</v>
      </c>
      <c r="M120" s="18">
        <f>HLOOKUP(REG_TRA_DEMANDS!M$3,'BY-Demands'!$J$5:$AK$14,MATCH($E120,'BY-Demands'!$I$5:$I$14,0),FALSE)*HLOOKUP(REG_TRA_DEMANDS!$F120,DEMANDS!$G$2:$CK$25,MATCH($E120,DEMANDS!$E$2:$E$25,0),FALSE)/HLOOKUP(2018,DEMANDS!$G$2:$CK$25,MATCH($E120,DEMANDS!$E$2:$E$25,0),FALSE)</f>
        <v>0.056180685247144785</v>
      </c>
      <c r="N120" s="18">
        <f>HLOOKUP(REG_TRA_DEMANDS!N$3,'BY-Demands'!$J$5:$AK$14,MATCH($E120,'BY-Demands'!$I$5:$I$14,0),FALSE)*HLOOKUP(REG_TRA_DEMANDS!$F120,DEMANDS!$G$2:$CK$25,MATCH($E120,DEMANDS!$E$2:$E$25,0),FALSE)/HLOOKUP(2018,DEMANDS!$G$2:$CK$25,MATCH($E120,DEMANDS!$E$2:$E$25,0),FALSE)</f>
        <v>0.085019906065486178</v>
      </c>
      <c r="O120" s="18">
        <f>HLOOKUP(REG_TRA_DEMANDS!O$3,'BY-Demands'!$J$5:$AK$14,MATCH($E120,'BY-Demands'!$I$5:$I$14,0),FALSE)*HLOOKUP(REG_TRA_DEMANDS!$F120,DEMANDS!$G$2:$CK$25,MATCH($E120,DEMANDS!$E$2:$E$25,0),FALSE)/HLOOKUP(2018,DEMANDS!$G$2:$CK$25,MATCH($E120,DEMANDS!$E$2:$E$25,0),FALSE)</f>
        <v>0.033983290420476243</v>
      </c>
      <c r="P120" s="18">
        <f>HLOOKUP(REG_TRA_DEMANDS!P$3,'BY-Demands'!$J$5:$AK$14,MATCH($E120,'BY-Demands'!$I$5:$I$14,0),FALSE)*HLOOKUP(REG_TRA_DEMANDS!$F120,DEMANDS!$G$2:$CK$25,MATCH($E120,DEMANDS!$E$2:$E$25,0),FALSE)/HLOOKUP(2018,DEMANDS!$G$2:$CK$25,MATCH($E120,DEMANDS!$E$2:$E$25,0),FALSE)</f>
        <v>0.038694946070800464</v>
      </c>
      <c r="Q120" s="18">
        <f>HLOOKUP(REG_TRA_DEMANDS!Q$3,'BY-Demands'!$J$5:$AK$14,MATCH($E120,'BY-Demands'!$I$5:$I$14,0),FALSE)*HLOOKUP(REG_TRA_DEMANDS!$F120,DEMANDS!$G$2:$CK$25,MATCH($E120,DEMANDS!$E$2:$E$25,0),FALSE)/HLOOKUP(2018,DEMANDS!$G$2:$CK$25,MATCH($E120,DEMANDS!$E$2:$E$25,0),FALSE)</f>
        <v>0.065263993642135698</v>
      </c>
      <c r="R120" s="18">
        <f>HLOOKUP(REG_TRA_DEMANDS!R$3,'BY-Demands'!$J$5:$AK$14,MATCH($E120,'BY-Demands'!$I$5:$I$14,0),FALSE)*HLOOKUP(REG_TRA_DEMANDS!$F120,DEMANDS!$G$2:$CK$25,MATCH($E120,DEMANDS!$E$2:$E$25,0),FALSE)/HLOOKUP(2018,DEMANDS!$G$2:$CK$25,MATCH($E120,DEMANDS!$E$2:$E$25,0),FALSE)</f>
        <v>0.062083222869592877</v>
      </c>
      <c r="S120" s="18">
        <f>HLOOKUP(REG_TRA_DEMANDS!S$3,'BY-Demands'!$J$5:$AK$14,MATCH($E120,'BY-Demands'!$I$5:$I$14,0),FALSE)*HLOOKUP(REG_TRA_DEMANDS!$F120,DEMANDS!$G$2:$CK$25,MATCH($E120,DEMANDS!$E$2:$E$25,0),FALSE)/HLOOKUP(2018,DEMANDS!$G$2:$CK$25,MATCH($E120,DEMANDS!$E$2:$E$25,0),FALSE)</f>
        <v>0.051792468258356407</v>
      </c>
      <c r="T120" s="18">
        <f>HLOOKUP(REG_TRA_DEMANDS!T$3,'BY-Demands'!$J$5:$AK$14,MATCH($E120,'BY-Demands'!$I$5:$I$14,0),FALSE)*HLOOKUP(REG_TRA_DEMANDS!$F120,DEMANDS!$G$2:$CK$25,MATCH($E120,DEMANDS!$E$2:$E$25,0),FALSE)/HLOOKUP(2018,DEMANDS!$G$2:$CK$25,MATCH($E120,DEMANDS!$E$2:$E$25,0),FALSE)</f>
        <v>0.23663679152375017</v>
      </c>
      <c r="U120" s="18">
        <f>HLOOKUP(REG_TRA_DEMANDS!U$3,'BY-Demands'!$J$5:$AK$14,MATCH($E120,'BY-Demands'!$I$5:$I$14,0),FALSE)*HLOOKUP(REG_TRA_DEMANDS!$F120,DEMANDS!$G$2:$CK$25,MATCH($E120,DEMANDS!$E$2:$E$25,0),FALSE)/HLOOKUP(2018,DEMANDS!$G$2:$CK$25,MATCH($E120,DEMANDS!$E$2:$E$25,0),FALSE)</f>
        <v>0.064385652802520274</v>
      </c>
      <c r="V120" s="18">
        <f>HLOOKUP(REG_TRA_DEMANDS!V$3,'BY-Demands'!$J$5:$AK$14,MATCH($E120,'BY-Demands'!$I$5:$I$14,0),FALSE)*HLOOKUP(REG_TRA_DEMANDS!$F120,DEMANDS!$G$2:$CK$25,MATCH($E120,DEMANDS!$E$2:$E$25,0),FALSE)/HLOOKUP(2018,DEMANDS!$G$2:$CK$25,MATCH($E120,DEMANDS!$E$2:$E$25,0),FALSE)</f>
        <v>0.084956700397126703</v>
      </c>
      <c r="W120" s="18">
        <f>HLOOKUP(REG_TRA_DEMANDS!W$3,'BY-Demands'!$J$5:$AK$14,MATCH($E120,'BY-Demands'!$I$5:$I$14,0),FALSE)*HLOOKUP(REG_TRA_DEMANDS!$F120,DEMANDS!$G$2:$CK$25,MATCH($E120,DEMANDS!$E$2:$E$25,0),FALSE)/HLOOKUP(2018,DEMANDS!$G$2:$CK$25,MATCH($E120,DEMANDS!$E$2:$E$25,0),FALSE)</f>
        <v>0.069549337956904683</v>
      </c>
      <c r="X120" s="18">
        <f>HLOOKUP(REG_TRA_DEMANDS!X$3,'BY-Demands'!$J$5:$AK$14,MATCH($E120,'BY-Demands'!$I$5:$I$14,0),FALSE)*HLOOKUP(REG_TRA_DEMANDS!$F120,DEMANDS!$G$2:$CK$25,MATCH($E120,DEMANDS!$E$2:$E$25,0),FALSE)/HLOOKUP(2018,DEMANDS!$G$2:$CK$25,MATCH($E120,DEMANDS!$E$2:$E$25,0),FALSE)</f>
        <v>0.050641253291892702</v>
      </c>
      <c r="Y120" s="18">
        <f>HLOOKUP(REG_TRA_DEMANDS!Y$3,'BY-Demands'!$J$5:$AK$14,MATCH($E120,'BY-Demands'!$I$5:$I$14,0),FALSE)*HLOOKUP(REG_TRA_DEMANDS!$F120,DEMANDS!$G$2:$CK$25,MATCH($E120,DEMANDS!$E$2:$E$25,0),FALSE)/HLOOKUP(2018,DEMANDS!$G$2:$CK$25,MATCH($E120,DEMANDS!$E$2:$E$25,0),FALSE)</f>
        <v>0.11248778183100853</v>
      </c>
      <c r="Z120" s="18">
        <f>HLOOKUP(REG_TRA_DEMANDS!Z$3,'BY-Demands'!$J$5:$AK$14,MATCH($E120,'BY-Demands'!$I$5:$I$14,0),FALSE)*HLOOKUP(REG_TRA_DEMANDS!$F120,DEMANDS!$G$2:$CK$25,MATCH($E120,DEMANDS!$E$2:$E$25,0),FALSE)/HLOOKUP(2018,DEMANDS!$G$2:$CK$25,MATCH($E120,DEMANDS!$E$2:$E$25,0),FALSE)</f>
        <v>0.013968016806271584</v>
      </c>
      <c r="AA120" s="18">
        <f>HLOOKUP(REG_TRA_DEMANDS!AA$3,'BY-Demands'!$J$5:$AK$14,MATCH($E120,'BY-Demands'!$I$5:$I$14,0),FALSE)*HLOOKUP(REG_TRA_DEMANDS!$F120,DEMANDS!$G$2:$CK$25,MATCH($E120,DEMANDS!$E$2:$E$25,0),FALSE)/HLOOKUP(2018,DEMANDS!$G$2:$CK$25,MATCH($E120,DEMANDS!$E$2:$E$25,0),FALSE)</f>
        <v>0.05688815283160914</v>
      </c>
      <c r="AB120" s="18">
        <f>HLOOKUP(REG_TRA_DEMANDS!AB$3,'BY-Demands'!$J$5:$AK$14,MATCH($E120,'BY-Demands'!$I$5:$I$14,0),FALSE)*HLOOKUP(REG_TRA_DEMANDS!$F120,DEMANDS!$G$2:$CK$25,MATCH($E120,DEMANDS!$E$2:$E$25,0),FALSE)/HLOOKUP(2018,DEMANDS!$G$2:$CK$25,MATCH($E120,DEMANDS!$E$2:$E$25,0),FALSE)</f>
        <v>0.028134804542004625</v>
      </c>
      <c r="AC120" s="18">
        <f>HLOOKUP(REG_TRA_DEMANDS!AC$3,'BY-Demands'!$J$5:$AK$14,MATCH($E120,'BY-Demands'!$I$5:$I$14,0),FALSE)*HLOOKUP(REG_TRA_DEMANDS!$F120,DEMANDS!$G$2:$CK$25,MATCH($E120,DEMANDS!$E$2:$E$25,0),FALSE)/HLOOKUP(2018,DEMANDS!$G$2:$CK$25,MATCH($E120,DEMANDS!$E$2:$E$25,0),FALSE)</f>
        <v>0.028566782592654192</v>
      </c>
      <c r="AD120" s="18">
        <f>HLOOKUP(REG_TRA_DEMANDS!AD$3,'BY-Demands'!$J$5:$AK$14,MATCH($E120,'BY-Demands'!$I$5:$I$14,0),FALSE)*HLOOKUP(REG_TRA_DEMANDS!$F120,DEMANDS!$G$2:$CK$25,MATCH($E120,DEMANDS!$E$2:$E$25,0),FALSE)/HLOOKUP(2018,DEMANDS!$G$2:$CK$25,MATCH($E120,DEMANDS!$E$2:$E$25,0),FALSE)</f>
        <v>0.03320520684791374</v>
      </c>
      <c r="AE120" s="18">
        <f>HLOOKUP(REG_TRA_DEMANDS!AE$3,'BY-Demands'!$J$5:$AK$14,MATCH($E120,'BY-Demands'!$I$5:$I$14,0),FALSE)*HLOOKUP(REG_TRA_DEMANDS!$F120,DEMANDS!$G$2:$CK$25,MATCH($E120,DEMANDS!$E$2:$E$25,0),FALSE)/HLOOKUP(2018,DEMANDS!$G$2:$CK$25,MATCH($E120,DEMANDS!$E$2:$E$25,0),FALSE)</f>
        <v>0.069391977637747737</v>
      </c>
      <c r="AF120" s="18">
        <f>HLOOKUP(REG_TRA_DEMANDS!AF$3,'BY-Demands'!$J$5:$AK$14,MATCH($E120,'BY-Demands'!$I$5:$I$14,0),FALSE)*HLOOKUP(REG_TRA_DEMANDS!$F120,DEMANDS!$G$2:$CK$25,MATCH($E120,DEMANDS!$E$2:$E$25,0),FALSE)/HLOOKUP(2018,DEMANDS!$G$2:$CK$25,MATCH($E120,DEMANDS!$E$2:$E$25,0),FALSE)</f>
        <v>0.026758228675252401</v>
      </c>
    </row>
    <row r="121" spans="4:32" ht="14.4">
      <c r="D121" t="s">
        <v>6</v>
      </c>
      <c r="E121" t="str">
        <f>DEMANDS!$E$21</f>
        <v>TTURS</v>
      </c>
      <c r="F121">
        <v>2029</v>
      </c>
      <c r="G121" s="18">
        <f>HLOOKUP(REG_TRA_DEMANDS!G$3,'BY-Demands'!$J$5:$AK$14,MATCH($E121,'BY-Demands'!$I$5:$I$14,0),FALSE)*HLOOKUP(REG_TRA_DEMANDS!$F121,DEMANDS!$G$2:$CK$25,MATCH($E121,DEMANDS!$E$2:$E$25,0),FALSE)/HLOOKUP(2018,DEMANDS!$G$2:$CK$25,MATCH($E121,DEMANDS!$E$2:$E$25,0),FALSE)</f>
        <v>0.013646561403499659</v>
      </c>
      <c r="H121" s="18">
        <f>HLOOKUP(REG_TRA_DEMANDS!H$3,'BY-Demands'!$J$5:$AK$14,MATCH($E121,'BY-Demands'!$I$5:$I$14,0),FALSE)*HLOOKUP(REG_TRA_DEMANDS!$F121,DEMANDS!$G$2:$CK$25,MATCH($E121,DEMANDS!$E$2:$E$25,0),FALSE)/HLOOKUP(2018,DEMANDS!$G$2:$CK$25,MATCH($E121,DEMANDS!$E$2:$E$25,0),FALSE)</f>
        <v>0.32296102940451676</v>
      </c>
      <c r="I121" s="18">
        <f>HLOOKUP(REG_TRA_DEMANDS!I$3,'BY-Demands'!$J$5:$AK$14,MATCH($E121,'BY-Demands'!$I$5:$I$14,0),FALSE)*HLOOKUP(REG_TRA_DEMANDS!$F121,DEMANDS!$G$2:$CK$25,MATCH($E121,DEMANDS!$E$2:$E$25,0),FALSE)/HLOOKUP(2018,DEMANDS!$G$2:$CK$25,MATCH($E121,DEMANDS!$E$2:$E$25,0),FALSE)</f>
        <v>0.053334056392262491</v>
      </c>
      <c r="J121" s="18">
        <f>HLOOKUP(REG_TRA_DEMANDS!J$3,'BY-Demands'!$J$5:$AK$14,MATCH($E121,'BY-Demands'!$I$5:$I$14,0),FALSE)*HLOOKUP(REG_TRA_DEMANDS!$F121,DEMANDS!$G$2:$CK$25,MATCH($E121,DEMANDS!$E$2:$E$25,0),FALSE)/HLOOKUP(2018,DEMANDS!$G$2:$CK$25,MATCH($E121,DEMANDS!$E$2:$E$25,0),FALSE)</f>
        <v>0.023785842429425944</v>
      </c>
      <c r="K121" s="18">
        <f>HLOOKUP(REG_TRA_DEMANDS!K$3,'BY-Demands'!$J$5:$AK$14,MATCH($E121,'BY-Demands'!$I$5:$I$14,0),FALSE)*HLOOKUP(REG_TRA_DEMANDS!$F121,DEMANDS!$G$2:$CK$25,MATCH($E121,DEMANDS!$E$2:$E$25,0),FALSE)/HLOOKUP(2018,DEMANDS!$G$2:$CK$25,MATCH($E121,DEMANDS!$E$2:$E$25,0),FALSE)</f>
        <v>0.020301812885410834</v>
      </c>
      <c r="L121" s="18">
        <f>HLOOKUP(REG_TRA_DEMANDS!L$3,'BY-Demands'!$J$5:$AK$14,MATCH($E121,'BY-Demands'!$I$5:$I$14,0),FALSE)*HLOOKUP(REG_TRA_DEMANDS!$F121,DEMANDS!$G$2:$CK$25,MATCH($E121,DEMANDS!$E$2:$E$25,0),FALSE)/HLOOKUP(2018,DEMANDS!$G$2:$CK$25,MATCH($E121,DEMANDS!$E$2:$E$25,0),FALSE)</f>
        <v>0.0097972301033731699</v>
      </c>
      <c r="M121" s="18">
        <f>HLOOKUP(REG_TRA_DEMANDS!M$3,'BY-Demands'!$J$5:$AK$14,MATCH($E121,'BY-Demands'!$I$5:$I$14,0),FALSE)*HLOOKUP(REG_TRA_DEMANDS!$F121,DEMANDS!$G$2:$CK$25,MATCH($E121,DEMANDS!$E$2:$E$25,0),FALSE)/HLOOKUP(2018,DEMANDS!$G$2:$CK$25,MATCH($E121,DEMANDS!$E$2:$E$25,0),FALSE)</f>
        <v>0.03089340651880575</v>
      </c>
      <c r="N121" s="18">
        <f>HLOOKUP(REG_TRA_DEMANDS!N$3,'BY-Demands'!$J$5:$AK$14,MATCH($E121,'BY-Demands'!$I$5:$I$14,0),FALSE)*HLOOKUP(REG_TRA_DEMANDS!$F121,DEMANDS!$G$2:$CK$25,MATCH($E121,DEMANDS!$E$2:$E$25,0),FALSE)/HLOOKUP(2018,DEMANDS!$G$2:$CK$25,MATCH($E121,DEMANDS!$E$2:$E$25,0),FALSE)</f>
        <v>0.04675191320143661</v>
      </c>
      <c r="O121" s="18">
        <f>HLOOKUP(REG_TRA_DEMANDS!O$3,'BY-Demands'!$J$5:$AK$14,MATCH($E121,'BY-Demands'!$I$5:$I$14,0),FALSE)*HLOOKUP(REG_TRA_DEMANDS!$F121,DEMANDS!$G$2:$CK$25,MATCH($E121,DEMANDS!$E$2:$E$25,0),FALSE)/HLOOKUP(2018,DEMANDS!$G$2:$CK$25,MATCH($E121,DEMANDS!$E$2:$E$25,0),FALSE)</f>
        <v>0.018687198299343739</v>
      </c>
      <c r="P121" s="18">
        <f>HLOOKUP(REG_TRA_DEMANDS!P$3,'BY-Demands'!$J$5:$AK$14,MATCH($E121,'BY-Demands'!$I$5:$I$14,0),FALSE)*HLOOKUP(REG_TRA_DEMANDS!$F121,DEMANDS!$G$2:$CK$25,MATCH($E121,DEMANDS!$E$2:$E$25,0),FALSE)/HLOOKUP(2018,DEMANDS!$G$2:$CK$25,MATCH($E121,DEMANDS!$E$2:$E$25,0),FALSE)</f>
        <v>0.021278108195543193</v>
      </c>
      <c r="Q121" s="18">
        <f>HLOOKUP(REG_TRA_DEMANDS!Q$3,'BY-Demands'!$J$5:$AK$14,MATCH($E121,'BY-Demands'!$I$5:$I$14,0),FALSE)*HLOOKUP(REG_TRA_DEMANDS!$F121,DEMANDS!$G$2:$CK$25,MATCH($E121,DEMANDS!$E$2:$E$25,0),FALSE)/HLOOKUP(2018,DEMANDS!$G$2:$CK$25,MATCH($E121,DEMANDS!$E$2:$E$25,0),FALSE)</f>
        <v>0.035888260845478394</v>
      </c>
      <c r="R121" s="18">
        <f>HLOOKUP(REG_TRA_DEMANDS!R$3,'BY-Demands'!$J$5:$AK$14,MATCH($E121,'BY-Demands'!$I$5:$I$14,0),FALSE)*HLOOKUP(REG_TRA_DEMANDS!$F121,DEMANDS!$G$2:$CK$25,MATCH($E121,DEMANDS!$E$2:$E$25,0),FALSE)/HLOOKUP(2018,DEMANDS!$G$2:$CK$25,MATCH($E121,DEMANDS!$E$2:$E$25,0),FALSE)</f>
        <v>0.034139174943677388</v>
      </c>
      <c r="S121" s="18">
        <f>HLOOKUP(REG_TRA_DEMANDS!S$3,'BY-Demands'!$J$5:$AK$14,MATCH($E121,'BY-Demands'!$I$5:$I$14,0),FALSE)*HLOOKUP(REG_TRA_DEMANDS!$F121,DEMANDS!$G$2:$CK$25,MATCH($E121,DEMANDS!$E$2:$E$25,0),FALSE)/HLOOKUP(2018,DEMANDS!$G$2:$CK$25,MATCH($E121,DEMANDS!$E$2:$E$25,0),FALSE)</f>
        <v>0.028480353514361328</v>
      </c>
      <c r="T121" s="18">
        <f>HLOOKUP(REG_TRA_DEMANDS!T$3,'BY-Demands'!$J$5:$AK$14,MATCH($E121,'BY-Demands'!$I$5:$I$14,0),FALSE)*HLOOKUP(REG_TRA_DEMANDS!$F121,DEMANDS!$G$2:$CK$25,MATCH($E121,DEMANDS!$E$2:$E$25,0),FALSE)/HLOOKUP(2018,DEMANDS!$G$2:$CK$25,MATCH($E121,DEMANDS!$E$2:$E$25,0),FALSE)</f>
        <v>0.13012508775372469</v>
      </c>
      <c r="U121" s="18">
        <f>HLOOKUP(REG_TRA_DEMANDS!U$3,'BY-Demands'!$J$5:$AK$14,MATCH($E121,'BY-Demands'!$I$5:$I$14,0),FALSE)*HLOOKUP(REG_TRA_DEMANDS!$F121,DEMANDS!$G$2:$CK$25,MATCH($E121,DEMANDS!$E$2:$E$25,0),FALSE)/HLOOKUP(2018,DEMANDS!$G$2:$CK$25,MATCH($E121,DEMANDS!$E$2:$E$25,0),FALSE)</f>
        <v>0.035405266725685468</v>
      </c>
      <c r="V121" s="18">
        <f>HLOOKUP(REG_TRA_DEMANDS!V$3,'BY-Demands'!$J$5:$AK$14,MATCH($E121,'BY-Demands'!$I$5:$I$14,0),FALSE)*HLOOKUP(REG_TRA_DEMANDS!$F121,DEMANDS!$G$2:$CK$25,MATCH($E121,DEMANDS!$E$2:$E$25,0),FALSE)/HLOOKUP(2018,DEMANDS!$G$2:$CK$25,MATCH($E121,DEMANDS!$E$2:$E$25,0),FALSE)</f>
        <v>0.046717156800756693</v>
      </c>
      <c r="W121" s="18">
        <f>HLOOKUP(REG_TRA_DEMANDS!W$3,'BY-Demands'!$J$5:$AK$14,MATCH($E121,'BY-Demands'!$I$5:$I$14,0),FALSE)*HLOOKUP(REG_TRA_DEMANDS!$F121,DEMANDS!$G$2:$CK$25,MATCH($E121,DEMANDS!$E$2:$E$25,0),FALSE)/HLOOKUP(2018,DEMANDS!$G$2:$CK$25,MATCH($E121,DEMANDS!$E$2:$E$25,0),FALSE)</f>
        <v>0.038244744811574909</v>
      </c>
      <c r="X121" s="18">
        <f>HLOOKUP(REG_TRA_DEMANDS!X$3,'BY-Demands'!$J$5:$AK$14,MATCH($E121,'BY-Demands'!$I$5:$I$14,0),FALSE)*HLOOKUP(REG_TRA_DEMANDS!$F121,DEMANDS!$G$2:$CK$25,MATCH($E121,DEMANDS!$E$2:$E$25,0),FALSE)/HLOOKUP(2018,DEMANDS!$G$2:$CK$25,MATCH($E121,DEMANDS!$E$2:$E$25,0),FALSE)</f>
        <v>0.027847307623357288</v>
      </c>
      <c r="Y121" s="18">
        <f>HLOOKUP(REG_TRA_DEMANDS!Y$3,'BY-Demands'!$J$5:$AK$14,MATCH($E121,'BY-Demands'!$I$5:$I$14,0),FALSE)*HLOOKUP(REG_TRA_DEMANDS!$F121,DEMANDS!$G$2:$CK$25,MATCH($E121,DEMANDS!$E$2:$E$25,0),FALSE)/HLOOKUP(2018,DEMANDS!$G$2:$CK$25,MATCH($E121,DEMANDS!$E$2:$E$25,0),FALSE)</f>
        <v>0.061856325838971347</v>
      </c>
      <c r="Z121" s="18">
        <f>HLOOKUP(REG_TRA_DEMANDS!Z$3,'BY-Demands'!$J$5:$AK$14,MATCH($E121,'BY-Demands'!$I$5:$I$14,0),FALSE)*HLOOKUP(REG_TRA_DEMANDS!$F121,DEMANDS!$G$2:$CK$25,MATCH($E121,DEMANDS!$E$2:$E$25,0),FALSE)/HLOOKUP(2018,DEMANDS!$G$2:$CK$25,MATCH($E121,DEMANDS!$E$2:$E$25,0),FALSE)</f>
        <v>0.007680924850940467</v>
      </c>
      <c r="AA121" s="18">
        <f>HLOOKUP(REG_TRA_DEMANDS!AA$3,'BY-Demands'!$J$5:$AK$14,MATCH($E121,'BY-Demands'!$I$5:$I$14,0),FALSE)*HLOOKUP(REG_TRA_DEMANDS!$F121,DEMANDS!$G$2:$CK$25,MATCH($E121,DEMANDS!$E$2:$E$25,0),FALSE)/HLOOKUP(2018,DEMANDS!$G$2:$CK$25,MATCH($E121,DEMANDS!$E$2:$E$25,0),FALSE)</f>
        <v>0.03128243850710543</v>
      </c>
      <c r="AB121" s="18">
        <f>HLOOKUP(REG_TRA_DEMANDS!AB$3,'BY-Demands'!$J$5:$AK$14,MATCH($E121,'BY-Demands'!$I$5:$I$14,0),FALSE)*HLOOKUP(REG_TRA_DEMANDS!$F121,DEMANDS!$G$2:$CK$25,MATCH($E121,DEMANDS!$E$2:$E$25,0),FALSE)/HLOOKUP(2018,DEMANDS!$G$2:$CK$25,MATCH($E121,DEMANDS!$E$2:$E$25,0),FALSE)</f>
        <v>0.015471152589536363</v>
      </c>
      <c r="AC121" s="18">
        <f>HLOOKUP(REG_TRA_DEMANDS!AC$3,'BY-Demands'!$J$5:$AK$14,MATCH($E121,'BY-Demands'!$I$5:$I$14,0),FALSE)*HLOOKUP(REG_TRA_DEMANDS!$F121,DEMANDS!$G$2:$CK$25,MATCH($E121,DEMANDS!$E$2:$E$25,0),FALSE)/HLOOKUP(2018,DEMANDS!$G$2:$CK$25,MATCH($E121,DEMANDS!$E$2:$E$25,0),FALSE)</f>
        <v>0.015708694610734771</v>
      </c>
      <c r="AD121" s="18">
        <f>HLOOKUP(REG_TRA_DEMANDS!AD$3,'BY-Demands'!$J$5:$AK$14,MATCH($E121,'BY-Demands'!$I$5:$I$14,0),FALSE)*HLOOKUP(REG_TRA_DEMANDS!$F121,DEMANDS!$G$2:$CK$25,MATCH($E121,DEMANDS!$E$2:$E$25,0),FALSE)/HLOOKUP(2018,DEMANDS!$G$2:$CK$25,MATCH($E121,DEMANDS!$E$2:$E$25,0),FALSE)</f>
        <v>0.018259335022008584</v>
      </c>
      <c r="AE121" s="18">
        <f>HLOOKUP(REG_TRA_DEMANDS!AE$3,'BY-Demands'!$J$5:$AK$14,MATCH($E121,'BY-Demands'!$I$5:$I$14,0),FALSE)*HLOOKUP(REG_TRA_DEMANDS!$F121,DEMANDS!$G$2:$CK$25,MATCH($E121,DEMANDS!$E$2:$E$25,0),FALSE)/HLOOKUP(2018,DEMANDS!$G$2:$CK$25,MATCH($E121,DEMANDS!$E$2:$E$25,0),FALSE)</f>
        <v>0.038158213358847712</v>
      </c>
      <c r="AF121" s="18">
        <f>HLOOKUP(REG_TRA_DEMANDS!AF$3,'BY-Demands'!$J$5:$AK$14,MATCH($E121,'BY-Demands'!$I$5:$I$14,0),FALSE)*HLOOKUP(REG_TRA_DEMANDS!$F121,DEMANDS!$G$2:$CK$25,MATCH($E121,DEMANDS!$E$2:$E$25,0),FALSE)/HLOOKUP(2018,DEMANDS!$G$2:$CK$25,MATCH($E121,DEMANDS!$E$2:$E$25,0),FALSE)</f>
        <v>0.014714182152659835</v>
      </c>
    </row>
    <row r="122" spans="4:32" ht="14.4">
      <c r="D122" t="s">
        <v>6</v>
      </c>
      <c r="E122" t="str">
        <f>DEMANDS!$E$21</f>
        <v>TTURS</v>
      </c>
      <c r="F122">
        <v>2030</v>
      </c>
      <c r="G122" s="18">
        <f>HLOOKUP(REG_TRA_DEMANDS!G$3,'BY-Demands'!$J$5:$AK$14,MATCH($E122,'BY-Demands'!$I$5:$I$14,0),FALSE)*HLOOKUP(REG_TRA_DEMANDS!$F122,DEMANDS!$G$2:$CK$25,MATCH($E122,DEMANDS!$E$2:$E$25,0),FALSE)/HLOOKUP(2018,DEMANDS!$G$2:$CK$25,MATCH($E122,DEMANDS!$E$2:$E$25,0),FALSE)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H122" s="18">
        <f>HLOOKUP(REG_TRA_DEMANDS!H$3,'BY-Demands'!$J$5:$AK$14,MATCH($E122,'BY-Demands'!$I$5:$I$14,0),FALSE)*HLOOKUP(REG_TRA_DEMANDS!$F122,DEMANDS!$G$2:$CK$25,MATCH($E122,DEMANDS!$E$2:$E$25,0),FALSE)/HLOOKUP(2018,DEMANDS!$G$2:$CK$25,MATCH($E122,DEMANDS!$E$2:$E$25,0),FALSE)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I122" s="18">
        <f>HLOOKUP(REG_TRA_DEMANDS!I$3,'BY-Demands'!$J$5:$AK$14,MATCH($E122,'BY-Demands'!$I$5:$I$14,0),FALSE)*HLOOKUP(REG_TRA_DEMANDS!$F122,DEMANDS!$G$2:$CK$25,MATCH($E122,DEMANDS!$E$2:$E$25,0),FALSE)/HLOOKUP(2018,DEMANDS!$G$2:$CK$25,MATCH($E122,DEMANDS!$E$2:$E$25,0),FALSE)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J122" s="18">
        <f>HLOOKUP(REG_TRA_DEMANDS!J$3,'BY-Demands'!$J$5:$AK$14,MATCH($E122,'BY-Demands'!$I$5:$I$14,0),FALSE)*HLOOKUP(REG_TRA_DEMANDS!$F122,DEMANDS!$G$2:$CK$25,MATCH($E122,DEMANDS!$E$2:$E$25,0),FALSE)/HLOOKUP(2018,DEMANDS!$G$2:$CK$25,MATCH($E122,DEMANDS!$E$2:$E$25,0),FALSE)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K122" s="18">
        <f>HLOOKUP(REG_TRA_DEMANDS!K$3,'BY-Demands'!$J$5:$AK$14,MATCH($E122,'BY-Demands'!$I$5:$I$14,0),FALSE)*HLOOKUP(REG_TRA_DEMANDS!$F122,DEMANDS!$G$2:$CK$25,MATCH($E122,DEMANDS!$E$2:$E$25,0),FALSE)/HLOOKUP(2018,DEMANDS!$G$2:$CK$25,MATCH($E122,DEMANDS!$E$2:$E$25,0),FALSE)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L122" s="18">
        <f>HLOOKUP(REG_TRA_DEMANDS!L$3,'BY-Demands'!$J$5:$AK$14,MATCH($E122,'BY-Demands'!$I$5:$I$14,0),FALSE)*HLOOKUP(REG_TRA_DEMANDS!$F122,DEMANDS!$G$2:$CK$25,MATCH($E122,DEMANDS!$E$2:$E$25,0),FALSE)/HLOOKUP(2018,DEMANDS!$G$2:$CK$25,MATCH($E122,DEMANDS!$E$2:$E$25,0),FALSE)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M122" s="18">
        <f>HLOOKUP(REG_TRA_DEMANDS!M$3,'BY-Demands'!$J$5:$AK$14,MATCH($E122,'BY-Demands'!$I$5:$I$14,0),FALSE)*HLOOKUP(REG_TRA_DEMANDS!$F122,DEMANDS!$G$2:$CK$25,MATCH($E122,DEMANDS!$E$2:$E$25,0),FALSE)/HLOOKUP(2018,DEMANDS!$G$2:$CK$25,MATCH($E122,DEMANDS!$E$2:$E$25,0),FALSE)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N122" s="18">
        <f>HLOOKUP(REG_TRA_DEMANDS!N$3,'BY-Demands'!$J$5:$AK$14,MATCH($E122,'BY-Demands'!$I$5:$I$14,0),FALSE)*HLOOKUP(REG_TRA_DEMANDS!$F122,DEMANDS!$G$2:$CK$25,MATCH($E122,DEMANDS!$E$2:$E$25,0),FALSE)/HLOOKUP(2018,DEMANDS!$G$2:$CK$25,MATCH($E122,DEMANDS!$E$2:$E$25,0),FALSE)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O122" s="18">
        <f>HLOOKUP(REG_TRA_DEMANDS!O$3,'BY-Demands'!$J$5:$AK$14,MATCH($E122,'BY-Demands'!$I$5:$I$14,0),FALSE)*HLOOKUP(REG_TRA_DEMANDS!$F122,DEMANDS!$G$2:$CK$25,MATCH($E122,DEMANDS!$E$2:$E$25,0),FALSE)/HLOOKUP(2018,DEMANDS!$G$2:$CK$25,MATCH($E122,DEMANDS!$E$2:$E$25,0),FALSE)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P122" s="18">
        <f>HLOOKUP(REG_TRA_DEMANDS!P$3,'BY-Demands'!$J$5:$AK$14,MATCH($E122,'BY-Demands'!$I$5:$I$14,0),FALSE)*HLOOKUP(REG_TRA_DEMANDS!$F122,DEMANDS!$G$2:$CK$25,MATCH($E122,DEMANDS!$E$2:$E$25,0),FALSE)/HLOOKUP(2018,DEMANDS!$G$2:$CK$25,MATCH($E122,DEMANDS!$E$2:$E$25,0),FALSE)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Q122" s="18">
        <f>HLOOKUP(REG_TRA_DEMANDS!Q$3,'BY-Demands'!$J$5:$AK$14,MATCH($E122,'BY-Demands'!$I$5:$I$14,0),FALSE)*HLOOKUP(REG_TRA_DEMANDS!$F122,DEMANDS!$G$2:$CK$25,MATCH($E122,DEMANDS!$E$2:$E$25,0),FALSE)/HLOOKUP(2018,DEMANDS!$G$2:$CK$25,MATCH($E122,DEMANDS!$E$2:$E$25,0),FALSE)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R122" s="18">
        <f>HLOOKUP(REG_TRA_DEMANDS!R$3,'BY-Demands'!$J$5:$AK$14,MATCH($E122,'BY-Demands'!$I$5:$I$14,0),FALSE)*HLOOKUP(REG_TRA_DEMANDS!$F122,DEMANDS!$G$2:$CK$25,MATCH($E122,DEMANDS!$E$2:$E$25,0),FALSE)/HLOOKUP(2018,DEMANDS!$G$2:$CK$25,MATCH($E122,DEMANDS!$E$2:$E$25,0),FALSE)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S122" s="18">
        <f>HLOOKUP(REG_TRA_DEMANDS!S$3,'BY-Demands'!$J$5:$AK$14,MATCH($E122,'BY-Demands'!$I$5:$I$14,0),FALSE)*HLOOKUP(REG_TRA_DEMANDS!$F122,DEMANDS!$G$2:$CK$25,MATCH($E122,DEMANDS!$E$2:$E$25,0),FALSE)/HLOOKUP(2018,DEMANDS!$G$2:$CK$25,MATCH($E122,DEMANDS!$E$2:$E$25,0),FALSE)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T122" s="18">
        <f>HLOOKUP(REG_TRA_DEMANDS!T$3,'BY-Demands'!$J$5:$AK$14,MATCH($E122,'BY-Demands'!$I$5:$I$14,0),FALSE)*HLOOKUP(REG_TRA_DEMANDS!$F122,DEMANDS!$G$2:$CK$25,MATCH($E122,DEMANDS!$E$2:$E$25,0),FALSE)/HLOOKUP(2018,DEMANDS!$G$2:$CK$25,MATCH($E122,DEMANDS!$E$2:$E$25,0),FALSE)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U122" s="18">
        <f>HLOOKUP(REG_TRA_DEMANDS!U$3,'BY-Demands'!$J$5:$AK$14,MATCH($E122,'BY-Demands'!$I$5:$I$14,0),FALSE)*HLOOKUP(REG_TRA_DEMANDS!$F122,DEMANDS!$G$2:$CK$25,MATCH($E122,DEMANDS!$E$2:$E$25,0),FALSE)/HLOOKUP(2018,DEMANDS!$G$2:$CK$25,MATCH($E122,DEMANDS!$E$2:$E$25,0),FALSE)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V122" s="18">
        <f>HLOOKUP(REG_TRA_DEMANDS!V$3,'BY-Demands'!$J$5:$AK$14,MATCH($E122,'BY-Demands'!$I$5:$I$14,0),FALSE)*HLOOKUP(REG_TRA_DEMANDS!$F122,DEMANDS!$G$2:$CK$25,MATCH($E122,DEMANDS!$E$2:$E$25,0),FALSE)/HLOOKUP(2018,DEMANDS!$G$2:$CK$25,MATCH($E122,DEMANDS!$E$2:$E$25,0),FALSE)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W122" s="18">
        <f>HLOOKUP(REG_TRA_DEMANDS!W$3,'BY-Demands'!$J$5:$AK$14,MATCH($E122,'BY-Demands'!$I$5:$I$14,0),FALSE)*HLOOKUP(REG_TRA_DEMANDS!$F122,DEMANDS!$G$2:$CK$25,MATCH($E122,DEMANDS!$E$2:$E$25,0),FALSE)/HLOOKUP(2018,DEMANDS!$G$2:$CK$25,MATCH($E122,DEMANDS!$E$2:$E$25,0),FALSE)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X122" s="18">
        <f>HLOOKUP(REG_TRA_DEMANDS!X$3,'BY-Demands'!$J$5:$AK$14,MATCH($E122,'BY-Demands'!$I$5:$I$14,0),FALSE)*HLOOKUP(REG_TRA_DEMANDS!$F122,DEMANDS!$G$2:$CK$25,MATCH($E122,DEMANDS!$E$2:$E$25,0),FALSE)/HLOOKUP(2018,DEMANDS!$G$2:$CK$25,MATCH($E122,DEMANDS!$E$2:$E$25,0),FALSE)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Y122" s="18">
        <f>HLOOKUP(REG_TRA_DEMANDS!Y$3,'BY-Demands'!$J$5:$AK$14,MATCH($E122,'BY-Demands'!$I$5:$I$14,0),FALSE)*HLOOKUP(REG_TRA_DEMANDS!$F122,DEMANDS!$G$2:$CK$25,MATCH($E122,DEMANDS!$E$2:$E$25,0),FALSE)/HLOOKUP(2018,DEMANDS!$G$2:$CK$25,MATCH($E122,DEMANDS!$E$2:$E$25,0),FALSE)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Z122" s="18">
        <f>HLOOKUP(REG_TRA_DEMANDS!Z$3,'BY-Demands'!$J$5:$AK$14,MATCH($E122,'BY-Demands'!$I$5:$I$14,0),FALSE)*HLOOKUP(REG_TRA_DEMANDS!$F122,DEMANDS!$G$2:$CK$25,MATCH($E122,DEMANDS!$E$2:$E$25,0),FALSE)/HLOOKUP(2018,DEMANDS!$G$2:$CK$25,MATCH($E122,DEMANDS!$E$2:$E$25,0),FALSE)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AA122" s="18">
        <f>HLOOKUP(REG_TRA_DEMANDS!AA$3,'BY-Demands'!$J$5:$AK$14,MATCH($E122,'BY-Demands'!$I$5:$I$14,0),FALSE)*HLOOKUP(REG_TRA_DEMANDS!$F122,DEMANDS!$G$2:$CK$25,MATCH($E122,DEMANDS!$E$2:$E$25,0),FALSE)/HLOOKUP(2018,DEMANDS!$G$2:$CK$25,MATCH($E122,DEMANDS!$E$2:$E$25,0),FALSE)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AB122" s="18">
        <f>HLOOKUP(REG_TRA_DEMANDS!AB$3,'BY-Demands'!$J$5:$AK$14,MATCH($E122,'BY-Demands'!$I$5:$I$14,0),FALSE)*HLOOKUP(REG_TRA_DEMANDS!$F122,DEMANDS!$G$2:$CK$25,MATCH($E122,DEMANDS!$E$2:$E$25,0),FALSE)/HLOOKUP(2018,DEMANDS!$G$2:$CK$25,MATCH($E122,DEMANDS!$E$2:$E$25,0),FALSE)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AC122" s="18">
        <f>HLOOKUP(REG_TRA_DEMANDS!AC$3,'BY-Demands'!$J$5:$AK$14,MATCH($E122,'BY-Demands'!$I$5:$I$14,0),FALSE)*HLOOKUP(REG_TRA_DEMANDS!$F122,DEMANDS!$G$2:$CK$25,MATCH($E122,DEMANDS!$E$2:$E$25,0),FALSE)/HLOOKUP(2018,DEMANDS!$G$2:$CK$25,MATCH($E122,DEMANDS!$E$2:$E$25,0),FALSE)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AD122" s="18">
        <f>HLOOKUP(REG_TRA_DEMANDS!AD$3,'BY-Demands'!$J$5:$AK$14,MATCH($E122,'BY-Demands'!$I$5:$I$14,0),FALSE)*HLOOKUP(REG_TRA_DEMANDS!$F122,DEMANDS!$G$2:$CK$25,MATCH($E122,DEMANDS!$E$2:$E$25,0),FALSE)/HLOOKUP(2018,DEMANDS!$G$2:$CK$25,MATCH($E122,DEMANDS!$E$2:$E$25,0),FALSE)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AE122" s="18">
        <f>HLOOKUP(REG_TRA_DEMANDS!AE$3,'BY-Demands'!$J$5:$AK$14,MATCH($E122,'BY-Demands'!$I$5:$I$14,0),FALSE)*HLOOKUP(REG_TRA_DEMANDS!$F122,DEMANDS!$G$2:$CK$25,MATCH($E122,DEMANDS!$E$2:$E$25,0),FALSE)/HLOOKUP(2018,DEMANDS!$G$2:$CK$25,MATCH($E122,DEMANDS!$E$2:$E$25,0),FALSE)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AF122" s="18">
        <f>HLOOKUP(REG_TRA_DEMANDS!AF$3,'BY-Demands'!$J$5:$AK$14,MATCH($E122,'BY-Demands'!$I$5:$I$14,0),FALSE)*HLOOKUP(REG_TRA_DEMANDS!$F122,DEMANDS!$G$2:$CK$25,MATCH($E122,DEMANDS!$E$2:$E$25,0),FALSE)/HLOOKUP(2018,DEMANDS!$G$2:$CK$25,MATCH($E122,DEMANDS!$E$2:$E$25,0),FALSE)</f>
        <v>0</v>
      </c>
    </row>
    <row r="123" spans="4:32" ht="14.4">
      <c r="D123" t="s">
        <v>6</v>
      </c>
      <c r="E123" t="str">
        <f>DEMANDS!$E$21</f>
        <v>TTURS</v>
      </c>
      <c r="F123">
        <v>2031</v>
      </c>
      <c r="G123" s="18">
        <f>HLOOKUP(REG_TRA_DEMANDS!G$3,'BY-Demands'!$J$5:$AK$14,MATCH($E123,'BY-Demands'!$I$5:$I$14,0),FALSE)*HLOOKUP(REG_TRA_DEMANDS!$F123,DEMANDS!$G$2:$CK$25,MATCH($E123,DEMANDS!$E$2:$E$25,0),FALSE)/HLOOKUP(2018,DEMANDS!$G$2:$CK$25,MATCH($E123,DEMANDS!$E$2:$E$25,0),FALSE)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H123" s="18">
        <f>HLOOKUP(REG_TRA_DEMANDS!H$3,'BY-Demands'!$J$5:$AK$14,MATCH($E123,'BY-Demands'!$I$5:$I$14,0),FALSE)*HLOOKUP(REG_TRA_DEMANDS!$F123,DEMANDS!$G$2:$CK$25,MATCH($E123,DEMANDS!$E$2:$E$25,0),FALSE)/HLOOKUP(2018,DEMANDS!$G$2:$CK$25,MATCH($E123,DEMANDS!$E$2:$E$25,0),FALSE)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I123" s="18">
        <f>HLOOKUP(REG_TRA_DEMANDS!I$3,'BY-Demands'!$J$5:$AK$14,MATCH($E123,'BY-Demands'!$I$5:$I$14,0),FALSE)*HLOOKUP(REG_TRA_DEMANDS!$F123,DEMANDS!$G$2:$CK$25,MATCH($E123,DEMANDS!$E$2:$E$25,0),FALSE)/HLOOKUP(2018,DEMANDS!$G$2:$CK$25,MATCH($E123,DEMANDS!$E$2:$E$25,0),FALSE)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J123" s="18">
        <f>HLOOKUP(REG_TRA_DEMANDS!J$3,'BY-Demands'!$J$5:$AK$14,MATCH($E123,'BY-Demands'!$I$5:$I$14,0),FALSE)*HLOOKUP(REG_TRA_DEMANDS!$F123,DEMANDS!$G$2:$CK$25,MATCH($E123,DEMANDS!$E$2:$E$25,0),FALSE)/HLOOKUP(2018,DEMANDS!$G$2:$CK$25,MATCH($E123,DEMANDS!$E$2:$E$25,0),FALSE)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K123" s="18">
        <f>HLOOKUP(REG_TRA_DEMANDS!K$3,'BY-Demands'!$J$5:$AK$14,MATCH($E123,'BY-Demands'!$I$5:$I$14,0),FALSE)*HLOOKUP(REG_TRA_DEMANDS!$F123,DEMANDS!$G$2:$CK$25,MATCH($E123,DEMANDS!$E$2:$E$25,0),FALSE)/HLOOKUP(2018,DEMANDS!$G$2:$CK$25,MATCH($E123,DEMANDS!$E$2:$E$25,0),FALSE)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L123" s="18">
        <f>HLOOKUP(REG_TRA_DEMANDS!L$3,'BY-Demands'!$J$5:$AK$14,MATCH($E123,'BY-Demands'!$I$5:$I$14,0),FALSE)*HLOOKUP(REG_TRA_DEMANDS!$F123,DEMANDS!$G$2:$CK$25,MATCH($E123,DEMANDS!$E$2:$E$25,0),FALSE)/HLOOKUP(2018,DEMANDS!$G$2:$CK$25,MATCH($E123,DEMANDS!$E$2:$E$25,0),FALSE)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M123" s="18">
        <f>HLOOKUP(REG_TRA_DEMANDS!M$3,'BY-Demands'!$J$5:$AK$14,MATCH($E123,'BY-Demands'!$I$5:$I$14,0),FALSE)*HLOOKUP(REG_TRA_DEMANDS!$F123,DEMANDS!$G$2:$CK$25,MATCH($E123,DEMANDS!$E$2:$E$25,0),FALSE)/HLOOKUP(2018,DEMANDS!$G$2:$CK$25,MATCH($E123,DEMANDS!$E$2:$E$25,0),FALSE)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N123" s="18">
        <f>HLOOKUP(REG_TRA_DEMANDS!N$3,'BY-Demands'!$J$5:$AK$14,MATCH($E123,'BY-Demands'!$I$5:$I$14,0),FALSE)*HLOOKUP(REG_TRA_DEMANDS!$F123,DEMANDS!$G$2:$CK$25,MATCH($E123,DEMANDS!$E$2:$E$25,0),FALSE)/HLOOKUP(2018,DEMANDS!$G$2:$CK$25,MATCH($E123,DEMANDS!$E$2:$E$25,0),FALSE)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O123" s="18">
        <f>HLOOKUP(REG_TRA_DEMANDS!O$3,'BY-Demands'!$J$5:$AK$14,MATCH($E123,'BY-Demands'!$I$5:$I$14,0),FALSE)*HLOOKUP(REG_TRA_DEMANDS!$F123,DEMANDS!$G$2:$CK$25,MATCH($E123,DEMANDS!$E$2:$E$25,0),FALSE)/HLOOKUP(2018,DEMANDS!$G$2:$CK$25,MATCH($E123,DEMANDS!$E$2:$E$25,0),FALSE)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P123" s="18">
        <f>HLOOKUP(REG_TRA_DEMANDS!P$3,'BY-Demands'!$J$5:$AK$14,MATCH($E123,'BY-Demands'!$I$5:$I$14,0),FALSE)*HLOOKUP(REG_TRA_DEMANDS!$F123,DEMANDS!$G$2:$CK$25,MATCH($E123,DEMANDS!$E$2:$E$25,0),FALSE)/HLOOKUP(2018,DEMANDS!$G$2:$CK$25,MATCH($E123,DEMANDS!$E$2:$E$25,0),FALSE)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Q123" s="18">
        <f>HLOOKUP(REG_TRA_DEMANDS!Q$3,'BY-Demands'!$J$5:$AK$14,MATCH($E123,'BY-Demands'!$I$5:$I$14,0),FALSE)*HLOOKUP(REG_TRA_DEMANDS!$F123,DEMANDS!$G$2:$CK$25,MATCH($E123,DEMANDS!$E$2:$E$25,0),FALSE)/HLOOKUP(2018,DEMANDS!$G$2:$CK$25,MATCH($E123,DEMANDS!$E$2:$E$25,0),FALSE)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R123" s="18">
        <f>HLOOKUP(REG_TRA_DEMANDS!R$3,'BY-Demands'!$J$5:$AK$14,MATCH($E123,'BY-Demands'!$I$5:$I$14,0),FALSE)*HLOOKUP(REG_TRA_DEMANDS!$F123,DEMANDS!$G$2:$CK$25,MATCH($E123,DEMANDS!$E$2:$E$25,0),FALSE)/HLOOKUP(2018,DEMANDS!$G$2:$CK$25,MATCH($E123,DEMANDS!$E$2:$E$25,0),FALSE)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S123" s="18">
        <f>HLOOKUP(REG_TRA_DEMANDS!S$3,'BY-Demands'!$J$5:$AK$14,MATCH($E123,'BY-Demands'!$I$5:$I$14,0),FALSE)*HLOOKUP(REG_TRA_DEMANDS!$F123,DEMANDS!$G$2:$CK$25,MATCH($E123,DEMANDS!$E$2:$E$25,0),FALSE)/HLOOKUP(2018,DEMANDS!$G$2:$CK$25,MATCH($E123,DEMANDS!$E$2:$E$25,0),FALSE)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T123" s="18">
        <f>HLOOKUP(REG_TRA_DEMANDS!T$3,'BY-Demands'!$J$5:$AK$14,MATCH($E123,'BY-Demands'!$I$5:$I$14,0),FALSE)*HLOOKUP(REG_TRA_DEMANDS!$F123,DEMANDS!$G$2:$CK$25,MATCH($E123,DEMANDS!$E$2:$E$25,0),FALSE)/HLOOKUP(2018,DEMANDS!$G$2:$CK$25,MATCH($E123,DEMANDS!$E$2:$E$25,0),FALSE)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U123" s="18">
        <f>HLOOKUP(REG_TRA_DEMANDS!U$3,'BY-Demands'!$J$5:$AK$14,MATCH($E123,'BY-Demands'!$I$5:$I$14,0),FALSE)*HLOOKUP(REG_TRA_DEMANDS!$F123,DEMANDS!$G$2:$CK$25,MATCH($E123,DEMANDS!$E$2:$E$25,0),FALSE)/HLOOKUP(2018,DEMANDS!$G$2:$CK$25,MATCH($E123,DEMANDS!$E$2:$E$25,0),FALSE)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V123" s="18">
        <f>HLOOKUP(REG_TRA_DEMANDS!V$3,'BY-Demands'!$J$5:$AK$14,MATCH($E123,'BY-Demands'!$I$5:$I$14,0),FALSE)*HLOOKUP(REG_TRA_DEMANDS!$F123,DEMANDS!$G$2:$CK$25,MATCH($E123,DEMANDS!$E$2:$E$25,0),FALSE)/HLOOKUP(2018,DEMANDS!$G$2:$CK$25,MATCH($E123,DEMANDS!$E$2:$E$25,0),FALSE)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W123" s="18">
        <f>HLOOKUP(REG_TRA_DEMANDS!W$3,'BY-Demands'!$J$5:$AK$14,MATCH($E123,'BY-Demands'!$I$5:$I$14,0),FALSE)*HLOOKUP(REG_TRA_DEMANDS!$F123,DEMANDS!$G$2:$CK$25,MATCH($E123,DEMANDS!$E$2:$E$25,0),FALSE)/HLOOKUP(2018,DEMANDS!$G$2:$CK$25,MATCH($E123,DEMANDS!$E$2:$E$25,0),FALSE)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X123" s="18">
        <f>HLOOKUP(REG_TRA_DEMANDS!X$3,'BY-Demands'!$J$5:$AK$14,MATCH($E123,'BY-Demands'!$I$5:$I$14,0),FALSE)*HLOOKUP(REG_TRA_DEMANDS!$F123,DEMANDS!$G$2:$CK$25,MATCH($E123,DEMANDS!$E$2:$E$25,0),FALSE)/HLOOKUP(2018,DEMANDS!$G$2:$CK$25,MATCH($E123,DEMANDS!$E$2:$E$25,0),FALSE)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Y123" s="18">
        <f>HLOOKUP(REG_TRA_DEMANDS!Y$3,'BY-Demands'!$J$5:$AK$14,MATCH($E123,'BY-Demands'!$I$5:$I$14,0),FALSE)*HLOOKUP(REG_TRA_DEMANDS!$F123,DEMANDS!$G$2:$CK$25,MATCH($E123,DEMANDS!$E$2:$E$25,0),FALSE)/HLOOKUP(2018,DEMANDS!$G$2:$CK$25,MATCH($E123,DEMANDS!$E$2:$E$25,0),FALSE)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Z123" s="18">
        <f>HLOOKUP(REG_TRA_DEMANDS!Z$3,'BY-Demands'!$J$5:$AK$14,MATCH($E123,'BY-Demands'!$I$5:$I$14,0),FALSE)*HLOOKUP(REG_TRA_DEMANDS!$F123,DEMANDS!$G$2:$CK$25,MATCH($E123,DEMANDS!$E$2:$E$25,0),FALSE)/HLOOKUP(2018,DEMANDS!$G$2:$CK$25,MATCH($E123,DEMANDS!$E$2:$E$25,0),FALSE)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AA123" s="18">
        <f>HLOOKUP(REG_TRA_DEMANDS!AA$3,'BY-Demands'!$J$5:$AK$14,MATCH($E123,'BY-Demands'!$I$5:$I$14,0),FALSE)*HLOOKUP(REG_TRA_DEMANDS!$F123,DEMANDS!$G$2:$CK$25,MATCH($E123,DEMANDS!$E$2:$E$25,0),FALSE)/HLOOKUP(2018,DEMANDS!$G$2:$CK$25,MATCH($E123,DEMANDS!$E$2:$E$25,0),FALSE)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AB123" s="18">
        <f>HLOOKUP(REG_TRA_DEMANDS!AB$3,'BY-Demands'!$J$5:$AK$14,MATCH($E123,'BY-Demands'!$I$5:$I$14,0),FALSE)*HLOOKUP(REG_TRA_DEMANDS!$F123,DEMANDS!$G$2:$CK$25,MATCH($E123,DEMANDS!$E$2:$E$25,0),FALSE)/HLOOKUP(2018,DEMANDS!$G$2:$CK$25,MATCH($E123,DEMANDS!$E$2:$E$25,0),FALSE)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AC123" s="18">
        <f>HLOOKUP(REG_TRA_DEMANDS!AC$3,'BY-Demands'!$J$5:$AK$14,MATCH($E123,'BY-Demands'!$I$5:$I$14,0),FALSE)*HLOOKUP(REG_TRA_DEMANDS!$F123,DEMANDS!$G$2:$CK$25,MATCH($E123,DEMANDS!$E$2:$E$25,0),FALSE)/HLOOKUP(2018,DEMANDS!$G$2:$CK$25,MATCH($E123,DEMANDS!$E$2:$E$25,0),FALSE)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AD123" s="18">
        <f>HLOOKUP(REG_TRA_DEMANDS!AD$3,'BY-Demands'!$J$5:$AK$14,MATCH($E123,'BY-Demands'!$I$5:$I$14,0),FALSE)*HLOOKUP(REG_TRA_DEMANDS!$F123,DEMANDS!$G$2:$CK$25,MATCH($E123,DEMANDS!$E$2:$E$25,0),FALSE)/HLOOKUP(2018,DEMANDS!$G$2:$CK$25,MATCH($E123,DEMANDS!$E$2:$E$25,0),FALSE)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AE123" s="18">
        <f>HLOOKUP(REG_TRA_DEMANDS!AE$3,'BY-Demands'!$J$5:$AK$14,MATCH($E123,'BY-Demands'!$I$5:$I$14,0),FALSE)*HLOOKUP(REG_TRA_DEMANDS!$F123,DEMANDS!$G$2:$CK$25,MATCH($E123,DEMANDS!$E$2:$E$25,0),FALSE)/HLOOKUP(2018,DEMANDS!$G$2:$CK$25,MATCH($E123,DEMANDS!$E$2:$E$25,0),FALSE)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AF123" s="18">
        <f>HLOOKUP(REG_TRA_DEMANDS!AF$3,'BY-Demands'!$J$5:$AK$14,MATCH($E123,'BY-Demands'!$I$5:$I$14,0),FALSE)*HLOOKUP(REG_TRA_DEMANDS!$F123,DEMANDS!$G$2:$CK$25,MATCH($E123,DEMANDS!$E$2:$E$25,0),FALSE)/HLOOKUP(2018,DEMANDS!$G$2:$CK$25,MATCH($E123,DEMANDS!$E$2:$E$25,0),FALSE)</f>
        <v>0</v>
      </c>
    </row>
    <row r="124" spans="4:32" ht="14.4">
      <c r="D124" t="s">
        <v>6</v>
      </c>
      <c r="E124" t="str">
        <f>DEMANDS!$E$21</f>
        <v>TTURS</v>
      </c>
      <c r="F124">
        <v>2032</v>
      </c>
      <c r="G124" s="18">
        <f>HLOOKUP(REG_TRA_DEMANDS!G$3,'BY-Demands'!$J$5:$AK$14,MATCH($E124,'BY-Demands'!$I$5:$I$14,0),FALSE)*HLOOKUP(REG_TRA_DEMANDS!$F124,DEMANDS!$G$2:$CK$25,MATCH($E124,DEMANDS!$E$2:$E$25,0),FALSE)/HLOOKUP(2018,DEMANDS!$G$2:$CK$25,MATCH($E124,DEMANDS!$E$2:$E$25,0),FALSE)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H124" s="18">
        <f>HLOOKUP(REG_TRA_DEMANDS!H$3,'BY-Demands'!$J$5:$AK$14,MATCH($E124,'BY-Demands'!$I$5:$I$14,0),FALSE)*HLOOKUP(REG_TRA_DEMANDS!$F124,DEMANDS!$G$2:$CK$25,MATCH($E124,DEMANDS!$E$2:$E$25,0),FALSE)/HLOOKUP(2018,DEMANDS!$G$2:$CK$25,MATCH($E124,DEMANDS!$E$2:$E$25,0),FALSE)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I124" s="18">
        <f>HLOOKUP(REG_TRA_DEMANDS!I$3,'BY-Demands'!$J$5:$AK$14,MATCH($E124,'BY-Demands'!$I$5:$I$14,0),FALSE)*HLOOKUP(REG_TRA_DEMANDS!$F124,DEMANDS!$G$2:$CK$25,MATCH($E124,DEMANDS!$E$2:$E$25,0),FALSE)/HLOOKUP(2018,DEMANDS!$G$2:$CK$25,MATCH($E124,DEMANDS!$E$2:$E$25,0),FALSE)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J124" s="18">
        <f>HLOOKUP(REG_TRA_DEMANDS!J$3,'BY-Demands'!$J$5:$AK$14,MATCH($E124,'BY-Demands'!$I$5:$I$14,0),FALSE)*HLOOKUP(REG_TRA_DEMANDS!$F124,DEMANDS!$G$2:$CK$25,MATCH($E124,DEMANDS!$E$2:$E$25,0),FALSE)/HLOOKUP(2018,DEMANDS!$G$2:$CK$25,MATCH($E124,DEMANDS!$E$2:$E$25,0),FALSE)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K124" s="18">
        <f>HLOOKUP(REG_TRA_DEMANDS!K$3,'BY-Demands'!$J$5:$AK$14,MATCH($E124,'BY-Demands'!$I$5:$I$14,0),FALSE)*HLOOKUP(REG_TRA_DEMANDS!$F124,DEMANDS!$G$2:$CK$25,MATCH($E124,DEMANDS!$E$2:$E$25,0),FALSE)/HLOOKUP(2018,DEMANDS!$G$2:$CK$25,MATCH($E124,DEMANDS!$E$2:$E$25,0),FALSE)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L124" s="18">
        <f>HLOOKUP(REG_TRA_DEMANDS!L$3,'BY-Demands'!$J$5:$AK$14,MATCH($E124,'BY-Demands'!$I$5:$I$14,0),FALSE)*HLOOKUP(REG_TRA_DEMANDS!$F124,DEMANDS!$G$2:$CK$25,MATCH($E124,DEMANDS!$E$2:$E$25,0),FALSE)/HLOOKUP(2018,DEMANDS!$G$2:$CK$25,MATCH($E124,DEMANDS!$E$2:$E$25,0),FALSE)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M124" s="18">
        <f>HLOOKUP(REG_TRA_DEMANDS!M$3,'BY-Demands'!$J$5:$AK$14,MATCH($E124,'BY-Demands'!$I$5:$I$14,0),FALSE)*HLOOKUP(REG_TRA_DEMANDS!$F124,DEMANDS!$G$2:$CK$25,MATCH($E124,DEMANDS!$E$2:$E$25,0),FALSE)/HLOOKUP(2018,DEMANDS!$G$2:$CK$25,MATCH($E124,DEMANDS!$E$2:$E$25,0),FALSE)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N124" s="18">
        <f>HLOOKUP(REG_TRA_DEMANDS!N$3,'BY-Demands'!$J$5:$AK$14,MATCH($E124,'BY-Demands'!$I$5:$I$14,0),FALSE)*HLOOKUP(REG_TRA_DEMANDS!$F124,DEMANDS!$G$2:$CK$25,MATCH($E124,DEMANDS!$E$2:$E$25,0),FALSE)/HLOOKUP(2018,DEMANDS!$G$2:$CK$25,MATCH($E124,DEMANDS!$E$2:$E$25,0),FALSE)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O124" s="18">
        <f>HLOOKUP(REG_TRA_DEMANDS!O$3,'BY-Demands'!$J$5:$AK$14,MATCH($E124,'BY-Demands'!$I$5:$I$14,0),FALSE)*HLOOKUP(REG_TRA_DEMANDS!$F124,DEMANDS!$G$2:$CK$25,MATCH($E124,DEMANDS!$E$2:$E$25,0),FALSE)/HLOOKUP(2018,DEMANDS!$G$2:$CK$25,MATCH($E124,DEMANDS!$E$2:$E$25,0),FALSE)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P124" s="18">
        <f>HLOOKUP(REG_TRA_DEMANDS!P$3,'BY-Demands'!$J$5:$AK$14,MATCH($E124,'BY-Demands'!$I$5:$I$14,0),FALSE)*HLOOKUP(REG_TRA_DEMANDS!$F124,DEMANDS!$G$2:$CK$25,MATCH($E124,DEMANDS!$E$2:$E$25,0),FALSE)/HLOOKUP(2018,DEMANDS!$G$2:$CK$25,MATCH($E124,DEMANDS!$E$2:$E$25,0),FALSE)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Q124" s="18">
        <f>HLOOKUP(REG_TRA_DEMANDS!Q$3,'BY-Demands'!$J$5:$AK$14,MATCH($E124,'BY-Demands'!$I$5:$I$14,0),FALSE)*HLOOKUP(REG_TRA_DEMANDS!$F124,DEMANDS!$G$2:$CK$25,MATCH($E124,DEMANDS!$E$2:$E$25,0),FALSE)/HLOOKUP(2018,DEMANDS!$G$2:$CK$25,MATCH($E124,DEMANDS!$E$2:$E$25,0),FALSE)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R124" s="18">
        <f>HLOOKUP(REG_TRA_DEMANDS!R$3,'BY-Demands'!$J$5:$AK$14,MATCH($E124,'BY-Demands'!$I$5:$I$14,0),FALSE)*HLOOKUP(REG_TRA_DEMANDS!$F124,DEMANDS!$G$2:$CK$25,MATCH($E124,DEMANDS!$E$2:$E$25,0),FALSE)/HLOOKUP(2018,DEMANDS!$G$2:$CK$25,MATCH($E124,DEMANDS!$E$2:$E$25,0),FALSE)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S124" s="18">
        <f>HLOOKUP(REG_TRA_DEMANDS!S$3,'BY-Demands'!$J$5:$AK$14,MATCH($E124,'BY-Demands'!$I$5:$I$14,0),FALSE)*HLOOKUP(REG_TRA_DEMANDS!$F124,DEMANDS!$G$2:$CK$25,MATCH($E124,DEMANDS!$E$2:$E$25,0),FALSE)/HLOOKUP(2018,DEMANDS!$G$2:$CK$25,MATCH($E124,DEMANDS!$E$2:$E$25,0),FALSE)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T124" s="18">
        <f>HLOOKUP(REG_TRA_DEMANDS!T$3,'BY-Demands'!$J$5:$AK$14,MATCH($E124,'BY-Demands'!$I$5:$I$14,0),FALSE)*HLOOKUP(REG_TRA_DEMANDS!$F124,DEMANDS!$G$2:$CK$25,MATCH($E124,DEMANDS!$E$2:$E$25,0),FALSE)/HLOOKUP(2018,DEMANDS!$G$2:$CK$25,MATCH($E124,DEMANDS!$E$2:$E$25,0),FALSE)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U124" s="18">
        <f>HLOOKUP(REG_TRA_DEMANDS!U$3,'BY-Demands'!$J$5:$AK$14,MATCH($E124,'BY-Demands'!$I$5:$I$14,0),FALSE)*HLOOKUP(REG_TRA_DEMANDS!$F124,DEMANDS!$G$2:$CK$25,MATCH($E124,DEMANDS!$E$2:$E$25,0),FALSE)/HLOOKUP(2018,DEMANDS!$G$2:$CK$25,MATCH($E124,DEMANDS!$E$2:$E$25,0),FALSE)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V124" s="18">
        <f>HLOOKUP(REG_TRA_DEMANDS!V$3,'BY-Demands'!$J$5:$AK$14,MATCH($E124,'BY-Demands'!$I$5:$I$14,0),FALSE)*HLOOKUP(REG_TRA_DEMANDS!$F124,DEMANDS!$G$2:$CK$25,MATCH($E124,DEMANDS!$E$2:$E$25,0),FALSE)/HLOOKUP(2018,DEMANDS!$G$2:$CK$25,MATCH($E124,DEMANDS!$E$2:$E$25,0),FALSE)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W124" s="18">
        <f>HLOOKUP(REG_TRA_DEMANDS!W$3,'BY-Demands'!$J$5:$AK$14,MATCH($E124,'BY-Demands'!$I$5:$I$14,0),FALSE)*HLOOKUP(REG_TRA_DEMANDS!$F124,DEMANDS!$G$2:$CK$25,MATCH($E124,DEMANDS!$E$2:$E$25,0),FALSE)/HLOOKUP(2018,DEMANDS!$G$2:$CK$25,MATCH($E124,DEMANDS!$E$2:$E$25,0),FALSE)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X124" s="18">
        <f>HLOOKUP(REG_TRA_DEMANDS!X$3,'BY-Demands'!$J$5:$AK$14,MATCH($E124,'BY-Demands'!$I$5:$I$14,0),FALSE)*HLOOKUP(REG_TRA_DEMANDS!$F124,DEMANDS!$G$2:$CK$25,MATCH($E124,DEMANDS!$E$2:$E$25,0),FALSE)/HLOOKUP(2018,DEMANDS!$G$2:$CK$25,MATCH($E124,DEMANDS!$E$2:$E$25,0),FALSE)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Y124" s="18">
        <f>HLOOKUP(REG_TRA_DEMANDS!Y$3,'BY-Demands'!$J$5:$AK$14,MATCH($E124,'BY-Demands'!$I$5:$I$14,0),FALSE)*HLOOKUP(REG_TRA_DEMANDS!$F124,DEMANDS!$G$2:$CK$25,MATCH($E124,DEMANDS!$E$2:$E$25,0),FALSE)/HLOOKUP(2018,DEMANDS!$G$2:$CK$25,MATCH($E124,DEMANDS!$E$2:$E$25,0),FALSE)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Z124" s="18">
        <f>HLOOKUP(REG_TRA_DEMANDS!Z$3,'BY-Demands'!$J$5:$AK$14,MATCH($E124,'BY-Demands'!$I$5:$I$14,0),FALSE)*HLOOKUP(REG_TRA_DEMANDS!$F124,DEMANDS!$G$2:$CK$25,MATCH($E124,DEMANDS!$E$2:$E$25,0),FALSE)/HLOOKUP(2018,DEMANDS!$G$2:$CK$25,MATCH($E124,DEMANDS!$E$2:$E$25,0),FALSE)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AA124" s="18">
        <f>HLOOKUP(REG_TRA_DEMANDS!AA$3,'BY-Demands'!$J$5:$AK$14,MATCH($E124,'BY-Demands'!$I$5:$I$14,0),FALSE)*HLOOKUP(REG_TRA_DEMANDS!$F124,DEMANDS!$G$2:$CK$25,MATCH($E124,DEMANDS!$E$2:$E$25,0),FALSE)/HLOOKUP(2018,DEMANDS!$G$2:$CK$25,MATCH($E124,DEMANDS!$E$2:$E$25,0),FALSE)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AB124" s="18">
        <f>HLOOKUP(REG_TRA_DEMANDS!AB$3,'BY-Demands'!$J$5:$AK$14,MATCH($E124,'BY-Demands'!$I$5:$I$14,0),FALSE)*HLOOKUP(REG_TRA_DEMANDS!$F124,DEMANDS!$G$2:$CK$25,MATCH($E124,DEMANDS!$E$2:$E$25,0),FALSE)/HLOOKUP(2018,DEMANDS!$G$2:$CK$25,MATCH($E124,DEMANDS!$E$2:$E$25,0),FALSE)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AC124" s="18">
        <f>HLOOKUP(REG_TRA_DEMANDS!AC$3,'BY-Demands'!$J$5:$AK$14,MATCH($E124,'BY-Demands'!$I$5:$I$14,0),FALSE)*HLOOKUP(REG_TRA_DEMANDS!$F124,DEMANDS!$G$2:$CK$25,MATCH($E124,DEMANDS!$E$2:$E$25,0),FALSE)/HLOOKUP(2018,DEMANDS!$G$2:$CK$25,MATCH($E124,DEMANDS!$E$2:$E$25,0),FALSE)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AD124" s="18">
        <f>HLOOKUP(REG_TRA_DEMANDS!AD$3,'BY-Demands'!$J$5:$AK$14,MATCH($E124,'BY-Demands'!$I$5:$I$14,0),FALSE)*HLOOKUP(REG_TRA_DEMANDS!$F124,DEMANDS!$G$2:$CK$25,MATCH($E124,DEMANDS!$E$2:$E$25,0),FALSE)/HLOOKUP(2018,DEMANDS!$G$2:$CK$25,MATCH($E124,DEMANDS!$E$2:$E$25,0),FALSE)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AE124" s="18">
        <f>HLOOKUP(REG_TRA_DEMANDS!AE$3,'BY-Demands'!$J$5:$AK$14,MATCH($E124,'BY-Demands'!$I$5:$I$14,0),FALSE)*HLOOKUP(REG_TRA_DEMANDS!$F124,DEMANDS!$G$2:$CK$25,MATCH($E124,DEMANDS!$E$2:$E$25,0),FALSE)/HLOOKUP(2018,DEMANDS!$G$2:$CK$25,MATCH($E124,DEMANDS!$E$2:$E$25,0),FALSE)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AF124" s="18">
        <f>HLOOKUP(REG_TRA_DEMANDS!AF$3,'BY-Demands'!$J$5:$AK$14,MATCH($E124,'BY-Demands'!$I$5:$I$14,0),FALSE)*HLOOKUP(REG_TRA_DEMANDS!$F124,DEMANDS!$G$2:$CK$25,MATCH($E124,DEMANDS!$E$2:$E$25,0),FALSE)/HLOOKUP(2018,DEMANDS!$G$2:$CK$25,MATCH($E124,DEMANDS!$E$2:$E$25,0),FALSE)</f>
        <v>0</v>
      </c>
    </row>
    <row r="125" spans="4:32" ht="14.4">
      <c r="D125" t="s">
        <v>6</v>
      </c>
      <c r="E125" t="str">
        <f>DEMANDS!$E$21</f>
        <v>TTURS</v>
      </c>
      <c r="F125">
        <v>2033</v>
      </c>
      <c r="G125" s="18">
        <f>HLOOKUP(REG_TRA_DEMANDS!G$3,'BY-Demands'!$J$5:$AK$14,MATCH($E125,'BY-Demands'!$I$5:$I$14,0),FALSE)*HLOOKUP(REG_TRA_DEMANDS!$F125,DEMANDS!$G$2:$CK$25,MATCH($E125,DEMANDS!$E$2:$E$25,0),FALSE)/HLOOKUP(2018,DEMANDS!$G$2:$CK$25,MATCH($E125,DEMANDS!$E$2:$E$25,0),FALSE)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H125" s="18">
        <f>HLOOKUP(REG_TRA_DEMANDS!H$3,'BY-Demands'!$J$5:$AK$14,MATCH($E125,'BY-Demands'!$I$5:$I$14,0),FALSE)*HLOOKUP(REG_TRA_DEMANDS!$F125,DEMANDS!$G$2:$CK$25,MATCH($E125,DEMANDS!$E$2:$E$25,0),FALSE)/HLOOKUP(2018,DEMANDS!$G$2:$CK$25,MATCH($E125,DEMANDS!$E$2:$E$25,0),FALSE)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I125" s="18">
        <f>HLOOKUP(REG_TRA_DEMANDS!I$3,'BY-Demands'!$J$5:$AK$14,MATCH($E125,'BY-Demands'!$I$5:$I$14,0),FALSE)*HLOOKUP(REG_TRA_DEMANDS!$F125,DEMANDS!$G$2:$CK$25,MATCH($E125,DEMANDS!$E$2:$E$25,0),FALSE)/HLOOKUP(2018,DEMANDS!$G$2:$CK$25,MATCH($E125,DEMANDS!$E$2:$E$25,0),FALSE)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J125" s="18">
        <f>HLOOKUP(REG_TRA_DEMANDS!J$3,'BY-Demands'!$J$5:$AK$14,MATCH($E125,'BY-Demands'!$I$5:$I$14,0),FALSE)*HLOOKUP(REG_TRA_DEMANDS!$F125,DEMANDS!$G$2:$CK$25,MATCH($E125,DEMANDS!$E$2:$E$25,0),FALSE)/HLOOKUP(2018,DEMANDS!$G$2:$CK$25,MATCH($E125,DEMANDS!$E$2:$E$25,0),FALSE)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K125" s="18">
        <f>HLOOKUP(REG_TRA_DEMANDS!K$3,'BY-Demands'!$J$5:$AK$14,MATCH($E125,'BY-Demands'!$I$5:$I$14,0),FALSE)*HLOOKUP(REG_TRA_DEMANDS!$F125,DEMANDS!$G$2:$CK$25,MATCH($E125,DEMANDS!$E$2:$E$25,0),FALSE)/HLOOKUP(2018,DEMANDS!$G$2:$CK$25,MATCH($E125,DEMANDS!$E$2:$E$25,0),FALSE)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L125" s="18">
        <f>HLOOKUP(REG_TRA_DEMANDS!L$3,'BY-Demands'!$J$5:$AK$14,MATCH($E125,'BY-Demands'!$I$5:$I$14,0),FALSE)*HLOOKUP(REG_TRA_DEMANDS!$F125,DEMANDS!$G$2:$CK$25,MATCH($E125,DEMANDS!$E$2:$E$25,0),FALSE)/HLOOKUP(2018,DEMANDS!$G$2:$CK$25,MATCH($E125,DEMANDS!$E$2:$E$25,0),FALSE)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M125" s="18">
        <f>HLOOKUP(REG_TRA_DEMANDS!M$3,'BY-Demands'!$J$5:$AK$14,MATCH($E125,'BY-Demands'!$I$5:$I$14,0),FALSE)*HLOOKUP(REG_TRA_DEMANDS!$F125,DEMANDS!$G$2:$CK$25,MATCH($E125,DEMANDS!$E$2:$E$25,0),FALSE)/HLOOKUP(2018,DEMANDS!$G$2:$CK$25,MATCH($E125,DEMANDS!$E$2:$E$25,0),FALSE)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N125" s="18">
        <f>HLOOKUP(REG_TRA_DEMANDS!N$3,'BY-Demands'!$J$5:$AK$14,MATCH($E125,'BY-Demands'!$I$5:$I$14,0),FALSE)*HLOOKUP(REG_TRA_DEMANDS!$F125,DEMANDS!$G$2:$CK$25,MATCH($E125,DEMANDS!$E$2:$E$25,0),FALSE)/HLOOKUP(2018,DEMANDS!$G$2:$CK$25,MATCH($E125,DEMANDS!$E$2:$E$25,0),FALSE)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O125" s="18">
        <f>HLOOKUP(REG_TRA_DEMANDS!O$3,'BY-Demands'!$J$5:$AK$14,MATCH($E125,'BY-Demands'!$I$5:$I$14,0),FALSE)*HLOOKUP(REG_TRA_DEMANDS!$F125,DEMANDS!$G$2:$CK$25,MATCH($E125,DEMANDS!$E$2:$E$25,0),FALSE)/HLOOKUP(2018,DEMANDS!$G$2:$CK$25,MATCH($E125,DEMANDS!$E$2:$E$25,0),FALSE)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P125" s="18">
        <f>HLOOKUP(REG_TRA_DEMANDS!P$3,'BY-Demands'!$J$5:$AK$14,MATCH($E125,'BY-Demands'!$I$5:$I$14,0),FALSE)*HLOOKUP(REG_TRA_DEMANDS!$F125,DEMANDS!$G$2:$CK$25,MATCH($E125,DEMANDS!$E$2:$E$25,0),FALSE)/HLOOKUP(2018,DEMANDS!$G$2:$CK$25,MATCH($E125,DEMANDS!$E$2:$E$25,0),FALSE)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Q125" s="18">
        <f>HLOOKUP(REG_TRA_DEMANDS!Q$3,'BY-Demands'!$J$5:$AK$14,MATCH($E125,'BY-Demands'!$I$5:$I$14,0),FALSE)*HLOOKUP(REG_TRA_DEMANDS!$F125,DEMANDS!$G$2:$CK$25,MATCH($E125,DEMANDS!$E$2:$E$25,0),FALSE)/HLOOKUP(2018,DEMANDS!$G$2:$CK$25,MATCH($E125,DEMANDS!$E$2:$E$25,0),FALSE)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R125" s="18">
        <f>HLOOKUP(REG_TRA_DEMANDS!R$3,'BY-Demands'!$J$5:$AK$14,MATCH($E125,'BY-Demands'!$I$5:$I$14,0),FALSE)*HLOOKUP(REG_TRA_DEMANDS!$F125,DEMANDS!$G$2:$CK$25,MATCH($E125,DEMANDS!$E$2:$E$25,0),FALSE)/HLOOKUP(2018,DEMANDS!$G$2:$CK$25,MATCH($E125,DEMANDS!$E$2:$E$25,0),FALSE)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S125" s="18">
        <f>HLOOKUP(REG_TRA_DEMANDS!S$3,'BY-Demands'!$J$5:$AK$14,MATCH($E125,'BY-Demands'!$I$5:$I$14,0),FALSE)*HLOOKUP(REG_TRA_DEMANDS!$F125,DEMANDS!$G$2:$CK$25,MATCH($E125,DEMANDS!$E$2:$E$25,0),FALSE)/HLOOKUP(2018,DEMANDS!$G$2:$CK$25,MATCH($E125,DEMANDS!$E$2:$E$25,0),FALSE)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T125" s="18">
        <f>HLOOKUP(REG_TRA_DEMANDS!T$3,'BY-Demands'!$J$5:$AK$14,MATCH($E125,'BY-Demands'!$I$5:$I$14,0),FALSE)*HLOOKUP(REG_TRA_DEMANDS!$F125,DEMANDS!$G$2:$CK$25,MATCH($E125,DEMANDS!$E$2:$E$25,0),FALSE)/HLOOKUP(2018,DEMANDS!$G$2:$CK$25,MATCH($E125,DEMANDS!$E$2:$E$25,0),FALSE)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U125" s="18">
        <f>HLOOKUP(REG_TRA_DEMANDS!U$3,'BY-Demands'!$J$5:$AK$14,MATCH($E125,'BY-Demands'!$I$5:$I$14,0),FALSE)*HLOOKUP(REG_TRA_DEMANDS!$F125,DEMANDS!$G$2:$CK$25,MATCH($E125,DEMANDS!$E$2:$E$25,0),FALSE)/HLOOKUP(2018,DEMANDS!$G$2:$CK$25,MATCH($E125,DEMANDS!$E$2:$E$25,0),FALSE)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V125" s="18">
        <f>HLOOKUP(REG_TRA_DEMANDS!V$3,'BY-Demands'!$J$5:$AK$14,MATCH($E125,'BY-Demands'!$I$5:$I$14,0),FALSE)*HLOOKUP(REG_TRA_DEMANDS!$F125,DEMANDS!$G$2:$CK$25,MATCH($E125,DEMANDS!$E$2:$E$25,0),FALSE)/HLOOKUP(2018,DEMANDS!$G$2:$CK$25,MATCH($E125,DEMANDS!$E$2:$E$25,0),FALSE)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W125" s="18">
        <f>HLOOKUP(REG_TRA_DEMANDS!W$3,'BY-Demands'!$J$5:$AK$14,MATCH($E125,'BY-Demands'!$I$5:$I$14,0),FALSE)*HLOOKUP(REG_TRA_DEMANDS!$F125,DEMANDS!$G$2:$CK$25,MATCH($E125,DEMANDS!$E$2:$E$25,0),FALSE)/HLOOKUP(2018,DEMANDS!$G$2:$CK$25,MATCH($E125,DEMANDS!$E$2:$E$25,0),FALSE)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X125" s="18">
        <f>HLOOKUP(REG_TRA_DEMANDS!X$3,'BY-Demands'!$J$5:$AK$14,MATCH($E125,'BY-Demands'!$I$5:$I$14,0),FALSE)*HLOOKUP(REG_TRA_DEMANDS!$F125,DEMANDS!$G$2:$CK$25,MATCH($E125,DEMANDS!$E$2:$E$25,0),FALSE)/HLOOKUP(2018,DEMANDS!$G$2:$CK$25,MATCH($E125,DEMANDS!$E$2:$E$25,0),FALSE)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Y125" s="18">
        <f>HLOOKUP(REG_TRA_DEMANDS!Y$3,'BY-Demands'!$J$5:$AK$14,MATCH($E125,'BY-Demands'!$I$5:$I$14,0),FALSE)*HLOOKUP(REG_TRA_DEMANDS!$F125,DEMANDS!$G$2:$CK$25,MATCH($E125,DEMANDS!$E$2:$E$25,0),FALSE)/HLOOKUP(2018,DEMANDS!$G$2:$CK$25,MATCH($E125,DEMANDS!$E$2:$E$25,0),FALSE)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Z125" s="18">
        <f>HLOOKUP(REG_TRA_DEMANDS!Z$3,'BY-Demands'!$J$5:$AK$14,MATCH($E125,'BY-Demands'!$I$5:$I$14,0),FALSE)*HLOOKUP(REG_TRA_DEMANDS!$F125,DEMANDS!$G$2:$CK$25,MATCH($E125,DEMANDS!$E$2:$E$25,0),FALSE)/HLOOKUP(2018,DEMANDS!$G$2:$CK$25,MATCH($E125,DEMANDS!$E$2:$E$25,0),FALSE)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AA125" s="18">
        <f>HLOOKUP(REG_TRA_DEMANDS!AA$3,'BY-Demands'!$J$5:$AK$14,MATCH($E125,'BY-Demands'!$I$5:$I$14,0),FALSE)*HLOOKUP(REG_TRA_DEMANDS!$F125,DEMANDS!$G$2:$CK$25,MATCH($E125,DEMANDS!$E$2:$E$25,0),FALSE)/HLOOKUP(2018,DEMANDS!$G$2:$CK$25,MATCH($E125,DEMANDS!$E$2:$E$25,0),FALSE)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AB125" s="18">
        <f>HLOOKUP(REG_TRA_DEMANDS!AB$3,'BY-Demands'!$J$5:$AK$14,MATCH($E125,'BY-Demands'!$I$5:$I$14,0),FALSE)*HLOOKUP(REG_TRA_DEMANDS!$F125,DEMANDS!$G$2:$CK$25,MATCH($E125,DEMANDS!$E$2:$E$25,0),FALSE)/HLOOKUP(2018,DEMANDS!$G$2:$CK$25,MATCH($E125,DEMANDS!$E$2:$E$25,0),FALSE)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AC125" s="18">
        <f>HLOOKUP(REG_TRA_DEMANDS!AC$3,'BY-Demands'!$J$5:$AK$14,MATCH($E125,'BY-Demands'!$I$5:$I$14,0),FALSE)*HLOOKUP(REG_TRA_DEMANDS!$F125,DEMANDS!$G$2:$CK$25,MATCH($E125,DEMANDS!$E$2:$E$25,0),FALSE)/HLOOKUP(2018,DEMANDS!$G$2:$CK$25,MATCH($E125,DEMANDS!$E$2:$E$25,0),FALSE)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AD125" s="18">
        <f>HLOOKUP(REG_TRA_DEMANDS!AD$3,'BY-Demands'!$J$5:$AK$14,MATCH($E125,'BY-Demands'!$I$5:$I$14,0),FALSE)*HLOOKUP(REG_TRA_DEMANDS!$F125,DEMANDS!$G$2:$CK$25,MATCH($E125,DEMANDS!$E$2:$E$25,0),FALSE)/HLOOKUP(2018,DEMANDS!$G$2:$CK$25,MATCH($E125,DEMANDS!$E$2:$E$25,0),FALSE)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AE125" s="18">
        <f>HLOOKUP(REG_TRA_DEMANDS!AE$3,'BY-Demands'!$J$5:$AK$14,MATCH($E125,'BY-Demands'!$I$5:$I$14,0),FALSE)*HLOOKUP(REG_TRA_DEMANDS!$F125,DEMANDS!$G$2:$CK$25,MATCH($E125,DEMANDS!$E$2:$E$25,0),FALSE)/HLOOKUP(2018,DEMANDS!$G$2:$CK$25,MATCH($E125,DEMANDS!$E$2:$E$25,0),FALSE)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AF125" s="18">
        <f>HLOOKUP(REG_TRA_DEMANDS!AF$3,'BY-Demands'!$J$5:$AK$14,MATCH($E125,'BY-Demands'!$I$5:$I$14,0),FALSE)*HLOOKUP(REG_TRA_DEMANDS!$F125,DEMANDS!$G$2:$CK$25,MATCH($E125,DEMANDS!$E$2:$E$25,0),FALSE)/HLOOKUP(2018,DEMANDS!$G$2:$CK$25,MATCH($E125,DEMANDS!$E$2:$E$25,0),FALSE)</f>
        <v>0</v>
      </c>
    </row>
    <row r="126" spans="4:32" ht="14.4">
      <c r="D126" t="s">
        <v>6</v>
      </c>
      <c r="E126" t="str">
        <f>DEMANDS!$E$21</f>
        <v>TTURS</v>
      </c>
      <c r="F126">
        <v>2034</v>
      </c>
      <c r="G126" s="18">
        <f>HLOOKUP(REG_TRA_DEMANDS!G$3,'BY-Demands'!$J$5:$AK$14,MATCH($E126,'BY-Demands'!$I$5:$I$14,0),FALSE)*HLOOKUP(REG_TRA_DEMANDS!$F126,DEMANDS!$G$2:$CK$25,MATCH($E126,DEMANDS!$E$2:$E$25,0),FALSE)/HLOOKUP(2018,DEMANDS!$G$2:$CK$25,MATCH($E126,DEMANDS!$E$2:$E$25,0),FALSE)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H126" s="18">
        <f>HLOOKUP(REG_TRA_DEMANDS!H$3,'BY-Demands'!$J$5:$AK$14,MATCH($E126,'BY-Demands'!$I$5:$I$14,0),FALSE)*HLOOKUP(REG_TRA_DEMANDS!$F126,DEMANDS!$G$2:$CK$25,MATCH($E126,DEMANDS!$E$2:$E$25,0),FALSE)/HLOOKUP(2018,DEMANDS!$G$2:$CK$25,MATCH($E126,DEMANDS!$E$2:$E$25,0),FALSE)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I126" s="18">
        <f>HLOOKUP(REG_TRA_DEMANDS!I$3,'BY-Demands'!$J$5:$AK$14,MATCH($E126,'BY-Demands'!$I$5:$I$14,0),FALSE)*HLOOKUP(REG_TRA_DEMANDS!$F126,DEMANDS!$G$2:$CK$25,MATCH($E126,DEMANDS!$E$2:$E$25,0),FALSE)/HLOOKUP(2018,DEMANDS!$G$2:$CK$25,MATCH($E126,DEMANDS!$E$2:$E$25,0),FALSE)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J126" s="18">
        <f>HLOOKUP(REG_TRA_DEMANDS!J$3,'BY-Demands'!$J$5:$AK$14,MATCH($E126,'BY-Demands'!$I$5:$I$14,0),FALSE)*HLOOKUP(REG_TRA_DEMANDS!$F126,DEMANDS!$G$2:$CK$25,MATCH($E126,DEMANDS!$E$2:$E$25,0),FALSE)/HLOOKUP(2018,DEMANDS!$G$2:$CK$25,MATCH($E126,DEMANDS!$E$2:$E$25,0),FALSE)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K126" s="18">
        <f>HLOOKUP(REG_TRA_DEMANDS!K$3,'BY-Demands'!$J$5:$AK$14,MATCH($E126,'BY-Demands'!$I$5:$I$14,0),FALSE)*HLOOKUP(REG_TRA_DEMANDS!$F126,DEMANDS!$G$2:$CK$25,MATCH($E126,DEMANDS!$E$2:$E$25,0),FALSE)/HLOOKUP(2018,DEMANDS!$G$2:$CK$25,MATCH($E126,DEMANDS!$E$2:$E$25,0),FALSE)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L126" s="18">
        <f>HLOOKUP(REG_TRA_DEMANDS!L$3,'BY-Demands'!$J$5:$AK$14,MATCH($E126,'BY-Demands'!$I$5:$I$14,0),FALSE)*HLOOKUP(REG_TRA_DEMANDS!$F126,DEMANDS!$G$2:$CK$25,MATCH($E126,DEMANDS!$E$2:$E$25,0),FALSE)/HLOOKUP(2018,DEMANDS!$G$2:$CK$25,MATCH($E126,DEMANDS!$E$2:$E$25,0),FALSE)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M126" s="18">
        <f>HLOOKUP(REG_TRA_DEMANDS!M$3,'BY-Demands'!$J$5:$AK$14,MATCH($E126,'BY-Demands'!$I$5:$I$14,0),FALSE)*HLOOKUP(REG_TRA_DEMANDS!$F126,DEMANDS!$G$2:$CK$25,MATCH($E126,DEMANDS!$E$2:$E$25,0),FALSE)/HLOOKUP(2018,DEMANDS!$G$2:$CK$25,MATCH($E126,DEMANDS!$E$2:$E$25,0),FALSE)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N126" s="18">
        <f>HLOOKUP(REG_TRA_DEMANDS!N$3,'BY-Demands'!$J$5:$AK$14,MATCH($E126,'BY-Demands'!$I$5:$I$14,0),FALSE)*HLOOKUP(REG_TRA_DEMANDS!$F126,DEMANDS!$G$2:$CK$25,MATCH($E126,DEMANDS!$E$2:$E$25,0),FALSE)/HLOOKUP(2018,DEMANDS!$G$2:$CK$25,MATCH($E126,DEMANDS!$E$2:$E$25,0),FALSE)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O126" s="18">
        <f>HLOOKUP(REG_TRA_DEMANDS!O$3,'BY-Demands'!$J$5:$AK$14,MATCH($E126,'BY-Demands'!$I$5:$I$14,0),FALSE)*HLOOKUP(REG_TRA_DEMANDS!$F126,DEMANDS!$G$2:$CK$25,MATCH($E126,DEMANDS!$E$2:$E$25,0),FALSE)/HLOOKUP(2018,DEMANDS!$G$2:$CK$25,MATCH($E126,DEMANDS!$E$2:$E$25,0),FALSE)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P126" s="18">
        <f>HLOOKUP(REG_TRA_DEMANDS!P$3,'BY-Demands'!$J$5:$AK$14,MATCH($E126,'BY-Demands'!$I$5:$I$14,0),FALSE)*HLOOKUP(REG_TRA_DEMANDS!$F126,DEMANDS!$G$2:$CK$25,MATCH($E126,DEMANDS!$E$2:$E$25,0),FALSE)/HLOOKUP(2018,DEMANDS!$G$2:$CK$25,MATCH($E126,DEMANDS!$E$2:$E$25,0),FALSE)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Q126" s="18">
        <f>HLOOKUP(REG_TRA_DEMANDS!Q$3,'BY-Demands'!$J$5:$AK$14,MATCH($E126,'BY-Demands'!$I$5:$I$14,0),FALSE)*HLOOKUP(REG_TRA_DEMANDS!$F126,DEMANDS!$G$2:$CK$25,MATCH($E126,DEMANDS!$E$2:$E$25,0),FALSE)/HLOOKUP(2018,DEMANDS!$G$2:$CK$25,MATCH($E126,DEMANDS!$E$2:$E$25,0),FALSE)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R126" s="18">
        <f>HLOOKUP(REG_TRA_DEMANDS!R$3,'BY-Demands'!$J$5:$AK$14,MATCH($E126,'BY-Demands'!$I$5:$I$14,0),FALSE)*HLOOKUP(REG_TRA_DEMANDS!$F126,DEMANDS!$G$2:$CK$25,MATCH($E126,DEMANDS!$E$2:$E$25,0),FALSE)/HLOOKUP(2018,DEMANDS!$G$2:$CK$25,MATCH($E126,DEMANDS!$E$2:$E$25,0),FALSE)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S126" s="18">
        <f>HLOOKUP(REG_TRA_DEMANDS!S$3,'BY-Demands'!$J$5:$AK$14,MATCH($E126,'BY-Demands'!$I$5:$I$14,0),FALSE)*HLOOKUP(REG_TRA_DEMANDS!$F126,DEMANDS!$G$2:$CK$25,MATCH($E126,DEMANDS!$E$2:$E$25,0),FALSE)/HLOOKUP(2018,DEMANDS!$G$2:$CK$25,MATCH($E126,DEMANDS!$E$2:$E$25,0),FALSE)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T126" s="18">
        <f>HLOOKUP(REG_TRA_DEMANDS!T$3,'BY-Demands'!$J$5:$AK$14,MATCH($E126,'BY-Demands'!$I$5:$I$14,0),FALSE)*HLOOKUP(REG_TRA_DEMANDS!$F126,DEMANDS!$G$2:$CK$25,MATCH($E126,DEMANDS!$E$2:$E$25,0),FALSE)/HLOOKUP(2018,DEMANDS!$G$2:$CK$25,MATCH($E126,DEMANDS!$E$2:$E$25,0),FALSE)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U126" s="18">
        <f>HLOOKUP(REG_TRA_DEMANDS!U$3,'BY-Demands'!$J$5:$AK$14,MATCH($E126,'BY-Demands'!$I$5:$I$14,0),FALSE)*HLOOKUP(REG_TRA_DEMANDS!$F126,DEMANDS!$G$2:$CK$25,MATCH($E126,DEMANDS!$E$2:$E$25,0),FALSE)/HLOOKUP(2018,DEMANDS!$G$2:$CK$25,MATCH($E126,DEMANDS!$E$2:$E$25,0),FALSE)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V126" s="18">
        <f>HLOOKUP(REG_TRA_DEMANDS!V$3,'BY-Demands'!$J$5:$AK$14,MATCH($E126,'BY-Demands'!$I$5:$I$14,0),FALSE)*HLOOKUP(REG_TRA_DEMANDS!$F126,DEMANDS!$G$2:$CK$25,MATCH($E126,DEMANDS!$E$2:$E$25,0),FALSE)/HLOOKUP(2018,DEMANDS!$G$2:$CK$25,MATCH($E126,DEMANDS!$E$2:$E$25,0),FALSE)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W126" s="18">
        <f>HLOOKUP(REG_TRA_DEMANDS!W$3,'BY-Demands'!$J$5:$AK$14,MATCH($E126,'BY-Demands'!$I$5:$I$14,0),FALSE)*HLOOKUP(REG_TRA_DEMANDS!$F126,DEMANDS!$G$2:$CK$25,MATCH($E126,DEMANDS!$E$2:$E$25,0),FALSE)/HLOOKUP(2018,DEMANDS!$G$2:$CK$25,MATCH($E126,DEMANDS!$E$2:$E$25,0),FALSE)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X126" s="18">
        <f>HLOOKUP(REG_TRA_DEMANDS!X$3,'BY-Demands'!$J$5:$AK$14,MATCH($E126,'BY-Demands'!$I$5:$I$14,0),FALSE)*HLOOKUP(REG_TRA_DEMANDS!$F126,DEMANDS!$G$2:$CK$25,MATCH($E126,DEMANDS!$E$2:$E$25,0),FALSE)/HLOOKUP(2018,DEMANDS!$G$2:$CK$25,MATCH($E126,DEMANDS!$E$2:$E$25,0),FALSE)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Y126" s="18">
        <f>HLOOKUP(REG_TRA_DEMANDS!Y$3,'BY-Demands'!$J$5:$AK$14,MATCH($E126,'BY-Demands'!$I$5:$I$14,0),FALSE)*HLOOKUP(REG_TRA_DEMANDS!$F126,DEMANDS!$G$2:$CK$25,MATCH($E126,DEMANDS!$E$2:$E$25,0),FALSE)/HLOOKUP(2018,DEMANDS!$G$2:$CK$25,MATCH($E126,DEMANDS!$E$2:$E$25,0),FALSE)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Z126" s="18">
        <f>HLOOKUP(REG_TRA_DEMANDS!Z$3,'BY-Demands'!$J$5:$AK$14,MATCH($E126,'BY-Demands'!$I$5:$I$14,0),FALSE)*HLOOKUP(REG_TRA_DEMANDS!$F126,DEMANDS!$G$2:$CK$25,MATCH($E126,DEMANDS!$E$2:$E$25,0),FALSE)/HLOOKUP(2018,DEMANDS!$G$2:$CK$25,MATCH($E126,DEMANDS!$E$2:$E$25,0),FALSE)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AA126" s="18">
        <f>HLOOKUP(REG_TRA_DEMANDS!AA$3,'BY-Demands'!$J$5:$AK$14,MATCH($E126,'BY-Demands'!$I$5:$I$14,0),FALSE)*HLOOKUP(REG_TRA_DEMANDS!$F126,DEMANDS!$G$2:$CK$25,MATCH($E126,DEMANDS!$E$2:$E$25,0),FALSE)/HLOOKUP(2018,DEMANDS!$G$2:$CK$25,MATCH($E126,DEMANDS!$E$2:$E$25,0),FALSE)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AB126" s="18">
        <f>HLOOKUP(REG_TRA_DEMANDS!AB$3,'BY-Demands'!$J$5:$AK$14,MATCH($E126,'BY-Demands'!$I$5:$I$14,0),FALSE)*HLOOKUP(REG_TRA_DEMANDS!$F126,DEMANDS!$G$2:$CK$25,MATCH($E126,DEMANDS!$E$2:$E$25,0),FALSE)/HLOOKUP(2018,DEMANDS!$G$2:$CK$25,MATCH($E126,DEMANDS!$E$2:$E$25,0),FALSE)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AC126" s="18">
        <f>HLOOKUP(REG_TRA_DEMANDS!AC$3,'BY-Demands'!$J$5:$AK$14,MATCH($E126,'BY-Demands'!$I$5:$I$14,0),FALSE)*HLOOKUP(REG_TRA_DEMANDS!$F126,DEMANDS!$G$2:$CK$25,MATCH($E126,DEMANDS!$E$2:$E$25,0),FALSE)/HLOOKUP(2018,DEMANDS!$G$2:$CK$25,MATCH($E126,DEMANDS!$E$2:$E$25,0),FALSE)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AD126" s="18">
        <f>HLOOKUP(REG_TRA_DEMANDS!AD$3,'BY-Demands'!$J$5:$AK$14,MATCH($E126,'BY-Demands'!$I$5:$I$14,0),FALSE)*HLOOKUP(REG_TRA_DEMANDS!$F126,DEMANDS!$G$2:$CK$25,MATCH($E126,DEMANDS!$E$2:$E$25,0),FALSE)/HLOOKUP(2018,DEMANDS!$G$2:$CK$25,MATCH($E126,DEMANDS!$E$2:$E$25,0),FALSE)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AE126" s="18">
        <f>HLOOKUP(REG_TRA_DEMANDS!AE$3,'BY-Demands'!$J$5:$AK$14,MATCH($E126,'BY-Demands'!$I$5:$I$14,0),FALSE)*HLOOKUP(REG_TRA_DEMANDS!$F126,DEMANDS!$G$2:$CK$25,MATCH($E126,DEMANDS!$E$2:$E$25,0),FALSE)/HLOOKUP(2018,DEMANDS!$G$2:$CK$25,MATCH($E126,DEMANDS!$E$2:$E$25,0),FALSE)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AF126" s="18">
        <f>HLOOKUP(REG_TRA_DEMANDS!AF$3,'BY-Demands'!$J$5:$AK$14,MATCH($E126,'BY-Demands'!$I$5:$I$14,0),FALSE)*HLOOKUP(REG_TRA_DEMANDS!$F126,DEMANDS!$G$2:$CK$25,MATCH($E126,DEMANDS!$E$2:$E$25,0),FALSE)/HLOOKUP(2018,DEMANDS!$G$2:$CK$25,MATCH($E126,DEMANDS!$E$2:$E$25,0),FALSE)</f>
        <v>0</v>
      </c>
    </row>
    <row r="127" spans="4:32" ht="14.4">
      <c r="D127" t="s">
        <v>6</v>
      </c>
      <c r="E127" t="str">
        <f>DEMANDS!$E$21</f>
        <v>TTURS</v>
      </c>
      <c r="F127">
        <v>2035</v>
      </c>
      <c r="G127" s="18">
        <f>HLOOKUP(REG_TRA_DEMANDS!G$3,'BY-Demands'!$J$5:$AK$14,MATCH($E127,'BY-Demands'!$I$5:$I$14,0),FALSE)*HLOOKUP(REG_TRA_DEMANDS!$F127,DEMANDS!$G$2:$CK$25,MATCH($E127,DEMANDS!$E$2:$E$25,0),FALSE)/HLOOKUP(2018,DEMANDS!$G$2:$CK$25,MATCH($E127,DEMANDS!$E$2:$E$25,0),FALSE)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H127" s="18">
        <f>HLOOKUP(REG_TRA_DEMANDS!H$3,'BY-Demands'!$J$5:$AK$14,MATCH($E127,'BY-Demands'!$I$5:$I$14,0),FALSE)*HLOOKUP(REG_TRA_DEMANDS!$F127,DEMANDS!$G$2:$CK$25,MATCH($E127,DEMANDS!$E$2:$E$25,0),FALSE)/HLOOKUP(2018,DEMANDS!$G$2:$CK$25,MATCH($E127,DEMANDS!$E$2:$E$25,0),FALSE)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I127" s="18">
        <f>HLOOKUP(REG_TRA_DEMANDS!I$3,'BY-Demands'!$J$5:$AK$14,MATCH($E127,'BY-Demands'!$I$5:$I$14,0),FALSE)*HLOOKUP(REG_TRA_DEMANDS!$F127,DEMANDS!$G$2:$CK$25,MATCH($E127,DEMANDS!$E$2:$E$25,0),FALSE)/HLOOKUP(2018,DEMANDS!$G$2:$CK$25,MATCH($E127,DEMANDS!$E$2:$E$25,0),FALSE)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J127" s="18">
        <f>HLOOKUP(REG_TRA_DEMANDS!J$3,'BY-Demands'!$J$5:$AK$14,MATCH($E127,'BY-Demands'!$I$5:$I$14,0),FALSE)*HLOOKUP(REG_TRA_DEMANDS!$F127,DEMANDS!$G$2:$CK$25,MATCH($E127,DEMANDS!$E$2:$E$25,0),FALSE)/HLOOKUP(2018,DEMANDS!$G$2:$CK$25,MATCH($E127,DEMANDS!$E$2:$E$25,0),FALSE)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K127" s="18">
        <f>HLOOKUP(REG_TRA_DEMANDS!K$3,'BY-Demands'!$J$5:$AK$14,MATCH($E127,'BY-Demands'!$I$5:$I$14,0),FALSE)*HLOOKUP(REG_TRA_DEMANDS!$F127,DEMANDS!$G$2:$CK$25,MATCH($E127,DEMANDS!$E$2:$E$25,0),FALSE)/HLOOKUP(2018,DEMANDS!$G$2:$CK$25,MATCH($E127,DEMANDS!$E$2:$E$25,0),FALSE)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L127" s="18">
        <f>HLOOKUP(REG_TRA_DEMANDS!L$3,'BY-Demands'!$J$5:$AK$14,MATCH($E127,'BY-Demands'!$I$5:$I$14,0),FALSE)*HLOOKUP(REG_TRA_DEMANDS!$F127,DEMANDS!$G$2:$CK$25,MATCH($E127,DEMANDS!$E$2:$E$25,0),FALSE)/HLOOKUP(2018,DEMANDS!$G$2:$CK$25,MATCH($E127,DEMANDS!$E$2:$E$25,0),FALSE)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M127" s="18">
        <f>HLOOKUP(REG_TRA_DEMANDS!M$3,'BY-Demands'!$J$5:$AK$14,MATCH($E127,'BY-Demands'!$I$5:$I$14,0),FALSE)*HLOOKUP(REG_TRA_DEMANDS!$F127,DEMANDS!$G$2:$CK$25,MATCH($E127,DEMANDS!$E$2:$E$25,0),FALSE)/HLOOKUP(2018,DEMANDS!$G$2:$CK$25,MATCH($E127,DEMANDS!$E$2:$E$25,0),FALSE)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N127" s="18">
        <f>HLOOKUP(REG_TRA_DEMANDS!N$3,'BY-Demands'!$J$5:$AK$14,MATCH($E127,'BY-Demands'!$I$5:$I$14,0),FALSE)*HLOOKUP(REG_TRA_DEMANDS!$F127,DEMANDS!$G$2:$CK$25,MATCH($E127,DEMANDS!$E$2:$E$25,0),FALSE)/HLOOKUP(2018,DEMANDS!$G$2:$CK$25,MATCH($E127,DEMANDS!$E$2:$E$25,0),FALSE)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O127" s="18">
        <f>HLOOKUP(REG_TRA_DEMANDS!O$3,'BY-Demands'!$J$5:$AK$14,MATCH($E127,'BY-Demands'!$I$5:$I$14,0),FALSE)*HLOOKUP(REG_TRA_DEMANDS!$F127,DEMANDS!$G$2:$CK$25,MATCH($E127,DEMANDS!$E$2:$E$25,0),FALSE)/HLOOKUP(2018,DEMANDS!$G$2:$CK$25,MATCH($E127,DEMANDS!$E$2:$E$25,0),FALSE)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P127" s="18">
        <f>HLOOKUP(REG_TRA_DEMANDS!P$3,'BY-Demands'!$J$5:$AK$14,MATCH($E127,'BY-Demands'!$I$5:$I$14,0),FALSE)*HLOOKUP(REG_TRA_DEMANDS!$F127,DEMANDS!$G$2:$CK$25,MATCH($E127,DEMANDS!$E$2:$E$25,0),FALSE)/HLOOKUP(2018,DEMANDS!$G$2:$CK$25,MATCH($E127,DEMANDS!$E$2:$E$25,0),FALSE)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Q127" s="18">
        <f>HLOOKUP(REG_TRA_DEMANDS!Q$3,'BY-Demands'!$J$5:$AK$14,MATCH($E127,'BY-Demands'!$I$5:$I$14,0),FALSE)*HLOOKUP(REG_TRA_DEMANDS!$F127,DEMANDS!$G$2:$CK$25,MATCH($E127,DEMANDS!$E$2:$E$25,0),FALSE)/HLOOKUP(2018,DEMANDS!$G$2:$CK$25,MATCH($E127,DEMANDS!$E$2:$E$25,0),FALSE)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R127" s="18">
        <f>HLOOKUP(REG_TRA_DEMANDS!R$3,'BY-Demands'!$J$5:$AK$14,MATCH($E127,'BY-Demands'!$I$5:$I$14,0),FALSE)*HLOOKUP(REG_TRA_DEMANDS!$F127,DEMANDS!$G$2:$CK$25,MATCH($E127,DEMANDS!$E$2:$E$25,0),FALSE)/HLOOKUP(2018,DEMANDS!$G$2:$CK$25,MATCH($E127,DEMANDS!$E$2:$E$25,0),FALSE)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S127" s="18">
        <f>HLOOKUP(REG_TRA_DEMANDS!S$3,'BY-Demands'!$J$5:$AK$14,MATCH($E127,'BY-Demands'!$I$5:$I$14,0),FALSE)*HLOOKUP(REG_TRA_DEMANDS!$F127,DEMANDS!$G$2:$CK$25,MATCH($E127,DEMANDS!$E$2:$E$25,0),FALSE)/HLOOKUP(2018,DEMANDS!$G$2:$CK$25,MATCH($E127,DEMANDS!$E$2:$E$25,0),FALSE)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T127" s="18">
        <f>HLOOKUP(REG_TRA_DEMANDS!T$3,'BY-Demands'!$J$5:$AK$14,MATCH($E127,'BY-Demands'!$I$5:$I$14,0),FALSE)*HLOOKUP(REG_TRA_DEMANDS!$F127,DEMANDS!$G$2:$CK$25,MATCH($E127,DEMANDS!$E$2:$E$25,0),FALSE)/HLOOKUP(2018,DEMANDS!$G$2:$CK$25,MATCH($E127,DEMANDS!$E$2:$E$25,0),FALSE)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U127" s="18">
        <f>HLOOKUP(REG_TRA_DEMANDS!U$3,'BY-Demands'!$J$5:$AK$14,MATCH($E127,'BY-Demands'!$I$5:$I$14,0),FALSE)*HLOOKUP(REG_TRA_DEMANDS!$F127,DEMANDS!$G$2:$CK$25,MATCH($E127,DEMANDS!$E$2:$E$25,0),FALSE)/HLOOKUP(2018,DEMANDS!$G$2:$CK$25,MATCH($E127,DEMANDS!$E$2:$E$25,0),FALSE)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V127" s="18">
        <f>HLOOKUP(REG_TRA_DEMANDS!V$3,'BY-Demands'!$J$5:$AK$14,MATCH($E127,'BY-Demands'!$I$5:$I$14,0),FALSE)*HLOOKUP(REG_TRA_DEMANDS!$F127,DEMANDS!$G$2:$CK$25,MATCH($E127,DEMANDS!$E$2:$E$25,0),FALSE)/HLOOKUP(2018,DEMANDS!$G$2:$CK$25,MATCH($E127,DEMANDS!$E$2:$E$25,0),FALSE)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W127" s="18">
        <f>HLOOKUP(REG_TRA_DEMANDS!W$3,'BY-Demands'!$J$5:$AK$14,MATCH($E127,'BY-Demands'!$I$5:$I$14,0),FALSE)*HLOOKUP(REG_TRA_DEMANDS!$F127,DEMANDS!$G$2:$CK$25,MATCH($E127,DEMANDS!$E$2:$E$25,0),FALSE)/HLOOKUP(2018,DEMANDS!$G$2:$CK$25,MATCH($E127,DEMANDS!$E$2:$E$25,0),FALSE)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X127" s="18">
        <f>HLOOKUP(REG_TRA_DEMANDS!X$3,'BY-Demands'!$J$5:$AK$14,MATCH($E127,'BY-Demands'!$I$5:$I$14,0),FALSE)*HLOOKUP(REG_TRA_DEMANDS!$F127,DEMANDS!$G$2:$CK$25,MATCH($E127,DEMANDS!$E$2:$E$25,0),FALSE)/HLOOKUP(2018,DEMANDS!$G$2:$CK$25,MATCH($E127,DEMANDS!$E$2:$E$25,0),FALSE)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Y127" s="18">
        <f>HLOOKUP(REG_TRA_DEMANDS!Y$3,'BY-Demands'!$J$5:$AK$14,MATCH($E127,'BY-Demands'!$I$5:$I$14,0),FALSE)*HLOOKUP(REG_TRA_DEMANDS!$F127,DEMANDS!$G$2:$CK$25,MATCH($E127,DEMANDS!$E$2:$E$25,0),FALSE)/HLOOKUP(2018,DEMANDS!$G$2:$CK$25,MATCH($E127,DEMANDS!$E$2:$E$25,0),FALSE)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Z127" s="18">
        <f>HLOOKUP(REG_TRA_DEMANDS!Z$3,'BY-Demands'!$J$5:$AK$14,MATCH($E127,'BY-Demands'!$I$5:$I$14,0),FALSE)*HLOOKUP(REG_TRA_DEMANDS!$F127,DEMANDS!$G$2:$CK$25,MATCH($E127,DEMANDS!$E$2:$E$25,0),FALSE)/HLOOKUP(2018,DEMANDS!$G$2:$CK$25,MATCH($E127,DEMANDS!$E$2:$E$25,0),FALSE)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AA127" s="18">
        <f>HLOOKUP(REG_TRA_DEMANDS!AA$3,'BY-Demands'!$J$5:$AK$14,MATCH($E127,'BY-Demands'!$I$5:$I$14,0),FALSE)*HLOOKUP(REG_TRA_DEMANDS!$F127,DEMANDS!$G$2:$CK$25,MATCH($E127,DEMANDS!$E$2:$E$25,0),FALSE)/HLOOKUP(2018,DEMANDS!$G$2:$CK$25,MATCH($E127,DEMANDS!$E$2:$E$25,0),FALSE)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AB127" s="18">
        <f>HLOOKUP(REG_TRA_DEMANDS!AB$3,'BY-Demands'!$J$5:$AK$14,MATCH($E127,'BY-Demands'!$I$5:$I$14,0),FALSE)*HLOOKUP(REG_TRA_DEMANDS!$F127,DEMANDS!$G$2:$CK$25,MATCH($E127,DEMANDS!$E$2:$E$25,0),FALSE)/HLOOKUP(2018,DEMANDS!$G$2:$CK$25,MATCH($E127,DEMANDS!$E$2:$E$25,0),FALSE)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AC127" s="18">
        <f>HLOOKUP(REG_TRA_DEMANDS!AC$3,'BY-Demands'!$J$5:$AK$14,MATCH($E127,'BY-Demands'!$I$5:$I$14,0),FALSE)*HLOOKUP(REG_TRA_DEMANDS!$F127,DEMANDS!$G$2:$CK$25,MATCH($E127,DEMANDS!$E$2:$E$25,0),FALSE)/HLOOKUP(2018,DEMANDS!$G$2:$CK$25,MATCH($E127,DEMANDS!$E$2:$E$25,0),FALSE)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AD127" s="18">
        <f>HLOOKUP(REG_TRA_DEMANDS!AD$3,'BY-Demands'!$J$5:$AK$14,MATCH($E127,'BY-Demands'!$I$5:$I$14,0),FALSE)*HLOOKUP(REG_TRA_DEMANDS!$F127,DEMANDS!$G$2:$CK$25,MATCH($E127,DEMANDS!$E$2:$E$25,0),FALSE)/HLOOKUP(2018,DEMANDS!$G$2:$CK$25,MATCH($E127,DEMANDS!$E$2:$E$25,0),FALSE)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AE127" s="18">
        <f>HLOOKUP(REG_TRA_DEMANDS!AE$3,'BY-Demands'!$J$5:$AK$14,MATCH($E127,'BY-Demands'!$I$5:$I$14,0),FALSE)*HLOOKUP(REG_TRA_DEMANDS!$F127,DEMANDS!$G$2:$CK$25,MATCH($E127,DEMANDS!$E$2:$E$25,0),FALSE)/HLOOKUP(2018,DEMANDS!$G$2:$CK$25,MATCH($E127,DEMANDS!$E$2:$E$25,0),FALSE)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AF127" s="18">
        <f>HLOOKUP(REG_TRA_DEMANDS!AF$3,'BY-Demands'!$J$5:$AK$14,MATCH($E127,'BY-Demands'!$I$5:$I$14,0),FALSE)*HLOOKUP(REG_TRA_DEMANDS!$F127,DEMANDS!$G$2:$CK$25,MATCH($E127,DEMANDS!$E$2:$E$25,0),FALSE)/HLOOKUP(2018,DEMANDS!$G$2:$CK$25,MATCH($E127,DEMANDS!$E$2:$E$25,0),FALSE)</f>
        <v>0</v>
      </c>
    </row>
    <row r="128" spans="4:32" ht="14.4">
      <c r="D128" t="s">
        <v>6</v>
      </c>
      <c r="E128" t="str">
        <f>DEMANDS!$E$21</f>
        <v>TTURS</v>
      </c>
      <c r="F128">
        <v>2036</v>
      </c>
      <c r="G128" s="18">
        <f>HLOOKUP(REG_TRA_DEMANDS!G$3,'BY-Demands'!$J$5:$AK$14,MATCH($E128,'BY-Demands'!$I$5:$I$14,0),FALSE)*HLOOKUP(REG_TRA_DEMANDS!$F128,DEMANDS!$G$2:$CK$25,MATCH($E128,DEMANDS!$E$2:$E$25,0),FALSE)/HLOOKUP(2018,DEMANDS!$G$2:$CK$25,MATCH($E128,DEMANDS!$E$2:$E$25,0),FALSE)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H128" s="18">
        <f>HLOOKUP(REG_TRA_DEMANDS!H$3,'BY-Demands'!$J$5:$AK$14,MATCH($E128,'BY-Demands'!$I$5:$I$14,0),FALSE)*HLOOKUP(REG_TRA_DEMANDS!$F128,DEMANDS!$G$2:$CK$25,MATCH($E128,DEMANDS!$E$2:$E$25,0),FALSE)/HLOOKUP(2018,DEMANDS!$G$2:$CK$25,MATCH($E128,DEMANDS!$E$2:$E$25,0),FALSE)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I128" s="18">
        <f>HLOOKUP(REG_TRA_DEMANDS!I$3,'BY-Demands'!$J$5:$AK$14,MATCH($E128,'BY-Demands'!$I$5:$I$14,0),FALSE)*HLOOKUP(REG_TRA_DEMANDS!$F128,DEMANDS!$G$2:$CK$25,MATCH($E128,DEMANDS!$E$2:$E$25,0),FALSE)/HLOOKUP(2018,DEMANDS!$G$2:$CK$25,MATCH($E128,DEMANDS!$E$2:$E$25,0),FALSE)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J128" s="18">
        <f>HLOOKUP(REG_TRA_DEMANDS!J$3,'BY-Demands'!$J$5:$AK$14,MATCH($E128,'BY-Demands'!$I$5:$I$14,0),FALSE)*HLOOKUP(REG_TRA_DEMANDS!$F128,DEMANDS!$G$2:$CK$25,MATCH($E128,DEMANDS!$E$2:$E$25,0),FALSE)/HLOOKUP(2018,DEMANDS!$G$2:$CK$25,MATCH($E128,DEMANDS!$E$2:$E$25,0),FALSE)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K128" s="18">
        <f>HLOOKUP(REG_TRA_DEMANDS!K$3,'BY-Demands'!$J$5:$AK$14,MATCH($E128,'BY-Demands'!$I$5:$I$14,0),FALSE)*HLOOKUP(REG_TRA_DEMANDS!$F128,DEMANDS!$G$2:$CK$25,MATCH($E128,DEMANDS!$E$2:$E$25,0),FALSE)/HLOOKUP(2018,DEMANDS!$G$2:$CK$25,MATCH($E128,DEMANDS!$E$2:$E$25,0),FALSE)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L128" s="18">
        <f>HLOOKUP(REG_TRA_DEMANDS!L$3,'BY-Demands'!$J$5:$AK$14,MATCH($E128,'BY-Demands'!$I$5:$I$14,0),FALSE)*HLOOKUP(REG_TRA_DEMANDS!$F128,DEMANDS!$G$2:$CK$25,MATCH($E128,DEMANDS!$E$2:$E$25,0),FALSE)/HLOOKUP(2018,DEMANDS!$G$2:$CK$25,MATCH($E128,DEMANDS!$E$2:$E$25,0),FALSE)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M128" s="18">
        <f>HLOOKUP(REG_TRA_DEMANDS!M$3,'BY-Demands'!$J$5:$AK$14,MATCH($E128,'BY-Demands'!$I$5:$I$14,0),FALSE)*HLOOKUP(REG_TRA_DEMANDS!$F128,DEMANDS!$G$2:$CK$25,MATCH($E128,DEMANDS!$E$2:$E$25,0),FALSE)/HLOOKUP(2018,DEMANDS!$G$2:$CK$25,MATCH($E128,DEMANDS!$E$2:$E$25,0),FALSE)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N128" s="18">
        <f>HLOOKUP(REG_TRA_DEMANDS!N$3,'BY-Demands'!$J$5:$AK$14,MATCH($E128,'BY-Demands'!$I$5:$I$14,0),FALSE)*HLOOKUP(REG_TRA_DEMANDS!$F128,DEMANDS!$G$2:$CK$25,MATCH($E128,DEMANDS!$E$2:$E$25,0),FALSE)/HLOOKUP(2018,DEMANDS!$G$2:$CK$25,MATCH($E128,DEMANDS!$E$2:$E$25,0),FALSE)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O128" s="18">
        <f>HLOOKUP(REG_TRA_DEMANDS!O$3,'BY-Demands'!$J$5:$AK$14,MATCH($E128,'BY-Demands'!$I$5:$I$14,0),FALSE)*HLOOKUP(REG_TRA_DEMANDS!$F128,DEMANDS!$G$2:$CK$25,MATCH($E128,DEMANDS!$E$2:$E$25,0),FALSE)/HLOOKUP(2018,DEMANDS!$G$2:$CK$25,MATCH($E128,DEMANDS!$E$2:$E$25,0),FALSE)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P128" s="18">
        <f>HLOOKUP(REG_TRA_DEMANDS!P$3,'BY-Demands'!$J$5:$AK$14,MATCH($E128,'BY-Demands'!$I$5:$I$14,0),FALSE)*HLOOKUP(REG_TRA_DEMANDS!$F128,DEMANDS!$G$2:$CK$25,MATCH($E128,DEMANDS!$E$2:$E$25,0),FALSE)/HLOOKUP(2018,DEMANDS!$G$2:$CK$25,MATCH($E128,DEMANDS!$E$2:$E$25,0),FALSE)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Q128" s="18">
        <f>HLOOKUP(REG_TRA_DEMANDS!Q$3,'BY-Demands'!$J$5:$AK$14,MATCH($E128,'BY-Demands'!$I$5:$I$14,0),FALSE)*HLOOKUP(REG_TRA_DEMANDS!$F128,DEMANDS!$G$2:$CK$25,MATCH($E128,DEMANDS!$E$2:$E$25,0),FALSE)/HLOOKUP(2018,DEMANDS!$G$2:$CK$25,MATCH($E128,DEMANDS!$E$2:$E$25,0),FALSE)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R128" s="18">
        <f>HLOOKUP(REG_TRA_DEMANDS!R$3,'BY-Demands'!$J$5:$AK$14,MATCH($E128,'BY-Demands'!$I$5:$I$14,0),FALSE)*HLOOKUP(REG_TRA_DEMANDS!$F128,DEMANDS!$G$2:$CK$25,MATCH($E128,DEMANDS!$E$2:$E$25,0),FALSE)/HLOOKUP(2018,DEMANDS!$G$2:$CK$25,MATCH($E128,DEMANDS!$E$2:$E$25,0),FALSE)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S128" s="18">
        <f>HLOOKUP(REG_TRA_DEMANDS!S$3,'BY-Demands'!$J$5:$AK$14,MATCH($E128,'BY-Demands'!$I$5:$I$14,0),FALSE)*HLOOKUP(REG_TRA_DEMANDS!$F128,DEMANDS!$G$2:$CK$25,MATCH($E128,DEMANDS!$E$2:$E$25,0),FALSE)/HLOOKUP(2018,DEMANDS!$G$2:$CK$25,MATCH($E128,DEMANDS!$E$2:$E$25,0),FALSE)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T128" s="18">
        <f>HLOOKUP(REG_TRA_DEMANDS!T$3,'BY-Demands'!$J$5:$AK$14,MATCH($E128,'BY-Demands'!$I$5:$I$14,0),FALSE)*HLOOKUP(REG_TRA_DEMANDS!$F128,DEMANDS!$G$2:$CK$25,MATCH($E128,DEMANDS!$E$2:$E$25,0),FALSE)/HLOOKUP(2018,DEMANDS!$G$2:$CK$25,MATCH($E128,DEMANDS!$E$2:$E$25,0),FALSE)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U128" s="18">
        <f>HLOOKUP(REG_TRA_DEMANDS!U$3,'BY-Demands'!$J$5:$AK$14,MATCH($E128,'BY-Demands'!$I$5:$I$14,0),FALSE)*HLOOKUP(REG_TRA_DEMANDS!$F128,DEMANDS!$G$2:$CK$25,MATCH($E128,DEMANDS!$E$2:$E$25,0),FALSE)/HLOOKUP(2018,DEMANDS!$G$2:$CK$25,MATCH($E128,DEMANDS!$E$2:$E$25,0),FALSE)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V128" s="18">
        <f>HLOOKUP(REG_TRA_DEMANDS!V$3,'BY-Demands'!$J$5:$AK$14,MATCH($E128,'BY-Demands'!$I$5:$I$14,0),FALSE)*HLOOKUP(REG_TRA_DEMANDS!$F128,DEMANDS!$G$2:$CK$25,MATCH($E128,DEMANDS!$E$2:$E$25,0),FALSE)/HLOOKUP(2018,DEMANDS!$G$2:$CK$25,MATCH($E128,DEMANDS!$E$2:$E$25,0),FALSE)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W128" s="18">
        <f>HLOOKUP(REG_TRA_DEMANDS!W$3,'BY-Demands'!$J$5:$AK$14,MATCH($E128,'BY-Demands'!$I$5:$I$14,0),FALSE)*HLOOKUP(REG_TRA_DEMANDS!$F128,DEMANDS!$G$2:$CK$25,MATCH($E128,DEMANDS!$E$2:$E$25,0),FALSE)/HLOOKUP(2018,DEMANDS!$G$2:$CK$25,MATCH($E128,DEMANDS!$E$2:$E$25,0),FALSE)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X128" s="18">
        <f>HLOOKUP(REG_TRA_DEMANDS!X$3,'BY-Demands'!$J$5:$AK$14,MATCH($E128,'BY-Demands'!$I$5:$I$14,0),FALSE)*HLOOKUP(REG_TRA_DEMANDS!$F128,DEMANDS!$G$2:$CK$25,MATCH($E128,DEMANDS!$E$2:$E$25,0),FALSE)/HLOOKUP(2018,DEMANDS!$G$2:$CK$25,MATCH($E128,DEMANDS!$E$2:$E$25,0),FALSE)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Y128" s="18">
        <f>HLOOKUP(REG_TRA_DEMANDS!Y$3,'BY-Demands'!$J$5:$AK$14,MATCH($E128,'BY-Demands'!$I$5:$I$14,0),FALSE)*HLOOKUP(REG_TRA_DEMANDS!$F128,DEMANDS!$G$2:$CK$25,MATCH($E128,DEMANDS!$E$2:$E$25,0),FALSE)/HLOOKUP(2018,DEMANDS!$G$2:$CK$25,MATCH($E128,DEMANDS!$E$2:$E$25,0),FALSE)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Z128" s="18">
        <f>HLOOKUP(REG_TRA_DEMANDS!Z$3,'BY-Demands'!$J$5:$AK$14,MATCH($E128,'BY-Demands'!$I$5:$I$14,0),FALSE)*HLOOKUP(REG_TRA_DEMANDS!$F128,DEMANDS!$G$2:$CK$25,MATCH($E128,DEMANDS!$E$2:$E$25,0),FALSE)/HLOOKUP(2018,DEMANDS!$G$2:$CK$25,MATCH($E128,DEMANDS!$E$2:$E$25,0),FALSE)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AA128" s="18">
        <f>HLOOKUP(REG_TRA_DEMANDS!AA$3,'BY-Demands'!$J$5:$AK$14,MATCH($E128,'BY-Demands'!$I$5:$I$14,0),FALSE)*HLOOKUP(REG_TRA_DEMANDS!$F128,DEMANDS!$G$2:$CK$25,MATCH($E128,DEMANDS!$E$2:$E$25,0),FALSE)/HLOOKUP(2018,DEMANDS!$G$2:$CK$25,MATCH($E128,DEMANDS!$E$2:$E$25,0),FALSE)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AB128" s="18">
        <f>HLOOKUP(REG_TRA_DEMANDS!AB$3,'BY-Demands'!$J$5:$AK$14,MATCH($E128,'BY-Demands'!$I$5:$I$14,0),FALSE)*HLOOKUP(REG_TRA_DEMANDS!$F128,DEMANDS!$G$2:$CK$25,MATCH($E128,DEMANDS!$E$2:$E$25,0),FALSE)/HLOOKUP(2018,DEMANDS!$G$2:$CK$25,MATCH($E128,DEMANDS!$E$2:$E$25,0),FALSE)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AC128" s="18">
        <f>HLOOKUP(REG_TRA_DEMANDS!AC$3,'BY-Demands'!$J$5:$AK$14,MATCH($E128,'BY-Demands'!$I$5:$I$14,0),FALSE)*HLOOKUP(REG_TRA_DEMANDS!$F128,DEMANDS!$G$2:$CK$25,MATCH($E128,DEMANDS!$E$2:$E$25,0),FALSE)/HLOOKUP(2018,DEMANDS!$G$2:$CK$25,MATCH($E128,DEMANDS!$E$2:$E$25,0),FALSE)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AD128" s="18">
        <f>HLOOKUP(REG_TRA_DEMANDS!AD$3,'BY-Demands'!$J$5:$AK$14,MATCH($E128,'BY-Demands'!$I$5:$I$14,0),FALSE)*HLOOKUP(REG_TRA_DEMANDS!$F128,DEMANDS!$G$2:$CK$25,MATCH($E128,DEMANDS!$E$2:$E$25,0),FALSE)/HLOOKUP(2018,DEMANDS!$G$2:$CK$25,MATCH($E128,DEMANDS!$E$2:$E$25,0),FALSE)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AE128" s="18">
        <f>HLOOKUP(REG_TRA_DEMANDS!AE$3,'BY-Demands'!$J$5:$AK$14,MATCH($E128,'BY-Demands'!$I$5:$I$14,0),FALSE)*HLOOKUP(REG_TRA_DEMANDS!$F128,DEMANDS!$G$2:$CK$25,MATCH($E128,DEMANDS!$E$2:$E$25,0),FALSE)/HLOOKUP(2018,DEMANDS!$G$2:$CK$25,MATCH($E128,DEMANDS!$E$2:$E$25,0),FALSE)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AF128" s="18">
        <f>HLOOKUP(REG_TRA_DEMANDS!AF$3,'BY-Demands'!$J$5:$AK$14,MATCH($E128,'BY-Demands'!$I$5:$I$14,0),FALSE)*HLOOKUP(REG_TRA_DEMANDS!$F128,DEMANDS!$G$2:$CK$25,MATCH($E128,DEMANDS!$E$2:$E$25,0),FALSE)/HLOOKUP(2018,DEMANDS!$G$2:$CK$25,MATCH($E128,DEMANDS!$E$2:$E$25,0),FALSE)</f>
        <v>0</v>
      </c>
    </row>
    <row r="129" spans="4:32" ht="14.4">
      <c r="D129" t="s">
        <v>6</v>
      </c>
      <c r="E129" t="str">
        <f>DEMANDS!$E$21</f>
        <v>TTURS</v>
      </c>
      <c r="F129">
        <v>2037</v>
      </c>
      <c r="G129" s="18">
        <f>HLOOKUP(REG_TRA_DEMANDS!G$3,'BY-Demands'!$J$5:$AK$14,MATCH($E129,'BY-Demands'!$I$5:$I$14,0),FALSE)*HLOOKUP(REG_TRA_DEMANDS!$F129,DEMANDS!$G$2:$CK$25,MATCH($E129,DEMANDS!$E$2:$E$25,0),FALSE)/HLOOKUP(2018,DEMANDS!$G$2:$CK$25,MATCH($E129,DEMANDS!$E$2:$E$25,0),FALSE)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H129" s="18">
        <f>HLOOKUP(REG_TRA_DEMANDS!H$3,'BY-Demands'!$J$5:$AK$14,MATCH($E129,'BY-Demands'!$I$5:$I$14,0),FALSE)*HLOOKUP(REG_TRA_DEMANDS!$F129,DEMANDS!$G$2:$CK$25,MATCH($E129,DEMANDS!$E$2:$E$25,0),FALSE)/HLOOKUP(2018,DEMANDS!$G$2:$CK$25,MATCH($E129,DEMANDS!$E$2:$E$25,0),FALSE)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I129" s="18">
        <f>HLOOKUP(REG_TRA_DEMANDS!I$3,'BY-Demands'!$J$5:$AK$14,MATCH($E129,'BY-Demands'!$I$5:$I$14,0),FALSE)*HLOOKUP(REG_TRA_DEMANDS!$F129,DEMANDS!$G$2:$CK$25,MATCH($E129,DEMANDS!$E$2:$E$25,0),FALSE)/HLOOKUP(2018,DEMANDS!$G$2:$CK$25,MATCH($E129,DEMANDS!$E$2:$E$25,0),FALSE)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J129" s="18">
        <f>HLOOKUP(REG_TRA_DEMANDS!J$3,'BY-Demands'!$J$5:$AK$14,MATCH($E129,'BY-Demands'!$I$5:$I$14,0),FALSE)*HLOOKUP(REG_TRA_DEMANDS!$F129,DEMANDS!$G$2:$CK$25,MATCH($E129,DEMANDS!$E$2:$E$25,0),FALSE)/HLOOKUP(2018,DEMANDS!$G$2:$CK$25,MATCH($E129,DEMANDS!$E$2:$E$25,0),FALSE)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K129" s="18">
        <f>HLOOKUP(REG_TRA_DEMANDS!K$3,'BY-Demands'!$J$5:$AK$14,MATCH($E129,'BY-Demands'!$I$5:$I$14,0),FALSE)*HLOOKUP(REG_TRA_DEMANDS!$F129,DEMANDS!$G$2:$CK$25,MATCH($E129,DEMANDS!$E$2:$E$25,0),FALSE)/HLOOKUP(2018,DEMANDS!$G$2:$CK$25,MATCH($E129,DEMANDS!$E$2:$E$25,0),FALSE)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L129" s="18">
        <f>HLOOKUP(REG_TRA_DEMANDS!L$3,'BY-Demands'!$J$5:$AK$14,MATCH($E129,'BY-Demands'!$I$5:$I$14,0),FALSE)*HLOOKUP(REG_TRA_DEMANDS!$F129,DEMANDS!$G$2:$CK$25,MATCH($E129,DEMANDS!$E$2:$E$25,0),FALSE)/HLOOKUP(2018,DEMANDS!$G$2:$CK$25,MATCH($E129,DEMANDS!$E$2:$E$25,0),FALSE)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M129" s="18">
        <f>HLOOKUP(REG_TRA_DEMANDS!M$3,'BY-Demands'!$J$5:$AK$14,MATCH($E129,'BY-Demands'!$I$5:$I$14,0),FALSE)*HLOOKUP(REG_TRA_DEMANDS!$F129,DEMANDS!$G$2:$CK$25,MATCH($E129,DEMANDS!$E$2:$E$25,0),FALSE)/HLOOKUP(2018,DEMANDS!$G$2:$CK$25,MATCH($E129,DEMANDS!$E$2:$E$25,0),FALSE)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N129" s="18">
        <f>HLOOKUP(REG_TRA_DEMANDS!N$3,'BY-Demands'!$J$5:$AK$14,MATCH($E129,'BY-Demands'!$I$5:$I$14,0),FALSE)*HLOOKUP(REG_TRA_DEMANDS!$F129,DEMANDS!$G$2:$CK$25,MATCH($E129,DEMANDS!$E$2:$E$25,0),FALSE)/HLOOKUP(2018,DEMANDS!$G$2:$CK$25,MATCH($E129,DEMANDS!$E$2:$E$25,0),FALSE)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O129" s="18">
        <f>HLOOKUP(REG_TRA_DEMANDS!O$3,'BY-Demands'!$J$5:$AK$14,MATCH($E129,'BY-Demands'!$I$5:$I$14,0),FALSE)*HLOOKUP(REG_TRA_DEMANDS!$F129,DEMANDS!$G$2:$CK$25,MATCH($E129,DEMANDS!$E$2:$E$25,0),FALSE)/HLOOKUP(2018,DEMANDS!$G$2:$CK$25,MATCH($E129,DEMANDS!$E$2:$E$25,0),FALSE)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P129" s="18">
        <f>HLOOKUP(REG_TRA_DEMANDS!P$3,'BY-Demands'!$J$5:$AK$14,MATCH($E129,'BY-Demands'!$I$5:$I$14,0),FALSE)*HLOOKUP(REG_TRA_DEMANDS!$F129,DEMANDS!$G$2:$CK$25,MATCH($E129,DEMANDS!$E$2:$E$25,0),FALSE)/HLOOKUP(2018,DEMANDS!$G$2:$CK$25,MATCH($E129,DEMANDS!$E$2:$E$25,0),FALSE)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Q129" s="18">
        <f>HLOOKUP(REG_TRA_DEMANDS!Q$3,'BY-Demands'!$J$5:$AK$14,MATCH($E129,'BY-Demands'!$I$5:$I$14,0),FALSE)*HLOOKUP(REG_TRA_DEMANDS!$F129,DEMANDS!$G$2:$CK$25,MATCH($E129,DEMANDS!$E$2:$E$25,0),FALSE)/HLOOKUP(2018,DEMANDS!$G$2:$CK$25,MATCH($E129,DEMANDS!$E$2:$E$25,0),FALSE)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R129" s="18">
        <f>HLOOKUP(REG_TRA_DEMANDS!R$3,'BY-Demands'!$J$5:$AK$14,MATCH($E129,'BY-Demands'!$I$5:$I$14,0),FALSE)*HLOOKUP(REG_TRA_DEMANDS!$F129,DEMANDS!$G$2:$CK$25,MATCH($E129,DEMANDS!$E$2:$E$25,0),FALSE)/HLOOKUP(2018,DEMANDS!$G$2:$CK$25,MATCH($E129,DEMANDS!$E$2:$E$25,0),FALSE)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S129" s="18">
        <f>HLOOKUP(REG_TRA_DEMANDS!S$3,'BY-Demands'!$J$5:$AK$14,MATCH($E129,'BY-Demands'!$I$5:$I$14,0),FALSE)*HLOOKUP(REG_TRA_DEMANDS!$F129,DEMANDS!$G$2:$CK$25,MATCH($E129,DEMANDS!$E$2:$E$25,0),FALSE)/HLOOKUP(2018,DEMANDS!$G$2:$CK$25,MATCH($E129,DEMANDS!$E$2:$E$25,0),FALSE)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T129" s="18">
        <f>HLOOKUP(REG_TRA_DEMANDS!T$3,'BY-Demands'!$J$5:$AK$14,MATCH($E129,'BY-Demands'!$I$5:$I$14,0),FALSE)*HLOOKUP(REG_TRA_DEMANDS!$F129,DEMANDS!$G$2:$CK$25,MATCH($E129,DEMANDS!$E$2:$E$25,0),FALSE)/HLOOKUP(2018,DEMANDS!$G$2:$CK$25,MATCH($E129,DEMANDS!$E$2:$E$25,0),FALSE)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U129" s="18">
        <f>HLOOKUP(REG_TRA_DEMANDS!U$3,'BY-Demands'!$J$5:$AK$14,MATCH($E129,'BY-Demands'!$I$5:$I$14,0),FALSE)*HLOOKUP(REG_TRA_DEMANDS!$F129,DEMANDS!$G$2:$CK$25,MATCH($E129,DEMANDS!$E$2:$E$25,0),FALSE)/HLOOKUP(2018,DEMANDS!$G$2:$CK$25,MATCH($E129,DEMANDS!$E$2:$E$25,0),FALSE)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V129" s="18">
        <f>HLOOKUP(REG_TRA_DEMANDS!V$3,'BY-Demands'!$J$5:$AK$14,MATCH($E129,'BY-Demands'!$I$5:$I$14,0),FALSE)*HLOOKUP(REG_TRA_DEMANDS!$F129,DEMANDS!$G$2:$CK$25,MATCH($E129,DEMANDS!$E$2:$E$25,0),FALSE)/HLOOKUP(2018,DEMANDS!$G$2:$CK$25,MATCH($E129,DEMANDS!$E$2:$E$25,0),FALSE)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W129" s="18">
        <f>HLOOKUP(REG_TRA_DEMANDS!W$3,'BY-Demands'!$J$5:$AK$14,MATCH($E129,'BY-Demands'!$I$5:$I$14,0),FALSE)*HLOOKUP(REG_TRA_DEMANDS!$F129,DEMANDS!$G$2:$CK$25,MATCH($E129,DEMANDS!$E$2:$E$25,0),FALSE)/HLOOKUP(2018,DEMANDS!$G$2:$CK$25,MATCH($E129,DEMANDS!$E$2:$E$25,0),FALSE)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X129" s="18">
        <f>HLOOKUP(REG_TRA_DEMANDS!X$3,'BY-Demands'!$J$5:$AK$14,MATCH($E129,'BY-Demands'!$I$5:$I$14,0),FALSE)*HLOOKUP(REG_TRA_DEMANDS!$F129,DEMANDS!$G$2:$CK$25,MATCH($E129,DEMANDS!$E$2:$E$25,0),FALSE)/HLOOKUP(2018,DEMANDS!$G$2:$CK$25,MATCH($E129,DEMANDS!$E$2:$E$25,0),FALSE)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Y129" s="18">
        <f>HLOOKUP(REG_TRA_DEMANDS!Y$3,'BY-Demands'!$J$5:$AK$14,MATCH($E129,'BY-Demands'!$I$5:$I$14,0),FALSE)*HLOOKUP(REG_TRA_DEMANDS!$F129,DEMANDS!$G$2:$CK$25,MATCH($E129,DEMANDS!$E$2:$E$25,0),FALSE)/HLOOKUP(2018,DEMANDS!$G$2:$CK$25,MATCH($E129,DEMANDS!$E$2:$E$25,0),FALSE)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Z129" s="18">
        <f>HLOOKUP(REG_TRA_DEMANDS!Z$3,'BY-Demands'!$J$5:$AK$14,MATCH($E129,'BY-Demands'!$I$5:$I$14,0),FALSE)*HLOOKUP(REG_TRA_DEMANDS!$F129,DEMANDS!$G$2:$CK$25,MATCH($E129,DEMANDS!$E$2:$E$25,0),FALSE)/HLOOKUP(2018,DEMANDS!$G$2:$CK$25,MATCH($E129,DEMANDS!$E$2:$E$25,0),FALSE)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AA129" s="18">
        <f>HLOOKUP(REG_TRA_DEMANDS!AA$3,'BY-Demands'!$J$5:$AK$14,MATCH($E129,'BY-Demands'!$I$5:$I$14,0),FALSE)*HLOOKUP(REG_TRA_DEMANDS!$F129,DEMANDS!$G$2:$CK$25,MATCH($E129,DEMANDS!$E$2:$E$25,0),FALSE)/HLOOKUP(2018,DEMANDS!$G$2:$CK$25,MATCH($E129,DEMANDS!$E$2:$E$25,0),FALSE)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AB129" s="18">
        <f>HLOOKUP(REG_TRA_DEMANDS!AB$3,'BY-Demands'!$J$5:$AK$14,MATCH($E129,'BY-Demands'!$I$5:$I$14,0),FALSE)*HLOOKUP(REG_TRA_DEMANDS!$F129,DEMANDS!$G$2:$CK$25,MATCH($E129,DEMANDS!$E$2:$E$25,0),FALSE)/HLOOKUP(2018,DEMANDS!$G$2:$CK$25,MATCH($E129,DEMANDS!$E$2:$E$25,0),FALSE)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AC129" s="18">
        <f>HLOOKUP(REG_TRA_DEMANDS!AC$3,'BY-Demands'!$J$5:$AK$14,MATCH($E129,'BY-Demands'!$I$5:$I$14,0),FALSE)*HLOOKUP(REG_TRA_DEMANDS!$F129,DEMANDS!$G$2:$CK$25,MATCH($E129,DEMANDS!$E$2:$E$25,0),FALSE)/HLOOKUP(2018,DEMANDS!$G$2:$CK$25,MATCH($E129,DEMANDS!$E$2:$E$25,0),FALSE)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AD129" s="18">
        <f>HLOOKUP(REG_TRA_DEMANDS!AD$3,'BY-Demands'!$J$5:$AK$14,MATCH($E129,'BY-Demands'!$I$5:$I$14,0),FALSE)*HLOOKUP(REG_TRA_DEMANDS!$F129,DEMANDS!$G$2:$CK$25,MATCH($E129,DEMANDS!$E$2:$E$25,0),FALSE)/HLOOKUP(2018,DEMANDS!$G$2:$CK$25,MATCH($E129,DEMANDS!$E$2:$E$25,0),FALSE)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AE129" s="18">
        <f>HLOOKUP(REG_TRA_DEMANDS!AE$3,'BY-Demands'!$J$5:$AK$14,MATCH($E129,'BY-Demands'!$I$5:$I$14,0),FALSE)*HLOOKUP(REG_TRA_DEMANDS!$F129,DEMANDS!$G$2:$CK$25,MATCH($E129,DEMANDS!$E$2:$E$25,0),FALSE)/HLOOKUP(2018,DEMANDS!$G$2:$CK$25,MATCH($E129,DEMANDS!$E$2:$E$25,0),FALSE)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AF129" s="18">
        <f>HLOOKUP(REG_TRA_DEMANDS!AF$3,'BY-Demands'!$J$5:$AK$14,MATCH($E129,'BY-Demands'!$I$5:$I$14,0),FALSE)*HLOOKUP(REG_TRA_DEMANDS!$F129,DEMANDS!$G$2:$CK$25,MATCH($E129,DEMANDS!$E$2:$E$25,0),FALSE)/HLOOKUP(2018,DEMANDS!$G$2:$CK$25,MATCH($E129,DEMANDS!$E$2:$E$25,0),FALSE)</f>
        <v>0</v>
      </c>
    </row>
    <row r="130" spans="4:32" ht="14.4">
      <c r="D130" t="s">
        <v>6</v>
      </c>
      <c r="E130" t="str">
        <f>DEMANDS!$E$21</f>
        <v>TTURS</v>
      </c>
      <c r="F130">
        <v>2038</v>
      </c>
      <c r="G130" s="18">
        <f>HLOOKUP(REG_TRA_DEMANDS!G$3,'BY-Demands'!$J$5:$AK$14,MATCH($E130,'BY-Demands'!$I$5:$I$14,0),FALSE)*HLOOKUP(REG_TRA_DEMANDS!$F130,DEMANDS!$G$2:$CK$25,MATCH($E130,DEMANDS!$E$2:$E$25,0),FALSE)/HLOOKUP(2018,DEMANDS!$G$2:$CK$25,MATCH($E130,DEMANDS!$E$2:$E$25,0),FALSE)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H130" s="18">
        <f>HLOOKUP(REG_TRA_DEMANDS!H$3,'BY-Demands'!$J$5:$AK$14,MATCH($E130,'BY-Demands'!$I$5:$I$14,0),FALSE)*HLOOKUP(REG_TRA_DEMANDS!$F130,DEMANDS!$G$2:$CK$25,MATCH($E130,DEMANDS!$E$2:$E$25,0),FALSE)/HLOOKUP(2018,DEMANDS!$G$2:$CK$25,MATCH($E130,DEMANDS!$E$2:$E$25,0),FALSE)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I130" s="18">
        <f>HLOOKUP(REG_TRA_DEMANDS!I$3,'BY-Demands'!$J$5:$AK$14,MATCH($E130,'BY-Demands'!$I$5:$I$14,0),FALSE)*HLOOKUP(REG_TRA_DEMANDS!$F130,DEMANDS!$G$2:$CK$25,MATCH($E130,DEMANDS!$E$2:$E$25,0),FALSE)/HLOOKUP(2018,DEMANDS!$G$2:$CK$25,MATCH($E130,DEMANDS!$E$2:$E$25,0),FALSE)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J130" s="18">
        <f>HLOOKUP(REG_TRA_DEMANDS!J$3,'BY-Demands'!$J$5:$AK$14,MATCH($E130,'BY-Demands'!$I$5:$I$14,0),FALSE)*HLOOKUP(REG_TRA_DEMANDS!$F130,DEMANDS!$G$2:$CK$25,MATCH($E130,DEMANDS!$E$2:$E$25,0),FALSE)/HLOOKUP(2018,DEMANDS!$G$2:$CK$25,MATCH($E130,DEMANDS!$E$2:$E$25,0),FALSE)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K130" s="18">
        <f>HLOOKUP(REG_TRA_DEMANDS!K$3,'BY-Demands'!$J$5:$AK$14,MATCH($E130,'BY-Demands'!$I$5:$I$14,0),FALSE)*HLOOKUP(REG_TRA_DEMANDS!$F130,DEMANDS!$G$2:$CK$25,MATCH($E130,DEMANDS!$E$2:$E$25,0),FALSE)/HLOOKUP(2018,DEMANDS!$G$2:$CK$25,MATCH($E130,DEMANDS!$E$2:$E$25,0),FALSE)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L130" s="18">
        <f>HLOOKUP(REG_TRA_DEMANDS!L$3,'BY-Demands'!$J$5:$AK$14,MATCH($E130,'BY-Demands'!$I$5:$I$14,0),FALSE)*HLOOKUP(REG_TRA_DEMANDS!$F130,DEMANDS!$G$2:$CK$25,MATCH($E130,DEMANDS!$E$2:$E$25,0),FALSE)/HLOOKUP(2018,DEMANDS!$G$2:$CK$25,MATCH($E130,DEMANDS!$E$2:$E$25,0),FALSE)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M130" s="18">
        <f>HLOOKUP(REG_TRA_DEMANDS!M$3,'BY-Demands'!$J$5:$AK$14,MATCH($E130,'BY-Demands'!$I$5:$I$14,0),FALSE)*HLOOKUP(REG_TRA_DEMANDS!$F130,DEMANDS!$G$2:$CK$25,MATCH($E130,DEMANDS!$E$2:$E$25,0),FALSE)/HLOOKUP(2018,DEMANDS!$G$2:$CK$25,MATCH($E130,DEMANDS!$E$2:$E$25,0),FALSE)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N130" s="18">
        <f>HLOOKUP(REG_TRA_DEMANDS!N$3,'BY-Demands'!$J$5:$AK$14,MATCH($E130,'BY-Demands'!$I$5:$I$14,0),FALSE)*HLOOKUP(REG_TRA_DEMANDS!$F130,DEMANDS!$G$2:$CK$25,MATCH($E130,DEMANDS!$E$2:$E$25,0),FALSE)/HLOOKUP(2018,DEMANDS!$G$2:$CK$25,MATCH($E130,DEMANDS!$E$2:$E$25,0),FALSE)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O130" s="18">
        <f>HLOOKUP(REG_TRA_DEMANDS!O$3,'BY-Demands'!$J$5:$AK$14,MATCH($E130,'BY-Demands'!$I$5:$I$14,0),FALSE)*HLOOKUP(REG_TRA_DEMANDS!$F130,DEMANDS!$G$2:$CK$25,MATCH($E130,DEMANDS!$E$2:$E$25,0),FALSE)/HLOOKUP(2018,DEMANDS!$G$2:$CK$25,MATCH($E130,DEMANDS!$E$2:$E$25,0),FALSE)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P130" s="18">
        <f>HLOOKUP(REG_TRA_DEMANDS!P$3,'BY-Demands'!$J$5:$AK$14,MATCH($E130,'BY-Demands'!$I$5:$I$14,0),FALSE)*HLOOKUP(REG_TRA_DEMANDS!$F130,DEMANDS!$G$2:$CK$25,MATCH($E130,DEMANDS!$E$2:$E$25,0),FALSE)/HLOOKUP(2018,DEMANDS!$G$2:$CK$25,MATCH($E130,DEMANDS!$E$2:$E$25,0),FALSE)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Q130" s="18">
        <f>HLOOKUP(REG_TRA_DEMANDS!Q$3,'BY-Demands'!$J$5:$AK$14,MATCH($E130,'BY-Demands'!$I$5:$I$14,0),FALSE)*HLOOKUP(REG_TRA_DEMANDS!$F130,DEMANDS!$G$2:$CK$25,MATCH($E130,DEMANDS!$E$2:$E$25,0),FALSE)/HLOOKUP(2018,DEMANDS!$G$2:$CK$25,MATCH($E130,DEMANDS!$E$2:$E$25,0),FALSE)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R130" s="18">
        <f>HLOOKUP(REG_TRA_DEMANDS!R$3,'BY-Demands'!$J$5:$AK$14,MATCH($E130,'BY-Demands'!$I$5:$I$14,0),FALSE)*HLOOKUP(REG_TRA_DEMANDS!$F130,DEMANDS!$G$2:$CK$25,MATCH($E130,DEMANDS!$E$2:$E$25,0),FALSE)/HLOOKUP(2018,DEMANDS!$G$2:$CK$25,MATCH($E130,DEMANDS!$E$2:$E$25,0),FALSE)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S130" s="18">
        <f>HLOOKUP(REG_TRA_DEMANDS!S$3,'BY-Demands'!$J$5:$AK$14,MATCH($E130,'BY-Demands'!$I$5:$I$14,0),FALSE)*HLOOKUP(REG_TRA_DEMANDS!$F130,DEMANDS!$G$2:$CK$25,MATCH($E130,DEMANDS!$E$2:$E$25,0),FALSE)/HLOOKUP(2018,DEMANDS!$G$2:$CK$25,MATCH($E130,DEMANDS!$E$2:$E$25,0),FALSE)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T130" s="18">
        <f>HLOOKUP(REG_TRA_DEMANDS!T$3,'BY-Demands'!$J$5:$AK$14,MATCH($E130,'BY-Demands'!$I$5:$I$14,0),FALSE)*HLOOKUP(REG_TRA_DEMANDS!$F130,DEMANDS!$G$2:$CK$25,MATCH($E130,DEMANDS!$E$2:$E$25,0),FALSE)/HLOOKUP(2018,DEMANDS!$G$2:$CK$25,MATCH($E130,DEMANDS!$E$2:$E$25,0),FALSE)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U130" s="18">
        <f>HLOOKUP(REG_TRA_DEMANDS!U$3,'BY-Demands'!$J$5:$AK$14,MATCH($E130,'BY-Demands'!$I$5:$I$14,0),FALSE)*HLOOKUP(REG_TRA_DEMANDS!$F130,DEMANDS!$G$2:$CK$25,MATCH($E130,DEMANDS!$E$2:$E$25,0),FALSE)/HLOOKUP(2018,DEMANDS!$G$2:$CK$25,MATCH($E130,DEMANDS!$E$2:$E$25,0),FALSE)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V130" s="18">
        <f>HLOOKUP(REG_TRA_DEMANDS!V$3,'BY-Demands'!$J$5:$AK$14,MATCH($E130,'BY-Demands'!$I$5:$I$14,0),FALSE)*HLOOKUP(REG_TRA_DEMANDS!$F130,DEMANDS!$G$2:$CK$25,MATCH($E130,DEMANDS!$E$2:$E$25,0),FALSE)/HLOOKUP(2018,DEMANDS!$G$2:$CK$25,MATCH($E130,DEMANDS!$E$2:$E$25,0),FALSE)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W130" s="18">
        <f>HLOOKUP(REG_TRA_DEMANDS!W$3,'BY-Demands'!$J$5:$AK$14,MATCH($E130,'BY-Demands'!$I$5:$I$14,0),FALSE)*HLOOKUP(REG_TRA_DEMANDS!$F130,DEMANDS!$G$2:$CK$25,MATCH($E130,DEMANDS!$E$2:$E$25,0),FALSE)/HLOOKUP(2018,DEMANDS!$G$2:$CK$25,MATCH($E130,DEMANDS!$E$2:$E$25,0),FALSE)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X130" s="18">
        <f>HLOOKUP(REG_TRA_DEMANDS!X$3,'BY-Demands'!$J$5:$AK$14,MATCH($E130,'BY-Demands'!$I$5:$I$14,0),FALSE)*HLOOKUP(REG_TRA_DEMANDS!$F130,DEMANDS!$G$2:$CK$25,MATCH($E130,DEMANDS!$E$2:$E$25,0),FALSE)/HLOOKUP(2018,DEMANDS!$G$2:$CK$25,MATCH($E130,DEMANDS!$E$2:$E$25,0),FALSE)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Y130" s="18">
        <f>HLOOKUP(REG_TRA_DEMANDS!Y$3,'BY-Demands'!$J$5:$AK$14,MATCH($E130,'BY-Demands'!$I$5:$I$14,0),FALSE)*HLOOKUP(REG_TRA_DEMANDS!$F130,DEMANDS!$G$2:$CK$25,MATCH($E130,DEMANDS!$E$2:$E$25,0),FALSE)/HLOOKUP(2018,DEMANDS!$G$2:$CK$25,MATCH($E130,DEMANDS!$E$2:$E$25,0),FALSE)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Z130" s="18">
        <f>HLOOKUP(REG_TRA_DEMANDS!Z$3,'BY-Demands'!$J$5:$AK$14,MATCH($E130,'BY-Demands'!$I$5:$I$14,0),FALSE)*HLOOKUP(REG_TRA_DEMANDS!$F130,DEMANDS!$G$2:$CK$25,MATCH($E130,DEMANDS!$E$2:$E$25,0),FALSE)/HLOOKUP(2018,DEMANDS!$G$2:$CK$25,MATCH($E130,DEMANDS!$E$2:$E$25,0),FALSE)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AA130" s="18">
        <f>HLOOKUP(REG_TRA_DEMANDS!AA$3,'BY-Demands'!$J$5:$AK$14,MATCH($E130,'BY-Demands'!$I$5:$I$14,0),FALSE)*HLOOKUP(REG_TRA_DEMANDS!$F130,DEMANDS!$G$2:$CK$25,MATCH($E130,DEMANDS!$E$2:$E$25,0),FALSE)/HLOOKUP(2018,DEMANDS!$G$2:$CK$25,MATCH($E130,DEMANDS!$E$2:$E$25,0),FALSE)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AB130" s="18">
        <f>HLOOKUP(REG_TRA_DEMANDS!AB$3,'BY-Demands'!$J$5:$AK$14,MATCH($E130,'BY-Demands'!$I$5:$I$14,0),FALSE)*HLOOKUP(REG_TRA_DEMANDS!$F130,DEMANDS!$G$2:$CK$25,MATCH($E130,DEMANDS!$E$2:$E$25,0),FALSE)/HLOOKUP(2018,DEMANDS!$G$2:$CK$25,MATCH($E130,DEMANDS!$E$2:$E$25,0),FALSE)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AC130" s="18">
        <f>HLOOKUP(REG_TRA_DEMANDS!AC$3,'BY-Demands'!$J$5:$AK$14,MATCH($E130,'BY-Demands'!$I$5:$I$14,0),FALSE)*HLOOKUP(REG_TRA_DEMANDS!$F130,DEMANDS!$G$2:$CK$25,MATCH($E130,DEMANDS!$E$2:$E$25,0),FALSE)/HLOOKUP(2018,DEMANDS!$G$2:$CK$25,MATCH($E130,DEMANDS!$E$2:$E$25,0),FALSE)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AD130" s="18">
        <f>HLOOKUP(REG_TRA_DEMANDS!AD$3,'BY-Demands'!$J$5:$AK$14,MATCH($E130,'BY-Demands'!$I$5:$I$14,0),FALSE)*HLOOKUP(REG_TRA_DEMANDS!$F130,DEMANDS!$G$2:$CK$25,MATCH($E130,DEMANDS!$E$2:$E$25,0),FALSE)/HLOOKUP(2018,DEMANDS!$G$2:$CK$25,MATCH($E130,DEMANDS!$E$2:$E$25,0),FALSE)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AE130" s="18">
        <f>HLOOKUP(REG_TRA_DEMANDS!AE$3,'BY-Demands'!$J$5:$AK$14,MATCH($E130,'BY-Demands'!$I$5:$I$14,0),FALSE)*HLOOKUP(REG_TRA_DEMANDS!$F130,DEMANDS!$G$2:$CK$25,MATCH($E130,DEMANDS!$E$2:$E$25,0),FALSE)/HLOOKUP(2018,DEMANDS!$G$2:$CK$25,MATCH($E130,DEMANDS!$E$2:$E$25,0),FALSE)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AF130" s="18">
        <f>HLOOKUP(REG_TRA_DEMANDS!AF$3,'BY-Demands'!$J$5:$AK$14,MATCH($E130,'BY-Demands'!$I$5:$I$14,0),FALSE)*HLOOKUP(REG_TRA_DEMANDS!$F130,DEMANDS!$G$2:$CK$25,MATCH($E130,DEMANDS!$E$2:$E$25,0),FALSE)/HLOOKUP(2018,DEMANDS!$G$2:$CK$25,MATCH($E130,DEMANDS!$E$2:$E$25,0),FALSE)</f>
        <v>0</v>
      </c>
    </row>
    <row r="131" spans="4:32" ht="14.4">
      <c r="D131" t="s">
        <v>6</v>
      </c>
      <c r="E131" t="str">
        <f>DEMANDS!$E$21</f>
        <v>TTURS</v>
      </c>
      <c r="F131">
        <v>2039</v>
      </c>
      <c r="G131" s="18">
        <f>HLOOKUP(REG_TRA_DEMANDS!G$3,'BY-Demands'!$J$5:$AK$14,MATCH($E131,'BY-Demands'!$I$5:$I$14,0),FALSE)*HLOOKUP(REG_TRA_DEMANDS!$F131,DEMANDS!$G$2:$CK$25,MATCH($E131,DEMANDS!$E$2:$E$25,0),FALSE)/HLOOKUP(2018,DEMANDS!$G$2:$CK$25,MATCH($E131,DEMANDS!$E$2:$E$25,0),FALSE)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H131" s="18">
        <f>HLOOKUP(REG_TRA_DEMANDS!H$3,'BY-Demands'!$J$5:$AK$14,MATCH($E131,'BY-Demands'!$I$5:$I$14,0),FALSE)*HLOOKUP(REG_TRA_DEMANDS!$F131,DEMANDS!$G$2:$CK$25,MATCH($E131,DEMANDS!$E$2:$E$25,0),FALSE)/HLOOKUP(2018,DEMANDS!$G$2:$CK$25,MATCH($E131,DEMANDS!$E$2:$E$25,0),FALSE)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I131" s="18">
        <f>HLOOKUP(REG_TRA_DEMANDS!I$3,'BY-Demands'!$J$5:$AK$14,MATCH($E131,'BY-Demands'!$I$5:$I$14,0),FALSE)*HLOOKUP(REG_TRA_DEMANDS!$F131,DEMANDS!$G$2:$CK$25,MATCH($E131,DEMANDS!$E$2:$E$25,0),FALSE)/HLOOKUP(2018,DEMANDS!$G$2:$CK$25,MATCH($E131,DEMANDS!$E$2:$E$25,0),FALSE)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J131" s="18">
        <f>HLOOKUP(REG_TRA_DEMANDS!J$3,'BY-Demands'!$J$5:$AK$14,MATCH($E131,'BY-Demands'!$I$5:$I$14,0),FALSE)*HLOOKUP(REG_TRA_DEMANDS!$F131,DEMANDS!$G$2:$CK$25,MATCH($E131,DEMANDS!$E$2:$E$25,0),FALSE)/HLOOKUP(2018,DEMANDS!$G$2:$CK$25,MATCH($E131,DEMANDS!$E$2:$E$25,0),FALSE)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K131" s="18">
        <f>HLOOKUP(REG_TRA_DEMANDS!K$3,'BY-Demands'!$J$5:$AK$14,MATCH($E131,'BY-Demands'!$I$5:$I$14,0),FALSE)*HLOOKUP(REG_TRA_DEMANDS!$F131,DEMANDS!$G$2:$CK$25,MATCH($E131,DEMANDS!$E$2:$E$25,0),FALSE)/HLOOKUP(2018,DEMANDS!$G$2:$CK$25,MATCH($E131,DEMANDS!$E$2:$E$25,0),FALSE)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L131" s="18">
        <f>HLOOKUP(REG_TRA_DEMANDS!L$3,'BY-Demands'!$J$5:$AK$14,MATCH($E131,'BY-Demands'!$I$5:$I$14,0),FALSE)*HLOOKUP(REG_TRA_DEMANDS!$F131,DEMANDS!$G$2:$CK$25,MATCH($E131,DEMANDS!$E$2:$E$25,0),FALSE)/HLOOKUP(2018,DEMANDS!$G$2:$CK$25,MATCH($E131,DEMANDS!$E$2:$E$25,0),FALSE)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M131" s="18">
        <f>HLOOKUP(REG_TRA_DEMANDS!M$3,'BY-Demands'!$J$5:$AK$14,MATCH($E131,'BY-Demands'!$I$5:$I$14,0),FALSE)*HLOOKUP(REG_TRA_DEMANDS!$F131,DEMANDS!$G$2:$CK$25,MATCH($E131,DEMANDS!$E$2:$E$25,0),FALSE)/HLOOKUP(2018,DEMANDS!$G$2:$CK$25,MATCH($E131,DEMANDS!$E$2:$E$25,0),FALSE)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N131" s="18">
        <f>HLOOKUP(REG_TRA_DEMANDS!N$3,'BY-Demands'!$J$5:$AK$14,MATCH($E131,'BY-Demands'!$I$5:$I$14,0),FALSE)*HLOOKUP(REG_TRA_DEMANDS!$F131,DEMANDS!$G$2:$CK$25,MATCH($E131,DEMANDS!$E$2:$E$25,0),FALSE)/HLOOKUP(2018,DEMANDS!$G$2:$CK$25,MATCH($E131,DEMANDS!$E$2:$E$25,0),FALSE)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O131" s="18">
        <f>HLOOKUP(REG_TRA_DEMANDS!O$3,'BY-Demands'!$J$5:$AK$14,MATCH($E131,'BY-Demands'!$I$5:$I$14,0),FALSE)*HLOOKUP(REG_TRA_DEMANDS!$F131,DEMANDS!$G$2:$CK$25,MATCH($E131,DEMANDS!$E$2:$E$25,0),FALSE)/HLOOKUP(2018,DEMANDS!$G$2:$CK$25,MATCH($E131,DEMANDS!$E$2:$E$25,0),FALSE)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P131" s="18">
        <f>HLOOKUP(REG_TRA_DEMANDS!P$3,'BY-Demands'!$J$5:$AK$14,MATCH($E131,'BY-Demands'!$I$5:$I$14,0),FALSE)*HLOOKUP(REG_TRA_DEMANDS!$F131,DEMANDS!$G$2:$CK$25,MATCH($E131,DEMANDS!$E$2:$E$25,0),FALSE)/HLOOKUP(2018,DEMANDS!$G$2:$CK$25,MATCH($E131,DEMANDS!$E$2:$E$25,0),FALSE)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Q131" s="18">
        <f>HLOOKUP(REG_TRA_DEMANDS!Q$3,'BY-Demands'!$J$5:$AK$14,MATCH($E131,'BY-Demands'!$I$5:$I$14,0),FALSE)*HLOOKUP(REG_TRA_DEMANDS!$F131,DEMANDS!$G$2:$CK$25,MATCH($E131,DEMANDS!$E$2:$E$25,0),FALSE)/HLOOKUP(2018,DEMANDS!$G$2:$CK$25,MATCH($E131,DEMANDS!$E$2:$E$25,0),FALSE)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R131" s="18">
        <f>HLOOKUP(REG_TRA_DEMANDS!R$3,'BY-Demands'!$J$5:$AK$14,MATCH($E131,'BY-Demands'!$I$5:$I$14,0),FALSE)*HLOOKUP(REG_TRA_DEMANDS!$F131,DEMANDS!$G$2:$CK$25,MATCH($E131,DEMANDS!$E$2:$E$25,0),FALSE)/HLOOKUP(2018,DEMANDS!$G$2:$CK$25,MATCH($E131,DEMANDS!$E$2:$E$25,0),FALSE)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S131" s="18">
        <f>HLOOKUP(REG_TRA_DEMANDS!S$3,'BY-Demands'!$J$5:$AK$14,MATCH($E131,'BY-Demands'!$I$5:$I$14,0),FALSE)*HLOOKUP(REG_TRA_DEMANDS!$F131,DEMANDS!$G$2:$CK$25,MATCH($E131,DEMANDS!$E$2:$E$25,0),FALSE)/HLOOKUP(2018,DEMANDS!$G$2:$CK$25,MATCH($E131,DEMANDS!$E$2:$E$25,0),FALSE)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T131" s="18">
        <f>HLOOKUP(REG_TRA_DEMANDS!T$3,'BY-Demands'!$J$5:$AK$14,MATCH($E131,'BY-Demands'!$I$5:$I$14,0),FALSE)*HLOOKUP(REG_TRA_DEMANDS!$F131,DEMANDS!$G$2:$CK$25,MATCH($E131,DEMANDS!$E$2:$E$25,0),FALSE)/HLOOKUP(2018,DEMANDS!$G$2:$CK$25,MATCH($E131,DEMANDS!$E$2:$E$25,0),FALSE)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U131" s="18">
        <f>HLOOKUP(REG_TRA_DEMANDS!U$3,'BY-Demands'!$J$5:$AK$14,MATCH($E131,'BY-Demands'!$I$5:$I$14,0),FALSE)*HLOOKUP(REG_TRA_DEMANDS!$F131,DEMANDS!$G$2:$CK$25,MATCH($E131,DEMANDS!$E$2:$E$25,0),FALSE)/HLOOKUP(2018,DEMANDS!$G$2:$CK$25,MATCH($E131,DEMANDS!$E$2:$E$25,0),FALSE)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V131" s="18">
        <f>HLOOKUP(REG_TRA_DEMANDS!V$3,'BY-Demands'!$J$5:$AK$14,MATCH($E131,'BY-Demands'!$I$5:$I$14,0),FALSE)*HLOOKUP(REG_TRA_DEMANDS!$F131,DEMANDS!$G$2:$CK$25,MATCH($E131,DEMANDS!$E$2:$E$25,0),FALSE)/HLOOKUP(2018,DEMANDS!$G$2:$CK$25,MATCH($E131,DEMANDS!$E$2:$E$25,0),FALSE)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W131" s="18">
        <f>HLOOKUP(REG_TRA_DEMANDS!W$3,'BY-Demands'!$J$5:$AK$14,MATCH($E131,'BY-Demands'!$I$5:$I$14,0),FALSE)*HLOOKUP(REG_TRA_DEMANDS!$F131,DEMANDS!$G$2:$CK$25,MATCH($E131,DEMANDS!$E$2:$E$25,0),FALSE)/HLOOKUP(2018,DEMANDS!$G$2:$CK$25,MATCH($E131,DEMANDS!$E$2:$E$25,0),FALSE)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X131" s="18">
        <f>HLOOKUP(REG_TRA_DEMANDS!X$3,'BY-Demands'!$J$5:$AK$14,MATCH($E131,'BY-Demands'!$I$5:$I$14,0),FALSE)*HLOOKUP(REG_TRA_DEMANDS!$F131,DEMANDS!$G$2:$CK$25,MATCH($E131,DEMANDS!$E$2:$E$25,0),FALSE)/HLOOKUP(2018,DEMANDS!$G$2:$CK$25,MATCH($E131,DEMANDS!$E$2:$E$25,0),FALSE)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Y131" s="18">
        <f>HLOOKUP(REG_TRA_DEMANDS!Y$3,'BY-Demands'!$J$5:$AK$14,MATCH($E131,'BY-Demands'!$I$5:$I$14,0),FALSE)*HLOOKUP(REG_TRA_DEMANDS!$F131,DEMANDS!$G$2:$CK$25,MATCH($E131,DEMANDS!$E$2:$E$25,0),FALSE)/HLOOKUP(2018,DEMANDS!$G$2:$CK$25,MATCH($E131,DEMANDS!$E$2:$E$25,0),FALSE)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Z131" s="18">
        <f>HLOOKUP(REG_TRA_DEMANDS!Z$3,'BY-Demands'!$J$5:$AK$14,MATCH($E131,'BY-Demands'!$I$5:$I$14,0),FALSE)*HLOOKUP(REG_TRA_DEMANDS!$F131,DEMANDS!$G$2:$CK$25,MATCH($E131,DEMANDS!$E$2:$E$25,0),FALSE)/HLOOKUP(2018,DEMANDS!$G$2:$CK$25,MATCH($E131,DEMANDS!$E$2:$E$25,0),FALSE)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AA131" s="18">
        <f>HLOOKUP(REG_TRA_DEMANDS!AA$3,'BY-Demands'!$J$5:$AK$14,MATCH($E131,'BY-Demands'!$I$5:$I$14,0),FALSE)*HLOOKUP(REG_TRA_DEMANDS!$F131,DEMANDS!$G$2:$CK$25,MATCH($E131,DEMANDS!$E$2:$E$25,0),FALSE)/HLOOKUP(2018,DEMANDS!$G$2:$CK$25,MATCH($E131,DEMANDS!$E$2:$E$25,0),FALSE)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AB131" s="18">
        <f>HLOOKUP(REG_TRA_DEMANDS!AB$3,'BY-Demands'!$J$5:$AK$14,MATCH($E131,'BY-Demands'!$I$5:$I$14,0),FALSE)*HLOOKUP(REG_TRA_DEMANDS!$F131,DEMANDS!$G$2:$CK$25,MATCH($E131,DEMANDS!$E$2:$E$25,0),FALSE)/HLOOKUP(2018,DEMANDS!$G$2:$CK$25,MATCH($E131,DEMANDS!$E$2:$E$25,0),FALSE)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AC131" s="18">
        <f>HLOOKUP(REG_TRA_DEMANDS!AC$3,'BY-Demands'!$J$5:$AK$14,MATCH($E131,'BY-Demands'!$I$5:$I$14,0),FALSE)*HLOOKUP(REG_TRA_DEMANDS!$F131,DEMANDS!$G$2:$CK$25,MATCH($E131,DEMANDS!$E$2:$E$25,0),FALSE)/HLOOKUP(2018,DEMANDS!$G$2:$CK$25,MATCH($E131,DEMANDS!$E$2:$E$25,0),FALSE)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AD131" s="18">
        <f>HLOOKUP(REG_TRA_DEMANDS!AD$3,'BY-Demands'!$J$5:$AK$14,MATCH($E131,'BY-Demands'!$I$5:$I$14,0),FALSE)*HLOOKUP(REG_TRA_DEMANDS!$F131,DEMANDS!$G$2:$CK$25,MATCH($E131,DEMANDS!$E$2:$E$25,0),FALSE)/HLOOKUP(2018,DEMANDS!$G$2:$CK$25,MATCH($E131,DEMANDS!$E$2:$E$25,0),FALSE)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AE131" s="18">
        <f>HLOOKUP(REG_TRA_DEMANDS!AE$3,'BY-Demands'!$J$5:$AK$14,MATCH($E131,'BY-Demands'!$I$5:$I$14,0),FALSE)*HLOOKUP(REG_TRA_DEMANDS!$F131,DEMANDS!$G$2:$CK$25,MATCH($E131,DEMANDS!$E$2:$E$25,0),FALSE)/HLOOKUP(2018,DEMANDS!$G$2:$CK$25,MATCH($E131,DEMANDS!$E$2:$E$25,0),FALSE)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AF131" s="18">
        <f>HLOOKUP(REG_TRA_DEMANDS!AF$3,'BY-Demands'!$J$5:$AK$14,MATCH($E131,'BY-Demands'!$I$5:$I$14,0),FALSE)*HLOOKUP(REG_TRA_DEMANDS!$F131,DEMANDS!$G$2:$CK$25,MATCH($E131,DEMANDS!$E$2:$E$25,0),FALSE)/HLOOKUP(2018,DEMANDS!$G$2:$CK$25,MATCH($E131,DEMANDS!$E$2:$E$25,0),FALSE)</f>
        <v>0</v>
      </c>
    </row>
    <row r="132" spans="4:32" ht="14.4">
      <c r="D132" t="s">
        <v>6</v>
      </c>
      <c r="E132" t="str">
        <f>DEMANDS!$E$21</f>
        <v>TTURS</v>
      </c>
      <c r="F132">
        <v>2040</v>
      </c>
      <c r="G132" s="18">
        <f>HLOOKUP(REG_TRA_DEMANDS!G$3,'BY-Demands'!$J$5:$AK$14,MATCH($E132,'BY-Demands'!$I$5:$I$14,0),FALSE)*HLOOKUP(REG_TRA_DEMANDS!$F132,DEMANDS!$G$2:$CK$25,MATCH($E132,DEMANDS!$E$2:$E$25,0),FALSE)/HLOOKUP(2018,DEMANDS!$G$2:$CK$25,MATCH($E132,DEMANDS!$E$2:$E$25,0),FALSE)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H132" s="18">
        <f>HLOOKUP(REG_TRA_DEMANDS!H$3,'BY-Demands'!$J$5:$AK$14,MATCH($E132,'BY-Demands'!$I$5:$I$14,0),FALSE)*HLOOKUP(REG_TRA_DEMANDS!$F132,DEMANDS!$G$2:$CK$25,MATCH($E132,DEMANDS!$E$2:$E$25,0),FALSE)/HLOOKUP(2018,DEMANDS!$G$2:$CK$25,MATCH($E132,DEMANDS!$E$2:$E$25,0),FALSE)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I132" s="18">
        <f>HLOOKUP(REG_TRA_DEMANDS!I$3,'BY-Demands'!$J$5:$AK$14,MATCH($E132,'BY-Demands'!$I$5:$I$14,0),FALSE)*HLOOKUP(REG_TRA_DEMANDS!$F132,DEMANDS!$G$2:$CK$25,MATCH($E132,DEMANDS!$E$2:$E$25,0),FALSE)/HLOOKUP(2018,DEMANDS!$G$2:$CK$25,MATCH($E132,DEMANDS!$E$2:$E$25,0),FALSE)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J132" s="18">
        <f>HLOOKUP(REG_TRA_DEMANDS!J$3,'BY-Demands'!$J$5:$AK$14,MATCH($E132,'BY-Demands'!$I$5:$I$14,0),FALSE)*HLOOKUP(REG_TRA_DEMANDS!$F132,DEMANDS!$G$2:$CK$25,MATCH($E132,DEMANDS!$E$2:$E$25,0),FALSE)/HLOOKUP(2018,DEMANDS!$G$2:$CK$25,MATCH($E132,DEMANDS!$E$2:$E$25,0),FALSE)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K132" s="18">
        <f>HLOOKUP(REG_TRA_DEMANDS!K$3,'BY-Demands'!$J$5:$AK$14,MATCH($E132,'BY-Demands'!$I$5:$I$14,0),FALSE)*HLOOKUP(REG_TRA_DEMANDS!$F132,DEMANDS!$G$2:$CK$25,MATCH($E132,DEMANDS!$E$2:$E$25,0),FALSE)/HLOOKUP(2018,DEMANDS!$G$2:$CK$25,MATCH($E132,DEMANDS!$E$2:$E$25,0),FALSE)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L132" s="18">
        <f>HLOOKUP(REG_TRA_DEMANDS!L$3,'BY-Demands'!$J$5:$AK$14,MATCH($E132,'BY-Demands'!$I$5:$I$14,0),FALSE)*HLOOKUP(REG_TRA_DEMANDS!$F132,DEMANDS!$G$2:$CK$25,MATCH($E132,DEMANDS!$E$2:$E$25,0),FALSE)/HLOOKUP(2018,DEMANDS!$G$2:$CK$25,MATCH($E132,DEMANDS!$E$2:$E$25,0),FALSE)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M132" s="18">
        <f>HLOOKUP(REG_TRA_DEMANDS!M$3,'BY-Demands'!$J$5:$AK$14,MATCH($E132,'BY-Demands'!$I$5:$I$14,0),FALSE)*HLOOKUP(REG_TRA_DEMANDS!$F132,DEMANDS!$G$2:$CK$25,MATCH($E132,DEMANDS!$E$2:$E$25,0),FALSE)/HLOOKUP(2018,DEMANDS!$G$2:$CK$25,MATCH($E132,DEMANDS!$E$2:$E$25,0),FALSE)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N132" s="18">
        <f>HLOOKUP(REG_TRA_DEMANDS!N$3,'BY-Demands'!$J$5:$AK$14,MATCH($E132,'BY-Demands'!$I$5:$I$14,0),FALSE)*HLOOKUP(REG_TRA_DEMANDS!$F132,DEMANDS!$G$2:$CK$25,MATCH($E132,DEMANDS!$E$2:$E$25,0),FALSE)/HLOOKUP(2018,DEMANDS!$G$2:$CK$25,MATCH($E132,DEMANDS!$E$2:$E$25,0),FALSE)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O132" s="18">
        <f>HLOOKUP(REG_TRA_DEMANDS!O$3,'BY-Demands'!$J$5:$AK$14,MATCH($E132,'BY-Demands'!$I$5:$I$14,0),FALSE)*HLOOKUP(REG_TRA_DEMANDS!$F132,DEMANDS!$G$2:$CK$25,MATCH($E132,DEMANDS!$E$2:$E$25,0),FALSE)/HLOOKUP(2018,DEMANDS!$G$2:$CK$25,MATCH($E132,DEMANDS!$E$2:$E$25,0),FALSE)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P132" s="18">
        <f>HLOOKUP(REG_TRA_DEMANDS!P$3,'BY-Demands'!$J$5:$AK$14,MATCH($E132,'BY-Demands'!$I$5:$I$14,0),FALSE)*HLOOKUP(REG_TRA_DEMANDS!$F132,DEMANDS!$G$2:$CK$25,MATCH($E132,DEMANDS!$E$2:$E$25,0),FALSE)/HLOOKUP(2018,DEMANDS!$G$2:$CK$25,MATCH($E132,DEMANDS!$E$2:$E$25,0),FALSE)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Q132" s="18">
        <f>HLOOKUP(REG_TRA_DEMANDS!Q$3,'BY-Demands'!$J$5:$AK$14,MATCH($E132,'BY-Demands'!$I$5:$I$14,0),FALSE)*HLOOKUP(REG_TRA_DEMANDS!$F132,DEMANDS!$G$2:$CK$25,MATCH($E132,DEMANDS!$E$2:$E$25,0),FALSE)/HLOOKUP(2018,DEMANDS!$G$2:$CK$25,MATCH($E132,DEMANDS!$E$2:$E$25,0),FALSE)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R132" s="18">
        <f>HLOOKUP(REG_TRA_DEMANDS!R$3,'BY-Demands'!$J$5:$AK$14,MATCH($E132,'BY-Demands'!$I$5:$I$14,0),FALSE)*HLOOKUP(REG_TRA_DEMANDS!$F132,DEMANDS!$G$2:$CK$25,MATCH($E132,DEMANDS!$E$2:$E$25,0),FALSE)/HLOOKUP(2018,DEMANDS!$G$2:$CK$25,MATCH($E132,DEMANDS!$E$2:$E$25,0),FALSE)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S132" s="18">
        <f>HLOOKUP(REG_TRA_DEMANDS!S$3,'BY-Demands'!$J$5:$AK$14,MATCH($E132,'BY-Demands'!$I$5:$I$14,0),FALSE)*HLOOKUP(REG_TRA_DEMANDS!$F132,DEMANDS!$G$2:$CK$25,MATCH($E132,DEMANDS!$E$2:$E$25,0),FALSE)/HLOOKUP(2018,DEMANDS!$G$2:$CK$25,MATCH($E132,DEMANDS!$E$2:$E$25,0),FALSE)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T132" s="18">
        <f>HLOOKUP(REG_TRA_DEMANDS!T$3,'BY-Demands'!$J$5:$AK$14,MATCH($E132,'BY-Demands'!$I$5:$I$14,0),FALSE)*HLOOKUP(REG_TRA_DEMANDS!$F132,DEMANDS!$G$2:$CK$25,MATCH($E132,DEMANDS!$E$2:$E$25,0),FALSE)/HLOOKUP(2018,DEMANDS!$G$2:$CK$25,MATCH($E132,DEMANDS!$E$2:$E$25,0),FALSE)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U132" s="18">
        <f>HLOOKUP(REG_TRA_DEMANDS!U$3,'BY-Demands'!$J$5:$AK$14,MATCH($E132,'BY-Demands'!$I$5:$I$14,0),FALSE)*HLOOKUP(REG_TRA_DEMANDS!$F132,DEMANDS!$G$2:$CK$25,MATCH($E132,DEMANDS!$E$2:$E$25,0),FALSE)/HLOOKUP(2018,DEMANDS!$G$2:$CK$25,MATCH($E132,DEMANDS!$E$2:$E$25,0),FALSE)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V132" s="18">
        <f>HLOOKUP(REG_TRA_DEMANDS!V$3,'BY-Demands'!$J$5:$AK$14,MATCH($E132,'BY-Demands'!$I$5:$I$14,0),FALSE)*HLOOKUP(REG_TRA_DEMANDS!$F132,DEMANDS!$G$2:$CK$25,MATCH($E132,DEMANDS!$E$2:$E$25,0),FALSE)/HLOOKUP(2018,DEMANDS!$G$2:$CK$25,MATCH($E132,DEMANDS!$E$2:$E$25,0),FALSE)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W132" s="18">
        <f>HLOOKUP(REG_TRA_DEMANDS!W$3,'BY-Demands'!$J$5:$AK$14,MATCH($E132,'BY-Demands'!$I$5:$I$14,0),FALSE)*HLOOKUP(REG_TRA_DEMANDS!$F132,DEMANDS!$G$2:$CK$25,MATCH($E132,DEMANDS!$E$2:$E$25,0),FALSE)/HLOOKUP(2018,DEMANDS!$G$2:$CK$25,MATCH($E132,DEMANDS!$E$2:$E$25,0),FALSE)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X132" s="18">
        <f>HLOOKUP(REG_TRA_DEMANDS!X$3,'BY-Demands'!$J$5:$AK$14,MATCH($E132,'BY-Demands'!$I$5:$I$14,0),FALSE)*HLOOKUP(REG_TRA_DEMANDS!$F132,DEMANDS!$G$2:$CK$25,MATCH($E132,DEMANDS!$E$2:$E$25,0),FALSE)/HLOOKUP(2018,DEMANDS!$G$2:$CK$25,MATCH($E132,DEMANDS!$E$2:$E$25,0),FALSE)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Y132" s="18">
        <f>HLOOKUP(REG_TRA_DEMANDS!Y$3,'BY-Demands'!$J$5:$AK$14,MATCH($E132,'BY-Demands'!$I$5:$I$14,0),FALSE)*HLOOKUP(REG_TRA_DEMANDS!$F132,DEMANDS!$G$2:$CK$25,MATCH($E132,DEMANDS!$E$2:$E$25,0),FALSE)/HLOOKUP(2018,DEMANDS!$G$2:$CK$25,MATCH($E132,DEMANDS!$E$2:$E$25,0),FALSE)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Z132" s="18">
        <f>HLOOKUP(REG_TRA_DEMANDS!Z$3,'BY-Demands'!$J$5:$AK$14,MATCH($E132,'BY-Demands'!$I$5:$I$14,0),FALSE)*HLOOKUP(REG_TRA_DEMANDS!$F132,DEMANDS!$G$2:$CK$25,MATCH($E132,DEMANDS!$E$2:$E$25,0),FALSE)/HLOOKUP(2018,DEMANDS!$G$2:$CK$25,MATCH($E132,DEMANDS!$E$2:$E$25,0),FALSE)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AA132" s="18">
        <f>HLOOKUP(REG_TRA_DEMANDS!AA$3,'BY-Demands'!$J$5:$AK$14,MATCH($E132,'BY-Demands'!$I$5:$I$14,0),FALSE)*HLOOKUP(REG_TRA_DEMANDS!$F132,DEMANDS!$G$2:$CK$25,MATCH($E132,DEMANDS!$E$2:$E$25,0),FALSE)/HLOOKUP(2018,DEMANDS!$G$2:$CK$25,MATCH($E132,DEMANDS!$E$2:$E$25,0),FALSE)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AB132" s="18">
        <f>HLOOKUP(REG_TRA_DEMANDS!AB$3,'BY-Demands'!$J$5:$AK$14,MATCH($E132,'BY-Demands'!$I$5:$I$14,0),FALSE)*HLOOKUP(REG_TRA_DEMANDS!$F132,DEMANDS!$G$2:$CK$25,MATCH($E132,DEMANDS!$E$2:$E$25,0),FALSE)/HLOOKUP(2018,DEMANDS!$G$2:$CK$25,MATCH($E132,DEMANDS!$E$2:$E$25,0),FALSE)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AC132" s="18">
        <f>HLOOKUP(REG_TRA_DEMANDS!AC$3,'BY-Demands'!$J$5:$AK$14,MATCH($E132,'BY-Demands'!$I$5:$I$14,0),FALSE)*HLOOKUP(REG_TRA_DEMANDS!$F132,DEMANDS!$G$2:$CK$25,MATCH($E132,DEMANDS!$E$2:$E$25,0),FALSE)/HLOOKUP(2018,DEMANDS!$G$2:$CK$25,MATCH($E132,DEMANDS!$E$2:$E$25,0),FALSE)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AD132" s="18">
        <f>HLOOKUP(REG_TRA_DEMANDS!AD$3,'BY-Demands'!$J$5:$AK$14,MATCH($E132,'BY-Demands'!$I$5:$I$14,0),FALSE)*HLOOKUP(REG_TRA_DEMANDS!$F132,DEMANDS!$G$2:$CK$25,MATCH($E132,DEMANDS!$E$2:$E$25,0),FALSE)/HLOOKUP(2018,DEMANDS!$G$2:$CK$25,MATCH($E132,DEMANDS!$E$2:$E$25,0),FALSE)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AE132" s="18">
        <f>HLOOKUP(REG_TRA_DEMANDS!AE$3,'BY-Demands'!$J$5:$AK$14,MATCH($E132,'BY-Demands'!$I$5:$I$14,0),FALSE)*HLOOKUP(REG_TRA_DEMANDS!$F132,DEMANDS!$G$2:$CK$25,MATCH($E132,DEMANDS!$E$2:$E$25,0),FALSE)/HLOOKUP(2018,DEMANDS!$G$2:$CK$25,MATCH($E132,DEMANDS!$E$2:$E$25,0),FALSE)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AF132" s="18">
        <f>HLOOKUP(REG_TRA_DEMANDS!AF$3,'BY-Demands'!$J$5:$AK$14,MATCH($E132,'BY-Demands'!$I$5:$I$14,0),FALSE)*HLOOKUP(REG_TRA_DEMANDS!$F132,DEMANDS!$G$2:$CK$25,MATCH($E132,DEMANDS!$E$2:$E$25,0),FALSE)/HLOOKUP(2018,DEMANDS!$G$2:$CK$25,MATCH($E132,DEMANDS!$E$2:$E$25,0),FALSE)</f>
        <v>0</v>
      </c>
    </row>
    <row r="133" spans="4:32" ht="14.4">
      <c r="D133" t="s">
        <v>6</v>
      </c>
      <c r="E133" t="str">
        <f>DEMANDS!$E$21</f>
        <v>TTURS</v>
      </c>
      <c r="F133">
        <v>2045</v>
      </c>
      <c r="G133" s="18">
        <f>HLOOKUP(REG_TRA_DEMANDS!G$3,'BY-Demands'!$J$5:$AK$14,MATCH($E133,'BY-Demands'!$I$5:$I$14,0),FALSE)*HLOOKUP(REG_TRA_DEMANDS!$F133,DEMANDS!$G$2:$CK$25,MATCH($E133,DEMANDS!$E$2:$E$25,0),FALSE)/HLOOKUP(2018,DEMANDS!$G$2:$CK$25,MATCH($E133,DEMANDS!$E$2:$E$25,0),FALSE)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H133" s="18">
        <f>HLOOKUP(REG_TRA_DEMANDS!H$3,'BY-Demands'!$J$5:$AK$14,MATCH($E133,'BY-Demands'!$I$5:$I$14,0),FALSE)*HLOOKUP(REG_TRA_DEMANDS!$F133,DEMANDS!$G$2:$CK$25,MATCH($E133,DEMANDS!$E$2:$E$25,0),FALSE)/HLOOKUP(2018,DEMANDS!$G$2:$CK$25,MATCH($E133,DEMANDS!$E$2:$E$25,0),FALSE)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I133" s="18">
        <f>HLOOKUP(REG_TRA_DEMANDS!I$3,'BY-Demands'!$J$5:$AK$14,MATCH($E133,'BY-Demands'!$I$5:$I$14,0),FALSE)*HLOOKUP(REG_TRA_DEMANDS!$F133,DEMANDS!$G$2:$CK$25,MATCH($E133,DEMANDS!$E$2:$E$25,0),FALSE)/HLOOKUP(2018,DEMANDS!$G$2:$CK$25,MATCH($E133,DEMANDS!$E$2:$E$25,0),FALSE)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J133" s="18">
        <f>HLOOKUP(REG_TRA_DEMANDS!J$3,'BY-Demands'!$J$5:$AK$14,MATCH($E133,'BY-Demands'!$I$5:$I$14,0),FALSE)*HLOOKUP(REG_TRA_DEMANDS!$F133,DEMANDS!$G$2:$CK$25,MATCH($E133,DEMANDS!$E$2:$E$25,0),FALSE)/HLOOKUP(2018,DEMANDS!$G$2:$CK$25,MATCH($E133,DEMANDS!$E$2:$E$25,0),FALSE)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K133" s="18">
        <f>HLOOKUP(REG_TRA_DEMANDS!K$3,'BY-Demands'!$J$5:$AK$14,MATCH($E133,'BY-Demands'!$I$5:$I$14,0),FALSE)*HLOOKUP(REG_TRA_DEMANDS!$F133,DEMANDS!$G$2:$CK$25,MATCH($E133,DEMANDS!$E$2:$E$25,0),FALSE)/HLOOKUP(2018,DEMANDS!$G$2:$CK$25,MATCH($E133,DEMANDS!$E$2:$E$25,0),FALSE)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L133" s="18">
        <f>HLOOKUP(REG_TRA_DEMANDS!L$3,'BY-Demands'!$J$5:$AK$14,MATCH($E133,'BY-Demands'!$I$5:$I$14,0),FALSE)*HLOOKUP(REG_TRA_DEMANDS!$F133,DEMANDS!$G$2:$CK$25,MATCH($E133,DEMANDS!$E$2:$E$25,0),FALSE)/HLOOKUP(2018,DEMANDS!$G$2:$CK$25,MATCH($E133,DEMANDS!$E$2:$E$25,0),FALSE)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M133" s="18">
        <f>HLOOKUP(REG_TRA_DEMANDS!M$3,'BY-Demands'!$J$5:$AK$14,MATCH($E133,'BY-Demands'!$I$5:$I$14,0),FALSE)*HLOOKUP(REG_TRA_DEMANDS!$F133,DEMANDS!$G$2:$CK$25,MATCH($E133,DEMANDS!$E$2:$E$25,0),FALSE)/HLOOKUP(2018,DEMANDS!$G$2:$CK$25,MATCH($E133,DEMANDS!$E$2:$E$25,0),FALSE)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N133" s="18">
        <f>HLOOKUP(REG_TRA_DEMANDS!N$3,'BY-Demands'!$J$5:$AK$14,MATCH($E133,'BY-Demands'!$I$5:$I$14,0),FALSE)*HLOOKUP(REG_TRA_DEMANDS!$F133,DEMANDS!$G$2:$CK$25,MATCH($E133,DEMANDS!$E$2:$E$25,0),FALSE)/HLOOKUP(2018,DEMANDS!$G$2:$CK$25,MATCH($E133,DEMANDS!$E$2:$E$25,0),FALSE)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O133" s="18">
        <f>HLOOKUP(REG_TRA_DEMANDS!O$3,'BY-Demands'!$J$5:$AK$14,MATCH($E133,'BY-Demands'!$I$5:$I$14,0),FALSE)*HLOOKUP(REG_TRA_DEMANDS!$F133,DEMANDS!$G$2:$CK$25,MATCH($E133,DEMANDS!$E$2:$E$25,0),FALSE)/HLOOKUP(2018,DEMANDS!$G$2:$CK$25,MATCH($E133,DEMANDS!$E$2:$E$25,0),FALSE)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P133" s="18">
        <f>HLOOKUP(REG_TRA_DEMANDS!P$3,'BY-Demands'!$J$5:$AK$14,MATCH($E133,'BY-Demands'!$I$5:$I$14,0),FALSE)*HLOOKUP(REG_TRA_DEMANDS!$F133,DEMANDS!$G$2:$CK$25,MATCH($E133,DEMANDS!$E$2:$E$25,0),FALSE)/HLOOKUP(2018,DEMANDS!$G$2:$CK$25,MATCH($E133,DEMANDS!$E$2:$E$25,0),FALSE)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Q133" s="18">
        <f>HLOOKUP(REG_TRA_DEMANDS!Q$3,'BY-Demands'!$J$5:$AK$14,MATCH($E133,'BY-Demands'!$I$5:$I$14,0),FALSE)*HLOOKUP(REG_TRA_DEMANDS!$F133,DEMANDS!$G$2:$CK$25,MATCH($E133,DEMANDS!$E$2:$E$25,0),FALSE)/HLOOKUP(2018,DEMANDS!$G$2:$CK$25,MATCH($E133,DEMANDS!$E$2:$E$25,0),FALSE)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R133" s="18">
        <f>HLOOKUP(REG_TRA_DEMANDS!R$3,'BY-Demands'!$J$5:$AK$14,MATCH($E133,'BY-Demands'!$I$5:$I$14,0),FALSE)*HLOOKUP(REG_TRA_DEMANDS!$F133,DEMANDS!$G$2:$CK$25,MATCH($E133,DEMANDS!$E$2:$E$25,0),FALSE)/HLOOKUP(2018,DEMANDS!$G$2:$CK$25,MATCH($E133,DEMANDS!$E$2:$E$25,0),FALSE)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S133" s="18">
        <f>HLOOKUP(REG_TRA_DEMANDS!S$3,'BY-Demands'!$J$5:$AK$14,MATCH($E133,'BY-Demands'!$I$5:$I$14,0),FALSE)*HLOOKUP(REG_TRA_DEMANDS!$F133,DEMANDS!$G$2:$CK$25,MATCH($E133,DEMANDS!$E$2:$E$25,0),FALSE)/HLOOKUP(2018,DEMANDS!$G$2:$CK$25,MATCH($E133,DEMANDS!$E$2:$E$25,0),FALSE)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T133" s="18">
        <f>HLOOKUP(REG_TRA_DEMANDS!T$3,'BY-Demands'!$J$5:$AK$14,MATCH($E133,'BY-Demands'!$I$5:$I$14,0),FALSE)*HLOOKUP(REG_TRA_DEMANDS!$F133,DEMANDS!$G$2:$CK$25,MATCH($E133,DEMANDS!$E$2:$E$25,0),FALSE)/HLOOKUP(2018,DEMANDS!$G$2:$CK$25,MATCH($E133,DEMANDS!$E$2:$E$25,0),FALSE)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U133" s="18">
        <f>HLOOKUP(REG_TRA_DEMANDS!U$3,'BY-Demands'!$J$5:$AK$14,MATCH($E133,'BY-Demands'!$I$5:$I$14,0),FALSE)*HLOOKUP(REG_TRA_DEMANDS!$F133,DEMANDS!$G$2:$CK$25,MATCH($E133,DEMANDS!$E$2:$E$25,0),FALSE)/HLOOKUP(2018,DEMANDS!$G$2:$CK$25,MATCH($E133,DEMANDS!$E$2:$E$25,0),FALSE)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V133" s="18">
        <f>HLOOKUP(REG_TRA_DEMANDS!V$3,'BY-Demands'!$J$5:$AK$14,MATCH($E133,'BY-Demands'!$I$5:$I$14,0),FALSE)*HLOOKUP(REG_TRA_DEMANDS!$F133,DEMANDS!$G$2:$CK$25,MATCH($E133,DEMANDS!$E$2:$E$25,0),FALSE)/HLOOKUP(2018,DEMANDS!$G$2:$CK$25,MATCH($E133,DEMANDS!$E$2:$E$25,0),FALSE)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W133" s="18">
        <f>HLOOKUP(REG_TRA_DEMANDS!W$3,'BY-Demands'!$J$5:$AK$14,MATCH($E133,'BY-Demands'!$I$5:$I$14,0),FALSE)*HLOOKUP(REG_TRA_DEMANDS!$F133,DEMANDS!$G$2:$CK$25,MATCH($E133,DEMANDS!$E$2:$E$25,0),FALSE)/HLOOKUP(2018,DEMANDS!$G$2:$CK$25,MATCH($E133,DEMANDS!$E$2:$E$25,0),FALSE)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X133" s="18">
        <f>HLOOKUP(REG_TRA_DEMANDS!X$3,'BY-Demands'!$J$5:$AK$14,MATCH($E133,'BY-Demands'!$I$5:$I$14,0),FALSE)*HLOOKUP(REG_TRA_DEMANDS!$F133,DEMANDS!$G$2:$CK$25,MATCH($E133,DEMANDS!$E$2:$E$25,0),FALSE)/HLOOKUP(2018,DEMANDS!$G$2:$CK$25,MATCH($E133,DEMANDS!$E$2:$E$25,0),FALSE)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Y133" s="18">
        <f>HLOOKUP(REG_TRA_DEMANDS!Y$3,'BY-Demands'!$J$5:$AK$14,MATCH($E133,'BY-Demands'!$I$5:$I$14,0),FALSE)*HLOOKUP(REG_TRA_DEMANDS!$F133,DEMANDS!$G$2:$CK$25,MATCH($E133,DEMANDS!$E$2:$E$25,0),FALSE)/HLOOKUP(2018,DEMANDS!$G$2:$CK$25,MATCH($E133,DEMANDS!$E$2:$E$25,0),FALSE)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Z133" s="18">
        <f>HLOOKUP(REG_TRA_DEMANDS!Z$3,'BY-Demands'!$J$5:$AK$14,MATCH($E133,'BY-Demands'!$I$5:$I$14,0),FALSE)*HLOOKUP(REG_TRA_DEMANDS!$F133,DEMANDS!$G$2:$CK$25,MATCH($E133,DEMANDS!$E$2:$E$25,0),FALSE)/HLOOKUP(2018,DEMANDS!$G$2:$CK$25,MATCH($E133,DEMANDS!$E$2:$E$25,0),FALSE)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AA133" s="18">
        <f>HLOOKUP(REG_TRA_DEMANDS!AA$3,'BY-Demands'!$J$5:$AK$14,MATCH($E133,'BY-Demands'!$I$5:$I$14,0),FALSE)*HLOOKUP(REG_TRA_DEMANDS!$F133,DEMANDS!$G$2:$CK$25,MATCH($E133,DEMANDS!$E$2:$E$25,0),FALSE)/HLOOKUP(2018,DEMANDS!$G$2:$CK$25,MATCH($E133,DEMANDS!$E$2:$E$25,0),FALSE)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AB133" s="18">
        <f>HLOOKUP(REG_TRA_DEMANDS!AB$3,'BY-Demands'!$J$5:$AK$14,MATCH($E133,'BY-Demands'!$I$5:$I$14,0),FALSE)*HLOOKUP(REG_TRA_DEMANDS!$F133,DEMANDS!$G$2:$CK$25,MATCH($E133,DEMANDS!$E$2:$E$25,0),FALSE)/HLOOKUP(2018,DEMANDS!$G$2:$CK$25,MATCH($E133,DEMANDS!$E$2:$E$25,0),FALSE)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AC133" s="18">
        <f>HLOOKUP(REG_TRA_DEMANDS!AC$3,'BY-Demands'!$J$5:$AK$14,MATCH($E133,'BY-Demands'!$I$5:$I$14,0),FALSE)*HLOOKUP(REG_TRA_DEMANDS!$F133,DEMANDS!$G$2:$CK$25,MATCH($E133,DEMANDS!$E$2:$E$25,0),FALSE)/HLOOKUP(2018,DEMANDS!$G$2:$CK$25,MATCH($E133,DEMANDS!$E$2:$E$25,0),FALSE)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AD133" s="18">
        <f>HLOOKUP(REG_TRA_DEMANDS!AD$3,'BY-Demands'!$J$5:$AK$14,MATCH($E133,'BY-Demands'!$I$5:$I$14,0),FALSE)*HLOOKUP(REG_TRA_DEMANDS!$F133,DEMANDS!$G$2:$CK$25,MATCH($E133,DEMANDS!$E$2:$E$25,0),FALSE)/HLOOKUP(2018,DEMANDS!$G$2:$CK$25,MATCH($E133,DEMANDS!$E$2:$E$25,0),FALSE)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AE133" s="18">
        <f>HLOOKUP(REG_TRA_DEMANDS!AE$3,'BY-Demands'!$J$5:$AK$14,MATCH($E133,'BY-Demands'!$I$5:$I$14,0),FALSE)*HLOOKUP(REG_TRA_DEMANDS!$F133,DEMANDS!$G$2:$CK$25,MATCH($E133,DEMANDS!$E$2:$E$25,0),FALSE)/HLOOKUP(2018,DEMANDS!$G$2:$CK$25,MATCH($E133,DEMANDS!$E$2:$E$25,0),FALSE)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AF133" s="18">
        <f>HLOOKUP(REG_TRA_DEMANDS!AF$3,'BY-Demands'!$J$5:$AK$14,MATCH($E133,'BY-Demands'!$I$5:$I$14,0),FALSE)*HLOOKUP(REG_TRA_DEMANDS!$F133,DEMANDS!$G$2:$CK$25,MATCH($E133,DEMANDS!$E$2:$E$25,0),FALSE)/HLOOKUP(2018,DEMANDS!$G$2:$CK$25,MATCH($E133,DEMANDS!$E$2:$E$25,0),FALSE)</f>
        <v>0</v>
      </c>
    </row>
    <row r="134" spans="4:32" ht="14.4">
      <c r="D134" t="s">
        <v>6</v>
      </c>
      <c r="E134" t="str">
        <f>DEMANDS!$E$21</f>
        <v>TTURS</v>
      </c>
      <c r="F134">
        <v>2050</v>
      </c>
      <c r="G134" s="18">
        <f>HLOOKUP(REG_TRA_DEMANDS!G$3,'BY-Demands'!$J$5:$AK$14,MATCH($E134,'BY-Demands'!$I$5:$I$14,0),FALSE)*HLOOKUP(REG_TRA_DEMANDS!$F134,DEMANDS!$G$2:$CK$25,MATCH($E134,DEMANDS!$E$2:$E$25,0),FALSE)/HLOOKUP(2018,DEMANDS!$G$2:$CK$25,MATCH($E134,DEMANDS!$E$2:$E$25,0),FALSE)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H134" s="18">
        <f>HLOOKUP(REG_TRA_DEMANDS!H$3,'BY-Demands'!$J$5:$AK$14,MATCH($E134,'BY-Demands'!$I$5:$I$14,0),FALSE)*HLOOKUP(REG_TRA_DEMANDS!$F134,DEMANDS!$G$2:$CK$25,MATCH($E134,DEMANDS!$E$2:$E$25,0),FALSE)/HLOOKUP(2018,DEMANDS!$G$2:$CK$25,MATCH($E134,DEMANDS!$E$2:$E$25,0),FALSE)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I134" s="18">
        <f>HLOOKUP(REG_TRA_DEMANDS!I$3,'BY-Demands'!$J$5:$AK$14,MATCH($E134,'BY-Demands'!$I$5:$I$14,0),FALSE)*HLOOKUP(REG_TRA_DEMANDS!$F134,DEMANDS!$G$2:$CK$25,MATCH($E134,DEMANDS!$E$2:$E$25,0),FALSE)/HLOOKUP(2018,DEMANDS!$G$2:$CK$25,MATCH($E134,DEMANDS!$E$2:$E$25,0),FALSE)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J134" s="18">
        <f>HLOOKUP(REG_TRA_DEMANDS!J$3,'BY-Demands'!$J$5:$AK$14,MATCH($E134,'BY-Demands'!$I$5:$I$14,0),FALSE)*HLOOKUP(REG_TRA_DEMANDS!$F134,DEMANDS!$G$2:$CK$25,MATCH($E134,DEMANDS!$E$2:$E$25,0),FALSE)/HLOOKUP(2018,DEMANDS!$G$2:$CK$25,MATCH($E134,DEMANDS!$E$2:$E$25,0),FALSE)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K134" s="18">
        <f>HLOOKUP(REG_TRA_DEMANDS!K$3,'BY-Demands'!$J$5:$AK$14,MATCH($E134,'BY-Demands'!$I$5:$I$14,0),FALSE)*HLOOKUP(REG_TRA_DEMANDS!$F134,DEMANDS!$G$2:$CK$25,MATCH($E134,DEMANDS!$E$2:$E$25,0),FALSE)/HLOOKUP(2018,DEMANDS!$G$2:$CK$25,MATCH($E134,DEMANDS!$E$2:$E$25,0),FALSE)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L134" s="18">
        <f>HLOOKUP(REG_TRA_DEMANDS!L$3,'BY-Demands'!$J$5:$AK$14,MATCH($E134,'BY-Demands'!$I$5:$I$14,0),FALSE)*HLOOKUP(REG_TRA_DEMANDS!$F134,DEMANDS!$G$2:$CK$25,MATCH($E134,DEMANDS!$E$2:$E$25,0),FALSE)/HLOOKUP(2018,DEMANDS!$G$2:$CK$25,MATCH($E134,DEMANDS!$E$2:$E$25,0),FALSE)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M134" s="18">
        <f>HLOOKUP(REG_TRA_DEMANDS!M$3,'BY-Demands'!$J$5:$AK$14,MATCH($E134,'BY-Demands'!$I$5:$I$14,0),FALSE)*HLOOKUP(REG_TRA_DEMANDS!$F134,DEMANDS!$G$2:$CK$25,MATCH($E134,DEMANDS!$E$2:$E$25,0),FALSE)/HLOOKUP(2018,DEMANDS!$G$2:$CK$25,MATCH($E134,DEMANDS!$E$2:$E$25,0),FALSE)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N134" s="18">
        <f>HLOOKUP(REG_TRA_DEMANDS!N$3,'BY-Demands'!$J$5:$AK$14,MATCH($E134,'BY-Demands'!$I$5:$I$14,0),FALSE)*HLOOKUP(REG_TRA_DEMANDS!$F134,DEMANDS!$G$2:$CK$25,MATCH($E134,DEMANDS!$E$2:$E$25,0),FALSE)/HLOOKUP(2018,DEMANDS!$G$2:$CK$25,MATCH($E134,DEMANDS!$E$2:$E$25,0),FALSE)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O134" s="18">
        <f>HLOOKUP(REG_TRA_DEMANDS!O$3,'BY-Demands'!$J$5:$AK$14,MATCH($E134,'BY-Demands'!$I$5:$I$14,0),FALSE)*HLOOKUP(REG_TRA_DEMANDS!$F134,DEMANDS!$G$2:$CK$25,MATCH($E134,DEMANDS!$E$2:$E$25,0),FALSE)/HLOOKUP(2018,DEMANDS!$G$2:$CK$25,MATCH($E134,DEMANDS!$E$2:$E$25,0),FALSE)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P134" s="18">
        <f>HLOOKUP(REG_TRA_DEMANDS!P$3,'BY-Demands'!$J$5:$AK$14,MATCH($E134,'BY-Demands'!$I$5:$I$14,0),FALSE)*HLOOKUP(REG_TRA_DEMANDS!$F134,DEMANDS!$G$2:$CK$25,MATCH($E134,DEMANDS!$E$2:$E$25,0),FALSE)/HLOOKUP(2018,DEMANDS!$G$2:$CK$25,MATCH($E134,DEMANDS!$E$2:$E$25,0),FALSE)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Q134" s="18">
        <f>HLOOKUP(REG_TRA_DEMANDS!Q$3,'BY-Demands'!$J$5:$AK$14,MATCH($E134,'BY-Demands'!$I$5:$I$14,0),FALSE)*HLOOKUP(REG_TRA_DEMANDS!$F134,DEMANDS!$G$2:$CK$25,MATCH($E134,DEMANDS!$E$2:$E$25,0),FALSE)/HLOOKUP(2018,DEMANDS!$G$2:$CK$25,MATCH($E134,DEMANDS!$E$2:$E$25,0),FALSE)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R134" s="18">
        <f>HLOOKUP(REG_TRA_DEMANDS!R$3,'BY-Demands'!$J$5:$AK$14,MATCH($E134,'BY-Demands'!$I$5:$I$14,0),FALSE)*HLOOKUP(REG_TRA_DEMANDS!$F134,DEMANDS!$G$2:$CK$25,MATCH($E134,DEMANDS!$E$2:$E$25,0),FALSE)/HLOOKUP(2018,DEMANDS!$G$2:$CK$25,MATCH($E134,DEMANDS!$E$2:$E$25,0),FALSE)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S134" s="18">
        <f>HLOOKUP(REG_TRA_DEMANDS!S$3,'BY-Demands'!$J$5:$AK$14,MATCH($E134,'BY-Demands'!$I$5:$I$14,0),FALSE)*HLOOKUP(REG_TRA_DEMANDS!$F134,DEMANDS!$G$2:$CK$25,MATCH($E134,DEMANDS!$E$2:$E$25,0),FALSE)/HLOOKUP(2018,DEMANDS!$G$2:$CK$25,MATCH($E134,DEMANDS!$E$2:$E$25,0),FALSE)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T134" s="18">
        <f>HLOOKUP(REG_TRA_DEMANDS!T$3,'BY-Demands'!$J$5:$AK$14,MATCH($E134,'BY-Demands'!$I$5:$I$14,0),FALSE)*HLOOKUP(REG_TRA_DEMANDS!$F134,DEMANDS!$G$2:$CK$25,MATCH($E134,DEMANDS!$E$2:$E$25,0),FALSE)/HLOOKUP(2018,DEMANDS!$G$2:$CK$25,MATCH($E134,DEMANDS!$E$2:$E$25,0),FALSE)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U134" s="18">
        <f>HLOOKUP(REG_TRA_DEMANDS!U$3,'BY-Demands'!$J$5:$AK$14,MATCH($E134,'BY-Demands'!$I$5:$I$14,0),FALSE)*HLOOKUP(REG_TRA_DEMANDS!$F134,DEMANDS!$G$2:$CK$25,MATCH($E134,DEMANDS!$E$2:$E$25,0),FALSE)/HLOOKUP(2018,DEMANDS!$G$2:$CK$25,MATCH($E134,DEMANDS!$E$2:$E$25,0),FALSE)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V134" s="18">
        <f>HLOOKUP(REG_TRA_DEMANDS!V$3,'BY-Demands'!$J$5:$AK$14,MATCH($E134,'BY-Demands'!$I$5:$I$14,0),FALSE)*HLOOKUP(REG_TRA_DEMANDS!$F134,DEMANDS!$G$2:$CK$25,MATCH($E134,DEMANDS!$E$2:$E$25,0),FALSE)/HLOOKUP(2018,DEMANDS!$G$2:$CK$25,MATCH($E134,DEMANDS!$E$2:$E$25,0),FALSE)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W134" s="18">
        <f>HLOOKUP(REG_TRA_DEMANDS!W$3,'BY-Demands'!$J$5:$AK$14,MATCH($E134,'BY-Demands'!$I$5:$I$14,0),FALSE)*HLOOKUP(REG_TRA_DEMANDS!$F134,DEMANDS!$G$2:$CK$25,MATCH($E134,DEMANDS!$E$2:$E$25,0),FALSE)/HLOOKUP(2018,DEMANDS!$G$2:$CK$25,MATCH($E134,DEMANDS!$E$2:$E$25,0),FALSE)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X134" s="18">
        <f>HLOOKUP(REG_TRA_DEMANDS!X$3,'BY-Demands'!$J$5:$AK$14,MATCH($E134,'BY-Demands'!$I$5:$I$14,0),FALSE)*HLOOKUP(REG_TRA_DEMANDS!$F134,DEMANDS!$G$2:$CK$25,MATCH($E134,DEMANDS!$E$2:$E$25,0),FALSE)/HLOOKUP(2018,DEMANDS!$G$2:$CK$25,MATCH($E134,DEMANDS!$E$2:$E$25,0),FALSE)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Y134" s="18">
        <f>HLOOKUP(REG_TRA_DEMANDS!Y$3,'BY-Demands'!$J$5:$AK$14,MATCH($E134,'BY-Demands'!$I$5:$I$14,0),FALSE)*HLOOKUP(REG_TRA_DEMANDS!$F134,DEMANDS!$G$2:$CK$25,MATCH($E134,DEMANDS!$E$2:$E$25,0),FALSE)/HLOOKUP(2018,DEMANDS!$G$2:$CK$25,MATCH($E134,DEMANDS!$E$2:$E$25,0),FALSE)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Z134" s="18">
        <f>HLOOKUP(REG_TRA_DEMANDS!Z$3,'BY-Demands'!$J$5:$AK$14,MATCH($E134,'BY-Demands'!$I$5:$I$14,0),FALSE)*HLOOKUP(REG_TRA_DEMANDS!$F134,DEMANDS!$G$2:$CK$25,MATCH($E134,DEMANDS!$E$2:$E$25,0),FALSE)/HLOOKUP(2018,DEMANDS!$G$2:$CK$25,MATCH($E134,DEMANDS!$E$2:$E$25,0),FALSE)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AA134" s="18">
        <f>HLOOKUP(REG_TRA_DEMANDS!AA$3,'BY-Demands'!$J$5:$AK$14,MATCH($E134,'BY-Demands'!$I$5:$I$14,0),FALSE)*HLOOKUP(REG_TRA_DEMANDS!$F134,DEMANDS!$G$2:$CK$25,MATCH($E134,DEMANDS!$E$2:$E$25,0),FALSE)/HLOOKUP(2018,DEMANDS!$G$2:$CK$25,MATCH($E134,DEMANDS!$E$2:$E$25,0),FALSE)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AB134" s="18">
        <f>HLOOKUP(REG_TRA_DEMANDS!AB$3,'BY-Demands'!$J$5:$AK$14,MATCH($E134,'BY-Demands'!$I$5:$I$14,0),FALSE)*HLOOKUP(REG_TRA_DEMANDS!$F134,DEMANDS!$G$2:$CK$25,MATCH($E134,DEMANDS!$E$2:$E$25,0),FALSE)/HLOOKUP(2018,DEMANDS!$G$2:$CK$25,MATCH($E134,DEMANDS!$E$2:$E$25,0),FALSE)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AC134" s="18">
        <f>HLOOKUP(REG_TRA_DEMANDS!AC$3,'BY-Demands'!$J$5:$AK$14,MATCH($E134,'BY-Demands'!$I$5:$I$14,0),FALSE)*HLOOKUP(REG_TRA_DEMANDS!$F134,DEMANDS!$G$2:$CK$25,MATCH($E134,DEMANDS!$E$2:$E$25,0),FALSE)/HLOOKUP(2018,DEMANDS!$G$2:$CK$25,MATCH($E134,DEMANDS!$E$2:$E$25,0),FALSE)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AD134" s="18">
        <f>HLOOKUP(REG_TRA_DEMANDS!AD$3,'BY-Demands'!$J$5:$AK$14,MATCH($E134,'BY-Demands'!$I$5:$I$14,0),FALSE)*HLOOKUP(REG_TRA_DEMANDS!$F134,DEMANDS!$G$2:$CK$25,MATCH($E134,DEMANDS!$E$2:$E$25,0),FALSE)/HLOOKUP(2018,DEMANDS!$G$2:$CK$25,MATCH($E134,DEMANDS!$E$2:$E$25,0),FALSE)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AE134" s="18">
        <f>HLOOKUP(REG_TRA_DEMANDS!AE$3,'BY-Demands'!$J$5:$AK$14,MATCH($E134,'BY-Demands'!$I$5:$I$14,0),FALSE)*HLOOKUP(REG_TRA_DEMANDS!$F134,DEMANDS!$G$2:$CK$25,MATCH($E134,DEMANDS!$E$2:$E$25,0),FALSE)/HLOOKUP(2018,DEMANDS!$G$2:$CK$25,MATCH($E134,DEMANDS!$E$2:$E$25,0),FALSE)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AF134" s="18">
        <f>HLOOKUP(REG_TRA_DEMANDS!AF$3,'BY-Demands'!$J$5:$AK$14,MATCH($E134,'BY-Demands'!$I$5:$I$14,0),FALSE)*HLOOKUP(REG_TRA_DEMANDS!$F134,DEMANDS!$G$2:$CK$25,MATCH($E134,DEMANDS!$E$2:$E$25,0),FALSE)/HLOOKUP(2018,DEMANDS!$G$2:$CK$25,MATCH($E134,DEMANDS!$E$2:$E$25,0),FALSE)</f>
        <v>0</v>
      </c>
    </row>
    <row r="135" spans="4:32" ht="14.4">
      <c r="D135" t="s">
        <v>6</v>
      </c>
      <c r="E135" t="str">
        <f>DEMANDS!$E$21</f>
        <v>TTURS</v>
      </c>
      <c r="F135">
        <v>2055</v>
      </c>
      <c r="G135" s="18">
        <f>HLOOKUP(REG_TRA_DEMANDS!G$3,'BY-Demands'!$J$5:$AK$14,MATCH($E135,'BY-Demands'!$I$5:$I$14,0),FALSE)*HLOOKUP(REG_TRA_DEMANDS!$F135,DEMANDS!$G$2:$CK$25,MATCH($E135,DEMANDS!$E$2:$E$25,0),FALSE)/HLOOKUP(2018,DEMANDS!$G$2:$CK$25,MATCH($E135,DEMANDS!$E$2:$E$25,0),FALSE)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H135" s="18">
        <f>HLOOKUP(REG_TRA_DEMANDS!H$3,'BY-Demands'!$J$5:$AK$14,MATCH($E135,'BY-Demands'!$I$5:$I$14,0),FALSE)*HLOOKUP(REG_TRA_DEMANDS!$F135,DEMANDS!$G$2:$CK$25,MATCH($E135,DEMANDS!$E$2:$E$25,0),FALSE)/HLOOKUP(2018,DEMANDS!$G$2:$CK$25,MATCH($E135,DEMANDS!$E$2:$E$25,0),FALSE)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I135" s="18">
        <f>HLOOKUP(REG_TRA_DEMANDS!I$3,'BY-Demands'!$J$5:$AK$14,MATCH($E135,'BY-Demands'!$I$5:$I$14,0),FALSE)*HLOOKUP(REG_TRA_DEMANDS!$F135,DEMANDS!$G$2:$CK$25,MATCH($E135,DEMANDS!$E$2:$E$25,0),FALSE)/HLOOKUP(2018,DEMANDS!$G$2:$CK$25,MATCH($E135,DEMANDS!$E$2:$E$25,0),FALSE)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J135" s="18">
        <f>HLOOKUP(REG_TRA_DEMANDS!J$3,'BY-Demands'!$J$5:$AK$14,MATCH($E135,'BY-Demands'!$I$5:$I$14,0),FALSE)*HLOOKUP(REG_TRA_DEMANDS!$F135,DEMANDS!$G$2:$CK$25,MATCH($E135,DEMANDS!$E$2:$E$25,0),FALSE)/HLOOKUP(2018,DEMANDS!$G$2:$CK$25,MATCH($E135,DEMANDS!$E$2:$E$25,0),FALSE)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K135" s="18">
        <f>HLOOKUP(REG_TRA_DEMANDS!K$3,'BY-Demands'!$J$5:$AK$14,MATCH($E135,'BY-Demands'!$I$5:$I$14,0),FALSE)*HLOOKUP(REG_TRA_DEMANDS!$F135,DEMANDS!$G$2:$CK$25,MATCH($E135,DEMANDS!$E$2:$E$25,0),FALSE)/HLOOKUP(2018,DEMANDS!$G$2:$CK$25,MATCH($E135,DEMANDS!$E$2:$E$25,0),FALSE)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L135" s="18">
        <f>HLOOKUP(REG_TRA_DEMANDS!L$3,'BY-Demands'!$J$5:$AK$14,MATCH($E135,'BY-Demands'!$I$5:$I$14,0),FALSE)*HLOOKUP(REG_TRA_DEMANDS!$F135,DEMANDS!$G$2:$CK$25,MATCH($E135,DEMANDS!$E$2:$E$25,0),FALSE)/HLOOKUP(2018,DEMANDS!$G$2:$CK$25,MATCH($E135,DEMANDS!$E$2:$E$25,0),FALSE)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M135" s="18">
        <f>HLOOKUP(REG_TRA_DEMANDS!M$3,'BY-Demands'!$J$5:$AK$14,MATCH($E135,'BY-Demands'!$I$5:$I$14,0),FALSE)*HLOOKUP(REG_TRA_DEMANDS!$F135,DEMANDS!$G$2:$CK$25,MATCH($E135,DEMANDS!$E$2:$E$25,0),FALSE)/HLOOKUP(2018,DEMANDS!$G$2:$CK$25,MATCH($E135,DEMANDS!$E$2:$E$25,0),FALSE)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N135" s="18">
        <f>HLOOKUP(REG_TRA_DEMANDS!N$3,'BY-Demands'!$J$5:$AK$14,MATCH($E135,'BY-Demands'!$I$5:$I$14,0),FALSE)*HLOOKUP(REG_TRA_DEMANDS!$F135,DEMANDS!$G$2:$CK$25,MATCH($E135,DEMANDS!$E$2:$E$25,0),FALSE)/HLOOKUP(2018,DEMANDS!$G$2:$CK$25,MATCH($E135,DEMANDS!$E$2:$E$25,0),FALSE)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O135" s="18">
        <f>HLOOKUP(REG_TRA_DEMANDS!O$3,'BY-Demands'!$J$5:$AK$14,MATCH($E135,'BY-Demands'!$I$5:$I$14,0),FALSE)*HLOOKUP(REG_TRA_DEMANDS!$F135,DEMANDS!$G$2:$CK$25,MATCH($E135,DEMANDS!$E$2:$E$25,0),FALSE)/HLOOKUP(2018,DEMANDS!$G$2:$CK$25,MATCH($E135,DEMANDS!$E$2:$E$25,0),FALSE)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P135" s="18">
        <f>HLOOKUP(REG_TRA_DEMANDS!P$3,'BY-Demands'!$J$5:$AK$14,MATCH($E135,'BY-Demands'!$I$5:$I$14,0),FALSE)*HLOOKUP(REG_TRA_DEMANDS!$F135,DEMANDS!$G$2:$CK$25,MATCH($E135,DEMANDS!$E$2:$E$25,0),FALSE)/HLOOKUP(2018,DEMANDS!$G$2:$CK$25,MATCH($E135,DEMANDS!$E$2:$E$25,0),FALSE)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Q135" s="18">
        <f>HLOOKUP(REG_TRA_DEMANDS!Q$3,'BY-Demands'!$J$5:$AK$14,MATCH($E135,'BY-Demands'!$I$5:$I$14,0),FALSE)*HLOOKUP(REG_TRA_DEMANDS!$F135,DEMANDS!$G$2:$CK$25,MATCH($E135,DEMANDS!$E$2:$E$25,0),FALSE)/HLOOKUP(2018,DEMANDS!$G$2:$CK$25,MATCH($E135,DEMANDS!$E$2:$E$25,0),FALSE)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R135" s="18">
        <f>HLOOKUP(REG_TRA_DEMANDS!R$3,'BY-Demands'!$J$5:$AK$14,MATCH($E135,'BY-Demands'!$I$5:$I$14,0),FALSE)*HLOOKUP(REG_TRA_DEMANDS!$F135,DEMANDS!$G$2:$CK$25,MATCH($E135,DEMANDS!$E$2:$E$25,0),FALSE)/HLOOKUP(2018,DEMANDS!$G$2:$CK$25,MATCH($E135,DEMANDS!$E$2:$E$25,0),FALSE)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S135" s="18">
        <f>HLOOKUP(REG_TRA_DEMANDS!S$3,'BY-Demands'!$J$5:$AK$14,MATCH($E135,'BY-Demands'!$I$5:$I$14,0),FALSE)*HLOOKUP(REG_TRA_DEMANDS!$F135,DEMANDS!$G$2:$CK$25,MATCH($E135,DEMANDS!$E$2:$E$25,0),FALSE)/HLOOKUP(2018,DEMANDS!$G$2:$CK$25,MATCH($E135,DEMANDS!$E$2:$E$25,0),FALSE)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T135" s="18">
        <f>HLOOKUP(REG_TRA_DEMANDS!T$3,'BY-Demands'!$J$5:$AK$14,MATCH($E135,'BY-Demands'!$I$5:$I$14,0),FALSE)*HLOOKUP(REG_TRA_DEMANDS!$F135,DEMANDS!$G$2:$CK$25,MATCH($E135,DEMANDS!$E$2:$E$25,0),FALSE)/HLOOKUP(2018,DEMANDS!$G$2:$CK$25,MATCH($E135,DEMANDS!$E$2:$E$25,0),FALSE)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U135" s="18">
        <f>HLOOKUP(REG_TRA_DEMANDS!U$3,'BY-Demands'!$J$5:$AK$14,MATCH($E135,'BY-Demands'!$I$5:$I$14,0),FALSE)*HLOOKUP(REG_TRA_DEMANDS!$F135,DEMANDS!$G$2:$CK$25,MATCH($E135,DEMANDS!$E$2:$E$25,0),FALSE)/HLOOKUP(2018,DEMANDS!$G$2:$CK$25,MATCH($E135,DEMANDS!$E$2:$E$25,0),FALSE)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V135" s="18">
        <f>HLOOKUP(REG_TRA_DEMANDS!V$3,'BY-Demands'!$J$5:$AK$14,MATCH($E135,'BY-Demands'!$I$5:$I$14,0),FALSE)*HLOOKUP(REG_TRA_DEMANDS!$F135,DEMANDS!$G$2:$CK$25,MATCH($E135,DEMANDS!$E$2:$E$25,0),FALSE)/HLOOKUP(2018,DEMANDS!$G$2:$CK$25,MATCH($E135,DEMANDS!$E$2:$E$25,0),FALSE)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W135" s="18">
        <f>HLOOKUP(REG_TRA_DEMANDS!W$3,'BY-Demands'!$J$5:$AK$14,MATCH($E135,'BY-Demands'!$I$5:$I$14,0),FALSE)*HLOOKUP(REG_TRA_DEMANDS!$F135,DEMANDS!$G$2:$CK$25,MATCH($E135,DEMANDS!$E$2:$E$25,0),FALSE)/HLOOKUP(2018,DEMANDS!$G$2:$CK$25,MATCH($E135,DEMANDS!$E$2:$E$25,0),FALSE)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X135" s="18">
        <f>HLOOKUP(REG_TRA_DEMANDS!X$3,'BY-Demands'!$J$5:$AK$14,MATCH($E135,'BY-Demands'!$I$5:$I$14,0),FALSE)*HLOOKUP(REG_TRA_DEMANDS!$F135,DEMANDS!$G$2:$CK$25,MATCH($E135,DEMANDS!$E$2:$E$25,0),FALSE)/HLOOKUP(2018,DEMANDS!$G$2:$CK$25,MATCH($E135,DEMANDS!$E$2:$E$25,0),FALSE)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Y135" s="18">
        <f>HLOOKUP(REG_TRA_DEMANDS!Y$3,'BY-Demands'!$J$5:$AK$14,MATCH($E135,'BY-Demands'!$I$5:$I$14,0),FALSE)*HLOOKUP(REG_TRA_DEMANDS!$F135,DEMANDS!$G$2:$CK$25,MATCH($E135,DEMANDS!$E$2:$E$25,0),FALSE)/HLOOKUP(2018,DEMANDS!$G$2:$CK$25,MATCH($E135,DEMANDS!$E$2:$E$25,0),FALSE)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Z135" s="18">
        <f>HLOOKUP(REG_TRA_DEMANDS!Z$3,'BY-Demands'!$J$5:$AK$14,MATCH($E135,'BY-Demands'!$I$5:$I$14,0),FALSE)*HLOOKUP(REG_TRA_DEMANDS!$F135,DEMANDS!$G$2:$CK$25,MATCH($E135,DEMANDS!$E$2:$E$25,0),FALSE)/HLOOKUP(2018,DEMANDS!$G$2:$CK$25,MATCH($E135,DEMANDS!$E$2:$E$25,0),FALSE)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AA135" s="18">
        <f>HLOOKUP(REG_TRA_DEMANDS!AA$3,'BY-Demands'!$J$5:$AK$14,MATCH($E135,'BY-Demands'!$I$5:$I$14,0),FALSE)*HLOOKUP(REG_TRA_DEMANDS!$F135,DEMANDS!$G$2:$CK$25,MATCH($E135,DEMANDS!$E$2:$E$25,0),FALSE)/HLOOKUP(2018,DEMANDS!$G$2:$CK$25,MATCH($E135,DEMANDS!$E$2:$E$25,0),FALSE)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AB135" s="18">
        <f>HLOOKUP(REG_TRA_DEMANDS!AB$3,'BY-Demands'!$J$5:$AK$14,MATCH($E135,'BY-Demands'!$I$5:$I$14,0),FALSE)*HLOOKUP(REG_TRA_DEMANDS!$F135,DEMANDS!$G$2:$CK$25,MATCH($E135,DEMANDS!$E$2:$E$25,0),FALSE)/HLOOKUP(2018,DEMANDS!$G$2:$CK$25,MATCH($E135,DEMANDS!$E$2:$E$25,0),FALSE)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AC135" s="18">
        <f>HLOOKUP(REG_TRA_DEMANDS!AC$3,'BY-Demands'!$J$5:$AK$14,MATCH($E135,'BY-Demands'!$I$5:$I$14,0),FALSE)*HLOOKUP(REG_TRA_DEMANDS!$F135,DEMANDS!$G$2:$CK$25,MATCH($E135,DEMANDS!$E$2:$E$25,0),FALSE)/HLOOKUP(2018,DEMANDS!$G$2:$CK$25,MATCH($E135,DEMANDS!$E$2:$E$25,0),FALSE)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AD135" s="18">
        <f>HLOOKUP(REG_TRA_DEMANDS!AD$3,'BY-Demands'!$J$5:$AK$14,MATCH($E135,'BY-Demands'!$I$5:$I$14,0),FALSE)*HLOOKUP(REG_TRA_DEMANDS!$F135,DEMANDS!$G$2:$CK$25,MATCH($E135,DEMANDS!$E$2:$E$25,0),FALSE)/HLOOKUP(2018,DEMANDS!$G$2:$CK$25,MATCH($E135,DEMANDS!$E$2:$E$25,0),FALSE)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AE135" s="18">
        <f>HLOOKUP(REG_TRA_DEMANDS!AE$3,'BY-Demands'!$J$5:$AK$14,MATCH($E135,'BY-Demands'!$I$5:$I$14,0),FALSE)*HLOOKUP(REG_TRA_DEMANDS!$F135,DEMANDS!$G$2:$CK$25,MATCH($E135,DEMANDS!$E$2:$E$25,0),FALSE)/HLOOKUP(2018,DEMANDS!$G$2:$CK$25,MATCH($E135,DEMANDS!$E$2:$E$25,0),FALSE)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AF135" s="18">
        <f>HLOOKUP(REG_TRA_DEMANDS!AF$3,'BY-Demands'!$J$5:$AK$14,MATCH($E135,'BY-Demands'!$I$5:$I$14,0),FALSE)*HLOOKUP(REG_TRA_DEMANDS!$F135,DEMANDS!$G$2:$CK$25,MATCH($E135,DEMANDS!$E$2:$E$25,0),FALSE)/HLOOKUP(2018,DEMANDS!$G$2:$CK$25,MATCH($E135,DEMANDS!$E$2:$E$25,0),FALSE)</f>
        <v>0</v>
      </c>
    </row>
    <row r="136" spans="4:32" ht="14.4">
      <c r="D136" t="s">
        <v>6</v>
      </c>
      <c r="E136" t="str">
        <f>DEMANDS!$E$21</f>
        <v>TTURS</v>
      </c>
      <c r="F136">
        <v>2060</v>
      </c>
      <c r="G136" s="18">
        <f>HLOOKUP(REG_TRA_DEMANDS!G$3,'BY-Demands'!$J$5:$AK$14,MATCH($E136,'BY-Demands'!$I$5:$I$14,0),FALSE)*HLOOKUP(REG_TRA_DEMANDS!$F136,DEMANDS!$G$2:$CK$25,MATCH($E136,DEMANDS!$E$2:$E$25,0),FALSE)/HLOOKUP(2018,DEMANDS!$G$2:$CK$25,MATCH($E136,DEMANDS!$E$2:$E$25,0),FALSE)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H136" s="18">
        <f>HLOOKUP(REG_TRA_DEMANDS!H$3,'BY-Demands'!$J$5:$AK$14,MATCH($E136,'BY-Demands'!$I$5:$I$14,0),FALSE)*HLOOKUP(REG_TRA_DEMANDS!$F136,DEMANDS!$G$2:$CK$25,MATCH($E136,DEMANDS!$E$2:$E$25,0),FALSE)/HLOOKUP(2018,DEMANDS!$G$2:$CK$25,MATCH($E136,DEMANDS!$E$2:$E$25,0),FALSE)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I136" s="18">
        <f>HLOOKUP(REG_TRA_DEMANDS!I$3,'BY-Demands'!$J$5:$AK$14,MATCH($E136,'BY-Demands'!$I$5:$I$14,0),FALSE)*HLOOKUP(REG_TRA_DEMANDS!$F136,DEMANDS!$G$2:$CK$25,MATCH($E136,DEMANDS!$E$2:$E$25,0),FALSE)/HLOOKUP(2018,DEMANDS!$G$2:$CK$25,MATCH($E136,DEMANDS!$E$2:$E$25,0),FALSE)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J136" s="18">
        <f>HLOOKUP(REG_TRA_DEMANDS!J$3,'BY-Demands'!$J$5:$AK$14,MATCH($E136,'BY-Demands'!$I$5:$I$14,0),FALSE)*HLOOKUP(REG_TRA_DEMANDS!$F136,DEMANDS!$G$2:$CK$25,MATCH($E136,DEMANDS!$E$2:$E$25,0),FALSE)/HLOOKUP(2018,DEMANDS!$G$2:$CK$25,MATCH($E136,DEMANDS!$E$2:$E$25,0),FALSE)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K136" s="18">
        <f>HLOOKUP(REG_TRA_DEMANDS!K$3,'BY-Demands'!$J$5:$AK$14,MATCH($E136,'BY-Demands'!$I$5:$I$14,0),FALSE)*HLOOKUP(REG_TRA_DEMANDS!$F136,DEMANDS!$G$2:$CK$25,MATCH($E136,DEMANDS!$E$2:$E$25,0),FALSE)/HLOOKUP(2018,DEMANDS!$G$2:$CK$25,MATCH($E136,DEMANDS!$E$2:$E$25,0),FALSE)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L136" s="18">
        <f>HLOOKUP(REG_TRA_DEMANDS!L$3,'BY-Demands'!$J$5:$AK$14,MATCH($E136,'BY-Demands'!$I$5:$I$14,0),FALSE)*HLOOKUP(REG_TRA_DEMANDS!$F136,DEMANDS!$G$2:$CK$25,MATCH($E136,DEMANDS!$E$2:$E$25,0),FALSE)/HLOOKUP(2018,DEMANDS!$G$2:$CK$25,MATCH($E136,DEMANDS!$E$2:$E$25,0),FALSE)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M136" s="18">
        <f>HLOOKUP(REG_TRA_DEMANDS!M$3,'BY-Demands'!$J$5:$AK$14,MATCH($E136,'BY-Demands'!$I$5:$I$14,0),FALSE)*HLOOKUP(REG_TRA_DEMANDS!$F136,DEMANDS!$G$2:$CK$25,MATCH($E136,DEMANDS!$E$2:$E$25,0),FALSE)/HLOOKUP(2018,DEMANDS!$G$2:$CK$25,MATCH($E136,DEMANDS!$E$2:$E$25,0),FALSE)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N136" s="18">
        <f>HLOOKUP(REG_TRA_DEMANDS!N$3,'BY-Demands'!$J$5:$AK$14,MATCH($E136,'BY-Demands'!$I$5:$I$14,0),FALSE)*HLOOKUP(REG_TRA_DEMANDS!$F136,DEMANDS!$G$2:$CK$25,MATCH($E136,DEMANDS!$E$2:$E$25,0),FALSE)/HLOOKUP(2018,DEMANDS!$G$2:$CK$25,MATCH($E136,DEMANDS!$E$2:$E$25,0),FALSE)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O136" s="18">
        <f>HLOOKUP(REG_TRA_DEMANDS!O$3,'BY-Demands'!$J$5:$AK$14,MATCH($E136,'BY-Demands'!$I$5:$I$14,0),FALSE)*HLOOKUP(REG_TRA_DEMANDS!$F136,DEMANDS!$G$2:$CK$25,MATCH($E136,DEMANDS!$E$2:$E$25,0),FALSE)/HLOOKUP(2018,DEMANDS!$G$2:$CK$25,MATCH($E136,DEMANDS!$E$2:$E$25,0),FALSE)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P136" s="18">
        <f>HLOOKUP(REG_TRA_DEMANDS!P$3,'BY-Demands'!$J$5:$AK$14,MATCH($E136,'BY-Demands'!$I$5:$I$14,0),FALSE)*HLOOKUP(REG_TRA_DEMANDS!$F136,DEMANDS!$G$2:$CK$25,MATCH($E136,DEMANDS!$E$2:$E$25,0),FALSE)/HLOOKUP(2018,DEMANDS!$G$2:$CK$25,MATCH($E136,DEMANDS!$E$2:$E$25,0),FALSE)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Q136" s="18">
        <f>HLOOKUP(REG_TRA_DEMANDS!Q$3,'BY-Demands'!$J$5:$AK$14,MATCH($E136,'BY-Demands'!$I$5:$I$14,0),FALSE)*HLOOKUP(REG_TRA_DEMANDS!$F136,DEMANDS!$G$2:$CK$25,MATCH($E136,DEMANDS!$E$2:$E$25,0),FALSE)/HLOOKUP(2018,DEMANDS!$G$2:$CK$25,MATCH($E136,DEMANDS!$E$2:$E$25,0),FALSE)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R136" s="18">
        <f>HLOOKUP(REG_TRA_DEMANDS!R$3,'BY-Demands'!$J$5:$AK$14,MATCH($E136,'BY-Demands'!$I$5:$I$14,0),FALSE)*HLOOKUP(REG_TRA_DEMANDS!$F136,DEMANDS!$G$2:$CK$25,MATCH($E136,DEMANDS!$E$2:$E$25,0),FALSE)/HLOOKUP(2018,DEMANDS!$G$2:$CK$25,MATCH($E136,DEMANDS!$E$2:$E$25,0),FALSE)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S136" s="18">
        <f>HLOOKUP(REG_TRA_DEMANDS!S$3,'BY-Demands'!$J$5:$AK$14,MATCH($E136,'BY-Demands'!$I$5:$I$14,0),FALSE)*HLOOKUP(REG_TRA_DEMANDS!$F136,DEMANDS!$G$2:$CK$25,MATCH($E136,DEMANDS!$E$2:$E$25,0),FALSE)/HLOOKUP(2018,DEMANDS!$G$2:$CK$25,MATCH($E136,DEMANDS!$E$2:$E$25,0),FALSE)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T136" s="18">
        <f>HLOOKUP(REG_TRA_DEMANDS!T$3,'BY-Demands'!$J$5:$AK$14,MATCH($E136,'BY-Demands'!$I$5:$I$14,0),FALSE)*HLOOKUP(REG_TRA_DEMANDS!$F136,DEMANDS!$G$2:$CK$25,MATCH($E136,DEMANDS!$E$2:$E$25,0),FALSE)/HLOOKUP(2018,DEMANDS!$G$2:$CK$25,MATCH($E136,DEMANDS!$E$2:$E$25,0),FALSE)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U136" s="18">
        <f>HLOOKUP(REG_TRA_DEMANDS!U$3,'BY-Demands'!$J$5:$AK$14,MATCH($E136,'BY-Demands'!$I$5:$I$14,0),FALSE)*HLOOKUP(REG_TRA_DEMANDS!$F136,DEMANDS!$G$2:$CK$25,MATCH($E136,DEMANDS!$E$2:$E$25,0),FALSE)/HLOOKUP(2018,DEMANDS!$G$2:$CK$25,MATCH($E136,DEMANDS!$E$2:$E$25,0),FALSE)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V136" s="18">
        <f>HLOOKUP(REG_TRA_DEMANDS!V$3,'BY-Demands'!$J$5:$AK$14,MATCH($E136,'BY-Demands'!$I$5:$I$14,0),FALSE)*HLOOKUP(REG_TRA_DEMANDS!$F136,DEMANDS!$G$2:$CK$25,MATCH($E136,DEMANDS!$E$2:$E$25,0),FALSE)/HLOOKUP(2018,DEMANDS!$G$2:$CK$25,MATCH($E136,DEMANDS!$E$2:$E$25,0),FALSE)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W136" s="18">
        <f>HLOOKUP(REG_TRA_DEMANDS!W$3,'BY-Demands'!$J$5:$AK$14,MATCH($E136,'BY-Demands'!$I$5:$I$14,0),FALSE)*HLOOKUP(REG_TRA_DEMANDS!$F136,DEMANDS!$G$2:$CK$25,MATCH($E136,DEMANDS!$E$2:$E$25,0),FALSE)/HLOOKUP(2018,DEMANDS!$G$2:$CK$25,MATCH($E136,DEMANDS!$E$2:$E$25,0),FALSE)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X136" s="18">
        <f>HLOOKUP(REG_TRA_DEMANDS!X$3,'BY-Demands'!$J$5:$AK$14,MATCH($E136,'BY-Demands'!$I$5:$I$14,0),FALSE)*HLOOKUP(REG_TRA_DEMANDS!$F136,DEMANDS!$G$2:$CK$25,MATCH($E136,DEMANDS!$E$2:$E$25,0),FALSE)/HLOOKUP(2018,DEMANDS!$G$2:$CK$25,MATCH($E136,DEMANDS!$E$2:$E$25,0),FALSE)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Y136" s="18">
        <f>HLOOKUP(REG_TRA_DEMANDS!Y$3,'BY-Demands'!$J$5:$AK$14,MATCH($E136,'BY-Demands'!$I$5:$I$14,0),FALSE)*HLOOKUP(REG_TRA_DEMANDS!$F136,DEMANDS!$G$2:$CK$25,MATCH($E136,DEMANDS!$E$2:$E$25,0),FALSE)/HLOOKUP(2018,DEMANDS!$G$2:$CK$25,MATCH($E136,DEMANDS!$E$2:$E$25,0),FALSE)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Z136" s="18">
        <f>HLOOKUP(REG_TRA_DEMANDS!Z$3,'BY-Demands'!$J$5:$AK$14,MATCH($E136,'BY-Demands'!$I$5:$I$14,0),FALSE)*HLOOKUP(REG_TRA_DEMANDS!$F136,DEMANDS!$G$2:$CK$25,MATCH($E136,DEMANDS!$E$2:$E$25,0),FALSE)/HLOOKUP(2018,DEMANDS!$G$2:$CK$25,MATCH($E136,DEMANDS!$E$2:$E$25,0),FALSE)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AA136" s="18">
        <f>HLOOKUP(REG_TRA_DEMANDS!AA$3,'BY-Demands'!$J$5:$AK$14,MATCH($E136,'BY-Demands'!$I$5:$I$14,0),FALSE)*HLOOKUP(REG_TRA_DEMANDS!$F136,DEMANDS!$G$2:$CK$25,MATCH($E136,DEMANDS!$E$2:$E$25,0),FALSE)/HLOOKUP(2018,DEMANDS!$G$2:$CK$25,MATCH($E136,DEMANDS!$E$2:$E$25,0),FALSE)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AB136" s="18">
        <f>HLOOKUP(REG_TRA_DEMANDS!AB$3,'BY-Demands'!$J$5:$AK$14,MATCH($E136,'BY-Demands'!$I$5:$I$14,0),FALSE)*HLOOKUP(REG_TRA_DEMANDS!$F136,DEMANDS!$G$2:$CK$25,MATCH($E136,DEMANDS!$E$2:$E$25,0),FALSE)/HLOOKUP(2018,DEMANDS!$G$2:$CK$25,MATCH($E136,DEMANDS!$E$2:$E$25,0),FALSE)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AC136" s="18">
        <f>HLOOKUP(REG_TRA_DEMANDS!AC$3,'BY-Demands'!$J$5:$AK$14,MATCH($E136,'BY-Demands'!$I$5:$I$14,0),FALSE)*HLOOKUP(REG_TRA_DEMANDS!$F136,DEMANDS!$G$2:$CK$25,MATCH($E136,DEMANDS!$E$2:$E$25,0),FALSE)/HLOOKUP(2018,DEMANDS!$G$2:$CK$25,MATCH($E136,DEMANDS!$E$2:$E$25,0),FALSE)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AD136" s="18">
        <f>HLOOKUP(REG_TRA_DEMANDS!AD$3,'BY-Demands'!$J$5:$AK$14,MATCH($E136,'BY-Demands'!$I$5:$I$14,0),FALSE)*HLOOKUP(REG_TRA_DEMANDS!$F136,DEMANDS!$G$2:$CK$25,MATCH($E136,DEMANDS!$E$2:$E$25,0),FALSE)/HLOOKUP(2018,DEMANDS!$G$2:$CK$25,MATCH($E136,DEMANDS!$E$2:$E$25,0),FALSE)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AE136" s="18">
        <f>HLOOKUP(REG_TRA_DEMANDS!AE$3,'BY-Demands'!$J$5:$AK$14,MATCH($E136,'BY-Demands'!$I$5:$I$14,0),FALSE)*HLOOKUP(REG_TRA_DEMANDS!$F136,DEMANDS!$G$2:$CK$25,MATCH($E136,DEMANDS!$E$2:$E$25,0),FALSE)/HLOOKUP(2018,DEMANDS!$G$2:$CK$25,MATCH($E136,DEMANDS!$E$2:$E$25,0),FALSE)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AF136" s="18">
        <f>HLOOKUP(REG_TRA_DEMANDS!AF$3,'BY-Demands'!$J$5:$AK$14,MATCH($E136,'BY-Demands'!$I$5:$I$14,0),FALSE)*HLOOKUP(REG_TRA_DEMANDS!$F136,DEMANDS!$G$2:$CK$25,MATCH($E136,DEMANDS!$E$2:$E$25,0),FALSE)/HLOOKUP(2018,DEMANDS!$G$2:$CK$25,MATCH($E136,DEMANDS!$E$2:$E$25,0),FALSE)</f>
        <v>0</v>
      </c>
    </row>
    <row r="137" spans="4:32" ht="14.4">
      <c r="D137" t="s">
        <v>6</v>
      </c>
      <c r="E137" t="str">
        <f>DEMANDS!$E$21</f>
        <v>TTURS</v>
      </c>
      <c r="F137">
        <v>2065</v>
      </c>
      <c r="G137" s="18">
        <f>HLOOKUP(REG_TRA_DEMANDS!G$3,'BY-Demands'!$J$5:$AK$14,MATCH($E137,'BY-Demands'!$I$5:$I$14,0),FALSE)*HLOOKUP(REG_TRA_DEMANDS!$F137,DEMANDS!$G$2:$CK$25,MATCH($E137,DEMANDS!$E$2:$E$25,0),FALSE)/HLOOKUP(2018,DEMANDS!$G$2:$CK$25,MATCH($E137,DEMANDS!$E$2:$E$25,0),FALSE)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H137" s="18">
        <f>HLOOKUP(REG_TRA_DEMANDS!H$3,'BY-Demands'!$J$5:$AK$14,MATCH($E137,'BY-Demands'!$I$5:$I$14,0),FALSE)*HLOOKUP(REG_TRA_DEMANDS!$F137,DEMANDS!$G$2:$CK$25,MATCH($E137,DEMANDS!$E$2:$E$25,0),FALSE)/HLOOKUP(2018,DEMANDS!$G$2:$CK$25,MATCH($E137,DEMANDS!$E$2:$E$25,0),FALSE)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I137" s="18">
        <f>HLOOKUP(REG_TRA_DEMANDS!I$3,'BY-Demands'!$J$5:$AK$14,MATCH($E137,'BY-Demands'!$I$5:$I$14,0),FALSE)*HLOOKUP(REG_TRA_DEMANDS!$F137,DEMANDS!$G$2:$CK$25,MATCH($E137,DEMANDS!$E$2:$E$25,0),FALSE)/HLOOKUP(2018,DEMANDS!$G$2:$CK$25,MATCH($E137,DEMANDS!$E$2:$E$25,0),FALSE)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J137" s="18">
        <f>HLOOKUP(REG_TRA_DEMANDS!J$3,'BY-Demands'!$J$5:$AK$14,MATCH($E137,'BY-Demands'!$I$5:$I$14,0),FALSE)*HLOOKUP(REG_TRA_DEMANDS!$F137,DEMANDS!$G$2:$CK$25,MATCH($E137,DEMANDS!$E$2:$E$25,0),FALSE)/HLOOKUP(2018,DEMANDS!$G$2:$CK$25,MATCH($E137,DEMANDS!$E$2:$E$25,0),FALSE)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K137" s="18">
        <f>HLOOKUP(REG_TRA_DEMANDS!K$3,'BY-Demands'!$J$5:$AK$14,MATCH($E137,'BY-Demands'!$I$5:$I$14,0),FALSE)*HLOOKUP(REG_TRA_DEMANDS!$F137,DEMANDS!$G$2:$CK$25,MATCH($E137,DEMANDS!$E$2:$E$25,0),FALSE)/HLOOKUP(2018,DEMANDS!$G$2:$CK$25,MATCH($E137,DEMANDS!$E$2:$E$25,0),FALSE)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L137" s="18">
        <f>HLOOKUP(REG_TRA_DEMANDS!L$3,'BY-Demands'!$J$5:$AK$14,MATCH($E137,'BY-Demands'!$I$5:$I$14,0),FALSE)*HLOOKUP(REG_TRA_DEMANDS!$F137,DEMANDS!$G$2:$CK$25,MATCH($E137,DEMANDS!$E$2:$E$25,0),FALSE)/HLOOKUP(2018,DEMANDS!$G$2:$CK$25,MATCH($E137,DEMANDS!$E$2:$E$25,0),FALSE)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M137" s="18">
        <f>HLOOKUP(REG_TRA_DEMANDS!M$3,'BY-Demands'!$J$5:$AK$14,MATCH($E137,'BY-Demands'!$I$5:$I$14,0),FALSE)*HLOOKUP(REG_TRA_DEMANDS!$F137,DEMANDS!$G$2:$CK$25,MATCH($E137,DEMANDS!$E$2:$E$25,0),FALSE)/HLOOKUP(2018,DEMANDS!$G$2:$CK$25,MATCH($E137,DEMANDS!$E$2:$E$25,0),FALSE)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N137" s="18">
        <f>HLOOKUP(REG_TRA_DEMANDS!N$3,'BY-Demands'!$J$5:$AK$14,MATCH($E137,'BY-Demands'!$I$5:$I$14,0),FALSE)*HLOOKUP(REG_TRA_DEMANDS!$F137,DEMANDS!$G$2:$CK$25,MATCH($E137,DEMANDS!$E$2:$E$25,0),FALSE)/HLOOKUP(2018,DEMANDS!$G$2:$CK$25,MATCH($E137,DEMANDS!$E$2:$E$25,0),FALSE)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O137" s="18">
        <f>HLOOKUP(REG_TRA_DEMANDS!O$3,'BY-Demands'!$J$5:$AK$14,MATCH($E137,'BY-Demands'!$I$5:$I$14,0),FALSE)*HLOOKUP(REG_TRA_DEMANDS!$F137,DEMANDS!$G$2:$CK$25,MATCH($E137,DEMANDS!$E$2:$E$25,0),FALSE)/HLOOKUP(2018,DEMANDS!$G$2:$CK$25,MATCH($E137,DEMANDS!$E$2:$E$25,0),FALSE)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P137" s="18">
        <f>HLOOKUP(REG_TRA_DEMANDS!P$3,'BY-Demands'!$J$5:$AK$14,MATCH($E137,'BY-Demands'!$I$5:$I$14,0),FALSE)*HLOOKUP(REG_TRA_DEMANDS!$F137,DEMANDS!$G$2:$CK$25,MATCH($E137,DEMANDS!$E$2:$E$25,0),FALSE)/HLOOKUP(2018,DEMANDS!$G$2:$CK$25,MATCH($E137,DEMANDS!$E$2:$E$25,0),FALSE)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Q137" s="18">
        <f>HLOOKUP(REG_TRA_DEMANDS!Q$3,'BY-Demands'!$J$5:$AK$14,MATCH($E137,'BY-Demands'!$I$5:$I$14,0),FALSE)*HLOOKUP(REG_TRA_DEMANDS!$F137,DEMANDS!$G$2:$CK$25,MATCH($E137,DEMANDS!$E$2:$E$25,0),FALSE)/HLOOKUP(2018,DEMANDS!$G$2:$CK$25,MATCH($E137,DEMANDS!$E$2:$E$25,0),FALSE)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R137" s="18">
        <f>HLOOKUP(REG_TRA_DEMANDS!R$3,'BY-Demands'!$J$5:$AK$14,MATCH($E137,'BY-Demands'!$I$5:$I$14,0),FALSE)*HLOOKUP(REG_TRA_DEMANDS!$F137,DEMANDS!$G$2:$CK$25,MATCH($E137,DEMANDS!$E$2:$E$25,0),FALSE)/HLOOKUP(2018,DEMANDS!$G$2:$CK$25,MATCH($E137,DEMANDS!$E$2:$E$25,0),FALSE)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S137" s="18">
        <f>HLOOKUP(REG_TRA_DEMANDS!S$3,'BY-Demands'!$J$5:$AK$14,MATCH($E137,'BY-Demands'!$I$5:$I$14,0),FALSE)*HLOOKUP(REG_TRA_DEMANDS!$F137,DEMANDS!$G$2:$CK$25,MATCH($E137,DEMANDS!$E$2:$E$25,0),FALSE)/HLOOKUP(2018,DEMANDS!$G$2:$CK$25,MATCH($E137,DEMANDS!$E$2:$E$25,0),FALSE)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T137" s="18">
        <f>HLOOKUP(REG_TRA_DEMANDS!T$3,'BY-Demands'!$J$5:$AK$14,MATCH($E137,'BY-Demands'!$I$5:$I$14,0),FALSE)*HLOOKUP(REG_TRA_DEMANDS!$F137,DEMANDS!$G$2:$CK$25,MATCH($E137,DEMANDS!$E$2:$E$25,0),FALSE)/HLOOKUP(2018,DEMANDS!$G$2:$CK$25,MATCH($E137,DEMANDS!$E$2:$E$25,0),FALSE)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U137" s="18">
        <f>HLOOKUP(REG_TRA_DEMANDS!U$3,'BY-Demands'!$J$5:$AK$14,MATCH($E137,'BY-Demands'!$I$5:$I$14,0),FALSE)*HLOOKUP(REG_TRA_DEMANDS!$F137,DEMANDS!$G$2:$CK$25,MATCH($E137,DEMANDS!$E$2:$E$25,0),FALSE)/HLOOKUP(2018,DEMANDS!$G$2:$CK$25,MATCH($E137,DEMANDS!$E$2:$E$25,0),FALSE)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V137" s="18">
        <f>HLOOKUP(REG_TRA_DEMANDS!V$3,'BY-Demands'!$J$5:$AK$14,MATCH($E137,'BY-Demands'!$I$5:$I$14,0),FALSE)*HLOOKUP(REG_TRA_DEMANDS!$F137,DEMANDS!$G$2:$CK$25,MATCH($E137,DEMANDS!$E$2:$E$25,0),FALSE)/HLOOKUP(2018,DEMANDS!$G$2:$CK$25,MATCH($E137,DEMANDS!$E$2:$E$25,0),FALSE)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W137" s="18">
        <f>HLOOKUP(REG_TRA_DEMANDS!W$3,'BY-Demands'!$J$5:$AK$14,MATCH($E137,'BY-Demands'!$I$5:$I$14,0),FALSE)*HLOOKUP(REG_TRA_DEMANDS!$F137,DEMANDS!$G$2:$CK$25,MATCH($E137,DEMANDS!$E$2:$E$25,0),FALSE)/HLOOKUP(2018,DEMANDS!$G$2:$CK$25,MATCH($E137,DEMANDS!$E$2:$E$25,0),FALSE)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X137" s="18">
        <f>HLOOKUP(REG_TRA_DEMANDS!X$3,'BY-Demands'!$J$5:$AK$14,MATCH($E137,'BY-Demands'!$I$5:$I$14,0),FALSE)*HLOOKUP(REG_TRA_DEMANDS!$F137,DEMANDS!$G$2:$CK$25,MATCH($E137,DEMANDS!$E$2:$E$25,0),FALSE)/HLOOKUP(2018,DEMANDS!$G$2:$CK$25,MATCH($E137,DEMANDS!$E$2:$E$25,0),FALSE)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Y137" s="18">
        <f>HLOOKUP(REG_TRA_DEMANDS!Y$3,'BY-Demands'!$J$5:$AK$14,MATCH($E137,'BY-Demands'!$I$5:$I$14,0),FALSE)*HLOOKUP(REG_TRA_DEMANDS!$F137,DEMANDS!$G$2:$CK$25,MATCH($E137,DEMANDS!$E$2:$E$25,0),FALSE)/HLOOKUP(2018,DEMANDS!$G$2:$CK$25,MATCH($E137,DEMANDS!$E$2:$E$25,0),FALSE)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Z137" s="18">
        <f>HLOOKUP(REG_TRA_DEMANDS!Z$3,'BY-Demands'!$J$5:$AK$14,MATCH($E137,'BY-Demands'!$I$5:$I$14,0),FALSE)*HLOOKUP(REG_TRA_DEMANDS!$F137,DEMANDS!$G$2:$CK$25,MATCH($E137,DEMANDS!$E$2:$E$25,0),FALSE)/HLOOKUP(2018,DEMANDS!$G$2:$CK$25,MATCH($E137,DEMANDS!$E$2:$E$25,0),FALSE)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AA137" s="18">
        <f>HLOOKUP(REG_TRA_DEMANDS!AA$3,'BY-Demands'!$J$5:$AK$14,MATCH($E137,'BY-Demands'!$I$5:$I$14,0),FALSE)*HLOOKUP(REG_TRA_DEMANDS!$F137,DEMANDS!$G$2:$CK$25,MATCH($E137,DEMANDS!$E$2:$E$25,0),FALSE)/HLOOKUP(2018,DEMANDS!$G$2:$CK$25,MATCH($E137,DEMANDS!$E$2:$E$25,0),FALSE)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AB137" s="18">
        <f>HLOOKUP(REG_TRA_DEMANDS!AB$3,'BY-Demands'!$J$5:$AK$14,MATCH($E137,'BY-Demands'!$I$5:$I$14,0),FALSE)*HLOOKUP(REG_TRA_DEMANDS!$F137,DEMANDS!$G$2:$CK$25,MATCH($E137,DEMANDS!$E$2:$E$25,0),FALSE)/HLOOKUP(2018,DEMANDS!$G$2:$CK$25,MATCH($E137,DEMANDS!$E$2:$E$25,0),FALSE)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AC137" s="18">
        <f>HLOOKUP(REG_TRA_DEMANDS!AC$3,'BY-Demands'!$J$5:$AK$14,MATCH($E137,'BY-Demands'!$I$5:$I$14,0),FALSE)*HLOOKUP(REG_TRA_DEMANDS!$F137,DEMANDS!$G$2:$CK$25,MATCH($E137,DEMANDS!$E$2:$E$25,0),FALSE)/HLOOKUP(2018,DEMANDS!$G$2:$CK$25,MATCH($E137,DEMANDS!$E$2:$E$25,0),FALSE)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AD137" s="18">
        <f>HLOOKUP(REG_TRA_DEMANDS!AD$3,'BY-Demands'!$J$5:$AK$14,MATCH($E137,'BY-Demands'!$I$5:$I$14,0),FALSE)*HLOOKUP(REG_TRA_DEMANDS!$F137,DEMANDS!$G$2:$CK$25,MATCH($E137,DEMANDS!$E$2:$E$25,0),FALSE)/HLOOKUP(2018,DEMANDS!$G$2:$CK$25,MATCH($E137,DEMANDS!$E$2:$E$25,0),FALSE)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AE137" s="18">
        <f>HLOOKUP(REG_TRA_DEMANDS!AE$3,'BY-Demands'!$J$5:$AK$14,MATCH($E137,'BY-Demands'!$I$5:$I$14,0),FALSE)*HLOOKUP(REG_TRA_DEMANDS!$F137,DEMANDS!$G$2:$CK$25,MATCH($E137,DEMANDS!$E$2:$E$25,0),FALSE)/HLOOKUP(2018,DEMANDS!$G$2:$CK$25,MATCH($E137,DEMANDS!$E$2:$E$25,0),FALSE)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AF137" s="18">
        <f>HLOOKUP(REG_TRA_DEMANDS!AF$3,'BY-Demands'!$J$5:$AK$14,MATCH($E137,'BY-Demands'!$I$5:$I$14,0),FALSE)*HLOOKUP(REG_TRA_DEMANDS!$F137,DEMANDS!$G$2:$CK$25,MATCH($E137,DEMANDS!$E$2:$E$25,0),FALSE)/HLOOKUP(2018,DEMANDS!$G$2:$CK$25,MATCH($E137,DEMANDS!$E$2:$E$25,0),FALSE)</f>
        <v>0</v>
      </c>
    </row>
    <row r="138" spans="4:32" ht="14.4">
      <c r="D138" t="s">
        <v>6</v>
      </c>
      <c r="E138" t="str">
        <f>DEMANDS!$E$21</f>
        <v>TTURS</v>
      </c>
      <c r="F138">
        <v>2070</v>
      </c>
      <c r="G138" s="17">
        <f>HLOOKUP(REG_TRA_DEMANDS!G$3,'BY-Demands'!$J$5:$AK$14,MATCH($E138,'BY-Demands'!$I$5:$I$14,0),FALSE)*HLOOKUP(REG_TRA_DEMANDS!$F138,DEMANDS!$G$2:$CK$25,MATCH($E138,DEMANDS!$E$2:$E$25,0),FALSE)/HLOOKUP(2018,DEMANDS!$G$2:$CK$25,MATCH($E138,DEMANDS!$E$2:$E$25,0),FALSE)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H138" s="17">
        <f>HLOOKUP(REG_TRA_DEMANDS!H$3,'BY-Demands'!$J$5:$AK$14,MATCH($E138,'BY-Demands'!$I$5:$I$14,0),FALSE)*HLOOKUP(REG_TRA_DEMANDS!$F138,DEMANDS!$G$2:$CK$25,MATCH($E138,DEMANDS!$E$2:$E$25,0),FALSE)/HLOOKUP(2018,DEMANDS!$G$2:$CK$25,MATCH($E138,DEMANDS!$E$2:$E$25,0),FALSE)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I138" s="17">
        <f>HLOOKUP(REG_TRA_DEMANDS!I$3,'BY-Demands'!$J$5:$AK$14,MATCH($E138,'BY-Demands'!$I$5:$I$14,0),FALSE)*HLOOKUP(REG_TRA_DEMANDS!$F138,DEMANDS!$G$2:$CK$25,MATCH($E138,DEMANDS!$E$2:$E$25,0),FALSE)/HLOOKUP(2018,DEMANDS!$G$2:$CK$25,MATCH($E138,DEMANDS!$E$2:$E$25,0),FALSE)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J138" s="17">
        <f>HLOOKUP(REG_TRA_DEMANDS!J$3,'BY-Demands'!$J$5:$AK$14,MATCH($E138,'BY-Demands'!$I$5:$I$14,0),FALSE)*HLOOKUP(REG_TRA_DEMANDS!$F138,DEMANDS!$G$2:$CK$25,MATCH($E138,DEMANDS!$E$2:$E$25,0),FALSE)/HLOOKUP(2018,DEMANDS!$G$2:$CK$25,MATCH($E138,DEMANDS!$E$2:$E$25,0),FALSE)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K138" s="17">
        <f>HLOOKUP(REG_TRA_DEMANDS!K$3,'BY-Demands'!$J$5:$AK$14,MATCH($E138,'BY-Demands'!$I$5:$I$14,0),FALSE)*HLOOKUP(REG_TRA_DEMANDS!$F138,DEMANDS!$G$2:$CK$25,MATCH($E138,DEMANDS!$E$2:$E$25,0),FALSE)/HLOOKUP(2018,DEMANDS!$G$2:$CK$25,MATCH($E138,DEMANDS!$E$2:$E$25,0),FALSE)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L138" s="17">
        <f>HLOOKUP(REG_TRA_DEMANDS!L$3,'BY-Demands'!$J$5:$AK$14,MATCH($E138,'BY-Demands'!$I$5:$I$14,0),FALSE)*HLOOKUP(REG_TRA_DEMANDS!$F138,DEMANDS!$G$2:$CK$25,MATCH($E138,DEMANDS!$E$2:$E$25,0),FALSE)/HLOOKUP(2018,DEMANDS!$G$2:$CK$25,MATCH($E138,DEMANDS!$E$2:$E$25,0),FALSE)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M138" s="17">
        <f>HLOOKUP(REG_TRA_DEMANDS!M$3,'BY-Demands'!$J$5:$AK$14,MATCH($E138,'BY-Demands'!$I$5:$I$14,0),FALSE)*HLOOKUP(REG_TRA_DEMANDS!$F138,DEMANDS!$G$2:$CK$25,MATCH($E138,DEMANDS!$E$2:$E$25,0),FALSE)/HLOOKUP(2018,DEMANDS!$G$2:$CK$25,MATCH($E138,DEMANDS!$E$2:$E$25,0),FALSE)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N138" s="17">
        <f>HLOOKUP(REG_TRA_DEMANDS!N$3,'BY-Demands'!$J$5:$AK$14,MATCH($E138,'BY-Demands'!$I$5:$I$14,0),FALSE)*HLOOKUP(REG_TRA_DEMANDS!$F138,DEMANDS!$G$2:$CK$25,MATCH($E138,DEMANDS!$E$2:$E$25,0),FALSE)/HLOOKUP(2018,DEMANDS!$G$2:$CK$25,MATCH($E138,DEMANDS!$E$2:$E$25,0),FALSE)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O138" s="17">
        <f>HLOOKUP(REG_TRA_DEMANDS!O$3,'BY-Demands'!$J$5:$AK$14,MATCH($E138,'BY-Demands'!$I$5:$I$14,0),FALSE)*HLOOKUP(REG_TRA_DEMANDS!$F138,DEMANDS!$G$2:$CK$25,MATCH($E138,DEMANDS!$E$2:$E$25,0),FALSE)/HLOOKUP(2018,DEMANDS!$G$2:$CK$25,MATCH($E138,DEMANDS!$E$2:$E$25,0),FALSE)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P138" s="17">
        <f>HLOOKUP(REG_TRA_DEMANDS!P$3,'BY-Demands'!$J$5:$AK$14,MATCH($E138,'BY-Demands'!$I$5:$I$14,0),FALSE)*HLOOKUP(REG_TRA_DEMANDS!$F138,DEMANDS!$G$2:$CK$25,MATCH($E138,DEMANDS!$E$2:$E$25,0),FALSE)/HLOOKUP(2018,DEMANDS!$G$2:$CK$25,MATCH($E138,DEMANDS!$E$2:$E$25,0),FALSE)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Q138" s="17">
        <f>HLOOKUP(REG_TRA_DEMANDS!Q$3,'BY-Demands'!$J$5:$AK$14,MATCH($E138,'BY-Demands'!$I$5:$I$14,0),FALSE)*HLOOKUP(REG_TRA_DEMANDS!$F138,DEMANDS!$G$2:$CK$25,MATCH($E138,DEMANDS!$E$2:$E$25,0),FALSE)/HLOOKUP(2018,DEMANDS!$G$2:$CK$25,MATCH($E138,DEMANDS!$E$2:$E$25,0),FALSE)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R138" s="17">
        <f>HLOOKUP(REG_TRA_DEMANDS!R$3,'BY-Demands'!$J$5:$AK$14,MATCH($E138,'BY-Demands'!$I$5:$I$14,0),FALSE)*HLOOKUP(REG_TRA_DEMANDS!$F138,DEMANDS!$G$2:$CK$25,MATCH($E138,DEMANDS!$E$2:$E$25,0),FALSE)/HLOOKUP(2018,DEMANDS!$G$2:$CK$25,MATCH($E138,DEMANDS!$E$2:$E$25,0),FALSE)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S138" s="17">
        <f>HLOOKUP(REG_TRA_DEMANDS!S$3,'BY-Demands'!$J$5:$AK$14,MATCH($E138,'BY-Demands'!$I$5:$I$14,0),FALSE)*HLOOKUP(REG_TRA_DEMANDS!$F138,DEMANDS!$G$2:$CK$25,MATCH($E138,DEMANDS!$E$2:$E$25,0),FALSE)/HLOOKUP(2018,DEMANDS!$G$2:$CK$25,MATCH($E138,DEMANDS!$E$2:$E$25,0),FALSE)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T138" s="17">
        <f>HLOOKUP(REG_TRA_DEMANDS!T$3,'BY-Demands'!$J$5:$AK$14,MATCH($E138,'BY-Demands'!$I$5:$I$14,0),FALSE)*HLOOKUP(REG_TRA_DEMANDS!$F138,DEMANDS!$G$2:$CK$25,MATCH($E138,DEMANDS!$E$2:$E$25,0),FALSE)/HLOOKUP(2018,DEMANDS!$G$2:$CK$25,MATCH($E138,DEMANDS!$E$2:$E$25,0),FALSE)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U138" s="17">
        <f>HLOOKUP(REG_TRA_DEMANDS!U$3,'BY-Demands'!$J$5:$AK$14,MATCH($E138,'BY-Demands'!$I$5:$I$14,0),FALSE)*HLOOKUP(REG_TRA_DEMANDS!$F138,DEMANDS!$G$2:$CK$25,MATCH($E138,DEMANDS!$E$2:$E$25,0),FALSE)/HLOOKUP(2018,DEMANDS!$G$2:$CK$25,MATCH($E138,DEMANDS!$E$2:$E$25,0),FALSE)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V138" s="17">
        <f>HLOOKUP(REG_TRA_DEMANDS!V$3,'BY-Demands'!$J$5:$AK$14,MATCH($E138,'BY-Demands'!$I$5:$I$14,0),FALSE)*HLOOKUP(REG_TRA_DEMANDS!$F138,DEMANDS!$G$2:$CK$25,MATCH($E138,DEMANDS!$E$2:$E$25,0),FALSE)/HLOOKUP(2018,DEMANDS!$G$2:$CK$25,MATCH($E138,DEMANDS!$E$2:$E$25,0),FALSE)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W138" s="17">
        <f>HLOOKUP(REG_TRA_DEMANDS!W$3,'BY-Demands'!$J$5:$AK$14,MATCH($E138,'BY-Demands'!$I$5:$I$14,0),FALSE)*HLOOKUP(REG_TRA_DEMANDS!$F138,DEMANDS!$G$2:$CK$25,MATCH($E138,DEMANDS!$E$2:$E$25,0),FALSE)/HLOOKUP(2018,DEMANDS!$G$2:$CK$25,MATCH($E138,DEMANDS!$E$2:$E$25,0),FALSE)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X138" s="17">
        <f>HLOOKUP(REG_TRA_DEMANDS!X$3,'BY-Demands'!$J$5:$AK$14,MATCH($E138,'BY-Demands'!$I$5:$I$14,0),FALSE)*HLOOKUP(REG_TRA_DEMANDS!$F138,DEMANDS!$G$2:$CK$25,MATCH($E138,DEMANDS!$E$2:$E$25,0),FALSE)/HLOOKUP(2018,DEMANDS!$G$2:$CK$25,MATCH($E138,DEMANDS!$E$2:$E$25,0),FALSE)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Y138" s="17">
        <f>HLOOKUP(REG_TRA_DEMANDS!Y$3,'BY-Demands'!$J$5:$AK$14,MATCH($E138,'BY-Demands'!$I$5:$I$14,0),FALSE)*HLOOKUP(REG_TRA_DEMANDS!$F138,DEMANDS!$G$2:$CK$25,MATCH($E138,DEMANDS!$E$2:$E$25,0),FALSE)/HLOOKUP(2018,DEMANDS!$G$2:$CK$25,MATCH($E138,DEMANDS!$E$2:$E$25,0),FALSE)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Z138" s="17">
        <f>HLOOKUP(REG_TRA_DEMANDS!Z$3,'BY-Demands'!$J$5:$AK$14,MATCH($E138,'BY-Demands'!$I$5:$I$14,0),FALSE)*HLOOKUP(REG_TRA_DEMANDS!$F138,DEMANDS!$G$2:$CK$25,MATCH($E138,DEMANDS!$E$2:$E$25,0),FALSE)/HLOOKUP(2018,DEMANDS!$G$2:$CK$25,MATCH($E138,DEMANDS!$E$2:$E$25,0),FALSE)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AA138" s="17">
        <f>HLOOKUP(REG_TRA_DEMANDS!AA$3,'BY-Demands'!$J$5:$AK$14,MATCH($E138,'BY-Demands'!$I$5:$I$14,0),FALSE)*HLOOKUP(REG_TRA_DEMANDS!$F138,DEMANDS!$G$2:$CK$25,MATCH($E138,DEMANDS!$E$2:$E$25,0),FALSE)/HLOOKUP(2018,DEMANDS!$G$2:$CK$25,MATCH($E138,DEMANDS!$E$2:$E$25,0),FALSE)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AB138" s="17">
        <f>HLOOKUP(REG_TRA_DEMANDS!AB$3,'BY-Demands'!$J$5:$AK$14,MATCH($E138,'BY-Demands'!$I$5:$I$14,0),FALSE)*HLOOKUP(REG_TRA_DEMANDS!$F138,DEMANDS!$G$2:$CK$25,MATCH($E138,DEMANDS!$E$2:$E$25,0),FALSE)/HLOOKUP(2018,DEMANDS!$G$2:$CK$25,MATCH($E138,DEMANDS!$E$2:$E$25,0),FALSE)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AC138" s="17">
        <f>HLOOKUP(REG_TRA_DEMANDS!AC$3,'BY-Demands'!$J$5:$AK$14,MATCH($E138,'BY-Demands'!$I$5:$I$14,0),FALSE)*HLOOKUP(REG_TRA_DEMANDS!$F138,DEMANDS!$G$2:$CK$25,MATCH($E138,DEMANDS!$E$2:$E$25,0),FALSE)/HLOOKUP(2018,DEMANDS!$G$2:$CK$25,MATCH($E138,DEMANDS!$E$2:$E$25,0),FALSE)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AD138" s="17">
        <f>HLOOKUP(REG_TRA_DEMANDS!AD$3,'BY-Demands'!$J$5:$AK$14,MATCH($E138,'BY-Demands'!$I$5:$I$14,0),FALSE)*HLOOKUP(REG_TRA_DEMANDS!$F138,DEMANDS!$G$2:$CK$25,MATCH($E138,DEMANDS!$E$2:$E$25,0),FALSE)/HLOOKUP(2018,DEMANDS!$G$2:$CK$25,MATCH($E138,DEMANDS!$E$2:$E$25,0),FALSE)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AE138" s="17">
        <f>HLOOKUP(REG_TRA_DEMANDS!AE$3,'BY-Demands'!$J$5:$AK$14,MATCH($E138,'BY-Demands'!$I$5:$I$14,0),FALSE)*HLOOKUP(REG_TRA_DEMANDS!$F138,DEMANDS!$G$2:$CK$25,MATCH($E138,DEMANDS!$E$2:$E$25,0),FALSE)/HLOOKUP(2018,DEMANDS!$G$2:$CK$25,MATCH($E138,DEMANDS!$E$2:$E$25,0),FALSE)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AF138" s="17">
        <f>HLOOKUP(REG_TRA_DEMANDS!AF$3,'BY-Demands'!$J$5:$AK$14,MATCH($E138,'BY-Demands'!$I$5:$I$14,0),FALSE)*HLOOKUP(REG_TRA_DEMANDS!$F138,DEMANDS!$G$2:$CK$25,MATCH($E138,DEMANDS!$E$2:$E$25,0),FALSE)/HLOOKUP(2018,DEMANDS!$G$2:$CK$25,MATCH($E138,DEMANDS!$E$2:$E$25,0),FALSE)</f>
        <v>0</v>
      </c>
    </row>
    <row r="139" spans="4:32" ht="14.4">
      <c r="D139" s="19" t="s">
        <v>6</v>
      </c>
      <c r="E139" s="19" t="str">
        <f>DEMANDS!$E$22</f>
        <v>TNAV</v>
      </c>
      <c r="F139" s="19">
        <v>2020</v>
      </c>
      <c r="G139" s="20">
        <f>HLOOKUP(REG_TRA_DEMANDS!G$3,'BY-Demands'!$J$5:$AK$14,MATCH($E139,'BY-Demands'!$I$5:$I$14,0),FALSE)*HLOOKUP(REG_TRA_DEMANDS!$F139,DEMANDS!$G$2:$CK$25,MATCH($E139,DEMANDS!$E$2:$E$25,0),FALSE)/HLOOKUP(2018,DEMANDS!$G$2:$CK$25,MATCH($E139,DEMANDS!$E$2:$E$25,0),FALSE)</f>
        <v>0.054709600636236908</v>
      </c>
      <c r="H139" s="20">
        <f>HLOOKUP(REG_TRA_DEMANDS!H$3,'BY-Demands'!$J$5:$AK$14,MATCH($E139,'BY-Demands'!$I$5:$I$14,0),FALSE)*HLOOKUP(REG_TRA_DEMANDS!$F139,DEMANDS!$G$2:$CK$25,MATCH($E139,DEMANDS!$E$2:$E$25,0),FALSE)/HLOOKUP(2018,DEMANDS!$G$2:$CK$25,MATCH($E139,DEMANDS!$E$2:$E$25,0),FALSE)</f>
        <v>1.2947634511986181</v>
      </c>
      <c r="I139" s="20">
        <f>HLOOKUP(REG_TRA_DEMANDS!I$3,'BY-Demands'!$J$5:$AK$14,MATCH($E139,'BY-Demands'!$I$5:$I$14,0),FALSE)*HLOOKUP(REG_TRA_DEMANDS!$F139,DEMANDS!$G$2:$CK$25,MATCH($E139,DEMANDS!$E$2:$E$25,0),FALSE)/HLOOKUP(2018,DEMANDS!$G$2:$CK$25,MATCH($E139,DEMANDS!$E$2:$E$25,0),FALSE)</f>
        <v>0.21381832677519244</v>
      </c>
      <c r="J139" s="20">
        <f>HLOOKUP(REG_TRA_DEMANDS!J$3,'BY-Demands'!$J$5:$AK$14,MATCH($E139,'BY-Demands'!$I$5:$I$14,0),FALSE)*HLOOKUP(REG_TRA_DEMANDS!$F139,DEMANDS!$G$2:$CK$25,MATCH($E139,DEMANDS!$E$2:$E$25,0),FALSE)/HLOOKUP(2018,DEMANDS!$G$2:$CK$25,MATCH($E139,DEMANDS!$E$2:$E$25,0),FALSE)</f>
        <v>0.095358376490112085</v>
      </c>
      <c r="K139" s="20">
        <f>HLOOKUP(REG_TRA_DEMANDS!K$3,'BY-Demands'!$J$5:$AK$14,MATCH($E139,'BY-Demands'!$I$5:$I$14,0),FALSE)*HLOOKUP(REG_TRA_DEMANDS!$F139,DEMANDS!$G$2:$CK$25,MATCH($E139,DEMANDS!$E$2:$E$25,0),FALSE)/HLOOKUP(2018,DEMANDS!$G$2:$CK$25,MATCH($E139,DEMANDS!$E$2:$E$25,0),FALSE)</f>
        <v>0.081390765212663516</v>
      </c>
      <c r="L139" s="20">
        <f>HLOOKUP(REG_TRA_DEMANDS!L$3,'BY-Demands'!$J$5:$AK$14,MATCH($E139,'BY-Demands'!$I$5:$I$14,0),FALSE)*HLOOKUP(REG_TRA_DEMANDS!$F139,DEMANDS!$G$2:$CK$25,MATCH($E139,DEMANDS!$E$2:$E$25,0),FALSE)/HLOOKUP(2018,DEMANDS!$G$2:$CK$25,MATCH($E139,DEMANDS!$E$2:$E$25,0),FALSE)</f>
        <v>0.039277480271286955</v>
      </c>
      <c r="M139" s="20">
        <f>HLOOKUP(REG_TRA_DEMANDS!M$3,'BY-Demands'!$J$5:$AK$14,MATCH($E139,'BY-Demands'!$I$5:$I$14,0),FALSE)*HLOOKUP(REG_TRA_DEMANDS!$F139,DEMANDS!$G$2:$CK$25,MATCH($E139,DEMANDS!$E$2:$E$25,0),FALSE)/HLOOKUP(2018,DEMANDS!$G$2:$CK$25,MATCH($E139,DEMANDS!$E$2:$E$25,0),FALSE)</f>
        <v>0.12385288007448821</v>
      </c>
      <c r="N139" s="20">
        <f>HLOOKUP(REG_TRA_DEMANDS!N$3,'BY-Demands'!$J$5:$AK$14,MATCH($E139,'BY-Demands'!$I$5:$I$14,0),FALSE)*HLOOKUP(REG_TRA_DEMANDS!$F139,DEMANDS!$G$2:$CK$25,MATCH($E139,DEMANDS!$E$2:$E$25,0),FALSE)/HLOOKUP(2018,DEMANDS!$G$2:$CK$25,MATCH($E139,DEMANDS!$E$2:$E$25,0),FALSE)</f>
        <v>0.1874302562090602</v>
      </c>
      <c r="O139" s="20">
        <f>HLOOKUP(REG_TRA_DEMANDS!O$3,'BY-Demands'!$J$5:$AK$14,MATCH($E139,'BY-Demands'!$I$5:$I$14,0),FALSE)*HLOOKUP(REG_TRA_DEMANDS!$F139,DEMANDS!$G$2:$CK$25,MATCH($E139,DEMANDS!$E$2:$E$25,0),FALSE)/HLOOKUP(2018,DEMANDS!$G$2:$CK$25,MATCH($E139,DEMANDS!$E$2:$E$25,0),FALSE)</f>
        <v>0.074917711923025126</v>
      </c>
      <c r="P139" s="20">
        <f>HLOOKUP(REG_TRA_DEMANDS!P$3,'BY-Demands'!$J$5:$AK$14,MATCH($E139,'BY-Demands'!$I$5:$I$14,0),FALSE)*HLOOKUP(REG_TRA_DEMANDS!$F139,DEMANDS!$G$2:$CK$25,MATCH($E139,DEMANDS!$E$2:$E$25,0),FALSE)/HLOOKUP(2018,DEMANDS!$G$2:$CK$25,MATCH($E139,DEMANDS!$E$2:$E$25,0),FALSE)</f>
        <v>0.085304771455047348</v>
      </c>
      <c r="Q139" s="20">
        <f>HLOOKUP(REG_TRA_DEMANDS!Q$3,'BY-Demands'!$J$5:$AK$14,MATCH($E139,'BY-Demands'!$I$5:$I$14,0),FALSE)*HLOOKUP(REG_TRA_DEMANDS!$F139,DEMANDS!$G$2:$CK$25,MATCH($E139,DEMANDS!$E$2:$E$25,0),FALSE)/HLOOKUP(2018,DEMANDS!$G$2:$CK$25,MATCH($E139,DEMANDS!$E$2:$E$25,0),FALSE)</f>
        <v>0.14387744724335505</v>
      </c>
      <c r="R139" s="20">
        <f>HLOOKUP(REG_TRA_DEMANDS!R$3,'BY-Demands'!$J$5:$AK$14,MATCH($E139,'BY-Demands'!$I$5:$I$14,0),FALSE)*HLOOKUP(REG_TRA_DEMANDS!$F139,DEMANDS!$G$2:$CK$25,MATCH($E139,DEMANDS!$E$2:$E$25,0),FALSE)/HLOOKUP(2018,DEMANDS!$G$2:$CK$25,MATCH($E139,DEMANDS!$E$2:$E$25,0),FALSE)</f>
        <v>0.13686529316756901</v>
      </c>
      <c r="S139" s="20">
        <f>HLOOKUP(REG_TRA_DEMANDS!S$3,'BY-Demands'!$J$5:$AK$14,MATCH($E139,'BY-Demands'!$I$5:$I$14,0),FALSE)*HLOOKUP(REG_TRA_DEMANDS!$F139,DEMANDS!$G$2:$CK$25,MATCH($E139,DEMANDS!$E$2:$E$25,0),FALSE)/HLOOKUP(2018,DEMANDS!$G$2:$CK$25,MATCH($E139,DEMANDS!$E$2:$E$25,0),FALSE)</f>
        <v>0.11417885580685315</v>
      </c>
      <c r="T139" s="20">
        <f>HLOOKUP(REG_TRA_DEMANDS!T$3,'BY-Demands'!$J$5:$AK$14,MATCH($E139,'BY-Demands'!$I$5:$I$14,0),FALSE)*HLOOKUP(REG_TRA_DEMANDS!$F139,DEMANDS!$G$2:$CK$25,MATCH($E139,DEMANDS!$E$2:$E$25,0),FALSE)/HLOOKUP(2018,DEMANDS!$G$2:$CK$25,MATCH($E139,DEMANDS!$E$2:$E$25,0),FALSE)</f>
        <v>0.52167658747615886</v>
      </c>
      <c r="U139" s="20">
        <f>HLOOKUP(REG_TRA_DEMANDS!U$3,'BY-Demands'!$J$5:$AK$14,MATCH($E139,'BY-Demands'!$I$5:$I$14,0),FALSE)*HLOOKUP(REG_TRA_DEMANDS!$F139,DEMANDS!$G$2:$CK$25,MATCH($E139,DEMANDS!$E$2:$E$25,0),FALSE)/HLOOKUP(2018,DEMANDS!$G$2:$CK$25,MATCH($E139,DEMANDS!$E$2:$E$25,0),FALSE)</f>
        <v>0.14194110484747868</v>
      </c>
      <c r="V139" s="20">
        <f>HLOOKUP(REG_TRA_DEMANDS!V$3,'BY-Demands'!$J$5:$AK$14,MATCH($E139,'BY-Demands'!$I$5:$I$14,0),FALSE)*HLOOKUP(REG_TRA_DEMANDS!$F139,DEMANDS!$G$2:$CK$25,MATCH($E139,DEMANDS!$E$2:$E$25,0),FALSE)/HLOOKUP(2018,DEMANDS!$G$2:$CK$25,MATCH($E139,DEMANDS!$E$2:$E$25,0),FALSE)</f>
        <v>0.18729091643367465</v>
      </c>
      <c r="W139" s="20">
        <f>HLOOKUP(REG_TRA_DEMANDS!W$3,'BY-Demands'!$J$5:$AK$14,MATCH($E139,'BY-Demands'!$I$5:$I$14,0),FALSE)*HLOOKUP(REG_TRA_DEMANDS!$F139,DEMANDS!$G$2:$CK$25,MATCH($E139,DEMANDS!$E$2:$E$25,0),FALSE)/HLOOKUP(2018,DEMANDS!$G$2:$CK$25,MATCH($E139,DEMANDS!$E$2:$E$25,0),FALSE)</f>
        <v>0.15332468401449936</v>
      </c>
      <c r="X139" s="20">
        <f>HLOOKUP(REG_TRA_DEMANDS!X$3,'BY-Demands'!$J$5:$AK$14,MATCH($E139,'BY-Demands'!$I$5:$I$14,0),FALSE)*HLOOKUP(REG_TRA_DEMANDS!$F139,DEMANDS!$G$2:$CK$25,MATCH($E139,DEMANDS!$E$2:$E$25,0),FALSE)/HLOOKUP(2018,DEMANDS!$G$2:$CK$25,MATCH($E139,DEMANDS!$E$2:$E$25,0),FALSE)</f>
        <v>0.11164094996689844</v>
      </c>
      <c r="Y139" s="20">
        <f>HLOOKUP(REG_TRA_DEMANDS!Y$3,'BY-Demands'!$J$5:$AK$14,MATCH($E139,'BY-Demands'!$I$5:$I$14,0),FALSE)*HLOOKUP(REG_TRA_DEMANDS!$F139,DEMANDS!$G$2:$CK$25,MATCH($E139,DEMANDS!$E$2:$E$25,0),FALSE)/HLOOKUP(2018,DEMANDS!$G$2:$CK$25,MATCH($E139,DEMANDS!$E$2:$E$25,0),FALSE)</f>
        <v>0.24798443969974754</v>
      </c>
      <c r="Z139" s="20">
        <f>HLOOKUP(REG_TRA_DEMANDS!Z$3,'BY-Demands'!$J$5:$AK$14,MATCH($E139,'BY-Demands'!$I$5:$I$14,0),FALSE)*HLOOKUP(REG_TRA_DEMANDS!$F139,DEMANDS!$G$2:$CK$25,MATCH($E139,DEMANDS!$E$2:$E$25,0),FALSE)/HLOOKUP(2018,DEMANDS!$G$2:$CK$25,MATCH($E139,DEMANDS!$E$2:$E$25,0),FALSE)</f>
        <v>0.030793129396254827</v>
      </c>
      <c r="AA139" s="20">
        <f>HLOOKUP(REG_TRA_DEMANDS!AA$3,'BY-Demands'!$J$5:$AK$14,MATCH($E139,'BY-Demands'!$I$5:$I$14,0),FALSE)*HLOOKUP(REG_TRA_DEMANDS!$F139,DEMANDS!$G$2:$CK$25,MATCH($E139,DEMANDS!$E$2:$E$25,0),FALSE)/HLOOKUP(2018,DEMANDS!$G$2:$CK$25,MATCH($E139,DEMANDS!$E$2:$E$25,0),FALSE)</f>
        <v>0.12541252459483895</v>
      </c>
      <c r="AB139" s="20">
        <f>HLOOKUP(REG_TRA_DEMANDS!AB$3,'BY-Demands'!$J$5:$AK$14,MATCH($E139,'BY-Demands'!$I$5:$I$14,0),FALSE)*HLOOKUP(REG_TRA_DEMANDS!$F139,DEMANDS!$G$2:$CK$25,MATCH($E139,DEMANDS!$E$2:$E$25,0),FALSE)/HLOOKUP(2018,DEMANDS!$G$2:$CK$25,MATCH($E139,DEMANDS!$E$2:$E$25,0),FALSE)</f>
        <v>0.06202445836199811</v>
      </c>
      <c r="AC139" s="20">
        <f>HLOOKUP(REG_TRA_DEMANDS!AC$3,'BY-Demands'!$J$5:$AK$14,MATCH($E139,'BY-Demands'!$I$5:$I$14,0),FALSE)*HLOOKUP(REG_TRA_DEMANDS!$F139,DEMANDS!$G$2:$CK$25,MATCH($E139,DEMANDS!$E$2:$E$25,0),FALSE)/HLOOKUP(2018,DEMANDS!$G$2:$CK$25,MATCH($E139,DEMANDS!$E$2:$E$25,0),FALSE)</f>
        <v>0.062976773654461277</v>
      </c>
      <c r="AD139" s="20">
        <f>HLOOKUP(REG_TRA_DEMANDS!AD$3,'BY-Demands'!$J$5:$AK$14,MATCH($E139,'BY-Demands'!$I$5:$I$14,0),FALSE)*HLOOKUP(REG_TRA_DEMANDS!$F139,DEMANDS!$G$2:$CK$25,MATCH($E139,DEMANDS!$E$2:$E$25,0),FALSE)/HLOOKUP(2018,DEMANDS!$G$2:$CK$25,MATCH($E139,DEMANDS!$E$2:$E$25,0),FALSE)</f>
        <v>0.073202391239829717</v>
      </c>
      <c r="AE139" s="20">
        <f>HLOOKUP(REG_TRA_DEMANDS!AE$3,'BY-Demands'!$J$5:$AK$14,MATCH($E139,'BY-Demands'!$I$5:$I$14,0),FALSE)*HLOOKUP(REG_TRA_DEMANDS!$F139,DEMANDS!$G$2:$CK$25,MATCH($E139,DEMANDS!$E$2:$E$25,0),FALSE)/HLOOKUP(2018,DEMANDS!$G$2:$CK$25,MATCH($E139,DEMANDS!$E$2:$E$25,0),FALSE)</f>
        <v>0.15297777602198812</v>
      </c>
      <c r="AF139" s="20">
        <f>HLOOKUP(REG_TRA_DEMANDS!AF$3,'BY-Demands'!$J$5:$AK$14,MATCH($E139,'BY-Demands'!$I$5:$I$14,0),FALSE)*HLOOKUP(REG_TRA_DEMANDS!$F139,DEMANDS!$G$2:$CK$25,MATCH($E139,DEMANDS!$E$2:$E$25,0),FALSE)/HLOOKUP(2018,DEMANDS!$G$2:$CK$25,MATCH($E139,DEMANDS!$E$2:$E$25,0),FALSE)</f>
        <v>0.058989734150496013</v>
      </c>
    </row>
    <row r="140" spans="4:32" ht="14.4">
      <c r="D140" t="s">
        <v>6</v>
      </c>
      <c r="E140" t="str">
        <f>DEMANDS!$E$22</f>
        <v>TNAV</v>
      </c>
      <c r="F140">
        <v>2021</v>
      </c>
      <c r="G140" s="18">
        <f>HLOOKUP(REG_TRA_DEMANDS!G$3,'BY-Demands'!$J$5:$AK$14,MATCH($E140,'BY-Demands'!$I$5:$I$14,0),FALSE)*HLOOKUP(REG_TRA_DEMANDS!$F140,DEMANDS!$G$2:$CK$25,MATCH($E140,DEMANDS!$E$2:$E$25,0),FALSE)/HLOOKUP(2018,DEMANDS!$G$2:$CK$25,MATCH($E140,DEMANDS!$E$2:$E$25,0),FALSE)</f>
        <v>0.060377905785525848</v>
      </c>
      <c r="H140" s="18">
        <f>HLOOKUP(REG_TRA_DEMANDS!H$3,'BY-Demands'!$J$5:$AK$14,MATCH($E140,'BY-Demands'!$I$5:$I$14,0),FALSE)*HLOOKUP(REG_TRA_DEMANDS!$F140,DEMANDS!$G$2:$CK$25,MATCH($E140,DEMANDS!$E$2:$E$25,0),FALSE)/HLOOKUP(2018,DEMANDS!$G$2:$CK$25,MATCH($E140,DEMANDS!$E$2:$E$25,0),FALSE)</f>
        <v>1.4289101869121152</v>
      </c>
      <c r="I140" s="18">
        <f>HLOOKUP(REG_TRA_DEMANDS!I$3,'BY-Demands'!$J$5:$AK$14,MATCH($E140,'BY-Demands'!$I$5:$I$14,0),FALSE)*HLOOKUP(REG_TRA_DEMANDS!$F140,DEMANDS!$G$2:$CK$25,MATCH($E140,DEMANDS!$E$2:$E$25,0),FALSE)/HLOOKUP(2018,DEMANDS!$G$2:$CK$25,MATCH($E140,DEMANDS!$E$2:$E$25,0),FALSE)</f>
        <v>0.2359714316887277</v>
      </c>
      <c r="J140" s="18">
        <f>HLOOKUP(REG_TRA_DEMANDS!J$3,'BY-Demands'!$J$5:$AK$14,MATCH($E140,'BY-Demands'!$I$5:$I$14,0),FALSE)*HLOOKUP(REG_TRA_DEMANDS!$F140,DEMANDS!$G$2:$CK$25,MATCH($E140,DEMANDS!$E$2:$E$25,0),FALSE)/HLOOKUP(2018,DEMANDS!$G$2:$CK$25,MATCH($E140,DEMANDS!$E$2:$E$25,0),FALSE)</f>
        <v>0.10523818497346488</v>
      </c>
      <c r="K140" s="18">
        <f>HLOOKUP(REG_TRA_DEMANDS!K$3,'BY-Demands'!$J$5:$AK$14,MATCH($E140,'BY-Demands'!$I$5:$I$14,0),FALSE)*HLOOKUP(REG_TRA_DEMANDS!$F140,DEMANDS!$G$2:$CK$25,MATCH($E140,DEMANDS!$E$2:$E$25,0),FALSE)/HLOOKUP(2018,DEMANDS!$G$2:$CK$25,MATCH($E140,DEMANDS!$E$2:$E$25,0),FALSE)</f>
        <v>0.089823429465268834</v>
      </c>
      <c r="L140" s="18">
        <f>HLOOKUP(REG_TRA_DEMANDS!L$3,'BY-Demands'!$J$5:$AK$14,MATCH($E140,'BY-Demands'!$I$5:$I$14,0),FALSE)*HLOOKUP(REG_TRA_DEMANDS!$F140,DEMANDS!$G$2:$CK$25,MATCH($E140,DEMANDS!$E$2:$E$25,0),FALSE)/HLOOKUP(2018,DEMANDS!$G$2:$CK$25,MATCH($E140,DEMANDS!$E$2:$E$25,0),FALSE)</f>
        <v>0.043346907594530242</v>
      </c>
      <c r="M140" s="18">
        <f>HLOOKUP(REG_TRA_DEMANDS!M$3,'BY-Demands'!$J$5:$AK$14,MATCH($E140,'BY-Demands'!$I$5:$I$14,0),FALSE)*HLOOKUP(REG_TRA_DEMANDS!$F140,DEMANDS!$G$2:$CK$25,MATCH($E140,DEMANDS!$E$2:$E$25,0),FALSE)/HLOOKUP(2018,DEMANDS!$G$2:$CK$25,MATCH($E140,DEMANDS!$E$2:$E$25,0),FALSE)</f>
        <v>0.13668492252620179</v>
      </c>
      <c r="N140" s="18">
        <f>HLOOKUP(REG_TRA_DEMANDS!N$3,'BY-Demands'!$J$5:$AK$14,MATCH($E140,'BY-Demands'!$I$5:$I$14,0),FALSE)*HLOOKUP(REG_TRA_DEMANDS!$F140,DEMANDS!$G$2:$CK$25,MATCH($E140,DEMANDS!$E$2:$E$25,0),FALSE)/HLOOKUP(2018,DEMANDS!$G$2:$CK$25,MATCH($E140,DEMANDS!$E$2:$E$25,0),FALSE)</f>
        <v>0.2068493686508841</v>
      </c>
      <c r="O140" s="18">
        <f>HLOOKUP(REG_TRA_DEMANDS!O$3,'BY-Demands'!$J$5:$AK$14,MATCH($E140,'BY-Demands'!$I$5:$I$14,0),FALSE)*HLOOKUP(REG_TRA_DEMANDS!$F140,DEMANDS!$G$2:$CK$25,MATCH($E140,DEMANDS!$E$2:$E$25,0),FALSE)/HLOOKUP(2018,DEMANDS!$G$2:$CK$25,MATCH($E140,DEMANDS!$E$2:$E$25,0),FALSE)</f>
        <v>0.08267972164943059</v>
      </c>
      <c r="P140" s="18">
        <f>HLOOKUP(REG_TRA_DEMANDS!P$3,'BY-Demands'!$J$5:$AK$14,MATCH($E140,'BY-Demands'!$I$5:$I$14,0),FALSE)*HLOOKUP(REG_TRA_DEMANDS!$F140,DEMANDS!$G$2:$CK$25,MATCH($E140,DEMANDS!$E$2:$E$25,0),FALSE)/HLOOKUP(2018,DEMANDS!$G$2:$CK$25,MATCH($E140,DEMANDS!$E$2:$E$25,0),FALSE)</f>
        <v>0.094142954692987016</v>
      </c>
      <c r="Q140" s="18">
        <f>HLOOKUP(REG_TRA_DEMANDS!Q$3,'BY-Demands'!$J$5:$AK$14,MATCH($E140,'BY-Demands'!$I$5:$I$14,0),FALSE)*HLOOKUP(REG_TRA_DEMANDS!$F140,DEMANDS!$G$2:$CK$25,MATCH($E140,DEMANDS!$E$2:$E$25,0),FALSE)/HLOOKUP(2018,DEMANDS!$G$2:$CK$25,MATCH($E140,DEMANDS!$E$2:$E$25,0),FALSE)</f>
        <v>0.1587841777914096</v>
      </c>
      <c r="R140" s="18">
        <f>HLOOKUP(REG_TRA_DEMANDS!R$3,'BY-Demands'!$J$5:$AK$14,MATCH($E140,'BY-Demands'!$I$5:$I$14,0),FALSE)*HLOOKUP(REG_TRA_DEMANDS!$F140,DEMANDS!$G$2:$CK$25,MATCH($E140,DEMANDS!$E$2:$E$25,0),FALSE)/HLOOKUP(2018,DEMANDS!$G$2:$CK$25,MATCH($E140,DEMANDS!$E$2:$E$25,0),FALSE)</f>
        <v>0.15104551449981587</v>
      </c>
      <c r="S140" s="18">
        <f>HLOOKUP(REG_TRA_DEMANDS!S$3,'BY-Demands'!$J$5:$AK$14,MATCH($E140,'BY-Demands'!$I$5:$I$14,0),FALSE)*HLOOKUP(REG_TRA_DEMANDS!$F140,DEMANDS!$G$2:$CK$25,MATCH($E140,DEMANDS!$E$2:$E$25,0),FALSE)/HLOOKUP(2018,DEMANDS!$G$2:$CK$25,MATCH($E140,DEMANDS!$E$2:$E$25,0),FALSE)</f>
        <v>0.12600860029015015</v>
      </c>
      <c r="T140" s="18">
        <f>HLOOKUP(REG_TRA_DEMANDS!T$3,'BY-Demands'!$J$5:$AK$14,MATCH($E140,'BY-Demands'!$I$5:$I$14,0),FALSE)*HLOOKUP(REG_TRA_DEMANDS!$F140,DEMANDS!$G$2:$CK$25,MATCH($E140,DEMANDS!$E$2:$E$25,0),FALSE)/HLOOKUP(2018,DEMANDS!$G$2:$CK$25,MATCH($E140,DEMANDS!$E$2:$E$25,0),FALSE)</f>
        <v>0.57572600572572319</v>
      </c>
      <c r="U140" s="18">
        <f>HLOOKUP(REG_TRA_DEMANDS!U$3,'BY-Demands'!$J$5:$AK$14,MATCH($E140,'BY-Demands'!$I$5:$I$14,0),FALSE)*HLOOKUP(REG_TRA_DEMANDS!$F140,DEMANDS!$G$2:$CK$25,MATCH($E140,DEMANDS!$E$2:$E$25,0),FALSE)/HLOOKUP(2018,DEMANDS!$G$2:$CK$25,MATCH($E140,DEMANDS!$E$2:$E$25,0),FALSE)</f>
        <v>0.15664721650148741</v>
      </c>
      <c r="V140" s="18">
        <f>HLOOKUP(REG_TRA_DEMANDS!V$3,'BY-Demands'!$J$5:$AK$14,MATCH($E140,'BY-Demands'!$I$5:$I$14,0),FALSE)*HLOOKUP(REG_TRA_DEMANDS!$F140,DEMANDS!$G$2:$CK$25,MATCH($E140,DEMANDS!$E$2:$E$25,0),FALSE)/HLOOKUP(2018,DEMANDS!$G$2:$CK$25,MATCH($E140,DEMANDS!$E$2:$E$25,0),FALSE)</f>
        <v>0.20669559228014536</v>
      </c>
      <c r="W140" s="18">
        <f>HLOOKUP(REG_TRA_DEMANDS!W$3,'BY-Demands'!$J$5:$AK$14,MATCH($E140,'BY-Demands'!$I$5:$I$14,0),FALSE)*HLOOKUP(REG_TRA_DEMANDS!$F140,DEMANDS!$G$2:$CK$25,MATCH($E140,DEMANDS!$E$2:$E$25,0),FALSE)/HLOOKUP(2018,DEMANDS!$G$2:$CK$25,MATCH($E140,DEMANDS!$E$2:$E$25,0),FALSE)</f>
        <v>0.169210215727499</v>
      </c>
      <c r="X140" s="18">
        <f>HLOOKUP(REG_TRA_DEMANDS!X$3,'BY-Demands'!$J$5:$AK$14,MATCH($E140,'BY-Demands'!$I$5:$I$14,0),FALSE)*HLOOKUP(REG_TRA_DEMANDS!$F140,DEMANDS!$G$2:$CK$25,MATCH($E140,DEMANDS!$E$2:$E$25,0),FALSE)/HLOOKUP(2018,DEMANDS!$G$2:$CK$25,MATCH($E140,DEMANDS!$E$2:$E$25,0),FALSE)</f>
        <v>0.12320774928931454</v>
      </c>
      <c r="Y140" s="18">
        <f>HLOOKUP(REG_TRA_DEMANDS!Y$3,'BY-Demands'!$J$5:$AK$14,MATCH($E140,'BY-Demands'!$I$5:$I$14,0),FALSE)*HLOOKUP(REG_TRA_DEMANDS!$F140,DEMANDS!$G$2:$CK$25,MATCH($E140,DEMANDS!$E$2:$E$25,0),FALSE)/HLOOKUP(2018,DEMANDS!$G$2:$CK$25,MATCH($E140,DEMANDS!$E$2:$E$25,0),FALSE)</f>
        <v>0.27367739779388101</v>
      </c>
      <c r="Z140" s="18">
        <f>HLOOKUP(REG_TRA_DEMANDS!Z$3,'BY-Demands'!$J$5:$AK$14,MATCH($E140,'BY-Demands'!$I$5:$I$14,0),FALSE)*HLOOKUP(REG_TRA_DEMANDS!$F140,DEMANDS!$G$2:$CK$25,MATCH($E140,DEMANDS!$E$2:$E$25,0),FALSE)/HLOOKUP(2018,DEMANDS!$G$2:$CK$25,MATCH($E140,DEMANDS!$E$2:$E$25,0),FALSE)</f>
        <v>0.033983517406579698</v>
      </c>
      <c r="AA140" s="18">
        <f>HLOOKUP(REG_TRA_DEMANDS!AA$3,'BY-Demands'!$J$5:$AK$14,MATCH($E140,'BY-Demands'!$I$5:$I$14,0),FALSE)*HLOOKUP(REG_TRA_DEMANDS!$F140,DEMANDS!$G$2:$CK$25,MATCH($E140,DEMANDS!$E$2:$E$25,0),FALSE)/HLOOKUP(2018,DEMANDS!$G$2:$CK$25,MATCH($E140,DEMANDS!$E$2:$E$25,0),FALSE)</f>
        <v>0.13840615735178152</v>
      </c>
      <c r="AB140" s="18">
        <f>HLOOKUP(REG_TRA_DEMANDS!AB$3,'BY-Demands'!$J$5:$AK$14,MATCH($E140,'BY-Demands'!$I$5:$I$14,0),FALSE)*HLOOKUP(REG_TRA_DEMANDS!$F140,DEMANDS!$G$2:$CK$25,MATCH($E140,DEMANDS!$E$2:$E$25,0),FALSE)/HLOOKUP(2018,DEMANDS!$G$2:$CK$25,MATCH($E140,DEMANDS!$E$2:$E$25,0),FALSE)</f>
        <v>0.068450634985965417</v>
      </c>
      <c r="AC140" s="18">
        <f>HLOOKUP(REG_TRA_DEMANDS!AC$3,'BY-Demands'!$J$5:$AK$14,MATCH($E140,'BY-Demands'!$I$5:$I$14,0),FALSE)*HLOOKUP(REG_TRA_DEMANDS!$F140,DEMANDS!$G$2:$CK$25,MATCH($E140,DEMANDS!$E$2:$E$25,0),FALSE)/HLOOKUP(2018,DEMANDS!$G$2:$CK$25,MATCH($E140,DEMANDS!$E$2:$E$25,0),FALSE)</f>
        <v>0.069501616940463015</v>
      </c>
      <c r="AD140" s="18">
        <f>HLOOKUP(REG_TRA_DEMANDS!AD$3,'BY-Demands'!$J$5:$AK$14,MATCH($E140,'BY-Demands'!$I$5:$I$14,0),FALSE)*HLOOKUP(REG_TRA_DEMANDS!$F140,DEMANDS!$G$2:$CK$25,MATCH($E140,DEMANDS!$E$2:$E$25,0),FALSE)/HLOOKUP(2018,DEMANDS!$G$2:$CK$25,MATCH($E140,DEMANDS!$E$2:$E$25,0),FALSE)</f>
        <v>0.080786681499301294</v>
      </c>
      <c r="AE140" s="18">
        <f>HLOOKUP(REG_TRA_DEMANDS!AE$3,'BY-Demands'!$J$5:$AK$14,MATCH($E140,'BY-Demands'!$I$5:$I$14,0),FALSE)*HLOOKUP(REG_TRA_DEMANDS!$F140,DEMANDS!$G$2:$CK$25,MATCH($E140,DEMANDS!$E$2:$E$25,0),FALSE)/HLOOKUP(2018,DEMANDS!$G$2:$CK$25,MATCH($E140,DEMANDS!$E$2:$E$25,0),FALSE)</f>
        <v>0.16882736559069478</v>
      </c>
      <c r="AF140" s="18">
        <f>HLOOKUP(REG_TRA_DEMANDS!AF$3,'BY-Demands'!$J$5:$AK$14,MATCH($E140,'BY-Demands'!$I$5:$I$14,0),FALSE)*HLOOKUP(REG_TRA_DEMANDS!$F140,DEMANDS!$G$2:$CK$25,MATCH($E140,DEMANDS!$E$2:$E$25,0),FALSE)/HLOOKUP(2018,DEMANDS!$G$2:$CK$25,MATCH($E140,DEMANDS!$E$2:$E$25,0),FALSE)</f>
        <v>0.065101491683943843</v>
      </c>
    </row>
    <row r="141" spans="4:32" ht="14.4">
      <c r="D141" t="s">
        <v>6</v>
      </c>
      <c r="E141" t="str">
        <f>DEMANDS!$E$22</f>
        <v>TNAV</v>
      </c>
      <c r="F141">
        <v>2022</v>
      </c>
      <c r="G141" s="18">
        <f>HLOOKUP(REG_TRA_DEMANDS!G$3,'BY-Demands'!$J$5:$AK$14,MATCH($E141,'BY-Demands'!$I$5:$I$14,0),FALSE)*HLOOKUP(REG_TRA_DEMANDS!$F141,DEMANDS!$G$2:$CK$25,MATCH($E141,DEMANDS!$E$2:$E$25,0),FALSE)/HLOOKUP(2018,DEMANDS!$G$2:$CK$25,MATCH($E141,DEMANDS!$E$2:$E$25,0),FALSE)</f>
        <v>0.055728269531095408</v>
      </c>
      <c r="H141" s="18">
        <f>HLOOKUP(REG_TRA_DEMANDS!H$3,'BY-Demands'!$J$5:$AK$14,MATCH($E141,'BY-Demands'!$I$5:$I$14,0),FALSE)*HLOOKUP(REG_TRA_DEMANDS!$F141,DEMANDS!$G$2:$CK$25,MATCH($E141,DEMANDS!$E$2:$E$25,0),FALSE)/HLOOKUP(2018,DEMANDS!$G$2:$CK$25,MATCH($E141,DEMANDS!$E$2:$E$25,0),FALSE)</f>
        <v>1.3188713817738249</v>
      </c>
      <c r="I141" s="18">
        <f>HLOOKUP(REG_TRA_DEMANDS!I$3,'BY-Demands'!$J$5:$AK$14,MATCH($E141,'BY-Demands'!$I$5:$I$14,0),FALSE)*HLOOKUP(REG_TRA_DEMANDS!$F141,DEMANDS!$G$2:$CK$25,MATCH($E141,DEMANDS!$E$2:$E$25,0),FALSE)/HLOOKUP(2018,DEMANDS!$G$2:$CK$25,MATCH($E141,DEMANDS!$E$2:$E$25,0),FALSE)</f>
        <v>0.21779953073397831</v>
      </c>
      <c r="J141" s="18">
        <f>HLOOKUP(REG_TRA_DEMANDS!J$3,'BY-Demands'!$J$5:$AK$14,MATCH($E141,'BY-Demands'!$I$5:$I$14,0),FALSE)*HLOOKUP(REG_TRA_DEMANDS!$F141,DEMANDS!$G$2:$CK$25,MATCH($E141,DEMANDS!$E$2:$E$25,0),FALSE)/HLOOKUP(2018,DEMANDS!$G$2:$CK$25,MATCH($E141,DEMANDS!$E$2:$E$25,0),FALSE)</f>
        <v>0.097133907856911061</v>
      </c>
      <c r="K141" s="18">
        <f>HLOOKUP(REG_TRA_DEMANDS!K$3,'BY-Demands'!$J$5:$AK$14,MATCH($E141,'BY-Demands'!$I$5:$I$14,0),FALSE)*HLOOKUP(REG_TRA_DEMANDS!$F141,DEMANDS!$G$2:$CK$25,MATCH($E141,DEMANDS!$E$2:$E$25,0),FALSE)/HLOOKUP(2018,DEMANDS!$G$2:$CK$25,MATCH($E141,DEMANDS!$E$2:$E$25,0),FALSE)</f>
        <v>0.082906225751338283</v>
      </c>
      <c r="L141" s="18">
        <f>HLOOKUP(REG_TRA_DEMANDS!L$3,'BY-Demands'!$J$5:$AK$14,MATCH($E141,'BY-Demands'!$I$5:$I$14,0),FALSE)*HLOOKUP(REG_TRA_DEMANDS!$F141,DEMANDS!$G$2:$CK$25,MATCH($E141,DEMANDS!$E$2:$E$25,0),FALSE)/HLOOKUP(2018,DEMANDS!$G$2:$CK$25,MATCH($E141,DEMANDS!$E$2:$E$25,0),FALSE)</f>
        <v>0.040008809817755578</v>
      </c>
      <c r="M141" s="18">
        <f>HLOOKUP(REG_TRA_DEMANDS!M$3,'BY-Demands'!$J$5:$AK$14,MATCH($E141,'BY-Demands'!$I$5:$I$14,0),FALSE)*HLOOKUP(REG_TRA_DEMANDS!$F141,DEMANDS!$G$2:$CK$25,MATCH($E141,DEMANDS!$E$2:$E$25,0),FALSE)/HLOOKUP(2018,DEMANDS!$G$2:$CK$25,MATCH($E141,DEMANDS!$E$2:$E$25,0),FALSE)</f>
        <v>0.1261589666662985</v>
      </c>
      <c r="N141" s="18">
        <f>HLOOKUP(REG_TRA_DEMANDS!N$3,'BY-Demands'!$J$5:$AK$14,MATCH($E141,'BY-Demands'!$I$5:$I$14,0),FALSE)*HLOOKUP(REG_TRA_DEMANDS!$F141,DEMANDS!$G$2:$CK$25,MATCH($E141,DEMANDS!$E$2:$E$25,0),FALSE)/HLOOKUP(2018,DEMANDS!$G$2:$CK$25,MATCH($E141,DEMANDS!$E$2:$E$25,0),FALSE)</f>
        <v>0.19092012580662895</v>
      </c>
      <c r="O141" s="18">
        <f>HLOOKUP(REG_TRA_DEMANDS!O$3,'BY-Demands'!$J$5:$AK$14,MATCH($E141,'BY-Demands'!$I$5:$I$14,0),FALSE)*HLOOKUP(REG_TRA_DEMANDS!$F141,DEMANDS!$G$2:$CK$25,MATCH($E141,DEMANDS!$E$2:$E$25,0),FALSE)/HLOOKUP(2018,DEMANDS!$G$2:$CK$25,MATCH($E141,DEMANDS!$E$2:$E$25,0),FALSE)</f>
        <v>0.076312647033544068</v>
      </c>
      <c r="P141" s="18">
        <f>HLOOKUP(REG_TRA_DEMANDS!P$3,'BY-Demands'!$J$5:$AK$14,MATCH($E141,'BY-Demands'!$I$5:$I$14,0),FALSE)*HLOOKUP(REG_TRA_DEMANDS!$F141,DEMANDS!$G$2:$CK$25,MATCH($E141,DEMANDS!$E$2:$E$25,0),FALSE)/HLOOKUP(2018,DEMANDS!$G$2:$CK$25,MATCH($E141,DEMANDS!$E$2:$E$25,0),FALSE)</f>
        <v>0.086893109082332359</v>
      </c>
      <c r="Q141" s="18">
        <f>HLOOKUP(REG_TRA_DEMANDS!Q$3,'BY-Demands'!$J$5:$AK$14,MATCH($E141,'BY-Demands'!$I$5:$I$14,0),FALSE)*HLOOKUP(REG_TRA_DEMANDS!$F141,DEMANDS!$G$2:$CK$25,MATCH($E141,DEMANDS!$E$2:$E$25,0),FALSE)/HLOOKUP(2018,DEMANDS!$G$2:$CK$25,MATCH($E141,DEMANDS!$E$2:$E$25,0),FALSE)</f>
        <v>0.14655638253942765</v>
      </c>
      <c r="R141" s="18">
        <f>HLOOKUP(REG_TRA_DEMANDS!R$3,'BY-Demands'!$J$5:$AK$14,MATCH($E141,'BY-Demands'!$I$5:$I$14,0),FALSE)*HLOOKUP(REG_TRA_DEMANDS!$F141,DEMANDS!$G$2:$CK$25,MATCH($E141,DEMANDS!$E$2:$E$25,0),FALSE)/HLOOKUP(2018,DEMANDS!$G$2:$CK$25,MATCH($E141,DEMANDS!$E$2:$E$25,0),FALSE)</f>
        <v>0.13941366521404944</v>
      </c>
      <c r="S141" s="18">
        <f>HLOOKUP(REG_TRA_DEMANDS!S$3,'BY-Demands'!$J$5:$AK$14,MATCH($E141,'BY-Demands'!$I$5:$I$14,0),FALSE)*HLOOKUP(REG_TRA_DEMANDS!$F141,DEMANDS!$G$2:$CK$25,MATCH($E141,DEMANDS!$E$2:$E$25,0),FALSE)/HLOOKUP(2018,DEMANDS!$G$2:$CK$25,MATCH($E141,DEMANDS!$E$2:$E$25,0),FALSE)</f>
        <v>0.11630481628743354</v>
      </c>
      <c r="T141" s="18">
        <f>HLOOKUP(REG_TRA_DEMANDS!T$3,'BY-Demands'!$J$5:$AK$14,MATCH($E141,'BY-Demands'!$I$5:$I$14,0),FALSE)*HLOOKUP(REG_TRA_DEMANDS!$F141,DEMANDS!$G$2:$CK$25,MATCH($E141,DEMANDS!$E$2:$E$25,0),FALSE)/HLOOKUP(2018,DEMANDS!$G$2:$CK$25,MATCH($E141,DEMANDS!$E$2:$E$25,0),FALSE)</f>
        <v>0.53138997793519849</v>
      </c>
      <c r="U141" s="18">
        <f>HLOOKUP(REG_TRA_DEMANDS!U$3,'BY-Demands'!$J$5:$AK$14,MATCH($E141,'BY-Demands'!$I$5:$I$14,0),FALSE)*HLOOKUP(REG_TRA_DEMANDS!$F141,DEMANDS!$G$2:$CK$25,MATCH($E141,DEMANDS!$E$2:$E$25,0),FALSE)/HLOOKUP(2018,DEMANDS!$G$2:$CK$25,MATCH($E141,DEMANDS!$E$2:$E$25,0),FALSE)</f>
        <v>0.14458398629293759</v>
      </c>
      <c r="V141" s="18">
        <f>HLOOKUP(REG_TRA_DEMANDS!V$3,'BY-Demands'!$J$5:$AK$14,MATCH($E141,'BY-Demands'!$I$5:$I$14,0),FALSE)*HLOOKUP(REG_TRA_DEMANDS!$F141,DEMANDS!$G$2:$CK$25,MATCH($E141,DEMANDS!$E$2:$E$25,0),FALSE)/HLOOKUP(2018,DEMANDS!$G$2:$CK$25,MATCH($E141,DEMANDS!$E$2:$E$25,0),FALSE)</f>
        <v>0.19077819158541759</v>
      </c>
      <c r="W141" s="18">
        <f>HLOOKUP(REG_TRA_DEMANDS!W$3,'BY-Demands'!$J$5:$AK$14,MATCH($E141,'BY-Demands'!$I$5:$I$14,0),FALSE)*HLOOKUP(REG_TRA_DEMANDS!$F141,DEMANDS!$G$2:$CK$25,MATCH($E141,DEMANDS!$E$2:$E$25,0),FALSE)/HLOOKUP(2018,DEMANDS!$G$2:$CK$25,MATCH($E141,DEMANDS!$E$2:$E$25,0),FALSE)</f>
        <v>0.15617952273756125</v>
      </c>
      <c r="X141" s="18">
        <f>HLOOKUP(REG_TRA_DEMANDS!X$3,'BY-Demands'!$J$5:$AK$14,MATCH($E141,'BY-Demands'!$I$5:$I$14,0),FALSE)*HLOOKUP(REG_TRA_DEMANDS!$F141,DEMANDS!$G$2:$CK$25,MATCH($E141,DEMANDS!$E$2:$E$25,0),FALSE)/HLOOKUP(2018,DEMANDS!$G$2:$CK$25,MATCH($E141,DEMANDS!$E$2:$E$25,0),FALSE)</f>
        <v>0.1137196557479896</v>
      </c>
      <c r="Y141" s="18">
        <f>HLOOKUP(REG_TRA_DEMANDS!Y$3,'BY-Demands'!$J$5:$AK$14,MATCH($E141,'BY-Demands'!$I$5:$I$14,0),FALSE)*HLOOKUP(REG_TRA_DEMANDS!$F141,DEMANDS!$G$2:$CK$25,MATCH($E141,DEMANDS!$E$2:$E$25,0),FALSE)/HLOOKUP(2018,DEMANDS!$G$2:$CK$25,MATCH($E141,DEMANDS!$E$2:$E$25,0),FALSE)</f>
        <v>0.25260180177501973</v>
      </c>
      <c r="Z141" s="18">
        <f>HLOOKUP(REG_TRA_DEMANDS!Z$3,'BY-Demands'!$J$5:$AK$14,MATCH($E141,'BY-Demands'!$I$5:$I$14,0),FALSE)*HLOOKUP(REG_TRA_DEMANDS!$F141,DEMANDS!$G$2:$CK$25,MATCH($E141,DEMANDS!$E$2:$E$25,0),FALSE)/HLOOKUP(2018,DEMANDS!$G$2:$CK$25,MATCH($E141,DEMANDS!$E$2:$E$25,0),FALSE)</f>
        <v>0.031366484031026945</v>
      </c>
      <c r="AA141" s="18">
        <f>HLOOKUP(REG_TRA_DEMANDS!AA$3,'BY-Demands'!$J$5:$AK$14,MATCH($E141,'BY-Demands'!$I$5:$I$14,0),FALSE)*HLOOKUP(REG_TRA_DEMANDS!$F141,DEMANDS!$G$2:$CK$25,MATCH($E141,DEMANDS!$E$2:$E$25,0),FALSE)/HLOOKUP(2018,DEMANDS!$G$2:$CK$25,MATCH($E141,DEMANDS!$E$2:$E$25,0),FALSE)</f>
        <v>0.1277476510871684</v>
      </c>
      <c r="AB141" s="18">
        <f>HLOOKUP(REG_TRA_DEMANDS!AB$3,'BY-Demands'!$J$5:$AK$14,MATCH($E141,'BY-Demands'!$I$5:$I$14,0),FALSE)*HLOOKUP(REG_TRA_DEMANDS!$F141,DEMANDS!$G$2:$CK$25,MATCH($E141,DEMANDS!$E$2:$E$25,0),FALSE)/HLOOKUP(2018,DEMANDS!$G$2:$CK$25,MATCH($E141,DEMANDS!$E$2:$E$25,0),FALSE)</f>
        <v>0.06317932671634624</v>
      </c>
      <c r="AC141" s="18">
        <f>HLOOKUP(REG_TRA_DEMANDS!AC$3,'BY-Demands'!$J$5:$AK$14,MATCH($E141,'BY-Demands'!$I$5:$I$14,0),FALSE)*HLOOKUP(REG_TRA_DEMANDS!$F141,DEMANDS!$G$2:$CK$25,MATCH($E141,DEMANDS!$E$2:$E$25,0),FALSE)/HLOOKUP(2018,DEMANDS!$G$2:$CK$25,MATCH($E141,DEMANDS!$E$2:$E$25,0),FALSE)</f>
        <v>0.064149373704074003</v>
      </c>
      <c r="AD141" s="18">
        <f>HLOOKUP(REG_TRA_DEMANDS!AD$3,'BY-Demands'!$J$5:$AK$14,MATCH($E141,'BY-Demands'!$I$5:$I$14,0),FALSE)*HLOOKUP(REG_TRA_DEMANDS!$F141,DEMANDS!$G$2:$CK$25,MATCH($E141,DEMANDS!$E$2:$E$25,0),FALSE)/HLOOKUP(2018,DEMANDS!$G$2:$CK$25,MATCH($E141,DEMANDS!$E$2:$E$25,0),FALSE)</f>
        <v>0.074565387827596558</v>
      </c>
      <c r="AE141" s="18">
        <f>HLOOKUP(REG_TRA_DEMANDS!AE$3,'BY-Demands'!$J$5:$AK$14,MATCH($E141,'BY-Demands'!$I$5:$I$14,0),FALSE)*HLOOKUP(REG_TRA_DEMANDS!$F141,DEMANDS!$G$2:$CK$25,MATCH($E141,DEMANDS!$E$2:$E$25,0),FALSE)/HLOOKUP(2018,DEMANDS!$G$2:$CK$25,MATCH($E141,DEMANDS!$E$2:$E$25,0),FALSE)</f>
        <v>0.15582615546958026</v>
      </c>
      <c r="AF141" s="18">
        <f>HLOOKUP(REG_TRA_DEMANDS!AF$3,'BY-Demands'!$J$5:$AK$14,MATCH($E141,'BY-Demands'!$I$5:$I$14,0),FALSE)*HLOOKUP(REG_TRA_DEMANDS!$F141,DEMANDS!$G$2:$CK$25,MATCH($E141,DEMANDS!$E$2:$E$25,0),FALSE)/HLOOKUP(2018,DEMANDS!$G$2:$CK$25,MATCH($E141,DEMANDS!$E$2:$E$25,0),FALSE)</f>
        <v>0.060088097264031193</v>
      </c>
    </row>
    <row r="142" spans="4:32" ht="14.4">
      <c r="D142" t="s">
        <v>6</v>
      </c>
      <c r="E142" t="str">
        <f>DEMANDS!$E$22</f>
        <v>TNAV</v>
      </c>
      <c r="F142">
        <v>2023</v>
      </c>
      <c r="G142" s="18">
        <f>HLOOKUP(REG_TRA_DEMANDS!G$3,'BY-Demands'!$J$5:$AK$14,MATCH($E142,'BY-Demands'!$I$5:$I$14,0),FALSE)*HLOOKUP(REG_TRA_DEMANDS!$F142,DEMANDS!$G$2:$CK$25,MATCH($E142,DEMANDS!$E$2:$E$25,0),FALSE)/HLOOKUP(2018,DEMANDS!$G$2:$CK$25,MATCH($E142,DEMANDS!$E$2:$E$25,0),FALSE)</f>
        <v>0.057438943999848627</v>
      </c>
      <c r="H142" s="18">
        <f>HLOOKUP(REG_TRA_DEMANDS!H$3,'BY-Demands'!$J$5:$AK$14,MATCH($E142,'BY-Demands'!$I$5:$I$14,0),FALSE)*HLOOKUP(REG_TRA_DEMANDS!$F142,DEMANDS!$G$2:$CK$25,MATCH($E142,DEMANDS!$E$2:$E$25,0),FALSE)/HLOOKUP(2018,DEMANDS!$G$2:$CK$25,MATCH($E142,DEMANDS!$E$2:$E$25,0),FALSE)</f>
        <v>1.3593563926911449</v>
      </c>
      <c r="I142" s="18">
        <f>HLOOKUP(REG_TRA_DEMANDS!I$3,'BY-Demands'!$J$5:$AK$14,MATCH($E142,'BY-Demands'!$I$5:$I$14,0),FALSE)*HLOOKUP(REG_TRA_DEMANDS!$F142,DEMANDS!$G$2:$CK$25,MATCH($E142,DEMANDS!$E$2:$E$25,0),FALSE)/HLOOKUP(2018,DEMANDS!$G$2:$CK$25,MATCH($E142,DEMANDS!$E$2:$E$25,0),FALSE)</f>
        <v>0.22448525953316797</v>
      </c>
      <c r="J142" s="18">
        <f>HLOOKUP(REG_TRA_DEMANDS!J$3,'BY-Demands'!$J$5:$AK$14,MATCH($E142,'BY-Demands'!$I$5:$I$14,0),FALSE)*HLOOKUP(REG_TRA_DEMANDS!$F142,DEMANDS!$G$2:$CK$25,MATCH($E142,DEMANDS!$E$2:$E$25,0),FALSE)/HLOOKUP(2018,DEMANDS!$G$2:$CK$25,MATCH($E142,DEMANDS!$E$2:$E$25,0),FALSE)</f>
        <v>0.10011559915325263</v>
      </c>
      <c r="K142" s="18">
        <f>HLOOKUP(REG_TRA_DEMANDS!K$3,'BY-Demands'!$J$5:$AK$14,MATCH($E142,'BY-Demands'!$I$5:$I$14,0),FALSE)*HLOOKUP(REG_TRA_DEMANDS!$F142,DEMANDS!$G$2:$CK$25,MATCH($E142,DEMANDS!$E$2:$E$25,0),FALSE)/HLOOKUP(2018,DEMANDS!$G$2:$CK$25,MATCH($E142,DEMANDS!$E$2:$E$25,0),FALSE)</f>
        <v>0.085451174031391519</v>
      </c>
      <c r="L142" s="18">
        <f>HLOOKUP(REG_TRA_DEMANDS!L$3,'BY-Demands'!$J$5:$AK$14,MATCH($E142,'BY-Demands'!$I$5:$I$14,0),FALSE)*HLOOKUP(REG_TRA_DEMANDS!$F142,DEMANDS!$G$2:$CK$25,MATCH($E142,DEMANDS!$E$2:$E$25,0),FALSE)/HLOOKUP(2018,DEMANDS!$G$2:$CK$25,MATCH($E142,DEMANDS!$E$2:$E$25,0),FALSE)</f>
        <v>0.041236948607212297</v>
      </c>
      <c r="M142" s="18">
        <f>HLOOKUP(REG_TRA_DEMANDS!M$3,'BY-Demands'!$J$5:$AK$14,MATCH($E142,'BY-Demands'!$I$5:$I$14,0),FALSE)*HLOOKUP(REG_TRA_DEMANDS!$F142,DEMANDS!$G$2:$CK$25,MATCH($E142,DEMANDS!$E$2:$E$25,0),FALSE)/HLOOKUP(2018,DEMANDS!$G$2:$CK$25,MATCH($E142,DEMANDS!$E$2:$E$25,0),FALSE)</f>
        <v>0.1300316317444758</v>
      </c>
      <c r="N142" s="18">
        <f>HLOOKUP(REG_TRA_DEMANDS!N$3,'BY-Demands'!$J$5:$AK$14,MATCH($E142,'BY-Demands'!$I$5:$I$14,0),FALSE)*HLOOKUP(REG_TRA_DEMANDS!$F142,DEMANDS!$G$2:$CK$25,MATCH($E142,DEMANDS!$E$2:$E$25,0),FALSE)/HLOOKUP(2018,DEMANDS!$G$2:$CK$25,MATCH($E142,DEMANDS!$E$2:$E$25,0),FALSE)</f>
        <v>0.19678074533665604</v>
      </c>
      <c r="O142" s="18">
        <f>HLOOKUP(REG_TRA_DEMANDS!O$3,'BY-Demands'!$J$5:$AK$14,MATCH($E142,'BY-Demands'!$I$5:$I$14,0),FALSE)*HLOOKUP(REG_TRA_DEMANDS!$F142,DEMANDS!$G$2:$CK$25,MATCH($E142,DEMANDS!$E$2:$E$25,0),FALSE)/HLOOKUP(2018,DEMANDS!$G$2:$CK$25,MATCH($E142,DEMANDS!$E$2:$E$25,0),FALSE)</f>
        <v>0.07865519414691563</v>
      </c>
      <c r="P142" s="18">
        <f>HLOOKUP(REG_TRA_DEMANDS!P$3,'BY-Demands'!$J$5:$AK$14,MATCH($E142,'BY-Demands'!$I$5:$I$14,0),FALSE)*HLOOKUP(REG_TRA_DEMANDS!$F142,DEMANDS!$G$2:$CK$25,MATCH($E142,DEMANDS!$E$2:$E$25,0),FALSE)/HLOOKUP(2018,DEMANDS!$G$2:$CK$25,MATCH($E142,DEMANDS!$E$2:$E$25,0),FALSE)</f>
        <v>0.089560441559519588</v>
      </c>
      <c r="Q142" s="18">
        <f>HLOOKUP(REG_TRA_DEMANDS!Q$3,'BY-Demands'!$J$5:$AK$14,MATCH($E142,'BY-Demands'!$I$5:$I$14,0),FALSE)*HLOOKUP(REG_TRA_DEMANDS!$F142,DEMANDS!$G$2:$CK$25,MATCH($E142,DEMANDS!$E$2:$E$25,0),FALSE)/HLOOKUP(2018,DEMANDS!$G$2:$CK$25,MATCH($E142,DEMANDS!$E$2:$E$25,0),FALSE)</f>
        <v>0.15105518115550773</v>
      </c>
      <c r="R142" s="18">
        <f>HLOOKUP(REG_TRA_DEMANDS!R$3,'BY-Demands'!$J$5:$AK$14,MATCH($E142,'BY-Demands'!$I$5:$I$14,0),FALSE)*HLOOKUP(REG_TRA_DEMANDS!$F142,DEMANDS!$G$2:$CK$25,MATCH($E142,DEMANDS!$E$2:$E$25,0),FALSE)/HLOOKUP(2018,DEMANDS!$G$2:$CK$25,MATCH($E142,DEMANDS!$E$2:$E$25,0),FALSE)</f>
        <v>0.14369320591545071</v>
      </c>
      <c r="S142" s="18">
        <f>HLOOKUP(REG_TRA_DEMANDS!S$3,'BY-Demands'!$J$5:$AK$14,MATCH($E142,'BY-Demands'!$I$5:$I$14,0),FALSE)*HLOOKUP(REG_TRA_DEMANDS!$F142,DEMANDS!$G$2:$CK$25,MATCH($E142,DEMANDS!$E$2:$E$25,0),FALSE)/HLOOKUP(2018,DEMANDS!$G$2:$CK$25,MATCH($E142,DEMANDS!$E$2:$E$25,0),FALSE)</f>
        <v>0.11987499137971645</v>
      </c>
      <c r="T142" s="18">
        <f>HLOOKUP(REG_TRA_DEMANDS!T$3,'BY-Demands'!$J$5:$AK$14,MATCH($E142,'BY-Demands'!$I$5:$I$14,0),FALSE)*HLOOKUP(REG_TRA_DEMANDS!$F142,DEMANDS!$G$2:$CK$25,MATCH($E142,DEMANDS!$E$2:$E$25,0),FALSE)/HLOOKUP(2018,DEMANDS!$G$2:$CK$25,MATCH($E142,DEMANDS!$E$2:$E$25,0),FALSE)</f>
        <v>0.54770190141414044</v>
      </c>
      <c r="U142" s="18">
        <f>HLOOKUP(REG_TRA_DEMANDS!U$3,'BY-Demands'!$J$5:$AK$14,MATCH($E142,'BY-Demands'!$I$5:$I$14,0),FALSE)*HLOOKUP(REG_TRA_DEMANDS!$F142,DEMANDS!$G$2:$CK$25,MATCH($E142,DEMANDS!$E$2:$E$25,0),FALSE)/HLOOKUP(2018,DEMANDS!$G$2:$CK$25,MATCH($E142,DEMANDS!$E$2:$E$25,0),FALSE)</f>
        <v>0.1490222388355521</v>
      </c>
      <c r="V142" s="18">
        <f>HLOOKUP(REG_TRA_DEMANDS!V$3,'BY-Demands'!$J$5:$AK$14,MATCH($E142,'BY-Demands'!$I$5:$I$14,0),FALSE)*HLOOKUP(REG_TRA_DEMANDS!$F142,DEMANDS!$G$2:$CK$25,MATCH($E142,DEMANDS!$E$2:$E$25,0),FALSE)/HLOOKUP(2018,DEMANDS!$G$2:$CK$25,MATCH($E142,DEMANDS!$E$2:$E$25,0),FALSE)</f>
        <v>0.19663445420196951</v>
      </c>
      <c r="W142" s="18">
        <f>HLOOKUP(REG_TRA_DEMANDS!W$3,'BY-Demands'!$J$5:$AK$14,MATCH($E142,'BY-Demands'!$I$5:$I$14,0),FALSE)*HLOOKUP(REG_TRA_DEMANDS!$F142,DEMANDS!$G$2:$CK$25,MATCH($E142,DEMANDS!$E$2:$E$25,0),FALSE)/HLOOKUP(2018,DEMANDS!$G$2:$CK$25,MATCH($E142,DEMANDS!$E$2:$E$25,0),FALSE)</f>
        <v>0.1609737200872588</v>
      </c>
      <c r="X142" s="18">
        <f>HLOOKUP(REG_TRA_DEMANDS!X$3,'BY-Demands'!$J$5:$AK$14,MATCH($E142,'BY-Demands'!$I$5:$I$14,0),FALSE)*HLOOKUP(REG_TRA_DEMANDS!$F142,DEMANDS!$G$2:$CK$25,MATCH($E142,DEMANDS!$E$2:$E$25,0),FALSE)/HLOOKUP(2018,DEMANDS!$G$2:$CK$25,MATCH($E142,DEMANDS!$E$2:$E$25,0),FALSE)</f>
        <v>0.11721047491966588</v>
      </c>
      <c r="Y142" s="18">
        <f>HLOOKUP(REG_TRA_DEMANDS!Y$3,'BY-Demands'!$J$5:$AK$14,MATCH($E142,'BY-Demands'!$I$5:$I$14,0),FALSE)*HLOOKUP(REG_TRA_DEMANDS!$F142,DEMANDS!$G$2:$CK$25,MATCH($E142,DEMANDS!$E$2:$E$25,0),FALSE)/HLOOKUP(2018,DEMANDS!$G$2:$CK$25,MATCH($E142,DEMANDS!$E$2:$E$25,0),FALSE)</f>
        <v>0.26035584575832466</v>
      </c>
      <c r="Z142" s="18">
        <f>HLOOKUP(REG_TRA_DEMANDS!Z$3,'BY-Demands'!$J$5:$AK$14,MATCH($E142,'BY-Demands'!$I$5:$I$14,0),FALSE)*HLOOKUP(REG_TRA_DEMANDS!$F142,DEMANDS!$G$2:$CK$25,MATCH($E142,DEMANDS!$E$2:$E$25,0),FALSE)/HLOOKUP(2018,DEMANDS!$G$2:$CK$25,MATCH($E142,DEMANDS!$E$2:$E$25,0),FALSE)</f>
        <v>0.032329331861363629</v>
      </c>
      <c r="AA142" s="18">
        <f>HLOOKUP(REG_TRA_DEMANDS!AA$3,'BY-Demands'!$J$5:$AK$14,MATCH($E142,'BY-Demands'!$I$5:$I$14,0),FALSE)*HLOOKUP(REG_TRA_DEMANDS!$F142,DEMANDS!$G$2:$CK$25,MATCH($E142,DEMANDS!$E$2:$E$25,0),FALSE)/HLOOKUP(2018,DEMANDS!$G$2:$CK$25,MATCH($E142,DEMANDS!$E$2:$E$25,0),FALSE)</f>
        <v>0.13166908354858861</v>
      </c>
      <c r="AB142" s="18">
        <f>HLOOKUP(REG_TRA_DEMANDS!AB$3,'BY-Demands'!$J$5:$AK$14,MATCH($E142,'BY-Demands'!$I$5:$I$14,0),FALSE)*HLOOKUP(REG_TRA_DEMANDS!$F142,DEMANDS!$G$2:$CK$25,MATCH($E142,DEMANDS!$E$2:$E$25,0),FALSE)/HLOOKUP(2018,DEMANDS!$G$2:$CK$25,MATCH($E142,DEMANDS!$E$2:$E$25,0),FALSE)</f>
        <v>0.065118724118707089</v>
      </c>
      <c r="AC142" s="18">
        <f>HLOOKUP(REG_TRA_DEMANDS!AC$3,'BY-Demands'!$J$5:$AK$14,MATCH($E142,'BY-Demands'!$I$5:$I$14,0),FALSE)*HLOOKUP(REG_TRA_DEMANDS!$F142,DEMANDS!$G$2:$CK$25,MATCH($E142,DEMANDS!$E$2:$E$25,0),FALSE)/HLOOKUP(2018,DEMANDS!$G$2:$CK$25,MATCH($E142,DEMANDS!$E$2:$E$25,0),FALSE)</f>
        <v>0.066118548356461804</v>
      </c>
      <c r="AD142" s="18">
        <f>HLOOKUP(REG_TRA_DEMANDS!AD$3,'BY-Demands'!$J$5:$AK$14,MATCH($E142,'BY-Demands'!$I$5:$I$14,0),FALSE)*HLOOKUP(REG_TRA_DEMANDS!$F142,DEMANDS!$G$2:$CK$25,MATCH($E142,DEMANDS!$E$2:$E$25,0),FALSE)/HLOOKUP(2018,DEMANDS!$G$2:$CK$25,MATCH($E142,DEMANDS!$E$2:$E$25,0),FALSE)</f>
        <v>0.076854299833704634</v>
      </c>
      <c r="AE142" s="18">
        <f>HLOOKUP(REG_TRA_DEMANDS!AE$3,'BY-Demands'!$J$5:$AK$14,MATCH($E142,'BY-Demands'!$I$5:$I$14,0),FALSE)*HLOOKUP(REG_TRA_DEMANDS!$F142,DEMANDS!$G$2:$CK$25,MATCH($E142,DEMANDS!$E$2:$E$25,0),FALSE)/HLOOKUP(2018,DEMANDS!$G$2:$CK$25,MATCH($E142,DEMANDS!$E$2:$E$25,0),FALSE)</f>
        <v>0.16060950560710857</v>
      </c>
      <c r="AF142" s="18">
        <f>HLOOKUP(REG_TRA_DEMANDS!AF$3,'BY-Demands'!$J$5:$AK$14,MATCH($E142,'BY-Demands'!$I$5:$I$14,0),FALSE)*HLOOKUP(REG_TRA_DEMANDS!$F142,DEMANDS!$G$2:$CK$25,MATCH($E142,DEMANDS!$E$2:$E$25,0),FALSE)/HLOOKUP(2018,DEMANDS!$G$2:$CK$25,MATCH($E142,DEMANDS!$E$2:$E$25,0),FALSE)</f>
        <v>0.061932604095670425</v>
      </c>
    </row>
    <row r="143" spans="4:32" ht="14.4">
      <c r="D143" t="s">
        <v>6</v>
      </c>
      <c r="E143" t="str">
        <f>DEMANDS!$E$22</f>
        <v>TNAV</v>
      </c>
      <c r="F143">
        <v>2024</v>
      </c>
      <c r="G143" s="18">
        <f>HLOOKUP(REG_TRA_DEMANDS!G$3,'BY-Demands'!$J$5:$AK$14,MATCH($E143,'BY-Demands'!$I$5:$I$14,0),FALSE)*HLOOKUP(REG_TRA_DEMANDS!$F143,DEMANDS!$G$2:$CK$25,MATCH($E143,DEMANDS!$E$2:$E$25,0),FALSE)/HLOOKUP(2018,DEMANDS!$G$2:$CK$25,MATCH($E143,DEMANDS!$E$2:$E$25,0),FALSE)</f>
        <v>0.059248137110279785</v>
      </c>
      <c r="H143" s="18">
        <f>HLOOKUP(REG_TRA_DEMANDS!H$3,'BY-Demands'!$J$5:$AK$14,MATCH($E143,'BY-Demands'!$I$5:$I$14,0),FALSE)*HLOOKUP(REG_TRA_DEMANDS!$F143,DEMANDS!$G$2:$CK$25,MATCH($E143,DEMANDS!$E$2:$E$25,0),FALSE)/HLOOKUP(2018,DEMANDS!$G$2:$CK$25,MATCH($E143,DEMANDS!$E$2:$E$25,0),FALSE)</f>
        <v>1.4021729566635579</v>
      </c>
      <c r="I143" s="18">
        <f>HLOOKUP(REG_TRA_DEMANDS!I$3,'BY-Demands'!$J$5:$AK$14,MATCH($E143,'BY-Demands'!$I$5:$I$14,0),FALSE)*HLOOKUP(REG_TRA_DEMANDS!$F143,DEMANDS!$G$2:$CK$25,MATCH($E143,DEMANDS!$E$2:$E$25,0),FALSE)/HLOOKUP(2018,DEMANDS!$G$2:$CK$25,MATCH($E143,DEMANDS!$E$2:$E$25,0),FALSE)</f>
        <v>0.23155602296749972</v>
      </c>
      <c r="J143" s="18">
        <f>HLOOKUP(REG_TRA_DEMANDS!J$3,'BY-Demands'!$J$5:$AK$14,MATCH($E143,'BY-Demands'!$I$5:$I$14,0),FALSE)*HLOOKUP(REG_TRA_DEMANDS!$F143,DEMANDS!$G$2:$CK$25,MATCH($E143,DEMANDS!$E$2:$E$25,0),FALSE)/HLOOKUP(2018,DEMANDS!$G$2:$CK$25,MATCH($E143,DEMANDS!$E$2:$E$25,0),FALSE)</f>
        <v>0.10326900761833914</v>
      </c>
      <c r="K143" s="18">
        <f>HLOOKUP(REG_TRA_DEMANDS!K$3,'BY-Demands'!$J$5:$AK$14,MATCH($E143,'BY-Demands'!$I$5:$I$14,0),FALSE)*HLOOKUP(REG_TRA_DEMANDS!$F143,DEMANDS!$G$2:$CK$25,MATCH($E143,DEMANDS!$E$2:$E$25,0),FALSE)/HLOOKUP(2018,DEMANDS!$G$2:$CK$25,MATCH($E143,DEMANDS!$E$2:$E$25,0),FALSE)</f>
        <v>0.088142687220357077</v>
      </c>
      <c r="L143" s="18">
        <f>HLOOKUP(REG_TRA_DEMANDS!L$3,'BY-Demands'!$J$5:$AK$14,MATCH($E143,'BY-Demands'!$I$5:$I$14,0),FALSE)*HLOOKUP(REG_TRA_DEMANDS!$F143,DEMANDS!$G$2:$CK$25,MATCH($E143,DEMANDS!$E$2:$E$25,0),FALSE)/HLOOKUP(2018,DEMANDS!$G$2:$CK$25,MATCH($E143,DEMANDS!$E$2:$E$25,0),FALSE)</f>
        <v>0.042535816554986006</v>
      </c>
      <c r="M143" s="18">
        <f>HLOOKUP(REG_TRA_DEMANDS!M$3,'BY-Demands'!$J$5:$AK$14,MATCH($E143,'BY-Demands'!$I$5:$I$14,0),FALSE)*HLOOKUP(REG_TRA_DEMANDS!$F143,DEMANDS!$G$2:$CK$25,MATCH($E143,DEMANDS!$E$2:$E$25,0),FALSE)/HLOOKUP(2018,DEMANDS!$G$2:$CK$25,MATCH($E143,DEMANDS!$E$2:$E$25,0),FALSE)</f>
        <v>0.13412732563973345</v>
      </c>
      <c r="N143" s="18">
        <f>HLOOKUP(REG_TRA_DEMANDS!N$3,'BY-Demands'!$J$5:$AK$14,MATCH($E143,'BY-Demands'!$I$5:$I$14,0),FALSE)*HLOOKUP(REG_TRA_DEMANDS!$F143,DEMANDS!$G$2:$CK$25,MATCH($E143,DEMANDS!$E$2:$E$25,0),FALSE)/HLOOKUP(2018,DEMANDS!$G$2:$CK$25,MATCH($E143,DEMANDS!$E$2:$E$25,0),FALSE)</f>
        <v>0.20297888102538883</v>
      </c>
      <c r="O143" s="18">
        <f>HLOOKUP(REG_TRA_DEMANDS!O$3,'BY-Demands'!$J$5:$AK$14,MATCH($E143,'BY-Demands'!$I$5:$I$14,0),FALSE)*HLOOKUP(REG_TRA_DEMANDS!$F143,DEMANDS!$G$2:$CK$25,MATCH($E143,DEMANDS!$E$2:$E$25,0),FALSE)/HLOOKUP(2018,DEMANDS!$G$2:$CK$25,MATCH($E143,DEMANDS!$E$2:$E$25,0),FALSE)</f>
        <v>0.08113264977964102</v>
      </c>
      <c r="P143" s="18">
        <f>HLOOKUP(REG_TRA_DEMANDS!P$3,'BY-Demands'!$J$5:$AK$14,MATCH($E143,'BY-Demands'!$I$5:$I$14,0),FALSE)*HLOOKUP(REG_TRA_DEMANDS!$F143,DEMANDS!$G$2:$CK$25,MATCH($E143,DEMANDS!$E$2:$E$25,0),FALSE)/HLOOKUP(2018,DEMANDS!$G$2:$CK$25,MATCH($E143,DEMANDS!$E$2:$E$25,0),FALSE)</f>
        <v>0.092381387115849478</v>
      </c>
      <c r="Q143" s="18">
        <f>HLOOKUP(REG_TRA_DEMANDS!Q$3,'BY-Demands'!$J$5:$AK$14,MATCH($E143,'BY-Demands'!$I$5:$I$14,0),FALSE)*HLOOKUP(REG_TRA_DEMANDS!$F143,DEMANDS!$G$2:$CK$25,MATCH($E143,DEMANDS!$E$2:$E$25,0),FALSE)/HLOOKUP(2018,DEMANDS!$G$2:$CK$25,MATCH($E143,DEMANDS!$E$2:$E$25,0),FALSE)</f>
        <v>0.15581306794817221</v>
      </c>
      <c r="R143" s="18">
        <f>HLOOKUP(REG_TRA_DEMANDS!R$3,'BY-Demands'!$J$5:$AK$14,MATCH($E143,'BY-Demands'!$I$5:$I$14,0),FALSE)*HLOOKUP(REG_TRA_DEMANDS!$F143,DEMANDS!$G$2:$CK$25,MATCH($E143,DEMANDS!$E$2:$E$25,0),FALSE)/HLOOKUP(2018,DEMANDS!$G$2:$CK$25,MATCH($E143,DEMANDS!$E$2:$E$25,0),FALSE)</f>
        <v>0.14821920761490193</v>
      </c>
      <c r="S143" s="18">
        <f>HLOOKUP(REG_TRA_DEMANDS!S$3,'BY-Demands'!$J$5:$AK$14,MATCH($E143,'BY-Demands'!$I$5:$I$14,0),FALSE)*HLOOKUP(REG_TRA_DEMANDS!$F143,DEMANDS!$G$2:$CK$25,MATCH($E143,DEMANDS!$E$2:$E$25,0),FALSE)/HLOOKUP(2018,DEMANDS!$G$2:$CK$25,MATCH($E143,DEMANDS!$E$2:$E$25,0),FALSE)</f>
        <v>0.12365077473182244</v>
      </c>
      <c r="T143" s="18">
        <f>HLOOKUP(REG_TRA_DEMANDS!T$3,'BY-Demands'!$J$5:$AK$14,MATCH($E143,'BY-Demands'!$I$5:$I$14,0),FALSE)*HLOOKUP(REG_TRA_DEMANDS!$F143,DEMANDS!$G$2:$CK$25,MATCH($E143,DEMANDS!$E$2:$E$25,0),FALSE)/HLOOKUP(2018,DEMANDS!$G$2:$CK$25,MATCH($E143,DEMANDS!$E$2:$E$25,0),FALSE)</f>
        <v>0.56495323713875123</v>
      </c>
      <c r="U143" s="18">
        <f>HLOOKUP(REG_TRA_DEMANDS!U$3,'BY-Demands'!$J$5:$AK$14,MATCH($E143,'BY-Demands'!$I$5:$I$14,0),FALSE)*HLOOKUP(REG_TRA_DEMANDS!$F143,DEMANDS!$G$2:$CK$25,MATCH($E143,DEMANDS!$E$2:$E$25,0),FALSE)/HLOOKUP(2018,DEMANDS!$G$2:$CK$25,MATCH($E143,DEMANDS!$E$2:$E$25,0),FALSE)</f>
        <v>0.15371609267456104</v>
      </c>
      <c r="V143" s="18">
        <f>HLOOKUP(REG_TRA_DEMANDS!V$3,'BY-Demands'!$J$5:$AK$14,MATCH($E143,'BY-Demands'!$I$5:$I$14,0),FALSE)*HLOOKUP(REG_TRA_DEMANDS!$F143,DEMANDS!$G$2:$CK$25,MATCH($E143,DEMANDS!$E$2:$E$25,0),FALSE)/HLOOKUP(2018,DEMANDS!$G$2:$CK$25,MATCH($E143,DEMANDS!$E$2:$E$25,0),FALSE)</f>
        <v>0.20282798206029035</v>
      </c>
      <c r="W143" s="18">
        <f>HLOOKUP(REG_TRA_DEMANDS!W$3,'BY-Demands'!$J$5:$AK$14,MATCH($E143,'BY-Demands'!$I$5:$I$14,0),FALSE)*HLOOKUP(REG_TRA_DEMANDS!$F143,DEMANDS!$G$2:$CK$25,MATCH($E143,DEMANDS!$E$2:$E$25,0),FALSE)/HLOOKUP(2018,DEMANDS!$G$2:$CK$25,MATCH($E143,DEMANDS!$E$2:$E$25,0),FALSE)</f>
        <v>0.16604401778185271</v>
      </c>
      <c r="X143" s="18">
        <f>HLOOKUP(REG_TRA_DEMANDS!X$3,'BY-Demands'!$J$5:$AK$14,MATCH($E143,'BY-Demands'!$I$5:$I$14,0),FALSE)*HLOOKUP(REG_TRA_DEMANDS!$F143,DEMANDS!$G$2:$CK$25,MATCH($E143,DEMANDS!$E$2:$E$25,0),FALSE)/HLOOKUP(2018,DEMANDS!$G$2:$CK$25,MATCH($E143,DEMANDS!$E$2:$E$25,0),FALSE)</f>
        <v>0.12090233220199303</v>
      </c>
      <c r="Y143" s="18">
        <f>HLOOKUP(REG_TRA_DEMANDS!Y$3,'BY-Demands'!$J$5:$AK$14,MATCH($E143,'BY-Demands'!$I$5:$I$14,0),FALSE)*HLOOKUP(REG_TRA_DEMANDS!$F143,DEMANDS!$G$2:$CK$25,MATCH($E143,DEMANDS!$E$2:$E$25,0),FALSE)/HLOOKUP(2018,DEMANDS!$G$2:$CK$25,MATCH($E143,DEMANDS!$E$2:$E$25,0),FALSE)</f>
        <v>0.26855644920966387</v>
      </c>
      <c r="Z143" s="18">
        <f>HLOOKUP(REG_TRA_DEMANDS!Z$3,'BY-Demands'!$J$5:$AK$14,MATCH($E143,'BY-Demands'!$I$5:$I$14,0),FALSE)*HLOOKUP(REG_TRA_DEMANDS!$F143,DEMANDS!$G$2:$CK$25,MATCH($E143,DEMANDS!$E$2:$E$25,0),FALSE)/HLOOKUP(2018,DEMANDS!$G$2:$CK$25,MATCH($E143,DEMANDS!$E$2:$E$25,0),FALSE)</f>
        <v>0.033347630604261401</v>
      </c>
      <c r="AA143" s="18">
        <f>HLOOKUP(REG_TRA_DEMANDS!AA$3,'BY-Demands'!$J$5:$AK$14,MATCH($E143,'BY-Demands'!$I$5:$I$14,0),FALSE)*HLOOKUP(REG_TRA_DEMANDS!$F143,DEMANDS!$G$2:$CK$25,MATCH($E143,DEMANDS!$E$2:$E$25,0),FALSE)/HLOOKUP(2018,DEMANDS!$G$2:$CK$25,MATCH($E143,DEMANDS!$E$2:$E$25,0),FALSE)</f>
        <v>0.13581635336631923</v>
      </c>
      <c r="AB143" s="18">
        <f>HLOOKUP(REG_TRA_DEMANDS!AB$3,'BY-Demands'!$J$5:$AK$14,MATCH($E143,'BY-Demands'!$I$5:$I$14,0),FALSE)*HLOOKUP(REG_TRA_DEMANDS!$F143,DEMANDS!$G$2:$CK$25,MATCH($E143,DEMANDS!$E$2:$E$25,0),FALSE)/HLOOKUP(2018,DEMANDS!$G$2:$CK$25,MATCH($E143,DEMANDS!$E$2:$E$25,0),FALSE)</f>
        <v>0.067169812436694648</v>
      </c>
      <c r="AC143" s="18">
        <f>HLOOKUP(REG_TRA_DEMANDS!AC$3,'BY-Demands'!$J$5:$AK$14,MATCH($E143,'BY-Demands'!$I$5:$I$14,0),FALSE)*HLOOKUP(REG_TRA_DEMANDS!$F143,DEMANDS!$G$2:$CK$25,MATCH($E143,DEMANDS!$E$2:$E$25,0),FALSE)/HLOOKUP(2018,DEMANDS!$G$2:$CK$25,MATCH($E143,DEMANDS!$E$2:$E$25,0),FALSE)</f>
        <v>0.06820112881195442</v>
      </c>
      <c r="AD143" s="18">
        <f>HLOOKUP(REG_TRA_DEMANDS!AD$3,'BY-Demands'!$J$5:$AK$14,MATCH($E143,'BY-Demands'!$I$5:$I$14,0),FALSE)*HLOOKUP(REG_TRA_DEMANDS!$F143,DEMANDS!$G$2:$CK$25,MATCH($E143,DEMANDS!$E$2:$E$25,0),FALSE)/HLOOKUP(2018,DEMANDS!$G$2:$CK$25,MATCH($E143,DEMANDS!$E$2:$E$25,0),FALSE)</f>
        <v>0.079275031485152039</v>
      </c>
      <c r="AE143" s="18">
        <f>HLOOKUP(REG_TRA_DEMANDS!AE$3,'BY-Demands'!$J$5:$AK$14,MATCH($E143,'BY-Demands'!$I$5:$I$14,0),FALSE)*HLOOKUP(REG_TRA_DEMANDS!$F143,DEMANDS!$G$2:$CK$25,MATCH($E143,DEMANDS!$E$2:$E$25,0),FALSE)/HLOOKUP(2018,DEMANDS!$G$2:$CK$25,MATCH($E143,DEMANDS!$E$2:$E$25,0),FALSE)</f>
        <v>0.16566833139288381</v>
      </c>
      <c r="AF143" s="18">
        <f>HLOOKUP(REG_TRA_DEMANDS!AF$3,'BY-Demands'!$J$5:$AK$14,MATCH($E143,'BY-Demands'!$I$5:$I$14,0),FALSE)*HLOOKUP(REG_TRA_DEMANDS!$F143,DEMANDS!$G$2:$CK$25,MATCH($E143,DEMANDS!$E$2:$E$25,0),FALSE)/HLOOKUP(2018,DEMANDS!$G$2:$CK$25,MATCH($E143,DEMANDS!$E$2:$E$25,0),FALSE)</f>
        <v>0.063883337045100047</v>
      </c>
    </row>
    <row r="144" spans="4:32" ht="14.4">
      <c r="D144" t="s">
        <v>6</v>
      </c>
      <c r="E144" t="str">
        <f>DEMANDS!$E$22</f>
        <v>TNAV</v>
      </c>
      <c r="F144">
        <v>2025</v>
      </c>
      <c r="G144" s="18">
        <f>HLOOKUP(REG_TRA_DEMANDS!G$3,'BY-Demands'!$J$5:$AK$14,MATCH($E144,'BY-Demands'!$I$5:$I$14,0),FALSE)*HLOOKUP(REG_TRA_DEMANDS!$F144,DEMANDS!$G$2:$CK$25,MATCH($E144,DEMANDS!$E$2:$E$25,0),FALSE)/HLOOKUP(2018,DEMANDS!$G$2:$CK$25,MATCH($E144,DEMANDS!$E$2:$E$25,0),FALSE)</f>
        <v>0.061129511486040324</v>
      </c>
      <c r="H144" s="18">
        <f>HLOOKUP(REG_TRA_DEMANDS!H$3,'BY-Demands'!$J$5:$AK$14,MATCH($E144,'BY-Demands'!$I$5:$I$14,0),FALSE)*HLOOKUP(REG_TRA_DEMANDS!$F144,DEMANDS!$G$2:$CK$25,MATCH($E144,DEMANDS!$E$2:$E$25,0),FALSE)/HLOOKUP(2018,DEMANDS!$G$2:$CK$25,MATCH($E144,DEMANDS!$E$2:$E$25,0),FALSE)</f>
        <v>1.4466977704335002</v>
      </c>
      <c r="I144" s="18">
        <f>HLOOKUP(REG_TRA_DEMANDS!I$3,'BY-Demands'!$J$5:$AK$14,MATCH($E144,'BY-Demands'!$I$5:$I$14,0),FALSE)*HLOOKUP(REG_TRA_DEMANDS!$F144,DEMANDS!$G$2:$CK$25,MATCH($E144,DEMANDS!$E$2:$E$25,0),FALSE)/HLOOKUP(2018,DEMANDS!$G$2:$CK$25,MATCH($E144,DEMANDS!$E$2:$E$25,0),FALSE)</f>
        <v>0.23890888821207609</v>
      </c>
      <c r="J144" s="18">
        <f>HLOOKUP(REG_TRA_DEMANDS!J$3,'BY-Demands'!$J$5:$AK$14,MATCH($E144,'BY-Demands'!$I$5:$I$14,0),FALSE)*HLOOKUP(REG_TRA_DEMANDS!$F144,DEMANDS!$G$2:$CK$25,MATCH($E144,DEMANDS!$E$2:$E$25,0),FALSE)/HLOOKUP(2018,DEMANDS!$G$2:$CK$25,MATCH($E144,DEMANDS!$E$2:$E$25,0),FALSE)</f>
        <v>0.10654822742539792</v>
      </c>
      <c r="K144" s="18">
        <f>HLOOKUP(REG_TRA_DEMANDS!K$3,'BY-Demands'!$J$5:$AK$14,MATCH($E144,'BY-Demands'!$I$5:$I$14,0),FALSE)*HLOOKUP(REG_TRA_DEMANDS!$F144,DEMANDS!$G$2:$CK$25,MATCH($E144,DEMANDS!$E$2:$E$25,0),FALSE)/HLOOKUP(2018,DEMANDS!$G$2:$CK$25,MATCH($E144,DEMANDS!$E$2:$E$25,0),FALSE)</f>
        <v>0.090941583544108057</v>
      </c>
      <c r="L144" s="18">
        <f>HLOOKUP(REG_TRA_DEMANDS!L$3,'BY-Demands'!$J$5:$AK$14,MATCH($E144,'BY-Demands'!$I$5:$I$14,0),FALSE)*HLOOKUP(REG_TRA_DEMANDS!$F144,DEMANDS!$G$2:$CK$25,MATCH($E144,DEMANDS!$E$2:$E$25,0),FALSE)/HLOOKUP(2018,DEMANDS!$G$2:$CK$25,MATCH($E144,DEMANDS!$E$2:$E$25,0),FALSE)</f>
        <v>0.043886505356722477</v>
      </c>
      <c r="M144" s="18">
        <f>HLOOKUP(REG_TRA_DEMANDS!M$3,'BY-Demands'!$J$5:$AK$14,MATCH($E144,'BY-Demands'!$I$5:$I$14,0),FALSE)*HLOOKUP(REG_TRA_DEMANDS!$F144,DEMANDS!$G$2:$CK$25,MATCH($E144,DEMANDS!$E$2:$E$25,0),FALSE)/HLOOKUP(2018,DEMANDS!$G$2:$CK$25,MATCH($E144,DEMANDS!$E$2:$E$25,0),FALSE)</f>
        <v>0.13838642518033492</v>
      </c>
      <c r="N144" s="18">
        <f>HLOOKUP(REG_TRA_DEMANDS!N$3,'BY-Demands'!$J$5:$AK$14,MATCH($E144,'BY-Demands'!$I$5:$I$14,0),FALSE)*HLOOKUP(REG_TRA_DEMANDS!$F144,DEMANDS!$G$2:$CK$25,MATCH($E144,DEMANDS!$E$2:$E$25,0),FALSE)/HLOOKUP(2018,DEMANDS!$G$2:$CK$25,MATCH($E144,DEMANDS!$E$2:$E$25,0),FALSE)</f>
        <v>0.20942430334931633</v>
      </c>
      <c r="O144" s="18">
        <f>HLOOKUP(REG_TRA_DEMANDS!O$3,'BY-Demands'!$J$5:$AK$14,MATCH($E144,'BY-Demands'!$I$5:$I$14,0),FALSE)*HLOOKUP(REG_TRA_DEMANDS!$F144,DEMANDS!$G$2:$CK$25,MATCH($E144,DEMANDS!$E$2:$E$25,0),FALSE)/HLOOKUP(2018,DEMANDS!$G$2:$CK$25,MATCH($E144,DEMANDS!$E$2:$E$25,0),FALSE)</f>
        <v>0.083708948306105369</v>
      </c>
      <c r="P144" s="18">
        <f>HLOOKUP(REG_TRA_DEMANDS!P$3,'BY-Demands'!$J$5:$AK$14,MATCH($E144,'BY-Demands'!$I$5:$I$14,0),FALSE)*HLOOKUP(REG_TRA_DEMANDS!$F144,DEMANDS!$G$2:$CK$25,MATCH($E144,DEMANDS!$E$2:$E$25,0),FALSE)/HLOOKUP(2018,DEMANDS!$G$2:$CK$25,MATCH($E144,DEMANDS!$E$2:$E$25,0),FALSE)</f>
        <v>0.095314879762098764</v>
      </c>
      <c r="Q144" s="18">
        <f>HLOOKUP(REG_TRA_DEMANDS!Q$3,'BY-Demands'!$J$5:$AK$14,MATCH($E144,'BY-Demands'!$I$5:$I$14,0),FALSE)*HLOOKUP(REG_TRA_DEMANDS!$F144,DEMANDS!$G$2:$CK$25,MATCH($E144,DEMANDS!$E$2:$E$25,0),FALSE)/HLOOKUP(2018,DEMANDS!$G$2:$CK$25,MATCH($E144,DEMANDS!$E$2:$E$25,0),FALSE)</f>
        <v>0.16076077985514226</v>
      </c>
      <c r="R144" s="18">
        <f>HLOOKUP(REG_TRA_DEMANDS!R$3,'BY-Demands'!$J$5:$AK$14,MATCH($E144,'BY-Demands'!$I$5:$I$14,0),FALSE)*HLOOKUP(REG_TRA_DEMANDS!$F144,DEMANDS!$G$2:$CK$25,MATCH($E144,DEMANDS!$E$2:$E$25,0),FALSE)/HLOOKUP(2018,DEMANDS!$G$2:$CK$25,MATCH($E144,DEMANDS!$E$2:$E$25,0),FALSE)</f>
        <v>0.15292578292347522</v>
      </c>
      <c r="S144" s="18">
        <f>HLOOKUP(REG_TRA_DEMANDS!S$3,'BY-Demands'!$J$5:$AK$14,MATCH($E144,'BY-Demands'!$I$5:$I$14,0),FALSE)*HLOOKUP(REG_TRA_DEMANDS!$F144,DEMANDS!$G$2:$CK$25,MATCH($E144,DEMANDS!$E$2:$E$25,0),FALSE)/HLOOKUP(2018,DEMANDS!$G$2:$CK$25,MATCH($E144,DEMANDS!$E$2:$E$25,0),FALSE)</f>
        <v>0.12757720027817143</v>
      </c>
      <c r="T144" s="18">
        <f>HLOOKUP(REG_TRA_DEMANDS!T$3,'BY-Demands'!$J$5:$AK$14,MATCH($E144,'BY-Demands'!$I$5:$I$14,0),FALSE)*HLOOKUP(REG_TRA_DEMANDS!$F144,DEMANDS!$G$2:$CK$25,MATCH($E144,DEMANDS!$E$2:$E$25,0),FALSE)/HLOOKUP(2018,DEMANDS!$G$2:$CK$25,MATCH($E144,DEMANDS!$E$2:$E$25,0),FALSE)</f>
        <v>0.58289284833492172</v>
      </c>
      <c r="U144" s="18">
        <f>HLOOKUP(REG_TRA_DEMANDS!U$3,'BY-Demands'!$J$5:$AK$14,MATCH($E144,'BY-Demands'!$I$5:$I$14,0),FALSE)*HLOOKUP(REG_TRA_DEMANDS!$F144,DEMANDS!$G$2:$CK$25,MATCH($E144,DEMANDS!$E$2:$E$25,0),FALSE)/HLOOKUP(2018,DEMANDS!$G$2:$CK$25,MATCH($E144,DEMANDS!$E$2:$E$25,0),FALSE)</f>
        <v>0.15859721690909456</v>
      </c>
      <c r="V144" s="18">
        <f>HLOOKUP(REG_TRA_DEMANDS!V$3,'BY-Demands'!$J$5:$AK$14,MATCH($E144,'BY-Demands'!$I$5:$I$14,0),FALSE)*HLOOKUP(REG_TRA_DEMANDS!$F144,DEMANDS!$G$2:$CK$25,MATCH($E144,DEMANDS!$E$2:$E$25,0),FALSE)/HLOOKUP(2018,DEMANDS!$G$2:$CK$25,MATCH($E144,DEMANDS!$E$2:$E$25,0),FALSE)</f>
        <v>0.20926861271548172</v>
      </c>
      <c r="W144" s="18">
        <f>HLOOKUP(REG_TRA_DEMANDS!W$3,'BY-Demands'!$J$5:$AK$14,MATCH($E144,'BY-Demands'!$I$5:$I$14,0),FALSE)*HLOOKUP(REG_TRA_DEMANDS!$F144,DEMANDS!$G$2:$CK$25,MATCH($E144,DEMANDS!$E$2:$E$25,0),FALSE)/HLOOKUP(2018,DEMANDS!$G$2:$CK$25,MATCH($E144,DEMANDS!$E$2:$E$25,0),FALSE)</f>
        <v>0.17131660482913227</v>
      </c>
      <c r="X144" s="18">
        <f>HLOOKUP(REG_TRA_DEMANDS!X$3,'BY-Demands'!$J$5:$AK$14,MATCH($E144,'BY-Demands'!$I$5:$I$14,0),FALSE)*HLOOKUP(REG_TRA_DEMANDS!$F144,DEMANDS!$G$2:$CK$25,MATCH($E144,DEMANDS!$E$2:$E$25,0),FALSE)/HLOOKUP(2018,DEMANDS!$G$2:$CK$25,MATCH($E144,DEMANDS!$E$2:$E$25,0),FALSE)</f>
        <v>0.12474148328536191</v>
      </c>
      <c r="Y144" s="18">
        <f>HLOOKUP(REG_TRA_DEMANDS!Y$3,'BY-Demands'!$J$5:$AK$14,MATCH($E144,'BY-Demands'!$I$5:$I$14,0),FALSE)*HLOOKUP(REG_TRA_DEMANDS!$F144,DEMANDS!$G$2:$CK$25,MATCH($E144,DEMANDS!$E$2:$E$25,0),FALSE)/HLOOKUP(2018,DEMANDS!$G$2:$CK$25,MATCH($E144,DEMANDS!$E$2:$E$25,0),FALSE)</f>
        <v>0.27708423162833901</v>
      </c>
      <c r="Z144" s="18">
        <f>HLOOKUP(REG_TRA_DEMANDS!Z$3,'BY-Demands'!$J$5:$AK$14,MATCH($E144,'BY-Demands'!$I$5:$I$14,0),FALSE)*HLOOKUP(REG_TRA_DEMANDS!$F144,DEMANDS!$G$2:$CK$25,MATCH($E144,DEMANDS!$E$2:$E$25,0),FALSE)/HLOOKUP(2018,DEMANDS!$G$2:$CK$25,MATCH($E144,DEMANDS!$E$2:$E$25,0),FALSE)</f>
        <v>0.034406556348954558</v>
      </c>
      <c r="AA144" s="18">
        <f>HLOOKUP(REG_TRA_DEMANDS!AA$3,'BY-Demands'!$J$5:$AK$14,MATCH($E144,'BY-Demands'!$I$5:$I$14,0),FALSE)*HLOOKUP(REG_TRA_DEMANDS!$F144,DEMANDS!$G$2:$CK$25,MATCH($E144,DEMANDS!$E$2:$E$25,0),FALSE)/HLOOKUP(2018,DEMANDS!$G$2:$CK$25,MATCH($E144,DEMANDS!$E$2:$E$25,0),FALSE)</f>
        <v>0.14012908655077402</v>
      </c>
      <c r="AB144" s="18">
        <f>HLOOKUP(REG_TRA_DEMANDS!AB$3,'BY-Demands'!$J$5:$AK$14,MATCH($E144,'BY-Demands'!$I$5:$I$14,0),FALSE)*HLOOKUP(REG_TRA_DEMANDS!$F144,DEMANDS!$G$2:$CK$25,MATCH($E144,DEMANDS!$E$2:$E$25,0),FALSE)/HLOOKUP(2018,DEMANDS!$G$2:$CK$25,MATCH($E144,DEMANDS!$E$2:$E$25,0),FALSE)</f>
        <v>0.069302732898106317</v>
      </c>
      <c r="AC144" s="18">
        <f>HLOOKUP(REG_TRA_DEMANDS!AC$3,'BY-Demands'!$J$5:$AK$14,MATCH($E144,'BY-Demands'!$I$5:$I$14,0),FALSE)*HLOOKUP(REG_TRA_DEMANDS!$F144,DEMANDS!$G$2:$CK$25,MATCH($E144,DEMANDS!$E$2:$E$25,0),FALSE)/HLOOKUP(2018,DEMANDS!$G$2:$CK$25,MATCH($E144,DEMANDS!$E$2:$E$25,0),FALSE)</f>
        <v>0.070366797850728177</v>
      </c>
      <c r="AD144" s="18">
        <f>HLOOKUP(REG_TRA_DEMANDS!AD$3,'BY-Demands'!$J$5:$AK$14,MATCH($E144,'BY-Demands'!$I$5:$I$14,0),FALSE)*HLOOKUP(REG_TRA_DEMANDS!$F144,DEMANDS!$G$2:$CK$25,MATCH($E144,DEMANDS!$E$2:$E$25,0),FALSE)/HLOOKUP(2018,DEMANDS!$G$2:$CK$25,MATCH($E144,DEMANDS!$E$2:$E$25,0),FALSE)</f>
        <v>0.081792342917175062</v>
      </c>
      <c r="AE144" s="18">
        <f>HLOOKUP(REG_TRA_DEMANDS!AE$3,'BY-Demands'!$J$5:$AK$14,MATCH($E144,'BY-Demands'!$I$5:$I$14,0),FALSE)*HLOOKUP(REG_TRA_DEMANDS!$F144,DEMANDS!$G$2:$CK$25,MATCH($E144,DEMANDS!$E$2:$E$25,0),FALSE)/HLOOKUP(2018,DEMANDS!$G$2:$CK$25,MATCH($E144,DEMANDS!$E$2:$E$25,0),FALSE)</f>
        <v>0.17092898883731</v>
      </c>
      <c r="AF144" s="18">
        <f>HLOOKUP(REG_TRA_DEMANDS!AF$3,'BY-Demands'!$J$5:$AK$14,MATCH($E144,'BY-Demands'!$I$5:$I$14,0),FALSE)*HLOOKUP(REG_TRA_DEMANDS!$F144,DEMANDS!$G$2:$CK$25,MATCH($E144,DEMANDS!$E$2:$E$25,0),FALSE)/HLOOKUP(2018,DEMANDS!$G$2:$CK$25,MATCH($E144,DEMANDS!$E$2:$E$25,0),FALSE)</f>
        <v>0.065911898266037938</v>
      </c>
    </row>
    <row r="145" spans="4:32" ht="14.4">
      <c r="D145" t="s">
        <v>6</v>
      </c>
      <c r="E145" t="str">
        <f>DEMANDS!$E$22</f>
        <v>TNAV</v>
      </c>
      <c r="F145">
        <v>2026</v>
      </c>
      <c r="G145" s="18">
        <f>HLOOKUP(REG_TRA_DEMANDS!G$3,'BY-Demands'!$J$5:$AK$14,MATCH($E145,'BY-Demands'!$I$5:$I$14,0),FALSE)*HLOOKUP(REG_TRA_DEMANDS!$F145,DEMANDS!$G$2:$CK$25,MATCH($E145,DEMANDS!$E$2:$E$25,0),FALSE)/HLOOKUP(2018,DEMANDS!$G$2:$CK$25,MATCH($E145,DEMANDS!$E$2:$E$25,0),FALSE)</f>
        <v>0.06306938746827187</v>
      </c>
      <c r="H145" s="18">
        <f>HLOOKUP(REG_TRA_DEMANDS!H$3,'BY-Demands'!$J$5:$AK$14,MATCH($E145,'BY-Demands'!$I$5:$I$14,0),FALSE)*HLOOKUP(REG_TRA_DEMANDS!$F145,DEMANDS!$G$2:$CK$25,MATCH($E145,DEMANDS!$E$2:$E$25,0),FALSE)/HLOOKUP(2018,DEMANDS!$G$2:$CK$25,MATCH($E145,DEMANDS!$E$2:$E$25,0),FALSE)</f>
        <v>1.4926070896835444</v>
      </c>
      <c r="I145" s="18">
        <f>HLOOKUP(REG_TRA_DEMANDS!I$3,'BY-Demands'!$J$5:$AK$14,MATCH($E145,'BY-Demands'!$I$5:$I$14,0),FALSE)*HLOOKUP(REG_TRA_DEMANDS!$F145,DEMANDS!$G$2:$CK$25,MATCH($E145,DEMANDS!$E$2:$E$25,0),FALSE)/HLOOKUP(2018,DEMANDS!$G$2:$CK$25,MATCH($E145,DEMANDS!$E$2:$E$25,0),FALSE)</f>
        <v>0.24649039185766117</v>
      </c>
      <c r="J145" s="18">
        <f>HLOOKUP(REG_TRA_DEMANDS!J$3,'BY-Demands'!$J$5:$AK$14,MATCH($E145,'BY-Demands'!$I$5:$I$14,0),FALSE)*HLOOKUP(REG_TRA_DEMANDS!$F145,DEMANDS!$G$2:$CK$25,MATCH($E145,DEMANDS!$E$2:$E$25,0),FALSE)/HLOOKUP(2018,DEMANDS!$G$2:$CK$25,MATCH($E145,DEMANDS!$E$2:$E$25,0),FALSE)</f>
        <v>0.10992941504341242</v>
      </c>
      <c r="K145" s="18">
        <f>HLOOKUP(REG_TRA_DEMANDS!K$3,'BY-Demands'!$J$5:$AK$14,MATCH($E145,'BY-Demands'!$I$5:$I$14,0),FALSE)*HLOOKUP(REG_TRA_DEMANDS!$F145,DEMANDS!$G$2:$CK$25,MATCH($E145,DEMANDS!$E$2:$E$25,0),FALSE)/HLOOKUP(2018,DEMANDS!$G$2:$CK$25,MATCH($E145,DEMANDS!$E$2:$E$25,0),FALSE)</f>
        <v>0.093827511951103518</v>
      </c>
      <c r="L145" s="18">
        <f>HLOOKUP(REG_TRA_DEMANDS!L$3,'BY-Demands'!$J$5:$AK$14,MATCH($E145,'BY-Demands'!$I$5:$I$14,0),FALSE)*HLOOKUP(REG_TRA_DEMANDS!$F145,DEMANDS!$G$2:$CK$25,MATCH($E145,DEMANDS!$E$2:$E$25,0),FALSE)/HLOOKUP(2018,DEMANDS!$G$2:$CK$25,MATCH($E145,DEMANDS!$E$2:$E$25,0),FALSE)</f>
        <v>0.045279194020773447</v>
      </c>
      <c r="M145" s="18">
        <f>HLOOKUP(REG_TRA_DEMANDS!M$3,'BY-Demands'!$J$5:$AK$14,MATCH($E145,'BY-Demands'!$I$5:$I$14,0),FALSE)*HLOOKUP(REG_TRA_DEMANDS!$F145,DEMANDS!$G$2:$CK$25,MATCH($E145,DEMANDS!$E$2:$E$25,0),FALSE)/HLOOKUP(2018,DEMANDS!$G$2:$CK$25,MATCH($E145,DEMANDS!$E$2:$E$25,0),FALSE)</f>
        <v>0.14277796203296489</v>
      </c>
      <c r="N145" s="18">
        <f>HLOOKUP(REG_TRA_DEMANDS!N$3,'BY-Demands'!$J$5:$AK$14,MATCH($E145,'BY-Demands'!$I$5:$I$14,0),FALSE)*HLOOKUP(REG_TRA_DEMANDS!$F145,DEMANDS!$G$2:$CK$25,MATCH($E145,DEMANDS!$E$2:$E$25,0),FALSE)/HLOOKUP(2018,DEMANDS!$G$2:$CK$25,MATCH($E145,DEMANDS!$E$2:$E$25,0),FALSE)</f>
        <v>0.21607014700628202</v>
      </c>
      <c r="O145" s="18">
        <f>HLOOKUP(REG_TRA_DEMANDS!O$3,'BY-Demands'!$J$5:$AK$14,MATCH($E145,'BY-Demands'!$I$5:$I$14,0),FALSE)*HLOOKUP(REG_TRA_DEMANDS!$F145,DEMANDS!$G$2:$CK$25,MATCH($E145,DEMANDS!$E$2:$E$25,0),FALSE)/HLOOKUP(2018,DEMANDS!$G$2:$CK$25,MATCH($E145,DEMANDS!$E$2:$E$25,0),FALSE)</f>
        <v>0.0863653572053317</v>
      </c>
      <c r="P145" s="18">
        <f>HLOOKUP(REG_TRA_DEMANDS!P$3,'BY-Demands'!$J$5:$AK$14,MATCH($E145,'BY-Demands'!$I$5:$I$14,0),FALSE)*HLOOKUP(REG_TRA_DEMANDS!$F145,DEMANDS!$G$2:$CK$25,MATCH($E145,DEMANDS!$E$2:$E$25,0),FALSE)/HLOOKUP(2018,DEMANDS!$G$2:$CK$25,MATCH($E145,DEMANDS!$E$2:$E$25,0),FALSE)</f>
        <v>0.098339589783575154</v>
      </c>
      <c r="Q145" s="18">
        <f>HLOOKUP(REG_TRA_DEMANDS!Q$3,'BY-Demands'!$J$5:$AK$14,MATCH($E145,'BY-Demands'!$I$5:$I$14,0),FALSE)*HLOOKUP(REG_TRA_DEMANDS!$F145,DEMANDS!$G$2:$CK$25,MATCH($E145,DEMANDS!$E$2:$E$25,0),FALSE)/HLOOKUP(2018,DEMANDS!$G$2:$CK$25,MATCH($E145,DEMANDS!$E$2:$E$25,0),FALSE)</f>
        <v>0.16586234157459132</v>
      </c>
      <c r="R145" s="18">
        <f>HLOOKUP(REG_TRA_DEMANDS!R$3,'BY-Demands'!$J$5:$AK$14,MATCH($E145,'BY-Demands'!$I$5:$I$14,0),FALSE)*HLOOKUP(REG_TRA_DEMANDS!$F145,DEMANDS!$G$2:$CK$25,MATCH($E145,DEMANDS!$E$2:$E$25,0),FALSE)/HLOOKUP(2018,DEMANDS!$G$2:$CK$25,MATCH($E145,DEMANDS!$E$2:$E$25,0),FALSE)</f>
        <v>0.15777870986736142</v>
      </c>
      <c r="S145" s="18">
        <f>HLOOKUP(REG_TRA_DEMANDS!S$3,'BY-Demands'!$J$5:$AK$14,MATCH($E145,'BY-Demands'!$I$5:$I$14,0),FALSE)*HLOOKUP(REG_TRA_DEMANDS!$F145,DEMANDS!$G$2:$CK$25,MATCH($E145,DEMANDS!$E$2:$E$25,0),FALSE)/HLOOKUP(2018,DEMANDS!$G$2:$CK$25,MATCH($E145,DEMANDS!$E$2:$E$25,0),FALSE)</f>
        <v>0.13162571859090955</v>
      </c>
      <c r="T145" s="18">
        <f>HLOOKUP(REG_TRA_DEMANDS!T$3,'BY-Demands'!$J$5:$AK$14,MATCH($E145,'BY-Demands'!$I$5:$I$14,0),FALSE)*HLOOKUP(REG_TRA_DEMANDS!$F145,DEMANDS!$G$2:$CK$25,MATCH($E145,DEMANDS!$E$2:$E$25,0),FALSE)/HLOOKUP(2018,DEMANDS!$G$2:$CK$25,MATCH($E145,DEMANDS!$E$2:$E$25,0),FALSE)</f>
        <v>0.60139029431823643</v>
      </c>
      <c r="U145" s="18">
        <f>HLOOKUP(REG_TRA_DEMANDS!U$3,'BY-Demands'!$J$5:$AK$14,MATCH($E145,'BY-Demands'!$I$5:$I$14,0),FALSE)*HLOOKUP(REG_TRA_DEMANDS!$F145,DEMANDS!$G$2:$CK$25,MATCH($E145,DEMANDS!$E$2:$E$25,0),FALSE)/HLOOKUP(2018,DEMANDS!$G$2:$CK$25,MATCH($E145,DEMANDS!$E$2:$E$25,0),FALSE)</f>
        <v>0.1636301204028674</v>
      </c>
      <c r="V145" s="18">
        <f>HLOOKUP(REG_TRA_DEMANDS!V$3,'BY-Demands'!$J$5:$AK$14,MATCH($E145,'BY-Demands'!$I$5:$I$14,0),FALSE)*HLOOKUP(REG_TRA_DEMANDS!$F145,DEMANDS!$G$2:$CK$25,MATCH($E145,DEMANDS!$E$2:$E$25,0),FALSE)/HLOOKUP(2018,DEMANDS!$G$2:$CK$25,MATCH($E145,DEMANDS!$E$2:$E$25,0),FALSE)</f>
        <v>0.21590951570608363</v>
      </c>
      <c r="W145" s="18">
        <f>HLOOKUP(REG_TRA_DEMANDS!W$3,'BY-Demands'!$J$5:$AK$14,MATCH($E145,'BY-Demands'!$I$5:$I$14,0),FALSE)*HLOOKUP(REG_TRA_DEMANDS!$F145,DEMANDS!$G$2:$CK$25,MATCH($E145,DEMANDS!$E$2:$E$25,0),FALSE)/HLOOKUP(2018,DEMANDS!$G$2:$CK$25,MATCH($E145,DEMANDS!$E$2:$E$25,0),FALSE)</f>
        <v>0.17675314372804657</v>
      </c>
      <c r="X145" s="18">
        <f>HLOOKUP(REG_TRA_DEMANDS!X$3,'BY-Demands'!$J$5:$AK$14,MATCH($E145,'BY-Demands'!$I$5:$I$14,0),FALSE)*HLOOKUP(REG_TRA_DEMANDS!$F145,DEMANDS!$G$2:$CK$25,MATCH($E145,DEMANDS!$E$2:$E$25,0),FALSE)/HLOOKUP(2018,DEMANDS!$G$2:$CK$25,MATCH($E145,DEMANDS!$E$2:$E$25,0),FALSE)</f>
        <v>0.1287000133231567</v>
      </c>
      <c r="Y145" s="18">
        <f>HLOOKUP(REG_TRA_DEMANDS!Y$3,'BY-Demands'!$J$5:$AK$14,MATCH($E145,'BY-Demands'!$I$5:$I$14,0),FALSE)*HLOOKUP(REG_TRA_DEMANDS!$F145,DEMANDS!$G$2:$CK$25,MATCH($E145,DEMANDS!$E$2:$E$25,0),FALSE)/HLOOKUP(2018,DEMANDS!$G$2:$CK$25,MATCH($E145,DEMANDS!$E$2:$E$25,0),FALSE)</f>
        <v>0.28587718666632661</v>
      </c>
      <c r="Z145" s="18">
        <f>HLOOKUP(REG_TRA_DEMANDS!Z$3,'BY-Demands'!$J$5:$AK$14,MATCH($E145,'BY-Demands'!$I$5:$I$14,0),FALSE)*HLOOKUP(REG_TRA_DEMANDS!$F145,DEMANDS!$G$2:$CK$25,MATCH($E145,DEMANDS!$E$2:$E$25,0),FALSE)/HLOOKUP(2018,DEMANDS!$G$2:$CK$25,MATCH($E145,DEMANDS!$E$2:$E$25,0),FALSE)</f>
        <v>0.03549840954179212</v>
      </c>
      <c r="AA145" s="18">
        <f>HLOOKUP(REG_TRA_DEMANDS!AA$3,'BY-Demands'!$J$5:$AK$14,MATCH($E145,'BY-Demands'!$I$5:$I$14,0),FALSE)*HLOOKUP(REG_TRA_DEMANDS!$F145,DEMANDS!$G$2:$CK$25,MATCH($E145,DEMANDS!$E$2:$E$25,0),FALSE)/HLOOKUP(2018,DEMANDS!$G$2:$CK$25,MATCH($E145,DEMANDS!$E$2:$E$25,0),FALSE)</f>
        <v>0.1445759247931174</v>
      </c>
      <c r="AB145" s="18">
        <f>HLOOKUP(REG_TRA_DEMANDS!AB$3,'BY-Demands'!$J$5:$AK$14,MATCH($E145,'BY-Demands'!$I$5:$I$14,0),FALSE)*HLOOKUP(REG_TRA_DEMANDS!$F145,DEMANDS!$G$2:$CK$25,MATCH($E145,DEMANDS!$E$2:$E$25,0),FALSE)/HLOOKUP(2018,DEMANDS!$G$2:$CK$25,MATCH($E145,DEMANDS!$E$2:$E$25,0),FALSE)</f>
        <v>0.071501976827656535</v>
      </c>
      <c r="AC145" s="18">
        <f>HLOOKUP(REG_TRA_DEMANDS!AC$3,'BY-Demands'!$J$5:$AK$14,MATCH($E145,'BY-Demands'!$I$5:$I$14,0),FALSE)*HLOOKUP(REG_TRA_DEMANDS!$F145,DEMANDS!$G$2:$CK$25,MATCH($E145,DEMANDS!$E$2:$E$25,0),FALSE)/HLOOKUP(2018,DEMANDS!$G$2:$CK$25,MATCH($E145,DEMANDS!$E$2:$E$25,0),FALSE)</f>
        <v>0.07259980867935785</v>
      </c>
      <c r="AD145" s="18">
        <f>HLOOKUP(REG_TRA_DEMANDS!AD$3,'BY-Demands'!$J$5:$AK$14,MATCH($E145,'BY-Demands'!$I$5:$I$14,0),FALSE)*HLOOKUP(REG_TRA_DEMANDS!$F145,DEMANDS!$G$2:$CK$25,MATCH($E145,DEMANDS!$E$2:$E$25,0),FALSE)/HLOOKUP(2018,DEMANDS!$G$2:$CK$25,MATCH($E145,DEMANDS!$E$2:$E$25,0),FALSE)</f>
        <v>0.084387930509785034</v>
      </c>
      <c r="AE145" s="18">
        <f>HLOOKUP(REG_TRA_DEMANDS!AE$3,'BY-Demands'!$J$5:$AK$14,MATCH($E145,'BY-Demands'!$I$5:$I$14,0),FALSE)*HLOOKUP(REG_TRA_DEMANDS!$F145,DEMANDS!$G$2:$CK$25,MATCH($E145,DEMANDS!$E$2:$E$25,0),FALSE)/HLOOKUP(2018,DEMANDS!$G$2:$CK$25,MATCH($E145,DEMANDS!$E$2:$E$25,0),FALSE)</f>
        <v>0.17635322718065655</v>
      </c>
      <c r="AF145" s="18">
        <f>HLOOKUP(REG_TRA_DEMANDS!AF$3,'BY-Demands'!$J$5:$AK$14,MATCH($E145,'BY-Demands'!$I$5:$I$14,0),FALSE)*HLOOKUP(REG_TRA_DEMANDS!$F145,DEMANDS!$G$2:$CK$25,MATCH($E145,DEMANDS!$E$2:$E$25,0),FALSE)/HLOOKUP(2018,DEMANDS!$G$2:$CK$25,MATCH($E145,DEMANDS!$E$2:$E$25,0),FALSE)</f>
        <v>0.068003537889540819</v>
      </c>
    </row>
    <row r="146" spans="4:32" ht="14.4">
      <c r="D146" t="s">
        <v>6</v>
      </c>
      <c r="E146" t="str">
        <f>DEMANDS!$E$22</f>
        <v>TNAV</v>
      </c>
      <c r="F146">
        <v>2027</v>
      </c>
      <c r="G146" s="18">
        <f>HLOOKUP(REG_TRA_DEMANDS!G$3,'BY-Demands'!$J$5:$AK$14,MATCH($E146,'BY-Demands'!$I$5:$I$14,0),FALSE)*HLOOKUP(REG_TRA_DEMANDS!$F146,DEMANDS!$G$2:$CK$25,MATCH($E146,DEMANDS!$E$2:$E$25,0),FALSE)/HLOOKUP(2018,DEMANDS!$G$2:$CK$25,MATCH($E146,DEMANDS!$E$2:$E$25,0),FALSE)</f>
        <v>0.065056469926175434</v>
      </c>
      <c r="H146" s="18">
        <f>HLOOKUP(REG_TRA_DEMANDS!H$3,'BY-Demands'!$J$5:$AK$14,MATCH($E146,'BY-Demands'!$I$5:$I$14,0),FALSE)*HLOOKUP(REG_TRA_DEMANDS!$F146,DEMANDS!$G$2:$CK$25,MATCH($E146,DEMANDS!$E$2:$E$25,0),FALSE)/HLOOKUP(2018,DEMANDS!$G$2:$CK$25,MATCH($E146,DEMANDS!$E$2:$E$25,0),FALSE)</f>
        <v>1.5396336026006823</v>
      </c>
      <c r="I146" s="18">
        <f>HLOOKUP(REG_TRA_DEMANDS!I$3,'BY-Demands'!$J$5:$AK$14,MATCH($E146,'BY-Demands'!$I$5:$I$14,0),FALSE)*HLOOKUP(REG_TRA_DEMANDS!$F146,DEMANDS!$G$2:$CK$25,MATCH($E146,DEMANDS!$E$2:$E$25,0),FALSE)/HLOOKUP(2018,DEMANDS!$G$2:$CK$25,MATCH($E146,DEMANDS!$E$2:$E$25,0),FALSE)</f>
        <v>0.25425638980632576</v>
      </c>
      <c r="J146" s="18">
        <f>HLOOKUP(REG_TRA_DEMANDS!J$3,'BY-Demands'!$J$5:$AK$14,MATCH($E146,'BY-Demands'!$I$5:$I$14,0),FALSE)*HLOOKUP(REG_TRA_DEMANDS!$F146,DEMANDS!$G$2:$CK$25,MATCH($E146,DEMANDS!$E$2:$E$25,0),FALSE)/HLOOKUP(2018,DEMANDS!$G$2:$CK$25,MATCH($E146,DEMANDS!$E$2:$E$25,0),FALSE)</f>
        <v>0.11339288315383686</v>
      </c>
      <c r="K146" s="18">
        <f>HLOOKUP(REG_TRA_DEMANDS!K$3,'BY-Demands'!$J$5:$AK$14,MATCH($E146,'BY-Demands'!$I$5:$I$14,0),FALSE)*HLOOKUP(REG_TRA_DEMANDS!$F146,DEMANDS!$G$2:$CK$25,MATCH($E146,DEMANDS!$E$2:$E$25,0),FALSE)/HLOOKUP(2018,DEMANDS!$G$2:$CK$25,MATCH($E146,DEMANDS!$E$2:$E$25,0),FALSE)</f>
        <v>0.096783668821353239</v>
      </c>
      <c r="L146" s="18">
        <f>HLOOKUP(REG_TRA_DEMANDS!L$3,'BY-Demands'!$J$5:$AK$14,MATCH($E146,'BY-Demands'!$I$5:$I$14,0),FALSE)*HLOOKUP(REG_TRA_DEMANDS!$F146,DEMANDS!$G$2:$CK$25,MATCH($E146,DEMANDS!$E$2:$E$25,0),FALSE)/HLOOKUP(2018,DEMANDS!$G$2:$CK$25,MATCH($E146,DEMANDS!$E$2:$E$25,0),FALSE)</f>
        <v>0.046705773471730584</v>
      </c>
      <c r="M146" s="18">
        <f>HLOOKUP(REG_TRA_DEMANDS!M$3,'BY-Demands'!$J$5:$AK$14,MATCH($E146,'BY-Demands'!$I$5:$I$14,0),FALSE)*HLOOKUP(REG_TRA_DEMANDS!$F146,DEMANDS!$G$2:$CK$25,MATCH($E146,DEMANDS!$E$2:$E$25,0),FALSE)/HLOOKUP(2018,DEMANDS!$G$2:$CK$25,MATCH($E146,DEMANDS!$E$2:$E$25,0),FALSE)</f>
        <v>0.14727636601498628</v>
      </c>
      <c r="N146" s="18">
        <f>HLOOKUP(REG_TRA_DEMANDS!N$3,'BY-Demands'!$J$5:$AK$14,MATCH($E146,'BY-Demands'!$I$5:$I$14,0),FALSE)*HLOOKUP(REG_TRA_DEMANDS!$F146,DEMANDS!$G$2:$CK$25,MATCH($E146,DEMANDS!$E$2:$E$25,0),FALSE)/HLOOKUP(2018,DEMANDS!$G$2:$CK$25,MATCH($E146,DEMANDS!$E$2:$E$25,0),FALSE)</f>
        <v>0.2228777158765016</v>
      </c>
      <c r="O146" s="18">
        <f>HLOOKUP(REG_TRA_DEMANDS!O$3,'BY-Demands'!$J$5:$AK$14,MATCH($E146,'BY-Demands'!$I$5:$I$14,0),FALSE)*HLOOKUP(REG_TRA_DEMANDS!$F146,DEMANDS!$G$2:$CK$25,MATCH($E146,DEMANDS!$E$2:$E$25,0),FALSE)/HLOOKUP(2018,DEMANDS!$G$2:$CK$25,MATCH($E146,DEMANDS!$E$2:$E$25,0),FALSE)</f>
        <v>0.089086409258669355</v>
      </c>
      <c r="P146" s="18">
        <f>HLOOKUP(REG_TRA_DEMANDS!P$3,'BY-Demands'!$J$5:$AK$14,MATCH($E146,'BY-Demands'!$I$5:$I$14,0),FALSE)*HLOOKUP(REG_TRA_DEMANDS!$F146,DEMANDS!$G$2:$CK$25,MATCH($E146,DEMANDS!$E$2:$E$25,0),FALSE)/HLOOKUP(2018,DEMANDS!$G$2:$CK$25,MATCH($E146,DEMANDS!$E$2:$E$25,0),FALSE)</f>
        <v>0.10143790548982294</v>
      </c>
      <c r="Q146" s="18">
        <f>HLOOKUP(REG_TRA_DEMANDS!Q$3,'BY-Demands'!$J$5:$AK$14,MATCH($E146,'BY-Demands'!$I$5:$I$14,0),FALSE)*HLOOKUP(REG_TRA_DEMANDS!$F146,DEMANDS!$G$2:$CK$25,MATCH($E146,DEMANDS!$E$2:$E$25,0),FALSE)/HLOOKUP(2018,DEMANDS!$G$2:$CK$25,MATCH($E146,DEMANDS!$E$2:$E$25,0),FALSE)</f>
        <v>0.1710880487298333</v>
      </c>
      <c r="R146" s="18">
        <f>HLOOKUP(REG_TRA_DEMANDS!R$3,'BY-Demands'!$J$5:$AK$14,MATCH($E146,'BY-Demands'!$I$5:$I$14,0),FALSE)*HLOOKUP(REG_TRA_DEMANDS!$F146,DEMANDS!$G$2:$CK$25,MATCH($E146,DEMANDS!$E$2:$E$25,0),FALSE)/HLOOKUP(2018,DEMANDS!$G$2:$CK$25,MATCH($E146,DEMANDS!$E$2:$E$25,0),FALSE)</f>
        <v>0.16274973177185997</v>
      </c>
      <c r="S146" s="18">
        <f>HLOOKUP(REG_TRA_DEMANDS!S$3,'BY-Demands'!$J$5:$AK$14,MATCH($E146,'BY-Demands'!$I$5:$I$14,0),FALSE)*HLOOKUP(REG_TRA_DEMANDS!$F146,DEMANDS!$G$2:$CK$25,MATCH($E146,DEMANDS!$E$2:$E$25,0),FALSE)/HLOOKUP(2018,DEMANDS!$G$2:$CK$25,MATCH($E146,DEMANDS!$E$2:$E$25,0),FALSE)</f>
        <v>0.13577275674872458</v>
      </c>
      <c r="T146" s="18">
        <f>HLOOKUP(REG_TRA_DEMANDS!T$3,'BY-Demands'!$J$5:$AK$14,MATCH($E146,'BY-Demands'!$I$5:$I$14,0),FALSE)*HLOOKUP(REG_TRA_DEMANDS!$F146,DEMANDS!$G$2:$CK$25,MATCH($E146,DEMANDS!$E$2:$E$25,0),FALSE)/HLOOKUP(2018,DEMANDS!$G$2:$CK$25,MATCH($E146,DEMANDS!$E$2:$E$25,0),FALSE)</f>
        <v>0.62033787177480182</v>
      </c>
      <c r="U146" s="18">
        <f>HLOOKUP(REG_TRA_DEMANDS!U$3,'BY-Demands'!$J$5:$AK$14,MATCH($E146,'BY-Demands'!$I$5:$I$14,0),FALSE)*HLOOKUP(REG_TRA_DEMANDS!$F146,DEMANDS!$G$2:$CK$25,MATCH($E146,DEMANDS!$E$2:$E$25,0),FALSE)/HLOOKUP(2018,DEMANDS!$G$2:$CK$25,MATCH($E146,DEMANDS!$E$2:$E$25,0),FALSE)</f>
        <v>0.16878549854889355</v>
      </c>
      <c r="V146" s="18">
        <f>HLOOKUP(REG_TRA_DEMANDS!V$3,'BY-Demands'!$J$5:$AK$14,MATCH($E146,'BY-Demands'!$I$5:$I$14,0),FALSE)*HLOOKUP(REG_TRA_DEMANDS!$F146,DEMANDS!$G$2:$CK$25,MATCH($E146,DEMANDS!$E$2:$E$25,0),FALSE)/HLOOKUP(2018,DEMANDS!$G$2:$CK$25,MATCH($E146,DEMANDS!$E$2:$E$25,0),FALSE)</f>
        <v>0.2227120236798584</v>
      </c>
      <c r="W146" s="18">
        <f>HLOOKUP(REG_TRA_DEMANDS!W$3,'BY-Demands'!$J$5:$AK$14,MATCH($E146,'BY-Demands'!$I$5:$I$14,0),FALSE)*HLOOKUP(REG_TRA_DEMANDS!$F146,DEMANDS!$G$2:$CK$25,MATCH($E146,DEMANDS!$E$2:$E$25,0),FALSE)/HLOOKUP(2018,DEMANDS!$G$2:$CK$25,MATCH($E146,DEMANDS!$E$2:$E$25,0),FALSE)</f>
        <v>0.18232197966224675</v>
      </c>
      <c r="X146" s="18">
        <f>HLOOKUP(REG_TRA_DEMANDS!X$3,'BY-Demands'!$J$5:$AK$14,MATCH($E146,'BY-Demands'!$I$5:$I$14,0),FALSE)*HLOOKUP(REG_TRA_DEMANDS!$F146,DEMANDS!$G$2:$CK$25,MATCH($E146,DEMANDS!$E$2:$E$25,0),FALSE)/HLOOKUP(2018,DEMANDS!$G$2:$CK$25,MATCH($E146,DEMANDS!$E$2:$E$25,0),FALSE)</f>
        <v>0.13275487336020797</v>
      </c>
      <c r="Y146" s="18">
        <f>HLOOKUP(REG_TRA_DEMANDS!Y$3,'BY-Demands'!$J$5:$AK$14,MATCH($E146,'BY-Demands'!$I$5:$I$14,0),FALSE)*HLOOKUP(REG_TRA_DEMANDS!$F146,DEMANDS!$G$2:$CK$25,MATCH($E146,DEMANDS!$E$2:$E$25,0),FALSE)/HLOOKUP(2018,DEMANDS!$G$2:$CK$25,MATCH($E146,DEMANDS!$E$2:$E$25,0),FALSE)</f>
        <v>0.29488411642325901</v>
      </c>
      <c r="Z146" s="18">
        <f>HLOOKUP(REG_TRA_DEMANDS!Z$3,'BY-Demands'!$J$5:$AK$14,MATCH($E146,'BY-Demands'!$I$5:$I$14,0),FALSE)*HLOOKUP(REG_TRA_DEMANDS!$F146,DEMANDS!$G$2:$CK$25,MATCH($E146,DEMANDS!$E$2:$E$25,0),FALSE)/HLOOKUP(2018,DEMANDS!$G$2:$CK$25,MATCH($E146,DEMANDS!$E$2:$E$25,0),FALSE)</f>
        <v>0.036616832753361389</v>
      </c>
      <c r="AA146" s="18">
        <f>HLOOKUP(REG_TRA_DEMANDS!AA$3,'BY-Demands'!$J$5:$AK$14,MATCH($E146,'BY-Demands'!$I$5:$I$14,0),FALSE)*HLOOKUP(REG_TRA_DEMANDS!$F146,DEMANDS!$G$2:$CK$25,MATCH($E146,DEMANDS!$E$2:$E$25,0),FALSE)/HLOOKUP(2018,DEMANDS!$G$2:$CK$25,MATCH($E146,DEMANDS!$E$2:$E$25,0),FALSE)</f>
        <v>0.14913097591258659</v>
      </c>
      <c r="AB146" s="18">
        <f>HLOOKUP(REG_TRA_DEMANDS!AB$3,'BY-Demands'!$J$5:$AK$14,MATCH($E146,'BY-Demands'!$I$5:$I$14,0),FALSE)*HLOOKUP(REG_TRA_DEMANDS!$F146,DEMANDS!$G$2:$CK$25,MATCH($E146,DEMANDS!$E$2:$E$25,0),FALSE)/HLOOKUP(2018,DEMANDS!$G$2:$CK$25,MATCH($E146,DEMANDS!$E$2:$E$25,0),FALSE)</f>
        <v>0.073754738897545649</v>
      </c>
      <c r="AC146" s="18">
        <f>HLOOKUP(REG_TRA_DEMANDS!AC$3,'BY-Demands'!$J$5:$AK$14,MATCH($E146,'BY-Demands'!$I$5:$I$14,0),FALSE)*HLOOKUP(REG_TRA_DEMANDS!$F146,DEMANDS!$G$2:$CK$25,MATCH($E146,DEMANDS!$E$2:$E$25,0),FALSE)/HLOOKUP(2018,DEMANDS!$G$2:$CK$25,MATCH($E146,DEMANDS!$E$2:$E$25,0),FALSE)</f>
        <v>0.074887159358742184</v>
      </c>
      <c r="AD146" s="18">
        <f>HLOOKUP(REG_TRA_DEMANDS!AD$3,'BY-Demands'!$J$5:$AK$14,MATCH($E146,'BY-Demands'!$I$5:$I$14,0),FALSE)*HLOOKUP(REG_TRA_DEMANDS!$F146,DEMANDS!$G$2:$CK$25,MATCH($E146,DEMANDS!$E$2:$E$25,0),FALSE)/HLOOKUP(2018,DEMANDS!$G$2:$CK$25,MATCH($E146,DEMANDS!$E$2:$E$25,0),FALSE)</f>
        <v>0.087046681182750343</v>
      </c>
      <c r="AE146" s="18">
        <f>HLOOKUP(REG_TRA_DEMANDS!AE$3,'BY-Demands'!$J$5:$AK$14,MATCH($E146,'BY-Demands'!$I$5:$I$14,0),FALSE)*HLOOKUP(REG_TRA_DEMANDS!$F146,DEMANDS!$G$2:$CK$25,MATCH($E146,DEMANDS!$E$2:$E$25,0),FALSE)/HLOOKUP(2018,DEMANDS!$G$2:$CK$25,MATCH($E146,DEMANDS!$E$2:$E$25,0),FALSE)</f>
        <v>0.18190946322784585</v>
      </c>
      <c r="AF146" s="18">
        <f>HLOOKUP(REG_TRA_DEMANDS!AF$3,'BY-Demands'!$J$5:$AK$14,MATCH($E146,'BY-Demands'!$I$5:$I$14,0),FALSE)*HLOOKUP(REG_TRA_DEMANDS!$F146,DEMANDS!$G$2:$CK$25,MATCH($E146,DEMANDS!$E$2:$E$25,0),FALSE)/HLOOKUP(2018,DEMANDS!$G$2:$CK$25,MATCH($E146,DEMANDS!$E$2:$E$25,0),FALSE)</f>
        <v>0.070146077125135348</v>
      </c>
    </row>
    <row r="147" spans="4:32" ht="14.4">
      <c r="D147" t="s">
        <v>6</v>
      </c>
      <c r="E147" t="str">
        <f>DEMANDS!$E$22</f>
        <v>TNAV</v>
      </c>
      <c r="F147">
        <v>2028</v>
      </c>
      <c r="G147" s="18">
        <f>HLOOKUP(REG_TRA_DEMANDS!G$3,'BY-Demands'!$J$5:$AK$14,MATCH($E147,'BY-Demands'!$I$5:$I$14,0),FALSE)*HLOOKUP(REG_TRA_DEMANDS!$F147,DEMANDS!$G$2:$CK$25,MATCH($E147,DEMANDS!$E$2:$E$25,0),FALSE)/HLOOKUP(2018,DEMANDS!$G$2:$CK$25,MATCH($E147,DEMANDS!$E$2:$E$25,0),FALSE)</f>
        <v>0.067092784811801934</v>
      </c>
      <c r="H147" s="18">
        <f>HLOOKUP(REG_TRA_DEMANDS!H$3,'BY-Demands'!$J$5:$AK$14,MATCH($E147,'BY-Demands'!$I$5:$I$14,0),FALSE)*HLOOKUP(REG_TRA_DEMANDS!$F147,DEMANDS!$G$2:$CK$25,MATCH($E147,DEMANDS!$E$2:$E$25,0),FALSE)/HLOOKUP(2018,DEMANDS!$G$2:$CK$25,MATCH($E147,DEMANDS!$E$2:$E$25,0),FALSE)</f>
        <v>1.5878252555899122</v>
      </c>
      <c r="I147" s="18">
        <f>HLOOKUP(REG_TRA_DEMANDS!I$3,'BY-Demands'!$J$5:$AK$14,MATCH($E147,'BY-Demands'!$I$5:$I$14,0),FALSE)*HLOOKUP(REG_TRA_DEMANDS!$F147,DEMANDS!$G$2:$CK$25,MATCH($E147,DEMANDS!$E$2:$E$25,0),FALSE)/HLOOKUP(2018,DEMANDS!$G$2:$CK$25,MATCH($E147,DEMANDS!$E$2:$E$25,0),FALSE)</f>
        <v>0.26221479996777169</v>
      </c>
      <c r="J147" s="18">
        <f>HLOOKUP(REG_TRA_DEMANDS!J$3,'BY-Demands'!$J$5:$AK$14,MATCH($E147,'BY-Demands'!$I$5:$I$14,0),FALSE)*HLOOKUP(REG_TRA_DEMANDS!$F147,DEMANDS!$G$2:$CK$25,MATCH($E147,DEMANDS!$E$2:$E$25,0),FALSE)/HLOOKUP(2018,DEMANDS!$G$2:$CK$25,MATCH($E147,DEMANDS!$E$2:$E$25,0),FALSE)</f>
        <v>0.11694216297415741</v>
      </c>
      <c r="K147" s="18">
        <f>HLOOKUP(REG_TRA_DEMANDS!K$3,'BY-Demands'!$J$5:$AK$14,MATCH($E147,'BY-Demands'!$I$5:$I$14,0),FALSE)*HLOOKUP(REG_TRA_DEMANDS!$F147,DEMANDS!$G$2:$CK$25,MATCH($E147,DEMANDS!$E$2:$E$25,0),FALSE)/HLOOKUP(2018,DEMANDS!$G$2:$CK$25,MATCH($E147,DEMANDS!$E$2:$E$25,0),FALSE)</f>
        <v>0.099813068137518293</v>
      </c>
      <c r="L147" s="18">
        <f>HLOOKUP(REG_TRA_DEMANDS!L$3,'BY-Demands'!$J$5:$AK$14,MATCH($E147,'BY-Demands'!$I$5:$I$14,0),FALSE)*HLOOKUP(REG_TRA_DEMANDS!$F147,DEMANDS!$G$2:$CK$25,MATCH($E147,DEMANDS!$E$2:$E$25,0),FALSE)/HLOOKUP(2018,DEMANDS!$G$2:$CK$25,MATCH($E147,DEMANDS!$E$2:$E$25,0),FALSE)</f>
        <v>0.048167698194561542</v>
      </c>
      <c r="M147" s="18">
        <f>HLOOKUP(REG_TRA_DEMANDS!M$3,'BY-Demands'!$J$5:$AK$14,MATCH($E147,'BY-Demands'!$I$5:$I$14,0),FALSE)*HLOOKUP(REG_TRA_DEMANDS!$F147,DEMANDS!$G$2:$CK$25,MATCH($E147,DEMANDS!$E$2:$E$25,0),FALSE)/HLOOKUP(2018,DEMANDS!$G$2:$CK$25,MATCH($E147,DEMANDS!$E$2:$E$25,0),FALSE)</f>
        <v>0.15188622352427958</v>
      </c>
      <c r="N147" s="18">
        <f>HLOOKUP(REG_TRA_DEMANDS!N$3,'BY-Demands'!$J$5:$AK$14,MATCH($E147,'BY-Demands'!$I$5:$I$14,0),FALSE)*HLOOKUP(REG_TRA_DEMANDS!$F147,DEMANDS!$G$2:$CK$25,MATCH($E147,DEMANDS!$E$2:$E$25,0),FALSE)/HLOOKUP(2018,DEMANDS!$G$2:$CK$25,MATCH($E147,DEMANDS!$E$2:$E$25,0),FALSE)</f>
        <v>0.22985395069263553</v>
      </c>
      <c r="O147" s="18">
        <f>HLOOKUP(REG_TRA_DEMANDS!O$3,'BY-Demands'!$J$5:$AK$14,MATCH($E147,'BY-Demands'!$I$5:$I$14,0),FALSE)*HLOOKUP(REG_TRA_DEMANDS!$F147,DEMANDS!$G$2:$CK$25,MATCH($E147,DEMANDS!$E$2:$E$25,0),FALSE)/HLOOKUP(2018,DEMANDS!$G$2:$CK$25,MATCH($E147,DEMANDS!$E$2:$E$25,0),FALSE)</f>
        <v>0.091874878745044825</v>
      </c>
      <c r="P147" s="18">
        <f>HLOOKUP(REG_TRA_DEMANDS!P$3,'BY-Demands'!$J$5:$AK$14,MATCH($E147,'BY-Demands'!$I$5:$I$14,0),FALSE)*HLOOKUP(REG_TRA_DEMANDS!$F147,DEMANDS!$G$2:$CK$25,MATCH($E147,DEMANDS!$E$2:$E$25,0),FALSE)/HLOOKUP(2018,DEMANDS!$G$2:$CK$25,MATCH($E147,DEMANDS!$E$2:$E$25,0),FALSE)</f>
        <v>0.10461298580312767</v>
      </c>
      <c r="Q147" s="18">
        <f>HLOOKUP(REG_TRA_DEMANDS!Q$3,'BY-Demands'!$J$5:$AK$14,MATCH($E147,'BY-Demands'!$I$5:$I$14,0),FALSE)*HLOOKUP(REG_TRA_DEMANDS!$F147,DEMANDS!$G$2:$CK$25,MATCH($E147,DEMANDS!$E$2:$E$25,0),FALSE)/HLOOKUP(2018,DEMANDS!$G$2:$CK$25,MATCH($E147,DEMANDS!$E$2:$E$25,0),FALSE)</f>
        <v>0.17644322924879932</v>
      </c>
      <c r="R147" s="18">
        <f>HLOOKUP(REG_TRA_DEMANDS!R$3,'BY-Demands'!$J$5:$AK$14,MATCH($E147,'BY-Demands'!$I$5:$I$14,0),FALSE)*HLOOKUP(REG_TRA_DEMANDS!$F147,DEMANDS!$G$2:$CK$25,MATCH($E147,DEMANDS!$E$2:$E$25,0),FALSE)/HLOOKUP(2018,DEMANDS!$G$2:$CK$25,MATCH($E147,DEMANDS!$E$2:$E$25,0),FALSE)</f>
        <v>0.16784391689771813</v>
      </c>
      <c r="S147" s="18">
        <f>HLOOKUP(REG_TRA_DEMANDS!S$3,'BY-Demands'!$J$5:$AK$14,MATCH($E147,'BY-Demands'!$I$5:$I$14,0),FALSE)*HLOOKUP(REG_TRA_DEMANDS!$F147,DEMANDS!$G$2:$CK$25,MATCH($E147,DEMANDS!$E$2:$E$25,0),FALSE)/HLOOKUP(2018,DEMANDS!$G$2:$CK$25,MATCH($E147,DEMANDS!$E$2:$E$25,0),FALSE)</f>
        <v>0.14002254291055774</v>
      </c>
      <c r="T147" s="18">
        <f>HLOOKUP(REG_TRA_DEMANDS!T$3,'BY-Demands'!$J$5:$AK$14,MATCH($E147,'BY-Demands'!$I$5:$I$14,0),FALSE)*HLOOKUP(REG_TRA_DEMANDS!$F147,DEMANDS!$G$2:$CK$25,MATCH($E147,DEMANDS!$E$2:$E$25,0),FALSE)/HLOOKUP(2018,DEMANDS!$G$2:$CK$25,MATCH($E147,DEMANDS!$E$2:$E$25,0),FALSE)</f>
        <v>0.63975489891824122</v>
      </c>
      <c r="U147" s="18">
        <f>HLOOKUP(REG_TRA_DEMANDS!U$3,'BY-Demands'!$J$5:$AK$14,MATCH($E147,'BY-Demands'!$I$5:$I$14,0),FALSE)*HLOOKUP(REG_TRA_DEMANDS!$F147,DEMANDS!$G$2:$CK$25,MATCH($E147,DEMANDS!$E$2:$E$25,0),FALSE)/HLOOKUP(2018,DEMANDS!$G$2:$CK$25,MATCH($E147,DEMANDS!$E$2:$E$25,0),FALSE)</f>
        <v>0.17406860757037942</v>
      </c>
      <c r="V147" s="18">
        <f>HLOOKUP(REG_TRA_DEMANDS!V$3,'BY-Demands'!$J$5:$AK$14,MATCH($E147,'BY-Demands'!$I$5:$I$14,0),FALSE)*HLOOKUP(REG_TRA_DEMANDS!$F147,DEMANDS!$G$2:$CK$25,MATCH($E147,DEMANDS!$E$2:$E$25,0),FALSE)/HLOOKUP(2018,DEMANDS!$G$2:$CK$25,MATCH($E147,DEMANDS!$E$2:$E$25,0),FALSE)</f>
        <v>0.22968307220957318</v>
      </c>
      <c r="W147" s="18">
        <f>HLOOKUP(REG_TRA_DEMANDS!W$3,'BY-Demands'!$J$5:$AK$14,MATCH($E147,'BY-Demands'!$I$5:$I$14,0),FALSE)*HLOOKUP(REG_TRA_DEMANDS!$F147,DEMANDS!$G$2:$CK$25,MATCH($E147,DEMANDS!$E$2:$E$25,0),FALSE)/HLOOKUP(2018,DEMANDS!$G$2:$CK$25,MATCH($E147,DEMANDS!$E$2:$E$25,0),FALSE)</f>
        <v>0.18802879040043202</v>
      </c>
      <c r="X147" s="18">
        <f>HLOOKUP(REG_TRA_DEMANDS!X$3,'BY-Demands'!$J$5:$AK$14,MATCH($E147,'BY-Demands'!$I$5:$I$14,0),FALSE)*HLOOKUP(REG_TRA_DEMANDS!$F147,DEMANDS!$G$2:$CK$25,MATCH($E147,DEMANDS!$E$2:$E$25,0),FALSE)/HLOOKUP(2018,DEMANDS!$G$2:$CK$25,MATCH($E147,DEMANDS!$E$2:$E$25,0),FALSE)</f>
        <v>0.13691019757422723</v>
      </c>
      <c r="Y147" s="18">
        <f>HLOOKUP(REG_TRA_DEMANDS!Y$3,'BY-Demands'!$J$5:$AK$14,MATCH($E147,'BY-Demands'!$I$5:$I$14,0),FALSE)*HLOOKUP(REG_TRA_DEMANDS!$F147,DEMANDS!$G$2:$CK$25,MATCH($E147,DEMANDS!$E$2:$E$25,0),FALSE)/HLOOKUP(2018,DEMANDS!$G$2:$CK$25,MATCH($E147,DEMANDS!$E$2:$E$25,0),FALSE)</f>
        <v>0.30411420401468398</v>
      </c>
      <c r="Z147" s="18">
        <f>HLOOKUP(REG_TRA_DEMANDS!Z$3,'BY-Demands'!$J$5:$AK$14,MATCH($E147,'BY-Demands'!$I$5:$I$14,0),FALSE)*HLOOKUP(REG_TRA_DEMANDS!$F147,DEMANDS!$G$2:$CK$25,MATCH($E147,DEMANDS!$E$2:$E$25,0),FALSE)/HLOOKUP(2018,DEMANDS!$G$2:$CK$25,MATCH($E147,DEMANDS!$E$2:$E$25,0),FALSE)</f>
        <v>0.037762966284504082</v>
      </c>
      <c r="AA147" s="18">
        <f>HLOOKUP(REG_TRA_DEMANDS!AA$3,'BY-Demands'!$J$5:$AK$14,MATCH($E147,'BY-Demands'!$I$5:$I$14,0),FALSE)*HLOOKUP(REG_TRA_DEMANDS!$F147,DEMANDS!$G$2:$CK$25,MATCH($E147,DEMANDS!$E$2:$E$25,0),FALSE)/HLOOKUP(2018,DEMANDS!$G$2:$CK$25,MATCH($E147,DEMANDS!$E$2:$E$25,0),FALSE)</f>
        <v>0.15379888406228198</v>
      </c>
      <c r="AB147" s="18">
        <f>HLOOKUP(REG_TRA_DEMANDS!AB$3,'BY-Demands'!$J$5:$AK$14,MATCH($E147,'BY-Demands'!$I$5:$I$14,0),FALSE)*HLOOKUP(REG_TRA_DEMANDS!$F147,DEMANDS!$G$2:$CK$25,MATCH($E147,DEMANDS!$E$2:$E$25,0),FALSE)/HLOOKUP(2018,DEMANDS!$G$2:$CK$25,MATCH($E147,DEMANDS!$E$2:$E$25,0),FALSE)</f>
        <v>0.076063315936431994</v>
      </c>
      <c r="AC147" s="18">
        <f>HLOOKUP(REG_TRA_DEMANDS!AC$3,'BY-Demands'!$J$5:$AK$14,MATCH($E147,'BY-Demands'!$I$5:$I$14,0),FALSE)*HLOOKUP(REG_TRA_DEMANDS!$F147,DEMANDS!$G$2:$CK$25,MATCH($E147,DEMANDS!$E$2:$E$25,0),FALSE)/HLOOKUP(2018,DEMANDS!$G$2:$CK$25,MATCH($E147,DEMANDS!$E$2:$E$25,0),FALSE)</f>
        <v>0.077231181982741579</v>
      </c>
      <c r="AD147" s="18">
        <f>HLOOKUP(REG_TRA_DEMANDS!AD$3,'BY-Demands'!$J$5:$AK$14,MATCH($E147,'BY-Demands'!$I$5:$I$14,0),FALSE)*HLOOKUP(REG_TRA_DEMANDS!$F147,DEMANDS!$G$2:$CK$25,MATCH($E147,DEMANDS!$E$2:$E$25,0),FALSE)/HLOOKUP(2018,DEMANDS!$G$2:$CK$25,MATCH($E147,DEMANDS!$E$2:$E$25,0),FALSE)</f>
        <v>0.089771305694931275</v>
      </c>
      <c r="AE147" s="18">
        <f>HLOOKUP(REG_TRA_DEMANDS!AE$3,'BY-Demands'!$J$5:$AK$14,MATCH($E147,'BY-Demands'!$I$5:$I$14,0),FALSE)*HLOOKUP(REG_TRA_DEMANDS!$F147,DEMANDS!$G$2:$CK$25,MATCH($E147,DEMANDS!$E$2:$E$25,0),FALSE)/HLOOKUP(2018,DEMANDS!$G$2:$CK$25,MATCH($E147,DEMANDS!$E$2:$E$25,0),FALSE)</f>
        <v>0.18760336190122207</v>
      </c>
      <c r="AF147" s="18">
        <f>HLOOKUP(REG_TRA_DEMANDS!AF$3,'BY-Demands'!$J$5:$AK$14,MATCH($E147,'BY-Demands'!$I$5:$I$14,0),FALSE)*HLOOKUP(REG_TRA_DEMANDS!$F147,DEMANDS!$G$2:$CK$25,MATCH($E147,DEMANDS!$E$2:$E$25,0),FALSE)/HLOOKUP(2018,DEMANDS!$G$2:$CK$25,MATCH($E147,DEMANDS!$E$2:$E$25,0),FALSE)</f>
        <v>0.07234170042256155</v>
      </c>
    </row>
    <row r="148" spans="4:32" ht="14.4">
      <c r="D148" t="s">
        <v>6</v>
      </c>
      <c r="E148" t="str">
        <f>DEMANDS!$E$22</f>
        <v>TNAV</v>
      </c>
      <c r="F148">
        <v>2029</v>
      </c>
      <c r="G148" s="18">
        <f>HLOOKUP(REG_TRA_DEMANDS!G$3,'BY-Demands'!$J$5:$AK$14,MATCH($E148,'BY-Demands'!$I$5:$I$14,0),FALSE)*HLOOKUP(REG_TRA_DEMANDS!$F148,DEMANDS!$G$2:$CK$25,MATCH($E148,DEMANDS!$E$2:$E$25,0),FALSE)/HLOOKUP(2018,DEMANDS!$G$2:$CK$25,MATCH($E148,DEMANDS!$E$2:$E$25,0),FALSE)</f>
        <v>0.069179820213826335</v>
      </c>
      <c r="H148" s="18">
        <f>HLOOKUP(REG_TRA_DEMANDS!H$3,'BY-Demands'!$J$5:$AK$14,MATCH($E148,'BY-Demands'!$I$5:$I$14,0),FALSE)*HLOOKUP(REG_TRA_DEMANDS!$F148,DEMANDS!$G$2:$CK$25,MATCH($E148,DEMANDS!$E$2:$E$25,0),FALSE)/HLOOKUP(2018,DEMANDS!$G$2:$CK$25,MATCH($E148,DEMANDS!$E$2:$E$25,0),FALSE)</f>
        <v>1.6372172659221718</v>
      </c>
      <c r="I148" s="18">
        <f>HLOOKUP(REG_TRA_DEMANDS!I$3,'BY-Demands'!$J$5:$AK$14,MATCH($E148,'BY-Demands'!$I$5:$I$14,0),FALSE)*HLOOKUP(REG_TRA_DEMANDS!$F148,DEMANDS!$G$2:$CK$25,MATCH($E148,DEMANDS!$E$2:$E$25,0),FALSE)/HLOOKUP(2018,DEMANDS!$G$2:$CK$25,MATCH($E148,DEMANDS!$E$2:$E$25,0),FALSE)</f>
        <v>0.27037143815178127</v>
      </c>
      <c r="J148" s="18">
        <f>HLOOKUP(REG_TRA_DEMANDS!J$3,'BY-Demands'!$J$5:$AK$14,MATCH($E148,'BY-Demands'!$I$5:$I$14,0),FALSE)*HLOOKUP(REG_TRA_DEMANDS!$F148,DEMANDS!$G$2:$CK$25,MATCH($E148,DEMANDS!$E$2:$E$25,0),FALSE)/HLOOKUP(2018,DEMANDS!$G$2:$CK$25,MATCH($E148,DEMANDS!$E$2:$E$25,0),FALSE)</f>
        <v>0.12057984823049278</v>
      </c>
      <c r="K148" s="18">
        <f>HLOOKUP(REG_TRA_DEMANDS!K$3,'BY-Demands'!$J$5:$AK$14,MATCH($E148,'BY-Demands'!$I$5:$I$14,0),FALSE)*HLOOKUP(REG_TRA_DEMANDS!$F148,DEMANDS!$G$2:$CK$25,MATCH($E148,DEMANDS!$E$2:$E$25,0),FALSE)/HLOOKUP(2018,DEMANDS!$G$2:$CK$25,MATCH($E148,DEMANDS!$E$2:$E$25,0),FALSE)</f>
        <v>0.10291792370987232</v>
      </c>
      <c r="L148" s="18">
        <f>HLOOKUP(REG_TRA_DEMANDS!L$3,'BY-Demands'!$J$5:$AK$14,MATCH($E148,'BY-Demands'!$I$5:$I$14,0),FALSE)*HLOOKUP(REG_TRA_DEMANDS!$F148,DEMANDS!$G$2:$CK$25,MATCH($E148,DEMANDS!$E$2:$E$25,0),FALSE)/HLOOKUP(2018,DEMANDS!$G$2:$CK$25,MATCH($E148,DEMANDS!$E$2:$E$25,0),FALSE)</f>
        <v>0.049666036527782634</v>
      </c>
      <c r="M148" s="18">
        <f>HLOOKUP(REG_TRA_DEMANDS!M$3,'BY-Demands'!$J$5:$AK$14,MATCH($E148,'BY-Demands'!$I$5:$I$14,0),FALSE)*HLOOKUP(REG_TRA_DEMANDS!$F148,DEMANDS!$G$2:$CK$25,MATCH($E148,DEMANDS!$E$2:$E$25,0),FALSE)/HLOOKUP(2018,DEMANDS!$G$2:$CK$25,MATCH($E148,DEMANDS!$E$2:$E$25,0),FALSE)</f>
        <v>0.15661090333097025</v>
      </c>
      <c r="N148" s="18">
        <f>HLOOKUP(REG_TRA_DEMANDS!N$3,'BY-Demands'!$J$5:$AK$14,MATCH($E148,'BY-Demands'!$I$5:$I$14,0),FALSE)*HLOOKUP(REG_TRA_DEMANDS!$F148,DEMANDS!$G$2:$CK$25,MATCH($E148,DEMANDS!$E$2:$E$25,0),FALSE)/HLOOKUP(2018,DEMANDS!$G$2:$CK$25,MATCH($E148,DEMANDS!$E$2:$E$25,0),FALSE)</f>
        <v>0.23700394951495776</v>
      </c>
      <c r="O148" s="18">
        <f>HLOOKUP(REG_TRA_DEMANDS!O$3,'BY-Demands'!$J$5:$AK$14,MATCH($E148,'BY-Demands'!$I$5:$I$14,0),FALSE)*HLOOKUP(REG_TRA_DEMANDS!$F148,DEMANDS!$G$2:$CK$25,MATCH($E148,DEMANDS!$E$2:$E$25,0),FALSE)/HLOOKUP(2018,DEMANDS!$G$2:$CK$25,MATCH($E148,DEMANDS!$E$2:$E$25,0),FALSE)</f>
        <v>0.094732803409156824</v>
      </c>
      <c r="P148" s="18">
        <f>HLOOKUP(REG_TRA_DEMANDS!P$3,'BY-Demands'!$J$5:$AK$14,MATCH($E148,'BY-Demands'!$I$5:$I$14,0),FALSE)*HLOOKUP(REG_TRA_DEMANDS!$F148,DEMANDS!$G$2:$CK$25,MATCH($E148,DEMANDS!$E$2:$E$25,0),FALSE)/HLOOKUP(2018,DEMANDS!$G$2:$CK$25,MATCH($E148,DEMANDS!$E$2:$E$25,0),FALSE)</f>
        <v>0.10786715099384125</v>
      </c>
      <c r="Q148" s="18">
        <f>HLOOKUP(REG_TRA_DEMANDS!Q$3,'BY-Demands'!$J$5:$AK$14,MATCH($E148,'BY-Demands'!$I$5:$I$14,0),FALSE)*HLOOKUP(REG_TRA_DEMANDS!$F148,DEMANDS!$G$2:$CK$25,MATCH($E148,DEMANDS!$E$2:$E$25,0),FALSE)/HLOOKUP(2018,DEMANDS!$G$2:$CK$25,MATCH($E148,DEMANDS!$E$2:$E$25,0),FALSE)</f>
        <v>0.18193179656528036</v>
      </c>
      <c r="R148" s="18">
        <f>HLOOKUP(REG_TRA_DEMANDS!R$3,'BY-Demands'!$J$5:$AK$14,MATCH($E148,'BY-Demands'!$I$5:$I$14,0),FALSE)*HLOOKUP(REG_TRA_DEMANDS!$F148,DEMANDS!$G$2:$CK$25,MATCH($E148,DEMANDS!$E$2:$E$25,0),FALSE)/HLOOKUP(2018,DEMANDS!$G$2:$CK$25,MATCH($E148,DEMANDS!$E$2:$E$25,0),FALSE)</f>
        <v>0.17306498794973324</v>
      </c>
      <c r="S148" s="18">
        <f>HLOOKUP(REG_TRA_DEMANDS!S$3,'BY-Demands'!$J$5:$AK$14,MATCH($E148,'BY-Demands'!$I$5:$I$14,0),FALSE)*HLOOKUP(REG_TRA_DEMANDS!$F148,DEMANDS!$G$2:$CK$25,MATCH($E148,DEMANDS!$E$2:$E$25,0),FALSE)/HLOOKUP(2018,DEMANDS!$G$2:$CK$25,MATCH($E148,DEMANDS!$E$2:$E$25,0),FALSE)</f>
        <v>0.14437818271527797</v>
      </c>
      <c r="T148" s="18">
        <f>HLOOKUP(REG_TRA_DEMANDS!T$3,'BY-Demands'!$J$5:$AK$14,MATCH($E148,'BY-Demands'!$I$5:$I$14,0),FALSE)*HLOOKUP(REG_TRA_DEMANDS!$F148,DEMANDS!$G$2:$CK$25,MATCH($E148,DEMANDS!$E$2:$E$25,0),FALSE)/HLOOKUP(2018,DEMANDS!$G$2:$CK$25,MATCH($E148,DEMANDS!$E$2:$E$25,0),FALSE)</f>
        <v>0.65965556523290048</v>
      </c>
      <c r="U148" s="18">
        <f>HLOOKUP(REG_TRA_DEMANDS!U$3,'BY-Demands'!$J$5:$AK$14,MATCH($E148,'BY-Demands'!$I$5:$I$14,0),FALSE)*HLOOKUP(REG_TRA_DEMANDS!$F148,DEMANDS!$G$2:$CK$25,MATCH($E148,DEMANDS!$E$2:$E$25,0),FALSE)/HLOOKUP(2018,DEMANDS!$G$2:$CK$25,MATCH($E148,DEMANDS!$E$2:$E$25,0),FALSE)</f>
        <v>0.17948330823304398</v>
      </c>
      <c r="V148" s="18">
        <f>HLOOKUP(REG_TRA_DEMANDS!V$3,'BY-Demands'!$J$5:$AK$14,MATCH($E148,'BY-Demands'!$I$5:$I$14,0),FALSE)*HLOOKUP(REG_TRA_DEMANDS!$F148,DEMANDS!$G$2:$CK$25,MATCH($E148,DEMANDS!$E$2:$E$25,0),FALSE)/HLOOKUP(2018,DEMANDS!$G$2:$CK$25,MATCH($E148,DEMANDS!$E$2:$E$25,0),FALSE)</f>
        <v>0.23682775556549171</v>
      </c>
      <c r="W148" s="18">
        <f>HLOOKUP(REG_TRA_DEMANDS!W$3,'BY-Demands'!$J$5:$AK$14,MATCH($E148,'BY-Demands'!$I$5:$I$14,0),FALSE)*HLOOKUP(REG_TRA_DEMANDS!$F148,DEMANDS!$G$2:$CK$25,MATCH($E148,DEMANDS!$E$2:$E$25,0),FALSE)/HLOOKUP(2018,DEMANDS!$G$2:$CK$25,MATCH($E148,DEMANDS!$E$2:$E$25,0),FALSE)</f>
        <v>0.19387774633908161</v>
      </c>
      <c r="X148" s="18">
        <f>HLOOKUP(REG_TRA_DEMANDS!X$3,'BY-Demands'!$J$5:$AK$14,MATCH($E148,'BY-Demands'!$I$5:$I$14,0),FALSE)*HLOOKUP(REG_TRA_DEMANDS!$F148,DEMANDS!$G$2:$CK$25,MATCH($E148,DEMANDS!$E$2:$E$25,0),FALSE)/HLOOKUP(2018,DEMANDS!$G$2:$CK$25,MATCH($E148,DEMANDS!$E$2:$E$25,0),FALSE)</f>
        <v>0.14116902257362277</v>
      </c>
      <c r="Y148" s="18">
        <f>HLOOKUP(REG_TRA_DEMANDS!Y$3,'BY-Demands'!$J$5:$AK$14,MATCH($E148,'BY-Demands'!$I$5:$I$14,0),FALSE)*HLOOKUP(REG_TRA_DEMANDS!$F148,DEMANDS!$G$2:$CK$25,MATCH($E148,DEMANDS!$E$2:$E$25,0),FALSE)/HLOOKUP(2018,DEMANDS!$G$2:$CK$25,MATCH($E148,DEMANDS!$E$2:$E$25,0),FALSE)</f>
        <v>0.3135741945608726</v>
      </c>
      <c r="Z148" s="18">
        <f>HLOOKUP(REG_TRA_DEMANDS!Z$3,'BY-Demands'!$J$5:$AK$14,MATCH($E148,'BY-Demands'!$I$5:$I$14,0),FALSE)*HLOOKUP(REG_TRA_DEMANDS!$F148,DEMANDS!$G$2:$CK$25,MATCH($E148,DEMANDS!$E$2:$E$25,0),FALSE)/HLOOKUP(2018,DEMANDS!$G$2:$CK$25,MATCH($E148,DEMANDS!$E$2:$E$25,0),FALSE)</f>
        <v>0.038937647701325372</v>
      </c>
      <c r="AA148" s="18">
        <f>HLOOKUP(REG_TRA_DEMANDS!AA$3,'BY-Demands'!$J$5:$AK$14,MATCH($E148,'BY-Demands'!$I$5:$I$14,0),FALSE)*HLOOKUP(REG_TRA_DEMANDS!$F148,DEMANDS!$G$2:$CK$25,MATCH($E148,DEMANDS!$E$2:$E$25,0),FALSE)/HLOOKUP(2018,DEMANDS!$G$2:$CK$25,MATCH($E148,DEMANDS!$E$2:$E$25,0),FALSE)</f>
        <v>0.1585830604343047</v>
      </c>
      <c r="AB148" s="18">
        <f>HLOOKUP(REG_TRA_DEMANDS!AB$3,'BY-Demands'!$J$5:$AK$14,MATCH($E148,'BY-Demands'!$I$5:$I$14,0),FALSE)*HLOOKUP(REG_TRA_DEMANDS!$F148,DEMANDS!$G$2:$CK$25,MATCH($E148,DEMANDS!$E$2:$E$25,0),FALSE)/HLOOKUP(2018,DEMANDS!$G$2:$CK$25,MATCH($E148,DEMANDS!$E$2:$E$25,0),FALSE)</f>
        <v>0.078429394995454385</v>
      </c>
      <c r="AC148" s="18">
        <f>HLOOKUP(REG_TRA_DEMANDS!AC$3,'BY-Demands'!$J$5:$AK$14,MATCH($E148,'BY-Demands'!$I$5:$I$14,0),FALSE)*HLOOKUP(REG_TRA_DEMANDS!$F148,DEMANDS!$G$2:$CK$25,MATCH($E148,DEMANDS!$E$2:$E$25,0),FALSE)/HLOOKUP(2018,DEMANDS!$G$2:$CK$25,MATCH($E148,DEMANDS!$E$2:$E$25,0),FALSE)</f>
        <v>0.079633589505253843</v>
      </c>
      <c r="AD148" s="18">
        <f>HLOOKUP(REG_TRA_DEMANDS!AD$3,'BY-Demands'!$J$5:$AK$14,MATCH($E148,'BY-Demands'!$I$5:$I$14,0),FALSE)*HLOOKUP(REG_TRA_DEMANDS!$F148,DEMANDS!$G$2:$CK$25,MATCH($E148,DEMANDS!$E$2:$E$25,0),FALSE)/HLOOKUP(2018,DEMANDS!$G$2:$CK$25,MATCH($E148,DEMANDS!$E$2:$E$25,0),FALSE)</f>
        <v>0.09256379513469469</v>
      </c>
      <c r="AE148" s="18">
        <f>HLOOKUP(REG_TRA_DEMANDS!AE$3,'BY-Demands'!$J$5:$AK$14,MATCH($E148,'BY-Demands'!$I$5:$I$14,0),FALSE)*HLOOKUP(REG_TRA_DEMANDS!$F148,DEMANDS!$G$2:$CK$25,MATCH($E148,DEMANDS!$E$2:$E$25,0),FALSE)/HLOOKUP(2018,DEMANDS!$G$2:$CK$25,MATCH($E148,DEMANDS!$E$2:$E$25,0),FALSE)</f>
        <v>0.19343908416144601</v>
      </c>
      <c r="AF148" s="18">
        <f>HLOOKUP(REG_TRA_DEMANDS!AF$3,'BY-Demands'!$J$5:$AK$14,MATCH($E148,'BY-Demands'!$I$5:$I$14,0),FALSE)*HLOOKUP(REG_TRA_DEMANDS!$F148,DEMANDS!$G$2:$CK$25,MATCH($E148,DEMANDS!$E$2:$E$25,0),FALSE)/HLOOKUP(2018,DEMANDS!$G$2:$CK$25,MATCH($E148,DEMANDS!$E$2:$E$25,0),FALSE)</f>
        <v>0.07459201228915098</v>
      </c>
    </row>
    <row r="149" spans="4:32" ht="14.4">
      <c r="D149" t="s">
        <v>6</v>
      </c>
      <c r="E149" t="str">
        <f>DEMANDS!$E$22</f>
        <v>TNAV</v>
      </c>
      <c r="F149">
        <v>2030</v>
      </c>
      <c r="G149" s="18">
        <f>HLOOKUP(REG_TRA_DEMANDS!G$3,'BY-Demands'!$J$5:$AK$14,MATCH($E149,'BY-Demands'!$I$5:$I$14,0),FALSE)*HLOOKUP(REG_TRA_DEMANDS!$F149,DEMANDS!$G$2:$CK$25,MATCH($E149,DEMANDS!$E$2:$E$25,0),FALSE)/HLOOKUP(2018,DEMANDS!$G$2:$CK$25,MATCH($E149,DEMANDS!$E$2:$E$25,0),FALSE)</f>
        <v>0.071311121771731364</v>
      </c>
      <c r="H149" s="18">
        <f>HLOOKUP(REG_TRA_DEMANDS!H$3,'BY-Demands'!$J$5:$AK$14,MATCH($E149,'BY-Demands'!$I$5:$I$14,0),FALSE)*HLOOKUP(REG_TRA_DEMANDS!$F149,DEMANDS!$G$2:$CK$25,MATCH($E149,DEMANDS!$E$2:$E$25,0),FALSE)/HLOOKUP(2018,DEMANDS!$G$2:$CK$25,MATCH($E149,DEMANDS!$E$2:$E$25,0),FALSE)</f>
        <v>1.6876568839885906</v>
      </c>
      <c r="I149" s="18">
        <f>HLOOKUP(REG_TRA_DEMANDS!I$3,'BY-Demands'!$J$5:$AK$14,MATCH($E149,'BY-Demands'!$I$5:$I$14,0),FALSE)*HLOOKUP(REG_TRA_DEMANDS!$F149,DEMANDS!$G$2:$CK$25,MATCH($E149,DEMANDS!$E$2:$E$25,0),FALSE)/HLOOKUP(2018,DEMANDS!$G$2:$CK$25,MATCH($E149,DEMANDS!$E$2:$E$25,0),FALSE)</f>
        <v>0.27870107915930081</v>
      </c>
      <c r="J149" s="18">
        <f>HLOOKUP(REG_TRA_DEMANDS!J$3,'BY-Demands'!$J$5:$AK$14,MATCH($E149,'BY-Demands'!$I$5:$I$14,0),FALSE)*HLOOKUP(REG_TRA_DEMANDS!$F149,DEMANDS!$G$2:$CK$25,MATCH($E149,DEMANDS!$E$2:$E$25,0),FALSE)/HLOOKUP(2018,DEMANDS!$G$2:$CK$25,MATCH($E149,DEMANDS!$E$2:$E$25,0),FALSE)</f>
        <v>0.12429468902642533</v>
      </c>
      <c r="K149" s="18">
        <f>HLOOKUP(REG_TRA_DEMANDS!K$3,'BY-Demands'!$J$5:$AK$14,MATCH($E149,'BY-Demands'!$I$5:$I$14,0),FALSE)*HLOOKUP(REG_TRA_DEMANDS!$F149,DEMANDS!$G$2:$CK$25,MATCH($E149,DEMANDS!$E$2:$E$25,0),FALSE)/HLOOKUP(2018,DEMANDS!$G$2:$CK$25,MATCH($E149,DEMANDS!$E$2:$E$25,0),FALSE)</f>
        <v>0.10608863346975926</v>
      </c>
      <c r="L149" s="18">
        <f>HLOOKUP(REG_TRA_DEMANDS!L$3,'BY-Demands'!$J$5:$AK$14,MATCH($E149,'BY-Demands'!$I$5:$I$14,0),FALSE)*HLOOKUP(REG_TRA_DEMANDS!$F149,DEMANDS!$G$2:$CK$25,MATCH($E149,DEMANDS!$E$2:$E$25,0),FALSE)/HLOOKUP(2018,DEMANDS!$G$2:$CK$25,MATCH($E149,DEMANDS!$E$2:$E$25,0),FALSE)</f>
        <v>0.051196154713974089</v>
      </c>
      <c r="M149" s="18">
        <f>HLOOKUP(REG_TRA_DEMANDS!M$3,'BY-Demands'!$J$5:$AK$14,MATCH($E149,'BY-Demands'!$I$5:$I$14,0),FALSE)*HLOOKUP(REG_TRA_DEMANDS!$F149,DEMANDS!$G$2:$CK$25,MATCH($E149,DEMANDS!$E$2:$E$25,0),FALSE)/HLOOKUP(2018,DEMANDS!$G$2:$CK$25,MATCH($E149,DEMANDS!$E$2:$E$25,0),FALSE)</f>
        <v>0.16143579390198537</v>
      </c>
      <c r="N149" s="18">
        <f>HLOOKUP(REG_TRA_DEMANDS!N$3,'BY-Demands'!$J$5:$AK$14,MATCH($E149,'BY-Demands'!$I$5:$I$14,0),FALSE)*HLOOKUP(REG_TRA_DEMANDS!$F149,DEMANDS!$G$2:$CK$25,MATCH($E149,DEMANDS!$E$2:$E$25,0),FALSE)/HLOOKUP(2018,DEMANDS!$G$2:$CK$25,MATCH($E149,DEMANDS!$E$2:$E$25,0),FALSE)</f>
        <v>0.2443056002748121</v>
      </c>
      <c r="O149" s="18">
        <f>HLOOKUP(REG_TRA_DEMANDS!O$3,'BY-Demands'!$J$5:$AK$14,MATCH($E149,'BY-Demands'!$I$5:$I$14,0),FALSE)*HLOOKUP(REG_TRA_DEMANDS!$F149,DEMANDS!$G$2:$CK$25,MATCH($E149,DEMANDS!$E$2:$E$25,0),FALSE)/HLOOKUP(2018,DEMANDS!$G$2:$CK$25,MATCH($E149,DEMANDS!$E$2:$E$25,0),FALSE)</f>
        <v>0.097651344840264706</v>
      </c>
      <c r="P149" s="18">
        <f>HLOOKUP(REG_TRA_DEMANDS!P$3,'BY-Demands'!$J$5:$AK$14,MATCH($E149,'BY-Demands'!$I$5:$I$14,0),FALSE)*HLOOKUP(REG_TRA_DEMANDS!$F149,DEMANDS!$G$2:$CK$25,MATCH($E149,DEMANDS!$E$2:$E$25,0),FALSE)/HLOOKUP(2018,DEMANDS!$G$2:$CK$25,MATCH($E149,DEMANDS!$E$2:$E$25,0),FALSE)</f>
        <v>0.1111903372387515</v>
      </c>
      <c r="Q149" s="18">
        <f>HLOOKUP(REG_TRA_DEMANDS!Q$3,'BY-Demands'!$J$5:$AK$14,MATCH($E149,'BY-Demands'!$I$5:$I$14,0),FALSE)*HLOOKUP(REG_TRA_DEMANDS!$F149,DEMANDS!$G$2:$CK$25,MATCH($E149,DEMANDS!$E$2:$E$25,0),FALSE)/HLOOKUP(2018,DEMANDS!$G$2:$CK$25,MATCH($E149,DEMANDS!$E$2:$E$25,0),FALSE)</f>
        <v>0.18753677674958194</v>
      </c>
      <c r="R149" s="18">
        <f>HLOOKUP(REG_TRA_DEMANDS!R$3,'BY-Demands'!$J$5:$AK$14,MATCH($E149,'BY-Demands'!$I$5:$I$14,0),FALSE)*HLOOKUP(REG_TRA_DEMANDS!$F149,DEMANDS!$G$2:$CK$25,MATCH($E149,DEMANDS!$E$2:$E$25,0),FALSE)/HLOOKUP(2018,DEMANDS!$G$2:$CK$25,MATCH($E149,DEMANDS!$E$2:$E$25,0),FALSE)</f>
        <v>0.17839679825649613</v>
      </c>
      <c r="S149" s="18">
        <f>HLOOKUP(REG_TRA_DEMANDS!S$3,'BY-Demands'!$J$5:$AK$14,MATCH($E149,'BY-Demands'!$I$5:$I$14,0),FALSE)*HLOOKUP(REG_TRA_DEMANDS!$F149,DEMANDS!$G$2:$CK$25,MATCH($E149,DEMANDS!$E$2:$E$25,0),FALSE)/HLOOKUP(2018,DEMANDS!$G$2:$CK$25,MATCH($E149,DEMANDS!$E$2:$E$25,0),FALSE)</f>
        <v>0.14882620592200888</v>
      </c>
      <c r="T149" s="18">
        <f>HLOOKUP(REG_TRA_DEMANDS!T$3,'BY-Demands'!$J$5:$AK$14,MATCH($E149,'BY-Demands'!$I$5:$I$14,0),FALSE)*HLOOKUP(REG_TRA_DEMANDS!$F149,DEMANDS!$G$2:$CK$25,MATCH($E149,DEMANDS!$E$2:$E$25,0),FALSE)/HLOOKUP(2018,DEMANDS!$G$2:$CK$25,MATCH($E149,DEMANDS!$E$2:$E$25,0),FALSE)</f>
        <v>0.6799783259674046</v>
      </c>
      <c r="U149" s="18">
        <f>HLOOKUP(REG_TRA_DEMANDS!U$3,'BY-Demands'!$J$5:$AK$14,MATCH($E149,'BY-Demands'!$I$5:$I$14,0),FALSE)*HLOOKUP(REG_TRA_DEMANDS!$F149,DEMANDS!$G$2:$CK$25,MATCH($E149,DEMANDS!$E$2:$E$25,0),FALSE)/HLOOKUP(2018,DEMANDS!$G$2:$CK$25,MATCH($E149,DEMANDS!$E$2:$E$25,0),FALSE)</f>
        <v>0.18501285504702344</v>
      </c>
      <c r="V149" s="18">
        <f>HLOOKUP(REG_TRA_DEMANDS!V$3,'BY-Demands'!$J$5:$AK$14,MATCH($E149,'BY-Demands'!$I$5:$I$14,0),FALSE)*HLOOKUP(REG_TRA_DEMANDS!$F149,DEMANDS!$G$2:$CK$25,MATCH($E149,DEMANDS!$E$2:$E$25,0),FALSE)/HLOOKUP(2018,DEMANDS!$G$2:$CK$25,MATCH($E149,DEMANDS!$E$2:$E$25,0),FALSE)</f>
        <v>0.24412397811755615</v>
      </c>
      <c r="W149" s="18">
        <f>HLOOKUP(REG_TRA_DEMANDS!W$3,'BY-Demands'!$J$5:$AK$14,MATCH($E149,'BY-Demands'!$I$5:$I$14,0),FALSE)*HLOOKUP(REG_TRA_DEMANDS!$F149,DEMANDS!$G$2:$CK$25,MATCH($E149,DEMANDS!$E$2:$E$25,0),FALSE)/HLOOKUP(2018,DEMANDS!$G$2:$CK$25,MATCH($E149,DEMANDS!$E$2:$E$25,0),FALSE)</f>
        <v>0.19985075901154031</v>
      </c>
      <c r="X149" s="18">
        <f>HLOOKUP(REG_TRA_DEMANDS!X$3,'BY-Demands'!$J$5:$AK$14,MATCH($E149,'BY-Demands'!$I$5:$I$14,0),FALSE)*HLOOKUP(REG_TRA_DEMANDS!$F149,DEMANDS!$G$2:$CK$25,MATCH($E149,DEMANDS!$E$2:$E$25,0),FALSE)/HLOOKUP(2018,DEMANDS!$G$2:$CK$25,MATCH($E149,DEMANDS!$E$2:$E$25,0),FALSE)</f>
        <v>0.14551817752674534</v>
      </c>
      <c r="Y149" s="18">
        <f>HLOOKUP(REG_TRA_DEMANDS!Y$3,'BY-Demands'!$J$5:$AK$14,MATCH($E149,'BY-Demands'!$I$5:$I$14,0),FALSE)*HLOOKUP(REG_TRA_DEMANDS!$F149,DEMANDS!$G$2:$CK$25,MATCH($E149,DEMANDS!$E$2:$E$25,0),FALSE)/HLOOKUP(2018,DEMANDS!$G$2:$CK$25,MATCH($E149,DEMANDS!$E$2:$E$25,0),FALSE)</f>
        <v>0.32323483211848264</v>
      </c>
      <c r="Z149" s="18">
        <f>HLOOKUP(REG_TRA_DEMANDS!Z$3,'BY-Demands'!$J$5:$AK$14,MATCH($E149,'BY-Demands'!$I$5:$I$14,0),FALSE)*HLOOKUP(REG_TRA_DEMANDS!$F149,DEMANDS!$G$2:$CK$25,MATCH($E149,DEMANDS!$E$2:$E$25,0),FALSE)/HLOOKUP(2018,DEMANDS!$G$2:$CK$25,MATCH($E149,DEMANDS!$E$2:$E$25,0),FALSE)</f>
        <v>0.040137244186983868</v>
      </c>
      <c r="AA149" s="18">
        <f>HLOOKUP(REG_TRA_DEMANDS!AA$3,'BY-Demands'!$J$5:$AK$14,MATCH($E149,'BY-Demands'!$I$5:$I$14,0),FALSE)*HLOOKUP(REG_TRA_DEMANDS!$F149,DEMANDS!$G$2:$CK$25,MATCH($E149,DEMANDS!$E$2:$E$25,0),FALSE)/HLOOKUP(2018,DEMANDS!$G$2:$CK$25,MATCH($E149,DEMANDS!$E$2:$E$25,0),FALSE)</f>
        <v>0.16346870949665121</v>
      </c>
      <c r="AB149" s="18">
        <f>HLOOKUP(REG_TRA_DEMANDS!AB$3,'BY-Demands'!$J$5:$AK$14,MATCH($E149,'BY-Demands'!$I$5:$I$14,0),FALSE)*HLOOKUP(REG_TRA_DEMANDS!$F149,DEMANDS!$G$2:$CK$25,MATCH($E149,DEMANDS!$E$2:$E$25,0),FALSE)/HLOOKUP(2018,DEMANDS!$G$2:$CK$25,MATCH($E149,DEMANDS!$E$2:$E$25,0),FALSE)</f>
        <v>0.080845658744372786</v>
      </c>
      <c r="AC149" s="18">
        <f>HLOOKUP(REG_TRA_DEMANDS!AC$3,'BY-Demands'!$J$5:$AK$14,MATCH($E149,'BY-Demands'!$I$5:$I$14,0),FALSE)*HLOOKUP(REG_TRA_DEMANDS!$F149,DEMANDS!$G$2:$CK$25,MATCH($E149,DEMANDS!$E$2:$E$25,0),FALSE)/HLOOKUP(2018,DEMANDS!$G$2:$CK$25,MATCH($E149,DEMANDS!$E$2:$E$25,0),FALSE)</f>
        <v>0.082086952246722744</v>
      </c>
      <c r="AD149" s="18">
        <f>HLOOKUP(REG_TRA_DEMANDS!AD$3,'BY-Demands'!$J$5:$AK$14,MATCH($E149,'BY-Demands'!$I$5:$I$14,0),FALSE)*HLOOKUP(REG_TRA_DEMANDS!$F149,DEMANDS!$G$2:$CK$25,MATCH($E149,DEMANDS!$E$2:$E$25,0),FALSE)/HLOOKUP(2018,DEMANDS!$G$2:$CK$25,MATCH($E149,DEMANDS!$E$2:$E$25,0),FALSE)</f>
        <v>0.095415513456112752</v>
      </c>
      <c r="AE149" s="18">
        <f>HLOOKUP(REG_TRA_DEMANDS!AE$3,'BY-Demands'!$J$5:$AK$14,MATCH($E149,'BY-Demands'!$I$5:$I$14,0),FALSE)*HLOOKUP(REG_TRA_DEMANDS!$F149,DEMANDS!$G$2:$CK$25,MATCH($E149,DEMANDS!$E$2:$E$25,0),FALSE)/HLOOKUP(2018,DEMANDS!$G$2:$CK$25,MATCH($E149,DEMANDS!$E$2:$E$25,0),FALSE)</f>
        <v>0.19939858246830361</v>
      </c>
      <c r="AF149" s="18">
        <f>HLOOKUP(REG_TRA_DEMANDS!AF$3,'BY-Demands'!$J$5:$AK$14,MATCH($E149,'BY-Demands'!$I$5:$I$14,0),FALSE)*HLOOKUP(REG_TRA_DEMANDS!$F149,DEMANDS!$G$2:$CK$25,MATCH($E149,DEMANDS!$E$2:$E$25,0),FALSE)/HLOOKUP(2018,DEMANDS!$G$2:$CK$25,MATCH($E149,DEMANDS!$E$2:$E$25,0),FALSE)</f>
        <v>0.076890053415996307</v>
      </c>
    </row>
    <row r="150" spans="4:32" ht="14.4">
      <c r="D150" t="s">
        <v>6</v>
      </c>
      <c r="E150" t="str">
        <f>DEMANDS!$E$22</f>
        <v>TNAV</v>
      </c>
      <c r="F150">
        <v>2031</v>
      </c>
      <c r="G150" s="18">
        <f>HLOOKUP(REG_TRA_DEMANDS!G$3,'BY-Demands'!$J$5:$AK$14,MATCH($E150,'BY-Demands'!$I$5:$I$14,0),FALSE)*HLOOKUP(REG_TRA_DEMANDS!$F150,DEMANDS!$G$2:$CK$25,MATCH($E150,DEMANDS!$E$2:$E$25,0),FALSE)/HLOOKUP(2018,DEMANDS!$G$2:$CK$25,MATCH($E150,DEMANDS!$E$2:$E$25,0),FALSE)</f>
        <v>0.073477456164221563</v>
      </c>
      <c r="H150" s="18">
        <f>HLOOKUP(REG_TRA_DEMANDS!H$3,'BY-Demands'!$J$5:$AK$14,MATCH($E150,'BY-Demands'!$I$5:$I$14,0),FALSE)*HLOOKUP(REG_TRA_DEMANDS!$F150,DEMANDS!$G$2:$CK$25,MATCH($E150,DEMANDS!$E$2:$E$25,0),FALSE)/HLOOKUP(2018,DEMANDS!$G$2:$CK$25,MATCH($E150,DEMANDS!$E$2:$E$25,0),FALSE)</f>
        <v>1.7389255929875931</v>
      </c>
      <c r="I150" s="18">
        <f>HLOOKUP(REG_TRA_DEMANDS!I$3,'BY-Demands'!$J$5:$AK$14,MATCH($E150,'BY-Demands'!$I$5:$I$14,0),FALSE)*HLOOKUP(REG_TRA_DEMANDS!$F150,DEMANDS!$G$2:$CK$25,MATCH($E150,DEMANDS!$E$2:$E$25,0),FALSE)/HLOOKUP(2018,DEMANDS!$G$2:$CK$25,MATCH($E150,DEMANDS!$E$2:$E$25,0),FALSE)</f>
        <v>0.28716763694168401</v>
      </c>
      <c r="J150" s="18">
        <f>HLOOKUP(REG_TRA_DEMANDS!J$3,'BY-Demands'!$J$5:$AK$14,MATCH($E150,'BY-Demands'!$I$5:$I$14,0),FALSE)*HLOOKUP(REG_TRA_DEMANDS!$F150,DEMANDS!$G$2:$CK$25,MATCH($E150,DEMANDS!$E$2:$E$25,0),FALSE)/HLOOKUP(2018,DEMANDS!$G$2:$CK$25,MATCH($E150,DEMANDS!$E$2:$E$25,0),FALSE)</f>
        <v>0.12807059176013549</v>
      </c>
      <c r="K150" s="18">
        <f>HLOOKUP(REG_TRA_DEMANDS!K$3,'BY-Demands'!$J$5:$AK$14,MATCH($E150,'BY-Demands'!$I$5:$I$14,0),FALSE)*HLOOKUP(REG_TRA_DEMANDS!$F150,DEMANDS!$G$2:$CK$25,MATCH($E150,DEMANDS!$E$2:$E$25,0),FALSE)/HLOOKUP(2018,DEMANDS!$G$2:$CK$25,MATCH($E150,DEMANDS!$E$2:$E$25,0),FALSE)</f>
        <v>0.10931146112451831</v>
      </c>
      <c r="L150" s="18">
        <f>HLOOKUP(REG_TRA_DEMANDS!L$3,'BY-Demands'!$J$5:$AK$14,MATCH($E150,'BY-Demands'!$I$5:$I$14,0),FALSE)*HLOOKUP(REG_TRA_DEMANDS!$F150,DEMANDS!$G$2:$CK$25,MATCH($E150,DEMANDS!$E$2:$E$25,0),FALSE)/HLOOKUP(2018,DEMANDS!$G$2:$CK$25,MATCH($E150,DEMANDS!$E$2:$E$25,0),FALSE)</f>
        <v>0.052751423905716029</v>
      </c>
      <c r="M150" s="18">
        <f>HLOOKUP(REG_TRA_DEMANDS!M$3,'BY-Demands'!$J$5:$AK$14,MATCH($E150,'BY-Demands'!$I$5:$I$14,0),FALSE)*HLOOKUP(REG_TRA_DEMANDS!$F150,DEMANDS!$G$2:$CK$25,MATCH($E150,DEMANDS!$E$2:$E$25,0),FALSE)/HLOOKUP(2018,DEMANDS!$G$2:$CK$25,MATCH($E150,DEMANDS!$E$2:$E$25,0),FALSE)</f>
        <v>0.16633999262751242</v>
      </c>
      <c r="N150" s="18">
        <f>HLOOKUP(REG_TRA_DEMANDS!N$3,'BY-Demands'!$J$5:$AK$14,MATCH($E150,'BY-Demands'!$I$5:$I$14,0),FALSE)*HLOOKUP(REG_TRA_DEMANDS!$F150,DEMANDS!$G$2:$CK$25,MATCH($E150,DEMANDS!$E$2:$E$25,0),FALSE)/HLOOKUP(2018,DEMANDS!$G$2:$CK$25,MATCH($E150,DEMANDS!$E$2:$E$25,0),FALSE)</f>
        <v>0.25172727042953807</v>
      </c>
      <c r="O150" s="18">
        <f>HLOOKUP(REG_TRA_DEMANDS!O$3,'BY-Demands'!$J$5:$AK$14,MATCH($E150,'BY-Demands'!$I$5:$I$14,0),FALSE)*HLOOKUP(REG_TRA_DEMANDS!$F150,DEMANDS!$G$2:$CK$25,MATCH($E150,DEMANDS!$E$2:$E$25,0),FALSE)/HLOOKUP(2018,DEMANDS!$G$2:$CK$25,MATCH($E150,DEMANDS!$E$2:$E$25,0),FALSE)</f>
        <v>0.10061785920078124</v>
      </c>
      <c r="P150" s="18">
        <f>HLOOKUP(REG_TRA_DEMANDS!P$3,'BY-Demands'!$J$5:$AK$14,MATCH($E150,'BY-Demands'!$I$5:$I$14,0),FALSE)*HLOOKUP(REG_TRA_DEMANDS!$F150,DEMANDS!$G$2:$CK$25,MATCH($E150,DEMANDS!$E$2:$E$25,0),FALSE)/HLOOKUP(2018,DEMANDS!$G$2:$CK$25,MATCH($E150,DEMANDS!$E$2:$E$25,0),FALSE)</f>
        <v>0.11456814767965215</v>
      </c>
      <c r="Q150" s="18">
        <f>HLOOKUP(REG_TRA_DEMANDS!Q$3,'BY-Demands'!$J$5:$AK$14,MATCH($E150,'BY-Demands'!$I$5:$I$14,0),FALSE)*HLOOKUP(REG_TRA_DEMANDS!$F150,DEMANDS!$G$2:$CK$25,MATCH($E150,DEMANDS!$E$2:$E$25,0),FALSE)/HLOOKUP(2018,DEMANDS!$G$2:$CK$25,MATCH($E150,DEMANDS!$E$2:$E$25,0),FALSE)</f>
        <v>0.19323388765228022</v>
      </c>
      <c r="R150" s="18">
        <f>HLOOKUP(REG_TRA_DEMANDS!R$3,'BY-Demands'!$J$5:$AK$14,MATCH($E150,'BY-Demands'!$I$5:$I$14,0),FALSE)*HLOOKUP(REG_TRA_DEMANDS!$F150,DEMANDS!$G$2:$CK$25,MATCH($E150,DEMANDS!$E$2:$E$25,0),FALSE)/HLOOKUP(2018,DEMANDS!$G$2:$CK$25,MATCH($E150,DEMANDS!$E$2:$E$25,0),FALSE)</f>
        <v>0.18381624910751868</v>
      </c>
      <c r="S150" s="18">
        <f>HLOOKUP(REG_TRA_DEMANDS!S$3,'BY-Demands'!$J$5:$AK$14,MATCH($E150,'BY-Demands'!$I$5:$I$14,0),FALSE)*HLOOKUP(REG_TRA_DEMANDS!$F150,DEMANDS!$G$2:$CK$25,MATCH($E150,DEMANDS!$E$2:$E$25,0),FALSE)/HLOOKUP(2018,DEMANDS!$G$2:$CK$25,MATCH($E150,DEMANDS!$E$2:$E$25,0),FALSE)</f>
        <v>0.15334734260282998</v>
      </c>
      <c r="T150" s="18">
        <f>HLOOKUP(REG_TRA_DEMANDS!T$3,'BY-Demands'!$J$5:$AK$14,MATCH($E150,'BY-Demands'!$I$5:$I$14,0),FALSE)*HLOOKUP(REG_TRA_DEMANDS!$F150,DEMANDS!$G$2:$CK$25,MATCH($E150,DEMANDS!$E$2:$E$25,0),FALSE)/HLOOKUP(2018,DEMANDS!$G$2:$CK$25,MATCH($E150,DEMANDS!$E$2:$E$25,0),FALSE)</f>
        <v>0.70063513793575938</v>
      </c>
      <c r="U150" s="18">
        <f>HLOOKUP(REG_TRA_DEMANDS!U$3,'BY-Demands'!$J$5:$AK$14,MATCH($E150,'BY-Demands'!$I$5:$I$14,0),FALSE)*HLOOKUP(REG_TRA_DEMANDS!$F150,DEMANDS!$G$2:$CK$25,MATCH($E150,DEMANDS!$E$2:$E$25,0),FALSE)/HLOOKUP(2018,DEMANDS!$G$2:$CK$25,MATCH($E150,DEMANDS!$E$2:$E$25,0),FALSE)</f>
        <v>0.19063329265876289</v>
      </c>
      <c r="V150" s="18">
        <f>HLOOKUP(REG_TRA_DEMANDS!V$3,'BY-Demands'!$J$5:$AK$14,MATCH($E150,'BY-Demands'!$I$5:$I$14,0),FALSE)*HLOOKUP(REG_TRA_DEMANDS!$F150,DEMANDS!$G$2:$CK$25,MATCH($E150,DEMANDS!$E$2:$E$25,0),FALSE)/HLOOKUP(2018,DEMANDS!$G$2:$CK$25,MATCH($E150,DEMANDS!$E$2:$E$25,0),FALSE)</f>
        <v>0.251540130839434</v>
      </c>
      <c r="W150" s="18">
        <f>HLOOKUP(REG_TRA_DEMANDS!W$3,'BY-Demands'!$J$5:$AK$14,MATCH($E150,'BY-Demands'!$I$5:$I$14,0),FALSE)*HLOOKUP(REG_TRA_DEMANDS!$F150,DEMANDS!$G$2:$CK$25,MATCH($E150,DEMANDS!$E$2:$E$25,0),FALSE)/HLOOKUP(2018,DEMANDS!$G$2:$CK$25,MATCH($E150,DEMANDS!$E$2:$E$25,0),FALSE)</f>
        <v>0.20592195186134341</v>
      </c>
      <c r="X150" s="18">
        <f>HLOOKUP(REG_TRA_DEMANDS!X$3,'BY-Demands'!$J$5:$AK$14,MATCH($E150,'BY-Demands'!$I$5:$I$14,0),FALSE)*HLOOKUP(REG_TRA_DEMANDS!$F150,DEMANDS!$G$2:$CK$25,MATCH($E150,DEMANDS!$E$2:$E$25,0),FALSE)/HLOOKUP(2018,DEMANDS!$G$2:$CK$25,MATCH($E150,DEMANDS!$E$2:$E$25,0),FALSE)</f>
        <v>0.14993882082720805</v>
      </c>
      <c r="Y150" s="18">
        <f>HLOOKUP(REG_TRA_DEMANDS!Y$3,'BY-Demands'!$J$5:$AK$14,MATCH($E150,'BY-Demands'!$I$5:$I$14,0),FALSE)*HLOOKUP(REG_TRA_DEMANDS!$F150,DEMANDS!$G$2:$CK$25,MATCH($E150,DEMANDS!$E$2:$E$25,0),FALSE)/HLOOKUP(2018,DEMANDS!$G$2:$CK$25,MATCH($E150,DEMANDS!$E$2:$E$25,0),FALSE)</f>
        <v>0.33305426443523306</v>
      </c>
      <c r="Z150" s="18">
        <f>HLOOKUP(REG_TRA_DEMANDS!Z$3,'BY-Demands'!$J$5:$AK$14,MATCH($E150,'BY-Demands'!$I$5:$I$14,0),FALSE)*HLOOKUP(REG_TRA_DEMANDS!$F150,DEMANDS!$G$2:$CK$25,MATCH($E150,DEMANDS!$E$2:$E$25,0),FALSE)/HLOOKUP(2018,DEMANDS!$G$2:$CK$25,MATCH($E150,DEMANDS!$E$2:$E$25,0),FALSE)</f>
        <v>0.04135655879516479</v>
      </c>
      <c r="AA150" s="18">
        <f>HLOOKUP(REG_TRA_DEMANDS!AA$3,'BY-Demands'!$J$5:$AK$14,MATCH($E150,'BY-Demands'!$I$5:$I$14,0),FALSE)*HLOOKUP(REG_TRA_DEMANDS!$F150,DEMANDS!$G$2:$CK$25,MATCH($E150,DEMANDS!$E$2:$E$25,0),FALSE)/HLOOKUP(2018,DEMANDS!$G$2:$CK$25,MATCH($E150,DEMANDS!$E$2:$E$25,0),FALSE)</f>
        <v>0.16843466541881658</v>
      </c>
      <c r="AB150" s="18">
        <f>HLOOKUP(REG_TRA_DEMANDS!AB$3,'BY-Demands'!$J$5:$AK$14,MATCH($E150,'BY-Demands'!$I$5:$I$14,0),FALSE)*HLOOKUP(REG_TRA_DEMANDS!$F150,DEMANDS!$G$2:$CK$25,MATCH($E150,DEMANDS!$E$2:$E$25,0),FALSE)/HLOOKUP(2018,DEMANDS!$G$2:$CK$25,MATCH($E150,DEMANDS!$E$2:$E$25,0),FALSE)</f>
        <v>0.083301639335760527</v>
      </c>
      <c r="AC150" s="18">
        <f>HLOOKUP(REG_TRA_DEMANDS!AC$3,'BY-Demands'!$J$5:$AK$14,MATCH($E150,'BY-Demands'!$I$5:$I$14,0),FALSE)*HLOOKUP(REG_TRA_DEMANDS!$F150,DEMANDS!$G$2:$CK$25,MATCH($E150,DEMANDS!$E$2:$E$25,0),FALSE)/HLOOKUP(2018,DEMANDS!$G$2:$CK$25,MATCH($E150,DEMANDS!$E$2:$E$25,0),FALSE)</f>
        <v>0.084580641637783047</v>
      </c>
      <c r="AD150" s="18">
        <f>HLOOKUP(REG_TRA_DEMANDS!AD$3,'BY-Demands'!$J$5:$AK$14,MATCH($E150,'BY-Demands'!$I$5:$I$14,0),FALSE)*HLOOKUP(REG_TRA_DEMANDS!$F150,DEMANDS!$G$2:$CK$25,MATCH($E150,DEMANDS!$E$2:$E$25,0),FALSE)/HLOOKUP(2018,DEMANDS!$G$2:$CK$25,MATCH($E150,DEMANDS!$E$2:$E$25,0),FALSE)</f>
        <v>0.098314106315705502</v>
      </c>
      <c r="AE150" s="18">
        <f>HLOOKUP(REG_TRA_DEMANDS!AE$3,'BY-Demands'!$J$5:$AK$14,MATCH($E150,'BY-Demands'!$I$5:$I$14,0),FALSE)*HLOOKUP(REG_TRA_DEMANDS!$F150,DEMANDS!$G$2:$CK$25,MATCH($E150,DEMANDS!$E$2:$E$25,0),FALSE)/HLOOKUP(2018,DEMANDS!$G$2:$CK$25,MATCH($E150,DEMANDS!$E$2:$E$25,0),FALSE)</f>
        <v>0.20545603881287783</v>
      </c>
      <c r="AF150" s="18">
        <f>HLOOKUP(REG_TRA_DEMANDS!AF$3,'BY-Demands'!$J$5:$AK$14,MATCH($E150,'BY-Demands'!$I$5:$I$14,0),FALSE)*HLOOKUP(REG_TRA_DEMANDS!$F150,DEMANDS!$G$2:$CK$25,MATCH($E150,DEMANDS!$E$2:$E$25,0),FALSE)/HLOOKUP(2018,DEMANDS!$G$2:$CK$25,MATCH($E150,DEMANDS!$E$2:$E$25,0),FALSE)</f>
        <v>0.079225868125077384</v>
      </c>
    </row>
    <row r="151" spans="4:32" ht="14.4">
      <c r="D151" t="s">
        <v>6</v>
      </c>
      <c r="E151" t="str">
        <f>DEMANDS!$E$22</f>
        <v>TNAV</v>
      </c>
      <c r="F151">
        <v>2032</v>
      </c>
      <c r="G151" s="18">
        <f>HLOOKUP(REG_TRA_DEMANDS!G$3,'BY-Demands'!$J$5:$AK$14,MATCH($E151,'BY-Demands'!$I$5:$I$14,0),FALSE)*HLOOKUP(REG_TRA_DEMANDS!$F151,DEMANDS!$G$2:$CK$25,MATCH($E151,DEMANDS!$E$2:$E$25,0),FALSE)/HLOOKUP(2018,DEMANDS!$G$2:$CK$25,MATCH($E151,DEMANDS!$E$2:$E$25,0),FALSE)</f>
        <v>0.075679468827348759</v>
      </c>
      <c r="H151" s="18">
        <f>HLOOKUP(REG_TRA_DEMANDS!H$3,'BY-Demands'!$J$5:$AK$14,MATCH($E151,'BY-Demands'!$I$5:$I$14,0),FALSE)*HLOOKUP(REG_TRA_DEMANDS!$F151,DEMANDS!$G$2:$CK$25,MATCH($E151,DEMANDS!$E$2:$E$25,0),FALSE)/HLOOKUP(2018,DEMANDS!$G$2:$CK$25,MATCH($E151,DEMANDS!$E$2:$E$25,0),FALSE)</f>
        <v>1.7910386678800685</v>
      </c>
      <c r="I151" s="18">
        <f>HLOOKUP(REG_TRA_DEMANDS!I$3,'BY-Demands'!$J$5:$AK$14,MATCH($E151,'BY-Demands'!$I$5:$I$14,0),FALSE)*HLOOKUP(REG_TRA_DEMANDS!$F151,DEMANDS!$G$2:$CK$25,MATCH($E151,DEMANDS!$E$2:$E$25,0),FALSE)/HLOOKUP(2018,DEMANDS!$G$2:$CK$25,MATCH($E151,DEMANDS!$E$2:$E$25,0),FALSE)</f>
        <v>0.29577363401883661</v>
      </c>
      <c r="J151" s="18">
        <f>HLOOKUP(REG_TRA_DEMANDS!J$3,'BY-Demands'!$J$5:$AK$14,MATCH($E151,'BY-Demands'!$I$5:$I$14,0),FALSE)*HLOOKUP(REG_TRA_DEMANDS!$F151,DEMANDS!$G$2:$CK$25,MATCH($E151,DEMANDS!$E$2:$E$25,0),FALSE)/HLOOKUP(2018,DEMANDS!$G$2:$CK$25,MATCH($E151,DEMANDS!$E$2:$E$25,0),FALSE)</f>
        <v>0.13190868142126522</v>
      </c>
      <c r="K151" s="18">
        <f>HLOOKUP(REG_TRA_DEMANDS!K$3,'BY-Demands'!$J$5:$AK$14,MATCH($E151,'BY-Demands'!$I$5:$I$14,0),FALSE)*HLOOKUP(REG_TRA_DEMANDS!$F151,DEMANDS!$G$2:$CK$25,MATCH($E151,DEMANDS!$E$2:$E$25,0),FALSE)/HLOOKUP(2018,DEMANDS!$G$2:$CK$25,MATCH($E151,DEMANDS!$E$2:$E$25,0),FALSE)</f>
        <v>0.11258736688101526</v>
      </c>
      <c r="L151" s="18">
        <f>HLOOKUP(REG_TRA_DEMANDS!L$3,'BY-Demands'!$J$5:$AK$14,MATCH($E151,'BY-Demands'!$I$5:$I$14,0),FALSE)*HLOOKUP(REG_TRA_DEMANDS!$F151,DEMANDS!$G$2:$CK$25,MATCH($E151,DEMANDS!$E$2:$E$25,0),FALSE)/HLOOKUP(2018,DEMANDS!$G$2:$CK$25,MATCH($E151,DEMANDS!$E$2:$E$25,0),FALSE)</f>
        <v>0.05433230747875048</v>
      </c>
      <c r="M151" s="18">
        <f>HLOOKUP(REG_TRA_DEMANDS!M$3,'BY-Demands'!$J$5:$AK$14,MATCH($E151,'BY-Demands'!$I$5:$I$14,0),FALSE)*HLOOKUP(REG_TRA_DEMANDS!$F151,DEMANDS!$G$2:$CK$25,MATCH($E151,DEMANDS!$E$2:$E$25,0),FALSE)/HLOOKUP(2018,DEMANDS!$G$2:$CK$25,MATCH($E151,DEMANDS!$E$2:$E$25,0),FALSE)</f>
        <v>0.17132496066085898</v>
      </c>
      <c r="N151" s="18">
        <f>HLOOKUP(REG_TRA_DEMANDS!N$3,'BY-Demands'!$J$5:$AK$14,MATCH($E151,'BY-Demands'!$I$5:$I$14,0),FALSE)*HLOOKUP(REG_TRA_DEMANDS!$F151,DEMANDS!$G$2:$CK$25,MATCH($E151,DEMANDS!$E$2:$E$25,0),FALSE)/HLOOKUP(2018,DEMANDS!$G$2:$CK$25,MATCH($E151,DEMANDS!$E$2:$E$25,0),FALSE)</f>
        <v>0.25927117118600163</v>
      </c>
      <c r="O151" s="18">
        <f>HLOOKUP(REG_TRA_DEMANDS!O$3,'BY-Demands'!$J$5:$AK$14,MATCH($E151,'BY-Demands'!$I$5:$I$14,0),FALSE)*HLOOKUP(REG_TRA_DEMANDS!$F151,DEMANDS!$G$2:$CK$25,MATCH($E151,DEMANDS!$E$2:$E$25,0),FALSE)/HLOOKUP(2018,DEMANDS!$G$2:$CK$25,MATCH($E151,DEMANDS!$E$2:$E$25,0),FALSE)</f>
        <v>0.10363323033178067</v>
      </c>
      <c r="P151" s="18">
        <f>HLOOKUP(REG_TRA_DEMANDS!P$3,'BY-Demands'!$J$5:$AK$14,MATCH($E151,'BY-Demands'!$I$5:$I$14,0),FALSE)*HLOOKUP(REG_TRA_DEMANDS!$F151,DEMANDS!$G$2:$CK$25,MATCH($E151,DEMANDS!$E$2:$E$25,0),FALSE)/HLOOKUP(2018,DEMANDS!$G$2:$CK$25,MATCH($E151,DEMANDS!$E$2:$E$25,0),FALSE)</f>
        <v>0.11800158869886455</v>
      </c>
      <c r="Q151" s="18">
        <f>HLOOKUP(REG_TRA_DEMANDS!Q$3,'BY-Demands'!$J$5:$AK$14,MATCH($E151,'BY-Demands'!$I$5:$I$14,0),FALSE)*HLOOKUP(REG_TRA_DEMANDS!$F151,DEMANDS!$G$2:$CK$25,MATCH($E151,DEMANDS!$E$2:$E$25,0),FALSE)/HLOOKUP(2018,DEMANDS!$G$2:$CK$25,MATCH($E151,DEMANDS!$E$2:$E$25,0),FALSE)</f>
        <v>0.19902482666634488</v>
      </c>
      <c r="R151" s="18">
        <f>HLOOKUP(REG_TRA_DEMANDS!R$3,'BY-Demands'!$J$5:$AK$14,MATCH($E151,'BY-Demands'!$I$5:$I$14,0),FALSE)*HLOOKUP(REG_TRA_DEMANDS!$F151,DEMANDS!$G$2:$CK$25,MATCH($E151,DEMANDS!$E$2:$E$25,0),FALSE)/HLOOKUP(2018,DEMANDS!$G$2:$CK$25,MATCH($E151,DEMANDS!$E$2:$E$25,0),FALSE)</f>
        <v>0.18932495516994211</v>
      </c>
      <c r="S151" s="18">
        <f>HLOOKUP(REG_TRA_DEMANDS!S$3,'BY-Demands'!$J$5:$AK$14,MATCH($E151,'BY-Demands'!$I$5:$I$14,0),FALSE)*HLOOKUP(REG_TRA_DEMANDS!$F151,DEMANDS!$G$2:$CK$25,MATCH($E151,DEMANDS!$E$2:$E$25,0),FALSE)/HLOOKUP(2018,DEMANDS!$G$2:$CK$25,MATCH($E151,DEMANDS!$E$2:$E$25,0),FALSE)</f>
        <v>0.15794293978182919</v>
      </c>
      <c r="T151" s="18">
        <f>HLOOKUP(REG_TRA_DEMANDS!T$3,'BY-Demands'!$J$5:$AK$14,MATCH($E151,'BY-Demands'!$I$5:$I$14,0),FALSE)*HLOOKUP(REG_TRA_DEMANDS!$F151,DEMANDS!$G$2:$CK$25,MATCH($E151,DEMANDS!$E$2:$E$25,0),FALSE)/HLOOKUP(2018,DEMANDS!$G$2:$CK$25,MATCH($E151,DEMANDS!$E$2:$E$25,0),FALSE)</f>
        <v>0.72163215561310301</v>
      </c>
      <c r="U151" s="18">
        <f>HLOOKUP(REG_TRA_DEMANDS!U$3,'BY-Demands'!$J$5:$AK$14,MATCH($E151,'BY-Demands'!$I$5:$I$14,0),FALSE)*HLOOKUP(REG_TRA_DEMANDS!$F151,DEMANDS!$G$2:$CK$25,MATCH($E151,DEMANDS!$E$2:$E$25,0),FALSE)/HLOOKUP(2018,DEMANDS!$G$2:$CK$25,MATCH($E151,DEMANDS!$E$2:$E$25,0),FALSE)</f>
        <v>0.19634629561724895</v>
      </c>
      <c r="V151" s="18">
        <f>HLOOKUP(REG_TRA_DEMANDS!V$3,'BY-Demands'!$J$5:$AK$14,MATCH($E151,'BY-Demands'!$I$5:$I$14,0),FALSE)*HLOOKUP(REG_TRA_DEMANDS!$F151,DEMANDS!$G$2:$CK$25,MATCH($E151,DEMANDS!$E$2:$E$25,0),FALSE)/HLOOKUP(2018,DEMANDS!$G$2:$CK$25,MATCH($E151,DEMANDS!$E$2:$E$25,0),FALSE)</f>
        <v>0.25907842329413133</v>
      </c>
      <c r="W151" s="18">
        <f>HLOOKUP(REG_TRA_DEMANDS!W$3,'BY-Demands'!$J$5:$AK$14,MATCH($E151,'BY-Demands'!$I$5:$I$14,0),FALSE)*HLOOKUP(REG_TRA_DEMANDS!$F151,DEMANDS!$G$2:$CK$25,MATCH($E151,DEMANDS!$E$2:$E$25,0),FALSE)/HLOOKUP(2018,DEMANDS!$G$2:$CK$25,MATCH($E151,DEMANDS!$E$2:$E$25,0),FALSE)</f>
        <v>0.21209313373515656</v>
      </c>
      <c r="X151" s="18">
        <f>HLOOKUP(REG_TRA_DEMANDS!X$3,'BY-Demands'!$J$5:$AK$14,MATCH($E151,'BY-Demands'!$I$5:$I$14,0),FALSE)*HLOOKUP(REG_TRA_DEMANDS!$F151,DEMANDS!$G$2:$CK$25,MATCH($E151,DEMANDS!$E$2:$E$25,0),FALSE)/HLOOKUP(2018,DEMANDS!$G$2:$CK$25,MATCH($E151,DEMANDS!$E$2:$E$25,0),FALSE)</f>
        <v>0.15443226955817593</v>
      </c>
      <c r="Y151" s="18">
        <f>HLOOKUP(REG_TRA_DEMANDS!Y$3,'BY-Demands'!$J$5:$AK$14,MATCH($E151,'BY-Demands'!$I$5:$I$14,0),FALSE)*HLOOKUP(REG_TRA_DEMANDS!$F151,DEMANDS!$G$2:$CK$25,MATCH($E151,DEMANDS!$E$2:$E$25,0),FALSE)/HLOOKUP(2018,DEMANDS!$G$2:$CK$25,MATCH($E151,DEMANDS!$E$2:$E$25,0),FALSE)</f>
        <v>0.34303541710545854</v>
      </c>
      <c r="Z151" s="18">
        <f>HLOOKUP(REG_TRA_DEMANDS!Z$3,'BY-Demands'!$J$5:$AK$14,MATCH($E151,'BY-Demands'!$I$5:$I$14,0),FALSE)*HLOOKUP(REG_TRA_DEMANDS!$F151,DEMANDS!$G$2:$CK$25,MATCH($E151,DEMANDS!$E$2:$E$25,0),FALSE)/HLOOKUP(2018,DEMANDS!$G$2:$CK$25,MATCH($E151,DEMANDS!$E$2:$E$25,0),FALSE)</f>
        <v>0.042595954807552329</v>
      </c>
      <c r="AA151" s="18">
        <f>HLOOKUP(REG_TRA_DEMANDS!AA$3,'BY-Demands'!$J$5:$AK$14,MATCH($E151,'BY-Demands'!$I$5:$I$14,0),FALSE)*HLOOKUP(REG_TRA_DEMANDS!$F151,DEMANDS!$G$2:$CK$25,MATCH($E151,DEMANDS!$E$2:$E$25,0),FALSE)/HLOOKUP(2018,DEMANDS!$G$2:$CK$25,MATCH($E151,DEMANDS!$E$2:$E$25,0),FALSE)</f>
        <v>0.17348240775400139</v>
      </c>
      <c r="AB151" s="18">
        <f>HLOOKUP(REG_TRA_DEMANDS!AB$3,'BY-Demands'!$J$5:$AK$14,MATCH($E151,'BY-Demands'!$I$5:$I$14,0),FALSE)*HLOOKUP(REG_TRA_DEMANDS!$F151,DEMANDS!$G$2:$CK$25,MATCH($E151,DEMANDS!$E$2:$E$25,0),FALSE)/HLOOKUP(2018,DEMANDS!$G$2:$CK$25,MATCH($E151,DEMANDS!$E$2:$E$25,0),FALSE)</f>
        <v>0.085798068502641739</v>
      </c>
      <c r="AC151" s="18">
        <f>HLOOKUP(REG_TRA_DEMANDS!AC$3,'BY-Demands'!$J$5:$AK$14,MATCH($E151,'BY-Demands'!$I$5:$I$14,0),FALSE)*HLOOKUP(REG_TRA_DEMANDS!$F151,DEMANDS!$G$2:$CK$25,MATCH($E151,DEMANDS!$E$2:$E$25,0),FALSE)/HLOOKUP(2018,DEMANDS!$G$2:$CK$25,MATCH($E151,DEMANDS!$E$2:$E$25,0),FALSE)</f>
        <v>0.08711540064639052</v>
      </c>
      <c r="AD151" s="18">
        <f>HLOOKUP(REG_TRA_DEMANDS!AD$3,'BY-Demands'!$J$5:$AK$14,MATCH($E151,'BY-Demands'!$I$5:$I$14,0),FALSE)*HLOOKUP(REG_TRA_DEMANDS!$F151,DEMANDS!$G$2:$CK$25,MATCH($E151,DEMANDS!$E$2:$E$25,0),FALSE)/HLOOKUP(2018,DEMANDS!$G$2:$CK$25,MATCH($E151,DEMANDS!$E$2:$E$25,0),FALSE)</f>
        <v>0.1012604373180658</v>
      </c>
      <c r="AE151" s="18">
        <f>HLOOKUP(REG_TRA_DEMANDS!AE$3,'BY-Demands'!$J$5:$AK$14,MATCH($E151,'BY-Demands'!$I$5:$I$14,0),FALSE)*HLOOKUP(REG_TRA_DEMANDS!$F151,DEMANDS!$G$2:$CK$25,MATCH($E151,DEMANDS!$E$2:$E$25,0),FALSE)/HLOOKUP(2018,DEMANDS!$G$2:$CK$25,MATCH($E151,DEMANDS!$E$2:$E$25,0),FALSE)</f>
        <v>0.21161325794919034</v>
      </c>
      <c r="AF151" s="18">
        <f>HLOOKUP(REG_TRA_DEMANDS!AF$3,'BY-Demands'!$J$5:$AK$14,MATCH($E151,'BY-Demands'!$I$5:$I$14,0),FALSE)*HLOOKUP(REG_TRA_DEMANDS!$F151,DEMANDS!$G$2:$CK$25,MATCH($E151,DEMANDS!$E$2:$E$25,0),FALSE)/HLOOKUP(2018,DEMANDS!$G$2:$CK$25,MATCH($E151,DEMANDS!$E$2:$E$25,0),FALSE)</f>
        <v>0.081600152347285029</v>
      </c>
    </row>
    <row r="152" spans="4:32" ht="14.4">
      <c r="D152" t="s">
        <v>6</v>
      </c>
      <c r="E152" t="str">
        <f>DEMANDS!$E$22</f>
        <v>TNAV</v>
      </c>
      <c r="F152">
        <v>2033</v>
      </c>
      <c r="G152" s="18">
        <f>HLOOKUP(REG_TRA_DEMANDS!G$3,'BY-Demands'!$J$5:$AK$14,MATCH($E152,'BY-Demands'!$I$5:$I$14,0),FALSE)*HLOOKUP(REG_TRA_DEMANDS!$F152,DEMANDS!$G$2:$CK$25,MATCH($E152,DEMANDS!$E$2:$E$25,0),FALSE)/HLOOKUP(2018,DEMANDS!$G$2:$CK$25,MATCH($E152,DEMANDS!$E$2:$E$25,0),FALSE)</f>
        <v>0.077909038024128477</v>
      </c>
      <c r="H152" s="18">
        <f>HLOOKUP(REG_TRA_DEMANDS!H$3,'BY-Demands'!$J$5:$AK$14,MATCH($E152,'BY-Demands'!$I$5:$I$14,0),FALSE)*HLOOKUP(REG_TRA_DEMANDS!$F152,DEMANDS!$G$2:$CK$25,MATCH($E152,DEMANDS!$E$2:$E$25,0),FALSE)/HLOOKUP(2018,DEMANDS!$G$2:$CK$25,MATCH($E152,DEMANDS!$E$2:$E$25,0),FALSE)</f>
        <v>1.8438038987415162</v>
      </c>
      <c r="I152" s="18">
        <f>HLOOKUP(REG_TRA_DEMANDS!I$3,'BY-Demands'!$J$5:$AK$14,MATCH($E152,'BY-Demands'!$I$5:$I$14,0),FALSE)*HLOOKUP(REG_TRA_DEMANDS!$F152,DEMANDS!$G$2:$CK$25,MATCH($E152,DEMANDS!$E$2:$E$25,0),FALSE)/HLOOKUP(2018,DEMANDS!$G$2:$CK$25,MATCH($E152,DEMANDS!$E$2:$E$25,0),FALSE)</f>
        <v>0.30448732868194833</v>
      </c>
      <c r="J152" s="18">
        <f>HLOOKUP(REG_TRA_DEMANDS!J$3,'BY-Demands'!$J$5:$AK$14,MATCH($E152,'BY-Demands'!$I$5:$I$14,0),FALSE)*HLOOKUP(REG_TRA_DEMANDS!$F152,DEMANDS!$G$2:$CK$25,MATCH($E152,DEMANDS!$E$2:$E$25,0),FALSE)/HLOOKUP(2018,DEMANDS!$G$2:$CK$25,MATCH($E152,DEMANDS!$E$2:$E$25,0),FALSE)</f>
        <v>0.13579480189015525</v>
      </c>
      <c r="K152" s="18">
        <f>HLOOKUP(REG_TRA_DEMANDS!K$3,'BY-Demands'!$J$5:$AK$14,MATCH($E152,'BY-Demands'!$I$5:$I$14,0),FALSE)*HLOOKUP(REG_TRA_DEMANDS!$F152,DEMANDS!$G$2:$CK$25,MATCH($E152,DEMANDS!$E$2:$E$25,0),FALSE)/HLOOKUP(2018,DEMANDS!$G$2:$CK$25,MATCH($E152,DEMANDS!$E$2:$E$25,0),FALSE)</f>
        <v>0.11590426813619077</v>
      </c>
      <c r="L152" s="18">
        <f>HLOOKUP(REG_TRA_DEMANDS!L$3,'BY-Demands'!$J$5:$AK$14,MATCH($E152,'BY-Demands'!$I$5:$I$14,0),FALSE)*HLOOKUP(REG_TRA_DEMANDS!$F152,DEMANDS!$G$2:$CK$25,MATCH($E152,DEMANDS!$E$2:$E$25,0),FALSE)/HLOOKUP(2018,DEMANDS!$G$2:$CK$25,MATCH($E152,DEMANDS!$E$2:$E$25,0),FALSE)</f>
        <v>0.055932974621657416</v>
      </c>
      <c r="M152" s="18">
        <f>HLOOKUP(REG_TRA_DEMANDS!M$3,'BY-Demands'!$J$5:$AK$14,MATCH($E152,'BY-Demands'!$I$5:$I$14,0),FALSE)*HLOOKUP(REG_TRA_DEMANDS!$F152,DEMANDS!$G$2:$CK$25,MATCH($E152,DEMANDS!$E$2:$E$25,0),FALSE)/HLOOKUP(2018,DEMANDS!$G$2:$CK$25,MATCH($E152,DEMANDS!$E$2:$E$25,0),FALSE)</f>
        <v>0.17637231182290772</v>
      </c>
      <c r="N152" s="18">
        <f>HLOOKUP(REG_TRA_DEMANDS!N$3,'BY-Demands'!$J$5:$AK$14,MATCH($E152,'BY-Demands'!$I$5:$I$14,0),FALSE)*HLOOKUP(REG_TRA_DEMANDS!$F152,DEMANDS!$G$2:$CK$25,MATCH($E152,DEMANDS!$E$2:$E$25,0),FALSE)/HLOOKUP(2018,DEMANDS!$G$2:$CK$25,MATCH($E152,DEMANDS!$E$2:$E$25,0),FALSE)</f>
        <v>0.26690947819114297</v>
      </c>
      <c r="O152" s="18">
        <f>HLOOKUP(REG_TRA_DEMANDS!O$3,'BY-Demands'!$J$5:$AK$14,MATCH($E152,'BY-Demands'!$I$5:$I$14,0),FALSE)*HLOOKUP(REG_TRA_DEMANDS!$F152,DEMANDS!$G$2:$CK$25,MATCH($E152,DEMANDS!$E$2:$E$25,0),FALSE)/HLOOKUP(2018,DEMANDS!$G$2:$CK$25,MATCH($E152,DEMANDS!$E$2:$E$25,0),FALSE)</f>
        <v>0.10668633656641399</v>
      </c>
      <c r="P152" s="18">
        <f>HLOOKUP(REG_TRA_DEMANDS!P$3,'BY-Demands'!$J$5:$AK$14,MATCH($E152,'BY-Demands'!$I$5:$I$14,0),FALSE)*HLOOKUP(REG_TRA_DEMANDS!$F152,DEMANDS!$G$2:$CK$25,MATCH($E152,DEMANDS!$E$2:$E$25,0),FALSE)/HLOOKUP(2018,DEMANDS!$G$2:$CK$25,MATCH($E152,DEMANDS!$E$2:$E$25,0),FALSE)</f>
        <v>0.12147799665217969</v>
      </c>
      <c r="Q152" s="18">
        <f>HLOOKUP(REG_TRA_DEMANDS!Q$3,'BY-Demands'!$J$5:$AK$14,MATCH($E152,'BY-Demands'!$I$5:$I$14,0),FALSE)*HLOOKUP(REG_TRA_DEMANDS!$F152,DEMANDS!$G$2:$CK$25,MATCH($E152,DEMANDS!$E$2:$E$25,0),FALSE)/HLOOKUP(2018,DEMANDS!$G$2:$CK$25,MATCH($E152,DEMANDS!$E$2:$E$25,0),FALSE)</f>
        <v>0.20488823493024316</v>
      </c>
      <c r="R152" s="18">
        <f>HLOOKUP(REG_TRA_DEMANDS!R$3,'BY-Demands'!$J$5:$AK$14,MATCH($E152,'BY-Demands'!$I$5:$I$14,0),FALSE)*HLOOKUP(REG_TRA_DEMANDS!$F152,DEMANDS!$G$2:$CK$25,MATCH($E152,DEMANDS!$E$2:$E$25,0),FALSE)/HLOOKUP(2018,DEMANDS!$G$2:$CK$25,MATCH($E152,DEMANDS!$E$2:$E$25,0),FALSE)</f>
        <v>0.19490259854890915</v>
      </c>
      <c r="S152" s="18">
        <f>HLOOKUP(REG_TRA_DEMANDS!S$3,'BY-Demands'!$J$5:$AK$14,MATCH($E152,'BY-Demands'!$I$5:$I$14,0),FALSE)*HLOOKUP(REG_TRA_DEMANDS!$F152,DEMANDS!$G$2:$CK$25,MATCH($E152,DEMANDS!$E$2:$E$25,0),FALSE)/HLOOKUP(2018,DEMANDS!$G$2:$CK$25,MATCH($E152,DEMANDS!$E$2:$E$25,0),FALSE)</f>
        <v>0.16259604740590314</v>
      </c>
      <c r="T152" s="18">
        <f>HLOOKUP(REG_TRA_DEMANDS!T$3,'BY-Demands'!$J$5:$AK$14,MATCH($E152,'BY-Demands'!$I$5:$I$14,0),FALSE)*HLOOKUP(REG_TRA_DEMANDS!$F152,DEMANDS!$G$2:$CK$25,MATCH($E152,DEMANDS!$E$2:$E$25,0),FALSE)/HLOOKUP(2018,DEMANDS!$G$2:$CK$25,MATCH($E152,DEMANDS!$E$2:$E$25,0),FALSE)</f>
        <v>0.74289193518728658</v>
      </c>
      <c r="U152" s="18">
        <f>HLOOKUP(REG_TRA_DEMANDS!U$3,'BY-Demands'!$J$5:$AK$14,MATCH($E152,'BY-Demands'!$I$5:$I$14,0),FALSE)*HLOOKUP(REG_TRA_DEMANDS!$F152,DEMANDS!$G$2:$CK$25,MATCH($E152,DEMANDS!$E$2:$E$25,0),FALSE)/HLOOKUP(2018,DEMANDS!$G$2:$CK$25,MATCH($E152,DEMANDS!$E$2:$E$25,0),FALSE)</f>
        <v>0.2021307925144025</v>
      </c>
      <c r="V152" s="18">
        <f>HLOOKUP(REG_TRA_DEMANDS!V$3,'BY-Demands'!$J$5:$AK$14,MATCH($E152,'BY-Demands'!$I$5:$I$14,0),FALSE)*HLOOKUP(REG_TRA_DEMANDS!$F152,DEMANDS!$G$2:$CK$25,MATCH($E152,DEMANDS!$E$2:$E$25,0),FALSE)/HLOOKUP(2018,DEMANDS!$G$2:$CK$25,MATCH($E152,DEMANDS!$E$2:$E$25,0),FALSE)</f>
        <v>0.26671105181382454</v>
      </c>
      <c r="W152" s="18">
        <f>HLOOKUP(REG_TRA_DEMANDS!W$3,'BY-Demands'!$J$5:$AK$14,MATCH($E152,'BY-Demands'!$I$5:$I$14,0),FALSE)*HLOOKUP(REG_TRA_DEMANDS!$F152,DEMANDS!$G$2:$CK$25,MATCH($E152,DEMANDS!$E$2:$E$25,0),FALSE)/HLOOKUP(2018,DEMANDS!$G$2:$CK$25,MATCH($E152,DEMANDS!$E$2:$E$25,0),FALSE)</f>
        <v>0.21834154331243813</v>
      </c>
      <c r="X152" s="18">
        <f>HLOOKUP(REG_TRA_DEMANDS!X$3,'BY-Demands'!$J$5:$AK$14,MATCH($E152,'BY-Demands'!$I$5:$I$14,0),FALSE)*HLOOKUP(REG_TRA_DEMANDS!$F152,DEMANDS!$G$2:$CK$25,MATCH($E152,DEMANDS!$E$2:$E$25,0),FALSE)/HLOOKUP(2018,DEMANDS!$G$2:$CK$25,MATCH($E152,DEMANDS!$E$2:$E$25,0),FALSE)</f>
        <v>0.15898195042315663</v>
      </c>
      <c r="Y152" s="18">
        <f>HLOOKUP(REG_TRA_DEMANDS!Y$3,'BY-Demands'!$J$5:$AK$14,MATCH($E152,'BY-Demands'!$I$5:$I$14,0),FALSE)*HLOOKUP(REG_TRA_DEMANDS!$F152,DEMANDS!$G$2:$CK$25,MATCH($E152,DEMANDS!$E$2:$E$25,0),FALSE)/HLOOKUP(2018,DEMANDS!$G$2:$CK$25,MATCH($E152,DEMANDS!$E$2:$E$25,0),FALSE)</f>
        <v>0.35314147640045229</v>
      </c>
      <c r="Z152" s="18">
        <f>HLOOKUP(REG_TRA_DEMANDS!Z$3,'BY-Demands'!$J$5:$AK$14,MATCH($E152,'BY-Demands'!$I$5:$I$14,0),FALSE)*HLOOKUP(REG_TRA_DEMANDS!$F152,DEMANDS!$G$2:$CK$25,MATCH($E152,DEMANDS!$E$2:$E$25,0),FALSE)/HLOOKUP(2018,DEMANDS!$G$2:$CK$25,MATCH($E152,DEMANDS!$E$2:$E$25,0),FALSE)</f>
        <v>0.043850860929620934</v>
      </c>
      <c r="AA152" s="18">
        <f>HLOOKUP(REG_TRA_DEMANDS!AA$3,'BY-Demands'!$J$5:$AK$14,MATCH($E152,'BY-Demands'!$I$5:$I$14,0),FALSE)*HLOOKUP(REG_TRA_DEMANDS!$F152,DEMANDS!$G$2:$CK$25,MATCH($E152,DEMANDS!$E$2:$E$25,0),FALSE)/HLOOKUP(2018,DEMANDS!$G$2:$CK$25,MATCH($E152,DEMANDS!$E$2:$E$25,0),FALSE)</f>
        <v>0.17859331879110057</v>
      </c>
      <c r="AB152" s="18">
        <f>HLOOKUP(REG_TRA_DEMANDS!AB$3,'BY-Demands'!$J$5:$AK$14,MATCH($E152,'BY-Demands'!$I$5:$I$14,0),FALSE)*HLOOKUP(REG_TRA_DEMANDS!$F152,DEMANDS!$G$2:$CK$25,MATCH($E152,DEMANDS!$E$2:$E$25,0),FALSE)/HLOOKUP(2018,DEMANDS!$G$2:$CK$25,MATCH($E152,DEMANDS!$E$2:$E$25,0),FALSE)</f>
        <v>0.088325738604464119</v>
      </c>
      <c r="AC152" s="18">
        <f>HLOOKUP(REG_TRA_DEMANDS!AC$3,'BY-Demands'!$J$5:$AK$14,MATCH($E152,'BY-Demands'!$I$5:$I$14,0),FALSE)*HLOOKUP(REG_TRA_DEMANDS!$F152,DEMANDS!$G$2:$CK$25,MATCH($E152,DEMANDS!$E$2:$E$25,0),FALSE)/HLOOKUP(2018,DEMANDS!$G$2:$CK$25,MATCH($E152,DEMANDS!$E$2:$E$25,0),FALSE)</f>
        <v>0.08968188025910323</v>
      </c>
      <c r="AD152" s="18">
        <f>HLOOKUP(REG_TRA_DEMANDS!AD$3,'BY-Demands'!$J$5:$AK$14,MATCH($E152,'BY-Demands'!$I$5:$I$14,0),FALSE)*HLOOKUP(REG_TRA_DEMANDS!$F152,DEMANDS!$G$2:$CK$25,MATCH($E152,DEMANDS!$E$2:$E$25,0),FALSE)/HLOOKUP(2018,DEMANDS!$G$2:$CK$25,MATCH($E152,DEMANDS!$E$2:$E$25,0),FALSE)</f>
        <v>0.10424363943873419</v>
      </c>
      <c r="AE152" s="18">
        <f>HLOOKUP(REG_TRA_DEMANDS!AE$3,'BY-Demands'!$J$5:$AK$14,MATCH($E152,'BY-Demands'!$I$5:$I$14,0),FALSE)*HLOOKUP(REG_TRA_DEMANDS!$F152,DEMANDS!$G$2:$CK$25,MATCH($E152,DEMANDS!$E$2:$E$25,0),FALSE)/HLOOKUP(2018,DEMANDS!$G$2:$CK$25,MATCH($E152,DEMANDS!$E$2:$E$25,0),FALSE)</f>
        <v>0.21784753005580451</v>
      </c>
      <c r="AF152" s="18">
        <f>HLOOKUP(REG_TRA_DEMANDS!AF$3,'BY-Demands'!$J$5:$AK$14,MATCH($E152,'BY-Demands'!$I$5:$I$14,0),FALSE)*HLOOKUP(REG_TRA_DEMANDS!$F152,DEMANDS!$G$2:$CK$25,MATCH($E152,DEMANDS!$E$2:$E$25,0),FALSE)/HLOOKUP(2018,DEMANDS!$G$2:$CK$25,MATCH($E152,DEMANDS!$E$2:$E$25,0),FALSE)</f>
        <v>0.084004148952243923</v>
      </c>
    </row>
    <row r="153" spans="4:32" ht="14.4">
      <c r="D153" t="s">
        <v>6</v>
      </c>
      <c r="E153" t="str">
        <f>DEMANDS!$E$22</f>
        <v>TNAV</v>
      </c>
      <c r="F153">
        <v>2034</v>
      </c>
      <c r="G153" s="18">
        <f>HLOOKUP(REG_TRA_DEMANDS!G$3,'BY-Demands'!$J$5:$AK$14,MATCH($E153,'BY-Demands'!$I$5:$I$14,0),FALSE)*HLOOKUP(REG_TRA_DEMANDS!$F153,DEMANDS!$G$2:$CK$25,MATCH($E153,DEMANDS!$E$2:$E$25,0),FALSE)/HLOOKUP(2018,DEMANDS!$G$2:$CK$25,MATCH($E153,DEMANDS!$E$2:$E$25,0),FALSE)</f>
        <v>0.080159099815550555</v>
      </c>
      <c r="H153" s="18">
        <f>HLOOKUP(REG_TRA_DEMANDS!H$3,'BY-Demands'!$J$5:$AK$14,MATCH($E153,'BY-Demands'!$I$5:$I$14,0),FALSE)*HLOOKUP(REG_TRA_DEMANDS!$F153,DEMANDS!$G$2:$CK$25,MATCH($E153,DEMANDS!$E$2:$E$25,0),FALSE)/HLOOKUP(2018,DEMANDS!$G$2:$CK$25,MATCH($E153,DEMANDS!$E$2:$E$25,0),FALSE)</f>
        <v>1.8970541096111271</v>
      </c>
      <c r="I153" s="18">
        <f>HLOOKUP(REG_TRA_DEMANDS!I$3,'BY-Demands'!$J$5:$AK$14,MATCH($E153,'BY-Demands'!$I$5:$I$14,0),FALSE)*HLOOKUP(REG_TRA_DEMANDS!$F153,DEMANDS!$G$2:$CK$25,MATCH($E153,DEMANDS!$E$2:$E$25,0),FALSE)/HLOOKUP(2018,DEMANDS!$G$2:$CK$25,MATCH($E153,DEMANDS!$E$2:$E$25,0),FALSE)</f>
        <v>0.31328111335205616</v>
      </c>
      <c r="J153" s="18">
        <f>HLOOKUP(REG_TRA_DEMANDS!J$3,'BY-Demands'!$J$5:$AK$14,MATCH($E153,'BY-Demands'!$I$5:$I$14,0),FALSE)*HLOOKUP(REG_TRA_DEMANDS!$F153,DEMANDS!$G$2:$CK$25,MATCH($E153,DEMANDS!$E$2:$E$25,0),FALSE)/HLOOKUP(2018,DEMANDS!$G$2:$CK$25,MATCH($E153,DEMANDS!$E$2:$E$25,0),FALSE)</f>
        <v>0.13971664078017132</v>
      </c>
      <c r="K153" s="18">
        <f>HLOOKUP(REG_TRA_DEMANDS!K$3,'BY-Demands'!$J$5:$AK$14,MATCH($E153,'BY-Demands'!$I$5:$I$14,0),FALSE)*HLOOKUP(REG_TRA_DEMANDS!$F153,DEMANDS!$G$2:$CK$25,MATCH($E153,DEMANDS!$E$2:$E$25,0),FALSE)/HLOOKUP(2018,DEMANDS!$G$2:$CK$25,MATCH($E153,DEMANDS!$E$2:$E$25,0),FALSE)</f>
        <v>0.11925165595934957</v>
      </c>
      <c r="L153" s="18">
        <f>HLOOKUP(REG_TRA_DEMANDS!L$3,'BY-Demands'!$J$5:$AK$14,MATCH($E153,'BY-Demands'!$I$5:$I$14,0),FALSE)*HLOOKUP(REG_TRA_DEMANDS!$F153,DEMANDS!$G$2:$CK$25,MATCH($E153,DEMANDS!$E$2:$E$25,0),FALSE)/HLOOKUP(2018,DEMANDS!$G$2:$CK$25,MATCH($E153,DEMANDS!$E$2:$E$25,0),FALSE)</f>
        <v>0.057548353944372146</v>
      </c>
      <c r="M153" s="18">
        <f>HLOOKUP(REG_TRA_DEMANDS!M$3,'BY-Demands'!$J$5:$AK$14,MATCH($E153,'BY-Demands'!$I$5:$I$14,0),FALSE)*HLOOKUP(REG_TRA_DEMANDS!$F153,DEMANDS!$G$2:$CK$25,MATCH($E153,DEMANDS!$E$2:$E$25,0),FALSE)/HLOOKUP(2018,DEMANDS!$G$2:$CK$25,MATCH($E153,DEMANDS!$E$2:$E$25,0),FALSE)</f>
        <v>0.18146605460246304</v>
      </c>
      <c r="N153" s="18">
        <f>HLOOKUP(REG_TRA_DEMANDS!N$3,'BY-Demands'!$J$5:$AK$14,MATCH($E153,'BY-Demands'!$I$5:$I$14,0),FALSE)*HLOOKUP(REG_TRA_DEMANDS!$F153,DEMANDS!$G$2:$CK$25,MATCH($E153,DEMANDS!$E$2:$E$25,0),FALSE)/HLOOKUP(2018,DEMANDS!$G$2:$CK$25,MATCH($E153,DEMANDS!$E$2:$E$25,0),FALSE)</f>
        <v>0.27461799101426754</v>
      </c>
      <c r="O153" s="18">
        <f>HLOOKUP(REG_TRA_DEMANDS!O$3,'BY-Demands'!$J$5:$AK$14,MATCH($E153,'BY-Demands'!$I$5:$I$14,0),FALSE)*HLOOKUP(REG_TRA_DEMANDS!$F153,DEMANDS!$G$2:$CK$25,MATCH($E153,DEMANDS!$E$2:$E$25,0),FALSE)/HLOOKUP(2018,DEMANDS!$G$2:$CK$25,MATCH($E153,DEMANDS!$E$2:$E$25,0),FALSE)</f>
        <v>0.10976750475514893</v>
      </c>
      <c r="P153" s="18">
        <f>HLOOKUP(REG_TRA_DEMANDS!P$3,'BY-Demands'!$J$5:$AK$14,MATCH($E153,'BY-Demands'!$I$5:$I$14,0),FALSE)*HLOOKUP(REG_TRA_DEMANDS!$F153,DEMANDS!$G$2:$CK$25,MATCH($E153,DEMANDS!$E$2:$E$25,0),FALSE)/HLOOKUP(2018,DEMANDS!$G$2:$CK$25,MATCH($E153,DEMANDS!$E$2:$E$25,0),FALSE)</f>
        <v>0.12498635724419363</v>
      </c>
      <c r="Q153" s="18">
        <f>HLOOKUP(REG_TRA_DEMANDS!Q$3,'BY-Demands'!$J$5:$AK$14,MATCH($E153,'BY-Demands'!$I$5:$I$14,0),FALSE)*HLOOKUP(REG_TRA_DEMANDS!$F153,DEMANDS!$G$2:$CK$25,MATCH($E153,DEMANDS!$E$2:$E$25,0),FALSE)/HLOOKUP(2018,DEMANDS!$G$2:$CK$25,MATCH($E153,DEMANDS!$E$2:$E$25,0),FALSE)</f>
        <v>0.21080553542092148</v>
      </c>
      <c r="R153" s="18">
        <f>HLOOKUP(REG_TRA_DEMANDS!R$3,'BY-Demands'!$J$5:$AK$14,MATCH($E153,'BY-Demands'!$I$5:$I$14,0),FALSE)*HLOOKUP(REG_TRA_DEMANDS!$F153,DEMANDS!$G$2:$CK$25,MATCH($E153,DEMANDS!$E$2:$E$25,0),FALSE)/HLOOKUP(2018,DEMANDS!$G$2:$CK$25,MATCH($E153,DEMANDS!$E$2:$E$25,0),FALSE)</f>
        <v>0.20053150760960067</v>
      </c>
      <c r="S153" s="18">
        <f>HLOOKUP(REG_TRA_DEMANDS!S$3,'BY-Demands'!$J$5:$AK$14,MATCH($E153,'BY-Demands'!$I$5:$I$14,0),FALSE)*HLOOKUP(REG_TRA_DEMANDS!$F153,DEMANDS!$G$2:$CK$25,MATCH($E153,DEMANDS!$E$2:$E$25,0),FALSE)/HLOOKUP(2018,DEMANDS!$G$2:$CK$25,MATCH($E153,DEMANDS!$E$2:$E$25,0),FALSE)</f>
        <v>0.16729192304475995</v>
      </c>
      <c r="T153" s="18">
        <f>HLOOKUP(REG_TRA_DEMANDS!T$3,'BY-Demands'!$J$5:$AK$14,MATCH($E153,'BY-Demands'!$I$5:$I$14,0),FALSE)*HLOOKUP(REG_TRA_DEMANDS!$F153,DEMANDS!$G$2:$CK$25,MATCH($E153,DEMANDS!$E$2:$E$25,0),FALSE)/HLOOKUP(2018,DEMANDS!$G$2:$CK$25,MATCH($E153,DEMANDS!$E$2:$E$25,0),FALSE)</f>
        <v>0.76434711934708643</v>
      </c>
      <c r="U153" s="18">
        <f>HLOOKUP(REG_TRA_DEMANDS!U$3,'BY-Demands'!$J$5:$AK$14,MATCH($E153,'BY-Demands'!$I$5:$I$14,0),FALSE)*HLOOKUP(REG_TRA_DEMANDS!$F153,DEMANDS!$G$2:$CK$25,MATCH($E153,DEMANDS!$E$2:$E$25,0),FALSE)/HLOOKUP(2018,DEMANDS!$G$2:$CK$25,MATCH($E153,DEMANDS!$E$2:$E$25,0),FALSE)</f>
        <v>0.20796845634187353</v>
      </c>
      <c r="V153" s="18">
        <f>HLOOKUP(REG_TRA_DEMANDS!V$3,'BY-Demands'!$J$5:$AK$14,MATCH($E153,'BY-Demands'!$I$5:$I$14,0),FALSE)*HLOOKUP(REG_TRA_DEMANDS!$F153,DEMANDS!$G$2:$CK$25,MATCH($E153,DEMANDS!$E$2:$E$25,0),FALSE)/HLOOKUP(2018,DEMANDS!$G$2:$CK$25,MATCH($E153,DEMANDS!$E$2:$E$25,0),FALSE)</f>
        <v>0.27441383395895158</v>
      </c>
      <c r="W153" s="18">
        <f>HLOOKUP(REG_TRA_DEMANDS!W$3,'BY-Demands'!$J$5:$AK$14,MATCH($E153,'BY-Demands'!$I$5:$I$14,0),FALSE)*HLOOKUP(REG_TRA_DEMANDS!$F153,DEMANDS!$G$2:$CK$25,MATCH($E153,DEMANDS!$E$2:$E$25,0),FALSE)/HLOOKUP(2018,DEMANDS!$G$2:$CK$25,MATCH($E153,DEMANDS!$E$2:$E$25,0),FALSE)</f>
        <v>0.22464738377134996</v>
      </c>
      <c r="X153" s="18">
        <f>HLOOKUP(REG_TRA_DEMANDS!X$3,'BY-Demands'!$J$5:$AK$14,MATCH($E153,'BY-Demands'!$I$5:$I$14,0),FALSE)*HLOOKUP(REG_TRA_DEMANDS!$F153,DEMANDS!$G$2:$CK$25,MATCH($E153,DEMANDS!$E$2:$E$25,0),FALSE)/HLOOKUP(2018,DEMANDS!$G$2:$CK$25,MATCH($E153,DEMANDS!$E$2:$E$25,0),FALSE)</f>
        <v>0.16357344867862375</v>
      </c>
      <c r="Y153" s="18">
        <f>HLOOKUP(REG_TRA_DEMANDS!Y$3,'BY-Demands'!$J$5:$AK$14,MATCH($E153,'BY-Demands'!$I$5:$I$14,0),FALSE)*HLOOKUP(REG_TRA_DEMANDS!$F153,DEMANDS!$G$2:$CK$25,MATCH($E153,DEMANDS!$E$2:$E$25,0),FALSE)/HLOOKUP(2018,DEMANDS!$G$2:$CK$25,MATCH($E153,DEMANDS!$E$2:$E$25,0),FALSE)</f>
        <v>0.36334042331555805</v>
      </c>
      <c r="Z153" s="18">
        <f>HLOOKUP(REG_TRA_DEMANDS!Z$3,'BY-Demands'!$J$5:$AK$14,MATCH($E153,'BY-Demands'!$I$5:$I$14,0),FALSE)*HLOOKUP(REG_TRA_DEMANDS!$F153,DEMANDS!$G$2:$CK$25,MATCH($E153,DEMANDS!$E$2:$E$25,0),FALSE)/HLOOKUP(2018,DEMANDS!$G$2:$CK$25,MATCH($E153,DEMANDS!$E$2:$E$25,0),FALSE)</f>
        <v>0.04511730124516105</v>
      </c>
      <c r="AA153" s="18">
        <f>HLOOKUP(REG_TRA_DEMANDS!AA$3,'BY-Demands'!$J$5:$AK$14,MATCH($E153,'BY-Demands'!$I$5:$I$14,0),FALSE)*HLOOKUP(REG_TRA_DEMANDS!$F153,DEMANDS!$G$2:$CK$25,MATCH($E153,DEMANDS!$E$2:$E$25,0),FALSE)/HLOOKUP(2018,DEMANDS!$G$2:$CK$25,MATCH($E153,DEMANDS!$E$2:$E$25,0),FALSE)</f>
        <v>0.18375120564231121</v>
      </c>
      <c r="AB153" s="18">
        <f>HLOOKUP(REG_TRA_DEMANDS!AB$3,'BY-Demands'!$J$5:$AK$14,MATCH($E153,'BY-Demands'!$I$5:$I$14,0),FALSE)*HLOOKUP(REG_TRA_DEMANDS!$F153,DEMANDS!$G$2:$CK$25,MATCH($E153,DEMANDS!$E$2:$E$25,0),FALSE)/HLOOKUP(2018,DEMANDS!$G$2:$CK$25,MATCH($E153,DEMANDS!$E$2:$E$25,0),FALSE)</f>
        <v>0.090876641229798674</v>
      </c>
      <c r="AC153" s="18">
        <f>HLOOKUP(REG_TRA_DEMANDS!AC$3,'BY-Demands'!$J$5:$AK$14,MATCH($E153,'BY-Demands'!$I$5:$I$14,0),FALSE)*HLOOKUP(REG_TRA_DEMANDS!$F153,DEMANDS!$G$2:$CK$25,MATCH($E153,DEMANDS!$E$2:$E$25,0),FALSE)/HLOOKUP(2018,DEMANDS!$G$2:$CK$25,MATCH($E153,DEMANDS!$E$2:$E$25,0),FALSE)</f>
        <v>0.092271949104407197</v>
      </c>
      <c r="AD153" s="18">
        <f>HLOOKUP(REG_TRA_DEMANDS!AD$3,'BY-Demands'!$J$5:$AK$14,MATCH($E153,'BY-Demands'!$I$5:$I$14,0),FALSE)*HLOOKUP(REG_TRA_DEMANDS!$F153,DEMANDS!$G$2:$CK$25,MATCH($E153,DEMANDS!$E$2:$E$25,0),FALSE)/HLOOKUP(2018,DEMANDS!$G$2:$CK$25,MATCH($E153,DEMANDS!$E$2:$E$25,0),FALSE)</f>
        <v>0.10725426100522349</v>
      </c>
      <c r="AE153" s="18">
        <f>HLOOKUP(REG_TRA_DEMANDS!AE$3,'BY-Demands'!$J$5:$AK$14,MATCH($E153,'BY-Demands'!$I$5:$I$14,0),FALSE)*HLOOKUP(REG_TRA_DEMANDS!$F153,DEMANDS!$G$2:$CK$25,MATCH($E153,DEMANDS!$E$2:$E$25,0),FALSE)/HLOOKUP(2018,DEMANDS!$G$2:$CK$25,MATCH($E153,DEMANDS!$E$2:$E$25,0),FALSE)</f>
        <v>0.2241391031025983</v>
      </c>
      <c r="AF153" s="18">
        <f>HLOOKUP(REG_TRA_DEMANDS!AF$3,'BY-Demands'!$J$5:$AK$14,MATCH($E153,'BY-Demands'!$I$5:$I$14,0),FALSE)*HLOOKUP(REG_TRA_DEMANDS!$F153,DEMANDS!$G$2:$CK$25,MATCH($E153,DEMANDS!$E$2:$E$25,0),FALSE)/HLOOKUP(2018,DEMANDS!$G$2:$CK$25,MATCH($E153,DEMANDS!$E$2:$E$25,0),FALSE)</f>
        <v>0.086430241362983704</v>
      </c>
    </row>
    <row r="154" spans="4:32" ht="14.4">
      <c r="D154" t="s">
        <v>6</v>
      </c>
      <c r="E154" t="str">
        <f>DEMANDS!$E$22</f>
        <v>TNAV</v>
      </c>
      <c r="F154">
        <v>2035</v>
      </c>
      <c r="G154" s="18">
        <f>HLOOKUP(REG_TRA_DEMANDS!G$3,'BY-Demands'!$J$5:$AK$14,MATCH($E154,'BY-Demands'!$I$5:$I$14,0),FALSE)*HLOOKUP(REG_TRA_DEMANDS!$F154,DEMANDS!$G$2:$CK$25,MATCH($E154,DEMANDS!$E$2:$E$25,0),FALSE)/HLOOKUP(2018,DEMANDS!$G$2:$CK$25,MATCH($E154,DEMANDS!$E$2:$E$25,0),FALSE)</f>
        <v>0.082425010647798155</v>
      </c>
      <c r="H154" s="18">
        <f>HLOOKUP(REG_TRA_DEMANDS!H$3,'BY-Demands'!$J$5:$AK$14,MATCH($E154,'BY-Demands'!$I$5:$I$14,0),FALSE)*HLOOKUP(REG_TRA_DEMANDS!$F154,DEMANDS!$G$2:$CK$25,MATCH($E154,DEMANDS!$E$2:$E$25,0),FALSE)/HLOOKUP(2018,DEMANDS!$G$2:$CK$25,MATCH($E154,DEMANDS!$E$2:$E$25,0),FALSE)</f>
        <v>1.9506794056314021</v>
      </c>
      <c r="I154" s="18">
        <f>HLOOKUP(REG_TRA_DEMANDS!I$3,'BY-Demands'!$J$5:$AK$14,MATCH($E154,'BY-Demands'!$I$5:$I$14,0),FALSE)*HLOOKUP(REG_TRA_DEMANDS!$F154,DEMANDS!$G$2:$CK$25,MATCH($E154,DEMANDS!$E$2:$E$25,0),FALSE)/HLOOKUP(2018,DEMANDS!$G$2:$CK$25,MATCH($E154,DEMANDS!$E$2:$E$25,0),FALSE)</f>
        <v>0.32213683989983982</v>
      </c>
      <c r="J154" s="18">
        <f>HLOOKUP(REG_TRA_DEMANDS!J$3,'BY-Demands'!$J$5:$AK$14,MATCH($E154,'BY-Demands'!$I$5:$I$14,0),FALSE)*HLOOKUP(REG_TRA_DEMANDS!$F154,DEMANDS!$G$2:$CK$25,MATCH($E154,DEMANDS!$E$2:$E$25,0),FALSE)/HLOOKUP(2018,DEMANDS!$G$2:$CK$25,MATCH($E154,DEMANDS!$E$2:$E$25,0),FALSE)</f>
        <v>0.1436661044158348</v>
      </c>
      <c r="K154" s="18">
        <f>HLOOKUP(REG_TRA_DEMANDS!K$3,'BY-Demands'!$J$5:$AK$14,MATCH($E154,'BY-Demands'!$I$5:$I$14,0),FALSE)*HLOOKUP(REG_TRA_DEMANDS!$F154,DEMANDS!$G$2:$CK$25,MATCH($E154,DEMANDS!$E$2:$E$25,0),FALSE)/HLOOKUP(2018,DEMANDS!$G$2:$CK$25,MATCH($E154,DEMANDS!$E$2:$E$25,0),FALSE)</f>
        <v>0.12262262219554143</v>
      </c>
      <c r="L154" s="18">
        <f>HLOOKUP(REG_TRA_DEMANDS!L$3,'BY-Demands'!$J$5:$AK$14,MATCH($E154,'BY-Demands'!$I$5:$I$14,0),FALSE)*HLOOKUP(REG_TRA_DEMANDS!$F154,DEMANDS!$G$2:$CK$25,MATCH($E154,DEMANDS!$E$2:$E$25,0),FALSE)/HLOOKUP(2018,DEMANDS!$G$2:$CK$25,MATCH($E154,DEMANDS!$E$2:$E$25,0),FALSE)</f>
        <v>0.059175111715861928</v>
      </c>
      <c r="M154" s="18">
        <f>HLOOKUP(REG_TRA_DEMANDS!M$3,'BY-Demands'!$J$5:$AK$14,MATCH($E154,'BY-Demands'!$I$5:$I$14,0),FALSE)*HLOOKUP(REG_TRA_DEMANDS!$F154,DEMANDS!$G$2:$CK$25,MATCH($E154,DEMANDS!$E$2:$E$25,0),FALSE)/HLOOKUP(2018,DEMANDS!$G$2:$CK$25,MATCH($E154,DEMANDS!$E$2:$E$25,0),FALSE)</f>
        <v>0.18659567681323028</v>
      </c>
      <c r="N154" s="18">
        <f>HLOOKUP(REG_TRA_DEMANDS!N$3,'BY-Demands'!$J$5:$AK$14,MATCH($E154,'BY-Demands'!$I$5:$I$14,0),FALSE)*HLOOKUP(REG_TRA_DEMANDS!$F154,DEMANDS!$G$2:$CK$25,MATCH($E154,DEMANDS!$E$2:$E$25,0),FALSE)/HLOOKUP(2018,DEMANDS!$G$2:$CK$25,MATCH($E154,DEMANDS!$E$2:$E$25,0),FALSE)</f>
        <v>0.28238080125042475</v>
      </c>
      <c r="O154" s="18">
        <f>HLOOKUP(REG_TRA_DEMANDS!O$3,'BY-Demands'!$J$5:$AK$14,MATCH($E154,'BY-Demands'!$I$5:$I$14,0),FALSE)*HLOOKUP(REG_TRA_DEMANDS!$F154,DEMANDS!$G$2:$CK$25,MATCH($E154,DEMANDS!$E$2:$E$25,0),FALSE)/HLOOKUP(2018,DEMANDS!$G$2:$CK$25,MATCH($E154,DEMANDS!$E$2:$E$25,0),FALSE)</f>
        <v>0.11287037615248005</v>
      </c>
      <c r="P154" s="18">
        <f>HLOOKUP(REG_TRA_DEMANDS!P$3,'BY-Demands'!$J$5:$AK$14,MATCH($E154,'BY-Demands'!$I$5:$I$14,0),FALSE)*HLOOKUP(REG_TRA_DEMANDS!$F154,DEMANDS!$G$2:$CK$25,MATCH($E154,DEMANDS!$E$2:$E$25,0),FALSE)/HLOOKUP(2018,DEMANDS!$G$2:$CK$25,MATCH($E154,DEMANDS!$E$2:$E$25,0),FALSE)</f>
        <v>0.12851943011320616</v>
      </c>
      <c r="Q154" s="18">
        <f>HLOOKUP(REG_TRA_DEMANDS!Q$3,'BY-Demands'!$J$5:$AK$14,MATCH($E154,'BY-Demands'!$I$5:$I$14,0),FALSE)*HLOOKUP(REG_TRA_DEMANDS!$F154,DEMANDS!$G$2:$CK$25,MATCH($E154,DEMANDS!$E$2:$E$25,0),FALSE)/HLOOKUP(2018,DEMANDS!$G$2:$CK$25,MATCH($E154,DEMANDS!$E$2:$E$25,0),FALSE)</f>
        <v>0.21676451633896013</v>
      </c>
      <c r="R154" s="18">
        <f>HLOOKUP(REG_TRA_DEMANDS!R$3,'BY-Demands'!$J$5:$AK$14,MATCH($E154,'BY-Demands'!$I$5:$I$14,0),FALSE)*HLOOKUP(REG_TRA_DEMANDS!$F154,DEMANDS!$G$2:$CK$25,MATCH($E154,DEMANDS!$E$2:$E$25,0),FALSE)/HLOOKUP(2018,DEMANDS!$G$2:$CK$25,MATCH($E154,DEMANDS!$E$2:$E$25,0),FALSE)</f>
        <v>0.2062000657189744</v>
      </c>
      <c r="S154" s="18">
        <f>HLOOKUP(REG_TRA_DEMANDS!S$3,'BY-Demands'!$J$5:$AK$14,MATCH($E154,'BY-Demands'!$I$5:$I$14,0),FALSE)*HLOOKUP(REG_TRA_DEMANDS!$F154,DEMANDS!$G$2:$CK$25,MATCH($E154,DEMANDS!$E$2:$E$25,0),FALSE)/HLOOKUP(2018,DEMANDS!$G$2:$CK$25,MATCH($E154,DEMANDS!$E$2:$E$25,0),FALSE)</f>
        <v>0.17202087560843529</v>
      </c>
      <c r="T154" s="18">
        <f>HLOOKUP(REG_TRA_DEMANDS!T$3,'BY-Demands'!$J$5:$AK$14,MATCH($E154,'BY-Demands'!$I$5:$I$14,0),FALSE)*HLOOKUP(REG_TRA_DEMANDS!$F154,DEMANDS!$G$2:$CK$25,MATCH($E154,DEMANDS!$E$2:$E$25,0),FALSE)/HLOOKUP(2018,DEMANDS!$G$2:$CK$25,MATCH($E154,DEMANDS!$E$2:$E$25,0),FALSE)</f>
        <v>0.78595343006303864</v>
      </c>
      <c r="U154" s="18">
        <f>HLOOKUP(REG_TRA_DEMANDS!U$3,'BY-Demands'!$J$5:$AK$14,MATCH($E154,'BY-Demands'!$I$5:$I$14,0),FALSE)*HLOOKUP(REG_TRA_DEMANDS!$F154,DEMANDS!$G$2:$CK$25,MATCH($E154,DEMANDS!$E$2:$E$25,0),FALSE)/HLOOKUP(2018,DEMANDS!$G$2:$CK$25,MATCH($E154,DEMANDS!$E$2:$E$25,0),FALSE)</f>
        <v>0.21384723965000949</v>
      </c>
      <c r="V154" s="18">
        <f>HLOOKUP(REG_TRA_DEMANDS!V$3,'BY-Demands'!$J$5:$AK$14,MATCH($E154,'BY-Demands'!$I$5:$I$14,0),FALSE)*HLOOKUP(REG_TRA_DEMANDS!$F154,DEMANDS!$G$2:$CK$25,MATCH($E154,DEMANDS!$E$2:$E$25,0),FALSE)/HLOOKUP(2018,DEMANDS!$G$2:$CK$25,MATCH($E154,DEMANDS!$E$2:$E$25,0),FALSE)</f>
        <v>0.28217087315121997</v>
      </c>
      <c r="W154" s="18">
        <f>HLOOKUP(REG_TRA_DEMANDS!W$3,'BY-Demands'!$J$5:$AK$14,MATCH($E154,'BY-Demands'!$I$5:$I$14,0),FALSE)*HLOOKUP(REG_TRA_DEMANDS!$F154,DEMANDS!$G$2:$CK$25,MATCH($E154,DEMANDS!$E$2:$E$25,0),FALSE)/HLOOKUP(2018,DEMANDS!$G$2:$CK$25,MATCH($E154,DEMANDS!$E$2:$E$25,0),FALSE)</f>
        <v>0.2309976414650477</v>
      </c>
      <c r="X154" s="18">
        <f>HLOOKUP(REG_TRA_DEMANDS!X$3,'BY-Demands'!$J$5:$AK$14,MATCH($E154,'BY-Demands'!$I$5:$I$14,0),FALSE)*HLOOKUP(REG_TRA_DEMANDS!$F154,DEMANDS!$G$2:$CK$25,MATCH($E154,DEMANDS!$E$2:$E$25,0),FALSE)/HLOOKUP(2018,DEMANDS!$G$2:$CK$25,MATCH($E154,DEMANDS!$E$2:$E$25,0),FALSE)</f>
        <v>0.16819728864291794</v>
      </c>
      <c r="Y154" s="18">
        <f>HLOOKUP(REG_TRA_DEMANDS!Y$3,'BY-Demands'!$J$5:$AK$14,MATCH($E154,'BY-Demands'!$I$5:$I$14,0),FALSE)*HLOOKUP(REG_TRA_DEMANDS!$F154,DEMANDS!$G$2:$CK$25,MATCH($E154,DEMANDS!$E$2:$E$25,0),FALSE)/HLOOKUP(2018,DEMANDS!$G$2:$CK$25,MATCH($E154,DEMANDS!$E$2:$E$25,0),FALSE)</f>
        <v>0.37361120982487001</v>
      </c>
      <c r="Z154" s="18">
        <f>HLOOKUP(REG_TRA_DEMANDS!Z$3,'BY-Demands'!$J$5:$AK$14,MATCH($E154,'BY-Demands'!$I$5:$I$14,0),FALSE)*HLOOKUP(REG_TRA_DEMANDS!$F154,DEMANDS!$G$2:$CK$25,MATCH($E154,DEMANDS!$E$2:$E$25,0),FALSE)/HLOOKUP(2018,DEMANDS!$G$2:$CK$25,MATCH($E154,DEMANDS!$E$2:$E$25,0),FALSE)</f>
        <v>0.046392662144278278</v>
      </c>
      <c r="AA154" s="18">
        <f>HLOOKUP(REG_TRA_DEMANDS!AA$3,'BY-Demands'!$J$5:$AK$14,MATCH($E154,'BY-Demands'!$I$5:$I$14,0),FALSE)*HLOOKUP(REG_TRA_DEMANDS!$F154,DEMANDS!$G$2:$CK$25,MATCH($E154,DEMANDS!$E$2:$E$25,0),FALSE)/HLOOKUP(2018,DEMANDS!$G$2:$CK$25,MATCH($E154,DEMANDS!$E$2:$E$25,0),FALSE)</f>
        <v>0.18894542374433004</v>
      </c>
      <c r="AB154" s="18">
        <f>HLOOKUP(REG_TRA_DEMANDS!AB$3,'BY-Demands'!$J$5:$AK$14,MATCH($E154,'BY-Demands'!$I$5:$I$14,0),FALSE)*HLOOKUP(REG_TRA_DEMANDS!$F154,DEMANDS!$G$2:$CK$25,MATCH($E154,DEMANDS!$E$2:$E$25,0),FALSE)/HLOOKUP(2018,DEMANDS!$G$2:$CK$25,MATCH($E154,DEMANDS!$E$2:$E$25,0),FALSE)</f>
        <v>0.093445511966055772</v>
      </c>
      <c r="AC154" s="18">
        <f>HLOOKUP(REG_TRA_DEMANDS!AC$3,'BY-Demands'!$J$5:$AK$14,MATCH($E154,'BY-Demands'!$I$5:$I$14,0),FALSE)*HLOOKUP(REG_TRA_DEMANDS!$F154,DEMANDS!$G$2:$CK$25,MATCH($E154,DEMANDS!$E$2:$E$25,0),FALSE)/HLOOKUP(2018,DEMANDS!$G$2:$CK$25,MATCH($E154,DEMANDS!$E$2:$E$25,0),FALSE)</f>
        <v>0.094880261940621394</v>
      </c>
      <c r="AD154" s="18">
        <f>HLOOKUP(REG_TRA_DEMANDS!AD$3,'BY-Demands'!$J$5:$AK$14,MATCH($E154,'BY-Demands'!$I$5:$I$14,0),FALSE)*HLOOKUP(REG_TRA_DEMANDS!$F154,DEMANDS!$G$2:$CK$25,MATCH($E154,DEMANDS!$E$2:$E$25,0),FALSE)/HLOOKUP(2018,DEMANDS!$G$2:$CK$25,MATCH($E154,DEMANDS!$E$2:$E$25,0),FALSE)</f>
        <v>0.11028608886226862</v>
      </c>
      <c r="AE154" s="18">
        <f>HLOOKUP(REG_TRA_DEMANDS!AE$3,'BY-Demands'!$J$5:$AK$14,MATCH($E154,'BY-Demands'!$I$5:$I$14,0),FALSE)*HLOOKUP(REG_TRA_DEMANDS!$F154,DEMANDS!$G$2:$CK$25,MATCH($E154,DEMANDS!$E$2:$E$25,0),FALSE)/HLOOKUP(2018,DEMANDS!$G$2:$CK$25,MATCH($E154,DEMANDS!$E$2:$E$25,0),FALSE)</f>
        <v>0.23047499288702816</v>
      </c>
      <c r="AF154" s="18">
        <f>HLOOKUP(REG_TRA_DEMANDS!AF$3,'BY-Demands'!$J$5:$AK$14,MATCH($E154,'BY-Demands'!$I$5:$I$14,0),FALSE)*HLOOKUP(REG_TRA_DEMANDS!$F154,DEMANDS!$G$2:$CK$25,MATCH($E154,DEMANDS!$E$2:$E$25,0),FALSE)/HLOOKUP(2018,DEMANDS!$G$2:$CK$25,MATCH($E154,DEMANDS!$E$2:$E$25,0),FALSE)</f>
        <v>0.088873422743373481</v>
      </c>
    </row>
    <row r="155" spans="4:32" ht="14.4">
      <c r="D155" t="s">
        <v>6</v>
      </c>
      <c r="E155" t="str">
        <f>DEMANDS!$E$22</f>
        <v>TNAV</v>
      </c>
      <c r="F155">
        <v>2036</v>
      </c>
      <c r="G155" s="18">
        <f>HLOOKUP(REG_TRA_DEMANDS!G$3,'BY-Demands'!$J$5:$AK$14,MATCH($E155,'BY-Demands'!$I$5:$I$14,0),FALSE)*HLOOKUP(REG_TRA_DEMANDS!$F155,DEMANDS!$G$2:$CK$25,MATCH($E155,DEMANDS!$E$2:$E$25,0),FALSE)/HLOOKUP(2018,DEMANDS!$G$2:$CK$25,MATCH($E155,DEMANDS!$E$2:$E$25,0),FALSE)</f>
        <v>0.084705569292664151</v>
      </c>
      <c r="H155" s="18">
        <f>HLOOKUP(REG_TRA_DEMANDS!H$3,'BY-Demands'!$J$5:$AK$14,MATCH($E155,'BY-Demands'!$I$5:$I$14,0),FALSE)*HLOOKUP(REG_TRA_DEMANDS!$F155,DEMANDS!$G$2:$CK$25,MATCH($E155,DEMANDS!$E$2:$E$25,0),FALSE)/HLOOKUP(2018,DEMANDS!$G$2:$CK$25,MATCH($E155,DEMANDS!$E$2:$E$25,0),FALSE)</f>
        <v>2.0046513584029193</v>
      </c>
      <c r="I155" s="18">
        <f>HLOOKUP(REG_TRA_DEMANDS!I$3,'BY-Demands'!$J$5:$AK$14,MATCH($E155,'BY-Demands'!$I$5:$I$14,0),FALSE)*HLOOKUP(REG_TRA_DEMANDS!$F155,DEMANDS!$G$2:$CK$25,MATCH($E155,DEMANDS!$E$2:$E$25,0),FALSE)/HLOOKUP(2018,DEMANDS!$G$2:$CK$25,MATCH($E155,DEMANDS!$E$2:$E$25,0),FALSE)</f>
        <v>0.33104981363547648</v>
      </c>
      <c r="J155" s="18">
        <f>HLOOKUP(REG_TRA_DEMANDS!J$3,'BY-Demands'!$J$5:$AK$14,MATCH($E155,'BY-Demands'!$I$5:$I$14,0),FALSE)*HLOOKUP(REG_TRA_DEMANDS!$F155,DEMANDS!$G$2:$CK$25,MATCH($E155,DEMANDS!$E$2:$E$25,0),FALSE)/HLOOKUP(2018,DEMANDS!$G$2:$CK$25,MATCH($E155,DEMANDS!$E$2:$E$25,0),FALSE)</f>
        <v>0.14764109906642398</v>
      </c>
      <c r="K155" s="18">
        <f>HLOOKUP(REG_TRA_DEMANDS!K$3,'BY-Demands'!$J$5:$AK$14,MATCH($E155,'BY-Demands'!$I$5:$I$14,0),FALSE)*HLOOKUP(REG_TRA_DEMANDS!$F155,DEMANDS!$G$2:$CK$25,MATCH($E155,DEMANDS!$E$2:$E$25,0),FALSE)/HLOOKUP(2018,DEMANDS!$G$2:$CK$25,MATCH($E155,DEMANDS!$E$2:$E$25,0),FALSE)</f>
        <v>0.12601537979310018</v>
      </c>
      <c r="L155" s="18">
        <f>HLOOKUP(REG_TRA_DEMANDS!L$3,'BY-Demands'!$J$5:$AK$14,MATCH($E155,'BY-Demands'!$I$5:$I$14,0),FALSE)*HLOOKUP(REG_TRA_DEMANDS!$F155,DEMANDS!$G$2:$CK$25,MATCH($E155,DEMANDS!$E$2:$E$25,0),FALSE)/HLOOKUP(2018,DEMANDS!$G$2:$CK$25,MATCH($E155,DEMANDS!$E$2:$E$25,0),FALSE)</f>
        <v>0.060812385542384925</v>
      </c>
      <c r="M155" s="18">
        <f>HLOOKUP(REG_TRA_DEMANDS!M$3,'BY-Demands'!$J$5:$AK$14,MATCH($E155,'BY-Demands'!$I$5:$I$14,0),FALSE)*HLOOKUP(REG_TRA_DEMANDS!$F155,DEMANDS!$G$2:$CK$25,MATCH($E155,DEMANDS!$E$2:$E$25,0),FALSE)/HLOOKUP(2018,DEMANDS!$G$2:$CK$25,MATCH($E155,DEMANDS!$E$2:$E$25,0),FALSE)</f>
        <v>0.19175845908655476</v>
      </c>
      <c r="N155" s="18">
        <f>HLOOKUP(REG_TRA_DEMANDS!N$3,'BY-Demands'!$J$5:$AK$14,MATCH($E155,'BY-Demands'!$I$5:$I$14,0),FALSE)*HLOOKUP(REG_TRA_DEMANDS!$F155,DEMANDS!$G$2:$CK$25,MATCH($E155,DEMANDS!$E$2:$E$25,0),FALSE)/HLOOKUP(2018,DEMANDS!$G$2:$CK$25,MATCH($E155,DEMANDS!$E$2:$E$25,0),FALSE)</f>
        <v>0.29019379359794889</v>
      </c>
      <c r="O155" s="18">
        <f>HLOOKUP(REG_TRA_DEMANDS!O$3,'BY-Demands'!$J$5:$AK$14,MATCH($E155,'BY-Demands'!$I$5:$I$14,0),FALSE)*HLOOKUP(REG_TRA_DEMANDS!$F155,DEMANDS!$G$2:$CK$25,MATCH($E155,DEMANDS!$E$2:$E$25,0),FALSE)/HLOOKUP(2018,DEMANDS!$G$2:$CK$25,MATCH($E155,DEMANDS!$E$2:$E$25,0),FALSE)</f>
        <v>0.11599330583196431</v>
      </c>
      <c r="P155" s="18">
        <f>HLOOKUP(REG_TRA_DEMANDS!P$3,'BY-Demands'!$J$5:$AK$14,MATCH($E155,'BY-Demands'!$I$5:$I$14,0),FALSE)*HLOOKUP(REG_TRA_DEMANDS!$F155,DEMANDS!$G$2:$CK$25,MATCH($E155,DEMANDS!$E$2:$E$25,0),FALSE)/HLOOKUP(2018,DEMANDS!$G$2:$CK$25,MATCH($E155,DEMANDS!$E$2:$E$25,0),FALSE)</f>
        <v>0.13207534226989753</v>
      </c>
      <c r="Q155" s="18">
        <f>HLOOKUP(REG_TRA_DEMANDS!Q$3,'BY-Demands'!$J$5:$AK$14,MATCH($E155,'BY-Demands'!$I$5:$I$14,0),FALSE)*HLOOKUP(REG_TRA_DEMANDS!$F155,DEMANDS!$G$2:$CK$25,MATCH($E155,DEMANDS!$E$2:$E$25,0),FALSE)/HLOOKUP(2018,DEMANDS!$G$2:$CK$25,MATCH($E155,DEMANDS!$E$2:$E$25,0),FALSE)</f>
        <v>0.22276201864744441</v>
      </c>
      <c r="R155" s="18">
        <f>HLOOKUP(REG_TRA_DEMANDS!R$3,'BY-Demands'!$J$5:$AK$14,MATCH($E155,'BY-Demands'!$I$5:$I$14,0),FALSE)*HLOOKUP(REG_TRA_DEMANDS!$F155,DEMANDS!$G$2:$CK$25,MATCH($E155,DEMANDS!$E$2:$E$25,0),FALSE)/HLOOKUP(2018,DEMANDS!$G$2:$CK$25,MATCH($E155,DEMANDS!$E$2:$E$25,0),FALSE)</f>
        <v>0.21190526780207422</v>
      </c>
      <c r="S155" s="18">
        <f>HLOOKUP(REG_TRA_DEMANDS!S$3,'BY-Demands'!$J$5:$AK$14,MATCH($E155,'BY-Demands'!$I$5:$I$14,0),FALSE)*HLOOKUP(REG_TRA_DEMANDS!$F155,DEMANDS!$G$2:$CK$25,MATCH($E155,DEMANDS!$E$2:$E$25,0),FALSE)/HLOOKUP(2018,DEMANDS!$G$2:$CK$25,MATCH($E155,DEMANDS!$E$2:$E$25,0),FALSE)</f>
        <v>0.17678039813543314</v>
      </c>
      <c r="T155" s="18">
        <f>HLOOKUP(REG_TRA_DEMANDS!T$3,'BY-Demands'!$J$5:$AK$14,MATCH($E155,'BY-Demands'!$I$5:$I$14,0),FALSE)*HLOOKUP(REG_TRA_DEMANDS!$F155,DEMANDS!$G$2:$CK$25,MATCH($E155,DEMANDS!$E$2:$E$25,0),FALSE)/HLOOKUP(2018,DEMANDS!$G$2:$CK$25,MATCH($E155,DEMANDS!$E$2:$E$25,0),FALSE)</f>
        <v>0.80769941317308425</v>
      </c>
      <c r="U155" s="18">
        <f>HLOOKUP(REG_TRA_DEMANDS!U$3,'BY-Demands'!$J$5:$AK$14,MATCH($E155,'BY-Demands'!$I$5:$I$14,0),FALSE)*HLOOKUP(REG_TRA_DEMANDS!$F155,DEMANDS!$G$2:$CK$25,MATCH($E155,DEMANDS!$E$2:$E$25,0),FALSE)/HLOOKUP(2018,DEMANDS!$G$2:$CK$25,MATCH($E155,DEMANDS!$E$2:$E$25,0),FALSE)</f>
        <v>0.21976402591708638</v>
      </c>
      <c r="V155" s="18">
        <f>HLOOKUP(REG_TRA_DEMANDS!V$3,'BY-Demands'!$J$5:$AK$14,MATCH($E155,'BY-Demands'!$I$5:$I$14,0),FALSE)*HLOOKUP(REG_TRA_DEMANDS!$F155,DEMANDS!$G$2:$CK$25,MATCH($E155,DEMANDS!$E$2:$E$25,0),FALSE)/HLOOKUP(2018,DEMANDS!$G$2:$CK$25,MATCH($E155,DEMANDS!$E$2:$E$25,0),FALSE)</f>
        <v>0.28997805714836994</v>
      </c>
      <c r="W155" s="18">
        <f>HLOOKUP(REG_TRA_DEMANDS!W$3,'BY-Demands'!$J$5:$AK$14,MATCH($E155,'BY-Demands'!$I$5:$I$14,0),FALSE)*HLOOKUP(REG_TRA_DEMANDS!$F155,DEMANDS!$G$2:$CK$25,MATCH($E155,DEMANDS!$E$2:$E$25,0),FALSE)/HLOOKUP(2018,DEMANDS!$G$2:$CK$25,MATCH($E155,DEMANDS!$E$2:$E$25,0),FALSE)</f>
        <v>0.23738894992890464</v>
      </c>
      <c r="X155" s="18">
        <f>HLOOKUP(REG_TRA_DEMANDS!X$3,'BY-Demands'!$J$5:$AK$14,MATCH($E155,'BY-Demands'!$I$5:$I$14,0),FALSE)*HLOOKUP(REG_TRA_DEMANDS!$F155,DEMANDS!$G$2:$CK$25,MATCH($E155,DEMANDS!$E$2:$E$25,0),FALSE)/HLOOKUP(2018,DEMANDS!$G$2:$CK$25,MATCH($E155,DEMANDS!$E$2:$E$25,0),FALSE)</f>
        <v>0.17285101907792727</v>
      </c>
      <c r="Y155" s="18">
        <f>HLOOKUP(REG_TRA_DEMANDS!Y$3,'BY-Demands'!$J$5:$AK$14,MATCH($E155,'BY-Demands'!$I$5:$I$14,0),FALSE)*HLOOKUP(REG_TRA_DEMANDS!$F155,DEMANDS!$G$2:$CK$25,MATCH($E155,DEMANDS!$E$2:$E$25,0),FALSE)/HLOOKUP(2018,DEMANDS!$G$2:$CK$25,MATCH($E155,DEMANDS!$E$2:$E$25,0),FALSE)</f>
        <v>0.38394839107226741</v>
      </c>
      <c r="Z155" s="18">
        <f>HLOOKUP(REG_TRA_DEMANDS!Z$3,'BY-Demands'!$J$5:$AK$14,MATCH($E155,'BY-Demands'!$I$5:$I$14,0),FALSE)*HLOOKUP(REG_TRA_DEMANDS!$F155,DEMANDS!$G$2:$CK$25,MATCH($E155,DEMANDS!$E$2:$E$25,0),FALSE)/HLOOKUP(2018,DEMANDS!$G$2:$CK$25,MATCH($E155,DEMANDS!$E$2:$E$25,0),FALSE)</f>
        <v>0.04767626751939396</v>
      </c>
      <c r="AA155" s="18">
        <f>HLOOKUP(REG_TRA_DEMANDS!AA$3,'BY-Demands'!$J$5:$AK$14,MATCH($E155,'BY-Demands'!$I$5:$I$14,0),FALSE)*HLOOKUP(REG_TRA_DEMANDS!$F155,DEMANDS!$G$2:$CK$25,MATCH($E155,DEMANDS!$E$2:$E$25,0),FALSE)/HLOOKUP(2018,DEMANDS!$G$2:$CK$25,MATCH($E155,DEMANDS!$E$2:$E$25,0),FALSE)</f>
        <v>0.19417321948425709</v>
      </c>
      <c r="AB155" s="18">
        <f>HLOOKUP(REG_TRA_DEMANDS!AB$3,'BY-Demands'!$J$5:$AK$14,MATCH($E155,'BY-Demands'!$I$5:$I$14,0),FALSE)*HLOOKUP(REG_TRA_DEMANDS!$F155,DEMANDS!$G$2:$CK$25,MATCH($E155,DEMANDS!$E$2:$E$25,0),FALSE)/HLOOKUP(2018,DEMANDS!$G$2:$CK$25,MATCH($E155,DEMANDS!$E$2:$E$25,0),FALSE)</f>
        <v>0.096030988976774354</v>
      </c>
      <c r="AC155" s="18">
        <f>HLOOKUP(REG_TRA_DEMANDS!AC$3,'BY-Demands'!$J$5:$AK$14,MATCH($E155,'BY-Demands'!$I$5:$I$14,0),FALSE)*HLOOKUP(REG_TRA_DEMANDS!$F155,DEMANDS!$G$2:$CK$25,MATCH($E155,DEMANDS!$E$2:$E$25,0),FALSE)/HLOOKUP(2018,DEMANDS!$G$2:$CK$25,MATCH($E155,DEMANDS!$E$2:$E$25,0),FALSE)</f>
        <v>0.097505436021828679</v>
      </c>
      <c r="AD155" s="18">
        <f>HLOOKUP(REG_TRA_DEMANDS!AD$3,'BY-Demands'!$J$5:$AK$14,MATCH($E155,'BY-Demands'!$I$5:$I$14,0),FALSE)*HLOOKUP(REG_TRA_DEMANDS!$F155,DEMANDS!$G$2:$CK$25,MATCH($E155,DEMANDS!$E$2:$E$25,0),FALSE)/HLOOKUP(2018,DEMANDS!$G$2:$CK$25,MATCH($E155,DEMANDS!$E$2:$E$25,0),FALSE)</f>
        <v>0.11333751574576668</v>
      </c>
      <c r="AE155" s="18">
        <f>HLOOKUP(REG_TRA_DEMANDS!AE$3,'BY-Demands'!$J$5:$AK$14,MATCH($E155,'BY-Demands'!$I$5:$I$14,0),FALSE)*HLOOKUP(REG_TRA_DEMANDS!$F155,DEMANDS!$G$2:$CK$25,MATCH($E155,DEMANDS!$E$2:$E$25,0),FALSE)/HLOOKUP(2018,DEMANDS!$G$2:$CK$25,MATCH($E155,DEMANDS!$E$2:$E$25,0),FALSE)</f>
        <v>0.23685184056133271</v>
      </c>
      <c r="AF155" s="18">
        <f>HLOOKUP(REG_TRA_DEMANDS!AF$3,'BY-Demands'!$J$5:$AK$14,MATCH($E155,'BY-Demands'!$I$5:$I$14,0),FALSE)*HLOOKUP(REG_TRA_DEMANDS!$F155,DEMANDS!$G$2:$CK$25,MATCH($E155,DEMANDS!$E$2:$E$25,0),FALSE)/HLOOKUP(2018,DEMANDS!$G$2:$CK$25,MATCH($E155,DEMANDS!$E$2:$E$25,0),FALSE)</f>
        <v>0.091332397888700248</v>
      </c>
    </row>
    <row r="156" spans="4:32" ht="14.4">
      <c r="D156" t="s">
        <v>6</v>
      </c>
      <c r="E156" t="str">
        <f>DEMANDS!$E$22</f>
        <v>TNAV</v>
      </c>
      <c r="F156">
        <v>2037</v>
      </c>
      <c r="G156" s="18">
        <f>HLOOKUP(REG_TRA_DEMANDS!G$3,'BY-Demands'!$J$5:$AK$14,MATCH($E156,'BY-Demands'!$I$5:$I$14,0),FALSE)*HLOOKUP(REG_TRA_DEMANDS!$F156,DEMANDS!$G$2:$CK$25,MATCH($E156,DEMANDS!$E$2:$E$25,0),FALSE)/HLOOKUP(2018,DEMANDS!$G$2:$CK$25,MATCH($E156,DEMANDS!$E$2:$E$25,0),FALSE)</f>
        <v>0.086992187864904508</v>
      </c>
      <c r="H156" s="18">
        <f>HLOOKUP(REG_TRA_DEMANDS!H$3,'BY-Demands'!$J$5:$AK$14,MATCH($E156,'BY-Demands'!$I$5:$I$14,0),FALSE)*HLOOKUP(REG_TRA_DEMANDS!$F156,DEMANDS!$G$2:$CK$25,MATCH($E156,DEMANDS!$E$2:$E$25,0),FALSE)/HLOOKUP(2018,DEMANDS!$G$2:$CK$25,MATCH($E156,DEMANDS!$E$2:$E$25,0),FALSE)</f>
        <v>2.0587667260849818</v>
      </c>
      <c r="I156" s="18">
        <f>HLOOKUP(REG_TRA_DEMANDS!I$3,'BY-Demands'!$J$5:$AK$14,MATCH($E156,'BY-Demands'!$I$5:$I$14,0),FALSE)*HLOOKUP(REG_TRA_DEMANDS!$F156,DEMANDS!$G$2:$CK$25,MATCH($E156,DEMANDS!$E$2:$E$25,0),FALSE)/HLOOKUP(2018,DEMANDS!$G$2:$CK$25,MATCH($E156,DEMANDS!$E$2:$E$25,0),FALSE)</f>
        <v>0.33998647103022406</v>
      </c>
      <c r="J156" s="18">
        <f>HLOOKUP(REG_TRA_DEMANDS!J$3,'BY-Demands'!$J$5:$AK$14,MATCH($E156,'BY-Demands'!$I$5:$I$14,0),FALSE)*HLOOKUP(REG_TRA_DEMANDS!$F156,DEMANDS!$G$2:$CK$25,MATCH($E156,DEMANDS!$E$2:$E$25,0),FALSE)/HLOOKUP(2018,DEMANDS!$G$2:$CK$25,MATCH($E156,DEMANDS!$E$2:$E$25,0),FALSE)</f>
        <v>0.15162665611976053</v>
      </c>
      <c r="K156" s="18">
        <f>HLOOKUP(REG_TRA_DEMANDS!K$3,'BY-Demands'!$J$5:$AK$14,MATCH($E156,'BY-Demands'!$I$5:$I$14,0),FALSE)*HLOOKUP(REG_TRA_DEMANDS!$F156,DEMANDS!$G$2:$CK$25,MATCH($E156,DEMANDS!$E$2:$E$25,0),FALSE)/HLOOKUP(2018,DEMANDS!$G$2:$CK$25,MATCH($E156,DEMANDS!$E$2:$E$25,0),FALSE)</f>
        <v>0.12941715266623027</v>
      </c>
      <c r="L156" s="18">
        <f>HLOOKUP(REG_TRA_DEMANDS!L$3,'BY-Demands'!$J$5:$AK$14,MATCH($E156,'BY-Demands'!$I$5:$I$14,0),FALSE)*HLOOKUP(REG_TRA_DEMANDS!$F156,DEMANDS!$G$2:$CK$25,MATCH($E156,DEMANDS!$E$2:$E$25,0),FALSE)/HLOOKUP(2018,DEMANDS!$G$2:$CK$25,MATCH($E156,DEMANDS!$E$2:$E$25,0),FALSE)</f>
        <v>0.06245400995226303</v>
      </c>
      <c r="M156" s="18">
        <f>HLOOKUP(REG_TRA_DEMANDS!M$3,'BY-Demands'!$J$5:$AK$14,MATCH($E156,'BY-Demands'!$I$5:$I$14,0),FALSE)*HLOOKUP(REG_TRA_DEMANDS!$F156,DEMANDS!$G$2:$CK$25,MATCH($E156,DEMANDS!$E$2:$E$25,0),FALSE)/HLOOKUP(2018,DEMANDS!$G$2:$CK$25,MATCH($E156,DEMANDS!$E$2:$E$25,0),FALSE)</f>
        <v>0.19693495996593061</v>
      </c>
      <c r="N156" s="18">
        <f>HLOOKUP(REG_TRA_DEMANDS!N$3,'BY-Demands'!$J$5:$AK$14,MATCH($E156,'BY-Demands'!$I$5:$I$14,0),FALSE)*HLOOKUP(REG_TRA_DEMANDS!$F156,DEMANDS!$G$2:$CK$25,MATCH($E156,DEMANDS!$E$2:$E$25,0),FALSE)/HLOOKUP(2018,DEMANDS!$G$2:$CK$25,MATCH($E156,DEMANDS!$E$2:$E$25,0),FALSE)</f>
        <v>0.29802754672104398</v>
      </c>
      <c r="O156" s="18">
        <f>HLOOKUP(REG_TRA_DEMANDS!O$3,'BY-Demands'!$J$5:$AK$14,MATCH($E156,'BY-Demands'!$I$5:$I$14,0),FALSE)*HLOOKUP(REG_TRA_DEMANDS!$F156,DEMANDS!$G$2:$CK$25,MATCH($E156,DEMANDS!$E$2:$E$25,0),FALSE)/HLOOKUP(2018,DEMANDS!$G$2:$CK$25,MATCH($E156,DEMANDS!$E$2:$E$25,0),FALSE)</f>
        <v>0.11912453379708815</v>
      </c>
      <c r="P156" s="18">
        <f>HLOOKUP(REG_TRA_DEMANDS!P$3,'BY-Demands'!$J$5:$AK$14,MATCH($E156,'BY-Demands'!$I$5:$I$14,0),FALSE)*HLOOKUP(REG_TRA_DEMANDS!$F156,DEMANDS!$G$2:$CK$25,MATCH($E156,DEMANDS!$E$2:$E$25,0),FALSE)/HLOOKUP(2018,DEMANDS!$G$2:$CK$25,MATCH($E156,DEMANDS!$E$2:$E$25,0),FALSE)</f>
        <v>0.13564070323838234</v>
      </c>
      <c r="Q156" s="18">
        <f>HLOOKUP(REG_TRA_DEMANDS!Q$3,'BY-Demands'!$J$5:$AK$14,MATCH($E156,'BY-Demands'!$I$5:$I$14,0),FALSE)*HLOOKUP(REG_TRA_DEMANDS!$F156,DEMANDS!$G$2:$CK$25,MATCH($E156,DEMANDS!$E$2:$E$25,0),FALSE)/HLOOKUP(2018,DEMANDS!$G$2:$CK$25,MATCH($E156,DEMANDS!$E$2:$E$25,0),FALSE)</f>
        <v>0.22877545758991916</v>
      </c>
      <c r="R156" s="18">
        <f>HLOOKUP(REG_TRA_DEMANDS!R$3,'BY-Demands'!$J$5:$AK$14,MATCH($E156,'BY-Demands'!$I$5:$I$14,0),FALSE)*HLOOKUP(REG_TRA_DEMANDS!$F156,DEMANDS!$G$2:$CK$25,MATCH($E156,DEMANDS!$E$2:$E$25,0),FALSE)/HLOOKUP(2018,DEMANDS!$G$2:$CK$25,MATCH($E156,DEMANDS!$E$2:$E$25,0),FALSE)</f>
        <v>0.21762562981555228</v>
      </c>
      <c r="S156" s="18">
        <f>HLOOKUP(REG_TRA_DEMANDS!S$3,'BY-Demands'!$J$5:$AK$14,MATCH($E156,'BY-Demands'!$I$5:$I$14,0),FALSE)*HLOOKUP(REG_TRA_DEMANDS!$F156,DEMANDS!$G$2:$CK$25,MATCH($E156,DEMANDS!$E$2:$E$25,0),FALSE)/HLOOKUP(2018,DEMANDS!$G$2:$CK$25,MATCH($E156,DEMANDS!$E$2:$E$25,0),FALSE)</f>
        <v>0.18155256772192024</v>
      </c>
      <c r="T156" s="18">
        <f>HLOOKUP(REG_TRA_DEMANDS!T$3,'BY-Demands'!$J$5:$AK$14,MATCH($E156,'BY-Demands'!$I$5:$I$14,0),FALSE)*HLOOKUP(REG_TRA_DEMANDS!$F156,DEMANDS!$G$2:$CK$25,MATCH($E156,DEMANDS!$E$2:$E$25,0),FALSE)/HLOOKUP(2018,DEMANDS!$G$2:$CK$25,MATCH($E156,DEMANDS!$E$2:$E$25,0),FALSE)</f>
        <v>0.82950317996636347</v>
      </c>
      <c r="U156" s="18">
        <f>HLOOKUP(REG_TRA_DEMANDS!U$3,'BY-Demands'!$J$5:$AK$14,MATCH($E156,'BY-Demands'!$I$5:$I$14,0),FALSE)*HLOOKUP(REG_TRA_DEMANDS!$F156,DEMANDS!$G$2:$CK$25,MATCH($E156,DEMANDS!$E$2:$E$25,0),FALSE)/HLOOKUP(2018,DEMANDS!$G$2:$CK$25,MATCH($E156,DEMANDS!$E$2:$E$25,0),FALSE)</f>
        <v>0.22569653433853493</v>
      </c>
      <c r="V156" s="18">
        <f>HLOOKUP(REG_TRA_DEMANDS!V$3,'BY-Demands'!$J$5:$AK$14,MATCH($E156,'BY-Demands'!$I$5:$I$14,0),FALSE)*HLOOKUP(REG_TRA_DEMANDS!$F156,DEMANDS!$G$2:$CK$25,MATCH($E156,DEMANDS!$E$2:$E$25,0),FALSE)/HLOOKUP(2018,DEMANDS!$G$2:$CK$25,MATCH($E156,DEMANDS!$E$2:$E$25,0),FALSE)</f>
        <v>0.29780598648707352</v>
      </c>
      <c r="W156" s="18">
        <f>HLOOKUP(REG_TRA_DEMANDS!W$3,'BY-Demands'!$J$5:$AK$14,MATCH($E156,'BY-Demands'!$I$5:$I$14,0),FALSE)*HLOOKUP(REG_TRA_DEMANDS!$F156,DEMANDS!$G$2:$CK$25,MATCH($E156,DEMANDS!$E$2:$E$25,0),FALSE)/HLOOKUP(2018,DEMANDS!$G$2:$CK$25,MATCH($E156,DEMANDS!$E$2:$E$25,0),FALSE)</f>
        <v>0.24379724145312062</v>
      </c>
      <c r="X156" s="18">
        <f>HLOOKUP(REG_TRA_DEMANDS!X$3,'BY-Demands'!$J$5:$AK$14,MATCH($E156,'BY-Demands'!$I$5:$I$14,0),FALSE)*HLOOKUP(REG_TRA_DEMANDS!$F156,DEMANDS!$G$2:$CK$25,MATCH($E156,DEMANDS!$E$2:$E$25,0),FALSE)/HLOOKUP(2018,DEMANDS!$G$2:$CK$25,MATCH($E156,DEMANDS!$E$2:$E$25,0),FALSE)</f>
        <v>0.17751711546042914</v>
      </c>
      <c r="Y156" s="18">
        <f>HLOOKUP(REG_TRA_DEMANDS!Y$3,'BY-Demands'!$J$5:$AK$14,MATCH($E156,'BY-Demands'!$I$5:$I$14,0),FALSE)*HLOOKUP(REG_TRA_DEMANDS!$F156,DEMANDS!$G$2:$CK$25,MATCH($E156,DEMANDS!$E$2:$E$25,0),FALSE)/HLOOKUP(2018,DEMANDS!$G$2:$CK$25,MATCH($E156,DEMANDS!$E$2:$E$25,0),FALSE)</f>
        <v>0.39431304039980208</v>
      </c>
      <c r="Z156" s="18">
        <f>HLOOKUP(REG_TRA_DEMANDS!Z$3,'BY-Demands'!$J$5:$AK$14,MATCH($E156,'BY-Demands'!$I$5:$I$14,0),FALSE)*HLOOKUP(REG_TRA_DEMANDS!$F156,DEMANDS!$G$2:$CK$25,MATCH($E156,DEMANDS!$E$2:$E$25,0),FALSE)/HLOOKUP(2018,DEMANDS!$G$2:$CK$25,MATCH($E156,DEMANDS!$E$2:$E$25,0),FALSE)</f>
        <v>0.048963283705877311</v>
      </c>
      <c r="AA156" s="18">
        <f>HLOOKUP(REG_TRA_DEMANDS!AA$3,'BY-Demands'!$J$5:$AK$14,MATCH($E156,'BY-Demands'!$I$5:$I$14,0),FALSE)*HLOOKUP(REG_TRA_DEMANDS!$F156,DEMANDS!$G$2:$CK$25,MATCH($E156,DEMANDS!$E$2:$E$25,0),FALSE)/HLOOKUP(2018,DEMANDS!$G$2:$CK$25,MATCH($E156,DEMANDS!$E$2:$E$25,0),FALSE)</f>
        <v>0.19941490658478705</v>
      </c>
      <c r="AB156" s="18">
        <f>HLOOKUP(REG_TRA_DEMANDS!AB$3,'BY-Demands'!$J$5:$AK$14,MATCH($E156,'BY-Demands'!$I$5:$I$14,0),FALSE)*HLOOKUP(REG_TRA_DEMANDS!$F156,DEMANDS!$G$2:$CK$25,MATCH($E156,DEMANDS!$E$2:$E$25,0),FALSE)/HLOOKUP(2018,DEMANDS!$G$2:$CK$25,MATCH($E156,DEMANDS!$E$2:$E$25,0),FALSE)</f>
        <v>0.098623336147551463</v>
      </c>
      <c r="AC156" s="18">
        <f>HLOOKUP(REG_TRA_DEMANDS!AC$3,'BY-Demands'!$J$5:$AK$14,MATCH($E156,'BY-Demands'!$I$5:$I$14,0),FALSE)*HLOOKUP(REG_TRA_DEMANDS!$F156,DEMANDS!$G$2:$CK$25,MATCH($E156,DEMANDS!$E$2:$E$25,0),FALSE)/HLOOKUP(2018,DEMANDS!$G$2:$CK$25,MATCH($E156,DEMANDS!$E$2:$E$25,0),FALSE)</f>
        <v>0.10013758574661916</v>
      </c>
      <c r="AD156" s="18">
        <f>HLOOKUP(REG_TRA_DEMANDS!AD$3,'BY-Demands'!$J$5:$AK$14,MATCH($E156,'BY-Demands'!$I$5:$I$14,0),FALSE)*HLOOKUP(REG_TRA_DEMANDS!$F156,DEMANDS!$G$2:$CK$25,MATCH($E156,DEMANDS!$E$2:$E$25,0),FALSE)/HLOOKUP(2018,DEMANDS!$G$2:$CK$25,MATCH($E156,DEMANDS!$E$2:$E$25,0),FALSE)</f>
        <v>0.1163970509168301</v>
      </c>
      <c r="AE156" s="18">
        <f>HLOOKUP(REG_TRA_DEMANDS!AE$3,'BY-Demands'!$J$5:$AK$14,MATCH($E156,'BY-Demands'!$I$5:$I$14,0),FALSE)*HLOOKUP(REG_TRA_DEMANDS!$F156,DEMANDS!$G$2:$CK$25,MATCH($E156,DEMANDS!$E$2:$E$25,0),FALSE)/HLOOKUP(2018,DEMANDS!$G$2:$CK$25,MATCH($E156,DEMANDS!$E$2:$E$25,0),FALSE)</f>
        <v>0.24324563287061551</v>
      </c>
      <c r="AF156" s="18">
        <f>HLOOKUP(REG_TRA_DEMANDS!AF$3,'BY-Demands'!$J$5:$AK$14,MATCH($E156,'BY-Demands'!$I$5:$I$14,0),FALSE)*HLOOKUP(REG_TRA_DEMANDS!$F156,DEMANDS!$G$2:$CK$25,MATCH($E156,DEMANDS!$E$2:$E$25,0),FALSE)/HLOOKUP(2018,DEMANDS!$G$2:$CK$25,MATCH($E156,DEMANDS!$E$2:$E$25,0),FALSE)</f>
        <v>0.093797907051834287</v>
      </c>
    </row>
    <row r="157" spans="4:32" ht="14.4">
      <c r="D157" t="s">
        <v>6</v>
      </c>
      <c r="E157" t="str">
        <f>DEMANDS!$E$22</f>
        <v>TNAV</v>
      </c>
      <c r="F157">
        <v>2038</v>
      </c>
      <c r="G157" s="18">
        <f>HLOOKUP(REG_TRA_DEMANDS!G$3,'BY-Demands'!$J$5:$AK$14,MATCH($E157,'BY-Demands'!$I$5:$I$14,0),FALSE)*HLOOKUP(REG_TRA_DEMANDS!$F157,DEMANDS!$G$2:$CK$25,MATCH($E157,DEMANDS!$E$2:$E$25,0),FALSE)/HLOOKUP(2018,DEMANDS!$G$2:$CK$25,MATCH($E157,DEMANDS!$E$2:$E$25,0),FALSE)</f>
        <v>0.089289366488102359</v>
      </c>
      <c r="H157" s="18">
        <f>HLOOKUP(REG_TRA_DEMANDS!H$3,'BY-Demands'!$J$5:$AK$14,MATCH($E157,'BY-Demands'!$I$5:$I$14,0),FALSE)*HLOOKUP(REG_TRA_DEMANDS!$F157,DEMANDS!$G$2:$CK$25,MATCH($E157,DEMANDS!$E$2:$E$25,0),FALSE)/HLOOKUP(2018,DEMANDS!$G$2:$CK$25,MATCH($E157,DEMANDS!$E$2:$E$25,0),FALSE)</f>
        <v>2.1131320090993362</v>
      </c>
      <c r="I157" s="18">
        <f>HLOOKUP(REG_TRA_DEMANDS!I$3,'BY-Demands'!$J$5:$AK$14,MATCH($E157,'BY-Demands'!$I$5:$I$14,0),FALSE)*HLOOKUP(REG_TRA_DEMANDS!$F157,DEMANDS!$G$2:$CK$25,MATCH($E157,DEMANDS!$E$2:$E$25,0),FALSE)/HLOOKUP(2018,DEMANDS!$G$2:$CK$25,MATCH($E157,DEMANDS!$E$2:$E$25,0),FALSE)</f>
        <v>0.34896439965342385</v>
      </c>
      <c r="J157" s="18">
        <f>HLOOKUP(REG_TRA_DEMANDS!J$3,'BY-Demands'!$J$5:$AK$14,MATCH($E157,'BY-Demands'!$I$5:$I$14,0),FALSE)*HLOOKUP(REG_TRA_DEMANDS!$F157,DEMANDS!$G$2:$CK$25,MATCH($E157,DEMANDS!$E$2:$E$25,0),FALSE)/HLOOKUP(2018,DEMANDS!$G$2:$CK$25,MATCH($E157,DEMANDS!$E$2:$E$25,0),FALSE)</f>
        <v>0.15563061925362492</v>
      </c>
      <c r="K157" s="18">
        <f>HLOOKUP(REG_TRA_DEMANDS!K$3,'BY-Demands'!$J$5:$AK$14,MATCH($E157,'BY-Demands'!$I$5:$I$14,0),FALSE)*HLOOKUP(REG_TRA_DEMANDS!$F157,DEMANDS!$G$2:$CK$25,MATCH($E157,DEMANDS!$E$2:$E$25,0),FALSE)/HLOOKUP(2018,DEMANDS!$G$2:$CK$25,MATCH($E157,DEMANDS!$E$2:$E$25,0),FALSE)</f>
        <v>0.1328346355905784</v>
      </c>
      <c r="L157" s="18">
        <f>HLOOKUP(REG_TRA_DEMANDS!L$3,'BY-Demands'!$J$5:$AK$14,MATCH($E157,'BY-Demands'!$I$5:$I$14,0),FALSE)*HLOOKUP(REG_TRA_DEMANDS!$F157,DEMANDS!$G$2:$CK$25,MATCH($E157,DEMANDS!$E$2:$E$25,0),FALSE)/HLOOKUP(2018,DEMANDS!$G$2:$CK$25,MATCH($E157,DEMANDS!$E$2:$E$25,0),FALSE)</f>
        <v>0.064103215704141847</v>
      </c>
      <c r="M157" s="18">
        <f>HLOOKUP(REG_TRA_DEMANDS!M$3,'BY-Demands'!$J$5:$AK$14,MATCH($E157,'BY-Demands'!$I$5:$I$14,0),FALSE)*HLOOKUP(REG_TRA_DEMANDS!$F157,DEMANDS!$G$2:$CK$25,MATCH($E157,DEMANDS!$E$2:$E$25,0),FALSE)/HLOOKUP(2018,DEMANDS!$G$2:$CK$25,MATCH($E157,DEMANDS!$E$2:$E$25,0),FALSE)</f>
        <v>0.20213536693691758</v>
      </c>
      <c r="N157" s="18">
        <f>HLOOKUP(REG_TRA_DEMANDS!N$3,'BY-Demands'!$J$5:$AK$14,MATCH($E157,'BY-Demands'!$I$5:$I$14,0),FALSE)*HLOOKUP(REG_TRA_DEMANDS!$F157,DEMANDS!$G$2:$CK$25,MATCH($E157,DEMANDS!$E$2:$E$25,0),FALSE)/HLOOKUP(2018,DEMANDS!$G$2:$CK$25,MATCH($E157,DEMANDS!$E$2:$E$25,0),FALSE)</f>
        <v>0.30589747764535719</v>
      </c>
      <c r="O157" s="18">
        <f>HLOOKUP(REG_TRA_DEMANDS!O$3,'BY-Demands'!$J$5:$AK$14,MATCH($E157,'BY-Demands'!$I$5:$I$14,0),FALSE)*HLOOKUP(REG_TRA_DEMANDS!$F157,DEMANDS!$G$2:$CK$25,MATCH($E157,DEMANDS!$E$2:$E$25,0),FALSE)/HLOOKUP(2018,DEMANDS!$G$2:$CK$25,MATCH($E157,DEMANDS!$E$2:$E$25,0),FALSE)</f>
        <v>0.12227022238422942</v>
      </c>
      <c r="P157" s="18">
        <f>HLOOKUP(REG_TRA_DEMANDS!P$3,'BY-Demands'!$J$5:$AK$14,MATCH($E157,'BY-Demands'!$I$5:$I$14,0),FALSE)*HLOOKUP(REG_TRA_DEMANDS!$F157,DEMANDS!$G$2:$CK$25,MATCH($E157,DEMANDS!$E$2:$E$25,0),FALSE)/HLOOKUP(2018,DEMANDS!$G$2:$CK$25,MATCH($E157,DEMANDS!$E$2:$E$25,0),FALSE)</f>
        <v>0.13922252973984497</v>
      </c>
      <c r="Q157" s="18">
        <f>HLOOKUP(REG_TRA_DEMANDS!Q$3,'BY-Demands'!$J$5:$AK$14,MATCH($E157,'BY-Demands'!$I$5:$I$14,0),FALSE)*HLOOKUP(REG_TRA_DEMANDS!$F157,DEMANDS!$G$2:$CK$25,MATCH($E157,DEMANDS!$E$2:$E$25,0),FALSE)/HLOOKUP(2018,DEMANDS!$G$2:$CK$25,MATCH($E157,DEMANDS!$E$2:$E$25,0),FALSE)</f>
        <v>0.2348166677673664</v>
      </c>
      <c r="R157" s="18">
        <f>HLOOKUP(REG_TRA_DEMANDS!R$3,'BY-Demands'!$J$5:$AK$14,MATCH($E157,'BY-Demands'!$I$5:$I$14,0),FALSE)*HLOOKUP(REG_TRA_DEMANDS!$F157,DEMANDS!$G$2:$CK$25,MATCH($E157,DEMANDS!$E$2:$E$25,0),FALSE)/HLOOKUP(2018,DEMANDS!$G$2:$CK$25,MATCH($E157,DEMANDS!$E$2:$E$25,0),FALSE)</f>
        <v>0.22337240957753066</v>
      </c>
      <c r="S157" s="18">
        <f>HLOOKUP(REG_TRA_DEMANDS!S$3,'BY-Demands'!$J$5:$AK$14,MATCH($E157,'BY-Demands'!$I$5:$I$14,0),FALSE)*HLOOKUP(REG_TRA_DEMANDS!$F157,DEMANDS!$G$2:$CK$25,MATCH($E157,DEMANDS!$E$2:$E$25,0),FALSE)/HLOOKUP(2018,DEMANDS!$G$2:$CK$25,MATCH($E157,DEMANDS!$E$2:$E$25,0),FALSE)</f>
        <v>0.18634677611917483</v>
      </c>
      <c r="T157" s="18">
        <f>HLOOKUP(REG_TRA_DEMANDS!T$3,'BY-Demands'!$J$5:$AK$14,MATCH($E157,'BY-Demands'!$I$5:$I$14,0),FALSE)*HLOOKUP(REG_TRA_DEMANDS!$F157,DEMANDS!$G$2:$CK$25,MATCH($E157,DEMANDS!$E$2:$E$25,0),FALSE)/HLOOKUP(2018,DEMANDS!$G$2:$CK$25,MATCH($E157,DEMANDS!$E$2:$E$25,0),FALSE)</f>
        <v>0.85140764081119891</v>
      </c>
      <c r="U157" s="18">
        <f>HLOOKUP(REG_TRA_DEMANDS!U$3,'BY-Demands'!$J$5:$AK$14,MATCH($E157,'BY-Demands'!$I$5:$I$14,0),FALSE)*HLOOKUP(REG_TRA_DEMANDS!$F157,DEMANDS!$G$2:$CK$25,MATCH($E157,DEMANDS!$E$2:$E$25,0),FALSE)/HLOOKUP(2018,DEMANDS!$G$2:$CK$25,MATCH($E157,DEMANDS!$E$2:$E$25,0),FALSE)</f>
        <v>0.23165644024201071</v>
      </c>
      <c r="V157" s="18">
        <f>HLOOKUP(REG_TRA_DEMANDS!V$3,'BY-Demands'!$J$5:$AK$14,MATCH($E157,'BY-Demands'!$I$5:$I$14,0),FALSE)*HLOOKUP(REG_TRA_DEMANDS!$F157,DEMANDS!$G$2:$CK$25,MATCH($E157,DEMANDS!$E$2:$E$25,0),FALSE)/HLOOKUP(2018,DEMANDS!$G$2:$CK$25,MATCH($E157,DEMANDS!$E$2:$E$25,0),FALSE)</f>
        <v>0.305670066731622</v>
      </c>
      <c r="W157" s="18">
        <f>HLOOKUP(REG_TRA_DEMANDS!W$3,'BY-Demands'!$J$5:$AK$14,MATCH($E157,'BY-Demands'!$I$5:$I$14,0),FALSE)*HLOOKUP(REG_TRA_DEMANDS!$F157,DEMANDS!$G$2:$CK$25,MATCH($E157,DEMANDS!$E$2:$E$25,0),FALSE)/HLOOKUP(2018,DEMANDS!$G$2:$CK$25,MATCH($E157,DEMANDS!$E$2:$E$25,0),FALSE)</f>
        <v>0.25023512771861423</v>
      </c>
      <c r="X157" s="18">
        <f>HLOOKUP(REG_TRA_DEMANDS!X$3,'BY-Demands'!$J$5:$AK$14,MATCH($E157,'BY-Demands'!$I$5:$I$14,0),FALSE)*HLOOKUP(REG_TRA_DEMANDS!$F157,DEMANDS!$G$2:$CK$25,MATCH($E157,DEMANDS!$E$2:$E$25,0),FALSE)/HLOOKUP(2018,DEMANDS!$G$2:$CK$25,MATCH($E157,DEMANDS!$E$2:$E$25,0),FALSE)</f>
        <v>0.18220476078693501</v>
      </c>
      <c r="Y157" s="18">
        <f>HLOOKUP(REG_TRA_DEMANDS!Y$3,'BY-Demands'!$J$5:$AK$14,MATCH($E157,'BY-Demands'!$I$5:$I$14,0),FALSE)*HLOOKUP(REG_TRA_DEMANDS!$F157,DEMANDS!$G$2:$CK$25,MATCH($E157,DEMANDS!$E$2:$E$25,0),FALSE)/HLOOKUP(2018,DEMANDS!$G$2:$CK$25,MATCH($E157,DEMANDS!$E$2:$E$25,0),FALSE)</f>
        <v>0.40472555570130542</v>
      </c>
      <c r="Z157" s="18">
        <f>HLOOKUP(REG_TRA_DEMANDS!Z$3,'BY-Demands'!$J$5:$AK$14,MATCH($E157,'BY-Demands'!$I$5:$I$14,0),FALSE)*HLOOKUP(REG_TRA_DEMANDS!$F157,DEMANDS!$G$2:$CK$25,MATCH($E157,DEMANDS!$E$2:$E$25,0),FALSE)/HLOOKUP(2018,DEMANDS!$G$2:$CK$25,MATCH($E157,DEMANDS!$E$2:$E$25,0),FALSE)</f>
        <v>0.050256243584359567</v>
      </c>
      <c r="AA157" s="18">
        <f>HLOOKUP(REG_TRA_DEMANDS!AA$3,'BY-Demands'!$J$5:$AK$14,MATCH($E157,'BY-Demands'!$I$5:$I$14,0),FALSE)*HLOOKUP(REG_TRA_DEMANDS!$F157,DEMANDS!$G$2:$CK$25,MATCH($E157,DEMANDS!$E$2:$E$25,0),FALSE)/HLOOKUP(2018,DEMANDS!$G$2:$CK$25,MATCH($E157,DEMANDS!$E$2:$E$25,0),FALSE)</f>
        <v>0.204680800819623</v>
      </c>
      <c r="AB157" s="18">
        <f>HLOOKUP(REG_TRA_DEMANDS!AB$3,'BY-Demands'!$J$5:$AK$14,MATCH($E157,'BY-Demands'!$I$5:$I$14,0),FALSE)*HLOOKUP(REG_TRA_DEMANDS!$F157,DEMANDS!$G$2:$CK$25,MATCH($E157,DEMANDS!$E$2:$E$25,0),FALSE)/HLOOKUP(2018,DEMANDS!$G$2:$CK$25,MATCH($E157,DEMANDS!$E$2:$E$25,0),FALSE)</f>
        <v>0.10122765528363804</v>
      </c>
      <c r="AC157" s="18">
        <f>HLOOKUP(REG_TRA_DEMANDS!AC$3,'BY-Demands'!$J$5:$AK$14,MATCH($E157,'BY-Demands'!$I$5:$I$14,0),FALSE)*HLOOKUP(REG_TRA_DEMANDS!$F157,DEMANDS!$G$2:$CK$25,MATCH($E157,DEMANDS!$E$2:$E$25,0),FALSE)/HLOOKUP(2018,DEMANDS!$G$2:$CK$25,MATCH($E157,DEMANDS!$E$2:$E$25,0),FALSE)</f>
        <v>0.10278189125268378</v>
      </c>
      <c r="AD157" s="18">
        <f>HLOOKUP(REG_TRA_DEMANDS!AD$3,'BY-Demands'!$J$5:$AK$14,MATCH($E157,'BY-Demands'!$I$5:$I$14,0),FALSE)*HLOOKUP(REG_TRA_DEMANDS!$F157,DEMANDS!$G$2:$CK$25,MATCH($E157,DEMANDS!$E$2:$E$25,0),FALSE)/HLOOKUP(2018,DEMANDS!$G$2:$CK$25,MATCH($E157,DEMANDS!$E$2:$E$25,0),FALSE)</f>
        <v>0.11947071561859215</v>
      </c>
      <c r="AE157" s="18">
        <f>HLOOKUP(REG_TRA_DEMANDS!AE$3,'BY-Demands'!$J$5:$AK$14,MATCH($E157,'BY-Demands'!$I$5:$I$14,0),FALSE)*HLOOKUP(REG_TRA_DEMANDS!$F157,DEMANDS!$G$2:$CK$25,MATCH($E157,DEMANDS!$E$2:$E$25,0),FALSE)/HLOOKUP(2018,DEMANDS!$G$2:$CK$25,MATCH($E157,DEMANDS!$E$2:$E$25,0),FALSE)</f>
        <v>0.24966895296097083</v>
      </c>
      <c r="AF157" s="18">
        <f>HLOOKUP(REG_TRA_DEMANDS!AF$3,'BY-Demands'!$J$5:$AK$14,MATCH($E157,'BY-Demands'!$I$5:$I$14,0),FALSE)*HLOOKUP(REG_TRA_DEMANDS!$F157,DEMANDS!$G$2:$CK$25,MATCH($E157,DEMANDS!$E$2:$E$25,0),FALSE)/HLOOKUP(2018,DEMANDS!$G$2:$CK$25,MATCH($E157,DEMANDS!$E$2:$E$25,0),FALSE)</f>
        <v>0.096274802417597338</v>
      </c>
    </row>
    <row r="158" spans="4:32" ht="14.4">
      <c r="D158" t="s">
        <v>6</v>
      </c>
      <c r="E158" t="str">
        <f>DEMANDS!$E$22</f>
        <v>TNAV</v>
      </c>
      <c r="F158">
        <v>2039</v>
      </c>
      <c r="G158" s="18">
        <f>HLOOKUP(REG_TRA_DEMANDS!G$3,'BY-Demands'!$J$5:$AK$14,MATCH($E158,'BY-Demands'!$I$5:$I$14,0),FALSE)*HLOOKUP(REG_TRA_DEMANDS!$F158,DEMANDS!$G$2:$CK$25,MATCH($E158,DEMANDS!$E$2:$E$25,0),FALSE)/HLOOKUP(2018,DEMANDS!$G$2:$CK$25,MATCH($E158,DEMANDS!$E$2:$E$25,0),FALSE)</f>
        <v>0.09160334437742404</v>
      </c>
      <c r="H158" s="18">
        <f>HLOOKUP(REG_TRA_DEMANDS!H$3,'BY-Demands'!$J$5:$AK$14,MATCH($E158,'BY-Demands'!$I$5:$I$14,0),FALSE)*HLOOKUP(REG_TRA_DEMANDS!$F158,DEMANDS!$G$2:$CK$25,MATCH($E158,DEMANDS!$E$2:$E$25,0),FALSE)/HLOOKUP(2018,DEMANDS!$G$2:$CK$25,MATCH($E158,DEMANDS!$E$2:$E$25,0),FALSE)</f>
        <v>2.167894865401216</v>
      </c>
      <c r="I158" s="18">
        <f>HLOOKUP(REG_TRA_DEMANDS!I$3,'BY-Demands'!$J$5:$AK$14,MATCH($E158,'BY-Demands'!$I$5:$I$14,0),FALSE)*HLOOKUP(REG_TRA_DEMANDS!$F158,DEMANDS!$G$2:$CK$25,MATCH($E158,DEMANDS!$E$2:$E$25,0),FALSE)/HLOOKUP(2018,DEMANDS!$G$2:$CK$25,MATCH($E158,DEMANDS!$E$2:$E$25,0),FALSE)</f>
        <v>0.35800798386416011</v>
      </c>
      <c r="J158" s="18">
        <f>HLOOKUP(REG_TRA_DEMANDS!J$3,'BY-Demands'!$J$5:$AK$14,MATCH($E158,'BY-Demands'!$I$5:$I$14,0),FALSE)*HLOOKUP(REG_TRA_DEMANDS!$F158,DEMANDS!$G$2:$CK$25,MATCH($E158,DEMANDS!$E$2:$E$25,0),FALSE)/HLOOKUP(2018,DEMANDS!$G$2:$CK$25,MATCH($E158,DEMANDS!$E$2:$E$25,0),FALSE)</f>
        <v>0.15966386336788704</v>
      </c>
      <c r="K158" s="18">
        <f>HLOOKUP(REG_TRA_DEMANDS!K$3,'BY-Demands'!$J$5:$AK$14,MATCH($E158,'BY-Demands'!$I$5:$I$14,0),FALSE)*HLOOKUP(REG_TRA_DEMANDS!$F158,DEMANDS!$G$2:$CK$25,MATCH($E158,DEMANDS!$E$2:$E$25,0),FALSE)/HLOOKUP(2018,DEMANDS!$G$2:$CK$25,MATCH($E158,DEMANDS!$E$2:$E$25,0),FALSE)</f>
        <v>0.13627711056584502</v>
      </c>
      <c r="L158" s="18">
        <f>HLOOKUP(REG_TRA_DEMANDS!L$3,'BY-Demands'!$J$5:$AK$14,MATCH($E158,'BY-Demands'!$I$5:$I$14,0),FALSE)*HLOOKUP(REG_TRA_DEMANDS!$F158,DEMANDS!$G$2:$CK$25,MATCH($E158,DEMANDS!$E$2:$E$25,0),FALSE)/HLOOKUP(2018,DEMANDS!$G$2:$CK$25,MATCH($E158,DEMANDS!$E$2:$E$25,0),FALSE)</f>
        <v>0.065764482096860283</v>
      </c>
      <c r="M158" s="18">
        <f>HLOOKUP(REG_TRA_DEMANDS!M$3,'BY-Demands'!$J$5:$AK$14,MATCH($E158,'BY-Demands'!$I$5:$I$14,0),FALSE)*HLOOKUP(REG_TRA_DEMANDS!$F158,DEMANDS!$G$2:$CK$25,MATCH($E158,DEMANDS!$E$2:$E$25,0),FALSE)/HLOOKUP(2018,DEMANDS!$G$2:$CK$25,MATCH($E158,DEMANDS!$E$2:$E$25,0),FALSE)</f>
        <v>0.20737380448148546</v>
      </c>
      <c r="N158" s="18">
        <f>HLOOKUP(REG_TRA_DEMANDS!N$3,'BY-Demands'!$J$5:$AK$14,MATCH($E158,'BY-Demands'!$I$5:$I$14,0),FALSE)*HLOOKUP(REG_TRA_DEMANDS!$F158,DEMANDS!$G$2:$CK$25,MATCH($E158,DEMANDS!$E$2:$E$25,0),FALSE)/HLOOKUP(2018,DEMANDS!$G$2:$CK$25,MATCH($E158,DEMANDS!$E$2:$E$25,0),FALSE)</f>
        <v>0.31382496137058841</v>
      </c>
      <c r="O158" s="18">
        <f>HLOOKUP(REG_TRA_DEMANDS!O$3,'BY-Demands'!$J$5:$AK$14,MATCH($E158,'BY-Demands'!$I$5:$I$14,0),FALSE)*HLOOKUP(REG_TRA_DEMANDS!$F158,DEMANDS!$G$2:$CK$25,MATCH($E158,DEMANDS!$E$2:$E$25,0),FALSE)/HLOOKUP(2018,DEMANDS!$G$2:$CK$25,MATCH($E158,DEMANDS!$E$2:$E$25,0),FALSE)</f>
        <v>0.12543891539043697</v>
      </c>
      <c r="P158" s="18">
        <f>HLOOKUP(REG_TRA_DEMANDS!P$3,'BY-Demands'!$J$5:$AK$14,MATCH($E158,'BY-Demands'!$I$5:$I$14,0),FALSE)*HLOOKUP(REG_TRA_DEMANDS!$F158,DEMANDS!$G$2:$CK$25,MATCH($E158,DEMANDS!$E$2:$E$25,0),FALSE)/HLOOKUP(2018,DEMANDS!$G$2:$CK$25,MATCH($E158,DEMANDS!$E$2:$E$25,0),FALSE)</f>
        <v>0.14283055013672349</v>
      </c>
      <c r="Q158" s="18">
        <f>HLOOKUP(REG_TRA_DEMANDS!Q$3,'BY-Demands'!$J$5:$AK$14,MATCH($E158,'BY-Demands'!$I$5:$I$14,0),FALSE)*HLOOKUP(REG_TRA_DEMANDS!$F158,DEMANDS!$G$2:$CK$25,MATCH($E158,DEMANDS!$E$2:$E$25,0),FALSE)/HLOOKUP(2018,DEMANDS!$G$2:$CK$25,MATCH($E158,DEMANDS!$E$2:$E$25,0),FALSE)</f>
        <v>0.2409020573118234</v>
      </c>
      <c r="R158" s="18">
        <f>HLOOKUP(REG_TRA_DEMANDS!R$3,'BY-Demands'!$J$5:$AK$14,MATCH($E158,'BY-Demands'!$I$5:$I$14,0),FALSE)*HLOOKUP(REG_TRA_DEMANDS!$F158,DEMANDS!$G$2:$CK$25,MATCH($E158,DEMANDS!$E$2:$E$25,0),FALSE)/HLOOKUP(2018,DEMANDS!$G$2:$CK$25,MATCH($E158,DEMANDS!$E$2:$E$25,0),FALSE)</f>
        <v>0.22916121553703747</v>
      </c>
      <c r="S158" s="18">
        <f>HLOOKUP(REG_TRA_DEMANDS!S$3,'BY-Demands'!$J$5:$AK$14,MATCH($E158,'BY-Demands'!$I$5:$I$14,0),FALSE)*HLOOKUP(REG_TRA_DEMANDS!$F158,DEMANDS!$G$2:$CK$25,MATCH($E158,DEMANDS!$E$2:$E$25,0),FALSE)/HLOOKUP(2018,DEMANDS!$G$2:$CK$25,MATCH($E158,DEMANDS!$E$2:$E$25,0),FALSE)</f>
        <v>0.19117604456004353</v>
      </c>
      <c r="T158" s="18">
        <f>HLOOKUP(REG_TRA_DEMANDS!T$3,'BY-Demands'!$J$5:$AK$14,MATCH($E158,'BY-Demands'!$I$5:$I$14,0),FALSE)*HLOOKUP(REG_TRA_DEMANDS!$F158,DEMANDS!$G$2:$CK$25,MATCH($E158,DEMANDS!$E$2:$E$25,0),FALSE)/HLOOKUP(2018,DEMANDS!$G$2:$CK$25,MATCH($E158,DEMANDS!$E$2:$E$25,0),FALSE)</f>
        <v>0.87347228896724982</v>
      </c>
      <c r="U158" s="18">
        <f>HLOOKUP(REG_TRA_DEMANDS!U$3,'BY-Demands'!$J$5:$AK$14,MATCH($E158,'BY-Demands'!$I$5:$I$14,0),FALSE)*HLOOKUP(REG_TRA_DEMANDS!$F158,DEMANDS!$G$2:$CK$25,MATCH($E158,DEMANDS!$E$2:$E$25,0),FALSE)/HLOOKUP(2018,DEMANDS!$G$2:$CK$25,MATCH($E158,DEMANDS!$E$2:$E$25,0),FALSE)</f>
        <v>0.23765993093438129</v>
      </c>
      <c r="V158" s="18">
        <f>HLOOKUP(REG_TRA_DEMANDS!V$3,'BY-Demands'!$J$5:$AK$14,MATCH($E158,'BY-Demands'!$I$5:$I$14,0),FALSE)*HLOOKUP(REG_TRA_DEMANDS!$F158,DEMANDS!$G$2:$CK$25,MATCH($E158,DEMANDS!$E$2:$E$25,0),FALSE)/HLOOKUP(2018,DEMANDS!$G$2:$CK$25,MATCH($E158,DEMANDS!$E$2:$E$25,0),FALSE)</f>
        <v>0.31359165699107039</v>
      </c>
      <c r="W158" s="18">
        <f>HLOOKUP(REG_TRA_DEMANDS!W$3,'BY-Demands'!$J$5:$AK$14,MATCH($E158,'BY-Demands'!$I$5:$I$14,0),FALSE)*HLOOKUP(REG_TRA_DEMANDS!$F158,DEMANDS!$G$2:$CK$25,MATCH($E158,DEMANDS!$E$2:$E$25,0),FALSE)/HLOOKUP(2018,DEMANDS!$G$2:$CK$25,MATCH($E158,DEMANDS!$E$2:$E$25,0),FALSE)</f>
        <v>0.25672009424315129</v>
      </c>
      <c r="X158" s="18">
        <f>HLOOKUP(REG_TRA_DEMANDS!X$3,'BY-Demands'!$J$5:$AK$14,MATCH($E158,'BY-Demands'!$I$5:$I$14,0),FALSE)*HLOOKUP(REG_TRA_DEMANDS!$F158,DEMANDS!$G$2:$CK$25,MATCH($E158,DEMANDS!$E$2:$E$25,0),FALSE)/HLOOKUP(2018,DEMANDS!$G$2:$CK$25,MATCH($E158,DEMANDS!$E$2:$E$25,0),FALSE)</f>
        <v>0.18692668686137184</v>
      </c>
      <c r="Y158" s="18">
        <f>HLOOKUP(REG_TRA_DEMANDS!Y$3,'BY-Demands'!$J$5:$AK$14,MATCH($E158,'BY-Demands'!$I$5:$I$14,0),FALSE)*HLOOKUP(REG_TRA_DEMANDS!$F158,DEMANDS!$G$2:$CK$25,MATCH($E158,DEMANDS!$E$2:$E$25,0),FALSE)/HLOOKUP(2018,DEMANDS!$G$2:$CK$25,MATCH($E158,DEMANDS!$E$2:$E$25,0),FALSE)</f>
        <v>0.41521421772200701</v>
      </c>
      <c r="Z158" s="18">
        <f>HLOOKUP(REG_TRA_DEMANDS!Z$3,'BY-Demands'!$J$5:$AK$14,MATCH($E158,'BY-Demands'!$I$5:$I$14,0),FALSE)*HLOOKUP(REG_TRA_DEMANDS!$F158,DEMANDS!$G$2:$CK$25,MATCH($E158,DEMANDS!$E$2:$E$25,0),FALSE)/HLOOKUP(2018,DEMANDS!$G$2:$CK$25,MATCH($E158,DEMANDS!$E$2:$E$25,0),FALSE)</f>
        <v>0.051558658877787253</v>
      </c>
      <c r="AA158" s="18">
        <f>HLOOKUP(REG_TRA_DEMANDS!AA$3,'BY-Demands'!$J$5:$AK$14,MATCH($E158,'BY-Demands'!$I$5:$I$14,0),FALSE)*HLOOKUP(REG_TRA_DEMANDS!$F158,DEMANDS!$G$2:$CK$25,MATCH($E158,DEMANDS!$E$2:$E$25,0),FALSE)/HLOOKUP(2018,DEMANDS!$G$2:$CK$25,MATCH($E158,DEMANDS!$E$2:$E$25,0),FALSE)</f>
        <v>0.20998520453636768</v>
      </c>
      <c r="AB158" s="18">
        <f>HLOOKUP(REG_TRA_DEMANDS!AB$3,'BY-Demands'!$J$5:$AK$14,MATCH($E158,'BY-Demands'!$I$5:$I$14,0),FALSE)*HLOOKUP(REG_TRA_DEMANDS!$F158,DEMANDS!$G$2:$CK$25,MATCH($E158,DEMANDS!$E$2:$E$25,0),FALSE)/HLOOKUP(2018,DEMANDS!$G$2:$CK$25,MATCH($E158,DEMANDS!$E$2:$E$25,0),FALSE)</f>
        <v>0.10385101980426581</v>
      </c>
      <c r="AC158" s="18">
        <f>HLOOKUP(REG_TRA_DEMANDS!AC$3,'BY-Demands'!$J$5:$AK$14,MATCH($E158,'BY-Demands'!$I$5:$I$14,0),FALSE)*HLOOKUP(REG_TRA_DEMANDS!$F158,DEMANDS!$G$2:$CK$25,MATCH($E158,DEMANDS!$E$2:$E$25,0),FALSE)/HLOOKUP(2018,DEMANDS!$G$2:$CK$25,MATCH($E158,DEMANDS!$E$2:$E$25,0),FALSE)</f>
        <v>0.10544553456359325</v>
      </c>
      <c r="AD158" s="18">
        <f>HLOOKUP(REG_TRA_DEMANDS!AD$3,'BY-Demands'!$J$5:$AK$14,MATCH($E158,'BY-Demands'!$I$5:$I$14,0),FALSE)*HLOOKUP(REG_TRA_DEMANDS!$F158,DEMANDS!$G$2:$CK$25,MATCH($E158,DEMANDS!$E$2:$E$25,0),FALSE)/HLOOKUP(2018,DEMANDS!$G$2:$CK$25,MATCH($E158,DEMANDS!$E$2:$E$25,0),FALSE)</f>
        <v>0.12256685802878275</v>
      </c>
      <c r="AE158" s="18">
        <f>HLOOKUP(REG_TRA_DEMANDS!AE$3,'BY-Demands'!$J$5:$AK$14,MATCH($E158,'BY-Demands'!$I$5:$I$14,0),FALSE)*HLOOKUP(REG_TRA_DEMANDS!$F158,DEMANDS!$G$2:$CK$25,MATCH($E158,DEMANDS!$E$2:$E$25,0),FALSE)/HLOOKUP(2018,DEMANDS!$G$2:$CK$25,MATCH($E158,DEMANDS!$E$2:$E$25,0),FALSE)</f>
        <v>0.25613924678793809</v>
      </c>
      <c r="AF158" s="18">
        <f>HLOOKUP(REG_TRA_DEMANDS!AF$3,'BY-Demands'!$J$5:$AK$14,MATCH($E158,'BY-Demands'!$I$5:$I$14,0),FALSE)*HLOOKUP(REG_TRA_DEMANDS!$F158,DEMANDS!$G$2:$CK$25,MATCH($E158,DEMANDS!$E$2:$E$25,0),FALSE)/HLOOKUP(2018,DEMANDS!$G$2:$CK$25,MATCH($E158,DEMANDS!$E$2:$E$25,0),FALSE)</f>
        <v>0.098769811317932873</v>
      </c>
    </row>
    <row r="159" spans="4:32" ht="14.4">
      <c r="D159" t="s">
        <v>6</v>
      </c>
      <c r="E159" t="str">
        <f>DEMANDS!$E$22</f>
        <v>TNAV</v>
      </c>
      <c r="F159">
        <v>2040</v>
      </c>
      <c r="G159" s="18">
        <f>HLOOKUP(REG_TRA_DEMANDS!G$3,'BY-Demands'!$J$5:$AK$14,MATCH($E159,'BY-Demands'!$I$5:$I$14,0),FALSE)*HLOOKUP(REG_TRA_DEMANDS!$F159,DEMANDS!$G$2:$CK$25,MATCH($E159,DEMANDS!$E$2:$E$25,0),FALSE)/HLOOKUP(2018,DEMANDS!$G$2:$CK$25,MATCH($E159,DEMANDS!$E$2:$E$25,0),FALSE)</f>
        <v>0.093941042041646661</v>
      </c>
      <c r="H159" s="18">
        <f>HLOOKUP(REG_TRA_DEMANDS!H$3,'BY-Demands'!$J$5:$AK$14,MATCH($E159,'BY-Demands'!$I$5:$I$14,0),FALSE)*HLOOKUP(REG_TRA_DEMANDS!$F159,DEMANDS!$G$2:$CK$25,MATCH($E159,DEMANDS!$E$2:$E$25,0),FALSE)/HLOOKUP(2018,DEMANDS!$G$2:$CK$25,MATCH($E159,DEMANDS!$E$2:$E$25,0),FALSE)</f>
        <v>2.2232190765156914</v>
      </c>
      <c r="I159" s="18">
        <f>HLOOKUP(REG_TRA_DEMANDS!I$3,'BY-Demands'!$J$5:$AK$14,MATCH($E159,'BY-Demands'!$I$5:$I$14,0),FALSE)*HLOOKUP(REG_TRA_DEMANDS!$F159,DEMANDS!$G$2:$CK$25,MATCH($E159,DEMANDS!$E$2:$E$25,0),FALSE)/HLOOKUP(2018,DEMANDS!$G$2:$CK$25,MATCH($E159,DEMANDS!$E$2:$E$25,0),FALSE)</f>
        <v>0.36714427068141908</v>
      </c>
      <c r="J159" s="18">
        <f>HLOOKUP(REG_TRA_DEMANDS!J$3,'BY-Demands'!$J$5:$AK$14,MATCH($E159,'BY-Demands'!$I$5:$I$14,0),FALSE)*HLOOKUP(REG_TRA_DEMANDS!$F159,DEMANDS!$G$2:$CK$25,MATCH($E159,DEMANDS!$E$2:$E$25,0),FALSE)/HLOOKUP(2018,DEMANDS!$G$2:$CK$25,MATCH($E159,DEMANDS!$E$2:$E$25,0),FALSE)</f>
        <v>0.16373845085148392</v>
      </c>
      <c r="K159" s="18">
        <f>HLOOKUP(REG_TRA_DEMANDS!K$3,'BY-Demands'!$J$5:$AK$14,MATCH($E159,'BY-Demands'!$I$5:$I$14,0),FALSE)*HLOOKUP(REG_TRA_DEMANDS!$F159,DEMANDS!$G$2:$CK$25,MATCH($E159,DEMANDS!$E$2:$E$25,0),FALSE)/HLOOKUP(2018,DEMANDS!$G$2:$CK$25,MATCH($E159,DEMANDS!$E$2:$E$25,0),FALSE)</f>
        <v>0.13975487314342289</v>
      </c>
      <c r="L159" s="18">
        <f>HLOOKUP(REG_TRA_DEMANDS!L$3,'BY-Demands'!$J$5:$AK$14,MATCH($E159,'BY-Demands'!$I$5:$I$14,0),FALSE)*HLOOKUP(REG_TRA_DEMANDS!$F159,DEMANDS!$G$2:$CK$25,MATCH($E159,DEMANDS!$E$2:$E$25,0),FALSE)/HLOOKUP(2018,DEMANDS!$G$2:$CK$25,MATCH($E159,DEMANDS!$E$2:$E$25,0),FALSE)</f>
        <v>0.067442777548096342</v>
      </c>
      <c r="M159" s="18">
        <f>HLOOKUP(REG_TRA_DEMANDS!M$3,'BY-Demands'!$J$5:$AK$14,MATCH($E159,'BY-Demands'!$I$5:$I$14,0),FALSE)*HLOOKUP(REG_TRA_DEMANDS!$F159,DEMANDS!$G$2:$CK$25,MATCH($E159,DEMANDS!$E$2:$E$25,0),FALSE)/HLOOKUP(2018,DEMANDS!$G$2:$CK$25,MATCH($E159,DEMANDS!$E$2:$E$25,0),FALSE)</f>
        <v>0.21266593941009621</v>
      </c>
      <c r="N159" s="18">
        <f>HLOOKUP(REG_TRA_DEMANDS!N$3,'BY-Demands'!$J$5:$AK$14,MATCH($E159,'BY-Demands'!$I$5:$I$14,0),FALSE)*HLOOKUP(REG_TRA_DEMANDS!$F159,DEMANDS!$G$2:$CK$25,MATCH($E159,DEMANDS!$E$2:$E$25,0),FALSE)/HLOOKUP(2018,DEMANDS!$G$2:$CK$25,MATCH($E159,DEMANDS!$E$2:$E$25,0),FALSE)</f>
        <v>0.32183370694813068</v>
      </c>
      <c r="O159" s="18">
        <f>HLOOKUP(REG_TRA_DEMANDS!O$3,'BY-Demands'!$J$5:$AK$14,MATCH($E159,'BY-Demands'!$I$5:$I$14,0),FALSE)*HLOOKUP(REG_TRA_DEMANDS!$F159,DEMANDS!$G$2:$CK$25,MATCH($E159,DEMANDS!$E$2:$E$25,0),FALSE)/HLOOKUP(2018,DEMANDS!$G$2:$CK$25,MATCH($E159,DEMANDS!$E$2:$E$25,0),FALSE)</f>
        <v>0.12864008955611639</v>
      </c>
      <c r="P159" s="18">
        <f>HLOOKUP(REG_TRA_DEMANDS!P$3,'BY-Demands'!$J$5:$AK$14,MATCH($E159,'BY-Demands'!$I$5:$I$14,0),FALSE)*HLOOKUP(REG_TRA_DEMANDS!$F159,DEMANDS!$G$2:$CK$25,MATCH($E159,DEMANDS!$E$2:$E$25,0),FALSE)/HLOOKUP(2018,DEMANDS!$G$2:$CK$25,MATCH($E159,DEMANDS!$E$2:$E$25,0),FALSE)</f>
        <v>0.14647555508390686</v>
      </c>
      <c r="Q159" s="18">
        <f>HLOOKUP(REG_TRA_DEMANDS!Q$3,'BY-Demands'!$J$5:$AK$14,MATCH($E159,'BY-Demands'!$I$5:$I$14,0),FALSE)*HLOOKUP(REG_TRA_DEMANDS!$F159,DEMANDS!$G$2:$CK$25,MATCH($E159,DEMANDS!$E$2:$E$25,0),FALSE)/HLOOKUP(2018,DEMANDS!$G$2:$CK$25,MATCH($E159,DEMANDS!$E$2:$E$25,0),FALSE)</f>
        <v>0.24704982604790748</v>
      </c>
      <c r="R159" s="18">
        <f>HLOOKUP(REG_TRA_DEMANDS!R$3,'BY-Demands'!$J$5:$AK$14,MATCH($E159,'BY-Demands'!$I$5:$I$14,0),FALSE)*HLOOKUP(REG_TRA_DEMANDS!$F159,DEMANDS!$G$2:$CK$25,MATCH($E159,DEMANDS!$E$2:$E$25,0),FALSE)/HLOOKUP(2018,DEMANDS!$G$2:$CK$25,MATCH($E159,DEMANDS!$E$2:$E$25,0),FALSE)</f>
        <v>0.23500936051397323</v>
      </c>
      <c r="S159" s="18">
        <f>HLOOKUP(REG_TRA_DEMANDS!S$3,'BY-Demands'!$J$5:$AK$14,MATCH($E159,'BY-Demands'!$I$5:$I$14,0),FALSE)*HLOOKUP(REG_TRA_DEMANDS!$F159,DEMANDS!$G$2:$CK$25,MATCH($E159,DEMANDS!$E$2:$E$25,0),FALSE)/HLOOKUP(2018,DEMANDS!$G$2:$CK$25,MATCH($E159,DEMANDS!$E$2:$E$25,0),FALSE)</f>
        <v>0.19605481613613324</v>
      </c>
      <c r="T159" s="18">
        <f>HLOOKUP(REG_TRA_DEMANDS!T$3,'BY-Demands'!$J$5:$AK$14,MATCH($E159,'BY-Demands'!$I$5:$I$14,0),FALSE)*HLOOKUP(REG_TRA_DEMANDS!$F159,DEMANDS!$G$2:$CK$25,MATCH($E159,DEMANDS!$E$2:$E$25,0),FALSE)/HLOOKUP(2018,DEMANDS!$G$2:$CK$25,MATCH($E159,DEMANDS!$E$2:$E$25,0),FALSE)</f>
        <v>0.89576311408460396</v>
      </c>
      <c r="U159" s="18">
        <f>HLOOKUP(REG_TRA_DEMANDS!U$3,'BY-Demands'!$J$5:$AK$14,MATCH($E159,'BY-Demands'!$I$5:$I$14,0),FALSE)*HLOOKUP(REG_TRA_DEMANDS!$F159,DEMANDS!$G$2:$CK$25,MATCH($E159,DEMANDS!$E$2:$E$25,0),FALSE)/HLOOKUP(2018,DEMANDS!$G$2:$CK$25,MATCH($E159,DEMANDS!$E$2:$E$25,0),FALSE)</f>
        <v>0.24372496130200105</v>
      </c>
      <c r="V159" s="18">
        <f>HLOOKUP(REG_TRA_DEMANDS!V$3,'BY-Demands'!$J$5:$AK$14,MATCH($E159,'BY-Demands'!$I$5:$I$14,0),FALSE)*HLOOKUP(REG_TRA_DEMANDS!$F159,DEMANDS!$G$2:$CK$25,MATCH($E159,DEMANDS!$E$2:$E$25,0),FALSE)/HLOOKUP(2018,DEMANDS!$G$2:$CK$25,MATCH($E159,DEMANDS!$E$2:$E$25,0),FALSE)</f>
        <v>0.32159444869098125</v>
      </c>
      <c r="W159" s="18">
        <f>HLOOKUP(REG_TRA_DEMANDS!W$3,'BY-Demands'!$J$5:$AK$14,MATCH($E159,'BY-Demands'!$I$5:$I$14,0),FALSE)*HLOOKUP(REG_TRA_DEMANDS!$F159,DEMANDS!$G$2:$CK$25,MATCH($E159,DEMANDS!$E$2:$E$25,0),FALSE)/HLOOKUP(2018,DEMANDS!$G$2:$CK$25,MATCH($E159,DEMANDS!$E$2:$E$25,0),FALSE)</f>
        <v>0.26327153588264596</v>
      </c>
      <c r="X159" s="18">
        <f>HLOOKUP(REG_TRA_DEMANDS!X$3,'BY-Demands'!$J$5:$AK$14,MATCH($E159,'BY-Demands'!$I$5:$I$14,0),FALSE)*HLOOKUP(REG_TRA_DEMANDS!$F159,DEMANDS!$G$2:$CK$25,MATCH($E159,DEMANDS!$E$2:$E$25,0),FALSE)/HLOOKUP(2018,DEMANDS!$G$2:$CK$25,MATCH($E159,DEMANDS!$E$2:$E$25,0),FALSE)</f>
        <v>0.1916970157421195</v>
      </c>
      <c r="Y159" s="18">
        <f>HLOOKUP(REG_TRA_DEMANDS!Y$3,'BY-Demands'!$J$5:$AK$14,MATCH($E159,'BY-Demands'!$I$5:$I$14,0),FALSE)*HLOOKUP(REG_TRA_DEMANDS!$F159,DEMANDS!$G$2:$CK$25,MATCH($E159,DEMANDS!$E$2:$E$25,0),FALSE)/HLOOKUP(2018,DEMANDS!$G$2:$CK$25,MATCH($E159,DEMANDS!$E$2:$E$25,0),FALSE)</f>
        <v>0.42581039533449128</v>
      </c>
      <c r="Z159" s="18">
        <f>HLOOKUP(REG_TRA_DEMANDS!Z$3,'BY-Demands'!$J$5:$AK$14,MATCH($E159,'BY-Demands'!$I$5:$I$14,0),FALSE)*HLOOKUP(REG_TRA_DEMANDS!$F159,DEMANDS!$G$2:$CK$25,MATCH($E159,DEMANDS!$E$2:$E$25,0),FALSE)/HLOOKUP(2018,DEMANDS!$G$2:$CK$25,MATCH($E159,DEMANDS!$E$2:$E$25,0),FALSE)</f>
        <v>0.052874424773107102</v>
      </c>
      <c r="AA159" s="18">
        <f>HLOOKUP(REG_TRA_DEMANDS!AA$3,'BY-Demands'!$J$5:$AK$14,MATCH($E159,'BY-Demands'!$I$5:$I$14,0),FALSE)*HLOOKUP(REG_TRA_DEMANDS!$F159,DEMANDS!$G$2:$CK$25,MATCH($E159,DEMANDS!$E$2:$E$25,0),FALSE)/HLOOKUP(2018,DEMANDS!$G$2:$CK$25,MATCH($E159,DEMANDS!$E$2:$E$25,0),FALSE)</f>
        <v>0.21534398183322534</v>
      </c>
      <c r="AB159" s="18">
        <f>HLOOKUP(REG_TRA_DEMANDS!AB$3,'BY-Demands'!$J$5:$AK$14,MATCH($E159,'BY-Demands'!$I$5:$I$14,0),FALSE)*HLOOKUP(REG_TRA_DEMANDS!$F159,DEMANDS!$G$2:$CK$25,MATCH($E159,DEMANDS!$E$2:$E$25,0),FALSE)/HLOOKUP(2018,DEMANDS!$G$2:$CK$25,MATCH($E159,DEMANDS!$E$2:$E$25,0),FALSE)</f>
        <v>0.10650127551352571</v>
      </c>
      <c r="AC159" s="18">
        <f>HLOOKUP(REG_TRA_DEMANDS!AC$3,'BY-Demands'!$J$5:$AK$14,MATCH($E159,'BY-Demands'!$I$5:$I$14,0),FALSE)*HLOOKUP(REG_TRA_DEMANDS!$F159,DEMANDS!$G$2:$CK$25,MATCH($E159,DEMANDS!$E$2:$E$25,0),FALSE)/HLOOKUP(2018,DEMANDS!$G$2:$CK$25,MATCH($E159,DEMANDS!$E$2:$E$25,0),FALSE)</f>
        <v>0.10813648194687206</v>
      </c>
      <c r="AD159" s="18">
        <f>HLOOKUP(REG_TRA_DEMANDS!AD$3,'BY-Demands'!$J$5:$AK$14,MATCH($E159,'BY-Demands'!$I$5:$I$14,0),FALSE)*HLOOKUP(REG_TRA_DEMANDS!$F159,DEMANDS!$G$2:$CK$25,MATCH($E159,DEMANDS!$E$2:$E$25,0),FALSE)/HLOOKUP(2018,DEMANDS!$G$2:$CK$25,MATCH($E159,DEMANDS!$E$2:$E$25,0),FALSE)</f>
        <v>0.12569473790775804</v>
      </c>
      <c r="AE159" s="18">
        <f>HLOOKUP(REG_TRA_DEMANDS!AE$3,'BY-Demands'!$J$5:$AK$14,MATCH($E159,'BY-Demands'!$I$5:$I$14,0),FALSE)*HLOOKUP(REG_TRA_DEMANDS!$F159,DEMANDS!$G$2:$CK$25,MATCH($E159,DEMANDS!$E$2:$E$25,0),FALSE)/HLOOKUP(2018,DEMANDS!$G$2:$CK$25,MATCH($E159,DEMANDS!$E$2:$E$25,0),FALSE)</f>
        <v>0.26267586532519177</v>
      </c>
      <c r="AF159" s="18">
        <f>HLOOKUP(REG_TRA_DEMANDS!AF$3,'BY-Demands'!$J$5:$AK$14,MATCH($E159,'BY-Demands'!$I$5:$I$14,0),FALSE)*HLOOKUP(REG_TRA_DEMANDS!$F159,DEMANDS!$G$2:$CK$25,MATCH($E159,DEMANDS!$E$2:$E$25,0),FALSE)/HLOOKUP(2018,DEMANDS!$G$2:$CK$25,MATCH($E159,DEMANDS!$E$2:$E$25,0),FALSE)</f>
        <v>0.10129039567850284</v>
      </c>
    </row>
    <row r="160" spans="4:32" ht="14.4">
      <c r="D160" t="s">
        <v>6</v>
      </c>
      <c r="E160" t="str">
        <f>DEMANDS!$E$22</f>
        <v>TNAV</v>
      </c>
      <c r="F160">
        <v>2045</v>
      </c>
      <c r="G160" s="18">
        <f>HLOOKUP(REG_TRA_DEMANDS!G$3,'BY-Demands'!$J$5:$AK$14,MATCH($E160,'BY-Demands'!$I$5:$I$14,0),FALSE)*HLOOKUP(REG_TRA_DEMANDS!$F160,DEMANDS!$G$2:$CK$25,MATCH($E160,DEMANDS!$E$2:$E$25,0),FALSE)/HLOOKUP(2018,DEMANDS!$G$2:$CK$25,MATCH($E160,DEMANDS!$E$2:$E$25,0),FALSE)</f>
        <v>0.10621861626141103</v>
      </c>
      <c r="H160" s="18">
        <f>HLOOKUP(REG_TRA_DEMANDS!H$3,'BY-Demands'!$J$5:$AK$14,MATCH($E160,'BY-Demands'!$I$5:$I$14,0),FALSE)*HLOOKUP(REG_TRA_DEMANDS!$F160,DEMANDS!$G$2:$CK$25,MATCH($E160,DEMANDS!$E$2:$E$25,0),FALSE)/HLOOKUP(2018,DEMANDS!$G$2:$CK$25,MATCH($E160,DEMANDS!$E$2:$E$25,0),FALSE)</f>
        <v>2.5137815040286462</v>
      </c>
      <c r="I160" s="18">
        <f>HLOOKUP(REG_TRA_DEMANDS!I$3,'BY-Demands'!$J$5:$AK$14,MATCH($E160,'BY-Demands'!$I$5:$I$14,0),FALSE)*HLOOKUP(REG_TRA_DEMANDS!$F160,DEMANDS!$G$2:$CK$25,MATCH($E160,DEMANDS!$E$2:$E$25,0),FALSE)/HLOOKUP(2018,DEMANDS!$G$2:$CK$25,MATCH($E160,DEMANDS!$E$2:$E$25,0),FALSE)</f>
        <v>0.41512799467134481</v>
      </c>
      <c r="J160" s="18">
        <f>HLOOKUP(REG_TRA_DEMANDS!J$3,'BY-Demands'!$J$5:$AK$14,MATCH($E160,'BY-Demands'!$I$5:$I$14,0),FALSE)*HLOOKUP(REG_TRA_DEMANDS!$F160,DEMANDS!$G$2:$CK$25,MATCH($E160,DEMANDS!$E$2:$E$25,0),FALSE)/HLOOKUP(2018,DEMANDS!$G$2:$CK$25,MATCH($E160,DEMANDS!$E$2:$E$25,0),FALSE)</f>
        <v>0.18513816006555789</v>
      </c>
      <c r="K160" s="18">
        <f>HLOOKUP(REG_TRA_DEMANDS!K$3,'BY-Demands'!$J$5:$AK$14,MATCH($E160,'BY-Demands'!$I$5:$I$14,0),FALSE)*HLOOKUP(REG_TRA_DEMANDS!$F160,DEMANDS!$G$2:$CK$25,MATCH($E160,DEMANDS!$E$2:$E$25,0),FALSE)/HLOOKUP(2018,DEMANDS!$G$2:$CK$25,MATCH($E160,DEMANDS!$E$2:$E$25,0),FALSE)</f>
        <v>0.15802006150306919</v>
      </c>
      <c r="L160" s="18">
        <f>HLOOKUP(REG_TRA_DEMANDS!L$3,'BY-Demands'!$J$5:$AK$14,MATCH($E160,'BY-Demands'!$I$5:$I$14,0),FALSE)*HLOOKUP(REG_TRA_DEMANDS!$F160,DEMANDS!$G$2:$CK$25,MATCH($E160,DEMANDS!$E$2:$E$25,0),FALSE)/HLOOKUP(2018,DEMANDS!$G$2:$CK$25,MATCH($E160,DEMANDS!$E$2:$E$25,0),FALSE)</f>
        <v>0.076257175269666425</v>
      </c>
      <c r="M160" s="18">
        <f>HLOOKUP(REG_TRA_DEMANDS!M$3,'BY-Demands'!$J$5:$AK$14,MATCH($E160,'BY-Demands'!$I$5:$I$14,0),FALSE)*HLOOKUP(REG_TRA_DEMANDS!$F160,DEMANDS!$G$2:$CK$25,MATCH($E160,DEMANDS!$E$2:$E$25,0),FALSE)/HLOOKUP(2018,DEMANDS!$G$2:$CK$25,MATCH($E160,DEMANDS!$E$2:$E$25,0),FALSE)</f>
        <v>0.24046020055918832</v>
      </c>
      <c r="N160" s="18">
        <f>HLOOKUP(REG_TRA_DEMANDS!N$3,'BY-Demands'!$J$5:$AK$14,MATCH($E160,'BY-Demands'!$I$5:$I$14,0),FALSE)*HLOOKUP(REG_TRA_DEMANDS!$F160,DEMANDS!$G$2:$CK$25,MATCH($E160,DEMANDS!$E$2:$E$25,0),FALSE)/HLOOKUP(2018,DEMANDS!$G$2:$CK$25,MATCH($E160,DEMANDS!$E$2:$E$25,0),FALSE)</f>
        <v>0.36389559105758984</v>
      </c>
      <c r="O160" s="18">
        <f>HLOOKUP(REG_TRA_DEMANDS!O$3,'BY-Demands'!$J$5:$AK$14,MATCH($E160,'BY-Demands'!$I$5:$I$14,0),FALSE)*HLOOKUP(REG_TRA_DEMANDS!$F160,DEMANDS!$G$2:$CK$25,MATCH($E160,DEMANDS!$E$2:$E$25,0),FALSE)/HLOOKUP(2018,DEMANDS!$G$2:$CK$25,MATCH($E160,DEMANDS!$E$2:$E$25,0),FALSE)</f>
        <v>0.14545263722257901</v>
      </c>
      <c r="P160" s="18">
        <f>HLOOKUP(REG_TRA_DEMANDS!P$3,'BY-Demands'!$J$5:$AK$14,MATCH($E160,'BY-Demands'!$I$5:$I$14,0),FALSE)*HLOOKUP(REG_TRA_DEMANDS!$F160,DEMANDS!$G$2:$CK$25,MATCH($E160,DEMANDS!$E$2:$E$25,0),FALSE)/HLOOKUP(2018,DEMANDS!$G$2:$CK$25,MATCH($E160,DEMANDS!$E$2:$E$25,0),FALSE)</f>
        <v>0.16561909937338348</v>
      </c>
      <c r="Q160" s="18">
        <f>HLOOKUP(REG_TRA_DEMANDS!Q$3,'BY-Demands'!$J$5:$AK$14,MATCH($E160,'BY-Demands'!$I$5:$I$14,0),FALSE)*HLOOKUP(REG_TRA_DEMANDS!$F160,DEMANDS!$G$2:$CK$25,MATCH($E160,DEMANDS!$E$2:$E$25,0),FALSE)/HLOOKUP(2018,DEMANDS!$G$2:$CK$25,MATCH($E160,DEMANDS!$E$2:$E$25,0),FALSE)</f>
        <v>0.2793378708615723</v>
      </c>
      <c r="R160" s="18">
        <f>HLOOKUP(REG_TRA_DEMANDS!R$3,'BY-Demands'!$J$5:$AK$14,MATCH($E160,'BY-Demands'!$I$5:$I$14,0),FALSE)*HLOOKUP(REG_TRA_DEMANDS!$F160,DEMANDS!$G$2:$CK$25,MATCH($E160,DEMANDS!$E$2:$E$25,0),FALSE)/HLOOKUP(2018,DEMANDS!$G$2:$CK$25,MATCH($E160,DEMANDS!$E$2:$E$25,0),FALSE)</f>
        <v>0.26572378312779216</v>
      </c>
      <c r="S160" s="18">
        <f>HLOOKUP(REG_TRA_DEMANDS!S$3,'BY-Demands'!$J$5:$AK$14,MATCH($E160,'BY-Demands'!$I$5:$I$14,0),FALSE)*HLOOKUP(REG_TRA_DEMANDS!$F160,DEMANDS!$G$2:$CK$25,MATCH($E160,DEMANDS!$E$2:$E$25,0),FALSE)/HLOOKUP(2018,DEMANDS!$G$2:$CK$25,MATCH($E160,DEMANDS!$E$2:$E$25,0),FALSE)</f>
        <v>0.22167809541790345</v>
      </c>
      <c r="T160" s="18">
        <f>HLOOKUP(REG_TRA_DEMANDS!T$3,'BY-Demands'!$J$5:$AK$14,MATCH($E160,'BY-Demands'!$I$5:$I$14,0),FALSE)*HLOOKUP(REG_TRA_DEMANDS!$F160,DEMANDS!$G$2:$CK$25,MATCH($E160,DEMANDS!$E$2:$E$25,0),FALSE)/HLOOKUP(2018,DEMANDS!$G$2:$CK$25,MATCH($E160,DEMANDS!$E$2:$E$25,0),FALSE)</f>
        <v>1.0128343949378156</v>
      </c>
      <c r="U160" s="18">
        <f>HLOOKUP(REG_TRA_DEMANDS!U$3,'BY-Demands'!$J$5:$AK$14,MATCH($E160,'BY-Demands'!$I$5:$I$14,0),FALSE)*HLOOKUP(REG_TRA_DEMANDS!$F160,DEMANDS!$G$2:$CK$25,MATCH($E160,DEMANDS!$E$2:$E$25,0),FALSE)/HLOOKUP(2018,DEMANDS!$G$2:$CK$25,MATCH($E160,DEMANDS!$E$2:$E$25,0),FALSE)</f>
        <v>0.27557846469690617</v>
      </c>
      <c r="V160" s="18">
        <f>HLOOKUP(REG_TRA_DEMANDS!V$3,'BY-Demands'!$J$5:$AK$14,MATCH($E160,'BY-Demands'!$I$5:$I$14,0),FALSE)*HLOOKUP(REG_TRA_DEMANDS!$F160,DEMANDS!$G$2:$CK$25,MATCH($E160,DEMANDS!$E$2:$E$25,0),FALSE)/HLOOKUP(2018,DEMANDS!$G$2:$CK$25,MATCH($E160,DEMANDS!$E$2:$E$25,0),FALSE)</f>
        <v>0.36362506307055448</v>
      </c>
      <c r="W160" s="18">
        <f>HLOOKUP(REG_TRA_DEMANDS!W$3,'BY-Demands'!$J$5:$AK$14,MATCH($E160,'BY-Demands'!$I$5:$I$14,0),FALSE)*HLOOKUP(REG_TRA_DEMANDS!$F160,DEMANDS!$G$2:$CK$25,MATCH($E160,DEMANDS!$E$2:$E$25,0),FALSE)/HLOOKUP(2018,DEMANDS!$G$2:$CK$25,MATCH($E160,DEMANDS!$E$2:$E$25,0),FALSE)</f>
        <v>0.2976796683825767</v>
      </c>
      <c r="X160" s="18">
        <f>HLOOKUP(REG_TRA_DEMANDS!X$3,'BY-Demands'!$J$5:$AK$14,MATCH($E160,'BY-Demands'!$I$5:$I$14,0),FALSE)*HLOOKUP(REG_TRA_DEMANDS!$F160,DEMANDS!$G$2:$CK$25,MATCH($E160,DEMANDS!$E$2:$E$25,0),FALSE)/HLOOKUP(2018,DEMANDS!$G$2:$CK$25,MATCH($E160,DEMANDS!$E$2:$E$25,0),FALSE)</f>
        <v>0.21675075463334667</v>
      </c>
      <c r="Y160" s="18">
        <f>HLOOKUP(REG_TRA_DEMANDS!Y$3,'BY-Demands'!$J$5:$AK$14,MATCH($E160,'BY-Demands'!$I$5:$I$14,0),FALSE)*HLOOKUP(REG_TRA_DEMANDS!$F160,DEMANDS!$G$2:$CK$25,MATCH($E160,DEMANDS!$E$2:$E$25,0),FALSE)/HLOOKUP(2018,DEMANDS!$G$2:$CK$25,MATCH($E160,DEMANDS!$E$2:$E$25,0),FALSE)</f>
        <v>0.48146145709244736</v>
      </c>
      <c r="Z160" s="18">
        <f>HLOOKUP(REG_TRA_DEMANDS!Z$3,'BY-Demands'!$J$5:$AK$14,MATCH($E160,'BY-Demands'!$I$5:$I$14,0),FALSE)*HLOOKUP(REG_TRA_DEMANDS!$F160,DEMANDS!$G$2:$CK$25,MATCH($E160,DEMANDS!$E$2:$E$25,0),FALSE)/HLOOKUP(2018,DEMANDS!$G$2:$CK$25,MATCH($E160,DEMANDS!$E$2:$E$25,0),FALSE)</f>
        <v>0.059784819424588347</v>
      </c>
      <c r="AA160" s="18">
        <f>HLOOKUP(REG_TRA_DEMANDS!AA$3,'BY-Demands'!$J$5:$AK$14,MATCH($E160,'BY-Demands'!$I$5:$I$14,0),FALSE)*HLOOKUP(REG_TRA_DEMANDS!$F160,DEMANDS!$G$2:$CK$25,MATCH($E160,DEMANDS!$E$2:$E$25,0),FALSE)/HLOOKUP(2018,DEMANDS!$G$2:$CK$25,MATCH($E160,DEMANDS!$E$2:$E$25,0),FALSE)</f>
        <v>0.24348824830373031</v>
      </c>
      <c r="AB160" s="18">
        <f>HLOOKUP(REG_TRA_DEMANDS!AB$3,'BY-Demands'!$J$5:$AK$14,MATCH($E160,'BY-Demands'!$I$5:$I$14,0),FALSE)*HLOOKUP(REG_TRA_DEMANDS!$F160,DEMANDS!$G$2:$CK$25,MATCH($E160,DEMANDS!$E$2:$E$25,0),FALSE)/HLOOKUP(2018,DEMANDS!$G$2:$CK$25,MATCH($E160,DEMANDS!$E$2:$E$25,0),FALSE)</f>
        <v>0.12042040272564668</v>
      </c>
      <c r="AC160" s="18">
        <f>HLOOKUP(REG_TRA_DEMANDS!AC$3,'BY-Demands'!$J$5:$AK$14,MATCH($E160,'BY-Demands'!$I$5:$I$14,0),FALSE)*HLOOKUP(REG_TRA_DEMANDS!$F160,DEMANDS!$G$2:$CK$25,MATCH($E160,DEMANDS!$E$2:$E$25,0),FALSE)/HLOOKUP(2018,DEMANDS!$G$2:$CK$25,MATCH($E160,DEMANDS!$E$2:$E$25,0),FALSE)</f>
        <v>0.12226932158876516</v>
      </c>
      <c r="AD160" s="18">
        <f>HLOOKUP(REG_TRA_DEMANDS!AD$3,'BY-Demands'!$J$5:$AK$14,MATCH($E160,'BY-Demands'!$I$5:$I$14,0),FALSE)*HLOOKUP(REG_TRA_DEMANDS!$F160,DEMANDS!$G$2:$CK$25,MATCH($E160,DEMANDS!$E$2:$E$25,0),FALSE)/HLOOKUP(2018,DEMANDS!$G$2:$CK$25,MATCH($E160,DEMANDS!$E$2:$E$25,0),FALSE)</f>
        <v>0.14212234441665939</v>
      </c>
      <c r="AE160" s="18">
        <f>HLOOKUP(REG_TRA_DEMANDS!AE$3,'BY-Demands'!$J$5:$AK$14,MATCH($E160,'BY-Demands'!$I$5:$I$14,0),FALSE)*HLOOKUP(REG_TRA_DEMANDS!$F160,DEMANDS!$G$2:$CK$25,MATCH($E160,DEMANDS!$E$2:$E$25,0),FALSE)/HLOOKUP(2018,DEMANDS!$G$2:$CK$25,MATCH($E160,DEMANDS!$E$2:$E$25,0),FALSE)</f>
        <v>0.2970061469803722</v>
      </c>
      <c r="AF160" s="18">
        <f>HLOOKUP(REG_TRA_DEMANDS!AF$3,'BY-Demands'!$J$5:$AK$14,MATCH($E160,'BY-Demands'!$I$5:$I$14,0),FALSE)*HLOOKUP(REG_TRA_DEMANDS!$F160,DEMANDS!$G$2:$CK$25,MATCH($E160,DEMANDS!$E$2:$E$25,0),FALSE)/HLOOKUP(2018,DEMANDS!$G$2:$CK$25,MATCH($E160,DEMANDS!$E$2:$E$25,0),FALSE)</f>
        <v>0.11452848973903919</v>
      </c>
    </row>
    <row r="161" spans="4:32" ht="14.4">
      <c r="D161" t="s">
        <v>6</v>
      </c>
      <c r="E161" t="str">
        <f>DEMANDS!$E$22</f>
        <v>TNAV</v>
      </c>
      <c r="F161">
        <v>2050</v>
      </c>
      <c r="G161" s="18">
        <f>HLOOKUP(REG_TRA_DEMANDS!G$3,'BY-Demands'!$J$5:$AK$14,MATCH($E161,'BY-Demands'!$I$5:$I$14,0),FALSE)*HLOOKUP(REG_TRA_DEMANDS!$F161,DEMANDS!$G$2:$CK$25,MATCH($E161,DEMANDS!$E$2:$E$25,0),FALSE)/HLOOKUP(2018,DEMANDS!$G$2:$CK$25,MATCH($E161,DEMANDS!$E$2:$E$25,0),FALSE)</f>
        <v>0.12002940589326376</v>
      </c>
      <c r="H161" s="18">
        <f>HLOOKUP(REG_TRA_DEMANDS!H$3,'BY-Demands'!$J$5:$AK$14,MATCH($E161,'BY-Demands'!$I$5:$I$14,0),FALSE)*HLOOKUP(REG_TRA_DEMANDS!$F161,DEMANDS!$G$2:$CK$25,MATCH($E161,DEMANDS!$E$2:$E$25,0),FALSE)/HLOOKUP(2018,DEMANDS!$G$2:$CK$25,MATCH($E161,DEMANDS!$E$2:$E$25,0),FALSE)</f>
        <v>2.8406291768239722</v>
      </c>
      <c r="I161" s="18">
        <f>HLOOKUP(REG_TRA_DEMANDS!I$3,'BY-Demands'!$J$5:$AK$14,MATCH($E161,'BY-Demands'!$I$5:$I$14,0),FALSE)*HLOOKUP(REG_TRA_DEMANDS!$F161,DEMANDS!$G$2:$CK$25,MATCH($E161,DEMANDS!$E$2:$E$25,0),FALSE)/HLOOKUP(2018,DEMANDS!$G$2:$CK$25,MATCH($E161,DEMANDS!$E$2:$E$25,0),FALSE)</f>
        <v>0.46910389462648</v>
      </c>
      <c r="J161" s="18">
        <f>HLOOKUP(REG_TRA_DEMANDS!J$3,'BY-Demands'!$J$5:$AK$14,MATCH($E161,'BY-Demands'!$I$5:$I$14,0),FALSE)*HLOOKUP(REG_TRA_DEMANDS!$F161,DEMANDS!$G$2:$CK$25,MATCH($E161,DEMANDS!$E$2:$E$25,0),FALSE)/HLOOKUP(2018,DEMANDS!$G$2:$CK$25,MATCH($E161,DEMANDS!$E$2:$E$25,0),FALSE)</f>
        <v>0.20921025092391538</v>
      </c>
      <c r="K161" s="18">
        <f>HLOOKUP(REG_TRA_DEMANDS!K$3,'BY-Demands'!$J$5:$AK$14,MATCH($E161,'BY-Demands'!$I$5:$I$14,0),FALSE)*HLOOKUP(REG_TRA_DEMANDS!$F161,DEMANDS!$G$2:$CK$25,MATCH($E161,DEMANDS!$E$2:$E$25,0),FALSE)/HLOOKUP(2018,DEMANDS!$G$2:$CK$25,MATCH($E161,DEMANDS!$E$2:$E$25,0),FALSE)</f>
        <v>0.17856619459955325</v>
      </c>
      <c r="L161" s="18">
        <f>HLOOKUP(REG_TRA_DEMANDS!L$3,'BY-Demands'!$J$5:$AK$14,MATCH($E161,'BY-Demands'!$I$5:$I$14,0),FALSE)*HLOOKUP(REG_TRA_DEMANDS!$F161,DEMANDS!$G$2:$CK$25,MATCH($E161,DEMANDS!$E$2:$E$25,0),FALSE)/HLOOKUP(2018,DEMANDS!$G$2:$CK$25,MATCH($E161,DEMANDS!$E$2:$E$25,0),FALSE)</f>
        <v>0.086172309194747512</v>
      </c>
      <c r="M161" s="18">
        <f>HLOOKUP(REG_TRA_DEMANDS!M$3,'BY-Demands'!$J$5:$AK$14,MATCH($E161,'BY-Demands'!$I$5:$I$14,0),FALSE)*HLOOKUP(REG_TRA_DEMANDS!$F161,DEMANDS!$G$2:$CK$25,MATCH($E161,DEMANDS!$E$2:$E$25,0),FALSE)/HLOOKUP(2018,DEMANDS!$G$2:$CK$25,MATCH($E161,DEMANDS!$E$2:$E$25,0),FALSE)</f>
        <v>0.2717253908021397</v>
      </c>
      <c r="N161" s="18">
        <f>HLOOKUP(REG_TRA_DEMANDS!N$3,'BY-Demands'!$J$5:$AK$14,MATCH($E161,'BY-Demands'!$I$5:$I$14,0),FALSE)*HLOOKUP(REG_TRA_DEMANDS!$F161,DEMANDS!$G$2:$CK$25,MATCH($E161,DEMANDS!$E$2:$E$25,0),FALSE)/HLOOKUP(2018,DEMANDS!$G$2:$CK$25,MATCH($E161,DEMANDS!$E$2:$E$25,0),FALSE)</f>
        <v>0.41121013565386411</v>
      </c>
      <c r="O161" s="18">
        <f>HLOOKUP(REG_TRA_DEMANDS!O$3,'BY-Demands'!$J$5:$AK$14,MATCH($E161,'BY-Demands'!$I$5:$I$14,0),FALSE)*HLOOKUP(REG_TRA_DEMANDS!$F161,DEMANDS!$G$2:$CK$25,MATCH($E161,DEMANDS!$E$2:$E$25,0),FALSE)/HLOOKUP(2018,DEMANDS!$G$2:$CK$25,MATCH($E161,DEMANDS!$E$2:$E$25,0),FALSE)</f>
        <v>0.16436472480932934</v>
      </c>
      <c r="P161" s="18">
        <f>HLOOKUP(REG_TRA_DEMANDS!P$3,'BY-Demands'!$J$5:$AK$14,MATCH($E161,'BY-Demands'!$I$5:$I$14,0),FALSE)*HLOOKUP(REG_TRA_DEMANDS!$F161,DEMANDS!$G$2:$CK$25,MATCH($E161,DEMANDS!$E$2:$E$25,0),FALSE)/HLOOKUP(2018,DEMANDS!$G$2:$CK$25,MATCH($E161,DEMANDS!$E$2:$E$25,0),FALSE)</f>
        <v>0.18715327691184286</v>
      </c>
      <c r="Q161" s="18">
        <f>HLOOKUP(REG_TRA_DEMANDS!Q$3,'BY-Demands'!$J$5:$AK$14,MATCH($E161,'BY-Demands'!$I$5:$I$14,0),FALSE)*HLOOKUP(REG_TRA_DEMANDS!$F161,DEMANDS!$G$2:$CK$25,MATCH($E161,DEMANDS!$E$2:$E$25,0),FALSE)/HLOOKUP(2018,DEMANDS!$G$2:$CK$25,MATCH($E161,DEMANDS!$E$2:$E$25,0),FALSE)</f>
        <v>0.31565802552433248</v>
      </c>
      <c r="R161" s="18">
        <f>HLOOKUP(REG_TRA_DEMANDS!R$3,'BY-Demands'!$J$5:$AK$14,MATCH($E161,'BY-Demands'!$I$5:$I$14,0),FALSE)*HLOOKUP(REG_TRA_DEMANDS!$F161,DEMANDS!$G$2:$CK$25,MATCH($E161,DEMANDS!$E$2:$E$25,0),FALSE)/HLOOKUP(2018,DEMANDS!$G$2:$CK$25,MATCH($E161,DEMANDS!$E$2:$E$25,0),FALSE)</f>
        <v>0.30027380268299175</v>
      </c>
      <c r="S161" s="18">
        <f>HLOOKUP(REG_TRA_DEMANDS!S$3,'BY-Demands'!$J$5:$AK$14,MATCH($E161,'BY-Demands'!$I$5:$I$14,0),FALSE)*HLOOKUP(REG_TRA_DEMANDS!$F161,DEMANDS!$G$2:$CK$25,MATCH($E161,DEMANDS!$E$2:$E$25,0),FALSE)/HLOOKUP(2018,DEMANDS!$G$2:$CK$25,MATCH($E161,DEMANDS!$E$2:$E$25,0),FALSE)</f>
        <v>0.25050119300252804</v>
      </c>
      <c r="T161" s="18">
        <f>HLOOKUP(REG_TRA_DEMANDS!T$3,'BY-Demands'!$J$5:$AK$14,MATCH($E161,'BY-Demands'!$I$5:$I$14,0),FALSE)*HLOOKUP(REG_TRA_DEMANDS!$F161,DEMANDS!$G$2:$CK$25,MATCH($E161,DEMANDS!$E$2:$E$25,0),FALSE)/HLOOKUP(2018,DEMANDS!$G$2:$CK$25,MATCH($E161,DEMANDS!$E$2:$E$25,0),FALSE)</f>
        <v>1.144525460522454</v>
      </c>
      <c r="U161" s="18">
        <f>HLOOKUP(REG_TRA_DEMANDS!U$3,'BY-Demands'!$J$5:$AK$14,MATCH($E161,'BY-Demands'!$I$5:$I$14,0),FALSE)*HLOOKUP(REG_TRA_DEMANDS!$F161,DEMANDS!$G$2:$CK$25,MATCH($E161,DEMANDS!$E$2:$E$25,0),FALSE)/HLOOKUP(2018,DEMANDS!$G$2:$CK$25,MATCH($E161,DEMANDS!$E$2:$E$25,0),FALSE)</f>
        <v>0.31140981269367551</v>
      </c>
      <c r="V161" s="18">
        <f>HLOOKUP(REG_TRA_DEMANDS!V$3,'BY-Demands'!$J$5:$AK$14,MATCH($E161,'BY-Demands'!$I$5:$I$14,0),FALSE)*HLOOKUP(REG_TRA_DEMANDS!$F161,DEMANDS!$G$2:$CK$25,MATCH($E161,DEMANDS!$E$2:$E$25,0),FALSE)/HLOOKUP(2018,DEMANDS!$G$2:$CK$25,MATCH($E161,DEMANDS!$E$2:$E$25,0),FALSE)</f>
        <v>0.41090443299359369</v>
      </c>
      <c r="W161" s="18">
        <f>HLOOKUP(REG_TRA_DEMANDS!W$3,'BY-Demands'!$J$5:$AK$14,MATCH($E161,'BY-Demands'!$I$5:$I$14,0),FALSE)*HLOOKUP(REG_TRA_DEMANDS!$F161,DEMANDS!$G$2:$CK$25,MATCH($E161,DEMANDS!$E$2:$E$25,0),FALSE)/HLOOKUP(2018,DEMANDS!$G$2:$CK$25,MATCH($E161,DEMANDS!$E$2:$E$25,0),FALSE)</f>
        <v>0.3363846658906739</v>
      </c>
      <c r="X161" s="18">
        <f>HLOOKUP(REG_TRA_DEMANDS!X$3,'BY-Demands'!$J$5:$AK$14,MATCH($E161,'BY-Demands'!$I$5:$I$14,0),FALSE)*HLOOKUP(REG_TRA_DEMANDS!$F161,DEMANDS!$G$2:$CK$25,MATCH($E161,DEMANDS!$E$2:$E$25,0),FALSE)/HLOOKUP(2018,DEMANDS!$G$2:$CK$25,MATCH($E161,DEMANDS!$E$2:$E$25,0),FALSE)</f>
        <v>0.24493318799718641</v>
      </c>
      <c r="Y161" s="18">
        <f>HLOOKUP(REG_TRA_DEMANDS!Y$3,'BY-Demands'!$J$5:$AK$14,MATCH($E161,'BY-Demands'!$I$5:$I$14,0),FALSE)*HLOOKUP(REG_TRA_DEMANDS!$F161,DEMANDS!$G$2:$CK$25,MATCH($E161,DEMANDS!$E$2:$E$25,0),FALSE)/HLOOKUP(2018,DEMANDS!$G$2:$CK$25,MATCH($E161,DEMANDS!$E$2:$E$25,0),FALSE)</f>
        <v>0.54406218692482022</v>
      </c>
      <c r="Z161" s="18">
        <f>HLOOKUP(REG_TRA_DEMANDS!Z$3,'BY-Demands'!$J$5:$AK$14,MATCH($E161,'BY-Demands'!$I$5:$I$14,0),FALSE)*HLOOKUP(REG_TRA_DEMANDS!$F161,DEMANDS!$G$2:$CK$25,MATCH($E161,DEMANDS!$E$2:$E$25,0),FALSE)/HLOOKUP(2018,DEMANDS!$G$2:$CK$25,MATCH($E161,DEMANDS!$E$2:$E$25,0),FALSE)</f>
        <v>0.067558179625584094</v>
      </c>
      <c r="AA161" s="18">
        <f>HLOOKUP(REG_TRA_DEMANDS!AA$3,'BY-Demands'!$J$5:$AK$14,MATCH($E161,'BY-Demands'!$I$5:$I$14,0),FALSE)*HLOOKUP(REG_TRA_DEMANDS!$F161,DEMANDS!$G$2:$CK$25,MATCH($E161,DEMANDS!$E$2:$E$25,0),FALSE)/HLOOKUP(2018,DEMANDS!$G$2:$CK$25,MATCH($E161,DEMANDS!$E$2:$E$25,0),FALSE)</f>
        <v>0.27514715230296105</v>
      </c>
      <c r="AB161" s="18">
        <f>HLOOKUP(REG_TRA_DEMANDS!AB$3,'BY-Demands'!$J$5:$AK$14,MATCH($E161,'BY-Demands'!$I$5:$I$14,0),FALSE)*HLOOKUP(REG_TRA_DEMANDS!$F161,DEMANDS!$G$2:$CK$25,MATCH($E161,DEMANDS!$E$2:$E$25,0),FALSE)/HLOOKUP(2018,DEMANDS!$G$2:$CK$25,MATCH($E161,DEMANDS!$E$2:$E$25,0),FALSE)</f>
        <v>0.13607774141036361</v>
      </c>
      <c r="AC161" s="18">
        <f>HLOOKUP(REG_TRA_DEMANDS!AC$3,'BY-Demands'!$J$5:$AK$14,MATCH($E161,'BY-Demands'!$I$5:$I$14,0),FALSE)*HLOOKUP(REG_TRA_DEMANDS!$F161,DEMANDS!$G$2:$CK$25,MATCH($E161,DEMANDS!$E$2:$E$25,0),FALSE)/HLOOKUP(2018,DEMANDS!$G$2:$CK$25,MATCH($E161,DEMANDS!$E$2:$E$25,0),FALSE)</f>
        <v>0.13816706097124723</v>
      </c>
      <c r="AD161" s="18">
        <f>HLOOKUP(REG_TRA_DEMANDS!AD$3,'BY-Demands'!$J$5:$AK$14,MATCH($E161,'BY-Demands'!$I$5:$I$14,0),FALSE)*HLOOKUP(REG_TRA_DEMANDS!$F161,DEMANDS!$G$2:$CK$25,MATCH($E161,DEMANDS!$E$2:$E$25,0),FALSE)/HLOOKUP(2018,DEMANDS!$G$2:$CK$25,MATCH($E161,DEMANDS!$E$2:$E$25,0),FALSE)</f>
        <v>0.16060141964668845</v>
      </c>
      <c r="AE161" s="18">
        <f>HLOOKUP(REG_TRA_DEMANDS!AE$3,'BY-Demands'!$J$5:$AK$14,MATCH($E161,'BY-Demands'!$I$5:$I$14,0),FALSE)*HLOOKUP(REG_TRA_DEMANDS!$F161,DEMANDS!$G$2:$CK$25,MATCH($E161,DEMANDS!$E$2:$E$25,0),FALSE)/HLOOKUP(2018,DEMANDS!$G$2:$CK$25,MATCH($E161,DEMANDS!$E$2:$E$25,0),FALSE)</f>
        <v>0.33562357168131191</v>
      </c>
      <c r="AF161" s="18">
        <f>HLOOKUP(REG_TRA_DEMANDS!AF$3,'BY-Demands'!$J$5:$AK$14,MATCH($E161,'BY-Demands'!$I$5:$I$14,0),FALSE)*HLOOKUP(REG_TRA_DEMANDS!$F161,DEMANDS!$G$2:$CK$25,MATCH($E161,DEMANDS!$E$2:$E$25,0),FALSE)/HLOOKUP(2018,DEMANDS!$G$2:$CK$25,MATCH($E161,DEMANDS!$E$2:$E$25,0),FALSE)</f>
        <v>0.12941974829909172</v>
      </c>
    </row>
    <row r="162" spans="4:32" ht="14.4">
      <c r="D162" t="s">
        <v>6</v>
      </c>
      <c r="E162" t="str">
        <f>DEMANDS!$E$22</f>
        <v>TNAV</v>
      </c>
      <c r="F162">
        <v>2055</v>
      </c>
      <c r="G162" s="18">
        <f>HLOOKUP(REG_TRA_DEMANDS!G$3,'BY-Demands'!$J$5:$AK$14,MATCH($E162,'BY-Demands'!$I$5:$I$14,0),FALSE)*HLOOKUP(REG_TRA_DEMANDS!$F162,DEMANDS!$G$2:$CK$25,MATCH($E162,DEMANDS!$E$2:$E$25,0),FALSE)/HLOOKUP(2018,DEMANDS!$G$2:$CK$25,MATCH($E162,DEMANDS!$E$2:$E$25,0),FALSE)</f>
        <v>0.13651547417316809</v>
      </c>
      <c r="H162" s="18">
        <f>HLOOKUP(REG_TRA_DEMANDS!H$3,'BY-Demands'!$J$5:$AK$14,MATCH($E162,'BY-Demands'!$I$5:$I$14,0),FALSE)*HLOOKUP(REG_TRA_DEMANDS!$F162,DEMANDS!$G$2:$CK$25,MATCH($E162,DEMANDS!$E$2:$E$25,0),FALSE)/HLOOKUP(2018,DEMANDS!$G$2:$CK$25,MATCH($E162,DEMANDS!$E$2:$E$25,0),FALSE)</f>
        <v>3.2307902895820644</v>
      </c>
      <c r="I162" s="18">
        <f>HLOOKUP(REG_TRA_DEMANDS!I$3,'BY-Demands'!$J$5:$AK$14,MATCH($E162,'BY-Demands'!$I$5:$I$14,0),FALSE)*HLOOKUP(REG_TRA_DEMANDS!$F162,DEMANDS!$G$2:$CK$25,MATCH($E162,DEMANDS!$E$2:$E$25,0),FALSE)/HLOOKUP(2018,DEMANDS!$G$2:$CK$25,MATCH($E162,DEMANDS!$E$2:$E$25,0),FALSE)</f>
        <v>0.53353542937937526</v>
      </c>
      <c r="J162" s="18">
        <f>HLOOKUP(REG_TRA_DEMANDS!J$3,'BY-Demands'!$J$5:$AK$14,MATCH($E162,'BY-Demands'!$I$5:$I$14,0),FALSE)*HLOOKUP(REG_TRA_DEMANDS!$F162,DEMANDS!$G$2:$CK$25,MATCH($E162,DEMANDS!$E$2:$E$25,0),FALSE)/HLOOKUP(2018,DEMANDS!$G$2:$CK$25,MATCH($E162,DEMANDS!$E$2:$E$25,0),FALSE)</f>
        <v>0.23794533009821922</v>
      </c>
      <c r="K162" s="18">
        <f>HLOOKUP(REG_TRA_DEMANDS!K$3,'BY-Demands'!$J$5:$AK$14,MATCH($E162,'BY-Demands'!$I$5:$I$14,0),FALSE)*HLOOKUP(REG_TRA_DEMANDS!$F162,DEMANDS!$G$2:$CK$25,MATCH($E162,DEMANDS!$E$2:$E$25,0),FALSE)/HLOOKUP(2018,DEMANDS!$G$2:$CK$25,MATCH($E162,DEMANDS!$E$2:$E$25,0),FALSE)</f>
        <v>0.20309230513673895</v>
      </c>
      <c r="L162" s="18">
        <f>HLOOKUP(REG_TRA_DEMANDS!L$3,'BY-Demands'!$J$5:$AK$14,MATCH($E162,'BY-Demands'!$I$5:$I$14,0),FALSE)*HLOOKUP(REG_TRA_DEMANDS!$F162,DEMANDS!$G$2:$CK$25,MATCH($E162,DEMANDS!$E$2:$E$25,0),FALSE)/HLOOKUP(2018,DEMANDS!$G$2:$CK$25,MATCH($E162,DEMANDS!$E$2:$E$25,0),FALSE)</f>
        <v>0.098008096955664536</v>
      </c>
      <c r="M162" s="18">
        <f>HLOOKUP(REG_TRA_DEMANDS!M$3,'BY-Demands'!$J$5:$AK$14,MATCH($E162,'BY-Demands'!$I$5:$I$14,0),FALSE)*HLOOKUP(REG_TRA_DEMANDS!$F162,DEMANDS!$G$2:$CK$25,MATCH($E162,DEMANDS!$E$2:$E$25,0),FALSE)/HLOOKUP(2018,DEMANDS!$G$2:$CK$25,MATCH($E162,DEMANDS!$E$2:$E$25,0),FALSE)</f>
        <v>0.30904693974099989</v>
      </c>
      <c r="N162" s="18">
        <f>HLOOKUP(REG_TRA_DEMANDS!N$3,'BY-Demands'!$J$5:$AK$14,MATCH($E162,'BY-Demands'!$I$5:$I$14,0),FALSE)*HLOOKUP(REG_TRA_DEMANDS!$F162,DEMANDS!$G$2:$CK$25,MATCH($E162,DEMANDS!$E$2:$E$25,0),FALSE)/HLOOKUP(2018,DEMANDS!$G$2:$CK$25,MATCH($E162,DEMANDS!$E$2:$E$25,0),FALSE)</f>
        <v>0.46768994844079709</v>
      </c>
      <c r="O162" s="18">
        <f>HLOOKUP(REG_TRA_DEMANDS!O$3,'BY-Demands'!$J$5:$AK$14,MATCH($E162,'BY-Demands'!$I$5:$I$14,0),FALSE)*HLOOKUP(REG_TRA_DEMANDS!$F162,DEMANDS!$G$2:$CK$25,MATCH($E162,DEMANDS!$E$2:$E$25,0),FALSE)/HLOOKUP(2018,DEMANDS!$G$2:$CK$25,MATCH($E162,DEMANDS!$E$2:$E$25,0),FALSE)</f>
        <v>0.18694025999463149</v>
      </c>
      <c r="P162" s="18">
        <f>HLOOKUP(REG_TRA_DEMANDS!P$3,'BY-Demands'!$J$5:$AK$14,MATCH($E162,'BY-Demands'!$I$5:$I$14,0),FALSE)*HLOOKUP(REG_TRA_DEMANDS!$F162,DEMANDS!$G$2:$CK$25,MATCH($E162,DEMANDS!$E$2:$E$25,0),FALSE)/HLOOKUP(2018,DEMANDS!$G$2:$CK$25,MATCH($E162,DEMANDS!$E$2:$E$25,0),FALSE)</f>
        <v>0.21285882530654368</v>
      </c>
      <c r="Q162" s="18">
        <f>HLOOKUP(REG_TRA_DEMANDS!Q$3,'BY-Demands'!$J$5:$AK$14,MATCH($E162,'BY-Demands'!$I$5:$I$14,0),FALSE)*HLOOKUP(REG_TRA_DEMANDS!$F162,DEMANDS!$G$2:$CK$25,MATCH($E162,DEMANDS!$E$2:$E$25,0),FALSE)/HLOOKUP(2018,DEMANDS!$G$2:$CK$25,MATCH($E162,DEMANDS!$E$2:$E$25,0),FALSE)</f>
        <v>0.35901373259599417</v>
      </c>
      <c r="R162" s="18">
        <f>HLOOKUP(REG_TRA_DEMANDS!R$3,'BY-Demands'!$J$5:$AK$14,MATCH($E162,'BY-Demands'!$I$5:$I$14,0),FALSE)*HLOOKUP(REG_TRA_DEMANDS!$F162,DEMANDS!$G$2:$CK$25,MATCH($E162,DEMANDS!$E$2:$E$25,0),FALSE)/HLOOKUP(2018,DEMANDS!$G$2:$CK$25,MATCH($E162,DEMANDS!$E$2:$E$25,0),FALSE)</f>
        <v>0.34151648298168796</v>
      </c>
      <c r="S162" s="18">
        <f>HLOOKUP(REG_TRA_DEMANDS!S$3,'BY-Demands'!$J$5:$AK$14,MATCH($E162,'BY-Demands'!$I$5:$I$14,0),FALSE)*HLOOKUP(REG_TRA_DEMANDS!$F162,DEMANDS!$G$2:$CK$25,MATCH($E162,DEMANDS!$E$2:$E$25,0),FALSE)/HLOOKUP(2018,DEMANDS!$G$2:$CK$25,MATCH($E162,DEMANDS!$E$2:$E$25,0),FALSE)</f>
        <v>0.28490759317841136</v>
      </c>
      <c r="T162" s="18">
        <f>HLOOKUP(REG_TRA_DEMANDS!T$3,'BY-Demands'!$J$5:$AK$14,MATCH($E162,'BY-Demands'!$I$5:$I$14,0),FALSE)*HLOOKUP(REG_TRA_DEMANDS!$F162,DEMANDS!$G$2:$CK$25,MATCH($E162,DEMANDS!$E$2:$E$25,0),FALSE)/HLOOKUP(2018,DEMANDS!$G$2:$CK$25,MATCH($E162,DEMANDS!$E$2:$E$25,0),FALSE)</f>
        <v>1.3017263126789758</v>
      </c>
      <c r="U162" s="18">
        <f>HLOOKUP(REG_TRA_DEMANDS!U$3,'BY-Demands'!$J$5:$AK$14,MATCH($E162,'BY-Demands'!$I$5:$I$14,0),FALSE)*HLOOKUP(REG_TRA_DEMANDS!$F162,DEMANDS!$G$2:$CK$25,MATCH($E162,DEMANDS!$E$2:$E$25,0),FALSE)/HLOOKUP(2018,DEMANDS!$G$2:$CK$25,MATCH($E162,DEMANDS!$E$2:$E$25,0),FALSE)</f>
        <v>0.35418202669318077</v>
      </c>
      <c r="V162" s="18">
        <f>HLOOKUP(REG_TRA_DEMANDS!V$3,'BY-Demands'!$J$5:$AK$14,MATCH($E162,'BY-Demands'!$I$5:$I$14,0),FALSE)*HLOOKUP(REG_TRA_DEMANDS!$F162,DEMANDS!$G$2:$CK$25,MATCH($E162,DEMANDS!$E$2:$E$25,0),FALSE)/HLOOKUP(2018,DEMANDS!$G$2:$CK$25,MATCH($E162,DEMANDS!$E$2:$E$25,0),FALSE)</f>
        <v>0.46734225744530944</v>
      </c>
      <c r="W162" s="18">
        <f>HLOOKUP(REG_TRA_DEMANDS!W$3,'BY-Demands'!$J$5:$AK$14,MATCH($E162,'BY-Demands'!$I$5:$I$14,0),FALSE)*HLOOKUP(REG_TRA_DEMANDS!$F162,DEMANDS!$G$2:$CK$25,MATCH($E162,DEMANDS!$E$2:$E$25,0),FALSE)/HLOOKUP(2018,DEMANDS!$G$2:$CK$25,MATCH($E162,DEMANDS!$E$2:$E$25,0),FALSE)</f>
        <v>0.38258718209006204</v>
      </c>
      <c r="X162" s="18">
        <f>HLOOKUP(REG_TRA_DEMANDS!X$3,'BY-Demands'!$J$5:$AK$14,MATCH($E162,'BY-Demands'!$I$5:$I$14,0),FALSE)*HLOOKUP(REG_TRA_DEMANDS!$F162,DEMANDS!$G$2:$CK$25,MATCH($E162,DEMANDS!$E$2:$E$25,0),FALSE)/HLOOKUP(2018,DEMANDS!$G$2:$CK$25,MATCH($E162,DEMANDS!$E$2:$E$25,0),FALSE)</f>
        <v>0.27857482132266531</v>
      </c>
      <c r="Y162" s="18">
        <f>HLOOKUP(REG_TRA_DEMANDS!Y$3,'BY-Demands'!$J$5:$AK$14,MATCH($E162,'BY-Demands'!$I$5:$I$14,0),FALSE)*HLOOKUP(REG_TRA_DEMANDS!$F162,DEMANDS!$G$2:$CK$25,MATCH($E162,DEMANDS!$E$2:$E$25,0),FALSE)/HLOOKUP(2018,DEMANDS!$G$2:$CK$25,MATCH($E162,DEMANDS!$E$2:$E$25,0),FALSE)</f>
        <v>0.61878926147297497</v>
      </c>
      <c r="Z162" s="18">
        <f>HLOOKUP(REG_TRA_DEMANDS!Z$3,'BY-Demands'!$J$5:$AK$14,MATCH($E162,'BY-Demands'!$I$5:$I$14,0),FALSE)*HLOOKUP(REG_TRA_DEMANDS!$F162,DEMANDS!$G$2:$CK$25,MATCH($E162,DEMANDS!$E$2:$E$25,0),FALSE)/HLOOKUP(2018,DEMANDS!$G$2:$CK$25,MATCH($E162,DEMANDS!$E$2:$E$25,0),FALSE)</f>
        <v>0.076837312133861607</v>
      </c>
      <c r="AA162" s="18">
        <f>HLOOKUP(REG_TRA_DEMANDS!AA$3,'BY-Demands'!$J$5:$AK$14,MATCH($E162,'BY-Demands'!$I$5:$I$14,0),FALSE)*HLOOKUP(REG_TRA_DEMANDS!$F162,DEMANDS!$G$2:$CK$25,MATCH($E162,DEMANDS!$E$2:$E$25,0),FALSE)/HLOOKUP(2018,DEMANDS!$G$2:$CK$25,MATCH($E162,DEMANDS!$E$2:$E$25,0),FALSE)</f>
        <v>0.31293868102152833</v>
      </c>
      <c r="AB162" s="18">
        <f>HLOOKUP(REG_TRA_DEMANDS!AB$3,'BY-Demands'!$J$5:$AK$14,MATCH($E162,'BY-Demands'!$I$5:$I$14,0),FALSE)*HLOOKUP(REG_TRA_DEMANDS!$F162,DEMANDS!$G$2:$CK$25,MATCH($E162,DEMANDS!$E$2:$E$25,0),FALSE)/HLOOKUP(2018,DEMANDS!$G$2:$CK$25,MATCH($E162,DEMANDS!$E$2:$E$25,0),FALSE)</f>
        <v>0.15476805250180856</v>
      </c>
      <c r="AC162" s="18">
        <f>HLOOKUP(REG_TRA_DEMANDS!AC$3,'BY-Demands'!$J$5:$AK$14,MATCH($E162,'BY-Demands'!$I$5:$I$14,0),FALSE)*HLOOKUP(REG_TRA_DEMANDS!$F162,DEMANDS!$G$2:$CK$25,MATCH($E162,DEMANDS!$E$2:$E$25,0),FALSE)/HLOOKUP(2018,DEMANDS!$G$2:$CK$25,MATCH($E162,DEMANDS!$E$2:$E$25,0),FALSE)</f>
        <v>0.15714434061579741</v>
      </c>
      <c r="AD162" s="18">
        <f>HLOOKUP(REG_TRA_DEMANDS!AD$3,'BY-Demands'!$J$5:$AK$14,MATCH($E162,'BY-Demands'!$I$5:$I$14,0),FALSE)*HLOOKUP(REG_TRA_DEMANDS!$F162,DEMANDS!$G$2:$CK$25,MATCH($E162,DEMANDS!$E$2:$E$25,0),FALSE)/HLOOKUP(2018,DEMANDS!$G$2:$CK$25,MATCH($E162,DEMANDS!$E$2:$E$25,0),FALSE)</f>
        <v>0.18266006394673046</v>
      </c>
      <c r="AE162" s="18">
        <f>HLOOKUP(REG_TRA_DEMANDS!AE$3,'BY-Demands'!$J$5:$AK$14,MATCH($E162,'BY-Demands'!$I$5:$I$14,0),FALSE)*HLOOKUP(REG_TRA_DEMANDS!$F162,DEMANDS!$G$2:$CK$25,MATCH($E162,DEMANDS!$E$2:$E$25,0),FALSE)/HLOOKUP(2018,DEMANDS!$G$2:$CK$25,MATCH($E162,DEMANDS!$E$2:$E$25,0),FALSE)</f>
        <v>0.38172155140474556</v>
      </c>
      <c r="AF162" s="18">
        <f>HLOOKUP(REG_TRA_DEMANDS!AF$3,'BY-Demands'!$J$5:$AK$14,MATCH($E162,'BY-Demands'!$I$5:$I$14,0),FALSE)*HLOOKUP(REG_TRA_DEMANDS!$F162,DEMANDS!$G$2:$CK$25,MATCH($E162,DEMANDS!$E$2:$E$25,0),FALSE)/HLOOKUP(2018,DEMANDS!$G$2:$CK$25,MATCH($E162,DEMANDS!$E$2:$E$25,0),FALSE)</f>
        <v>0.14719558240697844</v>
      </c>
    </row>
    <row r="163" spans="4:32" ht="14.4">
      <c r="D163" t="s">
        <v>6</v>
      </c>
      <c r="E163" t="str">
        <f>DEMANDS!$E$22</f>
        <v>TNAV</v>
      </c>
      <c r="F163">
        <v>2060</v>
      </c>
      <c r="G163" s="18">
        <f>HLOOKUP(REG_TRA_DEMANDS!G$3,'BY-Demands'!$J$5:$AK$14,MATCH($E163,'BY-Demands'!$I$5:$I$14,0),FALSE)*HLOOKUP(REG_TRA_DEMANDS!$F163,DEMANDS!$G$2:$CK$25,MATCH($E163,DEMANDS!$E$2:$E$25,0),FALSE)/HLOOKUP(2018,DEMANDS!$G$2:$CK$25,MATCH($E163,DEMANDS!$E$2:$E$25,0),FALSE)</f>
        <v>0.15648937130390672</v>
      </c>
      <c r="H163" s="18">
        <f>HLOOKUP(REG_TRA_DEMANDS!H$3,'BY-Demands'!$J$5:$AK$14,MATCH($E163,'BY-Demands'!$I$5:$I$14,0),FALSE)*HLOOKUP(REG_TRA_DEMANDS!$F163,DEMANDS!$G$2:$CK$25,MATCH($E163,DEMANDS!$E$2:$E$25,0),FALSE)/HLOOKUP(2018,DEMANDS!$G$2:$CK$25,MATCH($E163,DEMANDS!$E$2:$E$25,0),FALSE)</f>
        <v>3.7034947451461573</v>
      </c>
      <c r="I163" s="18">
        <f>HLOOKUP(REG_TRA_DEMANDS!I$3,'BY-Demands'!$J$5:$AK$14,MATCH($E163,'BY-Demands'!$I$5:$I$14,0),FALSE)*HLOOKUP(REG_TRA_DEMANDS!$F163,DEMANDS!$G$2:$CK$25,MATCH($E163,DEMANDS!$E$2:$E$25,0),FALSE)/HLOOKUP(2018,DEMANDS!$G$2:$CK$25,MATCH($E163,DEMANDS!$E$2:$E$25,0),FALSE)</f>
        <v>0.61159824128090468</v>
      </c>
      <c r="J163" s="18">
        <f>HLOOKUP(REG_TRA_DEMANDS!J$3,'BY-Demands'!$J$5:$AK$14,MATCH($E163,'BY-Demands'!$I$5:$I$14,0),FALSE)*HLOOKUP(REG_TRA_DEMANDS!$F163,DEMANDS!$G$2:$CK$25,MATCH($E163,DEMANDS!$E$2:$E$25,0),FALSE)/HLOOKUP(2018,DEMANDS!$G$2:$CK$25,MATCH($E163,DEMANDS!$E$2:$E$25,0),FALSE)</f>
        <v>0.27275966579830807</v>
      </c>
      <c r="K163" s="18">
        <f>HLOOKUP(REG_TRA_DEMANDS!K$3,'BY-Demands'!$J$5:$AK$14,MATCH($E163,'BY-Demands'!$I$5:$I$14,0),FALSE)*HLOOKUP(REG_TRA_DEMANDS!$F163,DEMANDS!$G$2:$CK$25,MATCH($E163,DEMANDS!$E$2:$E$25,0),FALSE)/HLOOKUP(2018,DEMANDS!$G$2:$CK$25,MATCH($E163,DEMANDS!$E$2:$E$25,0),FALSE)</f>
        <v>0.23280721354118941</v>
      </c>
      <c r="L163" s="18">
        <f>HLOOKUP(REG_TRA_DEMANDS!L$3,'BY-Demands'!$J$5:$AK$14,MATCH($E163,'BY-Demands'!$I$5:$I$14,0),FALSE)*HLOOKUP(REG_TRA_DEMANDS!$F163,DEMANDS!$G$2:$CK$25,MATCH($E163,DEMANDS!$E$2:$E$25,0),FALSE)/HLOOKUP(2018,DEMANDS!$G$2:$CK$25,MATCH($E163,DEMANDS!$E$2:$E$25,0),FALSE)</f>
        <v>0.11234788999691867</v>
      </c>
      <c r="M163" s="18">
        <f>HLOOKUP(REG_TRA_DEMANDS!M$3,'BY-Demands'!$J$5:$AK$14,MATCH($E163,'BY-Demands'!$I$5:$I$14,0),FALSE)*HLOOKUP(REG_TRA_DEMANDS!$F163,DEMANDS!$G$2:$CK$25,MATCH($E163,DEMANDS!$E$2:$E$25,0),FALSE)/HLOOKUP(2018,DEMANDS!$G$2:$CK$25,MATCH($E163,DEMANDS!$E$2:$E$25,0),FALSE)</f>
        <v>0.35426431762686589</v>
      </c>
      <c r="N163" s="18">
        <f>HLOOKUP(REG_TRA_DEMANDS!N$3,'BY-Demands'!$J$5:$AK$14,MATCH($E163,'BY-Demands'!$I$5:$I$14,0),FALSE)*HLOOKUP(REG_TRA_DEMANDS!$F163,DEMANDS!$G$2:$CK$25,MATCH($E163,DEMANDS!$E$2:$E$25,0),FALSE)/HLOOKUP(2018,DEMANDS!$G$2:$CK$25,MATCH($E163,DEMANDS!$E$2:$E$25,0),FALSE)</f>
        <v>0.53611875459494229</v>
      </c>
      <c r="O163" s="18">
        <f>HLOOKUP(REG_TRA_DEMANDS!O$3,'BY-Demands'!$J$5:$AK$14,MATCH($E163,'BY-Demands'!$I$5:$I$14,0),FALSE)*HLOOKUP(REG_TRA_DEMANDS!$F163,DEMANDS!$G$2:$CK$25,MATCH($E163,DEMANDS!$E$2:$E$25,0),FALSE)/HLOOKUP(2018,DEMANDS!$G$2:$CK$25,MATCH($E163,DEMANDS!$E$2:$E$25,0),FALSE)</f>
        <v>0.21429192503730549</v>
      </c>
      <c r="P163" s="18">
        <f>HLOOKUP(REG_TRA_DEMANDS!P$3,'BY-Demands'!$J$5:$AK$14,MATCH($E163,'BY-Demands'!$I$5:$I$14,0),FALSE)*HLOOKUP(REG_TRA_DEMANDS!$F163,DEMANDS!$G$2:$CK$25,MATCH($E163,DEMANDS!$E$2:$E$25,0),FALSE)/HLOOKUP(2018,DEMANDS!$G$2:$CK$25,MATCH($E163,DEMANDS!$E$2:$E$25,0),FALSE)</f>
        <v>0.24400269603470487</v>
      </c>
      <c r="Q163" s="18">
        <f>HLOOKUP(REG_TRA_DEMANDS!Q$3,'BY-Demands'!$J$5:$AK$14,MATCH($E163,'BY-Demands'!$I$5:$I$14,0),FALSE)*HLOOKUP(REG_TRA_DEMANDS!$F163,DEMANDS!$G$2:$CK$25,MATCH($E163,DEMANDS!$E$2:$E$25,0),FALSE)/HLOOKUP(2018,DEMANDS!$G$2:$CK$25,MATCH($E163,DEMANDS!$E$2:$E$25,0),FALSE)</f>
        <v>0.41154186837566925</v>
      </c>
      <c r="R163" s="18">
        <f>HLOOKUP(REG_TRA_DEMANDS!R$3,'BY-Demands'!$J$5:$AK$14,MATCH($E163,'BY-Demands'!$I$5:$I$14,0),FALSE)*HLOOKUP(REG_TRA_DEMANDS!$F163,DEMANDS!$G$2:$CK$25,MATCH($E163,DEMANDS!$E$2:$E$25,0),FALSE)/HLOOKUP(2018,DEMANDS!$G$2:$CK$25,MATCH($E163,DEMANDS!$E$2:$E$25,0),FALSE)</f>
        <v>0.39148455539870214</v>
      </c>
      <c r="S163" s="18">
        <f>HLOOKUP(REG_TRA_DEMANDS!S$3,'BY-Demands'!$J$5:$AK$14,MATCH($E163,'BY-Demands'!$I$5:$I$14,0),FALSE)*HLOOKUP(REG_TRA_DEMANDS!$F163,DEMANDS!$G$2:$CK$25,MATCH($E163,DEMANDS!$E$2:$E$25,0),FALSE)/HLOOKUP(2018,DEMANDS!$G$2:$CK$25,MATCH($E163,DEMANDS!$E$2:$E$25,0),FALSE)</f>
        <v>0.32659308701988854</v>
      </c>
      <c r="T163" s="18">
        <f>HLOOKUP(REG_TRA_DEMANDS!T$3,'BY-Demands'!$J$5:$AK$14,MATCH($E163,'BY-Demands'!$I$5:$I$14,0),FALSE)*HLOOKUP(REG_TRA_DEMANDS!$F163,DEMANDS!$G$2:$CK$25,MATCH($E163,DEMANDS!$E$2:$E$25,0),FALSE)/HLOOKUP(2018,DEMANDS!$G$2:$CK$25,MATCH($E163,DEMANDS!$E$2:$E$25,0),FALSE)</f>
        <v>1.4921849227325457</v>
      </c>
      <c r="U163" s="18">
        <f>HLOOKUP(REG_TRA_DEMANDS!U$3,'BY-Demands'!$J$5:$AK$14,MATCH($E163,'BY-Demands'!$I$5:$I$14,0),FALSE)*HLOOKUP(REG_TRA_DEMANDS!$F163,DEMANDS!$G$2:$CK$25,MATCH($E163,DEMANDS!$E$2:$E$25,0),FALSE)/HLOOKUP(2018,DEMANDS!$G$2:$CK$25,MATCH($E163,DEMANDS!$E$2:$E$25,0),FALSE)</f>
        <v>0.40600322432351199</v>
      </c>
      <c r="V163" s="18">
        <f>HLOOKUP(REG_TRA_DEMANDS!V$3,'BY-Demands'!$J$5:$AK$14,MATCH($E163,'BY-Demands'!$I$5:$I$14,0),FALSE)*HLOOKUP(REG_TRA_DEMANDS!$F163,DEMANDS!$G$2:$CK$25,MATCH($E163,DEMANDS!$E$2:$E$25,0),FALSE)/HLOOKUP(2018,DEMANDS!$G$2:$CK$25,MATCH($E163,DEMANDS!$E$2:$E$25,0),FALSE)</f>
        <v>0.53572019211972532</v>
      </c>
      <c r="W163" s="18">
        <f>HLOOKUP(REG_TRA_DEMANDS!W$3,'BY-Demands'!$J$5:$AK$14,MATCH($E163,'BY-Demands'!$I$5:$I$14,0),FALSE)*HLOOKUP(REG_TRA_DEMANDS!$F163,DEMANDS!$G$2:$CK$25,MATCH($E163,DEMANDS!$E$2:$E$25,0),FALSE)/HLOOKUP(2018,DEMANDS!$G$2:$CK$25,MATCH($E163,DEMANDS!$E$2:$E$25,0),FALSE)</f>
        <v>0.43856440419539355</v>
      </c>
      <c r="X163" s="18">
        <f>HLOOKUP(REG_TRA_DEMANDS!X$3,'BY-Demands'!$J$5:$AK$14,MATCH($E163,'BY-Demands'!$I$5:$I$14,0),FALSE)*HLOOKUP(REG_TRA_DEMANDS!$F163,DEMANDS!$G$2:$CK$25,MATCH($E163,DEMANDS!$E$2:$E$25,0),FALSE)/HLOOKUP(2018,DEMANDS!$G$2:$CK$25,MATCH($E163,DEMANDS!$E$2:$E$25,0),FALSE)</f>
        <v>0.31933375255748392</v>
      </c>
      <c r="Y163" s="18">
        <f>HLOOKUP(REG_TRA_DEMANDS!Y$3,'BY-Demands'!$J$5:$AK$14,MATCH($E163,'BY-Demands'!$I$5:$I$14,0),FALSE)*HLOOKUP(REG_TRA_DEMANDS!$F163,DEMANDS!$G$2:$CK$25,MATCH($E163,DEMANDS!$E$2:$E$25,0),FALSE)/HLOOKUP(2018,DEMANDS!$G$2:$CK$25,MATCH($E163,DEMANDS!$E$2:$E$25,0),FALSE)</f>
        <v>0.70932576020416582</v>
      </c>
      <c r="Z163" s="18">
        <f>HLOOKUP(REG_TRA_DEMANDS!Z$3,'BY-Demands'!$J$5:$AK$14,MATCH($E163,'BY-Demands'!$I$5:$I$14,0),FALSE)*HLOOKUP(REG_TRA_DEMANDS!$F163,DEMANDS!$G$2:$CK$25,MATCH($E163,DEMANDS!$E$2:$E$25,0),FALSE)/HLOOKUP(2018,DEMANDS!$G$2:$CK$25,MATCH($E163,DEMANDS!$E$2:$E$25,0),FALSE)</f>
        <v>0.088079558316279061</v>
      </c>
      <c r="AA163" s="18">
        <f>HLOOKUP(REG_TRA_DEMANDS!AA$3,'BY-Demands'!$J$5:$AK$14,MATCH($E163,'BY-Demands'!$I$5:$I$14,0),FALSE)*HLOOKUP(REG_TRA_DEMANDS!$F163,DEMANDS!$G$2:$CK$25,MATCH($E163,DEMANDS!$E$2:$E$25,0),FALSE)/HLOOKUP(2018,DEMANDS!$G$2:$CK$25,MATCH($E163,DEMANDS!$E$2:$E$25,0),FALSE)</f>
        <v>0.35872546864257293</v>
      </c>
      <c r="AB163" s="18">
        <f>HLOOKUP(REG_TRA_DEMANDS!AB$3,'BY-Demands'!$J$5:$AK$14,MATCH($E163,'BY-Demands'!$I$5:$I$14,0),FALSE)*HLOOKUP(REG_TRA_DEMANDS!$F163,DEMANDS!$G$2:$CK$25,MATCH($E163,DEMANDS!$E$2:$E$25,0),FALSE)/HLOOKUP(2018,DEMANDS!$G$2:$CK$25,MATCH($E163,DEMANDS!$E$2:$E$25,0),FALSE)</f>
        <v>0.17741252689944778</v>
      </c>
      <c r="AC163" s="18">
        <f>HLOOKUP(REG_TRA_DEMANDS!AC$3,'BY-Demands'!$J$5:$AK$14,MATCH($E163,'BY-Demands'!$I$5:$I$14,0),FALSE)*HLOOKUP(REG_TRA_DEMANDS!$F163,DEMANDS!$G$2:$CK$25,MATCH($E163,DEMANDS!$E$2:$E$25,0),FALSE)/HLOOKUP(2018,DEMANDS!$G$2:$CK$25,MATCH($E163,DEMANDS!$E$2:$E$25,0),FALSE)</f>
        <v>0.18013649526455311</v>
      </c>
      <c r="AD163" s="18">
        <f>HLOOKUP(REG_TRA_DEMANDS!AD$3,'BY-Demands'!$J$5:$AK$14,MATCH($E163,'BY-Demands'!$I$5:$I$14,0),FALSE)*HLOOKUP(REG_TRA_DEMANDS!$F163,DEMANDS!$G$2:$CK$25,MATCH($E163,DEMANDS!$E$2:$E$25,0),FALSE)/HLOOKUP(2018,DEMANDS!$G$2:$CK$25,MATCH($E163,DEMANDS!$E$2:$E$25,0),FALSE)</f>
        <v>0.20938548353204536</v>
      </c>
      <c r="AE163" s="18">
        <f>HLOOKUP(REG_TRA_DEMANDS!AE$3,'BY-Demands'!$J$5:$AK$14,MATCH($E163,'BY-Demands'!$I$5:$I$14,0),FALSE)*HLOOKUP(REG_TRA_DEMANDS!$F163,DEMANDS!$G$2:$CK$25,MATCH($E163,DEMANDS!$E$2:$E$25,0),FALSE)/HLOOKUP(2018,DEMANDS!$G$2:$CK$25,MATCH($E163,DEMANDS!$E$2:$E$25,0),FALSE)</f>
        <v>0.43757212106744053</v>
      </c>
      <c r="AF163" s="18">
        <f>HLOOKUP(REG_TRA_DEMANDS!AF$3,'BY-Demands'!$J$5:$AK$14,MATCH($E163,'BY-Demands'!$I$5:$I$14,0),FALSE)*HLOOKUP(REG_TRA_DEMANDS!$F163,DEMANDS!$G$2:$CK$25,MATCH($E163,DEMANDS!$E$2:$E$25,0),FALSE)/HLOOKUP(2018,DEMANDS!$G$2:$CK$25,MATCH($E163,DEMANDS!$E$2:$E$25,0),FALSE)</f>
        <v>0.16873211105988936</v>
      </c>
    </row>
    <row r="164" spans="4:32" ht="14.4">
      <c r="D164" t="s">
        <v>6</v>
      </c>
      <c r="E164" t="str">
        <f>DEMANDS!$E$22</f>
        <v>TNAV</v>
      </c>
      <c r="F164">
        <v>2065</v>
      </c>
      <c r="G164" s="18">
        <f>HLOOKUP(REG_TRA_DEMANDS!G$3,'BY-Demands'!$J$5:$AK$14,MATCH($E164,'BY-Demands'!$I$5:$I$14,0),FALSE)*HLOOKUP(REG_TRA_DEMANDS!$F164,DEMANDS!$G$2:$CK$25,MATCH($E164,DEMANDS!$E$2:$E$25,0),FALSE)/HLOOKUP(2018,DEMANDS!$G$2:$CK$25,MATCH($E164,DEMANDS!$E$2:$E$25,0),FALSE)</f>
        <v>0.15879131806522273</v>
      </c>
      <c r="H164" s="18">
        <f>HLOOKUP(REG_TRA_DEMANDS!H$3,'BY-Demands'!$J$5:$AK$14,MATCH($E164,'BY-Demands'!$I$5:$I$14,0),FALSE)*HLOOKUP(REG_TRA_DEMANDS!$F164,DEMANDS!$G$2:$CK$25,MATCH($E164,DEMANDS!$E$2:$E$25,0),FALSE)/HLOOKUP(2018,DEMANDS!$G$2:$CK$25,MATCH($E164,DEMANDS!$E$2:$E$25,0),FALSE)</f>
        <v>3.7579728714438461</v>
      </c>
      <c r="I164" s="18">
        <f>HLOOKUP(REG_TRA_DEMANDS!I$3,'BY-Demands'!$J$5:$AK$14,MATCH($E164,'BY-Demands'!$I$5:$I$14,0),FALSE)*HLOOKUP(REG_TRA_DEMANDS!$F164,DEMANDS!$G$2:$CK$25,MATCH($E164,DEMANDS!$E$2:$E$25,0),FALSE)/HLOOKUP(2018,DEMANDS!$G$2:$CK$25,MATCH($E164,DEMANDS!$E$2:$E$25,0),FALSE)</f>
        <v>0.62059480493895047</v>
      </c>
      <c r="J164" s="18">
        <f>HLOOKUP(REG_TRA_DEMANDS!J$3,'BY-Demands'!$J$5:$AK$14,MATCH($E164,'BY-Demands'!$I$5:$I$14,0),FALSE)*HLOOKUP(REG_TRA_DEMANDS!$F164,DEMANDS!$G$2:$CK$25,MATCH($E164,DEMANDS!$E$2:$E$25,0),FALSE)/HLOOKUP(2018,DEMANDS!$G$2:$CK$25,MATCH($E164,DEMANDS!$E$2:$E$25,0),FALSE)</f>
        <v>0.27677193975704673</v>
      </c>
      <c r="K164" s="18">
        <f>HLOOKUP(REG_TRA_DEMANDS!K$3,'BY-Demands'!$J$5:$AK$14,MATCH($E164,'BY-Demands'!$I$5:$I$14,0),FALSE)*HLOOKUP(REG_TRA_DEMANDS!$F164,DEMANDS!$G$2:$CK$25,MATCH($E164,DEMANDS!$E$2:$E$25,0),FALSE)/HLOOKUP(2018,DEMANDS!$G$2:$CK$25,MATCH($E164,DEMANDS!$E$2:$E$25,0),FALSE)</f>
        <v>0.23623178996294136</v>
      </c>
      <c r="L164" s="18">
        <f>HLOOKUP(REG_TRA_DEMANDS!L$3,'BY-Demands'!$J$5:$AK$14,MATCH($E164,'BY-Demands'!$I$5:$I$14,0),FALSE)*HLOOKUP(REG_TRA_DEMANDS!$F164,DEMANDS!$G$2:$CK$25,MATCH($E164,DEMANDS!$E$2:$E$25,0),FALSE)/HLOOKUP(2018,DEMANDS!$G$2:$CK$25,MATCH($E164,DEMANDS!$E$2:$E$25,0),FALSE)</f>
        <v>0.11400051892222025</v>
      </c>
      <c r="M164" s="18">
        <f>HLOOKUP(REG_TRA_DEMANDS!M$3,'BY-Demands'!$J$5:$AK$14,MATCH($E164,'BY-Demands'!$I$5:$I$14,0),FALSE)*HLOOKUP(REG_TRA_DEMANDS!$F164,DEMANDS!$G$2:$CK$25,MATCH($E164,DEMANDS!$E$2:$E$25,0),FALSE)/HLOOKUP(2018,DEMANDS!$G$2:$CK$25,MATCH($E164,DEMANDS!$E$2:$E$25,0),FALSE)</f>
        <v>0.35947551882101775</v>
      </c>
      <c r="N164" s="18">
        <f>HLOOKUP(REG_TRA_DEMANDS!N$3,'BY-Demands'!$J$5:$AK$14,MATCH($E164,'BY-Demands'!$I$5:$I$14,0),FALSE)*HLOOKUP(REG_TRA_DEMANDS!$F164,DEMANDS!$G$2:$CK$25,MATCH($E164,DEMANDS!$E$2:$E$25,0),FALSE)/HLOOKUP(2018,DEMANDS!$G$2:$CK$25,MATCH($E164,DEMANDS!$E$2:$E$25,0),FALSE)</f>
        <v>0.54400502073901114</v>
      </c>
      <c r="O164" s="18">
        <f>HLOOKUP(REG_TRA_DEMANDS!O$3,'BY-Demands'!$J$5:$AK$14,MATCH($E164,'BY-Demands'!$I$5:$I$14,0),FALSE)*HLOOKUP(REG_TRA_DEMANDS!$F164,DEMANDS!$G$2:$CK$25,MATCH($E164,DEMANDS!$E$2:$E$25,0),FALSE)/HLOOKUP(2018,DEMANDS!$G$2:$CK$25,MATCH($E164,DEMANDS!$E$2:$E$25,0),FALSE)</f>
        <v>0.21744414297201631</v>
      </c>
      <c r="P164" s="18">
        <f>HLOOKUP(REG_TRA_DEMANDS!P$3,'BY-Demands'!$J$5:$AK$14,MATCH($E164,'BY-Demands'!$I$5:$I$14,0),FALSE)*HLOOKUP(REG_TRA_DEMANDS!$F164,DEMANDS!$G$2:$CK$25,MATCH($E164,DEMANDS!$E$2:$E$25,0),FALSE)/HLOOKUP(2018,DEMANDS!$G$2:$CK$25,MATCH($E164,DEMANDS!$E$2:$E$25,0),FALSE)</f>
        <v>0.24759195715326776</v>
      </c>
      <c r="Q164" s="18">
        <f>HLOOKUP(REG_TRA_DEMANDS!Q$3,'BY-Demands'!$J$5:$AK$14,MATCH($E164,'BY-Demands'!$I$5:$I$14,0),FALSE)*HLOOKUP(REG_TRA_DEMANDS!$F164,DEMANDS!$G$2:$CK$25,MATCH($E164,DEMANDS!$E$2:$E$25,0),FALSE)/HLOOKUP(2018,DEMANDS!$G$2:$CK$25,MATCH($E164,DEMANDS!$E$2:$E$25,0),FALSE)</f>
        <v>0.41759561798920392</v>
      </c>
      <c r="R164" s="18">
        <f>HLOOKUP(REG_TRA_DEMANDS!R$3,'BY-Demands'!$J$5:$AK$14,MATCH($E164,'BY-Demands'!$I$5:$I$14,0),FALSE)*HLOOKUP(REG_TRA_DEMANDS!$F164,DEMANDS!$G$2:$CK$25,MATCH($E164,DEMANDS!$E$2:$E$25,0),FALSE)/HLOOKUP(2018,DEMANDS!$G$2:$CK$25,MATCH($E164,DEMANDS!$E$2:$E$25,0),FALSE)</f>
        <v>0.39724326346236466</v>
      </c>
      <c r="S164" s="18">
        <f>HLOOKUP(REG_TRA_DEMANDS!S$3,'BY-Demands'!$J$5:$AK$14,MATCH($E164,'BY-Demands'!$I$5:$I$14,0),FALSE)*HLOOKUP(REG_TRA_DEMANDS!$F164,DEMANDS!$G$2:$CK$25,MATCH($E164,DEMANDS!$E$2:$E$25,0),FALSE)/HLOOKUP(2018,DEMANDS!$G$2:$CK$25,MATCH($E164,DEMANDS!$E$2:$E$25,0),FALSE)</f>
        <v>0.33139724651436059</v>
      </c>
      <c r="T164" s="18">
        <f>HLOOKUP(REG_TRA_DEMANDS!T$3,'BY-Demands'!$J$5:$AK$14,MATCH($E164,'BY-Demands'!$I$5:$I$14,0),FALSE)*HLOOKUP(REG_TRA_DEMANDS!$F164,DEMANDS!$G$2:$CK$25,MATCH($E164,DEMANDS!$E$2:$E$25,0),FALSE)/HLOOKUP(2018,DEMANDS!$G$2:$CK$25,MATCH($E164,DEMANDS!$E$2:$E$25,0),FALSE)</f>
        <v>1.514134849564944</v>
      </c>
      <c r="U164" s="18">
        <f>HLOOKUP(REG_TRA_DEMANDS!U$3,'BY-Demands'!$J$5:$AK$14,MATCH($E164,'BY-Demands'!$I$5:$I$14,0),FALSE)*HLOOKUP(REG_TRA_DEMANDS!$F164,DEMANDS!$G$2:$CK$25,MATCH($E164,DEMANDS!$E$2:$E$25,0),FALSE)/HLOOKUP(2018,DEMANDS!$G$2:$CK$25,MATCH($E164,DEMANDS!$E$2:$E$25,0),FALSE)</f>
        <v>0.41197550090388341</v>
      </c>
      <c r="V164" s="18">
        <f>HLOOKUP(REG_TRA_DEMANDS!V$3,'BY-Demands'!$J$5:$AK$14,MATCH($E164,'BY-Demands'!$I$5:$I$14,0),FALSE)*HLOOKUP(REG_TRA_DEMANDS!$F164,DEMANDS!$G$2:$CK$25,MATCH($E164,DEMANDS!$E$2:$E$25,0),FALSE)/HLOOKUP(2018,DEMANDS!$G$2:$CK$25,MATCH($E164,DEMANDS!$E$2:$E$25,0),FALSE)</f>
        <v>0.54360059544006767</v>
      </c>
      <c r="W164" s="18">
        <f>HLOOKUP(REG_TRA_DEMANDS!W$3,'BY-Demands'!$J$5:$AK$14,MATCH($E164,'BY-Demands'!$I$5:$I$14,0),FALSE)*HLOOKUP(REG_TRA_DEMANDS!$F164,DEMANDS!$G$2:$CK$25,MATCH($E164,DEMANDS!$E$2:$E$25,0),FALSE)/HLOOKUP(2018,DEMANDS!$G$2:$CK$25,MATCH($E164,DEMANDS!$E$2:$E$25,0),FALSE)</f>
        <v>0.44501565325757741</v>
      </c>
      <c r="X164" s="18">
        <f>HLOOKUP(REG_TRA_DEMANDS!X$3,'BY-Demands'!$J$5:$AK$14,MATCH($E164,'BY-Demands'!$I$5:$I$14,0),FALSE)*HLOOKUP(REG_TRA_DEMANDS!$F164,DEMANDS!$G$2:$CK$25,MATCH($E164,DEMANDS!$E$2:$E$25,0),FALSE)/HLOOKUP(2018,DEMANDS!$G$2:$CK$25,MATCH($E164,DEMANDS!$E$2:$E$25,0),FALSE)</f>
        <v>0.3240311277936016</v>
      </c>
      <c r="Y164" s="18">
        <f>HLOOKUP(REG_TRA_DEMANDS!Y$3,'BY-Demands'!$J$5:$AK$14,MATCH($E164,'BY-Demands'!$I$5:$I$14,0),FALSE)*HLOOKUP(REG_TRA_DEMANDS!$F164,DEMANDS!$G$2:$CK$25,MATCH($E164,DEMANDS!$E$2:$E$25,0),FALSE)/HLOOKUP(2018,DEMANDS!$G$2:$CK$25,MATCH($E164,DEMANDS!$E$2:$E$25,0),FALSE)</f>
        <v>0.71975988823992232</v>
      </c>
      <c r="Z164" s="18">
        <f>HLOOKUP(REG_TRA_DEMANDS!Z$3,'BY-Demands'!$J$5:$AK$14,MATCH($E164,'BY-Demands'!$I$5:$I$14,0),FALSE)*HLOOKUP(REG_TRA_DEMANDS!$F164,DEMANDS!$G$2:$CK$25,MATCH($E164,DEMANDS!$E$2:$E$25,0),FALSE)/HLOOKUP(2018,DEMANDS!$G$2:$CK$25,MATCH($E164,DEMANDS!$E$2:$E$25,0),FALSE)</f>
        <v>0.089375201926544134</v>
      </c>
      <c r="AA164" s="18">
        <f>HLOOKUP(REG_TRA_DEMANDS!AA$3,'BY-Demands'!$J$5:$AK$14,MATCH($E164,'BY-Demands'!$I$5:$I$14,0),FALSE)*HLOOKUP(REG_TRA_DEMANDS!$F164,DEMANDS!$G$2:$CK$25,MATCH($E164,DEMANDS!$E$2:$E$25,0),FALSE)/HLOOKUP(2018,DEMANDS!$G$2:$CK$25,MATCH($E164,DEMANDS!$E$2:$E$25,0),FALSE)</f>
        <v>0.36400229302919329</v>
      </c>
      <c r="AB164" s="18">
        <f>HLOOKUP(REG_TRA_DEMANDS!AB$3,'BY-Demands'!$J$5:$AK$14,MATCH($E164,'BY-Demands'!$I$5:$I$14,0),FALSE)*HLOOKUP(REG_TRA_DEMANDS!$F164,DEMANDS!$G$2:$CK$25,MATCH($E164,DEMANDS!$E$2:$E$25,0),FALSE)/HLOOKUP(2018,DEMANDS!$G$2:$CK$25,MATCH($E164,DEMANDS!$E$2:$E$25,0),FALSE)</f>
        <v>0.18002225168976571</v>
      </c>
      <c r="AC164" s="18">
        <f>HLOOKUP(REG_TRA_DEMANDS!AC$3,'BY-Demands'!$J$5:$AK$14,MATCH($E164,'BY-Demands'!$I$5:$I$14,0),FALSE)*HLOOKUP(REG_TRA_DEMANDS!$F164,DEMANDS!$G$2:$CK$25,MATCH($E164,DEMANDS!$E$2:$E$25,0),FALSE)/HLOOKUP(2018,DEMANDS!$G$2:$CK$25,MATCH($E164,DEMANDS!$E$2:$E$25,0),FALSE)</f>
        <v>0.18278628942254588</v>
      </c>
      <c r="AD164" s="18">
        <f>HLOOKUP(REG_TRA_DEMANDS!AD$3,'BY-Demands'!$J$5:$AK$14,MATCH($E164,'BY-Demands'!$I$5:$I$14,0),FALSE)*HLOOKUP(REG_TRA_DEMANDS!$F164,DEMANDS!$G$2:$CK$25,MATCH($E164,DEMANDS!$E$2:$E$25,0),FALSE)/HLOOKUP(2018,DEMANDS!$G$2:$CK$25,MATCH($E164,DEMANDS!$E$2:$E$25,0),FALSE)</f>
        <v>0.212465528085021</v>
      </c>
      <c r="AE164" s="18">
        <f>HLOOKUP(REG_TRA_DEMANDS!AE$3,'BY-Demands'!$J$5:$AK$14,MATCH($E164,'BY-Demands'!$I$5:$I$14,0),FALSE)*HLOOKUP(REG_TRA_DEMANDS!$F164,DEMANDS!$G$2:$CK$25,MATCH($E164,DEMANDS!$E$2:$E$25,0),FALSE)/HLOOKUP(2018,DEMANDS!$G$2:$CK$25,MATCH($E164,DEMANDS!$E$2:$E$25,0),FALSE)</f>
        <v>0.44400877372020908</v>
      </c>
      <c r="AF164" s="18">
        <f>HLOOKUP(REG_TRA_DEMANDS!AF$3,'BY-Demands'!$J$5:$AK$14,MATCH($E164,'BY-Demands'!$I$5:$I$14,0),FALSE)*HLOOKUP(REG_TRA_DEMANDS!$F164,DEMANDS!$G$2:$CK$25,MATCH($E164,DEMANDS!$E$2:$E$25,0),FALSE)/HLOOKUP(2018,DEMANDS!$G$2:$CK$25,MATCH($E164,DEMANDS!$E$2:$E$25,0),FALSE)</f>
        <v>0.17121414759277323</v>
      </c>
    </row>
    <row r="165" spans="4:32" ht="14.4">
      <c r="D165" t="s">
        <v>6</v>
      </c>
      <c r="E165" t="str">
        <f>DEMANDS!$E$22</f>
        <v>TNAV</v>
      </c>
      <c r="F165">
        <v>2070</v>
      </c>
      <c r="G165" s="17">
        <f>HLOOKUP(REG_TRA_DEMANDS!G$3,'BY-Demands'!$J$5:$AK$14,MATCH($E165,'BY-Demands'!$I$5:$I$14,0),FALSE)*HLOOKUP(REG_TRA_DEMANDS!$F165,DEMANDS!$G$2:$CK$25,MATCH($E165,DEMANDS!$E$2:$E$25,0),FALSE)/HLOOKUP(2018,DEMANDS!$G$2:$CK$25,MATCH($E165,DEMANDS!$E$2:$E$25,0),FALSE)</f>
        <v>0.1710449267488203</v>
      </c>
      <c r="H165" s="17">
        <f>HLOOKUP(REG_TRA_DEMANDS!H$3,'BY-Demands'!$J$5:$AK$14,MATCH($E165,'BY-Demands'!$I$5:$I$14,0),FALSE)*HLOOKUP(REG_TRA_DEMANDS!$F165,DEMANDS!$G$2:$CK$25,MATCH($E165,DEMANDS!$E$2:$E$25,0),FALSE)/HLOOKUP(2018,DEMANDS!$G$2:$CK$25,MATCH($E165,DEMANDS!$E$2:$E$25,0),FALSE)</f>
        <v>4.0479681279309414</v>
      </c>
      <c r="I165" s="17">
        <f>HLOOKUP(REG_TRA_DEMANDS!I$3,'BY-Demands'!$J$5:$AK$14,MATCH($E165,'BY-Demands'!$I$5:$I$14,0),FALSE)*HLOOKUP(REG_TRA_DEMANDS!$F165,DEMANDS!$G$2:$CK$25,MATCH($E165,DEMANDS!$E$2:$E$25,0),FALSE)/HLOOKUP(2018,DEMANDS!$G$2:$CK$25,MATCH($E165,DEMANDS!$E$2:$E$25,0),FALSE)</f>
        <v>0.66848486582799671</v>
      </c>
      <c r="J165" s="17">
        <f>HLOOKUP(REG_TRA_DEMANDS!J$3,'BY-Demands'!$J$5:$AK$14,MATCH($E165,'BY-Demands'!$I$5:$I$14,0),FALSE)*HLOOKUP(REG_TRA_DEMANDS!$F165,DEMANDS!$G$2:$CK$25,MATCH($E165,DEMANDS!$E$2:$E$25,0),FALSE)/HLOOKUP(2018,DEMANDS!$G$2:$CK$25,MATCH($E165,DEMANDS!$E$2:$E$25,0),FALSE)</f>
        <v>0.29812987724195417</v>
      </c>
      <c r="K165" s="17">
        <f>HLOOKUP(REG_TRA_DEMANDS!K$3,'BY-Demands'!$J$5:$AK$14,MATCH($E165,'BY-Demands'!$I$5:$I$14,0),FALSE)*HLOOKUP(REG_TRA_DEMANDS!$F165,DEMANDS!$G$2:$CK$25,MATCH($E165,DEMANDS!$E$2:$E$25,0),FALSE)/HLOOKUP(2018,DEMANDS!$G$2:$CK$25,MATCH($E165,DEMANDS!$E$2:$E$25,0),FALSE)</f>
        <v>0.25446132510441999</v>
      </c>
      <c r="L165" s="17">
        <f>HLOOKUP(REG_TRA_DEMANDS!L$3,'BY-Demands'!$J$5:$AK$14,MATCH($E165,'BY-Demands'!$I$5:$I$14,0),FALSE)*HLOOKUP(REG_TRA_DEMANDS!$F165,DEMANDS!$G$2:$CK$25,MATCH($E165,DEMANDS!$E$2:$E$25,0),FALSE)/HLOOKUP(2018,DEMANDS!$G$2:$CK$25,MATCH($E165,DEMANDS!$E$2:$E$25,0),FALSE)</f>
        <v>0.12279771114671054</v>
      </c>
      <c r="M165" s="17">
        <f>HLOOKUP(REG_TRA_DEMANDS!M$3,'BY-Demands'!$J$5:$AK$14,MATCH($E165,'BY-Demands'!$I$5:$I$14,0),FALSE)*HLOOKUP(REG_TRA_DEMANDS!$F165,DEMANDS!$G$2:$CK$25,MATCH($E165,DEMANDS!$E$2:$E$25,0),FALSE)/HLOOKUP(2018,DEMANDS!$G$2:$CK$25,MATCH($E165,DEMANDS!$E$2:$E$25,0),FALSE)</f>
        <v>0.38721552622593569</v>
      </c>
      <c r="N165" s="17">
        <f>HLOOKUP(REG_TRA_DEMANDS!N$3,'BY-Demands'!$J$5:$AK$14,MATCH($E165,'BY-Demands'!$I$5:$I$14,0),FALSE)*HLOOKUP(REG_TRA_DEMANDS!$F165,DEMANDS!$G$2:$CK$25,MATCH($E165,DEMANDS!$E$2:$E$25,0),FALSE)/HLOOKUP(2018,DEMANDS!$G$2:$CK$25,MATCH($E165,DEMANDS!$E$2:$E$25,0),FALSE)</f>
        <v>0.58598480103978401</v>
      </c>
      <c r="O165" s="17">
        <f>HLOOKUP(REG_TRA_DEMANDS!O$3,'BY-Demands'!$J$5:$AK$14,MATCH($E165,'BY-Demands'!$I$5:$I$14,0),FALSE)*HLOOKUP(REG_TRA_DEMANDS!$F165,DEMANDS!$G$2:$CK$25,MATCH($E165,DEMANDS!$E$2:$E$25,0),FALSE)/HLOOKUP(2018,DEMANDS!$G$2:$CK$25,MATCH($E165,DEMANDS!$E$2:$E$25,0),FALSE)</f>
        <v>0.23422387294078517</v>
      </c>
      <c r="P165" s="17">
        <f>HLOOKUP(REG_TRA_DEMANDS!P$3,'BY-Demands'!$J$5:$AK$14,MATCH($E165,'BY-Demands'!$I$5:$I$14,0),FALSE)*HLOOKUP(REG_TRA_DEMANDS!$F165,DEMANDS!$G$2:$CK$25,MATCH($E165,DEMANDS!$E$2:$E$25,0),FALSE)/HLOOKUP(2018,DEMANDS!$G$2:$CK$25,MATCH($E165,DEMANDS!$E$2:$E$25,0),FALSE)</f>
        <v>0.26669813369445644</v>
      </c>
      <c r="Q165" s="17">
        <f>HLOOKUP(REG_TRA_DEMANDS!Q$3,'BY-Demands'!$J$5:$AK$14,MATCH($E165,'BY-Demands'!$I$5:$I$14,0),FALSE)*HLOOKUP(REG_TRA_DEMANDS!$F165,DEMANDS!$G$2:$CK$25,MATCH($E165,DEMANDS!$E$2:$E$25,0),FALSE)/HLOOKUP(2018,DEMANDS!$G$2:$CK$25,MATCH($E165,DEMANDS!$E$2:$E$25,0),FALSE)</f>
        <v>0.44982063729865379</v>
      </c>
      <c r="R165" s="17">
        <f>HLOOKUP(REG_TRA_DEMANDS!R$3,'BY-Demands'!$J$5:$AK$14,MATCH($E165,'BY-Demands'!$I$5:$I$14,0),FALSE)*HLOOKUP(REG_TRA_DEMANDS!$F165,DEMANDS!$G$2:$CK$25,MATCH($E165,DEMANDS!$E$2:$E$25,0),FALSE)/HLOOKUP(2018,DEMANDS!$G$2:$CK$25,MATCH($E165,DEMANDS!$E$2:$E$25,0),FALSE)</f>
        <v>0.4278977322454986</v>
      </c>
      <c r="S165" s="17">
        <f>HLOOKUP(REG_TRA_DEMANDS!S$3,'BY-Demands'!$J$5:$AK$14,MATCH($E165,'BY-Demands'!$I$5:$I$14,0),FALSE)*HLOOKUP(REG_TRA_DEMANDS!$F165,DEMANDS!$G$2:$CK$25,MATCH($E165,DEMANDS!$E$2:$E$25,0),FALSE)/HLOOKUP(2018,DEMANDS!$G$2:$CK$25,MATCH($E165,DEMANDS!$E$2:$E$25,0),FALSE)</f>
        <v>0.35697050975751049</v>
      </c>
      <c r="T165" s="17">
        <f>HLOOKUP(REG_TRA_DEMANDS!T$3,'BY-Demands'!$J$5:$AK$14,MATCH($E165,'BY-Demands'!$I$5:$I$14,0),FALSE)*HLOOKUP(REG_TRA_DEMANDS!$F165,DEMANDS!$G$2:$CK$25,MATCH($E165,DEMANDS!$E$2:$E$25,0),FALSE)/HLOOKUP(2018,DEMANDS!$G$2:$CK$25,MATCH($E165,DEMANDS!$E$2:$E$25,0),FALSE)</f>
        <v>1.6309776100308899</v>
      </c>
      <c r="U165" s="17">
        <f>HLOOKUP(REG_TRA_DEMANDS!U$3,'BY-Demands'!$J$5:$AK$14,MATCH($E165,'BY-Demands'!$I$5:$I$14,0),FALSE)*HLOOKUP(REG_TRA_DEMANDS!$F165,DEMANDS!$G$2:$CK$25,MATCH($E165,DEMANDS!$E$2:$E$25,0),FALSE)/HLOOKUP(2018,DEMANDS!$G$2:$CK$25,MATCH($E165,DEMANDS!$E$2:$E$25,0),FALSE)</f>
        <v>0.44376682700920456</v>
      </c>
      <c r="V165" s="17">
        <f>HLOOKUP(REG_TRA_DEMANDS!V$3,'BY-Demands'!$J$5:$AK$14,MATCH($E165,'BY-Demands'!$I$5:$I$14,0),FALSE)*HLOOKUP(REG_TRA_DEMANDS!$F165,DEMANDS!$G$2:$CK$25,MATCH($E165,DEMANDS!$E$2:$E$25,0),FALSE)/HLOOKUP(2018,DEMANDS!$G$2:$CK$25,MATCH($E165,DEMANDS!$E$2:$E$25,0),FALSE)</f>
        <v>0.58554916704873206</v>
      </c>
      <c r="W165" s="17">
        <f>HLOOKUP(REG_TRA_DEMANDS!W$3,'BY-Demands'!$J$5:$AK$14,MATCH($E165,'BY-Demands'!$I$5:$I$14,0),FALSE)*HLOOKUP(REG_TRA_DEMANDS!$F165,DEMANDS!$G$2:$CK$25,MATCH($E165,DEMANDS!$E$2:$E$25,0),FALSE)/HLOOKUP(2018,DEMANDS!$G$2:$CK$25,MATCH($E165,DEMANDS!$E$2:$E$25,0),FALSE)</f>
        <v>0.47935662189198391</v>
      </c>
      <c r="X165" s="17">
        <f>HLOOKUP(REG_TRA_DEMANDS!X$3,'BY-Demands'!$J$5:$AK$14,MATCH($E165,'BY-Demands'!$I$5:$I$14,0),FALSE)*HLOOKUP(REG_TRA_DEMANDS!$F165,DEMANDS!$G$2:$CK$25,MATCH($E165,DEMANDS!$E$2:$E$25,0),FALSE)/HLOOKUP(2018,DEMANDS!$G$2:$CK$25,MATCH($E165,DEMANDS!$E$2:$E$25,0),FALSE)</f>
        <v>0.34903596237565787</v>
      </c>
      <c r="Y165" s="17">
        <f>HLOOKUP(REG_TRA_DEMANDS!Y$3,'BY-Demands'!$J$5:$AK$14,MATCH($E165,'BY-Demands'!$I$5:$I$14,0),FALSE)*HLOOKUP(REG_TRA_DEMANDS!$F165,DEMANDS!$G$2:$CK$25,MATCH($E165,DEMANDS!$E$2:$E$25,0),FALSE)/HLOOKUP(2018,DEMANDS!$G$2:$CK$25,MATCH($E165,DEMANDS!$E$2:$E$25,0),FALSE)</f>
        <v>0.77530232043397518</v>
      </c>
      <c r="Z165" s="17">
        <f>HLOOKUP(REG_TRA_DEMANDS!Z$3,'BY-Demands'!$J$5:$AK$14,MATCH($E165,'BY-Demands'!$I$5:$I$14,0),FALSE)*HLOOKUP(REG_TRA_DEMANDS!$F165,DEMANDS!$G$2:$CK$25,MATCH($E165,DEMANDS!$E$2:$E$25,0),FALSE)/HLOOKUP(2018,DEMANDS!$G$2:$CK$25,MATCH($E165,DEMANDS!$E$2:$E$25,0),FALSE)</f>
        <v>0.096272107650165306</v>
      </c>
      <c r="AA165" s="17">
        <f>HLOOKUP(REG_TRA_DEMANDS!AA$3,'BY-Demands'!$J$5:$AK$14,MATCH($E165,'BY-Demands'!$I$5:$I$14,0),FALSE)*HLOOKUP(REG_TRA_DEMANDS!$F165,DEMANDS!$G$2:$CK$25,MATCH($E165,DEMANDS!$E$2:$E$25,0),FALSE)/HLOOKUP(2018,DEMANDS!$G$2:$CK$25,MATCH($E165,DEMANDS!$E$2:$E$25,0),FALSE)</f>
        <v>0.3920916225533671</v>
      </c>
      <c r="AB165" s="17">
        <f>HLOOKUP(REG_TRA_DEMANDS!AB$3,'BY-Demands'!$J$5:$AK$14,MATCH($E165,'BY-Demands'!$I$5:$I$14,0),FALSE)*HLOOKUP(REG_TRA_DEMANDS!$F165,DEMANDS!$G$2:$CK$25,MATCH($E165,DEMANDS!$E$2:$E$25,0),FALSE)/HLOOKUP(2018,DEMANDS!$G$2:$CK$25,MATCH($E165,DEMANDS!$E$2:$E$25,0),FALSE)</f>
        <v>0.19391420909288029</v>
      </c>
      <c r="AC165" s="17">
        <f>HLOOKUP(REG_TRA_DEMANDS!AC$3,'BY-Demands'!$J$5:$AK$14,MATCH($E165,'BY-Demands'!$I$5:$I$14,0),FALSE)*HLOOKUP(REG_TRA_DEMANDS!$F165,DEMANDS!$G$2:$CK$25,MATCH($E165,DEMANDS!$E$2:$E$25,0),FALSE)/HLOOKUP(2018,DEMANDS!$G$2:$CK$25,MATCH($E165,DEMANDS!$E$2:$E$25,0),FALSE)</f>
        <v>0.1968915420937952</v>
      </c>
      <c r="AD165" s="17">
        <f>HLOOKUP(REG_TRA_DEMANDS!AD$3,'BY-Demands'!$J$5:$AK$14,MATCH($E165,'BY-Demands'!$I$5:$I$14,0),FALSE)*HLOOKUP(REG_TRA_DEMANDS!$F165,DEMANDS!$G$2:$CK$25,MATCH($E165,DEMANDS!$E$2:$E$25,0),FALSE)/HLOOKUP(2018,DEMANDS!$G$2:$CK$25,MATCH($E165,DEMANDS!$E$2:$E$25,0),FALSE)</f>
        <v>0.22886106829231614</v>
      </c>
      <c r="AE165" s="17">
        <f>HLOOKUP(REG_TRA_DEMANDS!AE$3,'BY-Demands'!$J$5:$AK$14,MATCH($E165,'BY-Demands'!$I$5:$I$14,0),FALSE)*HLOOKUP(REG_TRA_DEMANDS!$F165,DEMANDS!$G$2:$CK$25,MATCH($E165,DEMANDS!$E$2:$E$25,0),FALSE)/HLOOKUP(2018,DEMANDS!$G$2:$CK$25,MATCH($E165,DEMANDS!$E$2:$E$25,0),FALSE)</f>
        <v>0.47827204347288349</v>
      </c>
      <c r="AF165" s="17">
        <f>HLOOKUP(REG_TRA_DEMANDS!AF$3,'BY-Demands'!$J$5:$AK$14,MATCH($E165,'BY-Demands'!$I$5:$I$14,0),FALSE)*HLOOKUP(REG_TRA_DEMANDS!$F165,DEMANDS!$G$2:$CK$25,MATCH($E165,DEMANDS!$E$2:$E$25,0),FALSE)/HLOOKUP(2018,DEMANDS!$G$2:$CK$25,MATCH($E165,DEMANDS!$E$2:$E$25,0),FALSE)</f>
        <v>0.18442640120500042</v>
      </c>
    </row>
    <row r="166" spans="4:32" ht="14.4">
      <c r="D166" s="19" t="s">
        <v>6</v>
      </c>
      <c r="E166" s="19" t="str">
        <f>DEMANDS!$E$23</f>
        <v>TOTH</v>
      </c>
      <c r="F166" s="19">
        <v>2020</v>
      </c>
      <c r="G166" s="20">
        <f>HLOOKUP(REG_TRA_DEMANDS!G$3,'BY-Demands'!$J$5:$AK$14,MATCH($E166,'BY-Demands'!$I$5:$I$14,0),FALSE)*HLOOKUP(REG_TRA_DEMANDS!$F166,DEMANDS!$G$2:$CK$25,MATCH($E166,DEMANDS!$E$2:$E$25,0),FALSE)/HLOOKUP(2018,DEMANDS!$G$2:$CK$25,MATCH($E166,DEMANDS!$E$2:$E$25,0),FALSE)</f>
        <v>0.27200036635926356</v>
      </c>
      <c r="H166" s="20">
        <f>HLOOKUP(REG_TRA_DEMANDS!H$3,'BY-Demands'!$J$5:$AK$14,MATCH($E166,'BY-Demands'!$I$5:$I$14,0),FALSE)*HLOOKUP(REG_TRA_DEMANDS!$F166,DEMANDS!$G$2:$CK$25,MATCH($E166,DEMANDS!$E$2:$E$25,0),FALSE)/HLOOKUP(2018,DEMANDS!$G$2:$CK$25,MATCH($E166,DEMANDS!$E$2:$E$25,0),FALSE)</f>
        <v>6.437190712032816</v>
      </c>
      <c r="I166" s="20">
        <f>HLOOKUP(REG_TRA_DEMANDS!I$3,'BY-Demands'!$J$5:$AK$14,MATCH($E166,'BY-Demands'!$I$5:$I$14,0),FALSE)*HLOOKUP(REG_TRA_DEMANDS!$F166,DEMANDS!$G$2:$CK$25,MATCH($E166,DEMANDS!$E$2:$E$25,0),FALSE)/HLOOKUP(2018,DEMANDS!$G$2:$CK$25,MATCH($E166,DEMANDS!$E$2:$E$25,0),FALSE)</f>
        <v>1.0630430955596448</v>
      </c>
      <c r="J166" s="20">
        <f>HLOOKUP(REG_TRA_DEMANDS!J$3,'BY-Demands'!$J$5:$AK$14,MATCH($E166,'BY-Demands'!$I$5:$I$14,0),FALSE)*HLOOKUP(REG_TRA_DEMANDS!$F166,DEMANDS!$G$2:$CK$25,MATCH($E166,DEMANDS!$E$2:$E$25,0),FALSE)/HLOOKUP(2018,DEMANDS!$G$2:$CK$25,MATCH($E166,DEMANDS!$E$2:$E$25,0),FALSE)</f>
        <v>0.47409436440951486</v>
      </c>
      <c r="K166" s="20">
        <f>HLOOKUP(REG_TRA_DEMANDS!K$3,'BY-Demands'!$J$5:$AK$14,MATCH($E166,'BY-Demands'!$I$5:$I$14,0),FALSE)*HLOOKUP(REG_TRA_DEMANDS!$F166,DEMANDS!$G$2:$CK$25,MATCH($E166,DEMANDS!$E$2:$E$25,0),FALSE)/HLOOKUP(2018,DEMANDS!$G$2:$CK$25,MATCH($E166,DEMANDS!$E$2:$E$25,0),FALSE)</f>
        <v>0.40465142678160887</v>
      </c>
      <c r="L166" s="20">
        <f>HLOOKUP(REG_TRA_DEMANDS!L$3,'BY-Demands'!$J$5:$AK$14,MATCH($E166,'BY-Demands'!$I$5:$I$14,0),FALSE)*HLOOKUP(REG_TRA_DEMANDS!$F166,DEMANDS!$G$2:$CK$25,MATCH($E166,DEMANDS!$E$2:$E$25,0),FALSE)/HLOOKUP(2018,DEMANDS!$G$2:$CK$25,MATCH($E166,DEMANDS!$E$2:$E$25,0),FALSE)</f>
        <v>0.19527631163848475</v>
      </c>
      <c r="M166" s="20">
        <f>HLOOKUP(REG_TRA_DEMANDS!M$3,'BY-Demands'!$J$5:$AK$14,MATCH($E166,'BY-Demands'!$I$5:$I$14,0),FALSE)*HLOOKUP(REG_TRA_DEMANDS!$F166,DEMANDS!$G$2:$CK$25,MATCH($E166,DEMANDS!$E$2:$E$25,0),FALSE)/HLOOKUP(2018,DEMANDS!$G$2:$CK$25,MATCH($E166,DEMANDS!$E$2:$E$25,0),FALSE)</f>
        <v>0.6157608237519745</v>
      </c>
      <c r="N166" s="20">
        <f>HLOOKUP(REG_TRA_DEMANDS!N$3,'BY-Demands'!$J$5:$AK$14,MATCH($E166,'BY-Demands'!$I$5:$I$14,0),FALSE)*HLOOKUP(REG_TRA_DEMANDS!$F166,DEMANDS!$G$2:$CK$25,MATCH($E166,DEMANDS!$E$2:$E$25,0),FALSE)/HLOOKUP(2018,DEMANDS!$G$2:$CK$25,MATCH($E166,DEMANDS!$E$2:$E$25,0),FALSE)</f>
        <v>0.93184921408305132</v>
      </c>
      <c r="O166" s="20">
        <f>HLOOKUP(REG_TRA_DEMANDS!O$3,'BY-Demands'!$J$5:$AK$14,MATCH($E166,'BY-Demands'!$I$5:$I$14,0),FALSE)*HLOOKUP(REG_TRA_DEMANDS!$F166,DEMANDS!$G$2:$CK$25,MATCH($E166,DEMANDS!$E$2:$E$25,0),FALSE)/HLOOKUP(2018,DEMANDS!$G$2:$CK$25,MATCH($E166,DEMANDS!$E$2:$E$25,0),FALSE)</f>
        <v>0.37246927144197556</v>
      </c>
      <c r="P166" s="20">
        <f>HLOOKUP(REG_TRA_DEMANDS!P$3,'BY-Demands'!$J$5:$AK$14,MATCH($E166,'BY-Demands'!$I$5:$I$14,0),FALSE)*HLOOKUP(REG_TRA_DEMANDS!$F166,DEMANDS!$G$2:$CK$25,MATCH($E166,DEMANDS!$E$2:$E$25,0),FALSE)/HLOOKUP(2018,DEMANDS!$G$2:$CK$25,MATCH($E166,DEMANDS!$E$2:$E$25,0),FALSE)</f>
        <v>0.42411073775226299</v>
      </c>
      <c r="Q166" s="20">
        <f>HLOOKUP(REG_TRA_DEMANDS!Q$3,'BY-Demands'!$J$5:$AK$14,MATCH($E166,'BY-Demands'!$I$5:$I$14,0),FALSE)*HLOOKUP(REG_TRA_DEMANDS!$F166,DEMANDS!$G$2:$CK$25,MATCH($E166,DEMANDS!$E$2:$E$25,0),FALSE)/HLOOKUP(2018,DEMANDS!$G$2:$CK$25,MATCH($E166,DEMANDS!$E$2:$E$25,0),FALSE)</f>
        <v>0.7153172003801328</v>
      </c>
      <c r="R166" s="20">
        <f>HLOOKUP(REG_TRA_DEMANDS!R$3,'BY-Demands'!$J$5:$AK$14,MATCH($E166,'BY-Demands'!$I$5:$I$14,0),FALSE)*HLOOKUP(REG_TRA_DEMANDS!$F166,DEMANDS!$G$2:$CK$25,MATCH($E166,DEMANDS!$E$2:$E$25,0),FALSE)/HLOOKUP(2018,DEMANDS!$G$2:$CK$25,MATCH($E166,DEMANDS!$E$2:$E$25,0),FALSE)</f>
        <v>0.68045479130749276</v>
      </c>
      <c r="S166" s="20">
        <f>HLOOKUP(REG_TRA_DEMANDS!S$3,'BY-Demands'!$J$5:$AK$14,MATCH($E166,'BY-Demands'!$I$5:$I$14,0),FALSE)*HLOOKUP(REG_TRA_DEMANDS!$F166,DEMANDS!$G$2:$CK$25,MATCH($E166,DEMANDS!$E$2:$E$25,0),FALSE)/HLOOKUP(2018,DEMANDS!$G$2:$CK$25,MATCH($E166,DEMANDS!$E$2:$E$25,0),FALSE)</f>
        <v>0.56766436327036951</v>
      </c>
      <c r="T166" s="20">
        <f>HLOOKUP(REG_TRA_DEMANDS!T$3,'BY-Demands'!$J$5:$AK$14,MATCH($E166,'BY-Demands'!$I$5:$I$14,0),FALSE)*HLOOKUP(REG_TRA_DEMANDS!$F166,DEMANDS!$G$2:$CK$25,MATCH($E166,DEMANDS!$E$2:$E$25,0),FALSE)/HLOOKUP(2018,DEMANDS!$G$2:$CK$25,MATCH($E166,DEMANDS!$E$2:$E$25,0),FALSE)</f>
        <v>2.5936256390908592</v>
      </c>
      <c r="U166" s="20">
        <f>HLOOKUP(REG_TRA_DEMANDS!U$3,'BY-Demands'!$J$5:$AK$14,MATCH($E166,'BY-Demands'!$I$5:$I$14,0),FALSE)*HLOOKUP(REG_TRA_DEMANDS!$F166,DEMANDS!$G$2:$CK$25,MATCH($E166,DEMANDS!$E$2:$E$25,0),FALSE)/HLOOKUP(2018,DEMANDS!$G$2:$CK$25,MATCH($E166,DEMANDS!$E$2:$E$25,0),FALSE)</f>
        <v>0.70569026406639179</v>
      </c>
      <c r="V166" s="20">
        <f>HLOOKUP(REG_TRA_DEMANDS!V$3,'BY-Demands'!$J$5:$AK$14,MATCH($E166,'BY-Demands'!$I$5:$I$14,0),FALSE)*HLOOKUP(REG_TRA_DEMANDS!$F166,DEMANDS!$G$2:$CK$25,MATCH($E166,DEMANDS!$E$2:$E$25,0),FALSE)/HLOOKUP(2018,DEMANDS!$G$2:$CK$25,MATCH($E166,DEMANDS!$E$2:$E$25,0),FALSE)</f>
        <v>0.93115645687933368</v>
      </c>
      <c r="W166" s="20">
        <f>HLOOKUP(REG_TRA_DEMANDS!W$3,'BY-Demands'!$J$5:$AK$14,MATCH($E166,'BY-Demands'!$I$5:$I$14,0),FALSE)*HLOOKUP(REG_TRA_DEMANDS!$F166,DEMANDS!$G$2:$CK$25,MATCH($E166,DEMANDS!$E$2:$E$25,0),FALSE)/HLOOKUP(2018,DEMANDS!$G$2:$CK$25,MATCH($E166,DEMANDS!$E$2:$E$25,0),FALSE)</f>
        <v>0.76228613879223739</v>
      </c>
      <c r="X166" s="20">
        <f>HLOOKUP(REG_TRA_DEMANDS!X$3,'BY-Demands'!$J$5:$AK$14,MATCH($E166,'BY-Demands'!$I$5:$I$14,0),FALSE)*HLOOKUP(REG_TRA_DEMANDS!$F166,DEMANDS!$G$2:$CK$25,MATCH($E166,DEMANDS!$E$2:$E$25,0),FALSE)/HLOOKUP(2018,DEMANDS!$G$2:$CK$25,MATCH($E166,DEMANDS!$E$2:$E$25,0),FALSE)</f>
        <v>0.55504662689091944</v>
      </c>
      <c r="Y166" s="20">
        <f>HLOOKUP(REG_TRA_DEMANDS!Y$3,'BY-Demands'!$J$5:$AK$14,MATCH($E166,'BY-Demands'!$I$5:$I$14,0),FALSE)*HLOOKUP(REG_TRA_DEMANDS!$F166,DEMANDS!$G$2:$CK$25,MATCH($E166,DEMANDS!$E$2:$E$25,0),FALSE)/HLOOKUP(2018,DEMANDS!$G$2:$CK$25,MATCH($E166,DEMANDS!$E$2:$E$25,0),FALSE)</f>
        <v>1.2329071619113803</v>
      </c>
      <c r="Z166" s="20">
        <f>HLOOKUP(REG_TRA_DEMANDS!Z$3,'BY-Demands'!$J$5:$AK$14,MATCH($E166,'BY-Demands'!$I$5:$I$14,0),FALSE)*HLOOKUP(REG_TRA_DEMANDS!$F166,DEMANDS!$G$2:$CK$25,MATCH($E166,DEMANDS!$E$2:$E$25,0),FALSE)/HLOOKUP(2018,DEMANDS!$G$2:$CK$25,MATCH($E166,DEMANDS!$E$2:$E$25,0),FALSE)</f>
        <v>0.15309456438586874</v>
      </c>
      <c r="AA166" s="20">
        <f>HLOOKUP(REG_TRA_DEMANDS!AA$3,'BY-Demands'!$J$5:$AK$14,MATCH($E166,'BY-Demands'!$I$5:$I$14,0),FALSE)*HLOOKUP(REG_TRA_DEMANDS!$F166,DEMANDS!$G$2:$CK$25,MATCH($E166,DEMANDS!$E$2:$E$25,0),FALSE)/HLOOKUP(2018,DEMANDS!$G$2:$CK$25,MATCH($E166,DEMANDS!$E$2:$E$25,0),FALSE)</f>
        <v>0.62351492679773235</v>
      </c>
      <c r="AB166" s="20">
        <f>HLOOKUP(REG_TRA_DEMANDS!AB$3,'BY-Demands'!$J$5:$AK$14,MATCH($E166,'BY-Demands'!$I$5:$I$14,0),FALSE)*HLOOKUP(REG_TRA_DEMANDS!$F166,DEMANDS!$G$2:$CK$25,MATCH($E166,DEMANDS!$E$2:$E$25,0),FALSE)/HLOOKUP(2018,DEMANDS!$G$2:$CK$25,MATCH($E166,DEMANDS!$E$2:$E$25,0),FALSE)</f>
        <v>0.30836773073653384</v>
      </c>
      <c r="AC166" s="20">
        <f>HLOOKUP(REG_TRA_DEMANDS!AC$3,'BY-Demands'!$J$5:$AK$14,MATCH($E166,'BY-Demands'!$I$5:$I$14,0),FALSE)*HLOOKUP(REG_TRA_DEMANDS!$F166,DEMANDS!$G$2:$CK$25,MATCH($E166,DEMANDS!$E$2:$E$25,0),FALSE)/HLOOKUP(2018,DEMANDS!$G$2:$CK$25,MATCH($E166,DEMANDS!$E$2:$E$25,0),FALSE)</f>
        <v>0.31310236790125712</v>
      </c>
      <c r="AD166" s="20">
        <f>HLOOKUP(REG_TRA_DEMANDS!AD$3,'BY-Demands'!$J$5:$AK$14,MATCH($E166,'BY-Demands'!$I$5:$I$14,0),FALSE)*HLOOKUP(REG_TRA_DEMANDS!$F166,DEMANDS!$G$2:$CK$25,MATCH($E166,DEMANDS!$E$2:$E$25,0),FALSE)/HLOOKUP(2018,DEMANDS!$G$2:$CK$25,MATCH($E166,DEMANDS!$E$2:$E$25,0),FALSE)</f>
        <v>0.36394119138240832</v>
      </c>
      <c r="AE166" s="20">
        <f>HLOOKUP(REG_TRA_DEMANDS!AE$3,'BY-Demands'!$J$5:$AK$14,MATCH($E166,'BY-Demands'!$I$5:$I$14,0),FALSE)*HLOOKUP(REG_TRA_DEMANDS!$F166,DEMANDS!$G$2:$CK$25,MATCH($E166,DEMANDS!$E$2:$E$25,0),FALSE)/HLOOKUP(2018,DEMANDS!$G$2:$CK$25,MATCH($E166,DEMANDS!$E$2:$E$25,0),FALSE)</f>
        <v>0.76056141223677332</v>
      </c>
      <c r="AF166" s="20">
        <f>HLOOKUP(REG_TRA_DEMANDS!AF$3,'BY-Demands'!$J$5:$AK$14,MATCH($E166,'BY-Demands'!$I$5:$I$14,0),FALSE)*HLOOKUP(REG_TRA_DEMANDS!$F166,DEMANDS!$G$2:$CK$25,MATCH($E166,DEMANDS!$E$2:$E$25,0),FALSE)/HLOOKUP(2018,DEMANDS!$G$2:$CK$25,MATCH($E166,DEMANDS!$E$2:$E$25,0),FALSE)</f>
        <v>0.29327995660313688</v>
      </c>
    </row>
    <row r="167" spans="4:32" ht="14.4">
      <c r="D167" t="s">
        <v>6</v>
      </c>
      <c r="E167" t="str">
        <f>DEMANDS!$E$23</f>
        <v>TOTH</v>
      </c>
      <c r="F167">
        <v>2021</v>
      </c>
      <c r="G167" s="18">
        <f>HLOOKUP(REG_TRA_DEMANDS!G$3,'BY-Demands'!$J$5:$AK$14,MATCH($E167,'BY-Demands'!$I$5:$I$14,0),FALSE)*HLOOKUP(REG_TRA_DEMANDS!$F167,DEMANDS!$G$2:$CK$25,MATCH($E167,DEMANDS!$E$2:$E$25,0),FALSE)/HLOOKUP(2018,DEMANDS!$G$2:$CK$25,MATCH($E167,DEMANDS!$E$2:$E$25,0),FALSE)</f>
        <v>0.18089944491364476</v>
      </c>
      <c r="H167" s="18">
        <f>HLOOKUP(REG_TRA_DEMANDS!H$3,'BY-Demands'!$J$5:$AK$14,MATCH($E167,'BY-Demands'!$I$5:$I$14,0),FALSE)*HLOOKUP(REG_TRA_DEMANDS!$F167,DEMANDS!$G$2:$CK$25,MATCH($E167,DEMANDS!$E$2:$E$25,0),FALSE)/HLOOKUP(2018,DEMANDS!$G$2:$CK$25,MATCH($E167,DEMANDS!$E$2:$E$25,0),FALSE)</f>
        <v>4.2811862432270846</v>
      </c>
      <c r="I167" s="18">
        <f>HLOOKUP(REG_TRA_DEMANDS!I$3,'BY-Demands'!$J$5:$AK$14,MATCH($E167,'BY-Demands'!$I$5:$I$14,0),FALSE)*HLOOKUP(REG_TRA_DEMANDS!$F167,DEMANDS!$G$2:$CK$25,MATCH($E167,DEMANDS!$E$2:$E$25,0),FALSE)/HLOOKUP(2018,DEMANDS!$G$2:$CK$25,MATCH($E167,DEMANDS!$E$2:$E$25,0),FALSE)</f>
        <v>0.70699870180330382</v>
      </c>
      <c r="J167" s="18">
        <f>HLOOKUP(REG_TRA_DEMANDS!J$3,'BY-Demands'!$J$5:$AK$14,MATCH($E167,'BY-Demands'!$I$5:$I$14,0),FALSE)*HLOOKUP(REG_TRA_DEMANDS!$F167,DEMANDS!$G$2:$CK$25,MATCH($E167,DEMANDS!$E$2:$E$25,0),FALSE)/HLOOKUP(2018,DEMANDS!$G$2:$CK$25,MATCH($E167,DEMANDS!$E$2:$E$25,0),FALSE)</f>
        <v>0.31530622001108055</v>
      </c>
      <c r="K167" s="18">
        <f>HLOOKUP(REG_TRA_DEMANDS!K$3,'BY-Demands'!$J$5:$AK$14,MATCH($E167,'BY-Demands'!$I$5:$I$14,0),FALSE)*HLOOKUP(REG_TRA_DEMANDS!$F167,DEMANDS!$G$2:$CK$25,MATCH($E167,DEMANDS!$E$2:$E$25,0),FALSE)/HLOOKUP(2018,DEMANDS!$G$2:$CK$25,MATCH($E167,DEMANDS!$E$2:$E$25,0),FALSE)</f>
        <v>0.26912176431270607</v>
      </c>
      <c r="L167" s="18">
        <f>HLOOKUP(REG_TRA_DEMANDS!L$3,'BY-Demands'!$J$5:$AK$14,MATCH($E167,'BY-Demands'!$I$5:$I$14,0),FALSE)*HLOOKUP(REG_TRA_DEMANDS!$F167,DEMANDS!$G$2:$CK$25,MATCH($E167,DEMANDS!$E$2:$E$25,0),FALSE)/HLOOKUP(2018,DEMANDS!$G$2:$CK$25,MATCH($E167,DEMANDS!$E$2:$E$25,0),FALSE)</f>
        <v>0.12987253235360474</v>
      </c>
      <c r="M167" s="18">
        <f>HLOOKUP(REG_TRA_DEMANDS!M$3,'BY-Demands'!$J$5:$AK$14,MATCH($E167,'BY-Demands'!$I$5:$I$14,0),FALSE)*HLOOKUP(REG_TRA_DEMANDS!$F167,DEMANDS!$G$2:$CK$25,MATCH($E167,DEMANDS!$E$2:$E$25,0),FALSE)/HLOOKUP(2018,DEMANDS!$G$2:$CK$25,MATCH($E167,DEMANDS!$E$2:$E$25,0),FALSE)</f>
        <v>0.40952441611484319</v>
      </c>
      <c r="N167" s="18">
        <f>HLOOKUP(REG_TRA_DEMANDS!N$3,'BY-Demands'!$J$5:$AK$14,MATCH($E167,'BY-Demands'!$I$5:$I$14,0),FALSE)*HLOOKUP(REG_TRA_DEMANDS!$F167,DEMANDS!$G$2:$CK$25,MATCH($E167,DEMANDS!$E$2:$E$25,0),FALSE)/HLOOKUP(2018,DEMANDS!$G$2:$CK$25,MATCH($E167,DEMANDS!$E$2:$E$25,0),FALSE)</f>
        <v>0.61974550926960204</v>
      </c>
      <c r="O167" s="18">
        <f>HLOOKUP(REG_TRA_DEMANDS!O$3,'BY-Demands'!$J$5:$AK$14,MATCH($E167,'BY-Demands'!$I$5:$I$14,0),FALSE)*HLOOKUP(REG_TRA_DEMANDS!$F167,DEMANDS!$G$2:$CK$25,MATCH($E167,DEMANDS!$E$2:$E$25,0),FALSE)/HLOOKUP(2018,DEMANDS!$G$2:$CK$25,MATCH($E167,DEMANDS!$E$2:$E$25,0),FALSE)</f>
        <v>0.24771835918135079</v>
      </c>
      <c r="P167" s="18">
        <f>HLOOKUP(REG_TRA_DEMANDS!P$3,'BY-Demands'!$J$5:$AK$14,MATCH($E167,'BY-Demands'!$I$5:$I$14,0),FALSE)*HLOOKUP(REG_TRA_DEMANDS!$F167,DEMANDS!$G$2:$CK$25,MATCH($E167,DEMANDS!$E$2:$E$25,0),FALSE)/HLOOKUP(2018,DEMANDS!$G$2:$CK$25,MATCH($E167,DEMANDS!$E$2:$E$25,0),FALSE)</f>
        <v>0.28206357979667418</v>
      </c>
      <c r="Q167" s="18">
        <f>HLOOKUP(REG_TRA_DEMANDS!Q$3,'BY-Demands'!$J$5:$AK$14,MATCH($E167,'BY-Demands'!$I$5:$I$14,0),FALSE)*HLOOKUP(REG_TRA_DEMANDS!$F167,DEMANDS!$G$2:$CK$25,MATCH($E167,DEMANDS!$E$2:$E$25,0),FALSE)/HLOOKUP(2018,DEMANDS!$G$2:$CK$25,MATCH($E167,DEMANDS!$E$2:$E$25,0),FALSE)</f>
        <v>0.47573643454227438</v>
      </c>
      <c r="R167" s="18">
        <f>HLOOKUP(REG_TRA_DEMANDS!R$3,'BY-Demands'!$J$5:$AK$14,MATCH($E167,'BY-Demands'!$I$5:$I$14,0),FALSE)*HLOOKUP(REG_TRA_DEMANDS!$F167,DEMANDS!$G$2:$CK$25,MATCH($E167,DEMANDS!$E$2:$E$25,0),FALSE)/HLOOKUP(2018,DEMANDS!$G$2:$CK$25,MATCH($E167,DEMANDS!$E$2:$E$25,0),FALSE)</f>
        <v>0.45255047147168376</v>
      </c>
      <c r="S167" s="18">
        <f>HLOOKUP(REG_TRA_DEMANDS!S$3,'BY-Demands'!$J$5:$AK$14,MATCH($E167,'BY-Demands'!$I$5:$I$14,0),FALSE)*HLOOKUP(REG_TRA_DEMANDS!$F167,DEMANDS!$G$2:$CK$25,MATCH($E167,DEMANDS!$E$2:$E$25,0),FALSE)/HLOOKUP(2018,DEMANDS!$G$2:$CK$25,MATCH($E167,DEMANDS!$E$2:$E$25,0),FALSE)</f>
        <v>0.37753687462770624</v>
      </c>
      <c r="T167" s="18">
        <f>HLOOKUP(REG_TRA_DEMANDS!T$3,'BY-Demands'!$J$5:$AK$14,MATCH($E167,'BY-Demands'!$I$5:$I$14,0),FALSE)*HLOOKUP(REG_TRA_DEMANDS!$F167,DEMANDS!$G$2:$CK$25,MATCH($E167,DEMANDS!$E$2:$E$25,0),FALSE)/HLOOKUP(2018,DEMANDS!$G$2:$CK$25,MATCH($E167,DEMANDS!$E$2:$E$25,0),FALSE)</f>
        <v>1.7249441414561333</v>
      </c>
      <c r="U167" s="18">
        <f>HLOOKUP(REG_TRA_DEMANDS!U$3,'BY-Demands'!$J$5:$AK$14,MATCH($E167,'BY-Demands'!$I$5:$I$14,0),FALSE)*HLOOKUP(REG_TRA_DEMANDS!$F167,DEMANDS!$G$2:$CK$25,MATCH($E167,DEMANDS!$E$2:$E$25,0),FALSE)/HLOOKUP(2018,DEMANDS!$G$2:$CK$25,MATCH($E167,DEMANDS!$E$2:$E$25,0),FALSE)</f>
        <v>0.46933384230063541</v>
      </c>
      <c r="V167" s="18">
        <f>HLOOKUP(REG_TRA_DEMANDS!V$3,'BY-Demands'!$J$5:$AK$14,MATCH($E167,'BY-Demands'!$I$5:$I$14,0),FALSE)*HLOOKUP(REG_TRA_DEMANDS!$F167,DEMANDS!$G$2:$CK$25,MATCH($E167,DEMANDS!$E$2:$E$25,0),FALSE)/HLOOKUP(2018,DEMANDS!$G$2:$CK$25,MATCH($E167,DEMANDS!$E$2:$E$25,0),FALSE)</f>
        <v>0.61928477682541505</v>
      </c>
      <c r="W167" s="18">
        <f>HLOOKUP(REG_TRA_DEMANDS!W$3,'BY-Demands'!$J$5:$AK$14,MATCH($E167,'BY-Demands'!$I$5:$I$14,0),FALSE)*HLOOKUP(REG_TRA_DEMANDS!$F167,DEMANDS!$G$2:$CK$25,MATCH($E167,DEMANDS!$E$2:$E$25,0),FALSE)/HLOOKUP(2018,DEMANDS!$G$2:$CK$25,MATCH($E167,DEMANDS!$E$2:$E$25,0),FALSE)</f>
        <v>0.50697409425818196</v>
      </c>
      <c r="X167" s="18">
        <f>HLOOKUP(REG_TRA_DEMANDS!X$3,'BY-Demands'!$J$5:$AK$14,MATCH($E167,'BY-Demands'!$I$5:$I$14,0),FALSE)*HLOOKUP(REG_TRA_DEMANDS!$F167,DEMANDS!$G$2:$CK$25,MATCH($E167,DEMANDS!$E$2:$E$25,0),FALSE)/HLOOKUP(2018,DEMANDS!$G$2:$CK$25,MATCH($E167,DEMANDS!$E$2:$E$25,0),FALSE)</f>
        <v>0.36914518921322997</v>
      </c>
      <c r="Y167" s="18">
        <f>HLOOKUP(REG_TRA_DEMANDS!Y$3,'BY-Demands'!$J$5:$AK$14,MATCH($E167,'BY-Demands'!$I$5:$I$14,0),FALSE)*HLOOKUP(REG_TRA_DEMANDS!$F167,DEMANDS!$G$2:$CK$25,MATCH($E167,DEMANDS!$E$2:$E$25,0),FALSE)/HLOOKUP(2018,DEMANDS!$G$2:$CK$25,MATCH($E167,DEMANDS!$E$2:$E$25,0),FALSE)</f>
        <v>0.81997029711805758</v>
      </c>
      <c r="Z167" s="18">
        <f>HLOOKUP(REG_TRA_DEMANDS!Z$3,'BY-Demands'!$J$5:$AK$14,MATCH($E167,'BY-Demands'!$I$5:$I$14,0),FALSE)*HLOOKUP(REG_TRA_DEMANDS!$F167,DEMANDS!$G$2:$CK$25,MATCH($E167,DEMANDS!$E$2:$E$25,0),FALSE)/HLOOKUP(2018,DEMANDS!$G$2:$CK$25,MATCH($E167,DEMANDS!$E$2:$E$25,0),FALSE)</f>
        <v>0.10181869270028908</v>
      </c>
      <c r="AA167" s="18">
        <f>HLOOKUP(REG_TRA_DEMANDS!AA$3,'BY-Demands'!$J$5:$AK$14,MATCH($E167,'BY-Demands'!$I$5:$I$14,0),FALSE)*HLOOKUP(REG_TRA_DEMANDS!$F167,DEMANDS!$G$2:$CK$25,MATCH($E167,DEMANDS!$E$2:$E$25,0),FALSE)/HLOOKUP(2018,DEMANDS!$G$2:$CK$25,MATCH($E167,DEMANDS!$E$2:$E$25,0),FALSE)</f>
        <v>0.41468144202461005</v>
      </c>
      <c r="AB167" s="18">
        <f>HLOOKUP(REG_TRA_DEMANDS!AB$3,'BY-Demands'!$J$5:$AK$14,MATCH($E167,'BY-Demands'!$I$5:$I$14,0),FALSE)*HLOOKUP(REG_TRA_DEMANDS!$F167,DEMANDS!$G$2:$CK$25,MATCH($E167,DEMANDS!$E$2:$E$25,0),FALSE)/HLOOKUP(2018,DEMANDS!$G$2:$CK$25,MATCH($E167,DEMANDS!$E$2:$E$25,0),FALSE)</f>
        <v>0.20508630950091886</v>
      </c>
      <c r="AC167" s="18">
        <f>HLOOKUP(REG_TRA_DEMANDS!AC$3,'BY-Demands'!$J$5:$AK$14,MATCH($E167,'BY-Demands'!$I$5:$I$14,0),FALSE)*HLOOKUP(REG_TRA_DEMANDS!$F167,DEMANDS!$G$2:$CK$25,MATCH($E167,DEMANDS!$E$2:$E$25,0),FALSE)/HLOOKUP(2018,DEMANDS!$G$2:$CK$25,MATCH($E167,DEMANDS!$E$2:$E$25,0),FALSE)</f>
        <v>0.20823517744705494</v>
      </c>
      <c r="AD167" s="18">
        <f>HLOOKUP(REG_TRA_DEMANDS!AD$3,'BY-Demands'!$J$5:$AK$14,MATCH($E167,'BY-Demands'!$I$5:$I$14,0),FALSE)*HLOOKUP(REG_TRA_DEMANDS!$F167,DEMANDS!$G$2:$CK$25,MATCH($E167,DEMANDS!$E$2:$E$25,0),FALSE)/HLOOKUP(2018,DEMANDS!$G$2:$CK$25,MATCH($E167,DEMANDS!$E$2:$E$25,0),FALSE)</f>
        <v>0.24204658392014702</v>
      </c>
      <c r="AE167" s="18">
        <f>HLOOKUP(REG_TRA_DEMANDS!AE$3,'BY-Demands'!$J$5:$AK$14,MATCH($E167,'BY-Demands'!$I$5:$I$14,0),FALSE)*HLOOKUP(REG_TRA_DEMANDS!$F167,DEMANDS!$G$2:$CK$25,MATCH($E167,DEMANDS!$E$2:$E$25,0),FALSE)/HLOOKUP(2018,DEMANDS!$G$2:$CK$25,MATCH($E167,DEMANDS!$E$2:$E$25,0),FALSE)</f>
        <v>0.50582702934541202</v>
      </c>
      <c r="AF167" s="18">
        <f>HLOOKUP(REG_TRA_DEMANDS!AF$3,'BY-Demands'!$J$5:$AK$14,MATCH($E167,'BY-Demands'!$I$5:$I$14,0),FALSE)*HLOOKUP(REG_TRA_DEMANDS!$F167,DEMANDS!$G$2:$CK$25,MATCH($E167,DEMANDS!$E$2:$E$25,0),FALSE)/HLOOKUP(2018,DEMANDS!$G$2:$CK$25,MATCH($E167,DEMANDS!$E$2:$E$25,0),FALSE)</f>
        <v>0.19505187461302997</v>
      </c>
    </row>
    <row r="168" spans="4:32" ht="14.4">
      <c r="D168" t="s">
        <v>6</v>
      </c>
      <c r="E168" t="str">
        <f>DEMANDS!$E$23</f>
        <v>TOTH</v>
      </c>
      <c r="F168">
        <v>2022</v>
      </c>
      <c r="G168" s="18">
        <f>HLOOKUP(REG_TRA_DEMANDS!G$3,'BY-Demands'!$J$5:$AK$14,MATCH($E168,'BY-Demands'!$I$5:$I$14,0),FALSE)*HLOOKUP(REG_TRA_DEMANDS!$F168,DEMANDS!$G$2:$CK$25,MATCH($E168,DEMANDS!$E$2:$E$25,0),FALSE)/HLOOKUP(2018,DEMANDS!$G$2:$CK$25,MATCH($E168,DEMANDS!$E$2:$E$25,0),FALSE)</f>
        <v>0.15735502404494861</v>
      </c>
      <c r="H168" s="18">
        <f>HLOOKUP(REG_TRA_DEMANDS!H$3,'BY-Demands'!$J$5:$AK$14,MATCH($E168,'BY-Demands'!$I$5:$I$14,0),FALSE)*HLOOKUP(REG_TRA_DEMANDS!$F168,DEMANDS!$G$2:$CK$25,MATCH($E168,DEMANDS!$E$2:$E$25,0),FALSE)/HLOOKUP(2018,DEMANDS!$G$2:$CK$25,MATCH($E168,DEMANDS!$E$2:$E$25,0),FALSE)</f>
        <v>3.7239813785248845</v>
      </c>
      <c r="I168" s="18">
        <f>HLOOKUP(REG_TRA_DEMANDS!I$3,'BY-Demands'!$J$5:$AK$14,MATCH($E168,'BY-Demands'!$I$5:$I$14,0),FALSE)*HLOOKUP(REG_TRA_DEMANDS!$F168,DEMANDS!$G$2:$CK$25,MATCH($E168,DEMANDS!$E$2:$E$25,0),FALSE)/HLOOKUP(2018,DEMANDS!$G$2:$CK$25,MATCH($E168,DEMANDS!$E$2:$E$25,0),FALSE)</f>
        <v>0.61498142117082344</v>
      </c>
      <c r="J168" s="18">
        <f>HLOOKUP(REG_TRA_DEMANDS!J$3,'BY-Demands'!$J$5:$AK$14,MATCH($E168,'BY-Demands'!$I$5:$I$14,0),FALSE)*HLOOKUP(REG_TRA_DEMANDS!$F168,DEMANDS!$G$2:$CK$25,MATCH($E168,DEMANDS!$E$2:$E$25,0),FALSE)/HLOOKUP(2018,DEMANDS!$G$2:$CK$25,MATCH($E168,DEMANDS!$E$2:$E$25,0),FALSE)</f>
        <v>0.27426849128835057</v>
      </c>
      <c r="K168" s="18">
        <f>HLOOKUP(REG_TRA_DEMANDS!K$3,'BY-Demands'!$J$5:$AK$14,MATCH($E168,'BY-Demands'!$I$5:$I$14,0),FALSE)*HLOOKUP(REG_TRA_DEMANDS!$F168,DEMANDS!$G$2:$CK$25,MATCH($E168,DEMANDS!$E$2:$E$25,0),FALSE)/HLOOKUP(2018,DEMANDS!$G$2:$CK$25,MATCH($E168,DEMANDS!$E$2:$E$25,0),FALSE)</f>
        <v>0.23409503392705369</v>
      </c>
      <c r="L168" s="18">
        <f>HLOOKUP(REG_TRA_DEMANDS!L$3,'BY-Demands'!$J$5:$AK$14,MATCH($E168,'BY-Demands'!$I$5:$I$14,0),FALSE)*HLOOKUP(REG_TRA_DEMANDS!$F168,DEMANDS!$G$2:$CK$25,MATCH($E168,DEMANDS!$E$2:$E$25,0),FALSE)/HLOOKUP(2018,DEMANDS!$G$2:$CK$25,MATCH($E168,DEMANDS!$E$2:$E$25,0),FALSE)</f>
        <v>0.11296936516878391</v>
      </c>
      <c r="M168" s="18">
        <f>HLOOKUP(REG_TRA_DEMANDS!M$3,'BY-Demands'!$J$5:$AK$14,MATCH($E168,'BY-Demands'!$I$5:$I$14,0),FALSE)*HLOOKUP(REG_TRA_DEMANDS!$F168,DEMANDS!$G$2:$CK$25,MATCH($E168,DEMANDS!$E$2:$E$25,0),FALSE)/HLOOKUP(2018,DEMANDS!$G$2:$CK$25,MATCH($E168,DEMANDS!$E$2:$E$25,0),FALSE)</f>
        <v>0.35622400265244875</v>
      </c>
      <c r="N168" s="18">
        <f>HLOOKUP(REG_TRA_DEMANDS!N$3,'BY-Demands'!$J$5:$AK$14,MATCH($E168,'BY-Demands'!$I$5:$I$14,0),FALSE)*HLOOKUP(REG_TRA_DEMANDS!$F168,DEMANDS!$G$2:$CK$25,MATCH($E168,DEMANDS!$E$2:$E$25,0),FALSE)/HLOOKUP(2018,DEMANDS!$G$2:$CK$25,MATCH($E168,DEMANDS!$E$2:$E$25,0),FALSE)</f>
        <v>0.53908440437404281</v>
      </c>
      <c r="O168" s="18">
        <f>HLOOKUP(REG_TRA_DEMANDS!O$3,'BY-Demands'!$J$5:$AK$14,MATCH($E168,'BY-Demands'!$I$5:$I$14,0),FALSE)*HLOOKUP(REG_TRA_DEMANDS!$F168,DEMANDS!$G$2:$CK$25,MATCH($E168,DEMANDS!$E$2:$E$25,0),FALSE)/HLOOKUP(2018,DEMANDS!$G$2:$CK$25,MATCH($E168,DEMANDS!$E$2:$E$25,0),FALSE)</f>
        <v>0.21547732434427461</v>
      </c>
      <c r="P168" s="18">
        <f>HLOOKUP(REG_TRA_DEMANDS!P$3,'BY-Demands'!$J$5:$AK$14,MATCH($E168,'BY-Demands'!$I$5:$I$14,0),FALSE)*HLOOKUP(REG_TRA_DEMANDS!$F168,DEMANDS!$G$2:$CK$25,MATCH($E168,DEMANDS!$E$2:$E$25,0),FALSE)/HLOOKUP(2018,DEMANDS!$G$2:$CK$25,MATCH($E168,DEMANDS!$E$2:$E$25,0),FALSE)</f>
        <v>0.24535244650583318</v>
      </c>
      <c r="Q168" s="18">
        <f>HLOOKUP(REG_TRA_DEMANDS!Q$3,'BY-Demands'!$J$5:$AK$14,MATCH($E168,'BY-Demands'!$I$5:$I$14,0),FALSE)*HLOOKUP(REG_TRA_DEMANDS!$F168,DEMANDS!$G$2:$CK$25,MATCH($E168,DEMANDS!$E$2:$E$25,0),FALSE)/HLOOKUP(2018,DEMANDS!$G$2:$CK$25,MATCH($E168,DEMANDS!$E$2:$E$25,0),FALSE)</f>
        <v>0.41381839580653829</v>
      </c>
      <c r="R168" s="18">
        <f>HLOOKUP(REG_TRA_DEMANDS!R$3,'BY-Demands'!$J$5:$AK$14,MATCH($E168,'BY-Demands'!$I$5:$I$14,0),FALSE)*HLOOKUP(REG_TRA_DEMANDS!$F168,DEMANDS!$G$2:$CK$25,MATCH($E168,DEMANDS!$E$2:$E$25,0),FALSE)/HLOOKUP(2018,DEMANDS!$G$2:$CK$25,MATCH($E168,DEMANDS!$E$2:$E$25,0),FALSE)</f>
        <v>0.39365013172911273</v>
      </c>
      <c r="S168" s="18">
        <f>HLOOKUP(REG_TRA_DEMANDS!S$3,'BY-Demands'!$J$5:$AK$14,MATCH($E168,'BY-Demands'!$I$5:$I$14,0),FALSE)*HLOOKUP(REG_TRA_DEMANDS!$F168,DEMANDS!$G$2:$CK$25,MATCH($E168,DEMANDS!$E$2:$E$25,0),FALSE)/HLOOKUP(2018,DEMANDS!$G$2:$CK$25,MATCH($E168,DEMANDS!$E$2:$E$25,0),FALSE)</f>
        <v>0.32839970301322097</v>
      </c>
      <c r="T168" s="18">
        <f>HLOOKUP(REG_TRA_DEMANDS!T$3,'BY-Demands'!$J$5:$AK$14,MATCH($E168,'BY-Demands'!$I$5:$I$14,0),FALSE)*HLOOKUP(REG_TRA_DEMANDS!$F168,DEMANDS!$G$2:$CK$25,MATCH($E168,DEMANDS!$E$2:$E$25,0),FALSE)/HLOOKUP(2018,DEMANDS!$G$2:$CK$25,MATCH($E168,DEMANDS!$E$2:$E$25,0),FALSE)</f>
        <v>1.5004392467019119</v>
      </c>
      <c r="U168" s="18">
        <f>HLOOKUP(REG_TRA_DEMANDS!U$3,'BY-Demands'!$J$5:$AK$14,MATCH($E168,'BY-Demands'!$I$5:$I$14,0),FALSE)*HLOOKUP(REG_TRA_DEMANDS!$F168,DEMANDS!$G$2:$CK$25,MATCH($E168,DEMANDS!$E$2:$E$25,0),FALSE)/HLOOKUP(2018,DEMANDS!$G$2:$CK$25,MATCH($E168,DEMANDS!$E$2:$E$25,0),FALSE)</f>
        <v>0.40824911361988458</v>
      </c>
      <c r="V168" s="18">
        <f>HLOOKUP(REG_TRA_DEMANDS!V$3,'BY-Demands'!$J$5:$AK$14,MATCH($E168,'BY-Demands'!$I$5:$I$14,0),FALSE)*HLOOKUP(REG_TRA_DEMANDS!$F168,DEMANDS!$G$2:$CK$25,MATCH($E168,DEMANDS!$E$2:$E$25,0),FALSE)/HLOOKUP(2018,DEMANDS!$G$2:$CK$25,MATCH($E168,DEMANDS!$E$2:$E$25,0),FALSE)</f>
        <v>0.53868363716954448</v>
      </c>
      <c r="W168" s="18">
        <f>HLOOKUP(REG_TRA_DEMANDS!W$3,'BY-Demands'!$J$5:$AK$14,MATCH($E168,'BY-Demands'!$I$5:$I$14,0),FALSE)*HLOOKUP(REG_TRA_DEMANDS!$F168,DEMANDS!$G$2:$CK$25,MATCH($E168,DEMANDS!$E$2:$E$25,0),FALSE)/HLOOKUP(2018,DEMANDS!$G$2:$CK$25,MATCH($E168,DEMANDS!$E$2:$E$25,0),FALSE)</f>
        <v>0.44099041227154739</v>
      </c>
      <c r="X168" s="18">
        <f>HLOOKUP(REG_TRA_DEMANDS!X$3,'BY-Demands'!$J$5:$AK$14,MATCH($E168,'BY-Demands'!$I$5:$I$14,0),FALSE)*HLOOKUP(REG_TRA_DEMANDS!$F168,DEMANDS!$G$2:$CK$25,MATCH($E168,DEMANDS!$E$2:$E$25,0),FALSE)/HLOOKUP(2018,DEMANDS!$G$2:$CK$25,MATCH($E168,DEMANDS!$E$2:$E$25,0),FALSE)</f>
        <v>0.32110021206783468</v>
      </c>
      <c r="Y168" s="18">
        <f>HLOOKUP(REG_TRA_DEMANDS!Y$3,'BY-Demands'!$J$5:$AK$14,MATCH($E168,'BY-Demands'!$I$5:$I$14,0),FALSE)*HLOOKUP(REG_TRA_DEMANDS!$F168,DEMANDS!$G$2:$CK$25,MATCH($E168,DEMANDS!$E$2:$E$25,0),FALSE)/HLOOKUP(2018,DEMANDS!$G$2:$CK$25,MATCH($E168,DEMANDS!$E$2:$E$25,0),FALSE)</f>
        <v>0.71324953971389149</v>
      </c>
      <c r="Z168" s="18">
        <f>HLOOKUP(REG_TRA_DEMANDS!Z$3,'BY-Demands'!$J$5:$AK$14,MATCH($E168,'BY-Demands'!$I$5:$I$14,0),FALSE)*HLOOKUP(REG_TRA_DEMANDS!$F168,DEMANDS!$G$2:$CK$25,MATCH($E168,DEMANDS!$E$2:$E$25,0),FALSE)/HLOOKUP(2018,DEMANDS!$G$2:$CK$25,MATCH($E168,DEMANDS!$E$2:$E$25,0),FALSE)</f>
        <v>0.088566788282448461</v>
      </c>
      <c r="AA168" s="18">
        <f>HLOOKUP(REG_TRA_DEMANDS!AA$3,'BY-Demands'!$J$5:$AK$14,MATCH($E168,'BY-Demands'!$I$5:$I$14,0),FALSE)*HLOOKUP(REG_TRA_DEMANDS!$F168,DEMANDS!$G$2:$CK$25,MATCH($E168,DEMANDS!$E$2:$E$25,0),FALSE)/HLOOKUP(2018,DEMANDS!$G$2:$CK$25,MATCH($E168,DEMANDS!$E$2:$E$25,0),FALSE)</f>
        <v>0.36070983143107849</v>
      </c>
      <c r="AB168" s="18">
        <f>HLOOKUP(REG_TRA_DEMANDS!AB$3,'BY-Demands'!$J$5:$AK$14,MATCH($E168,'BY-Demands'!$I$5:$I$14,0),FALSE)*HLOOKUP(REG_TRA_DEMANDS!$F168,DEMANDS!$G$2:$CK$25,MATCH($E168,DEMANDS!$E$2:$E$25,0),FALSE)/HLOOKUP(2018,DEMANDS!$G$2:$CK$25,MATCH($E168,DEMANDS!$E$2:$E$25,0),FALSE)</f>
        <v>0.17839392032525092</v>
      </c>
      <c r="AC168" s="18">
        <f>HLOOKUP(REG_TRA_DEMANDS!AC$3,'BY-Demands'!$J$5:$AK$14,MATCH($E168,'BY-Demands'!$I$5:$I$14,0),FALSE)*HLOOKUP(REG_TRA_DEMANDS!$F168,DEMANDS!$G$2:$CK$25,MATCH($E168,DEMANDS!$E$2:$E$25,0),FALSE)/HLOOKUP(2018,DEMANDS!$G$2:$CK$25,MATCH($E168,DEMANDS!$E$2:$E$25,0),FALSE)</f>
        <v>0.18113295687461758</v>
      </c>
      <c r="AD168" s="18">
        <f>HLOOKUP(REG_TRA_DEMANDS!AD$3,'BY-Demands'!$J$5:$AK$14,MATCH($E168,'BY-Demands'!$I$5:$I$14,0),FALSE)*HLOOKUP(REG_TRA_DEMANDS!$F168,DEMANDS!$G$2:$CK$25,MATCH($E168,DEMANDS!$E$2:$E$25,0),FALSE)/HLOOKUP(2018,DEMANDS!$G$2:$CK$25,MATCH($E168,DEMANDS!$E$2:$E$25,0),FALSE)</f>
        <v>0.21054374186130842</v>
      </c>
      <c r="AE168" s="18">
        <f>HLOOKUP(REG_TRA_DEMANDS!AE$3,'BY-Demands'!$J$5:$AK$14,MATCH($E168,'BY-Demands'!$I$5:$I$14,0),FALSE)*HLOOKUP(REG_TRA_DEMANDS!$F168,DEMANDS!$G$2:$CK$25,MATCH($E168,DEMANDS!$E$2:$E$25,0),FALSE)/HLOOKUP(2018,DEMANDS!$G$2:$CK$25,MATCH($E168,DEMANDS!$E$2:$E$25,0),FALSE)</f>
        <v>0.4399926401279336</v>
      </c>
      <c r="AF168" s="18">
        <f>HLOOKUP(REG_TRA_DEMANDS!AF$3,'BY-Demands'!$J$5:$AK$14,MATCH($E168,'BY-Demands'!$I$5:$I$14,0),FALSE)*HLOOKUP(REG_TRA_DEMANDS!$F168,DEMANDS!$G$2:$CK$25,MATCH($E168,DEMANDS!$E$2:$E$25,0),FALSE)/HLOOKUP(2018,DEMANDS!$G$2:$CK$25,MATCH($E168,DEMANDS!$E$2:$E$25,0),FALSE)</f>
        <v>0.16966548700244569</v>
      </c>
    </row>
    <row r="169" spans="4:32" ht="14.4">
      <c r="D169" t="s">
        <v>6</v>
      </c>
      <c r="E169" t="str">
        <f>DEMANDS!$E$23</f>
        <v>TOTH</v>
      </c>
      <c r="F169">
        <v>2023</v>
      </c>
      <c r="G169" s="18">
        <f>HLOOKUP(REG_TRA_DEMANDS!G$3,'BY-Demands'!$J$5:$AK$14,MATCH($E169,'BY-Demands'!$I$5:$I$14,0),FALSE)*HLOOKUP(REG_TRA_DEMANDS!$F169,DEMANDS!$G$2:$CK$25,MATCH($E169,DEMANDS!$E$2:$E$25,0),FALSE)/HLOOKUP(2018,DEMANDS!$G$2:$CK$25,MATCH($E169,DEMANDS!$E$2:$E$25,0),FALSE)</f>
        <v>0.14927998107498622</v>
      </c>
      <c r="H169" s="18">
        <f>HLOOKUP(REG_TRA_DEMANDS!H$3,'BY-Demands'!$J$5:$AK$14,MATCH($E169,'BY-Demands'!$I$5:$I$14,0),FALSE)*HLOOKUP(REG_TRA_DEMANDS!$F169,DEMANDS!$G$2:$CK$25,MATCH($E169,DEMANDS!$E$2:$E$25,0),FALSE)/HLOOKUP(2018,DEMANDS!$G$2:$CK$25,MATCH($E169,DEMANDS!$E$2:$E$25,0),FALSE)</f>
        <v>3.5328765197290295</v>
      </c>
      <c r="I169" s="18">
        <f>HLOOKUP(REG_TRA_DEMANDS!I$3,'BY-Demands'!$J$5:$AK$14,MATCH($E169,'BY-Demands'!$I$5:$I$14,0),FALSE)*HLOOKUP(REG_TRA_DEMANDS!$F169,DEMANDS!$G$2:$CK$25,MATCH($E169,DEMANDS!$E$2:$E$25,0),FALSE)/HLOOKUP(2018,DEMANDS!$G$2:$CK$25,MATCH($E169,DEMANDS!$E$2:$E$25,0),FALSE)</f>
        <v>0.58342220384157939</v>
      </c>
      <c r="J169" s="18">
        <f>HLOOKUP(REG_TRA_DEMANDS!J$3,'BY-Demands'!$J$5:$AK$14,MATCH($E169,'BY-Demands'!$I$5:$I$14,0),FALSE)*HLOOKUP(REG_TRA_DEMANDS!$F169,DEMANDS!$G$2:$CK$25,MATCH($E169,DEMANDS!$E$2:$E$25,0),FALSE)/HLOOKUP(2018,DEMANDS!$G$2:$CK$25,MATCH($E169,DEMANDS!$E$2:$E$25,0),FALSE)</f>
        <v>0.2601937589059416</v>
      </c>
      <c r="K169" s="18">
        <f>HLOOKUP(REG_TRA_DEMANDS!K$3,'BY-Demands'!$J$5:$AK$14,MATCH($E169,'BY-Demands'!$I$5:$I$14,0),FALSE)*HLOOKUP(REG_TRA_DEMANDS!$F169,DEMANDS!$G$2:$CK$25,MATCH($E169,DEMANDS!$E$2:$E$25,0),FALSE)/HLOOKUP(2018,DEMANDS!$G$2:$CK$25,MATCH($E169,DEMANDS!$E$2:$E$25,0),FALSE)</f>
        <v>0.22208189694913433</v>
      </c>
      <c r="L169" s="18">
        <f>HLOOKUP(REG_TRA_DEMANDS!L$3,'BY-Demands'!$J$5:$AK$14,MATCH($E169,'BY-Demands'!$I$5:$I$14,0),FALSE)*HLOOKUP(REG_TRA_DEMANDS!$F169,DEMANDS!$G$2:$CK$25,MATCH($E169,DEMANDS!$E$2:$E$25,0),FALSE)/HLOOKUP(2018,DEMANDS!$G$2:$CK$25,MATCH($E169,DEMANDS!$E$2:$E$25,0),FALSE)</f>
        <v>0.10717207662611415</v>
      </c>
      <c r="M169" s="18">
        <f>HLOOKUP(REG_TRA_DEMANDS!M$3,'BY-Demands'!$J$5:$AK$14,MATCH($E169,'BY-Demands'!$I$5:$I$14,0),FALSE)*HLOOKUP(REG_TRA_DEMANDS!$F169,DEMANDS!$G$2:$CK$25,MATCH($E169,DEMANDS!$E$2:$E$25,0),FALSE)/HLOOKUP(2018,DEMANDS!$G$2:$CK$25,MATCH($E169,DEMANDS!$E$2:$E$25,0),FALSE)</f>
        <v>0.33794353054290338</v>
      </c>
      <c r="N169" s="18">
        <f>HLOOKUP(REG_TRA_DEMANDS!N$3,'BY-Demands'!$J$5:$AK$14,MATCH($E169,'BY-Demands'!$I$5:$I$14,0),FALSE)*HLOOKUP(REG_TRA_DEMANDS!$F169,DEMANDS!$G$2:$CK$25,MATCH($E169,DEMANDS!$E$2:$E$25,0),FALSE)/HLOOKUP(2018,DEMANDS!$G$2:$CK$25,MATCH($E169,DEMANDS!$E$2:$E$25,0),FALSE)</f>
        <v>0.51142002088086935</v>
      </c>
      <c r="O169" s="18">
        <f>HLOOKUP(REG_TRA_DEMANDS!O$3,'BY-Demands'!$J$5:$AK$14,MATCH($E169,'BY-Demands'!$I$5:$I$14,0),FALSE)*HLOOKUP(REG_TRA_DEMANDS!$F169,DEMANDS!$G$2:$CK$25,MATCH($E169,DEMANDS!$E$2:$E$25,0),FALSE)/HLOOKUP(2018,DEMANDS!$G$2:$CK$25,MATCH($E169,DEMANDS!$E$2:$E$25,0),FALSE)</f>
        <v>0.20441959890021436</v>
      </c>
      <c r="P169" s="18">
        <f>HLOOKUP(REG_TRA_DEMANDS!P$3,'BY-Demands'!$J$5:$AK$14,MATCH($E169,'BY-Demands'!$I$5:$I$14,0),FALSE)*HLOOKUP(REG_TRA_DEMANDS!$F169,DEMANDS!$G$2:$CK$25,MATCH($E169,DEMANDS!$E$2:$E$25,0),FALSE)/HLOOKUP(2018,DEMANDS!$G$2:$CK$25,MATCH($E169,DEMANDS!$E$2:$E$25,0),FALSE)</f>
        <v>0.23276160893744349</v>
      </c>
      <c r="Q169" s="18">
        <f>HLOOKUP(REG_TRA_DEMANDS!Q$3,'BY-Demands'!$J$5:$AK$14,MATCH($E169,'BY-Demands'!$I$5:$I$14,0),FALSE)*HLOOKUP(REG_TRA_DEMANDS!$F169,DEMANDS!$G$2:$CK$25,MATCH($E169,DEMANDS!$E$2:$E$25,0),FALSE)/HLOOKUP(2018,DEMANDS!$G$2:$CK$25,MATCH($E169,DEMANDS!$E$2:$E$25,0),FALSE)</f>
        <v>0.39258233201906001</v>
      </c>
      <c r="R169" s="18">
        <f>HLOOKUP(REG_TRA_DEMANDS!R$3,'BY-Demands'!$J$5:$AK$14,MATCH($E169,'BY-Demands'!$I$5:$I$14,0),FALSE)*HLOOKUP(REG_TRA_DEMANDS!$F169,DEMANDS!$G$2:$CK$25,MATCH($E169,DEMANDS!$E$2:$E$25,0),FALSE)/HLOOKUP(2018,DEMANDS!$G$2:$CK$25,MATCH($E169,DEMANDS!$E$2:$E$25,0),FALSE)</f>
        <v>0.37344904982443877</v>
      </c>
      <c r="S169" s="18">
        <f>HLOOKUP(REG_TRA_DEMANDS!S$3,'BY-Demands'!$J$5:$AK$14,MATCH($E169,'BY-Demands'!$I$5:$I$14,0),FALSE)*HLOOKUP(REG_TRA_DEMANDS!$F169,DEMANDS!$G$2:$CK$25,MATCH($E169,DEMANDS!$E$2:$E$25,0),FALSE)/HLOOKUP(2018,DEMANDS!$G$2:$CK$25,MATCH($E169,DEMANDS!$E$2:$E$25,0),FALSE)</f>
        <v>0.31154710024918625</v>
      </c>
      <c r="T169" s="18">
        <f>HLOOKUP(REG_TRA_DEMANDS!T$3,'BY-Demands'!$J$5:$AK$14,MATCH($E169,'BY-Demands'!$I$5:$I$14,0),FALSE)*HLOOKUP(REG_TRA_DEMANDS!$F169,DEMANDS!$G$2:$CK$25,MATCH($E169,DEMANDS!$E$2:$E$25,0),FALSE)/HLOOKUP(2018,DEMANDS!$G$2:$CK$25,MATCH($E169,DEMANDS!$E$2:$E$25,0),FALSE)</f>
        <v>1.4234406795161891</v>
      </c>
      <c r="U169" s="18">
        <f>HLOOKUP(REG_TRA_DEMANDS!U$3,'BY-Demands'!$J$5:$AK$14,MATCH($E169,'BY-Demands'!$I$5:$I$14,0),FALSE)*HLOOKUP(REG_TRA_DEMANDS!$F169,DEMANDS!$G$2:$CK$25,MATCH($E169,DEMANDS!$E$2:$E$25,0),FALSE)/HLOOKUP(2018,DEMANDS!$G$2:$CK$25,MATCH($E169,DEMANDS!$E$2:$E$25,0),FALSE)</f>
        <v>0.38729885064011504</v>
      </c>
      <c r="V169" s="18">
        <f>HLOOKUP(REG_TRA_DEMANDS!V$3,'BY-Demands'!$J$5:$AK$14,MATCH($E169,'BY-Demands'!$I$5:$I$14,0),FALSE)*HLOOKUP(REG_TRA_DEMANDS!$F169,DEMANDS!$G$2:$CK$25,MATCH($E169,DEMANDS!$E$2:$E$25,0),FALSE)/HLOOKUP(2018,DEMANDS!$G$2:$CK$25,MATCH($E169,DEMANDS!$E$2:$E$25,0),FALSE)</f>
        <v>0.51103981998759584</v>
      </c>
      <c r="W169" s="18">
        <f>HLOOKUP(REG_TRA_DEMANDS!W$3,'BY-Demands'!$J$5:$AK$14,MATCH($E169,'BY-Demands'!$I$5:$I$14,0),FALSE)*HLOOKUP(REG_TRA_DEMANDS!$F169,DEMANDS!$G$2:$CK$25,MATCH($E169,DEMANDS!$E$2:$E$25,0),FALSE)/HLOOKUP(2018,DEMANDS!$G$2:$CK$25,MATCH($E169,DEMANDS!$E$2:$E$25,0),FALSE)</f>
        <v>0.41835995258303449</v>
      </c>
      <c r="X169" s="18">
        <f>HLOOKUP(REG_TRA_DEMANDS!X$3,'BY-Demands'!$J$5:$AK$14,MATCH($E169,'BY-Demands'!$I$5:$I$14,0),FALSE)*HLOOKUP(REG_TRA_DEMANDS!$F169,DEMANDS!$G$2:$CK$25,MATCH($E169,DEMANDS!$E$2:$E$25,0),FALSE)/HLOOKUP(2018,DEMANDS!$G$2:$CK$25,MATCH($E169,DEMANDS!$E$2:$E$25,0),FALSE)</f>
        <v>0.30462219984134781</v>
      </c>
      <c r="Y169" s="18">
        <f>HLOOKUP(REG_TRA_DEMANDS!Y$3,'BY-Demands'!$J$5:$AK$14,MATCH($E169,'BY-Demands'!$I$5:$I$14,0),FALSE)*HLOOKUP(REG_TRA_DEMANDS!$F169,DEMANDS!$G$2:$CK$25,MATCH($E169,DEMANDS!$E$2:$E$25,0),FALSE)/HLOOKUP(2018,DEMANDS!$G$2:$CK$25,MATCH($E169,DEMANDS!$E$2:$E$25,0),FALSE)</f>
        <v>0.67664746287235156</v>
      </c>
      <c r="Z169" s="18">
        <f>HLOOKUP(REG_TRA_DEMANDS!Z$3,'BY-Demands'!$J$5:$AK$14,MATCH($E169,'BY-Demands'!$I$5:$I$14,0),FALSE)*HLOOKUP(REG_TRA_DEMANDS!$F169,DEMANDS!$G$2:$CK$25,MATCH($E169,DEMANDS!$E$2:$E$25,0),FALSE)/HLOOKUP(2018,DEMANDS!$G$2:$CK$25,MATCH($E169,DEMANDS!$E$2:$E$25,0),FALSE)</f>
        <v>0.084021775338419175</v>
      </c>
      <c r="AA169" s="18">
        <f>HLOOKUP(REG_TRA_DEMANDS!AA$3,'BY-Demands'!$J$5:$AK$14,MATCH($E169,'BY-Demands'!$I$5:$I$14,0),FALSE)*HLOOKUP(REG_TRA_DEMANDS!$F169,DEMANDS!$G$2:$CK$25,MATCH($E169,DEMANDS!$E$2:$E$25,0),FALSE)/HLOOKUP(2018,DEMANDS!$G$2:$CK$25,MATCH($E169,DEMANDS!$E$2:$E$25,0),FALSE)</f>
        <v>0.34219915847244564</v>
      </c>
      <c r="AB169" s="18">
        <f>HLOOKUP(REG_TRA_DEMANDS!AB$3,'BY-Demands'!$J$5:$AK$14,MATCH($E169,'BY-Demands'!$I$5:$I$14,0),FALSE)*HLOOKUP(REG_TRA_DEMANDS!$F169,DEMANDS!$G$2:$CK$25,MATCH($E169,DEMANDS!$E$2:$E$25,0),FALSE)/HLOOKUP(2018,DEMANDS!$G$2:$CK$25,MATCH($E169,DEMANDS!$E$2:$E$25,0),FALSE)</f>
        <v>0.16923921693430638</v>
      </c>
      <c r="AC169" s="18">
        <f>HLOOKUP(REG_TRA_DEMANDS!AC$3,'BY-Demands'!$J$5:$AK$14,MATCH($E169,'BY-Demands'!$I$5:$I$14,0),FALSE)*HLOOKUP(REG_TRA_DEMANDS!$F169,DEMANDS!$G$2:$CK$25,MATCH($E169,DEMANDS!$E$2:$E$25,0),FALSE)/HLOOKUP(2018,DEMANDS!$G$2:$CK$25,MATCH($E169,DEMANDS!$E$2:$E$25,0),FALSE)</f>
        <v>0.17183769338419941</v>
      </c>
      <c r="AD169" s="18">
        <f>HLOOKUP(REG_TRA_DEMANDS!AD$3,'BY-Demands'!$J$5:$AK$14,MATCH($E169,'BY-Demands'!$I$5:$I$14,0),FALSE)*HLOOKUP(REG_TRA_DEMANDS!$F169,DEMANDS!$G$2:$CK$25,MATCH($E169,DEMANDS!$E$2:$E$25,0),FALSE)/HLOOKUP(2018,DEMANDS!$G$2:$CK$25,MATCH($E169,DEMANDS!$E$2:$E$25,0),FALSE)</f>
        <v>0.19973919480025565</v>
      </c>
      <c r="AE169" s="18">
        <f>HLOOKUP(REG_TRA_DEMANDS!AE$3,'BY-Demands'!$J$5:$AK$14,MATCH($E169,'BY-Demands'!$I$5:$I$14,0),FALSE)*HLOOKUP(REG_TRA_DEMANDS!$F169,DEMANDS!$G$2:$CK$25,MATCH($E169,DEMANDS!$E$2:$E$25,0),FALSE)/HLOOKUP(2018,DEMANDS!$G$2:$CK$25,MATCH($E169,DEMANDS!$E$2:$E$25,0),FALSE)</f>
        <v>0.41741338346253881</v>
      </c>
      <c r="AF169" s="18">
        <f>HLOOKUP(REG_TRA_DEMANDS!AF$3,'BY-Demands'!$J$5:$AK$14,MATCH($E169,'BY-Demands'!$I$5:$I$14,0),FALSE)*HLOOKUP(REG_TRA_DEMANDS!$F169,DEMANDS!$G$2:$CK$25,MATCH($E169,DEMANDS!$E$2:$E$25,0),FALSE)/HLOOKUP(2018,DEMANDS!$G$2:$CK$25,MATCH($E169,DEMANDS!$E$2:$E$25,0),FALSE)</f>
        <v>0.16095870368631215</v>
      </c>
    </row>
    <row r="170" spans="4:32" ht="14.4">
      <c r="D170" t="s">
        <v>6</v>
      </c>
      <c r="E170" t="str">
        <f>DEMANDS!$E$23</f>
        <v>TOTH</v>
      </c>
      <c r="F170">
        <v>2024</v>
      </c>
      <c r="G170" s="18">
        <f>HLOOKUP(REG_TRA_DEMANDS!G$3,'BY-Demands'!$J$5:$AK$14,MATCH($E170,'BY-Demands'!$I$5:$I$14,0),FALSE)*HLOOKUP(REG_TRA_DEMANDS!$F170,DEMANDS!$G$2:$CK$25,MATCH($E170,DEMANDS!$E$2:$E$25,0),FALSE)/HLOOKUP(2018,DEMANDS!$G$2:$CK$25,MATCH($E170,DEMANDS!$E$2:$E$25,0),FALSE)</f>
        <v>0.13250590284478861</v>
      </c>
      <c r="H170" s="18">
        <f>HLOOKUP(REG_TRA_DEMANDS!H$3,'BY-Demands'!$J$5:$AK$14,MATCH($E170,'BY-Demands'!$I$5:$I$14,0),FALSE)*HLOOKUP(REG_TRA_DEMANDS!$F170,DEMANDS!$G$2:$CK$25,MATCH($E170,DEMANDS!$E$2:$E$25,0),FALSE)/HLOOKUP(2018,DEMANDS!$G$2:$CK$25,MATCH($E170,DEMANDS!$E$2:$E$25,0),FALSE)</f>
        <v>3.1358993316773027</v>
      </c>
      <c r="I170" s="18">
        <f>HLOOKUP(REG_TRA_DEMANDS!I$3,'BY-Demands'!$J$5:$AK$14,MATCH($E170,'BY-Demands'!$I$5:$I$14,0),FALSE)*HLOOKUP(REG_TRA_DEMANDS!$F170,DEMANDS!$G$2:$CK$25,MATCH($E170,DEMANDS!$E$2:$E$25,0),FALSE)/HLOOKUP(2018,DEMANDS!$G$2:$CK$25,MATCH($E170,DEMANDS!$E$2:$E$25,0),FALSE)</f>
        <v>0.51786505667422378</v>
      </c>
      <c r="J170" s="18">
        <f>HLOOKUP(REG_TRA_DEMANDS!J$3,'BY-Demands'!$J$5:$AK$14,MATCH($E170,'BY-Demands'!$I$5:$I$14,0),FALSE)*HLOOKUP(REG_TRA_DEMANDS!$F170,DEMANDS!$G$2:$CK$25,MATCH($E170,DEMANDS!$E$2:$E$25,0),FALSE)/HLOOKUP(2018,DEMANDS!$G$2:$CK$25,MATCH($E170,DEMANDS!$E$2:$E$25,0),FALSE)</f>
        <v>0.23095668079628492</v>
      </c>
      <c r="K170" s="18">
        <f>HLOOKUP(REG_TRA_DEMANDS!K$3,'BY-Demands'!$J$5:$AK$14,MATCH($E170,'BY-Demands'!$I$5:$I$14,0),FALSE)*HLOOKUP(REG_TRA_DEMANDS!$F170,DEMANDS!$G$2:$CK$25,MATCH($E170,DEMANDS!$E$2:$E$25,0),FALSE)/HLOOKUP(2018,DEMANDS!$G$2:$CK$25,MATCH($E170,DEMANDS!$E$2:$E$25,0),FALSE)</f>
        <v>0.19712731773422801</v>
      </c>
      <c r="L170" s="18">
        <f>HLOOKUP(REG_TRA_DEMANDS!L$3,'BY-Demands'!$J$5:$AK$14,MATCH($E170,'BY-Demands'!$I$5:$I$14,0),FALSE)*HLOOKUP(REG_TRA_DEMANDS!$F170,DEMANDS!$G$2:$CK$25,MATCH($E170,DEMANDS!$E$2:$E$25,0),FALSE)/HLOOKUP(2018,DEMANDS!$G$2:$CK$25,MATCH($E170,DEMANDS!$E$2:$E$25,0),FALSE)</f>
        <v>0.095129518846607586</v>
      </c>
      <c r="M170" s="18">
        <f>HLOOKUP(REG_TRA_DEMANDS!M$3,'BY-Demands'!$J$5:$AK$14,MATCH($E170,'BY-Demands'!$I$5:$I$14,0),FALSE)*HLOOKUP(REG_TRA_DEMANDS!$F170,DEMANDS!$G$2:$CK$25,MATCH($E170,DEMANDS!$E$2:$E$25,0),FALSE)/HLOOKUP(2018,DEMANDS!$G$2:$CK$25,MATCH($E170,DEMANDS!$E$2:$E$25,0),FALSE)</f>
        <v>0.29996997790781604</v>
      </c>
      <c r="N170" s="18">
        <f>HLOOKUP(REG_TRA_DEMANDS!N$3,'BY-Demands'!$J$5:$AK$14,MATCH($E170,'BY-Demands'!$I$5:$I$14,0),FALSE)*HLOOKUP(REG_TRA_DEMANDS!$F170,DEMANDS!$G$2:$CK$25,MATCH($E170,DEMANDS!$E$2:$E$25,0),FALSE)/HLOOKUP(2018,DEMANDS!$G$2:$CK$25,MATCH($E170,DEMANDS!$E$2:$E$25,0),FALSE)</f>
        <v>0.45395351146032092</v>
      </c>
      <c r="O170" s="18">
        <f>HLOOKUP(REG_TRA_DEMANDS!O$3,'BY-Demands'!$J$5:$AK$14,MATCH($E170,'BY-Demands'!$I$5:$I$14,0),FALSE)*HLOOKUP(REG_TRA_DEMANDS!$F170,DEMANDS!$G$2:$CK$25,MATCH($E170,DEMANDS!$E$2:$E$25,0),FALSE)/HLOOKUP(2018,DEMANDS!$G$2:$CK$25,MATCH($E170,DEMANDS!$E$2:$E$25,0),FALSE)</f>
        <v>0.18144967139188098</v>
      </c>
      <c r="P170" s="18">
        <f>HLOOKUP(REG_TRA_DEMANDS!P$3,'BY-Demands'!$J$5:$AK$14,MATCH($E170,'BY-Demands'!$I$5:$I$14,0),FALSE)*HLOOKUP(REG_TRA_DEMANDS!$F170,DEMANDS!$G$2:$CK$25,MATCH($E170,DEMANDS!$E$2:$E$25,0),FALSE)/HLOOKUP(2018,DEMANDS!$G$2:$CK$25,MATCH($E170,DEMANDS!$E$2:$E$25,0),FALSE)</f>
        <v>0.20660698720459303</v>
      </c>
      <c r="Q170" s="18">
        <f>HLOOKUP(REG_TRA_DEMANDS!Q$3,'BY-Demands'!$J$5:$AK$14,MATCH($E170,'BY-Demands'!$I$5:$I$14,0),FALSE)*HLOOKUP(REG_TRA_DEMANDS!$F170,DEMANDS!$G$2:$CK$25,MATCH($E170,DEMANDS!$E$2:$E$25,0),FALSE)/HLOOKUP(2018,DEMANDS!$G$2:$CK$25,MATCH($E170,DEMANDS!$E$2:$E$25,0),FALSE)</f>
        <v>0.34846920511711299</v>
      </c>
      <c r="R170" s="18">
        <f>HLOOKUP(REG_TRA_DEMANDS!R$3,'BY-Demands'!$J$5:$AK$14,MATCH($E170,'BY-Demands'!$I$5:$I$14,0),FALSE)*HLOOKUP(REG_TRA_DEMANDS!$F170,DEMANDS!$G$2:$CK$25,MATCH($E170,DEMANDS!$E$2:$E$25,0),FALSE)/HLOOKUP(2018,DEMANDS!$G$2:$CK$25,MATCH($E170,DEMANDS!$E$2:$E$25,0),FALSE)</f>
        <v>0.33148586406009017</v>
      </c>
      <c r="S170" s="18">
        <f>HLOOKUP(REG_TRA_DEMANDS!S$3,'BY-Demands'!$J$5:$AK$14,MATCH($E170,'BY-Demands'!$I$5:$I$14,0),FALSE)*HLOOKUP(REG_TRA_DEMANDS!$F170,DEMANDS!$G$2:$CK$25,MATCH($E170,DEMANDS!$E$2:$E$25,0),FALSE)/HLOOKUP(2018,DEMANDS!$G$2:$CK$25,MATCH($E170,DEMANDS!$E$2:$E$25,0),FALSE)</f>
        <v>0.27653962373198343</v>
      </c>
      <c r="T170" s="18">
        <f>HLOOKUP(REG_TRA_DEMANDS!T$3,'BY-Demands'!$J$5:$AK$14,MATCH($E170,'BY-Demands'!$I$5:$I$14,0),FALSE)*HLOOKUP(REG_TRA_DEMANDS!$F170,DEMANDS!$G$2:$CK$25,MATCH($E170,DEMANDS!$E$2:$E$25,0),FALSE)/HLOOKUP(2018,DEMANDS!$G$2:$CK$25,MATCH($E170,DEMANDS!$E$2:$E$25,0),FALSE)</f>
        <v>1.263493544325595</v>
      </c>
      <c r="U170" s="18">
        <f>HLOOKUP(REG_TRA_DEMANDS!U$3,'BY-Demands'!$J$5:$AK$14,MATCH($E170,'BY-Demands'!$I$5:$I$14,0),FALSE)*HLOOKUP(REG_TRA_DEMANDS!$F170,DEMANDS!$G$2:$CK$25,MATCH($E170,DEMANDS!$E$2:$E$25,0),FALSE)/HLOOKUP(2018,DEMANDS!$G$2:$CK$25,MATCH($E170,DEMANDS!$E$2:$E$25,0),FALSE)</f>
        <v>0.3437794103754519</v>
      </c>
      <c r="V170" s="18">
        <f>HLOOKUP(REG_TRA_DEMANDS!V$3,'BY-Demands'!$J$5:$AK$14,MATCH($E170,'BY-Demands'!$I$5:$I$14,0),FALSE)*HLOOKUP(REG_TRA_DEMANDS!$F170,DEMANDS!$G$2:$CK$25,MATCH($E170,DEMANDS!$E$2:$E$25,0),FALSE)/HLOOKUP(2018,DEMANDS!$G$2:$CK$25,MATCH($E170,DEMANDS!$E$2:$E$25,0),FALSE)</f>
        <v>0.45361603243424642</v>
      </c>
      <c r="W170" s="18">
        <f>HLOOKUP(REG_TRA_DEMANDS!W$3,'BY-Demands'!$J$5:$AK$14,MATCH($E170,'BY-Demands'!$I$5:$I$14,0),FALSE)*HLOOKUP(REG_TRA_DEMANDS!$F170,DEMANDS!$G$2:$CK$25,MATCH($E170,DEMANDS!$E$2:$E$25,0),FALSE)/HLOOKUP(2018,DEMANDS!$G$2:$CK$25,MATCH($E170,DEMANDS!$E$2:$E$25,0),FALSE)</f>
        <v>0.37135028308498913</v>
      </c>
      <c r="X170" s="18">
        <f>HLOOKUP(REG_TRA_DEMANDS!X$3,'BY-Demands'!$J$5:$AK$14,MATCH($E170,'BY-Demands'!$I$5:$I$14,0),FALSE)*HLOOKUP(REG_TRA_DEMANDS!$F170,DEMANDS!$G$2:$CK$25,MATCH($E170,DEMANDS!$E$2:$E$25,0),FALSE)/HLOOKUP(2018,DEMANDS!$G$2:$CK$25,MATCH($E170,DEMANDS!$E$2:$E$25,0),FALSE)</f>
        <v>0.27039285057430223</v>
      </c>
      <c r="Y170" s="18">
        <f>HLOOKUP(REG_TRA_DEMANDS!Y$3,'BY-Demands'!$J$5:$AK$14,MATCH($E170,'BY-Demands'!$I$5:$I$14,0),FALSE)*HLOOKUP(REG_TRA_DEMANDS!$F170,DEMANDS!$G$2:$CK$25,MATCH($E170,DEMANDS!$E$2:$E$25,0),FALSE)/HLOOKUP(2018,DEMANDS!$G$2:$CK$25,MATCH($E170,DEMANDS!$E$2:$E$25,0),FALSE)</f>
        <v>0.6006149138677791</v>
      </c>
      <c r="Z170" s="18">
        <f>HLOOKUP(REG_TRA_DEMANDS!Z$3,'BY-Demands'!$J$5:$AK$14,MATCH($E170,'BY-Demands'!$I$5:$I$14,0),FALSE)*HLOOKUP(REG_TRA_DEMANDS!$F170,DEMANDS!$G$2:$CK$25,MATCH($E170,DEMANDS!$E$2:$E$25,0),FALSE)/HLOOKUP(2018,DEMANDS!$G$2:$CK$25,MATCH($E170,DEMANDS!$E$2:$E$25,0),FALSE)</f>
        <v>0.074580537320986892</v>
      </c>
      <c r="AA170" s="18">
        <f>HLOOKUP(REG_TRA_DEMANDS!AA$3,'BY-Demands'!$J$5:$AK$14,MATCH($E170,'BY-Demands'!$I$5:$I$14,0),FALSE)*HLOOKUP(REG_TRA_DEMANDS!$F170,DEMANDS!$G$2:$CK$25,MATCH($E170,DEMANDS!$E$2:$E$25,0),FALSE)/HLOOKUP(2018,DEMANDS!$G$2:$CK$25,MATCH($E170,DEMANDS!$E$2:$E$25,0),FALSE)</f>
        <v>0.30374741555829537</v>
      </c>
      <c r="AB170" s="18">
        <f>HLOOKUP(REG_TRA_DEMANDS!AB$3,'BY-Demands'!$J$5:$AK$14,MATCH($E170,'BY-Demands'!$I$5:$I$14,0),FALSE)*HLOOKUP(REG_TRA_DEMANDS!$F170,DEMANDS!$G$2:$CK$25,MATCH($E170,DEMANDS!$E$2:$E$25,0),FALSE)/HLOOKUP(2018,DEMANDS!$G$2:$CK$25,MATCH($E170,DEMANDS!$E$2:$E$25,0),FALSE)</f>
        <v>0.15022238799293991</v>
      </c>
      <c r="AC170" s="18">
        <f>HLOOKUP(REG_TRA_DEMANDS!AC$3,'BY-Demands'!$J$5:$AK$14,MATCH($E170,'BY-Demands'!$I$5:$I$14,0),FALSE)*HLOOKUP(REG_TRA_DEMANDS!$F170,DEMANDS!$G$2:$CK$25,MATCH($E170,DEMANDS!$E$2:$E$25,0),FALSE)/HLOOKUP(2018,DEMANDS!$G$2:$CK$25,MATCH($E170,DEMANDS!$E$2:$E$25,0),FALSE)</f>
        <v>0.15252888257804467</v>
      </c>
      <c r="AD170" s="18">
        <f>HLOOKUP(REG_TRA_DEMANDS!AD$3,'BY-Demands'!$J$5:$AK$14,MATCH($E170,'BY-Demands'!$I$5:$I$14,0),FALSE)*HLOOKUP(REG_TRA_DEMANDS!$F170,DEMANDS!$G$2:$CK$25,MATCH($E170,DEMANDS!$E$2:$E$25,0),FALSE)/HLOOKUP(2018,DEMANDS!$G$2:$CK$25,MATCH($E170,DEMANDS!$E$2:$E$25,0),FALSE)</f>
        <v>0.17729518820882145</v>
      </c>
      <c r="AE170" s="18">
        <f>HLOOKUP(REG_TRA_DEMANDS!AE$3,'BY-Demands'!$J$5:$AK$14,MATCH($E170,'BY-Demands'!$I$5:$I$14,0),FALSE)*HLOOKUP(REG_TRA_DEMANDS!$F170,DEMANDS!$G$2:$CK$25,MATCH($E170,DEMANDS!$E$2:$E$25,0),FALSE)/HLOOKUP(2018,DEMANDS!$G$2:$CK$25,MATCH($E170,DEMANDS!$E$2:$E$25,0),FALSE)</f>
        <v>0.3705100766821407</v>
      </c>
      <c r="AF170" s="18">
        <f>HLOOKUP(REG_TRA_DEMANDS!AF$3,'BY-Demands'!$J$5:$AK$14,MATCH($E170,'BY-Demands'!$I$5:$I$14,0),FALSE)*HLOOKUP(REG_TRA_DEMANDS!$F170,DEMANDS!$G$2:$CK$25,MATCH($E170,DEMANDS!$E$2:$E$25,0),FALSE)/HLOOKUP(2018,DEMANDS!$G$2:$CK$25,MATCH($E170,DEMANDS!$E$2:$E$25,0),FALSE)</f>
        <v>0.14287232754918519</v>
      </c>
    </row>
    <row r="171" spans="4:32" ht="14.4">
      <c r="D171" t="s">
        <v>6</v>
      </c>
      <c r="E171" t="str">
        <f>DEMANDS!$E$23</f>
        <v>TOTH</v>
      </c>
      <c r="F171">
        <v>2025</v>
      </c>
      <c r="G171" s="18">
        <f>HLOOKUP(REG_TRA_DEMANDS!G$3,'BY-Demands'!$J$5:$AK$14,MATCH($E171,'BY-Demands'!$I$5:$I$14,0),FALSE)*HLOOKUP(REG_TRA_DEMANDS!$F171,DEMANDS!$G$2:$CK$25,MATCH($E171,DEMANDS!$E$2:$E$25,0),FALSE)/HLOOKUP(2018,DEMANDS!$G$2:$CK$25,MATCH($E171,DEMANDS!$E$2:$E$25,0),FALSE)</f>
        <v>0.10373943515870347</v>
      </c>
      <c r="H171" s="18">
        <f>HLOOKUP(REG_TRA_DEMANDS!H$3,'BY-Demands'!$J$5:$AK$14,MATCH($E171,'BY-Demands'!$I$5:$I$14,0),FALSE)*HLOOKUP(REG_TRA_DEMANDS!$F171,DEMANDS!$G$2:$CK$25,MATCH($E171,DEMANDS!$E$2:$E$25,0),FALSE)/HLOOKUP(2018,DEMANDS!$G$2:$CK$25,MATCH($E171,DEMANDS!$E$2:$E$25,0),FALSE)</f>
        <v>2.4551089302324889</v>
      </c>
      <c r="I171" s="18">
        <f>HLOOKUP(REG_TRA_DEMANDS!I$3,'BY-Demands'!$J$5:$AK$14,MATCH($E171,'BY-Demands'!$I$5:$I$14,0),FALSE)*HLOOKUP(REG_TRA_DEMANDS!$F171,DEMANDS!$G$2:$CK$25,MATCH($E171,DEMANDS!$E$2:$E$25,0),FALSE)/HLOOKUP(2018,DEMANDS!$G$2:$CK$25,MATCH($E171,DEMANDS!$E$2:$E$25,0),FALSE)</f>
        <v>0.40543875642085647</v>
      </c>
      <c r="J171" s="18">
        <f>HLOOKUP(REG_TRA_DEMANDS!J$3,'BY-Demands'!$J$5:$AK$14,MATCH($E171,'BY-Demands'!$I$5:$I$14,0),FALSE)*HLOOKUP(REG_TRA_DEMANDS!$F171,DEMANDS!$G$2:$CK$25,MATCH($E171,DEMANDS!$E$2:$E$25,0),FALSE)/HLOOKUP(2018,DEMANDS!$G$2:$CK$25,MATCH($E171,DEMANDS!$E$2:$E$25,0),FALSE)</f>
        <v>0.18081696813160411</v>
      </c>
      <c r="K171" s="18">
        <f>HLOOKUP(REG_TRA_DEMANDS!K$3,'BY-Demands'!$J$5:$AK$14,MATCH($E171,'BY-Demands'!$I$5:$I$14,0),FALSE)*HLOOKUP(REG_TRA_DEMANDS!$F171,DEMANDS!$G$2:$CK$25,MATCH($E171,DEMANDS!$E$2:$E$25,0),FALSE)/HLOOKUP(2018,DEMANDS!$G$2:$CK$25,MATCH($E171,DEMANDS!$E$2:$E$25,0),FALSE)</f>
        <v>0.15433181584410724</v>
      </c>
      <c r="L171" s="18">
        <f>HLOOKUP(REG_TRA_DEMANDS!L$3,'BY-Demands'!$J$5:$AK$14,MATCH($E171,'BY-Demands'!$I$5:$I$14,0),FALSE)*HLOOKUP(REG_TRA_DEMANDS!$F171,DEMANDS!$G$2:$CK$25,MATCH($E171,DEMANDS!$E$2:$E$25,0),FALSE)/HLOOKUP(2018,DEMANDS!$G$2:$CK$25,MATCH($E171,DEMANDS!$E$2:$E$25,0),FALSE)</f>
        <v>0.074477305087502652</v>
      </c>
      <c r="M171" s="18">
        <f>HLOOKUP(REG_TRA_DEMANDS!M$3,'BY-Demands'!$J$5:$AK$14,MATCH($E171,'BY-Demands'!$I$5:$I$14,0),FALSE)*HLOOKUP(REG_TRA_DEMANDS!$F171,DEMANDS!$G$2:$CK$25,MATCH($E171,DEMANDS!$E$2:$E$25,0),FALSE)/HLOOKUP(2018,DEMANDS!$G$2:$CK$25,MATCH($E171,DEMANDS!$E$2:$E$25,0),FALSE)</f>
        <v>0.23484777209643737</v>
      </c>
      <c r="N171" s="18">
        <f>HLOOKUP(REG_TRA_DEMANDS!N$3,'BY-Demands'!$J$5:$AK$14,MATCH($E171,'BY-Demands'!$I$5:$I$14,0),FALSE)*HLOOKUP(REG_TRA_DEMANDS!$F171,DEMANDS!$G$2:$CK$25,MATCH($E171,DEMANDS!$E$2:$E$25,0),FALSE)/HLOOKUP(2018,DEMANDS!$G$2:$CK$25,MATCH($E171,DEMANDS!$E$2:$E$25,0),FALSE)</f>
        <v>0.35540213572497348</v>
      </c>
      <c r="O171" s="18">
        <f>HLOOKUP(REG_TRA_DEMANDS!O$3,'BY-Demands'!$J$5:$AK$14,MATCH($E171,'BY-Demands'!$I$5:$I$14,0),FALSE)*HLOOKUP(REG_TRA_DEMANDS!$F171,DEMANDS!$G$2:$CK$25,MATCH($E171,DEMANDS!$E$2:$E$25,0),FALSE)/HLOOKUP(2018,DEMANDS!$G$2:$CK$25,MATCH($E171,DEMANDS!$E$2:$E$25,0),FALSE)</f>
        <v>0.14205771981324533</v>
      </c>
      <c r="P171" s="18">
        <f>HLOOKUP(REG_TRA_DEMANDS!P$3,'BY-Demands'!$J$5:$AK$14,MATCH($E171,'BY-Demands'!$I$5:$I$14,0),FALSE)*HLOOKUP(REG_TRA_DEMANDS!$F171,DEMANDS!$G$2:$CK$25,MATCH($E171,DEMANDS!$E$2:$E$25,0),FALSE)/HLOOKUP(2018,DEMANDS!$G$2:$CK$25,MATCH($E171,DEMANDS!$E$2:$E$25,0),FALSE)</f>
        <v>0.16175348940908646</v>
      </c>
      <c r="Q171" s="18">
        <f>HLOOKUP(REG_TRA_DEMANDS!Q$3,'BY-Demands'!$J$5:$AK$14,MATCH($E171,'BY-Demands'!$I$5:$I$14,0),FALSE)*HLOOKUP(REG_TRA_DEMANDS!$F171,DEMANDS!$G$2:$CK$25,MATCH($E171,DEMANDS!$E$2:$E$25,0),FALSE)/HLOOKUP(2018,DEMANDS!$G$2:$CK$25,MATCH($E171,DEMANDS!$E$2:$E$25,0),FALSE)</f>
        <v>0.27281802344606593</v>
      </c>
      <c r="R171" s="18">
        <f>HLOOKUP(REG_TRA_DEMANDS!R$3,'BY-Demands'!$J$5:$AK$14,MATCH($E171,'BY-Demands'!$I$5:$I$14,0),FALSE)*HLOOKUP(REG_TRA_DEMANDS!$F171,DEMANDS!$G$2:$CK$25,MATCH($E171,DEMANDS!$E$2:$E$25,0),FALSE)/HLOOKUP(2018,DEMANDS!$G$2:$CK$25,MATCH($E171,DEMANDS!$E$2:$E$25,0),FALSE)</f>
        <v>0.25952169346726561</v>
      </c>
      <c r="S171" s="18">
        <f>HLOOKUP(REG_TRA_DEMANDS!S$3,'BY-Demands'!$J$5:$AK$14,MATCH($E171,'BY-Demands'!$I$5:$I$14,0),FALSE)*HLOOKUP(REG_TRA_DEMANDS!$F171,DEMANDS!$G$2:$CK$25,MATCH($E171,DEMANDS!$E$2:$E$25,0),FALSE)/HLOOKUP(2018,DEMANDS!$G$2:$CK$25,MATCH($E171,DEMANDS!$E$2:$E$25,0),FALSE)</f>
        <v>0.21650404811444693</v>
      </c>
      <c r="T171" s="18">
        <f>HLOOKUP(REG_TRA_DEMANDS!T$3,'BY-Demands'!$J$5:$AK$14,MATCH($E171,'BY-Demands'!$I$5:$I$14,0),FALSE)*HLOOKUP(REG_TRA_DEMANDS!$F171,DEMANDS!$G$2:$CK$25,MATCH($E171,DEMANDS!$E$2:$E$25,0),FALSE)/HLOOKUP(2018,DEMANDS!$G$2:$CK$25,MATCH($E171,DEMANDS!$E$2:$E$25,0),FALSE)</f>
        <v>0.98919447210242173</v>
      </c>
      <c r="U171" s="18">
        <f>HLOOKUP(REG_TRA_DEMANDS!U$3,'BY-Demands'!$J$5:$AK$14,MATCH($E171,'BY-Demands'!$I$5:$I$14,0),FALSE)*HLOOKUP(REG_TRA_DEMANDS!$F171,DEMANDS!$G$2:$CK$25,MATCH($E171,DEMANDS!$E$2:$E$25,0),FALSE)/HLOOKUP(2018,DEMANDS!$G$2:$CK$25,MATCH($E171,DEMANDS!$E$2:$E$25,0),FALSE)</f>
        <v>0.26914636318742785</v>
      </c>
      <c r="V171" s="18">
        <f>HLOOKUP(REG_TRA_DEMANDS!V$3,'BY-Demands'!$J$5:$AK$14,MATCH($E171,'BY-Demands'!$I$5:$I$14,0),FALSE)*HLOOKUP(REG_TRA_DEMANDS!$F171,DEMANDS!$G$2:$CK$25,MATCH($E171,DEMANDS!$E$2:$E$25,0),FALSE)/HLOOKUP(2018,DEMANDS!$G$2:$CK$25,MATCH($E171,DEMANDS!$E$2:$E$25,0),FALSE)</f>
        <v>0.35513792195946381</v>
      </c>
      <c r="W171" s="18">
        <f>HLOOKUP(REG_TRA_DEMANDS!W$3,'BY-Demands'!$J$5:$AK$14,MATCH($E171,'BY-Demands'!$I$5:$I$14,0),FALSE)*HLOOKUP(REG_TRA_DEMANDS!$F171,DEMANDS!$G$2:$CK$25,MATCH($E171,DEMANDS!$E$2:$E$25,0),FALSE)/HLOOKUP(2018,DEMANDS!$G$2:$CK$25,MATCH($E171,DEMANDS!$E$2:$E$25,0),FALSE)</f>
        <v>0.29073171674764009</v>
      </c>
      <c r="X171" s="18">
        <f>HLOOKUP(REG_TRA_DEMANDS!X$3,'BY-Demands'!$J$5:$AK$14,MATCH($E171,'BY-Demands'!$I$5:$I$14,0),FALSE)*HLOOKUP(REG_TRA_DEMANDS!$F171,DEMANDS!$G$2:$CK$25,MATCH($E171,DEMANDS!$E$2:$E$25,0),FALSE)/HLOOKUP(2018,DEMANDS!$G$2:$CK$25,MATCH($E171,DEMANDS!$E$2:$E$25,0),FALSE)</f>
        <v>0.21169171325436562</v>
      </c>
      <c r="Y171" s="18">
        <f>HLOOKUP(REG_TRA_DEMANDS!Y$3,'BY-Demands'!$J$5:$AK$14,MATCH($E171,'BY-Demands'!$I$5:$I$14,0),FALSE)*HLOOKUP(REG_TRA_DEMANDS!$F171,DEMANDS!$G$2:$CK$25,MATCH($E171,DEMANDS!$E$2:$E$25,0),FALSE)/HLOOKUP(2018,DEMANDS!$G$2:$CK$25,MATCH($E171,DEMANDS!$E$2:$E$25,0),FALSE)</f>
        <v>0.47022397172389246</v>
      </c>
      <c r="Z171" s="18">
        <f>HLOOKUP(REG_TRA_DEMANDS!Z$3,'BY-Demands'!$J$5:$AK$14,MATCH($E171,'BY-Demands'!$I$5:$I$14,0),FALSE)*HLOOKUP(REG_TRA_DEMANDS!$F171,DEMANDS!$G$2:$CK$25,MATCH($E171,DEMANDS!$E$2:$E$25,0),FALSE)/HLOOKUP(2018,DEMANDS!$G$2:$CK$25,MATCH($E171,DEMANDS!$E$2:$E$25,0),FALSE)</f>
        <v>0.058389420013797308</v>
      </c>
      <c r="AA171" s="18">
        <f>HLOOKUP(REG_TRA_DEMANDS!AA$3,'BY-Demands'!$J$5:$AK$14,MATCH($E171,'BY-Demands'!$I$5:$I$14,0),FALSE)*HLOOKUP(REG_TRA_DEMANDS!$F171,DEMANDS!$G$2:$CK$25,MATCH($E171,DEMANDS!$E$2:$E$25,0),FALSE)/HLOOKUP(2018,DEMANDS!$G$2:$CK$25,MATCH($E171,DEMANDS!$E$2:$E$25,0),FALSE)</f>
        <v>0.23780514410624864</v>
      </c>
      <c r="AB171" s="18">
        <f>HLOOKUP(REG_TRA_DEMANDS!AB$3,'BY-Demands'!$J$5:$AK$14,MATCH($E171,'BY-Demands'!$I$5:$I$14,0),FALSE)*HLOOKUP(REG_TRA_DEMANDS!$F171,DEMANDS!$G$2:$CK$25,MATCH($E171,DEMANDS!$E$2:$E$25,0),FALSE)/HLOOKUP(2018,DEMANDS!$G$2:$CK$25,MATCH($E171,DEMANDS!$E$2:$E$25,0),FALSE)</f>
        <v>0.11760974676602562</v>
      </c>
      <c r="AC171" s="18">
        <f>HLOOKUP(REG_TRA_DEMANDS!AC$3,'BY-Demands'!$J$5:$AK$14,MATCH($E171,'BY-Demands'!$I$5:$I$14,0),FALSE)*HLOOKUP(REG_TRA_DEMANDS!$F171,DEMANDS!$G$2:$CK$25,MATCH($E171,DEMANDS!$E$2:$E$25,0),FALSE)/HLOOKUP(2018,DEMANDS!$G$2:$CK$25,MATCH($E171,DEMANDS!$E$2:$E$25,0),FALSE)</f>
        <v>0.11941551119099356</v>
      </c>
      <c r="AD171" s="18">
        <f>HLOOKUP(REG_TRA_DEMANDS!AD$3,'BY-Demands'!$J$5:$AK$14,MATCH($E171,'BY-Demands'!$I$5:$I$14,0),FALSE)*HLOOKUP(REG_TRA_DEMANDS!$F171,DEMANDS!$G$2:$CK$25,MATCH($E171,DEMANDS!$E$2:$E$25,0),FALSE)/HLOOKUP(2018,DEMANDS!$G$2:$CK$25,MATCH($E171,DEMANDS!$E$2:$E$25,0),FALSE)</f>
        <v>0.13880515725162298</v>
      </c>
      <c r="AE171" s="18">
        <f>HLOOKUP(REG_TRA_DEMANDS!AE$3,'BY-Demands'!$J$5:$AK$14,MATCH($E171,'BY-Demands'!$I$5:$I$14,0),FALSE)*HLOOKUP(REG_TRA_DEMANDS!$F171,DEMANDS!$G$2:$CK$25,MATCH($E171,DEMANDS!$E$2:$E$25,0),FALSE)/HLOOKUP(2018,DEMANDS!$G$2:$CK$25,MATCH($E171,DEMANDS!$E$2:$E$25,0),FALSE)</f>
        <v>0.2900739155797154</v>
      </c>
      <c r="AF171" s="18">
        <f>HLOOKUP(REG_TRA_DEMANDS!AF$3,'BY-Demands'!$J$5:$AK$14,MATCH($E171,'BY-Demands'!$I$5:$I$14,0),FALSE)*HLOOKUP(REG_TRA_DEMANDS!$F171,DEMANDS!$G$2:$CK$25,MATCH($E171,DEMANDS!$E$2:$E$25,0),FALSE)/HLOOKUP(2018,DEMANDS!$G$2:$CK$25,MATCH($E171,DEMANDS!$E$2:$E$25,0),FALSE)</f>
        <v>0.1118553531696091</v>
      </c>
    </row>
    <row r="172" spans="4:32" ht="14.4">
      <c r="D172" t="s">
        <v>6</v>
      </c>
      <c r="E172" t="str">
        <f>DEMANDS!$E$23</f>
        <v>TOTH</v>
      </c>
      <c r="F172">
        <v>2026</v>
      </c>
      <c r="G172" s="18">
        <f>HLOOKUP(REG_TRA_DEMANDS!G$3,'BY-Demands'!$J$5:$AK$14,MATCH($E172,'BY-Demands'!$I$5:$I$14,0),FALSE)*HLOOKUP(REG_TRA_DEMANDS!$F172,DEMANDS!$G$2:$CK$25,MATCH($E172,DEMANDS!$E$2:$E$25,0),FALSE)/HLOOKUP(2018,DEMANDS!$G$2:$CK$25,MATCH($E172,DEMANDS!$E$2:$E$25,0),FALSE)</f>
        <v>0.067512263556394739</v>
      </c>
      <c r="H172" s="18">
        <f>HLOOKUP(REG_TRA_DEMANDS!H$3,'BY-Demands'!$J$5:$AK$14,MATCH($E172,'BY-Demands'!$I$5:$I$14,0),FALSE)*HLOOKUP(REG_TRA_DEMANDS!$F172,DEMANDS!$G$2:$CK$25,MATCH($E172,DEMANDS!$E$2:$E$25,0),FALSE)/HLOOKUP(2018,DEMANDS!$G$2:$CK$25,MATCH($E172,DEMANDS!$E$2:$E$25,0),FALSE)</f>
        <v>1.5977526858898476</v>
      </c>
      <c r="I172" s="18">
        <f>HLOOKUP(REG_TRA_DEMANDS!I$3,'BY-Demands'!$J$5:$AK$14,MATCH($E172,'BY-Demands'!$I$5:$I$14,0),FALSE)*HLOOKUP(REG_TRA_DEMANDS!$F172,DEMANDS!$G$2:$CK$25,MATCH($E172,DEMANDS!$E$2:$E$25,0),FALSE)/HLOOKUP(2018,DEMANDS!$G$2:$CK$25,MATCH($E172,DEMANDS!$E$2:$E$25,0),FALSE)</f>
        <v>0.2638542241683427</v>
      </c>
      <c r="J172" s="18">
        <f>HLOOKUP(REG_TRA_DEMANDS!J$3,'BY-Demands'!$J$5:$AK$14,MATCH($E172,'BY-Demands'!$I$5:$I$14,0),FALSE)*HLOOKUP(REG_TRA_DEMANDS!$F172,DEMANDS!$G$2:$CK$25,MATCH($E172,DEMANDS!$E$2:$E$25,0),FALSE)/HLOOKUP(2018,DEMANDS!$G$2:$CK$25,MATCH($E172,DEMANDS!$E$2:$E$25,0),FALSE)</f>
        <v>0.11767331091878341</v>
      </c>
      <c r="K172" s="18">
        <f>HLOOKUP(REG_TRA_DEMANDS!K$3,'BY-Demands'!$J$5:$AK$14,MATCH($E172,'BY-Demands'!$I$5:$I$14,0),FALSE)*HLOOKUP(REG_TRA_DEMANDS!$F172,DEMANDS!$G$2:$CK$25,MATCH($E172,DEMANDS!$E$2:$E$25,0),FALSE)/HLOOKUP(2018,DEMANDS!$G$2:$CK$25,MATCH($E172,DEMANDS!$E$2:$E$25,0),FALSE)</f>
        <v>0.10043712124000508</v>
      </c>
      <c r="L172" s="18">
        <f>HLOOKUP(REG_TRA_DEMANDS!L$3,'BY-Demands'!$J$5:$AK$14,MATCH($E172,'BY-Demands'!$I$5:$I$14,0),FALSE)*HLOOKUP(REG_TRA_DEMANDS!$F172,DEMANDS!$G$2:$CK$25,MATCH($E172,DEMANDS!$E$2:$E$25,0),FALSE)/HLOOKUP(2018,DEMANDS!$G$2:$CK$25,MATCH($E172,DEMANDS!$E$2:$E$25,0),FALSE)</f>
        <v>0.048468853164134948</v>
      </c>
      <c r="M172" s="18">
        <f>HLOOKUP(REG_TRA_DEMANDS!M$3,'BY-Demands'!$J$5:$AK$14,MATCH($E172,'BY-Demands'!$I$5:$I$14,0),FALSE)*HLOOKUP(REG_TRA_DEMANDS!$F172,DEMANDS!$G$2:$CK$25,MATCH($E172,DEMANDS!$E$2:$E$25,0),FALSE)/HLOOKUP(2018,DEMANDS!$G$2:$CK$25,MATCH($E172,DEMANDS!$E$2:$E$25,0),FALSE)</f>
        <v>0.15283584936770889</v>
      </c>
      <c r="N172" s="18">
        <f>HLOOKUP(REG_TRA_DEMANDS!N$3,'BY-Demands'!$J$5:$AK$14,MATCH($E172,'BY-Demands'!$I$5:$I$14,0),FALSE)*HLOOKUP(REG_TRA_DEMANDS!$F172,DEMANDS!$G$2:$CK$25,MATCH($E172,DEMANDS!$E$2:$E$25,0),FALSE)/HLOOKUP(2018,DEMANDS!$G$2:$CK$25,MATCH($E172,DEMANDS!$E$2:$E$25,0),FALSE)</f>
        <v>0.23129104779550125</v>
      </c>
      <c r="O172" s="18">
        <f>HLOOKUP(REG_TRA_DEMANDS!O$3,'BY-Demands'!$J$5:$AK$14,MATCH($E172,'BY-Demands'!$I$5:$I$14,0),FALSE)*HLOOKUP(REG_TRA_DEMANDS!$F172,DEMANDS!$G$2:$CK$25,MATCH($E172,DEMANDS!$E$2:$E$25,0),FALSE)/HLOOKUP(2018,DEMANDS!$G$2:$CK$25,MATCH($E172,DEMANDS!$E$2:$E$25,0),FALSE)</f>
        <v>0.092449300553644559</v>
      </c>
      <c r="P172" s="18">
        <f>HLOOKUP(REG_TRA_DEMANDS!P$3,'BY-Demands'!$J$5:$AK$14,MATCH($E172,'BY-Demands'!$I$5:$I$14,0),FALSE)*HLOOKUP(REG_TRA_DEMANDS!$F172,DEMANDS!$G$2:$CK$25,MATCH($E172,DEMANDS!$E$2:$E$25,0),FALSE)/HLOOKUP(2018,DEMANDS!$G$2:$CK$25,MATCH($E172,DEMANDS!$E$2:$E$25,0),FALSE)</f>
        <v>0.10526704903922512</v>
      </c>
      <c r="Q172" s="18">
        <f>HLOOKUP(REG_TRA_DEMANDS!Q$3,'BY-Demands'!$J$5:$AK$14,MATCH($E172,'BY-Demands'!$I$5:$I$14,0),FALSE)*HLOOKUP(REG_TRA_DEMANDS!$F172,DEMANDS!$G$2:$CK$25,MATCH($E172,DEMANDS!$E$2:$E$25,0),FALSE)/HLOOKUP(2018,DEMANDS!$G$2:$CK$25,MATCH($E172,DEMANDS!$E$2:$E$25,0),FALSE)</f>
        <v>0.17754639085559176</v>
      </c>
      <c r="R172" s="18">
        <f>HLOOKUP(REG_TRA_DEMANDS!R$3,'BY-Demands'!$J$5:$AK$14,MATCH($E172,'BY-Demands'!$I$5:$I$14,0),FALSE)*HLOOKUP(REG_TRA_DEMANDS!$F172,DEMANDS!$G$2:$CK$25,MATCH($E172,DEMANDS!$E$2:$E$25,0),FALSE)/HLOOKUP(2018,DEMANDS!$G$2:$CK$25,MATCH($E172,DEMANDS!$E$2:$E$25,0),FALSE)</f>
        <v>0.16889331372548896</v>
      </c>
      <c r="S172" s="18">
        <f>HLOOKUP(REG_TRA_DEMANDS!S$3,'BY-Demands'!$J$5:$AK$14,MATCH($E172,'BY-Demands'!$I$5:$I$14,0),FALSE)*HLOOKUP(REG_TRA_DEMANDS!$F172,DEMANDS!$G$2:$CK$25,MATCH($E172,DEMANDS!$E$2:$E$25,0),FALSE)/HLOOKUP(2018,DEMANDS!$G$2:$CK$25,MATCH($E172,DEMANDS!$E$2:$E$25,0),FALSE)</f>
        <v>0.14089799443160558</v>
      </c>
      <c r="T172" s="18">
        <f>HLOOKUP(REG_TRA_DEMANDS!T$3,'BY-Demands'!$J$5:$AK$14,MATCH($E172,'BY-Demands'!$I$5:$I$14,0),FALSE)*HLOOKUP(REG_TRA_DEMANDS!$F172,DEMANDS!$G$2:$CK$25,MATCH($E172,DEMANDS!$E$2:$E$25,0),FALSE)/HLOOKUP(2018,DEMANDS!$G$2:$CK$25,MATCH($E172,DEMANDS!$E$2:$E$25,0),FALSE)</f>
        <v>0.64375478627718918</v>
      </c>
      <c r="U172" s="18">
        <f>HLOOKUP(REG_TRA_DEMANDS!U$3,'BY-Demands'!$J$5:$AK$14,MATCH($E172,'BY-Demands'!$I$5:$I$14,0),FALSE)*HLOOKUP(REG_TRA_DEMANDS!$F172,DEMANDS!$G$2:$CK$25,MATCH($E172,DEMANDS!$E$2:$E$25,0),FALSE)/HLOOKUP(2018,DEMANDS!$G$2:$CK$25,MATCH($E172,DEMANDS!$E$2:$E$25,0),FALSE)</f>
        <v>0.17515692252379009</v>
      </c>
      <c r="V172" s="18">
        <f>HLOOKUP(REG_TRA_DEMANDS!V$3,'BY-Demands'!$J$5:$AK$14,MATCH($E172,'BY-Demands'!$I$5:$I$14,0),FALSE)*HLOOKUP(REG_TRA_DEMANDS!$F172,DEMANDS!$G$2:$CK$25,MATCH($E172,DEMANDS!$E$2:$E$25,0),FALSE)/HLOOKUP(2018,DEMANDS!$G$2:$CK$25,MATCH($E172,DEMANDS!$E$2:$E$25,0),FALSE)</f>
        <v>0.23111910094284072</v>
      </c>
      <c r="W172" s="18">
        <f>HLOOKUP(REG_TRA_DEMANDS!W$3,'BY-Demands'!$J$5:$AK$14,MATCH($E172,'BY-Demands'!$I$5:$I$14,0),FALSE)*HLOOKUP(REG_TRA_DEMANDS!$F172,DEMANDS!$G$2:$CK$25,MATCH($E172,DEMANDS!$E$2:$E$25,0),FALSE)/HLOOKUP(2018,DEMANDS!$G$2:$CK$25,MATCH($E172,DEMANDS!$E$2:$E$25,0),FALSE)</f>
        <v>0.18920438746598522</v>
      </c>
      <c r="X172" s="18">
        <f>HLOOKUP(REG_TRA_DEMANDS!X$3,'BY-Demands'!$J$5:$AK$14,MATCH($E172,'BY-Demands'!$I$5:$I$14,0),FALSE)*HLOOKUP(REG_TRA_DEMANDS!$F172,DEMANDS!$G$2:$CK$25,MATCH($E172,DEMANDS!$E$2:$E$25,0),FALSE)/HLOOKUP(2018,DEMANDS!$G$2:$CK$25,MATCH($E172,DEMANDS!$E$2:$E$25,0),FALSE)</f>
        <v>0.13776619003245488</v>
      </c>
      <c r="Y172" s="18">
        <f>HLOOKUP(REG_TRA_DEMANDS!Y$3,'BY-Demands'!$J$5:$AK$14,MATCH($E172,'BY-Demands'!$I$5:$I$14,0),FALSE)*HLOOKUP(REG_TRA_DEMANDS!$F172,DEMANDS!$G$2:$CK$25,MATCH($E172,DEMANDS!$E$2:$E$25,0),FALSE)/HLOOKUP(2018,DEMANDS!$G$2:$CK$25,MATCH($E172,DEMANDS!$E$2:$E$25,0),FALSE)</f>
        <v>0.30601559244073773</v>
      </c>
      <c r="Z172" s="18">
        <f>HLOOKUP(REG_TRA_DEMANDS!Z$3,'BY-Demands'!$J$5:$AK$14,MATCH($E172,'BY-Demands'!$I$5:$I$14,0),FALSE)*HLOOKUP(REG_TRA_DEMANDS!$F172,DEMANDS!$G$2:$CK$25,MATCH($E172,DEMANDS!$E$2:$E$25,0),FALSE)/HLOOKUP(2018,DEMANDS!$G$2:$CK$25,MATCH($E172,DEMANDS!$E$2:$E$25,0),FALSE)</f>
        <v>0.037999068597644958</v>
      </c>
      <c r="AA172" s="18">
        <f>HLOOKUP(REG_TRA_DEMANDS!AA$3,'BY-Demands'!$J$5:$AK$14,MATCH($E172,'BY-Demands'!$I$5:$I$14,0),FALSE)*HLOOKUP(REG_TRA_DEMANDS!$F172,DEMANDS!$G$2:$CK$25,MATCH($E172,DEMANDS!$E$2:$E$25,0),FALSE)/HLOOKUP(2018,DEMANDS!$G$2:$CK$25,MATCH($E172,DEMANDS!$E$2:$E$25,0),FALSE)</f>
        <v>0.15476046827714521</v>
      </c>
      <c r="AB172" s="18">
        <f>HLOOKUP(REG_TRA_DEMANDS!AB$3,'BY-Demands'!$J$5:$AK$14,MATCH($E172,'BY-Demands'!$I$5:$I$14,0),FALSE)*HLOOKUP(REG_TRA_DEMANDS!$F172,DEMANDS!$G$2:$CK$25,MATCH($E172,DEMANDS!$E$2:$E$25,0),FALSE)/HLOOKUP(2018,DEMANDS!$G$2:$CK$25,MATCH($E172,DEMANDS!$E$2:$E$25,0),FALSE)</f>
        <v>0.076538880400898457</v>
      </c>
      <c r="AC172" s="18">
        <f>HLOOKUP(REG_TRA_DEMANDS!AC$3,'BY-Demands'!$J$5:$AK$14,MATCH($E172,'BY-Demands'!$I$5:$I$14,0),FALSE)*HLOOKUP(REG_TRA_DEMANDS!$F172,DEMANDS!$G$2:$CK$25,MATCH($E172,DEMANDS!$E$2:$E$25,0),FALSE)/HLOOKUP(2018,DEMANDS!$G$2:$CK$25,MATCH($E172,DEMANDS!$E$2:$E$25,0),FALSE)</f>
        <v>0.077714048200806893</v>
      </c>
      <c r="AD172" s="18">
        <f>HLOOKUP(REG_TRA_DEMANDS!AD$3,'BY-Demands'!$J$5:$AK$14,MATCH($E172,'BY-Demands'!$I$5:$I$14,0),FALSE)*HLOOKUP(REG_TRA_DEMANDS!$F172,DEMANDS!$G$2:$CK$25,MATCH($E172,DEMANDS!$E$2:$E$25,0),FALSE)/HLOOKUP(2018,DEMANDS!$G$2:$CK$25,MATCH($E172,DEMANDS!$E$2:$E$25,0),FALSE)</f>
        <v>0.090332575505373575</v>
      </c>
      <c r="AE172" s="18">
        <f>HLOOKUP(REG_TRA_DEMANDS!AE$3,'BY-Demands'!$J$5:$AK$14,MATCH($E172,'BY-Demands'!$I$5:$I$14,0),FALSE)*HLOOKUP(REG_TRA_DEMANDS!$F172,DEMANDS!$G$2:$CK$25,MATCH($E172,DEMANDS!$E$2:$E$25,0),FALSE)/HLOOKUP(2018,DEMANDS!$G$2:$CK$25,MATCH($E172,DEMANDS!$E$2:$E$25,0),FALSE)</f>
        <v>0.18877629909487836</v>
      </c>
      <c r="AF172" s="18">
        <f>HLOOKUP(REG_TRA_DEMANDS!AF$3,'BY-Demands'!$J$5:$AK$14,MATCH($E172,'BY-Demands'!$I$5:$I$14,0),FALSE)*HLOOKUP(REG_TRA_DEMANDS!$F172,DEMANDS!$G$2:$CK$25,MATCH($E172,DEMANDS!$E$2:$E$25,0),FALSE)/HLOOKUP(2018,DEMANDS!$G$2:$CK$25,MATCH($E172,DEMANDS!$E$2:$E$25,0),FALSE)</f>
        <v>0.072793996533985397</v>
      </c>
    </row>
    <row r="173" spans="4:32" ht="14.4">
      <c r="D173" t="s">
        <v>6</v>
      </c>
      <c r="E173" t="str">
        <f>DEMANDS!$E$23</f>
        <v>TOTH</v>
      </c>
      <c r="F173">
        <v>2027</v>
      </c>
      <c r="G173" s="18">
        <f>HLOOKUP(REG_TRA_DEMANDS!G$3,'BY-Demands'!$J$5:$AK$14,MATCH($E173,'BY-Demands'!$I$5:$I$14,0),FALSE)*HLOOKUP(REG_TRA_DEMANDS!$F173,DEMANDS!$G$2:$CK$25,MATCH($E173,DEMANDS!$E$2:$E$25,0),FALSE)/HLOOKUP(2018,DEMANDS!$G$2:$CK$25,MATCH($E173,DEMANDS!$E$2:$E$25,0),FALSE)</f>
        <v>0.036157878336715514</v>
      </c>
      <c r="H173" s="18">
        <f>HLOOKUP(REG_TRA_DEMANDS!H$3,'BY-Demands'!$J$5:$AK$14,MATCH($E173,'BY-Demands'!$I$5:$I$14,0),FALSE)*HLOOKUP(REG_TRA_DEMANDS!$F173,DEMANDS!$G$2:$CK$25,MATCH($E173,DEMANDS!$E$2:$E$25,0),FALSE)/HLOOKUP(2018,DEMANDS!$G$2:$CK$25,MATCH($E173,DEMANDS!$E$2:$E$25,0),FALSE)</f>
        <v>0.85571634226584092</v>
      </c>
      <c r="I173" s="18">
        <f>HLOOKUP(REG_TRA_DEMANDS!I$3,'BY-Demands'!$J$5:$AK$14,MATCH($E173,'BY-Demands'!$I$5:$I$14,0),FALSE)*HLOOKUP(REG_TRA_DEMANDS!$F173,DEMANDS!$G$2:$CK$25,MATCH($E173,DEMANDS!$E$2:$E$25,0),FALSE)/HLOOKUP(2018,DEMANDS!$G$2:$CK$25,MATCH($E173,DEMANDS!$E$2:$E$25,0),FALSE)</f>
        <v>0.14131371744243246</v>
      </c>
      <c r="J173" s="18">
        <f>HLOOKUP(REG_TRA_DEMANDS!J$3,'BY-Demands'!$J$5:$AK$14,MATCH($E173,'BY-Demands'!$I$5:$I$14,0),FALSE)*HLOOKUP(REG_TRA_DEMANDS!$F173,DEMANDS!$G$2:$CK$25,MATCH($E173,DEMANDS!$E$2:$E$25,0),FALSE)/HLOOKUP(2018,DEMANDS!$G$2:$CK$25,MATCH($E173,DEMANDS!$E$2:$E$25,0),FALSE)</f>
        <v>0.063022879630242432</v>
      </c>
      <c r="K173" s="18">
        <f>HLOOKUP(REG_TRA_DEMANDS!K$3,'BY-Demands'!$J$5:$AK$14,MATCH($E173,'BY-Demands'!$I$5:$I$14,0),FALSE)*HLOOKUP(REG_TRA_DEMANDS!$F173,DEMANDS!$G$2:$CK$25,MATCH($E173,DEMANDS!$E$2:$E$25,0),FALSE)/HLOOKUP(2018,DEMANDS!$G$2:$CK$25,MATCH($E173,DEMANDS!$E$2:$E$25,0),FALSE)</f>
        <v>0.053791607909168759</v>
      </c>
      <c r="L173" s="18">
        <f>HLOOKUP(REG_TRA_DEMANDS!L$3,'BY-Demands'!$J$5:$AK$14,MATCH($E173,'BY-Demands'!$I$5:$I$14,0),FALSE)*HLOOKUP(REG_TRA_DEMANDS!$F173,DEMANDS!$G$2:$CK$25,MATCH($E173,DEMANDS!$E$2:$E$25,0),FALSE)/HLOOKUP(2018,DEMANDS!$G$2:$CK$25,MATCH($E173,DEMANDS!$E$2:$E$25,0),FALSE)</f>
        <v>0.025958704441378801</v>
      </c>
      <c r="M173" s="18">
        <f>HLOOKUP(REG_TRA_DEMANDS!M$3,'BY-Demands'!$J$5:$AK$14,MATCH($E173,'BY-Demands'!$I$5:$I$14,0),FALSE)*HLOOKUP(REG_TRA_DEMANDS!$F173,DEMANDS!$G$2:$CK$25,MATCH($E173,DEMANDS!$E$2:$E$25,0),FALSE)/HLOOKUP(2018,DEMANDS!$G$2:$CK$25,MATCH($E173,DEMANDS!$E$2:$E$25,0),FALSE)</f>
        <v>0.081855055005080696</v>
      </c>
      <c r="N173" s="18">
        <f>HLOOKUP(REG_TRA_DEMANDS!N$3,'BY-Demands'!$J$5:$AK$14,MATCH($E173,'BY-Demands'!$I$5:$I$14,0),FALSE)*HLOOKUP(REG_TRA_DEMANDS!$F173,DEMANDS!$G$2:$CK$25,MATCH($E173,DEMANDS!$E$2:$E$25,0),FALSE)/HLOOKUP(2018,DEMANDS!$G$2:$CK$25,MATCH($E173,DEMANDS!$E$2:$E$25,0),FALSE)</f>
        <v>0.12387369532611452</v>
      </c>
      <c r="O173" s="18">
        <f>HLOOKUP(REG_TRA_DEMANDS!O$3,'BY-Demands'!$J$5:$AK$14,MATCH($E173,'BY-Demands'!$I$5:$I$14,0),FALSE)*HLOOKUP(REG_TRA_DEMANDS!$F173,DEMANDS!$G$2:$CK$25,MATCH($E173,DEMANDS!$E$2:$E$25,0),FALSE)/HLOOKUP(2018,DEMANDS!$G$2:$CK$25,MATCH($E173,DEMANDS!$E$2:$E$25,0),FALSE)</f>
        <v>0.049513531107438336</v>
      </c>
      <c r="P173" s="18">
        <f>HLOOKUP(REG_TRA_DEMANDS!P$3,'BY-Demands'!$J$5:$AK$14,MATCH($E173,'BY-Demands'!$I$5:$I$14,0),FALSE)*HLOOKUP(REG_TRA_DEMANDS!$F173,DEMANDS!$G$2:$CK$25,MATCH($E173,DEMANDS!$E$2:$E$25,0),FALSE)/HLOOKUP(2018,DEMANDS!$G$2:$CK$25,MATCH($E173,DEMANDS!$E$2:$E$25,0),FALSE)</f>
        <v>0.056378396331592737</v>
      </c>
      <c r="Q173" s="18">
        <f>HLOOKUP(REG_TRA_DEMANDS!Q$3,'BY-Demands'!$J$5:$AK$14,MATCH($E173,'BY-Demands'!$I$5:$I$14,0),FALSE)*HLOOKUP(REG_TRA_DEMANDS!$F173,DEMANDS!$G$2:$CK$25,MATCH($E173,DEMANDS!$E$2:$E$25,0),FALSE)/HLOOKUP(2018,DEMANDS!$G$2:$CK$25,MATCH($E173,DEMANDS!$E$2:$E$25,0),FALSE)</f>
        <v>0.095089402450813765</v>
      </c>
      <c r="R173" s="18">
        <f>HLOOKUP(REG_TRA_DEMANDS!R$3,'BY-Demands'!$J$5:$AK$14,MATCH($E173,'BY-Demands'!$I$5:$I$14,0),FALSE)*HLOOKUP(REG_TRA_DEMANDS!$F173,DEMANDS!$G$2:$CK$25,MATCH($E173,DEMANDS!$E$2:$E$25,0),FALSE)/HLOOKUP(2018,DEMANDS!$G$2:$CK$25,MATCH($E173,DEMANDS!$E$2:$E$25,0),FALSE)</f>
        <v>0.090455030951077001</v>
      </c>
      <c r="S173" s="18">
        <f>HLOOKUP(REG_TRA_DEMANDS!S$3,'BY-Demands'!$J$5:$AK$14,MATCH($E173,'BY-Demands'!$I$5:$I$14,0),FALSE)*HLOOKUP(REG_TRA_DEMANDS!$F173,DEMANDS!$G$2:$CK$25,MATCH($E173,DEMANDS!$E$2:$E$25,0),FALSE)/HLOOKUP(2018,DEMANDS!$G$2:$CK$25,MATCH($E173,DEMANDS!$E$2:$E$25,0),FALSE)</f>
        <v>0.075461438739786682</v>
      </c>
      <c r="T173" s="18">
        <f>HLOOKUP(REG_TRA_DEMANDS!T$3,'BY-Demands'!$J$5:$AK$14,MATCH($E173,'BY-Demands'!$I$5:$I$14,0),FALSE)*HLOOKUP(REG_TRA_DEMANDS!$F173,DEMANDS!$G$2:$CK$25,MATCH($E173,DEMANDS!$E$2:$E$25,0),FALSE)/HLOOKUP(2018,DEMANDS!$G$2:$CK$25,MATCH($E173,DEMANDS!$E$2:$E$25,0),FALSE)</f>
        <v>0.34477894851570462</v>
      </c>
      <c r="U173" s="18">
        <f>HLOOKUP(REG_TRA_DEMANDS!U$3,'BY-Demands'!$J$5:$AK$14,MATCH($E173,'BY-Demands'!$I$5:$I$14,0),FALSE)*HLOOKUP(REG_TRA_DEMANDS!$F173,DEMANDS!$G$2:$CK$25,MATCH($E173,DEMANDS!$E$2:$E$25,0),FALSE)/HLOOKUP(2018,DEMANDS!$G$2:$CK$25,MATCH($E173,DEMANDS!$E$2:$E$25,0),FALSE)</f>
        <v>0.093809663027493301</v>
      </c>
      <c r="V173" s="18">
        <f>HLOOKUP(REG_TRA_DEMANDS!V$3,'BY-Demands'!$J$5:$AK$14,MATCH($E173,'BY-Demands'!$I$5:$I$14,0),FALSE)*HLOOKUP(REG_TRA_DEMANDS!$F173,DEMANDS!$G$2:$CK$25,MATCH($E173,DEMANDS!$E$2:$E$25,0),FALSE)/HLOOKUP(2018,DEMANDS!$G$2:$CK$25,MATCH($E173,DEMANDS!$E$2:$E$25,0),FALSE)</f>
        <v>0.12378160489614862</v>
      </c>
      <c r="W173" s="18">
        <f>HLOOKUP(REG_TRA_DEMANDS!W$3,'BY-Demands'!$J$5:$AK$14,MATCH($E173,'BY-Demands'!$I$5:$I$14,0),FALSE)*HLOOKUP(REG_TRA_DEMANDS!$F173,DEMANDS!$G$2:$CK$25,MATCH($E173,DEMANDS!$E$2:$E$25,0),FALSE)/HLOOKUP(2018,DEMANDS!$G$2:$CK$25,MATCH($E173,DEMANDS!$E$2:$E$25,0),FALSE)</f>
        <v>0.10133313360250792</v>
      </c>
      <c r="X173" s="18">
        <f>HLOOKUP(REG_TRA_DEMANDS!X$3,'BY-Demands'!$J$5:$AK$14,MATCH($E173,'BY-Demands'!$I$5:$I$14,0),FALSE)*HLOOKUP(REG_TRA_DEMANDS!$F173,DEMANDS!$G$2:$CK$25,MATCH($E173,DEMANDS!$E$2:$E$25,0),FALSE)/HLOOKUP(2018,DEMANDS!$G$2:$CK$25,MATCH($E173,DEMANDS!$E$2:$E$25,0),FALSE)</f>
        <v>0.073784122701578456</v>
      </c>
      <c r="Y173" s="18">
        <f>HLOOKUP(REG_TRA_DEMANDS!Y$3,'BY-Demands'!$J$5:$AK$14,MATCH($E173,'BY-Demands'!$I$5:$I$14,0),FALSE)*HLOOKUP(REG_TRA_DEMANDS!$F173,DEMANDS!$G$2:$CK$25,MATCH($E173,DEMANDS!$E$2:$E$25,0),FALSE)/HLOOKUP(2018,DEMANDS!$G$2:$CK$25,MATCH($E173,DEMANDS!$E$2:$E$25,0),FALSE)</f>
        <v>0.16389429087009263</v>
      </c>
      <c r="Z173" s="18">
        <f>HLOOKUP(REG_TRA_DEMANDS!Z$3,'BY-Demands'!$J$5:$AK$14,MATCH($E173,'BY-Demands'!$I$5:$I$14,0),FALSE)*HLOOKUP(REG_TRA_DEMANDS!$F173,DEMANDS!$G$2:$CK$25,MATCH($E173,DEMANDS!$E$2:$E$25,0),FALSE)/HLOOKUP(2018,DEMANDS!$G$2:$CK$25,MATCH($E173,DEMANDS!$E$2:$E$25,0),FALSE)</f>
        <v>0.020351349916070346</v>
      </c>
      <c r="AA173" s="18">
        <f>HLOOKUP(REG_TRA_DEMANDS!AA$3,'BY-Demands'!$J$5:$AK$14,MATCH($E173,'BY-Demands'!$I$5:$I$14,0),FALSE)*HLOOKUP(REG_TRA_DEMANDS!$F173,DEMANDS!$G$2:$CK$25,MATCH($E173,DEMANDS!$E$2:$E$25,0),FALSE)/HLOOKUP(2018,DEMANDS!$G$2:$CK$25,MATCH($E173,DEMANDS!$E$2:$E$25,0),FALSE)</f>
        <v>0.08288583271428622</v>
      </c>
      <c r="AB173" s="18">
        <f>HLOOKUP(REG_TRA_DEMANDS!AB$3,'BY-Demands'!$J$5:$AK$14,MATCH($E173,'BY-Demands'!$I$5:$I$14,0),FALSE)*HLOOKUP(REG_TRA_DEMANDS!$F173,DEMANDS!$G$2:$CK$25,MATCH($E173,DEMANDS!$E$2:$E$25,0),FALSE)/HLOOKUP(2018,DEMANDS!$G$2:$CK$25,MATCH($E173,DEMANDS!$E$2:$E$25,0),FALSE)</f>
        <v>0.040992308356723302</v>
      </c>
      <c r="AC173" s="18">
        <f>HLOOKUP(REG_TRA_DEMANDS!AC$3,'BY-Demands'!$J$5:$AK$14,MATCH($E173,'BY-Demands'!$I$5:$I$14,0),FALSE)*HLOOKUP(REG_TRA_DEMANDS!$F173,DEMANDS!$G$2:$CK$25,MATCH($E173,DEMANDS!$E$2:$E$25,0),FALSE)/HLOOKUP(2018,DEMANDS!$G$2:$CK$25,MATCH($E173,DEMANDS!$E$2:$E$25,0),FALSE)</f>
        <v>0.041621698812559824</v>
      </c>
      <c r="AD173" s="18">
        <f>HLOOKUP(REG_TRA_DEMANDS!AD$3,'BY-Demands'!$J$5:$AK$14,MATCH($E173,'BY-Demands'!$I$5:$I$14,0),FALSE)*HLOOKUP(REG_TRA_DEMANDS!$F173,DEMANDS!$G$2:$CK$25,MATCH($E173,DEMANDS!$E$2:$E$25,0),FALSE)/HLOOKUP(2018,DEMANDS!$G$2:$CK$25,MATCH($E173,DEMANDS!$E$2:$E$25,0),FALSE)</f>
        <v>0.048379866159236319</v>
      </c>
      <c r="AE173" s="18">
        <f>HLOOKUP(REG_TRA_DEMANDS!AE$3,'BY-Demands'!$J$5:$AK$14,MATCH($E173,'BY-Demands'!$I$5:$I$14,0),FALSE)*HLOOKUP(REG_TRA_DEMANDS!$F173,DEMANDS!$G$2:$CK$25,MATCH($E173,DEMANDS!$E$2:$E$25,0),FALSE)/HLOOKUP(2018,DEMANDS!$G$2:$CK$25,MATCH($E173,DEMANDS!$E$2:$E$25,0),FALSE)</f>
        <v>0.10110386018721332</v>
      </c>
      <c r="AF173" s="18">
        <f>HLOOKUP(REG_TRA_DEMANDS!AF$3,'BY-Demands'!$J$5:$AK$14,MATCH($E173,'BY-Demands'!$I$5:$I$14,0),FALSE)*HLOOKUP(REG_TRA_DEMANDS!$F173,DEMANDS!$G$2:$CK$25,MATCH($E173,DEMANDS!$E$2:$E$25,0),FALSE)/HLOOKUP(2018,DEMANDS!$G$2:$CK$25,MATCH($E173,DEMANDS!$E$2:$E$25,0),FALSE)</f>
        <v>0.03898664230270539</v>
      </c>
    </row>
    <row r="174" spans="4:32" ht="14.4">
      <c r="D174" t="s">
        <v>6</v>
      </c>
      <c r="E174" t="str">
        <f>DEMANDS!$E$23</f>
        <v>TOTH</v>
      </c>
      <c r="F174">
        <v>2028</v>
      </c>
      <c r="G174" s="18">
        <f>HLOOKUP(REG_TRA_DEMANDS!G$3,'BY-Demands'!$J$5:$AK$14,MATCH($E174,'BY-Demands'!$I$5:$I$14,0),FALSE)*HLOOKUP(REG_TRA_DEMANDS!$F174,DEMANDS!$G$2:$CK$25,MATCH($E174,DEMANDS!$E$2:$E$25,0),FALSE)/HLOOKUP(2018,DEMANDS!$G$2:$CK$25,MATCH($E174,DEMANDS!$E$2:$E$25,0),FALSE)</f>
        <v>0.016682980621878174</v>
      </c>
      <c r="H174" s="18">
        <f>HLOOKUP(REG_TRA_DEMANDS!H$3,'BY-Demands'!$J$5:$AK$14,MATCH($E174,'BY-Demands'!$I$5:$I$14,0),FALSE)*HLOOKUP(REG_TRA_DEMANDS!$F174,DEMANDS!$G$2:$CK$25,MATCH($E174,DEMANDS!$E$2:$E$25,0),FALSE)/HLOOKUP(2018,DEMANDS!$G$2:$CK$25,MATCH($E174,DEMANDS!$E$2:$E$25,0),FALSE)</f>
        <v>0.39482126199173112</v>
      </c>
      <c r="I174" s="18">
        <f>HLOOKUP(REG_TRA_DEMANDS!I$3,'BY-Demands'!$J$5:$AK$14,MATCH($E174,'BY-Demands'!$I$5:$I$14,0),FALSE)*HLOOKUP(REG_TRA_DEMANDS!$F174,DEMANDS!$G$2:$CK$25,MATCH($E174,DEMANDS!$E$2:$E$25,0),FALSE)/HLOOKUP(2018,DEMANDS!$G$2:$CK$25,MATCH($E174,DEMANDS!$E$2:$E$25,0),FALSE)</f>
        <v>0.065201115722096345</v>
      </c>
      <c r="J174" s="18">
        <f>HLOOKUP(REG_TRA_DEMANDS!J$3,'BY-Demands'!$J$5:$AK$14,MATCH($E174,'BY-Demands'!$I$5:$I$14,0),FALSE)*HLOOKUP(REG_TRA_DEMANDS!$F174,DEMANDS!$G$2:$CK$25,MATCH($E174,DEMANDS!$E$2:$E$25,0),FALSE)/HLOOKUP(2018,DEMANDS!$G$2:$CK$25,MATCH($E174,DEMANDS!$E$2:$E$25,0),FALSE)</f>
        <v>0.029078295740009464</v>
      </c>
      <c r="K174" s="18">
        <f>HLOOKUP(REG_TRA_DEMANDS!K$3,'BY-Demands'!$J$5:$AK$14,MATCH($E174,'BY-Demands'!$I$5:$I$14,0),FALSE)*HLOOKUP(REG_TRA_DEMANDS!$F174,DEMANDS!$G$2:$CK$25,MATCH($E174,DEMANDS!$E$2:$E$25,0),FALSE)/HLOOKUP(2018,DEMANDS!$G$2:$CK$25,MATCH($E174,DEMANDS!$E$2:$E$25,0),FALSE)</f>
        <v>0.024819054481332408</v>
      </c>
      <c r="L174" s="18">
        <f>HLOOKUP(REG_TRA_DEMANDS!L$3,'BY-Demands'!$J$5:$AK$14,MATCH($E174,'BY-Demands'!$I$5:$I$14,0),FALSE)*HLOOKUP(REG_TRA_DEMANDS!$F174,DEMANDS!$G$2:$CK$25,MATCH($E174,DEMANDS!$E$2:$E$25,0),FALSE)/HLOOKUP(2018,DEMANDS!$G$2:$CK$25,MATCH($E174,DEMANDS!$E$2:$E$25,0),FALSE)</f>
        <v>0.011977156378803288</v>
      </c>
      <c r="M174" s="18">
        <f>HLOOKUP(REG_TRA_DEMANDS!M$3,'BY-Demands'!$J$5:$AK$14,MATCH($E174,'BY-Demands'!$I$5:$I$14,0),FALSE)*HLOOKUP(REG_TRA_DEMANDS!$F174,DEMANDS!$G$2:$CK$25,MATCH($E174,DEMANDS!$E$2:$E$25,0),FALSE)/HLOOKUP(2018,DEMANDS!$G$2:$CK$25,MATCH($E174,DEMANDS!$E$2:$E$25,0),FALSE)</f>
        <v>0.037767323727783186</v>
      </c>
      <c r="N174" s="18">
        <f>HLOOKUP(REG_TRA_DEMANDS!N$3,'BY-Demands'!$J$5:$AK$14,MATCH($E174,'BY-Demands'!$I$5:$I$14,0),FALSE)*HLOOKUP(REG_TRA_DEMANDS!$F174,DEMANDS!$G$2:$CK$25,MATCH($E174,DEMANDS!$E$2:$E$25,0),FALSE)/HLOOKUP(2018,DEMANDS!$G$2:$CK$25,MATCH($E174,DEMANDS!$E$2:$E$25,0),FALSE)</f>
        <v>0.057154417066212528</v>
      </c>
      <c r="O174" s="18">
        <f>HLOOKUP(REG_TRA_DEMANDS!O$3,'BY-Demands'!$J$5:$AK$14,MATCH($E174,'BY-Demands'!$I$5:$I$14,0),FALSE)*HLOOKUP(REG_TRA_DEMANDS!$F174,DEMANDS!$G$2:$CK$25,MATCH($E174,DEMANDS!$E$2:$E$25,0),FALSE)/HLOOKUP(2018,DEMANDS!$G$2:$CK$25,MATCH($E174,DEMANDS!$E$2:$E$25,0),FALSE)</f>
        <v>0.022845181132969943</v>
      </c>
      <c r="P174" s="18">
        <f>HLOOKUP(REG_TRA_DEMANDS!P$3,'BY-Demands'!$J$5:$AK$14,MATCH($E174,'BY-Demands'!$I$5:$I$14,0),FALSE)*HLOOKUP(REG_TRA_DEMANDS!$F174,DEMANDS!$G$2:$CK$25,MATCH($E174,DEMANDS!$E$2:$E$25,0),FALSE)/HLOOKUP(2018,DEMANDS!$G$2:$CK$25,MATCH($E174,DEMANDS!$E$2:$E$25,0),FALSE)</f>
        <v>0.026012579740815819</v>
      </c>
      <c r="Q174" s="18">
        <f>HLOOKUP(REG_TRA_DEMANDS!Q$3,'BY-Demands'!$J$5:$AK$14,MATCH($E174,'BY-Demands'!$I$5:$I$14,0),FALSE)*HLOOKUP(REG_TRA_DEMANDS!$F174,DEMANDS!$G$2:$CK$25,MATCH($E174,DEMANDS!$E$2:$E$25,0),FALSE)/HLOOKUP(2018,DEMANDS!$G$2:$CK$25,MATCH($E174,DEMANDS!$E$2:$E$25,0),FALSE)</f>
        <v>0.043873554849098016</v>
      </c>
      <c r="R174" s="18">
        <f>HLOOKUP(REG_TRA_DEMANDS!R$3,'BY-Demands'!$J$5:$AK$14,MATCH($E174,'BY-Demands'!$I$5:$I$14,0),FALSE)*HLOOKUP(REG_TRA_DEMANDS!$F174,DEMANDS!$G$2:$CK$25,MATCH($E174,DEMANDS!$E$2:$E$25,0),FALSE)/HLOOKUP(2018,DEMANDS!$G$2:$CK$25,MATCH($E174,DEMANDS!$E$2:$E$25,0),FALSE)</f>
        <v>0.041735289732856791</v>
      </c>
      <c r="S174" s="18">
        <f>HLOOKUP(REG_TRA_DEMANDS!S$3,'BY-Demands'!$J$5:$AK$14,MATCH($E174,'BY-Demands'!$I$5:$I$14,0),FALSE)*HLOOKUP(REG_TRA_DEMANDS!$F174,DEMANDS!$G$2:$CK$25,MATCH($E174,DEMANDS!$E$2:$E$25,0),FALSE)/HLOOKUP(2018,DEMANDS!$G$2:$CK$25,MATCH($E174,DEMANDS!$E$2:$E$25,0),FALSE)</f>
        <v>0.034817355943049653</v>
      </c>
      <c r="T174" s="18">
        <f>HLOOKUP(REG_TRA_DEMANDS!T$3,'BY-Demands'!$J$5:$AK$14,MATCH($E174,'BY-Demands'!$I$5:$I$14,0),FALSE)*HLOOKUP(REG_TRA_DEMANDS!$F174,DEMANDS!$G$2:$CK$25,MATCH($E174,DEMANDS!$E$2:$E$25,0),FALSE)/HLOOKUP(2018,DEMANDS!$G$2:$CK$25,MATCH($E174,DEMANDS!$E$2:$E$25,0),FALSE)</f>
        <v>0.1590784852848621</v>
      </c>
      <c r="U174" s="18">
        <f>HLOOKUP(REG_TRA_DEMANDS!U$3,'BY-Demands'!$J$5:$AK$14,MATCH($E174,'BY-Demands'!$I$5:$I$14,0),FALSE)*HLOOKUP(REG_TRA_DEMANDS!$F174,DEMANDS!$G$2:$CK$25,MATCH($E174,DEMANDS!$E$2:$E$25,0),FALSE)/HLOOKUP(2018,DEMANDS!$G$2:$CK$25,MATCH($E174,DEMANDS!$E$2:$E$25,0),FALSE)</f>
        <v>0.043283092438624396</v>
      </c>
      <c r="V174" s="18">
        <f>HLOOKUP(REG_TRA_DEMANDS!V$3,'BY-Demands'!$J$5:$AK$14,MATCH($E174,'BY-Demands'!$I$5:$I$14,0),FALSE)*HLOOKUP(REG_TRA_DEMANDS!$F174,DEMANDS!$G$2:$CK$25,MATCH($E174,DEMANDS!$E$2:$E$25,0),FALSE)/HLOOKUP(2018,DEMANDS!$G$2:$CK$25,MATCH($E174,DEMANDS!$E$2:$E$25,0),FALSE)</f>
        <v>0.057111927215334812</v>
      </c>
      <c r="W174" s="18">
        <f>HLOOKUP(REG_TRA_DEMANDS!W$3,'BY-Demands'!$J$5:$AK$14,MATCH($E174,'BY-Demands'!$I$5:$I$14,0),FALSE)*HLOOKUP(REG_TRA_DEMANDS!$F174,DEMANDS!$G$2:$CK$25,MATCH($E174,DEMANDS!$E$2:$E$25,0),FALSE)/HLOOKUP(2018,DEMANDS!$G$2:$CK$25,MATCH($E174,DEMANDS!$E$2:$E$25,0),FALSE)</f>
        <v>0.046754366738609811</v>
      </c>
      <c r="X174" s="18">
        <f>HLOOKUP(REG_TRA_DEMANDS!X$3,'BY-Demands'!$J$5:$AK$14,MATCH($E174,'BY-Demands'!$I$5:$I$14,0),FALSE)*HLOOKUP(REG_TRA_DEMANDS!$F174,DEMANDS!$G$2:$CK$25,MATCH($E174,DEMANDS!$E$2:$E$25,0),FALSE)/HLOOKUP(2018,DEMANDS!$G$2:$CK$25,MATCH($E174,DEMANDS!$E$2:$E$25,0),FALSE)</f>
        <v>0.03404345459016582</v>
      </c>
      <c r="Y174" s="18">
        <f>HLOOKUP(REG_TRA_DEMANDS!Y$3,'BY-Demands'!$J$5:$AK$14,MATCH($E174,'BY-Demands'!$I$5:$I$14,0),FALSE)*HLOOKUP(REG_TRA_DEMANDS!$F174,DEMANDS!$G$2:$CK$25,MATCH($E174,DEMANDS!$E$2:$E$25,0),FALSE)/HLOOKUP(2018,DEMANDS!$G$2:$CK$25,MATCH($E174,DEMANDS!$E$2:$E$25,0),FALSE)</f>
        <v>0.07561962715732154</v>
      </c>
      <c r="Z174" s="18">
        <f>HLOOKUP(REG_TRA_DEMANDS!Z$3,'BY-Demands'!$J$5:$AK$14,MATCH($E174,'BY-Demands'!$I$5:$I$14,0),FALSE)*HLOOKUP(REG_TRA_DEMANDS!$F174,DEMANDS!$G$2:$CK$25,MATCH($E174,DEMANDS!$E$2:$E$25,0),FALSE)/HLOOKUP(2018,DEMANDS!$G$2:$CK$25,MATCH($E174,DEMANDS!$E$2:$E$25,0),FALSE)</f>
        <v>0.0093899640105295206</v>
      </c>
      <c r="AA174" s="18">
        <f>HLOOKUP(REG_TRA_DEMANDS!AA$3,'BY-Demands'!$J$5:$AK$14,MATCH($E174,'BY-Demands'!$I$5:$I$14,0),FALSE)*HLOOKUP(REG_TRA_DEMANDS!$F174,DEMANDS!$G$2:$CK$25,MATCH($E174,DEMANDS!$E$2:$E$25,0),FALSE)/HLOOKUP(2018,DEMANDS!$G$2:$CK$25,MATCH($E174,DEMANDS!$E$2:$E$25,0),FALSE)</f>
        <v>0.03824291702415971</v>
      </c>
      <c r="AB174" s="18">
        <f>HLOOKUP(REG_TRA_DEMANDS!AB$3,'BY-Demands'!$J$5:$AK$14,MATCH($E174,'BY-Demands'!$I$5:$I$14,0),FALSE)*HLOOKUP(REG_TRA_DEMANDS!$F174,DEMANDS!$G$2:$CK$25,MATCH($E174,DEMANDS!$E$2:$E$25,0),FALSE)/HLOOKUP(2018,DEMANDS!$G$2:$CK$25,MATCH($E174,DEMANDS!$E$2:$E$25,0),FALSE)</f>
        <v>0.018913551276233176</v>
      </c>
      <c r="AC174" s="18">
        <f>HLOOKUP(REG_TRA_DEMANDS!AC$3,'BY-Demands'!$J$5:$AK$14,MATCH($E174,'BY-Demands'!$I$5:$I$14,0),FALSE)*HLOOKUP(REG_TRA_DEMANDS!$F174,DEMANDS!$G$2:$CK$25,MATCH($E174,DEMANDS!$E$2:$E$25,0),FALSE)/HLOOKUP(2018,DEMANDS!$G$2:$CK$25,MATCH($E174,DEMANDS!$E$2:$E$25,0),FALSE)</f>
        <v>0.019203947429473553</v>
      </c>
      <c r="AD174" s="18">
        <f>HLOOKUP(REG_TRA_DEMANDS!AD$3,'BY-Demands'!$J$5:$AK$14,MATCH($E174,'BY-Demands'!$I$5:$I$14,0),FALSE)*HLOOKUP(REG_TRA_DEMANDS!$F174,DEMANDS!$G$2:$CK$25,MATCH($E174,DEMANDS!$E$2:$E$25,0),FALSE)/HLOOKUP(2018,DEMANDS!$G$2:$CK$25,MATCH($E174,DEMANDS!$E$2:$E$25,0),FALSE)</f>
        <v>0.022322116416992069</v>
      </c>
      <c r="AE174" s="18">
        <f>HLOOKUP(REG_TRA_DEMANDS!AE$3,'BY-Demands'!$J$5:$AK$14,MATCH($E174,'BY-Demands'!$I$5:$I$14,0),FALSE)*HLOOKUP(REG_TRA_DEMANDS!$F174,DEMANDS!$G$2:$CK$25,MATCH($E174,DEMANDS!$E$2:$E$25,0),FALSE)/HLOOKUP(2018,DEMANDS!$G$2:$CK$25,MATCH($E174,DEMANDS!$E$2:$E$25,0),FALSE)</f>
        <v>0.046648581661596925</v>
      </c>
      <c r="AF174" s="18">
        <f>HLOOKUP(REG_TRA_DEMANDS!AF$3,'BY-Demands'!$J$5:$AK$14,MATCH($E174,'BY-Demands'!$I$5:$I$14,0),FALSE)*HLOOKUP(REG_TRA_DEMANDS!$F174,DEMANDS!$G$2:$CK$25,MATCH($E174,DEMANDS!$E$2:$E$25,0),FALSE)/HLOOKUP(2018,DEMANDS!$G$2:$CK$25,MATCH($E174,DEMANDS!$E$2:$E$25,0),FALSE)</f>
        <v>0.017988151627461108</v>
      </c>
    </row>
    <row r="175" spans="4:32" ht="14.4">
      <c r="D175" t="s">
        <v>6</v>
      </c>
      <c r="E175" t="str">
        <f>DEMANDS!$E$23</f>
        <v>TOTH</v>
      </c>
      <c r="F175">
        <v>2029</v>
      </c>
      <c r="G175" s="18">
        <f>HLOOKUP(REG_TRA_DEMANDS!G$3,'BY-Demands'!$J$5:$AK$14,MATCH($E175,'BY-Demands'!$I$5:$I$14,0),FALSE)*HLOOKUP(REG_TRA_DEMANDS!$F175,DEMANDS!$G$2:$CK$25,MATCH($E175,DEMANDS!$E$2:$E$25,0),FALSE)/HLOOKUP(2018,DEMANDS!$G$2:$CK$25,MATCH($E175,DEMANDS!$E$2:$E$25,0),FALSE)</f>
        <v>0.0069594444650572761</v>
      </c>
      <c r="H175" s="18">
        <f>HLOOKUP(REG_TRA_DEMANDS!H$3,'BY-Demands'!$J$5:$AK$14,MATCH($E175,'BY-Demands'!$I$5:$I$14,0),FALSE)*HLOOKUP(REG_TRA_DEMANDS!$F175,DEMANDS!$G$2:$CK$25,MATCH($E175,DEMANDS!$E$2:$E$25,0),FALSE)/HLOOKUP(2018,DEMANDS!$G$2:$CK$25,MATCH($E175,DEMANDS!$E$2:$E$25,0),FALSE)</f>
        <v>0.16470298136364681</v>
      </c>
      <c r="I175" s="18">
        <f>HLOOKUP(REG_TRA_DEMANDS!I$3,'BY-Demands'!$J$5:$AK$14,MATCH($E175,'BY-Demands'!$I$5:$I$14,0),FALSE)*HLOOKUP(REG_TRA_DEMANDS!$F175,DEMANDS!$G$2:$CK$25,MATCH($E175,DEMANDS!$E$2:$E$25,0),FALSE)/HLOOKUP(2018,DEMANDS!$G$2:$CK$25,MATCH($E175,DEMANDS!$E$2:$E$25,0),FALSE)</f>
        <v>0.027199189054540631</v>
      </c>
      <c r="J175" s="18">
        <f>HLOOKUP(REG_TRA_DEMANDS!J$3,'BY-Demands'!$J$5:$AK$14,MATCH($E175,'BY-Demands'!$I$5:$I$14,0),FALSE)*HLOOKUP(REG_TRA_DEMANDS!$F175,DEMANDS!$G$2:$CK$25,MATCH($E175,DEMANDS!$E$2:$E$25,0),FALSE)/HLOOKUP(2018,DEMANDS!$G$2:$CK$25,MATCH($E175,DEMANDS!$E$2:$E$25,0),FALSE)</f>
        <v>0.012130253515712871</v>
      </c>
      <c r="K175" s="18">
        <f>HLOOKUP(REG_TRA_DEMANDS!K$3,'BY-Demands'!$J$5:$AK$14,MATCH($E175,'BY-Demands'!$I$5:$I$14,0),FALSE)*HLOOKUP(REG_TRA_DEMANDS!$F175,DEMANDS!$G$2:$CK$25,MATCH($E175,DEMANDS!$E$2:$E$25,0),FALSE)/HLOOKUP(2018,DEMANDS!$G$2:$CK$25,MATCH($E175,DEMANDS!$E$2:$E$25,0),FALSE)</f>
        <v>0.010353475512136522</v>
      </c>
      <c r="L175" s="18">
        <f>HLOOKUP(REG_TRA_DEMANDS!L$3,'BY-Demands'!$J$5:$AK$14,MATCH($E175,'BY-Demands'!$I$5:$I$14,0),FALSE)*HLOOKUP(REG_TRA_DEMANDS!$F175,DEMANDS!$G$2:$CK$25,MATCH($E175,DEMANDS!$E$2:$E$25,0),FALSE)/HLOOKUP(2018,DEMANDS!$G$2:$CK$25,MATCH($E175,DEMANDS!$E$2:$E$25,0),FALSE)</f>
        <v>0.0049963706460389055</v>
      </c>
      <c r="M175" s="18">
        <f>HLOOKUP(REG_TRA_DEMANDS!M$3,'BY-Demands'!$J$5:$AK$14,MATCH($E175,'BY-Demands'!$I$5:$I$14,0),FALSE)*HLOOKUP(REG_TRA_DEMANDS!$F175,DEMANDS!$G$2:$CK$25,MATCH($E175,DEMANDS!$E$2:$E$25,0),FALSE)/HLOOKUP(2018,DEMANDS!$G$2:$CK$25,MATCH($E175,DEMANDS!$E$2:$E$25,0),FALSE)</f>
        <v>0.015754953987817823</v>
      </c>
      <c r="N175" s="18">
        <f>HLOOKUP(REG_TRA_DEMANDS!N$3,'BY-Demands'!$J$5:$AK$14,MATCH($E175,'BY-Demands'!$I$5:$I$14,0),FALSE)*HLOOKUP(REG_TRA_DEMANDS!$F175,DEMANDS!$G$2:$CK$25,MATCH($E175,DEMANDS!$E$2:$E$25,0),FALSE)/HLOOKUP(2018,DEMANDS!$G$2:$CK$25,MATCH($E175,DEMANDS!$E$2:$E$25,0),FALSE)</f>
        <v>0.023842441618819529</v>
      </c>
      <c r="O175" s="18">
        <f>HLOOKUP(REG_TRA_DEMANDS!O$3,'BY-Demands'!$J$5:$AK$14,MATCH($E175,'BY-Demands'!$I$5:$I$14,0),FALSE)*HLOOKUP(REG_TRA_DEMANDS!$F175,DEMANDS!$G$2:$CK$25,MATCH($E175,DEMANDS!$E$2:$E$25,0),FALSE)/HLOOKUP(2018,DEMANDS!$G$2:$CK$25,MATCH($E175,DEMANDS!$E$2:$E$25,0),FALSE)</f>
        <v>0.0095300577871905157</v>
      </c>
      <c r="P175" s="18">
        <f>HLOOKUP(REG_TRA_DEMANDS!P$3,'BY-Demands'!$J$5:$AK$14,MATCH($E175,'BY-Demands'!$I$5:$I$14,0),FALSE)*HLOOKUP(REG_TRA_DEMANDS!$F175,DEMANDS!$G$2:$CK$25,MATCH($E175,DEMANDS!$E$2:$E$25,0),FALSE)/HLOOKUP(2018,DEMANDS!$G$2:$CK$25,MATCH($E175,DEMANDS!$E$2:$E$25,0),FALSE)</f>
        <v>0.01085136452545378</v>
      </c>
      <c r="Q175" s="18">
        <f>HLOOKUP(REG_TRA_DEMANDS!Q$3,'BY-Demands'!$J$5:$AK$14,MATCH($E175,'BY-Demands'!$I$5:$I$14,0),FALSE)*HLOOKUP(REG_TRA_DEMANDS!$F175,DEMANDS!$G$2:$CK$25,MATCH($E175,DEMANDS!$E$2:$E$25,0),FALSE)/HLOOKUP(2018,DEMANDS!$G$2:$CK$25,MATCH($E175,DEMANDS!$E$2:$E$25,0),FALSE)</f>
        <v>0.018302219212346434</v>
      </c>
      <c r="R175" s="18">
        <f>HLOOKUP(REG_TRA_DEMANDS!R$3,'BY-Demands'!$J$5:$AK$14,MATCH($E175,'BY-Demands'!$I$5:$I$14,0),FALSE)*HLOOKUP(REG_TRA_DEMANDS!$F175,DEMANDS!$G$2:$CK$25,MATCH($E175,DEMANDS!$E$2:$E$25,0),FALSE)/HLOOKUP(2018,DEMANDS!$G$2:$CK$25,MATCH($E175,DEMANDS!$E$2:$E$25,0),FALSE)</f>
        <v>0.01741022409077117</v>
      </c>
      <c r="S175" s="18">
        <f>HLOOKUP(REG_TRA_DEMANDS!S$3,'BY-Demands'!$J$5:$AK$14,MATCH($E175,'BY-Demands'!$I$5:$I$14,0),FALSE)*HLOOKUP(REG_TRA_DEMANDS!$F175,DEMANDS!$G$2:$CK$25,MATCH($E175,DEMANDS!$E$2:$E$25,0),FALSE)/HLOOKUP(2018,DEMANDS!$G$2:$CK$25,MATCH($E175,DEMANDS!$E$2:$E$25,0),FALSE)</f>
        <v>0.014524350330301269</v>
      </c>
      <c r="T175" s="18">
        <f>HLOOKUP(REG_TRA_DEMANDS!T$3,'BY-Demands'!$J$5:$AK$14,MATCH($E175,'BY-Demands'!$I$5:$I$14,0),FALSE)*HLOOKUP(REG_TRA_DEMANDS!$F175,DEMANDS!$G$2:$CK$25,MATCH($E175,DEMANDS!$E$2:$E$25,0),FALSE)/HLOOKUP(2018,DEMANDS!$G$2:$CK$25,MATCH($E175,DEMANDS!$E$2:$E$25,0),FALSE)</f>
        <v>0.0663609164943567</v>
      </c>
      <c r="U175" s="18">
        <f>HLOOKUP(REG_TRA_DEMANDS!U$3,'BY-Demands'!$J$5:$AK$14,MATCH($E175,'BY-Demands'!$I$5:$I$14,0),FALSE)*HLOOKUP(REG_TRA_DEMANDS!$F175,DEMANDS!$G$2:$CK$25,MATCH($E175,DEMANDS!$E$2:$E$25,0),FALSE)/HLOOKUP(2018,DEMANDS!$G$2:$CK$25,MATCH($E175,DEMANDS!$E$2:$E$25,0),FALSE)</f>
        <v>0.018055902894685182</v>
      </c>
      <c r="V175" s="18">
        <f>HLOOKUP(REG_TRA_DEMANDS!V$3,'BY-Demands'!$J$5:$AK$14,MATCH($E175,'BY-Demands'!$I$5:$I$14,0),FALSE)*HLOOKUP(REG_TRA_DEMANDS!$F175,DEMANDS!$G$2:$CK$25,MATCH($E175,DEMANDS!$E$2:$E$25,0),FALSE)/HLOOKUP(2018,DEMANDS!$G$2:$CK$25,MATCH($E175,DEMANDS!$E$2:$E$25,0),FALSE)</f>
        <v>0.023824716623255832</v>
      </c>
      <c r="W175" s="18">
        <f>HLOOKUP(REG_TRA_DEMANDS!W$3,'BY-Demands'!$J$5:$AK$14,MATCH($E175,'BY-Demands'!$I$5:$I$14,0),FALSE)*HLOOKUP(REG_TRA_DEMANDS!$F175,DEMANDS!$G$2:$CK$25,MATCH($E175,DEMANDS!$E$2:$E$25,0),FALSE)/HLOOKUP(2018,DEMANDS!$G$2:$CK$25,MATCH($E175,DEMANDS!$E$2:$E$25,0),FALSE)</f>
        <v>0.019503973911566178</v>
      </c>
      <c r="X175" s="18">
        <f>HLOOKUP(REG_TRA_DEMANDS!X$3,'BY-Demands'!$J$5:$AK$14,MATCH($E175,'BY-Demands'!$I$5:$I$14,0),FALSE)*HLOOKUP(REG_TRA_DEMANDS!$F175,DEMANDS!$G$2:$CK$25,MATCH($E175,DEMANDS!$E$2:$E$25,0),FALSE)/HLOOKUP(2018,DEMANDS!$G$2:$CK$25,MATCH($E175,DEMANDS!$E$2:$E$25,0),FALSE)</f>
        <v>0.014201510928344247</v>
      </c>
      <c r="Y175" s="18">
        <f>HLOOKUP(REG_TRA_DEMANDS!Y$3,'BY-Demands'!$J$5:$AK$14,MATCH($E175,'BY-Demands'!$I$5:$I$14,0),FALSE)*HLOOKUP(REG_TRA_DEMANDS!$F175,DEMANDS!$G$2:$CK$25,MATCH($E175,DEMANDS!$E$2:$E$25,0),FALSE)/HLOOKUP(2018,DEMANDS!$G$2:$CK$25,MATCH($E175,DEMANDS!$E$2:$E$25,0),FALSE)</f>
        <v>0.031545357966762923</v>
      </c>
      <c r="Z175" s="18">
        <f>HLOOKUP(REG_TRA_DEMANDS!Z$3,'BY-Demands'!$J$5:$AK$14,MATCH($E175,'BY-Demands'!$I$5:$I$14,0),FALSE)*HLOOKUP(REG_TRA_DEMANDS!$F175,DEMANDS!$G$2:$CK$25,MATCH($E175,DEMANDS!$E$2:$E$25,0),FALSE)/HLOOKUP(2018,DEMANDS!$G$2:$CK$25,MATCH($E175,DEMANDS!$E$2:$E$25,0),FALSE)</f>
        <v>0.0039171017782318619</v>
      </c>
      <c r="AA175" s="18">
        <f>HLOOKUP(REG_TRA_DEMANDS!AA$3,'BY-Demands'!$J$5:$AK$14,MATCH($E175,'BY-Demands'!$I$5:$I$14,0),FALSE)*HLOOKUP(REG_TRA_DEMANDS!$F175,DEMANDS!$G$2:$CK$25,MATCH($E175,DEMANDS!$E$2:$E$25,0),FALSE)/HLOOKUP(2018,DEMANDS!$G$2:$CK$25,MATCH($E175,DEMANDS!$E$2:$E$25,0),FALSE)</f>
        <v>0.015953351696782692</v>
      </c>
      <c r="AB175" s="18">
        <f>HLOOKUP(REG_TRA_DEMANDS!AB$3,'BY-Demands'!$J$5:$AK$14,MATCH($E175,'BY-Demands'!$I$5:$I$14,0),FALSE)*HLOOKUP(REG_TRA_DEMANDS!$F175,DEMANDS!$G$2:$CK$25,MATCH($E175,DEMANDS!$E$2:$E$25,0),FALSE)/HLOOKUP(2018,DEMANDS!$G$2:$CK$25,MATCH($E175,DEMANDS!$E$2:$E$25,0),FALSE)</f>
        <v>0.0078899456114778638</v>
      </c>
      <c r="AC175" s="18">
        <f>HLOOKUP(REG_TRA_DEMANDS!AC$3,'BY-Demands'!$J$5:$AK$14,MATCH($E175,'BY-Demands'!$I$5:$I$14,0),FALSE)*HLOOKUP(REG_TRA_DEMANDS!$F175,DEMANDS!$G$2:$CK$25,MATCH($E175,DEMANDS!$E$2:$E$25,0),FALSE)/HLOOKUP(2018,DEMANDS!$G$2:$CK$25,MATCH($E175,DEMANDS!$E$2:$E$25,0),FALSE)</f>
        <v>0.0080110867880546863</v>
      </c>
      <c r="AD175" s="18">
        <f>HLOOKUP(REG_TRA_DEMANDS!AD$3,'BY-Demands'!$J$5:$AK$14,MATCH($E175,'BY-Demands'!$I$5:$I$14,0),FALSE)*HLOOKUP(REG_TRA_DEMANDS!$F175,DEMANDS!$G$2:$CK$25,MATCH($E175,DEMANDS!$E$2:$E$25,0),FALSE)/HLOOKUP(2018,DEMANDS!$G$2:$CK$25,MATCH($E175,DEMANDS!$E$2:$E$25,0),FALSE)</f>
        <v>0.0093118569797337753</v>
      </c>
      <c r="AE175" s="18">
        <f>HLOOKUP(REG_TRA_DEMANDS!AE$3,'BY-Demands'!$J$5:$AK$14,MATCH($E175,'BY-Demands'!$I$5:$I$14,0),FALSE)*HLOOKUP(REG_TRA_DEMANDS!$F175,DEMANDS!$G$2:$CK$25,MATCH($E175,DEMANDS!$E$2:$E$25,0),FALSE)/HLOOKUP(2018,DEMANDS!$G$2:$CK$25,MATCH($E175,DEMANDS!$E$2:$E$25,0),FALSE)</f>
        <v>0.019459844784679971</v>
      </c>
      <c r="AF175" s="18">
        <f>HLOOKUP(REG_TRA_DEMANDS!AF$3,'BY-Demands'!$J$5:$AK$14,MATCH($E175,'BY-Demands'!$I$5:$I$14,0),FALSE)*HLOOKUP(REG_TRA_DEMANDS!$F175,DEMANDS!$G$2:$CK$25,MATCH($E175,DEMANDS!$E$2:$E$25,0),FALSE)/HLOOKUP(2018,DEMANDS!$G$2:$CK$25,MATCH($E175,DEMANDS!$E$2:$E$25,0),FALSE)</f>
        <v>0.0075039074322350678</v>
      </c>
    </row>
    <row r="176" spans="4:32" ht="14.4">
      <c r="D176" t="s">
        <v>6</v>
      </c>
      <c r="E176" t="str">
        <f>DEMANDS!$E$23</f>
        <v>TOTH</v>
      </c>
      <c r="F176">
        <v>2030</v>
      </c>
      <c r="G176" s="18">
        <f>HLOOKUP(REG_TRA_DEMANDS!G$3,'BY-Demands'!$J$5:$AK$14,MATCH($E176,'BY-Demands'!$I$5:$I$14,0),FALSE)*HLOOKUP(REG_TRA_DEMANDS!$F176,DEMANDS!$G$2:$CK$25,MATCH($E176,DEMANDS!$E$2:$E$25,0),FALSE)/HLOOKUP(2018,DEMANDS!$G$2:$CK$25,MATCH($E176,DEMANDS!$E$2:$E$25,0),FALSE)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H176" s="18">
        <f>HLOOKUP(REG_TRA_DEMANDS!H$3,'BY-Demands'!$J$5:$AK$14,MATCH($E176,'BY-Demands'!$I$5:$I$14,0),FALSE)*HLOOKUP(REG_TRA_DEMANDS!$F176,DEMANDS!$G$2:$CK$25,MATCH($E176,DEMANDS!$E$2:$E$25,0),FALSE)/HLOOKUP(2018,DEMANDS!$G$2:$CK$25,MATCH($E176,DEMANDS!$E$2:$E$25,0),FALSE)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I176" s="18">
        <f>HLOOKUP(REG_TRA_DEMANDS!I$3,'BY-Demands'!$J$5:$AK$14,MATCH($E176,'BY-Demands'!$I$5:$I$14,0),FALSE)*HLOOKUP(REG_TRA_DEMANDS!$F176,DEMANDS!$G$2:$CK$25,MATCH($E176,DEMANDS!$E$2:$E$25,0),FALSE)/HLOOKUP(2018,DEMANDS!$G$2:$CK$25,MATCH($E176,DEMANDS!$E$2:$E$25,0),FALSE)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J176" s="18">
        <f>HLOOKUP(REG_TRA_DEMANDS!J$3,'BY-Demands'!$J$5:$AK$14,MATCH($E176,'BY-Demands'!$I$5:$I$14,0),FALSE)*HLOOKUP(REG_TRA_DEMANDS!$F176,DEMANDS!$G$2:$CK$25,MATCH($E176,DEMANDS!$E$2:$E$25,0),FALSE)/HLOOKUP(2018,DEMANDS!$G$2:$CK$25,MATCH($E176,DEMANDS!$E$2:$E$25,0),FALSE)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K176" s="18">
        <f>HLOOKUP(REG_TRA_DEMANDS!K$3,'BY-Demands'!$J$5:$AK$14,MATCH($E176,'BY-Demands'!$I$5:$I$14,0),FALSE)*HLOOKUP(REG_TRA_DEMANDS!$F176,DEMANDS!$G$2:$CK$25,MATCH($E176,DEMANDS!$E$2:$E$25,0),FALSE)/HLOOKUP(2018,DEMANDS!$G$2:$CK$25,MATCH($E176,DEMANDS!$E$2:$E$25,0),FALSE)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L176" s="18">
        <f>HLOOKUP(REG_TRA_DEMANDS!L$3,'BY-Demands'!$J$5:$AK$14,MATCH($E176,'BY-Demands'!$I$5:$I$14,0),FALSE)*HLOOKUP(REG_TRA_DEMANDS!$F176,DEMANDS!$G$2:$CK$25,MATCH($E176,DEMANDS!$E$2:$E$25,0),FALSE)/HLOOKUP(2018,DEMANDS!$G$2:$CK$25,MATCH($E176,DEMANDS!$E$2:$E$25,0),FALSE)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M176" s="18">
        <f>HLOOKUP(REG_TRA_DEMANDS!M$3,'BY-Demands'!$J$5:$AK$14,MATCH($E176,'BY-Demands'!$I$5:$I$14,0),FALSE)*HLOOKUP(REG_TRA_DEMANDS!$F176,DEMANDS!$G$2:$CK$25,MATCH($E176,DEMANDS!$E$2:$E$25,0),FALSE)/HLOOKUP(2018,DEMANDS!$G$2:$CK$25,MATCH($E176,DEMANDS!$E$2:$E$25,0),FALSE)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N176" s="18">
        <f>HLOOKUP(REG_TRA_DEMANDS!N$3,'BY-Demands'!$J$5:$AK$14,MATCH($E176,'BY-Demands'!$I$5:$I$14,0),FALSE)*HLOOKUP(REG_TRA_DEMANDS!$F176,DEMANDS!$G$2:$CK$25,MATCH($E176,DEMANDS!$E$2:$E$25,0),FALSE)/HLOOKUP(2018,DEMANDS!$G$2:$CK$25,MATCH($E176,DEMANDS!$E$2:$E$25,0),FALSE)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O176" s="18">
        <f>HLOOKUP(REG_TRA_DEMANDS!O$3,'BY-Demands'!$J$5:$AK$14,MATCH($E176,'BY-Demands'!$I$5:$I$14,0),FALSE)*HLOOKUP(REG_TRA_DEMANDS!$F176,DEMANDS!$G$2:$CK$25,MATCH($E176,DEMANDS!$E$2:$E$25,0),FALSE)/HLOOKUP(2018,DEMANDS!$G$2:$CK$25,MATCH($E176,DEMANDS!$E$2:$E$25,0),FALSE)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P176" s="18">
        <f>HLOOKUP(REG_TRA_DEMANDS!P$3,'BY-Demands'!$J$5:$AK$14,MATCH($E176,'BY-Demands'!$I$5:$I$14,0),FALSE)*HLOOKUP(REG_TRA_DEMANDS!$F176,DEMANDS!$G$2:$CK$25,MATCH($E176,DEMANDS!$E$2:$E$25,0),FALSE)/HLOOKUP(2018,DEMANDS!$G$2:$CK$25,MATCH($E176,DEMANDS!$E$2:$E$25,0),FALSE)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Q176" s="18">
        <f>HLOOKUP(REG_TRA_DEMANDS!Q$3,'BY-Demands'!$J$5:$AK$14,MATCH($E176,'BY-Demands'!$I$5:$I$14,0),FALSE)*HLOOKUP(REG_TRA_DEMANDS!$F176,DEMANDS!$G$2:$CK$25,MATCH($E176,DEMANDS!$E$2:$E$25,0),FALSE)/HLOOKUP(2018,DEMANDS!$G$2:$CK$25,MATCH($E176,DEMANDS!$E$2:$E$25,0),FALSE)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R176" s="18">
        <f>HLOOKUP(REG_TRA_DEMANDS!R$3,'BY-Demands'!$J$5:$AK$14,MATCH($E176,'BY-Demands'!$I$5:$I$14,0),FALSE)*HLOOKUP(REG_TRA_DEMANDS!$F176,DEMANDS!$G$2:$CK$25,MATCH($E176,DEMANDS!$E$2:$E$25,0),FALSE)/HLOOKUP(2018,DEMANDS!$G$2:$CK$25,MATCH($E176,DEMANDS!$E$2:$E$25,0),FALSE)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S176" s="18">
        <f>HLOOKUP(REG_TRA_DEMANDS!S$3,'BY-Demands'!$J$5:$AK$14,MATCH($E176,'BY-Demands'!$I$5:$I$14,0),FALSE)*HLOOKUP(REG_TRA_DEMANDS!$F176,DEMANDS!$G$2:$CK$25,MATCH($E176,DEMANDS!$E$2:$E$25,0),FALSE)/HLOOKUP(2018,DEMANDS!$G$2:$CK$25,MATCH($E176,DEMANDS!$E$2:$E$25,0),FALSE)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T176" s="18">
        <f>HLOOKUP(REG_TRA_DEMANDS!T$3,'BY-Demands'!$J$5:$AK$14,MATCH($E176,'BY-Demands'!$I$5:$I$14,0),FALSE)*HLOOKUP(REG_TRA_DEMANDS!$F176,DEMANDS!$G$2:$CK$25,MATCH($E176,DEMANDS!$E$2:$E$25,0),FALSE)/HLOOKUP(2018,DEMANDS!$G$2:$CK$25,MATCH($E176,DEMANDS!$E$2:$E$25,0),FALSE)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U176" s="18">
        <f>HLOOKUP(REG_TRA_DEMANDS!U$3,'BY-Demands'!$J$5:$AK$14,MATCH($E176,'BY-Demands'!$I$5:$I$14,0),FALSE)*HLOOKUP(REG_TRA_DEMANDS!$F176,DEMANDS!$G$2:$CK$25,MATCH($E176,DEMANDS!$E$2:$E$25,0),FALSE)/HLOOKUP(2018,DEMANDS!$G$2:$CK$25,MATCH($E176,DEMANDS!$E$2:$E$25,0),FALSE)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V176" s="18">
        <f>HLOOKUP(REG_TRA_DEMANDS!V$3,'BY-Demands'!$J$5:$AK$14,MATCH($E176,'BY-Demands'!$I$5:$I$14,0),FALSE)*HLOOKUP(REG_TRA_DEMANDS!$F176,DEMANDS!$G$2:$CK$25,MATCH($E176,DEMANDS!$E$2:$E$25,0),FALSE)/HLOOKUP(2018,DEMANDS!$G$2:$CK$25,MATCH($E176,DEMANDS!$E$2:$E$25,0),FALSE)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W176" s="18">
        <f>HLOOKUP(REG_TRA_DEMANDS!W$3,'BY-Demands'!$J$5:$AK$14,MATCH($E176,'BY-Demands'!$I$5:$I$14,0),FALSE)*HLOOKUP(REG_TRA_DEMANDS!$F176,DEMANDS!$G$2:$CK$25,MATCH($E176,DEMANDS!$E$2:$E$25,0),FALSE)/HLOOKUP(2018,DEMANDS!$G$2:$CK$25,MATCH($E176,DEMANDS!$E$2:$E$25,0),FALSE)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X176" s="18">
        <f>HLOOKUP(REG_TRA_DEMANDS!X$3,'BY-Demands'!$J$5:$AK$14,MATCH($E176,'BY-Demands'!$I$5:$I$14,0),FALSE)*HLOOKUP(REG_TRA_DEMANDS!$F176,DEMANDS!$G$2:$CK$25,MATCH($E176,DEMANDS!$E$2:$E$25,0),FALSE)/HLOOKUP(2018,DEMANDS!$G$2:$CK$25,MATCH($E176,DEMANDS!$E$2:$E$25,0),FALSE)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Y176" s="18">
        <f>HLOOKUP(REG_TRA_DEMANDS!Y$3,'BY-Demands'!$J$5:$AK$14,MATCH($E176,'BY-Demands'!$I$5:$I$14,0),FALSE)*HLOOKUP(REG_TRA_DEMANDS!$F176,DEMANDS!$G$2:$CK$25,MATCH($E176,DEMANDS!$E$2:$E$25,0),FALSE)/HLOOKUP(2018,DEMANDS!$G$2:$CK$25,MATCH($E176,DEMANDS!$E$2:$E$25,0),FALSE)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Z176" s="18">
        <f>HLOOKUP(REG_TRA_DEMANDS!Z$3,'BY-Demands'!$J$5:$AK$14,MATCH($E176,'BY-Demands'!$I$5:$I$14,0),FALSE)*HLOOKUP(REG_TRA_DEMANDS!$F176,DEMANDS!$G$2:$CK$25,MATCH($E176,DEMANDS!$E$2:$E$25,0),FALSE)/HLOOKUP(2018,DEMANDS!$G$2:$CK$25,MATCH($E176,DEMANDS!$E$2:$E$25,0),FALSE)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AA176" s="18">
        <f>HLOOKUP(REG_TRA_DEMANDS!AA$3,'BY-Demands'!$J$5:$AK$14,MATCH($E176,'BY-Demands'!$I$5:$I$14,0),FALSE)*HLOOKUP(REG_TRA_DEMANDS!$F176,DEMANDS!$G$2:$CK$25,MATCH($E176,DEMANDS!$E$2:$E$25,0),FALSE)/HLOOKUP(2018,DEMANDS!$G$2:$CK$25,MATCH($E176,DEMANDS!$E$2:$E$25,0),FALSE)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AB176" s="18">
        <f>HLOOKUP(REG_TRA_DEMANDS!AB$3,'BY-Demands'!$J$5:$AK$14,MATCH($E176,'BY-Demands'!$I$5:$I$14,0),FALSE)*HLOOKUP(REG_TRA_DEMANDS!$F176,DEMANDS!$G$2:$CK$25,MATCH($E176,DEMANDS!$E$2:$E$25,0),FALSE)/HLOOKUP(2018,DEMANDS!$G$2:$CK$25,MATCH($E176,DEMANDS!$E$2:$E$25,0),FALSE)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AC176" s="18">
        <f>HLOOKUP(REG_TRA_DEMANDS!AC$3,'BY-Demands'!$J$5:$AK$14,MATCH($E176,'BY-Demands'!$I$5:$I$14,0),FALSE)*HLOOKUP(REG_TRA_DEMANDS!$F176,DEMANDS!$G$2:$CK$25,MATCH($E176,DEMANDS!$E$2:$E$25,0),FALSE)/HLOOKUP(2018,DEMANDS!$G$2:$CK$25,MATCH($E176,DEMANDS!$E$2:$E$25,0),FALSE)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AD176" s="18">
        <f>HLOOKUP(REG_TRA_DEMANDS!AD$3,'BY-Demands'!$J$5:$AK$14,MATCH($E176,'BY-Demands'!$I$5:$I$14,0),FALSE)*HLOOKUP(REG_TRA_DEMANDS!$F176,DEMANDS!$G$2:$CK$25,MATCH($E176,DEMANDS!$E$2:$E$25,0),FALSE)/HLOOKUP(2018,DEMANDS!$G$2:$CK$25,MATCH($E176,DEMANDS!$E$2:$E$25,0),FALSE)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AE176" s="18">
        <f>HLOOKUP(REG_TRA_DEMANDS!AE$3,'BY-Demands'!$J$5:$AK$14,MATCH($E176,'BY-Demands'!$I$5:$I$14,0),FALSE)*HLOOKUP(REG_TRA_DEMANDS!$F176,DEMANDS!$G$2:$CK$25,MATCH($E176,DEMANDS!$E$2:$E$25,0),FALSE)/HLOOKUP(2018,DEMANDS!$G$2:$CK$25,MATCH($E176,DEMANDS!$E$2:$E$25,0),FALSE)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AF176" s="18">
        <f>HLOOKUP(REG_TRA_DEMANDS!AF$3,'BY-Demands'!$J$5:$AK$14,MATCH($E176,'BY-Demands'!$I$5:$I$14,0),FALSE)*HLOOKUP(REG_TRA_DEMANDS!$F176,DEMANDS!$G$2:$CK$25,MATCH($E176,DEMANDS!$E$2:$E$25,0),FALSE)/HLOOKUP(2018,DEMANDS!$G$2:$CK$25,MATCH($E176,DEMANDS!$E$2:$E$25,0),FALSE)</f>
        <v>0</v>
      </c>
    </row>
    <row r="177" spans="4:32" ht="14.4">
      <c r="D177" t="s">
        <v>6</v>
      </c>
      <c r="E177" t="str">
        <f>DEMANDS!$E$23</f>
        <v>TOTH</v>
      </c>
      <c r="F177">
        <v>2031</v>
      </c>
      <c r="G177" s="18">
        <f>HLOOKUP(REG_TRA_DEMANDS!G$3,'BY-Demands'!$J$5:$AK$14,MATCH($E177,'BY-Demands'!$I$5:$I$14,0),FALSE)*HLOOKUP(REG_TRA_DEMANDS!$F177,DEMANDS!$G$2:$CK$25,MATCH($E177,DEMANDS!$E$2:$E$25,0),FALSE)/HLOOKUP(2018,DEMANDS!$G$2:$CK$25,MATCH($E177,DEMANDS!$E$2:$E$25,0),FALSE)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H177" s="18">
        <f>HLOOKUP(REG_TRA_DEMANDS!H$3,'BY-Demands'!$J$5:$AK$14,MATCH($E177,'BY-Demands'!$I$5:$I$14,0),FALSE)*HLOOKUP(REG_TRA_DEMANDS!$F177,DEMANDS!$G$2:$CK$25,MATCH($E177,DEMANDS!$E$2:$E$25,0),FALSE)/HLOOKUP(2018,DEMANDS!$G$2:$CK$25,MATCH($E177,DEMANDS!$E$2:$E$25,0),FALSE)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I177" s="18">
        <f>HLOOKUP(REG_TRA_DEMANDS!I$3,'BY-Demands'!$J$5:$AK$14,MATCH($E177,'BY-Demands'!$I$5:$I$14,0),FALSE)*HLOOKUP(REG_TRA_DEMANDS!$F177,DEMANDS!$G$2:$CK$25,MATCH($E177,DEMANDS!$E$2:$E$25,0),FALSE)/HLOOKUP(2018,DEMANDS!$G$2:$CK$25,MATCH($E177,DEMANDS!$E$2:$E$25,0),FALSE)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J177" s="18">
        <f>HLOOKUP(REG_TRA_DEMANDS!J$3,'BY-Demands'!$J$5:$AK$14,MATCH($E177,'BY-Demands'!$I$5:$I$14,0),FALSE)*HLOOKUP(REG_TRA_DEMANDS!$F177,DEMANDS!$G$2:$CK$25,MATCH($E177,DEMANDS!$E$2:$E$25,0),FALSE)/HLOOKUP(2018,DEMANDS!$G$2:$CK$25,MATCH($E177,DEMANDS!$E$2:$E$25,0),FALSE)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K177" s="18">
        <f>HLOOKUP(REG_TRA_DEMANDS!K$3,'BY-Demands'!$J$5:$AK$14,MATCH($E177,'BY-Demands'!$I$5:$I$14,0),FALSE)*HLOOKUP(REG_TRA_DEMANDS!$F177,DEMANDS!$G$2:$CK$25,MATCH($E177,DEMANDS!$E$2:$E$25,0),FALSE)/HLOOKUP(2018,DEMANDS!$G$2:$CK$25,MATCH($E177,DEMANDS!$E$2:$E$25,0),FALSE)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L177" s="18">
        <f>HLOOKUP(REG_TRA_DEMANDS!L$3,'BY-Demands'!$J$5:$AK$14,MATCH($E177,'BY-Demands'!$I$5:$I$14,0),FALSE)*HLOOKUP(REG_TRA_DEMANDS!$F177,DEMANDS!$G$2:$CK$25,MATCH($E177,DEMANDS!$E$2:$E$25,0),FALSE)/HLOOKUP(2018,DEMANDS!$G$2:$CK$25,MATCH($E177,DEMANDS!$E$2:$E$25,0),FALSE)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M177" s="18">
        <f>HLOOKUP(REG_TRA_DEMANDS!M$3,'BY-Demands'!$J$5:$AK$14,MATCH($E177,'BY-Demands'!$I$5:$I$14,0),FALSE)*HLOOKUP(REG_TRA_DEMANDS!$F177,DEMANDS!$G$2:$CK$25,MATCH($E177,DEMANDS!$E$2:$E$25,0),FALSE)/HLOOKUP(2018,DEMANDS!$G$2:$CK$25,MATCH($E177,DEMANDS!$E$2:$E$25,0),FALSE)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N177" s="18">
        <f>HLOOKUP(REG_TRA_DEMANDS!N$3,'BY-Demands'!$J$5:$AK$14,MATCH($E177,'BY-Demands'!$I$5:$I$14,0),FALSE)*HLOOKUP(REG_TRA_DEMANDS!$F177,DEMANDS!$G$2:$CK$25,MATCH($E177,DEMANDS!$E$2:$E$25,0),FALSE)/HLOOKUP(2018,DEMANDS!$G$2:$CK$25,MATCH($E177,DEMANDS!$E$2:$E$25,0),FALSE)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O177" s="18">
        <f>HLOOKUP(REG_TRA_DEMANDS!O$3,'BY-Demands'!$J$5:$AK$14,MATCH($E177,'BY-Demands'!$I$5:$I$14,0),FALSE)*HLOOKUP(REG_TRA_DEMANDS!$F177,DEMANDS!$G$2:$CK$25,MATCH($E177,DEMANDS!$E$2:$E$25,0),FALSE)/HLOOKUP(2018,DEMANDS!$G$2:$CK$25,MATCH($E177,DEMANDS!$E$2:$E$25,0),FALSE)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P177" s="18">
        <f>HLOOKUP(REG_TRA_DEMANDS!P$3,'BY-Demands'!$J$5:$AK$14,MATCH($E177,'BY-Demands'!$I$5:$I$14,0),FALSE)*HLOOKUP(REG_TRA_DEMANDS!$F177,DEMANDS!$G$2:$CK$25,MATCH($E177,DEMANDS!$E$2:$E$25,0),FALSE)/HLOOKUP(2018,DEMANDS!$G$2:$CK$25,MATCH($E177,DEMANDS!$E$2:$E$25,0),FALSE)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Q177" s="18">
        <f>HLOOKUP(REG_TRA_DEMANDS!Q$3,'BY-Demands'!$J$5:$AK$14,MATCH($E177,'BY-Demands'!$I$5:$I$14,0),FALSE)*HLOOKUP(REG_TRA_DEMANDS!$F177,DEMANDS!$G$2:$CK$25,MATCH($E177,DEMANDS!$E$2:$E$25,0),FALSE)/HLOOKUP(2018,DEMANDS!$G$2:$CK$25,MATCH($E177,DEMANDS!$E$2:$E$25,0),FALSE)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R177" s="18">
        <f>HLOOKUP(REG_TRA_DEMANDS!R$3,'BY-Demands'!$J$5:$AK$14,MATCH($E177,'BY-Demands'!$I$5:$I$14,0),FALSE)*HLOOKUP(REG_TRA_DEMANDS!$F177,DEMANDS!$G$2:$CK$25,MATCH($E177,DEMANDS!$E$2:$E$25,0),FALSE)/HLOOKUP(2018,DEMANDS!$G$2:$CK$25,MATCH($E177,DEMANDS!$E$2:$E$25,0),FALSE)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S177" s="18">
        <f>HLOOKUP(REG_TRA_DEMANDS!S$3,'BY-Demands'!$J$5:$AK$14,MATCH($E177,'BY-Demands'!$I$5:$I$14,0),FALSE)*HLOOKUP(REG_TRA_DEMANDS!$F177,DEMANDS!$G$2:$CK$25,MATCH($E177,DEMANDS!$E$2:$E$25,0),FALSE)/HLOOKUP(2018,DEMANDS!$G$2:$CK$25,MATCH($E177,DEMANDS!$E$2:$E$25,0),FALSE)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T177" s="18">
        <f>HLOOKUP(REG_TRA_DEMANDS!T$3,'BY-Demands'!$J$5:$AK$14,MATCH($E177,'BY-Demands'!$I$5:$I$14,0),FALSE)*HLOOKUP(REG_TRA_DEMANDS!$F177,DEMANDS!$G$2:$CK$25,MATCH($E177,DEMANDS!$E$2:$E$25,0),FALSE)/HLOOKUP(2018,DEMANDS!$G$2:$CK$25,MATCH($E177,DEMANDS!$E$2:$E$25,0),FALSE)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U177" s="18">
        <f>HLOOKUP(REG_TRA_DEMANDS!U$3,'BY-Demands'!$J$5:$AK$14,MATCH($E177,'BY-Demands'!$I$5:$I$14,0),FALSE)*HLOOKUP(REG_TRA_DEMANDS!$F177,DEMANDS!$G$2:$CK$25,MATCH($E177,DEMANDS!$E$2:$E$25,0),FALSE)/HLOOKUP(2018,DEMANDS!$G$2:$CK$25,MATCH($E177,DEMANDS!$E$2:$E$25,0),FALSE)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V177" s="18">
        <f>HLOOKUP(REG_TRA_DEMANDS!V$3,'BY-Demands'!$J$5:$AK$14,MATCH($E177,'BY-Demands'!$I$5:$I$14,0),FALSE)*HLOOKUP(REG_TRA_DEMANDS!$F177,DEMANDS!$G$2:$CK$25,MATCH($E177,DEMANDS!$E$2:$E$25,0),FALSE)/HLOOKUP(2018,DEMANDS!$G$2:$CK$25,MATCH($E177,DEMANDS!$E$2:$E$25,0),FALSE)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W177" s="18">
        <f>HLOOKUP(REG_TRA_DEMANDS!W$3,'BY-Demands'!$J$5:$AK$14,MATCH($E177,'BY-Demands'!$I$5:$I$14,0),FALSE)*HLOOKUP(REG_TRA_DEMANDS!$F177,DEMANDS!$G$2:$CK$25,MATCH($E177,DEMANDS!$E$2:$E$25,0),FALSE)/HLOOKUP(2018,DEMANDS!$G$2:$CK$25,MATCH($E177,DEMANDS!$E$2:$E$25,0),FALSE)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X177" s="18">
        <f>HLOOKUP(REG_TRA_DEMANDS!X$3,'BY-Demands'!$J$5:$AK$14,MATCH($E177,'BY-Demands'!$I$5:$I$14,0),FALSE)*HLOOKUP(REG_TRA_DEMANDS!$F177,DEMANDS!$G$2:$CK$25,MATCH($E177,DEMANDS!$E$2:$E$25,0),FALSE)/HLOOKUP(2018,DEMANDS!$G$2:$CK$25,MATCH($E177,DEMANDS!$E$2:$E$25,0),FALSE)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Y177" s="18">
        <f>HLOOKUP(REG_TRA_DEMANDS!Y$3,'BY-Demands'!$J$5:$AK$14,MATCH($E177,'BY-Demands'!$I$5:$I$14,0),FALSE)*HLOOKUP(REG_TRA_DEMANDS!$F177,DEMANDS!$G$2:$CK$25,MATCH($E177,DEMANDS!$E$2:$E$25,0),FALSE)/HLOOKUP(2018,DEMANDS!$G$2:$CK$25,MATCH($E177,DEMANDS!$E$2:$E$25,0),FALSE)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Z177" s="18">
        <f>HLOOKUP(REG_TRA_DEMANDS!Z$3,'BY-Demands'!$J$5:$AK$14,MATCH($E177,'BY-Demands'!$I$5:$I$14,0),FALSE)*HLOOKUP(REG_TRA_DEMANDS!$F177,DEMANDS!$G$2:$CK$25,MATCH($E177,DEMANDS!$E$2:$E$25,0),FALSE)/HLOOKUP(2018,DEMANDS!$G$2:$CK$25,MATCH($E177,DEMANDS!$E$2:$E$25,0),FALSE)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AA177" s="18">
        <f>HLOOKUP(REG_TRA_DEMANDS!AA$3,'BY-Demands'!$J$5:$AK$14,MATCH($E177,'BY-Demands'!$I$5:$I$14,0),FALSE)*HLOOKUP(REG_TRA_DEMANDS!$F177,DEMANDS!$G$2:$CK$25,MATCH($E177,DEMANDS!$E$2:$E$25,0),FALSE)/HLOOKUP(2018,DEMANDS!$G$2:$CK$25,MATCH($E177,DEMANDS!$E$2:$E$25,0),FALSE)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AB177" s="18">
        <f>HLOOKUP(REG_TRA_DEMANDS!AB$3,'BY-Demands'!$J$5:$AK$14,MATCH($E177,'BY-Demands'!$I$5:$I$14,0),FALSE)*HLOOKUP(REG_TRA_DEMANDS!$F177,DEMANDS!$G$2:$CK$25,MATCH($E177,DEMANDS!$E$2:$E$25,0),FALSE)/HLOOKUP(2018,DEMANDS!$G$2:$CK$25,MATCH($E177,DEMANDS!$E$2:$E$25,0),FALSE)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AC177" s="18">
        <f>HLOOKUP(REG_TRA_DEMANDS!AC$3,'BY-Demands'!$J$5:$AK$14,MATCH($E177,'BY-Demands'!$I$5:$I$14,0),FALSE)*HLOOKUP(REG_TRA_DEMANDS!$F177,DEMANDS!$G$2:$CK$25,MATCH($E177,DEMANDS!$E$2:$E$25,0),FALSE)/HLOOKUP(2018,DEMANDS!$G$2:$CK$25,MATCH($E177,DEMANDS!$E$2:$E$25,0),FALSE)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AD177" s="18">
        <f>HLOOKUP(REG_TRA_DEMANDS!AD$3,'BY-Demands'!$J$5:$AK$14,MATCH($E177,'BY-Demands'!$I$5:$I$14,0),FALSE)*HLOOKUP(REG_TRA_DEMANDS!$F177,DEMANDS!$G$2:$CK$25,MATCH($E177,DEMANDS!$E$2:$E$25,0),FALSE)/HLOOKUP(2018,DEMANDS!$G$2:$CK$25,MATCH($E177,DEMANDS!$E$2:$E$25,0),FALSE)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AE177" s="18">
        <f>HLOOKUP(REG_TRA_DEMANDS!AE$3,'BY-Demands'!$J$5:$AK$14,MATCH($E177,'BY-Demands'!$I$5:$I$14,0),FALSE)*HLOOKUP(REG_TRA_DEMANDS!$F177,DEMANDS!$G$2:$CK$25,MATCH($E177,DEMANDS!$E$2:$E$25,0),FALSE)/HLOOKUP(2018,DEMANDS!$G$2:$CK$25,MATCH($E177,DEMANDS!$E$2:$E$25,0),FALSE)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AF177" s="18">
        <f>HLOOKUP(REG_TRA_DEMANDS!AF$3,'BY-Demands'!$J$5:$AK$14,MATCH($E177,'BY-Demands'!$I$5:$I$14,0),FALSE)*HLOOKUP(REG_TRA_DEMANDS!$F177,DEMANDS!$G$2:$CK$25,MATCH($E177,DEMANDS!$E$2:$E$25,0),FALSE)/HLOOKUP(2018,DEMANDS!$G$2:$CK$25,MATCH($E177,DEMANDS!$E$2:$E$25,0),FALSE)</f>
        <v>0</v>
      </c>
    </row>
    <row r="178" spans="4:32" ht="14.4">
      <c r="D178" t="s">
        <v>6</v>
      </c>
      <c r="E178" t="str">
        <f>DEMANDS!$E$23</f>
        <v>TOTH</v>
      </c>
      <c r="F178">
        <v>2032</v>
      </c>
      <c r="G178" s="18">
        <f>HLOOKUP(REG_TRA_DEMANDS!G$3,'BY-Demands'!$J$5:$AK$14,MATCH($E178,'BY-Demands'!$I$5:$I$14,0),FALSE)*HLOOKUP(REG_TRA_DEMANDS!$F178,DEMANDS!$G$2:$CK$25,MATCH($E178,DEMANDS!$E$2:$E$25,0),FALSE)/HLOOKUP(2018,DEMANDS!$G$2:$CK$25,MATCH($E178,DEMANDS!$E$2:$E$25,0),FALSE)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H178" s="18">
        <f>HLOOKUP(REG_TRA_DEMANDS!H$3,'BY-Demands'!$J$5:$AK$14,MATCH($E178,'BY-Demands'!$I$5:$I$14,0),FALSE)*HLOOKUP(REG_TRA_DEMANDS!$F178,DEMANDS!$G$2:$CK$25,MATCH($E178,DEMANDS!$E$2:$E$25,0),FALSE)/HLOOKUP(2018,DEMANDS!$G$2:$CK$25,MATCH($E178,DEMANDS!$E$2:$E$25,0),FALSE)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I178" s="18">
        <f>HLOOKUP(REG_TRA_DEMANDS!I$3,'BY-Demands'!$J$5:$AK$14,MATCH($E178,'BY-Demands'!$I$5:$I$14,0),FALSE)*HLOOKUP(REG_TRA_DEMANDS!$F178,DEMANDS!$G$2:$CK$25,MATCH($E178,DEMANDS!$E$2:$E$25,0),FALSE)/HLOOKUP(2018,DEMANDS!$G$2:$CK$25,MATCH($E178,DEMANDS!$E$2:$E$25,0),FALSE)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J178" s="18">
        <f>HLOOKUP(REG_TRA_DEMANDS!J$3,'BY-Demands'!$J$5:$AK$14,MATCH($E178,'BY-Demands'!$I$5:$I$14,0),FALSE)*HLOOKUP(REG_TRA_DEMANDS!$F178,DEMANDS!$G$2:$CK$25,MATCH($E178,DEMANDS!$E$2:$E$25,0),FALSE)/HLOOKUP(2018,DEMANDS!$G$2:$CK$25,MATCH($E178,DEMANDS!$E$2:$E$25,0),FALSE)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K178" s="18">
        <f>HLOOKUP(REG_TRA_DEMANDS!K$3,'BY-Demands'!$J$5:$AK$14,MATCH($E178,'BY-Demands'!$I$5:$I$14,0),FALSE)*HLOOKUP(REG_TRA_DEMANDS!$F178,DEMANDS!$G$2:$CK$25,MATCH($E178,DEMANDS!$E$2:$E$25,0),FALSE)/HLOOKUP(2018,DEMANDS!$G$2:$CK$25,MATCH($E178,DEMANDS!$E$2:$E$25,0),FALSE)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L178" s="18">
        <f>HLOOKUP(REG_TRA_DEMANDS!L$3,'BY-Demands'!$J$5:$AK$14,MATCH($E178,'BY-Demands'!$I$5:$I$14,0),FALSE)*HLOOKUP(REG_TRA_DEMANDS!$F178,DEMANDS!$G$2:$CK$25,MATCH($E178,DEMANDS!$E$2:$E$25,0),FALSE)/HLOOKUP(2018,DEMANDS!$G$2:$CK$25,MATCH($E178,DEMANDS!$E$2:$E$25,0),FALSE)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M178" s="18">
        <f>HLOOKUP(REG_TRA_DEMANDS!M$3,'BY-Demands'!$J$5:$AK$14,MATCH($E178,'BY-Demands'!$I$5:$I$14,0),FALSE)*HLOOKUP(REG_TRA_DEMANDS!$F178,DEMANDS!$G$2:$CK$25,MATCH($E178,DEMANDS!$E$2:$E$25,0),FALSE)/HLOOKUP(2018,DEMANDS!$G$2:$CK$25,MATCH($E178,DEMANDS!$E$2:$E$25,0),FALSE)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N178" s="18">
        <f>HLOOKUP(REG_TRA_DEMANDS!N$3,'BY-Demands'!$J$5:$AK$14,MATCH($E178,'BY-Demands'!$I$5:$I$14,0),FALSE)*HLOOKUP(REG_TRA_DEMANDS!$F178,DEMANDS!$G$2:$CK$25,MATCH($E178,DEMANDS!$E$2:$E$25,0),FALSE)/HLOOKUP(2018,DEMANDS!$G$2:$CK$25,MATCH($E178,DEMANDS!$E$2:$E$25,0),FALSE)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O178" s="18">
        <f>HLOOKUP(REG_TRA_DEMANDS!O$3,'BY-Demands'!$J$5:$AK$14,MATCH($E178,'BY-Demands'!$I$5:$I$14,0),FALSE)*HLOOKUP(REG_TRA_DEMANDS!$F178,DEMANDS!$G$2:$CK$25,MATCH($E178,DEMANDS!$E$2:$E$25,0),FALSE)/HLOOKUP(2018,DEMANDS!$G$2:$CK$25,MATCH($E178,DEMANDS!$E$2:$E$25,0),FALSE)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P178" s="18">
        <f>HLOOKUP(REG_TRA_DEMANDS!P$3,'BY-Demands'!$J$5:$AK$14,MATCH($E178,'BY-Demands'!$I$5:$I$14,0),FALSE)*HLOOKUP(REG_TRA_DEMANDS!$F178,DEMANDS!$G$2:$CK$25,MATCH($E178,DEMANDS!$E$2:$E$25,0),FALSE)/HLOOKUP(2018,DEMANDS!$G$2:$CK$25,MATCH($E178,DEMANDS!$E$2:$E$25,0),FALSE)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Q178" s="18">
        <f>HLOOKUP(REG_TRA_DEMANDS!Q$3,'BY-Demands'!$J$5:$AK$14,MATCH($E178,'BY-Demands'!$I$5:$I$14,0),FALSE)*HLOOKUP(REG_TRA_DEMANDS!$F178,DEMANDS!$G$2:$CK$25,MATCH($E178,DEMANDS!$E$2:$E$25,0),FALSE)/HLOOKUP(2018,DEMANDS!$G$2:$CK$25,MATCH($E178,DEMANDS!$E$2:$E$25,0),FALSE)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R178" s="18">
        <f>HLOOKUP(REG_TRA_DEMANDS!R$3,'BY-Demands'!$J$5:$AK$14,MATCH($E178,'BY-Demands'!$I$5:$I$14,0),FALSE)*HLOOKUP(REG_TRA_DEMANDS!$F178,DEMANDS!$G$2:$CK$25,MATCH($E178,DEMANDS!$E$2:$E$25,0),FALSE)/HLOOKUP(2018,DEMANDS!$G$2:$CK$25,MATCH($E178,DEMANDS!$E$2:$E$25,0),FALSE)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S178" s="18">
        <f>HLOOKUP(REG_TRA_DEMANDS!S$3,'BY-Demands'!$J$5:$AK$14,MATCH($E178,'BY-Demands'!$I$5:$I$14,0),FALSE)*HLOOKUP(REG_TRA_DEMANDS!$F178,DEMANDS!$G$2:$CK$25,MATCH($E178,DEMANDS!$E$2:$E$25,0),FALSE)/HLOOKUP(2018,DEMANDS!$G$2:$CK$25,MATCH($E178,DEMANDS!$E$2:$E$25,0),FALSE)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T178" s="18">
        <f>HLOOKUP(REG_TRA_DEMANDS!T$3,'BY-Demands'!$J$5:$AK$14,MATCH($E178,'BY-Demands'!$I$5:$I$14,0),FALSE)*HLOOKUP(REG_TRA_DEMANDS!$F178,DEMANDS!$G$2:$CK$25,MATCH($E178,DEMANDS!$E$2:$E$25,0),FALSE)/HLOOKUP(2018,DEMANDS!$G$2:$CK$25,MATCH($E178,DEMANDS!$E$2:$E$25,0),FALSE)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U178" s="18">
        <f>HLOOKUP(REG_TRA_DEMANDS!U$3,'BY-Demands'!$J$5:$AK$14,MATCH($E178,'BY-Demands'!$I$5:$I$14,0),FALSE)*HLOOKUP(REG_TRA_DEMANDS!$F178,DEMANDS!$G$2:$CK$25,MATCH($E178,DEMANDS!$E$2:$E$25,0),FALSE)/HLOOKUP(2018,DEMANDS!$G$2:$CK$25,MATCH($E178,DEMANDS!$E$2:$E$25,0),FALSE)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V178" s="18">
        <f>HLOOKUP(REG_TRA_DEMANDS!V$3,'BY-Demands'!$J$5:$AK$14,MATCH($E178,'BY-Demands'!$I$5:$I$14,0),FALSE)*HLOOKUP(REG_TRA_DEMANDS!$F178,DEMANDS!$G$2:$CK$25,MATCH($E178,DEMANDS!$E$2:$E$25,0),FALSE)/HLOOKUP(2018,DEMANDS!$G$2:$CK$25,MATCH($E178,DEMANDS!$E$2:$E$25,0),FALSE)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W178" s="18">
        <f>HLOOKUP(REG_TRA_DEMANDS!W$3,'BY-Demands'!$J$5:$AK$14,MATCH($E178,'BY-Demands'!$I$5:$I$14,0),FALSE)*HLOOKUP(REG_TRA_DEMANDS!$F178,DEMANDS!$G$2:$CK$25,MATCH($E178,DEMANDS!$E$2:$E$25,0),FALSE)/HLOOKUP(2018,DEMANDS!$G$2:$CK$25,MATCH($E178,DEMANDS!$E$2:$E$25,0),FALSE)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X178" s="18">
        <f>HLOOKUP(REG_TRA_DEMANDS!X$3,'BY-Demands'!$J$5:$AK$14,MATCH($E178,'BY-Demands'!$I$5:$I$14,0),FALSE)*HLOOKUP(REG_TRA_DEMANDS!$F178,DEMANDS!$G$2:$CK$25,MATCH($E178,DEMANDS!$E$2:$E$25,0),FALSE)/HLOOKUP(2018,DEMANDS!$G$2:$CK$25,MATCH($E178,DEMANDS!$E$2:$E$25,0),FALSE)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Y178" s="18">
        <f>HLOOKUP(REG_TRA_DEMANDS!Y$3,'BY-Demands'!$J$5:$AK$14,MATCH($E178,'BY-Demands'!$I$5:$I$14,0),FALSE)*HLOOKUP(REG_TRA_DEMANDS!$F178,DEMANDS!$G$2:$CK$25,MATCH($E178,DEMANDS!$E$2:$E$25,0),FALSE)/HLOOKUP(2018,DEMANDS!$G$2:$CK$25,MATCH($E178,DEMANDS!$E$2:$E$25,0),FALSE)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Z178" s="18">
        <f>HLOOKUP(REG_TRA_DEMANDS!Z$3,'BY-Demands'!$J$5:$AK$14,MATCH($E178,'BY-Demands'!$I$5:$I$14,0),FALSE)*HLOOKUP(REG_TRA_DEMANDS!$F178,DEMANDS!$G$2:$CK$25,MATCH($E178,DEMANDS!$E$2:$E$25,0),FALSE)/HLOOKUP(2018,DEMANDS!$G$2:$CK$25,MATCH($E178,DEMANDS!$E$2:$E$25,0),FALSE)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AA178" s="18">
        <f>HLOOKUP(REG_TRA_DEMANDS!AA$3,'BY-Demands'!$J$5:$AK$14,MATCH($E178,'BY-Demands'!$I$5:$I$14,0),FALSE)*HLOOKUP(REG_TRA_DEMANDS!$F178,DEMANDS!$G$2:$CK$25,MATCH($E178,DEMANDS!$E$2:$E$25,0),FALSE)/HLOOKUP(2018,DEMANDS!$G$2:$CK$25,MATCH($E178,DEMANDS!$E$2:$E$25,0),FALSE)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AB178" s="18">
        <f>HLOOKUP(REG_TRA_DEMANDS!AB$3,'BY-Demands'!$J$5:$AK$14,MATCH($E178,'BY-Demands'!$I$5:$I$14,0),FALSE)*HLOOKUP(REG_TRA_DEMANDS!$F178,DEMANDS!$G$2:$CK$25,MATCH($E178,DEMANDS!$E$2:$E$25,0),FALSE)/HLOOKUP(2018,DEMANDS!$G$2:$CK$25,MATCH($E178,DEMANDS!$E$2:$E$25,0),FALSE)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AC178" s="18">
        <f>HLOOKUP(REG_TRA_DEMANDS!AC$3,'BY-Demands'!$J$5:$AK$14,MATCH($E178,'BY-Demands'!$I$5:$I$14,0),FALSE)*HLOOKUP(REG_TRA_DEMANDS!$F178,DEMANDS!$G$2:$CK$25,MATCH($E178,DEMANDS!$E$2:$E$25,0),FALSE)/HLOOKUP(2018,DEMANDS!$G$2:$CK$25,MATCH($E178,DEMANDS!$E$2:$E$25,0),FALSE)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AD178" s="18">
        <f>HLOOKUP(REG_TRA_DEMANDS!AD$3,'BY-Demands'!$J$5:$AK$14,MATCH($E178,'BY-Demands'!$I$5:$I$14,0),FALSE)*HLOOKUP(REG_TRA_DEMANDS!$F178,DEMANDS!$G$2:$CK$25,MATCH($E178,DEMANDS!$E$2:$E$25,0),FALSE)/HLOOKUP(2018,DEMANDS!$G$2:$CK$25,MATCH($E178,DEMANDS!$E$2:$E$25,0),FALSE)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AE178" s="18">
        <f>HLOOKUP(REG_TRA_DEMANDS!AE$3,'BY-Demands'!$J$5:$AK$14,MATCH($E178,'BY-Demands'!$I$5:$I$14,0),FALSE)*HLOOKUP(REG_TRA_DEMANDS!$F178,DEMANDS!$G$2:$CK$25,MATCH($E178,DEMANDS!$E$2:$E$25,0),FALSE)/HLOOKUP(2018,DEMANDS!$G$2:$CK$25,MATCH($E178,DEMANDS!$E$2:$E$25,0),FALSE)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AF178" s="18">
        <f>HLOOKUP(REG_TRA_DEMANDS!AF$3,'BY-Demands'!$J$5:$AK$14,MATCH($E178,'BY-Demands'!$I$5:$I$14,0),FALSE)*HLOOKUP(REG_TRA_DEMANDS!$F178,DEMANDS!$G$2:$CK$25,MATCH($E178,DEMANDS!$E$2:$E$25,0),FALSE)/HLOOKUP(2018,DEMANDS!$G$2:$CK$25,MATCH($E178,DEMANDS!$E$2:$E$25,0),FALSE)</f>
        <v>0</v>
      </c>
    </row>
    <row r="179" spans="4:32" ht="14.4">
      <c r="D179" t="s">
        <v>6</v>
      </c>
      <c r="E179" t="str">
        <f>DEMANDS!$E$23</f>
        <v>TOTH</v>
      </c>
      <c r="F179">
        <v>2033</v>
      </c>
      <c r="G179" s="18">
        <f>HLOOKUP(REG_TRA_DEMANDS!G$3,'BY-Demands'!$J$5:$AK$14,MATCH($E179,'BY-Demands'!$I$5:$I$14,0),FALSE)*HLOOKUP(REG_TRA_DEMANDS!$F179,DEMANDS!$G$2:$CK$25,MATCH($E179,DEMANDS!$E$2:$E$25,0),FALSE)/HLOOKUP(2018,DEMANDS!$G$2:$CK$25,MATCH($E179,DEMANDS!$E$2:$E$25,0),FALSE)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H179" s="18">
        <f>HLOOKUP(REG_TRA_DEMANDS!H$3,'BY-Demands'!$J$5:$AK$14,MATCH($E179,'BY-Demands'!$I$5:$I$14,0),FALSE)*HLOOKUP(REG_TRA_DEMANDS!$F179,DEMANDS!$G$2:$CK$25,MATCH($E179,DEMANDS!$E$2:$E$25,0),FALSE)/HLOOKUP(2018,DEMANDS!$G$2:$CK$25,MATCH($E179,DEMANDS!$E$2:$E$25,0),FALSE)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I179" s="18">
        <f>HLOOKUP(REG_TRA_DEMANDS!I$3,'BY-Demands'!$J$5:$AK$14,MATCH($E179,'BY-Demands'!$I$5:$I$14,0),FALSE)*HLOOKUP(REG_TRA_DEMANDS!$F179,DEMANDS!$G$2:$CK$25,MATCH($E179,DEMANDS!$E$2:$E$25,0),FALSE)/HLOOKUP(2018,DEMANDS!$G$2:$CK$25,MATCH($E179,DEMANDS!$E$2:$E$25,0),FALSE)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J179" s="18">
        <f>HLOOKUP(REG_TRA_DEMANDS!J$3,'BY-Demands'!$J$5:$AK$14,MATCH($E179,'BY-Demands'!$I$5:$I$14,0),FALSE)*HLOOKUP(REG_TRA_DEMANDS!$F179,DEMANDS!$G$2:$CK$25,MATCH($E179,DEMANDS!$E$2:$E$25,0),FALSE)/HLOOKUP(2018,DEMANDS!$G$2:$CK$25,MATCH($E179,DEMANDS!$E$2:$E$25,0),FALSE)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K179" s="18">
        <f>HLOOKUP(REG_TRA_DEMANDS!K$3,'BY-Demands'!$J$5:$AK$14,MATCH($E179,'BY-Demands'!$I$5:$I$14,0),FALSE)*HLOOKUP(REG_TRA_DEMANDS!$F179,DEMANDS!$G$2:$CK$25,MATCH($E179,DEMANDS!$E$2:$E$25,0),FALSE)/HLOOKUP(2018,DEMANDS!$G$2:$CK$25,MATCH($E179,DEMANDS!$E$2:$E$25,0),FALSE)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L179" s="18">
        <f>HLOOKUP(REG_TRA_DEMANDS!L$3,'BY-Demands'!$J$5:$AK$14,MATCH($E179,'BY-Demands'!$I$5:$I$14,0),FALSE)*HLOOKUP(REG_TRA_DEMANDS!$F179,DEMANDS!$G$2:$CK$25,MATCH($E179,DEMANDS!$E$2:$E$25,0),FALSE)/HLOOKUP(2018,DEMANDS!$G$2:$CK$25,MATCH($E179,DEMANDS!$E$2:$E$25,0),FALSE)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M179" s="18">
        <f>HLOOKUP(REG_TRA_DEMANDS!M$3,'BY-Demands'!$J$5:$AK$14,MATCH($E179,'BY-Demands'!$I$5:$I$14,0),FALSE)*HLOOKUP(REG_TRA_DEMANDS!$F179,DEMANDS!$G$2:$CK$25,MATCH($E179,DEMANDS!$E$2:$E$25,0),FALSE)/HLOOKUP(2018,DEMANDS!$G$2:$CK$25,MATCH($E179,DEMANDS!$E$2:$E$25,0),FALSE)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N179" s="18">
        <f>HLOOKUP(REG_TRA_DEMANDS!N$3,'BY-Demands'!$J$5:$AK$14,MATCH($E179,'BY-Demands'!$I$5:$I$14,0),FALSE)*HLOOKUP(REG_TRA_DEMANDS!$F179,DEMANDS!$G$2:$CK$25,MATCH($E179,DEMANDS!$E$2:$E$25,0),FALSE)/HLOOKUP(2018,DEMANDS!$G$2:$CK$25,MATCH($E179,DEMANDS!$E$2:$E$25,0),FALSE)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O179" s="18">
        <f>HLOOKUP(REG_TRA_DEMANDS!O$3,'BY-Demands'!$J$5:$AK$14,MATCH($E179,'BY-Demands'!$I$5:$I$14,0),FALSE)*HLOOKUP(REG_TRA_DEMANDS!$F179,DEMANDS!$G$2:$CK$25,MATCH($E179,DEMANDS!$E$2:$E$25,0),FALSE)/HLOOKUP(2018,DEMANDS!$G$2:$CK$25,MATCH($E179,DEMANDS!$E$2:$E$25,0),FALSE)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P179" s="18">
        <f>HLOOKUP(REG_TRA_DEMANDS!P$3,'BY-Demands'!$J$5:$AK$14,MATCH($E179,'BY-Demands'!$I$5:$I$14,0),FALSE)*HLOOKUP(REG_TRA_DEMANDS!$F179,DEMANDS!$G$2:$CK$25,MATCH($E179,DEMANDS!$E$2:$E$25,0),FALSE)/HLOOKUP(2018,DEMANDS!$G$2:$CK$25,MATCH($E179,DEMANDS!$E$2:$E$25,0),FALSE)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Q179" s="18">
        <f>HLOOKUP(REG_TRA_DEMANDS!Q$3,'BY-Demands'!$J$5:$AK$14,MATCH($E179,'BY-Demands'!$I$5:$I$14,0),FALSE)*HLOOKUP(REG_TRA_DEMANDS!$F179,DEMANDS!$G$2:$CK$25,MATCH($E179,DEMANDS!$E$2:$E$25,0),FALSE)/HLOOKUP(2018,DEMANDS!$G$2:$CK$25,MATCH($E179,DEMANDS!$E$2:$E$25,0),FALSE)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R179" s="18">
        <f>HLOOKUP(REG_TRA_DEMANDS!R$3,'BY-Demands'!$J$5:$AK$14,MATCH($E179,'BY-Demands'!$I$5:$I$14,0),FALSE)*HLOOKUP(REG_TRA_DEMANDS!$F179,DEMANDS!$G$2:$CK$25,MATCH($E179,DEMANDS!$E$2:$E$25,0),FALSE)/HLOOKUP(2018,DEMANDS!$G$2:$CK$25,MATCH($E179,DEMANDS!$E$2:$E$25,0),FALSE)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S179" s="18">
        <f>HLOOKUP(REG_TRA_DEMANDS!S$3,'BY-Demands'!$J$5:$AK$14,MATCH($E179,'BY-Demands'!$I$5:$I$14,0),FALSE)*HLOOKUP(REG_TRA_DEMANDS!$F179,DEMANDS!$G$2:$CK$25,MATCH($E179,DEMANDS!$E$2:$E$25,0),FALSE)/HLOOKUP(2018,DEMANDS!$G$2:$CK$25,MATCH($E179,DEMANDS!$E$2:$E$25,0),FALSE)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T179" s="18">
        <f>HLOOKUP(REG_TRA_DEMANDS!T$3,'BY-Demands'!$J$5:$AK$14,MATCH($E179,'BY-Demands'!$I$5:$I$14,0),FALSE)*HLOOKUP(REG_TRA_DEMANDS!$F179,DEMANDS!$G$2:$CK$25,MATCH($E179,DEMANDS!$E$2:$E$25,0),FALSE)/HLOOKUP(2018,DEMANDS!$G$2:$CK$25,MATCH($E179,DEMANDS!$E$2:$E$25,0),FALSE)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U179" s="18">
        <f>HLOOKUP(REG_TRA_DEMANDS!U$3,'BY-Demands'!$J$5:$AK$14,MATCH($E179,'BY-Demands'!$I$5:$I$14,0),FALSE)*HLOOKUP(REG_TRA_DEMANDS!$F179,DEMANDS!$G$2:$CK$25,MATCH($E179,DEMANDS!$E$2:$E$25,0),FALSE)/HLOOKUP(2018,DEMANDS!$G$2:$CK$25,MATCH($E179,DEMANDS!$E$2:$E$25,0),FALSE)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V179" s="18">
        <f>HLOOKUP(REG_TRA_DEMANDS!V$3,'BY-Demands'!$J$5:$AK$14,MATCH($E179,'BY-Demands'!$I$5:$I$14,0),FALSE)*HLOOKUP(REG_TRA_DEMANDS!$F179,DEMANDS!$G$2:$CK$25,MATCH($E179,DEMANDS!$E$2:$E$25,0),FALSE)/HLOOKUP(2018,DEMANDS!$G$2:$CK$25,MATCH($E179,DEMANDS!$E$2:$E$25,0),FALSE)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W179" s="18">
        <f>HLOOKUP(REG_TRA_DEMANDS!W$3,'BY-Demands'!$J$5:$AK$14,MATCH($E179,'BY-Demands'!$I$5:$I$14,0),FALSE)*HLOOKUP(REG_TRA_DEMANDS!$F179,DEMANDS!$G$2:$CK$25,MATCH($E179,DEMANDS!$E$2:$E$25,0),FALSE)/HLOOKUP(2018,DEMANDS!$G$2:$CK$25,MATCH($E179,DEMANDS!$E$2:$E$25,0),FALSE)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X179" s="18">
        <f>HLOOKUP(REG_TRA_DEMANDS!X$3,'BY-Demands'!$J$5:$AK$14,MATCH($E179,'BY-Demands'!$I$5:$I$14,0),FALSE)*HLOOKUP(REG_TRA_DEMANDS!$F179,DEMANDS!$G$2:$CK$25,MATCH($E179,DEMANDS!$E$2:$E$25,0),FALSE)/HLOOKUP(2018,DEMANDS!$G$2:$CK$25,MATCH($E179,DEMANDS!$E$2:$E$25,0),FALSE)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Y179" s="18">
        <f>HLOOKUP(REG_TRA_DEMANDS!Y$3,'BY-Demands'!$J$5:$AK$14,MATCH($E179,'BY-Demands'!$I$5:$I$14,0),FALSE)*HLOOKUP(REG_TRA_DEMANDS!$F179,DEMANDS!$G$2:$CK$25,MATCH($E179,DEMANDS!$E$2:$E$25,0),FALSE)/HLOOKUP(2018,DEMANDS!$G$2:$CK$25,MATCH($E179,DEMANDS!$E$2:$E$25,0),FALSE)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Z179" s="18">
        <f>HLOOKUP(REG_TRA_DEMANDS!Z$3,'BY-Demands'!$J$5:$AK$14,MATCH($E179,'BY-Demands'!$I$5:$I$14,0),FALSE)*HLOOKUP(REG_TRA_DEMANDS!$F179,DEMANDS!$G$2:$CK$25,MATCH($E179,DEMANDS!$E$2:$E$25,0),FALSE)/HLOOKUP(2018,DEMANDS!$G$2:$CK$25,MATCH($E179,DEMANDS!$E$2:$E$25,0),FALSE)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AA179" s="18">
        <f>HLOOKUP(REG_TRA_DEMANDS!AA$3,'BY-Demands'!$J$5:$AK$14,MATCH($E179,'BY-Demands'!$I$5:$I$14,0),FALSE)*HLOOKUP(REG_TRA_DEMANDS!$F179,DEMANDS!$G$2:$CK$25,MATCH($E179,DEMANDS!$E$2:$E$25,0),FALSE)/HLOOKUP(2018,DEMANDS!$G$2:$CK$25,MATCH($E179,DEMANDS!$E$2:$E$25,0),FALSE)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AB179" s="18">
        <f>HLOOKUP(REG_TRA_DEMANDS!AB$3,'BY-Demands'!$J$5:$AK$14,MATCH($E179,'BY-Demands'!$I$5:$I$14,0),FALSE)*HLOOKUP(REG_TRA_DEMANDS!$F179,DEMANDS!$G$2:$CK$25,MATCH($E179,DEMANDS!$E$2:$E$25,0),FALSE)/HLOOKUP(2018,DEMANDS!$G$2:$CK$25,MATCH($E179,DEMANDS!$E$2:$E$25,0),FALSE)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AC179" s="18">
        <f>HLOOKUP(REG_TRA_DEMANDS!AC$3,'BY-Demands'!$J$5:$AK$14,MATCH($E179,'BY-Demands'!$I$5:$I$14,0),FALSE)*HLOOKUP(REG_TRA_DEMANDS!$F179,DEMANDS!$G$2:$CK$25,MATCH($E179,DEMANDS!$E$2:$E$25,0),FALSE)/HLOOKUP(2018,DEMANDS!$G$2:$CK$25,MATCH($E179,DEMANDS!$E$2:$E$25,0),FALSE)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AD179" s="18">
        <f>HLOOKUP(REG_TRA_DEMANDS!AD$3,'BY-Demands'!$J$5:$AK$14,MATCH($E179,'BY-Demands'!$I$5:$I$14,0),FALSE)*HLOOKUP(REG_TRA_DEMANDS!$F179,DEMANDS!$G$2:$CK$25,MATCH($E179,DEMANDS!$E$2:$E$25,0),FALSE)/HLOOKUP(2018,DEMANDS!$G$2:$CK$25,MATCH($E179,DEMANDS!$E$2:$E$25,0),FALSE)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AE179" s="18">
        <f>HLOOKUP(REG_TRA_DEMANDS!AE$3,'BY-Demands'!$J$5:$AK$14,MATCH($E179,'BY-Demands'!$I$5:$I$14,0),FALSE)*HLOOKUP(REG_TRA_DEMANDS!$F179,DEMANDS!$G$2:$CK$25,MATCH($E179,DEMANDS!$E$2:$E$25,0),FALSE)/HLOOKUP(2018,DEMANDS!$G$2:$CK$25,MATCH($E179,DEMANDS!$E$2:$E$25,0),FALSE)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AF179" s="18">
        <f>HLOOKUP(REG_TRA_DEMANDS!AF$3,'BY-Demands'!$J$5:$AK$14,MATCH($E179,'BY-Demands'!$I$5:$I$14,0),FALSE)*HLOOKUP(REG_TRA_DEMANDS!$F179,DEMANDS!$G$2:$CK$25,MATCH($E179,DEMANDS!$E$2:$E$25,0),FALSE)/HLOOKUP(2018,DEMANDS!$G$2:$CK$25,MATCH($E179,DEMANDS!$E$2:$E$25,0),FALSE)</f>
        <v>0</v>
      </c>
    </row>
    <row r="180" spans="4:32" ht="14.4">
      <c r="D180" t="s">
        <v>6</v>
      </c>
      <c r="E180" t="str">
        <f>DEMANDS!$E$23</f>
        <v>TOTH</v>
      </c>
      <c r="F180">
        <v>2034</v>
      </c>
      <c r="G180" s="18">
        <f>HLOOKUP(REG_TRA_DEMANDS!G$3,'BY-Demands'!$J$5:$AK$14,MATCH($E180,'BY-Demands'!$I$5:$I$14,0),FALSE)*HLOOKUP(REG_TRA_DEMANDS!$F180,DEMANDS!$G$2:$CK$25,MATCH($E180,DEMANDS!$E$2:$E$25,0),FALSE)/HLOOKUP(2018,DEMANDS!$G$2:$CK$25,MATCH($E180,DEMANDS!$E$2:$E$25,0),FALSE)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H180" s="18">
        <f>HLOOKUP(REG_TRA_DEMANDS!H$3,'BY-Demands'!$J$5:$AK$14,MATCH($E180,'BY-Demands'!$I$5:$I$14,0),FALSE)*HLOOKUP(REG_TRA_DEMANDS!$F180,DEMANDS!$G$2:$CK$25,MATCH($E180,DEMANDS!$E$2:$E$25,0),FALSE)/HLOOKUP(2018,DEMANDS!$G$2:$CK$25,MATCH($E180,DEMANDS!$E$2:$E$25,0),FALSE)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I180" s="18">
        <f>HLOOKUP(REG_TRA_DEMANDS!I$3,'BY-Demands'!$J$5:$AK$14,MATCH($E180,'BY-Demands'!$I$5:$I$14,0),FALSE)*HLOOKUP(REG_TRA_DEMANDS!$F180,DEMANDS!$G$2:$CK$25,MATCH($E180,DEMANDS!$E$2:$E$25,0),FALSE)/HLOOKUP(2018,DEMANDS!$G$2:$CK$25,MATCH($E180,DEMANDS!$E$2:$E$25,0),FALSE)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J180" s="18">
        <f>HLOOKUP(REG_TRA_DEMANDS!J$3,'BY-Demands'!$J$5:$AK$14,MATCH($E180,'BY-Demands'!$I$5:$I$14,0),FALSE)*HLOOKUP(REG_TRA_DEMANDS!$F180,DEMANDS!$G$2:$CK$25,MATCH($E180,DEMANDS!$E$2:$E$25,0),FALSE)/HLOOKUP(2018,DEMANDS!$G$2:$CK$25,MATCH($E180,DEMANDS!$E$2:$E$25,0),FALSE)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K180" s="18">
        <f>HLOOKUP(REG_TRA_DEMANDS!K$3,'BY-Demands'!$J$5:$AK$14,MATCH($E180,'BY-Demands'!$I$5:$I$14,0),FALSE)*HLOOKUP(REG_TRA_DEMANDS!$F180,DEMANDS!$G$2:$CK$25,MATCH($E180,DEMANDS!$E$2:$E$25,0),FALSE)/HLOOKUP(2018,DEMANDS!$G$2:$CK$25,MATCH($E180,DEMANDS!$E$2:$E$25,0),FALSE)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L180" s="18">
        <f>HLOOKUP(REG_TRA_DEMANDS!L$3,'BY-Demands'!$J$5:$AK$14,MATCH($E180,'BY-Demands'!$I$5:$I$14,0),FALSE)*HLOOKUP(REG_TRA_DEMANDS!$F180,DEMANDS!$G$2:$CK$25,MATCH($E180,DEMANDS!$E$2:$E$25,0),FALSE)/HLOOKUP(2018,DEMANDS!$G$2:$CK$25,MATCH($E180,DEMANDS!$E$2:$E$25,0),FALSE)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M180" s="18">
        <f>HLOOKUP(REG_TRA_DEMANDS!M$3,'BY-Demands'!$J$5:$AK$14,MATCH($E180,'BY-Demands'!$I$5:$I$14,0),FALSE)*HLOOKUP(REG_TRA_DEMANDS!$F180,DEMANDS!$G$2:$CK$25,MATCH($E180,DEMANDS!$E$2:$E$25,0),FALSE)/HLOOKUP(2018,DEMANDS!$G$2:$CK$25,MATCH($E180,DEMANDS!$E$2:$E$25,0),FALSE)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N180" s="18">
        <f>HLOOKUP(REG_TRA_DEMANDS!N$3,'BY-Demands'!$J$5:$AK$14,MATCH($E180,'BY-Demands'!$I$5:$I$14,0),FALSE)*HLOOKUP(REG_TRA_DEMANDS!$F180,DEMANDS!$G$2:$CK$25,MATCH($E180,DEMANDS!$E$2:$E$25,0),FALSE)/HLOOKUP(2018,DEMANDS!$G$2:$CK$25,MATCH($E180,DEMANDS!$E$2:$E$25,0),FALSE)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O180" s="18">
        <f>HLOOKUP(REG_TRA_DEMANDS!O$3,'BY-Demands'!$J$5:$AK$14,MATCH($E180,'BY-Demands'!$I$5:$I$14,0),FALSE)*HLOOKUP(REG_TRA_DEMANDS!$F180,DEMANDS!$G$2:$CK$25,MATCH($E180,DEMANDS!$E$2:$E$25,0),FALSE)/HLOOKUP(2018,DEMANDS!$G$2:$CK$25,MATCH($E180,DEMANDS!$E$2:$E$25,0),FALSE)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P180" s="18">
        <f>HLOOKUP(REG_TRA_DEMANDS!P$3,'BY-Demands'!$J$5:$AK$14,MATCH($E180,'BY-Demands'!$I$5:$I$14,0),FALSE)*HLOOKUP(REG_TRA_DEMANDS!$F180,DEMANDS!$G$2:$CK$25,MATCH($E180,DEMANDS!$E$2:$E$25,0),FALSE)/HLOOKUP(2018,DEMANDS!$G$2:$CK$25,MATCH($E180,DEMANDS!$E$2:$E$25,0),FALSE)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Q180" s="18">
        <f>HLOOKUP(REG_TRA_DEMANDS!Q$3,'BY-Demands'!$J$5:$AK$14,MATCH($E180,'BY-Demands'!$I$5:$I$14,0),FALSE)*HLOOKUP(REG_TRA_DEMANDS!$F180,DEMANDS!$G$2:$CK$25,MATCH($E180,DEMANDS!$E$2:$E$25,0),FALSE)/HLOOKUP(2018,DEMANDS!$G$2:$CK$25,MATCH($E180,DEMANDS!$E$2:$E$25,0),FALSE)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R180" s="18">
        <f>HLOOKUP(REG_TRA_DEMANDS!R$3,'BY-Demands'!$J$5:$AK$14,MATCH($E180,'BY-Demands'!$I$5:$I$14,0),FALSE)*HLOOKUP(REG_TRA_DEMANDS!$F180,DEMANDS!$G$2:$CK$25,MATCH($E180,DEMANDS!$E$2:$E$25,0),FALSE)/HLOOKUP(2018,DEMANDS!$G$2:$CK$25,MATCH($E180,DEMANDS!$E$2:$E$25,0),FALSE)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S180" s="18">
        <f>HLOOKUP(REG_TRA_DEMANDS!S$3,'BY-Demands'!$J$5:$AK$14,MATCH($E180,'BY-Demands'!$I$5:$I$14,0),FALSE)*HLOOKUP(REG_TRA_DEMANDS!$F180,DEMANDS!$G$2:$CK$25,MATCH($E180,DEMANDS!$E$2:$E$25,0),FALSE)/HLOOKUP(2018,DEMANDS!$G$2:$CK$25,MATCH($E180,DEMANDS!$E$2:$E$25,0),FALSE)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T180" s="18">
        <f>HLOOKUP(REG_TRA_DEMANDS!T$3,'BY-Demands'!$J$5:$AK$14,MATCH($E180,'BY-Demands'!$I$5:$I$14,0),FALSE)*HLOOKUP(REG_TRA_DEMANDS!$F180,DEMANDS!$G$2:$CK$25,MATCH($E180,DEMANDS!$E$2:$E$25,0),FALSE)/HLOOKUP(2018,DEMANDS!$G$2:$CK$25,MATCH($E180,DEMANDS!$E$2:$E$25,0),FALSE)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U180" s="18">
        <f>HLOOKUP(REG_TRA_DEMANDS!U$3,'BY-Demands'!$J$5:$AK$14,MATCH($E180,'BY-Demands'!$I$5:$I$14,0),FALSE)*HLOOKUP(REG_TRA_DEMANDS!$F180,DEMANDS!$G$2:$CK$25,MATCH($E180,DEMANDS!$E$2:$E$25,0),FALSE)/HLOOKUP(2018,DEMANDS!$G$2:$CK$25,MATCH($E180,DEMANDS!$E$2:$E$25,0),FALSE)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V180" s="18">
        <f>HLOOKUP(REG_TRA_DEMANDS!V$3,'BY-Demands'!$J$5:$AK$14,MATCH($E180,'BY-Demands'!$I$5:$I$14,0),FALSE)*HLOOKUP(REG_TRA_DEMANDS!$F180,DEMANDS!$G$2:$CK$25,MATCH($E180,DEMANDS!$E$2:$E$25,0),FALSE)/HLOOKUP(2018,DEMANDS!$G$2:$CK$25,MATCH($E180,DEMANDS!$E$2:$E$25,0),FALSE)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W180" s="18">
        <f>HLOOKUP(REG_TRA_DEMANDS!W$3,'BY-Demands'!$J$5:$AK$14,MATCH($E180,'BY-Demands'!$I$5:$I$14,0),FALSE)*HLOOKUP(REG_TRA_DEMANDS!$F180,DEMANDS!$G$2:$CK$25,MATCH($E180,DEMANDS!$E$2:$E$25,0),FALSE)/HLOOKUP(2018,DEMANDS!$G$2:$CK$25,MATCH($E180,DEMANDS!$E$2:$E$25,0),FALSE)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X180" s="18">
        <f>HLOOKUP(REG_TRA_DEMANDS!X$3,'BY-Demands'!$J$5:$AK$14,MATCH($E180,'BY-Demands'!$I$5:$I$14,0),FALSE)*HLOOKUP(REG_TRA_DEMANDS!$F180,DEMANDS!$G$2:$CK$25,MATCH($E180,DEMANDS!$E$2:$E$25,0),FALSE)/HLOOKUP(2018,DEMANDS!$G$2:$CK$25,MATCH($E180,DEMANDS!$E$2:$E$25,0),FALSE)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Y180" s="18">
        <f>HLOOKUP(REG_TRA_DEMANDS!Y$3,'BY-Demands'!$J$5:$AK$14,MATCH($E180,'BY-Demands'!$I$5:$I$14,0),FALSE)*HLOOKUP(REG_TRA_DEMANDS!$F180,DEMANDS!$G$2:$CK$25,MATCH($E180,DEMANDS!$E$2:$E$25,0),FALSE)/HLOOKUP(2018,DEMANDS!$G$2:$CK$25,MATCH($E180,DEMANDS!$E$2:$E$25,0),FALSE)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Z180" s="18">
        <f>HLOOKUP(REG_TRA_DEMANDS!Z$3,'BY-Demands'!$J$5:$AK$14,MATCH($E180,'BY-Demands'!$I$5:$I$14,0),FALSE)*HLOOKUP(REG_TRA_DEMANDS!$F180,DEMANDS!$G$2:$CK$25,MATCH($E180,DEMANDS!$E$2:$E$25,0),FALSE)/HLOOKUP(2018,DEMANDS!$G$2:$CK$25,MATCH($E180,DEMANDS!$E$2:$E$25,0),FALSE)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AA180" s="18">
        <f>HLOOKUP(REG_TRA_DEMANDS!AA$3,'BY-Demands'!$J$5:$AK$14,MATCH($E180,'BY-Demands'!$I$5:$I$14,0),FALSE)*HLOOKUP(REG_TRA_DEMANDS!$F180,DEMANDS!$G$2:$CK$25,MATCH($E180,DEMANDS!$E$2:$E$25,0),FALSE)/HLOOKUP(2018,DEMANDS!$G$2:$CK$25,MATCH($E180,DEMANDS!$E$2:$E$25,0),FALSE)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AB180" s="18">
        <f>HLOOKUP(REG_TRA_DEMANDS!AB$3,'BY-Demands'!$J$5:$AK$14,MATCH($E180,'BY-Demands'!$I$5:$I$14,0),FALSE)*HLOOKUP(REG_TRA_DEMANDS!$F180,DEMANDS!$G$2:$CK$25,MATCH($E180,DEMANDS!$E$2:$E$25,0),FALSE)/HLOOKUP(2018,DEMANDS!$G$2:$CK$25,MATCH($E180,DEMANDS!$E$2:$E$25,0),FALSE)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AC180" s="18">
        <f>HLOOKUP(REG_TRA_DEMANDS!AC$3,'BY-Demands'!$J$5:$AK$14,MATCH($E180,'BY-Demands'!$I$5:$I$14,0),FALSE)*HLOOKUP(REG_TRA_DEMANDS!$F180,DEMANDS!$G$2:$CK$25,MATCH($E180,DEMANDS!$E$2:$E$25,0),FALSE)/HLOOKUP(2018,DEMANDS!$G$2:$CK$25,MATCH($E180,DEMANDS!$E$2:$E$25,0),FALSE)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AD180" s="18">
        <f>HLOOKUP(REG_TRA_DEMANDS!AD$3,'BY-Demands'!$J$5:$AK$14,MATCH($E180,'BY-Demands'!$I$5:$I$14,0),FALSE)*HLOOKUP(REG_TRA_DEMANDS!$F180,DEMANDS!$G$2:$CK$25,MATCH($E180,DEMANDS!$E$2:$E$25,0),FALSE)/HLOOKUP(2018,DEMANDS!$G$2:$CK$25,MATCH($E180,DEMANDS!$E$2:$E$25,0),FALSE)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AE180" s="18">
        <f>HLOOKUP(REG_TRA_DEMANDS!AE$3,'BY-Demands'!$J$5:$AK$14,MATCH($E180,'BY-Demands'!$I$5:$I$14,0),FALSE)*HLOOKUP(REG_TRA_DEMANDS!$F180,DEMANDS!$G$2:$CK$25,MATCH($E180,DEMANDS!$E$2:$E$25,0),FALSE)/HLOOKUP(2018,DEMANDS!$G$2:$CK$25,MATCH($E180,DEMANDS!$E$2:$E$25,0),FALSE)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AF180" s="18">
        <f>HLOOKUP(REG_TRA_DEMANDS!AF$3,'BY-Demands'!$J$5:$AK$14,MATCH($E180,'BY-Demands'!$I$5:$I$14,0),FALSE)*HLOOKUP(REG_TRA_DEMANDS!$F180,DEMANDS!$G$2:$CK$25,MATCH($E180,DEMANDS!$E$2:$E$25,0),FALSE)/HLOOKUP(2018,DEMANDS!$G$2:$CK$25,MATCH($E180,DEMANDS!$E$2:$E$25,0),FALSE)</f>
        <v>0</v>
      </c>
    </row>
    <row r="181" spans="4:32" ht="14.4">
      <c r="D181" t="s">
        <v>6</v>
      </c>
      <c r="E181" t="str">
        <f>DEMANDS!$E$23</f>
        <v>TOTH</v>
      </c>
      <c r="F181">
        <v>2035</v>
      </c>
      <c r="G181" s="18">
        <f>HLOOKUP(REG_TRA_DEMANDS!G$3,'BY-Demands'!$J$5:$AK$14,MATCH($E181,'BY-Demands'!$I$5:$I$14,0),FALSE)*HLOOKUP(REG_TRA_DEMANDS!$F181,DEMANDS!$G$2:$CK$25,MATCH($E181,DEMANDS!$E$2:$E$25,0),FALSE)/HLOOKUP(2018,DEMANDS!$G$2:$CK$25,MATCH($E181,DEMANDS!$E$2:$E$25,0),FALSE)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H181" s="18">
        <f>HLOOKUP(REG_TRA_DEMANDS!H$3,'BY-Demands'!$J$5:$AK$14,MATCH($E181,'BY-Demands'!$I$5:$I$14,0),FALSE)*HLOOKUP(REG_TRA_DEMANDS!$F181,DEMANDS!$G$2:$CK$25,MATCH($E181,DEMANDS!$E$2:$E$25,0),FALSE)/HLOOKUP(2018,DEMANDS!$G$2:$CK$25,MATCH($E181,DEMANDS!$E$2:$E$25,0),FALSE)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I181" s="18">
        <f>HLOOKUP(REG_TRA_DEMANDS!I$3,'BY-Demands'!$J$5:$AK$14,MATCH($E181,'BY-Demands'!$I$5:$I$14,0),FALSE)*HLOOKUP(REG_TRA_DEMANDS!$F181,DEMANDS!$G$2:$CK$25,MATCH($E181,DEMANDS!$E$2:$E$25,0),FALSE)/HLOOKUP(2018,DEMANDS!$G$2:$CK$25,MATCH($E181,DEMANDS!$E$2:$E$25,0),FALSE)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J181" s="18">
        <f>HLOOKUP(REG_TRA_DEMANDS!J$3,'BY-Demands'!$J$5:$AK$14,MATCH($E181,'BY-Demands'!$I$5:$I$14,0),FALSE)*HLOOKUP(REG_TRA_DEMANDS!$F181,DEMANDS!$G$2:$CK$25,MATCH($E181,DEMANDS!$E$2:$E$25,0),FALSE)/HLOOKUP(2018,DEMANDS!$G$2:$CK$25,MATCH($E181,DEMANDS!$E$2:$E$25,0),FALSE)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K181" s="18">
        <f>HLOOKUP(REG_TRA_DEMANDS!K$3,'BY-Demands'!$J$5:$AK$14,MATCH($E181,'BY-Demands'!$I$5:$I$14,0),FALSE)*HLOOKUP(REG_TRA_DEMANDS!$F181,DEMANDS!$G$2:$CK$25,MATCH($E181,DEMANDS!$E$2:$E$25,0),FALSE)/HLOOKUP(2018,DEMANDS!$G$2:$CK$25,MATCH($E181,DEMANDS!$E$2:$E$25,0),FALSE)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L181" s="18">
        <f>HLOOKUP(REG_TRA_DEMANDS!L$3,'BY-Demands'!$J$5:$AK$14,MATCH($E181,'BY-Demands'!$I$5:$I$14,0),FALSE)*HLOOKUP(REG_TRA_DEMANDS!$F181,DEMANDS!$G$2:$CK$25,MATCH($E181,DEMANDS!$E$2:$E$25,0),FALSE)/HLOOKUP(2018,DEMANDS!$G$2:$CK$25,MATCH($E181,DEMANDS!$E$2:$E$25,0),FALSE)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M181" s="18">
        <f>HLOOKUP(REG_TRA_DEMANDS!M$3,'BY-Demands'!$J$5:$AK$14,MATCH($E181,'BY-Demands'!$I$5:$I$14,0),FALSE)*HLOOKUP(REG_TRA_DEMANDS!$F181,DEMANDS!$G$2:$CK$25,MATCH($E181,DEMANDS!$E$2:$E$25,0),FALSE)/HLOOKUP(2018,DEMANDS!$G$2:$CK$25,MATCH($E181,DEMANDS!$E$2:$E$25,0),FALSE)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N181" s="18">
        <f>HLOOKUP(REG_TRA_DEMANDS!N$3,'BY-Demands'!$J$5:$AK$14,MATCH($E181,'BY-Demands'!$I$5:$I$14,0),FALSE)*HLOOKUP(REG_TRA_DEMANDS!$F181,DEMANDS!$G$2:$CK$25,MATCH($E181,DEMANDS!$E$2:$E$25,0),FALSE)/HLOOKUP(2018,DEMANDS!$G$2:$CK$25,MATCH($E181,DEMANDS!$E$2:$E$25,0),FALSE)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O181" s="18">
        <f>HLOOKUP(REG_TRA_DEMANDS!O$3,'BY-Demands'!$J$5:$AK$14,MATCH($E181,'BY-Demands'!$I$5:$I$14,0),FALSE)*HLOOKUP(REG_TRA_DEMANDS!$F181,DEMANDS!$G$2:$CK$25,MATCH($E181,DEMANDS!$E$2:$E$25,0),FALSE)/HLOOKUP(2018,DEMANDS!$G$2:$CK$25,MATCH($E181,DEMANDS!$E$2:$E$25,0),FALSE)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P181" s="18">
        <f>HLOOKUP(REG_TRA_DEMANDS!P$3,'BY-Demands'!$J$5:$AK$14,MATCH($E181,'BY-Demands'!$I$5:$I$14,0),FALSE)*HLOOKUP(REG_TRA_DEMANDS!$F181,DEMANDS!$G$2:$CK$25,MATCH($E181,DEMANDS!$E$2:$E$25,0),FALSE)/HLOOKUP(2018,DEMANDS!$G$2:$CK$25,MATCH($E181,DEMANDS!$E$2:$E$25,0),FALSE)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Q181" s="18">
        <f>HLOOKUP(REG_TRA_DEMANDS!Q$3,'BY-Demands'!$J$5:$AK$14,MATCH($E181,'BY-Demands'!$I$5:$I$14,0),FALSE)*HLOOKUP(REG_TRA_DEMANDS!$F181,DEMANDS!$G$2:$CK$25,MATCH($E181,DEMANDS!$E$2:$E$25,0),FALSE)/HLOOKUP(2018,DEMANDS!$G$2:$CK$25,MATCH($E181,DEMANDS!$E$2:$E$25,0),FALSE)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R181" s="18">
        <f>HLOOKUP(REG_TRA_DEMANDS!R$3,'BY-Demands'!$J$5:$AK$14,MATCH($E181,'BY-Demands'!$I$5:$I$14,0),FALSE)*HLOOKUP(REG_TRA_DEMANDS!$F181,DEMANDS!$G$2:$CK$25,MATCH($E181,DEMANDS!$E$2:$E$25,0),FALSE)/HLOOKUP(2018,DEMANDS!$G$2:$CK$25,MATCH($E181,DEMANDS!$E$2:$E$25,0),FALSE)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S181" s="18">
        <f>HLOOKUP(REG_TRA_DEMANDS!S$3,'BY-Demands'!$J$5:$AK$14,MATCH($E181,'BY-Demands'!$I$5:$I$14,0),FALSE)*HLOOKUP(REG_TRA_DEMANDS!$F181,DEMANDS!$G$2:$CK$25,MATCH($E181,DEMANDS!$E$2:$E$25,0),FALSE)/HLOOKUP(2018,DEMANDS!$G$2:$CK$25,MATCH($E181,DEMANDS!$E$2:$E$25,0),FALSE)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T181" s="18">
        <f>HLOOKUP(REG_TRA_DEMANDS!T$3,'BY-Demands'!$J$5:$AK$14,MATCH($E181,'BY-Demands'!$I$5:$I$14,0),FALSE)*HLOOKUP(REG_TRA_DEMANDS!$F181,DEMANDS!$G$2:$CK$25,MATCH($E181,DEMANDS!$E$2:$E$25,0),FALSE)/HLOOKUP(2018,DEMANDS!$G$2:$CK$25,MATCH($E181,DEMANDS!$E$2:$E$25,0),FALSE)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U181" s="18">
        <f>HLOOKUP(REG_TRA_DEMANDS!U$3,'BY-Demands'!$J$5:$AK$14,MATCH($E181,'BY-Demands'!$I$5:$I$14,0),FALSE)*HLOOKUP(REG_TRA_DEMANDS!$F181,DEMANDS!$G$2:$CK$25,MATCH($E181,DEMANDS!$E$2:$E$25,0),FALSE)/HLOOKUP(2018,DEMANDS!$G$2:$CK$25,MATCH($E181,DEMANDS!$E$2:$E$25,0),FALSE)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V181" s="18">
        <f>HLOOKUP(REG_TRA_DEMANDS!V$3,'BY-Demands'!$J$5:$AK$14,MATCH($E181,'BY-Demands'!$I$5:$I$14,0),FALSE)*HLOOKUP(REG_TRA_DEMANDS!$F181,DEMANDS!$G$2:$CK$25,MATCH($E181,DEMANDS!$E$2:$E$25,0),FALSE)/HLOOKUP(2018,DEMANDS!$G$2:$CK$25,MATCH($E181,DEMANDS!$E$2:$E$25,0),FALSE)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W181" s="18">
        <f>HLOOKUP(REG_TRA_DEMANDS!W$3,'BY-Demands'!$J$5:$AK$14,MATCH($E181,'BY-Demands'!$I$5:$I$14,0),FALSE)*HLOOKUP(REG_TRA_DEMANDS!$F181,DEMANDS!$G$2:$CK$25,MATCH($E181,DEMANDS!$E$2:$E$25,0),FALSE)/HLOOKUP(2018,DEMANDS!$G$2:$CK$25,MATCH($E181,DEMANDS!$E$2:$E$25,0),FALSE)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X181" s="18">
        <f>HLOOKUP(REG_TRA_DEMANDS!X$3,'BY-Demands'!$J$5:$AK$14,MATCH($E181,'BY-Demands'!$I$5:$I$14,0),FALSE)*HLOOKUP(REG_TRA_DEMANDS!$F181,DEMANDS!$G$2:$CK$25,MATCH($E181,DEMANDS!$E$2:$E$25,0),FALSE)/HLOOKUP(2018,DEMANDS!$G$2:$CK$25,MATCH($E181,DEMANDS!$E$2:$E$25,0),FALSE)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Y181" s="18">
        <f>HLOOKUP(REG_TRA_DEMANDS!Y$3,'BY-Demands'!$J$5:$AK$14,MATCH($E181,'BY-Demands'!$I$5:$I$14,0),FALSE)*HLOOKUP(REG_TRA_DEMANDS!$F181,DEMANDS!$G$2:$CK$25,MATCH($E181,DEMANDS!$E$2:$E$25,0),FALSE)/HLOOKUP(2018,DEMANDS!$G$2:$CK$25,MATCH($E181,DEMANDS!$E$2:$E$25,0),FALSE)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Z181" s="18">
        <f>HLOOKUP(REG_TRA_DEMANDS!Z$3,'BY-Demands'!$J$5:$AK$14,MATCH($E181,'BY-Demands'!$I$5:$I$14,0),FALSE)*HLOOKUP(REG_TRA_DEMANDS!$F181,DEMANDS!$G$2:$CK$25,MATCH($E181,DEMANDS!$E$2:$E$25,0),FALSE)/HLOOKUP(2018,DEMANDS!$G$2:$CK$25,MATCH($E181,DEMANDS!$E$2:$E$25,0),FALSE)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AA181" s="18">
        <f>HLOOKUP(REG_TRA_DEMANDS!AA$3,'BY-Demands'!$J$5:$AK$14,MATCH($E181,'BY-Demands'!$I$5:$I$14,0),FALSE)*HLOOKUP(REG_TRA_DEMANDS!$F181,DEMANDS!$G$2:$CK$25,MATCH($E181,DEMANDS!$E$2:$E$25,0),FALSE)/HLOOKUP(2018,DEMANDS!$G$2:$CK$25,MATCH($E181,DEMANDS!$E$2:$E$25,0),FALSE)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AB181" s="18">
        <f>HLOOKUP(REG_TRA_DEMANDS!AB$3,'BY-Demands'!$J$5:$AK$14,MATCH($E181,'BY-Demands'!$I$5:$I$14,0),FALSE)*HLOOKUP(REG_TRA_DEMANDS!$F181,DEMANDS!$G$2:$CK$25,MATCH($E181,DEMANDS!$E$2:$E$25,0),FALSE)/HLOOKUP(2018,DEMANDS!$G$2:$CK$25,MATCH($E181,DEMANDS!$E$2:$E$25,0),FALSE)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AC181" s="18">
        <f>HLOOKUP(REG_TRA_DEMANDS!AC$3,'BY-Demands'!$J$5:$AK$14,MATCH($E181,'BY-Demands'!$I$5:$I$14,0),FALSE)*HLOOKUP(REG_TRA_DEMANDS!$F181,DEMANDS!$G$2:$CK$25,MATCH($E181,DEMANDS!$E$2:$E$25,0),FALSE)/HLOOKUP(2018,DEMANDS!$G$2:$CK$25,MATCH($E181,DEMANDS!$E$2:$E$25,0),FALSE)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AD181" s="18">
        <f>HLOOKUP(REG_TRA_DEMANDS!AD$3,'BY-Demands'!$J$5:$AK$14,MATCH($E181,'BY-Demands'!$I$5:$I$14,0),FALSE)*HLOOKUP(REG_TRA_DEMANDS!$F181,DEMANDS!$G$2:$CK$25,MATCH($E181,DEMANDS!$E$2:$E$25,0),FALSE)/HLOOKUP(2018,DEMANDS!$G$2:$CK$25,MATCH($E181,DEMANDS!$E$2:$E$25,0),FALSE)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AE181" s="18">
        <f>HLOOKUP(REG_TRA_DEMANDS!AE$3,'BY-Demands'!$J$5:$AK$14,MATCH($E181,'BY-Demands'!$I$5:$I$14,0),FALSE)*HLOOKUP(REG_TRA_DEMANDS!$F181,DEMANDS!$G$2:$CK$25,MATCH($E181,DEMANDS!$E$2:$E$25,0),FALSE)/HLOOKUP(2018,DEMANDS!$G$2:$CK$25,MATCH($E181,DEMANDS!$E$2:$E$25,0),FALSE)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AF181" s="18">
        <f>HLOOKUP(REG_TRA_DEMANDS!AF$3,'BY-Demands'!$J$5:$AK$14,MATCH($E181,'BY-Demands'!$I$5:$I$14,0),FALSE)*HLOOKUP(REG_TRA_DEMANDS!$F181,DEMANDS!$G$2:$CK$25,MATCH($E181,DEMANDS!$E$2:$E$25,0),FALSE)/HLOOKUP(2018,DEMANDS!$G$2:$CK$25,MATCH($E181,DEMANDS!$E$2:$E$25,0),FALSE)</f>
        <v>0</v>
      </c>
    </row>
    <row r="182" spans="4:32" ht="14.4">
      <c r="D182" t="s">
        <v>6</v>
      </c>
      <c r="E182" t="str">
        <f>DEMANDS!$E$23</f>
        <v>TOTH</v>
      </c>
      <c r="F182">
        <v>2036</v>
      </c>
      <c r="G182" s="18">
        <f>HLOOKUP(REG_TRA_DEMANDS!G$3,'BY-Demands'!$J$5:$AK$14,MATCH($E182,'BY-Demands'!$I$5:$I$14,0),FALSE)*HLOOKUP(REG_TRA_DEMANDS!$F182,DEMANDS!$G$2:$CK$25,MATCH($E182,DEMANDS!$E$2:$E$25,0),FALSE)/HLOOKUP(2018,DEMANDS!$G$2:$CK$25,MATCH($E182,DEMANDS!$E$2:$E$25,0),FALSE)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H182" s="18">
        <f>HLOOKUP(REG_TRA_DEMANDS!H$3,'BY-Demands'!$J$5:$AK$14,MATCH($E182,'BY-Demands'!$I$5:$I$14,0),FALSE)*HLOOKUP(REG_TRA_DEMANDS!$F182,DEMANDS!$G$2:$CK$25,MATCH($E182,DEMANDS!$E$2:$E$25,0),FALSE)/HLOOKUP(2018,DEMANDS!$G$2:$CK$25,MATCH($E182,DEMANDS!$E$2:$E$25,0),FALSE)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I182" s="18">
        <f>HLOOKUP(REG_TRA_DEMANDS!I$3,'BY-Demands'!$J$5:$AK$14,MATCH($E182,'BY-Demands'!$I$5:$I$14,0),FALSE)*HLOOKUP(REG_TRA_DEMANDS!$F182,DEMANDS!$G$2:$CK$25,MATCH($E182,DEMANDS!$E$2:$E$25,0),FALSE)/HLOOKUP(2018,DEMANDS!$G$2:$CK$25,MATCH($E182,DEMANDS!$E$2:$E$25,0),FALSE)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J182" s="18">
        <f>HLOOKUP(REG_TRA_DEMANDS!J$3,'BY-Demands'!$J$5:$AK$14,MATCH($E182,'BY-Demands'!$I$5:$I$14,0),FALSE)*HLOOKUP(REG_TRA_DEMANDS!$F182,DEMANDS!$G$2:$CK$25,MATCH($E182,DEMANDS!$E$2:$E$25,0),FALSE)/HLOOKUP(2018,DEMANDS!$G$2:$CK$25,MATCH($E182,DEMANDS!$E$2:$E$25,0),FALSE)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K182" s="18">
        <f>HLOOKUP(REG_TRA_DEMANDS!K$3,'BY-Demands'!$J$5:$AK$14,MATCH($E182,'BY-Demands'!$I$5:$I$14,0),FALSE)*HLOOKUP(REG_TRA_DEMANDS!$F182,DEMANDS!$G$2:$CK$25,MATCH($E182,DEMANDS!$E$2:$E$25,0),FALSE)/HLOOKUP(2018,DEMANDS!$G$2:$CK$25,MATCH($E182,DEMANDS!$E$2:$E$25,0),FALSE)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L182" s="18">
        <f>HLOOKUP(REG_TRA_DEMANDS!L$3,'BY-Demands'!$J$5:$AK$14,MATCH($E182,'BY-Demands'!$I$5:$I$14,0),FALSE)*HLOOKUP(REG_TRA_DEMANDS!$F182,DEMANDS!$G$2:$CK$25,MATCH($E182,DEMANDS!$E$2:$E$25,0),FALSE)/HLOOKUP(2018,DEMANDS!$G$2:$CK$25,MATCH($E182,DEMANDS!$E$2:$E$25,0),FALSE)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M182" s="18">
        <f>HLOOKUP(REG_TRA_DEMANDS!M$3,'BY-Demands'!$J$5:$AK$14,MATCH($E182,'BY-Demands'!$I$5:$I$14,0),FALSE)*HLOOKUP(REG_TRA_DEMANDS!$F182,DEMANDS!$G$2:$CK$25,MATCH($E182,DEMANDS!$E$2:$E$25,0),FALSE)/HLOOKUP(2018,DEMANDS!$G$2:$CK$25,MATCH($E182,DEMANDS!$E$2:$E$25,0),FALSE)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N182" s="18">
        <f>HLOOKUP(REG_TRA_DEMANDS!N$3,'BY-Demands'!$J$5:$AK$14,MATCH($E182,'BY-Demands'!$I$5:$I$14,0),FALSE)*HLOOKUP(REG_TRA_DEMANDS!$F182,DEMANDS!$G$2:$CK$25,MATCH($E182,DEMANDS!$E$2:$E$25,0),FALSE)/HLOOKUP(2018,DEMANDS!$G$2:$CK$25,MATCH($E182,DEMANDS!$E$2:$E$25,0),FALSE)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O182" s="18">
        <f>HLOOKUP(REG_TRA_DEMANDS!O$3,'BY-Demands'!$J$5:$AK$14,MATCH($E182,'BY-Demands'!$I$5:$I$14,0),FALSE)*HLOOKUP(REG_TRA_DEMANDS!$F182,DEMANDS!$G$2:$CK$25,MATCH($E182,DEMANDS!$E$2:$E$25,0),FALSE)/HLOOKUP(2018,DEMANDS!$G$2:$CK$25,MATCH($E182,DEMANDS!$E$2:$E$25,0),FALSE)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P182" s="18">
        <f>HLOOKUP(REG_TRA_DEMANDS!P$3,'BY-Demands'!$J$5:$AK$14,MATCH($E182,'BY-Demands'!$I$5:$I$14,0),FALSE)*HLOOKUP(REG_TRA_DEMANDS!$F182,DEMANDS!$G$2:$CK$25,MATCH($E182,DEMANDS!$E$2:$E$25,0),FALSE)/HLOOKUP(2018,DEMANDS!$G$2:$CK$25,MATCH($E182,DEMANDS!$E$2:$E$25,0),FALSE)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Q182" s="18">
        <f>HLOOKUP(REG_TRA_DEMANDS!Q$3,'BY-Demands'!$J$5:$AK$14,MATCH($E182,'BY-Demands'!$I$5:$I$14,0),FALSE)*HLOOKUP(REG_TRA_DEMANDS!$F182,DEMANDS!$G$2:$CK$25,MATCH($E182,DEMANDS!$E$2:$E$25,0),FALSE)/HLOOKUP(2018,DEMANDS!$G$2:$CK$25,MATCH($E182,DEMANDS!$E$2:$E$25,0),FALSE)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R182" s="18">
        <f>HLOOKUP(REG_TRA_DEMANDS!R$3,'BY-Demands'!$J$5:$AK$14,MATCH($E182,'BY-Demands'!$I$5:$I$14,0),FALSE)*HLOOKUP(REG_TRA_DEMANDS!$F182,DEMANDS!$G$2:$CK$25,MATCH($E182,DEMANDS!$E$2:$E$25,0),FALSE)/HLOOKUP(2018,DEMANDS!$G$2:$CK$25,MATCH($E182,DEMANDS!$E$2:$E$25,0),FALSE)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S182" s="18">
        <f>HLOOKUP(REG_TRA_DEMANDS!S$3,'BY-Demands'!$J$5:$AK$14,MATCH($E182,'BY-Demands'!$I$5:$I$14,0),FALSE)*HLOOKUP(REG_TRA_DEMANDS!$F182,DEMANDS!$G$2:$CK$25,MATCH($E182,DEMANDS!$E$2:$E$25,0),FALSE)/HLOOKUP(2018,DEMANDS!$G$2:$CK$25,MATCH($E182,DEMANDS!$E$2:$E$25,0),FALSE)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T182" s="18">
        <f>HLOOKUP(REG_TRA_DEMANDS!T$3,'BY-Demands'!$J$5:$AK$14,MATCH($E182,'BY-Demands'!$I$5:$I$14,0),FALSE)*HLOOKUP(REG_TRA_DEMANDS!$F182,DEMANDS!$G$2:$CK$25,MATCH($E182,DEMANDS!$E$2:$E$25,0),FALSE)/HLOOKUP(2018,DEMANDS!$G$2:$CK$25,MATCH($E182,DEMANDS!$E$2:$E$25,0),FALSE)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U182" s="18">
        <f>HLOOKUP(REG_TRA_DEMANDS!U$3,'BY-Demands'!$J$5:$AK$14,MATCH($E182,'BY-Demands'!$I$5:$I$14,0),FALSE)*HLOOKUP(REG_TRA_DEMANDS!$F182,DEMANDS!$G$2:$CK$25,MATCH($E182,DEMANDS!$E$2:$E$25,0),FALSE)/HLOOKUP(2018,DEMANDS!$G$2:$CK$25,MATCH($E182,DEMANDS!$E$2:$E$25,0),FALSE)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V182" s="18">
        <f>HLOOKUP(REG_TRA_DEMANDS!V$3,'BY-Demands'!$J$5:$AK$14,MATCH($E182,'BY-Demands'!$I$5:$I$14,0),FALSE)*HLOOKUP(REG_TRA_DEMANDS!$F182,DEMANDS!$G$2:$CK$25,MATCH($E182,DEMANDS!$E$2:$E$25,0),FALSE)/HLOOKUP(2018,DEMANDS!$G$2:$CK$25,MATCH($E182,DEMANDS!$E$2:$E$25,0),FALSE)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W182" s="18">
        <f>HLOOKUP(REG_TRA_DEMANDS!W$3,'BY-Demands'!$J$5:$AK$14,MATCH($E182,'BY-Demands'!$I$5:$I$14,0),FALSE)*HLOOKUP(REG_TRA_DEMANDS!$F182,DEMANDS!$G$2:$CK$25,MATCH($E182,DEMANDS!$E$2:$E$25,0),FALSE)/HLOOKUP(2018,DEMANDS!$G$2:$CK$25,MATCH($E182,DEMANDS!$E$2:$E$25,0),FALSE)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X182" s="18">
        <f>HLOOKUP(REG_TRA_DEMANDS!X$3,'BY-Demands'!$J$5:$AK$14,MATCH($E182,'BY-Demands'!$I$5:$I$14,0),FALSE)*HLOOKUP(REG_TRA_DEMANDS!$F182,DEMANDS!$G$2:$CK$25,MATCH($E182,DEMANDS!$E$2:$E$25,0),FALSE)/HLOOKUP(2018,DEMANDS!$G$2:$CK$25,MATCH($E182,DEMANDS!$E$2:$E$25,0),FALSE)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Y182" s="18">
        <f>HLOOKUP(REG_TRA_DEMANDS!Y$3,'BY-Demands'!$J$5:$AK$14,MATCH($E182,'BY-Demands'!$I$5:$I$14,0),FALSE)*HLOOKUP(REG_TRA_DEMANDS!$F182,DEMANDS!$G$2:$CK$25,MATCH($E182,DEMANDS!$E$2:$E$25,0),FALSE)/HLOOKUP(2018,DEMANDS!$G$2:$CK$25,MATCH($E182,DEMANDS!$E$2:$E$25,0),FALSE)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Z182" s="18">
        <f>HLOOKUP(REG_TRA_DEMANDS!Z$3,'BY-Demands'!$J$5:$AK$14,MATCH($E182,'BY-Demands'!$I$5:$I$14,0),FALSE)*HLOOKUP(REG_TRA_DEMANDS!$F182,DEMANDS!$G$2:$CK$25,MATCH($E182,DEMANDS!$E$2:$E$25,0),FALSE)/HLOOKUP(2018,DEMANDS!$G$2:$CK$25,MATCH($E182,DEMANDS!$E$2:$E$25,0),FALSE)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AA182" s="18">
        <f>HLOOKUP(REG_TRA_DEMANDS!AA$3,'BY-Demands'!$J$5:$AK$14,MATCH($E182,'BY-Demands'!$I$5:$I$14,0),FALSE)*HLOOKUP(REG_TRA_DEMANDS!$F182,DEMANDS!$G$2:$CK$25,MATCH($E182,DEMANDS!$E$2:$E$25,0),FALSE)/HLOOKUP(2018,DEMANDS!$G$2:$CK$25,MATCH($E182,DEMANDS!$E$2:$E$25,0),FALSE)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AB182" s="18">
        <f>HLOOKUP(REG_TRA_DEMANDS!AB$3,'BY-Demands'!$J$5:$AK$14,MATCH($E182,'BY-Demands'!$I$5:$I$14,0),FALSE)*HLOOKUP(REG_TRA_DEMANDS!$F182,DEMANDS!$G$2:$CK$25,MATCH($E182,DEMANDS!$E$2:$E$25,0),FALSE)/HLOOKUP(2018,DEMANDS!$G$2:$CK$25,MATCH($E182,DEMANDS!$E$2:$E$25,0),FALSE)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AC182" s="18">
        <f>HLOOKUP(REG_TRA_DEMANDS!AC$3,'BY-Demands'!$J$5:$AK$14,MATCH($E182,'BY-Demands'!$I$5:$I$14,0),FALSE)*HLOOKUP(REG_TRA_DEMANDS!$F182,DEMANDS!$G$2:$CK$25,MATCH($E182,DEMANDS!$E$2:$E$25,0),FALSE)/HLOOKUP(2018,DEMANDS!$G$2:$CK$25,MATCH($E182,DEMANDS!$E$2:$E$25,0),FALSE)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AD182" s="18">
        <f>HLOOKUP(REG_TRA_DEMANDS!AD$3,'BY-Demands'!$J$5:$AK$14,MATCH($E182,'BY-Demands'!$I$5:$I$14,0),FALSE)*HLOOKUP(REG_TRA_DEMANDS!$F182,DEMANDS!$G$2:$CK$25,MATCH($E182,DEMANDS!$E$2:$E$25,0),FALSE)/HLOOKUP(2018,DEMANDS!$G$2:$CK$25,MATCH($E182,DEMANDS!$E$2:$E$25,0),FALSE)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AE182" s="18">
        <f>HLOOKUP(REG_TRA_DEMANDS!AE$3,'BY-Demands'!$J$5:$AK$14,MATCH($E182,'BY-Demands'!$I$5:$I$14,0),FALSE)*HLOOKUP(REG_TRA_DEMANDS!$F182,DEMANDS!$G$2:$CK$25,MATCH($E182,DEMANDS!$E$2:$E$25,0),FALSE)/HLOOKUP(2018,DEMANDS!$G$2:$CK$25,MATCH($E182,DEMANDS!$E$2:$E$25,0),FALSE)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AF182" s="18">
        <f>HLOOKUP(REG_TRA_DEMANDS!AF$3,'BY-Demands'!$J$5:$AK$14,MATCH($E182,'BY-Demands'!$I$5:$I$14,0),FALSE)*HLOOKUP(REG_TRA_DEMANDS!$F182,DEMANDS!$G$2:$CK$25,MATCH($E182,DEMANDS!$E$2:$E$25,0),FALSE)/HLOOKUP(2018,DEMANDS!$G$2:$CK$25,MATCH($E182,DEMANDS!$E$2:$E$25,0),FALSE)</f>
        <v>0</v>
      </c>
    </row>
    <row r="183" spans="4:32" ht="14.4">
      <c r="D183" t="s">
        <v>6</v>
      </c>
      <c r="E183" t="str">
        <f>DEMANDS!$E$23</f>
        <v>TOTH</v>
      </c>
      <c r="F183">
        <v>2037</v>
      </c>
      <c r="G183" s="18">
        <f>HLOOKUP(REG_TRA_DEMANDS!G$3,'BY-Demands'!$J$5:$AK$14,MATCH($E183,'BY-Demands'!$I$5:$I$14,0),FALSE)*HLOOKUP(REG_TRA_DEMANDS!$F183,DEMANDS!$G$2:$CK$25,MATCH($E183,DEMANDS!$E$2:$E$25,0),FALSE)/HLOOKUP(2018,DEMANDS!$G$2:$CK$25,MATCH($E183,DEMANDS!$E$2:$E$25,0),FALSE)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H183" s="18">
        <f>HLOOKUP(REG_TRA_DEMANDS!H$3,'BY-Demands'!$J$5:$AK$14,MATCH($E183,'BY-Demands'!$I$5:$I$14,0),FALSE)*HLOOKUP(REG_TRA_DEMANDS!$F183,DEMANDS!$G$2:$CK$25,MATCH($E183,DEMANDS!$E$2:$E$25,0),FALSE)/HLOOKUP(2018,DEMANDS!$G$2:$CK$25,MATCH($E183,DEMANDS!$E$2:$E$25,0),FALSE)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I183" s="18">
        <f>HLOOKUP(REG_TRA_DEMANDS!I$3,'BY-Demands'!$J$5:$AK$14,MATCH($E183,'BY-Demands'!$I$5:$I$14,0),FALSE)*HLOOKUP(REG_TRA_DEMANDS!$F183,DEMANDS!$G$2:$CK$25,MATCH($E183,DEMANDS!$E$2:$E$25,0),FALSE)/HLOOKUP(2018,DEMANDS!$G$2:$CK$25,MATCH($E183,DEMANDS!$E$2:$E$25,0),FALSE)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J183" s="18">
        <f>HLOOKUP(REG_TRA_DEMANDS!J$3,'BY-Demands'!$J$5:$AK$14,MATCH($E183,'BY-Demands'!$I$5:$I$14,0),FALSE)*HLOOKUP(REG_TRA_DEMANDS!$F183,DEMANDS!$G$2:$CK$25,MATCH($E183,DEMANDS!$E$2:$E$25,0),FALSE)/HLOOKUP(2018,DEMANDS!$G$2:$CK$25,MATCH($E183,DEMANDS!$E$2:$E$25,0),FALSE)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K183" s="18">
        <f>HLOOKUP(REG_TRA_DEMANDS!K$3,'BY-Demands'!$J$5:$AK$14,MATCH($E183,'BY-Demands'!$I$5:$I$14,0),FALSE)*HLOOKUP(REG_TRA_DEMANDS!$F183,DEMANDS!$G$2:$CK$25,MATCH($E183,DEMANDS!$E$2:$E$25,0),FALSE)/HLOOKUP(2018,DEMANDS!$G$2:$CK$25,MATCH($E183,DEMANDS!$E$2:$E$25,0),FALSE)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L183" s="18">
        <f>HLOOKUP(REG_TRA_DEMANDS!L$3,'BY-Demands'!$J$5:$AK$14,MATCH($E183,'BY-Demands'!$I$5:$I$14,0),FALSE)*HLOOKUP(REG_TRA_DEMANDS!$F183,DEMANDS!$G$2:$CK$25,MATCH($E183,DEMANDS!$E$2:$E$25,0),FALSE)/HLOOKUP(2018,DEMANDS!$G$2:$CK$25,MATCH($E183,DEMANDS!$E$2:$E$25,0),FALSE)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M183" s="18">
        <f>HLOOKUP(REG_TRA_DEMANDS!M$3,'BY-Demands'!$J$5:$AK$14,MATCH($E183,'BY-Demands'!$I$5:$I$14,0),FALSE)*HLOOKUP(REG_TRA_DEMANDS!$F183,DEMANDS!$G$2:$CK$25,MATCH($E183,DEMANDS!$E$2:$E$25,0),FALSE)/HLOOKUP(2018,DEMANDS!$G$2:$CK$25,MATCH($E183,DEMANDS!$E$2:$E$25,0),FALSE)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N183" s="18">
        <f>HLOOKUP(REG_TRA_DEMANDS!N$3,'BY-Demands'!$J$5:$AK$14,MATCH($E183,'BY-Demands'!$I$5:$I$14,0),FALSE)*HLOOKUP(REG_TRA_DEMANDS!$F183,DEMANDS!$G$2:$CK$25,MATCH($E183,DEMANDS!$E$2:$E$25,0),FALSE)/HLOOKUP(2018,DEMANDS!$G$2:$CK$25,MATCH($E183,DEMANDS!$E$2:$E$25,0),FALSE)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O183" s="18">
        <f>HLOOKUP(REG_TRA_DEMANDS!O$3,'BY-Demands'!$J$5:$AK$14,MATCH($E183,'BY-Demands'!$I$5:$I$14,0),FALSE)*HLOOKUP(REG_TRA_DEMANDS!$F183,DEMANDS!$G$2:$CK$25,MATCH($E183,DEMANDS!$E$2:$E$25,0),FALSE)/HLOOKUP(2018,DEMANDS!$G$2:$CK$25,MATCH($E183,DEMANDS!$E$2:$E$25,0),FALSE)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P183" s="18">
        <f>HLOOKUP(REG_TRA_DEMANDS!P$3,'BY-Demands'!$J$5:$AK$14,MATCH($E183,'BY-Demands'!$I$5:$I$14,0),FALSE)*HLOOKUP(REG_TRA_DEMANDS!$F183,DEMANDS!$G$2:$CK$25,MATCH($E183,DEMANDS!$E$2:$E$25,0),FALSE)/HLOOKUP(2018,DEMANDS!$G$2:$CK$25,MATCH($E183,DEMANDS!$E$2:$E$25,0),FALSE)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Q183" s="18">
        <f>HLOOKUP(REG_TRA_DEMANDS!Q$3,'BY-Demands'!$J$5:$AK$14,MATCH($E183,'BY-Demands'!$I$5:$I$14,0),FALSE)*HLOOKUP(REG_TRA_DEMANDS!$F183,DEMANDS!$G$2:$CK$25,MATCH($E183,DEMANDS!$E$2:$E$25,0),FALSE)/HLOOKUP(2018,DEMANDS!$G$2:$CK$25,MATCH($E183,DEMANDS!$E$2:$E$25,0),FALSE)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R183" s="18">
        <f>HLOOKUP(REG_TRA_DEMANDS!R$3,'BY-Demands'!$J$5:$AK$14,MATCH($E183,'BY-Demands'!$I$5:$I$14,0),FALSE)*HLOOKUP(REG_TRA_DEMANDS!$F183,DEMANDS!$G$2:$CK$25,MATCH($E183,DEMANDS!$E$2:$E$25,0),FALSE)/HLOOKUP(2018,DEMANDS!$G$2:$CK$25,MATCH($E183,DEMANDS!$E$2:$E$25,0),FALSE)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S183" s="18">
        <f>HLOOKUP(REG_TRA_DEMANDS!S$3,'BY-Demands'!$J$5:$AK$14,MATCH($E183,'BY-Demands'!$I$5:$I$14,0),FALSE)*HLOOKUP(REG_TRA_DEMANDS!$F183,DEMANDS!$G$2:$CK$25,MATCH($E183,DEMANDS!$E$2:$E$25,0),FALSE)/HLOOKUP(2018,DEMANDS!$G$2:$CK$25,MATCH($E183,DEMANDS!$E$2:$E$25,0),FALSE)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T183" s="18">
        <f>HLOOKUP(REG_TRA_DEMANDS!T$3,'BY-Demands'!$J$5:$AK$14,MATCH($E183,'BY-Demands'!$I$5:$I$14,0),FALSE)*HLOOKUP(REG_TRA_DEMANDS!$F183,DEMANDS!$G$2:$CK$25,MATCH($E183,DEMANDS!$E$2:$E$25,0),FALSE)/HLOOKUP(2018,DEMANDS!$G$2:$CK$25,MATCH($E183,DEMANDS!$E$2:$E$25,0),FALSE)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U183" s="18">
        <f>HLOOKUP(REG_TRA_DEMANDS!U$3,'BY-Demands'!$J$5:$AK$14,MATCH($E183,'BY-Demands'!$I$5:$I$14,0),FALSE)*HLOOKUP(REG_TRA_DEMANDS!$F183,DEMANDS!$G$2:$CK$25,MATCH($E183,DEMANDS!$E$2:$E$25,0),FALSE)/HLOOKUP(2018,DEMANDS!$G$2:$CK$25,MATCH($E183,DEMANDS!$E$2:$E$25,0),FALSE)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V183" s="18">
        <f>HLOOKUP(REG_TRA_DEMANDS!V$3,'BY-Demands'!$J$5:$AK$14,MATCH($E183,'BY-Demands'!$I$5:$I$14,0),FALSE)*HLOOKUP(REG_TRA_DEMANDS!$F183,DEMANDS!$G$2:$CK$25,MATCH($E183,DEMANDS!$E$2:$E$25,0),FALSE)/HLOOKUP(2018,DEMANDS!$G$2:$CK$25,MATCH($E183,DEMANDS!$E$2:$E$25,0),FALSE)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W183" s="18">
        <f>HLOOKUP(REG_TRA_DEMANDS!W$3,'BY-Demands'!$J$5:$AK$14,MATCH($E183,'BY-Demands'!$I$5:$I$14,0),FALSE)*HLOOKUP(REG_TRA_DEMANDS!$F183,DEMANDS!$G$2:$CK$25,MATCH($E183,DEMANDS!$E$2:$E$25,0),FALSE)/HLOOKUP(2018,DEMANDS!$G$2:$CK$25,MATCH($E183,DEMANDS!$E$2:$E$25,0),FALSE)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X183" s="18">
        <f>HLOOKUP(REG_TRA_DEMANDS!X$3,'BY-Demands'!$J$5:$AK$14,MATCH($E183,'BY-Demands'!$I$5:$I$14,0),FALSE)*HLOOKUP(REG_TRA_DEMANDS!$F183,DEMANDS!$G$2:$CK$25,MATCH($E183,DEMANDS!$E$2:$E$25,0),FALSE)/HLOOKUP(2018,DEMANDS!$G$2:$CK$25,MATCH($E183,DEMANDS!$E$2:$E$25,0),FALSE)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Y183" s="18">
        <f>HLOOKUP(REG_TRA_DEMANDS!Y$3,'BY-Demands'!$J$5:$AK$14,MATCH($E183,'BY-Demands'!$I$5:$I$14,0),FALSE)*HLOOKUP(REG_TRA_DEMANDS!$F183,DEMANDS!$G$2:$CK$25,MATCH($E183,DEMANDS!$E$2:$E$25,0),FALSE)/HLOOKUP(2018,DEMANDS!$G$2:$CK$25,MATCH($E183,DEMANDS!$E$2:$E$25,0),FALSE)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Z183" s="18">
        <f>HLOOKUP(REG_TRA_DEMANDS!Z$3,'BY-Demands'!$J$5:$AK$14,MATCH($E183,'BY-Demands'!$I$5:$I$14,0),FALSE)*HLOOKUP(REG_TRA_DEMANDS!$F183,DEMANDS!$G$2:$CK$25,MATCH($E183,DEMANDS!$E$2:$E$25,0),FALSE)/HLOOKUP(2018,DEMANDS!$G$2:$CK$25,MATCH($E183,DEMANDS!$E$2:$E$25,0),FALSE)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AA183" s="18">
        <f>HLOOKUP(REG_TRA_DEMANDS!AA$3,'BY-Demands'!$J$5:$AK$14,MATCH($E183,'BY-Demands'!$I$5:$I$14,0),FALSE)*HLOOKUP(REG_TRA_DEMANDS!$F183,DEMANDS!$G$2:$CK$25,MATCH($E183,DEMANDS!$E$2:$E$25,0),FALSE)/HLOOKUP(2018,DEMANDS!$G$2:$CK$25,MATCH($E183,DEMANDS!$E$2:$E$25,0),FALSE)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AB183" s="18">
        <f>HLOOKUP(REG_TRA_DEMANDS!AB$3,'BY-Demands'!$J$5:$AK$14,MATCH($E183,'BY-Demands'!$I$5:$I$14,0),FALSE)*HLOOKUP(REG_TRA_DEMANDS!$F183,DEMANDS!$G$2:$CK$25,MATCH($E183,DEMANDS!$E$2:$E$25,0),FALSE)/HLOOKUP(2018,DEMANDS!$G$2:$CK$25,MATCH($E183,DEMANDS!$E$2:$E$25,0),FALSE)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AC183" s="18">
        <f>HLOOKUP(REG_TRA_DEMANDS!AC$3,'BY-Demands'!$J$5:$AK$14,MATCH($E183,'BY-Demands'!$I$5:$I$14,0),FALSE)*HLOOKUP(REG_TRA_DEMANDS!$F183,DEMANDS!$G$2:$CK$25,MATCH($E183,DEMANDS!$E$2:$E$25,0),FALSE)/HLOOKUP(2018,DEMANDS!$G$2:$CK$25,MATCH($E183,DEMANDS!$E$2:$E$25,0),FALSE)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AD183" s="18">
        <f>HLOOKUP(REG_TRA_DEMANDS!AD$3,'BY-Demands'!$J$5:$AK$14,MATCH($E183,'BY-Demands'!$I$5:$I$14,0),FALSE)*HLOOKUP(REG_TRA_DEMANDS!$F183,DEMANDS!$G$2:$CK$25,MATCH($E183,DEMANDS!$E$2:$E$25,0),FALSE)/HLOOKUP(2018,DEMANDS!$G$2:$CK$25,MATCH($E183,DEMANDS!$E$2:$E$25,0),FALSE)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AE183" s="18">
        <f>HLOOKUP(REG_TRA_DEMANDS!AE$3,'BY-Demands'!$J$5:$AK$14,MATCH($E183,'BY-Demands'!$I$5:$I$14,0),FALSE)*HLOOKUP(REG_TRA_DEMANDS!$F183,DEMANDS!$G$2:$CK$25,MATCH($E183,DEMANDS!$E$2:$E$25,0),FALSE)/HLOOKUP(2018,DEMANDS!$G$2:$CK$25,MATCH($E183,DEMANDS!$E$2:$E$25,0),FALSE)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AF183" s="18">
        <f>HLOOKUP(REG_TRA_DEMANDS!AF$3,'BY-Demands'!$J$5:$AK$14,MATCH($E183,'BY-Demands'!$I$5:$I$14,0),FALSE)*HLOOKUP(REG_TRA_DEMANDS!$F183,DEMANDS!$G$2:$CK$25,MATCH($E183,DEMANDS!$E$2:$E$25,0),FALSE)/HLOOKUP(2018,DEMANDS!$G$2:$CK$25,MATCH($E183,DEMANDS!$E$2:$E$25,0),FALSE)</f>
        <v>0</v>
      </c>
    </row>
    <row r="184" spans="4:32" ht="14.4">
      <c r="D184" t="s">
        <v>6</v>
      </c>
      <c r="E184" t="str">
        <f>DEMANDS!$E$23</f>
        <v>TOTH</v>
      </c>
      <c r="F184">
        <v>2038</v>
      </c>
      <c r="G184" s="18">
        <f>HLOOKUP(REG_TRA_DEMANDS!G$3,'BY-Demands'!$J$5:$AK$14,MATCH($E184,'BY-Demands'!$I$5:$I$14,0),FALSE)*HLOOKUP(REG_TRA_DEMANDS!$F184,DEMANDS!$G$2:$CK$25,MATCH($E184,DEMANDS!$E$2:$E$25,0),FALSE)/HLOOKUP(2018,DEMANDS!$G$2:$CK$25,MATCH($E184,DEMANDS!$E$2:$E$25,0),FALSE)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H184" s="18">
        <f>HLOOKUP(REG_TRA_DEMANDS!H$3,'BY-Demands'!$J$5:$AK$14,MATCH($E184,'BY-Demands'!$I$5:$I$14,0),FALSE)*HLOOKUP(REG_TRA_DEMANDS!$F184,DEMANDS!$G$2:$CK$25,MATCH($E184,DEMANDS!$E$2:$E$25,0),FALSE)/HLOOKUP(2018,DEMANDS!$G$2:$CK$25,MATCH($E184,DEMANDS!$E$2:$E$25,0),FALSE)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I184" s="18">
        <f>HLOOKUP(REG_TRA_DEMANDS!I$3,'BY-Demands'!$J$5:$AK$14,MATCH($E184,'BY-Demands'!$I$5:$I$14,0),FALSE)*HLOOKUP(REG_TRA_DEMANDS!$F184,DEMANDS!$G$2:$CK$25,MATCH($E184,DEMANDS!$E$2:$E$25,0),FALSE)/HLOOKUP(2018,DEMANDS!$G$2:$CK$25,MATCH($E184,DEMANDS!$E$2:$E$25,0),FALSE)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J184" s="18">
        <f>HLOOKUP(REG_TRA_DEMANDS!J$3,'BY-Demands'!$J$5:$AK$14,MATCH($E184,'BY-Demands'!$I$5:$I$14,0),FALSE)*HLOOKUP(REG_TRA_DEMANDS!$F184,DEMANDS!$G$2:$CK$25,MATCH($E184,DEMANDS!$E$2:$E$25,0),FALSE)/HLOOKUP(2018,DEMANDS!$G$2:$CK$25,MATCH($E184,DEMANDS!$E$2:$E$25,0),FALSE)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K184" s="18">
        <f>HLOOKUP(REG_TRA_DEMANDS!K$3,'BY-Demands'!$J$5:$AK$14,MATCH($E184,'BY-Demands'!$I$5:$I$14,0),FALSE)*HLOOKUP(REG_TRA_DEMANDS!$F184,DEMANDS!$G$2:$CK$25,MATCH($E184,DEMANDS!$E$2:$E$25,0),FALSE)/HLOOKUP(2018,DEMANDS!$G$2:$CK$25,MATCH($E184,DEMANDS!$E$2:$E$25,0),FALSE)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L184" s="18">
        <f>HLOOKUP(REG_TRA_DEMANDS!L$3,'BY-Demands'!$J$5:$AK$14,MATCH($E184,'BY-Demands'!$I$5:$I$14,0),FALSE)*HLOOKUP(REG_TRA_DEMANDS!$F184,DEMANDS!$G$2:$CK$25,MATCH($E184,DEMANDS!$E$2:$E$25,0),FALSE)/HLOOKUP(2018,DEMANDS!$G$2:$CK$25,MATCH($E184,DEMANDS!$E$2:$E$25,0),FALSE)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M184" s="18">
        <f>HLOOKUP(REG_TRA_DEMANDS!M$3,'BY-Demands'!$J$5:$AK$14,MATCH($E184,'BY-Demands'!$I$5:$I$14,0),FALSE)*HLOOKUP(REG_TRA_DEMANDS!$F184,DEMANDS!$G$2:$CK$25,MATCH($E184,DEMANDS!$E$2:$E$25,0),FALSE)/HLOOKUP(2018,DEMANDS!$G$2:$CK$25,MATCH($E184,DEMANDS!$E$2:$E$25,0),FALSE)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N184" s="18">
        <f>HLOOKUP(REG_TRA_DEMANDS!N$3,'BY-Demands'!$J$5:$AK$14,MATCH($E184,'BY-Demands'!$I$5:$I$14,0),FALSE)*HLOOKUP(REG_TRA_DEMANDS!$F184,DEMANDS!$G$2:$CK$25,MATCH($E184,DEMANDS!$E$2:$E$25,0),FALSE)/HLOOKUP(2018,DEMANDS!$G$2:$CK$25,MATCH($E184,DEMANDS!$E$2:$E$25,0),FALSE)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O184" s="18">
        <f>HLOOKUP(REG_TRA_DEMANDS!O$3,'BY-Demands'!$J$5:$AK$14,MATCH($E184,'BY-Demands'!$I$5:$I$14,0),FALSE)*HLOOKUP(REG_TRA_DEMANDS!$F184,DEMANDS!$G$2:$CK$25,MATCH($E184,DEMANDS!$E$2:$E$25,0),FALSE)/HLOOKUP(2018,DEMANDS!$G$2:$CK$25,MATCH($E184,DEMANDS!$E$2:$E$25,0),FALSE)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P184" s="18">
        <f>HLOOKUP(REG_TRA_DEMANDS!P$3,'BY-Demands'!$J$5:$AK$14,MATCH($E184,'BY-Demands'!$I$5:$I$14,0),FALSE)*HLOOKUP(REG_TRA_DEMANDS!$F184,DEMANDS!$G$2:$CK$25,MATCH($E184,DEMANDS!$E$2:$E$25,0),FALSE)/HLOOKUP(2018,DEMANDS!$G$2:$CK$25,MATCH($E184,DEMANDS!$E$2:$E$25,0),FALSE)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Q184" s="18">
        <f>HLOOKUP(REG_TRA_DEMANDS!Q$3,'BY-Demands'!$J$5:$AK$14,MATCH($E184,'BY-Demands'!$I$5:$I$14,0),FALSE)*HLOOKUP(REG_TRA_DEMANDS!$F184,DEMANDS!$G$2:$CK$25,MATCH($E184,DEMANDS!$E$2:$E$25,0),FALSE)/HLOOKUP(2018,DEMANDS!$G$2:$CK$25,MATCH($E184,DEMANDS!$E$2:$E$25,0),FALSE)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R184" s="18">
        <f>HLOOKUP(REG_TRA_DEMANDS!R$3,'BY-Demands'!$J$5:$AK$14,MATCH($E184,'BY-Demands'!$I$5:$I$14,0),FALSE)*HLOOKUP(REG_TRA_DEMANDS!$F184,DEMANDS!$G$2:$CK$25,MATCH($E184,DEMANDS!$E$2:$E$25,0),FALSE)/HLOOKUP(2018,DEMANDS!$G$2:$CK$25,MATCH($E184,DEMANDS!$E$2:$E$25,0),FALSE)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S184" s="18">
        <f>HLOOKUP(REG_TRA_DEMANDS!S$3,'BY-Demands'!$J$5:$AK$14,MATCH($E184,'BY-Demands'!$I$5:$I$14,0),FALSE)*HLOOKUP(REG_TRA_DEMANDS!$F184,DEMANDS!$G$2:$CK$25,MATCH($E184,DEMANDS!$E$2:$E$25,0),FALSE)/HLOOKUP(2018,DEMANDS!$G$2:$CK$25,MATCH($E184,DEMANDS!$E$2:$E$25,0),FALSE)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T184" s="18">
        <f>HLOOKUP(REG_TRA_DEMANDS!T$3,'BY-Demands'!$J$5:$AK$14,MATCH($E184,'BY-Demands'!$I$5:$I$14,0),FALSE)*HLOOKUP(REG_TRA_DEMANDS!$F184,DEMANDS!$G$2:$CK$25,MATCH($E184,DEMANDS!$E$2:$E$25,0),FALSE)/HLOOKUP(2018,DEMANDS!$G$2:$CK$25,MATCH($E184,DEMANDS!$E$2:$E$25,0),FALSE)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U184" s="18">
        <f>HLOOKUP(REG_TRA_DEMANDS!U$3,'BY-Demands'!$J$5:$AK$14,MATCH($E184,'BY-Demands'!$I$5:$I$14,0),FALSE)*HLOOKUP(REG_TRA_DEMANDS!$F184,DEMANDS!$G$2:$CK$25,MATCH($E184,DEMANDS!$E$2:$E$25,0),FALSE)/HLOOKUP(2018,DEMANDS!$G$2:$CK$25,MATCH($E184,DEMANDS!$E$2:$E$25,0),FALSE)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V184" s="18">
        <f>HLOOKUP(REG_TRA_DEMANDS!V$3,'BY-Demands'!$J$5:$AK$14,MATCH($E184,'BY-Demands'!$I$5:$I$14,0),FALSE)*HLOOKUP(REG_TRA_DEMANDS!$F184,DEMANDS!$G$2:$CK$25,MATCH($E184,DEMANDS!$E$2:$E$25,0),FALSE)/HLOOKUP(2018,DEMANDS!$G$2:$CK$25,MATCH($E184,DEMANDS!$E$2:$E$25,0),FALSE)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W184" s="18">
        <f>HLOOKUP(REG_TRA_DEMANDS!W$3,'BY-Demands'!$J$5:$AK$14,MATCH($E184,'BY-Demands'!$I$5:$I$14,0),FALSE)*HLOOKUP(REG_TRA_DEMANDS!$F184,DEMANDS!$G$2:$CK$25,MATCH($E184,DEMANDS!$E$2:$E$25,0),FALSE)/HLOOKUP(2018,DEMANDS!$G$2:$CK$25,MATCH($E184,DEMANDS!$E$2:$E$25,0),FALSE)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X184" s="18">
        <f>HLOOKUP(REG_TRA_DEMANDS!X$3,'BY-Demands'!$J$5:$AK$14,MATCH($E184,'BY-Demands'!$I$5:$I$14,0),FALSE)*HLOOKUP(REG_TRA_DEMANDS!$F184,DEMANDS!$G$2:$CK$25,MATCH($E184,DEMANDS!$E$2:$E$25,0),FALSE)/HLOOKUP(2018,DEMANDS!$G$2:$CK$25,MATCH($E184,DEMANDS!$E$2:$E$25,0),FALSE)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Y184" s="18">
        <f>HLOOKUP(REG_TRA_DEMANDS!Y$3,'BY-Demands'!$J$5:$AK$14,MATCH($E184,'BY-Demands'!$I$5:$I$14,0),FALSE)*HLOOKUP(REG_TRA_DEMANDS!$F184,DEMANDS!$G$2:$CK$25,MATCH($E184,DEMANDS!$E$2:$E$25,0),FALSE)/HLOOKUP(2018,DEMANDS!$G$2:$CK$25,MATCH($E184,DEMANDS!$E$2:$E$25,0),FALSE)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Z184" s="18">
        <f>HLOOKUP(REG_TRA_DEMANDS!Z$3,'BY-Demands'!$J$5:$AK$14,MATCH($E184,'BY-Demands'!$I$5:$I$14,0),FALSE)*HLOOKUP(REG_TRA_DEMANDS!$F184,DEMANDS!$G$2:$CK$25,MATCH($E184,DEMANDS!$E$2:$E$25,0),FALSE)/HLOOKUP(2018,DEMANDS!$G$2:$CK$25,MATCH($E184,DEMANDS!$E$2:$E$25,0),FALSE)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AA184" s="18">
        <f>HLOOKUP(REG_TRA_DEMANDS!AA$3,'BY-Demands'!$J$5:$AK$14,MATCH($E184,'BY-Demands'!$I$5:$I$14,0),FALSE)*HLOOKUP(REG_TRA_DEMANDS!$F184,DEMANDS!$G$2:$CK$25,MATCH($E184,DEMANDS!$E$2:$E$25,0),FALSE)/HLOOKUP(2018,DEMANDS!$G$2:$CK$25,MATCH($E184,DEMANDS!$E$2:$E$25,0),FALSE)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AB184" s="18">
        <f>HLOOKUP(REG_TRA_DEMANDS!AB$3,'BY-Demands'!$J$5:$AK$14,MATCH($E184,'BY-Demands'!$I$5:$I$14,0),FALSE)*HLOOKUP(REG_TRA_DEMANDS!$F184,DEMANDS!$G$2:$CK$25,MATCH($E184,DEMANDS!$E$2:$E$25,0),FALSE)/HLOOKUP(2018,DEMANDS!$G$2:$CK$25,MATCH($E184,DEMANDS!$E$2:$E$25,0),FALSE)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AC184" s="18">
        <f>HLOOKUP(REG_TRA_DEMANDS!AC$3,'BY-Demands'!$J$5:$AK$14,MATCH($E184,'BY-Demands'!$I$5:$I$14,0),FALSE)*HLOOKUP(REG_TRA_DEMANDS!$F184,DEMANDS!$G$2:$CK$25,MATCH($E184,DEMANDS!$E$2:$E$25,0),FALSE)/HLOOKUP(2018,DEMANDS!$G$2:$CK$25,MATCH($E184,DEMANDS!$E$2:$E$25,0),FALSE)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AD184" s="18">
        <f>HLOOKUP(REG_TRA_DEMANDS!AD$3,'BY-Demands'!$J$5:$AK$14,MATCH($E184,'BY-Demands'!$I$5:$I$14,0),FALSE)*HLOOKUP(REG_TRA_DEMANDS!$F184,DEMANDS!$G$2:$CK$25,MATCH($E184,DEMANDS!$E$2:$E$25,0),FALSE)/HLOOKUP(2018,DEMANDS!$G$2:$CK$25,MATCH($E184,DEMANDS!$E$2:$E$25,0),FALSE)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AE184" s="18">
        <f>HLOOKUP(REG_TRA_DEMANDS!AE$3,'BY-Demands'!$J$5:$AK$14,MATCH($E184,'BY-Demands'!$I$5:$I$14,0),FALSE)*HLOOKUP(REG_TRA_DEMANDS!$F184,DEMANDS!$G$2:$CK$25,MATCH($E184,DEMANDS!$E$2:$E$25,0),FALSE)/HLOOKUP(2018,DEMANDS!$G$2:$CK$25,MATCH($E184,DEMANDS!$E$2:$E$25,0),FALSE)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AF184" s="18">
        <f>HLOOKUP(REG_TRA_DEMANDS!AF$3,'BY-Demands'!$J$5:$AK$14,MATCH($E184,'BY-Demands'!$I$5:$I$14,0),FALSE)*HLOOKUP(REG_TRA_DEMANDS!$F184,DEMANDS!$G$2:$CK$25,MATCH($E184,DEMANDS!$E$2:$E$25,0),FALSE)/HLOOKUP(2018,DEMANDS!$G$2:$CK$25,MATCH($E184,DEMANDS!$E$2:$E$25,0),FALSE)</f>
        <v>0</v>
      </c>
    </row>
    <row r="185" spans="4:32" ht="14.4">
      <c r="D185" t="s">
        <v>6</v>
      </c>
      <c r="E185" t="str">
        <f>DEMANDS!$E$23</f>
        <v>TOTH</v>
      </c>
      <c r="F185">
        <v>2039</v>
      </c>
      <c r="G185" s="18">
        <f>HLOOKUP(REG_TRA_DEMANDS!G$3,'BY-Demands'!$J$5:$AK$14,MATCH($E185,'BY-Demands'!$I$5:$I$14,0),FALSE)*HLOOKUP(REG_TRA_DEMANDS!$F185,DEMANDS!$G$2:$CK$25,MATCH($E185,DEMANDS!$E$2:$E$25,0),FALSE)/HLOOKUP(2018,DEMANDS!$G$2:$CK$25,MATCH($E185,DEMANDS!$E$2:$E$25,0),FALSE)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H185" s="18">
        <f>HLOOKUP(REG_TRA_DEMANDS!H$3,'BY-Demands'!$J$5:$AK$14,MATCH($E185,'BY-Demands'!$I$5:$I$14,0),FALSE)*HLOOKUP(REG_TRA_DEMANDS!$F185,DEMANDS!$G$2:$CK$25,MATCH($E185,DEMANDS!$E$2:$E$25,0),FALSE)/HLOOKUP(2018,DEMANDS!$G$2:$CK$25,MATCH($E185,DEMANDS!$E$2:$E$25,0),FALSE)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I185" s="18">
        <f>HLOOKUP(REG_TRA_DEMANDS!I$3,'BY-Demands'!$J$5:$AK$14,MATCH($E185,'BY-Demands'!$I$5:$I$14,0),FALSE)*HLOOKUP(REG_TRA_DEMANDS!$F185,DEMANDS!$G$2:$CK$25,MATCH($E185,DEMANDS!$E$2:$E$25,0),FALSE)/HLOOKUP(2018,DEMANDS!$G$2:$CK$25,MATCH($E185,DEMANDS!$E$2:$E$25,0),FALSE)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J185" s="18">
        <f>HLOOKUP(REG_TRA_DEMANDS!J$3,'BY-Demands'!$J$5:$AK$14,MATCH($E185,'BY-Demands'!$I$5:$I$14,0),FALSE)*HLOOKUP(REG_TRA_DEMANDS!$F185,DEMANDS!$G$2:$CK$25,MATCH($E185,DEMANDS!$E$2:$E$25,0),FALSE)/HLOOKUP(2018,DEMANDS!$G$2:$CK$25,MATCH($E185,DEMANDS!$E$2:$E$25,0),FALSE)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K185" s="18">
        <f>HLOOKUP(REG_TRA_DEMANDS!K$3,'BY-Demands'!$J$5:$AK$14,MATCH($E185,'BY-Demands'!$I$5:$I$14,0),FALSE)*HLOOKUP(REG_TRA_DEMANDS!$F185,DEMANDS!$G$2:$CK$25,MATCH($E185,DEMANDS!$E$2:$E$25,0),FALSE)/HLOOKUP(2018,DEMANDS!$G$2:$CK$25,MATCH($E185,DEMANDS!$E$2:$E$25,0),FALSE)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L185" s="18">
        <f>HLOOKUP(REG_TRA_DEMANDS!L$3,'BY-Demands'!$J$5:$AK$14,MATCH($E185,'BY-Demands'!$I$5:$I$14,0),FALSE)*HLOOKUP(REG_TRA_DEMANDS!$F185,DEMANDS!$G$2:$CK$25,MATCH($E185,DEMANDS!$E$2:$E$25,0),FALSE)/HLOOKUP(2018,DEMANDS!$G$2:$CK$25,MATCH($E185,DEMANDS!$E$2:$E$25,0),FALSE)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M185" s="18">
        <f>HLOOKUP(REG_TRA_DEMANDS!M$3,'BY-Demands'!$J$5:$AK$14,MATCH($E185,'BY-Demands'!$I$5:$I$14,0),FALSE)*HLOOKUP(REG_TRA_DEMANDS!$F185,DEMANDS!$G$2:$CK$25,MATCH($E185,DEMANDS!$E$2:$E$25,0),FALSE)/HLOOKUP(2018,DEMANDS!$G$2:$CK$25,MATCH($E185,DEMANDS!$E$2:$E$25,0),FALSE)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N185" s="18">
        <f>HLOOKUP(REG_TRA_DEMANDS!N$3,'BY-Demands'!$J$5:$AK$14,MATCH($E185,'BY-Demands'!$I$5:$I$14,0),FALSE)*HLOOKUP(REG_TRA_DEMANDS!$F185,DEMANDS!$G$2:$CK$25,MATCH($E185,DEMANDS!$E$2:$E$25,0),FALSE)/HLOOKUP(2018,DEMANDS!$G$2:$CK$25,MATCH($E185,DEMANDS!$E$2:$E$25,0),FALSE)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O185" s="18">
        <f>HLOOKUP(REG_TRA_DEMANDS!O$3,'BY-Demands'!$J$5:$AK$14,MATCH($E185,'BY-Demands'!$I$5:$I$14,0),FALSE)*HLOOKUP(REG_TRA_DEMANDS!$F185,DEMANDS!$G$2:$CK$25,MATCH($E185,DEMANDS!$E$2:$E$25,0),FALSE)/HLOOKUP(2018,DEMANDS!$G$2:$CK$25,MATCH($E185,DEMANDS!$E$2:$E$25,0),FALSE)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P185" s="18">
        <f>HLOOKUP(REG_TRA_DEMANDS!P$3,'BY-Demands'!$J$5:$AK$14,MATCH($E185,'BY-Demands'!$I$5:$I$14,0),FALSE)*HLOOKUP(REG_TRA_DEMANDS!$F185,DEMANDS!$G$2:$CK$25,MATCH($E185,DEMANDS!$E$2:$E$25,0),FALSE)/HLOOKUP(2018,DEMANDS!$G$2:$CK$25,MATCH($E185,DEMANDS!$E$2:$E$25,0),FALSE)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Q185" s="18">
        <f>HLOOKUP(REG_TRA_DEMANDS!Q$3,'BY-Demands'!$J$5:$AK$14,MATCH($E185,'BY-Demands'!$I$5:$I$14,0),FALSE)*HLOOKUP(REG_TRA_DEMANDS!$F185,DEMANDS!$G$2:$CK$25,MATCH($E185,DEMANDS!$E$2:$E$25,0),FALSE)/HLOOKUP(2018,DEMANDS!$G$2:$CK$25,MATCH($E185,DEMANDS!$E$2:$E$25,0),FALSE)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R185" s="18">
        <f>HLOOKUP(REG_TRA_DEMANDS!R$3,'BY-Demands'!$J$5:$AK$14,MATCH($E185,'BY-Demands'!$I$5:$I$14,0),FALSE)*HLOOKUP(REG_TRA_DEMANDS!$F185,DEMANDS!$G$2:$CK$25,MATCH($E185,DEMANDS!$E$2:$E$25,0),FALSE)/HLOOKUP(2018,DEMANDS!$G$2:$CK$25,MATCH($E185,DEMANDS!$E$2:$E$25,0),FALSE)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S185" s="18">
        <f>HLOOKUP(REG_TRA_DEMANDS!S$3,'BY-Demands'!$J$5:$AK$14,MATCH($E185,'BY-Demands'!$I$5:$I$14,0),FALSE)*HLOOKUP(REG_TRA_DEMANDS!$F185,DEMANDS!$G$2:$CK$25,MATCH($E185,DEMANDS!$E$2:$E$25,0),FALSE)/HLOOKUP(2018,DEMANDS!$G$2:$CK$25,MATCH($E185,DEMANDS!$E$2:$E$25,0),FALSE)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T185" s="18">
        <f>HLOOKUP(REG_TRA_DEMANDS!T$3,'BY-Demands'!$J$5:$AK$14,MATCH($E185,'BY-Demands'!$I$5:$I$14,0),FALSE)*HLOOKUP(REG_TRA_DEMANDS!$F185,DEMANDS!$G$2:$CK$25,MATCH($E185,DEMANDS!$E$2:$E$25,0),FALSE)/HLOOKUP(2018,DEMANDS!$G$2:$CK$25,MATCH($E185,DEMANDS!$E$2:$E$25,0),FALSE)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U185" s="18">
        <f>HLOOKUP(REG_TRA_DEMANDS!U$3,'BY-Demands'!$J$5:$AK$14,MATCH($E185,'BY-Demands'!$I$5:$I$14,0),FALSE)*HLOOKUP(REG_TRA_DEMANDS!$F185,DEMANDS!$G$2:$CK$25,MATCH($E185,DEMANDS!$E$2:$E$25,0),FALSE)/HLOOKUP(2018,DEMANDS!$G$2:$CK$25,MATCH($E185,DEMANDS!$E$2:$E$25,0),FALSE)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V185" s="18">
        <f>HLOOKUP(REG_TRA_DEMANDS!V$3,'BY-Demands'!$J$5:$AK$14,MATCH($E185,'BY-Demands'!$I$5:$I$14,0),FALSE)*HLOOKUP(REG_TRA_DEMANDS!$F185,DEMANDS!$G$2:$CK$25,MATCH($E185,DEMANDS!$E$2:$E$25,0),FALSE)/HLOOKUP(2018,DEMANDS!$G$2:$CK$25,MATCH($E185,DEMANDS!$E$2:$E$25,0),FALSE)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W185" s="18">
        <f>HLOOKUP(REG_TRA_DEMANDS!W$3,'BY-Demands'!$J$5:$AK$14,MATCH($E185,'BY-Demands'!$I$5:$I$14,0),FALSE)*HLOOKUP(REG_TRA_DEMANDS!$F185,DEMANDS!$G$2:$CK$25,MATCH($E185,DEMANDS!$E$2:$E$25,0),FALSE)/HLOOKUP(2018,DEMANDS!$G$2:$CK$25,MATCH($E185,DEMANDS!$E$2:$E$25,0),FALSE)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X185" s="18">
        <f>HLOOKUP(REG_TRA_DEMANDS!X$3,'BY-Demands'!$J$5:$AK$14,MATCH($E185,'BY-Demands'!$I$5:$I$14,0),FALSE)*HLOOKUP(REG_TRA_DEMANDS!$F185,DEMANDS!$G$2:$CK$25,MATCH($E185,DEMANDS!$E$2:$E$25,0),FALSE)/HLOOKUP(2018,DEMANDS!$G$2:$CK$25,MATCH($E185,DEMANDS!$E$2:$E$25,0),FALSE)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Y185" s="18">
        <f>HLOOKUP(REG_TRA_DEMANDS!Y$3,'BY-Demands'!$J$5:$AK$14,MATCH($E185,'BY-Demands'!$I$5:$I$14,0),FALSE)*HLOOKUP(REG_TRA_DEMANDS!$F185,DEMANDS!$G$2:$CK$25,MATCH($E185,DEMANDS!$E$2:$E$25,0),FALSE)/HLOOKUP(2018,DEMANDS!$G$2:$CK$25,MATCH($E185,DEMANDS!$E$2:$E$25,0),FALSE)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Z185" s="18">
        <f>HLOOKUP(REG_TRA_DEMANDS!Z$3,'BY-Demands'!$J$5:$AK$14,MATCH($E185,'BY-Demands'!$I$5:$I$14,0),FALSE)*HLOOKUP(REG_TRA_DEMANDS!$F185,DEMANDS!$G$2:$CK$25,MATCH($E185,DEMANDS!$E$2:$E$25,0),FALSE)/HLOOKUP(2018,DEMANDS!$G$2:$CK$25,MATCH($E185,DEMANDS!$E$2:$E$25,0),FALSE)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AA185" s="18">
        <f>HLOOKUP(REG_TRA_DEMANDS!AA$3,'BY-Demands'!$J$5:$AK$14,MATCH($E185,'BY-Demands'!$I$5:$I$14,0),FALSE)*HLOOKUP(REG_TRA_DEMANDS!$F185,DEMANDS!$G$2:$CK$25,MATCH($E185,DEMANDS!$E$2:$E$25,0),FALSE)/HLOOKUP(2018,DEMANDS!$G$2:$CK$25,MATCH($E185,DEMANDS!$E$2:$E$25,0),FALSE)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AB185" s="18">
        <f>HLOOKUP(REG_TRA_DEMANDS!AB$3,'BY-Demands'!$J$5:$AK$14,MATCH($E185,'BY-Demands'!$I$5:$I$14,0),FALSE)*HLOOKUP(REG_TRA_DEMANDS!$F185,DEMANDS!$G$2:$CK$25,MATCH($E185,DEMANDS!$E$2:$E$25,0),FALSE)/HLOOKUP(2018,DEMANDS!$G$2:$CK$25,MATCH($E185,DEMANDS!$E$2:$E$25,0),FALSE)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AC185" s="18">
        <f>HLOOKUP(REG_TRA_DEMANDS!AC$3,'BY-Demands'!$J$5:$AK$14,MATCH($E185,'BY-Demands'!$I$5:$I$14,0),FALSE)*HLOOKUP(REG_TRA_DEMANDS!$F185,DEMANDS!$G$2:$CK$25,MATCH($E185,DEMANDS!$E$2:$E$25,0),FALSE)/HLOOKUP(2018,DEMANDS!$G$2:$CK$25,MATCH($E185,DEMANDS!$E$2:$E$25,0),FALSE)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AD185" s="18">
        <f>HLOOKUP(REG_TRA_DEMANDS!AD$3,'BY-Demands'!$J$5:$AK$14,MATCH($E185,'BY-Demands'!$I$5:$I$14,0),FALSE)*HLOOKUP(REG_TRA_DEMANDS!$F185,DEMANDS!$G$2:$CK$25,MATCH($E185,DEMANDS!$E$2:$E$25,0),FALSE)/HLOOKUP(2018,DEMANDS!$G$2:$CK$25,MATCH($E185,DEMANDS!$E$2:$E$25,0),FALSE)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AE185" s="18">
        <f>HLOOKUP(REG_TRA_DEMANDS!AE$3,'BY-Demands'!$J$5:$AK$14,MATCH($E185,'BY-Demands'!$I$5:$I$14,0),FALSE)*HLOOKUP(REG_TRA_DEMANDS!$F185,DEMANDS!$G$2:$CK$25,MATCH($E185,DEMANDS!$E$2:$E$25,0),FALSE)/HLOOKUP(2018,DEMANDS!$G$2:$CK$25,MATCH($E185,DEMANDS!$E$2:$E$25,0),FALSE)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AF185" s="18">
        <f>HLOOKUP(REG_TRA_DEMANDS!AF$3,'BY-Demands'!$J$5:$AK$14,MATCH($E185,'BY-Demands'!$I$5:$I$14,0),FALSE)*HLOOKUP(REG_TRA_DEMANDS!$F185,DEMANDS!$G$2:$CK$25,MATCH($E185,DEMANDS!$E$2:$E$25,0),FALSE)/HLOOKUP(2018,DEMANDS!$G$2:$CK$25,MATCH($E185,DEMANDS!$E$2:$E$25,0),FALSE)</f>
        <v>0</v>
      </c>
    </row>
    <row r="186" spans="4:32" ht="14.4">
      <c r="D186" t="s">
        <v>6</v>
      </c>
      <c r="E186" t="str">
        <f>DEMANDS!$E$23</f>
        <v>TOTH</v>
      </c>
      <c r="F186">
        <v>2040</v>
      </c>
      <c r="G186" s="18">
        <f>HLOOKUP(REG_TRA_DEMANDS!G$3,'BY-Demands'!$J$5:$AK$14,MATCH($E186,'BY-Demands'!$I$5:$I$14,0),FALSE)*HLOOKUP(REG_TRA_DEMANDS!$F186,DEMANDS!$G$2:$CK$25,MATCH($E186,DEMANDS!$E$2:$E$25,0),FALSE)/HLOOKUP(2018,DEMANDS!$G$2:$CK$25,MATCH($E186,DEMANDS!$E$2:$E$25,0),FALSE)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H186" s="18">
        <f>HLOOKUP(REG_TRA_DEMANDS!H$3,'BY-Demands'!$J$5:$AK$14,MATCH($E186,'BY-Demands'!$I$5:$I$14,0),FALSE)*HLOOKUP(REG_TRA_DEMANDS!$F186,DEMANDS!$G$2:$CK$25,MATCH($E186,DEMANDS!$E$2:$E$25,0),FALSE)/HLOOKUP(2018,DEMANDS!$G$2:$CK$25,MATCH($E186,DEMANDS!$E$2:$E$25,0),FALSE)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I186" s="18">
        <f>HLOOKUP(REG_TRA_DEMANDS!I$3,'BY-Demands'!$J$5:$AK$14,MATCH($E186,'BY-Demands'!$I$5:$I$14,0),FALSE)*HLOOKUP(REG_TRA_DEMANDS!$F186,DEMANDS!$G$2:$CK$25,MATCH($E186,DEMANDS!$E$2:$E$25,0),FALSE)/HLOOKUP(2018,DEMANDS!$G$2:$CK$25,MATCH($E186,DEMANDS!$E$2:$E$25,0),FALSE)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J186" s="18">
        <f>HLOOKUP(REG_TRA_DEMANDS!J$3,'BY-Demands'!$J$5:$AK$14,MATCH($E186,'BY-Demands'!$I$5:$I$14,0),FALSE)*HLOOKUP(REG_TRA_DEMANDS!$F186,DEMANDS!$G$2:$CK$25,MATCH($E186,DEMANDS!$E$2:$E$25,0),FALSE)/HLOOKUP(2018,DEMANDS!$G$2:$CK$25,MATCH($E186,DEMANDS!$E$2:$E$25,0),FALSE)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K186" s="18">
        <f>HLOOKUP(REG_TRA_DEMANDS!K$3,'BY-Demands'!$J$5:$AK$14,MATCH($E186,'BY-Demands'!$I$5:$I$14,0),FALSE)*HLOOKUP(REG_TRA_DEMANDS!$F186,DEMANDS!$G$2:$CK$25,MATCH($E186,DEMANDS!$E$2:$E$25,0),FALSE)/HLOOKUP(2018,DEMANDS!$G$2:$CK$25,MATCH($E186,DEMANDS!$E$2:$E$25,0),FALSE)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L186" s="18">
        <f>HLOOKUP(REG_TRA_DEMANDS!L$3,'BY-Demands'!$J$5:$AK$14,MATCH($E186,'BY-Demands'!$I$5:$I$14,0),FALSE)*HLOOKUP(REG_TRA_DEMANDS!$F186,DEMANDS!$G$2:$CK$25,MATCH($E186,DEMANDS!$E$2:$E$25,0),FALSE)/HLOOKUP(2018,DEMANDS!$G$2:$CK$25,MATCH($E186,DEMANDS!$E$2:$E$25,0),FALSE)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M186" s="18">
        <f>HLOOKUP(REG_TRA_DEMANDS!M$3,'BY-Demands'!$J$5:$AK$14,MATCH($E186,'BY-Demands'!$I$5:$I$14,0),FALSE)*HLOOKUP(REG_TRA_DEMANDS!$F186,DEMANDS!$G$2:$CK$25,MATCH($E186,DEMANDS!$E$2:$E$25,0),FALSE)/HLOOKUP(2018,DEMANDS!$G$2:$CK$25,MATCH($E186,DEMANDS!$E$2:$E$25,0),FALSE)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N186" s="18">
        <f>HLOOKUP(REG_TRA_DEMANDS!N$3,'BY-Demands'!$J$5:$AK$14,MATCH($E186,'BY-Demands'!$I$5:$I$14,0),FALSE)*HLOOKUP(REG_TRA_DEMANDS!$F186,DEMANDS!$G$2:$CK$25,MATCH($E186,DEMANDS!$E$2:$E$25,0),FALSE)/HLOOKUP(2018,DEMANDS!$G$2:$CK$25,MATCH($E186,DEMANDS!$E$2:$E$25,0),FALSE)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O186" s="18">
        <f>HLOOKUP(REG_TRA_DEMANDS!O$3,'BY-Demands'!$J$5:$AK$14,MATCH($E186,'BY-Demands'!$I$5:$I$14,0),FALSE)*HLOOKUP(REG_TRA_DEMANDS!$F186,DEMANDS!$G$2:$CK$25,MATCH($E186,DEMANDS!$E$2:$E$25,0),FALSE)/HLOOKUP(2018,DEMANDS!$G$2:$CK$25,MATCH($E186,DEMANDS!$E$2:$E$25,0),FALSE)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P186" s="18">
        <f>HLOOKUP(REG_TRA_DEMANDS!P$3,'BY-Demands'!$J$5:$AK$14,MATCH($E186,'BY-Demands'!$I$5:$I$14,0),FALSE)*HLOOKUP(REG_TRA_DEMANDS!$F186,DEMANDS!$G$2:$CK$25,MATCH($E186,DEMANDS!$E$2:$E$25,0),FALSE)/HLOOKUP(2018,DEMANDS!$G$2:$CK$25,MATCH($E186,DEMANDS!$E$2:$E$25,0),FALSE)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Q186" s="18">
        <f>HLOOKUP(REG_TRA_DEMANDS!Q$3,'BY-Demands'!$J$5:$AK$14,MATCH($E186,'BY-Demands'!$I$5:$I$14,0),FALSE)*HLOOKUP(REG_TRA_DEMANDS!$F186,DEMANDS!$G$2:$CK$25,MATCH($E186,DEMANDS!$E$2:$E$25,0),FALSE)/HLOOKUP(2018,DEMANDS!$G$2:$CK$25,MATCH($E186,DEMANDS!$E$2:$E$25,0),FALSE)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R186" s="18">
        <f>HLOOKUP(REG_TRA_DEMANDS!R$3,'BY-Demands'!$J$5:$AK$14,MATCH($E186,'BY-Demands'!$I$5:$I$14,0),FALSE)*HLOOKUP(REG_TRA_DEMANDS!$F186,DEMANDS!$G$2:$CK$25,MATCH($E186,DEMANDS!$E$2:$E$25,0),FALSE)/HLOOKUP(2018,DEMANDS!$G$2:$CK$25,MATCH($E186,DEMANDS!$E$2:$E$25,0),FALSE)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S186" s="18">
        <f>HLOOKUP(REG_TRA_DEMANDS!S$3,'BY-Demands'!$J$5:$AK$14,MATCH($E186,'BY-Demands'!$I$5:$I$14,0),FALSE)*HLOOKUP(REG_TRA_DEMANDS!$F186,DEMANDS!$G$2:$CK$25,MATCH($E186,DEMANDS!$E$2:$E$25,0),FALSE)/HLOOKUP(2018,DEMANDS!$G$2:$CK$25,MATCH($E186,DEMANDS!$E$2:$E$25,0),FALSE)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T186" s="18">
        <f>HLOOKUP(REG_TRA_DEMANDS!T$3,'BY-Demands'!$J$5:$AK$14,MATCH($E186,'BY-Demands'!$I$5:$I$14,0),FALSE)*HLOOKUP(REG_TRA_DEMANDS!$F186,DEMANDS!$G$2:$CK$25,MATCH($E186,DEMANDS!$E$2:$E$25,0),FALSE)/HLOOKUP(2018,DEMANDS!$G$2:$CK$25,MATCH($E186,DEMANDS!$E$2:$E$25,0),FALSE)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U186" s="18">
        <f>HLOOKUP(REG_TRA_DEMANDS!U$3,'BY-Demands'!$J$5:$AK$14,MATCH($E186,'BY-Demands'!$I$5:$I$14,0),FALSE)*HLOOKUP(REG_TRA_DEMANDS!$F186,DEMANDS!$G$2:$CK$25,MATCH($E186,DEMANDS!$E$2:$E$25,0),FALSE)/HLOOKUP(2018,DEMANDS!$G$2:$CK$25,MATCH($E186,DEMANDS!$E$2:$E$25,0),FALSE)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V186" s="18">
        <f>HLOOKUP(REG_TRA_DEMANDS!V$3,'BY-Demands'!$J$5:$AK$14,MATCH($E186,'BY-Demands'!$I$5:$I$14,0),FALSE)*HLOOKUP(REG_TRA_DEMANDS!$F186,DEMANDS!$G$2:$CK$25,MATCH($E186,DEMANDS!$E$2:$E$25,0),FALSE)/HLOOKUP(2018,DEMANDS!$G$2:$CK$25,MATCH($E186,DEMANDS!$E$2:$E$25,0),FALSE)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W186" s="18">
        <f>HLOOKUP(REG_TRA_DEMANDS!W$3,'BY-Demands'!$J$5:$AK$14,MATCH($E186,'BY-Demands'!$I$5:$I$14,0),FALSE)*HLOOKUP(REG_TRA_DEMANDS!$F186,DEMANDS!$G$2:$CK$25,MATCH($E186,DEMANDS!$E$2:$E$25,0),FALSE)/HLOOKUP(2018,DEMANDS!$G$2:$CK$25,MATCH($E186,DEMANDS!$E$2:$E$25,0),FALSE)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X186" s="18">
        <f>HLOOKUP(REG_TRA_DEMANDS!X$3,'BY-Demands'!$J$5:$AK$14,MATCH($E186,'BY-Demands'!$I$5:$I$14,0),FALSE)*HLOOKUP(REG_TRA_DEMANDS!$F186,DEMANDS!$G$2:$CK$25,MATCH($E186,DEMANDS!$E$2:$E$25,0),FALSE)/HLOOKUP(2018,DEMANDS!$G$2:$CK$25,MATCH($E186,DEMANDS!$E$2:$E$25,0),FALSE)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Y186" s="18">
        <f>HLOOKUP(REG_TRA_DEMANDS!Y$3,'BY-Demands'!$J$5:$AK$14,MATCH($E186,'BY-Demands'!$I$5:$I$14,0),FALSE)*HLOOKUP(REG_TRA_DEMANDS!$F186,DEMANDS!$G$2:$CK$25,MATCH($E186,DEMANDS!$E$2:$E$25,0),FALSE)/HLOOKUP(2018,DEMANDS!$G$2:$CK$25,MATCH($E186,DEMANDS!$E$2:$E$25,0),FALSE)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Z186" s="18">
        <f>HLOOKUP(REG_TRA_DEMANDS!Z$3,'BY-Demands'!$J$5:$AK$14,MATCH($E186,'BY-Demands'!$I$5:$I$14,0),FALSE)*HLOOKUP(REG_TRA_DEMANDS!$F186,DEMANDS!$G$2:$CK$25,MATCH($E186,DEMANDS!$E$2:$E$25,0),FALSE)/HLOOKUP(2018,DEMANDS!$G$2:$CK$25,MATCH($E186,DEMANDS!$E$2:$E$25,0),FALSE)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AA186" s="18">
        <f>HLOOKUP(REG_TRA_DEMANDS!AA$3,'BY-Demands'!$J$5:$AK$14,MATCH($E186,'BY-Demands'!$I$5:$I$14,0),FALSE)*HLOOKUP(REG_TRA_DEMANDS!$F186,DEMANDS!$G$2:$CK$25,MATCH($E186,DEMANDS!$E$2:$E$25,0),FALSE)/HLOOKUP(2018,DEMANDS!$G$2:$CK$25,MATCH($E186,DEMANDS!$E$2:$E$25,0),FALSE)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AB186" s="18">
        <f>HLOOKUP(REG_TRA_DEMANDS!AB$3,'BY-Demands'!$J$5:$AK$14,MATCH($E186,'BY-Demands'!$I$5:$I$14,0),FALSE)*HLOOKUP(REG_TRA_DEMANDS!$F186,DEMANDS!$G$2:$CK$25,MATCH($E186,DEMANDS!$E$2:$E$25,0),FALSE)/HLOOKUP(2018,DEMANDS!$G$2:$CK$25,MATCH($E186,DEMANDS!$E$2:$E$25,0),FALSE)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AC186" s="18">
        <f>HLOOKUP(REG_TRA_DEMANDS!AC$3,'BY-Demands'!$J$5:$AK$14,MATCH($E186,'BY-Demands'!$I$5:$I$14,0),FALSE)*HLOOKUP(REG_TRA_DEMANDS!$F186,DEMANDS!$G$2:$CK$25,MATCH($E186,DEMANDS!$E$2:$E$25,0),FALSE)/HLOOKUP(2018,DEMANDS!$G$2:$CK$25,MATCH($E186,DEMANDS!$E$2:$E$25,0),FALSE)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AD186" s="18">
        <f>HLOOKUP(REG_TRA_DEMANDS!AD$3,'BY-Demands'!$J$5:$AK$14,MATCH($E186,'BY-Demands'!$I$5:$I$14,0),FALSE)*HLOOKUP(REG_TRA_DEMANDS!$F186,DEMANDS!$G$2:$CK$25,MATCH($E186,DEMANDS!$E$2:$E$25,0),FALSE)/HLOOKUP(2018,DEMANDS!$G$2:$CK$25,MATCH($E186,DEMANDS!$E$2:$E$25,0),FALSE)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AE186" s="18">
        <f>HLOOKUP(REG_TRA_DEMANDS!AE$3,'BY-Demands'!$J$5:$AK$14,MATCH($E186,'BY-Demands'!$I$5:$I$14,0),FALSE)*HLOOKUP(REG_TRA_DEMANDS!$F186,DEMANDS!$G$2:$CK$25,MATCH($E186,DEMANDS!$E$2:$E$25,0),FALSE)/HLOOKUP(2018,DEMANDS!$G$2:$CK$25,MATCH($E186,DEMANDS!$E$2:$E$25,0),FALSE)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AF186" s="18">
        <f>HLOOKUP(REG_TRA_DEMANDS!AF$3,'BY-Demands'!$J$5:$AK$14,MATCH($E186,'BY-Demands'!$I$5:$I$14,0),FALSE)*HLOOKUP(REG_TRA_DEMANDS!$F186,DEMANDS!$G$2:$CK$25,MATCH($E186,DEMANDS!$E$2:$E$25,0),FALSE)/HLOOKUP(2018,DEMANDS!$G$2:$CK$25,MATCH($E186,DEMANDS!$E$2:$E$25,0),FALSE)</f>
        <v>0</v>
      </c>
    </row>
    <row r="187" spans="4:32" ht="14.4">
      <c r="D187" t="s">
        <v>6</v>
      </c>
      <c r="E187" t="str">
        <f>DEMANDS!$E$23</f>
        <v>TOTH</v>
      </c>
      <c r="F187">
        <v>2045</v>
      </c>
      <c r="G187" s="18">
        <f>HLOOKUP(REG_TRA_DEMANDS!G$3,'BY-Demands'!$J$5:$AK$14,MATCH($E187,'BY-Demands'!$I$5:$I$14,0),FALSE)*HLOOKUP(REG_TRA_DEMANDS!$F187,DEMANDS!$G$2:$CK$25,MATCH($E187,DEMANDS!$E$2:$E$25,0),FALSE)/HLOOKUP(2018,DEMANDS!$G$2:$CK$25,MATCH($E187,DEMANDS!$E$2:$E$25,0),FALSE)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H187" s="18">
        <f>HLOOKUP(REG_TRA_DEMANDS!H$3,'BY-Demands'!$J$5:$AK$14,MATCH($E187,'BY-Demands'!$I$5:$I$14,0),FALSE)*HLOOKUP(REG_TRA_DEMANDS!$F187,DEMANDS!$G$2:$CK$25,MATCH($E187,DEMANDS!$E$2:$E$25,0),FALSE)/HLOOKUP(2018,DEMANDS!$G$2:$CK$25,MATCH($E187,DEMANDS!$E$2:$E$25,0),FALSE)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I187" s="18">
        <f>HLOOKUP(REG_TRA_DEMANDS!I$3,'BY-Demands'!$J$5:$AK$14,MATCH($E187,'BY-Demands'!$I$5:$I$14,0),FALSE)*HLOOKUP(REG_TRA_DEMANDS!$F187,DEMANDS!$G$2:$CK$25,MATCH($E187,DEMANDS!$E$2:$E$25,0),FALSE)/HLOOKUP(2018,DEMANDS!$G$2:$CK$25,MATCH($E187,DEMANDS!$E$2:$E$25,0),FALSE)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J187" s="18">
        <f>HLOOKUP(REG_TRA_DEMANDS!J$3,'BY-Demands'!$J$5:$AK$14,MATCH($E187,'BY-Demands'!$I$5:$I$14,0),FALSE)*HLOOKUP(REG_TRA_DEMANDS!$F187,DEMANDS!$G$2:$CK$25,MATCH($E187,DEMANDS!$E$2:$E$25,0),FALSE)/HLOOKUP(2018,DEMANDS!$G$2:$CK$25,MATCH($E187,DEMANDS!$E$2:$E$25,0),FALSE)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K187" s="18">
        <f>HLOOKUP(REG_TRA_DEMANDS!K$3,'BY-Demands'!$J$5:$AK$14,MATCH($E187,'BY-Demands'!$I$5:$I$14,0),FALSE)*HLOOKUP(REG_TRA_DEMANDS!$F187,DEMANDS!$G$2:$CK$25,MATCH($E187,DEMANDS!$E$2:$E$25,0),FALSE)/HLOOKUP(2018,DEMANDS!$G$2:$CK$25,MATCH($E187,DEMANDS!$E$2:$E$25,0),FALSE)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L187" s="18">
        <f>HLOOKUP(REG_TRA_DEMANDS!L$3,'BY-Demands'!$J$5:$AK$14,MATCH($E187,'BY-Demands'!$I$5:$I$14,0),FALSE)*HLOOKUP(REG_TRA_DEMANDS!$F187,DEMANDS!$G$2:$CK$25,MATCH($E187,DEMANDS!$E$2:$E$25,0),FALSE)/HLOOKUP(2018,DEMANDS!$G$2:$CK$25,MATCH($E187,DEMANDS!$E$2:$E$25,0),FALSE)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M187" s="18">
        <f>HLOOKUP(REG_TRA_DEMANDS!M$3,'BY-Demands'!$J$5:$AK$14,MATCH($E187,'BY-Demands'!$I$5:$I$14,0),FALSE)*HLOOKUP(REG_TRA_DEMANDS!$F187,DEMANDS!$G$2:$CK$25,MATCH($E187,DEMANDS!$E$2:$E$25,0),FALSE)/HLOOKUP(2018,DEMANDS!$G$2:$CK$25,MATCH($E187,DEMANDS!$E$2:$E$25,0),FALSE)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N187" s="18">
        <f>HLOOKUP(REG_TRA_DEMANDS!N$3,'BY-Demands'!$J$5:$AK$14,MATCH($E187,'BY-Demands'!$I$5:$I$14,0),FALSE)*HLOOKUP(REG_TRA_DEMANDS!$F187,DEMANDS!$G$2:$CK$25,MATCH($E187,DEMANDS!$E$2:$E$25,0),FALSE)/HLOOKUP(2018,DEMANDS!$G$2:$CK$25,MATCH($E187,DEMANDS!$E$2:$E$25,0),FALSE)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O187" s="18">
        <f>HLOOKUP(REG_TRA_DEMANDS!O$3,'BY-Demands'!$J$5:$AK$14,MATCH($E187,'BY-Demands'!$I$5:$I$14,0),FALSE)*HLOOKUP(REG_TRA_DEMANDS!$F187,DEMANDS!$G$2:$CK$25,MATCH($E187,DEMANDS!$E$2:$E$25,0),FALSE)/HLOOKUP(2018,DEMANDS!$G$2:$CK$25,MATCH($E187,DEMANDS!$E$2:$E$25,0),FALSE)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P187" s="18">
        <f>HLOOKUP(REG_TRA_DEMANDS!P$3,'BY-Demands'!$J$5:$AK$14,MATCH($E187,'BY-Demands'!$I$5:$I$14,0),FALSE)*HLOOKUP(REG_TRA_DEMANDS!$F187,DEMANDS!$G$2:$CK$25,MATCH($E187,DEMANDS!$E$2:$E$25,0),FALSE)/HLOOKUP(2018,DEMANDS!$G$2:$CK$25,MATCH($E187,DEMANDS!$E$2:$E$25,0),FALSE)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Q187" s="18">
        <f>HLOOKUP(REG_TRA_DEMANDS!Q$3,'BY-Demands'!$J$5:$AK$14,MATCH($E187,'BY-Demands'!$I$5:$I$14,0),FALSE)*HLOOKUP(REG_TRA_DEMANDS!$F187,DEMANDS!$G$2:$CK$25,MATCH($E187,DEMANDS!$E$2:$E$25,0),FALSE)/HLOOKUP(2018,DEMANDS!$G$2:$CK$25,MATCH($E187,DEMANDS!$E$2:$E$25,0),FALSE)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R187" s="18">
        <f>HLOOKUP(REG_TRA_DEMANDS!R$3,'BY-Demands'!$J$5:$AK$14,MATCH($E187,'BY-Demands'!$I$5:$I$14,0),FALSE)*HLOOKUP(REG_TRA_DEMANDS!$F187,DEMANDS!$G$2:$CK$25,MATCH($E187,DEMANDS!$E$2:$E$25,0),FALSE)/HLOOKUP(2018,DEMANDS!$G$2:$CK$25,MATCH($E187,DEMANDS!$E$2:$E$25,0),FALSE)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S187" s="18">
        <f>HLOOKUP(REG_TRA_DEMANDS!S$3,'BY-Demands'!$J$5:$AK$14,MATCH($E187,'BY-Demands'!$I$5:$I$14,0),FALSE)*HLOOKUP(REG_TRA_DEMANDS!$F187,DEMANDS!$G$2:$CK$25,MATCH($E187,DEMANDS!$E$2:$E$25,0),FALSE)/HLOOKUP(2018,DEMANDS!$G$2:$CK$25,MATCH($E187,DEMANDS!$E$2:$E$25,0),FALSE)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T187" s="18">
        <f>HLOOKUP(REG_TRA_DEMANDS!T$3,'BY-Demands'!$J$5:$AK$14,MATCH($E187,'BY-Demands'!$I$5:$I$14,0),FALSE)*HLOOKUP(REG_TRA_DEMANDS!$F187,DEMANDS!$G$2:$CK$25,MATCH($E187,DEMANDS!$E$2:$E$25,0),FALSE)/HLOOKUP(2018,DEMANDS!$G$2:$CK$25,MATCH($E187,DEMANDS!$E$2:$E$25,0),FALSE)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U187" s="18">
        <f>HLOOKUP(REG_TRA_DEMANDS!U$3,'BY-Demands'!$J$5:$AK$14,MATCH($E187,'BY-Demands'!$I$5:$I$14,0),FALSE)*HLOOKUP(REG_TRA_DEMANDS!$F187,DEMANDS!$G$2:$CK$25,MATCH($E187,DEMANDS!$E$2:$E$25,0),FALSE)/HLOOKUP(2018,DEMANDS!$G$2:$CK$25,MATCH($E187,DEMANDS!$E$2:$E$25,0),FALSE)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V187" s="18">
        <f>HLOOKUP(REG_TRA_DEMANDS!V$3,'BY-Demands'!$J$5:$AK$14,MATCH($E187,'BY-Demands'!$I$5:$I$14,0),FALSE)*HLOOKUP(REG_TRA_DEMANDS!$F187,DEMANDS!$G$2:$CK$25,MATCH($E187,DEMANDS!$E$2:$E$25,0),FALSE)/HLOOKUP(2018,DEMANDS!$G$2:$CK$25,MATCH($E187,DEMANDS!$E$2:$E$25,0),FALSE)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W187" s="18">
        <f>HLOOKUP(REG_TRA_DEMANDS!W$3,'BY-Demands'!$J$5:$AK$14,MATCH($E187,'BY-Demands'!$I$5:$I$14,0),FALSE)*HLOOKUP(REG_TRA_DEMANDS!$F187,DEMANDS!$G$2:$CK$25,MATCH($E187,DEMANDS!$E$2:$E$25,0),FALSE)/HLOOKUP(2018,DEMANDS!$G$2:$CK$25,MATCH($E187,DEMANDS!$E$2:$E$25,0),FALSE)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X187" s="18">
        <f>HLOOKUP(REG_TRA_DEMANDS!X$3,'BY-Demands'!$J$5:$AK$14,MATCH($E187,'BY-Demands'!$I$5:$I$14,0),FALSE)*HLOOKUP(REG_TRA_DEMANDS!$F187,DEMANDS!$G$2:$CK$25,MATCH($E187,DEMANDS!$E$2:$E$25,0),FALSE)/HLOOKUP(2018,DEMANDS!$G$2:$CK$25,MATCH($E187,DEMANDS!$E$2:$E$25,0),FALSE)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Y187" s="18">
        <f>HLOOKUP(REG_TRA_DEMANDS!Y$3,'BY-Demands'!$J$5:$AK$14,MATCH($E187,'BY-Demands'!$I$5:$I$14,0),FALSE)*HLOOKUP(REG_TRA_DEMANDS!$F187,DEMANDS!$G$2:$CK$25,MATCH($E187,DEMANDS!$E$2:$E$25,0),FALSE)/HLOOKUP(2018,DEMANDS!$G$2:$CK$25,MATCH($E187,DEMANDS!$E$2:$E$25,0),FALSE)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Z187" s="18">
        <f>HLOOKUP(REG_TRA_DEMANDS!Z$3,'BY-Demands'!$J$5:$AK$14,MATCH($E187,'BY-Demands'!$I$5:$I$14,0),FALSE)*HLOOKUP(REG_TRA_DEMANDS!$F187,DEMANDS!$G$2:$CK$25,MATCH($E187,DEMANDS!$E$2:$E$25,0),FALSE)/HLOOKUP(2018,DEMANDS!$G$2:$CK$25,MATCH($E187,DEMANDS!$E$2:$E$25,0),FALSE)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AA187" s="18">
        <f>HLOOKUP(REG_TRA_DEMANDS!AA$3,'BY-Demands'!$J$5:$AK$14,MATCH($E187,'BY-Demands'!$I$5:$I$14,0),FALSE)*HLOOKUP(REG_TRA_DEMANDS!$F187,DEMANDS!$G$2:$CK$25,MATCH($E187,DEMANDS!$E$2:$E$25,0),FALSE)/HLOOKUP(2018,DEMANDS!$G$2:$CK$25,MATCH($E187,DEMANDS!$E$2:$E$25,0),FALSE)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AB187" s="18">
        <f>HLOOKUP(REG_TRA_DEMANDS!AB$3,'BY-Demands'!$J$5:$AK$14,MATCH($E187,'BY-Demands'!$I$5:$I$14,0),FALSE)*HLOOKUP(REG_TRA_DEMANDS!$F187,DEMANDS!$G$2:$CK$25,MATCH($E187,DEMANDS!$E$2:$E$25,0),FALSE)/HLOOKUP(2018,DEMANDS!$G$2:$CK$25,MATCH($E187,DEMANDS!$E$2:$E$25,0),FALSE)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AC187" s="18">
        <f>HLOOKUP(REG_TRA_DEMANDS!AC$3,'BY-Demands'!$J$5:$AK$14,MATCH($E187,'BY-Demands'!$I$5:$I$14,0),FALSE)*HLOOKUP(REG_TRA_DEMANDS!$F187,DEMANDS!$G$2:$CK$25,MATCH($E187,DEMANDS!$E$2:$E$25,0),FALSE)/HLOOKUP(2018,DEMANDS!$G$2:$CK$25,MATCH($E187,DEMANDS!$E$2:$E$25,0),FALSE)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AD187" s="18">
        <f>HLOOKUP(REG_TRA_DEMANDS!AD$3,'BY-Demands'!$J$5:$AK$14,MATCH($E187,'BY-Demands'!$I$5:$I$14,0),FALSE)*HLOOKUP(REG_TRA_DEMANDS!$F187,DEMANDS!$G$2:$CK$25,MATCH($E187,DEMANDS!$E$2:$E$25,0),FALSE)/HLOOKUP(2018,DEMANDS!$G$2:$CK$25,MATCH($E187,DEMANDS!$E$2:$E$25,0),FALSE)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AE187" s="18">
        <f>HLOOKUP(REG_TRA_DEMANDS!AE$3,'BY-Demands'!$J$5:$AK$14,MATCH($E187,'BY-Demands'!$I$5:$I$14,0),FALSE)*HLOOKUP(REG_TRA_DEMANDS!$F187,DEMANDS!$G$2:$CK$25,MATCH($E187,DEMANDS!$E$2:$E$25,0),FALSE)/HLOOKUP(2018,DEMANDS!$G$2:$CK$25,MATCH($E187,DEMANDS!$E$2:$E$25,0),FALSE)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AF187" s="18">
        <f>HLOOKUP(REG_TRA_DEMANDS!AF$3,'BY-Demands'!$J$5:$AK$14,MATCH($E187,'BY-Demands'!$I$5:$I$14,0),FALSE)*HLOOKUP(REG_TRA_DEMANDS!$F187,DEMANDS!$G$2:$CK$25,MATCH($E187,DEMANDS!$E$2:$E$25,0),FALSE)/HLOOKUP(2018,DEMANDS!$G$2:$CK$25,MATCH($E187,DEMANDS!$E$2:$E$25,0),FALSE)</f>
        <v>0</v>
      </c>
    </row>
    <row r="188" spans="4:32" ht="14.4">
      <c r="D188" t="s">
        <v>6</v>
      </c>
      <c r="E188" t="str">
        <f>DEMANDS!$E$23</f>
        <v>TOTH</v>
      </c>
      <c r="F188">
        <v>2050</v>
      </c>
      <c r="G188" s="18">
        <f>HLOOKUP(REG_TRA_DEMANDS!G$3,'BY-Demands'!$J$5:$AK$14,MATCH($E188,'BY-Demands'!$I$5:$I$14,0),FALSE)*HLOOKUP(REG_TRA_DEMANDS!$F188,DEMANDS!$G$2:$CK$25,MATCH($E188,DEMANDS!$E$2:$E$25,0),FALSE)/HLOOKUP(2018,DEMANDS!$G$2:$CK$25,MATCH($E188,DEMANDS!$E$2:$E$25,0),FALSE)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H188" s="18">
        <f>HLOOKUP(REG_TRA_DEMANDS!H$3,'BY-Demands'!$J$5:$AK$14,MATCH($E188,'BY-Demands'!$I$5:$I$14,0),FALSE)*HLOOKUP(REG_TRA_DEMANDS!$F188,DEMANDS!$G$2:$CK$25,MATCH($E188,DEMANDS!$E$2:$E$25,0),FALSE)/HLOOKUP(2018,DEMANDS!$G$2:$CK$25,MATCH($E188,DEMANDS!$E$2:$E$25,0),FALSE)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I188" s="18">
        <f>HLOOKUP(REG_TRA_DEMANDS!I$3,'BY-Demands'!$J$5:$AK$14,MATCH($E188,'BY-Demands'!$I$5:$I$14,0),FALSE)*HLOOKUP(REG_TRA_DEMANDS!$F188,DEMANDS!$G$2:$CK$25,MATCH($E188,DEMANDS!$E$2:$E$25,0),FALSE)/HLOOKUP(2018,DEMANDS!$G$2:$CK$25,MATCH($E188,DEMANDS!$E$2:$E$25,0),FALSE)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J188" s="18">
        <f>HLOOKUP(REG_TRA_DEMANDS!J$3,'BY-Demands'!$J$5:$AK$14,MATCH($E188,'BY-Demands'!$I$5:$I$14,0),FALSE)*HLOOKUP(REG_TRA_DEMANDS!$F188,DEMANDS!$G$2:$CK$25,MATCH($E188,DEMANDS!$E$2:$E$25,0),FALSE)/HLOOKUP(2018,DEMANDS!$G$2:$CK$25,MATCH($E188,DEMANDS!$E$2:$E$25,0),FALSE)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K188" s="18">
        <f>HLOOKUP(REG_TRA_DEMANDS!K$3,'BY-Demands'!$J$5:$AK$14,MATCH($E188,'BY-Demands'!$I$5:$I$14,0),FALSE)*HLOOKUP(REG_TRA_DEMANDS!$F188,DEMANDS!$G$2:$CK$25,MATCH($E188,DEMANDS!$E$2:$E$25,0),FALSE)/HLOOKUP(2018,DEMANDS!$G$2:$CK$25,MATCH($E188,DEMANDS!$E$2:$E$25,0),FALSE)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L188" s="18">
        <f>HLOOKUP(REG_TRA_DEMANDS!L$3,'BY-Demands'!$J$5:$AK$14,MATCH($E188,'BY-Demands'!$I$5:$I$14,0),FALSE)*HLOOKUP(REG_TRA_DEMANDS!$F188,DEMANDS!$G$2:$CK$25,MATCH($E188,DEMANDS!$E$2:$E$25,0),FALSE)/HLOOKUP(2018,DEMANDS!$G$2:$CK$25,MATCH($E188,DEMANDS!$E$2:$E$25,0),FALSE)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M188" s="18">
        <f>HLOOKUP(REG_TRA_DEMANDS!M$3,'BY-Demands'!$J$5:$AK$14,MATCH($E188,'BY-Demands'!$I$5:$I$14,0),FALSE)*HLOOKUP(REG_TRA_DEMANDS!$F188,DEMANDS!$G$2:$CK$25,MATCH($E188,DEMANDS!$E$2:$E$25,0),FALSE)/HLOOKUP(2018,DEMANDS!$G$2:$CK$25,MATCH($E188,DEMANDS!$E$2:$E$25,0),FALSE)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N188" s="18">
        <f>HLOOKUP(REG_TRA_DEMANDS!N$3,'BY-Demands'!$J$5:$AK$14,MATCH($E188,'BY-Demands'!$I$5:$I$14,0),FALSE)*HLOOKUP(REG_TRA_DEMANDS!$F188,DEMANDS!$G$2:$CK$25,MATCH($E188,DEMANDS!$E$2:$E$25,0),FALSE)/HLOOKUP(2018,DEMANDS!$G$2:$CK$25,MATCH($E188,DEMANDS!$E$2:$E$25,0),FALSE)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O188" s="18">
        <f>HLOOKUP(REG_TRA_DEMANDS!O$3,'BY-Demands'!$J$5:$AK$14,MATCH($E188,'BY-Demands'!$I$5:$I$14,0),FALSE)*HLOOKUP(REG_TRA_DEMANDS!$F188,DEMANDS!$G$2:$CK$25,MATCH($E188,DEMANDS!$E$2:$E$25,0),FALSE)/HLOOKUP(2018,DEMANDS!$G$2:$CK$25,MATCH($E188,DEMANDS!$E$2:$E$25,0),FALSE)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P188" s="18">
        <f>HLOOKUP(REG_TRA_DEMANDS!P$3,'BY-Demands'!$J$5:$AK$14,MATCH($E188,'BY-Demands'!$I$5:$I$14,0),FALSE)*HLOOKUP(REG_TRA_DEMANDS!$F188,DEMANDS!$G$2:$CK$25,MATCH($E188,DEMANDS!$E$2:$E$25,0),FALSE)/HLOOKUP(2018,DEMANDS!$G$2:$CK$25,MATCH($E188,DEMANDS!$E$2:$E$25,0),FALSE)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Q188" s="18">
        <f>HLOOKUP(REG_TRA_DEMANDS!Q$3,'BY-Demands'!$J$5:$AK$14,MATCH($E188,'BY-Demands'!$I$5:$I$14,0),FALSE)*HLOOKUP(REG_TRA_DEMANDS!$F188,DEMANDS!$G$2:$CK$25,MATCH($E188,DEMANDS!$E$2:$E$25,0),FALSE)/HLOOKUP(2018,DEMANDS!$G$2:$CK$25,MATCH($E188,DEMANDS!$E$2:$E$25,0),FALSE)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R188" s="18">
        <f>HLOOKUP(REG_TRA_DEMANDS!R$3,'BY-Demands'!$J$5:$AK$14,MATCH($E188,'BY-Demands'!$I$5:$I$14,0),FALSE)*HLOOKUP(REG_TRA_DEMANDS!$F188,DEMANDS!$G$2:$CK$25,MATCH($E188,DEMANDS!$E$2:$E$25,0),FALSE)/HLOOKUP(2018,DEMANDS!$G$2:$CK$25,MATCH($E188,DEMANDS!$E$2:$E$25,0),FALSE)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S188" s="18">
        <f>HLOOKUP(REG_TRA_DEMANDS!S$3,'BY-Demands'!$J$5:$AK$14,MATCH($E188,'BY-Demands'!$I$5:$I$14,0),FALSE)*HLOOKUP(REG_TRA_DEMANDS!$F188,DEMANDS!$G$2:$CK$25,MATCH($E188,DEMANDS!$E$2:$E$25,0),FALSE)/HLOOKUP(2018,DEMANDS!$G$2:$CK$25,MATCH($E188,DEMANDS!$E$2:$E$25,0),FALSE)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T188" s="18">
        <f>HLOOKUP(REG_TRA_DEMANDS!T$3,'BY-Demands'!$J$5:$AK$14,MATCH($E188,'BY-Demands'!$I$5:$I$14,0),FALSE)*HLOOKUP(REG_TRA_DEMANDS!$F188,DEMANDS!$G$2:$CK$25,MATCH($E188,DEMANDS!$E$2:$E$25,0),FALSE)/HLOOKUP(2018,DEMANDS!$G$2:$CK$25,MATCH($E188,DEMANDS!$E$2:$E$25,0),FALSE)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U188" s="18">
        <f>HLOOKUP(REG_TRA_DEMANDS!U$3,'BY-Demands'!$J$5:$AK$14,MATCH($E188,'BY-Demands'!$I$5:$I$14,0),FALSE)*HLOOKUP(REG_TRA_DEMANDS!$F188,DEMANDS!$G$2:$CK$25,MATCH($E188,DEMANDS!$E$2:$E$25,0),FALSE)/HLOOKUP(2018,DEMANDS!$G$2:$CK$25,MATCH($E188,DEMANDS!$E$2:$E$25,0),FALSE)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V188" s="18">
        <f>HLOOKUP(REG_TRA_DEMANDS!V$3,'BY-Demands'!$J$5:$AK$14,MATCH($E188,'BY-Demands'!$I$5:$I$14,0),FALSE)*HLOOKUP(REG_TRA_DEMANDS!$F188,DEMANDS!$G$2:$CK$25,MATCH($E188,DEMANDS!$E$2:$E$25,0),FALSE)/HLOOKUP(2018,DEMANDS!$G$2:$CK$25,MATCH($E188,DEMANDS!$E$2:$E$25,0),FALSE)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W188" s="18">
        <f>HLOOKUP(REG_TRA_DEMANDS!W$3,'BY-Demands'!$J$5:$AK$14,MATCH($E188,'BY-Demands'!$I$5:$I$14,0),FALSE)*HLOOKUP(REG_TRA_DEMANDS!$F188,DEMANDS!$G$2:$CK$25,MATCH($E188,DEMANDS!$E$2:$E$25,0),FALSE)/HLOOKUP(2018,DEMANDS!$G$2:$CK$25,MATCH($E188,DEMANDS!$E$2:$E$25,0),FALSE)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X188" s="18">
        <f>HLOOKUP(REG_TRA_DEMANDS!X$3,'BY-Demands'!$J$5:$AK$14,MATCH($E188,'BY-Demands'!$I$5:$I$14,0),FALSE)*HLOOKUP(REG_TRA_DEMANDS!$F188,DEMANDS!$G$2:$CK$25,MATCH($E188,DEMANDS!$E$2:$E$25,0),FALSE)/HLOOKUP(2018,DEMANDS!$G$2:$CK$25,MATCH($E188,DEMANDS!$E$2:$E$25,0),FALSE)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Y188" s="18">
        <f>HLOOKUP(REG_TRA_DEMANDS!Y$3,'BY-Demands'!$J$5:$AK$14,MATCH($E188,'BY-Demands'!$I$5:$I$14,0),FALSE)*HLOOKUP(REG_TRA_DEMANDS!$F188,DEMANDS!$G$2:$CK$25,MATCH($E188,DEMANDS!$E$2:$E$25,0),FALSE)/HLOOKUP(2018,DEMANDS!$G$2:$CK$25,MATCH($E188,DEMANDS!$E$2:$E$25,0),FALSE)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Z188" s="18">
        <f>HLOOKUP(REG_TRA_DEMANDS!Z$3,'BY-Demands'!$J$5:$AK$14,MATCH($E188,'BY-Demands'!$I$5:$I$14,0),FALSE)*HLOOKUP(REG_TRA_DEMANDS!$F188,DEMANDS!$G$2:$CK$25,MATCH($E188,DEMANDS!$E$2:$E$25,0),FALSE)/HLOOKUP(2018,DEMANDS!$G$2:$CK$25,MATCH($E188,DEMANDS!$E$2:$E$25,0),FALSE)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AA188" s="18">
        <f>HLOOKUP(REG_TRA_DEMANDS!AA$3,'BY-Demands'!$J$5:$AK$14,MATCH($E188,'BY-Demands'!$I$5:$I$14,0),FALSE)*HLOOKUP(REG_TRA_DEMANDS!$F188,DEMANDS!$G$2:$CK$25,MATCH($E188,DEMANDS!$E$2:$E$25,0),FALSE)/HLOOKUP(2018,DEMANDS!$G$2:$CK$25,MATCH($E188,DEMANDS!$E$2:$E$25,0),FALSE)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AB188" s="18">
        <f>HLOOKUP(REG_TRA_DEMANDS!AB$3,'BY-Demands'!$J$5:$AK$14,MATCH($E188,'BY-Demands'!$I$5:$I$14,0),FALSE)*HLOOKUP(REG_TRA_DEMANDS!$F188,DEMANDS!$G$2:$CK$25,MATCH($E188,DEMANDS!$E$2:$E$25,0),FALSE)/HLOOKUP(2018,DEMANDS!$G$2:$CK$25,MATCH($E188,DEMANDS!$E$2:$E$25,0),FALSE)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AC188" s="18">
        <f>HLOOKUP(REG_TRA_DEMANDS!AC$3,'BY-Demands'!$J$5:$AK$14,MATCH($E188,'BY-Demands'!$I$5:$I$14,0),FALSE)*HLOOKUP(REG_TRA_DEMANDS!$F188,DEMANDS!$G$2:$CK$25,MATCH($E188,DEMANDS!$E$2:$E$25,0),FALSE)/HLOOKUP(2018,DEMANDS!$G$2:$CK$25,MATCH($E188,DEMANDS!$E$2:$E$25,0),FALSE)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AD188" s="18">
        <f>HLOOKUP(REG_TRA_DEMANDS!AD$3,'BY-Demands'!$J$5:$AK$14,MATCH($E188,'BY-Demands'!$I$5:$I$14,0),FALSE)*HLOOKUP(REG_TRA_DEMANDS!$F188,DEMANDS!$G$2:$CK$25,MATCH($E188,DEMANDS!$E$2:$E$25,0),FALSE)/HLOOKUP(2018,DEMANDS!$G$2:$CK$25,MATCH($E188,DEMANDS!$E$2:$E$25,0),FALSE)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AE188" s="18">
        <f>HLOOKUP(REG_TRA_DEMANDS!AE$3,'BY-Demands'!$J$5:$AK$14,MATCH($E188,'BY-Demands'!$I$5:$I$14,0),FALSE)*HLOOKUP(REG_TRA_DEMANDS!$F188,DEMANDS!$G$2:$CK$25,MATCH($E188,DEMANDS!$E$2:$E$25,0),FALSE)/HLOOKUP(2018,DEMANDS!$G$2:$CK$25,MATCH($E188,DEMANDS!$E$2:$E$25,0),FALSE)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AF188" s="18">
        <f>HLOOKUP(REG_TRA_DEMANDS!AF$3,'BY-Demands'!$J$5:$AK$14,MATCH($E188,'BY-Demands'!$I$5:$I$14,0),FALSE)*HLOOKUP(REG_TRA_DEMANDS!$F188,DEMANDS!$G$2:$CK$25,MATCH($E188,DEMANDS!$E$2:$E$25,0),FALSE)/HLOOKUP(2018,DEMANDS!$G$2:$CK$25,MATCH($E188,DEMANDS!$E$2:$E$25,0),FALSE)</f>
        <v>0</v>
      </c>
    </row>
    <row r="189" spans="4:32" ht="14.4">
      <c r="D189" t="s">
        <v>6</v>
      </c>
      <c r="E189" t="str">
        <f>DEMANDS!$E$23</f>
        <v>TOTH</v>
      </c>
      <c r="F189">
        <v>2055</v>
      </c>
      <c r="G189" s="18">
        <f>HLOOKUP(REG_TRA_DEMANDS!G$3,'BY-Demands'!$J$5:$AK$14,MATCH($E189,'BY-Demands'!$I$5:$I$14,0),FALSE)*HLOOKUP(REG_TRA_DEMANDS!$F189,DEMANDS!$G$2:$CK$25,MATCH($E189,DEMANDS!$E$2:$E$25,0),FALSE)/HLOOKUP(2018,DEMANDS!$G$2:$CK$25,MATCH($E189,DEMANDS!$E$2:$E$25,0),FALSE)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H189" s="18">
        <f>HLOOKUP(REG_TRA_DEMANDS!H$3,'BY-Demands'!$J$5:$AK$14,MATCH($E189,'BY-Demands'!$I$5:$I$14,0),FALSE)*HLOOKUP(REG_TRA_DEMANDS!$F189,DEMANDS!$G$2:$CK$25,MATCH($E189,DEMANDS!$E$2:$E$25,0),FALSE)/HLOOKUP(2018,DEMANDS!$G$2:$CK$25,MATCH($E189,DEMANDS!$E$2:$E$25,0),FALSE)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I189" s="18">
        <f>HLOOKUP(REG_TRA_DEMANDS!I$3,'BY-Demands'!$J$5:$AK$14,MATCH($E189,'BY-Demands'!$I$5:$I$14,0),FALSE)*HLOOKUP(REG_TRA_DEMANDS!$F189,DEMANDS!$G$2:$CK$25,MATCH($E189,DEMANDS!$E$2:$E$25,0),FALSE)/HLOOKUP(2018,DEMANDS!$G$2:$CK$25,MATCH($E189,DEMANDS!$E$2:$E$25,0),FALSE)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J189" s="18">
        <f>HLOOKUP(REG_TRA_DEMANDS!J$3,'BY-Demands'!$J$5:$AK$14,MATCH($E189,'BY-Demands'!$I$5:$I$14,0),FALSE)*HLOOKUP(REG_TRA_DEMANDS!$F189,DEMANDS!$G$2:$CK$25,MATCH($E189,DEMANDS!$E$2:$E$25,0),FALSE)/HLOOKUP(2018,DEMANDS!$G$2:$CK$25,MATCH($E189,DEMANDS!$E$2:$E$25,0),FALSE)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K189" s="18">
        <f>HLOOKUP(REG_TRA_DEMANDS!K$3,'BY-Demands'!$J$5:$AK$14,MATCH($E189,'BY-Demands'!$I$5:$I$14,0),FALSE)*HLOOKUP(REG_TRA_DEMANDS!$F189,DEMANDS!$G$2:$CK$25,MATCH($E189,DEMANDS!$E$2:$E$25,0),FALSE)/HLOOKUP(2018,DEMANDS!$G$2:$CK$25,MATCH($E189,DEMANDS!$E$2:$E$25,0),FALSE)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L189" s="18">
        <f>HLOOKUP(REG_TRA_DEMANDS!L$3,'BY-Demands'!$J$5:$AK$14,MATCH($E189,'BY-Demands'!$I$5:$I$14,0),FALSE)*HLOOKUP(REG_TRA_DEMANDS!$F189,DEMANDS!$G$2:$CK$25,MATCH($E189,DEMANDS!$E$2:$E$25,0),FALSE)/HLOOKUP(2018,DEMANDS!$G$2:$CK$25,MATCH($E189,DEMANDS!$E$2:$E$25,0),FALSE)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M189" s="18">
        <f>HLOOKUP(REG_TRA_DEMANDS!M$3,'BY-Demands'!$J$5:$AK$14,MATCH($E189,'BY-Demands'!$I$5:$I$14,0),FALSE)*HLOOKUP(REG_TRA_DEMANDS!$F189,DEMANDS!$G$2:$CK$25,MATCH($E189,DEMANDS!$E$2:$E$25,0),FALSE)/HLOOKUP(2018,DEMANDS!$G$2:$CK$25,MATCH($E189,DEMANDS!$E$2:$E$25,0),FALSE)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N189" s="18">
        <f>HLOOKUP(REG_TRA_DEMANDS!N$3,'BY-Demands'!$J$5:$AK$14,MATCH($E189,'BY-Demands'!$I$5:$I$14,0),FALSE)*HLOOKUP(REG_TRA_DEMANDS!$F189,DEMANDS!$G$2:$CK$25,MATCH($E189,DEMANDS!$E$2:$E$25,0),FALSE)/HLOOKUP(2018,DEMANDS!$G$2:$CK$25,MATCH($E189,DEMANDS!$E$2:$E$25,0),FALSE)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O189" s="18">
        <f>HLOOKUP(REG_TRA_DEMANDS!O$3,'BY-Demands'!$J$5:$AK$14,MATCH($E189,'BY-Demands'!$I$5:$I$14,0),FALSE)*HLOOKUP(REG_TRA_DEMANDS!$F189,DEMANDS!$G$2:$CK$25,MATCH($E189,DEMANDS!$E$2:$E$25,0),FALSE)/HLOOKUP(2018,DEMANDS!$G$2:$CK$25,MATCH($E189,DEMANDS!$E$2:$E$25,0),FALSE)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P189" s="18">
        <f>HLOOKUP(REG_TRA_DEMANDS!P$3,'BY-Demands'!$J$5:$AK$14,MATCH($E189,'BY-Demands'!$I$5:$I$14,0),FALSE)*HLOOKUP(REG_TRA_DEMANDS!$F189,DEMANDS!$G$2:$CK$25,MATCH($E189,DEMANDS!$E$2:$E$25,0),FALSE)/HLOOKUP(2018,DEMANDS!$G$2:$CK$25,MATCH($E189,DEMANDS!$E$2:$E$25,0),FALSE)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Q189" s="18">
        <f>HLOOKUP(REG_TRA_DEMANDS!Q$3,'BY-Demands'!$J$5:$AK$14,MATCH($E189,'BY-Demands'!$I$5:$I$14,0),FALSE)*HLOOKUP(REG_TRA_DEMANDS!$F189,DEMANDS!$G$2:$CK$25,MATCH($E189,DEMANDS!$E$2:$E$25,0),FALSE)/HLOOKUP(2018,DEMANDS!$G$2:$CK$25,MATCH($E189,DEMANDS!$E$2:$E$25,0),FALSE)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R189" s="18">
        <f>HLOOKUP(REG_TRA_DEMANDS!R$3,'BY-Demands'!$J$5:$AK$14,MATCH($E189,'BY-Demands'!$I$5:$I$14,0),FALSE)*HLOOKUP(REG_TRA_DEMANDS!$F189,DEMANDS!$G$2:$CK$25,MATCH($E189,DEMANDS!$E$2:$E$25,0),FALSE)/HLOOKUP(2018,DEMANDS!$G$2:$CK$25,MATCH($E189,DEMANDS!$E$2:$E$25,0),FALSE)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S189" s="18">
        <f>HLOOKUP(REG_TRA_DEMANDS!S$3,'BY-Demands'!$J$5:$AK$14,MATCH($E189,'BY-Demands'!$I$5:$I$14,0),FALSE)*HLOOKUP(REG_TRA_DEMANDS!$F189,DEMANDS!$G$2:$CK$25,MATCH($E189,DEMANDS!$E$2:$E$25,0),FALSE)/HLOOKUP(2018,DEMANDS!$G$2:$CK$25,MATCH($E189,DEMANDS!$E$2:$E$25,0),FALSE)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T189" s="18">
        <f>HLOOKUP(REG_TRA_DEMANDS!T$3,'BY-Demands'!$J$5:$AK$14,MATCH($E189,'BY-Demands'!$I$5:$I$14,0),FALSE)*HLOOKUP(REG_TRA_DEMANDS!$F189,DEMANDS!$G$2:$CK$25,MATCH($E189,DEMANDS!$E$2:$E$25,0),FALSE)/HLOOKUP(2018,DEMANDS!$G$2:$CK$25,MATCH($E189,DEMANDS!$E$2:$E$25,0),FALSE)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U189" s="18">
        <f>HLOOKUP(REG_TRA_DEMANDS!U$3,'BY-Demands'!$J$5:$AK$14,MATCH($E189,'BY-Demands'!$I$5:$I$14,0),FALSE)*HLOOKUP(REG_TRA_DEMANDS!$F189,DEMANDS!$G$2:$CK$25,MATCH($E189,DEMANDS!$E$2:$E$25,0),FALSE)/HLOOKUP(2018,DEMANDS!$G$2:$CK$25,MATCH($E189,DEMANDS!$E$2:$E$25,0),FALSE)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V189" s="18">
        <f>HLOOKUP(REG_TRA_DEMANDS!V$3,'BY-Demands'!$J$5:$AK$14,MATCH($E189,'BY-Demands'!$I$5:$I$14,0),FALSE)*HLOOKUP(REG_TRA_DEMANDS!$F189,DEMANDS!$G$2:$CK$25,MATCH($E189,DEMANDS!$E$2:$E$25,0),FALSE)/HLOOKUP(2018,DEMANDS!$G$2:$CK$25,MATCH($E189,DEMANDS!$E$2:$E$25,0),FALSE)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W189" s="18">
        <f>HLOOKUP(REG_TRA_DEMANDS!W$3,'BY-Demands'!$J$5:$AK$14,MATCH($E189,'BY-Demands'!$I$5:$I$14,0),FALSE)*HLOOKUP(REG_TRA_DEMANDS!$F189,DEMANDS!$G$2:$CK$25,MATCH($E189,DEMANDS!$E$2:$E$25,0),FALSE)/HLOOKUP(2018,DEMANDS!$G$2:$CK$25,MATCH($E189,DEMANDS!$E$2:$E$25,0),FALSE)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X189" s="18">
        <f>HLOOKUP(REG_TRA_DEMANDS!X$3,'BY-Demands'!$J$5:$AK$14,MATCH($E189,'BY-Demands'!$I$5:$I$14,0),FALSE)*HLOOKUP(REG_TRA_DEMANDS!$F189,DEMANDS!$G$2:$CK$25,MATCH($E189,DEMANDS!$E$2:$E$25,0),FALSE)/HLOOKUP(2018,DEMANDS!$G$2:$CK$25,MATCH($E189,DEMANDS!$E$2:$E$25,0),FALSE)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Y189" s="18">
        <f>HLOOKUP(REG_TRA_DEMANDS!Y$3,'BY-Demands'!$J$5:$AK$14,MATCH($E189,'BY-Demands'!$I$5:$I$14,0),FALSE)*HLOOKUP(REG_TRA_DEMANDS!$F189,DEMANDS!$G$2:$CK$25,MATCH($E189,DEMANDS!$E$2:$E$25,0),FALSE)/HLOOKUP(2018,DEMANDS!$G$2:$CK$25,MATCH($E189,DEMANDS!$E$2:$E$25,0),FALSE)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Z189" s="18">
        <f>HLOOKUP(REG_TRA_DEMANDS!Z$3,'BY-Demands'!$J$5:$AK$14,MATCH($E189,'BY-Demands'!$I$5:$I$14,0),FALSE)*HLOOKUP(REG_TRA_DEMANDS!$F189,DEMANDS!$G$2:$CK$25,MATCH($E189,DEMANDS!$E$2:$E$25,0),FALSE)/HLOOKUP(2018,DEMANDS!$G$2:$CK$25,MATCH($E189,DEMANDS!$E$2:$E$25,0),FALSE)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AA189" s="18">
        <f>HLOOKUP(REG_TRA_DEMANDS!AA$3,'BY-Demands'!$J$5:$AK$14,MATCH($E189,'BY-Demands'!$I$5:$I$14,0),FALSE)*HLOOKUP(REG_TRA_DEMANDS!$F189,DEMANDS!$G$2:$CK$25,MATCH($E189,DEMANDS!$E$2:$E$25,0),FALSE)/HLOOKUP(2018,DEMANDS!$G$2:$CK$25,MATCH($E189,DEMANDS!$E$2:$E$25,0),FALSE)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AB189" s="18">
        <f>HLOOKUP(REG_TRA_DEMANDS!AB$3,'BY-Demands'!$J$5:$AK$14,MATCH($E189,'BY-Demands'!$I$5:$I$14,0),FALSE)*HLOOKUP(REG_TRA_DEMANDS!$F189,DEMANDS!$G$2:$CK$25,MATCH($E189,DEMANDS!$E$2:$E$25,0),FALSE)/HLOOKUP(2018,DEMANDS!$G$2:$CK$25,MATCH($E189,DEMANDS!$E$2:$E$25,0),FALSE)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AC189" s="18">
        <f>HLOOKUP(REG_TRA_DEMANDS!AC$3,'BY-Demands'!$J$5:$AK$14,MATCH($E189,'BY-Demands'!$I$5:$I$14,0),FALSE)*HLOOKUP(REG_TRA_DEMANDS!$F189,DEMANDS!$G$2:$CK$25,MATCH($E189,DEMANDS!$E$2:$E$25,0),FALSE)/HLOOKUP(2018,DEMANDS!$G$2:$CK$25,MATCH($E189,DEMANDS!$E$2:$E$25,0),FALSE)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AD189" s="18">
        <f>HLOOKUP(REG_TRA_DEMANDS!AD$3,'BY-Demands'!$J$5:$AK$14,MATCH($E189,'BY-Demands'!$I$5:$I$14,0),FALSE)*HLOOKUP(REG_TRA_DEMANDS!$F189,DEMANDS!$G$2:$CK$25,MATCH($E189,DEMANDS!$E$2:$E$25,0),FALSE)/HLOOKUP(2018,DEMANDS!$G$2:$CK$25,MATCH($E189,DEMANDS!$E$2:$E$25,0),FALSE)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AE189" s="18">
        <f>HLOOKUP(REG_TRA_DEMANDS!AE$3,'BY-Demands'!$J$5:$AK$14,MATCH($E189,'BY-Demands'!$I$5:$I$14,0),FALSE)*HLOOKUP(REG_TRA_DEMANDS!$F189,DEMANDS!$G$2:$CK$25,MATCH($E189,DEMANDS!$E$2:$E$25,0),FALSE)/HLOOKUP(2018,DEMANDS!$G$2:$CK$25,MATCH($E189,DEMANDS!$E$2:$E$25,0),FALSE)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AF189" s="18">
        <f>HLOOKUP(REG_TRA_DEMANDS!AF$3,'BY-Demands'!$J$5:$AK$14,MATCH($E189,'BY-Demands'!$I$5:$I$14,0),FALSE)*HLOOKUP(REG_TRA_DEMANDS!$F189,DEMANDS!$G$2:$CK$25,MATCH($E189,DEMANDS!$E$2:$E$25,0),FALSE)/HLOOKUP(2018,DEMANDS!$G$2:$CK$25,MATCH($E189,DEMANDS!$E$2:$E$25,0),FALSE)</f>
        <v>0</v>
      </c>
    </row>
    <row r="190" spans="4:32" ht="14.4">
      <c r="D190" t="s">
        <v>6</v>
      </c>
      <c r="E190" t="str">
        <f>DEMANDS!$E$23</f>
        <v>TOTH</v>
      </c>
      <c r="F190">
        <v>2060</v>
      </c>
      <c r="G190" s="18">
        <f>HLOOKUP(REG_TRA_DEMANDS!G$3,'BY-Demands'!$J$5:$AK$14,MATCH($E190,'BY-Demands'!$I$5:$I$14,0),FALSE)*HLOOKUP(REG_TRA_DEMANDS!$F190,DEMANDS!$G$2:$CK$25,MATCH($E190,DEMANDS!$E$2:$E$25,0),FALSE)/HLOOKUP(2018,DEMANDS!$G$2:$CK$25,MATCH($E190,DEMANDS!$E$2:$E$25,0),FALSE)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H190" s="18">
        <f>HLOOKUP(REG_TRA_DEMANDS!H$3,'BY-Demands'!$J$5:$AK$14,MATCH($E190,'BY-Demands'!$I$5:$I$14,0),FALSE)*HLOOKUP(REG_TRA_DEMANDS!$F190,DEMANDS!$G$2:$CK$25,MATCH($E190,DEMANDS!$E$2:$E$25,0),FALSE)/HLOOKUP(2018,DEMANDS!$G$2:$CK$25,MATCH($E190,DEMANDS!$E$2:$E$25,0),FALSE)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I190" s="18">
        <f>HLOOKUP(REG_TRA_DEMANDS!I$3,'BY-Demands'!$J$5:$AK$14,MATCH($E190,'BY-Demands'!$I$5:$I$14,0),FALSE)*HLOOKUP(REG_TRA_DEMANDS!$F190,DEMANDS!$G$2:$CK$25,MATCH($E190,DEMANDS!$E$2:$E$25,0),FALSE)/HLOOKUP(2018,DEMANDS!$G$2:$CK$25,MATCH($E190,DEMANDS!$E$2:$E$25,0),FALSE)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J190" s="18">
        <f>HLOOKUP(REG_TRA_DEMANDS!J$3,'BY-Demands'!$J$5:$AK$14,MATCH($E190,'BY-Demands'!$I$5:$I$14,0),FALSE)*HLOOKUP(REG_TRA_DEMANDS!$F190,DEMANDS!$G$2:$CK$25,MATCH($E190,DEMANDS!$E$2:$E$25,0),FALSE)/HLOOKUP(2018,DEMANDS!$G$2:$CK$25,MATCH($E190,DEMANDS!$E$2:$E$25,0),FALSE)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K190" s="18">
        <f>HLOOKUP(REG_TRA_DEMANDS!K$3,'BY-Demands'!$J$5:$AK$14,MATCH($E190,'BY-Demands'!$I$5:$I$14,0),FALSE)*HLOOKUP(REG_TRA_DEMANDS!$F190,DEMANDS!$G$2:$CK$25,MATCH($E190,DEMANDS!$E$2:$E$25,0),FALSE)/HLOOKUP(2018,DEMANDS!$G$2:$CK$25,MATCH($E190,DEMANDS!$E$2:$E$25,0),FALSE)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L190" s="18">
        <f>HLOOKUP(REG_TRA_DEMANDS!L$3,'BY-Demands'!$J$5:$AK$14,MATCH($E190,'BY-Demands'!$I$5:$I$14,0),FALSE)*HLOOKUP(REG_TRA_DEMANDS!$F190,DEMANDS!$G$2:$CK$25,MATCH($E190,DEMANDS!$E$2:$E$25,0),FALSE)/HLOOKUP(2018,DEMANDS!$G$2:$CK$25,MATCH($E190,DEMANDS!$E$2:$E$25,0),FALSE)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M190" s="18">
        <f>HLOOKUP(REG_TRA_DEMANDS!M$3,'BY-Demands'!$J$5:$AK$14,MATCH($E190,'BY-Demands'!$I$5:$I$14,0),FALSE)*HLOOKUP(REG_TRA_DEMANDS!$F190,DEMANDS!$G$2:$CK$25,MATCH($E190,DEMANDS!$E$2:$E$25,0),FALSE)/HLOOKUP(2018,DEMANDS!$G$2:$CK$25,MATCH($E190,DEMANDS!$E$2:$E$25,0),FALSE)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N190" s="18">
        <f>HLOOKUP(REG_TRA_DEMANDS!N$3,'BY-Demands'!$J$5:$AK$14,MATCH($E190,'BY-Demands'!$I$5:$I$14,0),FALSE)*HLOOKUP(REG_TRA_DEMANDS!$F190,DEMANDS!$G$2:$CK$25,MATCH($E190,DEMANDS!$E$2:$E$25,0),FALSE)/HLOOKUP(2018,DEMANDS!$G$2:$CK$25,MATCH($E190,DEMANDS!$E$2:$E$25,0),FALSE)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O190" s="18">
        <f>HLOOKUP(REG_TRA_DEMANDS!O$3,'BY-Demands'!$J$5:$AK$14,MATCH($E190,'BY-Demands'!$I$5:$I$14,0),FALSE)*HLOOKUP(REG_TRA_DEMANDS!$F190,DEMANDS!$G$2:$CK$25,MATCH($E190,DEMANDS!$E$2:$E$25,0),FALSE)/HLOOKUP(2018,DEMANDS!$G$2:$CK$25,MATCH($E190,DEMANDS!$E$2:$E$25,0),FALSE)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P190" s="18">
        <f>HLOOKUP(REG_TRA_DEMANDS!P$3,'BY-Demands'!$J$5:$AK$14,MATCH($E190,'BY-Demands'!$I$5:$I$14,0),FALSE)*HLOOKUP(REG_TRA_DEMANDS!$F190,DEMANDS!$G$2:$CK$25,MATCH($E190,DEMANDS!$E$2:$E$25,0),FALSE)/HLOOKUP(2018,DEMANDS!$G$2:$CK$25,MATCH($E190,DEMANDS!$E$2:$E$25,0),FALSE)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Q190" s="18">
        <f>HLOOKUP(REG_TRA_DEMANDS!Q$3,'BY-Demands'!$J$5:$AK$14,MATCH($E190,'BY-Demands'!$I$5:$I$14,0),FALSE)*HLOOKUP(REG_TRA_DEMANDS!$F190,DEMANDS!$G$2:$CK$25,MATCH($E190,DEMANDS!$E$2:$E$25,0),FALSE)/HLOOKUP(2018,DEMANDS!$G$2:$CK$25,MATCH($E190,DEMANDS!$E$2:$E$25,0),FALSE)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R190" s="18">
        <f>HLOOKUP(REG_TRA_DEMANDS!R$3,'BY-Demands'!$J$5:$AK$14,MATCH($E190,'BY-Demands'!$I$5:$I$14,0),FALSE)*HLOOKUP(REG_TRA_DEMANDS!$F190,DEMANDS!$G$2:$CK$25,MATCH($E190,DEMANDS!$E$2:$E$25,0),FALSE)/HLOOKUP(2018,DEMANDS!$G$2:$CK$25,MATCH($E190,DEMANDS!$E$2:$E$25,0),FALSE)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S190" s="18">
        <f>HLOOKUP(REG_TRA_DEMANDS!S$3,'BY-Demands'!$J$5:$AK$14,MATCH($E190,'BY-Demands'!$I$5:$I$14,0),FALSE)*HLOOKUP(REG_TRA_DEMANDS!$F190,DEMANDS!$G$2:$CK$25,MATCH($E190,DEMANDS!$E$2:$E$25,0),FALSE)/HLOOKUP(2018,DEMANDS!$G$2:$CK$25,MATCH($E190,DEMANDS!$E$2:$E$25,0),FALSE)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T190" s="18">
        <f>HLOOKUP(REG_TRA_DEMANDS!T$3,'BY-Demands'!$J$5:$AK$14,MATCH($E190,'BY-Demands'!$I$5:$I$14,0),FALSE)*HLOOKUP(REG_TRA_DEMANDS!$F190,DEMANDS!$G$2:$CK$25,MATCH($E190,DEMANDS!$E$2:$E$25,0),FALSE)/HLOOKUP(2018,DEMANDS!$G$2:$CK$25,MATCH($E190,DEMANDS!$E$2:$E$25,0),FALSE)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U190" s="18">
        <f>HLOOKUP(REG_TRA_DEMANDS!U$3,'BY-Demands'!$J$5:$AK$14,MATCH($E190,'BY-Demands'!$I$5:$I$14,0),FALSE)*HLOOKUP(REG_TRA_DEMANDS!$F190,DEMANDS!$G$2:$CK$25,MATCH($E190,DEMANDS!$E$2:$E$25,0),FALSE)/HLOOKUP(2018,DEMANDS!$G$2:$CK$25,MATCH($E190,DEMANDS!$E$2:$E$25,0),FALSE)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V190" s="18">
        <f>HLOOKUP(REG_TRA_DEMANDS!V$3,'BY-Demands'!$J$5:$AK$14,MATCH($E190,'BY-Demands'!$I$5:$I$14,0),FALSE)*HLOOKUP(REG_TRA_DEMANDS!$F190,DEMANDS!$G$2:$CK$25,MATCH($E190,DEMANDS!$E$2:$E$25,0),FALSE)/HLOOKUP(2018,DEMANDS!$G$2:$CK$25,MATCH($E190,DEMANDS!$E$2:$E$25,0),FALSE)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W190" s="18">
        <f>HLOOKUP(REG_TRA_DEMANDS!W$3,'BY-Demands'!$J$5:$AK$14,MATCH($E190,'BY-Demands'!$I$5:$I$14,0),FALSE)*HLOOKUP(REG_TRA_DEMANDS!$F190,DEMANDS!$G$2:$CK$25,MATCH($E190,DEMANDS!$E$2:$E$25,0),FALSE)/HLOOKUP(2018,DEMANDS!$G$2:$CK$25,MATCH($E190,DEMANDS!$E$2:$E$25,0),FALSE)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X190" s="18">
        <f>HLOOKUP(REG_TRA_DEMANDS!X$3,'BY-Demands'!$J$5:$AK$14,MATCH($E190,'BY-Demands'!$I$5:$I$14,0),FALSE)*HLOOKUP(REG_TRA_DEMANDS!$F190,DEMANDS!$G$2:$CK$25,MATCH($E190,DEMANDS!$E$2:$E$25,0),FALSE)/HLOOKUP(2018,DEMANDS!$G$2:$CK$25,MATCH($E190,DEMANDS!$E$2:$E$25,0),FALSE)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Y190" s="18">
        <f>HLOOKUP(REG_TRA_DEMANDS!Y$3,'BY-Demands'!$J$5:$AK$14,MATCH($E190,'BY-Demands'!$I$5:$I$14,0),FALSE)*HLOOKUP(REG_TRA_DEMANDS!$F190,DEMANDS!$G$2:$CK$25,MATCH($E190,DEMANDS!$E$2:$E$25,0),FALSE)/HLOOKUP(2018,DEMANDS!$G$2:$CK$25,MATCH($E190,DEMANDS!$E$2:$E$25,0),FALSE)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Z190" s="18">
        <f>HLOOKUP(REG_TRA_DEMANDS!Z$3,'BY-Demands'!$J$5:$AK$14,MATCH($E190,'BY-Demands'!$I$5:$I$14,0),FALSE)*HLOOKUP(REG_TRA_DEMANDS!$F190,DEMANDS!$G$2:$CK$25,MATCH($E190,DEMANDS!$E$2:$E$25,0),FALSE)/HLOOKUP(2018,DEMANDS!$G$2:$CK$25,MATCH($E190,DEMANDS!$E$2:$E$25,0),FALSE)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AA190" s="18">
        <f>HLOOKUP(REG_TRA_DEMANDS!AA$3,'BY-Demands'!$J$5:$AK$14,MATCH($E190,'BY-Demands'!$I$5:$I$14,0),FALSE)*HLOOKUP(REG_TRA_DEMANDS!$F190,DEMANDS!$G$2:$CK$25,MATCH($E190,DEMANDS!$E$2:$E$25,0),FALSE)/HLOOKUP(2018,DEMANDS!$G$2:$CK$25,MATCH($E190,DEMANDS!$E$2:$E$25,0),FALSE)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AB190" s="18">
        <f>HLOOKUP(REG_TRA_DEMANDS!AB$3,'BY-Demands'!$J$5:$AK$14,MATCH($E190,'BY-Demands'!$I$5:$I$14,0),FALSE)*HLOOKUP(REG_TRA_DEMANDS!$F190,DEMANDS!$G$2:$CK$25,MATCH($E190,DEMANDS!$E$2:$E$25,0),FALSE)/HLOOKUP(2018,DEMANDS!$G$2:$CK$25,MATCH($E190,DEMANDS!$E$2:$E$25,0),FALSE)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AC190" s="18">
        <f>HLOOKUP(REG_TRA_DEMANDS!AC$3,'BY-Demands'!$J$5:$AK$14,MATCH($E190,'BY-Demands'!$I$5:$I$14,0),FALSE)*HLOOKUP(REG_TRA_DEMANDS!$F190,DEMANDS!$G$2:$CK$25,MATCH($E190,DEMANDS!$E$2:$E$25,0),FALSE)/HLOOKUP(2018,DEMANDS!$G$2:$CK$25,MATCH($E190,DEMANDS!$E$2:$E$25,0),FALSE)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AD190" s="18">
        <f>HLOOKUP(REG_TRA_DEMANDS!AD$3,'BY-Demands'!$J$5:$AK$14,MATCH($E190,'BY-Demands'!$I$5:$I$14,0),FALSE)*HLOOKUP(REG_TRA_DEMANDS!$F190,DEMANDS!$G$2:$CK$25,MATCH($E190,DEMANDS!$E$2:$E$25,0),FALSE)/HLOOKUP(2018,DEMANDS!$G$2:$CK$25,MATCH($E190,DEMANDS!$E$2:$E$25,0),FALSE)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AE190" s="18">
        <f>HLOOKUP(REG_TRA_DEMANDS!AE$3,'BY-Demands'!$J$5:$AK$14,MATCH($E190,'BY-Demands'!$I$5:$I$14,0),FALSE)*HLOOKUP(REG_TRA_DEMANDS!$F190,DEMANDS!$G$2:$CK$25,MATCH($E190,DEMANDS!$E$2:$E$25,0),FALSE)/HLOOKUP(2018,DEMANDS!$G$2:$CK$25,MATCH($E190,DEMANDS!$E$2:$E$25,0),FALSE)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AF190" s="18">
        <f>HLOOKUP(REG_TRA_DEMANDS!AF$3,'BY-Demands'!$J$5:$AK$14,MATCH($E190,'BY-Demands'!$I$5:$I$14,0),FALSE)*HLOOKUP(REG_TRA_DEMANDS!$F190,DEMANDS!$G$2:$CK$25,MATCH($E190,DEMANDS!$E$2:$E$25,0),FALSE)/HLOOKUP(2018,DEMANDS!$G$2:$CK$25,MATCH($E190,DEMANDS!$E$2:$E$25,0),FALSE)</f>
        <v>0</v>
      </c>
    </row>
    <row r="191" spans="4:32" ht="14.4">
      <c r="D191" t="s">
        <v>6</v>
      </c>
      <c r="E191" t="str">
        <f>DEMANDS!$E$23</f>
        <v>TOTH</v>
      </c>
      <c r="F191">
        <v>2065</v>
      </c>
      <c r="G191" s="18">
        <f>HLOOKUP(REG_TRA_DEMANDS!G$3,'BY-Demands'!$J$5:$AK$14,MATCH($E191,'BY-Demands'!$I$5:$I$14,0),FALSE)*HLOOKUP(REG_TRA_DEMANDS!$F191,DEMANDS!$G$2:$CK$25,MATCH($E191,DEMANDS!$E$2:$E$25,0),FALSE)/HLOOKUP(2018,DEMANDS!$G$2:$CK$25,MATCH($E191,DEMANDS!$E$2:$E$25,0),FALSE)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H191" s="18">
        <f>HLOOKUP(REG_TRA_DEMANDS!H$3,'BY-Demands'!$J$5:$AK$14,MATCH($E191,'BY-Demands'!$I$5:$I$14,0),FALSE)*HLOOKUP(REG_TRA_DEMANDS!$F191,DEMANDS!$G$2:$CK$25,MATCH($E191,DEMANDS!$E$2:$E$25,0),FALSE)/HLOOKUP(2018,DEMANDS!$G$2:$CK$25,MATCH($E191,DEMANDS!$E$2:$E$25,0),FALSE)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I191" s="18">
        <f>HLOOKUP(REG_TRA_DEMANDS!I$3,'BY-Demands'!$J$5:$AK$14,MATCH($E191,'BY-Demands'!$I$5:$I$14,0),FALSE)*HLOOKUP(REG_TRA_DEMANDS!$F191,DEMANDS!$G$2:$CK$25,MATCH($E191,DEMANDS!$E$2:$E$25,0),FALSE)/HLOOKUP(2018,DEMANDS!$G$2:$CK$25,MATCH($E191,DEMANDS!$E$2:$E$25,0),FALSE)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J191" s="18">
        <f>HLOOKUP(REG_TRA_DEMANDS!J$3,'BY-Demands'!$J$5:$AK$14,MATCH($E191,'BY-Demands'!$I$5:$I$14,0),FALSE)*HLOOKUP(REG_TRA_DEMANDS!$F191,DEMANDS!$G$2:$CK$25,MATCH($E191,DEMANDS!$E$2:$E$25,0),FALSE)/HLOOKUP(2018,DEMANDS!$G$2:$CK$25,MATCH($E191,DEMANDS!$E$2:$E$25,0),FALSE)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K191" s="18">
        <f>HLOOKUP(REG_TRA_DEMANDS!K$3,'BY-Demands'!$J$5:$AK$14,MATCH($E191,'BY-Demands'!$I$5:$I$14,0),FALSE)*HLOOKUP(REG_TRA_DEMANDS!$F191,DEMANDS!$G$2:$CK$25,MATCH($E191,DEMANDS!$E$2:$E$25,0),FALSE)/HLOOKUP(2018,DEMANDS!$G$2:$CK$25,MATCH($E191,DEMANDS!$E$2:$E$25,0),FALSE)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L191" s="18">
        <f>HLOOKUP(REG_TRA_DEMANDS!L$3,'BY-Demands'!$J$5:$AK$14,MATCH($E191,'BY-Demands'!$I$5:$I$14,0),FALSE)*HLOOKUP(REG_TRA_DEMANDS!$F191,DEMANDS!$G$2:$CK$25,MATCH($E191,DEMANDS!$E$2:$E$25,0),FALSE)/HLOOKUP(2018,DEMANDS!$G$2:$CK$25,MATCH($E191,DEMANDS!$E$2:$E$25,0),FALSE)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M191" s="18">
        <f>HLOOKUP(REG_TRA_DEMANDS!M$3,'BY-Demands'!$J$5:$AK$14,MATCH($E191,'BY-Demands'!$I$5:$I$14,0),FALSE)*HLOOKUP(REG_TRA_DEMANDS!$F191,DEMANDS!$G$2:$CK$25,MATCH($E191,DEMANDS!$E$2:$E$25,0),FALSE)/HLOOKUP(2018,DEMANDS!$G$2:$CK$25,MATCH($E191,DEMANDS!$E$2:$E$25,0),FALSE)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N191" s="18">
        <f>HLOOKUP(REG_TRA_DEMANDS!N$3,'BY-Demands'!$J$5:$AK$14,MATCH($E191,'BY-Demands'!$I$5:$I$14,0),FALSE)*HLOOKUP(REG_TRA_DEMANDS!$F191,DEMANDS!$G$2:$CK$25,MATCH($E191,DEMANDS!$E$2:$E$25,0),FALSE)/HLOOKUP(2018,DEMANDS!$G$2:$CK$25,MATCH($E191,DEMANDS!$E$2:$E$25,0),FALSE)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O191" s="18">
        <f>HLOOKUP(REG_TRA_DEMANDS!O$3,'BY-Demands'!$J$5:$AK$14,MATCH($E191,'BY-Demands'!$I$5:$I$14,0),FALSE)*HLOOKUP(REG_TRA_DEMANDS!$F191,DEMANDS!$G$2:$CK$25,MATCH($E191,DEMANDS!$E$2:$E$25,0),FALSE)/HLOOKUP(2018,DEMANDS!$G$2:$CK$25,MATCH($E191,DEMANDS!$E$2:$E$25,0),FALSE)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P191" s="18">
        <f>HLOOKUP(REG_TRA_DEMANDS!P$3,'BY-Demands'!$J$5:$AK$14,MATCH($E191,'BY-Demands'!$I$5:$I$14,0),FALSE)*HLOOKUP(REG_TRA_DEMANDS!$F191,DEMANDS!$G$2:$CK$25,MATCH($E191,DEMANDS!$E$2:$E$25,0),FALSE)/HLOOKUP(2018,DEMANDS!$G$2:$CK$25,MATCH($E191,DEMANDS!$E$2:$E$25,0),FALSE)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Q191" s="18">
        <f>HLOOKUP(REG_TRA_DEMANDS!Q$3,'BY-Demands'!$J$5:$AK$14,MATCH($E191,'BY-Demands'!$I$5:$I$14,0),FALSE)*HLOOKUP(REG_TRA_DEMANDS!$F191,DEMANDS!$G$2:$CK$25,MATCH($E191,DEMANDS!$E$2:$E$25,0),FALSE)/HLOOKUP(2018,DEMANDS!$G$2:$CK$25,MATCH($E191,DEMANDS!$E$2:$E$25,0),FALSE)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R191" s="18">
        <f>HLOOKUP(REG_TRA_DEMANDS!R$3,'BY-Demands'!$J$5:$AK$14,MATCH($E191,'BY-Demands'!$I$5:$I$14,0),FALSE)*HLOOKUP(REG_TRA_DEMANDS!$F191,DEMANDS!$G$2:$CK$25,MATCH($E191,DEMANDS!$E$2:$E$25,0),FALSE)/HLOOKUP(2018,DEMANDS!$G$2:$CK$25,MATCH($E191,DEMANDS!$E$2:$E$25,0),FALSE)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S191" s="18">
        <f>HLOOKUP(REG_TRA_DEMANDS!S$3,'BY-Demands'!$J$5:$AK$14,MATCH($E191,'BY-Demands'!$I$5:$I$14,0),FALSE)*HLOOKUP(REG_TRA_DEMANDS!$F191,DEMANDS!$G$2:$CK$25,MATCH($E191,DEMANDS!$E$2:$E$25,0),FALSE)/HLOOKUP(2018,DEMANDS!$G$2:$CK$25,MATCH($E191,DEMANDS!$E$2:$E$25,0),FALSE)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T191" s="18">
        <f>HLOOKUP(REG_TRA_DEMANDS!T$3,'BY-Demands'!$J$5:$AK$14,MATCH($E191,'BY-Demands'!$I$5:$I$14,0),FALSE)*HLOOKUP(REG_TRA_DEMANDS!$F191,DEMANDS!$G$2:$CK$25,MATCH($E191,DEMANDS!$E$2:$E$25,0),FALSE)/HLOOKUP(2018,DEMANDS!$G$2:$CK$25,MATCH($E191,DEMANDS!$E$2:$E$25,0),FALSE)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U191" s="18">
        <f>HLOOKUP(REG_TRA_DEMANDS!U$3,'BY-Demands'!$J$5:$AK$14,MATCH($E191,'BY-Demands'!$I$5:$I$14,0),FALSE)*HLOOKUP(REG_TRA_DEMANDS!$F191,DEMANDS!$G$2:$CK$25,MATCH($E191,DEMANDS!$E$2:$E$25,0),FALSE)/HLOOKUP(2018,DEMANDS!$G$2:$CK$25,MATCH($E191,DEMANDS!$E$2:$E$25,0),FALSE)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V191" s="18">
        <f>HLOOKUP(REG_TRA_DEMANDS!V$3,'BY-Demands'!$J$5:$AK$14,MATCH($E191,'BY-Demands'!$I$5:$I$14,0),FALSE)*HLOOKUP(REG_TRA_DEMANDS!$F191,DEMANDS!$G$2:$CK$25,MATCH($E191,DEMANDS!$E$2:$E$25,0),FALSE)/HLOOKUP(2018,DEMANDS!$G$2:$CK$25,MATCH($E191,DEMANDS!$E$2:$E$25,0),FALSE)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W191" s="18">
        <f>HLOOKUP(REG_TRA_DEMANDS!W$3,'BY-Demands'!$J$5:$AK$14,MATCH($E191,'BY-Demands'!$I$5:$I$14,0),FALSE)*HLOOKUP(REG_TRA_DEMANDS!$F191,DEMANDS!$G$2:$CK$25,MATCH($E191,DEMANDS!$E$2:$E$25,0),FALSE)/HLOOKUP(2018,DEMANDS!$G$2:$CK$25,MATCH($E191,DEMANDS!$E$2:$E$25,0),FALSE)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X191" s="18">
        <f>HLOOKUP(REG_TRA_DEMANDS!X$3,'BY-Demands'!$J$5:$AK$14,MATCH($E191,'BY-Demands'!$I$5:$I$14,0),FALSE)*HLOOKUP(REG_TRA_DEMANDS!$F191,DEMANDS!$G$2:$CK$25,MATCH($E191,DEMANDS!$E$2:$E$25,0),FALSE)/HLOOKUP(2018,DEMANDS!$G$2:$CK$25,MATCH($E191,DEMANDS!$E$2:$E$25,0),FALSE)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Y191" s="18">
        <f>HLOOKUP(REG_TRA_DEMANDS!Y$3,'BY-Demands'!$J$5:$AK$14,MATCH($E191,'BY-Demands'!$I$5:$I$14,0),FALSE)*HLOOKUP(REG_TRA_DEMANDS!$F191,DEMANDS!$G$2:$CK$25,MATCH($E191,DEMANDS!$E$2:$E$25,0),FALSE)/HLOOKUP(2018,DEMANDS!$G$2:$CK$25,MATCH($E191,DEMANDS!$E$2:$E$25,0),FALSE)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Z191" s="18">
        <f>HLOOKUP(REG_TRA_DEMANDS!Z$3,'BY-Demands'!$J$5:$AK$14,MATCH($E191,'BY-Demands'!$I$5:$I$14,0),FALSE)*HLOOKUP(REG_TRA_DEMANDS!$F191,DEMANDS!$G$2:$CK$25,MATCH($E191,DEMANDS!$E$2:$E$25,0),FALSE)/HLOOKUP(2018,DEMANDS!$G$2:$CK$25,MATCH($E191,DEMANDS!$E$2:$E$25,0),FALSE)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AA191" s="18">
        <f>HLOOKUP(REG_TRA_DEMANDS!AA$3,'BY-Demands'!$J$5:$AK$14,MATCH($E191,'BY-Demands'!$I$5:$I$14,0),FALSE)*HLOOKUP(REG_TRA_DEMANDS!$F191,DEMANDS!$G$2:$CK$25,MATCH($E191,DEMANDS!$E$2:$E$25,0),FALSE)/HLOOKUP(2018,DEMANDS!$G$2:$CK$25,MATCH($E191,DEMANDS!$E$2:$E$25,0),FALSE)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AB191" s="18">
        <f>HLOOKUP(REG_TRA_DEMANDS!AB$3,'BY-Demands'!$J$5:$AK$14,MATCH($E191,'BY-Demands'!$I$5:$I$14,0),FALSE)*HLOOKUP(REG_TRA_DEMANDS!$F191,DEMANDS!$G$2:$CK$25,MATCH($E191,DEMANDS!$E$2:$E$25,0),FALSE)/HLOOKUP(2018,DEMANDS!$G$2:$CK$25,MATCH($E191,DEMANDS!$E$2:$E$25,0),FALSE)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AC191" s="18">
        <f>HLOOKUP(REG_TRA_DEMANDS!AC$3,'BY-Demands'!$J$5:$AK$14,MATCH($E191,'BY-Demands'!$I$5:$I$14,0),FALSE)*HLOOKUP(REG_TRA_DEMANDS!$F191,DEMANDS!$G$2:$CK$25,MATCH($E191,DEMANDS!$E$2:$E$25,0),FALSE)/HLOOKUP(2018,DEMANDS!$G$2:$CK$25,MATCH($E191,DEMANDS!$E$2:$E$25,0),FALSE)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AD191" s="18">
        <f>HLOOKUP(REG_TRA_DEMANDS!AD$3,'BY-Demands'!$J$5:$AK$14,MATCH($E191,'BY-Demands'!$I$5:$I$14,0),FALSE)*HLOOKUP(REG_TRA_DEMANDS!$F191,DEMANDS!$G$2:$CK$25,MATCH($E191,DEMANDS!$E$2:$E$25,0),FALSE)/HLOOKUP(2018,DEMANDS!$G$2:$CK$25,MATCH($E191,DEMANDS!$E$2:$E$25,0),FALSE)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AE191" s="18">
        <f>HLOOKUP(REG_TRA_DEMANDS!AE$3,'BY-Demands'!$J$5:$AK$14,MATCH($E191,'BY-Demands'!$I$5:$I$14,0),FALSE)*HLOOKUP(REG_TRA_DEMANDS!$F191,DEMANDS!$G$2:$CK$25,MATCH($E191,DEMANDS!$E$2:$E$25,0),FALSE)/HLOOKUP(2018,DEMANDS!$G$2:$CK$25,MATCH($E191,DEMANDS!$E$2:$E$25,0),FALSE)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AF191" s="18">
        <f>HLOOKUP(REG_TRA_DEMANDS!AF$3,'BY-Demands'!$J$5:$AK$14,MATCH($E191,'BY-Demands'!$I$5:$I$14,0),FALSE)*HLOOKUP(REG_TRA_DEMANDS!$F191,DEMANDS!$G$2:$CK$25,MATCH($E191,DEMANDS!$E$2:$E$25,0),FALSE)/HLOOKUP(2018,DEMANDS!$G$2:$CK$25,MATCH($E191,DEMANDS!$E$2:$E$25,0),FALSE)</f>
        <v>0</v>
      </c>
    </row>
    <row r="192" spans="4:32" ht="14.4">
      <c r="D192" t="s">
        <v>6</v>
      </c>
      <c r="E192" t="str">
        <f>DEMANDS!$E$23</f>
        <v>TOTH</v>
      </c>
      <c r="F192">
        <v>2070</v>
      </c>
      <c r="G192" s="17">
        <f>HLOOKUP(REG_TRA_DEMANDS!G$3,'BY-Demands'!$J$5:$AK$14,MATCH($E192,'BY-Demands'!$I$5:$I$14,0),FALSE)*HLOOKUP(REG_TRA_DEMANDS!$F192,DEMANDS!$G$2:$CK$25,MATCH($E192,DEMANDS!$E$2:$E$25,0),FALSE)/HLOOKUP(2018,DEMANDS!$G$2:$CK$25,MATCH($E192,DEMANDS!$E$2:$E$25,0),FALSE)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H192" s="17">
        <f>HLOOKUP(REG_TRA_DEMANDS!H$3,'BY-Demands'!$J$5:$AK$14,MATCH($E192,'BY-Demands'!$I$5:$I$14,0),FALSE)*HLOOKUP(REG_TRA_DEMANDS!$F192,DEMANDS!$G$2:$CK$25,MATCH($E192,DEMANDS!$E$2:$E$25,0),FALSE)/HLOOKUP(2018,DEMANDS!$G$2:$CK$25,MATCH($E192,DEMANDS!$E$2:$E$25,0),FALSE)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I192" s="17">
        <f>HLOOKUP(REG_TRA_DEMANDS!I$3,'BY-Demands'!$J$5:$AK$14,MATCH($E192,'BY-Demands'!$I$5:$I$14,0),FALSE)*HLOOKUP(REG_TRA_DEMANDS!$F192,DEMANDS!$G$2:$CK$25,MATCH($E192,DEMANDS!$E$2:$E$25,0),FALSE)/HLOOKUP(2018,DEMANDS!$G$2:$CK$25,MATCH($E192,DEMANDS!$E$2:$E$25,0),FALSE)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J192" s="17">
        <f>HLOOKUP(REG_TRA_DEMANDS!J$3,'BY-Demands'!$J$5:$AK$14,MATCH($E192,'BY-Demands'!$I$5:$I$14,0),FALSE)*HLOOKUP(REG_TRA_DEMANDS!$F192,DEMANDS!$G$2:$CK$25,MATCH($E192,DEMANDS!$E$2:$E$25,0),FALSE)/HLOOKUP(2018,DEMANDS!$G$2:$CK$25,MATCH($E192,DEMANDS!$E$2:$E$25,0),FALSE)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K192" s="17">
        <f>HLOOKUP(REG_TRA_DEMANDS!K$3,'BY-Demands'!$J$5:$AK$14,MATCH($E192,'BY-Demands'!$I$5:$I$14,0),FALSE)*HLOOKUP(REG_TRA_DEMANDS!$F192,DEMANDS!$G$2:$CK$25,MATCH($E192,DEMANDS!$E$2:$E$25,0),FALSE)/HLOOKUP(2018,DEMANDS!$G$2:$CK$25,MATCH($E192,DEMANDS!$E$2:$E$25,0),FALSE)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L192" s="17">
        <f>HLOOKUP(REG_TRA_DEMANDS!L$3,'BY-Demands'!$J$5:$AK$14,MATCH($E192,'BY-Demands'!$I$5:$I$14,0),FALSE)*HLOOKUP(REG_TRA_DEMANDS!$F192,DEMANDS!$G$2:$CK$25,MATCH($E192,DEMANDS!$E$2:$E$25,0),FALSE)/HLOOKUP(2018,DEMANDS!$G$2:$CK$25,MATCH($E192,DEMANDS!$E$2:$E$25,0),FALSE)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M192" s="17">
        <f>HLOOKUP(REG_TRA_DEMANDS!M$3,'BY-Demands'!$J$5:$AK$14,MATCH($E192,'BY-Demands'!$I$5:$I$14,0),FALSE)*HLOOKUP(REG_TRA_DEMANDS!$F192,DEMANDS!$G$2:$CK$25,MATCH($E192,DEMANDS!$E$2:$E$25,0),FALSE)/HLOOKUP(2018,DEMANDS!$G$2:$CK$25,MATCH($E192,DEMANDS!$E$2:$E$25,0),FALSE)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N192" s="17">
        <f>HLOOKUP(REG_TRA_DEMANDS!N$3,'BY-Demands'!$J$5:$AK$14,MATCH($E192,'BY-Demands'!$I$5:$I$14,0),FALSE)*HLOOKUP(REG_TRA_DEMANDS!$F192,DEMANDS!$G$2:$CK$25,MATCH($E192,DEMANDS!$E$2:$E$25,0),FALSE)/HLOOKUP(2018,DEMANDS!$G$2:$CK$25,MATCH($E192,DEMANDS!$E$2:$E$25,0),FALSE)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O192" s="17">
        <f>HLOOKUP(REG_TRA_DEMANDS!O$3,'BY-Demands'!$J$5:$AK$14,MATCH($E192,'BY-Demands'!$I$5:$I$14,0),FALSE)*HLOOKUP(REG_TRA_DEMANDS!$F192,DEMANDS!$G$2:$CK$25,MATCH($E192,DEMANDS!$E$2:$E$25,0),FALSE)/HLOOKUP(2018,DEMANDS!$G$2:$CK$25,MATCH($E192,DEMANDS!$E$2:$E$25,0),FALSE)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P192" s="17">
        <f>HLOOKUP(REG_TRA_DEMANDS!P$3,'BY-Demands'!$J$5:$AK$14,MATCH($E192,'BY-Demands'!$I$5:$I$14,0),FALSE)*HLOOKUP(REG_TRA_DEMANDS!$F192,DEMANDS!$G$2:$CK$25,MATCH($E192,DEMANDS!$E$2:$E$25,0),FALSE)/HLOOKUP(2018,DEMANDS!$G$2:$CK$25,MATCH($E192,DEMANDS!$E$2:$E$25,0),FALSE)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Q192" s="17">
        <f>HLOOKUP(REG_TRA_DEMANDS!Q$3,'BY-Demands'!$J$5:$AK$14,MATCH($E192,'BY-Demands'!$I$5:$I$14,0),FALSE)*HLOOKUP(REG_TRA_DEMANDS!$F192,DEMANDS!$G$2:$CK$25,MATCH($E192,DEMANDS!$E$2:$E$25,0),FALSE)/HLOOKUP(2018,DEMANDS!$G$2:$CK$25,MATCH($E192,DEMANDS!$E$2:$E$25,0),FALSE)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R192" s="17">
        <f>HLOOKUP(REG_TRA_DEMANDS!R$3,'BY-Demands'!$J$5:$AK$14,MATCH($E192,'BY-Demands'!$I$5:$I$14,0),FALSE)*HLOOKUP(REG_TRA_DEMANDS!$F192,DEMANDS!$G$2:$CK$25,MATCH($E192,DEMANDS!$E$2:$E$25,0),FALSE)/HLOOKUP(2018,DEMANDS!$G$2:$CK$25,MATCH($E192,DEMANDS!$E$2:$E$25,0),FALSE)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S192" s="17">
        <f>HLOOKUP(REG_TRA_DEMANDS!S$3,'BY-Demands'!$J$5:$AK$14,MATCH($E192,'BY-Demands'!$I$5:$I$14,0),FALSE)*HLOOKUP(REG_TRA_DEMANDS!$F192,DEMANDS!$G$2:$CK$25,MATCH($E192,DEMANDS!$E$2:$E$25,0),FALSE)/HLOOKUP(2018,DEMANDS!$G$2:$CK$25,MATCH($E192,DEMANDS!$E$2:$E$25,0),FALSE)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T192" s="17">
        <f>HLOOKUP(REG_TRA_DEMANDS!T$3,'BY-Demands'!$J$5:$AK$14,MATCH($E192,'BY-Demands'!$I$5:$I$14,0),FALSE)*HLOOKUP(REG_TRA_DEMANDS!$F192,DEMANDS!$G$2:$CK$25,MATCH($E192,DEMANDS!$E$2:$E$25,0),FALSE)/HLOOKUP(2018,DEMANDS!$G$2:$CK$25,MATCH($E192,DEMANDS!$E$2:$E$25,0),FALSE)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U192" s="17">
        <f>HLOOKUP(REG_TRA_DEMANDS!U$3,'BY-Demands'!$J$5:$AK$14,MATCH($E192,'BY-Demands'!$I$5:$I$14,0),FALSE)*HLOOKUP(REG_TRA_DEMANDS!$F192,DEMANDS!$G$2:$CK$25,MATCH($E192,DEMANDS!$E$2:$E$25,0),FALSE)/HLOOKUP(2018,DEMANDS!$G$2:$CK$25,MATCH($E192,DEMANDS!$E$2:$E$25,0),FALSE)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V192" s="17">
        <f>HLOOKUP(REG_TRA_DEMANDS!V$3,'BY-Demands'!$J$5:$AK$14,MATCH($E192,'BY-Demands'!$I$5:$I$14,0),FALSE)*HLOOKUP(REG_TRA_DEMANDS!$F192,DEMANDS!$G$2:$CK$25,MATCH($E192,DEMANDS!$E$2:$E$25,0),FALSE)/HLOOKUP(2018,DEMANDS!$G$2:$CK$25,MATCH($E192,DEMANDS!$E$2:$E$25,0),FALSE)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W192" s="17">
        <f>HLOOKUP(REG_TRA_DEMANDS!W$3,'BY-Demands'!$J$5:$AK$14,MATCH($E192,'BY-Demands'!$I$5:$I$14,0),FALSE)*HLOOKUP(REG_TRA_DEMANDS!$F192,DEMANDS!$G$2:$CK$25,MATCH($E192,DEMANDS!$E$2:$E$25,0),FALSE)/HLOOKUP(2018,DEMANDS!$G$2:$CK$25,MATCH($E192,DEMANDS!$E$2:$E$25,0),FALSE)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X192" s="17">
        <f>HLOOKUP(REG_TRA_DEMANDS!X$3,'BY-Demands'!$J$5:$AK$14,MATCH($E192,'BY-Demands'!$I$5:$I$14,0),FALSE)*HLOOKUP(REG_TRA_DEMANDS!$F192,DEMANDS!$G$2:$CK$25,MATCH($E192,DEMANDS!$E$2:$E$25,0),FALSE)/HLOOKUP(2018,DEMANDS!$G$2:$CK$25,MATCH($E192,DEMANDS!$E$2:$E$25,0),FALSE)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Y192" s="17">
        <f>HLOOKUP(REG_TRA_DEMANDS!Y$3,'BY-Demands'!$J$5:$AK$14,MATCH($E192,'BY-Demands'!$I$5:$I$14,0),FALSE)*HLOOKUP(REG_TRA_DEMANDS!$F192,DEMANDS!$G$2:$CK$25,MATCH($E192,DEMANDS!$E$2:$E$25,0),FALSE)/HLOOKUP(2018,DEMANDS!$G$2:$CK$25,MATCH($E192,DEMANDS!$E$2:$E$25,0),FALSE)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Z192" s="17">
        <f>HLOOKUP(REG_TRA_DEMANDS!Z$3,'BY-Demands'!$J$5:$AK$14,MATCH($E192,'BY-Demands'!$I$5:$I$14,0),FALSE)*HLOOKUP(REG_TRA_DEMANDS!$F192,DEMANDS!$G$2:$CK$25,MATCH($E192,DEMANDS!$E$2:$E$25,0),FALSE)/HLOOKUP(2018,DEMANDS!$G$2:$CK$25,MATCH($E192,DEMANDS!$E$2:$E$25,0),FALSE)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AA192" s="17">
        <f>HLOOKUP(REG_TRA_DEMANDS!AA$3,'BY-Demands'!$J$5:$AK$14,MATCH($E192,'BY-Demands'!$I$5:$I$14,0),FALSE)*HLOOKUP(REG_TRA_DEMANDS!$F192,DEMANDS!$G$2:$CK$25,MATCH($E192,DEMANDS!$E$2:$E$25,0),FALSE)/HLOOKUP(2018,DEMANDS!$G$2:$CK$25,MATCH($E192,DEMANDS!$E$2:$E$25,0),FALSE)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AB192" s="17">
        <f>HLOOKUP(REG_TRA_DEMANDS!AB$3,'BY-Demands'!$J$5:$AK$14,MATCH($E192,'BY-Demands'!$I$5:$I$14,0),FALSE)*HLOOKUP(REG_TRA_DEMANDS!$F192,DEMANDS!$G$2:$CK$25,MATCH($E192,DEMANDS!$E$2:$E$25,0),FALSE)/HLOOKUP(2018,DEMANDS!$G$2:$CK$25,MATCH($E192,DEMANDS!$E$2:$E$25,0),FALSE)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AC192" s="17">
        <f>HLOOKUP(REG_TRA_DEMANDS!AC$3,'BY-Demands'!$J$5:$AK$14,MATCH($E192,'BY-Demands'!$I$5:$I$14,0),FALSE)*HLOOKUP(REG_TRA_DEMANDS!$F192,DEMANDS!$G$2:$CK$25,MATCH($E192,DEMANDS!$E$2:$E$25,0),FALSE)/HLOOKUP(2018,DEMANDS!$G$2:$CK$25,MATCH($E192,DEMANDS!$E$2:$E$25,0),FALSE)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AD192" s="17">
        <f>HLOOKUP(REG_TRA_DEMANDS!AD$3,'BY-Demands'!$J$5:$AK$14,MATCH($E192,'BY-Demands'!$I$5:$I$14,0),FALSE)*HLOOKUP(REG_TRA_DEMANDS!$F192,DEMANDS!$G$2:$CK$25,MATCH($E192,DEMANDS!$E$2:$E$25,0),FALSE)/HLOOKUP(2018,DEMANDS!$G$2:$CK$25,MATCH($E192,DEMANDS!$E$2:$E$25,0),FALSE)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AE192" s="17">
        <f>HLOOKUP(REG_TRA_DEMANDS!AE$3,'BY-Demands'!$J$5:$AK$14,MATCH($E192,'BY-Demands'!$I$5:$I$14,0),FALSE)*HLOOKUP(REG_TRA_DEMANDS!$F192,DEMANDS!$G$2:$CK$25,MATCH($E192,DEMANDS!$E$2:$E$25,0),FALSE)/HLOOKUP(2018,DEMANDS!$G$2:$CK$25,MATCH($E192,DEMANDS!$E$2:$E$25,0),FALSE)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AF192" s="17">
        <f>HLOOKUP(REG_TRA_DEMANDS!AF$3,'BY-Demands'!$J$5:$AK$14,MATCH($E192,'BY-Demands'!$I$5:$I$14,0),FALSE)*HLOOKUP(REG_TRA_DEMANDS!$F192,DEMANDS!$G$2:$CK$25,MATCH($E192,DEMANDS!$E$2:$E$25,0),FALSE)/HLOOKUP(2018,DEMANDS!$G$2:$CK$25,MATCH($E192,DEMANDS!$E$2:$E$25,0),FALSE)</f>
        <v>0</v>
      </c>
    </row>
    <row r="193" spans="4:32" ht="14.4">
      <c r="D193" s="19" t="s">
        <v>6</v>
      </c>
      <c r="E193" s="19" t="str">
        <f>DEMANDS!$E$24</f>
        <v>TAVIDOM</v>
      </c>
      <c r="F193" s="19">
        <v>2020</v>
      </c>
      <c r="G193" s="19">
        <f>HLOOKUP(REG_TRA_DEMANDS!G$3,'BY-Demands'!$J$5:$AK$14,MATCH($E193,'BY-Demands'!$I$5:$I$14,0),FALSE)*HLOOKUP(REG_TRA_DEMANDS!$F193,DEMANDS!$G$2:$CK$25,MATCH($E193,DEMANDS!$E$2:$E$25,0),FALSE)/HLOOKUP(2018,DEMANDS!$G$2:$CK$25,MATCH($E193,DEMANDS!$E$2:$E$25,0),FALSE)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H193" s="20">
        <f>HLOOKUP(REG_TRA_DEMANDS!H$3,'BY-Demands'!$J$5:$AK$14,MATCH($E193,'BY-Demands'!$I$5:$I$14,0),FALSE)*HLOOKUP(REG_TRA_DEMANDS!$F193,DEMANDS!$G$2:$CK$25,MATCH($E193,DEMANDS!$E$2:$E$25,0),FALSE)/HLOOKUP(2018,DEMANDS!$G$2:$CK$25,MATCH($E193,DEMANDS!$E$2:$E$25,0),FALSE)</f>
        <v>0.064093592729048743</v>
      </c>
      <c r="I193" s="19">
        <f>HLOOKUP(REG_TRA_DEMANDS!I$3,'BY-Demands'!$J$5:$AK$14,MATCH($E193,'BY-Demands'!$I$5:$I$14,0),FALSE)*HLOOKUP(REG_TRA_DEMANDS!$F193,DEMANDS!$G$2:$CK$25,MATCH($E193,DEMANDS!$E$2:$E$25,0),FALSE)/HLOOKUP(2018,DEMANDS!$G$2:$CK$25,MATCH($E193,DEMANDS!$E$2:$E$25,0),FALSE)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J193" s="19">
        <f>HLOOKUP(REG_TRA_DEMANDS!J$3,'BY-Demands'!$J$5:$AK$14,MATCH($E193,'BY-Demands'!$I$5:$I$14,0),FALSE)*HLOOKUP(REG_TRA_DEMANDS!$F193,DEMANDS!$G$2:$CK$25,MATCH($E193,DEMANDS!$E$2:$E$25,0),FALSE)/HLOOKUP(2018,DEMANDS!$G$2:$CK$25,MATCH($E193,DEMANDS!$E$2:$E$25,0),FALSE)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K193" s="19">
        <f>HLOOKUP(REG_TRA_DEMANDS!K$3,'BY-Demands'!$J$5:$AK$14,MATCH($E193,'BY-Demands'!$I$5:$I$14,0),FALSE)*HLOOKUP(REG_TRA_DEMANDS!$F193,DEMANDS!$G$2:$CK$25,MATCH($E193,DEMANDS!$E$2:$E$25,0),FALSE)/HLOOKUP(2018,DEMANDS!$G$2:$CK$25,MATCH($E193,DEMANDS!$E$2:$E$25,0),FALSE)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L193" s="19">
        <f>HLOOKUP(REG_TRA_DEMANDS!L$3,'BY-Demands'!$J$5:$AK$14,MATCH($E193,'BY-Demands'!$I$5:$I$14,0),FALSE)*HLOOKUP(REG_TRA_DEMANDS!$F193,DEMANDS!$G$2:$CK$25,MATCH($E193,DEMANDS!$E$2:$E$25,0),FALSE)/HLOOKUP(2018,DEMANDS!$G$2:$CK$25,MATCH($E193,DEMANDS!$E$2:$E$25,0),FALSE)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M193" s="19">
        <f>HLOOKUP(REG_TRA_DEMANDS!M$3,'BY-Demands'!$J$5:$AK$14,MATCH($E193,'BY-Demands'!$I$5:$I$14,0),FALSE)*HLOOKUP(REG_TRA_DEMANDS!$F193,DEMANDS!$G$2:$CK$25,MATCH($E193,DEMANDS!$E$2:$E$25,0),FALSE)/HLOOKUP(2018,DEMANDS!$G$2:$CK$25,MATCH($E193,DEMANDS!$E$2:$E$25,0),FALSE)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N193" s="19">
        <f>HLOOKUP(REG_TRA_DEMANDS!N$3,'BY-Demands'!$J$5:$AK$14,MATCH($E193,'BY-Demands'!$I$5:$I$14,0),FALSE)*HLOOKUP(REG_TRA_DEMANDS!$F193,DEMANDS!$G$2:$CK$25,MATCH($E193,DEMANDS!$E$2:$E$25,0),FALSE)/HLOOKUP(2018,DEMANDS!$G$2:$CK$25,MATCH($E193,DEMANDS!$E$2:$E$25,0),FALSE)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O193" s="19">
        <f>HLOOKUP(REG_TRA_DEMANDS!O$3,'BY-Demands'!$J$5:$AK$14,MATCH($E193,'BY-Demands'!$I$5:$I$14,0),FALSE)*HLOOKUP(REG_TRA_DEMANDS!$F193,DEMANDS!$G$2:$CK$25,MATCH($E193,DEMANDS!$E$2:$E$25,0),FALSE)/HLOOKUP(2018,DEMANDS!$G$2:$CK$25,MATCH($E193,DEMANDS!$E$2:$E$25,0),FALSE)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P193" s="19">
        <f>HLOOKUP(REG_TRA_DEMANDS!P$3,'BY-Demands'!$J$5:$AK$14,MATCH($E193,'BY-Demands'!$I$5:$I$14,0),FALSE)*HLOOKUP(REG_TRA_DEMANDS!$F193,DEMANDS!$G$2:$CK$25,MATCH($E193,DEMANDS!$E$2:$E$25,0),FALSE)/HLOOKUP(2018,DEMANDS!$G$2:$CK$25,MATCH($E193,DEMANDS!$E$2:$E$25,0),FALSE)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Q193" s="19">
        <f>HLOOKUP(REG_TRA_DEMANDS!Q$3,'BY-Demands'!$J$5:$AK$14,MATCH($E193,'BY-Demands'!$I$5:$I$14,0),FALSE)*HLOOKUP(REG_TRA_DEMANDS!$F193,DEMANDS!$G$2:$CK$25,MATCH($E193,DEMANDS!$E$2:$E$25,0),FALSE)/HLOOKUP(2018,DEMANDS!$G$2:$CK$25,MATCH($E193,DEMANDS!$E$2:$E$25,0),FALSE)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R193" s="19">
        <f>HLOOKUP(REG_TRA_DEMANDS!R$3,'BY-Demands'!$J$5:$AK$14,MATCH($E193,'BY-Demands'!$I$5:$I$14,0),FALSE)*HLOOKUP(REG_TRA_DEMANDS!$F193,DEMANDS!$G$2:$CK$25,MATCH($E193,DEMANDS!$E$2:$E$25,0),FALSE)/HLOOKUP(2018,DEMANDS!$G$2:$CK$25,MATCH($E193,DEMANDS!$E$2:$E$25,0),FALSE)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S193" s="20">
        <f>HLOOKUP(REG_TRA_DEMANDS!S$3,'BY-Demands'!$J$5:$AK$14,MATCH($E193,'BY-Demands'!$I$5:$I$14,0),FALSE)*HLOOKUP(REG_TRA_DEMANDS!$F193,DEMANDS!$G$2:$CK$25,MATCH($E193,DEMANDS!$E$2:$E$25,0),FALSE)/HLOOKUP(2018,DEMANDS!$G$2:$CK$25,MATCH($E193,DEMANDS!$E$2:$E$25,0),FALSE)</f>
        <v>0.022382134926061514</v>
      </c>
      <c r="T193" s="20">
        <f>HLOOKUP(REG_TRA_DEMANDS!T$3,'BY-Demands'!$J$5:$AK$14,MATCH($E193,'BY-Demands'!$I$5:$I$14,0),FALSE)*HLOOKUP(REG_TRA_DEMANDS!$F193,DEMANDS!$G$2:$CK$25,MATCH($E193,DEMANDS!$E$2:$E$25,0),FALSE)/HLOOKUP(2018,DEMANDS!$G$2:$CK$25,MATCH($E193,DEMANDS!$E$2:$E$25,0),FALSE)</f>
        <v>0.00022177930432032186</v>
      </c>
      <c r="U193" s="20">
        <f>HLOOKUP(REG_TRA_DEMANDS!U$3,'BY-Demands'!$J$5:$AK$14,MATCH($E193,'BY-Demands'!$I$5:$I$14,0),FALSE)*HLOOKUP(REG_TRA_DEMANDS!$F193,DEMANDS!$G$2:$CK$25,MATCH($E193,DEMANDS!$E$2:$E$25,0),FALSE)/HLOOKUP(2018,DEMANDS!$G$2:$CK$25,MATCH($E193,DEMANDS!$E$2:$E$25,0),FALSE)</f>
        <v>0.022262535129606249</v>
      </c>
      <c r="V193" s="19">
        <f>HLOOKUP(REG_TRA_DEMANDS!V$3,'BY-Demands'!$J$5:$AK$14,MATCH($E193,'BY-Demands'!$I$5:$I$14,0),FALSE)*HLOOKUP(REG_TRA_DEMANDS!$F193,DEMANDS!$G$2:$CK$25,MATCH($E193,DEMANDS!$E$2:$E$25,0),FALSE)/HLOOKUP(2018,DEMANDS!$G$2:$CK$25,MATCH($E193,DEMANDS!$E$2:$E$25,0),FALSE)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W193" s="19">
        <f>HLOOKUP(REG_TRA_DEMANDS!W$3,'BY-Demands'!$J$5:$AK$14,MATCH($E193,'BY-Demands'!$I$5:$I$14,0),FALSE)*HLOOKUP(REG_TRA_DEMANDS!$F193,DEMANDS!$G$2:$CK$25,MATCH($E193,DEMANDS!$E$2:$E$25,0),FALSE)/HLOOKUP(2018,DEMANDS!$G$2:$CK$25,MATCH($E193,DEMANDS!$E$2:$E$25,0),FALSE)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X193" s="19">
        <f>HLOOKUP(REG_TRA_DEMANDS!X$3,'BY-Demands'!$J$5:$AK$14,MATCH($E193,'BY-Demands'!$I$5:$I$14,0),FALSE)*HLOOKUP(REG_TRA_DEMANDS!$F193,DEMANDS!$G$2:$CK$25,MATCH($E193,DEMANDS!$E$2:$E$25,0),FALSE)/HLOOKUP(2018,DEMANDS!$G$2:$CK$25,MATCH($E193,DEMANDS!$E$2:$E$25,0),FALSE)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Y193" s="19">
        <f>HLOOKUP(REG_TRA_DEMANDS!Y$3,'BY-Demands'!$J$5:$AK$14,MATCH($E193,'BY-Demands'!$I$5:$I$14,0),FALSE)*HLOOKUP(REG_TRA_DEMANDS!$F193,DEMANDS!$G$2:$CK$25,MATCH($E193,DEMANDS!$E$2:$E$25,0),FALSE)/HLOOKUP(2018,DEMANDS!$G$2:$CK$25,MATCH($E193,DEMANDS!$E$2:$E$25,0),FALSE)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Z193" s="19">
        <f>HLOOKUP(REG_TRA_DEMANDS!Z$3,'BY-Demands'!$J$5:$AK$14,MATCH($E193,'BY-Demands'!$I$5:$I$14,0),FALSE)*HLOOKUP(REG_TRA_DEMANDS!$F193,DEMANDS!$G$2:$CK$25,MATCH($E193,DEMANDS!$E$2:$E$25,0),FALSE)/HLOOKUP(2018,DEMANDS!$G$2:$CK$25,MATCH($E193,DEMANDS!$E$2:$E$25,0),FALSE)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AA193" s="37">
        <f>HLOOKUP(REG_TRA_DEMANDS!AA$3,'BY-Demands'!$J$5:$AK$14,MATCH($E193,'BY-Demands'!$I$5:$I$14,0),FALSE)*HLOOKUP(REG_TRA_DEMANDS!$F193,DEMANDS!$G$2:$CK$25,MATCH($E193,DEMANDS!$E$2:$E$25,0),FALSE)/HLOOKUP(2018,DEMANDS!$G$2:$CK$25,MATCH($E193,DEMANDS!$E$2:$E$25,0),FALSE)</f>
        <v>4.4355860864064419E-05</v>
      </c>
      <c r="AB193" s="19">
        <f>HLOOKUP(REG_TRA_DEMANDS!AB$3,'BY-Demands'!$J$5:$AK$14,MATCH($E193,'BY-Demands'!$I$5:$I$14,0),FALSE)*HLOOKUP(REG_TRA_DEMANDS!$F193,DEMANDS!$G$2:$CK$25,MATCH($E193,DEMANDS!$E$2:$E$25,0),FALSE)/HLOOKUP(2018,DEMANDS!$G$2:$CK$25,MATCH($E193,DEMANDS!$E$2:$E$25,0),FALSE)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AC193" s="19">
        <f>HLOOKUP(REG_TRA_DEMANDS!AC$3,'BY-Demands'!$J$5:$AK$14,MATCH($E193,'BY-Demands'!$I$5:$I$14,0),FALSE)*HLOOKUP(REG_TRA_DEMANDS!$F193,DEMANDS!$G$2:$CK$25,MATCH($E193,DEMANDS!$E$2:$E$25,0),FALSE)/HLOOKUP(2018,DEMANDS!$G$2:$CK$25,MATCH($E193,DEMANDS!$E$2:$E$25,0),FALSE)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AD193" s="19">
        <f>HLOOKUP(REG_TRA_DEMANDS!AD$3,'BY-Demands'!$J$5:$AK$14,MATCH($E193,'BY-Demands'!$I$5:$I$14,0),FALSE)*HLOOKUP(REG_TRA_DEMANDS!$F193,DEMANDS!$G$2:$CK$25,MATCH($E193,DEMANDS!$E$2:$E$25,0),FALSE)/HLOOKUP(2018,DEMANDS!$G$2:$CK$25,MATCH($E193,DEMANDS!$E$2:$E$25,0),FALSE)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AE193" s="19">
        <f>HLOOKUP(REG_TRA_DEMANDS!AE$3,'BY-Demands'!$J$5:$AK$14,MATCH($E193,'BY-Demands'!$I$5:$I$14,0),FALSE)*HLOOKUP(REG_TRA_DEMANDS!$F193,DEMANDS!$G$2:$CK$25,MATCH($E193,DEMANDS!$E$2:$E$25,0),FALSE)/HLOOKUP(2018,DEMANDS!$G$2:$CK$25,MATCH($E193,DEMANDS!$E$2:$E$25,0),FALSE)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AF193" s="19">
        <f>HLOOKUP(REG_TRA_DEMANDS!AF$3,'BY-Demands'!$J$5:$AK$14,MATCH($E193,'BY-Demands'!$I$5:$I$14,0),FALSE)*HLOOKUP(REG_TRA_DEMANDS!$F193,DEMANDS!$G$2:$CK$25,MATCH($E193,DEMANDS!$E$2:$E$25,0),FALSE)/HLOOKUP(2018,DEMANDS!$G$2:$CK$25,MATCH($E193,DEMANDS!$E$2:$E$25,0),FALSE)</f>
        <v>0</v>
      </c>
    </row>
    <row r="194" spans="4:32" ht="14.4">
      <c r="D194" t="s">
        <v>6</v>
      </c>
      <c r="E194" t="str">
        <f>DEMANDS!$E$24</f>
        <v>TAVIDOM</v>
      </c>
      <c r="F194">
        <v>2021</v>
      </c>
      <c r="G194" s="35">
        <f>HLOOKUP(REG_TRA_DEMANDS!G$3,'BY-Demands'!$J$5:$AK$14,MATCH($E194,'BY-Demands'!$I$5:$I$14,0),FALSE)*HLOOKUP(REG_TRA_DEMANDS!$F194,DEMANDS!$G$2:$CK$25,MATCH($E194,DEMANDS!$E$2:$E$25,0),FALSE)/HLOOKUP(2018,DEMANDS!$G$2:$CK$25,MATCH($E194,DEMANDS!$E$2:$E$25,0),FALSE)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H194" s="18">
        <f>HLOOKUP(REG_TRA_DEMANDS!H$3,'BY-Demands'!$J$5:$AK$14,MATCH($E194,'BY-Demands'!$I$5:$I$14,0),FALSE)*HLOOKUP(REG_TRA_DEMANDS!$F194,DEMANDS!$G$2:$CK$25,MATCH($E194,DEMANDS!$E$2:$E$25,0),FALSE)/HLOOKUP(2018,DEMANDS!$G$2:$CK$25,MATCH($E194,DEMANDS!$E$2:$E$25,0),FALSE)</f>
        <v>0.069928010319333211</v>
      </c>
      <c r="I194" s="35">
        <f>HLOOKUP(REG_TRA_DEMANDS!I$3,'BY-Demands'!$J$5:$AK$14,MATCH($E194,'BY-Demands'!$I$5:$I$14,0),FALSE)*HLOOKUP(REG_TRA_DEMANDS!$F194,DEMANDS!$G$2:$CK$25,MATCH($E194,DEMANDS!$E$2:$E$25,0),FALSE)/HLOOKUP(2018,DEMANDS!$G$2:$CK$25,MATCH($E194,DEMANDS!$E$2:$E$25,0),FALSE)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J194" s="35">
        <f>HLOOKUP(REG_TRA_DEMANDS!J$3,'BY-Demands'!$J$5:$AK$14,MATCH($E194,'BY-Demands'!$I$5:$I$14,0),FALSE)*HLOOKUP(REG_TRA_DEMANDS!$F194,DEMANDS!$G$2:$CK$25,MATCH($E194,DEMANDS!$E$2:$E$25,0),FALSE)/HLOOKUP(2018,DEMANDS!$G$2:$CK$25,MATCH($E194,DEMANDS!$E$2:$E$25,0),FALSE)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K194" s="35">
        <f>HLOOKUP(REG_TRA_DEMANDS!K$3,'BY-Demands'!$J$5:$AK$14,MATCH($E194,'BY-Demands'!$I$5:$I$14,0),FALSE)*HLOOKUP(REG_TRA_DEMANDS!$F194,DEMANDS!$G$2:$CK$25,MATCH($E194,DEMANDS!$E$2:$E$25,0),FALSE)/HLOOKUP(2018,DEMANDS!$G$2:$CK$25,MATCH($E194,DEMANDS!$E$2:$E$25,0),FALSE)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L194" s="35">
        <f>HLOOKUP(REG_TRA_DEMANDS!L$3,'BY-Demands'!$J$5:$AK$14,MATCH($E194,'BY-Demands'!$I$5:$I$14,0),FALSE)*HLOOKUP(REG_TRA_DEMANDS!$F194,DEMANDS!$G$2:$CK$25,MATCH($E194,DEMANDS!$E$2:$E$25,0),FALSE)/HLOOKUP(2018,DEMANDS!$G$2:$CK$25,MATCH($E194,DEMANDS!$E$2:$E$25,0),FALSE)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M194" s="35">
        <f>HLOOKUP(REG_TRA_DEMANDS!M$3,'BY-Demands'!$J$5:$AK$14,MATCH($E194,'BY-Demands'!$I$5:$I$14,0),FALSE)*HLOOKUP(REG_TRA_DEMANDS!$F194,DEMANDS!$G$2:$CK$25,MATCH($E194,DEMANDS!$E$2:$E$25,0),FALSE)/HLOOKUP(2018,DEMANDS!$G$2:$CK$25,MATCH($E194,DEMANDS!$E$2:$E$25,0),FALSE)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N194" s="35">
        <f>HLOOKUP(REG_TRA_DEMANDS!N$3,'BY-Demands'!$J$5:$AK$14,MATCH($E194,'BY-Demands'!$I$5:$I$14,0),FALSE)*HLOOKUP(REG_TRA_DEMANDS!$F194,DEMANDS!$G$2:$CK$25,MATCH($E194,DEMANDS!$E$2:$E$25,0),FALSE)/HLOOKUP(2018,DEMANDS!$G$2:$CK$25,MATCH($E194,DEMANDS!$E$2:$E$25,0),FALSE)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O194" s="35">
        <f>HLOOKUP(REG_TRA_DEMANDS!O$3,'BY-Demands'!$J$5:$AK$14,MATCH($E194,'BY-Demands'!$I$5:$I$14,0),FALSE)*HLOOKUP(REG_TRA_DEMANDS!$F194,DEMANDS!$G$2:$CK$25,MATCH($E194,DEMANDS!$E$2:$E$25,0),FALSE)/HLOOKUP(2018,DEMANDS!$G$2:$CK$25,MATCH($E194,DEMANDS!$E$2:$E$25,0),FALSE)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P194" s="35">
        <f>HLOOKUP(REG_TRA_DEMANDS!P$3,'BY-Demands'!$J$5:$AK$14,MATCH($E194,'BY-Demands'!$I$5:$I$14,0),FALSE)*HLOOKUP(REG_TRA_DEMANDS!$F194,DEMANDS!$G$2:$CK$25,MATCH($E194,DEMANDS!$E$2:$E$25,0),FALSE)/HLOOKUP(2018,DEMANDS!$G$2:$CK$25,MATCH($E194,DEMANDS!$E$2:$E$25,0),FALSE)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Q194" s="35">
        <f>HLOOKUP(REG_TRA_DEMANDS!Q$3,'BY-Demands'!$J$5:$AK$14,MATCH($E194,'BY-Demands'!$I$5:$I$14,0),FALSE)*HLOOKUP(REG_TRA_DEMANDS!$F194,DEMANDS!$G$2:$CK$25,MATCH($E194,DEMANDS!$E$2:$E$25,0),FALSE)/HLOOKUP(2018,DEMANDS!$G$2:$CK$25,MATCH($E194,DEMANDS!$E$2:$E$25,0),FALSE)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R194" s="35">
        <f>HLOOKUP(REG_TRA_DEMANDS!R$3,'BY-Demands'!$J$5:$AK$14,MATCH($E194,'BY-Demands'!$I$5:$I$14,0),FALSE)*HLOOKUP(REG_TRA_DEMANDS!$F194,DEMANDS!$G$2:$CK$25,MATCH($E194,DEMANDS!$E$2:$E$25,0),FALSE)/HLOOKUP(2018,DEMANDS!$G$2:$CK$25,MATCH($E194,DEMANDS!$E$2:$E$25,0),FALSE)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S194" s="18">
        <f>HLOOKUP(REG_TRA_DEMANDS!S$3,'BY-Demands'!$J$5:$AK$14,MATCH($E194,'BY-Demands'!$I$5:$I$14,0),FALSE)*HLOOKUP(REG_TRA_DEMANDS!$F194,DEMANDS!$G$2:$CK$25,MATCH($E194,DEMANDS!$E$2:$E$25,0),FALSE)/HLOOKUP(2018,DEMANDS!$G$2:$CK$25,MATCH($E194,DEMANDS!$E$2:$E$25,0),FALSE)</f>
        <v>0.024419572931335776</v>
      </c>
      <c r="T194" s="18">
        <f>HLOOKUP(REG_TRA_DEMANDS!T$3,'BY-Demands'!$J$5:$AK$14,MATCH($E194,'BY-Demands'!$I$5:$I$14,0),FALSE)*HLOOKUP(REG_TRA_DEMANDS!$F194,DEMANDS!$G$2:$CK$25,MATCH($E194,DEMANDS!$E$2:$E$25,0),FALSE)/HLOOKUP(2018,DEMANDS!$G$2:$CK$25,MATCH($E194,DEMANDS!$E$2:$E$25,0),FALSE)</f>
        <v>0.00024196779772804261</v>
      </c>
      <c r="U194" s="18">
        <f>HLOOKUP(REG_TRA_DEMANDS!U$3,'BY-Demands'!$J$5:$AK$14,MATCH($E194,'BY-Demands'!$I$5:$I$14,0),FALSE)*HLOOKUP(REG_TRA_DEMANDS!$F194,DEMANDS!$G$2:$CK$25,MATCH($E194,DEMANDS!$E$2:$E$25,0),FALSE)/HLOOKUP(2018,DEMANDS!$G$2:$CK$25,MATCH($E194,DEMANDS!$E$2:$E$25,0),FALSE)</f>
        <v>0.024289086006752381</v>
      </c>
      <c r="V194" s="35">
        <f>HLOOKUP(REG_TRA_DEMANDS!V$3,'BY-Demands'!$J$5:$AK$14,MATCH($E194,'BY-Demands'!$I$5:$I$14,0),FALSE)*HLOOKUP(REG_TRA_DEMANDS!$F194,DEMANDS!$G$2:$CK$25,MATCH($E194,DEMANDS!$E$2:$E$25,0),FALSE)/HLOOKUP(2018,DEMANDS!$G$2:$CK$25,MATCH($E194,DEMANDS!$E$2:$E$25,0),FALSE)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W194" s="35">
        <f>HLOOKUP(REG_TRA_DEMANDS!W$3,'BY-Demands'!$J$5:$AK$14,MATCH($E194,'BY-Demands'!$I$5:$I$14,0),FALSE)*HLOOKUP(REG_TRA_DEMANDS!$F194,DEMANDS!$G$2:$CK$25,MATCH($E194,DEMANDS!$E$2:$E$25,0),FALSE)/HLOOKUP(2018,DEMANDS!$G$2:$CK$25,MATCH($E194,DEMANDS!$E$2:$E$25,0),FALSE)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X194" s="35">
        <f>HLOOKUP(REG_TRA_DEMANDS!X$3,'BY-Demands'!$J$5:$AK$14,MATCH($E194,'BY-Demands'!$I$5:$I$14,0),FALSE)*HLOOKUP(REG_TRA_DEMANDS!$F194,DEMANDS!$G$2:$CK$25,MATCH($E194,DEMANDS!$E$2:$E$25,0),FALSE)/HLOOKUP(2018,DEMANDS!$G$2:$CK$25,MATCH($E194,DEMANDS!$E$2:$E$25,0),FALSE)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Y194" s="35">
        <f>HLOOKUP(REG_TRA_DEMANDS!Y$3,'BY-Demands'!$J$5:$AK$14,MATCH($E194,'BY-Demands'!$I$5:$I$14,0),FALSE)*HLOOKUP(REG_TRA_DEMANDS!$F194,DEMANDS!$G$2:$CK$25,MATCH($E194,DEMANDS!$E$2:$E$25,0),FALSE)/HLOOKUP(2018,DEMANDS!$G$2:$CK$25,MATCH($E194,DEMANDS!$E$2:$E$25,0),FALSE)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Z194" s="35">
        <f>HLOOKUP(REG_TRA_DEMANDS!Z$3,'BY-Demands'!$J$5:$AK$14,MATCH($E194,'BY-Demands'!$I$5:$I$14,0),FALSE)*HLOOKUP(REG_TRA_DEMANDS!$F194,DEMANDS!$G$2:$CK$25,MATCH($E194,DEMANDS!$E$2:$E$25,0),FALSE)/HLOOKUP(2018,DEMANDS!$G$2:$CK$25,MATCH($E194,DEMANDS!$E$2:$E$25,0),FALSE)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AA194" s="35">
        <f>HLOOKUP(REG_TRA_DEMANDS!AA$3,'BY-Demands'!$J$5:$AK$14,MATCH($E194,'BY-Demands'!$I$5:$I$14,0),FALSE)*HLOOKUP(REG_TRA_DEMANDS!$F194,DEMANDS!$G$2:$CK$25,MATCH($E194,DEMANDS!$E$2:$E$25,0),FALSE)/HLOOKUP(2018,DEMANDS!$G$2:$CK$25,MATCH($E194,DEMANDS!$E$2:$E$25,0),FALSE)</f>
        <v>4.839355954560858E-05</v>
      </c>
      <c r="AB194" s="35">
        <f>HLOOKUP(REG_TRA_DEMANDS!AB$3,'BY-Demands'!$J$5:$AK$14,MATCH($E194,'BY-Demands'!$I$5:$I$14,0),FALSE)*HLOOKUP(REG_TRA_DEMANDS!$F194,DEMANDS!$G$2:$CK$25,MATCH($E194,DEMANDS!$E$2:$E$25,0),FALSE)/HLOOKUP(2018,DEMANDS!$G$2:$CK$25,MATCH($E194,DEMANDS!$E$2:$E$25,0),FALSE)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AC194" s="35">
        <f>HLOOKUP(REG_TRA_DEMANDS!AC$3,'BY-Demands'!$J$5:$AK$14,MATCH($E194,'BY-Demands'!$I$5:$I$14,0),FALSE)*HLOOKUP(REG_TRA_DEMANDS!$F194,DEMANDS!$G$2:$CK$25,MATCH($E194,DEMANDS!$E$2:$E$25,0),FALSE)/HLOOKUP(2018,DEMANDS!$G$2:$CK$25,MATCH($E194,DEMANDS!$E$2:$E$25,0),FALSE)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AD194" s="35">
        <f>HLOOKUP(REG_TRA_DEMANDS!AD$3,'BY-Demands'!$J$5:$AK$14,MATCH($E194,'BY-Demands'!$I$5:$I$14,0),FALSE)*HLOOKUP(REG_TRA_DEMANDS!$F194,DEMANDS!$G$2:$CK$25,MATCH($E194,DEMANDS!$E$2:$E$25,0),FALSE)/HLOOKUP(2018,DEMANDS!$G$2:$CK$25,MATCH($E194,DEMANDS!$E$2:$E$25,0),FALSE)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AE194" s="35">
        <f>HLOOKUP(REG_TRA_DEMANDS!AE$3,'BY-Demands'!$J$5:$AK$14,MATCH($E194,'BY-Demands'!$I$5:$I$14,0),FALSE)*HLOOKUP(REG_TRA_DEMANDS!$F194,DEMANDS!$G$2:$CK$25,MATCH($E194,DEMANDS!$E$2:$E$25,0),FALSE)/HLOOKUP(2018,DEMANDS!$G$2:$CK$25,MATCH($E194,DEMANDS!$E$2:$E$25,0),FALSE)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AF194" s="35">
        <f>HLOOKUP(REG_TRA_DEMANDS!AF$3,'BY-Demands'!$J$5:$AK$14,MATCH($E194,'BY-Demands'!$I$5:$I$14,0),FALSE)*HLOOKUP(REG_TRA_DEMANDS!$F194,DEMANDS!$G$2:$CK$25,MATCH($E194,DEMANDS!$E$2:$E$25,0),FALSE)/HLOOKUP(2018,DEMANDS!$G$2:$CK$25,MATCH($E194,DEMANDS!$E$2:$E$25,0),FALSE)</f>
        <v>0</v>
      </c>
    </row>
    <row r="195" spans="4:32" ht="14.4">
      <c r="D195" t="s">
        <v>6</v>
      </c>
      <c r="E195" t="str">
        <f>DEMANDS!$E$24</f>
        <v>TAVIDOM</v>
      </c>
      <c r="F195">
        <v>2022</v>
      </c>
      <c r="G195" s="35">
        <f>HLOOKUP(REG_TRA_DEMANDS!G$3,'BY-Demands'!$J$5:$AK$14,MATCH($E195,'BY-Demands'!$I$5:$I$14,0),FALSE)*HLOOKUP(REG_TRA_DEMANDS!$F195,DEMANDS!$G$2:$CK$25,MATCH($E195,DEMANDS!$E$2:$E$25,0),FALSE)/HLOOKUP(2018,DEMANDS!$G$2:$CK$25,MATCH($E195,DEMANDS!$E$2:$E$25,0),FALSE)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H195" s="18">
        <f>HLOOKUP(REG_TRA_DEMANDS!H$3,'BY-Demands'!$J$5:$AK$14,MATCH($E195,'BY-Demands'!$I$5:$I$14,0),FALSE)*HLOOKUP(REG_TRA_DEMANDS!$F195,DEMANDS!$G$2:$CK$25,MATCH($E195,DEMANDS!$E$2:$E$25,0),FALSE)/HLOOKUP(2018,DEMANDS!$G$2:$CK$25,MATCH($E195,DEMANDS!$E$2:$E$25,0),FALSE)</f>
        <v>0.13395677260860595</v>
      </c>
      <c r="I195" s="35">
        <f>HLOOKUP(REG_TRA_DEMANDS!I$3,'BY-Demands'!$J$5:$AK$14,MATCH($E195,'BY-Demands'!$I$5:$I$14,0),FALSE)*HLOOKUP(REG_TRA_DEMANDS!$F195,DEMANDS!$G$2:$CK$25,MATCH($E195,DEMANDS!$E$2:$E$25,0),FALSE)/HLOOKUP(2018,DEMANDS!$G$2:$CK$25,MATCH($E195,DEMANDS!$E$2:$E$25,0),FALSE)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J195" s="35">
        <f>HLOOKUP(REG_TRA_DEMANDS!J$3,'BY-Demands'!$J$5:$AK$14,MATCH($E195,'BY-Demands'!$I$5:$I$14,0),FALSE)*HLOOKUP(REG_TRA_DEMANDS!$F195,DEMANDS!$G$2:$CK$25,MATCH($E195,DEMANDS!$E$2:$E$25,0),FALSE)/HLOOKUP(2018,DEMANDS!$G$2:$CK$25,MATCH($E195,DEMANDS!$E$2:$E$25,0),FALSE)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K195" s="35">
        <f>HLOOKUP(REG_TRA_DEMANDS!K$3,'BY-Demands'!$J$5:$AK$14,MATCH($E195,'BY-Demands'!$I$5:$I$14,0),FALSE)*HLOOKUP(REG_TRA_DEMANDS!$F195,DEMANDS!$G$2:$CK$25,MATCH($E195,DEMANDS!$E$2:$E$25,0),FALSE)/HLOOKUP(2018,DEMANDS!$G$2:$CK$25,MATCH($E195,DEMANDS!$E$2:$E$25,0),FALSE)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L195" s="35">
        <f>HLOOKUP(REG_TRA_DEMANDS!L$3,'BY-Demands'!$J$5:$AK$14,MATCH($E195,'BY-Demands'!$I$5:$I$14,0),FALSE)*HLOOKUP(REG_TRA_DEMANDS!$F195,DEMANDS!$G$2:$CK$25,MATCH($E195,DEMANDS!$E$2:$E$25,0),FALSE)/HLOOKUP(2018,DEMANDS!$G$2:$CK$25,MATCH($E195,DEMANDS!$E$2:$E$25,0),FALSE)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M195" s="35">
        <f>HLOOKUP(REG_TRA_DEMANDS!M$3,'BY-Demands'!$J$5:$AK$14,MATCH($E195,'BY-Demands'!$I$5:$I$14,0),FALSE)*HLOOKUP(REG_TRA_DEMANDS!$F195,DEMANDS!$G$2:$CK$25,MATCH($E195,DEMANDS!$E$2:$E$25,0),FALSE)/HLOOKUP(2018,DEMANDS!$G$2:$CK$25,MATCH($E195,DEMANDS!$E$2:$E$25,0),FALSE)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N195" s="35">
        <f>HLOOKUP(REG_TRA_DEMANDS!N$3,'BY-Demands'!$J$5:$AK$14,MATCH($E195,'BY-Demands'!$I$5:$I$14,0),FALSE)*HLOOKUP(REG_TRA_DEMANDS!$F195,DEMANDS!$G$2:$CK$25,MATCH($E195,DEMANDS!$E$2:$E$25,0),FALSE)/HLOOKUP(2018,DEMANDS!$G$2:$CK$25,MATCH($E195,DEMANDS!$E$2:$E$25,0),FALSE)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O195" s="35">
        <f>HLOOKUP(REG_TRA_DEMANDS!O$3,'BY-Demands'!$J$5:$AK$14,MATCH($E195,'BY-Demands'!$I$5:$I$14,0),FALSE)*HLOOKUP(REG_TRA_DEMANDS!$F195,DEMANDS!$G$2:$CK$25,MATCH($E195,DEMANDS!$E$2:$E$25,0),FALSE)/HLOOKUP(2018,DEMANDS!$G$2:$CK$25,MATCH($E195,DEMANDS!$E$2:$E$25,0),FALSE)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P195" s="35">
        <f>HLOOKUP(REG_TRA_DEMANDS!P$3,'BY-Demands'!$J$5:$AK$14,MATCH($E195,'BY-Demands'!$I$5:$I$14,0),FALSE)*HLOOKUP(REG_TRA_DEMANDS!$F195,DEMANDS!$G$2:$CK$25,MATCH($E195,DEMANDS!$E$2:$E$25,0),FALSE)/HLOOKUP(2018,DEMANDS!$G$2:$CK$25,MATCH($E195,DEMANDS!$E$2:$E$25,0),FALSE)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Q195" s="35">
        <f>HLOOKUP(REG_TRA_DEMANDS!Q$3,'BY-Demands'!$J$5:$AK$14,MATCH($E195,'BY-Demands'!$I$5:$I$14,0),FALSE)*HLOOKUP(REG_TRA_DEMANDS!$F195,DEMANDS!$G$2:$CK$25,MATCH($E195,DEMANDS!$E$2:$E$25,0),FALSE)/HLOOKUP(2018,DEMANDS!$G$2:$CK$25,MATCH($E195,DEMANDS!$E$2:$E$25,0),FALSE)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R195" s="35">
        <f>HLOOKUP(REG_TRA_DEMANDS!R$3,'BY-Demands'!$J$5:$AK$14,MATCH($E195,'BY-Demands'!$I$5:$I$14,0),FALSE)*HLOOKUP(REG_TRA_DEMANDS!$F195,DEMANDS!$G$2:$CK$25,MATCH($E195,DEMANDS!$E$2:$E$25,0),FALSE)/HLOOKUP(2018,DEMANDS!$G$2:$CK$25,MATCH($E195,DEMANDS!$E$2:$E$25,0),FALSE)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S195" s="18">
        <f>HLOOKUP(REG_TRA_DEMANDS!S$3,'BY-Demands'!$J$5:$AK$14,MATCH($E195,'BY-Demands'!$I$5:$I$14,0),FALSE)*HLOOKUP(REG_TRA_DEMANDS!$F195,DEMANDS!$G$2:$CK$25,MATCH($E195,DEMANDS!$E$2:$E$25,0),FALSE)/HLOOKUP(2018,DEMANDS!$G$2:$CK$25,MATCH($E195,DEMANDS!$E$2:$E$25,0),FALSE)</f>
        <v>0.046779068407982807</v>
      </c>
      <c r="T195" s="18">
        <f>HLOOKUP(REG_TRA_DEMANDS!T$3,'BY-Demands'!$J$5:$AK$14,MATCH($E195,'BY-Demands'!$I$5:$I$14,0),FALSE)*HLOOKUP(REG_TRA_DEMANDS!$F195,DEMANDS!$G$2:$CK$25,MATCH($E195,DEMANDS!$E$2:$E$25,0),FALSE)/HLOOKUP(2018,DEMANDS!$G$2:$CK$25,MATCH($E195,DEMANDS!$E$2:$E$25,0),FALSE)</f>
        <v>0.00046352277307537207</v>
      </c>
      <c r="U195" s="18">
        <f>HLOOKUP(REG_TRA_DEMANDS!U$3,'BY-Demands'!$J$5:$AK$14,MATCH($E195,'BY-Demands'!$I$5:$I$14,0),FALSE)*HLOOKUP(REG_TRA_DEMANDS!$F195,DEMANDS!$G$2:$CK$25,MATCH($E195,DEMANDS!$E$2:$E$25,0),FALSE)/HLOOKUP(2018,DEMANDS!$G$2:$CK$25,MATCH($E195,DEMANDS!$E$2:$E$25,0),FALSE)</f>
        <v>0.046529102661710439</v>
      </c>
      <c r="V195" s="35">
        <f>HLOOKUP(REG_TRA_DEMANDS!V$3,'BY-Demands'!$J$5:$AK$14,MATCH($E195,'BY-Demands'!$I$5:$I$14,0),FALSE)*HLOOKUP(REG_TRA_DEMANDS!$F195,DEMANDS!$G$2:$CK$25,MATCH($E195,DEMANDS!$E$2:$E$25,0),FALSE)/HLOOKUP(2018,DEMANDS!$G$2:$CK$25,MATCH($E195,DEMANDS!$E$2:$E$25,0),FALSE)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W195" s="35">
        <f>HLOOKUP(REG_TRA_DEMANDS!W$3,'BY-Demands'!$J$5:$AK$14,MATCH($E195,'BY-Demands'!$I$5:$I$14,0),FALSE)*HLOOKUP(REG_TRA_DEMANDS!$F195,DEMANDS!$G$2:$CK$25,MATCH($E195,DEMANDS!$E$2:$E$25,0),FALSE)/HLOOKUP(2018,DEMANDS!$G$2:$CK$25,MATCH($E195,DEMANDS!$E$2:$E$25,0),FALSE)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X195" s="35">
        <f>HLOOKUP(REG_TRA_DEMANDS!X$3,'BY-Demands'!$J$5:$AK$14,MATCH($E195,'BY-Demands'!$I$5:$I$14,0),FALSE)*HLOOKUP(REG_TRA_DEMANDS!$F195,DEMANDS!$G$2:$CK$25,MATCH($E195,DEMANDS!$E$2:$E$25,0),FALSE)/HLOOKUP(2018,DEMANDS!$G$2:$CK$25,MATCH($E195,DEMANDS!$E$2:$E$25,0),FALSE)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Y195" s="35">
        <f>HLOOKUP(REG_TRA_DEMANDS!Y$3,'BY-Demands'!$J$5:$AK$14,MATCH($E195,'BY-Demands'!$I$5:$I$14,0),FALSE)*HLOOKUP(REG_TRA_DEMANDS!$F195,DEMANDS!$G$2:$CK$25,MATCH($E195,DEMANDS!$E$2:$E$25,0),FALSE)/HLOOKUP(2018,DEMANDS!$G$2:$CK$25,MATCH($E195,DEMANDS!$E$2:$E$25,0),FALSE)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Z195" s="35">
        <f>HLOOKUP(REG_TRA_DEMANDS!Z$3,'BY-Demands'!$J$5:$AK$14,MATCH($E195,'BY-Demands'!$I$5:$I$14,0),FALSE)*HLOOKUP(REG_TRA_DEMANDS!$F195,DEMANDS!$G$2:$CK$25,MATCH($E195,DEMANDS!$E$2:$E$25,0),FALSE)/HLOOKUP(2018,DEMANDS!$G$2:$CK$25,MATCH($E195,DEMANDS!$E$2:$E$25,0),FALSE)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AA195" s="35">
        <f>HLOOKUP(REG_TRA_DEMANDS!AA$3,'BY-Demands'!$J$5:$AK$14,MATCH($E195,'BY-Demands'!$I$5:$I$14,0),FALSE)*HLOOKUP(REG_TRA_DEMANDS!$F195,DEMANDS!$G$2:$CK$25,MATCH($E195,DEMANDS!$E$2:$E$25,0),FALSE)/HLOOKUP(2018,DEMANDS!$G$2:$CK$25,MATCH($E195,DEMANDS!$E$2:$E$25,0),FALSE)</f>
        <v>9.2704554615074527E-05</v>
      </c>
      <c r="AB195" s="35">
        <f>HLOOKUP(REG_TRA_DEMANDS!AB$3,'BY-Demands'!$J$5:$AK$14,MATCH($E195,'BY-Demands'!$I$5:$I$14,0),FALSE)*HLOOKUP(REG_TRA_DEMANDS!$F195,DEMANDS!$G$2:$CK$25,MATCH($E195,DEMANDS!$E$2:$E$25,0),FALSE)/HLOOKUP(2018,DEMANDS!$G$2:$CK$25,MATCH($E195,DEMANDS!$E$2:$E$25,0),FALSE)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AC195" s="35">
        <f>HLOOKUP(REG_TRA_DEMANDS!AC$3,'BY-Demands'!$J$5:$AK$14,MATCH($E195,'BY-Demands'!$I$5:$I$14,0),FALSE)*HLOOKUP(REG_TRA_DEMANDS!$F195,DEMANDS!$G$2:$CK$25,MATCH($E195,DEMANDS!$E$2:$E$25,0),FALSE)/HLOOKUP(2018,DEMANDS!$G$2:$CK$25,MATCH($E195,DEMANDS!$E$2:$E$25,0),FALSE)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AD195" s="35">
        <f>HLOOKUP(REG_TRA_DEMANDS!AD$3,'BY-Demands'!$J$5:$AK$14,MATCH($E195,'BY-Demands'!$I$5:$I$14,0),FALSE)*HLOOKUP(REG_TRA_DEMANDS!$F195,DEMANDS!$G$2:$CK$25,MATCH($E195,DEMANDS!$E$2:$E$25,0),FALSE)/HLOOKUP(2018,DEMANDS!$G$2:$CK$25,MATCH($E195,DEMANDS!$E$2:$E$25,0),FALSE)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AE195" s="35">
        <f>HLOOKUP(REG_TRA_DEMANDS!AE$3,'BY-Demands'!$J$5:$AK$14,MATCH($E195,'BY-Demands'!$I$5:$I$14,0),FALSE)*HLOOKUP(REG_TRA_DEMANDS!$F195,DEMANDS!$G$2:$CK$25,MATCH($E195,DEMANDS!$E$2:$E$25,0),FALSE)/HLOOKUP(2018,DEMANDS!$G$2:$CK$25,MATCH($E195,DEMANDS!$E$2:$E$25,0),FALSE)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AF195" s="35">
        <f>HLOOKUP(REG_TRA_DEMANDS!AF$3,'BY-Demands'!$J$5:$AK$14,MATCH($E195,'BY-Demands'!$I$5:$I$14,0),FALSE)*HLOOKUP(REG_TRA_DEMANDS!$F195,DEMANDS!$G$2:$CK$25,MATCH($E195,DEMANDS!$E$2:$E$25,0),FALSE)/HLOOKUP(2018,DEMANDS!$G$2:$CK$25,MATCH($E195,DEMANDS!$E$2:$E$25,0),FALSE)</f>
        <v>0</v>
      </c>
    </row>
    <row r="196" spans="4:32" ht="14.4">
      <c r="D196" t="s">
        <v>6</v>
      </c>
      <c r="E196" t="str">
        <f>DEMANDS!$E$24</f>
        <v>TAVIDOM</v>
      </c>
      <c r="F196">
        <v>2023</v>
      </c>
      <c r="G196" s="35">
        <f>HLOOKUP(REG_TRA_DEMANDS!G$3,'BY-Demands'!$J$5:$AK$14,MATCH($E196,'BY-Demands'!$I$5:$I$14,0),FALSE)*HLOOKUP(REG_TRA_DEMANDS!$F196,DEMANDS!$G$2:$CK$25,MATCH($E196,DEMANDS!$E$2:$E$25,0),FALSE)/HLOOKUP(2018,DEMANDS!$G$2:$CK$25,MATCH($E196,DEMANDS!$E$2:$E$25,0),FALSE)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H196" s="18">
        <f>HLOOKUP(REG_TRA_DEMANDS!H$3,'BY-Demands'!$J$5:$AK$14,MATCH($E196,'BY-Demands'!$I$5:$I$14,0),FALSE)*HLOOKUP(REG_TRA_DEMANDS!$F196,DEMANDS!$G$2:$CK$25,MATCH($E196,DEMANDS!$E$2:$E$25,0),FALSE)/HLOOKUP(2018,DEMANDS!$G$2:$CK$25,MATCH($E196,DEMANDS!$E$2:$E$25,0),FALSE)</f>
        <v>0.13395677260860595</v>
      </c>
      <c r="I196" s="35">
        <f>HLOOKUP(REG_TRA_DEMANDS!I$3,'BY-Demands'!$J$5:$AK$14,MATCH($E196,'BY-Demands'!$I$5:$I$14,0),FALSE)*HLOOKUP(REG_TRA_DEMANDS!$F196,DEMANDS!$G$2:$CK$25,MATCH($E196,DEMANDS!$E$2:$E$25,0),FALSE)/HLOOKUP(2018,DEMANDS!$G$2:$CK$25,MATCH($E196,DEMANDS!$E$2:$E$25,0),FALSE)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J196" s="35">
        <f>HLOOKUP(REG_TRA_DEMANDS!J$3,'BY-Demands'!$J$5:$AK$14,MATCH($E196,'BY-Demands'!$I$5:$I$14,0),FALSE)*HLOOKUP(REG_TRA_DEMANDS!$F196,DEMANDS!$G$2:$CK$25,MATCH($E196,DEMANDS!$E$2:$E$25,0),FALSE)/HLOOKUP(2018,DEMANDS!$G$2:$CK$25,MATCH($E196,DEMANDS!$E$2:$E$25,0),FALSE)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K196" s="35">
        <f>HLOOKUP(REG_TRA_DEMANDS!K$3,'BY-Demands'!$J$5:$AK$14,MATCH($E196,'BY-Demands'!$I$5:$I$14,0),FALSE)*HLOOKUP(REG_TRA_DEMANDS!$F196,DEMANDS!$G$2:$CK$25,MATCH($E196,DEMANDS!$E$2:$E$25,0),FALSE)/HLOOKUP(2018,DEMANDS!$G$2:$CK$25,MATCH($E196,DEMANDS!$E$2:$E$25,0),FALSE)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L196" s="35">
        <f>HLOOKUP(REG_TRA_DEMANDS!L$3,'BY-Demands'!$J$5:$AK$14,MATCH($E196,'BY-Demands'!$I$5:$I$14,0),FALSE)*HLOOKUP(REG_TRA_DEMANDS!$F196,DEMANDS!$G$2:$CK$25,MATCH($E196,DEMANDS!$E$2:$E$25,0),FALSE)/HLOOKUP(2018,DEMANDS!$G$2:$CK$25,MATCH($E196,DEMANDS!$E$2:$E$25,0),FALSE)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M196" s="35">
        <f>HLOOKUP(REG_TRA_DEMANDS!M$3,'BY-Demands'!$J$5:$AK$14,MATCH($E196,'BY-Demands'!$I$5:$I$14,0),FALSE)*HLOOKUP(REG_TRA_DEMANDS!$F196,DEMANDS!$G$2:$CK$25,MATCH($E196,DEMANDS!$E$2:$E$25,0),FALSE)/HLOOKUP(2018,DEMANDS!$G$2:$CK$25,MATCH($E196,DEMANDS!$E$2:$E$25,0),FALSE)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N196" s="35">
        <f>HLOOKUP(REG_TRA_DEMANDS!N$3,'BY-Demands'!$J$5:$AK$14,MATCH($E196,'BY-Demands'!$I$5:$I$14,0),FALSE)*HLOOKUP(REG_TRA_DEMANDS!$F196,DEMANDS!$G$2:$CK$25,MATCH($E196,DEMANDS!$E$2:$E$25,0),FALSE)/HLOOKUP(2018,DEMANDS!$G$2:$CK$25,MATCH($E196,DEMANDS!$E$2:$E$25,0),FALSE)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O196" s="35">
        <f>HLOOKUP(REG_TRA_DEMANDS!O$3,'BY-Demands'!$J$5:$AK$14,MATCH($E196,'BY-Demands'!$I$5:$I$14,0),FALSE)*HLOOKUP(REG_TRA_DEMANDS!$F196,DEMANDS!$G$2:$CK$25,MATCH($E196,DEMANDS!$E$2:$E$25,0),FALSE)/HLOOKUP(2018,DEMANDS!$G$2:$CK$25,MATCH($E196,DEMANDS!$E$2:$E$25,0),FALSE)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P196" s="35">
        <f>HLOOKUP(REG_TRA_DEMANDS!P$3,'BY-Demands'!$J$5:$AK$14,MATCH($E196,'BY-Demands'!$I$5:$I$14,0),FALSE)*HLOOKUP(REG_TRA_DEMANDS!$F196,DEMANDS!$G$2:$CK$25,MATCH($E196,DEMANDS!$E$2:$E$25,0),FALSE)/HLOOKUP(2018,DEMANDS!$G$2:$CK$25,MATCH($E196,DEMANDS!$E$2:$E$25,0),FALSE)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Q196" s="35">
        <f>HLOOKUP(REG_TRA_DEMANDS!Q$3,'BY-Demands'!$J$5:$AK$14,MATCH($E196,'BY-Demands'!$I$5:$I$14,0),FALSE)*HLOOKUP(REG_TRA_DEMANDS!$F196,DEMANDS!$G$2:$CK$25,MATCH($E196,DEMANDS!$E$2:$E$25,0),FALSE)/HLOOKUP(2018,DEMANDS!$G$2:$CK$25,MATCH($E196,DEMANDS!$E$2:$E$25,0),FALSE)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R196" s="35">
        <f>HLOOKUP(REG_TRA_DEMANDS!R$3,'BY-Demands'!$J$5:$AK$14,MATCH($E196,'BY-Demands'!$I$5:$I$14,0),FALSE)*HLOOKUP(REG_TRA_DEMANDS!$F196,DEMANDS!$G$2:$CK$25,MATCH($E196,DEMANDS!$E$2:$E$25,0),FALSE)/HLOOKUP(2018,DEMANDS!$G$2:$CK$25,MATCH($E196,DEMANDS!$E$2:$E$25,0),FALSE)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S196" s="18">
        <f>HLOOKUP(REG_TRA_DEMANDS!S$3,'BY-Demands'!$J$5:$AK$14,MATCH($E196,'BY-Demands'!$I$5:$I$14,0),FALSE)*HLOOKUP(REG_TRA_DEMANDS!$F196,DEMANDS!$G$2:$CK$25,MATCH($E196,DEMANDS!$E$2:$E$25,0),FALSE)/HLOOKUP(2018,DEMANDS!$G$2:$CK$25,MATCH($E196,DEMANDS!$E$2:$E$25,0),FALSE)</f>
        <v>0.046779068407982807</v>
      </c>
      <c r="T196" s="18">
        <f>HLOOKUP(REG_TRA_DEMANDS!T$3,'BY-Demands'!$J$5:$AK$14,MATCH($E196,'BY-Demands'!$I$5:$I$14,0),FALSE)*HLOOKUP(REG_TRA_DEMANDS!$F196,DEMANDS!$G$2:$CK$25,MATCH($E196,DEMANDS!$E$2:$E$25,0),FALSE)/HLOOKUP(2018,DEMANDS!$G$2:$CK$25,MATCH($E196,DEMANDS!$E$2:$E$25,0),FALSE)</f>
        <v>0.00046352277307537207</v>
      </c>
      <c r="U196" s="18">
        <f>HLOOKUP(REG_TRA_DEMANDS!U$3,'BY-Demands'!$J$5:$AK$14,MATCH($E196,'BY-Demands'!$I$5:$I$14,0),FALSE)*HLOOKUP(REG_TRA_DEMANDS!$F196,DEMANDS!$G$2:$CK$25,MATCH($E196,DEMANDS!$E$2:$E$25,0),FALSE)/HLOOKUP(2018,DEMANDS!$G$2:$CK$25,MATCH($E196,DEMANDS!$E$2:$E$25,0),FALSE)</f>
        <v>0.046529102661710439</v>
      </c>
      <c r="V196" s="35">
        <f>HLOOKUP(REG_TRA_DEMANDS!V$3,'BY-Demands'!$J$5:$AK$14,MATCH($E196,'BY-Demands'!$I$5:$I$14,0),FALSE)*HLOOKUP(REG_TRA_DEMANDS!$F196,DEMANDS!$G$2:$CK$25,MATCH($E196,DEMANDS!$E$2:$E$25,0),FALSE)/HLOOKUP(2018,DEMANDS!$G$2:$CK$25,MATCH($E196,DEMANDS!$E$2:$E$25,0),FALSE)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W196" s="35">
        <f>HLOOKUP(REG_TRA_DEMANDS!W$3,'BY-Demands'!$J$5:$AK$14,MATCH($E196,'BY-Demands'!$I$5:$I$14,0),FALSE)*HLOOKUP(REG_TRA_DEMANDS!$F196,DEMANDS!$G$2:$CK$25,MATCH($E196,DEMANDS!$E$2:$E$25,0),FALSE)/HLOOKUP(2018,DEMANDS!$G$2:$CK$25,MATCH($E196,DEMANDS!$E$2:$E$25,0),FALSE)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X196" s="35">
        <f>HLOOKUP(REG_TRA_DEMANDS!X$3,'BY-Demands'!$J$5:$AK$14,MATCH($E196,'BY-Demands'!$I$5:$I$14,0),FALSE)*HLOOKUP(REG_TRA_DEMANDS!$F196,DEMANDS!$G$2:$CK$25,MATCH($E196,DEMANDS!$E$2:$E$25,0),FALSE)/HLOOKUP(2018,DEMANDS!$G$2:$CK$25,MATCH($E196,DEMANDS!$E$2:$E$25,0),FALSE)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Y196" s="35">
        <f>HLOOKUP(REG_TRA_DEMANDS!Y$3,'BY-Demands'!$J$5:$AK$14,MATCH($E196,'BY-Demands'!$I$5:$I$14,0),FALSE)*HLOOKUP(REG_TRA_DEMANDS!$F196,DEMANDS!$G$2:$CK$25,MATCH($E196,DEMANDS!$E$2:$E$25,0),FALSE)/HLOOKUP(2018,DEMANDS!$G$2:$CK$25,MATCH($E196,DEMANDS!$E$2:$E$25,0),FALSE)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Z196" s="35">
        <f>HLOOKUP(REG_TRA_DEMANDS!Z$3,'BY-Demands'!$J$5:$AK$14,MATCH($E196,'BY-Demands'!$I$5:$I$14,0),FALSE)*HLOOKUP(REG_TRA_DEMANDS!$F196,DEMANDS!$G$2:$CK$25,MATCH($E196,DEMANDS!$E$2:$E$25,0),FALSE)/HLOOKUP(2018,DEMANDS!$G$2:$CK$25,MATCH($E196,DEMANDS!$E$2:$E$25,0),FALSE)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AA196" s="35">
        <f>HLOOKUP(REG_TRA_DEMANDS!AA$3,'BY-Demands'!$J$5:$AK$14,MATCH($E196,'BY-Demands'!$I$5:$I$14,0),FALSE)*HLOOKUP(REG_TRA_DEMANDS!$F196,DEMANDS!$G$2:$CK$25,MATCH($E196,DEMANDS!$E$2:$E$25,0),FALSE)/HLOOKUP(2018,DEMANDS!$G$2:$CK$25,MATCH($E196,DEMANDS!$E$2:$E$25,0),FALSE)</f>
        <v>9.2704554615074527E-05</v>
      </c>
      <c r="AB196" s="35">
        <f>HLOOKUP(REG_TRA_DEMANDS!AB$3,'BY-Demands'!$J$5:$AK$14,MATCH($E196,'BY-Demands'!$I$5:$I$14,0),FALSE)*HLOOKUP(REG_TRA_DEMANDS!$F196,DEMANDS!$G$2:$CK$25,MATCH($E196,DEMANDS!$E$2:$E$25,0),FALSE)/HLOOKUP(2018,DEMANDS!$G$2:$CK$25,MATCH($E196,DEMANDS!$E$2:$E$25,0),FALSE)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AC196" s="35">
        <f>HLOOKUP(REG_TRA_DEMANDS!AC$3,'BY-Demands'!$J$5:$AK$14,MATCH($E196,'BY-Demands'!$I$5:$I$14,0),FALSE)*HLOOKUP(REG_TRA_DEMANDS!$F196,DEMANDS!$G$2:$CK$25,MATCH($E196,DEMANDS!$E$2:$E$25,0),FALSE)/HLOOKUP(2018,DEMANDS!$G$2:$CK$25,MATCH($E196,DEMANDS!$E$2:$E$25,0),FALSE)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AD196" s="35">
        <f>HLOOKUP(REG_TRA_DEMANDS!AD$3,'BY-Demands'!$J$5:$AK$14,MATCH($E196,'BY-Demands'!$I$5:$I$14,0),FALSE)*HLOOKUP(REG_TRA_DEMANDS!$F196,DEMANDS!$G$2:$CK$25,MATCH($E196,DEMANDS!$E$2:$E$25,0),FALSE)/HLOOKUP(2018,DEMANDS!$G$2:$CK$25,MATCH($E196,DEMANDS!$E$2:$E$25,0),FALSE)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AE196" s="35">
        <f>HLOOKUP(REG_TRA_DEMANDS!AE$3,'BY-Demands'!$J$5:$AK$14,MATCH($E196,'BY-Demands'!$I$5:$I$14,0),FALSE)*HLOOKUP(REG_TRA_DEMANDS!$F196,DEMANDS!$G$2:$CK$25,MATCH($E196,DEMANDS!$E$2:$E$25,0),FALSE)/HLOOKUP(2018,DEMANDS!$G$2:$CK$25,MATCH($E196,DEMANDS!$E$2:$E$25,0),FALSE)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AF196" s="35">
        <f>HLOOKUP(REG_TRA_DEMANDS!AF$3,'BY-Demands'!$J$5:$AK$14,MATCH($E196,'BY-Demands'!$I$5:$I$14,0),FALSE)*HLOOKUP(REG_TRA_DEMANDS!$F196,DEMANDS!$G$2:$CK$25,MATCH($E196,DEMANDS!$E$2:$E$25,0),FALSE)/HLOOKUP(2018,DEMANDS!$G$2:$CK$25,MATCH($E196,DEMANDS!$E$2:$E$25,0),FALSE)</f>
        <v>0</v>
      </c>
    </row>
    <row r="197" spans="4:32" ht="14.4">
      <c r="D197" t="s">
        <v>6</v>
      </c>
      <c r="E197" t="str">
        <f>DEMANDS!$E$24</f>
        <v>TAVIDOM</v>
      </c>
      <c r="F197">
        <v>2024</v>
      </c>
      <c r="G197" s="35">
        <f>HLOOKUP(REG_TRA_DEMANDS!G$3,'BY-Demands'!$J$5:$AK$14,MATCH($E197,'BY-Demands'!$I$5:$I$14,0),FALSE)*HLOOKUP(REG_TRA_DEMANDS!$F197,DEMANDS!$G$2:$CK$25,MATCH($E197,DEMANDS!$E$2:$E$25,0),FALSE)/HLOOKUP(2018,DEMANDS!$G$2:$CK$25,MATCH($E197,DEMANDS!$E$2:$E$25,0),FALSE)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H197" s="18">
        <f>HLOOKUP(REG_TRA_DEMANDS!H$3,'BY-Demands'!$J$5:$AK$14,MATCH($E197,'BY-Demands'!$I$5:$I$14,0),FALSE)*HLOOKUP(REG_TRA_DEMANDS!$F197,DEMANDS!$G$2:$CK$25,MATCH($E197,DEMANDS!$E$2:$E$25,0),FALSE)/HLOOKUP(2018,DEMANDS!$G$2:$CK$25,MATCH($E197,DEMANDS!$E$2:$E$25,0),FALSE)</f>
        <v>0.13395677260860595</v>
      </c>
      <c r="I197" s="35">
        <f>HLOOKUP(REG_TRA_DEMANDS!I$3,'BY-Demands'!$J$5:$AK$14,MATCH($E197,'BY-Demands'!$I$5:$I$14,0),FALSE)*HLOOKUP(REG_TRA_DEMANDS!$F197,DEMANDS!$G$2:$CK$25,MATCH($E197,DEMANDS!$E$2:$E$25,0),FALSE)/HLOOKUP(2018,DEMANDS!$G$2:$CK$25,MATCH($E197,DEMANDS!$E$2:$E$25,0),FALSE)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J197" s="35">
        <f>HLOOKUP(REG_TRA_DEMANDS!J$3,'BY-Demands'!$J$5:$AK$14,MATCH($E197,'BY-Demands'!$I$5:$I$14,0),FALSE)*HLOOKUP(REG_TRA_DEMANDS!$F197,DEMANDS!$G$2:$CK$25,MATCH($E197,DEMANDS!$E$2:$E$25,0),FALSE)/HLOOKUP(2018,DEMANDS!$G$2:$CK$25,MATCH($E197,DEMANDS!$E$2:$E$25,0),FALSE)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K197" s="35">
        <f>HLOOKUP(REG_TRA_DEMANDS!K$3,'BY-Demands'!$J$5:$AK$14,MATCH($E197,'BY-Demands'!$I$5:$I$14,0),FALSE)*HLOOKUP(REG_TRA_DEMANDS!$F197,DEMANDS!$G$2:$CK$25,MATCH($E197,DEMANDS!$E$2:$E$25,0),FALSE)/HLOOKUP(2018,DEMANDS!$G$2:$CK$25,MATCH($E197,DEMANDS!$E$2:$E$25,0),FALSE)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L197" s="35">
        <f>HLOOKUP(REG_TRA_DEMANDS!L$3,'BY-Demands'!$J$5:$AK$14,MATCH($E197,'BY-Demands'!$I$5:$I$14,0),FALSE)*HLOOKUP(REG_TRA_DEMANDS!$F197,DEMANDS!$G$2:$CK$25,MATCH($E197,DEMANDS!$E$2:$E$25,0),FALSE)/HLOOKUP(2018,DEMANDS!$G$2:$CK$25,MATCH($E197,DEMANDS!$E$2:$E$25,0),FALSE)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M197" s="35">
        <f>HLOOKUP(REG_TRA_DEMANDS!M$3,'BY-Demands'!$J$5:$AK$14,MATCH($E197,'BY-Demands'!$I$5:$I$14,0),FALSE)*HLOOKUP(REG_TRA_DEMANDS!$F197,DEMANDS!$G$2:$CK$25,MATCH($E197,DEMANDS!$E$2:$E$25,0),FALSE)/HLOOKUP(2018,DEMANDS!$G$2:$CK$25,MATCH($E197,DEMANDS!$E$2:$E$25,0),FALSE)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N197" s="35">
        <f>HLOOKUP(REG_TRA_DEMANDS!N$3,'BY-Demands'!$J$5:$AK$14,MATCH($E197,'BY-Demands'!$I$5:$I$14,0),FALSE)*HLOOKUP(REG_TRA_DEMANDS!$F197,DEMANDS!$G$2:$CK$25,MATCH($E197,DEMANDS!$E$2:$E$25,0),FALSE)/HLOOKUP(2018,DEMANDS!$G$2:$CK$25,MATCH($E197,DEMANDS!$E$2:$E$25,0),FALSE)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O197" s="35">
        <f>HLOOKUP(REG_TRA_DEMANDS!O$3,'BY-Demands'!$J$5:$AK$14,MATCH($E197,'BY-Demands'!$I$5:$I$14,0),FALSE)*HLOOKUP(REG_TRA_DEMANDS!$F197,DEMANDS!$G$2:$CK$25,MATCH($E197,DEMANDS!$E$2:$E$25,0),FALSE)/HLOOKUP(2018,DEMANDS!$G$2:$CK$25,MATCH($E197,DEMANDS!$E$2:$E$25,0),FALSE)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P197" s="35">
        <f>HLOOKUP(REG_TRA_DEMANDS!P$3,'BY-Demands'!$J$5:$AK$14,MATCH($E197,'BY-Demands'!$I$5:$I$14,0),FALSE)*HLOOKUP(REG_TRA_DEMANDS!$F197,DEMANDS!$G$2:$CK$25,MATCH($E197,DEMANDS!$E$2:$E$25,0),FALSE)/HLOOKUP(2018,DEMANDS!$G$2:$CK$25,MATCH($E197,DEMANDS!$E$2:$E$25,0),FALSE)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Q197" s="35">
        <f>HLOOKUP(REG_TRA_DEMANDS!Q$3,'BY-Demands'!$J$5:$AK$14,MATCH($E197,'BY-Demands'!$I$5:$I$14,0),FALSE)*HLOOKUP(REG_TRA_DEMANDS!$F197,DEMANDS!$G$2:$CK$25,MATCH($E197,DEMANDS!$E$2:$E$25,0),FALSE)/HLOOKUP(2018,DEMANDS!$G$2:$CK$25,MATCH($E197,DEMANDS!$E$2:$E$25,0),FALSE)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R197" s="35">
        <f>HLOOKUP(REG_TRA_DEMANDS!R$3,'BY-Demands'!$J$5:$AK$14,MATCH($E197,'BY-Demands'!$I$5:$I$14,0),FALSE)*HLOOKUP(REG_TRA_DEMANDS!$F197,DEMANDS!$G$2:$CK$25,MATCH($E197,DEMANDS!$E$2:$E$25,0),FALSE)/HLOOKUP(2018,DEMANDS!$G$2:$CK$25,MATCH($E197,DEMANDS!$E$2:$E$25,0),FALSE)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S197" s="18">
        <f>HLOOKUP(REG_TRA_DEMANDS!S$3,'BY-Demands'!$J$5:$AK$14,MATCH($E197,'BY-Demands'!$I$5:$I$14,0),FALSE)*HLOOKUP(REG_TRA_DEMANDS!$F197,DEMANDS!$G$2:$CK$25,MATCH($E197,DEMANDS!$E$2:$E$25,0),FALSE)/HLOOKUP(2018,DEMANDS!$G$2:$CK$25,MATCH($E197,DEMANDS!$E$2:$E$25,0),FALSE)</f>
        <v>0.046779068407982807</v>
      </c>
      <c r="T197" s="18">
        <f>HLOOKUP(REG_TRA_DEMANDS!T$3,'BY-Demands'!$J$5:$AK$14,MATCH($E197,'BY-Demands'!$I$5:$I$14,0),FALSE)*HLOOKUP(REG_TRA_DEMANDS!$F197,DEMANDS!$G$2:$CK$25,MATCH($E197,DEMANDS!$E$2:$E$25,0),FALSE)/HLOOKUP(2018,DEMANDS!$G$2:$CK$25,MATCH($E197,DEMANDS!$E$2:$E$25,0),FALSE)</f>
        <v>0.00046352277307537207</v>
      </c>
      <c r="U197" s="18">
        <f>HLOOKUP(REG_TRA_DEMANDS!U$3,'BY-Demands'!$J$5:$AK$14,MATCH($E197,'BY-Demands'!$I$5:$I$14,0),FALSE)*HLOOKUP(REG_TRA_DEMANDS!$F197,DEMANDS!$G$2:$CK$25,MATCH($E197,DEMANDS!$E$2:$E$25,0),FALSE)/HLOOKUP(2018,DEMANDS!$G$2:$CK$25,MATCH($E197,DEMANDS!$E$2:$E$25,0),FALSE)</f>
        <v>0.046529102661710439</v>
      </c>
      <c r="V197" s="35">
        <f>HLOOKUP(REG_TRA_DEMANDS!V$3,'BY-Demands'!$J$5:$AK$14,MATCH($E197,'BY-Demands'!$I$5:$I$14,0),FALSE)*HLOOKUP(REG_TRA_DEMANDS!$F197,DEMANDS!$G$2:$CK$25,MATCH($E197,DEMANDS!$E$2:$E$25,0),FALSE)/HLOOKUP(2018,DEMANDS!$G$2:$CK$25,MATCH($E197,DEMANDS!$E$2:$E$25,0),FALSE)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W197" s="35">
        <f>HLOOKUP(REG_TRA_DEMANDS!W$3,'BY-Demands'!$J$5:$AK$14,MATCH($E197,'BY-Demands'!$I$5:$I$14,0),FALSE)*HLOOKUP(REG_TRA_DEMANDS!$F197,DEMANDS!$G$2:$CK$25,MATCH($E197,DEMANDS!$E$2:$E$25,0),FALSE)/HLOOKUP(2018,DEMANDS!$G$2:$CK$25,MATCH($E197,DEMANDS!$E$2:$E$25,0),FALSE)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X197" s="35">
        <f>HLOOKUP(REG_TRA_DEMANDS!X$3,'BY-Demands'!$J$5:$AK$14,MATCH($E197,'BY-Demands'!$I$5:$I$14,0),FALSE)*HLOOKUP(REG_TRA_DEMANDS!$F197,DEMANDS!$G$2:$CK$25,MATCH($E197,DEMANDS!$E$2:$E$25,0),FALSE)/HLOOKUP(2018,DEMANDS!$G$2:$CK$25,MATCH($E197,DEMANDS!$E$2:$E$25,0),FALSE)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Y197" s="35">
        <f>HLOOKUP(REG_TRA_DEMANDS!Y$3,'BY-Demands'!$J$5:$AK$14,MATCH($E197,'BY-Demands'!$I$5:$I$14,0),FALSE)*HLOOKUP(REG_TRA_DEMANDS!$F197,DEMANDS!$G$2:$CK$25,MATCH($E197,DEMANDS!$E$2:$E$25,0),FALSE)/HLOOKUP(2018,DEMANDS!$G$2:$CK$25,MATCH($E197,DEMANDS!$E$2:$E$25,0),FALSE)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Z197" s="35">
        <f>HLOOKUP(REG_TRA_DEMANDS!Z$3,'BY-Demands'!$J$5:$AK$14,MATCH($E197,'BY-Demands'!$I$5:$I$14,0),FALSE)*HLOOKUP(REG_TRA_DEMANDS!$F197,DEMANDS!$G$2:$CK$25,MATCH($E197,DEMANDS!$E$2:$E$25,0),FALSE)/HLOOKUP(2018,DEMANDS!$G$2:$CK$25,MATCH($E197,DEMANDS!$E$2:$E$25,0),FALSE)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AA197" s="35">
        <f>HLOOKUP(REG_TRA_DEMANDS!AA$3,'BY-Demands'!$J$5:$AK$14,MATCH($E197,'BY-Demands'!$I$5:$I$14,0),FALSE)*HLOOKUP(REG_TRA_DEMANDS!$F197,DEMANDS!$G$2:$CK$25,MATCH($E197,DEMANDS!$E$2:$E$25,0),FALSE)/HLOOKUP(2018,DEMANDS!$G$2:$CK$25,MATCH($E197,DEMANDS!$E$2:$E$25,0),FALSE)</f>
        <v>9.2704554615074527E-05</v>
      </c>
      <c r="AB197" s="35">
        <f>HLOOKUP(REG_TRA_DEMANDS!AB$3,'BY-Demands'!$J$5:$AK$14,MATCH($E197,'BY-Demands'!$I$5:$I$14,0),FALSE)*HLOOKUP(REG_TRA_DEMANDS!$F197,DEMANDS!$G$2:$CK$25,MATCH($E197,DEMANDS!$E$2:$E$25,0),FALSE)/HLOOKUP(2018,DEMANDS!$G$2:$CK$25,MATCH($E197,DEMANDS!$E$2:$E$25,0),FALSE)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AC197" s="35">
        <f>HLOOKUP(REG_TRA_DEMANDS!AC$3,'BY-Demands'!$J$5:$AK$14,MATCH($E197,'BY-Demands'!$I$5:$I$14,0),FALSE)*HLOOKUP(REG_TRA_DEMANDS!$F197,DEMANDS!$G$2:$CK$25,MATCH($E197,DEMANDS!$E$2:$E$25,0),FALSE)/HLOOKUP(2018,DEMANDS!$G$2:$CK$25,MATCH($E197,DEMANDS!$E$2:$E$25,0),FALSE)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AD197" s="35">
        <f>HLOOKUP(REG_TRA_DEMANDS!AD$3,'BY-Demands'!$J$5:$AK$14,MATCH($E197,'BY-Demands'!$I$5:$I$14,0),FALSE)*HLOOKUP(REG_TRA_DEMANDS!$F197,DEMANDS!$G$2:$CK$25,MATCH($E197,DEMANDS!$E$2:$E$25,0),FALSE)/HLOOKUP(2018,DEMANDS!$G$2:$CK$25,MATCH($E197,DEMANDS!$E$2:$E$25,0),FALSE)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AE197" s="35">
        <f>HLOOKUP(REG_TRA_DEMANDS!AE$3,'BY-Demands'!$J$5:$AK$14,MATCH($E197,'BY-Demands'!$I$5:$I$14,0),FALSE)*HLOOKUP(REG_TRA_DEMANDS!$F197,DEMANDS!$G$2:$CK$25,MATCH($E197,DEMANDS!$E$2:$E$25,0),FALSE)/HLOOKUP(2018,DEMANDS!$G$2:$CK$25,MATCH($E197,DEMANDS!$E$2:$E$25,0),FALSE)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AF197" s="35">
        <f>HLOOKUP(REG_TRA_DEMANDS!AF$3,'BY-Demands'!$J$5:$AK$14,MATCH($E197,'BY-Demands'!$I$5:$I$14,0),FALSE)*HLOOKUP(REG_TRA_DEMANDS!$F197,DEMANDS!$G$2:$CK$25,MATCH($E197,DEMANDS!$E$2:$E$25,0),FALSE)/HLOOKUP(2018,DEMANDS!$G$2:$CK$25,MATCH($E197,DEMANDS!$E$2:$E$25,0),FALSE)</f>
        <v>0</v>
      </c>
    </row>
    <row r="198" spans="4:32" ht="14.4">
      <c r="D198" t="s">
        <v>6</v>
      </c>
      <c r="E198" t="str">
        <f>DEMANDS!$E$24</f>
        <v>TAVIDOM</v>
      </c>
      <c r="F198">
        <v>2025</v>
      </c>
      <c r="G198" s="35">
        <f>HLOOKUP(REG_TRA_DEMANDS!G$3,'BY-Demands'!$J$5:$AK$14,MATCH($E198,'BY-Demands'!$I$5:$I$14,0),FALSE)*HLOOKUP(REG_TRA_DEMANDS!$F198,DEMANDS!$G$2:$CK$25,MATCH($E198,DEMANDS!$E$2:$E$25,0),FALSE)/HLOOKUP(2018,DEMANDS!$G$2:$CK$25,MATCH($E198,DEMANDS!$E$2:$E$25,0),FALSE)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H198" s="18">
        <f>HLOOKUP(REG_TRA_DEMANDS!H$3,'BY-Demands'!$J$5:$AK$14,MATCH($E198,'BY-Demands'!$I$5:$I$14,0),FALSE)*HLOOKUP(REG_TRA_DEMANDS!$F198,DEMANDS!$G$2:$CK$25,MATCH($E198,DEMANDS!$E$2:$E$25,0),FALSE)/HLOOKUP(2018,DEMANDS!$G$2:$CK$25,MATCH($E198,DEMANDS!$E$2:$E$25,0),FALSE)</f>
        <v>0.13395677260860595</v>
      </c>
      <c r="I198" s="35">
        <f>HLOOKUP(REG_TRA_DEMANDS!I$3,'BY-Demands'!$J$5:$AK$14,MATCH($E198,'BY-Demands'!$I$5:$I$14,0),FALSE)*HLOOKUP(REG_TRA_DEMANDS!$F198,DEMANDS!$G$2:$CK$25,MATCH($E198,DEMANDS!$E$2:$E$25,0),FALSE)/HLOOKUP(2018,DEMANDS!$G$2:$CK$25,MATCH($E198,DEMANDS!$E$2:$E$25,0),FALSE)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J198" s="35">
        <f>HLOOKUP(REG_TRA_DEMANDS!J$3,'BY-Demands'!$J$5:$AK$14,MATCH($E198,'BY-Demands'!$I$5:$I$14,0),FALSE)*HLOOKUP(REG_TRA_DEMANDS!$F198,DEMANDS!$G$2:$CK$25,MATCH($E198,DEMANDS!$E$2:$E$25,0),FALSE)/HLOOKUP(2018,DEMANDS!$G$2:$CK$25,MATCH($E198,DEMANDS!$E$2:$E$25,0),FALSE)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K198" s="35">
        <f>HLOOKUP(REG_TRA_DEMANDS!K$3,'BY-Demands'!$J$5:$AK$14,MATCH($E198,'BY-Demands'!$I$5:$I$14,0),FALSE)*HLOOKUP(REG_TRA_DEMANDS!$F198,DEMANDS!$G$2:$CK$25,MATCH($E198,DEMANDS!$E$2:$E$25,0),FALSE)/HLOOKUP(2018,DEMANDS!$G$2:$CK$25,MATCH($E198,DEMANDS!$E$2:$E$25,0),FALSE)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L198" s="35">
        <f>HLOOKUP(REG_TRA_DEMANDS!L$3,'BY-Demands'!$J$5:$AK$14,MATCH($E198,'BY-Demands'!$I$5:$I$14,0),FALSE)*HLOOKUP(REG_TRA_DEMANDS!$F198,DEMANDS!$G$2:$CK$25,MATCH($E198,DEMANDS!$E$2:$E$25,0),FALSE)/HLOOKUP(2018,DEMANDS!$G$2:$CK$25,MATCH($E198,DEMANDS!$E$2:$E$25,0),FALSE)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M198" s="35">
        <f>HLOOKUP(REG_TRA_DEMANDS!M$3,'BY-Demands'!$J$5:$AK$14,MATCH($E198,'BY-Demands'!$I$5:$I$14,0),FALSE)*HLOOKUP(REG_TRA_DEMANDS!$F198,DEMANDS!$G$2:$CK$25,MATCH($E198,DEMANDS!$E$2:$E$25,0),FALSE)/HLOOKUP(2018,DEMANDS!$G$2:$CK$25,MATCH($E198,DEMANDS!$E$2:$E$25,0),FALSE)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N198" s="35">
        <f>HLOOKUP(REG_TRA_DEMANDS!N$3,'BY-Demands'!$J$5:$AK$14,MATCH($E198,'BY-Demands'!$I$5:$I$14,0),FALSE)*HLOOKUP(REG_TRA_DEMANDS!$F198,DEMANDS!$G$2:$CK$25,MATCH($E198,DEMANDS!$E$2:$E$25,0),FALSE)/HLOOKUP(2018,DEMANDS!$G$2:$CK$25,MATCH($E198,DEMANDS!$E$2:$E$25,0),FALSE)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O198" s="35">
        <f>HLOOKUP(REG_TRA_DEMANDS!O$3,'BY-Demands'!$J$5:$AK$14,MATCH($E198,'BY-Demands'!$I$5:$I$14,0),FALSE)*HLOOKUP(REG_TRA_DEMANDS!$F198,DEMANDS!$G$2:$CK$25,MATCH($E198,DEMANDS!$E$2:$E$25,0),FALSE)/HLOOKUP(2018,DEMANDS!$G$2:$CK$25,MATCH($E198,DEMANDS!$E$2:$E$25,0),FALSE)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P198" s="35">
        <f>HLOOKUP(REG_TRA_DEMANDS!P$3,'BY-Demands'!$J$5:$AK$14,MATCH($E198,'BY-Demands'!$I$5:$I$14,0),FALSE)*HLOOKUP(REG_TRA_DEMANDS!$F198,DEMANDS!$G$2:$CK$25,MATCH($E198,DEMANDS!$E$2:$E$25,0),FALSE)/HLOOKUP(2018,DEMANDS!$G$2:$CK$25,MATCH($E198,DEMANDS!$E$2:$E$25,0),FALSE)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Q198" s="35">
        <f>HLOOKUP(REG_TRA_DEMANDS!Q$3,'BY-Demands'!$J$5:$AK$14,MATCH($E198,'BY-Demands'!$I$5:$I$14,0),FALSE)*HLOOKUP(REG_TRA_DEMANDS!$F198,DEMANDS!$G$2:$CK$25,MATCH($E198,DEMANDS!$E$2:$E$25,0),FALSE)/HLOOKUP(2018,DEMANDS!$G$2:$CK$25,MATCH($E198,DEMANDS!$E$2:$E$25,0),FALSE)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R198" s="35">
        <f>HLOOKUP(REG_TRA_DEMANDS!R$3,'BY-Demands'!$J$5:$AK$14,MATCH($E198,'BY-Demands'!$I$5:$I$14,0),FALSE)*HLOOKUP(REG_TRA_DEMANDS!$F198,DEMANDS!$G$2:$CK$25,MATCH($E198,DEMANDS!$E$2:$E$25,0),FALSE)/HLOOKUP(2018,DEMANDS!$G$2:$CK$25,MATCH($E198,DEMANDS!$E$2:$E$25,0),FALSE)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S198" s="18">
        <f>HLOOKUP(REG_TRA_DEMANDS!S$3,'BY-Demands'!$J$5:$AK$14,MATCH($E198,'BY-Demands'!$I$5:$I$14,0),FALSE)*HLOOKUP(REG_TRA_DEMANDS!$F198,DEMANDS!$G$2:$CK$25,MATCH($E198,DEMANDS!$E$2:$E$25,0),FALSE)/HLOOKUP(2018,DEMANDS!$G$2:$CK$25,MATCH($E198,DEMANDS!$E$2:$E$25,0),FALSE)</f>
        <v>0.046779068407982807</v>
      </c>
      <c r="T198" s="18">
        <f>HLOOKUP(REG_TRA_DEMANDS!T$3,'BY-Demands'!$J$5:$AK$14,MATCH($E198,'BY-Demands'!$I$5:$I$14,0),FALSE)*HLOOKUP(REG_TRA_DEMANDS!$F198,DEMANDS!$G$2:$CK$25,MATCH($E198,DEMANDS!$E$2:$E$25,0),FALSE)/HLOOKUP(2018,DEMANDS!$G$2:$CK$25,MATCH($E198,DEMANDS!$E$2:$E$25,0),FALSE)</f>
        <v>0.00046352277307537207</v>
      </c>
      <c r="U198" s="18">
        <f>HLOOKUP(REG_TRA_DEMANDS!U$3,'BY-Demands'!$J$5:$AK$14,MATCH($E198,'BY-Demands'!$I$5:$I$14,0),FALSE)*HLOOKUP(REG_TRA_DEMANDS!$F198,DEMANDS!$G$2:$CK$25,MATCH($E198,DEMANDS!$E$2:$E$25,0),FALSE)/HLOOKUP(2018,DEMANDS!$G$2:$CK$25,MATCH($E198,DEMANDS!$E$2:$E$25,0),FALSE)</f>
        <v>0.046529102661710439</v>
      </c>
      <c r="V198" s="35">
        <f>HLOOKUP(REG_TRA_DEMANDS!V$3,'BY-Demands'!$J$5:$AK$14,MATCH($E198,'BY-Demands'!$I$5:$I$14,0),FALSE)*HLOOKUP(REG_TRA_DEMANDS!$F198,DEMANDS!$G$2:$CK$25,MATCH($E198,DEMANDS!$E$2:$E$25,0),FALSE)/HLOOKUP(2018,DEMANDS!$G$2:$CK$25,MATCH($E198,DEMANDS!$E$2:$E$25,0),FALSE)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W198" s="35">
        <f>HLOOKUP(REG_TRA_DEMANDS!W$3,'BY-Demands'!$J$5:$AK$14,MATCH($E198,'BY-Demands'!$I$5:$I$14,0),FALSE)*HLOOKUP(REG_TRA_DEMANDS!$F198,DEMANDS!$G$2:$CK$25,MATCH($E198,DEMANDS!$E$2:$E$25,0),FALSE)/HLOOKUP(2018,DEMANDS!$G$2:$CK$25,MATCH($E198,DEMANDS!$E$2:$E$25,0),FALSE)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X198" s="35">
        <f>HLOOKUP(REG_TRA_DEMANDS!X$3,'BY-Demands'!$J$5:$AK$14,MATCH($E198,'BY-Demands'!$I$5:$I$14,0),FALSE)*HLOOKUP(REG_TRA_DEMANDS!$F198,DEMANDS!$G$2:$CK$25,MATCH($E198,DEMANDS!$E$2:$E$25,0),FALSE)/HLOOKUP(2018,DEMANDS!$G$2:$CK$25,MATCH($E198,DEMANDS!$E$2:$E$25,0),FALSE)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Y198" s="35">
        <f>HLOOKUP(REG_TRA_DEMANDS!Y$3,'BY-Demands'!$J$5:$AK$14,MATCH($E198,'BY-Demands'!$I$5:$I$14,0),FALSE)*HLOOKUP(REG_TRA_DEMANDS!$F198,DEMANDS!$G$2:$CK$25,MATCH($E198,DEMANDS!$E$2:$E$25,0),FALSE)/HLOOKUP(2018,DEMANDS!$G$2:$CK$25,MATCH($E198,DEMANDS!$E$2:$E$25,0),FALSE)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Z198" s="35">
        <f>HLOOKUP(REG_TRA_DEMANDS!Z$3,'BY-Demands'!$J$5:$AK$14,MATCH($E198,'BY-Demands'!$I$5:$I$14,0),FALSE)*HLOOKUP(REG_TRA_DEMANDS!$F198,DEMANDS!$G$2:$CK$25,MATCH($E198,DEMANDS!$E$2:$E$25,0),FALSE)/HLOOKUP(2018,DEMANDS!$G$2:$CK$25,MATCH($E198,DEMANDS!$E$2:$E$25,0),FALSE)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AA198" s="35">
        <f>HLOOKUP(REG_TRA_DEMANDS!AA$3,'BY-Demands'!$J$5:$AK$14,MATCH($E198,'BY-Demands'!$I$5:$I$14,0),FALSE)*HLOOKUP(REG_TRA_DEMANDS!$F198,DEMANDS!$G$2:$CK$25,MATCH($E198,DEMANDS!$E$2:$E$25,0),FALSE)/HLOOKUP(2018,DEMANDS!$G$2:$CK$25,MATCH($E198,DEMANDS!$E$2:$E$25,0),FALSE)</f>
        <v>9.2704554615074527E-05</v>
      </c>
      <c r="AB198" s="35">
        <f>HLOOKUP(REG_TRA_DEMANDS!AB$3,'BY-Demands'!$J$5:$AK$14,MATCH($E198,'BY-Demands'!$I$5:$I$14,0),FALSE)*HLOOKUP(REG_TRA_DEMANDS!$F198,DEMANDS!$G$2:$CK$25,MATCH($E198,DEMANDS!$E$2:$E$25,0),FALSE)/HLOOKUP(2018,DEMANDS!$G$2:$CK$25,MATCH($E198,DEMANDS!$E$2:$E$25,0),FALSE)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AC198" s="35">
        <f>HLOOKUP(REG_TRA_DEMANDS!AC$3,'BY-Demands'!$J$5:$AK$14,MATCH($E198,'BY-Demands'!$I$5:$I$14,0),FALSE)*HLOOKUP(REG_TRA_DEMANDS!$F198,DEMANDS!$G$2:$CK$25,MATCH($E198,DEMANDS!$E$2:$E$25,0),FALSE)/HLOOKUP(2018,DEMANDS!$G$2:$CK$25,MATCH($E198,DEMANDS!$E$2:$E$25,0),FALSE)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AD198" s="35">
        <f>HLOOKUP(REG_TRA_DEMANDS!AD$3,'BY-Demands'!$J$5:$AK$14,MATCH($E198,'BY-Demands'!$I$5:$I$14,0),FALSE)*HLOOKUP(REG_TRA_DEMANDS!$F198,DEMANDS!$G$2:$CK$25,MATCH($E198,DEMANDS!$E$2:$E$25,0),FALSE)/HLOOKUP(2018,DEMANDS!$G$2:$CK$25,MATCH($E198,DEMANDS!$E$2:$E$25,0),FALSE)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AE198" s="35">
        <f>HLOOKUP(REG_TRA_DEMANDS!AE$3,'BY-Demands'!$J$5:$AK$14,MATCH($E198,'BY-Demands'!$I$5:$I$14,0),FALSE)*HLOOKUP(REG_TRA_DEMANDS!$F198,DEMANDS!$G$2:$CK$25,MATCH($E198,DEMANDS!$E$2:$E$25,0),FALSE)/HLOOKUP(2018,DEMANDS!$G$2:$CK$25,MATCH($E198,DEMANDS!$E$2:$E$25,0),FALSE)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AF198" s="35">
        <f>HLOOKUP(REG_TRA_DEMANDS!AF$3,'BY-Demands'!$J$5:$AK$14,MATCH($E198,'BY-Demands'!$I$5:$I$14,0),FALSE)*HLOOKUP(REG_TRA_DEMANDS!$F198,DEMANDS!$G$2:$CK$25,MATCH($E198,DEMANDS!$E$2:$E$25,0),FALSE)/HLOOKUP(2018,DEMANDS!$G$2:$CK$25,MATCH($E198,DEMANDS!$E$2:$E$25,0),FALSE)</f>
        <v>0</v>
      </c>
    </row>
    <row r="199" spans="4:32" ht="14.4">
      <c r="D199" t="s">
        <v>6</v>
      </c>
      <c r="E199" t="str">
        <f>DEMANDS!$E$24</f>
        <v>TAVIDOM</v>
      </c>
      <c r="F199">
        <v>2026</v>
      </c>
      <c r="G199" s="35">
        <f>HLOOKUP(REG_TRA_DEMANDS!G$3,'BY-Demands'!$J$5:$AK$14,MATCH($E199,'BY-Demands'!$I$5:$I$14,0),FALSE)*HLOOKUP(REG_TRA_DEMANDS!$F199,DEMANDS!$G$2:$CK$25,MATCH($E199,DEMANDS!$E$2:$E$25,0),FALSE)/HLOOKUP(2018,DEMANDS!$G$2:$CK$25,MATCH($E199,DEMANDS!$E$2:$E$25,0),FALSE)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H199" s="18">
        <f>HLOOKUP(REG_TRA_DEMANDS!H$3,'BY-Demands'!$J$5:$AK$14,MATCH($E199,'BY-Demands'!$I$5:$I$14,0),FALSE)*HLOOKUP(REG_TRA_DEMANDS!$F199,DEMANDS!$G$2:$CK$25,MATCH($E199,DEMANDS!$E$2:$E$25,0),FALSE)/HLOOKUP(2018,DEMANDS!$G$2:$CK$25,MATCH($E199,DEMANDS!$E$2:$E$25,0),FALSE)</f>
        <v>0.13395677260860595</v>
      </c>
      <c r="I199" s="35">
        <f>HLOOKUP(REG_TRA_DEMANDS!I$3,'BY-Demands'!$J$5:$AK$14,MATCH($E199,'BY-Demands'!$I$5:$I$14,0),FALSE)*HLOOKUP(REG_TRA_DEMANDS!$F199,DEMANDS!$G$2:$CK$25,MATCH($E199,DEMANDS!$E$2:$E$25,0),FALSE)/HLOOKUP(2018,DEMANDS!$G$2:$CK$25,MATCH($E199,DEMANDS!$E$2:$E$25,0),FALSE)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J199" s="35">
        <f>HLOOKUP(REG_TRA_DEMANDS!J$3,'BY-Demands'!$J$5:$AK$14,MATCH($E199,'BY-Demands'!$I$5:$I$14,0),FALSE)*HLOOKUP(REG_TRA_DEMANDS!$F199,DEMANDS!$G$2:$CK$25,MATCH($E199,DEMANDS!$E$2:$E$25,0),FALSE)/HLOOKUP(2018,DEMANDS!$G$2:$CK$25,MATCH($E199,DEMANDS!$E$2:$E$25,0),FALSE)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K199" s="35">
        <f>HLOOKUP(REG_TRA_DEMANDS!K$3,'BY-Demands'!$J$5:$AK$14,MATCH($E199,'BY-Demands'!$I$5:$I$14,0),FALSE)*HLOOKUP(REG_TRA_DEMANDS!$F199,DEMANDS!$G$2:$CK$25,MATCH($E199,DEMANDS!$E$2:$E$25,0),FALSE)/HLOOKUP(2018,DEMANDS!$G$2:$CK$25,MATCH($E199,DEMANDS!$E$2:$E$25,0),FALSE)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L199" s="35">
        <f>HLOOKUP(REG_TRA_DEMANDS!L$3,'BY-Demands'!$J$5:$AK$14,MATCH($E199,'BY-Demands'!$I$5:$I$14,0),FALSE)*HLOOKUP(REG_TRA_DEMANDS!$F199,DEMANDS!$G$2:$CK$25,MATCH($E199,DEMANDS!$E$2:$E$25,0),FALSE)/HLOOKUP(2018,DEMANDS!$G$2:$CK$25,MATCH($E199,DEMANDS!$E$2:$E$25,0),FALSE)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M199" s="35">
        <f>HLOOKUP(REG_TRA_DEMANDS!M$3,'BY-Demands'!$J$5:$AK$14,MATCH($E199,'BY-Demands'!$I$5:$I$14,0),FALSE)*HLOOKUP(REG_TRA_DEMANDS!$F199,DEMANDS!$G$2:$CK$25,MATCH($E199,DEMANDS!$E$2:$E$25,0),FALSE)/HLOOKUP(2018,DEMANDS!$G$2:$CK$25,MATCH($E199,DEMANDS!$E$2:$E$25,0),FALSE)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N199" s="35">
        <f>HLOOKUP(REG_TRA_DEMANDS!N$3,'BY-Demands'!$J$5:$AK$14,MATCH($E199,'BY-Demands'!$I$5:$I$14,0),FALSE)*HLOOKUP(REG_TRA_DEMANDS!$F199,DEMANDS!$G$2:$CK$25,MATCH($E199,DEMANDS!$E$2:$E$25,0),FALSE)/HLOOKUP(2018,DEMANDS!$G$2:$CK$25,MATCH($E199,DEMANDS!$E$2:$E$25,0),FALSE)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O199" s="35">
        <f>HLOOKUP(REG_TRA_DEMANDS!O$3,'BY-Demands'!$J$5:$AK$14,MATCH($E199,'BY-Demands'!$I$5:$I$14,0),FALSE)*HLOOKUP(REG_TRA_DEMANDS!$F199,DEMANDS!$G$2:$CK$25,MATCH($E199,DEMANDS!$E$2:$E$25,0),FALSE)/HLOOKUP(2018,DEMANDS!$G$2:$CK$25,MATCH($E199,DEMANDS!$E$2:$E$25,0),FALSE)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P199" s="35">
        <f>HLOOKUP(REG_TRA_DEMANDS!P$3,'BY-Demands'!$J$5:$AK$14,MATCH($E199,'BY-Demands'!$I$5:$I$14,0),FALSE)*HLOOKUP(REG_TRA_DEMANDS!$F199,DEMANDS!$G$2:$CK$25,MATCH($E199,DEMANDS!$E$2:$E$25,0),FALSE)/HLOOKUP(2018,DEMANDS!$G$2:$CK$25,MATCH($E199,DEMANDS!$E$2:$E$25,0),FALSE)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Q199" s="35">
        <f>HLOOKUP(REG_TRA_DEMANDS!Q$3,'BY-Demands'!$J$5:$AK$14,MATCH($E199,'BY-Demands'!$I$5:$I$14,0),FALSE)*HLOOKUP(REG_TRA_DEMANDS!$F199,DEMANDS!$G$2:$CK$25,MATCH($E199,DEMANDS!$E$2:$E$25,0),FALSE)/HLOOKUP(2018,DEMANDS!$G$2:$CK$25,MATCH($E199,DEMANDS!$E$2:$E$25,0),FALSE)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R199" s="35">
        <f>HLOOKUP(REG_TRA_DEMANDS!R$3,'BY-Demands'!$J$5:$AK$14,MATCH($E199,'BY-Demands'!$I$5:$I$14,0),FALSE)*HLOOKUP(REG_TRA_DEMANDS!$F199,DEMANDS!$G$2:$CK$25,MATCH($E199,DEMANDS!$E$2:$E$25,0),FALSE)/HLOOKUP(2018,DEMANDS!$G$2:$CK$25,MATCH($E199,DEMANDS!$E$2:$E$25,0),FALSE)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S199" s="18">
        <f>HLOOKUP(REG_TRA_DEMANDS!S$3,'BY-Demands'!$J$5:$AK$14,MATCH($E199,'BY-Demands'!$I$5:$I$14,0),FALSE)*HLOOKUP(REG_TRA_DEMANDS!$F199,DEMANDS!$G$2:$CK$25,MATCH($E199,DEMANDS!$E$2:$E$25,0),FALSE)/HLOOKUP(2018,DEMANDS!$G$2:$CK$25,MATCH($E199,DEMANDS!$E$2:$E$25,0),FALSE)</f>
        <v>0.046779068407982807</v>
      </c>
      <c r="T199" s="18">
        <f>HLOOKUP(REG_TRA_DEMANDS!T$3,'BY-Demands'!$J$5:$AK$14,MATCH($E199,'BY-Demands'!$I$5:$I$14,0),FALSE)*HLOOKUP(REG_TRA_DEMANDS!$F199,DEMANDS!$G$2:$CK$25,MATCH($E199,DEMANDS!$E$2:$E$25,0),FALSE)/HLOOKUP(2018,DEMANDS!$G$2:$CK$25,MATCH($E199,DEMANDS!$E$2:$E$25,0),FALSE)</f>
        <v>0.00046352277307537207</v>
      </c>
      <c r="U199" s="18">
        <f>HLOOKUP(REG_TRA_DEMANDS!U$3,'BY-Demands'!$J$5:$AK$14,MATCH($E199,'BY-Demands'!$I$5:$I$14,0),FALSE)*HLOOKUP(REG_TRA_DEMANDS!$F199,DEMANDS!$G$2:$CK$25,MATCH($E199,DEMANDS!$E$2:$E$25,0),FALSE)/HLOOKUP(2018,DEMANDS!$G$2:$CK$25,MATCH($E199,DEMANDS!$E$2:$E$25,0),FALSE)</f>
        <v>0.046529102661710439</v>
      </c>
      <c r="V199" s="35">
        <f>HLOOKUP(REG_TRA_DEMANDS!V$3,'BY-Demands'!$J$5:$AK$14,MATCH($E199,'BY-Demands'!$I$5:$I$14,0),FALSE)*HLOOKUP(REG_TRA_DEMANDS!$F199,DEMANDS!$G$2:$CK$25,MATCH($E199,DEMANDS!$E$2:$E$25,0),FALSE)/HLOOKUP(2018,DEMANDS!$G$2:$CK$25,MATCH($E199,DEMANDS!$E$2:$E$25,0),FALSE)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W199" s="35">
        <f>HLOOKUP(REG_TRA_DEMANDS!W$3,'BY-Demands'!$J$5:$AK$14,MATCH($E199,'BY-Demands'!$I$5:$I$14,0),FALSE)*HLOOKUP(REG_TRA_DEMANDS!$F199,DEMANDS!$G$2:$CK$25,MATCH($E199,DEMANDS!$E$2:$E$25,0),FALSE)/HLOOKUP(2018,DEMANDS!$G$2:$CK$25,MATCH($E199,DEMANDS!$E$2:$E$25,0),FALSE)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X199" s="35">
        <f>HLOOKUP(REG_TRA_DEMANDS!X$3,'BY-Demands'!$J$5:$AK$14,MATCH($E199,'BY-Demands'!$I$5:$I$14,0),FALSE)*HLOOKUP(REG_TRA_DEMANDS!$F199,DEMANDS!$G$2:$CK$25,MATCH($E199,DEMANDS!$E$2:$E$25,0),FALSE)/HLOOKUP(2018,DEMANDS!$G$2:$CK$25,MATCH($E199,DEMANDS!$E$2:$E$25,0),FALSE)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Y199" s="35">
        <f>HLOOKUP(REG_TRA_DEMANDS!Y$3,'BY-Demands'!$J$5:$AK$14,MATCH($E199,'BY-Demands'!$I$5:$I$14,0),FALSE)*HLOOKUP(REG_TRA_DEMANDS!$F199,DEMANDS!$G$2:$CK$25,MATCH($E199,DEMANDS!$E$2:$E$25,0),FALSE)/HLOOKUP(2018,DEMANDS!$G$2:$CK$25,MATCH($E199,DEMANDS!$E$2:$E$25,0),FALSE)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Z199" s="35">
        <f>HLOOKUP(REG_TRA_DEMANDS!Z$3,'BY-Demands'!$J$5:$AK$14,MATCH($E199,'BY-Demands'!$I$5:$I$14,0),FALSE)*HLOOKUP(REG_TRA_DEMANDS!$F199,DEMANDS!$G$2:$CK$25,MATCH($E199,DEMANDS!$E$2:$E$25,0),FALSE)/HLOOKUP(2018,DEMANDS!$G$2:$CK$25,MATCH($E199,DEMANDS!$E$2:$E$25,0),FALSE)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AA199" s="35">
        <f>HLOOKUP(REG_TRA_DEMANDS!AA$3,'BY-Demands'!$J$5:$AK$14,MATCH($E199,'BY-Demands'!$I$5:$I$14,0),FALSE)*HLOOKUP(REG_TRA_DEMANDS!$F199,DEMANDS!$G$2:$CK$25,MATCH($E199,DEMANDS!$E$2:$E$25,0),FALSE)/HLOOKUP(2018,DEMANDS!$G$2:$CK$25,MATCH($E199,DEMANDS!$E$2:$E$25,0),FALSE)</f>
        <v>9.2704554615074527E-05</v>
      </c>
      <c r="AB199" s="35">
        <f>HLOOKUP(REG_TRA_DEMANDS!AB$3,'BY-Demands'!$J$5:$AK$14,MATCH($E199,'BY-Demands'!$I$5:$I$14,0),FALSE)*HLOOKUP(REG_TRA_DEMANDS!$F199,DEMANDS!$G$2:$CK$25,MATCH($E199,DEMANDS!$E$2:$E$25,0),FALSE)/HLOOKUP(2018,DEMANDS!$G$2:$CK$25,MATCH($E199,DEMANDS!$E$2:$E$25,0),FALSE)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AC199" s="35">
        <f>HLOOKUP(REG_TRA_DEMANDS!AC$3,'BY-Demands'!$J$5:$AK$14,MATCH($E199,'BY-Demands'!$I$5:$I$14,0),FALSE)*HLOOKUP(REG_TRA_DEMANDS!$F199,DEMANDS!$G$2:$CK$25,MATCH($E199,DEMANDS!$E$2:$E$25,0),FALSE)/HLOOKUP(2018,DEMANDS!$G$2:$CK$25,MATCH($E199,DEMANDS!$E$2:$E$25,0),FALSE)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AD199" s="35">
        <f>HLOOKUP(REG_TRA_DEMANDS!AD$3,'BY-Demands'!$J$5:$AK$14,MATCH($E199,'BY-Demands'!$I$5:$I$14,0),FALSE)*HLOOKUP(REG_TRA_DEMANDS!$F199,DEMANDS!$G$2:$CK$25,MATCH($E199,DEMANDS!$E$2:$E$25,0),FALSE)/HLOOKUP(2018,DEMANDS!$G$2:$CK$25,MATCH($E199,DEMANDS!$E$2:$E$25,0),FALSE)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AE199" s="35">
        <f>HLOOKUP(REG_TRA_DEMANDS!AE$3,'BY-Demands'!$J$5:$AK$14,MATCH($E199,'BY-Demands'!$I$5:$I$14,0),FALSE)*HLOOKUP(REG_TRA_DEMANDS!$F199,DEMANDS!$G$2:$CK$25,MATCH($E199,DEMANDS!$E$2:$E$25,0),FALSE)/HLOOKUP(2018,DEMANDS!$G$2:$CK$25,MATCH($E199,DEMANDS!$E$2:$E$25,0),FALSE)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AF199" s="35">
        <f>HLOOKUP(REG_TRA_DEMANDS!AF$3,'BY-Demands'!$J$5:$AK$14,MATCH($E199,'BY-Demands'!$I$5:$I$14,0),FALSE)*HLOOKUP(REG_TRA_DEMANDS!$F199,DEMANDS!$G$2:$CK$25,MATCH($E199,DEMANDS!$E$2:$E$25,0),FALSE)/HLOOKUP(2018,DEMANDS!$G$2:$CK$25,MATCH($E199,DEMANDS!$E$2:$E$25,0),FALSE)</f>
        <v>0</v>
      </c>
    </row>
    <row r="200" spans="4:32" ht="14.4">
      <c r="D200" t="s">
        <v>6</v>
      </c>
      <c r="E200" t="str">
        <f>DEMANDS!$E$24</f>
        <v>TAVIDOM</v>
      </c>
      <c r="F200">
        <v>2027</v>
      </c>
      <c r="G200" s="35">
        <f>HLOOKUP(REG_TRA_DEMANDS!G$3,'BY-Demands'!$J$5:$AK$14,MATCH($E200,'BY-Demands'!$I$5:$I$14,0),FALSE)*HLOOKUP(REG_TRA_DEMANDS!$F200,DEMANDS!$G$2:$CK$25,MATCH($E200,DEMANDS!$E$2:$E$25,0),FALSE)/HLOOKUP(2018,DEMANDS!$G$2:$CK$25,MATCH($E200,DEMANDS!$E$2:$E$25,0),FALSE)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H200" s="18">
        <f>HLOOKUP(REG_TRA_DEMANDS!H$3,'BY-Demands'!$J$5:$AK$14,MATCH($E200,'BY-Demands'!$I$5:$I$14,0),FALSE)*HLOOKUP(REG_TRA_DEMANDS!$F200,DEMANDS!$G$2:$CK$25,MATCH($E200,DEMANDS!$E$2:$E$25,0),FALSE)/HLOOKUP(2018,DEMANDS!$G$2:$CK$25,MATCH($E200,DEMANDS!$E$2:$E$25,0),FALSE)</f>
        <v>0.13395677260860595</v>
      </c>
      <c r="I200" s="35">
        <f>HLOOKUP(REG_TRA_DEMANDS!I$3,'BY-Demands'!$J$5:$AK$14,MATCH($E200,'BY-Demands'!$I$5:$I$14,0),FALSE)*HLOOKUP(REG_TRA_DEMANDS!$F200,DEMANDS!$G$2:$CK$25,MATCH($E200,DEMANDS!$E$2:$E$25,0),FALSE)/HLOOKUP(2018,DEMANDS!$G$2:$CK$25,MATCH($E200,DEMANDS!$E$2:$E$25,0),FALSE)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J200" s="35">
        <f>HLOOKUP(REG_TRA_DEMANDS!J$3,'BY-Demands'!$J$5:$AK$14,MATCH($E200,'BY-Demands'!$I$5:$I$14,0),FALSE)*HLOOKUP(REG_TRA_DEMANDS!$F200,DEMANDS!$G$2:$CK$25,MATCH($E200,DEMANDS!$E$2:$E$25,0),FALSE)/HLOOKUP(2018,DEMANDS!$G$2:$CK$25,MATCH($E200,DEMANDS!$E$2:$E$25,0),FALSE)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K200" s="35">
        <f>HLOOKUP(REG_TRA_DEMANDS!K$3,'BY-Demands'!$J$5:$AK$14,MATCH($E200,'BY-Demands'!$I$5:$I$14,0),FALSE)*HLOOKUP(REG_TRA_DEMANDS!$F200,DEMANDS!$G$2:$CK$25,MATCH($E200,DEMANDS!$E$2:$E$25,0),FALSE)/HLOOKUP(2018,DEMANDS!$G$2:$CK$25,MATCH($E200,DEMANDS!$E$2:$E$25,0),FALSE)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L200" s="35">
        <f>HLOOKUP(REG_TRA_DEMANDS!L$3,'BY-Demands'!$J$5:$AK$14,MATCH($E200,'BY-Demands'!$I$5:$I$14,0),FALSE)*HLOOKUP(REG_TRA_DEMANDS!$F200,DEMANDS!$G$2:$CK$25,MATCH($E200,DEMANDS!$E$2:$E$25,0),FALSE)/HLOOKUP(2018,DEMANDS!$G$2:$CK$25,MATCH($E200,DEMANDS!$E$2:$E$25,0),FALSE)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M200" s="35">
        <f>HLOOKUP(REG_TRA_DEMANDS!M$3,'BY-Demands'!$J$5:$AK$14,MATCH($E200,'BY-Demands'!$I$5:$I$14,0),FALSE)*HLOOKUP(REG_TRA_DEMANDS!$F200,DEMANDS!$G$2:$CK$25,MATCH($E200,DEMANDS!$E$2:$E$25,0),FALSE)/HLOOKUP(2018,DEMANDS!$G$2:$CK$25,MATCH($E200,DEMANDS!$E$2:$E$25,0),FALSE)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N200" s="35">
        <f>HLOOKUP(REG_TRA_DEMANDS!N$3,'BY-Demands'!$J$5:$AK$14,MATCH($E200,'BY-Demands'!$I$5:$I$14,0),FALSE)*HLOOKUP(REG_TRA_DEMANDS!$F200,DEMANDS!$G$2:$CK$25,MATCH($E200,DEMANDS!$E$2:$E$25,0),FALSE)/HLOOKUP(2018,DEMANDS!$G$2:$CK$25,MATCH($E200,DEMANDS!$E$2:$E$25,0),FALSE)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O200" s="35">
        <f>HLOOKUP(REG_TRA_DEMANDS!O$3,'BY-Demands'!$J$5:$AK$14,MATCH($E200,'BY-Demands'!$I$5:$I$14,0),FALSE)*HLOOKUP(REG_TRA_DEMANDS!$F200,DEMANDS!$G$2:$CK$25,MATCH($E200,DEMANDS!$E$2:$E$25,0),FALSE)/HLOOKUP(2018,DEMANDS!$G$2:$CK$25,MATCH($E200,DEMANDS!$E$2:$E$25,0),FALSE)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P200" s="35">
        <f>HLOOKUP(REG_TRA_DEMANDS!P$3,'BY-Demands'!$J$5:$AK$14,MATCH($E200,'BY-Demands'!$I$5:$I$14,0),FALSE)*HLOOKUP(REG_TRA_DEMANDS!$F200,DEMANDS!$G$2:$CK$25,MATCH($E200,DEMANDS!$E$2:$E$25,0),FALSE)/HLOOKUP(2018,DEMANDS!$G$2:$CK$25,MATCH($E200,DEMANDS!$E$2:$E$25,0),FALSE)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Q200" s="35">
        <f>HLOOKUP(REG_TRA_DEMANDS!Q$3,'BY-Demands'!$J$5:$AK$14,MATCH($E200,'BY-Demands'!$I$5:$I$14,0),FALSE)*HLOOKUP(REG_TRA_DEMANDS!$F200,DEMANDS!$G$2:$CK$25,MATCH($E200,DEMANDS!$E$2:$E$25,0),FALSE)/HLOOKUP(2018,DEMANDS!$G$2:$CK$25,MATCH($E200,DEMANDS!$E$2:$E$25,0),FALSE)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R200" s="35">
        <f>HLOOKUP(REG_TRA_DEMANDS!R$3,'BY-Demands'!$J$5:$AK$14,MATCH($E200,'BY-Demands'!$I$5:$I$14,0),FALSE)*HLOOKUP(REG_TRA_DEMANDS!$F200,DEMANDS!$G$2:$CK$25,MATCH($E200,DEMANDS!$E$2:$E$25,0),FALSE)/HLOOKUP(2018,DEMANDS!$G$2:$CK$25,MATCH($E200,DEMANDS!$E$2:$E$25,0),FALSE)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S200" s="18">
        <f>HLOOKUP(REG_TRA_DEMANDS!S$3,'BY-Demands'!$J$5:$AK$14,MATCH($E200,'BY-Demands'!$I$5:$I$14,0),FALSE)*HLOOKUP(REG_TRA_DEMANDS!$F200,DEMANDS!$G$2:$CK$25,MATCH($E200,DEMANDS!$E$2:$E$25,0),FALSE)/HLOOKUP(2018,DEMANDS!$G$2:$CK$25,MATCH($E200,DEMANDS!$E$2:$E$25,0),FALSE)</f>
        <v>0.046779068407982807</v>
      </c>
      <c r="T200" s="18">
        <f>HLOOKUP(REG_TRA_DEMANDS!T$3,'BY-Demands'!$J$5:$AK$14,MATCH($E200,'BY-Demands'!$I$5:$I$14,0),FALSE)*HLOOKUP(REG_TRA_DEMANDS!$F200,DEMANDS!$G$2:$CK$25,MATCH($E200,DEMANDS!$E$2:$E$25,0),FALSE)/HLOOKUP(2018,DEMANDS!$G$2:$CK$25,MATCH($E200,DEMANDS!$E$2:$E$25,0),FALSE)</f>
        <v>0.00046352277307537207</v>
      </c>
      <c r="U200" s="18">
        <f>HLOOKUP(REG_TRA_DEMANDS!U$3,'BY-Demands'!$J$5:$AK$14,MATCH($E200,'BY-Demands'!$I$5:$I$14,0),FALSE)*HLOOKUP(REG_TRA_DEMANDS!$F200,DEMANDS!$G$2:$CK$25,MATCH($E200,DEMANDS!$E$2:$E$25,0),FALSE)/HLOOKUP(2018,DEMANDS!$G$2:$CK$25,MATCH($E200,DEMANDS!$E$2:$E$25,0),FALSE)</f>
        <v>0.046529102661710439</v>
      </c>
      <c r="V200" s="35">
        <f>HLOOKUP(REG_TRA_DEMANDS!V$3,'BY-Demands'!$J$5:$AK$14,MATCH($E200,'BY-Demands'!$I$5:$I$14,0),FALSE)*HLOOKUP(REG_TRA_DEMANDS!$F200,DEMANDS!$G$2:$CK$25,MATCH($E200,DEMANDS!$E$2:$E$25,0),FALSE)/HLOOKUP(2018,DEMANDS!$G$2:$CK$25,MATCH($E200,DEMANDS!$E$2:$E$25,0),FALSE)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W200" s="35">
        <f>HLOOKUP(REG_TRA_DEMANDS!W$3,'BY-Demands'!$J$5:$AK$14,MATCH($E200,'BY-Demands'!$I$5:$I$14,0),FALSE)*HLOOKUP(REG_TRA_DEMANDS!$F200,DEMANDS!$G$2:$CK$25,MATCH($E200,DEMANDS!$E$2:$E$25,0),FALSE)/HLOOKUP(2018,DEMANDS!$G$2:$CK$25,MATCH($E200,DEMANDS!$E$2:$E$25,0),FALSE)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X200" s="35">
        <f>HLOOKUP(REG_TRA_DEMANDS!X$3,'BY-Demands'!$J$5:$AK$14,MATCH($E200,'BY-Demands'!$I$5:$I$14,0),FALSE)*HLOOKUP(REG_TRA_DEMANDS!$F200,DEMANDS!$G$2:$CK$25,MATCH($E200,DEMANDS!$E$2:$E$25,0),FALSE)/HLOOKUP(2018,DEMANDS!$G$2:$CK$25,MATCH($E200,DEMANDS!$E$2:$E$25,0),FALSE)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Y200" s="35">
        <f>HLOOKUP(REG_TRA_DEMANDS!Y$3,'BY-Demands'!$J$5:$AK$14,MATCH($E200,'BY-Demands'!$I$5:$I$14,0),FALSE)*HLOOKUP(REG_TRA_DEMANDS!$F200,DEMANDS!$G$2:$CK$25,MATCH($E200,DEMANDS!$E$2:$E$25,0),FALSE)/HLOOKUP(2018,DEMANDS!$G$2:$CK$25,MATCH($E200,DEMANDS!$E$2:$E$25,0),FALSE)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Z200" s="35">
        <f>HLOOKUP(REG_TRA_DEMANDS!Z$3,'BY-Demands'!$J$5:$AK$14,MATCH($E200,'BY-Demands'!$I$5:$I$14,0),FALSE)*HLOOKUP(REG_TRA_DEMANDS!$F200,DEMANDS!$G$2:$CK$25,MATCH($E200,DEMANDS!$E$2:$E$25,0),FALSE)/HLOOKUP(2018,DEMANDS!$G$2:$CK$25,MATCH($E200,DEMANDS!$E$2:$E$25,0),FALSE)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AA200" s="35">
        <f>HLOOKUP(REG_TRA_DEMANDS!AA$3,'BY-Demands'!$J$5:$AK$14,MATCH($E200,'BY-Demands'!$I$5:$I$14,0),FALSE)*HLOOKUP(REG_TRA_DEMANDS!$F200,DEMANDS!$G$2:$CK$25,MATCH($E200,DEMANDS!$E$2:$E$25,0),FALSE)/HLOOKUP(2018,DEMANDS!$G$2:$CK$25,MATCH($E200,DEMANDS!$E$2:$E$25,0),FALSE)</f>
        <v>9.2704554615074527E-05</v>
      </c>
      <c r="AB200" s="35">
        <f>HLOOKUP(REG_TRA_DEMANDS!AB$3,'BY-Demands'!$J$5:$AK$14,MATCH($E200,'BY-Demands'!$I$5:$I$14,0),FALSE)*HLOOKUP(REG_TRA_DEMANDS!$F200,DEMANDS!$G$2:$CK$25,MATCH($E200,DEMANDS!$E$2:$E$25,0),FALSE)/HLOOKUP(2018,DEMANDS!$G$2:$CK$25,MATCH($E200,DEMANDS!$E$2:$E$25,0),FALSE)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AC200" s="35">
        <f>HLOOKUP(REG_TRA_DEMANDS!AC$3,'BY-Demands'!$J$5:$AK$14,MATCH($E200,'BY-Demands'!$I$5:$I$14,0),FALSE)*HLOOKUP(REG_TRA_DEMANDS!$F200,DEMANDS!$G$2:$CK$25,MATCH($E200,DEMANDS!$E$2:$E$25,0),FALSE)/HLOOKUP(2018,DEMANDS!$G$2:$CK$25,MATCH($E200,DEMANDS!$E$2:$E$25,0),FALSE)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AD200" s="35">
        <f>HLOOKUP(REG_TRA_DEMANDS!AD$3,'BY-Demands'!$J$5:$AK$14,MATCH($E200,'BY-Demands'!$I$5:$I$14,0),FALSE)*HLOOKUP(REG_TRA_DEMANDS!$F200,DEMANDS!$G$2:$CK$25,MATCH($E200,DEMANDS!$E$2:$E$25,0),FALSE)/HLOOKUP(2018,DEMANDS!$G$2:$CK$25,MATCH($E200,DEMANDS!$E$2:$E$25,0),FALSE)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AE200" s="35">
        <f>HLOOKUP(REG_TRA_DEMANDS!AE$3,'BY-Demands'!$J$5:$AK$14,MATCH($E200,'BY-Demands'!$I$5:$I$14,0),FALSE)*HLOOKUP(REG_TRA_DEMANDS!$F200,DEMANDS!$G$2:$CK$25,MATCH($E200,DEMANDS!$E$2:$E$25,0),FALSE)/HLOOKUP(2018,DEMANDS!$G$2:$CK$25,MATCH($E200,DEMANDS!$E$2:$E$25,0),FALSE)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AF200" s="35">
        <f>HLOOKUP(REG_TRA_DEMANDS!AF$3,'BY-Demands'!$J$5:$AK$14,MATCH($E200,'BY-Demands'!$I$5:$I$14,0),FALSE)*HLOOKUP(REG_TRA_DEMANDS!$F200,DEMANDS!$G$2:$CK$25,MATCH($E200,DEMANDS!$E$2:$E$25,0),FALSE)/HLOOKUP(2018,DEMANDS!$G$2:$CK$25,MATCH($E200,DEMANDS!$E$2:$E$25,0),FALSE)</f>
        <v>0</v>
      </c>
    </row>
    <row r="201" spans="4:32" ht="14.4">
      <c r="D201" t="s">
        <v>6</v>
      </c>
      <c r="E201" t="str">
        <f>DEMANDS!$E$24</f>
        <v>TAVIDOM</v>
      </c>
      <c r="F201">
        <v>2028</v>
      </c>
      <c r="G201" s="35">
        <f>HLOOKUP(REG_TRA_DEMANDS!G$3,'BY-Demands'!$J$5:$AK$14,MATCH($E201,'BY-Demands'!$I$5:$I$14,0),FALSE)*HLOOKUP(REG_TRA_DEMANDS!$F201,DEMANDS!$G$2:$CK$25,MATCH($E201,DEMANDS!$E$2:$E$25,0),FALSE)/HLOOKUP(2018,DEMANDS!$G$2:$CK$25,MATCH($E201,DEMANDS!$E$2:$E$25,0),FALSE)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H201" s="18">
        <f>HLOOKUP(REG_TRA_DEMANDS!H$3,'BY-Demands'!$J$5:$AK$14,MATCH($E201,'BY-Demands'!$I$5:$I$14,0),FALSE)*HLOOKUP(REG_TRA_DEMANDS!$F201,DEMANDS!$G$2:$CK$25,MATCH($E201,DEMANDS!$E$2:$E$25,0),FALSE)/HLOOKUP(2018,DEMANDS!$G$2:$CK$25,MATCH($E201,DEMANDS!$E$2:$E$25,0),FALSE)</f>
        <v>0.13395677260860595</v>
      </c>
      <c r="I201" s="35">
        <f>HLOOKUP(REG_TRA_DEMANDS!I$3,'BY-Demands'!$J$5:$AK$14,MATCH($E201,'BY-Demands'!$I$5:$I$14,0),FALSE)*HLOOKUP(REG_TRA_DEMANDS!$F201,DEMANDS!$G$2:$CK$25,MATCH($E201,DEMANDS!$E$2:$E$25,0),FALSE)/HLOOKUP(2018,DEMANDS!$G$2:$CK$25,MATCH($E201,DEMANDS!$E$2:$E$25,0),FALSE)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J201" s="35">
        <f>HLOOKUP(REG_TRA_DEMANDS!J$3,'BY-Demands'!$J$5:$AK$14,MATCH($E201,'BY-Demands'!$I$5:$I$14,0),FALSE)*HLOOKUP(REG_TRA_DEMANDS!$F201,DEMANDS!$G$2:$CK$25,MATCH($E201,DEMANDS!$E$2:$E$25,0),FALSE)/HLOOKUP(2018,DEMANDS!$G$2:$CK$25,MATCH($E201,DEMANDS!$E$2:$E$25,0),FALSE)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K201" s="35">
        <f>HLOOKUP(REG_TRA_DEMANDS!K$3,'BY-Demands'!$J$5:$AK$14,MATCH($E201,'BY-Demands'!$I$5:$I$14,0),FALSE)*HLOOKUP(REG_TRA_DEMANDS!$F201,DEMANDS!$G$2:$CK$25,MATCH($E201,DEMANDS!$E$2:$E$25,0),FALSE)/HLOOKUP(2018,DEMANDS!$G$2:$CK$25,MATCH($E201,DEMANDS!$E$2:$E$25,0),FALSE)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L201" s="35">
        <f>HLOOKUP(REG_TRA_DEMANDS!L$3,'BY-Demands'!$J$5:$AK$14,MATCH($E201,'BY-Demands'!$I$5:$I$14,0),FALSE)*HLOOKUP(REG_TRA_DEMANDS!$F201,DEMANDS!$G$2:$CK$25,MATCH($E201,DEMANDS!$E$2:$E$25,0),FALSE)/HLOOKUP(2018,DEMANDS!$G$2:$CK$25,MATCH($E201,DEMANDS!$E$2:$E$25,0),FALSE)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M201" s="35">
        <f>HLOOKUP(REG_TRA_DEMANDS!M$3,'BY-Demands'!$J$5:$AK$14,MATCH($E201,'BY-Demands'!$I$5:$I$14,0),FALSE)*HLOOKUP(REG_TRA_DEMANDS!$F201,DEMANDS!$G$2:$CK$25,MATCH($E201,DEMANDS!$E$2:$E$25,0),FALSE)/HLOOKUP(2018,DEMANDS!$G$2:$CK$25,MATCH($E201,DEMANDS!$E$2:$E$25,0),FALSE)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N201" s="35">
        <f>HLOOKUP(REG_TRA_DEMANDS!N$3,'BY-Demands'!$J$5:$AK$14,MATCH($E201,'BY-Demands'!$I$5:$I$14,0),FALSE)*HLOOKUP(REG_TRA_DEMANDS!$F201,DEMANDS!$G$2:$CK$25,MATCH($E201,DEMANDS!$E$2:$E$25,0),FALSE)/HLOOKUP(2018,DEMANDS!$G$2:$CK$25,MATCH($E201,DEMANDS!$E$2:$E$25,0),FALSE)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O201" s="35">
        <f>HLOOKUP(REG_TRA_DEMANDS!O$3,'BY-Demands'!$J$5:$AK$14,MATCH($E201,'BY-Demands'!$I$5:$I$14,0),FALSE)*HLOOKUP(REG_TRA_DEMANDS!$F201,DEMANDS!$G$2:$CK$25,MATCH($E201,DEMANDS!$E$2:$E$25,0),FALSE)/HLOOKUP(2018,DEMANDS!$G$2:$CK$25,MATCH($E201,DEMANDS!$E$2:$E$25,0),FALSE)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P201" s="35">
        <f>HLOOKUP(REG_TRA_DEMANDS!P$3,'BY-Demands'!$J$5:$AK$14,MATCH($E201,'BY-Demands'!$I$5:$I$14,0),FALSE)*HLOOKUP(REG_TRA_DEMANDS!$F201,DEMANDS!$G$2:$CK$25,MATCH($E201,DEMANDS!$E$2:$E$25,0),FALSE)/HLOOKUP(2018,DEMANDS!$G$2:$CK$25,MATCH($E201,DEMANDS!$E$2:$E$25,0),FALSE)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Q201" s="35">
        <f>HLOOKUP(REG_TRA_DEMANDS!Q$3,'BY-Demands'!$J$5:$AK$14,MATCH($E201,'BY-Demands'!$I$5:$I$14,0),FALSE)*HLOOKUP(REG_TRA_DEMANDS!$F201,DEMANDS!$G$2:$CK$25,MATCH($E201,DEMANDS!$E$2:$E$25,0),FALSE)/HLOOKUP(2018,DEMANDS!$G$2:$CK$25,MATCH($E201,DEMANDS!$E$2:$E$25,0),FALSE)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R201" s="35">
        <f>HLOOKUP(REG_TRA_DEMANDS!R$3,'BY-Demands'!$J$5:$AK$14,MATCH($E201,'BY-Demands'!$I$5:$I$14,0),FALSE)*HLOOKUP(REG_TRA_DEMANDS!$F201,DEMANDS!$G$2:$CK$25,MATCH($E201,DEMANDS!$E$2:$E$25,0),FALSE)/HLOOKUP(2018,DEMANDS!$G$2:$CK$25,MATCH($E201,DEMANDS!$E$2:$E$25,0),FALSE)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S201" s="18">
        <f>HLOOKUP(REG_TRA_DEMANDS!S$3,'BY-Demands'!$J$5:$AK$14,MATCH($E201,'BY-Demands'!$I$5:$I$14,0),FALSE)*HLOOKUP(REG_TRA_DEMANDS!$F201,DEMANDS!$G$2:$CK$25,MATCH($E201,DEMANDS!$E$2:$E$25,0),FALSE)/HLOOKUP(2018,DEMANDS!$G$2:$CK$25,MATCH($E201,DEMANDS!$E$2:$E$25,0),FALSE)</f>
        <v>0.046779068407982807</v>
      </c>
      <c r="T201" s="18">
        <f>HLOOKUP(REG_TRA_DEMANDS!T$3,'BY-Demands'!$J$5:$AK$14,MATCH($E201,'BY-Demands'!$I$5:$I$14,0),FALSE)*HLOOKUP(REG_TRA_DEMANDS!$F201,DEMANDS!$G$2:$CK$25,MATCH($E201,DEMANDS!$E$2:$E$25,0),FALSE)/HLOOKUP(2018,DEMANDS!$G$2:$CK$25,MATCH($E201,DEMANDS!$E$2:$E$25,0),FALSE)</f>
        <v>0.00046352277307537207</v>
      </c>
      <c r="U201" s="18">
        <f>HLOOKUP(REG_TRA_DEMANDS!U$3,'BY-Demands'!$J$5:$AK$14,MATCH($E201,'BY-Demands'!$I$5:$I$14,0),FALSE)*HLOOKUP(REG_TRA_DEMANDS!$F201,DEMANDS!$G$2:$CK$25,MATCH($E201,DEMANDS!$E$2:$E$25,0),FALSE)/HLOOKUP(2018,DEMANDS!$G$2:$CK$25,MATCH($E201,DEMANDS!$E$2:$E$25,0),FALSE)</f>
        <v>0.046529102661710439</v>
      </c>
      <c r="V201" s="35">
        <f>HLOOKUP(REG_TRA_DEMANDS!V$3,'BY-Demands'!$J$5:$AK$14,MATCH($E201,'BY-Demands'!$I$5:$I$14,0),FALSE)*HLOOKUP(REG_TRA_DEMANDS!$F201,DEMANDS!$G$2:$CK$25,MATCH($E201,DEMANDS!$E$2:$E$25,0),FALSE)/HLOOKUP(2018,DEMANDS!$G$2:$CK$25,MATCH($E201,DEMANDS!$E$2:$E$25,0),FALSE)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W201" s="35">
        <f>HLOOKUP(REG_TRA_DEMANDS!W$3,'BY-Demands'!$J$5:$AK$14,MATCH($E201,'BY-Demands'!$I$5:$I$14,0),FALSE)*HLOOKUP(REG_TRA_DEMANDS!$F201,DEMANDS!$G$2:$CK$25,MATCH($E201,DEMANDS!$E$2:$E$25,0),FALSE)/HLOOKUP(2018,DEMANDS!$G$2:$CK$25,MATCH($E201,DEMANDS!$E$2:$E$25,0),FALSE)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X201" s="35">
        <f>HLOOKUP(REG_TRA_DEMANDS!X$3,'BY-Demands'!$J$5:$AK$14,MATCH($E201,'BY-Demands'!$I$5:$I$14,0),FALSE)*HLOOKUP(REG_TRA_DEMANDS!$F201,DEMANDS!$G$2:$CK$25,MATCH($E201,DEMANDS!$E$2:$E$25,0),FALSE)/HLOOKUP(2018,DEMANDS!$G$2:$CK$25,MATCH($E201,DEMANDS!$E$2:$E$25,0),FALSE)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Y201" s="35">
        <f>HLOOKUP(REG_TRA_DEMANDS!Y$3,'BY-Demands'!$J$5:$AK$14,MATCH($E201,'BY-Demands'!$I$5:$I$14,0),FALSE)*HLOOKUP(REG_TRA_DEMANDS!$F201,DEMANDS!$G$2:$CK$25,MATCH($E201,DEMANDS!$E$2:$E$25,0),FALSE)/HLOOKUP(2018,DEMANDS!$G$2:$CK$25,MATCH($E201,DEMANDS!$E$2:$E$25,0),FALSE)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Z201" s="35">
        <f>HLOOKUP(REG_TRA_DEMANDS!Z$3,'BY-Demands'!$J$5:$AK$14,MATCH($E201,'BY-Demands'!$I$5:$I$14,0),FALSE)*HLOOKUP(REG_TRA_DEMANDS!$F201,DEMANDS!$G$2:$CK$25,MATCH($E201,DEMANDS!$E$2:$E$25,0),FALSE)/HLOOKUP(2018,DEMANDS!$G$2:$CK$25,MATCH($E201,DEMANDS!$E$2:$E$25,0),FALSE)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AA201" s="35">
        <f>HLOOKUP(REG_TRA_DEMANDS!AA$3,'BY-Demands'!$J$5:$AK$14,MATCH($E201,'BY-Demands'!$I$5:$I$14,0),FALSE)*HLOOKUP(REG_TRA_DEMANDS!$F201,DEMANDS!$G$2:$CK$25,MATCH($E201,DEMANDS!$E$2:$E$25,0),FALSE)/HLOOKUP(2018,DEMANDS!$G$2:$CK$25,MATCH($E201,DEMANDS!$E$2:$E$25,0),FALSE)</f>
        <v>9.2704554615074527E-05</v>
      </c>
      <c r="AB201" s="35">
        <f>HLOOKUP(REG_TRA_DEMANDS!AB$3,'BY-Demands'!$J$5:$AK$14,MATCH($E201,'BY-Demands'!$I$5:$I$14,0),FALSE)*HLOOKUP(REG_TRA_DEMANDS!$F201,DEMANDS!$G$2:$CK$25,MATCH($E201,DEMANDS!$E$2:$E$25,0),FALSE)/HLOOKUP(2018,DEMANDS!$G$2:$CK$25,MATCH($E201,DEMANDS!$E$2:$E$25,0),FALSE)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AC201" s="35">
        <f>HLOOKUP(REG_TRA_DEMANDS!AC$3,'BY-Demands'!$J$5:$AK$14,MATCH($E201,'BY-Demands'!$I$5:$I$14,0),FALSE)*HLOOKUP(REG_TRA_DEMANDS!$F201,DEMANDS!$G$2:$CK$25,MATCH($E201,DEMANDS!$E$2:$E$25,0),FALSE)/HLOOKUP(2018,DEMANDS!$G$2:$CK$25,MATCH($E201,DEMANDS!$E$2:$E$25,0),FALSE)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AD201" s="35">
        <f>HLOOKUP(REG_TRA_DEMANDS!AD$3,'BY-Demands'!$J$5:$AK$14,MATCH($E201,'BY-Demands'!$I$5:$I$14,0),FALSE)*HLOOKUP(REG_TRA_DEMANDS!$F201,DEMANDS!$G$2:$CK$25,MATCH($E201,DEMANDS!$E$2:$E$25,0),FALSE)/HLOOKUP(2018,DEMANDS!$G$2:$CK$25,MATCH($E201,DEMANDS!$E$2:$E$25,0),FALSE)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AE201" s="35">
        <f>HLOOKUP(REG_TRA_DEMANDS!AE$3,'BY-Demands'!$J$5:$AK$14,MATCH($E201,'BY-Demands'!$I$5:$I$14,0),FALSE)*HLOOKUP(REG_TRA_DEMANDS!$F201,DEMANDS!$G$2:$CK$25,MATCH($E201,DEMANDS!$E$2:$E$25,0),FALSE)/HLOOKUP(2018,DEMANDS!$G$2:$CK$25,MATCH($E201,DEMANDS!$E$2:$E$25,0),FALSE)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AF201" s="35">
        <f>HLOOKUP(REG_TRA_DEMANDS!AF$3,'BY-Demands'!$J$5:$AK$14,MATCH($E201,'BY-Demands'!$I$5:$I$14,0),FALSE)*HLOOKUP(REG_TRA_DEMANDS!$F201,DEMANDS!$G$2:$CK$25,MATCH($E201,DEMANDS!$E$2:$E$25,0),FALSE)/HLOOKUP(2018,DEMANDS!$G$2:$CK$25,MATCH($E201,DEMANDS!$E$2:$E$25,0),FALSE)</f>
        <v>0</v>
      </c>
    </row>
    <row r="202" spans="4:32" ht="14.4">
      <c r="D202" t="s">
        <v>6</v>
      </c>
      <c r="E202" t="str">
        <f>DEMANDS!$E$24</f>
        <v>TAVIDOM</v>
      </c>
      <c r="F202">
        <v>2029</v>
      </c>
      <c r="G202" s="35">
        <f>HLOOKUP(REG_TRA_DEMANDS!G$3,'BY-Demands'!$J$5:$AK$14,MATCH($E202,'BY-Demands'!$I$5:$I$14,0),FALSE)*HLOOKUP(REG_TRA_DEMANDS!$F202,DEMANDS!$G$2:$CK$25,MATCH($E202,DEMANDS!$E$2:$E$25,0),FALSE)/HLOOKUP(2018,DEMANDS!$G$2:$CK$25,MATCH($E202,DEMANDS!$E$2:$E$25,0),FALSE)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H202" s="18">
        <f>HLOOKUP(REG_TRA_DEMANDS!H$3,'BY-Demands'!$J$5:$AK$14,MATCH($E202,'BY-Demands'!$I$5:$I$14,0),FALSE)*HLOOKUP(REG_TRA_DEMANDS!$F202,DEMANDS!$G$2:$CK$25,MATCH($E202,DEMANDS!$E$2:$E$25,0),FALSE)/HLOOKUP(2018,DEMANDS!$G$2:$CK$25,MATCH($E202,DEMANDS!$E$2:$E$25,0),FALSE)</f>
        <v>0.13395677260860595</v>
      </c>
      <c r="I202" s="35">
        <f>HLOOKUP(REG_TRA_DEMANDS!I$3,'BY-Demands'!$J$5:$AK$14,MATCH($E202,'BY-Demands'!$I$5:$I$14,0),FALSE)*HLOOKUP(REG_TRA_DEMANDS!$F202,DEMANDS!$G$2:$CK$25,MATCH($E202,DEMANDS!$E$2:$E$25,0),FALSE)/HLOOKUP(2018,DEMANDS!$G$2:$CK$25,MATCH($E202,DEMANDS!$E$2:$E$25,0),FALSE)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J202" s="35">
        <f>HLOOKUP(REG_TRA_DEMANDS!J$3,'BY-Demands'!$J$5:$AK$14,MATCH($E202,'BY-Demands'!$I$5:$I$14,0),FALSE)*HLOOKUP(REG_TRA_DEMANDS!$F202,DEMANDS!$G$2:$CK$25,MATCH($E202,DEMANDS!$E$2:$E$25,0),FALSE)/HLOOKUP(2018,DEMANDS!$G$2:$CK$25,MATCH($E202,DEMANDS!$E$2:$E$25,0),FALSE)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K202" s="35">
        <f>HLOOKUP(REG_TRA_DEMANDS!K$3,'BY-Demands'!$J$5:$AK$14,MATCH($E202,'BY-Demands'!$I$5:$I$14,0),FALSE)*HLOOKUP(REG_TRA_DEMANDS!$F202,DEMANDS!$G$2:$CK$25,MATCH($E202,DEMANDS!$E$2:$E$25,0),FALSE)/HLOOKUP(2018,DEMANDS!$G$2:$CK$25,MATCH($E202,DEMANDS!$E$2:$E$25,0),FALSE)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L202" s="35">
        <f>HLOOKUP(REG_TRA_DEMANDS!L$3,'BY-Demands'!$J$5:$AK$14,MATCH($E202,'BY-Demands'!$I$5:$I$14,0),FALSE)*HLOOKUP(REG_TRA_DEMANDS!$F202,DEMANDS!$G$2:$CK$25,MATCH($E202,DEMANDS!$E$2:$E$25,0),FALSE)/HLOOKUP(2018,DEMANDS!$G$2:$CK$25,MATCH($E202,DEMANDS!$E$2:$E$25,0),FALSE)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M202" s="35">
        <f>HLOOKUP(REG_TRA_DEMANDS!M$3,'BY-Demands'!$J$5:$AK$14,MATCH($E202,'BY-Demands'!$I$5:$I$14,0),FALSE)*HLOOKUP(REG_TRA_DEMANDS!$F202,DEMANDS!$G$2:$CK$25,MATCH($E202,DEMANDS!$E$2:$E$25,0),FALSE)/HLOOKUP(2018,DEMANDS!$G$2:$CK$25,MATCH($E202,DEMANDS!$E$2:$E$25,0),FALSE)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N202" s="35">
        <f>HLOOKUP(REG_TRA_DEMANDS!N$3,'BY-Demands'!$J$5:$AK$14,MATCH($E202,'BY-Demands'!$I$5:$I$14,0),FALSE)*HLOOKUP(REG_TRA_DEMANDS!$F202,DEMANDS!$G$2:$CK$25,MATCH($E202,DEMANDS!$E$2:$E$25,0),FALSE)/HLOOKUP(2018,DEMANDS!$G$2:$CK$25,MATCH($E202,DEMANDS!$E$2:$E$25,0),FALSE)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O202" s="35">
        <f>HLOOKUP(REG_TRA_DEMANDS!O$3,'BY-Demands'!$J$5:$AK$14,MATCH($E202,'BY-Demands'!$I$5:$I$14,0),FALSE)*HLOOKUP(REG_TRA_DEMANDS!$F202,DEMANDS!$G$2:$CK$25,MATCH($E202,DEMANDS!$E$2:$E$25,0),FALSE)/HLOOKUP(2018,DEMANDS!$G$2:$CK$25,MATCH($E202,DEMANDS!$E$2:$E$25,0),FALSE)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P202" s="35">
        <f>HLOOKUP(REG_TRA_DEMANDS!P$3,'BY-Demands'!$J$5:$AK$14,MATCH($E202,'BY-Demands'!$I$5:$I$14,0),FALSE)*HLOOKUP(REG_TRA_DEMANDS!$F202,DEMANDS!$G$2:$CK$25,MATCH($E202,DEMANDS!$E$2:$E$25,0),FALSE)/HLOOKUP(2018,DEMANDS!$G$2:$CK$25,MATCH($E202,DEMANDS!$E$2:$E$25,0),FALSE)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Q202" s="35">
        <f>HLOOKUP(REG_TRA_DEMANDS!Q$3,'BY-Demands'!$J$5:$AK$14,MATCH($E202,'BY-Demands'!$I$5:$I$14,0),FALSE)*HLOOKUP(REG_TRA_DEMANDS!$F202,DEMANDS!$G$2:$CK$25,MATCH($E202,DEMANDS!$E$2:$E$25,0),FALSE)/HLOOKUP(2018,DEMANDS!$G$2:$CK$25,MATCH($E202,DEMANDS!$E$2:$E$25,0),FALSE)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R202" s="35">
        <f>HLOOKUP(REG_TRA_DEMANDS!R$3,'BY-Demands'!$J$5:$AK$14,MATCH($E202,'BY-Demands'!$I$5:$I$14,0),FALSE)*HLOOKUP(REG_TRA_DEMANDS!$F202,DEMANDS!$G$2:$CK$25,MATCH($E202,DEMANDS!$E$2:$E$25,0),FALSE)/HLOOKUP(2018,DEMANDS!$G$2:$CK$25,MATCH($E202,DEMANDS!$E$2:$E$25,0),FALSE)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S202" s="18">
        <f>HLOOKUP(REG_TRA_DEMANDS!S$3,'BY-Demands'!$J$5:$AK$14,MATCH($E202,'BY-Demands'!$I$5:$I$14,0),FALSE)*HLOOKUP(REG_TRA_DEMANDS!$F202,DEMANDS!$G$2:$CK$25,MATCH($E202,DEMANDS!$E$2:$E$25,0),FALSE)/HLOOKUP(2018,DEMANDS!$G$2:$CK$25,MATCH($E202,DEMANDS!$E$2:$E$25,0),FALSE)</f>
        <v>0.046779068407982807</v>
      </c>
      <c r="T202" s="18">
        <f>HLOOKUP(REG_TRA_DEMANDS!T$3,'BY-Demands'!$J$5:$AK$14,MATCH($E202,'BY-Demands'!$I$5:$I$14,0),FALSE)*HLOOKUP(REG_TRA_DEMANDS!$F202,DEMANDS!$G$2:$CK$25,MATCH($E202,DEMANDS!$E$2:$E$25,0),FALSE)/HLOOKUP(2018,DEMANDS!$G$2:$CK$25,MATCH($E202,DEMANDS!$E$2:$E$25,0),FALSE)</f>
        <v>0.00046352277307537207</v>
      </c>
      <c r="U202" s="18">
        <f>HLOOKUP(REG_TRA_DEMANDS!U$3,'BY-Demands'!$J$5:$AK$14,MATCH($E202,'BY-Demands'!$I$5:$I$14,0),FALSE)*HLOOKUP(REG_TRA_DEMANDS!$F202,DEMANDS!$G$2:$CK$25,MATCH($E202,DEMANDS!$E$2:$E$25,0),FALSE)/HLOOKUP(2018,DEMANDS!$G$2:$CK$25,MATCH($E202,DEMANDS!$E$2:$E$25,0),FALSE)</f>
        <v>0.046529102661710439</v>
      </c>
      <c r="V202" s="35">
        <f>HLOOKUP(REG_TRA_DEMANDS!V$3,'BY-Demands'!$J$5:$AK$14,MATCH($E202,'BY-Demands'!$I$5:$I$14,0),FALSE)*HLOOKUP(REG_TRA_DEMANDS!$F202,DEMANDS!$G$2:$CK$25,MATCH($E202,DEMANDS!$E$2:$E$25,0),FALSE)/HLOOKUP(2018,DEMANDS!$G$2:$CK$25,MATCH($E202,DEMANDS!$E$2:$E$25,0),FALSE)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W202" s="35">
        <f>HLOOKUP(REG_TRA_DEMANDS!W$3,'BY-Demands'!$J$5:$AK$14,MATCH($E202,'BY-Demands'!$I$5:$I$14,0),FALSE)*HLOOKUP(REG_TRA_DEMANDS!$F202,DEMANDS!$G$2:$CK$25,MATCH($E202,DEMANDS!$E$2:$E$25,0),FALSE)/HLOOKUP(2018,DEMANDS!$G$2:$CK$25,MATCH($E202,DEMANDS!$E$2:$E$25,0),FALSE)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X202" s="35">
        <f>HLOOKUP(REG_TRA_DEMANDS!X$3,'BY-Demands'!$J$5:$AK$14,MATCH($E202,'BY-Demands'!$I$5:$I$14,0),FALSE)*HLOOKUP(REG_TRA_DEMANDS!$F202,DEMANDS!$G$2:$CK$25,MATCH($E202,DEMANDS!$E$2:$E$25,0),FALSE)/HLOOKUP(2018,DEMANDS!$G$2:$CK$25,MATCH($E202,DEMANDS!$E$2:$E$25,0),FALSE)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Y202" s="35">
        <f>HLOOKUP(REG_TRA_DEMANDS!Y$3,'BY-Demands'!$J$5:$AK$14,MATCH($E202,'BY-Demands'!$I$5:$I$14,0),FALSE)*HLOOKUP(REG_TRA_DEMANDS!$F202,DEMANDS!$G$2:$CK$25,MATCH($E202,DEMANDS!$E$2:$E$25,0),FALSE)/HLOOKUP(2018,DEMANDS!$G$2:$CK$25,MATCH($E202,DEMANDS!$E$2:$E$25,0),FALSE)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Z202" s="35">
        <f>HLOOKUP(REG_TRA_DEMANDS!Z$3,'BY-Demands'!$J$5:$AK$14,MATCH($E202,'BY-Demands'!$I$5:$I$14,0),FALSE)*HLOOKUP(REG_TRA_DEMANDS!$F202,DEMANDS!$G$2:$CK$25,MATCH($E202,DEMANDS!$E$2:$E$25,0),FALSE)/HLOOKUP(2018,DEMANDS!$G$2:$CK$25,MATCH($E202,DEMANDS!$E$2:$E$25,0),FALSE)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AA202" s="35">
        <f>HLOOKUP(REG_TRA_DEMANDS!AA$3,'BY-Demands'!$J$5:$AK$14,MATCH($E202,'BY-Demands'!$I$5:$I$14,0),FALSE)*HLOOKUP(REG_TRA_DEMANDS!$F202,DEMANDS!$G$2:$CK$25,MATCH($E202,DEMANDS!$E$2:$E$25,0),FALSE)/HLOOKUP(2018,DEMANDS!$G$2:$CK$25,MATCH($E202,DEMANDS!$E$2:$E$25,0),FALSE)</f>
        <v>9.2704554615074527E-05</v>
      </c>
      <c r="AB202" s="35">
        <f>HLOOKUP(REG_TRA_DEMANDS!AB$3,'BY-Demands'!$J$5:$AK$14,MATCH($E202,'BY-Demands'!$I$5:$I$14,0),FALSE)*HLOOKUP(REG_TRA_DEMANDS!$F202,DEMANDS!$G$2:$CK$25,MATCH($E202,DEMANDS!$E$2:$E$25,0),FALSE)/HLOOKUP(2018,DEMANDS!$G$2:$CK$25,MATCH($E202,DEMANDS!$E$2:$E$25,0),FALSE)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AC202" s="35">
        <f>HLOOKUP(REG_TRA_DEMANDS!AC$3,'BY-Demands'!$J$5:$AK$14,MATCH($E202,'BY-Demands'!$I$5:$I$14,0),FALSE)*HLOOKUP(REG_TRA_DEMANDS!$F202,DEMANDS!$G$2:$CK$25,MATCH($E202,DEMANDS!$E$2:$E$25,0),FALSE)/HLOOKUP(2018,DEMANDS!$G$2:$CK$25,MATCH($E202,DEMANDS!$E$2:$E$25,0),FALSE)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AD202" s="35">
        <f>HLOOKUP(REG_TRA_DEMANDS!AD$3,'BY-Demands'!$J$5:$AK$14,MATCH($E202,'BY-Demands'!$I$5:$I$14,0),FALSE)*HLOOKUP(REG_TRA_DEMANDS!$F202,DEMANDS!$G$2:$CK$25,MATCH($E202,DEMANDS!$E$2:$E$25,0),FALSE)/HLOOKUP(2018,DEMANDS!$G$2:$CK$25,MATCH($E202,DEMANDS!$E$2:$E$25,0),FALSE)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AE202" s="35">
        <f>HLOOKUP(REG_TRA_DEMANDS!AE$3,'BY-Demands'!$J$5:$AK$14,MATCH($E202,'BY-Demands'!$I$5:$I$14,0),FALSE)*HLOOKUP(REG_TRA_DEMANDS!$F202,DEMANDS!$G$2:$CK$25,MATCH($E202,DEMANDS!$E$2:$E$25,0),FALSE)/HLOOKUP(2018,DEMANDS!$G$2:$CK$25,MATCH($E202,DEMANDS!$E$2:$E$25,0),FALSE)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AF202" s="35">
        <f>HLOOKUP(REG_TRA_DEMANDS!AF$3,'BY-Demands'!$J$5:$AK$14,MATCH($E202,'BY-Demands'!$I$5:$I$14,0),FALSE)*HLOOKUP(REG_TRA_DEMANDS!$F202,DEMANDS!$G$2:$CK$25,MATCH($E202,DEMANDS!$E$2:$E$25,0),FALSE)/HLOOKUP(2018,DEMANDS!$G$2:$CK$25,MATCH($E202,DEMANDS!$E$2:$E$25,0),FALSE)</f>
        <v>0</v>
      </c>
    </row>
    <row r="203" spans="4:32" ht="14.4">
      <c r="D203" t="s">
        <v>6</v>
      </c>
      <c r="E203" t="str">
        <f>DEMANDS!$E$24</f>
        <v>TAVIDOM</v>
      </c>
      <c r="F203">
        <v>2030</v>
      </c>
      <c r="G203" s="35">
        <f>HLOOKUP(REG_TRA_DEMANDS!G$3,'BY-Demands'!$J$5:$AK$14,MATCH($E203,'BY-Demands'!$I$5:$I$14,0),FALSE)*HLOOKUP(REG_TRA_DEMANDS!$F203,DEMANDS!$G$2:$CK$25,MATCH($E203,DEMANDS!$E$2:$E$25,0),FALSE)/HLOOKUP(2018,DEMANDS!$G$2:$CK$25,MATCH($E203,DEMANDS!$E$2:$E$25,0),FALSE)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H203" s="18">
        <f>HLOOKUP(REG_TRA_DEMANDS!H$3,'BY-Demands'!$J$5:$AK$14,MATCH($E203,'BY-Demands'!$I$5:$I$14,0),FALSE)*HLOOKUP(REG_TRA_DEMANDS!$F203,DEMANDS!$G$2:$CK$25,MATCH($E203,DEMANDS!$E$2:$E$25,0),FALSE)/HLOOKUP(2018,DEMANDS!$G$2:$CK$25,MATCH($E203,DEMANDS!$E$2:$E$25,0),FALSE)</f>
        <v>0.13395677260860595</v>
      </c>
      <c r="I203" s="35">
        <f>HLOOKUP(REG_TRA_DEMANDS!I$3,'BY-Demands'!$J$5:$AK$14,MATCH($E203,'BY-Demands'!$I$5:$I$14,0),FALSE)*HLOOKUP(REG_TRA_DEMANDS!$F203,DEMANDS!$G$2:$CK$25,MATCH($E203,DEMANDS!$E$2:$E$25,0),FALSE)/HLOOKUP(2018,DEMANDS!$G$2:$CK$25,MATCH($E203,DEMANDS!$E$2:$E$25,0),FALSE)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J203" s="35">
        <f>HLOOKUP(REG_TRA_DEMANDS!J$3,'BY-Demands'!$J$5:$AK$14,MATCH($E203,'BY-Demands'!$I$5:$I$14,0),FALSE)*HLOOKUP(REG_TRA_DEMANDS!$F203,DEMANDS!$G$2:$CK$25,MATCH($E203,DEMANDS!$E$2:$E$25,0),FALSE)/HLOOKUP(2018,DEMANDS!$G$2:$CK$25,MATCH($E203,DEMANDS!$E$2:$E$25,0),FALSE)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K203" s="35">
        <f>HLOOKUP(REG_TRA_DEMANDS!K$3,'BY-Demands'!$J$5:$AK$14,MATCH($E203,'BY-Demands'!$I$5:$I$14,0),FALSE)*HLOOKUP(REG_TRA_DEMANDS!$F203,DEMANDS!$G$2:$CK$25,MATCH($E203,DEMANDS!$E$2:$E$25,0),FALSE)/HLOOKUP(2018,DEMANDS!$G$2:$CK$25,MATCH($E203,DEMANDS!$E$2:$E$25,0),FALSE)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L203" s="35">
        <f>HLOOKUP(REG_TRA_DEMANDS!L$3,'BY-Demands'!$J$5:$AK$14,MATCH($E203,'BY-Demands'!$I$5:$I$14,0),FALSE)*HLOOKUP(REG_TRA_DEMANDS!$F203,DEMANDS!$G$2:$CK$25,MATCH($E203,DEMANDS!$E$2:$E$25,0),FALSE)/HLOOKUP(2018,DEMANDS!$G$2:$CK$25,MATCH($E203,DEMANDS!$E$2:$E$25,0),FALSE)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M203" s="35">
        <f>HLOOKUP(REG_TRA_DEMANDS!M$3,'BY-Demands'!$J$5:$AK$14,MATCH($E203,'BY-Demands'!$I$5:$I$14,0),FALSE)*HLOOKUP(REG_TRA_DEMANDS!$F203,DEMANDS!$G$2:$CK$25,MATCH($E203,DEMANDS!$E$2:$E$25,0),FALSE)/HLOOKUP(2018,DEMANDS!$G$2:$CK$25,MATCH($E203,DEMANDS!$E$2:$E$25,0),FALSE)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N203" s="35">
        <f>HLOOKUP(REG_TRA_DEMANDS!N$3,'BY-Demands'!$J$5:$AK$14,MATCH($E203,'BY-Demands'!$I$5:$I$14,0),FALSE)*HLOOKUP(REG_TRA_DEMANDS!$F203,DEMANDS!$G$2:$CK$25,MATCH($E203,DEMANDS!$E$2:$E$25,0),FALSE)/HLOOKUP(2018,DEMANDS!$G$2:$CK$25,MATCH($E203,DEMANDS!$E$2:$E$25,0),FALSE)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O203" s="35">
        <f>HLOOKUP(REG_TRA_DEMANDS!O$3,'BY-Demands'!$J$5:$AK$14,MATCH($E203,'BY-Demands'!$I$5:$I$14,0),FALSE)*HLOOKUP(REG_TRA_DEMANDS!$F203,DEMANDS!$G$2:$CK$25,MATCH($E203,DEMANDS!$E$2:$E$25,0),FALSE)/HLOOKUP(2018,DEMANDS!$G$2:$CK$25,MATCH($E203,DEMANDS!$E$2:$E$25,0),FALSE)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P203" s="35">
        <f>HLOOKUP(REG_TRA_DEMANDS!P$3,'BY-Demands'!$J$5:$AK$14,MATCH($E203,'BY-Demands'!$I$5:$I$14,0),FALSE)*HLOOKUP(REG_TRA_DEMANDS!$F203,DEMANDS!$G$2:$CK$25,MATCH($E203,DEMANDS!$E$2:$E$25,0),FALSE)/HLOOKUP(2018,DEMANDS!$G$2:$CK$25,MATCH($E203,DEMANDS!$E$2:$E$25,0),FALSE)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Q203" s="35">
        <f>HLOOKUP(REG_TRA_DEMANDS!Q$3,'BY-Demands'!$J$5:$AK$14,MATCH($E203,'BY-Demands'!$I$5:$I$14,0),FALSE)*HLOOKUP(REG_TRA_DEMANDS!$F203,DEMANDS!$G$2:$CK$25,MATCH($E203,DEMANDS!$E$2:$E$25,0),FALSE)/HLOOKUP(2018,DEMANDS!$G$2:$CK$25,MATCH($E203,DEMANDS!$E$2:$E$25,0),FALSE)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R203" s="35">
        <f>HLOOKUP(REG_TRA_DEMANDS!R$3,'BY-Demands'!$J$5:$AK$14,MATCH($E203,'BY-Demands'!$I$5:$I$14,0),FALSE)*HLOOKUP(REG_TRA_DEMANDS!$F203,DEMANDS!$G$2:$CK$25,MATCH($E203,DEMANDS!$E$2:$E$25,0),FALSE)/HLOOKUP(2018,DEMANDS!$G$2:$CK$25,MATCH($E203,DEMANDS!$E$2:$E$25,0),FALSE)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S203" s="18">
        <f>HLOOKUP(REG_TRA_DEMANDS!S$3,'BY-Demands'!$J$5:$AK$14,MATCH($E203,'BY-Demands'!$I$5:$I$14,0),FALSE)*HLOOKUP(REG_TRA_DEMANDS!$F203,DEMANDS!$G$2:$CK$25,MATCH($E203,DEMANDS!$E$2:$E$25,0),FALSE)/HLOOKUP(2018,DEMANDS!$G$2:$CK$25,MATCH($E203,DEMANDS!$E$2:$E$25,0),FALSE)</f>
        <v>0.046779068407982807</v>
      </c>
      <c r="T203" s="18">
        <f>HLOOKUP(REG_TRA_DEMANDS!T$3,'BY-Demands'!$J$5:$AK$14,MATCH($E203,'BY-Demands'!$I$5:$I$14,0),FALSE)*HLOOKUP(REG_TRA_DEMANDS!$F203,DEMANDS!$G$2:$CK$25,MATCH($E203,DEMANDS!$E$2:$E$25,0),FALSE)/HLOOKUP(2018,DEMANDS!$G$2:$CK$25,MATCH($E203,DEMANDS!$E$2:$E$25,0),FALSE)</f>
        <v>0.00046352277307537207</v>
      </c>
      <c r="U203" s="18">
        <f>HLOOKUP(REG_TRA_DEMANDS!U$3,'BY-Demands'!$J$5:$AK$14,MATCH($E203,'BY-Demands'!$I$5:$I$14,0),FALSE)*HLOOKUP(REG_TRA_DEMANDS!$F203,DEMANDS!$G$2:$CK$25,MATCH($E203,DEMANDS!$E$2:$E$25,0),FALSE)/HLOOKUP(2018,DEMANDS!$G$2:$CK$25,MATCH($E203,DEMANDS!$E$2:$E$25,0),FALSE)</f>
        <v>0.046529102661710439</v>
      </c>
      <c r="V203" s="35">
        <f>HLOOKUP(REG_TRA_DEMANDS!V$3,'BY-Demands'!$J$5:$AK$14,MATCH($E203,'BY-Demands'!$I$5:$I$14,0),FALSE)*HLOOKUP(REG_TRA_DEMANDS!$F203,DEMANDS!$G$2:$CK$25,MATCH($E203,DEMANDS!$E$2:$E$25,0),FALSE)/HLOOKUP(2018,DEMANDS!$G$2:$CK$25,MATCH($E203,DEMANDS!$E$2:$E$25,0),FALSE)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W203" s="35">
        <f>HLOOKUP(REG_TRA_DEMANDS!W$3,'BY-Demands'!$J$5:$AK$14,MATCH($E203,'BY-Demands'!$I$5:$I$14,0),FALSE)*HLOOKUP(REG_TRA_DEMANDS!$F203,DEMANDS!$G$2:$CK$25,MATCH($E203,DEMANDS!$E$2:$E$25,0),FALSE)/HLOOKUP(2018,DEMANDS!$G$2:$CK$25,MATCH($E203,DEMANDS!$E$2:$E$25,0),FALSE)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X203" s="35">
        <f>HLOOKUP(REG_TRA_DEMANDS!X$3,'BY-Demands'!$J$5:$AK$14,MATCH($E203,'BY-Demands'!$I$5:$I$14,0),FALSE)*HLOOKUP(REG_TRA_DEMANDS!$F203,DEMANDS!$G$2:$CK$25,MATCH($E203,DEMANDS!$E$2:$E$25,0),FALSE)/HLOOKUP(2018,DEMANDS!$G$2:$CK$25,MATCH($E203,DEMANDS!$E$2:$E$25,0),FALSE)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Y203" s="35">
        <f>HLOOKUP(REG_TRA_DEMANDS!Y$3,'BY-Demands'!$J$5:$AK$14,MATCH($E203,'BY-Demands'!$I$5:$I$14,0),FALSE)*HLOOKUP(REG_TRA_DEMANDS!$F203,DEMANDS!$G$2:$CK$25,MATCH($E203,DEMANDS!$E$2:$E$25,0),FALSE)/HLOOKUP(2018,DEMANDS!$G$2:$CK$25,MATCH($E203,DEMANDS!$E$2:$E$25,0),FALSE)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Z203" s="35">
        <f>HLOOKUP(REG_TRA_DEMANDS!Z$3,'BY-Demands'!$J$5:$AK$14,MATCH($E203,'BY-Demands'!$I$5:$I$14,0),FALSE)*HLOOKUP(REG_TRA_DEMANDS!$F203,DEMANDS!$G$2:$CK$25,MATCH($E203,DEMANDS!$E$2:$E$25,0),FALSE)/HLOOKUP(2018,DEMANDS!$G$2:$CK$25,MATCH($E203,DEMANDS!$E$2:$E$25,0),FALSE)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AA203" s="35">
        <f>HLOOKUP(REG_TRA_DEMANDS!AA$3,'BY-Demands'!$J$5:$AK$14,MATCH($E203,'BY-Demands'!$I$5:$I$14,0),FALSE)*HLOOKUP(REG_TRA_DEMANDS!$F203,DEMANDS!$G$2:$CK$25,MATCH($E203,DEMANDS!$E$2:$E$25,0),FALSE)/HLOOKUP(2018,DEMANDS!$G$2:$CK$25,MATCH($E203,DEMANDS!$E$2:$E$25,0),FALSE)</f>
        <v>9.2704554615074527E-05</v>
      </c>
      <c r="AB203" s="35">
        <f>HLOOKUP(REG_TRA_DEMANDS!AB$3,'BY-Demands'!$J$5:$AK$14,MATCH($E203,'BY-Demands'!$I$5:$I$14,0),FALSE)*HLOOKUP(REG_TRA_DEMANDS!$F203,DEMANDS!$G$2:$CK$25,MATCH($E203,DEMANDS!$E$2:$E$25,0),FALSE)/HLOOKUP(2018,DEMANDS!$G$2:$CK$25,MATCH($E203,DEMANDS!$E$2:$E$25,0),FALSE)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AC203" s="35">
        <f>HLOOKUP(REG_TRA_DEMANDS!AC$3,'BY-Demands'!$J$5:$AK$14,MATCH($E203,'BY-Demands'!$I$5:$I$14,0),FALSE)*HLOOKUP(REG_TRA_DEMANDS!$F203,DEMANDS!$G$2:$CK$25,MATCH($E203,DEMANDS!$E$2:$E$25,0),FALSE)/HLOOKUP(2018,DEMANDS!$G$2:$CK$25,MATCH($E203,DEMANDS!$E$2:$E$25,0),FALSE)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AD203" s="35">
        <f>HLOOKUP(REG_TRA_DEMANDS!AD$3,'BY-Demands'!$J$5:$AK$14,MATCH($E203,'BY-Demands'!$I$5:$I$14,0),FALSE)*HLOOKUP(REG_TRA_DEMANDS!$F203,DEMANDS!$G$2:$CK$25,MATCH($E203,DEMANDS!$E$2:$E$25,0),FALSE)/HLOOKUP(2018,DEMANDS!$G$2:$CK$25,MATCH($E203,DEMANDS!$E$2:$E$25,0),FALSE)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AE203" s="35">
        <f>HLOOKUP(REG_TRA_DEMANDS!AE$3,'BY-Demands'!$J$5:$AK$14,MATCH($E203,'BY-Demands'!$I$5:$I$14,0),FALSE)*HLOOKUP(REG_TRA_DEMANDS!$F203,DEMANDS!$G$2:$CK$25,MATCH($E203,DEMANDS!$E$2:$E$25,0),FALSE)/HLOOKUP(2018,DEMANDS!$G$2:$CK$25,MATCH($E203,DEMANDS!$E$2:$E$25,0),FALSE)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AF203" s="35">
        <f>HLOOKUP(REG_TRA_DEMANDS!AF$3,'BY-Demands'!$J$5:$AK$14,MATCH($E203,'BY-Demands'!$I$5:$I$14,0),FALSE)*HLOOKUP(REG_TRA_DEMANDS!$F203,DEMANDS!$G$2:$CK$25,MATCH($E203,DEMANDS!$E$2:$E$25,0),FALSE)/HLOOKUP(2018,DEMANDS!$G$2:$CK$25,MATCH($E203,DEMANDS!$E$2:$E$25,0),FALSE)</f>
        <v>0</v>
      </c>
    </row>
    <row r="204" spans="4:32" ht="14.4">
      <c r="D204" t="s">
        <v>6</v>
      </c>
      <c r="E204" t="str">
        <f>DEMANDS!$E$24</f>
        <v>TAVIDOM</v>
      </c>
      <c r="F204">
        <v>2031</v>
      </c>
      <c r="G204" s="35">
        <f>HLOOKUP(REG_TRA_DEMANDS!G$3,'BY-Demands'!$J$5:$AK$14,MATCH($E204,'BY-Demands'!$I$5:$I$14,0),FALSE)*HLOOKUP(REG_TRA_DEMANDS!$F204,DEMANDS!$G$2:$CK$25,MATCH($E204,DEMANDS!$E$2:$E$25,0),FALSE)/HLOOKUP(2018,DEMANDS!$G$2:$CK$25,MATCH($E204,DEMANDS!$E$2:$E$25,0),FALSE)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H204" s="18">
        <f>HLOOKUP(REG_TRA_DEMANDS!H$3,'BY-Demands'!$J$5:$AK$14,MATCH($E204,'BY-Demands'!$I$5:$I$14,0),FALSE)*HLOOKUP(REG_TRA_DEMANDS!$F204,DEMANDS!$G$2:$CK$25,MATCH($E204,DEMANDS!$E$2:$E$25,0),FALSE)/HLOOKUP(2018,DEMANDS!$G$2:$CK$25,MATCH($E204,DEMANDS!$E$2:$E$25,0),FALSE)</f>
        <v>0.13395677260860595</v>
      </c>
      <c r="I204" s="35">
        <f>HLOOKUP(REG_TRA_DEMANDS!I$3,'BY-Demands'!$J$5:$AK$14,MATCH($E204,'BY-Demands'!$I$5:$I$14,0),FALSE)*HLOOKUP(REG_TRA_DEMANDS!$F204,DEMANDS!$G$2:$CK$25,MATCH($E204,DEMANDS!$E$2:$E$25,0),FALSE)/HLOOKUP(2018,DEMANDS!$G$2:$CK$25,MATCH($E204,DEMANDS!$E$2:$E$25,0),FALSE)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J204" s="35">
        <f>HLOOKUP(REG_TRA_DEMANDS!J$3,'BY-Demands'!$J$5:$AK$14,MATCH($E204,'BY-Demands'!$I$5:$I$14,0),FALSE)*HLOOKUP(REG_TRA_DEMANDS!$F204,DEMANDS!$G$2:$CK$25,MATCH($E204,DEMANDS!$E$2:$E$25,0),FALSE)/HLOOKUP(2018,DEMANDS!$G$2:$CK$25,MATCH($E204,DEMANDS!$E$2:$E$25,0),FALSE)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K204" s="35">
        <f>HLOOKUP(REG_TRA_DEMANDS!K$3,'BY-Demands'!$J$5:$AK$14,MATCH($E204,'BY-Demands'!$I$5:$I$14,0),FALSE)*HLOOKUP(REG_TRA_DEMANDS!$F204,DEMANDS!$G$2:$CK$25,MATCH($E204,DEMANDS!$E$2:$E$25,0),FALSE)/HLOOKUP(2018,DEMANDS!$G$2:$CK$25,MATCH($E204,DEMANDS!$E$2:$E$25,0),FALSE)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L204" s="35">
        <f>HLOOKUP(REG_TRA_DEMANDS!L$3,'BY-Demands'!$J$5:$AK$14,MATCH($E204,'BY-Demands'!$I$5:$I$14,0),FALSE)*HLOOKUP(REG_TRA_DEMANDS!$F204,DEMANDS!$G$2:$CK$25,MATCH($E204,DEMANDS!$E$2:$E$25,0),FALSE)/HLOOKUP(2018,DEMANDS!$G$2:$CK$25,MATCH($E204,DEMANDS!$E$2:$E$25,0),FALSE)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M204" s="35">
        <f>HLOOKUP(REG_TRA_DEMANDS!M$3,'BY-Demands'!$J$5:$AK$14,MATCH($E204,'BY-Demands'!$I$5:$I$14,0),FALSE)*HLOOKUP(REG_TRA_DEMANDS!$F204,DEMANDS!$G$2:$CK$25,MATCH($E204,DEMANDS!$E$2:$E$25,0),FALSE)/HLOOKUP(2018,DEMANDS!$G$2:$CK$25,MATCH($E204,DEMANDS!$E$2:$E$25,0),FALSE)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N204" s="35">
        <f>HLOOKUP(REG_TRA_DEMANDS!N$3,'BY-Demands'!$J$5:$AK$14,MATCH($E204,'BY-Demands'!$I$5:$I$14,0),FALSE)*HLOOKUP(REG_TRA_DEMANDS!$F204,DEMANDS!$G$2:$CK$25,MATCH($E204,DEMANDS!$E$2:$E$25,0),FALSE)/HLOOKUP(2018,DEMANDS!$G$2:$CK$25,MATCH($E204,DEMANDS!$E$2:$E$25,0),FALSE)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O204" s="35">
        <f>HLOOKUP(REG_TRA_DEMANDS!O$3,'BY-Demands'!$J$5:$AK$14,MATCH($E204,'BY-Demands'!$I$5:$I$14,0),FALSE)*HLOOKUP(REG_TRA_DEMANDS!$F204,DEMANDS!$G$2:$CK$25,MATCH($E204,DEMANDS!$E$2:$E$25,0),FALSE)/HLOOKUP(2018,DEMANDS!$G$2:$CK$25,MATCH($E204,DEMANDS!$E$2:$E$25,0),FALSE)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P204" s="35">
        <f>HLOOKUP(REG_TRA_DEMANDS!P$3,'BY-Demands'!$J$5:$AK$14,MATCH($E204,'BY-Demands'!$I$5:$I$14,0),FALSE)*HLOOKUP(REG_TRA_DEMANDS!$F204,DEMANDS!$G$2:$CK$25,MATCH($E204,DEMANDS!$E$2:$E$25,0),FALSE)/HLOOKUP(2018,DEMANDS!$G$2:$CK$25,MATCH($E204,DEMANDS!$E$2:$E$25,0),FALSE)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Q204" s="35">
        <f>HLOOKUP(REG_TRA_DEMANDS!Q$3,'BY-Demands'!$J$5:$AK$14,MATCH($E204,'BY-Demands'!$I$5:$I$14,0),FALSE)*HLOOKUP(REG_TRA_DEMANDS!$F204,DEMANDS!$G$2:$CK$25,MATCH($E204,DEMANDS!$E$2:$E$25,0),FALSE)/HLOOKUP(2018,DEMANDS!$G$2:$CK$25,MATCH($E204,DEMANDS!$E$2:$E$25,0),FALSE)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R204" s="35">
        <f>HLOOKUP(REG_TRA_DEMANDS!R$3,'BY-Demands'!$J$5:$AK$14,MATCH($E204,'BY-Demands'!$I$5:$I$14,0),FALSE)*HLOOKUP(REG_TRA_DEMANDS!$F204,DEMANDS!$G$2:$CK$25,MATCH($E204,DEMANDS!$E$2:$E$25,0),FALSE)/HLOOKUP(2018,DEMANDS!$G$2:$CK$25,MATCH($E204,DEMANDS!$E$2:$E$25,0),FALSE)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S204" s="18">
        <f>HLOOKUP(REG_TRA_DEMANDS!S$3,'BY-Demands'!$J$5:$AK$14,MATCH($E204,'BY-Demands'!$I$5:$I$14,0),FALSE)*HLOOKUP(REG_TRA_DEMANDS!$F204,DEMANDS!$G$2:$CK$25,MATCH($E204,DEMANDS!$E$2:$E$25,0),FALSE)/HLOOKUP(2018,DEMANDS!$G$2:$CK$25,MATCH($E204,DEMANDS!$E$2:$E$25,0),FALSE)</f>
        <v>0.046779068407982807</v>
      </c>
      <c r="T204" s="18">
        <f>HLOOKUP(REG_TRA_DEMANDS!T$3,'BY-Demands'!$J$5:$AK$14,MATCH($E204,'BY-Demands'!$I$5:$I$14,0),FALSE)*HLOOKUP(REG_TRA_DEMANDS!$F204,DEMANDS!$G$2:$CK$25,MATCH($E204,DEMANDS!$E$2:$E$25,0),FALSE)/HLOOKUP(2018,DEMANDS!$G$2:$CK$25,MATCH($E204,DEMANDS!$E$2:$E$25,0),FALSE)</f>
        <v>0.00046352277307537207</v>
      </c>
      <c r="U204" s="18">
        <f>HLOOKUP(REG_TRA_DEMANDS!U$3,'BY-Demands'!$J$5:$AK$14,MATCH($E204,'BY-Demands'!$I$5:$I$14,0),FALSE)*HLOOKUP(REG_TRA_DEMANDS!$F204,DEMANDS!$G$2:$CK$25,MATCH($E204,DEMANDS!$E$2:$E$25,0),FALSE)/HLOOKUP(2018,DEMANDS!$G$2:$CK$25,MATCH($E204,DEMANDS!$E$2:$E$25,0),FALSE)</f>
        <v>0.046529102661710439</v>
      </c>
      <c r="V204" s="35">
        <f>HLOOKUP(REG_TRA_DEMANDS!V$3,'BY-Demands'!$J$5:$AK$14,MATCH($E204,'BY-Demands'!$I$5:$I$14,0),FALSE)*HLOOKUP(REG_TRA_DEMANDS!$F204,DEMANDS!$G$2:$CK$25,MATCH($E204,DEMANDS!$E$2:$E$25,0),FALSE)/HLOOKUP(2018,DEMANDS!$G$2:$CK$25,MATCH($E204,DEMANDS!$E$2:$E$25,0),FALSE)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W204" s="35">
        <f>HLOOKUP(REG_TRA_DEMANDS!W$3,'BY-Demands'!$J$5:$AK$14,MATCH($E204,'BY-Demands'!$I$5:$I$14,0),FALSE)*HLOOKUP(REG_TRA_DEMANDS!$F204,DEMANDS!$G$2:$CK$25,MATCH($E204,DEMANDS!$E$2:$E$25,0),FALSE)/HLOOKUP(2018,DEMANDS!$G$2:$CK$25,MATCH($E204,DEMANDS!$E$2:$E$25,0),FALSE)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X204" s="35">
        <f>HLOOKUP(REG_TRA_DEMANDS!X$3,'BY-Demands'!$J$5:$AK$14,MATCH($E204,'BY-Demands'!$I$5:$I$14,0),FALSE)*HLOOKUP(REG_TRA_DEMANDS!$F204,DEMANDS!$G$2:$CK$25,MATCH($E204,DEMANDS!$E$2:$E$25,0),FALSE)/HLOOKUP(2018,DEMANDS!$G$2:$CK$25,MATCH($E204,DEMANDS!$E$2:$E$25,0),FALSE)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Y204" s="35">
        <f>HLOOKUP(REG_TRA_DEMANDS!Y$3,'BY-Demands'!$J$5:$AK$14,MATCH($E204,'BY-Demands'!$I$5:$I$14,0),FALSE)*HLOOKUP(REG_TRA_DEMANDS!$F204,DEMANDS!$G$2:$CK$25,MATCH($E204,DEMANDS!$E$2:$E$25,0),FALSE)/HLOOKUP(2018,DEMANDS!$G$2:$CK$25,MATCH($E204,DEMANDS!$E$2:$E$25,0),FALSE)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Z204" s="35">
        <f>HLOOKUP(REG_TRA_DEMANDS!Z$3,'BY-Demands'!$J$5:$AK$14,MATCH($E204,'BY-Demands'!$I$5:$I$14,0),FALSE)*HLOOKUP(REG_TRA_DEMANDS!$F204,DEMANDS!$G$2:$CK$25,MATCH($E204,DEMANDS!$E$2:$E$25,0),FALSE)/HLOOKUP(2018,DEMANDS!$G$2:$CK$25,MATCH($E204,DEMANDS!$E$2:$E$25,0),FALSE)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AA204" s="35">
        <f>HLOOKUP(REG_TRA_DEMANDS!AA$3,'BY-Demands'!$J$5:$AK$14,MATCH($E204,'BY-Demands'!$I$5:$I$14,0),FALSE)*HLOOKUP(REG_TRA_DEMANDS!$F204,DEMANDS!$G$2:$CK$25,MATCH($E204,DEMANDS!$E$2:$E$25,0),FALSE)/HLOOKUP(2018,DEMANDS!$G$2:$CK$25,MATCH($E204,DEMANDS!$E$2:$E$25,0),FALSE)</f>
        <v>9.2704554615074527E-05</v>
      </c>
      <c r="AB204" s="35">
        <f>HLOOKUP(REG_TRA_DEMANDS!AB$3,'BY-Demands'!$J$5:$AK$14,MATCH($E204,'BY-Demands'!$I$5:$I$14,0),FALSE)*HLOOKUP(REG_TRA_DEMANDS!$F204,DEMANDS!$G$2:$CK$25,MATCH($E204,DEMANDS!$E$2:$E$25,0),FALSE)/HLOOKUP(2018,DEMANDS!$G$2:$CK$25,MATCH($E204,DEMANDS!$E$2:$E$25,0),FALSE)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AC204" s="35">
        <f>HLOOKUP(REG_TRA_DEMANDS!AC$3,'BY-Demands'!$J$5:$AK$14,MATCH($E204,'BY-Demands'!$I$5:$I$14,0),FALSE)*HLOOKUP(REG_TRA_DEMANDS!$F204,DEMANDS!$G$2:$CK$25,MATCH($E204,DEMANDS!$E$2:$E$25,0),FALSE)/HLOOKUP(2018,DEMANDS!$G$2:$CK$25,MATCH($E204,DEMANDS!$E$2:$E$25,0),FALSE)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AD204" s="35">
        <f>HLOOKUP(REG_TRA_DEMANDS!AD$3,'BY-Demands'!$J$5:$AK$14,MATCH($E204,'BY-Demands'!$I$5:$I$14,0),FALSE)*HLOOKUP(REG_TRA_DEMANDS!$F204,DEMANDS!$G$2:$CK$25,MATCH($E204,DEMANDS!$E$2:$E$25,0),FALSE)/HLOOKUP(2018,DEMANDS!$G$2:$CK$25,MATCH($E204,DEMANDS!$E$2:$E$25,0),FALSE)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AE204" s="35">
        <f>HLOOKUP(REG_TRA_DEMANDS!AE$3,'BY-Demands'!$J$5:$AK$14,MATCH($E204,'BY-Demands'!$I$5:$I$14,0),FALSE)*HLOOKUP(REG_TRA_DEMANDS!$F204,DEMANDS!$G$2:$CK$25,MATCH($E204,DEMANDS!$E$2:$E$25,0),FALSE)/HLOOKUP(2018,DEMANDS!$G$2:$CK$25,MATCH($E204,DEMANDS!$E$2:$E$25,0),FALSE)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AF204" s="35">
        <f>HLOOKUP(REG_TRA_DEMANDS!AF$3,'BY-Demands'!$J$5:$AK$14,MATCH($E204,'BY-Demands'!$I$5:$I$14,0),FALSE)*HLOOKUP(REG_TRA_DEMANDS!$F204,DEMANDS!$G$2:$CK$25,MATCH($E204,DEMANDS!$E$2:$E$25,0),FALSE)/HLOOKUP(2018,DEMANDS!$G$2:$CK$25,MATCH($E204,DEMANDS!$E$2:$E$25,0),FALSE)</f>
        <v>0</v>
      </c>
    </row>
    <row r="205" spans="4:32" ht="14.4">
      <c r="D205" t="s">
        <v>6</v>
      </c>
      <c r="E205" t="str">
        <f>DEMANDS!$E$24</f>
        <v>TAVIDOM</v>
      </c>
      <c r="F205">
        <v>2032</v>
      </c>
      <c r="G205" s="35">
        <f>HLOOKUP(REG_TRA_DEMANDS!G$3,'BY-Demands'!$J$5:$AK$14,MATCH($E205,'BY-Demands'!$I$5:$I$14,0),FALSE)*HLOOKUP(REG_TRA_DEMANDS!$F205,DEMANDS!$G$2:$CK$25,MATCH($E205,DEMANDS!$E$2:$E$25,0),FALSE)/HLOOKUP(2018,DEMANDS!$G$2:$CK$25,MATCH($E205,DEMANDS!$E$2:$E$25,0),FALSE)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H205" s="18">
        <f>HLOOKUP(REG_TRA_DEMANDS!H$3,'BY-Demands'!$J$5:$AK$14,MATCH($E205,'BY-Demands'!$I$5:$I$14,0),FALSE)*HLOOKUP(REG_TRA_DEMANDS!$F205,DEMANDS!$G$2:$CK$25,MATCH($E205,DEMANDS!$E$2:$E$25,0),FALSE)/HLOOKUP(2018,DEMANDS!$G$2:$CK$25,MATCH($E205,DEMANDS!$E$2:$E$25,0),FALSE)</f>
        <v>0.13395677260860595</v>
      </c>
      <c r="I205" s="35">
        <f>HLOOKUP(REG_TRA_DEMANDS!I$3,'BY-Demands'!$J$5:$AK$14,MATCH($E205,'BY-Demands'!$I$5:$I$14,0),FALSE)*HLOOKUP(REG_TRA_DEMANDS!$F205,DEMANDS!$G$2:$CK$25,MATCH($E205,DEMANDS!$E$2:$E$25,0),FALSE)/HLOOKUP(2018,DEMANDS!$G$2:$CK$25,MATCH($E205,DEMANDS!$E$2:$E$25,0),FALSE)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J205" s="35">
        <f>HLOOKUP(REG_TRA_DEMANDS!J$3,'BY-Demands'!$J$5:$AK$14,MATCH($E205,'BY-Demands'!$I$5:$I$14,0),FALSE)*HLOOKUP(REG_TRA_DEMANDS!$F205,DEMANDS!$G$2:$CK$25,MATCH($E205,DEMANDS!$E$2:$E$25,0),FALSE)/HLOOKUP(2018,DEMANDS!$G$2:$CK$25,MATCH($E205,DEMANDS!$E$2:$E$25,0),FALSE)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K205" s="35">
        <f>HLOOKUP(REG_TRA_DEMANDS!K$3,'BY-Demands'!$J$5:$AK$14,MATCH($E205,'BY-Demands'!$I$5:$I$14,0),FALSE)*HLOOKUP(REG_TRA_DEMANDS!$F205,DEMANDS!$G$2:$CK$25,MATCH($E205,DEMANDS!$E$2:$E$25,0),FALSE)/HLOOKUP(2018,DEMANDS!$G$2:$CK$25,MATCH($E205,DEMANDS!$E$2:$E$25,0),FALSE)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L205" s="35">
        <f>HLOOKUP(REG_TRA_DEMANDS!L$3,'BY-Demands'!$J$5:$AK$14,MATCH($E205,'BY-Demands'!$I$5:$I$14,0),FALSE)*HLOOKUP(REG_TRA_DEMANDS!$F205,DEMANDS!$G$2:$CK$25,MATCH($E205,DEMANDS!$E$2:$E$25,0),FALSE)/HLOOKUP(2018,DEMANDS!$G$2:$CK$25,MATCH($E205,DEMANDS!$E$2:$E$25,0),FALSE)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M205" s="35">
        <f>HLOOKUP(REG_TRA_DEMANDS!M$3,'BY-Demands'!$J$5:$AK$14,MATCH($E205,'BY-Demands'!$I$5:$I$14,0),FALSE)*HLOOKUP(REG_TRA_DEMANDS!$F205,DEMANDS!$G$2:$CK$25,MATCH($E205,DEMANDS!$E$2:$E$25,0),FALSE)/HLOOKUP(2018,DEMANDS!$G$2:$CK$25,MATCH($E205,DEMANDS!$E$2:$E$25,0),FALSE)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N205" s="35">
        <f>HLOOKUP(REG_TRA_DEMANDS!N$3,'BY-Demands'!$J$5:$AK$14,MATCH($E205,'BY-Demands'!$I$5:$I$14,0),FALSE)*HLOOKUP(REG_TRA_DEMANDS!$F205,DEMANDS!$G$2:$CK$25,MATCH($E205,DEMANDS!$E$2:$E$25,0),FALSE)/HLOOKUP(2018,DEMANDS!$G$2:$CK$25,MATCH($E205,DEMANDS!$E$2:$E$25,0),FALSE)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O205" s="35">
        <f>HLOOKUP(REG_TRA_DEMANDS!O$3,'BY-Demands'!$J$5:$AK$14,MATCH($E205,'BY-Demands'!$I$5:$I$14,0),FALSE)*HLOOKUP(REG_TRA_DEMANDS!$F205,DEMANDS!$G$2:$CK$25,MATCH($E205,DEMANDS!$E$2:$E$25,0),FALSE)/HLOOKUP(2018,DEMANDS!$G$2:$CK$25,MATCH($E205,DEMANDS!$E$2:$E$25,0),FALSE)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P205" s="35">
        <f>HLOOKUP(REG_TRA_DEMANDS!P$3,'BY-Demands'!$J$5:$AK$14,MATCH($E205,'BY-Demands'!$I$5:$I$14,0),FALSE)*HLOOKUP(REG_TRA_DEMANDS!$F205,DEMANDS!$G$2:$CK$25,MATCH($E205,DEMANDS!$E$2:$E$25,0),FALSE)/HLOOKUP(2018,DEMANDS!$G$2:$CK$25,MATCH($E205,DEMANDS!$E$2:$E$25,0),FALSE)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Q205" s="35">
        <f>HLOOKUP(REG_TRA_DEMANDS!Q$3,'BY-Demands'!$J$5:$AK$14,MATCH($E205,'BY-Demands'!$I$5:$I$14,0),FALSE)*HLOOKUP(REG_TRA_DEMANDS!$F205,DEMANDS!$G$2:$CK$25,MATCH($E205,DEMANDS!$E$2:$E$25,0),FALSE)/HLOOKUP(2018,DEMANDS!$G$2:$CK$25,MATCH($E205,DEMANDS!$E$2:$E$25,0),FALSE)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R205" s="35">
        <f>HLOOKUP(REG_TRA_DEMANDS!R$3,'BY-Demands'!$J$5:$AK$14,MATCH($E205,'BY-Demands'!$I$5:$I$14,0),FALSE)*HLOOKUP(REG_TRA_DEMANDS!$F205,DEMANDS!$G$2:$CK$25,MATCH($E205,DEMANDS!$E$2:$E$25,0),FALSE)/HLOOKUP(2018,DEMANDS!$G$2:$CK$25,MATCH($E205,DEMANDS!$E$2:$E$25,0),FALSE)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S205" s="18">
        <f>HLOOKUP(REG_TRA_DEMANDS!S$3,'BY-Demands'!$J$5:$AK$14,MATCH($E205,'BY-Demands'!$I$5:$I$14,0),FALSE)*HLOOKUP(REG_TRA_DEMANDS!$F205,DEMANDS!$G$2:$CK$25,MATCH($E205,DEMANDS!$E$2:$E$25,0),FALSE)/HLOOKUP(2018,DEMANDS!$G$2:$CK$25,MATCH($E205,DEMANDS!$E$2:$E$25,0),FALSE)</f>
        <v>0.046779068407982807</v>
      </c>
      <c r="T205" s="18">
        <f>HLOOKUP(REG_TRA_DEMANDS!T$3,'BY-Demands'!$J$5:$AK$14,MATCH($E205,'BY-Demands'!$I$5:$I$14,0),FALSE)*HLOOKUP(REG_TRA_DEMANDS!$F205,DEMANDS!$G$2:$CK$25,MATCH($E205,DEMANDS!$E$2:$E$25,0),FALSE)/HLOOKUP(2018,DEMANDS!$G$2:$CK$25,MATCH($E205,DEMANDS!$E$2:$E$25,0),FALSE)</f>
        <v>0.00046352277307537207</v>
      </c>
      <c r="U205" s="18">
        <f>HLOOKUP(REG_TRA_DEMANDS!U$3,'BY-Demands'!$J$5:$AK$14,MATCH($E205,'BY-Demands'!$I$5:$I$14,0),FALSE)*HLOOKUP(REG_TRA_DEMANDS!$F205,DEMANDS!$G$2:$CK$25,MATCH($E205,DEMANDS!$E$2:$E$25,0),FALSE)/HLOOKUP(2018,DEMANDS!$G$2:$CK$25,MATCH($E205,DEMANDS!$E$2:$E$25,0),FALSE)</f>
        <v>0.046529102661710439</v>
      </c>
      <c r="V205" s="35">
        <f>HLOOKUP(REG_TRA_DEMANDS!V$3,'BY-Demands'!$J$5:$AK$14,MATCH($E205,'BY-Demands'!$I$5:$I$14,0),FALSE)*HLOOKUP(REG_TRA_DEMANDS!$F205,DEMANDS!$G$2:$CK$25,MATCH($E205,DEMANDS!$E$2:$E$25,0),FALSE)/HLOOKUP(2018,DEMANDS!$G$2:$CK$25,MATCH($E205,DEMANDS!$E$2:$E$25,0),FALSE)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W205" s="35">
        <f>HLOOKUP(REG_TRA_DEMANDS!W$3,'BY-Demands'!$J$5:$AK$14,MATCH($E205,'BY-Demands'!$I$5:$I$14,0),FALSE)*HLOOKUP(REG_TRA_DEMANDS!$F205,DEMANDS!$G$2:$CK$25,MATCH($E205,DEMANDS!$E$2:$E$25,0),FALSE)/HLOOKUP(2018,DEMANDS!$G$2:$CK$25,MATCH($E205,DEMANDS!$E$2:$E$25,0),FALSE)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X205" s="35">
        <f>HLOOKUP(REG_TRA_DEMANDS!X$3,'BY-Demands'!$J$5:$AK$14,MATCH($E205,'BY-Demands'!$I$5:$I$14,0),FALSE)*HLOOKUP(REG_TRA_DEMANDS!$F205,DEMANDS!$G$2:$CK$25,MATCH($E205,DEMANDS!$E$2:$E$25,0),FALSE)/HLOOKUP(2018,DEMANDS!$G$2:$CK$25,MATCH($E205,DEMANDS!$E$2:$E$25,0),FALSE)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Y205" s="35">
        <f>HLOOKUP(REG_TRA_DEMANDS!Y$3,'BY-Demands'!$J$5:$AK$14,MATCH($E205,'BY-Demands'!$I$5:$I$14,0),FALSE)*HLOOKUP(REG_TRA_DEMANDS!$F205,DEMANDS!$G$2:$CK$25,MATCH($E205,DEMANDS!$E$2:$E$25,0),FALSE)/HLOOKUP(2018,DEMANDS!$G$2:$CK$25,MATCH($E205,DEMANDS!$E$2:$E$25,0),FALSE)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Z205" s="35">
        <f>HLOOKUP(REG_TRA_DEMANDS!Z$3,'BY-Demands'!$J$5:$AK$14,MATCH($E205,'BY-Demands'!$I$5:$I$14,0),FALSE)*HLOOKUP(REG_TRA_DEMANDS!$F205,DEMANDS!$G$2:$CK$25,MATCH($E205,DEMANDS!$E$2:$E$25,0),FALSE)/HLOOKUP(2018,DEMANDS!$G$2:$CK$25,MATCH($E205,DEMANDS!$E$2:$E$25,0),FALSE)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AA205" s="35">
        <f>HLOOKUP(REG_TRA_DEMANDS!AA$3,'BY-Demands'!$J$5:$AK$14,MATCH($E205,'BY-Demands'!$I$5:$I$14,0),FALSE)*HLOOKUP(REG_TRA_DEMANDS!$F205,DEMANDS!$G$2:$CK$25,MATCH($E205,DEMANDS!$E$2:$E$25,0),FALSE)/HLOOKUP(2018,DEMANDS!$G$2:$CK$25,MATCH($E205,DEMANDS!$E$2:$E$25,0),FALSE)</f>
        <v>9.2704554615074527E-05</v>
      </c>
      <c r="AB205" s="35">
        <f>HLOOKUP(REG_TRA_DEMANDS!AB$3,'BY-Demands'!$J$5:$AK$14,MATCH($E205,'BY-Demands'!$I$5:$I$14,0),FALSE)*HLOOKUP(REG_TRA_DEMANDS!$F205,DEMANDS!$G$2:$CK$25,MATCH($E205,DEMANDS!$E$2:$E$25,0),FALSE)/HLOOKUP(2018,DEMANDS!$G$2:$CK$25,MATCH($E205,DEMANDS!$E$2:$E$25,0),FALSE)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AC205" s="35">
        <f>HLOOKUP(REG_TRA_DEMANDS!AC$3,'BY-Demands'!$J$5:$AK$14,MATCH($E205,'BY-Demands'!$I$5:$I$14,0),FALSE)*HLOOKUP(REG_TRA_DEMANDS!$F205,DEMANDS!$G$2:$CK$25,MATCH($E205,DEMANDS!$E$2:$E$25,0),FALSE)/HLOOKUP(2018,DEMANDS!$G$2:$CK$25,MATCH($E205,DEMANDS!$E$2:$E$25,0),FALSE)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AD205" s="35">
        <f>HLOOKUP(REG_TRA_DEMANDS!AD$3,'BY-Demands'!$J$5:$AK$14,MATCH($E205,'BY-Demands'!$I$5:$I$14,0),FALSE)*HLOOKUP(REG_TRA_DEMANDS!$F205,DEMANDS!$G$2:$CK$25,MATCH($E205,DEMANDS!$E$2:$E$25,0),FALSE)/HLOOKUP(2018,DEMANDS!$G$2:$CK$25,MATCH($E205,DEMANDS!$E$2:$E$25,0),FALSE)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AE205" s="35">
        <f>HLOOKUP(REG_TRA_DEMANDS!AE$3,'BY-Demands'!$J$5:$AK$14,MATCH($E205,'BY-Demands'!$I$5:$I$14,0),FALSE)*HLOOKUP(REG_TRA_DEMANDS!$F205,DEMANDS!$G$2:$CK$25,MATCH($E205,DEMANDS!$E$2:$E$25,0),FALSE)/HLOOKUP(2018,DEMANDS!$G$2:$CK$25,MATCH($E205,DEMANDS!$E$2:$E$25,0),FALSE)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AF205" s="35">
        <f>HLOOKUP(REG_TRA_DEMANDS!AF$3,'BY-Demands'!$J$5:$AK$14,MATCH($E205,'BY-Demands'!$I$5:$I$14,0),FALSE)*HLOOKUP(REG_TRA_DEMANDS!$F205,DEMANDS!$G$2:$CK$25,MATCH($E205,DEMANDS!$E$2:$E$25,0),FALSE)/HLOOKUP(2018,DEMANDS!$G$2:$CK$25,MATCH($E205,DEMANDS!$E$2:$E$25,0),FALSE)</f>
        <v>0</v>
      </c>
    </row>
    <row r="206" spans="4:32" ht="14.4">
      <c r="D206" t="s">
        <v>6</v>
      </c>
      <c r="E206" t="str">
        <f>DEMANDS!$E$24</f>
        <v>TAVIDOM</v>
      </c>
      <c r="F206">
        <v>2033</v>
      </c>
      <c r="G206" s="35">
        <f>HLOOKUP(REG_TRA_DEMANDS!G$3,'BY-Demands'!$J$5:$AK$14,MATCH($E206,'BY-Demands'!$I$5:$I$14,0),FALSE)*HLOOKUP(REG_TRA_DEMANDS!$F206,DEMANDS!$G$2:$CK$25,MATCH($E206,DEMANDS!$E$2:$E$25,0),FALSE)/HLOOKUP(2018,DEMANDS!$G$2:$CK$25,MATCH($E206,DEMANDS!$E$2:$E$25,0),FALSE)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H206" s="18">
        <f>HLOOKUP(REG_TRA_DEMANDS!H$3,'BY-Demands'!$J$5:$AK$14,MATCH($E206,'BY-Demands'!$I$5:$I$14,0),FALSE)*HLOOKUP(REG_TRA_DEMANDS!$F206,DEMANDS!$G$2:$CK$25,MATCH($E206,DEMANDS!$E$2:$E$25,0),FALSE)/HLOOKUP(2018,DEMANDS!$G$2:$CK$25,MATCH($E206,DEMANDS!$E$2:$E$25,0),FALSE)</f>
        <v>0.13395677260860595</v>
      </c>
      <c r="I206" s="35">
        <f>HLOOKUP(REG_TRA_DEMANDS!I$3,'BY-Demands'!$J$5:$AK$14,MATCH($E206,'BY-Demands'!$I$5:$I$14,0),FALSE)*HLOOKUP(REG_TRA_DEMANDS!$F206,DEMANDS!$G$2:$CK$25,MATCH($E206,DEMANDS!$E$2:$E$25,0),FALSE)/HLOOKUP(2018,DEMANDS!$G$2:$CK$25,MATCH($E206,DEMANDS!$E$2:$E$25,0),FALSE)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J206" s="35">
        <f>HLOOKUP(REG_TRA_DEMANDS!J$3,'BY-Demands'!$J$5:$AK$14,MATCH($E206,'BY-Demands'!$I$5:$I$14,0),FALSE)*HLOOKUP(REG_TRA_DEMANDS!$F206,DEMANDS!$G$2:$CK$25,MATCH($E206,DEMANDS!$E$2:$E$25,0),FALSE)/HLOOKUP(2018,DEMANDS!$G$2:$CK$25,MATCH($E206,DEMANDS!$E$2:$E$25,0),FALSE)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K206" s="35">
        <f>HLOOKUP(REG_TRA_DEMANDS!K$3,'BY-Demands'!$J$5:$AK$14,MATCH($E206,'BY-Demands'!$I$5:$I$14,0),FALSE)*HLOOKUP(REG_TRA_DEMANDS!$F206,DEMANDS!$G$2:$CK$25,MATCH($E206,DEMANDS!$E$2:$E$25,0),FALSE)/HLOOKUP(2018,DEMANDS!$G$2:$CK$25,MATCH($E206,DEMANDS!$E$2:$E$25,0),FALSE)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L206" s="35">
        <f>HLOOKUP(REG_TRA_DEMANDS!L$3,'BY-Demands'!$J$5:$AK$14,MATCH($E206,'BY-Demands'!$I$5:$I$14,0),FALSE)*HLOOKUP(REG_TRA_DEMANDS!$F206,DEMANDS!$G$2:$CK$25,MATCH($E206,DEMANDS!$E$2:$E$25,0),FALSE)/HLOOKUP(2018,DEMANDS!$G$2:$CK$25,MATCH($E206,DEMANDS!$E$2:$E$25,0),FALSE)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M206" s="35">
        <f>HLOOKUP(REG_TRA_DEMANDS!M$3,'BY-Demands'!$J$5:$AK$14,MATCH($E206,'BY-Demands'!$I$5:$I$14,0),FALSE)*HLOOKUP(REG_TRA_DEMANDS!$F206,DEMANDS!$G$2:$CK$25,MATCH($E206,DEMANDS!$E$2:$E$25,0),FALSE)/HLOOKUP(2018,DEMANDS!$G$2:$CK$25,MATCH($E206,DEMANDS!$E$2:$E$25,0),FALSE)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N206" s="35">
        <f>HLOOKUP(REG_TRA_DEMANDS!N$3,'BY-Demands'!$J$5:$AK$14,MATCH($E206,'BY-Demands'!$I$5:$I$14,0),FALSE)*HLOOKUP(REG_TRA_DEMANDS!$F206,DEMANDS!$G$2:$CK$25,MATCH($E206,DEMANDS!$E$2:$E$25,0),FALSE)/HLOOKUP(2018,DEMANDS!$G$2:$CK$25,MATCH($E206,DEMANDS!$E$2:$E$25,0),FALSE)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O206" s="35">
        <f>HLOOKUP(REG_TRA_DEMANDS!O$3,'BY-Demands'!$J$5:$AK$14,MATCH($E206,'BY-Demands'!$I$5:$I$14,0),FALSE)*HLOOKUP(REG_TRA_DEMANDS!$F206,DEMANDS!$G$2:$CK$25,MATCH($E206,DEMANDS!$E$2:$E$25,0),FALSE)/HLOOKUP(2018,DEMANDS!$G$2:$CK$25,MATCH($E206,DEMANDS!$E$2:$E$25,0),FALSE)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P206" s="35">
        <f>HLOOKUP(REG_TRA_DEMANDS!P$3,'BY-Demands'!$J$5:$AK$14,MATCH($E206,'BY-Demands'!$I$5:$I$14,0),FALSE)*HLOOKUP(REG_TRA_DEMANDS!$F206,DEMANDS!$G$2:$CK$25,MATCH($E206,DEMANDS!$E$2:$E$25,0),FALSE)/HLOOKUP(2018,DEMANDS!$G$2:$CK$25,MATCH($E206,DEMANDS!$E$2:$E$25,0),FALSE)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Q206" s="35">
        <f>HLOOKUP(REG_TRA_DEMANDS!Q$3,'BY-Demands'!$J$5:$AK$14,MATCH($E206,'BY-Demands'!$I$5:$I$14,0),FALSE)*HLOOKUP(REG_TRA_DEMANDS!$F206,DEMANDS!$G$2:$CK$25,MATCH($E206,DEMANDS!$E$2:$E$25,0),FALSE)/HLOOKUP(2018,DEMANDS!$G$2:$CK$25,MATCH($E206,DEMANDS!$E$2:$E$25,0),FALSE)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R206" s="35">
        <f>HLOOKUP(REG_TRA_DEMANDS!R$3,'BY-Demands'!$J$5:$AK$14,MATCH($E206,'BY-Demands'!$I$5:$I$14,0),FALSE)*HLOOKUP(REG_TRA_DEMANDS!$F206,DEMANDS!$G$2:$CK$25,MATCH($E206,DEMANDS!$E$2:$E$25,0),FALSE)/HLOOKUP(2018,DEMANDS!$G$2:$CK$25,MATCH($E206,DEMANDS!$E$2:$E$25,0),FALSE)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S206" s="18">
        <f>HLOOKUP(REG_TRA_DEMANDS!S$3,'BY-Demands'!$J$5:$AK$14,MATCH($E206,'BY-Demands'!$I$5:$I$14,0),FALSE)*HLOOKUP(REG_TRA_DEMANDS!$F206,DEMANDS!$G$2:$CK$25,MATCH($E206,DEMANDS!$E$2:$E$25,0),FALSE)/HLOOKUP(2018,DEMANDS!$G$2:$CK$25,MATCH($E206,DEMANDS!$E$2:$E$25,0),FALSE)</f>
        <v>0.046779068407982807</v>
      </c>
      <c r="T206" s="18">
        <f>HLOOKUP(REG_TRA_DEMANDS!T$3,'BY-Demands'!$J$5:$AK$14,MATCH($E206,'BY-Demands'!$I$5:$I$14,0),FALSE)*HLOOKUP(REG_TRA_DEMANDS!$F206,DEMANDS!$G$2:$CK$25,MATCH($E206,DEMANDS!$E$2:$E$25,0),FALSE)/HLOOKUP(2018,DEMANDS!$G$2:$CK$25,MATCH($E206,DEMANDS!$E$2:$E$25,0),FALSE)</f>
        <v>0.00046352277307537207</v>
      </c>
      <c r="U206" s="18">
        <f>HLOOKUP(REG_TRA_DEMANDS!U$3,'BY-Demands'!$J$5:$AK$14,MATCH($E206,'BY-Demands'!$I$5:$I$14,0),FALSE)*HLOOKUP(REG_TRA_DEMANDS!$F206,DEMANDS!$G$2:$CK$25,MATCH($E206,DEMANDS!$E$2:$E$25,0),FALSE)/HLOOKUP(2018,DEMANDS!$G$2:$CK$25,MATCH($E206,DEMANDS!$E$2:$E$25,0),FALSE)</f>
        <v>0.046529102661710439</v>
      </c>
      <c r="V206" s="35">
        <f>HLOOKUP(REG_TRA_DEMANDS!V$3,'BY-Demands'!$J$5:$AK$14,MATCH($E206,'BY-Demands'!$I$5:$I$14,0),FALSE)*HLOOKUP(REG_TRA_DEMANDS!$F206,DEMANDS!$G$2:$CK$25,MATCH($E206,DEMANDS!$E$2:$E$25,0),FALSE)/HLOOKUP(2018,DEMANDS!$G$2:$CK$25,MATCH($E206,DEMANDS!$E$2:$E$25,0),FALSE)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W206" s="35">
        <f>HLOOKUP(REG_TRA_DEMANDS!W$3,'BY-Demands'!$J$5:$AK$14,MATCH($E206,'BY-Demands'!$I$5:$I$14,0),FALSE)*HLOOKUP(REG_TRA_DEMANDS!$F206,DEMANDS!$G$2:$CK$25,MATCH($E206,DEMANDS!$E$2:$E$25,0),FALSE)/HLOOKUP(2018,DEMANDS!$G$2:$CK$25,MATCH($E206,DEMANDS!$E$2:$E$25,0),FALSE)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X206" s="35">
        <f>HLOOKUP(REG_TRA_DEMANDS!X$3,'BY-Demands'!$J$5:$AK$14,MATCH($E206,'BY-Demands'!$I$5:$I$14,0),FALSE)*HLOOKUP(REG_TRA_DEMANDS!$F206,DEMANDS!$G$2:$CK$25,MATCH($E206,DEMANDS!$E$2:$E$25,0),FALSE)/HLOOKUP(2018,DEMANDS!$G$2:$CK$25,MATCH($E206,DEMANDS!$E$2:$E$25,0),FALSE)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Y206" s="35">
        <f>HLOOKUP(REG_TRA_DEMANDS!Y$3,'BY-Demands'!$J$5:$AK$14,MATCH($E206,'BY-Demands'!$I$5:$I$14,0),FALSE)*HLOOKUP(REG_TRA_DEMANDS!$F206,DEMANDS!$G$2:$CK$25,MATCH($E206,DEMANDS!$E$2:$E$25,0),FALSE)/HLOOKUP(2018,DEMANDS!$G$2:$CK$25,MATCH($E206,DEMANDS!$E$2:$E$25,0),FALSE)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Z206" s="35">
        <f>HLOOKUP(REG_TRA_DEMANDS!Z$3,'BY-Demands'!$J$5:$AK$14,MATCH($E206,'BY-Demands'!$I$5:$I$14,0),FALSE)*HLOOKUP(REG_TRA_DEMANDS!$F206,DEMANDS!$G$2:$CK$25,MATCH($E206,DEMANDS!$E$2:$E$25,0),FALSE)/HLOOKUP(2018,DEMANDS!$G$2:$CK$25,MATCH($E206,DEMANDS!$E$2:$E$25,0),FALSE)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AA206" s="35">
        <f>HLOOKUP(REG_TRA_DEMANDS!AA$3,'BY-Demands'!$J$5:$AK$14,MATCH($E206,'BY-Demands'!$I$5:$I$14,0),FALSE)*HLOOKUP(REG_TRA_DEMANDS!$F206,DEMANDS!$G$2:$CK$25,MATCH($E206,DEMANDS!$E$2:$E$25,0),FALSE)/HLOOKUP(2018,DEMANDS!$G$2:$CK$25,MATCH($E206,DEMANDS!$E$2:$E$25,0),FALSE)</f>
        <v>9.2704554615074527E-05</v>
      </c>
      <c r="AB206" s="35">
        <f>HLOOKUP(REG_TRA_DEMANDS!AB$3,'BY-Demands'!$J$5:$AK$14,MATCH($E206,'BY-Demands'!$I$5:$I$14,0),FALSE)*HLOOKUP(REG_TRA_DEMANDS!$F206,DEMANDS!$G$2:$CK$25,MATCH($E206,DEMANDS!$E$2:$E$25,0),FALSE)/HLOOKUP(2018,DEMANDS!$G$2:$CK$25,MATCH($E206,DEMANDS!$E$2:$E$25,0),FALSE)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AC206" s="35">
        <f>HLOOKUP(REG_TRA_DEMANDS!AC$3,'BY-Demands'!$J$5:$AK$14,MATCH($E206,'BY-Demands'!$I$5:$I$14,0),FALSE)*HLOOKUP(REG_TRA_DEMANDS!$F206,DEMANDS!$G$2:$CK$25,MATCH($E206,DEMANDS!$E$2:$E$25,0),FALSE)/HLOOKUP(2018,DEMANDS!$G$2:$CK$25,MATCH($E206,DEMANDS!$E$2:$E$25,0),FALSE)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AD206" s="35">
        <f>HLOOKUP(REG_TRA_DEMANDS!AD$3,'BY-Demands'!$J$5:$AK$14,MATCH($E206,'BY-Demands'!$I$5:$I$14,0),FALSE)*HLOOKUP(REG_TRA_DEMANDS!$F206,DEMANDS!$G$2:$CK$25,MATCH($E206,DEMANDS!$E$2:$E$25,0),FALSE)/HLOOKUP(2018,DEMANDS!$G$2:$CK$25,MATCH($E206,DEMANDS!$E$2:$E$25,0),FALSE)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AE206" s="35">
        <f>HLOOKUP(REG_TRA_DEMANDS!AE$3,'BY-Demands'!$J$5:$AK$14,MATCH($E206,'BY-Demands'!$I$5:$I$14,0),FALSE)*HLOOKUP(REG_TRA_DEMANDS!$F206,DEMANDS!$G$2:$CK$25,MATCH($E206,DEMANDS!$E$2:$E$25,0),FALSE)/HLOOKUP(2018,DEMANDS!$G$2:$CK$25,MATCH($E206,DEMANDS!$E$2:$E$25,0),FALSE)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AF206" s="35">
        <f>HLOOKUP(REG_TRA_DEMANDS!AF$3,'BY-Demands'!$J$5:$AK$14,MATCH($E206,'BY-Demands'!$I$5:$I$14,0),FALSE)*HLOOKUP(REG_TRA_DEMANDS!$F206,DEMANDS!$G$2:$CK$25,MATCH($E206,DEMANDS!$E$2:$E$25,0),FALSE)/HLOOKUP(2018,DEMANDS!$G$2:$CK$25,MATCH($E206,DEMANDS!$E$2:$E$25,0),FALSE)</f>
        <v>0</v>
      </c>
    </row>
    <row r="207" spans="4:32" ht="14.4">
      <c r="D207" t="s">
        <v>6</v>
      </c>
      <c r="E207" t="str">
        <f>DEMANDS!$E$24</f>
        <v>TAVIDOM</v>
      </c>
      <c r="F207">
        <v>2034</v>
      </c>
      <c r="G207" s="35">
        <f>HLOOKUP(REG_TRA_DEMANDS!G$3,'BY-Demands'!$J$5:$AK$14,MATCH($E207,'BY-Demands'!$I$5:$I$14,0),FALSE)*HLOOKUP(REG_TRA_DEMANDS!$F207,DEMANDS!$G$2:$CK$25,MATCH($E207,DEMANDS!$E$2:$E$25,0),FALSE)/HLOOKUP(2018,DEMANDS!$G$2:$CK$25,MATCH($E207,DEMANDS!$E$2:$E$25,0),FALSE)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H207" s="18">
        <f>HLOOKUP(REG_TRA_DEMANDS!H$3,'BY-Demands'!$J$5:$AK$14,MATCH($E207,'BY-Demands'!$I$5:$I$14,0),FALSE)*HLOOKUP(REG_TRA_DEMANDS!$F207,DEMANDS!$G$2:$CK$25,MATCH($E207,DEMANDS!$E$2:$E$25,0),FALSE)/HLOOKUP(2018,DEMANDS!$G$2:$CK$25,MATCH($E207,DEMANDS!$E$2:$E$25,0),FALSE)</f>
        <v>0.13395677260860595</v>
      </c>
      <c r="I207" s="35">
        <f>HLOOKUP(REG_TRA_DEMANDS!I$3,'BY-Demands'!$J$5:$AK$14,MATCH($E207,'BY-Demands'!$I$5:$I$14,0),FALSE)*HLOOKUP(REG_TRA_DEMANDS!$F207,DEMANDS!$G$2:$CK$25,MATCH($E207,DEMANDS!$E$2:$E$25,0),FALSE)/HLOOKUP(2018,DEMANDS!$G$2:$CK$25,MATCH($E207,DEMANDS!$E$2:$E$25,0),FALSE)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J207" s="35">
        <f>HLOOKUP(REG_TRA_DEMANDS!J$3,'BY-Demands'!$J$5:$AK$14,MATCH($E207,'BY-Demands'!$I$5:$I$14,0),FALSE)*HLOOKUP(REG_TRA_DEMANDS!$F207,DEMANDS!$G$2:$CK$25,MATCH($E207,DEMANDS!$E$2:$E$25,0),FALSE)/HLOOKUP(2018,DEMANDS!$G$2:$CK$25,MATCH($E207,DEMANDS!$E$2:$E$25,0),FALSE)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K207" s="35">
        <f>HLOOKUP(REG_TRA_DEMANDS!K$3,'BY-Demands'!$J$5:$AK$14,MATCH($E207,'BY-Demands'!$I$5:$I$14,0),FALSE)*HLOOKUP(REG_TRA_DEMANDS!$F207,DEMANDS!$G$2:$CK$25,MATCH($E207,DEMANDS!$E$2:$E$25,0),FALSE)/HLOOKUP(2018,DEMANDS!$G$2:$CK$25,MATCH($E207,DEMANDS!$E$2:$E$25,0),FALSE)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L207" s="35">
        <f>HLOOKUP(REG_TRA_DEMANDS!L$3,'BY-Demands'!$J$5:$AK$14,MATCH($E207,'BY-Demands'!$I$5:$I$14,0),FALSE)*HLOOKUP(REG_TRA_DEMANDS!$F207,DEMANDS!$G$2:$CK$25,MATCH($E207,DEMANDS!$E$2:$E$25,0),FALSE)/HLOOKUP(2018,DEMANDS!$G$2:$CK$25,MATCH($E207,DEMANDS!$E$2:$E$25,0),FALSE)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M207" s="35">
        <f>HLOOKUP(REG_TRA_DEMANDS!M$3,'BY-Demands'!$J$5:$AK$14,MATCH($E207,'BY-Demands'!$I$5:$I$14,0),FALSE)*HLOOKUP(REG_TRA_DEMANDS!$F207,DEMANDS!$G$2:$CK$25,MATCH($E207,DEMANDS!$E$2:$E$25,0),FALSE)/HLOOKUP(2018,DEMANDS!$G$2:$CK$25,MATCH($E207,DEMANDS!$E$2:$E$25,0),FALSE)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N207" s="35">
        <f>HLOOKUP(REG_TRA_DEMANDS!N$3,'BY-Demands'!$J$5:$AK$14,MATCH($E207,'BY-Demands'!$I$5:$I$14,0),FALSE)*HLOOKUP(REG_TRA_DEMANDS!$F207,DEMANDS!$G$2:$CK$25,MATCH($E207,DEMANDS!$E$2:$E$25,0),FALSE)/HLOOKUP(2018,DEMANDS!$G$2:$CK$25,MATCH($E207,DEMANDS!$E$2:$E$25,0),FALSE)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O207" s="35">
        <f>HLOOKUP(REG_TRA_DEMANDS!O$3,'BY-Demands'!$J$5:$AK$14,MATCH($E207,'BY-Demands'!$I$5:$I$14,0),FALSE)*HLOOKUP(REG_TRA_DEMANDS!$F207,DEMANDS!$G$2:$CK$25,MATCH($E207,DEMANDS!$E$2:$E$25,0),FALSE)/HLOOKUP(2018,DEMANDS!$G$2:$CK$25,MATCH($E207,DEMANDS!$E$2:$E$25,0),FALSE)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P207" s="35">
        <f>HLOOKUP(REG_TRA_DEMANDS!P$3,'BY-Demands'!$J$5:$AK$14,MATCH($E207,'BY-Demands'!$I$5:$I$14,0),FALSE)*HLOOKUP(REG_TRA_DEMANDS!$F207,DEMANDS!$G$2:$CK$25,MATCH($E207,DEMANDS!$E$2:$E$25,0),FALSE)/HLOOKUP(2018,DEMANDS!$G$2:$CK$25,MATCH($E207,DEMANDS!$E$2:$E$25,0),FALSE)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Q207" s="35">
        <f>HLOOKUP(REG_TRA_DEMANDS!Q$3,'BY-Demands'!$J$5:$AK$14,MATCH($E207,'BY-Demands'!$I$5:$I$14,0),FALSE)*HLOOKUP(REG_TRA_DEMANDS!$F207,DEMANDS!$G$2:$CK$25,MATCH($E207,DEMANDS!$E$2:$E$25,0),FALSE)/HLOOKUP(2018,DEMANDS!$G$2:$CK$25,MATCH($E207,DEMANDS!$E$2:$E$25,0),FALSE)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R207" s="35">
        <f>HLOOKUP(REG_TRA_DEMANDS!R$3,'BY-Demands'!$J$5:$AK$14,MATCH($E207,'BY-Demands'!$I$5:$I$14,0),FALSE)*HLOOKUP(REG_TRA_DEMANDS!$F207,DEMANDS!$G$2:$CK$25,MATCH($E207,DEMANDS!$E$2:$E$25,0),FALSE)/HLOOKUP(2018,DEMANDS!$G$2:$CK$25,MATCH($E207,DEMANDS!$E$2:$E$25,0),FALSE)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S207" s="18">
        <f>HLOOKUP(REG_TRA_DEMANDS!S$3,'BY-Demands'!$J$5:$AK$14,MATCH($E207,'BY-Demands'!$I$5:$I$14,0),FALSE)*HLOOKUP(REG_TRA_DEMANDS!$F207,DEMANDS!$G$2:$CK$25,MATCH($E207,DEMANDS!$E$2:$E$25,0),FALSE)/HLOOKUP(2018,DEMANDS!$G$2:$CK$25,MATCH($E207,DEMANDS!$E$2:$E$25,0),FALSE)</f>
        <v>0.046779068407982807</v>
      </c>
      <c r="T207" s="18">
        <f>HLOOKUP(REG_TRA_DEMANDS!T$3,'BY-Demands'!$J$5:$AK$14,MATCH($E207,'BY-Demands'!$I$5:$I$14,0),FALSE)*HLOOKUP(REG_TRA_DEMANDS!$F207,DEMANDS!$G$2:$CK$25,MATCH($E207,DEMANDS!$E$2:$E$25,0),FALSE)/HLOOKUP(2018,DEMANDS!$G$2:$CK$25,MATCH($E207,DEMANDS!$E$2:$E$25,0),FALSE)</f>
        <v>0.00046352277307537207</v>
      </c>
      <c r="U207" s="18">
        <f>HLOOKUP(REG_TRA_DEMANDS!U$3,'BY-Demands'!$J$5:$AK$14,MATCH($E207,'BY-Demands'!$I$5:$I$14,0),FALSE)*HLOOKUP(REG_TRA_DEMANDS!$F207,DEMANDS!$G$2:$CK$25,MATCH($E207,DEMANDS!$E$2:$E$25,0),FALSE)/HLOOKUP(2018,DEMANDS!$G$2:$CK$25,MATCH($E207,DEMANDS!$E$2:$E$25,0),FALSE)</f>
        <v>0.046529102661710439</v>
      </c>
      <c r="V207" s="35">
        <f>HLOOKUP(REG_TRA_DEMANDS!V$3,'BY-Demands'!$J$5:$AK$14,MATCH($E207,'BY-Demands'!$I$5:$I$14,0),FALSE)*HLOOKUP(REG_TRA_DEMANDS!$F207,DEMANDS!$G$2:$CK$25,MATCH($E207,DEMANDS!$E$2:$E$25,0),FALSE)/HLOOKUP(2018,DEMANDS!$G$2:$CK$25,MATCH($E207,DEMANDS!$E$2:$E$25,0),FALSE)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W207" s="35">
        <f>HLOOKUP(REG_TRA_DEMANDS!W$3,'BY-Demands'!$J$5:$AK$14,MATCH($E207,'BY-Demands'!$I$5:$I$14,0),FALSE)*HLOOKUP(REG_TRA_DEMANDS!$F207,DEMANDS!$G$2:$CK$25,MATCH($E207,DEMANDS!$E$2:$E$25,0),FALSE)/HLOOKUP(2018,DEMANDS!$G$2:$CK$25,MATCH($E207,DEMANDS!$E$2:$E$25,0),FALSE)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X207" s="35">
        <f>HLOOKUP(REG_TRA_DEMANDS!X$3,'BY-Demands'!$J$5:$AK$14,MATCH($E207,'BY-Demands'!$I$5:$I$14,0),FALSE)*HLOOKUP(REG_TRA_DEMANDS!$F207,DEMANDS!$G$2:$CK$25,MATCH($E207,DEMANDS!$E$2:$E$25,0),FALSE)/HLOOKUP(2018,DEMANDS!$G$2:$CK$25,MATCH($E207,DEMANDS!$E$2:$E$25,0),FALSE)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Y207" s="35">
        <f>HLOOKUP(REG_TRA_DEMANDS!Y$3,'BY-Demands'!$J$5:$AK$14,MATCH($E207,'BY-Demands'!$I$5:$I$14,0),FALSE)*HLOOKUP(REG_TRA_DEMANDS!$F207,DEMANDS!$G$2:$CK$25,MATCH($E207,DEMANDS!$E$2:$E$25,0),FALSE)/HLOOKUP(2018,DEMANDS!$G$2:$CK$25,MATCH($E207,DEMANDS!$E$2:$E$25,0),FALSE)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Z207" s="35">
        <f>HLOOKUP(REG_TRA_DEMANDS!Z$3,'BY-Demands'!$J$5:$AK$14,MATCH($E207,'BY-Demands'!$I$5:$I$14,0),FALSE)*HLOOKUP(REG_TRA_DEMANDS!$F207,DEMANDS!$G$2:$CK$25,MATCH($E207,DEMANDS!$E$2:$E$25,0),FALSE)/HLOOKUP(2018,DEMANDS!$G$2:$CK$25,MATCH($E207,DEMANDS!$E$2:$E$25,0),FALSE)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AA207" s="35">
        <f>HLOOKUP(REG_TRA_DEMANDS!AA$3,'BY-Demands'!$J$5:$AK$14,MATCH($E207,'BY-Demands'!$I$5:$I$14,0),FALSE)*HLOOKUP(REG_TRA_DEMANDS!$F207,DEMANDS!$G$2:$CK$25,MATCH($E207,DEMANDS!$E$2:$E$25,0),FALSE)/HLOOKUP(2018,DEMANDS!$G$2:$CK$25,MATCH($E207,DEMANDS!$E$2:$E$25,0),FALSE)</f>
        <v>9.2704554615074527E-05</v>
      </c>
      <c r="AB207" s="35">
        <f>HLOOKUP(REG_TRA_DEMANDS!AB$3,'BY-Demands'!$J$5:$AK$14,MATCH($E207,'BY-Demands'!$I$5:$I$14,0),FALSE)*HLOOKUP(REG_TRA_DEMANDS!$F207,DEMANDS!$G$2:$CK$25,MATCH($E207,DEMANDS!$E$2:$E$25,0),FALSE)/HLOOKUP(2018,DEMANDS!$G$2:$CK$25,MATCH($E207,DEMANDS!$E$2:$E$25,0),FALSE)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AC207" s="35">
        <f>HLOOKUP(REG_TRA_DEMANDS!AC$3,'BY-Demands'!$J$5:$AK$14,MATCH($E207,'BY-Demands'!$I$5:$I$14,0),FALSE)*HLOOKUP(REG_TRA_DEMANDS!$F207,DEMANDS!$G$2:$CK$25,MATCH($E207,DEMANDS!$E$2:$E$25,0),FALSE)/HLOOKUP(2018,DEMANDS!$G$2:$CK$25,MATCH($E207,DEMANDS!$E$2:$E$25,0),FALSE)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AD207" s="35">
        <f>HLOOKUP(REG_TRA_DEMANDS!AD$3,'BY-Demands'!$J$5:$AK$14,MATCH($E207,'BY-Demands'!$I$5:$I$14,0),FALSE)*HLOOKUP(REG_TRA_DEMANDS!$F207,DEMANDS!$G$2:$CK$25,MATCH($E207,DEMANDS!$E$2:$E$25,0),FALSE)/HLOOKUP(2018,DEMANDS!$G$2:$CK$25,MATCH($E207,DEMANDS!$E$2:$E$25,0),FALSE)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AE207" s="35">
        <f>HLOOKUP(REG_TRA_DEMANDS!AE$3,'BY-Demands'!$J$5:$AK$14,MATCH($E207,'BY-Demands'!$I$5:$I$14,0),FALSE)*HLOOKUP(REG_TRA_DEMANDS!$F207,DEMANDS!$G$2:$CK$25,MATCH($E207,DEMANDS!$E$2:$E$25,0),FALSE)/HLOOKUP(2018,DEMANDS!$G$2:$CK$25,MATCH($E207,DEMANDS!$E$2:$E$25,0),FALSE)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AF207" s="35">
        <f>HLOOKUP(REG_TRA_DEMANDS!AF$3,'BY-Demands'!$J$5:$AK$14,MATCH($E207,'BY-Demands'!$I$5:$I$14,0),FALSE)*HLOOKUP(REG_TRA_DEMANDS!$F207,DEMANDS!$G$2:$CK$25,MATCH($E207,DEMANDS!$E$2:$E$25,0),FALSE)/HLOOKUP(2018,DEMANDS!$G$2:$CK$25,MATCH($E207,DEMANDS!$E$2:$E$25,0),FALSE)</f>
        <v>0</v>
      </c>
    </row>
    <row r="208" spans="4:32" ht="14.4">
      <c r="D208" t="s">
        <v>6</v>
      </c>
      <c r="E208" t="str">
        <f>DEMANDS!$E$24</f>
        <v>TAVIDOM</v>
      </c>
      <c r="F208">
        <v>2035</v>
      </c>
      <c r="G208" s="35">
        <f>HLOOKUP(REG_TRA_DEMANDS!G$3,'BY-Demands'!$J$5:$AK$14,MATCH($E208,'BY-Demands'!$I$5:$I$14,0),FALSE)*HLOOKUP(REG_TRA_DEMANDS!$F208,DEMANDS!$G$2:$CK$25,MATCH($E208,DEMANDS!$E$2:$E$25,0),FALSE)/HLOOKUP(2018,DEMANDS!$G$2:$CK$25,MATCH($E208,DEMANDS!$E$2:$E$25,0),FALSE)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H208" s="18">
        <f>HLOOKUP(REG_TRA_DEMANDS!H$3,'BY-Demands'!$J$5:$AK$14,MATCH($E208,'BY-Demands'!$I$5:$I$14,0),FALSE)*HLOOKUP(REG_TRA_DEMANDS!$F208,DEMANDS!$G$2:$CK$25,MATCH($E208,DEMANDS!$E$2:$E$25,0),FALSE)/HLOOKUP(2018,DEMANDS!$G$2:$CK$25,MATCH($E208,DEMANDS!$E$2:$E$25,0),FALSE)</f>
        <v>0.13395677260860595</v>
      </c>
      <c r="I208" s="35">
        <f>HLOOKUP(REG_TRA_DEMANDS!I$3,'BY-Demands'!$J$5:$AK$14,MATCH($E208,'BY-Demands'!$I$5:$I$14,0),FALSE)*HLOOKUP(REG_TRA_DEMANDS!$F208,DEMANDS!$G$2:$CK$25,MATCH($E208,DEMANDS!$E$2:$E$25,0),FALSE)/HLOOKUP(2018,DEMANDS!$G$2:$CK$25,MATCH($E208,DEMANDS!$E$2:$E$25,0),FALSE)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J208" s="35">
        <f>HLOOKUP(REG_TRA_DEMANDS!J$3,'BY-Demands'!$J$5:$AK$14,MATCH($E208,'BY-Demands'!$I$5:$I$14,0),FALSE)*HLOOKUP(REG_TRA_DEMANDS!$F208,DEMANDS!$G$2:$CK$25,MATCH($E208,DEMANDS!$E$2:$E$25,0),FALSE)/HLOOKUP(2018,DEMANDS!$G$2:$CK$25,MATCH($E208,DEMANDS!$E$2:$E$25,0),FALSE)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K208" s="35">
        <f>HLOOKUP(REG_TRA_DEMANDS!K$3,'BY-Demands'!$J$5:$AK$14,MATCH($E208,'BY-Demands'!$I$5:$I$14,0),FALSE)*HLOOKUP(REG_TRA_DEMANDS!$F208,DEMANDS!$G$2:$CK$25,MATCH($E208,DEMANDS!$E$2:$E$25,0),FALSE)/HLOOKUP(2018,DEMANDS!$G$2:$CK$25,MATCH($E208,DEMANDS!$E$2:$E$25,0),FALSE)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L208" s="35">
        <f>HLOOKUP(REG_TRA_DEMANDS!L$3,'BY-Demands'!$J$5:$AK$14,MATCH($E208,'BY-Demands'!$I$5:$I$14,0),FALSE)*HLOOKUP(REG_TRA_DEMANDS!$F208,DEMANDS!$G$2:$CK$25,MATCH($E208,DEMANDS!$E$2:$E$25,0),FALSE)/HLOOKUP(2018,DEMANDS!$G$2:$CK$25,MATCH($E208,DEMANDS!$E$2:$E$25,0),FALSE)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M208" s="35">
        <f>HLOOKUP(REG_TRA_DEMANDS!M$3,'BY-Demands'!$J$5:$AK$14,MATCH($E208,'BY-Demands'!$I$5:$I$14,0),FALSE)*HLOOKUP(REG_TRA_DEMANDS!$F208,DEMANDS!$G$2:$CK$25,MATCH($E208,DEMANDS!$E$2:$E$25,0),FALSE)/HLOOKUP(2018,DEMANDS!$G$2:$CK$25,MATCH($E208,DEMANDS!$E$2:$E$25,0),FALSE)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N208" s="35">
        <f>HLOOKUP(REG_TRA_DEMANDS!N$3,'BY-Demands'!$J$5:$AK$14,MATCH($E208,'BY-Demands'!$I$5:$I$14,0),FALSE)*HLOOKUP(REG_TRA_DEMANDS!$F208,DEMANDS!$G$2:$CK$25,MATCH($E208,DEMANDS!$E$2:$E$25,0),FALSE)/HLOOKUP(2018,DEMANDS!$G$2:$CK$25,MATCH($E208,DEMANDS!$E$2:$E$25,0),FALSE)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O208" s="35">
        <f>HLOOKUP(REG_TRA_DEMANDS!O$3,'BY-Demands'!$J$5:$AK$14,MATCH($E208,'BY-Demands'!$I$5:$I$14,0),FALSE)*HLOOKUP(REG_TRA_DEMANDS!$F208,DEMANDS!$G$2:$CK$25,MATCH($E208,DEMANDS!$E$2:$E$25,0),FALSE)/HLOOKUP(2018,DEMANDS!$G$2:$CK$25,MATCH($E208,DEMANDS!$E$2:$E$25,0),FALSE)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P208" s="35">
        <f>HLOOKUP(REG_TRA_DEMANDS!P$3,'BY-Demands'!$J$5:$AK$14,MATCH($E208,'BY-Demands'!$I$5:$I$14,0),FALSE)*HLOOKUP(REG_TRA_DEMANDS!$F208,DEMANDS!$G$2:$CK$25,MATCH($E208,DEMANDS!$E$2:$E$25,0),FALSE)/HLOOKUP(2018,DEMANDS!$G$2:$CK$25,MATCH($E208,DEMANDS!$E$2:$E$25,0),FALSE)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Q208" s="35">
        <f>HLOOKUP(REG_TRA_DEMANDS!Q$3,'BY-Demands'!$J$5:$AK$14,MATCH($E208,'BY-Demands'!$I$5:$I$14,0),FALSE)*HLOOKUP(REG_TRA_DEMANDS!$F208,DEMANDS!$G$2:$CK$25,MATCH($E208,DEMANDS!$E$2:$E$25,0),FALSE)/HLOOKUP(2018,DEMANDS!$G$2:$CK$25,MATCH($E208,DEMANDS!$E$2:$E$25,0),FALSE)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R208" s="35">
        <f>HLOOKUP(REG_TRA_DEMANDS!R$3,'BY-Demands'!$J$5:$AK$14,MATCH($E208,'BY-Demands'!$I$5:$I$14,0),FALSE)*HLOOKUP(REG_TRA_DEMANDS!$F208,DEMANDS!$G$2:$CK$25,MATCH($E208,DEMANDS!$E$2:$E$25,0),FALSE)/HLOOKUP(2018,DEMANDS!$G$2:$CK$25,MATCH($E208,DEMANDS!$E$2:$E$25,0),FALSE)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S208" s="18">
        <f>HLOOKUP(REG_TRA_DEMANDS!S$3,'BY-Demands'!$J$5:$AK$14,MATCH($E208,'BY-Demands'!$I$5:$I$14,0),FALSE)*HLOOKUP(REG_TRA_DEMANDS!$F208,DEMANDS!$G$2:$CK$25,MATCH($E208,DEMANDS!$E$2:$E$25,0),FALSE)/HLOOKUP(2018,DEMANDS!$G$2:$CK$25,MATCH($E208,DEMANDS!$E$2:$E$25,0),FALSE)</f>
        <v>0.046779068407982807</v>
      </c>
      <c r="T208" s="18">
        <f>HLOOKUP(REG_TRA_DEMANDS!T$3,'BY-Demands'!$J$5:$AK$14,MATCH($E208,'BY-Demands'!$I$5:$I$14,0),FALSE)*HLOOKUP(REG_TRA_DEMANDS!$F208,DEMANDS!$G$2:$CK$25,MATCH($E208,DEMANDS!$E$2:$E$25,0),FALSE)/HLOOKUP(2018,DEMANDS!$G$2:$CK$25,MATCH($E208,DEMANDS!$E$2:$E$25,0),FALSE)</f>
        <v>0.00046352277307537207</v>
      </c>
      <c r="U208" s="18">
        <f>HLOOKUP(REG_TRA_DEMANDS!U$3,'BY-Demands'!$J$5:$AK$14,MATCH($E208,'BY-Demands'!$I$5:$I$14,0),FALSE)*HLOOKUP(REG_TRA_DEMANDS!$F208,DEMANDS!$G$2:$CK$25,MATCH($E208,DEMANDS!$E$2:$E$25,0),FALSE)/HLOOKUP(2018,DEMANDS!$G$2:$CK$25,MATCH($E208,DEMANDS!$E$2:$E$25,0),FALSE)</f>
        <v>0.046529102661710439</v>
      </c>
      <c r="V208" s="35">
        <f>HLOOKUP(REG_TRA_DEMANDS!V$3,'BY-Demands'!$J$5:$AK$14,MATCH($E208,'BY-Demands'!$I$5:$I$14,0),FALSE)*HLOOKUP(REG_TRA_DEMANDS!$F208,DEMANDS!$G$2:$CK$25,MATCH($E208,DEMANDS!$E$2:$E$25,0),FALSE)/HLOOKUP(2018,DEMANDS!$G$2:$CK$25,MATCH($E208,DEMANDS!$E$2:$E$25,0),FALSE)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W208" s="35">
        <f>HLOOKUP(REG_TRA_DEMANDS!W$3,'BY-Demands'!$J$5:$AK$14,MATCH($E208,'BY-Demands'!$I$5:$I$14,0),FALSE)*HLOOKUP(REG_TRA_DEMANDS!$F208,DEMANDS!$G$2:$CK$25,MATCH($E208,DEMANDS!$E$2:$E$25,0),FALSE)/HLOOKUP(2018,DEMANDS!$G$2:$CK$25,MATCH($E208,DEMANDS!$E$2:$E$25,0),FALSE)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X208" s="35">
        <f>HLOOKUP(REG_TRA_DEMANDS!X$3,'BY-Demands'!$J$5:$AK$14,MATCH($E208,'BY-Demands'!$I$5:$I$14,0),FALSE)*HLOOKUP(REG_TRA_DEMANDS!$F208,DEMANDS!$G$2:$CK$25,MATCH($E208,DEMANDS!$E$2:$E$25,0),FALSE)/HLOOKUP(2018,DEMANDS!$G$2:$CK$25,MATCH($E208,DEMANDS!$E$2:$E$25,0),FALSE)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Y208" s="35">
        <f>HLOOKUP(REG_TRA_DEMANDS!Y$3,'BY-Demands'!$J$5:$AK$14,MATCH($E208,'BY-Demands'!$I$5:$I$14,0),FALSE)*HLOOKUP(REG_TRA_DEMANDS!$F208,DEMANDS!$G$2:$CK$25,MATCH($E208,DEMANDS!$E$2:$E$25,0),FALSE)/HLOOKUP(2018,DEMANDS!$G$2:$CK$25,MATCH($E208,DEMANDS!$E$2:$E$25,0),FALSE)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Z208" s="35">
        <f>HLOOKUP(REG_TRA_DEMANDS!Z$3,'BY-Demands'!$J$5:$AK$14,MATCH($E208,'BY-Demands'!$I$5:$I$14,0),FALSE)*HLOOKUP(REG_TRA_DEMANDS!$F208,DEMANDS!$G$2:$CK$25,MATCH($E208,DEMANDS!$E$2:$E$25,0),FALSE)/HLOOKUP(2018,DEMANDS!$G$2:$CK$25,MATCH($E208,DEMANDS!$E$2:$E$25,0),FALSE)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AA208" s="35">
        <f>HLOOKUP(REG_TRA_DEMANDS!AA$3,'BY-Demands'!$J$5:$AK$14,MATCH($E208,'BY-Demands'!$I$5:$I$14,0),FALSE)*HLOOKUP(REG_TRA_DEMANDS!$F208,DEMANDS!$G$2:$CK$25,MATCH($E208,DEMANDS!$E$2:$E$25,0),FALSE)/HLOOKUP(2018,DEMANDS!$G$2:$CK$25,MATCH($E208,DEMANDS!$E$2:$E$25,0),FALSE)</f>
        <v>9.2704554615074527E-05</v>
      </c>
      <c r="AB208" s="35">
        <f>HLOOKUP(REG_TRA_DEMANDS!AB$3,'BY-Demands'!$J$5:$AK$14,MATCH($E208,'BY-Demands'!$I$5:$I$14,0),FALSE)*HLOOKUP(REG_TRA_DEMANDS!$F208,DEMANDS!$G$2:$CK$25,MATCH($E208,DEMANDS!$E$2:$E$25,0),FALSE)/HLOOKUP(2018,DEMANDS!$G$2:$CK$25,MATCH($E208,DEMANDS!$E$2:$E$25,0),FALSE)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AC208" s="35">
        <f>HLOOKUP(REG_TRA_DEMANDS!AC$3,'BY-Demands'!$J$5:$AK$14,MATCH($E208,'BY-Demands'!$I$5:$I$14,0),FALSE)*HLOOKUP(REG_TRA_DEMANDS!$F208,DEMANDS!$G$2:$CK$25,MATCH($E208,DEMANDS!$E$2:$E$25,0),FALSE)/HLOOKUP(2018,DEMANDS!$G$2:$CK$25,MATCH($E208,DEMANDS!$E$2:$E$25,0),FALSE)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AD208" s="35">
        <f>HLOOKUP(REG_TRA_DEMANDS!AD$3,'BY-Demands'!$J$5:$AK$14,MATCH($E208,'BY-Demands'!$I$5:$I$14,0),FALSE)*HLOOKUP(REG_TRA_DEMANDS!$F208,DEMANDS!$G$2:$CK$25,MATCH($E208,DEMANDS!$E$2:$E$25,0),FALSE)/HLOOKUP(2018,DEMANDS!$G$2:$CK$25,MATCH($E208,DEMANDS!$E$2:$E$25,0),FALSE)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AE208" s="35">
        <f>HLOOKUP(REG_TRA_DEMANDS!AE$3,'BY-Demands'!$J$5:$AK$14,MATCH($E208,'BY-Demands'!$I$5:$I$14,0),FALSE)*HLOOKUP(REG_TRA_DEMANDS!$F208,DEMANDS!$G$2:$CK$25,MATCH($E208,DEMANDS!$E$2:$E$25,0),FALSE)/HLOOKUP(2018,DEMANDS!$G$2:$CK$25,MATCH($E208,DEMANDS!$E$2:$E$25,0),FALSE)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AF208" s="35">
        <f>HLOOKUP(REG_TRA_DEMANDS!AF$3,'BY-Demands'!$J$5:$AK$14,MATCH($E208,'BY-Demands'!$I$5:$I$14,0),FALSE)*HLOOKUP(REG_TRA_DEMANDS!$F208,DEMANDS!$G$2:$CK$25,MATCH($E208,DEMANDS!$E$2:$E$25,0),FALSE)/HLOOKUP(2018,DEMANDS!$G$2:$CK$25,MATCH($E208,DEMANDS!$E$2:$E$25,0),FALSE)</f>
        <v>0</v>
      </c>
    </row>
    <row r="209" spans="4:32" ht="14.4">
      <c r="D209" t="s">
        <v>6</v>
      </c>
      <c r="E209" t="str">
        <f>DEMANDS!$E$24</f>
        <v>TAVIDOM</v>
      </c>
      <c r="F209">
        <v>2036</v>
      </c>
      <c r="G209" s="35">
        <f>HLOOKUP(REG_TRA_DEMANDS!G$3,'BY-Demands'!$J$5:$AK$14,MATCH($E209,'BY-Demands'!$I$5:$I$14,0),FALSE)*HLOOKUP(REG_TRA_DEMANDS!$F209,DEMANDS!$G$2:$CK$25,MATCH($E209,DEMANDS!$E$2:$E$25,0),FALSE)/HLOOKUP(2018,DEMANDS!$G$2:$CK$25,MATCH($E209,DEMANDS!$E$2:$E$25,0),FALSE)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H209" s="18">
        <f>HLOOKUP(REG_TRA_DEMANDS!H$3,'BY-Demands'!$J$5:$AK$14,MATCH($E209,'BY-Demands'!$I$5:$I$14,0),FALSE)*HLOOKUP(REG_TRA_DEMANDS!$F209,DEMANDS!$G$2:$CK$25,MATCH($E209,DEMANDS!$E$2:$E$25,0),FALSE)/HLOOKUP(2018,DEMANDS!$G$2:$CK$25,MATCH($E209,DEMANDS!$E$2:$E$25,0),FALSE)</f>
        <v>0.13395677260860595</v>
      </c>
      <c r="I209" s="35">
        <f>HLOOKUP(REG_TRA_DEMANDS!I$3,'BY-Demands'!$J$5:$AK$14,MATCH($E209,'BY-Demands'!$I$5:$I$14,0),FALSE)*HLOOKUP(REG_TRA_DEMANDS!$F209,DEMANDS!$G$2:$CK$25,MATCH($E209,DEMANDS!$E$2:$E$25,0),FALSE)/HLOOKUP(2018,DEMANDS!$G$2:$CK$25,MATCH($E209,DEMANDS!$E$2:$E$25,0),FALSE)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J209" s="35">
        <f>HLOOKUP(REG_TRA_DEMANDS!J$3,'BY-Demands'!$J$5:$AK$14,MATCH($E209,'BY-Demands'!$I$5:$I$14,0),FALSE)*HLOOKUP(REG_TRA_DEMANDS!$F209,DEMANDS!$G$2:$CK$25,MATCH($E209,DEMANDS!$E$2:$E$25,0),FALSE)/HLOOKUP(2018,DEMANDS!$G$2:$CK$25,MATCH($E209,DEMANDS!$E$2:$E$25,0),FALSE)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K209" s="35">
        <f>HLOOKUP(REG_TRA_DEMANDS!K$3,'BY-Demands'!$J$5:$AK$14,MATCH($E209,'BY-Demands'!$I$5:$I$14,0),FALSE)*HLOOKUP(REG_TRA_DEMANDS!$F209,DEMANDS!$G$2:$CK$25,MATCH($E209,DEMANDS!$E$2:$E$25,0),FALSE)/HLOOKUP(2018,DEMANDS!$G$2:$CK$25,MATCH($E209,DEMANDS!$E$2:$E$25,0),FALSE)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L209" s="35">
        <f>HLOOKUP(REG_TRA_DEMANDS!L$3,'BY-Demands'!$J$5:$AK$14,MATCH($E209,'BY-Demands'!$I$5:$I$14,0),FALSE)*HLOOKUP(REG_TRA_DEMANDS!$F209,DEMANDS!$G$2:$CK$25,MATCH($E209,DEMANDS!$E$2:$E$25,0),FALSE)/HLOOKUP(2018,DEMANDS!$G$2:$CK$25,MATCH($E209,DEMANDS!$E$2:$E$25,0),FALSE)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M209" s="35">
        <f>HLOOKUP(REG_TRA_DEMANDS!M$3,'BY-Demands'!$J$5:$AK$14,MATCH($E209,'BY-Demands'!$I$5:$I$14,0),FALSE)*HLOOKUP(REG_TRA_DEMANDS!$F209,DEMANDS!$G$2:$CK$25,MATCH($E209,DEMANDS!$E$2:$E$25,0),FALSE)/HLOOKUP(2018,DEMANDS!$G$2:$CK$25,MATCH($E209,DEMANDS!$E$2:$E$25,0),FALSE)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N209" s="35">
        <f>HLOOKUP(REG_TRA_DEMANDS!N$3,'BY-Demands'!$J$5:$AK$14,MATCH($E209,'BY-Demands'!$I$5:$I$14,0),FALSE)*HLOOKUP(REG_TRA_DEMANDS!$F209,DEMANDS!$G$2:$CK$25,MATCH($E209,DEMANDS!$E$2:$E$25,0),FALSE)/HLOOKUP(2018,DEMANDS!$G$2:$CK$25,MATCH($E209,DEMANDS!$E$2:$E$25,0),FALSE)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O209" s="35">
        <f>HLOOKUP(REG_TRA_DEMANDS!O$3,'BY-Demands'!$J$5:$AK$14,MATCH($E209,'BY-Demands'!$I$5:$I$14,0),FALSE)*HLOOKUP(REG_TRA_DEMANDS!$F209,DEMANDS!$G$2:$CK$25,MATCH($E209,DEMANDS!$E$2:$E$25,0),FALSE)/HLOOKUP(2018,DEMANDS!$G$2:$CK$25,MATCH($E209,DEMANDS!$E$2:$E$25,0),FALSE)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P209" s="35">
        <f>HLOOKUP(REG_TRA_DEMANDS!P$3,'BY-Demands'!$J$5:$AK$14,MATCH($E209,'BY-Demands'!$I$5:$I$14,0),FALSE)*HLOOKUP(REG_TRA_DEMANDS!$F209,DEMANDS!$G$2:$CK$25,MATCH($E209,DEMANDS!$E$2:$E$25,0),FALSE)/HLOOKUP(2018,DEMANDS!$G$2:$CK$25,MATCH($E209,DEMANDS!$E$2:$E$25,0),FALSE)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Q209" s="35">
        <f>HLOOKUP(REG_TRA_DEMANDS!Q$3,'BY-Demands'!$J$5:$AK$14,MATCH($E209,'BY-Demands'!$I$5:$I$14,0),FALSE)*HLOOKUP(REG_TRA_DEMANDS!$F209,DEMANDS!$G$2:$CK$25,MATCH($E209,DEMANDS!$E$2:$E$25,0),FALSE)/HLOOKUP(2018,DEMANDS!$G$2:$CK$25,MATCH($E209,DEMANDS!$E$2:$E$25,0),FALSE)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R209" s="35">
        <f>HLOOKUP(REG_TRA_DEMANDS!R$3,'BY-Demands'!$J$5:$AK$14,MATCH($E209,'BY-Demands'!$I$5:$I$14,0),FALSE)*HLOOKUP(REG_TRA_DEMANDS!$F209,DEMANDS!$G$2:$CK$25,MATCH($E209,DEMANDS!$E$2:$E$25,0),FALSE)/HLOOKUP(2018,DEMANDS!$G$2:$CK$25,MATCH($E209,DEMANDS!$E$2:$E$25,0),FALSE)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S209" s="18">
        <f>HLOOKUP(REG_TRA_DEMANDS!S$3,'BY-Demands'!$J$5:$AK$14,MATCH($E209,'BY-Demands'!$I$5:$I$14,0),FALSE)*HLOOKUP(REG_TRA_DEMANDS!$F209,DEMANDS!$G$2:$CK$25,MATCH($E209,DEMANDS!$E$2:$E$25,0),FALSE)/HLOOKUP(2018,DEMANDS!$G$2:$CK$25,MATCH($E209,DEMANDS!$E$2:$E$25,0),FALSE)</f>
        <v>0.046779068407982807</v>
      </c>
      <c r="T209" s="18">
        <f>HLOOKUP(REG_TRA_DEMANDS!T$3,'BY-Demands'!$J$5:$AK$14,MATCH($E209,'BY-Demands'!$I$5:$I$14,0),FALSE)*HLOOKUP(REG_TRA_DEMANDS!$F209,DEMANDS!$G$2:$CK$25,MATCH($E209,DEMANDS!$E$2:$E$25,0),FALSE)/HLOOKUP(2018,DEMANDS!$G$2:$CK$25,MATCH($E209,DEMANDS!$E$2:$E$25,0),FALSE)</f>
        <v>0.00046352277307537207</v>
      </c>
      <c r="U209" s="18">
        <f>HLOOKUP(REG_TRA_DEMANDS!U$3,'BY-Demands'!$J$5:$AK$14,MATCH($E209,'BY-Demands'!$I$5:$I$14,0),FALSE)*HLOOKUP(REG_TRA_DEMANDS!$F209,DEMANDS!$G$2:$CK$25,MATCH($E209,DEMANDS!$E$2:$E$25,0),FALSE)/HLOOKUP(2018,DEMANDS!$G$2:$CK$25,MATCH($E209,DEMANDS!$E$2:$E$25,0),FALSE)</f>
        <v>0.046529102661710439</v>
      </c>
      <c r="V209" s="35">
        <f>HLOOKUP(REG_TRA_DEMANDS!V$3,'BY-Demands'!$J$5:$AK$14,MATCH($E209,'BY-Demands'!$I$5:$I$14,0),FALSE)*HLOOKUP(REG_TRA_DEMANDS!$F209,DEMANDS!$G$2:$CK$25,MATCH($E209,DEMANDS!$E$2:$E$25,0),FALSE)/HLOOKUP(2018,DEMANDS!$G$2:$CK$25,MATCH($E209,DEMANDS!$E$2:$E$25,0),FALSE)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W209" s="35">
        <f>HLOOKUP(REG_TRA_DEMANDS!W$3,'BY-Demands'!$J$5:$AK$14,MATCH($E209,'BY-Demands'!$I$5:$I$14,0),FALSE)*HLOOKUP(REG_TRA_DEMANDS!$F209,DEMANDS!$G$2:$CK$25,MATCH($E209,DEMANDS!$E$2:$E$25,0),FALSE)/HLOOKUP(2018,DEMANDS!$G$2:$CK$25,MATCH($E209,DEMANDS!$E$2:$E$25,0),FALSE)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X209" s="35">
        <f>HLOOKUP(REG_TRA_DEMANDS!X$3,'BY-Demands'!$J$5:$AK$14,MATCH($E209,'BY-Demands'!$I$5:$I$14,0),FALSE)*HLOOKUP(REG_TRA_DEMANDS!$F209,DEMANDS!$G$2:$CK$25,MATCH($E209,DEMANDS!$E$2:$E$25,0),FALSE)/HLOOKUP(2018,DEMANDS!$G$2:$CK$25,MATCH($E209,DEMANDS!$E$2:$E$25,0),FALSE)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Y209" s="35">
        <f>HLOOKUP(REG_TRA_DEMANDS!Y$3,'BY-Demands'!$J$5:$AK$14,MATCH($E209,'BY-Demands'!$I$5:$I$14,0),FALSE)*HLOOKUP(REG_TRA_DEMANDS!$F209,DEMANDS!$G$2:$CK$25,MATCH($E209,DEMANDS!$E$2:$E$25,0),FALSE)/HLOOKUP(2018,DEMANDS!$G$2:$CK$25,MATCH($E209,DEMANDS!$E$2:$E$25,0),FALSE)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Z209" s="35">
        <f>HLOOKUP(REG_TRA_DEMANDS!Z$3,'BY-Demands'!$J$5:$AK$14,MATCH($E209,'BY-Demands'!$I$5:$I$14,0),FALSE)*HLOOKUP(REG_TRA_DEMANDS!$F209,DEMANDS!$G$2:$CK$25,MATCH($E209,DEMANDS!$E$2:$E$25,0),FALSE)/HLOOKUP(2018,DEMANDS!$G$2:$CK$25,MATCH($E209,DEMANDS!$E$2:$E$25,0),FALSE)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AA209" s="35">
        <f>HLOOKUP(REG_TRA_DEMANDS!AA$3,'BY-Demands'!$J$5:$AK$14,MATCH($E209,'BY-Demands'!$I$5:$I$14,0),FALSE)*HLOOKUP(REG_TRA_DEMANDS!$F209,DEMANDS!$G$2:$CK$25,MATCH($E209,DEMANDS!$E$2:$E$25,0),FALSE)/HLOOKUP(2018,DEMANDS!$G$2:$CK$25,MATCH($E209,DEMANDS!$E$2:$E$25,0),FALSE)</f>
        <v>9.2704554615074527E-05</v>
      </c>
      <c r="AB209" s="35">
        <f>HLOOKUP(REG_TRA_DEMANDS!AB$3,'BY-Demands'!$J$5:$AK$14,MATCH($E209,'BY-Demands'!$I$5:$I$14,0),FALSE)*HLOOKUP(REG_TRA_DEMANDS!$F209,DEMANDS!$G$2:$CK$25,MATCH($E209,DEMANDS!$E$2:$E$25,0),FALSE)/HLOOKUP(2018,DEMANDS!$G$2:$CK$25,MATCH($E209,DEMANDS!$E$2:$E$25,0),FALSE)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AC209" s="35">
        <f>HLOOKUP(REG_TRA_DEMANDS!AC$3,'BY-Demands'!$J$5:$AK$14,MATCH($E209,'BY-Demands'!$I$5:$I$14,0),FALSE)*HLOOKUP(REG_TRA_DEMANDS!$F209,DEMANDS!$G$2:$CK$25,MATCH($E209,DEMANDS!$E$2:$E$25,0),FALSE)/HLOOKUP(2018,DEMANDS!$G$2:$CK$25,MATCH($E209,DEMANDS!$E$2:$E$25,0),FALSE)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AD209" s="35">
        <f>HLOOKUP(REG_TRA_DEMANDS!AD$3,'BY-Demands'!$J$5:$AK$14,MATCH($E209,'BY-Demands'!$I$5:$I$14,0),FALSE)*HLOOKUP(REG_TRA_DEMANDS!$F209,DEMANDS!$G$2:$CK$25,MATCH($E209,DEMANDS!$E$2:$E$25,0),FALSE)/HLOOKUP(2018,DEMANDS!$G$2:$CK$25,MATCH($E209,DEMANDS!$E$2:$E$25,0),FALSE)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AE209" s="35">
        <f>HLOOKUP(REG_TRA_DEMANDS!AE$3,'BY-Demands'!$J$5:$AK$14,MATCH($E209,'BY-Demands'!$I$5:$I$14,0),FALSE)*HLOOKUP(REG_TRA_DEMANDS!$F209,DEMANDS!$G$2:$CK$25,MATCH($E209,DEMANDS!$E$2:$E$25,0),FALSE)/HLOOKUP(2018,DEMANDS!$G$2:$CK$25,MATCH($E209,DEMANDS!$E$2:$E$25,0),FALSE)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AF209" s="35">
        <f>HLOOKUP(REG_TRA_DEMANDS!AF$3,'BY-Demands'!$J$5:$AK$14,MATCH($E209,'BY-Demands'!$I$5:$I$14,0),FALSE)*HLOOKUP(REG_TRA_DEMANDS!$F209,DEMANDS!$G$2:$CK$25,MATCH($E209,DEMANDS!$E$2:$E$25,0),FALSE)/HLOOKUP(2018,DEMANDS!$G$2:$CK$25,MATCH($E209,DEMANDS!$E$2:$E$25,0),FALSE)</f>
        <v>0</v>
      </c>
    </row>
    <row r="210" spans="4:32" ht="14.4">
      <c r="D210" t="s">
        <v>6</v>
      </c>
      <c r="E210" t="str">
        <f>DEMANDS!$E$24</f>
        <v>TAVIDOM</v>
      </c>
      <c r="F210">
        <v>2037</v>
      </c>
      <c r="G210" s="35">
        <f>HLOOKUP(REG_TRA_DEMANDS!G$3,'BY-Demands'!$J$5:$AK$14,MATCH($E210,'BY-Demands'!$I$5:$I$14,0),FALSE)*HLOOKUP(REG_TRA_DEMANDS!$F210,DEMANDS!$G$2:$CK$25,MATCH($E210,DEMANDS!$E$2:$E$25,0),FALSE)/HLOOKUP(2018,DEMANDS!$G$2:$CK$25,MATCH($E210,DEMANDS!$E$2:$E$25,0),FALSE)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H210" s="18">
        <f>HLOOKUP(REG_TRA_DEMANDS!H$3,'BY-Demands'!$J$5:$AK$14,MATCH($E210,'BY-Demands'!$I$5:$I$14,0),FALSE)*HLOOKUP(REG_TRA_DEMANDS!$F210,DEMANDS!$G$2:$CK$25,MATCH($E210,DEMANDS!$E$2:$E$25,0),FALSE)/HLOOKUP(2018,DEMANDS!$G$2:$CK$25,MATCH($E210,DEMANDS!$E$2:$E$25,0),FALSE)</f>
        <v>0.13395677260860595</v>
      </c>
      <c r="I210" s="35">
        <f>HLOOKUP(REG_TRA_DEMANDS!I$3,'BY-Demands'!$J$5:$AK$14,MATCH($E210,'BY-Demands'!$I$5:$I$14,0),FALSE)*HLOOKUP(REG_TRA_DEMANDS!$F210,DEMANDS!$G$2:$CK$25,MATCH($E210,DEMANDS!$E$2:$E$25,0),FALSE)/HLOOKUP(2018,DEMANDS!$G$2:$CK$25,MATCH($E210,DEMANDS!$E$2:$E$25,0),FALSE)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J210" s="35">
        <f>HLOOKUP(REG_TRA_DEMANDS!J$3,'BY-Demands'!$J$5:$AK$14,MATCH($E210,'BY-Demands'!$I$5:$I$14,0),FALSE)*HLOOKUP(REG_TRA_DEMANDS!$F210,DEMANDS!$G$2:$CK$25,MATCH($E210,DEMANDS!$E$2:$E$25,0),FALSE)/HLOOKUP(2018,DEMANDS!$G$2:$CK$25,MATCH($E210,DEMANDS!$E$2:$E$25,0),FALSE)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K210" s="35">
        <f>HLOOKUP(REG_TRA_DEMANDS!K$3,'BY-Demands'!$J$5:$AK$14,MATCH($E210,'BY-Demands'!$I$5:$I$14,0),FALSE)*HLOOKUP(REG_TRA_DEMANDS!$F210,DEMANDS!$G$2:$CK$25,MATCH($E210,DEMANDS!$E$2:$E$25,0),FALSE)/HLOOKUP(2018,DEMANDS!$G$2:$CK$25,MATCH($E210,DEMANDS!$E$2:$E$25,0),FALSE)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L210" s="35">
        <f>HLOOKUP(REG_TRA_DEMANDS!L$3,'BY-Demands'!$J$5:$AK$14,MATCH($E210,'BY-Demands'!$I$5:$I$14,0),FALSE)*HLOOKUP(REG_TRA_DEMANDS!$F210,DEMANDS!$G$2:$CK$25,MATCH($E210,DEMANDS!$E$2:$E$25,0),FALSE)/HLOOKUP(2018,DEMANDS!$G$2:$CK$25,MATCH($E210,DEMANDS!$E$2:$E$25,0),FALSE)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M210" s="35">
        <f>HLOOKUP(REG_TRA_DEMANDS!M$3,'BY-Demands'!$J$5:$AK$14,MATCH($E210,'BY-Demands'!$I$5:$I$14,0),FALSE)*HLOOKUP(REG_TRA_DEMANDS!$F210,DEMANDS!$G$2:$CK$25,MATCH($E210,DEMANDS!$E$2:$E$25,0),FALSE)/HLOOKUP(2018,DEMANDS!$G$2:$CK$25,MATCH($E210,DEMANDS!$E$2:$E$25,0),FALSE)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N210" s="35">
        <f>HLOOKUP(REG_TRA_DEMANDS!N$3,'BY-Demands'!$J$5:$AK$14,MATCH($E210,'BY-Demands'!$I$5:$I$14,0),FALSE)*HLOOKUP(REG_TRA_DEMANDS!$F210,DEMANDS!$G$2:$CK$25,MATCH($E210,DEMANDS!$E$2:$E$25,0),FALSE)/HLOOKUP(2018,DEMANDS!$G$2:$CK$25,MATCH($E210,DEMANDS!$E$2:$E$25,0),FALSE)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O210" s="35">
        <f>HLOOKUP(REG_TRA_DEMANDS!O$3,'BY-Demands'!$J$5:$AK$14,MATCH($E210,'BY-Demands'!$I$5:$I$14,0),FALSE)*HLOOKUP(REG_TRA_DEMANDS!$F210,DEMANDS!$G$2:$CK$25,MATCH($E210,DEMANDS!$E$2:$E$25,0),FALSE)/HLOOKUP(2018,DEMANDS!$G$2:$CK$25,MATCH($E210,DEMANDS!$E$2:$E$25,0),FALSE)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P210" s="35">
        <f>HLOOKUP(REG_TRA_DEMANDS!P$3,'BY-Demands'!$J$5:$AK$14,MATCH($E210,'BY-Demands'!$I$5:$I$14,0),FALSE)*HLOOKUP(REG_TRA_DEMANDS!$F210,DEMANDS!$G$2:$CK$25,MATCH($E210,DEMANDS!$E$2:$E$25,0),FALSE)/HLOOKUP(2018,DEMANDS!$G$2:$CK$25,MATCH($E210,DEMANDS!$E$2:$E$25,0),FALSE)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Q210" s="35">
        <f>HLOOKUP(REG_TRA_DEMANDS!Q$3,'BY-Demands'!$J$5:$AK$14,MATCH($E210,'BY-Demands'!$I$5:$I$14,0),FALSE)*HLOOKUP(REG_TRA_DEMANDS!$F210,DEMANDS!$G$2:$CK$25,MATCH($E210,DEMANDS!$E$2:$E$25,0),FALSE)/HLOOKUP(2018,DEMANDS!$G$2:$CK$25,MATCH($E210,DEMANDS!$E$2:$E$25,0),FALSE)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R210" s="35">
        <f>HLOOKUP(REG_TRA_DEMANDS!R$3,'BY-Demands'!$J$5:$AK$14,MATCH($E210,'BY-Demands'!$I$5:$I$14,0),FALSE)*HLOOKUP(REG_TRA_DEMANDS!$F210,DEMANDS!$G$2:$CK$25,MATCH($E210,DEMANDS!$E$2:$E$25,0),FALSE)/HLOOKUP(2018,DEMANDS!$G$2:$CK$25,MATCH($E210,DEMANDS!$E$2:$E$25,0),FALSE)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S210" s="18">
        <f>HLOOKUP(REG_TRA_DEMANDS!S$3,'BY-Demands'!$J$5:$AK$14,MATCH($E210,'BY-Demands'!$I$5:$I$14,0),FALSE)*HLOOKUP(REG_TRA_DEMANDS!$F210,DEMANDS!$G$2:$CK$25,MATCH($E210,DEMANDS!$E$2:$E$25,0),FALSE)/HLOOKUP(2018,DEMANDS!$G$2:$CK$25,MATCH($E210,DEMANDS!$E$2:$E$25,0),FALSE)</f>
        <v>0.046779068407982807</v>
      </c>
      <c r="T210" s="18">
        <f>HLOOKUP(REG_TRA_DEMANDS!T$3,'BY-Demands'!$J$5:$AK$14,MATCH($E210,'BY-Demands'!$I$5:$I$14,0),FALSE)*HLOOKUP(REG_TRA_DEMANDS!$F210,DEMANDS!$G$2:$CK$25,MATCH($E210,DEMANDS!$E$2:$E$25,0),FALSE)/HLOOKUP(2018,DEMANDS!$G$2:$CK$25,MATCH($E210,DEMANDS!$E$2:$E$25,0),FALSE)</f>
        <v>0.00046352277307537207</v>
      </c>
      <c r="U210" s="18">
        <f>HLOOKUP(REG_TRA_DEMANDS!U$3,'BY-Demands'!$J$5:$AK$14,MATCH($E210,'BY-Demands'!$I$5:$I$14,0),FALSE)*HLOOKUP(REG_TRA_DEMANDS!$F210,DEMANDS!$G$2:$CK$25,MATCH($E210,DEMANDS!$E$2:$E$25,0),FALSE)/HLOOKUP(2018,DEMANDS!$G$2:$CK$25,MATCH($E210,DEMANDS!$E$2:$E$25,0),FALSE)</f>
        <v>0.046529102661710439</v>
      </c>
      <c r="V210" s="35">
        <f>HLOOKUP(REG_TRA_DEMANDS!V$3,'BY-Demands'!$J$5:$AK$14,MATCH($E210,'BY-Demands'!$I$5:$I$14,0),FALSE)*HLOOKUP(REG_TRA_DEMANDS!$F210,DEMANDS!$G$2:$CK$25,MATCH($E210,DEMANDS!$E$2:$E$25,0),FALSE)/HLOOKUP(2018,DEMANDS!$G$2:$CK$25,MATCH($E210,DEMANDS!$E$2:$E$25,0),FALSE)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W210" s="35">
        <f>HLOOKUP(REG_TRA_DEMANDS!W$3,'BY-Demands'!$J$5:$AK$14,MATCH($E210,'BY-Demands'!$I$5:$I$14,0),FALSE)*HLOOKUP(REG_TRA_DEMANDS!$F210,DEMANDS!$G$2:$CK$25,MATCH($E210,DEMANDS!$E$2:$E$25,0),FALSE)/HLOOKUP(2018,DEMANDS!$G$2:$CK$25,MATCH($E210,DEMANDS!$E$2:$E$25,0),FALSE)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X210" s="35">
        <f>HLOOKUP(REG_TRA_DEMANDS!X$3,'BY-Demands'!$J$5:$AK$14,MATCH($E210,'BY-Demands'!$I$5:$I$14,0),FALSE)*HLOOKUP(REG_TRA_DEMANDS!$F210,DEMANDS!$G$2:$CK$25,MATCH($E210,DEMANDS!$E$2:$E$25,0),FALSE)/HLOOKUP(2018,DEMANDS!$G$2:$CK$25,MATCH($E210,DEMANDS!$E$2:$E$25,0),FALSE)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Y210" s="35">
        <f>HLOOKUP(REG_TRA_DEMANDS!Y$3,'BY-Demands'!$J$5:$AK$14,MATCH($E210,'BY-Demands'!$I$5:$I$14,0),FALSE)*HLOOKUP(REG_TRA_DEMANDS!$F210,DEMANDS!$G$2:$CK$25,MATCH($E210,DEMANDS!$E$2:$E$25,0),FALSE)/HLOOKUP(2018,DEMANDS!$G$2:$CK$25,MATCH($E210,DEMANDS!$E$2:$E$25,0),FALSE)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Z210" s="35">
        <f>HLOOKUP(REG_TRA_DEMANDS!Z$3,'BY-Demands'!$J$5:$AK$14,MATCH($E210,'BY-Demands'!$I$5:$I$14,0),FALSE)*HLOOKUP(REG_TRA_DEMANDS!$F210,DEMANDS!$G$2:$CK$25,MATCH($E210,DEMANDS!$E$2:$E$25,0),FALSE)/HLOOKUP(2018,DEMANDS!$G$2:$CK$25,MATCH($E210,DEMANDS!$E$2:$E$25,0),FALSE)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AA210" s="35">
        <f>HLOOKUP(REG_TRA_DEMANDS!AA$3,'BY-Demands'!$J$5:$AK$14,MATCH($E210,'BY-Demands'!$I$5:$I$14,0),FALSE)*HLOOKUP(REG_TRA_DEMANDS!$F210,DEMANDS!$G$2:$CK$25,MATCH($E210,DEMANDS!$E$2:$E$25,0),FALSE)/HLOOKUP(2018,DEMANDS!$G$2:$CK$25,MATCH($E210,DEMANDS!$E$2:$E$25,0),FALSE)</f>
        <v>9.2704554615074527E-05</v>
      </c>
      <c r="AB210" s="35">
        <f>HLOOKUP(REG_TRA_DEMANDS!AB$3,'BY-Demands'!$J$5:$AK$14,MATCH($E210,'BY-Demands'!$I$5:$I$14,0),FALSE)*HLOOKUP(REG_TRA_DEMANDS!$F210,DEMANDS!$G$2:$CK$25,MATCH($E210,DEMANDS!$E$2:$E$25,0),FALSE)/HLOOKUP(2018,DEMANDS!$G$2:$CK$25,MATCH($E210,DEMANDS!$E$2:$E$25,0),FALSE)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AC210" s="35">
        <f>HLOOKUP(REG_TRA_DEMANDS!AC$3,'BY-Demands'!$J$5:$AK$14,MATCH($E210,'BY-Demands'!$I$5:$I$14,0),FALSE)*HLOOKUP(REG_TRA_DEMANDS!$F210,DEMANDS!$G$2:$CK$25,MATCH($E210,DEMANDS!$E$2:$E$25,0),FALSE)/HLOOKUP(2018,DEMANDS!$G$2:$CK$25,MATCH($E210,DEMANDS!$E$2:$E$25,0),FALSE)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AD210" s="35">
        <f>HLOOKUP(REG_TRA_DEMANDS!AD$3,'BY-Demands'!$J$5:$AK$14,MATCH($E210,'BY-Demands'!$I$5:$I$14,0),FALSE)*HLOOKUP(REG_TRA_DEMANDS!$F210,DEMANDS!$G$2:$CK$25,MATCH($E210,DEMANDS!$E$2:$E$25,0),FALSE)/HLOOKUP(2018,DEMANDS!$G$2:$CK$25,MATCH($E210,DEMANDS!$E$2:$E$25,0),FALSE)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AE210" s="35">
        <f>HLOOKUP(REG_TRA_DEMANDS!AE$3,'BY-Demands'!$J$5:$AK$14,MATCH($E210,'BY-Demands'!$I$5:$I$14,0),FALSE)*HLOOKUP(REG_TRA_DEMANDS!$F210,DEMANDS!$G$2:$CK$25,MATCH($E210,DEMANDS!$E$2:$E$25,0),FALSE)/HLOOKUP(2018,DEMANDS!$G$2:$CK$25,MATCH($E210,DEMANDS!$E$2:$E$25,0),FALSE)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AF210" s="35">
        <f>HLOOKUP(REG_TRA_DEMANDS!AF$3,'BY-Demands'!$J$5:$AK$14,MATCH($E210,'BY-Demands'!$I$5:$I$14,0),FALSE)*HLOOKUP(REG_TRA_DEMANDS!$F210,DEMANDS!$G$2:$CK$25,MATCH($E210,DEMANDS!$E$2:$E$25,0),FALSE)/HLOOKUP(2018,DEMANDS!$G$2:$CK$25,MATCH($E210,DEMANDS!$E$2:$E$25,0),FALSE)</f>
        <v>0</v>
      </c>
    </row>
    <row r="211" spans="4:32" ht="14.4">
      <c r="D211" t="s">
        <v>6</v>
      </c>
      <c r="E211" t="str">
        <f>DEMANDS!$E$24</f>
        <v>TAVIDOM</v>
      </c>
      <c r="F211">
        <v>2038</v>
      </c>
      <c r="G211" s="35">
        <f>HLOOKUP(REG_TRA_DEMANDS!G$3,'BY-Demands'!$J$5:$AK$14,MATCH($E211,'BY-Demands'!$I$5:$I$14,0),FALSE)*HLOOKUP(REG_TRA_DEMANDS!$F211,DEMANDS!$G$2:$CK$25,MATCH($E211,DEMANDS!$E$2:$E$25,0),FALSE)/HLOOKUP(2018,DEMANDS!$G$2:$CK$25,MATCH($E211,DEMANDS!$E$2:$E$25,0),FALSE)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H211" s="18">
        <f>HLOOKUP(REG_TRA_DEMANDS!H$3,'BY-Demands'!$J$5:$AK$14,MATCH($E211,'BY-Demands'!$I$5:$I$14,0),FALSE)*HLOOKUP(REG_TRA_DEMANDS!$F211,DEMANDS!$G$2:$CK$25,MATCH($E211,DEMANDS!$E$2:$E$25,0),FALSE)/HLOOKUP(2018,DEMANDS!$G$2:$CK$25,MATCH($E211,DEMANDS!$E$2:$E$25,0),FALSE)</f>
        <v>0.13395677260860595</v>
      </c>
      <c r="I211" s="35">
        <f>HLOOKUP(REG_TRA_DEMANDS!I$3,'BY-Demands'!$J$5:$AK$14,MATCH($E211,'BY-Demands'!$I$5:$I$14,0),FALSE)*HLOOKUP(REG_TRA_DEMANDS!$F211,DEMANDS!$G$2:$CK$25,MATCH($E211,DEMANDS!$E$2:$E$25,0),FALSE)/HLOOKUP(2018,DEMANDS!$G$2:$CK$25,MATCH($E211,DEMANDS!$E$2:$E$25,0),FALSE)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J211" s="35">
        <f>HLOOKUP(REG_TRA_DEMANDS!J$3,'BY-Demands'!$J$5:$AK$14,MATCH($E211,'BY-Demands'!$I$5:$I$14,0),FALSE)*HLOOKUP(REG_TRA_DEMANDS!$F211,DEMANDS!$G$2:$CK$25,MATCH($E211,DEMANDS!$E$2:$E$25,0),FALSE)/HLOOKUP(2018,DEMANDS!$G$2:$CK$25,MATCH($E211,DEMANDS!$E$2:$E$25,0),FALSE)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K211" s="35">
        <f>HLOOKUP(REG_TRA_DEMANDS!K$3,'BY-Demands'!$J$5:$AK$14,MATCH($E211,'BY-Demands'!$I$5:$I$14,0),FALSE)*HLOOKUP(REG_TRA_DEMANDS!$F211,DEMANDS!$G$2:$CK$25,MATCH($E211,DEMANDS!$E$2:$E$25,0),FALSE)/HLOOKUP(2018,DEMANDS!$G$2:$CK$25,MATCH($E211,DEMANDS!$E$2:$E$25,0),FALSE)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L211" s="35">
        <f>HLOOKUP(REG_TRA_DEMANDS!L$3,'BY-Demands'!$J$5:$AK$14,MATCH($E211,'BY-Demands'!$I$5:$I$14,0),FALSE)*HLOOKUP(REG_TRA_DEMANDS!$F211,DEMANDS!$G$2:$CK$25,MATCH($E211,DEMANDS!$E$2:$E$25,0),FALSE)/HLOOKUP(2018,DEMANDS!$G$2:$CK$25,MATCH($E211,DEMANDS!$E$2:$E$25,0),FALSE)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M211" s="35">
        <f>HLOOKUP(REG_TRA_DEMANDS!M$3,'BY-Demands'!$J$5:$AK$14,MATCH($E211,'BY-Demands'!$I$5:$I$14,0),FALSE)*HLOOKUP(REG_TRA_DEMANDS!$F211,DEMANDS!$G$2:$CK$25,MATCH($E211,DEMANDS!$E$2:$E$25,0),FALSE)/HLOOKUP(2018,DEMANDS!$G$2:$CK$25,MATCH($E211,DEMANDS!$E$2:$E$25,0),FALSE)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N211" s="35">
        <f>HLOOKUP(REG_TRA_DEMANDS!N$3,'BY-Demands'!$J$5:$AK$14,MATCH($E211,'BY-Demands'!$I$5:$I$14,0),FALSE)*HLOOKUP(REG_TRA_DEMANDS!$F211,DEMANDS!$G$2:$CK$25,MATCH($E211,DEMANDS!$E$2:$E$25,0),FALSE)/HLOOKUP(2018,DEMANDS!$G$2:$CK$25,MATCH($E211,DEMANDS!$E$2:$E$25,0),FALSE)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O211" s="35">
        <f>HLOOKUP(REG_TRA_DEMANDS!O$3,'BY-Demands'!$J$5:$AK$14,MATCH($E211,'BY-Demands'!$I$5:$I$14,0),FALSE)*HLOOKUP(REG_TRA_DEMANDS!$F211,DEMANDS!$G$2:$CK$25,MATCH($E211,DEMANDS!$E$2:$E$25,0),FALSE)/HLOOKUP(2018,DEMANDS!$G$2:$CK$25,MATCH($E211,DEMANDS!$E$2:$E$25,0),FALSE)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P211" s="35">
        <f>HLOOKUP(REG_TRA_DEMANDS!P$3,'BY-Demands'!$J$5:$AK$14,MATCH($E211,'BY-Demands'!$I$5:$I$14,0),FALSE)*HLOOKUP(REG_TRA_DEMANDS!$F211,DEMANDS!$G$2:$CK$25,MATCH($E211,DEMANDS!$E$2:$E$25,0),FALSE)/HLOOKUP(2018,DEMANDS!$G$2:$CK$25,MATCH($E211,DEMANDS!$E$2:$E$25,0),FALSE)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Q211" s="35">
        <f>HLOOKUP(REG_TRA_DEMANDS!Q$3,'BY-Demands'!$J$5:$AK$14,MATCH($E211,'BY-Demands'!$I$5:$I$14,0),FALSE)*HLOOKUP(REG_TRA_DEMANDS!$F211,DEMANDS!$G$2:$CK$25,MATCH($E211,DEMANDS!$E$2:$E$25,0),FALSE)/HLOOKUP(2018,DEMANDS!$G$2:$CK$25,MATCH($E211,DEMANDS!$E$2:$E$25,0),FALSE)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R211" s="35">
        <f>HLOOKUP(REG_TRA_DEMANDS!R$3,'BY-Demands'!$J$5:$AK$14,MATCH($E211,'BY-Demands'!$I$5:$I$14,0),FALSE)*HLOOKUP(REG_TRA_DEMANDS!$F211,DEMANDS!$G$2:$CK$25,MATCH($E211,DEMANDS!$E$2:$E$25,0),FALSE)/HLOOKUP(2018,DEMANDS!$G$2:$CK$25,MATCH($E211,DEMANDS!$E$2:$E$25,0),FALSE)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S211" s="18">
        <f>HLOOKUP(REG_TRA_DEMANDS!S$3,'BY-Demands'!$J$5:$AK$14,MATCH($E211,'BY-Demands'!$I$5:$I$14,0),FALSE)*HLOOKUP(REG_TRA_DEMANDS!$F211,DEMANDS!$G$2:$CK$25,MATCH($E211,DEMANDS!$E$2:$E$25,0),FALSE)/HLOOKUP(2018,DEMANDS!$G$2:$CK$25,MATCH($E211,DEMANDS!$E$2:$E$25,0),FALSE)</f>
        <v>0.046779068407982807</v>
      </c>
      <c r="T211" s="18">
        <f>HLOOKUP(REG_TRA_DEMANDS!T$3,'BY-Demands'!$J$5:$AK$14,MATCH($E211,'BY-Demands'!$I$5:$I$14,0),FALSE)*HLOOKUP(REG_TRA_DEMANDS!$F211,DEMANDS!$G$2:$CK$25,MATCH($E211,DEMANDS!$E$2:$E$25,0),FALSE)/HLOOKUP(2018,DEMANDS!$G$2:$CK$25,MATCH($E211,DEMANDS!$E$2:$E$25,0),FALSE)</f>
        <v>0.00046352277307537207</v>
      </c>
      <c r="U211" s="18">
        <f>HLOOKUP(REG_TRA_DEMANDS!U$3,'BY-Demands'!$J$5:$AK$14,MATCH($E211,'BY-Demands'!$I$5:$I$14,0),FALSE)*HLOOKUP(REG_TRA_DEMANDS!$F211,DEMANDS!$G$2:$CK$25,MATCH($E211,DEMANDS!$E$2:$E$25,0),FALSE)/HLOOKUP(2018,DEMANDS!$G$2:$CK$25,MATCH($E211,DEMANDS!$E$2:$E$25,0),FALSE)</f>
        <v>0.046529102661710439</v>
      </c>
      <c r="V211" s="35">
        <f>HLOOKUP(REG_TRA_DEMANDS!V$3,'BY-Demands'!$J$5:$AK$14,MATCH($E211,'BY-Demands'!$I$5:$I$14,0),FALSE)*HLOOKUP(REG_TRA_DEMANDS!$F211,DEMANDS!$G$2:$CK$25,MATCH($E211,DEMANDS!$E$2:$E$25,0),FALSE)/HLOOKUP(2018,DEMANDS!$G$2:$CK$25,MATCH($E211,DEMANDS!$E$2:$E$25,0),FALSE)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W211" s="35">
        <f>HLOOKUP(REG_TRA_DEMANDS!W$3,'BY-Demands'!$J$5:$AK$14,MATCH($E211,'BY-Demands'!$I$5:$I$14,0),FALSE)*HLOOKUP(REG_TRA_DEMANDS!$F211,DEMANDS!$G$2:$CK$25,MATCH($E211,DEMANDS!$E$2:$E$25,0),FALSE)/HLOOKUP(2018,DEMANDS!$G$2:$CK$25,MATCH($E211,DEMANDS!$E$2:$E$25,0),FALSE)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X211" s="35">
        <f>HLOOKUP(REG_TRA_DEMANDS!X$3,'BY-Demands'!$J$5:$AK$14,MATCH($E211,'BY-Demands'!$I$5:$I$14,0),FALSE)*HLOOKUP(REG_TRA_DEMANDS!$F211,DEMANDS!$G$2:$CK$25,MATCH($E211,DEMANDS!$E$2:$E$25,0),FALSE)/HLOOKUP(2018,DEMANDS!$G$2:$CK$25,MATCH($E211,DEMANDS!$E$2:$E$25,0),FALSE)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Y211" s="35">
        <f>HLOOKUP(REG_TRA_DEMANDS!Y$3,'BY-Demands'!$J$5:$AK$14,MATCH($E211,'BY-Demands'!$I$5:$I$14,0),FALSE)*HLOOKUP(REG_TRA_DEMANDS!$F211,DEMANDS!$G$2:$CK$25,MATCH($E211,DEMANDS!$E$2:$E$25,0),FALSE)/HLOOKUP(2018,DEMANDS!$G$2:$CK$25,MATCH($E211,DEMANDS!$E$2:$E$25,0),FALSE)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Z211" s="35">
        <f>HLOOKUP(REG_TRA_DEMANDS!Z$3,'BY-Demands'!$J$5:$AK$14,MATCH($E211,'BY-Demands'!$I$5:$I$14,0),FALSE)*HLOOKUP(REG_TRA_DEMANDS!$F211,DEMANDS!$G$2:$CK$25,MATCH($E211,DEMANDS!$E$2:$E$25,0),FALSE)/HLOOKUP(2018,DEMANDS!$G$2:$CK$25,MATCH($E211,DEMANDS!$E$2:$E$25,0),FALSE)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AA211" s="35">
        <f>HLOOKUP(REG_TRA_DEMANDS!AA$3,'BY-Demands'!$J$5:$AK$14,MATCH($E211,'BY-Demands'!$I$5:$I$14,0),FALSE)*HLOOKUP(REG_TRA_DEMANDS!$F211,DEMANDS!$G$2:$CK$25,MATCH($E211,DEMANDS!$E$2:$E$25,0),FALSE)/HLOOKUP(2018,DEMANDS!$G$2:$CK$25,MATCH($E211,DEMANDS!$E$2:$E$25,0),FALSE)</f>
        <v>9.2704554615074527E-05</v>
      </c>
      <c r="AB211" s="35">
        <f>HLOOKUP(REG_TRA_DEMANDS!AB$3,'BY-Demands'!$J$5:$AK$14,MATCH($E211,'BY-Demands'!$I$5:$I$14,0),FALSE)*HLOOKUP(REG_TRA_DEMANDS!$F211,DEMANDS!$G$2:$CK$25,MATCH($E211,DEMANDS!$E$2:$E$25,0),FALSE)/HLOOKUP(2018,DEMANDS!$G$2:$CK$25,MATCH($E211,DEMANDS!$E$2:$E$25,0),FALSE)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AC211" s="35">
        <f>HLOOKUP(REG_TRA_DEMANDS!AC$3,'BY-Demands'!$J$5:$AK$14,MATCH($E211,'BY-Demands'!$I$5:$I$14,0),FALSE)*HLOOKUP(REG_TRA_DEMANDS!$F211,DEMANDS!$G$2:$CK$25,MATCH($E211,DEMANDS!$E$2:$E$25,0),FALSE)/HLOOKUP(2018,DEMANDS!$G$2:$CK$25,MATCH($E211,DEMANDS!$E$2:$E$25,0),FALSE)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AD211" s="35">
        <f>HLOOKUP(REG_TRA_DEMANDS!AD$3,'BY-Demands'!$J$5:$AK$14,MATCH($E211,'BY-Demands'!$I$5:$I$14,0),FALSE)*HLOOKUP(REG_TRA_DEMANDS!$F211,DEMANDS!$G$2:$CK$25,MATCH($E211,DEMANDS!$E$2:$E$25,0),FALSE)/HLOOKUP(2018,DEMANDS!$G$2:$CK$25,MATCH($E211,DEMANDS!$E$2:$E$25,0),FALSE)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AE211" s="35">
        <f>HLOOKUP(REG_TRA_DEMANDS!AE$3,'BY-Demands'!$J$5:$AK$14,MATCH($E211,'BY-Demands'!$I$5:$I$14,0),FALSE)*HLOOKUP(REG_TRA_DEMANDS!$F211,DEMANDS!$G$2:$CK$25,MATCH($E211,DEMANDS!$E$2:$E$25,0),FALSE)/HLOOKUP(2018,DEMANDS!$G$2:$CK$25,MATCH($E211,DEMANDS!$E$2:$E$25,0),FALSE)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AF211" s="35">
        <f>HLOOKUP(REG_TRA_DEMANDS!AF$3,'BY-Demands'!$J$5:$AK$14,MATCH($E211,'BY-Demands'!$I$5:$I$14,0),FALSE)*HLOOKUP(REG_TRA_DEMANDS!$F211,DEMANDS!$G$2:$CK$25,MATCH($E211,DEMANDS!$E$2:$E$25,0),FALSE)/HLOOKUP(2018,DEMANDS!$G$2:$CK$25,MATCH($E211,DEMANDS!$E$2:$E$25,0),FALSE)</f>
        <v>0</v>
      </c>
    </row>
    <row r="212" spans="4:32" ht="14.4">
      <c r="D212" t="s">
        <v>6</v>
      </c>
      <c r="E212" t="str">
        <f>DEMANDS!$E$24</f>
        <v>TAVIDOM</v>
      </c>
      <c r="F212">
        <v>2039</v>
      </c>
      <c r="G212" s="35">
        <f>HLOOKUP(REG_TRA_DEMANDS!G$3,'BY-Demands'!$J$5:$AK$14,MATCH($E212,'BY-Demands'!$I$5:$I$14,0),FALSE)*HLOOKUP(REG_TRA_DEMANDS!$F212,DEMANDS!$G$2:$CK$25,MATCH($E212,DEMANDS!$E$2:$E$25,0),FALSE)/HLOOKUP(2018,DEMANDS!$G$2:$CK$25,MATCH($E212,DEMANDS!$E$2:$E$25,0),FALSE)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H212" s="18">
        <f>HLOOKUP(REG_TRA_DEMANDS!H$3,'BY-Demands'!$J$5:$AK$14,MATCH($E212,'BY-Demands'!$I$5:$I$14,0),FALSE)*HLOOKUP(REG_TRA_DEMANDS!$F212,DEMANDS!$G$2:$CK$25,MATCH($E212,DEMANDS!$E$2:$E$25,0),FALSE)/HLOOKUP(2018,DEMANDS!$G$2:$CK$25,MATCH($E212,DEMANDS!$E$2:$E$25,0),FALSE)</f>
        <v>0.13395677260860595</v>
      </c>
      <c r="I212" s="35">
        <f>HLOOKUP(REG_TRA_DEMANDS!I$3,'BY-Demands'!$J$5:$AK$14,MATCH($E212,'BY-Demands'!$I$5:$I$14,0),FALSE)*HLOOKUP(REG_TRA_DEMANDS!$F212,DEMANDS!$G$2:$CK$25,MATCH($E212,DEMANDS!$E$2:$E$25,0),FALSE)/HLOOKUP(2018,DEMANDS!$G$2:$CK$25,MATCH($E212,DEMANDS!$E$2:$E$25,0),FALSE)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J212" s="35">
        <f>HLOOKUP(REG_TRA_DEMANDS!J$3,'BY-Demands'!$J$5:$AK$14,MATCH($E212,'BY-Demands'!$I$5:$I$14,0),FALSE)*HLOOKUP(REG_TRA_DEMANDS!$F212,DEMANDS!$G$2:$CK$25,MATCH($E212,DEMANDS!$E$2:$E$25,0),FALSE)/HLOOKUP(2018,DEMANDS!$G$2:$CK$25,MATCH($E212,DEMANDS!$E$2:$E$25,0),FALSE)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K212" s="35">
        <f>HLOOKUP(REG_TRA_DEMANDS!K$3,'BY-Demands'!$J$5:$AK$14,MATCH($E212,'BY-Demands'!$I$5:$I$14,0),FALSE)*HLOOKUP(REG_TRA_DEMANDS!$F212,DEMANDS!$G$2:$CK$25,MATCH($E212,DEMANDS!$E$2:$E$25,0),FALSE)/HLOOKUP(2018,DEMANDS!$G$2:$CK$25,MATCH($E212,DEMANDS!$E$2:$E$25,0),FALSE)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L212" s="35">
        <f>HLOOKUP(REG_TRA_DEMANDS!L$3,'BY-Demands'!$J$5:$AK$14,MATCH($E212,'BY-Demands'!$I$5:$I$14,0),FALSE)*HLOOKUP(REG_TRA_DEMANDS!$F212,DEMANDS!$G$2:$CK$25,MATCH($E212,DEMANDS!$E$2:$E$25,0),FALSE)/HLOOKUP(2018,DEMANDS!$G$2:$CK$25,MATCH($E212,DEMANDS!$E$2:$E$25,0),FALSE)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M212" s="35">
        <f>HLOOKUP(REG_TRA_DEMANDS!M$3,'BY-Demands'!$J$5:$AK$14,MATCH($E212,'BY-Demands'!$I$5:$I$14,0),FALSE)*HLOOKUP(REG_TRA_DEMANDS!$F212,DEMANDS!$G$2:$CK$25,MATCH($E212,DEMANDS!$E$2:$E$25,0),FALSE)/HLOOKUP(2018,DEMANDS!$G$2:$CK$25,MATCH($E212,DEMANDS!$E$2:$E$25,0),FALSE)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N212" s="35">
        <f>HLOOKUP(REG_TRA_DEMANDS!N$3,'BY-Demands'!$J$5:$AK$14,MATCH($E212,'BY-Demands'!$I$5:$I$14,0),FALSE)*HLOOKUP(REG_TRA_DEMANDS!$F212,DEMANDS!$G$2:$CK$25,MATCH($E212,DEMANDS!$E$2:$E$25,0),FALSE)/HLOOKUP(2018,DEMANDS!$G$2:$CK$25,MATCH($E212,DEMANDS!$E$2:$E$25,0),FALSE)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O212" s="35">
        <f>HLOOKUP(REG_TRA_DEMANDS!O$3,'BY-Demands'!$J$5:$AK$14,MATCH($E212,'BY-Demands'!$I$5:$I$14,0),FALSE)*HLOOKUP(REG_TRA_DEMANDS!$F212,DEMANDS!$G$2:$CK$25,MATCH($E212,DEMANDS!$E$2:$E$25,0),FALSE)/HLOOKUP(2018,DEMANDS!$G$2:$CK$25,MATCH($E212,DEMANDS!$E$2:$E$25,0),FALSE)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P212" s="35">
        <f>HLOOKUP(REG_TRA_DEMANDS!P$3,'BY-Demands'!$J$5:$AK$14,MATCH($E212,'BY-Demands'!$I$5:$I$14,0),FALSE)*HLOOKUP(REG_TRA_DEMANDS!$F212,DEMANDS!$G$2:$CK$25,MATCH($E212,DEMANDS!$E$2:$E$25,0),FALSE)/HLOOKUP(2018,DEMANDS!$G$2:$CK$25,MATCH($E212,DEMANDS!$E$2:$E$25,0),FALSE)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Q212" s="35">
        <f>HLOOKUP(REG_TRA_DEMANDS!Q$3,'BY-Demands'!$J$5:$AK$14,MATCH($E212,'BY-Demands'!$I$5:$I$14,0),FALSE)*HLOOKUP(REG_TRA_DEMANDS!$F212,DEMANDS!$G$2:$CK$25,MATCH($E212,DEMANDS!$E$2:$E$25,0),FALSE)/HLOOKUP(2018,DEMANDS!$G$2:$CK$25,MATCH($E212,DEMANDS!$E$2:$E$25,0),FALSE)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R212" s="35">
        <f>HLOOKUP(REG_TRA_DEMANDS!R$3,'BY-Demands'!$J$5:$AK$14,MATCH($E212,'BY-Demands'!$I$5:$I$14,0),FALSE)*HLOOKUP(REG_TRA_DEMANDS!$F212,DEMANDS!$G$2:$CK$25,MATCH($E212,DEMANDS!$E$2:$E$25,0),FALSE)/HLOOKUP(2018,DEMANDS!$G$2:$CK$25,MATCH($E212,DEMANDS!$E$2:$E$25,0),FALSE)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S212" s="18">
        <f>HLOOKUP(REG_TRA_DEMANDS!S$3,'BY-Demands'!$J$5:$AK$14,MATCH($E212,'BY-Demands'!$I$5:$I$14,0),FALSE)*HLOOKUP(REG_TRA_DEMANDS!$F212,DEMANDS!$G$2:$CK$25,MATCH($E212,DEMANDS!$E$2:$E$25,0),FALSE)/HLOOKUP(2018,DEMANDS!$G$2:$CK$25,MATCH($E212,DEMANDS!$E$2:$E$25,0),FALSE)</f>
        <v>0.046779068407982807</v>
      </c>
      <c r="T212" s="18">
        <f>HLOOKUP(REG_TRA_DEMANDS!T$3,'BY-Demands'!$J$5:$AK$14,MATCH($E212,'BY-Demands'!$I$5:$I$14,0),FALSE)*HLOOKUP(REG_TRA_DEMANDS!$F212,DEMANDS!$G$2:$CK$25,MATCH($E212,DEMANDS!$E$2:$E$25,0),FALSE)/HLOOKUP(2018,DEMANDS!$G$2:$CK$25,MATCH($E212,DEMANDS!$E$2:$E$25,0),FALSE)</f>
        <v>0.00046352277307537207</v>
      </c>
      <c r="U212" s="18">
        <f>HLOOKUP(REG_TRA_DEMANDS!U$3,'BY-Demands'!$J$5:$AK$14,MATCH($E212,'BY-Demands'!$I$5:$I$14,0),FALSE)*HLOOKUP(REG_TRA_DEMANDS!$F212,DEMANDS!$G$2:$CK$25,MATCH($E212,DEMANDS!$E$2:$E$25,0),FALSE)/HLOOKUP(2018,DEMANDS!$G$2:$CK$25,MATCH($E212,DEMANDS!$E$2:$E$25,0),FALSE)</f>
        <v>0.046529102661710439</v>
      </c>
      <c r="V212" s="35">
        <f>HLOOKUP(REG_TRA_DEMANDS!V$3,'BY-Demands'!$J$5:$AK$14,MATCH($E212,'BY-Demands'!$I$5:$I$14,0),FALSE)*HLOOKUP(REG_TRA_DEMANDS!$F212,DEMANDS!$G$2:$CK$25,MATCH($E212,DEMANDS!$E$2:$E$25,0),FALSE)/HLOOKUP(2018,DEMANDS!$G$2:$CK$25,MATCH($E212,DEMANDS!$E$2:$E$25,0),FALSE)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W212" s="35">
        <f>HLOOKUP(REG_TRA_DEMANDS!W$3,'BY-Demands'!$J$5:$AK$14,MATCH($E212,'BY-Demands'!$I$5:$I$14,0),FALSE)*HLOOKUP(REG_TRA_DEMANDS!$F212,DEMANDS!$G$2:$CK$25,MATCH($E212,DEMANDS!$E$2:$E$25,0),FALSE)/HLOOKUP(2018,DEMANDS!$G$2:$CK$25,MATCH($E212,DEMANDS!$E$2:$E$25,0),FALSE)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X212" s="35">
        <f>HLOOKUP(REG_TRA_DEMANDS!X$3,'BY-Demands'!$J$5:$AK$14,MATCH($E212,'BY-Demands'!$I$5:$I$14,0),FALSE)*HLOOKUP(REG_TRA_DEMANDS!$F212,DEMANDS!$G$2:$CK$25,MATCH($E212,DEMANDS!$E$2:$E$25,0),FALSE)/HLOOKUP(2018,DEMANDS!$G$2:$CK$25,MATCH($E212,DEMANDS!$E$2:$E$25,0),FALSE)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Y212" s="35">
        <f>HLOOKUP(REG_TRA_DEMANDS!Y$3,'BY-Demands'!$J$5:$AK$14,MATCH($E212,'BY-Demands'!$I$5:$I$14,0),FALSE)*HLOOKUP(REG_TRA_DEMANDS!$F212,DEMANDS!$G$2:$CK$25,MATCH($E212,DEMANDS!$E$2:$E$25,0),FALSE)/HLOOKUP(2018,DEMANDS!$G$2:$CK$25,MATCH($E212,DEMANDS!$E$2:$E$25,0),FALSE)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Z212" s="35">
        <f>HLOOKUP(REG_TRA_DEMANDS!Z$3,'BY-Demands'!$J$5:$AK$14,MATCH($E212,'BY-Demands'!$I$5:$I$14,0),FALSE)*HLOOKUP(REG_TRA_DEMANDS!$F212,DEMANDS!$G$2:$CK$25,MATCH($E212,DEMANDS!$E$2:$E$25,0),FALSE)/HLOOKUP(2018,DEMANDS!$G$2:$CK$25,MATCH($E212,DEMANDS!$E$2:$E$25,0),FALSE)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AA212" s="35">
        <f>HLOOKUP(REG_TRA_DEMANDS!AA$3,'BY-Demands'!$J$5:$AK$14,MATCH($E212,'BY-Demands'!$I$5:$I$14,0),FALSE)*HLOOKUP(REG_TRA_DEMANDS!$F212,DEMANDS!$G$2:$CK$25,MATCH($E212,DEMANDS!$E$2:$E$25,0),FALSE)/HLOOKUP(2018,DEMANDS!$G$2:$CK$25,MATCH($E212,DEMANDS!$E$2:$E$25,0),FALSE)</f>
        <v>9.2704554615074527E-05</v>
      </c>
      <c r="AB212" s="35">
        <f>HLOOKUP(REG_TRA_DEMANDS!AB$3,'BY-Demands'!$J$5:$AK$14,MATCH($E212,'BY-Demands'!$I$5:$I$14,0),FALSE)*HLOOKUP(REG_TRA_DEMANDS!$F212,DEMANDS!$G$2:$CK$25,MATCH($E212,DEMANDS!$E$2:$E$25,0),FALSE)/HLOOKUP(2018,DEMANDS!$G$2:$CK$25,MATCH($E212,DEMANDS!$E$2:$E$25,0),FALSE)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AC212" s="35">
        <f>HLOOKUP(REG_TRA_DEMANDS!AC$3,'BY-Demands'!$J$5:$AK$14,MATCH($E212,'BY-Demands'!$I$5:$I$14,0),FALSE)*HLOOKUP(REG_TRA_DEMANDS!$F212,DEMANDS!$G$2:$CK$25,MATCH($E212,DEMANDS!$E$2:$E$25,0),FALSE)/HLOOKUP(2018,DEMANDS!$G$2:$CK$25,MATCH($E212,DEMANDS!$E$2:$E$25,0),FALSE)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AD212" s="35">
        <f>HLOOKUP(REG_TRA_DEMANDS!AD$3,'BY-Demands'!$J$5:$AK$14,MATCH($E212,'BY-Demands'!$I$5:$I$14,0),FALSE)*HLOOKUP(REG_TRA_DEMANDS!$F212,DEMANDS!$G$2:$CK$25,MATCH($E212,DEMANDS!$E$2:$E$25,0),FALSE)/HLOOKUP(2018,DEMANDS!$G$2:$CK$25,MATCH($E212,DEMANDS!$E$2:$E$25,0),FALSE)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AE212" s="35">
        <f>HLOOKUP(REG_TRA_DEMANDS!AE$3,'BY-Demands'!$J$5:$AK$14,MATCH($E212,'BY-Demands'!$I$5:$I$14,0),FALSE)*HLOOKUP(REG_TRA_DEMANDS!$F212,DEMANDS!$G$2:$CK$25,MATCH($E212,DEMANDS!$E$2:$E$25,0),FALSE)/HLOOKUP(2018,DEMANDS!$G$2:$CK$25,MATCH($E212,DEMANDS!$E$2:$E$25,0),FALSE)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AF212" s="35">
        <f>HLOOKUP(REG_TRA_DEMANDS!AF$3,'BY-Demands'!$J$5:$AK$14,MATCH($E212,'BY-Demands'!$I$5:$I$14,0),FALSE)*HLOOKUP(REG_TRA_DEMANDS!$F212,DEMANDS!$G$2:$CK$25,MATCH($E212,DEMANDS!$E$2:$E$25,0),FALSE)/HLOOKUP(2018,DEMANDS!$G$2:$CK$25,MATCH($E212,DEMANDS!$E$2:$E$25,0),FALSE)</f>
        <v>0</v>
      </c>
    </row>
    <row r="213" spans="4:32" ht="14.4">
      <c r="D213" t="s">
        <v>6</v>
      </c>
      <c r="E213" t="str">
        <f>DEMANDS!$E$24</f>
        <v>TAVIDOM</v>
      </c>
      <c r="F213">
        <v>2040</v>
      </c>
      <c r="G213">
        <f>HLOOKUP(REG_TRA_DEMANDS!G$3,'BY-Demands'!$J$5:$AK$14,MATCH($E213,'BY-Demands'!$I$5:$I$14,0),FALSE)*HLOOKUP(REG_TRA_DEMANDS!$F213,DEMANDS!$G$2:$CK$25,MATCH($E213,DEMANDS!$E$2:$E$25,0),FALSE)/HLOOKUP(2018,DEMANDS!$G$2:$CK$25,MATCH($E213,DEMANDS!$E$2:$E$25,0),FALSE)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H213" s="18">
        <f>HLOOKUP(REG_TRA_DEMANDS!H$3,'BY-Demands'!$J$5:$AK$14,MATCH($E213,'BY-Demands'!$I$5:$I$14,0),FALSE)*HLOOKUP(REG_TRA_DEMANDS!$F213,DEMANDS!$G$2:$CK$25,MATCH($E213,DEMANDS!$E$2:$E$25,0),FALSE)/HLOOKUP(2018,DEMANDS!$G$2:$CK$25,MATCH($E213,DEMANDS!$E$2:$E$25,0),FALSE)</f>
        <v>0.13395677260860595</v>
      </c>
      <c r="I213" s="35">
        <f>HLOOKUP(REG_TRA_DEMANDS!I$3,'BY-Demands'!$J$5:$AK$14,MATCH($E213,'BY-Demands'!$I$5:$I$14,0),FALSE)*HLOOKUP(REG_TRA_DEMANDS!$F213,DEMANDS!$G$2:$CK$25,MATCH($E213,DEMANDS!$E$2:$E$25,0),FALSE)/HLOOKUP(2018,DEMANDS!$G$2:$CK$25,MATCH($E213,DEMANDS!$E$2:$E$25,0),FALSE)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J213" s="35">
        <f>HLOOKUP(REG_TRA_DEMANDS!J$3,'BY-Demands'!$J$5:$AK$14,MATCH($E213,'BY-Demands'!$I$5:$I$14,0),FALSE)*HLOOKUP(REG_TRA_DEMANDS!$F213,DEMANDS!$G$2:$CK$25,MATCH($E213,DEMANDS!$E$2:$E$25,0),FALSE)/HLOOKUP(2018,DEMANDS!$G$2:$CK$25,MATCH($E213,DEMANDS!$E$2:$E$25,0),FALSE)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K213" s="35">
        <f>HLOOKUP(REG_TRA_DEMANDS!K$3,'BY-Demands'!$J$5:$AK$14,MATCH($E213,'BY-Demands'!$I$5:$I$14,0),FALSE)*HLOOKUP(REG_TRA_DEMANDS!$F213,DEMANDS!$G$2:$CK$25,MATCH($E213,DEMANDS!$E$2:$E$25,0),FALSE)/HLOOKUP(2018,DEMANDS!$G$2:$CK$25,MATCH($E213,DEMANDS!$E$2:$E$25,0),FALSE)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L213" s="35">
        <f>HLOOKUP(REG_TRA_DEMANDS!L$3,'BY-Demands'!$J$5:$AK$14,MATCH($E213,'BY-Demands'!$I$5:$I$14,0),FALSE)*HLOOKUP(REG_TRA_DEMANDS!$F213,DEMANDS!$G$2:$CK$25,MATCH($E213,DEMANDS!$E$2:$E$25,0),FALSE)/HLOOKUP(2018,DEMANDS!$G$2:$CK$25,MATCH($E213,DEMANDS!$E$2:$E$25,0),FALSE)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M213" s="35">
        <f>HLOOKUP(REG_TRA_DEMANDS!M$3,'BY-Demands'!$J$5:$AK$14,MATCH($E213,'BY-Demands'!$I$5:$I$14,0),FALSE)*HLOOKUP(REG_TRA_DEMANDS!$F213,DEMANDS!$G$2:$CK$25,MATCH($E213,DEMANDS!$E$2:$E$25,0),FALSE)/HLOOKUP(2018,DEMANDS!$G$2:$CK$25,MATCH($E213,DEMANDS!$E$2:$E$25,0),FALSE)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N213" s="35">
        <f>HLOOKUP(REG_TRA_DEMANDS!N$3,'BY-Demands'!$J$5:$AK$14,MATCH($E213,'BY-Demands'!$I$5:$I$14,0),FALSE)*HLOOKUP(REG_TRA_DEMANDS!$F213,DEMANDS!$G$2:$CK$25,MATCH($E213,DEMANDS!$E$2:$E$25,0),FALSE)/HLOOKUP(2018,DEMANDS!$G$2:$CK$25,MATCH($E213,DEMANDS!$E$2:$E$25,0),FALSE)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O213" s="35">
        <f>HLOOKUP(REG_TRA_DEMANDS!O$3,'BY-Demands'!$J$5:$AK$14,MATCH($E213,'BY-Demands'!$I$5:$I$14,0),FALSE)*HLOOKUP(REG_TRA_DEMANDS!$F213,DEMANDS!$G$2:$CK$25,MATCH($E213,DEMANDS!$E$2:$E$25,0),FALSE)/HLOOKUP(2018,DEMANDS!$G$2:$CK$25,MATCH($E213,DEMANDS!$E$2:$E$25,0),FALSE)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P213" s="35">
        <f>HLOOKUP(REG_TRA_DEMANDS!P$3,'BY-Demands'!$J$5:$AK$14,MATCH($E213,'BY-Demands'!$I$5:$I$14,0),FALSE)*HLOOKUP(REG_TRA_DEMANDS!$F213,DEMANDS!$G$2:$CK$25,MATCH($E213,DEMANDS!$E$2:$E$25,0),FALSE)/HLOOKUP(2018,DEMANDS!$G$2:$CK$25,MATCH($E213,DEMANDS!$E$2:$E$25,0),FALSE)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Q213" s="35">
        <f>HLOOKUP(REG_TRA_DEMANDS!Q$3,'BY-Demands'!$J$5:$AK$14,MATCH($E213,'BY-Demands'!$I$5:$I$14,0),FALSE)*HLOOKUP(REG_TRA_DEMANDS!$F213,DEMANDS!$G$2:$CK$25,MATCH($E213,DEMANDS!$E$2:$E$25,0),FALSE)/HLOOKUP(2018,DEMANDS!$G$2:$CK$25,MATCH($E213,DEMANDS!$E$2:$E$25,0),FALSE)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R213" s="35">
        <f>HLOOKUP(REG_TRA_DEMANDS!R$3,'BY-Demands'!$J$5:$AK$14,MATCH($E213,'BY-Demands'!$I$5:$I$14,0),FALSE)*HLOOKUP(REG_TRA_DEMANDS!$F213,DEMANDS!$G$2:$CK$25,MATCH($E213,DEMANDS!$E$2:$E$25,0),FALSE)/HLOOKUP(2018,DEMANDS!$G$2:$CK$25,MATCH($E213,DEMANDS!$E$2:$E$25,0),FALSE)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S213" s="18">
        <f>HLOOKUP(REG_TRA_DEMANDS!S$3,'BY-Demands'!$J$5:$AK$14,MATCH($E213,'BY-Demands'!$I$5:$I$14,0),FALSE)*HLOOKUP(REG_TRA_DEMANDS!$F213,DEMANDS!$G$2:$CK$25,MATCH($E213,DEMANDS!$E$2:$E$25,0),FALSE)/HLOOKUP(2018,DEMANDS!$G$2:$CK$25,MATCH($E213,DEMANDS!$E$2:$E$25,0),FALSE)</f>
        <v>0.046779068407982807</v>
      </c>
      <c r="T213" s="18">
        <f>HLOOKUP(REG_TRA_DEMANDS!T$3,'BY-Demands'!$J$5:$AK$14,MATCH($E213,'BY-Demands'!$I$5:$I$14,0),FALSE)*HLOOKUP(REG_TRA_DEMANDS!$F213,DEMANDS!$G$2:$CK$25,MATCH($E213,DEMANDS!$E$2:$E$25,0),FALSE)/HLOOKUP(2018,DEMANDS!$G$2:$CK$25,MATCH($E213,DEMANDS!$E$2:$E$25,0),FALSE)</f>
        <v>0.00046352277307537207</v>
      </c>
      <c r="U213" s="18">
        <f>HLOOKUP(REG_TRA_DEMANDS!U$3,'BY-Demands'!$J$5:$AK$14,MATCH($E213,'BY-Demands'!$I$5:$I$14,0),FALSE)*HLOOKUP(REG_TRA_DEMANDS!$F213,DEMANDS!$G$2:$CK$25,MATCH($E213,DEMANDS!$E$2:$E$25,0),FALSE)/HLOOKUP(2018,DEMANDS!$G$2:$CK$25,MATCH($E213,DEMANDS!$E$2:$E$25,0),FALSE)</f>
        <v>0.046529102661710439</v>
      </c>
      <c r="V213" s="35">
        <f>HLOOKUP(REG_TRA_DEMANDS!V$3,'BY-Demands'!$J$5:$AK$14,MATCH($E213,'BY-Demands'!$I$5:$I$14,0),FALSE)*HLOOKUP(REG_TRA_DEMANDS!$F213,DEMANDS!$G$2:$CK$25,MATCH($E213,DEMANDS!$E$2:$E$25,0),FALSE)/HLOOKUP(2018,DEMANDS!$G$2:$CK$25,MATCH($E213,DEMANDS!$E$2:$E$25,0),FALSE)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W213" s="35">
        <f>HLOOKUP(REG_TRA_DEMANDS!W$3,'BY-Demands'!$J$5:$AK$14,MATCH($E213,'BY-Demands'!$I$5:$I$14,0),FALSE)*HLOOKUP(REG_TRA_DEMANDS!$F213,DEMANDS!$G$2:$CK$25,MATCH($E213,DEMANDS!$E$2:$E$25,0),FALSE)/HLOOKUP(2018,DEMANDS!$G$2:$CK$25,MATCH($E213,DEMANDS!$E$2:$E$25,0),FALSE)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X213" s="35">
        <f>HLOOKUP(REG_TRA_DEMANDS!X$3,'BY-Demands'!$J$5:$AK$14,MATCH($E213,'BY-Demands'!$I$5:$I$14,0),FALSE)*HLOOKUP(REG_TRA_DEMANDS!$F213,DEMANDS!$G$2:$CK$25,MATCH($E213,DEMANDS!$E$2:$E$25,0),FALSE)/HLOOKUP(2018,DEMANDS!$G$2:$CK$25,MATCH($E213,DEMANDS!$E$2:$E$25,0),FALSE)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Y213" s="35">
        <f>HLOOKUP(REG_TRA_DEMANDS!Y$3,'BY-Demands'!$J$5:$AK$14,MATCH($E213,'BY-Demands'!$I$5:$I$14,0),FALSE)*HLOOKUP(REG_TRA_DEMANDS!$F213,DEMANDS!$G$2:$CK$25,MATCH($E213,DEMANDS!$E$2:$E$25,0),FALSE)/HLOOKUP(2018,DEMANDS!$G$2:$CK$25,MATCH($E213,DEMANDS!$E$2:$E$25,0),FALSE)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Z213" s="35">
        <f>HLOOKUP(REG_TRA_DEMANDS!Z$3,'BY-Demands'!$J$5:$AK$14,MATCH($E213,'BY-Demands'!$I$5:$I$14,0),FALSE)*HLOOKUP(REG_TRA_DEMANDS!$F213,DEMANDS!$G$2:$CK$25,MATCH($E213,DEMANDS!$E$2:$E$25,0),FALSE)/HLOOKUP(2018,DEMANDS!$G$2:$CK$25,MATCH($E213,DEMANDS!$E$2:$E$25,0),FALSE)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AA213" s="35">
        <f>HLOOKUP(REG_TRA_DEMANDS!AA$3,'BY-Demands'!$J$5:$AK$14,MATCH($E213,'BY-Demands'!$I$5:$I$14,0),FALSE)*HLOOKUP(REG_TRA_DEMANDS!$F213,DEMANDS!$G$2:$CK$25,MATCH($E213,DEMANDS!$E$2:$E$25,0),FALSE)/HLOOKUP(2018,DEMANDS!$G$2:$CK$25,MATCH($E213,DEMANDS!$E$2:$E$25,0),FALSE)</f>
        <v>9.2704554615074527E-05</v>
      </c>
      <c r="AB213" s="35">
        <f>HLOOKUP(REG_TRA_DEMANDS!AB$3,'BY-Demands'!$J$5:$AK$14,MATCH($E213,'BY-Demands'!$I$5:$I$14,0),FALSE)*HLOOKUP(REG_TRA_DEMANDS!$F213,DEMANDS!$G$2:$CK$25,MATCH($E213,DEMANDS!$E$2:$E$25,0),FALSE)/HLOOKUP(2018,DEMANDS!$G$2:$CK$25,MATCH($E213,DEMANDS!$E$2:$E$25,0),FALSE)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AC213" s="35">
        <f>HLOOKUP(REG_TRA_DEMANDS!AC$3,'BY-Demands'!$J$5:$AK$14,MATCH($E213,'BY-Demands'!$I$5:$I$14,0),FALSE)*HLOOKUP(REG_TRA_DEMANDS!$F213,DEMANDS!$G$2:$CK$25,MATCH($E213,DEMANDS!$E$2:$E$25,0),FALSE)/HLOOKUP(2018,DEMANDS!$G$2:$CK$25,MATCH($E213,DEMANDS!$E$2:$E$25,0),FALSE)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AD213" s="35">
        <f>HLOOKUP(REG_TRA_DEMANDS!AD$3,'BY-Demands'!$J$5:$AK$14,MATCH($E213,'BY-Demands'!$I$5:$I$14,0),FALSE)*HLOOKUP(REG_TRA_DEMANDS!$F213,DEMANDS!$G$2:$CK$25,MATCH($E213,DEMANDS!$E$2:$E$25,0),FALSE)/HLOOKUP(2018,DEMANDS!$G$2:$CK$25,MATCH($E213,DEMANDS!$E$2:$E$25,0),FALSE)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AE213" s="35">
        <f>HLOOKUP(REG_TRA_DEMANDS!AE$3,'BY-Demands'!$J$5:$AK$14,MATCH($E213,'BY-Demands'!$I$5:$I$14,0),FALSE)*HLOOKUP(REG_TRA_DEMANDS!$F213,DEMANDS!$G$2:$CK$25,MATCH($E213,DEMANDS!$E$2:$E$25,0),FALSE)/HLOOKUP(2018,DEMANDS!$G$2:$CK$25,MATCH($E213,DEMANDS!$E$2:$E$25,0),FALSE)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AF213" s="35">
        <f>HLOOKUP(REG_TRA_DEMANDS!AF$3,'BY-Demands'!$J$5:$AK$14,MATCH($E213,'BY-Demands'!$I$5:$I$14,0),FALSE)*HLOOKUP(REG_TRA_DEMANDS!$F213,DEMANDS!$G$2:$CK$25,MATCH($E213,DEMANDS!$E$2:$E$25,0),FALSE)/HLOOKUP(2018,DEMANDS!$G$2:$CK$25,MATCH($E213,DEMANDS!$E$2:$E$25,0),FALSE)</f>
        <v>0</v>
      </c>
    </row>
    <row r="214" spans="4:32" ht="14.4">
      <c r="D214" t="s">
        <v>6</v>
      </c>
      <c r="E214" t="str">
        <f>DEMANDS!$E$24</f>
        <v>TAVIDOM</v>
      </c>
      <c r="F214">
        <v>2045</v>
      </c>
      <c r="G214">
        <f>HLOOKUP(REG_TRA_DEMANDS!G$3,'BY-Demands'!$J$5:$AK$14,MATCH($E214,'BY-Demands'!$I$5:$I$14,0),FALSE)*HLOOKUP(REG_TRA_DEMANDS!$F214,DEMANDS!$G$2:$CK$25,MATCH($E214,DEMANDS!$E$2:$E$25,0),FALSE)/HLOOKUP(2018,DEMANDS!$G$2:$CK$25,MATCH($E214,DEMANDS!$E$2:$E$25,0),FALSE)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H214" s="18">
        <f>HLOOKUP(REG_TRA_DEMANDS!H$3,'BY-Demands'!$J$5:$AK$14,MATCH($E214,'BY-Demands'!$I$5:$I$14,0),FALSE)*HLOOKUP(REG_TRA_DEMANDS!$F214,DEMANDS!$G$2:$CK$25,MATCH($E214,DEMANDS!$E$2:$E$25,0),FALSE)/HLOOKUP(2018,DEMANDS!$G$2:$CK$25,MATCH($E214,DEMANDS!$E$2:$E$25,0),FALSE)</f>
        <v>0.13395677260860595</v>
      </c>
      <c r="I214" s="35">
        <f>HLOOKUP(REG_TRA_DEMANDS!I$3,'BY-Demands'!$J$5:$AK$14,MATCH($E214,'BY-Demands'!$I$5:$I$14,0),FALSE)*HLOOKUP(REG_TRA_DEMANDS!$F214,DEMANDS!$G$2:$CK$25,MATCH($E214,DEMANDS!$E$2:$E$25,0),FALSE)/HLOOKUP(2018,DEMANDS!$G$2:$CK$25,MATCH($E214,DEMANDS!$E$2:$E$25,0),FALSE)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J214" s="35">
        <f>HLOOKUP(REG_TRA_DEMANDS!J$3,'BY-Demands'!$J$5:$AK$14,MATCH($E214,'BY-Demands'!$I$5:$I$14,0),FALSE)*HLOOKUP(REG_TRA_DEMANDS!$F214,DEMANDS!$G$2:$CK$25,MATCH($E214,DEMANDS!$E$2:$E$25,0),FALSE)/HLOOKUP(2018,DEMANDS!$G$2:$CK$25,MATCH($E214,DEMANDS!$E$2:$E$25,0),FALSE)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K214" s="35">
        <f>HLOOKUP(REG_TRA_DEMANDS!K$3,'BY-Demands'!$J$5:$AK$14,MATCH($E214,'BY-Demands'!$I$5:$I$14,0),FALSE)*HLOOKUP(REG_TRA_DEMANDS!$F214,DEMANDS!$G$2:$CK$25,MATCH($E214,DEMANDS!$E$2:$E$25,0),FALSE)/HLOOKUP(2018,DEMANDS!$G$2:$CK$25,MATCH($E214,DEMANDS!$E$2:$E$25,0),FALSE)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L214" s="35">
        <f>HLOOKUP(REG_TRA_DEMANDS!L$3,'BY-Demands'!$J$5:$AK$14,MATCH($E214,'BY-Demands'!$I$5:$I$14,0),FALSE)*HLOOKUP(REG_TRA_DEMANDS!$F214,DEMANDS!$G$2:$CK$25,MATCH($E214,DEMANDS!$E$2:$E$25,0),FALSE)/HLOOKUP(2018,DEMANDS!$G$2:$CK$25,MATCH($E214,DEMANDS!$E$2:$E$25,0),FALSE)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M214" s="35">
        <f>HLOOKUP(REG_TRA_DEMANDS!M$3,'BY-Demands'!$J$5:$AK$14,MATCH($E214,'BY-Demands'!$I$5:$I$14,0),FALSE)*HLOOKUP(REG_TRA_DEMANDS!$F214,DEMANDS!$G$2:$CK$25,MATCH($E214,DEMANDS!$E$2:$E$25,0),FALSE)/HLOOKUP(2018,DEMANDS!$G$2:$CK$25,MATCH($E214,DEMANDS!$E$2:$E$25,0),FALSE)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N214" s="35">
        <f>HLOOKUP(REG_TRA_DEMANDS!N$3,'BY-Demands'!$J$5:$AK$14,MATCH($E214,'BY-Demands'!$I$5:$I$14,0),FALSE)*HLOOKUP(REG_TRA_DEMANDS!$F214,DEMANDS!$G$2:$CK$25,MATCH($E214,DEMANDS!$E$2:$E$25,0),FALSE)/HLOOKUP(2018,DEMANDS!$G$2:$CK$25,MATCH($E214,DEMANDS!$E$2:$E$25,0),FALSE)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O214" s="35">
        <f>HLOOKUP(REG_TRA_DEMANDS!O$3,'BY-Demands'!$J$5:$AK$14,MATCH($E214,'BY-Demands'!$I$5:$I$14,0),FALSE)*HLOOKUP(REG_TRA_DEMANDS!$F214,DEMANDS!$G$2:$CK$25,MATCH($E214,DEMANDS!$E$2:$E$25,0),FALSE)/HLOOKUP(2018,DEMANDS!$G$2:$CK$25,MATCH($E214,DEMANDS!$E$2:$E$25,0),FALSE)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P214" s="35">
        <f>HLOOKUP(REG_TRA_DEMANDS!P$3,'BY-Demands'!$J$5:$AK$14,MATCH($E214,'BY-Demands'!$I$5:$I$14,0),FALSE)*HLOOKUP(REG_TRA_DEMANDS!$F214,DEMANDS!$G$2:$CK$25,MATCH($E214,DEMANDS!$E$2:$E$25,0),FALSE)/HLOOKUP(2018,DEMANDS!$G$2:$CK$25,MATCH($E214,DEMANDS!$E$2:$E$25,0),FALSE)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Q214" s="35">
        <f>HLOOKUP(REG_TRA_DEMANDS!Q$3,'BY-Demands'!$J$5:$AK$14,MATCH($E214,'BY-Demands'!$I$5:$I$14,0),FALSE)*HLOOKUP(REG_TRA_DEMANDS!$F214,DEMANDS!$G$2:$CK$25,MATCH($E214,DEMANDS!$E$2:$E$25,0),FALSE)/HLOOKUP(2018,DEMANDS!$G$2:$CK$25,MATCH($E214,DEMANDS!$E$2:$E$25,0),FALSE)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R214" s="35">
        <f>HLOOKUP(REG_TRA_DEMANDS!R$3,'BY-Demands'!$J$5:$AK$14,MATCH($E214,'BY-Demands'!$I$5:$I$14,0),FALSE)*HLOOKUP(REG_TRA_DEMANDS!$F214,DEMANDS!$G$2:$CK$25,MATCH($E214,DEMANDS!$E$2:$E$25,0),FALSE)/HLOOKUP(2018,DEMANDS!$G$2:$CK$25,MATCH($E214,DEMANDS!$E$2:$E$25,0),FALSE)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S214" s="18">
        <f>HLOOKUP(REG_TRA_DEMANDS!S$3,'BY-Demands'!$J$5:$AK$14,MATCH($E214,'BY-Demands'!$I$5:$I$14,0),FALSE)*HLOOKUP(REG_TRA_DEMANDS!$F214,DEMANDS!$G$2:$CK$25,MATCH($E214,DEMANDS!$E$2:$E$25,0),FALSE)/HLOOKUP(2018,DEMANDS!$G$2:$CK$25,MATCH($E214,DEMANDS!$E$2:$E$25,0),FALSE)</f>
        <v>0.046779068407982807</v>
      </c>
      <c r="T214" s="18">
        <f>HLOOKUP(REG_TRA_DEMANDS!T$3,'BY-Demands'!$J$5:$AK$14,MATCH($E214,'BY-Demands'!$I$5:$I$14,0),FALSE)*HLOOKUP(REG_TRA_DEMANDS!$F214,DEMANDS!$G$2:$CK$25,MATCH($E214,DEMANDS!$E$2:$E$25,0),FALSE)/HLOOKUP(2018,DEMANDS!$G$2:$CK$25,MATCH($E214,DEMANDS!$E$2:$E$25,0),FALSE)</f>
        <v>0.00046352277307537207</v>
      </c>
      <c r="U214" s="18">
        <f>HLOOKUP(REG_TRA_DEMANDS!U$3,'BY-Demands'!$J$5:$AK$14,MATCH($E214,'BY-Demands'!$I$5:$I$14,0),FALSE)*HLOOKUP(REG_TRA_DEMANDS!$F214,DEMANDS!$G$2:$CK$25,MATCH($E214,DEMANDS!$E$2:$E$25,0),FALSE)/HLOOKUP(2018,DEMANDS!$G$2:$CK$25,MATCH($E214,DEMANDS!$E$2:$E$25,0),FALSE)</f>
        <v>0.046529102661710439</v>
      </c>
      <c r="V214" s="35">
        <f>HLOOKUP(REG_TRA_DEMANDS!V$3,'BY-Demands'!$J$5:$AK$14,MATCH($E214,'BY-Demands'!$I$5:$I$14,0),FALSE)*HLOOKUP(REG_TRA_DEMANDS!$F214,DEMANDS!$G$2:$CK$25,MATCH($E214,DEMANDS!$E$2:$E$25,0),FALSE)/HLOOKUP(2018,DEMANDS!$G$2:$CK$25,MATCH($E214,DEMANDS!$E$2:$E$25,0),FALSE)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W214" s="35">
        <f>HLOOKUP(REG_TRA_DEMANDS!W$3,'BY-Demands'!$J$5:$AK$14,MATCH($E214,'BY-Demands'!$I$5:$I$14,0),FALSE)*HLOOKUP(REG_TRA_DEMANDS!$F214,DEMANDS!$G$2:$CK$25,MATCH($E214,DEMANDS!$E$2:$E$25,0),FALSE)/HLOOKUP(2018,DEMANDS!$G$2:$CK$25,MATCH($E214,DEMANDS!$E$2:$E$25,0),FALSE)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X214" s="35">
        <f>HLOOKUP(REG_TRA_DEMANDS!X$3,'BY-Demands'!$J$5:$AK$14,MATCH($E214,'BY-Demands'!$I$5:$I$14,0),FALSE)*HLOOKUP(REG_TRA_DEMANDS!$F214,DEMANDS!$G$2:$CK$25,MATCH($E214,DEMANDS!$E$2:$E$25,0),FALSE)/HLOOKUP(2018,DEMANDS!$G$2:$CK$25,MATCH($E214,DEMANDS!$E$2:$E$25,0),FALSE)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Y214" s="35">
        <f>HLOOKUP(REG_TRA_DEMANDS!Y$3,'BY-Demands'!$J$5:$AK$14,MATCH($E214,'BY-Demands'!$I$5:$I$14,0),FALSE)*HLOOKUP(REG_TRA_DEMANDS!$F214,DEMANDS!$G$2:$CK$25,MATCH($E214,DEMANDS!$E$2:$E$25,0),FALSE)/HLOOKUP(2018,DEMANDS!$G$2:$CK$25,MATCH($E214,DEMANDS!$E$2:$E$25,0),FALSE)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Z214" s="35">
        <f>HLOOKUP(REG_TRA_DEMANDS!Z$3,'BY-Demands'!$J$5:$AK$14,MATCH($E214,'BY-Demands'!$I$5:$I$14,0),FALSE)*HLOOKUP(REG_TRA_DEMANDS!$F214,DEMANDS!$G$2:$CK$25,MATCH($E214,DEMANDS!$E$2:$E$25,0),FALSE)/HLOOKUP(2018,DEMANDS!$G$2:$CK$25,MATCH($E214,DEMANDS!$E$2:$E$25,0),FALSE)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AA214" s="35">
        <f>HLOOKUP(REG_TRA_DEMANDS!AA$3,'BY-Demands'!$J$5:$AK$14,MATCH($E214,'BY-Demands'!$I$5:$I$14,0),FALSE)*HLOOKUP(REG_TRA_DEMANDS!$F214,DEMANDS!$G$2:$CK$25,MATCH($E214,DEMANDS!$E$2:$E$25,0),FALSE)/HLOOKUP(2018,DEMANDS!$G$2:$CK$25,MATCH($E214,DEMANDS!$E$2:$E$25,0),FALSE)</f>
        <v>9.2704554615074527E-05</v>
      </c>
      <c r="AB214" s="35">
        <f>HLOOKUP(REG_TRA_DEMANDS!AB$3,'BY-Demands'!$J$5:$AK$14,MATCH($E214,'BY-Demands'!$I$5:$I$14,0),FALSE)*HLOOKUP(REG_TRA_DEMANDS!$F214,DEMANDS!$G$2:$CK$25,MATCH($E214,DEMANDS!$E$2:$E$25,0),FALSE)/HLOOKUP(2018,DEMANDS!$G$2:$CK$25,MATCH($E214,DEMANDS!$E$2:$E$25,0),FALSE)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AC214" s="35">
        <f>HLOOKUP(REG_TRA_DEMANDS!AC$3,'BY-Demands'!$J$5:$AK$14,MATCH($E214,'BY-Demands'!$I$5:$I$14,0),FALSE)*HLOOKUP(REG_TRA_DEMANDS!$F214,DEMANDS!$G$2:$CK$25,MATCH($E214,DEMANDS!$E$2:$E$25,0),FALSE)/HLOOKUP(2018,DEMANDS!$G$2:$CK$25,MATCH($E214,DEMANDS!$E$2:$E$25,0),FALSE)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AD214" s="35">
        <f>HLOOKUP(REG_TRA_DEMANDS!AD$3,'BY-Demands'!$J$5:$AK$14,MATCH($E214,'BY-Demands'!$I$5:$I$14,0),FALSE)*HLOOKUP(REG_TRA_DEMANDS!$F214,DEMANDS!$G$2:$CK$25,MATCH($E214,DEMANDS!$E$2:$E$25,0),FALSE)/HLOOKUP(2018,DEMANDS!$G$2:$CK$25,MATCH($E214,DEMANDS!$E$2:$E$25,0),FALSE)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AE214" s="35">
        <f>HLOOKUP(REG_TRA_DEMANDS!AE$3,'BY-Demands'!$J$5:$AK$14,MATCH($E214,'BY-Demands'!$I$5:$I$14,0),FALSE)*HLOOKUP(REG_TRA_DEMANDS!$F214,DEMANDS!$G$2:$CK$25,MATCH($E214,DEMANDS!$E$2:$E$25,0),FALSE)/HLOOKUP(2018,DEMANDS!$G$2:$CK$25,MATCH($E214,DEMANDS!$E$2:$E$25,0),FALSE)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AF214" s="35">
        <f>HLOOKUP(REG_TRA_DEMANDS!AF$3,'BY-Demands'!$J$5:$AK$14,MATCH($E214,'BY-Demands'!$I$5:$I$14,0),FALSE)*HLOOKUP(REG_TRA_DEMANDS!$F214,DEMANDS!$G$2:$CK$25,MATCH($E214,DEMANDS!$E$2:$E$25,0),FALSE)/HLOOKUP(2018,DEMANDS!$G$2:$CK$25,MATCH($E214,DEMANDS!$E$2:$E$25,0),FALSE)</f>
        <v>0</v>
      </c>
    </row>
    <row r="215" spans="4:32" ht="14.4">
      <c r="D215" t="s">
        <v>6</v>
      </c>
      <c r="E215" t="str">
        <f>DEMANDS!$E$24</f>
        <v>TAVIDOM</v>
      </c>
      <c r="F215">
        <v>2050</v>
      </c>
      <c r="G215">
        <f>HLOOKUP(REG_TRA_DEMANDS!G$3,'BY-Demands'!$J$5:$AK$14,MATCH($E215,'BY-Demands'!$I$5:$I$14,0),FALSE)*HLOOKUP(REG_TRA_DEMANDS!$F215,DEMANDS!$G$2:$CK$25,MATCH($E215,DEMANDS!$E$2:$E$25,0),FALSE)/HLOOKUP(2018,DEMANDS!$G$2:$CK$25,MATCH($E215,DEMANDS!$E$2:$E$25,0),FALSE)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H215" s="18">
        <f>HLOOKUP(REG_TRA_DEMANDS!H$3,'BY-Demands'!$J$5:$AK$14,MATCH($E215,'BY-Demands'!$I$5:$I$14,0),FALSE)*HLOOKUP(REG_TRA_DEMANDS!$F215,DEMANDS!$G$2:$CK$25,MATCH($E215,DEMANDS!$E$2:$E$25,0),FALSE)/HLOOKUP(2018,DEMANDS!$G$2:$CK$25,MATCH($E215,DEMANDS!$E$2:$E$25,0),FALSE)</f>
        <v>0.13395677260860595</v>
      </c>
      <c r="I215" s="35">
        <f>HLOOKUP(REG_TRA_DEMANDS!I$3,'BY-Demands'!$J$5:$AK$14,MATCH($E215,'BY-Demands'!$I$5:$I$14,0),FALSE)*HLOOKUP(REG_TRA_DEMANDS!$F215,DEMANDS!$G$2:$CK$25,MATCH($E215,DEMANDS!$E$2:$E$25,0),FALSE)/HLOOKUP(2018,DEMANDS!$G$2:$CK$25,MATCH($E215,DEMANDS!$E$2:$E$25,0),FALSE)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J215" s="35">
        <f>HLOOKUP(REG_TRA_DEMANDS!J$3,'BY-Demands'!$J$5:$AK$14,MATCH($E215,'BY-Demands'!$I$5:$I$14,0),FALSE)*HLOOKUP(REG_TRA_DEMANDS!$F215,DEMANDS!$G$2:$CK$25,MATCH($E215,DEMANDS!$E$2:$E$25,0),FALSE)/HLOOKUP(2018,DEMANDS!$G$2:$CK$25,MATCH($E215,DEMANDS!$E$2:$E$25,0),FALSE)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K215" s="35">
        <f>HLOOKUP(REG_TRA_DEMANDS!K$3,'BY-Demands'!$J$5:$AK$14,MATCH($E215,'BY-Demands'!$I$5:$I$14,0),FALSE)*HLOOKUP(REG_TRA_DEMANDS!$F215,DEMANDS!$G$2:$CK$25,MATCH($E215,DEMANDS!$E$2:$E$25,0),FALSE)/HLOOKUP(2018,DEMANDS!$G$2:$CK$25,MATCH($E215,DEMANDS!$E$2:$E$25,0),FALSE)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L215" s="35">
        <f>HLOOKUP(REG_TRA_DEMANDS!L$3,'BY-Demands'!$J$5:$AK$14,MATCH($E215,'BY-Demands'!$I$5:$I$14,0),FALSE)*HLOOKUP(REG_TRA_DEMANDS!$F215,DEMANDS!$G$2:$CK$25,MATCH($E215,DEMANDS!$E$2:$E$25,0),FALSE)/HLOOKUP(2018,DEMANDS!$G$2:$CK$25,MATCH($E215,DEMANDS!$E$2:$E$25,0),FALSE)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M215" s="35">
        <f>HLOOKUP(REG_TRA_DEMANDS!M$3,'BY-Demands'!$J$5:$AK$14,MATCH($E215,'BY-Demands'!$I$5:$I$14,0),FALSE)*HLOOKUP(REG_TRA_DEMANDS!$F215,DEMANDS!$G$2:$CK$25,MATCH($E215,DEMANDS!$E$2:$E$25,0),FALSE)/HLOOKUP(2018,DEMANDS!$G$2:$CK$25,MATCH($E215,DEMANDS!$E$2:$E$25,0),FALSE)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N215" s="35">
        <f>HLOOKUP(REG_TRA_DEMANDS!N$3,'BY-Demands'!$J$5:$AK$14,MATCH($E215,'BY-Demands'!$I$5:$I$14,0),FALSE)*HLOOKUP(REG_TRA_DEMANDS!$F215,DEMANDS!$G$2:$CK$25,MATCH($E215,DEMANDS!$E$2:$E$25,0),FALSE)/HLOOKUP(2018,DEMANDS!$G$2:$CK$25,MATCH($E215,DEMANDS!$E$2:$E$25,0),FALSE)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O215" s="35">
        <f>HLOOKUP(REG_TRA_DEMANDS!O$3,'BY-Demands'!$J$5:$AK$14,MATCH($E215,'BY-Demands'!$I$5:$I$14,0),FALSE)*HLOOKUP(REG_TRA_DEMANDS!$F215,DEMANDS!$G$2:$CK$25,MATCH($E215,DEMANDS!$E$2:$E$25,0),FALSE)/HLOOKUP(2018,DEMANDS!$G$2:$CK$25,MATCH($E215,DEMANDS!$E$2:$E$25,0),FALSE)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P215" s="35">
        <f>HLOOKUP(REG_TRA_DEMANDS!P$3,'BY-Demands'!$J$5:$AK$14,MATCH($E215,'BY-Demands'!$I$5:$I$14,0),FALSE)*HLOOKUP(REG_TRA_DEMANDS!$F215,DEMANDS!$G$2:$CK$25,MATCH($E215,DEMANDS!$E$2:$E$25,0),FALSE)/HLOOKUP(2018,DEMANDS!$G$2:$CK$25,MATCH($E215,DEMANDS!$E$2:$E$25,0),FALSE)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Q215" s="35">
        <f>HLOOKUP(REG_TRA_DEMANDS!Q$3,'BY-Demands'!$J$5:$AK$14,MATCH($E215,'BY-Demands'!$I$5:$I$14,0),FALSE)*HLOOKUP(REG_TRA_DEMANDS!$F215,DEMANDS!$G$2:$CK$25,MATCH($E215,DEMANDS!$E$2:$E$25,0),FALSE)/HLOOKUP(2018,DEMANDS!$G$2:$CK$25,MATCH($E215,DEMANDS!$E$2:$E$25,0),FALSE)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R215" s="35">
        <f>HLOOKUP(REG_TRA_DEMANDS!R$3,'BY-Demands'!$J$5:$AK$14,MATCH($E215,'BY-Demands'!$I$5:$I$14,0),FALSE)*HLOOKUP(REG_TRA_DEMANDS!$F215,DEMANDS!$G$2:$CK$25,MATCH($E215,DEMANDS!$E$2:$E$25,0),FALSE)/HLOOKUP(2018,DEMANDS!$G$2:$CK$25,MATCH($E215,DEMANDS!$E$2:$E$25,0),FALSE)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S215" s="18">
        <f>HLOOKUP(REG_TRA_DEMANDS!S$3,'BY-Demands'!$J$5:$AK$14,MATCH($E215,'BY-Demands'!$I$5:$I$14,0),FALSE)*HLOOKUP(REG_TRA_DEMANDS!$F215,DEMANDS!$G$2:$CK$25,MATCH($E215,DEMANDS!$E$2:$E$25,0),FALSE)/HLOOKUP(2018,DEMANDS!$G$2:$CK$25,MATCH($E215,DEMANDS!$E$2:$E$25,0),FALSE)</f>
        <v>0.046779068407982807</v>
      </c>
      <c r="T215" s="18">
        <f>HLOOKUP(REG_TRA_DEMANDS!T$3,'BY-Demands'!$J$5:$AK$14,MATCH($E215,'BY-Demands'!$I$5:$I$14,0),FALSE)*HLOOKUP(REG_TRA_DEMANDS!$F215,DEMANDS!$G$2:$CK$25,MATCH($E215,DEMANDS!$E$2:$E$25,0),FALSE)/HLOOKUP(2018,DEMANDS!$G$2:$CK$25,MATCH($E215,DEMANDS!$E$2:$E$25,0),FALSE)</f>
        <v>0.00046352277307537207</v>
      </c>
      <c r="U215" s="18">
        <f>HLOOKUP(REG_TRA_DEMANDS!U$3,'BY-Demands'!$J$5:$AK$14,MATCH($E215,'BY-Demands'!$I$5:$I$14,0),FALSE)*HLOOKUP(REG_TRA_DEMANDS!$F215,DEMANDS!$G$2:$CK$25,MATCH($E215,DEMANDS!$E$2:$E$25,0),FALSE)/HLOOKUP(2018,DEMANDS!$G$2:$CK$25,MATCH($E215,DEMANDS!$E$2:$E$25,0),FALSE)</f>
        <v>0.046529102661710439</v>
      </c>
      <c r="V215" s="35">
        <f>HLOOKUP(REG_TRA_DEMANDS!V$3,'BY-Demands'!$J$5:$AK$14,MATCH($E215,'BY-Demands'!$I$5:$I$14,0),FALSE)*HLOOKUP(REG_TRA_DEMANDS!$F215,DEMANDS!$G$2:$CK$25,MATCH($E215,DEMANDS!$E$2:$E$25,0),FALSE)/HLOOKUP(2018,DEMANDS!$G$2:$CK$25,MATCH($E215,DEMANDS!$E$2:$E$25,0),FALSE)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W215" s="35">
        <f>HLOOKUP(REG_TRA_DEMANDS!W$3,'BY-Demands'!$J$5:$AK$14,MATCH($E215,'BY-Demands'!$I$5:$I$14,0),FALSE)*HLOOKUP(REG_TRA_DEMANDS!$F215,DEMANDS!$G$2:$CK$25,MATCH($E215,DEMANDS!$E$2:$E$25,0),FALSE)/HLOOKUP(2018,DEMANDS!$G$2:$CK$25,MATCH($E215,DEMANDS!$E$2:$E$25,0),FALSE)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X215" s="35">
        <f>HLOOKUP(REG_TRA_DEMANDS!X$3,'BY-Demands'!$J$5:$AK$14,MATCH($E215,'BY-Demands'!$I$5:$I$14,0),FALSE)*HLOOKUP(REG_TRA_DEMANDS!$F215,DEMANDS!$G$2:$CK$25,MATCH($E215,DEMANDS!$E$2:$E$25,0),FALSE)/HLOOKUP(2018,DEMANDS!$G$2:$CK$25,MATCH($E215,DEMANDS!$E$2:$E$25,0),FALSE)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Y215" s="35">
        <f>HLOOKUP(REG_TRA_DEMANDS!Y$3,'BY-Demands'!$J$5:$AK$14,MATCH($E215,'BY-Demands'!$I$5:$I$14,0),FALSE)*HLOOKUP(REG_TRA_DEMANDS!$F215,DEMANDS!$G$2:$CK$25,MATCH($E215,DEMANDS!$E$2:$E$25,0),FALSE)/HLOOKUP(2018,DEMANDS!$G$2:$CK$25,MATCH($E215,DEMANDS!$E$2:$E$25,0),FALSE)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Z215" s="35">
        <f>HLOOKUP(REG_TRA_DEMANDS!Z$3,'BY-Demands'!$J$5:$AK$14,MATCH($E215,'BY-Demands'!$I$5:$I$14,0),FALSE)*HLOOKUP(REG_TRA_DEMANDS!$F215,DEMANDS!$G$2:$CK$25,MATCH($E215,DEMANDS!$E$2:$E$25,0),FALSE)/HLOOKUP(2018,DEMANDS!$G$2:$CK$25,MATCH($E215,DEMANDS!$E$2:$E$25,0),FALSE)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AA215" s="35">
        <f>HLOOKUP(REG_TRA_DEMANDS!AA$3,'BY-Demands'!$J$5:$AK$14,MATCH($E215,'BY-Demands'!$I$5:$I$14,0),FALSE)*HLOOKUP(REG_TRA_DEMANDS!$F215,DEMANDS!$G$2:$CK$25,MATCH($E215,DEMANDS!$E$2:$E$25,0),FALSE)/HLOOKUP(2018,DEMANDS!$G$2:$CK$25,MATCH($E215,DEMANDS!$E$2:$E$25,0),FALSE)</f>
        <v>9.2704554615074527E-05</v>
      </c>
      <c r="AB215" s="35">
        <f>HLOOKUP(REG_TRA_DEMANDS!AB$3,'BY-Demands'!$J$5:$AK$14,MATCH($E215,'BY-Demands'!$I$5:$I$14,0),FALSE)*HLOOKUP(REG_TRA_DEMANDS!$F215,DEMANDS!$G$2:$CK$25,MATCH($E215,DEMANDS!$E$2:$E$25,0),FALSE)/HLOOKUP(2018,DEMANDS!$G$2:$CK$25,MATCH($E215,DEMANDS!$E$2:$E$25,0),FALSE)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AC215" s="35">
        <f>HLOOKUP(REG_TRA_DEMANDS!AC$3,'BY-Demands'!$J$5:$AK$14,MATCH($E215,'BY-Demands'!$I$5:$I$14,0),FALSE)*HLOOKUP(REG_TRA_DEMANDS!$F215,DEMANDS!$G$2:$CK$25,MATCH($E215,DEMANDS!$E$2:$E$25,0),FALSE)/HLOOKUP(2018,DEMANDS!$G$2:$CK$25,MATCH($E215,DEMANDS!$E$2:$E$25,0),FALSE)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AD215" s="35">
        <f>HLOOKUP(REG_TRA_DEMANDS!AD$3,'BY-Demands'!$J$5:$AK$14,MATCH($E215,'BY-Demands'!$I$5:$I$14,0),FALSE)*HLOOKUP(REG_TRA_DEMANDS!$F215,DEMANDS!$G$2:$CK$25,MATCH($E215,DEMANDS!$E$2:$E$25,0),FALSE)/HLOOKUP(2018,DEMANDS!$G$2:$CK$25,MATCH($E215,DEMANDS!$E$2:$E$25,0),FALSE)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AE215" s="35">
        <f>HLOOKUP(REG_TRA_DEMANDS!AE$3,'BY-Demands'!$J$5:$AK$14,MATCH($E215,'BY-Demands'!$I$5:$I$14,0),FALSE)*HLOOKUP(REG_TRA_DEMANDS!$F215,DEMANDS!$G$2:$CK$25,MATCH($E215,DEMANDS!$E$2:$E$25,0),FALSE)/HLOOKUP(2018,DEMANDS!$G$2:$CK$25,MATCH($E215,DEMANDS!$E$2:$E$25,0),FALSE)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AF215" s="35">
        <f>HLOOKUP(REG_TRA_DEMANDS!AF$3,'BY-Demands'!$J$5:$AK$14,MATCH($E215,'BY-Demands'!$I$5:$I$14,0),FALSE)*HLOOKUP(REG_TRA_DEMANDS!$F215,DEMANDS!$G$2:$CK$25,MATCH($E215,DEMANDS!$E$2:$E$25,0),FALSE)/HLOOKUP(2018,DEMANDS!$G$2:$CK$25,MATCH($E215,DEMANDS!$E$2:$E$25,0),FALSE)</f>
        <v>0</v>
      </c>
    </row>
    <row r="216" spans="4:32" ht="14.4">
      <c r="D216" t="s">
        <v>6</v>
      </c>
      <c r="E216" t="str">
        <f>DEMANDS!$E$24</f>
        <v>TAVIDOM</v>
      </c>
      <c r="F216">
        <v>2055</v>
      </c>
      <c r="G216">
        <f>HLOOKUP(REG_TRA_DEMANDS!G$3,'BY-Demands'!$J$5:$AK$14,MATCH($E216,'BY-Demands'!$I$5:$I$14,0),FALSE)*HLOOKUP(REG_TRA_DEMANDS!$F216,DEMANDS!$G$2:$CK$25,MATCH($E216,DEMANDS!$E$2:$E$25,0),FALSE)/HLOOKUP(2018,DEMANDS!$G$2:$CK$25,MATCH($E216,DEMANDS!$E$2:$E$25,0),FALSE)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H216" s="18">
        <f>HLOOKUP(REG_TRA_DEMANDS!H$3,'BY-Demands'!$J$5:$AK$14,MATCH($E216,'BY-Demands'!$I$5:$I$14,0),FALSE)*HLOOKUP(REG_TRA_DEMANDS!$F216,DEMANDS!$G$2:$CK$25,MATCH($E216,DEMANDS!$E$2:$E$25,0),FALSE)/HLOOKUP(2018,DEMANDS!$G$2:$CK$25,MATCH($E216,DEMANDS!$E$2:$E$25,0),FALSE)</f>
        <v>0.13395677260860595</v>
      </c>
      <c r="I216" s="35">
        <f>HLOOKUP(REG_TRA_DEMANDS!I$3,'BY-Demands'!$J$5:$AK$14,MATCH($E216,'BY-Demands'!$I$5:$I$14,0),FALSE)*HLOOKUP(REG_TRA_DEMANDS!$F216,DEMANDS!$G$2:$CK$25,MATCH($E216,DEMANDS!$E$2:$E$25,0),FALSE)/HLOOKUP(2018,DEMANDS!$G$2:$CK$25,MATCH($E216,DEMANDS!$E$2:$E$25,0),FALSE)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J216" s="35">
        <f>HLOOKUP(REG_TRA_DEMANDS!J$3,'BY-Demands'!$J$5:$AK$14,MATCH($E216,'BY-Demands'!$I$5:$I$14,0),FALSE)*HLOOKUP(REG_TRA_DEMANDS!$F216,DEMANDS!$G$2:$CK$25,MATCH($E216,DEMANDS!$E$2:$E$25,0),FALSE)/HLOOKUP(2018,DEMANDS!$G$2:$CK$25,MATCH($E216,DEMANDS!$E$2:$E$25,0),FALSE)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K216" s="35">
        <f>HLOOKUP(REG_TRA_DEMANDS!K$3,'BY-Demands'!$J$5:$AK$14,MATCH($E216,'BY-Demands'!$I$5:$I$14,0),FALSE)*HLOOKUP(REG_TRA_DEMANDS!$F216,DEMANDS!$G$2:$CK$25,MATCH($E216,DEMANDS!$E$2:$E$25,0),FALSE)/HLOOKUP(2018,DEMANDS!$G$2:$CK$25,MATCH($E216,DEMANDS!$E$2:$E$25,0),FALSE)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L216" s="35">
        <f>HLOOKUP(REG_TRA_DEMANDS!L$3,'BY-Demands'!$J$5:$AK$14,MATCH($E216,'BY-Demands'!$I$5:$I$14,0),FALSE)*HLOOKUP(REG_TRA_DEMANDS!$F216,DEMANDS!$G$2:$CK$25,MATCH($E216,DEMANDS!$E$2:$E$25,0),FALSE)/HLOOKUP(2018,DEMANDS!$G$2:$CK$25,MATCH($E216,DEMANDS!$E$2:$E$25,0),FALSE)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M216" s="35">
        <f>HLOOKUP(REG_TRA_DEMANDS!M$3,'BY-Demands'!$J$5:$AK$14,MATCH($E216,'BY-Demands'!$I$5:$I$14,0),FALSE)*HLOOKUP(REG_TRA_DEMANDS!$F216,DEMANDS!$G$2:$CK$25,MATCH($E216,DEMANDS!$E$2:$E$25,0),FALSE)/HLOOKUP(2018,DEMANDS!$G$2:$CK$25,MATCH($E216,DEMANDS!$E$2:$E$25,0),FALSE)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N216" s="35">
        <f>HLOOKUP(REG_TRA_DEMANDS!N$3,'BY-Demands'!$J$5:$AK$14,MATCH($E216,'BY-Demands'!$I$5:$I$14,0),FALSE)*HLOOKUP(REG_TRA_DEMANDS!$F216,DEMANDS!$G$2:$CK$25,MATCH($E216,DEMANDS!$E$2:$E$25,0),FALSE)/HLOOKUP(2018,DEMANDS!$G$2:$CK$25,MATCH($E216,DEMANDS!$E$2:$E$25,0),FALSE)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O216" s="35">
        <f>HLOOKUP(REG_TRA_DEMANDS!O$3,'BY-Demands'!$J$5:$AK$14,MATCH($E216,'BY-Demands'!$I$5:$I$14,0),FALSE)*HLOOKUP(REG_TRA_DEMANDS!$F216,DEMANDS!$G$2:$CK$25,MATCH($E216,DEMANDS!$E$2:$E$25,0),FALSE)/HLOOKUP(2018,DEMANDS!$G$2:$CK$25,MATCH($E216,DEMANDS!$E$2:$E$25,0),FALSE)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P216" s="35">
        <f>HLOOKUP(REG_TRA_DEMANDS!P$3,'BY-Demands'!$J$5:$AK$14,MATCH($E216,'BY-Demands'!$I$5:$I$14,0),FALSE)*HLOOKUP(REG_TRA_DEMANDS!$F216,DEMANDS!$G$2:$CK$25,MATCH($E216,DEMANDS!$E$2:$E$25,0),FALSE)/HLOOKUP(2018,DEMANDS!$G$2:$CK$25,MATCH($E216,DEMANDS!$E$2:$E$25,0),FALSE)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Q216" s="35">
        <f>HLOOKUP(REG_TRA_DEMANDS!Q$3,'BY-Demands'!$J$5:$AK$14,MATCH($E216,'BY-Demands'!$I$5:$I$14,0),FALSE)*HLOOKUP(REG_TRA_DEMANDS!$F216,DEMANDS!$G$2:$CK$25,MATCH($E216,DEMANDS!$E$2:$E$25,0),FALSE)/HLOOKUP(2018,DEMANDS!$G$2:$CK$25,MATCH($E216,DEMANDS!$E$2:$E$25,0),FALSE)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R216" s="35">
        <f>HLOOKUP(REG_TRA_DEMANDS!R$3,'BY-Demands'!$J$5:$AK$14,MATCH($E216,'BY-Demands'!$I$5:$I$14,0),FALSE)*HLOOKUP(REG_TRA_DEMANDS!$F216,DEMANDS!$G$2:$CK$25,MATCH($E216,DEMANDS!$E$2:$E$25,0),FALSE)/HLOOKUP(2018,DEMANDS!$G$2:$CK$25,MATCH($E216,DEMANDS!$E$2:$E$25,0),FALSE)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S216" s="18">
        <f>HLOOKUP(REG_TRA_DEMANDS!S$3,'BY-Demands'!$J$5:$AK$14,MATCH($E216,'BY-Demands'!$I$5:$I$14,0),FALSE)*HLOOKUP(REG_TRA_DEMANDS!$F216,DEMANDS!$G$2:$CK$25,MATCH($E216,DEMANDS!$E$2:$E$25,0),FALSE)/HLOOKUP(2018,DEMANDS!$G$2:$CK$25,MATCH($E216,DEMANDS!$E$2:$E$25,0),FALSE)</f>
        <v>0.046779068407982807</v>
      </c>
      <c r="T216" s="18">
        <f>HLOOKUP(REG_TRA_DEMANDS!T$3,'BY-Demands'!$J$5:$AK$14,MATCH($E216,'BY-Demands'!$I$5:$I$14,0),FALSE)*HLOOKUP(REG_TRA_DEMANDS!$F216,DEMANDS!$G$2:$CK$25,MATCH($E216,DEMANDS!$E$2:$E$25,0),FALSE)/HLOOKUP(2018,DEMANDS!$G$2:$CK$25,MATCH($E216,DEMANDS!$E$2:$E$25,0),FALSE)</f>
        <v>0.00046352277307537207</v>
      </c>
      <c r="U216" s="18">
        <f>HLOOKUP(REG_TRA_DEMANDS!U$3,'BY-Demands'!$J$5:$AK$14,MATCH($E216,'BY-Demands'!$I$5:$I$14,0),FALSE)*HLOOKUP(REG_TRA_DEMANDS!$F216,DEMANDS!$G$2:$CK$25,MATCH($E216,DEMANDS!$E$2:$E$25,0),FALSE)/HLOOKUP(2018,DEMANDS!$G$2:$CK$25,MATCH($E216,DEMANDS!$E$2:$E$25,0),FALSE)</f>
        <v>0.046529102661710439</v>
      </c>
      <c r="V216" s="35">
        <f>HLOOKUP(REG_TRA_DEMANDS!V$3,'BY-Demands'!$J$5:$AK$14,MATCH($E216,'BY-Demands'!$I$5:$I$14,0),FALSE)*HLOOKUP(REG_TRA_DEMANDS!$F216,DEMANDS!$G$2:$CK$25,MATCH($E216,DEMANDS!$E$2:$E$25,0),FALSE)/HLOOKUP(2018,DEMANDS!$G$2:$CK$25,MATCH($E216,DEMANDS!$E$2:$E$25,0),FALSE)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W216" s="35">
        <f>HLOOKUP(REG_TRA_DEMANDS!W$3,'BY-Demands'!$J$5:$AK$14,MATCH($E216,'BY-Demands'!$I$5:$I$14,0),FALSE)*HLOOKUP(REG_TRA_DEMANDS!$F216,DEMANDS!$G$2:$CK$25,MATCH($E216,DEMANDS!$E$2:$E$25,0),FALSE)/HLOOKUP(2018,DEMANDS!$G$2:$CK$25,MATCH($E216,DEMANDS!$E$2:$E$25,0),FALSE)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X216" s="35">
        <f>HLOOKUP(REG_TRA_DEMANDS!X$3,'BY-Demands'!$J$5:$AK$14,MATCH($E216,'BY-Demands'!$I$5:$I$14,0),FALSE)*HLOOKUP(REG_TRA_DEMANDS!$F216,DEMANDS!$G$2:$CK$25,MATCH($E216,DEMANDS!$E$2:$E$25,0),FALSE)/HLOOKUP(2018,DEMANDS!$G$2:$CK$25,MATCH($E216,DEMANDS!$E$2:$E$25,0),FALSE)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Y216" s="35">
        <f>HLOOKUP(REG_TRA_DEMANDS!Y$3,'BY-Demands'!$J$5:$AK$14,MATCH($E216,'BY-Demands'!$I$5:$I$14,0),FALSE)*HLOOKUP(REG_TRA_DEMANDS!$F216,DEMANDS!$G$2:$CK$25,MATCH($E216,DEMANDS!$E$2:$E$25,0),FALSE)/HLOOKUP(2018,DEMANDS!$G$2:$CK$25,MATCH($E216,DEMANDS!$E$2:$E$25,0),FALSE)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Z216" s="35">
        <f>HLOOKUP(REG_TRA_DEMANDS!Z$3,'BY-Demands'!$J$5:$AK$14,MATCH($E216,'BY-Demands'!$I$5:$I$14,0),FALSE)*HLOOKUP(REG_TRA_DEMANDS!$F216,DEMANDS!$G$2:$CK$25,MATCH($E216,DEMANDS!$E$2:$E$25,0),FALSE)/HLOOKUP(2018,DEMANDS!$G$2:$CK$25,MATCH($E216,DEMANDS!$E$2:$E$25,0),FALSE)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AA216" s="35">
        <f>HLOOKUP(REG_TRA_DEMANDS!AA$3,'BY-Demands'!$J$5:$AK$14,MATCH($E216,'BY-Demands'!$I$5:$I$14,0),FALSE)*HLOOKUP(REG_TRA_DEMANDS!$F216,DEMANDS!$G$2:$CK$25,MATCH($E216,DEMANDS!$E$2:$E$25,0),FALSE)/HLOOKUP(2018,DEMANDS!$G$2:$CK$25,MATCH($E216,DEMANDS!$E$2:$E$25,0),FALSE)</f>
        <v>9.2704554615074527E-05</v>
      </c>
      <c r="AB216" s="35">
        <f>HLOOKUP(REG_TRA_DEMANDS!AB$3,'BY-Demands'!$J$5:$AK$14,MATCH($E216,'BY-Demands'!$I$5:$I$14,0),FALSE)*HLOOKUP(REG_TRA_DEMANDS!$F216,DEMANDS!$G$2:$CK$25,MATCH($E216,DEMANDS!$E$2:$E$25,0),FALSE)/HLOOKUP(2018,DEMANDS!$G$2:$CK$25,MATCH($E216,DEMANDS!$E$2:$E$25,0),FALSE)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AC216" s="35">
        <f>HLOOKUP(REG_TRA_DEMANDS!AC$3,'BY-Demands'!$J$5:$AK$14,MATCH($E216,'BY-Demands'!$I$5:$I$14,0),FALSE)*HLOOKUP(REG_TRA_DEMANDS!$F216,DEMANDS!$G$2:$CK$25,MATCH($E216,DEMANDS!$E$2:$E$25,0),FALSE)/HLOOKUP(2018,DEMANDS!$G$2:$CK$25,MATCH($E216,DEMANDS!$E$2:$E$25,0),FALSE)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AD216" s="35">
        <f>HLOOKUP(REG_TRA_DEMANDS!AD$3,'BY-Demands'!$J$5:$AK$14,MATCH($E216,'BY-Demands'!$I$5:$I$14,0),FALSE)*HLOOKUP(REG_TRA_DEMANDS!$F216,DEMANDS!$G$2:$CK$25,MATCH($E216,DEMANDS!$E$2:$E$25,0),FALSE)/HLOOKUP(2018,DEMANDS!$G$2:$CK$25,MATCH($E216,DEMANDS!$E$2:$E$25,0),FALSE)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AE216" s="35">
        <f>HLOOKUP(REG_TRA_DEMANDS!AE$3,'BY-Demands'!$J$5:$AK$14,MATCH($E216,'BY-Demands'!$I$5:$I$14,0),FALSE)*HLOOKUP(REG_TRA_DEMANDS!$F216,DEMANDS!$G$2:$CK$25,MATCH($E216,DEMANDS!$E$2:$E$25,0),FALSE)/HLOOKUP(2018,DEMANDS!$G$2:$CK$25,MATCH($E216,DEMANDS!$E$2:$E$25,0),FALSE)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AF216" s="35">
        <f>HLOOKUP(REG_TRA_DEMANDS!AF$3,'BY-Demands'!$J$5:$AK$14,MATCH($E216,'BY-Demands'!$I$5:$I$14,0),FALSE)*HLOOKUP(REG_TRA_DEMANDS!$F216,DEMANDS!$G$2:$CK$25,MATCH($E216,DEMANDS!$E$2:$E$25,0),FALSE)/HLOOKUP(2018,DEMANDS!$G$2:$CK$25,MATCH($E216,DEMANDS!$E$2:$E$25,0),FALSE)</f>
        <v>0</v>
      </c>
    </row>
    <row r="217" spans="4:32" ht="14.4">
      <c r="D217" t="s">
        <v>6</v>
      </c>
      <c r="E217" t="str">
        <f>DEMANDS!$E$24</f>
        <v>TAVIDOM</v>
      </c>
      <c r="F217">
        <v>2060</v>
      </c>
      <c r="G217">
        <f>HLOOKUP(REG_TRA_DEMANDS!G$3,'BY-Demands'!$J$5:$AK$14,MATCH($E217,'BY-Demands'!$I$5:$I$14,0),FALSE)*HLOOKUP(REG_TRA_DEMANDS!$F217,DEMANDS!$G$2:$CK$25,MATCH($E217,DEMANDS!$E$2:$E$25,0),FALSE)/HLOOKUP(2018,DEMANDS!$G$2:$CK$25,MATCH($E217,DEMANDS!$E$2:$E$25,0),FALSE)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H217" s="18">
        <f>HLOOKUP(REG_TRA_DEMANDS!H$3,'BY-Demands'!$J$5:$AK$14,MATCH($E217,'BY-Demands'!$I$5:$I$14,0),FALSE)*HLOOKUP(REG_TRA_DEMANDS!$F217,DEMANDS!$G$2:$CK$25,MATCH($E217,DEMANDS!$E$2:$E$25,0),FALSE)/HLOOKUP(2018,DEMANDS!$G$2:$CK$25,MATCH($E217,DEMANDS!$E$2:$E$25,0),FALSE)</f>
        <v>0.13395677260860595</v>
      </c>
      <c r="I217" s="35">
        <f>HLOOKUP(REG_TRA_DEMANDS!I$3,'BY-Demands'!$J$5:$AK$14,MATCH($E217,'BY-Demands'!$I$5:$I$14,0),FALSE)*HLOOKUP(REG_TRA_DEMANDS!$F217,DEMANDS!$G$2:$CK$25,MATCH($E217,DEMANDS!$E$2:$E$25,0),FALSE)/HLOOKUP(2018,DEMANDS!$G$2:$CK$25,MATCH($E217,DEMANDS!$E$2:$E$25,0),FALSE)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J217" s="35">
        <f>HLOOKUP(REG_TRA_DEMANDS!J$3,'BY-Demands'!$J$5:$AK$14,MATCH($E217,'BY-Demands'!$I$5:$I$14,0),FALSE)*HLOOKUP(REG_TRA_DEMANDS!$F217,DEMANDS!$G$2:$CK$25,MATCH($E217,DEMANDS!$E$2:$E$25,0),FALSE)/HLOOKUP(2018,DEMANDS!$G$2:$CK$25,MATCH($E217,DEMANDS!$E$2:$E$25,0),FALSE)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K217" s="35">
        <f>HLOOKUP(REG_TRA_DEMANDS!K$3,'BY-Demands'!$J$5:$AK$14,MATCH($E217,'BY-Demands'!$I$5:$I$14,0),FALSE)*HLOOKUP(REG_TRA_DEMANDS!$F217,DEMANDS!$G$2:$CK$25,MATCH($E217,DEMANDS!$E$2:$E$25,0),FALSE)/HLOOKUP(2018,DEMANDS!$G$2:$CK$25,MATCH($E217,DEMANDS!$E$2:$E$25,0),FALSE)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L217" s="35">
        <f>HLOOKUP(REG_TRA_DEMANDS!L$3,'BY-Demands'!$J$5:$AK$14,MATCH($E217,'BY-Demands'!$I$5:$I$14,0),FALSE)*HLOOKUP(REG_TRA_DEMANDS!$F217,DEMANDS!$G$2:$CK$25,MATCH($E217,DEMANDS!$E$2:$E$25,0),FALSE)/HLOOKUP(2018,DEMANDS!$G$2:$CK$25,MATCH($E217,DEMANDS!$E$2:$E$25,0),FALSE)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M217" s="35">
        <f>HLOOKUP(REG_TRA_DEMANDS!M$3,'BY-Demands'!$J$5:$AK$14,MATCH($E217,'BY-Demands'!$I$5:$I$14,0),FALSE)*HLOOKUP(REG_TRA_DEMANDS!$F217,DEMANDS!$G$2:$CK$25,MATCH($E217,DEMANDS!$E$2:$E$25,0),FALSE)/HLOOKUP(2018,DEMANDS!$G$2:$CK$25,MATCH($E217,DEMANDS!$E$2:$E$25,0),FALSE)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N217" s="35">
        <f>HLOOKUP(REG_TRA_DEMANDS!N$3,'BY-Demands'!$J$5:$AK$14,MATCH($E217,'BY-Demands'!$I$5:$I$14,0),FALSE)*HLOOKUP(REG_TRA_DEMANDS!$F217,DEMANDS!$G$2:$CK$25,MATCH($E217,DEMANDS!$E$2:$E$25,0),FALSE)/HLOOKUP(2018,DEMANDS!$G$2:$CK$25,MATCH($E217,DEMANDS!$E$2:$E$25,0),FALSE)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O217" s="35">
        <f>HLOOKUP(REG_TRA_DEMANDS!O$3,'BY-Demands'!$J$5:$AK$14,MATCH($E217,'BY-Demands'!$I$5:$I$14,0),FALSE)*HLOOKUP(REG_TRA_DEMANDS!$F217,DEMANDS!$G$2:$CK$25,MATCH($E217,DEMANDS!$E$2:$E$25,0),FALSE)/HLOOKUP(2018,DEMANDS!$G$2:$CK$25,MATCH($E217,DEMANDS!$E$2:$E$25,0),FALSE)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P217" s="35">
        <f>HLOOKUP(REG_TRA_DEMANDS!P$3,'BY-Demands'!$J$5:$AK$14,MATCH($E217,'BY-Demands'!$I$5:$I$14,0),FALSE)*HLOOKUP(REG_TRA_DEMANDS!$F217,DEMANDS!$G$2:$CK$25,MATCH($E217,DEMANDS!$E$2:$E$25,0),FALSE)/HLOOKUP(2018,DEMANDS!$G$2:$CK$25,MATCH($E217,DEMANDS!$E$2:$E$25,0),FALSE)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Q217" s="35">
        <f>HLOOKUP(REG_TRA_DEMANDS!Q$3,'BY-Demands'!$J$5:$AK$14,MATCH($E217,'BY-Demands'!$I$5:$I$14,0),FALSE)*HLOOKUP(REG_TRA_DEMANDS!$F217,DEMANDS!$G$2:$CK$25,MATCH($E217,DEMANDS!$E$2:$E$25,0),FALSE)/HLOOKUP(2018,DEMANDS!$G$2:$CK$25,MATCH($E217,DEMANDS!$E$2:$E$25,0),FALSE)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R217" s="35">
        <f>HLOOKUP(REG_TRA_DEMANDS!R$3,'BY-Demands'!$J$5:$AK$14,MATCH($E217,'BY-Demands'!$I$5:$I$14,0),FALSE)*HLOOKUP(REG_TRA_DEMANDS!$F217,DEMANDS!$G$2:$CK$25,MATCH($E217,DEMANDS!$E$2:$E$25,0),FALSE)/HLOOKUP(2018,DEMANDS!$G$2:$CK$25,MATCH($E217,DEMANDS!$E$2:$E$25,0),FALSE)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S217" s="18">
        <f>HLOOKUP(REG_TRA_DEMANDS!S$3,'BY-Demands'!$J$5:$AK$14,MATCH($E217,'BY-Demands'!$I$5:$I$14,0),FALSE)*HLOOKUP(REG_TRA_DEMANDS!$F217,DEMANDS!$G$2:$CK$25,MATCH($E217,DEMANDS!$E$2:$E$25,0),FALSE)/HLOOKUP(2018,DEMANDS!$G$2:$CK$25,MATCH($E217,DEMANDS!$E$2:$E$25,0),FALSE)</f>
        <v>0.046779068407982807</v>
      </c>
      <c r="T217" s="18">
        <f>HLOOKUP(REG_TRA_DEMANDS!T$3,'BY-Demands'!$J$5:$AK$14,MATCH($E217,'BY-Demands'!$I$5:$I$14,0),FALSE)*HLOOKUP(REG_TRA_DEMANDS!$F217,DEMANDS!$G$2:$CK$25,MATCH($E217,DEMANDS!$E$2:$E$25,0),FALSE)/HLOOKUP(2018,DEMANDS!$G$2:$CK$25,MATCH($E217,DEMANDS!$E$2:$E$25,0),FALSE)</f>
        <v>0.00046352277307537207</v>
      </c>
      <c r="U217" s="18">
        <f>HLOOKUP(REG_TRA_DEMANDS!U$3,'BY-Demands'!$J$5:$AK$14,MATCH($E217,'BY-Demands'!$I$5:$I$14,0),FALSE)*HLOOKUP(REG_TRA_DEMANDS!$F217,DEMANDS!$G$2:$CK$25,MATCH($E217,DEMANDS!$E$2:$E$25,0),FALSE)/HLOOKUP(2018,DEMANDS!$G$2:$CK$25,MATCH($E217,DEMANDS!$E$2:$E$25,0),FALSE)</f>
        <v>0.046529102661710439</v>
      </c>
      <c r="V217" s="35">
        <f>HLOOKUP(REG_TRA_DEMANDS!V$3,'BY-Demands'!$J$5:$AK$14,MATCH($E217,'BY-Demands'!$I$5:$I$14,0),FALSE)*HLOOKUP(REG_TRA_DEMANDS!$F217,DEMANDS!$G$2:$CK$25,MATCH($E217,DEMANDS!$E$2:$E$25,0),FALSE)/HLOOKUP(2018,DEMANDS!$G$2:$CK$25,MATCH($E217,DEMANDS!$E$2:$E$25,0),FALSE)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W217" s="35">
        <f>HLOOKUP(REG_TRA_DEMANDS!W$3,'BY-Demands'!$J$5:$AK$14,MATCH($E217,'BY-Demands'!$I$5:$I$14,0),FALSE)*HLOOKUP(REG_TRA_DEMANDS!$F217,DEMANDS!$G$2:$CK$25,MATCH($E217,DEMANDS!$E$2:$E$25,0),FALSE)/HLOOKUP(2018,DEMANDS!$G$2:$CK$25,MATCH($E217,DEMANDS!$E$2:$E$25,0),FALSE)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X217" s="35">
        <f>HLOOKUP(REG_TRA_DEMANDS!X$3,'BY-Demands'!$J$5:$AK$14,MATCH($E217,'BY-Demands'!$I$5:$I$14,0),FALSE)*HLOOKUP(REG_TRA_DEMANDS!$F217,DEMANDS!$G$2:$CK$25,MATCH($E217,DEMANDS!$E$2:$E$25,0),FALSE)/HLOOKUP(2018,DEMANDS!$G$2:$CK$25,MATCH($E217,DEMANDS!$E$2:$E$25,0),FALSE)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Y217" s="35">
        <f>HLOOKUP(REG_TRA_DEMANDS!Y$3,'BY-Demands'!$J$5:$AK$14,MATCH($E217,'BY-Demands'!$I$5:$I$14,0),FALSE)*HLOOKUP(REG_TRA_DEMANDS!$F217,DEMANDS!$G$2:$CK$25,MATCH($E217,DEMANDS!$E$2:$E$25,0),FALSE)/HLOOKUP(2018,DEMANDS!$G$2:$CK$25,MATCH($E217,DEMANDS!$E$2:$E$25,0),FALSE)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Z217" s="35">
        <f>HLOOKUP(REG_TRA_DEMANDS!Z$3,'BY-Demands'!$J$5:$AK$14,MATCH($E217,'BY-Demands'!$I$5:$I$14,0),FALSE)*HLOOKUP(REG_TRA_DEMANDS!$F217,DEMANDS!$G$2:$CK$25,MATCH($E217,DEMANDS!$E$2:$E$25,0),FALSE)/HLOOKUP(2018,DEMANDS!$G$2:$CK$25,MATCH($E217,DEMANDS!$E$2:$E$25,0),FALSE)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AA217" s="35">
        <f>HLOOKUP(REG_TRA_DEMANDS!AA$3,'BY-Demands'!$J$5:$AK$14,MATCH($E217,'BY-Demands'!$I$5:$I$14,0),FALSE)*HLOOKUP(REG_TRA_DEMANDS!$F217,DEMANDS!$G$2:$CK$25,MATCH($E217,DEMANDS!$E$2:$E$25,0),FALSE)/HLOOKUP(2018,DEMANDS!$G$2:$CK$25,MATCH($E217,DEMANDS!$E$2:$E$25,0),FALSE)</f>
        <v>9.2704554615074527E-05</v>
      </c>
      <c r="AB217" s="35">
        <f>HLOOKUP(REG_TRA_DEMANDS!AB$3,'BY-Demands'!$J$5:$AK$14,MATCH($E217,'BY-Demands'!$I$5:$I$14,0),FALSE)*HLOOKUP(REG_TRA_DEMANDS!$F217,DEMANDS!$G$2:$CK$25,MATCH($E217,DEMANDS!$E$2:$E$25,0),FALSE)/HLOOKUP(2018,DEMANDS!$G$2:$CK$25,MATCH($E217,DEMANDS!$E$2:$E$25,0),FALSE)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AC217" s="35">
        <f>HLOOKUP(REG_TRA_DEMANDS!AC$3,'BY-Demands'!$J$5:$AK$14,MATCH($E217,'BY-Demands'!$I$5:$I$14,0),FALSE)*HLOOKUP(REG_TRA_DEMANDS!$F217,DEMANDS!$G$2:$CK$25,MATCH($E217,DEMANDS!$E$2:$E$25,0),FALSE)/HLOOKUP(2018,DEMANDS!$G$2:$CK$25,MATCH($E217,DEMANDS!$E$2:$E$25,0),FALSE)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AD217" s="35">
        <f>HLOOKUP(REG_TRA_DEMANDS!AD$3,'BY-Demands'!$J$5:$AK$14,MATCH($E217,'BY-Demands'!$I$5:$I$14,0),FALSE)*HLOOKUP(REG_TRA_DEMANDS!$F217,DEMANDS!$G$2:$CK$25,MATCH($E217,DEMANDS!$E$2:$E$25,0),FALSE)/HLOOKUP(2018,DEMANDS!$G$2:$CK$25,MATCH($E217,DEMANDS!$E$2:$E$25,0),FALSE)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AE217" s="35">
        <f>HLOOKUP(REG_TRA_DEMANDS!AE$3,'BY-Demands'!$J$5:$AK$14,MATCH($E217,'BY-Demands'!$I$5:$I$14,0),FALSE)*HLOOKUP(REG_TRA_DEMANDS!$F217,DEMANDS!$G$2:$CK$25,MATCH($E217,DEMANDS!$E$2:$E$25,0),FALSE)/HLOOKUP(2018,DEMANDS!$G$2:$CK$25,MATCH($E217,DEMANDS!$E$2:$E$25,0),FALSE)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AF217" s="35">
        <f>HLOOKUP(REG_TRA_DEMANDS!AF$3,'BY-Demands'!$J$5:$AK$14,MATCH($E217,'BY-Demands'!$I$5:$I$14,0),FALSE)*HLOOKUP(REG_TRA_DEMANDS!$F217,DEMANDS!$G$2:$CK$25,MATCH($E217,DEMANDS!$E$2:$E$25,0),FALSE)/HLOOKUP(2018,DEMANDS!$G$2:$CK$25,MATCH($E217,DEMANDS!$E$2:$E$25,0),FALSE)</f>
        <v>0</v>
      </c>
    </row>
    <row r="218" spans="4:32" ht="14.4">
      <c r="D218" t="s">
        <v>6</v>
      </c>
      <c r="E218" t="str">
        <f>DEMANDS!$E$24</f>
        <v>TAVIDOM</v>
      </c>
      <c r="F218">
        <v>2065</v>
      </c>
      <c r="G218">
        <f>HLOOKUP(REG_TRA_DEMANDS!G$3,'BY-Demands'!$J$5:$AK$14,MATCH($E218,'BY-Demands'!$I$5:$I$14,0),FALSE)*HLOOKUP(REG_TRA_DEMANDS!$F218,DEMANDS!$G$2:$CK$25,MATCH($E218,DEMANDS!$E$2:$E$25,0),FALSE)/HLOOKUP(2018,DEMANDS!$G$2:$CK$25,MATCH($E218,DEMANDS!$E$2:$E$25,0),FALSE)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H218" s="18">
        <f>HLOOKUP(REG_TRA_DEMANDS!H$3,'BY-Demands'!$J$5:$AK$14,MATCH($E218,'BY-Demands'!$I$5:$I$14,0),FALSE)*HLOOKUP(REG_TRA_DEMANDS!$F218,DEMANDS!$G$2:$CK$25,MATCH($E218,DEMANDS!$E$2:$E$25,0),FALSE)/HLOOKUP(2018,DEMANDS!$G$2:$CK$25,MATCH($E218,DEMANDS!$E$2:$E$25,0),FALSE)</f>
        <v>0.13395677260860595</v>
      </c>
      <c r="I218" s="35">
        <f>HLOOKUP(REG_TRA_DEMANDS!I$3,'BY-Demands'!$J$5:$AK$14,MATCH($E218,'BY-Demands'!$I$5:$I$14,0),FALSE)*HLOOKUP(REG_TRA_DEMANDS!$F218,DEMANDS!$G$2:$CK$25,MATCH($E218,DEMANDS!$E$2:$E$25,0),FALSE)/HLOOKUP(2018,DEMANDS!$G$2:$CK$25,MATCH($E218,DEMANDS!$E$2:$E$25,0),FALSE)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J218" s="35">
        <f>HLOOKUP(REG_TRA_DEMANDS!J$3,'BY-Demands'!$J$5:$AK$14,MATCH($E218,'BY-Demands'!$I$5:$I$14,0),FALSE)*HLOOKUP(REG_TRA_DEMANDS!$F218,DEMANDS!$G$2:$CK$25,MATCH($E218,DEMANDS!$E$2:$E$25,0),FALSE)/HLOOKUP(2018,DEMANDS!$G$2:$CK$25,MATCH($E218,DEMANDS!$E$2:$E$25,0),FALSE)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K218" s="35">
        <f>HLOOKUP(REG_TRA_DEMANDS!K$3,'BY-Demands'!$J$5:$AK$14,MATCH($E218,'BY-Demands'!$I$5:$I$14,0),FALSE)*HLOOKUP(REG_TRA_DEMANDS!$F218,DEMANDS!$G$2:$CK$25,MATCH($E218,DEMANDS!$E$2:$E$25,0),FALSE)/HLOOKUP(2018,DEMANDS!$G$2:$CK$25,MATCH($E218,DEMANDS!$E$2:$E$25,0),FALSE)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L218" s="35">
        <f>HLOOKUP(REG_TRA_DEMANDS!L$3,'BY-Demands'!$J$5:$AK$14,MATCH($E218,'BY-Demands'!$I$5:$I$14,0),FALSE)*HLOOKUP(REG_TRA_DEMANDS!$F218,DEMANDS!$G$2:$CK$25,MATCH($E218,DEMANDS!$E$2:$E$25,0),FALSE)/HLOOKUP(2018,DEMANDS!$G$2:$CK$25,MATCH($E218,DEMANDS!$E$2:$E$25,0),FALSE)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M218" s="35">
        <f>HLOOKUP(REG_TRA_DEMANDS!M$3,'BY-Demands'!$J$5:$AK$14,MATCH($E218,'BY-Demands'!$I$5:$I$14,0),FALSE)*HLOOKUP(REG_TRA_DEMANDS!$F218,DEMANDS!$G$2:$CK$25,MATCH($E218,DEMANDS!$E$2:$E$25,0),FALSE)/HLOOKUP(2018,DEMANDS!$G$2:$CK$25,MATCH($E218,DEMANDS!$E$2:$E$25,0),FALSE)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N218" s="35">
        <f>HLOOKUP(REG_TRA_DEMANDS!N$3,'BY-Demands'!$J$5:$AK$14,MATCH($E218,'BY-Demands'!$I$5:$I$14,0),FALSE)*HLOOKUP(REG_TRA_DEMANDS!$F218,DEMANDS!$G$2:$CK$25,MATCH($E218,DEMANDS!$E$2:$E$25,0),FALSE)/HLOOKUP(2018,DEMANDS!$G$2:$CK$25,MATCH($E218,DEMANDS!$E$2:$E$25,0),FALSE)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O218" s="35">
        <f>HLOOKUP(REG_TRA_DEMANDS!O$3,'BY-Demands'!$J$5:$AK$14,MATCH($E218,'BY-Demands'!$I$5:$I$14,0),FALSE)*HLOOKUP(REG_TRA_DEMANDS!$F218,DEMANDS!$G$2:$CK$25,MATCH($E218,DEMANDS!$E$2:$E$25,0),FALSE)/HLOOKUP(2018,DEMANDS!$G$2:$CK$25,MATCH($E218,DEMANDS!$E$2:$E$25,0),FALSE)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P218" s="35">
        <f>HLOOKUP(REG_TRA_DEMANDS!P$3,'BY-Demands'!$J$5:$AK$14,MATCH($E218,'BY-Demands'!$I$5:$I$14,0),FALSE)*HLOOKUP(REG_TRA_DEMANDS!$F218,DEMANDS!$G$2:$CK$25,MATCH($E218,DEMANDS!$E$2:$E$25,0),FALSE)/HLOOKUP(2018,DEMANDS!$G$2:$CK$25,MATCH($E218,DEMANDS!$E$2:$E$25,0),FALSE)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Q218" s="35">
        <f>HLOOKUP(REG_TRA_DEMANDS!Q$3,'BY-Demands'!$J$5:$AK$14,MATCH($E218,'BY-Demands'!$I$5:$I$14,0),FALSE)*HLOOKUP(REG_TRA_DEMANDS!$F218,DEMANDS!$G$2:$CK$25,MATCH($E218,DEMANDS!$E$2:$E$25,0),FALSE)/HLOOKUP(2018,DEMANDS!$G$2:$CK$25,MATCH($E218,DEMANDS!$E$2:$E$25,0),FALSE)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R218" s="35">
        <f>HLOOKUP(REG_TRA_DEMANDS!R$3,'BY-Demands'!$J$5:$AK$14,MATCH($E218,'BY-Demands'!$I$5:$I$14,0),FALSE)*HLOOKUP(REG_TRA_DEMANDS!$F218,DEMANDS!$G$2:$CK$25,MATCH($E218,DEMANDS!$E$2:$E$25,0),FALSE)/HLOOKUP(2018,DEMANDS!$G$2:$CK$25,MATCH($E218,DEMANDS!$E$2:$E$25,0),FALSE)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S218" s="18">
        <f>HLOOKUP(REG_TRA_DEMANDS!S$3,'BY-Demands'!$J$5:$AK$14,MATCH($E218,'BY-Demands'!$I$5:$I$14,0),FALSE)*HLOOKUP(REG_TRA_DEMANDS!$F218,DEMANDS!$G$2:$CK$25,MATCH($E218,DEMANDS!$E$2:$E$25,0),FALSE)/HLOOKUP(2018,DEMANDS!$G$2:$CK$25,MATCH($E218,DEMANDS!$E$2:$E$25,0),FALSE)</f>
        <v>0.046779068407982807</v>
      </c>
      <c r="T218" s="18">
        <f>HLOOKUP(REG_TRA_DEMANDS!T$3,'BY-Demands'!$J$5:$AK$14,MATCH($E218,'BY-Demands'!$I$5:$I$14,0),FALSE)*HLOOKUP(REG_TRA_DEMANDS!$F218,DEMANDS!$G$2:$CK$25,MATCH($E218,DEMANDS!$E$2:$E$25,0),FALSE)/HLOOKUP(2018,DEMANDS!$G$2:$CK$25,MATCH($E218,DEMANDS!$E$2:$E$25,0),FALSE)</f>
        <v>0.00046352277307537207</v>
      </c>
      <c r="U218" s="18">
        <f>HLOOKUP(REG_TRA_DEMANDS!U$3,'BY-Demands'!$J$5:$AK$14,MATCH($E218,'BY-Demands'!$I$5:$I$14,0),FALSE)*HLOOKUP(REG_TRA_DEMANDS!$F218,DEMANDS!$G$2:$CK$25,MATCH($E218,DEMANDS!$E$2:$E$25,0),FALSE)/HLOOKUP(2018,DEMANDS!$G$2:$CK$25,MATCH($E218,DEMANDS!$E$2:$E$25,0),FALSE)</f>
        <v>0.046529102661710439</v>
      </c>
      <c r="V218" s="35">
        <f>HLOOKUP(REG_TRA_DEMANDS!V$3,'BY-Demands'!$J$5:$AK$14,MATCH($E218,'BY-Demands'!$I$5:$I$14,0),FALSE)*HLOOKUP(REG_TRA_DEMANDS!$F218,DEMANDS!$G$2:$CK$25,MATCH($E218,DEMANDS!$E$2:$E$25,0),FALSE)/HLOOKUP(2018,DEMANDS!$G$2:$CK$25,MATCH($E218,DEMANDS!$E$2:$E$25,0),FALSE)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W218" s="35">
        <f>HLOOKUP(REG_TRA_DEMANDS!W$3,'BY-Demands'!$J$5:$AK$14,MATCH($E218,'BY-Demands'!$I$5:$I$14,0),FALSE)*HLOOKUP(REG_TRA_DEMANDS!$F218,DEMANDS!$G$2:$CK$25,MATCH($E218,DEMANDS!$E$2:$E$25,0),FALSE)/HLOOKUP(2018,DEMANDS!$G$2:$CK$25,MATCH($E218,DEMANDS!$E$2:$E$25,0),FALSE)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X218" s="35">
        <f>HLOOKUP(REG_TRA_DEMANDS!X$3,'BY-Demands'!$J$5:$AK$14,MATCH($E218,'BY-Demands'!$I$5:$I$14,0),FALSE)*HLOOKUP(REG_TRA_DEMANDS!$F218,DEMANDS!$G$2:$CK$25,MATCH($E218,DEMANDS!$E$2:$E$25,0),FALSE)/HLOOKUP(2018,DEMANDS!$G$2:$CK$25,MATCH($E218,DEMANDS!$E$2:$E$25,0),FALSE)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Y218" s="35">
        <f>HLOOKUP(REG_TRA_DEMANDS!Y$3,'BY-Demands'!$J$5:$AK$14,MATCH($E218,'BY-Demands'!$I$5:$I$14,0),FALSE)*HLOOKUP(REG_TRA_DEMANDS!$F218,DEMANDS!$G$2:$CK$25,MATCH($E218,DEMANDS!$E$2:$E$25,0),FALSE)/HLOOKUP(2018,DEMANDS!$G$2:$CK$25,MATCH($E218,DEMANDS!$E$2:$E$25,0),FALSE)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Z218" s="35">
        <f>HLOOKUP(REG_TRA_DEMANDS!Z$3,'BY-Demands'!$J$5:$AK$14,MATCH($E218,'BY-Demands'!$I$5:$I$14,0),FALSE)*HLOOKUP(REG_TRA_DEMANDS!$F218,DEMANDS!$G$2:$CK$25,MATCH($E218,DEMANDS!$E$2:$E$25,0),FALSE)/HLOOKUP(2018,DEMANDS!$G$2:$CK$25,MATCH($E218,DEMANDS!$E$2:$E$25,0),FALSE)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AA218" s="35">
        <f>HLOOKUP(REG_TRA_DEMANDS!AA$3,'BY-Demands'!$J$5:$AK$14,MATCH($E218,'BY-Demands'!$I$5:$I$14,0),FALSE)*HLOOKUP(REG_TRA_DEMANDS!$F218,DEMANDS!$G$2:$CK$25,MATCH($E218,DEMANDS!$E$2:$E$25,0),FALSE)/HLOOKUP(2018,DEMANDS!$G$2:$CK$25,MATCH($E218,DEMANDS!$E$2:$E$25,0),FALSE)</f>
        <v>9.2704554615074527E-05</v>
      </c>
      <c r="AB218" s="35">
        <f>HLOOKUP(REG_TRA_DEMANDS!AB$3,'BY-Demands'!$J$5:$AK$14,MATCH($E218,'BY-Demands'!$I$5:$I$14,0),FALSE)*HLOOKUP(REG_TRA_DEMANDS!$F218,DEMANDS!$G$2:$CK$25,MATCH($E218,DEMANDS!$E$2:$E$25,0),FALSE)/HLOOKUP(2018,DEMANDS!$G$2:$CK$25,MATCH($E218,DEMANDS!$E$2:$E$25,0),FALSE)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AC218" s="35">
        <f>HLOOKUP(REG_TRA_DEMANDS!AC$3,'BY-Demands'!$J$5:$AK$14,MATCH($E218,'BY-Demands'!$I$5:$I$14,0),FALSE)*HLOOKUP(REG_TRA_DEMANDS!$F218,DEMANDS!$G$2:$CK$25,MATCH($E218,DEMANDS!$E$2:$E$25,0),FALSE)/HLOOKUP(2018,DEMANDS!$G$2:$CK$25,MATCH($E218,DEMANDS!$E$2:$E$25,0),FALSE)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AD218" s="35">
        <f>HLOOKUP(REG_TRA_DEMANDS!AD$3,'BY-Demands'!$J$5:$AK$14,MATCH($E218,'BY-Demands'!$I$5:$I$14,0),FALSE)*HLOOKUP(REG_TRA_DEMANDS!$F218,DEMANDS!$G$2:$CK$25,MATCH($E218,DEMANDS!$E$2:$E$25,0),FALSE)/HLOOKUP(2018,DEMANDS!$G$2:$CK$25,MATCH($E218,DEMANDS!$E$2:$E$25,0),FALSE)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AE218" s="35">
        <f>HLOOKUP(REG_TRA_DEMANDS!AE$3,'BY-Demands'!$J$5:$AK$14,MATCH($E218,'BY-Demands'!$I$5:$I$14,0),FALSE)*HLOOKUP(REG_TRA_DEMANDS!$F218,DEMANDS!$G$2:$CK$25,MATCH($E218,DEMANDS!$E$2:$E$25,0),FALSE)/HLOOKUP(2018,DEMANDS!$G$2:$CK$25,MATCH($E218,DEMANDS!$E$2:$E$25,0),FALSE)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AF218" s="35">
        <f>HLOOKUP(REG_TRA_DEMANDS!AF$3,'BY-Demands'!$J$5:$AK$14,MATCH($E218,'BY-Demands'!$I$5:$I$14,0),FALSE)*HLOOKUP(REG_TRA_DEMANDS!$F218,DEMANDS!$G$2:$CK$25,MATCH($E218,DEMANDS!$E$2:$E$25,0),FALSE)/HLOOKUP(2018,DEMANDS!$G$2:$CK$25,MATCH($E218,DEMANDS!$E$2:$E$25,0),FALSE)</f>
        <v>0</v>
      </c>
    </row>
    <row r="219" spans="4:32" ht="14.4">
      <c r="D219" t="s">
        <v>6</v>
      </c>
      <c r="E219" t="str">
        <f>DEMANDS!$E$24</f>
        <v>TAVIDOM</v>
      </c>
      <c r="F219">
        <v>2070</v>
      </c>
      <c r="G219" s="16">
        <f>HLOOKUP(REG_TRA_DEMANDS!G$3,'BY-Demands'!$J$5:$AK$14,MATCH($E219,'BY-Demands'!$I$5:$I$14,0),FALSE)*HLOOKUP(REG_TRA_DEMANDS!$F219,DEMANDS!$G$2:$CK$25,MATCH($E219,DEMANDS!$E$2:$E$25,0),FALSE)/HLOOKUP(2018,DEMANDS!$G$2:$CK$25,MATCH($E219,DEMANDS!$E$2:$E$25,0),FALSE)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H219" s="17">
        <f>HLOOKUP(REG_TRA_DEMANDS!H$3,'BY-Demands'!$J$5:$AK$14,MATCH($E219,'BY-Demands'!$I$5:$I$14,0),FALSE)*HLOOKUP(REG_TRA_DEMANDS!$F219,DEMANDS!$G$2:$CK$25,MATCH($E219,DEMANDS!$E$2:$E$25,0),FALSE)/HLOOKUP(2018,DEMANDS!$G$2:$CK$25,MATCH($E219,DEMANDS!$E$2:$E$25,0),FALSE)</f>
        <v>0.13395677260860595</v>
      </c>
      <c r="I219" s="36">
        <f>HLOOKUP(REG_TRA_DEMANDS!I$3,'BY-Demands'!$J$5:$AK$14,MATCH($E219,'BY-Demands'!$I$5:$I$14,0),FALSE)*HLOOKUP(REG_TRA_DEMANDS!$F219,DEMANDS!$G$2:$CK$25,MATCH($E219,DEMANDS!$E$2:$E$25,0),FALSE)/HLOOKUP(2018,DEMANDS!$G$2:$CK$25,MATCH($E219,DEMANDS!$E$2:$E$25,0),FALSE)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J219" s="36">
        <f>HLOOKUP(REG_TRA_DEMANDS!J$3,'BY-Demands'!$J$5:$AK$14,MATCH($E219,'BY-Demands'!$I$5:$I$14,0),FALSE)*HLOOKUP(REG_TRA_DEMANDS!$F219,DEMANDS!$G$2:$CK$25,MATCH($E219,DEMANDS!$E$2:$E$25,0),FALSE)/HLOOKUP(2018,DEMANDS!$G$2:$CK$25,MATCH($E219,DEMANDS!$E$2:$E$25,0),FALSE)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K219" s="36">
        <f>HLOOKUP(REG_TRA_DEMANDS!K$3,'BY-Demands'!$J$5:$AK$14,MATCH($E219,'BY-Demands'!$I$5:$I$14,0),FALSE)*HLOOKUP(REG_TRA_DEMANDS!$F219,DEMANDS!$G$2:$CK$25,MATCH($E219,DEMANDS!$E$2:$E$25,0),FALSE)/HLOOKUP(2018,DEMANDS!$G$2:$CK$25,MATCH($E219,DEMANDS!$E$2:$E$25,0),FALSE)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L219" s="36">
        <f>HLOOKUP(REG_TRA_DEMANDS!L$3,'BY-Demands'!$J$5:$AK$14,MATCH($E219,'BY-Demands'!$I$5:$I$14,0),FALSE)*HLOOKUP(REG_TRA_DEMANDS!$F219,DEMANDS!$G$2:$CK$25,MATCH($E219,DEMANDS!$E$2:$E$25,0),FALSE)/HLOOKUP(2018,DEMANDS!$G$2:$CK$25,MATCH($E219,DEMANDS!$E$2:$E$25,0),FALSE)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M219" s="36">
        <f>HLOOKUP(REG_TRA_DEMANDS!M$3,'BY-Demands'!$J$5:$AK$14,MATCH($E219,'BY-Demands'!$I$5:$I$14,0),FALSE)*HLOOKUP(REG_TRA_DEMANDS!$F219,DEMANDS!$G$2:$CK$25,MATCH($E219,DEMANDS!$E$2:$E$25,0),FALSE)/HLOOKUP(2018,DEMANDS!$G$2:$CK$25,MATCH($E219,DEMANDS!$E$2:$E$25,0),FALSE)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N219" s="36">
        <f>HLOOKUP(REG_TRA_DEMANDS!N$3,'BY-Demands'!$J$5:$AK$14,MATCH($E219,'BY-Demands'!$I$5:$I$14,0),FALSE)*HLOOKUP(REG_TRA_DEMANDS!$F219,DEMANDS!$G$2:$CK$25,MATCH($E219,DEMANDS!$E$2:$E$25,0),FALSE)/HLOOKUP(2018,DEMANDS!$G$2:$CK$25,MATCH($E219,DEMANDS!$E$2:$E$25,0),FALSE)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O219" s="36">
        <f>HLOOKUP(REG_TRA_DEMANDS!O$3,'BY-Demands'!$J$5:$AK$14,MATCH($E219,'BY-Demands'!$I$5:$I$14,0),FALSE)*HLOOKUP(REG_TRA_DEMANDS!$F219,DEMANDS!$G$2:$CK$25,MATCH($E219,DEMANDS!$E$2:$E$25,0),FALSE)/HLOOKUP(2018,DEMANDS!$G$2:$CK$25,MATCH($E219,DEMANDS!$E$2:$E$25,0),FALSE)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P219" s="36">
        <f>HLOOKUP(REG_TRA_DEMANDS!P$3,'BY-Demands'!$J$5:$AK$14,MATCH($E219,'BY-Demands'!$I$5:$I$14,0),FALSE)*HLOOKUP(REG_TRA_DEMANDS!$F219,DEMANDS!$G$2:$CK$25,MATCH($E219,DEMANDS!$E$2:$E$25,0),FALSE)/HLOOKUP(2018,DEMANDS!$G$2:$CK$25,MATCH($E219,DEMANDS!$E$2:$E$25,0),FALSE)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Q219" s="36">
        <f>HLOOKUP(REG_TRA_DEMANDS!Q$3,'BY-Demands'!$J$5:$AK$14,MATCH($E219,'BY-Demands'!$I$5:$I$14,0),FALSE)*HLOOKUP(REG_TRA_DEMANDS!$F219,DEMANDS!$G$2:$CK$25,MATCH($E219,DEMANDS!$E$2:$E$25,0),FALSE)/HLOOKUP(2018,DEMANDS!$G$2:$CK$25,MATCH($E219,DEMANDS!$E$2:$E$25,0),FALSE)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R219" s="36">
        <f>HLOOKUP(REG_TRA_DEMANDS!R$3,'BY-Demands'!$J$5:$AK$14,MATCH($E219,'BY-Demands'!$I$5:$I$14,0),FALSE)*HLOOKUP(REG_TRA_DEMANDS!$F219,DEMANDS!$G$2:$CK$25,MATCH($E219,DEMANDS!$E$2:$E$25,0),FALSE)/HLOOKUP(2018,DEMANDS!$G$2:$CK$25,MATCH($E219,DEMANDS!$E$2:$E$25,0),FALSE)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S219" s="17">
        <f>HLOOKUP(REG_TRA_DEMANDS!S$3,'BY-Demands'!$J$5:$AK$14,MATCH($E219,'BY-Demands'!$I$5:$I$14,0),FALSE)*HLOOKUP(REG_TRA_DEMANDS!$F219,DEMANDS!$G$2:$CK$25,MATCH($E219,DEMANDS!$E$2:$E$25,0),FALSE)/HLOOKUP(2018,DEMANDS!$G$2:$CK$25,MATCH($E219,DEMANDS!$E$2:$E$25,0),FALSE)</f>
        <v>0.046779068407982807</v>
      </c>
      <c r="T219" s="17">
        <f>HLOOKUP(REG_TRA_DEMANDS!T$3,'BY-Demands'!$J$5:$AK$14,MATCH($E219,'BY-Demands'!$I$5:$I$14,0),FALSE)*HLOOKUP(REG_TRA_DEMANDS!$F219,DEMANDS!$G$2:$CK$25,MATCH($E219,DEMANDS!$E$2:$E$25,0),FALSE)/HLOOKUP(2018,DEMANDS!$G$2:$CK$25,MATCH($E219,DEMANDS!$E$2:$E$25,0),FALSE)</f>
        <v>0.00046352277307537207</v>
      </c>
      <c r="U219" s="17">
        <f>HLOOKUP(REG_TRA_DEMANDS!U$3,'BY-Demands'!$J$5:$AK$14,MATCH($E219,'BY-Demands'!$I$5:$I$14,0),FALSE)*HLOOKUP(REG_TRA_DEMANDS!$F219,DEMANDS!$G$2:$CK$25,MATCH($E219,DEMANDS!$E$2:$E$25,0),FALSE)/HLOOKUP(2018,DEMANDS!$G$2:$CK$25,MATCH($E219,DEMANDS!$E$2:$E$25,0),FALSE)</f>
        <v>0.046529102661710439</v>
      </c>
      <c r="V219" s="36">
        <f>HLOOKUP(REG_TRA_DEMANDS!V$3,'BY-Demands'!$J$5:$AK$14,MATCH($E219,'BY-Demands'!$I$5:$I$14,0),FALSE)*HLOOKUP(REG_TRA_DEMANDS!$F219,DEMANDS!$G$2:$CK$25,MATCH($E219,DEMANDS!$E$2:$E$25,0),FALSE)/HLOOKUP(2018,DEMANDS!$G$2:$CK$25,MATCH($E219,DEMANDS!$E$2:$E$25,0),FALSE)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W219" s="36">
        <f>HLOOKUP(REG_TRA_DEMANDS!W$3,'BY-Demands'!$J$5:$AK$14,MATCH($E219,'BY-Demands'!$I$5:$I$14,0),FALSE)*HLOOKUP(REG_TRA_DEMANDS!$F219,DEMANDS!$G$2:$CK$25,MATCH($E219,DEMANDS!$E$2:$E$25,0),FALSE)/HLOOKUP(2018,DEMANDS!$G$2:$CK$25,MATCH($E219,DEMANDS!$E$2:$E$25,0),FALSE)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X219" s="36">
        <f>HLOOKUP(REG_TRA_DEMANDS!X$3,'BY-Demands'!$J$5:$AK$14,MATCH($E219,'BY-Demands'!$I$5:$I$14,0),FALSE)*HLOOKUP(REG_TRA_DEMANDS!$F219,DEMANDS!$G$2:$CK$25,MATCH($E219,DEMANDS!$E$2:$E$25,0),FALSE)/HLOOKUP(2018,DEMANDS!$G$2:$CK$25,MATCH($E219,DEMANDS!$E$2:$E$25,0),FALSE)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Y219" s="36">
        <f>HLOOKUP(REG_TRA_DEMANDS!Y$3,'BY-Demands'!$J$5:$AK$14,MATCH($E219,'BY-Demands'!$I$5:$I$14,0),FALSE)*HLOOKUP(REG_TRA_DEMANDS!$F219,DEMANDS!$G$2:$CK$25,MATCH($E219,DEMANDS!$E$2:$E$25,0),FALSE)/HLOOKUP(2018,DEMANDS!$G$2:$CK$25,MATCH($E219,DEMANDS!$E$2:$E$25,0),FALSE)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Z219" s="36">
        <f>HLOOKUP(REG_TRA_DEMANDS!Z$3,'BY-Demands'!$J$5:$AK$14,MATCH($E219,'BY-Demands'!$I$5:$I$14,0),FALSE)*HLOOKUP(REG_TRA_DEMANDS!$F219,DEMANDS!$G$2:$CK$25,MATCH($E219,DEMANDS!$E$2:$E$25,0),FALSE)/HLOOKUP(2018,DEMANDS!$G$2:$CK$25,MATCH($E219,DEMANDS!$E$2:$E$25,0),FALSE)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AA219" s="36">
        <f>HLOOKUP(REG_TRA_DEMANDS!AA$3,'BY-Demands'!$J$5:$AK$14,MATCH($E219,'BY-Demands'!$I$5:$I$14,0),FALSE)*HLOOKUP(REG_TRA_DEMANDS!$F219,DEMANDS!$G$2:$CK$25,MATCH($E219,DEMANDS!$E$2:$E$25,0),FALSE)/HLOOKUP(2018,DEMANDS!$G$2:$CK$25,MATCH($E219,DEMANDS!$E$2:$E$25,0),FALSE)</f>
        <v>9.2704554615074527E-05</v>
      </c>
      <c r="AB219" s="36">
        <f>HLOOKUP(REG_TRA_DEMANDS!AB$3,'BY-Demands'!$J$5:$AK$14,MATCH($E219,'BY-Demands'!$I$5:$I$14,0),FALSE)*HLOOKUP(REG_TRA_DEMANDS!$F219,DEMANDS!$G$2:$CK$25,MATCH($E219,DEMANDS!$E$2:$E$25,0),FALSE)/HLOOKUP(2018,DEMANDS!$G$2:$CK$25,MATCH($E219,DEMANDS!$E$2:$E$25,0),FALSE)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AC219" s="36">
        <f>HLOOKUP(REG_TRA_DEMANDS!AC$3,'BY-Demands'!$J$5:$AK$14,MATCH($E219,'BY-Demands'!$I$5:$I$14,0),FALSE)*HLOOKUP(REG_TRA_DEMANDS!$F219,DEMANDS!$G$2:$CK$25,MATCH($E219,DEMANDS!$E$2:$E$25,0),FALSE)/HLOOKUP(2018,DEMANDS!$G$2:$CK$25,MATCH($E219,DEMANDS!$E$2:$E$25,0),FALSE)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AD219" s="36">
        <f>HLOOKUP(REG_TRA_DEMANDS!AD$3,'BY-Demands'!$J$5:$AK$14,MATCH($E219,'BY-Demands'!$I$5:$I$14,0),FALSE)*HLOOKUP(REG_TRA_DEMANDS!$F219,DEMANDS!$G$2:$CK$25,MATCH($E219,DEMANDS!$E$2:$E$25,0),FALSE)/HLOOKUP(2018,DEMANDS!$G$2:$CK$25,MATCH($E219,DEMANDS!$E$2:$E$25,0),FALSE)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AE219" s="36">
        <f>HLOOKUP(REG_TRA_DEMANDS!AE$3,'BY-Demands'!$J$5:$AK$14,MATCH($E219,'BY-Demands'!$I$5:$I$14,0),FALSE)*HLOOKUP(REG_TRA_DEMANDS!$F219,DEMANDS!$G$2:$CK$25,MATCH($E219,DEMANDS!$E$2:$E$25,0),FALSE)/HLOOKUP(2018,DEMANDS!$G$2:$CK$25,MATCH($E219,DEMANDS!$E$2:$E$25,0),FALSE)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AF219" s="36">
        <f>HLOOKUP(REG_TRA_DEMANDS!AF$3,'BY-Demands'!$J$5:$AK$14,MATCH($E219,'BY-Demands'!$I$5:$I$14,0),FALSE)*HLOOKUP(REG_TRA_DEMANDS!$F219,DEMANDS!$G$2:$CK$25,MATCH($E219,DEMANDS!$E$2:$E$25,0),FALSE)/HLOOKUP(2018,DEMANDS!$G$2:$CK$25,MATCH($E219,DEMANDS!$E$2:$E$25,0),FALSE)</f>
        <v>0</v>
      </c>
    </row>
    <row r="220" spans="4:32" ht="14.4">
      <c r="D220" s="19" t="s">
        <v>6</v>
      </c>
      <c r="E220" s="19" t="str">
        <f>DEMANDS!$E$25</f>
        <v>TAVIINT</v>
      </c>
      <c r="F220" s="19">
        <v>2020</v>
      </c>
      <c r="G220" s="19">
        <f>HLOOKUP(REG_TRA_DEMANDS!G$3,'BY-Demands'!$J$5:$AK$14,MATCH($E220,'BY-Demands'!$I$5:$I$14,0),FALSE)*HLOOKUP(REG_TRA_DEMANDS!$F220,DEMANDS!$G$2:$CK$25,MATCH($E220,DEMANDS!$E$2:$E$25,0),FALSE)/HLOOKUP(2018,DEMANDS!$G$2:$CK$25,MATCH($E220,DEMANDS!$E$2:$E$25,0),FALSE)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H220" s="20">
        <f>HLOOKUP(REG_TRA_DEMANDS!H$3,'BY-Demands'!$J$5:$AK$14,MATCH($E220,'BY-Demands'!$I$5:$I$14,0),FALSE)*HLOOKUP(REG_TRA_DEMANDS!$F220,DEMANDS!$G$2:$CK$25,MATCH($E220,DEMANDS!$E$2:$E$25,0),FALSE)/HLOOKUP(2018,DEMANDS!$G$2:$CK$25,MATCH($E220,DEMANDS!$E$2:$E$25,0),FALSE)</f>
        <v>14.586505081244802</v>
      </c>
      <c r="I220" s="37">
        <f>HLOOKUP(REG_TRA_DEMANDS!I$3,'BY-Demands'!$J$5:$AK$14,MATCH($E220,'BY-Demands'!$I$5:$I$14,0),FALSE)*HLOOKUP(REG_TRA_DEMANDS!$F220,DEMANDS!$G$2:$CK$25,MATCH($E220,DEMANDS!$E$2:$E$25,0),FALSE)/HLOOKUP(2018,DEMANDS!$G$2:$CK$25,MATCH($E220,DEMANDS!$E$2:$E$25,0),FALSE)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J220" s="37">
        <f>HLOOKUP(REG_TRA_DEMANDS!J$3,'BY-Demands'!$J$5:$AK$14,MATCH($E220,'BY-Demands'!$I$5:$I$14,0),FALSE)*HLOOKUP(REG_TRA_DEMANDS!$F220,DEMANDS!$G$2:$CK$25,MATCH($E220,DEMANDS!$E$2:$E$25,0),FALSE)/HLOOKUP(2018,DEMANDS!$G$2:$CK$25,MATCH($E220,DEMANDS!$E$2:$E$25,0),FALSE)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K220" s="37">
        <f>HLOOKUP(REG_TRA_DEMANDS!K$3,'BY-Demands'!$J$5:$AK$14,MATCH($E220,'BY-Demands'!$I$5:$I$14,0),FALSE)*HLOOKUP(REG_TRA_DEMANDS!$F220,DEMANDS!$G$2:$CK$25,MATCH($E220,DEMANDS!$E$2:$E$25,0),FALSE)/HLOOKUP(2018,DEMANDS!$G$2:$CK$25,MATCH($E220,DEMANDS!$E$2:$E$25,0),FALSE)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L220" s="37">
        <f>HLOOKUP(REG_TRA_DEMANDS!L$3,'BY-Demands'!$J$5:$AK$14,MATCH($E220,'BY-Demands'!$I$5:$I$14,0),FALSE)*HLOOKUP(REG_TRA_DEMANDS!$F220,DEMANDS!$G$2:$CK$25,MATCH($E220,DEMANDS!$E$2:$E$25,0),FALSE)/HLOOKUP(2018,DEMANDS!$G$2:$CK$25,MATCH($E220,DEMANDS!$E$2:$E$25,0),FALSE)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M220" s="37">
        <f>HLOOKUP(REG_TRA_DEMANDS!M$3,'BY-Demands'!$J$5:$AK$14,MATCH($E220,'BY-Demands'!$I$5:$I$14,0),FALSE)*HLOOKUP(REG_TRA_DEMANDS!$F220,DEMANDS!$G$2:$CK$25,MATCH($E220,DEMANDS!$E$2:$E$25,0),FALSE)/HLOOKUP(2018,DEMANDS!$G$2:$CK$25,MATCH($E220,DEMANDS!$E$2:$E$25,0),FALSE)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N220" s="37">
        <f>HLOOKUP(REG_TRA_DEMANDS!N$3,'BY-Demands'!$J$5:$AK$14,MATCH($E220,'BY-Demands'!$I$5:$I$14,0),FALSE)*HLOOKUP(REG_TRA_DEMANDS!$F220,DEMANDS!$G$2:$CK$25,MATCH($E220,DEMANDS!$E$2:$E$25,0),FALSE)/HLOOKUP(2018,DEMANDS!$G$2:$CK$25,MATCH($E220,DEMANDS!$E$2:$E$25,0),FALSE)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O220" s="37">
        <f>HLOOKUP(REG_TRA_DEMANDS!O$3,'BY-Demands'!$J$5:$AK$14,MATCH($E220,'BY-Demands'!$I$5:$I$14,0),FALSE)*HLOOKUP(REG_TRA_DEMANDS!$F220,DEMANDS!$G$2:$CK$25,MATCH($E220,DEMANDS!$E$2:$E$25,0),FALSE)/HLOOKUP(2018,DEMANDS!$G$2:$CK$25,MATCH($E220,DEMANDS!$E$2:$E$25,0),FALSE)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P220" s="37">
        <f>HLOOKUP(REG_TRA_DEMANDS!P$3,'BY-Demands'!$J$5:$AK$14,MATCH($E220,'BY-Demands'!$I$5:$I$14,0),FALSE)*HLOOKUP(REG_TRA_DEMANDS!$F220,DEMANDS!$G$2:$CK$25,MATCH($E220,DEMANDS!$E$2:$E$25,0),FALSE)/HLOOKUP(2018,DEMANDS!$G$2:$CK$25,MATCH($E220,DEMANDS!$E$2:$E$25,0),FALSE)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Q220" s="37">
        <f>HLOOKUP(REG_TRA_DEMANDS!Q$3,'BY-Demands'!$J$5:$AK$14,MATCH($E220,'BY-Demands'!$I$5:$I$14,0),FALSE)*HLOOKUP(REG_TRA_DEMANDS!$F220,DEMANDS!$G$2:$CK$25,MATCH($E220,DEMANDS!$E$2:$E$25,0),FALSE)/HLOOKUP(2018,DEMANDS!$G$2:$CK$25,MATCH($E220,DEMANDS!$E$2:$E$25,0),FALSE)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R220" s="37">
        <f>HLOOKUP(REG_TRA_DEMANDS!R$3,'BY-Demands'!$J$5:$AK$14,MATCH($E220,'BY-Demands'!$I$5:$I$14,0),FALSE)*HLOOKUP(REG_TRA_DEMANDS!$F220,DEMANDS!$G$2:$CK$25,MATCH($E220,DEMANDS!$E$2:$E$25,0),FALSE)/HLOOKUP(2018,DEMANDS!$G$2:$CK$25,MATCH($E220,DEMANDS!$E$2:$E$25,0),FALSE)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S220" s="20">
        <f>HLOOKUP(REG_TRA_DEMANDS!S$3,'BY-Demands'!$J$5:$AK$14,MATCH($E220,'BY-Demands'!$I$5:$I$14,0),FALSE)*HLOOKUP(REG_TRA_DEMANDS!$F220,DEMANDS!$G$2:$CK$25,MATCH($E220,DEMANDS!$E$2:$E$25,0),FALSE)/HLOOKUP(2018,DEMANDS!$G$2:$CK$25,MATCH($E220,DEMANDS!$E$2:$E$25,0),FALSE)</f>
        <v>0.86368340775974672</v>
      </c>
      <c r="T220" s="20">
        <f>HLOOKUP(REG_TRA_DEMANDS!T$3,'BY-Demands'!$J$5:$AK$14,MATCH($E220,'BY-Demands'!$I$5:$I$14,0),FALSE)*HLOOKUP(REG_TRA_DEMANDS!$F220,DEMANDS!$G$2:$CK$25,MATCH($E220,DEMANDS!$E$2:$E$25,0),FALSE)/HLOOKUP(2018,DEMANDS!$G$2:$CK$25,MATCH($E220,DEMANDS!$E$2:$E$25,0),FALSE)</f>
        <v>0.79857800435837634</v>
      </c>
      <c r="U220" s="20">
        <f>HLOOKUP(REG_TRA_DEMANDS!U$3,'BY-Demands'!$J$5:$AK$14,MATCH($E220,'BY-Demands'!$I$5:$I$14,0),FALSE)*HLOOKUP(REG_TRA_DEMANDS!$F220,DEMANDS!$G$2:$CK$25,MATCH($E220,DEMANDS!$E$2:$E$25,0),FALSE)/HLOOKUP(2018,DEMANDS!$G$2:$CK$25,MATCH($E220,DEMANDS!$E$2:$E$25,0),FALSE)</f>
        <v>0.087025700566917275</v>
      </c>
      <c r="V220" s="37">
        <f>HLOOKUP(REG_TRA_DEMANDS!V$3,'BY-Demands'!$J$5:$AK$14,MATCH($E220,'BY-Demands'!$I$5:$I$14,0),FALSE)*HLOOKUP(REG_TRA_DEMANDS!$F220,DEMANDS!$G$2:$CK$25,MATCH($E220,DEMANDS!$E$2:$E$25,0),FALSE)/HLOOKUP(2018,DEMANDS!$G$2:$CK$25,MATCH($E220,DEMANDS!$E$2:$E$25,0),FALSE)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W220" s="37">
        <f>HLOOKUP(REG_TRA_DEMANDS!W$3,'BY-Demands'!$J$5:$AK$14,MATCH($E220,'BY-Demands'!$I$5:$I$14,0),FALSE)*HLOOKUP(REG_TRA_DEMANDS!$F220,DEMANDS!$G$2:$CK$25,MATCH($E220,DEMANDS!$E$2:$E$25,0),FALSE)/HLOOKUP(2018,DEMANDS!$G$2:$CK$25,MATCH($E220,DEMANDS!$E$2:$E$25,0),FALSE)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X220" s="37">
        <f>HLOOKUP(REG_TRA_DEMANDS!X$3,'BY-Demands'!$J$5:$AK$14,MATCH($E220,'BY-Demands'!$I$5:$I$14,0),FALSE)*HLOOKUP(REG_TRA_DEMANDS!$F220,DEMANDS!$G$2:$CK$25,MATCH($E220,DEMANDS!$E$2:$E$25,0),FALSE)/HLOOKUP(2018,DEMANDS!$G$2:$CK$25,MATCH($E220,DEMANDS!$E$2:$E$25,0),FALSE)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Y220" s="37">
        <f>HLOOKUP(REG_TRA_DEMANDS!Y$3,'BY-Demands'!$J$5:$AK$14,MATCH($E220,'BY-Demands'!$I$5:$I$14,0),FALSE)*HLOOKUP(REG_TRA_DEMANDS!$F220,DEMANDS!$G$2:$CK$25,MATCH($E220,DEMANDS!$E$2:$E$25,0),FALSE)/HLOOKUP(2018,DEMANDS!$G$2:$CK$25,MATCH($E220,DEMANDS!$E$2:$E$25,0),FALSE)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Z220" s="37">
        <f>HLOOKUP(REG_TRA_DEMANDS!Z$3,'BY-Demands'!$J$5:$AK$14,MATCH($E220,'BY-Demands'!$I$5:$I$14,0),FALSE)*HLOOKUP(REG_TRA_DEMANDS!$F220,DEMANDS!$G$2:$CK$25,MATCH($E220,DEMANDS!$E$2:$E$25,0),FALSE)/HLOOKUP(2018,DEMANDS!$G$2:$CK$25,MATCH($E220,DEMANDS!$E$2:$E$25,0),FALSE)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AA220" s="20">
        <f>HLOOKUP(REG_TRA_DEMANDS!AA$3,'BY-Demands'!$J$5:$AK$14,MATCH($E220,'BY-Demands'!$I$5:$I$14,0),FALSE)*HLOOKUP(REG_TRA_DEMANDS!$F220,DEMANDS!$G$2:$CK$25,MATCH($E220,DEMANDS!$E$2:$E$25,0),FALSE)/HLOOKUP(2018,DEMANDS!$G$2:$CK$25,MATCH($E220,DEMANDS!$E$2:$E$25,0),FALSE)</f>
        <v>0.24845129032760774</v>
      </c>
      <c r="AB220" s="37">
        <f>HLOOKUP(REG_TRA_DEMANDS!AB$3,'BY-Demands'!$J$5:$AK$14,MATCH($E220,'BY-Demands'!$I$5:$I$14,0),FALSE)*HLOOKUP(REG_TRA_DEMANDS!$F220,DEMANDS!$G$2:$CK$25,MATCH($E220,DEMANDS!$E$2:$E$25,0),FALSE)/HLOOKUP(2018,DEMANDS!$G$2:$CK$25,MATCH($E220,DEMANDS!$E$2:$E$25,0),FALSE)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AC220" s="37">
        <f>HLOOKUP(REG_TRA_DEMANDS!AC$3,'BY-Demands'!$J$5:$AK$14,MATCH($E220,'BY-Demands'!$I$5:$I$14,0),FALSE)*HLOOKUP(REG_TRA_DEMANDS!$F220,DEMANDS!$G$2:$CK$25,MATCH($E220,DEMANDS!$E$2:$E$25,0),FALSE)/HLOOKUP(2018,DEMANDS!$G$2:$CK$25,MATCH($E220,DEMANDS!$E$2:$E$25,0),FALSE)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AD220" s="37">
        <f>HLOOKUP(REG_TRA_DEMANDS!AD$3,'BY-Demands'!$J$5:$AK$14,MATCH($E220,'BY-Demands'!$I$5:$I$14,0),FALSE)*HLOOKUP(REG_TRA_DEMANDS!$F220,DEMANDS!$G$2:$CK$25,MATCH($E220,DEMANDS!$E$2:$E$25,0),FALSE)/HLOOKUP(2018,DEMANDS!$G$2:$CK$25,MATCH($E220,DEMANDS!$E$2:$E$25,0),FALSE)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AE220" s="37">
        <f>HLOOKUP(REG_TRA_DEMANDS!AE$3,'BY-Demands'!$J$5:$AK$14,MATCH($E220,'BY-Demands'!$I$5:$I$14,0),FALSE)*HLOOKUP(REG_TRA_DEMANDS!$F220,DEMANDS!$G$2:$CK$25,MATCH($E220,DEMANDS!$E$2:$E$25,0),FALSE)/HLOOKUP(2018,DEMANDS!$G$2:$CK$25,MATCH($E220,DEMANDS!$E$2:$E$25,0),FALSE)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AF220" s="37">
        <f>HLOOKUP(REG_TRA_DEMANDS!AF$3,'BY-Demands'!$J$5:$AK$14,MATCH($E220,'BY-Demands'!$I$5:$I$14,0),FALSE)*HLOOKUP(REG_TRA_DEMANDS!$F220,DEMANDS!$G$2:$CK$25,MATCH($E220,DEMANDS!$E$2:$E$25,0),FALSE)/HLOOKUP(2018,DEMANDS!$G$2:$CK$25,MATCH($E220,DEMANDS!$E$2:$E$25,0),FALSE)</f>
        <v>0</v>
      </c>
    </row>
    <row r="221" spans="4:32" ht="14.4">
      <c r="D221" t="s">
        <v>6</v>
      </c>
      <c r="E221" t="str">
        <f>DEMANDS!$E$25</f>
        <v>TAVIINT</v>
      </c>
      <c r="F221">
        <v>2021</v>
      </c>
      <c r="G221" s="35">
        <f>HLOOKUP(REG_TRA_DEMANDS!G$3,'BY-Demands'!$J$5:$AK$14,MATCH($E221,'BY-Demands'!$I$5:$I$14,0),FALSE)*HLOOKUP(REG_TRA_DEMANDS!$F221,DEMANDS!$G$2:$CK$25,MATCH($E221,DEMANDS!$E$2:$E$25,0),FALSE)/HLOOKUP(2018,DEMANDS!$G$2:$CK$25,MATCH($E221,DEMANDS!$E$2:$E$25,0),FALSE)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H221" s="18">
        <f>HLOOKUP(REG_TRA_DEMANDS!H$3,'BY-Demands'!$J$5:$AK$14,MATCH($E221,'BY-Demands'!$I$5:$I$14,0),FALSE)*HLOOKUP(REG_TRA_DEMANDS!$F221,DEMANDS!$G$2:$CK$25,MATCH($E221,DEMANDS!$E$2:$E$25,0),FALSE)/HLOOKUP(2018,DEMANDS!$G$2:$CK$25,MATCH($E221,DEMANDS!$E$2:$E$25,0),FALSE)</f>
        <v>16.341785735482759</v>
      </c>
      <c r="I221" s="35">
        <f>HLOOKUP(REG_TRA_DEMANDS!I$3,'BY-Demands'!$J$5:$AK$14,MATCH($E221,'BY-Demands'!$I$5:$I$14,0),FALSE)*HLOOKUP(REG_TRA_DEMANDS!$F221,DEMANDS!$G$2:$CK$25,MATCH($E221,DEMANDS!$E$2:$E$25,0),FALSE)/HLOOKUP(2018,DEMANDS!$G$2:$CK$25,MATCH($E221,DEMANDS!$E$2:$E$25,0),FALSE)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J221" s="35">
        <f>HLOOKUP(REG_TRA_DEMANDS!J$3,'BY-Demands'!$J$5:$AK$14,MATCH($E221,'BY-Demands'!$I$5:$I$14,0),FALSE)*HLOOKUP(REG_TRA_DEMANDS!$F221,DEMANDS!$G$2:$CK$25,MATCH($E221,DEMANDS!$E$2:$E$25,0),FALSE)/HLOOKUP(2018,DEMANDS!$G$2:$CK$25,MATCH($E221,DEMANDS!$E$2:$E$25,0),FALSE)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K221" s="35">
        <f>HLOOKUP(REG_TRA_DEMANDS!K$3,'BY-Demands'!$J$5:$AK$14,MATCH($E221,'BY-Demands'!$I$5:$I$14,0),FALSE)*HLOOKUP(REG_TRA_DEMANDS!$F221,DEMANDS!$G$2:$CK$25,MATCH($E221,DEMANDS!$E$2:$E$25,0),FALSE)/HLOOKUP(2018,DEMANDS!$G$2:$CK$25,MATCH($E221,DEMANDS!$E$2:$E$25,0),FALSE)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L221" s="35">
        <f>HLOOKUP(REG_TRA_DEMANDS!L$3,'BY-Demands'!$J$5:$AK$14,MATCH($E221,'BY-Demands'!$I$5:$I$14,0),FALSE)*HLOOKUP(REG_TRA_DEMANDS!$F221,DEMANDS!$G$2:$CK$25,MATCH($E221,DEMANDS!$E$2:$E$25,0),FALSE)/HLOOKUP(2018,DEMANDS!$G$2:$CK$25,MATCH($E221,DEMANDS!$E$2:$E$25,0),FALSE)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M221" s="35">
        <f>HLOOKUP(REG_TRA_DEMANDS!M$3,'BY-Demands'!$J$5:$AK$14,MATCH($E221,'BY-Demands'!$I$5:$I$14,0),FALSE)*HLOOKUP(REG_TRA_DEMANDS!$F221,DEMANDS!$G$2:$CK$25,MATCH($E221,DEMANDS!$E$2:$E$25,0),FALSE)/HLOOKUP(2018,DEMANDS!$G$2:$CK$25,MATCH($E221,DEMANDS!$E$2:$E$25,0),FALSE)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N221" s="35">
        <f>HLOOKUP(REG_TRA_DEMANDS!N$3,'BY-Demands'!$J$5:$AK$14,MATCH($E221,'BY-Demands'!$I$5:$I$14,0),FALSE)*HLOOKUP(REG_TRA_DEMANDS!$F221,DEMANDS!$G$2:$CK$25,MATCH($E221,DEMANDS!$E$2:$E$25,0),FALSE)/HLOOKUP(2018,DEMANDS!$G$2:$CK$25,MATCH($E221,DEMANDS!$E$2:$E$25,0),FALSE)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O221" s="35">
        <f>HLOOKUP(REG_TRA_DEMANDS!O$3,'BY-Demands'!$J$5:$AK$14,MATCH($E221,'BY-Demands'!$I$5:$I$14,0),FALSE)*HLOOKUP(REG_TRA_DEMANDS!$F221,DEMANDS!$G$2:$CK$25,MATCH($E221,DEMANDS!$E$2:$E$25,0),FALSE)/HLOOKUP(2018,DEMANDS!$G$2:$CK$25,MATCH($E221,DEMANDS!$E$2:$E$25,0),FALSE)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P221" s="35">
        <f>HLOOKUP(REG_TRA_DEMANDS!P$3,'BY-Demands'!$J$5:$AK$14,MATCH($E221,'BY-Demands'!$I$5:$I$14,0),FALSE)*HLOOKUP(REG_TRA_DEMANDS!$F221,DEMANDS!$G$2:$CK$25,MATCH($E221,DEMANDS!$E$2:$E$25,0),FALSE)/HLOOKUP(2018,DEMANDS!$G$2:$CK$25,MATCH($E221,DEMANDS!$E$2:$E$25,0),FALSE)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Q221" s="35">
        <f>HLOOKUP(REG_TRA_DEMANDS!Q$3,'BY-Demands'!$J$5:$AK$14,MATCH($E221,'BY-Demands'!$I$5:$I$14,0),FALSE)*HLOOKUP(REG_TRA_DEMANDS!$F221,DEMANDS!$G$2:$CK$25,MATCH($E221,DEMANDS!$E$2:$E$25,0),FALSE)/HLOOKUP(2018,DEMANDS!$G$2:$CK$25,MATCH($E221,DEMANDS!$E$2:$E$25,0),FALSE)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R221" s="35">
        <f>HLOOKUP(REG_TRA_DEMANDS!R$3,'BY-Demands'!$J$5:$AK$14,MATCH($E221,'BY-Demands'!$I$5:$I$14,0),FALSE)*HLOOKUP(REG_TRA_DEMANDS!$F221,DEMANDS!$G$2:$CK$25,MATCH($E221,DEMANDS!$E$2:$E$25,0),FALSE)/HLOOKUP(2018,DEMANDS!$G$2:$CK$25,MATCH($E221,DEMANDS!$E$2:$E$25,0),FALSE)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S221" s="18">
        <f>HLOOKUP(REG_TRA_DEMANDS!S$3,'BY-Demands'!$J$5:$AK$14,MATCH($E221,'BY-Demands'!$I$5:$I$14,0),FALSE)*HLOOKUP(REG_TRA_DEMANDS!$F221,DEMANDS!$G$2:$CK$25,MATCH($E221,DEMANDS!$E$2:$E$25,0),FALSE)/HLOOKUP(2018,DEMANDS!$G$2:$CK$25,MATCH($E221,DEMANDS!$E$2:$E$25,0),FALSE)</f>
        <v>0.96761555384841225</v>
      </c>
      <c r="T221" s="18">
        <f>HLOOKUP(REG_TRA_DEMANDS!T$3,'BY-Demands'!$J$5:$AK$14,MATCH($E221,'BY-Demands'!$I$5:$I$14,0),FALSE)*HLOOKUP(REG_TRA_DEMANDS!$F221,DEMANDS!$G$2:$CK$25,MATCH($E221,DEMANDS!$E$2:$E$25,0),FALSE)/HLOOKUP(2018,DEMANDS!$G$2:$CK$25,MATCH($E221,DEMANDS!$E$2:$E$25,0),FALSE)</f>
        <v>0.89467563118144178</v>
      </c>
      <c r="U221" s="18">
        <f>HLOOKUP(REG_TRA_DEMANDS!U$3,'BY-Demands'!$J$5:$AK$14,MATCH($E221,'BY-Demands'!$I$5:$I$14,0),FALSE)*HLOOKUP(REG_TRA_DEMANDS!$F221,DEMANDS!$G$2:$CK$25,MATCH($E221,DEMANDS!$E$2:$E$25,0),FALSE)/HLOOKUP(2018,DEMANDS!$G$2:$CK$25,MATCH($E221,DEMANDS!$E$2:$E$25,0),FALSE)</f>
        <v>0.097498019177564163</v>
      </c>
      <c r="V221" s="35">
        <f>HLOOKUP(REG_TRA_DEMANDS!V$3,'BY-Demands'!$J$5:$AK$14,MATCH($E221,'BY-Demands'!$I$5:$I$14,0),FALSE)*HLOOKUP(REG_TRA_DEMANDS!$F221,DEMANDS!$G$2:$CK$25,MATCH($E221,DEMANDS!$E$2:$E$25,0),FALSE)/HLOOKUP(2018,DEMANDS!$G$2:$CK$25,MATCH($E221,DEMANDS!$E$2:$E$25,0),FALSE)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W221" s="35">
        <f>HLOOKUP(REG_TRA_DEMANDS!W$3,'BY-Demands'!$J$5:$AK$14,MATCH($E221,'BY-Demands'!$I$5:$I$14,0),FALSE)*HLOOKUP(REG_TRA_DEMANDS!$F221,DEMANDS!$G$2:$CK$25,MATCH($E221,DEMANDS!$E$2:$E$25,0),FALSE)/HLOOKUP(2018,DEMANDS!$G$2:$CK$25,MATCH($E221,DEMANDS!$E$2:$E$25,0),FALSE)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X221" s="35">
        <f>HLOOKUP(REG_TRA_DEMANDS!X$3,'BY-Demands'!$J$5:$AK$14,MATCH($E221,'BY-Demands'!$I$5:$I$14,0),FALSE)*HLOOKUP(REG_TRA_DEMANDS!$F221,DEMANDS!$G$2:$CK$25,MATCH($E221,DEMANDS!$E$2:$E$25,0),FALSE)/HLOOKUP(2018,DEMANDS!$G$2:$CK$25,MATCH($E221,DEMANDS!$E$2:$E$25,0),FALSE)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Y221" s="35">
        <f>HLOOKUP(REG_TRA_DEMANDS!Y$3,'BY-Demands'!$J$5:$AK$14,MATCH($E221,'BY-Demands'!$I$5:$I$14,0),FALSE)*HLOOKUP(REG_TRA_DEMANDS!$F221,DEMANDS!$G$2:$CK$25,MATCH($E221,DEMANDS!$E$2:$E$25,0),FALSE)/HLOOKUP(2018,DEMANDS!$G$2:$CK$25,MATCH($E221,DEMANDS!$E$2:$E$25,0),FALSE)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Z221" s="35">
        <f>HLOOKUP(REG_TRA_DEMANDS!Z$3,'BY-Demands'!$J$5:$AK$14,MATCH($E221,'BY-Demands'!$I$5:$I$14,0),FALSE)*HLOOKUP(REG_TRA_DEMANDS!$F221,DEMANDS!$G$2:$CK$25,MATCH($E221,DEMANDS!$E$2:$E$25,0),FALSE)/HLOOKUP(2018,DEMANDS!$G$2:$CK$25,MATCH($E221,DEMANDS!$E$2:$E$25,0),FALSE)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AA221" s="18">
        <f>HLOOKUP(REG_TRA_DEMANDS!AA$3,'BY-Demands'!$J$5:$AK$14,MATCH($E221,'BY-Demands'!$I$5:$I$14,0),FALSE)*HLOOKUP(REG_TRA_DEMANDS!$F221,DEMANDS!$G$2:$CK$25,MATCH($E221,DEMANDS!$E$2:$E$25,0),FALSE)/HLOOKUP(2018,DEMANDS!$G$2:$CK$25,MATCH($E221,DEMANDS!$E$2:$E$25,0),FALSE)</f>
        <v>0.27834890740609786</v>
      </c>
      <c r="AB221" s="35">
        <f>HLOOKUP(REG_TRA_DEMANDS!AB$3,'BY-Demands'!$J$5:$AK$14,MATCH($E221,'BY-Demands'!$I$5:$I$14,0),FALSE)*HLOOKUP(REG_TRA_DEMANDS!$F221,DEMANDS!$G$2:$CK$25,MATCH($E221,DEMANDS!$E$2:$E$25,0),FALSE)/HLOOKUP(2018,DEMANDS!$G$2:$CK$25,MATCH($E221,DEMANDS!$E$2:$E$25,0),FALSE)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AC221" s="35">
        <f>HLOOKUP(REG_TRA_DEMANDS!AC$3,'BY-Demands'!$J$5:$AK$14,MATCH($E221,'BY-Demands'!$I$5:$I$14,0),FALSE)*HLOOKUP(REG_TRA_DEMANDS!$F221,DEMANDS!$G$2:$CK$25,MATCH($E221,DEMANDS!$E$2:$E$25,0),FALSE)/HLOOKUP(2018,DEMANDS!$G$2:$CK$25,MATCH($E221,DEMANDS!$E$2:$E$25,0),FALSE)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AD221" s="35">
        <f>HLOOKUP(REG_TRA_DEMANDS!AD$3,'BY-Demands'!$J$5:$AK$14,MATCH($E221,'BY-Demands'!$I$5:$I$14,0),FALSE)*HLOOKUP(REG_TRA_DEMANDS!$F221,DEMANDS!$G$2:$CK$25,MATCH($E221,DEMANDS!$E$2:$E$25,0),FALSE)/HLOOKUP(2018,DEMANDS!$G$2:$CK$25,MATCH($E221,DEMANDS!$E$2:$E$25,0),FALSE)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AE221" s="35">
        <f>HLOOKUP(REG_TRA_DEMANDS!AE$3,'BY-Demands'!$J$5:$AK$14,MATCH($E221,'BY-Demands'!$I$5:$I$14,0),FALSE)*HLOOKUP(REG_TRA_DEMANDS!$F221,DEMANDS!$G$2:$CK$25,MATCH($E221,DEMANDS!$E$2:$E$25,0),FALSE)/HLOOKUP(2018,DEMANDS!$G$2:$CK$25,MATCH($E221,DEMANDS!$E$2:$E$25,0),FALSE)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AF221" s="35">
        <f>HLOOKUP(REG_TRA_DEMANDS!AF$3,'BY-Demands'!$J$5:$AK$14,MATCH($E221,'BY-Demands'!$I$5:$I$14,0),FALSE)*HLOOKUP(REG_TRA_DEMANDS!$F221,DEMANDS!$G$2:$CK$25,MATCH($E221,DEMANDS!$E$2:$E$25,0),FALSE)/HLOOKUP(2018,DEMANDS!$G$2:$CK$25,MATCH($E221,DEMANDS!$E$2:$E$25,0),FALSE)</f>
        <v>0</v>
      </c>
    </row>
    <row r="222" spans="4:32" ht="14.4">
      <c r="D222" t="s">
        <v>6</v>
      </c>
      <c r="E222" t="str">
        <f>DEMANDS!$E$25</f>
        <v>TAVIINT</v>
      </c>
      <c r="F222">
        <v>2022</v>
      </c>
      <c r="G222" s="35">
        <f>HLOOKUP(REG_TRA_DEMANDS!G$3,'BY-Demands'!$J$5:$AK$14,MATCH($E222,'BY-Demands'!$I$5:$I$14,0),FALSE)*HLOOKUP(REG_TRA_DEMANDS!$F222,DEMANDS!$G$2:$CK$25,MATCH($E222,DEMANDS!$E$2:$E$25,0),FALSE)/HLOOKUP(2018,DEMANDS!$G$2:$CK$25,MATCH($E222,DEMANDS!$E$2:$E$25,0),FALSE)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H222" s="18">
        <f>HLOOKUP(REG_TRA_DEMANDS!H$3,'BY-Demands'!$J$5:$AK$14,MATCH($E222,'BY-Demands'!$I$5:$I$14,0),FALSE)*HLOOKUP(REG_TRA_DEMANDS!$F222,DEMANDS!$G$2:$CK$25,MATCH($E222,DEMANDS!$E$2:$E$25,0),FALSE)/HLOOKUP(2018,DEMANDS!$G$2:$CK$25,MATCH($E222,DEMANDS!$E$2:$E$25,0),FALSE)</f>
        <v>42.396731488180166</v>
      </c>
      <c r="I222" s="35">
        <f>HLOOKUP(REG_TRA_DEMANDS!I$3,'BY-Demands'!$J$5:$AK$14,MATCH($E222,'BY-Demands'!$I$5:$I$14,0),FALSE)*HLOOKUP(REG_TRA_DEMANDS!$F222,DEMANDS!$G$2:$CK$25,MATCH($E222,DEMANDS!$E$2:$E$25,0),FALSE)/HLOOKUP(2018,DEMANDS!$G$2:$CK$25,MATCH($E222,DEMANDS!$E$2:$E$25,0),FALSE)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J222" s="35">
        <f>HLOOKUP(REG_TRA_DEMANDS!J$3,'BY-Demands'!$J$5:$AK$14,MATCH($E222,'BY-Demands'!$I$5:$I$14,0),FALSE)*HLOOKUP(REG_TRA_DEMANDS!$F222,DEMANDS!$G$2:$CK$25,MATCH($E222,DEMANDS!$E$2:$E$25,0),FALSE)/HLOOKUP(2018,DEMANDS!$G$2:$CK$25,MATCH($E222,DEMANDS!$E$2:$E$25,0),FALSE)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K222" s="35">
        <f>HLOOKUP(REG_TRA_DEMANDS!K$3,'BY-Demands'!$J$5:$AK$14,MATCH($E222,'BY-Demands'!$I$5:$I$14,0),FALSE)*HLOOKUP(REG_TRA_DEMANDS!$F222,DEMANDS!$G$2:$CK$25,MATCH($E222,DEMANDS!$E$2:$E$25,0),FALSE)/HLOOKUP(2018,DEMANDS!$G$2:$CK$25,MATCH($E222,DEMANDS!$E$2:$E$25,0),FALSE)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L222" s="35">
        <f>HLOOKUP(REG_TRA_DEMANDS!L$3,'BY-Demands'!$J$5:$AK$14,MATCH($E222,'BY-Demands'!$I$5:$I$14,0),FALSE)*HLOOKUP(REG_TRA_DEMANDS!$F222,DEMANDS!$G$2:$CK$25,MATCH($E222,DEMANDS!$E$2:$E$25,0),FALSE)/HLOOKUP(2018,DEMANDS!$G$2:$CK$25,MATCH($E222,DEMANDS!$E$2:$E$25,0),FALSE)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M222" s="35">
        <f>HLOOKUP(REG_TRA_DEMANDS!M$3,'BY-Demands'!$J$5:$AK$14,MATCH($E222,'BY-Demands'!$I$5:$I$14,0),FALSE)*HLOOKUP(REG_TRA_DEMANDS!$F222,DEMANDS!$G$2:$CK$25,MATCH($E222,DEMANDS!$E$2:$E$25,0),FALSE)/HLOOKUP(2018,DEMANDS!$G$2:$CK$25,MATCH($E222,DEMANDS!$E$2:$E$25,0),FALSE)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N222" s="35">
        <f>HLOOKUP(REG_TRA_DEMANDS!N$3,'BY-Demands'!$J$5:$AK$14,MATCH($E222,'BY-Demands'!$I$5:$I$14,0),FALSE)*HLOOKUP(REG_TRA_DEMANDS!$F222,DEMANDS!$G$2:$CK$25,MATCH($E222,DEMANDS!$E$2:$E$25,0),FALSE)/HLOOKUP(2018,DEMANDS!$G$2:$CK$25,MATCH($E222,DEMANDS!$E$2:$E$25,0),FALSE)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O222" s="35">
        <f>HLOOKUP(REG_TRA_DEMANDS!O$3,'BY-Demands'!$J$5:$AK$14,MATCH($E222,'BY-Demands'!$I$5:$I$14,0),FALSE)*HLOOKUP(REG_TRA_DEMANDS!$F222,DEMANDS!$G$2:$CK$25,MATCH($E222,DEMANDS!$E$2:$E$25,0),FALSE)/HLOOKUP(2018,DEMANDS!$G$2:$CK$25,MATCH($E222,DEMANDS!$E$2:$E$25,0),FALSE)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P222" s="35">
        <f>HLOOKUP(REG_TRA_DEMANDS!P$3,'BY-Demands'!$J$5:$AK$14,MATCH($E222,'BY-Demands'!$I$5:$I$14,0),FALSE)*HLOOKUP(REG_TRA_DEMANDS!$F222,DEMANDS!$G$2:$CK$25,MATCH($E222,DEMANDS!$E$2:$E$25,0),FALSE)/HLOOKUP(2018,DEMANDS!$G$2:$CK$25,MATCH($E222,DEMANDS!$E$2:$E$25,0),FALSE)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Q222" s="35">
        <f>HLOOKUP(REG_TRA_DEMANDS!Q$3,'BY-Demands'!$J$5:$AK$14,MATCH($E222,'BY-Demands'!$I$5:$I$14,0),FALSE)*HLOOKUP(REG_TRA_DEMANDS!$F222,DEMANDS!$G$2:$CK$25,MATCH($E222,DEMANDS!$E$2:$E$25,0),FALSE)/HLOOKUP(2018,DEMANDS!$G$2:$CK$25,MATCH($E222,DEMANDS!$E$2:$E$25,0),FALSE)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R222" s="35">
        <f>HLOOKUP(REG_TRA_DEMANDS!R$3,'BY-Demands'!$J$5:$AK$14,MATCH($E222,'BY-Demands'!$I$5:$I$14,0),FALSE)*HLOOKUP(REG_TRA_DEMANDS!$F222,DEMANDS!$G$2:$CK$25,MATCH($E222,DEMANDS!$E$2:$E$25,0),FALSE)/HLOOKUP(2018,DEMANDS!$G$2:$CK$25,MATCH($E222,DEMANDS!$E$2:$E$25,0),FALSE)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S222" s="18">
        <f>HLOOKUP(REG_TRA_DEMANDS!S$3,'BY-Demands'!$J$5:$AK$14,MATCH($E222,'BY-Demands'!$I$5:$I$14,0),FALSE)*HLOOKUP(REG_TRA_DEMANDS!$F222,DEMANDS!$G$2:$CK$25,MATCH($E222,DEMANDS!$E$2:$E$25,0),FALSE)/HLOOKUP(2018,DEMANDS!$G$2:$CK$25,MATCH($E222,DEMANDS!$E$2:$E$25,0),FALSE)</f>
        <v>2.5103582609838924</v>
      </c>
      <c r="T222" s="18">
        <f>HLOOKUP(REG_TRA_DEMANDS!T$3,'BY-Demands'!$J$5:$AK$14,MATCH($E222,'BY-Demands'!$I$5:$I$14,0),FALSE)*HLOOKUP(REG_TRA_DEMANDS!$F222,DEMANDS!$G$2:$CK$25,MATCH($E222,DEMANDS!$E$2:$E$25,0),FALSE)/HLOOKUP(2018,DEMANDS!$G$2:$CK$25,MATCH($E222,DEMANDS!$E$2:$E$25,0),FALSE)</f>
        <v>2.3211246994786991</v>
      </c>
      <c r="U222" s="18">
        <f>HLOOKUP(REG_TRA_DEMANDS!U$3,'BY-Demands'!$J$5:$AK$14,MATCH($E222,'BY-Demands'!$I$5:$I$14,0),FALSE)*HLOOKUP(REG_TRA_DEMANDS!$F222,DEMANDS!$G$2:$CK$25,MATCH($E222,DEMANDS!$E$2:$E$25,0),FALSE)/HLOOKUP(2018,DEMANDS!$G$2:$CK$25,MATCH($E222,DEMANDS!$E$2:$E$25,0),FALSE)</f>
        <v>0.25294648985180301</v>
      </c>
      <c r="V222" s="35">
        <f>HLOOKUP(REG_TRA_DEMANDS!V$3,'BY-Demands'!$J$5:$AK$14,MATCH($E222,'BY-Demands'!$I$5:$I$14,0),FALSE)*HLOOKUP(REG_TRA_DEMANDS!$F222,DEMANDS!$G$2:$CK$25,MATCH($E222,DEMANDS!$E$2:$E$25,0),FALSE)/HLOOKUP(2018,DEMANDS!$G$2:$CK$25,MATCH($E222,DEMANDS!$E$2:$E$25,0),FALSE)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W222" s="35">
        <f>HLOOKUP(REG_TRA_DEMANDS!W$3,'BY-Demands'!$J$5:$AK$14,MATCH($E222,'BY-Demands'!$I$5:$I$14,0),FALSE)*HLOOKUP(REG_TRA_DEMANDS!$F222,DEMANDS!$G$2:$CK$25,MATCH($E222,DEMANDS!$E$2:$E$25,0),FALSE)/HLOOKUP(2018,DEMANDS!$G$2:$CK$25,MATCH($E222,DEMANDS!$E$2:$E$25,0),FALSE)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X222" s="35">
        <f>HLOOKUP(REG_TRA_DEMANDS!X$3,'BY-Demands'!$J$5:$AK$14,MATCH($E222,'BY-Demands'!$I$5:$I$14,0),FALSE)*HLOOKUP(REG_TRA_DEMANDS!$F222,DEMANDS!$G$2:$CK$25,MATCH($E222,DEMANDS!$E$2:$E$25,0),FALSE)/HLOOKUP(2018,DEMANDS!$G$2:$CK$25,MATCH($E222,DEMANDS!$E$2:$E$25,0),FALSE)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Y222" s="35">
        <f>HLOOKUP(REG_TRA_DEMANDS!Y$3,'BY-Demands'!$J$5:$AK$14,MATCH($E222,'BY-Demands'!$I$5:$I$14,0),FALSE)*HLOOKUP(REG_TRA_DEMANDS!$F222,DEMANDS!$G$2:$CK$25,MATCH($E222,DEMANDS!$E$2:$E$25,0),FALSE)/HLOOKUP(2018,DEMANDS!$G$2:$CK$25,MATCH($E222,DEMANDS!$E$2:$E$25,0),FALSE)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Z222" s="35">
        <f>HLOOKUP(REG_TRA_DEMANDS!Z$3,'BY-Demands'!$J$5:$AK$14,MATCH($E222,'BY-Demands'!$I$5:$I$14,0),FALSE)*HLOOKUP(REG_TRA_DEMANDS!$F222,DEMANDS!$G$2:$CK$25,MATCH($E222,DEMANDS!$E$2:$E$25,0),FALSE)/HLOOKUP(2018,DEMANDS!$G$2:$CK$25,MATCH($E222,DEMANDS!$E$2:$E$25,0),FALSE)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AA222" s="18">
        <f>HLOOKUP(REG_TRA_DEMANDS!AA$3,'BY-Demands'!$J$5:$AK$14,MATCH($E222,'BY-Demands'!$I$5:$I$14,0),FALSE)*HLOOKUP(REG_TRA_DEMANDS!$F222,DEMANDS!$G$2:$CK$25,MATCH($E222,DEMANDS!$E$2:$E$25,0),FALSE)/HLOOKUP(2018,DEMANDS!$G$2:$CK$25,MATCH($E222,DEMANDS!$E$2:$E$25,0),FALSE)</f>
        <v>0.72214163606986215</v>
      </c>
      <c r="AB222" s="35">
        <f>HLOOKUP(REG_TRA_DEMANDS!AB$3,'BY-Demands'!$J$5:$AK$14,MATCH($E222,'BY-Demands'!$I$5:$I$14,0),FALSE)*HLOOKUP(REG_TRA_DEMANDS!$F222,DEMANDS!$G$2:$CK$25,MATCH($E222,DEMANDS!$E$2:$E$25,0),FALSE)/HLOOKUP(2018,DEMANDS!$G$2:$CK$25,MATCH($E222,DEMANDS!$E$2:$E$25,0),FALSE)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AC222" s="35">
        <f>HLOOKUP(REG_TRA_DEMANDS!AC$3,'BY-Demands'!$J$5:$AK$14,MATCH($E222,'BY-Demands'!$I$5:$I$14,0),FALSE)*HLOOKUP(REG_TRA_DEMANDS!$F222,DEMANDS!$G$2:$CK$25,MATCH($E222,DEMANDS!$E$2:$E$25,0),FALSE)/HLOOKUP(2018,DEMANDS!$G$2:$CK$25,MATCH($E222,DEMANDS!$E$2:$E$25,0),FALSE)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AD222" s="35">
        <f>HLOOKUP(REG_TRA_DEMANDS!AD$3,'BY-Demands'!$J$5:$AK$14,MATCH($E222,'BY-Demands'!$I$5:$I$14,0),FALSE)*HLOOKUP(REG_TRA_DEMANDS!$F222,DEMANDS!$G$2:$CK$25,MATCH($E222,DEMANDS!$E$2:$E$25,0),FALSE)/HLOOKUP(2018,DEMANDS!$G$2:$CK$25,MATCH($E222,DEMANDS!$E$2:$E$25,0),FALSE)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AE222" s="35">
        <f>HLOOKUP(REG_TRA_DEMANDS!AE$3,'BY-Demands'!$J$5:$AK$14,MATCH($E222,'BY-Demands'!$I$5:$I$14,0),FALSE)*HLOOKUP(REG_TRA_DEMANDS!$F222,DEMANDS!$G$2:$CK$25,MATCH($E222,DEMANDS!$E$2:$E$25,0),FALSE)/HLOOKUP(2018,DEMANDS!$G$2:$CK$25,MATCH($E222,DEMANDS!$E$2:$E$25,0),FALSE)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AF222" s="35">
        <f>HLOOKUP(REG_TRA_DEMANDS!AF$3,'BY-Demands'!$J$5:$AK$14,MATCH($E222,'BY-Demands'!$I$5:$I$14,0),FALSE)*HLOOKUP(REG_TRA_DEMANDS!$F222,DEMANDS!$G$2:$CK$25,MATCH($E222,DEMANDS!$E$2:$E$25,0),FALSE)/HLOOKUP(2018,DEMANDS!$G$2:$CK$25,MATCH($E222,DEMANDS!$E$2:$E$25,0),FALSE)</f>
        <v>0</v>
      </c>
    </row>
    <row r="223" spans="4:32" ht="14.4">
      <c r="D223" t="s">
        <v>6</v>
      </c>
      <c r="E223" t="str">
        <f>DEMANDS!$E$25</f>
        <v>TAVIINT</v>
      </c>
      <c r="F223">
        <v>2023</v>
      </c>
      <c r="G223" s="35">
        <f>HLOOKUP(REG_TRA_DEMANDS!G$3,'BY-Demands'!$J$5:$AK$14,MATCH($E223,'BY-Demands'!$I$5:$I$14,0),FALSE)*HLOOKUP(REG_TRA_DEMANDS!$F223,DEMANDS!$G$2:$CK$25,MATCH($E223,DEMANDS!$E$2:$E$25,0),FALSE)/HLOOKUP(2018,DEMANDS!$G$2:$CK$25,MATCH($E223,DEMANDS!$E$2:$E$25,0),FALSE)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H223" s="18">
        <f>HLOOKUP(REG_TRA_DEMANDS!H$3,'BY-Demands'!$J$5:$AK$14,MATCH($E223,'BY-Demands'!$I$5:$I$14,0),FALSE)*HLOOKUP(REG_TRA_DEMANDS!$F223,DEMANDS!$G$2:$CK$25,MATCH($E223,DEMANDS!$E$2:$E$25,0),FALSE)/HLOOKUP(2018,DEMANDS!$G$2:$CK$25,MATCH($E223,DEMANDS!$E$2:$E$25,0),FALSE)</f>
        <v>42.98473356776946</v>
      </c>
      <c r="I223" s="35">
        <f>HLOOKUP(REG_TRA_DEMANDS!I$3,'BY-Demands'!$J$5:$AK$14,MATCH($E223,'BY-Demands'!$I$5:$I$14,0),FALSE)*HLOOKUP(REG_TRA_DEMANDS!$F223,DEMANDS!$G$2:$CK$25,MATCH($E223,DEMANDS!$E$2:$E$25,0),FALSE)/HLOOKUP(2018,DEMANDS!$G$2:$CK$25,MATCH($E223,DEMANDS!$E$2:$E$25,0),FALSE)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J223" s="35">
        <f>HLOOKUP(REG_TRA_DEMANDS!J$3,'BY-Demands'!$J$5:$AK$14,MATCH($E223,'BY-Demands'!$I$5:$I$14,0),FALSE)*HLOOKUP(REG_TRA_DEMANDS!$F223,DEMANDS!$G$2:$CK$25,MATCH($E223,DEMANDS!$E$2:$E$25,0),FALSE)/HLOOKUP(2018,DEMANDS!$G$2:$CK$25,MATCH($E223,DEMANDS!$E$2:$E$25,0),FALSE)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K223" s="35">
        <f>HLOOKUP(REG_TRA_DEMANDS!K$3,'BY-Demands'!$J$5:$AK$14,MATCH($E223,'BY-Demands'!$I$5:$I$14,0),FALSE)*HLOOKUP(REG_TRA_DEMANDS!$F223,DEMANDS!$G$2:$CK$25,MATCH($E223,DEMANDS!$E$2:$E$25,0),FALSE)/HLOOKUP(2018,DEMANDS!$G$2:$CK$25,MATCH($E223,DEMANDS!$E$2:$E$25,0),FALSE)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L223" s="35">
        <f>HLOOKUP(REG_TRA_DEMANDS!L$3,'BY-Demands'!$J$5:$AK$14,MATCH($E223,'BY-Demands'!$I$5:$I$14,0),FALSE)*HLOOKUP(REG_TRA_DEMANDS!$F223,DEMANDS!$G$2:$CK$25,MATCH($E223,DEMANDS!$E$2:$E$25,0),FALSE)/HLOOKUP(2018,DEMANDS!$G$2:$CK$25,MATCH($E223,DEMANDS!$E$2:$E$25,0),FALSE)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M223" s="35">
        <f>HLOOKUP(REG_TRA_DEMANDS!M$3,'BY-Demands'!$J$5:$AK$14,MATCH($E223,'BY-Demands'!$I$5:$I$14,0),FALSE)*HLOOKUP(REG_TRA_DEMANDS!$F223,DEMANDS!$G$2:$CK$25,MATCH($E223,DEMANDS!$E$2:$E$25,0),FALSE)/HLOOKUP(2018,DEMANDS!$G$2:$CK$25,MATCH($E223,DEMANDS!$E$2:$E$25,0),FALSE)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N223" s="35">
        <f>HLOOKUP(REG_TRA_DEMANDS!N$3,'BY-Demands'!$J$5:$AK$14,MATCH($E223,'BY-Demands'!$I$5:$I$14,0),FALSE)*HLOOKUP(REG_TRA_DEMANDS!$F223,DEMANDS!$G$2:$CK$25,MATCH($E223,DEMANDS!$E$2:$E$25,0),FALSE)/HLOOKUP(2018,DEMANDS!$G$2:$CK$25,MATCH($E223,DEMANDS!$E$2:$E$25,0),FALSE)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O223" s="35">
        <f>HLOOKUP(REG_TRA_DEMANDS!O$3,'BY-Demands'!$J$5:$AK$14,MATCH($E223,'BY-Demands'!$I$5:$I$14,0),FALSE)*HLOOKUP(REG_TRA_DEMANDS!$F223,DEMANDS!$G$2:$CK$25,MATCH($E223,DEMANDS!$E$2:$E$25,0),FALSE)/HLOOKUP(2018,DEMANDS!$G$2:$CK$25,MATCH($E223,DEMANDS!$E$2:$E$25,0),FALSE)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P223" s="35">
        <f>HLOOKUP(REG_TRA_DEMANDS!P$3,'BY-Demands'!$J$5:$AK$14,MATCH($E223,'BY-Demands'!$I$5:$I$14,0),FALSE)*HLOOKUP(REG_TRA_DEMANDS!$F223,DEMANDS!$G$2:$CK$25,MATCH($E223,DEMANDS!$E$2:$E$25,0),FALSE)/HLOOKUP(2018,DEMANDS!$G$2:$CK$25,MATCH($E223,DEMANDS!$E$2:$E$25,0),FALSE)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Q223" s="35">
        <f>HLOOKUP(REG_TRA_DEMANDS!Q$3,'BY-Demands'!$J$5:$AK$14,MATCH($E223,'BY-Demands'!$I$5:$I$14,0),FALSE)*HLOOKUP(REG_TRA_DEMANDS!$F223,DEMANDS!$G$2:$CK$25,MATCH($E223,DEMANDS!$E$2:$E$25,0),FALSE)/HLOOKUP(2018,DEMANDS!$G$2:$CK$25,MATCH($E223,DEMANDS!$E$2:$E$25,0),FALSE)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R223" s="35">
        <f>HLOOKUP(REG_TRA_DEMANDS!R$3,'BY-Demands'!$J$5:$AK$14,MATCH($E223,'BY-Demands'!$I$5:$I$14,0),FALSE)*HLOOKUP(REG_TRA_DEMANDS!$F223,DEMANDS!$G$2:$CK$25,MATCH($E223,DEMANDS!$E$2:$E$25,0),FALSE)/HLOOKUP(2018,DEMANDS!$G$2:$CK$25,MATCH($E223,DEMANDS!$E$2:$E$25,0),FALSE)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S223" s="18">
        <f>HLOOKUP(REG_TRA_DEMANDS!S$3,'BY-Demands'!$J$5:$AK$14,MATCH($E223,'BY-Demands'!$I$5:$I$14,0),FALSE)*HLOOKUP(REG_TRA_DEMANDS!$F223,DEMANDS!$G$2:$CK$25,MATCH($E223,DEMANDS!$E$2:$E$25,0),FALSE)/HLOOKUP(2018,DEMANDS!$G$2:$CK$25,MATCH($E223,DEMANDS!$E$2:$E$25,0),FALSE)</f>
        <v>2.5451745269119446</v>
      </c>
      <c r="T223" s="18">
        <f>HLOOKUP(REG_TRA_DEMANDS!T$3,'BY-Demands'!$J$5:$AK$14,MATCH($E223,'BY-Demands'!$I$5:$I$14,0),FALSE)*HLOOKUP(REG_TRA_DEMANDS!$F223,DEMANDS!$G$2:$CK$25,MATCH($E223,DEMANDS!$E$2:$E$25,0),FALSE)/HLOOKUP(2018,DEMANDS!$G$2:$CK$25,MATCH($E223,DEMANDS!$E$2:$E$25,0),FALSE)</f>
        <v>2.3533164770608943</v>
      </c>
      <c r="U223" s="18">
        <f>HLOOKUP(REG_TRA_DEMANDS!U$3,'BY-Demands'!$J$5:$AK$14,MATCH($E223,'BY-Demands'!$I$5:$I$14,0),FALSE)*HLOOKUP(REG_TRA_DEMANDS!$F223,DEMANDS!$G$2:$CK$25,MATCH($E223,DEMANDS!$E$2:$E$25,0),FALSE)/HLOOKUP(2018,DEMANDS!$G$2:$CK$25,MATCH($E223,DEMANDS!$E$2:$E$25,0),FALSE)</f>
        <v>0.25645461552180043</v>
      </c>
      <c r="V223" s="35">
        <f>HLOOKUP(REG_TRA_DEMANDS!V$3,'BY-Demands'!$J$5:$AK$14,MATCH($E223,'BY-Demands'!$I$5:$I$14,0),FALSE)*HLOOKUP(REG_TRA_DEMANDS!$F223,DEMANDS!$G$2:$CK$25,MATCH($E223,DEMANDS!$E$2:$E$25,0),FALSE)/HLOOKUP(2018,DEMANDS!$G$2:$CK$25,MATCH($E223,DEMANDS!$E$2:$E$25,0),FALSE)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W223" s="35">
        <f>HLOOKUP(REG_TRA_DEMANDS!W$3,'BY-Demands'!$J$5:$AK$14,MATCH($E223,'BY-Demands'!$I$5:$I$14,0),FALSE)*HLOOKUP(REG_TRA_DEMANDS!$F223,DEMANDS!$G$2:$CK$25,MATCH($E223,DEMANDS!$E$2:$E$25,0),FALSE)/HLOOKUP(2018,DEMANDS!$G$2:$CK$25,MATCH($E223,DEMANDS!$E$2:$E$25,0),FALSE)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X223" s="35">
        <f>HLOOKUP(REG_TRA_DEMANDS!X$3,'BY-Demands'!$J$5:$AK$14,MATCH($E223,'BY-Demands'!$I$5:$I$14,0),FALSE)*HLOOKUP(REG_TRA_DEMANDS!$F223,DEMANDS!$G$2:$CK$25,MATCH($E223,DEMANDS!$E$2:$E$25,0),FALSE)/HLOOKUP(2018,DEMANDS!$G$2:$CK$25,MATCH($E223,DEMANDS!$E$2:$E$25,0),FALSE)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Y223" s="35">
        <f>HLOOKUP(REG_TRA_DEMANDS!Y$3,'BY-Demands'!$J$5:$AK$14,MATCH($E223,'BY-Demands'!$I$5:$I$14,0),FALSE)*HLOOKUP(REG_TRA_DEMANDS!$F223,DEMANDS!$G$2:$CK$25,MATCH($E223,DEMANDS!$E$2:$E$25,0),FALSE)/HLOOKUP(2018,DEMANDS!$G$2:$CK$25,MATCH($E223,DEMANDS!$E$2:$E$25,0),FALSE)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Z223" s="35">
        <f>HLOOKUP(REG_TRA_DEMANDS!Z$3,'BY-Demands'!$J$5:$AK$14,MATCH($E223,'BY-Demands'!$I$5:$I$14,0),FALSE)*HLOOKUP(REG_TRA_DEMANDS!$F223,DEMANDS!$G$2:$CK$25,MATCH($E223,DEMANDS!$E$2:$E$25,0),FALSE)/HLOOKUP(2018,DEMANDS!$G$2:$CK$25,MATCH($E223,DEMANDS!$E$2:$E$25,0),FALSE)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AA223" s="18">
        <f>HLOOKUP(REG_TRA_DEMANDS!AA$3,'BY-Demands'!$J$5:$AK$14,MATCH($E223,'BY-Demands'!$I$5:$I$14,0),FALSE)*HLOOKUP(REG_TRA_DEMANDS!$F223,DEMANDS!$G$2:$CK$25,MATCH($E223,DEMANDS!$E$2:$E$25,0),FALSE)/HLOOKUP(2018,DEMANDS!$G$2:$CK$25,MATCH($E223,DEMANDS!$E$2:$E$25,0),FALSE)</f>
        <v>0.73215704926003888</v>
      </c>
      <c r="AB223" s="35">
        <f>HLOOKUP(REG_TRA_DEMANDS!AB$3,'BY-Demands'!$J$5:$AK$14,MATCH($E223,'BY-Demands'!$I$5:$I$14,0),FALSE)*HLOOKUP(REG_TRA_DEMANDS!$F223,DEMANDS!$G$2:$CK$25,MATCH($E223,DEMANDS!$E$2:$E$25,0),FALSE)/HLOOKUP(2018,DEMANDS!$G$2:$CK$25,MATCH($E223,DEMANDS!$E$2:$E$25,0),FALSE)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AC223" s="35">
        <f>HLOOKUP(REG_TRA_DEMANDS!AC$3,'BY-Demands'!$J$5:$AK$14,MATCH($E223,'BY-Demands'!$I$5:$I$14,0),FALSE)*HLOOKUP(REG_TRA_DEMANDS!$F223,DEMANDS!$G$2:$CK$25,MATCH($E223,DEMANDS!$E$2:$E$25,0),FALSE)/HLOOKUP(2018,DEMANDS!$G$2:$CK$25,MATCH($E223,DEMANDS!$E$2:$E$25,0),FALSE)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AD223" s="35">
        <f>HLOOKUP(REG_TRA_DEMANDS!AD$3,'BY-Demands'!$J$5:$AK$14,MATCH($E223,'BY-Demands'!$I$5:$I$14,0),FALSE)*HLOOKUP(REG_TRA_DEMANDS!$F223,DEMANDS!$G$2:$CK$25,MATCH($E223,DEMANDS!$E$2:$E$25,0),FALSE)/HLOOKUP(2018,DEMANDS!$G$2:$CK$25,MATCH($E223,DEMANDS!$E$2:$E$25,0),FALSE)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AE223" s="35">
        <f>HLOOKUP(REG_TRA_DEMANDS!AE$3,'BY-Demands'!$J$5:$AK$14,MATCH($E223,'BY-Demands'!$I$5:$I$14,0),FALSE)*HLOOKUP(REG_TRA_DEMANDS!$F223,DEMANDS!$G$2:$CK$25,MATCH($E223,DEMANDS!$E$2:$E$25,0),FALSE)/HLOOKUP(2018,DEMANDS!$G$2:$CK$25,MATCH($E223,DEMANDS!$E$2:$E$25,0),FALSE)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AF223" s="35">
        <f>HLOOKUP(REG_TRA_DEMANDS!AF$3,'BY-Demands'!$J$5:$AK$14,MATCH($E223,'BY-Demands'!$I$5:$I$14,0),FALSE)*HLOOKUP(REG_TRA_DEMANDS!$F223,DEMANDS!$G$2:$CK$25,MATCH($E223,DEMANDS!$E$2:$E$25,0),FALSE)/HLOOKUP(2018,DEMANDS!$G$2:$CK$25,MATCH($E223,DEMANDS!$E$2:$E$25,0),FALSE)</f>
        <v>0</v>
      </c>
    </row>
    <row r="224" spans="4:32" ht="14.4">
      <c r="D224" t="s">
        <v>6</v>
      </c>
      <c r="E224" t="str">
        <f>DEMANDS!$E$25</f>
        <v>TAVIINT</v>
      </c>
      <c r="F224">
        <v>2024</v>
      </c>
      <c r="G224" s="35">
        <f>HLOOKUP(REG_TRA_DEMANDS!G$3,'BY-Demands'!$J$5:$AK$14,MATCH($E224,'BY-Demands'!$I$5:$I$14,0),FALSE)*HLOOKUP(REG_TRA_DEMANDS!$F224,DEMANDS!$G$2:$CK$25,MATCH($E224,DEMANDS!$E$2:$E$25,0),FALSE)/HLOOKUP(2018,DEMANDS!$G$2:$CK$25,MATCH($E224,DEMANDS!$E$2:$E$25,0),FALSE)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H224" s="18">
        <f>HLOOKUP(REG_TRA_DEMANDS!H$3,'BY-Demands'!$J$5:$AK$14,MATCH($E224,'BY-Demands'!$I$5:$I$14,0),FALSE)*HLOOKUP(REG_TRA_DEMANDS!$F224,DEMANDS!$G$2:$CK$25,MATCH($E224,DEMANDS!$E$2:$E$25,0),FALSE)/HLOOKUP(2018,DEMANDS!$G$2:$CK$25,MATCH($E224,DEMANDS!$E$2:$E$25,0),FALSE)</f>
        <v>43.560974179006251</v>
      </c>
      <c r="I224" s="35">
        <f>HLOOKUP(REG_TRA_DEMANDS!I$3,'BY-Demands'!$J$5:$AK$14,MATCH($E224,'BY-Demands'!$I$5:$I$14,0),FALSE)*HLOOKUP(REG_TRA_DEMANDS!$F224,DEMANDS!$G$2:$CK$25,MATCH($E224,DEMANDS!$E$2:$E$25,0),FALSE)/HLOOKUP(2018,DEMANDS!$G$2:$CK$25,MATCH($E224,DEMANDS!$E$2:$E$25,0),FALSE)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J224" s="35">
        <f>HLOOKUP(REG_TRA_DEMANDS!J$3,'BY-Demands'!$J$5:$AK$14,MATCH($E224,'BY-Demands'!$I$5:$I$14,0),FALSE)*HLOOKUP(REG_TRA_DEMANDS!$F224,DEMANDS!$G$2:$CK$25,MATCH($E224,DEMANDS!$E$2:$E$25,0),FALSE)/HLOOKUP(2018,DEMANDS!$G$2:$CK$25,MATCH($E224,DEMANDS!$E$2:$E$25,0),FALSE)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K224" s="35">
        <f>HLOOKUP(REG_TRA_DEMANDS!K$3,'BY-Demands'!$J$5:$AK$14,MATCH($E224,'BY-Demands'!$I$5:$I$14,0),FALSE)*HLOOKUP(REG_TRA_DEMANDS!$F224,DEMANDS!$G$2:$CK$25,MATCH($E224,DEMANDS!$E$2:$E$25,0),FALSE)/HLOOKUP(2018,DEMANDS!$G$2:$CK$25,MATCH($E224,DEMANDS!$E$2:$E$25,0),FALSE)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L224" s="35">
        <f>HLOOKUP(REG_TRA_DEMANDS!L$3,'BY-Demands'!$J$5:$AK$14,MATCH($E224,'BY-Demands'!$I$5:$I$14,0),FALSE)*HLOOKUP(REG_TRA_DEMANDS!$F224,DEMANDS!$G$2:$CK$25,MATCH($E224,DEMANDS!$E$2:$E$25,0),FALSE)/HLOOKUP(2018,DEMANDS!$G$2:$CK$25,MATCH($E224,DEMANDS!$E$2:$E$25,0),FALSE)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M224" s="35">
        <f>HLOOKUP(REG_TRA_DEMANDS!M$3,'BY-Demands'!$J$5:$AK$14,MATCH($E224,'BY-Demands'!$I$5:$I$14,0),FALSE)*HLOOKUP(REG_TRA_DEMANDS!$F224,DEMANDS!$G$2:$CK$25,MATCH($E224,DEMANDS!$E$2:$E$25,0),FALSE)/HLOOKUP(2018,DEMANDS!$G$2:$CK$25,MATCH($E224,DEMANDS!$E$2:$E$25,0),FALSE)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N224" s="35">
        <f>HLOOKUP(REG_TRA_DEMANDS!N$3,'BY-Demands'!$J$5:$AK$14,MATCH($E224,'BY-Demands'!$I$5:$I$14,0),FALSE)*HLOOKUP(REG_TRA_DEMANDS!$F224,DEMANDS!$G$2:$CK$25,MATCH($E224,DEMANDS!$E$2:$E$25,0),FALSE)/HLOOKUP(2018,DEMANDS!$G$2:$CK$25,MATCH($E224,DEMANDS!$E$2:$E$25,0),FALSE)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O224" s="35">
        <f>HLOOKUP(REG_TRA_DEMANDS!O$3,'BY-Demands'!$J$5:$AK$14,MATCH($E224,'BY-Demands'!$I$5:$I$14,0),FALSE)*HLOOKUP(REG_TRA_DEMANDS!$F224,DEMANDS!$G$2:$CK$25,MATCH($E224,DEMANDS!$E$2:$E$25,0),FALSE)/HLOOKUP(2018,DEMANDS!$G$2:$CK$25,MATCH($E224,DEMANDS!$E$2:$E$25,0),FALSE)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P224" s="35">
        <f>HLOOKUP(REG_TRA_DEMANDS!P$3,'BY-Demands'!$J$5:$AK$14,MATCH($E224,'BY-Demands'!$I$5:$I$14,0),FALSE)*HLOOKUP(REG_TRA_DEMANDS!$F224,DEMANDS!$G$2:$CK$25,MATCH($E224,DEMANDS!$E$2:$E$25,0),FALSE)/HLOOKUP(2018,DEMANDS!$G$2:$CK$25,MATCH($E224,DEMANDS!$E$2:$E$25,0),FALSE)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Q224" s="35">
        <f>HLOOKUP(REG_TRA_DEMANDS!Q$3,'BY-Demands'!$J$5:$AK$14,MATCH($E224,'BY-Demands'!$I$5:$I$14,0),FALSE)*HLOOKUP(REG_TRA_DEMANDS!$F224,DEMANDS!$G$2:$CK$25,MATCH($E224,DEMANDS!$E$2:$E$25,0),FALSE)/HLOOKUP(2018,DEMANDS!$G$2:$CK$25,MATCH($E224,DEMANDS!$E$2:$E$25,0),FALSE)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R224" s="35">
        <f>HLOOKUP(REG_TRA_DEMANDS!R$3,'BY-Demands'!$J$5:$AK$14,MATCH($E224,'BY-Demands'!$I$5:$I$14,0),FALSE)*HLOOKUP(REG_TRA_DEMANDS!$F224,DEMANDS!$G$2:$CK$25,MATCH($E224,DEMANDS!$E$2:$E$25,0),FALSE)/HLOOKUP(2018,DEMANDS!$G$2:$CK$25,MATCH($E224,DEMANDS!$E$2:$E$25,0),FALSE)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S224" s="18">
        <f>HLOOKUP(REG_TRA_DEMANDS!S$3,'BY-Demands'!$J$5:$AK$14,MATCH($E224,'BY-Demands'!$I$5:$I$14,0),FALSE)*HLOOKUP(REG_TRA_DEMANDS!$F224,DEMANDS!$G$2:$CK$25,MATCH($E224,DEMANDS!$E$2:$E$25,0),FALSE)/HLOOKUP(2018,DEMANDS!$G$2:$CK$25,MATCH($E224,DEMANDS!$E$2:$E$25,0),FALSE)</f>
        <v>2.5792943830413249</v>
      </c>
      <c r="T224" s="18">
        <f>HLOOKUP(REG_TRA_DEMANDS!T$3,'BY-Demands'!$J$5:$AK$14,MATCH($E224,'BY-Demands'!$I$5:$I$14,0),FALSE)*HLOOKUP(REG_TRA_DEMANDS!$F224,DEMANDS!$G$2:$CK$25,MATCH($E224,DEMANDS!$E$2:$E$25,0),FALSE)/HLOOKUP(2018,DEMANDS!$G$2:$CK$25,MATCH($E224,DEMANDS!$E$2:$E$25,0),FALSE)</f>
        <v>2.3848643409795387</v>
      </c>
      <c r="U224" s="18">
        <f>HLOOKUP(REG_TRA_DEMANDS!U$3,'BY-Demands'!$J$5:$AK$14,MATCH($E224,'BY-Demands'!$I$5:$I$14,0),FALSE)*HLOOKUP(REG_TRA_DEMANDS!$F224,DEMANDS!$G$2:$CK$25,MATCH($E224,DEMANDS!$E$2:$E$25,0),FALSE)/HLOOKUP(2018,DEMANDS!$G$2:$CK$25,MATCH($E224,DEMANDS!$E$2:$E$25,0),FALSE)</f>
        <v>0.25989257016608802</v>
      </c>
      <c r="V224" s="35">
        <f>HLOOKUP(REG_TRA_DEMANDS!V$3,'BY-Demands'!$J$5:$AK$14,MATCH($E224,'BY-Demands'!$I$5:$I$14,0),FALSE)*HLOOKUP(REG_TRA_DEMANDS!$F224,DEMANDS!$G$2:$CK$25,MATCH($E224,DEMANDS!$E$2:$E$25,0),FALSE)/HLOOKUP(2018,DEMANDS!$G$2:$CK$25,MATCH($E224,DEMANDS!$E$2:$E$25,0),FALSE)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W224" s="35">
        <f>HLOOKUP(REG_TRA_DEMANDS!W$3,'BY-Demands'!$J$5:$AK$14,MATCH($E224,'BY-Demands'!$I$5:$I$14,0),FALSE)*HLOOKUP(REG_TRA_DEMANDS!$F224,DEMANDS!$G$2:$CK$25,MATCH($E224,DEMANDS!$E$2:$E$25,0),FALSE)/HLOOKUP(2018,DEMANDS!$G$2:$CK$25,MATCH($E224,DEMANDS!$E$2:$E$25,0),FALSE)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X224" s="35">
        <f>HLOOKUP(REG_TRA_DEMANDS!X$3,'BY-Demands'!$J$5:$AK$14,MATCH($E224,'BY-Demands'!$I$5:$I$14,0),FALSE)*HLOOKUP(REG_TRA_DEMANDS!$F224,DEMANDS!$G$2:$CK$25,MATCH($E224,DEMANDS!$E$2:$E$25,0),FALSE)/HLOOKUP(2018,DEMANDS!$G$2:$CK$25,MATCH($E224,DEMANDS!$E$2:$E$25,0),FALSE)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Y224" s="35">
        <f>HLOOKUP(REG_TRA_DEMANDS!Y$3,'BY-Demands'!$J$5:$AK$14,MATCH($E224,'BY-Demands'!$I$5:$I$14,0),FALSE)*HLOOKUP(REG_TRA_DEMANDS!$F224,DEMANDS!$G$2:$CK$25,MATCH($E224,DEMANDS!$E$2:$E$25,0),FALSE)/HLOOKUP(2018,DEMANDS!$G$2:$CK$25,MATCH($E224,DEMANDS!$E$2:$E$25,0),FALSE)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Z224" s="35">
        <f>HLOOKUP(REG_TRA_DEMANDS!Z$3,'BY-Demands'!$J$5:$AK$14,MATCH($E224,'BY-Demands'!$I$5:$I$14,0),FALSE)*HLOOKUP(REG_TRA_DEMANDS!$F224,DEMANDS!$G$2:$CK$25,MATCH($E224,DEMANDS!$E$2:$E$25,0),FALSE)/HLOOKUP(2018,DEMANDS!$G$2:$CK$25,MATCH($E224,DEMANDS!$E$2:$E$25,0),FALSE)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AA224" s="18">
        <f>HLOOKUP(REG_TRA_DEMANDS!AA$3,'BY-Demands'!$J$5:$AK$14,MATCH($E224,'BY-Demands'!$I$5:$I$14,0),FALSE)*HLOOKUP(REG_TRA_DEMANDS!$F224,DEMANDS!$G$2:$CK$25,MATCH($E224,DEMANDS!$E$2:$E$25,0),FALSE)/HLOOKUP(2018,DEMANDS!$G$2:$CK$25,MATCH($E224,DEMANDS!$E$2:$E$25,0),FALSE)</f>
        <v>0.74197212988446015</v>
      </c>
      <c r="AB224" s="35">
        <f>HLOOKUP(REG_TRA_DEMANDS!AB$3,'BY-Demands'!$J$5:$AK$14,MATCH($E224,'BY-Demands'!$I$5:$I$14,0),FALSE)*HLOOKUP(REG_TRA_DEMANDS!$F224,DEMANDS!$G$2:$CK$25,MATCH($E224,DEMANDS!$E$2:$E$25,0),FALSE)/HLOOKUP(2018,DEMANDS!$G$2:$CK$25,MATCH($E224,DEMANDS!$E$2:$E$25,0),FALSE)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AC224" s="35">
        <f>HLOOKUP(REG_TRA_DEMANDS!AC$3,'BY-Demands'!$J$5:$AK$14,MATCH($E224,'BY-Demands'!$I$5:$I$14,0),FALSE)*HLOOKUP(REG_TRA_DEMANDS!$F224,DEMANDS!$G$2:$CK$25,MATCH($E224,DEMANDS!$E$2:$E$25,0),FALSE)/HLOOKUP(2018,DEMANDS!$G$2:$CK$25,MATCH($E224,DEMANDS!$E$2:$E$25,0),FALSE)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AD224" s="35">
        <f>HLOOKUP(REG_TRA_DEMANDS!AD$3,'BY-Demands'!$J$5:$AK$14,MATCH($E224,'BY-Demands'!$I$5:$I$14,0),FALSE)*HLOOKUP(REG_TRA_DEMANDS!$F224,DEMANDS!$G$2:$CK$25,MATCH($E224,DEMANDS!$E$2:$E$25,0),FALSE)/HLOOKUP(2018,DEMANDS!$G$2:$CK$25,MATCH($E224,DEMANDS!$E$2:$E$25,0),FALSE)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AE224" s="35">
        <f>HLOOKUP(REG_TRA_DEMANDS!AE$3,'BY-Demands'!$J$5:$AK$14,MATCH($E224,'BY-Demands'!$I$5:$I$14,0),FALSE)*HLOOKUP(REG_TRA_DEMANDS!$F224,DEMANDS!$G$2:$CK$25,MATCH($E224,DEMANDS!$E$2:$E$25,0),FALSE)/HLOOKUP(2018,DEMANDS!$G$2:$CK$25,MATCH($E224,DEMANDS!$E$2:$E$25,0),FALSE)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AF224" s="35">
        <f>HLOOKUP(REG_TRA_DEMANDS!AF$3,'BY-Demands'!$J$5:$AK$14,MATCH($E224,'BY-Demands'!$I$5:$I$14,0),FALSE)*HLOOKUP(REG_TRA_DEMANDS!$F224,DEMANDS!$G$2:$CK$25,MATCH($E224,DEMANDS!$E$2:$E$25,0),FALSE)/HLOOKUP(2018,DEMANDS!$G$2:$CK$25,MATCH($E224,DEMANDS!$E$2:$E$25,0),FALSE)</f>
        <v>0</v>
      </c>
    </row>
    <row r="225" spans="4:32" ht="14.4">
      <c r="D225" t="s">
        <v>6</v>
      </c>
      <c r="E225" t="str">
        <f>DEMANDS!$E$25</f>
        <v>TAVIINT</v>
      </c>
      <c r="F225">
        <v>2025</v>
      </c>
      <c r="G225" s="35">
        <f>HLOOKUP(REG_TRA_DEMANDS!G$3,'BY-Demands'!$J$5:$AK$14,MATCH($E225,'BY-Demands'!$I$5:$I$14,0),FALSE)*HLOOKUP(REG_TRA_DEMANDS!$F225,DEMANDS!$G$2:$CK$25,MATCH($E225,DEMANDS!$E$2:$E$25,0),FALSE)/HLOOKUP(2018,DEMANDS!$G$2:$CK$25,MATCH($E225,DEMANDS!$E$2:$E$25,0),FALSE)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H225" s="18">
        <f>HLOOKUP(REG_TRA_DEMANDS!H$3,'BY-Demands'!$J$5:$AK$14,MATCH($E225,'BY-Demands'!$I$5:$I$14,0),FALSE)*HLOOKUP(REG_TRA_DEMANDS!$F225,DEMANDS!$G$2:$CK$25,MATCH($E225,DEMANDS!$E$2:$E$25,0),FALSE)/HLOOKUP(2018,DEMANDS!$G$2:$CK$25,MATCH($E225,DEMANDS!$E$2:$E$25,0),FALSE)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I225" s="35">
        <f>HLOOKUP(REG_TRA_DEMANDS!I$3,'BY-Demands'!$J$5:$AK$14,MATCH($E225,'BY-Demands'!$I$5:$I$14,0),FALSE)*HLOOKUP(REG_TRA_DEMANDS!$F225,DEMANDS!$G$2:$CK$25,MATCH($E225,DEMANDS!$E$2:$E$25,0),FALSE)/HLOOKUP(2018,DEMANDS!$G$2:$CK$25,MATCH($E225,DEMANDS!$E$2:$E$25,0),FALSE)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J225" s="35">
        <f>HLOOKUP(REG_TRA_DEMANDS!J$3,'BY-Demands'!$J$5:$AK$14,MATCH($E225,'BY-Demands'!$I$5:$I$14,0),FALSE)*HLOOKUP(REG_TRA_DEMANDS!$F225,DEMANDS!$G$2:$CK$25,MATCH($E225,DEMANDS!$E$2:$E$25,0),FALSE)/HLOOKUP(2018,DEMANDS!$G$2:$CK$25,MATCH($E225,DEMANDS!$E$2:$E$25,0),FALSE)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K225" s="35">
        <f>HLOOKUP(REG_TRA_DEMANDS!K$3,'BY-Demands'!$J$5:$AK$14,MATCH($E225,'BY-Demands'!$I$5:$I$14,0),FALSE)*HLOOKUP(REG_TRA_DEMANDS!$F225,DEMANDS!$G$2:$CK$25,MATCH($E225,DEMANDS!$E$2:$E$25,0),FALSE)/HLOOKUP(2018,DEMANDS!$G$2:$CK$25,MATCH($E225,DEMANDS!$E$2:$E$25,0),FALSE)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L225" s="35">
        <f>HLOOKUP(REG_TRA_DEMANDS!L$3,'BY-Demands'!$J$5:$AK$14,MATCH($E225,'BY-Demands'!$I$5:$I$14,0),FALSE)*HLOOKUP(REG_TRA_DEMANDS!$F225,DEMANDS!$G$2:$CK$25,MATCH($E225,DEMANDS!$E$2:$E$25,0),FALSE)/HLOOKUP(2018,DEMANDS!$G$2:$CK$25,MATCH($E225,DEMANDS!$E$2:$E$25,0),FALSE)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M225" s="35">
        <f>HLOOKUP(REG_TRA_DEMANDS!M$3,'BY-Demands'!$J$5:$AK$14,MATCH($E225,'BY-Demands'!$I$5:$I$14,0),FALSE)*HLOOKUP(REG_TRA_DEMANDS!$F225,DEMANDS!$G$2:$CK$25,MATCH($E225,DEMANDS!$E$2:$E$25,0),FALSE)/HLOOKUP(2018,DEMANDS!$G$2:$CK$25,MATCH($E225,DEMANDS!$E$2:$E$25,0),FALSE)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N225" s="35">
        <f>HLOOKUP(REG_TRA_DEMANDS!N$3,'BY-Demands'!$J$5:$AK$14,MATCH($E225,'BY-Demands'!$I$5:$I$14,0),FALSE)*HLOOKUP(REG_TRA_DEMANDS!$F225,DEMANDS!$G$2:$CK$25,MATCH($E225,DEMANDS!$E$2:$E$25,0),FALSE)/HLOOKUP(2018,DEMANDS!$G$2:$CK$25,MATCH($E225,DEMANDS!$E$2:$E$25,0),FALSE)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O225" s="35">
        <f>HLOOKUP(REG_TRA_DEMANDS!O$3,'BY-Demands'!$J$5:$AK$14,MATCH($E225,'BY-Demands'!$I$5:$I$14,0),FALSE)*HLOOKUP(REG_TRA_DEMANDS!$F225,DEMANDS!$G$2:$CK$25,MATCH($E225,DEMANDS!$E$2:$E$25,0),FALSE)/HLOOKUP(2018,DEMANDS!$G$2:$CK$25,MATCH($E225,DEMANDS!$E$2:$E$25,0),FALSE)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P225" s="35">
        <f>HLOOKUP(REG_TRA_DEMANDS!P$3,'BY-Demands'!$J$5:$AK$14,MATCH($E225,'BY-Demands'!$I$5:$I$14,0),FALSE)*HLOOKUP(REG_TRA_DEMANDS!$F225,DEMANDS!$G$2:$CK$25,MATCH($E225,DEMANDS!$E$2:$E$25,0),FALSE)/HLOOKUP(2018,DEMANDS!$G$2:$CK$25,MATCH($E225,DEMANDS!$E$2:$E$25,0),FALSE)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Q225" s="35">
        <f>HLOOKUP(REG_TRA_DEMANDS!Q$3,'BY-Demands'!$J$5:$AK$14,MATCH($E225,'BY-Demands'!$I$5:$I$14,0),FALSE)*HLOOKUP(REG_TRA_DEMANDS!$F225,DEMANDS!$G$2:$CK$25,MATCH($E225,DEMANDS!$E$2:$E$25,0),FALSE)/HLOOKUP(2018,DEMANDS!$G$2:$CK$25,MATCH($E225,DEMANDS!$E$2:$E$25,0),FALSE)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R225" s="35">
        <f>HLOOKUP(REG_TRA_DEMANDS!R$3,'BY-Demands'!$J$5:$AK$14,MATCH($E225,'BY-Demands'!$I$5:$I$14,0),FALSE)*HLOOKUP(REG_TRA_DEMANDS!$F225,DEMANDS!$G$2:$CK$25,MATCH($E225,DEMANDS!$E$2:$E$25,0),FALSE)/HLOOKUP(2018,DEMANDS!$G$2:$CK$25,MATCH($E225,DEMANDS!$E$2:$E$25,0),FALSE)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S225" s="18">
        <f>HLOOKUP(REG_TRA_DEMANDS!S$3,'BY-Demands'!$J$5:$AK$14,MATCH($E225,'BY-Demands'!$I$5:$I$14,0),FALSE)*HLOOKUP(REG_TRA_DEMANDS!$F225,DEMANDS!$G$2:$CK$25,MATCH($E225,DEMANDS!$E$2:$E$25,0),FALSE)/HLOOKUP(2018,DEMANDS!$G$2:$CK$25,MATCH($E225,DEMANDS!$E$2:$E$25,0),FALSE)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T225" s="18">
        <f>HLOOKUP(REG_TRA_DEMANDS!T$3,'BY-Demands'!$J$5:$AK$14,MATCH($E225,'BY-Demands'!$I$5:$I$14,0),FALSE)*HLOOKUP(REG_TRA_DEMANDS!$F225,DEMANDS!$G$2:$CK$25,MATCH($E225,DEMANDS!$E$2:$E$25,0),FALSE)/HLOOKUP(2018,DEMANDS!$G$2:$CK$25,MATCH($E225,DEMANDS!$E$2:$E$25,0),FALSE)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U225" s="18">
        <f>HLOOKUP(REG_TRA_DEMANDS!U$3,'BY-Demands'!$J$5:$AK$14,MATCH($E225,'BY-Demands'!$I$5:$I$14,0),FALSE)*HLOOKUP(REG_TRA_DEMANDS!$F225,DEMANDS!$G$2:$CK$25,MATCH($E225,DEMANDS!$E$2:$E$25,0),FALSE)/HLOOKUP(2018,DEMANDS!$G$2:$CK$25,MATCH($E225,DEMANDS!$E$2:$E$25,0),FALSE)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V225" s="35">
        <f>HLOOKUP(REG_TRA_DEMANDS!V$3,'BY-Demands'!$J$5:$AK$14,MATCH($E225,'BY-Demands'!$I$5:$I$14,0),FALSE)*HLOOKUP(REG_TRA_DEMANDS!$F225,DEMANDS!$G$2:$CK$25,MATCH($E225,DEMANDS!$E$2:$E$25,0),FALSE)/HLOOKUP(2018,DEMANDS!$G$2:$CK$25,MATCH($E225,DEMANDS!$E$2:$E$25,0),FALSE)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W225" s="35">
        <f>HLOOKUP(REG_TRA_DEMANDS!W$3,'BY-Demands'!$J$5:$AK$14,MATCH($E225,'BY-Demands'!$I$5:$I$14,0),FALSE)*HLOOKUP(REG_TRA_DEMANDS!$F225,DEMANDS!$G$2:$CK$25,MATCH($E225,DEMANDS!$E$2:$E$25,0),FALSE)/HLOOKUP(2018,DEMANDS!$G$2:$CK$25,MATCH($E225,DEMANDS!$E$2:$E$25,0),FALSE)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X225" s="35">
        <f>HLOOKUP(REG_TRA_DEMANDS!X$3,'BY-Demands'!$J$5:$AK$14,MATCH($E225,'BY-Demands'!$I$5:$I$14,0),FALSE)*HLOOKUP(REG_TRA_DEMANDS!$F225,DEMANDS!$G$2:$CK$25,MATCH($E225,DEMANDS!$E$2:$E$25,0),FALSE)/HLOOKUP(2018,DEMANDS!$G$2:$CK$25,MATCH($E225,DEMANDS!$E$2:$E$25,0),FALSE)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Y225" s="35">
        <f>HLOOKUP(REG_TRA_DEMANDS!Y$3,'BY-Demands'!$J$5:$AK$14,MATCH($E225,'BY-Demands'!$I$5:$I$14,0),FALSE)*HLOOKUP(REG_TRA_DEMANDS!$F225,DEMANDS!$G$2:$CK$25,MATCH($E225,DEMANDS!$E$2:$E$25,0),FALSE)/HLOOKUP(2018,DEMANDS!$G$2:$CK$25,MATCH($E225,DEMANDS!$E$2:$E$25,0),FALSE)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Z225" s="35">
        <f>HLOOKUP(REG_TRA_DEMANDS!Z$3,'BY-Demands'!$J$5:$AK$14,MATCH($E225,'BY-Demands'!$I$5:$I$14,0),FALSE)*HLOOKUP(REG_TRA_DEMANDS!$F225,DEMANDS!$G$2:$CK$25,MATCH($E225,DEMANDS!$E$2:$E$25,0),FALSE)/HLOOKUP(2018,DEMANDS!$G$2:$CK$25,MATCH($E225,DEMANDS!$E$2:$E$25,0),FALSE)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AA225" s="18">
        <f>HLOOKUP(REG_TRA_DEMANDS!AA$3,'BY-Demands'!$J$5:$AK$14,MATCH($E225,'BY-Demands'!$I$5:$I$14,0),FALSE)*HLOOKUP(REG_TRA_DEMANDS!$F225,DEMANDS!$G$2:$CK$25,MATCH($E225,DEMANDS!$E$2:$E$25,0),FALSE)/HLOOKUP(2018,DEMANDS!$G$2:$CK$25,MATCH($E225,DEMANDS!$E$2:$E$25,0),FALSE)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AB225" s="35">
        <f>HLOOKUP(REG_TRA_DEMANDS!AB$3,'BY-Demands'!$J$5:$AK$14,MATCH($E225,'BY-Demands'!$I$5:$I$14,0),FALSE)*HLOOKUP(REG_TRA_DEMANDS!$F225,DEMANDS!$G$2:$CK$25,MATCH($E225,DEMANDS!$E$2:$E$25,0),FALSE)/HLOOKUP(2018,DEMANDS!$G$2:$CK$25,MATCH($E225,DEMANDS!$E$2:$E$25,0),FALSE)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AC225" s="35">
        <f>HLOOKUP(REG_TRA_DEMANDS!AC$3,'BY-Demands'!$J$5:$AK$14,MATCH($E225,'BY-Demands'!$I$5:$I$14,0),FALSE)*HLOOKUP(REG_TRA_DEMANDS!$F225,DEMANDS!$G$2:$CK$25,MATCH($E225,DEMANDS!$E$2:$E$25,0),FALSE)/HLOOKUP(2018,DEMANDS!$G$2:$CK$25,MATCH($E225,DEMANDS!$E$2:$E$25,0),FALSE)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AD225" s="35">
        <f>HLOOKUP(REG_TRA_DEMANDS!AD$3,'BY-Demands'!$J$5:$AK$14,MATCH($E225,'BY-Demands'!$I$5:$I$14,0),FALSE)*HLOOKUP(REG_TRA_DEMANDS!$F225,DEMANDS!$G$2:$CK$25,MATCH($E225,DEMANDS!$E$2:$E$25,0),FALSE)/HLOOKUP(2018,DEMANDS!$G$2:$CK$25,MATCH($E225,DEMANDS!$E$2:$E$25,0),FALSE)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AE225" s="35">
        <f>HLOOKUP(REG_TRA_DEMANDS!AE$3,'BY-Demands'!$J$5:$AK$14,MATCH($E225,'BY-Demands'!$I$5:$I$14,0),FALSE)*HLOOKUP(REG_TRA_DEMANDS!$F225,DEMANDS!$G$2:$CK$25,MATCH($E225,DEMANDS!$E$2:$E$25,0),FALSE)/HLOOKUP(2018,DEMANDS!$G$2:$CK$25,MATCH($E225,DEMANDS!$E$2:$E$25,0),FALSE)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AF225" s="35">
        <f>HLOOKUP(REG_TRA_DEMANDS!AF$3,'BY-Demands'!$J$5:$AK$14,MATCH($E225,'BY-Demands'!$I$5:$I$14,0),FALSE)*HLOOKUP(REG_TRA_DEMANDS!$F225,DEMANDS!$G$2:$CK$25,MATCH($E225,DEMANDS!$E$2:$E$25,0),FALSE)/HLOOKUP(2018,DEMANDS!$G$2:$CK$25,MATCH($E225,DEMANDS!$E$2:$E$25,0),FALSE)</f>
        <v>0</v>
      </c>
    </row>
    <row r="226" spans="4:32" ht="14.4">
      <c r="D226" t="s">
        <v>6</v>
      </c>
      <c r="E226" t="str">
        <f>DEMANDS!$E$25</f>
        <v>TAVIINT</v>
      </c>
      <c r="F226">
        <v>2026</v>
      </c>
      <c r="G226" s="35">
        <f>HLOOKUP(REG_TRA_DEMANDS!G$3,'BY-Demands'!$J$5:$AK$14,MATCH($E226,'BY-Demands'!$I$5:$I$14,0),FALSE)*HLOOKUP(REG_TRA_DEMANDS!$F226,DEMANDS!$G$2:$CK$25,MATCH($E226,DEMANDS!$E$2:$E$25,0),FALSE)/HLOOKUP(2018,DEMANDS!$G$2:$CK$25,MATCH($E226,DEMANDS!$E$2:$E$25,0),FALSE)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H226" s="18">
        <f>HLOOKUP(REG_TRA_DEMANDS!H$3,'BY-Demands'!$J$5:$AK$14,MATCH($E226,'BY-Demands'!$I$5:$I$14,0),FALSE)*HLOOKUP(REG_TRA_DEMANDS!$F226,DEMANDS!$G$2:$CK$25,MATCH($E226,DEMANDS!$E$2:$E$25,0),FALSE)/HLOOKUP(2018,DEMANDS!$G$2:$CK$25,MATCH($E226,DEMANDS!$E$2:$E$25,0),FALSE)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I226" s="35">
        <f>HLOOKUP(REG_TRA_DEMANDS!I$3,'BY-Demands'!$J$5:$AK$14,MATCH($E226,'BY-Demands'!$I$5:$I$14,0),FALSE)*HLOOKUP(REG_TRA_DEMANDS!$F226,DEMANDS!$G$2:$CK$25,MATCH($E226,DEMANDS!$E$2:$E$25,0),FALSE)/HLOOKUP(2018,DEMANDS!$G$2:$CK$25,MATCH($E226,DEMANDS!$E$2:$E$25,0),FALSE)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J226" s="35">
        <f>HLOOKUP(REG_TRA_DEMANDS!J$3,'BY-Demands'!$J$5:$AK$14,MATCH($E226,'BY-Demands'!$I$5:$I$14,0),FALSE)*HLOOKUP(REG_TRA_DEMANDS!$F226,DEMANDS!$G$2:$CK$25,MATCH($E226,DEMANDS!$E$2:$E$25,0),FALSE)/HLOOKUP(2018,DEMANDS!$G$2:$CK$25,MATCH($E226,DEMANDS!$E$2:$E$25,0),FALSE)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K226" s="35">
        <f>HLOOKUP(REG_TRA_DEMANDS!K$3,'BY-Demands'!$J$5:$AK$14,MATCH($E226,'BY-Demands'!$I$5:$I$14,0),FALSE)*HLOOKUP(REG_TRA_DEMANDS!$F226,DEMANDS!$G$2:$CK$25,MATCH($E226,DEMANDS!$E$2:$E$25,0),FALSE)/HLOOKUP(2018,DEMANDS!$G$2:$CK$25,MATCH($E226,DEMANDS!$E$2:$E$25,0),FALSE)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L226" s="35">
        <f>HLOOKUP(REG_TRA_DEMANDS!L$3,'BY-Demands'!$J$5:$AK$14,MATCH($E226,'BY-Demands'!$I$5:$I$14,0),FALSE)*HLOOKUP(REG_TRA_DEMANDS!$F226,DEMANDS!$G$2:$CK$25,MATCH($E226,DEMANDS!$E$2:$E$25,0),FALSE)/HLOOKUP(2018,DEMANDS!$G$2:$CK$25,MATCH($E226,DEMANDS!$E$2:$E$25,0),FALSE)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M226" s="35">
        <f>HLOOKUP(REG_TRA_DEMANDS!M$3,'BY-Demands'!$J$5:$AK$14,MATCH($E226,'BY-Demands'!$I$5:$I$14,0),FALSE)*HLOOKUP(REG_TRA_DEMANDS!$F226,DEMANDS!$G$2:$CK$25,MATCH($E226,DEMANDS!$E$2:$E$25,0),FALSE)/HLOOKUP(2018,DEMANDS!$G$2:$CK$25,MATCH($E226,DEMANDS!$E$2:$E$25,0),FALSE)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N226" s="35">
        <f>HLOOKUP(REG_TRA_DEMANDS!N$3,'BY-Demands'!$J$5:$AK$14,MATCH($E226,'BY-Demands'!$I$5:$I$14,0),FALSE)*HLOOKUP(REG_TRA_DEMANDS!$F226,DEMANDS!$G$2:$CK$25,MATCH($E226,DEMANDS!$E$2:$E$25,0),FALSE)/HLOOKUP(2018,DEMANDS!$G$2:$CK$25,MATCH($E226,DEMANDS!$E$2:$E$25,0),FALSE)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O226" s="35">
        <f>HLOOKUP(REG_TRA_DEMANDS!O$3,'BY-Demands'!$J$5:$AK$14,MATCH($E226,'BY-Demands'!$I$5:$I$14,0),FALSE)*HLOOKUP(REG_TRA_DEMANDS!$F226,DEMANDS!$G$2:$CK$25,MATCH($E226,DEMANDS!$E$2:$E$25,0),FALSE)/HLOOKUP(2018,DEMANDS!$G$2:$CK$25,MATCH($E226,DEMANDS!$E$2:$E$25,0),FALSE)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P226" s="35">
        <f>HLOOKUP(REG_TRA_DEMANDS!P$3,'BY-Demands'!$J$5:$AK$14,MATCH($E226,'BY-Demands'!$I$5:$I$14,0),FALSE)*HLOOKUP(REG_TRA_DEMANDS!$F226,DEMANDS!$G$2:$CK$25,MATCH($E226,DEMANDS!$E$2:$E$25,0),FALSE)/HLOOKUP(2018,DEMANDS!$G$2:$CK$25,MATCH($E226,DEMANDS!$E$2:$E$25,0),FALSE)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Q226" s="35">
        <f>HLOOKUP(REG_TRA_DEMANDS!Q$3,'BY-Demands'!$J$5:$AK$14,MATCH($E226,'BY-Demands'!$I$5:$I$14,0),FALSE)*HLOOKUP(REG_TRA_DEMANDS!$F226,DEMANDS!$G$2:$CK$25,MATCH($E226,DEMANDS!$E$2:$E$25,0),FALSE)/HLOOKUP(2018,DEMANDS!$G$2:$CK$25,MATCH($E226,DEMANDS!$E$2:$E$25,0),FALSE)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R226" s="35">
        <f>HLOOKUP(REG_TRA_DEMANDS!R$3,'BY-Demands'!$J$5:$AK$14,MATCH($E226,'BY-Demands'!$I$5:$I$14,0),FALSE)*HLOOKUP(REG_TRA_DEMANDS!$F226,DEMANDS!$G$2:$CK$25,MATCH($E226,DEMANDS!$E$2:$E$25,0),FALSE)/HLOOKUP(2018,DEMANDS!$G$2:$CK$25,MATCH($E226,DEMANDS!$E$2:$E$25,0),FALSE)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S226" s="18">
        <f>HLOOKUP(REG_TRA_DEMANDS!S$3,'BY-Demands'!$J$5:$AK$14,MATCH($E226,'BY-Demands'!$I$5:$I$14,0),FALSE)*HLOOKUP(REG_TRA_DEMANDS!$F226,DEMANDS!$G$2:$CK$25,MATCH($E226,DEMANDS!$E$2:$E$25,0),FALSE)/HLOOKUP(2018,DEMANDS!$G$2:$CK$25,MATCH($E226,DEMANDS!$E$2:$E$25,0),FALSE)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T226" s="18">
        <f>HLOOKUP(REG_TRA_DEMANDS!T$3,'BY-Demands'!$J$5:$AK$14,MATCH($E226,'BY-Demands'!$I$5:$I$14,0),FALSE)*HLOOKUP(REG_TRA_DEMANDS!$F226,DEMANDS!$G$2:$CK$25,MATCH($E226,DEMANDS!$E$2:$E$25,0),FALSE)/HLOOKUP(2018,DEMANDS!$G$2:$CK$25,MATCH($E226,DEMANDS!$E$2:$E$25,0),FALSE)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U226" s="18">
        <f>HLOOKUP(REG_TRA_DEMANDS!U$3,'BY-Demands'!$J$5:$AK$14,MATCH($E226,'BY-Demands'!$I$5:$I$14,0),FALSE)*HLOOKUP(REG_TRA_DEMANDS!$F226,DEMANDS!$G$2:$CK$25,MATCH($E226,DEMANDS!$E$2:$E$25,0),FALSE)/HLOOKUP(2018,DEMANDS!$G$2:$CK$25,MATCH($E226,DEMANDS!$E$2:$E$25,0),FALSE)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V226" s="35">
        <f>HLOOKUP(REG_TRA_DEMANDS!V$3,'BY-Demands'!$J$5:$AK$14,MATCH($E226,'BY-Demands'!$I$5:$I$14,0),FALSE)*HLOOKUP(REG_TRA_DEMANDS!$F226,DEMANDS!$G$2:$CK$25,MATCH($E226,DEMANDS!$E$2:$E$25,0),FALSE)/HLOOKUP(2018,DEMANDS!$G$2:$CK$25,MATCH($E226,DEMANDS!$E$2:$E$25,0),FALSE)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W226" s="35">
        <f>HLOOKUP(REG_TRA_DEMANDS!W$3,'BY-Demands'!$J$5:$AK$14,MATCH($E226,'BY-Demands'!$I$5:$I$14,0),FALSE)*HLOOKUP(REG_TRA_DEMANDS!$F226,DEMANDS!$G$2:$CK$25,MATCH($E226,DEMANDS!$E$2:$E$25,0),FALSE)/HLOOKUP(2018,DEMANDS!$G$2:$CK$25,MATCH($E226,DEMANDS!$E$2:$E$25,0),FALSE)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X226" s="35">
        <f>HLOOKUP(REG_TRA_DEMANDS!X$3,'BY-Demands'!$J$5:$AK$14,MATCH($E226,'BY-Demands'!$I$5:$I$14,0),FALSE)*HLOOKUP(REG_TRA_DEMANDS!$F226,DEMANDS!$G$2:$CK$25,MATCH($E226,DEMANDS!$E$2:$E$25,0),FALSE)/HLOOKUP(2018,DEMANDS!$G$2:$CK$25,MATCH($E226,DEMANDS!$E$2:$E$25,0),FALSE)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Y226" s="35">
        <f>HLOOKUP(REG_TRA_DEMANDS!Y$3,'BY-Demands'!$J$5:$AK$14,MATCH($E226,'BY-Demands'!$I$5:$I$14,0),FALSE)*HLOOKUP(REG_TRA_DEMANDS!$F226,DEMANDS!$G$2:$CK$25,MATCH($E226,DEMANDS!$E$2:$E$25,0),FALSE)/HLOOKUP(2018,DEMANDS!$G$2:$CK$25,MATCH($E226,DEMANDS!$E$2:$E$25,0),FALSE)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Z226" s="35">
        <f>HLOOKUP(REG_TRA_DEMANDS!Z$3,'BY-Demands'!$J$5:$AK$14,MATCH($E226,'BY-Demands'!$I$5:$I$14,0),FALSE)*HLOOKUP(REG_TRA_DEMANDS!$F226,DEMANDS!$G$2:$CK$25,MATCH($E226,DEMANDS!$E$2:$E$25,0),FALSE)/HLOOKUP(2018,DEMANDS!$G$2:$CK$25,MATCH($E226,DEMANDS!$E$2:$E$25,0),FALSE)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AA226" s="18">
        <f>HLOOKUP(REG_TRA_DEMANDS!AA$3,'BY-Demands'!$J$5:$AK$14,MATCH($E226,'BY-Demands'!$I$5:$I$14,0),FALSE)*HLOOKUP(REG_TRA_DEMANDS!$F226,DEMANDS!$G$2:$CK$25,MATCH($E226,DEMANDS!$E$2:$E$25,0),FALSE)/HLOOKUP(2018,DEMANDS!$G$2:$CK$25,MATCH($E226,DEMANDS!$E$2:$E$25,0),FALSE)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AB226" s="35">
        <f>HLOOKUP(REG_TRA_DEMANDS!AB$3,'BY-Demands'!$J$5:$AK$14,MATCH($E226,'BY-Demands'!$I$5:$I$14,0),FALSE)*HLOOKUP(REG_TRA_DEMANDS!$F226,DEMANDS!$G$2:$CK$25,MATCH($E226,DEMANDS!$E$2:$E$25,0),FALSE)/HLOOKUP(2018,DEMANDS!$G$2:$CK$25,MATCH($E226,DEMANDS!$E$2:$E$25,0),FALSE)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AC226" s="35">
        <f>HLOOKUP(REG_TRA_DEMANDS!AC$3,'BY-Demands'!$J$5:$AK$14,MATCH($E226,'BY-Demands'!$I$5:$I$14,0),FALSE)*HLOOKUP(REG_TRA_DEMANDS!$F226,DEMANDS!$G$2:$CK$25,MATCH($E226,DEMANDS!$E$2:$E$25,0),FALSE)/HLOOKUP(2018,DEMANDS!$G$2:$CK$25,MATCH($E226,DEMANDS!$E$2:$E$25,0),FALSE)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AD226" s="35">
        <f>HLOOKUP(REG_TRA_DEMANDS!AD$3,'BY-Demands'!$J$5:$AK$14,MATCH($E226,'BY-Demands'!$I$5:$I$14,0),FALSE)*HLOOKUP(REG_TRA_DEMANDS!$F226,DEMANDS!$G$2:$CK$25,MATCH($E226,DEMANDS!$E$2:$E$25,0),FALSE)/HLOOKUP(2018,DEMANDS!$G$2:$CK$25,MATCH($E226,DEMANDS!$E$2:$E$25,0),FALSE)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AE226" s="35">
        <f>HLOOKUP(REG_TRA_DEMANDS!AE$3,'BY-Demands'!$J$5:$AK$14,MATCH($E226,'BY-Demands'!$I$5:$I$14,0),FALSE)*HLOOKUP(REG_TRA_DEMANDS!$F226,DEMANDS!$G$2:$CK$25,MATCH($E226,DEMANDS!$E$2:$E$25,0),FALSE)/HLOOKUP(2018,DEMANDS!$G$2:$CK$25,MATCH($E226,DEMANDS!$E$2:$E$25,0),FALSE)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AF226" s="35">
        <f>HLOOKUP(REG_TRA_DEMANDS!AF$3,'BY-Demands'!$J$5:$AK$14,MATCH($E226,'BY-Demands'!$I$5:$I$14,0),FALSE)*HLOOKUP(REG_TRA_DEMANDS!$F226,DEMANDS!$G$2:$CK$25,MATCH($E226,DEMANDS!$E$2:$E$25,0),FALSE)/HLOOKUP(2018,DEMANDS!$G$2:$CK$25,MATCH($E226,DEMANDS!$E$2:$E$25,0),FALSE)</f>
        <v>0</v>
      </c>
    </row>
    <row r="227" spans="4:32" ht="14.4">
      <c r="D227" t="s">
        <v>6</v>
      </c>
      <c r="E227" t="str">
        <f>DEMANDS!$E$25</f>
        <v>TAVIINT</v>
      </c>
      <c r="F227">
        <v>2027</v>
      </c>
      <c r="G227" s="35">
        <f>HLOOKUP(REG_TRA_DEMANDS!G$3,'BY-Demands'!$J$5:$AK$14,MATCH($E227,'BY-Demands'!$I$5:$I$14,0),FALSE)*HLOOKUP(REG_TRA_DEMANDS!$F227,DEMANDS!$G$2:$CK$25,MATCH($E227,DEMANDS!$E$2:$E$25,0),FALSE)/HLOOKUP(2018,DEMANDS!$G$2:$CK$25,MATCH($E227,DEMANDS!$E$2:$E$25,0),FALSE)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H227" s="18">
        <f>HLOOKUP(REG_TRA_DEMANDS!H$3,'BY-Demands'!$J$5:$AK$14,MATCH($E227,'BY-Demands'!$I$5:$I$14,0),FALSE)*HLOOKUP(REG_TRA_DEMANDS!$F227,DEMANDS!$G$2:$CK$25,MATCH($E227,DEMANDS!$E$2:$E$25,0),FALSE)/HLOOKUP(2018,DEMANDS!$G$2:$CK$25,MATCH($E227,DEMANDS!$E$2:$E$25,0),FALSE)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I227" s="35">
        <f>HLOOKUP(REG_TRA_DEMANDS!I$3,'BY-Demands'!$J$5:$AK$14,MATCH($E227,'BY-Demands'!$I$5:$I$14,0),FALSE)*HLOOKUP(REG_TRA_DEMANDS!$F227,DEMANDS!$G$2:$CK$25,MATCH($E227,DEMANDS!$E$2:$E$25,0),FALSE)/HLOOKUP(2018,DEMANDS!$G$2:$CK$25,MATCH($E227,DEMANDS!$E$2:$E$25,0),FALSE)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J227" s="35">
        <f>HLOOKUP(REG_TRA_DEMANDS!J$3,'BY-Demands'!$J$5:$AK$14,MATCH($E227,'BY-Demands'!$I$5:$I$14,0),FALSE)*HLOOKUP(REG_TRA_DEMANDS!$F227,DEMANDS!$G$2:$CK$25,MATCH($E227,DEMANDS!$E$2:$E$25,0),FALSE)/HLOOKUP(2018,DEMANDS!$G$2:$CK$25,MATCH($E227,DEMANDS!$E$2:$E$25,0),FALSE)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K227" s="35">
        <f>HLOOKUP(REG_TRA_DEMANDS!K$3,'BY-Demands'!$J$5:$AK$14,MATCH($E227,'BY-Demands'!$I$5:$I$14,0),FALSE)*HLOOKUP(REG_TRA_DEMANDS!$F227,DEMANDS!$G$2:$CK$25,MATCH($E227,DEMANDS!$E$2:$E$25,0),FALSE)/HLOOKUP(2018,DEMANDS!$G$2:$CK$25,MATCH($E227,DEMANDS!$E$2:$E$25,0),FALSE)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L227" s="35">
        <f>HLOOKUP(REG_TRA_DEMANDS!L$3,'BY-Demands'!$J$5:$AK$14,MATCH($E227,'BY-Demands'!$I$5:$I$14,0),FALSE)*HLOOKUP(REG_TRA_DEMANDS!$F227,DEMANDS!$G$2:$CK$25,MATCH($E227,DEMANDS!$E$2:$E$25,0),FALSE)/HLOOKUP(2018,DEMANDS!$G$2:$CK$25,MATCH($E227,DEMANDS!$E$2:$E$25,0),FALSE)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M227" s="35">
        <f>HLOOKUP(REG_TRA_DEMANDS!M$3,'BY-Demands'!$J$5:$AK$14,MATCH($E227,'BY-Demands'!$I$5:$I$14,0),FALSE)*HLOOKUP(REG_TRA_DEMANDS!$F227,DEMANDS!$G$2:$CK$25,MATCH($E227,DEMANDS!$E$2:$E$25,0),FALSE)/HLOOKUP(2018,DEMANDS!$G$2:$CK$25,MATCH($E227,DEMANDS!$E$2:$E$25,0),FALSE)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N227" s="35">
        <f>HLOOKUP(REG_TRA_DEMANDS!N$3,'BY-Demands'!$J$5:$AK$14,MATCH($E227,'BY-Demands'!$I$5:$I$14,0),FALSE)*HLOOKUP(REG_TRA_DEMANDS!$F227,DEMANDS!$G$2:$CK$25,MATCH($E227,DEMANDS!$E$2:$E$25,0),FALSE)/HLOOKUP(2018,DEMANDS!$G$2:$CK$25,MATCH($E227,DEMANDS!$E$2:$E$25,0),FALSE)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O227" s="35">
        <f>HLOOKUP(REG_TRA_DEMANDS!O$3,'BY-Demands'!$J$5:$AK$14,MATCH($E227,'BY-Demands'!$I$5:$I$14,0),FALSE)*HLOOKUP(REG_TRA_DEMANDS!$F227,DEMANDS!$G$2:$CK$25,MATCH($E227,DEMANDS!$E$2:$E$25,0),FALSE)/HLOOKUP(2018,DEMANDS!$G$2:$CK$25,MATCH($E227,DEMANDS!$E$2:$E$25,0),FALSE)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P227" s="35">
        <f>HLOOKUP(REG_TRA_DEMANDS!P$3,'BY-Demands'!$J$5:$AK$14,MATCH($E227,'BY-Demands'!$I$5:$I$14,0),FALSE)*HLOOKUP(REG_TRA_DEMANDS!$F227,DEMANDS!$G$2:$CK$25,MATCH($E227,DEMANDS!$E$2:$E$25,0),FALSE)/HLOOKUP(2018,DEMANDS!$G$2:$CK$25,MATCH($E227,DEMANDS!$E$2:$E$25,0),FALSE)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Q227" s="35">
        <f>HLOOKUP(REG_TRA_DEMANDS!Q$3,'BY-Demands'!$J$5:$AK$14,MATCH($E227,'BY-Demands'!$I$5:$I$14,0),FALSE)*HLOOKUP(REG_TRA_DEMANDS!$F227,DEMANDS!$G$2:$CK$25,MATCH($E227,DEMANDS!$E$2:$E$25,0),FALSE)/HLOOKUP(2018,DEMANDS!$G$2:$CK$25,MATCH($E227,DEMANDS!$E$2:$E$25,0),FALSE)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R227" s="35">
        <f>HLOOKUP(REG_TRA_DEMANDS!R$3,'BY-Demands'!$J$5:$AK$14,MATCH($E227,'BY-Demands'!$I$5:$I$14,0),FALSE)*HLOOKUP(REG_TRA_DEMANDS!$F227,DEMANDS!$G$2:$CK$25,MATCH($E227,DEMANDS!$E$2:$E$25,0),FALSE)/HLOOKUP(2018,DEMANDS!$G$2:$CK$25,MATCH($E227,DEMANDS!$E$2:$E$25,0),FALSE)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S227" s="18">
        <f>HLOOKUP(REG_TRA_DEMANDS!S$3,'BY-Demands'!$J$5:$AK$14,MATCH($E227,'BY-Demands'!$I$5:$I$14,0),FALSE)*HLOOKUP(REG_TRA_DEMANDS!$F227,DEMANDS!$G$2:$CK$25,MATCH($E227,DEMANDS!$E$2:$E$25,0),FALSE)/HLOOKUP(2018,DEMANDS!$G$2:$CK$25,MATCH($E227,DEMANDS!$E$2:$E$25,0),FALSE)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T227" s="18">
        <f>HLOOKUP(REG_TRA_DEMANDS!T$3,'BY-Demands'!$J$5:$AK$14,MATCH($E227,'BY-Demands'!$I$5:$I$14,0),FALSE)*HLOOKUP(REG_TRA_DEMANDS!$F227,DEMANDS!$G$2:$CK$25,MATCH($E227,DEMANDS!$E$2:$E$25,0),FALSE)/HLOOKUP(2018,DEMANDS!$G$2:$CK$25,MATCH($E227,DEMANDS!$E$2:$E$25,0),FALSE)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U227" s="18">
        <f>HLOOKUP(REG_TRA_DEMANDS!U$3,'BY-Demands'!$J$5:$AK$14,MATCH($E227,'BY-Demands'!$I$5:$I$14,0),FALSE)*HLOOKUP(REG_TRA_DEMANDS!$F227,DEMANDS!$G$2:$CK$25,MATCH($E227,DEMANDS!$E$2:$E$25,0),FALSE)/HLOOKUP(2018,DEMANDS!$G$2:$CK$25,MATCH($E227,DEMANDS!$E$2:$E$25,0),FALSE)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V227" s="35">
        <f>HLOOKUP(REG_TRA_DEMANDS!V$3,'BY-Demands'!$J$5:$AK$14,MATCH($E227,'BY-Demands'!$I$5:$I$14,0),FALSE)*HLOOKUP(REG_TRA_DEMANDS!$F227,DEMANDS!$G$2:$CK$25,MATCH($E227,DEMANDS!$E$2:$E$25,0),FALSE)/HLOOKUP(2018,DEMANDS!$G$2:$CK$25,MATCH($E227,DEMANDS!$E$2:$E$25,0),FALSE)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W227" s="35">
        <f>HLOOKUP(REG_TRA_DEMANDS!W$3,'BY-Demands'!$J$5:$AK$14,MATCH($E227,'BY-Demands'!$I$5:$I$14,0),FALSE)*HLOOKUP(REG_TRA_DEMANDS!$F227,DEMANDS!$G$2:$CK$25,MATCH($E227,DEMANDS!$E$2:$E$25,0),FALSE)/HLOOKUP(2018,DEMANDS!$G$2:$CK$25,MATCH($E227,DEMANDS!$E$2:$E$25,0),FALSE)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X227" s="35">
        <f>HLOOKUP(REG_TRA_DEMANDS!X$3,'BY-Demands'!$J$5:$AK$14,MATCH($E227,'BY-Demands'!$I$5:$I$14,0),FALSE)*HLOOKUP(REG_TRA_DEMANDS!$F227,DEMANDS!$G$2:$CK$25,MATCH($E227,DEMANDS!$E$2:$E$25,0),FALSE)/HLOOKUP(2018,DEMANDS!$G$2:$CK$25,MATCH($E227,DEMANDS!$E$2:$E$25,0),FALSE)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Y227" s="35">
        <f>HLOOKUP(REG_TRA_DEMANDS!Y$3,'BY-Demands'!$J$5:$AK$14,MATCH($E227,'BY-Demands'!$I$5:$I$14,0),FALSE)*HLOOKUP(REG_TRA_DEMANDS!$F227,DEMANDS!$G$2:$CK$25,MATCH($E227,DEMANDS!$E$2:$E$25,0),FALSE)/HLOOKUP(2018,DEMANDS!$G$2:$CK$25,MATCH($E227,DEMANDS!$E$2:$E$25,0),FALSE)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Z227" s="35">
        <f>HLOOKUP(REG_TRA_DEMANDS!Z$3,'BY-Demands'!$J$5:$AK$14,MATCH($E227,'BY-Demands'!$I$5:$I$14,0),FALSE)*HLOOKUP(REG_TRA_DEMANDS!$F227,DEMANDS!$G$2:$CK$25,MATCH($E227,DEMANDS!$E$2:$E$25,0),FALSE)/HLOOKUP(2018,DEMANDS!$G$2:$CK$25,MATCH($E227,DEMANDS!$E$2:$E$25,0),FALSE)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AA227" s="18">
        <f>HLOOKUP(REG_TRA_DEMANDS!AA$3,'BY-Demands'!$J$5:$AK$14,MATCH($E227,'BY-Demands'!$I$5:$I$14,0),FALSE)*HLOOKUP(REG_TRA_DEMANDS!$F227,DEMANDS!$G$2:$CK$25,MATCH($E227,DEMANDS!$E$2:$E$25,0),FALSE)/HLOOKUP(2018,DEMANDS!$G$2:$CK$25,MATCH($E227,DEMANDS!$E$2:$E$25,0),FALSE)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AB227" s="35">
        <f>HLOOKUP(REG_TRA_DEMANDS!AB$3,'BY-Demands'!$J$5:$AK$14,MATCH($E227,'BY-Demands'!$I$5:$I$14,0),FALSE)*HLOOKUP(REG_TRA_DEMANDS!$F227,DEMANDS!$G$2:$CK$25,MATCH($E227,DEMANDS!$E$2:$E$25,0),FALSE)/HLOOKUP(2018,DEMANDS!$G$2:$CK$25,MATCH($E227,DEMANDS!$E$2:$E$25,0),FALSE)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AC227" s="35">
        <f>HLOOKUP(REG_TRA_DEMANDS!AC$3,'BY-Demands'!$J$5:$AK$14,MATCH($E227,'BY-Demands'!$I$5:$I$14,0),FALSE)*HLOOKUP(REG_TRA_DEMANDS!$F227,DEMANDS!$G$2:$CK$25,MATCH($E227,DEMANDS!$E$2:$E$25,0),FALSE)/HLOOKUP(2018,DEMANDS!$G$2:$CK$25,MATCH($E227,DEMANDS!$E$2:$E$25,0),FALSE)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AD227" s="35">
        <f>HLOOKUP(REG_TRA_DEMANDS!AD$3,'BY-Demands'!$J$5:$AK$14,MATCH($E227,'BY-Demands'!$I$5:$I$14,0),FALSE)*HLOOKUP(REG_TRA_DEMANDS!$F227,DEMANDS!$G$2:$CK$25,MATCH($E227,DEMANDS!$E$2:$E$25,0),FALSE)/HLOOKUP(2018,DEMANDS!$G$2:$CK$25,MATCH($E227,DEMANDS!$E$2:$E$25,0),FALSE)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AE227" s="35">
        <f>HLOOKUP(REG_TRA_DEMANDS!AE$3,'BY-Demands'!$J$5:$AK$14,MATCH($E227,'BY-Demands'!$I$5:$I$14,0),FALSE)*HLOOKUP(REG_TRA_DEMANDS!$F227,DEMANDS!$G$2:$CK$25,MATCH($E227,DEMANDS!$E$2:$E$25,0),FALSE)/HLOOKUP(2018,DEMANDS!$G$2:$CK$25,MATCH($E227,DEMANDS!$E$2:$E$25,0),FALSE)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AF227" s="35">
        <f>HLOOKUP(REG_TRA_DEMANDS!AF$3,'BY-Demands'!$J$5:$AK$14,MATCH($E227,'BY-Demands'!$I$5:$I$14,0),FALSE)*HLOOKUP(REG_TRA_DEMANDS!$F227,DEMANDS!$G$2:$CK$25,MATCH($E227,DEMANDS!$E$2:$E$25,0),FALSE)/HLOOKUP(2018,DEMANDS!$G$2:$CK$25,MATCH($E227,DEMANDS!$E$2:$E$25,0),FALSE)</f>
        <v>0</v>
      </c>
    </row>
    <row r="228" spans="4:32" ht="14.4">
      <c r="D228" t="s">
        <v>6</v>
      </c>
      <c r="E228" t="str">
        <f>DEMANDS!$E$25</f>
        <v>TAVIINT</v>
      </c>
      <c r="F228">
        <v>2028</v>
      </c>
      <c r="G228" s="35">
        <f>HLOOKUP(REG_TRA_DEMANDS!G$3,'BY-Demands'!$J$5:$AK$14,MATCH($E228,'BY-Demands'!$I$5:$I$14,0),FALSE)*HLOOKUP(REG_TRA_DEMANDS!$F228,DEMANDS!$G$2:$CK$25,MATCH($E228,DEMANDS!$E$2:$E$25,0),FALSE)/HLOOKUP(2018,DEMANDS!$G$2:$CK$25,MATCH($E228,DEMANDS!$E$2:$E$25,0),FALSE)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H228" s="18">
        <f>HLOOKUP(REG_TRA_DEMANDS!H$3,'BY-Demands'!$J$5:$AK$14,MATCH($E228,'BY-Demands'!$I$5:$I$14,0),FALSE)*HLOOKUP(REG_TRA_DEMANDS!$F228,DEMANDS!$G$2:$CK$25,MATCH($E228,DEMANDS!$E$2:$E$25,0),FALSE)/HLOOKUP(2018,DEMANDS!$G$2:$CK$25,MATCH($E228,DEMANDS!$E$2:$E$25,0),FALSE)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I228" s="35">
        <f>HLOOKUP(REG_TRA_DEMANDS!I$3,'BY-Demands'!$J$5:$AK$14,MATCH($E228,'BY-Demands'!$I$5:$I$14,0),FALSE)*HLOOKUP(REG_TRA_DEMANDS!$F228,DEMANDS!$G$2:$CK$25,MATCH($E228,DEMANDS!$E$2:$E$25,0),FALSE)/HLOOKUP(2018,DEMANDS!$G$2:$CK$25,MATCH($E228,DEMANDS!$E$2:$E$25,0),FALSE)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J228" s="35">
        <f>HLOOKUP(REG_TRA_DEMANDS!J$3,'BY-Demands'!$J$5:$AK$14,MATCH($E228,'BY-Demands'!$I$5:$I$14,0),FALSE)*HLOOKUP(REG_TRA_DEMANDS!$F228,DEMANDS!$G$2:$CK$25,MATCH($E228,DEMANDS!$E$2:$E$25,0),FALSE)/HLOOKUP(2018,DEMANDS!$G$2:$CK$25,MATCH($E228,DEMANDS!$E$2:$E$25,0),FALSE)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K228" s="35">
        <f>HLOOKUP(REG_TRA_DEMANDS!K$3,'BY-Demands'!$J$5:$AK$14,MATCH($E228,'BY-Demands'!$I$5:$I$14,0),FALSE)*HLOOKUP(REG_TRA_DEMANDS!$F228,DEMANDS!$G$2:$CK$25,MATCH($E228,DEMANDS!$E$2:$E$25,0),FALSE)/HLOOKUP(2018,DEMANDS!$G$2:$CK$25,MATCH($E228,DEMANDS!$E$2:$E$25,0),FALSE)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L228" s="35">
        <f>HLOOKUP(REG_TRA_DEMANDS!L$3,'BY-Demands'!$J$5:$AK$14,MATCH($E228,'BY-Demands'!$I$5:$I$14,0),FALSE)*HLOOKUP(REG_TRA_DEMANDS!$F228,DEMANDS!$G$2:$CK$25,MATCH($E228,DEMANDS!$E$2:$E$25,0),FALSE)/HLOOKUP(2018,DEMANDS!$G$2:$CK$25,MATCH($E228,DEMANDS!$E$2:$E$25,0),FALSE)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M228" s="35">
        <f>HLOOKUP(REG_TRA_DEMANDS!M$3,'BY-Demands'!$J$5:$AK$14,MATCH($E228,'BY-Demands'!$I$5:$I$14,0),FALSE)*HLOOKUP(REG_TRA_DEMANDS!$F228,DEMANDS!$G$2:$CK$25,MATCH($E228,DEMANDS!$E$2:$E$25,0),FALSE)/HLOOKUP(2018,DEMANDS!$G$2:$CK$25,MATCH($E228,DEMANDS!$E$2:$E$25,0),FALSE)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N228" s="35">
        <f>HLOOKUP(REG_TRA_DEMANDS!N$3,'BY-Demands'!$J$5:$AK$14,MATCH($E228,'BY-Demands'!$I$5:$I$14,0),FALSE)*HLOOKUP(REG_TRA_DEMANDS!$F228,DEMANDS!$G$2:$CK$25,MATCH($E228,DEMANDS!$E$2:$E$25,0),FALSE)/HLOOKUP(2018,DEMANDS!$G$2:$CK$25,MATCH($E228,DEMANDS!$E$2:$E$25,0),FALSE)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O228" s="35">
        <f>HLOOKUP(REG_TRA_DEMANDS!O$3,'BY-Demands'!$J$5:$AK$14,MATCH($E228,'BY-Demands'!$I$5:$I$14,0),FALSE)*HLOOKUP(REG_TRA_DEMANDS!$F228,DEMANDS!$G$2:$CK$25,MATCH($E228,DEMANDS!$E$2:$E$25,0),FALSE)/HLOOKUP(2018,DEMANDS!$G$2:$CK$25,MATCH($E228,DEMANDS!$E$2:$E$25,0),FALSE)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P228" s="35">
        <f>HLOOKUP(REG_TRA_DEMANDS!P$3,'BY-Demands'!$J$5:$AK$14,MATCH($E228,'BY-Demands'!$I$5:$I$14,0),FALSE)*HLOOKUP(REG_TRA_DEMANDS!$F228,DEMANDS!$G$2:$CK$25,MATCH($E228,DEMANDS!$E$2:$E$25,0),FALSE)/HLOOKUP(2018,DEMANDS!$G$2:$CK$25,MATCH($E228,DEMANDS!$E$2:$E$25,0),FALSE)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Q228" s="35">
        <f>HLOOKUP(REG_TRA_DEMANDS!Q$3,'BY-Demands'!$J$5:$AK$14,MATCH($E228,'BY-Demands'!$I$5:$I$14,0),FALSE)*HLOOKUP(REG_TRA_DEMANDS!$F228,DEMANDS!$G$2:$CK$25,MATCH($E228,DEMANDS!$E$2:$E$25,0),FALSE)/HLOOKUP(2018,DEMANDS!$G$2:$CK$25,MATCH($E228,DEMANDS!$E$2:$E$25,0),FALSE)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R228" s="35">
        <f>HLOOKUP(REG_TRA_DEMANDS!R$3,'BY-Demands'!$J$5:$AK$14,MATCH($E228,'BY-Demands'!$I$5:$I$14,0),FALSE)*HLOOKUP(REG_TRA_DEMANDS!$F228,DEMANDS!$G$2:$CK$25,MATCH($E228,DEMANDS!$E$2:$E$25,0),FALSE)/HLOOKUP(2018,DEMANDS!$G$2:$CK$25,MATCH($E228,DEMANDS!$E$2:$E$25,0),FALSE)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S228" s="18">
        <f>HLOOKUP(REG_TRA_DEMANDS!S$3,'BY-Demands'!$J$5:$AK$14,MATCH($E228,'BY-Demands'!$I$5:$I$14,0),FALSE)*HLOOKUP(REG_TRA_DEMANDS!$F228,DEMANDS!$G$2:$CK$25,MATCH($E228,DEMANDS!$E$2:$E$25,0),FALSE)/HLOOKUP(2018,DEMANDS!$G$2:$CK$25,MATCH($E228,DEMANDS!$E$2:$E$25,0),FALSE)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T228" s="18">
        <f>HLOOKUP(REG_TRA_DEMANDS!T$3,'BY-Demands'!$J$5:$AK$14,MATCH($E228,'BY-Demands'!$I$5:$I$14,0),FALSE)*HLOOKUP(REG_TRA_DEMANDS!$F228,DEMANDS!$G$2:$CK$25,MATCH($E228,DEMANDS!$E$2:$E$25,0),FALSE)/HLOOKUP(2018,DEMANDS!$G$2:$CK$25,MATCH($E228,DEMANDS!$E$2:$E$25,0),FALSE)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U228" s="18">
        <f>HLOOKUP(REG_TRA_DEMANDS!U$3,'BY-Demands'!$J$5:$AK$14,MATCH($E228,'BY-Demands'!$I$5:$I$14,0),FALSE)*HLOOKUP(REG_TRA_DEMANDS!$F228,DEMANDS!$G$2:$CK$25,MATCH($E228,DEMANDS!$E$2:$E$25,0),FALSE)/HLOOKUP(2018,DEMANDS!$G$2:$CK$25,MATCH($E228,DEMANDS!$E$2:$E$25,0),FALSE)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V228" s="35">
        <f>HLOOKUP(REG_TRA_DEMANDS!V$3,'BY-Demands'!$J$5:$AK$14,MATCH($E228,'BY-Demands'!$I$5:$I$14,0),FALSE)*HLOOKUP(REG_TRA_DEMANDS!$F228,DEMANDS!$G$2:$CK$25,MATCH($E228,DEMANDS!$E$2:$E$25,0),FALSE)/HLOOKUP(2018,DEMANDS!$G$2:$CK$25,MATCH($E228,DEMANDS!$E$2:$E$25,0),FALSE)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W228" s="35">
        <f>HLOOKUP(REG_TRA_DEMANDS!W$3,'BY-Demands'!$J$5:$AK$14,MATCH($E228,'BY-Demands'!$I$5:$I$14,0),FALSE)*HLOOKUP(REG_TRA_DEMANDS!$F228,DEMANDS!$G$2:$CK$25,MATCH($E228,DEMANDS!$E$2:$E$25,0),FALSE)/HLOOKUP(2018,DEMANDS!$G$2:$CK$25,MATCH($E228,DEMANDS!$E$2:$E$25,0),FALSE)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X228" s="35">
        <f>HLOOKUP(REG_TRA_DEMANDS!X$3,'BY-Demands'!$J$5:$AK$14,MATCH($E228,'BY-Demands'!$I$5:$I$14,0),FALSE)*HLOOKUP(REG_TRA_DEMANDS!$F228,DEMANDS!$G$2:$CK$25,MATCH($E228,DEMANDS!$E$2:$E$25,0),FALSE)/HLOOKUP(2018,DEMANDS!$G$2:$CK$25,MATCH($E228,DEMANDS!$E$2:$E$25,0),FALSE)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Y228" s="35">
        <f>HLOOKUP(REG_TRA_DEMANDS!Y$3,'BY-Demands'!$J$5:$AK$14,MATCH($E228,'BY-Demands'!$I$5:$I$14,0),FALSE)*HLOOKUP(REG_TRA_DEMANDS!$F228,DEMANDS!$G$2:$CK$25,MATCH($E228,DEMANDS!$E$2:$E$25,0),FALSE)/HLOOKUP(2018,DEMANDS!$G$2:$CK$25,MATCH($E228,DEMANDS!$E$2:$E$25,0),FALSE)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Z228" s="35">
        <f>HLOOKUP(REG_TRA_DEMANDS!Z$3,'BY-Demands'!$J$5:$AK$14,MATCH($E228,'BY-Demands'!$I$5:$I$14,0),FALSE)*HLOOKUP(REG_TRA_DEMANDS!$F228,DEMANDS!$G$2:$CK$25,MATCH($E228,DEMANDS!$E$2:$E$25,0),FALSE)/HLOOKUP(2018,DEMANDS!$G$2:$CK$25,MATCH($E228,DEMANDS!$E$2:$E$25,0),FALSE)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AA228" s="18">
        <f>HLOOKUP(REG_TRA_DEMANDS!AA$3,'BY-Demands'!$J$5:$AK$14,MATCH($E228,'BY-Demands'!$I$5:$I$14,0),FALSE)*HLOOKUP(REG_TRA_DEMANDS!$F228,DEMANDS!$G$2:$CK$25,MATCH($E228,DEMANDS!$E$2:$E$25,0),FALSE)/HLOOKUP(2018,DEMANDS!$G$2:$CK$25,MATCH($E228,DEMANDS!$E$2:$E$25,0),FALSE)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AB228" s="35">
        <f>HLOOKUP(REG_TRA_DEMANDS!AB$3,'BY-Demands'!$J$5:$AK$14,MATCH($E228,'BY-Demands'!$I$5:$I$14,0),FALSE)*HLOOKUP(REG_TRA_DEMANDS!$F228,DEMANDS!$G$2:$CK$25,MATCH($E228,DEMANDS!$E$2:$E$25,0),FALSE)/HLOOKUP(2018,DEMANDS!$G$2:$CK$25,MATCH($E228,DEMANDS!$E$2:$E$25,0),FALSE)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AC228" s="35">
        <f>HLOOKUP(REG_TRA_DEMANDS!AC$3,'BY-Demands'!$J$5:$AK$14,MATCH($E228,'BY-Demands'!$I$5:$I$14,0),FALSE)*HLOOKUP(REG_TRA_DEMANDS!$F228,DEMANDS!$G$2:$CK$25,MATCH($E228,DEMANDS!$E$2:$E$25,0),FALSE)/HLOOKUP(2018,DEMANDS!$G$2:$CK$25,MATCH($E228,DEMANDS!$E$2:$E$25,0),FALSE)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AD228" s="35">
        <f>HLOOKUP(REG_TRA_DEMANDS!AD$3,'BY-Demands'!$J$5:$AK$14,MATCH($E228,'BY-Demands'!$I$5:$I$14,0),FALSE)*HLOOKUP(REG_TRA_DEMANDS!$F228,DEMANDS!$G$2:$CK$25,MATCH($E228,DEMANDS!$E$2:$E$25,0),FALSE)/HLOOKUP(2018,DEMANDS!$G$2:$CK$25,MATCH($E228,DEMANDS!$E$2:$E$25,0),FALSE)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AE228" s="35">
        <f>HLOOKUP(REG_TRA_DEMANDS!AE$3,'BY-Demands'!$J$5:$AK$14,MATCH($E228,'BY-Demands'!$I$5:$I$14,0),FALSE)*HLOOKUP(REG_TRA_DEMANDS!$F228,DEMANDS!$G$2:$CK$25,MATCH($E228,DEMANDS!$E$2:$E$25,0),FALSE)/HLOOKUP(2018,DEMANDS!$G$2:$CK$25,MATCH($E228,DEMANDS!$E$2:$E$25,0),FALSE)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AF228" s="35">
        <f>HLOOKUP(REG_TRA_DEMANDS!AF$3,'BY-Demands'!$J$5:$AK$14,MATCH($E228,'BY-Demands'!$I$5:$I$14,0),FALSE)*HLOOKUP(REG_TRA_DEMANDS!$F228,DEMANDS!$G$2:$CK$25,MATCH($E228,DEMANDS!$E$2:$E$25,0),FALSE)/HLOOKUP(2018,DEMANDS!$G$2:$CK$25,MATCH($E228,DEMANDS!$E$2:$E$25,0),FALSE)</f>
        <v>0</v>
      </c>
    </row>
    <row r="229" spans="4:32" ht="14.4">
      <c r="D229" t="s">
        <v>6</v>
      </c>
      <c r="E229" t="str">
        <f>DEMANDS!$E$25</f>
        <v>TAVIINT</v>
      </c>
      <c r="F229">
        <v>2029</v>
      </c>
      <c r="G229" s="35">
        <f>HLOOKUP(REG_TRA_DEMANDS!G$3,'BY-Demands'!$J$5:$AK$14,MATCH($E229,'BY-Demands'!$I$5:$I$14,0),FALSE)*HLOOKUP(REG_TRA_DEMANDS!$F229,DEMANDS!$G$2:$CK$25,MATCH($E229,DEMANDS!$E$2:$E$25,0),FALSE)/HLOOKUP(2018,DEMANDS!$G$2:$CK$25,MATCH($E229,DEMANDS!$E$2:$E$25,0),FALSE)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H229" s="18">
        <f>HLOOKUP(REG_TRA_DEMANDS!H$3,'BY-Demands'!$J$5:$AK$14,MATCH($E229,'BY-Demands'!$I$5:$I$14,0),FALSE)*HLOOKUP(REG_TRA_DEMANDS!$F229,DEMANDS!$G$2:$CK$25,MATCH($E229,DEMANDS!$E$2:$E$25,0),FALSE)/HLOOKUP(2018,DEMANDS!$G$2:$CK$25,MATCH($E229,DEMANDS!$E$2:$E$25,0),FALSE)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I229" s="35">
        <f>HLOOKUP(REG_TRA_DEMANDS!I$3,'BY-Demands'!$J$5:$AK$14,MATCH($E229,'BY-Demands'!$I$5:$I$14,0),FALSE)*HLOOKUP(REG_TRA_DEMANDS!$F229,DEMANDS!$G$2:$CK$25,MATCH($E229,DEMANDS!$E$2:$E$25,0),FALSE)/HLOOKUP(2018,DEMANDS!$G$2:$CK$25,MATCH($E229,DEMANDS!$E$2:$E$25,0),FALSE)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J229" s="35">
        <f>HLOOKUP(REG_TRA_DEMANDS!J$3,'BY-Demands'!$J$5:$AK$14,MATCH($E229,'BY-Demands'!$I$5:$I$14,0),FALSE)*HLOOKUP(REG_TRA_DEMANDS!$F229,DEMANDS!$G$2:$CK$25,MATCH($E229,DEMANDS!$E$2:$E$25,0),FALSE)/HLOOKUP(2018,DEMANDS!$G$2:$CK$25,MATCH($E229,DEMANDS!$E$2:$E$25,0),FALSE)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K229" s="35">
        <f>HLOOKUP(REG_TRA_DEMANDS!K$3,'BY-Demands'!$J$5:$AK$14,MATCH($E229,'BY-Demands'!$I$5:$I$14,0),FALSE)*HLOOKUP(REG_TRA_DEMANDS!$F229,DEMANDS!$G$2:$CK$25,MATCH($E229,DEMANDS!$E$2:$E$25,0),FALSE)/HLOOKUP(2018,DEMANDS!$G$2:$CK$25,MATCH($E229,DEMANDS!$E$2:$E$25,0),FALSE)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L229" s="35">
        <f>HLOOKUP(REG_TRA_DEMANDS!L$3,'BY-Demands'!$J$5:$AK$14,MATCH($E229,'BY-Demands'!$I$5:$I$14,0),FALSE)*HLOOKUP(REG_TRA_DEMANDS!$F229,DEMANDS!$G$2:$CK$25,MATCH($E229,DEMANDS!$E$2:$E$25,0),FALSE)/HLOOKUP(2018,DEMANDS!$G$2:$CK$25,MATCH($E229,DEMANDS!$E$2:$E$25,0),FALSE)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M229" s="35">
        <f>HLOOKUP(REG_TRA_DEMANDS!M$3,'BY-Demands'!$J$5:$AK$14,MATCH($E229,'BY-Demands'!$I$5:$I$14,0),FALSE)*HLOOKUP(REG_TRA_DEMANDS!$F229,DEMANDS!$G$2:$CK$25,MATCH($E229,DEMANDS!$E$2:$E$25,0),FALSE)/HLOOKUP(2018,DEMANDS!$G$2:$CK$25,MATCH($E229,DEMANDS!$E$2:$E$25,0),FALSE)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N229" s="35">
        <f>HLOOKUP(REG_TRA_DEMANDS!N$3,'BY-Demands'!$J$5:$AK$14,MATCH($E229,'BY-Demands'!$I$5:$I$14,0),FALSE)*HLOOKUP(REG_TRA_DEMANDS!$F229,DEMANDS!$G$2:$CK$25,MATCH($E229,DEMANDS!$E$2:$E$25,0),FALSE)/HLOOKUP(2018,DEMANDS!$G$2:$CK$25,MATCH($E229,DEMANDS!$E$2:$E$25,0),FALSE)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O229" s="35">
        <f>HLOOKUP(REG_TRA_DEMANDS!O$3,'BY-Demands'!$J$5:$AK$14,MATCH($E229,'BY-Demands'!$I$5:$I$14,0),FALSE)*HLOOKUP(REG_TRA_DEMANDS!$F229,DEMANDS!$G$2:$CK$25,MATCH($E229,DEMANDS!$E$2:$E$25,0),FALSE)/HLOOKUP(2018,DEMANDS!$G$2:$CK$25,MATCH($E229,DEMANDS!$E$2:$E$25,0),FALSE)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P229" s="35">
        <f>HLOOKUP(REG_TRA_DEMANDS!P$3,'BY-Demands'!$J$5:$AK$14,MATCH($E229,'BY-Demands'!$I$5:$I$14,0),FALSE)*HLOOKUP(REG_TRA_DEMANDS!$F229,DEMANDS!$G$2:$CK$25,MATCH($E229,DEMANDS!$E$2:$E$25,0),FALSE)/HLOOKUP(2018,DEMANDS!$G$2:$CK$25,MATCH($E229,DEMANDS!$E$2:$E$25,0),FALSE)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Q229" s="35">
        <f>HLOOKUP(REG_TRA_DEMANDS!Q$3,'BY-Demands'!$J$5:$AK$14,MATCH($E229,'BY-Demands'!$I$5:$I$14,0),FALSE)*HLOOKUP(REG_TRA_DEMANDS!$F229,DEMANDS!$G$2:$CK$25,MATCH($E229,DEMANDS!$E$2:$E$25,0),FALSE)/HLOOKUP(2018,DEMANDS!$G$2:$CK$25,MATCH($E229,DEMANDS!$E$2:$E$25,0),FALSE)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R229" s="35">
        <f>HLOOKUP(REG_TRA_DEMANDS!R$3,'BY-Demands'!$J$5:$AK$14,MATCH($E229,'BY-Demands'!$I$5:$I$14,0),FALSE)*HLOOKUP(REG_TRA_DEMANDS!$F229,DEMANDS!$G$2:$CK$25,MATCH($E229,DEMANDS!$E$2:$E$25,0),FALSE)/HLOOKUP(2018,DEMANDS!$G$2:$CK$25,MATCH($E229,DEMANDS!$E$2:$E$25,0),FALSE)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S229" s="18">
        <f>HLOOKUP(REG_TRA_DEMANDS!S$3,'BY-Demands'!$J$5:$AK$14,MATCH($E229,'BY-Demands'!$I$5:$I$14,0),FALSE)*HLOOKUP(REG_TRA_DEMANDS!$F229,DEMANDS!$G$2:$CK$25,MATCH($E229,DEMANDS!$E$2:$E$25,0),FALSE)/HLOOKUP(2018,DEMANDS!$G$2:$CK$25,MATCH($E229,DEMANDS!$E$2:$E$25,0),FALSE)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T229" s="18">
        <f>HLOOKUP(REG_TRA_DEMANDS!T$3,'BY-Demands'!$J$5:$AK$14,MATCH($E229,'BY-Demands'!$I$5:$I$14,0),FALSE)*HLOOKUP(REG_TRA_DEMANDS!$F229,DEMANDS!$G$2:$CK$25,MATCH($E229,DEMANDS!$E$2:$E$25,0),FALSE)/HLOOKUP(2018,DEMANDS!$G$2:$CK$25,MATCH($E229,DEMANDS!$E$2:$E$25,0),FALSE)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U229" s="18">
        <f>HLOOKUP(REG_TRA_DEMANDS!U$3,'BY-Demands'!$J$5:$AK$14,MATCH($E229,'BY-Demands'!$I$5:$I$14,0),FALSE)*HLOOKUP(REG_TRA_DEMANDS!$F229,DEMANDS!$G$2:$CK$25,MATCH($E229,DEMANDS!$E$2:$E$25,0),FALSE)/HLOOKUP(2018,DEMANDS!$G$2:$CK$25,MATCH($E229,DEMANDS!$E$2:$E$25,0),FALSE)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V229" s="35">
        <f>HLOOKUP(REG_TRA_DEMANDS!V$3,'BY-Demands'!$J$5:$AK$14,MATCH($E229,'BY-Demands'!$I$5:$I$14,0),FALSE)*HLOOKUP(REG_TRA_DEMANDS!$F229,DEMANDS!$G$2:$CK$25,MATCH($E229,DEMANDS!$E$2:$E$25,0),FALSE)/HLOOKUP(2018,DEMANDS!$G$2:$CK$25,MATCH($E229,DEMANDS!$E$2:$E$25,0),FALSE)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W229" s="35">
        <f>HLOOKUP(REG_TRA_DEMANDS!W$3,'BY-Demands'!$J$5:$AK$14,MATCH($E229,'BY-Demands'!$I$5:$I$14,0),FALSE)*HLOOKUP(REG_TRA_DEMANDS!$F229,DEMANDS!$G$2:$CK$25,MATCH($E229,DEMANDS!$E$2:$E$25,0),FALSE)/HLOOKUP(2018,DEMANDS!$G$2:$CK$25,MATCH($E229,DEMANDS!$E$2:$E$25,0),FALSE)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X229" s="35">
        <f>HLOOKUP(REG_TRA_DEMANDS!X$3,'BY-Demands'!$J$5:$AK$14,MATCH($E229,'BY-Demands'!$I$5:$I$14,0),FALSE)*HLOOKUP(REG_TRA_DEMANDS!$F229,DEMANDS!$G$2:$CK$25,MATCH($E229,DEMANDS!$E$2:$E$25,0),FALSE)/HLOOKUP(2018,DEMANDS!$G$2:$CK$25,MATCH($E229,DEMANDS!$E$2:$E$25,0),FALSE)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Y229" s="35">
        <f>HLOOKUP(REG_TRA_DEMANDS!Y$3,'BY-Demands'!$J$5:$AK$14,MATCH($E229,'BY-Demands'!$I$5:$I$14,0),FALSE)*HLOOKUP(REG_TRA_DEMANDS!$F229,DEMANDS!$G$2:$CK$25,MATCH($E229,DEMANDS!$E$2:$E$25,0),FALSE)/HLOOKUP(2018,DEMANDS!$G$2:$CK$25,MATCH($E229,DEMANDS!$E$2:$E$25,0),FALSE)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Z229" s="35">
        <f>HLOOKUP(REG_TRA_DEMANDS!Z$3,'BY-Demands'!$J$5:$AK$14,MATCH($E229,'BY-Demands'!$I$5:$I$14,0),FALSE)*HLOOKUP(REG_TRA_DEMANDS!$F229,DEMANDS!$G$2:$CK$25,MATCH($E229,DEMANDS!$E$2:$E$25,0),FALSE)/HLOOKUP(2018,DEMANDS!$G$2:$CK$25,MATCH($E229,DEMANDS!$E$2:$E$25,0),FALSE)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AA229" s="18">
        <f>HLOOKUP(REG_TRA_DEMANDS!AA$3,'BY-Demands'!$J$5:$AK$14,MATCH($E229,'BY-Demands'!$I$5:$I$14,0),FALSE)*HLOOKUP(REG_TRA_DEMANDS!$F229,DEMANDS!$G$2:$CK$25,MATCH($E229,DEMANDS!$E$2:$E$25,0),FALSE)/HLOOKUP(2018,DEMANDS!$G$2:$CK$25,MATCH($E229,DEMANDS!$E$2:$E$25,0),FALSE)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AB229" s="35">
        <f>HLOOKUP(REG_TRA_DEMANDS!AB$3,'BY-Demands'!$J$5:$AK$14,MATCH($E229,'BY-Demands'!$I$5:$I$14,0),FALSE)*HLOOKUP(REG_TRA_DEMANDS!$F229,DEMANDS!$G$2:$CK$25,MATCH($E229,DEMANDS!$E$2:$E$25,0),FALSE)/HLOOKUP(2018,DEMANDS!$G$2:$CK$25,MATCH($E229,DEMANDS!$E$2:$E$25,0),FALSE)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AC229" s="35">
        <f>HLOOKUP(REG_TRA_DEMANDS!AC$3,'BY-Demands'!$J$5:$AK$14,MATCH($E229,'BY-Demands'!$I$5:$I$14,0),FALSE)*HLOOKUP(REG_TRA_DEMANDS!$F229,DEMANDS!$G$2:$CK$25,MATCH($E229,DEMANDS!$E$2:$E$25,0),FALSE)/HLOOKUP(2018,DEMANDS!$G$2:$CK$25,MATCH($E229,DEMANDS!$E$2:$E$25,0),FALSE)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AD229" s="35">
        <f>HLOOKUP(REG_TRA_DEMANDS!AD$3,'BY-Demands'!$J$5:$AK$14,MATCH($E229,'BY-Demands'!$I$5:$I$14,0),FALSE)*HLOOKUP(REG_TRA_DEMANDS!$F229,DEMANDS!$G$2:$CK$25,MATCH($E229,DEMANDS!$E$2:$E$25,0),FALSE)/HLOOKUP(2018,DEMANDS!$G$2:$CK$25,MATCH($E229,DEMANDS!$E$2:$E$25,0),FALSE)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AE229" s="35">
        <f>HLOOKUP(REG_TRA_DEMANDS!AE$3,'BY-Demands'!$J$5:$AK$14,MATCH($E229,'BY-Demands'!$I$5:$I$14,0),FALSE)*HLOOKUP(REG_TRA_DEMANDS!$F229,DEMANDS!$G$2:$CK$25,MATCH($E229,DEMANDS!$E$2:$E$25,0),FALSE)/HLOOKUP(2018,DEMANDS!$G$2:$CK$25,MATCH($E229,DEMANDS!$E$2:$E$25,0),FALSE)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AF229" s="35">
        <f>HLOOKUP(REG_TRA_DEMANDS!AF$3,'BY-Demands'!$J$5:$AK$14,MATCH($E229,'BY-Demands'!$I$5:$I$14,0),FALSE)*HLOOKUP(REG_TRA_DEMANDS!$F229,DEMANDS!$G$2:$CK$25,MATCH($E229,DEMANDS!$E$2:$E$25,0),FALSE)/HLOOKUP(2018,DEMANDS!$G$2:$CK$25,MATCH($E229,DEMANDS!$E$2:$E$25,0),FALSE)</f>
        <v>0</v>
      </c>
    </row>
    <row r="230" spans="4:32" ht="14.4">
      <c r="D230" t="s">
        <v>6</v>
      </c>
      <c r="E230" t="str">
        <f>DEMANDS!$E$25</f>
        <v>TAVIINT</v>
      </c>
      <c r="F230">
        <v>2030</v>
      </c>
      <c r="G230" s="35">
        <f>HLOOKUP(REG_TRA_DEMANDS!G$3,'BY-Demands'!$J$5:$AK$14,MATCH($E230,'BY-Demands'!$I$5:$I$14,0),FALSE)*HLOOKUP(REG_TRA_DEMANDS!$F230,DEMANDS!$G$2:$CK$25,MATCH($E230,DEMANDS!$E$2:$E$25,0),FALSE)/HLOOKUP(2018,DEMANDS!$G$2:$CK$25,MATCH($E230,DEMANDS!$E$2:$E$25,0),FALSE)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H230" s="18">
        <f>HLOOKUP(REG_TRA_DEMANDS!H$3,'BY-Demands'!$J$5:$AK$14,MATCH($E230,'BY-Demands'!$I$5:$I$14,0),FALSE)*HLOOKUP(REG_TRA_DEMANDS!$F230,DEMANDS!$G$2:$CK$25,MATCH($E230,DEMANDS!$E$2:$E$25,0),FALSE)/HLOOKUP(2018,DEMANDS!$G$2:$CK$25,MATCH($E230,DEMANDS!$E$2:$E$25,0),FALSE)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I230" s="35">
        <f>HLOOKUP(REG_TRA_DEMANDS!I$3,'BY-Demands'!$J$5:$AK$14,MATCH($E230,'BY-Demands'!$I$5:$I$14,0),FALSE)*HLOOKUP(REG_TRA_DEMANDS!$F230,DEMANDS!$G$2:$CK$25,MATCH($E230,DEMANDS!$E$2:$E$25,0),FALSE)/HLOOKUP(2018,DEMANDS!$G$2:$CK$25,MATCH($E230,DEMANDS!$E$2:$E$25,0),FALSE)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J230" s="35">
        <f>HLOOKUP(REG_TRA_DEMANDS!J$3,'BY-Demands'!$J$5:$AK$14,MATCH($E230,'BY-Demands'!$I$5:$I$14,0),FALSE)*HLOOKUP(REG_TRA_DEMANDS!$F230,DEMANDS!$G$2:$CK$25,MATCH($E230,DEMANDS!$E$2:$E$25,0),FALSE)/HLOOKUP(2018,DEMANDS!$G$2:$CK$25,MATCH($E230,DEMANDS!$E$2:$E$25,0),FALSE)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K230" s="35">
        <f>HLOOKUP(REG_TRA_DEMANDS!K$3,'BY-Demands'!$J$5:$AK$14,MATCH($E230,'BY-Demands'!$I$5:$I$14,0),FALSE)*HLOOKUP(REG_TRA_DEMANDS!$F230,DEMANDS!$G$2:$CK$25,MATCH($E230,DEMANDS!$E$2:$E$25,0),FALSE)/HLOOKUP(2018,DEMANDS!$G$2:$CK$25,MATCH($E230,DEMANDS!$E$2:$E$25,0),FALSE)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L230" s="35">
        <f>HLOOKUP(REG_TRA_DEMANDS!L$3,'BY-Demands'!$J$5:$AK$14,MATCH($E230,'BY-Demands'!$I$5:$I$14,0),FALSE)*HLOOKUP(REG_TRA_DEMANDS!$F230,DEMANDS!$G$2:$CK$25,MATCH($E230,DEMANDS!$E$2:$E$25,0),FALSE)/HLOOKUP(2018,DEMANDS!$G$2:$CK$25,MATCH($E230,DEMANDS!$E$2:$E$25,0),FALSE)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M230" s="35">
        <f>HLOOKUP(REG_TRA_DEMANDS!M$3,'BY-Demands'!$J$5:$AK$14,MATCH($E230,'BY-Demands'!$I$5:$I$14,0),FALSE)*HLOOKUP(REG_TRA_DEMANDS!$F230,DEMANDS!$G$2:$CK$25,MATCH($E230,DEMANDS!$E$2:$E$25,0),FALSE)/HLOOKUP(2018,DEMANDS!$G$2:$CK$25,MATCH($E230,DEMANDS!$E$2:$E$25,0),FALSE)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N230" s="35">
        <f>HLOOKUP(REG_TRA_DEMANDS!N$3,'BY-Demands'!$J$5:$AK$14,MATCH($E230,'BY-Demands'!$I$5:$I$14,0),FALSE)*HLOOKUP(REG_TRA_DEMANDS!$F230,DEMANDS!$G$2:$CK$25,MATCH($E230,DEMANDS!$E$2:$E$25,0),FALSE)/HLOOKUP(2018,DEMANDS!$G$2:$CK$25,MATCH($E230,DEMANDS!$E$2:$E$25,0),FALSE)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O230" s="35">
        <f>HLOOKUP(REG_TRA_DEMANDS!O$3,'BY-Demands'!$J$5:$AK$14,MATCH($E230,'BY-Demands'!$I$5:$I$14,0),FALSE)*HLOOKUP(REG_TRA_DEMANDS!$F230,DEMANDS!$G$2:$CK$25,MATCH($E230,DEMANDS!$E$2:$E$25,0),FALSE)/HLOOKUP(2018,DEMANDS!$G$2:$CK$25,MATCH($E230,DEMANDS!$E$2:$E$25,0),FALSE)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P230" s="35">
        <f>HLOOKUP(REG_TRA_DEMANDS!P$3,'BY-Demands'!$J$5:$AK$14,MATCH($E230,'BY-Demands'!$I$5:$I$14,0),FALSE)*HLOOKUP(REG_TRA_DEMANDS!$F230,DEMANDS!$G$2:$CK$25,MATCH($E230,DEMANDS!$E$2:$E$25,0),FALSE)/HLOOKUP(2018,DEMANDS!$G$2:$CK$25,MATCH($E230,DEMANDS!$E$2:$E$25,0),FALSE)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Q230" s="35">
        <f>HLOOKUP(REG_TRA_DEMANDS!Q$3,'BY-Demands'!$J$5:$AK$14,MATCH($E230,'BY-Demands'!$I$5:$I$14,0),FALSE)*HLOOKUP(REG_TRA_DEMANDS!$F230,DEMANDS!$G$2:$CK$25,MATCH($E230,DEMANDS!$E$2:$E$25,0),FALSE)/HLOOKUP(2018,DEMANDS!$G$2:$CK$25,MATCH($E230,DEMANDS!$E$2:$E$25,0),FALSE)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R230" s="35">
        <f>HLOOKUP(REG_TRA_DEMANDS!R$3,'BY-Demands'!$J$5:$AK$14,MATCH($E230,'BY-Demands'!$I$5:$I$14,0),FALSE)*HLOOKUP(REG_TRA_DEMANDS!$F230,DEMANDS!$G$2:$CK$25,MATCH($E230,DEMANDS!$E$2:$E$25,0),FALSE)/HLOOKUP(2018,DEMANDS!$G$2:$CK$25,MATCH($E230,DEMANDS!$E$2:$E$25,0),FALSE)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S230" s="18">
        <f>HLOOKUP(REG_TRA_DEMANDS!S$3,'BY-Demands'!$J$5:$AK$14,MATCH($E230,'BY-Demands'!$I$5:$I$14,0),FALSE)*HLOOKUP(REG_TRA_DEMANDS!$F230,DEMANDS!$G$2:$CK$25,MATCH($E230,DEMANDS!$E$2:$E$25,0),FALSE)/HLOOKUP(2018,DEMANDS!$G$2:$CK$25,MATCH($E230,DEMANDS!$E$2:$E$25,0),FALSE)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T230" s="18">
        <f>HLOOKUP(REG_TRA_DEMANDS!T$3,'BY-Demands'!$J$5:$AK$14,MATCH($E230,'BY-Demands'!$I$5:$I$14,0),FALSE)*HLOOKUP(REG_TRA_DEMANDS!$F230,DEMANDS!$G$2:$CK$25,MATCH($E230,DEMANDS!$E$2:$E$25,0),FALSE)/HLOOKUP(2018,DEMANDS!$G$2:$CK$25,MATCH($E230,DEMANDS!$E$2:$E$25,0),FALSE)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U230" s="18">
        <f>HLOOKUP(REG_TRA_DEMANDS!U$3,'BY-Demands'!$J$5:$AK$14,MATCH($E230,'BY-Demands'!$I$5:$I$14,0),FALSE)*HLOOKUP(REG_TRA_DEMANDS!$F230,DEMANDS!$G$2:$CK$25,MATCH($E230,DEMANDS!$E$2:$E$25,0),FALSE)/HLOOKUP(2018,DEMANDS!$G$2:$CK$25,MATCH($E230,DEMANDS!$E$2:$E$25,0),FALSE)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V230" s="35">
        <f>HLOOKUP(REG_TRA_DEMANDS!V$3,'BY-Demands'!$J$5:$AK$14,MATCH($E230,'BY-Demands'!$I$5:$I$14,0),FALSE)*HLOOKUP(REG_TRA_DEMANDS!$F230,DEMANDS!$G$2:$CK$25,MATCH($E230,DEMANDS!$E$2:$E$25,0),FALSE)/HLOOKUP(2018,DEMANDS!$G$2:$CK$25,MATCH($E230,DEMANDS!$E$2:$E$25,0),FALSE)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W230" s="35">
        <f>HLOOKUP(REG_TRA_DEMANDS!W$3,'BY-Demands'!$J$5:$AK$14,MATCH($E230,'BY-Demands'!$I$5:$I$14,0),FALSE)*HLOOKUP(REG_TRA_DEMANDS!$F230,DEMANDS!$G$2:$CK$25,MATCH($E230,DEMANDS!$E$2:$E$25,0),FALSE)/HLOOKUP(2018,DEMANDS!$G$2:$CK$25,MATCH($E230,DEMANDS!$E$2:$E$25,0),FALSE)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X230" s="35">
        <f>HLOOKUP(REG_TRA_DEMANDS!X$3,'BY-Demands'!$J$5:$AK$14,MATCH($E230,'BY-Demands'!$I$5:$I$14,0),FALSE)*HLOOKUP(REG_TRA_DEMANDS!$F230,DEMANDS!$G$2:$CK$25,MATCH($E230,DEMANDS!$E$2:$E$25,0),FALSE)/HLOOKUP(2018,DEMANDS!$G$2:$CK$25,MATCH($E230,DEMANDS!$E$2:$E$25,0),FALSE)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Y230" s="35">
        <f>HLOOKUP(REG_TRA_DEMANDS!Y$3,'BY-Demands'!$J$5:$AK$14,MATCH($E230,'BY-Demands'!$I$5:$I$14,0),FALSE)*HLOOKUP(REG_TRA_DEMANDS!$F230,DEMANDS!$G$2:$CK$25,MATCH($E230,DEMANDS!$E$2:$E$25,0),FALSE)/HLOOKUP(2018,DEMANDS!$G$2:$CK$25,MATCH($E230,DEMANDS!$E$2:$E$25,0),FALSE)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Z230" s="35">
        <f>HLOOKUP(REG_TRA_DEMANDS!Z$3,'BY-Demands'!$J$5:$AK$14,MATCH($E230,'BY-Demands'!$I$5:$I$14,0),FALSE)*HLOOKUP(REG_TRA_DEMANDS!$F230,DEMANDS!$G$2:$CK$25,MATCH($E230,DEMANDS!$E$2:$E$25,0),FALSE)/HLOOKUP(2018,DEMANDS!$G$2:$CK$25,MATCH($E230,DEMANDS!$E$2:$E$25,0),FALSE)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AA230" s="18">
        <f>HLOOKUP(REG_TRA_DEMANDS!AA$3,'BY-Demands'!$J$5:$AK$14,MATCH($E230,'BY-Demands'!$I$5:$I$14,0),FALSE)*HLOOKUP(REG_TRA_DEMANDS!$F230,DEMANDS!$G$2:$CK$25,MATCH($E230,DEMANDS!$E$2:$E$25,0),FALSE)/HLOOKUP(2018,DEMANDS!$G$2:$CK$25,MATCH($E230,DEMANDS!$E$2:$E$25,0),FALSE)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AB230" s="35">
        <f>HLOOKUP(REG_TRA_DEMANDS!AB$3,'BY-Demands'!$J$5:$AK$14,MATCH($E230,'BY-Demands'!$I$5:$I$14,0),FALSE)*HLOOKUP(REG_TRA_DEMANDS!$F230,DEMANDS!$G$2:$CK$25,MATCH($E230,DEMANDS!$E$2:$E$25,0),FALSE)/HLOOKUP(2018,DEMANDS!$G$2:$CK$25,MATCH($E230,DEMANDS!$E$2:$E$25,0),FALSE)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AC230" s="35">
        <f>HLOOKUP(REG_TRA_DEMANDS!AC$3,'BY-Demands'!$J$5:$AK$14,MATCH($E230,'BY-Demands'!$I$5:$I$14,0),FALSE)*HLOOKUP(REG_TRA_DEMANDS!$F230,DEMANDS!$G$2:$CK$25,MATCH($E230,DEMANDS!$E$2:$E$25,0),FALSE)/HLOOKUP(2018,DEMANDS!$G$2:$CK$25,MATCH($E230,DEMANDS!$E$2:$E$25,0),FALSE)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AD230" s="35">
        <f>HLOOKUP(REG_TRA_DEMANDS!AD$3,'BY-Demands'!$J$5:$AK$14,MATCH($E230,'BY-Demands'!$I$5:$I$14,0),FALSE)*HLOOKUP(REG_TRA_DEMANDS!$F230,DEMANDS!$G$2:$CK$25,MATCH($E230,DEMANDS!$E$2:$E$25,0),FALSE)/HLOOKUP(2018,DEMANDS!$G$2:$CK$25,MATCH($E230,DEMANDS!$E$2:$E$25,0),FALSE)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AE230" s="35">
        <f>HLOOKUP(REG_TRA_DEMANDS!AE$3,'BY-Demands'!$J$5:$AK$14,MATCH($E230,'BY-Demands'!$I$5:$I$14,0),FALSE)*HLOOKUP(REG_TRA_DEMANDS!$F230,DEMANDS!$G$2:$CK$25,MATCH($E230,DEMANDS!$E$2:$E$25,0),FALSE)/HLOOKUP(2018,DEMANDS!$G$2:$CK$25,MATCH($E230,DEMANDS!$E$2:$E$25,0),FALSE)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AF230" s="35">
        <f>HLOOKUP(REG_TRA_DEMANDS!AF$3,'BY-Demands'!$J$5:$AK$14,MATCH($E230,'BY-Demands'!$I$5:$I$14,0),FALSE)*HLOOKUP(REG_TRA_DEMANDS!$F230,DEMANDS!$G$2:$CK$25,MATCH($E230,DEMANDS!$E$2:$E$25,0),FALSE)/HLOOKUP(2018,DEMANDS!$G$2:$CK$25,MATCH($E230,DEMANDS!$E$2:$E$25,0),FALSE)</f>
        <v>0</v>
      </c>
    </row>
    <row r="231" spans="4:32" ht="14.4">
      <c r="D231" t="s">
        <v>6</v>
      </c>
      <c r="E231" t="str">
        <f>DEMANDS!$E$25</f>
        <v>TAVIINT</v>
      </c>
      <c r="F231">
        <v>2031</v>
      </c>
      <c r="G231" s="35">
        <f>HLOOKUP(REG_TRA_DEMANDS!G$3,'BY-Demands'!$J$5:$AK$14,MATCH($E231,'BY-Demands'!$I$5:$I$14,0),FALSE)*HLOOKUP(REG_TRA_DEMANDS!$F231,DEMANDS!$G$2:$CK$25,MATCH($E231,DEMANDS!$E$2:$E$25,0),FALSE)/HLOOKUP(2018,DEMANDS!$G$2:$CK$25,MATCH($E231,DEMANDS!$E$2:$E$25,0),FALSE)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H231" s="18">
        <f>HLOOKUP(REG_TRA_DEMANDS!H$3,'BY-Demands'!$J$5:$AK$14,MATCH($E231,'BY-Demands'!$I$5:$I$14,0),FALSE)*HLOOKUP(REG_TRA_DEMANDS!$F231,DEMANDS!$G$2:$CK$25,MATCH($E231,DEMANDS!$E$2:$E$25,0),FALSE)/HLOOKUP(2018,DEMANDS!$G$2:$CK$25,MATCH($E231,DEMANDS!$E$2:$E$25,0),FALSE)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I231" s="35">
        <f>HLOOKUP(REG_TRA_DEMANDS!I$3,'BY-Demands'!$J$5:$AK$14,MATCH($E231,'BY-Demands'!$I$5:$I$14,0),FALSE)*HLOOKUP(REG_TRA_DEMANDS!$F231,DEMANDS!$G$2:$CK$25,MATCH($E231,DEMANDS!$E$2:$E$25,0),FALSE)/HLOOKUP(2018,DEMANDS!$G$2:$CK$25,MATCH($E231,DEMANDS!$E$2:$E$25,0),FALSE)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J231" s="35">
        <f>HLOOKUP(REG_TRA_DEMANDS!J$3,'BY-Demands'!$J$5:$AK$14,MATCH($E231,'BY-Demands'!$I$5:$I$14,0),FALSE)*HLOOKUP(REG_TRA_DEMANDS!$F231,DEMANDS!$G$2:$CK$25,MATCH($E231,DEMANDS!$E$2:$E$25,0),FALSE)/HLOOKUP(2018,DEMANDS!$G$2:$CK$25,MATCH($E231,DEMANDS!$E$2:$E$25,0),FALSE)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K231" s="35">
        <f>HLOOKUP(REG_TRA_DEMANDS!K$3,'BY-Demands'!$J$5:$AK$14,MATCH($E231,'BY-Demands'!$I$5:$I$14,0),FALSE)*HLOOKUP(REG_TRA_DEMANDS!$F231,DEMANDS!$G$2:$CK$25,MATCH($E231,DEMANDS!$E$2:$E$25,0),FALSE)/HLOOKUP(2018,DEMANDS!$G$2:$CK$25,MATCH($E231,DEMANDS!$E$2:$E$25,0),FALSE)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L231" s="35">
        <f>HLOOKUP(REG_TRA_DEMANDS!L$3,'BY-Demands'!$J$5:$AK$14,MATCH($E231,'BY-Demands'!$I$5:$I$14,0),FALSE)*HLOOKUP(REG_TRA_DEMANDS!$F231,DEMANDS!$G$2:$CK$25,MATCH($E231,DEMANDS!$E$2:$E$25,0),FALSE)/HLOOKUP(2018,DEMANDS!$G$2:$CK$25,MATCH($E231,DEMANDS!$E$2:$E$25,0),FALSE)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M231" s="35">
        <f>HLOOKUP(REG_TRA_DEMANDS!M$3,'BY-Demands'!$J$5:$AK$14,MATCH($E231,'BY-Demands'!$I$5:$I$14,0),FALSE)*HLOOKUP(REG_TRA_DEMANDS!$F231,DEMANDS!$G$2:$CK$25,MATCH($E231,DEMANDS!$E$2:$E$25,0),FALSE)/HLOOKUP(2018,DEMANDS!$G$2:$CK$25,MATCH($E231,DEMANDS!$E$2:$E$25,0),FALSE)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N231" s="35">
        <f>HLOOKUP(REG_TRA_DEMANDS!N$3,'BY-Demands'!$J$5:$AK$14,MATCH($E231,'BY-Demands'!$I$5:$I$14,0),FALSE)*HLOOKUP(REG_TRA_DEMANDS!$F231,DEMANDS!$G$2:$CK$25,MATCH($E231,DEMANDS!$E$2:$E$25,0),FALSE)/HLOOKUP(2018,DEMANDS!$G$2:$CK$25,MATCH($E231,DEMANDS!$E$2:$E$25,0),FALSE)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O231" s="35">
        <f>HLOOKUP(REG_TRA_DEMANDS!O$3,'BY-Demands'!$J$5:$AK$14,MATCH($E231,'BY-Demands'!$I$5:$I$14,0),FALSE)*HLOOKUP(REG_TRA_DEMANDS!$F231,DEMANDS!$G$2:$CK$25,MATCH($E231,DEMANDS!$E$2:$E$25,0),FALSE)/HLOOKUP(2018,DEMANDS!$G$2:$CK$25,MATCH($E231,DEMANDS!$E$2:$E$25,0),FALSE)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P231" s="35">
        <f>HLOOKUP(REG_TRA_DEMANDS!P$3,'BY-Demands'!$J$5:$AK$14,MATCH($E231,'BY-Demands'!$I$5:$I$14,0),FALSE)*HLOOKUP(REG_TRA_DEMANDS!$F231,DEMANDS!$G$2:$CK$25,MATCH($E231,DEMANDS!$E$2:$E$25,0),FALSE)/HLOOKUP(2018,DEMANDS!$G$2:$CK$25,MATCH($E231,DEMANDS!$E$2:$E$25,0),FALSE)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Q231" s="35">
        <f>HLOOKUP(REG_TRA_DEMANDS!Q$3,'BY-Demands'!$J$5:$AK$14,MATCH($E231,'BY-Demands'!$I$5:$I$14,0),FALSE)*HLOOKUP(REG_TRA_DEMANDS!$F231,DEMANDS!$G$2:$CK$25,MATCH($E231,DEMANDS!$E$2:$E$25,0),FALSE)/HLOOKUP(2018,DEMANDS!$G$2:$CK$25,MATCH($E231,DEMANDS!$E$2:$E$25,0),FALSE)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R231" s="35">
        <f>HLOOKUP(REG_TRA_DEMANDS!R$3,'BY-Demands'!$J$5:$AK$14,MATCH($E231,'BY-Demands'!$I$5:$I$14,0),FALSE)*HLOOKUP(REG_TRA_DEMANDS!$F231,DEMANDS!$G$2:$CK$25,MATCH($E231,DEMANDS!$E$2:$E$25,0),FALSE)/HLOOKUP(2018,DEMANDS!$G$2:$CK$25,MATCH($E231,DEMANDS!$E$2:$E$25,0),FALSE)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S231" s="18">
        <f>HLOOKUP(REG_TRA_DEMANDS!S$3,'BY-Demands'!$J$5:$AK$14,MATCH($E231,'BY-Demands'!$I$5:$I$14,0),FALSE)*HLOOKUP(REG_TRA_DEMANDS!$F231,DEMANDS!$G$2:$CK$25,MATCH($E231,DEMANDS!$E$2:$E$25,0),FALSE)/HLOOKUP(2018,DEMANDS!$G$2:$CK$25,MATCH($E231,DEMANDS!$E$2:$E$25,0),FALSE)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T231" s="18">
        <f>HLOOKUP(REG_TRA_DEMANDS!T$3,'BY-Demands'!$J$5:$AK$14,MATCH($E231,'BY-Demands'!$I$5:$I$14,0),FALSE)*HLOOKUP(REG_TRA_DEMANDS!$F231,DEMANDS!$G$2:$CK$25,MATCH($E231,DEMANDS!$E$2:$E$25,0),FALSE)/HLOOKUP(2018,DEMANDS!$G$2:$CK$25,MATCH($E231,DEMANDS!$E$2:$E$25,0),FALSE)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U231" s="18">
        <f>HLOOKUP(REG_TRA_DEMANDS!U$3,'BY-Demands'!$J$5:$AK$14,MATCH($E231,'BY-Demands'!$I$5:$I$14,0),FALSE)*HLOOKUP(REG_TRA_DEMANDS!$F231,DEMANDS!$G$2:$CK$25,MATCH($E231,DEMANDS!$E$2:$E$25,0),FALSE)/HLOOKUP(2018,DEMANDS!$G$2:$CK$25,MATCH($E231,DEMANDS!$E$2:$E$25,0),FALSE)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V231" s="35">
        <f>HLOOKUP(REG_TRA_DEMANDS!V$3,'BY-Demands'!$J$5:$AK$14,MATCH($E231,'BY-Demands'!$I$5:$I$14,0),FALSE)*HLOOKUP(REG_TRA_DEMANDS!$F231,DEMANDS!$G$2:$CK$25,MATCH($E231,DEMANDS!$E$2:$E$25,0),FALSE)/HLOOKUP(2018,DEMANDS!$G$2:$CK$25,MATCH($E231,DEMANDS!$E$2:$E$25,0),FALSE)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W231" s="35">
        <f>HLOOKUP(REG_TRA_DEMANDS!W$3,'BY-Demands'!$J$5:$AK$14,MATCH($E231,'BY-Demands'!$I$5:$I$14,0),FALSE)*HLOOKUP(REG_TRA_DEMANDS!$F231,DEMANDS!$G$2:$CK$25,MATCH($E231,DEMANDS!$E$2:$E$25,0),FALSE)/HLOOKUP(2018,DEMANDS!$G$2:$CK$25,MATCH($E231,DEMANDS!$E$2:$E$25,0),FALSE)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X231" s="35">
        <f>HLOOKUP(REG_TRA_DEMANDS!X$3,'BY-Demands'!$J$5:$AK$14,MATCH($E231,'BY-Demands'!$I$5:$I$14,0),FALSE)*HLOOKUP(REG_TRA_DEMANDS!$F231,DEMANDS!$G$2:$CK$25,MATCH($E231,DEMANDS!$E$2:$E$25,0),FALSE)/HLOOKUP(2018,DEMANDS!$G$2:$CK$25,MATCH($E231,DEMANDS!$E$2:$E$25,0),FALSE)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Y231" s="35">
        <f>HLOOKUP(REG_TRA_DEMANDS!Y$3,'BY-Demands'!$J$5:$AK$14,MATCH($E231,'BY-Demands'!$I$5:$I$14,0),FALSE)*HLOOKUP(REG_TRA_DEMANDS!$F231,DEMANDS!$G$2:$CK$25,MATCH($E231,DEMANDS!$E$2:$E$25,0),FALSE)/HLOOKUP(2018,DEMANDS!$G$2:$CK$25,MATCH($E231,DEMANDS!$E$2:$E$25,0),FALSE)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Z231" s="35">
        <f>HLOOKUP(REG_TRA_DEMANDS!Z$3,'BY-Demands'!$J$5:$AK$14,MATCH($E231,'BY-Demands'!$I$5:$I$14,0),FALSE)*HLOOKUP(REG_TRA_DEMANDS!$F231,DEMANDS!$G$2:$CK$25,MATCH($E231,DEMANDS!$E$2:$E$25,0),FALSE)/HLOOKUP(2018,DEMANDS!$G$2:$CK$25,MATCH($E231,DEMANDS!$E$2:$E$25,0),FALSE)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AA231" s="18">
        <f>HLOOKUP(REG_TRA_DEMANDS!AA$3,'BY-Demands'!$J$5:$AK$14,MATCH($E231,'BY-Demands'!$I$5:$I$14,0),FALSE)*HLOOKUP(REG_TRA_DEMANDS!$F231,DEMANDS!$G$2:$CK$25,MATCH($E231,DEMANDS!$E$2:$E$25,0),FALSE)/HLOOKUP(2018,DEMANDS!$G$2:$CK$25,MATCH($E231,DEMANDS!$E$2:$E$25,0),FALSE)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AB231" s="35">
        <f>HLOOKUP(REG_TRA_DEMANDS!AB$3,'BY-Demands'!$J$5:$AK$14,MATCH($E231,'BY-Demands'!$I$5:$I$14,0),FALSE)*HLOOKUP(REG_TRA_DEMANDS!$F231,DEMANDS!$G$2:$CK$25,MATCH($E231,DEMANDS!$E$2:$E$25,0),FALSE)/HLOOKUP(2018,DEMANDS!$G$2:$CK$25,MATCH($E231,DEMANDS!$E$2:$E$25,0),FALSE)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AC231" s="35">
        <f>HLOOKUP(REG_TRA_DEMANDS!AC$3,'BY-Demands'!$J$5:$AK$14,MATCH($E231,'BY-Demands'!$I$5:$I$14,0),FALSE)*HLOOKUP(REG_TRA_DEMANDS!$F231,DEMANDS!$G$2:$CK$25,MATCH($E231,DEMANDS!$E$2:$E$25,0),FALSE)/HLOOKUP(2018,DEMANDS!$G$2:$CK$25,MATCH($E231,DEMANDS!$E$2:$E$25,0),FALSE)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AD231" s="35">
        <f>HLOOKUP(REG_TRA_DEMANDS!AD$3,'BY-Demands'!$J$5:$AK$14,MATCH($E231,'BY-Demands'!$I$5:$I$14,0),FALSE)*HLOOKUP(REG_TRA_DEMANDS!$F231,DEMANDS!$G$2:$CK$25,MATCH($E231,DEMANDS!$E$2:$E$25,0),FALSE)/HLOOKUP(2018,DEMANDS!$G$2:$CK$25,MATCH($E231,DEMANDS!$E$2:$E$25,0),FALSE)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AE231" s="35">
        <f>HLOOKUP(REG_TRA_DEMANDS!AE$3,'BY-Demands'!$J$5:$AK$14,MATCH($E231,'BY-Demands'!$I$5:$I$14,0),FALSE)*HLOOKUP(REG_TRA_DEMANDS!$F231,DEMANDS!$G$2:$CK$25,MATCH($E231,DEMANDS!$E$2:$E$25,0),FALSE)/HLOOKUP(2018,DEMANDS!$G$2:$CK$25,MATCH($E231,DEMANDS!$E$2:$E$25,0),FALSE)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AF231" s="35">
        <f>HLOOKUP(REG_TRA_DEMANDS!AF$3,'BY-Demands'!$J$5:$AK$14,MATCH($E231,'BY-Demands'!$I$5:$I$14,0),FALSE)*HLOOKUP(REG_TRA_DEMANDS!$F231,DEMANDS!$G$2:$CK$25,MATCH($E231,DEMANDS!$E$2:$E$25,0),FALSE)/HLOOKUP(2018,DEMANDS!$G$2:$CK$25,MATCH($E231,DEMANDS!$E$2:$E$25,0),FALSE)</f>
        <v>0</v>
      </c>
    </row>
    <row r="232" spans="4:32" ht="14.4">
      <c r="D232" t="s">
        <v>6</v>
      </c>
      <c r="E232" t="str">
        <f>DEMANDS!$E$25</f>
        <v>TAVIINT</v>
      </c>
      <c r="F232">
        <v>2032</v>
      </c>
      <c r="G232" s="35">
        <f>HLOOKUP(REG_TRA_DEMANDS!G$3,'BY-Demands'!$J$5:$AK$14,MATCH($E232,'BY-Demands'!$I$5:$I$14,0),FALSE)*HLOOKUP(REG_TRA_DEMANDS!$F232,DEMANDS!$G$2:$CK$25,MATCH($E232,DEMANDS!$E$2:$E$25,0),FALSE)/HLOOKUP(2018,DEMANDS!$G$2:$CK$25,MATCH($E232,DEMANDS!$E$2:$E$25,0),FALSE)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H232" s="18">
        <f>HLOOKUP(REG_TRA_DEMANDS!H$3,'BY-Demands'!$J$5:$AK$14,MATCH($E232,'BY-Demands'!$I$5:$I$14,0),FALSE)*HLOOKUP(REG_TRA_DEMANDS!$F232,DEMANDS!$G$2:$CK$25,MATCH($E232,DEMANDS!$E$2:$E$25,0),FALSE)/HLOOKUP(2018,DEMANDS!$G$2:$CK$25,MATCH($E232,DEMANDS!$E$2:$E$25,0),FALSE)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I232" s="35">
        <f>HLOOKUP(REG_TRA_DEMANDS!I$3,'BY-Demands'!$J$5:$AK$14,MATCH($E232,'BY-Demands'!$I$5:$I$14,0),FALSE)*HLOOKUP(REG_TRA_DEMANDS!$F232,DEMANDS!$G$2:$CK$25,MATCH($E232,DEMANDS!$E$2:$E$25,0),FALSE)/HLOOKUP(2018,DEMANDS!$G$2:$CK$25,MATCH($E232,DEMANDS!$E$2:$E$25,0),FALSE)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J232" s="35">
        <f>HLOOKUP(REG_TRA_DEMANDS!J$3,'BY-Demands'!$J$5:$AK$14,MATCH($E232,'BY-Demands'!$I$5:$I$14,0),FALSE)*HLOOKUP(REG_TRA_DEMANDS!$F232,DEMANDS!$G$2:$CK$25,MATCH($E232,DEMANDS!$E$2:$E$25,0),FALSE)/HLOOKUP(2018,DEMANDS!$G$2:$CK$25,MATCH($E232,DEMANDS!$E$2:$E$25,0),FALSE)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K232" s="35">
        <f>HLOOKUP(REG_TRA_DEMANDS!K$3,'BY-Demands'!$J$5:$AK$14,MATCH($E232,'BY-Demands'!$I$5:$I$14,0),FALSE)*HLOOKUP(REG_TRA_DEMANDS!$F232,DEMANDS!$G$2:$CK$25,MATCH($E232,DEMANDS!$E$2:$E$25,0),FALSE)/HLOOKUP(2018,DEMANDS!$G$2:$CK$25,MATCH($E232,DEMANDS!$E$2:$E$25,0),FALSE)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L232" s="35">
        <f>HLOOKUP(REG_TRA_DEMANDS!L$3,'BY-Demands'!$J$5:$AK$14,MATCH($E232,'BY-Demands'!$I$5:$I$14,0),FALSE)*HLOOKUP(REG_TRA_DEMANDS!$F232,DEMANDS!$G$2:$CK$25,MATCH($E232,DEMANDS!$E$2:$E$25,0),FALSE)/HLOOKUP(2018,DEMANDS!$G$2:$CK$25,MATCH($E232,DEMANDS!$E$2:$E$25,0),FALSE)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M232" s="35">
        <f>HLOOKUP(REG_TRA_DEMANDS!M$3,'BY-Demands'!$J$5:$AK$14,MATCH($E232,'BY-Demands'!$I$5:$I$14,0),FALSE)*HLOOKUP(REG_TRA_DEMANDS!$F232,DEMANDS!$G$2:$CK$25,MATCH($E232,DEMANDS!$E$2:$E$25,0),FALSE)/HLOOKUP(2018,DEMANDS!$G$2:$CK$25,MATCH($E232,DEMANDS!$E$2:$E$25,0),FALSE)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N232" s="35">
        <f>HLOOKUP(REG_TRA_DEMANDS!N$3,'BY-Demands'!$J$5:$AK$14,MATCH($E232,'BY-Demands'!$I$5:$I$14,0),FALSE)*HLOOKUP(REG_TRA_DEMANDS!$F232,DEMANDS!$G$2:$CK$25,MATCH($E232,DEMANDS!$E$2:$E$25,0),FALSE)/HLOOKUP(2018,DEMANDS!$G$2:$CK$25,MATCH($E232,DEMANDS!$E$2:$E$25,0),FALSE)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O232" s="35">
        <f>HLOOKUP(REG_TRA_DEMANDS!O$3,'BY-Demands'!$J$5:$AK$14,MATCH($E232,'BY-Demands'!$I$5:$I$14,0),FALSE)*HLOOKUP(REG_TRA_DEMANDS!$F232,DEMANDS!$G$2:$CK$25,MATCH($E232,DEMANDS!$E$2:$E$25,0),FALSE)/HLOOKUP(2018,DEMANDS!$G$2:$CK$25,MATCH($E232,DEMANDS!$E$2:$E$25,0),FALSE)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P232" s="35">
        <f>HLOOKUP(REG_TRA_DEMANDS!P$3,'BY-Demands'!$J$5:$AK$14,MATCH($E232,'BY-Demands'!$I$5:$I$14,0),FALSE)*HLOOKUP(REG_TRA_DEMANDS!$F232,DEMANDS!$G$2:$CK$25,MATCH($E232,DEMANDS!$E$2:$E$25,0),FALSE)/HLOOKUP(2018,DEMANDS!$G$2:$CK$25,MATCH($E232,DEMANDS!$E$2:$E$25,0),FALSE)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Q232" s="35">
        <f>HLOOKUP(REG_TRA_DEMANDS!Q$3,'BY-Demands'!$J$5:$AK$14,MATCH($E232,'BY-Demands'!$I$5:$I$14,0),FALSE)*HLOOKUP(REG_TRA_DEMANDS!$F232,DEMANDS!$G$2:$CK$25,MATCH($E232,DEMANDS!$E$2:$E$25,0),FALSE)/HLOOKUP(2018,DEMANDS!$G$2:$CK$25,MATCH($E232,DEMANDS!$E$2:$E$25,0),FALSE)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R232" s="35">
        <f>HLOOKUP(REG_TRA_DEMANDS!R$3,'BY-Demands'!$J$5:$AK$14,MATCH($E232,'BY-Demands'!$I$5:$I$14,0),FALSE)*HLOOKUP(REG_TRA_DEMANDS!$F232,DEMANDS!$G$2:$CK$25,MATCH($E232,DEMANDS!$E$2:$E$25,0),FALSE)/HLOOKUP(2018,DEMANDS!$G$2:$CK$25,MATCH($E232,DEMANDS!$E$2:$E$25,0),FALSE)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S232" s="18">
        <f>HLOOKUP(REG_TRA_DEMANDS!S$3,'BY-Demands'!$J$5:$AK$14,MATCH($E232,'BY-Demands'!$I$5:$I$14,0),FALSE)*HLOOKUP(REG_TRA_DEMANDS!$F232,DEMANDS!$G$2:$CK$25,MATCH($E232,DEMANDS!$E$2:$E$25,0),FALSE)/HLOOKUP(2018,DEMANDS!$G$2:$CK$25,MATCH($E232,DEMANDS!$E$2:$E$25,0),FALSE)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T232" s="18">
        <f>HLOOKUP(REG_TRA_DEMANDS!T$3,'BY-Demands'!$J$5:$AK$14,MATCH($E232,'BY-Demands'!$I$5:$I$14,0),FALSE)*HLOOKUP(REG_TRA_DEMANDS!$F232,DEMANDS!$G$2:$CK$25,MATCH($E232,DEMANDS!$E$2:$E$25,0),FALSE)/HLOOKUP(2018,DEMANDS!$G$2:$CK$25,MATCH($E232,DEMANDS!$E$2:$E$25,0),FALSE)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U232" s="18">
        <f>HLOOKUP(REG_TRA_DEMANDS!U$3,'BY-Demands'!$J$5:$AK$14,MATCH($E232,'BY-Demands'!$I$5:$I$14,0),FALSE)*HLOOKUP(REG_TRA_DEMANDS!$F232,DEMANDS!$G$2:$CK$25,MATCH($E232,DEMANDS!$E$2:$E$25,0),FALSE)/HLOOKUP(2018,DEMANDS!$G$2:$CK$25,MATCH($E232,DEMANDS!$E$2:$E$25,0),FALSE)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V232" s="35">
        <f>HLOOKUP(REG_TRA_DEMANDS!V$3,'BY-Demands'!$J$5:$AK$14,MATCH($E232,'BY-Demands'!$I$5:$I$14,0),FALSE)*HLOOKUP(REG_TRA_DEMANDS!$F232,DEMANDS!$G$2:$CK$25,MATCH($E232,DEMANDS!$E$2:$E$25,0),FALSE)/HLOOKUP(2018,DEMANDS!$G$2:$CK$25,MATCH($E232,DEMANDS!$E$2:$E$25,0),FALSE)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W232" s="35">
        <f>HLOOKUP(REG_TRA_DEMANDS!W$3,'BY-Demands'!$J$5:$AK$14,MATCH($E232,'BY-Demands'!$I$5:$I$14,0),FALSE)*HLOOKUP(REG_TRA_DEMANDS!$F232,DEMANDS!$G$2:$CK$25,MATCH($E232,DEMANDS!$E$2:$E$25,0),FALSE)/HLOOKUP(2018,DEMANDS!$G$2:$CK$25,MATCH($E232,DEMANDS!$E$2:$E$25,0),FALSE)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X232" s="35">
        <f>HLOOKUP(REG_TRA_DEMANDS!X$3,'BY-Demands'!$J$5:$AK$14,MATCH($E232,'BY-Demands'!$I$5:$I$14,0),FALSE)*HLOOKUP(REG_TRA_DEMANDS!$F232,DEMANDS!$G$2:$CK$25,MATCH($E232,DEMANDS!$E$2:$E$25,0),FALSE)/HLOOKUP(2018,DEMANDS!$G$2:$CK$25,MATCH($E232,DEMANDS!$E$2:$E$25,0),FALSE)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Y232" s="35">
        <f>HLOOKUP(REG_TRA_DEMANDS!Y$3,'BY-Demands'!$J$5:$AK$14,MATCH($E232,'BY-Demands'!$I$5:$I$14,0),FALSE)*HLOOKUP(REG_TRA_DEMANDS!$F232,DEMANDS!$G$2:$CK$25,MATCH($E232,DEMANDS!$E$2:$E$25,0),FALSE)/HLOOKUP(2018,DEMANDS!$G$2:$CK$25,MATCH($E232,DEMANDS!$E$2:$E$25,0),FALSE)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Z232" s="35">
        <f>HLOOKUP(REG_TRA_DEMANDS!Z$3,'BY-Demands'!$J$5:$AK$14,MATCH($E232,'BY-Demands'!$I$5:$I$14,0),FALSE)*HLOOKUP(REG_TRA_DEMANDS!$F232,DEMANDS!$G$2:$CK$25,MATCH($E232,DEMANDS!$E$2:$E$25,0),FALSE)/HLOOKUP(2018,DEMANDS!$G$2:$CK$25,MATCH($E232,DEMANDS!$E$2:$E$25,0),FALSE)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AA232" s="18">
        <f>HLOOKUP(REG_TRA_DEMANDS!AA$3,'BY-Demands'!$J$5:$AK$14,MATCH($E232,'BY-Demands'!$I$5:$I$14,0),FALSE)*HLOOKUP(REG_TRA_DEMANDS!$F232,DEMANDS!$G$2:$CK$25,MATCH($E232,DEMANDS!$E$2:$E$25,0),FALSE)/HLOOKUP(2018,DEMANDS!$G$2:$CK$25,MATCH($E232,DEMANDS!$E$2:$E$25,0),FALSE)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AB232" s="35">
        <f>HLOOKUP(REG_TRA_DEMANDS!AB$3,'BY-Demands'!$J$5:$AK$14,MATCH($E232,'BY-Demands'!$I$5:$I$14,0),FALSE)*HLOOKUP(REG_TRA_DEMANDS!$F232,DEMANDS!$G$2:$CK$25,MATCH($E232,DEMANDS!$E$2:$E$25,0),FALSE)/HLOOKUP(2018,DEMANDS!$G$2:$CK$25,MATCH($E232,DEMANDS!$E$2:$E$25,0),FALSE)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AC232" s="35">
        <f>HLOOKUP(REG_TRA_DEMANDS!AC$3,'BY-Demands'!$J$5:$AK$14,MATCH($E232,'BY-Demands'!$I$5:$I$14,0),FALSE)*HLOOKUP(REG_TRA_DEMANDS!$F232,DEMANDS!$G$2:$CK$25,MATCH($E232,DEMANDS!$E$2:$E$25,0),FALSE)/HLOOKUP(2018,DEMANDS!$G$2:$CK$25,MATCH($E232,DEMANDS!$E$2:$E$25,0),FALSE)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AD232" s="35">
        <f>HLOOKUP(REG_TRA_DEMANDS!AD$3,'BY-Demands'!$J$5:$AK$14,MATCH($E232,'BY-Demands'!$I$5:$I$14,0),FALSE)*HLOOKUP(REG_TRA_DEMANDS!$F232,DEMANDS!$G$2:$CK$25,MATCH($E232,DEMANDS!$E$2:$E$25,0),FALSE)/HLOOKUP(2018,DEMANDS!$G$2:$CK$25,MATCH($E232,DEMANDS!$E$2:$E$25,0),FALSE)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AE232" s="35">
        <f>HLOOKUP(REG_TRA_DEMANDS!AE$3,'BY-Demands'!$J$5:$AK$14,MATCH($E232,'BY-Demands'!$I$5:$I$14,0),FALSE)*HLOOKUP(REG_TRA_DEMANDS!$F232,DEMANDS!$G$2:$CK$25,MATCH($E232,DEMANDS!$E$2:$E$25,0),FALSE)/HLOOKUP(2018,DEMANDS!$G$2:$CK$25,MATCH($E232,DEMANDS!$E$2:$E$25,0),FALSE)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AF232" s="35">
        <f>HLOOKUP(REG_TRA_DEMANDS!AF$3,'BY-Demands'!$J$5:$AK$14,MATCH($E232,'BY-Demands'!$I$5:$I$14,0),FALSE)*HLOOKUP(REG_TRA_DEMANDS!$F232,DEMANDS!$G$2:$CK$25,MATCH($E232,DEMANDS!$E$2:$E$25,0),FALSE)/HLOOKUP(2018,DEMANDS!$G$2:$CK$25,MATCH($E232,DEMANDS!$E$2:$E$25,0),FALSE)</f>
        <v>0</v>
      </c>
    </row>
    <row r="233" spans="4:32" ht="14.4">
      <c r="D233" t="s">
        <v>6</v>
      </c>
      <c r="E233" t="str">
        <f>DEMANDS!$E$25</f>
        <v>TAVIINT</v>
      </c>
      <c r="F233">
        <v>2033</v>
      </c>
      <c r="G233" s="35">
        <f>HLOOKUP(REG_TRA_DEMANDS!G$3,'BY-Demands'!$J$5:$AK$14,MATCH($E233,'BY-Demands'!$I$5:$I$14,0),FALSE)*HLOOKUP(REG_TRA_DEMANDS!$F233,DEMANDS!$G$2:$CK$25,MATCH($E233,DEMANDS!$E$2:$E$25,0),FALSE)/HLOOKUP(2018,DEMANDS!$G$2:$CK$25,MATCH($E233,DEMANDS!$E$2:$E$25,0),FALSE)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H233" s="18">
        <f>HLOOKUP(REG_TRA_DEMANDS!H$3,'BY-Demands'!$J$5:$AK$14,MATCH($E233,'BY-Demands'!$I$5:$I$14,0),FALSE)*HLOOKUP(REG_TRA_DEMANDS!$F233,DEMANDS!$G$2:$CK$25,MATCH($E233,DEMANDS!$E$2:$E$25,0),FALSE)/HLOOKUP(2018,DEMANDS!$G$2:$CK$25,MATCH($E233,DEMANDS!$E$2:$E$25,0),FALSE)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I233" s="35">
        <f>HLOOKUP(REG_TRA_DEMANDS!I$3,'BY-Demands'!$J$5:$AK$14,MATCH($E233,'BY-Demands'!$I$5:$I$14,0),FALSE)*HLOOKUP(REG_TRA_DEMANDS!$F233,DEMANDS!$G$2:$CK$25,MATCH($E233,DEMANDS!$E$2:$E$25,0),FALSE)/HLOOKUP(2018,DEMANDS!$G$2:$CK$25,MATCH($E233,DEMANDS!$E$2:$E$25,0),FALSE)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J233" s="35">
        <f>HLOOKUP(REG_TRA_DEMANDS!J$3,'BY-Demands'!$J$5:$AK$14,MATCH($E233,'BY-Demands'!$I$5:$I$14,0),FALSE)*HLOOKUP(REG_TRA_DEMANDS!$F233,DEMANDS!$G$2:$CK$25,MATCH($E233,DEMANDS!$E$2:$E$25,0),FALSE)/HLOOKUP(2018,DEMANDS!$G$2:$CK$25,MATCH($E233,DEMANDS!$E$2:$E$25,0),FALSE)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K233" s="35">
        <f>HLOOKUP(REG_TRA_DEMANDS!K$3,'BY-Demands'!$J$5:$AK$14,MATCH($E233,'BY-Demands'!$I$5:$I$14,0),FALSE)*HLOOKUP(REG_TRA_DEMANDS!$F233,DEMANDS!$G$2:$CK$25,MATCH($E233,DEMANDS!$E$2:$E$25,0),FALSE)/HLOOKUP(2018,DEMANDS!$G$2:$CK$25,MATCH($E233,DEMANDS!$E$2:$E$25,0),FALSE)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L233" s="35">
        <f>HLOOKUP(REG_TRA_DEMANDS!L$3,'BY-Demands'!$J$5:$AK$14,MATCH($E233,'BY-Demands'!$I$5:$I$14,0),FALSE)*HLOOKUP(REG_TRA_DEMANDS!$F233,DEMANDS!$G$2:$CK$25,MATCH($E233,DEMANDS!$E$2:$E$25,0),FALSE)/HLOOKUP(2018,DEMANDS!$G$2:$CK$25,MATCH($E233,DEMANDS!$E$2:$E$25,0),FALSE)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M233" s="35">
        <f>HLOOKUP(REG_TRA_DEMANDS!M$3,'BY-Demands'!$J$5:$AK$14,MATCH($E233,'BY-Demands'!$I$5:$I$14,0),FALSE)*HLOOKUP(REG_TRA_DEMANDS!$F233,DEMANDS!$G$2:$CK$25,MATCH($E233,DEMANDS!$E$2:$E$25,0),FALSE)/HLOOKUP(2018,DEMANDS!$G$2:$CK$25,MATCH($E233,DEMANDS!$E$2:$E$25,0),FALSE)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N233" s="35">
        <f>HLOOKUP(REG_TRA_DEMANDS!N$3,'BY-Demands'!$J$5:$AK$14,MATCH($E233,'BY-Demands'!$I$5:$I$14,0),FALSE)*HLOOKUP(REG_TRA_DEMANDS!$F233,DEMANDS!$G$2:$CK$25,MATCH($E233,DEMANDS!$E$2:$E$25,0),FALSE)/HLOOKUP(2018,DEMANDS!$G$2:$CK$25,MATCH($E233,DEMANDS!$E$2:$E$25,0),FALSE)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O233" s="35">
        <f>HLOOKUP(REG_TRA_DEMANDS!O$3,'BY-Demands'!$J$5:$AK$14,MATCH($E233,'BY-Demands'!$I$5:$I$14,0),FALSE)*HLOOKUP(REG_TRA_DEMANDS!$F233,DEMANDS!$G$2:$CK$25,MATCH($E233,DEMANDS!$E$2:$E$25,0),FALSE)/HLOOKUP(2018,DEMANDS!$G$2:$CK$25,MATCH($E233,DEMANDS!$E$2:$E$25,0),FALSE)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P233" s="35">
        <f>HLOOKUP(REG_TRA_DEMANDS!P$3,'BY-Demands'!$J$5:$AK$14,MATCH($E233,'BY-Demands'!$I$5:$I$14,0),FALSE)*HLOOKUP(REG_TRA_DEMANDS!$F233,DEMANDS!$G$2:$CK$25,MATCH($E233,DEMANDS!$E$2:$E$25,0),FALSE)/HLOOKUP(2018,DEMANDS!$G$2:$CK$25,MATCH($E233,DEMANDS!$E$2:$E$25,0),FALSE)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Q233" s="35">
        <f>HLOOKUP(REG_TRA_DEMANDS!Q$3,'BY-Demands'!$J$5:$AK$14,MATCH($E233,'BY-Demands'!$I$5:$I$14,0),FALSE)*HLOOKUP(REG_TRA_DEMANDS!$F233,DEMANDS!$G$2:$CK$25,MATCH($E233,DEMANDS!$E$2:$E$25,0),FALSE)/HLOOKUP(2018,DEMANDS!$G$2:$CK$25,MATCH($E233,DEMANDS!$E$2:$E$25,0),FALSE)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R233" s="35">
        <f>HLOOKUP(REG_TRA_DEMANDS!R$3,'BY-Demands'!$J$5:$AK$14,MATCH($E233,'BY-Demands'!$I$5:$I$14,0),FALSE)*HLOOKUP(REG_TRA_DEMANDS!$F233,DEMANDS!$G$2:$CK$25,MATCH($E233,DEMANDS!$E$2:$E$25,0),FALSE)/HLOOKUP(2018,DEMANDS!$G$2:$CK$25,MATCH($E233,DEMANDS!$E$2:$E$25,0),FALSE)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S233" s="18">
        <f>HLOOKUP(REG_TRA_DEMANDS!S$3,'BY-Demands'!$J$5:$AK$14,MATCH($E233,'BY-Demands'!$I$5:$I$14,0),FALSE)*HLOOKUP(REG_TRA_DEMANDS!$F233,DEMANDS!$G$2:$CK$25,MATCH($E233,DEMANDS!$E$2:$E$25,0),FALSE)/HLOOKUP(2018,DEMANDS!$G$2:$CK$25,MATCH($E233,DEMANDS!$E$2:$E$25,0),FALSE)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T233" s="18">
        <f>HLOOKUP(REG_TRA_DEMANDS!T$3,'BY-Demands'!$J$5:$AK$14,MATCH($E233,'BY-Demands'!$I$5:$I$14,0),FALSE)*HLOOKUP(REG_TRA_DEMANDS!$F233,DEMANDS!$G$2:$CK$25,MATCH($E233,DEMANDS!$E$2:$E$25,0),FALSE)/HLOOKUP(2018,DEMANDS!$G$2:$CK$25,MATCH($E233,DEMANDS!$E$2:$E$25,0),FALSE)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U233" s="18">
        <f>HLOOKUP(REG_TRA_DEMANDS!U$3,'BY-Demands'!$J$5:$AK$14,MATCH($E233,'BY-Demands'!$I$5:$I$14,0),FALSE)*HLOOKUP(REG_TRA_DEMANDS!$F233,DEMANDS!$G$2:$CK$25,MATCH($E233,DEMANDS!$E$2:$E$25,0),FALSE)/HLOOKUP(2018,DEMANDS!$G$2:$CK$25,MATCH($E233,DEMANDS!$E$2:$E$25,0),FALSE)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V233" s="35">
        <f>HLOOKUP(REG_TRA_DEMANDS!V$3,'BY-Demands'!$J$5:$AK$14,MATCH($E233,'BY-Demands'!$I$5:$I$14,0),FALSE)*HLOOKUP(REG_TRA_DEMANDS!$F233,DEMANDS!$G$2:$CK$25,MATCH($E233,DEMANDS!$E$2:$E$25,0),FALSE)/HLOOKUP(2018,DEMANDS!$G$2:$CK$25,MATCH($E233,DEMANDS!$E$2:$E$25,0),FALSE)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W233" s="35">
        <f>HLOOKUP(REG_TRA_DEMANDS!W$3,'BY-Demands'!$J$5:$AK$14,MATCH($E233,'BY-Demands'!$I$5:$I$14,0),FALSE)*HLOOKUP(REG_TRA_DEMANDS!$F233,DEMANDS!$G$2:$CK$25,MATCH($E233,DEMANDS!$E$2:$E$25,0),FALSE)/HLOOKUP(2018,DEMANDS!$G$2:$CK$25,MATCH($E233,DEMANDS!$E$2:$E$25,0),FALSE)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X233" s="35">
        <f>HLOOKUP(REG_TRA_DEMANDS!X$3,'BY-Demands'!$J$5:$AK$14,MATCH($E233,'BY-Demands'!$I$5:$I$14,0),FALSE)*HLOOKUP(REG_TRA_DEMANDS!$F233,DEMANDS!$G$2:$CK$25,MATCH($E233,DEMANDS!$E$2:$E$25,0),FALSE)/HLOOKUP(2018,DEMANDS!$G$2:$CK$25,MATCH($E233,DEMANDS!$E$2:$E$25,0),FALSE)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Y233" s="35">
        <f>HLOOKUP(REG_TRA_DEMANDS!Y$3,'BY-Demands'!$J$5:$AK$14,MATCH($E233,'BY-Demands'!$I$5:$I$14,0),FALSE)*HLOOKUP(REG_TRA_DEMANDS!$F233,DEMANDS!$G$2:$CK$25,MATCH($E233,DEMANDS!$E$2:$E$25,0),FALSE)/HLOOKUP(2018,DEMANDS!$G$2:$CK$25,MATCH($E233,DEMANDS!$E$2:$E$25,0),FALSE)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Z233" s="35">
        <f>HLOOKUP(REG_TRA_DEMANDS!Z$3,'BY-Demands'!$J$5:$AK$14,MATCH($E233,'BY-Demands'!$I$5:$I$14,0),FALSE)*HLOOKUP(REG_TRA_DEMANDS!$F233,DEMANDS!$G$2:$CK$25,MATCH($E233,DEMANDS!$E$2:$E$25,0),FALSE)/HLOOKUP(2018,DEMANDS!$G$2:$CK$25,MATCH($E233,DEMANDS!$E$2:$E$25,0),FALSE)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AA233" s="18">
        <f>HLOOKUP(REG_TRA_DEMANDS!AA$3,'BY-Demands'!$J$5:$AK$14,MATCH($E233,'BY-Demands'!$I$5:$I$14,0),FALSE)*HLOOKUP(REG_TRA_DEMANDS!$F233,DEMANDS!$G$2:$CK$25,MATCH($E233,DEMANDS!$E$2:$E$25,0),FALSE)/HLOOKUP(2018,DEMANDS!$G$2:$CK$25,MATCH($E233,DEMANDS!$E$2:$E$25,0),FALSE)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AB233" s="35">
        <f>HLOOKUP(REG_TRA_DEMANDS!AB$3,'BY-Demands'!$J$5:$AK$14,MATCH($E233,'BY-Demands'!$I$5:$I$14,0),FALSE)*HLOOKUP(REG_TRA_DEMANDS!$F233,DEMANDS!$G$2:$CK$25,MATCH($E233,DEMANDS!$E$2:$E$25,0),FALSE)/HLOOKUP(2018,DEMANDS!$G$2:$CK$25,MATCH($E233,DEMANDS!$E$2:$E$25,0),FALSE)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AC233" s="35">
        <f>HLOOKUP(REG_TRA_DEMANDS!AC$3,'BY-Demands'!$J$5:$AK$14,MATCH($E233,'BY-Demands'!$I$5:$I$14,0),FALSE)*HLOOKUP(REG_TRA_DEMANDS!$F233,DEMANDS!$G$2:$CK$25,MATCH($E233,DEMANDS!$E$2:$E$25,0),FALSE)/HLOOKUP(2018,DEMANDS!$G$2:$CK$25,MATCH($E233,DEMANDS!$E$2:$E$25,0),FALSE)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AD233" s="35">
        <f>HLOOKUP(REG_TRA_DEMANDS!AD$3,'BY-Demands'!$J$5:$AK$14,MATCH($E233,'BY-Demands'!$I$5:$I$14,0),FALSE)*HLOOKUP(REG_TRA_DEMANDS!$F233,DEMANDS!$G$2:$CK$25,MATCH($E233,DEMANDS!$E$2:$E$25,0),FALSE)/HLOOKUP(2018,DEMANDS!$G$2:$CK$25,MATCH($E233,DEMANDS!$E$2:$E$25,0),FALSE)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AE233" s="35">
        <f>HLOOKUP(REG_TRA_DEMANDS!AE$3,'BY-Demands'!$J$5:$AK$14,MATCH($E233,'BY-Demands'!$I$5:$I$14,0),FALSE)*HLOOKUP(REG_TRA_DEMANDS!$F233,DEMANDS!$G$2:$CK$25,MATCH($E233,DEMANDS!$E$2:$E$25,0),FALSE)/HLOOKUP(2018,DEMANDS!$G$2:$CK$25,MATCH($E233,DEMANDS!$E$2:$E$25,0),FALSE)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AF233" s="35">
        <f>HLOOKUP(REG_TRA_DEMANDS!AF$3,'BY-Demands'!$J$5:$AK$14,MATCH($E233,'BY-Demands'!$I$5:$I$14,0),FALSE)*HLOOKUP(REG_TRA_DEMANDS!$F233,DEMANDS!$G$2:$CK$25,MATCH($E233,DEMANDS!$E$2:$E$25,0),FALSE)/HLOOKUP(2018,DEMANDS!$G$2:$CK$25,MATCH($E233,DEMANDS!$E$2:$E$25,0),FALSE)</f>
        <v>0</v>
      </c>
    </row>
    <row r="234" spans="4:32" ht="14.4">
      <c r="D234" t="s">
        <v>6</v>
      </c>
      <c r="E234" t="str">
        <f>DEMANDS!$E$25</f>
        <v>TAVIINT</v>
      </c>
      <c r="F234">
        <v>2034</v>
      </c>
      <c r="G234" s="35">
        <f>HLOOKUP(REG_TRA_DEMANDS!G$3,'BY-Demands'!$J$5:$AK$14,MATCH($E234,'BY-Demands'!$I$5:$I$14,0),FALSE)*HLOOKUP(REG_TRA_DEMANDS!$F234,DEMANDS!$G$2:$CK$25,MATCH($E234,DEMANDS!$E$2:$E$25,0),FALSE)/HLOOKUP(2018,DEMANDS!$G$2:$CK$25,MATCH($E234,DEMANDS!$E$2:$E$25,0),FALSE)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H234" s="18">
        <f>HLOOKUP(REG_TRA_DEMANDS!H$3,'BY-Demands'!$J$5:$AK$14,MATCH($E234,'BY-Demands'!$I$5:$I$14,0),FALSE)*HLOOKUP(REG_TRA_DEMANDS!$F234,DEMANDS!$G$2:$CK$25,MATCH($E234,DEMANDS!$E$2:$E$25,0),FALSE)/HLOOKUP(2018,DEMANDS!$G$2:$CK$25,MATCH($E234,DEMANDS!$E$2:$E$25,0),FALSE)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I234" s="35">
        <f>HLOOKUP(REG_TRA_DEMANDS!I$3,'BY-Demands'!$J$5:$AK$14,MATCH($E234,'BY-Demands'!$I$5:$I$14,0),FALSE)*HLOOKUP(REG_TRA_DEMANDS!$F234,DEMANDS!$G$2:$CK$25,MATCH($E234,DEMANDS!$E$2:$E$25,0),FALSE)/HLOOKUP(2018,DEMANDS!$G$2:$CK$25,MATCH($E234,DEMANDS!$E$2:$E$25,0),FALSE)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J234" s="35">
        <f>HLOOKUP(REG_TRA_DEMANDS!J$3,'BY-Demands'!$J$5:$AK$14,MATCH($E234,'BY-Demands'!$I$5:$I$14,0),FALSE)*HLOOKUP(REG_TRA_DEMANDS!$F234,DEMANDS!$G$2:$CK$25,MATCH($E234,DEMANDS!$E$2:$E$25,0),FALSE)/HLOOKUP(2018,DEMANDS!$G$2:$CK$25,MATCH($E234,DEMANDS!$E$2:$E$25,0),FALSE)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K234" s="35">
        <f>HLOOKUP(REG_TRA_DEMANDS!K$3,'BY-Demands'!$J$5:$AK$14,MATCH($E234,'BY-Demands'!$I$5:$I$14,0),FALSE)*HLOOKUP(REG_TRA_DEMANDS!$F234,DEMANDS!$G$2:$CK$25,MATCH($E234,DEMANDS!$E$2:$E$25,0),FALSE)/HLOOKUP(2018,DEMANDS!$G$2:$CK$25,MATCH($E234,DEMANDS!$E$2:$E$25,0),FALSE)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L234" s="35">
        <f>HLOOKUP(REG_TRA_DEMANDS!L$3,'BY-Demands'!$J$5:$AK$14,MATCH($E234,'BY-Demands'!$I$5:$I$14,0),FALSE)*HLOOKUP(REG_TRA_DEMANDS!$F234,DEMANDS!$G$2:$CK$25,MATCH($E234,DEMANDS!$E$2:$E$25,0),FALSE)/HLOOKUP(2018,DEMANDS!$G$2:$CK$25,MATCH($E234,DEMANDS!$E$2:$E$25,0),FALSE)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M234" s="35">
        <f>HLOOKUP(REG_TRA_DEMANDS!M$3,'BY-Demands'!$J$5:$AK$14,MATCH($E234,'BY-Demands'!$I$5:$I$14,0),FALSE)*HLOOKUP(REG_TRA_DEMANDS!$F234,DEMANDS!$G$2:$CK$25,MATCH($E234,DEMANDS!$E$2:$E$25,0),FALSE)/HLOOKUP(2018,DEMANDS!$G$2:$CK$25,MATCH($E234,DEMANDS!$E$2:$E$25,0),FALSE)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N234" s="35">
        <f>HLOOKUP(REG_TRA_DEMANDS!N$3,'BY-Demands'!$J$5:$AK$14,MATCH($E234,'BY-Demands'!$I$5:$I$14,0),FALSE)*HLOOKUP(REG_TRA_DEMANDS!$F234,DEMANDS!$G$2:$CK$25,MATCH($E234,DEMANDS!$E$2:$E$25,0),FALSE)/HLOOKUP(2018,DEMANDS!$G$2:$CK$25,MATCH($E234,DEMANDS!$E$2:$E$25,0),FALSE)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O234" s="35">
        <f>HLOOKUP(REG_TRA_DEMANDS!O$3,'BY-Demands'!$J$5:$AK$14,MATCH($E234,'BY-Demands'!$I$5:$I$14,0),FALSE)*HLOOKUP(REG_TRA_DEMANDS!$F234,DEMANDS!$G$2:$CK$25,MATCH($E234,DEMANDS!$E$2:$E$25,0),FALSE)/HLOOKUP(2018,DEMANDS!$G$2:$CK$25,MATCH($E234,DEMANDS!$E$2:$E$25,0),FALSE)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P234" s="35">
        <f>HLOOKUP(REG_TRA_DEMANDS!P$3,'BY-Demands'!$J$5:$AK$14,MATCH($E234,'BY-Demands'!$I$5:$I$14,0),FALSE)*HLOOKUP(REG_TRA_DEMANDS!$F234,DEMANDS!$G$2:$CK$25,MATCH($E234,DEMANDS!$E$2:$E$25,0),FALSE)/HLOOKUP(2018,DEMANDS!$G$2:$CK$25,MATCH($E234,DEMANDS!$E$2:$E$25,0),FALSE)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Q234" s="35">
        <f>HLOOKUP(REG_TRA_DEMANDS!Q$3,'BY-Demands'!$J$5:$AK$14,MATCH($E234,'BY-Demands'!$I$5:$I$14,0),FALSE)*HLOOKUP(REG_TRA_DEMANDS!$F234,DEMANDS!$G$2:$CK$25,MATCH($E234,DEMANDS!$E$2:$E$25,0),FALSE)/HLOOKUP(2018,DEMANDS!$G$2:$CK$25,MATCH($E234,DEMANDS!$E$2:$E$25,0),FALSE)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R234" s="35">
        <f>HLOOKUP(REG_TRA_DEMANDS!R$3,'BY-Demands'!$J$5:$AK$14,MATCH($E234,'BY-Demands'!$I$5:$I$14,0),FALSE)*HLOOKUP(REG_TRA_DEMANDS!$F234,DEMANDS!$G$2:$CK$25,MATCH($E234,DEMANDS!$E$2:$E$25,0),FALSE)/HLOOKUP(2018,DEMANDS!$G$2:$CK$25,MATCH($E234,DEMANDS!$E$2:$E$25,0),FALSE)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S234" s="18">
        <f>HLOOKUP(REG_TRA_DEMANDS!S$3,'BY-Demands'!$J$5:$AK$14,MATCH($E234,'BY-Demands'!$I$5:$I$14,0),FALSE)*HLOOKUP(REG_TRA_DEMANDS!$F234,DEMANDS!$G$2:$CK$25,MATCH($E234,DEMANDS!$E$2:$E$25,0),FALSE)/HLOOKUP(2018,DEMANDS!$G$2:$CK$25,MATCH($E234,DEMANDS!$E$2:$E$25,0),FALSE)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T234" s="18">
        <f>HLOOKUP(REG_TRA_DEMANDS!T$3,'BY-Demands'!$J$5:$AK$14,MATCH($E234,'BY-Demands'!$I$5:$I$14,0),FALSE)*HLOOKUP(REG_TRA_DEMANDS!$F234,DEMANDS!$G$2:$CK$25,MATCH($E234,DEMANDS!$E$2:$E$25,0),FALSE)/HLOOKUP(2018,DEMANDS!$G$2:$CK$25,MATCH($E234,DEMANDS!$E$2:$E$25,0),FALSE)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U234" s="18">
        <f>HLOOKUP(REG_TRA_DEMANDS!U$3,'BY-Demands'!$J$5:$AK$14,MATCH($E234,'BY-Demands'!$I$5:$I$14,0),FALSE)*HLOOKUP(REG_TRA_DEMANDS!$F234,DEMANDS!$G$2:$CK$25,MATCH($E234,DEMANDS!$E$2:$E$25,0),FALSE)/HLOOKUP(2018,DEMANDS!$G$2:$CK$25,MATCH($E234,DEMANDS!$E$2:$E$25,0),FALSE)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V234" s="35">
        <f>HLOOKUP(REG_TRA_DEMANDS!V$3,'BY-Demands'!$J$5:$AK$14,MATCH($E234,'BY-Demands'!$I$5:$I$14,0),FALSE)*HLOOKUP(REG_TRA_DEMANDS!$F234,DEMANDS!$G$2:$CK$25,MATCH($E234,DEMANDS!$E$2:$E$25,0),FALSE)/HLOOKUP(2018,DEMANDS!$G$2:$CK$25,MATCH($E234,DEMANDS!$E$2:$E$25,0),FALSE)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W234" s="35">
        <f>HLOOKUP(REG_TRA_DEMANDS!W$3,'BY-Demands'!$J$5:$AK$14,MATCH($E234,'BY-Demands'!$I$5:$I$14,0),FALSE)*HLOOKUP(REG_TRA_DEMANDS!$F234,DEMANDS!$G$2:$CK$25,MATCH($E234,DEMANDS!$E$2:$E$25,0),FALSE)/HLOOKUP(2018,DEMANDS!$G$2:$CK$25,MATCH($E234,DEMANDS!$E$2:$E$25,0),FALSE)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X234" s="35">
        <f>HLOOKUP(REG_TRA_DEMANDS!X$3,'BY-Demands'!$J$5:$AK$14,MATCH($E234,'BY-Demands'!$I$5:$I$14,0),FALSE)*HLOOKUP(REG_TRA_DEMANDS!$F234,DEMANDS!$G$2:$CK$25,MATCH($E234,DEMANDS!$E$2:$E$25,0),FALSE)/HLOOKUP(2018,DEMANDS!$G$2:$CK$25,MATCH($E234,DEMANDS!$E$2:$E$25,0),FALSE)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Y234" s="35">
        <f>HLOOKUP(REG_TRA_DEMANDS!Y$3,'BY-Demands'!$J$5:$AK$14,MATCH($E234,'BY-Demands'!$I$5:$I$14,0),FALSE)*HLOOKUP(REG_TRA_DEMANDS!$F234,DEMANDS!$G$2:$CK$25,MATCH($E234,DEMANDS!$E$2:$E$25,0),FALSE)/HLOOKUP(2018,DEMANDS!$G$2:$CK$25,MATCH($E234,DEMANDS!$E$2:$E$25,0),FALSE)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Z234" s="35">
        <f>HLOOKUP(REG_TRA_DEMANDS!Z$3,'BY-Demands'!$J$5:$AK$14,MATCH($E234,'BY-Demands'!$I$5:$I$14,0),FALSE)*HLOOKUP(REG_TRA_DEMANDS!$F234,DEMANDS!$G$2:$CK$25,MATCH($E234,DEMANDS!$E$2:$E$25,0),FALSE)/HLOOKUP(2018,DEMANDS!$G$2:$CK$25,MATCH($E234,DEMANDS!$E$2:$E$25,0),FALSE)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AA234" s="18">
        <f>HLOOKUP(REG_TRA_DEMANDS!AA$3,'BY-Demands'!$J$5:$AK$14,MATCH($E234,'BY-Demands'!$I$5:$I$14,0),FALSE)*HLOOKUP(REG_TRA_DEMANDS!$F234,DEMANDS!$G$2:$CK$25,MATCH($E234,DEMANDS!$E$2:$E$25,0),FALSE)/HLOOKUP(2018,DEMANDS!$G$2:$CK$25,MATCH($E234,DEMANDS!$E$2:$E$25,0),FALSE)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AB234" s="35">
        <f>HLOOKUP(REG_TRA_DEMANDS!AB$3,'BY-Demands'!$J$5:$AK$14,MATCH($E234,'BY-Demands'!$I$5:$I$14,0),FALSE)*HLOOKUP(REG_TRA_DEMANDS!$F234,DEMANDS!$G$2:$CK$25,MATCH($E234,DEMANDS!$E$2:$E$25,0),FALSE)/HLOOKUP(2018,DEMANDS!$G$2:$CK$25,MATCH($E234,DEMANDS!$E$2:$E$25,0),FALSE)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AC234" s="35">
        <f>HLOOKUP(REG_TRA_DEMANDS!AC$3,'BY-Demands'!$J$5:$AK$14,MATCH($E234,'BY-Demands'!$I$5:$I$14,0),FALSE)*HLOOKUP(REG_TRA_DEMANDS!$F234,DEMANDS!$G$2:$CK$25,MATCH($E234,DEMANDS!$E$2:$E$25,0),FALSE)/HLOOKUP(2018,DEMANDS!$G$2:$CK$25,MATCH($E234,DEMANDS!$E$2:$E$25,0),FALSE)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AD234" s="35">
        <f>HLOOKUP(REG_TRA_DEMANDS!AD$3,'BY-Demands'!$J$5:$AK$14,MATCH($E234,'BY-Demands'!$I$5:$I$14,0),FALSE)*HLOOKUP(REG_TRA_DEMANDS!$F234,DEMANDS!$G$2:$CK$25,MATCH($E234,DEMANDS!$E$2:$E$25,0),FALSE)/HLOOKUP(2018,DEMANDS!$G$2:$CK$25,MATCH($E234,DEMANDS!$E$2:$E$25,0),FALSE)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AE234" s="35">
        <f>HLOOKUP(REG_TRA_DEMANDS!AE$3,'BY-Demands'!$J$5:$AK$14,MATCH($E234,'BY-Demands'!$I$5:$I$14,0),FALSE)*HLOOKUP(REG_TRA_DEMANDS!$F234,DEMANDS!$G$2:$CK$25,MATCH($E234,DEMANDS!$E$2:$E$25,0),FALSE)/HLOOKUP(2018,DEMANDS!$G$2:$CK$25,MATCH($E234,DEMANDS!$E$2:$E$25,0),FALSE)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AF234" s="35">
        <f>HLOOKUP(REG_TRA_DEMANDS!AF$3,'BY-Demands'!$J$5:$AK$14,MATCH($E234,'BY-Demands'!$I$5:$I$14,0),FALSE)*HLOOKUP(REG_TRA_DEMANDS!$F234,DEMANDS!$G$2:$CK$25,MATCH($E234,DEMANDS!$E$2:$E$25,0),FALSE)/HLOOKUP(2018,DEMANDS!$G$2:$CK$25,MATCH($E234,DEMANDS!$E$2:$E$25,0),FALSE)</f>
        <v>0</v>
      </c>
    </row>
    <row r="235" spans="4:32" ht="14.4">
      <c r="D235" t="s">
        <v>6</v>
      </c>
      <c r="E235" t="str">
        <f>DEMANDS!$E$25</f>
        <v>TAVIINT</v>
      </c>
      <c r="F235">
        <v>2035</v>
      </c>
      <c r="G235" s="35">
        <f>HLOOKUP(REG_TRA_DEMANDS!G$3,'BY-Demands'!$J$5:$AK$14,MATCH($E235,'BY-Demands'!$I$5:$I$14,0),FALSE)*HLOOKUP(REG_TRA_DEMANDS!$F235,DEMANDS!$G$2:$CK$25,MATCH($E235,DEMANDS!$E$2:$E$25,0),FALSE)/HLOOKUP(2018,DEMANDS!$G$2:$CK$25,MATCH($E235,DEMANDS!$E$2:$E$25,0),FALSE)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H235" s="18">
        <f>HLOOKUP(REG_TRA_DEMANDS!H$3,'BY-Demands'!$J$5:$AK$14,MATCH($E235,'BY-Demands'!$I$5:$I$14,0),FALSE)*HLOOKUP(REG_TRA_DEMANDS!$F235,DEMANDS!$G$2:$CK$25,MATCH($E235,DEMANDS!$E$2:$E$25,0),FALSE)/HLOOKUP(2018,DEMANDS!$G$2:$CK$25,MATCH($E235,DEMANDS!$E$2:$E$25,0),FALSE)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I235" s="35">
        <f>HLOOKUP(REG_TRA_DEMANDS!I$3,'BY-Demands'!$J$5:$AK$14,MATCH($E235,'BY-Demands'!$I$5:$I$14,0),FALSE)*HLOOKUP(REG_TRA_DEMANDS!$F235,DEMANDS!$G$2:$CK$25,MATCH($E235,DEMANDS!$E$2:$E$25,0),FALSE)/HLOOKUP(2018,DEMANDS!$G$2:$CK$25,MATCH($E235,DEMANDS!$E$2:$E$25,0),FALSE)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J235" s="35">
        <f>HLOOKUP(REG_TRA_DEMANDS!J$3,'BY-Demands'!$J$5:$AK$14,MATCH($E235,'BY-Demands'!$I$5:$I$14,0),FALSE)*HLOOKUP(REG_TRA_DEMANDS!$F235,DEMANDS!$G$2:$CK$25,MATCH($E235,DEMANDS!$E$2:$E$25,0),FALSE)/HLOOKUP(2018,DEMANDS!$G$2:$CK$25,MATCH($E235,DEMANDS!$E$2:$E$25,0),FALSE)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K235" s="35">
        <f>HLOOKUP(REG_TRA_DEMANDS!K$3,'BY-Demands'!$J$5:$AK$14,MATCH($E235,'BY-Demands'!$I$5:$I$14,0),FALSE)*HLOOKUP(REG_TRA_DEMANDS!$F235,DEMANDS!$G$2:$CK$25,MATCH($E235,DEMANDS!$E$2:$E$25,0),FALSE)/HLOOKUP(2018,DEMANDS!$G$2:$CK$25,MATCH($E235,DEMANDS!$E$2:$E$25,0),FALSE)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L235" s="35">
        <f>HLOOKUP(REG_TRA_DEMANDS!L$3,'BY-Demands'!$J$5:$AK$14,MATCH($E235,'BY-Demands'!$I$5:$I$14,0),FALSE)*HLOOKUP(REG_TRA_DEMANDS!$F235,DEMANDS!$G$2:$CK$25,MATCH($E235,DEMANDS!$E$2:$E$25,0),FALSE)/HLOOKUP(2018,DEMANDS!$G$2:$CK$25,MATCH($E235,DEMANDS!$E$2:$E$25,0),FALSE)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M235" s="35">
        <f>HLOOKUP(REG_TRA_DEMANDS!M$3,'BY-Demands'!$J$5:$AK$14,MATCH($E235,'BY-Demands'!$I$5:$I$14,0),FALSE)*HLOOKUP(REG_TRA_DEMANDS!$F235,DEMANDS!$G$2:$CK$25,MATCH($E235,DEMANDS!$E$2:$E$25,0),FALSE)/HLOOKUP(2018,DEMANDS!$G$2:$CK$25,MATCH($E235,DEMANDS!$E$2:$E$25,0),FALSE)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N235" s="35">
        <f>HLOOKUP(REG_TRA_DEMANDS!N$3,'BY-Demands'!$J$5:$AK$14,MATCH($E235,'BY-Demands'!$I$5:$I$14,0),FALSE)*HLOOKUP(REG_TRA_DEMANDS!$F235,DEMANDS!$G$2:$CK$25,MATCH($E235,DEMANDS!$E$2:$E$25,0),FALSE)/HLOOKUP(2018,DEMANDS!$G$2:$CK$25,MATCH($E235,DEMANDS!$E$2:$E$25,0),FALSE)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O235" s="35">
        <f>HLOOKUP(REG_TRA_DEMANDS!O$3,'BY-Demands'!$J$5:$AK$14,MATCH($E235,'BY-Demands'!$I$5:$I$14,0),FALSE)*HLOOKUP(REG_TRA_DEMANDS!$F235,DEMANDS!$G$2:$CK$25,MATCH($E235,DEMANDS!$E$2:$E$25,0),FALSE)/HLOOKUP(2018,DEMANDS!$G$2:$CK$25,MATCH($E235,DEMANDS!$E$2:$E$25,0),FALSE)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P235" s="35">
        <f>HLOOKUP(REG_TRA_DEMANDS!P$3,'BY-Demands'!$J$5:$AK$14,MATCH($E235,'BY-Demands'!$I$5:$I$14,0),FALSE)*HLOOKUP(REG_TRA_DEMANDS!$F235,DEMANDS!$G$2:$CK$25,MATCH($E235,DEMANDS!$E$2:$E$25,0),FALSE)/HLOOKUP(2018,DEMANDS!$G$2:$CK$25,MATCH($E235,DEMANDS!$E$2:$E$25,0),FALSE)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Q235" s="35">
        <f>HLOOKUP(REG_TRA_DEMANDS!Q$3,'BY-Demands'!$J$5:$AK$14,MATCH($E235,'BY-Demands'!$I$5:$I$14,0),FALSE)*HLOOKUP(REG_TRA_DEMANDS!$F235,DEMANDS!$G$2:$CK$25,MATCH($E235,DEMANDS!$E$2:$E$25,0),FALSE)/HLOOKUP(2018,DEMANDS!$G$2:$CK$25,MATCH($E235,DEMANDS!$E$2:$E$25,0),FALSE)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R235" s="35">
        <f>HLOOKUP(REG_TRA_DEMANDS!R$3,'BY-Demands'!$J$5:$AK$14,MATCH($E235,'BY-Demands'!$I$5:$I$14,0),FALSE)*HLOOKUP(REG_TRA_DEMANDS!$F235,DEMANDS!$G$2:$CK$25,MATCH($E235,DEMANDS!$E$2:$E$25,0),FALSE)/HLOOKUP(2018,DEMANDS!$G$2:$CK$25,MATCH($E235,DEMANDS!$E$2:$E$25,0),FALSE)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S235" s="18">
        <f>HLOOKUP(REG_TRA_DEMANDS!S$3,'BY-Demands'!$J$5:$AK$14,MATCH($E235,'BY-Demands'!$I$5:$I$14,0),FALSE)*HLOOKUP(REG_TRA_DEMANDS!$F235,DEMANDS!$G$2:$CK$25,MATCH($E235,DEMANDS!$E$2:$E$25,0),FALSE)/HLOOKUP(2018,DEMANDS!$G$2:$CK$25,MATCH($E235,DEMANDS!$E$2:$E$25,0),FALSE)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T235" s="18">
        <f>HLOOKUP(REG_TRA_DEMANDS!T$3,'BY-Demands'!$J$5:$AK$14,MATCH($E235,'BY-Demands'!$I$5:$I$14,0),FALSE)*HLOOKUP(REG_TRA_DEMANDS!$F235,DEMANDS!$G$2:$CK$25,MATCH($E235,DEMANDS!$E$2:$E$25,0),FALSE)/HLOOKUP(2018,DEMANDS!$G$2:$CK$25,MATCH($E235,DEMANDS!$E$2:$E$25,0),FALSE)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U235" s="18">
        <f>HLOOKUP(REG_TRA_DEMANDS!U$3,'BY-Demands'!$J$5:$AK$14,MATCH($E235,'BY-Demands'!$I$5:$I$14,0),FALSE)*HLOOKUP(REG_TRA_DEMANDS!$F235,DEMANDS!$G$2:$CK$25,MATCH($E235,DEMANDS!$E$2:$E$25,0),FALSE)/HLOOKUP(2018,DEMANDS!$G$2:$CK$25,MATCH($E235,DEMANDS!$E$2:$E$25,0),FALSE)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V235" s="35">
        <f>HLOOKUP(REG_TRA_DEMANDS!V$3,'BY-Demands'!$J$5:$AK$14,MATCH($E235,'BY-Demands'!$I$5:$I$14,0),FALSE)*HLOOKUP(REG_TRA_DEMANDS!$F235,DEMANDS!$G$2:$CK$25,MATCH($E235,DEMANDS!$E$2:$E$25,0),FALSE)/HLOOKUP(2018,DEMANDS!$G$2:$CK$25,MATCH($E235,DEMANDS!$E$2:$E$25,0),FALSE)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W235" s="35">
        <f>HLOOKUP(REG_TRA_DEMANDS!W$3,'BY-Demands'!$J$5:$AK$14,MATCH($E235,'BY-Demands'!$I$5:$I$14,0),FALSE)*HLOOKUP(REG_TRA_DEMANDS!$F235,DEMANDS!$G$2:$CK$25,MATCH($E235,DEMANDS!$E$2:$E$25,0),FALSE)/HLOOKUP(2018,DEMANDS!$G$2:$CK$25,MATCH($E235,DEMANDS!$E$2:$E$25,0),FALSE)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X235" s="35">
        <f>HLOOKUP(REG_TRA_DEMANDS!X$3,'BY-Demands'!$J$5:$AK$14,MATCH($E235,'BY-Demands'!$I$5:$I$14,0),FALSE)*HLOOKUP(REG_TRA_DEMANDS!$F235,DEMANDS!$G$2:$CK$25,MATCH($E235,DEMANDS!$E$2:$E$25,0),FALSE)/HLOOKUP(2018,DEMANDS!$G$2:$CK$25,MATCH($E235,DEMANDS!$E$2:$E$25,0),FALSE)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Y235" s="35">
        <f>HLOOKUP(REG_TRA_DEMANDS!Y$3,'BY-Demands'!$J$5:$AK$14,MATCH($E235,'BY-Demands'!$I$5:$I$14,0),FALSE)*HLOOKUP(REG_TRA_DEMANDS!$F235,DEMANDS!$G$2:$CK$25,MATCH($E235,DEMANDS!$E$2:$E$25,0),FALSE)/HLOOKUP(2018,DEMANDS!$G$2:$CK$25,MATCH($E235,DEMANDS!$E$2:$E$25,0),FALSE)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Z235" s="35">
        <f>HLOOKUP(REG_TRA_DEMANDS!Z$3,'BY-Demands'!$J$5:$AK$14,MATCH($E235,'BY-Demands'!$I$5:$I$14,0),FALSE)*HLOOKUP(REG_TRA_DEMANDS!$F235,DEMANDS!$G$2:$CK$25,MATCH($E235,DEMANDS!$E$2:$E$25,0),FALSE)/HLOOKUP(2018,DEMANDS!$G$2:$CK$25,MATCH($E235,DEMANDS!$E$2:$E$25,0),FALSE)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AA235" s="18">
        <f>HLOOKUP(REG_TRA_DEMANDS!AA$3,'BY-Demands'!$J$5:$AK$14,MATCH($E235,'BY-Demands'!$I$5:$I$14,0),FALSE)*HLOOKUP(REG_TRA_DEMANDS!$F235,DEMANDS!$G$2:$CK$25,MATCH($E235,DEMANDS!$E$2:$E$25,0),FALSE)/HLOOKUP(2018,DEMANDS!$G$2:$CK$25,MATCH($E235,DEMANDS!$E$2:$E$25,0),FALSE)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AB235" s="35">
        <f>HLOOKUP(REG_TRA_DEMANDS!AB$3,'BY-Demands'!$J$5:$AK$14,MATCH($E235,'BY-Demands'!$I$5:$I$14,0),FALSE)*HLOOKUP(REG_TRA_DEMANDS!$F235,DEMANDS!$G$2:$CK$25,MATCH($E235,DEMANDS!$E$2:$E$25,0),FALSE)/HLOOKUP(2018,DEMANDS!$G$2:$CK$25,MATCH($E235,DEMANDS!$E$2:$E$25,0),FALSE)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AC235" s="35">
        <f>HLOOKUP(REG_TRA_DEMANDS!AC$3,'BY-Demands'!$J$5:$AK$14,MATCH($E235,'BY-Demands'!$I$5:$I$14,0),FALSE)*HLOOKUP(REG_TRA_DEMANDS!$F235,DEMANDS!$G$2:$CK$25,MATCH($E235,DEMANDS!$E$2:$E$25,0),FALSE)/HLOOKUP(2018,DEMANDS!$G$2:$CK$25,MATCH($E235,DEMANDS!$E$2:$E$25,0),FALSE)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AD235" s="35">
        <f>HLOOKUP(REG_TRA_DEMANDS!AD$3,'BY-Demands'!$J$5:$AK$14,MATCH($E235,'BY-Demands'!$I$5:$I$14,0),FALSE)*HLOOKUP(REG_TRA_DEMANDS!$F235,DEMANDS!$G$2:$CK$25,MATCH($E235,DEMANDS!$E$2:$E$25,0),FALSE)/HLOOKUP(2018,DEMANDS!$G$2:$CK$25,MATCH($E235,DEMANDS!$E$2:$E$25,0),FALSE)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AE235" s="35">
        <f>HLOOKUP(REG_TRA_DEMANDS!AE$3,'BY-Demands'!$J$5:$AK$14,MATCH($E235,'BY-Demands'!$I$5:$I$14,0),FALSE)*HLOOKUP(REG_TRA_DEMANDS!$F235,DEMANDS!$G$2:$CK$25,MATCH($E235,DEMANDS!$E$2:$E$25,0),FALSE)/HLOOKUP(2018,DEMANDS!$G$2:$CK$25,MATCH($E235,DEMANDS!$E$2:$E$25,0),FALSE)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AF235" s="35">
        <f>HLOOKUP(REG_TRA_DEMANDS!AF$3,'BY-Demands'!$J$5:$AK$14,MATCH($E235,'BY-Demands'!$I$5:$I$14,0),FALSE)*HLOOKUP(REG_TRA_DEMANDS!$F235,DEMANDS!$G$2:$CK$25,MATCH($E235,DEMANDS!$E$2:$E$25,0),FALSE)/HLOOKUP(2018,DEMANDS!$G$2:$CK$25,MATCH($E235,DEMANDS!$E$2:$E$25,0),FALSE)</f>
        <v>0</v>
      </c>
    </row>
    <row r="236" spans="4:32" ht="14.4">
      <c r="D236" t="s">
        <v>6</v>
      </c>
      <c r="E236" t="str">
        <f>DEMANDS!$E$25</f>
        <v>TAVIINT</v>
      </c>
      <c r="F236">
        <v>2036</v>
      </c>
      <c r="G236" s="35">
        <f>HLOOKUP(REG_TRA_DEMANDS!G$3,'BY-Demands'!$J$5:$AK$14,MATCH($E236,'BY-Demands'!$I$5:$I$14,0),FALSE)*HLOOKUP(REG_TRA_DEMANDS!$F236,DEMANDS!$G$2:$CK$25,MATCH($E236,DEMANDS!$E$2:$E$25,0),FALSE)/HLOOKUP(2018,DEMANDS!$G$2:$CK$25,MATCH($E236,DEMANDS!$E$2:$E$25,0),FALSE)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H236" s="18">
        <f>HLOOKUP(REG_TRA_DEMANDS!H$3,'BY-Demands'!$J$5:$AK$14,MATCH($E236,'BY-Demands'!$I$5:$I$14,0),FALSE)*HLOOKUP(REG_TRA_DEMANDS!$F236,DEMANDS!$G$2:$CK$25,MATCH($E236,DEMANDS!$E$2:$E$25,0),FALSE)/HLOOKUP(2018,DEMANDS!$G$2:$CK$25,MATCH($E236,DEMANDS!$E$2:$E$25,0),FALSE)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I236" s="35">
        <f>HLOOKUP(REG_TRA_DEMANDS!I$3,'BY-Demands'!$J$5:$AK$14,MATCH($E236,'BY-Demands'!$I$5:$I$14,0),FALSE)*HLOOKUP(REG_TRA_DEMANDS!$F236,DEMANDS!$G$2:$CK$25,MATCH($E236,DEMANDS!$E$2:$E$25,0),FALSE)/HLOOKUP(2018,DEMANDS!$G$2:$CK$25,MATCH($E236,DEMANDS!$E$2:$E$25,0),FALSE)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J236" s="35">
        <f>HLOOKUP(REG_TRA_DEMANDS!J$3,'BY-Demands'!$J$5:$AK$14,MATCH($E236,'BY-Demands'!$I$5:$I$14,0),FALSE)*HLOOKUP(REG_TRA_DEMANDS!$F236,DEMANDS!$G$2:$CK$25,MATCH($E236,DEMANDS!$E$2:$E$25,0),FALSE)/HLOOKUP(2018,DEMANDS!$G$2:$CK$25,MATCH($E236,DEMANDS!$E$2:$E$25,0),FALSE)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K236" s="35">
        <f>HLOOKUP(REG_TRA_DEMANDS!K$3,'BY-Demands'!$J$5:$AK$14,MATCH($E236,'BY-Demands'!$I$5:$I$14,0),FALSE)*HLOOKUP(REG_TRA_DEMANDS!$F236,DEMANDS!$G$2:$CK$25,MATCH($E236,DEMANDS!$E$2:$E$25,0),FALSE)/HLOOKUP(2018,DEMANDS!$G$2:$CK$25,MATCH($E236,DEMANDS!$E$2:$E$25,0),FALSE)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L236" s="35">
        <f>HLOOKUP(REG_TRA_DEMANDS!L$3,'BY-Demands'!$J$5:$AK$14,MATCH($E236,'BY-Demands'!$I$5:$I$14,0),FALSE)*HLOOKUP(REG_TRA_DEMANDS!$F236,DEMANDS!$G$2:$CK$25,MATCH($E236,DEMANDS!$E$2:$E$25,0),FALSE)/HLOOKUP(2018,DEMANDS!$G$2:$CK$25,MATCH($E236,DEMANDS!$E$2:$E$25,0),FALSE)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M236" s="35">
        <f>HLOOKUP(REG_TRA_DEMANDS!M$3,'BY-Demands'!$J$5:$AK$14,MATCH($E236,'BY-Demands'!$I$5:$I$14,0),FALSE)*HLOOKUP(REG_TRA_DEMANDS!$F236,DEMANDS!$G$2:$CK$25,MATCH($E236,DEMANDS!$E$2:$E$25,0),FALSE)/HLOOKUP(2018,DEMANDS!$G$2:$CK$25,MATCH($E236,DEMANDS!$E$2:$E$25,0),FALSE)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N236" s="35">
        <f>HLOOKUP(REG_TRA_DEMANDS!N$3,'BY-Demands'!$J$5:$AK$14,MATCH($E236,'BY-Demands'!$I$5:$I$14,0),FALSE)*HLOOKUP(REG_TRA_DEMANDS!$F236,DEMANDS!$G$2:$CK$25,MATCH($E236,DEMANDS!$E$2:$E$25,0),FALSE)/HLOOKUP(2018,DEMANDS!$G$2:$CK$25,MATCH($E236,DEMANDS!$E$2:$E$25,0),FALSE)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O236" s="35">
        <f>HLOOKUP(REG_TRA_DEMANDS!O$3,'BY-Demands'!$J$5:$AK$14,MATCH($E236,'BY-Demands'!$I$5:$I$14,0),FALSE)*HLOOKUP(REG_TRA_DEMANDS!$F236,DEMANDS!$G$2:$CK$25,MATCH($E236,DEMANDS!$E$2:$E$25,0),FALSE)/HLOOKUP(2018,DEMANDS!$G$2:$CK$25,MATCH($E236,DEMANDS!$E$2:$E$25,0),FALSE)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P236" s="35">
        <f>HLOOKUP(REG_TRA_DEMANDS!P$3,'BY-Demands'!$J$5:$AK$14,MATCH($E236,'BY-Demands'!$I$5:$I$14,0),FALSE)*HLOOKUP(REG_TRA_DEMANDS!$F236,DEMANDS!$G$2:$CK$25,MATCH($E236,DEMANDS!$E$2:$E$25,0),FALSE)/HLOOKUP(2018,DEMANDS!$G$2:$CK$25,MATCH($E236,DEMANDS!$E$2:$E$25,0),FALSE)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Q236" s="35">
        <f>HLOOKUP(REG_TRA_DEMANDS!Q$3,'BY-Demands'!$J$5:$AK$14,MATCH($E236,'BY-Demands'!$I$5:$I$14,0),FALSE)*HLOOKUP(REG_TRA_DEMANDS!$F236,DEMANDS!$G$2:$CK$25,MATCH($E236,DEMANDS!$E$2:$E$25,0),FALSE)/HLOOKUP(2018,DEMANDS!$G$2:$CK$25,MATCH($E236,DEMANDS!$E$2:$E$25,0),FALSE)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R236" s="35">
        <f>HLOOKUP(REG_TRA_DEMANDS!R$3,'BY-Demands'!$J$5:$AK$14,MATCH($E236,'BY-Demands'!$I$5:$I$14,0),FALSE)*HLOOKUP(REG_TRA_DEMANDS!$F236,DEMANDS!$G$2:$CK$25,MATCH($E236,DEMANDS!$E$2:$E$25,0),FALSE)/HLOOKUP(2018,DEMANDS!$G$2:$CK$25,MATCH($E236,DEMANDS!$E$2:$E$25,0),FALSE)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S236" s="18">
        <f>HLOOKUP(REG_TRA_DEMANDS!S$3,'BY-Demands'!$J$5:$AK$14,MATCH($E236,'BY-Demands'!$I$5:$I$14,0),FALSE)*HLOOKUP(REG_TRA_DEMANDS!$F236,DEMANDS!$G$2:$CK$25,MATCH($E236,DEMANDS!$E$2:$E$25,0),FALSE)/HLOOKUP(2018,DEMANDS!$G$2:$CK$25,MATCH($E236,DEMANDS!$E$2:$E$25,0),FALSE)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T236" s="18">
        <f>HLOOKUP(REG_TRA_DEMANDS!T$3,'BY-Demands'!$J$5:$AK$14,MATCH($E236,'BY-Demands'!$I$5:$I$14,0),FALSE)*HLOOKUP(REG_TRA_DEMANDS!$F236,DEMANDS!$G$2:$CK$25,MATCH($E236,DEMANDS!$E$2:$E$25,0),FALSE)/HLOOKUP(2018,DEMANDS!$G$2:$CK$25,MATCH($E236,DEMANDS!$E$2:$E$25,0),FALSE)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U236" s="18">
        <f>HLOOKUP(REG_TRA_DEMANDS!U$3,'BY-Demands'!$J$5:$AK$14,MATCH($E236,'BY-Demands'!$I$5:$I$14,0),FALSE)*HLOOKUP(REG_TRA_DEMANDS!$F236,DEMANDS!$G$2:$CK$25,MATCH($E236,DEMANDS!$E$2:$E$25,0),FALSE)/HLOOKUP(2018,DEMANDS!$G$2:$CK$25,MATCH($E236,DEMANDS!$E$2:$E$25,0),FALSE)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V236" s="35">
        <f>HLOOKUP(REG_TRA_DEMANDS!V$3,'BY-Demands'!$J$5:$AK$14,MATCH($E236,'BY-Demands'!$I$5:$I$14,0),FALSE)*HLOOKUP(REG_TRA_DEMANDS!$F236,DEMANDS!$G$2:$CK$25,MATCH($E236,DEMANDS!$E$2:$E$25,0),FALSE)/HLOOKUP(2018,DEMANDS!$G$2:$CK$25,MATCH($E236,DEMANDS!$E$2:$E$25,0),FALSE)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W236" s="35">
        <f>HLOOKUP(REG_TRA_DEMANDS!W$3,'BY-Demands'!$J$5:$AK$14,MATCH($E236,'BY-Demands'!$I$5:$I$14,0),FALSE)*HLOOKUP(REG_TRA_DEMANDS!$F236,DEMANDS!$G$2:$CK$25,MATCH($E236,DEMANDS!$E$2:$E$25,0),FALSE)/HLOOKUP(2018,DEMANDS!$G$2:$CK$25,MATCH($E236,DEMANDS!$E$2:$E$25,0),FALSE)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X236" s="35">
        <f>HLOOKUP(REG_TRA_DEMANDS!X$3,'BY-Demands'!$J$5:$AK$14,MATCH($E236,'BY-Demands'!$I$5:$I$14,0),FALSE)*HLOOKUP(REG_TRA_DEMANDS!$F236,DEMANDS!$G$2:$CK$25,MATCH($E236,DEMANDS!$E$2:$E$25,0),FALSE)/HLOOKUP(2018,DEMANDS!$G$2:$CK$25,MATCH($E236,DEMANDS!$E$2:$E$25,0),FALSE)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Y236" s="35">
        <f>HLOOKUP(REG_TRA_DEMANDS!Y$3,'BY-Demands'!$J$5:$AK$14,MATCH($E236,'BY-Demands'!$I$5:$I$14,0),FALSE)*HLOOKUP(REG_TRA_DEMANDS!$F236,DEMANDS!$G$2:$CK$25,MATCH($E236,DEMANDS!$E$2:$E$25,0),FALSE)/HLOOKUP(2018,DEMANDS!$G$2:$CK$25,MATCH($E236,DEMANDS!$E$2:$E$25,0),FALSE)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Z236" s="35">
        <f>HLOOKUP(REG_TRA_DEMANDS!Z$3,'BY-Demands'!$J$5:$AK$14,MATCH($E236,'BY-Demands'!$I$5:$I$14,0),FALSE)*HLOOKUP(REG_TRA_DEMANDS!$F236,DEMANDS!$G$2:$CK$25,MATCH($E236,DEMANDS!$E$2:$E$25,0),FALSE)/HLOOKUP(2018,DEMANDS!$G$2:$CK$25,MATCH($E236,DEMANDS!$E$2:$E$25,0),FALSE)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AA236" s="18">
        <f>HLOOKUP(REG_TRA_DEMANDS!AA$3,'BY-Demands'!$J$5:$AK$14,MATCH($E236,'BY-Demands'!$I$5:$I$14,0),FALSE)*HLOOKUP(REG_TRA_DEMANDS!$F236,DEMANDS!$G$2:$CK$25,MATCH($E236,DEMANDS!$E$2:$E$25,0),FALSE)/HLOOKUP(2018,DEMANDS!$G$2:$CK$25,MATCH($E236,DEMANDS!$E$2:$E$25,0),FALSE)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AB236" s="35">
        <f>HLOOKUP(REG_TRA_DEMANDS!AB$3,'BY-Demands'!$J$5:$AK$14,MATCH($E236,'BY-Demands'!$I$5:$I$14,0),FALSE)*HLOOKUP(REG_TRA_DEMANDS!$F236,DEMANDS!$G$2:$CK$25,MATCH($E236,DEMANDS!$E$2:$E$25,0),FALSE)/HLOOKUP(2018,DEMANDS!$G$2:$CK$25,MATCH($E236,DEMANDS!$E$2:$E$25,0),FALSE)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AC236" s="35">
        <f>HLOOKUP(REG_TRA_DEMANDS!AC$3,'BY-Demands'!$J$5:$AK$14,MATCH($E236,'BY-Demands'!$I$5:$I$14,0),FALSE)*HLOOKUP(REG_TRA_DEMANDS!$F236,DEMANDS!$G$2:$CK$25,MATCH($E236,DEMANDS!$E$2:$E$25,0),FALSE)/HLOOKUP(2018,DEMANDS!$G$2:$CK$25,MATCH($E236,DEMANDS!$E$2:$E$25,0),FALSE)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AD236" s="35">
        <f>HLOOKUP(REG_TRA_DEMANDS!AD$3,'BY-Demands'!$J$5:$AK$14,MATCH($E236,'BY-Demands'!$I$5:$I$14,0),FALSE)*HLOOKUP(REG_TRA_DEMANDS!$F236,DEMANDS!$G$2:$CK$25,MATCH($E236,DEMANDS!$E$2:$E$25,0),FALSE)/HLOOKUP(2018,DEMANDS!$G$2:$CK$25,MATCH($E236,DEMANDS!$E$2:$E$25,0),FALSE)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AE236" s="35">
        <f>HLOOKUP(REG_TRA_DEMANDS!AE$3,'BY-Demands'!$J$5:$AK$14,MATCH($E236,'BY-Demands'!$I$5:$I$14,0),FALSE)*HLOOKUP(REG_TRA_DEMANDS!$F236,DEMANDS!$G$2:$CK$25,MATCH($E236,DEMANDS!$E$2:$E$25,0),FALSE)/HLOOKUP(2018,DEMANDS!$G$2:$CK$25,MATCH($E236,DEMANDS!$E$2:$E$25,0),FALSE)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AF236" s="35">
        <f>HLOOKUP(REG_TRA_DEMANDS!AF$3,'BY-Demands'!$J$5:$AK$14,MATCH($E236,'BY-Demands'!$I$5:$I$14,0),FALSE)*HLOOKUP(REG_TRA_DEMANDS!$F236,DEMANDS!$G$2:$CK$25,MATCH($E236,DEMANDS!$E$2:$E$25,0),FALSE)/HLOOKUP(2018,DEMANDS!$G$2:$CK$25,MATCH($E236,DEMANDS!$E$2:$E$25,0),FALSE)</f>
        <v>0</v>
      </c>
    </row>
    <row r="237" spans="4:32" ht="14.4">
      <c r="D237" t="s">
        <v>6</v>
      </c>
      <c r="E237" t="str">
        <f>DEMANDS!$E$25</f>
        <v>TAVIINT</v>
      </c>
      <c r="F237">
        <v>2037</v>
      </c>
      <c r="G237" s="35">
        <f>HLOOKUP(REG_TRA_DEMANDS!G$3,'BY-Demands'!$J$5:$AK$14,MATCH($E237,'BY-Demands'!$I$5:$I$14,0),FALSE)*HLOOKUP(REG_TRA_DEMANDS!$F237,DEMANDS!$G$2:$CK$25,MATCH($E237,DEMANDS!$E$2:$E$25,0),FALSE)/HLOOKUP(2018,DEMANDS!$G$2:$CK$25,MATCH($E237,DEMANDS!$E$2:$E$25,0),FALSE)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H237" s="18">
        <f>HLOOKUP(REG_TRA_DEMANDS!H$3,'BY-Demands'!$J$5:$AK$14,MATCH($E237,'BY-Demands'!$I$5:$I$14,0),FALSE)*HLOOKUP(REG_TRA_DEMANDS!$F237,DEMANDS!$G$2:$CK$25,MATCH($E237,DEMANDS!$E$2:$E$25,0),FALSE)/HLOOKUP(2018,DEMANDS!$G$2:$CK$25,MATCH($E237,DEMANDS!$E$2:$E$25,0),FALSE)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I237" s="35">
        <f>HLOOKUP(REG_TRA_DEMANDS!I$3,'BY-Demands'!$J$5:$AK$14,MATCH($E237,'BY-Demands'!$I$5:$I$14,0),FALSE)*HLOOKUP(REG_TRA_DEMANDS!$F237,DEMANDS!$G$2:$CK$25,MATCH($E237,DEMANDS!$E$2:$E$25,0),FALSE)/HLOOKUP(2018,DEMANDS!$G$2:$CK$25,MATCH($E237,DEMANDS!$E$2:$E$25,0),FALSE)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J237" s="35">
        <f>HLOOKUP(REG_TRA_DEMANDS!J$3,'BY-Demands'!$J$5:$AK$14,MATCH($E237,'BY-Demands'!$I$5:$I$14,0),FALSE)*HLOOKUP(REG_TRA_DEMANDS!$F237,DEMANDS!$G$2:$CK$25,MATCH($E237,DEMANDS!$E$2:$E$25,0),FALSE)/HLOOKUP(2018,DEMANDS!$G$2:$CK$25,MATCH($E237,DEMANDS!$E$2:$E$25,0),FALSE)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K237" s="35">
        <f>HLOOKUP(REG_TRA_DEMANDS!K$3,'BY-Demands'!$J$5:$AK$14,MATCH($E237,'BY-Demands'!$I$5:$I$14,0),FALSE)*HLOOKUP(REG_TRA_DEMANDS!$F237,DEMANDS!$G$2:$CK$25,MATCH($E237,DEMANDS!$E$2:$E$25,0),FALSE)/HLOOKUP(2018,DEMANDS!$G$2:$CK$25,MATCH($E237,DEMANDS!$E$2:$E$25,0),FALSE)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L237" s="35">
        <f>HLOOKUP(REG_TRA_DEMANDS!L$3,'BY-Demands'!$J$5:$AK$14,MATCH($E237,'BY-Demands'!$I$5:$I$14,0),FALSE)*HLOOKUP(REG_TRA_DEMANDS!$F237,DEMANDS!$G$2:$CK$25,MATCH($E237,DEMANDS!$E$2:$E$25,0),FALSE)/HLOOKUP(2018,DEMANDS!$G$2:$CK$25,MATCH($E237,DEMANDS!$E$2:$E$25,0),FALSE)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M237" s="35">
        <f>HLOOKUP(REG_TRA_DEMANDS!M$3,'BY-Demands'!$J$5:$AK$14,MATCH($E237,'BY-Demands'!$I$5:$I$14,0),FALSE)*HLOOKUP(REG_TRA_DEMANDS!$F237,DEMANDS!$G$2:$CK$25,MATCH($E237,DEMANDS!$E$2:$E$25,0),FALSE)/HLOOKUP(2018,DEMANDS!$G$2:$CK$25,MATCH($E237,DEMANDS!$E$2:$E$25,0),FALSE)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N237" s="35">
        <f>HLOOKUP(REG_TRA_DEMANDS!N$3,'BY-Demands'!$J$5:$AK$14,MATCH($E237,'BY-Demands'!$I$5:$I$14,0),FALSE)*HLOOKUP(REG_TRA_DEMANDS!$F237,DEMANDS!$G$2:$CK$25,MATCH($E237,DEMANDS!$E$2:$E$25,0),FALSE)/HLOOKUP(2018,DEMANDS!$G$2:$CK$25,MATCH($E237,DEMANDS!$E$2:$E$25,0),FALSE)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O237" s="35">
        <f>HLOOKUP(REG_TRA_DEMANDS!O$3,'BY-Demands'!$J$5:$AK$14,MATCH($E237,'BY-Demands'!$I$5:$I$14,0),FALSE)*HLOOKUP(REG_TRA_DEMANDS!$F237,DEMANDS!$G$2:$CK$25,MATCH($E237,DEMANDS!$E$2:$E$25,0),FALSE)/HLOOKUP(2018,DEMANDS!$G$2:$CK$25,MATCH($E237,DEMANDS!$E$2:$E$25,0),FALSE)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P237" s="35">
        <f>HLOOKUP(REG_TRA_DEMANDS!P$3,'BY-Demands'!$J$5:$AK$14,MATCH($E237,'BY-Demands'!$I$5:$I$14,0),FALSE)*HLOOKUP(REG_TRA_DEMANDS!$F237,DEMANDS!$G$2:$CK$25,MATCH($E237,DEMANDS!$E$2:$E$25,0),FALSE)/HLOOKUP(2018,DEMANDS!$G$2:$CK$25,MATCH($E237,DEMANDS!$E$2:$E$25,0),FALSE)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Q237" s="35">
        <f>HLOOKUP(REG_TRA_DEMANDS!Q$3,'BY-Demands'!$J$5:$AK$14,MATCH($E237,'BY-Demands'!$I$5:$I$14,0),FALSE)*HLOOKUP(REG_TRA_DEMANDS!$F237,DEMANDS!$G$2:$CK$25,MATCH($E237,DEMANDS!$E$2:$E$25,0),FALSE)/HLOOKUP(2018,DEMANDS!$G$2:$CK$25,MATCH($E237,DEMANDS!$E$2:$E$25,0),FALSE)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R237" s="35">
        <f>HLOOKUP(REG_TRA_DEMANDS!R$3,'BY-Demands'!$J$5:$AK$14,MATCH($E237,'BY-Demands'!$I$5:$I$14,0),FALSE)*HLOOKUP(REG_TRA_DEMANDS!$F237,DEMANDS!$G$2:$CK$25,MATCH($E237,DEMANDS!$E$2:$E$25,0),FALSE)/HLOOKUP(2018,DEMANDS!$G$2:$CK$25,MATCH($E237,DEMANDS!$E$2:$E$25,0),FALSE)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S237" s="18">
        <f>HLOOKUP(REG_TRA_DEMANDS!S$3,'BY-Demands'!$J$5:$AK$14,MATCH($E237,'BY-Demands'!$I$5:$I$14,0),FALSE)*HLOOKUP(REG_TRA_DEMANDS!$F237,DEMANDS!$G$2:$CK$25,MATCH($E237,DEMANDS!$E$2:$E$25,0),FALSE)/HLOOKUP(2018,DEMANDS!$G$2:$CK$25,MATCH($E237,DEMANDS!$E$2:$E$25,0),FALSE)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T237" s="18">
        <f>HLOOKUP(REG_TRA_DEMANDS!T$3,'BY-Demands'!$J$5:$AK$14,MATCH($E237,'BY-Demands'!$I$5:$I$14,0),FALSE)*HLOOKUP(REG_TRA_DEMANDS!$F237,DEMANDS!$G$2:$CK$25,MATCH($E237,DEMANDS!$E$2:$E$25,0),FALSE)/HLOOKUP(2018,DEMANDS!$G$2:$CK$25,MATCH($E237,DEMANDS!$E$2:$E$25,0),FALSE)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U237" s="18">
        <f>HLOOKUP(REG_TRA_DEMANDS!U$3,'BY-Demands'!$J$5:$AK$14,MATCH($E237,'BY-Demands'!$I$5:$I$14,0),FALSE)*HLOOKUP(REG_TRA_DEMANDS!$F237,DEMANDS!$G$2:$CK$25,MATCH($E237,DEMANDS!$E$2:$E$25,0),FALSE)/HLOOKUP(2018,DEMANDS!$G$2:$CK$25,MATCH($E237,DEMANDS!$E$2:$E$25,0),FALSE)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V237" s="35">
        <f>HLOOKUP(REG_TRA_DEMANDS!V$3,'BY-Demands'!$J$5:$AK$14,MATCH($E237,'BY-Demands'!$I$5:$I$14,0),FALSE)*HLOOKUP(REG_TRA_DEMANDS!$F237,DEMANDS!$G$2:$CK$25,MATCH($E237,DEMANDS!$E$2:$E$25,0),FALSE)/HLOOKUP(2018,DEMANDS!$G$2:$CK$25,MATCH($E237,DEMANDS!$E$2:$E$25,0),FALSE)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W237" s="35">
        <f>HLOOKUP(REG_TRA_DEMANDS!W$3,'BY-Demands'!$J$5:$AK$14,MATCH($E237,'BY-Demands'!$I$5:$I$14,0),FALSE)*HLOOKUP(REG_TRA_DEMANDS!$F237,DEMANDS!$G$2:$CK$25,MATCH($E237,DEMANDS!$E$2:$E$25,0),FALSE)/HLOOKUP(2018,DEMANDS!$G$2:$CK$25,MATCH($E237,DEMANDS!$E$2:$E$25,0),FALSE)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X237" s="35">
        <f>HLOOKUP(REG_TRA_DEMANDS!X$3,'BY-Demands'!$J$5:$AK$14,MATCH($E237,'BY-Demands'!$I$5:$I$14,0),FALSE)*HLOOKUP(REG_TRA_DEMANDS!$F237,DEMANDS!$G$2:$CK$25,MATCH($E237,DEMANDS!$E$2:$E$25,0),FALSE)/HLOOKUP(2018,DEMANDS!$G$2:$CK$25,MATCH($E237,DEMANDS!$E$2:$E$25,0),FALSE)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Y237" s="35">
        <f>HLOOKUP(REG_TRA_DEMANDS!Y$3,'BY-Demands'!$J$5:$AK$14,MATCH($E237,'BY-Demands'!$I$5:$I$14,0),FALSE)*HLOOKUP(REG_TRA_DEMANDS!$F237,DEMANDS!$G$2:$CK$25,MATCH($E237,DEMANDS!$E$2:$E$25,0),FALSE)/HLOOKUP(2018,DEMANDS!$G$2:$CK$25,MATCH($E237,DEMANDS!$E$2:$E$25,0),FALSE)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Z237" s="35">
        <f>HLOOKUP(REG_TRA_DEMANDS!Z$3,'BY-Demands'!$J$5:$AK$14,MATCH($E237,'BY-Demands'!$I$5:$I$14,0),FALSE)*HLOOKUP(REG_TRA_DEMANDS!$F237,DEMANDS!$G$2:$CK$25,MATCH($E237,DEMANDS!$E$2:$E$25,0),FALSE)/HLOOKUP(2018,DEMANDS!$G$2:$CK$25,MATCH($E237,DEMANDS!$E$2:$E$25,0),FALSE)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AA237" s="18">
        <f>HLOOKUP(REG_TRA_DEMANDS!AA$3,'BY-Demands'!$J$5:$AK$14,MATCH($E237,'BY-Demands'!$I$5:$I$14,0),FALSE)*HLOOKUP(REG_TRA_DEMANDS!$F237,DEMANDS!$G$2:$CK$25,MATCH($E237,DEMANDS!$E$2:$E$25,0),FALSE)/HLOOKUP(2018,DEMANDS!$G$2:$CK$25,MATCH($E237,DEMANDS!$E$2:$E$25,0),FALSE)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AB237" s="35">
        <f>HLOOKUP(REG_TRA_DEMANDS!AB$3,'BY-Demands'!$J$5:$AK$14,MATCH($E237,'BY-Demands'!$I$5:$I$14,0),FALSE)*HLOOKUP(REG_TRA_DEMANDS!$F237,DEMANDS!$G$2:$CK$25,MATCH($E237,DEMANDS!$E$2:$E$25,0),FALSE)/HLOOKUP(2018,DEMANDS!$G$2:$CK$25,MATCH($E237,DEMANDS!$E$2:$E$25,0),FALSE)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AC237" s="35">
        <f>HLOOKUP(REG_TRA_DEMANDS!AC$3,'BY-Demands'!$J$5:$AK$14,MATCH($E237,'BY-Demands'!$I$5:$I$14,0),FALSE)*HLOOKUP(REG_TRA_DEMANDS!$F237,DEMANDS!$G$2:$CK$25,MATCH($E237,DEMANDS!$E$2:$E$25,0),FALSE)/HLOOKUP(2018,DEMANDS!$G$2:$CK$25,MATCH($E237,DEMANDS!$E$2:$E$25,0),FALSE)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AD237" s="35">
        <f>HLOOKUP(REG_TRA_DEMANDS!AD$3,'BY-Demands'!$J$5:$AK$14,MATCH($E237,'BY-Demands'!$I$5:$I$14,0),FALSE)*HLOOKUP(REG_TRA_DEMANDS!$F237,DEMANDS!$G$2:$CK$25,MATCH($E237,DEMANDS!$E$2:$E$25,0),FALSE)/HLOOKUP(2018,DEMANDS!$G$2:$CK$25,MATCH($E237,DEMANDS!$E$2:$E$25,0),FALSE)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AE237" s="35">
        <f>HLOOKUP(REG_TRA_DEMANDS!AE$3,'BY-Demands'!$J$5:$AK$14,MATCH($E237,'BY-Demands'!$I$5:$I$14,0),FALSE)*HLOOKUP(REG_TRA_DEMANDS!$F237,DEMANDS!$G$2:$CK$25,MATCH($E237,DEMANDS!$E$2:$E$25,0),FALSE)/HLOOKUP(2018,DEMANDS!$G$2:$CK$25,MATCH($E237,DEMANDS!$E$2:$E$25,0),FALSE)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AF237" s="35">
        <f>HLOOKUP(REG_TRA_DEMANDS!AF$3,'BY-Demands'!$J$5:$AK$14,MATCH($E237,'BY-Demands'!$I$5:$I$14,0),FALSE)*HLOOKUP(REG_TRA_DEMANDS!$F237,DEMANDS!$G$2:$CK$25,MATCH($E237,DEMANDS!$E$2:$E$25,0),FALSE)/HLOOKUP(2018,DEMANDS!$G$2:$CK$25,MATCH($E237,DEMANDS!$E$2:$E$25,0),FALSE)</f>
        <v>0</v>
      </c>
    </row>
    <row r="238" spans="4:32" ht="14.4">
      <c r="D238" t="s">
        <v>6</v>
      </c>
      <c r="E238" t="str">
        <f>DEMANDS!$E$25</f>
        <v>TAVIINT</v>
      </c>
      <c r="F238">
        <v>2038</v>
      </c>
      <c r="G238" s="35">
        <f>HLOOKUP(REG_TRA_DEMANDS!G$3,'BY-Demands'!$J$5:$AK$14,MATCH($E238,'BY-Demands'!$I$5:$I$14,0),FALSE)*HLOOKUP(REG_TRA_DEMANDS!$F238,DEMANDS!$G$2:$CK$25,MATCH($E238,DEMANDS!$E$2:$E$25,0),FALSE)/HLOOKUP(2018,DEMANDS!$G$2:$CK$25,MATCH($E238,DEMANDS!$E$2:$E$25,0),FALSE)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H238" s="18">
        <f>HLOOKUP(REG_TRA_DEMANDS!H$3,'BY-Demands'!$J$5:$AK$14,MATCH($E238,'BY-Demands'!$I$5:$I$14,0),FALSE)*HLOOKUP(REG_TRA_DEMANDS!$F238,DEMANDS!$G$2:$CK$25,MATCH($E238,DEMANDS!$E$2:$E$25,0),FALSE)/HLOOKUP(2018,DEMANDS!$G$2:$CK$25,MATCH($E238,DEMANDS!$E$2:$E$25,0),FALSE)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I238" s="35">
        <f>HLOOKUP(REG_TRA_DEMANDS!I$3,'BY-Demands'!$J$5:$AK$14,MATCH($E238,'BY-Demands'!$I$5:$I$14,0),FALSE)*HLOOKUP(REG_TRA_DEMANDS!$F238,DEMANDS!$G$2:$CK$25,MATCH($E238,DEMANDS!$E$2:$E$25,0),FALSE)/HLOOKUP(2018,DEMANDS!$G$2:$CK$25,MATCH($E238,DEMANDS!$E$2:$E$25,0),FALSE)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J238" s="35">
        <f>HLOOKUP(REG_TRA_DEMANDS!J$3,'BY-Demands'!$J$5:$AK$14,MATCH($E238,'BY-Demands'!$I$5:$I$14,0),FALSE)*HLOOKUP(REG_TRA_DEMANDS!$F238,DEMANDS!$G$2:$CK$25,MATCH($E238,DEMANDS!$E$2:$E$25,0),FALSE)/HLOOKUP(2018,DEMANDS!$G$2:$CK$25,MATCH($E238,DEMANDS!$E$2:$E$25,0),FALSE)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K238" s="35">
        <f>HLOOKUP(REG_TRA_DEMANDS!K$3,'BY-Demands'!$J$5:$AK$14,MATCH($E238,'BY-Demands'!$I$5:$I$14,0),FALSE)*HLOOKUP(REG_TRA_DEMANDS!$F238,DEMANDS!$G$2:$CK$25,MATCH($E238,DEMANDS!$E$2:$E$25,0),FALSE)/HLOOKUP(2018,DEMANDS!$G$2:$CK$25,MATCH($E238,DEMANDS!$E$2:$E$25,0),FALSE)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L238" s="35">
        <f>HLOOKUP(REG_TRA_DEMANDS!L$3,'BY-Demands'!$J$5:$AK$14,MATCH($E238,'BY-Demands'!$I$5:$I$14,0),FALSE)*HLOOKUP(REG_TRA_DEMANDS!$F238,DEMANDS!$G$2:$CK$25,MATCH($E238,DEMANDS!$E$2:$E$25,0),FALSE)/HLOOKUP(2018,DEMANDS!$G$2:$CK$25,MATCH($E238,DEMANDS!$E$2:$E$25,0),FALSE)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M238" s="35">
        <f>HLOOKUP(REG_TRA_DEMANDS!M$3,'BY-Demands'!$J$5:$AK$14,MATCH($E238,'BY-Demands'!$I$5:$I$14,0),FALSE)*HLOOKUP(REG_TRA_DEMANDS!$F238,DEMANDS!$G$2:$CK$25,MATCH($E238,DEMANDS!$E$2:$E$25,0),FALSE)/HLOOKUP(2018,DEMANDS!$G$2:$CK$25,MATCH($E238,DEMANDS!$E$2:$E$25,0),FALSE)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N238" s="35">
        <f>HLOOKUP(REG_TRA_DEMANDS!N$3,'BY-Demands'!$J$5:$AK$14,MATCH($E238,'BY-Demands'!$I$5:$I$14,0),FALSE)*HLOOKUP(REG_TRA_DEMANDS!$F238,DEMANDS!$G$2:$CK$25,MATCH($E238,DEMANDS!$E$2:$E$25,0),FALSE)/HLOOKUP(2018,DEMANDS!$G$2:$CK$25,MATCH($E238,DEMANDS!$E$2:$E$25,0),FALSE)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O238" s="35">
        <f>HLOOKUP(REG_TRA_DEMANDS!O$3,'BY-Demands'!$J$5:$AK$14,MATCH($E238,'BY-Demands'!$I$5:$I$14,0),FALSE)*HLOOKUP(REG_TRA_DEMANDS!$F238,DEMANDS!$G$2:$CK$25,MATCH($E238,DEMANDS!$E$2:$E$25,0),FALSE)/HLOOKUP(2018,DEMANDS!$G$2:$CK$25,MATCH($E238,DEMANDS!$E$2:$E$25,0),FALSE)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P238" s="35">
        <f>HLOOKUP(REG_TRA_DEMANDS!P$3,'BY-Demands'!$J$5:$AK$14,MATCH($E238,'BY-Demands'!$I$5:$I$14,0),FALSE)*HLOOKUP(REG_TRA_DEMANDS!$F238,DEMANDS!$G$2:$CK$25,MATCH($E238,DEMANDS!$E$2:$E$25,0),FALSE)/HLOOKUP(2018,DEMANDS!$G$2:$CK$25,MATCH($E238,DEMANDS!$E$2:$E$25,0),FALSE)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Q238" s="35">
        <f>HLOOKUP(REG_TRA_DEMANDS!Q$3,'BY-Demands'!$J$5:$AK$14,MATCH($E238,'BY-Demands'!$I$5:$I$14,0),FALSE)*HLOOKUP(REG_TRA_DEMANDS!$F238,DEMANDS!$G$2:$CK$25,MATCH($E238,DEMANDS!$E$2:$E$25,0),FALSE)/HLOOKUP(2018,DEMANDS!$G$2:$CK$25,MATCH($E238,DEMANDS!$E$2:$E$25,0),FALSE)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R238" s="35">
        <f>HLOOKUP(REG_TRA_DEMANDS!R$3,'BY-Demands'!$J$5:$AK$14,MATCH($E238,'BY-Demands'!$I$5:$I$14,0),FALSE)*HLOOKUP(REG_TRA_DEMANDS!$F238,DEMANDS!$G$2:$CK$25,MATCH($E238,DEMANDS!$E$2:$E$25,0),FALSE)/HLOOKUP(2018,DEMANDS!$G$2:$CK$25,MATCH($E238,DEMANDS!$E$2:$E$25,0),FALSE)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S238" s="18">
        <f>HLOOKUP(REG_TRA_DEMANDS!S$3,'BY-Demands'!$J$5:$AK$14,MATCH($E238,'BY-Demands'!$I$5:$I$14,0),FALSE)*HLOOKUP(REG_TRA_DEMANDS!$F238,DEMANDS!$G$2:$CK$25,MATCH($E238,DEMANDS!$E$2:$E$25,0),FALSE)/HLOOKUP(2018,DEMANDS!$G$2:$CK$25,MATCH($E238,DEMANDS!$E$2:$E$25,0),FALSE)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T238" s="18">
        <f>HLOOKUP(REG_TRA_DEMANDS!T$3,'BY-Demands'!$J$5:$AK$14,MATCH($E238,'BY-Demands'!$I$5:$I$14,0),FALSE)*HLOOKUP(REG_TRA_DEMANDS!$F238,DEMANDS!$G$2:$CK$25,MATCH($E238,DEMANDS!$E$2:$E$25,0),FALSE)/HLOOKUP(2018,DEMANDS!$G$2:$CK$25,MATCH($E238,DEMANDS!$E$2:$E$25,0),FALSE)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U238" s="18">
        <f>HLOOKUP(REG_TRA_DEMANDS!U$3,'BY-Demands'!$J$5:$AK$14,MATCH($E238,'BY-Demands'!$I$5:$I$14,0),FALSE)*HLOOKUP(REG_TRA_DEMANDS!$F238,DEMANDS!$G$2:$CK$25,MATCH($E238,DEMANDS!$E$2:$E$25,0),FALSE)/HLOOKUP(2018,DEMANDS!$G$2:$CK$25,MATCH($E238,DEMANDS!$E$2:$E$25,0),FALSE)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V238" s="35">
        <f>HLOOKUP(REG_TRA_DEMANDS!V$3,'BY-Demands'!$J$5:$AK$14,MATCH($E238,'BY-Demands'!$I$5:$I$14,0),FALSE)*HLOOKUP(REG_TRA_DEMANDS!$F238,DEMANDS!$G$2:$CK$25,MATCH($E238,DEMANDS!$E$2:$E$25,0),FALSE)/HLOOKUP(2018,DEMANDS!$G$2:$CK$25,MATCH($E238,DEMANDS!$E$2:$E$25,0),FALSE)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W238" s="35">
        <f>HLOOKUP(REG_TRA_DEMANDS!W$3,'BY-Demands'!$J$5:$AK$14,MATCH($E238,'BY-Demands'!$I$5:$I$14,0),FALSE)*HLOOKUP(REG_TRA_DEMANDS!$F238,DEMANDS!$G$2:$CK$25,MATCH($E238,DEMANDS!$E$2:$E$25,0),FALSE)/HLOOKUP(2018,DEMANDS!$G$2:$CK$25,MATCH($E238,DEMANDS!$E$2:$E$25,0),FALSE)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X238" s="35">
        <f>HLOOKUP(REG_TRA_DEMANDS!X$3,'BY-Demands'!$J$5:$AK$14,MATCH($E238,'BY-Demands'!$I$5:$I$14,0),FALSE)*HLOOKUP(REG_TRA_DEMANDS!$F238,DEMANDS!$G$2:$CK$25,MATCH($E238,DEMANDS!$E$2:$E$25,0),FALSE)/HLOOKUP(2018,DEMANDS!$G$2:$CK$25,MATCH($E238,DEMANDS!$E$2:$E$25,0),FALSE)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Y238" s="35">
        <f>HLOOKUP(REG_TRA_DEMANDS!Y$3,'BY-Demands'!$J$5:$AK$14,MATCH($E238,'BY-Demands'!$I$5:$I$14,0),FALSE)*HLOOKUP(REG_TRA_DEMANDS!$F238,DEMANDS!$G$2:$CK$25,MATCH($E238,DEMANDS!$E$2:$E$25,0),FALSE)/HLOOKUP(2018,DEMANDS!$G$2:$CK$25,MATCH($E238,DEMANDS!$E$2:$E$25,0),FALSE)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Z238" s="35">
        <f>HLOOKUP(REG_TRA_DEMANDS!Z$3,'BY-Demands'!$J$5:$AK$14,MATCH($E238,'BY-Demands'!$I$5:$I$14,0),FALSE)*HLOOKUP(REG_TRA_DEMANDS!$F238,DEMANDS!$G$2:$CK$25,MATCH($E238,DEMANDS!$E$2:$E$25,0),FALSE)/HLOOKUP(2018,DEMANDS!$G$2:$CK$25,MATCH($E238,DEMANDS!$E$2:$E$25,0),FALSE)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AA238" s="18">
        <f>HLOOKUP(REG_TRA_DEMANDS!AA$3,'BY-Demands'!$J$5:$AK$14,MATCH($E238,'BY-Demands'!$I$5:$I$14,0),FALSE)*HLOOKUP(REG_TRA_DEMANDS!$F238,DEMANDS!$G$2:$CK$25,MATCH($E238,DEMANDS!$E$2:$E$25,0),FALSE)/HLOOKUP(2018,DEMANDS!$G$2:$CK$25,MATCH($E238,DEMANDS!$E$2:$E$25,0),FALSE)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AB238" s="35">
        <f>HLOOKUP(REG_TRA_DEMANDS!AB$3,'BY-Demands'!$J$5:$AK$14,MATCH($E238,'BY-Demands'!$I$5:$I$14,0),FALSE)*HLOOKUP(REG_TRA_DEMANDS!$F238,DEMANDS!$G$2:$CK$25,MATCH($E238,DEMANDS!$E$2:$E$25,0),FALSE)/HLOOKUP(2018,DEMANDS!$G$2:$CK$25,MATCH($E238,DEMANDS!$E$2:$E$25,0),FALSE)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AC238" s="35">
        <f>HLOOKUP(REG_TRA_DEMANDS!AC$3,'BY-Demands'!$J$5:$AK$14,MATCH($E238,'BY-Demands'!$I$5:$I$14,0),FALSE)*HLOOKUP(REG_TRA_DEMANDS!$F238,DEMANDS!$G$2:$CK$25,MATCH($E238,DEMANDS!$E$2:$E$25,0),FALSE)/HLOOKUP(2018,DEMANDS!$G$2:$CK$25,MATCH($E238,DEMANDS!$E$2:$E$25,0),FALSE)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AD238" s="35">
        <f>HLOOKUP(REG_TRA_DEMANDS!AD$3,'BY-Demands'!$J$5:$AK$14,MATCH($E238,'BY-Demands'!$I$5:$I$14,0),FALSE)*HLOOKUP(REG_TRA_DEMANDS!$F238,DEMANDS!$G$2:$CK$25,MATCH($E238,DEMANDS!$E$2:$E$25,0),FALSE)/HLOOKUP(2018,DEMANDS!$G$2:$CK$25,MATCH($E238,DEMANDS!$E$2:$E$25,0),FALSE)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AE238" s="35">
        <f>HLOOKUP(REG_TRA_DEMANDS!AE$3,'BY-Demands'!$J$5:$AK$14,MATCH($E238,'BY-Demands'!$I$5:$I$14,0),FALSE)*HLOOKUP(REG_TRA_DEMANDS!$F238,DEMANDS!$G$2:$CK$25,MATCH($E238,DEMANDS!$E$2:$E$25,0),FALSE)/HLOOKUP(2018,DEMANDS!$G$2:$CK$25,MATCH($E238,DEMANDS!$E$2:$E$25,0),FALSE)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AF238" s="35">
        <f>HLOOKUP(REG_TRA_DEMANDS!AF$3,'BY-Demands'!$J$5:$AK$14,MATCH($E238,'BY-Demands'!$I$5:$I$14,0),FALSE)*HLOOKUP(REG_TRA_DEMANDS!$F238,DEMANDS!$G$2:$CK$25,MATCH($E238,DEMANDS!$E$2:$E$25,0),FALSE)/HLOOKUP(2018,DEMANDS!$G$2:$CK$25,MATCH($E238,DEMANDS!$E$2:$E$25,0),FALSE)</f>
        <v>0</v>
      </c>
    </row>
    <row r="239" spans="4:32" ht="14.4">
      <c r="D239" t="s">
        <v>6</v>
      </c>
      <c r="E239" t="str">
        <f>DEMANDS!$E$25</f>
        <v>TAVIINT</v>
      </c>
      <c r="F239">
        <v>2039</v>
      </c>
      <c r="G239" s="35">
        <f>HLOOKUP(REG_TRA_DEMANDS!G$3,'BY-Demands'!$J$5:$AK$14,MATCH($E239,'BY-Demands'!$I$5:$I$14,0),FALSE)*HLOOKUP(REG_TRA_DEMANDS!$F239,DEMANDS!$G$2:$CK$25,MATCH($E239,DEMANDS!$E$2:$E$25,0),FALSE)/HLOOKUP(2018,DEMANDS!$G$2:$CK$25,MATCH($E239,DEMANDS!$E$2:$E$25,0),FALSE)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H239" s="18">
        <f>HLOOKUP(REG_TRA_DEMANDS!H$3,'BY-Demands'!$J$5:$AK$14,MATCH($E239,'BY-Demands'!$I$5:$I$14,0),FALSE)*HLOOKUP(REG_TRA_DEMANDS!$F239,DEMANDS!$G$2:$CK$25,MATCH($E239,DEMANDS!$E$2:$E$25,0),FALSE)/HLOOKUP(2018,DEMANDS!$G$2:$CK$25,MATCH($E239,DEMANDS!$E$2:$E$25,0),FALSE)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I239" s="35">
        <f>HLOOKUP(REG_TRA_DEMANDS!I$3,'BY-Demands'!$J$5:$AK$14,MATCH($E239,'BY-Demands'!$I$5:$I$14,0),FALSE)*HLOOKUP(REG_TRA_DEMANDS!$F239,DEMANDS!$G$2:$CK$25,MATCH($E239,DEMANDS!$E$2:$E$25,0),FALSE)/HLOOKUP(2018,DEMANDS!$G$2:$CK$25,MATCH($E239,DEMANDS!$E$2:$E$25,0),FALSE)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J239" s="35">
        <f>HLOOKUP(REG_TRA_DEMANDS!J$3,'BY-Demands'!$J$5:$AK$14,MATCH($E239,'BY-Demands'!$I$5:$I$14,0),FALSE)*HLOOKUP(REG_TRA_DEMANDS!$F239,DEMANDS!$G$2:$CK$25,MATCH($E239,DEMANDS!$E$2:$E$25,0),FALSE)/HLOOKUP(2018,DEMANDS!$G$2:$CK$25,MATCH($E239,DEMANDS!$E$2:$E$25,0),FALSE)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K239" s="35">
        <f>HLOOKUP(REG_TRA_DEMANDS!K$3,'BY-Demands'!$J$5:$AK$14,MATCH($E239,'BY-Demands'!$I$5:$I$14,0),FALSE)*HLOOKUP(REG_TRA_DEMANDS!$F239,DEMANDS!$G$2:$CK$25,MATCH($E239,DEMANDS!$E$2:$E$25,0),FALSE)/HLOOKUP(2018,DEMANDS!$G$2:$CK$25,MATCH($E239,DEMANDS!$E$2:$E$25,0),FALSE)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L239" s="35">
        <f>HLOOKUP(REG_TRA_DEMANDS!L$3,'BY-Demands'!$J$5:$AK$14,MATCH($E239,'BY-Demands'!$I$5:$I$14,0),FALSE)*HLOOKUP(REG_TRA_DEMANDS!$F239,DEMANDS!$G$2:$CK$25,MATCH($E239,DEMANDS!$E$2:$E$25,0),FALSE)/HLOOKUP(2018,DEMANDS!$G$2:$CK$25,MATCH($E239,DEMANDS!$E$2:$E$25,0),FALSE)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M239" s="35">
        <f>HLOOKUP(REG_TRA_DEMANDS!M$3,'BY-Demands'!$J$5:$AK$14,MATCH($E239,'BY-Demands'!$I$5:$I$14,0),FALSE)*HLOOKUP(REG_TRA_DEMANDS!$F239,DEMANDS!$G$2:$CK$25,MATCH($E239,DEMANDS!$E$2:$E$25,0),FALSE)/HLOOKUP(2018,DEMANDS!$G$2:$CK$25,MATCH($E239,DEMANDS!$E$2:$E$25,0),FALSE)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N239" s="35">
        <f>HLOOKUP(REG_TRA_DEMANDS!N$3,'BY-Demands'!$J$5:$AK$14,MATCH($E239,'BY-Demands'!$I$5:$I$14,0),FALSE)*HLOOKUP(REG_TRA_DEMANDS!$F239,DEMANDS!$G$2:$CK$25,MATCH($E239,DEMANDS!$E$2:$E$25,0),FALSE)/HLOOKUP(2018,DEMANDS!$G$2:$CK$25,MATCH($E239,DEMANDS!$E$2:$E$25,0),FALSE)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O239" s="35">
        <f>HLOOKUP(REG_TRA_DEMANDS!O$3,'BY-Demands'!$J$5:$AK$14,MATCH($E239,'BY-Demands'!$I$5:$I$14,0),FALSE)*HLOOKUP(REG_TRA_DEMANDS!$F239,DEMANDS!$G$2:$CK$25,MATCH($E239,DEMANDS!$E$2:$E$25,0),FALSE)/HLOOKUP(2018,DEMANDS!$G$2:$CK$25,MATCH($E239,DEMANDS!$E$2:$E$25,0),FALSE)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P239" s="35">
        <f>HLOOKUP(REG_TRA_DEMANDS!P$3,'BY-Demands'!$J$5:$AK$14,MATCH($E239,'BY-Demands'!$I$5:$I$14,0),FALSE)*HLOOKUP(REG_TRA_DEMANDS!$F239,DEMANDS!$G$2:$CK$25,MATCH($E239,DEMANDS!$E$2:$E$25,0),FALSE)/HLOOKUP(2018,DEMANDS!$G$2:$CK$25,MATCH($E239,DEMANDS!$E$2:$E$25,0),FALSE)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Q239" s="35">
        <f>HLOOKUP(REG_TRA_DEMANDS!Q$3,'BY-Demands'!$J$5:$AK$14,MATCH($E239,'BY-Demands'!$I$5:$I$14,0),FALSE)*HLOOKUP(REG_TRA_DEMANDS!$F239,DEMANDS!$G$2:$CK$25,MATCH($E239,DEMANDS!$E$2:$E$25,0),FALSE)/HLOOKUP(2018,DEMANDS!$G$2:$CK$25,MATCH($E239,DEMANDS!$E$2:$E$25,0),FALSE)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R239" s="35">
        <f>HLOOKUP(REG_TRA_DEMANDS!R$3,'BY-Demands'!$J$5:$AK$14,MATCH($E239,'BY-Demands'!$I$5:$I$14,0),FALSE)*HLOOKUP(REG_TRA_DEMANDS!$F239,DEMANDS!$G$2:$CK$25,MATCH($E239,DEMANDS!$E$2:$E$25,0),FALSE)/HLOOKUP(2018,DEMANDS!$G$2:$CK$25,MATCH($E239,DEMANDS!$E$2:$E$25,0),FALSE)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S239" s="18">
        <f>HLOOKUP(REG_TRA_DEMANDS!S$3,'BY-Demands'!$J$5:$AK$14,MATCH($E239,'BY-Demands'!$I$5:$I$14,0),FALSE)*HLOOKUP(REG_TRA_DEMANDS!$F239,DEMANDS!$G$2:$CK$25,MATCH($E239,DEMANDS!$E$2:$E$25,0),FALSE)/HLOOKUP(2018,DEMANDS!$G$2:$CK$25,MATCH($E239,DEMANDS!$E$2:$E$25,0),FALSE)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T239" s="18">
        <f>HLOOKUP(REG_TRA_DEMANDS!T$3,'BY-Demands'!$J$5:$AK$14,MATCH($E239,'BY-Demands'!$I$5:$I$14,0),FALSE)*HLOOKUP(REG_TRA_DEMANDS!$F239,DEMANDS!$G$2:$CK$25,MATCH($E239,DEMANDS!$E$2:$E$25,0),FALSE)/HLOOKUP(2018,DEMANDS!$G$2:$CK$25,MATCH($E239,DEMANDS!$E$2:$E$25,0),FALSE)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U239" s="18">
        <f>HLOOKUP(REG_TRA_DEMANDS!U$3,'BY-Demands'!$J$5:$AK$14,MATCH($E239,'BY-Demands'!$I$5:$I$14,0),FALSE)*HLOOKUP(REG_TRA_DEMANDS!$F239,DEMANDS!$G$2:$CK$25,MATCH($E239,DEMANDS!$E$2:$E$25,0),FALSE)/HLOOKUP(2018,DEMANDS!$G$2:$CK$25,MATCH($E239,DEMANDS!$E$2:$E$25,0),FALSE)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V239" s="35">
        <f>HLOOKUP(REG_TRA_DEMANDS!V$3,'BY-Demands'!$J$5:$AK$14,MATCH($E239,'BY-Demands'!$I$5:$I$14,0),FALSE)*HLOOKUP(REG_TRA_DEMANDS!$F239,DEMANDS!$G$2:$CK$25,MATCH($E239,DEMANDS!$E$2:$E$25,0),FALSE)/HLOOKUP(2018,DEMANDS!$G$2:$CK$25,MATCH($E239,DEMANDS!$E$2:$E$25,0),FALSE)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W239" s="35">
        <f>HLOOKUP(REG_TRA_DEMANDS!W$3,'BY-Demands'!$J$5:$AK$14,MATCH($E239,'BY-Demands'!$I$5:$I$14,0),FALSE)*HLOOKUP(REG_TRA_DEMANDS!$F239,DEMANDS!$G$2:$CK$25,MATCH($E239,DEMANDS!$E$2:$E$25,0),FALSE)/HLOOKUP(2018,DEMANDS!$G$2:$CK$25,MATCH($E239,DEMANDS!$E$2:$E$25,0),FALSE)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X239" s="35">
        <f>HLOOKUP(REG_TRA_DEMANDS!X$3,'BY-Demands'!$J$5:$AK$14,MATCH($E239,'BY-Demands'!$I$5:$I$14,0),FALSE)*HLOOKUP(REG_TRA_DEMANDS!$F239,DEMANDS!$G$2:$CK$25,MATCH($E239,DEMANDS!$E$2:$E$25,0),FALSE)/HLOOKUP(2018,DEMANDS!$G$2:$CK$25,MATCH($E239,DEMANDS!$E$2:$E$25,0),FALSE)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Y239" s="35">
        <f>HLOOKUP(REG_TRA_DEMANDS!Y$3,'BY-Demands'!$J$5:$AK$14,MATCH($E239,'BY-Demands'!$I$5:$I$14,0),FALSE)*HLOOKUP(REG_TRA_DEMANDS!$F239,DEMANDS!$G$2:$CK$25,MATCH($E239,DEMANDS!$E$2:$E$25,0),FALSE)/HLOOKUP(2018,DEMANDS!$G$2:$CK$25,MATCH($E239,DEMANDS!$E$2:$E$25,0),FALSE)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Z239" s="35">
        <f>HLOOKUP(REG_TRA_DEMANDS!Z$3,'BY-Demands'!$J$5:$AK$14,MATCH($E239,'BY-Demands'!$I$5:$I$14,0),FALSE)*HLOOKUP(REG_TRA_DEMANDS!$F239,DEMANDS!$G$2:$CK$25,MATCH($E239,DEMANDS!$E$2:$E$25,0),FALSE)/HLOOKUP(2018,DEMANDS!$G$2:$CK$25,MATCH($E239,DEMANDS!$E$2:$E$25,0),FALSE)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AA239" s="18">
        <f>HLOOKUP(REG_TRA_DEMANDS!AA$3,'BY-Demands'!$J$5:$AK$14,MATCH($E239,'BY-Demands'!$I$5:$I$14,0),FALSE)*HLOOKUP(REG_TRA_DEMANDS!$F239,DEMANDS!$G$2:$CK$25,MATCH($E239,DEMANDS!$E$2:$E$25,0),FALSE)/HLOOKUP(2018,DEMANDS!$G$2:$CK$25,MATCH($E239,DEMANDS!$E$2:$E$25,0),FALSE)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AB239" s="35">
        <f>HLOOKUP(REG_TRA_DEMANDS!AB$3,'BY-Demands'!$J$5:$AK$14,MATCH($E239,'BY-Demands'!$I$5:$I$14,0),FALSE)*HLOOKUP(REG_TRA_DEMANDS!$F239,DEMANDS!$G$2:$CK$25,MATCH($E239,DEMANDS!$E$2:$E$25,0),FALSE)/HLOOKUP(2018,DEMANDS!$G$2:$CK$25,MATCH($E239,DEMANDS!$E$2:$E$25,0),FALSE)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AC239" s="35">
        <f>HLOOKUP(REG_TRA_DEMANDS!AC$3,'BY-Demands'!$J$5:$AK$14,MATCH($E239,'BY-Demands'!$I$5:$I$14,0),FALSE)*HLOOKUP(REG_TRA_DEMANDS!$F239,DEMANDS!$G$2:$CK$25,MATCH($E239,DEMANDS!$E$2:$E$25,0),FALSE)/HLOOKUP(2018,DEMANDS!$G$2:$CK$25,MATCH($E239,DEMANDS!$E$2:$E$25,0),FALSE)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AD239" s="35">
        <f>HLOOKUP(REG_TRA_DEMANDS!AD$3,'BY-Demands'!$J$5:$AK$14,MATCH($E239,'BY-Demands'!$I$5:$I$14,0),FALSE)*HLOOKUP(REG_TRA_DEMANDS!$F239,DEMANDS!$G$2:$CK$25,MATCH($E239,DEMANDS!$E$2:$E$25,0),FALSE)/HLOOKUP(2018,DEMANDS!$G$2:$CK$25,MATCH($E239,DEMANDS!$E$2:$E$25,0),FALSE)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AE239" s="35">
        <f>HLOOKUP(REG_TRA_DEMANDS!AE$3,'BY-Demands'!$J$5:$AK$14,MATCH($E239,'BY-Demands'!$I$5:$I$14,0),FALSE)*HLOOKUP(REG_TRA_DEMANDS!$F239,DEMANDS!$G$2:$CK$25,MATCH($E239,DEMANDS!$E$2:$E$25,0),FALSE)/HLOOKUP(2018,DEMANDS!$G$2:$CK$25,MATCH($E239,DEMANDS!$E$2:$E$25,0),FALSE)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AF239" s="35">
        <f>HLOOKUP(REG_TRA_DEMANDS!AF$3,'BY-Demands'!$J$5:$AK$14,MATCH($E239,'BY-Demands'!$I$5:$I$14,0),FALSE)*HLOOKUP(REG_TRA_DEMANDS!$F239,DEMANDS!$G$2:$CK$25,MATCH($E239,DEMANDS!$E$2:$E$25,0),FALSE)/HLOOKUP(2018,DEMANDS!$G$2:$CK$25,MATCH($E239,DEMANDS!$E$2:$E$25,0),FALSE)</f>
        <v>0</v>
      </c>
    </row>
    <row r="240" spans="4:32" ht="14.4">
      <c r="D240" t="s">
        <v>6</v>
      </c>
      <c r="E240" t="str">
        <f>DEMANDS!$E$25</f>
        <v>TAVIINT</v>
      </c>
      <c r="F240">
        <v>2040</v>
      </c>
      <c r="G240">
        <f>HLOOKUP(REG_TRA_DEMANDS!G$3,'BY-Demands'!$J$5:$AK$14,MATCH($E240,'BY-Demands'!$I$5:$I$14,0),FALSE)*HLOOKUP(REG_TRA_DEMANDS!$F240,DEMANDS!$G$2:$CK$25,MATCH($E240,DEMANDS!$E$2:$E$25,0),FALSE)/HLOOKUP(2018,DEMANDS!$G$2:$CK$25,MATCH($E240,DEMANDS!$E$2:$E$25,0),FALSE)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H240" s="18">
        <f>HLOOKUP(REG_TRA_DEMANDS!H$3,'BY-Demands'!$J$5:$AK$14,MATCH($E240,'BY-Demands'!$I$5:$I$14,0),FALSE)*HLOOKUP(REG_TRA_DEMANDS!$F240,DEMANDS!$G$2:$CK$25,MATCH($E240,DEMANDS!$E$2:$E$25,0),FALSE)/HLOOKUP(2018,DEMANDS!$G$2:$CK$25,MATCH($E240,DEMANDS!$E$2:$E$25,0),FALSE)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I240" s="35">
        <f>HLOOKUP(REG_TRA_DEMANDS!I$3,'BY-Demands'!$J$5:$AK$14,MATCH($E240,'BY-Demands'!$I$5:$I$14,0),FALSE)*HLOOKUP(REG_TRA_DEMANDS!$F240,DEMANDS!$G$2:$CK$25,MATCH($E240,DEMANDS!$E$2:$E$25,0),FALSE)/HLOOKUP(2018,DEMANDS!$G$2:$CK$25,MATCH($E240,DEMANDS!$E$2:$E$25,0),FALSE)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J240" s="35">
        <f>HLOOKUP(REG_TRA_DEMANDS!J$3,'BY-Demands'!$J$5:$AK$14,MATCH($E240,'BY-Demands'!$I$5:$I$14,0),FALSE)*HLOOKUP(REG_TRA_DEMANDS!$F240,DEMANDS!$G$2:$CK$25,MATCH($E240,DEMANDS!$E$2:$E$25,0),FALSE)/HLOOKUP(2018,DEMANDS!$G$2:$CK$25,MATCH($E240,DEMANDS!$E$2:$E$25,0),FALSE)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K240" s="35">
        <f>HLOOKUP(REG_TRA_DEMANDS!K$3,'BY-Demands'!$J$5:$AK$14,MATCH($E240,'BY-Demands'!$I$5:$I$14,0),FALSE)*HLOOKUP(REG_TRA_DEMANDS!$F240,DEMANDS!$G$2:$CK$25,MATCH($E240,DEMANDS!$E$2:$E$25,0),FALSE)/HLOOKUP(2018,DEMANDS!$G$2:$CK$25,MATCH($E240,DEMANDS!$E$2:$E$25,0),FALSE)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L240" s="35">
        <f>HLOOKUP(REG_TRA_DEMANDS!L$3,'BY-Demands'!$J$5:$AK$14,MATCH($E240,'BY-Demands'!$I$5:$I$14,0),FALSE)*HLOOKUP(REG_TRA_DEMANDS!$F240,DEMANDS!$G$2:$CK$25,MATCH($E240,DEMANDS!$E$2:$E$25,0),FALSE)/HLOOKUP(2018,DEMANDS!$G$2:$CK$25,MATCH($E240,DEMANDS!$E$2:$E$25,0),FALSE)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M240" s="35">
        <f>HLOOKUP(REG_TRA_DEMANDS!M$3,'BY-Demands'!$J$5:$AK$14,MATCH($E240,'BY-Demands'!$I$5:$I$14,0),FALSE)*HLOOKUP(REG_TRA_DEMANDS!$F240,DEMANDS!$G$2:$CK$25,MATCH($E240,DEMANDS!$E$2:$E$25,0),FALSE)/HLOOKUP(2018,DEMANDS!$G$2:$CK$25,MATCH($E240,DEMANDS!$E$2:$E$25,0),FALSE)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N240" s="35">
        <f>HLOOKUP(REG_TRA_DEMANDS!N$3,'BY-Demands'!$J$5:$AK$14,MATCH($E240,'BY-Demands'!$I$5:$I$14,0),FALSE)*HLOOKUP(REG_TRA_DEMANDS!$F240,DEMANDS!$G$2:$CK$25,MATCH($E240,DEMANDS!$E$2:$E$25,0),FALSE)/HLOOKUP(2018,DEMANDS!$G$2:$CK$25,MATCH($E240,DEMANDS!$E$2:$E$25,0),FALSE)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O240" s="35">
        <f>HLOOKUP(REG_TRA_DEMANDS!O$3,'BY-Demands'!$J$5:$AK$14,MATCH($E240,'BY-Demands'!$I$5:$I$14,0),FALSE)*HLOOKUP(REG_TRA_DEMANDS!$F240,DEMANDS!$G$2:$CK$25,MATCH($E240,DEMANDS!$E$2:$E$25,0),FALSE)/HLOOKUP(2018,DEMANDS!$G$2:$CK$25,MATCH($E240,DEMANDS!$E$2:$E$25,0),FALSE)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P240" s="35">
        <f>HLOOKUP(REG_TRA_DEMANDS!P$3,'BY-Demands'!$J$5:$AK$14,MATCH($E240,'BY-Demands'!$I$5:$I$14,0),FALSE)*HLOOKUP(REG_TRA_DEMANDS!$F240,DEMANDS!$G$2:$CK$25,MATCH($E240,DEMANDS!$E$2:$E$25,0),FALSE)/HLOOKUP(2018,DEMANDS!$G$2:$CK$25,MATCH($E240,DEMANDS!$E$2:$E$25,0),FALSE)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Q240" s="35">
        <f>HLOOKUP(REG_TRA_DEMANDS!Q$3,'BY-Demands'!$J$5:$AK$14,MATCH($E240,'BY-Demands'!$I$5:$I$14,0),FALSE)*HLOOKUP(REG_TRA_DEMANDS!$F240,DEMANDS!$G$2:$CK$25,MATCH($E240,DEMANDS!$E$2:$E$25,0),FALSE)/HLOOKUP(2018,DEMANDS!$G$2:$CK$25,MATCH($E240,DEMANDS!$E$2:$E$25,0),FALSE)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R240" s="35">
        <f>HLOOKUP(REG_TRA_DEMANDS!R$3,'BY-Demands'!$J$5:$AK$14,MATCH($E240,'BY-Demands'!$I$5:$I$14,0),FALSE)*HLOOKUP(REG_TRA_DEMANDS!$F240,DEMANDS!$G$2:$CK$25,MATCH($E240,DEMANDS!$E$2:$E$25,0),FALSE)/HLOOKUP(2018,DEMANDS!$G$2:$CK$25,MATCH($E240,DEMANDS!$E$2:$E$25,0),FALSE)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S240" s="18">
        <f>HLOOKUP(REG_TRA_DEMANDS!S$3,'BY-Demands'!$J$5:$AK$14,MATCH($E240,'BY-Demands'!$I$5:$I$14,0),FALSE)*HLOOKUP(REG_TRA_DEMANDS!$F240,DEMANDS!$G$2:$CK$25,MATCH($E240,DEMANDS!$E$2:$E$25,0),FALSE)/HLOOKUP(2018,DEMANDS!$G$2:$CK$25,MATCH($E240,DEMANDS!$E$2:$E$25,0),FALSE)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T240" s="18">
        <f>HLOOKUP(REG_TRA_DEMANDS!T$3,'BY-Demands'!$J$5:$AK$14,MATCH($E240,'BY-Demands'!$I$5:$I$14,0),FALSE)*HLOOKUP(REG_TRA_DEMANDS!$F240,DEMANDS!$G$2:$CK$25,MATCH($E240,DEMANDS!$E$2:$E$25,0),FALSE)/HLOOKUP(2018,DEMANDS!$G$2:$CK$25,MATCH($E240,DEMANDS!$E$2:$E$25,0),FALSE)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U240" s="18">
        <f>HLOOKUP(REG_TRA_DEMANDS!U$3,'BY-Demands'!$J$5:$AK$14,MATCH($E240,'BY-Demands'!$I$5:$I$14,0),FALSE)*HLOOKUP(REG_TRA_DEMANDS!$F240,DEMANDS!$G$2:$CK$25,MATCH($E240,DEMANDS!$E$2:$E$25,0),FALSE)/HLOOKUP(2018,DEMANDS!$G$2:$CK$25,MATCH($E240,DEMANDS!$E$2:$E$25,0),FALSE)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V240">
        <f>HLOOKUP(REG_TRA_DEMANDS!V$3,'BY-Demands'!$J$5:$AK$14,MATCH($E240,'BY-Demands'!$I$5:$I$14,0),FALSE)*HLOOKUP(REG_TRA_DEMANDS!$F240,DEMANDS!$G$2:$CK$25,MATCH($E240,DEMANDS!$E$2:$E$25,0),FALSE)/HLOOKUP(2018,DEMANDS!$G$2:$CK$25,MATCH($E240,DEMANDS!$E$2:$E$25,0),FALSE)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W240">
        <f>HLOOKUP(REG_TRA_DEMANDS!W$3,'BY-Demands'!$J$5:$AK$14,MATCH($E240,'BY-Demands'!$I$5:$I$14,0),FALSE)*HLOOKUP(REG_TRA_DEMANDS!$F240,DEMANDS!$G$2:$CK$25,MATCH($E240,DEMANDS!$E$2:$E$25,0),FALSE)/HLOOKUP(2018,DEMANDS!$G$2:$CK$25,MATCH($E240,DEMANDS!$E$2:$E$25,0),FALSE)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X240">
        <f>HLOOKUP(REG_TRA_DEMANDS!X$3,'BY-Demands'!$J$5:$AK$14,MATCH($E240,'BY-Demands'!$I$5:$I$14,0),FALSE)*HLOOKUP(REG_TRA_DEMANDS!$F240,DEMANDS!$G$2:$CK$25,MATCH($E240,DEMANDS!$E$2:$E$25,0),FALSE)/HLOOKUP(2018,DEMANDS!$G$2:$CK$25,MATCH($E240,DEMANDS!$E$2:$E$25,0),FALSE)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Y240">
        <f>HLOOKUP(REG_TRA_DEMANDS!Y$3,'BY-Demands'!$J$5:$AK$14,MATCH($E240,'BY-Demands'!$I$5:$I$14,0),FALSE)*HLOOKUP(REG_TRA_DEMANDS!$F240,DEMANDS!$G$2:$CK$25,MATCH($E240,DEMANDS!$E$2:$E$25,0),FALSE)/HLOOKUP(2018,DEMANDS!$G$2:$CK$25,MATCH($E240,DEMANDS!$E$2:$E$25,0),FALSE)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Z240">
        <f>HLOOKUP(REG_TRA_DEMANDS!Z$3,'BY-Demands'!$J$5:$AK$14,MATCH($E240,'BY-Demands'!$I$5:$I$14,0),FALSE)*HLOOKUP(REG_TRA_DEMANDS!$F240,DEMANDS!$G$2:$CK$25,MATCH($E240,DEMANDS!$E$2:$E$25,0),FALSE)/HLOOKUP(2018,DEMANDS!$G$2:$CK$25,MATCH($E240,DEMANDS!$E$2:$E$25,0),FALSE)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AA240" s="18">
        <f>HLOOKUP(REG_TRA_DEMANDS!AA$3,'BY-Demands'!$J$5:$AK$14,MATCH($E240,'BY-Demands'!$I$5:$I$14,0),FALSE)*HLOOKUP(REG_TRA_DEMANDS!$F240,DEMANDS!$G$2:$CK$25,MATCH($E240,DEMANDS!$E$2:$E$25,0),FALSE)/HLOOKUP(2018,DEMANDS!$G$2:$CK$25,MATCH($E240,DEMANDS!$E$2:$E$25,0),FALSE)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AB240">
        <f>HLOOKUP(REG_TRA_DEMANDS!AB$3,'BY-Demands'!$J$5:$AK$14,MATCH($E240,'BY-Demands'!$I$5:$I$14,0),FALSE)*HLOOKUP(REG_TRA_DEMANDS!$F240,DEMANDS!$G$2:$CK$25,MATCH($E240,DEMANDS!$E$2:$E$25,0),FALSE)/HLOOKUP(2018,DEMANDS!$G$2:$CK$25,MATCH($E240,DEMANDS!$E$2:$E$25,0),FALSE)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AC240">
        <f>HLOOKUP(REG_TRA_DEMANDS!AC$3,'BY-Demands'!$J$5:$AK$14,MATCH($E240,'BY-Demands'!$I$5:$I$14,0),FALSE)*HLOOKUP(REG_TRA_DEMANDS!$F240,DEMANDS!$G$2:$CK$25,MATCH($E240,DEMANDS!$E$2:$E$25,0),FALSE)/HLOOKUP(2018,DEMANDS!$G$2:$CK$25,MATCH($E240,DEMANDS!$E$2:$E$25,0),FALSE)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AD240">
        <f>HLOOKUP(REG_TRA_DEMANDS!AD$3,'BY-Demands'!$J$5:$AK$14,MATCH($E240,'BY-Demands'!$I$5:$I$14,0),FALSE)*HLOOKUP(REG_TRA_DEMANDS!$F240,DEMANDS!$G$2:$CK$25,MATCH($E240,DEMANDS!$E$2:$E$25,0),FALSE)/HLOOKUP(2018,DEMANDS!$G$2:$CK$25,MATCH($E240,DEMANDS!$E$2:$E$25,0),FALSE)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AE240">
        <f>HLOOKUP(REG_TRA_DEMANDS!AE$3,'BY-Demands'!$J$5:$AK$14,MATCH($E240,'BY-Demands'!$I$5:$I$14,0),FALSE)*HLOOKUP(REG_TRA_DEMANDS!$F240,DEMANDS!$G$2:$CK$25,MATCH($E240,DEMANDS!$E$2:$E$25,0),FALSE)/HLOOKUP(2018,DEMANDS!$G$2:$CK$25,MATCH($E240,DEMANDS!$E$2:$E$25,0),FALSE)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AF240">
        <f>HLOOKUP(REG_TRA_DEMANDS!AF$3,'BY-Demands'!$J$5:$AK$14,MATCH($E240,'BY-Demands'!$I$5:$I$14,0),FALSE)*HLOOKUP(REG_TRA_DEMANDS!$F240,DEMANDS!$G$2:$CK$25,MATCH($E240,DEMANDS!$E$2:$E$25,0),FALSE)/HLOOKUP(2018,DEMANDS!$G$2:$CK$25,MATCH($E240,DEMANDS!$E$2:$E$25,0),FALSE)</f>
        <v>0</v>
      </c>
    </row>
    <row r="241" spans="4:32" ht="14.4">
      <c r="D241" t="s">
        <v>6</v>
      </c>
      <c r="E241" t="str">
        <f>DEMANDS!$E$25</f>
        <v>TAVIINT</v>
      </c>
      <c r="F241">
        <v>2045</v>
      </c>
      <c r="G241">
        <f>HLOOKUP(REG_TRA_DEMANDS!G$3,'BY-Demands'!$J$5:$AK$14,MATCH($E241,'BY-Demands'!$I$5:$I$14,0),FALSE)*HLOOKUP(REG_TRA_DEMANDS!$F241,DEMANDS!$G$2:$CK$25,MATCH($E241,DEMANDS!$E$2:$E$25,0),FALSE)/HLOOKUP(2018,DEMANDS!$G$2:$CK$25,MATCH($E241,DEMANDS!$E$2:$E$25,0),FALSE)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H241" s="18">
        <f>HLOOKUP(REG_TRA_DEMANDS!H$3,'BY-Demands'!$J$5:$AK$14,MATCH($E241,'BY-Demands'!$I$5:$I$14,0),FALSE)*HLOOKUP(REG_TRA_DEMANDS!$F241,DEMANDS!$G$2:$CK$25,MATCH($E241,DEMANDS!$E$2:$E$25,0),FALSE)/HLOOKUP(2018,DEMANDS!$G$2:$CK$25,MATCH($E241,DEMANDS!$E$2:$E$25,0),FALSE)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I241" s="35">
        <f>HLOOKUP(REG_TRA_DEMANDS!I$3,'BY-Demands'!$J$5:$AK$14,MATCH($E241,'BY-Demands'!$I$5:$I$14,0),FALSE)*HLOOKUP(REG_TRA_DEMANDS!$F241,DEMANDS!$G$2:$CK$25,MATCH($E241,DEMANDS!$E$2:$E$25,0),FALSE)/HLOOKUP(2018,DEMANDS!$G$2:$CK$25,MATCH($E241,DEMANDS!$E$2:$E$25,0),FALSE)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J241" s="35">
        <f>HLOOKUP(REG_TRA_DEMANDS!J$3,'BY-Demands'!$J$5:$AK$14,MATCH($E241,'BY-Demands'!$I$5:$I$14,0),FALSE)*HLOOKUP(REG_TRA_DEMANDS!$F241,DEMANDS!$G$2:$CK$25,MATCH($E241,DEMANDS!$E$2:$E$25,0),FALSE)/HLOOKUP(2018,DEMANDS!$G$2:$CK$25,MATCH($E241,DEMANDS!$E$2:$E$25,0),FALSE)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K241" s="35">
        <f>HLOOKUP(REG_TRA_DEMANDS!K$3,'BY-Demands'!$J$5:$AK$14,MATCH($E241,'BY-Demands'!$I$5:$I$14,0),FALSE)*HLOOKUP(REG_TRA_DEMANDS!$F241,DEMANDS!$G$2:$CK$25,MATCH($E241,DEMANDS!$E$2:$E$25,0),FALSE)/HLOOKUP(2018,DEMANDS!$G$2:$CK$25,MATCH($E241,DEMANDS!$E$2:$E$25,0),FALSE)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L241" s="35">
        <f>HLOOKUP(REG_TRA_DEMANDS!L$3,'BY-Demands'!$J$5:$AK$14,MATCH($E241,'BY-Demands'!$I$5:$I$14,0),FALSE)*HLOOKUP(REG_TRA_DEMANDS!$F241,DEMANDS!$G$2:$CK$25,MATCH($E241,DEMANDS!$E$2:$E$25,0),FALSE)/HLOOKUP(2018,DEMANDS!$G$2:$CK$25,MATCH($E241,DEMANDS!$E$2:$E$25,0),FALSE)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M241" s="35">
        <f>HLOOKUP(REG_TRA_DEMANDS!M$3,'BY-Demands'!$J$5:$AK$14,MATCH($E241,'BY-Demands'!$I$5:$I$14,0),FALSE)*HLOOKUP(REG_TRA_DEMANDS!$F241,DEMANDS!$G$2:$CK$25,MATCH($E241,DEMANDS!$E$2:$E$25,0),FALSE)/HLOOKUP(2018,DEMANDS!$G$2:$CK$25,MATCH($E241,DEMANDS!$E$2:$E$25,0),FALSE)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N241" s="35">
        <f>HLOOKUP(REG_TRA_DEMANDS!N$3,'BY-Demands'!$J$5:$AK$14,MATCH($E241,'BY-Demands'!$I$5:$I$14,0),FALSE)*HLOOKUP(REG_TRA_DEMANDS!$F241,DEMANDS!$G$2:$CK$25,MATCH($E241,DEMANDS!$E$2:$E$25,0),FALSE)/HLOOKUP(2018,DEMANDS!$G$2:$CK$25,MATCH($E241,DEMANDS!$E$2:$E$25,0),FALSE)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O241" s="35">
        <f>HLOOKUP(REG_TRA_DEMANDS!O$3,'BY-Demands'!$J$5:$AK$14,MATCH($E241,'BY-Demands'!$I$5:$I$14,0),FALSE)*HLOOKUP(REG_TRA_DEMANDS!$F241,DEMANDS!$G$2:$CK$25,MATCH($E241,DEMANDS!$E$2:$E$25,0),FALSE)/HLOOKUP(2018,DEMANDS!$G$2:$CK$25,MATCH($E241,DEMANDS!$E$2:$E$25,0),FALSE)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P241" s="35">
        <f>HLOOKUP(REG_TRA_DEMANDS!P$3,'BY-Demands'!$J$5:$AK$14,MATCH($E241,'BY-Demands'!$I$5:$I$14,0),FALSE)*HLOOKUP(REG_TRA_DEMANDS!$F241,DEMANDS!$G$2:$CK$25,MATCH($E241,DEMANDS!$E$2:$E$25,0),FALSE)/HLOOKUP(2018,DEMANDS!$G$2:$CK$25,MATCH($E241,DEMANDS!$E$2:$E$25,0),FALSE)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Q241" s="35">
        <f>HLOOKUP(REG_TRA_DEMANDS!Q$3,'BY-Demands'!$J$5:$AK$14,MATCH($E241,'BY-Demands'!$I$5:$I$14,0),FALSE)*HLOOKUP(REG_TRA_DEMANDS!$F241,DEMANDS!$G$2:$CK$25,MATCH($E241,DEMANDS!$E$2:$E$25,0),FALSE)/HLOOKUP(2018,DEMANDS!$G$2:$CK$25,MATCH($E241,DEMANDS!$E$2:$E$25,0),FALSE)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R241" s="35">
        <f>HLOOKUP(REG_TRA_DEMANDS!R$3,'BY-Demands'!$J$5:$AK$14,MATCH($E241,'BY-Demands'!$I$5:$I$14,0),FALSE)*HLOOKUP(REG_TRA_DEMANDS!$F241,DEMANDS!$G$2:$CK$25,MATCH($E241,DEMANDS!$E$2:$E$25,0),FALSE)/HLOOKUP(2018,DEMANDS!$G$2:$CK$25,MATCH($E241,DEMANDS!$E$2:$E$25,0),FALSE)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S241" s="18">
        <f>HLOOKUP(REG_TRA_DEMANDS!S$3,'BY-Demands'!$J$5:$AK$14,MATCH($E241,'BY-Demands'!$I$5:$I$14,0),FALSE)*HLOOKUP(REG_TRA_DEMANDS!$F241,DEMANDS!$G$2:$CK$25,MATCH($E241,DEMANDS!$E$2:$E$25,0),FALSE)/HLOOKUP(2018,DEMANDS!$G$2:$CK$25,MATCH($E241,DEMANDS!$E$2:$E$25,0),FALSE)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T241" s="18">
        <f>HLOOKUP(REG_TRA_DEMANDS!T$3,'BY-Demands'!$J$5:$AK$14,MATCH($E241,'BY-Demands'!$I$5:$I$14,0),FALSE)*HLOOKUP(REG_TRA_DEMANDS!$F241,DEMANDS!$G$2:$CK$25,MATCH($E241,DEMANDS!$E$2:$E$25,0),FALSE)/HLOOKUP(2018,DEMANDS!$G$2:$CK$25,MATCH($E241,DEMANDS!$E$2:$E$25,0),FALSE)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U241" s="18">
        <f>HLOOKUP(REG_TRA_DEMANDS!U$3,'BY-Demands'!$J$5:$AK$14,MATCH($E241,'BY-Demands'!$I$5:$I$14,0),FALSE)*HLOOKUP(REG_TRA_DEMANDS!$F241,DEMANDS!$G$2:$CK$25,MATCH($E241,DEMANDS!$E$2:$E$25,0),FALSE)/HLOOKUP(2018,DEMANDS!$G$2:$CK$25,MATCH($E241,DEMANDS!$E$2:$E$25,0),FALSE)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V241">
        <f>HLOOKUP(REG_TRA_DEMANDS!V$3,'BY-Demands'!$J$5:$AK$14,MATCH($E241,'BY-Demands'!$I$5:$I$14,0),FALSE)*HLOOKUP(REG_TRA_DEMANDS!$F241,DEMANDS!$G$2:$CK$25,MATCH($E241,DEMANDS!$E$2:$E$25,0),FALSE)/HLOOKUP(2018,DEMANDS!$G$2:$CK$25,MATCH($E241,DEMANDS!$E$2:$E$25,0),FALSE)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W241">
        <f>HLOOKUP(REG_TRA_DEMANDS!W$3,'BY-Demands'!$J$5:$AK$14,MATCH($E241,'BY-Demands'!$I$5:$I$14,0),FALSE)*HLOOKUP(REG_TRA_DEMANDS!$F241,DEMANDS!$G$2:$CK$25,MATCH($E241,DEMANDS!$E$2:$E$25,0),FALSE)/HLOOKUP(2018,DEMANDS!$G$2:$CK$25,MATCH($E241,DEMANDS!$E$2:$E$25,0),FALSE)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X241">
        <f>HLOOKUP(REG_TRA_DEMANDS!X$3,'BY-Demands'!$J$5:$AK$14,MATCH($E241,'BY-Demands'!$I$5:$I$14,0),FALSE)*HLOOKUP(REG_TRA_DEMANDS!$F241,DEMANDS!$G$2:$CK$25,MATCH($E241,DEMANDS!$E$2:$E$25,0),FALSE)/HLOOKUP(2018,DEMANDS!$G$2:$CK$25,MATCH($E241,DEMANDS!$E$2:$E$25,0),FALSE)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Y241">
        <f>HLOOKUP(REG_TRA_DEMANDS!Y$3,'BY-Demands'!$J$5:$AK$14,MATCH($E241,'BY-Demands'!$I$5:$I$14,0),FALSE)*HLOOKUP(REG_TRA_DEMANDS!$F241,DEMANDS!$G$2:$CK$25,MATCH($E241,DEMANDS!$E$2:$E$25,0),FALSE)/HLOOKUP(2018,DEMANDS!$G$2:$CK$25,MATCH($E241,DEMANDS!$E$2:$E$25,0),FALSE)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Z241">
        <f>HLOOKUP(REG_TRA_DEMANDS!Z$3,'BY-Demands'!$J$5:$AK$14,MATCH($E241,'BY-Demands'!$I$5:$I$14,0),FALSE)*HLOOKUP(REG_TRA_DEMANDS!$F241,DEMANDS!$G$2:$CK$25,MATCH($E241,DEMANDS!$E$2:$E$25,0),FALSE)/HLOOKUP(2018,DEMANDS!$G$2:$CK$25,MATCH($E241,DEMANDS!$E$2:$E$25,0),FALSE)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AA241" s="18">
        <f>HLOOKUP(REG_TRA_DEMANDS!AA$3,'BY-Demands'!$J$5:$AK$14,MATCH($E241,'BY-Demands'!$I$5:$I$14,0),FALSE)*HLOOKUP(REG_TRA_DEMANDS!$F241,DEMANDS!$G$2:$CK$25,MATCH($E241,DEMANDS!$E$2:$E$25,0),FALSE)/HLOOKUP(2018,DEMANDS!$G$2:$CK$25,MATCH($E241,DEMANDS!$E$2:$E$25,0),FALSE)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AB241">
        <f>HLOOKUP(REG_TRA_DEMANDS!AB$3,'BY-Demands'!$J$5:$AK$14,MATCH($E241,'BY-Demands'!$I$5:$I$14,0),FALSE)*HLOOKUP(REG_TRA_DEMANDS!$F241,DEMANDS!$G$2:$CK$25,MATCH($E241,DEMANDS!$E$2:$E$25,0),FALSE)/HLOOKUP(2018,DEMANDS!$G$2:$CK$25,MATCH($E241,DEMANDS!$E$2:$E$25,0),FALSE)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AC241">
        <f>HLOOKUP(REG_TRA_DEMANDS!AC$3,'BY-Demands'!$J$5:$AK$14,MATCH($E241,'BY-Demands'!$I$5:$I$14,0),FALSE)*HLOOKUP(REG_TRA_DEMANDS!$F241,DEMANDS!$G$2:$CK$25,MATCH($E241,DEMANDS!$E$2:$E$25,0),FALSE)/HLOOKUP(2018,DEMANDS!$G$2:$CK$25,MATCH($E241,DEMANDS!$E$2:$E$25,0),FALSE)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AD241">
        <f>HLOOKUP(REG_TRA_DEMANDS!AD$3,'BY-Demands'!$J$5:$AK$14,MATCH($E241,'BY-Demands'!$I$5:$I$14,0),FALSE)*HLOOKUP(REG_TRA_DEMANDS!$F241,DEMANDS!$G$2:$CK$25,MATCH($E241,DEMANDS!$E$2:$E$25,0),FALSE)/HLOOKUP(2018,DEMANDS!$G$2:$CK$25,MATCH($E241,DEMANDS!$E$2:$E$25,0),FALSE)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AE241">
        <f>HLOOKUP(REG_TRA_DEMANDS!AE$3,'BY-Demands'!$J$5:$AK$14,MATCH($E241,'BY-Demands'!$I$5:$I$14,0),FALSE)*HLOOKUP(REG_TRA_DEMANDS!$F241,DEMANDS!$G$2:$CK$25,MATCH($E241,DEMANDS!$E$2:$E$25,0),FALSE)/HLOOKUP(2018,DEMANDS!$G$2:$CK$25,MATCH($E241,DEMANDS!$E$2:$E$25,0),FALSE)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AF241">
        <f>HLOOKUP(REG_TRA_DEMANDS!AF$3,'BY-Demands'!$J$5:$AK$14,MATCH($E241,'BY-Demands'!$I$5:$I$14,0),FALSE)*HLOOKUP(REG_TRA_DEMANDS!$F241,DEMANDS!$G$2:$CK$25,MATCH($E241,DEMANDS!$E$2:$E$25,0),FALSE)/HLOOKUP(2018,DEMANDS!$G$2:$CK$25,MATCH($E241,DEMANDS!$E$2:$E$25,0),FALSE)</f>
        <v>0</v>
      </c>
    </row>
    <row r="242" spans="4:32" ht="14.4">
      <c r="D242" t="s">
        <v>6</v>
      </c>
      <c r="E242" t="str">
        <f>DEMANDS!$E$25</f>
        <v>TAVIINT</v>
      </c>
      <c r="F242">
        <v>2050</v>
      </c>
      <c r="G242">
        <f>HLOOKUP(REG_TRA_DEMANDS!G$3,'BY-Demands'!$J$5:$AK$14,MATCH($E242,'BY-Demands'!$I$5:$I$14,0),FALSE)*HLOOKUP(REG_TRA_DEMANDS!$F242,DEMANDS!$G$2:$CK$25,MATCH($E242,DEMANDS!$E$2:$E$25,0),FALSE)/HLOOKUP(2018,DEMANDS!$G$2:$CK$25,MATCH($E242,DEMANDS!$E$2:$E$25,0),FALSE)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H242" s="18">
        <f>HLOOKUP(REG_TRA_DEMANDS!H$3,'BY-Demands'!$J$5:$AK$14,MATCH($E242,'BY-Demands'!$I$5:$I$14,0),FALSE)*HLOOKUP(REG_TRA_DEMANDS!$F242,DEMANDS!$G$2:$CK$25,MATCH($E242,DEMANDS!$E$2:$E$25,0),FALSE)/HLOOKUP(2018,DEMANDS!$G$2:$CK$25,MATCH($E242,DEMANDS!$E$2:$E$25,0),FALSE)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I242" s="35">
        <f>HLOOKUP(REG_TRA_DEMANDS!I$3,'BY-Demands'!$J$5:$AK$14,MATCH($E242,'BY-Demands'!$I$5:$I$14,0),FALSE)*HLOOKUP(REG_TRA_DEMANDS!$F242,DEMANDS!$G$2:$CK$25,MATCH($E242,DEMANDS!$E$2:$E$25,0),FALSE)/HLOOKUP(2018,DEMANDS!$G$2:$CK$25,MATCH($E242,DEMANDS!$E$2:$E$25,0),FALSE)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J242" s="35">
        <f>HLOOKUP(REG_TRA_DEMANDS!J$3,'BY-Demands'!$J$5:$AK$14,MATCH($E242,'BY-Demands'!$I$5:$I$14,0),FALSE)*HLOOKUP(REG_TRA_DEMANDS!$F242,DEMANDS!$G$2:$CK$25,MATCH($E242,DEMANDS!$E$2:$E$25,0),FALSE)/HLOOKUP(2018,DEMANDS!$G$2:$CK$25,MATCH($E242,DEMANDS!$E$2:$E$25,0),FALSE)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K242" s="35">
        <f>HLOOKUP(REG_TRA_DEMANDS!K$3,'BY-Demands'!$J$5:$AK$14,MATCH($E242,'BY-Demands'!$I$5:$I$14,0),FALSE)*HLOOKUP(REG_TRA_DEMANDS!$F242,DEMANDS!$G$2:$CK$25,MATCH($E242,DEMANDS!$E$2:$E$25,0),FALSE)/HLOOKUP(2018,DEMANDS!$G$2:$CK$25,MATCH($E242,DEMANDS!$E$2:$E$25,0),FALSE)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L242" s="35">
        <f>HLOOKUP(REG_TRA_DEMANDS!L$3,'BY-Demands'!$J$5:$AK$14,MATCH($E242,'BY-Demands'!$I$5:$I$14,0),FALSE)*HLOOKUP(REG_TRA_DEMANDS!$F242,DEMANDS!$G$2:$CK$25,MATCH($E242,DEMANDS!$E$2:$E$25,0),FALSE)/HLOOKUP(2018,DEMANDS!$G$2:$CK$25,MATCH($E242,DEMANDS!$E$2:$E$25,0),FALSE)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M242" s="35">
        <f>HLOOKUP(REG_TRA_DEMANDS!M$3,'BY-Demands'!$J$5:$AK$14,MATCH($E242,'BY-Demands'!$I$5:$I$14,0),FALSE)*HLOOKUP(REG_TRA_DEMANDS!$F242,DEMANDS!$G$2:$CK$25,MATCH($E242,DEMANDS!$E$2:$E$25,0),FALSE)/HLOOKUP(2018,DEMANDS!$G$2:$CK$25,MATCH($E242,DEMANDS!$E$2:$E$25,0),FALSE)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N242" s="35">
        <f>HLOOKUP(REG_TRA_DEMANDS!N$3,'BY-Demands'!$J$5:$AK$14,MATCH($E242,'BY-Demands'!$I$5:$I$14,0),FALSE)*HLOOKUP(REG_TRA_DEMANDS!$F242,DEMANDS!$G$2:$CK$25,MATCH($E242,DEMANDS!$E$2:$E$25,0),FALSE)/HLOOKUP(2018,DEMANDS!$G$2:$CK$25,MATCH($E242,DEMANDS!$E$2:$E$25,0),FALSE)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O242" s="35">
        <f>HLOOKUP(REG_TRA_DEMANDS!O$3,'BY-Demands'!$J$5:$AK$14,MATCH($E242,'BY-Demands'!$I$5:$I$14,0),FALSE)*HLOOKUP(REG_TRA_DEMANDS!$F242,DEMANDS!$G$2:$CK$25,MATCH($E242,DEMANDS!$E$2:$E$25,0),FALSE)/HLOOKUP(2018,DEMANDS!$G$2:$CK$25,MATCH($E242,DEMANDS!$E$2:$E$25,0),FALSE)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P242" s="35">
        <f>HLOOKUP(REG_TRA_DEMANDS!P$3,'BY-Demands'!$J$5:$AK$14,MATCH($E242,'BY-Demands'!$I$5:$I$14,0),FALSE)*HLOOKUP(REG_TRA_DEMANDS!$F242,DEMANDS!$G$2:$CK$25,MATCH($E242,DEMANDS!$E$2:$E$25,0),FALSE)/HLOOKUP(2018,DEMANDS!$G$2:$CK$25,MATCH($E242,DEMANDS!$E$2:$E$25,0),FALSE)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Q242" s="35">
        <f>HLOOKUP(REG_TRA_DEMANDS!Q$3,'BY-Demands'!$J$5:$AK$14,MATCH($E242,'BY-Demands'!$I$5:$I$14,0),FALSE)*HLOOKUP(REG_TRA_DEMANDS!$F242,DEMANDS!$G$2:$CK$25,MATCH($E242,DEMANDS!$E$2:$E$25,0),FALSE)/HLOOKUP(2018,DEMANDS!$G$2:$CK$25,MATCH($E242,DEMANDS!$E$2:$E$25,0),FALSE)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R242" s="35">
        <f>HLOOKUP(REG_TRA_DEMANDS!R$3,'BY-Demands'!$J$5:$AK$14,MATCH($E242,'BY-Demands'!$I$5:$I$14,0),FALSE)*HLOOKUP(REG_TRA_DEMANDS!$F242,DEMANDS!$G$2:$CK$25,MATCH($E242,DEMANDS!$E$2:$E$25,0),FALSE)/HLOOKUP(2018,DEMANDS!$G$2:$CK$25,MATCH($E242,DEMANDS!$E$2:$E$25,0),FALSE)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S242" s="18">
        <f>HLOOKUP(REG_TRA_DEMANDS!S$3,'BY-Demands'!$J$5:$AK$14,MATCH($E242,'BY-Demands'!$I$5:$I$14,0),FALSE)*HLOOKUP(REG_TRA_DEMANDS!$F242,DEMANDS!$G$2:$CK$25,MATCH($E242,DEMANDS!$E$2:$E$25,0),FALSE)/HLOOKUP(2018,DEMANDS!$G$2:$CK$25,MATCH($E242,DEMANDS!$E$2:$E$25,0),FALSE)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T242" s="18">
        <f>HLOOKUP(REG_TRA_DEMANDS!T$3,'BY-Demands'!$J$5:$AK$14,MATCH($E242,'BY-Demands'!$I$5:$I$14,0),FALSE)*HLOOKUP(REG_TRA_DEMANDS!$F242,DEMANDS!$G$2:$CK$25,MATCH($E242,DEMANDS!$E$2:$E$25,0),FALSE)/HLOOKUP(2018,DEMANDS!$G$2:$CK$25,MATCH($E242,DEMANDS!$E$2:$E$25,0),FALSE)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U242" s="18">
        <f>HLOOKUP(REG_TRA_DEMANDS!U$3,'BY-Demands'!$J$5:$AK$14,MATCH($E242,'BY-Demands'!$I$5:$I$14,0),FALSE)*HLOOKUP(REG_TRA_DEMANDS!$F242,DEMANDS!$G$2:$CK$25,MATCH($E242,DEMANDS!$E$2:$E$25,0),FALSE)/HLOOKUP(2018,DEMANDS!$G$2:$CK$25,MATCH($E242,DEMANDS!$E$2:$E$25,0),FALSE)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V242">
        <f>HLOOKUP(REG_TRA_DEMANDS!V$3,'BY-Demands'!$J$5:$AK$14,MATCH($E242,'BY-Demands'!$I$5:$I$14,0),FALSE)*HLOOKUP(REG_TRA_DEMANDS!$F242,DEMANDS!$G$2:$CK$25,MATCH($E242,DEMANDS!$E$2:$E$25,0),FALSE)/HLOOKUP(2018,DEMANDS!$G$2:$CK$25,MATCH($E242,DEMANDS!$E$2:$E$25,0),FALSE)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W242">
        <f>HLOOKUP(REG_TRA_DEMANDS!W$3,'BY-Demands'!$J$5:$AK$14,MATCH($E242,'BY-Demands'!$I$5:$I$14,0),FALSE)*HLOOKUP(REG_TRA_DEMANDS!$F242,DEMANDS!$G$2:$CK$25,MATCH($E242,DEMANDS!$E$2:$E$25,0),FALSE)/HLOOKUP(2018,DEMANDS!$G$2:$CK$25,MATCH($E242,DEMANDS!$E$2:$E$25,0),FALSE)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X242">
        <f>HLOOKUP(REG_TRA_DEMANDS!X$3,'BY-Demands'!$J$5:$AK$14,MATCH($E242,'BY-Demands'!$I$5:$I$14,0),FALSE)*HLOOKUP(REG_TRA_DEMANDS!$F242,DEMANDS!$G$2:$CK$25,MATCH($E242,DEMANDS!$E$2:$E$25,0),FALSE)/HLOOKUP(2018,DEMANDS!$G$2:$CK$25,MATCH($E242,DEMANDS!$E$2:$E$25,0),FALSE)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Y242">
        <f>HLOOKUP(REG_TRA_DEMANDS!Y$3,'BY-Demands'!$J$5:$AK$14,MATCH($E242,'BY-Demands'!$I$5:$I$14,0),FALSE)*HLOOKUP(REG_TRA_DEMANDS!$F242,DEMANDS!$G$2:$CK$25,MATCH($E242,DEMANDS!$E$2:$E$25,0),FALSE)/HLOOKUP(2018,DEMANDS!$G$2:$CK$25,MATCH($E242,DEMANDS!$E$2:$E$25,0),FALSE)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Z242">
        <f>HLOOKUP(REG_TRA_DEMANDS!Z$3,'BY-Demands'!$J$5:$AK$14,MATCH($E242,'BY-Demands'!$I$5:$I$14,0),FALSE)*HLOOKUP(REG_TRA_DEMANDS!$F242,DEMANDS!$G$2:$CK$25,MATCH($E242,DEMANDS!$E$2:$E$25,0),FALSE)/HLOOKUP(2018,DEMANDS!$G$2:$CK$25,MATCH($E242,DEMANDS!$E$2:$E$25,0),FALSE)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AA242" s="18">
        <f>HLOOKUP(REG_TRA_DEMANDS!AA$3,'BY-Demands'!$J$5:$AK$14,MATCH($E242,'BY-Demands'!$I$5:$I$14,0),FALSE)*HLOOKUP(REG_TRA_DEMANDS!$F242,DEMANDS!$G$2:$CK$25,MATCH($E242,DEMANDS!$E$2:$E$25,0),FALSE)/HLOOKUP(2018,DEMANDS!$G$2:$CK$25,MATCH($E242,DEMANDS!$E$2:$E$25,0),FALSE)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AB242">
        <f>HLOOKUP(REG_TRA_DEMANDS!AB$3,'BY-Demands'!$J$5:$AK$14,MATCH($E242,'BY-Demands'!$I$5:$I$14,0),FALSE)*HLOOKUP(REG_TRA_DEMANDS!$F242,DEMANDS!$G$2:$CK$25,MATCH($E242,DEMANDS!$E$2:$E$25,0),FALSE)/HLOOKUP(2018,DEMANDS!$G$2:$CK$25,MATCH($E242,DEMANDS!$E$2:$E$25,0),FALSE)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AC242">
        <f>HLOOKUP(REG_TRA_DEMANDS!AC$3,'BY-Demands'!$J$5:$AK$14,MATCH($E242,'BY-Demands'!$I$5:$I$14,0),FALSE)*HLOOKUP(REG_TRA_DEMANDS!$F242,DEMANDS!$G$2:$CK$25,MATCH($E242,DEMANDS!$E$2:$E$25,0),FALSE)/HLOOKUP(2018,DEMANDS!$G$2:$CK$25,MATCH($E242,DEMANDS!$E$2:$E$25,0),FALSE)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AD242">
        <f>HLOOKUP(REG_TRA_DEMANDS!AD$3,'BY-Demands'!$J$5:$AK$14,MATCH($E242,'BY-Demands'!$I$5:$I$14,0),FALSE)*HLOOKUP(REG_TRA_DEMANDS!$F242,DEMANDS!$G$2:$CK$25,MATCH($E242,DEMANDS!$E$2:$E$25,0),FALSE)/HLOOKUP(2018,DEMANDS!$G$2:$CK$25,MATCH($E242,DEMANDS!$E$2:$E$25,0),FALSE)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AE242">
        <f>HLOOKUP(REG_TRA_DEMANDS!AE$3,'BY-Demands'!$J$5:$AK$14,MATCH($E242,'BY-Demands'!$I$5:$I$14,0),FALSE)*HLOOKUP(REG_TRA_DEMANDS!$F242,DEMANDS!$G$2:$CK$25,MATCH($E242,DEMANDS!$E$2:$E$25,0),FALSE)/HLOOKUP(2018,DEMANDS!$G$2:$CK$25,MATCH($E242,DEMANDS!$E$2:$E$25,0),FALSE)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AF242">
        <f>HLOOKUP(REG_TRA_DEMANDS!AF$3,'BY-Demands'!$J$5:$AK$14,MATCH($E242,'BY-Demands'!$I$5:$I$14,0),FALSE)*HLOOKUP(REG_TRA_DEMANDS!$F242,DEMANDS!$G$2:$CK$25,MATCH($E242,DEMANDS!$E$2:$E$25,0),FALSE)/HLOOKUP(2018,DEMANDS!$G$2:$CK$25,MATCH($E242,DEMANDS!$E$2:$E$25,0),FALSE)</f>
        <v>0</v>
      </c>
    </row>
    <row r="243" spans="4:32" ht="14.4">
      <c r="D243" t="s">
        <v>6</v>
      </c>
      <c r="E243" t="str">
        <f>DEMANDS!$E$25</f>
        <v>TAVIINT</v>
      </c>
      <c r="F243">
        <v>2055</v>
      </c>
      <c r="G243">
        <f>HLOOKUP(REG_TRA_DEMANDS!G$3,'BY-Demands'!$J$5:$AK$14,MATCH($E243,'BY-Demands'!$I$5:$I$14,0),FALSE)*HLOOKUP(REG_TRA_DEMANDS!$F243,DEMANDS!$G$2:$CK$25,MATCH($E243,DEMANDS!$E$2:$E$25,0),FALSE)/HLOOKUP(2018,DEMANDS!$G$2:$CK$25,MATCH($E243,DEMANDS!$E$2:$E$25,0),FALSE)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H243" s="18">
        <f>HLOOKUP(REG_TRA_DEMANDS!H$3,'BY-Demands'!$J$5:$AK$14,MATCH($E243,'BY-Demands'!$I$5:$I$14,0),FALSE)*HLOOKUP(REG_TRA_DEMANDS!$F243,DEMANDS!$G$2:$CK$25,MATCH($E243,DEMANDS!$E$2:$E$25,0),FALSE)/HLOOKUP(2018,DEMANDS!$G$2:$CK$25,MATCH($E243,DEMANDS!$E$2:$E$25,0),FALSE)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I243" s="35">
        <f>HLOOKUP(REG_TRA_DEMANDS!I$3,'BY-Demands'!$J$5:$AK$14,MATCH($E243,'BY-Demands'!$I$5:$I$14,0),FALSE)*HLOOKUP(REG_TRA_DEMANDS!$F243,DEMANDS!$G$2:$CK$25,MATCH($E243,DEMANDS!$E$2:$E$25,0),FALSE)/HLOOKUP(2018,DEMANDS!$G$2:$CK$25,MATCH($E243,DEMANDS!$E$2:$E$25,0),FALSE)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J243" s="35">
        <f>HLOOKUP(REG_TRA_DEMANDS!J$3,'BY-Demands'!$J$5:$AK$14,MATCH($E243,'BY-Demands'!$I$5:$I$14,0),FALSE)*HLOOKUP(REG_TRA_DEMANDS!$F243,DEMANDS!$G$2:$CK$25,MATCH($E243,DEMANDS!$E$2:$E$25,0),FALSE)/HLOOKUP(2018,DEMANDS!$G$2:$CK$25,MATCH($E243,DEMANDS!$E$2:$E$25,0),FALSE)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K243" s="35">
        <f>HLOOKUP(REG_TRA_DEMANDS!K$3,'BY-Demands'!$J$5:$AK$14,MATCH($E243,'BY-Demands'!$I$5:$I$14,0),FALSE)*HLOOKUP(REG_TRA_DEMANDS!$F243,DEMANDS!$G$2:$CK$25,MATCH($E243,DEMANDS!$E$2:$E$25,0),FALSE)/HLOOKUP(2018,DEMANDS!$G$2:$CK$25,MATCH($E243,DEMANDS!$E$2:$E$25,0),FALSE)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L243" s="35">
        <f>HLOOKUP(REG_TRA_DEMANDS!L$3,'BY-Demands'!$J$5:$AK$14,MATCH($E243,'BY-Demands'!$I$5:$I$14,0),FALSE)*HLOOKUP(REG_TRA_DEMANDS!$F243,DEMANDS!$G$2:$CK$25,MATCH($E243,DEMANDS!$E$2:$E$25,0),FALSE)/HLOOKUP(2018,DEMANDS!$G$2:$CK$25,MATCH($E243,DEMANDS!$E$2:$E$25,0),FALSE)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M243" s="35">
        <f>HLOOKUP(REG_TRA_DEMANDS!M$3,'BY-Demands'!$J$5:$AK$14,MATCH($E243,'BY-Demands'!$I$5:$I$14,0),FALSE)*HLOOKUP(REG_TRA_DEMANDS!$F243,DEMANDS!$G$2:$CK$25,MATCH($E243,DEMANDS!$E$2:$E$25,0),FALSE)/HLOOKUP(2018,DEMANDS!$G$2:$CK$25,MATCH($E243,DEMANDS!$E$2:$E$25,0),FALSE)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N243" s="35">
        <f>HLOOKUP(REG_TRA_DEMANDS!N$3,'BY-Demands'!$J$5:$AK$14,MATCH($E243,'BY-Demands'!$I$5:$I$14,0),FALSE)*HLOOKUP(REG_TRA_DEMANDS!$F243,DEMANDS!$G$2:$CK$25,MATCH($E243,DEMANDS!$E$2:$E$25,0),FALSE)/HLOOKUP(2018,DEMANDS!$G$2:$CK$25,MATCH($E243,DEMANDS!$E$2:$E$25,0),FALSE)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O243" s="35">
        <f>HLOOKUP(REG_TRA_DEMANDS!O$3,'BY-Demands'!$J$5:$AK$14,MATCH($E243,'BY-Demands'!$I$5:$I$14,0),FALSE)*HLOOKUP(REG_TRA_DEMANDS!$F243,DEMANDS!$G$2:$CK$25,MATCH($E243,DEMANDS!$E$2:$E$25,0),FALSE)/HLOOKUP(2018,DEMANDS!$G$2:$CK$25,MATCH($E243,DEMANDS!$E$2:$E$25,0),FALSE)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P243" s="35">
        <f>HLOOKUP(REG_TRA_DEMANDS!P$3,'BY-Demands'!$J$5:$AK$14,MATCH($E243,'BY-Demands'!$I$5:$I$14,0),FALSE)*HLOOKUP(REG_TRA_DEMANDS!$F243,DEMANDS!$G$2:$CK$25,MATCH($E243,DEMANDS!$E$2:$E$25,0),FALSE)/HLOOKUP(2018,DEMANDS!$G$2:$CK$25,MATCH($E243,DEMANDS!$E$2:$E$25,0),FALSE)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Q243" s="35">
        <f>HLOOKUP(REG_TRA_DEMANDS!Q$3,'BY-Demands'!$J$5:$AK$14,MATCH($E243,'BY-Demands'!$I$5:$I$14,0),FALSE)*HLOOKUP(REG_TRA_DEMANDS!$F243,DEMANDS!$G$2:$CK$25,MATCH($E243,DEMANDS!$E$2:$E$25,0),FALSE)/HLOOKUP(2018,DEMANDS!$G$2:$CK$25,MATCH($E243,DEMANDS!$E$2:$E$25,0),FALSE)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R243" s="35">
        <f>HLOOKUP(REG_TRA_DEMANDS!R$3,'BY-Demands'!$J$5:$AK$14,MATCH($E243,'BY-Demands'!$I$5:$I$14,0),FALSE)*HLOOKUP(REG_TRA_DEMANDS!$F243,DEMANDS!$G$2:$CK$25,MATCH($E243,DEMANDS!$E$2:$E$25,0),FALSE)/HLOOKUP(2018,DEMANDS!$G$2:$CK$25,MATCH($E243,DEMANDS!$E$2:$E$25,0),FALSE)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S243" s="18">
        <f>HLOOKUP(REG_TRA_DEMANDS!S$3,'BY-Demands'!$J$5:$AK$14,MATCH($E243,'BY-Demands'!$I$5:$I$14,0),FALSE)*HLOOKUP(REG_TRA_DEMANDS!$F243,DEMANDS!$G$2:$CK$25,MATCH($E243,DEMANDS!$E$2:$E$25,0),FALSE)/HLOOKUP(2018,DEMANDS!$G$2:$CK$25,MATCH($E243,DEMANDS!$E$2:$E$25,0),FALSE)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T243" s="18">
        <f>HLOOKUP(REG_TRA_DEMANDS!T$3,'BY-Demands'!$J$5:$AK$14,MATCH($E243,'BY-Demands'!$I$5:$I$14,0),FALSE)*HLOOKUP(REG_TRA_DEMANDS!$F243,DEMANDS!$G$2:$CK$25,MATCH($E243,DEMANDS!$E$2:$E$25,0),FALSE)/HLOOKUP(2018,DEMANDS!$G$2:$CK$25,MATCH($E243,DEMANDS!$E$2:$E$25,0),FALSE)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U243" s="18">
        <f>HLOOKUP(REG_TRA_DEMANDS!U$3,'BY-Demands'!$J$5:$AK$14,MATCH($E243,'BY-Demands'!$I$5:$I$14,0),FALSE)*HLOOKUP(REG_TRA_DEMANDS!$F243,DEMANDS!$G$2:$CK$25,MATCH($E243,DEMANDS!$E$2:$E$25,0),FALSE)/HLOOKUP(2018,DEMANDS!$G$2:$CK$25,MATCH($E243,DEMANDS!$E$2:$E$25,0),FALSE)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V243">
        <f>HLOOKUP(REG_TRA_DEMANDS!V$3,'BY-Demands'!$J$5:$AK$14,MATCH($E243,'BY-Demands'!$I$5:$I$14,0),FALSE)*HLOOKUP(REG_TRA_DEMANDS!$F243,DEMANDS!$G$2:$CK$25,MATCH($E243,DEMANDS!$E$2:$E$25,0),FALSE)/HLOOKUP(2018,DEMANDS!$G$2:$CK$25,MATCH($E243,DEMANDS!$E$2:$E$25,0),FALSE)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W243">
        <f>HLOOKUP(REG_TRA_DEMANDS!W$3,'BY-Demands'!$J$5:$AK$14,MATCH($E243,'BY-Demands'!$I$5:$I$14,0),FALSE)*HLOOKUP(REG_TRA_DEMANDS!$F243,DEMANDS!$G$2:$CK$25,MATCH($E243,DEMANDS!$E$2:$E$25,0),FALSE)/HLOOKUP(2018,DEMANDS!$G$2:$CK$25,MATCH($E243,DEMANDS!$E$2:$E$25,0),FALSE)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X243">
        <f>HLOOKUP(REG_TRA_DEMANDS!X$3,'BY-Demands'!$J$5:$AK$14,MATCH($E243,'BY-Demands'!$I$5:$I$14,0),FALSE)*HLOOKUP(REG_TRA_DEMANDS!$F243,DEMANDS!$G$2:$CK$25,MATCH($E243,DEMANDS!$E$2:$E$25,0),FALSE)/HLOOKUP(2018,DEMANDS!$G$2:$CK$25,MATCH($E243,DEMANDS!$E$2:$E$25,0),FALSE)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Y243">
        <f>HLOOKUP(REG_TRA_DEMANDS!Y$3,'BY-Demands'!$J$5:$AK$14,MATCH($E243,'BY-Demands'!$I$5:$I$14,0),FALSE)*HLOOKUP(REG_TRA_DEMANDS!$F243,DEMANDS!$G$2:$CK$25,MATCH($E243,DEMANDS!$E$2:$E$25,0),FALSE)/HLOOKUP(2018,DEMANDS!$G$2:$CK$25,MATCH($E243,DEMANDS!$E$2:$E$25,0),FALSE)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Z243">
        <f>HLOOKUP(REG_TRA_DEMANDS!Z$3,'BY-Demands'!$J$5:$AK$14,MATCH($E243,'BY-Demands'!$I$5:$I$14,0),FALSE)*HLOOKUP(REG_TRA_DEMANDS!$F243,DEMANDS!$G$2:$CK$25,MATCH($E243,DEMANDS!$E$2:$E$25,0),FALSE)/HLOOKUP(2018,DEMANDS!$G$2:$CK$25,MATCH($E243,DEMANDS!$E$2:$E$25,0),FALSE)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AA243" s="18">
        <f>HLOOKUP(REG_TRA_DEMANDS!AA$3,'BY-Demands'!$J$5:$AK$14,MATCH($E243,'BY-Demands'!$I$5:$I$14,0),FALSE)*HLOOKUP(REG_TRA_DEMANDS!$F243,DEMANDS!$G$2:$CK$25,MATCH($E243,DEMANDS!$E$2:$E$25,0),FALSE)/HLOOKUP(2018,DEMANDS!$G$2:$CK$25,MATCH($E243,DEMANDS!$E$2:$E$25,0),FALSE)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AB243">
        <f>HLOOKUP(REG_TRA_DEMANDS!AB$3,'BY-Demands'!$J$5:$AK$14,MATCH($E243,'BY-Demands'!$I$5:$I$14,0),FALSE)*HLOOKUP(REG_TRA_DEMANDS!$F243,DEMANDS!$G$2:$CK$25,MATCH($E243,DEMANDS!$E$2:$E$25,0),FALSE)/HLOOKUP(2018,DEMANDS!$G$2:$CK$25,MATCH($E243,DEMANDS!$E$2:$E$25,0),FALSE)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AC243">
        <f>HLOOKUP(REG_TRA_DEMANDS!AC$3,'BY-Demands'!$J$5:$AK$14,MATCH($E243,'BY-Demands'!$I$5:$I$14,0),FALSE)*HLOOKUP(REG_TRA_DEMANDS!$F243,DEMANDS!$G$2:$CK$25,MATCH($E243,DEMANDS!$E$2:$E$25,0),FALSE)/HLOOKUP(2018,DEMANDS!$G$2:$CK$25,MATCH($E243,DEMANDS!$E$2:$E$25,0),FALSE)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AD243">
        <f>HLOOKUP(REG_TRA_DEMANDS!AD$3,'BY-Demands'!$J$5:$AK$14,MATCH($E243,'BY-Demands'!$I$5:$I$14,0),FALSE)*HLOOKUP(REG_TRA_DEMANDS!$F243,DEMANDS!$G$2:$CK$25,MATCH($E243,DEMANDS!$E$2:$E$25,0),FALSE)/HLOOKUP(2018,DEMANDS!$G$2:$CK$25,MATCH($E243,DEMANDS!$E$2:$E$25,0),FALSE)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AE243">
        <f>HLOOKUP(REG_TRA_DEMANDS!AE$3,'BY-Demands'!$J$5:$AK$14,MATCH($E243,'BY-Demands'!$I$5:$I$14,0),FALSE)*HLOOKUP(REG_TRA_DEMANDS!$F243,DEMANDS!$G$2:$CK$25,MATCH($E243,DEMANDS!$E$2:$E$25,0),FALSE)/HLOOKUP(2018,DEMANDS!$G$2:$CK$25,MATCH($E243,DEMANDS!$E$2:$E$25,0),FALSE)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AF243">
        <f>HLOOKUP(REG_TRA_DEMANDS!AF$3,'BY-Demands'!$J$5:$AK$14,MATCH($E243,'BY-Demands'!$I$5:$I$14,0),FALSE)*HLOOKUP(REG_TRA_DEMANDS!$F243,DEMANDS!$G$2:$CK$25,MATCH($E243,DEMANDS!$E$2:$E$25,0),FALSE)/HLOOKUP(2018,DEMANDS!$G$2:$CK$25,MATCH($E243,DEMANDS!$E$2:$E$25,0),FALSE)</f>
        <v>0</v>
      </c>
    </row>
    <row r="244" spans="4:32" ht="14.4">
      <c r="D244" t="s">
        <v>6</v>
      </c>
      <c r="E244" t="str">
        <f>DEMANDS!$E$25</f>
        <v>TAVIINT</v>
      </c>
      <c r="F244">
        <v>2060</v>
      </c>
      <c r="G244">
        <f>HLOOKUP(REG_TRA_DEMANDS!G$3,'BY-Demands'!$J$5:$AK$14,MATCH($E244,'BY-Demands'!$I$5:$I$14,0),FALSE)*HLOOKUP(REG_TRA_DEMANDS!$F244,DEMANDS!$G$2:$CK$25,MATCH($E244,DEMANDS!$E$2:$E$25,0),FALSE)/HLOOKUP(2018,DEMANDS!$G$2:$CK$25,MATCH($E244,DEMANDS!$E$2:$E$25,0),FALSE)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H244" s="18">
        <f>HLOOKUP(REG_TRA_DEMANDS!H$3,'BY-Demands'!$J$5:$AK$14,MATCH($E244,'BY-Demands'!$I$5:$I$14,0),FALSE)*HLOOKUP(REG_TRA_DEMANDS!$F244,DEMANDS!$G$2:$CK$25,MATCH($E244,DEMANDS!$E$2:$E$25,0),FALSE)/HLOOKUP(2018,DEMANDS!$G$2:$CK$25,MATCH($E244,DEMANDS!$E$2:$E$25,0),FALSE)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I244" s="35">
        <f>HLOOKUP(REG_TRA_DEMANDS!I$3,'BY-Demands'!$J$5:$AK$14,MATCH($E244,'BY-Demands'!$I$5:$I$14,0),FALSE)*HLOOKUP(REG_TRA_DEMANDS!$F244,DEMANDS!$G$2:$CK$25,MATCH($E244,DEMANDS!$E$2:$E$25,0),FALSE)/HLOOKUP(2018,DEMANDS!$G$2:$CK$25,MATCH($E244,DEMANDS!$E$2:$E$25,0),FALSE)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J244" s="35">
        <f>HLOOKUP(REG_TRA_DEMANDS!J$3,'BY-Demands'!$J$5:$AK$14,MATCH($E244,'BY-Demands'!$I$5:$I$14,0),FALSE)*HLOOKUP(REG_TRA_DEMANDS!$F244,DEMANDS!$G$2:$CK$25,MATCH($E244,DEMANDS!$E$2:$E$25,0),FALSE)/HLOOKUP(2018,DEMANDS!$G$2:$CK$25,MATCH($E244,DEMANDS!$E$2:$E$25,0),FALSE)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K244" s="35">
        <f>HLOOKUP(REG_TRA_DEMANDS!K$3,'BY-Demands'!$J$5:$AK$14,MATCH($E244,'BY-Demands'!$I$5:$I$14,0),FALSE)*HLOOKUP(REG_TRA_DEMANDS!$F244,DEMANDS!$G$2:$CK$25,MATCH($E244,DEMANDS!$E$2:$E$25,0),FALSE)/HLOOKUP(2018,DEMANDS!$G$2:$CK$25,MATCH($E244,DEMANDS!$E$2:$E$25,0),FALSE)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L244" s="35">
        <f>HLOOKUP(REG_TRA_DEMANDS!L$3,'BY-Demands'!$J$5:$AK$14,MATCH($E244,'BY-Demands'!$I$5:$I$14,0),FALSE)*HLOOKUP(REG_TRA_DEMANDS!$F244,DEMANDS!$G$2:$CK$25,MATCH($E244,DEMANDS!$E$2:$E$25,0),FALSE)/HLOOKUP(2018,DEMANDS!$G$2:$CK$25,MATCH($E244,DEMANDS!$E$2:$E$25,0),FALSE)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M244" s="35">
        <f>HLOOKUP(REG_TRA_DEMANDS!M$3,'BY-Demands'!$J$5:$AK$14,MATCH($E244,'BY-Demands'!$I$5:$I$14,0),FALSE)*HLOOKUP(REG_TRA_DEMANDS!$F244,DEMANDS!$G$2:$CK$25,MATCH($E244,DEMANDS!$E$2:$E$25,0),FALSE)/HLOOKUP(2018,DEMANDS!$G$2:$CK$25,MATCH($E244,DEMANDS!$E$2:$E$25,0),FALSE)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N244" s="35">
        <f>HLOOKUP(REG_TRA_DEMANDS!N$3,'BY-Demands'!$J$5:$AK$14,MATCH($E244,'BY-Demands'!$I$5:$I$14,0),FALSE)*HLOOKUP(REG_TRA_DEMANDS!$F244,DEMANDS!$G$2:$CK$25,MATCH($E244,DEMANDS!$E$2:$E$25,0),FALSE)/HLOOKUP(2018,DEMANDS!$G$2:$CK$25,MATCH($E244,DEMANDS!$E$2:$E$25,0),FALSE)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O244" s="35">
        <f>HLOOKUP(REG_TRA_DEMANDS!O$3,'BY-Demands'!$J$5:$AK$14,MATCH($E244,'BY-Demands'!$I$5:$I$14,0),FALSE)*HLOOKUP(REG_TRA_DEMANDS!$F244,DEMANDS!$G$2:$CK$25,MATCH($E244,DEMANDS!$E$2:$E$25,0),FALSE)/HLOOKUP(2018,DEMANDS!$G$2:$CK$25,MATCH($E244,DEMANDS!$E$2:$E$25,0),FALSE)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P244" s="35">
        <f>HLOOKUP(REG_TRA_DEMANDS!P$3,'BY-Demands'!$J$5:$AK$14,MATCH($E244,'BY-Demands'!$I$5:$I$14,0),FALSE)*HLOOKUP(REG_TRA_DEMANDS!$F244,DEMANDS!$G$2:$CK$25,MATCH($E244,DEMANDS!$E$2:$E$25,0),FALSE)/HLOOKUP(2018,DEMANDS!$G$2:$CK$25,MATCH($E244,DEMANDS!$E$2:$E$25,0),FALSE)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Q244" s="35">
        <f>HLOOKUP(REG_TRA_DEMANDS!Q$3,'BY-Demands'!$J$5:$AK$14,MATCH($E244,'BY-Demands'!$I$5:$I$14,0),FALSE)*HLOOKUP(REG_TRA_DEMANDS!$F244,DEMANDS!$G$2:$CK$25,MATCH($E244,DEMANDS!$E$2:$E$25,0),FALSE)/HLOOKUP(2018,DEMANDS!$G$2:$CK$25,MATCH($E244,DEMANDS!$E$2:$E$25,0),FALSE)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R244" s="35">
        <f>HLOOKUP(REG_TRA_DEMANDS!R$3,'BY-Demands'!$J$5:$AK$14,MATCH($E244,'BY-Demands'!$I$5:$I$14,0),FALSE)*HLOOKUP(REG_TRA_DEMANDS!$F244,DEMANDS!$G$2:$CK$25,MATCH($E244,DEMANDS!$E$2:$E$25,0),FALSE)/HLOOKUP(2018,DEMANDS!$G$2:$CK$25,MATCH($E244,DEMANDS!$E$2:$E$25,0),FALSE)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S244" s="18">
        <f>HLOOKUP(REG_TRA_DEMANDS!S$3,'BY-Demands'!$J$5:$AK$14,MATCH($E244,'BY-Demands'!$I$5:$I$14,0),FALSE)*HLOOKUP(REG_TRA_DEMANDS!$F244,DEMANDS!$G$2:$CK$25,MATCH($E244,DEMANDS!$E$2:$E$25,0),FALSE)/HLOOKUP(2018,DEMANDS!$G$2:$CK$25,MATCH($E244,DEMANDS!$E$2:$E$25,0),FALSE)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T244" s="18">
        <f>HLOOKUP(REG_TRA_DEMANDS!T$3,'BY-Demands'!$J$5:$AK$14,MATCH($E244,'BY-Demands'!$I$5:$I$14,0),FALSE)*HLOOKUP(REG_TRA_DEMANDS!$F244,DEMANDS!$G$2:$CK$25,MATCH($E244,DEMANDS!$E$2:$E$25,0),FALSE)/HLOOKUP(2018,DEMANDS!$G$2:$CK$25,MATCH($E244,DEMANDS!$E$2:$E$25,0),FALSE)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U244" s="18">
        <f>HLOOKUP(REG_TRA_DEMANDS!U$3,'BY-Demands'!$J$5:$AK$14,MATCH($E244,'BY-Demands'!$I$5:$I$14,0),FALSE)*HLOOKUP(REG_TRA_DEMANDS!$F244,DEMANDS!$G$2:$CK$25,MATCH($E244,DEMANDS!$E$2:$E$25,0),FALSE)/HLOOKUP(2018,DEMANDS!$G$2:$CK$25,MATCH($E244,DEMANDS!$E$2:$E$25,0),FALSE)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V244">
        <f>HLOOKUP(REG_TRA_DEMANDS!V$3,'BY-Demands'!$J$5:$AK$14,MATCH($E244,'BY-Demands'!$I$5:$I$14,0),FALSE)*HLOOKUP(REG_TRA_DEMANDS!$F244,DEMANDS!$G$2:$CK$25,MATCH($E244,DEMANDS!$E$2:$E$25,0),FALSE)/HLOOKUP(2018,DEMANDS!$G$2:$CK$25,MATCH($E244,DEMANDS!$E$2:$E$25,0),FALSE)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W244">
        <f>HLOOKUP(REG_TRA_DEMANDS!W$3,'BY-Demands'!$J$5:$AK$14,MATCH($E244,'BY-Demands'!$I$5:$I$14,0),FALSE)*HLOOKUP(REG_TRA_DEMANDS!$F244,DEMANDS!$G$2:$CK$25,MATCH($E244,DEMANDS!$E$2:$E$25,0),FALSE)/HLOOKUP(2018,DEMANDS!$G$2:$CK$25,MATCH($E244,DEMANDS!$E$2:$E$25,0),FALSE)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X244">
        <f>HLOOKUP(REG_TRA_DEMANDS!X$3,'BY-Demands'!$J$5:$AK$14,MATCH($E244,'BY-Demands'!$I$5:$I$14,0),FALSE)*HLOOKUP(REG_TRA_DEMANDS!$F244,DEMANDS!$G$2:$CK$25,MATCH($E244,DEMANDS!$E$2:$E$25,0),FALSE)/HLOOKUP(2018,DEMANDS!$G$2:$CK$25,MATCH($E244,DEMANDS!$E$2:$E$25,0),FALSE)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Y244">
        <f>HLOOKUP(REG_TRA_DEMANDS!Y$3,'BY-Demands'!$J$5:$AK$14,MATCH($E244,'BY-Demands'!$I$5:$I$14,0),FALSE)*HLOOKUP(REG_TRA_DEMANDS!$F244,DEMANDS!$G$2:$CK$25,MATCH($E244,DEMANDS!$E$2:$E$25,0),FALSE)/HLOOKUP(2018,DEMANDS!$G$2:$CK$25,MATCH($E244,DEMANDS!$E$2:$E$25,0),FALSE)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Z244">
        <f>HLOOKUP(REG_TRA_DEMANDS!Z$3,'BY-Demands'!$J$5:$AK$14,MATCH($E244,'BY-Demands'!$I$5:$I$14,0),FALSE)*HLOOKUP(REG_TRA_DEMANDS!$F244,DEMANDS!$G$2:$CK$25,MATCH($E244,DEMANDS!$E$2:$E$25,0),FALSE)/HLOOKUP(2018,DEMANDS!$G$2:$CK$25,MATCH($E244,DEMANDS!$E$2:$E$25,0),FALSE)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AA244" s="18">
        <f>HLOOKUP(REG_TRA_DEMANDS!AA$3,'BY-Demands'!$J$5:$AK$14,MATCH($E244,'BY-Demands'!$I$5:$I$14,0),FALSE)*HLOOKUP(REG_TRA_DEMANDS!$F244,DEMANDS!$G$2:$CK$25,MATCH($E244,DEMANDS!$E$2:$E$25,0),FALSE)/HLOOKUP(2018,DEMANDS!$G$2:$CK$25,MATCH($E244,DEMANDS!$E$2:$E$25,0),FALSE)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AB244">
        <f>HLOOKUP(REG_TRA_DEMANDS!AB$3,'BY-Demands'!$J$5:$AK$14,MATCH($E244,'BY-Demands'!$I$5:$I$14,0),FALSE)*HLOOKUP(REG_TRA_DEMANDS!$F244,DEMANDS!$G$2:$CK$25,MATCH($E244,DEMANDS!$E$2:$E$25,0),FALSE)/HLOOKUP(2018,DEMANDS!$G$2:$CK$25,MATCH($E244,DEMANDS!$E$2:$E$25,0),FALSE)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AC244">
        <f>HLOOKUP(REG_TRA_DEMANDS!AC$3,'BY-Demands'!$J$5:$AK$14,MATCH($E244,'BY-Demands'!$I$5:$I$14,0),FALSE)*HLOOKUP(REG_TRA_DEMANDS!$F244,DEMANDS!$G$2:$CK$25,MATCH($E244,DEMANDS!$E$2:$E$25,0),FALSE)/HLOOKUP(2018,DEMANDS!$G$2:$CK$25,MATCH($E244,DEMANDS!$E$2:$E$25,0),FALSE)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AD244">
        <f>HLOOKUP(REG_TRA_DEMANDS!AD$3,'BY-Demands'!$J$5:$AK$14,MATCH($E244,'BY-Demands'!$I$5:$I$14,0),FALSE)*HLOOKUP(REG_TRA_DEMANDS!$F244,DEMANDS!$G$2:$CK$25,MATCH($E244,DEMANDS!$E$2:$E$25,0),FALSE)/HLOOKUP(2018,DEMANDS!$G$2:$CK$25,MATCH($E244,DEMANDS!$E$2:$E$25,0),FALSE)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AE244">
        <f>HLOOKUP(REG_TRA_DEMANDS!AE$3,'BY-Demands'!$J$5:$AK$14,MATCH($E244,'BY-Demands'!$I$5:$I$14,0),FALSE)*HLOOKUP(REG_TRA_DEMANDS!$F244,DEMANDS!$G$2:$CK$25,MATCH($E244,DEMANDS!$E$2:$E$25,0),FALSE)/HLOOKUP(2018,DEMANDS!$G$2:$CK$25,MATCH($E244,DEMANDS!$E$2:$E$25,0),FALSE)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AF244">
        <f>HLOOKUP(REG_TRA_DEMANDS!AF$3,'BY-Demands'!$J$5:$AK$14,MATCH($E244,'BY-Demands'!$I$5:$I$14,0),FALSE)*HLOOKUP(REG_TRA_DEMANDS!$F244,DEMANDS!$G$2:$CK$25,MATCH($E244,DEMANDS!$E$2:$E$25,0),FALSE)/HLOOKUP(2018,DEMANDS!$G$2:$CK$25,MATCH($E244,DEMANDS!$E$2:$E$25,0),FALSE)</f>
        <v>0</v>
      </c>
    </row>
    <row r="245" spans="4:32" ht="14.4">
      <c r="D245" t="s">
        <v>6</v>
      </c>
      <c r="E245" t="str">
        <f>DEMANDS!$E$25</f>
        <v>TAVIINT</v>
      </c>
      <c r="F245">
        <v>2065</v>
      </c>
      <c r="G245">
        <f>HLOOKUP(REG_TRA_DEMANDS!G$3,'BY-Demands'!$J$5:$AK$14,MATCH($E245,'BY-Demands'!$I$5:$I$14,0),FALSE)*HLOOKUP(REG_TRA_DEMANDS!$F245,DEMANDS!$G$2:$CK$25,MATCH($E245,DEMANDS!$E$2:$E$25,0),FALSE)/HLOOKUP(2018,DEMANDS!$G$2:$CK$25,MATCH($E245,DEMANDS!$E$2:$E$25,0),FALSE)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H245" s="18">
        <f>HLOOKUP(REG_TRA_DEMANDS!H$3,'BY-Demands'!$J$5:$AK$14,MATCH($E245,'BY-Demands'!$I$5:$I$14,0),FALSE)*HLOOKUP(REG_TRA_DEMANDS!$F245,DEMANDS!$G$2:$CK$25,MATCH($E245,DEMANDS!$E$2:$E$25,0),FALSE)/HLOOKUP(2018,DEMANDS!$G$2:$CK$25,MATCH($E245,DEMANDS!$E$2:$E$25,0),FALSE)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I245" s="35">
        <f>HLOOKUP(REG_TRA_DEMANDS!I$3,'BY-Demands'!$J$5:$AK$14,MATCH($E245,'BY-Demands'!$I$5:$I$14,0),FALSE)*HLOOKUP(REG_TRA_DEMANDS!$F245,DEMANDS!$G$2:$CK$25,MATCH($E245,DEMANDS!$E$2:$E$25,0),FALSE)/HLOOKUP(2018,DEMANDS!$G$2:$CK$25,MATCH($E245,DEMANDS!$E$2:$E$25,0),FALSE)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J245" s="35">
        <f>HLOOKUP(REG_TRA_DEMANDS!J$3,'BY-Demands'!$J$5:$AK$14,MATCH($E245,'BY-Demands'!$I$5:$I$14,0),FALSE)*HLOOKUP(REG_TRA_DEMANDS!$F245,DEMANDS!$G$2:$CK$25,MATCH($E245,DEMANDS!$E$2:$E$25,0),FALSE)/HLOOKUP(2018,DEMANDS!$G$2:$CK$25,MATCH($E245,DEMANDS!$E$2:$E$25,0),FALSE)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K245" s="35">
        <f>HLOOKUP(REG_TRA_DEMANDS!K$3,'BY-Demands'!$J$5:$AK$14,MATCH($E245,'BY-Demands'!$I$5:$I$14,0),FALSE)*HLOOKUP(REG_TRA_DEMANDS!$F245,DEMANDS!$G$2:$CK$25,MATCH($E245,DEMANDS!$E$2:$E$25,0),FALSE)/HLOOKUP(2018,DEMANDS!$G$2:$CK$25,MATCH($E245,DEMANDS!$E$2:$E$25,0),FALSE)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L245" s="35">
        <f>HLOOKUP(REG_TRA_DEMANDS!L$3,'BY-Demands'!$J$5:$AK$14,MATCH($E245,'BY-Demands'!$I$5:$I$14,0),FALSE)*HLOOKUP(REG_TRA_DEMANDS!$F245,DEMANDS!$G$2:$CK$25,MATCH($E245,DEMANDS!$E$2:$E$25,0),FALSE)/HLOOKUP(2018,DEMANDS!$G$2:$CK$25,MATCH($E245,DEMANDS!$E$2:$E$25,0),FALSE)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M245" s="35">
        <f>HLOOKUP(REG_TRA_DEMANDS!M$3,'BY-Demands'!$J$5:$AK$14,MATCH($E245,'BY-Demands'!$I$5:$I$14,0),FALSE)*HLOOKUP(REG_TRA_DEMANDS!$F245,DEMANDS!$G$2:$CK$25,MATCH($E245,DEMANDS!$E$2:$E$25,0),FALSE)/HLOOKUP(2018,DEMANDS!$G$2:$CK$25,MATCH($E245,DEMANDS!$E$2:$E$25,0),FALSE)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N245" s="35">
        <f>HLOOKUP(REG_TRA_DEMANDS!N$3,'BY-Demands'!$J$5:$AK$14,MATCH($E245,'BY-Demands'!$I$5:$I$14,0),FALSE)*HLOOKUP(REG_TRA_DEMANDS!$F245,DEMANDS!$G$2:$CK$25,MATCH($E245,DEMANDS!$E$2:$E$25,0),FALSE)/HLOOKUP(2018,DEMANDS!$G$2:$CK$25,MATCH($E245,DEMANDS!$E$2:$E$25,0),FALSE)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O245" s="35">
        <f>HLOOKUP(REG_TRA_DEMANDS!O$3,'BY-Demands'!$J$5:$AK$14,MATCH($E245,'BY-Demands'!$I$5:$I$14,0),FALSE)*HLOOKUP(REG_TRA_DEMANDS!$F245,DEMANDS!$G$2:$CK$25,MATCH($E245,DEMANDS!$E$2:$E$25,0),FALSE)/HLOOKUP(2018,DEMANDS!$G$2:$CK$25,MATCH($E245,DEMANDS!$E$2:$E$25,0),FALSE)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P245" s="35">
        <f>HLOOKUP(REG_TRA_DEMANDS!P$3,'BY-Demands'!$J$5:$AK$14,MATCH($E245,'BY-Demands'!$I$5:$I$14,0),FALSE)*HLOOKUP(REG_TRA_DEMANDS!$F245,DEMANDS!$G$2:$CK$25,MATCH($E245,DEMANDS!$E$2:$E$25,0),FALSE)/HLOOKUP(2018,DEMANDS!$G$2:$CK$25,MATCH($E245,DEMANDS!$E$2:$E$25,0),FALSE)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Q245" s="35">
        <f>HLOOKUP(REG_TRA_DEMANDS!Q$3,'BY-Demands'!$J$5:$AK$14,MATCH($E245,'BY-Demands'!$I$5:$I$14,0),FALSE)*HLOOKUP(REG_TRA_DEMANDS!$F245,DEMANDS!$G$2:$CK$25,MATCH($E245,DEMANDS!$E$2:$E$25,0),FALSE)/HLOOKUP(2018,DEMANDS!$G$2:$CK$25,MATCH($E245,DEMANDS!$E$2:$E$25,0),FALSE)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R245" s="35">
        <f>HLOOKUP(REG_TRA_DEMANDS!R$3,'BY-Demands'!$J$5:$AK$14,MATCH($E245,'BY-Demands'!$I$5:$I$14,0),FALSE)*HLOOKUP(REG_TRA_DEMANDS!$F245,DEMANDS!$G$2:$CK$25,MATCH($E245,DEMANDS!$E$2:$E$25,0),FALSE)/HLOOKUP(2018,DEMANDS!$G$2:$CK$25,MATCH($E245,DEMANDS!$E$2:$E$25,0),FALSE)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S245" s="18">
        <f>HLOOKUP(REG_TRA_DEMANDS!S$3,'BY-Demands'!$J$5:$AK$14,MATCH($E245,'BY-Demands'!$I$5:$I$14,0),FALSE)*HLOOKUP(REG_TRA_DEMANDS!$F245,DEMANDS!$G$2:$CK$25,MATCH($E245,DEMANDS!$E$2:$E$25,0),FALSE)/HLOOKUP(2018,DEMANDS!$G$2:$CK$25,MATCH($E245,DEMANDS!$E$2:$E$25,0),FALSE)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T245" s="18">
        <f>HLOOKUP(REG_TRA_DEMANDS!T$3,'BY-Demands'!$J$5:$AK$14,MATCH($E245,'BY-Demands'!$I$5:$I$14,0),FALSE)*HLOOKUP(REG_TRA_DEMANDS!$F245,DEMANDS!$G$2:$CK$25,MATCH($E245,DEMANDS!$E$2:$E$25,0),FALSE)/HLOOKUP(2018,DEMANDS!$G$2:$CK$25,MATCH($E245,DEMANDS!$E$2:$E$25,0),FALSE)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U245" s="18">
        <f>HLOOKUP(REG_TRA_DEMANDS!U$3,'BY-Demands'!$J$5:$AK$14,MATCH($E245,'BY-Demands'!$I$5:$I$14,0),FALSE)*HLOOKUP(REG_TRA_DEMANDS!$F245,DEMANDS!$G$2:$CK$25,MATCH($E245,DEMANDS!$E$2:$E$25,0),FALSE)/HLOOKUP(2018,DEMANDS!$G$2:$CK$25,MATCH($E245,DEMANDS!$E$2:$E$25,0),FALSE)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V245">
        <f>HLOOKUP(REG_TRA_DEMANDS!V$3,'BY-Demands'!$J$5:$AK$14,MATCH($E245,'BY-Demands'!$I$5:$I$14,0),FALSE)*HLOOKUP(REG_TRA_DEMANDS!$F245,DEMANDS!$G$2:$CK$25,MATCH($E245,DEMANDS!$E$2:$E$25,0),FALSE)/HLOOKUP(2018,DEMANDS!$G$2:$CK$25,MATCH($E245,DEMANDS!$E$2:$E$25,0),FALSE)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W245">
        <f>HLOOKUP(REG_TRA_DEMANDS!W$3,'BY-Demands'!$J$5:$AK$14,MATCH($E245,'BY-Demands'!$I$5:$I$14,0),FALSE)*HLOOKUP(REG_TRA_DEMANDS!$F245,DEMANDS!$G$2:$CK$25,MATCH($E245,DEMANDS!$E$2:$E$25,0),FALSE)/HLOOKUP(2018,DEMANDS!$G$2:$CK$25,MATCH($E245,DEMANDS!$E$2:$E$25,0),FALSE)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X245">
        <f>HLOOKUP(REG_TRA_DEMANDS!X$3,'BY-Demands'!$J$5:$AK$14,MATCH($E245,'BY-Demands'!$I$5:$I$14,0),FALSE)*HLOOKUP(REG_TRA_DEMANDS!$F245,DEMANDS!$G$2:$CK$25,MATCH($E245,DEMANDS!$E$2:$E$25,0),FALSE)/HLOOKUP(2018,DEMANDS!$G$2:$CK$25,MATCH($E245,DEMANDS!$E$2:$E$25,0),FALSE)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Y245">
        <f>HLOOKUP(REG_TRA_DEMANDS!Y$3,'BY-Demands'!$J$5:$AK$14,MATCH($E245,'BY-Demands'!$I$5:$I$14,0),FALSE)*HLOOKUP(REG_TRA_DEMANDS!$F245,DEMANDS!$G$2:$CK$25,MATCH($E245,DEMANDS!$E$2:$E$25,0),FALSE)/HLOOKUP(2018,DEMANDS!$G$2:$CK$25,MATCH($E245,DEMANDS!$E$2:$E$25,0),FALSE)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Z245">
        <f>HLOOKUP(REG_TRA_DEMANDS!Z$3,'BY-Demands'!$J$5:$AK$14,MATCH($E245,'BY-Demands'!$I$5:$I$14,0),FALSE)*HLOOKUP(REG_TRA_DEMANDS!$F245,DEMANDS!$G$2:$CK$25,MATCH($E245,DEMANDS!$E$2:$E$25,0),FALSE)/HLOOKUP(2018,DEMANDS!$G$2:$CK$25,MATCH($E245,DEMANDS!$E$2:$E$25,0),FALSE)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AA245" s="18">
        <f>HLOOKUP(REG_TRA_DEMANDS!AA$3,'BY-Demands'!$J$5:$AK$14,MATCH($E245,'BY-Demands'!$I$5:$I$14,0),FALSE)*HLOOKUP(REG_TRA_DEMANDS!$F245,DEMANDS!$G$2:$CK$25,MATCH($E245,DEMANDS!$E$2:$E$25,0),FALSE)/HLOOKUP(2018,DEMANDS!$G$2:$CK$25,MATCH($E245,DEMANDS!$E$2:$E$25,0),FALSE)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AB245">
        <f>HLOOKUP(REG_TRA_DEMANDS!AB$3,'BY-Demands'!$J$5:$AK$14,MATCH($E245,'BY-Demands'!$I$5:$I$14,0),FALSE)*HLOOKUP(REG_TRA_DEMANDS!$F245,DEMANDS!$G$2:$CK$25,MATCH($E245,DEMANDS!$E$2:$E$25,0),FALSE)/HLOOKUP(2018,DEMANDS!$G$2:$CK$25,MATCH($E245,DEMANDS!$E$2:$E$25,0),FALSE)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AC245">
        <f>HLOOKUP(REG_TRA_DEMANDS!AC$3,'BY-Demands'!$J$5:$AK$14,MATCH($E245,'BY-Demands'!$I$5:$I$14,0),FALSE)*HLOOKUP(REG_TRA_DEMANDS!$F245,DEMANDS!$G$2:$CK$25,MATCH($E245,DEMANDS!$E$2:$E$25,0),FALSE)/HLOOKUP(2018,DEMANDS!$G$2:$CK$25,MATCH($E245,DEMANDS!$E$2:$E$25,0),FALSE)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AD245">
        <f>HLOOKUP(REG_TRA_DEMANDS!AD$3,'BY-Demands'!$J$5:$AK$14,MATCH($E245,'BY-Demands'!$I$5:$I$14,0),FALSE)*HLOOKUP(REG_TRA_DEMANDS!$F245,DEMANDS!$G$2:$CK$25,MATCH($E245,DEMANDS!$E$2:$E$25,0),FALSE)/HLOOKUP(2018,DEMANDS!$G$2:$CK$25,MATCH($E245,DEMANDS!$E$2:$E$25,0),FALSE)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AE245">
        <f>HLOOKUP(REG_TRA_DEMANDS!AE$3,'BY-Demands'!$J$5:$AK$14,MATCH($E245,'BY-Demands'!$I$5:$I$14,0),FALSE)*HLOOKUP(REG_TRA_DEMANDS!$F245,DEMANDS!$G$2:$CK$25,MATCH($E245,DEMANDS!$E$2:$E$25,0),FALSE)/HLOOKUP(2018,DEMANDS!$G$2:$CK$25,MATCH($E245,DEMANDS!$E$2:$E$25,0),FALSE)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AF245">
        <f>HLOOKUP(REG_TRA_DEMANDS!AF$3,'BY-Demands'!$J$5:$AK$14,MATCH($E245,'BY-Demands'!$I$5:$I$14,0),FALSE)*HLOOKUP(REG_TRA_DEMANDS!$F245,DEMANDS!$G$2:$CK$25,MATCH($E245,DEMANDS!$E$2:$E$25,0),FALSE)/HLOOKUP(2018,DEMANDS!$G$2:$CK$25,MATCH($E245,DEMANDS!$E$2:$E$25,0),FALSE)</f>
        <v>0</v>
      </c>
    </row>
    <row r="246" spans="4:32" ht="14.4">
      <c r="D246" s="16" t="s">
        <v>6</v>
      </c>
      <c r="E246" s="16" t="str">
        <f>DEMANDS!$E$25</f>
        <v>TAVIINT</v>
      </c>
      <c r="F246" s="16">
        <v>2070</v>
      </c>
      <c r="G246" s="16">
        <f>HLOOKUP(REG_TRA_DEMANDS!G$3,'BY-Demands'!$J$5:$AK$14,MATCH($E246,'BY-Demands'!$I$5:$I$14,0),FALSE)*HLOOKUP(REG_TRA_DEMANDS!$F246,DEMANDS!$G$2:$CK$25,MATCH($E246,DEMANDS!$E$2:$E$25,0),FALSE)/HLOOKUP(2018,DEMANDS!$G$2:$CK$25,MATCH($E246,DEMANDS!$E$2:$E$25,0),FALSE)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H246" s="17">
        <f>HLOOKUP(REG_TRA_DEMANDS!H$3,'BY-Demands'!$J$5:$AK$14,MATCH($E246,'BY-Demands'!$I$5:$I$14,0),FALSE)*HLOOKUP(REG_TRA_DEMANDS!$F246,DEMANDS!$G$2:$CK$25,MATCH($E246,DEMANDS!$E$2:$E$25,0),FALSE)/HLOOKUP(2018,DEMANDS!$G$2:$CK$25,MATCH($E246,DEMANDS!$E$2:$E$25,0),FALSE)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I246" s="36">
        <f>HLOOKUP(REG_TRA_DEMANDS!I$3,'BY-Demands'!$J$5:$AK$14,MATCH($E246,'BY-Demands'!$I$5:$I$14,0),FALSE)*HLOOKUP(REG_TRA_DEMANDS!$F246,DEMANDS!$G$2:$CK$25,MATCH($E246,DEMANDS!$E$2:$E$25,0),FALSE)/HLOOKUP(2018,DEMANDS!$G$2:$CK$25,MATCH($E246,DEMANDS!$E$2:$E$25,0),FALSE)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J246" s="36">
        <f>HLOOKUP(REG_TRA_DEMANDS!J$3,'BY-Demands'!$J$5:$AK$14,MATCH($E246,'BY-Demands'!$I$5:$I$14,0),FALSE)*HLOOKUP(REG_TRA_DEMANDS!$F246,DEMANDS!$G$2:$CK$25,MATCH($E246,DEMANDS!$E$2:$E$25,0),FALSE)/HLOOKUP(2018,DEMANDS!$G$2:$CK$25,MATCH($E246,DEMANDS!$E$2:$E$25,0),FALSE)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K246" s="36">
        <f>HLOOKUP(REG_TRA_DEMANDS!K$3,'BY-Demands'!$J$5:$AK$14,MATCH($E246,'BY-Demands'!$I$5:$I$14,0),FALSE)*HLOOKUP(REG_TRA_DEMANDS!$F246,DEMANDS!$G$2:$CK$25,MATCH($E246,DEMANDS!$E$2:$E$25,0),FALSE)/HLOOKUP(2018,DEMANDS!$G$2:$CK$25,MATCH($E246,DEMANDS!$E$2:$E$25,0),FALSE)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L246" s="36">
        <f>HLOOKUP(REG_TRA_DEMANDS!L$3,'BY-Demands'!$J$5:$AK$14,MATCH($E246,'BY-Demands'!$I$5:$I$14,0),FALSE)*HLOOKUP(REG_TRA_DEMANDS!$F246,DEMANDS!$G$2:$CK$25,MATCH($E246,DEMANDS!$E$2:$E$25,0),FALSE)/HLOOKUP(2018,DEMANDS!$G$2:$CK$25,MATCH($E246,DEMANDS!$E$2:$E$25,0),FALSE)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M246" s="36">
        <f>HLOOKUP(REG_TRA_DEMANDS!M$3,'BY-Demands'!$J$5:$AK$14,MATCH($E246,'BY-Demands'!$I$5:$I$14,0),FALSE)*HLOOKUP(REG_TRA_DEMANDS!$F246,DEMANDS!$G$2:$CK$25,MATCH($E246,DEMANDS!$E$2:$E$25,0),FALSE)/HLOOKUP(2018,DEMANDS!$G$2:$CK$25,MATCH($E246,DEMANDS!$E$2:$E$25,0),FALSE)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N246" s="36">
        <f>HLOOKUP(REG_TRA_DEMANDS!N$3,'BY-Demands'!$J$5:$AK$14,MATCH($E246,'BY-Demands'!$I$5:$I$14,0),FALSE)*HLOOKUP(REG_TRA_DEMANDS!$F246,DEMANDS!$G$2:$CK$25,MATCH($E246,DEMANDS!$E$2:$E$25,0),FALSE)/HLOOKUP(2018,DEMANDS!$G$2:$CK$25,MATCH($E246,DEMANDS!$E$2:$E$25,0),FALSE)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O246" s="36">
        <f>HLOOKUP(REG_TRA_DEMANDS!O$3,'BY-Demands'!$J$5:$AK$14,MATCH($E246,'BY-Demands'!$I$5:$I$14,0),FALSE)*HLOOKUP(REG_TRA_DEMANDS!$F246,DEMANDS!$G$2:$CK$25,MATCH($E246,DEMANDS!$E$2:$E$25,0),FALSE)/HLOOKUP(2018,DEMANDS!$G$2:$CK$25,MATCH($E246,DEMANDS!$E$2:$E$25,0),FALSE)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P246" s="36">
        <f>HLOOKUP(REG_TRA_DEMANDS!P$3,'BY-Demands'!$J$5:$AK$14,MATCH($E246,'BY-Demands'!$I$5:$I$14,0),FALSE)*HLOOKUP(REG_TRA_DEMANDS!$F246,DEMANDS!$G$2:$CK$25,MATCH($E246,DEMANDS!$E$2:$E$25,0),FALSE)/HLOOKUP(2018,DEMANDS!$G$2:$CK$25,MATCH($E246,DEMANDS!$E$2:$E$25,0),FALSE)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Q246" s="36">
        <f>HLOOKUP(REG_TRA_DEMANDS!Q$3,'BY-Demands'!$J$5:$AK$14,MATCH($E246,'BY-Demands'!$I$5:$I$14,0),FALSE)*HLOOKUP(REG_TRA_DEMANDS!$F246,DEMANDS!$G$2:$CK$25,MATCH($E246,DEMANDS!$E$2:$E$25,0),FALSE)/HLOOKUP(2018,DEMANDS!$G$2:$CK$25,MATCH($E246,DEMANDS!$E$2:$E$25,0),FALSE)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R246" s="36">
        <f>HLOOKUP(REG_TRA_DEMANDS!R$3,'BY-Demands'!$J$5:$AK$14,MATCH($E246,'BY-Demands'!$I$5:$I$14,0),FALSE)*HLOOKUP(REG_TRA_DEMANDS!$F246,DEMANDS!$G$2:$CK$25,MATCH($E246,DEMANDS!$E$2:$E$25,0),FALSE)/HLOOKUP(2018,DEMANDS!$G$2:$CK$25,MATCH($E246,DEMANDS!$E$2:$E$25,0),FALSE)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S246" s="17">
        <f>HLOOKUP(REG_TRA_DEMANDS!S$3,'BY-Demands'!$J$5:$AK$14,MATCH($E246,'BY-Demands'!$I$5:$I$14,0),FALSE)*HLOOKUP(REG_TRA_DEMANDS!$F246,DEMANDS!$G$2:$CK$25,MATCH($E246,DEMANDS!$E$2:$E$25,0),FALSE)/HLOOKUP(2018,DEMANDS!$G$2:$CK$25,MATCH($E246,DEMANDS!$E$2:$E$25,0),FALSE)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T246" s="17">
        <f>HLOOKUP(REG_TRA_DEMANDS!T$3,'BY-Demands'!$J$5:$AK$14,MATCH($E246,'BY-Demands'!$I$5:$I$14,0),FALSE)*HLOOKUP(REG_TRA_DEMANDS!$F246,DEMANDS!$G$2:$CK$25,MATCH($E246,DEMANDS!$E$2:$E$25,0),FALSE)/HLOOKUP(2018,DEMANDS!$G$2:$CK$25,MATCH($E246,DEMANDS!$E$2:$E$25,0),FALSE)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U246" s="17">
        <f>HLOOKUP(REG_TRA_DEMANDS!U$3,'BY-Demands'!$J$5:$AK$14,MATCH($E246,'BY-Demands'!$I$5:$I$14,0),FALSE)*HLOOKUP(REG_TRA_DEMANDS!$F246,DEMANDS!$G$2:$CK$25,MATCH($E246,DEMANDS!$E$2:$E$25,0),FALSE)/HLOOKUP(2018,DEMANDS!$G$2:$CK$25,MATCH($E246,DEMANDS!$E$2:$E$25,0),FALSE)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V246" s="16">
        <f>HLOOKUP(REG_TRA_DEMANDS!V$3,'BY-Demands'!$J$5:$AK$14,MATCH($E246,'BY-Demands'!$I$5:$I$14,0),FALSE)*HLOOKUP(REG_TRA_DEMANDS!$F246,DEMANDS!$G$2:$CK$25,MATCH($E246,DEMANDS!$E$2:$E$25,0),FALSE)/HLOOKUP(2018,DEMANDS!$G$2:$CK$25,MATCH($E246,DEMANDS!$E$2:$E$25,0),FALSE)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W246" s="16">
        <f>HLOOKUP(REG_TRA_DEMANDS!W$3,'BY-Demands'!$J$5:$AK$14,MATCH($E246,'BY-Demands'!$I$5:$I$14,0),FALSE)*HLOOKUP(REG_TRA_DEMANDS!$F246,DEMANDS!$G$2:$CK$25,MATCH($E246,DEMANDS!$E$2:$E$25,0),FALSE)/HLOOKUP(2018,DEMANDS!$G$2:$CK$25,MATCH($E246,DEMANDS!$E$2:$E$25,0),FALSE)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X246" s="16">
        <f>HLOOKUP(REG_TRA_DEMANDS!X$3,'BY-Demands'!$J$5:$AK$14,MATCH($E246,'BY-Demands'!$I$5:$I$14,0),FALSE)*HLOOKUP(REG_TRA_DEMANDS!$F246,DEMANDS!$G$2:$CK$25,MATCH($E246,DEMANDS!$E$2:$E$25,0),FALSE)/HLOOKUP(2018,DEMANDS!$G$2:$CK$25,MATCH($E246,DEMANDS!$E$2:$E$25,0),FALSE)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Y246" s="16">
        <f>HLOOKUP(REG_TRA_DEMANDS!Y$3,'BY-Demands'!$J$5:$AK$14,MATCH($E246,'BY-Demands'!$I$5:$I$14,0),FALSE)*HLOOKUP(REG_TRA_DEMANDS!$F246,DEMANDS!$G$2:$CK$25,MATCH($E246,DEMANDS!$E$2:$E$25,0),FALSE)/HLOOKUP(2018,DEMANDS!$G$2:$CK$25,MATCH($E246,DEMANDS!$E$2:$E$25,0),FALSE)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Z246" s="16">
        <f>HLOOKUP(REG_TRA_DEMANDS!Z$3,'BY-Demands'!$J$5:$AK$14,MATCH($E246,'BY-Demands'!$I$5:$I$14,0),FALSE)*HLOOKUP(REG_TRA_DEMANDS!$F246,DEMANDS!$G$2:$CK$25,MATCH($E246,DEMANDS!$E$2:$E$25,0),FALSE)/HLOOKUP(2018,DEMANDS!$G$2:$CK$25,MATCH($E246,DEMANDS!$E$2:$E$25,0),FALSE)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AA246" s="17">
        <f>HLOOKUP(REG_TRA_DEMANDS!AA$3,'BY-Demands'!$J$5:$AK$14,MATCH($E246,'BY-Demands'!$I$5:$I$14,0),FALSE)*HLOOKUP(REG_TRA_DEMANDS!$F246,DEMANDS!$G$2:$CK$25,MATCH($E246,DEMANDS!$E$2:$E$25,0),FALSE)/HLOOKUP(2018,DEMANDS!$G$2:$CK$25,MATCH($E246,DEMANDS!$E$2:$E$25,0),FALSE)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AB246" s="16">
        <f>HLOOKUP(REG_TRA_DEMANDS!AB$3,'BY-Demands'!$J$5:$AK$14,MATCH($E246,'BY-Demands'!$I$5:$I$14,0),FALSE)*HLOOKUP(REG_TRA_DEMANDS!$F246,DEMANDS!$G$2:$CK$25,MATCH($E246,DEMANDS!$E$2:$E$25,0),FALSE)/HLOOKUP(2018,DEMANDS!$G$2:$CK$25,MATCH($E246,DEMANDS!$E$2:$E$25,0),FALSE)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AC246" s="16">
        <f>HLOOKUP(REG_TRA_DEMANDS!AC$3,'BY-Demands'!$J$5:$AK$14,MATCH($E246,'BY-Demands'!$I$5:$I$14,0),FALSE)*HLOOKUP(REG_TRA_DEMANDS!$F246,DEMANDS!$G$2:$CK$25,MATCH($E246,DEMANDS!$E$2:$E$25,0),FALSE)/HLOOKUP(2018,DEMANDS!$G$2:$CK$25,MATCH($E246,DEMANDS!$E$2:$E$25,0),FALSE)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AD246" s="16">
        <f>HLOOKUP(REG_TRA_DEMANDS!AD$3,'BY-Demands'!$J$5:$AK$14,MATCH($E246,'BY-Demands'!$I$5:$I$14,0),FALSE)*HLOOKUP(REG_TRA_DEMANDS!$F246,DEMANDS!$G$2:$CK$25,MATCH($E246,DEMANDS!$E$2:$E$25,0),FALSE)/HLOOKUP(2018,DEMANDS!$G$2:$CK$25,MATCH($E246,DEMANDS!$E$2:$E$25,0),FALSE)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AE246" s="16">
        <f>HLOOKUP(REG_TRA_DEMANDS!AE$3,'BY-Demands'!$J$5:$AK$14,MATCH($E246,'BY-Demands'!$I$5:$I$14,0),FALSE)*HLOOKUP(REG_TRA_DEMANDS!$F246,DEMANDS!$G$2:$CK$25,MATCH($E246,DEMANDS!$E$2:$E$25,0),FALSE)/HLOOKUP(2018,DEMANDS!$G$2:$CK$25,MATCH($E246,DEMANDS!$E$2:$E$25,0),FALSE)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AF246" s="16">
        <f>HLOOKUP(REG_TRA_DEMANDS!AF$3,'BY-Demands'!$J$5:$AK$14,MATCH($E246,'BY-Demands'!$I$5:$I$14,0),FALSE)*HLOOKUP(REG_TRA_DEMANDS!$F246,DEMANDS!$G$2:$CK$25,MATCH($E246,DEMANDS!$E$2:$E$25,0),FALSE)/HLOOKUP(2018,DEMANDS!$G$2:$CK$25,MATCH($E246,DEMANDS!$E$2:$E$25,0),FALSE)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B1:CK139"/>
  <sheetViews>
    <sheetView tabSelected="1" zoomScale="85" zoomScaleNormal="85" workbookViewId="0" topLeftCell="AL1">
      <selection pane="topLeft" activeCell="BC26" sqref="N26:BC28"/>
    </sheetView>
  </sheetViews>
  <sheetFormatPr defaultRowHeight="14.4"/>
  <cols>
    <col min="2" max="2" width="9.57142857142857" customWidth="1"/>
    <col min="3" max="4" width="10.7142857142857" bestFit="1" customWidth="1"/>
    <col min="5" max="5" width="11.4285714285714" bestFit="1" customWidth="1"/>
    <col min="6" max="6" width="48.5714285714286" bestFit="1" customWidth="1"/>
    <col min="7" max="89" width="8.71428571428571" customWidth="1"/>
  </cols>
  <sheetData>
    <row r="1" spans="2:10" ht="14.4">
      <c r="B1" t="s">
        <v>0</v>
      </c>
      <c r="C1" t="s">
        <v>1</v>
      </c>
      <c r="G1" s="32"/>
      <c r="H1" s="32"/>
      <c r="I1" s="32"/>
      <c r="J1" s="32"/>
    </row>
    <row r="2" spans="2:89" ht="15" thickBot="1">
      <c r="B2" s="53" t="s">
        <v>2</v>
      </c>
      <c r="C2" s="53" t="s">
        <v>3</v>
      </c>
      <c r="D2" s="53" t="s">
        <v>4</v>
      </c>
      <c r="E2" s="53" t="s">
        <v>5</v>
      </c>
      <c r="F2" s="53" t="s">
        <v>59</v>
      </c>
      <c r="G2" s="53">
        <v>2018</v>
      </c>
      <c r="H2" s="53">
        <v>2019</v>
      </c>
      <c r="I2" s="53">
        <v>2020</v>
      </c>
      <c r="J2" s="53">
        <v>2021</v>
      </c>
      <c r="K2" s="53">
        <v>2022</v>
      </c>
      <c r="L2" s="53">
        <v>2023</v>
      </c>
      <c r="M2" s="53">
        <v>2024</v>
      </c>
      <c r="N2" s="53">
        <v>2025</v>
      </c>
      <c r="O2" s="53">
        <v>2026</v>
      </c>
      <c r="P2" s="53">
        <v>2027</v>
      </c>
      <c r="Q2" s="53">
        <v>2028</v>
      </c>
      <c r="R2" s="53">
        <v>2029</v>
      </c>
      <c r="S2" s="53">
        <v>2030</v>
      </c>
      <c r="T2" s="53">
        <v>2031</v>
      </c>
      <c r="U2" s="53">
        <v>2032</v>
      </c>
      <c r="V2" s="53">
        <v>2033</v>
      </c>
      <c r="W2" s="53">
        <v>2034</v>
      </c>
      <c r="X2" s="53">
        <v>2035</v>
      </c>
      <c r="Y2" s="53">
        <v>2036</v>
      </c>
      <c r="Z2" s="53">
        <v>2037</v>
      </c>
      <c r="AA2" s="53">
        <v>2038</v>
      </c>
      <c r="AB2" s="53">
        <v>2039</v>
      </c>
      <c r="AC2" s="53">
        <v>2040</v>
      </c>
      <c r="AD2" s="53">
        <v>2041</v>
      </c>
      <c r="AE2" s="53">
        <v>2042</v>
      </c>
      <c r="AF2" s="53">
        <v>2043</v>
      </c>
      <c r="AG2" s="53">
        <v>2044</v>
      </c>
      <c r="AH2" s="53">
        <v>2045</v>
      </c>
      <c r="AI2" s="53">
        <v>2046</v>
      </c>
      <c r="AJ2" s="53">
        <v>2047</v>
      </c>
      <c r="AK2" s="53">
        <v>2048</v>
      </c>
      <c r="AL2" s="53">
        <v>2049</v>
      </c>
      <c r="AM2" s="53">
        <v>2050</v>
      </c>
      <c r="AN2" s="53">
        <v>2051</v>
      </c>
      <c r="AO2" s="53">
        <v>2052</v>
      </c>
      <c r="AP2" s="53">
        <v>2053</v>
      </c>
      <c r="AQ2" s="53">
        <v>2054</v>
      </c>
      <c r="AR2" s="53">
        <v>2055</v>
      </c>
      <c r="AS2" s="53">
        <v>2056</v>
      </c>
      <c r="AT2" s="53">
        <v>2057</v>
      </c>
      <c r="AU2" s="53">
        <v>2058</v>
      </c>
      <c r="AV2" s="53">
        <v>2059</v>
      </c>
      <c r="AW2" s="53">
        <v>2060</v>
      </c>
      <c r="AX2" s="53">
        <v>2061</v>
      </c>
      <c r="AY2" s="53">
        <v>2062</v>
      </c>
      <c r="AZ2" s="53">
        <v>2063</v>
      </c>
      <c r="BA2" s="53">
        <v>2064</v>
      </c>
      <c r="BB2" s="53">
        <v>2065</v>
      </c>
      <c r="BC2" s="53">
        <v>2066</v>
      </c>
      <c r="BD2" s="53">
        <v>2067</v>
      </c>
      <c r="BE2" s="53">
        <v>2068</v>
      </c>
      <c r="BF2" s="53">
        <v>2069</v>
      </c>
      <c r="BG2" s="53">
        <v>2070</v>
      </c>
      <c r="BH2" s="53">
        <v>2071</v>
      </c>
      <c r="BI2" s="53">
        <v>2072</v>
      </c>
      <c r="BJ2" s="53">
        <v>2073</v>
      </c>
      <c r="BK2" s="53">
        <v>2074</v>
      </c>
      <c r="BL2" s="53">
        <v>2075</v>
      </c>
      <c r="BM2" s="53">
        <v>2076</v>
      </c>
      <c r="BN2" s="53">
        <v>2077</v>
      </c>
      <c r="BO2" s="53">
        <v>2078</v>
      </c>
      <c r="BP2" s="53">
        <v>2079</v>
      </c>
      <c r="BQ2" s="53">
        <v>2080</v>
      </c>
      <c r="BR2" s="53">
        <v>2081</v>
      </c>
      <c r="BS2" s="53">
        <v>2082</v>
      </c>
      <c r="BT2" s="53">
        <v>2083</v>
      </c>
      <c r="BU2" s="53">
        <v>2084</v>
      </c>
      <c r="BV2" s="53">
        <v>2085</v>
      </c>
      <c r="BW2" s="53">
        <v>2086</v>
      </c>
      <c r="BX2" s="53">
        <v>2087</v>
      </c>
      <c r="BY2" s="53">
        <v>2088</v>
      </c>
      <c r="BZ2" s="53">
        <v>2089</v>
      </c>
      <c r="CA2" s="53">
        <v>2090</v>
      </c>
      <c r="CB2" s="53">
        <v>2091</v>
      </c>
      <c r="CC2" s="53">
        <v>2092</v>
      </c>
      <c r="CD2" s="53">
        <v>2093</v>
      </c>
      <c r="CE2" s="53">
        <v>2094</v>
      </c>
      <c r="CF2" s="53">
        <v>2095</v>
      </c>
      <c r="CG2" s="53">
        <v>2096</v>
      </c>
      <c r="CH2" s="53">
        <v>2097</v>
      </c>
      <c r="CI2" s="53">
        <v>2098</v>
      </c>
      <c r="CJ2" s="53">
        <v>2099</v>
      </c>
      <c r="CK2" s="53">
        <v>2100</v>
      </c>
    </row>
    <row r="3" spans="3:89" ht="14.4">
      <c r="C3" t="s">
        <v>6</v>
      </c>
      <c r="D3" t="str">
        <f>_xlfn.TEXTJOIN(",",TRUE,Regions!$C$3,Regions!$D$3)</f>
        <v>IE,National</v>
      </c>
      <c r="E3" t="s">
        <v>211</v>
      </c>
      <c r="F3" s="34"/>
      <c r="G3" s="51">
        <f>+K58</f>
        <v>10.4</v>
      </c>
      <c r="H3" s="52">
        <f t="shared" si="0" ref="H3:H16">+G3</f>
        <v>10.4</v>
      </c>
      <c r="I3" s="52">
        <f t="shared" si="1" ref="I3:BT3">+H3</f>
        <v>10.4</v>
      </c>
      <c r="J3" s="52">
        <f t="shared" si="1"/>
        <v>10.4</v>
      </c>
      <c r="K3" s="52">
        <f>+J3*1.03</f>
        <v>10.712000000000002</v>
      </c>
      <c r="L3" s="52">
        <f>+$G3*S$78/$N78</f>
        <v>10.40620961334899</v>
      </c>
      <c r="M3" s="52">
        <f t="shared" si="2" ref="M3:AM3">+$G3*T$78/$N78</f>
        <v>10.817833634423922</v>
      </c>
      <c r="N3" s="52">
        <f>+$G3*U$78/$N78</f>
        <v>11.245739696801246</v>
      </c>
      <c r="O3" s="52">
        <f t="shared" si="2"/>
        <v>11.690571846638132</v>
      </c>
      <c r="P3" s="52">
        <f t="shared" si="2"/>
        <v>11.692322286773708</v>
      </c>
      <c r="Q3" s="52">
        <f t="shared" si="2"/>
        <v>11.694072989004301</v>
      </c>
      <c r="R3" s="52">
        <f t="shared" si="2"/>
        <v>11.69582395336916</v>
      </c>
      <c r="S3" s="52">
        <f t="shared" si="2"/>
        <v>11.697575179907535</v>
      </c>
      <c r="T3" s="52">
        <f t="shared" si="2"/>
        <v>11.699326668658676</v>
      </c>
      <c r="U3" s="52">
        <f t="shared" si="2"/>
        <v>11.802889918367837</v>
      </c>
      <c r="V3" s="52">
        <f t="shared" si="2"/>
        <v>11.907369917133938</v>
      </c>
      <c r="W3" s="52">
        <f t="shared" si="2"/>
        <v>12.012774780083102</v>
      </c>
      <c r="X3" s="52">
        <f t="shared" si="2"/>
        <v>12.119112694177117</v>
      </c>
      <c r="Y3" s="52">
        <f t="shared" si="2"/>
        <v>12.226391918849322</v>
      </c>
      <c r="Z3" s="52">
        <f t="shared" si="2"/>
        <v>12.308401113746877</v>
      </c>
      <c r="AA3" s="52">
        <f t="shared" si="2"/>
        <v>12.390960389820659</v>
      </c>
      <c r="AB3" s="52">
        <f t="shared" si="2"/>
        <v>12.474073436770356</v>
      </c>
      <c r="AC3" s="52">
        <f t="shared" si="2"/>
        <v>12.557743969044507</v>
      </c>
      <c r="AD3" s="52">
        <f t="shared" si="2"/>
        <v>12.641975726006534</v>
      </c>
      <c r="AE3" s="52">
        <f t="shared" si="2"/>
        <v>12.708121792971733</v>
      </c>
      <c r="AF3" s="52">
        <f t="shared" si="2"/>
        <v>12.774613953163959</v>
      </c>
      <c r="AG3" s="52">
        <f t="shared" si="2"/>
        <v>12.841454017431943</v>
      </c>
      <c r="AH3" s="52">
        <f t="shared" si="2"/>
        <v>12.908643806099251</v>
      </c>
      <c r="AI3" s="52">
        <f t="shared" si="2"/>
        <v>12.976185149013844</v>
      </c>
      <c r="AJ3" s="52">
        <f t="shared" si="2"/>
        <v>13.044284181769072</v>
      </c>
      <c r="AK3" s="52">
        <f t="shared" si="2"/>
        <v>13.112740598316913</v>
      </c>
      <c r="AL3" s="52">
        <f t="shared" si="2"/>
        <v>13.181556274207868</v>
      </c>
      <c r="AM3" s="52">
        <f t="shared" si="2"/>
        <v>13.250733094835338</v>
      </c>
      <c r="AN3" s="52">
        <f t="shared" si="1"/>
        <v>13.250733094835338</v>
      </c>
      <c r="AO3" s="52">
        <f t="shared" si="1"/>
        <v>13.250733094835338</v>
      </c>
      <c r="AP3" s="52">
        <f t="shared" si="1"/>
        <v>13.250733094835338</v>
      </c>
      <c r="AQ3" s="52">
        <f t="shared" si="1"/>
        <v>13.250733094835338</v>
      </c>
      <c r="AR3" s="52">
        <f t="shared" si="1"/>
        <v>13.250733094835338</v>
      </c>
      <c r="AS3" s="52">
        <f t="shared" si="1"/>
        <v>13.250733094835338</v>
      </c>
      <c r="AT3" s="52">
        <f t="shared" si="1"/>
        <v>13.250733094835338</v>
      </c>
      <c r="AU3" s="52">
        <f t="shared" si="1"/>
        <v>13.250733094835338</v>
      </c>
      <c r="AV3" s="52">
        <f t="shared" si="1"/>
        <v>13.250733094835338</v>
      </c>
      <c r="AW3" s="52">
        <f t="shared" si="1"/>
        <v>13.250733094835338</v>
      </c>
      <c r="AX3" s="52">
        <f t="shared" si="1"/>
        <v>13.250733094835338</v>
      </c>
      <c r="AY3" s="52">
        <f t="shared" si="1"/>
        <v>13.250733094835338</v>
      </c>
      <c r="AZ3" s="52">
        <f t="shared" si="1"/>
        <v>13.250733094835338</v>
      </c>
      <c r="BA3" s="52">
        <f t="shared" si="1"/>
        <v>13.250733094835338</v>
      </c>
      <c r="BB3" s="52">
        <f t="shared" si="1"/>
        <v>13.250733094835338</v>
      </c>
      <c r="BC3" s="52">
        <f t="shared" si="1"/>
        <v>13.250733094835338</v>
      </c>
      <c r="BD3" s="52">
        <f t="shared" si="1"/>
        <v>13.250733094835338</v>
      </c>
      <c r="BE3" s="52">
        <f t="shared" si="1"/>
        <v>13.250733094835338</v>
      </c>
      <c r="BF3" s="52">
        <f t="shared" si="1"/>
        <v>13.250733094835338</v>
      </c>
      <c r="BG3" s="52">
        <f t="shared" si="1"/>
        <v>13.250733094835338</v>
      </c>
      <c r="BH3" s="52">
        <f t="shared" si="1"/>
        <v>13.250733094835338</v>
      </c>
      <c r="BI3" s="52">
        <f t="shared" si="1"/>
        <v>13.250733094835338</v>
      </c>
      <c r="BJ3" s="52">
        <f t="shared" si="1"/>
        <v>13.250733094835338</v>
      </c>
      <c r="BK3" s="52">
        <f t="shared" si="1"/>
        <v>13.250733094835338</v>
      </c>
      <c r="BL3" s="52">
        <f t="shared" si="1"/>
        <v>13.250733094835338</v>
      </c>
      <c r="BM3" s="52">
        <f t="shared" si="1"/>
        <v>13.250733094835338</v>
      </c>
      <c r="BN3" s="52">
        <f t="shared" si="1"/>
        <v>13.250733094835338</v>
      </c>
      <c r="BO3" s="52">
        <f t="shared" si="1"/>
        <v>13.250733094835338</v>
      </c>
      <c r="BP3" s="52">
        <f t="shared" si="1"/>
        <v>13.250733094835338</v>
      </c>
      <c r="BQ3" s="52">
        <f t="shared" si="1"/>
        <v>13.250733094835338</v>
      </c>
      <c r="BR3" s="52">
        <f t="shared" si="1"/>
        <v>13.250733094835338</v>
      </c>
      <c r="BS3" s="52">
        <f t="shared" si="1"/>
        <v>13.250733094835338</v>
      </c>
      <c r="BT3" s="52">
        <f t="shared" si="1"/>
        <v>13.250733094835338</v>
      </c>
      <c r="BU3" s="52">
        <f t="shared" si="3" ref="BU3:CK3">+BT3</f>
        <v>13.250733094835338</v>
      </c>
      <c r="BV3" s="52">
        <f t="shared" si="3"/>
        <v>13.250733094835338</v>
      </c>
      <c r="BW3" s="52">
        <f t="shared" si="3"/>
        <v>13.250733094835338</v>
      </c>
      <c r="BX3" s="52">
        <f t="shared" si="3"/>
        <v>13.250733094835338</v>
      </c>
      <c r="BY3" s="52">
        <f t="shared" si="3"/>
        <v>13.250733094835338</v>
      </c>
      <c r="BZ3" s="52">
        <f t="shared" si="3"/>
        <v>13.250733094835338</v>
      </c>
      <c r="CA3" s="52">
        <f t="shared" si="3"/>
        <v>13.250733094835338</v>
      </c>
      <c r="CB3" s="52">
        <f t="shared" si="3"/>
        <v>13.250733094835338</v>
      </c>
      <c r="CC3" s="52">
        <f t="shared" si="3"/>
        <v>13.250733094835338</v>
      </c>
      <c r="CD3" s="52">
        <f t="shared" si="3"/>
        <v>13.250733094835338</v>
      </c>
      <c r="CE3" s="52">
        <f t="shared" si="3"/>
        <v>13.250733094835338</v>
      </c>
      <c r="CF3" s="52">
        <f t="shared" si="3"/>
        <v>13.250733094835338</v>
      </c>
      <c r="CG3" s="52">
        <f t="shared" si="3"/>
        <v>13.250733094835338</v>
      </c>
      <c r="CH3" s="52">
        <f t="shared" si="3"/>
        <v>13.250733094835338</v>
      </c>
      <c r="CI3" s="52">
        <f t="shared" si="3"/>
        <v>13.250733094835338</v>
      </c>
      <c r="CJ3" s="52">
        <f t="shared" si="3"/>
        <v>13.250733094835338</v>
      </c>
      <c r="CK3" s="52">
        <f t="shared" si="3"/>
        <v>13.250733094835338</v>
      </c>
    </row>
    <row r="4" spans="3:89" ht="14.4">
      <c r="C4" t="s">
        <v>6</v>
      </c>
      <c r="D4" t="str">
        <f>_xlfn.TEXTJOIN(",",TRUE,Regions!$C$3,Regions!$D$3)</f>
        <v>IE,National</v>
      </c>
      <c r="E4" t="s">
        <v>17</v>
      </c>
      <c r="F4" s="34"/>
      <c r="G4" s="51">
        <f t="shared" si="4" ref="G4:G12">+K59</f>
        <v>5.7000000000000002</v>
      </c>
      <c r="H4" s="52">
        <f t="shared" si="0"/>
        <v>5.7000000000000002</v>
      </c>
      <c r="I4" s="52">
        <f t="shared" si="5" ref="I4:BT4">+H4</f>
        <v>5.7000000000000002</v>
      </c>
      <c r="J4" s="52">
        <f t="shared" si="5"/>
        <v>5.7000000000000002</v>
      </c>
      <c r="K4" s="52">
        <f t="shared" si="6" ref="K4:K12">+J4*1.03</f>
        <v>5.8710000000000004</v>
      </c>
      <c r="L4" s="52">
        <f>+$G4*S$76/$N76</f>
        <v>6.3936770363908364</v>
      </c>
      <c r="M4" s="52">
        <f t="shared" si="7" ref="M4:AM4">+$G4*T$76/$N76</f>
        <v>6.4323970473592711</v>
      </c>
      <c r="N4" s="52">
        <f>+$G4*U$76/$N76</f>
        <v>6.4720732436360979</v>
      </c>
      <c r="O4" s="52">
        <f t="shared" si="7"/>
        <v>6.5127292515744379</v>
      </c>
      <c r="P4" s="52">
        <f t="shared" si="7"/>
        <v>6.5543892802450445</v>
      </c>
      <c r="Q4" s="52">
        <f t="shared" si="7"/>
        <v>6.5970781349621905</v>
      </c>
      <c r="R4" s="52">
        <f t="shared" si="7"/>
        <v>6.6408212331282721</v>
      </c>
      <c r="S4" s="52">
        <f t="shared" si="7"/>
        <v>6.6856446205101383</v>
      </c>
      <c r="T4" s="52">
        <f t="shared" si="7"/>
        <v>6.7315553927410718</v>
      </c>
      <c r="U4" s="52">
        <f t="shared" si="7"/>
        <v>6.7786028760099821</v>
      </c>
      <c r="V4" s="52">
        <f t="shared" si="7"/>
        <v>6.8268153740694038</v>
      </c>
      <c r="W4" s="52">
        <f t="shared" si="7"/>
        <v>6.8762219074585138</v>
      </c>
      <c r="X4" s="52">
        <f t="shared" si="7"/>
        <v>6.9268522297274915</v>
      </c>
      <c r="Y4" s="52">
        <f t="shared" si="7"/>
        <v>6.9787368503318046</v>
      </c>
      <c r="Z4" s="52">
        <f t="shared" si="7"/>
        <v>7.0319070549356111</v>
      </c>
      <c r="AA4" s="52">
        <f t="shared" si="7"/>
        <v>7.086394926707591</v>
      </c>
      <c r="AB4" s="52">
        <f t="shared" si="7"/>
        <v>7.1422333676447209</v>
      </c>
      <c r="AC4" s="52">
        <f t="shared" si="7"/>
        <v>7.1994561234297123</v>
      </c>
      <c r="AD4" s="52">
        <f t="shared" si="7"/>
        <v>7.2580978070794231</v>
      </c>
      <c r="AE4" s="52">
        <f t="shared" si="7"/>
        <v>7.3181939217597893</v>
      </c>
      <c r="AF4" s="52">
        <f t="shared" si="7"/>
        <v>7.3797808895858914</v>
      </c>
      <c r="AG4" s="52">
        <f t="shared" si="7"/>
        <v>7.4428960762258862</v>
      </c>
      <c r="AH4" s="52">
        <f t="shared" si="7"/>
        <v>7.5075778193169356</v>
      </c>
      <c r="AI4" s="52">
        <f t="shared" si="7"/>
        <v>7.5738654578562672</v>
      </c>
      <c r="AJ4" s="52">
        <f t="shared" si="7"/>
        <v>7.6417993599582958</v>
      </c>
      <c r="AK4" s="52">
        <f t="shared" si="7"/>
        <v>7.7114209578082695</v>
      </c>
      <c r="AL4" s="52">
        <f t="shared" si="7"/>
        <v>7.7827727770258717</v>
      </c>
      <c r="AM4" s="52">
        <f t="shared" si="7"/>
        <v>7.8558984718299651</v>
      </c>
      <c r="AN4" s="52">
        <f t="shared" si="5"/>
        <v>7.8558984718299651</v>
      </c>
      <c r="AO4" s="52">
        <f t="shared" si="5"/>
        <v>7.8558984718299651</v>
      </c>
      <c r="AP4" s="52">
        <f t="shared" si="5"/>
        <v>7.8558984718299651</v>
      </c>
      <c r="AQ4" s="52">
        <f t="shared" si="5"/>
        <v>7.8558984718299651</v>
      </c>
      <c r="AR4" s="52">
        <f t="shared" si="5"/>
        <v>7.8558984718299651</v>
      </c>
      <c r="AS4" s="52">
        <f t="shared" si="5"/>
        <v>7.8558984718299651</v>
      </c>
      <c r="AT4" s="52">
        <f t="shared" si="5"/>
        <v>7.8558984718299651</v>
      </c>
      <c r="AU4" s="52">
        <f t="shared" si="5"/>
        <v>7.8558984718299651</v>
      </c>
      <c r="AV4" s="52">
        <f t="shared" si="5"/>
        <v>7.8558984718299651</v>
      </c>
      <c r="AW4" s="52">
        <f t="shared" si="5"/>
        <v>7.8558984718299651</v>
      </c>
      <c r="AX4" s="52">
        <f t="shared" si="5"/>
        <v>7.8558984718299651</v>
      </c>
      <c r="AY4" s="52">
        <f t="shared" si="5"/>
        <v>7.8558984718299651</v>
      </c>
      <c r="AZ4" s="52">
        <f t="shared" si="5"/>
        <v>7.8558984718299651</v>
      </c>
      <c r="BA4" s="52">
        <f t="shared" si="5"/>
        <v>7.8558984718299651</v>
      </c>
      <c r="BB4" s="52">
        <f t="shared" si="5"/>
        <v>7.8558984718299651</v>
      </c>
      <c r="BC4" s="52">
        <f t="shared" si="5"/>
        <v>7.8558984718299651</v>
      </c>
      <c r="BD4" s="52">
        <f t="shared" si="5"/>
        <v>7.8558984718299651</v>
      </c>
      <c r="BE4" s="52">
        <f t="shared" si="5"/>
        <v>7.8558984718299651</v>
      </c>
      <c r="BF4" s="52">
        <f t="shared" si="5"/>
        <v>7.8558984718299651</v>
      </c>
      <c r="BG4" s="52">
        <f t="shared" si="5"/>
        <v>7.8558984718299651</v>
      </c>
      <c r="BH4" s="52">
        <f t="shared" si="5"/>
        <v>7.8558984718299651</v>
      </c>
      <c r="BI4" s="52">
        <f t="shared" si="5"/>
        <v>7.8558984718299651</v>
      </c>
      <c r="BJ4" s="52">
        <f t="shared" si="5"/>
        <v>7.8558984718299651</v>
      </c>
      <c r="BK4" s="52">
        <f t="shared" si="5"/>
        <v>7.8558984718299651</v>
      </c>
      <c r="BL4" s="52">
        <f t="shared" si="5"/>
        <v>7.8558984718299651</v>
      </c>
      <c r="BM4" s="52">
        <f t="shared" si="5"/>
        <v>7.8558984718299651</v>
      </c>
      <c r="BN4" s="52">
        <f t="shared" si="5"/>
        <v>7.8558984718299651</v>
      </c>
      <c r="BO4" s="52">
        <f t="shared" si="5"/>
        <v>7.8558984718299651</v>
      </c>
      <c r="BP4" s="52">
        <f t="shared" si="5"/>
        <v>7.8558984718299651</v>
      </c>
      <c r="BQ4" s="52">
        <f t="shared" si="5"/>
        <v>7.8558984718299651</v>
      </c>
      <c r="BR4" s="52">
        <f t="shared" si="5"/>
        <v>7.8558984718299651</v>
      </c>
      <c r="BS4" s="52">
        <f t="shared" si="5"/>
        <v>7.8558984718299651</v>
      </c>
      <c r="BT4" s="52">
        <f t="shared" si="5"/>
        <v>7.8558984718299651</v>
      </c>
      <c r="BU4" s="52">
        <f t="shared" si="8" ref="BU4:CK4">+BT4</f>
        <v>7.8558984718299651</v>
      </c>
      <c r="BV4" s="52">
        <f t="shared" si="8"/>
        <v>7.8558984718299651</v>
      </c>
      <c r="BW4" s="52">
        <f t="shared" si="8"/>
        <v>7.8558984718299651</v>
      </c>
      <c r="BX4" s="52">
        <f t="shared" si="8"/>
        <v>7.8558984718299651</v>
      </c>
      <c r="BY4" s="52">
        <f t="shared" si="8"/>
        <v>7.8558984718299651</v>
      </c>
      <c r="BZ4" s="52">
        <f t="shared" si="8"/>
        <v>7.8558984718299651</v>
      </c>
      <c r="CA4" s="52">
        <f t="shared" si="8"/>
        <v>7.8558984718299651</v>
      </c>
      <c r="CB4" s="52">
        <f t="shared" si="8"/>
        <v>7.8558984718299651</v>
      </c>
      <c r="CC4" s="52">
        <f t="shared" si="8"/>
        <v>7.8558984718299651</v>
      </c>
      <c r="CD4" s="52">
        <f t="shared" si="8"/>
        <v>7.8558984718299651</v>
      </c>
      <c r="CE4" s="52">
        <f t="shared" si="8"/>
        <v>7.8558984718299651</v>
      </c>
      <c r="CF4" s="52">
        <f t="shared" si="8"/>
        <v>7.8558984718299651</v>
      </c>
      <c r="CG4" s="52">
        <f t="shared" si="8"/>
        <v>7.8558984718299651</v>
      </c>
      <c r="CH4" s="52">
        <f t="shared" si="8"/>
        <v>7.8558984718299651</v>
      </c>
      <c r="CI4" s="52">
        <f t="shared" si="8"/>
        <v>7.8558984718299651</v>
      </c>
      <c r="CJ4" s="52">
        <f t="shared" si="8"/>
        <v>7.8558984718299651</v>
      </c>
      <c r="CK4" s="52">
        <f t="shared" si="8"/>
        <v>7.8558984718299651</v>
      </c>
    </row>
    <row r="5" spans="3:89" ht="14.4">
      <c r="C5" t="s">
        <v>6</v>
      </c>
      <c r="D5" t="str">
        <f>_xlfn.TEXTJOIN(",",TRUE,Regions!$C$3,Regions!$D$3)</f>
        <v>IE,National</v>
      </c>
      <c r="E5" t="s">
        <v>212</v>
      </c>
      <c r="F5" s="34"/>
      <c r="G5" s="51">
        <f t="shared" si="4"/>
        <v>13.4</v>
      </c>
      <c r="H5" s="52">
        <f t="shared" si="0"/>
        <v>13.4</v>
      </c>
      <c r="I5" s="52">
        <f t="shared" si="9" ref="I5:BT5">+H5</f>
        <v>13.4</v>
      </c>
      <c r="J5" s="52">
        <f t="shared" si="9"/>
        <v>13.4</v>
      </c>
      <c r="K5" s="52">
        <f t="shared" si="6"/>
        <v>13.802000000000001</v>
      </c>
      <c r="L5" s="52">
        <f>+$G5*S$72/$N72</f>
        <v>16.154874753824778</v>
      </c>
      <c r="M5" s="52">
        <f t="shared" si="10" ref="M5:AM5">+$G5*T$72/$N72</f>
        <v>16.4813505940878</v>
      </c>
      <c r="N5" s="52">
        <f t="shared" si="10"/>
        <v>16.795957256056894</v>
      </c>
      <c r="O5" s="52">
        <f t="shared" si="10"/>
        <v>17.10007113722984</v>
      </c>
      <c r="P5" s="52">
        <f t="shared" si="10"/>
        <v>17.394169521659336</v>
      </c>
      <c r="Q5" s="52">
        <f t="shared" si="10"/>
        <v>17.680273366578032</v>
      </c>
      <c r="R5" s="52">
        <f t="shared" si="10"/>
        <v>17.960412730849921</v>
      </c>
      <c r="S5" s="52">
        <f t="shared" si="10"/>
        <v>18.23449348095798</v>
      </c>
      <c r="T5" s="52">
        <f t="shared" si="10"/>
        <v>18.50362428672377</v>
      </c>
      <c r="U5" s="52">
        <f t="shared" si="10"/>
        <v>18.767668935942069</v>
      </c>
      <c r="V5" s="52">
        <f t="shared" si="10"/>
        <v>19.027385105557503</v>
      </c>
      <c r="W5" s="52">
        <f t="shared" si="10"/>
        <v>19.283206366935573</v>
      </c>
      <c r="X5" s="52">
        <f t="shared" si="10"/>
        <v>19.534669393872687</v>
      </c>
      <c r="Y5" s="52">
        <f t="shared" si="10"/>
        <v>19.781640978293307</v>
      </c>
      <c r="Z5" s="52">
        <f t="shared" si="10"/>
        <v>20.023960957238565</v>
      </c>
      <c r="AA5" s="52">
        <f t="shared" si="10"/>
        <v>20.261596403126173</v>
      </c>
      <c r="AB5" s="52">
        <f t="shared" si="10"/>
        <v>20.494086301282032</v>
      </c>
      <c r="AC5" s="52">
        <f t="shared" si="10"/>
        <v>20.721258588924979</v>
      </c>
      <c r="AD5" s="52">
        <f t="shared" si="10"/>
        <v>20.943135688242716</v>
      </c>
      <c r="AE5" s="52">
        <f t="shared" si="10"/>
        <v>21.159475244922891</v>
      </c>
      <c r="AF5" s="52">
        <f t="shared" si="10"/>
        <v>21.369924914959828</v>
      </c>
      <c r="AG5" s="52">
        <f t="shared" si="10"/>
        <v>21.573602166173426</v>
      </c>
      <c r="AH5" s="52">
        <f t="shared" si="10"/>
        <v>21.770438064342553</v>
      </c>
      <c r="AI5" s="52">
        <f t="shared" si="10"/>
        <v>21.960512133440826</v>
      </c>
      <c r="AJ5" s="52">
        <f t="shared" si="10"/>
        <v>22.14358845178867</v>
      </c>
      <c r="AK5" s="52">
        <f t="shared" si="10"/>
        <v>22.3195970124975</v>
      </c>
      <c r="AL5" s="52">
        <f t="shared" si="10"/>
        <v>22.487997816960728</v>
      </c>
      <c r="AM5" s="52">
        <f t="shared" si="10"/>
        <v>22.648977695245776</v>
      </c>
      <c r="AN5" s="52">
        <f t="shared" si="9"/>
        <v>22.648977695245776</v>
      </c>
      <c r="AO5" s="52">
        <f t="shared" si="9"/>
        <v>22.648977695245776</v>
      </c>
      <c r="AP5" s="52">
        <f t="shared" si="9"/>
        <v>22.648977695245776</v>
      </c>
      <c r="AQ5" s="52">
        <f t="shared" si="9"/>
        <v>22.648977695245776</v>
      </c>
      <c r="AR5" s="52">
        <f t="shared" si="9"/>
        <v>22.648977695245776</v>
      </c>
      <c r="AS5" s="52">
        <f t="shared" si="9"/>
        <v>22.648977695245776</v>
      </c>
      <c r="AT5" s="52">
        <f t="shared" si="9"/>
        <v>22.648977695245776</v>
      </c>
      <c r="AU5" s="52">
        <f t="shared" si="9"/>
        <v>22.648977695245776</v>
      </c>
      <c r="AV5" s="52">
        <f t="shared" si="9"/>
        <v>22.648977695245776</v>
      </c>
      <c r="AW5" s="52">
        <f t="shared" si="9"/>
        <v>22.648977695245776</v>
      </c>
      <c r="AX5" s="52">
        <f t="shared" si="9"/>
        <v>22.648977695245776</v>
      </c>
      <c r="AY5" s="52">
        <f t="shared" si="9"/>
        <v>22.648977695245776</v>
      </c>
      <c r="AZ5" s="52">
        <f t="shared" si="9"/>
        <v>22.648977695245776</v>
      </c>
      <c r="BA5" s="52">
        <f t="shared" si="9"/>
        <v>22.648977695245776</v>
      </c>
      <c r="BB5" s="52">
        <f t="shared" si="9"/>
        <v>22.648977695245776</v>
      </c>
      <c r="BC5" s="52">
        <f t="shared" si="9"/>
        <v>22.648977695245776</v>
      </c>
      <c r="BD5" s="52">
        <f t="shared" si="9"/>
        <v>22.648977695245776</v>
      </c>
      <c r="BE5" s="52">
        <f t="shared" si="9"/>
        <v>22.648977695245776</v>
      </c>
      <c r="BF5" s="52">
        <f t="shared" si="9"/>
        <v>22.648977695245776</v>
      </c>
      <c r="BG5" s="52">
        <f t="shared" si="9"/>
        <v>22.648977695245776</v>
      </c>
      <c r="BH5" s="52">
        <f t="shared" si="9"/>
        <v>22.648977695245776</v>
      </c>
      <c r="BI5" s="52">
        <f t="shared" si="9"/>
        <v>22.648977695245776</v>
      </c>
      <c r="BJ5" s="52">
        <f t="shared" si="9"/>
        <v>22.648977695245776</v>
      </c>
      <c r="BK5" s="52">
        <f t="shared" si="9"/>
        <v>22.648977695245776</v>
      </c>
      <c r="BL5" s="52">
        <f t="shared" si="9"/>
        <v>22.648977695245776</v>
      </c>
      <c r="BM5" s="52">
        <f t="shared" si="9"/>
        <v>22.648977695245776</v>
      </c>
      <c r="BN5" s="52">
        <f t="shared" si="9"/>
        <v>22.648977695245776</v>
      </c>
      <c r="BO5" s="52">
        <f t="shared" si="9"/>
        <v>22.648977695245776</v>
      </c>
      <c r="BP5" s="52">
        <f t="shared" si="9"/>
        <v>22.648977695245776</v>
      </c>
      <c r="BQ5" s="52">
        <f t="shared" si="9"/>
        <v>22.648977695245776</v>
      </c>
      <c r="BR5" s="52">
        <f t="shared" si="9"/>
        <v>22.648977695245776</v>
      </c>
      <c r="BS5" s="52">
        <f t="shared" si="9"/>
        <v>22.648977695245776</v>
      </c>
      <c r="BT5" s="52">
        <f t="shared" si="9"/>
        <v>22.648977695245776</v>
      </c>
      <c r="BU5" s="52">
        <f t="shared" si="11" ref="BU5:CK5">+BT5</f>
        <v>22.648977695245776</v>
      </c>
      <c r="BV5" s="52">
        <f t="shared" si="11"/>
        <v>22.648977695245776</v>
      </c>
      <c r="BW5" s="52">
        <f t="shared" si="11"/>
        <v>22.648977695245776</v>
      </c>
      <c r="BX5" s="52">
        <f t="shared" si="11"/>
        <v>22.648977695245776</v>
      </c>
      <c r="BY5" s="52">
        <f t="shared" si="11"/>
        <v>22.648977695245776</v>
      </c>
      <c r="BZ5" s="52">
        <f t="shared" si="11"/>
        <v>22.648977695245776</v>
      </c>
      <c r="CA5" s="52">
        <f t="shared" si="11"/>
        <v>22.648977695245776</v>
      </c>
      <c r="CB5" s="52">
        <f t="shared" si="11"/>
        <v>22.648977695245776</v>
      </c>
      <c r="CC5" s="52">
        <f t="shared" si="11"/>
        <v>22.648977695245776</v>
      </c>
      <c r="CD5" s="52">
        <f t="shared" si="11"/>
        <v>22.648977695245776</v>
      </c>
      <c r="CE5" s="52">
        <f t="shared" si="11"/>
        <v>22.648977695245776</v>
      </c>
      <c r="CF5" s="52">
        <f t="shared" si="11"/>
        <v>22.648977695245776</v>
      </c>
      <c r="CG5" s="52">
        <f t="shared" si="11"/>
        <v>22.648977695245776</v>
      </c>
      <c r="CH5" s="52">
        <f t="shared" si="11"/>
        <v>22.648977695245776</v>
      </c>
      <c r="CI5" s="52">
        <f t="shared" si="11"/>
        <v>22.648977695245776</v>
      </c>
      <c r="CJ5" s="52">
        <f t="shared" si="11"/>
        <v>22.648977695245776</v>
      </c>
      <c r="CK5" s="52">
        <f t="shared" si="11"/>
        <v>22.648977695245776</v>
      </c>
    </row>
    <row r="6" spans="3:89" ht="14.4">
      <c r="C6" t="s">
        <v>6</v>
      </c>
      <c r="D6" t="str">
        <f>_xlfn.TEXTJOIN(",",TRUE,Regions!$C$3,Regions!$D$3)</f>
        <v>IE,National</v>
      </c>
      <c r="E6" t="s">
        <v>213</v>
      </c>
      <c r="F6" s="34"/>
      <c r="G6" s="51">
        <f t="shared" si="4"/>
        <v>1.3</v>
      </c>
      <c r="H6" s="52">
        <f t="shared" si="0"/>
        <v>1.3</v>
      </c>
      <c r="I6" s="52">
        <f t="shared" si="12" ref="I6:BT6">+H6</f>
        <v>1.3</v>
      </c>
      <c r="J6" s="52">
        <f t="shared" si="12"/>
        <v>1.3</v>
      </c>
      <c r="K6" s="52">
        <f t="shared" si="6"/>
        <v>1.3390000000000002</v>
      </c>
      <c r="L6" s="52">
        <f>+$G6*S$78/$N78</f>
        <v>1.3007762016686237</v>
      </c>
      <c r="M6" s="52">
        <f t="shared" si="13" ref="M6:AM6">+$G6*T$78/$N78</f>
        <v>1.3522292043029902</v>
      </c>
      <c r="N6" s="52">
        <f t="shared" si="13"/>
        <v>1.4057174621001558</v>
      </c>
      <c r="O6" s="52">
        <f t="shared" si="13"/>
        <v>1.4613214808297665</v>
      </c>
      <c r="P6" s="52">
        <f t="shared" si="13"/>
        <v>1.4615402858467135</v>
      </c>
      <c r="Q6" s="52">
        <f t="shared" si="13"/>
        <v>1.4617591236255376</v>
      </c>
      <c r="R6" s="52">
        <f t="shared" si="13"/>
        <v>1.461977994171145</v>
      </c>
      <c r="S6" s="52">
        <f t="shared" si="13"/>
        <v>1.4621968974884418</v>
      </c>
      <c r="T6" s="52">
        <f t="shared" si="13"/>
        <v>1.4624158335823345</v>
      </c>
      <c r="U6" s="52">
        <f t="shared" si="13"/>
        <v>1.4753612397959797</v>
      </c>
      <c r="V6" s="52">
        <f t="shared" si="13"/>
        <v>1.4884212396417422</v>
      </c>
      <c r="W6" s="52">
        <f t="shared" si="13"/>
        <v>1.5015968475103878</v>
      </c>
      <c r="X6" s="52">
        <f t="shared" si="13"/>
        <v>1.5148890867721396</v>
      </c>
      <c r="Y6" s="52">
        <f t="shared" si="13"/>
        <v>1.5282989898561652</v>
      </c>
      <c r="Z6" s="52">
        <f t="shared" si="13"/>
        <v>1.5385501392183596</v>
      </c>
      <c r="AA6" s="52">
        <f t="shared" si="13"/>
        <v>1.5488700487275824</v>
      </c>
      <c r="AB6" s="52">
        <f t="shared" si="13"/>
        <v>1.5592591795962945</v>
      </c>
      <c r="AC6" s="52">
        <f t="shared" si="13"/>
        <v>1.5697179961305634</v>
      </c>
      <c r="AD6" s="52">
        <f t="shared" si="13"/>
        <v>1.5802469657508167</v>
      </c>
      <c r="AE6" s="52">
        <f t="shared" si="13"/>
        <v>1.5885152241214666</v>
      </c>
      <c r="AF6" s="52">
        <f t="shared" si="13"/>
        <v>1.5968267441454949</v>
      </c>
      <c r="AG6" s="52">
        <f t="shared" si="13"/>
        <v>1.6051817521789928</v>
      </c>
      <c r="AH6" s="52">
        <f t="shared" si="13"/>
        <v>1.6135804757624064</v>
      </c>
      <c r="AI6" s="52">
        <f t="shared" si="13"/>
        <v>1.6220231436267305</v>
      </c>
      <c r="AJ6" s="52">
        <f t="shared" si="13"/>
        <v>1.630535522721134</v>
      </c>
      <c r="AK6" s="52">
        <f t="shared" si="13"/>
        <v>1.6390925747896141</v>
      </c>
      <c r="AL6" s="52">
        <f t="shared" si="13"/>
        <v>1.6476945342759834</v>
      </c>
      <c r="AM6" s="52">
        <f t="shared" si="13"/>
        <v>1.6563416368544173</v>
      </c>
      <c r="AN6" s="52">
        <f t="shared" si="12"/>
        <v>1.6563416368544173</v>
      </c>
      <c r="AO6" s="52">
        <f t="shared" si="12"/>
        <v>1.6563416368544173</v>
      </c>
      <c r="AP6" s="52">
        <f t="shared" si="12"/>
        <v>1.6563416368544173</v>
      </c>
      <c r="AQ6" s="52">
        <f t="shared" si="12"/>
        <v>1.6563416368544173</v>
      </c>
      <c r="AR6" s="52">
        <f t="shared" si="12"/>
        <v>1.6563416368544173</v>
      </c>
      <c r="AS6" s="52">
        <f t="shared" si="12"/>
        <v>1.6563416368544173</v>
      </c>
      <c r="AT6" s="52">
        <f t="shared" si="12"/>
        <v>1.6563416368544173</v>
      </c>
      <c r="AU6" s="52">
        <f t="shared" si="12"/>
        <v>1.6563416368544173</v>
      </c>
      <c r="AV6" s="52">
        <f t="shared" si="12"/>
        <v>1.6563416368544173</v>
      </c>
      <c r="AW6" s="52">
        <f t="shared" si="12"/>
        <v>1.6563416368544173</v>
      </c>
      <c r="AX6" s="52">
        <f t="shared" si="12"/>
        <v>1.6563416368544173</v>
      </c>
      <c r="AY6" s="52">
        <f t="shared" si="12"/>
        <v>1.6563416368544173</v>
      </c>
      <c r="AZ6" s="52">
        <f t="shared" si="12"/>
        <v>1.6563416368544173</v>
      </c>
      <c r="BA6" s="52">
        <f t="shared" si="12"/>
        <v>1.6563416368544173</v>
      </c>
      <c r="BB6" s="52">
        <f t="shared" si="12"/>
        <v>1.6563416368544173</v>
      </c>
      <c r="BC6" s="52">
        <f t="shared" si="12"/>
        <v>1.6563416368544173</v>
      </c>
      <c r="BD6" s="52">
        <f t="shared" si="12"/>
        <v>1.6563416368544173</v>
      </c>
      <c r="BE6" s="52">
        <f t="shared" si="12"/>
        <v>1.6563416368544173</v>
      </c>
      <c r="BF6" s="52">
        <f t="shared" si="12"/>
        <v>1.6563416368544173</v>
      </c>
      <c r="BG6" s="52">
        <f t="shared" si="12"/>
        <v>1.6563416368544173</v>
      </c>
      <c r="BH6" s="52">
        <f t="shared" si="12"/>
        <v>1.6563416368544173</v>
      </c>
      <c r="BI6" s="52">
        <f t="shared" si="12"/>
        <v>1.6563416368544173</v>
      </c>
      <c r="BJ6" s="52">
        <f t="shared" si="12"/>
        <v>1.6563416368544173</v>
      </c>
      <c r="BK6" s="52">
        <f t="shared" si="12"/>
        <v>1.6563416368544173</v>
      </c>
      <c r="BL6" s="52">
        <f t="shared" si="12"/>
        <v>1.6563416368544173</v>
      </c>
      <c r="BM6" s="52">
        <f t="shared" si="12"/>
        <v>1.6563416368544173</v>
      </c>
      <c r="BN6" s="52">
        <f t="shared" si="12"/>
        <v>1.6563416368544173</v>
      </c>
      <c r="BO6" s="52">
        <f t="shared" si="12"/>
        <v>1.6563416368544173</v>
      </c>
      <c r="BP6" s="52">
        <f t="shared" si="12"/>
        <v>1.6563416368544173</v>
      </c>
      <c r="BQ6" s="52">
        <f t="shared" si="12"/>
        <v>1.6563416368544173</v>
      </c>
      <c r="BR6" s="52">
        <f t="shared" si="12"/>
        <v>1.6563416368544173</v>
      </c>
      <c r="BS6" s="52">
        <f t="shared" si="12"/>
        <v>1.6563416368544173</v>
      </c>
      <c r="BT6" s="52">
        <f t="shared" si="12"/>
        <v>1.6563416368544173</v>
      </c>
      <c r="BU6" s="52">
        <f t="shared" si="14" ref="BU6:CK6">+BT6</f>
        <v>1.6563416368544173</v>
      </c>
      <c r="BV6" s="52">
        <f t="shared" si="14"/>
        <v>1.6563416368544173</v>
      </c>
      <c r="BW6" s="52">
        <f t="shared" si="14"/>
        <v>1.6563416368544173</v>
      </c>
      <c r="BX6" s="52">
        <f t="shared" si="14"/>
        <v>1.6563416368544173</v>
      </c>
      <c r="BY6" s="52">
        <f t="shared" si="14"/>
        <v>1.6563416368544173</v>
      </c>
      <c r="BZ6" s="52">
        <f t="shared" si="14"/>
        <v>1.6563416368544173</v>
      </c>
      <c r="CA6" s="52">
        <f t="shared" si="14"/>
        <v>1.6563416368544173</v>
      </c>
      <c r="CB6" s="52">
        <f t="shared" si="14"/>
        <v>1.6563416368544173</v>
      </c>
      <c r="CC6" s="52">
        <f t="shared" si="14"/>
        <v>1.6563416368544173</v>
      </c>
      <c r="CD6" s="52">
        <f t="shared" si="14"/>
        <v>1.6563416368544173</v>
      </c>
      <c r="CE6" s="52">
        <f t="shared" si="14"/>
        <v>1.6563416368544173</v>
      </c>
      <c r="CF6" s="52">
        <f t="shared" si="14"/>
        <v>1.6563416368544173</v>
      </c>
      <c r="CG6" s="52">
        <f t="shared" si="14"/>
        <v>1.6563416368544173</v>
      </c>
      <c r="CH6" s="52">
        <f t="shared" si="14"/>
        <v>1.6563416368544173</v>
      </c>
      <c r="CI6" s="52">
        <f t="shared" si="14"/>
        <v>1.6563416368544173</v>
      </c>
      <c r="CJ6" s="52">
        <f t="shared" si="14"/>
        <v>1.6563416368544173</v>
      </c>
      <c r="CK6" s="52">
        <f t="shared" si="14"/>
        <v>1.6563416368544173</v>
      </c>
    </row>
    <row r="7" spans="3:89" ht="14.4">
      <c r="C7" t="s">
        <v>6</v>
      </c>
      <c r="D7" t="str">
        <f>_xlfn.TEXTJOIN(",",TRUE,Regions!$C$3,Regions!$D$3)</f>
        <v>IE,National</v>
      </c>
      <c r="E7" t="s">
        <v>23</v>
      </c>
      <c r="F7" s="34"/>
      <c r="G7" s="51">
        <f t="shared" si="4"/>
        <v>16.5</v>
      </c>
      <c r="H7" s="52">
        <f t="shared" si="0"/>
        <v>16.5</v>
      </c>
      <c r="I7" s="52">
        <f t="shared" si="15" ref="I7:BT7">+H7</f>
        <v>16.5</v>
      </c>
      <c r="J7" s="52">
        <f t="shared" si="15"/>
        <v>16.5</v>
      </c>
      <c r="K7" s="52">
        <f t="shared" si="6"/>
        <v>16.995000000000001</v>
      </c>
      <c r="L7" s="52">
        <f>+$G7*S$79/$N79</f>
        <v>14.770551619589172</v>
      </c>
      <c r="M7" s="52">
        <f t="shared" si="16" ref="M7:AM7">+$G7*T$79/$N79</f>
        <v>14.845813862178977</v>
      </c>
      <c r="N7" s="52">
        <f t="shared" si="16"/>
        <v>14.922975102461015</v>
      </c>
      <c r="O7" s="52">
        <f t="shared" si="16"/>
        <v>15.002084847728039</v>
      </c>
      <c r="P7" s="52">
        <f t="shared" si="16"/>
        <v>15.083193999847706</v>
      </c>
      <c r="Q7" s="52">
        <f t="shared" si="16"/>
        <v>15.166354893122131</v>
      </c>
      <c r="R7" s="52">
        <f t="shared" si="16"/>
        <v>15.251621372340695</v>
      </c>
      <c r="S7" s="52">
        <f t="shared" si="16"/>
        <v>15.33904885486659</v>
      </c>
      <c r="T7" s="52">
        <f t="shared" si="16"/>
        <v>15.42956524826554</v>
      </c>
      <c r="U7" s="52">
        <f t="shared" si="16"/>
        <v>15.522330748672248</v>
      </c>
      <c r="V7" s="52">
        <f t="shared" si="16"/>
        <v>15.61740339686316</v>
      </c>
      <c r="W7" s="52">
        <f t="shared" si="16"/>
        <v>15.714842924780468</v>
      </c>
      <c r="X7" s="52">
        <f t="shared" si="16"/>
        <v>15.81471081856823</v>
      </c>
      <c r="Y7" s="52">
        <f t="shared" si="16"/>
        <v>15.917070390942561</v>
      </c>
      <c r="Z7" s="52">
        <f t="shared" si="16"/>
        <v>16.021986874379483</v>
      </c>
      <c r="AA7" s="52">
        <f t="shared" si="16"/>
        <v>16.129527490525067</v>
      </c>
      <c r="AB7" s="52">
        <f t="shared" si="16"/>
        <v>16.239761556648215</v>
      </c>
      <c r="AC7" s="52">
        <f t="shared" si="16"/>
        <v>16.352760567750522</v>
      </c>
      <c r="AD7" s="52">
        <f t="shared" si="16"/>
        <v>16.468598321268065</v>
      </c>
      <c r="AE7" s="52">
        <f t="shared" si="16"/>
        <v>16.587351030576169</v>
      </c>
      <c r="AF7" s="52">
        <f t="shared" si="16"/>
        <v>16.709097436953339</v>
      </c>
      <c r="AG7" s="52">
        <f t="shared" si="16"/>
        <v>16.83391896804671</v>
      </c>
      <c r="AH7" s="52">
        <f t="shared" si="16"/>
        <v>16.961899876349431</v>
      </c>
      <c r="AI7" s="52">
        <f t="shared" si="16"/>
        <v>17.093127396904059</v>
      </c>
      <c r="AJ7" s="52">
        <f t="shared" si="16"/>
        <v>17.22769194307368</v>
      </c>
      <c r="AK7" s="52">
        <f t="shared" si="16"/>
        <v>17.365687286901764</v>
      </c>
      <c r="AL7" s="52">
        <f t="shared" si="16"/>
        <v>17.507210781890123</v>
      </c>
      <c r="AM7" s="52">
        <f t="shared" si="16"/>
        <v>17.652363592735284</v>
      </c>
      <c r="AN7" s="52">
        <f t="shared" si="15"/>
        <v>17.652363592735284</v>
      </c>
      <c r="AO7" s="52">
        <f t="shared" si="15"/>
        <v>17.652363592735284</v>
      </c>
      <c r="AP7" s="52">
        <f t="shared" si="15"/>
        <v>17.652363592735284</v>
      </c>
      <c r="AQ7" s="52">
        <f t="shared" si="15"/>
        <v>17.652363592735284</v>
      </c>
      <c r="AR7" s="52">
        <f t="shared" si="15"/>
        <v>17.652363592735284</v>
      </c>
      <c r="AS7" s="52">
        <f t="shared" si="15"/>
        <v>17.652363592735284</v>
      </c>
      <c r="AT7" s="52">
        <f t="shared" si="15"/>
        <v>17.652363592735284</v>
      </c>
      <c r="AU7" s="52">
        <f t="shared" si="15"/>
        <v>17.652363592735284</v>
      </c>
      <c r="AV7" s="52">
        <f t="shared" si="15"/>
        <v>17.652363592735284</v>
      </c>
      <c r="AW7" s="52">
        <f t="shared" si="15"/>
        <v>17.652363592735284</v>
      </c>
      <c r="AX7" s="52">
        <f t="shared" si="15"/>
        <v>17.652363592735284</v>
      </c>
      <c r="AY7" s="52">
        <f t="shared" si="15"/>
        <v>17.652363592735284</v>
      </c>
      <c r="AZ7" s="52">
        <f t="shared" si="15"/>
        <v>17.652363592735284</v>
      </c>
      <c r="BA7" s="52">
        <f t="shared" si="15"/>
        <v>17.652363592735284</v>
      </c>
      <c r="BB7" s="52">
        <f t="shared" si="15"/>
        <v>17.652363592735284</v>
      </c>
      <c r="BC7" s="52">
        <f t="shared" si="15"/>
        <v>17.652363592735284</v>
      </c>
      <c r="BD7" s="52">
        <f t="shared" si="15"/>
        <v>17.652363592735284</v>
      </c>
      <c r="BE7" s="52">
        <f t="shared" si="15"/>
        <v>17.652363592735284</v>
      </c>
      <c r="BF7" s="52">
        <f t="shared" si="15"/>
        <v>17.652363592735284</v>
      </c>
      <c r="BG7" s="52">
        <f t="shared" si="15"/>
        <v>17.652363592735284</v>
      </c>
      <c r="BH7" s="52">
        <f t="shared" si="15"/>
        <v>17.652363592735284</v>
      </c>
      <c r="BI7" s="52">
        <f t="shared" si="15"/>
        <v>17.652363592735284</v>
      </c>
      <c r="BJ7" s="52">
        <f t="shared" si="15"/>
        <v>17.652363592735284</v>
      </c>
      <c r="BK7" s="52">
        <f t="shared" si="15"/>
        <v>17.652363592735284</v>
      </c>
      <c r="BL7" s="52">
        <f t="shared" si="15"/>
        <v>17.652363592735284</v>
      </c>
      <c r="BM7" s="52">
        <f t="shared" si="15"/>
        <v>17.652363592735284</v>
      </c>
      <c r="BN7" s="52">
        <f t="shared" si="15"/>
        <v>17.652363592735284</v>
      </c>
      <c r="BO7" s="52">
        <f t="shared" si="15"/>
        <v>17.652363592735284</v>
      </c>
      <c r="BP7" s="52">
        <f t="shared" si="15"/>
        <v>17.652363592735284</v>
      </c>
      <c r="BQ7" s="52">
        <f t="shared" si="15"/>
        <v>17.652363592735284</v>
      </c>
      <c r="BR7" s="52">
        <f t="shared" si="15"/>
        <v>17.652363592735284</v>
      </c>
      <c r="BS7" s="52">
        <f t="shared" si="15"/>
        <v>17.652363592735284</v>
      </c>
      <c r="BT7" s="52">
        <f t="shared" si="15"/>
        <v>17.652363592735284</v>
      </c>
      <c r="BU7" s="52">
        <f t="shared" si="17" ref="BU7:CK7">+BT7</f>
        <v>17.652363592735284</v>
      </c>
      <c r="BV7" s="52">
        <f t="shared" si="17"/>
        <v>17.652363592735284</v>
      </c>
      <c r="BW7" s="52">
        <f t="shared" si="17"/>
        <v>17.652363592735284</v>
      </c>
      <c r="BX7" s="52">
        <f t="shared" si="17"/>
        <v>17.652363592735284</v>
      </c>
      <c r="BY7" s="52">
        <f t="shared" si="17"/>
        <v>17.652363592735284</v>
      </c>
      <c r="BZ7" s="52">
        <f t="shared" si="17"/>
        <v>17.652363592735284</v>
      </c>
      <c r="CA7" s="52">
        <f t="shared" si="17"/>
        <v>17.652363592735284</v>
      </c>
      <c r="CB7" s="52">
        <f t="shared" si="17"/>
        <v>17.652363592735284</v>
      </c>
      <c r="CC7" s="52">
        <f t="shared" si="17"/>
        <v>17.652363592735284</v>
      </c>
      <c r="CD7" s="52">
        <f t="shared" si="17"/>
        <v>17.652363592735284</v>
      </c>
      <c r="CE7" s="52">
        <f t="shared" si="17"/>
        <v>17.652363592735284</v>
      </c>
      <c r="CF7" s="52">
        <f t="shared" si="17"/>
        <v>17.652363592735284</v>
      </c>
      <c r="CG7" s="52">
        <f t="shared" si="17"/>
        <v>17.652363592735284</v>
      </c>
      <c r="CH7" s="52">
        <f t="shared" si="17"/>
        <v>17.652363592735284</v>
      </c>
      <c r="CI7" s="52">
        <f t="shared" si="17"/>
        <v>17.652363592735284</v>
      </c>
      <c r="CJ7" s="52">
        <f t="shared" si="17"/>
        <v>17.652363592735284</v>
      </c>
      <c r="CK7" s="52">
        <f t="shared" si="17"/>
        <v>17.652363592735284</v>
      </c>
    </row>
    <row r="8" spans="3:89" ht="14.4">
      <c r="C8" t="s">
        <v>6</v>
      </c>
      <c r="D8" t="str">
        <f>_xlfn.TEXTJOIN(",",TRUE,Regions!$C$3,Regions!$D$3)</f>
        <v>IE,National</v>
      </c>
      <c r="E8" t="s">
        <v>31</v>
      </c>
      <c r="F8" s="34"/>
      <c r="G8" s="51">
        <f t="shared" si="4"/>
        <v>3.7999999999999998</v>
      </c>
      <c r="H8" s="52">
        <f t="shared" si="0"/>
        <v>3.7999999999999998</v>
      </c>
      <c r="I8" s="52">
        <f t="shared" si="18" ref="I8:BT8">+H8</f>
        <v>3.7999999999999998</v>
      </c>
      <c r="J8" s="52">
        <f t="shared" si="18"/>
        <v>3.7999999999999998</v>
      </c>
      <c r="K8" s="52">
        <f t="shared" si="6"/>
        <v>3.9139999999999997</v>
      </c>
      <c r="L8" s="52">
        <f>+$G8*S$83/$N83</f>
        <v>3.8741569495470718</v>
      </c>
      <c r="M8" s="52">
        <f t="shared" si="19" ref="M8:AM8">+$G8*T$83/$N83</f>
        <v>3.949215299576593</v>
      </c>
      <c r="N8" s="52">
        <f t="shared" si="19"/>
        <v>4.0205717099064788</v>
      </c>
      <c r="O8" s="52">
        <f t="shared" si="19"/>
        <v>4.088561921611074</v>
      </c>
      <c r="P8" s="52">
        <f t="shared" si="19"/>
        <v>4.1531699075569453</v>
      </c>
      <c r="Q8" s="52">
        <f t="shared" si="19"/>
        <v>4.2150763355428671</v>
      </c>
      <c r="R8" s="52">
        <f t="shared" si="19"/>
        <v>4.2750254654769293</v>
      </c>
      <c r="S8" s="52">
        <f t="shared" si="19"/>
        <v>4.3328486515349294</v>
      </c>
      <c r="T8" s="52">
        <f t="shared" si="19"/>
        <v>4.3889178342427302</v>
      </c>
      <c r="U8" s="52">
        <f t="shared" si="19"/>
        <v>4.443074551265946</v>
      </c>
      <c r="V8" s="52">
        <f t="shared" si="19"/>
        <v>4.495570527168864</v>
      </c>
      <c r="W8" s="52">
        <f t="shared" si="19"/>
        <v>4.5465197561778847</v>
      </c>
      <c r="X8" s="52">
        <f t="shared" si="19"/>
        <v>4.5956010132042788</v>
      </c>
      <c r="Y8" s="52">
        <f t="shared" si="19"/>
        <v>4.6426417132385618</v>
      </c>
      <c r="Z8" s="52">
        <f t="shared" si="19"/>
        <v>4.6874482904284083</v>
      </c>
      <c r="AA8" s="52">
        <f t="shared" si="19"/>
        <v>4.7298854677501652</v>
      </c>
      <c r="AB8" s="52">
        <f t="shared" si="19"/>
        <v>4.7695872732224327</v>
      </c>
      <c r="AC8" s="52">
        <f t="shared" si="19"/>
        <v>4.8063246590653304</v>
      </c>
      <c r="AD8" s="52">
        <f t="shared" si="19"/>
        <v>4.839966929134766</v>
      </c>
      <c r="AE8" s="52">
        <f t="shared" si="19"/>
        <v>4.8702346391627147</v>
      </c>
      <c r="AF8" s="52">
        <f t="shared" si="19"/>
        <v>4.8967735789296691</v>
      </c>
      <c r="AG8" s="52">
        <f t="shared" si="19"/>
        <v>4.9189137615434291</v>
      </c>
      <c r="AH8" s="52">
        <f t="shared" si="19"/>
        <v>4.9364305151111871</v>
      </c>
      <c r="AI8" s="52">
        <f t="shared" si="19"/>
        <v>4.9491768372290306</v>
      </c>
      <c r="AJ8" s="52">
        <f t="shared" si="19"/>
        <v>4.9568240492187803</v>
      </c>
      <c r="AK8" s="52">
        <f t="shared" si="19"/>
        <v>4.9591266462623196</v>
      </c>
      <c r="AL8" s="52">
        <f t="shared" si="19"/>
        <v>4.9555621669056169</v>
      </c>
      <c r="AM8" s="52">
        <f t="shared" si="19"/>
        <v>4.9460325602273718</v>
      </c>
      <c r="AN8" s="52">
        <f t="shared" si="18"/>
        <v>4.9460325602273718</v>
      </c>
      <c r="AO8" s="52">
        <f t="shared" si="18"/>
        <v>4.9460325602273718</v>
      </c>
      <c r="AP8" s="52">
        <f t="shared" si="18"/>
        <v>4.9460325602273718</v>
      </c>
      <c r="AQ8" s="52">
        <f t="shared" si="18"/>
        <v>4.9460325602273718</v>
      </c>
      <c r="AR8" s="52">
        <f t="shared" si="18"/>
        <v>4.9460325602273718</v>
      </c>
      <c r="AS8" s="52">
        <f t="shared" si="18"/>
        <v>4.9460325602273718</v>
      </c>
      <c r="AT8" s="52">
        <f t="shared" si="18"/>
        <v>4.9460325602273718</v>
      </c>
      <c r="AU8" s="52">
        <f t="shared" si="18"/>
        <v>4.9460325602273718</v>
      </c>
      <c r="AV8" s="52">
        <f t="shared" si="18"/>
        <v>4.9460325602273718</v>
      </c>
      <c r="AW8" s="52">
        <f t="shared" si="18"/>
        <v>4.9460325602273718</v>
      </c>
      <c r="AX8" s="52">
        <f t="shared" si="18"/>
        <v>4.9460325602273718</v>
      </c>
      <c r="AY8" s="52">
        <f t="shared" si="18"/>
        <v>4.9460325602273718</v>
      </c>
      <c r="AZ8" s="52">
        <f t="shared" si="18"/>
        <v>4.9460325602273718</v>
      </c>
      <c r="BA8" s="52">
        <f t="shared" si="18"/>
        <v>4.9460325602273718</v>
      </c>
      <c r="BB8" s="52">
        <f t="shared" si="18"/>
        <v>4.9460325602273718</v>
      </c>
      <c r="BC8" s="52">
        <f t="shared" si="18"/>
        <v>4.9460325602273718</v>
      </c>
      <c r="BD8" s="52">
        <f t="shared" si="18"/>
        <v>4.9460325602273718</v>
      </c>
      <c r="BE8" s="52">
        <f t="shared" si="18"/>
        <v>4.9460325602273718</v>
      </c>
      <c r="BF8" s="52">
        <f t="shared" si="18"/>
        <v>4.9460325602273718</v>
      </c>
      <c r="BG8" s="52">
        <f t="shared" si="18"/>
        <v>4.9460325602273718</v>
      </c>
      <c r="BH8" s="52">
        <f t="shared" si="18"/>
        <v>4.9460325602273718</v>
      </c>
      <c r="BI8" s="52">
        <f t="shared" si="18"/>
        <v>4.9460325602273718</v>
      </c>
      <c r="BJ8" s="52">
        <f t="shared" si="18"/>
        <v>4.9460325602273718</v>
      </c>
      <c r="BK8" s="52">
        <f t="shared" si="18"/>
        <v>4.9460325602273718</v>
      </c>
      <c r="BL8" s="52">
        <f t="shared" si="18"/>
        <v>4.9460325602273718</v>
      </c>
      <c r="BM8" s="52">
        <f t="shared" si="18"/>
        <v>4.9460325602273718</v>
      </c>
      <c r="BN8" s="52">
        <f t="shared" si="18"/>
        <v>4.9460325602273718</v>
      </c>
      <c r="BO8" s="52">
        <f t="shared" si="18"/>
        <v>4.9460325602273718</v>
      </c>
      <c r="BP8" s="52">
        <f t="shared" si="18"/>
        <v>4.9460325602273718</v>
      </c>
      <c r="BQ8" s="52">
        <f t="shared" si="18"/>
        <v>4.9460325602273718</v>
      </c>
      <c r="BR8" s="52">
        <f t="shared" si="18"/>
        <v>4.9460325602273718</v>
      </c>
      <c r="BS8" s="52">
        <f t="shared" si="18"/>
        <v>4.9460325602273718</v>
      </c>
      <c r="BT8" s="52">
        <f t="shared" si="18"/>
        <v>4.9460325602273718</v>
      </c>
      <c r="BU8" s="52">
        <f t="shared" si="20" ref="BU8:CK8">+BT8</f>
        <v>4.9460325602273718</v>
      </c>
      <c r="BV8" s="52">
        <f t="shared" si="20"/>
        <v>4.9460325602273718</v>
      </c>
      <c r="BW8" s="52">
        <f t="shared" si="20"/>
        <v>4.9460325602273718</v>
      </c>
      <c r="BX8" s="52">
        <f t="shared" si="20"/>
        <v>4.9460325602273718</v>
      </c>
      <c r="BY8" s="52">
        <f t="shared" si="20"/>
        <v>4.9460325602273718</v>
      </c>
      <c r="BZ8" s="52">
        <f t="shared" si="20"/>
        <v>4.9460325602273718</v>
      </c>
      <c r="CA8" s="52">
        <f t="shared" si="20"/>
        <v>4.9460325602273718</v>
      </c>
      <c r="CB8" s="52">
        <f t="shared" si="20"/>
        <v>4.9460325602273718</v>
      </c>
      <c r="CC8" s="52">
        <f t="shared" si="20"/>
        <v>4.9460325602273718</v>
      </c>
      <c r="CD8" s="52">
        <f t="shared" si="20"/>
        <v>4.9460325602273718</v>
      </c>
      <c r="CE8" s="52">
        <f t="shared" si="20"/>
        <v>4.9460325602273718</v>
      </c>
      <c r="CF8" s="52">
        <f t="shared" si="20"/>
        <v>4.9460325602273718</v>
      </c>
      <c r="CG8" s="52">
        <f t="shared" si="20"/>
        <v>4.9460325602273718</v>
      </c>
      <c r="CH8" s="52">
        <f t="shared" si="20"/>
        <v>4.9460325602273718</v>
      </c>
      <c r="CI8" s="52">
        <f t="shared" si="20"/>
        <v>4.9460325602273718</v>
      </c>
      <c r="CJ8" s="52">
        <f t="shared" si="20"/>
        <v>4.9460325602273718</v>
      </c>
      <c r="CK8" s="52">
        <f t="shared" si="20"/>
        <v>4.9460325602273718</v>
      </c>
    </row>
    <row r="9" spans="3:89" ht="14.4">
      <c r="C9" t="s">
        <v>6</v>
      </c>
      <c r="D9" t="str">
        <f>_xlfn.TEXTJOIN(",",TRUE,Regions!$C$3,Regions!$D$3)</f>
        <v>IE,National</v>
      </c>
      <c r="E9" t="s">
        <v>21</v>
      </c>
      <c r="F9" s="34"/>
      <c r="G9" s="51">
        <f t="shared" si="4"/>
        <v>2.3999999999999999</v>
      </c>
      <c r="H9" s="52">
        <f t="shared" si="0"/>
        <v>2.3999999999999999</v>
      </c>
      <c r="I9" s="52">
        <f t="shared" si="21" ref="I9:BT9">+H9</f>
        <v>2.3999999999999999</v>
      </c>
      <c r="J9" s="52">
        <f t="shared" si="21"/>
        <v>2.3999999999999999</v>
      </c>
      <c r="K9" s="52">
        <f t="shared" si="6"/>
        <v>2.472</v>
      </c>
      <c r="L9" s="52">
        <f>+$G9*S$78/$N78</f>
        <v>2.4014329876959208</v>
      </c>
      <c r="M9" s="52">
        <f t="shared" si="22" ref="M9:AM9">+$G9*T$78/$N78</f>
        <v>2.4964231464055207</v>
      </c>
      <c r="N9" s="52">
        <f t="shared" si="22"/>
        <v>2.5951706992618258</v>
      </c>
      <c r="O9" s="52">
        <f t="shared" si="22"/>
        <v>2.6978242723011072</v>
      </c>
      <c r="P9" s="52">
        <f t="shared" si="22"/>
        <v>2.6982282200247019</v>
      </c>
      <c r="Q9" s="52">
        <f t="shared" si="22"/>
        <v>2.6986322282317614</v>
      </c>
      <c r="R9" s="52">
        <f t="shared" si="22"/>
        <v>2.6990362969313448</v>
      </c>
      <c r="S9" s="52">
        <f t="shared" si="22"/>
        <v>2.6994404261325076</v>
      </c>
      <c r="T9" s="52">
        <f t="shared" si="22"/>
        <v>2.6998446158443095</v>
      </c>
      <c r="U9" s="52">
        <f t="shared" si="22"/>
        <v>2.7237438273156545</v>
      </c>
      <c r="V9" s="52">
        <f t="shared" si="22"/>
        <v>2.7478545962616776</v>
      </c>
      <c r="W9" s="52">
        <f t="shared" si="22"/>
        <v>2.7721787954037924</v>
      </c>
      <c r="X9" s="52">
        <f t="shared" si="22"/>
        <v>2.7967183140408731</v>
      </c>
      <c r="Y9" s="52">
        <f t="shared" si="22"/>
        <v>2.8214750581959969</v>
      </c>
      <c r="Z9" s="52">
        <f t="shared" si="22"/>
        <v>2.8404002570185094</v>
      </c>
      <c r="AA9" s="52">
        <f t="shared" si="22"/>
        <v>2.8594523976509212</v>
      </c>
      <c r="AB9" s="52">
        <f t="shared" si="22"/>
        <v>2.8786323315623896</v>
      </c>
      <c r="AC9" s="52">
        <f t="shared" si="22"/>
        <v>2.8979409159333476</v>
      </c>
      <c r="AD9" s="52">
        <f t="shared" si="22"/>
        <v>2.9173790136938149</v>
      </c>
      <c r="AE9" s="52">
        <f t="shared" si="22"/>
        <v>2.9326434906857846</v>
      </c>
      <c r="AF9" s="52">
        <f t="shared" si="22"/>
        <v>2.9479878353455287</v>
      </c>
      <c r="AG9" s="52">
        <f t="shared" si="22"/>
        <v>2.9634124655612175</v>
      </c>
      <c r="AH9" s="52">
        <f t="shared" si="22"/>
        <v>2.9789178014075191</v>
      </c>
      <c r="AI9" s="52">
        <f t="shared" si="22"/>
        <v>2.9945042651570408</v>
      </c>
      <c r="AJ9" s="52">
        <f t="shared" si="22"/>
        <v>3.010219426562093</v>
      </c>
      <c r="AK9" s="52">
        <f t="shared" si="22"/>
        <v>3.0260170611500565</v>
      </c>
      <c r="AL9" s="52">
        <f t="shared" si="22"/>
        <v>3.0418976017402768</v>
      </c>
      <c r="AM9" s="52">
        <f t="shared" si="22"/>
        <v>3.0578614834235394</v>
      </c>
      <c r="AN9" s="52">
        <f t="shared" si="21"/>
        <v>3.0578614834235394</v>
      </c>
      <c r="AO9" s="52">
        <f t="shared" si="21"/>
        <v>3.0578614834235394</v>
      </c>
      <c r="AP9" s="52">
        <f t="shared" si="21"/>
        <v>3.0578614834235394</v>
      </c>
      <c r="AQ9" s="52">
        <f t="shared" si="21"/>
        <v>3.0578614834235394</v>
      </c>
      <c r="AR9" s="52">
        <f t="shared" si="21"/>
        <v>3.0578614834235394</v>
      </c>
      <c r="AS9" s="52">
        <f t="shared" si="21"/>
        <v>3.0578614834235394</v>
      </c>
      <c r="AT9" s="52">
        <f t="shared" si="21"/>
        <v>3.0578614834235394</v>
      </c>
      <c r="AU9" s="52">
        <f t="shared" si="21"/>
        <v>3.0578614834235394</v>
      </c>
      <c r="AV9" s="52">
        <f t="shared" si="21"/>
        <v>3.0578614834235394</v>
      </c>
      <c r="AW9" s="52">
        <f t="shared" si="21"/>
        <v>3.0578614834235394</v>
      </c>
      <c r="AX9" s="52">
        <f t="shared" si="21"/>
        <v>3.0578614834235394</v>
      </c>
      <c r="AY9" s="52">
        <f t="shared" si="21"/>
        <v>3.0578614834235394</v>
      </c>
      <c r="AZ9" s="52">
        <f t="shared" si="21"/>
        <v>3.0578614834235394</v>
      </c>
      <c r="BA9" s="52">
        <f t="shared" si="21"/>
        <v>3.0578614834235394</v>
      </c>
      <c r="BB9" s="52">
        <f t="shared" si="21"/>
        <v>3.0578614834235394</v>
      </c>
      <c r="BC9" s="52">
        <f t="shared" si="21"/>
        <v>3.0578614834235394</v>
      </c>
      <c r="BD9" s="52">
        <f t="shared" si="21"/>
        <v>3.0578614834235394</v>
      </c>
      <c r="BE9" s="52">
        <f t="shared" si="21"/>
        <v>3.0578614834235394</v>
      </c>
      <c r="BF9" s="52">
        <f t="shared" si="21"/>
        <v>3.0578614834235394</v>
      </c>
      <c r="BG9" s="52">
        <f t="shared" si="21"/>
        <v>3.0578614834235394</v>
      </c>
      <c r="BH9" s="52">
        <f t="shared" si="21"/>
        <v>3.0578614834235394</v>
      </c>
      <c r="BI9" s="52">
        <f t="shared" si="21"/>
        <v>3.0578614834235394</v>
      </c>
      <c r="BJ9" s="52">
        <f t="shared" si="21"/>
        <v>3.0578614834235394</v>
      </c>
      <c r="BK9" s="52">
        <f t="shared" si="21"/>
        <v>3.0578614834235394</v>
      </c>
      <c r="BL9" s="52">
        <f t="shared" si="21"/>
        <v>3.0578614834235394</v>
      </c>
      <c r="BM9" s="52">
        <f t="shared" si="21"/>
        <v>3.0578614834235394</v>
      </c>
      <c r="BN9" s="52">
        <f t="shared" si="21"/>
        <v>3.0578614834235394</v>
      </c>
      <c r="BO9" s="52">
        <f t="shared" si="21"/>
        <v>3.0578614834235394</v>
      </c>
      <c r="BP9" s="52">
        <f t="shared" si="21"/>
        <v>3.0578614834235394</v>
      </c>
      <c r="BQ9" s="52">
        <f t="shared" si="21"/>
        <v>3.0578614834235394</v>
      </c>
      <c r="BR9" s="52">
        <f t="shared" si="21"/>
        <v>3.0578614834235394</v>
      </c>
      <c r="BS9" s="52">
        <f t="shared" si="21"/>
        <v>3.0578614834235394</v>
      </c>
      <c r="BT9" s="52">
        <f t="shared" si="21"/>
        <v>3.0578614834235394</v>
      </c>
      <c r="BU9" s="52">
        <f t="shared" si="23" ref="BU9:CK9">+BT9</f>
        <v>3.0578614834235394</v>
      </c>
      <c r="BV9" s="52">
        <f t="shared" si="23"/>
        <v>3.0578614834235394</v>
      </c>
      <c r="BW9" s="52">
        <f t="shared" si="23"/>
        <v>3.0578614834235394</v>
      </c>
      <c r="BX9" s="52">
        <f t="shared" si="23"/>
        <v>3.0578614834235394</v>
      </c>
      <c r="BY9" s="52">
        <f t="shared" si="23"/>
        <v>3.0578614834235394</v>
      </c>
      <c r="BZ9" s="52">
        <f t="shared" si="23"/>
        <v>3.0578614834235394</v>
      </c>
      <c r="CA9" s="52">
        <f t="shared" si="23"/>
        <v>3.0578614834235394</v>
      </c>
      <c r="CB9" s="52">
        <f t="shared" si="23"/>
        <v>3.0578614834235394</v>
      </c>
      <c r="CC9" s="52">
        <f t="shared" si="23"/>
        <v>3.0578614834235394</v>
      </c>
      <c r="CD9" s="52">
        <f t="shared" si="23"/>
        <v>3.0578614834235394</v>
      </c>
      <c r="CE9" s="52">
        <f t="shared" si="23"/>
        <v>3.0578614834235394</v>
      </c>
      <c r="CF9" s="52">
        <f t="shared" si="23"/>
        <v>3.0578614834235394</v>
      </c>
      <c r="CG9" s="52">
        <f t="shared" si="23"/>
        <v>3.0578614834235394</v>
      </c>
      <c r="CH9" s="52">
        <f t="shared" si="23"/>
        <v>3.0578614834235394</v>
      </c>
      <c r="CI9" s="52">
        <f t="shared" si="23"/>
        <v>3.0578614834235394</v>
      </c>
      <c r="CJ9" s="52">
        <f t="shared" si="23"/>
        <v>3.0578614834235394</v>
      </c>
      <c r="CK9" s="52">
        <f t="shared" si="23"/>
        <v>3.0578614834235394</v>
      </c>
    </row>
    <row r="10" spans="3:89" ht="14.4">
      <c r="C10" t="s">
        <v>6</v>
      </c>
      <c r="D10" t="str">
        <f>_xlfn.TEXTJOIN(",",TRUE,Regions!$C$3,Regions!$D$3)</f>
        <v>IE,National</v>
      </c>
      <c r="E10" t="s">
        <v>13</v>
      </c>
      <c r="F10" s="34"/>
      <c r="G10" s="51">
        <f t="shared" si="4"/>
        <v>5</v>
      </c>
      <c r="H10" s="52">
        <f t="shared" si="0"/>
        <v>5</v>
      </c>
      <c r="I10" s="52">
        <f t="shared" si="24" ref="I10:BT10">+H10</f>
        <v>5</v>
      </c>
      <c r="J10" s="52">
        <f t="shared" si="24"/>
        <v>5</v>
      </c>
      <c r="K10" s="52">
        <f t="shared" si="6"/>
        <v>5.1500000000000004</v>
      </c>
      <c r="L10" s="52">
        <f>+$G10*S$74/$N74</f>
        <v>4.2303722533509482</v>
      </c>
      <c r="M10" s="52">
        <f t="shared" si="25" ref="M10:AM10">+$G10*T$74/$N74</f>
        <v>4.2645731618322751</v>
      </c>
      <c r="N10" s="52">
        <f t="shared" si="25"/>
        <v>4.2996166941216352</v>
      </c>
      <c r="O10" s="52">
        <f t="shared" si="25"/>
        <v>4.3355244485310855</v>
      </c>
      <c r="P10" s="52">
        <f t="shared" si="25"/>
        <v>4.3723180459540592</v>
      </c>
      <c r="Q10" s="52">
        <f t="shared" si="25"/>
        <v>4.4100202022366268</v>
      </c>
      <c r="R10" s="52">
        <f t="shared" si="25"/>
        <v>4.4486519581967618</v>
      </c>
      <c r="S10" s="52">
        <f t="shared" si="25"/>
        <v>4.4882380993210029</v>
      </c>
      <c r="T10" s="52">
        <f t="shared" si="25"/>
        <v>4.5288011255055558</v>
      </c>
      <c r="U10" s="52">
        <f t="shared" si="25"/>
        <v>4.5703660797006149</v>
      </c>
      <c r="V10" s="52">
        <f t="shared" si="25"/>
        <v>4.6129583289118976</v>
      </c>
      <c r="W10" s="52">
        <f t="shared" si="25"/>
        <v>4.6566040502661403</v>
      </c>
      <c r="X10" s="52">
        <f t="shared" si="25"/>
        <v>4.7013286281576416</v>
      </c>
      <c r="Y10" s="52">
        <f t="shared" si="25"/>
        <v>4.7471592241550091</v>
      </c>
      <c r="Z10" s="52">
        <f t="shared" si="25"/>
        <v>4.7941241761988289</v>
      </c>
      <c r="AA10" s="52">
        <f t="shared" si="25"/>
        <v>4.8422514162202042</v>
      </c>
      <c r="AB10" s="52">
        <f t="shared" si="25"/>
        <v>4.8915699622044899</v>
      </c>
      <c r="AC10" s="52">
        <f t="shared" si="25"/>
        <v>4.9421098508620753</v>
      </c>
      <c r="AD10" s="52">
        <f t="shared" si="25"/>
        <v>4.9939015799381545</v>
      </c>
      <c r="AE10" s="52">
        <f t="shared" si="25"/>
        <v>5.0469765523058294</v>
      </c>
      <c r="AF10" s="52">
        <f t="shared" si="25"/>
        <v>5.1013670136918599</v>
      </c>
      <c r="AG10" s="52">
        <f t="shared" si="25"/>
        <v>5.1571059921252713</v>
      </c>
      <c r="AH10" s="52">
        <f t="shared" si="25"/>
        <v>5.21422676232919</v>
      </c>
      <c r="AI10" s="52">
        <f t="shared" si="25"/>
        <v>5.2727646992774773</v>
      </c>
      <c r="AJ10" s="52">
        <f t="shared" si="25"/>
        <v>5.3327548199634851</v>
      </c>
      <c r="AK10" s="52">
        <f t="shared" si="25"/>
        <v>5.3942345601436008</v>
      </c>
      <c r="AL10" s="52">
        <f t="shared" si="25"/>
        <v>5.4572404154800118</v>
      </c>
      <c r="AM10" s="52">
        <f t="shared" si="25"/>
        <v>5.5218116117684151</v>
      </c>
      <c r="AN10" s="52">
        <f t="shared" si="24"/>
        <v>5.5218116117684151</v>
      </c>
      <c r="AO10" s="52">
        <f t="shared" si="24"/>
        <v>5.5218116117684151</v>
      </c>
      <c r="AP10" s="52">
        <f t="shared" si="24"/>
        <v>5.5218116117684151</v>
      </c>
      <c r="AQ10" s="52">
        <f t="shared" si="24"/>
        <v>5.5218116117684151</v>
      </c>
      <c r="AR10" s="52">
        <f t="shared" si="24"/>
        <v>5.5218116117684151</v>
      </c>
      <c r="AS10" s="52">
        <f t="shared" si="24"/>
        <v>5.5218116117684151</v>
      </c>
      <c r="AT10" s="52">
        <f t="shared" si="24"/>
        <v>5.5218116117684151</v>
      </c>
      <c r="AU10" s="52">
        <f t="shared" si="24"/>
        <v>5.5218116117684151</v>
      </c>
      <c r="AV10" s="52">
        <f t="shared" si="24"/>
        <v>5.5218116117684151</v>
      </c>
      <c r="AW10" s="52">
        <f t="shared" si="24"/>
        <v>5.5218116117684151</v>
      </c>
      <c r="AX10" s="52">
        <f t="shared" si="24"/>
        <v>5.5218116117684151</v>
      </c>
      <c r="AY10" s="52">
        <f t="shared" si="24"/>
        <v>5.5218116117684151</v>
      </c>
      <c r="AZ10" s="52">
        <f t="shared" si="24"/>
        <v>5.5218116117684151</v>
      </c>
      <c r="BA10" s="52">
        <f t="shared" si="24"/>
        <v>5.5218116117684151</v>
      </c>
      <c r="BB10" s="52">
        <f t="shared" si="24"/>
        <v>5.5218116117684151</v>
      </c>
      <c r="BC10" s="52">
        <f t="shared" si="24"/>
        <v>5.5218116117684151</v>
      </c>
      <c r="BD10" s="52">
        <f t="shared" si="24"/>
        <v>5.5218116117684151</v>
      </c>
      <c r="BE10" s="52">
        <f t="shared" si="24"/>
        <v>5.5218116117684151</v>
      </c>
      <c r="BF10" s="52">
        <f t="shared" si="24"/>
        <v>5.5218116117684151</v>
      </c>
      <c r="BG10" s="52">
        <f t="shared" si="24"/>
        <v>5.5218116117684151</v>
      </c>
      <c r="BH10" s="52">
        <f t="shared" si="24"/>
        <v>5.5218116117684151</v>
      </c>
      <c r="BI10" s="52">
        <f t="shared" si="24"/>
        <v>5.5218116117684151</v>
      </c>
      <c r="BJ10" s="52">
        <f t="shared" si="24"/>
        <v>5.5218116117684151</v>
      </c>
      <c r="BK10" s="52">
        <f t="shared" si="24"/>
        <v>5.5218116117684151</v>
      </c>
      <c r="BL10" s="52">
        <f t="shared" si="24"/>
        <v>5.5218116117684151</v>
      </c>
      <c r="BM10" s="52">
        <f t="shared" si="24"/>
        <v>5.5218116117684151</v>
      </c>
      <c r="BN10" s="52">
        <f t="shared" si="24"/>
        <v>5.5218116117684151</v>
      </c>
      <c r="BO10" s="52">
        <f t="shared" si="24"/>
        <v>5.5218116117684151</v>
      </c>
      <c r="BP10" s="52">
        <f t="shared" si="24"/>
        <v>5.5218116117684151</v>
      </c>
      <c r="BQ10" s="52">
        <f t="shared" si="24"/>
        <v>5.5218116117684151</v>
      </c>
      <c r="BR10" s="52">
        <f t="shared" si="24"/>
        <v>5.5218116117684151</v>
      </c>
      <c r="BS10" s="52">
        <f t="shared" si="24"/>
        <v>5.5218116117684151</v>
      </c>
      <c r="BT10" s="52">
        <f t="shared" si="24"/>
        <v>5.5218116117684151</v>
      </c>
      <c r="BU10" s="52">
        <f t="shared" si="26" ref="BU10:CK10">+BT10</f>
        <v>5.5218116117684151</v>
      </c>
      <c r="BV10" s="52">
        <f t="shared" si="26"/>
        <v>5.5218116117684151</v>
      </c>
      <c r="BW10" s="52">
        <f t="shared" si="26"/>
        <v>5.5218116117684151</v>
      </c>
      <c r="BX10" s="52">
        <f t="shared" si="26"/>
        <v>5.5218116117684151</v>
      </c>
      <c r="BY10" s="52">
        <f t="shared" si="26"/>
        <v>5.5218116117684151</v>
      </c>
      <c r="BZ10" s="52">
        <f t="shared" si="26"/>
        <v>5.5218116117684151</v>
      </c>
      <c r="CA10" s="52">
        <f t="shared" si="26"/>
        <v>5.5218116117684151</v>
      </c>
      <c r="CB10" s="52">
        <f t="shared" si="26"/>
        <v>5.5218116117684151</v>
      </c>
      <c r="CC10" s="52">
        <f t="shared" si="26"/>
        <v>5.5218116117684151</v>
      </c>
      <c r="CD10" s="52">
        <f t="shared" si="26"/>
        <v>5.5218116117684151</v>
      </c>
      <c r="CE10" s="52">
        <f t="shared" si="26"/>
        <v>5.5218116117684151</v>
      </c>
      <c r="CF10" s="52">
        <f t="shared" si="26"/>
        <v>5.5218116117684151</v>
      </c>
      <c r="CG10" s="52">
        <f t="shared" si="26"/>
        <v>5.5218116117684151</v>
      </c>
      <c r="CH10" s="52">
        <f t="shared" si="26"/>
        <v>5.5218116117684151</v>
      </c>
      <c r="CI10" s="52">
        <f t="shared" si="26"/>
        <v>5.5218116117684151</v>
      </c>
      <c r="CJ10" s="52">
        <f t="shared" si="26"/>
        <v>5.5218116117684151</v>
      </c>
      <c r="CK10" s="52">
        <f t="shared" si="26"/>
        <v>5.5218116117684151</v>
      </c>
    </row>
    <row r="11" spans="3:89" ht="14.4">
      <c r="C11" t="s">
        <v>6</v>
      </c>
      <c r="D11" t="str">
        <f>_xlfn.TEXTJOIN(",",TRUE,Regions!$C$3,Regions!$D$3)</f>
        <v>IE,National</v>
      </c>
      <c r="E11" s="89" t="s">
        <v>209</v>
      </c>
      <c r="F11" s="34"/>
      <c r="G11" s="51">
        <f t="shared" si="4"/>
        <v>23.439361110035826</v>
      </c>
      <c r="H11" s="52">
        <f t="shared" si="0"/>
        <v>23.439361110035826</v>
      </c>
      <c r="I11" s="52">
        <f t="shared" si="27" ref="I11:BT11">+H11</f>
        <v>23.439361110035826</v>
      </c>
      <c r="J11" s="52">
        <f t="shared" si="27"/>
        <v>23.439361110035826</v>
      </c>
      <c r="K11" s="52">
        <f t="shared" si="6"/>
        <v>24.142541943336902</v>
      </c>
      <c r="L11" s="52">
        <f>+$G11*S$83/$N83</f>
        <v>23.89677993089175</v>
      </c>
      <c r="M11" s="52">
        <f t="shared" si="28" ref="M11:AM11">+$G11*T$83/$N83</f>
        <v>24.359758817908968</v>
      </c>
      <c r="N11" s="52">
        <f t="shared" si="28"/>
        <v>24.799903204550571</v>
      </c>
      <c r="O11" s="52">
        <f t="shared" si="28"/>
        <v>25.21928402667999</v>
      </c>
      <c r="P11" s="52">
        <f t="shared" si="28"/>
        <v>25.617802424884566</v>
      </c>
      <c r="Q11" s="52">
        <f t="shared" si="28"/>
        <v>25.999656930304155</v>
      </c>
      <c r="R11" s="52">
        <f t="shared" si="28"/>
        <v>26.369438326292826</v>
      </c>
      <c r="S11" s="52">
        <f t="shared" si="28"/>
        <v>26.726106362752368</v>
      </c>
      <c r="T11" s="52">
        <f t="shared" si="28"/>
        <v>27.07195526291887</v>
      </c>
      <c r="U11" s="52">
        <f t="shared" si="28"/>
        <v>27.406007591034971</v>
      </c>
      <c r="V11" s="52">
        <f t="shared" si="28"/>
        <v>27.729816047880295</v>
      </c>
      <c r="W11" s="52">
        <f t="shared" si="28"/>
        <v>28.044083778675123</v>
      </c>
      <c r="X11" s="52">
        <f t="shared" si="28"/>
        <v>28.346829385826744</v>
      </c>
      <c r="Y11" s="52">
        <f t="shared" si="28"/>
        <v>28.636988321345804</v>
      </c>
      <c r="Z11" s="52">
        <f t="shared" si="28"/>
        <v>28.913366622097783</v>
      </c>
      <c r="AA11" s="52">
        <f t="shared" si="28"/>
        <v>29.175129865186012</v>
      </c>
      <c r="AB11" s="52">
        <f t="shared" si="28"/>
        <v>29.420020642866241</v>
      </c>
      <c r="AC11" s="52">
        <f t="shared" si="28"/>
        <v>29.646626130500554</v>
      </c>
      <c r="AD11" s="52">
        <f t="shared" si="28"/>
        <v>29.854140161216041</v>
      </c>
      <c r="AE11" s="52">
        <f t="shared" si="28"/>
        <v>30.040839052089453</v>
      </c>
      <c r="AF11" s="52">
        <f t="shared" si="28"/>
        <v>30.204537944898696</v>
      </c>
      <c r="AG11" s="52">
        <f t="shared" si="28"/>
        <v>30.341104191037129</v>
      </c>
      <c r="AH11" s="52">
        <f t="shared" si="28"/>
        <v>30.449151957445075</v>
      </c>
      <c r="AI11" s="52">
        <f t="shared" si="28"/>
        <v>30.527774496114802</v>
      </c>
      <c r="AJ11" s="52">
        <f t="shared" si="28"/>
        <v>30.57494443382868</v>
      </c>
      <c r="AK11" s="52">
        <f t="shared" si="28"/>
        <v>30.589147434774585</v>
      </c>
      <c r="AL11" s="52">
        <f t="shared" si="28"/>
        <v>30.567160824561149</v>
      </c>
      <c r="AM11" s="52">
        <f t="shared" si="28"/>
        <v>30.508379800306422</v>
      </c>
      <c r="AN11" s="52">
        <f t="shared" si="27"/>
        <v>30.508379800306422</v>
      </c>
      <c r="AO11" s="52">
        <f t="shared" si="27"/>
        <v>30.508379800306422</v>
      </c>
      <c r="AP11" s="52">
        <f t="shared" si="27"/>
        <v>30.508379800306422</v>
      </c>
      <c r="AQ11" s="52">
        <f t="shared" si="27"/>
        <v>30.508379800306422</v>
      </c>
      <c r="AR11" s="52">
        <f t="shared" si="27"/>
        <v>30.508379800306422</v>
      </c>
      <c r="AS11" s="52">
        <f t="shared" si="27"/>
        <v>30.508379800306422</v>
      </c>
      <c r="AT11" s="52">
        <f t="shared" si="27"/>
        <v>30.508379800306422</v>
      </c>
      <c r="AU11" s="52">
        <f t="shared" si="27"/>
        <v>30.508379800306422</v>
      </c>
      <c r="AV11" s="52">
        <f t="shared" si="27"/>
        <v>30.508379800306422</v>
      </c>
      <c r="AW11" s="52">
        <f t="shared" si="27"/>
        <v>30.508379800306422</v>
      </c>
      <c r="AX11" s="52">
        <f t="shared" si="27"/>
        <v>30.508379800306422</v>
      </c>
      <c r="AY11" s="52">
        <f t="shared" si="27"/>
        <v>30.508379800306422</v>
      </c>
      <c r="AZ11" s="52">
        <f t="shared" si="27"/>
        <v>30.508379800306422</v>
      </c>
      <c r="BA11" s="52">
        <f t="shared" si="27"/>
        <v>30.508379800306422</v>
      </c>
      <c r="BB11" s="52">
        <f t="shared" si="27"/>
        <v>30.508379800306422</v>
      </c>
      <c r="BC11" s="52">
        <f t="shared" si="27"/>
        <v>30.508379800306422</v>
      </c>
      <c r="BD11" s="52">
        <f t="shared" si="27"/>
        <v>30.508379800306422</v>
      </c>
      <c r="BE11" s="52">
        <f t="shared" si="27"/>
        <v>30.508379800306422</v>
      </c>
      <c r="BF11" s="52">
        <f t="shared" si="27"/>
        <v>30.508379800306422</v>
      </c>
      <c r="BG11" s="52">
        <f t="shared" si="27"/>
        <v>30.508379800306422</v>
      </c>
      <c r="BH11" s="52">
        <f t="shared" si="27"/>
        <v>30.508379800306422</v>
      </c>
      <c r="BI11" s="52">
        <f t="shared" si="27"/>
        <v>30.508379800306422</v>
      </c>
      <c r="BJ11" s="52">
        <f t="shared" si="27"/>
        <v>30.508379800306422</v>
      </c>
      <c r="BK11" s="52">
        <f t="shared" si="27"/>
        <v>30.508379800306422</v>
      </c>
      <c r="BL11" s="52">
        <f t="shared" si="27"/>
        <v>30.508379800306422</v>
      </c>
      <c r="BM11" s="52">
        <f t="shared" si="27"/>
        <v>30.508379800306422</v>
      </c>
      <c r="BN11" s="52">
        <f t="shared" si="27"/>
        <v>30.508379800306422</v>
      </c>
      <c r="BO11" s="52">
        <f t="shared" si="27"/>
        <v>30.508379800306422</v>
      </c>
      <c r="BP11" s="52">
        <f t="shared" si="27"/>
        <v>30.508379800306422</v>
      </c>
      <c r="BQ11" s="52">
        <f t="shared" si="27"/>
        <v>30.508379800306422</v>
      </c>
      <c r="BR11" s="52">
        <f t="shared" si="27"/>
        <v>30.508379800306422</v>
      </c>
      <c r="BS11" s="52">
        <f t="shared" si="27"/>
        <v>30.508379800306422</v>
      </c>
      <c r="BT11" s="52">
        <f t="shared" si="27"/>
        <v>30.508379800306422</v>
      </c>
      <c r="BU11" s="52">
        <f t="shared" si="29" ref="BU11:CK11">+BT11</f>
        <v>30.508379800306422</v>
      </c>
      <c r="BV11" s="52">
        <f t="shared" si="29"/>
        <v>30.508379800306422</v>
      </c>
      <c r="BW11" s="52">
        <f t="shared" si="29"/>
        <v>30.508379800306422</v>
      </c>
      <c r="BX11" s="52">
        <f t="shared" si="29"/>
        <v>30.508379800306422</v>
      </c>
      <c r="BY11" s="52">
        <f t="shared" si="29"/>
        <v>30.508379800306422</v>
      </c>
      <c r="BZ11" s="52">
        <f t="shared" si="29"/>
        <v>30.508379800306422</v>
      </c>
      <c r="CA11" s="52">
        <f t="shared" si="29"/>
        <v>30.508379800306422</v>
      </c>
      <c r="CB11" s="52">
        <f t="shared" si="29"/>
        <v>30.508379800306422</v>
      </c>
      <c r="CC11" s="52">
        <f t="shared" si="29"/>
        <v>30.508379800306422</v>
      </c>
      <c r="CD11" s="52">
        <f t="shared" si="29"/>
        <v>30.508379800306422</v>
      </c>
      <c r="CE11" s="52">
        <f t="shared" si="29"/>
        <v>30.508379800306422</v>
      </c>
      <c r="CF11" s="52">
        <f t="shared" si="29"/>
        <v>30.508379800306422</v>
      </c>
      <c r="CG11" s="52">
        <f t="shared" si="29"/>
        <v>30.508379800306422</v>
      </c>
      <c r="CH11" s="52">
        <f t="shared" si="29"/>
        <v>30.508379800306422</v>
      </c>
      <c r="CI11" s="52">
        <f t="shared" si="29"/>
        <v>30.508379800306422</v>
      </c>
      <c r="CJ11" s="52">
        <f t="shared" si="29"/>
        <v>30.508379800306422</v>
      </c>
      <c r="CK11" s="52">
        <f t="shared" si="29"/>
        <v>30.508379800306422</v>
      </c>
    </row>
    <row r="12" spans="3:89" ht="14.4">
      <c r="C12" t="s">
        <v>6</v>
      </c>
      <c r="D12" t="str">
        <f>_xlfn.TEXTJOIN(",",TRUE,Regions!$C$3,Regions!$D$3)</f>
        <v>IE,National</v>
      </c>
      <c r="E12" s="89" t="s">
        <v>210</v>
      </c>
      <c r="F12" s="34"/>
      <c r="G12" s="51">
        <f t="shared" si="4"/>
        <v>0</v>
      </c>
      <c r="H12" s="52">
        <f t="shared" si="0"/>
        <v>0</v>
      </c>
      <c r="I12" s="52">
        <f t="shared" si="30" ref="I12:BT12">+H12</f>
        <v>0</v>
      </c>
      <c r="J12" s="52">
        <f t="shared" si="30"/>
        <v>0</v>
      </c>
      <c r="K12" s="52">
        <f t="shared" si="6"/>
        <v>0</v>
      </c>
      <c r="L12" s="52">
        <f>+$G12*S$87/$N78</f>
        <v>0</v>
      </c>
      <c r="M12" s="52">
        <f t="shared" si="31" ref="M12:AM12">+$G12*T$87/$N78</f>
        <v>0</v>
      </c>
      <c r="N12" s="52">
        <f t="shared" si="31"/>
        <v>0</v>
      </c>
      <c r="O12" s="52">
        <f t="shared" si="31"/>
        <v>0</v>
      </c>
      <c r="P12" s="52">
        <f t="shared" si="31"/>
        <v>0</v>
      </c>
      <c r="Q12" s="52">
        <f t="shared" si="31"/>
        <v>0</v>
      </c>
      <c r="R12" s="52">
        <f t="shared" si="31"/>
        <v>0</v>
      </c>
      <c r="S12" s="52">
        <f t="shared" si="31"/>
        <v>0</v>
      </c>
      <c r="T12" s="52">
        <f t="shared" si="31"/>
        <v>0</v>
      </c>
      <c r="U12" s="52">
        <f t="shared" si="31"/>
        <v>0</v>
      </c>
      <c r="V12" s="52">
        <f t="shared" si="31"/>
        <v>0</v>
      </c>
      <c r="W12" s="52">
        <f t="shared" si="31"/>
        <v>0</v>
      </c>
      <c r="X12" s="52">
        <f t="shared" si="31"/>
        <v>0</v>
      </c>
      <c r="Y12" s="52">
        <f t="shared" si="31"/>
        <v>0</v>
      </c>
      <c r="Z12" s="52">
        <f t="shared" si="31"/>
        <v>0</v>
      </c>
      <c r="AA12" s="52">
        <f t="shared" si="31"/>
        <v>0</v>
      </c>
      <c r="AB12" s="52">
        <f t="shared" si="31"/>
        <v>0</v>
      </c>
      <c r="AC12" s="52">
        <f t="shared" si="31"/>
        <v>0</v>
      </c>
      <c r="AD12" s="52">
        <f t="shared" si="31"/>
        <v>0</v>
      </c>
      <c r="AE12" s="52">
        <f t="shared" si="31"/>
        <v>0</v>
      </c>
      <c r="AF12" s="52">
        <f t="shared" si="31"/>
        <v>0</v>
      </c>
      <c r="AG12" s="52">
        <f t="shared" si="31"/>
        <v>0</v>
      </c>
      <c r="AH12" s="52">
        <f t="shared" si="31"/>
        <v>0</v>
      </c>
      <c r="AI12" s="52">
        <f t="shared" si="31"/>
        <v>0</v>
      </c>
      <c r="AJ12" s="52">
        <f t="shared" si="31"/>
        <v>0</v>
      </c>
      <c r="AK12" s="52">
        <f t="shared" si="31"/>
        <v>0</v>
      </c>
      <c r="AL12" s="52">
        <f t="shared" si="31"/>
        <v>0</v>
      </c>
      <c r="AM12" s="52">
        <f t="shared" si="31"/>
        <v>0</v>
      </c>
      <c r="AN12" s="52">
        <f t="shared" si="30"/>
        <v>0</v>
      </c>
      <c r="AO12" s="52">
        <f t="shared" si="30"/>
        <v>0</v>
      </c>
      <c r="AP12" s="52">
        <f t="shared" si="30"/>
        <v>0</v>
      </c>
      <c r="AQ12" s="52">
        <f t="shared" si="30"/>
        <v>0</v>
      </c>
      <c r="AR12" s="52">
        <f t="shared" si="30"/>
        <v>0</v>
      </c>
      <c r="AS12" s="52">
        <f t="shared" si="30"/>
        <v>0</v>
      </c>
      <c r="AT12" s="52">
        <f t="shared" si="30"/>
        <v>0</v>
      </c>
      <c r="AU12" s="52">
        <f t="shared" si="30"/>
        <v>0</v>
      </c>
      <c r="AV12" s="52">
        <f t="shared" si="30"/>
        <v>0</v>
      </c>
      <c r="AW12" s="52">
        <f t="shared" si="30"/>
        <v>0</v>
      </c>
      <c r="AX12" s="52">
        <f t="shared" si="30"/>
        <v>0</v>
      </c>
      <c r="AY12" s="52">
        <f t="shared" si="30"/>
        <v>0</v>
      </c>
      <c r="AZ12" s="52">
        <f t="shared" si="30"/>
        <v>0</v>
      </c>
      <c r="BA12" s="52">
        <f t="shared" si="30"/>
        <v>0</v>
      </c>
      <c r="BB12" s="52">
        <f t="shared" si="30"/>
        <v>0</v>
      </c>
      <c r="BC12" s="52">
        <f t="shared" si="30"/>
        <v>0</v>
      </c>
      <c r="BD12" s="52">
        <f t="shared" si="30"/>
        <v>0</v>
      </c>
      <c r="BE12" s="52">
        <f t="shared" si="30"/>
        <v>0</v>
      </c>
      <c r="BF12" s="52">
        <f t="shared" si="30"/>
        <v>0</v>
      </c>
      <c r="BG12" s="52">
        <f t="shared" si="30"/>
        <v>0</v>
      </c>
      <c r="BH12" s="52">
        <f t="shared" si="30"/>
        <v>0</v>
      </c>
      <c r="BI12" s="52">
        <f t="shared" si="30"/>
        <v>0</v>
      </c>
      <c r="BJ12" s="52">
        <f t="shared" si="30"/>
        <v>0</v>
      </c>
      <c r="BK12" s="52">
        <f t="shared" si="30"/>
        <v>0</v>
      </c>
      <c r="BL12" s="52">
        <f t="shared" si="30"/>
        <v>0</v>
      </c>
      <c r="BM12" s="52">
        <f t="shared" si="30"/>
        <v>0</v>
      </c>
      <c r="BN12" s="52">
        <f t="shared" si="30"/>
        <v>0</v>
      </c>
      <c r="BO12" s="52">
        <f t="shared" si="30"/>
        <v>0</v>
      </c>
      <c r="BP12" s="52">
        <f t="shared" si="30"/>
        <v>0</v>
      </c>
      <c r="BQ12" s="52">
        <f t="shared" si="30"/>
        <v>0</v>
      </c>
      <c r="BR12" s="52">
        <f t="shared" si="30"/>
        <v>0</v>
      </c>
      <c r="BS12" s="52">
        <f t="shared" si="30"/>
        <v>0</v>
      </c>
      <c r="BT12" s="52">
        <f t="shared" si="30"/>
        <v>0</v>
      </c>
      <c r="BU12" s="52">
        <f t="shared" si="32" ref="BU12:CK12">+BT12</f>
        <v>0</v>
      </c>
      <c r="BV12" s="52">
        <f t="shared" si="32"/>
        <v>0</v>
      </c>
      <c r="BW12" s="52">
        <f t="shared" si="32"/>
        <v>0</v>
      </c>
      <c r="BX12" s="52">
        <f t="shared" si="32"/>
        <v>0</v>
      </c>
      <c r="BY12" s="52">
        <f t="shared" si="32"/>
        <v>0</v>
      </c>
      <c r="BZ12" s="52">
        <f t="shared" si="32"/>
        <v>0</v>
      </c>
      <c r="CA12" s="52">
        <f t="shared" si="32"/>
        <v>0</v>
      </c>
      <c r="CB12" s="52">
        <f t="shared" si="32"/>
        <v>0</v>
      </c>
      <c r="CC12" s="52">
        <f t="shared" si="32"/>
        <v>0</v>
      </c>
      <c r="CD12" s="52">
        <f t="shared" si="32"/>
        <v>0</v>
      </c>
      <c r="CE12" s="52">
        <f t="shared" si="32"/>
        <v>0</v>
      </c>
      <c r="CF12" s="52">
        <f t="shared" si="32"/>
        <v>0</v>
      </c>
      <c r="CG12" s="52">
        <f t="shared" si="32"/>
        <v>0</v>
      </c>
      <c r="CH12" s="52">
        <f t="shared" si="32"/>
        <v>0</v>
      </c>
      <c r="CI12" s="52">
        <f t="shared" si="32"/>
        <v>0</v>
      </c>
      <c r="CJ12" s="52">
        <f t="shared" si="32"/>
        <v>0</v>
      </c>
      <c r="CK12" s="52">
        <f t="shared" si="32"/>
        <v>0</v>
      </c>
    </row>
    <row r="13" spans="3:89" ht="14.4">
      <c r="C13" t="s">
        <v>6</v>
      </c>
      <c r="D13" t="str">
        <f>_xlfn.TEXTJOIN(",",TRUE,Regions!$C$3,Regions!$D$3)</f>
        <v>IE,National</v>
      </c>
      <c r="E13" t="s">
        <v>27</v>
      </c>
      <c r="F13" s="34" t="s">
        <v>28</v>
      </c>
      <c r="G13" s="51">
        <f>VLOOKUP(E13,'BY-Demands'!$I$6:$J$42,2,FALSE)</f>
        <v>0</v>
      </c>
      <c r="H13" s="52">
        <f t="shared" si="0"/>
        <v>0</v>
      </c>
      <c r="I13" s="52">
        <f t="shared" si="33" ref="I13:BT13">+H13</f>
        <v>0</v>
      </c>
      <c r="J13" s="52">
        <f t="shared" si="33"/>
        <v>0</v>
      </c>
      <c r="K13" s="52">
        <f t="shared" si="33"/>
        <v>0</v>
      </c>
      <c r="L13" s="52">
        <f t="shared" si="33"/>
        <v>0</v>
      </c>
      <c r="M13" s="52">
        <f t="shared" si="33"/>
        <v>0</v>
      </c>
      <c r="N13" s="52">
        <f t="shared" si="33"/>
        <v>0</v>
      </c>
      <c r="O13" s="52">
        <f t="shared" si="33"/>
        <v>0</v>
      </c>
      <c r="P13" s="52">
        <f t="shared" si="33"/>
        <v>0</v>
      </c>
      <c r="Q13" s="52">
        <f t="shared" si="33"/>
        <v>0</v>
      </c>
      <c r="R13" s="52">
        <f t="shared" si="33"/>
        <v>0</v>
      </c>
      <c r="S13" s="52">
        <f t="shared" si="33"/>
        <v>0</v>
      </c>
      <c r="T13" s="52">
        <f t="shared" si="33"/>
        <v>0</v>
      </c>
      <c r="U13" s="52">
        <f t="shared" si="33"/>
        <v>0</v>
      </c>
      <c r="V13" s="52">
        <f t="shared" si="33"/>
        <v>0</v>
      </c>
      <c r="W13" s="52">
        <f t="shared" si="33"/>
        <v>0</v>
      </c>
      <c r="X13" s="52">
        <f t="shared" si="33"/>
        <v>0</v>
      </c>
      <c r="Y13" s="52">
        <f t="shared" si="33"/>
        <v>0</v>
      </c>
      <c r="Z13" s="52">
        <f t="shared" si="33"/>
        <v>0</v>
      </c>
      <c r="AA13" s="52">
        <f t="shared" si="33"/>
        <v>0</v>
      </c>
      <c r="AB13" s="52">
        <f t="shared" si="33"/>
        <v>0</v>
      </c>
      <c r="AC13" s="52">
        <f t="shared" si="33"/>
        <v>0</v>
      </c>
      <c r="AD13" s="52">
        <f t="shared" si="33"/>
        <v>0</v>
      </c>
      <c r="AE13" s="52">
        <f t="shared" si="33"/>
        <v>0</v>
      </c>
      <c r="AF13" s="52">
        <f t="shared" si="33"/>
        <v>0</v>
      </c>
      <c r="AG13" s="52">
        <f t="shared" si="33"/>
        <v>0</v>
      </c>
      <c r="AH13" s="52">
        <f t="shared" si="33"/>
        <v>0</v>
      </c>
      <c r="AI13" s="52">
        <f t="shared" si="33"/>
        <v>0</v>
      </c>
      <c r="AJ13" s="52">
        <f t="shared" si="33"/>
        <v>0</v>
      </c>
      <c r="AK13" s="52">
        <f t="shared" si="33"/>
        <v>0</v>
      </c>
      <c r="AL13" s="52">
        <f t="shared" si="33"/>
        <v>0</v>
      </c>
      <c r="AM13" s="52">
        <f t="shared" si="33"/>
        <v>0</v>
      </c>
      <c r="AN13" s="52">
        <f t="shared" si="33"/>
        <v>0</v>
      </c>
      <c r="AO13" s="52">
        <f t="shared" si="33"/>
        <v>0</v>
      </c>
      <c r="AP13" s="52">
        <f t="shared" si="33"/>
        <v>0</v>
      </c>
      <c r="AQ13" s="52">
        <f t="shared" si="33"/>
        <v>0</v>
      </c>
      <c r="AR13" s="52">
        <f t="shared" si="33"/>
        <v>0</v>
      </c>
      <c r="AS13" s="52">
        <f t="shared" si="33"/>
        <v>0</v>
      </c>
      <c r="AT13" s="52">
        <f t="shared" si="33"/>
        <v>0</v>
      </c>
      <c r="AU13" s="52">
        <f t="shared" si="33"/>
        <v>0</v>
      </c>
      <c r="AV13" s="52">
        <f t="shared" si="33"/>
        <v>0</v>
      </c>
      <c r="AW13" s="52">
        <f t="shared" si="33"/>
        <v>0</v>
      </c>
      <c r="AX13" s="52">
        <f t="shared" si="33"/>
        <v>0</v>
      </c>
      <c r="AY13" s="52">
        <f t="shared" si="33"/>
        <v>0</v>
      </c>
      <c r="AZ13" s="52">
        <f t="shared" si="33"/>
        <v>0</v>
      </c>
      <c r="BA13" s="52">
        <f t="shared" si="33"/>
        <v>0</v>
      </c>
      <c r="BB13" s="52">
        <f t="shared" si="33"/>
        <v>0</v>
      </c>
      <c r="BC13" s="52">
        <f t="shared" si="33"/>
        <v>0</v>
      </c>
      <c r="BD13" s="52">
        <f t="shared" si="33"/>
        <v>0</v>
      </c>
      <c r="BE13" s="52">
        <f t="shared" si="33"/>
        <v>0</v>
      </c>
      <c r="BF13" s="52">
        <f t="shared" si="33"/>
        <v>0</v>
      </c>
      <c r="BG13" s="52">
        <f t="shared" si="33"/>
        <v>0</v>
      </c>
      <c r="BH13" s="52">
        <f t="shared" si="33"/>
        <v>0</v>
      </c>
      <c r="BI13" s="52">
        <f t="shared" si="33"/>
        <v>0</v>
      </c>
      <c r="BJ13" s="52">
        <f t="shared" si="33"/>
        <v>0</v>
      </c>
      <c r="BK13" s="52">
        <f t="shared" si="33"/>
        <v>0</v>
      </c>
      <c r="BL13" s="52">
        <f t="shared" si="33"/>
        <v>0</v>
      </c>
      <c r="BM13" s="52">
        <f t="shared" si="33"/>
        <v>0</v>
      </c>
      <c r="BN13" s="52">
        <f t="shared" si="33"/>
        <v>0</v>
      </c>
      <c r="BO13" s="52">
        <f t="shared" si="33"/>
        <v>0</v>
      </c>
      <c r="BP13" s="52">
        <f t="shared" si="33"/>
        <v>0</v>
      </c>
      <c r="BQ13" s="52">
        <f t="shared" si="33"/>
        <v>0</v>
      </c>
      <c r="BR13" s="52">
        <f t="shared" si="33"/>
        <v>0</v>
      </c>
      <c r="BS13" s="52">
        <f t="shared" si="33"/>
        <v>0</v>
      </c>
      <c r="BT13" s="52">
        <f t="shared" si="33"/>
        <v>0</v>
      </c>
      <c r="BU13" s="52">
        <f t="shared" si="34" ref="BU13:CK13">+BT13</f>
        <v>0</v>
      </c>
      <c r="BV13" s="52">
        <f t="shared" si="34"/>
        <v>0</v>
      </c>
      <c r="BW13" s="52">
        <f t="shared" si="34"/>
        <v>0</v>
      </c>
      <c r="BX13" s="52">
        <f t="shared" si="34"/>
        <v>0</v>
      </c>
      <c r="BY13" s="52">
        <f t="shared" si="34"/>
        <v>0</v>
      </c>
      <c r="BZ13" s="52">
        <f t="shared" si="34"/>
        <v>0</v>
      </c>
      <c r="CA13" s="52">
        <f t="shared" si="34"/>
        <v>0</v>
      </c>
      <c r="CB13" s="52">
        <f t="shared" si="34"/>
        <v>0</v>
      </c>
      <c r="CC13" s="52">
        <f t="shared" si="34"/>
        <v>0</v>
      </c>
      <c r="CD13" s="52">
        <f t="shared" si="34"/>
        <v>0</v>
      </c>
      <c r="CE13" s="52">
        <f t="shared" si="34"/>
        <v>0</v>
      </c>
      <c r="CF13" s="52">
        <f t="shared" si="34"/>
        <v>0</v>
      </c>
      <c r="CG13" s="52">
        <f t="shared" si="34"/>
        <v>0</v>
      </c>
      <c r="CH13" s="52">
        <f t="shared" si="34"/>
        <v>0</v>
      </c>
      <c r="CI13" s="52">
        <f t="shared" si="34"/>
        <v>0</v>
      </c>
      <c r="CJ13" s="52">
        <f t="shared" si="34"/>
        <v>0</v>
      </c>
      <c r="CK13" s="52">
        <f t="shared" si="34"/>
        <v>0</v>
      </c>
    </row>
    <row r="14" spans="3:89" ht="14.4">
      <c r="C14" t="s">
        <v>6</v>
      </c>
      <c r="D14" t="str">
        <f>_xlfn.TEXTJOIN(",",TRUE,Regions!$C$3,Regions!$D$3)</f>
        <v>IE,National</v>
      </c>
      <c r="E14" t="s">
        <v>29</v>
      </c>
      <c r="F14" s="34" t="s">
        <v>30</v>
      </c>
      <c r="G14" s="51">
        <f>VLOOKUP(E14,'BY-Demands'!$I$6:$J$42,2,FALSE)</f>
        <v>0</v>
      </c>
      <c r="H14" s="52">
        <f t="shared" si="0"/>
        <v>0</v>
      </c>
      <c r="I14" s="52">
        <f t="shared" si="35" ref="I14:BT14">+H14</f>
        <v>0</v>
      </c>
      <c r="J14" s="52">
        <f t="shared" si="35"/>
        <v>0</v>
      </c>
      <c r="K14" s="52">
        <f t="shared" si="35"/>
        <v>0</v>
      </c>
      <c r="L14" s="52">
        <f t="shared" si="35"/>
        <v>0</v>
      </c>
      <c r="M14" s="52">
        <f t="shared" si="35"/>
        <v>0</v>
      </c>
      <c r="N14" s="52">
        <f t="shared" si="35"/>
        <v>0</v>
      </c>
      <c r="O14" s="52">
        <f t="shared" si="35"/>
        <v>0</v>
      </c>
      <c r="P14" s="52">
        <f t="shared" si="35"/>
        <v>0</v>
      </c>
      <c r="Q14" s="52">
        <f t="shared" si="35"/>
        <v>0</v>
      </c>
      <c r="R14" s="52">
        <f t="shared" si="35"/>
        <v>0</v>
      </c>
      <c r="S14" s="52">
        <f t="shared" si="35"/>
        <v>0</v>
      </c>
      <c r="T14" s="52">
        <f t="shared" si="35"/>
        <v>0</v>
      </c>
      <c r="U14" s="52">
        <f t="shared" si="35"/>
        <v>0</v>
      </c>
      <c r="V14" s="52">
        <f t="shared" si="35"/>
        <v>0</v>
      </c>
      <c r="W14" s="52">
        <f t="shared" si="35"/>
        <v>0</v>
      </c>
      <c r="X14" s="52">
        <f t="shared" si="35"/>
        <v>0</v>
      </c>
      <c r="Y14" s="52">
        <f t="shared" si="35"/>
        <v>0</v>
      </c>
      <c r="Z14" s="52">
        <f t="shared" si="35"/>
        <v>0</v>
      </c>
      <c r="AA14" s="52">
        <f t="shared" si="35"/>
        <v>0</v>
      </c>
      <c r="AB14" s="52">
        <f t="shared" si="35"/>
        <v>0</v>
      </c>
      <c r="AC14" s="52">
        <f t="shared" si="35"/>
        <v>0</v>
      </c>
      <c r="AD14" s="52">
        <f t="shared" si="35"/>
        <v>0</v>
      </c>
      <c r="AE14" s="52">
        <f t="shared" si="35"/>
        <v>0</v>
      </c>
      <c r="AF14" s="52">
        <f t="shared" si="35"/>
        <v>0</v>
      </c>
      <c r="AG14" s="52">
        <f t="shared" si="35"/>
        <v>0</v>
      </c>
      <c r="AH14" s="52">
        <f t="shared" si="35"/>
        <v>0</v>
      </c>
      <c r="AI14" s="52">
        <f t="shared" si="35"/>
        <v>0</v>
      </c>
      <c r="AJ14" s="52">
        <f t="shared" si="35"/>
        <v>0</v>
      </c>
      <c r="AK14" s="52">
        <f t="shared" si="35"/>
        <v>0</v>
      </c>
      <c r="AL14" s="52">
        <f t="shared" si="35"/>
        <v>0</v>
      </c>
      <c r="AM14" s="52">
        <f t="shared" si="35"/>
        <v>0</v>
      </c>
      <c r="AN14" s="52">
        <f t="shared" si="35"/>
        <v>0</v>
      </c>
      <c r="AO14" s="52">
        <f t="shared" si="35"/>
        <v>0</v>
      </c>
      <c r="AP14" s="52">
        <f t="shared" si="35"/>
        <v>0</v>
      </c>
      <c r="AQ14" s="52">
        <f t="shared" si="35"/>
        <v>0</v>
      </c>
      <c r="AR14" s="52">
        <f t="shared" si="35"/>
        <v>0</v>
      </c>
      <c r="AS14" s="52">
        <f t="shared" si="35"/>
        <v>0</v>
      </c>
      <c r="AT14" s="52">
        <f t="shared" si="35"/>
        <v>0</v>
      </c>
      <c r="AU14" s="52">
        <f t="shared" si="35"/>
        <v>0</v>
      </c>
      <c r="AV14" s="52">
        <f t="shared" si="35"/>
        <v>0</v>
      </c>
      <c r="AW14" s="52">
        <f t="shared" si="35"/>
        <v>0</v>
      </c>
      <c r="AX14" s="52">
        <f t="shared" si="35"/>
        <v>0</v>
      </c>
      <c r="AY14" s="52">
        <f t="shared" si="35"/>
        <v>0</v>
      </c>
      <c r="AZ14" s="52">
        <f t="shared" si="35"/>
        <v>0</v>
      </c>
      <c r="BA14" s="52">
        <f t="shared" si="35"/>
        <v>0</v>
      </c>
      <c r="BB14" s="52">
        <f t="shared" si="35"/>
        <v>0</v>
      </c>
      <c r="BC14" s="52">
        <f t="shared" si="35"/>
        <v>0</v>
      </c>
      <c r="BD14" s="52">
        <f t="shared" si="35"/>
        <v>0</v>
      </c>
      <c r="BE14" s="52">
        <f t="shared" si="35"/>
        <v>0</v>
      </c>
      <c r="BF14" s="52">
        <f t="shared" si="35"/>
        <v>0</v>
      </c>
      <c r="BG14" s="52">
        <f t="shared" si="35"/>
        <v>0</v>
      </c>
      <c r="BH14" s="52">
        <f t="shared" si="35"/>
        <v>0</v>
      </c>
      <c r="BI14" s="52">
        <f t="shared" si="35"/>
        <v>0</v>
      </c>
      <c r="BJ14" s="52">
        <f t="shared" si="35"/>
        <v>0</v>
      </c>
      <c r="BK14" s="52">
        <f t="shared" si="35"/>
        <v>0</v>
      </c>
      <c r="BL14" s="52">
        <f t="shared" si="35"/>
        <v>0</v>
      </c>
      <c r="BM14" s="52">
        <f t="shared" si="35"/>
        <v>0</v>
      </c>
      <c r="BN14" s="52">
        <f t="shared" si="35"/>
        <v>0</v>
      </c>
      <c r="BO14" s="52">
        <f t="shared" si="35"/>
        <v>0</v>
      </c>
      <c r="BP14" s="52">
        <f t="shared" si="35"/>
        <v>0</v>
      </c>
      <c r="BQ14" s="52">
        <f t="shared" si="35"/>
        <v>0</v>
      </c>
      <c r="BR14" s="52">
        <f t="shared" si="35"/>
        <v>0</v>
      </c>
      <c r="BS14" s="52">
        <f t="shared" si="35"/>
        <v>0</v>
      </c>
      <c r="BT14" s="52">
        <f t="shared" si="35"/>
        <v>0</v>
      </c>
      <c r="BU14" s="52">
        <f t="shared" si="36" ref="BU14:CK14">+BT14</f>
        <v>0</v>
      </c>
      <c r="BV14" s="52">
        <f t="shared" si="36"/>
        <v>0</v>
      </c>
      <c r="BW14" s="52">
        <f t="shared" si="36"/>
        <v>0</v>
      </c>
      <c r="BX14" s="52">
        <f t="shared" si="36"/>
        <v>0</v>
      </c>
      <c r="BY14" s="52">
        <f t="shared" si="36"/>
        <v>0</v>
      </c>
      <c r="BZ14" s="52">
        <f t="shared" si="36"/>
        <v>0</v>
      </c>
      <c r="CA14" s="52">
        <f t="shared" si="36"/>
        <v>0</v>
      </c>
      <c r="CB14" s="52">
        <f t="shared" si="36"/>
        <v>0</v>
      </c>
      <c r="CC14" s="52">
        <f t="shared" si="36"/>
        <v>0</v>
      </c>
      <c r="CD14" s="52">
        <f t="shared" si="36"/>
        <v>0</v>
      </c>
      <c r="CE14" s="52">
        <f t="shared" si="36"/>
        <v>0</v>
      </c>
      <c r="CF14" s="52">
        <f t="shared" si="36"/>
        <v>0</v>
      </c>
      <c r="CG14" s="52">
        <f t="shared" si="36"/>
        <v>0</v>
      </c>
      <c r="CH14" s="52">
        <f t="shared" si="36"/>
        <v>0</v>
      </c>
      <c r="CI14" s="52">
        <f t="shared" si="36"/>
        <v>0</v>
      </c>
      <c r="CJ14" s="52">
        <f t="shared" si="36"/>
        <v>0</v>
      </c>
      <c r="CK14" s="52">
        <f t="shared" si="36"/>
        <v>0</v>
      </c>
    </row>
    <row r="15" spans="3:89" ht="14.4">
      <c r="C15" t="s">
        <v>6</v>
      </c>
      <c r="D15" t="str">
        <f>_xlfn.TEXTJOIN(",",TRUE,Regions!$C$3,Regions!$D$3)</f>
        <v>IE,National</v>
      </c>
      <c r="E15" t="s">
        <v>31</v>
      </c>
      <c r="F15" s="34" t="s">
        <v>32</v>
      </c>
      <c r="G15" s="51">
        <f>VLOOKUP(E15,'BY-Demands'!$I$6:$J$42,2,FALSE)</f>
        <v>3.7999999999999998</v>
      </c>
      <c r="H15" s="52">
        <f t="shared" si="0"/>
        <v>3.7999999999999998</v>
      </c>
      <c r="I15" s="52">
        <f t="shared" si="37" ref="I15:BT15">+H15</f>
        <v>3.7999999999999998</v>
      </c>
      <c r="J15" s="52">
        <f t="shared" si="37"/>
        <v>3.7999999999999998</v>
      </c>
      <c r="K15" s="52">
        <f t="shared" si="37"/>
        <v>3.7999999999999998</v>
      </c>
      <c r="L15" s="52">
        <f t="shared" si="37"/>
        <v>3.7999999999999998</v>
      </c>
      <c r="M15" s="52">
        <f t="shared" si="37"/>
        <v>3.7999999999999998</v>
      </c>
      <c r="N15" s="52">
        <f t="shared" si="37"/>
        <v>3.7999999999999998</v>
      </c>
      <c r="O15" s="52">
        <f t="shared" si="37"/>
        <v>3.7999999999999998</v>
      </c>
      <c r="P15" s="52">
        <f t="shared" si="37"/>
        <v>3.7999999999999998</v>
      </c>
      <c r="Q15" s="52">
        <f t="shared" si="37"/>
        <v>3.7999999999999998</v>
      </c>
      <c r="R15" s="52">
        <f t="shared" si="37"/>
        <v>3.7999999999999998</v>
      </c>
      <c r="S15" s="52">
        <f t="shared" si="37"/>
        <v>3.7999999999999998</v>
      </c>
      <c r="T15" s="52">
        <f t="shared" si="37"/>
        <v>3.7999999999999998</v>
      </c>
      <c r="U15" s="52">
        <f t="shared" si="37"/>
        <v>3.7999999999999998</v>
      </c>
      <c r="V15" s="52">
        <f t="shared" si="37"/>
        <v>3.7999999999999998</v>
      </c>
      <c r="W15" s="52">
        <f t="shared" si="37"/>
        <v>3.7999999999999998</v>
      </c>
      <c r="X15" s="52">
        <f t="shared" si="37"/>
        <v>3.7999999999999998</v>
      </c>
      <c r="Y15" s="52">
        <f t="shared" si="37"/>
        <v>3.7999999999999998</v>
      </c>
      <c r="Z15" s="52">
        <f t="shared" si="37"/>
        <v>3.7999999999999998</v>
      </c>
      <c r="AA15" s="52">
        <f t="shared" si="37"/>
        <v>3.7999999999999998</v>
      </c>
      <c r="AB15" s="52">
        <f t="shared" si="37"/>
        <v>3.7999999999999998</v>
      </c>
      <c r="AC15" s="52">
        <f t="shared" si="37"/>
        <v>3.7999999999999998</v>
      </c>
      <c r="AD15" s="52">
        <f t="shared" si="37"/>
        <v>3.7999999999999998</v>
      </c>
      <c r="AE15" s="52">
        <f t="shared" si="37"/>
        <v>3.7999999999999998</v>
      </c>
      <c r="AF15" s="52">
        <f t="shared" si="37"/>
        <v>3.7999999999999998</v>
      </c>
      <c r="AG15" s="52">
        <f t="shared" si="37"/>
        <v>3.7999999999999998</v>
      </c>
      <c r="AH15" s="52">
        <f t="shared" si="37"/>
        <v>3.7999999999999998</v>
      </c>
      <c r="AI15" s="52">
        <f t="shared" si="37"/>
        <v>3.7999999999999998</v>
      </c>
      <c r="AJ15" s="52">
        <f t="shared" si="37"/>
        <v>3.7999999999999998</v>
      </c>
      <c r="AK15" s="52">
        <f t="shared" si="37"/>
        <v>3.7999999999999998</v>
      </c>
      <c r="AL15" s="52">
        <f t="shared" si="37"/>
        <v>3.7999999999999998</v>
      </c>
      <c r="AM15" s="52">
        <f t="shared" si="37"/>
        <v>3.7999999999999998</v>
      </c>
      <c r="AN15" s="52">
        <f t="shared" si="37"/>
        <v>3.7999999999999998</v>
      </c>
      <c r="AO15" s="52">
        <f t="shared" si="37"/>
        <v>3.7999999999999998</v>
      </c>
      <c r="AP15" s="52">
        <f t="shared" si="37"/>
        <v>3.7999999999999998</v>
      </c>
      <c r="AQ15" s="52">
        <f t="shared" si="37"/>
        <v>3.7999999999999998</v>
      </c>
      <c r="AR15" s="52">
        <f t="shared" si="37"/>
        <v>3.7999999999999998</v>
      </c>
      <c r="AS15" s="52">
        <f t="shared" si="37"/>
        <v>3.7999999999999998</v>
      </c>
      <c r="AT15" s="52">
        <f t="shared" si="37"/>
        <v>3.7999999999999998</v>
      </c>
      <c r="AU15" s="52">
        <f t="shared" si="37"/>
        <v>3.7999999999999998</v>
      </c>
      <c r="AV15" s="52">
        <f t="shared" si="37"/>
        <v>3.7999999999999998</v>
      </c>
      <c r="AW15" s="52">
        <f t="shared" si="37"/>
        <v>3.7999999999999998</v>
      </c>
      <c r="AX15" s="52">
        <f t="shared" si="37"/>
        <v>3.7999999999999998</v>
      </c>
      <c r="AY15" s="52">
        <f t="shared" si="37"/>
        <v>3.7999999999999998</v>
      </c>
      <c r="AZ15" s="52">
        <f t="shared" si="37"/>
        <v>3.7999999999999998</v>
      </c>
      <c r="BA15" s="52">
        <f t="shared" si="37"/>
        <v>3.7999999999999998</v>
      </c>
      <c r="BB15" s="52">
        <f t="shared" si="37"/>
        <v>3.7999999999999998</v>
      </c>
      <c r="BC15" s="52">
        <f t="shared" si="37"/>
        <v>3.7999999999999998</v>
      </c>
      <c r="BD15" s="52">
        <f t="shared" si="37"/>
        <v>3.7999999999999998</v>
      </c>
      <c r="BE15" s="52">
        <f t="shared" si="37"/>
        <v>3.7999999999999998</v>
      </c>
      <c r="BF15" s="52">
        <f t="shared" si="37"/>
        <v>3.7999999999999998</v>
      </c>
      <c r="BG15" s="52">
        <f t="shared" si="37"/>
        <v>3.7999999999999998</v>
      </c>
      <c r="BH15" s="52">
        <f t="shared" si="37"/>
        <v>3.7999999999999998</v>
      </c>
      <c r="BI15" s="52">
        <f t="shared" si="37"/>
        <v>3.7999999999999998</v>
      </c>
      <c r="BJ15" s="52">
        <f t="shared" si="37"/>
        <v>3.7999999999999998</v>
      </c>
      <c r="BK15" s="52">
        <f t="shared" si="37"/>
        <v>3.7999999999999998</v>
      </c>
      <c r="BL15" s="52">
        <f t="shared" si="37"/>
        <v>3.7999999999999998</v>
      </c>
      <c r="BM15" s="52">
        <f t="shared" si="37"/>
        <v>3.7999999999999998</v>
      </c>
      <c r="BN15" s="52">
        <f t="shared" si="37"/>
        <v>3.7999999999999998</v>
      </c>
      <c r="BO15" s="52">
        <f t="shared" si="37"/>
        <v>3.7999999999999998</v>
      </c>
      <c r="BP15" s="52">
        <f t="shared" si="37"/>
        <v>3.7999999999999998</v>
      </c>
      <c r="BQ15" s="52">
        <f t="shared" si="37"/>
        <v>3.7999999999999998</v>
      </c>
      <c r="BR15" s="52">
        <f t="shared" si="37"/>
        <v>3.7999999999999998</v>
      </c>
      <c r="BS15" s="52">
        <f t="shared" si="37"/>
        <v>3.7999999999999998</v>
      </c>
      <c r="BT15" s="52">
        <f t="shared" si="37"/>
        <v>3.7999999999999998</v>
      </c>
      <c r="BU15" s="52">
        <f t="shared" si="38" ref="BU15:CK15">+BT15</f>
        <v>3.7999999999999998</v>
      </c>
      <c r="BV15" s="52">
        <f t="shared" si="38"/>
        <v>3.7999999999999998</v>
      </c>
      <c r="BW15" s="52">
        <f t="shared" si="38"/>
        <v>3.7999999999999998</v>
      </c>
      <c r="BX15" s="52">
        <f t="shared" si="38"/>
        <v>3.7999999999999998</v>
      </c>
      <c r="BY15" s="52">
        <f t="shared" si="38"/>
        <v>3.7999999999999998</v>
      </c>
      <c r="BZ15" s="52">
        <f t="shared" si="38"/>
        <v>3.7999999999999998</v>
      </c>
      <c r="CA15" s="52">
        <f t="shared" si="38"/>
        <v>3.7999999999999998</v>
      </c>
      <c r="CB15" s="52">
        <f t="shared" si="38"/>
        <v>3.7999999999999998</v>
      </c>
      <c r="CC15" s="52">
        <f t="shared" si="38"/>
        <v>3.7999999999999998</v>
      </c>
      <c r="CD15" s="52">
        <f t="shared" si="38"/>
        <v>3.7999999999999998</v>
      </c>
      <c r="CE15" s="52">
        <f t="shared" si="38"/>
        <v>3.7999999999999998</v>
      </c>
      <c r="CF15" s="52">
        <f t="shared" si="38"/>
        <v>3.7999999999999998</v>
      </c>
      <c r="CG15" s="52">
        <f t="shared" si="38"/>
        <v>3.7999999999999998</v>
      </c>
      <c r="CH15" s="52">
        <f t="shared" si="38"/>
        <v>3.7999999999999998</v>
      </c>
      <c r="CI15" s="52">
        <f t="shared" si="38"/>
        <v>3.7999999999999998</v>
      </c>
      <c r="CJ15" s="52">
        <f t="shared" si="38"/>
        <v>3.7999999999999998</v>
      </c>
      <c r="CK15" s="52">
        <f t="shared" si="38"/>
        <v>3.7999999999999998</v>
      </c>
    </row>
    <row r="16" spans="3:89" ht="14.4">
      <c r="C16" t="s">
        <v>6</v>
      </c>
      <c r="D16" t="str">
        <f>_xlfn.TEXTJOIN(",",TRUE,Regions!$C$3,Regions!$D$3)</f>
        <v>IE,National</v>
      </c>
      <c r="E16" t="s">
        <v>33</v>
      </c>
      <c r="F16" s="34" t="s">
        <v>34</v>
      </c>
      <c r="G16" s="51">
        <f>VLOOKUP(E16,'BY-Demands'!$I$6:$J$42,2,FALSE)</f>
        <v>0</v>
      </c>
      <c r="H16" s="52">
        <f t="shared" si="0"/>
        <v>0</v>
      </c>
      <c r="I16" s="52">
        <f t="shared" si="39" ref="I16:BT16">+H16</f>
        <v>0</v>
      </c>
      <c r="J16" s="52">
        <f t="shared" si="39"/>
        <v>0</v>
      </c>
      <c r="K16" s="52">
        <f t="shared" si="39"/>
        <v>0</v>
      </c>
      <c r="L16" s="52">
        <f t="shared" si="39"/>
        <v>0</v>
      </c>
      <c r="M16" s="52">
        <f t="shared" si="39"/>
        <v>0</v>
      </c>
      <c r="N16" s="52">
        <f t="shared" si="39"/>
        <v>0</v>
      </c>
      <c r="O16" s="52">
        <f t="shared" si="39"/>
        <v>0</v>
      </c>
      <c r="P16" s="52">
        <f t="shared" si="39"/>
        <v>0</v>
      </c>
      <c r="Q16" s="52">
        <f t="shared" si="39"/>
        <v>0</v>
      </c>
      <c r="R16" s="52">
        <f t="shared" si="39"/>
        <v>0</v>
      </c>
      <c r="S16" s="52">
        <f t="shared" si="39"/>
        <v>0</v>
      </c>
      <c r="T16" s="52">
        <f t="shared" si="39"/>
        <v>0</v>
      </c>
      <c r="U16" s="52">
        <f t="shared" si="39"/>
        <v>0</v>
      </c>
      <c r="V16" s="52">
        <f t="shared" si="39"/>
        <v>0</v>
      </c>
      <c r="W16" s="52">
        <f t="shared" si="39"/>
        <v>0</v>
      </c>
      <c r="X16" s="52">
        <f t="shared" si="39"/>
        <v>0</v>
      </c>
      <c r="Y16" s="52">
        <f t="shared" si="39"/>
        <v>0</v>
      </c>
      <c r="Z16" s="52">
        <f t="shared" si="39"/>
        <v>0</v>
      </c>
      <c r="AA16" s="52">
        <f t="shared" si="39"/>
        <v>0</v>
      </c>
      <c r="AB16" s="52">
        <f t="shared" si="39"/>
        <v>0</v>
      </c>
      <c r="AC16" s="52">
        <f t="shared" si="39"/>
        <v>0</v>
      </c>
      <c r="AD16" s="52">
        <f t="shared" si="39"/>
        <v>0</v>
      </c>
      <c r="AE16" s="52">
        <f t="shared" si="39"/>
        <v>0</v>
      </c>
      <c r="AF16" s="52">
        <f t="shared" si="39"/>
        <v>0</v>
      </c>
      <c r="AG16" s="52">
        <f t="shared" si="39"/>
        <v>0</v>
      </c>
      <c r="AH16" s="52">
        <f t="shared" si="39"/>
        <v>0</v>
      </c>
      <c r="AI16" s="52">
        <f t="shared" si="39"/>
        <v>0</v>
      </c>
      <c r="AJ16" s="52">
        <f t="shared" si="39"/>
        <v>0</v>
      </c>
      <c r="AK16" s="52">
        <f t="shared" si="39"/>
        <v>0</v>
      </c>
      <c r="AL16" s="52">
        <f t="shared" si="39"/>
        <v>0</v>
      </c>
      <c r="AM16" s="52">
        <f t="shared" si="39"/>
        <v>0</v>
      </c>
      <c r="AN16" s="52">
        <f t="shared" si="39"/>
        <v>0</v>
      </c>
      <c r="AO16" s="52">
        <f t="shared" si="39"/>
        <v>0</v>
      </c>
      <c r="AP16" s="52">
        <f t="shared" si="39"/>
        <v>0</v>
      </c>
      <c r="AQ16" s="52">
        <f t="shared" si="39"/>
        <v>0</v>
      </c>
      <c r="AR16" s="52">
        <f t="shared" si="39"/>
        <v>0</v>
      </c>
      <c r="AS16" s="52">
        <f t="shared" si="39"/>
        <v>0</v>
      </c>
      <c r="AT16" s="52">
        <f t="shared" si="39"/>
        <v>0</v>
      </c>
      <c r="AU16" s="52">
        <f t="shared" si="39"/>
        <v>0</v>
      </c>
      <c r="AV16" s="52">
        <f t="shared" si="39"/>
        <v>0</v>
      </c>
      <c r="AW16" s="52">
        <f t="shared" si="39"/>
        <v>0</v>
      </c>
      <c r="AX16" s="52">
        <f t="shared" si="39"/>
        <v>0</v>
      </c>
      <c r="AY16" s="52">
        <f t="shared" si="39"/>
        <v>0</v>
      </c>
      <c r="AZ16" s="52">
        <f t="shared" si="39"/>
        <v>0</v>
      </c>
      <c r="BA16" s="52">
        <f t="shared" si="39"/>
        <v>0</v>
      </c>
      <c r="BB16" s="52">
        <f t="shared" si="39"/>
        <v>0</v>
      </c>
      <c r="BC16" s="52">
        <f t="shared" si="39"/>
        <v>0</v>
      </c>
      <c r="BD16" s="52">
        <f t="shared" si="39"/>
        <v>0</v>
      </c>
      <c r="BE16" s="52">
        <f t="shared" si="39"/>
        <v>0</v>
      </c>
      <c r="BF16" s="52">
        <f t="shared" si="39"/>
        <v>0</v>
      </c>
      <c r="BG16" s="52">
        <f t="shared" si="39"/>
        <v>0</v>
      </c>
      <c r="BH16" s="52">
        <f t="shared" si="39"/>
        <v>0</v>
      </c>
      <c r="BI16" s="52">
        <f t="shared" si="39"/>
        <v>0</v>
      </c>
      <c r="BJ16" s="52">
        <f t="shared" si="39"/>
        <v>0</v>
      </c>
      <c r="BK16" s="52">
        <f t="shared" si="39"/>
        <v>0</v>
      </c>
      <c r="BL16" s="52">
        <f t="shared" si="39"/>
        <v>0</v>
      </c>
      <c r="BM16" s="52">
        <f t="shared" si="39"/>
        <v>0</v>
      </c>
      <c r="BN16" s="52">
        <f t="shared" si="39"/>
        <v>0</v>
      </c>
      <c r="BO16" s="52">
        <f t="shared" si="39"/>
        <v>0</v>
      </c>
      <c r="BP16" s="52">
        <f t="shared" si="39"/>
        <v>0</v>
      </c>
      <c r="BQ16" s="52">
        <f t="shared" si="39"/>
        <v>0</v>
      </c>
      <c r="BR16" s="52">
        <f t="shared" si="39"/>
        <v>0</v>
      </c>
      <c r="BS16" s="52">
        <f t="shared" si="39"/>
        <v>0</v>
      </c>
      <c r="BT16" s="52">
        <f t="shared" si="39"/>
        <v>0</v>
      </c>
      <c r="BU16" s="52">
        <f t="shared" si="40" ref="BU16:CK16">+BT16</f>
        <v>0</v>
      </c>
      <c r="BV16" s="52">
        <f t="shared" si="40"/>
        <v>0</v>
      </c>
      <c r="BW16" s="52">
        <f t="shared" si="40"/>
        <v>0</v>
      </c>
      <c r="BX16" s="52">
        <f t="shared" si="40"/>
        <v>0</v>
      </c>
      <c r="BY16" s="52">
        <f t="shared" si="40"/>
        <v>0</v>
      </c>
      <c r="BZ16" s="52">
        <f t="shared" si="40"/>
        <v>0</v>
      </c>
      <c r="CA16" s="52">
        <f t="shared" si="40"/>
        <v>0</v>
      </c>
      <c r="CB16" s="52">
        <f t="shared" si="40"/>
        <v>0</v>
      </c>
      <c r="CC16" s="52">
        <f t="shared" si="40"/>
        <v>0</v>
      </c>
      <c r="CD16" s="52">
        <f t="shared" si="40"/>
        <v>0</v>
      </c>
      <c r="CE16" s="52">
        <f t="shared" si="40"/>
        <v>0</v>
      </c>
      <c r="CF16" s="52">
        <f t="shared" si="40"/>
        <v>0</v>
      </c>
      <c r="CG16" s="52">
        <f t="shared" si="40"/>
        <v>0</v>
      </c>
      <c r="CH16" s="52">
        <f t="shared" si="40"/>
        <v>0</v>
      </c>
      <c r="CI16" s="52">
        <f t="shared" si="40"/>
        <v>0</v>
      </c>
      <c r="CJ16" s="52">
        <f t="shared" si="40"/>
        <v>0</v>
      </c>
      <c r="CK16" s="52">
        <f t="shared" si="40"/>
        <v>0</v>
      </c>
    </row>
    <row r="17" spans="3:89" ht="14.4">
      <c r="C17" t="s">
        <v>6</v>
      </c>
      <c r="D17" t="str">
        <f>_xlfn.TEXTJOIN(",",TRUE,Regions!$C$3)</f>
        <v>IE</v>
      </c>
      <c r="E17" t="s">
        <v>35</v>
      </c>
      <c r="F17" s="34" t="s">
        <v>36</v>
      </c>
      <c r="G17" s="51">
        <f>VLOOKUP(E17,'BY-Demands'!$I$6:$J$42,2,FALSE)</f>
        <v>14.5565610923972</v>
      </c>
      <c r="H17" s="52">
        <v>14.87639834</v>
      </c>
      <c r="I17" s="52">
        <v>10.76129175</v>
      </c>
      <c r="J17" s="51">
        <f>G17*'TRA-2021'!$C$13</f>
        <v>13.57251588540027</v>
      </c>
      <c r="K17" s="51">
        <f>G17*'TRA-2021'!$C$15</f>
        <v>14.05673907080137</v>
      </c>
      <c r="L17" s="51">
        <f>K17*'TRA-2021'!$C$8/'TRA-2021'!$C$7</f>
        <v>14.107943011361705</v>
      </c>
      <c r="M17" s="51">
        <f>L17*1.0125</f>
        <v>14.284292299003726</v>
      </c>
      <c r="N17" s="51">
        <f t="shared" si="41" ref="N17:X17">M17*1.0125</f>
        <v>14.462845952741272</v>
      </c>
      <c r="O17" s="51">
        <f t="shared" si="41"/>
        <v>14.643631527150538</v>
      </c>
      <c r="P17" s="51">
        <f t="shared" si="41"/>
        <v>14.826676921239919</v>
      </c>
      <c r="Q17" s="51">
        <f t="shared" si="41"/>
        <v>15.012010382755417</v>
      </c>
      <c r="R17" s="51">
        <f t="shared" si="41"/>
        <v>15.199660512539859</v>
      </c>
      <c r="S17" s="51">
        <f t="shared" si="41"/>
        <v>15.389656268946606</v>
      </c>
      <c r="T17" s="51">
        <f t="shared" si="41"/>
        <v>15.582026972308437</v>
      </c>
      <c r="U17" s="51">
        <f t="shared" si="41"/>
        <v>15.776802309462292</v>
      </c>
      <c r="V17" s="51">
        <f t="shared" si="41"/>
        <v>15.974012338330571</v>
      </c>
      <c r="W17" s="51">
        <f t="shared" si="41"/>
        <v>16.173687492559701</v>
      </c>
      <c r="X17" s="51">
        <f t="shared" si="41"/>
        <v>16.375858586216697</v>
      </c>
      <c r="Y17" s="51">
        <f t="shared" si="42" ref="Y17:AM17">X17*1.0125</f>
        <v>16.580556818544405</v>
      </c>
      <c r="Z17" s="51">
        <f t="shared" si="42"/>
        <v>16.787813778776208</v>
      </c>
      <c r="AA17" s="51">
        <f t="shared" si="42"/>
        <v>16.997661451010909</v>
      </c>
      <c r="AB17" s="51">
        <f t="shared" si="42"/>
        <v>17.210132219148544</v>
      </c>
      <c r="AC17" s="51">
        <f t="shared" si="42"/>
        <v>17.425258871887902</v>
      </c>
      <c r="AD17" s="51">
        <f t="shared" si="42"/>
        <v>17.643074607786499</v>
      </c>
      <c r="AE17" s="51">
        <f t="shared" si="42"/>
        <v>17.863613040383829</v>
      </c>
      <c r="AF17" s="51">
        <f t="shared" si="42"/>
        <v>18.086908203388624</v>
      </c>
      <c r="AG17" s="51">
        <f t="shared" si="42"/>
        <v>18.312994555930981</v>
      </c>
      <c r="AH17" s="51">
        <f t="shared" si="42"/>
        <v>18.541906987880118</v>
      </c>
      <c r="AI17" s="51">
        <f t="shared" si="42"/>
        <v>18.77368082522862</v>
      </c>
      <c r="AJ17" s="51">
        <f t="shared" si="42"/>
        <v>19.008351835543976</v>
      </c>
      <c r="AK17" s="51">
        <f t="shared" si="42"/>
        <v>19.245956233488275</v>
      </c>
      <c r="AL17" s="51">
        <f t="shared" si="42"/>
        <v>19.486530686406876</v>
      </c>
      <c r="AM17" s="51">
        <f t="shared" si="42"/>
        <v>19.730112319986961</v>
      </c>
      <c r="AN17" s="52"/>
      <c r="AO17" s="52"/>
      <c r="AP17" s="52"/>
      <c r="AQ17" s="52"/>
      <c r="AR17" s="52">
        <v>21.708902826056999</v>
      </c>
      <c r="AS17" s="52"/>
      <c r="AT17" s="52"/>
      <c r="AU17" s="52"/>
      <c r="AV17" s="52"/>
      <c r="AW17" s="52">
        <v>22.294296983465198</v>
      </c>
      <c r="AX17" s="52"/>
      <c r="AY17" s="52"/>
      <c r="AZ17" s="52"/>
      <c r="BA17" s="52"/>
      <c r="BB17" s="52">
        <v>22.633963522387901</v>
      </c>
      <c r="BC17" s="52"/>
      <c r="BD17" s="52"/>
      <c r="BE17" s="52"/>
      <c r="BF17" s="52"/>
      <c r="BG17" s="52">
        <v>22.998525615910701</v>
      </c>
      <c r="BH17" s="52"/>
      <c r="BI17" s="52"/>
      <c r="BJ17" s="52"/>
      <c r="BK17" s="52"/>
      <c r="BL17" s="52">
        <v>23.420163469983802</v>
      </c>
      <c r="BM17" s="52"/>
      <c r="BN17" s="52"/>
      <c r="BO17" s="52"/>
      <c r="BP17" s="52"/>
      <c r="BQ17" s="52">
        <v>23.915804444215802</v>
      </c>
      <c r="BR17" s="52"/>
      <c r="BS17" s="52"/>
      <c r="BT17" s="52"/>
      <c r="BU17" s="52"/>
      <c r="BV17" s="52">
        <v>24.479480525906901</v>
      </c>
      <c r="BW17" s="52"/>
      <c r="BX17" s="52"/>
      <c r="BY17" s="52"/>
      <c r="BZ17" s="52"/>
      <c r="CA17" s="52">
        <v>25.0796251155347</v>
      </c>
      <c r="CB17" s="52"/>
      <c r="CC17" s="52"/>
      <c r="CD17" s="52"/>
      <c r="CE17" s="52"/>
      <c r="CF17" s="52">
        <v>25.6801225927071</v>
      </c>
      <c r="CG17" s="52"/>
      <c r="CH17" s="52"/>
      <c r="CI17" s="52"/>
      <c r="CJ17" s="52"/>
      <c r="CK17" s="52">
        <v>26.281462653597</v>
      </c>
    </row>
    <row r="18" spans="3:89" ht="14.4">
      <c r="C18" t="s">
        <v>6</v>
      </c>
      <c r="D18" t="str">
        <f>_xlfn.TEXTJOIN(",",TRUE,Regions!$C$3)</f>
        <v>IE</v>
      </c>
      <c r="E18" t="s">
        <v>37</v>
      </c>
      <c r="F18" s="34" t="s">
        <v>38</v>
      </c>
      <c r="G18" s="51">
        <f>VLOOKUP(E18,'BY-Demands'!$I$6:$J$42,2,FALSE)</f>
        <v>31.276118540281001</v>
      </c>
      <c r="H18" s="52">
        <f>31.98425643</f>
        <v>31.984256429999999</v>
      </c>
      <c r="I18" s="52">
        <f>23.13677727</f>
        <v>23.13677727</v>
      </c>
      <c r="J18" s="51">
        <f>0.95*G18*'TRA-2021'!$C$13</f>
        <v>27.703716034013713</v>
      </c>
      <c r="K18" s="51">
        <f>G18*'TRA-2021'!$C$15</f>
        <v>30.202204674413409</v>
      </c>
      <c r="L18" s="51">
        <f>K18*'TRA-2021'!$C$8/'TRA-2021'!$C$7</f>
        <v>30.312221079011263</v>
      </c>
      <c r="M18" s="51">
        <f>L18*1.015</f>
        <v>30.766904395196427</v>
      </c>
      <c r="N18" s="51">
        <f t="shared" si="43" ref="N18:X18">M18*1.015</f>
        <v>31.228407961124372</v>
      </c>
      <c r="O18" s="51">
        <f t="shared" si="43"/>
        <v>31.696834080541233</v>
      </c>
      <c r="P18" s="51">
        <f t="shared" si="43"/>
        <v>32.172286591749348</v>
      </c>
      <c r="Q18" s="51">
        <f t="shared" si="43"/>
        <v>32.654870890625588</v>
      </c>
      <c r="R18" s="51">
        <f t="shared" si="43"/>
        <v>33.144693953984969</v>
      </c>
      <c r="S18" s="51">
        <f t="shared" si="43"/>
        <v>33.641864363294744</v>
      </c>
      <c r="T18" s="51">
        <f t="shared" si="43"/>
        <v>34.146492328744159</v>
      </c>
      <c r="U18" s="51">
        <f t="shared" si="43"/>
        <v>34.658689713675315</v>
      </c>
      <c r="V18" s="51">
        <f t="shared" si="43"/>
        <v>35.178570059380441</v>
      </c>
      <c r="W18" s="51">
        <f t="shared" si="43"/>
        <v>35.706248610271146</v>
      </c>
      <c r="X18" s="51">
        <f t="shared" si="43"/>
        <v>36.241842339425212</v>
      </c>
      <c r="Y18" s="51">
        <f t="shared" si="44" ref="Y18:AM18">X18*1.015</f>
        <v>36.785469974516587</v>
      </c>
      <c r="Z18" s="51">
        <f t="shared" si="44"/>
        <v>37.33725202413433</v>
      </c>
      <c r="AA18" s="51">
        <f t="shared" si="44"/>
        <v>37.897310804496342</v>
      </c>
      <c r="AB18" s="51">
        <f t="shared" si="44"/>
        <v>38.465770466563782</v>
      </c>
      <c r="AC18" s="51">
        <f t="shared" si="44"/>
        <v>39.042757023562238</v>
      </c>
      <c r="AD18" s="51">
        <f t="shared" si="44"/>
        <v>39.628398378915669</v>
      </c>
      <c r="AE18" s="51">
        <f t="shared" si="44"/>
        <v>40.222824354599403</v>
      </c>
      <c r="AF18" s="51">
        <f t="shared" si="44"/>
        <v>40.82616671991839</v>
      </c>
      <c r="AG18" s="51">
        <f t="shared" si="44"/>
        <v>41.43855922071716</v>
      </c>
      <c r="AH18" s="51">
        <f t="shared" si="44"/>
        <v>42.060137609027912</v>
      </c>
      <c r="AI18" s="51">
        <f t="shared" si="44"/>
        <v>42.691039673163324</v>
      </c>
      <c r="AJ18" s="51">
        <f t="shared" si="44"/>
        <v>43.331405268260767</v>
      </c>
      <c r="AK18" s="51">
        <f t="shared" si="44"/>
        <v>43.981376347284673</v>
      </c>
      <c r="AL18" s="51">
        <f t="shared" si="44"/>
        <v>44.641096992493942</v>
      </c>
      <c r="AM18" s="51">
        <f t="shared" si="44"/>
        <v>45.310713447381346</v>
      </c>
      <c r="AN18" s="52"/>
      <c r="AO18" s="52"/>
      <c r="AP18" s="52"/>
      <c r="AQ18" s="52"/>
      <c r="AR18" s="52">
        <v>46.674141076022501</v>
      </c>
      <c r="AS18" s="52"/>
      <c r="AT18" s="52"/>
      <c r="AU18" s="52"/>
      <c r="AV18" s="52"/>
      <c r="AW18" s="52">
        <v>47.932738514450101</v>
      </c>
      <c r="AX18" s="52"/>
      <c r="AY18" s="52"/>
      <c r="AZ18" s="52"/>
      <c r="BA18" s="52"/>
      <c r="BB18" s="52">
        <v>48.663021573133904</v>
      </c>
      <c r="BC18" s="52"/>
      <c r="BD18" s="52"/>
      <c r="BE18" s="52"/>
      <c r="BF18" s="52"/>
      <c r="BG18" s="52">
        <v>49.446830074208002</v>
      </c>
      <c r="BH18" s="52"/>
      <c r="BI18" s="52"/>
      <c r="BJ18" s="52"/>
      <c r="BK18" s="52"/>
      <c r="BL18" s="52">
        <v>50.353351460465198</v>
      </c>
      <c r="BM18" s="52"/>
      <c r="BN18" s="52"/>
      <c r="BO18" s="52"/>
      <c r="BP18" s="52"/>
      <c r="BQ18" s="52">
        <v>51.418979555063999</v>
      </c>
      <c r="BR18" s="52"/>
      <c r="BS18" s="52"/>
      <c r="BT18" s="52"/>
      <c r="BU18" s="52"/>
      <c r="BV18" s="52">
        <v>52.6308831306999</v>
      </c>
      <c r="BW18" s="52"/>
      <c r="BX18" s="52"/>
      <c r="BY18" s="52"/>
      <c r="BZ18" s="52"/>
      <c r="CA18" s="52">
        <v>53.921193998399701</v>
      </c>
      <c r="CB18" s="52"/>
      <c r="CC18" s="52"/>
      <c r="CD18" s="52"/>
      <c r="CE18" s="52"/>
      <c r="CF18" s="52">
        <v>55.212263574320303</v>
      </c>
      <c r="CG18" s="52"/>
      <c r="CH18" s="52"/>
      <c r="CI18" s="52"/>
      <c r="CJ18" s="52"/>
      <c r="CK18" s="52">
        <v>56.505144705233697</v>
      </c>
    </row>
    <row r="19" spans="3:89" ht="14.4">
      <c r="C19" t="s">
        <v>6</v>
      </c>
      <c r="D19" t="str">
        <f>_xlfn.TEXTJOIN(",",TRUE,Regions!$C$3)</f>
        <v>IE</v>
      </c>
      <c r="E19" t="s">
        <v>39</v>
      </c>
      <c r="F19" s="34" t="s">
        <v>40</v>
      </c>
      <c r="G19" s="51">
        <f>VLOOKUP(E19,'BY-Demands'!$I$6:$J$42,2,FALSE)</f>
        <v>27.131577542973599</v>
      </c>
      <c r="H19" s="51">
        <f>0.9*27.52133693</f>
        <v>24.769203236999999</v>
      </c>
      <c r="I19" s="51">
        <f>0.9*19.90838974</f>
        <v>17.917550766000002</v>
      </c>
      <c r="J19" s="51">
        <f>I19*'TRA-2021'!$C$14</f>
        <v>18.200537756613475</v>
      </c>
      <c r="K19" s="51">
        <f>J19*'TRA-2021'!$C$17</f>
        <v>18.849873697196202</v>
      </c>
      <c r="L19" s="51">
        <f>K19*'TRA-2021'!$C$8/'TRA-2021'!$C$7</f>
        <v>18.918537404155515</v>
      </c>
      <c r="M19" s="51">
        <f>L19*1.025</f>
        <v>19.3915008392594</v>
      </c>
      <c r="N19" s="51">
        <f t="shared" si="45" ref="N19:X19">M19*1.025</f>
        <v>19.876288360240885</v>
      </c>
      <c r="O19" s="51">
        <f t="shared" si="45"/>
        <v>20.373195569246906</v>
      </c>
      <c r="P19" s="51">
        <f t="shared" si="45"/>
        <v>20.882525458478078</v>
      </c>
      <c r="Q19" s="51">
        <f t="shared" si="45"/>
        <v>21.404588594940027</v>
      </c>
      <c r="R19" s="51">
        <f t="shared" si="45"/>
        <v>21.939703309813524</v>
      </c>
      <c r="S19" s="51">
        <f t="shared" si="45"/>
        <v>22.48819589255886</v>
      </c>
      <c r="T19" s="51">
        <f t="shared" si="45"/>
        <v>23.050400789872828</v>
      </c>
      <c r="U19" s="51">
        <f t="shared" si="45"/>
        <v>23.626660809619647</v>
      </c>
      <c r="V19" s="51">
        <f t="shared" si="45"/>
        <v>24.217327329860137</v>
      </c>
      <c r="W19" s="51">
        <f t="shared" si="45"/>
        <v>24.822760513106637</v>
      </c>
      <c r="X19" s="51">
        <f t="shared" si="45"/>
        <v>25.443329525934299</v>
      </c>
      <c r="Y19" s="51">
        <f t="shared" si="46" ref="Y19:AM19">X19*1.025</f>
        <v>26.079412764082655</v>
      </c>
      <c r="Z19" s="51">
        <f t="shared" si="46"/>
        <v>26.731398083184718</v>
      </c>
      <c r="AA19" s="51">
        <f t="shared" si="46"/>
        <v>27.399683035264335</v>
      </c>
      <c r="AB19" s="51">
        <f t="shared" si="46"/>
        <v>28.084675111145941</v>
      </c>
      <c r="AC19" s="51">
        <f t="shared" si="46"/>
        <v>28.786791988924588</v>
      </c>
      <c r="AD19" s="51">
        <f t="shared" si="46"/>
        <v>29.506461788647698</v>
      </c>
      <c r="AE19" s="51">
        <f t="shared" si="46"/>
        <v>30.244123333363888</v>
      </c>
      <c r="AF19" s="51">
        <f t="shared" si="46"/>
        <v>31.000226416697981</v>
      </c>
      <c r="AG19" s="51">
        <f t="shared" si="46"/>
        <v>31.775232077115426</v>
      </c>
      <c r="AH19" s="51">
        <f t="shared" si="46"/>
        <v>32.569612879043312</v>
      </c>
      <c r="AI19" s="51">
        <f t="shared" si="46"/>
        <v>33.383853201019392</v>
      </c>
      <c r="AJ19" s="51">
        <f t="shared" si="46"/>
        <v>34.218449531044875</v>
      </c>
      <c r="AK19" s="51">
        <f t="shared" si="46"/>
        <v>35.073910769320996</v>
      </c>
      <c r="AL19" s="51">
        <f t="shared" si="46"/>
        <v>35.95075853855402</v>
      </c>
      <c r="AM19" s="51">
        <f t="shared" si="46"/>
        <v>36.849527502017864</v>
      </c>
      <c r="AN19" s="52"/>
      <c r="AO19" s="52"/>
      <c r="AP19" s="52"/>
      <c r="AQ19" s="52"/>
      <c r="AR19" s="52">
        <v>40.161470228205403</v>
      </c>
      <c r="AS19" s="52"/>
      <c r="AT19" s="52"/>
      <c r="AU19" s="52"/>
      <c r="AV19" s="52"/>
      <c r="AW19" s="52">
        <v>41.2444494194106</v>
      </c>
      <c r="AX19" s="52"/>
      <c r="AY19" s="52"/>
      <c r="AZ19" s="52"/>
      <c r="BA19" s="52"/>
      <c r="BB19" s="52">
        <v>41.872832516417603</v>
      </c>
      <c r="BC19" s="52"/>
      <c r="BD19" s="52"/>
      <c r="BE19" s="52"/>
      <c r="BF19" s="52"/>
      <c r="BG19" s="52">
        <v>42.547272389434802</v>
      </c>
      <c r="BH19" s="52"/>
      <c r="BI19" s="52"/>
      <c r="BJ19" s="52"/>
      <c r="BK19" s="52"/>
      <c r="BL19" s="52">
        <v>43.327302419470001</v>
      </c>
      <c r="BM19" s="52"/>
      <c r="BN19" s="52"/>
      <c r="BO19" s="52"/>
      <c r="BP19" s="52"/>
      <c r="BQ19" s="52">
        <v>44.244238221799201</v>
      </c>
      <c r="BR19" s="52"/>
      <c r="BS19" s="52"/>
      <c r="BT19" s="52"/>
      <c r="BU19" s="52"/>
      <c r="BV19" s="52">
        <v>45.287038972927803</v>
      </c>
      <c r="BW19" s="52"/>
      <c r="BX19" s="52"/>
      <c r="BY19" s="52"/>
      <c r="BZ19" s="52"/>
      <c r="CA19" s="52">
        <v>46.397306463739199</v>
      </c>
      <c r="CB19" s="52"/>
      <c r="CC19" s="52"/>
      <c r="CD19" s="52"/>
      <c r="CE19" s="52"/>
      <c r="CF19" s="52">
        <v>47.508226796508197</v>
      </c>
      <c r="CG19" s="52"/>
      <c r="CH19" s="52"/>
      <c r="CI19" s="52"/>
      <c r="CJ19" s="52"/>
      <c r="CK19" s="52">
        <v>48.620705909154502</v>
      </c>
    </row>
    <row r="20" spans="3:89" ht="14.4">
      <c r="C20" t="s">
        <v>6</v>
      </c>
      <c r="D20" t="str">
        <f>_xlfn.TEXTJOIN(",",TRUE,Regions!$C$3)</f>
        <v>IE</v>
      </c>
      <c r="E20" t="s">
        <v>41</v>
      </c>
      <c r="F20" s="34" t="s">
        <v>42</v>
      </c>
      <c r="G20" s="51">
        <f>VLOOKUP(E20,'BY-Demands'!$I$6:$J$42,2,FALSE)</f>
        <v>10.702591</v>
      </c>
      <c r="H20" s="51">
        <f>0.85*(12444+72)/1000</f>
        <v>10.6386</v>
      </c>
      <c r="I20" s="51">
        <f>0.9*(11424+74)/1000</f>
        <v>10.3482</v>
      </c>
      <c r="J20" s="51">
        <f>0.85*(12493+70)/1000</f>
        <v>10.67855</v>
      </c>
      <c r="K20" s="51">
        <f>J20*'TRA-2021'!C16</f>
        <v>10.878188502532995</v>
      </c>
      <c r="L20" s="51">
        <f>0.9*13.592606346773</f>
        <v>12.2333457120957</v>
      </c>
      <c r="M20" s="51">
        <v>14.013977143522958</v>
      </c>
      <c r="N20" s="51">
        <v>14.448410434972168</v>
      </c>
      <c r="O20" s="51">
        <v>14.737378643671612</v>
      </c>
      <c r="P20" s="51">
        <v>15.032126216545043</v>
      </c>
      <c r="Q20" s="51">
        <v>15.332768740875943</v>
      </c>
      <c r="R20" s="51">
        <v>15.639424115693462</v>
      </c>
      <c r="S20" s="51">
        <v>15.952212598007332</v>
      </c>
      <c r="T20" s="51">
        <v>16.319113487761502</v>
      </c>
      <c r="U20" s="51">
        <v>16.694453097980016</v>
      </c>
      <c r="V20" s="51">
        <v>17.078425519233555</v>
      </c>
      <c r="W20" s="51">
        <v>17.471229306175925</v>
      </c>
      <c r="X20" s="51">
        <v>17.87306758021797</v>
      </c>
      <c r="Y20" s="51">
        <v>18.284148134562983</v>
      </c>
      <c r="Z20" s="51">
        <v>18.704683541657932</v>
      </c>
      <c r="AA20" s="51">
        <v>19.13489126311606</v>
      </c>
      <c r="AB20" s="51">
        <v>19.574993762167729</v>
      </c>
      <c r="AC20" s="51">
        <v>20.025218618697583</v>
      </c>
      <c r="AD20" s="51">
        <v>20.485798646927627</v>
      </c>
      <c r="AE20" s="51">
        <v>20.956972015806958</v>
      </c>
      <c r="AF20" s="51">
        <v>21.438982372170514</v>
      </c>
      <c r="AG20" s="51">
        <v>21.932078966730433</v>
      </c>
      <c r="AH20" s="51">
        <v>22.436516782965231</v>
      </c>
      <c r="AI20" s="51">
        <v>22.952556668973429</v>
      </c>
      <c r="AJ20" s="51">
        <v>23.480465472359818</v>
      </c>
      <c r="AK20" s="51">
        <v>24.020516178224089</v>
      </c>
      <c r="AL20" s="51">
        <v>24.572988050323243</v>
      </c>
      <c r="AM20" s="51">
        <v>25.138166775480673</v>
      </c>
      <c r="AN20" s="52">
        <v>25.716344611316728</v>
      </c>
      <c r="AO20" s="52">
        <v>26.307820537377012</v>
      </c>
      <c r="AP20" s="52">
        <v>26.912900409736679</v>
      </c>
      <c r="AQ20" s="52">
        <v>27.531897119160618</v>
      </c>
      <c r="AR20" s="52">
        <v>28.165130752901309</v>
      </c>
      <c r="AS20" s="52">
        <v>28.812928760218039</v>
      </c>
      <c r="AT20" s="52">
        <v>29.475626121703051</v>
      </c>
      <c r="AU20" s="52">
        <v>30.15356552250222</v>
      </c>
      <c r="AV20" s="52">
        <v>30.847097529519768</v>
      </c>
      <c r="AW20" s="52">
        <v>31.55658077269872</v>
      </c>
      <c r="AX20" s="52">
        <v>32.282382130470786</v>
      </c>
      <c r="AY20" s="52">
        <v>33.024876919471609</v>
      </c>
      <c r="AZ20" s="52">
        <v>33.784449088619454</v>
      </c>
      <c r="BA20" s="52">
        <v>34.561491417657699</v>
      </c>
      <c r="BB20" s="52">
        <v>35.356405720263822</v>
      </c>
      <c r="BC20" s="52">
        <v>36.169603051829888</v>
      </c>
      <c r="BD20" s="52">
        <v>37.001503922021968</v>
      </c>
      <c r="BE20" s="52">
        <v>37.85253851222847</v>
      </c>
      <c r="BF20" s="52">
        <v>38.723146898009716</v>
      </c>
      <c r="BG20" s="52">
        <v>39.613779276663941</v>
      </c>
      <c r="BH20" s="52">
        <v>40.524896200027207</v>
      </c>
      <c r="BI20" s="52">
        <v>41.456968812627828</v>
      </c>
      <c r="BJ20" s="52">
        <v>42.410479095318259</v>
      </c>
      <c r="BK20" s="52">
        <v>43.385920114510576</v>
      </c>
      <c r="BL20" s="52">
        <v>44.383796277144313</v>
      </c>
      <c r="BM20" s="52">
        <v>45.404623591518629</v>
      </c>
      <c r="BN20" s="52">
        <v>46.448929934123555</v>
      </c>
      <c r="BO20" s="52">
        <v>47.517255322608392</v>
      </c>
      <c r="BP20" s="52">
        <v>48.610152195028377</v>
      </c>
      <c r="BQ20" s="52">
        <v>49.728185695514021</v>
      </c>
      <c r="BR20" s="52">
        <v>50.871933966510845</v>
      </c>
      <c r="BS20" s="52">
        <v>52.041988447740586</v>
      </c>
      <c r="BT20" s="52">
        <v>53.238954182038611</v>
      </c>
      <c r="BU20" s="52">
        <v>54.463450128225503</v>
      </c>
      <c r="BV20" s="52">
        <v>55.716109481174684</v>
      </c>
      <c r="BW20" s="52">
        <v>56.997579999241694</v>
      </c>
      <c r="BX20" s="52">
        <v>58.308524339224249</v>
      </c>
      <c r="BY20" s="52">
        <v>59.649620399026404</v>
      </c>
      <c r="BZ20" s="52">
        <v>61.021561668204008</v>
      </c>
      <c r="CA20" s="52">
        <v>62.425057586572692</v>
      </c>
      <c r="CB20" s="52">
        <v>63.860833911063864</v>
      </c>
      <c r="CC20" s="52">
        <v>65.329633091018323</v>
      </c>
      <c r="CD20" s="52">
        <v>66.832214652111745</v>
      </c>
      <c r="CE20" s="52">
        <v>68.369355589110299</v>
      </c>
      <c r="CF20" s="52">
        <v>69.941850767659844</v>
      </c>
      <c r="CG20" s="52">
        <v>71.550513335316012</v>
      </c>
      <c r="CH20" s="52">
        <v>73.196175142028267</v>
      </c>
      <c r="CI20" s="52">
        <v>74.879687170294915</v>
      </c>
      <c r="CJ20" s="52">
        <v>76.601919975211686</v>
      </c>
      <c r="CK20" s="52">
        <v>78.363764134641542</v>
      </c>
    </row>
    <row r="21" spans="3:89" ht="14.4">
      <c r="C21" t="s">
        <v>6</v>
      </c>
      <c r="D21" t="str">
        <f>_xlfn.TEXTJOIN(",",TRUE,Regions!$C$3)</f>
        <v>IE</v>
      </c>
      <c r="E21" t="s">
        <v>43</v>
      </c>
      <c r="F21" t="s">
        <v>44</v>
      </c>
      <c r="G21" s="51">
        <f>VLOOKUP(E21,'BY-Demands'!$I$6:$J$42,2,FALSE)</f>
        <v>7.7105748259750104</v>
      </c>
      <c r="H21" s="52">
        <v>10.277153740875089</v>
      </c>
      <c r="I21" s="52">
        <v>3.3705919303064187</v>
      </c>
      <c r="J21" s="52">
        <v>8.6157094085103783</v>
      </c>
      <c r="K21" s="52">
        <v>7.6814227047944605</v>
      </c>
      <c r="L21" s="52">
        <f t="shared" si="47" ref="L21:R21">K21-($H$21/11)</f>
        <v>6.7471360010785428</v>
      </c>
      <c r="M21" s="52">
        <f t="shared" si="47"/>
        <v>5.8128492973626251</v>
      </c>
      <c r="N21" s="52">
        <f t="shared" si="47"/>
        <v>4.8785625936467074</v>
      </c>
      <c r="O21" s="52">
        <f t="shared" si="47"/>
        <v>3.9442758899307901</v>
      </c>
      <c r="P21" s="52">
        <f t="shared" si="47"/>
        <v>3.0099891862148729</v>
      </c>
      <c r="Q21" s="52">
        <f t="shared" si="47"/>
        <v>2.0757024824989556</v>
      </c>
      <c r="R21" s="52">
        <f t="shared" si="47"/>
        <v>1.1414157787830383</v>
      </c>
      <c r="S21" s="52">
        <v>0</v>
      </c>
      <c r="T21" s="52"/>
      <c r="U21" s="52"/>
      <c r="V21" s="52"/>
      <c r="W21" s="52"/>
      <c r="X21" s="52">
        <v>0</v>
      </c>
      <c r="Y21" s="52"/>
      <c r="Z21" s="52"/>
      <c r="AA21" s="52"/>
      <c r="AB21" s="52"/>
      <c r="AC21" s="52">
        <v>0</v>
      </c>
      <c r="AD21" s="52"/>
      <c r="AE21" s="52"/>
      <c r="AF21" s="52"/>
      <c r="AG21" s="52"/>
      <c r="AH21" s="52">
        <v>0</v>
      </c>
      <c r="AI21" s="52"/>
      <c r="AJ21" s="52"/>
      <c r="AK21" s="52"/>
      <c r="AL21" s="52"/>
      <c r="AM21" s="52">
        <v>0</v>
      </c>
      <c r="AN21" s="52"/>
      <c r="AO21" s="52"/>
      <c r="AP21" s="52"/>
      <c r="AQ21" s="52"/>
      <c r="AR21" s="52">
        <v>0</v>
      </c>
      <c r="AS21" s="52"/>
      <c r="AT21" s="52"/>
      <c r="AU21" s="52"/>
      <c r="AV21" s="52"/>
      <c r="AW21" s="52">
        <v>0</v>
      </c>
      <c r="AX21" s="52"/>
      <c r="AY21" s="52"/>
      <c r="AZ21" s="52"/>
      <c r="BA21" s="52"/>
      <c r="BB21" s="52">
        <v>0</v>
      </c>
      <c r="BC21" s="52"/>
      <c r="BD21" s="52"/>
      <c r="BE21" s="52"/>
      <c r="BF21" s="52"/>
      <c r="BG21" s="52">
        <v>0</v>
      </c>
      <c r="BH21" s="52"/>
      <c r="BI21" s="52"/>
      <c r="BJ21" s="52"/>
      <c r="BK21" s="52"/>
      <c r="BL21" s="52">
        <v>0</v>
      </c>
      <c r="BM21" s="52"/>
      <c r="BN21" s="52"/>
      <c r="BO21" s="52"/>
      <c r="BP21" s="52"/>
      <c r="BQ21" s="52">
        <v>0</v>
      </c>
      <c r="BR21" s="52"/>
      <c r="BS21" s="52"/>
      <c r="BT21" s="52"/>
      <c r="BU21" s="52"/>
      <c r="BV21" s="52">
        <v>0</v>
      </c>
      <c r="BW21" s="52"/>
      <c r="BX21" s="52"/>
      <c r="BY21" s="52"/>
      <c r="BZ21" s="52"/>
      <c r="CA21" s="52">
        <v>0</v>
      </c>
      <c r="CB21" s="52"/>
      <c r="CC21" s="52"/>
      <c r="CD21" s="52"/>
      <c r="CE21" s="52"/>
      <c r="CF21" s="52">
        <v>0</v>
      </c>
      <c r="CG21" s="52"/>
      <c r="CH21" s="52"/>
      <c r="CI21" s="52"/>
      <c r="CJ21" s="52"/>
      <c r="CK21" s="52">
        <v>0</v>
      </c>
    </row>
    <row r="22" spans="3:89" ht="14.4">
      <c r="C22" t="s">
        <v>6</v>
      </c>
      <c r="D22" t="str">
        <f>_xlfn.TEXTJOIN(",",TRUE,Regions!$C$3)</f>
        <v>IE</v>
      </c>
      <c r="E22" t="s">
        <v>45</v>
      </c>
      <c r="F22" t="s">
        <v>46</v>
      </c>
      <c r="G22" s="51">
        <f>VLOOKUP(E22,'BY-Demands'!$I$6:$J$42,2,FALSE)</f>
        <v>3.5132998087277101</v>
      </c>
      <c r="H22" s="52">
        <v>3.7418117054559139</v>
      </c>
      <c r="I22" s="52">
        <v>4.5759806863218264</v>
      </c>
      <c r="J22" s="52">
        <v>5.0500849492972852</v>
      </c>
      <c r="K22" s="52">
        <v>4.6611834502685596</v>
      </c>
      <c r="L22" s="52">
        <v>4.8042664418927696</v>
      </c>
      <c r="M22" s="52">
        <v>4.9555896582000001</v>
      </c>
      <c r="N22" s="52">
        <v>5.1129502074838999</v>
      </c>
      <c r="O22" s="52">
        <v>5.2752039056523996</v>
      </c>
      <c r="P22" s="52">
        <v>5.4414060135777298</v>
      </c>
      <c r="Q22" s="52">
        <v>5.6117259844700902</v>
      </c>
      <c r="R22" s="52">
        <v>5.7862882839617802</v>
      </c>
      <c r="S22" s="52">
        <v>5.9645530611175701</v>
      </c>
      <c r="T22" s="52">
        <v>6.1457480291828999</v>
      </c>
      <c r="U22" s="52">
        <v>6.3299271732513001</v>
      </c>
      <c r="V22" s="52">
        <v>6.5164111808959202</v>
      </c>
      <c r="W22" s="52">
        <v>6.7046092152599002</v>
      </c>
      <c r="X22" s="52">
        <v>6.8941328835870399</v>
      </c>
      <c r="Y22" s="52">
        <v>7.0848817136199704</v>
      </c>
      <c r="Z22" s="52">
        <v>7.2761374036976303</v>
      </c>
      <c r="AA22" s="52">
        <v>7.4682763498887699</v>
      </c>
      <c r="AB22" s="52">
        <v>7.6618204080974204</v>
      </c>
      <c r="AC22" s="52">
        <v>7.8573484184930402</v>
      </c>
      <c r="AD22" s="52">
        <v>8.0554527175184294</v>
      </c>
      <c r="AE22" s="52">
        <v>8.2566896515540797</v>
      </c>
      <c r="AF22" s="52">
        <v>8.4615630814728604</v>
      </c>
      <c r="AG22" s="52">
        <v>8.6705693702179794</v>
      </c>
      <c r="AH22" s="52">
        <v>8.8842603654121408</v>
      </c>
      <c r="AI22" s="52">
        <v>9.1033168790680801</v>
      </c>
      <c r="AJ22" s="52">
        <v>9.3273565167733494</v>
      </c>
      <c r="AK22" s="52">
        <v>9.5573045230475095</v>
      </c>
      <c r="AL22" s="52">
        <v>9.7942615939640305</v>
      </c>
      <c r="AM22" s="52">
        <v>10.039412402408599</v>
      </c>
      <c r="AN22" s="52">
        <v>10.293860643626401</v>
      </c>
      <c r="AO22" s="52">
        <v>10.5584100956768</v>
      </c>
      <c r="AP22" s="52">
        <v>10.833663592103999</v>
      </c>
      <c r="AQ22" s="52">
        <v>11.1201369904683</v>
      </c>
      <c r="AR22" s="52">
        <v>11.4183281532989</v>
      </c>
      <c r="AS22" s="52">
        <v>11.7286584642425</v>
      </c>
      <c r="AT22" s="52">
        <v>12.051195404665901</v>
      </c>
      <c r="AU22" s="52">
        <v>12.3857005404062</v>
      </c>
      <c r="AV22" s="52">
        <v>12.7317569865743</v>
      </c>
      <c r="AW22" s="52">
        <v>13.088970352070501</v>
      </c>
      <c r="AX22" s="52">
        <v>12.461582160250099</v>
      </c>
      <c r="AY22" s="52">
        <v>12.666563648039499</v>
      </c>
      <c r="AZ22" s="52">
        <v>12.871545135828899</v>
      </c>
      <c r="BA22" s="52">
        <v>13.0765266236182</v>
      </c>
      <c r="BB22" s="52">
        <v>13.281508111407501</v>
      </c>
      <c r="BC22" s="52">
        <v>13.486489599196901</v>
      </c>
      <c r="BD22" s="52">
        <v>13.6914710869862</v>
      </c>
      <c r="BE22" s="52">
        <v>13.8964525747756</v>
      </c>
      <c r="BF22" s="52">
        <v>14.101434062565</v>
      </c>
      <c r="BG22" s="52">
        <v>14.3064155503543</v>
      </c>
      <c r="BH22" s="52">
        <v>14.511397038143601</v>
      </c>
      <c r="BI22" s="52">
        <v>14.716378525933001</v>
      </c>
      <c r="BJ22" s="52">
        <v>14.921360013722399</v>
      </c>
      <c r="BK22" s="52">
        <v>15.1263415015117</v>
      </c>
      <c r="BL22" s="52">
        <v>15.3313229893011</v>
      </c>
      <c r="BM22" s="52">
        <v>15.5363044770905</v>
      </c>
      <c r="BN22" s="52">
        <v>15.7412859648798</v>
      </c>
      <c r="BO22" s="52">
        <v>15.946267452669099</v>
      </c>
      <c r="BP22" s="52">
        <v>16.151248940458501</v>
      </c>
      <c r="BQ22" s="52">
        <v>16.356230428247802</v>
      </c>
      <c r="BR22" s="52">
        <v>16.561211916037202</v>
      </c>
      <c r="BS22" s="52">
        <v>16.766193403826598</v>
      </c>
      <c r="BT22" s="52">
        <v>16.971174891615899</v>
      </c>
      <c r="BU22" s="52">
        <v>17.176156379405199</v>
      </c>
      <c r="BV22" s="52">
        <v>17.3811378671946</v>
      </c>
      <c r="BW22" s="52">
        <v>17.586119354984</v>
      </c>
      <c r="BX22" s="52">
        <v>17.7911008427733</v>
      </c>
      <c r="BY22" s="52">
        <v>17.9960823305627</v>
      </c>
      <c r="BZ22" s="52">
        <v>18.201063818352001</v>
      </c>
      <c r="CA22" s="52">
        <v>18.406045306141401</v>
      </c>
      <c r="CB22" s="52">
        <v>18.611026793930701</v>
      </c>
      <c r="CC22" s="52">
        <v>18.816008281720102</v>
      </c>
      <c r="CD22" s="52">
        <v>19.020989769509399</v>
      </c>
      <c r="CE22" s="52">
        <v>19.225971257298799</v>
      </c>
      <c r="CF22" s="52">
        <v>19.430952745088199</v>
      </c>
      <c r="CG22" s="52">
        <v>19.635934232877499</v>
      </c>
      <c r="CH22" s="52">
        <v>19.8409157206668</v>
      </c>
      <c r="CI22" s="52">
        <v>20.0458972084562</v>
      </c>
      <c r="CJ22" s="52">
        <v>20.2508786962456</v>
      </c>
      <c r="CK22" s="52">
        <v>20.455860184034901</v>
      </c>
    </row>
    <row r="23" spans="3:89" ht="14.4">
      <c r="C23" t="s">
        <v>6</v>
      </c>
      <c r="D23" t="str">
        <f>_xlfn.TEXTJOIN(",",TRUE,Regions!$C$3)</f>
        <v>IE</v>
      </c>
      <c r="E23" t="s">
        <v>47</v>
      </c>
      <c r="F23" t="s">
        <v>48</v>
      </c>
      <c r="G23" s="51">
        <f>VLOOKUP(E23,'BY-Demands'!$I$6:$J$42,2,FALSE)</f>
        <v>20.831454920682301</v>
      </c>
      <c r="H23" s="52">
        <v>16.657128777768676</v>
      </c>
      <c r="I23" s="52">
        <v>22.750457116443403</v>
      </c>
      <c r="J23" s="52">
        <v>15.130660002348661</v>
      </c>
      <c r="K23" s="52">
        <v>13.161374650000001</v>
      </c>
      <c r="L23" s="52">
        <v>12.48596777</v>
      </c>
      <c r="M23" s="52">
        <v>11.082962500000001</v>
      </c>
      <c r="N23" s="52">
        <v>8.6768985000000001</v>
      </c>
      <c r="O23" s="52">
        <v>5.6468117209999997</v>
      </c>
      <c r="P23" s="52">
        <v>3.024291002</v>
      </c>
      <c r="Q23" s="52">
        <v>1.39538575</v>
      </c>
      <c r="R23" s="52">
        <v>0.58209679999999997</v>
      </c>
      <c r="S23" s="52">
        <v>0</v>
      </c>
      <c r="T23" s="52"/>
      <c r="U23" s="52"/>
      <c r="V23" s="52"/>
      <c r="W23" s="52"/>
      <c r="X23" s="52">
        <v>0</v>
      </c>
      <c r="Y23" s="52"/>
      <c r="Z23" s="52"/>
      <c r="AA23" s="52"/>
      <c r="AB23" s="52"/>
      <c r="AC23" s="52">
        <v>0</v>
      </c>
      <c r="AD23" s="52"/>
      <c r="AE23" s="52"/>
      <c r="AF23" s="52"/>
      <c r="AG23" s="52"/>
      <c r="AH23" s="52">
        <v>0</v>
      </c>
      <c r="AI23" s="52"/>
      <c r="AJ23" s="52"/>
      <c r="AK23" s="52"/>
      <c r="AL23" s="52"/>
      <c r="AM23" s="52">
        <v>0</v>
      </c>
      <c r="AN23" s="52"/>
      <c r="AO23" s="52"/>
      <c r="AP23" s="52"/>
      <c r="AQ23" s="52"/>
      <c r="AR23" s="52">
        <v>0</v>
      </c>
      <c r="AS23" s="52"/>
      <c r="AT23" s="52"/>
      <c r="AU23" s="52"/>
      <c r="AV23" s="52"/>
      <c r="AW23" s="52">
        <v>0</v>
      </c>
      <c r="AX23" s="52"/>
      <c r="AY23" s="52"/>
      <c r="AZ23" s="52"/>
      <c r="BA23" s="52"/>
      <c r="BB23" s="52">
        <v>0</v>
      </c>
      <c r="BC23" s="52"/>
      <c r="BD23" s="52"/>
      <c r="BE23" s="52"/>
      <c r="BF23" s="52"/>
      <c r="BG23" s="52">
        <v>0</v>
      </c>
      <c r="BH23" s="52"/>
      <c r="BI23" s="52"/>
      <c r="BJ23" s="52"/>
      <c r="BK23" s="52"/>
      <c r="BL23" s="52">
        <v>0</v>
      </c>
      <c r="BM23" s="52"/>
      <c r="BN23" s="52"/>
      <c r="BO23" s="52"/>
      <c r="BP23" s="52"/>
      <c r="BQ23" s="52">
        <v>0</v>
      </c>
      <c r="BR23" s="52"/>
      <c r="BS23" s="52"/>
      <c r="BT23" s="52"/>
      <c r="BU23" s="52"/>
      <c r="BV23" s="52">
        <v>0</v>
      </c>
      <c r="BW23" s="52"/>
      <c r="BX23" s="52"/>
      <c r="BY23" s="52"/>
      <c r="BZ23" s="52"/>
      <c r="CA23" s="52">
        <v>0</v>
      </c>
      <c r="CB23" s="52"/>
      <c r="CC23" s="52"/>
      <c r="CD23" s="52"/>
      <c r="CE23" s="52"/>
      <c r="CF23" s="52">
        <v>0</v>
      </c>
      <c r="CG23" s="52"/>
      <c r="CH23" s="52"/>
      <c r="CI23" s="52"/>
      <c r="CJ23" s="52"/>
      <c r="CK23" s="52">
        <v>0</v>
      </c>
    </row>
    <row r="24" spans="3:89" ht="14.4">
      <c r="C24" t="s">
        <v>6</v>
      </c>
      <c r="D24" t="str">
        <f>_xlfn.TEXTJOIN(",",TRUE,Regions!$C$3)</f>
        <v>IE</v>
      </c>
      <c r="E24" t="s">
        <v>49</v>
      </c>
      <c r="F24" t="s">
        <v>50</v>
      </c>
      <c r="G24" s="51">
        <f>VLOOKUP(E24,'BY-Demands'!$I$6:$J$42,2,FALSE)</f>
        <v>0.23349320028657899</v>
      </c>
      <c r="H24" s="52">
        <v>0.25090920347352241</v>
      </c>
      <c r="I24" s="52">
        <v>0.11004689080374389</v>
      </c>
      <c r="J24" s="52">
        <v>0.12006442123265494</v>
      </c>
      <c r="K24" s="52">
        <v>0.23</v>
      </c>
      <c r="L24" s="52">
        <v>0.23</v>
      </c>
      <c r="M24" s="52">
        <v>0.23</v>
      </c>
      <c r="N24" s="52">
        <v>0.23</v>
      </c>
      <c r="O24" s="52">
        <v>0.23</v>
      </c>
      <c r="P24" s="52">
        <v>0.23</v>
      </c>
      <c r="Q24" s="52">
        <v>0.23</v>
      </c>
      <c r="R24" s="52">
        <v>0.23</v>
      </c>
      <c r="S24" s="52">
        <v>0.23</v>
      </c>
      <c r="T24" s="52">
        <v>0.23</v>
      </c>
      <c r="U24" s="52">
        <v>0.23</v>
      </c>
      <c r="V24" s="52">
        <v>0.23</v>
      </c>
      <c r="W24" s="52">
        <v>0.23</v>
      </c>
      <c r="X24" s="52">
        <v>0.23</v>
      </c>
      <c r="Y24" s="52">
        <v>0.23</v>
      </c>
      <c r="Z24" s="52">
        <v>0.23</v>
      </c>
      <c r="AA24" s="52">
        <v>0.23</v>
      </c>
      <c r="AB24" s="52">
        <v>0.23</v>
      </c>
      <c r="AC24" s="52">
        <v>0.23</v>
      </c>
      <c r="AD24" s="52">
        <v>0.23</v>
      </c>
      <c r="AE24" s="52">
        <v>0.23</v>
      </c>
      <c r="AF24" s="52">
        <v>0.23</v>
      </c>
      <c r="AG24" s="52">
        <v>0.23</v>
      </c>
      <c r="AH24" s="52">
        <v>0.23</v>
      </c>
      <c r="AI24" s="52">
        <v>0.23</v>
      </c>
      <c r="AJ24" s="52">
        <v>0.23</v>
      </c>
      <c r="AK24" s="52">
        <v>0.23</v>
      </c>
      <c r="AL24" s="52">
        <v>0.23</v>
      </c>
      <c r="AM24" s="52">
        <v>0.23</v>
      </c>
      <c r="AN24" s="52">
        <v>0.23</v>
      </c>
      <c r="AO24" s="52">
        <v>0.23</v>
      </c>
      <c r="AP24" s="52">
        <v>0.23</v>
      </c>
      <c r="AQ24" s="52">
        <v>0.23</v>
      </c>
      <c r="AR24" s="52">
        <v>0.23</v>
      </c>
      <c r="AS24" s="52">
        <v>0.23</v>
      </c>
      <c r="AT24" s="52">
        <v>0.23</v>
      </c>
      <c r="AU24" s="52">
        <v>0.23</v>
      </c>
      <c r="AV24" s="52">
        <v>0.23</v>
      </c>
      <c r="AW24" s="52">
        <v>0.23</v>
      </c>
      <c r="AX24" s="52">
        <v>0.23</v>
      </c>
      <c r="AY24" s="52">
        <v>0.23</v>
      </c>
      <c r="AZ24" s="52">
        <v>0.23</v>
      </c>
      <c r="BA24" s="52">
        <v>0.23</v>
      </c>
      <c r="BB24" s="52">
        <v>0.23</v>
      </c>
      <c r="BC24" s="52">
        <v>0.23</v>
      </c>
      <c r="BD24" s="52">
        <v>0.23</v>
      </c>
      <c r="BE24" s="52">
        <v>0.23</v>
      </c>
      <c r="BF24" s="52">
        <v>0.23</v>
      </c>
      <c r="BG24" s="52">
        <v>0.23</v>
      </c>
      <c r="BH24" s="52">
        <v>0.23</v>
      </c>
      <c r="BI24" s="52">
        <v>0.23</v>
      </c>
      <c r="BJ24" s="52">
        <v>0.23</v>
      </c>
      <c r="BK24" s="52">
        <v>0.23</v>
      </c>
      <c r="BL24" s="52">
        <v>0.23</v>
      </c>
      <c r="BM24" s="52">
        <v>0.23</v>
      </c>
      <c r="BN24" s="52">
        <v>0.23</v>
      </c>
      <c r="BO24" s="52">
        <v>0.23</v>
      </c>
      <c r="BP24" s="52">
        <v>0.23</v>
      </c>
      <c r="BQ24" s="52">
        <v>0.23</v>
      </c>
      <c r="BR24" s="52">
        <v>0.23</v>
      </c>
      <c r="BS24" s="52">
        <v>0.23</v>
      </c>
      <c r="BT24" s="52">
        <v>0.23</v>
      </c>
      <c r="BU24" s="52">
        <v>0.23</v>
      </c>
      <c r="BV24" s="52">
        <v>0.23</v>
      </c>
      <c r="BW24" s="52">
        <v>0.23</v>
      </c>
      <c r="BX24" s="52">
        <v>0.23</v>
      </c>
      <c r="BY24" s="52">
        <v>0.23</v>
      </c>
      <c r="BZ24" s="52">
        <v>0.23</v>
      </c>
      <c r="CA24" s="52">
        <v>0.23</v>
      </c>
      <c r="CB24" s="52">
        <v>0.23</v>
      </c>
      <c r="CC24" s="52">
        <v>0.23</v>
      </c>
      <c r="CD24" s="52">
        <v>0.23</v>
      </c>
      <c r="CE24" s="52">
        <v>0.23</v>
      </c>
      <c r="CF24" s="52">
        <v>0.23</v>
      </c>
      <c r="CG24" s="52">
        <v>0.23</v>
      </c>
      <c r="CH24" s="52">
        <v>0.23</v>
      </c>
      <c r="CI24" s="52">
        <v>0.23</v>
      </c>
      <c r="CJ24" s="52">
        <v>0.23</v>
      </c>
      <c r="CK24" s="52">
        <v>0.23</v>
      </c>
    </row>
    <row r="25" spans="3:89" ht="14.4">
      <c r="C25" t="s">
        <v>6</v>
      </c>
      <c r="D25" t="str">
        <f>_xlfn.TEXTJOIN(",",TRUE,Regions!$C$3)</f>
        <v>IE</v>
      </c>
      <c r="E25" t="s">
        <v>51</v>
      </c>
      <c r="F25" t="s">
        <v>52</v>
      </c>
      <c r="G25" s="51">
        <f>VLOOKUP(E25,'BY-Demands'!$I$6:$J$42,2,FALSE)</f>
        <v>45.9683637522608</v>
      </c>
      <c r="H25" s="52">
        <v>46.490627829341264</v>
      </c>
      <c r="I25" s="52">
        <v>16.580491392971403</v>
      </c>
      <c r="J25" s="52">
        <v>18.575720244415919</v>
      </c>
      <c r="K25" s="52">
        <v>48.192396850000002</v>
      </c>
      <c r="L25" s="52">
        <v>48.860779260000001</v>
      </c>
      <c r="M25" s="52">
        <v>49.515792400000002</v>
      </c>
      <c r="N25" s="91">
        <v>0</v>
      </c>
      <c r="O25" s="91">
        <v>0</v>
      </c>
      <c r="P25" s="91">
        <v>0</v>
      </c>
      <c r="Q25" s="91">
        <v>0</v>
      </c>
      <c r="R25" s="91">
        <v>0</v>
      </c>
      <c r="S25" s="91">
        <v>0</v>
      </c>
      <c r="T25" s="91">
        <v>0</v>
      </c>
      <c r="U25" s="91">
        <v>0</v>
      </c>
      <c r="V25" s="91">
        <v>0</v>
      </c>
      <c r="W25" s="91">
        <v>0</v>
      </c>
      <c r="X25" s="91">
        <v>0</v>
      </c>
      <c r="Y25" s="91">
        <v>0</v>
      </c>
      <c r="Z25" s="91">
        <v>0</v>
      </c>
      <c r="AA25" s="91">
        <v>0</v>
      </c>
      <c r="AB25" s="91">
        <v>0</v>
      </c>
      <c r="AC25" s="91">
        <v>0</v>
      </c>
      <c r="AD25" s="91">
        <v>0</v>
      </c>
      <c r="AE25" s="91">
        <v>0</v>
      </c>
      <c r="AF25" s="91">
        <v>0</v>
      </c>
      <c r="AG25" s="91">
        <v>0</v>
      </c>
      <c r="AH25" s="91">
        <v>0</v>
      </c>
      <c r="AI25" s="91">
        <v>0</v>
      </c>
      <c r="AJ25" s="91">
        <v>0</v>
      </c>
      <c r="AK25" s="91">
        <v>0</v>
      </c>
      <c r="AL25" s="91">
        <v>0</v>
      </c>
      <c r="AM25" s="91">
        <v>0</v>
      </c>
      <c r="AN25" s="91">
        <v>0</v>
      </c>
      <c r="AO25" s="91">
        <v>0</v>
      </c>
      <c r="AP25" s="91">
        <v>0</v>
      </c>
      <c r="AQ25" s="91">
        <v>0</v>
      </c>
      <c r="AR25" s="91">
        <v>0</v>
      </c>
      <c r="AS25" s="91">
        <v>0</v>
      </c>
      <c r="AT25" s="91">
        <v>0</v>
      </c>
      <c r="AU25" s="91">
        <v>0</v>
      </c>
      <c r="AV25" s="91">
        <v>0</v>
      </c>
      <c r="AW25" s="91">
        <v>0</v>
      </c>
      <c r="AX25" s="91">
        <v>0</v>
      </c>
      <c r="AY25" s="91">
        <v>0</v>
      </c>
      <c r="AZ25" s="91">
        <v>0</v>
      </c>
      <c r="BA25" s="91">
        <v>0</v>
      </c>
      <c r="BB25" s="91">
        <v>0</v>
      </c>
      <c r="BC25" s="91">
        <v>0</v>
      </c>
      <c r="BD25" s="91">
        <v>0</v>
      </c>
      <c r="BE25" s="91">
        <v>0</v>
      </c>
      <c r="BF25" s="91">
        <v>0</v>
      </c>
      <c r="BG25" s="91">
        <v>0</v>
      </c>
      <c r="BH25" s="91">
        <v>0</v>
      </c>
      <c r="BI25" s="91">
        <v>0</v>
      </c>
      <c r="BJ25" s="91">
        <v>0</v>
      </c>
      <c r="BK25" s="91">
        <v>0</v>
      </c>
      <c r="BL25" s="91">
        <v>0</v>
      </c>
      <c r="BM25" s="91">
        <v>0</v>
      </c>
      <c r="BN25" s="91">
        <v>0</v>
      </c>
      <c r="BO25" s="91">
        <v>0</v>
      </c>
      <c r="BP25" s="91">
        <v>0</v>
      </c>
      <c r="BQ25" s="91">
        <v>0</v>
      </c>
      <c r="BR25" s="91">
        <v>0</v>
      </c>
      <c r="BS25" s="91">
        <v>0</v>
      </c>
      <c r="BT25" s="91">
        <v>0</v>
      </c>
      <c r="BU25" s="91">
        <v>0</v>
      </c>
      <c r="BV25" s="91">
        <v>0</v>
      </c>
      <c r="BW25" s="91">
        <v>0</v>
      </c>
      <c r="BX25" s="91">
        <v>0</v>
      </c>
      <c r="BY25" s="91">
        <v>0</v>
      </c>
      <c r="BZ25" s="91">
        <v>0</v>
      </c>
      <c r="CA25" s="91">
        <v>0</v>
      </c>
      <c r="CB25" s="91">
        <v>0</v>
      </c>
      <c r="CC25" s="91">
        <v>0</v>
      </c>
      <c r="CD25" s="91">
        <v>0</v>
      </c>
      <c r="CE25" s="91">
        <v>0</v>
      </c>
      <c r="CF25" s="91">
        <v>0</v>
      </c>
      <c r="CG25" s="91">
        <v>0</v>
      </c>
      <c r="CH25" s="91">
        <v>0</v>
      </c>
      <c r="CI25" s="91">
        <v>0</v>
      </c>
      <c r="CJ25" s="91">
        <v>0</v>
      </c>
      <c r="CK25" s="91">
        <v>0</v>
      </c>
    </row>
    <row r="26" spans="3:89" ht="14.4">
      <c r="C26" s="90" t="s">
        <v>6</v>
      </c>
      <c r="D26" s="90" t="str">
        <f>_xlfn.TEXTJOIN(",",TRUE,Regions!$C$3)</f>
        <v>IE</v>
      </c>
      <c r="E26" s="90" t="s">
        <v>217</v>
      </c>
      <c r="F26" s="90" t="s">
        <v>214</v>
      </c>
      <c r="G26" s="91">
        <v>0</v>
      </c>
      <c r="H26" s="91">
        <v>0</v>
      </c>
      <c r="I26" s="91">
        <v>0</v>
      </c>
      <c r="J26" s="91">
        <v>0</v>
      </c>
      <c r="K26" s="91">
        <v>0</v>
      </c>
      <c r="L26" s="91">
        <v>0</v>
      </c>
      <c r="M26" s="91">
        <v>0</v>
      </c>
      <c r="N26" s="91">
        <v>3.0382550804140349</v>
      </c>
      <c r="O26" s="91">
        <v>3.1317850206210527</v>
      </c>
      <c r="P26" s="91">
        <v>3.2253149608280705</v>
      </c>
      <c r="Q26" s="91">
        <v>3.3188449010350882</v>
      </c>
      <c r="R26" s="91">
        <v>3.412374841242106</v>
      </c>
      <c r="S26" s="91">
        <v>3.5059047814491238</v>
      </c>
      <c r="T26" s="91">
        <v>3.5994347216561415</v>
      </c>
      <c r="U26" s="91">
        <v>3.6929646618631593</v>
      </c>
      <c r="V26" s="91">
        <v>3.7864946020701771</v>
      </c>
      <c r="W26" s="91">
        <v>3.8800245422771948</v>
      </c>
      <c r="X26" s="91">
        <v>3.9735544824842126</v>
      </c>
      <c r="Y26" s="91">
        <v>4.0670844226912308</v>
      </c>
      <c r="Z26" s="91">
        <v>4.160614362898249</v>
      </c>
      <c r="AA26" s="91">
        <v>4.2541443031052673</v>
      </c>
      <c r="AB26" s="91">
        <v>4.3476742433122855</v>
      </c>
      <c r="AC26" s="91">
        <v>4.4412041835193037</v>
      </c>
      <c r="AD26" s="91">
        <v>4.5347341237263219</v>
      </c>
      <c r="AE26" s="91">
        <v>4.6282640639333401</v>
      </c>
      <c r="AF26" s="91">
        <v>4.7217940041403583</v>
      </c>
      <c r="AG26" s="91">
        <v>4.8153239443473765</v>
      </c>
      <c r="AH26" s="91">
        <v>4.9088538845543948</v>
      </c>
      <c r="AI26" s="91">
        <v>5.002383824761413</v>
      </c>
      <c r="AJ26" s="91">
        <v>5.0959137649684312</v>
      </c>
      <c r="AK26" s="91">
        <v>5.1894437051754494</v>
      </c>
      <c r="AL26" s="91">
        <v>5.2829736453824676</v>
      </c>
      <c r="AM26" s="91">
        <v>5.3765035855894858</v>
      </c>
      <c r="AN26" s="91">
        <v>5.470033525796504</v>
      </c>
      <c r="AO26" s="91">
        <v>5.5635634660035223</v>
      </c>
      <c r="AP26" s="91">
        <v>5.6570934062105405</v>
      </c>
      <c r="AQ26" s="91">
        <v>5.7506233464175587</v>
      </c>
      <c r="AR26" s="91">
        <v>5.8441532866245769</v>
      </c>
      <c r="AS26" s="91">
        <v>5.9376832268315951</v>
      </c>
      <c r="AT26" s="91">
        <v>6.0312131670386133</v>
      </c>
      <c r="AU26" s="91">
        <v>6.1247431072456315</v>
      </c>
      <c r="AV26" s="91">
        <v>6.2182730474526497</v>
      </c>
      <c r="AW26" s="91">
        <v>6.311802987659668</v>
      </c>
      <c r="AX26" s="91">
        <v>6.4053329278666862</v>
      </c>
      <c r="AY26" s="91">
        <v>6.4988628680737044</v>
      </c>
      <c r="AZ26" s="91">
        <v>6.5923928082807226</v>
      </c>
      <c r="BA26" s="91">
        <v>6.6859227484877408</v>
      </c>
      <c r="BB26" s="91">
        <v>6.779452688694759</v>
      </c>
      <c r="BC26" s="91">
        <v>6.8729826289017772</v>
      </c>
      <c r="BD26" s="91">
        <v>6.9665125691087955</v>
      </c>
      <c r="BE26" s="91">
        <v>7.0600425093158137</v>
      </c>
      <c r="BF26" s="91">
        <v>7.1535724495228319</v>
      </c>
      <c r="BG26" s="91">
        <v>7.2471023897298386</v>
      </c>
      <c r="BH26" s="91">
        <f t="shared" si="48" ref="BH26:CK28">BG26</f>
        <v>7.2471023897298386</v>
      </c>
      <c r="BI26" s="91">
        <f t="shared" si="48"/>
        <v>7.2471023897298386</v>
      </c>
      <c r="BJ26" s="91">
        <f t="shared" si="48"/>
        <v>7.2471023897298386</v>
      </c>
      <c r="BK26" s="91">
        <f t="shared" si="48"/>
        <v>7.2471023897298386</v>
      </c>
      <c r="BL26" s="91">
        <f t="shared" si="48"/>
        <v>7.2471023897298386</v>
      </c>
      <c r="BM26" s="91">
        <f t="shared" si="48"/>
        <v>7.2471023897298386</v>
      </c>
      <c r="BN26" s="91">
        <f t="shared" si="48"/>
        <v>7.2471023897298386</v>
      </c>
      <c r="BO26" s="91">
        <f t="shared" si="48"/>
        <v>7.2471023897298386</v>
      </c>
      <c r="BP26" s="91">
        <f t="shared" si="48"/>
        <v>7.2471023897298386</v>
      </c>
      <c r="BQ26" s="91">
        <f t="shared" si="48"/>
        <v>7.2471023897298386</v>
      </c>
      <c r="BR26" s="91">
        <f t="shared" si="48"/>
        <v>7.2471023897298386</v>
      </c>
      <c r="BS26" s="91">
        <f t="shared" si="48"/>
        <v>7.2471023897298386</v>
      </c>
      <c r="BT26" s="91">
        <f t="shared" si="48"/>
        <v>7.2471023897298386</v>
      </c>
      <c r="BU26" s="91">
        <f t="shared" si="48"/>
        <v>7.2471023897298386</v>
      </c>
      <c r="BV26" s="91">
        <f t="shared" si="48"/>
        <v>7.2471023897298386</v>
      </c>
      <c r="BW26" s="91">
        <f t="shared" si="48"/>
        <v>7.2471023897298386</v>
      </c>
      <c r="BX26" s="91">
        <f t="shared" si="48"/>
        <v>7.2471023897298386</v>
      </c>
      <c r="BY26" s="91">
        <f t="shared" si="48"/>
        <v>7.2471023897298386</v>
      </c>
      <c r="BZ26" s="91">
        <f t="shared" si="48"/>
        <v>7.2471023897298386</v>
      </c>
      <c r="CA26" s="91">
        <f t="shared" si="48"/>
        <v>7.2471023897298386</v>
      </c>
      <c r="CB26" s="91">
        <f t="shared" si="48"/>
        <v>7.2471023897298386</v>
      </c>
      <c r="CC26" s="91">
        <f t="shared" si="48"/>
        <v>7.2471023897298386</v>
      </c>
      <c r="CD26" s="91">
        <f t="shared" si="48"/>
        <v>7.2471023897298386</v>
      </c>
      <c r="CE26" s="91">
        <f t="shared" si="48"/>
        <v>7.2471023897298386</v>
      </c>
      <c r="CF26" s="91">
        <f t="shared" si="48"/>
        <v>7.2471023897298386</v>
      </c>
      <c r="CG26" s="91">
        <f t="shared" si="48"/>
        <v>7.2471023897298386</v>
      </c>
      <c r="CH26" s="91">
        <f t="shared" si="48"/>
        <v>7.2471023897298386</v>
      </c>
      <c r="CI26" s="91">
        <f t="shared" si="48"/>
        <v>7.2471023897298386</v>
      </c>
      <c r="CJ26" s="91">
        <f t="shared" si="48"/>
        <v>7.2471023897298386</v>
      </c>
      <c r="CK26" s="91">
        <f t="shared" si="48"/>
        <v>7.2471023897298386</v>
      </c>
    </row>
    <row r="27" spans="3:89" ht="14.4">
      <c r="C27" s="90" t="s">
        <v>6</v>
      </c>
      <c r="D27" s="90" t="str">
        <f>_xlfn.TEXTJOIN(",",TRUE,Regions!$C$3)</f>
        <v>IE</v>
      </c>
      <c r="E27" s="90" t="s">
        <v>218</v>
      </c>
      <c r="F27" s="90" t="s">
        <v>215</v>
      </c>
      <c r="G27" s="91">
        <v>0</v>
      </c>
      <c r="H27" s="91">
        <v>0</v>
      </c>
      <c r="I27" s="91">
        <v>0</v>
      </c>
      <c r="J27" s="91">
        <v>0</v>
      </c>
      <c r="K27" s="91">
        <v>0</v>
      </c>
      <c r="L27" s="91">
        <v>0</v>
      </c>
      <c r="M27" s="91">
        <v>0</v>
      </c>
      <c r="N27" s="91">
        <v>16.309870973515157</v>
      </c>
      <c r="O27" s="91">
        <v>16.698481360272734</v>
      </c>
      <c r="P27" s="91">
        <v>17.087091747030311</v>
      </c>
      <c r="Q27" s="91">
        <v>17.475702133787888</v>
      </c>
      <c r="R27" s="91">
        <v>17.864312520545464</v>
      </c>
      <c r="S27" s="91">
        <v>18.252922907303041</v>
      </c>
      <c r="T27" s="91">
        <v>18.641533294060618</v>
      </c>
      <c r="U27" s="91">
        <v>19.030143680818195</v>
      </c>
      <c r="V27" s="91">
        <v>19.418754067575772</v>
      </c>
      <c r="W27" s="91">
        <v>19.807364454333349</v>
      </c>
      <c r="X27" s="91">
        <v>20.195974841090926</v>
      </c>
      <c r="Y27" s="91">
        <v>20.584585227848503</v>
      </c>
      <c r="Z27" s="91">
        <v>20.97319561460608</v>
      </c>
      <c r="AA27" s="91">
        <v>21.361806001363657</v>
      </c>
      <c r="AB27" s="91">
        <v>21.750416388121234</v>
      </c>
      <c r="AC27" s="91">
        <v>22.139026774878811</v>
      </c>
      <c r="AD27" s="91">
        <v>22.527637161636388</v>
      </c>
      <c r="AE27" s="91">
        <v>22.916247548393965</v>
      </c>
      <c r="AF27" s="91">
        <v>23.304857935151542</v>
      </c>
      <c r="AG27" s="91">
        <v>23.693468321909119</v>
      </c>
      <c r="AH27" s="91">
        <v>24.082078708666696</v>
      </c>
      <c r="AI27" s="91">
        <v>24.470689095424273</v>
      </c>
      <c r="AJ27" s="91">
        <v>24.85929948218185</v>
      </c>
      <c r="AK27" s="91">
        <v>25.247909868939427</v>
      </c>
      <c r="AL27" s="91">
        <v>25.636520255697004</v>
      </c>
      <c r="AM27" s="91">
        <v>26.025130642454581</v>
      </c>
      <c r="AN27" s="91">
        <v>26.413741029212158</v>
      </c>
      <c r="AO27" s="91">
        <v>26.802351415969735</v>
      </c>
      <c r="AP27" s="91">
        <v>27.190961802727312</v>
      </c>
      <c r="AQ27" s="91">
        <v>27.579572189484889</v>
      </c>
      <c r="AR27" s="91">
        <v>27.968182576242466</v>
      </c>
      <c r="AS27" s="91">
        <v>28.356792963000043</v>
      </c>
      <c r="AT27" s="91">
        <v>28.74540334975762</v>
      </c>
      <c r="AU27" s="91">
        <v>29.134013736515197</v>
      </c>
      <c r="AV27" s="91">
        <v>29.522624123272774</v>
      </c>
      <c r="AW27" s="91">
        <v>29.911234510030351</v>
      </c>
      <c r="AX27" s="91">
        <v>30.299844896787928</v>
      </c>
      <c r="AY27" s="91">
        <v>30.688455283545505</v>
      </c>
      <c r="AZ27" s="91">
        <v>31.077065670303082</v>
      </c>
      <c r="BA27" s="91">
        <v>31.465676057060659</v>
      </c>
      <c r="BB27" s="91">
        <v>31.854286443818236</v>
      </c>
      <c r="BC27" s="91">
        <v>32.242896830575809</v>
      </c>
      <c r="BD27" s="91">
        <v>32.631507217333386</v>
      </c>
      <c r="BE27" s="91">
        <v>33.020117604090963</v>
      </c>
      <c r="BF27" s="91">
        <v>33.40872799084854</v>
      </c>
      <c r="BG27" s="91">
        <v>33.797338377606081</v>
      </c>
      <c r="BH27" s="91">
        <f t="shared" si="48"/>
        <v>33.797338377606081</v>
      </c>
      <c r="BI27" s="91">
        <f t="shared" si="48"/>
        <v>33.797338377606081</v>
      </c>
      <c r="BJ27" s="91">
        <f t="shared" si="48"/>
        <v>33.797338377606081</v>
      </c>
      <c r="BK27" s="91">
        <f t="shared" si="48"/>
        <v>33.797338377606081</v>
      </c>
      <c r="BL27" s="91">
        <f t="shared" si="48"/>
        <v>33.797338377606081</v>
      </c>
      <c r="BM27" s="91">
        <f t="shared" si="48"/>
        <v>33.797338377606081</v>
      </c>
      <c r="BN27" s="91">
        <f t="shared" si="48"/>
        <v>33.797338377606081</v>
      </c>
      <c r="BO27" s="91">
        <f t="shared" si="48"/>
        <v>33.797338377606081</v>
      </c>
      <c r="BP27" s="91">
        <f t="shared" si="48"/>
        <v>33.797338377606081</v>
      </c>
      <c r="BQ27" s="91">
        <f t="shared" si="48"/>
        <v>33.797338377606081</v>
      </c>
      <c r="BR27" s="91">
        <f t="shared" si="48"/>
        <v>33.797338377606081</v>
      </c>
      <c r="BS27" s="91">
        <f t="shared" si="48"/>
        <v>33.797338377606081</v>
      </c>
      <c r="BT27" s="91">
        <f t="shared" si="48"/>
        <v>33.797338377606081</v>
      </c>
      <c r="BU27" s="91">
        <f t="shared" si="48"/>
        <v>33.797338377606081</v>
      </c>
      <c r="BV27" s="91">
        <f t="shared" si="48"/>
        <v>33.797338377606081</v>
      </c>
      <c r="BW27" s="91">
        <f t="shared" si="48"/>
        <v>33.797338377606081</v>
      </c>
      <c r="BX27" s="91">
        <f t="shared" si="48"/>
        <v>33.797338377606081</v>
      </c>
      <c r="BY27" s="91">
        <f t="shared" si="48"/>
        <v>33.797338377606081</v>
      </c>
      <c r="BZ27" s="91">
        <f t="shared" si="48"/>
        <v>33.797338377606081</v>
      </c>
      <c r="CA27" s="91">
        <f t="shared" si="48"/>
        <v>33.797338377606081</v>
      </c>
      <c r="CB27" s="91">
        <f t="shared" si="48"/>
        <v>33.797338377606081</v>
      </c>
      <c r="CC27" s="91">
        <f t="shared" si="48"/>
        <v>33.797338377606081</v>
      </c>
      <c r="CD27" s="91">
        <f t="shared" si="48"/>
        <v>33.797338377606081</v>
      </c>
      <c r="CE27" s="91">
        <f t="shared" si="48"/>
        <v>33.797338377606081</v>
      </c>
      <c r="CF27" s="91">
        <f t="shared" si="48"/>
        <v>33.797338377606081</v>
      </c>
      <c r="CG27" s="91">
        <f t="shared" si="48"/>
        <v>33.797338377606081</v>
      </c>
      <c r="CH27" s="91">
        <f t="shared" si="48"/>
        <v>33.797338377606081</v>
      </c>
      <c r="CI27" s="91">
        <f t="shared" si="48"/>
        <v>33.797338377606081</v>
      </c>
      <c r="CJ27" s="91">
        <f t="shared" si="48"/>
        <v>33.797338377606081</v>
      </c>
      <c r="CK27" s="91">
        <f t="shared" si="48"/>
        <v>33.797338377606081</v>
      </c>
    </row>
    <row r="28" spans="3:89" ht="14.4">
      <c r="C28" s="90" t="s">
        <v>6</v>
      </c>
      <c r="D28" s="90" t="str">
        <f>_xlfn.TEXTJOIN(",",TRUE,Regions!$C$3)</f>
        <v>IE</v>
      </c>
      <c r="E28" s="90" t="s">
        <v>219</v>
      </c>
      <c r="F28" s="90" t="s">
        <v>216</v>
      </c>
      <c r="G28" s="91">
        <v>0</v>
      </c>
      <c r="H28" s="91">
        <v>0</v>
      </c>
      <c r="I28" s="91">
        <v>0</v>
      </c>
      <c r="J28" s="91">
        <v>0</v>
      </c>
      <c r="K28" s="91">
        <v>0</v>
      </c>
      <c r="L28" s="91">
        <v>0</v>
      </c>
      <c r="M28" s="91">
        <v>0</v>
      </c>
      <c r="N28" s="91">
        <v>14.230332109560534</v>
      </c>
      <c r="O28" s="91">
        <v>14.565531314340801</v>
      </c>
      <c r="P28" s="91">
        <v>14.900730519121067</v>
      </c>
      <c r="Q28" s="91">
        <v>15.235929723901334</v>
      </c>
      <c r="R28" s="91">
        <v>15.571128928681601</v>
      </c>
      <c r="S28" s="91">
        <v>15.906328133461868</v>
      </c>
      <c r="T28" s="91">
        <v>16.241527338242136</v>
      </c>
      <c r="U28" s="91">
        <v>16.576726543022403</v>
      </c>
      <c r="V28" s="91">
        <v>16.91192574780267</v>
      </c>
      <c r="W28" s="91">
        <v>17.247124952582936</v>
      </c>
      <c r="X28" s="91">
        <v>17.582324157363203</v>
      </c>
      <c r="Y28" s="91">
        <v>17.91752336214347</v>
      </c>
      <c r="Z28" s="91">
        <v>18.252722566923737</v>
      </c>
      <c r="AA28" s="91">
        <v>18.587921771704004</v>
      </c>
      <c r="AB28" s="91">
        <v>18.92312097648427</v>
      </c>
      <c r="AC28" s="91">
        <v>19.258320181264537</v>
      </c>
      <c r="AD28" s="91">
        <v>19.593519386044804</v>
      </c>
      <c r="AE28" s="91">
        <v>19.928718590825071</v>
      </c>
      <c r="AF28" s="91">
        <v>20.263917795605337</v>
      </c>
      <c r="AG28" s="91">
        <v>20.599117000385604</v>
      </c>
      <c r="AH28" s="91">
        <v>20.934316205165871</v>
      </c>
      <c r="AI28" s="91">
        <v>21.269515409946138</v>
      </c>
      <c r="AJ28" s="91">
        <v>21.604714614726404</v>
      </c>
      <c r="AK28" s="91">
        <v>21.939913819506671</v>
      </c>
      <c r="AL28" s="91">
        <v>22.275113024286938</v>
      </c>
      <c r="AM28" s="91">
        <v>22.610312229067205</v>
      </c>
      <c r="AN28" s="91">
        <v>22.945511433847471</v>
      </c>
      <c r="AO28" s="91">
        <v>23.280710638627738</v>
      </c>
      <c r="AP28" s="91">
        <v>23.615909843408005</v>
      </c>
      <c r="AQ28" s="91">
        <v>23.951109048188272</v>
      </c>
      <c r="AR28" s="91">
        <v>24.286308252968539</v>
      </c>
      <c r="AS28" s="91">
        <v>24.621507457748805</v>
      </c>
      <c r="AT28" s="91">
        <v>24.956706662529072</v>
      </c>
      <c r="AU28" s="91">
        <v>25.291905867309339</v>
      </c>
      <c r="AV28" s="91">
        <v>25.627105072089606</v>
      </c>
      <c r="AW28" s="91">
        <v>25.962304276869872</v>
      </c>
      <c r="AX28" s="91">
        <v>26.297503481650139</v>
      </c>
      <c r="AY28" s="91">
        <v>26.632702686430406</v>
      </c>
      <c r="AZ28" s="91">
        <v>26.967901891210673</v>
      </c>
      <c r="BA28" s="91">
        <v>27.303101095990939</v>
      </c>
      <c r="BB28" s="91">
        <v>27.638300300771206</v>
      </c>
      <c r="BC28" s="91">
        <v>27.973499505551473</v>
      </c>
      <c r="BD28" s="91">
        <v>28.30869871033174</v>
      </c>
      <c r="BE28" s="91">
        <v>28.643897915112007</v>
      </c>
      <c r="BF28" s="91">
        <v>28.979097119892273</v>
      </c>
      <c r="BG28" s="91">
        <v>29.314296324672569</v>
      </c>
      <c r="BH28" s="91">
        <f t="shared" si="48"/>
        <v>29.314296324672569</v>
      </c>
      <c r="BI28" s="91">
        <f t="shared" si="48"/>
        <v>29.314296324672569</v>
      </c>
      <c r="BJ28" s="91">
        <f t="shared" si="48"/>
        <v>29.314296324672569</v>
      </c>
      <c r="BK28" s="91">
        <f t="shared" si="48"/>
        <v>29.314296324672569</v>
      </c>
      <c r="BL28" s="91">
        <f t="shared" si="48"/>
        <v>29.314296324672569</v>
      </c>
      <c r="BM28" s="91">
        <f t="shared" si="48"/>
        <v>29.314296324672569</v>
      </c>
      <c r="BN28" s="91">
        <f t="shared" si="48"/>
        <v>29.314296324672569</v>
      </c>
      <c r="BO28" s="91">
        <f t="shared" si="48"/>
        <v>29.314296324672569</v>
      </c>
      <c r="BP28" s="91">
        <f t="shared" si="48"/>
        <v>29.314296324672569</v>
      </c>
      <c r="BQ28" s="91">
        <f t="shared" si="48"/>
        <v>29.314296324672569</v>
      </c>
      <c r="BR28" s="91">
        <f t="shared" si="48"/>
        <v>29.314296324672569</v>
      </c>
      <c r="BS28" s="91">
        <f t="shared" si="48"/>
        <v>29.314296324672569</v>
      </c>
      <c r="BT28" s="91">
        <f t="shared" si="48"/>
        <v>29.314296324672569</v>
      </c>
      <c r="BU28" s="91">
        <f t="shared" si="48"/>
        <v>29.314296324672569</v>
      </c>
      <c r="BV28" s="91">
        <f t="shared" si="48"/>
        <v>29.314296324672569</v>
      </c>
      <c r="BW28" s="91">
        <f t="shared" si="48"/>
        <v>29.314296324672569</v>
      </c>
      <c r="BX28" s="91">
        <f t="shared" si="48"/>
        <v>29.314296324672569</v>
      </c>
      <c r="BY28" s="91">
        <f t="shared" si="48"/>
        <v>29.314296324672569</v>
      </c>
      <c r="BZ28" s="91">
        <f t="shared" si="48"/>
        <v>29.314296324672569</v>
      </c>
      <c r="CA28" s="91">
        <f t="shared" si="48"/>
        <v>29.314296324672569</v>
      </c>
      <c r="CB28" s="91">
        <f t="shared" si="48"/>
        <v>29.314296324672569</v>
      </c>
      <c r="CC28" s="91">
        <f t="shared" si="48"/>
        <v>29.314296324672569</v>
      </c>
      <c r="CD28" s="91">
        <f t="shared" si="48"/>
        <v>29.314296324672569</v>
      </c>
      <c r="CE28" s="91">
        <f t="shared" si="48"/>
        <v>29.314296324672569</v>
      </c>
      <c r="CF28" s="91">
        <f t="shared" si="48"/>
        <v>29.314296324672569</v>
      </c>
      <c r="CG28" s="91">
        <f t="shared" si="48"/>
        <v>29.314296324672569</v>
      </c>
      <c r="CH28" s="91">
        <f t="shared" si="48"/>
        <v>29.314296324672569</v>
      </c>
      <c r="CI28" s="91">
        <f t="shared" si="48"/>
        <v>29.314296324672569</v>
      </c>
      <c r="CJ28" s="91">
        <f t="shared" si="48"/>
        <v>29.314296324672569</v>
      </c>
      <c r="CK28" s="91">
        <f t="shared" si="48"/>
        <v>29.314296324672569</v>
      </c>
    </row>
    <row r="29" spans="3:89" ht="14.4">
      <c r="C29" t="s">
        <v>6</v>
      </c>
      <c r="D29" t="str">
        <f>_xlfn.TEXTJOIN(",",TRUE,Regions!$C$3,Regions!$D$3)</f>
        <v>IE,National</v>
      </c>
      <c r="E29" t="s">
        <v>53</v>
      </c>
      <c r="F29" s="34" t="s">
        <v>54</v>
      </c>
      <c r="G29" s="51">
        <f>VLOOKUP(E29,'BY-Demands'!$I$6:$J$42,2,FALSE)</f>
        <v>211.819885</v>
      </c>
      <c r="H29" s="52">
        <v>227.33367966704699</v>
      </c>
      <c r="I29" s="52">
        <v>234.01489904006499</v>
      </c>
      <c r="J29" s="52">
        <v>250.52243040236399</v>
      </c>
      <c r="K29" s="52">
        <v>265.47273899323898</v>
      </c>
      <c r="L29" s="52">
        <v>279.23643876610601</v>
      </c>
      <c r="M29" s="52">
        <v>291.97758934464099</v>
      </c>
      <c r="N29" s="52">
        <v>303.745747309416</v>
      </c>
      <c r="O29" s="52">
        <v>314.88867210903697</v>
      </c>
      <c r="P29" s="52">
        <v>325.448418136599</v>
      </c>
      <c r="Q29" s="52">
        <v>335.72138230120601</v>
      </c>
      <c r="R29" s="52">
        <v>345.60194314472</v>
      </c>
      <c r="S29" s="52">
        <v>355.09166996739799</v>
      </c>
      <c r="T29" s="52">
        <v>372.33998569365798</v>
      </c>
      <c r="U29" s="52">
        <v>385.16674421872602</v>
      </c>
      <c r="V29" s="52">
        <v>398.22461473825501</v>
      </c>
      <c r="W29" s="52">
        <v>411.45770972769901</v>
      </c>
      <c r="X29" s="52">
        <v>424.76161479887702</v>
      </c>
      <c r="Y29" s="52">
        <v>438.12862011422999</v>
      </c>
      <c r="Z29" s="52">
        <v>451.68804802308699</v>
      </c>
      <c r="AA29" s="52">
        <v>465.40875684082903</v>
      </c>
      <c r="AB29" s="52">
        <v>479.13103817121703</v>
      </c>
      <c r="AC29" s="52">
        <v>492.828423833106</v>
      </c>
      <c r="AD29" s="52">
        <v>496.36472594874499</v>
      </c>
      <c r="AE29" s="52">
        <v>514.52001380752995</v>
      </c>
      <c r="AF29" s="52">
        <v>530.17405404626902</v>
      </c>
      <c r="AG29" s="52">
        <v>544.19495314722303</v>
      </c>
      <c r="AH29" s="52">
        <v>558.26962802562196</v>
      </c>
      <c r="AI29" s="52">
        <v>572.38852326507094</v>
      </c>
      <c r="AJ29" s="52">
        <v>586.53294139438299</v>
      </c>
      <c r="AK29" s="52">
        <v>600.68795864299398</v>
      </c>
      <c r="AL29" s="52">
        <v>614.82387830734103</v>
      </c>
      <c r="AM29" s="52">
        <v>628.93152164032301</v>
      </c>
      <c r="AN29" s="52">
        <v>643.00410262211005</v>
      </c>
      <c r="AO29" s="52">
        <v>657.18423969818502</v>
      </c>
      <c r="AP29" s="52">
        <v>671.35750183642006</v>
      </c>
      <c r="AQ29" s="52">
        <v>685.53131059817395</v>
      </c>
      <c r="AR29" s="52">
        <v>699.71894911636105</v>
      </c>
      <c r="AS29" s="52">
        <v>713.92554497696096</v>
      </c>
      <c r="AT29" s="52">
        <v>728.15328995631603</v>
      </c>
      <c r="AU29" s="52">
        <v>742.41918629131999</v>
      </c>
      <c r="AV29" s="52">
        <v>756.73941793789504</v>
      </c>
      <c r="AW29" s="52">
        <v>771.13301065931898</v>
      </c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52"/>
      <c r="BL29" s="52"/>
      <c r="BM29" s="52"/>
      <c r="BN29" s="52"/>
      <c r="BO29" s="52"/>
      <c r="BP29" s="52"/>
      <c r="BQ29" s="52"/>
      <c r="BR29" s="52"/>
      <c r="BS29" s="52"/>
      <c r="BT29" s="52"/>
      <c r="BU29" s="52"/>
      <c r="BV29" s="52"/>
      <c r="BW29" s="52"/>
      <c r="BX29" s="52"/>
      <c r="BY29" s="52"/>
      <c r="BZ29" s="52"/>
      <c r="CA29" s="52"/>
      <c r="CB29" s="52"/>
      <c r="CC29" s="52"/>
      <c r="CD29" s="52"/>
      <c r="CE29" s="52"/>
      <c r="CF29" s="52"/>
      <c r="CG29" s="52"/>
      <c r="CH29" s="52"/>
      <c r="CI29" s="52"/>
      <c r="CJ29" s="52"/>
      <c r="CK29" s="52"/>
    </row>
    <row r="30" spans="3:89" ht="14.4">
      <c r="C30" t="s">
        <v>6</v>
      </c>
      <c r="D30" t="str">
        <f>_xlfn.TEXTJOIN(",",TRUE,Regions!$C$3,Regions!$D$3)</f>
        <v>IE,National</v>
      </c>
      <c r="E30" t="s">
        <v>55</v>
      </c>
      <c r="F30" s="34" t="s">
        <v>56</v>
      </c>
      <c r="G30" s="51">
        <f>VLOOKUP(E30,'BY-Demands'!$I$6:$J$42,2,FALSE)</f>
        <v>788.06472099999996</v>
      </c>
      <c r="H30" s="52">
        <v>805.70916346620595</v>
      </c>
      <c r="I30" s="52">
        <v>818.79213614191099</v>
      </c>
      <c r="J30" s="52">
        <v>828.23348265178799</v>
      </c>
      <c r="K30" s="52">
        <v>837.71211748108306</v>
      </c>
      <c r="L30" s="52">
        <v>847.44596259241098</v>
      </c>
      <c r="M30" s="52">
        <v>857.22660991181897</v>
      </c>
      <c r="N30" s="52">
        <v>866.69288183161598</v>
      </c>
      <c r="O30" s="52">
        <v>876.45317782380505</v>
      </c>
      <c r="P30" s="52">
        <v>886.30184769788696</v>
      </c>
      <c r="Q30" s="52">
        <v>896.78868422421601</v>
      </c>
      <c r="R30" s="52">
        <v>907.41397234982298</v>
      </c>
      <c r="S30" s="52">
        <v>918.02415110284801</v>
      </c>
      <c r="T30" s="52">
        <v>926.06233489012698</v>
      </c>
      <c r="U30" s="52">
        <v>935.42249419952896</v>
      </c>
      <c r="V30" s="52">
        <v>944.78624082315798</v>
      </c>
      <c r="W30" s="52">
        <v>954.01952778809903</v>
      </c>
      <c r="X30" s="52">
        <v>962.89022086688499</v>
      </c>
      <c r="Y30" s="52">
        <v>971.40101477560995</v>
      </c>
      <c r="Z30" s="52">
        <v>979.85184308314797</v>
      </c>
      <c r="AA30" s="52">
        <v>988.17666058914301</v>
      </c>
      <c r="AB30" s="52">
        <v>996.04767237168198</v>
      </c>
      <c r="AC30" s="52">
        <v>1003.43540212397</v>
      </c>
      <c r="AD30" s="52">
        <f>+AC30/2+AE30/2</f>
        <v>1006.3092483082901</v>
      </c>
      <c r="AE30" s="52">
        <v>1009.1830944926101</v>
      </c>
      <c r="AF30" s="52">
        <v>1016.05596064786</v>
      </c>
      <c r="AG30" s="52">
        <v>1022.6819321704</v>
      </c>
      <c r="AH30" s="52">
        <v>1029.0480878439801</v>
      </c>
      <c r="AI30" s="52">
        <v>1035.14898193112</v>
      </c>
      <c r="AJ30" s="52">
        <v>1040.9634765099099</v>
      </c>
      <c r="AK30" s="52">
        <v>1046.47869262623</v>
      </c>
      <c r="AL30" s="52">
        <v>1051.6575592105</v>
      </c>
      <c r="AM30" s="52">
        <v>1056.50027926231</v>
      </c>
      <c r="AN30" s="52">
        <v>1061.0111593090801</v>
      </c>
      <c r="AO30" s="52">
        <v>1065.4365901041699</v>
      </c>
      <c r="AP30" s="52">
        <v>1069.59656124649</v>
      </c>
      <c r="AQ30" s="52">
        <v>1073.5142082482701</v>
      </c>
      <c r="AR30" s="52">
        <v>1077.2202537226899</v>
      </c>
      <c r="AS30" s="52">
        <v>1080.73113493408</v>
      </c>
      <c r="AT30" s="52">
        <v>1084.05792806455</v>
      </c>
      <c r="AU30" s="52">
        <v>1087.23276101281</v>
      </c>
      <c r="AV30" s="52">
        <v>1090.2845851591101</v>
      </c>
      <c r="AW30" s="52">
        <v>1093.2445905786401</v>
      </c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2"/>
      <c r="BK30" s="52"/>
      <c r="BL30" s="52"/>
      <c r="BM30" s="52"/>
      <c r="BN30" s="52"/>
      <c r="BO30" s="52"/>
      <c r="BP30" s="52"/>
      <c r="BQ30" s="52"/>
      <c r="BR30" s="52"/>
      <c r="BS30" s="52"/>
      <c r="BT30" s="52"/>
      <c r="BU30" s="52"/>
      <c r="BV30" s="52"/>
      <c r="BW30" s="52"/>
      <c r="BX30" s="52"/>
      <c r="BY30" s="52"/>
      <c r="BZ30" s="52"/>
      <c r="CA30" s="52"/>
      <c r="CB30" s="52"/>
      <c r="CC30" s="52"/>
      <c r="CD30" s="52"/>
      <c r="CE30" s="52"/>
      <c r="CF30" s="52"/>
      <c r="CG30" s="52"/>
      <c r="CH30" s="52"/>
      <c r="CI30" s="52"/>
      <c r="CJ30" s="52"/>
      <c r="CK30" s="52"/>
    </row>
    <row r="31" spans="3:89" ht="14.4">
      <c r="C31" t="s">
        <v>6</v>
      </c>
      <c r="D31" t="str">
        <f>_xlfn.TEXTJOIN(",",TRUE,Regions!$C$3,Regions!$D$3)</f>
        <v>IE,National</v>
      </c>
      <c r="E31" t="s">
        <v>57</v>
      </c>
      <c r="F31" s="34" t="s">
        <v>58</v>
      </c>
      <c r="G31" s="51">
        <f>VLOOKUP(E31,'BY-Demands'!$I$6:$J$42,2,FALSE)</f>
        <v>735.40672900000004</v>
      </c>
      <c r="H31" s="52">
        <v>756.93265686674704</v>
      </c>
      <c r="I31" s="52">
        <v>768.29446481802404</v>
      </c>
      <c r="J31" s="52">
        <v>772.86208694584798</v>
      </c>
      <c r="K31" s="52">
        <v>777.95194352567796</v>
      </c>
      <c r="L31" s="52">
        <v>783.67269864148204</v>
      </c>
      <c r="M31" s="52">
        <v>789.75930268250397</v>
      </c>
      <c r="N31" s="52">
        <v>795.82537085896797</v>
      </c>
      <c r="O31" s="52">
        <v>802.38775006715798</v>
      </c>
      <c r="P31" s="52">
        <v>809.22213416551403</v>
      </c>
      <c r="Q31" s="52">
        <v>816.80113347457802</v>
      </c>
      <c r="R31" s="52">
        <v>824.64428658311704</v>
      </c>
      <c r="S31" s="52">
        <v>832.59337892975498</v>
      </c>
      <c r="T31" s="52">
        <v>835.494721776652</v>
      </c>
      <c r="U31" s="52">
        <v>841.12386901591697</v>
      </c>
      <c r="V31" s="52">
        <v>846.68490394820003</v>
      </c>
      <c r="W31" s="52">
        <v>852.05750789504805</v>
      </c>
      <c r="X31" s="52">
        <v>857.03569133233998</v>
      </c>
      <c r="Y31" s="52">
        <v>861.62461714738197</v>
      </c>
      <c r="Z31" s="52">
        <v>866.09217418652202</v>
      </c>
      <c r="AA31" s="52">
        <v>870.38020137632998</v>
      </c>
      <c r="AB31" s="52">
        <v>874.20163295403097</v>
      </c>
      <c r="AC31" s="52">
        <v>877.53441615506995</v>
      </c>
      <c r="AD31" s="52">
        <v>877.71565965240802</v>
      </c>
      <c r="AE31" s="52">
        <v>877.87112006521807</v>
      </c>
      <c r="AF31" s="52">
        <v>878.89535131181003</v>
      </c>
      <c r="AG31" s="52">
        <v>881.34522505719599</v>
      </c>
      <c r="AH31" s="52">
        <v>883.51153419697505</v>
      </c>
      <c r="AI31" s="52">
        <v>885.39165384489604</v>
      </c>
      <c r="AJ31" s="52">
        <v>886.96968161539996</v>
      </c>
      <c r="AK31" s="52">
        <v>888.23702563617996</v>
      </c>
      <c r="AL31" s="52">
        <v>889.16483547498206</v>
      </c>
      <c r="AM31" s="52">
        <v>889.75617108824804</v>
      </c>
      <c r="AN31" s="52">
        <v>890.01756387450996</v>
      </c>
      <c r="AO31" s="52">
        <v>890.15777792928498</v>
      </c>
      <c r="AP31" s="52">
        <v>890.027472236378</v>
      </c>
      <c r="AQ31" s="52">
        <v>889.64810387578098</v>
      </c>
      <c r="AR31" s="52">
        <v>889.04710174709999</v>
      </c>
      <c r="AS31" s="52">
        <v>888.23975575464704</v>
      </c>
      <c r="AT31" s="52">
        <v>887.23676143058299</v>
      </c>
      <c r="AU31" s="52">
        <v>886.06583568271606</v>
      </c>
      <c r="AV31" s="52">
        <v>884.75168699987705</v>
      </c>
      <c r="AW31" s="52">
        <v>883.32044041935796</v>
      </c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  <c r="BM31" s="52"/>
      <c r="BN31" s="52"/>
      <c r="BO31" s="52"/>
      <c r="BP31" s="52"/>
      <c r="BQ31" s="52"/>
      <c r="BR31" s="52"/>
      <c r="BS31" s="52"/>
      <c r="BT31" s="52"/>
      <c r="BU31" s="52"/>
      <c r="BV31" s="52"/>
      <c r="BW31" s="52"/>
      <c r="BX31" s="52"/>
      <c r="BY31" s="52"/>
      <c r="BZ31" s="52"/>
      <c r="CA31" s="52"/>
      <c r="CB31" s="52"/>
      <c r="CC31" s="52"/>
      <c r="CD31" s="52"/>
      <c r="CE31" s="52"/>
      <c r="CF31" s="52"/>
      <c r="CG31" s="52"/>
      <c r="CH31" s="52"/>
      <c r="CI31" s="52"/>
      <c r="CJ31" s="52"/>
      <c r="CK31" s="52"/>
    </row>
    <row r="32" spans="3:89" ht="14.4">
      <c r="C32" t="s">
        <v>6</v>
      </c>
      <c r="D32" t="str">
        <f>_xlfn.TEXTJOIN(",",TRUE,Regions!$C$3,Regions!$D$3)</f>
        <v>IE,National</v>
      </c>
      <c r="E32" t="s">
        <v>135</v>
      </c>
      <c r="F32" s="34" t="s">
        <v>136</v>
      </c>
      <c r="G32" s="51">
        <f>VLOOKUP(E32,'BY-Demands'!$I$6:$J$42,2,FALSE)</f>
        <v>28.901664567933999</v>
      </c>
      <c r="H32" s="52">
        <v>29.285472960899106</v>
      </c>
      <c r="I32" s="52">
        <v>29.618106901468909</v>
      </c>
      <c r="J32" s="52">
        <v>30.592051000616877</v>
      </c>
      <c r="K32" s="52">
        <v>31.598021694557701</v>
      </c>
      <c r="L32" s="52">
        <v>32.637072126664755</v>
      </c>
      <c r="M32" s="52">
        <v>33.710290071247677</v>
      </c>
      <c r="N32" s="52">
        <v>34.818799072335445</v>
      </c>
      <c r="O32" s="52">
        <v>35.963759619906362</v>
      </c>
      <c r="P32" s="52">
        <v>36.712499803959538</v>
      </c>
      <c r="Q32" s="52">
        <v>37.47682823209901</v>
      </c>
      <c r="R32" s="52">
        <v>38.25706944060434</v>
      </c>
      <c r="S32" s="52">
        <v>39.053554722372212</v>
      </c>
      <c r="T32" s="52">
        <v>39.866622267584432</v>
      </c>
      <c r="U32" s="52">
        <v>40.357314057686089</v>
      </c>
      <c r="V32" s="52">
        <v>40.854045447311805</v>
      </c>
      <c r="W32" s="52">
        <v>41.356890773883045</v>
      </c>
      <c r="X32" s="52">
        <v>41.865925289791257</v>
      </c>
      <c r="Y32" s="52">
        <v>42.381225173659615</v>
      </c>
      <c r="Z32" s="52">
        <v>42.776493751275368</v>
      </c>
      <c r="AA32" s="52">
        <v>43.175448802036009</v>
      </c>
      <c r="AB32" s="52">
        <v>43.578124707840381</v>
      </c>
      <c r="AC32" s="52">
        <v>43.984556171250162</v>
      </c>
      <c r="AD32" s="52">
        <v>44.394778218480539</v>
      </c>
      <c r="AE32" s="52">
        <v>44.717758131431516</v>
      </c>
      <c r="AF32" s="52">
        <v>45.043087780733387</v>
      </c>
      <c r="AG32" s="52">
        <v>45.370784261136308</v>
      </c>
      <c r="AH32" s="52">
        <v>45.700864791757795</v>
      </c>
      <c r="AI32" s="52">
        <v>46.033346716987502</v>
      </c>
      <c r="AJ32" s="52">
        <v>46.369255228359584</v>
      </c>
      <c r="AK32" s="52">
        <v>46.707614887346587</v>
      </c>
      <c r="AL32" s="52">
        <v>47.048443580142006</v>
      </c>
      <c r="AM32" s="52">
        <v>47.391759323456121</v>
      </c>
      <c r="AN32" s="52">
        <v>47.737580265468395</v>
      </c>
      <c r="AO32" s="52">
        <v>48.167218487857603</v>
      </c>
      <c r="AP32" s="52">
        <v>48.600723454248318</v>
      </c>
      <c r="AQ32" s="52">
        <v>49.038129965336545</v>
      </c>
      <c r="AR32" s="52">
        <v>49.47947313502457</v>
      </c>
      <c r="AS32" s="52">
        <v>49.924788393239787</v>
      </c>
      <c r="AT32" s="52">
        <v>50.374111488778937</v>
      </c>
      <c r="AU32" s="52">
        <v>50.827478492177939</v>
      </c>
      <c r="AV32" s="52">
        <v>51.284925798607532</v>
      </c>
      <c r="AW32" s="52">
        <v>51.746490130794996</v>
      </c>
      <c r="AX32" s="52">
        <v>52.212208541972146</v>
      </c>
      <c r="AY32" s="52">
        <v>52.682118418849889</v>
      </c>
      <c r="AZ32" s="52">
        <v>53.15625748461953</v>
      </c>
      <c r="BA32" s="52">
        <v>53.634663801981098</v>
      </c>
      <c r="BB32" s="52">
        <v>54.117375776198919</v>
      </c>
      <c r="BC32" s="52">
        <v>54.604432158184707</v>
      </c>
      <c r="BD32" s="52">
        <v>55.095872047608367</v>
      </c>
      <c r="BE32" s="52">
        <v>55.59173489603684</v>
      </c>
      <c r="BF32" s="52">
        <v>56.092060510101163</v>
      </c>
      <c r="BG32" s="52">
        <v>56.59688905469207</v>
      </c>
      <c r="BH32" s="52">
        <v>57.106261056184294</v>
      </c>
      <c r="BI32" s="52">
        <v>57.620217405689949</v>
      </c>
      <c r="BJ32" s="52">
        <v>58.138799362341153</v>
      </c>
      <c r="BK32" s="52">
        <v>58.662048556602215</v>
      </c>
      <c r="BL32" s="52">
        <v>59.190006993611632</v>
      </c>
      <c r="BM32" s="52">
        <v>59.722717056554131</v>
      </c>
      <c r="BN32" s="52">
        <v>60.260221510063111</v>
      </c>
      <c r="BO32" s="52">
        <v>60.802563503653673</v>
      </c>
      <c r="BP32" s="52">
        <v>61.349786575186549</v>
      </c>
      <c r="BQ32" s="52">
        <v>61.901934654363224</v>
      </c>
      <c r="BR32" s="52">
        <v>62.45905206625249</v>
      </c>
      <c r="BS32" s="52">
        <v>63.021183534848753</v>
      </c>
      <c r="BT32" s="52">
        <v>63.588374186662385</v>
      </c>
      <c r="BU32" s="52">
        <v>64.160669554342334</v>
      </c>
      <c r="BV32" s="52">
        <v>64.73811558033141</v>
      </c>
      <c r="BW32" s="52">
        <v>65.320758620554386</v>
      </c>
      <c r="BX32" s="52">
        <v>65.908645448139367</v>
      </c>
      <c r="BY32" s="52">
        <v>66.501823257172617</v>
      </c>
      <c r="BZ32" s="52">
        <v>67.100339666487159</v>
      </c>
      <c r="CA32" s="52">
        <v>67.704242723485535</v>
      </c>
      <c r="CB32" s="52">
        <v>68.313580907996894</v>
      </c>
      <c r="CC32" s="52">
        <v>68.928403136168853</v>
      </c>
      <c r="CD32" s="52">
        <v>69.548758764394364</v>
      </c>
      <c r="CE32" s="52">
        <v>70.174697593273905</v>
      </c>
      <c r="CF32" s="52">
        <v>70.806269871613367</v>
      </c>
      <c r="CG32" s="52">
        <v>71.443526300457876</v>
      </c>
      <c r="CH32" s="52">
        <v>72.086518037161994</v>
      </c>
      <c r="CI32" s="52">
        <v>72.735296699496445</v>
      </c>
      <c r="CJ32" s="52">
        <v>73.38991436979191</v>
      </c>
      <c r="CK32" s="52">
        <v>74.050423599120023</v>
      </c>
    </row>
    <row r="33" spans="3:89" ht="14.4">
      <c r="C33" t="s">
        <v>6</v>
      </c>
      <c r="D33" t="str">
        <f>_xlfn.TEXTJOIN(",",TRUE,Regions!$C$3,Regions!$D$3)</f>
        <v>IE,National</v>
      </c>
      <c r="E33" t="s">
        <v>137</v>
      </c>
      <c r="F33" s="34" t="s">
        <v>138</v>
      </c>
      <c r="G33" s="51">
        <f>VLOOKUP(E33,'BY-Demands'!$I$6:$J$42,2,FALSE)</f>
        <v>58.151541961987597</v>
      </c>
      <c r="H33" s="52">
        <v>58.923782945423504</v>
      </c>
      <c r="I33" s="52">
        <v>59.593058464401295</v>
      </c>
      <c r="J33" s="52">
        <v>61.552680928952022</v>
      </c>
      <c r="K33" s="52">
        <v>63.576742445676302</v>
      </c>
      <c r="L33" s="52">
        <v>65.667361989795339</v>
      </c>
      <c r="M33" s="52">
        <v>67.826728215642902</v>
      </c>
      <c r="N33" s="52">
        <v>70.057101747952018</v>
      </c>
      <c r="O33" s="52">
        <v>72.360817548486267</v>
      </c>
      <c r="P33" s="52">
        <v>73.867318882665543</v>
      </c>
      <c r="Q33" s="52">
        <v>75.405184515187131</v>
      </c>
      <c r="R33" s="52">
        <v>76.975067428685819</v>
      </c>
      <c r="S33" s="52">
        <v>78.577634200435639</v>
      </c>
      <c r="T33" s="52">
        <v>80.21356528538071</v>
      </c>
      <c r="U33" s="52">
        <v>81.200860814862352</v>
      </c>
      <c r="V33" s="52">
        <v>82.200308309651447</v>
      </c>
      <c r="W33" s="52">
        <v>83.212057340222501</v>
      </c>
      <c r="X33" s="52">
        <v>84.236259318013722</v>
      </c>
      <c r="Y33" s="52">
        <v>85.273067518086194</v>
      </c>
      <c r="Z33" s="52">
        <v>86.068366945337161</v>
      </c>
      <c r="AA33" s="52">
        <v>86.871083734217009</v>
      </c>
      <c r="AB33" s="52">
        <v>87.681287062763161</v>
      </c>
      <c r="AC33" s="52">
        <v>88.499046754202112</v>
      </c>
      <c r="AD33" s="52">
        <v>89.324433282966837</v>
      </c>
      <c r="AE33" s="52">
        <v>89.974284433121213</v>
      </c>
      <c r="AF33" s="52">
        <v>90.628863366053892</v>
      </c>
      <c r="AG33" s="52">
        <v>91.288204477226031</v>
      </c>
      <c r="AH33" s="52">
        <v>91.952342412331916</v>
      </c>
      <c r="AI33" s="52">
        <v>92.621312069119398</v>
      </c>
      <c r="AJ33" s="52">
        <v>93.297176182362023</v>
      </c>
      <c r="AK33" s="52">
        <v>93.977972122733462</v>
      </c>
      <c r="AL33" s="52">
        <v>94.663735878117009</v>
      </c>
      <c r="AM33" s="52">
        <v>95.354503699002038</v>
      </c>
      <c r="AN33" s="52">
        <v>96.05031210040022</v>
      </c>
      <c r="AO33" s="52">
        <v>96.914764909303813</v>
      </c>
      <c r="AP33" s="52">
        <v>97.786997793487544</v>
      </c>
      <c r="AQ33" s="52">
        <v>98.667080773628925</v>
      </c>
      <c r="AR33" s="52">
        <v>99.555084500591576</v>
      </c>
      <c r="AS33" s="52">
        <v>100.45108026109689</v>
      </c>
      <c r="AT33" s="52">
        <v>101.35513998344675</v>
      </c>
      <c r="AU33" s="52">
        <v>102.26733624329776</v>
      </c>
      <c r="AV33" s="52">
        <v>103.18774226948743</v>
      </c>
      <c r="AW33" s="52">
        <v>104.11643194991281</v>
      </c>
      <c r="AX33" s="52">
        <v>105.05347983746201</v>
      </c>
      <c r="AY33" s="52">
        <v>105.99896115599915</v>
      </c>
      <c r="AZ33" s="52">
        <v>106.95295180640314</v>
      </c>
      <c r="BA33" s="52">
        <v>107.91552837266076</v>
      </c>
      <c r="BB33" s="52">
        <v>108.88676812801469</v>
      </c>
      <c r="BC33" s="52">
        <v>109.86674904116681</v>
      </c>
      <c r="BD33" s="52">
        <v>110.85554978253731</v>
      </c>
      <c r="BE33" s="52">
        <v>111.85324973058013</v>
      </c>
      <c r="BF33" s="52">
        <v>112.85992897815534</v>
      </c>
      <c r="BG33" s="52">
        <v>113.87566833895872</v>
      </c>
      <c r="BH33" s="52">
        <v>114.90054935400933</v>
      </c>
      <c r="BI33" s="52">
        <v>115.9346542981954</v>
      </c>
      <c r="BJ33" s="52">
        <v>116.97806618687915</v>
      </c>
      <c r="BK33" s="52">
        <v>118.03086878256104</v>
      </c>
      <c r="BL33" s="52">
        <v>119.09314660160408</v>
      </c>
      <c r="BM33" s="52">
        <v>120.1649849210185</v>
      </c>
      <c r="BN33" s="52">
        <v>121.24646978530765</v>
      </c>
      <c r="BO33" s="52">
        <v>122.33768801337541</v>
      </c>
      <c r="BP33" s="52">
        <v>123.43872720549578</v>
      </c>
      <c r="BQ33" s="52">
        <v>124.54967575034523</v>
      </c>
      <c r="BR33" s="52">
        <v>125.67062283209833</v>
      </c>
      <c r="BS33" s="52">
        <v>126.80165843758721</v>
      </c>
      <c r="BT33" s="52">
        <v>127.94287336352548</v>
      </c>
      <c r="BU33" s="52">
        <v>129.0943592237972</v>
      </c>
      <c r="BV33" s="52">
        <v>130.25620845681135</v>
      </c>
      <c r="BW33" s="52">
        <v>131.42851433292265</v>
      </c>
      <c r="BX33" s="52">
        <v>132.61137096191894</v>
      </c>
      <c r="BY33" s="52">
        <v>133.80487330057619</v>
      </c>
      <c r="BZ33" s="52">
        <v>135.00911716028136</v>
      </c>
      <c r="CA33" s="52">
        <v>136.22419921472388</v>
      </c>
      <c r="CB33" s="52">
        <v>137.45021700765639</v>
      </c>
      <c r="CC33" s="52">
        <v>138.68726896072528</v>
      </c>
      <c r="CD33" s="52">
        <v>139.93545438137178</v>
      </c>
      <c r="CE33" s="52">
        <v>141.19487347080411</v>
      </c>
      <c r="CF33" s="52">
        <v>142.46562733204132</v>
      </c>
      <c r="CG33" s="52">
        <v>143.74781797802967</v>
      </c>
      <c r="CH33" s="52">
        <v>145.04154833983193</v>
      </c>
      <c r="CI33" s="52">
        <v>146.3469222748904</v>
      </c>
      <c r="CJ33" s="52">
        <v>147.66404457536441</v>
      </c>
      <c r="CK33" s="52">
        <v>148.99302097654268</v>
      </c>
    </row>
    <row r="34" spans="3:89" ht="14.4">
      <c r="C34" t="s">
        <v>6</v>
      </c>
      <c r="D34" t="str">
        <f>_xlfn.TEXTJOIN(",",TRUE,Regions!$C$3,Regions!$D$3)</f>
        <v>IE,National</v>
      </c>
      <c r="E34" t="s">
        <v>139</v>
      </c>
      <c r="F34" s="34" t="s">
        <v>140</v>
      </c>
      <c r="G34" s="51">
        <f>VLOOKUP(E34,'BY-Demands'!$I$6:$J$42,2,FALSE)</f>
        <v>5.6291760000000002</v>
      </c>
      <c r="H34" s="52"/>
      <c r="I34" s="52">
        <f>3.019*3.6</f>
        <v>10.868400000000001</v>
      </c>
      <c r="J34" s="52">
        <f>3.993*3.6</f>
        <v>14.3748</v>
      </c>
      <c r="K34" s="51">
        <f>'BY-Demands'!E68</f>
        <v>18.9072</v>
      </c>
      <c r="L34" s="52"/>
      <c r="M34" s="52"/>
      <c r="N34" s="52"/>
      <c r="O34" s="52"/>
      <c r="P34" s="52"/>
      <c r="Q34" s="52"/>
      <c r="R34" s="52"/>
      <c r="S34" s="51">
        <f>(T34-K34)/(T2-K2)*(S2-K2)+K34</f>
        <v>43.896512000000001</v>
      </c>
      <c r="T34" s="51">
        <f>1491*8760/10^6*3.6</f>
        <v>47.020175999999999</v>
      </c>
      <c r="U34" s="52"/>
      <c r="V34" s="52"/>
      <c r="W34" s="52"/>
      <c r="X34" s="52"/>
      <c r="Y34" s="52"/>
      <c r="Z34" s="52"/>
      <c r="AA34" s="52"/>
      <c r="AB34" s="52"/>
      <c r="AC34" s="52">
        <f>T34</f>
        <v>47.020175999999999</v>
      </c>
      <c r="AD34" s="52"/>
      <c r="AE34" s="52"/>
      <c r="AF34" s="52"/>
      <c r="AG34" s="52"/>
      <c r="AH34" s="52"/>
      <c r="AI34" s="52"/>
      <c r="AJ34" s="52"/>
      <c r="AK34" s="52"/>
      <c r="AL34" s="52"/>
      <c r="AM34" s="52">
        <f>AC34</f>
        <v>47.020175999999999</v>
      </c>
      <c r="AN34" s="52"/>
      <c r="AO34" s="52"/>
      <c r="AP34" s="52"/>
      <c r="AQ34" s="52"/>
      <c r="AR34" s="52"/>
      <c r="AS34" s="52"/>
      <c r="AT34" s="52"/>
      <c r="AU34" s="52"/>
      <c r="AV34" s="52"/>
      <c r="AW34" s="52">
        <f>AM34</f>
        <v>47.020175999999999</v>
      </c>
      <c r="AX34" s="52"/>
      <c r="AY34" s="52"/>
      <c r="AZ34" s="52"/>
      <c r="BA34" s="52"/>
      <c r="BB34" s="52"/>
      <c r="BC34" s="52"/>
      <c r="BD34" s="52"/>
      <c r="BE34" s="52"/>
      <c r="BF34" s="52"/>
      <c r="BG34" s="52">
        <f>AW34</f>
        <v>47.020175999999999</v>
      </c>
      <c r="BH34" s="52"/>
      <c r="BI34" s="52"/>
      <c r="BJ34" s="52"/>
      <c r="BK34" s="52"/>
      <c r="BL34" s="52"/>
      <c r="BM34" s="52"/>
      <c r="BN34" s="52"/>
      <c r="BO34" s="52"/>
      <c r="BP34" s="52"/>
      <c r="BQ34" s="52">
        <f>BG34</f>
        <v>47.020175999999999</v>
      </c>
      <c r="BR34" s="52"/>
      <c r="BS34" s="52"/>
      <c r="BT34" s="52"/>
      <c r="BU34" s="52"/>
      <c r="BV34" s="52"/>
      <c r="BW34" s="52"/>
      <c r="BX34" s="52"/>
      <c r="BY34" s="52"/>
      <c r="BZ34" s="52"/>
      <c r="CA34" s="52">
        <f>BQ34</f>
        <v>47.020175999999999</v>
      </c>
      <c r="CB34" s="52"/>
      <c r="CC34" s="52"/>
      <c r="CD34" s="52"/>
      <c r="CE34" s="52"/>
      <c r="CF34" s="52"/>
      <c r="CG34" s="52"/>
      <c r="CH34" s="52"/>
      <c r="CI34" s="52"/>
      <c r="CJ34" s="52"/>
      <c r="CK34" s="52">
        <f>CA34</f>
        <v>47.020175999999999</v>
      </c>
    </row>
    <row r="35" spans="3:89" ht="14.4">
      <c r="C35" t="s">
        <v>6</v>
      </c>
      <c r="D35" t="str">
        <f>_xlfn.TEXTJOIN(",",TRUE,Regions!$C$3,Regions!$D$3)</f>
        <v>IE,National</v>
      </c>
      <c r="E35" t="s">
        <v>141</v>
      </c>
      <c r="F35" s="34" t="s">
        <v>142</v>
      </c>
      <c r="G35" s="51">
        <f>VLOOKUP(E35,'BY-Demands'!$I$6:$J$42,2,FALSE)</f>
        <v>0.47999999999999998</v>
      </c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>
        <v>0.50</v>
      </c>
      <c r="T35" s="52"/>
      <c r="U35" s="52"/>
      <c r="V35" s="52"/>
      <c r="W35" s="52"/>
      <c r="X35" s="52"/>
      <c r="Y35" s="52"/>
      <c r="Z35" s="52"/>
      <c r="AA35" s="52"/>
      <c r="AB35" s="52"/>
      <c r="AC35" s="52">
        <v>0.54</v>
      </c>
      <c r="AD35" s="52"/>
      <c r="AE35" s="52"/>
      <c r="AF35" s="52"/>
      <c r="AG35" s="52"/>
      <c r="AH35" s="52"/>
      <c r="AI35" s="52"/>
      <c r="AJ35" s="52"/>
      <c r="AK35" s="52"/>
      <c r="AL35" s="52"/>
      <c r="AM35" s="52">
        <v>0.57499999999999996</v>
      </c>
      <c r="AN35" s="52">
        <v>0.57499999999999996</v>
      </c>
      <c r="AO35" s="52">
        <v>0.57499999999999996</v>
      </c>
      <c r="AP35" s="52">
        <v>0.57499999999999996</v>
      </c>
      <c r="AQ35" s="52">
        <v>0.57499999999999996</v>
      </c>
      <c r="AR35" s="52">
        <v>0.57499999999999996</v>
      </c>
      <c r="AS35" s="52">
        <v>0.57499999999999996</v>
      </c>
      <c r="AT35" s="52">
        <v>0.57499999999999996</v>
      </c>
      <c r="AU35" s="52">
        <v>0.57499999999999996</v>
      </c>
      <c r="AV35" s="52">
        <v>0.57499999999999996</v>
      </c>
      <c r="AW35" s="52">
        <v>0.57499999999999996</v>
      </c>
      <c r="AX35" s="52">
        <v>0.57499999999999996</v>
      </c>
      <c r="AY35" s="52">
        <v>0.57499999999999996</v>
      </c>
      <c r="AZ35" s="52">
        <v>0.57499999999999996</v>
      </c>
      <c r="BA35" s="52">
        <v>0.57499999999999996</v>
      </c>
      <c r="BB35" s="52">
        <v>0.57499999999999996</v>
      </c>
      <c r="BC35" s="52">
        <v>0.57499999999999996</v>
      </c>
      <c r="BD35" s="52">
        <v>0.57499999999999996</v>
      </c>
      <c r="BE35" s="52">
        <v>0.57499999999999996</v>
      </c>
      <c r="BF35" s="52">
        <v>0.57499999999999996</v>
      </c>
      <c r="BG35" s="52">
        <v>0.57499999999999996</v>
      </c>
      <c r="BH35" s="52">
        <v>0.57499999999999996</v>
      </c>
      <c r="BI35" s="52">
        <v>0.57499999999999996</v>
      </c>
      <c r="BJ35" s="52">
        <v>0.57499999999999996</v>
      </c>
      <c r="BK35" s="52">
        <v>0.57499999999999996</v>
      </c>
      <c r="BL35" s="52">
        <v>0.57499999999999996</v>
      </c>
      <c r="BM35" s="52">
        <v>0.57499999999999996</v>
      </c>
      <c r="BN35" s="52">
        <v>0.57499999999999996</v>
      </c>
      <c r="BO35" s="52">
        <v>0.57499999999999996</v>
      </c>
      <c r="BP35" s="52">
        <v>0.57499999999999996</v>
      </c>
      <c r="BQ35" s="52">
        <v>0.57499999999999996</v>
      </c>
      <c r="BR35" s="52">
        <v>0.57499999999999996</v>
      </c>
      <c r="BS35" s="52">
        <v>0.57499999999999996</v>
      </c>
      <c r="BT35" s="52">
        <v>0.57499999999999996</v>
      </c>
      <c r="BU35" s="52">
        <v>0.57499999999999996</v>
      </c>
      <c r="BV35" s="52">
        <v>0.57499999999999996</v>
      </c>
      <c r="BW35" s="52">
        <v>0.57499999999999996</v>
      </c>
      <c r="BX35" s="52">
        <v>0.57499999999999996</v>
      </c>
      <c r="BY35" s="52">
        <v>0.57499999999999996</v>
      </c>
      <c r="BZ35" s="52">
        <v>0.57499999999999996</v>
      </c>
      <c r="CA35" s="52">
        <v>0.57499999999999996</v>
      </c>
      <c r="CB35" s="52">
        <v>0.57499999999999996</v>
      </c>
      <c r="CC35" s="52">
        <v>0.57499999999999996</v>
      </c>
      <c r="CD35" s="52">
        <v>0.57499999999999996</v>
      </c>
      <c r="CE35" s="52">
        <v>0.57499999999999996</v>
      </c>
      <c r="CF35" s="52">
        <v>0.57499999999999996</v>
      </c>
      <c r="CG35" s="52">
        <v>0.57499999999999996</v>
      </c>
      <c r="CH35" s="52">
        <v>0.57499999999999996</v>
      </c>
      <c r="CI35" s="52">
        <v>0.57499999999999996</v>
      </c>
      <c r="CJ35" s="52">
        <v>0.57499999999999996</v>
      </c>
      <c r="CK35" s="52">
        <v>0.57499999999999996</v>
      </c>
    </row>
    <row r="36" spans="3:89" ht="14.4">
      <c r="C36" t="s">
        <v>6</v>
      </c>
      <c r="D36" t="s">
        <v>161</v>
      </c>
      <c r="E36" t="s">
        <v>128</v>
      </c>
      <c r="F36" t="s">
        <v>162</v>
      </c>
      <c r="G36" s="51">
        <f>VLOOKUP(E36,'BY-Demands'!$I$6:$J$42,2,FALSE)</f>
        <v>1.1544546193487999</v>
      </c>
      <c r="H36" s="52">
        <f t="shared" si="49" ref="H36:H42">$G36*SUM(H$29:H$31)/SUM($G$29:$G$31)</f>
        <v>1.1908349006400001</v>
      </c>
      <c r="I36" s="52">
        <f t="shared" si="50" ref="I36:BT37">$G36*SUM(I$29:I$31)/SUM($G$29:$G$31)</f>
        <v>1.2115424059200002</v>
      </c>
      <c r="J36" s="52">
        <f t="shared" si="50"/>
        <v>1.2318444230400001</v>
      </c>
      <c r="K36" s="52">
        <f t="shared" si="50"/>
        <v>1.2514826903039997</v>
      </c>
      <c r="L36" s="52">
        <f t="shared" si="50"/>
        <v>1.2709210409279992</v>
      </c>
      <c r="M36" s="52">
        <f t="shared" si="50"/>
        <v>1.2899536385699539</v>
      </c>
      <c r="N36" s="52">
        <f t="shared" si="50"/>
        <v>1.3081161139199997</v>
      </c>
      <c r="O36" s="52">
        <f t="shared" si="50"/>
        <v>1.3263884282880001</v>
      </c>
      <c r="P36" s="52">
        <f t="shared" si="50"/>
        <v>1.3445125182720001</v>
      </c>
      <c r="Q36" s="52">
        <f t="shared" si="50"/>
        <v>1.3633657551360001</v>
      </c>
      <c r="R36" s="52">
        <f t="shared" si="50"/>
        <v>1.3822257792382255</v>
      </c>
      <c r="S36" s="52">
        <f t="shared" si="50"/>
        <v>1.4008862165760005</v>
      </c>
      <c r="T36" s="52">
        <f t="shared" si="50"/>
        <v>1.4196390243415515</v>
      </c>
      <c r="U36" s="52">
        <f t="shared" si="50"/>
        <v>1.4381444961138057</v>
      </c>
      <c r="V36" s="52">
        <f t="shared" si="50"/>
        <v>1.4567607948865551</v>
      </c>
      <c r="W36" s="52">
        <f t="shared" si="50"/>
        <v>1.4752815154269274</v>
      </c>
      <c r="X36" s="52">
        <f t="shared" si="50"/>
        <v>1.4933457179612972</v>
      </c>
      <c r="Y36" s="52">
        <f t="shared" si="50"/>
        <v>1.5109535007953232</v>
      </c>
      <c r="Z36" s="52">
        <f t="shared" si="50"/>
        <v>1.5285686603979654</v>
      </c>
      <c r="AA36" s="52">
        <f t="shared" si="50"/>
        <v>1.5460878468794566</v>
      </c>
      <c r="AB36" s="52">
        <f t="shared" si="50"/>
        <v>1.5629957549216376</v>
      </c>
      <c r="AC36" s="52">
        <f t="shared" si="50"/>
        <v>1.5792404945123684</v>
      </c>
      <c r="AD36" s="52">
        <f t="shared" si="50"/>
        <v>1.5836256156472743</v>
      </c>
      <c r="AE36" s="52">
        <f t="shared" si="50"/>
        <v>1.5977193026469054</v>
      </c>
      <c r="AF36" s="52">
        <f t="shared" si="50"/>
        <v>1.6133874034964311</v>
      </c>
      <c r="AG36" s="52">
        <f t="shared" si="50"/>
        <v>1.6287532055901592</v>
      </c>
      <c r="AH36" s="52">
        <f t="shared" si="50"/>
        <v>1.6437932834842923</v>
      </c>
      <c r="AI36" s="52">
        <f t="shared" si="50"/>
        <v>1.6584959109268544</v>
      </c>
      <c r="AJ36" s="52">
        <f t="shared" si="50"/>
        <v>1.672824006688461</v>
      </c>
      <c r="AK36" s="52">
        <f t="shared" si="50"/>
        <v>1.6867533581716272</v>
      </c>
      <c r="AL36" s="52">
        <f t="shared" si="50"/>
        <v>1.7002203524966655</v>
      </c>
      <c r="AM36" s="52">
        <f t="shared" si="50"/>
        <v>1.7132210540060933</v>
      </c>
      <c r="AN36" s="52">
        <f t="shared" si="50"/>
        <v>1.7257581583520163</v>
      </c>
      <c r="AO36" s="52">
        <f t="shared" si="50"/>
        <v>1.7382293521517052</v>
      </c>
      <c r="AP36" s="52">
        <f t="shared" si="50"/>
        <v>1.750339395817216</v>
      </c>
      <c r="AQ36" s="52">
        <f t="shared" si="50"/>
        <v>1.7621228933246418</v>
      </c>
      <c r="AR36" s="52">
        <f t="shared" si="50"/>
        <v>1.7736273687150745</v>
      </c>
      <c r="AS36" s="52">
        <f t="shared" si="50"/>
        <v>1.7848773407196687</v>
      </c>
      <c r="AT36" s="52">
        <f t="shared" si="50"/>
        <v>1.7958887517694602</v>
      </c>
      <c r="AU36" s="52">
        <f t="shared" si="50"/>
        <v>1.8067127266654888</v>
      </c>
      <c r="AV36" s="52">
        <f t="shared" si="50"/>
        <v>1.8173957311076536</v>
      </c>
      <c r="AW36" s="52">
        <f t="shared" si="50"/>
        <v>1.8279885531537796</v>
      </c>
      <c r="AX36" s="52">
        <f t="shared" si="50"/>
        <v>0</v>
      </c>
      <c r="AY36" s="52">
        <f t="shared" si="50"/>
        <v>0</v>
      </c>
      <c r="AZ36" s="52">
        <f t="shared" si="50"/>
        <v>0</v>
      </c>
      <c r="BA36" s="52">
        <f t="shared" si="50"/>
        <v>0</v>
      </c>
      <c r="BB36" s="52">
        <f t="shared" si="50"/>
        <v>0</v>
      </c>
      <c r="BC36" s="52">
        <f t="shared" si="50"/>
        <v>0</v>
      </c>
      <c r="BD36" s="52">
        <f t="shared" si="50"/>
        <v>0</v>
      </c>
      <c r="BE36" s="52">
        <f t="shared" si="50"/>
        <v>0</v>
      </c>
      <c r="BF36" s="52">
        <f t="shared" si="50"/>
        <v>0</v>
      </c>
      <c r="BG36" s="52">
        <f t="shared" si="50"/>
        <v>0</v>
      </c>
      <c r="BH36" s="52">
        <f t="shared" si="50"/>
        <v>0</v>
      </c>
      <c r="BI36" s="52">
        <f t="shared" si="50"/>
        <v>0</v>
      </c>
      <c r="BJ36" s="52">
        <f t="shared" si="50"/>
        <v>0</v>
      </c>
      <c r="BK36" s="52">
        <f t="shared" si="50"/>
        <v>0</v>
      </c>
      <c r="BL36" s="52">
        <f t="shared" si="50"/>
        <v>0</v>
      </c>
      <c r="BM36" s="52">
        <f t="shared" si="50"/>
        <v>0</v>
      </c>
      <c r="BN36" s="52">
        <f t="shared" si="50"/>
        <v>0</v>
      </c>
      <c r="BO36" s="52">
        <f t="shared" si="50"/>
        <v>0</v>
      </c>
      <c r="BP36" s="52">
        <f t="shared" si="50"/>
        <v>0</v>
      </c>
      <c r="BQ36" s="52">
        <f t="shared" si="50"/>
        <v>0</v>
      </c>
      <c r="BR36" s="52">
        <f t="shared" si="50"/>
        <v>0</v>
      </c>
      <c r="BS36" s="52">
        <f t="shared" si="50"/>
        <v>0</v>
      </c>
      <c r="BT36" s="52">
        <f t="shared" si="50"/>
        <v>0</v>
      </c>
      <c r="BU36" s="52">
        <f t="shared" si="51" ref="BU36:CK40">$G36*SUM(BU$29:BU$31)/SUM($G$29:$G$31)</f>
        <v>0</v>
      </c>
      <c r="BV36" s="52">
        <f t="shared" si="51"/>
        <v>0</v>
      </c>
      <c r="BW36" s="52">
        <f t="shared" si="51"/>
        <v>0</v>
      </c>
      <c r="BX36" s="52">
        <f t="shared" si="51"/>
        <v>0</v>
      </c>
      <c r="BY36" s="52">
        <f t="shared" si="51"/>
        <v>0</v>
      </c>
      <c r="BZ36" s="52">
        <f t="shared" si="51"/>
        <v>0</v>
      </c>
      <c r="CA36" s="52">
        <f t="shared" si="51"/>
        <v>0</v>
      </c>
      <c r="CB36" s="52">
        <f t="shared" si="51"/>
        <v>0</v>
      </c>
      <c r="CC36" s="52">
        <f t="shared" si="51"/>
        <v>0</v>
      </c>
      <c r="CD36" s="52">
        <f t="shared" si="51"/>
        <v>0</v>
      </c>
      <c r="CE36" s="52">
        <f t="shared" si="51"/>
        <v>0</v>
      </c>
      <c r="CF36" s="52">
        <f t="shared" si="51"/>
        <v>0</v>
      </c>
      <c r="CG36" s="52">
        <f t="shared" si="51"/>
        <v>0</v>
      </c>
      <c r="CH36" s="52">
        <f t="shared" si="51"/>
        <v>0</v>
      </c>
      <c r="CI36" s="52">
        <f t="shared" si="51"/>
        <v>0</v>
      </c>
      <c r="CJ36" s="52">
        <f t="shared" si="51"/>
        <v>0</v>
      </c>
      <c r="CK36" s="52">
        <f t="shared" si="51"/>
        <v>0</v>
      </c>
    </row>
    <row r="37" spans="3:89" ht="14.4">
      <c r="C37" t="s">
        <v>6</v>
      </c>
      <c r="D37" t="s">
        <v>161</v>
      </c>
      <c r="E37" t="s">
        <v>129</v>
      </c>
      <c r="F37" t="s">
        <v>163</v>
      </c>
      <c r="G37" s="51">
        <f>VLOOKUP(E37,'BY-Demands'!$I$6:$J$42,2,FALSE)</f>
        <v>2.0006897535500099</v>
      </c>
      <c r="H37" s="52">
        <f t="shared" si="49"/>
        <v>2.0637374080794082</v>
      </c>
      <c r="I37" s="52">
        <f t="shared" si="52" ref="I37:W37">$G37*SUM(I$29:I$31)/SUM($G$29:$G$31)</f>
        <v>2.099623871644904</v>
      </c>
      <c r="J37" s="52">
        <f t="shared" si="52"/>
        <v>2.1348076172401118</v>
      </c>
      <c r="K37" s="86">
        <f>$G37*SUM(K$29:K$31)/SUM($G$29:$G$31)</f>
        <v>2.1688410728944572</v>
      </c>
      <c r="L37" s="52">
        <f t="shared" si="52"/>
        <v>2.2025280695659109</v>
      </c>
      <c r="M37" s="52">
        <f t="shared" si="52"/>
        <v>2.2355118893259096</v>
      </c>
      <c r="N37" s="52">
        <f t="shared" si="52"/>
        <v>2.2669877721565737</v>
      </c>
      <c r="O37" s="52">
        <f t="shared" si="52"/>
        <v>2.2986540078985414</v>
      </c>
      <c r="P37" s="52">
        <f t="shared" si="52"/>
        <v>2.3300633682282363</v>
      </c>
      <c r="Q37" s="52">
        <f t="shared" si="52"/>
        <v>2.3627363526685712</v>
      </c>
      <c r="R37" s="52">
        <f t="shared" si="52"/>
        <v>2.3954210995097363</v>
      </c>
      <c r="S37" s="52">
        <f t="shared" si="52"/>
        <v>2.4277599590480241</v>
      </c>
      <c r="T37" s="52">
        <f t="shared" si="52"/>
        <v>2.4602588981297471</v>
      </c>
      <c r="U37" s="52">
        <f t="shared" si="52"/>
        <v>2.4923291996719961</v>
      </c>
      <c r="V37" s="52">
        <f t="shared" si="52"/>
        <v>2.5245915663163205</v>
      </c>
      <c r="W37" s="52">
        <f t="shared" si="52"/>
        <v>2.5566882942365465</v>
      </c>
      <c r="X37" s="52">
        <f t="shared" si="50"/>
        <v>2.5879938685838102</v>
      </c>
      <c r="Y37" s="52">
        <f t="shared" si="50"/>
        <v>2.6185084597235124</v>
      </c>
      <c r="Z37" s="52">
        <f t="shared" si="50"/>
        <v>2.6490358349303733</v>
      </c>
      <c r="AA37" s="52">
        <f t="shared" si="50"/>
        <v>2.6793968870640827</v>
      </c>
      <c r="AB37" s="52">
        <f t="shared" si="50"/>
        <v>2.708698583126453</v>
      </c>
      <c r="AC37" s="52">
        <f t="shared" si="50"/>
        <v>2.7368509968320662</v>
      </c>
      <c r="AD37" s="52">
        <f t="shared" si="50"/>
        <v>2.744450487340953</v>
      </c>
      <c r="AE37" s="52">
        <f t="shared" si="50"/>
        <v>2.768875089830575</v>
      </c>
      <c r="AF37" s="52">
        <f t="shared" si="50"/>
        <v>2.7960281786587151</v>
      </c>
      <c r="AG37" s="52">
        <f t="shared" si="50"/>
        <v>2.8226573785326261</v>
      </c>
      <c r="AH37" s="52">
        <f t="shared" si="50"/>
        <v>2.8487220927544459</v>
      </c>
      <c r="AI37" s="52">
        <f t="shared" si="50"/>
        <v>2.8742019995273855</v>
      </c>
      <c r="AJ37" s="52">
        <f t="shared" si="50"/>
        <v>2.8990328364417892</v>
      </c>
      <c r="AK37" s="52">
        <f t="shared" si="50"/>
        <v>2.9231726426488853</v>
      </c>
      <c r="AL37" s="52">
        <f t="shared" si="50"/>
        <v>2.9465111759317431</v>
      </c>
      <c r="AM37" s="52">
        <f t="shared" si="50"/>
        <v>2.9690416157281088</v>
      </c>
      <c r="AN37" s="52">
        <f t="shared" si="50"/>
        <v>2.9907686336495432</v>
      </c>
      <c r="AO37" s="52">
        <f t="shared" si="50"/>
        <v>3.0123814274583194</v>
      </c>
      <c r="AP37" s="52">
        <f t="shared" si="50"/>
        <v>3.0333683418597679</v>
      </c>
      <c r="AQ37" s="52">
        <f t="shared" si="50"/>
        <v>3.0537893461408956</v>
      </c>
      <c r="AR37" s="52">
        <f t="shared" si="50"/>
        <v>3.0737268002840392</v>
      </c>
      <c r="AS37" s="52">
        <f t="shared" si="50"/>
        <v>3.0932231956728953</v>
      </c>
      <c r="AT37" s="52">
        <f t="shared" si="50"/>
        <v>3.1123061608152343</v>
      </c>
      <c r="AU37" s="52">
        <f t="shared" si="50"/>
        <v>3.1310642958724464</v>
      </c>
      <c r="AV37" s="52">
        <f t="shared" si="50"/>
        <v>3.1495781267033407</v>
      </c>
      <c r="AW37" s="52">
        <f t="shared" si="50"/>
        <v>3.1679356698875134</v>
      </c>
      <c r="AX37" s="52">
        <f t="shared" si="50"/>
        <v>0</v>
      </c>
      <c r="AY37" s="52">
        <f t="shared" si="50"/>
        <v>0</v>
      </c>
      <c r="AZ37" s="52">
        <f t="shared" si="50"/>
        <v>0</v>
      </c>
      <c r="BA37" s="52">
        <f t="shared" si="50"/>
        <v>0</v>
      </c>
      <c r="BB37" s="52">
        <f t="shared" si="50"/>
        <v>0</v>
      </c>
      <c r="BC37" s="52">
        <f t="shared" si="50"/>
        <v>0</v>
      </c>
      <c r="BD37" s="52">
        <f t="shared" si="50"/>
        <v>0</v>
      </c>
      <c r="BE37" s="52">
        <f t="shared" si="50"/>
        <v>0</v>
      </c>
      <c r="BF37" s="52">
        <f t="shared" si="50"/>
        <v>0</v>
      </c>
      <c r="BG37" s="52">
        <f t="shared" si="50"/>
        <v>0</v>
      </c>
      <c r="BH37" s="52">
        <f t="shared" si="50"/>
        <v>0</v>
      </c>
      <c r="BI37" s="52">
        <f t="shared" si="50"/>
        <v>0</v>
      </c>
      <c r="BJ37" s="52">
        <f t="shared" si="50"/>
        <v>0</v>
      </c>
      <c r="BK37" s="52">
        <f t="shared" si="50"/>
        <v>0</v>
      </c>
      <c r="BL37" s="52">
        <f t="shared" si="50"/>
        <v>0</v>
      </c>
      <c r="BM37" s="52">
        <f t="shared" si="50"/>
        <v>0</v>
      </c>
      <c r="BN37" s="52">
        <f t="shared" si="50"/>
        <v>0</v>
      </c>
      <c r="BO37" s="52">
        <f t="shared" si="50"/>
        <v>0</v>
      </c>
      <c r="BP37" s="52">
        <f t="shared" si="50"/>
        <v>0</v>
      </c>
      <c r="BQ37" s="52">
        <f t="shared" si="50"/>
        <v>0</v>
      </c>
      <c r="BR37" s="52">
        <f t="shared" si="50"/>
        <v>0</v>
      </c>
      <c r="BS37" s="52">
        <f t="shared" si="50"/>
        <v>0</v>
      </c>
      <c r="BT37" s="52">
        <f t="shared" si="50"/>
        <v>0</v>
      </c>
      <c r="BU37" s="52">
        <f t="shared" si="51"/>
        <v>0</v>
      </c>
      <c r="BV37" s="52">
        <f t="shared" si="51"/>
        <v>0</v>
      </c>
      <c r="BW37" s="52">
        <f t="shared" si="51"/>
        <v>0</v>
      </c>
      <c r="BX37" s="52">
        <f t="shared" si="51"/>
        <v>0</v>
      </c>
      <c r="BY37" s="52">
        <f t="shared" si="51"/>
        <v>0</v>
      </c>
      <c r="BZ37" s="52">
        <f t="shared" si="51"/>
        <v>0</v>
      </c>
      <c r="CA37" s="52">
        <f t="shared" si="51"/>
        <v>0</v>
      </c>
      <c r="CB37" s="52">
        <f t="shared" si="51"/>
        <v>0</v>
      </c>
      <c r="CC37" s="52">
        <f t="shared" si="51"/>
        <v>0</v>
      </c>
      <c r="CD37" s="52">
        <f t="shared" si="51"/>
        <v>0</v>
      </c>
      <c r="CE37" s="52">
        <f t="shared" si="51"/>
        <v>0</v>
      </c>
      <c r="CF37" s="52">
        <f t="shared" si="51"/>
        <v>0</v>
      </c>
      <c r="CG37" s="52">
        <f t="shared" si="51"/>
        <v>0</v>
      </c>
      <c r="CH37" s="52">
        <f t="shared" si="51"/>
        <v>0</v>
      </c>
      <c r="CI37" s="52">
        <f t="shared" si="51"/>
        <v>0</v>
      </c>
      <c r="CJ37" s="52">
        <f t="shared" si="51"/>
        <v>0</v>
      </c>
      <c r="CK37" s="52">
        <f t="shared" si="51"/>
        <v>0</v>
      </c>
    </row>
    <row r="38" spans="3:89" ht="14.4">
      <c r="C38" t="s">
        <v>6</v>
      </c>
      <c r="D38" t="s">
        <v>161</v>
      </c>
      <c r="E38" t="s">
        <v>130</v>
      </c>
      <c r="F38" t="s">
        <v>164</v>
      </c>
      <c r="G38" s="51">
        <f>VLOOKUP(E38,'BY-Demands'!$I$6:$J$42,2,FALSE)</f>
        <v>0.78876799986757495</v>
      </c>
      <c r="H38" s="52">
        <f t="shared" si="49"/>
        <v>0.81362441364750004</v>
      </c>
      <c r="I38" s="52">
        <f t="shared" si="53" ref="I38:BT41">$G38*SUM(I$29:I$31)/SUM($G$29:$G$31)</f>
        <v>0.82777258131750009</v>
      </c>
      <c r="J38" s="52">
        <f t="shared" si="53"/>
        <v>0.84164370380999998</v>
      </c>
      <c r="K38" s="52">
        <f t="shared" si="53"/>
        <v>0.855061326756</v>
      </c>
      <c r="L38" s="52">
        <f t="shared" si="53"/>
        <v>0.86834235892949951</v>
      </c>
      <c r="M38" s="52">
        <f t="shared" si="53"/>
        <v>0.88134616498884644</v>
      </c>
      <c r="N38" s="52">
        <f t="shared" si="53"/>
        <v>0.89375546987999988</v>
      </c>
      <c r="O38" s="52">
        <f t="shared" si="53"/>
        <v>0.90623982103200007</v>
      </c>
      <c r="P38" s="52">
        <f t="shared" si="53"/>
        <v>0.91862289955800014</v>
      </c>
      <c r="Q38" s="52">
        <f t="shared" si="53"/>
        <v>0.93150415940400011</v>
      </c>
      <c r="R38" s="52">
        <f t="shared" si="53"/>
        <v>0.94439005655338992</v>
      </c>
      <c r="S38" s="52">
        <f t="shared" si="53"/>
        <v>0.95713958831400048</v>
      </c>
      <c r="T38" s="52">
        <f t="shared" si="53"/>
        <v>0.96995223111972484</v>
      </c>
      <c r="U38" s="52">
        <f t="shared" si="53"/>
        <v>0.98259588441866563</v>
      </c>
      <c r="V38" s="52">
        <f t="shared" si="53"/>
        <v>0.99531525900629703</v>
      </c>
      <c r="W38" s="52">
        <f t="shared" si="53"/>
        <v>1.0079693308527731</v>
      </c>
      <c r="X38" s="52">
        <f t="shared" si="53"/>
        <v>1.0203114919593521</v>
      </c>
      <c r="Y38" s="52">
        <f t="shared" si="53"/>
        <v>1.0323418094922592</v>
      </c>
      <c r="Z38" s="52">
        <f t="shared" si="53"/>
        <v>1.0443771671184963</v>
      </c>
      <c r="AA38" s="52">
        <f t="shared" si="53"/>
        <v>1.0563469522003104</v>
      </c>
      <c r="AB38" s="52">
        <f t="shared" si="53"/>
        <v>1.0678990882348121</v>
      </c>
      <c r="AC38" s="52">
        <f t="shared" si="53"/>
        <v>1.0789981219608653</v>
      </c>
      <c r="AD38" s="52">
        <f t="shared" si="53"/>
        <v>1.0819942061453678</v>
      </c>
      <c r="AE38" s="52">
        <f t="shared" si="53"/>
        <v>1.0916235576323317</v>
      </c>
      <c r="AF38" s="52">
        <f t="shared" si="53"/>
        <v>1.1023286094911695</v>
      </c>
      <c r="AG38" s="52">
        <f t="shared" si="53"/>
        <v>1.1128271191603221</v>
      </c>
      <c r="AH38" s="52">
        <f t="shared" si="53"/>
        <v>1.1231030814715124</v>
      </c>
      <c r="AI38" s="52">
        <f t="shared" si="53"/>
        <v>1.1331484845963309</v>
      </c>
      <c r="AJ38" s="52">
        <f t="shared" si="53"/>
        <v>1.1429379932061787</v>
      </c>
      <c r="AK38" s="52">
        <f t="shared" si="53"/>
        <v>1.1524550643189668</v>
      </c>
      <c r="AL38" s="52">
        <f t="shared" si="53"/>
        <v>1.161656235157523</v>
      </c>
      <c r="AM38" s="52">
        <f t="shared" si="53"/>
        <v>1.1705388167285951</v>
      </c>
      <c r="AN38" s="52">
        <f t="shared" si="53"/>
        <v>1.179104650805852</v>
      </c>
      <c r="AO38" s="52">
        <f t="shared" si="53"/>
        <v>1.1876254522513783</v>
      </c>
      <c r="AP38" s="52">
        <f t="shared" si="53"/>
        <v>1.1958995019717058</v>
      </c>
      <c r="AQ38" s="52">
        <f t="shared" si="53"/>
        <v>1.2039504427402739</v>
      </c>
      <c r="AR38" s="52">
        <f t="shared" si="53"/>
        <v>1.2118107448181121</v>
      </c>
      <c r="AS38" s="52">
        <f t="shared" si="53"/>
        <v>1.21949716034966</v>
      </c>
      <c r="AT38" s="52">
        <f t="shared" si="53"/>
        <v>1.227020581819759</v>
      </c>
      <c r="AU38" s="52">
        <f t="shared" si="53"/>
        <v>1.2344159396677559</v>
      </c>
      <c r="AV38" s="52">
        <f t="shared" si="53"/>
        <v>1.2417149810550872</v>
      </c>
      <c r="AW38" s="52">
        <f t="shared" si="53"/>
        <v>1.2489524063451252</v>
      </c>
      <c r="AX38" s="52">
        <f t="shared" si="53"/>
        <v>0</v>
      </c>
      <c r="AY38" s="52">
        <f t="shared" si="53"/>
        <v>0</v>
      </c>
      <c r="AZ38" s="52">
        <f t="shared" si="53"/>
        <v>0</v>
      </c>
      <c r="BA38" s="52">
        <f t="shared" si="53"/>
        <v>0</v>
      </c>
      <c r="BB38" s="52">
        <f t="shared" si="53"/>
        <v>0</v>
      </c>
      <c r="BC38" s="52">
        <f t="shared" si="53"/>
        <v>0</v>
      </c>
      <c r="BD38" s="52">
        <f t="shared" si="53"/>
        <v>0</v>
      </c>
      <c r="BE38" s="52">
        <f t="shared" si="53"/>
        <v>0</v>
      </c>
      <c r="BF38" s="52">
        <f t="shared" si="53"/>
        <v>0</v>
      </c>
      <c r="BG38" s="52">
        <f t="shared" si="53"/>
        <v>0</v>
      </c>
      <c r="BH38" s="52">
        <f t="shared" si="53"/>
        <v>0</v>
      </c>
      <c r="BI38" s="52">
        <f t="shared" si="53"/>
        <v>0</v>
      </c>
      <c r="BJ38" s="52">
        <f t="shared" si="53"/>
        <v>0</v>
      </c>
      <c r="BK38" s="52">
        <f t="shared" si="53"/>
        <v>0</v>
      </c>
      <c r="BL38" s="52">
        <f t="shared" si="53"/>
        <v>0</v>
      </c>
      <c r="BM38" s="52">
        <f t="shared" si="53"/>
        <v>0</v>
      </c>
      <c r="BN38" s="52">
        <f t="shared" si="53"/>
        <v>0</v>
      </c>
      <c r="BO38" s="52">
        <f t="shared" si="53"/>
        <v>0</v>
      </c>
      <c r="BP38" s="52">
        <f t="shared" si="53"/>
        <v>0</v>
      </c>
      <c r="BQ38" s="52">
        <f t="shared" si="53"/>
        <v>0</v>
      </c>
      <c r="BR38" s="52">
        <f t="shared" si="53"/>
        <v>0</v>
      </c>
      <c r="BS38" s="52">
        <f t="shared" si="53"/>
        <v>0</v>
      </c>
      <c r="BT38" s="52">
        <f t="shared" si="53"/>
        <v>0</v>
      </c>
      <c r="BU38" s="52">
        <f t="shared" si="51"/>
        <v>0</v>
      </c>
      <c r="BV38" s="52">
        <f t="shared" si="51"/>
        <v>0</v>
      </c>
      <c r="BW38" s="52">
        <f t="shared" si="51"/>
        <v>0</v>
      </c>
      <c r="BX38" s="52">
        <f t="shared" si="51"/>
        <v>0</v>
      </c>
      <c r="BY38" s="52">
        <f t="shared" si="51"/>
        <v>0</v>
      </c>
      <c r="BZ38" s="52">
        <f t="shared" si="51"/>
        <v>0</v>
      </c>
      <c r="CA38" s="52">
        <f t="shared" si="51"/>
        <v>0</v>
      </c>
      <c r="CB38" s="52">
        <f t="shared" si="51"/>
        <v>0</v>
      </c>
      <c r="CC38" s="52">
        <f t="shared" si="51"/>
        <v>0</v>
      </c>
      <c r="CD38" s="52">
        <f t="shared" si="51"/>
        <v>0</v>
      </c>
      <c r="CE38" s="52">
        <f t="shared" si="51"/>
        <v>0</v>
      </c>
      <c r="CF38" s="52">
        <f t="shared" si="51"/>
        <v>0</v>
      </c>
      <c r="CG38" s="52">
        <f t="shared" si="51"/>
        <v>0</v>
      </c>
      <c r="CH38" s="52">
        <f t="shared" si="51"/>
        <v>0</v>
      </c>
      <c r="CI38" s="52">
        <f t="shared" si="51"/>
        <v>0</v>
      </c>
      <c r="CJ38" s="52">
        <f t="shared" si="51"/>
        <v>0</v>
      </c>
      <c r="CK38" s="52">
        <f t="shared" si="51"/>
        <v>0</v>
      </c>
    </row>
    <row r="39" spans="3:89" ht="14.4">
      <c r="C39" t="s">
        <v>6</v>
      </c>
      <c r="D39" t="s">
        <v>161</v>
      </c>
      <c r="E39" t="s">
        <v>131</v>
      </c>
      <c r="F39" t="s">
        <v>165</v>
      </c>
      <c r="G39" s="51">
        <f>VLOOKUP(E39,'BY-Demands'!$I$6:$J$42,2,FALSE)</f>
        <v>1.05169316530962</v>
      </c>
      <c r="H39" s="52">
        <f t="shared" si="49"/>
        <v>1.0848351290947176</v>
      </c>
      <c r="I39" s="52">
        <f t="shared" si="53"/>
        <v>1.1036993974761575</v>
      </c>
      <c r="J39" s="52">
        <f t="shared" si="53"/>
        <v>1.1221942714099173</v>
      </c>
      <c r="K39" s="52">
        <f t="shared" si="53"/>
        <v>1.1400844778449895</v>
      </c>
      <c r="L39" s="52">
        <f t="shared" si="53"/>
        <v>1.1577925628173409</v>
      </c>
      <c r="M39" s="52">
        <f t="shared" si="53"/>
        <v>1.1751310120925686</v>
      </c>
      <c r="N39" s="52">
        <f t="shared" si="53"/>
        <v>1.1916767912601571</v>
      </c>
      <c r="O39" s="52">
        <f t="shared" si="53"/>
        <v>1.2083226323466214</v>
      </c>
      <c r="P39" s="52">
        <f t="shared" si="53"/>
        <v>1.2248334429442533</v>
      </c>
      <c r="Q39" s="52">
        <f t="shared" si="53"/>
        <v>1.2420084968801255</v>
      </c>
      <c r="R39" s="52">
        <f t="shared" si="53"/>
        <v>1.2591897339018747</v>
      </c>
      <c r="S39" s="52">
        <f t="shared" si="53"/>
        <v>1.2761891499732458</v>
      </c>
      <c r="T39" s="52">
        <f t="shared" si="53"/>
        <v>1.2932727143047045</v>
      </c>
      <c r="U39" s="52">
        <f t="shared" si="53"/>
        <v>1.310130958758426</v>
      </c>
      <c r="V39" s="52">
        <f t="shared" si="53"/>
        <v>1.3270901651702867</v>
      </c>
      <c r="W39" s="52">
        <f t="shared" si="53"/>
        <v>1.3439623010537276</v>
      </c>
      <c r="X39" s="52">
        <f t="shared" si="53"/>
        <v>1.3604185549625056</v>
      </c>
      <c r="Y39" s="52">
        <f t="shared" si="53"/>
        <v>1.3764590164517989</v>
      </c>
      <c r="Z39" s="52">
        <f t="shared" si="53"/>
        <v>1.3925061980814994</v>
      </c>
      <c r="AA39" s="52">
        <f t="shared" si="53"/>
        <v>1.4084659494442351</v>
      </c>
      <c r="AB39" s="52">
        <f t="shared" si="53"/>
        <v>1.4238688340874408</v>
      </c>
      <c r="AC39" s="52">
        <f t="shared" si="53"/>
        <v>1.4386675808839529</v>
      </c>
      <c r="AD39" s="52">
        <f t="shared" si="53"/>
        <v>1.4426623692882268</v>
      </c>
      <c r="AE39" s="52">
        <f t="shared" si="53"/>
        <v>1.4555015351099945</v>
      </c>
      <c r="AF39" s="52">
        <f t="shared" si="53"/>
        <v>1.4697749715020831</v>
      </c>
      <c r="AG39" s="52">
        <f t="shared" si="53"/>
        <v>1.4837730176535984</v>
      </c>
      <c r="AH39" s="52">
        <f t="shared" si="53"/>
        <v>1.4974743332894664</v>
      </c>
      <c r="AI39" s="52">
        <f t="shared" si="53"/>
        <v>1.5108682359464269</v>
      </c>
      <c r="AJ39" s="52">
        <f t="shared" si="53"/>
        <v>1.5239209451060849</v>
      </c>
      <c r="AK39" s="52">
        <f t="shared" si="53"/>
        <v>1.5366104034065804</v>
      </c>
      <c r="AL39" s="52">
        <f t="shared" si="53"/>
        <v>1.5488786603406601</v>
      </c>
      <c r="AM39" s="52">
        <f t="shared" si="53"/>
        <v>1.5607221305754697</v>
      </c>
      <c r="AN39" s="52">
        <f t="shared" si="53"/>
        <v>1.5721432698150684</v>
      </c>
      <c r="AO39" s="52">
        <f t="shared" si="53"/>
        <v>1.5835043654030292</v>
      </c>
      <c r="AP39" s="52">
        <f t="shared" si="53"/>
        <v>1.5945364579090151</v>
      </c>
      <c r="AQ39" s="52">
        <f t="shared" si="53"/>
        <v>1.6052710711058449</v>
      </c>
      <c r="AR39" s="52">
        <f t="shared" si="53"/>
        <v>1.6157514987777579</v>
      </c>
      <c r="AS39" s="52">
        <f t="shared" si="53"/>
        <v>1.6260000771704106</v>
      </c>
      <c r="AT39" s="52">
        <f t="shared" si="53"/>
        <v>1.6360313296314319</v>
      </c>
      <c r="AU39" s="52">
        <f t="shared" si="53"/>
        <v>1.6458918301906118</v>
      </c>
      <c r="AV39" s="52">
        <f t="shared" si="53"/>
        <v>1.6556239084971063</v>
      </c>
      <c r="AW39" s="52">
        <f t="shared" si="53"/>
        <v>1.6652738318120097</v>
      </c>
      <c r="AX39" s="52">
        <f t="shared" si="53"/>
        <v>0</v>
      </c>
      <c r="AY39" s="52">
        <f t="shared" si="53"/>
        <v>0</v>
      </c>
      <c r="AZ39" s="52">
        <f t="shared" si="53"/>
        <v>0</v>
      </c>
      <c r="BA39" s="52">
        <f t="shared" si="53"/>
        <v>0</v>
      </c>
      <c r="BB39" s="52">
        <f t="shared" si="53"/>
        <v>0</v>
      </c>
      <c r="BC39" s="52">
        <f t="shared" si="53"/>
        <v>0</v>
      </c>
      <c r="BD39" s="52">
        <f t="shared" si="53"/>
        <v>0</v>
      </c>
      <c r="BE39" s="52">
        <f t="shared" si="53"/>
        <v>0</v>
      </c>
      <c r="BF39" s="52">
        <f t="shared" si="53"/>
        <v>0</v>
      </c>
      <c r="BG39" s="52">
        <f t="shared" si="53"/>
        <v>0</v>
      </c>
      <c r="BH39" s="52">
        <f t="shared" si="53"/>
        <v>0</v>
      </c>
      <c r="BI39" s="52">
        <f t="shared" si="53"/>
        <v>0</v>
      </c>
      <c r="BJ39" s="52">
        <f t="shared" si="53"/>
        <v>0</v>
      </c>
      <c r="BK39" s="52">
        <f t="shared" si="53"/>
        <v>0</v>
      </c>
      <c r="BL39" s="52">
        <f t="shared" si="53"/>
        <v>0</v>
      </c>
      <c r="BM39" s="52">
        <f t="shared" si="53"/>
        <v>0</v>
      </c>
      <c r="BN39" s="52">
        <f t="shared" si="53"/>
        <v>0</v>
      </c>
      <c r="BO39" s="52">
        <f t="shared" si="53"/>
        <v>0</v>
      </c>
      <c r="BP39" s="52">
        <f t="shared" si="53"/>
        <v>0</v>
      </c>
      <c r="BQ39" s="52">
        <f t="shared" si="53"/>
        <v>0</v>
      </c>
      <c r="BR39" s="52">
        <f t="shared" si="53"/>
        <v>0</v>
      </c>
      <c r="BS39" s="52">
        <f t="shared" si="53"/>
        <v>0</v>
      </c>
      <c r="BT39" s="52">
        <f t="shared" si="53"/>
        <v>0</v>
      </c>
      <c r="BU39" s="52">
        <f t="shared" si="51"/>
        <v>0</v>
      </c>
      <c r="BV39" s="52">
        <f t="shared" si="51"/>
        <v>0</v>
      </c>
      <c r="BW39" s="52">
        <f t="shared" si="51"/>
        <v>0</v>
      </c>
      <c r="BX39" s="52">
        <f t="shared" si="51"/>
        <v>0</v>
      </c>
      <c r="BY39" s="52">
        <f t="shared" si="51"/>
        <v>0</v>
      </c>
      <c r="BZ39" s="52">
        <f t="shared" si="51"/>
        <v>0</v>
      </c>
      <c r="CA39" s="52">
        <f t="shared" si="51"/>
        <v>0</v>
      </c>
      <c r="CB39" s="52">
        <f t="shared" si="51"/>
        <v>0</v>
      </c>
      <c r="CC39" s="52">
        <f t="shared" si="51"/>
        <v>0</v>
      </c>
      <c r="CD39" s="52">
        <f t="shared" si="51"/>
        <v>0</v>
      </c>
      <c r="CE39" s="52">
        <f t="shared" si="51"/>
        <v>0</v>
      </c>
      <c r="CF39" s="52">
        <f t="shared" si="51"/>
        <v>0</v>
      </c>
      <c r="CG39" s="52">
        <f t="shared" si="51"/>
        <v>0</v>
      </c>
      <c r="CH39" s="52">
        <f t="shared" si="51"/>
        <v>0</v>
      </c>
      <c r="CI39" s="52">
        <f t="shared" si="51"/>
        <v>0</v>
      </c>
      <c r="CJ39" s="52">
        <f t="shared" si="51"/>
        <v>0</v>
      </c>
      <c r="CK39" s="52">
        <f t="shared" si="51"/>
        <v>0</v>
      </c>
    </row>
    <row r="40" spans="3:89" ht="14.4">
      <c r="C40" t="s">
        <v>6</v>
      </c>
      <c r="D40" t="s">
        <v>161</v>
      </c>
      <c r="E40" t="s">
        <v>132</v>
      </c>
      <c r="F40" t="s">
        <v>166</v>
      </c>
      <c r="G40" s="51">
        <f>VLOOKUP(E40,'BY-Demands'!$I$6:$J$42,2,FALSE)</f>
        <v>0.84878652127122001</v>
      </c>
      <c r="H40" s="52">
        <f t="shared" si="49"/>
        <v>0.8755342962660001</v>
      </c>
      <c r="I40" s="52">
        <f t="shared" si="53"/>
        <v>0.89075901889800024</v>
      </c>
      <c r="J40" s="52">
        <f t="shared" si="53"/>
        <v>0.90568561557600002</v>
      </c>
      <c r="K40" s="52">
        <f t="shared" si="53"/>
        <v>0.92012420525760008</v>
      </c>
      <c r="L40" s="52">
        <f t="shared" si="53"/>
        <v>0.93441581077319957</v>
      </c>
      <c r="M40" s="52">
        <f t="shared" si="53"/>
        <v>0.94840909563040932</v>
      </c>
      <c r="N40" s="52">
        <f t="shared" si="53"/>
        <v>0.96176264284799995</v>
      </c>
      <c r="O40" s="52">
        <f t="shared" si="53"/>
        <v>0.97519694670720014</v>
      </c>
      <c r="P40" s="52">
        <f t="shared" si="53"/>
        <v>0.9885222719568002</v>
      </c>
      <c r="Q40" s="52">
        <f t="shared" si="53"/>
        <v>1.0023836858784001</v>
      </c>
      <c r="R40" s="52">
        <f t="shared" si="53"/>
        <v>1.0162500899626501</v>
      </c>
      <c r="S40" s="52">
        <f t="shared" si="53"/>
        <v>1.0299697524144007</v>
      </c>
      <c r="T40" s="52">
        <f t="shared" si="53"/>
        <v>1.0437573281238453</v>
      </c>
      <c r="U40" s="52">
        <f t="shared" si="53"/>
        <v>1.0573630556654914</v>
      </c>
      <c r="V40" s="52">
        <f t="shared" si="53"/>
        <v>1.071050266240456</v>
      </c>
      <c r="W40" s="52">
        <f t="shared" si="53"/>
        <v>1.0846672050922981</v>
      </c>
      <c r="X40" s="52">
        <f t="shared" si="53"/>
        <v>1.0979484994556357</v>
      </c>
      <c r="Y40" s="52">
        <f t="shared" si="53"/>
        <v>1.1108942216074706</v>
      </c>
      <c r="Z40" s="52">
        <f t="shared" si="53"/>
        <v>1.1238453673607769</v>
      </c>
      <c r="AA40" s="52">
        <f t="shared" si="53"/>
        <v>1.1367259510579641</v>
      </c>
      <c r="AB40" s="52">
        <f t="shared" si="53"/>
        <v>1.1491571061753405</v>
      </c>
      <c r="AC40" s="52">
        <f t="shared" si="53"/>
        <v>1.1611006817607983</v>
      </c>
      <c r="AD40" s="52">
        <f t="shared" si="53"/>
        <v>1.1643247424133938</v>
      </c>
      <c r="AE40" s="52">
        <f t="shared" si="53"/>
        <v>1.1746868054688044</v>
      </c>
      <c r="AF40" s="52">
        <f t="shared" si="53"/>
        <v>1.1862064205252172</v>
      </c>
      <c r="AG40" s="52">
        <f t="shared" si="53"/>
        <v>1.197503777291856</v>
      </c>
      <c r="AH40" s="52">
        <f t="shared" si="53"/>
        <v>1.208561652743565</v>
      </c>
      <c r="AI40" s="52">
        <f t="shared" si="53"/>
        <v>1.2193714254200851</v>
      </c>
      <c r="AJ40" s="52">
        <f t="shared" si="53"/>
        <v>1.2299058321902663</v>
      </c>
      <c r="AK40" s="52">
        <f t="shared" si="53"/>
        <v>1.2401470712920941</v>
      </c>
      <c r="AL40" s="52">
        <f t="shared" si="53"/>
        <v>1.2500483728015257</v>
      </c>
      <c r="AM40" s="52">
        <f t="shared" si="53"/>
        <v>1.2596068431158438</v>
      </c>
      <c r="AN40" s="52">
        <f t="shared" si="53"/>
        <v>1.2688244641519939</v>
      </c>
      <c r="AO40" s="52">
        <f t="shared" si="53"/>
        <v>1.2779936259569924</v>
      </c>
      <c r="AP40" s="52">
        <f t="shared" si="53"/>
        <v>1.286897260333794</v>
      </c>
      <c r="AQ40" s="52">
        <f t="shared" si="53"/>
        <v>1.2955608090693673</v>
      </c>
      <c r="AR40" s="52">
        <f t="shared" si="53"/>
        <v>1.3040192131348334</v>
      </c>
      <c r="AS40" s="52">
        <f t="shared" si="53"/>
        <v>1.3122904993700293</v>
      </c>
      <c r="AT40" s="52">
        <f t="shared" si="53"/>
        <v>1.3203863890850462</v>
      </c>
      <c r="AU40" s="52">
        <f t="shared" si="53"/>
        <v>1.3283444706279219</v>
      </c>
      <c r="AV40" s="52">
        <f t="shared" si="53"/>
        <v>1.3361989068484683</v>
      </c>
      <c r="AW40" s="52">
        <f t="shared" si="53"/>
        <v>1.3439870385119268</v>
      </c>
      <c r="AX40" s="52">
        <f t="shared" si="53"/>
        <v>0</v>
      </c>
      <c r="AY40" s="52">
        <f t="shared" si="53"/>
        <v>0</v>
      </c>
      <c r="AZ40" s="52">
        <f t="shared" si="53"/>
        <v>0</v>
      </c>
      <c r="BA40" s="52">
        <f t="shared" si="53"/>
        <v>0</v>
      </c>
      <c r="BB40" s="52">
        <f t="shared" si="53"/>
        <v>0</v>
      </c>
      <c r="BC40" s="52">
        <f t="shared" si="53"/>
        <v>0</v>
      </c>
      <c r="BD40" s="52">
        <f t="shared" si="53"/>
        <v>0</v>
      </c>
      <c r="BE40" s="52">
        <f t="shared" si="53"/>
        <v>0</v>
      </c>
      <c r="BF40" s="52">
        <f t="shared" si="53"/>
        <v>0</v>
      </c>
      <c r="BG40" s="52">
        <f t="shared" si="53"/>
        <v>0</v>
      </c>
      <c r="BH40" s="52">
        <f t="shared" si="53"/>
        <v>0</v>
      </c>
      <c r="BI40" s="52">
        <f t="shared" si="53"/>
        <v>0</v>
      </c>
      <c r="BJ40" s="52">
        <f t="shared" si="53"/>
        <v>0</v>
      </c>
      <c r="BK40" s="52">
        <f t="shared" si="53"/>
        <v>0</v>
      </c>
      <c r="BL40" s="52">
        <f t="shared" si="53"/>
        <v>0</v>
      </c>
      <c r="BM40" s="52">
        <f t="shared" si="53"/>
        <v>0</v>
      </c>
      <c r="BN40" s="52">
        <f t="shared" si="53"/>
        <v>0</v>
      </c>
      <c r="BO40" s="52">
        <f t="shared" si="53"/>
        <v>0</v>
      </c>
      <c r="BP40" s="52">
        <f t="shared" si="53"/>
        <v>0</v>
      </c>
      <c r="BQ40" s="52">
        <f t="shared" si="53"/>
        <v>0</v>
      </c>
      <c r="BR40" s="52">
        <f t="shared" si="53"/>
        <v>0</v>
      </c>
      <c r="BS40" s="52">
        <f t="shared" si="53"/>
        <v>0</v>
      </c>
      <c r="BT40" s="52">
        <f t="shared" si="53"/>
        <v>0</v>
      </c>
      <c r="BU40" s="52">
        <f t="shared" si="51"/>
        <v>0</v>
      </c>
      <c r="BV40" s="52">
        <f t="shared" si="51"/>
        <v>0</v>
      </c>
      <c r="BW40" s="52">
        <f t="shared" si="51"/>
        <v>0</v>
      </c>
      <c r="BX40" s="52">
        <f t="shared" si="51"/>
        <v>0</v>
      </c>
      <c r="BY40" s="52">
        <f t="shared" si="51"/>
        <v>0</v>
      </c>
      <c r="BZ40" s="52">
        <f t="shared" si="51"/>
        <v>0</v>
      </c>
      <c r="CA40" s="52">
        <f t="shared" si="51"/>
        <v>0</v>
      </c>
      <c r="CB40" s="52">
        <f t="shared" si="51"/>
        <v>0</v>
      </c>
      <c r="CC40" s="52">
        <f t="shared" si="51"/>
        <v>0</v>
      </c>
      <c r="CD40" s="52">
        <f t="shared" si="51"/>
        <v>0</v>
      </c>
      <c r="CE40" s="52">
        <f t="shared" si="51"/>
        <v>0</v>
      </c>
      <c r="CF40" s="52">
        <f t="shared" si="51"/>
        <v>0</v>
      </c>
      <c r="CG40" s="52">
        <f t="shared" si="51"/>
        <v>0</v>
      </c>
      <c r="CH40" s="52">
        <f t="shared" si="51"/>
        <v>0</v>
      </c>
      <c r="CI40" s="52">
        <f t="shared" si="51"/>
        <v>0</v>
      </c>
      <c r="CJ40" s="52">
        <f t="shared" si="51"/>
        <v>0</v>
      </c>
      <c r="CK40" s="52">
        <f t="shared" si="51"/>
        <v>0</v>
      </c>
    </row>
    <row r="41" spans="3:89" ht="14.4">
      <c r="C41" t="s">
        <v>6</v>
      </c>
      <c r="D41" t="s">
        <v>161</v>
      </c>
      <c r="E41" t="s">
        <v>133</v>
      </c>
      <c r="F41" t="s">
        <v>167</v>
      </c>
      <c r="G41" s="51">
        <f>VLOOKUP(E41,'BY-Demands'!$I$6:$J$42,2,FALSE)</f>
        <v>9.2169270601308995</v>
      </c>
      <c r="H41" s="52">
        <f t="shared" si="49"/>
        <v>9.5073797063138894</v>
      </c>
      <c r="I41" s="52">
        <f t="shared" si="53"/>
        <v>9.6727041483181129</v>
      </c>
      <c r="J41" s="52">
        <f t="shared" si="53"/>
        <v>9.8347912566655307</v>
      </c>
      <c r="K41" s="52">
        <f t="shared" si="53"/>
        <v>9.9915791233568569</v>
      </c>
      <c r="L41" s="52">
        <f t="shared" si="53"/>
        <v>10.146770896916316</v>
      </c>
      <c r="M41" s="52">
        <f t="shared" si="53"/>
        <v>10.298723222534509</v>
      </c>
      <c r="N41" s="52">
        <f t="shared" si="53"/>
        <v>10.443728671624598</v>
      </c>
      <c r="O41" s="52">
        <f t="shared" si="53"/>
        <v>10.589611052730783</v>
      </c>
      <c r="P41" s="52">
        <f t="shared" si="53"/>
        <v>10.734310040992449</v>
      </c>
      <c r="Q41" s="52">
        <f t="shared" si="53"/>
        <v>10.884830387232544</v>
      </c>
      <c r="R41" s="52">
        <f t="shared" si="53"/>
        <v>11.03540492137974</v>
      </c>
      <c r="S41" s="52">
        <f t="shared" si="53"/>
        <v>11.18438599605328</v>
      </c>
      <c r="T41" s="52">
        <f t="shared" si="53"/>
        <v>11.334104537129614</v>
      </c>
      <c r="U41" s="52">
        <f t="shared" si="53"/>
        <v>11.481848398758745</v>
      </c>
      <c r="V41" s="52">
        <f t="shared" si="53"/>
        <v>11.630477080252367</v>
      </c>
      <c r="W41" s="52">
        <f t="shared" si="53"/>
        <v>11.7783426848943</v>
      </c>
      <c r="X41" s="52">
        <f t="shared" si="53"/>
        <v>11.922563544136592</v>
      </c>
      <c r="Y41" s="52">
        <f t="shared" si="53"/>
        <v>12.063140442831305</v>
      </c>
      <c r="Z41" s="52">
        <f t="shared" si="53"/>
        <v>12.203776236121907</v>
      </c>
      <c r="AA41" s="52">
        <f t="shared" si="53"/>
        <v>12.343645799850465</v>
      </c>
      <c r="AB41" s="52">
        <f t="shared" si="53"/>
        <v>12.478635042868166</v>
      </c>
      <c r="AC41" s="52">
        <f t="shared" si="53"/>
        <v>12.608329686043525</v>
      </c>
      <c r="AD41" s="52">
        <f t="shared" si="53"/>
        <v>12.643339586799144</v>
      </c>
      <c r="AE41" s="52">
        <f t="shared" si="53"/>
        <v>12.755860670700379</v>
      </c>
      <c r="AF41" s="52">
        <f t="shared" si="53"/>
        <v>12.880951549354677</v>
      </c>
      <c r="AG41" s="52">
        <f t="shared" si="53"/>
        <v>13.003628937226525</v>
      </c>
      <c r="AH41" s="52">
        <f t="shared" si="53"/>
        <v>13.123705810414579</v>
      </c>
      <c r="AI41" s="52">
        <f t="shared" si="53"/>
        <v>13.241088548946834</v>
      </c>
      <c r="AJ41" s="52">
        <f t="shared" si="53"/>
        <v>13.35548110395241</v>
      </c>
      <c r="AK41" s="52">
        <f t="shared" si="53"/>
        <v>13.466690167057626</v>
      </c>
      <c r="AL41" s="52">
        <f t="shared" si="53"/>
        <v>13.574207866179563</v>
      </c>
      <c r="AM41" s="52">
        <f t="shared" si="53"/>
        <v>13.678002779842364</v>
      </c>
      <c r="AN41" s="52">
        <f t="shared" si="53"/>
        <v>13.778096429575259</v>
      </c>
      <c r="AO41" s="52">
        <f t="shared" si="53"/>
        <v>13.877663863130445</v>
      </c>
      <c r="AP41" s="52">
        <f t="shared" si="53"/>
        <v>13.974347948662516</v>
      </c>
      <c r="AQ41" s="52">
        <f t="shared" si="53"/>
        <v>14.068424957164106</v>
      </c>
      <c r="AR41" s="52">
        <f t="shared" si="53"/>
        <v>14.160274310756282</v>
      </c>
      <c r="AS41" s="52">
        <f t="shared" si="53"/>
        <v>14.250091761920668</v>
      </c>
      <c r="AT41" s="52">
        <f t="shared" si="53"/>
        <v>14.338004591731417</v>
      </c>
      <c r="AU41" s="52">
        <f t="shared" si="53"/>
        <v>14.424420970032767</v>
      </c>
      <c r="AV41" s="52">
        <f t="shared" si="53"/>
        <v>14.509711869368445</v>
      </c>
      <c r="AW41" s="52">
        <f t="shared" si="53"/>
        <v>14.594282771094459</v>
      </c>
      <c r="AX41" s="52">
        <f t="shared" si="53"/>
        <v>0</v>
      </c>
      <c r="AY41" s="52">
        <f t="shared" si="53"/>
        <v>0</v>
      </c>
      <c r="AZ41" s="52">
        <f t="shared" si="53"/>
        <v>0</v>
      </c>
      <c r="BA41" s="52">
        <f t="shared" si="53"/>
        <v>0</v>
      </c>
      <c r="BB41" s="52">
        <f t="shared" si="53"/>
        <v>0</v>
      </c>
      <c r="BC41" s="52">
        <f t="shared" si="53"/>
        <v>0</v>
      </c>
      <c r="BD41" s="52">
        <f t="shared" si="53"/>
        <v>0</v>
      </c>
      <c r="BE41" s="52">
        <f t="shared" si="53"/>
        <v>0</v>
      </c>
      <c r="BF41" s="52">
        <f t="shared" si="53"/>
        <v>0</v>
      </c>
      <c r="BG41" s="52">
        <f t="shared" si="53"/>
        <v>0</v>
      </c>
      <c r="BH41" s="52">
        <f t="shared" si="53"/>
        <v>0</v>
      </c>
      <c r="BI41" s="52">
        <f t="shared" si="53"/>
        <v>0</v>
      </c>
      <c r="BJ41" s="52">
        <f t="shared" si="53"/>
        <v>0</v>
      </c>
      <c r="BK41" s="52">
        <f t="shared" si="53"/>
        <v>0</v>
      </c>
      <c r="BL41" s="52">
        <f t="shared" si="53"/>
        <v>0</v>
      </c>
      <c r="BM41" s="52">
        <f t="shared" si="53"/>
        <v>0</v>
      </c>
      <c r="BN41" s="52">
        <f t="shared" si="53"/>
        <v>0</v>
      </c>
      <c r="BO41" s="52">
        <f t="shared" si="53"/>
        <v>0</v>
      </c>
      <c r="BP41" s="52">
        <f t="shared" si="53"/>
        <v>0</v>
      </c>
      <c r="BQ41" s="52">
        <f t="shared" si="53"/>
        <v>0</v>
      </c>
      <c r="BR41" s="52">
        <f t="shared" si="53"/>
        <v>0</v>
      </c>
      <c r="BS41" s="52">
        <f t="shared" si="53"/>
        <v>0</v>
      </c>
      <c r="BT41" s="52">
        <f t="shared" si="54" ref="BT41:CK42">$G41*SUM(BT$29:BT$31)/SUM($G$29:$G$31)</f>
        <v>0</v>
      </c>
      <c r="BU41" s="52">
        <f t="shared" si="54"/>
        <v>0</v>
      </c>
      <c r="BV41" s="52">
        <f t="shared" si="54"/>
        <v>0</v>
      </c>
      <c r="BW41" s="52">
        <f t="shared" si="54"/>
        <v>0</v>
      </c>
      <c r="BX41" s="52">
        <f t="shared" si="54"/>
        <v>0</v>
      </c>
      <c r="BY41" s="52">
        <f t="shared" si="54"/>
        <v>0</v>
      </c>
      <c r="BZ41" s="52">
        <f t="shared" si="54"/>
        <v>0</v>
      </c>
      <c r="CA41" s="52">
        <f t="shared" si="54"/>
        <v>0</v>
      </c>
      <c r="CB41" s="52">
        <f t="shared" si="54"/>
        <v>0</v>
      </c>
      <c r="CC41" s="52">
        <f t="shared" si="54"/>
        <v>0</v>
      </c>
      <c r="CD41" s="52">
        <f t="shared" si="54"/>
        <v>0</v>
      </c>
      <c r="CE41" s="52">
        <f t="shared" si="54"/>
        <v>0</v>
      </c>
      <c r="CF41" s="52">
        <f t="shared" si="54"/>
        <v>0</v>
      </c>
      <c r="CG41" s="52">
        <f t="shared" si="54"/>
        <v>0</v>
      </c>
      <c r="CH41" s="52">
        <f t="shared" si="54"/>
        <v>0</v>
      </c>
      <c r="CI41" s="52">
        <f t="shared" si="54"/>
        <v>0</v>
      </c>
      <c r="CJ41" s="52">
        <f t="shared" si="54"/>
        <v>0</v>
      </c>
      <c r="CK41" s="52">
        <f t="shared" si="54"/>
        <v>0</v>
      </c>
    </row>
    <row r="42" spans="3:89" ht="14.4">
      <c r="C42" t="s">
        <v>6</v>
      </c>
      <c r="D42" t="s">
        <v>161</v>
      </c>
      <c r="E42" t="s">
        <v>134</v>
      </c>
      <c r="F42" t="s">
        <v>168</v>
      </c>
      <c r="G42" s="32">
        <f>VLOOKUP(E42,'BY-Demands'!$I$6:$J$42,2,FALSE)</f>
        <v>0</v>
      </c>
      <c r="H42">
        <f t="shared" si="49"/>
        <v>0</v>
      </c>
      <c r="I42">
        <f t="shared" si="55" ref="I42:BT42">$G42*SUM(I$29:I$31)/SUM($G$29:$G$31)</f>
        <v>0</v>
      </c>
      <c r="J42">
        <f t="shared" si="55"/>
        <v>0</v>
      </c>
      <c r="K42">
        <f t="shared" si="55"/>
        <v>0</v>
      </c>
      <c r="L42">
        <f t="shared" si="55"/>
        <v>0</v>
      </c>
      <c r="M42">
        <f t="shared" si="55"/>
        <v>0</v>
      </c>
      <c r="N42">
        <f t="shared" si="55"/>
        <v>0</v>
      </c>
      <c r="O42">
        <f t="shared" si="55"/>
        <v>0</v>
      </c>
      <c r="P42">
        <f t="shared" si="55"/>
        <v>0</v>
      </c>
      <c r="Q42">
        <f t="shared" si="55"/>
        <v>0</v>
      </c>
      <c r="R42">
        <f t="shared" si="55"/>
        <v>0</v>
      </c>
      <c r="S42">
        <f t="shared" si="55"/>
        <v>0</v>
      </c>
      <c r="T42">
        <f t="shared" si="55"/>
        <v>0</v>
      </c>
      <c r="U42">
        <f t="shared" si="55"/>
        <v>0</v>
      </c>
      <c r="V42">
        <f t="shared" si="55"/>
        <v>0</v>
      </c>
      <c r="W42">
        <f t="shared" si="55"/>
        <v>0</v>
      </c>
      <c r="X42">
        <f t="shared" si="55"/>
        <v>0</v>
      </c>
      <c r="Y42">
        <f t="shared" si="55"/>
        <v>0</v>
      </c>
      <c r="Z42">
        <f t="shared" si="55"/>
        <v>0</v>
      </c>
      <c r="AA42">
        <f t="shared" si="55"/>
        <v>0</v>
      </c>
      <c r="AB42">
        <f t="shared" si="55"/>
        <v>0</v>
      </c>
      <c r="AC42">
        <f t="shared" si="55"/>
        <v>0</v>
      </c>
      <c r="AD42">
        <f t="shared" si="55"/>
        <v>0</v>
      </c>
      <c r="AE42">
        <f t="shared" si="55"/>
        <v>0</v>
      </c>
      <c r="AF42">
        <f t="shared" si="55"/>
        <v>0</v>
      </c>
      <c r="AG42">
        <f t="shared" si="55"/>
        <v>0</v>
      </c>
      <c r="AH42">
        <f t="shared" si="55"/>
        <v>0</v>
      </c>
      <c r="AI42">
        <f t="shared" si="55"/>
        <v>0</v>
      </c>
      <c r="AJ42">
        <f t="shared" si="55"/>
        <v>0</v>
      </c>
      <c r="AK42">
        <f t="shared" si="55"/>
        <v>0</v>
      </c>
      <c r="AL42">
        <f t="shared" si="55"/>
        <v>0</v>
      </c>
      <c r="AM42">
        <f t="shared" si="55"/>
        <v>0</v>
      </c>
      <c r="AN42">
        <f t="shared" si="55"/>
        <v>0</v>
      </c>
      <c r="AO42">
        <f t="shared" si="55"/>
        <v>0</v>
      </c>
      <c r="AP42">
        <f t="shared" si="55"/>
        <v>0</v>
      </c>
      <c r="AQ42">
        <f t="shared" si="55"/>
        <v>0</v>
      </c>
      <c r="AR42">
        <f t="shared" si="55"/>
        <v>0</v>
      </c>
      <c r="AS42">
        <f t="shared" si="55"/>
        <v>0</v>
      </c>
      <c r="AT42">
        <f t="shared" si="55"/>
        <v>0</v>
      </c>
      <c r="AU42">
        <f t="shared" si="55"/>
        <v>0</v>
      </c>
      <c r="AV42">
        <f t="shared" si="55"/>
        <v>0</v>
      </c>
      <c r="AW42">
        <f t="shared" si="55"/>
        <v>0</v>
      </c>
      <c r="AX42">
        <f t="shared" si="55"/>
        <v>0</v>
      </c>
      <c r="AY42">
        <f t="shared" si="55"/>
        <v>0</v>
      </c>
      <c r="AZ42">
        <f t="shared" si="55"/>
        <v>0</v>
      </c>
      <c r="BA42">
        <f t="shared" si="55"/>
        <v>0</v>
      </c>
      <c r="BB42">
        <f t="shared" si="55"/>
        <v>0</v>
      </c>
      <c r="BC42">
        <f t="shared" si="55"/>
        <v>0</v>
      </c>
      <c r="BD42">
        <f t="shared" si="55"/>
        <v>0</v>
      </c>
      <c r="BE42">
        <f t="shared" si="55"/>
        <v>0</v>
      </c>
      <c r="BF42">
        <f t="shared" si="55"/>
        <v>0</v>
      </c>
      <c r="BG42">
        <f t="shared" si="55"/>
        <v>0</v>
      </c>
      <c r="BH42">
        <f t="shared" si="55"/>
        <v>0</v>
      </c>
      <c r="BI42">
        <f t="shared" si="55"/>
        <v>0</v>
      </c>
      <c r="BJ42">
        <f t="shared" si="55"/>
        <v>0</v>
      </c>
      <c r="BK42">
        <f t="shared" si="55"/>
        <v>0</v>
      </c>
      <c r="BL42">
        <f t="shared" si="55"/>
        <v>0</v>
      </c>
      <c r="BM42">
        <f t="shared" si="55"/>
        <v>0</v>
      </c>
      <c r="BN42">
        <f t="shared" si="55"/>
        <v>0</v>
      </c>
      <c r="BO42">
        <f t="shared" si="55"/>
        <v>0</v>
      </c>
      <c r="BP42">
        <f t="shared" si="55"/>
        <v>0</v>
      </c>
      <c r="BQ42">
        <f t="shared" si="55"/>
        <v>0</v>
      </c>
      <c r="BR42">
        <f t="shared" si="55"/>
        <v>0</v>
      </c>
      <c r="BS42">
        <f t="shared" si="55"/>
        <v>0</v>
      </c>
      <c r="BT42">
        <f t="shared" si="55"/>
        <v>0</v>
      </c>
      <c r="BU42">
        <f t="shared" si="54"/>
        <v>0</v>
      </c>
      <c r="BV42">
        <f t="shared" si="54"/>
        <v>0</v>
      </c>
      <c r="BW42">
        <f t="shared" si="54"/>
        <v>0</v>
      </c>
      <c r="BX42">
        <f t="shared" si="54"/>
        <v>0</v>
      </c>
      <c r="BY42">
        <f t="shared" si="54"/>
        <v>0</v>
      </c>
      <c r="BZ42">
        <f t="shared" si="54"/>
        <v>0</v>
      </c>
      <c r="CA42">
        <f t="shared" si="54"/>
        <v>0</v>
      </c>
      <c r="CB42">
        <f t="shared" si="54"/>
        <v>0</v>
      </c>
      <c r="CC42">
        <f t="shared" si="54"/>
        <v>0</v>
      </c>
      <c r="CD42">
        <f t="shared" si="54"/>
        <v>0</v>
      </c>
      <c r="CE42">
        <f t="shared" si="54"/>
        <v>0</v>
      </c>
      <c r="CF42">
        <f t="shared" si="54"/>
        <v>0</v>
      </c>
      <c r="CG42">
        <f t="shared" si="54"/>
        <v>0</v>
      </c>
      <c r="CH42">
        <f t="shared" si="54"/>
        <v>0</v>
      </c>
      <c r="CI42">
        <f t="shared" si="54"/>
        <v>0</v>
      </c>
      <c r="CJ42">
        <f t="shared" si="54"/>
        <v>0</v>
      </c>
      <c r="CK42">
        <f t="shared" si="54"/>
        <v>0</v>
      </c>
    </row>
    <row r="46" spans="6:20" ht="14.4">
      <c r="F46" t="s">
        <v>201</v>
      </c>
      <c r="G46" s="60">
        <v>44562</v>
      </c>
      <c r="H46" s="60">
        <v>44593</v>
      </c>
      <c r="I46" s="60">
        <v>44621</v>
      </c>
      <c r="J46" s="60">
        <v>44652</v>
      </c>
      <c r="K46" s="60">
        <v>44682</v>
      </c>
      <c r="L46" s="60">
        <v>44713</v>
      </c>
      <c r="M46" s="60">
        <v>44743</v>
      </c>
      <c r="N46" s="60">
        <v>44774</v>
      </c>
      <c r="O46" s="60">
        <v>44805</v>
      </c>
      <c r="P46" s="60">
        <v>44835</v>
      </c>
      <c r="Q46" s="60">
        <v>44866</v>
      </c>
      <c r="R46" s="60">
        <v>44896</v>
      </c>
      <c r="S46" t="s">
        <v>202</v>
      </c>
      <c r="T46" s="72" t="s">
        <v>198</v>
      </c>
    </row>
    <row r="47" spans="6:20" ht="14.4">
      <c r="F47" t="s">
        <v>199</v>
      </c>
      <c r="G47" s="73">
        <v>2980</v>
      </c>
      <c r="H47" s="73">
        <v>2761</v>
      </c>
      <c r="I47" s="73">
        <v>2739</v>
      </c>
      <c r="J47" s="73">
        <v>2493</v>
      </c>
      <c r="K47" s="73">
        <v>2501</v>
      </c>
      <c r="L47" s="73">
        <v>2404</v>
      </c>
      <c r="M47" s="73">
        <v>2484</v>
      </c>
      <c r="N47" s="73">
        <v>2556</v>
      </c>
      <c r="O47" s="73">
        <v>2472</v>
      </c>
      <c r="P47" s="73">
        <v>2676</v>
      </c>
      <c r="Q47" s="73">
        <v>2847</v>
      </c>
      <c r="R47" s="73">
        <v>2964</v>
      </c>
      <c r="S47">
        <f>SUM(G47:R47)</f>
        <v>31877</v>
      </c>
      <c r="T47" s="59">
        <f>S47*3.6/1000</f>
        <v>114.7572</v>
      </c>
    </row>
    <row r="48" spans="6:20" ht="14.4">
      <c r="F48" t="s">
        <v>200</v>
      </c>
      <c r="G48">
        <v>-42</v>
      </c>
      <c r="H48">
        <v>-59</v>
      </c>
      <c r="I48">
        <v>112</v>
      </c>
      <c r="J48">
        <v>120</v>
      </c>
      <c r="K48">
        <v>65</v>
      </c>
      <c r="L48">
        <v>47</v>
      </c>
      <c r="M48">
        <v>34</v>
      </c>
      <c r="N48">
        <v>-19</v>
      </c>
      <c r="O48">
        <v>13</v>
      </c>
      <c r="P48">
        <v>-2</v>
      </c>
      <c r="Q48">
        <v>-58</v>
      </c>
      <c r="R48">
        <v>41</v>
      </c>
      <c r="S48">
        <f>SUM(G48:R48)</f>
        <v>252</v>
      </c>
      <c r="T48" s="59">
        <f>S48*3.6/1000</f>
        <v>0.90720000000000001</v>
      </c>
    </row>
    <row r="49" spans="6:6" ht="14.4">
      <c r="F49" t="s">
        <v>205</v>
      </c>
    </row>
    <row r="50" spans="6:7" ht="14.4">
      <c r="F50" t="s">
        <v>203</v>
      </c>
      <c r="G50">
        <v>129.69999999999999</v>
      </c>
    </row>
    <row r="51" spans="6:7" ht="14.4">
      <c r="F51" t="s">
        <v>204</v>
      </c>
      <c r="G51" s="82">
        <f>1-(G50/T47)</f>
        <v>-0.13021230911873061</v>
      </c>
    </row>
    <row r="53" spans="7:13" ht="14.4">
      <c r="G53" s="51"/>
      <c r="H53" s="52"/>
      <c r="I53" s="52"/>
      <c r="J53" s="52"/>
      <c r="K53" s="52"/>
      <c r="L53" s="52"/>
      <c r="M53" s="52"/>
    </row>
    <row r="56" spans="7:7" ht="14.4">
      <c r="G56" t="s">
        <v>206</v>
      </c>
    </row>
    <row r="57" spans="6:11" ht="15" thickBot="1">
      <c r="F57" s="53" t="s">
        <v>59</v>
      </c>
      <c r="G57" s="53">
        <v>2022</v>
      </c>
      <c r="J57" s="88" t="s">
        <v>208</v>
      </c>
      <c r="K57" s="88" t="s">
        <v>61</v>
      </c>
    </row>
    <row r="58" spans="6:12" ht="14.4">
      <c r="F58" s="34" t="s">
        <v>8</v>
      </c>
      <c r="G58" s="52">
        <v>1.7028384806625201</v>
      </c>
      <c r="J58" t="s">
        <v>211</v>
      </c>
      <c r="K58" s="52">
        <v>10.40</v>
      </c>
      <c r="L58" s="82">
        <f t="shared" si="56" ref="L58:L66">+(AM3/G3-1)/(2050-2018)</f>
        <v>0.0085659047320773354</v>
      </c>
    </row>
    <row r="59" spans="6:12" ht="14.4">
      <c r="F59" s="34" t="s">
        <v>10</v>
      </c>
      <c r="G59" s="52">
        <v>23.738094411807602</v>
      </c>
      <c r="J59" t="s">
        <v>17</v>
      </c>
      <c r="K59" s="52">
        <v>5.70</v>
      </c>
      <c r="L59" s="82">
        <f t="shared" si="56"/>
        <v>0.011819618814857262</v>
      </c>
    </row>
    <row r="60" spans="6:12" ht="14.4">
      <c r="F60" s="34" t="s">
        <v>12</v>
      </c>
      <c r="G60" s="52">
        <v>1.5478463345837199</v>
      </c>
      <c r="J60" t="s">
        <v>212</v>
      </c>
      <c r="K60" s="52">
        <v>13.40</v>
      </c>
      <c r="L60" s="82">
        <f t="shared" si="56"/>
        <v>0.021569444251972422</v>
      </c>
    </row>
    <row r="61" spans="6:12" ht="14.4">
      <c r="F61" s="34" t="s">
        <v>14</v>
      </c>
      <c r="G61" s="52">
        <v>5.8166390635502099</v>
      </c>
      <c r="J61" t="s">
        <v>213</v>
      </c>
      <c r="K61" s="52">
        <v>1.30</v>
      </c>
      <c r="L61" s="82">
        <f t="shared" si="56"/>
        <v>0.0085659047320773354</v>
      </c>
    </row>
    <row r="62" spans="6:12" ht="14.4">
      <c r="F62" s="34" t="s">
        <v>16</v>
      </c>
      <c r="G62" s="52">
        <v>1.19927927754182</v>
      </c>
      <c r="J62" t="s">
        <v>23</v>
      </c>
      <c r="K62" s="52">
        <v>16.50</v>
      </c>
      <c r="L62" s="82">
        <f t="shared" si="56"/>
        <v>0.0021825068044228901</v>
      </c>
    </row>
    <row r="63" spans="6:12" ht="14.4">
      <c r="F63" s="34" t="s">
        <v>18</v>
      </c>
      <c r="G63" s="52">
        <v>10.6043548094603</v>
      </c>
      <c r="J63" t="s">
        <v>31</v>
      </c>
      <c r="K63" s="52">
        <v>3.80</v>
      </c>
      <c r="L63" s="82">
        <f t="shared" si="56"/>
        <v>0.0094246098702908884</v>
      </c>
    </row>
    <row r="64" spans="6:12" ht="14.4">
      <c r="F64" s="34" t="s">
        <v>20</v>
      </c>
      <c r="G64" s="52">
        <v>1.0410295169864401</v>
      </c>
      <c r="J64" t="s">
        <v>21</v>
      </c>
      <c r="K64" s="52">
        <v>2.40</v>
      </c>
      <c r="L64" s="82">
        <f t="shared" si="56"/>
        <v>0.0085659047320773354</v>
      </c>
    </row>
    <row r="65" spans="6:12" ht="14.4">
      <c r="F65" s="34" t="s">
        <v>22</v>
      </c>
      <c r="G65" s="52">
        <v>18.752348682008719</v>
      </c>
      <c r="J65" t="s">
        <v>13</v>
      </c>
      <c r="K65" s="52">
        <v>5</v>
      </c>
      <c r="L65" s="82">
        <f t="shared" si="56"/>
        <v>0.0032613225735525914</v>
      </c>
    </row>
    <row r="66" spans="6:12" ht="14.4">
      <c r="F66" s="34" t="s">
        <v>24</v>
      </c>
      <c r="G66" s="52">
        <v>18.095637208589601</v>
      </c>
      <c r="J66" s="89" t="s">
        <v>209</v>
      </c>
      <c r="K66" s="52">
        <v>23.439361110035826</v>
      </c>
      <c r="L66" s="82">
        <f t="shared" si="56"/>
        <v>0.0094246098702908954</v>
      </c>
    </row>
    <row r="67" spans="6:12" ht="14.4">
      <c r="F67" s="34" t="s">
        <v>26</v>
      </c>
      <c r="G67" s="52">
        <v>2.2584342466232901</v>
      </c>
      <c r="J67" s="89" t="s">
        <v>210</v>
      </c>
      <c r="K67" s="52">
        <v>0</v>
      </c>
      <c r="L67" s="82"/>
    </row>
    <row r="68" spans="6:7" ht="14.4">
      <c r="F68" s="34" t="s">
        <v>28</v>
      </c>
      <c r="G68" s="52">
        <v>6.2862087424890802</v>
      </c>
    </row>
    <row r="69" spans="6:7" ht="14.4">
      <c r="F69" s="34" t="s">
        <v>30</v>
      </c>
      <c r="G69" s="52">
        <v>0.187409320968947</v>
      </c>
    </row>
    <row r="70" spans="6:46" ht="15" thickBot="1">
      <c r="F70" s="34" t="s">
        <v>32</v>
      </c>
      <c r="G70" s="52">
        <v>4.6924479738735299</v>
      </c>
      <c r="J70" s="53" t="s">
        <v>3</v>
      </c>
      <c r="K70" s="53" t="s">
        <v>4</v>
      </c>
      <c r="L70" s="53" t="s">
        <v>5</v>
      </c>
      <c r="M70" s="53" t="s">
        <v>59</v>
      </c>
      <c r="N70" s="53">
        <v>2018</v>
      </c>
      <c r="O70" s="53">
        <v>2019</v>
      </c>
      <c r="P70" s="53">
        <v>2020</v>
      </c>
      <c r="Q70" s="53">
        <v>2021</v>
      </c>
      <c r="R70" s="53">
        <v>2022</v>
      </c>
      <c r="S70" s="53">
        <v>2023</v>
      </c>
      <c r="T70" s="53">
        <v>2024</v>
      </c>
      <c r="U70" s="53">
        <v>2025</v>
      </c>
      <c r="V70" s="53">
        <v>2026</v>
      </c>
      <c r="W70" s="53">
        <v>2027</v>
      </c>
      <c r="X70" s="53">
        <v>2028</v>
      </c>
      <c r="Y70" s="53">
        <v>2029</v>
      </c>
      <c r="Z70" s="53">
        <v>2030</v>
      </c>
      <c r="AA70" s="53">
        <v>2031</v>
      </c>
      <c r="AB70" s="53">
        <v>2032</v>
      </c>
      <c r="AC70" s="53">
        <v>2033</v>
      </c>
      <c r="AD70" s="53">
        <v>2034</v>
      </c>
      <c r="AE70" s="53">
        <v>2035</v>
      </c>
      <c r="AF70" s="53">
        <v>2036</v>
      </c>
      <c r="AG70" s="53">
        <v>2037</v>
      </c>
      <c r="AH70" s="53">
        <v>2038</v>
      </c>
      <c r="AI70" s="53">
        <v>2039</v>
      </c>
      <c r="AJ70" s="53">
        <v>2040</v>
      </c>
      <c r="AK70" s="53">
        <v>2041</v>
      </c>
      <c r="AL70" s="53">
        <v>2042</v>
      </c>
      <c r="AM70" s="53">
        <v>2043</v>
      </c>
      <c r="AN70" s="53">
        <v>2044</v>
      </c>
      <c r="AO70" s="53">
        <v>2045</v>
      </c>
      <c r="AP70" s="53">
        <v>2046</v>
      </c>
      <c r="AQ70" s="53">
        <v>2047</v>
      </c>
      <c r="AR70" s="53">
        <v>2048</v>
      </c>
      <c r="AS70" s="53">
        <v>2049</v>
      </c>
      <c r="AT70" s="53">
        <v>2050</v>
      </c>
    </row>
    <row r="71" spans="6:46" ht="14.4">
      <c r="F71" s="34" t="s">
        <v>34</v>
      </c>
      <c r="G71" s="52">
        <v>3.6347440465271599</v>
      </c>
      <c r="J71" t="s">
        <v>6</v>
      </c>
      <c r="K71" t="s">
        <v>161</v>
      </c>
      <c r="L71" t="s">
        <v>7</v>
      </c>
      <c r="M71" s="34" t="s">
        <v>8</v>
      </c>
      <c r="N71" s="51">
        <v>1.8983540603270901</v>
      </c>
      <c r="O71" s="52">
        <v>2.9169885814082672</v>
      </c>
      <c r="P71" s="52">
        <v>2.9233084199020065</v>
      </c>
      <c r="Q71" s="52">
        <v>2.9160581250770159</v>
      </c>
      <c r="R71" s="52">
        <v>1.7028384806625201</v>
      </c>
      <c r="S71" s="52">
        <v>1.6135753111997699</v>
      </c>
      <c r="T71" s="52">
        <v>1.5288879865599401</v>
      </c>
      <c r="U71" s="52">
        <v>1.4483402829919301</v>
      </c>
      <c r="V71" s="52">
        <v>1.37144186569114</v>
      </c>
      <c r="W71" s="52">
        <v>1.2980237760162101</v>
      </c>
      <c r="X71" s="52">
        <v>1.2273645374545299</v>
      </c>
      <c r="Y71" s="52">
        <v>1.1587398333279899</v>
      </c>
      <c r="Z71" s="52">
        <v>1.0921851641664599</v>
      </c>
      <c r="AA71" s="52">
        <v>1.0275875212951799</v>
      </c>
      <c r="AB71" s="52">
        <v>0.96469052754222095</v>
      </c>
      <c r="AC71" s="52">
        <v>0.90322534608371097</v>
      </c>
      <c r="AD71" s="52">
        <v>0.843039934608244</v>
      </c>
      <c r="AE71" s="52">
        <v>0.78430044562909396</v>
      </c>
      <c r="AF71" s="52">
        <v>0.72705781851404505</v>
      </c>
      <c r="AG71" s="52">
        <v>0.67137201355071097</v>
      </c>
      <c r="AH71" s="52">
        <v>0.617255006862235</v>
      </c>
      <c r="AI71" s="52">
        <v>0.56487434871240405</v>
      </c>
      <c r="AJ71" s="52">
        <v>0.51429446227126696</v>
      </c>
      <c r="AK71" s="52">
        <v>0.46550862914181301</v>
      </c>
      <c r="AL71" s="52">
        <v>0.41860592138873198</v>
      </c>
      <c r="AM71" s="52">
        <v>0.37371559292088302</v>
      </c>
      <c r="AN71" s="52">
        <v>0.33115411651416998</v>
      </c>
      <c r="AO71" s="52">
        <v>0.29094856023906202</v>
      </c>
      <c r="AP71" s="52">
        <v>0.253074162053473</v>
      </c>
      <c r="AQ71" s="52">
        <v>0.21761723332759</v>
      </c>
      <c r="AR71" s="52">
        <v>0.18460518744999099</v>
      </c>
      <c r="AS71" s="52">
        <v>0.15423321177072899</v>
      </c>
      <c r="AT71" s="52">
        <v>0.126438626203419</v>
      </c>
    </row>
    <row r="72" spans="6:46" ht="14.4">
      <c r="F72" s="34" t="s">
        <v>36</v>
      </c>
      <c r="G72" s="51">
        <v>14.05673907080137</v>
      </c>
      <c r="J72" t="s">
        <v>6</v>
      </c>
      <c r="K72" t="s">
        <v>161</v>
      </c>
      <c r="L72" t="s">
        <v>9</v>
      </c>
      <c r="M72" s="34" t="s">
        <v>10</v>
      </c>
      <c r="N72" s="51">
        <v>20.1128233846323</v>
      </c>
      <c r="O72" s="52">
        <v>20.829707214475608</v>
      </c>
      <c r="P72" s="52">
        <v>21.483394248547164</v>
      </c>
      <c r="Q72" s="52">
        <v>20.570384916097975</v>
      </c>
      <c r="R72" s="51">
        <v>22.551189691217221</v>
      </c>
      <c r="S72" s="52">
        <v>24.2477718451144</v>
      </c>
      <c r="T72" s="52">
        <v>24.737798032768101</v>
      </c>
      <c r="U72" s="52">
        <v>25.2100090945452</v>
      </c>
      <c r="V72" s="52">
        <v>25.666470943862102</v>
      </c>
      <c r="W72" s="52">
        <v>26.1078999635439</v>
      </c>
      <c r="X72" s="52">
        <v>26.537329523433002</v>
      </c>
      <c r="Y72" s="52">
        <v>26.957806654528799</v>
      </c>
      <c r="Z72" s="52">
        <v>27.3691900664729</v>
      </c>
      <c r="AA72" s="52">
        <v>27.7731438249603</v>
      </c>
      <c r="AB72" s="52">
        <v>28.169463481332301</v>
      </c>
      <c r="AC72" s="52">
        <v>28.559286276079199</v>
      </c>
      <c r="AD72" s="52">
        <v>28.943262981163599</v>
      </c>
      <c r="AE72" s="52">
        <v>29.320698163891301</v>
      </c>
      <c r="AF72" s="52">
        <v>29.691391884672999</v>
      </c>
      <c r="AG72" s="52">
        <v>30.0551037457994</v>
      </c>
      <c r="AH72" s="52">
        <v>30.411784324386399</v>
      </c>
      <c r="AI72" s="52">
        <v>30.760741657246101</v>
      </c>
      <c r="AJ72" s="52">
        <v>31.101717485548001</v>
      </c>
      <c r="AK72" s="52">
        <v>31.434745464031</v>
      </c>
      <c r="AL72" s="52">
        <v>31.759461829300999</v>
      </c>
      <c r="AM72" s="52">
        <v>32.075337728167199</v>
      </c>
      <c r="AN72" s="52">
        <v>32.381048517803499</v>
      </c>
      <c r="AO72" s="52">
        <v>32.676490730910302</v>
      </c>
      <c r="AP72" s="52">
        <v>32.96178372955</v>
      </c>
      <c r="AQ72" s="52">
        <v>33.236573405433496</v>
      </c>
      <c r="AR72" s="52">
        <v>33.500754681233502</v>
      </c>
      <c r="AS72" s="52">
        <v>33.753517042278197</v>
      </c>
      <c r="AT72" s="52">
        <v>33.995140912459298</v>
      </c>
    </row>
    <row r="73" spans="6:46" ht="14.4">
      <c r="F73" s="34" t="s">
        <v>38</v>
      </c>
      <c r="G73" s="51">
        <v>30.202204674413409</v>
      </c>
      <c r="J73" t="s">
        <v>6</v>
      </c>
      <c r="K73" t="s">
        <v>161</v>
      </c>
      <c r="L73" t="s">
        <v>11</v>
      </c>
      <c r="M73" s="34" t="s">
        <v>12</v>
      </c>
      <c r="N73" s="51">
        <v>0.42769784899188301</v>
      </c>
      <c r="O73" s="52">
        <v>0.74181807651109255</v>
      </c>
      <c r="P73" s="52">
        <v>0.7440570217426532</v>
      </c>
      <c r="Q73" s="52">
        <v>0.73064036372909791</v>
      </c>
      <c r="R73" s="52">
        <v>1.5478463345837199</v>
      </c>
      <c r="S73" s="52">
        <v>1.6648203937614301</v>
      </c>
      <c r="T73" s="52">
        <v>1.7809335626957301</v>
      </c>
      <c r="U73" s="52">
        <v>1.89639959071686</v>
      </c>
      <c r="V73" s="52">
        <v>2.0114820383474701</v>
      </c>
      <c r="W73" s="52">
        <v>2.1262543506531602</v>
      </c>
      <c r="X73" s="52">
        <v>2.2411440385340899</v>
      </c>
      <c r="Y73" s="52">
        <v>2.35659966296154</v>
      </c>
      <c r="Z73" s="52">
        <v>2.4726017482570901</v>
      </c>
      <c r="AA73" s="52">
        <v>2.5893767113569299</v>
      </c>
      <c r="AB73" s="52">
        <v>2.70693447698793</v>
      </c>
      <c r="AC73" s="52">
        <v>2.8254641527981499</v>
      </c>
      <c r="AD73" s="52">
        <v>2.9450841852782901</v>
      </c>
      <c r="AE73" s="52">
        <v>3.0657026736779498</v>
      </c>
      <c r="AF73" s="52">
        <v>3.1873040401010502</v>
      </c>
      <c r="AG73" s="52">
        <v>3.3098663768416698</v>
      </c>
      <c r="AH73" s="52">
        <v>3.4333973105618001</v>
      </c>
      <c r="AI73" s="52">
        <v>3.5578003130612501</v>
      </c>
      <c r="AJ73" s="52">
        <v>3.6830492322219301</v>
      </c>
      <c r="AK73" s="52">
        <v>3.8091633839816499</v>
      </c>
      <c r="AL73" s="52">
        <v>3.9361003581391798</v>
      </c>
      <c r="AM73" s="52">
        <v>4.0637848223187998</v>
      </c>
      <c r="AN73" s="52">
        <v>4.1920058269306999</v>
      </c>
      <c r="AO73" s="52">
        <v>4.3207594675386503</v>
      </c>
      <c r="AP73" s="52">
        <v>4.4500790205684</v>
      </c>
      <c r="AQ73" s="52">
        <v>4.5799183003671899</v>
      </c>
      <c r="AR73" s="52">
        <v>4.7102769387463397</v>
      </c>
      <c r="AS73" s="52">
        <v>4.8410287526926199</v>
      </c>
      <c r="AT73" s="52">
        <v>4.9722422779080198</v>
      </c>
    </row>
    <row r="74" spans="6:46" ht="14.4">
      <c r="F74" s="34" t="s">
        <v>40</v>
      </c>
      <c r="G74" s="51">
        <v>26.199972897443971</v>
      </c>
      <c r="J74" t="s">
        <v>6</v>
      </c>
      <c r="K74" t="s">
        <v>161</v>
      </c>
      <c r="L74" t="s">
        <v>13</v>
      </c>
      <c r="M74" s="34" t="s">
        <v>14</v>
      </c>
      <c r="N74" s="51">
        <v>6.9295287156334302</v>
      </c>
      <c r="O74" s="52">
        <v>6.5639975672352229</v>
      </c>
      <c r="P74" s="52">
        <v>5.780638065059601</v>
      </c>
      <c r="Q74" s="52">
        <v>6.5949264310858817</v>
      </c>
      <c r="R74" s="52">
        <v>5.8166390635502099</v>
      </c>
      <c r="S74" s="52">
        <v>5.86289720148286</v>
      </c>
      <c r="T74" s="52">
        <v>5.9102964369672799</v>
      </c>
      <c r="U74" s="52">
        <v>5.9588634696265501</v>
      </c>
      <c r="V74" s="52">
        <v>6.0086282326853899</v>
      </c>
      <c r="W74" s="52">
        <v>6.0596206906641799</v>
      </c>
      <c r="X74" s="52">
        <v>6.11187232558445</v>
      </c>
      <c r="Y74" s="52">
        <v>6.1654122980366699</v>
      </c>
      <c r="Z74" s="52">
        <v>6.2202749583689796</v>
      </c>
      <c r="AA74" s="52">
        <v>6.2764914893167498</v>
      </c>
      <c r="AB74" s="52">
        <v>6.3340965980484798</v>
      </c>
      <c r="AC74" s="52">
        <v>6.3931254408430798</v>
      </c>
      <c r="AD74" s="52">
        <v>6.4536142967308301</v>
      </c>
      <c r="AE74" s="52">
        <v>6.5155983460895799</v>
      </c>
      <c r="AF74" s="52">
        <v>6.5791152322932502</v>
      </c>
      <c r="AG74" s="52">
        <v>6.6442042290564496</v>
      </c>
      <c r="AH74" s="52">
        <v>6.7109040474029102</v>
      </c>
      <c r="AI74" s="52">
        <v>6.7792549035251897</v>
      </c>
      <c r="AJ74" s="52">
        <v>6.8492984254727203</v>
      </c>
      <c r="AK74" s="52">
        <v>6.9210768802457201</v>
      </c>
      <c r="AL74" s="52">
        <v>6.9946337892663699</v>
      </c>
      <c r="AM74" s="52">
        <v>7.07001384207258</v>
      </c>
      <c r="AN74" s="52">
        <v>7.1472628123994602</v>
      </c>
      <c r="AO74" s="52">
        <v>7.2264268158768896</v>
      </c>
      <c r="AP74" s="52">
        <v>7.3075548788843099</v>
      </c>
      <c r="AQ74" s="52">
        <v>7.3906955316739102</v>
      </c>
      <c r="AR74" s="52">
        <v>7.4759006566754698</v>
      </c>
      <c r="AS74" s="52">
        <v>7.5632208334368096</v>
      </c>
      <c r="AT74" s="52">
        <v>7.6527104252134697</v>
      </c>
    </row>
    <row r="75" spans="6:46" ht="14.4">
      <c r="F75" s="34" t="s">
        <v>42</v>
      </c>
      <c r="G75" s="51">
        <v>12.797868826509406</v>
      </c>
      <c r="J75" t="s">
        <v>6</v>
      </c>
      <c r="K75" t="s">
        <v>161</v>
      </c>
      <c r="L75" t="s">
        <v>15</v>
      </c>
      <c r="M75" s="34" t="s">
        <v>16</v>
      </c>
      <c r="N75" s="51">
        <v>1.09140526535876</v>
      </c>
      <c r="O75" s="52">
        <v>0.5707726774555677</v>
      </c>
      <c r="P75" s="52">
        <v>0.56119057639608538</v>
      </c>
      <c r="Q75" s="52">
        <v>0.55161044480654198</v>
      </c>
      <c r="R75" s="52">
        <v>1.19927927754182</v>
      </c>
      <c r="S75" s="52">
        <v>1.22725991510956</v>
      </c>
      <c r="T75" s="52">
        <v>1.2559337577197001</v>
      </c>
      <c r="U75" s="52">
        <v>1.2853176351257101</v>
      </c>
      <c r="V75" s="52">
        <v>1.3154284460035299</v>
      </c>
      <c r="W75" s="52">
        <v>1.34628589537239</v>
      </c>
      <c r="X75" s="52">
        <v>1.3779069025349999</v>
      </c>
      <c r="Y75" s="52">
        <v>1.41031202122664</v>
      </c>
      <c r="Z75" s="52">
        <v>1.44351990088433</v>
      </c>
      <c r="AA75" s="52">
        <v>1.4775615762333201</v>
      </c>
      <c r="AB75" s="52">
        <v>1.5124455456633801</v>
      </c>
      <c r="AC75" s="52">
        <v>1.54819453277112</v>
      </c>
      <c r="AD75" s="52">
        <v>1.5848284110095301</v>
      </c>
      <c r="AE75" s="52">
        <v>1.62237119004269</v>
      </c>
      <c r="AF75" s="52">
        <v>1.6608431415137901</v>
      </c>
      <c r="AG75" s="52">
        <v>1.70026940648485</v>
      </c>
      <c r="AH75" s="52">
        <v>1.74067305443197</v>
      </c>
      <c r="AI75" s="52">
        <v>1.7820793168514899</v>
      </c>
      <c r="AJ75" s="52">
        <v>1.8245113417944701</v>
      </c>
      <c r="AK75" s="52">
        <v>1.8679968256578099</v>
      </c>
      <c r="AL75" s="52">
        <v>1.9125604788494299</v>
      </c>
      <c r="AM75" s="52">
        <v>1.9582305876750901</v>
      </c>
      <c r="AN75" s="52">
        <v>2.0050340390722701</v>
      </c>
      <c r="AO75" s="52">
        <v>2.0530003298918298</v>
      </c>
      <c r="AP75" s="52">
        <v>2.1021574936170699</v>
      </c>
      <c r="AQ75" s="52">
        <v>2.1525360482102101</v>
      </c>
      <c r="AR75" s="52">
        <v>2.2041657659317799</v>
      </c>
      <c r="AS75" s="52">
        <v>2.25707952983301</v>
      </c>
      <c r="AT75" s="52">
        <v>2.3113093619058902</v>
      </c>
    </row>
    <row r="76" spans="6:46" ht="14.4">
      <c r="F76" t="s">
        <v>44</v>
      </c>
      <c r="G76" s="52">
        <v>7.6814227047944605</v>
      </c>
      <c r="J76" t="s">
        <v>6</v>
      </c>
      <c r="K76" t="s">
        <v>161</v>
      </c>
      <c r="L76" t="s">
        <v>17</v>
      </c>
      <c r="M76" s="34" t="s">
        <v>18</v>
      </c>
      <c r="N76" s="51">
        <v>9.5100483128062994</v>
      </c>
      <c r="O76" s="52">
        <v>9.7037603897089575</v>
      </c>
      <c r="P76" s="52">
        <v>9.435975307949354</v>
      </c>
      <c r="Q76" s="52">
        <v>9.2516395819175106</v>
      </c>
      <c r="R76" s="52">
        <v>10.6043548094603</v>
      </c>
      <c r="S76" s="52">
        <v>10.6673995636065</v>
      </c>
      <c r="T76" s="52">
        <v>10.732001173252501</v>
      </c>
      <c r="U76" s="52">
        <v>10.798198110701801</v>
      </c>
      <c r="V76" s="52">
        <v>10.8660297948596</v>
      </c>
      <c r="W76" s="52">
        <v>10.935536616854399</v>
      </c>
      <c r="X76" s="52">
        <v>11.006759962605001</v>
      </c>
      <c r="Y76" s="52">
        <v>11.079742239256101</v>
      </c>
      <c r="Z76" s="52">
        <v>11.154526902334201</v>
      </c>
      <c r="AA76" s="52">
        <v>11.2311257904034</v>
      </c>
      <c r="AB76" s="52">
        <v>11.309621200733799</v>
      </c>
      <c r="AC76" s="52">
        <v>11.3900603561419</v>
      </c>
      <c r="AD76" s="52">
        <v>11.472491675352201</v>
      </c>
      <c r="AE76" s="52">
        <v>11.5569648000664</v>
      </c>
      <c r="AF76" s="52">
        <v>11.6435306331609</v>
      </c>
      <c r="AG76" s="52">
        <v>11.732241372561599</v>
      </c>
      <c r="AH76" s="52">
        <v>11.8231505467745</v>
      </c>
      <c r="AI76" s="52">
        <v>11.9163130504629</v>
      </c>
      <c r="AJ76" s="52">
        <v>12.011785185920299</v>
      </c>
      <c r="AK76" s="52">
        <v>12.1096247025261</v>
      </c>
      <c r="AL76" s="52">
        <v>12.2098908348107</v>
      </c>
      <c r="AM76" s="52">
        <v>12.3126443505064</v>
      </c>
      <c r="AN76" s="52">
        <v>12.417947591597301</v>
      </c>
      <c r="AO76" s="52">
        <v>12.5258645217293</v>
      </c>
      <c r="AP76" s="52">
        <v>12.636460775247</v>
      </c>
      <c r="AQ76" s="52">
        <v>12.749803703504501</v>
      </c>
      <c r="AR76" s="52">
        <v>12.8659624331831</v>
      </c>
      <c r="AS76" s="52">
        <v>12.985007915282401</v>
      </c>
      <c r="AT76" s="52">
        <v>13.107012983790201</v>
      </c>
    </row>
    <row r="77" spans="6:46" ht="14.4">
      <c r="F77" t="s">
        <v>46</v>
      </c>
      <c r="G77" s="52">
        <v>4.6611834502685596</v>
      </c>
      <c r="J77" t="s">
        <v>6</v>
      </c>
      <c r="K77" t="s">
        <v>161</v>
      </c>
      <c r="L77" t="s">
        <v>19</v>
      </c>
      <c r="M77" s="34" t="s">
        <v>20</v>
      </c>
      <c r="N77" s="51">
        <v>1.9556249526505201</v>
      </c>
      <c r="O77" s="52">
        <v>1.5498072549825794</v>
      </c>
      <c r="P77" s="52">
        <v>1.5053268122598555</v>
      </c>
      <c r="Q77" s="52">
        <v>1.4894503267095116</v>
      </c>
      <c r="R77" s="52">
        <v>1.0410295169864401</v>
      </c>
      <c r="S77" s="52">
        <v>1.0268975005260801</v>
      </c>
      <c r="T77" s="52">
        <v>1.0136280587395301</v>
      </c>
      <c r="U77" s="52">
        <v>1.0011741174269699</v>
      </c>
      <c r="V77" s="52">
        <v>0.98946802719486804</v>
      </c>
      <c r="W77" s="52">
        <v>0.97851389260134602</v>
      </c>
      <c r="X77" s="52">
        <v>0.96817292950682998</v>
      </c>
      <c r="Y77" s="52">
        <v>0.95829301017512603</v>
      </c>
      <c r="Z77" s="52">
        <v>0.94891013502188304</v>
      </c>
      <c r="AA77" s="52">
        <v>0.93995901525115499</v>
      </c>
      <c r="AB77" s="52">
        <v>0.93146307008219298</v>
      </c>
      <c r="AC77" s="52">
        <v>0.92337177940257198</v>
      </c>
      <c r="AD77" s="52">
        <v>0.91566292726805898</v>
      </c>
      <c r="AE77" s="52">
        <v>0.90840413726139602</v>
      </c>
      <c r="AF77" s="52">
        <v>0.90163209297057001</v>
      </c>
      <c r="AG77" s="52">
        <v>0.89538795586229403</v>
      </c>
      <c r="AH77" s="52">
        <v>0.88970072339962902</v>
      </c>
      <c r="AI77" s="52">
        <v>0.88464782396222197</v>
      </c>
      <c r="AJ77" s="52">
        <v>0.88027755628668003</v>
      </c>
      <c r="AK77" s="52">
        <v>0.87661714743544505</v>
      </c>
      <c r="AL77" s="52">
        <v>0.87372587651921196</v>
      </c>
      <c r="AM77" s="52">
        <v>0.871678474453906</v>
      </c>
      <c r="AN77" s="52">
        <v>0.87061329234646201</v>
      </c>
      <c r="AO77" s="52">
        <v>0.87057814456459504</v>
      </c>
      <c r="AP77" s="52">
        <v>0.87160473874632205</v>
      </c>
      <c r="AQ77" s="52">
        <v>0.87376144176959103</v>
      </c>
      <c r="AR77" s="52">
        <v>0.87709870967996795</v>
      </c>
      <c r="AS77" s="52">
        <v>0.88172610377615801</v>
      </c>
      <c r="AT77" s="52">
        <v>0.88766424801056598</v>
      </c>
    </row>
    <row r="78" spans="6:46" ht="14.4">
      <c r="F78" t="s">
        <v>48</v>
      </c>
      <c r="G78" s="52">
        <v>13.161374650000001</v>
      </c>
      <c r="J78" t="s">
        <v>6</v>
      </c>
      <c r="K78" t="s">
        <v>161</v>
      </c>
      <c r="L78" t="s">
        <v>21</v>
      </c>
      <c r="M78" s="34" t="s">
        <v>22</v>
      </c>
      <c r="N78" s="51">
        <v>19.482476804508799</v>
      </c>
      <c r="O78" s="52">
        <v>17.613308735917627</v>
      </c>
      <c r="P78" s="52">
        <v>17.067480468046199</v>
      </c>
      <c r="Q78" s="52">
        <v>18.473544022536192</v>
      </c>
      <c r="R78" s="51">
        <v>17.814731247908266</v>
      </c>
      <c r="S78" s="52">
        <v>19.494109366820016</v>
      </c>
      <c r="T78" s="52">
        <v>20.265210851701845</v>
      </c>
      <c r="U78" s="52">
        <v>21.066813730045585</v>
      </c>
      <c r="V78" s="52">
        <v>21.900124503227982</v>
      </c>
      <c r="W78" s="52">
        <v>21.903403629125965</v>
      </c>
      <c r="X78" s="52">
        <v>21.906683246010498</v>
      </c>
      <c r="Y78" s="52">
        <v>21.909963353955103</v>
      </c>
      <c r="Z78" s="52">
        <v>21.913243953033305</v>
      </c>
      <c r="AA78" s="52">
        <v>21.916525043318639</v>
      </c>
      <c r="AB78" s="52">
        <v>22.110531640458859</v>
      </c>
      <c r="AC78" s="52">
        <v>22.306255597429594</v>
      </c>
      <c r="AD78" s="52">
        <v>22.503712116418974</v>
      </c>
      <c r="AE78" s="52">
        <v>22.702916534185945</v>
      </c>
      <c r="AF78" s="52">
        <v>22.903884323251511</v>
      </c>
      <c r="AG78" s="52">
        <v>23.057513384534978</v>
      </c>
      <c r="AH78" s="52">
        <v>23.212172921179643</v>
      </c>
      <c r="AI78" s="52">
        <v>23.367869845155557</v>
      </c>
      <c r="AJ78" s="52">
        <v>23.524611114795182</v>
      </c>
      <c r="AK78" s="52">
        <v>23.68240373510438</v>
      </c>
      <c r="AL78" s="52">
        <v>23.806316159658131</v>
      </c>
      <c r="AM78" s="52">
        <v>23.930876925872237</v>
      </c>
      <c r="AN78" s="52">
        <v>24.056089426036937</v>
      </c>
      <c r="AO78" s="52">
        <v>24.18195707019181</v>
      </c>
      <c r="AP78" s="52">
        <v>24.308483286218632</v>
      </c>
      <c r="AQ78" s="52">
        <v>24.436054231032401</v>
      </c>
      <c r="AR78" s="52">
        <v>24.564294668293275</v>
      </c>
      <c r="AS78" s="52">
        <v>24.69320811149829</v>
      </c>
      <c r="AT78" s="52">
        <v>24.822798092583323</v>
      </c>
    </row>
    <row r="79" spans="6:46" ht="14.4">
      <c r="F79" t="s">
        <v>50</v>
      </c>
      <c r="G79" s="52">
        <v>0.23</v>
      </c>
      <c r="J79" t="s">
        <v>6</v>
      </c>
      <c r="K79" t="s">
        <v>161</v>
      </c>
      <c r="L79" t="s">
        <v>23</v>
      </c>
      <c r="M79" s="34" t="s">
        <v>24</v>
      </c>
      <c r="N79" s="51">
        <v>20.3153817696899</v>
      </c>
      <c r="O79" s="52">
        <v>20.746846228178715</v>
      </c>
      <c r="P79" s="52">
        <v>18.66727780331064</v>
      </c>
      <c r="Q79" s="52">
        <v>19.411458005544933</v>
      </c>
      <c r="R79" s="51">
        <v>17.19085534816012</v>
      </c>
      <c r="S79" s="52">
        <v>18.186023945506999</v>
      </c>
      <c r="T79" s="52">
        <v>18.278689472237598</v>
      </c>
      <c r="U79" s="52">
        <v>18.373693111883199</v>
      </c>
      <c r="V79" s="52">
        <v>18.471095819568198</v>
      </c>
      <c r="W79" s="52">
        <v>18.570960267466798</v>
      </c>
      <c r="X79" s="52">
        <v>18.673350891417002</v>
      </c>
      <c r="Y79" s="52">
        <v>18.778333987021998</v>
      </c>
      <c r="Z79" s="52">
        <v>18.885977786093299</v>
      </c>
      <c r="AA79" s="52">
        <v>18.9974247611427</v>
      </c>
      <c r="AB79" s="52">
        <v>19.111640916040798</v>
      </c>
      <c r="AC79" s="52">
        <v>19.228697712637999</v>
      </c>
      <c r="AD79" s="52">
        <v>19.3486686950076</v>
      </c>
      <c r="AE79" s="52">
        <v>19.471629567058098</v>
      </c>
      <c r="AF79" s="52">
        <v>19.597658281637901</v>
      </c>
      <c r="AG79" s="52">
        <v>19.726835155271502</v>
      </c>
      <c r="AH79" s="52">
        <v>19.859242953619699</v>
      </c>
      <c r="AI79" s="52">
        <v>19.994967022548</v>
      </c>
      <c r="AJ79" s="52">
        <v>20.134095389223202</v>
      </c>
      <c r="AK79" s="52">
        <v>20.276718915650601</v>
      </c>
      <c r="AL79" s="52">
        <v>20.422931438425099</v>
      </c>
      <c r="AM79" s="52">
        <v>20.572829906585099</v>
      </c>
      <c r="AN79" s="52">
        <v>20.726514576720799</v>
      </c>
      <c r="AO79" s="52">
        <v>20.884089183472401</v>
      </c>
      <c r="AP79" s="52">
        <v>21.045661133700101</v>
      </c>
      <c r="AQ79" s="52">
        <v>21.211341747524401</v>
      </c>
      <c r="AR79" s="52">
        <v>21.3812464803915</v>
      </c>
      <c r="AS79" s="52">
        <v>21.555495197365399</v>
      </c>
      <c r="AT79" s="52">
        <v>21.7342124559874</v>
      </c>
    </row>
    <row r="80" spans="6:46" ht="14.4">
      <c r="F80" t="s">
        <v>52</v>
      </c>
      <c r="G80" s="52">
        <v>48.192396850000002</v>
      </c>
      <c r="J80" t="s">
        <v>6</v>
      </c>
      <c r="K80" t="s">
        <v>161</v>
      </c>
      <c r="L80" t="s">
        <v>25</v>
      </c>
      <c r="M80" s="34" t="s">
        <v>26</v>
      </c>
      <c r="N80" s="51">
        <v>1.4729468330623701</v>
      </c>
      <c r="O80" s="52">
        <v>1.4943226387301358</v>
      </c>
      <c r="P80" s="52">
        <v>1.4634791461847667</v>
      </c>
      <c r="Q80" s="52">
        <v>1.4446377495642824</v>
      </c>
      <c r="R80" s="52">
        <v>2.2584342466232901</v>
      </c>
      <c r="S80" s="52">
        <v>2.2440383485186102</v>
      </c>
      <c r="T80" s="52">
        <v>2.2292869402784299</v>
      </c>
      <c r="U80" s="52">
        <v>2.2141712863233001</v>
      </c>
      <c r="V80" s="52">
        <v>2.1986822220428399</v>
      </c>
      <c r="W80" s="52">
        <v>2.18281056279984</v>
      </c>
      <c r="X80" s="52">
        <v>2.1665466359489498</v>
      </c>
      <c r="Y80" s="52">
        <v>2.1498806864914299</v>
      </c>
      <c r="Z80" s="52">
        <v>2.1328027010175301</v>
      </c>
      <c r="AA80" s="52">
        <v>2.1153100593115699</v>
      </c>
      <c r="AB80" s="52">
        <v>2.0973839785641601</v>
      </c>
      <c r="AC80" s="52">
        <v>2.0790137032465301</v>
      </c>
      <c r="AD80" s="52">
        <v>2.0601879302496702</v>
      </c>
      <c r="AE80" s="52">
        <v>2.0408952907455502</v>
      </c>
      <c r="AF80" s="52">
        <v>2.0211240941678401</v>
      </c>
      <c r="AG80" s="52">
        <v>2.0008621733278402</v>
      </c>
      <c r="AH80" s="52">
        <v>1.98009726556077</v>
      </c>
      <c r="AI80" s="52">
        <v>1.9588167649709201</v>
      </c>
      <c r="AJ80" s="52">
        <v>1.9370068802203699</v>
      </c>
      <c r="AK80" s="52">
        <v>1.9146550132369899</v>
      </c>
      <c r="AL80" s="52">
        <v>1.8917470801090901</v>
      </c>
      <c r="AM80" s="52">
        <v>1.86826969597866</v>
      </c>
      <c r="AN80" s="52">
        <v>1.84420680235752</v>
      </c>
      <c r="AO80" s="52">
        <v>1.81954394783379</v>
      </c>
      <c r="AP80" s="52">
        <v>1.7942674117666799</v>
      </c>
      <c r="AQ80" s="52">
        <v>1.7683592712790901</v>
      </c>
      <c r="AR80" s="52">
        <v>1.74180408351433</v>
      </c>
      <c r="AS80" s="52">
        <v>1.71458476976422</v>
      </c>
      <c r="AT80" s="52">
        <v>1.6866850940022</v>
      </c>
    </row>
    <row r="81" spans="6:46" ht="14.4">
      <c r="F81" s="34" t="s">
        <v>54</v>
      </c>
      <c r="G81" s="52">
        <v>265.47273899323898</v>
      </c>
      <c r="J81" t="s">
        <v>6</v>
      </c>
      <c r="K81" t="s">
        <v>161</v>
      </c>
      <c r="L81" t="s">
        <v>27</v>
      </c>
      <c r="M81" s="34" t="s">
        <v>28</v>
      </c>
      <c r="N81" s="51">
        <v>4.65085642477431</v>
      </c>
      <c r="O81" s="52">
        <v>5.007589393109674</v>
      </c>
      <c r="P81" s="52">
        <v>4.7554316434518897</v>
      </c>
      <c r="Q81" s="52">
        <v>4.7269471440454405</v>
      </c>
      <c r="R81" s="52">
        <v>6.2862087424890802</v>
      </c>
      <c r="S81" s="52">
        <v>6.5400995969117703</v>
      </c>
      <c r="T81" s="52">
        <v>6.80026034650888</v>
      </c>
      <c r="U81" s="52">
        <v>7.06684505486934</v>
      </c>
      <c r="V81" s="52">
        <v>7.3400153521151399</v>
      </c>
      <c r="W81" s="52">
        <v>7.6199332215672202</v>
      </c>
      <c r="X81" s="52">
        <v>7.9067692532211096</v>
      </c>
      <c r="Y81" s="52">
        <v>8.20069548948406</v>
      </c>
      <c r="Z81" s="52">
        <v>8.5018885301861395</v>
      </c>
      <c r="AA81" s="52">
        <v>8.8103945863239996</v>
      </c>
      <c r="AB81" s="52">
        <v>9.1265449177806008</v>
      </c>
      <c r="AC81" s="52">
        <v>9.4505292126441294</v>
      </c>
      <c r="AD81" s="52">
        <v>9.7825468163104592</v>
      </c>
      <c r="AE81" s="52">
        <v>10.122798233217701</v>
      </c>
      <c r="AF81" s="52">
        <v>10.4714896420878</v>
      </c>
      <c r="AG81" s="52">
        <v>10.8288356275142</v>
      </c>
      <c r="AH81" s="52">
        <v>11.1950524579371</v>
      </c>
      <c r="AI81" s="52">
        <v>11.5703624551331</v>
      </c>
      <c r="AJ81" s="52">
        <v>11.9550088477313</v>
      </c>
      <c r="AK81" s="52">
        <v>12.349213819528501</v>
      </c>
      <c r="AL81" s="52">
        <v>12.753225759083101</v>
      </c>
      <c r="AM81" s="52">
        <v>13.1672807262091</v>
      </c>
      <c r="AN81" s="52">
        <v>13.5916619337538</v>
      </c>
      <c r="AO81" s="52">
        <v>14.0266242516308</v>
      </c>
      <c r="AP81" s="52">
        <v>14.4724096616316</v>
      </c>
      <c r="AQ81" s="52">
        <v>14.9293342575869</v>
      </c>
      <c r="AR81" s="52">
        <v>15.397670394861899</v>
      </c>
      <c r="AS81" s="52">
        <v>15.8777192792428</v>
      </c>
      <c r="AT81" s="52">
        <v>16.369767254702801</v>
      </c>
    </row>
    <row r="82" spans="6:46" ht="14.4">
      <c r="F82" s="34" t="s">
        <v>56</v>
      </c>
      <c r="G82" s="52">
        <v>837.71211748108306</v>
      </c>
      <c r="J82" t="s">
        <v>6</v>
      </c>
      <c r="K82" t="s">
        <v>161</v>
      </c>
      <c r="L82" t="s">
        <v>29</v>
      </c>
      <c r="M82" s="34" t="s">
        <v>30</v>
      </c>
      <c r="N82" s="51">
        <v>0.1947788154134</v>
      </c>
      <c r="O82" s="52">
        <v>0.26558264395501924</v>
      </c>
      <c r="P82" s="52">
        <v>0.2542796677646712</v>
      </c>
      <c r="Q82" s="52">
        <v>0.25565928356184919</v>
      </c>
      <c r="R82" s="52">
        <v>0.187409320968947</v>
      </c>
      <c r="S82" s="52">
        <v>0.183760340162684</v>
      </c>
      <c r="T82" s="52">
        <v>0.180020695810443</v>
      </c>
      <c r="U82" s="52">
        <v>0.176188162290734</v>
      </c>
      <c r="V82" s="52">
        <v>0.172260396740049</v>
      </c>
      <c r="W82" s="52">
        <v>0.16823499128140601</v>
      </c>
      <c r="X82" s="52">
        <v>0.16410947762331099</v>
      </c>
      <c r="Y82" s="52">
        <v>0.159881376453122</v>
      </c>
      <c r="Z82" s="52">
        <v>0.155548066302856</v>
      </c>
      <c r="AA82" s="52">
        <v>0.151102458553911</v>
      </c>
      <c r="AB82" s="52">
        <v>0.14654642303453499</v>
      </c>
      <c r="AC82" s="52">
        <v>0.141877166116048</v>
      </c>
      <c r="AD82" s="52">
        <v>0.137091861523011</v>
      </c>
      <c r="AE82" s="52">
        <v>0.132187568383999</v>
      </c>
      <c r="AF82" s="52">
        <v>0.12716128070673</v>
      </c>
      <c r="AG82" s="52">
        <v>0.122009932493332</v>
      </c>
      <c r="AH82" s="52">
        <v>0.116730402710794</v>
      </c>
      <c r="AI82" s="52">
        <v>0.111319395674383</v>
      </c>
      <c r="AJ82" s="52">
        <v>0.10577357413291499</v>
      </c>
      <c r="AK82" s="52">
        <v>0.10008956374365301</v>
      </c>
      <c r="AL82" s="52">
        <v>0.094263835909375995</v>
      </c>
      <c r="AM82" s="52">
        <v>0.088292756993632301</v>
      </c>
      <c r="AN82" s="52">
        <v>0.082172675242513593</v>
      </c>
      <c r="AO82" s="52">
        <v>0.075899726894954</v>
      </c>
      <c r="AP82" s="52">
        <v>0.069470043902089093</v>
      </c>
      <c r="AQ82" s="52">
        <v>0.062879562802237499</v>
      </c>
      <c r="AR82" s="52">
        <v>0.056124190249462698</v>
      </c>
      <c r="AS82" s="52">
        <v>0.049199654456357898</v>
      </c>
      <c r="AT82" s="52">
        <v>0.042101591794206403</v>
      </c>
    </row>
    <row r="83" spans="6:46" ht="14.4">
      <c r="F83" s="34" t="s">
        <v>58</v>
      </c>
      <c r="G83" s="52">
        <v>777.95194352567796</v>
      </c>
      <c r="J83" t="s">
        <v>6</v>
      </c>
      <c r="K83" t="s">
        <v>161</v>
      </c>
      <c r="L83" t="s">
        <v>31</v>
      </c>
      <c r="M83" s="34" t="s">
        <v>32</v>
      </c>
      <c r="N83" s="51">
        <v>4.6984287524850101</v>
      </c>
      <c r="O83" s="52">
        <v>4.3090308460490396</v>
      </c>
      <c r="P83" s="52">
        <v>4.2602225832464828</v>
      </c>
      <c r="Q83" s="52">
        <v>4.1432118323518896</v>
      </c>
      <c r="R83" s="52">
        <v>4.6924479738735299</v>
      </c>
      <c r="S83" s="52">
        <v>4.7901185272083104</v>
      </c>
      <c r="T83" s="52">
        <v>4.8829228192853602</v>
      </c>
      <c r="U83" s="52">
        <v>4.9711499271716901</v>
      </c>
      <c r="V83" s="52">
        <v>5.0552149707402201</v>
      </c>
      <c r="W83" s="52">
        <v>5.1350981335844903</v>
      </c>
      <c r="X83" s="52">
        <v>5.2116410128509898</v>
      </c>
      <c r="Y83" s="52">
        <v>5.28576383279011</v>
      </c>
      <c r="Z83" s="52">
        <v>5.3572580748783203</v>
      </c>
      <c r="AA83" s="52">
        <v>5.4265836170263899</v>
      </c>
      <c r="AB83" s="52">
        <v>5.4935445318690403</v>
      </c>
      <c r="AC83" s="52">
        <v>5.5584520588616799</v>
      </c>
      <c r="AD83" s="52">
        <v>5.6214471437282398</v>
      </c>
      <c r="AE83" s="52">
        <v>5.6821326145758499</v>
      </c>
      <c r="AF83" s="52">
        <v>5.7402950823595598</v>
      </c>
      <c r="AG83" s="52">
        <v>5.7956952167198796</v>
      </c>
      <c r="AH83" s="52">
        <v>5.8481657572732599</v>
      </c>
      <c r="AI83" s="52">
        <v>5.8972542057881201</v>
      </c>
      <c r="AJ83" s="52">
        <v>5.9426773610342796</v>
      </c>
      <c r="AK83" s="52">
        <v>5.9842736265587799</v>
      </c>
      <c r="AL83" s="52">
        <v>6.0216974894712001</v>
      </c>
      <c r="AM83" s="52">
        <v>6.0545109941189699</v>
      </c>
      <c r="AN83" s="52">
        <v>6.0818857495341696</v>
      </c>
      <c r="AO83" s="52">
        <v>6.1035439649586296</v>
      </c>
      <c r="AP83" s="52">
        <v>6.1193038824130799</v>
      </c>
      <c r="AQ83" s="52">
        <v>6.1287591141733397</v>
      </c>
      <c r="AR83" s="52">
        <v>6.1316061110561701</v>
      </c>
      <c r="AS83" s="52">
        <v>6.1271988867674398</v>
      </c>
      <c r="AT83" s="52">
        <v>6.1154162083419301</v>
      </c>
    </row>
    <row r="84" spans="6:46" ht="14.4">
      <c r="F84" s="34" t="s">
        <v>136</v>
      </c>
      <c r="G84" s="52">
        <v>31.598021694557708</v>
      </c>
      <c r="J84" t="s">
        <v>6</v>
      </c>
      <c r="K84" t="s">
        <v>161</v>
      </c>
      <c r="L84" t="s">
        <v>33</v>
      </c>
      <c r="M84" s="34" t="s">
        <v>34</v>
      </c>
      <c r="N84" s="51">
        <v>1.9571195447376</v>
      </c>
      <c r="O84" s="52">
        <v>2.1699504611733866</v>
      </c>
      <c r="P84" s="52">
        <v>1.9706387130131231</v>
      </c>
      <c r="Q84" s="52">
        <v>1.9076981609625141</v>
      </c>
      <c r="R84" s="52">
        <v>3.6347440465271599</v>
      </c>
      <c r="S84" s="52">
        <v>3.6916038137219598</v>
      </c>
      <c r="T84" s="52">
        <v>3.7498762646317298</v>
      </c>
      <c r="U84" s="52">
        <v>3.8095966725724399</v>
      </c>
      <c r="V84" s="52">
        <v>3.87080120517194</v>
      </c>
      <c r="W84" s="52">
        <v>3.9335269498690502</v>
      </c>
      <c r="X84" s="52">
        <v>3.99781193956562</v>
      </c>
      <c r="Y84" s="52">
        <v>4.0636951786608897</v>
      </c>
      <c r="Z84" s="52">
        <v>4.1312166725908099</v>
      </c>
      <c r="AA84" s="52">
        <v>4.2004619284425901</v>
      </c>
      <c r="AB84" s="52">
        <v>4.2714281477145999</v>
      </c>
      <c r="AC84" s="52">
        <v>4.34415864415723</v>
      </c>
      <c r="AD84" s="52">
        <v>4.4186978527861198</v>
      </c>
      <c r="AE84" s="52">
        <v>4.4950913648886699</v>
      </c>
      <c r="AF84" s="52">
        <v>4.5733859614187704</v>
      </c>
      <c r="AG84" s="52">
        <v>4.6536296502986696</v>
      </c>
      <c r="AH84" s="52">
        <v>4.7358717002425896</v>
      </c>
      <c r="AI84" s="52">
        <v>4.8201626793407</v>
      </c>
      <c r="AJ84" s="52">
        <v>4.9065544953786002</v>
      </c>
      <c r="AK84" s="52">
        <v>4.9951004377148998</v>
      </c>
      <c r="AL84" s="52">
        <v>5.0858552152583103</v>
      </c>
      <c r="AM84" s="52">
        <v>5.1788750090331401</v>
      </c>
      <c r="AN84" s="52">
        <v>5.2742175124200301</v>
      </c>
      <c r="AO84" s="52">
        <v>5.3719419803036397</v>
      </c>
      <c r="AP84" s="52">
        <v>5.47210928142293</v>
      </c>
      <c r="AQ84" s="52">
        <v>5.5747819561854302</v>
      </c>
      <c r="AR84" s="52">
        <v>5.68002426189347</v>
      </c>
      <c r="AS84" s="52">
        <v>5.7879022434721996</v>
      </c>
      <c r="AT84" s="52">
        <v>5.8984837835342203</v>
      </c>
    </row>
    <row r="85" spans="6:7" ht="14.4">
      <c r="F85" s="34" t="s">
        <v>138</v>
      </c>
      <c r="G85" s="52">
        <v>63.576742445676345</v>
      </c>
    </row>
    <row r="86" spans="6:7" ht="14.4">
      <c r="F86" s="34" t="s">
        <v>140</v>
      </c>
      <c r="G86" s="51">
        <v>18.9072</v>
      </c>
    </row>
    <row r="87" spans="6:7" ht="14.4">
      <c r="F87" s="34" t="s">
        <v>142</v>
      </c>
      <c r="G87" s="52"/>
    </row>
    <row r="88" spans="6:7" ht="14.4">
      <c r="F88" t="s">
        <v>162</v>
      </c>
      <c r="G88" s="52">
        <v>1.2514826903039997</v>
      </c>
    </row>
    <row r="89" spans="6:7" ht="14.4">
      <c r="F89" t="s">
        <v>163</v>
      </c>
      <c r="G89" s="52">
        <v>2.1688410728944572</v>
      </c>
    </row>
    <row r="90" spans="6:7" ht="14.4">
      <c r="F90" t="s">
        <v>164</v>
      </c>
      <c r="G90" s="52">
        <v>0.855061326756</v>
      </c>
    </row>
    <row r="91" spans="6:7" ht="14.4">
      <c r="F91" t="s">
        <v>165</v>
      </c>
      <c r="G91" s="52">
        <v>1.1400844778449895</v>
      </c>
    </row>
    <row r="92" spans="6:7" ht="14.4">
      <c r="F92" t="s">
        <v>166</v>
      </c>
      <c r="G92" s="52">
        <v>0.92012420525760008</v>
      </c>
    </row>
    <row r="93" spans="6:7" ht="14.4">
      <c r="F93" t="s">
        <v>167</v>
      </c>
      <c r="G93" s="52">
        <v>9.9915791233568569</v>
      </c>
    </row>
    <row r="94" spans="6:7" ht="14.4">
      <c r="F94" t="s">
        <v>168</v>
      </c>
      <c r="G94">
        <v>0</v>
      </c>
    </row>
    <row r="102" spans="7:89" ht="15" thickBot="1">
      <c r="G102" s="53">
        <v>2018</v>
      </c>
      <c r="H102" s="53">
        <v>2019</v>
      </c>
      <c r="I102" s="53">
        <v>2020</v>
      </c>
      <c r="J102" s="53">
        <v>2021</v>
      </c>
      <c r="K102" s="53">
        <v>2022</v>
      </c>
      <c r="L102" s="53">
        <v>2023</v>
      </c>
      <c r="M102" s="53">
        <v>2024</v>
      </c>
      <c r="N102" s="53">
        <v>2025</v>
      </c>
      <c r="O102" s="53">
        <v>2026</v>
      </c>
      <c r="P102" s="53">
        <v>2027</v>
      </c>
      <c r="Q102" s="53">
        <v>2028</v>
      </c>
      <c r="R102" s="53">
        <v>2029</v>
      </c>
      <c r="S102" s="53">
        <v>2030</v>
      </c>
      <c r="T102" s="53">
        <v>2031</v>
      </c>
      <c r="U102" s="53">
        <v>2032</v>
      </c>
      <c r="V102" s="53">
        <v>2033</v>
      </c>
      <c r="W102" s="53">
        <v>2034</v>
      </c>
      <c r="X102" s="53">
        <v>2035</v>
      </c>
      <c r="Y102" s="53">
        <v>2036</v>
      </c>
      <c r="Z102" s="53">
        <v>2037</v>
      </c>
      <c r="AA102" s="53">
        <v>2038</v>
      </c>
      <c r="AB102" s="53">
        <v>2039</v>
      </c>
      <c r="AC102" s="53">
        <v>2040</v>
      </c>
      <c r="AD102" s="53">
        <v>2041</v>
      </c>
      <c r="AE102" s="53">
        <v>2042</v>
      </c>
      <c r="AF102" s="53">
        <v>2043</v>
      </c>
      <c r="AG102" s="53">
        <v>2044</v>
      </c>
      <c r="AH102" s="53">
        <v>2045</v>
      </c>
      <c r="AI102" s="53">
        <v>2046</v>
      </c>
      <c r="AJ102" s="53">
        <v>2047</v>
      </c>
      <c r="AK102" s="53">
        <v>2048</v>
      </c>
      <c r="AL102" s="53">
        <v>2049</v>
      </c>
      <c r="AM102" s="53">
        <v>2050</v>
      </c>
      <c r="AN102" s="53">
        <v>2051</v>
      </c>
      <c r="AO102" s="53">
        <v>2052</v>
      </c>
      <c r="AP102" s="53">
        <v>2053</v>
      </c>
      <c r="AQ102" s="53">
        <v>2054</v>
      </c>
      <c r="AR102" s="53">
        <v>2055</v>
      </c>
      <c r="AS102" s="53">
        <v>2056</v>
      </c>
      <c r="AT102" s="53">
        <v>2057</v>
      </c>
      <c r="AU102" s="53">
        <v>2058</v>
      </c>
      <c r="AV102" s="53">
        <v>2059</v>
      </c>
      <c r="AW102" s="53">
        <v>2060</v>
      </c>
      <c r="AX102" s="53">
        <v>2061</v>
      </c>
      <c r="AY102" s="53">
        <v>2062</v>
      </c>
      <c r="AZ102" s="53">
        <v>2063</v>
      </c>
      <c r="BA102" s="53">
        <v>2064</v>
      </c>
      <c r="BB102" s="53">
        <v>2065</v>
      </c>
      <c r="BC102" s="53">
        <v>2066</v>
      </c>
      <c r="BD102" s="53">
        <v>2067</v>
      </c>
      <c r="BE102" s="53">
        <v>2068</v>
      </c>
      <c r="BF102" s="53">
        <v>2069</v>
      </c>
      <c r="BG102" s="53">
        <v>2070</v>
      </c>
      <c r="BH102" s="53">
        <v>2071</v>
      </c>
      <c r="BI102" s="53">
        <v>2072</v>
      </c>
      <c r="BJ102" s="53">
        <v>2073</v>
      </c>
      <c r="BK102" s="53">
        <v>2074</v>
      </c>
      <c r="BL102" s="53">
        <v>2075</v>
      </c>
      <c r="BM102" s="53">
        <v>2076</v>
      </c>
      <c r="BN102" s="53">
        <v>2077</v>
      </c>
      <c r="BO102" s="53">
        <v>2078</v>
      </c>
      <c r="BP102" s="53">
        <v>2079</v>
      </c>
      <c r="BQ102" s="53">
        <v>2080</v>
      </c>
      <c r="BR102" s="53">
        <v>2081</v>
      </c>
      <c r="BS102" s="53">
        <v>2082</v>
      </c>
      <c r="BT102" s="53">
        <v>2083</v>
      </c>
      <c r="BU102" s="53">
        <v>2084</v>
      </c>
      <c r="BV102" s="53">
        <v>2085</v>
      </c>
      <c r="BW102" s="53">
        <v>2086</v>
      </c>
      <c r="BX102" s="53">
        <v>2087</v>
      </c>
      <c r="BY102" s="53">
        <v>2088</v>
      </c>
      <c r="BZ102" s="53">
        <v>2089</v>
      </c>
      <c r="CA102" s="53">
        <v>2090</v>
      </c>
      <c r="CB102" s="53">
        <v>2091</v>
      </c>
      <c r="CC102" s="53">
        <v>2092</v>
      </c>
      <c r="CD102" s="53">
        <v>2093</v>
      </c>
      <c r="CE102" s="53">
        <v>2094</v>
      </c>
      <c r="CF102" s="53">
        <v>2095</v>
      </c>
      <c r="CG102" s="53">
        <v>2096</v>
      </c>
      <c r="CH102" s="53">
        <v>2097</v>
      </c>
      <c r="CI102" s="53">
        <v>2098</v>
      </c>
      <c r="CJ102" s="53">
        <v>2099</v>
      </c>
      <c r="CK102" s="53">
        <v>2100</v>
      </c>
    </row>
    <row r="103" spans="6:89" ht="14.4">
      <c r="F103" t="s">
        <v>211</v>
      </c>
      <c r="G103" s="51">
        <f>IF(G3="","",G3/$G3)</f>
        <v>1</v>
      </c>
      <c r="H103" s="51">
        <f t="shared" si="57" ref="H103:BS103">IF(H3="","",H3/$G3)</f>
        <v>1</v>
      </c>
      <c r="I103" s="51">
        <f t="shared" si="57"/>
        <v>1</v>
      </c>
      <c r="J103" s="51">
        <f t="shared" si="57"/>
        <v>1</v>
      </c>
      <c r="K103" s="51">
        <f t="shared" si="57"/>
        <v>1.03</v>
      </c>
      <c r="L103" s="51">
        <f t="shared" si="57"/>
        <v>1.0005970782066336</v>
      </c>
      <c r="M103" s="51">
        <f t="shared" si="57"/>
        <v>1.0401763110023001</v>
      </c>
      <c r="N103" s="51">
        <f t="shared" si="57"/>
        <v>1.0813211246924275</v>
      </c>
      <c r="O103" s="51">
        <f t="shared" si="57"/>
        <v>1.124093446792128</v>
      </c>
      <c r="P103" s="51">
        <f t="shared" si="57"/>
        <v>1.1242617583436256</v>
      </c>
      <c r="Q103" s="51">
        <f t="shared" si="57"/>
        <v>1.1244300950965673</v>
      </c>
      <c r="R103" s="51">
        <f t="shared" si="57"/>
        <v>1.1245984570547269</v>
      </c>
      <c r="S103" s="51">
        <f t="shared" si="57"/>
        <v>1.1247668442218783</v>
      </c>
      <c r="T103" s="51">
        <f t="shared" si="57"/>
        <v>1.1249352566017958</v>
      </c>
      <c r="U103" s="51">
        <f t="shared" si="57"/>
        <v>1.1348932613815228</v>
      </c>
      <c r="V103" s="51">
        <f t="shared" si="57"/>
        <v>1.1449394151090324</v>
      </c>
      <c r="W103" s="51">
        <f t="shared" si="57"/>
        <v>1.1550744980849137</v>
      </c>
      <c r="X103" s="51">
        <f t="shared" si="57"/>
        <v>1.1652992975170304</v>
      </c>
      <c r="Y103" s="51">
        <f t="shared" si="57"/>
        <v>1.1756146075816656</v>
      </c>
      <c r="Z103" s="51">
        <f t="shared" si="57"/>
        <v>1.1835001070910458</v>
      </c>
      <c r="AA103" s="51">
        <f t="shared" si="57"/>
        <v>1.1914384990212172</v>
      </c>
      <c r="AB103" s="51">
        <f t="shared" si="57"/>
        <v>1.1994301381509958</v>
      </c>
      <c r="AC103" s="51">
        <f t="shared" si="57"/>
        <v>1.2074753816388948</v>
      </c>
      <c r="AD103" s="51">
        <f t="shared" si="57"/>
        <v>1.2155745890390897</v>
      </c>
      <c r="AE103" s="51">
        <f t="shared" si="57"/>
        <v>1.2219347877857436</v>
      </c>
      <c r="AF103" s="51">
        <f t="shared" si="57"/>
        <v>1.2283282647273037</v>
      </c>
      <c r="AG103" s="51">
        <f t="shared" si="57"/>
        <v>1.2347551939838406</v>
      </c>
      <c r="AH103" s="51">
        <f t="shared" si="57"/>
        <v>1.2412157505864665</v>
      </c>
      <c r="AI103" s="51">
        <f t="shared" si="57"/>
        <v>1.2477101104821005</v>
      </c>
      <c r="AJ103" s="51">
        <f t="shared" si="57"/>
        <v>1.2542580944008723</v>
      </c>
      <c r="AK103" s="51">
        <f t="shared" si="57"/>
        <v>1.260840442145857</v>
      </c>
      <c r="AL103" s="51">
        <f t="shared" si="57"/>
        <v>1.2674573340584487</v>
      </c>
      <c r="AM103" s="51">
        <f t="shared" si="57"/>
        <v>1.2741089514264747</v>
      </c>
      <c r="AN103" s="51">
        <f t="shared" si="57"/>
        <v>1.2741089514264747</v>
      </c>
      <c r="AO103" s="51">
        <f t="shared" si="57"/>
        <v>1.2741089514264747</v>
      </c>
      <c r="AP103" s="51">
        <f t="shared" si="57"/>
        <v>1.2741089514264747</v>
      </c>
      <c r="AQ103" s="51">
        <f t="shared" si="57"/>
        <v>1.2741089514264747</v>
      </c>
      <c r="AR103" s="51">
        <f t="shared" si="57"/>
        <v>1.2741089514264747</v>
      </c>
      <c r="AS103" s="51">
        <f t="shared" si="57"/>
        <v>1.2741089514264747</v>
      </c>
      <c r="AT103" s="51">
        <f t="shared" si="57"/>
        <v>1.2741089514264747</v>
      </c>
      <c r="AU103" s="51">
        <f t="shared" si="57"/>
        <v>1.2741089514264747</v>
      </c>
      <c r="AV103" s="51">
        <f t="shared" si="57"/>
        <v>1.2741089514264747</v>
      </c>
      <c r="AW103" s="51">
        <f t="shared" si="57"/>
        <v>1.2741089514264747</v>
      </c>
      <c r="AX103" s="51">
        <f t="shared" si="57"/>
        <v>1.2741089514264747</v>
      </c>
      <c r="AY103" s="51">
        <f t="shared" si="57"/>
        <v>1.2741089514264747</v>
      </c>
      <c r="AZ103" s="51">
        <f t="shared" si="57"/>
        <v>1.2741089514264747</v>
      </c>
      <c r="BA103" s="51">
        <f t="shared" si="57"/>
        <v>1.2741089514264747</v>
      </c>
      <c r="BB103" s="51">
        <f t="shared" si="57"/>
        <v>1.2741089514264747</v>
      </c>
      <c r="BC103" s="51">
        <f t="shared" si="57"/>
        <v>1.2741089514264747</v>
      </c>
      <c r="BD103" s="51">
        <f t="shared" si="57"/>
        <v>1.2741089514264747</v>
      </c>
      <c r="BE103" s="51">
        <f t="shared" si="57"/>
        <v>1.2741089514264747</v>
      </c>
      <c r="BF103" s="51">
        <f t="shared" si="57"/>
        <v>1.2741089514264747</v>
      </c>
      <c r="BG103" s="51">
        <f t="shared" si="57"/>
        <v>1.2741089514264747</v>
      </c>
      <c r="BH103" s="51">
        <f t="shared" si="57"/>
        <v>1.2741089514264747</v>
      </c>
      <c r="BI103" s="51">
        <f t="shared" si="57"/>
        <v>1.2741089514264747</v>
      </c>
      <c r="BJ103" s="51">
        <f t="shared" si="57"/>
        <v>1.2741089514264747</v>
      </c>
      <c r="BK103" s="51">
        <f t="shared" si="57"/>
        <v>1.2741089514264747</v>
      </c>
      <c r="BL103" s="51">
        <f t="shared" si="57"/>
        <v>1.2741089514264747</v>
      </c>
      <c r="BM103" s="51">
        <f t="shared" si="57"/>
        <v>1.2741089514264747</v>
      </c>
      <c r="BN103" s="51">
        <f t="shared" si="57"/>
        <v>1.2741089514264747</v>
      </c>
      <c r="BO103" s="51">
        <f t="shared" si="57"/>
        <v>1.2741089514264747</v>
      </c>
      <c r="BP103" s="51">
        <f t="shared" si="57"/>
        <v>1.2741089514264747</v>
      </c>
      <c r="BQ103" s="51">
        <f t="shared" si="57"/>
        <v>1.2741089514264747</v>
      </c>
      <c r="BR103" s="51">
        <f t="shared" si="57"/>
        <v>1.2741089514264747</v>
      </c>
      <c r="BS103" s="51">
        <f t="shared" si="57"/>
        <v>1.2741089514264747</v>
      </c>
      <c r="BT103" s="51">
        <f t="shared" si="58" ref="BT103:CK103">IF(BT3="","",BT3/$G3)</f>
        <v>1.2741089514264747</v>
      </c>
      <c r="BU103" s="51">
        <f t="shared" si="58"/>
        <v>1.2741089514264747</v>
      </c>
      <c r="BV103" s="51">
        <f t="shared" si="58"/>
        <v>1.2741089514264747</v>
      </c>
      <c r="BW103" s="51">
        <f t="shared" si="58"/>
        <v>1.2741089514264747</v>
      </c>
      <c r="BX103" s="51">
        <f t="shared" si="58"/>
        <v>1.2741089514264747</v>
      </c>
      <c r="BY103" s="51">
        <f t="shared" si="58"/>
        <v>1.2741089514264747</v>
      </c>
      <c r="BZ103" s="51">
        <f t="shared" si="58"/>
        <v>1.2741089514264747</v>
      </c>
      <c r="CA103" s="51">
        <f t="shared" si="58"/>
        <v>1.2741089514264747</v>
      </c>
      <c r="CB103" s="51">
        <f t="shared" si="58"/>
        <v>1.2741089514264747</v>
      </c>
      <c r="CC103" s="51">
        <f t="shared" si="58"/>
        <v>1.2741089514264747</v>
      </c>
      <c r="CD103" s="51">
        <f t="shared" si="58"/>
        <v>1.2741089514264747</v>
      </c>
      <c r="CE103" s="51">
        <f t="shared" si="58"/>
        <v>1.2741089514264747</v>
      </c>
      <c r="CF103" s="51">
        <f t="shared" si="58"/>
        <v>1.2741089514264747</v>
      </c>
      <c r="CG103" s="51">
        <f t="shared" si="58"/>
        <v>1.2741089514264747</v>
      </c>
      <c r="CH103" s="51">
        <f t="shared" si="58"/>
        <v>1.2741089514264747</v>
      </c>
      <c r="CI103" s="51">
        <f t="shared" si="58"/>
        <v>1.2741089514264747</v>
      </c>
      <c r="CJ103" s="51">
        <f t="shared" si="58"/>
        <v>1.2741089514264747</v>
      </c>
      <c r="CK103" s="51">
        <f t="shared" si="58"/>
        <v>1.2741089514264747</v>
      </c>
    </row>
    <row r="104" spans="6:89" ht="14.4">
      <c r="F104" t="s">
        <v>17</v>
      </c>
      <c r="G104" s="51">
        <f t="shared" si="59" ref="G104:BR104">IF(G4="","",G4/$G4)</f>
        <v>1</v>
      </c>
      <c r="H104" s="51">
        <f t="shared" si="59"/>
        <v>1</v>
      </c>
      <c r="I104" s="51">
        <f t="shared" si="59"/>
        <v>1</v>
      </c>
      <c r="J104" s="51">
        <f t="shared" si="59"/>
        <v>1</v>
      </c>
      <c r="K104" s="51">
        <f t="shared" si="59"/>
        <v>1.03</v>
      </c>
      <c r="L104" s="51">
        <f t="shared" si="59"/>
        <v>1.1216977256826028</v>
      </c>
      <c r="M104" s="51">
        <f t="shared" si="59"/>
        <v>1.1284907100630299</v>
      </c>
      <c r="N104" s="51">
        <f t="shared" si="59"/>
        <v>1.1354514462519469</v>
      </c>
      <c r="O104" s="51">
        <f t="shared" si="59"/>
        <v>1.1425840792235855</v>
      </c>
      <c r="P104" s="51">
        <f t="shared" si="59"/>
        <v>1.149892856183341</v>
      </c>
      <c r="Q104" s="51">
        <f t="shared" si="59"/>
        <v>1.1573821289407351</v>
      </c>
      <c r="R104" s="51">
        <f t="shared" si="59"/>
        <v>1.1650563566891705</v>
      </c>
      <c r="S104" s="51">
        <f t="shared" si="59"/>
        <v>1.1729201088614278</v>
      </c>
      <c r="T104" s="51">
        <f t="shared" si="59"/>
        <v>1.1809746303054511</v>
      </c>
      <c r="U104" s="51">
        <f t="shared" si="59"/>
        <v>1.1892285747385933</v>
      </c>
      <c r="V104" s="51">
        <f t="shared" si="59"/>
        <v>1.1976869077314742</v>
      </c>
      <c r="W104" s="51">
        <f t="shared" si="59"/>
        <v>1.2063547206067569</v>
      </c>
      <c r="X104" s="51">
        <f t="shared" si="59"/>
        <v>1.2152372332855248</v>
      </c>
      <c r="Y104" s="51">
        <f t="shared" si="59"/>
        <v>1.2243397983038253</v>
      </c>
      <c r="Z104" s="51">
        <f t="shared" si="59"/>
        <v>1.2336679043746686</v>
      </c>
      <c r="AA104" s="51">
        <f t="shared" si="59"/>
        <v>1.2432271801241388</v>
      </c>
      <c r="AB104" s="51">
        <f t="shared" si="59"/>
        <v>1.2530233978324072</v>
      </c>
      <c r="AC104" s="51">
        <f t="shared" si="59"/>
        <v>1.2630624777946864</v>
      </c>
      <c r="AD104" s="51">
        <f t="shared" si="59"/>
        <v>1.2733504924700743</v>
      </c>
      <c r="AE104" s="51">
        <f t="shared" si="59"/>
        <v>1.2838936704841735</v>
      </c>
      <c r="AF104" s="51">
        <f t="shared" si="59"/>
        <v>1.2946984016817353</v>
      </c>
      <c r="AG104" s="51">
        <f t="shared" si="59"/>
        <v>1.3057712414431379</v>
      </c>
      <c r="AH104" s="51">
        <f t="shared" si="59"/>
        <v>1.3171189156696377</v>
      </c>
      <c r="AI104" s="51">
        <f t="shared" si="59"/>
        <v>1.3287483259396959</v>
      </c>
      <c r="AJ104" s="51">
        <f t="shared" si="59"/>
        <v>1.3406665543786485</v>
      </c>
      <c r="AK104" s="51">
        <f t="shared" si="59"/>
        <v>1.3528808697909245</v>
      </c>
      <c r="AL104" s="51">
        <f t="shared" si="59"/>
        <v>1.3653987328115564</v>
      </c>
      <c r="AM104" s="51">
        <f t="shared" si="59"/>
        <v>1.3782278020754324</v>
      </c>
      <c r="AN104" s="51">
        <f t="shared" si="59"/>
        <v>1.3782278020754324</v>
      </c>
      <c r="AO104" s="51">
        <f t="shared" si="59"/>
        <v>1.3782278020754324</v>
      </c>
      <c r="AP104" s="51">
        <f t="shared" si="59"/>
        <v>1.3782278020754324</v>
      </c>
      <c r="AQ104" s="51">
        <f t="shared" si="59"/>
        <v>1.3782278020754324</v>
      </c>
      <c r="AR104" s="51">
        <f t="shared" si="59"/>
        <v>1.3782278020754324</v>
      </c>
      <c r="AS104" s="51">
        <f t="shared" si="59"/>
        <v>1.3782278020754324</v>
      </c>
      <c r="AT104" s="51">
        <f t="shared" si="59"/>
        <v>1.3782278020754324</v>
      </c>
      <c r="AU104" s="51">
        <f t="shared" si="59"/>
        <v>1.3782278020754324</v>
      </c>
      <c r="AV104" s="51">
        <f t="shared" si="59"/>
        <v>1.3782278020754324</v>
      </c>
      <c r="AW104" s="51">
        <f t="shared" si="59"/>
        <v>1.3782278020754324</v>
      </c>
      <c r="AX104" s="51">
        <f t="shared" si="59"/>
        <v>1.3782278020754324</v>
      </c>
      <c r="AY104" s="51">
        <f t="shared" si="59"/>
        <v>1.3782278020754324</v>
      </c>
      <c r="AZ104" s="51">
        <f t="shared" si="59"/>
        <v>1.3782278020754324</v>
      </c>
      <c r="BA104" s="51">
        <f t="shared" si="59"/>
        <v>1.3782278020754324</v>
      </c>
      <c r="BB104" s="51">
        <f t="shared" si="59"/>
        <v>1.3782278020754324</v>
      </c>
      <c r="BC104" s="51">
        <f t="shared" si="59"/>
        <v>1.3782278020754324</v>
      </c>
      <c r="BD104" s="51">
        <f t="shared" si="59"/>
        <v>1.3782278020754324</v>
      </c>
      <c r="BE104" s="51">
        <f t="shared" si="59"/>
        <v>1.3782278020754324</v>
      </c>
      <c r="BF104" s="51">
        <f t="shared" si="59"/>
        <v>1.3782278020754324</v>
      </c>
      <c r="BG104" s="51">
        <f t="shared" si="59"/>
        <v>1.3782278020754324</v>
      </c>
      <c r="BH104" s="51">
        <f t="shared" si="59"/>
        <v>1.3782278020754324</v>
      </c>
      <c r="BI104" s="51">
        <f t="shared" si="59"/>
        <v>1.3782278020754324</v>
      </c>
      <c r="BJ104" s="51">
        <f t="shared" si="59"/>
        <v>1.3782278020754324</v>
      </c>
      <c r="BK104" s="51">
        <f t="shared" si="59"/>
        <v>1.3782278020754324</v>
      </c>
      <c r="BL104" s="51">
        <f t="shared" si="59"/>
        <v>1.3782278020754324</v>
      </c>
      <c r="BM104" s="51">
        <f t="shared" si="59"/>
        <v>1.3782278020754324</v>
      </c>
      <c r="BN104" s="51">
        <f t="shared" si="59"/>
        <v>1.3782278020754324</v>
      </c>
      <c r="BO104" s="51">
        <f t="shared" si="59"/>
        <v>1.3782278020754324</v>
      </c>
      <c r="BP104" s="51">
        <f t="shared" si="59"/>
        <v>1.3782278020754324</v>
      </c>
      <c r="BQ104" s="51">
        <f t="shared" si="59"/>
        <v>1.3782278020754324</v>
      </c>
      <c r="BR104" s="51">
        <f t="shared" si="59"/>
        <v>1.3782278020754324</v>
      </c>
      <c r="BS104" s="51">
        <f t="shared" si="60" ref="BS104:CK104">IF(BS4="","",BS4/$G4)</f>
        <v>1.3782278020754324</v>
      </c>
      <c r="BT104" s="51">
        <f t="shared" si="60"/>
        <v>1.3782278020754324</v>
      </c>
      <c r="BU104" s="51">
        <f t="shared" si="60"/>
        <v>1.3782278020754324</v>
      </c>
      <c r="BV104" s="51">
        <f t="shared" si="60"/>
        <v>1.3782278020754324</v>
      </c>
      <c r="BW104" s="51">
        <f t="shared" si="60"/>
        <v>1.3782278020754324</v>
      </c>
      <c r="BX104" s="51">
        <f t="shared" si="60"/>
        <v>1.3782278020754324</v>
      </c>
      <c r="BY104" s="51">
        <f t="shared" si="60"/>
        <v>1.3782278020754324</v>
      </c>
      <c r="BZ104" s="51">
        <f t="shared" si="60"/>
        <v>1.3782278020754324</v>
      </c>
      <c r="CA104" s="51">
        <f t="shared" si="60"/>
        <v>1.3782278020754324</v>
      </c>
      <c r="CB104" s="51">
        <f t="shared" si="60"/>
        <v>1.3782278020754324</v>
      </c>
      <c r="CC104" s="51">
        <f t="shared" si="60"/>
        <v>1.3782278020754324</v>
      </c>
      <c r="CD104" s="51">
        <f t="shared" si="60"/>
        <v>1.3782278020754324</v>
      </c>
      <c r="CE104" s="51">
        <f t="shared" si="60"/>
        <v>1.3782278020754324</v>
      </c>
      <c r="CF104" s="51">
        <f t="shared" si="60"/>
        <v>1.3782278020754324</v>
      </c>
      <c r="CG104" s="51">
        <f t="shared" si="60"/>
        <v>1.3782278020754324</v>
      </c>
      <c r="CH104" s="51">
        <f t="shared" si="60"/>
        <v>1.3782278020754324</v>
      </c>
      <c r="CI104" s="51">
        <f t="shared" si="60"/>
        <v>1.3782278020754324</v>
      </c>
      <c r="CJ104" s="51">
        <f t="shared" si="60"/>
        <v>1.3782278020754324</v>
      </c>
      <c r="CK104" s="51">
        <f t="shared" si="60"/>
        <v>1.3782278020754324</v>
      </c>
    </row>
    <row r="105" spans="6:89" ht="14.4">
      <c r="F105" t="s">
        <v>212</v>
      </c>
      <c r="G105" s="51">
        <f t="shared" si="61" ref="G105:BR105">IF(G5="","",G5/$G5)</f>
        <v>1</v>
      </c>
      <c r="H105" s="51">
        <f t="shared" si="61"/>
        <v>1</v>
      </c>
      <c r="I105" s="51">
        <f t="shared" si="61"/>
        <v>1</v>
      </c>
      <c r="J105" s="51">
        <f t="shared" si="61"/>
        <v>1</v>
      </c>
      <c r="K105" s="51">
        <f t="shared" si="61"/>
        <v>1.03</v>
      </c>
      <c r="L105" s="51">
        <f t="shared" si="61"/>
        <v>1.205587668195879</v>
      </c>
      <c r="M105" s="51">
        <f t="shared" si="61"/>
        <v>1.2299515368722238</v>
      </c>
      <c r="N105" s="51">
        <f t="shared" si="61"/>
        <v>1.253429645974395</v>
      </c>
      <c r="O105" s="51">
        <f t="shared" si="61"/>
        <v>1.2761247117335701</v>
      </c>
      <c r="P105" s="51">
        <f t="shared" si="61"/>
        <v>1.298072352362637</v>
      </c>
      <c r="Q105" s="51">
        <f t="shared" si="61"/>
        <v>1.3194233855655246</v>
      </c>
      <c r="R105" s="51">
        <f t="shared" si="61"/>
        <v>1.3403293082723822</v>
      </c>
      <c r="S105" s="51">
        <f t="shared" si="61"/>
        <v>1.3607830955938791</v>
      </c>
      <c r="T105" s="51">
        <f t="shared" si="61"/>
        <v>1.3808674840838635</v>
      </c>
      <c r="U105" s="51">
        <f t="shared" si="61"/>
        <v>1.4005723086523931</v>
      </c>
      <c r="V105" s="51">
        <f t="shared" si="61"/>
        <v>1.4199541123550374</v>
      </c>
      <c r="W105" s="51">
        <f t="shared" si="61"/>
        <v>1.4390452512638487</v>
      </c>
      <c r="X105" s="51">
        <f t="shared" si="61"/>
        <v>1.4578111487964691</v>
      </c>
      <c r="Y105" s="51">
        <f t="shared" si="61"/>
        <v>1.4762418640517394</v>
      </c>
      <c r="Z105" s="51">
        <f t="shared" si="61"/>
        <v>1.494325444570042</v>
      </c>
      <c r="AA105" s="51">
        <f t="shared" si="61"/>
        <v>1.5120594330691173</v>
      </c>
      <c r="AB105" s="51">
        <f t="shared" si="61"/>
        <v>1.5294094254688082</v>
      </c>
      <c r="AC105" s="51">
        <f t="shared" si="61"/>
        <v>1.5463625812630581</v>
      </c>
      <c r="AD105" s="51">
        <f t="shared" si="61"/>
        <v>1.5629205737494565</v>
      </c>
      <c r="AE105" s="51">
        <f t="shared" si="61"/>
        <v>1.5790653167852904</v>
      </c>
      <c r="AF105" s="51">
        <f t="shared" si="61"/>
        <v>1.5947705160417782</v>
      </c>
      <c r="AG105" s="51">
        <f t="shared" si="61"/>
        <v>1.6099703109084647</v>
      </c>
      <c r="AH105" s="51">
        <f t="shared" si="61"/>
        <v>1.6246595570404889</v>
      </c>
      <c r="AI105" s="51">
        <f t="shared" si="61"/>
        <v>1.6388441890627481</v>
      </c>
      <c r="AJ105" s="51">
        <f t="shared" si="61"/>
        <v>1.6525066008797515</v>
      </c>
      <c r="AK105" s="51">
        <f t="shared" si="61"/>
        <v>1.6656415680968284</v>
      </c>
      <c r="AL105" s="51">
        <f t="shared" si="61"/>
        <v>1.678208792310502</v>
      </c>
      <c r="AM105" s="51">
        <f t="shared" si="61"/>
        <v>1.6902222160631175</v>
      </c>
      <c r="AN105" s="51">
        <f t="shared" si="61"/>
        <v>1.6902222160631175</v>
      </c>
      <c r="AO105" s="51">
        <f t="shared" si="61"/>
        <v>1.6902222160631175</v>
      </c>
      <c r="AP105" s="51">
        <f t="shared" si="61"/>
        <v>1.6902222160631175</v>
      </c>
      <c r="AQ105" s="51">
        <f t="shared" si="61"/>
        <v>1.6902222160631175</v>
      </c>
      <c r="AR105" s="51">
        <f t="shared" si="61"/>
        <v>1.6902222160631175</v>
      </c>
      <c r="AS105" s="51">
        <f t="shared" si="61"/>
        <v>1.6902222160631175</v>
      </c>
      <c r="AT105" s="51">
        <f t="shared" si="61"/>
        <v>1.6902222160631175</v>
      </c>
      <c r="AU105" s="51">
        <f t="shared" si="61"/>
        <v>1.6902222160631175</v>
      </c>
      <c r="AV105" s="51">
        <f t="shared" si="61"/>
        <v>1.6902222160631175</v>
      </c>
      <c r="AW105" s="51">
        <f t="shared" si="61"/>
        <v>1.6902222160631175</v>
      </c>
      <c r="AX105" s="51">
        <f t="shared" si="61"/>
        <v>1.6902222160631175</v>
      </c>
      <c r="AY105" s="51">
        <f t="shared" si="61"/>
        <v>1.6902222160631175</v>
      </c>
      <c r="AZ105" s="51">
        <f t="shared" si="61"/>
        <v>1.6902222160631175</v>
      </c>
      <c r="BA105" s="51">
        <f t="shared" si="61"/>
        <v>1.6902222160631175</v>
      </c>
      <c r="BB105" s="51">
        <f t="shared" si="61"/>
        <v>1.6902222160631175</v>
      </c>
      <c r="BC105" s="51">
        <f t="shared" si="61"/>
        <v>1.6902222160631175</v>
      </c>
      <c r="BD105" s="51">
        <f t="shared" si="61"/>
        <v>1.6902222160631175</v>
      </c>
      <c r="BE105" s="51">
        <f t="shared" si="61"/>
        <v>1.6902222160631175</v>
      </c>
      <c r="BF105" s="51">
        <f t="shared" si="61"/>
        <v>1.6902222160631175</v>
      </c>
      <c r="BG105" s="51">
        <f t="shared" si="61"/>
        <v>1.6902222160631175</v>
      </c>
      <c r="BH105" s="51">
        <f t="shared" si="61"/>
        <v>1.6902222160631175</v>
      </c>
      <c r="BI105" s="51">
        <f t="shared" si="61"/>
        <v>1.6902222160631175</v>
      </c>
      <c r="BJ105" s="51">
        <f t="shared" si="61"/>
        <v>1.6902222160631175</v>
      </c>
      <c r="BK105" s="51">
        <f t="shared" si="61"/>
        <v>1.6902222160631175</v>
      </c>
      <c r="BL105" s="51">
        <f t="shared" si="61"/>
        <v>1.6902222160631175</v>
      </c>
      <c r="BM105" s="51">
        <f t="shared" si="61"/>
        <v>1.6902222160631175</v>
      </c>
      <c r="BN105" s="51">
        <f t="shared" si="61"/>
        <v>1.6902222160631175</v>
      </c>
      <c r="BO105" s="51">
        <f t="shared" si="61"/>
        <v>1.6902222160631175</v>
      </c>
      <c r="BP105" s="51">
        <f t="shared" si="61"/>
        <v>1.6902222160631175</v>
      </c>
      <c r="BQ105" s="51">
        <f t="shared" si="61"/>
        <v>1.6902222160631175</v>
      </c>
      <c r="BR105" s="51">
        <f t="shared" si="61"/>
        <v>1.6902222160631175</v>
      </c>
      <c r="BS105" s="51">
        <f t="shared" si="62" ref="BS105:CK105">IF(BS5="","",BS5/$G5)</f>
        <v>1.6902222160631175</v>
      </c>
      <c r="BT105" s="51">
        <f t="shared" si="62"/>
        <v>1.6902222160631175</v>
      </c>
      <c r="BU105" s="51">
        <f t="shared" si="62"/>
        <v>1.6902222160631175</v>
      </c>
      <c r="BV105" s="51">
        <f t="shared" si="62"/>
        <v>1.6902222160631175</v>
      </c>
      <c r="BW105" s="51">
        <f t="shared" si="62"/>
        <v>1.6902222160631175</v>
      </c>
      <c r="BX105" s="51">
        <f t="shared" si="62"/>
        <v>1.6902222160631175</v>
      </c>
      <c r="BY105" s="51">
        <f t="shared" si="62"/>
        <v>1.6902222160631175</v>
      </c>
      <c r="BZ105" s="51">
        <f t="shared" si="62"/>
        <v>1.6902222160631175</v>
      </c>
      <c r="CA105" s="51">
        <f t="shared" si="62"/>
        <v>1.6902222160631175</v>
      </c>
      <c r="CB105" s="51">
        <f t="shared" si="62"/>
        <v>1.6902222160631175</v>
      </c>
      <c r="CC105" s="51">
        <f t="shared" si="62"/>
        <v>1.6902222160631175</v>
      </c>
      <c r="CD105" s="51">
        <f t="shared" si="62"/>
        <v>1.6902222160631175</v>
      </c>
      <c r="CE105" s="51">
        <f t="shared" si="62"/>
        <v>1.6902222160631175</v>
      </c>
      <c r="CF105" s="51">
        <f t="shared" si="62"/>
        <v>1.6902222160631175</v>
      </c>
      <c r="CG105" s="51">
        <f t="shared" si="62"/>
        <v>1.6902222160631175</v>
      </c>
      <c r="CH105" s="51">
        <f t="shared" si="62"/>
        <v>1.6902222160631175</v>
      </c>
      <c r="CI105" s="51">
        <f t="shared" si="62"/>
        <v>1.6902222160631175</v>
      </c>
      <c r="CJ105" s="51">
        <f t="shared" si="62"/>
        <v>1.6902222160631175</v>
      </c>
      <c r="CK105" s="51">
        <f t="shared" si="62"/>
        <v>1.6902222160631175</v>
      </c>
    </row>
    <row r="106" spans="6:89" ht="14.4">
      <c r="F106" t="s">
        <v>213</v>
      </c>
      <c r="G106" s="51">
        <f t="shared" si="63" ref="G106:BR106">IF(G6="","",G6/$G6)</f>
        <v>1</v>
      </c>
      <c r="H106" s="51">
        <f t="shared" si="63"/>
        <v>1</v>
      </c>
      <c r="I106" s="51">
        <f t="shared" si="63"/>
        <v>1</v>
      </c>
      <c r="J106" s="51">
        <f t="shared" si="63"/>
        <v>1</v>
      </c>
      <c r="K106" s="51">
        <f t="shared" si="63"/>
        <v>1.03</v>
      </c>
      <c r="L106" s="51">
        <f t="shared" si="63"/>
        <v>1.0005970782066336</v>
      </c>
      <c r="M106" s="51">
        <f t="shared" si="63"/>
        <v>1.0401763110023001</v>
      </c>
      <c r="N106" s="51">
        <f t="shared" si="63"/>
        <v>1.0813211246924275</v>
      </c>
      <c r="O106" s="51">
        <f t="shared" si="63"/>
        <v>1.124093446792128</v>
      </c>
      <c r="P106" s="51">
        <f t="shared" si="63"/>
        <v>1.1242617583436256</v>
      </c>
      <c r="Q106" s="51">
        <f t="shared" si="63"/>
        <v>1.1244300950965673</v>
      </c>
      <c r="R106" s="51">
        <f t="shared" si="63"/>
        <v>1.1245984570547269</v>
      </c>
      <c r="S106" s="51">
        <f t="shared" si="63"/>
        <v>1.1247668442218783</v>
      </c>
      <c r="T106" s="51">
        <f t="shared" si="63"/>
        <v>1.1249352566017958</v>
      </c>
      <c r="U106" s="51">
        <f t="shared" si="63"/>
        <v>1.1348932613815228</v>
      </c>
      <c r="V106" s="51">
        <f t="shared" si="63"/>
        <v>1.1449394151090324</v>
      </c>
      <c r="W106" s="51">
        <f t="shared" si="63"/>
        <v>1.1550744980849137</v>
      </c>
      <c r="X106" s="51">
        <f t="shared" si="63"/>
        <v>1.1652992975170304</v>
      </c>
      <c r="Y106" s="51">
        <f t="shared" si="63"/>
        <v>1.1756146075816656</v>
      </c>
      <c r="Z106" s="51">
        <f t="shared" si="63"/>
        <v>1.1835001070910458</v>
      </c>
      <c r="AA106" s="51">
        <f t="shared" si="63"/>
        <v>1.1914384990212172</v>
      </c>
      <c r="AB106" s="51">
        <f t="shared" si="63"/>
        <v>1.1994301381509958</v>
      </c>
      <c r="AC106" s="51">
        <f t="shared" si="63"/>
        <v>1.2074753816388948</v>
      </c>
      <c r="AD106" s="51">
        <f t="shared" si="63"/>
        <v>1.2155745890390897</v>
      </c>
      <c r="AE106" s="51">
        <f t="shared" si="63"/>
        <v>1.2219347877857436</v>
      </c>
      <c r="AF106" s="51">
        <f t="shared" si="63"/>
        <v>1.2283282647273037</v>
      </c>
      <c r="AG106" s="51">
        <f t="shared" si="63"/>
        <v>1.2347551939838406</v>
      </c>
      <c r="AH106" s="51">
        <f t="shared" si="63"/>
        <v>1.2412157505864665</v>
      </c>
      <c r="AI106" s="51">
        <f t="shared" si="63"/>
        <v>1.2477101104821005</v>
      </c>
      <c r="AJ106" s="51">
        <f t="shared" si="63"/>
        <v>1.2542580944008723</v>
      </c>
      <c r="AK106" s="51">
        <f t="shared" si="63"/>
        <v>1.260840442145857</v>
      </c>
      <c r="AL106" s="51">
        <f t="shared" si="63"/>
        <v>1.2674573340584487</v>
      </c>
      <c r="AM106" s="51">
        <f t="shared" si="63"/>
        <v>1.2741089514264747</v>
      </c>
      <c r="AN106" s="51">
        <f t="shared" si="63"/>
        <v>1.2741089514264747</v>
      </c>
      <c r="AO106" s="51">
        <f t="shared" si="63"/>
        <v>1.2741089514264747</v>
      </c>
      <c r="AP106" s="51">
        <f t="shared" si="63"/>
        <v>1.2741089514264747</v>
      </c>
      <c r="AQ106" s="51">
        <f t="shared" si="63"/>
        <v>1.2741089514264747</v>
      </c>
      <c r="AR106" s="51">
        <f t="shared" si="63"/>
        <v>1.2741089514264747</v>
      </c>
      <c r="AS106" s="51">
        <f t="shared" si="63"/>
        <v>1.2741089514264747</v>
      </c>
      <c r="AT106" s="51">
        <f t="shared" si="63"/>
        <v>1.2741089514264747</v>
      </c>
      <c r="AU106" s="51">
        <f t="shared" si="63"/>
        <v>1.2741089514264747</v>
      </c>
      <c r="AV106" s="51">
        <f t="shared" si="63"/>
        <v>1.2741089514264747</v>
      </c>
      <c r="AW106" s="51">
        <f t="shared" si="63"/>
        <v>1.2741089514264747</v>
      </c>
      <c r="AX106" s="51">
        <f t="shared" si="63"/>
        <v>1.2741089514264747</v>
      </c>
      <c r="AY106" s="51">
        <f t="shared" si="63"/>
        <v>1.2741089514264747</v>
      </c>
      <c r="AZ106" s="51">
        <f t="shared" si="63"/>
        <v>1.2741089514264747</v>
      </c>
      <c r="BA106" s="51">
        <f t="shared" si="63"/>
        <v>1.2741089514264747</v>
      </c>
      <c r="BB106" s="51">
        <f t="shared" si="63"/>
        <v>1.2741089514264747</v>
      </c>
      <c r="BC106" s="51">
        <f t="shared" si="63"/>
        <v>1.2741089514264747</v>
      </c>
      <c r="BD106" s="51">
        <f t="shared" si="63"/>
        <v>1.2741089514264747</v>
      </c>
      <c r="BE106" s="51">
        <f t="shared" si="63"/>
        <v>1.2741089514264747</v>
      </c>
      <c r="BF106" s="51">
        <f t="shared" si="63"/>
        <v>1.2741089514264747</v>
      </c>
      <c r="BG106" s="51">
        <f t="shared" si="63"/>
        <v>1.2741089514264747</v>
      </c>
      <c r="BH106" s="51">
        <f t="shared" si="63"/>
        <v>1.2741089514264747</v>
      </c>
      <c r="BI106" s="51">
        <f t="shared" si="63"/>
        <v>1.2741089514264747</v>
      </c>
      <c r="BJ106" s="51">
        <f t="shared" si="63"/>
        <v>1.2741089514264747</v>
      </c>
      <c r="BK106" s="51">
        <f t="shared" si="63"/>
        <v>1.2741089514264747</v>
      </c>
      <c r="BL106" s="51">
        <f t="shared" si="63"/>
        <v>1.2741089514264747</v>
      </c>
      <c r="BM106" s="51">
        <f t="shared" si="63"/>
        <v>1.2741089514264747</v>
      </c>
      <c r="BN106" s="51">
        <f t="shared" si="63"/>
        <v>1.2741089514264747</v>
      </c>
      <c r="BO106" s="51">
        <f t="shared" si="63"/>
        <v>1.2741089514264747</v>
      </c>
      <c r="BP106" s="51">
        <f t="shared" si="63"/>
        <v>1.2741089514264747</v>
      </c>
      <c r="BQ106" s="51">
        <f t="shared" si="63"/>
        <v>1.2741089514264747</v>
      </c>
      <c r="BR106" s="51">
        <f t="shared" si="63"/>
        <v>1.2741089514264747</v>
      </c>
      <c r="BS106" s="51">
        <f t="shared" si="64" ref="BS106:CK106">IF(BS6="","",BS6/$G6)</f>
        <v>1.2741089514264747</v>
      </c>
      <c r="BT106" s="51">
        <f t="shared" si="64"/>
        <v>1.2741089514264747</v>
      </c>
      <c r="BU106" s="51">
        <f t="shared" si="64"/>
        <v>1.2741089514264747</v>
      </c>
      <c r="BV106" s="51">
        <f t="shared" si="64"/>
        <v>1.2741089514264747</v>
      </c>
      <c r="BW106" s="51">
        <f t="shared" si="64"/>
        <v>1.2741089514264747</v>
      </c>
      <c r="BX106" s="51">
        <f t="shared" si="64"/>
        <v>1.2741089514264747</v>
      </c>
      <c r="BY106" s="51">
        <f t="shared" si="64"/>
        <v>1.2741089514264747</v>
      </c>
      <c r="BZ106" s="51">
        <f t="shared" si="64"/>
        <v>1.2741089514264747</v>
      </c>
      <c r="CA106" s="51">
        <f t="shared" si="64"/>
        <v>1.2741089514264747</v>
      </c>
      <c r="CB106" s="51">
        <f t="shared" si="64"/>
        <v>1.2741089514264747</v>
      </c>
      <c r="CC106" s="51">
        <f t="shared" si="64"/>
        <v>1.2741089514264747</v>
      </c>
      <c r="CD106" s="51">
        <f t="shared" si="64"/>
        <v>1.2741089514264747</v>
      </c>
      <c r="CE106" s="51">
        <f t="shared" si="64"/>
        <v>1.2741089514264747</v>
      </c>
      <c r="CF106" s="51">
        <f t="shared" si="64"/>
        <v>1.2741089514264747</v>
      </c>
      <c r="CG106" s="51">
        <f t="shared" si="64"/>
        <v>1.2741089514264747</v>
      </c>
      <c r="CH106" s="51">
        <f t="shared" si="64"/>
        <v>1.2741089514264747</v>
      </c>
      <c r="CI106" s="51">
        <f t="shared" si="64"/>
        <v>1.2741089514264747</v>
      </c>
      <c r="CJ106" s="51">
        <f t="shared" si="64"/>
        <v>1.2741089514264747</v>
      </c>
      <c r="CK106" s="51">
        <f t="shared" si="64"/>
        <v>1.2741089514264747</v>
      </c>
    </row>
    <row r="107" spans="6:89" ht="14.4">
      <c r="F107" t="s">
        <v>23</v>
      </c>
      <c r="G107" s="51">
        <f t="shared" si="65" ref="G107:BR107">IF(G7="","",G7/$G7)</f>
        <v>1</v>
      </c>
      <c r="H107" s="51">
        <f t="shared" si="65"/>
        <v>1</v>
      </c>
      <c r="I107" s="51">
        <f t="shared" si="65"/>
        <v>1</v>
      </c>
      <c r="J107" s="51">
        <f t="shared" si="65"/>
        <v>1</v>
      </c>
      <c r="K107" s="51">
        <f t="shared" si="65"/>
        <v>1.03</v>
      </c>
      <c r="L107" s="51">
        <f t="shared" si="65"/>
        <v>0.89518494664176806</v>
      </c>
      <c r="M107" s="51">
        <f t="shared" si="65"/>
        <v>0.89974629467751377</v>
      </c>
      <c r="N107" s="51">
        <f t="shared" si="65"/>
        <v>0.9044227334824857</v>
      </c>
      <c r="O107" s="51">
        <f t="shared" si="65"/>
        <v>0.90921726349866905</v>
      </c>
      <c r="P107" s="51">
        <f t="shared" si="65"/>
        <v>0.91413296968773983</v>
      </c>
      <c r="Q107" s="51">
        <f t="shared" si="65"/>
        <v>0.91917302382558375</v>
      </c>
      <c r="R107" s="51">
        <f t="shared" si="65"/>
        <v>0.92434068923276946</v>
      </c>
      <c r="S107" s="51">
        <f t="shared" si="65"/>
        <v>0.92963932453736908</v>
      </c>
      <c r="T107" s="51">
        <f t="shared" si="65"/>
        <v>0.93512516656154787</v>
      </c>
      <c r="U107" s="51">
        <f t="shared" si="65"/>
        <v>0.94074731810134837</v>
      </c>
      <c r="V107" s="51">
        <f t="shared" si="65"/>
        <v>0.94650929677958551</v>
      </c>
      <c r="W107" s="51">
        <f t="shared" si="65"/>
        <v>0.95241472271396777</v>
      </c>
      <c r="X107" s="51">
        <f t="shared" si="65"/>
        <v>0.95846732233746845</v>
      </c>
      <c r="Y107" s="51">
        <f t="shared" si="65"/>
        <v>0.96467093278439764</v>
      </c>
      <c r="Z107" s="51">
        <f t="shared" si="65"/>
        <v>0.97102950753815043</v>
      </c>
      <c r="AA107" s="51">
        <f t="shared" si="65"/>
        <v>0.97754712063788285</v>
      </c>
      <c r="AB107" s="51">
        <f t="shared" si="65"/>
        <v>0.98422797313019483</v>
      </c>
      <c r="AC107" s="51">
        <f t="shared" si="65"/>
        <v>0.9910763980454862</v>
      </c>
      <c r="AD107" s="51">
        <f t="shared" si="65"/>
        <v>0.99809686795564023</v>
      </c>
      <c r="AE107" s="51">
        <f t="shared" si="65"/>
        <v>1.0052940018531011</v>
      </c>
      <c r="AF107" s="51">
        <f t="shared" si="65"/>
        <v>1.0126725719365659</v>
      </c>
      <c r="AG107" s="51">
        <f t="shared" si="65"/>
        <v>1.0202375132149522</v>
      </c>
      <c r="AH107" s="51">
        <f t="shared" si="65"/>
        <v>1.0279939318999656</v>
      </c>
      <c r="AI107" s="51">
        <f t="shared" si="65"/>
        <v>1.0359471149638824</v>
      </c>
      <c r="AJ107" s="51">
        <f t="shared" si="65"/>
        <v>1.0441025420044654</v>
      </c>
      <c r="AK107" s="51">
        <f t="shared" si="65"/>
        <v>1.0524658961758644</v>
      </c>
      <c r="AL107" s="51">
        <f t="shared" si="65"/>
        <v>1.0610430776903106</v>
      </c>
      <c r="AM107" s="51">
        <f t="shared" si="65"/>
        <v>1.0698402177415325</v>
      </c>
      <c r="AN107" s="51">
        <f t="shared" si="65"/>
        <v>1.0698402177415325</v>
      </c>
      <c r="AO107" s="51">
        <f t="shared" si="65"/>
        <v>1.0698402177415325</v>
      </c>
      <c r="AP107" s="51">
        <f t="shared" si="65"/>
        <v>1.0698402177415325</v>
      </c>
      <c r="AQ107" s="51">
        <f t="shared" si="65"/>
        <v>1.0698402177415325</v>
      </c>
      <c r="AR107" s="51">
        <f t="shared" si="65"/>
        <v>1.0698402177415325</v>
      </c>
      <c r="AS107" s="51">
        <f t="shared" si="65"/>
        <v>1.0698402177415325</v>
      </c>
      <c r="AT107" s="51">
        <f t="shared" si="65"/>
        <v>1.0698402177415325</v>
      </c>
      <c r="AU107" s="51">
        <f t="shared" si="65"/>
        <v>1.0698402177415325</v>
      </c>
      <c r="AV107" s="51">
        <f t="shared" si="65"/>
        <v>1.0698402177415325</v>
      </c>
      <c r="AW107" s="51">
        <f t="shared" si="65"/>
        <v>1.0698402177415325</v>
      </c>
      <c r="AX107" s="51">
        <f t="shared" si="65"/>
        <v>1.0698402177415325</v>
      </c>
      <c r="AY107" s="51">
        <f t="shared" si="65"/>
        <v>1.0698402177415325</v>
      </c>
      <c r="AZ107" s="51">
        <f t="shared" si="65"/>
        <v>1.0698402177415325</v>
      </c>
      <c r="BA107" s="51">
        <f t="shared" si="65"/>
        <v>1.0698402177415325</v>
      </c>
      <c r="BB107" s="51">
        <f t="shared" si="65"/>
        <v>1.0698402177415325</v>
      </c>
      <c r="BC107" s="51">
        <f t="shared" si="65"/>
        <v>1.0698402177415325</v>
      </c>
      <c r="BD107" s="51">
        <f t="shared" si="65"/>
        <v>1.0698402177415325</v>
      </c>
      <c r="BE107" s="51">
        <f t="shared" si="65"/>
        <v>1.0698402177415325</v>
      </c>
      <c r="BF107" s="51">
        <f t="shared" si="65"/>
        <v>1.0698402177415325</v>
      </c>
      <c r="BG107" s="51">
        <f t="shared" si="65"/>
        <v>1.0698402177415325</v>
      </c>
      <c r="BH107" s="51">
        <f t="shared" si="65"/>
        <v>1.0698402177415325</v>
      </c>
      <c r="BI107" s="51">
        <f t="shared" si="65"/>
        <v>1.0698402177415325</v>
      </c>
      <c r="BJ107" s="51">
        <f t="shared" si="65"/>
        <v>1.0698402177415325</v>
      </c>
      <c r="BK107" s="51">
        <f t="shared" si="65"/>
        <v>1.0698402177415325</v>
      </c>
      <c r="BL107" s="51">
        <f t="shared" si="65"/>
        <v>1.0698402177415325</v>
      </c>
      <c r="BM107" s="51">
        <f t="shared" si="65"/>
        <v>1.0698402177415325</v>
      </c>
      <c r="BN107" s="51">
        <f t="shared" si="65"/>
        <v>1.0698402177415325</v>
      </c>
      <c r="BO107" s="51">
        <f t="shared" si="65"/>
        <v>1.0698402177415325</v>
      </c>
      <c r="BP107" s="51">
        <f t="shared" si="65"/>
        <v>1.0698402177415325</v>
      </c>
      <c r="BQ107" s="51">
        <f t="shared" si="65"/>
        <v>1.0698402177415325</v>
      </c>
      <c r="BR107" s="51">
        <f t="shared" si="65"/>
        <v>1.0698402177415325</v>
      </c>
      <c r="BS107" s="51">
        <f t="shared" si="66" ref="BS107:CK107">IF(BS7="","",BS7/$G7)</f>
        <v>1.0698402177415325</v>
      </c>
      <c r="BT107" s="51">
        <f t="shared" si="66"/>
        <v>1.0698402177415325</v>
      </c>
      <c r="BU107" s="51">
        <f t="shared" si="66"/>
        <v>1.0698402177415325</v>
      </c>
      <c r="BV107" s="51">
        <f t="shared" si="66"/>
        <v>1.0698402177415325</v>
      </c>
      <c r="BW107" s="51">
        <f t="shared" si="66"/>
        <v>1.0698402177415325</v>
      </c>
      <c r="BX107" s="51">
        <f t="shared" si="66"/>
        <v>1.0698402177415325</v>
      </c>
      <c r="BY107" s="51">
        <f t="shared" si="66"/>
        <v>1.0698402177415325</v>
      </c>
      <c r="BZ107" s="51">
        <f t="shared" si="66"/>
        <v>1.0698402177415325</v>
      </c>
      <c r="CA107" s="51">
        <f t="shared" si="66"/>
        <v>1.0698402177415325</v>
      </c>
      <c r="CB107" s="51">
        <f t="shared" si="66"/>
        <v>1.0698402177415325</v>
      </c>
      <c r="CC107" s="51">
        <f t="shared" si="66"/>
        <v>1.0698402177415325</v>
      </c>
      <c r="CD107" s="51">
        <f t="shared" si="66"/>
        <v>1.0698402177415325</v>
      </c>
      <c r="CE107" s="51">
        <f t="shared" si="66"/>
        <v>1.0698402177415325</v>
      </c>
      <c r="CF107" s="51">
        <f t="shared" si="66"/>
        <v>1.0698402177415325</v>
      </c>
      <c r="CG107" s="51">
        <f t="shared" si="66"/>
        <v>1.0698402177415325</v>
      </c>
      <c r="CH107" s="51">
        <f t="shared" si="66"/>
        <v>1.0698402177415325</v>
      </c>
      <c r="CI107" s="51">
        <f t="shared" si="66"/>
        <v>1.0698402177415325</v>
      </c>
      <c r="CJ107" s="51">
        <f t="shared" si="66"/>
        <v>1.0698402177415325</v>
      </c>
      <c r="CK107" s="51">
        <f t="shared" si="66"/>
        <v>1.0698402177415325</v>
      </c>
    </row>
    <row r="108" spans="6:89" ht="14.4">
      <c r="F108" t="s">
        <v>31</v>
      </c>
      <c r="G108" s="51">
        <f t="shared" si="67" ref="G108:BR108">IF(G8="","",G8/$G8)</f>
        <v>1</v>
      </c>
      <c r="H108" s="51">
        <f t="shared" si="67"/>
        <v>1</v>
      </c>
      <c r="I108" s="51">
        <f t="shared" si="67"/>
        <v>1</v>
      </c>
      <c r="J108" s="51">
        <f t="shared" si="67"/>
        <v>1</v>
      </c>
      <c r="K108" s="51">
        <f t="shared" si="67"/>
        <v>1.03</v>
      </c>
      <c r="L108" s="51">
        <f t="shared" si="67"/>
        <v>1.0195149867229136</v>
      </c>
      <c r="M108" s="51">
        <f t="shared" si="67"/>
        <v>1.0392671840991035</v>
      </c>
      <c r="N108" s="51">
        <f t="shared" si="67"/>
        <v>1.0580451868174945</v>
      </c>
      <c r="O108" s="51">
        <f t="shared" si="67"/>
        <v>1.0759373477923879</v>
      </c>
      <c r="P108" s="51">
        <f t="shared" si="67"/>
        <v>1.092939449357091</v>
      </c>
      <c r="Q108" s="51">
        <f t="shared" si="67"/>
        <v>1.109230614616544</v>
      </c>
      <c r="R108" s="51">
        <f t="shared" si="67"/>
        <v>1.1250067014412972</v>
      </c>
      <c r="S108" s="51">
        <f t="shared" si="67"/>
        <v>1.1402233293512973</v>
      </c>
      <c r="T108" s="51">
        <f t="shared" si="67"/>
        <v>1.1549783774322975</v>
      </c>
      <c r="U108" s="51">
        <f t="shared" si="67"/>
        <v>1.1692301450699858</v>
      </c>
      <c r="V108" s="51">
        <f t="shared" si="67"/>
        <v>1.1830448755707537</v>
      </c>
      <c r="W108" s="51">
        <f t="shared" si="67"/>
        <v>1.1964525674152329</v>
      </c>
      <c r="X108" s="51">
        <f t="shared" si="67"/>
        <v>1.2093686876853367</v>
      </c>
      <c r="Y108" s="51">
        <f t="shared" si="67"/>
        <v>1.2217478192733058</v>
      </c>
      <c r="Z108" s="51">
        <f t="shared" si="67"/>
        <v>1.2335390237969497</v>
      </c>
      <c r="AA108" s="51">
        <f t="shared" si="67"/>
        <v>1.2447067020395173</v>
      </c>
      <c r="AB108" s="51">
        <f t="shared" si="67"/>
        <v>1.2551545455848507</v>
      </c>
      <c r="AC108" s="51">
        <f t="shared" si="67"/>
        <v>1.2648222787014027</v>
      </c>
      <c r="AD108" s="51">
        <f t="shared" si="67"/>
        <v>1.2736755076670438</v>
      </c>
      <c r="AE108" s="51">
        <f t="shared" si="67"/>
        <v>1.281640694516504</v>
      </c>
      <c r="AF108" s="51">
        <f t="shared" si="67"/>
        <v>1.2886246260341234</v>
      </c>
      <c r="AG108" s="51">
        <f t="shared" si="67"/>
        <v>1.2944509898798497</v>
      </c>
      <c r="AH108" s="51">
        <f t="shared" si="67"/>
        <v>1.2990606618713652</v>
      </c>
      <c r="AI108" s="51">
        <f t="shared" si="67"/>
        <v>1.3024149571655343</v>
      </c>
      <c r="AJ108" s="51">
        <f t="shared" si="67"/>
        <v>1.3044273813733633</v>
      </c>
      <c r="AK108" s="51">
        <f t="shared" si="67"/>
        <v>1.3050333279637685</v>
      </c>
      <c r="AL108" s="51">
        <f t="shared" si="67"/>
        <v>1.3040953070804255</v>
      </c>
      <c r="AM108" s="51">
        <f t="shared" si="67"/>
        <v>1.3015875158493084</v>
      </c>
      <c r="AN108" s="51">
        <f t="shared" si="67"/>
        <v>1.3015875158493084</v>
      </c>
      <c r="AO108" s="51">
        <f t="shared" si="67"/>
        <v>1.3015875158493084</v>
      </c>
      <c r="AP108" s="51">
        <f t="shared" si="67"/>
        <v>1.3015875158493084</v>
      </c>
      <c r="AQ108" s="51">
        <f t="shared" si="67"/>
        <v>1.3015875158493084</v>
      </c>
      <c r="AR108" s="51">
        <f t="shared" si="67"/>
        <v>1.3015875158493084</v>
      </c>
      <c r="AS108" s="51">
        <f t="shared" si="67"/>
        <v>1.3015875158493084</v>
      </c>
      <c r="AT108" s="51">
        <f t="shared" si="67"/>
        <v>1.3015875158493084</v>
      </c>
      <c r="AU108" s="51">
        <f t="shared" si="67"/>
        <v>1.3015875158493084</v>
      </c>
      <c r="AV108" s="51">
        <f t="shared" si="67"/>
        <v>1.3015875158493084</v>
      </c>
      <c r="AW108" s="51">
        <f t="shared" si="67"/>
        <v>1.3015875158493084</v>
      </c>
      <c r="AX108" s="51">
        <f t="shared" si="67"/>
        <v>1.3015875158493084</v>
      </c>
      <c r="AY108" s="51">
        <f t="shared" si="67"/>
        <v>1.3015875158493084</v>
      </c>
      <c r="AZ108" s="51">
        <f t="shared" si="67"/>
        <v>1.3015875158493084</v>
      </c>
      <c r="BA108" s="51">
        <f t="shared" si="67"/>
        <v>1.3015875158493084</v>
      </c>
      <c r="BB108" s="51">
        <f t="shared" si="67"/>
        <v>1.3015875158493084</v>
      </c>
      <c r="BC108" s="51">
        <f t="shared" si="67"/>
        <v>1.3015875158493084</v>
      </c>
      <c r="BD108" s="51">
        <f t="shared" si="67"/>
        <v>1.3015875158493084</v>
      </c>
      <c r="BE108" s="51">
        <f t="shared" si="67"/>
        <v>1.3015875158493084</v>
      </c>
      <c r="BF108" s="51">
        <f t="shared" si="67"/>
        <v>1.3015875158493084</v>
      </c>
      <c r="BG108" s="51">
        <f t="shared" si="67"/>
        <v>1.3015875158493084</v>
      </c>
      <c r="BH108" s="51">
        <f t="shared" si="67"/>
        <v>1.3015875158493084</v>
      </c>
      <c r="BI108" s="51">
        <f t="shared" si="67"/>
        <v>1.3015875158493084</v>
      </c>
      <c r="BJ108" s="51">
        <f t="shared" si="67"/>
        <v>1.3015875158493084</v>
      </c>
      <c r="BK108" s="51">
        <f t="shared" si="67"/>
        <v>1.3015875158493084</v>
      </c>
      <c r="BL108" s="51">
        <f t="shared" si="67"/>
        <v>1.3015875158493084</v>
      </c>
      <c r="BM108" s="51">
        <f t="shared" si="67"/>
        <v>1.3015875158493084</v>
      </c>
      <c r="BN108" s="51">
        <f t="shared" si="67"/>
        <v>1.3015875158493084</v>
      </c>
      <c r="BO108" s="51">
        <f t="shared" si="67"/>
        <v>1.3015875158493084</v>
      </c>
      <c r="BP108" s="51">
        <f t="shared" si="67"/>
        <v>1.3015875158493084</v>
      </c>
      <c r="BQ108" s="51">
        <f t="shared" si="67"/>
        <v>1.3015875158493084</v>
      </c>
      <c r="BR108" s="51">
        <f t="shared" si="67"/>
        <v>1.3015875158493084</v>
      </c>
      <c r="BS108" s="51">
        <f t="shared" si="68" ref="BS108:CK108">IF(BS8="","",BS8/$G8)</f>
        <v>1.3015875158493084</v>
      </c>
      <c r="BT108" s="51">
        <f t="shared" si="68"/>
        <v>1.3015875158493084</v>
      </c>
      <c r="BU108" s="51">
        <f t="shared" si="68"/>
        <v>1.3015875158493084</v>
      </c>
      <c r="BV108" s="51">
        <f t="shared" si="68"/>
        <v>1.3015875158493084</v>
      </c>
      <c r="BW108" s="51">
        <f t="shared" si="68"/>
        <v>1.3015875158493084</v>
      </c>
      <c r="BX108" s="51">
        <f t="shared" si="68"/>
        <v>1.3015875158493084</v>
      </c>
      <c r="BY108" s="51">
        <f t="shared" si="68"/>
        <v>1.3015875158493084</v>
      </c>
      <c r="BZ108" s="51">
        <f t="shared" si="68"/>
        <v>1.3015875158493084</v>
      </c>
      <c r="CA108" s="51">
        <f t="shared" si="68"/>
        <v>1.3015875158493084</v>
      </c>
      <c r="CB108" s="51">
        <f t="shared" si="68"/>
        <v>1.3015875158493084</v>
      </c>
      <c r="CC108" s="51">
        <f t="shared" si="68"/>
        <v>1.3015875158493084</v>
      </c>
      <c r="CD108" s="51">
        <f t="shared" si="68"/>
        <v>1.3015875158493084</v>
      </c>
      <c r="CE108" s="51">
        <f t="shared" si="68"/>
        <v>1.3015875158493084</v>
      </c>
      <c r="CF108" s="51">
        <f t="shared" si="68"/>
        <v>1.3015875158493084</v>
      </c>
      <c r="CG108" s="51">
        <f t="shared" si="68"/>
        <v>1.3015875158493084</v>
      </c>
      <c r="CH108" s="51">
        <f t="shared" si="68"/>
        <v>1.3015875158493084</v>
      </c>
      <c r="CI108" s="51">
        <f t="shared" si="68"/>
        <v>1.3015875158493084</v>
      </c>
      <c r="CJ108" s="51">
        <f t="shared" si="68"/>
        <v>1.3015875158493084</v>
      </c>
      <c r="CK108" s="51">
        <f t="shared" si="68"/>
        <v>1.3015875158493084</v>
      </c>
    </row>
    <row r="109" spans="6:89" ht="14.4">
      <c r="F109" t="s">
        <v>21</v>
      </c>
      <c r="G109" s="51">
        <f t="shared" si="69" ref="G109:BR109">IF(G9="","",G9/$G9)</f>
        <v>1</v>
      </c>
      <c r="H109" s="51">
        <f t="shared" si="69"/>
        <v>1</v>
      </c>
      <c r="I109" s="51">
        <f t="shared" si="69"/>
        <v>1</v>
      </c>
      <c r="J109" s="51">
        <f t="shared" si="69"/>
        <v>1</v>
      </c>
      <c r="K109" s="51">
        <f t="shared" si="69"/>
        <v>1.03</v>
      </c>
      <c r="L109" s="51">
        <f t="shared" si="69"/>
        <v>1.0005970782066338</v>
      </c>
      <c r="M109" s="51">
        <f t="shared" si="69"/>
        <v>1.0401763110023003</v>
      </c>
      <c r="N109" s="51">
        <f t="shared" si="69"/>
        <v>1.0813211246924275</v>
      </c>
      <c r="O109" s="51">
        <f t="shared" si="69"/>
        <v>1.124093446792128</v>
      </c>
      <c r="P109" s="51">
        <f t="shared" si="69"/>
        <v>1.1242617583436258</v>
      </c>
      <c r="Q109" s="51">
        <f t="shared" si="69"/>
        <v>1.1244300950965673</v>
      </c>
      <c r="R109" s="51">
        <f t="shared" si="69"/>
        <v>1.1245984570547272</v>
      </c>
      <c r="S109" s="51">
        <f t="shared" si="69"/>
        <v>1.1247668442218781</v>
      </c>
      <c r="T109" s="51">
        <f t="shared" si="69"/>
        <v>1.1249352566017956</v>
      </c>
      <c r="U109" s="51">
        <f t="shared" si="69"/>
        <v>1.1348932613815228</v>
      </c>
      <c r="V109" s="51">
        <f t="shared" si="69"/>
        <v>1.1449394151090324</v>
      </c>
      <c r="W109" s="51">
        <f t="shared" si="69"/>
        <v>1.1550744980849135</v>
      </c>
      <c r="X109" s="51">
        <f t="shared" si="69"/>
        <v>1.1652992975170304</v>
      </c>
      <c r="Y109" s="51">
        <f t="shared" si="69"/>
        <v>1.1756146075816654</v>
      </c>
      <c r="Z109" s="51">
        <f t="shared" si="69"/>
        <v>1.1835001070910456</v>
      </c>
      <c r="AA109" s="51">
        <f t="shared" si="69"/>
        <v>1.1914384990212172</v>
      </c>
      <c r="AB109" s="51">
        <f t="shared" si="69"/>
        <v>1.1994301381509958</v>
      </c>
      <c r="AC109" s="51">
        <f t="shared" si="69"/>
        <v>1.2074753816388948</v>
      </c>
      <c r="AD109" s="51">
        <f t="shared" si="69"/>
        <v>1.2155745890390897</v>
      </c>
      <c r="AE109" s="51">
        <f t="shared" si="69"/>
        <v>1.2219347877857436</v>
      </c>
      <c r="AF109" s="51">
        <f t="shared" si="69"/>
        <v>1.2283282647273037</v>
      </c>
      <c r="AG109" s="51">
        <f t="shared" si="69"/>
        <v>1.2347551939838406</v>
      </c>
      <c r="AH109" s="51">
        <f t="shared" si="69"/>
        <v>1.2412157505864663</v>
      </c>
      <c r="AI109" s="51">
        <f t="shared" si="69"/>
        <v>1.2477101104821005</v>
      </c>
      <c r="AJ109" s="51">
        <f t="shared" si="69"/>
        <v>1.2542580944008721</v>
      </c>
      <c r="AK109" s="51">
        <f t="shared" si="69"/>
        <v>1.260840442145857</v>
      </c>
      <c r="AL109" s="51">
        <f t="shared" si="69"/>
        <v>1.2674573340584487</v>
      </c>
      <c r="AM109" s="51">
        <f t="shared" si="69"/>
        <v>1.2741089514264747</v>
      </c>
      <c r="AN109" s="51">
        <f t="shared" si="69"/>
        <v>1.2741089514264747</v>
      </c>
      <c r="AO109" s="51">
        <f t="shared" si="69"/>
        <v>1.2741089514264747</v>
      </c>
      <c r="AP109" s="51">
        <f t="shared" si="69"/>
        <v>1.2741089514264747</v>
      </c>
      <c r="AQ109" s="51">
        <f t="shared" si="69"/>
        <v>1.2741089514264747</v>
      </c>
      <c r="AR109" s="51">
        <f t="shared" si="69"/>
        <v>1.2741089514264747</v>
      </c>
      <c r="AS109" s="51">
        <f t="shared" si="69"/>
        <v>1.2741089514264747</v>
      </c>
      <c r="AT109" s="51">
        <f t="shared" si="69"/>
        <v>1.2741089514264747</v>
      </c>
      <c r="AU109" s="51">
        <f t="shared" si="69"/>
        <v>1.2741089514264747</v>
      </c>
      <c r="AV109" s="51">
        <f t="shared" si="69"/>
        <v>1.2741089514264747</v>
      </c>
      <c r="AW109" s="51">
        <f t="shared" si="69"/>
        <v>1.2741089514264747</v>
      </c>
      <c r="AX109" s="51">
        <f t="shared" si="69"/>
        <v>1.2741089514264747</v>
      </c>
      <c r="AY109" s="51">
        <f t="shared" si="69"/>
        <v>1.2741089514264747</v>
      </c>
      <c r="AZ109" s="51">
        <f t="shared" si="69"/>
        <v>1.2741089514264747</v>
      </c>
      <c r="BA109" s="51">
        <f t="shared" si="69"/>
        <v>1.2741089514264747</v>
      </c>
      <c r="BB109" s="51">
        <f t="shared" si="69"/>
        <v>1.2741089514264747</v>
      </c>
      <c r="BC109" s="51">
        <f t="shared" si="69"/>
        <v>1.2741089514264747</v>
      </c>
      <c r="BD109" s="51">
        <f t="shared" si="69"/>
        <v>1.2741089514264747</v>
      </c>
      <c r="BE109" s="51">
        <f t="shared" si="69"/>
        <v>1.2741089514264747</v>
      </c>
      <c r="BF109" s="51">
        <f t="shared" si="69"/>
        <v>1.2741089514264747</v>
      </c>
      <c r="BG109" s="51">
        <f t="shared" si="69"/>
        <v>1.2741089514264747</v>
      </c>
      <c r="BH109" s="51">
        <f t="shared" si="69"/>
        <v>1.2741089514264747</v>
      </c>
      <c r="BI109" s="51">
        <f t="shared" si="69"/>
        <v>1.2741089514264747</v>
      </c>
      <c r="BJ109" s="51">
        <f t="shared" si="69"/>
        <v>1.2741089514264747</v>
      </c>
      <c r="BK109" s="51">
        <f t="shared" si="69"/>
        <v>1.2741089514264747</v>
      </c>
      <c r="BL109" s="51">
        <f t="shared" si="69"/>
        <v>1.2741089514264747</v>
      </c>
      <c r="BM109" s="51">
        <f t="shared" si="69"/>
        <v>1.2741089514264747</v>
      </c>
      <c r="BN109" s="51">
        <f t="shared" si="69"/>
        <v>1.2741089514264747</v>
      </c>
      <c r="BO109" s="51">
        <f t="shared" si="69"/>
        <v>1.2741089514264747</v>
      </c>
      <c r="BP109" s="51">
        <f t="shared" si="69"/>
        <v>1.2741089514264747</v>
      </c>
      <c r="BQ109" s="51">
        <f t="shared" si="69"/>
        <v>1.2741089514264747</v>
      </c>
      <c r="BR109" s="51">
        <f t="shared" si="69"/>
        <v>1.2741089514264747</v>
      </c>
      <c r="BS109" s="51">
        <f t="shared" si="70" ref="BS109:CK109">IF(BS9="","",BS9/$G9)</f>
        <v>1.2741089514264747</v>
      </c>
      <c r="BT109" s="51">
        <f t="shared" si="70"/>
        <v>1.2741089514264747</v>
      </c>
      <c r="BU109" s="51">
        <f t="shared" si="70"/>
        <v>1.2741089514264747</v>
      </c>
      <c r="BV109" s="51">
        <f t="shared" si="70"/>
        <v>1.2741089514264747</v>
      </c>
      <c r="BW109" s="51">
        <f t="shared" si="70"/>
        <v>1.2741089514264747</v>
      </c>
      <c r="BX109" s="51">
        <f t="shared" si="70"/>
        <v>1.2741089514264747</v>
      </c>
      <c r="BY109" s="51">
        <f t="shared" si="70"/>
        <v>1.2741089514264747</v>
      </c>
      <c r="BZ109" s="51">
        <f t="shared" si="70"/>
        <v>1.2741089514264747</v>
      </c>
      <c r="CA109" s="51">
        <f t="shared" si="70"/>
        <v>1.2741089514264747</v>
      </c>
      <c r="CB109" s="51">
        <f t="shared" si="70"/>
        <v>1.2741089514264747</v>
      </c>
      <c r="CC109" s="51">
        <f t="shared" si="70"/>
        <v>1.2741089514264747</v>
      </c>
      <c r="CD109" s="51">
        <f t="shared" si="70"/>
        <v>1.2741089514264747</v>
      </c>
      <c r="CE109" s="51">
        <f t="shared" si="70"/>
        <v>1.2741089514264747</v>
      </c>
      <c r="CF109" s="51">
        <f t="shared" si="70"/>
        <v>1.2741089514264747</v>
      </c>
      <c r="CG109" s="51">
        <f t="shared" si="70"/>
        <v>1.2741089514264747</v>
      </c>
      <c r="CH109" s="51">
        <f t="shared" si="70"/>
        <v>1.2741089514264747</v>
      </c>
      <c r="CI109" s="51">
        <f t="shared" si="70"/>
        <v>1.2741089514264747</v>
      </c>
      <c r="CJ109" s="51">
        <f t="shared" si="70"/>
        <v>1.2741089514264747</v>
      </c>
      <c r="CK109" s="51">
        <f t="shared" si="70"/>
        <v>1.2741089514264747</v>
      </c>
    </row>
    <row r="110" spans="6:89" ht="14.4">
      <c r="F110" t="s">
        <v>13</v>
      </c>
      <c r="G110" s="51">
        <f t="shared" si="71" ref="G110:BR110">IF(G10="","",G10/$G10)</f>
        <v>1</v>
      </c>
      <c r="H110" s="51">
        <f t="shared" si="71"/>
        <v>1</v>
      </c>
      <c r="I110" s="51">
        <f t="shared" si="71"/>
        <v>1</v>
      </c>
      <c r="J110" s="51">
        <f t="shared" si="71"/>
        <v>1</v>
      </c>
      <c r="K110" s="51">
        <f t="shared" si="71"/>
        <v>1.03</v>
      </c>
      <c r="L110" s="51">
        <f t="shared" si="71"/>
        <v>0.8460744506701896</v>
      </c>
      <c r="M110" s="51">
        <f t="shared" si="71"/>
        <v>0.85291463236645504</v>
      </c>
      <c r="N110" s="51">
        <f t="shared" si="71"/>
        <v>0.85992333882432703</v>
      </c>
      <c r="O110" s="51">
        <f t="shared" si="71"/>
        <v>0.86710488970621713</v>
      </c>
      <c r="P110" s="51">
        <f t="shared" si="71"/>
        <v>0.87446360919081179</v>
      </c>
      <c r="Q110" s="51">
        <f t="shared" si="71"/>
        <v>0.88200404044732539</v>
      </c>
      <c r="R110" s="51">
        <f t="shared" si="71"/>
        <v>0.88973039163935241</v>
      </c>
      <c r="S110" s="51">
        <f t="shared" si="71"/>
        <v>0.89764761986420061</v>
      </c>
      <c r="T110" s="51">
        <f t="shared" si="71"/>
        <v>0.9057602251011112</v>
      </c>
      <c r="U110" s="51">
        <f t="shared" si="71"/>
        <v>0.91407321594012303</v>
      </c>
      <c r="V110" s="51">
        <f t="shared" si="71"/>
        <v>0.9225916657823795</v>
      </c>
      <c r="W110" s="51">
        <f t="shared" si="71"/>
        <v>0.93132081005322809</v>
      </c>
      <c r="X110" s="51">
        <f t="shared" si="71"/>
        <v>0.94026572563152833</v>
      </c>
      <c r="Y110" s="51">
        <f t="shared" si="71"/>
        <v>0.94943184483100185</v>
      </c>
      <c r="Z110" s="51">
        <f t="shared" si="71"/>
        <v>0.9588248352397658</v>
      </c>
      <c r="AA110" s="51">
        <f t="shared" si="71"/>
        <v>0.96845028324404081</v>
      </c>
      <c r="AB110" s="51">
        <f t="shared" si="71"/>
        <v>0.97831399244089801</v>
      </c>
      <c r="AC110" s="51">
        <f t="shared" si="71"/>
        <v>0.98842197017241507</v>
      </c>
      <c r="AD110" s="51">
        <f t="shared" si="71"/>
        <v>0.99878031598763095</v>
      </c>
      <c r="AE110" s="51">
        <f t="shared" si="71"/>
        <v>1.0093953104611659</v>
      </c>
      <c r="AF110" s="51">
        <f t="shared" si="71"/>
        <v>1.020273402738372</v>
      </c>
      <c r="AG110" s="51">
        <f t="shared" si="71"/>
        <v>1.0314211984250543</v>
      </c>
      <c r="AH110" s="51">
        <f t="shared" si="71"/>
        <v>1.0428453524658381</v>
      </c>
      <c r="AI110" s="51">
        <f t="shared" si="71"/>
        <v>1.0545529398554954</v>
      </c>
      <c r="AJ110" s="51">
        <f t="shared" si="71"/>
        <v>1.0665509639926971</v>
      </c>
      <c r="AK110" s="51">
        <f t="shared" si="71"/>
        <v>1.0788469120287201</v>
      </c>
      <c r="AL110" s="51">
        <f t="shared" si="71"/>
        <v>1.0914480830960023</v>
      </c>
      <c r="AM110" s="51">
        <f t="shared" si="71"/>
        <v>1.1043623223536829</v>
      </c>
      <c r="AN110" s="51">
        <f t="shared" si="71"/>
        <v>1.1043623223536829</v>
      </c>
      <c r="AO110" s="51">
        <f t="shared" si="71"/>
        <v>1.1043623223536829</v>
      </c>
      <c r="AP110" s="51">
        <f t="shared" si="71"/>
        <v>1.1043623223536829</v>
      </c>
      <c r="AQ110" s="51">
        <f t="shared" si="71"/>
        <v>1.1043623223536829</v>
      </c>
      <c r="AR110" s="51">
        <f t="shared" si="71"/>
        <v>1.1043623223536829</v>
      </c>
      <c r="AS110" s="51">
        <f t="shared" si="71"/>
        <v>1.1043623223536829</v>
      </c>
      <c r="AT110" s="51">
        <f t="shared" si="71"/>
        <v>1.1043623223536829</v>
      </c>
      <c r="AU110" s="51">
        <f t="shared" si="71"/>
        <v>1.1043623223536829</v>
      </c>
      <c r="AV110" s="51">
        <f t="shared" si="71"/>
        <v>1.1043623223536829</v>
      </c>
      <c r="AW110" s="51">
        <f t="shared" si="71"/>
        <v>1.1043623223536829</v>
      </c>
      <c r="AX110" s="51">
        <f t="shared" si="71"/>
        <v>1.1043623223536829</v>
      </c>
      <c r="AY110" s="51">
        <f t="shared" si="71"/>
        <v>1.1043623223536829</v>
      </c>
      <c r="AZ110" s="51">
        <f t="shared" si="71"/>
        <v>1.1043623223536829</v>
      </c>
      <c r="BA110" s="51">
        <f t="shared" si="71"/>
        <v>1.1043623223536829</v>
      </c>
      <c r="BB110" s="51">
        <f t="shared" si="71"/>
        <v>1.1043623223536829</v>
      </c>
      <c r="BC110" s="51">
        <f t="shared" si="71"/>
        <v>1.1043623223536829</v>
      </c>
      <c r="BD110" s="51">
        <f t="shared" si="71"/>
        <v>1.1043623223536829</v>
      </c>
      <c r="BE110" s="51">
        <f t="shared" si="71"/>
        <v>1.1043623223536829</v>
      </c>
      <c r="BF110" s="51">
        <f t="shared" si="71"/>
        <v>1.1043623223536829</v>
      </c>
      <c r="BG110" s="51">
        <f t="shared" si="71"/>
        <v>1.1043623223536829</v>
      </c>
      <c r="BH110" s="51">
        <f t="shared" si="71"/>
        <v>1.1043623223536829</v>
      </c>
      <c r="BI110" s="51">
        <f t="shared" si="71"/>
        <v>1.1043623223536829</v>
      </c>
      <c r="BJ110" s="51">
        <f t="shared" si="71"/>
        <v>1.1043623223536829</v>
      </c>
      <c r="BK110" s="51">
        <f t="shared" si="71"/>
        <v>1.1043623223536829</v>
      </c>
      <c r="BL110" s="51">
        <f t="shared" si="71"/>
        <v>1.1043623223536829</v>
      </c>
      <c r="BM110" s="51">
        <f t="shared" si="71"/>
        <v>1.1043623223536829</v>
      </c>
      <c r="BN110" s="51">
        <f t="shared" si="71"/>
        <v>1.1043623223536829</v>
      </c>
      <c r="BO110" s="51">
        <f t="shared" si="71"/>
        <v>1.1043623223536829</v>
      </c>
      <c r="BP110" s="51">
        <f t="shared" si="71"/>
        <v>1.1043623223536829</v>
      </c>
      <c r="BQ110" s="51">
        <f t="shared" si="71"/>
        <v>1.1043623223536829</v>
      </c>
      <c r="BR110" s="51">
        <f t="shared" si="71"/>
        <v>1.1043623223536829</v>
      </c>
      <c r="BS110" s="51">
        <f t="shared" si="72" ref="BS110:CK110">IF(BS10="","",BS10/$G10)</f>
        <v>1.1043623223536829</v>
      </c>
      <c r="BT110" s="51">
        <f t="shared" si="72"/>
        <v>1.1043623223536829</v>
      </c>
      <c r="BU110" s="51">
        <f t="shared" si="72"/>
        <v>1.1043623223536829</v>
      </c>
      <c r="BV110" s="51">
        <f t="shared" si="72"/>
        <v>1.1043623223536829</v>
      </c>
      <c r="BW110" s="51">
        <f t="shared" si="72"/>
        <v>1.1043623223536829</v>
      </c>
      <c r="BX110" s="51">
        <f t="shared" si="72"/>
        <v>1.1043623223536829</v>
      </c>
      <c r="BY110" s="51">
        <f t="shared" si="72"/>
        <v>1.1043623223536829</v>
      </c>
      <c r="BZ110" s="51">
        <f t="shared" si="72"/>
        <v>1.1043623223536829</v>
      </c>
      <c r="CA110" s="51">
        <f t="shared" si="72"/>
        <v>1.1043623223536829</v>
      </c>
      <c r="CB110" s="51">
        <f t="shared" si="72"/>
        <v>1.1043623223536829</v>
      </c>
      <c r="CC110" s="51">
        <f t="shared" si="72"/>
        <v>1.1043623223536829</v>
      </c>
      <c r="CD110" s="51">
        <f t="shared" si="72"/>
        <v>1.1043623223536829</v>
      </c>
      <c r="CE110" s="51">
        <f t="shared" si="72"/>
        <v>1.1043623223536829</v>
      </c>
      <c r="CF110" s="51">
        <f t="shared" si="72"/>
        <v>1.1043623223536829</v>
      </c>
      <c r="CG110" s="51">
        <f t="shared" si="72"/>
        <v>1.1043623223536829</v>
      </c>
      <c r="CH110" s="51">
        <f t="shared" si="72"/>
        <v>1.1043623223536829</v>
      </c>
      <c r="CI110" s="51">
        <f t="shared" si="72"/>
        <v>1.1043623223536829</v>
      </c>
      <c r="CJ110" s="51">
        <f t="shared" si="72"/>
        <v>1.1043623223536829</v>
      </c>
      <c r="CK110" s="51">
        <f t="shared" si="72"/>
        <v>1.1043623223536829</v>
      </c>
    </row>
    <row r="111" spans="6:89" ht="14.4">
      <c r="F111" s="89" t="s">
        <v>209</v>
      </c>
      <c r="G111" s="51">
        <f t="shared" si="73" ref="G111:BR111">IF(G11="","",G11/$G11)</f>
        <v>1</v>
      </c>
      <c r="H111" s="51">
        <f t="shared" si="73"/>
        <v>1</v>
      </c>
      <c r="I111" s="51">
        <f t="shared" si="73"/>
        <v>1</v>
      </c>
      <c r="J111" s="51">
        <f t="shared" si="73"/>
        <v>1</v>
      </c>
      <c r="K111" s="51">
        <f t="shared" si="73"/>
        <v>1.03</v>
      </c>
      <c r="L111" s="51">
        <f t="shared" si="73"/>
        <v>1.0195149867229134</v>
      </c>
      <c r="M111" s="51">
        <f t="shared" si="73"/>
        <v>1.0392671840991035</v>
      </c>
      <c r="N111" s="51">
        <f t="shared" si="73"/>
        <v>1.0580451868174945</v>
      </c>
      <c r="O111" s="51">
        <f t="shared" si="73"/>
        <v>1.0759373477923879</v>
      </c>
      <c r="P111" s="51">
        <f t="shared" si="73"/>
        <v>1.092939449357091</v>
      </c>
      <c r="Q111" s="51">
        <f t="shared" si="73"/>
        <v>1.1092306146165438</v>
      </c>
      <c r="R111" s="51">
        <f t="shared" si="73"/>
        <v>1.1250067014412972</v>
      </c>
      <c r="S111" s="51">
        <f t="shared" si="73"/>
        <v>1.1402233293512973</v>
      </c>
      <c r="T111" s="51">
        <f t="shared" si="73"/>
        <v>1.1549783774322973</v>
      </c>
      <c r="U111" s="51">
        <f t="shared" si="73"/>
        <v>1.1692301450699858</v>
      </c>
      <c r="V111" s="51">
        <f t="shared" si="73"/>
        <v>1.1830448755707537</v>
      </c>
      <c r="W111" s="51">
        <f t="shared" si="73"/>
        <v>1.1964525674152326</v>
      </c>
      <c r="X111" s="51">
        <f t="shared" si="73"/>
        <v>1.2093686876853367</v>
      </c>
      <c r="Y111" s="51">
        <f t="shared" si="73"/>
        <v>1.2217478192733058</v>
      </c>
      <c r="Z111" s="51">
        <f t="shared" si="73"/>
        <v>1.2335390237969499</v>
      </c>
      <c r="AA111" s="51">
        <f t="shared" si="73"/>
        <v>1.2447067020395173</v>
      </c>
      <c r="AB111" s="51">
        <f t="shared" si="73"/>
        <v>1.2551545455848507</v>
      </c>
      <c r="AC111" s="51">
        <f t="shared" si="73"/>
        <v>1.2648222787014027</v>
      </c>
      <c r="AD111" s="51">
        <f t="shared" si="73"/>
        <v>1.2736755076670436</v>
      </c>
      <c r="AE111" s="51">
        <f t="shared" si="73"/>
        <v>1.2816406945165042</v>
      </c>
      <c r="AF111" s="51">
        <f t="shared" si="73"/>
        <v>1.2886246260341236</v>
      </c>
      <c r="AG111" s="51">
        <f t="shared" si="73"/>
        <v>1.2944509898798497</v>
      </c>
      <c r="AH111" s="51">
        <f t="shared" si="73"/>
        <v>1.2990606618713652</v>
      </c>
      <c r="AI111" s="51">
        <f t="shared" si="73"/>
        <v>1.3024149571655343</v>
      </c>
      <c r="AJ111" s="51">
        <f t="shared" si="73"/>
        <v>1.3044273813733631</v>
      </c>
      <c r="AK111" s="51">
        <f t="shared" si="73"/>
        <v>1.3050333279637685</v>
      </c>
      <c r="AL111" s="51">
        <f t="shared" si="73"/>
        <v>1.3040953070804253</v>
      </c>
      <c r="AM111" s="51">
        <f t="shared" si="73"/>
        <v>1.3015875158493087</v>
      </c>
      <c r="AN111" s="51">
        <f t="shared" si="73"/>
        <v>1.3015875158493087</v>
      </c>
      <c r="AO111" s="51">
        <f t="shared" si="73"/>
        <v>1.3015875158493087</v>
      </c>
      <c r="AP111" s="51">
        <f t="shared" si="73"/>
        <v>1.3015875158493087</v>
      </c>
      <c r="AQ111" s="51">
        <f t="shared" si="73"/>
        <v>1.3015875158493087</v>
      </c>
      <c r="AR111" s="51">
        <f t="shared" si="73"/>
        <v>1.3015875158493087</v>
      </c>
      <c r="AS111" s="51">
        <f t="shared" si="73"/>
        <v>1.3015875158493087</v>
      </c>
      <c r="AT111" s="51">
        <f t="shared" si="73"/>
        <v>1.3015875158493087</v>
      </c>
      <c r="AU111" s="51">
        <f t="shared" si="73"/>
        <v>1.3015875158493087</v>
      </c>
      <c r="AV111" s="51">
        <f t="shared" si="73"/>
        <v>1.3015875158493087</v>
      </c>
      <c r="AW111" s="51">
        <f t="shared" si="73"/>
        <v>1.3015875158493087</v>
      </c>
      <c r="AX111" s="51">
        <f t="shared" si="73"/>
        <v>1.3015875158493087</v>
      </c>
      <c r="AY111" s="51">
        <f t="shared" si="73"/>
        <v>1.3015875158493087</v>
      </c>
      <c r="AZ111" s="51">
        <f t="shared" si="73"/>
        <v>1.3015875158493087</v>
      </c>
      <c r="BA111" s="51">
        <f t="shared" si="73"/>
        <v>1.3015875158493087</v>
      </c>
      <c r="BB111" s="51">
        <f t="shared" si="73"/>
        <v>1.3015875158493087</v>
      </c>
      <c r="BC111" s="51">
        <f t="shared" si="73"/>
        <v>1.3015875158493087</v>
      </c>
      <c r="BD111" s="51">
        <f t="shared" si="73"/>
        <v>1.3015875158493087</v>
      </c>
      <c r="BE111" s="51">
        <f t="shared" si="73"/>
        <v>1.3015875158493087</v>
      </c>
      <c r="BF111" s="51">
        <f t="shared" si="73"/>
        <v>1.3015875158493087</v>
      </c>
      <c r="BG111" s="51">
        <f t="shared" si="73"/>
        <v>1.3015875158493087</v>
      </c>
      <c r="BH111" s="51">
        <f t="shared" si="73"/>
        <v>1.3015875158493087</v>
      </c>
      <c r="BI111" s="51">
        <f t="shared" si="73"/>
        <v>1.3015875158493087</v>
      </c>
      <c r="BJ111" s="51">
        <f t="shared" si="73"/>
        <v>1.3015875158493087</v>
      </c>
      <c r="BK111" s="51">
        <f t="shared" si="73"/>
        <v>1.3015875158493087</v>
      </c>
      <c r="BL111" s="51">
        <f t="shared" si="73"/>
        <v>1.3015875158493087</v>
      </c>
      <c r="BM111" s="51">
        <f t="shared" si="73"/>
        <v>1.3015875158493087</v>
      </c>
      <c r="BN111" s="51">
        <f t="shared" si="73"/>
        <v>1.3015875158493087</v>
      </c>
      <c r="BO111" s="51">
        <f t="shared" si="73"/>
        <v>1.3015875158493087</v>
      </c>
      <c r="BP111" s="51">
        <f t="shared" si="73"/>
        <v>1.3015875158493087</v>
      </c>
      <c r="BQ111" s="51">
        <f t="shared" si="73"/>
        <v>1.3015875158493087</v>
      </c>
      <c r="BR111" s="51">
        <f t="shared" si="73"/>
        <v>1.3015875158493087</v>
      </c>
      <c r="BS111" s="51">
        <f t="shared" si="74" ref="BS111:CK111">IF(BS11="","",BS11/$G11)</f>
        <v>1.3015875158493087</v>
      </c>
      <c r="BT111" s="51">
        <f t="shared" si="74"/>
        <v>1.3015875158493087</v>
      </c>
      <c r="BU111" s="51">
        <f t="shared" si="74"/>
        <v>1.3015875158493087</v>
      </c>
      <c r="BV111" s="51">
        <f t="shared" si="74"/>
        <v>1.3015875158493087</v>
      </c>
      <c r="BW111" s="51">
        <f t="shared" si="74"/>
        <v>1.3015875158493087</v>
      </c>
      <c r="BX111" s="51">
        <f t="shared" si="74"/>
        <v>1.3015875158493087</v>
      </c>
      <c r="BY111" s="51">
        <f t="shared" si="74"/>
        <v>1.3015875158493087</v>
      </c>
      <c r="BZ111" s="51">
        <f t="shared" si="74"/>
        <v>1.3015875158493087</v>
      </c>
      <c r="CA111" s="51">
        <f t="shared" si="74"/>
        <v>1.3015875158493087</v>
      </c>
      <c r="CB111" s="51">
        <f t="shared" si="74"/>
        <v>1.3015875158493087</v>
      </c>
      <c r="CC111" s="51">
        <f t="shared" si="74"/>
        <v>1.3015875158493087</v>
      </c>
      <c r="CD111" s="51">
        <f t="shared" si="74"/>
        <v>1.3015875158493087</v>
      </c>
      <c r="CE111" s="51">
        <f t="shared" si="74"/>
        <v>1.3015875158493087</v>
      </c>
      <c r="CF111" s="51">
        <f t="shared" si="74"/>
        <v>1.3015875158493087</v>
      </c>
      <c r="CG111" s="51">
        <f t="shared" si="74"/>
        <v>1.3015875158493087</v>
      </c>
      <c r="CH111" s="51">
        <f t="shared" si="74"/>
        <v>1.3015875158493087</v>
      </c>
      <c r="CI111" s="51">
        <f t="shared" si="74"/>
        <v>1.3015875158493087</v>
      </c>
      <c r="CJ111" s="51">
        <f t="shared" si="74"/>
        <v>1.3015875158493087</v>
      </c>
      <c r="CK111" s="51">
        <f t="shared" si="74"/>
        <v>1.3015875158493087</v>
      </c>
    </row>
    <row r="112" spans="6:89" ht="14.4">
      <c r="F112" s="89" t="s">
        <v>210</v>
      </c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51"/>
      <c r="AQ112" s="51"/>
      <c r="AR112" s="51"/>
      <c r="AS112" s="51"/>
      <c r="AT112" s="51"/>
      <c r="AU112" s="51"/>
      <c r="AV112" s="51"/>
      <c r="AW112" s="51"/>
      <c r="AX112" s="51"/>
      <c r="AY112" s="51"/>
      <c r="AZ112" s="51"/>
      <c r="BA112" s="51"/>
      <c r="BB112" s="51"/>
      <c r="BC112" s="51"/>
      <c r="BD112" s="51"/>
      <c r="BE112" s="51"/>
      <c r="BF112" s="51"/>
      <c r="BG112" s="51"/>
      <c r="BH112" s="51"/>
      <c r="BI112" s="51"/>
      <c r="BJ112" s="51"/>
      <c r="BK112" s="51"/>
      <c r="BL112" s="51"/>
      <c r="BM112" s="51"/>
      <c r="BN112" s="51"/>
      <c r="BO112" s="51"/>
      <c r="BP112" s="51"/>
      <c r="BQ112" s="51"/>
      <c r="BR112" s="51"/>
      <c r="BS112" s="51"/>
      <c r="BT112" s="51"/>
      <c r="BU112" s="51"/>
      <c r="BV112" s="51"/>
      <c r="BW112" s="51"/>
      <c r="BX112" s="51"/>
      <c r="BY112" s="51"/>
      <c r="BZ112" s="51"/>
      <c r="CA112" s="51"/>
      <c r="CB112" s="51"/>
      <c r="CC112" s="51"/>
      <c r="CD112" s="51"/>
      <c r="CE112" s="51"/>
      <c r="CF112" s="51"/>
      <c r="CG112" s="51"/>
      <c r="CH112" s="51"/>
      <c r="CI112" s="51"/>
      <c r="CJ112" s="51"/>
      <c r="CK112" s="51"/>
    </row>
    <row r="113" spans="6:89" ht="14.4">
      <c r="F113" t="s">
        <v>27</v>
      </c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51"/>
      <c r="AQ113" s="51"/>
      <c r="AR113" s="51"/>
      <c r="AS113" s="51"/>
      <c r="AT113" s="51"/>
      <c r="AU113" s="51"/>
      <c r="AV113" s="51"/>
      <c r="AW113" s="51"/>
      <c r="AX113" s="51"/>
      <c r="AY113" s="51"/>
      <c r="AZ113" s="51"/>
      <c r="BA113" s="51"/>
      <c r="BB113" s="51"/>
      <c r="BC113" s="51"/>
      <c r="BD113" s="51"/>
      <c r="BE113" s="51"/>
      <c r="BF113" s="51"/>
      <c r="BG113" s="51"/>
      <c r="BH113" s="51"/>
      <c r="BI113" s="51"/>
      <c r="BJ113" s="51"/>
      <c r="BK113" s="51"/>
      <c r="BL113" s="51"/>
      <c r="BM113" s="51"/>
      <c r="BN113" s="51"/>
      <c r="BO113" s="51"/>
      <c r="BP113" s="51"/>
      <c r="BQ113" s="51"/>
      <c r="BR113" s="51"/>
      <c r="BS113" s="51"/>
      <c r="BT113" s="51"/>
      <c r="BU113" s="51"/>
      <c r="BV113" s="51"/>
      <c r="BW113" s="51"/>
      <c r="BX113" s="51"/>
      <c r="BY113" s="51"/>
      <c r="BZ113" s="51"/>
      <c r="CA113" s="51"/>
      <c r="CB113" s="51"/>
      <c r="CC113" s="51"/>
      <c r="CD113" s="51"/>
      <c r="CE113" s="51"/>
      <c r="CF113" s="51"/>
      <c r="CG113" s="51"/>
      <c r="CH113" s="51"/>
      <c r="CI113" s="51"/>
      <c r="CJ113" s="51"/>
      <c r="CK113" s="51"/>
    </row>
    <row r="114" spans="6:89" ht="14.4">
      <c r="F114" t="s">
        <v>29</v>
      </c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51"/>
      <c r="AQ114" s="51"/>
      <c r="AR114" s="51"/>
      <c r="AS114" s="51"/>
      <c r="AT114" s="51"/>
      <c r="AU114" s="51"/>
      <c r="AV114" s="51"/>
      <c r="AW114" s="51"/>
      <c r="AX114" s="51"/>
      <c r="AY114" s="51"/>
      <c r="AZ114" s="51"/>
      <c r="BA114" s="51"/>
      <c r="BB114" s="51"/>
      <c r="BC114" s="51"/>
      <c r="BD114" s="51"/>
      <c r="BE114" s="51"/>
      <c r="BF114" s="51"/>
      <c r="BG114" s="51"/>
      <c r="BH114" s="51"/>
      <c r="BI114" s="51"/>
      <c r="BJ114" s="51"/>
      <c r="BK114" s="51"/>
      <c r="BL114" s="51"/>
      <c r="BM114" s="51"/>
      <c r="BN114" s="51"/>
      <c r="BO114" s="51"/>
      <c r="BP114" s="51"/>
      <c r="BQ114" s="51"/>
      <c r="BR114" s="51"/>
      <c r="BS114" s="51"/>
      <c r="BT114" s="51"/>
      <c r="BU114" s="51"/>
      <c r="BV114" s="51"/>
      <c r="BW114" s="51"/>
      <c r="BX114" s="51"/>
      <c r="BY114" s="51"/>
      <c r="BZ114" s="51"/>
      <c r="CA114" s="51"/>
      <c r="CB114" s="51"/>
      <c r="CC114" s="51"/>
      <c r="CD114" s="51"/>
      <c r="CE114" s="51"/>
      <c r="CF114" s="51"/>
      <c r="CG114" s="51"/>
      <c r="CH114" s="51"/>
      <c r="CI114" s="51"/>
      <c r="CJ114" s="51"/>
      <c r="CK114" s="51"/>
    </row>
    <row r="115" spans="6:89" ht="14.4">
      <c r="F115" t="s">
        <v>31</v>
      </c>
      <c r="G115" s="51">
        <f t="shared" si="75" ref="G115:BR115">IF(G15="","",G15/$G15)</f>
        <v>1</v>
      </c>
      <c r="H115" s="51">
        <f t="shared" si="75"/>
        <v>1</v>
      </c>
      <c r="I115" s="51">
        <f t="shared" si="75"/>
        <v>1</v>
      </c>
      <c r="J115" s="51">
        <f t="shared" si="75"/>
        <v>1</v>
      </c>
      <c r="K115" s="51">
        <f t="shared" si="75"/>
        <v>1</v>
      </c>
      <c r="L115" s="51">
        <f t="shared" si="75"/>
        <v>1</v>
      </c>
      <c r="M115" s="51">
        <f t="shared" si="75"/>
        <v>1</v>
      </c>
      <c r="N115" s="51">
        <f t="shared" si="75"/>
        <v>1</v>
      </c>
      <c r="O115" s="51">
        <f t="shared" si="75"/>
        <v>1</v>
      </c>
      <c r="P115" s="51">
        <f t="shared" si="75"/>
        <v>1</v>
      </c>
      <c r="Q115" s="51">
        <f t="shared" si="75"/>
        <v>1</v>
      </c>
      <c r="R115" s="51">
        <f t="shared" si="75"/>
        <v>1</v>
      </c>
      <c r="S115" s="51">
        <f t="shared" si="75"/>
        <v>1</v>
      </c>
      <c r="T115" s="51">
        <f t="shared" si="75"/>
        <v>1</v>
      </c>
      <c r="U115" s="51">
        <f t="shared" si="75"/>
        <v>1</v>
      </c>
      <c r="V115" s="51">
        <f t="shared" si="75"/>
        <v>1</v>
      </c>
      <c r="W115" s="51">
        <f t="shared" si="75"/>
        <v>1</v>
      </c>
      <c r="X115" s="51">
        <f t="shared" si="75"/>
        <v>1</v>
      </c>
      <c r="Y115" s="51">
        <f t="shared" si="75"/>
        <v>1</v>
      </c>
      <c r="Z115" s="51">
        <f t="shared" si="75"/>
        <v>1</v>
      </c>
      <c r="AA115" s="51">
        <f t="shared" si="75"/>
        <v>1</v>
      </c>
      <c r="AB115" s="51">
        <f t="shared" si="75"/>
        <v>1</v>
      </c>
      <c r="AC115" s="51">
        <f t="shared" si="75"/>
        <v>1</v>
      </c>
      <c r="AD115" s="51">
        <f t="shared" si="75"/>
        <v>1</v>
      </c>
      <c r="AE115" s="51">
        <f t="shared" si="75"/>
        <v>1</v>
      </c>
      <c r="AF115" s="51">
        <f t="shared" si="75"/>
        <v>1</v>
      </c>
      <c r="AG115" s="51">
        <f t="shared" si="75"/>
        <v>1</v>
      </c>
      <c r="AH115" s="51">
        <f t="shared" si="75"/>
        <v>1</v>
      </c>
      <c r="AI115" s="51">
        <f t="shared" si="75"/>
        <v>1</v>
      </c>
      <c r="AJ115" s="51">
        <f t="shared" si="75"/>
        <v>1</v>
      </c>
      <c r="AK115" s="51">
        <f t="shared" si="75"/>
        <v>1</v>
      </c>
      <c r="AL115" s="51">
        <f t="shared" si="75"/>
        <v>1</v>
      </c>
      <c r="AM115" s="51">
        <f t="shared" si="75"/>
        <v>1</v>
      </c>
      <c r="AN115" s="51">
        <f t="shared" si="75"/>
        <v>1</v>
      </c>
      <c r="AO115" s="51">
        <f t="shared" si="75"/>
        <v>1</v>
      </c>
      <c r="AP115" s="51">
        <f t="shared" si="75"/>
        <v>1</v>
      </c>
      <c r="AQ115" s="51">
        <f t="shared" si="75"/>
        <v>1</v>
      </c>
      <c r="AR115" s="51">
        <f t="shared" si="75"/>
        <v>1</v>
      </c>
      <c r="AS115" s="51">
        <f t="shared" si="75"/>
        <v>1</v>
      </c>
      <c r="AT115" s="51">
        <f t="shared" si="75"/>
        <v>1</v>
      </c>
      <c r="AU115" s="51">
        <f t="shared" si="75"/>
        <v>1</v>
      </c>
      <c r="AV115" s="51">
        <f t="shared" si="75"/>
        <v>1</v>
      </c>
      <c r="AW115" s="51">
        <f t="shared" si="75"/>
        <v>1</v>
      </c>
      <c r="AX115" s="51">
        <f t="shared" si="75"/>
        <v>1</v>
      </c>
      <c r="AY115" s="51">
        <f t="shared" si="75"/>
        <v>1</v>
      </c>
      <c r="AZ115" s="51">
        <f t="shared" si="75"/>
        <v>1</v>
      </c>
      <c r="BA115" s="51">
        <f t="shared" si="75"/>
        <v>1</v>
      </c>
      <c r="BB115" s="51">
        <f t="shared" si="75"/>
        <v>1</v>
      </c>
      <c r="BC115" s="51">
        <f t="shared" si="75"/>
        <v>1</v>
      </c>
      <c r="BD115" s="51">
        <f t="shared" si="75"/>
        <v>1</v>
      </c>
      <c r="BE115" s="51">
        <f t="shared" si="75"/>
        <v>1</v>
      </c>
      <c r="BF115" s="51">
        <f t="shared" si="75"/>
        <v>1</v>
      </c>
      <c r="BG115" s="51">
        <f t="shared" si="75"/>
        <v>1</v>
      </c>
      <c r="BH115" s="51">
        <f t="shared" si="75"/>
        <v>1</v>
      </c>
      <c r="BI115" s="51">
        <f t="shared" si="75"/>
        <v>1</v>
      </c>
      <c r="BJ115" s="51">
        <f t="shared" si="75"/>
        <v>1</v>
      </c>
      <c r="BK115" s="51">
        <f t="shared" si="75"/>
        <v>1</v>
      </c>
      <c r="BL115" s="51">
        <f t="shared" si="75"/>
        <v>1</v>
      </c>
      <c r="BM115" s="51">
        <f t="shared" si="75"/>
        <v>1</v>
      </c>
      <c r="BN115" s="51">
        <f t="shared" si="75"/>
        <v>1</v>
      </c>
      <c r="BO115" s="51">
        <f t="shared" si="75"/>
        <v>1</v>
      </c>
      <c r="BP115" s="51">
        <f t="shared" si="75"/>
        <v>1</v>
      </c>
      <c r="BQ115" s="51">
        <f t="shared" si="75"/>
        <v>1</v>
      </c>
      <c r="BR115" s="51">
        <f t="shared" si="75"/>
        <v>1</v>
      </c>
      <c r="BS115" s="51">
        <f t="shared" si="76" ref="BS115:CK115">IF(BS15="","",BS15/$G15)</f>
        <v>1</v>
      </c>
      <c r="BT115" s="51">
        <f t="shared" si="76"/>
        <v>1</v>
      </c>
      <c r="BU115" s="51">
        <f t="shared" si="76"/>
        <v>1</v>
      </c>
      <c r="BV115" s="51">
        <f t="shared" si="76"/>
        <v>1</v>
      </c>
      <c r="BW115" s="51">
        <f t="shared" si="76"/>
        <v>1</v>
      </c>
      <c r="BX115" s="51">
        <f t="shared" si="76"/>
        <v>1</v>
      </c>
      <c r="BY115" s="51">
        <f t="shared" si="76"/>
        <v>1</v>
      </c>
      <c r="BZ115" s="51">
        <f t="shared" si="76"/>
        <v>1</v>
      </c>
      <c r="CA115" s="51">
        <f t="shared" si="76"/>
        <v>1</v>
      </c>
      <c r="CB115" s="51">
        <f t="shared" si="76"/>
        <v>1</v>
      </c>
      <c r="CC115" s="51">
        <f t="shared" si="76"/>
        <v>1</v>
      </c>
      <c r="CD115" s="51">
        <f t="shared" si="76"/>
        <v>1</v>
      </c>
      <c r="CE115" s="51">
        <f t="shared" si="76"/>
        <v>1</v>
      </c>
      <c r="CF115" s="51">
        <f t="shared" si="76"/>
        <v>1</v>
      </c>
      <c r="CG115" s="51">
        <f t="shared" si="76"/>
        <v>1</v>
      </c>
      <c r="CH115" s="51">
        <f t="shared" si="76"/>
        <v>1</v>
      </c>
      <c r="CI115" s="51">
        <f t="shared" si="76"/>
        <v>1</v>
      </c>
      <c r="CJ115" s="51">
        <f t="shared" si="76"/>
        <v>1</v>
      </c>
      <c r="CK115" s="51">
        <f t="shared" si="76"/>
        <v>1</v>
      </c>
    </row>
    <row r="116" spans="6:89" ht="14.4">
      <c r="F116" t="s">
        <v>33</v>
      </c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51"/>
      <c r="AQ116" s="51"/>
      <c r="AR116" s="51"/>
      <c r="AS116" s="51"/>
      <c r="AT116" s="51"/>
      <c r="AU116" s="51"/>
      <c r="AV116" s="51"/>
      <c r="AW116" s="51"/>
      <c r="AX116" s="51"/>
      <c r="AY116" s="51"/>
      <c r="AZ116" s="51"/>
      <c r="BA116" s="51"/>
      <c r="BB116" s="51"/>
      <c r="BC116" s="51"/>
      <c r="BD116" s="51"/>
      <c r="BE116" s="51"/>
      <c r="BF116" s="51"/>
      <c r="BG116" s="51"/>
      <c r="BH116" s="51"/>
      <c r="BI116" s="51"/>
      <c r="BJ116" s="51"/>
      <c r="BK116" s="51"/>
      <c r="BL116" s="51"/>
      <c r="BM116" s="51"/>
      <c r="BN116" s="51"/>
      <c r="BO116" s="51"/>
      <c r="BP116" s="51"/>
      <c r="BQ116" s="51"/>
      <c r="BR116" s="51"/>
      <c r="BS116" s="51"/>
      <c r="BT116" s="51"/>
      <c r="BU116" s="51"/>
      <c r="BV116" s="51"/>
      <c r="BW116" s="51"/>
      <c r="BX116" s="51"/>
      <c r="BY116" s="51"/>
      <c r="BZ116" s="51"/>
      <c r="CA116" s="51"/>
      <c r="CB116" s="51"/>
      <c r="CC116" s="51"/>
      <c r="CD116" s="51"/>
      <c r="CE116" s="51"/>
      <c r="CF116" s="51"/>
      <c r="CG116" s="51"/>
      <c r="CH116" s="51"/>
      <c r="CI116" s="51"/>
      <c r="CJ116" s="51"/>
      <c r="CK116" s="51"/>
    </row>
    <row r="117" spans="6:89" ht="14.4">
      <c r="F117" t="s">
        <v>35</v>
      </c>
      <c r="G117" s="51">
        <f t="shared" si="77" ref="G117:BR117">IF(G17="","",G17/$G17)</f>
        <v>1</v>
      </c>
      <c r="H117" s="51">
        <f t="shared" si="77"/>
        <v>1.021972033474984</v>
      </c>
      <c r="I117" s="51">
        <f t="shared" si="77"/>
        <v>0.73927431635075913</v>
      </c>
      <c r="J117" s="51">
        <f t="shared" si="77"/>
        <v>0.93239851083296788</v>
      </c>
      <c r="K117" s="51">
        <f t="shared" si="77"/>
        <v>0.96566345454649427</v>
      </c>
      <c r="L117" s="51">
        <f t="shared" si="77"/>
        <v>0.96918103951971146</v>
      </c>
      <c r="M117" s="51">
        <f t="shared" si="77"/>
        <v>0.98129580251370785</v>
      </c>
      <c r="N117" s="51">
        <f t="shared" si="77"/>
        <v>0.99356200004512918</v>
      </c>
      <c r="O117" s="51">
        <f t="shared" si="77"/>
        <v>1.0059815250456932</v>
      </c>
      <c r="P117" s="51">
        <f t="shared" si="77"/>
        <v>1.0185562941087645</v>
      </c>
      <c r="Q117" s="51">
        <f t="shared" si="77"/>
        <v>1.031288247785124</v>
      </c>
      <c r="R117" s="51">
        <f t="shared" si="77"/>
        <v>1.044179350882438</v>
      </c>
      <c r="S117" s="51">
        <f t="shared" si="77"/>
        <v>1.0572315927684683</v>
      </c>
      <c r="T117" s="51">
        <f t="shared" si="77"/>
        <v>1.070446987678074</v>
      </c>
      <c r="U117" s="51">
        <f t="shared" si="77"/>
        <v>1.08382757502405</v>
      </c>
      <c r="V117" s="51">
        <f t="shared" si="77"/>
        <v>1.0973754197118506</v>
      </c>
      <c r="W117" s="51">
        <f t="shared" si="77"/>
        <v>1.1110926124582485</v>
      </c>
      <c r="X117" s="51">
        <f t="shared" si="77"/>
        <v>1.1249812701139768</v>
      </c>
      <c r="Y117" s="51">
        <f t="shared" si="77"/>
        <v>1.1390435359904014</v>
      </c>
      <c r="Z117" s="51">
        <f t="shared" si="77"/>
        <v>1.1532815801902812</v>
      </c>
      <c r="AA117" s="51">
        <f t="shared" si="77"/>
        <v>1.1676975999426595</v>
      </c>
      <c r="AB117" s="51">
        <f t="shared" si="77"/>
        <v>1.1822938199419428</v>
      </c>
      <c r="AC117" s="51">
        <f t="shared" si="77"/>
        <v>1.1970724926912171</v>
      </c>
      <c r="AD117" s="51">
        <f t="shared" si="77"/>
        <v>1.2120358988498572</v>
      </c>
      <c r="AE117" s="51">
        <f t="shared" si="77"/>
        <v>1.2271863475854803</v>
      </c>
      <c r="AF117" s="51">
        <f t="shared" si="77"/>
        <v>1.2425261769302987</v>
      </c>
      <c r="AG117" s="51">
        <f t="shared" si="77"/>
        <v>1.2580577541419273</v>
      </c>
      <c r="AH117" s="51">
        <f t="shared" si="77"/>
        <v>1.2737834760687015</v>
      </c>
      <c r="AI117" s="51">
        <f t="shared" si="77"/>
        <v>1.2897057695195602</v>
      </c>
      <c r="AJ117" s="51">
        <f t="shared" si="77"/>
        <v>1.3058270916385546</v>
      </c>
      <c r="AK117" s="51">
        <f t="shared" si="77"/>
        <v>1.3221499302840365</v>
      </c>
      <c r="AL117" s="51">
        <f t="shared" si="77"/>
        <v>1.3386768044125867</v>
      </c>
      <c r="AM117" s="51">
        <f t="shared" si="77"/>
        <v>1.3554102644677442</v>
      </c>
      <c r="AN117" s="51" t="str">
        <f t="shared" si="77"/>
        <v/>
      </c>
      <c r="AO117" s="51" t="str">
        <f t="shared" si="77"/>
        <v/>
      </c>
      <c r="AP117" s="51" t="str">
        <f t="shared" si="77"/>
        <v/>
      </c>
      <c r="AQ117" s="51" t="str">
        <f t="shared" si="77"/>
        <v/>
      </c>
      <c r="AR117" s="51">
        <f t="shared" si="77"/>
        <v>1.4913483128508576</v>
      </c>
      <c r="AS117" s="51" t="str">
        <f t="shared" si="77"/>
        <v/>
      </c>
      <c r="AT117" s="51" t="str">
        <f t="shared" si="77"/>
        <v/>
      </c>
      <c r="AU117" s="51" t="str">
        <f t="shared" si="77"/>
        <v/>
      </c>
      <c r="AV117" s="51" t="str">
        <f t="shared" si="77"/>
        <v/>
      </c>
      <c r="AW117" s="51">
        <f t="shared" si="77"/>
        <v>1.5315634538922362</v>
      </c>
      <c r="AX117" s="51" t="str">
        <f t="shared" si="77"/>
        <v/>
      </c>
      <c r="AY117" s="51" t="str">
        <f t="shared" si="77"/>
        <v/>
      </c>
      <c r="AZ117" s="51" t="str">
        <f t="shared" si="77"/>
        <v/>
      </c>
      <c r="BA117" s="51" t="str">
        <f t="shared" si="77"/>
        <v/>
      </c>
      <c r="BB117" s="51">
        <f t="shared" si="77"/>
        <v>1.554897710985425</v>
      </c>
      <c r="BC117" s="51" t="str">
        <f t="shared" si="77"/>
        <v/>
      </c>
      <c r="BD117" s="51" t="str">
        <f t="shared" si="77"/>
        <v/>
      </c>
      <c r="BE117" s="51" t="str">
        <f t="shared" si="77"/>
        <v/>
      </c>
      <c r="BF117" s="51" t="str">
        <f t="shared" si="77"/>
        <v/>
      </c>
      <c r="BG117" s="51">
        <f t="shared" si="77"/>
        <v>1.5799422315427705</v>
      </c>
      <c r="BH117" s="51" t="str">
        <f t="shared" si="77"/>
        <v/>
      </c>
      <c r="BI117" s="51" t="str">
        <f t="shared" si="77"/>
        <v/>
      </c>
      <c r="BJ117" s="51" t="str">
        <f t="shared" si="77"/>
        <v/>
      </c>
      <c r="BK117" s="51" t="str">
        <f t="shared" si="77"/>
        <v/>
      </c>
      <c r="BL117" s="51">
        <f t="shared" si="77"/>
        <v>1.6089077166870138</v>
      </c>
      <c r="BM117" s="51" t="str">
        <f t="shared" si="77"/>
        <v/>
      </c>
      <c r="BN117" s="51" t="str">
        <f t="shared" si="77"/>
        <v/>
      </c>
      <c r="BO117" s="51" t="str">
        <f t="shared" si="77"/>
        <v/>
      </c>
      <c r="BP117" s="51" t="str">
        <f t="shared" si="77"/>
        <v/>
      </c>
      <c r="BQ117" s="51">
        <f t="shared" si="77"/>
        <v>1.6429570344541662</v>
      </c>
      <c r="BR117" s="51" t="str">
        <f t="shared" si="77"/>
        <v/>
      </c>
      <c r="BS117" s="51" t="str">
        <f t="shared" si="78" ref="BS117:CK117">IF(BS17="","",BS17/$G17)</f>
        <v/>
      </c>
      <c r="BT117" s="51" t="str">
        <f t="shared" si="78"/>
        <v/>
      </c>
      <c r="BU117" s="51" t="str">
        <f t="shared" si="78"/>
        <v/>
      </c>
      <c r="BV117" s="51">
        <f t="shared" si="78"/>
        <v>1.6816801970276056</v>
      </c>
      <c r="BW117" s="51" t="str">
        <f t="shared" si="78"/>
        <v/>
      </c>
      <c r="BX117" s="51" t="str">
        <f t="shared" si="78"/>
        <v/>
      </c>
      <c r="BY117" s="51" t="str">
        <f t="shared" si="78"/>
        <v/>
      </c>
      <c r="BZ117" s="51" t="str">
        <f t="shared" si="78"/>
        <v/>
      </c>
      <c r="CA117" s="51">
        <f t="shared" si="78"/>
        <v>1.7229086565393272</v>
      </c>
      <c r="CB117" s="51" t="str">
        <f t="shared" si="78"/>
        <v/>
      </c>
      <c r="CC117" s="51" t="str">
        <f t="shared" si="78"/>
        <v/>
      </c>
      <c r="CD117" s="51" t="str">
        <f t="shared" si="78"/>
        <v/>
      </c>
      <c r="CE117" s="51" t="str">
        <f t="shared" si="78"/>
        <v/>
      </c>
      <c r="CF117" s="51">
        <f t="shared" si="78"/>
        <v>1.7641613585587648</v>
      </c>
      <c r="CG117" s="51" t="str">
        <f t="shared" si="78"/>
        <v/>
      </c>
      <c r="CH117" s="51" t="str">
        <f t="shared" si="78"/>
        <v/>
      </c>
      <c r="CI117" s="51" t="str">
        <f t="shared" si="78"/>
        <v/>
      </c>
      <c r="CJ117" s="51" t="str">
        <f t="shared" si="78"/>
        <v/>
      </c>
      <c r="CK117" s="51">
        <f t="shared" si="78"/>
        <v>1.8054719440104328</v>
      </c>
    </row>
    <row r="118" spans="6:89" ht="14.4">
      <c r="F118" t="s">
        <v>37</v>
      </c>
      <c r="G118" s="51">
        <f t="shared" si="79" ref="G118:BR118">IF(G18="","",G18/$G18)</f>
        <v>1</v>
      </c>
      <c r="H118" s="51">
        <f t="shared" si="79"/>
        <v>1.0226414888665605</v>
      </c>
      <c r="I118" s="51">
        <f t="shared" si="79"/>
        <v>0.73975858737719591</v>
      </c>
      <c r="J118" s="51">
        <f t="shared" si="79"/>
        <v>0.88577858529131948</v>
      </c>
      <c r="K118" s="51">
        <f t="shared" si="79"/>
        <v>0.96566345454649427</v>
      </c>
      <c r="L118" s="51">
        <f t="shared" si="79"/>
        <v>0.96918103951971146</v>
      </c>
      <c r="M118" s="51">
        <f t="shared" si="79"/>
        <v>0.98371875511250706</v>
      </c>
      <c r="N118" s="51">
        <f t="shared" si="79"/>
        <v>0.99847453643919459</v>
      </c>
      <c r="O118" s="51">
        <f t="shared" si="79"/>
        <v>1.0134516544857823</v>
      </c>
      <c r="P118" s="51">
        <f t="shared" si="79"/>
        <v>1.0286534293030689</v>
      </c>
      <c r="Q118" s="51">
        <f t="shared" si="79"/>
        <v>1.0440832307426151</v>
      </c>
      <c r="R118" s="51">
        <f t="shared" si="79"/>
        <v>1.0597444792037543</v>
      </c>
      <c r="S118" s="51">
        <f t="shared" si="79"/>
        <v>1.0756406463918105</v>
      </c>
      <c r="T118" s="51">
        <f t="shared" si="79"/>
        <v>1.0917752560876874</v>
      </c>
      <c r="U118" s="51">
        <f t="shared" si="79"/>
        <v>1.1081518849290026</v>
      </c>
      <c r="V118" s="51">
        <f t="shared" si="79"/>
        <v>1.1247741632029375</v>
      </c>
      <c r="W118" s="51">
        <f t="shared" si="79"/>
        <v>1.1416457756509815</v>
      </c>
      <c r="X118" s="51">
        <f t="shared" si="79"/>
        <v>1.1587704622857462</v>
      </c>
      <c r="Y118" s="51">
        <f t="shared" si="79"/>
        <v>1.1761520192200323</v>
      </c>
      <c r="Z118" s="51">
        <f t="shared" si="79"/>
        <v>1.1937942995083326</v>
      </c>
      <c r="AA118" s="51">
        <f t="shared" si="79"/>
        <v>1.2117012140009575</v>
      </c>
      <c r="AB118" s="51">
        <f t="shared" si="79"/>
        <v>1.2298767322109716</v>
      </c>
      <c r="AC118" s="51">
        <f t="shared" si="79"/>
        <v>1.2483248831941363</v>
      </c>
      <c r="AD118" s="51">
        <f t="shared" si="79"/>
        <v>1.2670497564420482</v>
      </c>
      <c r="AE118" s="51">
        <f t="shared" si="79"/>
        <v>1.2860555027886789</v>
      </c>
      <c r="AF118" s="51">
        <f t="shared" si="79"/>
        <v>1.305346335330509</v>
      </c>
      <c r="AG118" s="51">
        <f t="shared" si="79"/>
        <v>1.3249265303604663</v>
      </c>
      <c r="AH118" s="51">
        <f t="shared" si="79"/>
        <v>1.3448004283158732</v>
      </c>
      <c r="AI118" s="51">
        <f t="shared" si="79"/>
        <v>1.3649724347406111</v>
      </c>
      <c r="AJ118" s="51">
        <f t="shared" si="79"/>
        <v>1.38544702126172</v>
      </c>
      <c r="AK118" s="51">
        <f t="shared" si="79"/>
        <v>1.4062287265806457</v>
      </c>
      <c r="AL118" s="51">
        <f t="shared" si="79"/>
        <v>1.4273221574793553</v>
      </c>
      <c r="AM118" s="51">
        <f t="shared" si="79"/>
        <v>1.4487319898415454</v>
      </c>
      <c r="AN118" s="51" t="str">
        <f t="shared" si="79"/>
        <v/>
      </c>
      <c r="AO118" s="51" t="str">
        <f t="shared" si="79"/>
        <v/>
      </c>
      <c r="AP118" s="51" t="str">
        <f t="shared" si="79"/>
        <v/>
      </c>
      <c r="AQ118" s="51" t="str">
        <f t="shared" si="79"/>
        <v/>
      </c>
      <c r="AR118" s="51">
        <f t="shared" si="79"/>
        <v>1.4923252390129595</v>
      </c>
      <c r="AS118" s="51" t="str">
        <f t="shared" si="79"/>
        <v/>
      </c>
      <c r="AT118" s="51" t="str">
        <f t="shared" si="79"/>
        <v/>
      </c>
      <c r="AU118" s="51" t="str">
        <f t="shared" si="79"/>
        <v/>
      </c>
      <c r="AV118" s="51" t="str">
        <f t="shared" si="79"/>
        <v/>
      </c>
      <c r="AW118" s="51">
        <f t="shared" si="79"/>
        <v>1.5325667234799862</v>
      </c>
      <c r="AX118" s="51" t="str">
        <f t="shared" si="79"/>
        <v/>
      </c>
      <c r="AY118" s="51" t="str">
        <f t="shared" si="79"/>
        <v/>
      </c>
      <c r="AZ118" s="51" t="str">
        <f t="shared" si="79"/>
        <v/>
      </c>
      <c r="BA118" s="51" t="str">
        <f t="shared" si="79"/>
        <v/>
      </c>
      <c r="BB118" s="51">
        <f t="shared" si="79"/>
        <v>1.5559162659669563</v>
      </c>
      <c r="BC118" s="51" t="str">
        <f t="shared" si="79"/>
        <v/>
      </c>
      <c r="BD118" s="51" t="str">
        <f t="shared" si="79"/>
        <v/>
      </c>
      <c r="BE118" s="51" t="str">
        <f t="shared" si="79"/>
        <v/>
      </c>
      <c r="BF118" s="51" t="str">
        <f t="shared" si="79"/>
        <v/>
      </c>
      <c r="BG118" s="51">
        <f t="shared" si="79"/>
        <v>1.5809771922473264</v>
      </c>
      <c r="BH118" s="51" t="str">
        <f t="shared" si="79"/>
        <v/>
      </c>
      <c r="BI118" s="51" t="str">
        <f t="shared" si="79"/>
        <v/>
      </c>
      <c r="BJ118" s="51" t="str">
        <f t="shared" si="79"/>
        <v/>
      </c>
      <c r="BK118" s="51" t="str">
        <f t="shared" si="79"/>
        <v/>
      </c>
      <c r="BL118" s="51">
        <f t="shared" si="79"/>
        <v>1.6099616515909521</v>
      </c>
      <c r="BM118" s="51" t="str">
        <f t="shared" si="79"/>
        <v/>
      </c>
      <c r="BN118" s="51" t="str">
        <f t="shared" si="79"/>
        <v/>
      </c>
      <c r="BO118" s="51" t="str">
        <f t="shared" si="79"/>
        <v/>
      </c>
      <c r="BP118" s="51" t="str">
        <f t="shared" si="79"/>
        <v/>
      </c>
      <c r="BQ118" s="51">
        <f t="shared" si="79"/>
        <v>1.644033273784939</v>
      </c>
      <c r="BR118" s="51" t="str">
        <f t="shared" si="79"/>
        <v/>
      </c>
      <c r="BS118" s="51" t="str">
        <f t="shared" si="80" ref="BS118:CK118">IF(BS18="","",BS18/$G18)</f>
        <v/>
      </c>
      <c r="BT118" s="51" t="str">
        <f t="shared" si="80"/>
        <v/>
      </c>
      <c r="BU118" s="51" t="str">
        <f t="shared" si="80"/>
        <v/>
      </c>
      <c r="BV118" s="51">
        <f t="shared" si="80"/>
        <v>1.6827818024450754</v>
      </c>
      <c r="BW118" s="51" t="str">
        <f t="shared" si="80"/>
        <v/>
      </c>
      <c r="BX118" s="51" t="str">
        <f t="shared" si="80"/>
        <v/>
      </c>
      <c r="BY118" s="51" t="str">
        <f t="shared" si="80"/>
        <v/>
      </c>
      <c r="BZ118" s="51" t="str">
        <f t="shared" si="80"/>
        <v/>
      </c>
      <c r="CA118" s="51">
        <f t="shared" si="80"/>
        <v>1.7240372691692467</v>
      </c>
      <c r="CB118" s="51" t="str">
        <f t="shared" si="80"/>
        <v/>
      </c>
      <c r="CC118" s="51" t="str">
        <f t="shared" si="80"/>
        <v/>
      </c>
      <c r="CD118" s="51" t="str">
        <f t="shared" si="80"/>
        <v/>
      </c>
      <c r="CE118" s="51" t="str">
        <f t="shared" si="80"/>
        <v/>
      </c>
      <c r="CF118" s="51">
        <f t="shared" si="80"/>
        <v>1.7653169942814857</v>
      </c>
      <c r="CG118" s="51" t="str">
        <f t="shared" si="80"/>
        <v/>
      </c>
      <c r="CH118" s="51" t="str">
        <f t="shared" si="80"/>
        <v/>
      </c>
      <c r="CI118" s="51" t="str">
        <f t="shared" si="80"/>
        <v/>
      </c>
      <c r="CJ118" s="51" t="str">
        <f t="shared" si="80"/>
        <v/>
      </c>
      <c r="CK118" s="51">
        <f t="shared" si="80"/>
        <v>1.8066546407432189</v>
      </c>
    </row>
    <row r="119" spans="6:89" ht="14.4">
      <c r="F119" t="s">
        <v>39</v>
      </c>
      <c r="G119" s="51">
        <f t="shared" si="81" ref="G119:BR119">IF(G19="","",G19/$G19)</f>
        <v>1</v>
      </c>
      <c r="H119" s="51">
        <f t="shared" si="81"/>
        <v>0.91292897354634672</v>
      </c>
      <c r="I119" s="51">
        <f t="shared" si="81"/>
        <v>0.66039472778980368</v>
      </c>
      <c r="J119" s="51">
        <f t="shared" si="81"/>
        <v>0.67082489869178141</v>
      </c>
      <c r="K119" s="51">
        <f t="shared" si="81"/>
        <v>0.6947577474011587</v>
      </c>
      <c r="L119" s="51">
        <f t="shared" si="81"/>
        <v>0.6972885146169816</v>
      </c>
      <c r="M119" s="51">
        <f t="shared" si="81"/>
        <v>0.714720727482406</v>
      </c>
      <c r="N119" s="51">
        <f t="shared" si="81"/>
        <v>0.73258874566946619</v>
      </c>
      <c r="O119" s="51">
        <f t="shared" si="81"/>
        <v>0.75090346431120281</v>
      </c>
      <c r="P119" s="51">
        <f t="shared" si="81"/>
        <v>0.76967605091898283</v>
      </c>
      <c r="Q119" s="51">
        <f t="shared" si="81"/>
        <v>0.78891795219195726</v>
      </c>
      <c r="R119" s="51">
        <f t="shared" si="81"/>
        <v>0.80864090099675612</v>
      </c>
      <c r="S119" s="51">
        <f t="shared" si="81"/>
        <v>0.82885692352167484</v>
      </c>
      <c r="T119" s="51">
        <f t="shared" si="81"/>
        <v>0.84957834660971665</v>
      </c>
      <c r="U119" s="51">
        <f t="shared" si="81"/>
        <v>0.87081780527495944</v>
      </c>
      <c r="V119" s="51">
        <f t="shared" si="81"/>
        <v>0.89258825040683343</v>
      </c>
      <c r="W119" s="51">
        <f t="shared" si="81"/>
        <v>0.91490295666700416</v>
      </c>
      <c r="X119" s="51">
        <f t="shared" si="81"/>
        <v>0.93777553058367913</v>
      </c>
      <c r="Y119" s="51">
        <f t="shared" si="81"/>
        <v>0.96121991884827096</v>
      </c>
      <c r="Z119" s="51">
        <f t="shared" si="81"/>
        <v>0.98525041681947767</v>
      </c>
      <c r="AA119" s="51">
        <f t="shared" si="81"/>
        <v>1.0098816772399646</v>
      </c>
      <c r="AB119" s="51">
        <f t="shared" si="81"/>
        <v>1.0351287191709637</v>
      </c>
      <c r="AC119" s="51">
        <f t="shared" si="81"/>
        <v>1.0610069371502375</v>
      </c>
      <c r="AD119" s="51">
        <f t="shared" si="81"/>
        <v>1.0875321105789935</v>
      </c>
      <c r="AE119" s="51">
        <f t="shared" si="81"/>
        <v>1.1147204133434681</v>
      </c>
      <c r="AF119" s="51">
        <f t="shared" si="81"/>
        <v>1.1425884236770547</v>
      </c>
      <c r="AG119" s="51">
        <f t="shared" si="81"/>
        <v>1.1711531342689809</v>
      </c>
      <c r="AH119" s="51">
        <f t="shared" si="81"/>
        <v>1.2004319626257054</v>
      </c>
      <c r="AI119" s="51">
        <f t="shared" si="81"/>
        <v>1.230442761691348</v>
      </c>
      <c r="AJ119" s="51">
        <f t="shared" si="81"/>
        <v>1.2612038307336315</v>
      </c>
      <c r="AK119" s="51">
        <f t="shared" si="81"/>
        <v>1.2927339265019724</v>
      </c>
      <c r="AL119" s="51">
        <f t="shared" si="81"/>
        <v>1.3250522746645217</v>
      </c>
      <c r="AM119" s="51">
        <f t="shared" si="81"/>
        <v>1.3581785815311345</v>
      </c>
      <c r="AN119" s="51" t="str">
        <f t="shared" si="81"/>
        <v/>
      </c>
      <c r="AO119" s="51" t="str">
        <f t="shared" si="81"/>
        <v/>
      </c>
      <c r="AP119" s="51" t="str">
        <f t="shared" si="81"/>
        <v/>
      </c>
      <c r="AQ119" s="51" t="str">
        <f t="shared" si="81"/>
        <v/>
      </c>
      <c r="AR119" s="51">
        <f t="shared" si="81"/>
        <v>1.4802482518605418</v>
      </c>
      <c r="AS119" s="51" t="str">
        <f t="shared" si="81"/>
        <v/>
      </c>
      <c r="AT119" s="51" t="str">
        <f t="shared" si="81"/>
        <v/>
      </c>
      <c r="AU119" s="51" t="str">
        <f t="shared" si="81"/>
        <v/>
      </c>
      <c r="AV119" s="51" t="str">
        <f t="shared" si="81"/>
        <v/>
      </c>
      <c r="AW119" s="51">
        <f t="shared" si="81"/>
        <v>1.5201640728071812</v>
      </c>
      <c r="AX119" s="51" t="str">
        <f t="shared" si="81"/>
        <v/>
      </c>
      <c r="AY119" s="51" t="str">
        <f t="shared" si="81"/>
        <v/>
      </c>
      <c r="AZ119" s="51" t="str">
        <f t="shared" si="81"/>
        <v/>
      </c>
      <c r="BA119" s="51" t="str">
        <f t="shared" si="81"/>
        <v/>
      </c>
      <c r="BB119" s="51">
        <f t="shared" si="81"/>
        <v>1.5433246537211258</v>
      </c>
      <c r="BC119" s="51" t="str">
        <f t="shared" si="81"/>
        <v/>
      </c>
      <c r="BD119" s="51" t="str">
        <f t="shared" si="81"/>
        <v/>
      </c>
      <c r="BE119" s="51" t="str">
        <f t="shared" si="81"/>
        <v/>
      </c>
      <c r="BF119" s="51" t="str">
        <f t="shared" si="81"/>
        <v/>
      </c>
      <c r="BG119" s="51">
        <f t="shared" si="81"/>
        <v>1.5681827686592991</v>
      </c>
      <c r="BH119" s="51" t="str">
        <f t="shared" si="81"/>
        <v/>
      </c>
      <c r="BI119" s="51" t="str">
        <f t="shared" si="81"/>
        <v/>
      </c>
      <c r="BJ119" s="51" t="str">
        <f t="shared" si="81"/>
        <v/>
      </c>
      <c r="BK119" s="51" t="str">
        <f t="shared" si="81"/>
        <v/>
      </c>
      <c r="BL119" s="51">
        <f t="shared" si="81"/>
        <v>1.5969326645619504</v>
      </c>
      <c r="BM119" s="51" t="str">
        <f t="shared" si="81"/>
        <v/>
      </c>
      <c r="BN119" s="51" t="str">
        <f t="shared" si="81"/>
        <v/>
      </c>
      <c r="BO119" s="51" t="str">
        <f t="shared" si="81"/>
        <v/>
      </c>
      <c r="BP119" s="51" t="str">
        <f t="shared" si="81"/>
        <v/>
      </c>
      <c r="BQ119" s="51">
        <f t="shared" si="81"/>
        <v>1.6307285542730026</v>
      </c>
      <c r="BR119" s="51" t="str">
        <f t="shared" si="81"/>
        <v/>
      </c>
      <c r="BS119" s="51" t="str">
        <f t="shared" si="82" ref="BS119:CK119">IF(BS19="","",BS19/$G19)</f>
        <v/>
      </c>
      <c r="BT119" s="51" t="str">
        <f t="shared" si="82"/>
        <v/>
      </c>
      <c r="BU119" s="51" t="str">
        <f t="shared" si="82"/>
        <v/>
      </c>
      <c r="BV119" s="51">
        <f t="shared" si="82"/>
        <v>1.66916350150292</v>
      </c>
      <c r="BW119" s="51" t="str">
        <f t="shared" si="82"/>
        <v/>
      </c>
      <c r="BX119" s="51" t="str">
        <f t="shared" si="82"/>
        <v/>
      </c>
      <c r="BY119" s="51" t="str">
        <f t="shared" si="82"/>
        <v/>
      </c>
      <c r="BZ119" s="51" t="str">
        <f t="shared" si="82"/>
        <v/>
      </c>
      <c r="CA119" s="51">
        <f t="shared" si="82"/>
        <v>1.710085098820763</v>
      </c>
      <c r="CB119" s="51" t="str">
        <f t="shared" si="82"/>
        <v/>
      </c>
      <c r="CC119" s="51" t="str">
        <f t="shared" si="82"/>
        <v/>
      </c>
      <c r="CD119" s="51" t="str">
        <f t="shared" si="82"/>
        <v/>
      </c>
      <c r="CE119" s="51" t="str">
        <f t="shared" si="82"/>
        <v/>
      </c>
      <c r="CF119" s="51">
        <f t="shared" si="82"/>
        <v>1.7510307582100637</v>
      </c>
      <c r="CG119" s="51" t="str">
        <f t="shared" si="82"/>
        <v/>
      </c>
      <c r="CH119" s="51" t="str">
        <f t="shared" si="82"/>
        <v/>
      </c>
      <c r="CI119" s="51" t="str">
        <f t="shared" si="82"/>
        <v/>
      </c>
      <c r="CJ119" s="51" t="str">
        <f t="shared" si="82"/>
        <v/>
      </c>
      <c r="CK119" s="51">
        <f t="shared" si="82"/>
        <v>1.7920338702069336</v>
      </c>
    </row>
    <row r="120" spans="6:89" ht="14.4">
      <c r="F120" t="s">
        <v>41</v>
      </c>
      <c r="G120" s="51">
        <f t="shared" si="83" ref="G120:BR120">IF(G20="","",G20/$G20)</f>
        <v>1</v>
      </c>
      <c r="H120" s="51">
        <f t="shared" si="83"/>
        <v>0.99402098052705179</v>
      </c>
      <c r="I120" s="51">
        <f t="shared" si="83"/>
        <v>0.96688736400372588</v>
      </c>
      <c r="J120" s="51">
        <f t="shared" si="83"/>
        <v>0.99775372150538122</v>
      </c>
      <c r="K120" s="51">
        <f t="shared" si="83"/>
        <v>1.0164070085956751</v>
      </c>
      <c r="L120" s="51">
        <f t="shared" si="83"/>
        <v>1.1430265542330544</v>
      </c>
      <c r="M120" s="51">
        <f t="shared" si="83"/>
        <v>1.3094004193491986</v>
      </c>
      <c r="N120" s="51">
        <f t="shared" si="83"/>
        <v>1.3499918323490234</v>
      </c>
      <c r="O120" s="51">
        <f t="shared" si="83"/>
        <v>1.376991668996004</v>
      </c>
      <c r="P120" s="51">
        <f t="shared" si="83"/>
        <v>1.4045315023759239</v>
      </c>
      <c r="Q120" s="51">
        <f t="shared" si="83"/>
        <v>1.4326221324234425</v>
      </c>
      <c r="R120" s="51">
        <f t="shared" si="83"/>
        <v>1.4612745750719114</v>
      </c>
      <c r="S120" s="51">
        <f t="shared" si="83"/>
        <v>1.4905000665733497</v>
      </c>
      <c r="T120" s="51">
        <f t="shared" si="83"/>
        <v>1.5247815681045367</v>
      </c>
      <c r="U120" s="51">
        <f t="shared" si="83"/>
        <v>1.5598515441709411</v>
      </c>
      <c r="V120" s="51">
        <f t="shared" si="83"/>
        <v>1.5957281296868726</v>
      </c>
      <c r="W120" s="51">
        <f t="shared" si="83"/>
        <v>1.6324298766696705</v>
      </c>
      <c r="X120" s="51">
        <f t="shared" si="83"/>
        <v>1.6699757638330728</v>
      </c>
      <c r="Y120" s="51">
        <f t="shared" si="83"/>
        <v>1.7083852064012335</v>
      </c>
      <c r="Z120" s="51">
        <f t="shared" si="83"/>
        <v>1.7476780661484619</v>
      </c>
      <c r="AA120" s="51">
        <f t="shared" si="83"/>
        <v>1.787874661669876</v>
      </c>
      <c r="AB120" s="51">
        <f t="shared" si="83"/>
        <v>1.8289957788882831</v>
      </c>
      <c r="AC120" s="51">
        <f t="shared" si="83"/>
        <v>1.8710626818027132</v>
      </c>
      <c r="AD120" s="51">
        <f t="shared" si="83"/>
        <v>1.9140971234841757</v>
      </c>
      <c r="AE120" s="51">
        <f t="shared" si="83"/>
        <v>1.9581213573243113</v>
      </c>
      <c r="AF120" s="51">
        <f t="shared" si="83"/>
        <v>2.0031581485427701</v>
      </c>
      <c r="AG120" s="51">
        <f t="shared" si="83"/>
        <v>2.0492307859592533</v>
      </c>
      <c r="AH120" s="51">
        <f t="shared" si="83"/>
        <v>2.0963630940363163</v>
      </c>
      <c r="AI120" s="51">
        <f t="shared" si="83"/>
        <v>2.1445794451991511</v>
      </c>
      <c r="AJ120" s="51">
        <f t="shared" si="83"/>
        <v>2.1939047724387315</v>
      </c>
      <c r="AK120" s="51">
        <f t="shared" si="83"/>
        <v>2.2443645822048222</v>
      </c>
      <c r="AL120" s="51">
        <f t="shared" si="83"/>
        <v>2.2959849675955328</v>
      </c>
      <c r="AM120" s="51">
        <f t="shared" si="83"/>
        <v>2.34879262185023</v>
      </c>
      <c r="AN120" s="51">
        <f t="shared" si="83"/>
        <v>2.402814852152785</v>
      </c>
      <c r="AO120" s="51">
        <f t="shared" si="83"/>
        <v>2.458079593752299</v>
      </c>
      <c r="AP120" s="51">
        <f t="shared" si="83"/>
        <v>2.5146154244086016</v>
      </c>
      <c r="AQ120" s="51">
        <f t="shared" si="83"/>
        <v>2.5724515791699991</v>
      </c>
      <c r="AR120" s="51">
        <f t="shared" si="83"/>
        <v>2.6316179654909084</v>
      </c>
      <c r="AS120" s="51">
        <f t="shared" si="83"/>
        <v>2.6921451786971997</v>
      </c>
      <c r="AT120" s="51">
        <f t="shared" si="83"/>
        <v>2.7540645178072349</v>
      </c>
      <c r="AU120" s="51">
        <f t="shared" si="83"/>
        <v>2.8174080017168013</v>
      </c>
      <c r="AV120" s="51">
        <f t="shared" si="83"/>
        <v>2.8822083857562872</v>
      </c>
      <c r="AW120" s="51">
        <f t="shared" si="83"/>
        <v>2.9484991786286816</v>
      </c>
      <c r="AX120" s="51">
        <f t="shared" si="83"/>
        <v>3.0163146597371409</v>
      </c>
      <c r="AY120" s="51">
        <f t="shared" si="83"/>
        <v>3.0856898969110946</v>
      </c>
      <c r="AZ120" s="51">
        <f t="shared" si="83"/>
        <v>3.1566607645400495</v>
      </c>
      <c r="BA120" s="51">
        <f t="shared" si="83"/>
        <v>3.2292639621244703</v>
      </c>
      <c r="BB120" s="51">
        <f t="shared" si="83"/>
        <v>3.3035370332533329</v>
      </c>
      <c r="BC120" s="51">
        <f t="shared" si="83"/>
        <v>3.3795183850181596</v>
      </c>
      <c r="BD120" s="51">
        <f t="shared" si="83"/>
        <v>3.4572473078735766</v>
      </c>
      <c r="BE120" s="51">
        <f t="shared" si="83"/>
        <v>3.5367639959546686</v>
      </c>
      <c r="BF120" s="51">
        <f t="shared" si="83"/>
        <v>3.6181095678616249</v>
      </c>
      <c r="BG120" s="51">
        <f t="shared" si="83"/>
        <v>3.7013260879224426</v>
      </c>
      <c r="BH120" s="51">
        <f t="shared" si="83"/>
        <v>3.7864565879446581</v>
      </c>
      <c r="BI120" s="51">
        <f t="shared" si="83"/>
        <v>3.8735450894673851</v>
      </c>
      <c r="BJ120" s="51">
        <f t="shared" si="83"/>
        <v>3.9626366265251338</v>
      </c>
      <c r="BK120" s="51">
        <f t="shared" si="83"/>
        <v>4.0537772689352121</v>
      </c>
      <c r="BL120" s="51">
        <f t="shared" si="83"/>
        <v>4.1470141461207213</v>
      </c>
      <c r="BM120" s="51">
        <f t="shared" si="83"/>
        <v>4.2423954714814975</v>
      </c>
      <c r="BN120" s="51">
        <f t="shared" si="83"/>
        <v>4.3399705673255715</v>
      </c>
      <c r="BO120" s="51">
        <f t="shared" si="83"/>
        <v>4.4397898903740591</v>
      </c>
      <c r="BP120" s="51">
        <f t="shared" si="83"/>
        <v>4.5419050578526621</v>
      </c>
      <c r="BQ120" s="51">
        <f t="shared" si="83"/>
        <v>4.6463688741832723</v>
      </c>
      <c r="BR120" s="51">
        <f t="shared" si="83"/>
        <v>4.753235358289488</v>
      </c>
      <c r="BS120" s="51">
        <f t="shared" si="84" ref="BS120:CK120">IF(BS20="","",BS20/$G20)</f>
        <v>4.8625597715301447</v>
      </c>
      <c r="BT120" s="51">
        <f t="shared" si="84"/>
        <v>4.974398646275338</v>
      </c>
      <c r="BU120" s="51">
        <f t="shared" si="84"/>
        <v>5.0888098151396708</v>
      </c>
      <c r="BV120" s="51">
        <f t="shared" si="84"/>
        <v>5.2058524408878828</v>
      </c>
      <c r="BW120" s="51">
        <f t="shared" si="84"/>
        <v>5.3255870470283035</v>
      </c>
      <c r="BX120" s="51">
        <f t="shared" si="84"/>
        <v>5.4480755491099542</v>
      </c>
      <c r="BY120" s="51">
        <f t="shared" si="84"/>
        <v>5.5733812867394823</v>
      </c>
      <c r="BZ120" s="51">
        <f t="shared" si="84"/>
        <v>5.7015690563344901</v>
      </c>
      <c r="CA120" s="51">
        <f t="shared" si="84"/>
        <v>5.8327051446301823</v>
      </c>
      <c r="CB120" s="51">
        <f t="shared" si="84"/>
        <v>5.9668573629566772</v>
      </c>
      <c r="CC120" s="51">
        <f t="shared" si="84"/>
        <v>6.1040950823046796</v>
      </c>
      <c r="CD120" s="51">
        <f t="shared" si="84"/>
        <v>6.244489269197687</v>
      </c>
      <c r="CE120" s="51">
        <f t="shared" si="84"/>
        <v>6.3881125223892328</v>
      </c>
      <c r="CF120" s="51">
        <f t="shared" si="84"/>
        <v>6.5350391104041856</v>
      </c>
      <c r="CG120" s="51">
        <f t="shared" si="84"/>
        <v>6.6853450099434815</v>
      </c>
      <c r="CH120" s="51">
        <f t="shared" si="84"/>
        <v>6.8391079451721799</v>
      </c>
      <c r="CI120" s="51">
        <f t="shared" si="84"/>
        <v>6.9964074279111399</v>
      </c>
      <c r="CJ120" s="51">
        <f t="shared" si="84"/>
        <v>7.1573247987530948</v>
      </c>
      <c r="CK120" s="51">
        <f t="shared" si="84"/>
        <v>7.3219432691244153</v>
      </c>
    </row>
    <row r="121" spans="6:89" ht="14.4">
      <c r="F121" t="s">
        <v>43</v>
      </c>
      <c r="G121" s="51">
        <f t="shared" si="85" ref="G121:BR121">IF(G21="","",G21/$G21)</f>
        <v>1</v>
      </c>
      <c r="H121" s="51">
        <f t="shared" si="85"/>
        <v>1.3328647957936823</v>
      </c>
      <c r="I121" s="51">
        <f t="shared" si="85"/>
        <v>0.43713886530894325</v>
      </c>
      <c r="J121" s="51">
        <f t="shared" si="85"/>
        <v>1.1173887294999323</v>
      </c>
      <c r="K121" s="51">
        <f t="shared" si="85"/>
        <v>0.99621920260959751</v>
      </c>
      <c r="L121" s="51">
        <f t="shared" si="85"/>
        <v>0.87504967571926262</v>
      </c>
      <c r="M121" s="51">
        <f t="shared" si="85"/>
        <v>0.75388014882892784</v>
      </c>
      <c r="N121" s="51">
        <f t="shared" si="85"/>
        <v>0.63271062193859307</v>
      </c>
      <c r="O121" s="51">
        <f t="shared" si="85"/>
        <v>0.51154109504825829</v>
      </c>
      <c r="P121" s="51">
        <f t="shared" si="85"/>
        <v>0.39037156815792351</v>
      </c>
      <c r="Q121" s="51">
        <f t="shared" si="85"/>
        <v>0.26920204126758873</v>
      </c>
      <c r="R121" s="51">
        <f t="shared" si="85"/>
        <v>0.14803251437725398</v>
      </c>
      <c r="S121" s="51">
        <f t="shared" si="85"/>
        <v>0</v>
      </c>
      <c r="T121" s="51" t="str">
        <f t="shared" si="85"/>
        <v/>
      </c>
      <c r="U121" s="51" t="str">
        <f t="shared" si="85"/>
        <v/>
      </c>
      <c r="V121" s="51" t="str">
        <f t="shared" si="85"/>
        <v/>
      </c>
      <c r="W121" s="51" t="str">
        <f t="shared" si="85"/>
        <v/>
      </c>
      <c r="X121" s="51">
        <f t="shared" si="85"/>
        <v>0</v>
      </c>
      <c r="Y121" s="51" t="str">
        <f t="shared" si="85"/>
        <v/>
      </c>
      <c r="Z121" s="51" t="str">
        <f t="shared" si="85"/>
        <v/>
      </c>
      <c r="AA121" s="51" t="str">
        <f t="shared" si="85"/>
        <v/>
      </c>
      <c r="AB121" s="51" t="str">
        <f t="shared" si="85"/>
        <v/>
      </c>
      <c r="AC121" s="51">
        <f t="shared" si="85"/>
        <v>0</v>
      </c>
      <c r="AD121" s="51" t="str">
        <f t="shared" si="85"/>
        <v/>
      </c>
      <c r="AE121" s="51" t="str">
        <f t="shared" si="85"/>
        <v/>
      </c>
      <c r="AF121" s="51" t="str">
        <f t="shared" si="85"/>
        <v/>
      </c>
      <c r="AG121" s="51" t="str">
        <f t="shared" si="85"/>
        <v/>
      </c>
      <c r="AH121" s="51">
        <f t="shared" si="85"/>
        <v>0</v>
      </c>
      <c r="AI121" s="51" t="str">
        <f t="shared" si="85"/>
        <v/>
      </c>
      <c r="AJ121" s="51" t="str">
        <f t="shared" si="85"/>
        <v/>
      </c>
      <c r="AK121" s="51" t="str">
        <f t="shared" si="85"/>
        <v/>
      </c>
      <c r="AL121" s="51" t="str">
        <f t="shared" si="85"/>
        <v/>
      </c>
      <c r="AM121" s="51">
        <f t="shared" si="85"/>
        <v>0</v>
      </c>
      <c r="AN121" s="51" t="str">
        <f t="shared" si="85"/>
        <v/>
      </c>
      <c r="AO121" s="51" t="str">
        <f t="shared" si="85"/>
        <v/>
      </c>
      <c r="AP121" s="51" t="str">
        <f t="shared" si="85"/>
        <v/>
      </c>
      <c r="AQ121" s="51" t="str">
        <f t="shared" si="85"/>
        <v/>
      </c>
      <c r="AR121" s="51">
        <f t="shared" si="85"/>
        <v>0</v>
      </c>
      <c r="AS121" s="51" t="str">
        <f t="shared" si="85"/>
        <v/>
      </c>
      <c r="AT121" s="51" t="str">
        <f t="shared" si="85"/>
        <v/>
      </c>
      <c r="AU121" s="51" t="str">
        <f t="shared" si="85"/>
        <v/>
      </c>
      <c r="AV121" s="51" t="str">
        <f t="shared" si="85"/>
        <v/>
      </c>
      <c r="AW121" s="51">
        <f t="shared" si="85"/>
        <v>0</v>
      </c>
      <c r="AX121" s="51" t="str">
        <f t="shared" si="85"/>
        <v/>
      </c>
      <c r="AY121" s="51" t="str">
        <f t="shared" si="85"/>
        <v/>
      </c>
      <c r="AZ121" s="51" t="str">
        <f t="shared" si="85"/>
        <v/>
      </c>
      <c r="BA121" s="51" t="str">
        <f t="shared" si="85"/>
        <v/>
      </c>
      <c r="BB121" s="51">
        <f t="shared" si="85"/>
        <v>0</v>
      </c>
      <c r="BC121" s="51" t="str">
        <f t="shared" si="85"/>
        <v/>
      </c>
      <c r="BD121" s="51" t="str">
        <f t="shared" si="85"/>
        <v/>
      </c>
      <c r="BE121" s="51" t="str">
        <f t="shared" si="85"/>
        <v/>
      </c>
      <c r="BF121" s="51" t="str">
        <f t="shared" si="85"/>
        <v/>
      </c>
      <c r="BG121" s="51">
        <f t="shared" si="85"/>
        <v>0</v>
      </c>
      <c r="BH121" s="51" t="str">
        <f t="shared" si="85"/>
        <v/>
      </c>
      <c r="BI121" s="51" t="str">
        <f t="shared" si="85"/>
        <v/>
      </c>
      <c r="BJ121" s="51" t="str">
        <f t="shared" si="85"/>
        <v/>
      </c>
      <c r="BK121" s="51" t="str">
        <f t="shared" si="85"/>
        <v/>
      </c>
      <c r="BL121" s="51">
        <f t="shared" si="85"/>
        <v>0</v>
      </c>
      <c r="BM121" s="51" t="str">
        <f t="shared" si="85"/>
        <v/>
      </c>
      <c r="BN121" s="51" t="str">
        <f t="shared" si="85"/>
        <v/>
      </c>
      <c r="BO121" s="51" t="str">
        <f t="shared" si="85"/>
        <v/>
      </c>
      <c r="BP121" s="51" t="str">
        <f t="shared" si="85"/>
        <v/>
      </c>
      <c r="BQ121" s="51">
        <f t="shared" si="85"/>
        <v>0</v>
      </c>
      <c r="BR121" s="51" t="str">
        <f t="shared" si="85"/>
        <v/>
      </c>
      <c r="BS121" s="51" t="str">
        <f t="shared" si="86" ref="BS121:CK121">IF(BS21="","",BS21/$G21)</f>
        <v/>
      </c>
      <c r="BT121" s="51" t="str">
        <f t="shared" si="86"/>
        <v/>
      </c>
      <c r="BU121" s="51" t="str">
        <f t="shared" si="86"/>
        <v/>
      </c>
      <c r="BV121" s="51">
        <f t="shared" si="86"/>
        <v>0</v>
      </c>
      <c r="BW121" s="51" t="str">
        <f t="shared" si="86"/>
        <v/>
      </c>
      <c r="BX121" s="51" t="str">
        <f t="shared" si="86"/>
        <v/>
      </c>
      <c r="BY121" s="51" t="str">
        <f t="shared" si="86"/>
        <v/>
      </c>
      <c r="BZ121" s="51" t="str">
        <f t="shared" si="86"/>
        <v/>
      </c>
      <c r="CA121" s="51">
        <f t="shared" si="86"/>
        <v>0</v>
      </c>
      <c r="CB121" s="51" t="str">
        <f t="shared" si="86"/>
        <v/>
      </c>
      <c r="CC121" s="51" t="str">
        <f t="shared" si="86"/>
        <v/>
      </c>
      <c r="CD121" s="51" t="str">
        <f t="shared" si="86"/>
        <v/>
      </c>
      <c r="CE121" s="51" t="str">
        <f t="shared" si="86"/>
        <v/>
      </c>
      <c r="CF121" s="51">
        <f t="shared" si="86"/>
        <v>0</v>
      </c>
      <c r="CG121" s="51" t="str">
        <f t="shared" si="86"/>
        <v/>
      </c>
      <c r="CH121" s="51" t="str">
        <f t="shared" si="86"/>
        <v/>
      </c>
      <c r="CI121" s="51" t="str">
        <f t="shared" si="86"/>
        <v/>
      </c>
      <c r="CJ121" s="51" t="str">
        <f t="shared" si="86"/>
        <v/>
      </c>
      <c r="CK121" s="51">
        <f t="shared" si="86"/>
        <v>0</v>
      </c>
    </row>
    <row r="122" spans="6:89" ht="14.4">
      <c r="F122" t="s">
        <v>45</v>
      </c>
      <c r="G122" s="51">
        <f t="shared" si="87" ref="G122:BR122">IF(G22="","",G22/$G22)</f>
        <v>1</v>
      </c>
      <c r="H122" s="51">
        <f t="shared" si="87"/>
        <v>1.0650419574670333</v>
      </c>
      <c r="I122" s="51">
        <f t="shared" si="87"/>
        <v>1.3024737242617932</v>
      </c>
      <c r="J122" s="51">
        <f t="shared" si="87"/>
        <v>1.4374192993014447</v>
      </c>
      <c r="K122" s="51">
        <f t="shared" si="87"/>
        <v>1.3267252167575585</v>
      </c>
      <c r="L122" s="51">
        <f t="shared" si="87"/>
        <v>1.3674513145613281</v>
      </c>
      <c r="M122" s="51">
        <f t="shared" si="87"/>
        <v>1.4105228497406812</v>
      </c>
      <c r="N122" s="51">
        <f t="shared" si="87"/>
        <v>1.4553128072879951</v>
      </c>
      <c r="O122" s="51">
        <f t="shared" si="87"/>
        <v>1.5014955149992557</v>
      </c>
      <c r="P122" s="51">
        <f t="shared" si="87"/>
        <v>1.5488020692285454</v>
      </c>
      <c r="Q122" s="51">
        <f t="shared" si="87"/>
        <v>1.5972807019001019</v>
      </c>
      <c r="R122" s="51">
        <f t="shared" si="87"/>
        <v>1.646966840002533</v>
      </c>
      <c r="S122" s="51">
        <f t="shared" si="87"/>
        <v>1.6977068243081552</v>
      </c>
      <c r="T122" s="51">
        <f t="shared" si="87"/>
        <v>1.7492808367551451</v>
      </c>
      <c r="U122" s="51">
        <f t="shared" si="87"/>
        <v>1.8017042432662729</v>
      </c>
      <c r="V122" s="51">
        <f t="shared" si="87"/>
        <v>1.8547836893133647</v>
      </c>
      <c r="W122" s="51">
        <f t="shared" si="87"/>
        <v>1.9083510034083531</v>
      </c>
      <c r="X122" s="51">
        <f t="shared" si="87"/>
        <v>1.9622956362735375</v>
      </c>
      <c r="Y122" s="51">
        <f t="shared" si="87"/>
        <v>2.0165889902193279</v>
      </c>
      <c r="Z122" s="51">
        <f t="shared" si="87"/>
        <v>2.0710266131066613</v>
      </c>
      <c r="AA122" s="51">
        <f t="shared" si="87"/>
        <v>2.1257156395637344</v>
      </c>
      <c r="AB122" s="51">
        <f t="shared" si="87"/>
        <v>2.1808046068439677</v>
      </c>
      <c r="AC122" s="51">
        <f t="shared" si="87"/>
        <v>2.2364582717859376</v>
      </c>
      <c r="AD122" s="51">
        <f t="shared" si="87"/>
        <v>2.2928452327089026</v>
      </c>
      <c r="AE122" s="51">
        <f t="shared" si="87"/>
        <v>2.350123843983619</v>
      </c>
      <c r="AF122" s="51">
        <f t="shared" si="87"/>
        <v>2.408437520889255</v>
      </c>
      <c r="AG122" s="51">
        <f t="shared" si="87"/>
        <v>2.467927544549037</v>
      </c>
      <c r="AH122" s="51">
        <f t="shared" si="87"/>
        <v>2.5287509888401596</v>
      </c>
      <c r="AI122" s="51">
        <f t="shared" si="87"/>
        <v>2.5911016351219716</v>
      </c>
      <c r="AJ122" s="51">
        <f t="shared" si="87"/>
        <v>2.6548706414415326</v>
      </c>
      <c r="AK122" s="51">
        <f t="shared" si="87"/>
        <v>2.7203213626418483</v>
      </c>
      <c r="AL122" s="51">
        <f t="shared" si="87"/>
        <v>2.787767092814911</v>
      </c>
      <c r="AM122" s="51">
        <f t="shared" si="87"/>
        <v>2.8575450285992603</v>
      </c>
      <c r="AN122" s="51">
        <f t="shared" si="87"/>
        <v>2.9299693177492219</v>
      </c>
      <c r="AO122" s="51">
        <f t="shared" si="87"/>
        <v>3.0052687417816397</v>
      </c>
      <c r="AP122" s="51">
        <f t="shared" si="87"/>
        <v>3.0836148868340536</v>
      </c>
      <c r="AQ122" s="51">
        <f t="shared" si="87"/>
        <v>3.1651545828351306</v>
      </c>
      <c r="AR122" s="51">
        <f t="shared" si="87"/>
        <v>3.2500295377393025</v>
      </c>
      <c r="AS122" s="51">
        <f t="shared" si="87"/>
        <v>3.3383596911104099</v>
      </c>
      <c r="AT122" s="51">
        <f t="shared" si="87"/>
        <v>3.4301642503518832</v>
      </c>
      <c r="AU122" s="51">
        <f t="shared" si="87"/>
        <v>3.5253753493048743</v>
      </c>
      <c r="AV122" s="51">
        <f t="shared" si="87"/>
        <v>3.6238743288990527</v>
      </c>
      <c r="AW122" s="51">
        <f t="shared" si="87"/>
        <v>3.7255489325320288</v>
      </c>
      <c r="AX122" s="51">
        <f t="shared" si="87"/>
        <v>3.5469737394153329</v>
      </c>
      <c r="AY122" s="51">
        <f t="shared" si="87"/>
        <v>3.6053181731241177</v>
      </c>
      <c r="AZ122" s="51">
        <f t="shared" si="87"/>
        <v>3.6636626068329021</v>
      </c>
      <c r="BA122" s="51">
        <f t="shared" si="87"/>
        <v>3.722007040541659</v>
      </c>
      <c r="BB122" s="51">
        <f t="shared" si="87"/>
        <v>3.7803514742504154</v>
      </c>
      <c r="BC122" s="51">
        <f t="shared" si="87"/>
        <v>3.8386959079591998</v>
      </c>
      <c r="BD122" s="51">
        <f t="shared" si="87"/>
        <v>3.8970403416679558</v>
      </c>
      <c r="BE122" s="51">
        <f t="shared" si="87"/>
        <v>3.9553847753767406</v>
      </c>
      <c r="BF122" s="51">
        <f t="shared" si="87"/>
        <v>4.0137292090855254</v>
      </c>
      <c r="BG122" s="51">
        <f t="shared" si="87"/>
        <v>4.0720736427942823</v>
      </c>
      <c r="BH122" s="51">
        <f t="shared" si="87"/>
        <v>4.1304180765030383</v>
      </c>
      <c r="BI122" s="51">
        <f t="shared" si="87"/>
        <v>4.1887625102118236</v>
      </c>
      <c r="BJ122" s="51">
        <f t="shared" si="87"/>
        <v>4.2471069439206071</v>
      </c>
      <c r="BK122" s="51">
        <f t="shared" si="87"/>
        <v>4.3054513776293639</v>
      </c>
      <c r="BL122" s="51">
        <f t="shared" si="87"/>
        <v>4.3637958113381483</v>
      </c>
      <c r="BM122" s="51">
        <f t="shared" si="87"/>
        <v>4.4221402450469336</v>
      </c>
      <c r="BN122" s="51">
        <f t="shared" si="87"/>
        <v>4.4804846787556896</v>
      </c>
      <c r="BO122" s="51">
        <f t="shared" si="87"/>
        <v>4.5388291124644455</v>
      </c>
      <c r="BP122" s="51">
        <f t="shared" si="87"/>
        <v>4.5971735461732308</v>
      </c>
      <c r="BQ122" s="51">
        <f t="shared" si="87"/>
        <v>4.6555179798819877</v>
      </c>
      <c r="BR122" s="51">
        <f t="shared" si="87"/>
        <v>4.7138624135907721</v>
      </c>
      <c r="BS122" s="51">
        <f t="shared" si="88" ref="BS122:CK122">IF(BS22="","",BS22/$G22)</f>
        <v>4.7722068472995556</v>
      </c>
      <c r="BT122" s="51">
        <f t="shared" si="88"/>
        <v>4.8305512810083124</v>
      </c>
      <c r="BU122" s="51">
        <f t="shared" si="88"/>
        <v>4.8888957147170684</v>
      </c>
      <c r="BV122" s="51">
        <f t="shared" si="88"/>
        <v>4.9472401484258537</v>
      </c>
      <c r="BW122" s="51">
        <f t="shared" si="88"/>
        <v>5.0055845821346381</v>
      </c>
      <c r="BX122" s="51">
        <f t="shared" si="88"/>
        <v>5.0639290158433949</v>
      </c>
      <c r="BY122" s="51">
        <f t="shared" si="88"/>
        <v>5.1222734495521793</v>
      </c>
      <c r="BZ122" s="51">
        <f t="shared" si="88"/>
        <v>5.1806178832609362</v>
      </c>
      <c r="CA122" s="51">
        <f t="shared" si="88"/>
        <v>5.2389623169697206</v>
      </c>
      <c r="CB122" s="51">
        <f t="shared" si="88"/>
        <v>5.2973067506784774</v>
      </c>
      <c r="CC122" s="51">
        <f t="shared" si="88"/>
        <v>5.3556511843872618</v>
      </c>
      <c r="CD122" s="51">
        <f t="shared" si="88"/>
        <v>5.4139956180960178</v>
      </c>
      <c r="CE122" s="51">
        <f t="shared" si="88"/>
        <v>5.4723400518048022</v>
      </c>
      <c r="CF122" s="51">
        <f t="shared" si="88"/>
        <v>5.5306844855135866</v>
      </c>
      <c r="CG122" s="51">
        <f t="shared" si="88"/>
        <v>5.5890289192223435</v>
      </c>
      <c r="CH122" s="51">
        <f t="shared" si="88"/>
        <v>5.6473733529310994</v>
      </c>
      <c r="CI122" s="51">
        <f t="shared" si="88"/>
        <v>5.7057177866398847</v>
      </c>
      <c r="CJ122" s="51">
        <f t="shared" si="88"/>
        <v>5.7640622203486691</v>
      </c>
      <c r="CK122" s="51">
        <f t="shared" si="88"/>
        <v>5.822406654057426</v>
      </c>
    </row>
    <row r="123" spans="6:89" ht="14.4">
      <c r="F123" t="s">
        <v>47</v>
      </c>
      <c r="G123" s="51">
        <f t="shared" si="89" ref="G123:BR123">IF(G23="","",G23/$G23)</f>
        <v>1</v>
      </c>
      <c r="H123" s="51">
        <f t="shared" si="89"/>
        <v>0.79961427760049597</v>
      </c>
      <c r="I123" s="51">
        <f t="shared" si="89"/>
        <v>1.0921204113235432</v>
      </c>
      <c r="J123" s="51">
        <f t="shared" si="89"/>
        <v>0.726337169437279</v>
      </c>
      <c r="K123" s="51">
        <f t="shared" si="89"/>
        <v>0.63180294895930966</v>
      </c>
      <c r="L123" s="51">
        <f t="shared" si="89"/>
        <v>0.5993804953874553</v>
      </c>
      <c r="M123" s="51">
        <f t="shared" si="89"/>
        <v>0.53203016986568674</v>
      </c>
      <c r="N123" s="51">
        <f t="shared" si="89"/>
        <v>0.41652868381196112</v>
      </c>
      <c r="O123" s="51">
        <f t="shared" si="89"/>
        <v>0.27107140343777042</v>
      </c>
      <c r="P123" s="51">
        <f t="shared" si="89"/>
        <v>0.14517905799260153</v>
      </c>
      <c r="Q123" s="51">
        <f t="shared" si="89"/>
        <v>0.066984555582558239</v>
      </c>
      <c r="R123" s="51">
        <f t="shared" si="89"/>
        <v>0.027943165862220742</v>
      </c>
      <c r="S123" s="51">
        <f t="shared" si="89"/>
        <v>0</v>
      </c>
      <c r="T123" s="51" t="str">
        <f t="shared" si="89"/>
        <v/>
      </c>
      <c r="U123" s="51" t="str">
        <f t="shared" si="89"/>
        <v/>
      </c>
      <c r="V123" s="51" t="str">
        <f t="shared" si="89"/>
        <v/>
      </c>
      <c r="W123" s="51" t="str">
        <f t="shared" si="89"/>
        <v/>
      </c>
      <c r="X123" s="51">
        <f t="shared" si="89"/>
        <v>0</v>
      </c>
      <c r="Y123" s="51" t="str">
        <f t="shared" si="89"/>
        <v/>
      </c>
      <c r="Z123" s="51" t="str">
        <f t="shared" si="89"/>
        <v/>
      </c>
      <c r="AA123" s="51" t="str">
        <f t="shared" si="89"/>
        <v/>
      </c>
      <c r="AB123" s="51" t="str">
        <f t="shared" si="89"/>
        <v/>
      </c>
      <c r="AC123" s="51">
        <f t="shared" si="89"/>
        <v>0</v>
      </c>
      <c r="AD123" s="51" t="str">
        <f t="shared" si="89"/>
        <v/>
      </c>
      <c r="AE123" s="51" t="str">
        <f t="shared" si="89"/>
        <v/>
      </c>
      <c r="AF123" s="51" t="str">
        <f t="shared" si="89"/>
        <v/>
      </c>
      <c r="AG123" s="51" t="str">
        <f t="shared" si="89"/>
        <v/>
      </c>
      <c r="AH123" s="51">
        <f t="shared" si="89"/>
        <v>0</v>
      </c>
      <c r="AI123" s="51" t="str">
        <f t="shared" si="89"/>
        <v/>
      </c>
      <c r="AJ123" s="51" t="str">
        <f t="shared" si="89"/>
        <v/>
      </c>
      <c r="AK123" s="51" t="str">
        <f t="shared" si="89"/>
        <v/>
      </c>
      <c r="AL123" s="51" t="str">
        <f t="shared" si="89"/>
        <v/>
      </c>
      <c r="AM123" s="51">
        <f t="shared" si="89"/>
        <v>0</v>
      </c>
      <c r="AN123" s="51" t="str">
        <f t="shared" si="89"/>
        <v/>
      </c>
      <c r="AO123" s="51" t="str">
        <f t="shared" si="89"/>
        <v/>
      </c>
      <c r="AP123" s="51" t="str">
        <f t="shared" si="89"/>
        <v/>
      </c>
      <c r="AQ123" s="51" t="str">
        <f t="shared" si="89"/>
        <v/>
      </c>
      <c r="AR123" s="51">
        <f t="shared" si="89"/>
        <v>0</v>
      </c>
      <c r="AS123" s="51" t="str">
        <f t="shared" si="89"/>
        <v/>
      </c>
      <c r="AT123" s="51" t="str">
        <f t="shared" si="89"/>
        <v/>
      </c>
      <c r="AU123" s="51" t="str">
        <f t="shared" si="89"/>
        <v/>
      </c>
      <c r="AV123" s="51" t="str">
        <f t="shared" si="89"/>
        <v/>
      </c>
      <c r="AW123" s="51">
        <f t="shared" si="89"/>
        <v>0</v>
      </c>
      <c r="AX123" s="51" t="str">
        <f t="shared" si="89"/>
        <v/>
      </c>
      <c r="AY123" s="51" t="str">
        <f t="shared" si="89"/>
        <v/>
      </c>
      <c r="AZ123" s="51" t="str">
        <f t="shared" si="89"/>
        <v/>
      </c>
      <c r="BA123" s="51" t="str">
        <f t="shared" si="89"/>
        <v/>
      </c>
      <c r="BB123" s="51">
        <f t="shared" si="89"/>
        <v>0</v>
      </c>
      <c r="BC123" s="51" t="str">
        <f t="shared" si="89"/>
        <v/>
      </c>
      <c r="BD123" s="51" t="str">
        <f t="shared" si="89"/>
        <v/>
      </c>
      <c r="BE123" s="51" t="str">
        <f t="shared" si="89"/>
        <v/>
      </c>
      <c r="BF123" s="51" t="str">
        <f t="shared" si="89"/>
        <v/>
      </c>
      <c r="BG123" s="51">
        <f t="shared" si="89"/>
        <v>0</v>
      </c>
      <c r="BH123" s="51" t="str">
        <f t="shared" si="89"/>
        <v/>
      </c>
      <c r="BI123" s="51" t="str">
        <f t="shared" si="89"/>
        <v/>
      </c>
      <c r="BJ123" s="51" t="str">
        <f t="shared" si="89"/>
        <v/>
      </c>
      <c r="BK123" s="51" t="str">
        <f t="shared" si="89"/>
        <v/>
      </c>
      <c r="BL123" s="51">
        <f t="shared" si="89"/>
        <v>0</v>
      </c>
      <c r="BM123" s="51" t="str">
        <f t="shared" si="89"/>
        <v/>
      </c>
      <c r="BN123" s="51" t="str">
        <f t="shared" si="89"/>
        <v/>
      </c>
      <c r="BO123" s="51" t="str">
        <f t="shared" si="89"/>
        <v/>
      </c>
      <c r="BP123" s="51" t="str">
        <f t="shared" si="89"/>
        <v/>
      </c>
      <c r="BQ123" s="51">
        <f t="shared" si="89"/>
        <v>0</v>
      </c>
      <c r="BR123" s="51" t="str">
        <f t="shared" si="89"/>
        <v/>
      </c>
      <c r="BS123" s="51" t="str">
        <f t="shared" si="90" ref="BS123:CK123">IF(BS23="","",BS23/$G23)</f>
        <v/>
      </c>
      <c r="BT123" s="51" t="str">
        <f t="shared" si="90"/>
        <v/>
      </c>
      <c r="BU123" s="51" t="str">
        <f t="shared" si="90"/>
        <v/>
      </c>
      <c r="BV123" s="51">
        <f t="shared" si="90"/>
        <v>0</v>
      </c>
      <c r="BW123" s="51" t="str">
        <f t="shared" si="90"/>
        <v/>
      </c>
      <c r="BX123" s="51" t="str">
        <f t="shared" si="90"/>
        <v/>
      </c>
      <c r="BY123" s="51" t="str">
        <f t="shared" si="90"/>
        <v/>
      </c>
      <c r="BZ123" s="51" t="str">
        <f t="shared" si="90"/>
        <v/>
      </c>
      <c r="CA123" s="51">
        <f t="shared" si="90"/>
        <v>0</v>
      </c>
      <c r="CB123" s="51" t="str">
        <f t="shared" si="90"/>
        <v/>
      </c>
      <c r="CC123" s="51" t="str">
        <f t="shared" si="90"/>
        <v/>
      </c>
      <c r="CD123" s="51" t="str">
        <f t="shared" si="90"/>
        <v/>
      </c>
      <c r="CE123" s="51" t="str">
        <f t="shared" si="90"/>
        <v/>
      </c>
      <c r="CF123" s="51">
        <f t="shared" si="90"/>
        <v>0</v>
      </c>
      <c r="CG123" s="51" t="str">
        <f t="shared" si="90"/>
        <v/>
      </c>
      <c r="CH123" s="51" t="str">
        <f t="shared" si="90"/>
        <v/>
      </c>
      <c r="CI123" s="51" t="str">
        <f t="shared" si="90"/>
        <v/>
      </c>
      <c r="CJ123" s="51" t="str">
        <f t="shared" si="90"/>
        <v/>
      </c>
      <c r="CK123" s="51">
        <f t="shared" si="90"/>
        <v>0</v>
      </c>
    </row>
    <row r="124" spans="6:89" ht="14.4">
      <c r="F124" t="s">
        <v>49</v>
      </c>
      <c r="G124" s="51">
        <f t="shared" si="91" ref="G124:BR124">IF(G24="","",G24/$G24)</f>
        <v>1</v>
      </c>
      <c r="H124" s="51">
        <f t="shared" si="91"/>
        <v>1.0745889095081476</v>
      </c>
      <c r="I124" s="51">
        <f t="shared" si="91"/>
        <v>0.47130661907360605</v>
      </c>
      <c r="J124" s="51">
        <f t="shared" si="91"/>
        <v>0.51420949768684188</v>
      </c>
      <c r="K124" s="51">
        <f t="shared" si="91"/>
        <v>0.98503939180116773</v>
      </c>
      <c r="L124" s="51">
        <f t="shared" si="91"/>
        <v>0.98503939180116773</v>
      </c>
      <c r="M124" s="51">
        <f t="shared" si="91"/>
        <v>0.98503939180116773</v>
      </c>
      <c r="N124" s="51">
        <f t="shared" si="91"/>
        <v>0.98503939180116773</v>
      </c>
      <c r="O124" s="51">
        <f t="shared" si="91"/>
        <v>0.98503939180116773</v>
      </c>
      <c r="P124" s="51">
        <f t="shared" si="91"/>
        <v>0.98503939180116773</v>
      </c>
      <c r="Q124" s="51">
        <f t="shared" si="91"/>
        <v>0.98503939180116773</v>
      </c>
      <c r="R124" s="51">
        <f t="shared" si="91"/>
        <v>0.98503939180116773</v>
      </c>
      <c r="S124" s="51">
        <f t="shared" si="91"/>
        <v>0.98503939180116773</v>
      </c>
      <c r="T124" s="51">
        <f t="shared" si="91"/>
        <v>0.98503939180116773</v>
      </c>
      <c r="U124" s="51">
        <f t="shared" si="91"/>
        <v>0.98503939180116773</v>
      </c>
      <c r="V124" s="51">
        <f t="shared" si="91"/>
        <v>0.98503939180116773</v>
      </c>
      <c r="W124" s="51">
        <f t="shared" si="91"/>
        <v>0.98503939180116773</v>
      </c>
      <c r="X124" s="51">
        <f t="shared" si="91"/>
        <v>0.98503939180116773</v>
      </c>
      <c r="Y124" s="51">
        <f t="shared" si="91"/>
        <v>0.98503939180116773</v>
      </c>
      <c r="Z124" s="51">
        <f t="shared" si="91"/>
        <v>0.98503939180116773</v>
      </c>
      <c r="AA124" s="51">
        <f t="shared" si="91"/>
        <v>0.98503939180116773</v>
      </c>
      <c r="AB124" s="51">
        <f t="shared" si="91"/>
        <v>0.98503939180116773</v>
      </c>
      <c r="AC124" s="51">
        <f t="shared" si="91"/>
        <v>0.98503939180116773</v>
      </c>
      <c r="AD124" s="51">
        <f t="shared" si="91"/>
        <v>0.98503939180116773</v>
      </c>
      <c r="AE124" s="51">
        <f t="shared" si="91"/>
        <v>0.98503939180116773</v>
      </c>
      <c r="AF124" s="51">
        <f t="shared" si="91"/>
        <v>0.98503939180116773</v>
      </c>
      <c r="AG124" s="51">
        <f t="shared" si="91"/>
        <v>0.98503939180116773</v>
      </c>
      <c r="AH124" s="51">
        <f t="shared" si="91"/>
        <v>0.98503939180116773</v>
      </c>
      <c r="AI124" s="51">
        <f t="shared" si="91"/>
        <v>0.98503939180116773</v>
      </c>
      <c r="AJ124" s="51">
        <f t="shared" si="91"/>
        <v>0.98503939180116773</v>
      </c>
      <c r="AK124" s="51">
        <f t="shared" si="91"/>
        <v>0.98503939180116773</v>
      </c>
      <c r="AL124" s="51">
        <f t="shared" si="91"/>
        <v>0.98503939180116773</v>
      </c>
      <c r="AM124" s="51">
        <f t="shared" si="91"/>
        <v>0.98503939180116773</v>
      </c>
      <c r="AN124" s="51">
        <f t="shared" si="91"/>
        <v>0.98503939180116773</v>
      </c>
      <c r="AO124" s="51">
        <f t="shared" si="91"/>
        <v>0.98503939180116773</v>
      </c>
      <c r="AP124" s="51">
        <f t="shared" si="91"/>
        <v>0.98503939180116773</v>
      </c>
      <c r="AQ124" s="51">
        <f t="shared" si="91"/>
        <v>0.98503939180116773</v>
      </c>
      <c r="AR124" s="51">
        <f t="shared" si="91"/>
        <v>0.98503939180116773</v>
      </c>
      <c r="AS124" s="51">
        <f t="shared" si="91"/>
        <v>0.98503939180116773</v>
      </c>
      <c r="AT124" s="51">
        <f t="shared" si="91"/>
        <v>0.98503939180116773</v>
      </c>
      <c r="AU124" s="51">
        <f t="shared" si="91"/>
        <v>0.98503939180116773</v>
      </c>
      <c r="AV124" s="51">
        <f t="shared" si="91"/>
        <v>0.98503939180116773</v>
      </c>
      <c r="AW124" s="51">
        <f t="shared" si="91"/>
        <v>0.98503939180116773</v>
      </c>
      <c r="AX124" s="51">
        <f t="shared" si="91"/>
        <v>0.98503939180116773</v>
      </c>
      <c r="AY124" s="51">
        <f t="shared" si="91"/>
        <v>0.98503939180116773</v>
      </c>
      <c r="AZ124" s="51">
        <f t="shared" si="91"/>
        <v>0.98503939180116773</v>
      </c>
      <c r="BA124" s="51">
        <f t="shared" si="91"/>
        <v>0.98503939180116773</v>
      </c>
      <c r="BB124" s="51">
        <f t="shared" si="91"/>
        <v>0.98503939180116773</v>
      </c>
      <c r="BC124" s="51">
        <f t="shared" si="91"/>
        <v>0.98503939180116773</v>
      </c>
      <c r="BD124" s="51">
        <f t="shared" si="91"/>
        <v>0.98503939180116773</v>
      </c>
      <c r="BE124" s="51">
        <f t="shared" si="91"/>
        <v>0.98503939180116773</v>
      </c>
      <c r="BF124" s="51">
        <f t="shared" si="91"/>
        <v>0.98503939180116773</v>
      </c>
      <c r="BG124" s="51">
        <f t="shared" si="91"/>
        <v>0.98503939180116773</v>
      </c>
      <c r="BH124" s="51">
        <f t="shared" si="91"/>
        <v>0.98503939180116773</v>
      </c>
      <c r="BI124" s="51">
        <f t="shared" si="91"/>
        <v>0.98503939180116773</v>
      </c>
      <c r="BJ124" s="51">
        <f t="shared" si="91"/>
        <v>0.98503939180116773</v>
      </c>
      <c r="BK124" s="51">
        <f t="shared" si="91"/>
        <v>0.98503939180116773</v>
      </c>
      <c r="BL124" s="51">
        <f t="shared" si="91"/>
        <v>0.98503939180116773</v>
      </c>
      <c r="BM124" s="51">
        <f t="shared" si="91"/>
        <v>0.98503939180116773</v>
      </c>
      <c r="BN124" s="51">
        <f t="shared" si="91"/>
        <v>0.98503939180116773</v>
      </c>
      <c r="BO124" s="51">
        <f t="shared" si="91"/>
        <v>0.98503939180116773</v>
      </c>
      <c r="BP124" s="51">
        <f t="shared" si="91"/>
        <v>0.98503939180116773</v>
      </c>
      <c r="BQ124" s="51">
        <f t="shared" si="91"/>
        <v>0.98503939180116773</v>
      </c>
      <c r="BR124" s="51">
        <f t="shared" si="91"/>
        <v>0.98503939180116773</v>
      </c>
      <c r="BS124" s="51">
        <f t="shared" si="92" ref="BS124:CK124">IF(BS24="","",BS24/$G24)</f>
        <v>0.98503939180116773</v>
      </c>
      <c r="BT124" s="51">
        <f t="shared" si="92"/>
        <v>0.98503939180116773</v>
      </c>
      <c r="BU124" s="51">
        <f t="shared" si="92"/>
        <v>0.98503939180116773</v>
      </c>
      <c r="BV124" s="51">
        <f t="shared" si="92"/>
        <v>0.98503939180116773</v>
      </c>
      <c r="BW124" s="51">
        <f t="shared" si="92"/>
        <v>0.98503939180116773</v>
      </c>
      <c r="BX124" s="51">
        <f t="shared" si="92"/>
        <v>0.98503939180116773</v>
      </c>
      <c r="BY124" s="51">
        <f t="shared" si="92"/>
        <v>0.98503939180116773</v>
      </c>
      <c r="BZ124" s="51">
        <f t="shared" si="92"/>
        <v>0.98503939180116773</v>
      </c>
      <c r="CA124" s="51">
        <f t="shared" si="92"/>
        <v>0.98503939180116773</v>
      </c>
      <c r="CB124" s="51">
        <f t="shared" si="92"/>
        <v>0.98503939180116773</v>
      </c>
      <c r="CC124" s="51">
        <f t="shared" si="92"/>
        <v>0.98503939180116773</v>
      </c>
      <c r="CD124" s="51">
        <f t="shared" si="92"/>
        <v>0.98503939180116773</v>
      </c>
      <c r="CE124" s="51">
        <f t="shared" si="92"/>
        <v>0.98503939180116773</v>
      </c>
      <c r="CF124" s="51">
        <f t="shared" si="92"/>
        <v>0.98503939180116773</v>
      </c>
      <c r="CG124" s="51">
        <f t="shared" si="92"/>
        <v>0.98503939180116773</v>
      </c>
      <c r="CH124" s="51">
        <f t="shared" si="92"/>
        <v>0.98503939180116773</v>
      </c>
      <c r="CI124" s="51">
        <f t="shared" si="92"/>
        <v>0.98503939180116773</v>
      </c>
      <c r="CJ124" s="51">
        <f t="shared" si="92"/>
        <v>0.98503939180116773</v>
      </c>
      <c r="CK124" s="51">
        <f t="shared" si="92"/>
        <v>0.98503939180116773</v>
      </c>
    </row>
    <row r="125" spans="6:89" ht="14.4">
      <c r="F125" t="s">
        <v>51</v>
      </c>
      <c r="G125" s="51">
        <f t="shared" si="93" ref="G125:BR125">IF(G25="","",G25/$G25)</f>
        <v>1</v>
      </c>
      <c r="H125" s="51">
        <f t="shared" si="93"/>
        <v>1.0113613806202701</v>
      </c>
      <c r="I125" s="51">
        <f t="shared" si="93"/>
        <v>0.36069353006187754</v>
      </c>
      <c r="J125" s="51">
        <f t="shared" si="93"/>
        <v>0.40409792144281698</v>
      </c>
      <c r="K125" s="51">
        <f t="shared" si="93"/>
        <v>1.0483818199343635</v>
      </c>
      <c r="L125" s="51">
        <f t="shared" si="93"/>
        <v>1.0629218721668541</v>
      </c>
      <c r="M125" s="51">
        <f t="shared" si="93"/>
        <v>1.0771710880739089</v>
      </c>
      <c r="N125" s="51">
        <f t="shared" si="93"/>
        <v>0</v>
      </c>
      <c r="O125" s="51">
        <f t="shared" si="93"/>
        <v>0</v>
      </c>
      <c r="P125" s="51">
        <f t="shared" si="93"/>
        <v>0</v>
      </c>
      <c r="Q125" s="51">
        <f t="shared" si="93"/>
        <v>0</v>
      </c>
      <c r="R125" s="51">
        <f t="shared" si="93"/>
        <v>0</v>
      </c>
      <c r="S125" s="51">
        <f t="shared" si="93"/>
        <v>0</v>
      </c>
      <c r="T125" s="51">
        <f t="shared" si="93"/>
        <v>0</v>
      </c>
      <c r="U125" s="51">
        <f t="shared" si="93"/>
        <v>0</v>
      </c>
      <c r="V125" s="51">
        <f t="shared" si="93"/>
        <v>0</v>
      </c>
      <c r="W125" s="51">
        <f t="shared" si="93"/>
        <v>0</v>
      </c>
      <c r="X125" s="51">
        <f t="shared" si="93"/>
        <v>0</v>
      </c>
      <c r="Y125" s="51">
        <f t="shared" si="93"/>
        <v>0</v>
      </c>
      <c r="Z125" s="51">
        <f t="shared" si="93"/>
        <v>0</v>
      </c>
      <c r="AA125" s="51">
        <f t="shared" si="93"/>
        <v>0</v>
      </c>
      <c r="AB125" s="51">
        <f t="shared" si="93"/>
        <v>0</v>
      </c>
      <c r="AC125" s="51">
        <f t="shared" si="93"/>
        <v>0</v>
      </c>
      <c r="AD125" s="51">
        <f t="shared" si="93"/>
        <v>0</v>
      </c>
      <c r="AE125" s="51">
        <f t="shared" si="93"/>
        <v>0</v>
      </c>
      <c r="AF125" s="51">
        <f t="shared" si="93"/>
        <v>0</v>
      </c>
      <c r="AG125" s="51">
        <f t="shared" si="93"/>
        <v>0</v>
      </c>
      <c r="AH125" s="51">
        <f t="shared" si="93"/>
        <v>0</v>
      </c>
      <c r="AI125" s="51">
        <f t="shared" si="93"/>
        <v>0</v>
      </c>
      <c r="AJ125" s="51">
        <f t="shared" si="93"/>
        <v>0</v>
      </c>
      <c r="AK125" s="51">
        <f t="shared" si="93"/>
        <v>0</v>
      </c>
      <c r="AL125" s="51">
        <f t="shared" si="93"/>
        <v>0</v>
      </c>
      <c r="AM125" s="51">
        <f t="shared" si="93"/>
        <v>0</v>
      </c>
      <c r="AN125" s="51">
        <f t="shared" si="93"/>
        <v>0</v>
      </c>
      <c r="AO125" s="51">
        <f t="shared" si="93"/>
        <v>0</v>
      </c>
      <c r="AP125" s="51">
        <f t="shared" si="93"/>
        <v>0</v>
      </c>
      <c r="AQ125" s="51">
        <f t="shared" si="93"/>
        <v>0</v>
      </c>
      <c r="AR125" s="51">
        <f t="shared" si="93"/>
        <v>0</v>
      </c>
      <c r="AS125" s="51">
        <f t="shared" si="93"/>
        <v>0</v>
      </c>
      <c r="AT125" s="51">
        <f t="shared" si="93"/>
        <v>0</v>
      </c>
      <c r="AU125" s="51">
        <f t="shared" si="93"/>
        <v>0</v>
      </c>
      <c r="AV125" s="51">
        <f t="shared" si="93"/>
        <v>0</v>
      </c>
      <c r="AW125" s="51">
        <f t="shared" si="93"/>
        <v>0</v>
      </c>
      <c r="AX125" s="51">
        <f t="shared" si="93"/>
        <v>0</v>
      </c>
      <c r="AY125" s="51">
        <f t="shared" si="93"/>
        <v>0</v>
      </c>
      <c r="AZ125" s="51">
        <f t="shared" si="93"/>
        <v>0</v>
      </c>
      <c r="BA125" s="51">
        <f t="shared" si="93"/>
        <v>0</v>
      </c>
      <c r="BB125" s="51">
        <f t="shared" si="93"/>
        <v>0</v>
      </c>
      <c r="BC125" s="51">
        <f t="shared" si="93"/>
        <v>0</v>
      </c>
      <c r="BD125" s="51">
        <f t="shared" si="93"/>
        <v>0</v>
      </c>
      <c r="BE125" s="51">
        <f t="shared" si="93"/>
        <v>0</v>
      </c>
      <c r="BF125" s="51">
        <f t="shared" si="93"/>
        <v>0</v>
      </c>
      <c r="BG125" s="51">
        <f t="shared" si="93"/>
        <v>0</v>
      </c>
      <c r="BH125" s="51">
        <f t="shared" si="93"/>
        <v>0</v>
      </c>
      <c r="BI125" s="51">
        <f t="shared" si="93"/>
        <v>0</v>
      </c>
      <c r="BJ125" s="51">
        <f t="shared" si="93"/>
        <v>0</v>
      </c>
      <c r="BK125" s="51">
        <f t="shared" si="93"/>
        <v>0</v>
      </c>
      <c r="BL125" s="51">
        <f t="shared" si="93"/>
        <v>0</v>
      </c>
      <c r="BM125" s="51">
        <f t="shared" si="93"/>
        <v>0</v>
      </c>
      <c r="BN125" s="51">
        <f t="shared" si="93"/>
        <v>0</v>
      </c>
      <c r="BO125" s="51">
        <f t="shared" si="93"/>
        <v>0</v>
      </c>
      <c r="BP125" s="51">
        <f t="shared" si="93"/>
        <v>0</v>
      </c>
      <c r="BQ125" s="51">
        <f t="shared" si="93"/>
        <v>0</v>
      </c>
      <c r="BR125" s="51">
        <f t="shared" si="93"/>
        <v>0</v>
      </c>
      <c r="BS125" s="51">
        <f t="shared" si="94" ref="BS125:CK125">IF(BS25="","",BS25/$G25)</f>
        <v>0</v>
      </c>
      <c r="BT125" s="51">
        <f t="shared" si="94"/>
        <v>0</v>
      </c>
      <c r="BU125" s="51">
        <f t="shared" si="94"/>
        <v>0</v>
      </c>
      <c r="BV125" s="51">
        <f t="shared" si="94"/>
        <v>0</v>
      </c>
      <c r="BW125" s="51">
        <f t="shared" si="94"/>
        <v>0</v>
      </c>
      <c r="BX125" s="51">
        <f t="shared" si="94"/>
        <v>0</v>
      </c>
      <c r="BY125" s="51">
        <f t="shared" si="94"/>
        <v>0</v>
      </c>
      <c r="BZ125" s="51">
        <f t="shared" si="94"/>
        <v>0</v>
      </c>
      <c r="CA125" s="51">
        <f t="shared" si="94"/>
        <v>0</v>
      </c>
      <c r="CB125" s="51">
        <f t="shared" si="94"/>
        <v>0</v>
      </c>
      <c r="CC125" s="51">
        <f t="shared" si="94"/>
        <v>0</v>
      </c>
      <c r="CD125" s="51">
        <f t="shared" si="94"/>
        <v>0</v>
      </c>
      <c r="CE125" s="51">
        <f t="shared" si="94"/>
        <v>0</v>
      </c>
      <c r="CF125" s="51">
        <f t="shared" si="94"/>
        <v>0</v>
      </c>
      <c r="CG125" s="51">
        <f t="shared" si="94"/>
        <v>0</v>
      </c>
      <c r="CH125" s="51">
        <f t="shared" si="94"/>
        <v>0</v>
      </c>
      <c r="CI125" s="51">
        <f t="shared" si="94"/>
        <v>0</v>
      </c>
      <c r="CJ125" s="51">
        <f t="shared" si="94"/>
        <v>0</v>
      </c>
      <c r="CK125" s="51">
        <f t="shared" si="94"/>
        <v>0</v>
      </c>
    </row>
    <row r="126" spans="6:89" ht="14.4">
      <c r="F126" t="s">
        <v>53</v>
      </c>
      <c r="G126" s="51">
        <f t="shared" si="95" ref="G126:BR126">IF(G29="","",G29/$G29)</f>
        <v>1</v>
      </c>
      <c r="H126" s="51">
        <f t="shared" si="95"/>
        <v>1.0732405017925819</v>
      </c>
      <c r="I126" s="51">
        <f t="shared" si="95"/>
        <v>1.104782485554012</v>
      </c>
      <c r="J126" s="51">
        <f t="shared" si="95"/>
        <v>1.1827144104169633</v>
      </c>
      <c r="K126" s="51">
        <f t="shared" si="95"/>
        <v>1.2532946989053411</v>
      </c>
      <c r="L126" s="51">
        <f t="shared" si="95"/>
        <v>1.3182730165588845</v>
      </c>
      <c r="M126" s="51">
        <f t="shared" si="95"/>
        <v>1.3784238875620247</v>
      </c>
      <c r="N126" s="51">
        <f t="shared" si="95"/>
        <v>1.4339812681392778</v>
      </c>
      <c r="O126" s="51">
        <f t="shared" si="95"/>
        <v>1.4865869278941255</v>
      </c>
      <c r="P126" s="51">
        <f t="shared" si="95"/>
        <v>1.5364394052834038</v>
      </c>
      <c r="Q126" s="51">
        <f t="shared" si="95"/>
        <v>1.5849379877682683</v>
      </c>
      <c r="R126" s="51">
        <f t="shared" si="95"/>
        <v>1.6315840372811079</v>
      </c>
      <c r="S126" s="51">
        <f t="shared" si="95"/>
        <v>1.6763849624760112</v>
      </c>
      <c r="T126" s="51">
        <f t="shared" si="95"/>
        <v>1.7578141244560583</v>
      </c>
      <c r="U126" s="51">
        <f t="shared" si="95"/>
        <v>1.8183691498969798</v>
      </c>
      <c r="V126" s="51">
        <f t="shared" si="95"/>
        <v>1.8800152532339209</v>
      </c>
      <c r="W126" s="51">
        <f t="shared" si="95"/>
        <v>1.9424885899059903</v>
      </c>
      <c r="X126" s="51">
        <f t="shared" si="95"/>
        <v>2.0052962204132867</v>
      </c>
      <c r="Y126" s="51">
        <f t="shared" si="95"/>
        <v>2.0684017466737363</v>
      </c>
      <c r="Z126" s="51">
        <f t="shared" si="95"/>
        <v>2.1324156984746119</v>
      </c>
      <c r="AA126" s="51">
        <f t="shared" si="95"/>
        <v>2.1971910561693915</v>
      </c>
      <c r="AB126" s="51">
        <f t="shared" si="95"/>
        <v>2.261973837683922</v>
      </c>
      <c r="AC126" s="51">
        <f t="shared" si="95"/>
        <v>2.3266390869445801</v>
      </c>
      <c r="AD126" s="51">
        <f t="shared" si="95"/>
        <v>2.3433339412338223</v>
      </c>
      <c r="AE126" s="51">
        <f t="shared" si="95"/>
        <v>2.4290449114705637</v>
      </c>
      <c r="AF126" s="51">
        <f t="shared" si="95"/>
        <v>2.5029475114967088</v>
      </c>
      <c r="AG126" s="51">
        <f t="shared" si="95"/>
        <v>2.5691400651417737</v>
      </c>
      <c r="AH126" s="51">
        <f t="shared" si="95"/>
        <v>2.6355864938063864</v>
      </c>
      <c r="AI126" s="51">
        <f t="shared" si="95"/>
        <v>2.7022416864454013</v>
      </c>
      <c r="AJ126" s="51">
        <f t="shared" si="95"/>
        <v>2.7690173724453819</v>
      </c>
      <c r="AK126" s="51">
        <f t="shared" si="95"/>
        <v>2.8358430968036545</v>
      </c>
      <c r="AL126" s="51">
        <f t="shared" si="95"/>
        <v>2.9025786616178224</v>
      </c>
      <c r="AM126" s="51">
        <f t="shared" si="95"/>
        <v>2.9691807340954934</v>
      </c>
      <c r="AN126" s="51">
        <f t="shared" si="95"/>
        <v>3.0356172774907799</v>
      </c>
      <c r="AO126" s="51">
        <f t="shared" si="95"/>
        <v>3.1025615923556233</v>
      </c>
      <c r="AP126" s="51">
        <f t="shared" si="95"/>
        <v>3.1694734506933568</v>
      </c>
      <c r="AQ126" s="51">
        <f t="shared" si="95"/>
        <v>3.2363878896363953</v>
      </c>
      <c r="AR126" s="51">
        <f t="shared" si="95"/>
        <v>3.3033676187500576</v>
      </c>
      <c r="AS126" s="51">
        <f t="shared" si="95"/>
        <v>3.370436845327156</v>
      </c>
      <c r="AT126" s="51">
        <f t="shared" si="95"/>
        <v>3.437605916726449</v>
      </c>
      <c r="AU126" s="51">
        <f t="shared" si="95"/>
        <v>3.5049551003736972</v>
      </c>
      <c r="AV126" s="51">
        <f t="shared" si="95"/>
        <v>3.5725608005966722</v>
      </c>
      <c r="AW126" s="51">
        <f t="shared" si="95"/>
        <v>3.6405128378731724</v>
      </c>
      <c r="AX126" s="51" t="str">
        <f t="shared" si="95"/>
        <v/>
      </c>
      <c r="AY126" s="51" t="str">
        <f t="shared" si="95"/>
        <v/>
      </c>
      <c r="AZ126" s="51" t="str">
        <f t="shared" si="95"/>
        <v/>
      </c>
      <c r="BA126" s="51" t="str">
        <f t="shared" si="95"/>
        <v/>
      </c>
      <c r="BB126" s="51" t="str">
        <f t="shared" si="95"/>
        <v/>
      </c>
      <c r="BC126" s="51" t="str">
        <f t="shared" si="95"/>
        <v/>
      </c>
      <c r="BD126" s="51" t="str">
        <f t="shared" si="95"/>
        <v/>
      </c>
      <c r="BE126" s="51" t="str">
        <f t="shared" si="95"/>
        <v/>
      </c>
      <c r="BF126" s="51" t="str">
        <f t="shared" si="95"/>
        <v/>
      </c>
      <c r="BG126" s="51" t="str">
        <f t="shared" si="95"/>
        <v/>
      </c>
      <c r="BH126" s="51" t="str">
        <f t="shared" si="95"/>
        <v/>
      </c>
      <c r="BI126" s="51" t="str">
        <f t="shared" si="95"/>
        <v/>
      </c>
      <c r="BJ126" s="51" t="str">
        <f t="shared" si="95"/>
        <v/>
      </c>
      <c r="BK126" s="51" t="str">
        <f t="shared" si="95"/>
        <v/>
      </c>
      <c r="BL126" s="51" t="str">
        <f t="shared" si="95"/>
        <v/>
      </c>
      <c r="BM126" s="51" t="str">
        <f t="shared" si="95"/>
        <v/>
      </c>
      <c r="BN126" s="51" t="str">
        <f t="shared" si="95"/>
        <v/>
      </c>
      <c r="BO126" s="51" t="str">
        <f t="shared" si="95"/>
        <v/>
      </c>
      <c r="BP126" s="51" t="str">
        <f t="shared" si="95"/>
        <v/>
      </c>
      <c r="BQ126" s="51" t="str">
        <f t="shared" si="95"/>
        <v/>
      </c>
      <c r="BR126" s="51" t="str">
        <f t="shared" si="95"/>
        <v/>
      </c>
      <c r="BS126" s="51" t="str">
        <f t="shared" si="96" ref="BS126:CK126">IF(BS29="","",BS29/$G29)</f>
        <v/>
      </c>
      <c r="BT126" s="51" t="str">
        <f t="shared" si="96"/>
        <v/>
      </c>
      <c r="BU126" s="51" t="str">
        <f t="shared" si="96"/>
        <v/>
      </c>
      <c r="BV126" s="51" t="str">
        <f t="shared" si="96"/>
        <v/>
      </c>
      <c r="BW126" s="51" t="str">
        <f t="shared" si="96"/>
        <v/>
      </c>
      <c r="BX126" s="51" t="str">
        <f t="shared" si="96"/>
        <v/>
      </c>
      <c r="BY126" s="51" t="str">
        <f t="shared" si="96"/>
        <v/>
      </c>
      <c r="BZ126" s="51" t="str">
        <f t="shared" si="96"/>
        <v/>
      </c>
      <c r="CA126" s="51" t="str">
        <f t="shared" si="96"/>
        <v/>
      </c>
      <c r="CB126" s="51" t="str">
        <f t="shared" si="96"/>
        <v/>
      </c>
      <c r="CC126" s="51" t="str">
        <f t="shared" si="96"/>
        <v/>
      </c>
      <c r="CD126" s="51" t="str">
        <f t="shared" si="96"/>
        <v/>
      </c>
      <c r="CE126" s="51" t="str">
        <f t="shared" si="96"/>
        <v/>
      </c>
      <c r="CF126" s="51" t="str">
        <f t="shared" si="96"/>
        <v/>
      </c>
      <c r="CG126" s="51" t="str">
        <f t="shared" si="96"/>
        <v/>
      </c>
      <c r="CH126" s="51" t="str">
        <f t="shared" si="96"/>
        <v/>
      </c>
      <c r="CI126" s="51" t="str">
        <f t="shared" si="96"/>
        <v/>
      </c>
      <c r="CJ126" s="51" t="str">
        <f t="shared" si="96"/>
        <v/>
      </c>
      <c r="CK126" s="51" t="str">
        <f t="shared" si="96"/>
        <v/>
      </c>
    </row>
    <row r="127" spans="6:89" ht="14.4">
      <c r="F127" t="s">
        <v>55</v>
      </c>
      <c r="G127" s="51">
        <f t="shared" si="97" ref="G127:BR127">IF(G30="","",G30/$G30)</f>
        <v>1</v>
      </c>
      <c r="H127" s="51">
        <f t="shared" si="97"/>
        <v>1.0223895855201035</v>
      </c>
      <c r="I127" s="51">
        <f t="shared" si="97"/>
        <v>1.0389909791963787</v>
      </c>
      <c r="J127" s="51">
        <f t="shared" si="97"/>
        <v>1.0509713994058973</v>
      </c>
      <c r="K127" s="51">
        <f t="shared" si="97"/>
        <v>1.0629991359314803</v>
      </c>
      <c r="L127" s="51">
        <f t="shared" si="97"/>
        <v>1.0753507167749627</v>
      </c>
      <c r="M127" s="51">
        <f t="shared" si="97"/>
        <v>1.0877616864057273</v>
      </c>
      <c r="N127" s="51">
        <f t="shared" si="97"/>
        <v>1.0997737352483465</v>
      </c>
      <c r="O127" s="51">
        <f t="shared" si="97"/>
        <v>1.1121588804427716</v>
      </c>
      <c r="P127" s="51">
        <f t="shared" si="97"/>
        <v>1.124656166023053</v>
      </c>
      <c r="Q127" s="51">
        <f t="shared" si="97"/>
        <v>1.1379632412503542</v>
      </c>
      <c r="R127" s="51">
        <f t="shared" si="97"/>
        <v>1.1514460020471124</v>
      </c>
      <c r="S127" s="51">
        <f t="shared" si="97"/>
        <v>1.1649095900879036</v>
      </c>
      <c r="T127" s="51">
        <f t="shared" si="97"/>
        <v>1.1751094931835262</v>
      </c>
      <c r="U127" s="51">
        <f t="shared" si="97"/>
        <v>1.1869868924122655</v>
      </c>
      <c r="V127" s="51">
        <f t="shared" si="97"/>
        <v>1.1988688436963517</v>
      </c>
      <c r="W127" s="51">
        <f t="shared" si="97"/>
        <v>1.2105852506346355</v>
      </c>
      <c r="X127" s="51">
        <f t="shared" si="97"/>
        <v>1.2218415508374028</v>
      </c>
      <c r="Y127" s="51">
        <f t="shared" si="97"/>
        <v>1.2326411637142807</v>
      </c>
      <c r="Z127" s="51">
        <f t="shared" si="97"/>
        <v>1.2433646843621973</v>
      </c>
      <c r="AA127" s="51">
        <f t="shared" si="97"/>
        <v>1.253928305958443</v>
      </c>
      <c r="AB127" s="51">
        <f t="shared" si="97"/>
        <v>1.2639160792628377</v>
      </c>
      <c r="AC127" s="51">
        <f t="shared" si="97"/>
        <v>1.2732906008667402</v>
      </c>
      <c r="AD127" s="51">
        <f t="shared" si="97"/>
        <v>1.276937314274585</v>
      </c>
      <c r="AE127" s="51">
        <f t="shared" si="97"/>
        <v>1.2805840276824296</v>
      </c>
      <c r="AF127" s="51">
        <f t="shared" si="97"/>
        <v>1.2893052227468764</v>
      </c>
      <c r="AG127" s="51">
        <f t="shared" si="97"/>
        <v>1.2977131254812257</v>
      </c>
      <c r="AH127" s="51">
        <f t="shared" si="97"/>
        <v>1.3057913397495942</v>
      </c>
      <c r="AI127" s="51">
        <f t="shared" si="97"/>
        <v>1.3135329552851791</v>
      </c>
      <c r="AJ127" s="51">
        <f t="shared" si="97"/>
        <v>1.3209111495170076</v>
      </c>
      <c r="AK127" s="51">
        <f t="shared" si="97"/>
        <v>1.3279095799369378</v>
      </c>
      <c r="AL127" s="51">
        <f t="shared" si="97"/>
        <v>1.3344812059040263</v>
      </c>
      <c r="AM127" s="51">
        <f t="shared" si="97"/>
        <v>1.3406262850108095</v>
      </c>
      <c r="AN127" s="51">
        <f t="shared" si="97"/>
        <v>1.3463502819447746</v>
      </c>
      <c r="AO127" s="51">
        <f t="shared" si="97"/>
        <v>1.3519658496477347</v>
      </c>
      <c r="AP127" s="51">
        <f t="shared" si="97"/>
        <v>1.3572445672853435</v>
      </c>
      <c r="AQ127" s="51">
        <f t="shared" si="97"/>
        <v>1.3622157922334783</v>
      </c>
      <c r="AR127" s="51">
        <f t="shared" si="97"/>
        <v>1.3669185093779752</v>
      </c>
      <c r="AS127" s="51">
        <f t="shared" si="97"/>
        <v>1.3713735764782193</v>
      </c>
      <c r="AT127" s="51">
        <f t="shared" si="97"/>
        <v>1.3755950484485018</v>
      </c>
      <c r="AU127" s="51">
        <f t="shared" si="97"/>
        <v>1.3796236933854702</v>
      </c>
      <c r="AV127" s="51">
        <f t="shared" si="97"/>
        <v>1.3834962486020359</v>
      </c>
      <c r="AW127" s="51">
        <f t="shared" si="97"/>
        <v>1.3872522921612171</v>
      </c>
      <c r="AX127" s="51" t="str">
        <f t="shared" si="97"/>
        <v/>
      </c>
      <c r="AY127" s="51" t="str">
        <f t="shared" si="97"/>
        <v/>
      </c>
      <c r="AZ127" s="51" t="str">
        <f t="shared" si="97"/>
        <v/>
      </c>
      <c r="BA127" s="51" t="str">
        <f t="shared" si="97"/>
        <v/>
      </c>
      <c r="BB127" s="51" t="str">
        <f t="shared" si="97"/>
        <v/>
      </c>
      <c r="BC127" s="51" t="str">
        <f t="shared" si="97"/>
        <v/>
      </c>
      <c r="BD127" s="51" t="str">
        <f t="shared" si="97"/>
        <v/>
      </c>
      <c r="BE127" s="51" t="str">
        <f t="shared" si="97"/>
        <v/>
      </c>
      <c r="BF127" s="51" t="str">
        <f t="shared" si="97"/>
        <v/>
      </c>
      <c r="BG127" s="51" t="str">
        <f t="shared" si="97"/>
        <v/>
      </c>
      <c r="BH127" s="51" t="str">
        <f t="shared" si="97"/>
        <v/>
      </c>
      <c r="BI127" s="51" t="str">
        <f t="shared" si="97"/>
        <v/>
      </c>
      <c r="BJ127" s="51" t="str">
        <f t="shared" si="97"/>
        <v/>
      </c>
      <c r="BK127" s="51" t="str">
        <f t="shared" si="97"/>
        <v/>
      </c>
      <c r="BL127" s="51" t="str">
        <f t="shared" si="97"/>
        <v/>
      </c>
      <c r="BM127" s="51" t="str">
        <f t="shared" si="97"/>
        <v/>
      </c>
      <c r="BN127" s="51" t="str">
        <f t="shared" si="97"/>
        <v/>
      </c>
      <c r="BO127" s="51" t="str">
        <f t="shared" si="97"/>
        <v/>
      </c>
      <c r="BP127" s="51" t="str">
        <f t="shared" si="97"/>
        <v/>
      </c>
      <c r="BQ127" s="51" t="str">
        <f t="shared" si="97"/>
        <v/>
      </c>
      <c r="BR127" s="51" t="str">
        <f t="shared" si="97"/>
        <v/>
      </c>
      <c r="BS127" s="51" t="str">
        <f t="shared" si="98" ref="BS127:CK127">IF(BS30="","",BS30/$G30)</f>
        <v/>
      </c>
      <c r="BT127" s="51" t="str">
        <f t="shared" si="98"/>
        <v/>
      </c>
      <c r="BU127" s="51" t="str">
        <f t="shared" si="98"/>
        <v/>
      </c>
      <c r="BV127" s="51" t="str">
        <f t="shared" si="98"/>
        <v/>
      </c>
      <c r="BW127" s="51" t="str">
        <f t="shared" si="98"/>
        <v/>
      </c>
      <c r="BX127" s="51" t="str">
        <f t="shared" si="98"/>
        <v/>
      </c>
      <c r="BY127" s="51" t="str">
        <f t="shared" si="98"/>
        <v/>
      </c>
      <c r="BZ127" s="51" t="str">
        <f t="shared" si="98"/>
        <v/>
      </c>
      <c r="CA127" s="51" t="str">
        <f t="shared" si="98"/>
        <v/>
      </c>
      <c r="CB127" s="51" t="str">
        <f t="shared" si="98"/>
        <v/>
      </c>
      <c r="CC127" s="51" t="str">
        <f t="shared" si="98"/>
        <v/>
      </c>
      <c r="CD127" s="51" t="str">
        <f t="shared" si="98"/>
        <v/>
      </c>
      <c r="CE127" s="51" t="str">
        <f t="shared" si="98"/>
        <v/>
      </c>
      <c r="CF127" s="51" t="str">
        <f t="shared" si="98"/>
        <v/>
      </c>
      <c r="CG127" s="51" t="str">
        <f t="shared" si="98"/>
        <v/>
      </c>
      <c r="CH127" s="51" t="str">
        <f t="shared" si="98"/>
        <v/>
      </c>
      <c r="CI127" s="51" t="str">
        <f t="shared" si="98"/>
        <v/>
      </c>
      <c r="CJ127" s="51" t="str">
        <f t="shared" si="98"/>
        <v/>
      </c>
      <c r="CK127" s="51" t="str">
        <f t="shared" si="98"/>
        <v/>
      </c>
    </row>
    <row r="128" spans="6:89" ht="14.4">
      <c r="F128" t="s">
        <v>57</v>
      </c>
      <c r="G128" s="51">
        <f t="shared" si="99" ref="G128:BR128">IF(G31="","",G31/$G31)</f>
        <v>1</v>
      </c>
      <c r="H128" s="51">
        <f t="shared" si="99"/>
        <v>1.0292707790368165</v>
      </c>
      <c r="I128" s="51">
        <f t="shared" si="99"/>
        <v>1.0447204717078731</v>
      </c>
      <c r="J128" s="51">
        <f t="shared" si="99"/>
        <v>1.0509314865758428</v>
      </c>
      <c r="K128" s="51">
        <f t="shared" si="99"/>
        <v>1.0578526315410937</v>
      </c>
      <c r="L128" s="51">
        <f t="shared" si="99"/>
        <v>1.0656316671280852</v>
      </c>
      <c r="M128" s="51">
        <f t="shared" si="99"/>
        <v>1.0739081810638476</v>
      </c>
      <c r="N128" s="51">
        <f t="shared" si="99"/>
        <v>1.0821567705004884</v>
      </c>
      <c r="O128" s="51">
        <f t="shared" si="99"/>
        <v>1.0910802395814874</v>
      </c>
      <c r="P128" s="51">
        <f t="shared" si="99"/>
        <v>1.1003735786669882</v>
      </c>
      <c r="Q128" s="51">
        <f t="shared" si="99"/>
        <v>1.1106794393699082</v>
      </c>
      <c r="R128" s="51">
        <f t="shared" si="99"/>
        <v>1.1213444942290118</v>
      </c>
      <c r="S128" s="51">
        <f t="shared" si="99"/>
        <v>1.1321536043896532</v>
      </c>
      <c r="T128" s="51">
        <f t="shared" si="99"/>
        <v>1.1360988264449943</v>
      </c>
      <c r="U128" s="51">
        <f t="shared" si="99"/>
        <v>1.1437532943976052</v>
      </c>
      <c r="V128" s="51">
        <f t="shared" si="99"/>
        <v>1.1513151437973856</v>
      </c>
      <c r="W128" s="51">
        <f t="shared" si="99"/>
        <v>1.1586207662984929</v>
      </c>
      <c r="X128" s="51">
        <f t="shared" si="99"/>
        <v>1.1653900590462778</v>
      </c>
      <c r="Y128" s="51">
        <f t="shared" si="99"/>
        <v>1.1716300424922845</v>
      </c>
      <c r="Z128" s="51">
        <f t="shared" si="99"/>
        <v>1.1777049896786054</v>
      </c>
      <c r="AA128" s="51">
        <f t="shared" si="99"/>
        <v>1.1835358136576555</v>
      </c>
      <c r="AB128" s="51">
        <f t="shared" si="99"/>
        <v>1.1887321647746725</v>
      </c>
      <c r="AC128" s="51">
        <f t="shared" si="99"/>
        <v>1.1932640558624394</v>
      </c>
      <c r="AD128" s="51">
        <f t="shared" si="99"/>
        <v>1.1935105092741243</v>
      </c>
      <c r="AE128" s="51">
        <f t="shared" si="99"/>
        <v>1.1937219030602833</v>
      </c>
      <c r="AF128" s="51">
        <f t="shared" si="99"/>
        <v>1.1951146442553289</v>
      </c>
      <c r="AG128" s="51">
        <f t="shared" si="99"/>
        <v>1.19844596235289</v>
      </c>
      <c r="AH128" s="51">
        <f t="shared" si="99"/>
        <v>1.2013916916403073</v>
      </c>
      <c r="AI128" s="51">
        <f t="shared" si="99"/>
        <v>1.2039482628189224</v>
      </c>
      <c r="AJ128" s="51">
        <f t="shared" si="99"/>
        <v>1.2060940519561114</v>
      </c>
      <c r="AK128" s="51">
        <f t="shared" si="99"/>
        <v>1.2078173758948294</v>
      </c>
      <c r="AL128" s="51">
        <f t="shared" si="99"/>
        <v>1.2090790040554307</v>
      </c>
      <c r="AM128" s="51">
        <f t="shared" si="99"/>
        <v>1.2098830973414278</v>
      </c>
      <c r="AN128" s="51">
        <f t="shared" si="99"/>
        <v>1.210238537094634</v>
      </c>
      <c r="AO128" s="51">
        <f t="shared" si="99"/>
        <v>1.2104291990089813</v>
      </c>
      <c r="AP128" s="51">
        <f t="shared" si="99"/>
        <v>1.2102520104033179</v>
      </c>
      <c r="AQ128" s="51">
        <f t="shared" si="99"/>
        <v>1.2097361484379088</v>
      </c>
      <c r="AR128" s="51">
        <f t="shared" si="99"/>
        <v>1.2089189107040383</v>
      </c>
      <c r="AS128" s="51">
        <f t="shared" si="99"/>
        <v>1.2078210882873863</v>
      </c>
      <c r="AT128" s="51">
        <f t="shared" si="99"/>
        <v>1.2064572248843033</v>
      </c>
      <c r="AU128" s="51">
        <f t="shared" si="99"/>
        <v>1.20486500971725</v>
      </c>
      <c r="AV128" s="51">
        <f t="shared" si="99"/>
        <v>1.2030780411853927</v>
      </c>
      <c r="AW128" s="51">
        <f t="shared" si="99"/>
        <v>1.2011318438988039</v>
      </c>
      <c r="AX128" s="51" t="str">
        <f t="shared" si="99"/>
        <v/>
      </c>
      <c r="AY128" s="51" t="str">
        <f t="shared" si="99"/>
        <v/>
      </c>
      <c r="AZ128" s="51" t="str">
        <f t="shared" si="99"/>
        <v/>
      </c>
      <c r="BA128" s="51" t="str">
        <f t="shared" si="99"/>
        <v/>
      </c>
      <c r="BB128" s="51" t="str">
        <f t="shared" si="99"/>
        <v/>
      </c>
      <c r="BC128" s="51" t="str">
        <f t="shared" si="99"/>
        <v/>
      </c>
      <c r="BD128" s="51" t="str">
        <f t="shared" si="99"/>
        <v/>
      </c>
      <c r="BE128" s="51" t="str">
        <f t="shared" si="99"/>
        <v/>
      </c>
      <c r="BF128" s="51" t="str">
        <f t="shared" si="99"/>
        <v/>
      </c>
      <c r="BG128" s="51" t="str">
        <f t="shared" si="99"/>
        <v/>
      </c>
      <c r="BH128" s="51" t="str">
        <f t="shared" si="99"/>
        <v/>
      </c>
      <c r="BI128" s="51" t="str">
        <f t="shared" si="99"/>
        <v/>
      </c>
      <c r="BJ128" s="51" t="str">
        <f t="shared" si="99"/>
        <v/>
      </c>
      <c r="BK128" s="51" t="str">
        <f t="shared" si="99"/>
        <v/>
      </c>
      <c r="BL128" s="51" t="str">
        <f t="shared" si="99"/>
        <v/>
      </c>
      <c r="BM128" s="51" t="str">
        <f t="shared" si="99"/>
        <v/>
      </c>
      <c r="BN128" s="51" t="str">
        <f t="shared" si="99"/>
        <v/>
      </c>
      <c r="BO128" s="51" t="str">
        <f t="shared" si="99"/>
        <v/>
      </c>
      <c r="BP128" s="51" t="str">
        <f t="shared" si="99"/>
        <v/>
      </c>
      <c r="BQ128" s="51" t="str">
        <f t="shared" si="99"/>
        <v/>
      </c>
      <c r="BR128" s="51" t="str">
        <f t="shared" si="99"/>
        <v/>
      </c>
      <c r="BS128" s="51" t="str">
        <f t="shared" si="100" ref="BS128:CK128">IF(BS31="","",BS31/$G31)</f>
        <v/>
      </c>
      <c r="BT128" s="51" t="str">
        <f t="shared" si="100"/>
        <v/>
      </c>
      <c r="BU128" s="51" t="str">
        <f t="shared" si="100"/>
        <v/>
      </c>
      <c r="BV128" s="51" t="str">
        <f t="shared" si="100"/>
        <v/>
      </c>
      <c r="BW128" s="51" t="str">
        <f t="shared" si="100"/>
        <v/>
      </c>
      <c r="BX128" s="51" t="str">
        <f t="shared" si="100"/>
        <v/>
      </c>
      <c r="BY128" s="51" t="str">
        <f t="shared" si="100"/>
        <v/>
      </c>
      <c r="BZ128" s="51" t="str">
        <f t="shared" si="100"/>
        <v/>
      </c>
      <c r="CA128" s="51" t="str">
        <f t="shared" si="100"/>
        <v/>
      </c>
      <c r="CB128" s="51" t="str">
        <f t="shared" si="100"/>
        <v/>
      </c>
      <c r="CC128" s="51" t="str">
        <f t="shared" si="100"/>
        <v/>
      </c>
      <c r="CD128" s="51" t="str">
        <f t="shared" si="100"/>
        <v/>
      </c>
      <c r="CE128" s="51" t="str">
        <f t="shared" si="100"/>
        <v/>
      </c>
      <c r="CF128" s="51" t="str">
        <f t="shared" si="100"/>
        <v/>
      </c>
      <c r="CG128" s="51" t="str">
        <f t="shared" si="100"/>
        <v/>
      </c>
      <c r="CH128" s="51" t="str">
        <f t="shared" si="100"/>
        <v/>
      </c>
      <c r="CI128" s="51" t="str">
        <f t="shared" si="100"/>
        <v/>
      </c>
      <c r="CJ128" s="51" t="str">
        <f t="shared" si="100"/>
        <v/>
      </c>
      <c r="CK128" s="51" t="str">
        <f t="shared" si="100"/>
        <v/>
      </c>
    </row>
    <row r="129" spans="6:89" ht="14.4">
      <c r="F129" t="s">
        <v>135</v>
      </c>
      <c r="G129" s="51">
        <f t="shared" si="101" ref="G129:BR129">IF(G32="","",G32/$G32)</f>
        <v>1</v>
      </c>
      <c r="H129" s="51">
        <f t="shared" si="101"/>
        <v>1.0132798023471263</v>
      </c>
      <c r="I129" s="51">
        <f t="shared" si="101"/>
        <v>1.024788964381304</v>
      </c>
      <c r="J129" s="51">
        <f t="shared" si="101"/>
        <v>1.0584875112888252</v>
      </c>
      <c r="K129" s="51">
        <f t="shared" si="101"/>
        <v>1.0932941810422667</v>
      </c>
      <c r="L129" s="51">
        <f t="shared" si="101"/>
        <v>1.1292454124900175</v>
      </c>
      <c r="M129" s="51">
        <f t="shared" si="101"/>
        <v>1.166378842713744</v>
      </c>
      <c r="N129" s="51">
        <f t="shared" si="101"/>
        <v>1.2047333464303791</v>
      </c>
      <c r="O129" s="51">
        <f t="shared" si="101"/>
        <v>1.2443490766897787</v>
      </c>
      <c r="P129" s="51">
        <f t="shared" si="101"/>
        <v>1.2702555493876833</v>
      </c>
      <c r="Q129" s="51">
        <f t="shared" si="101"/>
        <v>1.2967013766286333</v>
      </c>
      <c r="R129" s="51">
        <f t="shared" si="101"/>
        <v>1.3236977873949183</v>
      </c>
      <c r="S129" s="51">
        <f t="shared" si="101"/>
        <v>1.351256244448342</v>
      </c>
      <c r="T129" s="51">
        <f t="shared" si="101"/>
        <v>1.3793884491973485</v>
      </c>
      <c r="U129" s="51">
        <f t="shared" si="101"/>
        <v>1.3963664259830202</v>
      </c>
      <c r="V129" s="51">
        <f t="shared" si="101"/>
        <v>1.4135533734149972</v>
      </c>
      <c r="W129" s="51">
        <f t="shared" si="101"/>
        <v>1.4309518635742506</v>
      </c>
      <c r="X129" s="51">
        <f t="shared" si="101"/>
        <v>1.4485645001997887</v>
      </c>
      <c r="Y129" s="51">
        <f t="shared" si="101"/>
        <v>1.4663939190783151</v>
      </c>
      <c r="Z129" s="51">
        <f t="shared" si="101"/>
        <v>1.4800702447683689</v>
      </c>
      <c r="AA129" s="51">
        <f t="shared" si="101"/>
        <v>1.4938741227361201</v>
      </c>
      <c r="AB129" s="51">
        <f t="shared" si="101"/>
        <v>1.507806742598131</v>
      </c>
      <c r="AC129" s="51">
        <f t="shared" si="101"/>
        <v>1.5218693050659242</v>
      </c>
      <c r="AD129" s="51">
        <f t="shared" si="101"/>
        <v>1.5360630220494613</v>
      </c>
      <c r="AE129" s="51">
        <f t="shared" si="101"/>
        <v>1.547238153924368</v>
      </c>
      <c r="AF129" s="51">
        <f t="shared" si="101"/>
        <v>1.5584945868726217</v>
      </c>
      <c r="AG129" s="51">
        <f t="shared" si="101"/>
        <v>1.5698329123740011</v>
      </c>
      <c r="AH129" s="51">
        <f t="shared" si="101"/>
        <v>1.5812537262114057</v>
      </c>
      <c r="AI129" s="51">
        <f t="shared" si="101"/>
        <v>1.5927576285021614</v>
      </c>
      <c r="AJ129" s="51">
        <f t="shared" si="101"/>
        <v>1.6043800909586929</v>
      </c>
      <c r="AK129" s="51">
        <f t="shared" si="101"/>
        <v>1.6160873633267492</v>
      </c>
      <c r="AL129" s="51">
        <f t="shared" si="101"/>
        <v>1.6278800644701139</v>
      </c>
      <c r="AM129" s="51">
        <f t="shared" si="101"/>
        <v>1.6397588177684628</v>
      </c>
      <c r="AN129" s="51">
        <f t="shared" si="101"/>
        <v>1.6517242511503156</v>
      </c>
      <c r="AO129" s="51">
        <f t="shared" si="101"/>
        <v>1.6665897694106682</v>
      </c>
      <c r="AP129" s="51">
        <f t="shared" si="101"/>
        <v>1.6815890773353641</v>
      </c>
      <c r="AQ129" s="51">
        <f t="shared" si="101"/>
        <v>1.696723379031382</v>
      </c>
      <c r="AR129" s="51">
        <f t="shared" si="101"/>
        <v>1.7119938894426645</v>
      </c>
      <c r="AS129" s="51">
        <f t="shared" si="101"/>
        <v>1.7274018344476483</v>
      </c>
      <c r="AT129" s="51">
        <f t="shared" si="101"/>
        <v>1.7429484509576767</v>
      </c>
      <c r="AU129" s="51">
        <f t="shared" si="101"/>
        <v>1.7586349870162956</v>
      </c>
      <c r="AV129" s="51">
        <f t="shared" si="101"/>
        <v>1.7744627018994419</v>
      </c>
      <c r="AW129" s="51">
        <f t="shared" si="101"/>
        <v>1.7904328662165367</v>
      </c>
      <c r="AX129" s="51">
        <f t="shared" si="101"/>
        <v>1.8065467620124855</v>
      </c>
      <c r="AY129" s="51">
        <f t="shared" si="101"/>
        <v>1.8228056828705976</v>
      </c>
      <c r="AZ129" s="51">
        <f t="shared" si="101"/>
        <v>1.8392109340164327</v>
      </c>
      <c r="BA129" s="51">
        <f t="shared" si="101"/>
        <v>1.8557638324225805</v>
      </c>
      <c r="BB129" s="51">
        <f t="shared" si="101"/>
        <v>1.8724657069143833</v>
      </c>
      <c r="BC129" s="51">
        <f t="shared" si="101"/>
        <v>1.8893178982766126</v>
      </c>
      <c r="BD129" s="51">
        <f t="shared" si="101"/>
        <v>1.9063217593611022</v>
      </c>
      <c r="BE129" s="51">
        <f t="shared" si="101"/>
        <v>1.923478655195352</v>
      </c>
      <c r="BF129" s="51">
        <f t="shared" si="101"/>
        <v>1.9407899630921097</v>
      </c>
      <c r="BG129" s="51">
        <f t="shared" si="101"/>
        <v>1.9582570727599387</v>
      </c>
      <c r="BH129" s="51">
        <f t="shared" si="101"/>
        <v>1.975881386414778</v>
      </c>
      <c r="BI129" s="51">
        <f t="shared" si="101"/>
        <v>1.9936643188925109</v>
      </c>
      <c r="BJ129" s="51">
        <f t="shared" si="101"/>
        <v>2.0116072977625432</v>
      </c>
      <c r="BK129" s="51">
        <f t="shared" si="101"/>
        <v>2.029711763442406</v>
      </c>
      <c r="BL129" s="51">
        <f t="shared" si="101"/>
        <v>2.0479791693133875</v>
      </c>
      <c r="BM129" s="51">
        <f t="shared" si="101"/>
        <v>2.0664109818372078</v>
      </c>
      <c r="BN129" s="51">
        <f t="shared" si="101"/>
        <v>2.0850086806737425</v>
      </c>
      <c r="BO129" s="51">
        <f t="shared" si="101"/>
        <v>2.1037737587998055</v>
      </c>
      <c r="BP129" s="51">
        <f t="shared" si="101"/>
        <v>2.1227077226290039</v>
      </c>
      <c r="BQ129" s="51">
        <f t="shared" si="101"/>
        <v>2.1418120921326649</v>
      </c>
      <c r="BR129" s="51">
        <f t="shared" si="101"/>
        <v>2.1610884009618587</v>
      </c>
      <c r="BS129" s="51">
        <f t="shared" si="102" ref="BS129:CK129">IF(BS32="","",BS32/$G32)</f>
        <v>2.1805381965705148</v>
      </c>
      <c r="BT129" s="51">
        <f t="shared" si="102"/>
        <v>2.2001630403396493</v>
      </c>
      <c r="BU129" s="51">
        <f t="shared" si="102"/>
        <v>2.2199645077027057</v>
      </c>
      <c r="BV129" s="51">
        <f t="shared" si="102"/>
        <v>2.2399441882720299</v>
      </c>
      <c r="BW129" s="51">
        <f t="shared" si="102"/>
        <v>2.2601036859664778</v>
      </c>
      <c r="BX129" s="51">
        <f t="shared" si="102"/>
        <v>2.2804446191401762</v>
      </c>
      <c r="BY129" s="51">
        <f t="shared" si="102"/>
        <v>2.3009686207124376</v>
      </c>
      <c r="BZ129" s="51">
        <f t="shared" si="102"/>
        <v>2.3216773382988491</v>
      </c>
      <c r="CA129" s="51">
        <f t="shared" si="102"/>
        <v>2.3425724343435381</v>
      </c>
      <c r="CB129" s="51">
        <f t="shared" si="102"/>
        <v>2.3636555862526296</v>
      </c>
      <c r="CC129" s="51">
        <f t="shared" si="102"/>
        <v>2.3849284865289029</v>
      </c>
      <c r="CD129" s="51">
        <f t="shared" si="102"/>
        <v>2.4063928429076626</v>
      </c>
      <c r="CE129" s="51">
        <f t="shared" si="102"/>
        <v>2.4280503784938317</v>
      </c>
      <c r="CF129" s="51">
        <f t="shared" si="102"/>
        <v>2.449902831900276</v>
      </c>
      <c r="CG129" s="51">
        <f t="shared" si="102"/>
        <v>2.4719519573873781</v>
      </c>
      <c r="CH129" s="51">
        <f t="shared" si="102"/>
        <v>2.4941995250038644</v>
      </c>
      <c r="CI129" s="51">
        <f t="shared" si="102"/>
        <v>2.5166473207288989</v>
      </c>
      <c r="CJ129" s="51">
        <f t="shared" si="102"/>
        <v>2.5392971466154588</v>
      </c>
      <c r="CK129" s="51">
        <f t="shared" si="102"/>
        <v>2.5621508209349972</v>
      </c>
    </row>
    <row r="130" spans="6:89" ht="14.4">
      <c r="F130" t="s">
        <v>137</v>
      </c>
      <c r="G130" s="51">
        <f t="shared" si="103" ref="G130:BR130">IF(G33="","",G33/$G33)</f>
        <v>1</v>
      </c>
      <c r="H130" s="51">
        <f t="shared" si="103"/>
        <v>1.0132798023471279</v>
      </c>
      <c r="I130" s="51">
        <f t="shared" si="103"/>
        <v>1.0247889643813055</v>
      </c>
      <c r="J130" s="51">
        <f t="shared" si="103"/>
        <v>1.0584875112888266</v>
      </c>
      <c r="K130" s="51">
        <f t="shared" si="103"/>
        <v>1.0932941810422678</v>
      </c>
      <c r="L130" s="51">
        <f t="shared" si="103"/>
        <v>1.1292454124900191</v>
      </c>
      <c r="M130" s="51">
        <f t="shared" si="103"/>
        <v>1.1663788427137456</v>
      </c>
      <c r="N130" s="51">
        <f t="shared" si="103"/>
        <v>1.2047333464303807</v>
      </c>
      <c r="O130" s="51">
        <f t="shared" si="103"/>
        <v>1.24434907668978</v>
      </c>
      <c r="P130" s="51">
        <f t="shared" si="103"/>
        <v>1.2702555493876846</v>
      </c>
      <c r="Q130" s="51">
        <f t="shared" si="103"/>
        <v>1.2967013766286346</v>
      </c>
      <c r="R130" s="51">
        <f t="shared" si="103"/>
        <v>1.3236977873949198</v>
      </c>
      <c r="S130" s="51">
        <f t="shared" si="103"/>
        <v>1.3512562444483438</v>
      </c>
      <c r="T130" s="51">
        <f t="shared" si="103"/>
        <v>1.3793884491973503</v>
      </c>
      <c r="U130" s="51">
        <f t="shared" si="103"/>
        <v>1.396366425983022</v>
      </c>
      <c r="V130" s="51">
        <f t="shared" si="103"/>
        <v>1.4135533734149992</v>
      </c>
      <c r="W130" s="51">
        <f t="shared" si="103"/>
        <v>1.4309518635742526</v>
      </c>
      <c r="X130" s="51">
        <f t="shared" si="103"/>
        <v>1.4485645001997907</v>
      </c>
      <c r="Y130" s="51">
        <f t="shared" si="103"/>
        <v>1.4663939190783171</v>
      </c>
      <c r="Z130" s="51">
        <f t="shared" si="103"/>
        <v>1.4800702447683707</v>
      </c>
      <c r="AA130" s="51">
        <f t="shared" si="103"/>
        <v>1.4938741227361221</v>
      </c>
      <c r="AB130" s="51">
        <f t="shared" si="103"/>
        <v>1.507806742598133</v>
      </c>
      <c r="AC130" s="51">
        <f t="shared" si="103"/>
        <v>1.5218693050659262</v>
      </c>
      <c r="AD130" s="51">
        <f t="shared" si="103"/>
        <v>1.5360630220494631</v>
      </c>
      <c r="AE130" s="51">
        <f t="shared" si="103"/>
        <v>1.5472381539243698</v>
      </c>
      <c r="AF130" s="51">
        <f t="shared" si="103"/>
        <v>1.5584945868726234</v>
      </c>
      <c r="AG130" s="51">
        <f t="shared" si="103"/>
        <v>1.5698329123740029</v>
      </c>
      <c r="AH130" s="51">
        <f t="shared" si="103"/>
        <v>1.5812537262114077</v>
      </c>
      <c r="AI130" s="51">
        <f t="shared" si="103"/>
        <v>1.5927576285021632</v>
      </c>
      <c r="AJ130" s="51">
        <f t="shared" si="103"/>
        <v>1.6043800909586949</v>
      </c>
      <c r="AK130" s="51">
        <f t="shared" si="103"/>
        <v>1.6160873633267512</v>
      </c>
      <c r="AL130" s="51">
        <f t="shared" si="103"/>
        <v>1.6278800644701157</v>
      </c>
      <c r="AM130" s="51">
        <f t="shared" si="103"/>
        <v>1.6397588177684645</v>
      </c>
      <c r="AN130" s="51">
        <f t="shared" si="103"/>
        <v>1.6517242511503174</v>
      </c>
      <c r="AO130" s="51">
        <f t="shared" si="103"/>
        <v>1.6665897694106699</v>
      </c>
      <c r="AP130" s="51">
        <f t="shared" si="103"/>
        <v>1.6815890773353661</v>
      </c>
      <c r="AQ130" s="51">
        <f t="shared" si="103"/>
        <v>1.6967233790313843</v>
      </c>
      <c r="AR130" s="51">
        <f t="shared" si="103"/>
        <v>1.7119938894426665</v>
      </c>
      <c r="AS130" s="51">
        <f t="shared" si="103"/>
        <v>1.7274018344476503</v>
      </c>
      <c r="AT130" s="51">
        <f t="shared" si="103"/>
        <v>1.7429484509576789</v>
      </c>
      <c r="AU130" s="51">
        <f t="shared" si="103"/>
        <v>1.7586349870162978</v>
      </c>
      <c r="AV130" s="51">
        <f t="shared" si="103"/>
        <v>1.7744627018994443</v>
      </c>
      <c r="AW130" s="51">
        <f t="shared" si="103"/>
        <v>1.7904328662165392</v>
      </c>
      <c r="AX130" s="51">
        <f t="shared" si="103"/>
        <v>1.8065467620124878</v>
      </c>
      <c r="AY130" s="51">
        <f t="shared" si="103"/>
        <v>1.8228056828706001</v>
      </c>
      <c r="AZ130" s="51">
        <f t="shared" si="103"/>
        <v>1.8392109340164353</v>
      </c>
      <c r="BA130" s="51">
        <f t="shared" si="103"/>
        <v>1.8557638324225831</v>
      </c>
      <c r="BB130" s="51">
        <f t="shared" si="103"/>
        <v>1.8724657069143862</v>
      </c>
      <c r="BC130" s="51">
        <f t="shared" si="103"/>
        <v>1.8893178982766154</v>
      </c>
      <c r="BD130" s="51">
        <f t="shared" si="103"/>
        <v>1.9063217593611048</v>
      </c>
      <c r="BE130" s="51">
        <f t="shared" si="103"/>
        <v>1.9234786551953544</v>
      </c>
      <c r="BF130" s="51">
        <f t="shared" si="103"/>
        <v>1.9407899630921124</v>
      </c>
      <c r="BG130" s="51">
        <f t="shared" si="103"/>
        <v>1.9582570727599411</v>
      </c>
      <c r="BH130" s="51">
        <f t="shared" si="103"/>
        <v>1.9758813864147804</v>
      </c>
      <c r="BI130" s="51">
        <f t="shared" si="103"/>
        <v>1.9936643188925132</v>
      </c>
      <c r="BJ130" s="51">
        <f t="shared" si="103"/>
        <v>2.0116072977625454</v>
      </c>
      <c r="BK130" s="51">
        <f t="shared" si="103"/>
        <v>2.0297117634424082</v>
      </c>
      <c r="BL130" s="51">
        <f t="shared" si="103"/>
        <v>2.0479791693133897</v>
      </c>
      <c r="BM130" s="51">
        <f t="shared" si="103"/>
        <v>2.0664109818372101</v>
      </c>
      <c r="BN130" s="51">
        <f t="shared" si="103"/>
        <v>2.0850086806737447</v>
      </c>
      <c r="BO130" s="51">
        <f t="shared" si="103"/>
        <v>2.1037737587998082</v>
      </c>
      <c r="BP130" s="51">
        <f t="shared" si="103"/>
        <v>2.1227077226290061</v>
      </c>
      <c r="BQ130" s="51">
        <f t="shared" si="103"/>
        <v>2.1418120921326671</v>
      </c>
      <c r="BR130" s="51">
        <f t="shared" si="103"/>
        <v>2.1610884009618609</v>
      </c>
      <c r="BS130" s="51">
        <f t="shared" si="104" ref="BS130:CK130">IF(BS33="","",BS33/$G33)</f>
        <v>2.1805381965705175</v>
      </c>
      <c r="BT130" s="51">
        <f t="shared" si="104"/>
        <v>2.2001630403396519</v>
      </c>
      <c r="BU130" s="51">
        <f t="shared" si="104"/>
        <v>2.2199645077027088</v>
      </c>
      <c r="BV130" s="51">
        <f t="shared" si="104"/>
        <v>2.2399441882720326</v>
      </c>
      <c r="BW130" s="51">
        <f t="shared" si="104"/>
        <v>2.2601036859664809</v>
      </c>
      <c r="BX130" s="51">
        <f t="shared" si="104"/>
        <v>2.2804446191401788</v>
      </c>
      <c r="BY130" s="51">
        <f t="shared" si="104"/>
        <v>2.3009686207124402</v>
      </c>
      <c r="BZ130" s="51">
        <f t="shared" si="104"/>
        <v>2.3216773382988518</v>
      </c>
      <c r="CA130" s="51">
        <f t="shared" si="104"/>
        <v>2.3425724343435412</v>
      </c>
      <c r="CB130" s="51">
        <f t="shared" si="104"/>
        <v>2.3636555862526332</v>
      </c>
      <c r="CC130" s="51">
        <f t="shared" si="104"/>
        <v>2.3849284865289064</v>
      </c>
      <c r="CD130" s="51">
        <f t="shared" si="104"/>
        <v>2.4063928429076662</v>
      </c>
      <c r="CE130" s="51">
        <f t="shared" si="104"/>
        <v>2.4280503784938348</v>
      </c>
      <c r="CF130" s="51">
        <f t="shared" si="104"/>
        <v>2.4499028319002791</v>
      </c>
      <c r="CG130" s="51">
        <f t="shared" si="104"/>
        <v>2.4719519573873812</v>
      </c>
      <c r="CH130" s="51">
        <f t="shared" si="104"/>
        <v>2.4941995250038675</v>
      </c>
      <c r="CI130" s="51">
        <f t="shared" si="104"/>
        <v>2.516647320728902</v>
      </c>
      <c r="CJ130" s="51">
        <f t="shared" si="104"/>
        <v>2.5392971466154619</v>
      </c>
      <c r="CK130" s="51">
        <f t="shared" si="104"/>
        <v>2.5621508209350008</v>
      </c>
    </row>
    <row r="131" spans="6:89" ht="14.4">
      <c r="F131" t="s">
        <v>139</v>
      </c>
      <c r="G131" s="51">
        <f t="shared" si="105" ref="G131:BR131">IF(G34="","",G34/$G34)</f>
        <v>1</v>
      </c>
      <c r="H131" s="51" t="str">
        <f t="shared" si="105"/>
        <v/>
      </c>
      <c r="I131" s="51">
        <f t="shared" si="105"/>
        <v>1.9307266285509639</v>
      </c>
      <c r="J131" s="51">
        <f t="shared" si="105"/>
        <v>2.5536241894017881</v>
      </c>
      <c r="K131" s="51">
        <f t="shared" si="105"/>
        <v>3.3587864369492086</v>
      </c>
      <c r="L131" s="51" t="str">
        <f t="shared" si="105"/>
        <v/>
      </c>
      <c r="M131" s="51" t="str">
        <f t="shared" si="105"/>
        <v/>
      </c>
      <c r="N131" s="51" t="str">
        <f t="shared" si="105"/>
        <v/>
      </c>
      <c r="O131" s="51" t="str">
        <f t="shared" si="105"/>
        <v/>
      </c>
      <c r="P131" s="51" t="str">
        <f t="shared" si="105"/>
        <v/>
      </c>
      <c r="Q131" s="51" t="str">
        <f t="shared" si="105"/>
        <v/>
      </c>
      <c r="R131" s="51" t="str">
        <f t="shared" si="105"/>
        <v/>
      </c>
      <c r="S131" s="51">
        <f t="shared" si="105"/>
        <v>7.7980350943015457</v>
      </c>
      <c r="T131" s="51">
        <f t="shared" si="105"/>
        <v>8.352941176470587</v>
      </c>
      <c r="U131" s="51" t="str">
        <f t="shared" si="105"/>
        <v/>
      </c>
      <c r="V131" s="51" t="str">
        <f t="shared" si="105"/>
        <v/>
      </c>
      <c r="W131" s="51" t="str">
        <f t="shared" si="105"/>
        <v/>
      </c>
      <c r="X131" s="51" t="str">
        <f t="shared" si="105"/>
        <v/>
      </c>
      <c r="Y131" s="51" t="str">
        <f t="shared" si="105"/>
        <v/>
      </c>
      <c r="Z131" s="51" t="str">
        <f t="shared" si="105"/>
        <v/>
      </c>
      <c r="AA131" s="51" t="str">
        <f t="shared" si="105"/>
        <v/>
      </c>
      <c r="AB131" s="51" t="str">
        <f t="shared" si="105"/>
        <v/>
      </c>
      <c r="AC131" s="51">
        <f t="shared" si="105"/>
        <v>8.352941176470587</v>
      </c>
      <c r="AD131" s="51" t="str">
        <f t="shared" si="105"/>
        <v/>
      </c>
      <c r="AE131" s="51" t="str">
        <f t="shared" si="105"/>
        <v/>
      </c>
      <c r="AF131" s="51" t="str">
        <f t="shared" si="105"/>
        <v/>
      </c>
      <c r="AG131" s="51" t="str">
        <f t="shared" si="105"/>
        <v/>
      </c>
      <c r="AH131" s="51" t="str">
        <f t="shared" si="105"/>
        <v/>
      </c>
      <c r="AI131" s="51" t="str">
        <f t="shared" si="105"/>
        <v/>
      </c>
      <c r="AJ131" s="51" t="str">
        <f t="shared" si="105"/>
        <v/>
      </c>
      <c r="AK131" s="51" t="str">
        <f t="shared" si="105"/>
        <v/>
      </c>
      <c r="AL131" s="51" t="str">
        <f t="shared" si="105"/>
        <v/>
      </c>
      <c r="AM131" s="51">
        <f t="shared" si="105"/>
        <v>8.352941176470587</v>
      </c>
      <c r="AN131" s="51" t="str">
        <f t="shared" si="105"/>
        <v/>
      </c>
      <c r="AO131" s="51" t="str">
        <f t="shared" si="105"/>
        <v/>
      </c>
      <c r="AP131" s="51" t="str">
        <f t="shared" si="105"/>
        <v/>
      </c>
      <c r="AQ131" s="51" t="str">
        <f t="shared" si="105"/>
        <v/>
      </c>
      <c r="AR131" s="51" t="str">
        <f t="shared" si="105"/>
        <v/>
      </c>
      <c r="AS131" s="51" t="str">
        <f t="shared" si="105"/>
        <v/>
      </c>
      <c r="AT131" s="51" t="str">
        <f t="shared" si="105"/>
        <v/>
      </c>
      <c r="AU131" s="51" t="str">
        <f t="shared" si="105"/>
        <v/>
      </c>
      <c r="AV131" s="51" t="str">
        <f t="shared" si="105"/>
        <v/>
      </c>
      <c r="AW131" s="51">
        <f t="shared" si="105"/>
        <v>8.352941176470587</v>
      </c>
      <c r="AX131" s="51" t="str">
        <f t="shared" si="105"/>
        <v/>
      </c>
      <c r="AY131" s="51" t="str">
        <f t="shared" si="105"/>
        <v/>
      </c>
      <c r="AZ131" s="51" t="str">
        <f t="shared" si="105"/>
        <v/>
      </c>
      <c r="BA131" s="51" t="str">
        <f t="shared" si="105"/>
        <v/>
      </c>
      <c r="BB131" s="51" t="str">
        <f t="shared" si="105"/>
        <v/>
      </c>
      <c r="BC131" s="51" t="str">
        <f t="shared" si="105"/>
        <v/>
      </c>
      <c r="BD131" s="51" t="str">
        <f t="shared" si="105"/>
        <v/>
      </c>
      <c r="BE131" s="51" t="str">
        <f t="shared" si="105"/>
        <v/>
      </c>
      <c r="BF131" s="51" t="str">
        <f t="shared" si="105"/>
        <v/>
      </c>
      <c r="BG131" s="51">
        <f t="shared" si="105"/>
        <v>8.352941176470587</v>
      </c>
      <c r="BH131" s="51" t="str">
        <f t="shared" si="105"/>
        <v/>
      </c>
      <c r="BI131" s="51" t="str">
        <f t="shared" si="105"/>
        <v/>
      </c>
      <c r="BJ131" s="51" t="str">
        <f t="shared" si="105"/>
        <v/>
      </c>
      <c r="BK131" s="51" t="str">
        <f t="shared" si="105"/>
        <v/>
      </c>
      <c r="BL131" s="51" t="str">
        <f t="shared" si="105"/>
        <v/>
      </c>
      <c r="BM131" s="51" t="str">
        <f t="shared" si="105"/>
        <v/>
      </c>
      <c r="BN131" s="51" t="str">
        <f t="shared" si="105"/>
        <v/>
      </c>
      <c r="BO131" s="51" t="str">
        <f t="shared" si="105"/>
        <v/>
      </c>
      <c r="BP131" s="51" t="str">
        <f t="shared" si="105"/>
        <v/>
      </c>
      <c r="BQ131" s="51">
        <f t="shared" si="105"/>
        <v>8.352941176470587</v>
      </c>
      <c r="BR131" s="51" t="str">
        <f t="shared" si="105"/>
        <v/>
      </c>
      <c r="BS131" s="51" t="str">
        <f t="shared" si="106" ref="BS131:CK131">IF(BS34="","",BS34/$G34)</f>
        <v/>
      </c>
      <c r="BT131" s="51" t="str">
        <f t="shared" si="106"/>
        <v/>
      </c>
      <c r="BU131" s="51" t="str">
        <f t="shared" si="106"/>
        <v/>
      </c>
      <c r="BV131" s="51" t="str">
        <f t="shared" si="106"/>
        <v/>
      </c>
      <c r="BW131" s="51" t="str">
        <f t="shared" si="106"/>
        <v/>
      </c>
      <c r="BX131" s="51" t="str">
        <f t="shared" si="106"/>
        <v/>
      </c>
      <c r="BY131" s="51" t="str">
        <f t="shared" si="106"/>
        <v/>
      </c>
      <c r="BZ131" s="51" t="str">
        <f t="shared" si="106"/>
        <v/>
      </c>
      <c r="CA131" s="51">
        <f t="shared" si="106"/>
        <v>8.352941176470587</v>
      </c>
      <c r="CB131" s="51" t="str">
        <f t="shared" si="106"/>
        <v/>
      </c>
      <c r="CC131" s="51" t="str">
        <f t="shared" si="106"/>
        <v/>
      </c>
      <c r="CD131" s="51" t="str">
        <f t="shared" si="106"/>
        <v/>
      </c>
      <c r="CE131" s="51" t="str">
        <f t="shared" si="106"/>
        <v/>
      </c>
      <c r="CF131" s="51" t="str">
        <f t="shared" si="106"/>
        <v/>
      </c>
      <c r="CG131" s="51" t="str">
        <f t="shared" si="106"/>
        <v/>
      </c>
      <c r="CH131" s="51" t="str">
        <f t="shared" si="106"/>
        <v/>
      </c>
      <c r="CI131" s="51" t="str">
        <f t="shared" si="106"/>
        <v/>
      </c>
      <c r="CJ131" s="51" t="str">
        <f t="shared" si="106"/>
        <v/>
      </c>
      <c r="CK131" s="51">
        <f t="shared" si="106"/>
        <v>8.352941176470587</v>
      </c>
    </row>
    <row r="132" spans="6:89" ht="14.4">
      <c r="F132" t="s">
        <v>141</v>
      </c>
      <c r="G132" s="51">
        <f t="shared" si="107" ref="G132:BR132">IF(G35="","",G35/$G35)</f>
        <v>1</v>
      </c>
      <c r="H132" s="51" t="str">
        <f t="shared" si="107"/>
        <v/>
      </c>
      <c r="I132" s="51" t="str">
        <f t="shared" si="107"/>
        <v/>
      </c>
      <c r="J132" s="51" t="str">
        <f t="shared" si="107"/>
        <v/>
      </c>
      <c r="K132" s="51" t="str">
        <f t="shared" si="107"/>
        <v/>
      </c>
      <c r="L132" s="51" t="str">
        <f t="shared" si="107"/>
        <v/>
      </c>
      <c r="M132" s="51" t="str">
        <f t="shared" si="107"/>
        <v/>
      </c>
      <c r="N132" s="51" t="str">
        <f t="shared" si="107"/>
        <v/>
      </c>
      <c r="O132" s="51" t="str">
        <f t="shared" si="107"/>
        <v/>
      </c>
      <c r="P132" s="51" t="str">
        <f t="shared" si="107"/>
        <v/>
      </c>
      <c r="Q132" s="51" t="str">
        <f t="shared" si="107"/>
        <v/>
      </c>
      <c r="R132" s="51" t="str">
        <f t="shared" si="107"/>
        <v/>
      </c>
      <c r="S132" s="51">
        <f t="shared" si="107"/>
        <v>1.0416666666666667</v>
      </c>
      <c r="T132" s="51" t="str">
        <f t="shared" si="107"/>
        <v/>
      </c>
      <c r="U132" s="51" t="str">
        <f t="shared" si="107"/>
        <v/>
      </c>
      <c r="V132" s="51" t="str">
        <f t="shared" si="107"/>
        <v/>
      </c>
      <c r="W132" s="51" t="str">
        <f t="shared" si="107"/>
        <v/>
      </c>
      <c r="X132" s="51" t="str">
        <f t="shared" si="107"/>
        <v/>
      </c>
      <c r="Y132" s="51" t="str">
        <f t="shared" si="107"/>
        <v/>
      </c>
      <c r="Z132" s="51" t="str">
        <f t="shared" si="107"/>
        <v/>
      </c>
      <c r="AA132" s="51" t="str">
        <f t="shared" si="107"/>
        <v/>
      </c>
      <c r="AB132" s="51" t="str">
        <f t="shared" si="107"/>
        <v/>
      </c>
      <c r="AC132" s="51">
        <f t="shared" si="107"/>
        <v>1.1250000000000002</v>
      </c>
      <c r="AD132" s="51" t="str">
        <f t="shared" si="107"/>
        <v/>
      </c>
      <c r="AE132" s="51" t="str">
        <f t="shared" si="107"/>
        <v/>
      </c>
      <c r="AF132" s="51" t="str">
        <f t="shared" si="107"/>
        <v/>
      </c>
      <c r="AG132" s="51" t="str">
        <f t="shared" si="107"/>
        <v/>
      </c>
      <c r="AH132" s="51" t="str">
        <f t="shared" si="107"/>
        <v/>
      </c>
      <c r="AI132" s="51" t="str">
        <f t="shared" si="107"/>
        <v/>
      </c>
      <c r="AJ132" s="51" t="str">
        <f t="shared" si="107"/>
        <v/>
      </c>
      <c r="AK132" s="51" t="str">
        <f t="shared" si="107"/>
        <v/>
      </c>
      <c r="AL132" s="51" t="str">
        <f t="shared" si="107"/>
        <v/>
      </c>
      <c r="AM132" s="51">
        <f t="shared" si="107"/>
        <v>1.1979166666666665</v>
      </c>
      <c r="AN132" s="51">
        <f t="shared" si="107"/>
        <v>1.1979166666666665</v>
      </c>
      <c r="AO132" s="51">
        <f t="shared" si="107"/>
        <v>1.1979166666666665</v>
      </c>
      <c r="AP132" s="51">
        <f t="shared" si="107"/>
        <v>1.1979166666666665</v>
      </c>
      <c r="AQ132" s="51">
        <f t="shared" si="107"/>
        <v>1.1979166666666665</v>
      </c>
      <c r="AR132" s="51">
        <f t="shared" si="107"/>
        <v>1.1979166666666665</v>
      </c>
      <c r="AS132" s="51">
        <f t="shared" si="107"/>
        <v>1.1979166666666665</v>
      </c>
      <c r="AT132" s="51">
        <f t="shared" si="107"/>
        <v>1.1979166666666665</v>
      </c>
      <c r="AU132" s="51">
        <f t="shared" si="107"/>
        <v>1.1979166666666665</v>
      </c>
      <c r="AV132" s="51">
        <f t="shared" si="107"/>
        <v>1.1979166666666665</v>
      </c>
      <c r="AW132" s="51">
        <f t="shared" si="107"/>
        <v>1.1979166666666665</v>
      </c>
      <c r="AX132" s="51">
        <f t="shared" si="107"/>
        <v>1.1979166666666665</v>
      </c>
      <c r="AY132" s="51">
        <f t="shared" si="107"/>
        <v>1.1979166666666665</v>
      </c>
      <c r="AZ132" s="51">
        <f t="shared" si="107"/>
        <v>1.1979166666666665</v>
      </c>
      <c r="BA132" s="51">
        <f t="shared" si="107"/>
        <v>1.1979166666666665</v>
      </c>
      <c r="BB132" s="51">
        <f t="shared" si="107"/>
        <v>1.1979166666666665</v>
      </c>
      <c r="BC132" s="51">
        <f t="shared" si="107"/>
        <v>1.1979166666666665</v>
      </c>
      <c r="BD132" s="51">
        <f t="shared" si="107"/>
        <v>1.1979166666666665</v>
      </c>
      <c r="BE132" s="51">
        <f t="shared" si="107"/>
        <v>1.1979166666666665</v>
      </c>
      <c r="BF132" s="51">
        <f t="shared" si="107"/>
        <v>1.1979166666666665</v>
      </c>
      <c r="BG132" s="51">
        <f t="shared" si="107"/>
        <v>1.1979166666666665</v>
      </c>
      <c r="BH132" s="51">
        <f t="shared" si="107"/>
        <v>1.1979166666666665</v>
      </c>
      <c r="BI132" s="51">
        <f t="shared" si="107"/>
        <v>1.1979166666666665</v>
      </c>
      <c r="BJ132" s="51">
        <f t="shared" si="107"/>
        <v>1.1979166666666665</v>
      </c>
      <c r="BK132" s="51">
        <f t="shared" si="107"/>
        <v>1.1979166666666665</v>
      </c>
      <c r="BL132" s="51">
        <f t="shared" si="107"/>
        <v>1.1979166666666665</v>
      </c>
      <c r="BM132" s="51">
        <f t="shared" si="107"/>
        <v>1.1979166666666665</v>
      </c>
      <c r="BN132" s="51">
        <f t="shared" si="107"/>
        <v>1.1979166666666665</v>
      </c>
      <c r="BO132" s="51">
        <f t="shared" si="107"/>
        <v>1.1979166666666665</v>
      </c>
      <c r="BP132" s="51">
        <f t="shared" si="107"/>
        <v>1.1979166666666665</v>
      </c>
      <c r="BQ132" s="51">
        <f t="shared" si="107"/>
        <v>1.1979166666666665</v>
      </c>
      <c r="BR132" s="51">
        <f t="shared" si="107"/>
        <v>1.1979166666666665</v>
      </c>
      <c r="BS132" s="51">
        <f t="shared" si="108" ref="BS132:CK132">IF(BS35="","",BS35/$G35)</f>
        <v>1.1979166666666665</v>
      </c>
      <c r="BT132" s="51">
        <f t="shared" si="108"/>
        <v>1.1979166666666665</v>
      </c>
      <c r="BU132" s="51">
        <f t="shared" si="108"/>
        <v>1.1979166666666665</v>
      </c>
      <c r="BV132" s="51">
        <f t="shared" si="108"/>
        <v>1.1979166666666665</v>
      </c>
      <c r="BW132" s="51">
        <f t="shared" si="108"/>
        <v>1.1979166666666665</v>
      </c>
      <c r="BX132" s="51">
        <f t="shared" si="108"/>
        <v>1.1979166666666665</v>
      </c>
      <c r="BY132" s="51">
        <f t="shared" si="108"/>
        <v>1.1979166666666665</v>
      </c>
      <c r="BZ132" s="51">
        <f t="shared" si="108"/>
        <v>1.1979166666666665</v>
      </c>
      <c r="CA132" s="51">
        <f t="shared" si="108"/>
        <v>1.1979166666666665</v>
      </c>
      <c r="CB132" s="51">
        <f t="shared" si="108"/>
        <v>1.1979166666666665</v>
      </c>
      <c r="CC132" s="51">
        <f t="shared" si="108"/>
        <v>1.1979166666666665</v>
      </c>
      <c r="CD132" s="51">
        <f t="shared" si="108"/>
        <v>1.1979166666666665</v>
      </c>
      <c r="CE132" s="51">
        <f t="shared" si="108"/>
        <v>1.1979166666666665</v>
      </c>
      <c r="CF132" s="51">
        <f t="shared" si="108"/>
        <v>1.1979166666666665</v>
      </c>
      <c r="CG132" s="51">
        <f t="shared" si="108"/>
        <v>1.1979166666666665</v>
      </c>
      <c r="CH132" s="51">
        <f t="shared" si="108"/>
        <v>1.1979166666666665</v>
      </c>
      <c r="CI132" s="51">
        <f t="shared" si="108"/>
        <v>1.1979166666666665</v>
      </c>
      <c r="CJ132" s="51">
        <f t="shared" si="108"/>
        <v>1.1979166666666665</v>
      </c>
      <c r="CK132" s="51">
        <f t="shared" si="108"/>
        <v>1.1979166666666665</v>
      </c>
    </row>
    <row r="133" spans="6:89" ht="14.4">
      <c r="F133" t="s">
        <v>128</v>
      </c>
      <c r="G133" s="51">
        <f t="shared" si="109" ref="G133:BR133">IF(G36="","",G36/$G36)</f>
        <v>1</v>
      </c>
      <c r="H133" s="51">
        <f t="shared" si="109"/>
        <v>1.0315129591769674</v>
      </c>
      <c r="I133" s="51">
        <f t="shared" si="109"/>
        <v>1.049450004889237</v>
      </c>
      <c r="J133" s="51">
        <f t="shared" si="109"/>
        <v>1.0670358127501398</v>
      </c>
      <c r="K133" s="51">
        <f t="shared" si="109"/>
        <v>1.0840466739263697</v>
      </c>
      <c r="L133" s="51">
        <f t="shared" si="109"/>
        <v>1.100884365333386</v>
      </c>
      <c r="M133" s="51">
        <f t="shared" si="109"/>
        <v>1.1173705894975636</v>
      </c>
      <c r="N133" s="51">
        <f t="shared" si="109"/>
        <v>1.1331031051336402</v>
      </c>
      <c r="O133" s="51">
        <f t="shared" si="109"/>
        <v>1.1489307644125362</v>
      </c>
      <c r="P133" s="51">
        <f t="shared" si="109"/>
        <v>1.1646300302652064</v>
      </c>
      <c r="Q133" s="51">
        <f t="shared" si="109"/>
        <v>1.1809608903510145</v>
      </c>
      <c r="R133" s="51">
        <f t="shared" si="109"/>
        <v>1.1972976296096471</v>
      </c>
      <c r="S133" s="51">
        <f t="shared" si="109"/>
        <v>1.2134614848405274</v>
      </c>
      <c r="T133" s="51">
        <f t="shared" si="109"/>
        <v>1.2297053522487837</v>
      </c>
      <c r="U133" s="51">
        <f t="shared" si="109"/>
        <v>1.2457349747753865</v>
      </c>
      <c r="V133" s="51">
        <f t="shared" si="109"/>
        <v>1.2618605967450491</v>
      </c>
      <c r="W133" s="51">
        <f t="shared" si="109"/>
        <v>1.2779034279052894</v>
      </c>
      <c r="X133" s="51">
        <f t="shared" si="109"/>
        <v>1.2935508186572615</v>
      </c>
      <c r="Y133" s="51">
        <f t="shared" si="109"/>
        <v>1.3088028541542982</v>
      </c>
      <c r="Z133" s="51">
        <f t="shared" si="109"/>
        <v>1.3240612794812101</v>
      </c>
      <c r="AA133" s="51">
        <f t="shared" si="109"/>
        <v>1.3392365719421415</v>
      </c>
      <c r="AB133" s="51">
        <f t="shared" si="109"/>
        <v>1.3538823689780772</v>
      </c>
      <c r="AC133" s="51">
        <f t="shared" si="109"/>
        <v>1.3679537229477066</v>
      </c>
      <c r="AD133" s="51">
        <f t="shared" si="109"/>
        <v>1.3717521582100469</v>
      </c>
      <c r="AE133" s="51">
        <f t="shared" si="109"/>
        <v>1.3839602491678196</v>
      </c>
      <c r="AF133" s="51">
        <f t="shared" si="109"/>
        <v>1.3975321129612734</v>
      </c>
      <c r="AG133" s="51">
        <f t="shared" si="109"/>
        <v>1.4108421225850347</v>
      </c>
      <c r="AH133" s="51">
        <f t="shared" si="109"/>
        <v>1.4238699866881876</v>
      </c>
      <c r="AI133" s="51">
        <f t="shared" si="109"/>
        <v>1.4366055478753874</v>
      </c>
      <c r="AJ133" s="51">
        <f t="shared" si="109"/>
        <v>1.4490166860192917</v>
      </c>
      <c r="AK133" s="51">
        <f t="shared" si="109"/>
        <v>1.4610824279286823</v>
      </c>
      <c r="AL133" s="51">
        <f t="shared" si="109"/>
        <v>1.4727476714985288</v>
      </c>
      <c r="AM133" s="51">
        <f t="shared" si="109"/>
        <v>1.4840090076234267</v>
      </c>
      <c r="AN133" s="51">
        <f t="shared" si="109"/>
        <v>1.4948687713038691</v>
      </c>
      <c r="AO133" s="51">
        <f t="shared" si="109"/>
        <v>1.5056714426178126</v>
      </c>
      <c r="AP133" s="51">
        <f t="shared" si="109"/>
        <v>1.5161612821165205</v>
      </c>
      <c r="AQ133" s="51">
        <f t="shared" si="109"/>
        <v>1.526368264106053</v>
      </c>
      <c r="AR133" s="51">
        <f t="shared" si="109"/>
        <v>1.5363335543804528</v>
      </c>
      <c r="AS133" s="51">
        <f t="shared" si="109"/>
        <v>1.5460783913069491</v>
      </c>
      <c r="AT133" s="51">
        <f t="shared" si="109"/>
        <v>1.555616584376853</v>
      </c>
      <c r="AU133" s="51">
        <f t="shared" si="109"/>
        <v>1.5649924183980588</v>
      </c>
      <c r="AV133" s="51">
        <f t="shared" si="109"/>
        <v>1.5742461424190091</v>
      </c>
      <c r="AW133" s="51">
        <f t="shared" si="109"/>
        <v>1.5834217495572966</v>
      </c>
      <c r="AX133" s="51">
        <f t="shared" si="109"/>
        <v>0</v>
      </c>
      <c r="AY133" s="51">
        <f t="shared" si="109"/>
        <v>0</v>
      </c>
      <c r="AZ133" s="51">
        <f t="shared" si="109"/>
        <v>0</v>
      </c>
      <c r="BA133" s="51">
        <f t="shared" si="109"/>
        <v>0</v>
      </c>
      <c r="BB133" s="51">
        <f t="shared" si="109"/>
        <v>0</v>
      </c>
      <c r="BC133" s="51">
        <f t="shared" si="109"/>
        <v>0</v>
      </c>
      <c r="BD133" s="51">
        <f t="shared" si="109"/>
        <v>0</v>
      </c>
      <c r="BE133" s="51">
        <f t="shared" si="109"/>
        <v>0</v>
      </c>
      <c r="BF133" s="51">
        <f t="shared" si="109"/>
        <v>0</v>
      </c>
      <c r="BG133" s="51">
        <f t="shared" si="109"/>
        <v>0</v>
      </c>
      <c r="BH133" s="51">
        <f t="shared" si="109"/>
        <v>0</v>
      </c>
      <c r="BI133" s="51">
        <f t="shared" si="109"/>
        <v>0</v>
      </c>
      <c r="BJ133" s="51">
        <f t="shared" si="109"/>
        <v>0</v>
      </c>
      <c r="BK133" s="51">
        <f t="shared" si="109"/>
        <v>0</v>
      </c>
      <c r="BL133" s="51">
        <f t="shared" si="109"/>
        <v>0</v>
      </c>
      <c r="BM133" s="51">
        <f t="shared" si="109"/>
        <v>0</v>
      </c>
      <c r="BN133" s="51">
        <f t="shared" si="109"/>
        <v>0</v>
      </c>
      <c r="BO133" s="51">
        <f t="shared" si="109"/>
        <v>0</v>
      </c>
      <c r="BP133" s="51">
        <f t="shared" si="109"/>
        <v>0</v>
      </c>
      <c r="BQ133" s="51">
        <f t="shared" si="109"/>
        <v>0</v>
      </c>
      <c r="BR133" s="51">
        <f t="shared" si="109"/>
        <v>0</v>
      </c>
      <c r="BS133" s="51">
        <f t="shared" si="110" ref="BS133:CK133">IF(BS36="","",BS36/$G36)</f>
        <v>0</v>
      </c>
      <c r="BT133" s="51">
        <f t="shared" si="110"/>
        <v>0</v>
      </c>
      <c r="BU133" s="51">
        <f t="shared" si="110"/>
        <v>0</v>
      </c>
      <c r="BV133" s="51">
        <f t="shared" si="110"/>
        <v>0</v>
      </c>
      <c r="BW133" s="51">
        <f t="shared" si="110"/>
        <v>0</v>
      </c>
      <c r="BX133" s="51">
        <f t="shared" si="110"/>
        <v>0</v>
      </c>
      <c r="BY133" s="51">
        <f t="shared" si="110"/>
        <v>0</v>
      </c>
      <c r="BZ133" s="51">
        <f t="shared" si="110"/>
        <v>0</v>
      </c>
      <c r="CA133" s="51">
        <f t="shared" si="110"/>
        <v>0</v>
      </c>
      <c r="CB133" s="51">
        <f t="shared" si="110"/>
        <v>0</v>
      </c>
      <c r="CC133" s="51">
        <f t="shared" si="110"/>
        <v>0</v>
      </c>
      <c r="CD133" s="51">
        <f t="shared" si="110"/>
        <v>0</v>
      </c>
      <c r="CE133" s="51">
        <f t="shared" si="110"/>
        <v>0</v>
      </c>
      <c r="CF133" s="51">
        <f t="shared" si="110"/>
        <v>0</v>
      </c>
      <c r="CG133" s="51">
        <f t="shared" si="110"/>
        <v>0</v>
      </c>
      <c r="CH133" s="51">
        <f t="shared" si="110"/>
        <v>0</v>
      </c>
      <c r="CI133" s="51">
        <f t="shared" si="110"/>
        <v>0</v>
      </c>
      <c r="CJ133" s="51">
        <f t="shared" si="110"/>
        <v>0</v>
      </c>
      <c r="CK133" s="51">
        <f t="shared" si="110"/>
        <v>0</v>
      </c>
    </row>
    <row r="134" spans="6:89" ht="14.4">
      <c r="F134" t="s">
        <v>129</v>
      </c>
      <c r="G134" s="51">
        <f t="shared" si="111" ref="G134:BR134">IF(G37="","",G37/$G37)</f>
        <v>1</v>
      </c>
      <c r="H134" s="51">
        <f t="shared" si="111"/>
        <v>1.0315129591769674</v>
      </c>
      <c r="I134" s="51">
        <f t="shared" si="111"/>
        <v>1.049450004889237</v>
      </c>
      <c r="J134" s="51">
        <f t="shared" si="111"/>
        <v>1.0670358127501398</v>
      </c>
      <c r="K134" s="51">
        <f t="shared" si="111"/>
        <v>1.0840466739263701</v>
      </c>
      <c r="L134" s="51">
        <f t="shared" si="111"/>
        <v>1.100884365333386</v>
      </c>
      <c r="M134" s="51">
        <f t="shared" si="111"/>
        <v>1.1173705894975634</v>
      </c>
      <c r="N134" s="51">
        <f t="shared" si="111"/>
        <v>1.1331031051336402</v>
      </c>
      <c r="O134" s="51">
        <f t="shared" si="111"/>
        <v>1.1489307644125362</v>
      </c>
      <c r="P134" s="51">
        <f t="shared" si="111"/>
        <v>1.1646300302652064</v>
      </c>
      <c r="Q134" s="51">
        <f t="shared" si="111"/>
        <v>1.1809608903510143</v>
      </c>
      <c r="R134" s="51">
        <f t="shared" si="111"/>
        <v>1.1972976296096474</v>
      </c>
      <c r="S134" s="51">
        <f t="shared" si="111"/>
        <v>1.2134614848405276</v>
      </c>
      <c r="T134" s="51">
        <f t="shared" si="111"/>
        <v>1.2297053522487837</v>
      </c>
      <c r="U134" s="51">
        <f t="shared" si="111"/>
        <v>1.2457349747753865</v>
      </c>
      <c r="V134" s="51">
        <f t="shared" si="111"/>
        <v>1.2618605967450489</v>
      </c>
      <c r="W134" s="51">
        <f t="shared" si="111"/>
        <v>1.2779034279052894</v>
      </c>
      <c r="X134" s="51">
        <f t="shared" si="111"/>
        <v>1.2935508186572615</v>
      </c>
      <c r="Y134" s="51">
        <f t="shared" si="111"/>
        <v>1.3088028541542982</v>
      </c>
      <c r="Z134" s="51">
        <f t="shared" si="111"/>
        <v>1.3240612794812103</v>
      </c>
      <c r="AA134" s="51">
        <f t="shared" si="111"/>
        <v>1.3392365719421413</v>
      </c>
      <c r="AB134" s="51">
        <f t="shared" si="111"/>
        <v>1.3538823689780772</v>
      </c>
      <c r="AC134" s="51">
        <f t="shared" si="111"/>
        <v>1.367953722947707</v>
      </c>
      <c r="AD134" s="51">
        <f t="shared" si="111"/>
        <v>1.3717521582100469</v>
      </c>
      <c r="AE134" s="51">
        <f t="shared" si="111"/>
        <v>1.3839602491678193</v>
      </c>
      <c r="AF134" s="51">
        <f t="shared" si="111"/>
        <v>1.3975321129612737</v>
      </c>
      <c r="AG134" s="51">
        <f t="shared" si="111"/>
        <v>1.4108421225850347</v>
      </c>
      <c r="AH134" s="51">
        <f t="shared" si="111"/>
        <v>1.4238699866881876</v>
      </c>
      <c r="AI134" s="51">
        <f t="shared" si="111"/>
        <v>1.4366055478753872</v>
      </c>
      <c r="AJ134" s="51">
        <f t="shared" si="111"/>
        <v>1.4490166860192919</v>
      </c>
      <c r="AK134" s="51">
        <f t="shared" si="111"/>
        <v>1.4610824279286823</v>
      </c>
      <c r="AL134" s="51">
        <f t="shared" si="111"/>
        <v>1.472747671498529</v>
      </c>
      <c r="AM134" s="51">
        <f t="shared" si="111"/>
        <v>1.4840090076234269</v>
      </c>
      <c r="AN134" s="51">
        <f t="shared" si="111"/>
        <v>1.4948687713038686</v>
      </c>
      <c r="AO134" s="51">
        <f t="shared" si="111"/>
        <v>1.5056714426178126</v>
      </c>
      <c r="AP134" s="51">
        <f t="shared" si="111"/>
        <v>1.5161612821165202</v>
      </c>
      <c r="AQ134" s="51">
        <f t="shared" si="111"/>
        <v>1.526368264106053</v>
      </c>
      <c r="AR134" s="51">
        <f t="shared" si="111"/>
        <v>1.536333554380453</v>
      </c>
      <c r="AS134" s="51">
        <f t="shared" si="111"/>
        <v>1.5460783913069489</v>
      </c>
      <c r="AT134" s="51">
        <f t="shared" si="111"/>
        <v>1.555616584376853</v>
      </c>
      <c r="AU134" s="51">
        <f t="shared" si="111"/>
        <v>1.5649924183980588</v>
      </c>
      <c r="AV134" s="51">
        <f t="shared" si="111"/>
        <v>1.5742461424190088</v>
      </c>
      <c r="AW134" s="51">
        <f t="shared" si="111"/>
        <v>1.5834217495572966</v>
      </c>
      <c r="AX134" s="51">
        <f t="shared" si="111"/>
        <v>0</v>
      </c>
      <c r="AY134" s="51">
        <f t="shared" si="111"/>
        <v>0</v>
      </c>
      <c r="AZ134" s="51">
        <f t="shared" si="111"/>
        <v>0</v>
      </c>
      <c r="BA134" s="51">
        <f t="shared" si="111"/>
        <v>0</v>
      </c>
      <c r="BB134" s="51">
        <f t="shared" si="111"/>
        <v>0</v>
      </c>
      <c r="BC134" s="51">
        <f t="shared" si="111"/>
        <v>0</v>
      </c>
      <c r="BD134" s="51">
        <f t="shared" si="111"/>
        <v>0</v>
      </c>
      <c r="BE134" s="51">
        <f t="shared" si="111"/>
        <v>0</v>
      </c>
      <c r="BF134" s="51">
        <f t="shared" si="111"/>
        <v>0</v>
      </c>
      <c r="BG134" s="51">
        <f t="shared" si="111"/>
        <v>0</v>
      </c>
      <c r="BH134" s="51">
        <f t="shared" si="111"/>
        <v>0</v>
      </c>
      <c r="BI134" s="51">
        <f t="shared" si="111"/>
        <v>0</v>
      </c>
      <c r="BJ134" s="51">
        <f t="shared" si="111"/>
        <v>0</v>
      </c>
      <c r="BK134" s="51">
        <f t="shared" si="111"/>
        <v>0</v>
      </c>
      <c r="BL134" s="51">
        <f t="shared" si="111"/>
        <v>0</v>
      </c>
      <c r="BM134" s="51">
        <f t="shared" si="111"/>
        <v>0</v>
      </c>
      <c r="BN134" s="51">
        <f t="shared" si="111"/>
        <v>0</v>
      </c>
      <c r="BO134" s="51">
        <f t="shared" si="111"/>
        <v>0</v>
      </c>
      <c r="BP134" s="51">
        <f t="shared" si="111"/>
        <v>0</v>
      </c>
      <c r="BQ134" s="51">
        <f t="shared" si="111"/>
        <v>0</v>
      </c>
      <c r="BR134" s="51">
        <f t="shared" si="111"/>
        <v>0</v>
      </c>
      <c r="BS134" s="51">
        <f t="shared" si="112" ref="BS134:CK134">IF(BS37="","",BS37/$G37)</f>
        <v>0</v>
      </c>
      <c r="BT134" s="51">
        <f t="shared" si="112"/>
        <v>0</v>
      </c>
      <c r="BU134" s="51">
        <f t="shared" si="112"/>
        <v>0</v>
      </c>
      <c r="BV134" s="51">
        <f t="shared" si="112"/>
        <v>0</v>
      </c>
      <c r="BW134" s="51">
        <f t="shared" si="112"/>
        <v>0</v>
      </c>
      <c r="BX134" s="51">
        <f t="shared" si="112"/>
        <v>0</v>
      </c>
      <c r="BY134" s="51">
        <f t="shared" si="112"/>
        <v>0</v>
      </c>
      <c r="BZ134" s="51">
        <f t="shared" si="112"/>
        <v>0</v>
      </c>
      <c r="CA134" s="51">
        <f t="shared" si="112"/>
        <v>0</v>
      </c>
      <c r="CB134" s="51">
        <f t="shared" si="112"/>
        <v>0</v>
      </c>
      <c r="CC134" s="51">
        <f t="shared" si="112"/>
        <v>0</v>
      </c>
      <c r="CD134" s="51">
        <f t="shared" si="112"/>
        <v>0</v>
      </c>
      <c r="CE134" s="51">
        <f t="shared" si="112"/>
        <v>0</v>
      </c>
      <c r="CF134" s="51">
        <f t="shared" si="112"/>
        <v>0</v>
      </c>
      <c r="CG134" s="51">
        <f t="shared" si="112"/>
        <v>0</v>
      </c>
      <c r="CH134" s="51">
        <f t="shared" si="112"/>
        <v>0</v>
      </c>
      <c r="CI134" s="51">
        <f t="shared" si="112"/>
        <v>0</v>
      </c>
      <c r="CJ134" s="51">
        <f t="shared" si="112"/>
        <v>0</v>
      </c>
      <c r="CK134" s="51">
        <f t="shared" si="112"/>
        <v>0</v>
      </c>
    </row>
    <row r="135" spans="6:89" ht="14.4">
      <c r="F135" t="s">
        <v>130</v>
      </c>
      <c r="G135" s="51">
        <f t="shared" si="113" ref="G135:BR135">IF(G38="","",G38/$G38)</f>
        <v>1</v>
      </c>
      <c r="H135" s="51">
        <f t="shared" si="113"/>
        <v>1.0315129591769674</v>
      </c>
      <c r="I135" s="51">
        <f t="shared" si="113"/>
        <v>1.0494500048892368</v>
      </c>
      <c r="J135" s="51">
        <f t="shared" si="113"/>
        <v>1.0670358127501398</v>
      </c>
      <c r="K135" s="51">
        <f t="shared" si="113"/>
        <v>1.0840466739263699</v>
      </c>
      <c r="L135" s="51">
        <f t="shared" si="113"/>
        <v>1.100884365333386</v>
      </c>
      <c r="M135" s="51">
        <f t="shared" si="113"/>
        <v>1.1173705894975636</v>
      </c>
      <c r="N135" s="51">
        <f t="shared" si="113"/>
        <v>1.1331031051336402</v>
      </c>
      <c r="O135" s="51">
        <f t="shared" si="113"/>
        <v>1.1489307644125362</v>
      </c>
      <c r="P135" s="51">
        <f t="shared" si="113"/>
        <v>1.1646300302652064</v>
      </c>
      <c r="Q135" s="51">
        <f t="shared" si="113"/>
        <v>1.1809608903510145</v>
      </c>
      <c r="R135" s="51">
        <f t="shared" si="113"/>
        <v>1.1972976296096471</v>
      </c>
      <c r="S135" s="51">
        <f t="shared" si="113"/>
        <v>1.2134614848405274</v>
      </c>
      <c r="T135" s="51">
        <f t="shared" si="113"/>
        <v>1.2297053522487837</v>
      </c>
      <c r="U135" s="51">
        <f t="shared" si="113"/>
        <v>1.2457349747753865</v>
      </c>
      <c r="V135" s="51">
        <f t="shared" si="113"/>
        <v>1.2618605967450491</v>
      </c>
      <c r="W135" s="51">
        <f t="shared" si="113"/>
        <v>1.2779034279052897</v>
      </c>
      <c r="X135" s="51">
        <f t="shared" si="113"/>
        <v>1.2935508186572613</v>
      </c>
      <c r="Y135" s="51">
        <f t="shared" si="113"/>
        <v>1.3088028541542982</v>
      </c>
      <c r="Z135" s="51">
        <f t="shared" si="113"/>
        <v>1.3240612794812101</v>
      </c>
      <c r="AA135" s="51">
        <f t="shared" si="113"/>
        <v>1.3392365719421413</v>
      </c>
      <c r="AB135" s="51">
        <f t="shared" si="113"/>
        <v>1.3538823689780772</v>
      </c>
      <c r="AC135" s="51">
        <f t="shared" si="113"/>
        <v>1.3679537229477066</v>
      </c>
      <c r="AD135" s="51">
        <f t="shared" si="113"/>
        <v>1.3717521582100467</v>
      </c>
      <c r="AE135" s="51">
        <f t="shared" si="113"/>
        <v>1.3839602491678196</v>
      </c>
      <c r="AF135" s="51">
        <f t="shared" si="113"/>
        <v>1.3975321129612734</v>
      </c>
      <c r="AG135" s="51">
        <f t="shared" si="113"/>
        <v>1.4108421225850349</v>
      </c>
      <c r="AH135" s="51">
        <f t="shared" si="113"/>
        <v>1.4238699866881876</v>
      </c>
      <c r="AI135" s="51">
        <f t="shared" si="113"/>
        <v>1.4366055478753872</v>
      </c>
      <c r="AJ135" s="51">
        <f t="shared" si="113"/>
        <v>1.4490166860192919</v>
      </c>
      <c r="AK135" s="51">
        <f t="shared" si="113"/>
        <v>1.461082427928682</v>
      </c>
      <c r="AL135" s="51">
        <f t="shared" si="113"/>
        <v>1.472747671498529</v>
      </c>
      <c r="AM135" s="51">
        <f t="shared" si="113"/>
        <v>1.4840090076234267</v>
      </c>
      <c r="AN135" s="51">
        <f t="shared" si="113"/>
        <v>1.4948687713038689</v>
      </c>
      <c r="AO135" s="51">
        <f t="shared" si="113"/>
        <v>1.5056714426178126</v>
      </c>
      <c r="AP135" s="51">
        <f t="shared" si="113"/>
        <v>1.5161612821165205</v>
      </c>
      <c r="AQ135" s="51">
        <f t="shared" si="113"/>
        <v>1.526368264106053</v>
      </c>
      <c r="AR135" s="51">
        <f t="shared" si="113"/>
        <v>1.536333554380453</v>
      </c>
      <c r="AS135" s="51">
        <f t="shared" si="113"/>
        <v>1.5460783913069489</v>
      </c>
      <c r="AT135" s="51">
        <f t="shared" si="113"/>
        <v>1.555616584376853</v>
      </c>
      <c r="AU135" s="51">
        <f t="shared" si="113"/>
        <v>1.5649924183980588</v>
      </c>
      <c r="AV135" s="51">
        <f t="shared" si="113"/>
        <v>1.5742461424190088</v>
      </c>
      <c r="AW135" s="51">
        <f t="shared" si="113"/>
        <v>1.5834217495572969</v>
      </c>
      <c r="AX135" s="51">
        <f t="shared" si="113"/>
        <v>0</v>
      </c>
      <c r="AY135" s="51">
        <f t="shared" si="113"/>
        <v>0</v>
      </c>
      <c r="AZ135" s="51">
        <f t="shared" si="113"/>
        <v>0</v>
      </c>
      <c r="BA135" s="51">
        <f t="shared" si="113"/>
        <v>0</v>
      </c>
      <c r="BB135" s="51">
        <f t="shared" si="113"/>
        <v>0</v>
      </c>
      <c r="BC135" s="51">
        <f t="shared" si="113"/>
        <v>0</v>
      </c>
      <c r="BD135" s="51">
        <f t="shared" si="113"/>
        <v>0</v>
      </c>
      <c r="BE135" s="51">
        <f t="shared" si="113"/>
        <v>0</v>
      </c>
      <c r="BF135" s="51">
        <f t="shared" si="113"/>
        <v>0</v>
      </c>
      <c r="BG135" s="51">
        <f t="shared" si="113"/>
        <v>0</v>
      </c>
      <c r="BH135" s="51">
        <f t="shared" si="113"/>
        <v>0</v>
      </c>
      <c r="BI135" s="51">
        <f t="shared" si="113"/>
        <v>0</v>
      </c>
      <c r="BJ135" s="51">
        <f t="shared" si="113"/>
        <v>0</v>
      </c>
      <c r="BK135" s="51">
        <f t="shared" si="113"/>
        <v>0</v>
      </c>
      <c r="BL135" s="51">
        <f t="shared" si="113"/>
        <v>0</v>
      </c>
      <c r="BM135" s="51">
        <f t="shared" si="113"/>
        <v>0</v>
      </c>
      <c r="BN135" s="51">
        <f t="shared" si="113"/>
        <v>0</v>
      </c>
      <c r="BO135" s="51">
        <f t="shared" si="113"/>
        <v>0</v>
      </c>
      <c r="BP135" s="51">
        <f t="shared" si="113"/>
        <v>0</v>
      </c>
      <c r="BQ135" s="51">
        <f t="shared" si="113"/>
        <v>0</v>
      </c>
      <c r="BR135" s="51">
        <f t="shared" si="113"/>
        <v>0</v>
      </c>
      <c r="BS135" s="51">
        <f t="shared" si="114" ref="BS135:CK135">IF(BS38="","",BS38/$G38)</f>
        <v>0</v>
      </c>
      <c r="BT135" s="51">
        <f t="shared" si="114"/>
        <v>0</v>
      </c>
      <c r="BU135" s="51">
        <f t="shared" si="114"/>
        <v>0</v>
      </c>
      <c r="BV135" s="51">
        <f t="shared" si="114"/>
        <v>0</v>
      </c>
      <c r="BW135" s="51">
        <f t="shared" si="114"/>
        <v>0</v>
      </c>
      <c r="BX135" s="51">
        <f t="shared" si="114"/>
        <v>0</v>
      </c>
      <c r="BY135" s="51">
        <f t="shared" si="114"/>
        <v>0</v>
      </c>
      <c r="BZ135" s="51">
        <f t="shared" si="114"/>
        <v>0</v>
      </c>
      <c r="CA135" s="51">
        <f t="shared" si="114"/>
        <v>0</v>
      </c>
      <c r="CB135" s="51">
        <f t="shared" si="114"/>
        <v>0</v>
      </c>
      <c r="CC135" s="51">
        <f t="shared" si="114"/>
        <v>0</v>
      </c>
      <c r="CD135" s="51">
        <f t="shared" si="114"/>
        <v>0</v>
      </c>
      <c r="CE135" s="51">
        <f t="shared" si="114"/>
        <v>0</v>
      </c>
      <c r="CF135" s="51">
        <f t="shared" si="114"/>
        <v>0</v>
      </c>
      <c r="CG135" s="51">
        <f t="shared" si="114"/>
        <v>0</v>
      </c>
      <c r="CH135" s="51">
        <f t="shared" si="114"/>
        <v>0</v>
      </c>
      <c r="CI135" s="51">
        <f t="shared" si="114"/>
        <v>0</v>
      </c>
      <c r="CJ135" s="51">
        <f t="shared" si="114"/>
        <v>0</v>
      </c>
      <c r="CK135" s="51">
        <f t="shared" si="114"/>
        <v>0</v>
      </c>
    </row>
    <row r="136" spans="6:89" ht="14.4">
      <c r="F136" t="s">
        <v>131</v>
      </c>
      <c r="G136" s="51">
        <f t="shared" si="115" ref="G136:BR136">IF(G39="","",G39/$G39)</f>
        <v>1</v>
      </c>
      <c r="H136" s="51">
        <f t="shared" si="115"/>
        <v>1.0315129591769674</v>
      </c>
      <c r="I136" s="51">
        <f t="shared" si="115"/>
        <v>1.0494500048892368</v>
      </c>
      <c r="J136" s="51">
        <f t="shared" si="115"/>
        <v>1.0670358127501396</v>
      </c>
      <c r="K136" s="51">
        <f t="shared" si="115"/>
        <v>1.0840466739263699</v>
      </c>
      <c r="L136" s="51">
        <f t="shared" si="115"/>
        <v>1.1008843653333862</v>
      </c>
      <c r="M136" s="51">
        <f t="shared" si="115"/>
        <v>1.1173705894975636</v>
      </c>
      <c r="N136" s="51">
        <f t="shared" si="115"/>
        <v>1.1331031051336402</v>
      </c>
      <c r="O136" s="51">
        <f t="shared" si="115"/>
        <v>1.1489307644125362</v>
      </c>
      <c r="P136" s="51">
        <f t="shared" si="115"/>
        <v>1.1646300302652064</v>
      </c>
      <c r="Q136" s="51">
        <f t="shared" si="115"/>
        <v>1.1809608903510145</v>
      </c>
      <c r="R136" s="51">
        <f t="shared" si="115"/>
        <v>1.1972976296096471</v>
      </c>
      <c r="S136" s="51">
        <f t="shared" si="115"/>
        <v>1.2134614848405276</v>
      </c>
      <c r="T136" s="51">
        <f t="shared" si="115"/>
        <v>1.2297053522487835</v>
      </c>
      <c r="U136" s="51">
        <f t="shared" si="115"/>
        <v>1.2457349747753867</v>
      </c>
      <c r="V136" s="51">
        <f t="shared" si="115"/>
        <v>1.2618605967450491</v>
      </c>
      <c r="W136" s="51">
        <f t="shared" si="115"/>
        <v>1.2779034279052894</v>
      </c>
      <c r="X136" s="51">
        <f t="shared" si="115"/>
        <v>1.2935508186572615</v>
      </c>
      <c r="Y136" s="51">
        <f t="shared" si="115"/>
        <v>1.3088028541542984</v>
      </c>
      <c r="Z136" s="51">
        <f t="shared" si="115"/>
        <v>1.3240612794812103</v>
      </c>
      <c r="AA136" s="51">
        <f t="shared" si="115"/>
        <v>1.3392365719421413</v>
      </c>
      <c r="AB136" s="51">
        <f t="shared" si="115"/>
        <v>1.3538823689780772</v>
      </c>
      <c r="AC136" s="51">
        <f t="shared" si="115"/>
        <v>1.367953722947707</v>
      </c>
      <c r="AD136" s="51">
        <f t="shared" si="115"/>
        <v>1.3717521582100469</v>
      </c>
      <c r="AE136" s="51">
        <f t="shared" si="115"/>
        <v>1.3839602491678196</v>
      </c>
      <c r="AF136" s="51">
        <f t="shared" si="115"/>
        <v>1.3975321129612734</v>
      </c>
      <c r="AG136" s="51">
        <f t="shared" si="115"/>
        <v>1.4108421225850349</v>
      </c>
      <c r="AH136" s="51">
        <f t="shared" si="115"/>
        <v>1.4238699866881876</v>
      </c>
      <c r="AI136" s="51">
        <f t="shared" si="115"/>
        <v>1.4366055478753874</v>
      </c>
      <c r="AJ136" s="51">
        <f t="shared" si="115"/>
        <v>1.4490166860192919</v>
      </c>
      <c r="AK136" s="51">
        <f t="shared" si="115"/>
        <v>1.461082427928682</v>
      </c>
      <c r="AL136" s="51">
        <f t="shared" si="115"/>
        <v>1.4727476714985288</v>
      </c>
      <c r="AM136" s="51">
        <f t="shared" si="115"/>
        <v>1.4840090076234269</v>
      </c>
      <c r="AN136" s="51">
        <f t="shared" si="115"/>
        <v>1.4948687713038689</v>
      </c>
      <c r="AO136" s="51">
        <f t="shared" si="115"/>
        <v>1.5056714426178126</v>
      </c>
      <c r="AP136" s="51">
        <f t="shared" si="115"/>
        <v>1.5161612821165205</v>
      </c>
      <c r="AQ136" s="51">
        <f t="shared" si="115"/>
        <v>1.526368264106053</v>
      </c>
      <c r="AR136" s="51">
        <f t="shared" si="115"/>
        <v>1.536333554380453</v>
      </c>
      <c r="AS136" s="51">
        <f t="shared" si="115"/>
        <v>1.5460783913069491</v>
      </c>
      <c r="AT136" s="51">
        <f t="shared" si="115"/>
        <v>1.5556165843768528</v>
      </c>
      <c r="AU136" s="51">
        <f t="shared" si="115"/>
        <v>1.564992418398059</v>
      </c>
      <c r="AV136" s="51">
        <f t="shared" si="115"/>
        <v>1.5742461424190088</v>
      </c>
      <c r="AW136" s="51">
        <f t="shared" si="115"/>
        <v>1.5834217495572966</v>
      </c>
      <c r="AX136" s="51">
        <f t="shared" si="115"/>
        <v>0</v>
      </c>
      <c r="AY136" s="51">
        <f t="shared" si="115"/>
        <v>0</v>
      </c>
      <c r="AZ136" s="51">
        <f t="shared" si="115"/>
        <v>0</v>
      </c>
      <c r="BA136" s="51">
        <f t="shared" si="115"/>
        <v>0</v>
      </c>
      <c r="BB136" s="51">
        <f t="shared" si="115"/>
        <v>0</v>
      </c>
      <c r="BC136" s="51">
        <f t="shared" si="115"/>
        <v>0</v>
      </c>
      <c r="BD136" s="51">
        <f t="shared" si="115"/>
        <v>0</v>
      </c>
      <c r="BE136" s="51">
        <f t="shared" si="115"/>
        <v>0</v>
      </c>
      <c r="BF136" s="51">
        <f t="shared" si="115"/>
        <v>0</v>
      </c>
      <c r="BG136" s="51">
        <f t="shared" si="115"/>
        <v>0</v>
      </c>
      <c r="BH136" s="51">
        <f t="shared" si="115"/>
        <v>0</v>
      </c>
      <c r="BI136" s="51">
        <f t="shared" si="115"/>
        <v>0</v>
      </c>
      <c r="BJ136" s="51">
        <f t="shared" si="115"/>
        <v>0</v>
      </c>
      <c r="BK136" s="51">
        <f t="shared" si="115"/>
        <v>0</v>
      </c>
      <c r="BL136" s="51">
        <f t="shared" si="115"/>
        <v>0</v>
      </c>
      <c r="BM136" s="51">
        <f t="shared" si="115"/>
        <v>0</v>
      </c>
      <c r="BN136" s="51">
        <f t="shared" si="115"/>
        <v>0</v>
      </c>
      <c r="BO136" s="51">
        <f t="shared" si="115"/>
        <v>0</v>
      </c>
      <c r="BP136" s="51">
        <f t="shared" si="115"/>
        <v>0</v>
      </c>
      <c r="BQ136" s="51">
        <f t="shared" si="115"/>
        <v>0</v>
      </c>
      <c r="BR136" s="51">
        <f t="shared" si="115"/>
        <v>0</v>
      </c>
      <c r="BS136" s="51">
        <f t="shared" si="116" ref="BS136:CK136">IF(BS39="","",BS39/$G39)</f>
        <v>0</v>
      </c>
      <c r="BT136" s="51">
        <f t="shared" si="116"/>
        <v>0</v>
      </c>
      <c r="BU136" s="51">
        <f t="shared" si="116"/>
        <v>0</v>
      </c>
      <c r="BV136" s="51">
        <f t="shared" si="116"/>
        <v>0</v>
      </c>
      <c r="BW136" s="51">
        <f t="shared" si="116"/>
        <v>0</v>
      </c>
      <c r="BX136" s="51">
        <f t="shared" si="116"/>
        <v>0</v>
      </c>
      <c r="BY136" s="51">
        <f t="shared" si="116"/>
        <v>0</v>
      </c>
      <c r="BZ136" s="51">
        <f t="shared" si="116"/>
        <v>0</v>
      </c>
      <c r="CA136" s="51">
        <f t="shared" si="116"/>
        <v>0</v>
      </c>
      <c r="CB136" s="51">
        <f t="shared" si="116"/>
        <v>0</v>
      </c>
      <c r="CC136" s="51">
        <f t="shared" si="116"/>
        <v>0</v>
      </c>
      <c r="CD136" s="51">
        <f t="shared" si="116"/>
        <v>0</v>
      </c>
      <c r="CE136" s="51">
        <f t="shared" si="116"/>
        <v>0</v>
      </c>
      <c r="CF136" s="51">
        <f t="shared" si="116"/>
        <v>0</v>
      </c>
      <c r="CG136" s="51">
        <f t="shared" si="116"/>
        <v>0</v>
      </c>
      <c r="CH136" s="51">
        <f t="shared" si="116"/>
        <v>0</v>
      </c>
      <c r="CI136" s="51">
        <f t="shared" si="116"/>
        <v>0</v>
      </c>
      <c r="CJ136" s="51">
        <f t="shared" si="116"/>
        <v>0</v>
      </c>
      <c r="CK136" s="51">
        <f t="shared" si="116"/>
        <v>0</v>
      </c>
    </row>
    <row r="137" spans="6:89" ht="14.4">
      <c r="F137" t="s">
        <v>132</v>
      </c>
      <c r="G137" s="51">
        <f t="shared" si="117" ref="G137:BR137">IF(G40="","",G40/$G40)</f>
        <v>1</v>
      </c>
      <c r="H137" s="51">
        <f t="shared" si="117"/>
        <v>1.0315129591769674</v>
      </c>
      <c r="I137" s="51">
        <f t="shared" si="117"/>
        <v>1.049450004889237</v>
      </c>
      <c r="J137" s="51">
        <f t="shared" si="117"/>
        <v>1.0670358127501398</v>
      </c>
      <c r="K137" s="51">
        <f t="shared" si="117"/>
        <v>1.0840466739263699</v>
      </c>
      <c r="L137" s="51">
        <f t="shared" si="117"/>
        <v>1.100884365333386</v>
      </c>
      <c r="M137" s="51">
        <f t="shared" si="117"/>
        <v>1.1173705894975634</v>
      </c>
      <c r="N137" s="51">
        <f t="shared" si="117"/>
        <v>1.1331031051336402</v>
      </c>
      <c r="O137" s="51">
        <f t="shared" si="117"/>
        <v>1.1489307644125362</v>
      </c>
      <c r="P137" s="51">
        <f t="shared" si="117"/>
        <v>1.1646300302652064</v>
      </c>
      <c r="Q137" s="51">
        <f t="shared" si="117"/>
        <v>1.1809608903510143</v>
      </c>
      <c r="R137" s="51">
        <f t="shared" si="117"/>
        <v>1.1972976296096471</v>
      </c>
      <c r="S137" s="51">
        <f t="shared" si="117"/>
        <v>1.2134614848405276</v>
      </c>
      <c r="T137" s="51">
        <f t="shared" si="117"/>
        <v>1.2297053522487835</v>
      </c>
      <c r="U137" s="51">
        <f t="shared" si="117"/>
        <v>1.2457349747753865</v>
      </c>
      <c r="V137" s="51">
        <f t="shared" si="117"/>
        <v>1.2618605967450491</v>
      </c>
      <c r="W137" s="51">
        <f t="shared" si="117"/>
        <v>1.2779034279052897</v>
      </c>
      <c r="X137" s="51">
        <f t="shared" si="117"/>
        <v>1.2935508186572615</v>
      </c>
      <c r="Y137" s="51">
        <f t="shared" si="117"/>
        <v>1.3088028541542982</v>
      </c>
      <c r="Z137" s="51">
        <f t="shared" si="117"/>
        <v>1.3240612794812101</v>
      </c>
      <c r="AA137" s="51">
        <f t="shared" si="117"/>
        <v>1.3392365719421413</v>
      </c>
      <c r="AB137" s="51">
        <f t="shared" si="117"/>
        <v>1.3538823689780772</v>
      </c>
      <c r="AC137" s="51">
        <f t="shared" si="117"/>
        <v>1.3679537229477068</v>
      </c>
      <c r="AD137" s="51">
        <f t="shared" si="117"/>
        <v>1.3717521582100467</v>
      </c>
      <c r="AE137" s="51">
        <f t="shared" si="117"/>
        <v>1.3839602491678196</v>
      </c>
      <c r="AF137" s="51">
        <f t="shared" si="117"/>
        <v>1.3975321129612737</v>
      </c>
      <c r="AG137" s="51">
        <f t="shared" si="117"/>
        <v>1.4108421225850349</v>
      </c>
      <c r="AH137" s="51">
        <f t="shared" si="117"/>
        <v>1.4238699866881874</v>
      </c>
      <c r="AI137" s="51">
        <f t="shared" si="117"/>
        <v>1.4366055478753874</v>
      </c>
      <c r="AJ137" s="51">
        <f t="shared" si="117"/>
        <v>1.4490166860192917</v>
      </c>
      <c r="AK137" s="51">
        <f t="shared" si="117"/>
        <v>1.461082427928682</v>
      </c>
      <c r="AL137" s="51">
        <f t="shared" si="117"/>
        <v>1.4727476714985288</v>
      </c>
      <c r="AM137" s="51">
        <f t="shared" si="117"/>
        <v>1.4840090076234267</v>
      </c>
      <c r="AN137" s="51">
        <f t="shared" si="117"/>
        <v>1.4948687713038691</v>
      </c>
      <c r="AO137" s="51">
        <f t="shared" si="117"/>
        <v>1.5056714426178124</v>
      </c>
      <c r="AP137" s="51">
        <f t="shared" si="117"/>
        <v>1.5161612821165202</v>
      </c>
      <c r="AQ137" s="51">
        <f t="shared" si="117"/>
        <v>1.5263682641060528</v>
      </c>
      <c r="AR137" s="51">
        <f t="shared" si="117"/>
        <v>1.536333554380453</v>
      </c>
      <c r="AS137" s="51">
        <f t="shared" si="117"/>
        <v>1.5460783913069489</v>
      </c>
      <c r="AT137" s="51">
        <f t="shared" si="117"/>
        <v>1.5556165843768528</v>
      </c>
      <c r="AU137" s="51">
        <f t="shared" si="117"/>
        <v>1.5649924183980588</v>
      </c>
      <c r="AV137" s="51">
        <f t="shared" si="117"/>
        <v>1.5742461424190091</v>
      </c>
      <c r="AW137" s="51">
        <f t="shared" si="117"/>
        <v>1.5834217495572966</v>
      </c>
      <c r="AX137" s="51">
        <f t="shared" si="117"/>
        <v>0</v>
      </c>
      <c r="AY137" s="51">
        <f t="shared" si="117"/>
        <v>0</v>
      </c>
      <c r="AZ137" s="51">
        <f t="shared" si="117"/>
        <v>0</v>
      </c>
      <c r="BA137" s="51">
        <f t="shared" si="117"/>
        <v>0</v>
      </c>
      <c r="BB137" s="51">
        <f t="shared" si="117"/>
        <v>0</v>
      </c>
      <c r="BC137" s="51">
        <f t="shared" si="117"/>
        <v>0</v>
      </c>
      <c r="BD137" s="51">
        <f t="shared" si="117"/>
        <v>0</v>
      </c>
      <c r="BE137" s="51">
        <f t="shared" si="117"/>
        <v>0</v>
      </c>
      <c r="BF137" s="51">
        <f t="shared" si="117"/>
        <v>0</v>
      </c>
      <c r="BG137" s="51">
        <f t="shared" si="117"/>
        <v>0</v>
      </c>
      <c r="BH137" s="51">
        <f t="shared" si="117"/>
        <v>0</v>
      </c>
      <c r="BI137" s="51">
        <f t="shared" si="117"/>
        <v>0</v>
      </c>
      <c r="BJ137" s="51">
        <f t="shared" si="117"/>
        <v>0</v>
      </c>
      <c r="BK137" s="51">
        <f t="shared" si="117"/>
        <v>0</v>
      </c>
      <c r="BL137" s="51">
        <f t="shared" si="117"/>
        <v>0</v>
      </c>
      <c r="BM137" s="51">
        <f t="shared" si="117"/>
        <v>0</v>
      </c>
      <c r="BN137" s="51">
        <f t="shared" si="117"/>
        <v>0</v>
      </c>
      <c r="BO137" s="51">
        <f t="shared" si="117"/>
        <v>0</v>
      </c>
      <c r="BP137" s="51">
        <f t="shared" si="117"/>
        <v>0</v>
      </c>
      <c r="BQ137" s="51">
        <f t="shared" si="117"/>
        <v>0</v>
      </c>
      <c r="BR137" s="51">
        <f t="shared" si="117"/>
        <v>0</v>
      </c>
      <c r="BS137" s="51">
        <f t="shared" si="118" ref="BS137:CK137">IF(BS40="","",BS40/$G40)</f>
        <v>0</v>
      </c>
      <c r="BT137" s="51">
        <f t="shared" si="118"/>
        <v>0</v>
      </c>
      <c r="BU137" s="51">
        <f t="shared" si="118"/>
        <v>0</v>
      </c>
      <c r="BV137" s="51">
        <f t="shared" si="118"/>
        <v>0</v>
      </c>
      <c r="BW137" s="51">
        <f t="shared" si="118"/>
        <v>0</v>
      </c>
      <c r="BX137" s="51">
        <f t="shared" si="118"/>
        <v>0</v>
      </c>
      <c r="BY137" s="51">
        <f t="shared" si="118"/>
        <v>0</v>
      </c>
      <c r="BZ137" s="51">
        <f t="shared" si="118"/>
        <v>0</v>
      </c>
      <c r="CA137" s="51">
        <f t="shared" si="118"/>
        <v>0</v>
      </c>
      <c r="CB137" s="51">
        <f t="shared" si="118"/>
        <v>0</v>
      </c>
      <c r="CC137" s="51">
        <f t="shared" si="118"/>
        <v>0</v>
      </c>
      <c r="CD137" s="51">
        <f t="shared" si="118"/>
        <v>0</v>
      </c>
      <c r="CE137" s="51">
        <f t="shared" si="118"/>
        <v>0</v>
      </c>
      <c r="CF137" s="51">
        <f t="shared" si="118"/>
        <v>0</v>
      </c>
      <c r="CG137" s="51">
        <f t="shared" si="118"/>
        <v>0</v>
      </c>
      <c r="CH137" s="51">
        <f t="shared" si="118"/>
        <v>0</v>
      </c>
      <c r="CI137" s="51">
        <f t="shared" si="118"/>
        <v>0</v>
      </c>
      <c r="CJ137" s="51">
        <f t="shared" si="118"/>
        <v>0</v>
      </c>
      <c r="CK137" s="51">
        <f t="shared" si="118"/>
        <v>0</v>
      </c>
    </row>
    <row r="138" spans="6:89" ht="14.4">
      <c r="F138" t="s">
        <v>133</v>
      </c>
      <c r="G138" s="51">
        <f t="shared" si="119" ref="G138:BR138">IF(G41="","",G41/$G41)</f>
        <v>1</v>
      </c>
      <c r="H138" s="51">
        <f t="shared" si="119"/>
        <v>1.0315129591769672</v>
      </c>
      <c r="I138" s="51">
        <f t="shared" si="119"/>
        <v>1.049450004889237</v>
      </c>
      <c r="J138" s="51">
        <f t="shared" si="119"/>
        <v>1.0670358127501398</v>
      </c>
      <c r="K138" s="51">
        <f t="shared" si="119"/>
        <v>1.0840466739263699</v>
      </c>
      <c r="L138" s="51">
        <f t="shared" si="119"/>
        <v>1.100884365333386</v>
      </c>
      <c r="M138" s="51">
        <f t="shared" si="119"/>
        <v>1.1173705894975636</v>
      </c>
      <c r="N138" s="51">
        <f t="shared" si="119"/>
        <v>1.1331031051336404</v>
      </c>
      <c r="O138" s="51">
        <f t="shared" si="119"/>
        <v>1.1489307644125359</v>
      </c>
      <c r="P138" s="51">
        <f t="shared" si="119"/>
        <v>1.1646300302652064</v>
      </c>
      <c r="Q138" s="51">
        <f t="shared" si="119"/>
        <v>1.1809608903510143</v>
      </c>
      <c r="R138" s="51">
        <f t="shared" si="119"/>
        <v>1.1972976296096471</v>
      </c>
      <c r="S138" s="51">
        <f t="shared" si="119"/>
        <v>1.2134614848405276</v>
      </c>
      <c r="T138" s="51">
        <f t="shared" si="119"/>
        <v>1.2297053522487837</v>
      </c>
      <c r="U138" s="51">
        <f t="shared" si="119"/>
        <v>1.2457349747753865</v>
      </c>
      <c r="V138" s="51">
        <f t="shared" si="119"/>
        <v>1.2618605967450491</v>
      </c>
      <c r="W138" s="51">
        <f t="shared" si="119"/>
        <v>1.2779034279052897</v>
      </c>
      <c r="X138" s="51">
        <f t="shared" si="119"/>
        <v>1.2935508186572615</v>
      </c>
      <c r="Y138" s="51">
        <f t="shared" si="119"/>
        <v>1.308802854154298</v>
      </c>
      <c r="Z138" s="51">
        <f t="shared" si="119"/>
        <v>1.3240612794812101</v>
      </c>
      <c r="AA138" s="51">
        <f t="shared" si="119"/>
        <v>1.3392365719421415</v>
      </c>
      <c r="AB138" s="51">
        <f t="shared" si="119"/>
        <v>1.3538823689780772</v>
      </c>
      <c r="AC138" s="51">
        <f t="shared" si="119"/>
        <v>1.3679537229477068</v>
      </c>
      <c r="AD138" s="51">
        <f t="shared" si="119"/>
        <v>1.3717521582100469</v>
      </c>
      <c r="AE138" s="51">
        <f t="shared" si="119"/>
        <v>1.3839602491678196</v>
      </c>
      <c r="AF138" s="51">
        <f t="shared" si="119"/>
        <v>1.3975321129612737</v>
      </c>
      <c r="AG138" s="51">
        <f t="shared" si="119"/>
        <v>1.4108421225850349</v>
      </c>
      <c r="AH138" s="51">
        <f t="shared" si="119"/>
        <v>1.4238699866881874</v>
      </c>
      <c r="AI138" s="51">
        <f t="shared" si="119"/>
        <v>1.4366055478753874</v>
      </c>
      <c r="AJ138" s="51">
        <f t="shared" si="119"/>
        <v>1.4490166860192919</v>
      </c>
      <c r="AK138" s="51">
        <f t="shared" si="119"/>
        <v>1.4610824279286823</v>
      </c>
      <c r="AL138" s="51">
        <f t="shared" si="119"/>
        <v>1.4727476714985288</v>
      </c>
      <c r="AM138" s="51">
        <f t="shared" si="119"/>
        <v>1.4840090076234267</v>
      </c>
      <c r="AN138" s="51">
        <f t="shared" si="119"/>
        <v>1.4948687713038689</v>
      </c>
      <c r="AO138" s="51">
        <f t="shared" si="119"/>
        <v>1.5056714426178126</v>
      </c>
      <c r="AP138" s="51">
        <f t="shared" si="119"/>
        <v>1.5161612821165205</v>
      </c>
      <c r="AQ138" s="51">
        <f t="shared" si="119"/>
        <v>1.526368264106053</v>
      </c>
      <c r="AR138" s="51">
        <f t="shared" si="119"/>
        <v>1.5363335543804528</v>
      </c>
      <c r="AS138" s="51">
        <f t="shared" si="119"/>
        <v>1.5460783913069491</v>
      </c>
      <c r="AT138" s="51">
        <f t="shared" si="119"/>
        <v>1.5556165843768528</v>
      </c>
      <c r="AU138" s="51">
        <f t="shared" si="119"/>
        <v>1.5649924183980588</v>
      </c>
      <c r="AV138" s="51">
        <f t="shared" si="119"/>
        <v>1.5742461424190088</v>
      </c>
      <c r="AW138" s="51">
        <f t="shared" si="119"/>
        <v>1.5834217495572966</v>
      </c>
      <c r="AX138" s="51">
        <f t="shared" si="119"/>
        <v>0</v>
      </c>
      <c r="AY138" s="51">
        <f t="shared" si="119"/>
        <v>0</v>
      </c>
      <c r="AZ138" s="51">
        <f t="shared" si="119"/>
        <v>0</v>
      </c>
      <c r="BA138" s="51">
        <f t="shared" si="119"/>
        <v>0</v>
      </c>
      <c r="BB138" s="51">
        <f t="shared" si="119"/>
        <v>0</v>
      </c>
      <c r="BC138" s="51">
        <f t="shared" si="119"/>
        <v>0</v>
      </c>
      <c r="BD138" s="51">
        <f t="shared" si="119"/>
        <v>0</v>
      </c>
      <c r="BE138" s="51">
        <f t="shared" si="119"/>
        <v>0</v>
      </c>
      <c r="BF138" s="51">
        <f t="shared" si="119"/>
        <v>0</v>
      </c>
      <c r="BG138" s="51">
        <f t="shared" si="119"/>
        <v>0</v>
      </c>
      <c r="BH138" s="51">
        <f t="shared" si="119"/>
        <v>0</v>
      </c>
      <c r="BI138" s="51">
        <f t="shared" si="119"/>
        <v>0</v>
      </c>
      <c r="BJ138" s="51">
        <f t="shared" si="119"/>
        <v>0</v>
      </c>
      <c r="BK138" s="51">
        <f t="shared" si="119"/>
        <v>0</v>
      </c>
      <c r="BL138" s="51">
        <f t="shared" si="119"/>
        <v>0</v>
      </c>
      <c r="BM138" s="51">
        <f t="shared" si="119"/>
        <v>0</v>
      </c>
      <c r="BN138" s="51">
        <f t="shared" si="119"/>
        <v>0</v>
      </c>
      <c r="BO138" s="51">
        <f t="shared" si="119"/>
        <v>0</v>
      </c>
      <c r="BP138" s="51">
        <f t="shared" si="119"/>
        <v>0</v>
      </c>
      <c r="BQ138" s="51">
        <f t="shared" si="119"/>
        <v>0</v>
      </c>
      <c r="BR138" s="51">
        <f t="shared" si="119"/>
        <v>0</v>
      </c>
      <c r="BS138" s="51">
        <f t="shared" si="120" ref="BS138:CK138">IF(BS41="","",BS41/$G41)</f>
        <v>0</v>
      </c>
      <c r="BT138" s="51">
        <f t="shared" si="120"/>
        <v>0</v>
      </c>
      <c r="BU138" s="51">
        <f t="shared" si="120"/>
        <v>0</v>
      </c>
      <c r="BV138" s="51">
        <f t="shared" si="120"/>
        <v>0</v>
      </c>
      <c r="BW138" s="51">
        <f t="shared" si="120"/>
        <v>0</v>
      </c>
      <c r="BX138" s="51">
        <f t="shared" si="120"/>
        <v>0</v>
      </c>
      <c r="BY138" s="51">
        <f t="shared" si="120"/>
        <v>0</v>
      </c>
      <c r="BZ138" s="51">
        <f t="shared" si="120"/>
        <v>0</v>
      </c>
      <c r="CA138" s="51">
        <f t="shared" si="120"/>
        <v>0</v>
      </c>
      <c r="CB138" s="51">
        <f t="shared" si="120"/>
        <v>0</v>
      </c>
      <c r="CC138" s="51">
        <f t="shared" si="120"/>
        <v>0</v>
      </c>
      <c r="CD138" s="51">
        <f t="shared" si="120"/>
        <v>0</v>
      </c>
      <c r="CE138" s="51">
        <f t="shared" si="120"/>
        <v>0</v>
      </c>
      <c r="CF138" s="51">
        <f t="shared" si="120"/>
        <v>0</v>
      </c>
      <c r="CG138" s="51">
        <f t="shared" si="120"/>
        <v>0</v>
      </c>
      <c r="CH138" s="51">
        <f t="shared" si="120"/>
        <v>0</v>
      </c>
      <c r="CI138" s="51">
        <f t="shared" si="120"/>
        <v>0</v>
      </c>
      <c r="CJ138" s="51">
        <f t="shared" si="120"/>
        <v>0</v>
      </c>
      <c r="CK138" s="51">
        <f t="shared" si="120"/>
        <v>0</v>
      </c>
    </row>
    <row r="139" spans="6:89" ht="14.4">
      <c r="F139" t="s">
        <v>134</v>
      </c>
      <c r="G139" s="51" t="e">
        <f t="shared" si="121" ref="G139:BR139">IF(G42="","",G42/$G42)</f>
        <v>#DIV/0!</v>
      </c>
      <c r="H139" s="51" t="e">
        <f t="shared" si="121"/>
        <v>#DIV/0!</v>
      </c>
      <c r="I139" s="51" t="e">
        <f t="shared" si="121"/>
        <v>#DIV/0!</v>
      </c>
      <c r="J139" s="51" t="e">
        <f t="shared" si="121"/>
        <v>#DIV/0!</v>
      </c>
      <c r="K139" s="51" t="e">
        <f t="shared" si="121"/>
        <v>#DIV/0!</v>
      </c>
      <c r="L139" s="51" t="e">
        <f t="shared" si="121"/>
        <v>#DIV/0!</v>
      </c>
      <c r="M139" s="51" t="e">
        <f t="shared" si="121"/>
        <v>#DIV/0!</v>
      </c>
      <c r="N139" s="51" t="e">
        <f t="shared" si="121"/>
        <v>#DIV/0!</v>
      </c>
      <c r="O139" s="51" t="e">
        <f t="shared" si="121"/>
        <v>#DIV/0!</v>
      </c>
      <c r="P139" s="51" t="e">
        <f t="shared" si="121"/>
        <v>#DIV/0!</v>
      </c>
      <c r="Q139" s="51" t="e">
        <f t="shared" si="121"/>
        <v>#DIV/0!</v>
      </c>
      <c r="R139" s="51" t="e">
        <f t="shared" si="121"/>
        <v>#DIV/0!</v>
      </c>
      <c r="S139" s="51" t="e">
        <f t="shared" si="121"/>
        <v>#DIV/0!</v>
      </c>
      <c r="T139" s="51" t="e">
        <f t="shared" si="121"/>
        <v>#DIV/0!</v>
      </c>
      <c r="U139" s="51" t="e">
        <f t="shared" si="121"/>
        <v>#DIV/0!</v>
      </c>
      <c r="V139" s="51" t="e">
        <f t="shared" si="121"/>
        <v>#DIV/0!</v>
      </c>
      <c r="W139" s="51" t="e">
        <f t="shared" si="121"/>
        <v>#DIV/0!</v>
      </c>
      <c r="X139" s="51" t="e">
        <f t="shared" si="121"/>
        <v>#DIV/0!</v>
      </c>
      <c r="Y139" s="51" t="e">
        <f t="shared" si="121"/>
        <v>#DIV/0!</v>
      </c>
      <c r="Z139" s="51" t="e">
        <f t="shared" si="121"/>
        <v>#DIV/0!</v>
      </c>
      <c r="AA139" s="51" t="e">
        <f t="shared" si="121"/>
        <v>#DIV/0!</v>
      </c>
      <c r="AB139" s="51" t="e">
        <f t="shared" si="121"/>
        <v>#DIV/0!</v>
      </c>
      <c r="AC139" s="51" t="e">
        <f t="shared" si="121"/>
        <v>#DIV/0!</v>
      </c>
      <c r="AD139" s="51" t="e">
        <f t="shared" si="121"/>
        <v>#DIV/0!</v>
      </c>
      <c r="AE139" s="51" t="e">
        <f t="shared" si="121"/>
        <v>#DIV/0!</v>
      </c>
      <c r="AF139" s="51" t="e">
        <f t="shared" si="121"/>
        <v>#DIV/0!</v>
      </c>
      <c r="AG139" s="51" t="e">
        <f t="shared" si="121"/>
        <v>#DIV/0!</v>
      </c>
      <c r="AH139" s="51" t="e">
        <f t="shared" si="121"/>
        <v>#DIV/0!</v>
      </c>
      <c r="AI139" s="51" t="e">
        <f t="shared" si="121"/>
        <v>#DIV/0!</v>
      </c>
      <c r="AJ139" s="51" t="e">
        <f t="shared" si="121"/>
        <v>#DIV/0!</v>
      </c>
      <c r="AK139" s="51" t="e">
        <f t="shared" si="121"/>
        <v>#DIV/0!</v>
      </c>
      <c r="AL139" s="51" t="e">
        <f t="shared" si="121"/>
        <v>#DIV/0!</v>
      </c>
      <c r="AM139" s="51" t="e">
        <f t="shared" si="121"/>
        <v>#DIV/0!</v>
      </c>
      <c r="AN139" s="51" t="e">
        <f t="shared" si="121"/>
        <v>#DIV/0!</v>
      </c>
      <c r="AO139" s="51" t="e">
        <f t="shared" si="121"/>
        <v>#DIV/0!</v>
      </c>
      <c r="AP139" s="51" t="e">
        <f t="shared" si="121"/>
        <v>#DIV/0!</v>
      </c>
      <c r="AQ139" s="51" t="e">
        <f t="shared" si="121"/>
        <v>#DIV/0!</v>
      </c>
      <c r="AR139" s="51" t="e">
        <f t="shared" si="121"/>
        <v>#DIV/0!</v>
      </c>
      <c r="AS139" s="51" t="e">
        <f t="shared" si="121"/>
        <v>#DIV/0!</v>
      </c>
      <c r="AT139" s="51" t="e">
        <f t="shared" si="121"/>
        <v>#DIV/0!</v>
      </c>
      <c r="AU139" s="51" t="e">
        <f t="shared" si="121"/>
        <v>#DIV/0!</v>
      </c>
      <c r="AV139" s="51" t="e">
        <f t="shared" si="121"/>
        <v>#DIV/0!</v>
      </c>
      <c r="AW139" s="51" t="e">
        <f t="shared" si="121"/>
        <v>#DIV/0!</v>
      </c>
      <c r="AX139" s="51" t="e">
        <f t="shared" si="121"/>
        <v>#DIV/0!</v>
      </c>
      <c r="AY139" s="51" t="e">
        <f t="shared" si="121"/>
        <v>#DIV/0!</v>
      </c>
      <c r="AZ139" s="51" t="e">
        <f t="shared" si="121"/>
        <v>#DIV/0!</v>
      </c>
      <c r="BA139" s="51" t="e">
        <f t="shared" si="121"/>
        <v>#DIV/0!</v>
      </c>
      <c r="BB139" s="51" t="e">
        <f t="shared" si="121"/>
        <v>#DIV/0!</v>
      </c>
      <c r="BC139" s="51" t="e">
        <f t="shared" si="121"/>
        <v>#DIV/0!</v>
      </c>
      <c r="BD139" s="51" t="e">
        <f t="shared" si="121"/>
        <v>#DIV/0!</v>
      </c>
      <c r="BE139" s="51" t="e">
        <f t="shared" si="121"/>
        <v>#DIV/0!</v>
      </c>
      <c r="BF139" s="51" t="e">
        <f t="shared" si="121"/>
        <v>#DIV/0!</v>
      </c>
      <c r="BG139" s="51" t="e">
        <f t="shared" si="121"/>
        <v>#DIV/0!</v>
      </c>
      <c r="BH139" s="51" t="e">
        <f t="shared" si="121"/>
        <v>#DIV/0!</v>
      </c>
      <c r="BI139" s="51" t="e">
        <f t="shared" si="121"/>
        <v>#DIV/0!</v>
      </c>
      <c r="BJ139" s="51" t="e">
        <f t="shared" si="121"/>
        <v>#DIV/0!</v>
      </c>
      <c r="BK139" s="51" t="e">
        <f t="shared" si="121"/>
        <v>#DIV/0!</v>
      </c>
      <c r="BL139" s="51" t="e">
        <f t="shared" si="121"/>
        <v>#DIV/0!</v>
      </c>
      <c r="BM139" s="51" t="e">
        <f t="shared" si="121"/>
        <v>#DIV/0!</v>
      </c>
      <c r="BN139" s="51" t="e">
        <f t="shared" si="121"/>
        <v>#DIV/0!</v>
      </c>
      <c r="BO139" s="51" t="e">
        <f t="shared" si="121"/>
        <v>#DIV/0!</v>
      </c>
      <c r="BP139" s="51" t="e">
        <f t="shared" si="121"/>
        <v>#DIV/0!</v>
      </c>
      <c r="BQ139" s="51" t="e">
        <f t="shared" si="121"/>
        <v>#DIV/0!</v>
      </c>
      <c r="BR139" s="51" t="e">
        <f t="shared" si="121"/>
        <v>#DIV/0!</v>
      </c>
      <c r="BS139" s="51" t="e">
        <f t="shared" si="122" ref="BS139:CK139">IF(BS42="","",BS42/$G42)</f>
        <v>#DIV/0!</v>
      </c>
      <c r="BT139" s="51" t="e">
        <f t="shared" si="122"/>
        <v>#DIV/0!</v>
      </c>
      <c r="BU139" s="51" t="e">
        <f t="shared" si="122"/>
        <v>#DIV/0!</v>
      </c>
      <c r="BV139" s="51" t="e">
        <f t="shared" si="122"/>
        <v>#DIV/0!</v>
      </c>
      <c r="BW139" s="51" t="e">
        <f t="shared" si="122"/>
        <v>#DIV/0!</v>
      </c>
      <c r="BX139" s="51" t="e">
        <f t="shared" si="122"/>
        <v>#DIV/0!</v>
      </c>
      <c r="BY139" s="51" t="e">
        <f t="shared" si="122"/>
        <v>#DIV/0!</v>
      </c>
      <c r="BZ139" s="51" t="e">
        <f t="shared" si="122"/>
        <v>#DIV/0!</v>
      </c>
      <c r="CA139" s="51" t="e">
        <f t="shared" si="122"/>
        <v>#DIV/0!</v>
      </c>
      <c r="CB139" s="51" t="e">
        <f t="shared" si="122"/>
        <v>#DIV/0!</v>
      </c>
      <c r="CC139" s="51" t="e">
        <f t="shared" si="122"/>
        <v>#DIV/0!</v>
      </c>
      <c r="CD139" s="51" t="e">
        <f t="shared" si="122"/>
        <v>#DIV/0!</v>
      </c>
      <c r="CE139" s="51" t="e">
        <f t="shared" si="122"/>
        <v>#DIV/0!</v>
      </c>
      <c r="CF139" s="51" t="e">
        <f t="shared" si="122"/>
        <v>#DIV/0!</v>
      </c>
      <c r="CG139" s="51" t="e">
        <f t="shared" si="122"/>
        <v>#DIV/0!</v>
      </c>
      <c r="CH139" s="51" t="e">
        <f t="shared" si="122"/>
        <v>#DIV/0!</v>
      </c>
      <c r="CI139" s="51" t="e">
        <f t="shared" si="122"/>
        <v>#DIV/0!</v>
      </c>
      <c r="CJ139" s="51" t="e">
        <f t="shared" si="122"/>
        <v>#DIV/0!</v>
      </c>
      <c r="CK139" s="51" t="e">
        <f t="shared" si="122"/>
        <v>#DIV/0!</v>
      </c>
    </row>
  </sheetData>
  <pageMargins left="0.7" right="0.7" top="0.75" bottom="0.75" header="0.3" footer="0.3"/>
  <pageSetup orientation="portrait" paperSize="9" r:id="rId5"/>
  <drawing r:id="rId3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8677713-898F-4CE7-B271-9F0C2A645248}">
  <sheetPr codeName="Sheet3"/>
  <dimension ref="A3:AD37"/>
  <sheetViews>
    <sheetView workbookViewId="0" topLeftCell="A1">
      <selection pane="topLeft" activeCell="G31" sqref="G31"/>
    </sheetView>
  </sheetViews>
  <sheetFormatPr defaultColWidth="9.21428571428571" defaultRowHeight="14.4"/>
  <cols>
    <col min="1" max="1" width="12.1428571428571" customWidth="1"/>
    <col min="2" max="2" width="11.5714285714286" customWidth="1"/>
    <col min="3" max="3" width="3.14285714285714" bestFit="1" customWidth="1"/>
    <col min="4" max="4" width="8.57142857142857" bestFit="1" customWidth="1"/>
    <col min="5" max="5" width="6.42857142857143" bestFit="1" customWidth="1"/>
    <col min="6" max="6" width="4.85714285714286" bestFit="1" customWidth="1"/>
    <col min="7" max="7" width="5.57142857142857" bestFit="1" customWidth="1"/>
    <col min="8" max="8" width="5.85714285714286" bestFit="1" customWidth="1"/>
    <col min="9" max="9" width="5.42857142857143" bestFit="1" customWidth="1"/>
    <col min="10" max="11" width="5.57142857142857" bestFit="1" customWidth="1"/>
    <col min="12" max="12" width="6.57142857142857" bestFit="1" customWidth="1"/>
    <col min="13" max="13" width="6.14285714285714" bestFit="1" customWidth="1"/>
    <col min="14" max="15" width="6.57142857142857" bestFit="1" customWidth="1"/>
    <col min="16" max="16" width="7.42857142857143" bestFit="1" customWidth="1"/>
    <col min="17" max="17" width="5.57142857142857" bestFit="1" customWidth="1"/>
    <col min="18" max="18" width="6.14285714285714" bestFit="1" customWidth="1"/>
    <col min="19" max="20" width="5.57142857142857" bestFit="1" customWidth="1"/>
    <col min="21" max="21" width="5.85714285714286" bestFit="1" customWidth="1"/>
    <col min="22" max="22" width="6.57142857142857" bestFit="1" customWidth="1"/>
    <col min="23" max="23" width="4.85714285714286" bestFit="1" customWidth="1"/>
    <col min="24" max="24" width="7.57142857142857" customWidth="1"/>
    <col min="25" max="25" width="6.57142857142857" bestFit="1" customWidth="1"/>
    <col min="26" max="26" width="6.14285714285714" bestFit="1" customWidth="1"/>
    <col min="27" max="28" width="6" bestFit="1" customWidth="1"/>
    <col min="29" max="29" width="5.57142857142857" bestFit="1" customWidth="1"/>
    <col min="30" max="30" width="6.57142857142857" bestFit="1" customWidth="1"/>
  </cols>
  <sheetData>
    <row r="3" spans="3:30" ht="14.4">
      <c r="C3" s="10" t="str" cm="1">
        <f t="array" ref="C3">INDEX(C5:C7,$A$4)</f>
        <v>IE</v>
      </c>
      <c r="D3" s="10" t="str" cm="1">
        <f t="array" ref="D3">INDEX(D5:D7,$A$4)</f>
        <v>National</v>
      </c>
      <c r="E3" s="10" t="str" cm="1">
        <f t="array" ref="E3">INDEX(E5:E7,$A$4)</f>
        <v>IE-CW</v>
      </c>
      <c r="F3" s="10" t="str" cm="1">
        <f t="array" ref="F3">INDEX(F5:F7,$A$4)</f>
        <v>IE-D</v>
      </c>
      <c r="G3" s="10" t="str" cm="1">
        <f t="array" ref="G3">INDEX(G5:G7,$A$4)</f>
        <v>IE-KE</v>
      </c>
      <c r="H3" s="10" t="str" cm="1">
        <f t="array" ref="H3">INDEX(H5:H7,$A$4)</f>
        <v>IE-KK</v>
      </c>
      <c r="I3" s="10" t="str" cm="1">
        <f t="array" ref="I3">INDEX(I5:I7,$A$4)</f>
        <v>IE-LS</v>
      </c>
      <c r="J3" s="10" t="str" cm="1">
        <f t="array" ref="J3">INDEX(J5:J7,$A$4)</f>
        <v>IE-LD</v>
      </c>
      <c r="K3" s="10" t="str" cm="1">
        <f t="array" ref="K3">INDEX(K5:K7,$A$4)</f>
        <v>IE-LH</v>
      </c>
      <c r="L3" s="10" t="str" cm="1">
        <f t="array" ref="L3">INDEX(L5:L7,$A$4)</f>
        <v>IE-MH</v>
      </c>
      <c r="M3" s="10" t="str" cm="1">
        <f t="array" ref="M3">INDEX(M5:M7,$A$4)</f>
        <v>IE-OY</v>
      </c>
      <c r="N3" s="10" t="str" cm="1">
        <f t="array" ref="N3">INDEX(N5:N7,$A$4)</f>
        <v>IE-WH</v>
      </c>
      <c r="O3" s="10" t="str" cm="1">
        <f t="array" ref="O3">INDEX(O5:O7,$A$4)</f>
        <v>IE-WX</v>
      </c>
      <c r="P3" s="10" t="str" cm="1">
        <f t="array" ref="P3">INDEX(P5:P7,$A$4)</f>
        <v>IE-WW</v>
      </c>
      <c r="Q3" s="10" t="str" cm="1">
        <f t="array" ref="Q3">INDEX(Q5:Q7,$A$4)</f>
        <v>IE-CE</v>
      </c>
      <c r="R3" s="10" t="str" cm="1">
        <f t="array" ref="R3">INDEX(R5:R7,$A$4)</f>
        <v>IE-CO</v>
      </c>
      <c r="S3" s="10" t="str" cm="1">
        <f t="array" ref="S3">INDEX(S5:S7,$A$4)</f>
        <v>IE-KY</v>
      </c>
      <c r="T3" s="10" t="str" cm="1">
        <f t="array" ref="T3">INDEX(T5:T7,$A$4)</f>
        <v>IE-LK</v>
      </c>
      <c r="U3" s="10" t="str" cm="1">
        <f t="array" ref="U3">INDEX(U5:U7,$A$4)</f>
        <v>IE-TA</v>
      </c>
      <c r="V3" s="10" t="str" cm="1">
        <f t="array" ref="V3">INDEX(V5:V7,$A$4)</f>
        <v>IE-WD</v>
      </c>
      <c r="W3" s="10" t="str" cm="1">
        <f t="array" ref="W3">INDEX(W5:W7,$A$4)</f>
        <v>IE-G</v>
      </c>
      <c r="X3" s="10" t="str" cm="1">
        <f t="array" ref="X3">INDEX(X5:X7,$A$4)</f>
        <v>IE-LM</v>
      </c>
      <c r="Y3" s="10" t="str" cm="1">
        <f t="array" ref="Y3">INDEX(Y5:Y7,$A$4)</f>
        <v>IE-MO</v>
      </c>
      <c r="Z3" s="10" t="str" cm="1">
        <f t="array" ref="Z3">INDEX(Z5:Z7,$A$4)</f>
        <v>IE-RN</v>
      </c>
      <c r="AA3" s="10" t="str" cm="1">
        <f t="array" ref="AA3">INDEX(AA5:AA7,$A$4)</f>
        <v>IE-SO</v>
      </c>
      <c r="AB3" s="10" t="str" cm="1">
        <f t="array" ref="AB3">INDEX(AB5:AB7,$A$4)</f>
        <v>IE-CN</v>
      </c>
      <c r="AC3" s="10" t="str" cm="1">
        <f t="array" ref="AC3">INDEX(AC5:AC7,$A$4)</f>
        <v>IE-DL</v>
      </c>
      <c r="AD3" s="10" t="str" cm="1">
        <f t="array" ref="AD3">INDEX(AD5:AD7,$A$4)</f>
        <v>IE-MN</v>
      </c>
    </row>
    <row r="4" spans="1:1" ht="14.4">
      <c r="A4">
        <v>1</v>
      </c>
    </row>
    <row r="5" spans="1:30" ht="14.4">
      <c r="A5" t="s">
        <v>60</v>
      </c>
      <c r="C5" s="11" t="s">
        <v>61</v>
      </c>
      <c r="D5" s="11" t="s">
        <v>62</v>
      </c>
      <c r="E5" s="10" t="str">
        <f>Regions!A11</f>
        <v>IE-CW</v>
      </c>
      <c r="F5" s="10" t="str">
        <f>Regions!A16</f>
        <v>IE-D</v>
      </c>
      <c r="G5" s="10" t="str">
        <f>Regions!A19</f>
        <v>IE-KE</v>
      </c>
      <c r="H5" s="10" t="str">
        <f>Regions!A20</f>
        <v>IE-KK</v>
      </c>
      <c r="I5" s="10" t="str">
        <f>Regions!A21</f>
        <v>IE-LS</v>
      </c>
      <c r="J5" s="10" t="str">
        <f>Regions!A24</f>
        <v>IE-LD</v>
      </c>
      <c r="K5" s="10" t="str">
        <f>Regions!A25</f>
        <v>IE-LH</v>
      </c>
      <c r="L5" s="10" t="str">
        <f>Regions!A27</f>
        <v>IE-MH</v>
      </c>
      <c r="M5" s="10" t="str">
        <f>Regions!A29</f>
        <v>IE-OY</v>
      </c>
      <c r="N5" s="10" t="str">
        <f>Regions!A34</f>
        <v>IE-WH</v>
      </c>
      <c r="O5" s="10" t="str">
        <f>Regions!A35</f>
        <v>IE-WX</v>
      </c>
      <c r="P5" s="10" t="str">
        <f>Regions!A36</f>
        <v>IE-WW</v>
      </c>
      <c r="Q5" s="10" t="str">
        <f>Regions!A13</f>
        <v>IE-CE</v>
      </c>
      <c r="R5" s="10" t="str">
        <f>Regions!A14</f>
        <v>IE-CO</v>
      </c>
      <c r="S5" s="10" t="str">
        <f>Regions!A18</f>
        <v>IE-KY</v>
      </c>
      <c r="T5" s="10" t="str">
        <f>Regions!A23</f>
        <v>IE-LK</v>
      </c>
      <c r="U5" s="10" t="str">
        <f>Regions!A32</f>
        <v>IE-TA</v>
      </c>
      <c r="V5" s="10" t="str">
        <f>Regions!A33</f>
        <v>IE-WD</v>
      </c>
      <c r="W5" s="10" t="str">
        <f>Regions!A17</f>
        <v>IE-G</v>
      </c>
      <c r="X5" s="10" t="str">
        <f>Regions!A22</f>
        <v>IE-LM</v>
      </c>
      <c r="Y5" s="10" t="str">
        <f>Regions!A26</f>
        <v>IE-MO</v>
      </c>
      <c r="Z5" s="10" t="str">
        <f>Regions!A30</f>
        <v>IE-RN</v>
      </c>
      <c r="AA5" s="10" t="str">
        <f>Regions!A31</f>
        <v>IE-SO</v>
      </c>
      <c r="AB5" s="10" t="str">
        <f>Regions!A12</f>
        <v>IE-CN</v>
      </c>
      <c r="AC5" s="10" t="str">
        <f>Regions!A15</f>
        <v>IE-DL</v>
      </c>
      <c r="AD5" s="10" t="str">
        <f>Regions!A28</f>
        <v>IE-MN</v>
      </c>
    </row>
    <row r="6" spans="1:30" ht="14.4">
      <c r="A6" t="s">
        <v>63</v>
      </c>
      <c r="C6" s="10" t="str">
        <f>C5</f>
        <v>IE</v>
      </c>
      <c r="D6" s="10" t="str">
        <f>"*"&amp;D5</f>
        <v>*National</v>
      </c>
      <c r="E6" s="10" t="str">
        <f t="shared" si="0" ref="E6:AD6">"*"&amp;E5</f>
        <v>*IE-CW</v>
      </c>
      <c r="F6" s="10" t="str">
        <f t="shared" si="0"/>
        <v>*IE-D</v>
      </c>
      <c r="G6" s="10" t="str">
        <f t="shared" si="0"/>
        <v>*IE-KE</v>
      </c>
      <c r="H6" s="10" t="str">
        <f t="shared" si="0"/>
        <v>*IE-KK</v>
      </c>
      <c r="I6" s="10" t="str">
        <f t="shared" si="0"/>
        <v>*IE-LS</v>
      </c>
      <c r="J6" s="10" t="str">
        <f t="shared" si="0"/>
        <v>*IE-LD</v>
      </c>
      <c r="K6" s="10" t="str">
        <f t="shared" si="0"/>
        <v>*IE-LH</v>
      </c>
      <c r="L6" s="10" t="str">
        <f t="shared" si="0"/>
        <v>*IE-MH</v>
      </c>
      <c r="M6" s="10" t="str">
        <f t="shared" si="0"/>
        <v>*IE-OY</v>
      </c>
      <c r="N6" s="10" t="str">
        <f t="shared" si="0"/>
        <v>*IE-WH</v>
      </c>
      <c r="O6" s="10" t="str">
        <f t="shared" si="0"/>
        <v>*IE-WX</v>
      </c>
      <c r="P6" s="10" t="str">
        <f t="shared" si="0"/>
        <v>*IE-WW</v>
      </c>
      <c r="Q6" s="10" t="str">
        <f t="shared" si="0"/>
        <v>*IE-CE</v>
      </c>
      <c r="R6" s="10" t="str">
        <f t="shared" si="0"/>
        <v>*IE-CO</v>
      </c>
      <c r="S6" s="10" t="str">
        <f t="shared" si="0"/>
        <v>*IE-KY</v>
      </c>
      <c r="T6" s="10" t="str">
        <f t="shared" si="0"/>
        <v>*IE-LK</v>
      </c>
      <c r="U6" s="10" t="str">
        <f t="shared" si="0"/>
        <v>*IE-TA</v>
      </c>
      <c r="V6" s="10" t="str">
        <f t="shared" si="0"/>
        <v>*IE-WD</v>
      </c>
      <c r="W6" s="10" t="str">
        <f t="shared" si="0"/>
        <v>*IE-G</v>
      </c>
      <c r="X6" s="10" t="str">
        <f t="shared" si="0"/>
        <v>*IE-LM</v>
      </c>
      <c r="Y6" s="10" t="str">
        <f t="shared" si="0"/>
        <v>*IE-MO</v>
      </c>
      <c r="Z6" s="10" t="str">
        <f t="shared" si="0"/>
        <v>*IE-RN</v>
      </c>
      <c r="AA6" s="10" t="str">
        <f t="shared" si="0"/>
        <v>*IE-SO</v>
      </c>
      <c r="AB6" s="10" t="str">
        <f t="shared" si="0"/>
        <v>*IE-CN</v>
      </c>
      <c r="AC6" s="10" t="str">
        <f t="shared" si="0"/>
        <v>*IE-DL</v>
      </c>
      <c r="AD6" s="10" t="str">
        <f t="shared" si="0"/>
        <v>*IE-MN</v>
      </c>
    </row>
    <row r="7" spans="1:30" ht="14.4">
      <c r="A7" t="s">
        <v>64</v>
      </c>
      <c r="C7" s="10" t="str">
        <f>"*"&amp;C5</f>
        <v>*IE</v>
      </c>
      <c r="D7" s="10" t="str">
        <f>D5</f>
        <v>National</v>
      </c>
      <c r="E7" s="10" t="str">
        <f t="shared" si="1" ref="E7:AD7">E5</f>
        <v>IE-CW</v>
      </c>
      <c r="F7" s="10" t="str">
        <f t="shared" si="1"/>
        <v>IE-D</v>
      </c>
      <c r="G7" s="10" t="str">
        <f t="shared" si="1"/>
        <v>IE-KE</v>
      </c>
      <c r="H7" s="10" t="str">
        <f t="shared" si="1"/>
        <v>IE-KK</v>
      </c>
      <c r="I7" s="10" t="str">
        <f t="shared" si="1"/>
        <v>IE-LS</v>
      </c>
      <c r="J7" s="10" t="str">
        <f t="shared" si="1"/>
        <v>IE-LD</v>
      </c>
      <c r="K7" s="10" t="str">
        <f t="shared" si="1"/>
        <v>IE-LH</v>
      </c>
      <c r="L7" s="10" t="str">
        <f t="shared" si="1"/>
        <v>IE-MH</v>
      </c>
      <c r="M7" s="10" t="str">
        <f t="shared" si="1"/>
        <v>IE-OY</v>
      </c>
      <c r="N7" s="10" t="str">
        <f t="shared" si="1"/>
        <v>IE-WH</v>
      </c>
      <c r="O7" s="10" t="str">
        <f t="shared" si="1"/>
        <v>IE-WX</v>
      </c>
      <c r="P7" s="10" t="str">
        <f t="shared" si="1"/>
        <v>IE-WW</v>
      </c>
      <c r="Q7" s="10" t="str">
        <f t="shared" si="1"/>
        <v>IE-CE</v>
      </c>
      <c r="R7" s="10" t="str">
        <f t="shared" si="1"/>
        <v>IE-CO</v>
      </c>
      <c r="S7" s="10" t="str">
        <f t="shared" si="1"/>
        <v>IE-KY</v>
      </c>
      <c r="T7" s="10" t="str">
        <f t="shared" si="1"/>
        <v>IE-LK</v>
      </c>
      <c r="U7" s="10" t="str">
        <f t="shared" si="1"/>
        <v>IE-TA</v>
      </c>
      <c r="V7" s="10" t="str">
        <f t="shared" si="1"/>
        <v>IE-WD</v>
      </c>
      <c r="W7" s="10" t="str">
        <f t="shared" si="1"/>
        <v>IE-G</v>
      </c>
      <c r="X7" s="10" t="str">
        <f t="shared" si="1"/>
        <v>IE-LM</v>
      </c>
      <c r="Y7" s="10" t="str">
        <f t="shared" si="1"/>
        <v>IE-MO</v>
      </c>
      <c r="Z7" s="10" t="str">
        <f t="shared" si="1"/>
        <v>IE-RN</v>
      </c>
      <c r="AA7" s="10" t="str">
        <f t="shared" si="1"/>
        <v>IE-SO</v>
      </c>
      <c r="AB7" s="10" t="str">
        <f t="shared" si="1"/>
        <v>IE-CN</v>
      </c>
      <c r="AC7" s="10" t="str">
        <f t="shared" si="1"/>
        <v>IE-DL</v>
      </c>
      <c r="AD7" s="10" t="str">
        <f t="shared" si="1"/>
        <v>IE-MN</v>
      </c>
    </row>
    <row r="10" spans="1:2" ht="15" thickBot="1">
      <c r="A10" s="12" t="s">
        <v>65</v>
      </c>
      <c r="B10" s="12" t="s">
        <v>66</v>
      </c>
    </row>
    <row r="11" spans="1:2" ht="14.4">
      <c r="A11" s="13" t="s">
        <v>67</v>
      </c>
      <c r="B11" s="13" t="s">
        <v>68</v>
      </c>
    </row>
    <row r="12" spans="1:2" ht="14.4">
      <c r="A12" s="14" t="s">
        <v>69</v>
      </c>
      <c r="B12" s="14" t="s">
        <v>70</v>
      </c>
    </row>
    <row r="13" spans="1:2" ht="14.4">
      <c r="A13" s="14" t="s">
        <v>71</v>
      </c>
      <c r="B13" s="14" t="s">
        <v>72</v>
      </c>
    </row>
    <row r="14" spans="1:2" ht="14.4">
      <c r="A14" s="14" t="s">
        <v>73</v>
      </c>
      <c r="B14" s="14" t="s">
        <v>74</v>
      </c>
    </row>
    <row r="15" spans="1:2" ht="14.4">
      <c r="A15" s="14" t="s">
        <v>75</v>
      </c>
      <c r="B15" s="14" t="s">
        <v>76</v>
      </c>
    </row>
    <row r="16" spans="1:2" ht="14.4">
      <c r="A16" s="14" t="s">
        <v>77</v>
      </c>
      <c r="B16" s="14" t="s">
        <v>78</v>
      </c>
    </row>
    <row r="17" spans="1:2" ht="14.4">
      <c r="A17" s="14" t="s">
        <v>79</v>
      </c>
      <c r="B17" s="14" t="s">
        <v>80</v>
      </c>
    </row>
    <row r="18" spans="1:2" ht="14.4">
      <c r="A18" s="14" t="s">
        <v>81</v>
      </c>
      <c r="B18" s="14" t="s">
        <v>82</v>
      </c>
    </row>
    <row r="19" spans="1:2" ht="14.4">
      <c r="A19" s="14" t="s">
        <v>83</v>
      </c>
      <c r="B19" s="14" t="s">
        <v>84</v>
      </c>
    </row>
    <row r="20" spans="1:2" ht="14.4">
      <c r="A20" s="14" t="s">
        <v>85</v>
      </c>
      <c r="B20" s="14" t="s">
        <v>86</v>
      </c>
    </row>
    <row r="21" spans="1:2" ht="14.4">
      <c r="A21" s="14" t="s">
        <v>87</v>
      </c>
      <c r="B21" s="14" t="s">
        <v>88</v>
      </c>
    </row>
    <row r="22" spans="1:2" ht="14.4">
      <c r="A22" s="14" t="s">
        <v>89</v>
      </c>
      <c r="B22" s="14" t="s">
        <v>90</v>
      </c>
    </row>
    <row r="23" spans="1:2" ht="14.4">
      <c r="A23" s="14" t="s">
        <v>91</v>
      </c>
      <c r="B23" s="14" t="s">
        <v>92</v>
      </c>
    </row>
    <row r="24" spans="1:2" ht="14.4">
      <c r="A24" s="14" t="s">
        <v>93</v>
      </c>
      <c r="B24" s="14" t="s">
        <v>94</v>
      </c>
    </row>
    <row r="25" spans="1:2" ht="14.4">
      <c r="A25" s="14" t="s">
        <v>95</v>
      </c>
      <c r="B25" s="14" t="s">
        <v>96</v>
      </c>
    </row>
    <row r="26" spans="1:2" ht="14.4">
      <c r="A26" s="14" t="s">
        <v>97</v>
      </c>
      <c r="B26" s="14" t="s">
        <v>98</v>
      </c>
    </row>
    <row r="27" spans="1:2" ht="14.4">
      <c r="A27" s="14" t="s">
        <v>99</v>
      </c>
      <c r="B27" s="14" t="s">
        <v>100</v>
      </c>
    </row>
    <row r="28" spans="1:2" ht="14.4">
      <c r="A28" s="14" t="s">
        <v>101</v>
      </c>
      <c r="B28" s="14" t="s">
        <v>102</v>
      </c>
    </row>
    <row r="29" spans="1:2" ht="14.4">
      <c r="A29" s="14" t="s">
        <v>103</v>
      </c>
      <c r="B29" s="14" t="s">
        <v>104</v>
      </c>
    </row>
    <row r="30" spans="1:2" ht="14.4">
      <c r="A30" s="14" t="s">
        <v>105</v>
      </c>
      <c r="B30" s="14" t="s">
        <v>106</v>
      </c>
    </row>
    <row r="31" spans="1:2" ht="14.4">
      <c r="A31" s="14" t="s">
        <v>107</v>
      </c>
      <c r="B31" s="14" t="s">
        <v>108</v>
      </c>
    </row>
    <row r="32" spans="1:2" ht="14.4">
      <c r="A32" s="14" t="s">
        <v>109</v>
      </c>
      <c r="B32" s="14" t="s">
        <v>110</v>
      </c>
    </row>
    <row r="33" spans="1:2" ht="14.4">
      <c r="A33" s="14" t="s">
        <v>111</v>
      </c>
      <c r="B33" s="14" t="s">
        <v>112</v>
      </c>
    </row>
    <row r="34" spans="1:2" ht="14.4">
      <c r="A34" s="14" t="s">
        <v>113</v>
      </c>
      <c r="B34" s="14" t="s">
        <v>114</v>
      </c>
    </row>
    <row r="35" spans="1:2" ht="14.4">
      <c r="A35" s="14" t="s">
        <v>115</v>
      </c>
      <c r="B35" s="14" t="s">
        <v>116</v>
      </c>
    </row>
    <row r="36" spans="1:2" ht="14.4">
      <c r="A36" s="14" t="s">
        <v>117</v>
      </c>
      <c r="B36" s="14" t="s">
        <v>118</v>
      </c>
    </row>
    <row r="37" spans="1:1" ht="14.4">
      <c r="A37" s="15" t="s">
        <v>119</v>
      </c>
    </row>
  </sheetData>
  <pageMargins left="0.7" right="0.7" top="0.75" bottom="0.75" header="0.3" footer="0.3"/>
  <pageSetup orientation="portrait" paperSize="1" r:id="rId4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1" name="Drop Down 1">
              <controlPr defaultSize="0" autoLine="0" linkedCell="$A$4" listFillRange="$A$5:$A$7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1</xdr:col>
                    <xdr:colOff>30480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6A0F302-0FC9-4419-92C9-88707DA311BD}">
  <dimension ref="B2:N23"/>
  <sheetViews>
    <sheetView workbookViewId="0" topLeftCell="A4">
      <selection pane="topLeft" activeCell="D7" sqref="D7"/>
    </sheetView>
  </sheetViews>
  <sheetFormatPr defaultRowHeight="14.4"/>
  <cols>
    <col min="2" max="2" width="10.4285714285714" customWidth="1"/>
    <col min="3" max="3" width="13.2857142857143" customWidth="1"/>
    <col min="4" max="4" width="10.5714285714286" bestFit="1" customWidth="1"/>
    <col min="13" max="13" width="12.2857142857143" bestFit="1" customWidth="1"/>
  </cols>
  <sheetData>
    <row r="2" spans="2:4" ht="14.4">
      <c r="B2" s="54" t="s">
        <v>169</v>
      </c>
      <c r="C2" s="16"/>
      <c r="D2" s="16"/>
    </row>
    <row r="3" spans="2:3" ht="14.4">
      <c r="B3" s="55">
        <v>2018</v>
      </c>
      <c r="C3" s="79" t="s">
        <v>170</v>
      </c>
    </row>
    <row r="4" spans="2:13" ht="14.4">
      <c r="B4" s="55">
        <v>2019</v>
      </c>
      <c r="C4" s="79" t="s">
        <v>171</v>
      </c>
      <c r="L4" s="78" t="s">
        <v>186</v>
      </c>
      <c r="M4" s="77"/>
    </row>
    <row r="5" spans="2:13" ht="14.4">
      <c r="B5" s="55">
        <v>2020</v>
      </c>
      <c r="C5" s="79" t="s">
        <v>172</v>
      </c>
      <c r="M5" s="76">
        <v>2023</v>
      </c>
    </row>
    <row r="6" spans="2:13" ht="14.4">
      <c r="B6" s="55">
        <v>2021</v>
      </c>
      <c r="C6" s="79">
        <v>6229365131.5</v>
      </c>
      <c r="L6" s="80" t="s">
        <v>179</v>
      </c>
      <c r="M6" s="81">
        <v>518201145</v>
      </c>
    </row>
    <row r="7" spans="2:13" ht="14.4">
      <c r="B7" s="55">
        <v>2022</v>
      </c>
      <c r="C7" s="79">
        <v>6451608601.5</v>
      </c>
      <c r="L7" s="80" t="s">
        <v>180</v>
      </c>
      <c r="M7" s="81">
        <v>556859570</v>
      </c>
    </row>
    <row r="8" spans="2:13" ht="14.4">
      <c r="B8" s="56">
        <v>2023</v>
      </c>
      <c r="C8" s="87">
        <v>6475109627</v>
      </c>
      <c r="D8" s="16"/>
      <c r="L8" s="80" t="s">
        <v>181</v>
      </c>
      <c r="M8" s="81">
        <v>588864700</v>
      </c>
    </row>
    <row r="9" spans="2:13" ht="14.4">
      <c r="B9" s="55" t="s">
        <v>173</v>
      </c>
      <c r="L9" s="80" t="s">
        <v>182</v>
      </c>
      <c r="M9" s="81">
        <v>524796709</v>
      </c>
    </row>
    <row r="10" spans="12:13" ht="14.4">
      <c r="L10" s="80" t="s">
        <v>183</v>
      </c>
      <c r="M10" s="81">
        <v>579783045</v>
      </c>
    </row>
    <row r="11" spans="2:13" ht="14.4">
      <c r="B11" s="54" t="s">
        <v>174</v>
      </c>
      <c r="C11" s="16"/>
      <c r="D11" s="16"/>
      <c r="L11" s="80" t="s">
        <v>184</v>
      </c>
      <c r="M11" s="81">
        <v>471189517</v>
      </c>
    </row>
    <row r="12" spans="3:13" ht="14.4">
      <c r="C12" s="57" t="s">
        <v>175</v>
      </c>
      <c r="L12" s="80" t="s">
        <v>185</v>
      </c>
      <c r="M12" s="81">
        <v>486002182</v>
      </c>
    </row>
    <row r="13" spans="2:3" ht="14.4">
      <c r="B13" t="s">
        <v>176</v>
      </c>
      <c r="C13" s="58">
        <f>C6/C3</f>
        <v>0.93239851083296788</v>
      </c>
    </row>
    <row r="14" spans="2:12" ht="14.4">
      <c r="B14" t="s">
        <v>177</v>
      </c>
      <c r="C14" s="83">
        <f>C6/C5</f>
        <v>1.0157938433834641</v>
      </c>
      <c r="L14" s="75" t="s">
        <v>187</v>
      </c>
    </row>
    <row r="15" spans="2:14" ht="14.4">
      <c r="B15" t="s">
        <v>189</v>
      </c>
      <c r="C15" s="58">
        <f>C7/C3</f>
        <v>0.96566345454649427</v>
      </c>
      <c r="L15">
        <v>2023</v>
      </c>
      <c r="M15" s="74">
        <f>SUM(M6:M12)</f>
        <v>3725696868</v>
      </c>
      <c r="N15" t="s">
        <v>188</v>
      </c>
    </row>
    <row r="16" spans="2:14" ht="14.4">
      <c r="B16" t="s">
        <v>190</v>
      </c>
      <c r="C16" s="58">
        <f>1+N16</f>
        <v>1.0186952818999766</v>
      </c>
      <c r="L16">
        <v>2022</v>
      </c>
      <c r="M16" s="74">
        <v>3657322198.5</v>
      </c>
      <c r="N16" s="82">
        <f>(M15-M16)/M16</f>
        <v>0.018695281899976688</v>
      </c>
    </row>
    <row r="17" spans="2:14" ht="14.4">
      <c r="B17" t="s">
        <v>207</v>
      </c>
      <c r="C17" s="58">
        <f>C7/C6</f>
        <v>1.0356767447899597</v>
      </c>
      <c r="L17">
        <v>2021</v>
      </c>
      <c r="M17" s="74">
        <v>3460486912</v>
      </c>
      <c r="N17" s="82">
        <f>(M15-M17)/M17</f>
        <v>0.076639491130663179</v>
      </c>
    </row>
    <row r="19" spans="2:2" ht="14.4">
      <c r="B19" t="s">
        <v>178</v>
      </c>
    </row>
    <row r="20" spans="3:4" ht="14.4">
      <c r="C20">
        <v>2018</v>
      </c>
      <c r="D20">
        <v>2021</v>
      </c>
    </row>
    <row r="21" spans="2:4" ht="14.4">
      <c r="B21" t="s">
        <v>35</v>
      </c>
      <c r="C21" s="59">
        <v>14.5565610923972</v>
      </c>
      <c r="D21" s="59">
        <v>15.490769824884</v>
      </c>
    </row>
    <row r="22" spans="2:4" ht="14.4">
      <c r="B22" t="s">
        <v>37</v>
      </c>
      <c r="C22" s="59">
        <v>31.276118540281001</v>
      </c>
      <c r="D22" s="59">
        <v>33.305155123500498</v>
      </c>
    </row>
    <row r="23" spans="2:4" ht="14.4">
      <c r="B23" t="s">
        <v>39</v>
      </c>
      <c r="C23" s="59">
        <v>27.131577542973599</v>
      </c>
      <c r="D23" s="59">
        <v>28.657924176035301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BY-Demands</vt:lpstr>
      <vt:lpstr>REG_TRA_DEMANDS</vt:lpstr>
      <vt:lpstr>DEMANDS</vt:lpstr>
      <vt:lpstr>Regions</vt:lpstr>
      <vt:lpstr>TRA-2021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Ankita Singh Gaur</dc:creator>
  <cp:keywords/>
  <dc:description/>
  <cp:lastModifiedBy>Vahid Aryanpur</cp:lastModifiedBy>
  <dcterms:created xsi:type="dcterms:W3CDTF">2021-02-23T14:14:01Z</dcterms:created>
  <dcterms:modified xsi:type="dcterms:W3CDTF">2026-08-06T10:18:41Z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688121974468231</vt:r8>
  </property>
</Properties>
</file>