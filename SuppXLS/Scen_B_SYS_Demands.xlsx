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Default Extension="jpeg" ContentType="image/jpeg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Default Extension="vml" ContentType="application/vnd.openxmlformats-officedocument.vmlDrawing"/>
  <Override PartName="/xl/worksheets/sheet4.xml" ContentType="application/vnd.openxmlformats-officedocument.spreadsheetml.worksheet+xml"/>
  <Override PartName="/xl/ctrProps/ctrProp1.xml" ContentType="application/vnd.ms-excel.controlproperties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8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firstSheet="1" activeTab="3"/>
  </bookViews>
  <sheets>
    <sheet name="Cover" sheetId="5" r:id="rId4"/>
    <sheet name="BY-Demands" sheetId="4" r:id="rId5"/>
    <sheet name="REG_TRA_DEMANDS" sheetId="3" r:id="rId6"/>
    <sheet name="DEMANDS" sheetId="1" r:id="rId7"/>
    <sheet name="Regions" sheetId="2" r:id="rId8"/>
    <sheet name="TRA-2021" sheetId="6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I20" authorId="3" shapeId="0" xr:uid="{FA644243-5C82-49A2-9E18-155BC945F002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20" authorId="4" shapeId="0" xr:uid="{58A128E1-0CEE-4B03-8BAC-A4332CB39BA7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<sst xmlns="http://schemas.openxmlformats.org/spreadsheetml/2006/main" count="758" uniqueCount="214">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</sst>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 val="single"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359995126724"/>
      <name val="Calibri"/>
      <family val="2"/>
      <scheme val="minor"/>
    </font>
    <font>
      <b/>
      <u val="single"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359995126724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39998000860214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34000372886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</borders>
  <cellStyleXfs count="37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5" fillId="0" borderId="0">
      <alignment/>
      <protection/>
    </xf>
    <xf numFmtId="164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9" fontId="5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0" borderId="0" applyNumberFormat="0" applyFill="0" applyBorder="0" applyAlignment="0" applyProtection="0"/>
    <xf numFmtId="164" fontId="0" fillId="0" borderId="0" applyFont="0" applyFill="0" applyBorder="0" applyAlignment="0" applyProtection="0"/>
    <xf numFmtId="164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</cellStyleXfs>
  <cellXfs count="95">
    <xf numFmtId="0" fontId="0" fillId="0" borderId="0" xfId="0"/>
    <xf numFmtId="0" fontId="29" fillId="0" borderId="1" xfId="0" applyFont="1" applyBorder="1" applyAlignment="1">
      <alignment horizontal="left"/>
    </xf>
    <xf numFmtId="0" fontId="31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12" fillId="9" borderId="0" xfId="20" applyFill="1" applyAlignment="1">
      <alignment vertical="center"/>
    </xf>
    <xf numFmtId="0" fontId="13" fillId="9" borderId="0" xfId="21" applyFont="1" applyFill="1" applyAlignment="1">
      <alignment horizontal="center" vertical="center"/>
      <protection/>
    </xf>
    <xf numFmtId="0" fontId="16" fillId="9" borderId="0" xfId="21" applyFont="1" applyFill="1" applyAlignment="1">
      <alignment vertical="center"/>
      <protection/>
    </xf>
    <xf numFmtId="0" fontId="29" fillId="0" borderId="1" xfId="0" applyFont="1" applyBorder="1" applyAlignment="1">
      <alignment horizontal="left"/>
    </xf>
    <xf numFmtId="0" fontId="12" fillId="9" borderId="0" xfId="20" applyFill="1" applyAlignment="1">
      <alignment vertical="center"/>
    </xf>
    <xf numFmtId="0" fontId="16" fillId="9" borderId="0" xfId="21" applyFont="1" applyFill="1" applyAlignment="1">
      <alignment vertical="center"/>
      <protection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 applyProtection="1">
      <alignment horizontal="left" vertical="center"/>
      <protection locked="0"/>
    </xf>
    <xf numFmtId="0" fontId="3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6" fillId="12" borderId="2" xfId="0" applyFont="1" applyFill="1" applyBorder="1"/>
    <xf numFmtId="0" fontId="7" fillId="13" borderId="2" xfId="0" applyFont="1" applyFill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14" borderId="2" xfId="0" applyFont="1" applyFill="1" applyBorder="1"/>
    <xf numFmtId="0" fontId="6" fillId="13" borderId="2" xfId="0" applyFont="1" applyFill="1" applyBorder="1"/>
    <xf numFmtId="0" fontId="5" fillId="13" borderId="2" xfId="0" applyFont="1" applyFill="1" applyBorder="1"/>
    <xf numFmtId="0" fontId="6" fillId="0" borderId="0" xfId="0" applyFont="1"/>
    <xf numFmtId="2" fontId="6" fillId="15" borderId="0" xfId="0" applyNumberFormat="1" applyFont="1" applyFill="1"/>
    <xf numFmtId="0" fontId="6" fillId="15" borderId="0" xfId="0" applyFont="1" applyFill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21" applyFont="1" applyFill="1" applyAlignment="1">
      <alignment vertical="center"/>
      <protection/>
    </xf>
    <xf numFmtId="0" fontId="0" fillId="17" borderId="0" xfId="21" applyFont="1" applyFill="1" applyAlignment="1">
      <alignment vertical="center"/>
      <protection/>
    </xf>
    <xf numFmtId="0" fontId="13" fillId="17" borderId="0" xfId="21" applyFont="1" applyFill="1" applyAlignment="1">
      <alignment vertical="center"/>
      <protection/>
    </xf>
    <xf numFmtId="0" fontId="12" fillId="17" borderId="0" xfId="21" applyFont="1" applyFill="1" applyAlignment="1">
      <alignment vertical="center"/>
      <protection/>
    </xf>
    <xf numFmtId="0" fontId="0" fillId="18" borderId="0" xfId="21" applyFont="1" applyFill="1" applyAlignment="1">
      <alignment vertical="center"/>
      <protection/>
    </xf>
    <xf numFmtId="0" fontId="7" fillId="17" borderId="0" xfId="21" applyFont="1" applyFill="1" applyAlignment="1">
      <alignment vertical="center"/>
      <protection/>
    </xf>
    <xf numFmtId="0" fontId="14" fillId="17" borderId="0" xfId="21" applyFont="1" applyFill="1" applyAlignment="1">
      <alignment vertical="center"/>
      <protection/>
    </xf>
    <xf numFmtId="0" fontId="15" fillId="9" borderId="0" xfId="21" applyFont="1" applyFill="1" applyAlignment="1">
      <alignment vertical="center"/>
      <protection/>
    </xf>
    <xf numFmtId="0" fontId="16" fillId="17" borderId="0" xfId="21" applyFont="1" applyFill="1" applyAlignment="1">
      <alignment vertical="center"/>
      <protection/>
    </xf>
    <xf numFmtId="0" fontId="17" fillId="17" borderId="0" xfId="21" applyFont="1" applyFill="1" applyAlignment="1">
      <alignment vertical="center"/>
      <protection/>
    </xf>
    <xf numFmtId="166" fontId="16" fillId="9" borderId="0" xfId="21" applyNumberFormat="1" applyFont="1" applyFill="1" applyAlignment="1">
      <alignment horizontal="left" vertical="center"/>
      <protection/>
    </xf>
    <xf numFmtId="0" fontId="18" fillId="17" borderId="0" xfId="21" applyFont="1" applyFill="1" applyAlignment="1">
      <alignment vertical="center"/>
      <protection/>
    </xf>
    <xf numFmtId="0" fontId="19" fillId="9" borderId="0" xfId="21" applyFont="1" applyFill="1" applyAlignment="1">
      <alignment vertical="center"/>
      <protection/>
    </xf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  <xf numFmtId="0" fontId="3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5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2" fillId="0" borderId="1" xfId="0" applyFont="1" applyBorder="1"/>
    <xf numFmtId="3" fontId="29" fillId="0" borderId="1" xfId="0" applyNumberFormat="1" applyFont="1" applyBorder="1"/>
    <xf numFmtId="3" fontId="32" fillId="0" borderId="1" xfId="0" applyNumberFormat="1" applyFont="1" applyBorder="1"/>
    <xf numFmtId="0" fontId="32" fillId="0" borderId="0" xfId="0" applyFont="1"/>
    <xf numFmtId="3" fontId="29" fillId="0" borderId="0" xfId="0" applyNumberFormat="1" applyFont="1"/>
    <xf numFmtId="3" fontId="32" fillId="0" borderId="0" xfId="0" applyNumberFormat="1" applyFont="1"/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right" wrapText="1"/>
    </xf>
    <xf numFmtId="0" fontId="29" fillId="0" borderId="1" xfId="0" applyFont="1" applyBorder="1" applyAlignment="1">
      <alignment horizontal="right" wrapText="1"/>
    </xf>
    <xf numFmtId="0" fontId="29" fillId="0" borderId="7" xfId="0" applyFont="1" applyBorder="1" applyAlignment="1">
      <alignment horizontal="left" wrapText="1"/>
    </xf>
    <xf numFmtId="0" fontId="3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/>
    <xf numFmtId="3" fontId="0" fillId="0" borderId="0" xfId="0" applyNumberFormat="1"/>
    <xf numFmtId="0" fontId="28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3" fontId="27" fillId="0" borderId="0" xfId="0" applyNumberFormat="1" applyFont="1"/>
    <xf numFmtId="0" fontId="22" fillId="0" borderId="0" xfId="0" applyFont="1" applyAlignment="1">
      <alignment horizontal="left"/>
    </xf>
    <xf numFmtId="1" fontId="0" fillId="0" borderId="0" xfId="18" applyNumberFormat="1" applyFont="1"/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67" fontId="0" fillId="0" borderId="0" xfId="15" applyNumberFormat="1" applyFont="1"/>
    <xf numFmtId="167" fontId="0" fillId="0" borderId="0" xfId="15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6" fillId="0" borderId="0" xfId="0" applyNumberFormat="1" applyFont="1"/>
    <xf numFmtId="3" fontId="0" fillId="0" borderId="1" xfId="0" applyNumberFormat="1" applyBorder="1"/>
    <xf numFmtId="0" fontId="34" fillId="19" borderId="8" xfId="0" applyFont="1" applyFill="1" applyBorder="1" applyAlignment="1">
      <alignment horizontal="left" vertical="center"/>
    </xf>
    <xf numFmtId="171" fontId="5" fillId="0" borderId="0" xfId="0" applyNumberFormat="1" applyFont="1"/>
    <xf numFmtId="0" fontId="0" fillId="0" borderId="0" xfId="0"/>
    <xf numFmtId="0" fontId="0" fillId="16" borderId="0" xfId="0" applyFill="1"/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</cellXfs>
  <cellStyles count="35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Normal 2" xfId="21"/>
    <cellStyle name="Comma 2" xfId="22"/>
    <cellStyle name="Currency 2" xfId="23"/>
    <cellStyle name="Currency 2 2" xfId="24"/>
    <cellStyle name="Currency 3" xfId="25"/>
    <cellStyle name="Currency 4" xfId="26"/>
    <cellStyle name="Currency 4 2" xfId="27"/>
    <cellStyle name="Currency 4 3" xfId="28"/>
    <cellStyle name="Normal 10" xfId="29"/>
    <cellStyle name="Normal 10 2" xfId="30"/>
    <cellStyle name="Normal 10 2 2" xfId="31"/>
    <cellStyle name="Normal 10 2_BOS Workings" xfId="32"/>
    <cellStyle name="Normal 10 3" xfId="33"/>
    <cellStyle name="Normal 10_BOS Workings" xfId="34"/>
    <cellStyle name="Normal 100" xfId="35"/>
    <cellStyle name="Normal 100 2" xfId="36"/>
    <cellStyle name="Normal 101" xfId="37"/>
    <cellStyle name="Normal 101 2" xfId="38"/>
    <cellStyle name="Normal 102" xfId="39"/>
    <cellStyle name="Normal 102 2" xfId="40"/>
    <cellStyle name="Normal 103" xfId="41"/>
    <cellStyle name="Normal 103 2" xfId="42"/>
    <cellStyle name="Normal 104" xfId="43"/>
    <cellStyle name="Normal 104 2" xfId="44"/>
    <cellStyle name="Normal 105" xfId="45"/>
    <cellStyle name="Normal 105 2" xfId="46"/>
    <cellStyle name="Normal 106" xfId="47"/>
    <cellStyle name="Normal 106 2" xfId="48"/>
    <cellStyle name="Normal 107" xfId="49"/>
    <cellStyle name="Normal 107 2" xfId="50"/>
    <cellStyle name="Normal 108" xfId="51"/>
    <cellStyle name="Normal 108 2" xfId="52"/>
    <cellStyle name="Normal 109" xfId="53"/>
    <cellStyle name="Normal 11" xfId="54"/>
    <cellStyle name="Normal 11 2" xfId="55"/>
    <cellStyle name="Normal 11 2 2" xfId="56"/>
    <cellStyle name="Normal 11 2_BOS Workings" xfId="57"/>
    <cellStyle name="Normal 11 3" xfId="58"/>
    <cellStyle name="Normal 11_BOS Workings" xfId="59"/>
    <cellStyle name="Normal 110" xfId="60"/>
    <cellStyle name="Normal 111" xfId="61"/>
    <cellStyle name="Normal 112" xfId="62"/>
    <cellStyle name="Normal 113" xfId="63"/>
    <cellStyle name="Normal 114" xfId="64"/>
    <cellStyle name="Normal 115" xfId="65"/>
    <cellStyle name="Normal 116" xfId="66"/>
    <cellStyle name="Normal 117" xfId="67"/>
    <cellStyle name="Normal 118" xfId="68"/>
    <cellStyle name="Normal 119" xfId="69"/>
    <cellStyle name="Normal 12" xfId="70"/>
    <cellStyle name="Normal 12 2" xfId="71"/>
    <cellStyle name="Normal 12 2 2" xfId="72"/>
    <cellStyle name="Normal 12 2_BOS Workings" xfId="73"/>
    <cellStyle name="Normal 12 3" xfId="74"/>
    <cellStyle name="Normal 12_BOS Workings" xfId="75"/>
    <cellStyle name="Normal 13" xfId="76"/>
    <cellStyle name="Normal 13 2" xfId="77"/>
    <cellStyle name="Normal 13 2 2" xfId="78"/>
    <cellStyle name="Normal 13 2_BOS Workings" xfId="79"/>
    <cellStyle name="Normal 13 3" xfId="80"/>
    <cellStyle name="Normal 13_BOS Workings" xfId="81"/>
    <cellStyle name="Normal 14" xfId="82"/>
    <cellStyle name="Normal 14 2" xfId="83"/>
    <cellStyle name="Normal 14_BOS Workings" xfId="84"/>
    <cellStyle name="Normal 15" xfId="85"/>
    <cellStyle name="Normal 15 2" xfId="86"/>
    <cellStyle name="Normal 15_BOS Workings" xfId="87"/>
    <cellStyle name="Normal 16" xfId="88"/>
    <cellStyle name="Normal 16 2" xfId="89"/>
    <cellStyle name="Normal 16_BOS Workings" xfId="90"/>
    <cellStyle name="Normal 17" xfId="91"/>
    <cellStyle name="Normal 17 2" xfId="92"/>
    <cellStyle name="Normal 17_BOS Workings" xfId="93"/>
    <cellStyle name="Normal 18" xfId="94"/>
    <cellStyle name="Normal 18 2" xfId="95"/>
    <cellStyle name="Normal 18_BOS Workings" xfId="96"/>
    <cellStyle name="Normal 19" xfId="97"/>
    <cellStyle name="Normal 19 2" xfId="98"/>
    <cellStyle name="Normal 19_BOS Workings" xfId="99"/>
    <cellStyle name="Normal 2 2" xfId="100"/>
    <cellStyle name="Normal 20" xfId="101"/>
    <cellStyle name="Normal 20 2" xfId="102"/>
    <cellStyle name="Normal 20_BOS Workings" xfId="103"/>
    <cellStyle name="Normal 21" xfId="104"/>
    <cellStyle name="Normal 21 2" xfId="105"/>
    <cellStyle name="Normal 21_BOS Workings" xfId="106"/>
    <cellStyle name="Normal 22" xfId="107"/>
    <cellStyle name="Normal 22 2" xfId="108"/>
    <cellStyle name="Normal 22_BOS Workings" xfId="109"/>
    <cellStyle name="Normal 23" xfId="110"/>
    <cellStyle name="Normal 23 2" xfId="111"/>
    <cellStyle name="Normal 23_BOS Workings" xfId="112"/>
    <cellStyle name="Normal 24" xfId="113"/>
    <cellStyle name="Normal 24 2" xfId="114"/>
    <cellStyle name="Normal 24_BOS Workings" xfId="115"/>
    <cellStyle name="Normal 25" xfId="116"/>
    <cellStyle name="Normal 25 2" xfId="117"/>
    <cellStyle name="Normal 25_BOS Workings" xfId="118"/>
    <cellStyle name="Normal 26" xfId="119"/>
    <cellStyle name="Normal 26 2" xfId="120"/>
    <cellStyle name="Normal 26_BOS Workings" xfId="121"/>
    <cellStyle name="Normal 27" xfId="122"/>
    <cellStyle name="Normal 27 2" xfId="123"/>
    <cellStyle name="Normal 27_BOS Workings" xfId="124"/>
    <cellStyle name="Normal 28" xfId="125"/>
    <cellStyle name="Normal 28 2" xfId="126"/>
    <cellStyle name="Normal 28_BOS Workings" xfId="127"/>
    <cellStyle name="Normal 29" xfId="128"/>
    <cellStyle name="Normal 29 2" xfId="129"/>
    <cellStyle name="Normal 29_BOS Workings" xfId="130"/>
    <cellStyle name="Normal 3" xfId="131"/>
    <cellStyle name="Normal 3 2" xfId="132"/>
    <cellStyle name="Normal 30" xfId="133"/>
    <cellStyle name="Normal 30 2" xfId="134"/>
    <cellStyle name="Normal 30_BOS Workings" xfId="135"/>
    <cellStyle name="Normal 31" xfId="136"/>
    <cellStyle name="Normal 31 2" xfId="137"/>
    <cellStyle name="Normal 31_BOS Workings" xfId="138"/>
    <cellStyle name="Normal 32" xfId="139"/>
    <cellStyle name="Normal 32 2" xfId="140"/>
    <cellStyle name="Normal 32_BOS Workings" xfId="141"/>
    <cellStyle name="Normal 33" xfId="142"/>
    <cellStyle name="Normal 33 2" xfId="143"/>
    <cellStyle name="Normal 33_BOS Workings" xfId="144"/>
    <cellStyle name="Normal 34" xfId="145"/>
    <cellStyle name="Normal 34 2" xfId="146"/>
    <cellStyle name="Normal 34_BOS Workings" xfId="147"/>
    <cellStyle name="Normal 35" xfId="148"/>
    <cellStyle name="Normal 35 2" xfId="149"/>
    <cellStyle name="Normal 35_BOS Workings" xfId="150"/>
    <cellStyle name="Normal 36" xfId="151"/>
    <cellStyle name="Normal 36 2" xfId="152"/>
    <cellStyle name="Normal 36_BOS Workings" xfId="153"/>
    <cellStyle name="Normal 37" xfId="154"/>
    <cellStyle name="Normal 37 2" xfId="155"/>
    <cellStyle name="Normal 37_BOS Workings" xfId="156"/>
    <cellStyle name="Normal 38" xfId="157"/>
    <cellStyle name="Normal 38 2" xfId="158"/>
    <cellStyle name="Normal 38_BOS Workings" xfId="159"/>
    <cellStyle name="Normal 39" xfId="160"/>
    <cellStyle name="Normal 39 2" xfId="161"/>
    <cellStyle name="Normal 39_BOS Workings" xfId="162"/>
    <cellStyle name="Normal 4" xfId="163"/>
    <cellStyle name="Normal 4 2" xfId="164"/>
    <cellStyle name="Normal 4 3" xfId="165"/>
    <cellStyle name="Normal 4_BOS Workings" xfId="166"/>
    <cellStyle name="Normal 40" xfId="167"/>
    <cellStyle name="Normal 40 2" xfId="168"/>
    <cellStyle name="Normal 40_BOS Workings" xfId="169"/>
    <cellStyle name="Normal 41" xfId="170"/>
    <cellStyle name="Normal 41 2" xfId="171"/>
    <cellStyle name="Normal 41_BOS Workings" xfId="172"/>
    <cellStyle name="Normal 42" xfId="173"/>
    <cellStyle name="Normal 42 2" xfId="174"/>
    <cellStyle name="Normal 42_BOS Workings" xfId="175"/>
    <cellStyle name="Normal 43" xfId="176"/>
    <cellStyle name="Normal 43 2" xfId="177"/>
    <cellStyle name="Normal 43_BOS Workings" xfId="178"/>
    <cellStyle name="Normal 44" xfId="179"/>
    <cellStyle name="Normal 44 2" xfId="180"/>
    <cellStyle name="Normal 44_BOS Workings" xfId="181"/>
    <cellStyle name="Normal 45" xfId="182"/>
    <cellStyle name="Normal 45 2" xfId="183"/>
    <cellStyle name="Normal 45_BOS Workings" xfId="184"/>
    <cellStyle name="Normal 46" xfId="185"/>
    <cellStyle name="Normal 46 2" xfId="186"/>
    <cellStyle name="Normal 46_BOS Workings" xfId="187"/>
    <cellStyle name="Normal 47" xfId="188"/>
    <cellStyle name="Normal 47 2" xfId="189"/>
    <cellStyle name="Normal 47_BOS Workings" xfId="190"/>
    <cellStyle name="Normal 48" xfId="191"/>
    <cellStyle name="Normal 48 2" xfId="192"/>
    <cellStyle name="Normal 48_BOS Workings" xfId="193"/>
    <cellStyle name="Normal 49" xfId="194"/>
    <cellStyle name="Normal 49 2" xfId="195"/>
    <cellStyle name="Normal 49_BOS Workings" xfId="196"/>
    <cellStyle name="Normal 5" xfId="197"/>
    <cellStyle name="Normal 5 2" xfId="198"/>
    <cellStyle name="Normal 5_BOS Workings" xfId="199"/>
    <cellStyle name="Normal 50" xfId="200"/>
    <cellStyle name="Normal 50 2" xfId="201"/>
    <cellStyle name="Normal 50_BOS Workings" xfId="202"/>
    <cellStyle name="Normal 51" xfId="203"/>
    <cellStyle name="Normal 51 2" xfId="204"/>
    <cellStyle name="Normal 51_BOS Workings" xfId="205"/>
    <cellStyle name="Normal 52" xfId="206"/>
    <cellStyle name="Normal 52 2" xfId="207"/>
    <cellStyle name="Normal 52_BOS Workings" xfId="208"/>
    <cellStyle name="Normal 53" xfId="209"/>
    <cellStyle name="Normal 53 2" xfId="210"/>
    <cellStyle name="Normal 53_BOS Workings" xfId="211"/>
    <cellStyle name="Normal 54" xfId="212"/>
    <cellStyle name="Normal 54 2" xfId="213"/>
    <cellStyle name="Normal 54_BOS Workings" xfId="214"/>
    <cellStyle name="Normal 55" xfId="215"/>
    <cellStyle name="Normal 55 2" xfId="216"/>
    <cellStyle name="Normal 55_BOS Workings" xfId="217"/>
    <cellStyle name="Normal 56" xfId="218"/>
    <cellStyle name="Normal 56 2" xfId="219"/>
    <cellStyle name="Normal 56_BOS Workings" xfId="220"/>
    <cellStyle name="Normal 57" xfId="221"/>
    <cellStyle name="Normal 57 2" xfId="222"/>
    <cellStyle name="Normal 57_BOS Workings" xfId="223"/>
    <cellStyle name="Normal 58" xfId="224"/>
    <cellStyle name="Normal 58 2" xfId="225"/>
    <cellStyle name="Normal 58_BOS Workings" xfId="226"/>
    <cellStyle name="Normal 59" xfId="227"/>
    <cellStyle name="Normal 59 2" xfId="228"/>
    <cellStyle name="Normal 59_BOS Workings" xfId="229"/>
    <cellStyle name="Normal 6" xfId="230"/>
    <cellStyle name="Normal 6 2" xfId="231"/>
    <cellStyle name="Normal 6_BOS Workings" xfId="232"/>
    <cellStyle name="Normal 60" xfId="233"/>
    <cellStyle name="Normal 60 2" xfId="234"/>
    <cellStyle name="Normal 60_BOS Workings" xfId="235"/>
    <cellStyle name="Normal 61" xfId="236"/>
    <cellStyle name="Normal 61 2" xfId="237"/>
    <cellStyle name="Normal 61_BOS Workings" xfId="238"/>
    <cellStyle name="Normal 62" xfId="239"/>
    <cellStyle name="Normal 62 2" xfId="240"/>
    <cellStyle name="Normal 62_BOS Workings" xfId="241"/>
    <cellStyle name="Normal 63" xfId="242"/>
    <cellStyle name="Normal 63 2" xfId="243"/>
    <cellStyle name="Normal 63_BOS Workings" xfId="244"/>
    <cellStyle name="Normal 64" xfId="245"/>
    <cellStyle name="Normal 64 2" xfId="246"/>
    <cellStyle name="Normal 64_BOS Workings" xfId="247"/>
    <cellStyle name="Normal 65" xfId="248"/>
    <cellStyle name="Normal 65 2" xfId="249"/>
    <cellStyle name="Normal 65_BOS Workings" xfId="250"/>
    <cellStyle name="Normal 66" xfId="251"/>
    <cellStyle name="Normal 66 2" xfId="252"/>
    <cellStyle name="Normal 66_BOS Workings" xfId="253"/>
    <cellStyle name="Normal 67" xfId="254"/>
    <cellStyle name="Normal 67 2" xfId="255"/>
    <cellStyle name="Normal 67_BOS Workings" xfId="256"/>
    <cellStyle name="Normal 68" xfId="257"/>
    <cellStyle name="Normal 68 2" xfId="258"/>
    <cellStyle name="Normal 68_BOS Workings" xfId="259"/>
    <cellStyle name="Normal 69" xfId="260"/>
    <cellStyle name="Normal 69 2" xfId="261"/>
    <cellStyle name="Normal 69_BOS Workings" xfId="262"/>
    <cellStyle name="Normal 7" xfId="263"/>
    <cellStyle name="Normal 7 2" xfId="264"/>
    <cellStyle name="Normal 7_BOS Workings" xfId="265"/>
    <cellStyle name="Normal 70" xfId="266"/>
    <cellStyle name="Normal 70 2" xfId="267"/>
    <cellStyle name="Normal 70_BOS Workings" xfId="268"/>
    <cellStyle name="Normal 71" xfId="269"/>
    <cellStyle name="Normal 71 2" xfId="270"/>
    <cellStyle name="Normal 71_BOS Workings" xfId="271"/>
    <cellStyle name="Normal 72" xfId="272"/>
    <cellStyle name="Normal 72 2" xfId="273"/>
    <cellStyle name="Normal 72_BOS Workings" xfId="274"/>
    <cellStyle name="Normal 73" xfId="275"/>
    <cellStyle name="Normal 73 2" xfId="276"/>
    <cellStyle name="Normal 73_BOS Workings" xfId="277"/>
    <cellStyle name="Normal 74" xfId="278"/>
    <cellStyle name="Normal 74 2" xfId="279"/>
    <cellStyle name="Normal 74_BOS Workings" xfId="280"/>
    <cellStyle name="Normal 75" xfId="281"/>
    <cellStyle name="Normal 75 2" xfId="282"/>
    <cellStyle name="Normal 75_BOS Workings" xfId="283"/>
    <cellStyle name="Normal 76" xfId="284"/>
    <cellStyle name="Normal 76 2" xfId="285"/>
    <cellStyle name="Normal 76_BOS Workings" xfId="286"/>
    <cellStyle name="Normal 77" xfId="287"/>
    <cellStyle name="Normal 77 2" xfId="288"/>
    <cellStyle name="Normal 77_BOS Workings" xfId="289"/>
    <cellStyle name="Normal 78" xfId="290"/>
    <cellStyle name="Normal 78 2" xfId="291"/>
    <cellStyle name="Normal 78_BOS Workings" xfId="292"/>
    <cellStyle name="Normal 79" xfId="293"/>
    <cellStyle name="Normal 79 2" xfId="294"/>
    <cellStyle name="Normal 79_BOS Workings" xfId="295"/>
    <cellStyle name="Normal 8" xfId="296"/>
    <cellStyle name="Normal 8 2" xfId="297"/>
    <cellStyle name="Normal 8_BOS Workings" xfId="298"/>
    <cellStyle name="Normal 80" xfId="299"/>
    <cellStyle name="Normal 80 2" xfId="300"/>
    <cellStyle name="Normal 80_BOS Workings" xfId="301"/>
    <cellStyle name="Normal 81" xfId="302"/>
    <cellStyle name="Normal 81 2" xfId="303"/>
    <cellStyle name="Normal 81_BOS Workings" xfId="304"/>
    <cellStyle name="Normal 82" xfId="305"/>
    <cellStyle name="Normal 82 2" xfId="306"/>
    <cellStyle name="Normal 82_BOS Workings" xfId="307"/>
    <cellStyle name="Normal 83" xfId="308"/>
    <cellStyle name="Normal 83 2" xfId="309"/>
    <cellStyle name="Normal 83_BOS Workings" xfId="310"/>
    <cellStyle name="Normal 84" xfId="311"/>
    <cellStyle name="Normal 84 2" xfId="312"/>
    <cellStyle name="Normal 84_BOS Workings" xfId="313"/>
    <cellStyle name="Normal 85" xfId="314"/>
    <cellStyle name="Normal 85 2" xfId="315"/>
    <cellStyle name="Normal 85_BOS Workings" xfId="316"/>
    <cellStyle name="Normal 86" xfId="317"/>
    <cellStyle name="Normal 86 2" xfId="318"/>
    <cellStyle name="Normal 86_BOS Workings" xfId="319"/>
    <cellStyle name="Normal 87" xfId="320"/>
    <cellStyle name="Normal 87 2" xfId="321"/>
    <cellStyle name="Normal 87_BOS Workings" xfId="322"/>
    <cellStyle name="Normal 88" xfId="323"/>
    <cellStyle name="Normal 88 2" xfId="324"/>
    <cellStyle name="Normal 88_BOS Workings" xfId="325"/>
    <cellStyle name="Normal 89" xfId="326"/>
    <cellStyle name="Normal 89 2" xfId="327"/>
    <cellStyle name="Normal 89_BOS Workings" xfId="328"/>
    <cellStyle name="Normal 9" xfId="329"/>
    <cellStyle name="Normal 9 2" xfId="330"/>
    <cellStyle name="Normal 9 3" xfId="331"/>
    <cellStyle name="Normal 9 3 2" xfId="332"/>
    <cellStyle name="Normal 9 3_BOS Workings" xfId="333"/>
    <cellStyle name="Normal 90" xfId="334"/>
    <cellStyle name="Normal 90 2" xfId="335"/>
    <cellStyle name="Normal 91" xfId="336"/>
    <cellStyle name="Normal 91 2" xfId="337"/>
    <cellStyle name="Normal 92" xfId="338"/>
    <cellStyle name="Normal 92 2" xfId="339"/>
    <cellStyle name="Normal 93" xfId="340"/>
    <cellStyle name="Normal 93 2" xfId="341"/>
    <cellStyle name="Normal 94" xfId="342"/>
    <cellStyle name="Normal 94 2" xfId="343"/>
    <cellStyle name="Normal 95" xfId="344"/>
    <cellStyle name="Normal 95 2" xfId="345"/>
    <cellStyle name="Normal 95 3" xfId="346"/>
    <cellStyle name="Normal 96" xfId="347"/>
    <cellStyle name="Normal 96 2" xfId="348"/>
    <cellStyle name="Normal 96 3" xfId="349"/>
    <cellStyle name="Normal 97" xfId="350"/>
    <cellStyle name="Normal 97 2" xfId="351"/>
    <cellStyle name="Normal 98" xfId="352"/>
    <cellStyle name="Normal 98 2" xfId="353"/>
    <cellStyle name="Normal 99" xfId="354"/>
    <cellStyle name="Normal 99 2" xfId="355"/>
    <cellStyle name="Percent 2" xfId="356"/>
    <cellStyle name="60% - Accent6 2" xfId="357"/>
    <cellStyle name="60% - Accent5 2" xfId="358"/>
    <cellStyle name="60% - Accent4 2" xfId="359"/>
    <cellStyle name="60% - Accent3 2" xfId="360"/>
    <cellStyle name="60% - Accent2 2" xfId="361"/>
    <cellStyle name="60% - Accent1 2" xfId="362"/>
    <cellStyle name="Neutral 2" xfId="363"/>
    <cellStyle name="Title 2" xfId="364"/>
    <cellStyle name="Comma 3" xfId="365"/>
    <cellStyle name="Comma 4" xfId="366"/>
    <cellStyle name="Comma 5" xfId="367"/>
    <cellStyle name="Comma 2 2" xfId="368"/>
    <cellStyle name="Comma 3 2" xfId="369"/>
    <cellStyle name="Comma 4 2" xfId="37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4" Type="http://schemas.openxmlformats.org/officeDocument/2006/relationships/worksheet" Target="worksheets/sheet1.xml" /><Relationship Id="rId2" Type="http://schemas.microsoft.com/office/2017/10/relationships/person" Target="persons/person.xml" /><Relationship Id="rId9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sheetMetadata" Target="metadata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11" Type="http://schemas.openxmlformats.org/officeDocument/2006/relationships/calcChain" Target="calcChain.xml" /><Relationship Id="rId10" Type="http://schemas.openxmlformats.org/officeDocument/2006/relationships/sharedStrings" Target="sharedStrings.xml" /><Relationship Id="rId5" Type="http://schemas.openxmlformats.org/officeDocument/2006/relationships/worksheet" Target="worksheets/sheet2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_rels/drawing1.xml.rels><?xml version="1.0" encoding="UTF-8" standalone="yes"?><Relationships xmlns="http://schemas.openxmlformats.org/package/2006/relationships"><Relationship Id="rId3" Type="http://schemas.openxmlformats.org/officeDocument/2006/relationships/image" Target="../media/image1.png" /><Relationship Id="rId4" Type="http://schemas.openxmlformats.org/officeDocument/2006/relationships/image" Target="../media/image2.png" /><Relationship Id="rId2" Type="http://schemas.openxmlformats.org/officeDocument/2006/relationships/image" Target="../media/image1.jpeg" /><Relationship Id="rId1" Type="http://schemas.openxmlformats.org/officeDocument/2006/relationships/image" Target="../media/image3.png" /><Relationship Id="rId6" Type="http://schemas.openxmlformats.org/officeDocument/2006/relationships/image" Target="../media/image2.jpeg" /><Relationship Id="rId5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0"/>
          <a:ext cx="5800725" cy="2324100"/>
        </a:xfrm>
        <a:prstGeom prst="rect"/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r:embed="rId2"/>
        <a:srcRect l="4533" t="8848" r="7661" b="12840"/>
        <a:stretch>
          <a:fillRect/>
        </a:stretch>
      </xdr:blipFill>
      <xdr:spPr>
        <a:xfrm>
          <a:off x="19050" y="8810625"/>
          <a:ext cx="1428750" cy="571500"/>
        </a:xfrm>
        <a:prstGeom prst="rect"/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52625" y="8810625"/>
          <a:ext cx="1247775" cy="571500"/>
        </a:xfrm>
        <a:prstGeom prst="rect"/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733800" y="8810625"/>
          <a:ext cx="2019300" cy="571500"/>
        </a:xfrm>
        <a:prstGeom prst="rect"/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r:embed="rId5"/>
        <a:srcRect l="1283" t="6478" r="3926" b="6251"/>
        <a:stretch>
          <a:fillRect/>
        </a:stretch>
      </xdr:blipFill>
      <xdr:spPr>
        <a:xfrm>
          <a:off x="3629025" y="7962900"/>
          <a:ext cx="1400175" cy="571500"/>
        </a:xfrm>
        <a:prstGeom prst="rect"/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rrowheads="1" noChangeAspect="1"/>
        </xdr:cNvPicPr>
      </xdr:nvPicPr>
      <xdr:blipFill>
        <a:blip r:embed="rId6"/>
        <a:srcRect l="3913" t="26113" r="3913" b="26112"/>
        <a:stretch>
          <a:fillRect/>
        </a:stretch>
      </xdr:blipFill>
      <xdr:spPr bwMode="auto">
        <a:xfrm>
          <a:off x="666750" y="8077200"/>
          <a:ext cx="1676400" cy="428625"/>
        </a:xfrm>
        <a:prstGeom prst="rect"/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8100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hyperlink" Target="https://creativecommons.org/licenses/by-nc-sa/4.0/" TargetMode="External" /><Relationship Id="rId3" Type="http://schemas.openxmlformats.org/officeDocument/2006/relationships/drawing" Target="../drawings/drawing1.xml" /><Relationship Id="rId1" Type="http://schemas.openxmlformats.org/officeDocument/2006/relationships/hyperlink" Target="https://github.com/MaREI-EPMG/TIMES-Ireland-model" TargetMode="Externa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2.vml" /><Relationship Id="rId1" Type="http://schemas.openxmlformats.org/officeDocument/2006/relationships/ctrlProp" Target="../ctrProps/ctrProp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workbookViewId="0" topLeftCell="A18">
      <selection pane="topLeft" activeCell="B26" sqref="B26:D26"/>
    </sheetView>
  </sheetViews>
  <sheetFormatPr defaultColWidth="8.85428571428571" defaultRowHeight="15"/>
  <cols>
    <col min="1" max="4" width="21.7142857142857" customWidth="1"/>
    <col min="5" max="6" width="14.1428571428571" customWidth="1"/>
    <col min="7" max="7" width="12.1428571428571" customWidth="1"/>
    <col min="8" max="10" width="8.14285714285714" customWidth="1"/>
    <col min="11" max="11" width="9.71428571428571" customWidth="1"/>
    <col min="12" max="12" width="8.14285714285714" customWidth="1"/>
    <col min="13" max="13" width="10" customWidth="1"/>
    <col min="14" max="14" width="11.4285714285714" customWidth="1"/>
    <col min="15" max="15" width="13.4285714285714" customWidth="1"/>
  </cols>
  <sheetData>
    <row r="1" spans="1:26" ht="1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>
      <c r="A16" s="5" t="s">
        <v>143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>
      <c r="A19" s="45" t="s">
        <v>144</v>
      </c>
      <c r="B19" s="6" t="s">
        <v>155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>
      <c r="A20" s="45" t="s">
        <v>145</v>
      </c>
      <c r="B20" s="6" t="s">
        <v>156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>
      <c r="A21" s="45" t="s">
        <v>146</v>
      </c>
      <c r="B21" s="9" t="s">
        <v>157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>
      <c r="A23" s="45" t="s">
        <v>147</v>
      </c>
      <c r="B23" s="6" t="s">
        <v>158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>
      <c r="A24" s="45"/>
      <c r="B24" s="6" t="s">
        <v>160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>
      <c r="A25" s="45"/>
      <c r="B25" s="9" t="s">
        <v>159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>
      <c r="A26" s="45" t="s">
        <v>148</v>
      </c>
      <c r="B26" s="6" t="s">
        <v>158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>
      <c r="A27" s="45"/>
      <c r="B27" s="6" t="s">
        <v>160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>
      <c r="A28" s="45"/>
      <c r="B28" s="9" t="s">
        <v>159</v>
      </c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>
      <c r="A29" s="45" t="s">
        <v>149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>
      <c r="A30" s="45" t="s">
        <v>150</v>
      </c>
      <c r="B30" s="4" t="s">
        <v>151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>
      <c r="A31" s="45" t="s">
        <v>152</v>
      </c>
      <c r="B31" s="6" t="s">
        <v>153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>
      <c r="A32" s="50"/>
      <c r="B32" s="8" t="s">
        <v>154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display="https://github.com/MaREI-EPMG/TIMES-Ireland-model"/>
    <hyperlink ref="B32" r:id="rId2" display="https://creativecommons.org/licenses/by-nc-sa/4.0/"/>
  </hyperlinks>
  <pageMargins left="0.7" right="0.7" top="0.75" bottom="0.75" header="0.3" footer="0.3"/>
  <pageSetup orientation="portrait" paperSize="9" r:id="rId4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workbookViewId="0" topLeftCell="A4">
      <selection pane="topLeft" activeCell="J6" sqref="J6:J8"/>
    </sheetView>
  </sheetViews>
  <sheetFormatPr defaultColWidth="9.14428571428571" defaultRowHeight="15"/>
  <cols>
    <col min="7" max="7" width="10.5714285714286" bestFit="1" customWidth="1"/>
    <col min="9" max="9" width="11.5714285714286" bestFit="1" customWidth="1"/>
  </cols>
  <sheetData>
    <row r="1" spans="11:19" ht="15">
      <c r="K1" s="85"/>
      <c r="L1" s="85"/>
      <c r="M1" s="85"/>
      <c r="N1" s="85"/>
      <c r="O1" s="85"/>
      <c r="P1" s="85"/>
      <c r="Q1" s="85"/>
      <c r="R1" s="85"/>
      <c r="S1" s="85"/>
    </row>
    <row r="3" spans="10:36" ht="1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" ht="15">
      <c r="C4" s="23" t="s">
        <v>123</v>
      </c>
    </row>
    <row r="5" spans="3:37" ht="15.75" thickBot="1">
      <c r="C5" s="24" t="s">
        <v>124</v>
      </c>
      <c r="D5" s="25" t="s">
        <v>125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ht="15">
      <c r="C6" t="s">
        <v>126</v>
      </c>
      <c r="D6" s="28" t="s">
        <v>127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ht="15">
      <c r="C7" t="s">
        <v>126</v>
      </c>
      <c r="D7" s="28" t="s">
        <v>127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ht="15">
      <c r="C8" t="s">
        <v>126</v>
      </c>
      <c r="D8" s="28" t="s">
        <v>127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ht="15">
      <c r="C9" t="s">
        <v>126</v>
      </c>
      <c r="D9" s="28" t="s">
        <v>127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0.080693470189707697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ht="15">
      <c r="C10" t="s">
        <v>126</v>
      </c>
      <c r="D10" s="28" t="s">
        <v>127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0.092186243413538399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0.066182960848759104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0.051886741796237999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0.099398312692044299</v>
      </c>
    </row>
    <row r="11" spans="3:37" ht="15">
      <c r="C11" t="s">
        <v>126</v>
      </c>
      <c r="D11" s="28" t="s">
        <v>127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0.042004379525771102</v>
      </c>
      <c r="M11" s="29">
        <v>0.99408028513777102</v>
      </c>
      <c r="N11" s="29">
        <v>0.16416325549782501</v>
      </c>
      <c r="O11" s="29">
        <v>0.073213282321037701</v>
      </c>
      <c r="P11" s="29">
        <v>0.062489372105217399</v>
      </c>
      <c r="Q11" s="29">
        <v>0.030156063450376601</v>
      </c>
      <c r="R11" s="29">
        <v>0.095090501840783506</v>
      </c>
      <c r="S11" s="29">
        <v>0.143903291650118</v>
      </c>
      <c r="T11" s="29">
        <v>0.0575195572298293</v>
      </c>
      <c r="U11" s="29">
        <v>0.065494427922832596</v>
      </c>
      <c r="V11" s="29">
        <v>0.110464759912835</v>
      </c>
      <c r="W11" s="29">
        <v>0.105081039730871</v>
      </c>
      <c r="X11" s="29">
        <v>0.087663078095158206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0.085714550618035304</v>
      </c>
      <c r="AD11" s="29">
        <v>0.190394965426499</v>
      </c>
      <c r="AE11" s="29">
        <v>0.0236420350158753</v>
      </c>
      <c r="AF11" s="29">
        <v>0.096287949813282703</v>
      </c>
      <c r="AG11" s="29">
        <v>0.047620506430678201</v>
      </c>
      <c r="AH11" s="29">
        <v>0.048351665359049598</v>
      </c>
      <c r="AI11" s="29">
        <v>0.056202585799816303</v>
      </c>
      <c r="AJ11" s="29">
        <v>0.117451717583548</v>
      </c>
      <c r="AK11" s="29">
        <v>0.045290536808279797</v>
      </c>
    </row>
    <row r="12" spans="3:37" ht="15">
      <c r="C12" t="s">
        <v>126</v>
      </c>
      <c r="D12" s="28" t="s">
        <v>127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ht="15">
      <c r="C13" t="s">
        <v>126</v>
      </c>
      <c r="D13" s="28" t="s">
        <v>127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0.047489540821759602</v>
      </c>
      <c r="Y13" s="29">
        <v>0.00047056267691773199</v>
      </c>
      <c r="Z13" s="29">
        <v>0.047235778638893701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9.4112535383546506E-05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ht="15">
      <c r="C14" t="s">
        <v>126</v>
      </c>
      <c r="D14" s="28" t="s">
        <v>127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ht="15">
      <c r="C15" t="s">
        <v>126</v>
      </c>
      <c r="D15" s="31" t="s">
        <v>127</v>
      </c>
      <c r="G15" t="s">
        <v>6</v>
      </c>
      <c r="H15">
        <v>2018</v>
      </c>
      <c r="I15" t="s">
        <v>128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ht="15">
      <c r="C16" t="s">
        <v>126</v>
      </c>
      <c r="D16" s="31" t="s">
        <v>127</v>
      </c>
      <c r="G16" t="s">
        <v>6</v>
      </c>
      <c r="H16">
        <v>2018</v>
      </c>
      <c r="I16" t="s">
        <v>129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15">
      <c r="C17" t="s">
        <v>126</v>
      </c>
      <c r="D17" s="31" t="s">
        <v>127</v>
      </c>
      <c r="G17" t="s">
        <v>6</v>
      </c>
      <c r="H17">
        <v>2018</v>
      </c>
      <c r="I17" t="s">
        <v>130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15">
      <c r="C18" t="s">
        <v>126</v>
      </c>
      <c r="D18" s="31" t="s">
        <v>127</v>
      </c>
      <c r="G18" t="s">
        <v>6</v>
      </c>
      <c r="H18">
        <v>2018</v>
      </c>
      <c r="I18" t="s">
        <v>131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15">
      <c r="C19" t="s">
        <v>126</v>
      </c>
      <c r="D19" s="31" t="s">
        <v>127</v>
      </c>
      <c r="G19" t="s">
        <v>6</v>
      </c>
      <c r="H19">
        <v>2018</v>
      </c>
      <c r="I19" t="s">
        <v>132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15">
      <c r="C20" t="s">
        <v>126</v>
      </c>
      <c r="D20" s="31" t="s">
        <v>127</v>
      </c>
      <c r="G20" t="s">
        <v>6</v>
      </c>
      <c r="H20">
        <v>2018</v>
      </c>
      <c r="I20" t="s">
        <v>133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15">
      <c r="C21" t="s">
        <v>126</v>
      </c>
      <c r="D21" s="31" t="s">
        <v>127</v>
      </c>
      <c r="G21" t="s">
        <v>6</v>
      </c>
      <c r="H21">
        <v>2018</v>
      </c>
      <c r="I21" t="s">
        <v>134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ht="15">
      <c r="C22" t="s">
        <v>126</v>
      </c>
      <c r="D22" s="31" t="s">
        <v>127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15">
      <c r="C23" t="s">
        <v>126</v>
      </c>
      <c r="D23" s="31" t="s">
        <v>127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15">
      <c r="C24" t="s">
        <v>126</v>
      </c>
      <c r="D24" s="31" t="s">
        <v>127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15">
      <c r="C25" t="s">
        <v>126</v>
      </c>
      <c r="D25" s="28" t="s">
        <v>127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15">
      <c r="C26" t="s">
        <v>126</v>
      </c>
      <c r="D26" s="28" t="s">
        <v>127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ht="15">
      <c r="C27" t="s">
        <v>126</v>
      </c>
      <c r="D27" s="28" t="s">
        <v>127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ht="15">
      <c r="C28" t="s">
        <v>126</v>
      </c>
      <c r="D28" s="28" t="s">
        <v>127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ht="15">
      <c r="C29" t="s">
        <v>126</v>
      </c>
      <c r="D29" s="28" t="s">
        <v>127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ht="15">
      <c r="C30" t="s">
        <v>126</v>
      </c>
      <c r="D30" s="28" t="s">
        <v>127</v>
      </c>
      <c r="G30" t="s">
        <v>6</v>
      </c>
      <c r="H30">
        <v>2018</v>
      </c>
      <c r="I30" t="s">
        <v>17</v>
      </c>
      <c r="J30" s="29">
        <v>5.7000000000000002</v>
      </c>
      <c r="K30" s="29">
        <v>5.7000000000000002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ht="15">
      <c r="C31" t="s">
        <v>126</v>
      </c>
      <c r="D31" s="28" t="s">
        <v>127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ht="15">
      <c r="C32" t="s">
        <v>126</v>
      </c>
      <c r="D32" s="28" t="s">
        <v>127</v>
      </c>
      <c r="G32" t="s">
        <v>6</v>
      </c>
      <c r="H32">
        <v>2018</v>
      </c>
      <c r="I32" t="s">
        <v>21</v>
      </c>
      <c r="J32" s="29">
        <v>2.3999999999999999</v>
      </c>
      <c r="K32" s="29">
        <v>2.3999999999999999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ht="15">
      <c r="C33" t="s">
        <v>126</v>
      </c>
      <c r="D33" s="28" t="s">
        <v>127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ht="15">
      <c r="C34" t="s">
        <v>126</v>
      </c>
      <c r="D34" s="28" t="s">
        <v>127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ht="15">
      <c r="C35" t="s">
        <v>126</v>
      </c>
      <c r="D35" s="28" t="s">
        <v>127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ht="15">
      <c r="C36" t="s">
        <v>126</v>
      </c>
      <c r="D36" s="28" t="s">
        <v>127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ht="15">
      <c r="C37" t="s">
        <v>126</v>
      </c>
      <c r="D37" s="28" t="s">
        <v>127</v>
      </c>
      <c r="G37" t="s">
        <v>6</v>
      </c>
      <c r="H37">
        <v>2018</v>
      </c>
      <c r="I37" t="s">
        <v>31</v>
      </c>
      <c r="J37" s="29">
        <v>3.7999999999999998</v>
      </c>
      <c r="K37" s="29">
        <v>3.7999999999999998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ht="15">
      <c r="C38" t="s">
        <v>126</v>
      </c>
      <c r="D38" s="28" t="s">
        <v>127</v>
      </c>
      <c r="G38" t="s">
        <v>6</v>
      </c>
      <c r="H38">
        <v>2018</v>
      </c>
      <c r="I38" s="33" t="s">
        <v>33</v>
      </c>
    </row>
    <row r="39" spans="3:37" ht="15">
      <c r="C39" t="s">
        <v>126</v>
      </c>
      <c r="D39" s="28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 ht="15">
      <c r="C40" t="s">
        <v>126</v>
      </c>
      <c r="D40" s="28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 ht="15">
      <c r="C41" t="s">
        <v>126</v>
      </c>
      <c r="D41" s="28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 ht="15">
      <c r="C42" t="s">
        <v>126</v>
      </c>
      <c r="D42" s="28" t="s">
        <v>127</v>
      </c>
      <c r="G42" t="s">
        <v>6</v>
      </c>
      <c r="H42">
        <v>2018</v>
      </c>
      <c r="I42" t="s">
        <v>141</v>
      </c>
      <c r="J42">
        <v>0.47999999999999998</v>
      </c>
      <c r="K42">
        <v>0.47999999999999998</v>
      </c>
    </row>
    <row r="47" spans="3:7" ht="15">
      <c r="C47" s="1" t="s">
        <v>191</v>
      </c>
      <c r="D47" s="1"/>
      <c r="E47" s="1"/>
      <c r="F47" s="1"/>
      <c r="G47" s="1"/>
    </row>
    <row r="48" spans="3:7" ht="15">
      <c r="C48" s="3"/>
      <c r="D48" s="2"/>
      <c r="E48" s="2"/>
      <c r="F48" s="71" t="s">
        <v>197</v>
      </c>
      <c r="G48" s="71" t="s">
        <v>192</v>
      </c>
    </row>
    <row r="49" spans="3:7" ht="45.75">
      <c r="C49" s="70" t="s">
        <v>120</v>
      </c>
      <c r="D49" s="69" t="s">
        <v>193</v>
      </c>
      <c r="E49" s="69" t="s">
        <v>194</v>
      </c>
      <c r="F49" s="68" t="s">
        <v>195</v>
      </c>
      <c r="G49" s="68" t="s">
        <v>196</v>
      </c>
    </row>
    <row r="50" spans="3:7" ht="1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ht="1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ht="1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ht="1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ht="1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ht="1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ht="1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ht="1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4:5" ht="23.25">
      <c r="D59" s="69" t="s">
        <v>193</v>
      </c>
      <c r="E59" s="16"/>
    </row>
    <row r="60" spans="3:5" ht="15">
      <c r="C60" s="70" t="s">
        <v>120</v>
      </c>
      <c r="D60" s="16" t="s">
        <v>197</v>
      </c>
      <c r="E60" s="16" t="s">
        <v>198</v>
      </c>
    </row>
    <row r="61" spans="3:5" ht="15">
      <c r="C61" s="67">
        <v>2015</v>
      </c>
      <c r="D61" s="66">
        <v>1236</v>
      </c>
      <c r="E61">
        <f>D61*3.6/1000</f>
        <v>4.4496000000000002</v>
      </c>
    </row>
    <row r="62" spans="3:5" ht="15">
      <c r="C62" s="67">
        <v>2016</v>
      </c>
      <c r="D62" s="66">
        <v>1477</v>
      </c>
      <c r="E62">
        <f t="shared" si="0" ref="E62:E68">D62*3.6/1000</f>
        <v>5.3171999999999997</v>
      </c>
    </row>
    <row r="63" spans="3:5" ht="15">
      <c r="C63" s="67">
        <v>2017</v>
      </c>
      <c r="D63" s="66">
        <v>1755</v>
      </c>
      <c r="E63">
        <f t="shared" si="0"/>
        <v>6.3179999999999996</v>
      </c>
    </row>
    <row r="64" spans="3:5" ht="15">
      <c r="C64" s="67">
        <v>2018</v>
      </c>
      <c r="D64" s="66">
        <v>2172</v>
      </c>
      <c r="E64">
        <f t="shared" si="0"/>
        <v>7.8191999999999995</v>
      </c>
    </row>
    <row r="65" spans="3:5" ht="15">
      <c r="C65" s="67">
        <v>2019</v>
      </c>
      <c r="D65" s="66">
        <v>2478</v>
      </c>
      <c r="E65">
        <f t="shared" si="0"/>
        <v>8.9208000000000016</v>
      </c>
    </row>
    <row r="66" spans="3:5" ht="15">
      <c r="C66" s="67">
        <v>2020</v>
      </c>
      <c r="D66" s="66">
        <v>3019</v>
      </c>
      <c r="E66">
        <f t="shared" si="0"/>
        <v>10.868399999999999</v>
      </c>
    </row>
    <row r="67" spans="3:5" ht="15">
      <c r="C67" s="67">
        <v>2021</v>
      </c>
      <c r="D67" s="66">
        <v>4001</v>
      </c>
      <c r="E67">
        <f t="shared" si="0"/>
        <v>14.403600000000001</v>
      </c>
    </row>
    <row r="68" spans="3:5" ht="1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workbookViewId="0" topLeftCell="A1">
      <selection pane="topLeft" activeCell="G25" sqref="G25"/>
    </sheetView>
  </sheetViews>
  <sheetFormatPr defaultColWidth="9.14428571428571" defaultRowHeight="15"/>
  <cols>
    <col min="4" max="4" width="11.1428571428571" bestFit="1" customWidth="1"/>
    <col min="27" max="27" width="9.14285714285714" customWidth="1"/>
  </cols>
  <sheetData>
    <row r="2" spans="2:2" ht="15">
      <c r="B2" t="s">
        <v>122</v>
      </c>
    </row>
    <row r="3" spans="2:32" ht="15.75" thickBot="1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4:32" ht="1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0.095561633661176384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0.076883209959732524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4:32" ht="1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0.096967781632631034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4:32" ht="1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4:32" ht="1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4:32" ht="1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4:32" ht="1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4:32" ht="1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4:32" ht="1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4:32" ht="1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4:32" ht="1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4:32" ht="1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4:32" ht="1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4:32" ht="1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ht="1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ht="1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ht="1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ht="1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ht="1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ht="1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ht="1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ht="1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ht="1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ht="1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ht="1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ht="1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ht="1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ht="1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ht="1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ht="1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ht="1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ht="1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ht="1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ht="1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ht="1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ht="1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ht="1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ht="1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ht="1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ht="1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ht="1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ht="1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ht="1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ht="1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ht="1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ht="1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ht="1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ht="1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ht="1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ht="1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ht="1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ht="1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ht="1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ht="1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ht="1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ht="1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ht="1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ht="1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ht="1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ht="1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ht="1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ht="1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ht="1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ht="1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ht="1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ht="1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ht="1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ht="1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ht="1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ht="1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ht="1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ht="1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ht="1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ht="1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ht="1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ht="1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ht="1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ht="1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ht="1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ht="1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ht="1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ht="1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ht="1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0.07802149668403971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ht="1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0.080512210182964394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ht="1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0.082017408648725088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ht="1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0.092234779180049284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ht="1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ht="1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ht="1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ht="1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ht="1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ht="1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ht="1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ht="1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ht="1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ht="1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ht="1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ht="1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ht="1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ht="1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ht="1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ht="1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ht="1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ht="1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ht="1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ht="1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ht="1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ht="1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ht="1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ht="1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0.040298189842888223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0.070239407968971462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0.059951095783093877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0.028931144408212772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0.091227989526291062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0.055183151449824552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0.062834088251830053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0.084102262744369605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0.082232883144582727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0.022681711433385598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0.09237679796644771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0.045686193445151825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0.046387653188956733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0.053919674514716867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0.043450865623823776</v>
      </c>
    </row>
    <row r="113" spans="4:32" ht="1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0.073952094537338697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0.057977660493589413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ht="1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0.091837705905009476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0.065932736483093002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0.051690568538258291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0.099022507810807792</v>
      </c>
    </row>
    <row r="115" spans="4:32" ht="1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0.080667542404793777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0.057913378428847313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0.04540347658292717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0.091453064304345938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0.092857222502251313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0.086978461288215222</v>
      </c>
    </row>
    <row r="116" spans="4:32" ht="1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0.069497378904578105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0.049894020374601618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0.09516765890500628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0.039116384627596049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0.078789412351877683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0.079999134520331888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0.092988694151534365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0.074934414765622653</v>
      </c>
    </row>
    <row r="117" spans="4:32" ht="1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0.058327215404362399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0.086772643910336511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0.041874662320355922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0.079871566783873763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0.090945459696572264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0.032829292672264934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0.066125760399409414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0.067141046538412449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0.078042822325629202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0.062890368243030098</v>
      </c>
    </row>
    <row r="118" spans="4:32" ht="1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0.047157051904146714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0.082194347195817585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0.070154936154105091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0.033855304266110241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0.064575474662741258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0.073528621821315004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0.098416697746346538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0.096229144628963523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0.026542200716933816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0.053462108446941145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0.054282958556493031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0.063096950499724039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0.050846321720437522</v>
      </c>
    </row>
    <row r="119" spans="4:32" ht="1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0.035986888403931029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0.06272484560702038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0.053537228397873671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0.025835946211864549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0.081467963975483809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0.049279382541608754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0.056111783946057731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0.094639726438792995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0.09002727079550836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0.075104583002351469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0.093366038879355087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0.073435198960428119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0.020255108761602698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0.082493867156112857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0.040798456494472883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0.041424870574573606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0.04815107867381889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0.03880227519784496</v>
      </c>
    </row>
    <row r="120" spans="4:32" ht="1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0.024816724903715344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0.096989751949277725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0.04325534401822316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0.036919520641642257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0.017816588157618857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0.056180685247144785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0.085019906065486178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0.033983290420476243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0.038694946070800464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0.065263993642135698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0.062083222869592877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0.051792468258356407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0.064385652802520274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0.084956700397126703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0.069549337956904683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0.050641253291892702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0.013968016806271584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0.05688815283160914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0.028134804542004625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0.028566782592654192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0.03320520684791374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0.069391977637747737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0.026758228675252401</v>
      </c>
    </row>
    <row r="121" spans="4:32" ht="1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0.013646561403499659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0.053334056392262491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0.023785842429425944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0.020301812885410834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0.0097972301033731699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0.03089340651880575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0.04675191320143661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0.018687198299343739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0.021278108195543193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0.035888260845478394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0.034139174943677388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0.028480353514361328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0.035405266725685468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0.046717156800756693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0.038244744811574909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0.027847307623357288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0.061856325838971347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0.007680924850940467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0.03128243850710543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0.015471152589536363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0.015708694610734771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0.018259335022008584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0.038158213358847712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0.014714182152659835</v>
      </c>
    </row>
    <row r="122" spans="4:32" ht="1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ht="1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ht="1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ht="1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ht="1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ht="1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ht="1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ht="1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ht="1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ht="1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ht="1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ht="1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ht="1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ht="1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ht="1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ht="1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ht="1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ht="1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0.054709600636236908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0.095358376490112085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0.081390765212663516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0.039277480271286955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0.074917711923025126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0.085304771455047348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0.030793129396254827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0.06202445836199811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0.062976773654461277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0.073202391239829717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0.058989734150496013</v>
      </c>
    </row>
    <row r="140" spans="4:32" ht="1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0.060377905785525848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0.089823429465268834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0.043346907594530242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0.08267972164943059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0.094142954692987016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0.033983517406579698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0.068450634985965417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0.069501616940463015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0.080786681499301294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0.065101491683943843</v>
      </c>
    </row>
    <row r="141" spans="4:32" ht="1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0.055728269531095408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0.097133907856911061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0.082906225751338283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0.040008809817755578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0.076312647033544068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0.086893109082332359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0.031366484031026945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0.06317932671634624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0.064149373704074003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0.074565387827596558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0.060088097264031193</v>
      </c>
    </row>
    <row r="142" spans="4:32" ht="1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0.057438943999848627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0.085451174031391519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0.041236948607212297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0.07865519414691563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0.089560441559519588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0.032329331861363629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0.065118724118707089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0.066118548356461804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0.076854299833704634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0.061932604095670425</v>
      </c>
    </row>
    <row r="143" spans="4:32" ht="1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0.059248137110385589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0.088142687220514493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0.042535816555061966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0.081132649779785918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0.092381387116014471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0.033347630604320951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0.067169812436814608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0.068201128812076212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0.079275031485293607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0.063883337045214122</v>
      </c>
    </row>
    <row r="144" spans="4:32" ht="1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0.061129511486040324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0.090941583544108057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0.043886505356722477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0.083708948306105369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0.095314879762098764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0.034406556348954558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0.069302732898106317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0.070366797850728177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0.081792342917175062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0.065911898266037938</v>
      </c>
    </row>
    <row r="145" spans="4:32" ht="1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0.06306938746827187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0.093827511951103518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0.045279194020773447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0.0863653572053317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0.098339589783575154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0.03549840954179212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0.071501976827656535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0.07259980867935785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0.084387930509785034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0.068003537889540819</v>
      </c>
    </row>
    <row r="146" spans="4:32" ht="1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0.065056469926175434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0.096783668821353239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0.046705773471730584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0.089086409258669355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0.036616832753361389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0.073754738897545649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0.074887159358742184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0.087046681182750343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0.070146077125135348</v>
      </c>
    </row>
    <row r="147" spans="4:32" ht="1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0.067092784811801934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0.099813068137518293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0.048167698194561542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0.091874878745044825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0.037762966284504082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0.076063315936431994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0.077231181982741579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0.089771305694931275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0.07234170042256155</v>
      </c>
    </row>
    <row r="148" spans="4:32" ht="1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0.069179820213826335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0.049666036527782634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0.094732803409156824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0.038937647701325372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0.078429394995454385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0.079633589505253843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0.09256379513469469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0.07459201228915098</v>
      </c>
    </row>
    <row r="149" spans="4:32" ht="1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0.071311121771731364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0.051196154713974089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0.097651344840264706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0.040137244186983868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0.080845658744372786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0.082086952246722744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0.095415513456112752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0.076890053415996307</v>
      </c>
    </row>
    <row r="150" spans="4:32" ht="1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0.073477456164221563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0.052751423905716029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0.04135655879516479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0.083301639335760527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0.084580641637783047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0.098314106315705502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0.079225868125077384</v>
      </c>
    </row>
    <row r="151" spans="4:32" ht="1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0.075679468827348759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0.05433230747875048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0.042595954807552329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0.085798068502641739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0.08711540064639052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0.081600152347285029</v>
      </c>
    </row>
    <row r="152" spans="4:32" ht="1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0.077909038024128477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0.055932974621657416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0.043850860929620934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0.088325738604464119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0.08968188025910323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0.084004148952243923</v>
      </c>
    </row>
    <row r="153" spans="4:32" ht="1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0.080159099815550555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0.057548353944372146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0.04511730124516105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0.090876641229798674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0.092271949104407197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0.086430241362983704</v>
      </c>
    </row>
    <row r="154" spans="4:32" ht="1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0.082425010647798155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0.059175111715861928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0.046392662144278278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0.093445511966055772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0.094880261940621394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0.088873422743373481</v>
      </c>
    </row>
    <row r="155" spans="4:32" ht="1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0.084705569292664151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0.060812385542384925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0.04767626751939396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0.096030988976774354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0.097505436021828679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0.091332397888700248</v>
      </c>
    </row>
    <row r="156" spans="4:32" ht="1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0.086992187864904508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0.06245400995226303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0.048963283705877311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0.098623336147551463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0.093797907051834287</v>
      </c>
    </row>
    <row r="157" spans="4:32" ht="1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0.089289366488102359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0.064103215704141847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0.050256243584359567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0.096274802417597338</v>
      </c>
    </row>
    <row r="158" spans="4:32" ht="1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0.09160334437742404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0.065764482096860283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0.051558658877787253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0.098769811317932873</v>
      </c>
    </row>
    <row r="159" spans="4:32" ht="1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0.093941042041646661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0.067442777548096342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0.052874424773107102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ht="1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0.076257175269666425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0.059784819424588347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ht="1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0.086172309194747512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0.067558179625584094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ht="1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0.098008096955664536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0.076837312133861607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ht="1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0.088079558316279061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ht="1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0.089375201926544134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ht="1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0.096272107650165306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ht="1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ht="1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ht="1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0.088566788282448461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ht="1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0.084021775338419175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ht="1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0.095129518846607586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0.074580537320986892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ht="1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0.074477305087502652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0.058389420013797308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ht="1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0.067512263556394739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0.048468853164134948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0.092449300553644559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0.037999068597644958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0.076538880400898457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0.077714048200806893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0.090332575505373575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0.072793996533985397</v>
      </c>
    </row>
    <row r="173" spans="4:32" ht="1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0.036157878336715514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0.063022879630242432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0.053791607909168759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0.025958704441378801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0.081855055005080696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0.049513531107438336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0.056378396331592737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0.095089402450813765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0.090455030951077001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0.075461438739786682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0.093809663027493301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0.073784122701578456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0.020351349916070346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0.08288583271428622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0.040992308356723302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0.041621698812559824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0.048379866159236319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0.03898664230270539</v>
      </c>
    </row>
    <row r="174" spans="4:32" ht="1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0.016682980621878174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0.065201115722096345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0.029078295740009464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0.024819054481332408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0.011977156378803288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0.037767323727783186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0.057154417066212528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0.022845181132969943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0.026012579740815819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0.043873554849098016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0.041735289732856791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0.034817355943049653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0.043283092438624396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0.057111927215334812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0.046754366738609811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0.03404345459016582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0.07561962715732154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0.0093899640105295206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0.03824291702415971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0.018913551276233176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0.019203947429473553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0.022322116416992069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0.046648581661596925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0.017988151627461108</v>
      </c>
    </row>
    <row r="175" spans="4:32" ht="1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0.0069594444650572761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0.027199189054540631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0.012130253515712871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0.010353475512136522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0.0049963706460389055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0.015754953987817823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0.023842441618819529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0.0095300577871905157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0.01085136452545378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0.018302219212346434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0.01741022409077117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0.014524350330301269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0.0663609164943567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0.018055902894685182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0.023824716623255832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0.019503973911566178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0.014201510928344247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0.031545357966762923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0.0039171017782318619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0.015953351696782692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0.0078899456114778638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0.0080110867880546863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0.0093118569797337753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0.019459844784679971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0.0075039074322350678</v>
      </c>
    </row>
    <row r="176" spans="4:32" ht="1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ht="1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ht="1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ht="1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ht="1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ht="1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ht="1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ht="1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ht="1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ht="1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ht="1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ht="1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ht="1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ht="1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ht="1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ht="1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ht="1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ht="1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0.064093592729048743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0.022382134926061514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0.00022177930432032186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0.022262535129606249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4.4355860864064419E-05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ht="1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0.069928010319333211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0.024419572931335776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0.00024196779772804261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0.024289086006752381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4.839355954560858E-05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ht="1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0.046779068407982807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0.00046352277307537207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0.046529102661710439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9.2704554615074527E-05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ht="1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0.046779068407982807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0.00046352277307537207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0.046529102661710439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9.2704554615074527E-05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ht="1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0.046779068407982807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0.00046352277307537207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0.046529102661710439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9.2704554615074527E-05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ht="1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0.046779068407982807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0.00046352277307537207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0.046529102661710439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9.2704554615074527E-05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ht="1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0.046779068407982807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0.00046352277307537207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0.046529102661710439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9.2704554615074527E-05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ht="1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0.046779068407982807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0.00046352277307537207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0.046529102661710439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9.2704554615074527E-05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ht="1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0.046779068407982807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0.00046352277307537207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0.046529102661710439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9.2704554615074527E-05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ht="1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0.046779068407982807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0.00046352277307537207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0.046529102661710439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9.2704554615074527E-05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ht="1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0.046779068407982807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0.00046352277307537207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0.046529102661710439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9.2704554615074527E-05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ht="1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0.046779068407982807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0.00046352277307537207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0.046529102661710439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9.2704554615074527E-05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ht="1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0.046779068407982807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0.00046352277307537207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0.046529102661710439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9.2704554615074527E-05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ht="1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0.046779068407982807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0.00046352277307537207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0.046529102661710439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9.2704554615074527E-05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ht="1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0.046779068407982807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0.00046352277307537207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0.046529102661710439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9.2704554615074527E-05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ht="1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0.046779068407982807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0.00046352277307537207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0.046529102661710439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9.2704554615074527E-05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ht="1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0.046779068407982807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0.00046352277307537207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0.046529102661710439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9.2704554615074527E-05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ht="1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0.046779068407982807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0.00046352277307537207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0.046529102661710439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9.2704554615074527E-05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ht="1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0.046779068407982807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0.00046352277307537207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0.046529102661710439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9.2704554615074527E-05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ht="1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0.046779068407982807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0.00046352277307537207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0.046529102661710439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9.2704554615074527E-05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ht="1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0.046779068407982807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0.00046352277307537207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0.046529102661710439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9.2704554615074527E-05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ht="1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0.046779068407982807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0.00046352277307537207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0.046529102661710439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9.2704554615074527E-05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ht="1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0.046779068407982807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0.00046352277307537207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0.046529102661710439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9.2704554615074527E-05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ht="1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0.046779068407982807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0.00046352277307537207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0.046529102661710439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9.2704554615074527E-05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ht="1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0.046779068407982807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0.00046352277307537207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0.046529102661710439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9.2704554615074527E-05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ht="1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0.046779068407982807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0.00046352277307537207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0.046529102661710439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9.2704554615074527E-05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ht="1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0.046779068407982807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0.00046352277307537207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0.046529102661710439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9.2704554615074527E-05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ht="1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0.087025700566917275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ht="1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0.097498019177564163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ht="1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ht="1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ht="1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ht="1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ht="1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ht="1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ht="1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ht="1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ht="1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ht="1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ht="1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ht="1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ht="1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ht="1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ht="1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ht="1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ht="1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ht="1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ht="1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ht="1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ht="1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ht="1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ht="1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ht="1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ht="1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85" zoomScaleNormal="85" workbookViewId="0" topLeftCell="A1">
      <selection pane="topLeft" activeCell="M6" sqref="M6"/>
    </sheetView>
  </sheetViews>
  <sheetFormatPr defaultRowHeight="15"/>
  <cols>
    <col min="2" max="2" width="9.57142857142857" customWidth="1"/>
    <col min="3" max="4" width="10.7142857142857" bestFit="1" customWidth="1"/>
    <col min="5" max="5" width="11.4285714285714" bestFit="1" customWidth="1"/>
    <col min="6" max="6" width="48.5714285714286" bestFit="1" customWidth="1"/>
    <col min="7" max="89" width="8.71428571428571" customWidth="1"/>
  </cols>
  <sheetData>
    <row r="1" spans="2:10" ht="15">
      <c r="B1" t="s">
        <v>0</v>
      </c>
      <c r="C1" t="s">
        <v>1</v>
      </c>
      <c r="G1" s="32"/>
      <c r="H1" s="32"/>
      <c r="I1" s="32"/>
      <c r="J1" s="32"/>
    </row>
    <row r="2" spans="2:89" ht="15.75" thickBot="1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3:89" ht="15">
      <c r="C3" t="s">
        <v>6</v>
      </c>
      <c r="D3" t="str">
        <f>_xlfn.TEXTJOIN(",",TRUE,Regions!$C$3,Regions!$D$3)</f>
        <v>IE,National</v>
      </c>
      <c r="E3" s="90" t="s">
        <v>211</v>
      </c>
      <c r="F3" s="34"/>
      <c r="G3" s="51">
        <f>+K55</f>
        <v>10.4</v>
      </c>
      <c r="H3" s="52">
        <f t="shared" si="0" ref="H3:H16">+G3</f>
        <v>10.4</v>
      </c>
      <c r="I3" s="52">
        <f t="shared" si="1" ref="I3:BT3">+H3</f>
        <v>10.4</v>
      </c>
      <c r="J3" s="52">
        <f t="shared" si="1"/>
        <v>10.4</v>
      </c>
      <c r="K3" s="52">
        <f>+J3*1.03</f>
        <v>10.712000000000002</v>
      </c>
      <c r="L3" s="52">
        <f>+$G3*$S75/N$75</f>
        <v>10.40620961334899</v>
      </c>
      <c r="M3" s="93">
        <f t="shared" si="2" ref="M3:AM3">+$G3*$S75/O$75</f>
        <v>11.510542423042684</v>
      </c>
      <c r="N3" s="93">
        <f t="shared" si="2"/>
        <v>11.878656477416008</v>
      </c>
      <c r="O3" s="93">
        <f t="shared" si="2"/>
        <v>10.974544850062539</v>
      </c>
      <c r="P3" s="93">
        <f t="shared" si="2"/>
        <v>11.38039831157896</v>
      </c>
      <c r="Q3" s="93">
        <f t="shared" si="2"/>
        <v>10.4</v>
      </c>
      <c r="R3" s="93">
        <f t="shared" si="2"/>
        <v>10.004274759268171</v>
      </c>
      <c r="S3" s="93">
        <f t="shared" si="2"/>
        <v>9.6236070633586746</v>
      </c>
      <c r="T3" s="93">
        <f t="shared" si="2"/>
        <v>9.2574239651032748</v>
      </c>
      <c r="U3" s="93">
        <f t="shared" si="2"/>
        <v>9.2560380499648538</v>
      </c>
      <c r="V3" s="93">
        <f t="shared" si="2"/>
        <v>9.2546523423097202</v>
      </c>
      <c r="W3" s="93">
        <f t="shared" si="2"/>
        <v>9.2532668421068145</v>
      </c>
      <c r="X3" s="93">
        <f t="shared" si="2"/>
        <v>9.2518815493250788</v>
      </c>
      <c r="Y3" s="93">
        <f t="shared" si="2"/>
        <v>9.2504964639334588</v>
      </c>
      <c r="Z3" s="93">
        <f t="shared" si="2"/>
        <v>9.1693289293843847</v>
      </c>
      <c r="AA3" s="93">
        <f t="shared" si="2"/>
        <v>9.0888735910607199</v>
      </c>
      <c r="AB3" s="93">
        <f t="shared" si="2"/>
        <v>9.0091241998695679</v>
      </c>
      <c r="AC3" s="93">
        <f t="shared" si="2"/>
        <v>8.930074561550061</v>
      </c>
      <c r="AD3" s="93">
        <f t="shared" si="2"/>
        <v>8.8517185361922373</v>
      </c>
      <c r="AE3" s="93">
        <f t="shared" si="2"/>
        <v>8.792740745014946</v>
      </c>
      <c r="AF3" s="93">
        <f t="shared" si="2"/>
        <v>8.7341559148020078</v>
      </c>
      <c r="AG3" s="93">
        <f t="shared" si="2"/>
        <v>8.6759614273082057</v>
      </c>
      <c r="AH3" s="93">
        <f t="shared" si="2"/>
        <v>8.618154681733337</v>
      </c>
      <c r="AI3" s="93">
        <f t="shared" si="2"/>
        <v>8.5607330946059736</v>
      </c>
      <c r="AJ3" s="93">
        <f t="shared" si="2"/>
        <v>8.5161742814491639</v>
      </c>
      <c r="AK3" s="93">
        <f t="shared" si="2"/>
        <v>8.4718473979423017</v>
      </c>
      <c r="AL3" s="93">
        <f t="shared" si="2"/>
        <v>8.4277512368862144</v>
      </c>
      <c r="AM3" s="93">
        <f t="shared" si="2"/>
        <v>8.3838845973652241</v>
      </c>
      <c r="AN3" s="52">
        <f t="shared" si="1"/>
        <v>8.3838845973652241</v>
      </c>
      <c r="AO3" s="52">
        <f t="shared" si="1"/>
        <v>8.3838845973652241</v>
      </c>
      <c r="AP3" s="52">
        <f t="shared" si="1"/>
        <v>8.3838845973652241</v>
      </c>
      <c r="AQ3" s="52">
        <f t="shared" si="1"/>
        <v>8.3838845973652241</v>
      </c>
      <c r="AR3" s="52">
        <f t="shared" si="1"/>
        <v>8.3838845973652241</v>
      </c>
      <c r="AS3" s="52">
        <f t="shared" si="1"/>
        <v>8.3838845973652241</v>
      </c>
      <c r="AT3" s="52">
        <f t="shared" si="1"/>
        <v>8.3838845973652241</v>
      </c>
      <c r="AU3" s="52">
        <f t="shared" si="1"/>
        <v>8.3838845973652241</v>
      </c>
      <c r="AV3" s="52">
        <f t="shared" si="1"/>
        <v>8.3838845973652241</v>
      </c>
      <c r="AW3" s="52">
        <f t="shared" si="1"/>
        <v>8.3838845973652241</v>
      </c>
      <c r="AX3" s="52">
        <f t="shared" si="1"/>
        <v>8.3838845973652241</v>
      </c>
      <c r="AY3" s="52">
        <f t="shared" si="1"/>
        <v>8.3838845973652241</v>
      </c>
      <c r="AZ3" s="52">
        <f t="shared" si="1"/>
        <v>8.3838845973652241</v>
      </c>
      <c r="BA3" s="52">
        <f t="shared" si="1"/>
        <v>8.3838845973652241</v>
      </c>
      <c r="BB3" s="52">
        <f t="shared" si="1"/>
        <v>8.3838845973652241</v>
      </c>
      <c r="BC3" s="52">
        <f t="shared" si="1"/>
        <v>8.3838845973652241</v>
      </c>
      <c r="BD3" s="52">
        <f t="shared" si="1"/>
        <v>8.3838845973652241</v>
      </c>
      <c r="BE3" s="52">
        <f t="shared" si="1"/>
        <v>8.3838845973652241</v>
      </c>
      <c r="BF3" s="52">
        <f t="shared" si="1"/>
        <v>8.3838845973652241</v>
      </c>
      <c r="BG3" s="52">
        <f t="shared" si="1"/>
        <v>8.3838845973652241</v>
      </c>
      <c r="BH3" s="52">
        <f t="shared" si="1"/>
        <v>8.3838845973652241</v>
      </c>
      <c r="BI3" s="52">
        <f t="shared" si="1"/>
        <v>8.3838845973652241</v>
      </c>
      <c r="BJ3" s="52">
        <f t="shared" si="1"/>
        <v>8.3838845973652241</v>
      </c>
      <c r="BK3" s="52">
        <f t="shared" si="1"/>
        <v>8.3838845973652241</v>
      </c>
      <c r="BL3" s="52">
        <f t="shared" si="1"/>
        <v>8.3838845973652241</v>
      </c>
      <c r="BM3" s="52">
        <f t="shared" si="1"/>
        <v>8.3838845973652241</v>
      </c>
      <c r="BN3" s="52">
        <f t="shared" si="1"/>
        <v>8.3838845973652241</v>
      </c>
      <c r="BO3" s="52">
        <f t="shared" si="1"/>
        <v>8.3838845973652241</v>
      </c>
      <c r="BP3" s="52">
        <f t="shared" si="1"/>
        <v>8.3838845973652241</v>
      </c>
      <c r="BQ3" s="52">
        <f t="shared" si="1"/>
        <v>8.3838845973652241</v>
      </c>
      <c r="BR3" s="52">
        <f t="shared" si="1"/>
        <v>8.3838845973652241</v>
      </c>
      <c r="BS3" s="52">
        <f t="shared" si="1"/>
        <v>8.3838845973652241</v>
      </c>
      <c r="BT3" s="52">
        <f t="shared" si="1"/>
        <v>8.3838845973652241</v>
      </c>
      <c r="BU3" s="52">
        <f t="shared" si="3" ref="BU3:CK3">+BT3</f>
        <v>8.3838845973652241</v>
      </c>
      <c r="BV3" s="52">
        <f t="shared" si="3"/>
        <v>8.3838845973652241</v>
      </c>
      <c r="BW3" s="52">
        <f t="shared" si="3"/>
        <v>8.3838845973652241</v>
      </c>
      <c r="BX3" s="52">
        <f t="shared" si="3"/>
        <v>8.3838845973652241</v>
      </c>
      <c r="BY3" s="52">
        <f t="shared" si="3"/>
        <v>8.3838845973652241</v>
      </c>
      <c r="BZ3" s="52">
        <f t="shared" si="3"/>
        <v>8.3838845973652241</v>
      </c>
      <c r="CA3" s="52">
        <f t="shared" si="3"/>
        <v>8.3838845973652241</v>
      </c>
      <c r="CB3" s="52">
        <f t="shared" si="3"/>
        <v>8.3838845973652241</v>
      </c>
      <c r="CC3" s="52">
        <f t="shared" si="3"/>
        <v>8.3838845973652241</v>
      </c>
      <c r="CD3" s="52">
        <f t="shared" si="3"/>
        <v>8.3838845973652241</v>
      </c>
      <c r="CE3" s="52">
        <f t="shared" si="3"/>
        <v>8.3838845973652241</v>
      </c>
      <c r="CF3" s="52">
        <f t="shared" si="3"/>
        <v>8.3838845973652241</v>
      </c>
      <c r="CG3" s="52">
        <f t="shared" si="3"/>
        <v>8.3838845973652241</v>
      </c>
      <c r="CH3" s="52">
        <f t="shared" si="3"/>
        <v>8.3838845973652241</v>
      </c>
      <c r="CI3" s="52">
        <f t="shared" si="3"/>
        <v>8.3838845973652241</v>
      </c>
      <c r="CJ3" s="52">
        <f t="shared" si="3"/>
        <v>8.3838845973652241</v>
      </c>
      <c r="CK3" s="52">
        <f t="shared" si="3"/>
        <v>8.3838845973652241</v>
      </c>
    </row>
    <row r="4" spans="3:89" ht="15">
      <c r="C4" t="s">
        <v>6</v>
      </c>
      <c r="D4" t="str">
        <f>_xlfn.TEXTJOIN(",",TRUE,Regions!$C$3,Regions!$D$3)</f>
        <v>IE,National</v>
      </c>
      <c r="E4" s="90" t="s">
        <v>17</v>
      </c>
      <c r="F4" s="34"/>
      <c r="G4" s="92">
        <f t="shared" si="4" ref="G4:G12">+K56</f>
        <v>5.7000000000000002</v>
      </c>
      <c r="H4" s="52">
        <f t="shared" si="0"/>
        <v>5.7000000000000002</v>
      </c>
      <c r="I4" s="52">
        <f t="shared" si="5" ref="I4:BT4">+H4</f>
        <v>5.7000000000000002</v>
      </c>
      <c r="J4" s="52">
        <f t="shared" si="5"/>
        <v>5.7000000000000002</v>
      </c>
      <c r="K4" s="93">
        <f t="shared" si="6" ref="K4:K12">+J4*1.03</f>
        <v>5.8710000000000004</v>
      </c>
      <c r="L4" s="93">
        <f>+$G4*$S73/N$73</f>
        <v>6.3936770363908364</v>
      </c>
      <c r="M4" s="93">
        <f t="shared" si="7" ref="M4:AM4">+$G4*$S73/O$73</f>
        <v>6.266042757717015</v>
      </c>
      <c r="N4" s="93">
        <f t="shared" si="7"/>
        <v>6.4438678067896671</v>
      </c>
      <c r="O4" s="93">
        <f t="shared" si="7"/>
        <v>6.5722596491328815</v>
      </c>
      <c r="P4" s="93">
        <f t="shared" si="7"/>
        <v>5.7338875023601394</v>
      </c>
      <c r="Q4" s="93">
        <f t="shared" si="7"/>
        <v>5.7000000000000002</v>
      </c>
      <c r="R4" s="93">
        <f t="shared" si="7"/>
        <v>5.6656886754820768</v>
      </c>
      <c r="S4" s="93">
        <f t="shared" si="7"/>
        <v>5.6309559140515937</v>
      </c>
      <c r="T4" s="93">
        <f t="shared" si="7"/>
        <v>5.5958044161927232</v>
      </c>
      <c r="U4" s="93">
        <f t="shared" si="7"/>
        <v>5.560237201240092</v>
      </c>
      <c r="V4" s="93">
        <f t="shared" si="7"/>
        <v>5.5242576125160046</v>
      </c>
      <c r="W4" s="93">
        <f t="shared" si="7"/>
        <v>5.4878693203822655</v>
      </c>
      <c r="X4" s="93">
        <f t="shared" si="7"/>
        <v>5.4510763248805425</v>
      </c>
      <c r="Y4" s="93">
        <f t="shared" si="7"/>
        <v>5.4138987174831641</v>
      </c>
      <c r="Z4" s="93">
        <f t="shared" si="7"/>
        <v>5.376323082210031</v>
      </c>
      <c r="AA4" s="93">
        <f t="shared" si="7"/>
        <v>5.3383542853457682</v>
      </c>
      <c r="AB4" s="93">
        <f t="shared" si="7"/>
        <v>5.29999752740639</v>
      </c>
      <c r="AC4" s="93">
        <f t="shared" si="7"/>
        <v>5.2612583463270308</v>
      </c>
      <c r="AD4" s="93">
        <f t="shared" si="7"/>
        <v>5.2221426153495152</v>
      </c>
      <c r="AE4" s="93">
        <f t="shared" si="7"/>
        <v>5.1826565429143709</v>
      </c>
      <c r="AF4" s="93">
        <f t="shared" si="7"/>
        <v>5.1428066717077519</v>
      </c>
      <c r="AG4" s="93">
        <f t="shared" si="7"/>
        <v>5.1025998775850434</v>
      </c>
      <c r="AH4" s="93">
        <f t="shared" si="7"/>
        <v>5.0620433658628121</v>
      </c>
      <c r="AI4" s="93">
        <f t="shared" si="7"/>
        <v>5.0211446684944034</v>
      </c>
      <c r="AJ4" s="93">
        <f t="shared" si="7"/>
        <v>4.9799116417325244</v>
      </c>
      <c r="AK4" s="93">
        <f t="shared" si="7"/>
        <v>4.9383524596043635</v>
      </c>
      <c r="AL4" s="93">
        <f t="shared" si="7"/>
        <v>4.8964756103255471</v>
      </c>
      <c r="AM4" s="93">
        <f t="shared" si="7"/>
        <v>4.854289890097145</v>
      </c>
      <c r="AN4" s="52">
        <f t="shared" si="5"/>
        <v>4.854289890097145</v>
      </c>
      <c r="AO4" s="52">
        <f t="shared" si="5"/>
        <v>4.854289890097145</v>
      </c>
      <c r="AP4" s="52">
        <f t="shared" si="5"/>
        <v>4.854289890097145</v>
      </c>
      <c r="AQ4" s="52">
        <f t="shared" si="5"/>
        <v>4.854289890097145</v>
      </c>
      <c r="AR4" s="52">
        <f t="shared" si="5"/>
        <v>4.854289890097145</v>
      </c>
      <c r="AS4" s="52">
        <f t="shared" si="5"/>
        <v>4.854289890097145</v>
      </c>
      <c r="AT4" s="52">
        <f t="shared" si="5"/>
        <v>4.854289890097145</v>
      </c>
      <c r="AU4" s="52">
        <f t="shared" si="5"/>
        <v>4.854289890097145</v>
      </c>
      <c r="AV4" s="52">
        <f t="shared" si="5"/>
        <v>4.854289890097145</v>
      </c>
      <c r="AW4" s="52">
        <f t="shared" si="5"/>
        <v>4.854289890097145</v>
      </c>
      <c r="AX4" s="52">
        <f t="shared" si="5"/>
        <v>4.854289890097145</v>
      </c>
      <c r="AY4" s="52">
        <f t="shared" si="5"/>
        <v>4.854289890097145</v>
      </c>
      <c r="AZ4" s="52">
        <f t="shared" si="5"/>
        <v>4.854289890097145</v>
      </c>
      <c r="BA4" s="52">
        <f t="shared" si="5"/>
        <v>4.854289890097145</v>
      </c>
      <c r="BB4" s="52">
        <f t="shared" si="5"/>
        <v>4.854289890097145</v>
      </c>
      <c r="BC4" s="52">
        <f t="shared" si="5"/>
        <v>4.854289890097145</v>
      </c>
      <c r="BD4" s="52">
        <f t="shared" si="5"/>
        <v>4.854289890097145</v>
      </c>
      <c r="BE4" s="52">
        <f t="shared" si="5"/>
        <v>4.854289890097145</v>
      </c>
      <c r="BF4" s="52">
        <f t="shared" si="5"/>
        <v>4.854289890097145</v>
      </c>
      <c r="BG4" s="52">
        <f t="shared" si="5"/>
        <v>4.854289890097145</v>
      </c>
      <c r="BH4" s="52">
        <f t="shared" si="5"/>
        <v>4.854289890097145</v>
      </c>
      <c r="BI4" s="52">
        <f t="shared" si="5"/>
        <v>4.854289890097145</v>
      </c>
      <c r="BJ4" s="52">
        <f t="shared" si="5"/>
        <v>4.854289890097145</v>
      </c>
      <c r="BK4" s="52">
        <f t="shared" si="5"/>
        <v>4.854289890097145</v>
      </c>
      <c r="BL4" s="52">
        <f t="shared" si="5"/>
        <v>4.854289890097145</v>
      </c>
      <c r="BM4" s="52">
        <f t="shared" si="5"/>
        <v>4.854289890097145</v>
      </c>
      <c r="BN4" s="52">
        <f t="shared" si="5"/>
        <v>4.854289890097145</v>
      </c>
      <c r="BO4" s="52">
        <f t="shared" si="5"/>
        <v>4.854289890097145</v>
      </c>
      <c r="BP4" s="52">
        <f t="shared" si="5"/>
        <v>4.854289890097145</v>
      </c>
      <c r="BQ4" s="52">
        <f t="shared" si="5"/>
        <v>4.854289890097145</v>
      </c>
      <c r="BR4" s="52">
        <f t="shared" si="5"/>
        <v>4.854289890097145</v>
      </c>
      <c r="BS4" s="52">
        <f t="shared" si="5"/>
        <v>4.854289890097145</v>
      </c>
      <c r="BT4" s="52">
        <f t="shared" si="5"/>
        <v>4.854289890097145</v>
      </c>
      <c r="BU4" s="52">
        <f t="shared" si="8" ref="BU4:CK4">+BT4</f>
        <v>4.854289890097145</v>
      </c>
      <c r="BV4" s="52">
        <f t="shared" si="8"/>
        <v>4.854289890097145</v>
      </c>
      <c r="BW4" s="52">
        <f t="shared" si="8"/>
        <v>4.854289890097145</v>
      </c>
      <c r="BX4" s="52">
        <f t="shared" si="8"/>
        <v>4.854289890097145</v>
      </c>
      <c r="BY4" s="52">
        <f t="shared" si="8"/>
        <v>4.854289890097145</v>
      </c>
      <c r="BZ4" s="52">
        <f t="shared" si="8"/>
        <v>4.854289890097145</v>
      </c>
      <c r="CA4" s="52">
        <f t="shared" si="8"/>
        <v>4.854289890097145</v>
      </c>
      <c r="CB4" s="52">
        <f t="shared" si="8"/>
        <v>4.854289890097145</v>
      </c>
      <c r="CC4" s="52">
        <f t="shared" si="8"/>
        <v>4.854289890097145</v>
      </c>
      <c r="CD4" s="52">
        <f t="shared" si="8"/>
        <v>4.854289890097145</v>
      </c>
      <c r="CE4" s="52">
        <f t="shared" si="8"/>
        <v>4.854289890097145</v>
      </c>
      <c r="CF4" s="52">
        <f t="shared" si="8"/>
        <v>4.854289890097145</v>
      </c>
      <c r="CG4" s="52">
        <f t="shared" si="8"/>
        <v>4.854289890097145</v>
      </c>
      <c r="CH4" s="52">
        <f t="shared" si="8"/>
        <v>4.854289890097145</v>
      </c>
      <c r="CI4" s="52">
        <f t="shared" si="8"/>
        <v>4.854289890097145</v>
      </c>
      <c r="CJ4" s="52">
        <f t="shared" si="8"/>
        <v>4.854289890097145</v>
      </c>
      <c r="CK4" s="52">
        <f t="shared" si="8"/>
        <v>4.854289890097145</v>
      </c>
    </row>
    <row r="5" spans="3:89" ht="15">
      <c r="C5" t="s">
        <v>6</v>
      </c>
      <c r="D5" t="str">
        <f>_xlfn.TEXTJOIN(",",TRUE,Regions!$C$3,Regions!$D$3)</f>
        <v>IE,National</v>
      </c>
      <c r="E5" s="90" t="s">
        <v>212</v>
      </c>
      <c r="F5" s="34"/>
      <c r="G5" s="92">
        <f t="shared" si="4"/>
        <v>13.4</v>
      </c>
      <c r="H5" s="52">
        <f t="shared" si="0"/>
        <v>13.4</v>
      </c>
      <c r="I5" s="52">
        <f t="shared" si="9" ref="I5:BT5">+H5</f>
        <v>13.4</v>
      </c>
      <c r="J5" s="52">
        <f t="shared" si="9"/>
        <v>13.4</v>
      </c>
      <c r="K5" s="93">
        <f t="shared" si="6"/>
        <v>13.802000000000001</v>
      </c>
      <c r="L5" s="93">
        <f>+$G5*$S69/N$69</f>
        <v>16.154874753824778</v>
      </c>
      <c r="M5" s="93">
        <f t="shared" si="10" ref="M5:AM5">+$G5*$S69/O$69</f>
        <v>15.59888189396775</v>
      </c>
      <c r="N5" s="93">
        <f t="shared" si="10"/>
        <v>15.124246148697198</v>
      </c>
      <c r="O5" s="93">
        <f t="shared" si="10"/>
        <v>15.795530518743814</v>
      </c>
      <c r="P5" s="93">
        <f t="shared" si="10"/>
        <v>14.408115366573156</v>
      </c>
      <c r="Q5" s="93">
        <f t="shared" si="10"/>
        <v>13.4</v>
      </c>
      <c r="R5" s="93">
        <f t="shared" si="10"/>
        <v>13.134562029091608</v>
      </c>
      <c r="S5" s="93">
        <f t="shared" si="10"/>
        <v>12.888537306987223</v>
      </c>
      <c r="T5" s="93">
        <f t="shared" si="10"/>
        <v>12.659322874391293</v>
      </c>
      <c r="U5" s="93">
        <f t="shared" si="10"/>
        <v>12.445280669002079</v>
      </c>
      <c r="V5" s="93">
        <f t="shared" si="10"/>
        <v>12.243889967813901</v>
      </c>
      <c r="W5" s="93">
        <f t="shared" si="10"/>
        <v>12.052914648749725</v>
      </c>
      <c r="X5" s="93">
        <f t="shared" si="10"/>
        <v>11.871748558703544</v>
      </c>
      <c r="Y5" s="93">
        <f t="shared" si="10"/>
        <v>11.699076805000395</v>
      </c>
      <c r="Z5" s="93">
        <f t="shared" si="10"/>
        <v>11.534481050370562</v>
      </c>
      <c r="AA5" s="93">
        <f t="shared" si="10"/>
        <v>11.377040013660316</v>
      </c>
      <c r="AB5" s="93">
        <f t="shared" si="10"/>
        <v>11.226106155895152</v>
      </c>
      <c r="AC5" s="93">
        <f t="shared" si="10"/>
        <v>11.081596383154171</v>
      </c>
      <c r="AD5" s="93">
        <f t="shared" si="10"/>
        <v>10.943243886530631</v>
      </c>
      <c r="AE5" s="93">
        <f t="shared" si="10"/>
        <v>10.81081421220996</v>
      </c>
      <c r="AF5" s="93">
        <f t="shared" si="10"/>
        <v>10.684021011683559</v>
      </c>
      <c r="AG5" s="93">
        <f t="shared" si="10"/>
        <v>10.562818879498431</v>
      </c>
      <c r="AH5" s="93">
        <f t="shared" si="10"/>
        <v>10.447016081202372</v>
      </c>
      <c r="AI5" s="93">
        <f t="shared" si="10"/>
        <v>10.336337639390804</v>
      </c>
      <c r="AJ5" s="93">
        <f t="shared" si="10"/>
        <v>10.230656440933911</v>
      </c>
      <c r="AK5" s="93">
        <f t="shared" si="10"/>
        <v>10.129905582855388</v>
      </c>
      <c r="AL5" s="93">
        <f t="shared" si="10"/>
        <v>10.034268734253244</v>
      </c>
      <c r="AM5" s="93">
        <f t="shared" si="10"/>
        <v>9.9435445929686388</v>
      </c>
      <c r="AN5" s="52">
        <f t="shared" si="9"/>
        <v>9.9435445929686388</v>
      </c>
      <c r="AO5" s="52">
        <f t="shared" si="9"/>
        <v>9.9435445929686388</v>
      </c>
      <c r="AP5" s="52">
        <f t="shared" si="9"/>
        <v>9.9435445929686388</v>
      </c>
      <c r="AQ5" s="52">
        <f t="shared" si="9"/>
        <v>9.9435445929686388</v>
      </c>
      <c r="AR5" s="52">
        <f t="shared" si="9"/>
        <v>9.9435445929686388</v>
      </c>
      <c r="AS5" s="52">
        <f t="shared" si="9"/>
        <v>9.9435445929686388</v>
      </c>
      <c r="AT5" s="52">
        <f t="shared" si="9"/>
        <v>9.9435445929686388</v>
      </c>
      <c r="AU5" s="52">
        <f t="shared" si="9"/>
        <v>9.9435445929686388</v>
      </c>
      <c r="AV5" s="52">
        <f t="shared" si="9"/>
        <v>9.9435445929686388</v>
      </c>
      <c r="AW5" s="52">
        <f t="shared" si="9"/>
        <v>9.9435445929686388</v>
      </c>
      <c r="AX5" s="52">
        <f t="shared" si="9"/>
        <v>9.9435445929686388</v>
      </c>
      <c r="AY5" s="52">
        <f t="shared" si="9"/>
        <v>9.9435445929686388</v>
      </c>
      <c r="AZ5" s="52">
        <f t="shared" si="9"/>
        <v>9.9435445929686388</v>
      </c>
      <c r="BA5" s="52">
        <f t="shared" si="9"/>
        <v>9.9435445929686388</v>
      </c>
      <c r="BB5" s="52">
        <f t="shared" si="9"/>
        <v>9.9435445929686388</v>
      </c>
      <c r="BC5" s="52">
        <f t="shared" si="9"/>
        <v>9.9435445929686388</v>
      </c>
      <c r="BD5" s="52">
        <f t="shared" si="9"/>
        <v>9.9435445929686388</v>
      </c>
      <c r="BE5" s="52">
        <f t="shared" si="9"/>
        <v>9.9435445929686388</v>
      </c>
      <c r="BF5" s="52">
        <f t="shared" si="9"/>
        <v>9.9435445929686388</v>
      </c>
      <c r="BG5" s="52">
        <f t="shared" si="9"/>
        <v>9.9435445929686388</v>
      </c>
      <c r="BH5" s="52">
        <f t="shared" si="9"/>
        <v>9.9435445929686388</v>
      </c>
      <c r="BI5" s="52">
        <f t="shared" si="9"/>
        <v>9.9435445929686388</v>
      </c>
      <c r="BJ5" s="52">
        <f t="shared" si="9"/>
        <v>9.9435445929686388</v>
      </c>
      <c r="BK5" s="52">
        <f t="shared" si="9"/>
        <v>9.9435445929686388</v>
      </c>
      <c r="BL5" s="52">
        <f t="shared" si="9"/>
        <v>9.9435445929686388</v>
      </c>
      <c r="BM5" s="52">
        <f t="shared" si="9"/>
        <v>9.9435445929686388</v>
      </c>
      <c r="BN5" s="52">
        <f t="shared" si="9"/>
        <v>9.9435445929686388</v>
      </c>
      <c r="BO5" s="52">
        <f t="shared" si="9"/>
        <v>9.9435445929686388</v>
      </c>
      <c r="BP5" s="52">
        <f t="shared" si="9"/>
        <v>9.9435445929686388</v>
      </c>
      <c r="BQ5" s="52">
        <f t="shared" si="9"/>
        <v>9.9435445929686388</v>
      </c>
      <c r="BR5" s="52">
        <f t="shared" si="9"/>
        <v>9.9435445929686388</v>
      </c>
      <c r="BS5" s="52">
        <f t="shared" si="9"/>
        <v>9.9435445929686388</v>
      </c>
      <c r="BT5" s="52">
        <f t="shared" si="9"/>
        <v>9.9435445929686388</v>
      </c>
      <c r="BU5" s="52">
        <f t="shared" si="11" ref="BU5:CK5">+BT5</f>
        <v>9.9435445929686388</v>
      </c>
      <c r="BV5" s="52">
        <f t="shared" si="11"/>
        <v>9.9435445929686388</v>
      </c>
      <c r="BW5" s="52">
        <f t="shared" si="11"/>
        <v>9.9435445929686388</v>
      </c>
      <c r="BX5" s="52">
        <f t="shared" si="11"/>
        <v>9.9435445929686388</v>
      </c>
      <c r="BY5" s="52">
        <f t="shared" si="11"/>
        <v>9.9435445929686388</v>
      </c>
      <c r="BZ5" s="52">
        <f t="shared" si="11"/>
        <v>9.9435445929686388</v>
      </c>
      <c r="CA5" s="52">
        <f t="shared" si="11"/>
        <v>9.9435445929686388</v>
      </c>
      <c r="CB5" s="52">
        <f t="shared" si="11"/>
        <v>9.9435445929686388</v>
      </c>
      <c r="CC5" s="52">
        <f t="shared" si="11"/>
        <v>9.9435445929686388</v>
      </c>
      <c r="CD5" s="52">
        <f t="shared" si="11"/>
        <v>9.9435445929686388</v>
      </c>
      <c r="CE5" s="52">
        <f t="shared" si="11"/>
        <v>9.9435445929686388</v>
      </c>
      <c r="CF5" s="52">
        <f t="shared" si="11"/>
        <v>9.9435445929686388</v>
      </c>
      <c r="CG5" s="52">
        <f t="shared" si="11"/>
        <v>9.9435445929686388</v>
      </c>
      <c r="CH5" s="52">
        <f t="shared" si="11"/>
        <v>9.9435445929686388</v>
      </c>
      <c r="CI5" s="52">
        <f t="shared" si="11"/>
        <v>9.9435445929686388</v>
      </c>
      <c r="CJ5" s="52">
        <f t="shared" si="11"/>
        <v>9.9435445929686388</v>
      </c>
      <c r="CK5" s="52">
        <f t="shared" si="11"/>
        <v>9.9435445929686388</v>
      </c>
    </row>
    <row r="6" spans="3:89" ht="15">
      <c r="C6" t="s">
        <v>6</v>
      </c>
      <c r="D6" t="str">
        <f>_xlfn.TEXTJOIN(",",TRUE,Regions!$C$3,Regions!$D$3)</f>
        <v>IE,National</v>
      </c>
      <c r="E6" s="90" t="s">
        <v>213</v>
      </c>
      <c r="F6" s="34"/>
      <c r="G6" s="92">
        <f t="shared" si="4"/>
        <v>1.3</v>
      </c>
      <c r="H6" s="52">
        <f t="shared" si="0"/>
        <v>1.3</v>
      </c>
      <c r="I6" s="52">
        <f t="shared" si="12" ref="I6:BT6">+H6</f>
        <v>1.3</v>
      </c>
      <c r="J6" s="52">
        <f t="shared" si="12"/>
        <v>1.3</v>
      </c>
      <c r="K6" s="93">
        <f t="shared" si="6"/>
        <v>1.3390000000000002</v>
      </c>
      <c r="L6" s="93">
        <f>+$G6*$S75/N$75</f>
        <v>1.3007762016686237</v>
      </c>
      <c r="M6" s="93">
        <f t="shared" si="13" ref="M6:AM6">+$G6*$S75/O$75</f>
        <v>1.4388178028803356</v>
      </c>
      <c r="N6" s="93">
        <f t="shared" si="13"/>
        <v>1.484832059677001</v>
      </c>
      <c r="O6" s="93">
        <f t="shared" si="13"/>
        <v>1.3718181062578174</v>
      </c>
      <c r="P6" s="93">
        <f t="shared" si="13"/>
        <v>1.4225497889473699</v>
      </c>
      <c r="Q6" s="93">
        <f t="shared" si="13"/>
        <v>1.3</v>
      </c>
      <c r="R6" s="93">
        <f t="shared" si="13"/>
        <v>1.2505343449085213</v>
      </c>
      <c r="S6" s="93">
        <f t="shared" si="13"/>
        <v>1.2029508829198343</v>
      </c>
      <c r="T6" s="93">
        <f t="shared" si="13"/>
        <v>1.1571779956379094</v>
      </c>
      <c r="U6" s="93">
        <f t="shared" si="13"/>
        <v>1.1570047562456067</v>
      </c>
      <c r="V6" s="93">
        <f t="shared" si="13"/>
        <v>1.156831542788715</v>
      </c>
      <c r="W6" s="93">
        <f t="shared" si="13"/>
        <v>1.1566583552633518</v>
      </c>
      <c r="X6" s="93">
        <f t="shared" si="13"/>
        <v>1.1564851936656348</v>
      </c>
      <c r="Y6" s="93">
        <f t="shared" si="13"/>
        <v>1.1563120579916824</v>
      </c>
      <c r="Z6" s="93">
        <f t="shared" si="13"/>
        <v>1.1461661161730481</v>
      </c>
      <c r="AA6" s="93">
        <f t="shared" si="13"/>
        <v>1.13610919888259</v>
      </c>
      <c r="AB6" s="93">
        <f t="shared" si="13"/>
        <v>1.126140524983696</v>
      </c>
      <c r="AC6" s="93">
        <f t="shared" si="13"/>
        <v>1.1162593201937576</v>
      </c>
      <c r="AD6" s="93">
        <f t="shared" si="13"/>
        <v>1.1064648170240297</v>
      </c>
      <c r="AE6" s="93">
        <f t="shared" si="13"/>
        <v>1.0990925931268682</v>
      </c>
      <c r="AF6" s="93">
        <f t="shared" si="13"/>
        <v>1.091769489350251</v>
      </c>
      <c r="AG6" s="93">
        <f t="shared" si="13"/>
        <v>1.0844951784135257</v>
      </c>
      <c r="AH6" s="93">
        <f t="shared" si="13"/>
        <v>1.0772693352166671</v>
      </c>
      <c r="AI6" s="93">
        <f t="shared" si="13"/>
        <v>1.0700916368257467</v>
      </c>
      <c r="AJ6" s="93">
        <f t="shared" si="13"/>
        <v>1.0645217851811455</v>
      </c>
      <c r="AK6" s="93">
        <f t="shared" si="13"/>
        <v>1.0589809247427877</v>
      </c>
      <c r="AL6" s="93">
        <f t="shared" si="13"/>
        <v>1.0534689046107768</v>
      </c>
      <c r="AM6" s="93">
        <f t="shared" si="13"/>
        <v>1.047985574670653</v>
      </c>
      <c r="AN6" s="52">
        <f t="shared" si="12"/>
        <v>1.047985574670653</v>
      </c>
      <c r="AO6" s="52">
        <f t="shared" si="12"/>
        <v>1.047985574670653</v>
      </c>
      <c r="AP6" s="52">
        <f t="shared" si="12"/>
        <v>1.047985574670653</v>
      </c>
      <c r="AQ6" s="52">
        <f t="shared" si="12"/>
        <v>1.047985574670653</v>
      </c>
      <c r="AR6" s="52">
        <f t="shared" si="12"/>
        <v>1.047985574670653</v>
      </c>
      <c r="AS6" s="52">
        <f t="shared" si="12"/>
        <v>1.047985574670653</v>
      </c>
      <c r="AT6" s="52">
        <f t="shared" si="12"/>
        <v>1.047985574670653</v>
      </c>
      <c r="AU6" s="52">
        <f t="shared" si="12"/>
        <v>1.047985574670653</v>
      </c>
      <c r="AV6" s="52">
        <f t="shared" si="12"/>
        <v>1.047985574670653</v>
      </c>
      <c r="AW6" s="52">
        <f t="shared" si="12"/>
        <v>1.047985574670653</v>
      </c>
      <c r="AX6" s="52">
        <f t="shared" si="12"/>
        <v>1.047985574670653</v>
      </c>
      <c r="AY6" s="52">
        <f t="shared" si="12"/>
        <v>1.047985574670653</v>
      </c>
      <c r="AZ6" s="52">
        <f t="shared" si="12"/>
        <v>1.047985574670653</v>
      </c>
      <c r="BA6" s="52">
        <f t="shared" si="12"/>
        <v>1.047985574670653</v>
      </c>
      <c r="BB6" s="52">
        <f t="shared" si="12"/>
        <v>1.047985574670653</v>
      </c>
      <c r="BC6" s="52">
        <f t="shared" si="12"/>
        <v>1.047985574670653</v>
      </c>
      <c r="BD6" s="52">
        <f t="shared" si="12"/>
        <v>1.047985574670653</v>
      </c>
      <c r="BE6" s="52">
        <f t="shared" si="12"/>
        <v>1.047985574670653</v>
      </c>
      <c r="BF6" s="52">
        <f t="shared" si="12"/>
        <v>1.047985574670653</v>
      </c>
      <c r="BG6" s="52">
        <f t="shared" si="12"/>
        <v>1.047985574670653</v>
      </c>
      <c r="BH6" s="52">
        <f t="shared" si="12"/>
        <v>1.047985574670653</v>
      </c>
      <c r="BI6" s="52">
        <f t="shared" si="12"/>
        <v>1.047985574670653</v>
      </c>
      <c r="BJ6" s="52">
        <f t="shared" si="12"/>
        <v>1.047985574670653</v>
      </c>
      <c r="BK6" s="52">
        <f t="shared" si="12"/>
        <v>1.047985574670653</v>
      </c>
      <c r="BL6" s="52">
        <f t="shared" si="12"/>
        <v>1.047985574670653</v>
      </c>
      <c r="BM6" s="52">
        <f t="shared" si="12"/>
        <v>1.047985574670653</v>
      </c>
      <c r="BN6" s="52">
        <f t="shared" si="12"/>
        <v>1.047985574670653</v>
      </c>
      <c r="BO6" s="52">
        <f t="shared" si="12"/>
        <v>1.047985574670653</v>
      </c>
      <c r="BP6" s="52">
        <f t="shared" si="12"/>
        <v>1.047985574670653</v>
      </c>
      <c r="BQ6" s="52">
        <f t="shared" si="12"/>
        <v>1.047985574670653</v>
      </c>
      <c r="BR6" s="52">
        <f t="shared" si="12"/>
        <v>1.047985574670653</v>
      </c>
      <c r="BS6" s="52">
        <f t="shared" si="12"/>
        <v>1.047985574670653</v>
      </c>
      <c r="BT6" s="52">
        <f t="shared" si="12"/>
        <v>1.047985574670653</v>
      </c>
      <c r="BU6" s="52">
        <f t="shared" si="14" ref="BU6:CK6">+BT6</f>
        <v>1.047985574670653</v>
      </c>
      <c r="BV6" s="52">
        <f t="shared" si="14"/>
        <v>1.047985574670653</v>
      </c>
      <c r="BW6" s="52">
        <f t="shared" si="14"/>
        <v>1.047985574670653</v>
      </c>
      <c r="BX6" s="52">
        <f t="shared" si="14"/>
        <v>1.047985574670653</v>
      </c>
      <c r="BY6" s="52">
        <f t="shared" si="14"/>
        <v>1.047985574670653</v>
      </c>
      <c r="BZ6" s="52">
        <f t="shared" si="14"/>
        <v>1.047985574670653</v>
      </c>
      <c r="CA6" s="52">
        <f t="shared" si="14"/>
        <v>1.047985574670653</v>
      </c>
      <c r="CB6" s="52">
        <f t="shared" si="14"/>
        <v>1.047985574670653</v>
      </c>
      <c r="CC6" s="52">
        <f t="shared" si="14"/>
        <v>1.047985574670653</v>
      </c>
      <c r="CD6" s="52">
        <f t="shared" si="14"/>
        <v>1.047985574670653</v>
      </c>
      <c r="CE6" s="52">
        <f t="shared" si="14"/>
        <v>1.047985574670653</v>
      </c>
      <c r="CF6" s="52">
        <f t="shared" si="14"/>
        <v>1.047985574670653</v>
      </c>
      <c r="CG6" s="52">
        <f t="shared" si="14"/>
        <v>1.047985574670653</v>
      </c>
      <c r="CH6" s="52">
        <f t="shared" si="14"/>
        <v>1.047985574670653</v>
      </c>
      <c r="CI6" s="52">
        <f t="shared" si="14"/>
        <v>1.047985574670653</v>
      </c>
      <c r="CJ6" s="52">
        <f t="shared" si="14"/>
        <v>1.047985574670653</v>
      </c>
      <c r="CK6" s="52">
        <f t="shared" si="14"/>
        <v>1.047985574670653</v>
      </c>
    </row>
    <row r="7" spans="3:89" ht="15">
      <c r="C7" t="s">
        <v>6</v>
      </c>
      <c r="D7" t="str">
        <f>_xlfn.TEXTJOIN(",",TRUE,Regions!$C$3,Regions!$D$3)</f>
        <v>IE,National</v>
      </c>
      <c r="E7" s="90" t="s">
        <v>23</v>
      </c>
      <c r="F7" s="34"/>
      <c r="G7" s="92">
        <f t="shared" si="4"/>
        <v>16.5</v>
      </c>
      <c r="H7" s="52">
        <f t="shared" si="0"/>
        <v>16.5</v>
      </c>
      <c r="I7" s="52">
        <f t="shared" si="15" ref="I7:BT7">+H7</f>
        <v>16.5</v>
      </c>
      <c r="J7" s="52">
        <f t="shared" si="15"/>
        <v>16.5</v>
      </c>
      <c r="K7" s="93">
        <f t="shared" si="6"/>
        <v>16.995000000000001</v>
      </c>
      <c r="L7" s="93">
        <f>+$G7*$S76/N$76</f>
        <v>14.770551619589172</v>
      </c>
      <c r="M7" s="93">
        <f t="shared" si="16" ref="M7:AM7">+$G7*$S76/O$76</f>
        <v>14.463373941303244</v>
      </c>
      <c r="N7" s="93">
        <f t="shared" si="16"/>
        <v>16.074619891693487</v>
      </c>
      <c r="O7" s="93">
        <f t="shared" si="16"/>
        <v>15.458364591425843</v>
      </c>
      <c r="P7" s="93">
        <f t="shared" si="16"/>
        <v>17.455175383869477</v>
      </c>
      <c r="Q7" s="93">
        <f t="shared" si="16"/>
        <v>16.5</v>
      </c>
      <c r="R7" s="93">
        <f t="shared" si="16"/>
        <v>16.416351705991989</v>
      </c>
      <c r="S7" s="93">
        <f t="shared" si="16"/>
        <v>16.331468762085475</v>
      </c>
      <c r="T7" s="93">
        <f t="shared" si="16"/>
        <v>16.245348842972991</v>
      </c>
      <c r="U7" s="93">
        <f t="shared" si="16"/>
        <v>16.157990258938664</v>
      </c>
      <c r="V7" s="93">
        <f t="shared" si="16"/>
        <v>16.069391982495713</v>
      </c>
      <c r="W7" s="93">
        <f t="shared" si="16"/>
        <v>15.979553633897883</v>
      </c>
      <c r="X7" s="93">
        <f t="shared" si="16"/>
        <v>15.888475486920342</v>
      </c>
      <c r="Y7" s="93">
        <f t="shared" si="16"/>
        <v>15.795266930843539</v>
      </c>
      <c r="Z7" s="93">
        <f t="shared" si="16"/>
        <v>15.700870292566611</v>
      </c>
      <c r="AA7" s="93">
        <f t="shared" si="16"/>
        <v>15.6052895305357</v>
      </c>
      <c r="AB7" s="93">
        <f t="shared" si="16"/>
        <v>15.508529285960138</v>
      </c>
      <c r="AC7" s="93">
        <f t="shared" si="16"/>
        <v>15.41059488973228</v>
      </c>
      <c r="AD7" s="93">
        <f t="shared" si="16"/>
        <v>15.311492362432743</v>
      </c>
      <c r="AE7" s="93">
        <f t="shared" si="16"/>
        <v>15.211228397205899</v>
      </c>
      <c r="AF7" s="93">
        <f t="shared" si="16"/>
        <v>15.109810368988539</v>
      </c>
      <c r="AG7" s="93">
        <f t="shared" si="16"/>
        <v>15.007246311658434</v>
      </c>
      <c r="AH7" s="93">
        <f t="shared" si="16"/>
        <v>14.903544922185976</v>
      </c>
      <c r="AI7" s="93">
        <f t="shared" si="16"/>
        <v>14.798715529328401</v>
      </c>
      <c r="AJ7" s="93">
        <f t="shared" si="16"/>
        <v>14.692768078156226</v>
      </c>
      <c r="AK7" s="93">
        <f t="shared" si="16"/>
        <v>14.585713120819472</v>
      </c>
      <c r="AL7" s="93">
        <f t="shared" si="16"/>
        <v>14.47756177190986</v>
      </c>
      <c r="AM7" s="93">
        <f t="shared" si="16"/>
        <v>14.368325688742003</v>
      </c>
      <c r="AN7" s="52">
        <f t="shared" si="15"/>
        <v>14.368325688742003</v>
      </c>
      <c r="AO7" s="52">
        <f t="shared" si="15"/>
        <v>14.368325688742003</v>
      </c>
      <c r="AP7" s="52">
        <f t="shared" si="15"/>
        <v>14.368325688742003</v>
      </c>
      <c r="AQ7" s="52">
        <f t="shared" si="15"/>
        <v>14.368325688742003</v>
      </c>
      <c r="AR7" s="52">
        <f t="shared" si="15"/>
        <v>14.368325688742003</v>
      </c>
      <c r="AS7" s="52">
        <f t="shared" si="15"/>
        <v>14.368325688742003</v>
      </c>
      <c r="AT7" s="52">
        <f t="shared" si="15"/>
        <v>14.368325688742003</v>
      </c>
      <c r="AU7" s="52">
        <f t="shared" si="15"/>
        <v>14.368325688742003</v>
      </c>
      <c r="AV7" s="52">
        <f t="shared" si="15"/>
        <v>14.368325688742003</v>
      </c>
      <c r="AW7" s="52">
        <f t="shared" si="15"/>
        <v>14.368325688742003</v>
      </c>
      <c r="AX7" s="52">
        <f t="shared" si="15"/>
        <v>14.368325688742003</v>
      </c>
      <c r="AY7" s="52">
        <f t="shared" si="15"/>
        <v>14.368325688742003</v>
      </c>
      <c r="AZ7" s="52">
        <f t="shared" si="15"/>
        <v>14.368325688742003</v>
      </c>
      <c r="BA7" s="52">
        <f t="shared" si="15"/>
        <v>14.368325688742003</v>
      </c>
      <c r="BB7" s="52">
        <f t="shared" si="15"/>
        <v>14.368325688742003</v>
      </c>
      <c r="BC7" s="52">
        <f t="shared" si="15"/>
        <v>14.368325688742003</v>
      </c>
      <c r="BD7" s="52">
        <f t="shared" si="15"/>
        <v>14.368325688742003</v>
      </c>
      <c r="BE7" s="52">
        <f t="shared" si="15"/>
        <v>14.368325688742003</v>
      </c>
      <c r="BF7" s="52">
        <f t="shared" si="15"/>
        <v>14.368325688742003</v>
      </c>
      <c r="BG7" s="52">
        <f t="shared" si="15"/>
        <v>14.368325688742003</v>
      </c>
      <c r="BH7" s="52">
        <f t="shared" si="15"/>
        <v>14.368325688742003</v>
      </c>
      <c r="BI7" s="52">
        <f t="shared" si="15"/>
        <v>14.368325688742003</v>
      </c>
      <c r="BJ7" s="52">
        <f t="shared" si="15"/>
        <v>14.368325688742003</v>
      </c>
      <c r="BK7" s="52">
        <f t="shared" si="15"/>
        <v>14.368325688742003</v>
      </c>
      <c r="BL7" s="52">
        <f t="shared" si="15"/>
        <v>14.368325688742003</v>
      </c>
      <c r="BM7" s="52">
        <f t="shared" si="15"/>
        <v>14.368325688742003</v>
      </c>
      <c r="BN7" s="52">
        <f t="shared" si="15"/>
        <v>14.368325688742003</v>
      </c>
      <c r="BO7" s="52">
        <f t="shared" si="15"/>
        <v>14.368325688742003</v>
      </c>
      <c r="BP7" s="52">
        <f t="shared" si="15"/>
        <v>14.368325688742003</v>
      </c>
      <c r="BQ7" s="52">
        <f t="shared" si="15"/>
        <v>14.368325688742003</v>
      </c>
      <c r="BR7" s="52">
        <f t="shared" si="15"/>
        <v>14.368325688742003</v>
      </c>
      <c r="BS7" s="52">
        <f t="shared" si="15"/>
        <v>14.368325688742003</v>
      </c>
      <c r="BT7" s="52">
        <f t="shared" si="15"/>
        <v>14.368325688742003</v>
      </c>
      <c r="BU7" s="52">
        <f t="shared" si="17" ref="BU7:CK7">+BT7</f>
        <v>14.368325688742003</v>
      </c>
      <c r="BV7" s="52">
        <f t="shared" si="17"/>
        <v>14.368325688742003</v>
      </c>
      <c r="BW7" s="52">
        <f t="shared" si="17"/>
        <v>14.368325688742003</v>
      </c>
      <c r="BX7" s="52">
        <f t="shared" si="17"/>
        <v>14.368325688742003</v>
      </c>
      <c r="BY7" s="52">
        <f t="shared" si="17"/>
        <v>14.368325688742003</v>
      </c>
      <c r="BZ7" s="52">
        <f t="shared" si="17"/>
        <v>14.368325688742003</v>
      </c>
      <c r="CA7" s="52">
        <f t="shared" si="17"/>
        <v>14.368325688742003</v>
      </c>
      <c r="CB7" s="52">
        <f t="shared" si="17"/>
        <v>14.368325688742003</v>
      </c>
      <c r="CC7" s="52">
        <f t="shared" si="17"/>
        <v>14.368325688742003</v>
      </c>
      <c r="CD7" s="52">
        <f t="shared" si="17"/>
        <v>14.368325688742003</v>
      </c>
      <c r="CE7" s="52">
        <f t="shared" si="17"/>
        <v>14.368325688742003</v>
      </c>
      <c r="CF7" s="52">
        <f t="shared" si="17"/>
        <v>14.368325688742003</v>
      </c>
      <c r="CG7" s="52">
        <f t="shared" si="17"/>
        <v>14.368325688742003</v>
      </c>
      <c r="CH7" s="52">
        <f t="shared" si="17"/>
        <v>14.368325688742003</v>
      </c>
      <c r="CI7" s="52">
        <f t="shared" si="17"/>
        <v>14.368325688742003</v>
      </c>
      <c r="CJ7" s="52">
        <f t="shared" si="17"/>
        <v>14.368325688742003</v>
      </c>
      <c r="CK7" s="52">
        <f t="shared" si="17"/>
        <v>14.368325688742003</v>
      </c>
    </row>
    <row r="8" spans="3:89" ht="15">
      <c r="C8" t="s">
        <v>6</v>
      </c>
      <c r="D8" t="str">
        <f>_xlfn.TEXTJOIN(",",TRUE,Regions!$C$3,Regions!$D$3)</f>
        <v>IE,National</v>
      </c>
      <c r="E8" s="90" t="s">
        <v>31</v>
      </c>
      <c r="F8" s="34"/>
      <c r="G8" s="92">
        <f t="shared" si="4"/>
        <v>3.7999999999999998</v>
      </c>
      <c r="H8" s="52">
        <f t="shared" si="0"/>
        <v>3.7999999999999998</v>
      </c>
      <c r="I8" s="52">
        <f t="shared" si="18" ref="I8:BT8">+H8</f>
        <v>3.7999999999999998</v>
      </c>
      <c r="J8" s="52">
        <f t="shared" si="18"/>
        <v>3.7999999999999998</v>
      </c>
      <c r="K8" s="93">
        <f t="shared" si="6"/>
        <v>3.9139999999999997</v>
      </c>
      <c r="L8" s="93">
        <f>+$G8*$S80/N$80</f>
        <v>3.8741569495470718</v>
      </c>
      <c r="M8" s="93">
        <f t="shared" si="19" ref="M8:AM8">+$G8*$S80/O$80</f>
        <v>4.2242562315564411</v>
      </c>
      <c r="N8" s="93">
        <f t="shared" si="19"/>
        <v>4.2726524372162</v>
      </c>
      <c r="O8" s="93">
        <f t="shared" si="19"/>
        <v>4.3933187922614563</v>
      </c>
      <c r="P8" s="93">
        <f t="shared" si="19"/>
        <v>3.8790947720120998</v>
      </c>
      <c r="Q8" s="93">
        <f t="shared" si="19"/>
        <v>3.8000000000000003</v>
      </c>
      <c r="R8" s="93">
        <f t="shared" si="19"/>
        <v>3.7277776194823407</v>
      </c>
      <c r="S8" s="93">
        <f t="shared" si="19"/>
        <v>3.6616176679563091</v>
      </c>
      <c r="T8" s="93">
        <f t="shared" si="19"/>
        <v>3.6007272705014657</v>
      </c>
      <c r="U8" s="93">
        <f t="shared" si="19"/>
        <v>3.5447132517963373</v>
      </c>
      <c r="V8" s="93">
        <f t="shared" si="19"/>
        <v>3.492652383099208</v>
      </c>
      <c r="W8" s="93">
        <f t="shared" si="19"/>
        <v>3.4436745528570749</v>
      </c>
      <c r="X8" s="93">
        <f t="shared" si="19"/>
        <v>3.3977176661971833</v>
      </c>
      <c r="Y8" s="93">
        <f t="shared" si="19"/>
        <v>3.3543112366830155</v>
      </c>
      <c r="Z8" s="93">
        <f t="shared" si="19"/>
        <v>3.3134254756279646</v>
      </c>
      <c r="AA8" s="93">
        <f t="shared" si="19"/>
        <v>3.2747337227406574</v>
      </c>
      <c r="AB8" s="93">
        <f t="shared" si="19"/>
        <v>3.2380363877831293</v>
      </c>
      <c r="AC8" s="93">
        <f t="shared" si="19"/>
        <v>3.2034539913233484</v>
      </c>
      <c r="AD8" s="93">
        <f t="shared" si="19"/>
        <v>3.1709955920784174</v>
      </c>
      <c r="AE8" s="93">
        <f t="shared" si="19"/>
        <v>3.1406845465026718</v>
      </c>
      <c r="AF8" s="93">
        <f t="shared" si="19"/>
        <v>3.1125058965289272</v>
      </c>
      <c r="AG8" s="93">
        <f t="shared" si="19"/>
        <v>3.0865975534047663</v>
      </c>
      <c r="AH8" s="93">
        <f t="shared" si="19"/>
        <v>3.0630049887520019</v>
      </c>
      <c r="AI8" s="93">
        <f t="shared" si="19"/>
        <v>3.0417142562812236</v>
      </c>
      <c r="AJ8" s="93">
        <f t="shared" si="19"/>
        <v>3.0228105007297605</v>
      </c>
      <c r="AK8" s="93">
        <f t="shared" si="19"/>
        <v>3.0064278388580798</v>
      </c>
      <c r="AL8" s="93">
        <f t="shared" si="19"/>
        <v>2.9928958143920679</v>
      </c>
      <c r="AM8" s="93">
        <f t="shared" si="19"/>
        <v>2.9822756267333546</v>
      </c>
      <c r="AN8" s="52">
        <f t="shared" si="18"/>
        <v>2.9822756267333546</v>
      </c>
      <c r="AO8" s="52">
        <f t="shared" si="18"/>
        <v>2.9822756267333546</v>
      </c>
      <c r="AP8" s="52">
        <f t="shared" si="18"/>
        <v>2.9822756267333546</v>
      </c>
      <c r="AQ8" s="52">
        <f t="shared" si="18"/>
        <v>2.9822756267333546</v>
      </c>
      <c r="AR8" s="52">
        <f t="shared" si="18"/>
        <v>2.9822756267333546</v>
      </c>
      <c r="AS8" s="52">
        <f t="shared" si="18"/>
        <v>2.9822756267333546</v>
      </c>
      <c r="AT8" s="52">
        <f t="shared" si="18"/>
        <v>2.9822756267333546</v>
      </c>
      <c r="AU8" s="52">
        <f t="shared" si="18"/>
        <v>2.9822756267333546</v>
      </c>
      <c r="AV8" s="52">
        <f t="shared" si="18"/>
        <v>2.9822756267333546</v>
      </c>
      <c r="AW8" s="52">
        <f t="shared" si="18"/>
        <v>2.9822756267333546</v>
      </c>
      <c r="AX8" s="52">
        <f t="shared" si="18"/>
        <v>2.9822756267333546</v>
      </c>
      <c r="AY8" s="52">
        <f t="shared" si="18"/>
        <v>2.9822756267333546</v>
      </c>
      <c r="AZ8" s="52">
        <f t="shared" si="18"/>
        <v>2.9822756267333546</v>
      </c>
      <c r="BA8" s="52">
        <f t="shared" si="18"/>
        <v>2.9822756267333546</v>
      </c>
      <c r="BB8" s="52">
        <f t="shared" si="18"/>
        <v>2.9822756267333546</v>
      </c>
      <c r="BC8" s="52">
        <f t="shared" si="18"/>
        <v>2.9822756267333546</v>
      </c>
      <c r="BD8" s="52">
        <f t="shared" si="18"/>
        <v>2.9822756267333546</v>
      </c>
      <c r="BE8" s="52">
        <f t="shared" si="18"/>
        <v>2.9822756267333546</v>
      </c>
      <c r="BF8" s="52">
        <f t="shared" si="18"/>
        <v>2.9822756267333546</v>
      </c>
      <c r="BG8" s="52">
        <f t="shared" si="18"/>
        <v>2.9822756267333546</v>
      </c>
      <c r="BH8" s="52">
        <f t="shared" si="18"/>
        <v>2.9822756267333546</v>
      </c>
      <c r="BI8" s="52">
        <f t="shared" si="18"/>
        <v>2.9822756267333546</v>
      </c>
      <c r="BJ8" s="52">
        <f t="shared" si="18"/>
        <v>2.9822756267333546</v>
      </c>
      <c r="BK8" s="52">
        <f t="shared" si="18"/>
        <v>2.9822756267333546</v>
      </c>
      <c r="BL8" s="52">
        <f t="shared" si="18"/>
        <v>2.9822756267333546</v>
      </c>
      <c r="BM8" s="52">
        <f t="shared" si="18"/>
        <v>2.9822756267333546</v>
      </c>
      <c r="BN8" s="52">
        <f t="shared" si="18"/>
        <v>2.9822756267333546</v>
      </c>
      <c r="BO8" s="52">
        <f t="shared" si="18"/>
        <v>2.9822756267333546</v>
      </c>
      <c r="BP8" s="52">
        <f t="shared" si="18"/>
        <v>2.9822756267333546</v>
      </c>
      <c r="BQ8" s="52">
        <f t="shared" si="18"/>
        <v>2.9822756267333546</v>
      </c>
      <c r="BR8" s="52">
        <f t="shared" si="18"/>
        <v>2.9822756267333546</v>
      </c>
      <c r="BS8" s="52">
        <f t="shared" si="18"/>
        <v>2.9822756267333546</v>
      </c>
      <c r="BT8" s="52">
        <f t="shared" si="18"/>
        <v>2.9822756267333546</v>
      </c>
      <c r="BU8" s="52">
        <f t="shared" si="20" ref="BU8:CK8">+BT8</f>
        <v>2.9822756267333546</v>
      </c>
      <c r="BV8" s="52">
        <f t="shared" si="20"/>
        <v>2.9822756267333546</v>
      </c>
      <c r="BW8" s="52">
        <f t="shared" si="20"/>
        <v>2.9822756267333546</v>
      </c>
      <c r="BX8" s="52">
        <f t="shared" si="20"/>
        <v>2.9822756267333546</v>
      </c>
      <c r="BY8" s="52">
        <f t="shared" si="20"/>
        <v>2.9822756267333546</v>
      </c>
      <c r="BZ8" s="52">
        <f t="shared" si="20"/>
        <v>2.9822756267333546</v>
      </c>
      <c r="CA8" s="52">
        <f t="shared" si="20"/>
        <v>2.9822756267333546</v>
      </c>
      <c r="CB8" s="52">
        <f t="shared" si="20"/>
        <v>2.9822756267333546</v>
      </c>
      <c r="CC8" s="52">
        <f t="shared" si="20"/>
        <v>2.9822756267333546</v>
      </c>
      <c r="CD8" s="52">
        <f t="shared" si="20"/>
        <v>2.9822756267333546</v>
      </c>
      <c r="CE8" s="52">
        <f t="shared" si="20"/>
        <v>2.9822756267333546</v>
      </c>
      <c r="CF8" s="52">
        <f t="shared" si="20"/>
        <v>2.9822756267333546</v>
      </c>
      <c r="CG8" s="52">
        <f t="shared" si="20"/>
        <v>2.9822756267333546</v>
      </c>
      <c r="CH8" s="52">
        <f t="shared" si="20"/>
        <v>2.9822756267333546</v>
      </c>
      <c r="CI8" s="52">
        <f t="shared" si="20"/>
        <v>2.9822756267333546</v>
      </c>
      <c r="CJ8" s="52">
        <f t="shared" si="20"/>
        <v>2.9822756267333546</v>
      </c>
      <c r="CK8" s="52">
        <f t="shared" si="20"/>
        <v>2.9822756267333546</v>
      </c>
    </row>
    <row r="9" spans="3:89" ht="15">
      <c r="C9" t="s">
        <v>6</v>
      </c>
      <c r="D9" t="str">
        <f>_xlfn.TEXTJOIN(",",TRUE,Regions!$C$3,Regions!$D$3)</f>
        <v>IE,National</v>
      </c>
      <c r="E9" s="90" t="s">
        <v>21</v>
      </c>
      <c r="F9" s="34"/>
      <c r="G9" s="92">
        <f t="shared" si="4"/>
        <v>2.3999999999999999</v>
      </c>
      <c r="H9" s="52">
        <f t="shared" si="0"/>
        <v>2.3999999999999999</v>
      </c>
      <c r="I9" s="52">
        <f t="shared" si="21" ref="I9:BT9">+H9</f>
        <v>2.3999999999999999</v>
      </c>
      <c r="J9" s="52">
        <f t="shared" si="21"/>
        <v>2.3999999999999999</v>
      </c>
      <c r="K9" s="93">
        <f t="shared" si="6"/>
        <v>2.472</v>
      </c>
      <c r="L9" s="93">
        <f>+$G9*$S75/N$75</f>
        <v>2.4014329876959208</v>
      </c>
      <c r="M9" s="93">
        <f t="shared" si="22" ref="M9:AM9">+$G9*$S75/O$75</f>
        <v>2.6562790207021578</v>
      </c>
      <c r="N9" s="93">
        <f t="shared" si="22"/>
        <v>2.7412284178652326</v>
      </c>
      <c r="O9" s="93">
        <f t="shared" si="22"/>
        <v>2.5325872730913552</v>
      </c>
      <c r="P9" s="93">
        <f t="shared" si="22"/>
        <v>2.626245764210529</v>
      </c>
      <c r="Q9" s="93">
        <f t="shared" si="22"/>
        <v>2.3999999999999999</v>
      </c>
      <c r="R9" s="93">
        <f t="shared" si="22"/>
        <v>2.308678790600347</v>
      </c>
      <c r="S9" s="93">
        <f t="shared" si="22"/>
        <v>2.2208323992366168</v>
      </c>
      <c r="T9" s="93">
        <f t="shared" si="22"/>
        <v>2.1363286073315249</v>
      </c>
      <c r="U9" s="93">
        <f t="shared" si="22"/>
        <v>2.1360087807611197</v>
      </c>
      <c r="V9" s="93">
        <f t="shared" si="22"/>
        <v>2.1356890020714738</v>
      </c>
      <c r="W9" s="93">
        <f t="shared" si="22"/>
        <v>2.1353692712554189</v>
      </c>
      <c r="X9" s="93">
        <f t="shared" si="22"/>
        <v>2.1350495883057872</v>
      </c>
      <c r="Y9" s="93">
        <f t="shared" si="22"/>
        <v>2.1347299532154134</v>
      </c>
      <c r="Z9" s="93">
        <f t="shared" si="22"/>
        <v>2.1159989837040887</v>
      </c>
      <c r="AA9" s="93">
        <f t="shared" si="22"/>
        <v>2.0974323671678583</v>
      </c>
      <c r="AB9" s="93">
        <f t="shared" si="22"/>
        <v>2.0790286615083615</v>
      </c>
      <c r="AC9" s="93">
        <f t="shared" si="22"/>
        <v>2.0607864372807829</v>
      </c>
      <c r="AD9" s="93">
        <f t="shared" si="22"/>
        <v>2.0427042775828239</v>
      </c>
      <c r="AE9" s="93">
        <f t="shared" si="22"/>
        <v>2.029094018080372</v>
      </c>
      <c r="AF9" s="93">
        <f t="shared" si="22"/>
        <v>2.0155744418773862</v>
      </c>
      <c r="AG9" s="93">
        <f t="shared" si="22"/>
        <v>2.0021449447634319</v>
      </c>
      <c r="AH9" s="93">
        <f t="shared" si="22"/>
        <v>1.9888049265538468</v>
      </c>
      <c r="AI9" s="93">
        <f t="shared" si="22"/>
        <v>1.9755537910629168</v>
      </c>
      <c r="AJ9" s="93">
        <f t="shared" si="22"/>
        <v>1.9652709880267298</v>
      </c>
      <c r="AK9" s="93">
        <f t="shared" si="22"/>
        <v>1.9550417072174542</v>
      </c>
      <c r="AL9" s="93">
        <f t="shared" si="22"/>
        <v>1.9448656700506648</v>
      </c>
      <c r="AM9" s="93">
        <f t="shared" si="22"/>
        <v>1.9347425993919745</v>
      </c>
      <c r="AN9" s="52">
        <f t="shared" si="21"/>
        <v>1.9347425993919745</v>
      </c>
      <c r="AO9" s="52">
        <f t="shared" si="21"/>
        <v>1.9347425993919745</v>
      </c>
      <c r="AP9" s="52">
        <f t="shared" si="21"/>
        <v>1.9347425993919745</v>
      </c>
      <c r="AQ9" s="52">
        <f t="shared" si="21"/>
        <v>1.9347425993919745</v>
      </c>
      <c r="AR9" s="52">
        <f t="shared" si="21"/>
        <v>1.9347425993919745</v>
      </c>
      <c r="AS9" s="52">
        <f t="shared" si="21"/>
        <v>1.9347425993919745</v>
      </c>
      <c r="AT9" s="52">
        <f t="shared" si="21"/>
        <v>1.9347425993919745</v>
      </c>
      <c r="AU9" s="52">
        <f t="shared" si="21"/>
        <v>1.9347425993919745</v>
      </c>
      <c r="AV9" s="52">
        <f t="shared" si="21"/>
        <v>1.9347425993919745</v>
      </c>
      <c r="AW9" s="52">
        <f t="shared" si="21"/>
        <v>1.9347425993919745</v>
      </c>
      <c r="AX9" s="52">
        <f t="shared" si="21"/>
        <v>1.9347425993919745</v>
      </c>
      <c r="AY9" s="52">
        <f t="shared" si="21"/>
        <v>1.9347425993919745</v>
      </c>
      <c r="AZ9" s="52">
        <f t="shared" si="21"/>
        <v>1.9347425993919745</v>
      </c>
      <c r="BA9" s="52">
        <f t="shared" si="21"/>
        <v>1.9347425993919745</v>
      </c>
      <c r="BB9" s="52">
        <f t="shared" si="21"/>
        <v>1.9347425993919745</v>
      </c>
      <c r="BC9" s="52">
        <f t="shared" si="21"/>
        <v>1.9347425993919745</v>
      </c>
      <c r="BD9" s="52">
        <f t="shared" si="21"/>
        <v>1.9347425993919745</v>
      </c>
      <c r="BE9" s="52">
        <f t="shared" si="21"/>
        <v>1.9347425993919745</v>
      </c>
      <c r="BF9" s="52">
        <f t="shared" si="21"/>
        <v>1.9347425993919745</v>
      </c>
      <c r="BG9" s="52">
        <f t="shared" si="21"/>
        <v>1.9347425993919745</v>
      </c>
      <c r="BH9" s="52">
        <f t="shared" si="21"/>
        <v>1.9347425993919745</v>
      </c>
      <c r="BI9" s="52">
        <f t="shared" si="21"/>
        <v>1.9347425993919745</v>
      </c>
      <c r="BJ9" s="52">
        <f t="shared" si="21"/>
        <v>1.9347425993919745</v>
      </c>
      <c r="BK9" s="52">
        <f t="shared" si="21"/>
        <v>1.9347425993919745</v>
      </c>
      <c r="BL9" s="52">
        <f t="shared" si="21"/>
        <v>1.9347425993919745</v>
      </c>
      <c r="BM9" s="52">
        <f t="shared" si="21"/>
        <v>1.9347425993919745</v>
      </c>
      <c r="BN9" s="52">
        <f t="shared" si="21"/>
        <v>1.9347425993919745</v>
      </c>
      <c r="BO9" s="52">
        <f t="shared" si="21"/>
        <v>1.9347425993919745</v>
      </c>
      <c r="BP9" s="52">
        <f t="shared" si="21"/>
        <v>1.9347425993919745</v>
      </c>
      <c r="BQ9" s="52">
        <f t="shared" si="21"/>
        <v>1.9347425993919745</v>
      </c>
      <c r="BR9" s="52">
        <f t="shared" si="21"/>
        <v>1.9347425993919745</v>
      </c>
      <c r="BS9" s="52">
        <f t="shared" si="21"/>
        <v>1.9347425993919745</v>
      </c>
      <c r="BT9" s="52">
        <f t="shared" si="21"/>
        <v>1.9347425993919745</v>
      </c>
      <c r="BU9" s="52">
        <f t="shared" si="23" ref="BU9:CK9">+BT9</f>
        <v>1.9347425993919745</v>
      </c>
      <c r="BV9" s="52">
        <f t="shared" si="23"/>
        <v>1.9347425993919745</v>
      </c>
      <c r="BW9" s="52">
        <f t="shared" si="23"/>
        <v>1.9347425993919745</v>
      </c>
      <c r="BX9" s="52">
        <f t="shared" si="23"/>
        <v>1.9347425993919745</v>
      </c>
      <c r="BY9" s="52">
        <f t="shared" si="23"/>
        <v>1.9347425993919745</v>
      </c>
      <c r="BZ9" s="52">
        <f t="shared" si="23"/>
        <v>1.9347425993919745</v>
      </c>
      <c r="CA9" s="52">
        <f t="shared" si="23"/>
        <v>1.9347425993919745</v>
      </c>
      <c r="CB9" s="52">
        <f t="shared" si="23"/>
        <v>1.9347425993919745</v>
      </c>
      <c r="CC9" s="52">
        <f t="shared" si="23"/>
        <v>1.9347425993919745</v>
      </c>
      <c r="CD9" s="52">
        <f t="shared" si="23"/>
        <v>1.9347425993919745</v>
      </c>
      <c r="CE9" s="52">
        <f t="shared" si="23"/>
        <v>1.9347425993919745</v>
      </c>
      <c r="CF9" s="52">
        <f t="shared" si="23"/>
        <v>1.9347425993919745</v>
      </c>
      <c r="CG9" s="52">
        <f t="shared" si="23"/>
        <v>1.9347425993919745</v>
      </c>
      <c r="CH9" s="52">
        <f t="shared" si="23"/>
        <v>1.9347425993919745</v>
      </c>
      <c r="CI9" s="52">
        <f t="shared" si="23"/>
        <v>1.9347425993919745</v>
      </c>
      <c r="CJ9" s="52">
        <f t="shared" si="23"/>
        <v>1.9347425993919745</v>
      </c>
      <c r="CK9" s="52">
        <f t="shared" si="23"/>
        <v>1.9347425993919745</v>
      </c>
    </row>
    <row r="10" spans="3:89" ht="15">
      <c r="C10" t="s">
        <v>6</v>
      </c>
      <c r="D10" t="str">
        <f>_xlfn.TEXTJOIN(",",TRUE,Regions!$C$3,Regions!$D$3)</f>
        <v>IE,National</v>
      </c>
      <c r="E10" s="90" t="s">
        <v>13</v>
      </c>
      <c r="F10" s="34"/>
      <c r="G10" s="92">
        <f t="shared" si="4"/>
        <v>5</v>
      </c>
      <c r="H10" s="52">
        <f t="shared" si="0"/>
        <v>5</v>
      </c>
      <c r="I10" s="52">
        <f t="shared" si="24" ref="I10:BT10">+H10</f>
        <v>5</v>
      </c>
      <c r="J10" s="52">
        <f t="shared" si="24"/>
        <v>5</v>
      </c>
      <c r="K10" s="93">
        <f t="shared" si="6"/>
        <v>5.1500000000000004</v>
      </c>
      <c r="L10" s="93">
        <f>+$G10*$S71/N$71</f>
        <v>4.2303722533509482</v>
      </c>
      <c r="M10" s="93">
        <f t="shared" si="25" ref="M10:AM10">+$G10*$S71/O$71</f>
        <v>4.4659501633181833</v>
      </c>
      <c r="N10" s="93">
        <f t="shared" si="25"/>
        <v>5.0711505680665816</v>
      </c>
      <c r="O10" s="93">
        <f t="shared" si="25"/>
        <v>4.445005765225428</v>
      </c>
      <c r="P10" s="93">
        <f t="shared" si="25"/>
        <v>5.0397636310481468</v>
      </c>
      <c r="Q10" s="93">
        <f t="shared" si="25"/>
        <v>5</v>
      </c>
      <c r="R10" s="93">
        <f t="shared" si="25"/>
        <v>4.9599011352561346</v>
      </c>
      <c r="S10" s="93">
        <f t="shared" si="25"/>
        <v>4.9194760304269023</v>
      </c>
      <c r="T10" s="93">
        <f t="shared" si="25"/>
        <v>4.878731862282816</v>
      </c>
      <c r="U10" s="93">
        <f t="shared" si="25"/>
        <v>4.8376767299276633</v>
      </c>
      <c r="V10" s="93">
        <f t="shared" si="25"/>
        <v>4.7963184513366111</v>
      </c>
      <c r="W10" s="93">
        <f t="shared" si="25"/>
        <v>4.7546675859373231</v>
      </c>
      <c r="X10" s="93">
        <f t="shared" si="25"/>
        <v>4.712731543799932</v>
      </c>
      <c r="Y10" s="93">
        <f t="shared" si="25"/>
        <v>4.6705211115653773</v>
      </c>
      <c r="Z10" s="93">
        <f t="shared" si="25"/>
        <v>4.6280453026949449</v>
      </c>
      <c r="AA10" s="93">
        <f t="shared" si="25"/>
        <v>4.5853137528220493</v>
      </c>
      <c r="AB10" s="93">
        <f t="shared" si="25"/>
        <v>4.5423362258051228</v>
      </c>
      <c r="AC10" s="93">
        <f t="shared" si="25"/>
        <v>4.4991241709992398</v>
      </c>
      <c r="AD10" s="93">
        <f t="shared" si="25"/>
        <v>4.455688184868027</v>
      </c>
      <c r="AE10" s="93">
        <f t="shared" si="25"/>
        <v>4.4120386726248002</v>
      </c>
      <c r="AF10" s="93">
        <f t="shared" si="25"/>
        <v>4.3681873262304913</v>
      </c>
      <c r="AG10" s="93">
        <f t="shared" si="25"/>
        <v>4.3241457099025533</v>
      </c>
      <c r="AH10" s="93">
        <f t="shared" si="25"/>
        <v>4.2799253567917201</v>
      </c>
      <c r="AI10" s="93">
        <f t="shared" si="25"/>
        <v>4.2355382716646748</v>
      </c>
      <c r="AJ10" s="93">
        <f t="shared" si="25"/>
        <v>4.1909965397186202</v>
      </c>
      <c r="AK10" s="93">
        <f t="shared" si="25"/>
        <v>4.1463123923418985</v>
      </c>
      <c r="AL10" s="93">
        <f t="shared" si="25"/>
        <v>4.1014982626017238</v>
      </c>
      <c r="AM10" s="93">
        <f t="shared" si="25"/>
        <v>4.0565672017889431</v>
      </c>
      <c r="AN10" s="52">
        <f t="shared" si="24"/>
        <v>4.0565672017889431</v>
      </c>
      <c r="AO10" s="52">
        <f t="shared" si="24"/>
        <v>4.0565672017889431</v>
      </c>
      <c r="AP10" s="52">
        <f t="shared" si="24"/>
        <v>4.0565672017889431</v>
      </c>
      <c r="AQ10" s="52">
        <f t="shared" si="24"/>
        <v>4.0565672017889431</v>
      </c>
      <c r="AR10" s="52">
        <f t="shared" si="24"/>
        <v>4.0565672017889431</v>
      </c>
      <c r="AS10" s="52">
        <f t="shared" si="24"/>
        <v>4.0565672017889431</v>
      </c>
      <c r="AT10" s="52">
        <f t="shared" si="24"/>
        <v>4.0565672017889431</v>
      </c>
      <c r="AU10" s="52">
        <f t="shared" si="24"/>
        <v>4.0565672017889431</v>
      </c>
      <c r="AV10" s="52">
        <f t="shared" si="24"/>
        <v>4.0565672017889431</v>
      </c>
      <c r="AW10" s="52">
        <f t="shared" si="24"/>
        <v>4.0565672017889431</v>
      </c>
      <c r="AX10" s="52">
        <f t="shared" si="24"/>
        <v>4.0565672017889431</v>
      </c>
      <c r="AY10" s="52">
        <f t="shared" si="24"/>
        <v>4.0565672017889431</v>
      </c>
      <c r="AZ10" s="52">
        <f t="shared" si="24"/>
        <v>4.0565672017889431</v>
      </c>
      <c r="BA10" s="52">
        <f t="shared" si="24"/>
        <v>4.0565672017889431</v>
      </c>
      <c r="BB10" s="52">
        <f t="shared" si="24"/>
        <v>4.0565672017889431</v>
      </c>
      <c r="BC10" s="52">
        <f t="shared" si="24"/>
        <v>4.0565672017889431</v>
      </c>
      <c r="BD10" s="52">
        <f t="shared" si="24"/>
        <v>4.0565672017889431</v>
      </c>
      <c r="BE10" s="52">
        <f t="shared" si="24"/>
        <v>4.0565672017889431</v>
      </c>
      <c r="BF10" s="52">
        <f t="shared" si="24"/>
        <v>4.0565672017889431</v>
      </c>
      <c r="BG10" s="52">
        <f t="shared" si="24"/>
        <v>4.0565672017889431</v>
      </c>
      <c r="BH10" s="52">
        <f t="shared" si="24"/>
        <v>4.0565672017889431</v>
      </c>
      <c r="BI10" s="52">
        <f t="shared" si="24"/>
        <v>4.0565672017889431</v>
      </c>
      <c r="BJ10" s="52">
        <f t="shared" si="24"/>
        <v>4.0565672017889431</v>
      </c>
      <c r="BK10" s="52">
        <f t="shared" si="24"/>
        <v>4.0565672017889431</v>
      </c>
      <c r="BL10" s="52">
        <f t="shared" si="24"/>
        <v>4.0565672017889431</v>
      </c>
      <c r="BM10" s="52">
        <f t="shared" si="24"/>
        <v>4.0565672017889431</v>
      </c>
      <c r="BN10" s="52">
        <f t="shared" si="24"/>
        <v>4.0565672017889431</v>
      </c>
      <c r="BO10" s="52">
        <f t="shared" si="24"/>
        <v>4.0565672017889431</v>
      </c>
      <c r="BP10" s="52">
        <f t="shared" si="24"/>
        <v>4.0565672017889431</v>
      </c>
      <c r="BQ10" s="52">
        <f t="shared" si="24"/>
        <v>4.0565672017889431</v>
      </c>
      <c r="BR10" s="52">
        <f t="shared" si="24"/>
        <v>4.0565672017889431</v>
      </c>
      <c r="BS10" s="52">
        <f t="shared" si="24"/>
        <v>4.0565672017889431</v>
      </c>
      <c r="BT10" s="52">
        <f t="shared" si="24"/>
        <v>4.0565672017889431</v>
      </c>
      <c r="BU10" s="52">
        <f t="shared" si="26" ref="BU10:CK10">+BT10</f>
        <v>4.0565672017889431</v>
      </c>
      <c r="BV10" s="52">
        <f t="shared" si="26"/>
        <v>4.0565672017889431</v>
      </c>
      <c r="BW10" s="52">
        <f t="shared" si="26"/>
        <v>4.0565672017889431</v>
      </c>
      <c r="BX10" s="52">
        <f t="shared" si="26"/>
        <v>4.0565672017889431</v>
      </c>
      <c r="BY10" s="52">
        <f t="shared" si="26"/>
        <v>4.0565672017889431</v>
      </c>
      <c r="BZ10" s="52">
        <f t="shared" si="26"/>
        <v>4.0565672017889431</v>
      </c>
      <c r="CA10" s="52">
        <f t="shared" si="26"/>
        <v>4.0565672017889431</v>
      </c>
      <c r="CB10" s="52">
        <f t="shared" si="26"/>
        <v>4.0565672017889431</v>
      </c>
      <c r="CC10" s="52">
        <f t="shared" si="26"/>
        <v>4.0565672017889431</v>
      </c>
      <c r="CD10" s="52">
        <f t="shared" si="26"/>
        <v>4.0565672017889431</v>
      </c>
      <c r="CE10" s="52">
        <f t="shared" si="26"/>
        <v>4.0565672017889431</v>
      </c>
      <c r="CF10" s="52">
        <f t="shared" si="26"/>
        <v>4.0565672017889431</v>
      </c>
      <c r="CG10" s="52">
        <f t="shared" si="26"/>
        <v>4.0565672017889431</v>
      </c>
      <c r="CH10" s="52">
        <f t="shared" si="26"/>
        <v>4.0565672017889431</v>
      </c>
      <c r="CI10" s="52">
        <f t="shared" si="26"/>
        <v>4.0565672017889431</v>
      </c>
      <c r="CJ10" s="52">
        <f t="shared" si="26"/>
        <v>4.0565672017889431</v>
      </c>
      <c r="CK10" s="52">
        <f t="shared" si="26"/>
        <v>4.0565672017889431</v>
      </c>
    </row>
    <row r="11" spans="3:89" ht="15">
      <c r="C11" t="s">
        <v>6</v>
      </c>
      <c r="D11" t="str">
        <f>_xlfn.TEXTJOIN(",",TRUE,Regions!$C$3,Regions!$D$3)</f>
        <v>IE,National</v>
      </c>
      <c r="E11" s="89" t="s">
        <v>209</v>
      </c>
      <c r="F11" s="34"/>
      <c r="G11" s="92">
        <f t="shared" si="4"/>
        <v>23.439361110035826</v>
      </c>
      <c r="H11" s="52">
        <f t="shared" si="0"/>
        <v>23.439361110035826</v>
      </c>
      <c r="I11" s="52">
        <f t="shared" si="27" ref="I11:BT11">+H11</f>
        <v>23.439361110035826</v>
      </c>
      <c r="J11" s="52">
        <f t="shared" si="27"/>
        <v>23.439361110035826</v>
      </c>
      <c r="K11" s="93">
        <f t="shared" si="6"/>
        <v>24.142541943336902</v>
      </c>
      <c r="L11" s="93">
        <f>+$G11*$S80/N$80</f>
        <v>23.89677993089175</v>
      </c>
      <c r="M11" s="93">
        <f t="shared" si="28" ref="M11:AM11">+$G11*$S80/O$80</f>
        <v>26.056280850729088</v>
      </c>
      <c r="N11" s="93">
        <f t="shared" si="28"/>
        <v>26.354800887785572</v>
      </c>
      <c r="O11" s="93">
        <f t="shared" si="28"/>
        <v>27.099101485084933</v>
      </c>
      <c r="P11" s="93">
        <f t="shared" si="28"/>
        <v>23.92723766874834</v>
      </c>
      <c r="Q11" s="93">
        <f t="shared" si="28"/>
        <v>23.439361110035826</v>
      </c>
      <c r="R11" s="93">
        <f t="shared" si="28"/>
        <v>22.993875200251658</v>
      </c>
      <c r="S11" s="93">
        <f t="shared" si="28"/>
        <v>22.585783885819783</v>
      </c>
      <c r="T11" s="93">
        <f t="shared" si="28"/>
        <v>22.210196513694079</v>
      </c>
      <c r="U11" s="93">
        <f t="shared" si="28"/>
        <v>21.86468787904834</v>
      </c>
      <c r="V11" s="93">
        <f t="shared" si="28"/>
        <v>21.543563273497242</v>
      </c>
      <c r="W11" s="93">
        <f t="shared" si="28"/>
        <v>21.241455628910032</v>
      </c>
      <c r="X11" s="93">
        <f t="shared" si="28"/>
        <v>20.957981928406298</v>
      </c>
      <c r="Y11" s="93">
        <f t="shared" si="28"/>
        <v>20.69024009264843</v>
      </c>
      <c r="Z11" s="93">
        <f t="shared" si="28"/>
        <v>20.438046377483175</v>
      </c>
      <c r="AA11" s="93">
        <f t="shared" si="28"/>
        <v>20.199385859613212</v>
      </c>
      <c r="AB11" s="93">
        <f t="shared" si="28"/>
        <v>19.973027415969675</v>
      </c>
      <c r="AC11" s="93">
        <f t="shared" si="28"/>
        <v>19.759714447898297</v>
      </c>
      <c r="AD11" s="93">
        <f t="shared" si="28"/>
        <v>19.559502831857337</v>
      </c>
      <c r="AE11" s="93">
        <f t="shared" si="28"/>
        <v>19.372536636364533</v>
      </c>
      <c r="AF11" s="93">
        <f t="shared" si="28"/>
        <v>19.198723596278242</v>
      </c>
      <c r="AG11" s="93">
        <f t="shared" si="28"/>
        <v>19.038914383054578</v>
      </c>
      <c r="AH11" s="93">
        <f t="shared" si="28"/>
        <v>18.893389477157736</v>
      </c>
      <c r="AI11" s="93">
        <f t="shared" si="28"/>
        <v>18.762062854347278</v>
      </c>
      <c r="AJ11" s="93">
        <f t="shared" si="28"/>
        <v>18.645459708898176</v>
      </c>
      <c r="AK11" s="93">
        <f t="shared" si="28"/>
        <v>18.544407306910298</v>
      </c>
      <c r="AL11" s="93">
        <f t="shared" si="28"/>
        <v>18.460938357434323</v>
      </c>
      <c r="AM11" s="93">
        <f t="shared" si="28"/>
        <v>18.395430353858291</v>
      </c>
      <c r="AN11" s="52">
        <f t="shared" si="27"/>
        <v>18.395430353858291</v>
      </c>
      <c r="AO11" s="52">
        <f t="shared" si="27"/>
        <v>18.395430353858291</v>
      </c>
      <c r="AP11" s="52">
        <f t="shared" si="27"/>
        <v>18.395430353858291</v>
      </c>
      <c r="AQ11" s="52">
        <f t="shared" si="27"/>
        <v>18.395430353858291</v>
      </c>
      <c r="AR11" s="52">
        <f t="shared" si="27"/>
        <v>18.395430353858291</v>
      </c>
      <c r="AS11" s="52">
        <f t="shared" si="27"/>
        <v>18.395430353858291</v>
      </c>
      <c r="AT11" s="52">
        <f t="shared" si="27"/>
        <v>18.395430353858291</v>
      </c>
      <c r="AU11" s="52">
        <f t="shared" si="27"/>
        <v>18.395430353858291</v>
      </c>
      <c r="AV11" s="52">
        <f t="shared" si="27"/>
        <v>18.395430353858291</v>
      </c>
      <c r="AW11" s="52">
        <f t="shared" si="27"/>
        <v>18.395430353858291</v>
      </c>
      <c r="AX11" s="52">
        <f t="shared" si="27"/>
        <v>18.395430353858291</v>
      </c>
      <c r="AY11" s="52">
        <f t="shared" si="27"/>
        <v>18.395430353858291</v>
      </c>
      <c r="AZ11" s="52">
        <f t="shared" si="27"/>
        <v>18.395430353858291</v>
      </c>
      <c r="BA11" s="52">
        <f t="shared" si="27"/>
        <v>18.395430353858291</v>
      </c>
      <c r="BB11" s="52">
        <f t="shared" si="27"/>
        <v>18.395430353858291</v>
      </c>
      <c r="BC11" s="52">
        <f t="shared" si="27"/>
        <v>18.395430353858291</v>
      </c>
      <c r="BD11" s="52">
        <f t="shared" si="27"/>
        <v>18.395430353858291</v>
      </c>
      <c r="BE11" s="52">
        <f t="shared" si="27"/>
        <v>18.395430353858291</v>
      </c>
      <c r="BF11" s="52">
        <f t="shared" si="27"/>
        <v>18.395430353858291</v>
      </c>
      <c r="BG11" s="52">
        <f t="shared" si="27"/>
        <v>18.395430353858291</v>
      </c>
      <c r="BH11" s="52">
        <f t="shared" si="27"/>
        <v>18.395430353858291</v>
      </c>
      <c r="BI11" s="52">
        <f t="shared" si="27"/>
        <v>18.395430353858291</v>
      </c>
      <c r="BJ11" s="52">
        <f t="shared" si="27"/>
        <v>18.395430353858291</v>
      </c>
      <c r="BK11" s="52">
        <f t="shared" si="27"/>
        <v>18.395430353858291</v>
      </c>
      <c r="BL11" s="52">
        <f t="shared" si="27"/>
        <v>18.395430353858291</v>
      </c>
      <c r="BM11" s="52">
        <f t="shared" si="27"/>
        <v>18.395430353858291</v>
      </c>
      <c r="BN11" s="52">
        <f t="shared" si="27"/>
        <v>18.395430353858291</v>
      </c>
      <c r="BO11" s="52">
        <f t="shared" si="27"/>
        <v>18.395430353858291</v>
      </c>
      <c r="BP11" s="52">
        <f t="shared" si="27"/>
        <v>18.395430353858291</v>
      </c>
      <c r="BQ11" s="52">
        <f t="shared" si="27"/>
        <v>18.395430353858291</v>
      </c>
      <c r="BR11" s="52">
        <f t="shared" si="27"/>
        <v>18.395430353858291</v>
      </c>
      <c r="BS11" s="52">
        <f t="shared" si="27"/>
        <v>18.395430353858291</v>
      </c>
      <c r="BT11" s="52">
        <f t="shared" si="27"/>
        <v>18.395430353858291</v>
      </c>
      <c r="BU11" s="52">
        <f t="shared" si="29" ref="BU11:CK11">+BT11</f>
        <v>18.395430353858291</v>
      </c>
      <c r="BV11" s="52">
        <f t="shared" si="29"/>
        <v>18.395430353858291</v>
      </c>
      <c r="BW11" s="52">
        <f t="shared" si="29"/>
        <v>18.395430353858291</v>
      </c>
      <c r="BX11" s="52">
        <f t="shared" si="29"/>
        <v>18.395430353858291</v>
      </c>
      <c r="BY11" s="52">
        <f t="shared" si="29"/>
        <v>18.395430353858291</v>
      </c>
      <c r="BZ11" s="52">
        <f t="shared" si="29"/>
        <v>18.395430353858291</v>
      </c>
      <c r="CA11" s="52">
        <f t="shared" si="29"/>
        <v>18.395430353858291</v>
      </c>
      <c r="CB11" s="52">
        <f t="shared" si="29"/>
        <v>18.395430353858291</v>
      </c>
      <c r="CC11" s="52">
        <f t="shared" si="29"/>
        <v>18.395430353858291</v>
      </c>
      <c r="CD11" s="52">
        <f t="shared" si="29"/>
        <v>18.395430353858291</v>
      </c>
      <c r="CE11" s="52">
        <f t="shared" si="29"/>
        <v>18.395430353858291</v>
      </c>
      <c r="CF11" s="52">
        <f t="shared" si="29"/>
        <v>18.395430353858291</v>
      </c>
      <c r="CG11" s="52">
        <f t="shared" si="29"/>
        <v>18.395430353858291</v>
      </c>
      <c r="CH11" s="52">
        <f t="shared" si="29"/>
        <v>18.395430353858291</v>
      </c>
      <c r="CI11" s="52">
        <f t="shared" si="29"/>
        <v>18.395430353858291</v>
      </c>
      <c r="CJ11" s="52">
        <f t="shared" si="29"/>
        <v>18.395430353858291</v>
      </c>
      <c r="CK11" s="52">
        <f t="shared" si="29"/>
        <v>18.395430353858291</v>
      </c>
    </row>
    <row r="12" spans="3:89" ht="15">
      <c r="C12" t="s">
        <v>6</v>
      </c>
      <c r="D12" t="str">
        <f>_xlfn.TEXTJOIN(",",TRUE,Regions!$C$3,Regions!$D$3)</f>
        <v>IE,National</v>
      </c>
      <c r="E12" s="89" t="s">
        <v>210</v>
      </c>
      <c r="F12" s="34"/>
      <c r="G12" s="92">
        <f t="shared" si="4"/>
        <v>0</v>
      </c>
      <c r="H12" s="52">
        <f t="shared" si="0"/>
        <v>0</v>
      </c>
      <c r="I12" s="52">
        <f t="shared" si="30" ref="I12:BT12">+H12</f>
        <v>0</v>
      </c>
      <c r="J12" s="52">
        <f t="shared" si="30"/>
        <v>0</v>
      </c>
      <c r="K12" s="93">
        <f t="shared" si="6"/>
        <v>0</v>
      </c>
      <c r="L12" s="93">
        <f t="shared" si="31" ref="L4:L12">+$G12*$S84/N$75</f>
        <v>0</v>
      </c>
      <c r="M12" s="52">
        <f t="shared" si="30"/>
        <v>0</v>
      </c>
      <c r="N12" s="52">
        <f t="shared" si="30"/>
        <v>0</v>
      </c>
      <c r="O12" s="52">
        <f t="shared" si="30"/>
        <v>0</v>
      </c>
      <c r="P12" s="52">
        <f t="shared" si="30"/>
        <v>0</v>
      </c>
      <c r="Q12" s="52">
        <f t="shared" si="30"/>
        <v>0</v>
      </c>
      <c r="R12" s="52">
        <f t="shared" si="30"/>
        <v>0</v>
      </c>
      <c r="S12" s="52">
        <f t="shared" si="30"/>
        <v>0</v>
      </c>
      <c r="T12" s="52">
        <f t="shared" si="30"/>
        <v>0</v>
      </c>
      <c r="U12" s="52">
        <f t="shared" si="30"/>
        <v>0</v>
      </c>
      <c r="V12" s="52">
        <f t="shared" si="30"/>
        <v>0</v>
      </c>
      <c r="W12" s="52">
        <f t="shared" si="30"/>
        <v>0</v>
      </c>
      <c r="X12" s="52">
        <f t="shared" si="30"/>
        <v>0</v>
      </c>
      <c r="Y12" s="52">
        <f t="shared" si="30"/>
        <v>0</v>
      </c>
      <c r="Z12" s="52">
        <f t="shared" si="30"/>
        <v>0</v>
      </c>
      <c r="AA12" s="52">
        <f t="shared" si="30"/>
        <v>0</v>
      </c>
      <c r="AB12" s="52">
        <f t="shared" si="30"/>
        <v>0</v>
      </c>
      <c r="AC12" s="52">
        <f t="shared" si="30"/>
        <v>0</v>
      </c>
      <c r="AD12" s="52">
        <f t="shared" si="30"/>
        <v>0</v>
      </c>
      <c r="AE12" s="52">
        <f t="shared" si="30"/>
        <v>0</v>
      </c>
      <c r="AF12" s="52">
        <f t="shared" si="30"/>
        <v>0</v>
      </c>
      <c r="AG12" s="52">
        <f t="shared" si="30"/>
        <v>0</v>
      </c>
      <c r="AH12" s="52">
        <f t="shared" si="30"/>
        <v>0</v>
      </c>
      <c r="AI12" s="52">
        <f t="shared" si="30"/>
        <v>0</v>
      </c>
      <c r="AJ12" s="52">
        <f t="shared" si="30"/>
        <v>0</v>
      </c>
      <c r="AK12" s="52">
        <f t="shared" si="30"/>
        <v>0</v>
      </c>
      <c r="AL12" s="52">
        <f t="shared" si="30"/>
        <v>0</v>
      </c>
      <c r="AM12" s="52">
        <f t="shared" si="30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si="32" ref="BU12:CK1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3:89" ht="1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si="33" ref="I13:BT1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si="34" ref="BU13:CK13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3:89" ht="1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si="35" ref="I14:BT14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si="36" ref="BU14:CK14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3:89" ht="1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3.7999999999999998</v>
      </c>
      <c r="H15" s="52">
        <f t="shared" si="0"/>
        <v>3.7999999999999998</v>
      </c>
      <c r="I15" s="52">
        <f t="shared" si="37" ref="I15:BT15">+H15</f>
        <v>3.7999999999999998</v>
      </c>
      <c r="J15" s="52">
        <f t="shared" si="37"/>
        <v>3.7999999999999998</v>
      </c>
      <c r="K15" s="52">
        <f t="shared" si="37"/>
        <v>3.7999999999999998</v>
      </c>
      <c r="L15" s="52">
        <f t="shared" si="37"/>
        <v>3.7999999999999998</v>
      </c>
      <c r="M15" s="52">
        <f t="shared" si="37"/>
        <v>3.7999999999999998</v>
      </c>
      <c r="N15" s="52">
        <f t="shared" si="37"/>
        <v>3.7999999999999998</v>
      </c>
      <c r="O15" s="52">
        <f t="shared" si="37"/>
        <v>3.7999999999999998</v>
      </c>
      <c r="P15" s="52">
        <f t="shared" si="37"/>
        <v>3.7999999999999998</v>
      </c>
      <c r="Q15" s="52">
        <f t="shared" si="37"/>
        <v>3.7999999999999998</v>
      </c>
      <c r="R15" s="52">
        <f t="shared" si="37"/>
        <v>3.7999999999999998</v>
      </c>
      <c r="S15" s="52">
        <f t="shared" si="37"/>
        <v>3.7999999999999998</v>
      </c>
      <c r="T15" s="52">
        <f t="shared" si="37"/>
        <v>3.7999999999999998</v>
      </c>
      <c r="U15" s="52">
        <f t="shared" si="37"/>
        <v>3.7999999999999998</v>
      </c>
      <c r="V15" s="52">
        <f t="shared" si="37"/>
        <v>3.7999999999999998</v>
      </c>
      <c r="W15" s="52">
        <f t="shared" si="37"/>
        <v>3.7999999999999998</v>
      </c>
      <c r="X15" s="52">
        <f t="shared" si="37"/>
        <v>3.7999999999999998</v>
      </c>
      <c r="Y15" s="52">
        <f t="shared" si="37"/>
        <v>3.7999999999999998</v>
      </c>
      <c r="Z15" s="52">
        <f t="shared" si="37"/>
        <v>3.7999999999999998</v>
      </c>
      <c r="AA15" s="52">
        <f t="shared" si="37"/>
        <v>3.7999999999999998</v>
      </c>
      <c r="AB15" s="52">
        <f t="shared" si="37"/>
        <v>3.7999999999999998</v>
      </c>
      <c r="AC15" s="52">
        <f t="shared" si="37"/>
        <v>3.7999999999999998</v>
      </c>
      <c r="AD15" s="52">
        <f t="shared" si="37"/>
        <v>3.7999999999999998</v>
      </c>
      <c r="AE15" s="52">
        <f t="shared" si="37"/>
        <v>3.7999999999999998</v>
      </c>
      <c r="AF15" s="52">
        <f t="shared" si="37"/>
        <v>3.7999999999999998</v>
      </c>
      <c r="AG15" s="52">
        <f t="shared" si="37"/>
        <v>3.7999999999999998</v>
      </c>
      <c r="AH15" s="52">
        <f t="shared" si="37"/>
        <v>3.7999999999999998</v>
      </c>
      <c r="AI15" s="52">
        <f t="shared" si="37"/>
        <v>3.7999999999999998</v>
      </c>
      <c r="AJ15" s="52">
        <f t="shared" si="37"/>
        <v>3.7999999999999998</v>
      </c>
      <c r="AK15" s="52">
        <f t="shared" si="37"/>
        <v>3.7999999999999998</v>
      </c>
      <c r="AL15" s="52">
        <f t="shared" si="37"/>
        <v>3.7999999999999998</v>
      </c>
      <c r="AM15" s="52">
        <f t="shared" si="37"/>
        <v>3.7999999999999998</v>
      </c>
      <c r="AN15" s="52">
        <f t="shared" si="37"/>
        <v>3.7999999999999998</v>
      </c>
      <c r="AO15" s="52">
        <f t="shared" si="37"/>
        <v>3.7999999999999998</v>
      </c>
      <c r="AP15" s="52">
        <f t="shared" si="37"/>
        <v>3.7999999999999998</v>
      </c>
      <c r="AQ15" s="52">
        <f t="shared" si="37"/>
        <v>3.7999999999999998</v>
      </c>
      <c r="AR15" s="52">
        <f t="shared" si="37"/>
        <v>3.7999999999999998</v>
      </c>
      <c r="AS15" s="52">
        <f t="shared" si="37"/>
        <v>3.7999999999999998</v>
      </c>
      <c r="AT15" s="52">
        <f t="shared" si="37"/>
        <v>3.7999999999999998</v>
      </c>
      <c r="AU15" s="52">
        <f t="shared" si="37"/>
        <v>3.7999999999999998</v>
      </c>
      <c r="AV15" s="52">
        <f t="shared" si="37"/>
        <v>3.7999999999999998</v>
      </c>
      <c r="AW15" s="52">
        <f t="shared" si="37"/>
        <v>3.7999999999999998</v>
      </c>
      <c r="AX15" s="52">
        <f t="shared" si="37"/>
        <v>3.7999999999999998</v>
      </c>
      <c r="AY15" s="52">
        <f t="shared" si="37"/>
        <v>3.7999999999999998</v>
      </c>
      <c r="AZ15" s="52">
        <f t="shared" si="37"/>
        <v>3.7999999999999998</v>
      </c>
      <c r="BA15" s="52">
        <f t="shared" si="37"/>
        <v>3.7999999999999998</v>
      </c>
      <c r="BB15" s="52">
        <f t="shared" si="37"/>
        <v>3.7999999999999998</v>
      </c>
      <c r="BC15" s="52">
        <f t="shared" si="37"/>
        <v>3.7999999999999998</v>
      </c>
      <c r="BD15" s="52">
        <f t="shared" si="37"/>
        <v>3.7999999999999998</v>
      </c>
      <c r="BE15" s="52">
        <f t="shared" si="37"/>
        <v>3.7999999999999998</v>
      </c>
      <c r="BF15" s="52">
        <f t="shared" si="37"/>
        <v>3.7999999999999998</v>
      </c>
      <c r="BG15" s="52">
        <f t="shared" si="37"/>
        <v>3.7999999999999998</v>
      </c>
      <c r="BH15" s="52">
        <f t="shared" si="37"/>
        <v>3.7999999999999998</v>
      </c>
      <c r="BI15" s="52">
        <f t="shared" si="37"/>
        <v>3.7999999999999998</v>
      </c>
      <c r="BJ15" s="52">
        <f t="shared" si="37"/>
        <v>3.7999999999999998</v>
      </c>
      <c r="BK15" s="52">
        <f t="shared" si="37"/>
        <v>3.7999999999999998</v>
      </c>
      <c r="BL15" s="52">
        <f t="shared" si="37"/>
        <v>3.7999999999999998</v>
      </c>
      <c r="BM15" s="52">
        <f t="shared" si="37"/>
        <v>3.7999999999999998</v>
      </c>
      <c r="BN15" s="52">
        <f t="shared" si="37"/>
        <v>3.7999999999999998</v>
      </c>
      <c r="BO15" s="52">
        <f t="shared" si="37"/>
        <v>3.7999999999999998</v>
      </c>
      <c r="BP15" s="52">
        <f t="shared" si="37"/>
        <v>3.7999999999999998</v>
      </c>
      <c r="BQ15" s="52">
        <f t="shared" si="37"/>
        <v>3.7999999999999998</v>
      </c>
      <c r="BR15" s="52">
        <f t="shared" si="37"/>
        <v>3.7999999999999998</v>
      </c>
      <c r="BS15" s="52">
        <f t="shared" si="37"/>
        <v>3.7999999999999998</v>
      </c>
      <c r="BT15" s="52">
        <f t="shared" si="37"/>
        <v>3.7999999999999998</v>
      </c>
      <c r="BU15" s="52">
        <f t="shared" si="38" ref="BU15:CK15">+BT15</f>
        <v>3.7999999999999998</v>
      </c>
      <c r="BV15" s="52">
        <f t="shared" si="38"/>
        <v>3.7999999999999998</v>
      </c>
      <c r="BW15" s="52">
        <f t="shared" si="38"/>
        <v>3.7999999999999998</v>
      </c>
      <c r="BX15" s="52">
        <f t="shared" si="38"/>
        <v>3.7999999999999998</v>
      </c>
      <c r="BY15" s="52">
        <f t="shared" si="38"/>
        <v>3.7999999999999998</v>
      </c>
      <c r="BZ15" s="52">
        <f t="shared" si="38"/>
        <v>3.7999999999999998</v>
      </c>
      <c r="CA15" s="52">
        <f t="shared" si="38"/>
        <v>3.7999999999999998</v>
      </c>
      <c r="CB15" s="52">
        <f t="shared" si="38"/>
        <v>3.7999999999999998</v>
      </c>
      <c r="CC15" s="52">
        <f t="shared" si="38"/>
        <v>3.7999999999999998</v>
      </c>
      <c r="CD15" s="52">
        <f t="shared" si="38"/>
        <v>3.7999999999999998</v>
      </c>
      <c r="CE15" s="52">
        <f t="shared" si="38"/>
        <v>3.7999999999999998</v>
      </c>
      <c r="CF15" s="52">
        <f t="shared" si="38"/>
        <v>3.7999999999999998</v>
      </c>
      <c r="CG15" s="52">
        <f t="shared" si="38"/>
        <v>3.7999999999999998</v>
      </c>
      <c r="CH15" s="52">
        <f t="shared" si="38"/>
        <v>3.7999999999999998</v>
      </c>
      <c r="CI15" s="52">
        <f t="shared" si="38"/>
        <v>3.7999999999999998</v>
      </c>
      <c r="CJ15" s="52">
        <f t="shared" si="38"/>
        <v>3.7999999999999998</v>
      </c>
      <c r="CK15" s="52">
        <f t="shared" si="38"/>
        <v>3.7999999999999998</v>
      </c>
    </row>
    <row r="16" spans="3:89" ht="1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si="39" ref="I16:BT16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si="40" ref="BU16:CK16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ht="1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si="41" ref="N17:X17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si="42" ref="Y17:AM17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ht="1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si="43" ref="N18:X18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si="44" ref="Y18:AM18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ht="1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si="45" ref="N19:X19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si="46" ref="Y19:AM19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ht="1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ht="1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si="47" ref="L21:R21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ht="1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ht="1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ht="1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ht="1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ht="1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>
        <v>785.61008636003203</v>
      </c>
      <c r="AY26" s="52">
        <v>800.18796720256296</v>
      </c>
      <c r="AZ26" s="52">
        <v>814.88079785717798</v>
      </c>
      <c r="BA26" s="52">
        <v>829.70553008510103</v>
      </c>
      <c r="BB26" s="52">
        <v>844.67783543635301</v>
      </c>
      <c r="BC26" s="52">
        <v>859.81446282352397</v>
      </c>
      <c r="BD26" s="52">
        <v>875.13056019295698</v>
      </c>
      <c r="BE26" s="52">
        <v>890.64572032533204</v>
      </c>
      <c r="BF26" s="52">
        <v>906.37959967599397</v>
      </c>
      <c r="BG26" s="52">
        <v>922.351501384161</v>
      </c>
      <c r="BH26" s="52">
        <v>938.57428710989598</v>
      </c>
      <c r="BI26" s="52">
        <v>955.06101749023901</v>
      </c>
      <c r="BJ26" s="52">
        <v>971.82648073088797</v>
      </c>
      <c r="BK26" s="52">
        <v>988.88492973635402</v>
      </c>
      <c r="BL26" s="52">
        <v>1006.25199511415</v>
      </c>
      <c r="BM26" s="52">
        <v>1023.9294437559601</v>
      </c>
      <c r="BN26" s="52">
        <v>1041.9234925855201</v>
      </c>
      <c r="BO26" s="52">
        <v>1060.2405883066299</v>
      </c>
      <c r="BP26" s="52">
        <v>1078.8818873924599</v>
      </c>
      <c r="BQ26" s="52">
        <v>1097.8442281866401</v>
      </c>
      <c r="BR26" s="52">
        <v>1117.1307879379599</v>
      </c>
      <c r="BS26" s="52">
        <v>1136.7305247628501</v>
      </c>
      <c r="BT26" s="52">
        <v>1156.6304804608301</v>
      </c>
      <c r="BU26" s="52">
        <v>1176.8105538985999</v>
      </c>
      <c r="BV26" s="52">
        <v>1197.24601175004</v>
      </c>
      <c r="BW26" s="52">
        <v>1217.9320975815699</v>
      </c>
      <c r="BX26" s="52">
        <v>1238.85956925292</v>
      </c>
      <c r="BY26" s="52">
        <v>1259.9992990129099</v>
      </c>
      <c r="BZ26" s="52">
        <v>1281.3121904680099</v>
      </c>
      <c r="CA26" s="52">
        <v>1302.7797433738299</v>
      </c>
      <c r="CB26" s="52">
        <v>1324.3797857046</v>
      </c>
      <c r="CC26" s="52">
        <v>1346.1127852668701</v>
      </c>
      <c r="CD26" s="52">
        <v>1367.9816115507199</v>
      </c>
      <c r="CE26" s="52">
        <v>1389.99234883894</v>
      </c>
      <c r="CF26" s="52">
        <v>1412.15514854653</v>
      </c>
      <c r="CG26" s="52">
        <v>1434.4735766251099</v>
      </c>
      <c r="CH26" s="52">
        <v>1456.9513426687799</v>
      </c>
      <c r="CI26" s="52">
        <v>1479.5893631530801</v>
      </c>
      <c r="CJ26" s="52">
        <v>1502.3841560784799</v>
      </c>
      <c r="CK26" s="52">
        <v>1525.3321304907599</v>
      </c>
    </row>
    <row r="27" spans="3:89" ht="1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>
        <v>1096.1296154561301</v>
      </c>
      <c r="AY27" s="52">
        <v>1098.965361194</v>
      </c>
      <c r="AZ27" s="52">
        <v>1101.7716586537499</v>
      </c>
      <c r="BA27" s="52">
        <v>1104.57086428804</v>
      </c>
      <c r="BB27" s="52">
        <v>1107.3822922085999</v>
      </c>
      <c r="BC27" s="52">
        <v>1110.22546841332</v>
      </c>
      <c r="BD27" s="52">
        <v>1113.1166914575999</v>
      </c>
      <c r="BE27" s="52">
        <v>1116.07683041511</v>
      </c>
      <c r="BF27" s="52">
        <v>1119.12556567467</v>
      </c>
      <c r="BG27" s="52">
        <v>1122.2809497759499</v>
      </c>
      <c r="BH27" s="52">
        <v>1125.55220646883</v>
      </c>
      <c r="BI27" s="52">
        <v>1128.94819534782</v>
      </c>
      <c r="BJ27" s="52">
        <v>1132.47921024225</v>
      </c>
      <c r="BK27" s="52">
        <v>1136.1542700791199</v>
      </c>
      <c r="BL27" s="52">
        <v>1139.98336538635</v>
      </c>
      <c r="BM27" s="52">
        <v>1143.960354332</v>
      </c>
      <c r="BN27" s="52">
        <v>1148.0842402544699</v>
      </c>
      <c r="BO27" s="52">
        <v>1152.3542378964</v>
      </c>
      <c r="BP27" s="52">
        <v>1156.7638400583701</v>
      </c>
      <c r="BQ27" s="52">
        <v>1161.3022289970399</v>
      </c>
      <c r="BR27" s="52">
        <v>1165.9656901927401</v>
      </c>
      <c r="BS27" s="52">
        <v>1170.73597701472</v>
      </c>
      <c r="BT27" s="52">
        <v>1175.5937707523899</v>
      </c>
      <c r="BU27" s="52">
        <v>1180.51352058507</v>
      </c>
      <c r="BV27" s="52">
        <v>1185.4663470582</v>
      </c>
      <c r="BW27" s="52">
        <v>1190.4443287644699</v>
      </c>
      <c r="BX27" s="52">
        <v>1195.4355806927799</v>
      </c>
      <c r="BY27" s="52">
        <v>1200.40983960672</v>
      </c>
      <c r="BZ27" s="52">
        <v>1205.32895977314</v>
      </c>
      <c r="CA27" s="52">
        <v>1210.17582163213</v>
      </c>
      <c r="CB27" s="52">
        <v>1214.9307902206201</v>
      </c>
      <c r="CC27" s="52">
        <v>1219.59572253295</v>
      </c>
      <c r="CD27" s="52">
        <v>1224.17455115915</v>
      </c>
      <c r="CE27" s="52">
        <v>1228.67387508767</v>
      </c>
      <c r="CF27" s="52">
        <v>1233.10353931955</v>
      </c>
      <c r="CG27" s="52">
        <v>1237.46724452222</v>
      </c>
      <c r="CH27" s="52">
        <v>1241.76864386036</v>
      </c>
      <c r="CI27" s="52">
        <v>1246.0088700209601</v>
      </c>
      <c r="CJ27" s="52">
        <v>1250.1853462941101</v>
      </c>
      <c r="CK27" s="52">
        <v>1254.2955320809799</v>
      </c>
    </row>
    <row r="28" spans="3:89" ht="1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>
        <v>881.786246107122</v>
      </c>
      <c r="AY28" s="52">
        <v>880.17012088321303</v>
      </c>
      <c r="AZ28" s="52">
        <v>878.48803900757105</v>
      </c>
      <c r="BA28" s="52">
        <v>876.75769674673495</v>
      </c>
      <c r="BB28" s="52">
        <v>874.99406326538895</v>
      </c>
      <c r="BC28" s="52">
        <v>873.21199066637803</v>
      </c>
      <c r="BD28" s="52">
        <v>871.42351347677197</v>
      </c>
      <c r="BE28" s="52">
        <v>869.64397981085403</v>
      </c>
      <c r="BF28" s="52">
        <v>867.88749709520505</v>
      </c>
      <c r="BG28" s="52">
        <v>866.16661054139695</v>
      </c>
      <c r="BH28" s="52">
        <v>864.48679834716302</v>
      </c>
      <c r="BI28" s="52">
        <v>862.85310286970901</v>
      </c>
      <c r="BJ28" s="52">
        <v>861.27150289560598</v>
      </c>
      <c r="BK28" s="52">
        <v>859.746834045779</v>
      </c>
      <c r="BL28" s="52">
        <v>858.28450188460499</v>
      </c>
      <c r="BM28" s="52">
        <v>856.87764919303902</v>
      </c>
      <c r="BN28" s="52">
        <v>855.523320953812</v>
      </c>
      <c r="BO28" s="52">
        <v>854.21870790128105</v>
      </c>
      <c r="BP28" s="52">
        <v>852.95676717650201</v>
      </c>
      <c r="BQ28" s="52">
        <v>851.72736999290703</v>
      </c>
      <c r="BR28" s="52">
        <v>850.52571410206997</v>
      </c>
      <c r="BS28" s="52">
        <v>849.33648851223904</v>
      </c>
      <c r="BT28" s="52">
        <v>848.14387641063399</v>
      </c>
      <c r="BU28" s="52">
        <v>846.92787895112599</v>
      </c>
      <c r="BV28" s="52">
        <v>845.66651745324396</v>
      </c>
      <c r="BW28" s="52">
        <v>844.35313340866605</v>
      </c>
      <c r="BX28" s="52">
        <v>842.97839078534503</v>
      </c>
      <c r="BY28" s="52">
        <v>841.52025477527695</v>
      </c>
      <c r="BZ28" s="52">
        <v>839.95169124344898</v>
      </c>
      <c r="CA28" s="52">
        <v>838.26086382238805</v>
      </c>
      <c r="CB28" s="52">
        <v>836.43449322558797</v>
      </c>
      <c r="CC28" s="52">
        <v>834.47434145720501</v>
      </c>
      <c r="CD28" s="52">
        <v>832.383556277568</v>
      </c>
      <c r="CE28" s="52">
        <v>830.16702542175301</v>
      </c>
      <c r="CF28" s="52">
        <v>827.83170713912295</v>
      </c>
      <c r="CG28" s="52">
        <v>825.38029461909196</v>
      </c>
      <c r="CH28" s="52">
        <v>822.81538763697301</v>
      </c>
      <c r="CI28" s="52">
        <v>820.13786487281402</v>
      </c>
      <c r="CJ28" s="52">
        <v>817.34616148165196</v>
      </c>
      <c r="CK28" s="52">
        <v>814.43878355607001</v>
      </c>
    </row>
    <row r="29" spans="3:89" ht="15">
      <c r="C29" t="s">
        <v>6</v>
      </c>
      <c r="D29" t="str">
        <f>_xlfn.TEXTJOIN(",",TRUE,Regions!$C$3,Regions!$D$3)</f>
        <v>IE,National</v>
      </c>
      <c r="E29" t="s">
        <v>135</v>
      </c>
      <c r="F29" s="34" t="s">
        <v>136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ht="15">
      <c r="C30" t="s">
        <v>6</v>
      </c>
      <c r="D30" t="str">
        <f>_xlfn.TEXTJOIN(",",TRUE,Regions!$C$3,Regions!$D$3)</f>
        <v>IE,National</v>
      </c>
      <c r="E30" t="s">
        <v>137</v>
      </c>
      <c r="F30" s="34" t="s">
        <v>138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ht="15">
      <c r="C31" t="s">
        <v>6</v>
      </c>
      <c r="D31" t="str">
        <f>_xlfn.TEXTJOIN(",",TRUE,Regions!$C$3,Regions!$D$3)</f>
        <v>IE,National</v>
      </c>
      <c r="E31" t="s">
        <v>139</v>
      </c>
      <c r="F31" s="34" t="s">
        <v>140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ht="15">
      <c r="C32" t="s">
        <v>6</v>
      </c>
      <c r="D32" t="str">
        <f>_xlfn.TEXTJOIN(",",TRUE,Regions!$C$3,Regions!$D$3)</f>
        <v>IE,National</v>
      </c>
      <c r="E32" t="s">
        <v>141</v>
      </c>
      <c r="F32" s="34" t="s">
        <v>142</v>
      </c>
      <c r="G32" s="51">
        <f>VLOOKUP(E32,'BY-Demands'!$I$6:$J$42,2,FALSE)</f>
        <v>0.47999999999999998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0.50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ht="15">
      <c r="C33" t="s">
        <v>6</v>
      </c>
      <c r="D33" t="s">
        <v>161</v>
      </c>
      <c r="E33" t="s">
        <v>128</v>
      </c>
      <c r="F33" t="s">
        <v>162</v>
      </c>
      <c r="G33" s="51">
        <f>VLOOKUP(E33,'BY-Demands'!$I$6:$J$42,2,FALSE)</f>
        <v>1.1544546193487999</v>
      </c>
      <c r="H33" s="52">
        <f t="shared" si="48" ref="H33:H39">$G33*SUM(H$26:H$28)/SUM($G$26:$G$28)</f>
        <v>1.1908349006400001</v>
      </c>
      <c r="I33" s="52">
        <f t="shared" si="49" ref="I33:BT34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1.8385185426344024</v>
      </c>
      <c r="AY33" s="52">
        <f t="shared" si="49"/>
        <v>1.8490283043368494</v>
      </c>
      <c r="AZ33" s="52">
        <f t="shared" si="49"/>
        <v>1.859551068858547</v>
      </c>
      <c r="BA33" s="52">
        <f t="shared" si="49"/>
        <v>1.8701247601402311</v>
      </c>
      <c r="BB33" s="52">
        <f t="shared" si="49"/>
        <v>1.880782612128832</v>
      </c>
      <c r="BC33" s="52">
        <f t="shared" si="49"/>
        <v>1.8915586386037755</v>
      </c>
      <c r="BD33" s="52">
        <f t="shared" si="49"/>
        <v>1.9024817666239091</v>
      </c>
      <c r="BE33" s="52">
        <f t="shared" si="49"/>
        <v>1.913589125445166</v>
      </c>
      <c r="BF33" s="52">
        <f t="shared" si="49"/>
        <v>1.9249162704719878</v>
      </c>
      <c r="BG33" s="52">
        <f t="shared" si="49"/>
        <v>1.9364963997687792</v>
      </c>
      <c r="BH33" s="52">
        <f t="shared" si="49"/>
        <v>1.9483478508524552</v>
      </c>
      <c r="BI33" s="52">
        <f t="shared" si="49"/>
        <v>1.9604885613940639</v>
      </c>
      <c r="BJ33" s="52">
        <f t="shared" si="49"/>
        <v>1.9729391955369979</v>
      </c>
      <c r="BK33" s="52">
        <f t="shared" si="49"/>
        <v>1.985718452607214</v>
      </c>
      <c r="BL33" s="52">
        <f t="shared" si="49"/>
        <v>1.9988469740475627</v>
      </c>
      <c r="BM33" s="52">
        <f t="shared" si="49"/>
        <v>2.0123172873271029</v>
      </c>
      <c r="BN33" s="52">
        <f t="shared" si="49"/>
        <v>2.0261308994679408</v>
      </c>
      <c r="BO33" s="52">
        <f t="shared" si="49"/>
        <v>2.040289707968916</v>
      </c>
      <c r="BP33" s="52">
        <f t="shared" si="49"/>
        <v>2.0547854676256718</v>
      </c>
      <c r="BQ33" s="52">
        <f t="shared" si="49"/>
        <v>2.0696021397440396</v>
      </c>
      <c r="BR33" s="52">
        <f t="shared" si="49"/>
        <v>2.0847361720486175</v>
      </c>
      <c r="BS33" s="52">
        <f t="shared" si="49"/>
        <v>2.100157893380004</v>
      </c>
      <c r="BT33" s="52">
        <f t="shared" si="49"/>
        <v>2.1158353079455976</v>
      </c>
      <c r="BU33" s="52">
        <f t="shared" si="50" ref="BU33:CK37">$G33*SUM(BU$26:BU$28)/SUM($G$26:$G$28)</f>
        <v>2.131724739581101</v>
      </c>
      <c r="BV33" s="52">
        <f t="shared" si="50"/>
        <v>2.1477758987992401</v>
      </c>
      <c r="BW33" s="52">
        <f t="shared" si="50"/>
        <v>2.1639759215136105</v>
      </c>
      <c r="BX33" s="52">
        <f t="shared" si="50"/>
        <v>2.1803045411775495</v>
      </c>
      <c r="BY33" s="52">
        <f t="shared" si="50"/>
        <v>2.1967075868377632</v>
      </c>
      <c r="BZ33" s="52">
        <f t="shared" si="50"/>
        <v>2.2131156855828742</v>
      </c>
      <c r="CA33" s="52">
        <f t="shared" si="50"/>
        <v>2.2294972657709233</v>
      </c>
      <c r="CB33" s="52">
        <f t="shared" si="50"/>
        <v>2.2458156796046498</v>
      </c>
      <c r="CC33" s="52">
        <f t="shared" si="50"/>
        <v>2.2620736459537136</v>
      </c>
      <c r="CD33" s="52">
        <f t="shared" si="50"/>
        <v>2.2782777842479627</v>
      </c>
      <c r="CE33" s="52">
        <f t="shared" si="50"/>
        <v>2.2944397841264785</v>
      </c>
      <c r="CF33" s="52">
        <f t="shared" si="50"/>
        <v>2.3105775779890614</v>
      </c>
      <c r="CG33" s="52">
        <f t="shared" si="50"/>
        <v>2.326697791897085</v>
      </c>
      <c r="CH33" s="52">
        <f t="shared" si="50"/>
        <v>2.3428070537252315</v>
      </c>
      <c r="CI33" s="52">
        <f t="shared" si="50"/>
        <v>2.3589073113086112</v>
      </c>
      <c r="CJ33" s="52">
        <f t="shared" si="50"/>
        <v>2.3749934928489504</v>
      </c>
      <c r="CK33" s="52">
        <f t="shared" si="50"/>
        <v>2.3910605252799098</v>
      </c>
    </row>
    <row r="34" spans="3:89" ht="15">
      <c r="C34" t="s">
        <v>6</v>
      </c>
      <c r="D34" t="s">
        <v>161</v>
      </c>
      <c r="E34" t="s">
        <v>129</v>
      </c>
      <c r="F34" t="s">
        <v>163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si="51" ref="I34:W34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3.1861843231526845</v>
      </c>
      <c r="AY34" s="52">
        <f t="shared" si="49"/>
        <v>3.2043979213296301</v>
      </c>
      <c r="AZ34" s="52">
        <f t="shared" si="49"/>
        <v>3.2226340536164542</v>
      </c>
      <c r="BA34" s="52">
        <f t="shared" si="49"/>
        <v>3.2409584428561105</v>
      </c>
      <c r="BB34" s="52">
        <f t="shared" si="49"/>
        <v>3.2594286840514504</v>
      </c>
      <c r="BC34" s="52">
        <f t="shared" si="49"/>
        <v>3.2781037236684809</v>
      </c>
      <c r="BD34" s="52">
        <f t="shared" si="49"/>
        <v>3.2970336927987733</v>
      </c>
      <c r="BE34" s="52">
        <f t="shared" si="49"/>
        <v>3.3162829370828208</v>
      </c>
      <c r="BF34" s="52">
        <f t="shared" si="49"/>
        <v>3.3359130746493544</v>
      </c>
      <c r="BG34" s="52">
        <f t="shared" si="49"/>
        <v>3.3559816383161909</v>
      </c>
      <c r="BH34" s="52">
        <f t="shared" si="49"/>
        <v>3.3765204073162098</v>
      </c>
      <c r="BI34" s="52">
        <f t="shared" si="49"/>
        <v>3.3975604679425122</v>
      </c>
      <c r="BJ34" s="52">
        <f t="shared" si="49"/>
        <v>3.4191376315117643</v>
      </c>
      <c r="BK34" s="52">
        <f t="shared" si="49"/>
        <v>3.4412843042781529</v>
      </c>
      <c r="BL34" s="52">
        <f t="shared" si="49"/>
        <v>3.4640362582179125</v>
      </c>
      <c r="BM34" s="52">
        <f t="shared" si="49"/>
        <v>3.4873805433061271</v>
      </c>
      <c r="BN34" s="52">
        <f t="shared" si="49"/>
        <v>3.5113197712380813</v>
      </c>
      <c r="BO34" s="52">
        <f t="shared" si="49"/>
        <v>3.5358572304119691</v>
      </c>
      <c r="BP34" s="52">
        <f t="shared" si="49"/>
        <v>3.5609786317465271</v>
      </c>
      <c r="BQ34" s="52">
        <f t="shared" si="49"/>
        <v>3.5866561799083159</v>
      </c>
      <c r="BR34" s="52">
        <f t="shared" si="49"/>
        <v>3.6128837187428378</v>
      </c>
      <c r="BS34" s="52">
        <f t="shared" si="49"/>
        <v>3.6396098276194371</v>
      </c>
      <c r="BT34" s="52">
        <f t="shared" si="49"/>
        <v>3.6667790572780534</v>
      </c>
      <c r="BU34" s="52">
        <f t="shared" si="50"/>
        <v>3.6943157161731577</v>
      </c>
      <c r="BV34" s="52">
        <f t="shared" si="50"/>
        <v>3.7221326517565112</v>
      </c>
      <c r="BW34" s="52">
        <f t="shared" si="50"/>
        <v>3.7502075703446507</v>
      </c>
      <c r="BX34" s="52">
        <f t="shared" si="50"/>
        <v>3.7785053496628929</v>
      </c>
      <c r="BY34" s="52">
        <f t="shared" si="50"/>
        <v>3.8069321105154885</v>
      </c>
      <c r="BZ34" s="52">
        <f t="shared" si="50"/>
        <v>3.8353676284513063</v>
      </c>
      <c r="CA34" s="52">
        <f t="shared" si="50"/>
        <v>3.8637571892706606</v>
      </c>
      <c r="CB34" s="52">
        <f t="shared" si="50"/>
        <v>3.8920372817092366</v>
      </c>
      <c r="CC34" s="52">
        <f t="shared" si="50"/>
        <v>3.9202126176150176</v>
      </c>
      <c r="CD34" s="52">
        <f t="shared" si="50"/>
        <v>3.9482946685740226</v>
      </c>
      <c r="CE34" s="52">
        <f t="shared" si="50"/>
        <v>3.9763036929322624</v>
      </c>
      <c r="CF34" s="52">
        <f t="shared" si="50"/>
        <v>4.0042707678476743</v>
      </c>
      <c r="CG34" s="52">
        <f t="shared" si="50"/>
        <v>4.0322073763988273</v>
      </c>
      <c r="CH34" s="52">
        <f t="shared" si="50"/>
        <v>4.0601250048067827</v>
      </c>
      <c r="CI34" s="52">
        <f t="shared" si="50"/>
        <v>4.0880270287033591</v>
      </c>
      <c r="CJ34" s="52">
        <f t="shared" si="50"/>
        <v>4.1159046585747312</v>
      </c>
      <c r="CK34" s="52">
        <f t="shared" si="50"/>
        <v>4.143749102709493</v>
      </c>
    </row>
    <row r="35" spans="3:89" ht="15">
      <c r="C35" t="s">
        <v>6</v>
      </c>
      <c r="D35" t="s">
        <v>161</v>
      </c>
      <c r="E35" t="s">
        <v>130</v>
      </c>
      <c r="F35" t="s">
        <v>164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si="52" ref="I35:BT38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1.2561469019987892</v>
      </c>
      <c r="AY35" s="52">
        <f t="shared" si="52"/>
        <v>1.2633275772528758</v>
      </c>
      <c r="AZ35" s="52">
        <f t="shared" si="52"/>
        <v>1.2705171365354562</v>
      </c>
      <c r="BA35" s="52">
        <f t="shared" si="52"/>
        <v>1.277741490948084</v>
      </c>
      <c r="BB35" s="52">
        <f t="shared" si="52"/>
        <v>1.2850233472073413</v>
      </c>
      <c r="BC35" s="52">
        <f t="shared" si="52"/>
        <v>1.2923859448415</v>
      </c>
      <c r="BD35" s="52">
        <f t="shared" si="52"/>
        <v>1.2998490479348015</v>
      </c>
      <c r="BE35" s="52">
        <f t="shared" si="52"/>
        <v>1.3074380246294388</v>
      </c>
      <c r="BF35" s="52">
        <f t="shared" si="52"/>
        <v>1.3151771677514574</v>
      </c>
      <c r="BG35" s="52">
        <f t="shared" si="52"/>
        <v>1.3230891595011118</v>
      </c>
      <c r="BH35" s="52">
        <f t="shared" si="52"/>
        <v>1.3311865287784532</v>
      </c>
      <c r="BI35" s="52">
        <f t="shared" si="52"/>
        <v>1.3394815312933874</v>
      </c>
      <c r="BJ35" s="52">
        <f t="shared" si="52"/>
        <v>1.3479882855870682</v>
      </c>
      <c r="BK35" s="52">
        <f t="shared" si="52"/>
        <v>1.3567195677614632</v>
      </c>
      <c r="BL35" s="52">
        <f t="shared" si="52"/>
        <v>1.3656894808478377</v>
      </c>
      <c r="BM35" s="52">
        <f t="shared" si="52"/>
        <v>1.3748929193243418</v>
      </c>
      <c r="BN35" s="52">
        <f t="shared" si="52"/>
        <v>1.3843309128467038</v>
      </c>
      <c r="BO35" s="52">
        <f t="shared" si="52"/>
        <v>1.3940047578594441</v>
      </c>
      <c r="BP35" s="52">
        <f t="shared" si="52"/>
        <v>1.4039088209203807</v>
      </c>
      <c r="BQ35" s="52">
        <f t="shared" si="52"/>
        <v>1.4140321437739818</v>
      </c>
      <c r="BR35" s="52">
        <f t="shared" si="52"/>
        <v>1.4243722993684447</v>
      </c>
      <c r="BS35" s="52">
        <f t="shared" si="52"/>
        <v>1.4349090152212813</v>
      </c>
      <c r="BT35" s="52">
        <f t="shared" si="52"/>
        <v>1.4456204305707847</v>
      </c>
      <c r="BU35" s="52">
        <f t="shared" si="50"/>
        <v>1.4564767041740192</v>
      </c>
      <c r="BV35" s="52">
        <f t="shared" si="50"/>
        <v>1.4674434763102764</v>
      </c>
      <c r="BW35" s="52">
        <f t="shared" si="50"/>
        <v>1.4785119577387027</v>
      </c>
      <c r="BX35" s="52">
        <f t="shared" si="50"/>
        <v>1.4896683015715926</v>
      </c>
      <c r="BY35" s="52">
        <f t="shared" si="50"/>
        <v>1.5008754961206878</v>
      </c>
      <c r="BZ35" s="52">
        <f t="shared" si="50"/>
        <v>1.5120861431326174</v>
      </c>
      <c r="CA35" s="52">
        <f t="shared" si="50"/>
        <v>1.5232786716417817</v>
      </c>
      <c r="CB35" s="52">
        <f t="shared" si="50"/>
        <v>1.5344280424571544</v>
      </c>
      <c r="CC35" s="52">
        <f t="shared" si="50"/>
        <v>1.5455361132155343</v>
      </c>
      <c r="CD35" s="52">
        <f t="shared" si="50"/>
        <v>1.5566074065671451</v>
      </c>
      <c r="CE35" s="52">
        <f t="shared" si="50"/>
        <v>1.5676499093250513</v>
      </c>
      <c r="CF35" s="52">
        <f t="shared" si="50"/>
        <v>1.5786758735976398</v>
      </c>
      <c r="CG35" s="52">
        <f t="shared" si="50"/>
        <v>1.5896898265660482</v>
      </c>
      <c r="CH35" s="52">
        <f t="shared" si="50"/>
        <v>1.6006962966503357</v>
      </c>
      <c r="CI35" s="52">
        <f t="shared" si="50"/>
        <v>1.6116966146867076</v>
      </c>
      <c r="CJ35" s="52">
        <f t="shared" si="50"/>
        <v>1.6226873154266264</v>
      </c>
      <c r="CK35" s="52">
        <f t="shared" si="50"/>
        <v>1.6336649327551653</v>
      </c>
    </row>
    <row r="36" spans="3:89" ht="15">
      <c r="C36" t="s">
        <v>6</v>
      </c>
      <c r="D36" t="s">
        <v>161</v>
      </c>
      <c r="E36" t="s">
        <v>131</v>
      </c>
      <c r="F36" t="s">
        <v>165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1.6748665154757469</v>
      </c>
      <c r="AY36" s="52">
        <f t="shared" si="52"/>
        <v>1.6844407718962642</v>
      </c>
      <c r="AZ36" s="52">
        <f t="shared" si="52"/>
        <v>1.6940268737162512</v>
      </c>
      <c r="BA36" s="52">
        <f t="shared" si="52"/>
        <v>1.7036593691531994</v>
      </c>
      <c r="BB36" s="52">
        <f t="shared" si="52"/>
        <v>1.7133685339011526</v>
      </c>
      <c r="BC36" s="52">
        <f t="shared" si="52"/>
        <v>1.7231853540714304</v>
      </c>
      <c r="BD36" s="52">
        <f t="shared" si="52"/>
        <v>1.7331361818389668</v>
      </c>
      <c r="BE36" s="52">
        <f t="shared" si="52"/>
        <v>1.7432548414737186</v>
      </c>
      <c r="BF36" s="52">
        <f t="shared" si="52"/>
        <v>1.7535737234873734</v>
      </c>
      <c r="BG36" s="52">
        <f t="shared" si="52"/>
        <v>1.7641230708854607</v>
      </c>
      <c r="BH36" s="52">
        <f t="shared" si="52"/>
        <v>1.7749195889077407</v>
      </c>
      <c r="BI36" s="52">
        <f t="shared" si="52"/>
        <v>1.7859796185395806</v>
      </c>
      <c r="BJ36" s="52">
        <f t="shared" si="52"/>
        <v>1.7973219845472461</v>
      </c>
      <c r="BK36" s="52">
        <f t="shared" si="52"/>
        <v>1.8089637217738355</v>
      </c>
      <c r="BL36" s="52">
        <f t="shared" si="52"/>
        <v>1.8209236343057147</v>
      </c>
      <c r="BM36" s="52">
        <f t="shared" si="52"/>
        <v>1.8331949147642421</v>
      </c>
      <c r="BN36" s="52">
        <f t="shared" si="52"/>
        <v>1.8457789360269852</v>
      </c>
      <c r="BO36" s="52">
        <f t="shared" si="52"/>
        <v>1.8586774266907435</v>
      </c>
      <c r="BP36" s="52">
        <f t="shared" si="52"/>
        <v>1.8718828754814292</v>
      </c>
      <c r="BQ36" s="52">
        <f t="shared" si="52"/>
        <v>1.8853806713569492</v>
      </c>
      <c r="BR36" s="52">
        <f t="shared" si="52"/>
        <v>1.8991675782405455</v>
      </c>
      <c r="BS36" s="52">
        <f t="shared" si="52"/>
        <v>1.9132165660913436</v>
      </c>
      <c r="BT36" s="52">
        <f t="shared" si="52"/>
        <v>1.9274984871578125</v>
      </c>
      <c r="BU36" s="52">
        <f t="shared" si="50"/>
        <v>1.941973553021501</v>
      </c>
      <c r="BV36" s="52">
        <f t="shared" si="50"/>
        <v>1.9565959506126125</v>
      </c>
      <c r="BW36" s="52">
        <f t="shared" si="50"/>
        <v>1.9713539609154986</v>
      </c>
      <c r="BX36" s="52">
        <f t="shared" si="50"/>
        <v>1.986229121369351</v>
      </c>
      <c r="BY36" s="52">
        <f t="shared" si="50"/>
        <v>2.001172082939239</v>
      </c>
      <c r="BZ36" s="52">
        <f t="shared" si="50"/>
        <v>2.0161196478038437</v>
      </c>
      <c r="CA36" s="52">
        <f t="shared" si="50"/>
        <v>2.0310430546073617</v>
      </c>
      <c r="CB36" s="52">
        <f t="shared" si="50"/>
        <v>2.0459089176824339</v>
      </c>
      <c r="CC36" s="52">
        <f t="shared" si="50"/>
        <v>2.0607197138840108</v>
      </c>
      <c r="CD36" s="52">
        <f t="shared" si="50"/>
        <v>2.0754814734267173</v>
      </c>
      <c r="CE36" s="52">
        <f t="shared" si="50"/>
        <v>2.0902048454199429</v>
      </c>
      <c r="CF36" s="52">
        <f t="shared" si="50"/>
        <v>2.1049061660470176</v>
      </c>
      <c r="CG36" s="52">
        <f t="shared" si="50"/>
        <v>2.1195914715637998</v>
      </c>
      <c r="CH36" s="52">
        <f t="shared" si="50"/>
        <v>2.1342667998780485</v>
      </c>
      <c r="CI36" s="52">
        <f t="shared" si="50"/>
        <v>2.1489339254422526</v>
      </c>
      <c r="CJ36" s="52">
        <f t="shared" si="50"/>
        <v>2.1635882279140533</v>
      </c>
      <c r="CK36" s="52">
        <f t="shared" si="50"/>
        <v>2.1782250857958982</v>
      </c>
    </row>
    <row r="37" spans="3:89" ht="15">
      <c r="C37" t="s">
        <v>6</v>
      </c>
      <c r="D37" t="s">
        <v>161</v>
      </c>
      <c r="E37" t="s">
        <v>132</v>
      </c>
      <c r="F37" t="s">
        <v>166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1.3517289739596117</v>
      </c>
      <c r="AY37" s="52">
        <f t="shared" si="52"/>
        <v>1.3594560373931155</v>
      </c>
      <c r="AZ37" s="52">
        <f t="shared" si="52"/>
        <v>1.3671926608539544</v>
      </c>
      <c r="BA37" s="52">
        <f t="shared" si="52"/>
        <v>1.3749667270576473</v>
      </c>
      <c r="BB37" s="52">
        <f t="shared" si="52"/>
        <v>1.3828026705083574</v>
      </c>
      <c r="BC37" s="52">
        <f t="shared" si="52"/>
        <v>1.3907254990643669</v>
      </c>
      <c r="BD37" s="52">
        <f t="shared" si="52"/>
        <v>1.3987564806882604</v>
      </c>
      <c r="BE37" s="52">
        <f t="shared" si="52"/>
        <v>1.4069229138216166</v>
      </c>
      <c r="BF37" s="52">
        <f t="shared" si="52"/>
        <v>1.4152509397674728</v>
      </c>
      <c r="BG37" s="52">
        <f t="shared" si="52"/>
        <v>1.4237649666481822</v>
      </c>
      <c r="BH37" s="52">
        <f t="shared" si="52"/>
        <v>1.4324784767062939</v>
      </c>
      <c r="BI37" s="52">
        <f t="shared" si="52"/>
        <v>1.4414046582067723</v>
      </c>
      <c r="BJ37" s="52">
        <f t="shared" si="52"/>
        <v>1.4505587039914065</v>
      </c>
      <c r="BK37" s="52">
        <f t="shared" si="52"/>
        <v>1.4599543623146223</v>
      </c>
      <c r="BL37" s="52">
        <f t="shared" si="52"/>
        <v>1.4696068093281514</v>
      </c>
      <c r="BM37" s="52">
        <f t="shared" si="52"/>
        <v>1.4795105510234499</v>
      </c>
      <c r="BN37" s="52">
        <f t="shared" si="52"/>
        <v>1.4896666954042701</v>
      </c>
      <c r="BO37" s="52">
        <f t="shared" si="52"/>
        <v>1.5000766375635097</v>
      </c>
      <c r="BP37" s="52">
        <f t="shared" si="52"/>
        <v>1.5107343154020565</v>
      </c>
      <c r="BQ37" s="52">
        <f t="shared" si="52"/>
        <v>1.5216279368345385</v>
      </c>
      <c r="BR37" s="52">
        <f t="shared" si="52"/>
        <v>1.5327548901311996</v>
      </c>
      <c r="BS37" s="52">
        <f t="shared" si="52"/>
        <v>1.5440933602464351</v>
      </c>
      <c r="BT37" s="52">
        <f t="shared" si="52"/>
        <v>1.5556198230009111</v>
      </c>
      <c r="BU37" s="52">
        <f t="shared" si="50"/>
        <v>1.5673021664874685</v>
      </c>
      <c r="BV37" s="52">
        <f t="shared" si="50"/>
        <v>1.5791034165035323</v>
      </c>
      <c r="BW37" s="52">
        <f t="shared" si="50"/>
        <v>1.591014115021939</v>
      </c>
      <c r="BX37" s="52">
        <f t="shared" si="50"/>
        <v>1.6030193615248576</v>
      </c>
      <c r="BY37" s="52">
        <f t="shared" si="50"/>
        <v>1.6150793280500377</v>
      </c>
      <c r="BZ37" s="52">
        <f t="shared" si="50"/>
        <v>1.6271430097410451</v>
      </c>
      <c r="CA37" s="52">
        <f t="shared" si="50"/>
        <v>1.6391871942656679</v>
      </c>
      <c r="CB37" s="52">
        <f t="shared" si="50"/>
        <v>1.6511849371638734</v>
      </c>
      <c r="CC37" s="52">
        <f t="shared" si="50"/>
        <v>1.6631382374227872</v>
      </c>
      <c r="CD37" s="52">
        <f t="shared" si="50"/>
        <v>1.6750519618277635</v>
      </c>
      <c r="CE37" s="52">
        <f t="shared" si="50"/>
        <v>1.6869347049202634</v>
      </c>
      <c r="CF37" s="52">
        <f t="shared" si="50"/>
        <v>1.698799651089685</v>
      </c>
      <c r="CG37" s="52">
        <f t="shared" si="50"/>
        <v>1.7106516719970615</v>
      </c>
      <c r="CH37" s="52">
        <f t="shared" si="50"/>
        <v>1.7224956406366192</v>
      </c>
      <c r="CI37" s="52">
        <f t="shared" si="50"/>
        <v>1.734332989109854</v>
      </c>
      <c r="CJ37" s="52">
        <f t="shared" si="50"/>
        <v>1.7461599884923533</v>
      </c>
      <c r="CK37" s="52">
        <f t="shared" si="50"/>
        <v>1.7579729089273881</v>
      </c>
    </row>
    <row r="38" spans="3:89" ht="15">
      <c r="C38" t="s">
        <v>6</v>
      </c>
      <c r="D38" t="s">
        <v>161</v>
      </c>
      <c r="E38" t="s">
        <v>133</v>
      </c>
      <c r="F38" t="s">
        <v>167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14.678352030604714</v>
      </c>
      <c r="AY38" s="52">
        <f t="shared" si="52"/>
        <v>14.762259795715005</v>
      </c>
      <c r="AZ38" s="52">
        <f t="shared" si="52"/>
        <v>14.846271372646569</v>
      </c>
      <c r="BA38" s="52">
        <f t="shared" si="52"/>
        <v>14.930689538303522</v>
      </c>
      <c r="BB38" s="52">
        <f t="shared" si="52"/>
        <v>15.015779625648852</v>
      </c>
      <c r="BC38" s="52">
        <f t="shared" si="52"/>
        <v>15.101813193666985</v>
      </c>
      <c r="BD38" s="52">
        <f t="shared" si="52"/>
        <v>15.189021190016668</v>
      </c>
      <c r="BE38" s="52">
        <f t="shared" si="52"/>
        <v>15.277700047002813</v>
      </c>
      <c r="BF38" s="52">
        <f t="shared" si="52"/>
        <v>15.368133631625334</v>
      </c>
      <c r="BG38" s="52">
        <f t="shared" si="52"/>
        <v>15.460586990368544</v>
      </c>
      <c r="BH38" s="52">
        <f t="shared" si="52"/>
        <v>15.55520652617721</v>
      </c>
      <c r="BI38" s="52">
        <f t="shared" si="52"/>
        <v>15.652135449709334</v>
      </c>
      <c r="BJ38" s="52">
        <f t="shared" si="52"/>
        <v>15.751538739214581</v>
      </c>
      <c r="BK38" s="52">
        <f t="shared" si="52"/>
        <v>15.85356568624632</v>
      </c>
      <c r="BL38" s="52">
        <f t="shared" si="52"/>
        <v>15.958381087817767</v>
      </c>
      <c r="BM38" s="52">
        <f t="shared" si="52"/>
        <v>16.065925284786434</v>
      </c>
      <c r="BN38" s="52">
        <f t="shared" si="52"/>
        <v>16.176210308905318</v>
      </c>
      <c r="BO38" s="52">
        <f t="shared" si="52"/>
        <v>16.289251309412954</v>
      </c>
      <c r="BP38" s="52">
        <f t="shared" si="52"/>
        <v>16.404982458302001</v>
      </c>
      <c r="BQ38" s="52">
        <f t="shared" si="52"/>
        <v>16.523275705953353</v>
      </c>
      <c r="BR38" s="52">
        <f t="shared" si="52"/>
        <v>16.644102691734432</v>
      </c>
      <c r="BS38" s="52">
        <f t="shared" si="52"/>
        <v>16.767226527241483</v>
      </c>
      <c r="BT38" s="52">
        <f t="shared" si="53" ref="BT38:CK39">$G38*SUM(BT$26:BT$28)/SUM($G$26:$G$28)</f>
        <v>16.892391764679758</v>
      </c>
      <c r="BU38" s="52">
        <f t="shared" si="53"/>
        <v>17.019249702581192</v>
      </c>
      <c r="BV38" s="52">
        <f t="shared" si="53"/>
        <v>17.147398840073997</v>
      </c>
      <c r="BW38" s="52">
        <f t="shared" si="53"/>
        <v>17.276736472951281</v>
      </c>
      <c r="BX38" s="52">
        <f t="shared" si="53"/>
        <v>17.407100797293484</v>
      </c>
      <c r="BY38" s="52">
        <f t="shared" si="53"/>
        <v>17.538059323406419</v>
      </c>
      <c r="BZ38" s="52">
        <f t="shared" si="53"/>
        <v>17.669058192304721</v>
      </c>
      <c r="CA38" s="52">
        <f t="shared" si="53"/>
        <v>17.799845342524716</v>
      </c>
      <c r="CB38" s="52">
        <f t="shared" si="53"/>
        <v>17.930128185628003</v>
      </c>
      <c r="CC38" s="52">
        <f t="shared" si="53"/>
        <v>18.059928428507977</v>
      </c>
      <c r="CD38" s="52">
        <f t="shared" si="53"/>
        <v>18.189298919324337</v>
      </c>
      <c r="CE38" s="52">
        <f t="shared" si="53"/>
        <v>18.31833298573931</v>
      </c>
      <c r="CF38" s="52">
        <f t="shared" si="53"/>
        <v>18.44717379632635</v>
      </c>
      <c r="CG38" s="52">
        <f t="shared" si="53"/>
        <v>18.575874252189895</v>
      </c>
      <c r="CH38" s="52">
        <f t="shared" si="53"/>
        <v>18.704487268911443</v>
      </c>
      <c r="CI38" s="52">
        <f t="shared" si="53"/>
        <v>18.833028397603911</v>
      </c>
      <c r="CJ38" s="52">
        <f t="shared" si="53"/>
        <v>18.9614571460782</v>
      </c>
      <c r="CK38" s="52">
        <f t="shared" si="53"/>
        <v>19.089733012021238</v>
      </c>
    </row>
    <row r="39" spans="3:89" ht="15">
      <c r="C39" t="s">
        <v>6</v>
      </c>
      <c r="D39" t="s">
        <v>161</v>
      </c>
      <c r="E39" t="s">
        <v>134</v>
      </c>
      <c r="F39" t="s">
        <v>168</v>
      </c>
      <c r="G39" s="32">
        <f>VLOOKUP(E39,'BY-Demands'!$I$6:$J$42,2,FALSE)</f>
        <v>0</v>
      </c>
      <c r="H39">
        <f t="shared" si="48"/>
        <v>0</v>
      </c>
      <c r="I39">
        <f t="shared" si="54" ref="I39:BT39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6:20" ht="15">
      <c r="F43" t="s">
        <v>201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202</v>
      </c>
      <c r="T43" s="72" t="s">
        <v>198</v>
      </c>
    </row>
    <row r="44" spans="6:20" ht="15">
      <c r="F44" t="s">
        <v>199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6:20" ht="15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6:6" ht="15">
      <c r="F46" t="s">
        <v>205</v>
      </c>
    </row>
    <row r="47" spans="6:7" ht="15">
      <c r="F47" t="s">
        <v>203</v>
      </c>
      <c r="G47">
        <v>129.69999999999999</v>
      </c>
    </row>
    <row r="48" spans="6:7" ht="15">
      <c r="F48" t="s">
        <v>204</v>
      </c>
      <c r="G48" s="82">
        <f>1-(G47/T44)</f>
        <v>-0.13021230911873061</v>
      </c>
    </row>
    <row r="53" spans="7:7" ht="15">
      <c r="G53" t="s">
        <v>206</v>
      </c>
    </row>
    <row r="54" spans="6:11" ht="15.75" thickBot="1">
      <c r="F54" s="53" t="s">
        <v>59</v>
      </c>
      <c r="G54" s="53">
        <v>2022</v>
      </c>
      <c r="J54" s="88" t="s">
        <v>208</v>
      </c>
      <c r="K54" s="88" t="s">
        <v>61</v>
      </c>
    </row>
    <row r="55" spans="6:11" ht="15">
      <c r="F55" s="34" t="s">
        <v>8</v>
      </c>
      <c r="G55" s="52">
        <v>1.7028384806625201</v>
      </c>
      <c r="J55" t="s">
        <v>211</v>
      </c>
      <c r="K55" s="52">
        <v>10.40</v>
      </c>
    </row>
    <row r="56" spans="6:11" ht="15">
      <c r="F56" s="34" t="s">
        <v>10</v>
      </c>
      <c r="G56" s="52">
        <v>23.738094411807602</v>
      </c>
      <c r="J56" t="s">
        <v>17</v>
      </c>
      <c r="K56" s="52">
        <v>5.70</v>
      </c>
    </row>
    <row r="57" spans="6:11" ht="15">
      <c r="F57" s="34" t="s">
        <v>12</v>
      </c>
      <c r="G57" s="52">
        <v>1.5478463345837199</v>
      </c>
      <c r="J57" t="s">
        <v>212</v>
      </c>
      <c r="K57" s="52">
        <v>13.40</v>
      </c>
    </row>
    <row r="58" spans="6:11" ht="15">
      <c r="F58" s="34" t="s">
        <v>14</v>
      </c>
      <c r="G58" s="52">
        <v>5.8166390635502099</v>
      </c>
      <c r="J58" t="s">
        <v>213</v>
      </c>
      <c r="K58" s="52">
        <v>1.30</v>
      </c>
    </row>
    <row r="59" spans="6:11" ht="15">
      <c r="F59" s="34" t="s">
        <v>16</v>
      </c>
      <c r="G59" s="52">
        <v>1.19927927754182</v>
      </c>
      <c r="J59" t="s">
        <v>23</v>
      </c>
      <c r="K59" s="52">
        <v>16.50</v>
      </c>
    </row>
    <row r="60" spans="6:11" ht="15">
      <c r="F60" s="34" t="s">
        <v>18</v>
      </c>
      <c r="G60" s="52">
        <v>10.6043548094603</v>
      </c>
      <c r="J60" t="s">
        <v>31</v>
      </c>
      <c r="K60" s="52">
        <v>3.80</v>
      </c>
    </row>
    <row r="61" spans="6:11" ht="15">
      <c r="F61" s="34" t="s">
        <v>20</v>
      </c>
      <c r="G61" s="52">
        <v>1.0410295169864401</v>
      </c>
      <c r="J61" t="s">
        <v>21</v>
      </c>
      <c r="K61" s="52">
        <v>2.40</v>
      </c>
    </row>
    <row r="62" spans="6:11" ht="15">
      <c r="F62" s="34" t="s">
        <v>22</v>
      </c>
      <c r="G62" s="52">
        <v>18.752348682008719</v>
      </c>
      <c r="J62" t="s">
        <v>13</v>
      </c>
      <c r="K62" s="52">
        <v>5</v>
      </c>
    </row>
    <row r="63" spans="6:11" ht="15">
      <c r="F63" s="34" t="s">
        <v>24</v>
      </c>
      <c r="G63" s="52">
        <v>18.095637208589601</v>
      </c>
      <c r="J63" s="89" t="s">
        <v>209</v>
      </c>
      <c r="K63" s="52">
        <v>23.439361110035826</v>
      </c>
    </row>
    <row r="64" spans="6:11" ht="15">
      <c r="F64" s="34" t="s">
        <v>26</v>
      </c>
      <c r="G64" s="52">
        <v>2.2584342466232901</v>
      </c>
      <c r="J64" s="89" t="s">
        <v>210</v>
      </c>
      <c r="K64" s="52">
        <v>0</v>
      </c>
    </row>
    <row r="65" spans="6:7" ht="15">
      <c r="F65" s="34" t="s">
        <v>28</v>
      </c>
      <c r="G65" s="52">
        <v>6.2862087424890802</v>
      </c>
    </row>
    <row r="66" spans="6:7" ht="15">
      <c r="F66" s="34" t="s">
        <v>30</v>
      </c>
      <c r="G66" s="52">
        <v>0.187409320968947</v>
      </c>
    </row>
    <row r="67" spans="6:46" ht="15.75" thickBot="1">
      <c r="F67" s="34" t="s">
        <v>32</v>
      </c>
      <c r="G67" s="52">
        <v>4.6924479738735299</v>
      </c>
      <c r="J67" s="94" t="s">
        <v>3</v>
      </c>
      <c r="K67" s="94" t="s">
        <v>4</v>
      </c>
      <c r="L67" s="94" t="s">
        <v>5</v>
      </c>
      <c r="M67" s="94" t="s">
        <v>59</v>
      </c>
      <c r="N67" s="94">
        <v>2018</v>
      </c>
      <c r="O67" s="94">
        <v>2019</v>
      </c>
      <c r="P67" s="94">
        <v>2020</v>
      </c>
      <c r="Q67" s="94">
        <v>2021</v>
      </c>
      <c r="R67" s="94">
        <v>2022</v>
      </c>
      <c r="S67" s="94">
        <v>2023</v>
      </c>
      <c r="T67" s="94">
        <v>2024</v>
      </c>
      <c r="U67" s="94">
        <v>2025</v>
      </c>
      <c r="V67" s="94">
        <v>2026</v>
      </c>
      <c r="W67" s="94">
        <v>2027</v>
      </c>
      <c r="X67" s="94">
        <v>2028</v>
      </c>
      <c r="Y67" s="94">
        <v>2029</v>
      </c>
      <c r="Z67" s="94">
        <v>2030</v>
      </c>
      <c r="AA67" s="94">
        <v>2031</v>
      </c>
      <c r="AB67" s="94">
        <v>2032</v>
      </c>
      <c r="AC67" s="94">
        <v>2033</v>
      </c>
      <c r="AD67" s="94">
        <v>2034</v>
      </c>
      <c r="AE67" s="94">
        <v>2035</v>
      </c>
      <c r="AF67" s="94">
        <v>2036</v>
      </c>
      <c r="AG67" s="94">
        <v>2037</v>
      </c>
      <c r="AH67" s="94">
        <v>2038</v>
      </c>
      <c r="AI67" s="94">
        <v>2039</v>
      </c>
      <c r="AJ67" s="94">
        <v>2040</v>
      </c>
      <c r="AK67" s="94">
        <v>2041</v>
      </c>
      <c r="AL67" s="94">
        <v>2042</v>
      </c>
      <c r="AM67" s="94">
        <v>2043</v>
      </c>
      <c r="AN67" s="94">
        <v>2044</v>
      </c>
      <c r="AO67" s="94">
        <v>2045</v>
      </c>
      <c r="AP67" s="94">
        <v>2046</v>
      </c>
      <c r="AQ67" s="94">
        <v>2047</v>
      </c>
      <c r="AR67" s="94">
        <v>2048</v>
      </c>
      <c r="AS67" s="94">
        <v>2049</v>
      </c>
      <c r="AT67" s="94">
        <v>2050</v>
      </c>
    </row>
    <row r="68" spans="6:46" ht="15">
      <c r="F68" s="34" t="s">
        <v>34</v>
      </c>
      <c r="G68" s="52">
        <v>3.6347440465271599</v>
      </c>
      <c r="J68" s="90" t="s">
        <v>6</v>
      </c>
      <c r="K68" s="90" t="s">
        <v>161</v>
      </c>
      <c r="L68" s="90" t="s">
        <v>7</v>
      </c>
      <c r="M68" s="91" t="s">
        <v>8</v>
      </c>
      <c r="N68" s="92">
        <v>1.8983540603270901</v>
      </c>
      <c r="O68" s="93">
        <v>2.9169885814082672</v>
      </c>
      <c r="P68" s="93">
        <v>2.9233084199020065</v>
      </c>
      <c r="Q68" s="93">
        <v>2.9160581250770159</v>
      </c>
      <c r="R68" s="93">
        <v>1.7028384806625201</v>
      </c>
      <c r="S68" s="93">
        <v>1.6135753111997699</v>
      </c>
      <c r="T68" s="93">
        <v>1.5288879865599401</v>
      </c>
      <c r="U68" s="93">
        <v>1.4483402829919301</v>
      </c>
      <c r="V68" s="93">
        <v>1.37144186569114</v>
      </c>
      <c r="W68" s="93">
        <v>1.2980237760162101</v>
      </c>
      <c r="X68" s="93">
        <v>1.2273645374545299</v>
      </c>
      <c r="Y68" s="93">
        <v>1.1587398333279899</v>
      </c>
      <c r="Z68" s="93">
        <v>1.0921851641664599</v>
      </c>
      <c r="AA68" s="93">
        <v>1.0275875212951799</v>
      </c>
      <c r="AB68" s="93">
        <v>0.96469052754222095</v>
      </c>
      <c r="AC68" s="93">
        <v>0.90322534608371097</v>
      </c>
      <c r="AD68" s="93">
        <v>0.843039934608244</v>
      </c>
      <c r="AE68" s="93">
        <v>0.78430044562909396</v>
      </c>
      <c r="AF68" s="93">
        <v>0.72705781851404505</v>
      </c>
      <c r="AG68" s="93">
        <v>0.67137201355071097</v>
      </c>
      <c r="AH68" s="93">
        <v>0.617255006862235</v>
      </c>
      <c r="AI68" s="93">
        <v>0.56487434871240405</v>
      </c>
      <c r="AJ68" s="93">
        <v>0.51429446227126696</v>
      </c>
      <c r="AK68" s="93">
        <v>0.46550862914181301</v>
      </c>
      <c r="AL68" s="93">
        <v>0.41860592138873198</v>
      </c>
      <c r="AM68" s="93">
        <v>0.37371559292088302</v>
      </c>
      <c r="AN68" s="93">
        <v>0.33115411651416998</v>
      </c>
      <c r="AO68" s="93">
        <v>0.29094856023906202</v>
      </c>
      <c r="AP68" s="93">
        <v>0.253074162053473</v>
      </c>
      <c r="AQ68" s="93">
        <v>0.21761723332759</v>
      </c>
      <c r="AR68" s="93">
        <v>0.18460518744999099</v>
      </c>
      <c r="AS68" s="93">
        <v>0.15423321177072899</v>
      </c>
      <c r="AT68" s="93">
        <v>0.126438626203419</v>
      </c>
    </row>
    <row r="69" spans="6:46" ht="15">
      <c r="F69" s="34" t="s">
        <v>36</v>
      </c>
      <c r="G69" s="51">
        <v>14.05673907080137</v>
      </c>
      <c r="J69" s="90" t="s">
        <v>6</v>
      </c>
      <c r="K69" s="90" t="s">
        <v>161</v>
      </c>
      <c r="L69" s="90" t="s">
        <v>9</v>
      </c>
      <c r="M69" s="91" t="s">
        <v>10</v>
      </c>
      <c r="N69" s="92">
        <v>20.1128233846323</v>
      </c>
      <c r="O69" s="93">
        <v>20.829707214475608</v>
      </c>
      <c r="P69" s="93">
        <v>21.483394248547164</v>
      </c>
      <c r="Q69" s="93">
        <v>20.570384916097975</v>
      </c>
      <c r="R69" s="92">
        <v>22.551189691217221</v>
      </c>
      <c r="S69" s="93">
        <v>24.2477718451144</v>
      </c>
      <c r="T69" s="93">
        <v>24.737798032768101</v>
      </c>
      <c r="U69" s="93">
        <v>25.2100090945452</v>
      </c>
      <c r="V69" s="93">
        <v>25.666470943862102</v>
      </c>
      <c r="W69" s="93">
        <v>26.1078999635439</v>
      </c>
      <c r="X69" s="93">
        <v>26.537329523433002</v>
      </c>
      <c r="Y69" s="93">
        <v>26.957806654528799</v>
      </c>
      <c r="Z69" s="93">
        <v>27.3691900664729</v>
      </c>
      <c r="AA69" s="93">
        <v>27.7731438249603</v>
      </c>
      <c r="AB69" s="93">
        <v>28.169463481332301</v>
      </c>
      <c r="AC69" s="93">
        <v>28.559286276079199</v>
      </c>
      <c r="AD69" s="93">
        <v>28.943262981163599</v>
      </c>
      <c r="AE69" s="93">
        <v>29.320698163891301</v>
      </c>
      <c r="AF69" s="93">
        <v>29.691391884672999</v>
      </c>
      <c r="AG69" s="93">
        <v>30.0551037457994</v>
      </c>
      <c r="AH69" s="93">
        <v>30.411784324386399</v>
      </c>
      <c r="AI69" s="93">
        <v>30.760741657246101</v>
      </c>
      <c r="AJ69" s="93">
        <v>31.101717485548001</v>
      </c>
      <c r="AK69" s="93">
        <v>31.434745464031</v>
      </c>
      <c r="AL69" s="93">
        <v>31.759461829300999</v>
      </c>
      <c r="AM69" s="93">
        <v>32.075337728167199</v>
      </c>
      <c r="AN69" s="93">
        <v>32.381048517803499</v>
      </c>
      <c r="AO69" s="93">
        <v>32.676490730910302</v>
      </c>
      <c r="AP69" s="93">
        <v>32.96178372955</v>
      </c>
      <c r="AQ69" s="93">
        <v>33.236573405433496</v>
      </c>
      <c r="AR69" s="93">
        <v>33.500754681233502</v>
      </c>
      <c r="AS69" s="93">
        <v>33.753517042278197</v>
      </c>
      <c r="AT69" s="93">
        <v>33.995140912459298</v>
      </c>
    </row>
    <row r="70" spans="6:46" ht="15">
      <c r="F70" s="34" t="s">
        <v>38</v>
      </c>
      <c r="G70" s="51">
        <v>30.202204674413409</v>
      </c>
      <c r="J70" s="90" t="s">
        <v>6</v>
      </c>
      <c r="K70" s="90" t="s">
        <v>161</v>
      </c>
      <c r="L70" s="90" t="s">
        <v>11</v>
      </c>
      <c r="M70" s="91" t="s">
        <v>12</v>
      </c>
      <c r="N70" s="92">
        <v>0.42769784899188301</v>
      </c>
      <c r="O70" s="93">
        <v>0.74181807651109255</v>
      </c>
      <c r="P70" s="93">
        <v>0.7440570217426532</v>
      </c>
      <c r="Q70" s="93">
        <v>0.73064036372909791</v>
      </c>
      <c r="R70" s="93">
        <v>1.5478463345837199</v>
      </c>
      <c r="S70" s="93">
        <v>1.6648203937614301</v>
      </c>
      <c r="T70" s="93">
        <v>1.7809335626957301</v>
      </c>
      <c r="U70" s="93">
        <v>1.89639959071686</v>
      </c>
      <c r="V70" s="93">
        <v>2.0114820383474701</v>
      </c>
      <c r="W70" s="93">
        <v>2.1262543506531602</v>
      </c>
      <c r="X70" s="93">
        <v>2.2411440385340899</v>
      </c>
      <c r="Y70" s="93">
        <v>2.35659966296154</v>
      </c>
      <c r="Z70" s="93">
        <v>2.4726017482570901</v>
      </c>
      <c r="AA70" s="93">
        <v>2.5893767113569299</v>
      </c>
      <c r="AB70" s="93">
        <v>2.70693447698793</v>
      </c>
      <c r="AC70" s="93">
        <v>2.8254641527981499</v>
      </c>
      <c r="AD70" s="93">
        <v>2.9450841852782901</v>
      </c>
      <c r="AE70" s="93">
        <v>3.0657026736779498</v>
      </c>
      <c r="AF70" s="93">
        <v>3.1873040401010502</v>
      </c>
      <c r="AG70" s="93">
        <v>3.3098663768416698</v>
      </c>
      <c r="AH70" s="93">
        <v>3.4333973105618001</v>
      </c>
      <c r="AI70" s="93">
        <v>3.5578003130612501</v>
      </c>
      <c r="AJ70" s="93">
        <v>3.6830492322219301</v>
      </c>
      <c r="AK70" s="93">
        <v>3.8091633839816499</v>
      </c>
      <c r="AL70" s="93">
        <v>3.9361003581391798</v>
      </c>
      <c r="AM70" s="93">
        <v>4.0637848223187998</v>
      </c>
      <c r="AN70" s="93">
        <v>4.1920058269306999</v>
      </c>
      <c r="AO70" s="93">
        <v>4.3207594675386503</v>
      </c>
      <c r="AP70" s="93">
        <v>4.4500790205684</v>
      </c>
      <c r="AQ70" s="93">
        <v>4.5799183003671899</v>
      </c>
      <c r="AR70" s="93">
        <v>4.7102769387463397</v>
      </c>
      <c r="AS70" s="93">
        <v>4.8410287526926199</v>
      </c>
      <c r="AT70" s="93">
        <v>4.9722422779080198</v>
      </c>
    </row>
    <row r="71" spans="6:46" ht="15">
      <c r="F71" s="34" t="s">
        <v>40</v>
      </c>
      <c r="G71" s="51">
        <v>26.199972897443971</v>
      </c>
      <c r="J71" s="90" t="s">
        <v>6</v>
      </c>
      <c r="K71" s="90" t="s">
        <v>161</v>
      </c>
      <c r="L71" s="90" t="s">
        <v>13</v>
      </c>
      <c r="M71" s="91" t="s">
        <v>14</v>
      </c>
      <c r="N71" s="92">
        <v>6.9295287156334302</v>
      </c>
      <c r="O71" s="93">
        <v>6.5639975672352229</v>
      </c>
      <c r="P71" s="93">
        <v>5.780638065059601</v>
      </c>
      <c r="Q71" s="93">
        <v>6.5949264310858817</v>
      </c>
      <c r="R71" s="93">
        <v>5.8166390635502099</v>
      </c>
      <c r="S71" s="93">
        <v>5.86289720148286</v>
      </c>
      <c r="T71" s="93">
        <v>5.9102964369672799</v>
      </c>
      <c r="U71" s="93">
        <v>5.9588634696265501</v>
      </c>
      <c r="V71" s="93">
        <v>6.0086282326853899</v>
      </c>
      <c r="W71" s="93">
        <v>6.0596206906641799</v>
      </c>
      <c r="X71" s="93">
        <v>6.11187232558445</v>
      </c>
      <c r="Y71" s="93">
        <v>6.1654122980366699</v>
      </c>
      <c r="Z71" s="93">
        <v>6.2202749583689796</v>
      </c>
      <c r="AA71" s="93">
        <v>6.2764914893167498</v>
      </c>
      <c r="AB71" s="93">
        <v>6.3340965980484798</v>
      </c>
      <c r="AC71" s="93">
        <v>6.3931254408430798</v>
      </c>
      <c r="AD71" s="93">
        <v>6.4536142967308301</v>
      </c>
      <c r="AE71" s="93">
        <v>6.5155983460895799</v>
      </c>
      <c r="AF71" s="93">
        <v>6.5791152322932502</v>
      </c>
      <c r="AG71" s="93">
        <v>6.6442042290564496</v>
      </c>
      <c r="AH71" s="93">
        <v>6.7109040474029102</v>
      </c>
      <c r="AI71" s="93">
        <v>6.7792549035251897</v>
      </c>
      <c r="AJ71" s="93">
        <v>6.8492984254727203</v>
      </c>
      <c r="AK71" s="93">
        <v>6.9210768802457201</v>
      </c>
      <c r="AL71" s="93">
        <v>6.9946337892663699</v>
      </c>
      <c r="AM71" s="93">
        <v>7.07001384207258</v>
      </c>
      <c r="AN71" s="93">
        <v>7.1472628123994602</v>
      </c>
      <c r="AO71" s="93">
        <v>7.2264268158768896</v>
      </c>
      <c r="AP71" s="93">
        <v>7.3075548788843099</v>
      </c>
      <c r="AQ71" s="93">
        <v>7.3906955316739102</v>
      </c>
      <c r="AR71" s="93">
        <v>7.4759006566754698</v>
      </c>
      <c r="AS71" s="93">
        <v>7.5632208334368096</v>
      </c>
      <c r="AT71" s="93">
        <v>7.6527104252134697</v>
      </c>
    </row>
    <row r="72" spans="6:46" ht="15">
      <c r="F72" s="34" t="s">
        <v>42</v>
      </c>
      <c r="G72" s="51">
        <v>12.797868826509406</v>
      </c>
      <c r="J72" s="90" t="s">
        <v>6</v>
      </c>
      <c r="K72" s="90" t="s">
        <v>161</v>
      </c>
      <c r="L72" s="90" t="s">
        <v>15</v>
      </c>
      <c r="M72" s="91" t="s">
        <v>16</v>
      </c>
      <c r="N72" s="92">
        <v>1.09140526535876</v>
      </c>
      <c r="O72" s="93">
        <v>0.5707726774555677</v>
      </c>
      <c r="P72" s="93">
        <v>0.56119057639608538</v>
      </c>
      <c r="Q72" s="93">
        <v>0.55161044480654198</v>
      </c>
      <c r="R72" s="93">
        <v>1.19927927754182</v>
      </c>
      <c r="S72" s="93">
        <v>1.22725991510956</v>
      </c>
      <c r="T72" s="93">
        <v>1.2559337577197001</v>
      </c>
      <c r="U72" s="93">
        <v>1.2853176351257101</v>
      </c>
      <c r="V72" s="93">
        <v>1.3154284460035299</v>
      </c>
      <c r="W72" s="93">
        <v>1.34628589537239</v>
      </c>
      <c r="X72" s="93">
        <v>1.3779069025349999</v>
      </c>
      <c r="Y72" s="93">
        <v>1.41031202122664</v>
      </c>
      <c r="Z72" s="93">
        <v>1.44351990088433</v>
      </c>
      <c r="AA72" s="93">
        <v>1.4775615762333201</v>
      </c>
      <c r="AB72" s="93">
        <v>1.5124455456633801</v>
      </c>
      <c r="AC72" s="93">
        <v>1.54819453277112</v>
      </c>
      <c r="AD72" s="93">
        <v>1.5848284110095301</v>
      </c>
      <c r="AE72" s="93">
        <v>1.62237119004269</v>
      </c>
      <c r="AF72" s="93">
        <v>1.6608431415137901</v>
      </c>
      <c r="AG72" s="93">
        <v>1.70026940648485</v>
      </c>
      <c r="AH72" s="93">
        <v>1.74067305443197</v>
      </c>
      <c r="AI72" s="93">
        <v>1.7820793168514899</v>
      </c>
      <c r="AJ72" s="93">
        <v>1.8245113417944701</v>
      </c>
      <c r="AK72" s="93">
        <v>1.8679968256578099</v>
      </c>
      <c r="AL72" s="93">
        <v>1.9125604788494299</v>
      </c>
      <c r="AM72" s="93">
        <v>1.9582305876750901</v>
      </c>
      <c r="AN72" s="93">
        <v>2.0050340390722701</v>
      </c>
      <c r="AO72" s="93">
        <v>2.0530003298918298</v>
      </c>
      <c r="AP72" s="93">
        <v>2.1021574936170699</v>
      </c>
      <c r="AQ72" s="93">
        <v>2.1525360482102101</v>
      </c>
      <c r="AR72" s="93">
        <v>2.2041657659317799</v>
      </c>
      <c r="AS72" s="93">
        <v>2.25707952983301</v>
      </c>
      <c r="AT72" s="93">
        <v>2.3113093619058902</v>
      </c>
    </row>
    <row r="73" spans="6:46" ht="15">
      <c r="F73" t="s">
        <v>44</v>
      </c>
      <c r="G73" s="52">
        <v>7.6814227047944605</v>
      </c>
      <c r="J73" s="90" t="s">
        <v>6</v>
      </c>
      <c r="K73" s="90" t="s">
        <v>161</v>
      </c>
      <c r="L73" s="90" t="s">
        <v>17</v>
      </c>
      <c r="M73" s="91" t="s">
        <v>18</v>
      </c>
      <c r="N73" s="92">
        <v>9.5100483128062994</v>
      </c>
      <c r="O73" s="93">
        <v>9.7037603897089575</v>
      </c>
      <c r="P73" s="93">
        <v>9.435975307949354</v>
      </c>
      <c r="Q73" s="93">
        <v>9.2516395819175106</v>
      </c>
      <c r="R73" s="93">
        <v>10.6043548094603</v>
      </c>
      <c r="S73" s="93">
        <v>10.6673995636065</v>
      </c>
      <c r="T73" s="93">
        <v>10.732001173252501</v>
      </c>
      <c r="U73" s="93">
        <v>10.798198110701801</v>
      </c>
      <c r="V73" s="93">
        <v>10.8660297948596</v>
      </c>
      <c r="W73" s="93">
        <v>10.935536616854399</v>
      </c>
      <c r="X73" s="93">
        <v>11.006759962605001</v>
      </c>
      <c r="Y73" s="93">
        <v>11.079742239256101</v>
      </c>
      <c r="Z73" s="93">
        <v>11.154526902334201</v>
      </c>
      <c r="AA73" s="93">
        <v>11.2311257904034</v>
      </c>
      <c r="AB73" s="93">
        <v>11.309621200733799</v>
      </c>
      <c r="AC73" s="93">
        <v>11.3900603561419</v>
      </c>
      <c r="AD73" s="93">
        <v>11.472491675352201</v>
      </c>
      <c r="AE73" s="93">
        <v>11.5569648000664</v>
      </c>
      <c r="AF73" s="93">
        <v>11.6435306331609</v>
      </c>
      <c r="AG73" s="93">
        <v>11.732241372561599</v>
      </c>
      <c r="AH73" s="93">
        <v>11.8231505467745</v>
      </c>
      <c r="AI73" s="93">
        <v>11.9163130504629</v>
      </c>
      <c r="AJ73" s="93">
        <v>12.011785185920299</v>
      </c>
      <c r="AK73" s="93">
        <v>12.1096247025261</v>
      </c>
      <c r="AL73" s="93">
        <v>12.2098908348107</v>
      </c>
      <c r="AM73" s="93">
        <v>12.3126443505064</v>
      </c>
      <c r="AN73" s="93">
        <v>12.417947591597301</v>
      </c>
      <c r="AO73" s="93">
        <v>12.5258645217293</v>
      </c>
      <c r="AP73" s="93">
        <v>12.636460775247</v>
      </c>
      <c r="AQ73" s="93">
        <v>12.749803703504501</v>
      </c>
      <c r="AR73" s="93">
        <v>12.8659624331831</v>
      </c>
      <c r="AS73" s="93">
        <v>12.985007915282401</v>
      </c>
      <c r="AT73" s="93">
        <v>13.107012983790201</v>
      </c>
    </row>
    <row r="74" spans="6:46" ht="15">
      <c r="F74" t="s">
        <v>46</v>
      </c>
      <c r="G74" s="52">
        <v>4.6611834502685596</v>
      </c>
      <c r="J74" s="90" t="s">
        <v>6</v>
      </c>
      <c r="K74" s="90" t="s">
        <v>161</v>
      </c>
      <c r="L74" s="90" t="s">
        <v>19</v>
      </c>
      <c r="M74" s="91" t="s">
        <v>20</v>
      </c>
      <c r="N74" s="92">
        <v>1.9556249526505201</v>
      </c>
      <c r="O74" s="93">
        <v>1.5498072549825794</v>
      </c>
      <c r="P74" s="93">
        <v>1.5053268122598555</v>
      </c>
      <c r="Q74" s="93">
        <v>1.4894503267095116</v>
      </c>
      <c r="R74" s="93">
        <v>1.0410295169864401</v>
      </c>
      <c r="S74" s="93">
        <v>1.0268975005260801</v>
      </c>
      <c r="T74" s="93">
        <v>1.0136280587395301</v>
      </c>
      <c r="U74" s="93">
        <v>1.0011741174269699</v>
      </c>
      <c r="V74" s="93">
        <v>0.98946802719486804</v>
      </c>
      <c r="W74" s="93">
        <v>0.97851389260134602</v>
      </c>
      <c r="X74" s="93">
        <v>0.96817292950682998</v>
      </c>
      <c r="Y74" s="93">
        <v>0.95829301017512603</v>
      </c>
      <c r="Z74" s="93">
        <v>0.94891013502188304</v>
      </c>
      <c r="AA74" s="93">
        <v>0.93995901525115499</v>
      </c>
      <c r="AB74" s="93">
        <v>0.93146307008219298</v>
      </c>
      <c r="AC74" s="93">
        <v>0.92337177940257198</v>
      </c>
      <c r="AD74" s="93">
        <v>0.91566292726805898</v>
      </c>
      <c r="AE74" s="93">
        <v>0.90840413726139602</v>
      </c>
      <c r="AF74" s="93">
        <v>0.90163209297057001</v>
      </c>
      <c r="AG74" s="93">
        <v>0.89538795586229403</v>
      </c>
      <c r="AH74" s="93">
        <v>0.88970072339962902</v>
      </c>
      <c r="AI74" s="93">
        <v>0.88464782396222197</v>
      </c>
      <c r="AJ74" s="93">
        <v>0.88027755628668003</v>
      </c>
      <c r="AK74" s="93">
        <v>0.87661714743544505</v>
      </c>
      <c r="AL74" s="93">
        <v>0.87372587651921196</v>
      </c>
      <c r="AM74" s="93">
        <v>0.871678474453906</v>
      </c>
      <c r="AN74" s="93">
        <v>0.87061329234646201</v>
      </c>
      <c r="AO74" s="93">
        <v>0.87057814456459504</v>
      </c>
      <c r="AP74" s="93">
        <v>0.87160473874632205</v>
      </c>
      <c r="AQ74" s="93">
        <v>0.87376144176959103</v>
      </c>
      <c r="AR74" s="93">
        <v>0.87709870967996795</v>
      </c>
      <c r="AS74" s="93">
        <v>0.88172610377615801</v>
      </c>
      <c r="AT74" s="93">
        <v>0.88766424801056598</v>
      </c>
    </row>
    <row r="75" spans="6:46" ht="15">
      <c r="F75" t="s">
        <v>48</v>
      </c>
      <c r="G75" s="52">
        <v>13.161374650000001</v>
      </c>
      <c r="J75" s="90" t="s">
        <v>6</v>
      </c>
      <c r="K75" s="90" t="s">
        <v>161</v>
      </c>
      <c r="L75" s="90" t="s">
        <v>21</v>
      </c>
      <c r="M75" s="91" t="s">
        <v>22</v>
      </c>
      <c r="N75" s="92">
        <v>19.482476804508799</v>
      </c>
      <c r="O75" s="93">
        <v>17.613308735917627</v>
      </c>
      <c r="P75" s="93">
        <v>17.067480468046199</v>
      </c>
      <c r="Q75" s="93">
        <v>18.473544022536192</v>
      </c>
      <c r="R75" s="92">
        <v>17.814731247908266</v>
      </c>
      <c r="S75" s="93">
        <v>19.494109366820016</v>
      </c>
      <c r="T75" s="93">
        <v>20.265210851701845</v>
      </c>
      <c r="U75" s="93">
        <v>21.066813730045585</v>
      </c>
      <c r="V75" s="93">
        <v>21.900124503227982</v>
      </c>
      <c r="W75" s="93">
        <v>21.903403629125965</v>
      </c>
      <c r="X75" s="93">
        <v>21.906683246010498</v>
      </c>
      <c r="Y75" s="93">
        <v>21.909963353955103</v>
      </c>
      <c r="Z75" s="93">
        <v>21.913243953033305</v>
      </c>
      <c r="AA75" s="93">
        <v>21.916525043318639</v>
      </c>
      <c r="AB75" s="93">
        <v>22.110531640458859</v>
      </c>
      <c r="AC75" s="93">
        <v>22.306255597429594</v>
      </c>
      <c r="AD75" s="93">
        <v>22.503712116418974</v>
      </c>
      <c r="AE75" s="93">
        <v>22.702916534185945</v>
      </c>
      <c r="AF75" s="93">
        <v>22.903884323251511</v>
      </c>
      <c r="AG75" s="93">
        <v>23.057513384534978</v>
      </c>
      <c r="AH75" s="93">
        <v>23.212172921179643</v>
      </c>
      <c r="AI75" s="93">
        <v>23.367869845155557</v>
      </c>
      <c r="AJ75" s="93">
        <v>23.524611114795182</v>
      </c>
      <c r="AK75" s="93">
        <v>23.68240373510438</v>
      </c>
      <c r="AL75" s="93">
        <v>23.806316159658131</v>
      </c>
      <c r="AM75" s="93">
        <v>23.930876925872237</v>
      </c>
      <c r="AN75" s="93">
        <v>24.056089426036937</v>
      </c>
      <c r="AO75" s="93">
        <v>24.18195707019181</v>
      </c>
      <c r="AP75" s="93">
        <v>24.308483286218632</v>
      </c>
      <c r="AQ75" s="93">
        <v>24.436054231032401</v>
      </c>
      <c r="AR75" s="93">
        <v>24.564294668293275</v>
      </c>
      <c r="AS75" s="93">
        <v>24.69320811149829</v>
      </c>
      <c r="AT75" s="93">
        <v>24.822798092583323</v>
      </c>
    </row>
    <row r="76" spans="6:46" ht="15">
      <c r="F76" t="s">
        <v>50</v>
      </c>
      <c r="G76" s="52">
        <v>0.23</v>
      </c>
      <c r="J76" s="90" t="s">
        <v>6</v>
      </c>
      <c r="K76" s="90" t="s">
        <v>161</v>
      </c>
      <c r="L76" s="90" t="s">
        <v>23</v>
      </c>
      <c r="M76" s="91" t="s">
        <v>24</v>
      </c>
      <c r="N76" s="92">
        <v>20.3153817696899</v>
      </c>
      <c r="O76" s="93">
        <v>20.746846228178715</v>
      </c>
      <c r="P76" s="93">
        <v>18.66727780331064</v>
      </c>
      <c r="Q76" s="93">
        <v>19.411458005544933</v>
      </c>
      <c r="R76" s="92">
        <v>17.19085534816012</v>
      </c>
      <c r="S76" s="93">
        <v>18.186023945506999</v>
      </c>
      <c r="T76" s="93">
        <v>18.278689472237598</v>
      </c>
      <c r="U76" s="93">
        <v>18.373693111883199</v>
      </c>
      <c r="V76" s="93">
        <v>18.471095819568198</v>
      </c>
      <c r="W76" s="93">
        <v>18.570960267466798</v>
      </c>
      <c r="X76" s="93">
        <v>18.673350891417002</v>
      </c>
      <c r="Y76" s="93">
        <v>18.778333987021998</v>
      </c>
      <c r="Z76" s="93">
        <v>18.885977786093299</v>
      </c>
      <c r="AA76" s="93">
        <v>18.9974247611427</v>
      </c>
      <c r="AB76" s="93">
        <v>19.111640916040798</v>
      </c>
      <c r="AC76" s="93">
        <v>19.228697712637999</v>
      </c>
      <c r="AD76" s="93">
        <v>19.3486686950076</v>
      </c>
      <c r="AE76" s="93">
        <v>19.471629567058098</v>
      </c>
      <c r="AF76" s="93">
        <v>19.597658281637901</v>
      </c>
      <c r="AG76" s="93">
        <v>19.726835155271502</v>
      </c>
      <c r="AH76" s="93">
        <v>19.859242953619699</v>
      </c>
      <c r="AI76" s="93">
        <v>19.994967022548</v>
      </c>
      <c r="AJ76" s="93">
        <v>20.134095389223202</v>
      </c>
      <c r="AK76" s="93">
        <v>20.276718915650601</v>
      </c>
      <c r="AL76" s="93">
        <v>20.422931438425099</v>
      </c>
      <c r="AM76" s="93">
        <v>20.572829906585099</v>
      </c>
      <c r="AN76" s="93">
        <v>20.726514576720799</v>
      </c>
      <c r="AO76" s="93">
        <v>20.884089183472401</v>
      </c>
      <c r="AP76" s="93">
        <v>21.045661133700101</v>
      </c>
      <c r="AQ76" s="93">
        <v>21.211341747524401</v>
      </c>
      <c r="AR76" s="93">
        <v>21.3812464803915</v>
      </c>
      <c r="AS76" s="93">
        <v>21.555495197365399</v>
      </c>
      <c r="AT76" s="93">
        <v>21.7342124559874</v>
      </c>
    </row>
    <row r="77" spans="6:46" ht="15">
      <c r="F77" t="s">
        <v>52</v>
      </c>
      <c r="G77" s="52">
        <v>48.192396850000002</v>
      </c>
      <c r="J77" s="90" t="s">
        <v>6</v>
      </c>
      <c r="K77" s="90" t="s">
        <v>161</v>
      </c>
      <c r="L77" s="90" t="s">
        <v>25</v>
      </c>
      <c r="M77" s="91" t="s">
        <v>26</v>
      </c>
      <c r="N77" s="92">
        <v>1.4729468330623701</v>
      </c>
      <c r="O77" s="93">
        <v>1.4943226387301358</v>
      </c>
      <c r="P77" s="93">
        <v>1.4634791461847667</v>
      </c>
      <c r="Q77" s="93">
        <v>1.4446377495642824</v>
      </c>
      <c r="R77" s="93">
        <v>2.2584342466232901</v>
      </c>
      <c r="S77" s="93">
        <v>2.2440383485186102</v>
      </c>
      <c r="T77" s="93">
        <v>2.2292869402784299</v>
      </c>
      <c r="U77" s="93">
        <v>2.2141712863233001</v>
      </c>
      <c r="V77" s="93">
        <v>2.1986822220428399</v>
      </c>
      <c r="W77" s="93">
        <v>2.18281056279984</v>
      </c>
      <c r="X77" s="93">
        <v>2.1665466359489498</v>
      </c>
      <c r="Y77" s="93">
        <v>2.1498806864914299</v>
      </c>
      <c r="Z77" s="93">
        <v>2.1328027010175301</v>
      </c>
      <c r="AA77" s="93">
        <v>2.1153100593115699</v>
      </c>
      <c r="AB77" s="93">
        <v>2.0973839785641601</v>
      </c>
      <c r="AC77" s="93">
        <v>2.0790137032465301</v>
      </c>
      <c r="AD77" s="93">
        <v>2.0601879302496702</v>
      </c>
      <c r="AE77" s="93">
        <v>2.0408952907455502</v>
      </c>
      <c r="AF77" s="93">
        <v>2.0211240941678401</v>
      </c>
      <c r="AG77" s="93">
        <v>2.0008621733278402</v>
      </c>
      <c r="AH77" s="93">
        <v>1.98009726556077</v>
      </c>
      <c r="AI77" s="93">
        <v>1.9588167649709201</v>
      </c>
      <c r="AJ77" s="93">
        <v>1.9370068802203699</v>
      </c>
      <c r="AK77" s="93">
        <v>1.9146550132369899</v>
      </c>
      <c r="AL77" s="93">
        <v>1.8917470801090901</v>
      </c>
      <c r="AM77" s="93">
        <v>1.86826969597866</v>
      </c>
      <c r="AN77" s="93">
        <v>1.84420680235752</v>
      </c>
      <c r="AO77" s="93">
        <v>1.81954394783379</v>
      </c>
      <c r="AP77" s="93">
        <v>1.7942674117666799</v>
      </c>
      <c r="AQ77" s="93">
        <v>1.7683592712790901</v>
      </c>
      <c r="AR77" s="93">
        <v>1.74180408351433</v>
      </c>
      <c r="AS77" s="93">
        <v>1.71458476976422</v>
      </c>
      <c r="AT77" s="93">
        <v>1.6866850940022</v>
      </c>
    </row>
    <row r="78" spans="6:46" ht="15">
      <c r="F78" s="34" t="s">
        <v>54</v>
      </c>
      <c r="G78" s="52">
        <v>265.47273899323898</v>
      </c>
      <c r="J78" s="90" t="s">
        <v>6</v>
      </c>
      <c r="K78" s="90" t="s">
        <v>161</v>
      </c>
      <c r="L78" s="90" t="s">
        <v>27</v>
      </c>
      <c r="M78" s="91" t="s">
        <v>28</v>
      </c>
      <c r="N78" s="92">
        <v>4.65085642477431</v>
      </c>
      <c r="O78" s="93">
        <v>5.007589393109674</v>
      </c>
      <c r="P78" s="93">
        <v>4.7554316434518897</v>
      </c>
      <c r="Q78" s="93">
        <v>4.7269471440454405</v>
      </c>
      <c r="R78" s="93">
        <v>6.2862087424890802</v>
      </c>
      <c r="S78" s="93">
        <v>6.5400995969117703</v>
      </c>
      <c r="T78" s="93">
        <v>6.80026034650888</v>
      </c>
      <c r="U78" s="93">
        <v>7.06684505486934</v>
      </c>
      <c r="V78" s="93">
        <v>7.3400153521151399</v>
      </c>
      <c r="W78" s="93">
        <v>7.6199332215672202</v>
      </c>
      <c r="X78" s="93">
        <v>7.9067692532211096</v>
      </c>
      <c r="Y78" s="93">
        <v>8.20069548948406</v>
      </c>
      <c r="Z78" s="93">
        <v>8.5018885301861395</v>
      </c>
      <c r="AA78" s="93">
        <v>8.8103945863239996</v>
      </c>
      <c r="AB78" s="93">
        <v>9.1265449177806008</v>
      </c>
      <c r="AC78" s="93">
        <v>9.4505292126441294</v>
      </c>
      <c r="AD78" s="93">
        <v>9.7825468163104592</v>
      </c>
      <c r="AE78" s="93">
        <v>10.122798233217701</v>
      </c>
      <c r="AF78" s="93">
        <v>10.4714896420878</v>
      </c>
      <c r="AG78" s="93">
        <v>10.8288356275142</v>
      </c>
      <c r="AH78" s="93">
        <v>11.1950524579371</v>
      </c>
      <c r="AI78" s="93">
        <v>11.5703624551331</v>
      </c>
      <c r="AJ78" s="93">
        <v>11.9550088477313</v>
      </c>
      <c r="AK78" s="93">
        <v>12.349213819528501</v>
      </c>
      <c r="AL78" s="93">
        <v>12.753225759083101</v>
      </c>
      <c r="AM78" s="93">
        <v>13.1672807262091</v>
      </c>
      <c r="AN78" s="93">
        <v>13.5916619337538</v>
      </c>
      <c r="AO78" s="93">
        <v>14.0266242516308</v>
      </c>
      <c r="AP78" s="93">
        <v>14.4724096616316</v>
      </c>
      <c r="AQ78" s="93">
        <v>14.9293342575869</v>
      </c>
      <c r="AR78" s="93">
        <v>15.397670394861899</v>
      </c>
      <c r="AS78" s="93">
        <v>15.8777192792428</v>
      </c>
      <c r="AT78" s="93">
        <v>16.369767254702801</v>
      </c>
    </row>
    <row r="79" spans="6:46" ht="15">
      <c r="F79" s="34" t="s">
        <v>56</v>
      </c>
      <c r="G79" s="52">
        <v>837.71211748108306</v>
      </c>
      <c r="J79" s="90" t="s">
        <v>6</v>
      </c>
      <c r="K79" s="90" t="s">
        <v>161</v>
      </c>
      <c r="L79" s="90" t="s">
        <v>29</v>
      </c>
      <c r="M79" s="91" t="s">
        <v>30</v>
      </c>
      <c r="N79" s="92">
        <v>0.1947788154134</v>
      </c>
      <c r="O79" s="93">
        <v>0.26558264395501924</v>
      </c>
      <c r="P79" s="93">
        <v>0.2542796677646712</v>
      </c>
      <c r="Q79" s="93">
        <v>0.25565928356184919</v>
      </c>
      <c r="R79" s="93">
        <v>0.187409320968947</v>
      </c>
      <c r="S79" s="93">
        <v>0.183760340162684</v>
      </c>
      <c r="T79" s="93">
        <v>0.180020695810443</v>
      </c>
      <c r="U79" s="93">
        <v>0.176188162290734</v>
      </c>
      <c r="V79" s="93">
        <v>0.172260396740049</v>
      </c>
      <c r="W79" s="93">
        <v>0.16823499128140601</v>
      </c>
      <c r="X79" s="93">
        <v>0.16410947762331099</v>
      </c>
      <c r="Y79" s="93">
        <v>0.159881376453122</v>
      </c>
      <c r="Z79" s="93">
        <v>0.155548066302856</v>
      </c>
      <c r="AA79" s="93">
        <v>0.151102458553911</v>
      </c>
      <c r="AB79" s="93">
        <v>0.14654642303453499</v>
      </c>
      <c r="AC79" s="93">
        <v>0.141877166116048</v>
      </c>
      <c r="AD79" s="93">
        <v>0.137091861523011</v>
      </c>
      <c r="AE79" s="93">
        <v>0.132187568383999</v>
      </c>
      <c r="AF79" s="93">
        <v>0.12716128070673</v>
      </c>
      <c r="AG79" s="93">
        <v>0.122009932493332</v>
      </c>
      <c r="AH79" s="93">
        <v>0.116730402710794</v>
      </c>
      <c r="AI79" s="93">
        <v>0.111319395674383</v>
      </c>
      <c r="AJ79" s="93">
        <v>0.10577357413291499</v>
      </c>
      <c r="AK79" s="93">
        <v>0.10008956374365301</v>
      </c>
      <c r="AL79" s="93">
        <v>0.094263835909375995</v>
      </c>
      <c r="AM79" s="93">
        <v>0.088292756993632301</v>
      </c>
      <c r="AN79" s="93">
        <v>0.082172675242513593</v>
      </c>
      <c r="AO79" s="93">
        <v>0.075899726894954</v>
      </c>
      <c r="AP79" s="93">
        <v>0.069470043902089093</v>
      </c>
      <c r="AQ79" s="93">
        <v>0.062879562802237499</v>
      </c>
      <c r="AR79" s="93">
        <v>0.056124190249462698</v>
      </c>
      <c r="AS79" s="93">
        <v>0.049199654456357898</v>
      </c>
      <c r="AT79" s="93">
        <v>0.042101591794206403</v>
      </c>
    </row>
    <row r="80" spans="6:46" ht="15">
      <c r="F80" s="34" t="s">
        <v>58</v>
      </c>
      <c r="G80" s="52">
        <v>777.95194352567796</v>
      </c>
      <c r="J80" s="90" t="s">
        <v>6</v>
      </c>
      <c r="K80" s="90" t="s">
        <v>161</v>
      </c>
      <c r="L80" s="90" t="s">
        <v>31</v>
      </c>
      <c r="M80" s="91" t="s">
        <v>32</v>
      </c>
      <c r="N80" s="92">
        <v>4.6984287524850101</v>
      </c>
      <c r="O80" s="93">
        <v>4.3090308460490396</v>
      </c>
      <c r="P80" s="93">
        <v>4.2602225832464828</v>
      </c>
      <c r="Q80" s="93">
        <v>4.1432118323518896</v>
      </c>
      <c r="R80" s="93">
        <v>4.6924479738735299</v>
      </c>
      <c r="S80" s="93">
        <v>4.7901185272083104</v>
      </c>
      <c r="T80" s="93">
        <v>4.8829228192853602</v>
      </c>
      <c r="U80" s="93">
        <v>4.9711499271716901</v>
      </c>
      <c r="V80" s="93">
        <v>5.0552149707402201</v>
      </c>
      <c r="W80" s="93">
        <v>5.1350981335844903</v>
      </c>
      <c r="X80" s="93">
        <v>5.2116410128509898</v>
      </c>
      <c r="Y80" s="93">
        <v>5.28576383279011</v>
      </c>
      <c r="Z80" s="93">
        <v>5.3572580748783203</v>
      </c>
      <c r="AA80" s="93">
        <v>5.4265836170263899</v>
      </c>
      <c r="AB80" s="93">
        <v>5.4935445318690403</v>
      </c>
      <c r="AC80" s="93">
        <v>5.5584520588616799</v>
      </c>
      <c r="AD80" s="93">
        <v>5.6214471437282398</v>
      </c>
      <c r="AE80" s="93">
        <v>5.6821326145758499</v>
      </c>
      <c r="AF80" s="93">
        <v>5.7402950823595598</v>
      </c>
      <c r="AG80" s="93">
        <v>5.7956952167198796</v>
      </c>
      <c r="AH80" s="93">
        <v>5.8481657572732599</v>
      </c>
      <c r="AI80" s="93">
        <v>5.8972542057881201</v>
      </c>
      <c r="AJ80" s="93">
        <v>5.9426773610342796</v>
      </c>
      <c r="AK80" s="93">
        <v>5.9842736265587799</v>
      </c>
      <c r="AL80" s="93">
        <v>6.0216974894712001</v>
      </c>
      <c r="AM80" s="93">
        <v>6.0545109941189699</v>
      </c>
      <c r="AN80" s="93">
        <v>6.0818857495341696</v>
      </c>
      <c r="AO80" s="93">
        <v>6.1035439649586296</v>
      </c>
      <c r="AP80" s="93">
        <v>6.1193038824130799</v>
      </c>
      <c r="AQ80" s="93">
        <v>6.1287591141733397</v>
      </c>
      <c r="AR80" s="93">
        <v>6.1316061110561701</v>
      </c>
      <c r="AS80" s="93">
        <v>6.1271988867674398</v>
      </c>
      <c r="AT80" s="93">
        <v>6.1154162083419301</v>
      </c>
    </row>
    <row r="81" spans="6:46" ht="15">
      <c r="F81" s="34" t="s">
        <v>136</v>
      </c>
      <c r="G81" s="52">
        <v>31.598021694557708</v>
      </c>
      <c r="J81" s="90" t="s">
        <v>6</v>
      </c>
      <c r="K81" s="90" t="s">
        <v>161</v>
      </c>
      <c r="L81" s="90" t="s">
        <v>33</v>
      </c>
      <c r="M81" s="91" t="s">
        <v>34</v>
      </c>
      <c r="N81" s="92">
        <v>1.9571195447376</v>
      </c>
      <c r="O81" s="93">
        <v>2.1699504611733866</v>
      </c>
      <c r="P81" s="93">
        <v>1.9706387130131231</v>
      </c>
      <c r="Q81" s="93">
        <v>1.9076981609625141</v>
      </c>
      <c r="R81" s="93">
        <v>3.6347440465271599</v>
      </c>
      <c r="S81" s="93">
        <v>3.6916038137219598</v>
      </c>
      <c r="T81" s="93">
        <v>3.7498762646317298</v>
      </c>
      <c r="U81" s="93">
        <v>3.8095966725724399</v>
      </c>
      <c r="V81" s="93">
        <v>3.87080120517194</v>
      </c>
      <c r="W81" s="93">
        <v>3.9335269498690502</v>
      </c>
      <c r="X81" s="93">
        <v>3.99781193956562</v>
      </c>
      <c r="Y81" s="93">
        <v>4.0636951786608897</v>
      </c>
      <c r="Z81" s="93">
        <v>4.1312166725908099</v>
      </c>
      <c r="AA81" s="93">
        <v>4.2004619284425901</v>
      </c>
      <c r="AB81" s="93">
        <v>4.2714281477145999</v>
      </c>
      <c r="AC81" s="93">
        <v>4.34415864415723</v>
      </c>
      <c r="AD81" s="93">
        <v>4.4186978527861198</v>
      </c>
      <c r="AE81" s="93">
        <v>4.4950913648886699</v>
      </c>
      <c r="AF81" s="93">
        <v>4.5733859614187704</v>
      </c>
      <c r="AG81" s="93">
        <v>4.6536296502986696</v>
      </c>
      <c r="AH81" s="93">
        <v>4.7358717002425896</v>
      </c>
      <c r="AI81" s="93">
        <v>4.8201626793407</v>
      </c>
      <c r="AJ81" s="93">
        <v>4.9065544953786002</v>
      </c>
      <c r="AK81" s="93">
        <v>4.9951004377148998</v>
      </c>
      <c r="AL81" s="93">
        <v>5.0858552152583103</v>
      </c>
      <c r="AM81" s="93">
        <v>5.1788750090331401</v>
      </c>
      <c r="AN81" s="93">
        <v>5.2742175124200301</v>
      </c>
      <c r="AO81" s="93">
        <v>5.3719419803036397</v>
      </c>
      <c r="AP81" s="93">
        <v>5.47210928142293</v>
      </c>
      <c r="AQ81" s="93">
        <v>5.5747819561854302</v>
      </c>
      <c r="AR81" s="93">
        <v>5.68002426189347</v>
      </c>
      <c r="AS81" s="93">
        <v>5.7879022434721996</v>
      </c>
      <c r="AT81" s="93">
        <v>5.8984837835342203</v>
      </c>
    </row>
    <row r="82" spans="6:7" ht="15">
      <c r="F82" s="34" t="s">
        <v>138</v>
      </c>
      <c r="G82" s="52">
        <v>63.576742445676345</v>
      </c>
    </row>
    <row r="83" spans="6:7" ht="15">
      <c r="F83" s="34" t="s">
        <v>140</v>
      </c>
      <c r="G83" s="51">
        <v>18.9072</v>
      </c>
    </row>
    <row r="84" spans="6:7" ht="15">
      <c r="F84" s="34" t="s">
        <v>142</v>
      </c>
      <c r="G84" s="52"/>
    </row>
    <row r="85" spans="6:7" ht="15">
      <c r="F85" t="s">
        <v>162</v>
      </c>
      <c r="G85" s="52">
        <v>1.2514826903039997</v>
      </c>
    </row>
    <row r="86" spans="6:7" ht="15">
      <c r="F86" t="s">
        <v>163</v>
      </c>
      <c r="G86" s="52">
        <v>2.1688410728944572</v>
      </c>
    </row>
    <row r="87" spans="6:7" ht="15">
      <c r="F87" t="s">
        <v>164</v>
      </c>
      <c r="G87" s="52">
        <v>0.855061326756</v>
      </c>
    </row>
    <row r="88" spans="6:7" ht="15">
      <c r="F88" t="s">
        <v>165</v>
      </c>
      <c r="G88" s="52">
        <v>1.1400844778449895</v>
      </c>
    </row>
    <row r="89" spans="6:7" ht="15">
      <c r="F89" t="s">
        <v>166</v>
      </c>
      <c r="G89" s="52">
        <v>0.92012420525760008</v>
      </c>
    </row>
    <row r="90" spans="6:7" ht="15">
      <c r="F90" t="s">
        <v>167</v>
      </c>
      <c r="G90" s="52">
        <v>9.9915791233568569</v>
      </c>
    </row>
    <row r="91" spans="6:7" ht="15">
      <c r="F91" t="s">
        <v>168</v>
      </c>
      <c r="G91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 topLeftCell="A1">
      <selection pane="topLeft" activeCell="G31" sqref="G31"/>
    </sheetView>
  </sheetViews>
  <sheetFormatPr defaultColWidth="9.14428571428571" defaultRowHeight="15"/>
  <cols>
    <col min="1" max="1" width="12.1428571428571" customWidth="1"/>
    <col min="2" max="2" width="11.5714285714286" customWidth="1"/>
    <col min="3" max="3" width="3.14285714285714" bestFit="1" customWidth="1"/>
    <col min="4" max="4" width="8.57142857142857" bestFit="1" customWidth="1"/>
    <col min="5" max="5" width="6.42857142857143" bestFit="1" customWidth="1"/>
    <col min="6" max="6" width="4.85714285714286" bestFit="1" customWidth="1"/>
    <col min="7" max="7" width="5.57142857142857" bestFit="1" customWidth="1"/>
    <col min="8" max="8" width="5.85714285714286" bestFit="1" customWidth="1"/>
    <col min="9" max="9" width="5.42857142857143" bestFit="1" customWidth="1"/>
    <col min="10" max="11" width="5.57142857142857" bestFit="1" customWidth="1"/>
    <col min="12" max="12" width="6.57142857142857" bestFit="1" customWidth="1"/>
    <col min="13" max="13" width="6.14285714285714" bestFit="1" customWidth="1"/>
    <col min="14" max="15" width="6.57142857142857" bestFit="1" customWidth="1"/>
    <col min="16" max="16" width="7.42857142857143" bestFit="1" customWidth="1"/>
    <col min="17" max="17" width="5.57142857142857" bestFit="1" customWidth="1"/>
    <col min="18" max="18" width="6.14285714285714" bestFit="1" customWidth="1"/>
    <col min="19" max="20" width="5.57142857142857" bestFit="1" customWidth="1"/>
    <col min="21" max="21" width="5.85714285714286" bestFit="1" customWidth="1"/>
    <col min="22" max="22" width="6.57142857142857" bestFit="1" customWidth="1"/>
    <col min="23" max="23" width="4.85714285714286" bestFit="1" customWidth="1"/>
    <col min="24" max="24" width="7.57142857142857" customWidth="1"/>
    <col min="25" max="25" width="6.57142857142857" bestFit="1" customWidth="1"/>
    <col min="26" max="26" width="6.14285714285714" bestFit="1" customWidth="1"/>
    <col min="27" max="28" width="6" bestFit="1" customWidth="1"/>
    <col min="29" max="29" width="5.57142857142857" bestFit="1" customWidth="1"/>
    <col min="30" max="30" width="6.57142857142857" bestFit="1" customWidth="1"/>
  </cols>
  <sheetData>
    <row r="3" spans="3:30" ht="1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1" ht="15">
      <c r="A4">
        <v>1</v>
      </c>
    </row>
    <row r="5" spans="1:30" ht="1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ht="1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si="0" ref="E6:AD6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ht="1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si="1" ref="E7:AD7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2" ht="15.75" thickBot="1">
      <c r="A10" s="12" t="s">
        <v>65</v>
      </c>
      <c r="B10" s="12" t="s">
        <v>66</v>
      </c>
    </row>
    <row r="11" spans="1:2" ht="15">
      <c r="A11" s="13" t="s">
        <v>67</v>
      </c>
      <c r="B11" s="13" t="s">
        <v>68</v>
      </c>
    </row>
    <row r="12" spans="1:2" ht="15">
      <c r="A12" s="14" t="s">
        <v>69</v>
      </c>
      <c r="B12" s="14" t="s">
        <v>70</v>
      </c>
    </row>
    <row r="13" spans="1:2" ht="15">
      <c r="A13" s="14" t="s">
        <v>71</v>
      </c>
      <c r="B13" s="14" t="s">
        <v>72</v>
      </c>
    </row>
    <row r="14" spans="1:2" ht="15">
      <c r="A14" s="14" t="s">
        <v>73</v>
      </c>
      <c r="B14" s="14" t="s">
        <v>74</v>
      </c>
    </row>
    <row r="15" spans="1:2" ht="15">
      <c r="A15" s="14" t="s">
        <v>75</v>
      </c>
      <c r="B15" s="14" t="s">
        <v>76</v>
      </c>
    </row>
    <row r="16" spans="1:2" ht="15">
      <c r="A16" s="14" t="s">
        <v>77</v>
      </c>
      <c r="B16" s="14" t="s">
        <v>78</v>
      </c>
    </row>
    <row r="17" spans="1:2" ht="15">
      <c r="A17" s="14" t="s">
        <v>79</v>
      </c>
      <c r="B17" s="14" t="s">
        <v>80</v>
      </c>
    </row>
    <row r="18" spans="1:2" ht="15">
      <c r="A18" s="14" t="s">
        <v>81</v>
      </c>
      <c r="B18" s="14" t="s">
        <v>82</v>
      </c>
    </row>
    <row r="19" spans="1:2" ht="15">
      <c r="A19" s="14" t="s">
        <v>83</v>
      </c>
      <c r="B19" s="14" t="s">
        <v>84</v>
      </c>
    </row>
    <row r="20" spans="1:2" ht="15">
      <c r="A20" s="14" t="s">
        <v>85</v>
      </c>
      <c r="B20" s="14" t="s">
        <v>86</v>
      </c>
    </row>
    <row r="21" spans="1:2" ht="15">
      <c r="A21" s="14" t="s">
        <v>87</v>
      </c>
      <c r="B21" s="14" t="s">
        <v>88</v>
      </c>
    </row>
    <row r="22" spans="1:2" ht="15">
      <c r="A22" s="14" t="s">
        <v>89</v>
      </c>
      <c r="B22" s="14" t="s">
        <v>90</v>
      </c>
    </row>
    <row r="23" spans="1:2" ht="15">
      <c r="A23" s="14" t="s">
        <v>91</v>
      </c>
      <c r="B23" s="14" t="s">
        <v>92</v>
      </c>
    </row>
    <row r="24" spans="1:2" ht="15">
      <c r="A24" s="14" t="s">
        <v>93</v>
      </c>
      <c r="B24" s="14" t="s">
        <v>94</v>
      </c>
    </row>
    <row r="25" spans="1:2" ht="15">
      <c r="A25" s="14" t="s">
        <v>95</v>
      </c>
      <c r="B25" s="14" t="s">
        <v>96</v>
      </c>
    </row>
    <row r="26" spans="1:2" ht="15">
      <c r="A26" s="14" t="s">
        <v>97</v>
      </c>
      <c r="B26" s="14" t="s">
        <v>98</v>
      </c>
    </row>
    <row r="27" spans="1:2" ht="15">
      <c r="A27" s="14" t="s">
        <v>99</v>
      </c>
      <c r="B27" s="14" t="s">
        <v>100</v>
      </c>
    </row>
    <row r="28" spans="1:2" ht="15">
      <c r="A28" s="14" t="s">
        <v>101</v>
      </c>
      <c r="B28" s="14" t="s">
        <v>102</v>
      </c>
    </row>
    <row r="29" spans="1:2" ht="15">
      <c r="A29" s="14" t="s">
        <v>103</v>
      </c>
      <c r="B29" s="14" t="s">
        <v>104</v>
      </c>
    </row>
    <row r="30" spans="1:2" ht="15">
      <c r="A30" s="14" t="s">
        <v>105</v>
      </c>
      <c r="B30" s="14" t="s">
        <v>106</v>
      </c>
    </row>
    <row r="31" spans="1:2" ht="15">
      <c r="A31" s="14" t="s">
        <v>107</v>
      </c>
      <c r="B31" s="14" t="s">
        <v>108</v>
      </c>
    </row>
    <row r="32" spans="1:2" ht="15">
      <c r="A32" s="14" t="s">
        <v>109</v>
      </c>
      <c r="B32" s="14" t="s">
        <v>110</v>
      </c>
    </row>
    <row r="33" spans="1:2" ht="15">
      <c r="A33" s="14" t="s">
        <v>111</v>
      </c>
      <c r="B33" s="14" t="s">
        <v>112</v>
      </c>
    </row>
    <row r="34" spans="1:2" ht="15">
      <c r="A34" s="14" t="s">
        <v>113</v>
      </c>
      <c r="B34" s="14" t="s">
        <v>114</v>
      </c>
    </row>
    <row r="35" spans="1:2" ht="15">
      <c r="A35" s="14" t="s">
        <v>115</v>
      </c>
      <c r="B35" s="14" t="s">
        <v>116</v>
      </c>
    </row>
    <row r="36" spans="1:2" ht="15">
      <c r="A36" s="14" t="s">
        <v>117</v>
      </c>
      <c r="B36" s="14" t="s">
        <v>118</v>
      </c>
    </row>
    <row r="37" spans="1:1" ht="15">
      <c r="A37" s="15" t="s">
        <v>119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 topLeftCell="A4">
      <selection pane="topLeft" activeCell="D7" sqref="D7"/>
    </sheetView>
  </sheetViews>
  <sheetFormatPr defaultRowHeight="15"/>
  <cols>
    <col min="2" max="2" width="10.4285714285714" customWidth="1"/>
    <col min="3" max="3" width="13.2857142857143" customWidth="1"/>
    <col min="4" max="4" width="10.5714285714286" bestFit="1" customWidth="1"/>
    <col min="13" max="13" width="12.2857142857143" bestFit="1" customWidth="1"/>
  </cols>
  <sheetData>
    <row r="2" spans="2:4" ht="15">
      <c r="B2" s="54" t="s">
        <v>169</v>
      </c>
      <c r="C2" s="16"/>
      <c r="D2" s="16"/>
    </row>
    <row r="3" spans="2:3" ht="15">
      <c r="B3" s="55">
        <v>2018</v>
      </c>
      <c r="C3" s="79" t="s">
        <v>170</v>
      </c>
    </row>
    <row r="4" spans="2:13" ht="15">
      <c r="B4" s="55">
        <v>2019</v>
      </c>
      <c r="C4" s="79" t="s">
        <v>171</v>
      </c>
      <c r="L4" s="78" t="s">
        <v>186</v>
      </c>
      <c r="M4" s="77"/>
    </row>
    <row r="5" spans="2:13" ht="15">
      <c r="B5" s="55">
        <v>2020</v>
      </c>
      <c r="C5" s="79" t="s">
        <v>172</v>
      </c>
      <c r="M5" s="76">
        <v>2023</v>
      </c>
    </row>
    <row r="6" spans="2:13" ht="15">
      <c r="B6" s="55">
        <v>2021</v>
      </c>
      <c r="C6" s="79">
        <v>6229365131.5</v>
      </c>
      <c r="L6" s="80" t="s">
        <v>179</v>
      </c>
      <c r="M6" s="81">
        <v>518201145</v>
      </c>
    </row>
    <row r="7" spans="2:13" ht="15">
      <c r="B7" s="55">
        <v>2022</v>
      </c>
      <c r="C7" s="79">
        <v>6451608601.5</v>
      </c>
      <c r="L7" s="80" t="s">
        <v>180</v>
      </c>
      <c r="M7" s="81">
        <v>556859570</v>
      </c>
    </row>
    <row r="8" spans="2:13" ht="15">
      <c r="B8" s="56">
        <v>2023</v>
      </c>
      <c r="C8" s="87">
        <v>6475109627</v>
      </c>
      <c r="D8" s="16"/>
      <c r="L8" s="80" t="s">
        <v>181</v>
      </c>
      <c r="M8" s="81">
        <v>588864700</v>
      </c>
    </row>
    <row r="9" spans="2:13" ht="15">
      <c r="B9" s="55" t="s">
        <v>173</v>
      </c>
      <c r="L9" s="80" t="s">
        <v>182</v>
      </c>
      <c r="M9" s="81">
        <v>524796709</v>
      </c>
    </row>
    <row r="10" spans="12:13" ht="15">
      <c r="L10" s="80" t="s">
        <v>183</v>
      </c>
      <c r="M10" s="81">
        <v>579783045</v>
      </c>
    </row>
    <row r="11" spans="2:13" ht="15">
      <c r="B11" s="54" t="s">
        <v>174</v>
      </c>
      <c r="C11" s="16"/>
      <c r="D11" s="16"/>
      <c r="L11" s="80" t="s">
        <v>184</v>
      </c>
      <c r="M11" s="81">
        <v>471189517</v>
      </c>
    </row>
    <row r="12" spans="3:13" ht="15">
      <c r="C12" s="57" t="s">
        <v>175</v>
      </c>
      <c r="L12" s="80" t="s">
        <v>185</v>
      </c>
      <c r="M12" s="81">
        <v>486002182</v>
      </c>
    </row>
    <row r="13" spans="2:3" ht="15">
      <c r="B13" t="s">
        <v>176</v>
      </c>
      <c r="C13" s="58">
        <f>C6/C3</f>
        <v>0.93239851083296788</v>
      </c>
    </row>
    <row r="14" spans="2:12" ht="15">
      <c r="B14" t="s">
        <v>177</v>
      </c>
      <c r="C14" s="83">
        <f>C6/C5</f>
        <v>1.0157938433834641</v>
      </c>
      <c r="L14" s="75" t="s">
        <v>187</v>
      </c>
    </row>
    <row r="15" spans="2:14" ht="15">
      <c r="B15" t="s">
        <v>189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188</v>
      </c>
    </row>
    <row r="16" spans="2:14" ht="15">
      <c r="B16" t="s">
        <v>190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0.018695281899976688</v>
      </c>
    </row>
    <row r="17" spans="2:14" ht="15">
      <c r="B17" t="s">
        <v>207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0.076639491130663179</v>
      </c>
    </row>
    <row r="19" spans="2:2" ht="15">
      <c r="B19" t="s">
        <v>178</v>
      </c>
    </row>
    <row r="20" spans="3:4" ht="15">
      <c r="C20">
        <v>2018</v>
      </c>
      <c r="D20">
        <v>2021</v>
      </c>
    </row>
    <row r="21" spans="2:4" ht="15">
      <c r="B21" t="s">
        <v>35</v>
      </c>
      <c r="C21" s="59">
        <v>14.5565610923972</v>
      </c>
      <c r="D21" s="59">
        <v>15.490769824884</v>
      </c>
    </row>
    <row r="22" spans="2:4" ht="15">
      <c r="B22" t="s">
        <v>37</v>
      </c>
      <c r="C22" s="59">
        <v>31.276118540281001</v>
      </c>
      <c r="D22" s="59">
        <v>33.305155123500498</v>
      </c>
    </row>
    <row r="23" spans="2:4" ht="1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BY-Demands</vt:lpstr>
      <vt:lpstr>REG_TRA_DEMANDS</vt:lpstr>
      <vt:lpstr>DEMANDS</vt:lpstr>
      <vt:lpstr>Regions</vt:lpstr>
      <vt:lpstr>TRA-2021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2024-08-21T10:14:16Z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