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6F94C4CA-613E-4AFE-9D4C-DE3E38872DC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ver" sheetId="16" r:id="rId1"/>
    <sheet name="Regions" sheetId="15" r:id="rId2"/>
    <sheet name="Emissions" sheetId="2" r:id="rId3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" l="1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F11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AD5" i="15"/>
  <c r="AC5" i="15"/>
  <c r="AC6" i="15" s="1"/>
  <c r="AB5" i="15"/>
  <c r="AB7" i="15" s="1"/>
  <c r="AA5" i="15"/>
  <c r="Z5" i="15"/>
  <c r="Y5" i="15"/>
  <c r="X5" i="15"/>
  <c r="W5" i="15"/>
  <c r="W7" i="15" s="1"/>
  <c r="V5" i="15"/>
  <c r="U5" i="15"/>
  <c r="U3" i="15" s="1" a="1"/>
  <c r="U3" i="15" s="1"/>
  <c r="T5" i="15"/>
  <c r="T6" i="15" s="1"/>
  <c r="S5" i="15"/>
  <c r="R5" i="15"/>
  <c r="Q5" i="15"/>
  <c r="P5" i="15"/>
  <c r="O5" i="15"/>
  <c r="O6" i="15" s="1"/>
  <c r="N5" i="15"/>
  <c r="M5" i="15"/>
  <c r="M6" i="15" s="1"/>
  <c r="L5" i="15"/>
  <c r="L6" i="15" s="1"/>
  <c r="K5" i="15"/>
  <c r="J5" i="15"/>
  <c r="I5" i="15"/>
  <c r="H5" i="15"/>
  <c r="G5" i="15"/>
  <c r="G7" i="15" s="1"/>
  <c r="F5" i="15"/>
  <c r="E5" i="15"/>
  <c r="E7" i="15" s="1"/>
  <c r="D7" i="15"/>
  <c r="C7" i="15"/>
  <c r="AD6" i="15"/>
  <c r="X6" i="15"/>
  <c r="W6" i="15"/>
  <c r="V6" i="15"/>
  <c r="U6" i="15"/>
  <c r="P6" i="15"/>
  <c r="N6" i="15"/>
  <c r="H6" i="15"/>
  <c r="G6" i="15"/>
  <c r="F6" i="15"/>
  <c r="E6" i="15"/>
  <c r="D6" i="15"/>
  <c r="C6" i="15"/>
  <c r="AD7" i="15"/>
  <c r="AA7" i="15"/>
  <c r="Z7" i="15"/>
  <c r="Y7" i="15"/>
  <c r="X7" i="15"/>
  <c r="V7" i="15"/>
  <c r="S6" i="15"/>
  <c r="R6" i="15"/>
  <c r="Q6" i="15"/>
  <c r="P7" i="15"/>
  <c r="N7" i="15"/>
  <c r="K6" i="15"/>
  <c r="J6" i="15"/>
  <c r="I6" i="15"/>
  <c r="H7" i="15"/>
  <c r="F7" i="15"/>
  <c r="AD3" i="15" a="1"/>
  <c r="AD3" i="15" s="1"/>
  <c r="AC3" i="15" a="1"/>
  <c r="AC3" i="15" s="1"/>
  <c r="Y3" i="15" a="1"/>
  <c r="Y3" i="15" s="1"/>
  <c r="X3" i="15" a="1"/>
  <c r="X3" i="15" s="1"/>
  <c r="W3" i="15" a="1"/>
  <c r="W3" i="15" s="1"/>
  <c r="V3" i="15" a="1"/>
  <c r="V3" i="15" s="1"/>
  <c r="Q3" i="15" a="1"/>
  <c r="Q3" i="15" s="1"/>
  <c r="P3" i="15" a="1"/>
  <c r="P3" i="15" s="1"/>
  <c r="O3" i="15" a="1"/>
  <c r="O3" i="15" s="1"/>
  <c r="N3" i="15" a="1"/>
  <c r="N3" i="15" s="1"/>
  <c r="M3" i="15" a="1"/>
  <c r="M3" i="15" s="1"/>
  <c r="I3" i="15" a="1"/>
  <c r="I3" i="15" s="1"/>
  <c r="H3" i="15" a="1"/>
  <c r="H3" i="15" s="1"/>
  <c r="F3" i="15" a="1"/>
  <c r="F3" i="15" s="1"/>
  <c r="D3" i="15" a="1"/>
  <c r="D3" i="15" s="1"/>
  <c r="C3" i="15" a="1"/>
  <c r="C3" i="15" s="1"/>
  <c r="E3" i="15" l="1" a="1"/>
  <c r="E3" i="15" s="1"/>
  <c r="M7" i="15"/>
  <c r="U7" i="15"/>
  <c r="AC7" i="15"/>
  <c r="G3" i="15" a="1"/>
  <c r="G3" i="15" s="1"/>
  <c r="O7" i="15"/>
  <c r="I7" i="15"/>
  <c r="Q7" i="15"/>
  <c r="J7" i="15"/>
  <c r="R7" i="15"/>
  <c r="J3" i="15" a="1"/>
  <c r="J3" i="15" s="1"/>
  <c r="R3" i="15" a="1"/>
  <c r="R3" i="15" s="1"/>
  <c r="Z3" i="15" a="1"/>
  <c r="Z3" i="15" s="1"/>
  <c r="K7" i="15"/>
  <c r="S7" i="15"/>
  <c r="L7" i="15"/>
  <c r="T7" i="15"/>
  <c r="K3" i="15" a="1"/>
  <c r="K3" i="15" s="1"/>
  <c r="S3" i="15" a="1"/>
  <c r="S3" i="15" s="1"/>
  <c r="AA3" i="15" a="1"/>
  <c r="AA3" i="15" s="1"/>
  <c r="Y6" i="15"/>
  <c r="Z6" i="15"/>
  <c r="L3" i="15" a="1"/>
  <c r="L3" i="15" s="1"/>
  <c r="T3" i="15" a="1"/>
  <c r="T3" i="15" s="1"/>
  <c r="AB3" i="15" a="1"/>
  <c r="AB3" i="15" s="1"/>
  <c r="AA6" i="15"/>
  <c r="AB6" i="15"/>
  <c r="H4" i="2" l="1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G5" i="2"/>
  <c r="G6" i="2"/>
  <c r="G7" i="2"/>
  <c r="G8" i="2"/>
  <c r="G4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F3" i="2"/>
  <c r="AH5" i="2"/>
  <c r="AH6" i="2"/>
  <c r="AH7" i="2"/>
  <c r="AH8" i="2"/>
  <c r="A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<sst xmlns="http://schemas.openxmlformats.org/spreadsheetml/2006/main" count="133" uniqueCount="102">
  <si>
    <t>Pset_CI</t>
  </si>
  <si>
    <t>Year</t>
  </si>
  <si>
    <t>Cset_CN</t>
  </si>
  <si>
    <t>Attribute</t>
  </si>
  <si>
    <t>LimType</t>
  </si>
  <si>
    <t>~TFM_INS</t>
  </si>
  <si>
    <t>TimeSlice</t>
  </si>
  <si>
    <t>Trans - Insert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</si>
  <si>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</si>
  <si>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</si>
  <si>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</si>
  <si>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</si>
  <si>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</si>
  <si>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</si>
  <si>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</si>
  <si>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</si>
  <si>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</si>
  <si>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</si>
  <si>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</si>
  <si>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</si>
  <si>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</si>
  <si>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</si>
  <si>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</si>
  <si>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</si>
  <si>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</si>
  <si>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</si>
  <si>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</si>
  <si>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</si>
  <si>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</si>
  <si>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</si>
  <si>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</si>
  <si>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</si>
  <si>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</si>
  <si>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</si>
  <si>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</si>
  <si>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</si>
  <si>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</si>
  <si>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</si>
  <si>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</si>
  <si>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</si>
  <si>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</si>
  <si>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</si>
  <si>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</si>
  <si>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</si>
  <si>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</si>
  <si>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</si>
  <si>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</si>
  <si>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</si>
  <si>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</si>
  <si>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</si>
  <si>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</si>
  <si>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</si>
  <si>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</si>
  <si>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</si>
  <si>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</si>
  <si>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</si>
  <si>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</si>
  <si>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</si>
  <si>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</si>
  <si>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</si>
  <si>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</si>
  <si>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</si>
  <si>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</si>
  <si>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</si>
  <si>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</si>
  <si>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</si>
  <si>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</si>
  <si>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FLO_EMIS</t>
  </si>
  <si>
    <t>TRAGSL</t>
  </si>
  <si>
    <t>Other_indexes</t>
  </si>
  <si>
    <t>kt/PJ</t>
  </si>
  <si>
    <t>*Unit</t>
  </si>
  <si>
    <t>TRADST</t>
  </si>
  <si>
    <t>TRACNG</t>
  </si>
  <si>
    <t>TRALNG</t>
  </si>
  <si>
    <t>TRAKER</t>
  </si>
  <si>
    <t>TRACO2N</t>
  </si>
  <si>
    <t>*National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</si>
  <si>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</si>
  <si>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</si>
  <si>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</si>
  <si>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</si>
  <si>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</si>
  <si>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</si>
  <si>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</si>
  <si>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</si>
  <si>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</si>
  <si>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</si>
  <si>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</si>
  <si>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</si>
  <si>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Vahid Aryanpur (UCC, vahid.aryanpur@ucc.ie)</t>
  </si>
  <si>
    <t xml:space="preserve">Olexandr Balyk ( MaREI, olexandr.balyk@ucc.ie) </t>
  </si>
  <si>
    <t>Emissions factors for fuel combustion</t>
  </si>
  <si>
    <t>Transport sector (TRA)</t>
  </si>
  <si>
    <t>Scenario</t>
  </si>
  <si>
    <t>Pset_PN</t>
  </si>
  <si>
    <t>TRACO2INT</t>
  </si>
  <si>
    <t>T-*AVI*INT*,T-NAV*</t>
  </si>
  <si>
    <t>-T-*AVI*INT*,-T-NAV*</t>
  </si>
  <si>
    <t>https://www.nature.com/articles/s41558-022-01485-4</t>
  </si>
  <si>
    <t>TRABJK</t>
  </si>
  <si>
    <t>*AVI*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</si>
</sst>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 applyProtection="1">
      <alignment horizontal="left" vertical="center"/>
      <protection locked="0"/>
    </xf>
    <xf numFmtId="0" fontId="5" fillId="5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0" applyFont="1" applyAlignment="1">
      <alignment horizontal="center" vertical="center"/>
    </xf>
    <xf numFmtId="0" fontId="6" fillId="6" borderId="0" xfId="2" applyFont="1" applyFill="1" applyAlignment="1">
      <alignment vertical="center"/>
    </xf>
    <xf numFmtId="0" fontId="6" fillId="7" borderId="0" xfId="2" applyFont="1" applyFill="1" applyAlignment="1">
      <alignment vertical="center"/>
    </xf>
    <xf numFmtId="0" fontId="8" fillId="7" borderId="0" xfId="2" applyFont="1" applyFill="1" applyAlignment="1">
      <alignment vertical="center"/>
    </xf>
    <xf numFmtId="0" fontId="7" fillId="7" borderId="0" xfId="2" applyFont="1" applyFill="1" applyAlignment="1">
      <alignment vertical="center"/>
    </xf>
    <xf numFmtId="0" fontId="6" fillId="8" borderId="0" xfId="2" applyFont="1" applyFill="1" applyAlignment="1">
      <alignment vertical="center"/>
    </xf>
    <xf numFmtId="0" fontId="9" fillId="7" borderId="0" xfId="2" applyFont="1" applyFill="1" applyAlignment="1">
      <alignment vertical="center"/>
    </xf>
    <xf numFmtId="0" fontId="10" fillId="7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0" fontId="12" fillId="7" borderId="0" xfId="2" applyFont="1" applyFill="1" applyAlignment="1">
      <alignment vertical="center"/>
    </xf>
    <xf numFmtId="0" fontId="13" fillId="7" borderId="0" xfId="2" applyFont="1" applyFill="1" applyAlignment="1">
      <alignment vertical="center"/>
    </xf>
    <xf numFmtId="0" fontId="12" fillId="6" borderId="0" xfId="2" applyFont="1" applyFill="1" applyAlignment="1">
      <alignment vertical="center"/>
    </xf>
    <xf numFmtId="164" fontId="12" fillId="6" borderId="0" xfId="2" applyNumberFormat="1" applyFont="1" applyFill="1" applyAlignment="1">
      <alignment horizontal="left" vertical="center"/>
    </xf>
    <xf numFmtId="0" fontId="14" fillId="7" borderId="0" xfId="2" applyFont="1" applyFill="1" applyAlignment="1">
      <alignment vertical="center"/>
    </xf>
    <xf numFmtId="0" fontId="15" fillId="6" borderId="0" xfId="2" applyFont="1" applyFill="1" applyAlignment="1">
      <alignment vertical="center"/>
    </xf>
    <xf numFmtId="0" fontId="7" fillId="6" borderId="0" xfId="1" applyFill="1" applyAlignment="1">
      <alignment vertical="center"/>
    </xf>
    <xf numFmtId="0" fontId="0" fillId="0" borderId="0" xfId="0" quotePrefix="1"/>
    <xf numFmtId="0" fontId="2" fillId="2" borderId="0" xfId="0" applyFont="1" applyFill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2" fillId="6" borderId="0" xfId="2" applyFont="1" applyFill="1" applyAlignment="1">
      <alignment vertical="center"/>
    </xf>
    <xf numFmtId="0" fontId="8" fillId="6" borderId="0" xfId="2" applyFont="1" applyFill="1" applyAlignment="1">
      <alignment horizontal="center" vertical="center"/>
    </xf>
    <xf numFmtId="0" fontId="7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23C7C2C6-86E1-4FD2-A380-D25D33A5391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510540</xdr:colOff>
      <xdr:row>13</xdr:row>
      <xdr:rowOff>160020</xdr:rowOff>
    </xdr:from>
    <xdr:to>
      <xdr:col>17</xdr:col>
      <xdr:colOff>16510</xdr:colOff>
      <xdr:row>42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50536-BE4F-6D3E-6FD7-F8D83AAAD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" y="2636520"/>
          <a:ext cx="5731510" cy="5288915"/>
        </a:xfrm>
        <a:prstGeom prst="rect">
          <a:avLst/>
        </a:prstGeom>
      </xdr:spPr>
    </xdr:pic>
    <xdr:clientData/>
  </xdr:twoCellAnchor>
  <xdr:twoCellAnchor>
    <xdr:from>
      <xdr:col>7</xdr:col>
      <xdr:colOff>182880</xdr:colOff>
      <xdr:row>39</xdr:row>
      <xdr:rowOff>99060</xdr:rowOff>
    </xdr:from>
    <xdr:to>
      <xdr:col>8</xdr:col>
      <xdr:colOff>213360</xdr:colOff>
      <xdr:row>40</xdr:row>
      <xdr:rowOff>106680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4BE8FDE-F446-72E8-8AC6-2203D15CEDB5}"/>
            </a:ext>
          </a:extLst>
        </xdr:cNvPr>
        <xdr:cNvSpPr/>
      </xdr:nvSpPr>
      <xdr:spPr>
        <a:xfrm>
          <a:off x="4290060" y="7330440"/>
          <a:ext cx="47244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F6A0-D2D6-4192-A4C2-30BCAA062016}">
  <sheetPr codeName="Sheet3"/>
  <dimension ref="A1:Z99"/>
  <sheetViews>
    <sheetView showGridLines="0" topLeftCell="A16" zoomScaleNormal="100" workbookViewId="0">
      <selection activeCell="H22" sqref="H22"/>
    </sheetView>
  </sheetViews>
  <sheetFormatPr defaultColWidth="8.7109375" defaultRowHeight="15" x14ac:dyDescent="0.25"/>
  <cols>
    <col min="1" max="4" width="21.7109375" customWidth="1"/>
    <col min="5" max="6" width="14.28515625" customWidth="1"/>
    <col min="7" max="7" width="12.28515625" customWidth="1"/>
    <col min="8" max="10" width="8.28515625" customWidth="1"/>
    <col min="11" max="11" width="9.7109375" customWidth="1"/>
    <col min="12" max="12" width="8.28515625" customWidth="1"/>
    <col min="13" max="13" width="10" customWidth="1"/>
    <col min="14" max="14" width="11.42578125" customWidth="1"/>
    <col min="15" max="15" width="13.42578125" customWidth="1"/>
  </cols>
  <sheetData>
    <row r="1" spans="1:26" x14ac:dyDescent="0.25">
      <c r="A1" s="13"/>
      <c r="B1" s="13"/>
      <c r="C1" s="13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5">
      <c r="A2" s="13"/>
      <c r="B2" s="13"/>
      <c r="C2" s="13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5">
      <c r="A3" s="13"/>
      <c r="B3" s="13"/>
      <c r="C3" s="13"/>
      <c r="D3" s="13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x14ac:dyDescent="0.25">
      <c r="A4" s="13"/>
      <c r="B4" s="13"/>
      <c r="C4" s="13"/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x14ac:dyDescent="0.25">
      <c r="A5" s="13"/>
      <c r="B5" s="13"/>
      <c r="C5" s="13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x14ac:dyDescent="0.25">
      <c r="A6" s="13"/>
      <c r="B6" s="13"/>
      <c r="C6" s="13"/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x14ac:dyDescent="0.25">
      <c r="A7" s="13"/>
      <c r="B7" s="13"/>
      <c r="C7" s="13"/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x14ac:dyDescent="0.25">
      <c r="A8" s="13"/>
      <c r="B8" s="13"/>
      <c r="C8" s="13"/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13"/>
      <c r="B9" s="13"/>
      <c r="C9" s="13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x14ac:dyDescent="0.25">
      <c r="A10" s="13"/>
      <c r="B10" s="13"/>
      <c r="C10" s="13"/>
      <c r="D10" s="13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x14ac:dyDescent="0.25">
      <c r="A11" s="13"/>
      <c r="B11" s="13"/>
      <c r="C11" s="13"/>
      <c r="D11" s="1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25">
      <c r="A12" s="13"/>
      <c r="B12" s="13"/>
      <c r="C12" s="13"/>
      <c r="D12" s="13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13"/>
      <c r="B13" s="13"/>
      <c r="C13" s="13"/>
      <c r="D13" s="13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x14ac:dyDescent="0.25">
      <c r="A14" s="13"/>
      <c r="B14" s="13"/>
      <c r="C14" s="13"/>
      <c r="D14" s="13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25">
      <c r="A15" s="13"/>
      <c r="B15" s="13"/>
      <c r="C15" s="13"/>
      <c r="D15" s="13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02.75" customHeight="1" x14ac:dyDescent="0.25">
      <c r="A16" s="33" t="s">
        <v>78</v>
      </c>
      <c r="B16" s="33"/>
      <c r="C16" s="33"/>
      <c r="D16" s="33"/>
      <c r="E16" s="15"/>
      <c r="F16" s="15"/>
      <c r="G16" s="16"/>
      <c r="H16" s="16"/>
      <c r="I16" s="16"/>
      <c r="J16" s="16"/>
      <c r="K16" s="16"/>
      <c r="L16" s="1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7.25" customHeight="1" x14ac:dyDescent="0.25">
      <c r="A17" s="17"/>
      <c r="B17" s="17"/>
      <c r="C17" s="17"/>
      <c r="D17" s="17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7.25" customHeight="1" x14ac:dyDescent="0.25">
      <c r="A18" s="17"/>
      <c r="B18" s="17"/>
      <c r="C18" s="17"/>
      <c r="D18" s="17"/>
      <c r="E18" s="18"/>
      <c r="F18" s="18"/>
      <c r="G18" s="19"/>
      <c r="H18" s="19"/>
      <c r="I18" s="19"/>
      <c r="J18" s="19"/>
      <c r="K18" s="19"/>
      <c r="L18" s="19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7.25" customHeight="1" x14ac:dyDescent="0.25">
      <c r="A19" s="20" t="s">
        <v>79</v>
      </c>
      <c r="B19" s="32" t="s">
        <v>94</v>
      </c>
      <c r="C19" s="32"/>
      <c r="D19" s="32"/>
      <c r="E19" s="21"/>
      <c r="F19" s="21"/>
      <c r="G19" s="22"/>
      <c r="H19" s="22"/>
      <c r="I19" s="22"/>
      <c r="J19" s="22"/>
      <c r="K19" s="22"/>
      <c r="L19" s="22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7.25" customHeight="1" x14ac:dyDescent="0.25">
      <c r="A20" s="20" t="s">
        <v>80</v>
      </c>
      <c r="B20" s="32" t="s">
        <v>93</v>
      </c>
      <c r="C20" s="32"/>
      <c r="D20" s="32"/>
      <c r="E20" s="21"/>
      <c r="F20" s="21"/>
      <c r="G20" s="22"/>
      <c r="H20" s="22"/>
      <c r="I20" s="22"/>
      <c r="J20" s="22"/>
      <c r="K20" s="22"/>
      <c r="L20" s="22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7.25" customHeight="1" x14ac:dyDescent="0.25">
      <c r="A21" s="20" t="s">
        <v>81</v>
      </c>
      <c r="B21" s="23" t="s">
        <v>92</v>
      </c>
      <c r="C21" s="23"/>
      <c r="D21" s="23"/>
      <c r="E21" s="21"/>
      <c r="F21" s="21"/>
      <c r="G21" s="22"/>
      <c r="H21" s="22"/>
      <c r="I21" s="22"/>
      <c r="J21" s="22"/>
      <c r="K21" s="22"/>
      <c r="L21" s="22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7.25" customHeight="1" x14ac:dyDescent="0.25">
      <c r="A22" s="20"/>
      <c r="B22" s="23"/>
      <c r="C22" s="23"/>
      <c r="D22" s="23"/>
      <c r="E22" s="21"/>
      <c r="F22" s="21"/>
      <c r="G22" s="22"/>
      <c r="H22" s="22"/>
      <c r="I22" s="22"/>
      <c r="J22" s="22"/>
      <c r="K22" s="22"/>
      <c r="L22" s="22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7.25" customHeight="1" x14ac:dyDescent="0.25">
      <c r="A23" s="20" t="s">
        <v>82</v>
      </c>
      <c r="B23" s="32" t="s">
        <v>90</v>
      </c>
      <c r="C23" s="32"/>
      <c r="D23" s="32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7.25" customHeight="1" x14ac:dyDescent="0.25">
      <c r="A24" s="20"/>
      <c r="B24" s="32"/>
      <c r="C24" s="32"/>
      <c r="D24" s="32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7.25" customHeight="1" x14ac:dyDescent="0.25">
      <c r="A25" s="20"/>
      <c r="B25" s="23"/>
      <c r="C25" s="23"/>
      <c r="D25" s="2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7.25" customHeight="1" x14ac:dyDescent="0.25">
      <c r="A26" s="20" t="s">
        <v>83</v>
      </c>
      <c r="B26" s="32" t="s">
        <v>90</v>
      </c>
      <c r="C26" s="32"/>
      <c r="D26" s="32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7.25" customHeight="1" x14ac:dyDescent="0.25">
      <c r="A27" s="20"/>
      <c r="B27" s="32" t="s">
        <v>91</v>
      </c>
      <c r="C27" s="32"/>
      <c r="D27" s="32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7.25" customHeight="1" x14ac:dyDescent="0.25">
      <c r="A28" s="20"/>
      <c r="B28" s="23"/>
      <c r="C28" s="23"/>
      <c r="D28" s="23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7.25" customHeight="1" x14ac:dyDescent="0.25">
      <c r="A29" s="20" t="s">
        <v>84</v>
      </c>
      <c r="B29" s="24">
        <v>1</v>
      </c>
      <c r="C29" s="23"/>
      <c r="D29" s="2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7.25" customHeight="1" x14ac:dyDescent="0.25">
      <c r="A30" s="20" t="s">
        <v>85</v>
      </c>
      <c r="B30" s="34" t="s">
        <v>86</v>
      </c>
      <c r="C30" s="32"/>
      <c r="D30" s="32"/>
      <c r="E30" s="25"/>
      <c r="F30" s="25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7.25" customHeight="1" x14ac:dyDescent="0.25">
      <c r="A31" s="20" t="s">
        <v>87</v>
      </c>
      <c r="B31" s="32" t="s">
        <v>88</v>
      </c>
      <c r="C31" s="32"/>
      <c r="D31" s="32"/>
      <c r="E31" s="25"/>
      <c r="F31" s="2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7.25" customHeight="1" x14ac:dyDescent="0.25">
      <c r="A32" s="26"/>
      <c r="B32" s="27" t="s">
        <v>89</v>
      </c>
      <c r="C32" s="26"/>
      <c r="D32" s="26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x14ac:dyDescent="0.25">
      <c r="A33" s="13"/>
      <c r="B33" s="13"/>
      <c r="C33" s="13"/>
      <c r="D33" s="13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x14ac:dyDescent="0.25">
      <c r="A34" s="13"/>
      <c r="B34" s="13"/>
      <c r="C34" s="13"/>
      <c r="D34" s="1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25">
      <c r="A35" s="13"/>
      <c r="B35" s="13"/>
      <c r="C35" s="13"/>
      <c r="D35" s="1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x14ac:dyDescent="0.25">
      <c r="A36" s="13"/>
      <c r="B36" s="13"/>
      <c r="C36" s="13"/>
      <c r="D36" s="1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x14ac:dyDescent="0.25">
      <c r="A37" s="13"/>
      <c r="B37" s="13"/>
      <c r="C37" s="13"/>
      <c r="D37" s="13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x14ac:dyDescent="0.25">
      <c r="A38" s="13"/>
      <c r="B38" s="13"/>
      <c r="C38" s="13"/>
      <c r="D38" s="13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x14ac:dyDescent="0.25">
      <c r="A39" s="13"/>
      <c r="B39" s="13"/>
      <c r="C39" s="13"/>
      <c r="D39" s="13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x14ac:dyDescent="0.25">
      <c r="A40" s="13"/>
      <c r="B40" s="13"/>
      <c r="C40" s="13"/>
      <c r="D40" s="13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x14ac:dyDescent="0.25">
      <c r="A41" s="13"/>
      <c r="B41" s="13"/>
      <c r="C41" s="13"/>
      <c r="D41" s="13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x14ac:dyDescent="0.25">
      <c r="A42" s="13"/>
      <c r="B42" s="13"/>
      <c r="C42" s="13"/>
      <c r="D42" s="13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</sheetData>
  <mergeCells count="9">
    <mergeCell ref="B31:D31"/>
    <mergeCell ref="A16:D16"/>
    <mergeCell ref="B19:D19"/>
    <mergeCell ref="B20:D20"/>
    <mergeCell ref="B23:D23"/>
    <mergeCell ref="B26:D26"/>
    <mergeCell ref="B30:D30"/>
    <mergeCell ref="B24:D24"/>
    <mergeCell ref="B27:D27"/>
  </mergeCells>
  <hyperlinks>
    <hyperlink ref="B30" r:id="rId1" xr:uid="{1171F531-9169-4741-AD5F-5AE7EB2A7D59}"/>
    <hyperlink ref="B32" r:id="rId2" xr:uid="{6E64AEA5-15B4-4501-82AE-5C1D4A10E5E8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36" sqref="B36"/>
    </sheetView>
  </sheetViews>
  <sheetFormatPr defaultColWidth="9.28515625" defaultRowHeight="15" x14ac:dyDescent="0.25"/>
  <cols>
    <col min="1" max="1" width="12.28515625" customWidth="1"/>
    <col min="2" max="2" width="11.7109375" customWidth="1"/>
    <col min="3" max="3" width="3.28515625" bestFit="1" customWidth="1"/>
    <col min="4" max="4" width="8.5703125" bestFit="1" customWidth="1"/>
    <col min="5" max="5" width="6.42578125" bestFit="1" customWidth="1"/>
    <col min="6" max="6" width="4.7109375" bestFit="1" customWidth="1"/>
    <col min="7" max="8" width="5.7109375" bestFit="1" customWidth="1"/>
    <col min="9" max="9" width="5.42578125" bestFit="1" customWidth="1"/>
    <col min="10" max="11" width="5.7109375" bestFit="1" customWidth="1"/>
    <col min="12" max="12" width="6.5703125" bestFit="1" customWidth="1"/>
    <col min="13" max="13" width="6.28515625" bestFit="1" customWidth="1"/>
    <col min="14" max="14" width="6.7109375" bestFit="1" customWidth="1"/>
    <col min="15" max="15" width="6.5703125" bestFit="1" customWidth="1"/>
    <col min="16" max="16" width="7.28515625" bestFit="1" customWidth="1"/>
    <col min="17" max="17" width="5.7109375" bestFit="1" customWidth="1"/>
    <col min="18" max="18" width="6.28515625" bestFit="1" customWidth="1"/>
    <col min="19" max="19" width="5.7109375" bestFit="1" customWidth="1"/>
    <col min="20" max="20" width="5.5703125" bestFit="1" customWidth="1"/>
    <col min="21" max="21" width="5.7109375" bestFit="1" customWidth="1"/>
    <col min="22" max="22" width="6.7109375" bestFit="1" customWidth="1"/>
    <col min="23" max="23" width="4.7109375" bestFit="1" customWidth="1"/>
    <col min="24" max="24" width="7.5703125" customWidth="1"/>
    <col min="25" max="25" width="6.7109375" bestFit="1" customWidth="1"/>
    <col min="26" max="26" width="6.28515625" bestFit="1" customWidth="1"/>
    <col min="27" max="28" width="6" bestFit="1" customWidth="1"/>
    <col min="29" max="29" width="5.7109375" bestFit="1" customWidth="1"/>
    <col min="30" max="30" width="6.7109375" bestFit="1" customWidth="1"/>
  </cols>
  <sheetData>
    <row r="3" spans="1:30" x14ac:dyDescent="0.25">
      <c r="C3" s="6" t="str" cm="1">
        <f t="array" ref="C3">IF(LEFT(INDEX(C5:C7,$A$4),1)&lt;&gt;"*",INDEX(C5:C7,$A$4),"")</f>
        <v>IE</v>
      </c>
      <c r="D3" s="6" t="str" cm="1">
        <f t="array" ref="D3">IF(LEFT(INDEX(D5:D7,$A$4),1)&lt;&gt;"*",INDEX(D5:D7,$A$4),"")</f>
        <v/>
      </c>
      <c r="E3" s="6" t="str" cm="1">
        <f t="array" ref="E3">IF(LEFT(INDEX(E5:E7,$A$4),1)&lt;&gt;"*",INDEX(E5:E7,$A$4),"")</f>
        <v>IE-CW</v>
      </c>
      <c r="F3" s="6" t="str" cm="1">
        <f t="array" ref="F3">IF(LEFT(INDEX(F5:F7,$A$4),1)&lt;&gt;"*",INDEX(F5:F7,$A$4),"")</f>
        <v>IE-D</v>
      </c>
      <c r="G3" s="6" t="str" cm="1">
        <f t="array" ref="G3">IF(LEFT(INDEX(G5:G7,$A$4),1)&lt;&gt;"*",INDEX(G5:G7,$A$4),"")</f>
        <v>IE-KE</v>
      </c>
      <c r="H3" s="6" t="str" cm="1">
        <f t="array" ref="H3">IF(LEFT(INDEX(H5:H7,$A$4),1)&lt;&gt;"*",INDEX(H5:H7,$A$4),"")</f>
        <v>IE-KK</v>
      </c>
      <c r="I3" s="6" t="str" cm="1">
        <f t="array" ref="I3">IF(LEFT(INDEX(I5:I7,$A$4),1)&lt;&gt;"*",INDEX(I5:I7,$A$4),"")</f>
        <v>IE-LS</v>
      </c>
      <c r="J3" s="6" t="str" cm="1">
        <f t="array" ref="J3">IF(LEFT(INDEX(J5:J7,$A$4),1)&lt;&gt;"*",INDEX(J5:J7,$A$4),"")</f>
        <v>IE-LD</v>
      </c>
      <c r="K3" s="6" t="str" cm="1">
        <f t="array" ref="K3">IF(LEFT(INDEX(K5:K7,$A$4),1)&lt;&gt;"*",INDEX(K5:K7,$A$4),"")</f>
        <v>IE-LH</v>
      </c>
      <c r="L3" s="6" t="str" cm="1">
        <f t="array" ref="L3">IF(LEFT(INDEX(L5:L7,$A$4),1)&lt;&gt;"*",INDEX(L5:L7,$A$4),"")</f>
        <v>IE-MH</v>
      </c>
      <c r="M3" s="6" t="str" cm="1">
        <f t="array" ref="M3">IF(LEFT(INDEX(M5:M7,$A$4),1)&lt;&gt;"*",INDEX(M5:M7,$A$4),"")</f>
        <v>IE-OY</v>
      </c>
      <c r="N3" s="6" t="str" cm="1">
        <f t="array" ref="N3">IF(LEFT(INDEX(N5:N7,$A$4),1)&lt;&gt;"*",INDEX(N5:N7,$A$4),"")</f>
        <v>IE-WH</v>
      </c>
      <c r="O3" s="6" t="str" cm="1">
        <f t="array" ref="O3">IF(LEFT(INDEX(O5:O7,$A$4),1)&lt;&gt;"*",INDEX(O5:O7,$A$4),"")</f>
        <v>IE-WX</v>
      </c>
      <c r="P3" s="6" t="str" cm="1">
        <f t="array" ref="P3">IF(LEFT(INDEX(P5:P7,$A$4),1)&lt;&gt;"*",INDEX(P5:P7,$A$4),"")</f>
        <v>IE-WW</v>
      </c>
      <c r="Q3" s="6" t="str" cm="1">
        <f t="array" ref="Q3">IF(LEFT(INDEX(Q5:Q7,$A$4),1)&lt;&gt;"*",INDEX(Q5:Q7,$A$4),"")</f>
        <v>IE-CE</v>
      </c>
      <c r="R3" s="6" t="str" cm="1">
        <f t="array" ref="R3">IF(LEFT(INDEX(R5:R7,$A$4),1)&lt;&gt;"*",INDEX(R5:R7,$A$4),"")</f>
        <v>IE-CO</v>
      </c>
      <c r="S3" s="6" t="str" cm="1">
        <f t="array" ref="S3">IF(LEFT(INDEX(S5:S7,$A$4),1)&lt;&gt;"*",INDEX(S5:S7,$A$4),"")</f>
        <v>IE-KY</v>
      </c>
      <c r="T3" s="6" t="str" cm="1">
        <f t="array" ref="T3">IF(LEFT(INDEX(T5:T7,$A$4),1)&lt;&gt;"*",INDEX(T5:T7,$A$4),"")</f>
        <v>IE-LK</v>
      </c>
      <c r="U3" s="6" t="str" cm="1">
        <f t="array" ref="U3">IF(LEFT(INDEX(U5:U7,$A$4),1)&lt;&gt;"*",INDEX(U5:U7,$A$4),"")</f>
        <v>IE-TA</v>
      </c>
      <c r="V3" s="6" t="str" cm="1">
        <f t="array" ref="V3">IF(LEFT(INDEX(V5:V7,$A$4),1)&lt;&gt;"*",INDEX(V5:V7,$A$4),"")</f>
        <v>IE-WD</v>
      </c>
      <c r="W3" s="6" t="str" cm="1">
        <f t="array" ref="W3">IF(LEFT(INDEX(W5:W7,$A$4),1)&lt;&gt;"*",INDEX(W5:W7,$A$4),"")</f>
        <v>IE-G</v>
      </c>
      <c r="X3" s="6" t="str" cm="1">
        <f t="array" ref="X3">IF(LEFT(INDEX(X5:X7,$A$4),1)&lt;&gt;"*",INDEX(X5:X7,$A$4),"")</f>
        <v>IE-LM</v>
      </c>
      <c r="Y3" s="6" t="str" cm="1">
        <f t="array" ref="Y3">IF(LEFT(INDEX(Y5:Y7,$A$4),1)&lt;&gt;"*",INDEX(Y5:Y7,$A$4),"")</f>
        <v>IE-MO</v>
      </c>
      <c r="Z3" s="6" t="str" cm="1">
        <f t="array" ref="Z3">IF(LEFT(INDEX(Z5:Z7,$A$4),1)&lt;&gt;"*",INDEX(Z5:Z7,$A$4),"")</f>
        <v>IE-RN</v>
      </c>
      <c r="AA3" s="6" t="str" cm="1">
        <f t="array" ref="AA3">IF(LEFT(INDEX(AA5:AA7,$A$4),1)&lt;&gt;"*",INDEX(AA5:AA7,$A$4),"")</f>
        <v>IE-SO</v>
      </c>
      <c r="AB3" s="6" t="str" cm="1">
        <f t="array" ref="AB3">IF(LEFT(INDEX(AB5:AB7,$A$4),1)&lt;&gt;"*",INDEX(AB5:AB7,$A$4),"")</f>
        <v>IE-CN</v>
      </c>
      <c r="AC3" s="6" t="str" cm="1">
        <f t="array" ref="AC3">IF(LEFT(INDEX(AC5:AC7,$A$4),1)&lt;&gt;"*",INDEX(AC5:AC7,$A$4),"")</f>
        <v>IE-DL</v>
      </c>
      <c r="AD3" s="6" t="str" cm="1">
        <f t="array" ref="AD3">IF(LEFT(INDEX(AD5:AD7,$A$4),1)&lt;&gt;"*",INDEX(AD5:AD7,$A$4),"")</f>
        <v>IE-MN</v>
      </c>
    </row>
    <row r="4" spans="1:30" x14ac:dyDescent="0.25">
      <c r="A4">
        <v>1</v>
      </c>
    </row>
    <row r="5" spans="1:30" x14ac:dyDescent="0.25">
      <c r="A5" t="s">
        <v>34</v>
      </c>
      <c r="C5" s="7" t="s">
        <v>35</v>
      </c>
      <c r="D5" s="7" t="s">
        <v>77</v>
      </c>
      <c r="E5" s="6" t="str">
        <f>Regions!A11</f>
        <v>IE-CW</v>
      </c>
      <c r="F5" s="6" t="str">
        <f>Regions!A16</f>
        <v>IE-D</v>
      </c>
      <c r="G5" s="6" t="str">
        <f>Regions!A19</f>
        <v>IE-KE</v>
      </c>
      <c r="H5" s="6" t="str">
        <f>Regions!A20</f>
        <v>IE-KK</v>
      </c>
      <c r="I5" s="6" t="str">
        <f>Regions!A21</f>
        <v>IE-LS</v>
      </c>
      <c r="J5" s="6" t="str">
        <f>Regions!A24</f>
        <v>IE-LD</v>
      </c>
      <c r="K5" s="6" t="str">
        <f>Regions!A25</f>
        <v>IE-LH</v>
      </c>
      <c r="L5" s="6" t="str">
        <f>Regions!A27</f>
        <v>IE-MH</v>
      </c>
      <c r="M5" s="6" t="str">
        <f>Regions!A29</f>
        <v>IE-OY</v>
      </c>
      <c r="N5" s="6" t="str">
        <f>Regions!A34</f>
        <v>IE-WH</v>
      </c>
      <c r="O5" s="6" t="str">
        <f>Regions!A35</f>
        <v>IE-WX</v>
      </c>
      <c r="P5" s="6" t="str">
        <f>Regions!A36</f>
        <v>IE-WW</v>
      </c>
      <c r="Q5" s="6" t="str">
        <f>Regions!A13</f>
        <v>IE-CE</v>
      </c>
      <c r="R5" s="6" t="str">
        <f>Regions!A14</f>
        <v>IE-CO</v>
      </c>
      <c r="S5" s="6" t="str">
        <f>Regions!A18</f>
        <v>IE-KY</v>
      </c>
      <c r="T5" s="6" t="str">
        <f>Regions!A23</f>
        <v>IE-LK</v>
      </c>
      <c r="U5" s="6" t="str">
        <f>Regions!A32</f>
        <v>IE-TA</v>
      </c>
      <c r="V5" s="6" t="str">
        <f>Regions!A33</f>
        <v>IE-WD</v>
      </c>
      <c r="W5" s="6" t="str">
        <f>Regions!A17</f>
        <v>IE-G</v>
      </c>
      <c r="X5" s="6" t="str">
        <f>Regions!A22</f>
        <v>IE-LM</v>
      </c>
      <c r="Y5" s="6" t="str">
        <f>Regions!A26</f>
        <v>IE-MO</v>
      </c>
      <c r="Z5" s="6" t="str">
        <f>Regions!A30</f>
        <v>IE-RN</v>
      </c>
      <c r="AA5" s="6" t="str">
        <f>Regions!A31</f>
        <v>IE-SO</v>
      </c>
      <c r="AB5" s="6" t="str">
        <f>Regions!A12</f>
        <v>IE-CN</v>
      </c>
      <c r="AC5" s="6" t="str">
        <f>Regions!A15</f>
        <v>IE-DL</v>
      </c>
      <c r="AD5" s="6" t="str">
        <f>Regions!A28</f>
        <v>IE-MN</v>
      </c>
    </row>
    <row r="6" spans="1:30" x14ac:dyDescent="0.25">
      <c r="A6" t="s">
        <v>36</v>
      </c>
      <c r="C6" s="6" t="str">
        <f>C5</f>
        <v>IE</v>
      </c>
      <c r="D6" s="6" t="str">
        <f>IF(LEFT(D5,1)&lt;&gt;"*","*"&amp;D5,D5)</f>
        <v>*National</v>
      </c>
      <c r="E6" s="6" t="str">
        <f t="shared" ref="E6:AD6" si="0">IF(LEFT(E5,1)&lt;&gt;"*","*"&amp;E5,E5)</f>
        <v>*IE-CW</v>
      </c>
      <c r="F6" s="6" t="str">
        <f t="shared" si="0"/>
        <v>*IE-D</v>
      </c>
      <c r="G6" s="6" t="str">
        <f t="shared" si="0"/>
        <v>*IE-KE</v>
      </c>
      <c r="H6" s="6" t="str">
        <f t="shared" si="0"/>
        <v>*IE-KK</v>
      </c>
      <c r="I6" s="6" t="str">
        <f t="shared" si="0"/>
        <v>*IE-LS</v>
      </c>
      <c r="J6" s="6" t="str">
        <f t="shared" si="0"/>
        <v>*IE-LD</v>
      </c>
      <c r="K6" s="6" t="str">
        <f t="shared" si="0"/>
        <v>*IE-LH</v>
      </c>
      <c r="L6" s="6" t="str">
        <f t="shared" si="0"/>
        <v>*IE-MH</v>
      </c>
      <c r="M6" s="6" t="str">
        <f t="shared" si="0"/>
        <v>*IE-OY</v>
      </c>
      <c r="N6" s="6" t="str">
        <f t="shared" si="0"/>
        <v>*IE-WH</v>
      </c>
      <c r="O6" s="6" t="str">
        <f t="shared" si="0"/>
        <v>*IE-WX</v>
      </c>
      <c r="P6" s="6" t="str">
        <f t="shared" si="0"/>
        <v>*IE-WW</v>
      </c>
      <c r="Q6" s="6" t="str">
        <f t="shared" si="0"/>
        <v>*IE-CE</v>
      </c>
      <c r="R6" s="6" t="str">
        <f t="shared" si="0"/>
        <v>*IE-CO</v>
      </c>
      <c r="S6" s="6" t="str">
        <f t="shared" si="0"/>
        <v>*IE-KY</v>
      </c>
      <c r="T6" s="6" t="str">
        <f t="shared" si="0"/>
        <v>*IE-LK</v>
      </c>
      <c r="U6" s="6" t="str">
        <f t="shared" si="0"/>
        <v>*IE-TA</v>
      </c>
      <c r="V6" s="6" t="str">
        <f t="shared" si="0"/>
        <v>*IE-WD</v>
      </c>
      <c r="W6" s="6" t="str">
        <f t="shared" si="0"/>
        <v>*IE-G</v>
      </c>
      <c r="X6" s="6" t="str">
        <f t="shared" si="0"/>
        <v>*IE-LM</v>
      </c>
      <c r="Y6" s="6" t="str">
        <f t="shared" si="0"/>
        <v>*IE-MO</v>
      </c>
      <c r="Z6" s="6" t="str">
        <f t="shared" si="0"/>
        <v>*IE-RN</v>
      </c>
      <c r="AA6" s="6" t="str">
        <f t="shared" si="0"/>
        <v>*IE-SO</v>
      </c>
      <c r="AB6" s="6" t="str">
        <f t="shared" si="0"/>
        <v>*IE-CN</v>
      </c>
      <c r="AC6" s="6" t="str">
        <f t="shared" si="0"/>
        <v>*IE-DL</v>
      </c>
      <c r="AD6" s="6" t="str">
        <f t="shared" si="0"/>
        <v>*IE-MN</v>
      </c>
    </row>
    <row r="7" spans="1:30" x14ac:dyDescent="0.25">
      <c r="A7" t="s">
        <v>37</v>
      </c>
      <c r="C7" s="6" t="str">
        <f>"*"&amp;C5</f>
        <v>*IE</v>
      </c>
      <c r="D7" s="6" t="str">
        <f>D5</f>
        <v>*National</v>
      </c>
      <c r="E7" s="6" t="str">
        <f t="shared" ref="E7:AD7" si="1">E5</f>
        <v>IE-CW</v>
      </c>
      <c r="F7" s="6" t="str">
        <f t="shared" si="1"/>
        <v>IE-D</v>
      </c>
      <c r="G7" s="6" t="str">
        <f t="shared" si="1"/>
        <v>IE-KE</v>
      </c>
      <c r="H7" s="6" t="str">
        <f t="shared" si="1"/>
        <v>IE-KK</v>
      </c>
      <c r="I7" s="6" t="str">
        <f t="shared" si="1"/>
        <v>IE-LS</v>
      </c>
      <c r="J7" s="6" t="str">
        <f t="shared" si="1"/>
        <v>IE-LD</v>
      </c>
      <c r="K7" s="6" t="str">
        <f t="shared" si="1"/>
        <v>IE-LH</v>
      </c>
      <c r="L7" s="6" t="str">
        <f t="shared" si="1"/>
        <v>IE-MH</v>
      </c>
      <c r="M7" s="6" t="str">
        <f t="shared" si="1"/>
        <v>IE-OY</v>
      </c>
      <c r="N7" s="6" t="str">
        <f t="shared" si="1"/>
        <v>IE-WH</v>
      </c>
      <c r="O7" s="6" t="str">
        <f t="shared" si="1"/>
        <v>IE-WX</v>
      </c>
      <c r="P7" s="6" t="str">
        <f t="shared" si="1"/>
        <v>IE-WW</v>
      </c>
      <c r="Q7" s="6" t="str">
        <f t="shared" si="1"/>
        <v>IE-CE</v>
      </c>
      <c r="R7" s="6" t="str">
        <f t="shared" si="1"/>
        <v>IE-CO</v>
      </c>
      <c r="S7" s="6" t="str">
        <f t="shared" si="1"/>
        <v>IE-KY</v>
      </c>
      <c r="T7" s="6" t="str">
        <f t="shared" si="1"/>
        <v>IE-LK</v>
      </c>
      <c r="U7" s="6" t="str">
        <f t="shared" si="1"/>
        <v>IE-TA</v>
      </c>
      <c r="V7" s="6" t="str">
        <f t="shared" si="1"/>
        <v>IE-WD</v>
      </c>
      <c r="W7" s="6" t="str">
        <f t="shared" si="1"/>
        <v>IE-G</v>
      </c>
      <c r="X7" s="6" t="str">
        <f t="shared" si="1"/>
        <v>IE-LM</v>
      </c>
      <c r="Y7" s="6" t="str">
        <f t="shared" si="1"/>
        <v>IE-MO</v>
      </c>
      <c r="Z7" s="6" t="str">
        <f t="shared" si="1"/>
        <v>IE-RN</v>
      </c>
      <c r="AA7" s="6" t="str">
        <f t="shared" si="1"/>
        <v>IE-SO</v>
      </c>
      <c r="AB7" s="6" t="str">
        <f t="shared" si="1"/>
        <v>IE-CN</v>
      </c>
      <c r="AC7" s="6" t="str">
        <f t="shared" si="1"/>
        <v>IE-DL</v>
      </c>
      <c r="AD7" s="6" t="str">
        <f t="shared" si="1"/>
        <v>IE-MN</v>
      </c>
    </row>
    <row r="10" spans="1:30" ht="15.75" thickBot="1" x14ac:dyDescent="0.3">
      <c r="A10" s="8" t="s">
        <v>38</v>
      </c>
      <c r="B10" s="8" t="s">
        <v>39</v>
      </c>
    </row>
    <row r="11" spans="1:30" x14ac:dyDescent="0.25">
      <c r="A11" s="9" t="s">
        <v>40</v>
      </c>
      <c r="B11" s="9" t="s">
        <v>33</v>
      </c>
    </row>
    <row r="12" spans="1:30" x14ac:dyDescent="0.25">
      <c r="A12" s="10" t="s">
        <v>41</v>
      </c>
      <c r="B12" s="10" t="s">
        <v>32</v>
      </c>
    </row>
    <row r="13" spans="1:30" x14ac:dyDescent="0.25">
      <c r="A13" s="10" t="s">
        <v>42</v>
      </c>
      <c r="B13" s="10" t="s">
        <v>31</v>
      </c>
    </row>
    <row r="14" spans="1:30" x14ac:dyDescent="0.25">
      <c r="A14" s="10" t="s">
        <v>43</v>
      </c>
      <c r="B14" s="10" t="s">
        <v>30</v>
      </c>
    </row>
    <row r="15" spans="1:30" x14ac:dyDescent="0.25">
      <c r="A15" s="10" t="s">
        <v>44</v>
      </c>
      <c r="B15" s="10" t="s">
        <v>29</v>
      </c>
    </row>
    <row r="16" spans="1:30" x14ac:dyDescent="0.25">
      <c r="A16" s="10" t="s">
        <v>45</v>
      </c>
      <c r="B16" s="10" t="s">
        <v>28</v>
      </c>
    </row>
    <row r="17" spans="1:2" x14ac:dyDescent="0.25">
      <c r="A17" s="10" t="s">
        <v>46</v>
      </c>
      <c r="B17" s="10" t="s">
        <v>27</v>
      </c>
    </row>
    <row r="18" spans="1:2" x14ac:dyDescent="0.25">
      <c r="A18" s="10" t="s">
        <v>47</v>
      </c>
      <c r="B18" s="10" t="s">
        <v>26</v>
      </c>
    </row>
    <row r="19" spans="1:2" x14ac:dyDescent="0.25">
      <c r="A19" s="10" t="s">
        <v>48</v>
      </c>
      <c r="B19" s="10" t="s">
        <v>25</v>
      </c>
    </row>
    <row r="20" spans="1:2" x14ac:dyDescent="0.25">
      <c r="A20" s="10" t="s">
        <v>49</v>
      </c>
      <c r="B20" s="10" t="s">
        <v>24</v>
      </c>
    </row>
    <row r="21" spans="1:2" x14ac:dyDescent="0.25">
      <c r="A21" s="10" t="s">
        <v>50</v>
      </c>
      <c r="B21" s="10" t="s">
        <v>23</v>
      </c>
    </row>
    <row r="22" spans="1:2" x14ac:dyDescent="0.25">
      <c r="A22" s="10" t="s">
        <v>51</v>
      </c>
      <c r="B22" s="10" t="s">
        <v>22</v>
      </c>
    </row>
    <row r="23" spans="1:2" x14ac:dyDescent="0.25">
      <c r="A23" s="10" t="s">
        <v>52</v>
      </c>
      <c r="B23" s="10" t="s">
        <v>21</v>
      </c>
    </row>
    <row r="24" spans="1:2" x14ac:dyDescent="0.25">
      <c r="A24" s="10" t="s">
        <v>53</v>
      </c>
      <c r="B24" s="10" t="s">
        <v>20</v>
      </c>
    </row>
    <row r="25" spans="1:2" x14ac:dyDescent="0.25">
      <c r="A25" s="10" t="s">
        <v>54</v>
      </c>
      <c r="B25" s="10" t="s">
        <v>19</v>
      </c>
    </row>
    <row r="26" spans="1:2" x14ac:dyDescent="0.25">
      <c r="A26" s="10" t="s">
        <v>55</v>
      </c>
      <c r="B26" s="10" t="s">
        <v>18</v>
      </c>
    </row>
    <row r="27" spans="1:2" x14ac:dyDescent="0.25">
      <c r="A27" s="10" t="s">
        <v>56</v>
      </c>
      <c r="B27" s="10" t="s">
        <v>17</v>
      </c>
    </row>
    <row r="28" spans="1:2" x14ac:dyDescent="0.25">
      <c r="A28" s="10" t="s">
        <v>57</v>
      </c>
      <c r="B28" s="10" t="s">
        <v>16</v>
      </c>
    </row>
    <row r="29" spans="1:2" x14ac:dyDescent="0.25">
      <c r="A29" s="10" t="s">
        <v>58</v>
      </c>
      <c r="B29" s="10" t="s">
        <v>15</v>
      </c>
    </row>
    <row r="30" spans="1:2" x14ac:dyDescent="0.25">
      <c r="A30" s="10" t="s">
        <v>59</v>
      </c>
      <c r="B30" s="10" t="s">
        <v>14</v>
      </c>
    </row>
    <row r="31" spans="1:2" x14ac:dyDescent="0.25">
      <c r="A31" s="10" t="s">
        <v>60</v>
      </c>
      <c r="B31" s="10" t="s">
        <v>13</v>
      </c>
    </row>
    <row r="32" spans="1:2" x14ac:dyDescent="0.25">
      <c r="A32" s="10" t="s">
        <v>61</v>
      </c>
      <c r="B32" s="10" t="s">
        <v>12</v>
      </c>
    </row>
    <row r="33" spans="1:2" x14ac:dyDescent="0.25">
      <c r="A33" s="10" t="s">
        <v>62</v>
      </c>
      <c r="B33" s="10" t="s">
        <v>11</v>
      </c>
    </row>
    <row r="34" spans="1:2" x14ac:dyDescent="0.25">
      <c r="A34" s="10" t="s">
        <v>63</v>
      </c>
      <c r="B34" s="10" t="s">
        <v>10</v>
      </c>
    </row>
    <row r="35" spans="1:2" x14ac:dyDescent="0.25">
      <c r="A35" s="10" t="s">
        <v>64</v>
      </c>
      <c r="B35" s="10" t="s">
        <v>9</v>
      </c>
    </row>
    <row r="36" spans="1:2" x14ac:dyDescent="0.25">
      <c r="A36" s="10" t="s">
        <v>65</v>
      </c>
      <c r="B36" s="10" t="s">
        <v>8</v>
      </c>
    </row>
    <row r="37" spans="1:2" x14ac:dyDescent="0.25">
      <c r="A37" s="11" t="s">
        <v>66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13"/>
  <sheetViews>
    <sheetView tabSelected="1" topLeftCell="G1" zoomScale="115" zoomScaleNormal="115" workbookViewId="0">
      <selection activeCell="AH18" sqref="AH18"/>
    </sheetView>
  </sheetViews>
  <sheetFormatPr defaultRowHeight="15" x14ac:dyDescent="0.25"/>
  <cols>
    <col min="2" max="2" width="10.28515625" bestFit="1" customWidth="1"/>
    <col min="3" max="3" width="8.7109375" bestFit="1" customWidth="1"/>
    <col min="4" max="4" width="9.5703125" bestFit="1" customWidth="1"/>
    <col min="5" max="5" width="8.28515625" customWidth="1"/>
    <col min="6" max="6" width="6" customWidth="1"/>
    <col min="7" max="7" width="8.28515625" bestFit="1" customWidth="1"/>
    <col min="8" max="8" width="6.42578125" bestFit="1" customWidth="1"/>
    <col min="9" max="9" width="5" bestFit="1" customWidth="1"/>
    <col min="10" max="14" width="5.7109375" bestFit="1" customWidth="1"/>
    <col min="15" max="15" width="6.28515625" bestFit="1" customWidth="1"/>
    <col min="16" max="16" width="5.7109375" bestFit="1" customWidth="1"/>
    <col min="17" max="18" width="6.42578125" bestFit="1" customWidth="1"/>
    <col min="19" max="19" width="7" bestFit="1" customWidth="1"/>
    <col min="20" max="20" width="5.7109375" bestFit="1" customWidth="1"/>
    <col min="21" max="21" width="6" bestFit="1" customWidth="1"/>
    <col min="22" max="24" width="5.7109375" bestFit="1" customWidth="1"/>
    <col min="25" max="25" width="6.42578125" bestFit="1" customWidth="1"/>
    <col min="26" max="26" width="5" bestFit="1" customWidth="1"/>
    <col min="27" max="27" width="6" bestFit="1" customWidth="1"/>
    <col min="28" max="28" width="6.28515625" bestFit="1" customWidth="1"/>
    <col min="29" max="29" width="5.7109375" bestFit="1" customWidth="1"/>
    <col min="30" max="30" width="6" bestFit="1" customWidth="1"/>
    <col min="31" max="32" width="5.7109375" bestFit="1" customWidth="1"/>
    <col min="33" max="33" width="6.28515625" bestFit="1" customWidth="1"/>
    <col min="35" max="35" width="11.28515625" customWidth="1"/>
    <col min="36" max="36" width="12.28515625" customWidth="1"/>
  </cols>
  <sheetData>
    <row r="1" spans="1:39" ht="21.6" customHeight="1" x14ac:dyDescent="0.25">
      <c r="A1" t="s">
        <v>7</v>
      </c>
    </row>
    <row r="2" spans="1:39" x14ac:dyDescent="0.25">
      <c r="B2" s="1" t="s">
        <v>5</v>
      </c>
      <c r="G2" s="2"/>
      <c r="H2" s="2"/>
      <c r="I2" s="2"/>
    </row>
    <row r="3" spans="1:39" ht="15.75" thickBot="1" x14ac:dyDescent="0.3">
      <c r="B3" s="3" t="s">
        <v>6</v>
      </c>
      <c r="C3" s="3" t="s">
        <v>4</v>
      </c>
      <c r="D3" s="3" t="s">
        <v>3</v>
      </c>
      <c r="E3" s="3" t="s">
        <v>1</v>
      </c>
      <c r="F3" s="4" t="str">
        <f>IF(Regions!C3&lt;&gt;"",Regions!C3,"*")</f>
        <v>IE</v>
      </c>
      <c r="G3" s="4" t="str">
        <f>IF(Regions!D3&lt;&gt;"",Regions!D3,"*")</f>
        <v>*</v>
      </c>
      <c r="H3" s="4" t="str">
        <f>IF(Regions!E3&lt;&gt;"",Regions!E3,"*")</f>
        <v>IE-CW</v>
      </c>
      <c r="I3" s="4" t="str">
        <f>IF(Regions!F3&lt;&gt;"",Regions!F3,"*")</f>
        <v>IE-D</v>
      </c>
      <c r="J3" s="4" t="str">
        <f>IF(Regions!G3&lt;&gt;"",Regions!G3,"*")</f>
        <v>IE-KE</v>
      </c>
      <c r="K3" s="4" t="str">
        <f>IF(Regions!H3&lt;&gt;"",Regions!H3,"*")</f>
        <v>IE-KK</v>
      </c>
      <c r="L3" s="4" t="str">
        <f>IF(Regions!I3&lt;&gt;"",Regions!I3,"*")</f>
        <v>IE-LS</v>
      </c>
      <c r="M3" s="4" t="str">
        <f>IF(Regions!J3&lt;&gt;"",Regions!J3,"*")</f>
        <v>IE-LD</v>
      </c>
      <c r="N3" s="4" t="str">
        <f>IF(Regions!K3&lt;&gt;"",Regions!K3,"*")</f>
        <v>IE-LH</v>
      </c>
      <c r="O3" s="4" t="str">
        <f>IF(Regions!L3&lt;&gt;"",Regions!L3,"*")</f>
        <v>IE-MH</v>
      </c>
      <c r="P3" s="4" t="str">
        <f>IF(Regions!M3&lt;&gt;"",Regions!M3,"*")</f>
        <v>IE-OY</v>
      </c>
      <c r="Q3" s="4" t="str">
        <f>IF(Regions!N3&lt;&gt;"",Regions!N3,"*")</f>
        <v>IE-WH</v>
      </c>
      <c r="R3" s="4" t="str">
        <f>IF(Regions!O3&lt;&gt;"",Regions!O3,"*")</f>
        <v>IE-WX</v>
      </c>
      <c r="S3" s="4" t="str">
        <f>IF(Regions!P3&lt;&gt;"",Regions!P3,"*")</f>
        <v>IE-WW</v>
      </c>
      <c r="T3" s="4" t="str">
        <f>IF(Regions!Q3&lt;&gt;"",Regions!Q3,"*")</f>
        <v>IE-CE</v>
      </c>
      <c r="U3" s="4" t="str">
        <f>IF(Regions!R3&lt;&gt;"",Regions!R3,"*")</f>
        <v>IE-CO</v>
      </c>
      <c r="V3" s="4" t="str">
        <f>IF(Regions!S3&lt;&gt;"",Regions!S3,"*")</f>
        <v>IE-KY</v>
      </c>
      <c r="W3" s="4" t="str">
        <f>IF(Regions!T3&lt;&gt;"",Regions!T3,"*")</f>
        <v>IE-LK</v>
      </c>
      <c r="X3" s="4" t="str">
        <f>IF(Regions!U3&lt;&gt;"",Regions!U3,"*")</f>
        <v>IE-TA</v>
      </c>
      <c r="Y3" s="4" t="str">
        <f>IF(Regions!V3&lt;&gt;"",Regions!V3,"*")</f>
        <v>IE-WD</v>
      </c>
      <c r="Z3" s="4" t="str">
        <f>IF(Regions!W3&lt;&gt;"",Regions!W3,"*")</f>
        <v>IE-G</v>
      </c>
      <c r="AA3" s="4" t="str">
        <f>IF(Regions!X3&lt;&gt;"",Regions!X3,"*")</f>
        <v>IE-LM</v>
      </c>
      <c r="AB3" s="4" t="str">
        <f>IF(Regions!Y3&lt;&gt;"",Regions!Y3,"*")</f>
        <v>IE-MO</v>
      </c>
      <c r="AC3" s="4" t="str">
        <f>IF(Regions!Z3&lt;&gt;"",Regions!Z3,"*")</f>
        <v>IE-RN</v>
      </c>
      <c r="AD3" s="4" t="str">
        <f>IF(Regions!AA3&lt;&gt;"",Regions!AA3,"*")</f>
        <v>IE-SO</v>
      </c>
      <c r="AE3" s="4" t="str">
        <f>IF(Regions!AB3&lt;&gt;"",Regions!AB3,"*")</f>
        <v>IE-CN</v>
      </c>
      <c r="AF3" s="4" t="str">
        <f>IF(Regions!AC3&lt;&gt;"",Regions!AC3,"*")</f>
        <v>IE-DL</v>
      </c>
      <c r="AG3" s="4" t="str">
        <f>IF(Regions!AD3&lt;&gt;"",Regions!AD3,"*")</f>
        <v>IE-MN</v>
      </c>
      <c r="AH3" s="5" t="s">
        <v>0</v>
      </c>
      <c r="AI3" s="5" t="s">
        <v>2</v>
      </c>
      <c r="AJ3" s="5" t="s">
        <v>69</v>
      </c>
      <c r="AK3" s="5" t="s">
        <v>71</v>
      </c>
      <c r="AL3" s="29" t="s">
        <v>95</v>
      </c>
    </row>
    <row r="4" spans="1:39" x14ac:dyDescent="0.25">
      <c r="D4" t="s">
        <v>67</v>
      </c>
      <c r="F4">
        <v>69.3</v>
      </c>
      <c r="G4">
        <f>$F4</f>
        <v>69.3</v>
      </c>
      <c r="H4">
        <f t="shared" ref="H4:AG10" si="0">$F4</f>
        <v>69.3</v>
      </c>
      <c r="I4">
        <f t="shared" si="0"/>
        <v>69.3</v>
      </c>
      <c r="J4">
        <f t="shared" si="0"/>
        <v>69.3</v>
      </c>
      <c r="K4">
        <f t="shared" si="0"/>
        <v>69.3</v>
      </c>
      <c r="L4">
        <f t="shared" si="0"/>
        <v>69.3</v>
      </c>
      <c r="M4">
        <f t="shared" si="0"/>
        <v>69.3</v>
      </c>
      <c r="N4">
        <f t="shared" si="0"/>
        <v>69.3</v>
      </c>
      <c r="O4">
        <f t="shared" si="0"/>
        <v>69.3</v>
      </c>
      <c r="P4">
        <f t="shared" si="0"/>
        <v>69.3</v>
      </c>
      <c r="Q4">
        <f t="shared" si="0"/>
        <v>69.3</v>
      </c>
      <c r="R4">
        <f t="shared" si="0"/>
        <v>69.3</v>
      </c>
      <c r="S4">
        <f t="shared" si="0"/>
        <v>69.3</v>
      </c>
      <c r="T4">
        <f t="shared" si="0"/>
        <v>69.3</v>
      </c>
      <c r="U4">
        <f t="shared" si="0"/>
        <v>69.3</v>
      </c>
      <c r="V4">
        <f t="shared" si="0"/>
        <v>69.3</v>
      </c>
      <c r="W4">
        <f t="shared" si="0"/>
        <v>69.3</v>
      </c>
      <c r="X4">
        <f t="shared" si="0"/>
        <v>69.3</v>
      </c>
      <c r="Y4">
        <f t="shared" si="0"/>
        <v>69.3</v>
      </c>
      <c r="Z4">
        <f t="shared" si="0"/>
        <v>69.3</v>
      </c>
      <c r="AA4">
        <f t="shared" si="0"/>
        <v>69.3</v>
      </c>
      <c r="AB4">
        <f t="shared" si="0"/>
        <v>69.3</v>
      </c>
      <c r="AC4">
        <f t="shared" si="0"/>
        <v>69.3</v>
      </c>
      <c r="AD4">
        <f t="shared" si="0"/>
        <v>69.3</v>
      </c>
      <c r="AE4">
        <f t="shared" si="0"/>
        <v>69.3</v>
      </c>
      <c r="AF4">
        <f t="shared" si="0"/>
        <v>69.3</v>
      </c>
      <c r="AG4">
        <f t="shared" si="0"/>
        <v>69.3</v>
      </c>
      <c r="AH4" t="str">
        <f>AJ4</f>
        <v>TRAGSL</v>
      </c>
      <c r="AI4" t="s">
        <v>76</v>
      </c>
      <c r="AJ4" t="s">
        <v>68</v>
      </c>
      <c r="AK4" s="12" t="s">
        <v>70</v>
      </c>
      <c r="AL4" s="28" t="s">
        <v>98</v>
      </c>
    </row>
    <row r="5" spans="1:39" x14ac:dyDescent="0.25">
      <c r="D5" t="s">
        <v>67</v>
      </c>
      <c r="F5">
        <v>74.099999999999994</v>
      </c>
      <c r="G5">
        <f t="shared" ref="G5:V10" si="1">$F5</f>
        <v>74.099999999999994</v>
      </c>
      <c r="H5">
        <f t="shared" si="1"/>
        <v>74.099999999999994</v>
      </c>
      <c r="I5">
        <f t="shared" si="1"/>
        <v>74.099999999999994</v>
      </c>
      <c r="J5">
        <f t="shared" si="1"/>
        <v>74.099999999999994</v>
      </c>
      <c r="K5">
        <f t="shared" si="1"/>
        <v>74.099999999999994</v>
      </c>
      <c r="L5">
        <f t="shared" si="1"/>
        <v>74.099999999999994</v>
      </c>
      <c r="M5">
        <f t="shared" si="1"/>
        <v>74.099999999999994</v>
      </c>
      <c r="N5">
        <f t="shared" si="1"/>
        <v>74.099999999999994</v>
      </c>
      <c r="O5">
        <f t="shared" si="1"/>
        <v>74.099999999999994</v>
      </c>
      <c r="P5">
        <f t="shared" si="1"/>
        <v>74.099999999999994</v>
      </c>
      <c r="Q5">
        <f t="shared" si="1"/>
        <v>74.099999999999994</v>
      </c>
      <c r="R5">
        <f t="shared" si="1"/>
        <v>74.099999999999994</v>
      </c>
      <c r="S5">
        <f t="shared" si="1"/>
        <v>74.099999999999994</v>
      </c>
      <c r="T5">
        <f t="shared" si="1"/>
        <v>74.099999999999994</v>
      </c>
      <c r="U5">
        <f t="shared" si="1"/>
        <v>74.099999999999994</v>
      </c>
      <c r="V5">
        <f t="shared" si="1"/>
        <v>74.099999999999994</v>
      </c>
      <c r="W5">
        <f t="shared" si="0"/>
        <v>74.099999999999994</v>
      </c>
      <c r="X5">
        <f t="shared" si="0"/>
        <v>74.099999999999994</v>
      </c>
      <c r="Y5">
        <f t="shared" si="0"/>
        <v>74.099999999999994</v>
      </c>
      <c r="Z5">
        <f t="shared" si="0"/>
        <v>74.099999999999994</v>
      </c>
      <c r="AA5">
        <f t="shared" si="0"/>
        <v>74.099999999999994</v>
      </c>
      <c r="AB5">
        <f t="shared" si="0"/>
        <v>74.099999999999994</v>
      </c>
      <c r="AC5">
        <f t="shared" si="0"/>
        <v>74.099999999999994</v>
      </c>
      <c r="AD5">
        <f t="shared" si="0"/>
        <v>74.099999999999994</v>
      </c>
      <c r="AE5">
        <f t="shared" si="0"/>
        <v>74.099999999999994</v>
      </c>
      <c r="AF5">
        <f t="shared" si="0"/>
        <v>74.099999999999994</v>
      </c>
      <c r="AG5">
        <f t="shared" si="0"/>
        <v>74.099999999999994</v>
      </c>
      <c r="AH5" t="str">
        <f t="shared" ref="AH5:AH8" si="2">AJ5</f>
        <v>TRADST</v>
      </c>
      <c r="AI5" t="s">
        <v>76</v>
      </c>
      <c r="AJ5" t="s">
        <v>72</v>
      </c>
      <c r="AK5" s="12" t="s">
        <v>70</v>
      </c>
      <c r="AL5" s="28" t="s">
        <v>98</v>
      </c>
    </row>
    <row r="6" spans="1:39" x14ac:dyDescent="0.25">
      <c r="D6" t="s">
        <v>67</v>
      </c>
      <c r="F6">
        <v>56.1</v>
      </c>
      <c r="G6">
        <f t="shared" si="1"/>
        <v>56.1</v>
      </c>
      <c r="H6">
        <f t="shared" si="0"/>
        <v>56.1</v>
      </c>
      <c r="I6">
        <f t="shared" si="0"/>
        <v>56.1</v>
      </c>
      <c r="J6">
        <f t="shared" si="0"/>
        <v>56.1</v>
      </c>
      <c r="K6">
        <f t="shared" si="0"/>
        <v>56.1</v>
      </c>
      <c r="L6">
        <f t="shared" si="0"/>
        <v>56.1</v>
      </c>
      <c r="M6">
        <f t="shared" si="0"/>
        <v>56.1</v>
      </c>
      <c r="N6">
        <f t="shared" si="0"/>
        <v>56.1</v>
      </c>
      <c r="O6">
        <f t="shared" si="0"/>
        <v>56.1</v>
      </c>
      <c r="P6">
        <f t="shared" si="0"/>
        <v>56.1</v>
      </c>
      <c r="Q6">
        <f t="shared" si="0"/>
        <v>56.1</v>
      </c>
      <c r="R6">
        <f t="shared" si="0"/>
        <v>56.1</v>
      </c>
      <c r="S6">
        <f t="shared" si="0"/>
        <v>56.1</v>
      </c>
      <c r="T6">
        <f t="shared" si="0"/>
        <v>56.1</v>
      </c>
      <c r="U6">
        <f t="shared" si="0"/>
        <v>56.1</v>
      </c>
      <c r="V6">
        <f t="shared" si="0"/>
        <v>56.1</v>
      </c>
      <c r="W6">
        <f t="shared" si="0"/>
        <v>56.1</v>
      </c>
      <c r="X6">
        <f t="shared" si="0"/>
        <v>56.1</v>
      </c>
      <c r="Y6">
        <f t="shared" si="0"/>
        <v>56.1</v>
      </c>
      <c r="Z6">
        <f t="shared" si="0"/>
        <v>56.1</v>
      </c>
      <c r="AA6">
        <f t="shared" si="0"/>
        <v>56.1</v>
      </c>
      <c r="AB6">
        <f t="shared" si="0"/>
        <v>56.1</v>
      </c>
      <c r="AC6">
        <f t="shared" si="0"/>
        <v>56.1</v>
      </c>
      <c r="AD6">
        <f t="shared" si="0"/>
        <v>56.1</v>
      </c>
      <c r="AE6">
        <f t="shared" si="0"/>
        <v>56.1</v>
      </c>
      <c r="AF6">
        <f t="shared" si="0"/>
        <v>56.1</v>
      </c>
      <c r="AG6">
        <f t="shared" si="0"/>
        <v>56.1</v>
      </c>
      <c r="AH6" t="str">
        <f t="shared" si="2"/>
        <v>TRACNG</v>
      </c>
      <c r="AI6" t="s">
        <v>76</v>
      </c>
      <c r="AJ6" t="s">
        <v>73</v>
      </c>
      <c r="AK6" s="12" t="s">
        <v>70</v>
      </c>
      <c r="AL6" s="28" t="s">
        <v>98</v>
      </c>
    </row>
    <row r="7" spans="1:39" x14ac:dyDescent="0.25">
      <c r="D7" t="s">
        <v>67</v>
      </c>
      <c r="F7">
        <v>56.1</v>
      </c>
      <c r="G7">
        <f t="shared" si="1"/>
        <v>56.1</v>
      </c>
      <c r="H7">
        <f t="shared" si="0"/>
        <v>56.1</v>
      </c>
      <c r="I7">
        <f t="shared" si="0"/>
        <v>56.1</v>
      </c>
      <c r="J7">
        <f t="shared" si="0"/>
        <v>56.1</v>
      </c>
      <c r="K7">
        <f t="shared" si="0"/>
        <v>56.1</v>
      </c>
      <c r="L7">
        <f t="shared" si="0"/>
        <v>56.1</v>
      </c>
      <c r="M7">
        <f t="shared" si="0"/>
        <v>56.1</v>
      </c>
      <c r="N7">
        <f t="shared" si="0"/>
        <v>56.1</v>
      </c>
      <c r="O7">
        <f t="shared" si="0"/>
        <v>56.1</v>
      </c>
      <c r="P7">
        <f t="shared" si="0"/>
        <v>56.1</v>
      </c>
      <c r="Q7">
        <f t="shared" si="0"/>
        <v>56.1</v>
      </c>
      <c r="R7">
        <f t="shared" si="0"/>
        <v>56.1</v>
      </c>
      <c r="S7">
        <f t="shared" si="0"/>
        <v>56.1</v>
      </c>
      <c r="T7">
        <f t="shared" si="0"/>
        <v>56.1</v>
      </c>
      <c r="U7">
        <f t="shared" si="0"/>
        <v>56.1</v>
      </c>
      <c r="V7">
        <f t="shared" si="0"/>
        <v>56.1</v>
      </c>
      <c r="W7">
        <f t="shared" si="0"/>
        <v>56.1</v>
      </c>
      <c r="X7">
        <f t="shared" si="0"/>
        <v>56.1</v>
      </c>
      <c r="Y7">
        <f t="shared" si="0"/>
        <v>56.1</v>
      </c>
      <c r="Z7">
        <f t="shared" si="0"/>
        <v>56.1</v>
      </c>
      <c r="AA7">
        <f t="shared" si="0"/>
        <v>56.1</v>
      </c>
      <c r="AB7">
        <f t="shared" si="0"/>
        <v>56.1</v>
      </c>
      <c r="AC7">
        <f t="shared" si="0"/>
        <v>56.1</v>
      </c>
      <c r="AD7">
        <f t="shared" si="0"/>
        <v>56.1</v>
      </c>
      <c r="AE7">
        <f t="shared" si="0"/>
        <v>56.1</v>
      </c>
      <c r="AF7">
        <f t="shared" si="0"/>
        <v>56.1</v>
      </c>
      <c r="AG7">
        <f t="shared" si="0"/>
        <v>56.1</v>
      </c>
      <c r="AH7" t="str">
        <f t="shared" si="2"/>
        <v>TRALNG</v>
      </c>
      <c r="AI7" t="s">
        <v>76</v>
      </c>
      <c r="AJ7" t="s">
        <v>74</v>
      </c>
      <c r="AK7" s="12" t="s">
        <v>70</v>
      </c>
      <c r="AL7" s="28" t="s">
        <v>98</v>
      </c>
    </row>
    <row r="8" spans="1:39" x14ac:dyDescent="0.25">
      <c r="D8" t="s">
        <v>67</v>
      </c>
      <c r="F8">
        <v>71.900000000000006</v>
      </c>
      <c r="G8">
        <f t="shared" si="1"/>
        <v>71.900000000000006</v>
      </c>
      <c r="H8">
        <f t="shared" si="0"/>
        <v>71.900000000000006</v>
      </c>
      <c r="I8">
        <f t="shared" si="0"/>
        <v>71.900000000000006</v>
      </c>
      <c r="J8">
        <f t="shared" si="0"/>
        <v>71.900000000000006</v>
      </c>
      <c r="K8">
        <f t="shared" si="0"/>
        <v>71.900000000000006</v>
      </c>
      <c r="L8">
        <f t="shared" si="0"/>
        <v>71.900000000000006</v>
      </c>
      <c r="M8">
        <f t="shared" si="0"/>
        <v>71.900000000000006</v>
      </c>
      <c r="N8">
        <f t="shared" si="0"/>
        <v>71.900000000000006</v>
      </c>
      <c r="O8">
        <f t="shared" si="0"/>
        <v>71.900000000000006</v>
      </c>
      <c r="P8">
        <f t="shared" si="0"/>
        <v>71.900000000000006</v>
      </c>
      <c r="Q8">
        <f t="shared" si="0"/>
        <v>71.900000000000006</v>
      </c>
      <c r="R8">
        <f t="shared" si="0"/>
        <v>71.900000000000006</v>
      </c>
      <c r="S8">
        <f t="shared" si="0"/>
        <v>71.900000000000006</v>
      </c>
      <c r="T8">
        <f t="shared" si="0"/>
        <v>71.900000000000006</v>
      </c>
      <c r="U8">
        <f t="shared" si="0"/>
        <v>71.900000000000006</v>
      </c>
      <c r="V8">
        <f t="shared" si="0"/>
        <v>71.900000000000006</v>
      </c>
      <c r="W8">
        <f t="shared" si="0"/>
        <v>71.900000000000006</v>
      </c>
      <c r="X8">
        <f t="shared" si="0"/>
        <v>71.900000000000006</v>
      </c>
      <c r="Y8">
        <f t="shared" si="0"/>
        <v>71.900000000000006</v>
      </c>
      <c r="Z8">
        <f t="shared" si="0"/>
        <v>71.900000000000006</v>
      </c>
      <c r="AA8">
        <f t="shared" si="0"/>
        <v>71.900000000000006</v>
      </c>
      <c r="AB8">
        <f t="shared" si="0"/>
        <v>71.900000000000006</v>
      </c>
      <c r="AC8">
        <f t="shared" si="0"/>
        <v>71.900000000000006</v>
      </c>
      <c r="AD8">
        <f t="shared" si="0"/>
        <v>71.900000000000006</v>
      </c>
      <c r="AE8">
        <f t="shared" si="0"/>
        <v>71.900000000000006</v>
      </c>
      <c r="AF8">
        <f t="shared" si="0"/>
        <v>71.900000000000006</v>
      </c>
      <c r="AG8">
        <f t="shared" si="0"/>
        <v>71.900000000000006</v>
      </c>
      <c r="AH8" t="str">
        <f t="shared" si="2"/>
        <v>TRAKER</v>
      </c>
      <c r="AI8" t="s">
        <v>76</v>
      </c>
      <c r="AJ8" t="s">
        <v>75</v>
      </c>
      <c r="AK8" s="12" t="s">
        <v>70</v>
      </c>
      <c r="AL8" s="28" t="s">
        <v>98</v>
      </c>
    </row>
    <row r="9" spans="1:39" x14ac:dyDescent="0.25">
      <c r="D9" t="s">
        <v>67</v>
      </c>
      <c r="F9">
        <v>74.099999999999994</v>
      </c>
      <c r="G9">
        <f t="shared" si="1"/>
        <v>74.099999999999994</v>
      </c>
      <c r="H9">
        <f t="shared" si="1"/>
        <v>74.099999999999994</v>
      </c>
      <c r="I9">
        <f t="shared" si="1"/>
        <v>74.099999999999994</v>
      </c>
      <c r="J9">
        <f t="shared" si="1"/>
        <v>74.099999999999994</v>
      </c>
      <c r="K9">
        <f t="shared" si="1"/>
        <v>74.099999999999994</v>
      </c>
      <c r="L9">
        <f t="shared" si="1"/>
        <v>74.099999999999994</v>
      </c>
      <c r="M9">
        <f t="shared" si="1"/>
        <v>74.099999999999994</v>
      </c>
      <c r="N9">
        <f t="shared" si="1"/>
        <v>74.099999999999994</v>
      </c>
      <c r="O9">
        <f t="shared" si="1"/>
        <v>74.099999999999994</v>
      </c>
      <c r="P9">
        <f t="shared" si="1"/>
        <v>74.099999999999994</v>
      </c>
      <c r="Q9">
        <f t="shared" si="1"/>
        <v>74.099999999999994</v>
      </c>
      <c r="R9">
        <f t="shared" si="1"/>
        <v>74.099999999999994</v>
      </c>
      <c r="S9">
        <f t="shared" si="1"/>
        <v>74.099999999999994</v>
      </c>
      <c r="T9">
        <f t="shared" si="1"/>
        <v>74.099999999999994</v>
      </c>
      <c r="U9">
        <f t="shared" si="1"/>
        <v>74.099999999999994</v>
      </c>
      <c r="V9">
        <f t="shared" si="1"/>
        <v>74.099999999999994</v>
      </c>
      <c r="W9">
        <f t="shared" si="0"/>
        <v>74.099999999999994</v>
      </c>
      <c r="X9">
        <f t="shared" si="0"/>
        <v>74.099999999999994</v>
      </c>
      <c r="Y9">
        <f t="shared" si="0"/>
        <v>74.099999999999994</v>
      </c>
      <c r="Z9">
        <f t="shared" si="0"/>
        <v>74.099999999999994</v>
      </c>
      <c r="AA9">
        <f t="shared" si="0"/>
        <v>74.099999999999994</v>
      </c>
      <c r="AB9">
        <f t="shared" si="0"/>
        <v>74.099999999999994</v>
      </c>
      <c r="AC9">
        <f t="shared" si="0"/>
        <v>74.099999999999994</v>
      </c>
      <c r="AD9">
        <f t="shared" si="0"/>
        <v>74.099999999999994</v>
      </c>
      <c r="AE9">
        <f t="shared" si="0"/>
        <v>74.099999999999994</v>
      </c>
      <c r="AF9">
        <f t="shared" si="0"/>
        <v>74.099999999999994</v>
      </c>
      <c r="AG9">
        <f t="shared" si="0"/>
        <v>74.099999999999994</v>
      </c>
      <c r="AH9" t="s">
        <v>72</v>
      </c>
      <c r="AI9" t="s">
        <v>96</v>
      </c>
      <c r="AJ9" t="s">
        <v>72</v>
      </c>
      <c r="AK9" s="12" t="s">
        <v>70</v>
      </c>
      <c r="AL9" t="s">
        <v>97</v>
      </c>
    </row>
    <row r="10" spans="1:39" x14ac:dyDescent="0.25">
      <c r="D10" t="s">
        <v>67</v>
      </c>
      <c r="F10">
        <v>71.900000000000006</v>
      </c>
      <c r="G10">
        <f t="shared" si="1"/>
        <v>71.900000000000006</v>
      </c>
      <c r="H10">
        <f t="shared" si="0"/>
        <v>71.900000000000006</v>
      </c>
      <c r="I10">
        <f t="shared" si="0"/>
        <v>71.900000000000006</v>
      </c>
      <c r="J10">
        <f t="shared" si="0"/>
        <v>71.900000000000006</v>
      </c>
      <c r="K10">
        <f t="shared" si="0"/>
        <v>71.900000000000006</v>
      </c>
      <c r="L10">
        <f t="shared" si="0"/>
        <v>71.900000000000006</v>
      </c>
      <c r="M10">
        <f t="shared" si="0"/>
        <v>71.900000000000006</v>
      </c>
      <c r="N10">
        <f t="shared" si="0"/>
        <v>71.900000000000006</v>
      </c>
      <c r="O10">
        <f t="shared" si="0"/>
        <v>71.900000000000006</v>
      </c>
      <c r="P10">
        <f t="shared" si="0"/>
        <v>71.900000000000006</v>
      </c>
      <c r="Q10">
        <f t="shared" si="0"/>
        <v>71.900000000000006</v>
      </c>
      <c r="R10">
        <f t="shared" si="0"/>
        <v>71.900000000000006</v>
      </c>
      <c r="S10">
        <f t="shared" si="0"/>
        <v>71.900000000000006</v>
      </c>
      <c r="T10">
        <f t="shared" si="0"/>
        <v>71.900000000000006</v>
      </c>
      <c r="U10">
        <f t="shared" si="0"/>
        <v>71.900000000000006</v>
      </c>
      <c r="V10">
        <f t="shared" si="0"/>
        <v>71.900000000000006</v>
      </c>
      <c r="W10">
        <f t="shared" si="0"/>
        <v>71.900000000000006</v>
      </c>
      <c r="X10">
        <f t="shared" si="0"/>
        <v>71.900000000000006</v>
      </c>
      <c r="Y10">
        <f t="shared" si="0"/>
        <v>71.900000000000006</v>
      </c>
      <c r="Z10">
        <f t="shared" si="0"/>
        <v>71.900000000000006</v>
      </c>
      <c r="AA10">
        <f t="shared" si="0"/>
        <v>71.900000000000006</v>
      </c>
      <c r="AB10">
        <f t="shared" si="0"/>
        <v>71.900000000000006</v>
      </c>
      <c r="AC10">
        <f t="shared" si="0"/>
        <v>71.900000000000006</v>
      </c>
      <c r="AD10">
        <f t="shared" si="0"/>
        <v>71.900000000000006</v>
      </c>
      <c r="AE10">
        <f t="shared" si="0"/>
        <v>71.900000000000006</v>
      </c>
      <c r="AF10">
        <f t="shared" si="0"/>
        <v>71.900000000000006</v>
      </c>
      <c r="AG10">
        <f t="shared" si="0"/>
        <v>71.900000000000006</v>
      </c>
      <c r="AH10" t="s">
        <v>75</v>
      </c>
      <c r="AI10" t="s">
        <v>96</v>
      </c>
      <c r="AJ10" t="s">
        <v>75</v>
      </c>
      <c r="AK10" s="12" t="s">
        <v>70</v>
      </c>
      <c r="AL10" t="s">
        <v>97</v>
      </c>
    </row>
    <row r="11" spans="1:39" x14ac:dyDescent="0.25">
      <c r="D11" s="30" t="s">
        <v>67</v>
      </c>
      <c r="E11" s="30"/>
      <c r="F11" s="30">
        <f>(7.4+11.6)/2</f>
        <v>9.5</v>
      </c>
      <c r="G11" s="30">
        <f t="shared" ref="G11:AG11" si="3">(7.4+11.6)/2</f>
        <v>9.5</v>
      </c>
      <c r="H11" s="30">
        <f t="shared" si="3"/>
        <v>9.5</v>
      </c>
      <c r="I11" s="30">
        <f t="shared" si="3"/>
        <v>9.5</v>
      </c>
      <c r="J11" s="30">
        <f t="shared" si="3"/>
        <v>9.5</v>
      </c>
      <c r="K11" s="30">
        <f t="shared" si="3"/>
        <v>9.5</v>
      </c>
      <c r="L11" s="30">
        <f t="shared" si="3"/>
        <v>9.5</v>
      </c>
      <c r="M11" s="30">
        <f t="shared" si="3"/>
        <v>9.5</v>
      </c>
      <c r="N11" s="30">
        <f t="shared" si="3"/>
        <v>9.5</v>
      </c>
      <c r="O11" s="30">
        <f t="shared" si="3"/>
        <v>9.5</v>
      </c>
      <c r="P11" s="30">
        <f t="shared" si="3"/>
        <v>9.5</v>
      </c>
      <c r="Q11" s="30">
        <f t="shared" si="3"/>
        <v>9.5</v>
      </c>
      <c r="R11" s="30">
        <f t="shared" si="3"/>
        <v>9.5</v>
      </c>
      <c r="S11" s="30">
        <f t="shared" si="3"/>
        <v>9.5</v>
      </c>
      <c r="T11" s="30">
        <f t="shared" si="3"/>
        <v>9.5</v>
      </c>
      <c r="U11" s="30">
        <f t="shared" si="3"/>
        <v>9.5</v>
      </c>
      <c r="V11" s="30">
        <f t="shared" si="3"/>
        <v>9.5</v>
      </c>
      <c r="W11" s="30">
        <f t="shared" si="3"/>
        <v>9.5</v>
      </c>
      <c r="X11" s="30">
        <f t="shared" si="3"/>
        <v>9.5</v>
      </c>
      <c r="Y11" s="30">
        <f t="shared" si="3"/>
        <v>9.5</v>
      </c>
      <c r="Z11" s="30">
        <f t="shared" si="3"/>
        <v>9.5</v>
      </c>
      <c r="AA11" s="30">
        <f t="shared" si="3"/>
        <v>9.5</v>
      </c>
      <c r="AB11" s="30">
        <f t="shared" si="3"/>
        <v>9.5</v>
      </c>
      <c r="AC11" s="30">
        <f t="shared" si="3"/>
        <v>9.5</v>
      </c>
      <c r="AD11" s="30">
        <f t="shared" si="3"/>
        <v>9.5</v>
      </c>
      <c r="AE11" s="30">
        <f t="shared" si="3"/>
        <v>9.5</v>
      </c>
      <c r="AF11" s="30">
        <f t="shared" si="3"/>
        <v>9.5</v>
      </c>
      <c r="AG11" s="30">
        <f t="shared" si="3"/>
        <v>9.5</v>
      </c>
      <c r="AH11" s="30" t="s">
        <v>100</v>
      </c>
      <c r="AI11" s="30" t="s">
        <v>76</v>
      </c>
      <c r="AJ11" s="30" t="s">
        <v>100</v>
      </c>
      <c r="AK11" s="31" t="s">
        <v>70</v>
      </c>
      <c r="AL11" s="30" t="s">
        <v>101</v>
      </c>
      <c r="AM11" s="30"/>
    </row>
    <row r="13" spans="1:39" x14ac:dyDescent="0.25">
      <c r="E13" t="s">
        <v>99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Regions</vt:lpstr>
      <vt:lpstr>Emissions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2026-08-05T15:19:43Z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193719804286956</vt:r8>
  </property>
</Properties>
</file>