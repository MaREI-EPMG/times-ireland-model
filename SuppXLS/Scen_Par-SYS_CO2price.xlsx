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6A379DED-1777-44D2-9C57-3539F3A8AF1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ver" sheetId="24" r:id="rId1"/>
    <sheet name="Regions" sheetId="15" r:id="rId2"/>
    <sheet name="config" sheetId="20" r:id="rId3"/>
    <sheet name="CO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" i="23" l="1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32" i="20"/>
  <c r="J22" i="20"/>
  <c r="J23" i="20"/>
  <c r="J24" i="20"/>
  <c r="J25" i="20"/>
  <c r="J26" i="20"/>
  <c r="J27" i="20"/>
  <c r="J28" i="20"/>
  <c r="J29" i="20"/>
  <c r="J30" i="20"/>
  <c r="J21" i="20"/>
  <c r="J18" i="20"/>
  <c r="J19" i="20"/>
  <c r="J1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<sst xmlns="http://schemas.openxmlformats.org/spreadsheetml/2006/main" count="95" uniqueCount="89">
  <si>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</si>
  <si>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</si>
  <si>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</si>
  <si>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</si>
  <si>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</si>
  <si>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</si>
  <si>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</si>
  <si>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</si>
  <si>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</si>
  <si>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</si>
  <si>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</si>
  <si>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</si>
  <si>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</si>
  <si>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</si>
  <si>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</si>
  <si>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</si>
  <si>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</si>
  <si>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</si>
  <si>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</si>
  <si>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</si>
  <si>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</si>
  <si>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</si>
  <si>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</si>
  <si>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</si>
  <si>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</si>
  <si>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</si>
  <si>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</si>
  <si>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</si>
  <si>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</si>
  <si>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</si>
  <si>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</si>
  <si>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</si>
  <si>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</si>
  <si>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</si>
  <si>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</si>
  <si>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</si>
  <si>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</si>
  <si>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</si>
  <si>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</si>
  <si>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</si>
  <si>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</si>
  <si>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</si>
  <si>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</si>
  <si>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</si>
  <si>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</si>
  <si>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</si>
  <si>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</si>
  <si>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</si>
  <si>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</si>
  <si>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</si>
  <si>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</si>
  <si>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</si>
  <si>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</si>
  <si>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</si>
  <si>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</si>
  <si>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</si>
  <si>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</si>
  <si>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</si>
  <si>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</si>
  <si>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</si>
  <si>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</si>
  <si>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</si>
  <si>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</si>
  <si>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</si>
  <si>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</si>
  <si>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~InputCell:1-4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</si>
  <si>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</si>
  <si>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</si>
  <si>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</si>
  <si>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</si>
  <si>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</si>
  <si>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</si>
  <si>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</si>
  <si>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</si>
  <si>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</si>
  <si>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</si>
  <si>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</si>
  <si>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</si>
  <si>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</si>
  <si>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</si>
  <si>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</si>
  <si>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</si>
  <si>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Carbon tax, non-ETS</t>
  </si>
  <si>
    <t>Carbon price, ETS</t>
  </si>
  <si>
    <t>~TFM_INS-TS</t>
  </si>
  <si>
    <t>region</t>
  </si>
  <si>
    <t>AGRCO2N,NOETSCO2,RSDCO2,SRVCO2N,TRACO2N</t>
  </si>
  <si>
    <t>ETSCO2,INDCO2P</t>
  </si>
  <si>
    <t>COM_TAXNET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</si>
</sst>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9" fontId="0" fillId="0" borderId="0" xfId="0" applyNumberFormat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  <xf numFmtId="166" fontId="0" fillId="0" borderId="0" xfId="0" applyNumberFormat="1"/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81640625" defaultRowHeight="14.5" x14ac:dyDescent="0.3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5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5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5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5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5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5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5">
      <c r="A16" s="28" t="s">
        <v>66</v>
      </c>
      <c r="B16" s="28"/>
      <c r="C16" s="28"/>
      <c r="D16" s="28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5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5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5">
      <c r="A19" s="18" t="s">
        <v>67</v>
      </c>
      <c r="B19" s="27" t="s">
        <v>78</v>
      </c>
      <c r="C19" s="27"/>
      <c r="D19" s="27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5">
      <c r="A20" s="18" t="s">
        <v>68</v>
      </c>
      <c r="B20" s="27" t="s">
        <v>79</v>
      </c>
      <c r="C20" s="27"/>
      <c r="D20" s="27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5">
      <c r="A21" s="18" t="s">
        <v>69</v>
      </c>
      <c r="B21" s="21" t="s">
        <v>81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5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5">
      <c r="A23" s="18" t="s">
        <v>70</v>
      </c>
      <c r="B23" s="27" t="s">
        <v>80</v>
      </c>
      <c r="C23" s="27"/>
      <c r="D23" s="27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5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5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5">
      <c r="A26" s="18" t="s">
        <v>71</v>
      </c>
      <c r="B26" s="27" t="s">
        <v>80</v>
      </c>
      <c r="C26" s="27"/>
      <c r="D26" s="2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5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5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5">
      <c r="A29" s="18" t="s">
        <v>72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5">
      <c r="A30" s="18" t="s">
        <v>73</v>
      </c>
      <c r="B30" s="29" t="s">
        <v>74</v>
      </c>
      <c r="C30" s="27"/>
      <c r="D30" s="27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5">
      <c r="A31" s="18" t="s">
        <v>75</v>
      </c>
      <c r="B31" s="27" t="s">
        <v>76</v>
      </c>
      <c r="C31" s="27"/>
      <c r="D31" s="27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5">
      <c r="A32" s="24"/>
      <c r="B32" s="25" t="s">
        <v>77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796875" defaultRowHeight="14.5" x14ac:dyDescent="0.3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17968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17968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17968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 x14ac:dyDescent="0.3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4">
      <c r="A10" s="3" t="s">
        <v>32</v>
      </c>
      <c r="B10" s="3" t="s">
        <v>33</v>
      </c>
    </row>
    <row r="11" spans="1:30" x14ac:dyDescent="0.35">
      <c r="A11" s="4" t="s">
        <v>34</v>
      </c>
      <c r="B11" s="4" t="s">
        <v>26</v>
      </c>
    </row>
    <row r="12" spans="1:30" x14ac:dyDescent="0.35">
      <c r="A12" s="5" t="s">
        <v>35</v>
      </c>
      <c r="B12" s="5" t="s">
        <v>25</v>
      </c>
    </row>
    <row r="13" spans="1:30" x14ac:dyDescent="0.35">
      <c r="A13" s="5" t="s">
        <v>36</v>
      </c>
      <c r="B13" s="5" t="s">
        <v>24</v>
      </c>
    </row>
    <row r="14" spans="1:30" x14ac:dyDescent="0.35">
      <c r="A14" s="5" t="s">
        <v>37</v>
      </c>
      <c r="B14" s="5" t="s">
        <v>23</v>
      </c>
    </row>
    <row r="15" spans="1:30" x14ac:dyDescent="0.35">
      <c r="A15" s="5" t="s">
        <v>38</v>
      </c>
      <c r="B15" s="5" t="s">
        <v>22</v>
      </c>
    </row>
    <row r="16" spans="1:30" x14ac:dyDescent="0.35">
      <c r="A16" s="5" t="s">
        <v>39</v>
      </c>
      <c r="B16" s="5" t="s">
        <v>21</v>
      </c>
    </row>
    <row r="17" spans="1:2" x14ac:dyDescent="0.35">
      <c r="A17" s="5" t="s">
        <v>40</v>
      </c>
      <c r="B17" s="5" t="s">
        <v>20</v>
      </c>
    </row>
    <row r="18" spans="1:2" x14ac:dyDescent="0.35">
      <c r="A18" s="5" t="s">
        <v>41</v>
      </c>
      <c r="B18" s="5" t="s">
        <v>19</v>
      </c>
    </row>
    <row r="19" spans="1:2" x14ac:dyDescent="0.35">
      <c r="A19" s="5" t="s">
        <v>42</v>
      </c>
      <c r="B19" s="5" t="s">
        <v>18</v>
      </c>
    </row>
    <row r="20" spans="1:2" x14ac:dyDescent="0.35">
      <c r="A20" s="5" t="s">
        <v>43</v>
      </c>
      <c r="B20" s="5" t="s">
        <v>17</v>
      </c>
    </row>
    <row r="21" spans="1:2" x14ac:dyDescent="0.35">
      <c r="A21" s="5" t="s">
        <v>44</v>
      </c>
      <c r="B21" s="5" t="s">
        <v>16</v>
      </c>
    </row>
    <row r="22" spans="1:2" x14ac:dyDescent="0.35">
      <c r="A22" s="5" t="s">
        <v>45</v>
      </c>
      <c r="B22" s="5" t="s">
        <v>15</v>
      </c>
    </row>
    <row r="23" spans="1:2" x14ac:dyDescent="0.35">
      <c r="A23" s="5" t="s">
        <v>46</v>
      </c>
      <c r="B23" s="5" t="s">
        <v>14</v>
      </c>
    </row>
    <row r="24" spans="1:2" x14ac:dyDescent="0.35">
      <c r="A24" s="5" t="s">
        <v>47</v>
      </c>
      <c r="B24" s="5" t="s">
        <v>13</v>
      </c>
    </row>
    <row r="25" spans="1:2" x14ac:dyDescent="0.35">
      <c r="A25" s="5" t="s">
        <v>48</v>
      </c>
      <c r="B25" s="5" t="s">
        <v>12</v>
      </c>
    </row>
    <row r="26" spans="1:2" x14ac:dyDescent="0.35">
      <c r="A26" s="5" t="s">
        <v>49</v>
      </c>
      <c r="B26" s="5" t="s">
        <v>11</v>
      </c>
    </row>
    <row r="27" spans="1:2" x14ac:dyDescent="0.35">
      <c r="A27" s="5" t="s">
        <v>50</v>
      </c>
      <c r="B27" s="5" t="s">
        <v>10</v>
      </c>
    </row>
    <row r="28" spans="1:2" x14ac:dyDescent="0.35">
      <c r="A28" s="5" t="s">
        <v>51</v>
      </c>
      <c r="B28" s="5" t="s">
        <v>9</v>
      </c>
    </row>
    <row r="29" spans="1:2" x14ac:dyDescent="0.35">
      <c r="A29" s="5" t="s">
        <v>52</v>
      </c>
      <c r="B29" s="5" t="s">
        <v>8</v>
      </c>
    </row>
    <row r="30" spans="1:2" x14ac:dyDescent="0.35">
      <c r="A30" s="5" t="s">
        <v>53</v>
      </c>
      <c r="B30" s="5" t="s">
        <v>7</v>
      </c>
    </row>
    <row r="31" spans="1:2" x14ac:dyDescent="0.35">
      <c r="A31" s="5" t="s">
        <v>54</v>
      </c>
      <c r="B31" s="5" t="s">
        <v>6</v>
      </c>
    </row>
    <row r="32" spans="1:2" x14ac:dyDescent="0.35">
      <c r="A32" s="5" t="s">
        <v>55</v>
      </c>
      <c r="B32" s="5" t="s">
        <v>5</v>
      </c>
    </row>
    <row r="33" spans="1:2" x14ac:dyDescent="0.35">
      <c r="A33" s="5" t="s">
        <v>56</v>
      </c>
      <c r="B33" s="5" t="s">
        <v>4</v>
      </c>
    </row>
    <row r="34" spans="1:2" x14ac:dyDescent="0.35">
      <c r="A34" s="5" t="s">
        <v>57</v>
      </c>
      <c r="B34" s="5" t="s">
        <v>3</v>
      </c>
    </row>
    <row r="35" spans="1:2" x14ac:dyDescent="0.35">
      <c r="A35" s="5" t="s">
        <v>58</v>
      </c>
      <c r="B35" s="5" t="s">
        <v>2</v>
      </c>
    </row>
    <row r="36" spans="1:2" x14ac:dyDescent="0.35">
      <c r="A36" s="5" t="s">
        <v>59</v>
      </c>
      <c r="B36" s="5" t="s">
        <v>1</v>
      </c>
    </row>
    <row r="37" spans="1:2" x14ac:dyDescent="0.3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6"/>
  <sheetViews>
    <sheetView workbookViewId="0">
      <selection activeCell="I14" sqref="I14"/>
    </sheetView>
  </sheetViews>
  <sheetFormatPr defaultColWidth="9.1796875" defaultRowHeight="14.5" x14ac:dyDescent="0.35"/>
  <cols>
    <col min="2" max="2" width="14.54296875" bestFit="1" customWidth="1"/>
    <col min="3" max="3" width="30.1796875" bestFit="1" customWidth="1"/>
    <col min="4" max="4" width="28" bestFit="1" customWidth="1"/>
    <col min="9" max="9" width="18.81640625" bestFit="1" customWidth="1"/>
    <col min="13" max="13" width="10.54296875" bestFit="1" customWidth="1"/>
    <col min="14" max="14" width="12" bestFit="1" customWidth="1"/>
  </cols>
  <sheetData>
    <row r="2" spans="2:10" x14ac:dyDescent="0.35">
      <c r="B2" t="s">
        <v>65</v>
      </c>
    </row>
    <row r="3" spans="2:10" x14ac:dyDescent="0.35">
      <c r="B3">
        <v>1</v>
      </c>
    </row>
    <row r="6" spans="2:10" x14ac:dyDescent="0.35">
      <c r="H6" t="s">
        <v>64</v>
      </c>
      <c r="I6" t="s">
        <v>82</v>
      </c>
      <c r="J6" t="s">
        <v>83</v>
      </c>
    </row>
    <row r="7" spans="2:10" x14ac:dyDescent="0.35">
      <c r="H7">
        <v>1</v>
      </c>
      <c r="I7" s="26">
        <v>0</v>
      </c>
      <c r="J7" s="26">
        <v>0</v>
      </c>
    </row>
    <row r="8" spans="2:10" x14ac:dyDescent="0.35">
      <c r="H8">
        <v>2</v>
      </c>
      <c r="I8" s="26">
        <v>0.05</v>
      </c>
      <c r="J8" s="26">
        <v>0.05</v>
      </c>
    </row>
    <row r="9" spans="2:10" x14ac:dyDescent="0.35">
      <c r="H9">
        <v>3</v>
      </c>
      <c r="I9" s="26">
        <v>0.1</v>
      </c>
      <c r="J9" s="26">
        <v>0.1</v>
      </c>
    </row>
    <row r="10" spans="2:10" x14ac:dyDescent="0.35">
      <c r="H10">
        <v>4</v>
      </c>
      <c r="I10" s="26">
        <v>0.15</v>
      </c>
      <c r="J10" s="26">
        <v>0.15</v>
      </c>
    </row>
    <row r="13" spans="2:10" x14ac:dyDescent="0.35">
      <c r="I13" t="s">
        <v>82</v>
      </c>
      <c r="J13" t="s">
        <v>83</v>
      </c>
    </row>
    <row r="14" spans="2:10" x14ac:dyDescent="0.35">
      <c r="H14">
        <v>2018</v>
      </c>
      <c r="I14">
        <v>20</v>
      </c>
      <c r="J14">
        <v>25</v>
      </c>
    </row>
    <row r="15" spans="2:10" x14ac:dyDescent="0.35">
      <c r="H15">
        <v>2019</v>
      </c>
      <c r="I15">
        <v>20</v>
      </c>
      <c r="J15">
        <v>25</v>
      </c>
    </row>
    <row r="16" spans="2:10" x14ac:dyDescent="0.35">
      <c r="H16">
        <v>2020</v>
      </c>
      <c r="I16">
        <v>26</v>
      </c>
      <c r="J16">
        <v>25</v>
      </c>
    </row>
    <row r="17" spans="8:10" x14ac:dyDescent="0.35">
      <c r="H17">
        <v>2021</v>
      </c>
      <c r="I17">
        <v>33.5</v>
      </c>
      <c r="J17">
        <f>$J$16+($J$20-$J$16)*(H17-$H$16)/($H$20-$H$16)</f>
        <v>35</v>
      </c>
    </row>
    <row r="18" spans="8:10" x14ac:dyDescent="0.35">
      <c r="H18">
        <v>2022</v>
      </c>
      <c r="I18">
        <v>41</v>
      </c>
      <c r="J18">
        <f t="shared" ref="J18:J19" si="0">$J$16+($J$20-$J$16)*(H18-$H$16)/($H$20-$H$16)</f>
        <v>45</v>
      </c>
    </row>
    <row r="19" spans="8:10" x14ac:dyDescent="0.35">
      <c r="H19">
        <v>2023</v>
      </c>
      <c r="I19">
        <v>48.5</v>
      </c>
      <c r="J19">
        <f t="shared" si="0"/>
        <v>55</v>
      </c>
    </row>
    <row r="20" spans="8:10" x14ac:dyDescent="0.35">
      <c r="H20">
        <v>2024</v>
      </c>
      <c r="I20">
        <v>56</v>
      </c>
      <c r="J20">
        <v>65</v>
      </c>
    </row>
    <row r="21" spans="8:10" x14ac:dyDescent="0.35">
      <c r="H21">
        <v>2025</v>
      </c>
      <c r="I21">
        <v>63.5</v>
      </c>
      <c r="J21" s="10">
        <f>$J$20+($J$31-$J$20)*(H21-$H$20)/($H$31-$H$20)</f>
        <v>75.181818181818187</v>
      </c>
    </row>
    <row r="22" spans="8:10" x14ac:dyDescent="0.35">
      <c r="H22">
        <v>2026</v>
      </c>
      <c r="I22">
        <v>71</v>
      </c>
      <c r="J22" s="10">
        <f t="shared" ref="J22:J30" si="1">$J$20+($J$31-$J$20)*(H22-$H$20)/($H$31-$H$20)</f>
        <v>85.36363636363636</v>
      </c>
    </row>
    <row r="23" spans="8:10" x14ac:dyDescent="0.35">
      <c r="H23">
        <v>2027</v>
      </c>
      <c r="I23">
        <v>78.5</v>
      </c>
      <c r="J23" s="10">
        <f t="shared" si="1"/>
        <v>95.545454545454547</v>
      </c>
    </row>
    <row r="24" spans="8:10" x14ac:dyDescent="0.35">
      <c r="H24">
        <v>2028</v>
      </c>
      <c r="I24">
        <v>86</v>
      </c>
      <c r="J24" s="10">
        <f t="shared" si="1"/>
        <v>105.72727272727272</v>
      </c>
    </row>
    <row r="25" spans="8:10" x14ac:dyDescent="0.35">
      <c r="H25">
        <v>2029</v>
      </c>
      <c r="I25">
        <v>93.5</v>
      </c>
      <c r="J25" s="10">
        <f t="shared" si="1"/>
        <v>115.90909090909091</v>
      </c>
    </row>
    <row r="26" spans="8:10" x14ac:dyDescent="0.35">
      <c r="H26">
        <v>2030</v>
      </c>
      <c r="I26">
        <v>100</v>
      </c>
      <c r="J26" s="10">
        <f t="shared" si="1"/>
        <v>126.09090909090909</v>
      </c>
    </row>
    <row r="27" spans="8:10" x14ac:dyDescent="0.35">
      <c r="H27">
        <v>2031</v>
      </c>
      <c r="I27">
        <v>106.5</v>
      </c>
      <c r="J27" s="10">
        <f t="shared" si="1"/>
        <v>136.27272727272725</v>
      </c>
    </row>
    <row r="28" spans="8:10" x14ac:dyDescent="0.35">
      <c r="H28">
        <v>2032</v>
      </c>
      <c r="I28">
        <v>113</v>
      </c>
      <c r="J28" s="10">
        <f t="shared" si="1"/>
        <v>146.45454545454544</v>
      </c>
    </row>
    <row r="29" spans="8:10" x14ac:dyDescent="0.35">
      <c r="H29">
        <v>2033</v>
      </c>
      <c r="I29">
        <v>119.5</v>
      </c>
      <c r="J29" s="10">
        <f t="shared" si="1"/>
        <v>156.63636363636363</v>
      </c>
    </row>
    <row r="30" spans="8:10" x14ac:dyDescent="0.35">
      <c r="H30">
        <v>2034</v>
      </c>
      <c r="I30">
        <v>126</v>
      </c>
      <c r="J30" s="10">
        <f t="shared" si="1"/>
        <v>166.81818181818181</v>
      </c>
    </row>
    <row r="31" spans="8:10" x14ac:dyDescent="0.35">
      <c r="H31">
        <v>2035</v>
      </c>
      <c r="I31">
        <v>132.5</v>
      </c>
      <c r="J31">
        <v>177</v>
      </c>
    </row>
    <row r="32" spans="8:10" x14ac:dyDescent="0.35">
      <c r="H32">
        <v>2036</v>
      </c>
      <c r="I32">
        <v>139</v>
      </c>
      <c r="J32" s="10">
        <f>+$J$31*I32/$I$31</f>
        <v>185.68301886792452</v>
      </c>
    </row>
    <row r="33" spans="8:10" x14ac:dyDescent="0.35">
      <c r="H33">
        <v>2037</v>
      </c>
      <c r="I33">
        <v>145.5</v>
      </c>
      <c r="J33" s="10">
        <f t="shared" ref="J33:J46" si="2">+$J$31*I33/$I$31</f>
        <v>194.36603773584906</v>
      </c>
    </row>
    <row r="34" spans="8:10" x14ac:dyDescent="0.35">
      <c r="H34">
        <v>2038</v>
      </c>
      <c r="I34">
        <v>152</v>
      </c>
      <c r="J34" s="10">
        <f t="shared" si="2"/>
        <v>203.04905660377358</v>
      </c>
    </row>
    <row r="35" spans="8:10" x14ac:dyDescent="0.35">
      <c r="H35">
        <v>2039</v>
      </c>
      <c r="I35">
        <v>158.5</v>
      </c>
      <c r="J35" s="10">
        <f t="shared" si="2"/>
        <v>211.73207547169812</v>
      </c>
    </row>
    <row r="36" spans="8:10" x14ac:dyDescent="0.35">
      <c r="H36">
        <v>2040</v>
      </c>
      <c r="I36">
        <v>166</v>
      </c>
      <c r="J36" s="10">
        <f t="shared" si="2"/>
        <v>221.7509433962264</v>
      </c>
    </row>
    <row r="37" spans="8:10" x14ac:dyDescent="0.35">
      <c r="H37">
        <v>2041</v>
      </c>
      <c r="I37">
        <v>173.5</v>
      </c>
      <c r="J37" s="10">
        <f t="shared" si="2"/>
        <v>231.76981132075471</v>
      </c>
    </row>
    <row r="38" spans="8:10" x14ac:dyDescent="0.35">
      <c r="H38">
        <v>2042</v>
      </c>
      <c r="I38">
        <v>181</v>
      </c>
      <c r="J38" s="10">
        <f t="shared" si="2"/>
        <v>241.78867924528302</v>
      </c>
    </row>
    <row r="39" spans="8:10" x14ac:dyDescent="0.35">
      <c r="H39">
        <v>2043</v>
      </c>
      <c r="I39">
        <v>188.5</v>
      </c>
      <c r="J39" s="10">
        <f t="shared" si="2"/>
        <v>251.80754716981133</v>
      </c>
    </row>
    <row r="40" spans="8:10" x14ac:dyDescent="0.35">
      <c r="H40">
        <v>2044</v>
      </c>
      <c r="I40">
        <v>196</v>
      </c>
      <c r="J40" s="10">
        <f t="shared" si="2"/>
        <v>261.82641509433961</v>
      </c>
    </row>
    <row r="41" spans="8:10" x14ac:dyDescent="0.35">
      <c r="H41">
        <v>2045</v>
      </c>
      <c r="I41">
        <v>204.5</v>
      </c>
      <c r="J41" s="10">
        <f t="shared" si="2"/>
        <v>273.18113207547168</v>
      </c>
    </row>
    <row r="42" spans="8:10" x14ac:dyDescent="0.35">
      <c r="H42">
        <v>2046</v>
      </c>
      <c r="I42">
        <v>214</v>
      </c>
      <c r="J42" s="10">
        <f t="shared" si="2"/>
        <v>285.87169811320757</v>
      </c>
    </row>
    <row r="43" spans="8:10" x14ac:dyDescent="0.35">
      <c r="H43">
        <v>2047</v>
      </c>
      <c r="I43">
        <v>224.5</v>
      </c>
      <c r="J43" s="10">
        <f t="shared" si="2"/>
        <v>299.89811320754717</v>
      </c>
    </row>
    <row r="44" spans="8:10" x14ac:dyDescent="0.35">
      <c r="H44">
        <v>2048</v>
      </c>
      <c r="I44">
        <v>236</v>
      </c>
      <c r="J44" s="10">
        <f t="shared" si="2"/>
        <v>315.26037735849059</v>
      </c>
    </row>
    <row r="45" spans="8:10" x14ac:dyDescent="0.35">
      <c r="H45">
        <v>2049</v>
      </c>
      <c r="I45">
        <v>248.5</v>
      </c>
      <c r="J45" s="10">
        <f t="shared" si="2"/>
        <v>331.95849056603771</v>
      </c>
    </row>
    <row r="46" spans="8:10" x14ac:dyDescent="0.35">
      <c r="H46">
        <v>2050</v>
      </c>
      <c r="I46">
        <v>262</v>
      </c>
      <c r="J46" s="10">
        <f t="shared" si="2"/>
        <v>349.99245283018865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G4" sqref="G4:AM5"/>
    </sheetView>
  </sheetViews>
  <sheetFormatPr defaultRowHeight="14.5" x14ac:dyDescent="0.35"/>
  <cols>
    <col min="2" max="2" width="10.1796875" bestFit="1" customWidth="1"/>
    <col min="4" max="4" width="13.7265625" bestFit="1" customWidth="1"/>
    <col min="5" max="5" width="5.1796875" bestFit="1" customWidth="1"/>
    <col min="6" max="6" width="10.1796875" bestFit="1" customWidth="1"/>
  </cols>
  <sheetData>
    <row r="2" spans="2:39" x14ac:dyDescent="0.35">
      <c r="B2" s="8" t="s">
        <v>84</v>
      </c>
    </row>
    <row r="3" spans="2:39" ht="15" thickBot="1" x14ac:dyDescent="0.4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  <c r="M3">
        <v>2024</v>
      </c>
      <c r="N3">
        <v>2025</v>
      </c>
      <c r="O3">
        <v>2026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2032</v>
      </c>
      <c r="V3">
        <v>2033</v>
      </c>
      <c r="W3">
        <v>2034</v>
      </c>
      <c r="X3">
        <v>2035</v>
      </c>
      <c r="Y3">
        <v>2036</v>
      </c>
      <c r="Z3">
        <v>2037</v>
      </c>
      <c r="AA3">
        <v>2038</v>
      </c>
      <c r="AB3">
        <v>2039</v>
      </c>
      <c r="AC3">
        <v>2040</v>
      </c>
      <c r="AD3">
        <v>2041</v>
      </c>
      <c r="AE3">
        <v>2042</v>
      </c>
      <c r="AF3">
        <v>2043</v>
      </c>
      <c r="AG3">
        <v>2044</v>
      </c>
      <c r="AH3">
        <v>2045</v>
      </c>
      <c r="AI3">
        <v>2046</v>
      </c>
      <c r="AJ3">
        <v>2047</v>
      </c>
      <c r="AK3">
        <v>2048</v>
      </c>
      <c r="AL3">
        <v>2049</v>
      </c>
      <c r="AM3">
        <v>2050</v>
      </c>
    </row>
    <row r="4" spans="2:39" x14ac:dyDescent="0.35">
      <c r="C4" s="7"/>
      <c r="D4" t="s">
        <v>88</v>
      </c>
      <c r="E4" t="s">
        <v>28</v>
      </c>
      <c r="F4" t="s">
        <v>86</v>
      </c>
      <c r="G4" s="30">
        <f>(+VLOOKUP(G3,config!$H$13:$J$46,2,FALSE))/1000</f>
        <v>0.02</v>
      </c>
      <c r="H4" s="30">
        <f>(+VLOOKUP(H3,config!$H$13:$J$46,2,FALSE))/1000</f>
        <v>0.02</v>
      </c>
      <c r="I4" s="30">
        <f>(+VLOOKUP(I3,config!$H$13:$J$46,2,FALSE))/1000</f>
        <v>2.5999999999999999E-2</v>
      </c>
      <c r="J4" s="30">
        <f>(+VLOOKUP(J3,config!$H$13:$J$46,2,FALSE))/1000</f>
        <v>3.3500000000000002E-2</v>
      </c>
      <c r="K4" s="30">
        <f>(+VLOOKUP(K3,config!$H$13:$J$46,2,FALSE))/1000</f>
        <v>4.1000000000000002E-2</v>
      </c>
      <c r="L4" s="30">
        <f>(+VLOOKUP(L3,config!$H$13:$J$46,2,FALSE))/1000</f>
        <v>4.8500000000000001E-2</v>
      </c>
      <c r="M4" s="30">
        <f>(+VLOOKUP(M3,config!$H$13:$J$46,2,FALSE))/1000</f>
        <v>5.6000000000000001E-2</v>
      </c>
      <c r="N4" s="30">
        <f>(+VLOOKUP(N3,config!$H$13:$J$46,2,FALSE))/1000</f>
        <v>6.3500000000000001E-2</v>
      </c>
      <c r="O4" s="30">
        <f>(+VLOOKUP(O3,config!$H$13:$J$46,2,FALSE))/1000</f>
        <v>7.0999999999999994E-2</v>
      </c>
      <c r="P4" s="30">
        <f>(+VLOOKUP(P3,config!$H$13:$J$46,2,FALSE))/1000</f>
        <v>7.85E-2</v>
      </c>
      <c r="Q4" s="30">
        <f>(+VLOOKUP(Q3,config!$H$13:$J$46,2,FALSE))/1000</f>
        <v>8.5999999999999993E-2</v>
      </c>
      <c r="R4" s="30">
        <f>(+VLOOKUP(R3,config!$H$13:$J$46,2,FALSE))/1000</f>
        <v>9.35E-2</v>
      </c>
      <c r="S4" s="30">
        <f>(+VLOOKUP(S3,config!$H$13:$J$46,2,FALSE))/1000</f>
        <v>0.1</v>
      </c>
      <c r="T4" s="30">
        <f>(+VLOOKUP(T3,config!$H$13:$J$46,2,FALSE)*(1+VLOOKUP(config!$B$3,config!$H$6:$J$10,2,FALSE)))/1000</f>
        <v>0.1065</v>
      </c>
      <c r="U4" s="30">
        <f>(+VLOOKUP(U3,config!$H$13:$J$46,2,FALSE)*(1+VLOOKUP(config!$B$3,config!$H$6:$J$10,2,FALSE)))/1000</f>
        <v>0.113</v>
      </c>
      <c r="V4" s="30">
        <f>(+VLOOKUP(V3,config!$H$13:$J$46,2,FALSE)*(1+VLOOKUP(config!$B$3,config!$H$6:$J$10,2,FALSE)))/1000</f>
        <v>0.1195</v>
      </c>
      <c r="W4" s="30">
        <f>(+VLOOKUP(W3,config!$H$13:$J$46,2,FALSE)*(1+VLOOKUP(config!$B$3,config!$H$6:$J$10,2,FALSE)))/1000</f>
        <v>0.126</v>
      </c>
      <c r="X4" s="30">
        <f>(+VLOOKUP(X3,config!$H$13:$J$46,2,FALSE)*(1+VLOOKUP(config!$B$3,config!$H$6:$J$10,2,FALSE)))/1000</f>
        <v>0.13250000000000001</v>
      </c>
      <c r="Y4" s="30">
        <f>(+VLOOKUP(Y3,config!$H$13:$J$46,2,FALSE)*(1+VLOOKUP(config!$B$3,config!$H$6:$J$10,2,FALSE)))/1000</f>
        <v>0.13900000000000001</v>
      </c>
      <c r="Z4" s="30">
        <f>(+VLOOKUP(Z3,config!$H$13:$J$46,2,FALSE)*(1+VLOOKUP(config!$B$3,config!$H$6:$J$10,2,FALSE)))/1000</f>
        <v>0.14549999999999999</v>
      </c>
      <c r="AA4" s="30">
        <f>(+VLOOKUP(AA3,config!$H$13:$J$46,2,FALSE)*(1+VLOOKUP(config!$B$3,config!$H$6:$J$10,2,FALSE)))/1000</f>
        <v>0.152</v>
      </c>
      <c r="AB4" s="30">
        <f>(+VLOOKUP(AB3,config!$H$13:$J$46,2,FALSE)*(1+VLOOKUP(config!$B$3,config!$H$6:$J$10,2,FALSE)))/1000</f>
        <v>0.1585</v>
      </c>
      <c r="AC4" s="30">
        <f>(+VLOOKUP(AC3,config!$H$13:$J$46,2,FALSE)*(1+VLOOKUP(config!$B$3,config!$H$6:$J$10,2,FALSE)))/1000</f>
        <v>0.16600000000000001</v>
      </c>
      <c r="AD4" s="30">
        <f>(+VLOOKUP(AD3,config!$H$13:$J$46,2,FALSE)*(1+VLOOKUP(config!$B$3,config!$H$6:$J$10,2,FALSE)))/1000</f>
        <v>0.17349999999999999</v>
      </c>
      <c r="AE4" s="30">
        <f>(+VLOOKUP(AE3,config!$H$13:$J$46,2,FALSE)*(1+VLOOKUP(config!$B$3,config!$H$6:$J$10,2,FALSE)))/1000</f>
        <v>0.18099999999999999</v>
      </c>
      <c r="AF4" s="30">
        <f>(+VLOOKUP(AF3,config!$H$13:$J$46,2,FALSE)*(1+VLOOKUP(config!$B$3,config!$H$6:$J$10,2,FALSE)))/1000</f>
        <v>0.1885</v>
      </c>
      <c r="AG4" s="30">
        <f>(+VLOOKUP(AG3,config!$H$13:$J$46,2,FALSE)*(1+VLOOKUP(config!$B$3,config!$H$6:$J$10,2,FALSE)))/1000</f>
        <v>0.19600000000000001</v>
      </c>
      <c r="AH4" s="30">
        <f>(+VLOOKUP(AH3,config!$H$13:$J$46,2,FALSE)*(1+VLOOKUP(config!$B$3,config!$H$6:$J$10,2,FALSE)))/1000</f>
        <v>0.20449999999999999</v>
      </c>
      <c r="AI4" s="30">
        <f>(+VLOOKUP(AI3,config!$H$13:$J$46,2,FALSE)*(1+VLOOKUP(config!$B$3,config!$H$6:$J$10,2,FALSE)))/1000</f>
        <v>0.214</v>
      </c>
      <c r="AJ4" s="30">
        <f>(+VLOOKUP(AJ3,config!$H$13:$J$46,2,FALSE)*(1+VLOOKUP(config!$B$3,config!$H$6:$J$10,2,FALSE)))/1000</f>
        <v>0.22450000000000001</v>
      </c>
      <c r="AK4" s="30">
        <f>(+VLOOKUP(AK3,config!$H$13:$J$46,2,FALSE)*(1+VLOOKUP(config!$B$3,config!$H$6:$J$10,2,FALSE)))/1000</f>
        <v>0.23599999999999999</v>
      </c>
      <c r="AL4" s="30">
        <f>(+VLOOKUP(AL3,config!$H$13:$J$46,2,FALSE)*(1+VLOOKUP(config!$B$3,config!$H$6:$J$10,2,FALSE)))/1000</f>
        <v>0.2485</v>
      </c>
      <c r="AM4" s="30">
        <f>(+VLOOKUP(AM3,config!$H$13:$J$46,2,FALSE)*(1+VLOOKUP(config!$B$3,config!$H$6:$J$10,2,FALSE)))/1000</f>
        <v>0.26200000000000001</v>
      </c>
    </row>
    <row r="5" spans="2:39" x14ac:dyDescent="0.35">
      <c r="D5" t="s">
        <v>88</v>
      </c>
      <c r="E5" t="s">
        <v>28</v>
      </c>
      <c r="F5" t="s">
        <v>87</v>
      </c>
      <c r="G5" s="30">
        <f>(+VLOOKUP(G3,config!$H$13:$J$46,3,FALSE))/1000</f>
        <v>2.5000000000000001E-2</v>
      </c>
      <c r="H5" s="30">
        <f>(+VLOOKUP(H3,config!$H$13:$J$46,3,FALSE))/1000</f>
        <v>2.5000000000000001E-2</v>
      </c>
      <c r="I5" s="30">
        <f>(+VLOOKUP(I3,config!$H$13:$J$46,3,FALSE))/1000</f>
        <v>2.5000000000000001E-2</v>
      </c>
      <c r="J5" s="30">
        <f>(+VLOOKUP(J3,config!$H$13:$J$46,3,FALSE))/1000</f>
        <v>3.5000000000000003E-2</v>
      </c>
      <c r="K5" s="30">
        <f>(+VLOOKUP(K3,config!$H$13:$J$46,3,FALSE))/1000</f>
        <v>4.4999999999999998E-2</v>
      </c>
      <c r="L5" s="30">
        <f>(+VLOOKUP(L3,config!$H$13:$J$46,3,FALSE))/1000</f>
        <v>5.5E-2</v>
      </c>
      <c r="M5" s="30">
        <f>(+VLOOKUP(M3,config!$H$13:$J$46,3,FALSE))/1000</f>
        <v>6.5000000000000002E-2</v>
      </c>
      <c r="N5" s="30">
        <f>(+VLOOKUP(N3,config!$H$13:$J$46,3,FALSE))/1000</f>
        <v>7.5181818181818183E-2</v>
      </c>
      <c r="O5" s="30">
        <f>(+VLOOKUP(O3,config!$H$13:$J$46,3,FALSE))/1000</f>
        <v>8.5363636363636364E-2</v>
      </c>
      <c r="P5" s="30">
        <f>(+VLOOKUP(P3,config!$H$13:$J$46,3,FALSE))/1000</f>
        <v>9.5545454545454545E-2</v>
      </c>
      <c r="Q5" s="30">
        <f>(+VLOOKUP(Q3,config!$H$13:$J$46,3,FALSE))/1000</f>
        <v>0.10572727272727273</v>
      </c>
      <c r="R5" s="30">
        <f>(+VLOOKUP(R3,config!$H$13:$J$46,3,FALSE))/1000</f>
        <v>0.11590909090909091</v>
      </c>
      <c r="S5" s="30">
        <f>(+VLOOKUP(S3,config!$H$13:$J$46,3,FALSE))/1000</f>
        <v>0.12609090909090909</v>
      </c>
      <c r="T5" s="30">
        <f>(+VLOOKUP(T3,config!$H$13:$J$46,3,FALSE)*(1+VLOOKUP(config!$B$3,config!$H$6:$J$10,3,FALSE)))/1000</f>
        <v>0.13627272727272724</v>
      </c>
      <c r="U5" s="30">
        <f>(+VLOOKUP(U3,config!$H$13:$J$46,3,FALSE)*(1+VLOOKUP(config!$B$3,config!$H$6:$J$10,3,FALSE)))/1000</f>
        <v>0.14645454545454545</v>
      </c>
      <c r="V5" s="30">
        <f>(+VLOOKUP(V3,config!$H$13:$J$46,3,FALSE)*(1+VLOOKUP(config!$B$3,config!$H$6:$J$10,3,FALSE)))/1000</f>
        <v>0.15663636363636363</v>
      </c>
      <c r="W5" s="30">
        <f>(+VLOOKUP(W3,config!$H$13:$J$46,3,FALSE)*(1+VLOOKUP(config!$B$3,config!$H$6:$J$10,3,FALSE)))/1000</f>
        <v>0.16681818181818181</v>
      </c>
      <c r="X5" s="30">
        <f>(+VLOOKUP(X3,config!$H$13:$J$46,3,FALSE)*(1+VLOOKUP(config!$B$3,config!$H$6:$J$10,3,FALSE)))/1000</f>
        <v>0.17699999999999999</v>
      </c>
      <c r="Y5" s="30">
        <f>(+VLOOKUP(Y3,config!$H$13:$J$46,3,FALSE)*(1+VLOOKUP(config!$B$3,config!$H$6:$J$10,3,FALSE)))/1000</f>
        <v>0.18568301886792452</v>
      </c>
      <c r="Z5" s="30">
        <f>(+VLOOKUP(Z3,config!$H$13:$J$46,3,FALSE)*(1+VLOOKUP(config!$B$3,config!$H$6:$J$10,3,FALSE)))/1000</f>
        <v>0.19436603773584907</v>
      </c>
      <c r="AA5" s="30">
        <f>(+VLOOKUP(AA3,config!$H$13:$J$46,3,FALSE)*(1+VLOOKUP(config!$B$3,config!$H$6:$J$10,3,FALSE)))/1000</f>
        <v>0.20304905660377359</v>
      </c>
      <c r="AB5" s="30">
        <f>(+VLOOKUP(AB3,config!$H$13:$J$46,3,FALSE)*(1+VLOOKUP(config!$B$3,config!$H$6:$J$10,3,FALSE)))/1000</f>
        <v>0.21173207547169812</v>
      </c>
      <c r="AC5" s="30">
        <f>(+VLOOKUP(AC3,config!$H$13:$J$46,3,FALSE)*(1+VLOOKUP(config!$B$3,config!$H$6:$J$10,3,FALSE)))/1000</f>
        <v>0.22175094339622639</v>
      </c>
      <c r="AD5" s="30">
        <f>(+VLOOKUP(AD3,config!$H$13:$J$46,3,FALSE)*(1+VLOOKUP(config!$B$3,config!$H$6:$J$10,3,FALSE)))/1000</f>
        <v>0.23176981132075472</v>
      </c>
      <c r="AE5" s="30">
        <f>(+VLOOKUP(AE3,config!$H$13:$J$46,3,FALSE)*(1+VLOOKUP(config!$B$3,config!$H$6:$J$10,3,FALSE)))/1000</f>
        <v>0.24178867924528302</v>
      </c>
      <c r="AF5" s="30">
        <f>(+VLOOKUP(AF3,config!$H$13:$J$46,3,FALSE)*(1+VLOOKUP(config!$B$3,config!$H$6:$J$10,3,FALSE)))/1000</f>
        <v>0.25180754716981135</v>
      </c>
      <c r="AG5" s="30">
        <f>(+VLOOKUP(AG3,config!$H$13:$J$46,3,FALSE)*(1+VLOOKUP(config!$B$3,config!$H$6:$J$10,3,FALSE)))/1000</f>
        <v>0.26182641509433963</v>
      </c>
      <c r="AH5" s="30">
        <f>(+VLOOKUP(AH3,config!$H$13:$J$46,3,FALSE)*(1+VLOOKUP(config!$B$3,config!$H$6:$J$10,3,FALSE)))/1000</f>
        <v>0.27318113207547168</v>
      </c>
      <c r="AI5" s="30">
        <f>(+VLOOKUP(AI3,config!$H$13:$J$46,3,FALSE)*(1+VLOOKUP(config!$B$3,config!$H$6:$J$10,3,FALSE)))/1000</f>
        <v>0.28587169811320756</v>
      </c>
      <c r="AJ5" s="30">
        <f>(+VLOOKUP(AJ3,config!$H$13:$J$46,3,FALSE)*(1+VLOOKUP(config!$B$3,config!$H$6:$J$10,3,FALSE)))/1000</f>
        <v>0.29989811320754717</v>
      </c>
      <c r="AK5" s="30">
        <f>(+VLOOKUP(AK3,config!$H$13:$J$46,3,FALSE)*(1+VLOOKUP(config!$B$3,config!$H$6:$J$10,3,FALSE)))/1000</f>
        <v>0.31526037735849061</v>
      </c>
      <c r="AL5" s="30">
        <f>(+VLOOKUP(AL3,config!$H$13:$J$46,3,FALSE)*(1+VLOOKUP(config!$B$3,config!$H$6:$J$10,3,FALSE)))/1000</f>
        <v>0.33195849056603771</v>
      </c>
      <c r="AM5" s="30">
        <f>(+VLOOKUP(AM3,config!$H$13:$J$46,3,FALSE)*(1+VLOOKUP(config!$B$3,config!$H$6:$J$10,3,FALSE)))/1000</f>
        <v>0.34999245283018865</v>
      </c>
    </row>
    <row r="10" spans="2:39" x14ac:dyDescent="0.35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CO2price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2025-02-25T16:24:33Z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