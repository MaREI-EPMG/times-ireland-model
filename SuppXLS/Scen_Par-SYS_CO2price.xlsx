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5006574B-018C-4E32-85DB-39AB6B93D91E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Cover" sheetId="24" r:id="rId1"/>
    <sheet name="Regions" sheetId="15" r:id="rId2"/>
    <sheet name="config" sheetId="20" r:id="rId3"/>
    <sheet name="CO2price" sheetId="23" r:id="rId4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5" i="23" l="1"/>
  <c r="V5" i="23"/>
  <c r="W5" i="23"/>
  <c r="X5" i="23"/>
  <c r="Y5" i="23"/>
  <c r="Z5" i="23"/>
  <c r="AA5" i="23"/>
  <c r="AB5" i="23"/>
  <c r="AC5" i="23"/>
  <c r="AD5" i="23"/>
  <c r="AE5" i="23"/>
  <c r="AF5" i="23"/>
  <c r="AG5" i="23"/>
  <c r="AH5" i="23"/>
  <c r="AI5" i="23"/>
  <c r="AJ5" i="23"/>
  <c r="AK5" i="23"/>
  <c r="AL5" i="23"/>
  <c r="AM5" i="23"/>
  <c r="T5" i="23"/>
  <c r="H5" i="23"/>
  <c r="I5" i="23"/>
  <c r="J5" i="23"/>
  <c r="K5" i="23"/>
  <c r="L5" i="23"/>
  <c r="M5" i="23"/>
  <c r="N5" i="23"/>
  <c r="O5" i="23"/>
  <c r="P5" i="23"/>
  <c r="Q5" i="23"/>
  <c r="R5" i="23"/>
  <c r="S5" i="23"/>
  <c r="G5" i="23"/>
  <c r="U4" i="23"/>
  <c r="V4" i="23"/>
  <c r="W4" i="23"/>
  <c r="X4" i="23"/>
  <c r="Y4" i="23"/>
  <c r="Z4" i="23"/>
  <c r="AA4" i="23"/>
  <c r="AB4" i="23"/>
  <c r="AC4" i="23"/>
  <c r="AD4" i="23"/>
  <c r="AE4" i="23"/>
  <c r="AF4" i="23"/>
  <c r="AG4" i="23"/>
  <c r="AH4" i="23"/>
  <c r="AI4" i="23"/>
  <c r="AJ4" i="23"/>
  <c r="AK4" i="23"/>
  <c r="AL4" i="23"/>
  <c r="AM4" i="23"/>
  <c r="T4" i="23"/>
  <c r="H4" i="23"/>
  <c r="I4" i="23"/>
  <c r="J4" i="23"/>
  <c r="K4" i="23"/>
  <c r="L4" i="23"/>
  <c r="M4" i="23"/>
  <c r="N4" i="23"/>
  <c r="O4" i="23"/>
  <c r="P4" i="23"/>
  <c r="Q4" i="23"/>
  <c r="R4" i="23"/>
  <c r="S4" i="23"/>
  <c r="G4" i="23"/>
  <c r="J33" i="20"/>
  <c r="J34" i="20"/>
  <c r="J35" i="20"/>
  <c r="J36" i="20"/>
  <c r="J37" i="20"/>
  <c r="J38" i="20"/>
  <c r="J39" i="20"/>
  <c r="J40" i="20"/>
  <c r="J41" i="20"/>
  <c r="J42" i="20"/>
  <c r="J43" i="20"/>
  <c r="J44" i="20"/>
  <c r="J45" i="20"/>
  <c r="J46" i="20"/>
  <c r="J32" i="20"/>
  <c r="J22" i="20"/>
  <c r="J23" i="20"/>
  <c r="J24" i="20"/>
  <c r="J25" i="20"/>
  <c r="J26" i="20"/>
  <c r="J27" i="20"/>
  <c r="J28" i="20"/>
  <c r="J29" i="20"/>
  <c r="J30" i="20"/>
  <c r="J21" i="20"/>
  <c r="J18" i="20"/>
  <c r="J19" i="20"/>
  <c r="J17" i="20"/>
  <c r="AD5" i="15"/>
  <c r="AC5" i="15"/>
  <c r="AB5" i="15"/>
  <c r="AA5" i="15"/>
  <c r="Z5" i="15"/>
  <c r="Y5" i="15"/>
  <c r="Y7" i="15"/>
  <c r="X5" i="15"/>
  <c r="W5" i="15"/>
  <c r="V5" i="15"/>
  <c r="U5" i="15"/>
  <c r="T5" i="15"/>
  <c r="S5" i="15"/>
  <c r="R5" i="15"/>
  <c r="Q5" i="15"/>
  <c r="Q7" i="15"/>
  <c r="P5" i="15"/>
  <c r="O5" i="15"/>
  <c r="N5" i="15"/>
  <c r="M5" i="15"/>
  <c r="L5" i="15"/>
  <c r="K5" i="15"/>
  <c r="J5" i="15"/>
  <c r="I5" i="15"/>
  <c r="I7" i="15"/>
  <c r="H5" i="15"/>
  <c r="G5" i="15"/>
  <c r="F5" i="15"/>
  <c r="E5" i="15"/>
  <c r="D7" i="15"/>
  <c r="C7" i="15"/>
  <c r="D6" i="15"/>
  <c r="C6" i="15"/>
  <c r="AD7" i="15"/>
  <c r="AC7" i="15"/>
  <c r="AB7" i="15"/>
  <c r="AA7" i="15"/>
  <c r="Z6" i="15"/>
  <c r="X6" i="15"/>
  <c r="W3" i="15" a="1"/>
  <c r="W3" i="15"/>
  <c r="V7" i="15"/>
  <c r="U7" i="15"/>
  <c r="T7" i="15"/>
  <c r="S7" i="15"/>
  <c r="R6" i="15"/>
  <c r="P6" i="15"/>
  <c r="O3" i="15" a="1"/>
  <c r="O3" i="15"/>
  <c r="N7" i="15"/>
  <c r="M7" i="15"/>
  <c r="L7" i="15"/>
  <c r="K7" i="15"/>
  <c r="J6" i="15"/>
  <c r="H6" i="15"/>
  <c r="G3" i="15" a="1"/>
  <c r="G3" i="15"/>
  <c r="F7" i="15"/>
  <c r="E7" i="15"/>
  <c r="AD3" i="15" a="1"/>
  <c r="AD3" i="15"/>
  <c r="AB3" i="15" a="1"/>
  <c r="AB3" i="15"/>
  <c r="AA3" i="15" a="1"/>
  <c r="AA3" i="15"/>
  <c r="X3" i="15" a="1"/>
  <c r="X3" i="15"/>
  <c r="V3" i="15" a="1"/>
  <c r="V3" i="15"/>
  <c r="Q3" i="15" a="1"/>
  <c r="Q3" i="15"/>
  <c r="P3" i="15" a="1"/>
  <c r="P3" i="15"/>
  <c r="H3" i="15" a="1"/>
  <c r="H3" i="15"/>
  <c r="D3" i="15" a="1"/>
  <c r="D3" i="15"/>
  <c r="C3" i="15" a="1"/>
  <c r="C3" i="15"/>
  <c r="I3" i="15" a="1"/>
  <c r="I3" i="15"/>
  <c r="Y3" i="15" a="1"/>
  <c r="Y3" i="15"/>
  <c r="J3" i="15" a="1"/>
  <c r="J3" i="15"/>
  <c r="K3" i="15" a="1"/>
  <c r="K3" i="15"/>
  <c r="T3" i="15" a="1"/>
  <c r="T3" i="15"/>
  <c r="E3" i="15" a="1"/>
  <c r="E3" i="15"/>
  <c r="N3" i="15" a="1"/>
  <c r="N3" i="15"/>
  <c r="R3" i="15" a="1"/>
  <c r="R3" i="15"/>
  <c r="S3" i="15" a="1"/>
  <c r="S3" i="15"/>
  <c r="F3" i="15" a="1"/>
  <c r="F3" i="15"/>
  <c r="Z3" i="15" a="1"/>
  <c r="Z3" i="15"/>
  <c r="I6" i="15"/>
  <c r="K6" i="15"/>
  <c r="Q6" i="15"/>
  <c r="S6" i="15"/>
  <c r="Y6" i="15"/>
  <c r="AA6" i="15"/>
  <c r="L3" i="15" a="1"/>
  <c r="L3" i="15"/>
  <c r="M3" i="15" a="1"/>
  <c r="M3" i="15"/>
  <c r="G7" i="15"/>
  <c r="O7" i="15"/>
  <c r="W7" i="15"/>
  <c r="L6" i="15"/>
  <c r="T6" i="15"/>
  <c r="AB6" i="15"/>
  <c r="H7" i="15"/>
  <c r="P7" i="15"/>
  <c r="X7" i="15"/>
  <c r="AC3" i="15" a="1"/>
  <c r="AC3" i="15"/>
  <c r="E6" i="15"/>
  <c r="M6" i="15"/>
  <c r="U6" i="15"/>
  <c r="AC6" i="15"/>
  <c r="U3" i="15" a="1"/>
  <c r="U3" i="15"/>
  <c r="F6" i="15"/>
  <c r="N6" i="15"/>
  <c r="V6" i="15"/>
  <c r="AD6" i="15"/>
  <c r="J7" i="15"/>
  <c r="R7" i="15"/>
  <c r="Z7" i="15"/>
  <c r="G6" i="15"/>
  <c r="O6" i="15"/>
  <c r="W6" i="1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<sst xmlns="http://schemas.openxmlformats.org/spreadsheetml/2006/main" count="95" uniqueCount="89">
  <si>
    <t>LimType</t>
  </si>
  <si>
    <t>Wicklow</t>
  </si>
  <si>
    <t>Wexford</t>
  </si>
  <si>
    <t>Westmeath</t>
  </si>
  <si>
    <t>Waterford</t>
  </si>
  <si>
    <t>Tipperary</t>
  </si>
  <si>
    <t>Sligo</t>
  </si>
  <si>
    <t>Roscommon</t>
  </si>
  <si>
    <t>Offaly</t>
  </si>
  <si>
    <t>Monaghan</t>
  </si>
  <si>
    <t>Meath</t>
  </si>
  <si>
    <t>Mayo</t>
  </si>
  <si>
    <t>Louth</t>
  </si>
  <si>
    <t>Longford</t>
  </si>
  <si>
    <t>Limerick</t>
  </si>
  <si>
    <t>Leitrim</t>
  </si>
  <si>
    <t>Laois</t>
  </si>
  <si>
    <t>Kilkenny</t>
  </si>
  <si>
    <t>Kildare</t>
  </si>
  <si>
    <t>Kerry</t>
  </si>
  <si>
    <t>Galway</t>
  </si>
  <si>
    <t>Dublin</t>
  </si>
  <si>
    <t>Donegal</t>
  </si>
  <si>
    <t>Cork</t>
  </si>
  <si>
    <t>Clare</t>
  </si>
  <si>
    <t>Cavan</t>
  </si>
  <si>
    <t>Carlow</t>
  </si>
  <si>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</si>
  <si>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</si>
  <si>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</si>
  <si>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</si>
  <si>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</si>
  <si>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</si>
  <si>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</si>
  <si>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</si>
  <si>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IE-CN</t>
  </si>
  <si>
    <t>IE-CE</t>
  </si>
  <si>
    <t>IE-CO</t>
  </si>
  <si>
    <t>IE-DL</t>
  </si>
  <si>
    <t>IE-D</t>
  </si>
  <si>
    <t>IE-G</t>
  </si>
  <si>
    <t>IE-KY</t>
  </si>
  <si>
    <t>IE-KE</t>
  </si>
  <si>
    <t>IE-KK</t>
  </si>
  <si>
    <t>IE-LS</t>
  </si>
  <si>
    <t>IE-LM</t>
  </si>
  <si>
    <t>IE-LK</t>
  </si>
  <si>
    <t>IE-LD</t>
  </si>
  <si>
    <t>IE-LH</t>
  </si>
  <si>
    <t>IE-MO</t>
  </si>
  <si>
    <t>IE-MH</t>
  </si>
  <si>
    <t>IE-MN</t>
  </si>
  <si>
    <t>IE-OY</t>
  </si>
  <si>
    <t>IE-RN</t>
  </si>
  <si>
    <t>IE-SO</t>
  </si>
  <si>
    <t>IE-TA</t>
  </si>
  <si>
    <t>IE-WD</t>
  </si>
  <si>
    <t>IE-WH</t>
  </si>
  <si>
    <t>IE-WX</t>
  </si>
  <si>
    <t>IE-WW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</si>
  <si>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1"/>
        <color theme="1"/>
        <rFont val="Calibri"/>
        <family val="2"/>
        <scheme val="minor"/>
      </rPr>
      <t>https://en.wikipedia.org/wiki/ISO_3166-2:IE</t>
    </r>
  </si>
  <si>
    <t>Cset_CN</t>
  </si>
  <si>
    <t>TimeSlice</t>
  </si>
  <si>
    <t>Attribute</t>
  </si>
  <si>
    <t>Case #</t>
  </si>
  <si>
    <t>~InputCell:1-4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</si>
  <si>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</si>
  <si>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</si>
  <si>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</si>
  <si>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</si>
  <si>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</si>
  <si>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</si>
  <si>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</si>
  <si>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</si>
  <si>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</si>
  <si>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</si>
  <si>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</si>
  <si>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</si>
  <si>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 - Parametric</t>
  </si>
  <si>
    <t>All</t>
  </si>
  <si>
    <t>Bakytzhan Suleimenov (UCC, bsuleimenov@ucc.ie)</t>
  </si>
  <si>
    <t>Specify carbon price and tax on sectoral basis</t>
  </si>
  <si>
    <t>Carbon tax, non-ETS</t>
  </si>
  <si>
    <t>Carbon price, ETS</t>
  </si>
  <si>
    <t>~TFM_INS-TS</t>
  </si>
  <si>
    <t>region</t>
  </si>
  <si>
    <t>AGRCO2N,NOETSCO2,RSDCO2,SRVCO2N,TRACO2N</t>
  </si>
  <si>
    <t>ETSCO2,INDCO2P</t>
  </si>
  <si>
    <t>COM_TAXNET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</si>
</sst>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0" fontId="2" fillId="0" borderId="0"/>
  </cellStyleXfs>
  <cellXfs count="30">
    <xf numFmtId="0" fontId="0" fillId="0" borderId="0" xfId="0"/>
    <xf numFmtId="0" fontId="3" fillId="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 applyProtection="1">
      <alignment horizontal="left" vertical="center"/>
      <protection locked="0"/>
    </xf>
    <xf numFmtId="0" fontId="3" fillId="3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0" borderId="0" xfId="0" applyFont="1"/>
    <xf numFmtId="0" fontId="4" fillId="0" borderId="0" xfId="0" applyFont="1"/>
    <xf numFmtId="0" fontId="1" fillId="5" borderId="1" xfId="0" applyFont="1" applyFill="1" applyBorder="1"/>
    <xf numFmtId="1" fontId="0" fillId="0" borderId="0" xfId="0" applyNumberFormat="1"/>
    <xf numFmtId="0" fontId="5" fillId="6" borderId="0" xfId="2" applyFont="1" applyFill="1" applyAlignment="1">
      <alignment vertical="center"/>
    </xf>
    <xf numFmtId="0" fontId="5" fillId="4" borderId="0" xfId="2" applyFont="1" applyFill="1" applyAlignment="1">
      <alignment vertical="center"/>
    </xf>
    <xf numFmtId="0" fontId="7" fillId="4" borderId="0" xfId="2" applyFont="1" applyFill="1" applyAlignment="1">
      <alignment vertical="center"/>
    </xf>
    <xf numFmtId="0" fontId="6" fillId="4" borderId="0" xfId="2" applyFont="1" applyFill="1" applyAlignment="1">
      <alignment vertical="center"/>
    </xf>
    <xf numFmtId="0" fontId="5" fillId="7" borderId="0" xfId="2" applyFont="1" applyFill="1" applyAlignment="1">
      <alignment vertical="center"/>
    </xf>
    <xf numFmtId="0" fontId="8" fillId="4" borderId="0" xfId="2" applyFont="1" applyFill="1" applyAlignment="1">
      <alignment vertical="center"/>
    </xf>
    <xf numFmtId="0" fontId="9" fillId="4" borderId="0" xfId="2" applyFont="1" applyFill="1" applyAlignment="1">
      <alignment vertical="center"/>
    </xf>
    <xf numFmtId="0" fontId="10" fillId="6" borderId="0" xfId="2" applyFont="1" applyFill="1" applyAlignment="1">
      <alignment vertical="center"/>
    </xf>
    <xf numFmtId="0" fontId="11" fillId="4" borderId="0" xfId="2" applyFont="1" applyFill="1" applyAlignment="1">
      <alignment vertical="center"/>
    </xf>
    <xf numFmtId="0" fontId="12" fillId="4" borderId="0" xfId="2" applyFont="1" applyFill="1" applyAlignment="1">
      <alignment vertical="center"/>
    </xf>
    <xf numFmtId="0" fontId="11" fillId="6" borderId="0" xfId="2" applyFont="1" applyFill="1" applyAlignment="1">
      <alignment vertical="center"/>
    </xf>
    <xf numFmtId="164" fontId="11" fillId="6" borderId="0" xfId="2" applyNumberFormat="1" applyFont="1" applyFill="1" applyAlignment="1">
      <alignment horizontal="left" vertical="center"/>
    </xf>
    <xf numFmtId="0" fontId="13" fillId="4" borderId="0" xfId="2" applyFont="1" applyFill="1" applyAlignment="1">
      <alignment vertical="center"/>
    </xf>
    <xf numFmtId="0" fontId="14" fillId="6" borderId="0" xfId="2" applyFont="1" applyFill="1" applyAlignment="1">
      <alignment vertical="center"/>
    </xf>
    <xf numFmtId="0" fontId="6" fillId="6" borderId="0" xfId="1" applyFill="1" applyAlignment="1">
      <alignment vertical="center"/>
    </xf>
    <xf numFmtId="9" fontId="0" fillId="0" borderId="0" xfId="0" applyNumberFormat="1"/>
    <xf numFmtId="0" fontId="11" fillId="6" borderId="0" xfId="2" applyFont="1" applyFill="1" applyAlignment="1">
      <alignment vertical="center"/>
    </xf>
    <xf numFmtId="0" fontId="7" fillId="6" borderId="0" xfId="2" applyFont="1" applyFill="1" applyAlignment="1">
      <alignment horizontal="center" vertical="center"/>
    </xf>
    <xf numFmtId="0" fontId="6" fillId="6" borderId="0" xfId="1" applyFill="1" applyAlignment="1">
      <alignment vertical="center"/>
    </xf>
  </cellXfs>
  <cellStyles count="3">
    <cellStyle name="Hyperlink" xfId="1" builtinId="8"/>
    <cellStyle name="Normal" xfId="0" builtinId="0"/>
    <cellStyle name="Normal 2" xfId="2" xr:uid="{1494D221-184F-44A1-8114-99305ADA40B4}"/>
  </cellStyles>
  <dxfs count="0"/>
  <tableStyles count="0" defaultTableStyle="TableStyleMedium9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19050</xdr:colOff>
          <xdr:row>3</xdr:row>
          <xdr:rowOff>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5D97-54F2-4C7A-839A-18DE73A7A25B}">
  <sheetPr codeName="Sheet5"/>
  <dimension ref="A1:Z99"/>
  <sheetViews>
    <sheetView showGridLines="0" topLeftCell="A8" zoomScaleNormal="100" workbookViewId="0">
      <selection activeCell="B22" sqref="B22"/>
    </sheetView>
  </sheetViews>
  <sheetFormatPr defaultColWidth="8.81640625" defaultRowHeight="14.5" x14ac:dyDescent="0.35"/>
  <cols>
    <col min="1" max="4" width="21.7265625" customWidth="1"/>
    <col min="5" max="6" width="14.1796875" customWidth="1"/>
    <col min="7" max="7" width="12.1796875" customWidth="1"/>
    <col min="8" max="10" width="8.1796875" customWidth="1"/>
    <col min="11" max="11" width="9.7265625" customWidth="1"/>
    <col min="12" max="12" width="8.1796875" customWidth="1"/>
    <col min="13" max="13" width="10" customWidth="1"/>
    <col min="14" max="14" width="11.453125" customWidth="1"/>
    <col min="15" max="15" width="13.453125" customWidth="1"/>
  </cols>
  <sheetData>
    <row r="1" spans="1:26" x14ac:dyDescent="0.35">
      <c r="A1" s="11"/>
      <c r="B1" s="11"/>
      <c r="C1" s="11"/>
      <c r="D1" s="11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x14ac:dyDescent="0.35">
      <c r="A2" s="11"/>
      <c r="B2" s="11"/>
      <c r="C2" s="11"/>
      <c r="D2" s="11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x14ac:dyDescent="0.35">
      <c r="A3" s="11"/>
      <c r="B3" s="11"/>
      <c r="C3" s="11"/>
      <c r="D3" s="11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x14ac:dyDescent="0.35">
      <c r="A4" s="11"/>
      <c r="B4" s="11"/>
      <c r="C4" s="11"/>
      <c r="D4" s="11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x14ac:dyDescent="0.35">
      <c r="A5" s="11"/>
      <c r="B5" s="11"/>
      <c r="C5" s="11"/>
      <c r="D5" s="11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x14ac:dyDescent="0.35">
      <c r="A6" s="11"/>
      <c r="B6" s="11"/>
      <c r="C6" s="11"/>
      <c r="D6" s="11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x14ac:dyDescent="0.35">
      <c r="A7" s="11"/>
      <c r="B7" s="11"/>
      <c r="C7" s="11"/>
      <c r="D7" s="11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x14ac:dyDescent="0.35">
      <c r="A8" s="11"/>
      <c r="B8" s="11"/>
      <c r="C8" s="11"/>
      <c r="D8" s="11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x14ac:dyDescent="0.35">
      <c r="A9" s="11"/>
      <c r="B9" s="11"/>
      <c r="C9" s="11"/>
      <c r="D9" s="11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x14ac:dyDescent="0.35">
      <c r="A10" s="11"/>
      <c r="B10" s="11"/>
      <c r="C10" s="11"/>
      <c r="D10" s="11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x14ac:dyDescent="0.35">
      <c r="A11" s="11"/>
      <c r="B11" s="11"/>
      <c r="C11" s="11"/>
      <c r="D11" s="11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x14ac:dyDescent="0.35">
      <c r="A12" s="11"/>
      <c r="B12" s="11"/>
      <c r="C12" s="11"/>
      <c r="D12" s="11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x14ac:dyDescent="0.35">
      <c r="A13" s="11"/>
      <c r="B13" s="11"/>
      <c r="C13" s="11"/>
      <c r="D13" s="11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x14ac:dyDescent="0.35">
      <c r="A14" s="11"/>
      <c r="B14" s="11"/>
      <c r="C14" s="11"/>
      <c r="D14" s="11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x14ac:dyDescent="0.35">
      <c r="A15" s="11"/>
      <c r="B15" s="11"/>
      <c r="C15" s="11"/>
      <c r="D15" s="11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02.75" customHeight="1" x14ac:dyDescent="0.35">
      <c r="A16" s="28" t="s">
        <v>66</v>
      </c>
      <c r="B16" s="28"/>
      <c r="C16" s="28"/>
      <c r="D16" s="28"/>
      <c r="E16" s="13"/>
      <c r="F16" s="13"/>
      <c r="G16" s="14"/>
      <c r="H16" s="14"/>
      <c r="I16" s="14"/>
      <c r="J16" s="14"/>
      <c r="K16" s="14"/>
      <c r="L16" s="14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7.25" customHeight="1" x14ac:dyDescent="0.35">
      <c r="A17" s="15"/>
      <c r="B17" s="15"/>
      <c r="C17" s="15"/>
      <c r="D17" s="15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7.25" customHeight="1" x14ac:dyDescent="0.35">
      <c r="A18" s="15"/>
      <c r="B18" s="15"/>
      <c r="C18" s="15"/>
      <c r="D18" s="15"/>
      <c r="E18" s="16"/>
      <c r="F18" s="16"/>
      <c r="G18" s="17"/>
      <c r="H18" s="17"/>
      <c r="I18" s="17"/>
      <c r="J18" s="17"/>
      <c r="K18" s="17"/>
      <c r="L18" s="17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7.25" customHeight="1" x14ac:dyDescent="0.35">
      <c r="A19" s="18" t="s">
        <v>67</v>
      </c>
      <c r="B19" s="27" t="s">
        <v>78</v>
      </c>
      <c r="C19" s="27"/>
      <c r="D19" s="27"/>
      <c r="E19" s="19"/>
      <c r="F19" s="19"/>
      <c r="G19" s="20"/>
      <c r="H19" s="20"/>
      <c r="I19" s="20"/>
      <c r="J19" s="20"/>
      <c r="K19" s="20"/>
      <c r="L19" s="20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7.25" customHeight="1" x14ac:dyDescent="0.35">
      <c r="A20" s="18" t="s">
        <v>68</v>
      </c>
      <c r="B20" s="27" t="s">
        <v>79</v>
      </c>
      <c r="C20" s="27"/>
      <c r="D20" s="27"/>
      <c r="E20" s="19"/>
      <c r="F20" s="19"/>
      <c r="G20" s="20"/>
      <c r="H20" s="20"/>
      <c r="I20" s="20"/>
      <c r="J20" s="20"/>
      <c r="K20" s="20"/>
      <c r="L20" s="20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7.25" customHeight="1" x14ac:dyDescent="0.35">
      <c r="A21" s="18" t="s">
        <v>69</v>
      </c>
      <c r="B21" s="21" t="s">
        <v>81</v>
      </c>
      <c r="C21" s="21"/>
      <c r="D21" s="21"/>
      <c r="E21" s="19"/>
      <c r="F21" s="19"/>
      <c r="G21" s="20"/>
      <c r="H21" s="20"/>
      <c r="I21" s="20"/>
      <c r="J21" s="20"/>
      <c r="K21" s="20"/>
      <c r="L21" s="20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7.25" customHeight="1" x14ac:dyDescent="0.35">
      <c r="A22" s="18"/>
      <c r="B22" s="21"/>
      <c r="C22" s="21"/>
      <c r="D22" s="21"/>
      <c r="E22" s="19"/>
      <c r="F22" s="19"/>
      <c r="G22" s="20"/>
      <c r="H22" s="20"/>
      <c r="I22" s="20"/>
      <c r="J22" s="20"/>
      <c r="K22" s="20"/>
      <c r="L22" s="20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7.25" customHeight="1" x14ac:dyDescent="0.35">
      <c r="A23" s="18" t="s">
        <v>70</v>
      </c>
      <c r="B23" s="27" t="s">
        <v>80</v>
      </c>
      <c r="C23" s="27"/>
      <c r="D23" s="27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7.25" customHeight="1" x14ac:dyDescent="0.35">
      <c r="A24" s="18"/>
      <c r="B24" s="21"/>
      <c r="C24" s="21"/>
      <c r="D24" s="21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7.25" customHeight="1" x14ac:dyDescent="0.35">
      <c r="A25" s="18"/>
      <c r="B25" s="21"/>
      <c r="C25" s="21"/>
      <c r="D25" s="21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7.25" customHeight="1" x14ac:dyDescent="0.35">
      <c r="A26" s="18" t="s">
        <v>71</v>
      </c>
      <c r="B26" s="27" t="s">
        <v>80</v>
      </c>
      <c r="C26" s="27"/>
      <c r="D26" s="27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7.25" customHeight="1" x14ac:dyDescent="0.35">
      <c r="A27" s="18"/>
      <c r="B27" s="21"/>
      <c r="C27" s="21"/>
      <c r="D27" s="21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7.25" customHeight="1" x14ac:dyDescent="0.35">
      <c r="A28" s="18"/>
      <c r="B28" s="21"/>
      <c r="C28" s="21"/>
      <c r="D28" s="21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7.25" customHeight="1" x14ac:dyDescent="0.35">
      <c r="A29" s="18" t="s">
        <v>72</v>
      </c>
      <c r="B29" s="22">
        <v>1</v>
      </c>
      <c r="C29" s="21"/>
      <c r="D29" s="21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7.25" customHeight="1" x14ac:dyDescent="0.35">
      <c r="A30" s="18" t="s">
        <v>73</v>
      </c>
      <c r="B30" s="29" t="s">
        <v>74</v>
      </c>
      <c r="C30" s="27"/>
      <c r="D30" s="27"/>
      <c r="E30" s="23"/>
      <c r="F30" s="23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7.25" customHeight="1" x14ac:dyDescent="0.35">
      <c r="A31" s="18" t="s">
        <v>75</v>
      </c>
      <c r="B31" s="27" t="s">
        <v>76</v>
      </c>
      <c r="C31" s="27"/>
      <c r="D31" s="27"/>
      <c r="E31" s="23"/>
      <c r="F31" s="23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7.25" customHeight="1" x14ac:dyDescent="0.35">
      <c r="A32" s="24"/>
      <c r="B32" s="25" t="s">
        <v>77</v>
      </c>
      <c r="C32" s="24"/>
      <c r="D32" s="24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x14ac:dyDescent="0.35">
      <c r="A33" s="11"/>
      <c r="B33" s="11"/>
      <c r="C33" s="11"/>
      <c r="D33" s="11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x14ac:dyDescent="0.35">
      <c r="A34" s="11"/>
      <c r="B34" s="11"/>
      <c r="C34" s="11"/>
      <c r="D34" s="11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x14ac:dyDescent="0.35">
      <c r="A35" s="11"/>
      <c r="B35" s="11"/>
      <c r="C35" s="11"/>
      <c r="D35" s="11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x14ac:dyDescent="0.35">
      <c r="A36" s="11"/>
      <c r="B36" s="11"/>
      <c r="C36" s="11"/>
      <c r="D36" s="11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x14ac:dyDescent="0.35">
      <c r="A37" s="11"/>
      <c r="B37" s="11"/>
      <c r="C37" s="11"/>
      <c r="D37" s="11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x14ac:dyDescent="0.35">
      <c r="A38" s="11"/>
      <c r="B38" s="11"/>
      <c r="C38" s="11"/>
      <c r="D38" s="11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x14ac:dyDescent="0.35">
      <c r="A39" s="11"/>
      <c r="B39" s="11"/>
      <c r="C39" s="11"/>
      <c r="D39" s="11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x14ac:dyDescent="0.35">
      <c r="A40" s="11"/>
      <c r="B40" s="11"/>
      <c r="C40" s="11"/>
      <c r="D40" s="11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x14ac:dyDescent="0.35">
      <c r="A41" s="11"/>
      <c r="B41" s="11"/>
      <c r="C41" s="11"/>
      <c r="D41" s="11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x14ac:dyDescent="0.35">
      <c r="A42" s="11"/>
      <c r="B42" s="11"/>
      <c r="C42" s="11"/>
      <c r="D42" s="11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x14ac:dyDescent="0.3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x14ac:dyDescent="0.3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x14ac:dyDescent="0.3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x14ac:dyDescent="0.3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x14ac:dyDescent="0.35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x14ac:dyDescent="0.35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x14ac:dyDescent="0.35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x14ac:dyDescent="0.35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x14ac:dyDescent="0.35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x14ac:dyDescent="0.35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x14ac:dyDescent="0.35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x14ac:dyDescent="0.35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x14ac:dyDescent="0.3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x14ac:dyDescent="0.35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x14ac:dyDescent="0.35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x14ac:dyDescent="0.35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x14ac:dyDescent="0.35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x14ac:dyDescent="0.35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x14ac:dyDescent="0.35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x14ac:dyDescent="0.35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x14ac:dyDescent="0.35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x14ac:dyDescent="0.35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x14ac:dyDescent="0.3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x14ac:dyDescent="0.35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x14ac:dyDescent="0.35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x14ac:dyDescent="0.35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x14ac:dyDescent="0.35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x14ac:dyDescent="0.35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x14ac:dyDescent="0.35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x14ac:dyDescent="0.35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x14ac:dyDescent="0.35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x14ac:dyDescent="0.35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x14ac:dyDescent="0.3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x14ac:dyDescent="0.35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x14ac:dyDescent="0.35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x14ac:dyDescent="0.35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x14ac:dyDescent="0.35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x14ac:dyDescent="0.35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x14ac:dyDescent="0.35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x14ac:dyDescent="0.35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x14ac:dyDescent="0.35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x14ac:dyDescent="0.35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x14ac:dyDescent="0.3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x14ac:dyDescent="0.35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x14ac:dyDescent="0.35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x14ac:dyDescent="0.35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x14ac:dyDescent="0.35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x14ac:dyDescent="0.35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x14ac:dyDescent="0.35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x14ac:dyDescent="0.35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x14ac:dyDescent="0.35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x14ac:dyDescent="0.35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x14ac:dyDescent="0.3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x14ac:dyDescent="0.35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x14ac:dyDescent="0.35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x14ac:dyDescent="0.35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x14ac:dyDescent="0.35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</sheetData>
  <mergeCells count="7">
    <mergeCell ref="B31:D31"/>
    <mergeCell ref="A16:D16"/>
    <mergeCell ref="B19:D19"/>
    <mergeCell ref="B20:D20"/>
    <mergeCell ref="B23:D23"/>
    <mergeCell ref="B26:D26"/>
    <mergeCell ref="B30:D30"/>
  </mergeCells>
  <hyperlinks>
    <hyperlink ref="B30" r:id="rId1" xr:uid="{1CEE63B2-BDCF-4EB6-A1B1-F680A139503F}"/>
    <hyperlink ref="B32" r:id="rId2" xr:uid="{B034561A-DFA3-4D47-B1D7-18312A7C8D0A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030FF-C503-4743-9DBD-437AEB1E949D}">
  <sheetPr codeName="Sheet8"/>
  <dimension ref="A3:AD37"/>
  <sheetViews>
    <sheetView zoomScaleNormal="100" workbookViewId="0">
      <selection activeCell="B7" sqref="B7"/>
    </sheetView>
  </sheetViews>
  <sheetFormatPr defaultColWidth="9.1796875" defaultRowHeight="14.5" x14ac:dyDescent="0.35"/>
  <cols>
    <col min="1" max="1" width="12.1796875" customWidth="1"/>
    <col min="2" max="2" width="11.7265625" customWidth="1"/>
    <col min="3" max="3" width="3.1796875" bestFit="1" customWidth="1"/>
    <col min="4" max="4" width="8.54296875" bestFit="1" customWidth="1"/>
    <col min="5" max="5" width="6.453125" bestFit="1" customWidth="1"/>
    <col min="6" max="6" width="4.81640625" bestFit="1" customWidth="1"/>
    <col min="7" max="7" width="5.7265625" bestFit="1" customWidth="1"/>
    <col min="8" max="8" width="5.81640625" bestFit="1" customWidth="1"/>
    <col min="9" max="9" width="5.453125" bestFit="1" customWidth="1"/>
    <col min="10" max="11" width="5.7265625" bestFit="1" customWidth="1"/>
    <col min="12" max="12" width="6.54296875" bestFit="1" customWidth="1"/>
    <col min="13" max="13" width="6.1796875" bestFit="1" customWidth="1"/>
    <col min="14" max="14" width="6.7265625" bestFit="1" customWidth="1"/>
    <col min="15" max="15" width="6.54296875" bestFit="1" customWidth="1"/>
    <col min="16" max="16" width="7.26953125" bestFit="1" customWidth="1"/>
    <col min="17" max="17" width="5.7265625" bestFit="1" customWidth="1"/>
    <col min="18" max="18" width="6.1796875" bestFit="1" customWidth="1"/>
    <col min="19" max="19" width="5.7265625" bestFit="1" customWidth="1"/>
    <col min="20" max="20" width="5.54296875" bestFit="1" customWidth="1"/>
    <col min="21" max="21" width="5.81640625" bestFit="1" customWidth="1"/>
    <col min="22" max="22" width="6.7265625" bestFit="1" customWidth="1"/>
    <col min="23" max="23" width="4.81640625" bestFit="1" customWidth="1"/>
    <col min="24" max="24" width="7.54296875" customWidth="1"/>
    <col min="25" max="25" width="6.7265625" bestFit="1" customWidth="1"/>
    <col min="26" max="26" width="6.1796875" bestFit="1" customWidth="1"/>
    <col min="27" max="28" width="6" bestFit="1" customWidth="1"/>
    <col min="29" max="29" width="5.7265625" bestFit="1" customWidth="1"/>
    <col min="30" max="30" width="6.7265625" bestFit="1" customWidth="1"/>
  </cols>
  <sheetData>
    <row r="3" spans="1:30" x14ac:dyDescent="0.35">
      <c r="C3" s="1" t="str" cm="1">
        <f t="array" ref="C3">IF(LEFT(INDEX(C5:C7,$A$4),1)&lt;&gt;"*",INDEX(C5:C7,$A$4),"")</f>
        <v>IE</v>
      </c>
      <c r="D3" s="1" t="str" cm="1">
        <f t="array" ref="D3">IF(LEFT(INDEX(D5:D7,$A$4),1)&lt;&gt;"*",INDEX(D5:D7,$A$4),"")</f>
        <v>National</v>
      </c>
      <c r="E3" s="1" t="str" cm="1">
        <f t="array" ref="E3">IF(LEFT(INDEX(E5:E7,$A$4),1)&lt;&gt;"*",INDEX(E5:E7,$A$4),"")</f>
        <v>IE-CW</v>
      </c>
      <c r="F3" s="1" t="str" cm="1">
        <f t="array" ref="F3">IF(LEFT(INDEX(F5:F7,$A$4),1)&lt;&gt;"*",INDEX(F5:F7,$A$4),"")</f>
        <v>IE-D</v>
      </c>
      <c r="G3" s="1" t="str" cm="1">
        <f t="array" ref="G3">IF(LEFT(INDEX(G5:G7,$A$4),1)&lt;&gt;"*",INDEX(G5:G7,$A$4),"")</f>
        <v>IE-KE</v>
      </c>
      <c r="H3" s="1" t="str" cm="1">
        <f t="array" ref="H3">IF(LEFT(INDEX(H5:H7,$A$4),1)&lt;&gt;"*",INDEX(H5:H7,$A$4),"")</f>
        <v>IE-KK</v>
      </c>
      <c r="I3" s="1" t="str" cm="1">
        <f t="array" ref="I3">IF(LEFT(INDEX(I5:I7,$A$4),1)&lt;&gt;"*",INDEX(I5:I7,$A$4),"")</f>
        <v>IE-LS</v>
      </c>
      <c r="J3" s="1" t="str" cm="1">
        <f t="array" ref="J3">IF(LEFT(INDEX(J5:J7,$A$4),1)&lt;&gt;"*",INDEX(J5:J7,$A$4),"")</f>
        <v>IE-LD</v>
      </c>
      <c r="K3" s="1" t="str" cm="1">
        <f t="array" ref="K3">IF(LEFT(INDEX(K5:K7,$A$4),1)&lt;&gt;"*",INDEX(K5:K7,$A$4),"")</f>
        <v>IE-LH</v>
      </c>
      <c r="L3" s="1" t="str" cm="1">
        <f t="array" ref="L3">IF(LEFT(INDEX(L5:L7,$A$4),1)&lt;&gt;"*",INDEX(L5:L7,$A$4),"")</f>
        <v>IE-MH</v>
      </c>
      <c r="M3" s="1" t="str" cm="1">
        <f t="array" ref="M3">IF(LEFT(INDEX(M5:M7,$A$4),1)&lt;&gt;"*",INDEX(M5:M7,$A$4),"")</f>
        <v>IE-OY</v>
      </c>
      <c r="N3" s="1" t="str" cm="1">
        <f t="array" ref="N3">IF(LEFT(INDEX(N5:N7,$A$4),1)&lt;&gt;"*",INDEX(N5:N7,$A$4),"")</f>
        <v>IE-WH</v>
      </c>
      <c r="O3" s="1" t="str" cm="1">
        <f t="array" ref="O3">IF(LEFT(INDEX(O5:O7,$A$4),1)&lt;&gt;"*",INDEX(O5:O7,$A$4),"")</f>
        <v>IE-WX</v>
      </c>
      <c r="P3" s="1" t="str" cm="1">
        <f t="array" ref="P3">IF(LEFT(INDEX(P5:P7,$A$4),1)&lt;&gt;"*",INDEX(P5:P7,$A$4),"")</f>
        <v>IE-WW</v>
      </c>
      <c r="Q3" s="1" t="str" cm="1">
        <f t="array" ref="Q3">IF(LEFT(INDEX(Q5:Q7,$A$4),1)&lt;&gt;"*",INDEX(Q5:Q7,$A$4),"")</f>
        <v>IE-CE</v>
      </c>
      <c r="R3" s="1" t="str" cm="1">
        <f t="array" ref="R3">IF(LEFT(INDEX(R5:R7,$A$4),1)&lt;&gt;"*",INDEX(R5:R7,$A$4),"")</f>
        <v>IE-CO</v>
      </c>
      <c r="S3" s="1" t="str" cm="1">
        <f t="array" ref="S3">IF(LEFT(INDEX(S5:S7,$A$4),1)&lt;&gt;"*",INDEX(S5:S7,$A$4),"")</f>
        <v>IE-KY</v>
      </c>
      <c r="T3" s="1" t="str" cm="1">
        <f t="array" ref="T3">IF(LEFT(INDEX(T5:T7,$A$4),1)&lt;&gt;"*",INDEX(T5:T7,$A$4),"")</f>
        <v>IE-LK</v>
      </c>
      <c r="U3" s="1" t="str" cm="1">
        <f t="array" ref="U3">IF(LEFT(INDEX(U5:U7,$A$4),1)&lt;&gt;"*",INDEX(U5:U7,$A$4),"")</f>
        <v>IE-TA</v>
      </c>
      <c r="V3" s="1" t="str" cm="1">
        <f t="array" ref="V3">IF(LEFT(INDEX(V5:V7,$A$4),1)&lt;&gt;"*",INDEX(V5:V7,$A$4),"")</f>
        <v>IE-WD</v>
      </c>
      <c r="W3" s="1" t="str" cm="1">
        <f t="array" ref="W3">IF(LEFT(INDEX(W5:W7,$A$4),1)&lt;&gt;"*",INDEX(W5:W7,$A$4),"")</f>
        <v>IE-G</v>
      </c>
      <c r="X3" s="1" t="str" cm="1">
        <f t="array" ref="X3">IF(LEFT(INDEX(X5:X7,$A$4),1)&lt;&gt;"*",INDEX(X5:X7,$A$4),"")</f>
        <v>IE-LM</v>
      </c>
      <c r="Y3" s="1" t="str" cm="1">
        <f t="array" ref="Y3">IF(LEFT(INDEX(Y5:Y7,$A$4),1)&lt;&gt;"*",INDEX(Y5:Y7,$A$4),"")</f>
        <v>IE-MO</v>
      </c>
      <c r="Z3" s="1" t="str" cm="1">
        <f t="array" ref="Z3">IF(LEFT(INDEX(Z5:Z7,$A$4),1)&lt;&gt;"*",INDEX(Z5:Z7,$A$4),"")</f>
        <v>IE-RN</v>
      </c>
      <c r="AA3" s="1" t="str" cm="1">
        <f t="array" ref="AA3">IF(LEFT(INDEX(AA5:AA7,$A$4),1)&lt;&gt;"*",INDEX(AA5:AA7,$A$4),"")</f>
        <v>IE-SO</v>
      </c>
      <c r="AB3" s="1" t="str" cm="1">
        <f t="array" ref="AB3">IF(LEFT(INDEX(AB5:AB7,$A$4),1)&lt;&gt;"*",INDEX(AB5:AB7,$A$4),"")</f>
        <v>IE-CN</v>
      </c>
      <c r="AC3" s="1" t="str" cm="1">
        <f t="array" ref="AC3">IF(LEFT(INDEX(AC5:AC7,$A$4),1)&lt;&gt;"*",INDEX(AC5:AC7,$A$4),"")</f>
        <v>IE-DL</v>
      </c>
      <c r="AD3" s="1" t="str" cm="1">
        <f t="array" ref="AD3">IF(LEFT(INDEX(AD5:AD7,$A$4),1)&lt;&gt;"*",INDEX(AD5:AD7,$A$4),"")</f>
        <v>IE-MN</v>
      </c>
    </row>
    <row r="4" spans="1:30" x14ac:dyDescent="0.35">
      <c r="A4">
        <v>1</v>
      </c>
    </row>
    <row r="5" spans="1:30" x14ac:dyDescent="0.35">
      <c r="A5" t="s">
        <v>27</v>
      </c>
      <c r="C5" s="2" t="s">
        <v>28</v>
      </c>
      <c r="D5" s="2" t="s">
        <v>29</v>
      </c>
      <c r="E5" s="1" t="str">
        <f>Regions!A11</f>
        <v>IE-CW</v>
      </c>
      <c r="F5" s="1" t="str">
        <f>Regions!A16</f>
        <v>IE-D</v>
      </c>
      <c r="G5" s="1" t="str">
        <f>Regions!A19</f>
        <v>IE-KE</v>
      </c>
      <c r="H5" s="1" t="str">
        <f>Regions!A20</f>
        <v>IE-KK</v>
      </c>
      <c r="I5" s="1" t="str">
        <f>Regions!A21</f>
        <v>IE-LS</v>
      </c>
      <c r="J5" s="1" t="str">
        <f>Regions!A24</f>
        <v>IE-LD</v>
      </c>
      <c r="K5" s="1" t="str">
        <f>Regions!A25</f>
        <v>IE-LH</v>
      </c>
      <c r="L5" s="1" t="str">
        <f>Regions!A27</f>
        <v>IE-MH</v>
      </c>
      <c r="M5" s="1" t="str">
        <f>Regions!A29</f>
        <v>IE-OY</v>
      </c>
      <c r="N5" s="1" t="str">
        <f>Regions!A34</f>
        <v>IE-WH</v>
      </c>
      <c r="O5" s="1" t="str">
        <f>Regions!A35</f>
        <v>IE-WX</v>
      </c>
      <c r="P5" s="1" t="str">
        <f>Regions!A36</f>
        <v>IE-WW</v>
      </c>
      <c r="Q5" s="1" t="str">
        <f>Regions!A13</f>
        <v>IE-CE</v>
      </c>
      <c r="R5" s="1" t="str">
        <f>Regions!A14</f>
        <v>IE-CO</v>
      </c>
      <c r="S5" s="1" t="str">
        <f>Regions!A18</f>
        <v>IE-KY</v>
      </c>
      <c r="T5" s="1" t="str">
        <f>Regions!A23</f>
        <v>IE-LK</v>
      </c>
      <c r="U5" s="1" t="str">
        <f>Regions!A32</f>
        <v>IE-TA</v>
      </c>
      <c r="V5" s="1" t="str">
        <f>Regions!A33</f>
        <v>IE-WD</v>
      </c>
      <c r="W5" s="1" t="str">
        <f>Regions!A17</f>
        <v>IE-G</v>
      </c>
      <c r="X5" s="1" t="str">
        <f>Regions!A22</f>
        <v>IE-LM</v>
      </c>
      <c r="Y5" s="1" t="str">
        <f>Regions!A26</f>
        <v>IE-MO</v>
      </c>
      <c r="Z5" s="1" t="str">
        <f>Regions!A30</f>
        <v>IE-RN</v>
      </c>
      <c r="AA5" s="1" t="str">
        <f>Regions!A31</f>
        <v>IE-SO</v>
      </c>
      <c r="AB5" s="1" t="str">
        <f>Regions!A12</f>
        <v>IE-CN</v>
      </c>
      <c r="AC5" s="1" t="str">
        <f>Regions!A15</f>
        <v>IE-DL</v>
      </c>
      <c r="AD5" s="1" t="str">
        <f>Regions!A28</f>
        <v>IE-MN</v>
      </c>
    </row>
    <row r="6" spans="1:30" x14ac:dyDescent="0.35">
      <c r="A6" t="s">
        <v>30</v>
      </c>
      <c r="C6" s="1" t="str">
        <f>C5</f>
        <v>IE</v>
      </c>
      <c r="D6" s="1" t="str">
        <f>IF(LEFT(D5,1)&lt;&gt;"*","*"&amp;D5,D5)</f>
        <v>*National</v>
      </c>
      <c r="E6" s="1" t="str">
        <f t="shared" ref="E6:AD6" si="0">IF(LEFT(E5,1)&lt;&gt;"*","*"&amp;E5,E5)</f>
        <v>*IE-CW</v>
      </c>
      <c r="F6" s="1" t="str">
        <f t="shared" si="0"/>
        <v>*IE-D</v>
      </c>
      <c r="G6" s="1" t="str">
        <f t="shared" si="0"/>
        <v>*IE-KE</v>
      </c>
      <c r="H6" s="1" t="str">
        <f t="shared" si="0"/>
        <v>*IE-KK</v>
      </c>
      <c r="I6" s="1" t="str">
        <f t="shared" si="0"/>
        <v>*IE-LS</v>
      </c>
      <c r="J6" s="1" t="str">
        <f t="shared" si="0"/>
        <v>*IE-LD</v>
      </c>
      <c r="K6" s="1" t="str">
        <f t="shared" si="0"/>
        <v>*IE-LH</v>
      </c>
      <c r="L6" s="1" t="str">
        <f t="shared" si="0"/>
        <v>*IE-MH</v>
      </c>
      <c r="M6" s="1" t="str">
        <f t="shared" si="0"/>
        <v>*IE-OY</v>
      </c>
      <c r="N6" s="1" t="str">
        <f t="shared" si="0"/>
        <v>*IE-WH</v>
      </c>
      <c r="O6" s="1" t="str">
        <f t="shared" si="0"/>
        <v>*IE-WX</v>
      </c>
      <c r="P6" s="1" t="str">
        <f t="shared" si="0"/>
        <v>*IE-WW</v>
      </c>
      <c r="Q6" s="1" t="str">
        <f t="shared" si="0"/>
        <v>*IE-CE</v>
      </c>
      <c r="R6" s="1" t="str">
        <f t="shared" si="0"/>
        <v>*IE-CO</v>
      </c>
      <c r="S6" s="1" t="str">
        <f t="shared" si="0"/>
        <v>*IE-KY</v>
      </c>
      <c r="T6" s="1" t="str">
        <f t="shared" si="0"/>
        <v>*IE-LK</v>
      </c>
      <c r="U6" s="1" t="str">
        <f t="shared" si="0"/>
        <v>*IE-TA</v>
      </c>
      <c r="V6" s="1" t="str">
        <f t="shared" si="0"/>
        <v>*IE-WD</v>
      </c>
      <c r="W6" s="1" t="str">
        <f t="shared" si="0"/>
        <v>*IE-G</v>
      </c>
      <c r="X6" s="1" t="str">
        <f t="shared" si="0"/>
        <v>*IE-LM</v>
      </c>
      <c r="Y6" s="1" t="str">
        <f t="shared" si="0"/>
        <v>*IE-MO</v>
      </c>
      <c r="Z6" s="1" t="str">
        <f t="shared" si="0"/>
        <v>*IE-RN</v>
      </c>
      <c r="AA6" s="1" t="str">
        <f t="shared" si="0"/>
        <v>*IE-SO</v>
      </c>
      <c r="AB6" s="1" t="str">
        <f t="shared" si="0"/>
        <v>*IE-CN</v>
      </c>
      <c r="AC6" s="1" t="str">
        <f t="shared" si="0"/>
        <v>*IE-DL</v>
      </c>
      <c r="AD6" s="1" t="str">
        <f t="shared" si="0"/>
        <v>*IE-MN</v>
      </c>
    </row>
    <row r="7" spans="1:30" x14ac:dyDescent="0.35">
      <c r="A7" t="s">
        <v>31</v>
      </c>
      <c r="C7" s="1" t="str">
        <f>"*"&amp;C5</f>
        <v>*IE</v>
      </c>
      <c r="D7" s="1" t="str">
        <f>D5</f>
        <v>National</v>
      </c>
      <c r="E7" s="1" t="str">
        <f t="shared" ref="E7:AD7" si="1">E5</f>
        <v>IE-CW</v>
      </c>
      <c r="F7" s="1" t="str">
        <f t="shared" si="1"/>
        <v>IE-D</v>
      </c>
      <c r="G7" s="1" t="str">
        <f t="shared" si="1"/>
        <v>IE-KE</v>
      </c>
      <c r="H7" s="1" t="str">
        <f t="shared" si="1"/>
        <v>IE-KK</v>
      </c>
      <c r="I7" s="1" t="str">
        <f t="shared" si="1"/>
        <v>IE-LS</v>
      </c>
      <c r="J7" s="1" t="str">
        <f t="shared" si="1"/>
        <v>IE-LD</v>
      </c>
      <c r="K7" s="1" t="str">
        <f t="shared" si="1"/>
        <v>IE-LH</v>
      </c>
      <c r="L7" s="1" t="str">
        <f t="shared" si="1"/>
        <v>IE-MH</v>
      </c>
      <c r="M7" s="1" t="str">
        <f t="shared" si="1"/>
        <v>IE-OY</v>
      </c>
      <c r="N7" s="1" t="str">
        <f t="shared" si="1"/>
        <v>IE-WH</v>
      </c>
      <c r="O7" s="1" t="str">
        <f t="shared" si="1"/>
        <v>IE-WX</v>
      </c>
      <c r="P7" s="1" t="str">
        <f t="shared" si="1"/>
        <v>IE-WW</v>
      </c>
      <c r="Q7" s="1" t="str">
        <f t="shared" si="1"/>
        <v>IE-CE</v>
      </c>
      <c r="R7" s="1" t="str">
        <f t="shared" si="1"/>
        <v>IE-CO</v>
      </c>
      <c r="S7" s="1" t="str">
        <f t="shared" si="1"/>
        <v>IE-KY</v>
      </c>
      <c r="T7" s="1" t="str">
        <f t="shared" si="1"/>
        <v>IE-LK</v>
      </c>
      <c r="U7" s="1" t="str">
        <f t="shared" si="1"/>
        <v>IE-TA</v>
      </c>
      <c r="V7" s="1" t="str">
        <f t="shared" si="1"/>
        <v>IE-WD</v>
      </c>
      <c r="W7" s="1" t="str">
        <f t="shared" si="1"/>
        <v>IE-G</v>
      </c>
      <c r="X7" s="1" t="str">
        <f t="shared" si="1"/>
        <v>IE-LM</v>
      </c>
      <c r="Y7" s="1" t="str">
        <f t="shared" si="1"/>
        <v>IE-MO</v>
      </c>
      <c r="Z7" s="1" t="str">
        <f t="shared" si="1"/>
        <v>IE-RN</v>
      </c>
      <c r="AA7" s="1" t="str">
        <f t="shared" si="1"/>
        <v>IE-SO</v>
      </c>
      <c r="AB7" s="1" t="str">
        <f t="shared" si="1"/>
        <v>IE-CN</v>
      </c>
      <c r="AC7" s="1" t="str">
        <f t="shared" si="1"/>
        <v>IE-DL</v>
      </c>
      <c r="AD7" s="1" t="str">
        <f t="shared" si="1"/>
        <v>IE-MN</v>
      </c>
    </row>
    <row r="10" spans="1:30" ht="15" thickBot="1" x14ac:dyDescent="0.4">
      <c r="A10" s="3" t="s">
        <v>32</v>
      </c>
      <c r="B10" s="3" t="s">
        <v>33</v>
      </c>
    </row>
    <row r="11" spans="1:30" x14ac:dyDescent="0.35">
      <c r="A11" s="4" t="s">
        <v>34</v>
      </c>
      <c r="B11" s="4" t="s">
        <v>26</v>
      </c>
    </row>
    <row r="12" spans="1:30" x14ac:dyDescent="0.35">
      <c r="A12" s="5" t="s">
        <v>35</v>
      </c>
      <c r="B12" s="5" t="s">
        <v>25</v>
      </c>
    </row>
    <row r="13" spans="1:30" x14ac:dyDescent="0.35">
      <c r="A13" s="5" t="s">
        <v>36</v>
      </c>
      <c r="B13" s="5" t="s">
        <v>24</v>
      </c>
    </row>
    <row r="14" spans="1:30" x14ac:dyDescent="0.35">
      <c r="A14" s="5" t="s">
        <v>37</v>
      </c>
      <c r="B14" s="5" t="s">
        <v>23</v>
      </c>
    </row>
    <row r="15" spans="1:30" x14ac:dyDescent="0.35">
      <c r="A15" s="5" t="s">
        <v>38</v>
      </c>
      <c r="B15" s="5" t="s">
        <v>22</v>
      </c>
    </row>
    <row r="16" spans="1:30" x14ac:dyDescent="0.35">
      <c r="A16" s="5" t="s">
        <v>39</v>
      </c>
      <c r="B16" s="5" t="s">
        <v>21</v>
      </c>
    </row>
    <row r="17" spans="1:2" x14ac:dyDescent="0.35">
      <c r="A17" s="5" t="s">
        <v>40</v>
      </c>
      <c r="B17" s="5" t="s">
        <v>20</v>
      </c>
    </row>
    <row r="18" spans="1:2" x14ac:dyDescent="0.35">
      <c r="A18" s="5" t="s">
        <v>41</v>
      </c>
      <c r="B18" s="5" t="s">
        <v>19</v>
      </c>
    </row>
    <row r="19" spans="1:2" x14ac:dyDescent="0.35">
      <c r="A19" s="5" t="s">
        <v>42</v>
      </c>
      <c r="B19" s="5" t="s">
        <v>18</v>
      </c>
    </row>
    <row r="20" spans="1:2" x14ac:dyDescent="0.35">
      <c r="A20" s="5" t="s">
        <v>43</v>
      </c>
      <c r="B20" s="5" t="s">
        <v>17</v>
      </c>
    </row>
    <row r="21" spans="1:2" x14ac:dyDescent="0.35">
      <c r="A21" s="5" t="s">
        <v>44</v>
      </c>
      <c r="B21" s="5" t="s">
        <v>16</v>
      </c>
    </row>
    <row r="22" spans="1:2" x14ac:dyDescent="0.35">
      <c r="A22" s="5" t="s">
        <v>45</v>
      </c>
      <c r="B22" s="5" t="s">
        <v>15</v>
      </c>
    </row>
    <row r="23" spans="1:2" x14ac:dyDescent="0.35">
      <c r="A23" s="5" t="s">
        <v>46</v>
      </c>
      <c r="B23" s="5" t="s">
        <v>14</v>
      </c>
    </row>
    <row r="24" spans="1:2" x14ac:dyDescent="0.35">
      <c r="A24" s="5" t="s">
        <v>47</v>
      </c>
      <c r="B24" s="5" t="s">
        <v>13</v>
      </c>
    </row>
    <row r="25" spans="1:2" x14ac:dyDescent="0.35">
      <c r="A25" s="5" t="s">
        <v>48</v>
      </c>
      <c r="B25" s="5" t="s">
        <v>12</v>
      </c>
    </row>
    <row r="26" spans="1:2" x14ac:dyDescent="0.35">
      <c r="A26" s="5" t="s">
        <v>49</v>
      </c>
      <c r="B26" s="5" t="s">
        <v>11</v>
      </c>
    </row>
    <row r="27" spans="1:2" x14ac:dyDescent="0.35">
      <c r="A27" s="5" t="s">
        <v>50</v>
      </c>
      <c r="B27" s="5" t="s">
        <v>10</v>
      </c>
    </row>
    <row r="28" spans="1:2" x14ac:dyDescent="0.35">
      <c r="A28" s="5" t="s">
        <v>51</v>
      </c>
      <c r="B28" s="5" t="s">
        <v>9</v>
      </c>
    </row>
    <row r="29" spans="1:2" x14ac:dyDescent="0.35">
      <c r="A29" s="5" t="s">
        <v>52</v>
      </c>
      <c r="B29" s="5" t="s">
        <v>8</v>
      </c>
    </row>
    <row r="30" spans="1:2" x14ac:dyDescent="0.35">
      <c r="A30" s="5" t="s">
        <v>53</v>
      </c>
      <c r="B30" s="5" t="s">
        <v>7</v>
      </c>
    </row>
    <row r="31" spans="1:2" x14ac:dyDescent="0.35">
      <c r="A31" s="5" t="s">
        <v>54</v>
      </c>
      <c r="B31" s="5" t="s">
        <v>6</v>
      </c>
    </row>
    <row r="32" spans="1:2" x14ac:dyDescent="0.35">
      <c r="A32" s="5" t="s">
        <v>55</v>
      </c>
      <c r="B32" s="5" t="s">
        <v>5</v>
      </c>
    </row>
    <row r="33" spans="1:2" x14ac:dyDescent="0.35">
      <c r="A33" s="5" t="s">
        <v>56</v>
      </c>
      <c r="B33" s="5" t="s">
        <v>4</v>
      </c>
    </row>
    <row r="34" spans="1:2" x14ac:dyDescent="0.35">
      <c r="A34" s="5" t="s">
        <v>57</v>
      </c>
      <c r="B34" s="5" t="s">
        <v>3</v>
      </c>
    </row>
    <row r="35" spans="1:2" x14ac:dyDescent="0.35">
      <c r="A35" s="5" t="s">
        <v>58</v>
      </c>
      <c r="B35" s="5" t="s">
        <v>2</v>
      </c>
    </row>
    <row r="36" spans="1:2" x14ac:dyDescent="0.35">
      <c r="A36" s="5" t="s">
        <v>59</v>
      </c>
      <c r="B36" s="5" t="s">
        <v>1</v>
      </c>
    </row>
    <row r="37" spans="1:2" x14ac:dyDescent="0.35">
      <c r="A37" s="6" t="s">
        <v>60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19050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941A8-04BF-45E8-9F60-D4E07475AB4A}">
  <sheetPr codeName="Sheet1"/>
  <dimension ref="B2:J46"/>
  <sheetViews>
    <sheetView workbookViewId="0">
      <selection activeCell="I14" sqref="I14"/>
    </sheetView>
  </sheetViews>
  <sheetFormatPr defaultColWidth="9.1796875" defaultRowHeight="14.5" x14ac:dyDescent="0.35"/>
  <cols>
    <col min="2" max="2" width="14.54296875" bestFit="1" customWidth="1"/>
    <col min="3" max="3" width="30.1796875" bestFit="1" customWidth="1"/>
    <col min="4" max="4" width="28" bestFit="1" customWidth="1"/>
    <col min="9" max="9" width="18.81640625" bestFit="1" customWidth="1"/>
    <col min="13" max="13" width="10.54296875" bestFit="1" customWidth="1"/>
    <col min="14" max="14" width="12" bestFit="1" customWidth="1"/>
  </cols>
  <sheetData>
    <row r="2" spans="2:10" x14ac:dyDescent="0.35">
      <c r="B2" t="s">
        <v>65</v>
      </c>
    </row>
    <row r="3" spans="2:10" x14ac:dyDescent="0.35">
      <c r="B3">
        <v>1</v>
      </c>
    </row>
    <row r="6" spans="2:10" x14ac:dyDescent="0.35">
      <c r="H6" t="s">
        <v>64</v>
      </c>
      <c r="I6" t="s">
        <v>82</v>
      </c>
      <c r="J6" t="s">
        <v>83</v>
      </c>
    </row>
    <row r="7" spans="2:10" x14ac:dyDescent="0.35">
      <c r="H7">
        <v>1</v>
      </c>
      <c r="I7" s="26">
        <v>0</v>
      </c>
      <c r="J7" s="26">
        <v>0</v>
      </c>
    </row>
    <row r="8" spans="2:10" x14ac:dyDescent="0.35">
      <c r="H8">
        <v>2</v>
      </c>
      <c r="I8" s="26">
        <v>0.05</v>
      </c>
      <c r="J8" s="26">
        <v>0.05</v>
      </c>
    </row>
    <row r="9" spans="2:10" x14ac:dyDescent="0.35">
      <c r="H9">
        <v>3</v>
      </c>
      <c r="I9" s="26">
        <v>0.1</v>
      </c>
      <c r="J9" s="26">
        <v>0.1</v>
      </c>
    </row>
    <row r="10" spans="2:10" x14ac:dyDescent="0.35">
      <c r="H10">
        <v>4</v>
      </c>
      <c r="I10" s="26">
        <v>0.15</v>
      </c>
      <c r="J10" s="26">
        <v>0.15</v>
      </c>
    </row>
    <row r="13" spans="2:10" x14ac:dyDescent="0.35">
      <c r="I13" t="s">
        <v>82</v>
      </c>
      <c r="J13" t="s">
        <v>83</v>
      </c>
    </row>
    <row r="14" spans="2:10" x14ac:dyDescent="0.35">
      <c r="H14">
        <v>2018</v>
      </c>
      <c r="I14">
        <v>20</v>
      </c>
      <c r="J14">
        <v>25</v>
      </c>
    </row>
    <row r="15" spans="2:10" x14ac:dyDescent="0.35">
      <c r="H15">
        <v>2019</v>
      </c>
      <c r="I15">
        <v>20</v>
      </c>
      <c r="J15">
        <v>25</v>
      </c>
    </row>
    <row r="16" spans="2:10" x14ac:dyDescent="0.35">
      <c r="H16">
        <v>2020</v>
      </c>
      <c r="I16">
        <v>26</v>
      </c>
      <c r="J16">
        <v>25</v>
      </c>
    </row>
    <row r="17" spans="8:10" x14ac:dyDescent="0.35">
      <c r="H17">
        <v>2021</v>
      </c>
      <c r="I17">
        <v>33.5</v>
      </c>
      <c r="J17">
        <f>$J$16+($J$20-$J$16)*(H17-$H$16)/($H$20-$H$16)</f>
        <v>35</v>
      </c>
    </row>
    <row r="18" spans="8:10" x14ac:dyDescent="0.35">
      <c r="H18">
        <v>2022</v>
      </c>
      <c r="I18">
        <v>41</v>
      </c>
      <c r="J18">
        <f t="shared" ref="J18:J19" si="0">$J$16+($J$20-$J$16)*(H18-$H$16)/($H$20-$H$16)</f>
        <v>45</v>
      </c>
    </row>
    <row r="19" spans="8:10" x14ac:dyDescent="0.35">
      <c r="H19">
        <v>2023</v>
      </c>
      <c r="I19">
        <v>48.5</v>
      </c>
      <c r="J19">
        <f t="shared" si="0"/>
        <v>55</v>
      </c>
    </row>
    <row r="20" spans="8:10" x14ac:dyDescent="0.35">
      <c r="H20">
        <v>2024</v>
      </c>
      <c r="I20">
        <v>56</v>
      </c>
      <c r="J20">
        <v>65</v>
      </c>
    </row>
    <row r="21" spans="8:10" x14ac:dyDescent="0.35">
      <c r="H21">
        <v>2025</v>
      </c>
      <c r="I21">
        <v>63.5</v>
      </c>
      <c r="J21" s="10">
        <f>$J$20+($J$31-$J$20)*(H21-$H$20)/($H$31-$H$20)</f>
        <v>75.181818181818187</v>
      </c>
    </row>
    <row r="22" spans="8:10" x14ac:dyDescent="0.35">
      <c r="H22">
        <v>2026</v>
      </c>
      <c r="I22">
        <v>71</v>
      </c>
      <c r="J22" s="10">
        <f t="shared" ref="J22:J30" si="1">$J$20+($J$31-$J$20)*(H22-$H$20)/($H$31-$H$20)</f>
        <v>85.36363636363636</v>
      </c>
    </row>
    <row r="23" spans="8:10" x14ac:dyDescent="0.35">
      <c r="H23">
        <v>2027</v>
      </c>
      <c r="I23">
        <v>78.5</v>
      </c>
      <c r="J23" s="10">
        <f t="shared" si="1"/>
        <v>95.545454545454547</v>
      </c>
    </row>
    <row r="24" spans="8:10" x14ac:dyDescent="0.35">
      <c r="H24">
        <v>2028</v>
      </c>
      <c r="I24">
        <v>86</v>
      </c>
      <c r="J24" s="10">
        <f t="shared" si="1"/>
        <v>105.72727272727272</v>
      </c>
    </row>
    <row r="25" spans="8:10" x14ac:dyDescent="0.35">
      <c r="H25">
        <v>2029</v>
      </c>
      <c r="I25">
        <v>93.5</v>
      </c>
      <c r="J25" s="10">
        <f t="shared" si="1"/>
        <v>115.90909090909091</v>
      </c>
    </row>
    <row r="26" spans="8:10" x14ac:dyDescent="0.35">
      <c r="H26">
        <v>2030</v>
      </c>
      <c r="I26">
        <v>100</v>
      </c>
      <c r="J26" s="10">
        <f t="shared" si="1"/>
        <v>126.09090909090909</v>
      </c>
    </row>
    <row r="27" spans="8:10" x14ac:dyDescent="0.35">
      <c r="H27">
        <v>2031</v>
      </c>
      <c r="I27">
        <v>106.5</v>
      </c>
      <c r="J27" s="10">
        <f t="shared" si="1"/>
        <v>136.27272727272725</v>
      </c>
    </row>
    <row r="28" spans="8:10" x14ac:dyDescent="0.35">
      <c r="H28">
        <v>2032</v>
      </c>
      <c r="I28">
        <v>113</v>
      </c>
      <c r="J28" s="10">
        <f t="shared" si="1"/>
        <v>146.45454545454544</v>
      </c>
    </row>
    <row r="29" spans="8:10" x14ac:dyDescent="0.35">
      <c r="H29">
        <v>2033</v>
      </c>
      <c r="I29">
        <v>119.5</v>
      </c>
      <c r="J29" s="10">
        <f t="shared" si="1"/>
        <v>156.63636363636363</v>
      </c>
    </row>
    <row r="30" spans="8:10" x14ac:dyDescent="0.35">
      <c r="H30">
        <v>2034</v>
      </c>
      <c r="I30">
        <v>126</v>
      </c>
      <c r="J30" s="10">
        <f t="shared" si="1"/>
        <v>166.81818181818181</v>
      </c>
    </row>
    <row r="31" spans="8:10" x14ac:dyDescent="0.35">
      <c r="H31">
        <v>2035</v>
      </c>
      <c r="I31">
        <v>132.5</v>
      </c>
      <c r="J31">
        <v>177</v>
      </c>
    </row>
    <row r="32" spans="8:10" x14ac:dyDescent="0.35">
      <c r="H32">
        <v>2036</v>
      </c>
      <c r="I32">
        <v>139</v>
      </c>
      <c r="J32" s="10">
        <f>+$J$31*I32/$I$31</f>
        <v>185.68301886792452</v>
      </c>
    </row>
    <row r="33" spans="8:10" x14ac:dyDescent="0.35">
      <c r="H33">
        <v>2037</v>
      </c>
      <c r="I33">
        <v>145.5</v>
      </c>
      <c r="J33" s="10">
        <f t="shared" ref="J33:J46" si="2">+$J$31*I33/$I$31</f>
        <v>194.36603773584906</v>
      </c>
    </row>
    <row r="34" spans="8:10" x14ac:dyDescent="0.35">
      <c r="H34">
        <v>2038</v>
      </c>
      <c r="I34">
        <v>152</v>
      </c>
      <c r="J34" s="10">
        <f t="shared" si="2"/>
        <v>203.04905660377358</v>
      </c>
    </row>
    <row r="35" spans="8:10" x14ac:dyDescent="0.35">
      <c r="H35">
        <v>2039</v>
      </c>
      <c r="I35">
        <v>158.5</v>
      </c>
      <c r="J35" s="10">
        <f t="shared" si="2"/>
        <v>211.73207547169812</v>
      </c>
    </row>
    <row r="36" spans="8:10" x14ac:dyDescent="0.35">
      <c r="H36">
        <v>2040</v>
      </c>
      <c r="I36">
        <v>166</v>
      </c>
      <c r="J36" s="10">
        <f t="shared" si="2"/>
        <v>221.7509433962264</v>
      </c>
    </row>
    <row r="37" spans="8:10" x14ac:dyDescent="0.35">
      <c r="H37">
        <v>2041</v>
      </c>
      <c r="I37">
        <v>173.5</v>
      </c>
      <c r="J37" s="10">
        <f t="shared" si="2"/>
        <v>231.76981132075471</v>
      </c>
    </row>
    <row r="38" spans="8:10" x14ac:dyDescent="0.35">
      <c r="H38">
        <v>2042</v>
      </c>
      <c r="I38">
        <v>181</v>
      </c>
      <c r="J38" s="10">
        <f t="shared" si="2"/>
        <v>241.78867924528302</v>
      </c>
    </row>
    <row r="39" spans="8:10" x14ac:dyDescent="0.35">
      <c r="H39">
        <v>2043</v>
      </c>
      <c r="I39">
        <v>188.5</v>
      </c>
      <c r="J39" s="10">
        <f t="shared" si="2"/>
        <v>251.80754716981133</v>
      </c>
    </row>
    <row r="40" spans="8:10" x14ac:dyDescent="0.35">
      <c r="H40">
        <v>2044</v>
      </c>
      <c r="I40">
        <v>196</v>
      </c>
      <c r="J40" s="10">
        <f t="shared" si="2"/>
        <v>261.82641509433961</v>
      </c>
    </row>
    <row r="41" spans="8:10" x14ac:dyDescent="0.35">
      <c r="H41">
        <v>2045</v>
      </c>
      <c r="I41">
        <v>204.5</v>
      </c>
      <c r="J41" s="10">
        <f t="shared" si="2"/>
        <v>273.18113207547168</v>
      </c>
    </row>
    <row r="42" spans="8:10" x14ac:dyDescent="0.35">
      <c r="H42">
        <v>2046</v>
      </c>
      <c r="I42">
        <v>214</v>
      </c>
      <c r="J42" s="10">
        <f t="shared" si="2"/>
        <v>285.87169811320757</v>
      </c>
    </row>
    <row r="43" spans="8:10" x14ac:dyDescent="0.35">
      <c r="H43">
        <v>2047</v>
      </c>
      <c r="I43">
        <v>224.5</v>
      </c>
      <c r="J43" s="10">
        <f t="shared" si="2"/>
        <v>299.89811320754717</v>
      </c>
    </row>
    <row r="44" spans="8:10" x14ac:dyDescent="0.35">
      <c r="H44">
        <v>2048</v>
      </c>
      <c r="I44">
        <v>236</v>
      </c>
      <c r="J44" s="10">
        <f t="shared" si="2"/>
        <v>315.26037735849059</v>
      </c>
    </row>
    <row r="45" spans="8:10" x14ac:dyDescent="0.35">
      <c r="H45">
        <v>2049</v>
      </c>
      <c r="I45">
        <v>248.5</v>
      </c>
      <c r="J45" s="10">
        <f t="shared" si="2"/>
        <v>331.95849056603771</v>
      </c>
    </row>
    <row r="46" spans="8:10" x14ac:dyDescent="0.35">
      <c r="H46">
        <v>2050</v>
      </c>
      <c r="I46">
        <v>262</v>
      </c>
      <c r="J46" s="10">
        <f t="shared" si="2"/>
        <v>349.99245283018865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14F01-B0DB-448B-9217-DEB90E2D1CCA}">
  <sheetPr codeName="Sheet4"/>
  <dimension ref="B2:AM5"/>
  <sheetViews>
    <sheetView tabSelected="1" workbookViewId="0">
      <selection activeCell="D4" sqref="D4:D5"/>
    </sheetView>
  </sheetViews>
  <sheetFormatPr defaultRowHeight="14.5" x14ac:dyDescent="0.35"/>
  <cols>
    <col min="2" max="2" width="10.1796875" bestFit="1" customWidth="1"/>
    <col min="4" max="4" width="13.7265625" bestFit="1" customWidth="1"/>
    <col min="5" max="5" width="5.1796875" bestFit="1" customWidth="1"/>
    <col min="6" max="6" width="10.1796875" bestFit="1" customWidth="1"/>
  </cols>
  <sheetData>
    <row r="2" spans="2:39" x14ac:dyDescent="0.35">
      <c r="B2" s="8" t="s">
        <v>84</v>
      </c>
    </row>
    <row r="3" spans="2:39" ht="15" thickBot="1" x14ac:dyDescent="0.4">
      <c r="B3" s="9" t="s">
        <v>62</v>
      </c>
      <c r="C3" s="9" t="s">
        <v>0</v>
      </c>
      <c r="D3" s="9" t="s">
        <v>63</v>
      </c>
      <c r="E3" s="9" t="s">
        <v>85</v>
      </c>
      <c r="F3" s="9" t="s">
        <v>61</v>
      </c>
      <c r="G3">
        <v>2018</v>
      </c>
      <c r="H3">
        <v>2019</v>
      </c>
      <c r="I3">
        <v>2020</v>
      </c>
      <c r="J3">
        <v>2021</v>
      </c>
      <c r="K3">
        <v>2022</v>
      </c>
      <c r="L3">
        <v>2023</v>
      </c>
      <c r="M3">
        <v>2024</v>
      </c>
      <c r="N3">
        <v>2025</v>
      </c>
      <c r="O3">
        <v>2026</v>
      </c>
      <c r="P3">
        <v>2027</v>
      </c>
      <c r="Q3">
        <v>2028</v>
      </c>
      <c r="R3">
        <v>2029</v>
      </c>
      <c r="S3">
        <v>2030</v>
      </c>
      <c r="T3">
        <v>2031</v>
      </c>
      <c r="U3">
        <v>2032</v>
      </c>
      <c r="V3">
        <v>2033</v>
      </c>
      <c r="W3">
        <v>2034</v>
      </c>
      <c r="X3">
        <v>2035</v>
      </c>
      <c r="Y3">
        <v>2036</v>
      </c>
      <c r="Z3">
        <v>2037</v>
      </c>
      <c r="AA3">
        <v>2038</v>
      </c>
      <c r="AB3">
        <v>2039</v>
      </c>
      <c r="AC3">
        <v>2040</v>
      </c>
      <c r="AD3">
        <v>2041</v>
      </c>
      <c r="AE3">
        <v>2042</v>
      </c>
      <c r="AF3">
        <v>2043</v>
      </c>
      <c r="AG3">
        <v>2044</v>
      </c>
      <c r="AH3">
        <v>2045</v>
      </c>
      <c r="AI3">
        <v>2046</v>
      </c>
      <c r="AJ3">
        <v>2047</v>
      </c>
      <c r="AK3">
        <v>2048</v>
      </c>
      <c r="AL3">
        <v>2049</v>
      </c>
      <c r="AM3">
        <v>2050</v>
      </c>
    </row>
    <row r="4" spans="2:39" x14ac:dyDescent="0.35">
      <c r="C4" s="7"/>
      <c r="D4" t="s">
        <v>88</v>
      </c>
      <c r="E4" t="s">
        <v>28</v>
      </c>
      <c r="F4" t="s">
        <v>86</v>
      </c>
      <c r="G4" s="10">
        <f>+VLOOKUP(G3,config!$H$13:$J$46,2,FALSE)</f>
        <v>20</v>
      </c>
      <c r="H4" s="10">
        <f>+VLOOKUP(H3,config!$H$13:$J$46,2,FALSE)</f>
        <v>20</v>
      </c>
      <c r="I4" s="10">
        <f>+VLOOKUP(I3,config!$H$13:$J$46,2,FALSE)</f>
        <v>26</v>
      </c>
      <c r="J4" s="10">
        <f>+VLOOKUP(J3,config!$H$13:$J$46,2,FALSE)</f>
        <v>33.5</v>
      </c>
      <c r="K4" s="10">
        <f>+VLOOKUP(K3,config!$H$13:$J$46,2,FALSE)</f>
        <v>41</v>
      </c>
      <c r="L4" s="10">
        <f>+VLOOKUP(L3,config!$H$13:$J$46,2,FALSE)</f>
        <v>48.5</v>
      </c>
      <c r="M4" s="10">
        <f>+VLOOKUP(M3,config!$H$13:$J$46,2,FALSE)</f>
        <v>56</v>
      </c>
      <c r="N4" s="10">
        <f>+VLOOKUP(N3,config!$H$13:$J$46,2,FALSE)</f>
        <v>63.5</v>
      </c>
      <c r="O4" s="10">
        <f>+VLOOKUP(O3,config!$H$13:$J$46,2,FALSE)</f>
        <v>71</v>
      </c>
      <c r="P4" s="10">
        <f>+VLOOKUP(P3,config!$H$13:$J$46,2,FALSE)</f>
        <v>78.5</v>
      </c>
      <c r="Q4" s="10">
        <f>+VLOOKUP(Q3,config!$H$13:$J$46,2,FALSE)</f>
        <v>86</v>
      </c>
      <c r="R4" s="10">
        <f>+VLOOKUP(R3,config!$H$13:$J$46,2,FALSE)</f>
        <v>93.5</v>
      </c>
      <c r="S4" s="10">
        <f>+VLOOKUP(S3,config!$H$13:$J$46,2,FALSE)</f>
        <v>100</v>
      </c>
      <c r="T4" s="10">
        <f>+VLOOKUP(T3,config!$H$13:$J$46,2,FALSE)*(1+VLOOKUP(config!$B$3,config!$H$6:$J$10,2,FALSE))</f>
        <v>106.5</v>
      </c>
      <c r="U4" s="10">
        <f>+VLOOKUP(U3,config!$H$13:$J$46,2,FALSE)*(1+VLOOKUP(config!$B$3,config!$H$6:$J$10,2,FALSE))</f>
        <v>113</v>
      </c>
      <c r="V4" s="10">
        <f>+VLOOKUP(V3,config!$H$13:$J$46,2,FALSE)*(1+VLOOKUP(config!$B$3,config!$H$6:$J$10,2,FALSE))</f>
        <v>119.5</v>
      </c>
      <c r="W4" s="10">
        <f>+VLOOKUP(W3,config!$H$13:$J$46,2,FALSE)*(1+VLOOKUP(config!$B$3,config!$H$6:$J$10,2,FALSE))</f>
        <v>126</v>
      </c>
      <c r="X4" s="10">
        <f>+VLOOKUP(X3,config!$H$13:$J$46,2,FALSE)*(1+VLOOKUP(config!$B$3,config!$H$6:$J$10,2,FALSE))</f>
        <v>132.5</v>
      </c>
      <c r="Y4" s="10">
        <f>+VLOOKUP(Y3,config!$H$13:$J$46,2,FALSE)*(1+VLOOKUP(config!$B$3,config!$H$6:$J$10,2,FALSE))</f>
        <v>139</v>
      </c>
      <c r="Z4" s="10">
        <f>+VLOOKUP(Z3,config!$H$13:$J$46,2,FALSE)*(1+VLOOKUP(config!$B$3,config!$H$6:$J$10,2,FALSE))</f>
        <v>145.5</v>
      </c>
      <c r="AA4" s="10">
        <f>+VLOOKUP(AA3,config!$H$13:$J$46,2,FALSE)*(1+VLOOKUP(config!$B$3,config!$H$6:$J$10,2,FALSE))</f>
        <v>152</v>
      </c>
      <c r="AB4" s="10">
        <f>+VLOOKUP(AB3,config!$H$13:$J$46,2,FALSE)*(1+VLOOKUP(config!$B$3,config!$H$6:$J$10,2,FALSE))</f>
        <v>158.5</v>
      </c>
      <c r="AC4" s="10">
        <f>+VLOOKUP(AC3,config!$H$13:$J$46,2,FALSE)*(1+VLOOKUP(config!$B$3,config!$H$6:$J$10,2,FALSE))</f>
        <v>166</v>
      </c>
      <c r="AD4" s="10">
        <f>+VLOOKUP(AD3,config!$H$13:$J$46,2,FALSE)*(1+VLOOKUP(config!$B$3,config!$H$6:$J$10,2,FALSE))</f>
        <v>173.5</v>
      </c>
      <c r="AE4" s="10">
        <f>+VLOOKUP(AE3,config!$H$13:$J$46,2,FALSE)*(1+VLOOKUP(config!$B$3,config!$H$6:$J$10,2,FALSE))</f>
        <v>181</v>
      </c>
      <c r="AF4" s="10">
        <f>+VLOOKUP(AF3,config!$H$13:$J$46,2,FALSE)*(1+VLOOKUP(config!$B$3,config!$H$6:$J$10,2,FALSE))</f>
        <v>188.5</v>
      </c>
      <c r="AG4" s="10">
        <f>+VLOOKUP(AG3,config!$H$13:$J$46,2,FALSE)*(1+VLOOKUP(config!$B$3,config!$H$6:$J$10,2,FALSE))</f>
        <v>196</v>
      </c>
      <c r="AH4" s="10">
        <f>+VLOOKUP(AH3,config!$H$13:$J$46,2,FALSE)*(1+VLOOKUP(config!$B$3,config!$H$6:$J$10,2,FALSE))</f>
        <v>204.5</v>
      </c>
      <c r="AI4" s="10">
        <f>+VLOOKUP(AI3,config!$H$13:$J$46,2,FALSE)*(1+VLOOKUP(config!$B$3,config!$H$6:$J$10,2,FALSE))</f>
        <v>214</v>
      </c>
      <c r="AJ4" s="10">
        <f>+VLOOKUP(AJ3,config!$H$13:$J$46,2,FALSE)*(1+VLOOKUP(config!$B$3,config!$H$6:$J$10,2,FALSE))</f>
        <v>224.5</v>
      </c>
      <c r="AK4" s="10">
        <f>+VLOOKUP(AK3,config!$H$13:$J$46,2,FALSE)*(1+VLOOKUP(config!$B$3,config!$H$6:$J$10,2,FALSE))</f>
        <v>236</v>
      </c>
      <c r="AL4" s="10">
        <f>+VLOOKUP(AL3,config!$H$13:$J$46,2,FALSE)*(1+VLOOKUP(config!$B$3,config!$H$6:$J$10,2,FALSE))</f>
        <v>248.5</v>
      </c>
      <c r="AM4" s="10">
        <f>+VLOOKUP(AM3,config!$H$13:$J$46,2,FALSE)*(1+VLOOKUP(config!$B$3,config!$H$6:$J$10,2,FALSE))</f>
        <v>262</v>
      </c>
    </row>
    <row r="5" spans="2:39" x14ac:dyDescent="0.35">
      <c r="D5" t="s">
        <v>88</v>
      </c>
      <c r="E5" t="s">
        <v>28</v>
      </c>
      <c r="F5" t="s">
        <v>87</v>
      </c>
      <c r="G5" s="10">
        <f>+VLOOKUP(G3,config!$H$13:$J$46,3,FALSE)</f>
        <v>25</v>
      </c>
      <c r="H5" s="10">
        <f>+VLOOKUP(H3,config!$H$13:$J$46,3,FALSE)</f>
        <v>25</v>
      </c>
      <c r="I5" s="10">
        <f>+VLOOKUP(I3,config!$H$13:$J$46,3,FALSE)</f>
        <v>25</v>
      </c>
      <c r="J5" s="10">
        <f>+VLOOKUP(J3,config!$H$13:$J$46,3,FALSE)</f>
        <v>35</v>
      </c>
      <c r="K5" s="10">
        <f>+VLOOKUP(K3,config!$H$13:$J$46,3,FALSE)</f>
        <v>45</v>
      </c>
      <c r="L5" s="10">
        <f>+VLOOKUP(L3,config!$H$13:$J$46,3,FALSE)</f>
        <v>55</v>
      </c>
      <c r="M5" s="10">
        <f>+VLOOKUP(M3,config!$H$13:$J$46,3,FALSE)</f>
        <v>65</v>
      </c>
      <c r="N5" s="10">
        <f>+VLOOKUP(N3,config!$H$13:$J$46,3,FALSE)</f>
        <v>75.181818181818187</v>
      </c>
      <c r="O5" s="10">
        <f>+VLOOKUP(O3,config!$H$13:$J$46,3,FALSE)</f>
        <v>85.36363636363636</v>
      </c>
      <c r="P5" s="10">
        <f>+VLOOKUP(P3,config!$H$13:$J$46,3,FALSE)</f>
        <v>95.545454545454547</v>
      </c>
      <c r="Q5" s="10">
        <f>+VLOOKUP(Q3,config!$H$13:$J$46,3,FALSE)</f>
        <v>105.72727272727272</v>
      </c>
      <c r="R5" s="10">
        <f>+VLOOKUP(R3,config!$H$13:$J$46,3,FALSE)</f>
        <v>115.90909090909091</v>
      </c>
      <c r="S5" s="10">
        <f>+VLOOKUP(S3,config!$H$13:$J$46,3,FALSE)</f>
        <v>126.09090909090909</v>
      </c>
      <c r="T5" s="10">
        <f>+VLOOKUP(T3,config!$H$13:$J$46,3,FALSE)*(1+VLOOKUP(config!$B$3,config!$H$6:$J$10,3,FALSE))</f>
        <v>136.27272727272725</v>
      </c>
      <c r="U5" s="10">
        <f>+VLOOKUP(U3,config!$H$13:$J$46,3,FALSE)*(1+VLOOKUP(config!$B$3,config!$H$6:$J$10,3,FALSE))</f>
        <v>146.45454545454544</v>
      </c>
      <c r="V5" s="10">
        <f>+VLOOKUP(V3,config!$H$13:$J$46,3,FALSE)*(1+VLOOKUP(config!$B$3,config!$H$6:$J$10,3,FALSE))</f>
        <v>156.63636363636363</v>
      </c>
      <c r="W5" s="10">
        <f>+VLOOKUP(W3,config!$H$13:$J$46,3,FALSE)*(1+VLOOKUP(config!$B$3,config!$H$6:$J$10,3,FALSE))</f>
        <v>166.81818181818181</v>
      </c>
      <c r="X5" s="10">
        <f>+VLOOKUP(X3,config!$H$13:$J$46,3,FALSE)*(1+VLOOKUP(config!$B$3,config!$H$6:$J$10,3,FALSE))</f>
        <v>177</v>
      </c>
      <c r="Y5" s="10">
        <f>+VLOOKUP(Y3,config!$H$13:$J$46,3,FALSE)*(1+VLOOKUP(config!$B$3,config!$H$6:$J$10,3,FALSE))</f>
        <v>185.68301886792452</v>
      </c>
      <c r="Z5" s="10">
        <f>+VLOOKUP(Z3,config!$H$13:$J$46,3,FALSE)*(1+VLOOKUP(config!$B$3,config!$H$6:$J$10,3,FALSE))</f>
        <v>194.36603773584906</v>
      </c>
      <c r="AA5" s="10">
        <f>+VLOOKUP(AA3,config!$H$13:$J$46,3,FALSE)*(1+VLOOKUP(config!$B$3,config!$H$6:$J$10,3,FALSE))</f>
        <v>203.04905660377358</v>
      </c>
      <c r="AB5" s="10">
        <f>+VLOOKUP(AB3,config!$H$13:$J$46,3,FALSE)*(1+VLOOKUP(config!$B$3,config!$H$6:$J$10,3,FALSE))</f>
        <v>211.73207547169812</v>
      </c>
      <c r="AC5" s="10">
        <f>+VLOOKUP(AC3,config!$H$13:$J$46,3,FALSE)*(1+VLOOKUP(config!$B$3,config!$H$6:$J$10,3,FALSE))</f>
        <v>221.7509433962264</v>
      </c>
      <c r="AD5" s="10">
        <f>+VLOOKUP(AD3,config!$H$13:$J$46,3,FALSE)*(1+VLOOKUP(config!$B$3,config!$H$6:$J$10,3,FALSE))</f>
        <v>231.76981132075471</v>
      </c>
      <c r="AE5" s="10">
        <f>+VLOOKUP(AE3,config!$H$13:$J$46,3,FALSE)*(1+VLOOKUP(config!$B$3,config!$H$6:$J$10,3,FALSE))</f>
        <v>241.78867924528302</v>
      </c>
      <c r="AF5" s="10">
        <f>+VLOOKUP(AF3,config!$H$13:$J$46,3,FALSE)*(1+VLOOKUP(config!$B$3,config!$H$6:$J$10,3,FALSE))</f>
        <v>251.80754716981133</v>
      </c>
      <c r="AG5" s="10">
        <f>+VLOOKUP(AG3,config!$H$13:$J$46,3,FALSE)*(1+VLOOKUP(config!$B$3,config!$H$6:$J$10,3,FALSE))</f>
        <v>261.82641509433961</v>
      </c>
      <c r="AH5" s="10">
        <f>+VLOOKUP(AH3,config!$H$13:$J$46,3,FALSE)*(1+VLOOKUP(config!$B$3,config!$H$6:$J$10,3,FALSE))</f>
        <v>273.18113207547168</v>
      </c>
      <c r="AI5" s="10">
        <f>+VLOOKUP(AI3,config!$H$13:$J$46,3,FALSE)*(1+VLOOKUP(config!$B$3,config!$H$6:$J$10,3,FALSE))</f>
        <v>285.87169811320757</v>
      </c>
      <c r="AJ5" s="10">
        <f>+VLOOKUP(AJ3,config!$H$13:$J$46,3,FALSE)*(1+VLOOKUP(config!$B$3,config!$H$6:$J$10,3,FALSE))</f>
        <v>299.89811320754717</v>
      </c>
      <c r="AK5" s="10">
        <f>+VLOOKUP(AK3,config!$H$13:$J$46,3,FALSE)*(1+VLOOKUP(config!$B$3,config!$H$6:$J$10,3,FALSE))</f>
        <v>315.26037735849059</v>
      </c>
      <c r="AL5" s="10">
        <f>+VLOOKUP(AL3,config!$H$13:$J$46,3,FALSE)*(1+VLOOKUP(config!$B$3,config!$H$6:$J$10,3,FALSE))</f>
        <v>331.95849056603771</v>
      </c>
      <c r="AM5" s="10">
        <f>+VLOOKUP(AM3,config!$H$13:$J$46,3,FALSE)*(1+VLOOKUP(config!$B$3,config!$H$6:$J$10,3,FALSE))</f>
        <v>349.99245283018865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Regions</vt:lpstr>
      <vt:lpstr>config</vt:lpstr>
      <vt:lpstr>CO2price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Bakytzhan Suleimenov</cp:lastModifiedBy>
  <dcterms:created xsi:type="dcterms:W3CDTF">2009-05-27T15:40:55Z</dcterms:created>
  <dcterms:modified xsi:type="dcterms:W3CDTF">2025-02-25T15:52:29Z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527377903461456</vt:r8>
  </property>
</Properties>
</file>