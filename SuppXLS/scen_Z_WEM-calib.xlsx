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rbsul\Documents\GitHub\times-ireland-model\SuppXLS\"/>
    </mc:Choice>
  </mc:AlternateContent>
  <xr:revisionPtr revIDLastSave="0" documentId="13_ncr:1_{11CACFB6-E0CB-46E1-A2C1-4B7CF4ED0EF6}" xr6:coauthVersionLast="47" xr6:coauthVersionMax="47" xr10:uidLastSave="{00000000-0000-0000-0000-000000000000}"/>
  <bookViews>
    <workbookView xWindow="-120" yWindow="-120" windowWidth="29040" windowHeight="15720" activeTab="1" xr2:uid="{BA2E3C2E-4B73-4560-B66A-73A434A9A362}"/>
  </bookViews>
  <sheets>
    <sheet name="rsd" sheetId="2" r:id="rId1"/>
    <sheet name="pwr" sheetId="3" r:id="rId2"/>
    <sheet name="tra" sheetId="4" r:id="rId3"/>
    <sheet name="srv"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59" i="3" l="1"/>
  <c r="U50" i="2"/>
  <c r="U51" i="2"/>
  <c r="U52" i="2"/>
  <c r="AH58" i="5"/>
  <c r="AG58" i="5"/>
  <c r="AF58" i="5"/>
  <c r="AE58" i="5"/>
  <c r="AD58" i="5"/>
  <c r="AC58" i="5"/>
  <c r="AB58" i="5"/>
  <c r="AA58" i="5"/>
  <c r="Z58" i="5"/>
  <c r="Y58" i="5"/>
  <c r="X58" i="5"/>
  <c r="W58" i="5"/>
  <c r="V58" i="5"/>
  <c r="U58" i="5"/>
  <c r="T58" i="5"/>
  <c r="S58" i="5"/>
  <c r="R58" i="5"/>
  <c r="Q58" i="5"/>
  <c r="C58" i="5"/>
  <c r="C57" i="5"/>
  <c r="AD12" i="4"/>
  <c r="AC12" i="4"/>
  <c r="AB12" i="4"/>
  <c r="AA12" i="4"/>
  <c r="Z12" i="4"/>
  <c r="Y12" i="4"/>
  <c r="X12" i="4"/>
  <c r="W12" i="4"/>
  <c r="V12" i="4"/>
  <c r="U12" i="4"/>
  <c r="T12" i="4"/>
  <c r="S12" i="4"/>
  <c r="R12" i="4"/>
  <c r="Q12" i="4"/>
  <c r="P12" i="4"/>
  <c r="AD11" i="4"/>
  <c r="AC11" i="4"/>
  <c r="AB11" i="4"/>
  <c r="AA11" i="4"/>
  <c r="Z11" i="4"/>
  <c r="Y11" i="4"/>
  <c r="X11" i="4"/>
  <c r="W11" i="4"/>
  <c r="V11" i="4"/>
  <c r="U11" i="4"/>
  <c r="T11" i="4"/>
  <c r="S11" i="4"/>
  <c r="R11" i="4"/>
  <c r="Q11" i="4"/>
  <c r="P11" i="4"/>
  <c r="AD9" i="4"/>
  <c r="AC9" i="4"/>
  <c r="AB9" i="4"/>
  <c r="AA9" i="4"/>
  <c r="Z9" i="4"/>
  <c r="Y9" i="4"/>
  <c r="X9" i="4"/>
  <c r="W9" i="4"/>
  <c r="V9" i="4"/>
  <c r="U9" i="4"/>
  <c r="T9" i="4"/>
  <c r="S9" i="4"/>
  <c r="R9" i="4"/>
  <c r="Q9" i="4"/>
  <c r="P9" i="4"/>
  <c r="AD8" i="4"/>
  <c r="AC8" i="4"/>
  <c r="AB8" i="4"/>
  <c r="AA8" i="4"/>
  <c r="Z8" i="4"/>
  <c r="Y8" i="4"/>
  <c r="X8" i="4"/>
  <c r="W8" i="4"/>
  <c r="V8" i="4"/>
  <c r="U8" i="4"/>
  <c r="T8" i="4"/>
  <c r="S8" i="4"/>
  <c r="R8" i="4"/>
  <c r="Q8" i="4"/>
  <c r="P8" i="4"/>
  <c r="AD6" i="4"/>
  <c r="AC6" i="4"/>
  <c r="AB6" i="4"/>
  <c r="AA6" i="4"/>
  <c r="Z6" i="4"/>
  <c r="Y6" i="4"/>
  <c r="X6" i="4"/>
  <c r="W6" i="4"/>
  <c r="V6" i="4"/>
  <c r="U6" i="4"/>
  <c r="T6" i="4"/>
  <c r="S6" i="4"/>
  <c r="R6" i="4"/>
  <c r="Q6" i="4"/>
  <c r="P6" i="4"/>
  <c r="Q59" i="3"/>
  <c r="AF61" i="3"/>
  <c r="AE61" i="3"/>
  <c r="AD61" i="3"/>
  <c r="AC61" i="3"/>
  <c r="AB61" i="3"/>
  <c r="AA61" i="3"/>
  <c r="Z61" i="3"/>
  <c r="Y61" i="3"/>
  <c r="X61" i="3"/>
  <c r="W61" i="3"/>
  <c r="V61" i="3"/>
  <c r="U61" i="3"/>
  <c r="T61" i="3"/>
  <c r="S61" i="3"/>
  <c r="R61" i="3"/>
  <c r="Q61" i="3"/>
  <c r="C61" i="3"/>
  <c r="AF60" i="3"/>
  <c r="AE60" i="3"/>
  <c r="AD60" i="3"/>
  <c r="AC60" i="3"/>
  <c r="AB60" i="3"/>
  <c r="AA60" i="3"/>
  <c r="Z60" i="3"/>
  <c r="Y60" i="3"/>
  <c r="X60" i="3"/>
  <c r="W60" i="3"/>
  <c r="V60" i="3"/>
  <c r="U60" i="3"/>
  <c r="T60" i="3"/>
  <c r="S60" i="3"/>
  <c r="R60" i="3"/>
  <c r="Q60" i="3"/>
  <c r="C60" i="3"/>
  <c r="AF59" i="3"/>
  <c r="AE59" i="3"/>
  <c r="AD59" i="3"/>
  <c r="AC59" i="3"/>
  <c r="AB59" i="3"/>
  <c r="AA59" i="3"/>
  <c r="Z59" i="3"/>
  <c r="Y59" i="3"/>
  <c r="X59" i="3"/>
  <c r="W59" i="3"/>
  <c r="V59" i="3"/>
  <c r="U59" i="3"/>
  <c r="T59" i="3"/>
  <c r="S59" i="3"/>
  <c r="C59" i="3"/>
  <c r="C58" i="3"/>
  <c r="E57" i="3"/>
  <c r="C57" i="3"/>
  <c r="AK52" i="2"/>
  <c r="AJ52" i="2"/>
  <c r="AI52" i="2"/>
  <c r="AH52" i="2"/>
  <c r="AG52" i="2"/>
  <c r="AF52" i="2"/>
  <c r="AE52" i="2"/>
  <c r="AD52" i="2"/>
  <c r="AC52" i="2"/>
  <c r="AB52" i="2"/>
  <c r="AA52" i="2"/>
  <c r="Z52" i="2"/>
  <c r="Y52" i="2"/>
  <c r="X52" i="2"/>
  <c r="W52" i="2"/>
  <c r="V52" i="2"/>
  <c r="AK51" i="2"/>
  <c r="AJ51" i="2"/>
  <c r="AI51" i="2"/>
  <c r="AH51" i="2"/>
  <c r="AG51" i="2"/>
  <c r="AF51" i="2"/>
  <c r="AE51" i="2"/>
  <c r="AD51" i="2"/>
  <c r="AC51" i="2"/>
  <c r="AB51" i="2"/>
  <c r="AA51" i="2"/>
  <c r="Z51" i="2"/>
  <c r="Y51" i="2"/>
  <c r="X51" i="2"/>
  <c r="W51" i="2"/>
  <c r="V51" i="2"/>
  <c r="V50" i="2"/>
  <c r="B24" i="2"/>
  <c r="B23" i="2"/>
  <c r="D22" i="2"/>
  <c r="B22" i="2"/>
  <c r="D21" i="2"/>
  <c r="B21" i="2"/>
  <c r="D20" i="2"/>
  <c r="D51" i="2" s="1"/>
  <c r="B20" i="2"/>
  <c r="D19" i="2"/>
  <c r="B19" i="2"/>
  <c r="D18" i="2"/>
  <c r="D50" i="2" s="1"/>
  <c r="B18" i="2"/>
  <c r="W50" i="2" l="1"/>
  <c r="X50" i="2"/>
  <c r="Y50" i="2"/>
  <c r="Z50" i="2"/>
  <c r="AA50" i="2"/>
  <c r="AB50" i="2"/>
  <c r="AC50" i="2"/>
  <c r="AD50" i="2"/>
  <c r="AE50" i="2"/>
  <c r="AF50" i="2"/>
  <c r="AG50" i="2"/>
  <c r="AH50" i="2"/>
  <c r="AI50" i="2"/>
  <c r="AJ50" i="2"/>
  <c r="AK5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Tomas Maguire</author>
  </authors>
  <commentList>
    <comment ref="C35" authorId="0" shapeId="0" xr:uid="{9F3ECE80-2B60-4086-B4A9-98E59BF90AB7}">
      <text>
        <r>
          <rPr>
            <b/>
            <sz val="9"/>
            <color indexed="81"/>
            <rFont val="Tahoma"/>
            <family val="2"/>
          </rPr>
          <t xml:space="preserve">Tomas Mac Uidhir:
</t>
        </r>
        <r>
          <rPr>
            <sz val="9"/>
            <color indexed="81"/>
            <rFont val="Tahoma"/>
            <family val="2"/>
          </rPr>
          <t>WEM assumes 60.0% RES-E by 2030 modelled with
the following capacities. Applies to On/Offshore/Solar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Tomas Maguire</author>
  </authors>
  <commentList>
    <comment ref="A74" authorId="0" shapeId="0" xr:uid="{9B3FA86E-466A-4B01-ABC3-6A1A5A541A99}">
      <text>
        <r>
          <rPr>
            <b/>
            <sz val="9"/>
            <color indexed="81"/>
            <rFont val="Tahoma"/>
            <family val="2"/>
          </rPr>
          <t xml:space="preserve">Tomas Mac Uidhir:
</t>
        </r>
        <r>
          <rPr>
            <sz val="9"/>
            <color indexed="81"/>
            <rFont val="Tahoma"/>
            <family val="2"/>
          </rPr>
          <t>WEM assumes 60.0% RES-E by 2030 modelled with
the following capacities. Applies to On/Offshore/Solar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Tomas Maguire</author>
  </authors>
  <commentList>
    <comment ref="B29" authorId="0" shapeId="0" xr:uid="{6996C1E0-980D-45E3-8A3E-B6367952E79E}">
      <text>
        <r>
          <rPr>
            <b/>
            <sz val="9"/>
            <color indexed="81"/>
            <rFont val="Tahoma"/>
            <family val="2"/>
          </rPr>
          <t xml:space="preserve">Tomas Mac Uidhir:
</t>
        </r>
        <r>
          <rPr>
            <sz val="9"/>
            <color indexed="81"/>
            <rFont val="Tahoma"/>
            <family val="2"/>
          </rPr>
          <t>WEM assumes 60.0% RES-E by 2030 modelled with
the following capacities. Applies to On/Offshore/Solar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Tomas Maguire</author>
  </authors>
  <commentList>
    <comment ref="E76" authorId="0" shapeId="0" xr:uid="{C35124BE-5FF9-474F-80A2-A5B50CD84BFE}">
      <text>
        <r>
          <rPr>
            <b/>
            <sz val="9"/>
            <color indexed="81"/>
            <rFont val="Tahoma"/>
            <family val="2"/>
          </rPr>
          <t xml:space="preserve">Tomas Mac Uidhir:
</t>
        </r>
        <r>
          <rPr>
            <sz val="9"/>
            <color indexed="81"/>
            <rFont val="Tahoma"/>
            <family val="2"/>
          </rPr>
          <t>WEM assumes 60.0% RES-E by 2030 modelled with
the following capacities. Applies to On/Offshore/Solar</t>
        </r>
      </text>
    </comment>
  </commentList>
</comments>
</file>

<file path=xl/sharedStrings.xml><?xml version="1.0" encoding="utf-8"?>
<sst xmlns="http://schemas.openxmlformats.org/spreadsheetml/2006/main" count="491" uniqueCount="146">
  <si>
    <t>RSD-SHALLOW</t>
  </si>
  <si>
    <t>Shallow Retrofit</t>
  </si>
  <si>
    <t>R-RTFT-Apt_B3, R-RTFT-Apt_C, R-RTFT-Apt_D, R-RTFT-Att_B3, R-RTFT-Att_C, R-RTFT-Att_D, R-RTFT-Det_B3, R-RTFT-Det_C, R-RTFT-Det_D</t>
  </si>
  <si>
    <t>RSD-DEEP</t>
  </si>
  <si>
    <t>Deep Retrofit</t>
  </si>
  <si>
    <t>R-RTFT-Apt_E, R-RTFT-Apt_F, R-RTFT-Apt_G, R-RTFT-Att_E, R-RTFT-Att_F, R-RTFT-Att_G, R-RTFT-Det_E, R-RTFT-Det_F, R-RTFT-Det_G</t>
  </si>
  <si>
    <t>RSD-APT-HP</t>
  </si>
  <si>
    <t>Heat Pumps</t>
  </si>
  <si>
    <t>R-HC_Apt_ELC_HPN1, R-HC_Apt_ELC_HPN2-AB, R-HC_Apt_ELC_HPN2-C, R-HC_Apt_ELC_HPN2-D, R-HC_Apt_ELC_HPN2-E, R-HC_Apt_ELC_HPN2-F, R-HC_Apt_ELC_HPN2-G, R-SH_Apt_ELC_HPN1, R-SH_Apt_ELC_HPN2-AB, R-SH_Apt_ELC_HPN2-C, R-SH_Apt_ELC_HPN2-D, R-SH_Apt_ELC_HPN2-E, R-SH_Apt_ELC_HPN2-F, R-SH_Apt_ELC_HPN2-G, R-SH_Apt_ELC_HPN3-AB, R-SH_Apt_ELC_HPN3-C, R-SH_Apt_ELC_HPN3-D, R-SH_Apt_ELC_HPN3-E, R-SH_Apt_ELC_HPN3-F, R-SH_Apt_ELC_HPN3-G, R-SW_Apt_ELC_HPN1-AB, R-SW_Apt_ELC_HPN1-C, R-SW_Apt_ELC_HPN1-D, R-SW_Apt_ELC_HPN1-E, R-SW_Apt_ELC_HPN1-F, R-SW_Apt_ELC_HPN1-G, R-SW_Apt_GAS_HHPN1, R-SW_Apt_GAS_HPN1, R-SW_Apt_GAS_HPN2</t>
  </si>
  <si>
    <t>RSD-BIOGAS</t>
  </si>
  <si>
    <t>Biogas</t>
  </si>
  <si>
    <t>R-SH_Apt_GAS_N1,R-SH_Att_GAS_N1,R-SH_Det_GAS_N1,R-SW_Apt_GAS_HHPN1,R-SW_Apt_GAS_HPN1,R-SW_Apt_GAS_HPN2,R-SW_Apt_GAS_N1,R-SW_Att_GAS_HHPN1,R-SW_Att_GAS_HPN1,R-SW_Att_GAS_HPN2,R-SW_Att_GAS_N1,R-SW_Att_GAS_N2,R-SW_Att_GAS_N3,R-SW_Det_GAS_HHPN1,R-SW_Det_GAS_HPN1,R-SW_Det_GAS_HPN2,R-SW_Det_GAS_N1,R-SW_Det_GAS_N2,R-SW_Det_GAS_N3</t>
  </si>
  <si>
    <t>RSD-ATT-HP</t>
  </si>
  <si>
    <t>R-HC_Att_ELC_HPN1, R-HC_Att_ELC_HPN2-AB, R-HC_Att_ELC_HPN2-C, R-HC_Att_ELC_HPN2-D, R-HC_Att_ELC_HPN2-E, R-HC_Att_ELC_HPN2-F, R-HC_Att_ELC_HPN2-G, R-SH_Att_ELC_HPN1, R-SH_Att_ELC_HPN2-AB, R-SH_Att_ELC_HPN2-C, R-SH_Att_ELC_HPN2-D, R-SH_Att_ELC_HPN2-E, R-SH_Att_ELC_HPN2-F, R-SH_Att_ELC_HPN2-G, R-SH_Att_ELC_HPN3-AB, R-SH_Att_ELC_HPN3-C, R-SH_Att_ELC_HPN3-D, R-SH_Att_ELC_HPN3-E, R-SH_Att_ELC_HPN3-F, R-SH_Att_ELC_HPN3-G, R-SW_Att_ELC_HPN1-AB, R-SW_Att_ELC_HPN1-C, R-SW_Att_ELC_HPN1-D, R-SW_Att_ELC_HPN1-E, R-SW_Att_ELC_HPN1-F, R-SW_Att_ELC_HPN1-G, R-SW_Att_ELC_HPN2-AB, R-SW_Att_ELC_HPN2-C, R-SW_Att_ELC_HPN2-D, R-SW_Att_ELC_HPN2-E, R-SW_Att_ELC_HPN2-F, R-SW_Att_ELC_HPN2-G, R-SW_Att_GAS_HHPN1, R-SW_Att_GAS_HPN1, R-SW_Att_GAS_HPN2</t>
  </si>
  <si>
    <t>RSD-DH</t>
  </si>
  <si>
    <t>District Heating</t>
  </si>
  <si>
    <t>R-SW_Apt_HET_N1, R-SW_Apt_HET_N2</t>
  </si>
  <si>
    <t>RSD_BLD-DET-HP</t>
  </si>
  <si>
    <t>R-SH_Det_ELC_HPN2-AB, R-SH_Det_ELC_HPN2-C, R-SH_Det_ELC_HPN2-D, R-SH_Det_ELC_HPN2-E, R-SH_Det_ELC_HPN2-F, R-SH_Det_ELC_HPN2-G, R-SH_Det_ELC_HPN3-AB, R-SH_Det_ELC_HPN3-C, R-SH_Det_ELC_HPN3-D, R-SH_Det_ELC_HPN3-E, R-SH_Det_ELC_HPN3-F, R-SH_Det_ELC_HPN3-G, R-SW_Det_ELC_HPN1-AB, R-SW_Det_ELC_HPN1-C, R-SW_Det_ELC_HPN1-D, R-SW_Det_ELC_HPN1-E, R-SW_Det_ELC_HPN1-F, R-SW_Det_ELC_HPN1-G, R-SW_Det_ELC_HPN2-AB, R-SW_Det_ELC_HPN2-C, R-SW_Det_ELC_HPN2-D, R-SW_Det_ELC_HPN2-E, R-SW_Det_ELC_HPN2-F, R-SW_Det_ELC_HPN2-G, R-SW_Det_GAS_HHPN1, R-SW_Det_GAS_HPN1</t>
  </si>
  <si>
    <t>Coefficient</t>
  </si>
  <si>
    <t>UC_N</t>
  </si>
  <si>
    <t>Pset_Set</t>
  </si>
  <si>
    <t>Pset_PN</t>
  </si>
  <si>
    <t>Pset_CI</t>
  </si>
  <si>
    <t>Pset_CO</t>
  </si>
  <si>
    <t>Cset_CN</t>
  </si>
  <si>
    <t>Attribute</t>
  </si>
  <si>
    <t>Year</t>
  </si>
  <si>
    <t>LimType</t>
  </si>
  <si>
    <t>UC_NCAP</t>
  </si>
  <si>
    <t>UC_FLO</t>
  </si>
  <si>
    <t>AllRegions</t>
  </si>
  <si>
    <t>UC_RHSRT~0</t>
  </si>
  <si>
    <t>UC_Desc</t>
  </si>
  <si>
    <t>FX</t>
  </si>
  <si>
    <t>R-SW_Apt_HET_N1, R-SW_Apt_HET_N2, R-SW_Att_HET_N1, R-SW_Att_HET_N2, R-SW_Det_HET_N1, R-SW_Det_HET_N2</t>
  </si>
  <si>
    <t>WAM NEP25</t>
  </si>
  <si>
    <t>Units</t>
  </si>
  <si>
    <t>BEVs</t>
  </si>
  <si>
    <t># vehicles</t>
  </si>
  <si>
    <t>PHEVs</t>
  </si>
  <si>
    <t>Electric Buses</t>
  </si>
  <si>
    <t>PHEV LGV</t>
  </si>
  <si>
    <t>Battery Electric Trucks (LGV + HGV)</t>
  </si>
  <si>
    <t>LGV</t>
  </si>
  <si>
    <t>HGV</t>
  </si>
  <si>
    <t>Onshore wind</t>
  </si>
  <si>
    <t>MW</t>
  </si>
  <si>
    <t>Offshore wind</t>
  </si>
  <si>
    <t>Solar</t>
  </si>
  <si>
    <t>Biofuel Blending Ethanol (transport)</t>
  </si>
  <si>
    <t>% share</t>
  </si>
  <si>
    <t>Biofuel Blending Biodiesel (transport)</t>
  </si>
  <si>
    <t>Biomethane</t>
  </si>
  <si>
    <t>TWh</t>
  </si>
  <si>
    <t>Retrofits</t>
  </si>
  <si>
    <t>For projected years we have provided here the number of dwellings that undertake energy efficiency measures that bring the dwelling from a BER worse than B2 to one of B2 or better, excluding solar PV. This may not align exactly with the wording of the CAP target  of "B2 cost optimal or carbon equivalent". For 2024 we include an estimate of the cumulative number of dwellings that have undergone upgrade works  from 2018-2024 that improved their BER rating to B2 or better through SEAI schemes or Local Authority schemes, excluding solar PV only upgrades.</t>
  </si>
  <si>
    <t># Homes B2 (total)</t>
  </si>
  <si>
    <t>Heat Pumps (Residential)</t>
  </si>
  <si>
    <t>Assume that this item is for HP retrofits, excluding HP installed in new dwellings. The figure given for 2024 is the total number of HPs installed through SEAI and Local Authority retrofit schemes for 2019-2024.</t>
  </si>
  <si>
    <t># Heat Pumps (total)</t>
  </si>
  <si>
    <t>District Heating (Residential)</t>
  </si>
  <si>
    <t>District Heating (Commercial)</t>
  </si>
  <si>
    <t>Assume includes public services</t>
  </si>
  <si>
    <t>~UC_Sets: R_E: AllRegions</t>
  </si>
  <si>
    <t>~UC_Sets: T_S:</t>
  </si>
  <si>
    <t>~UC_T: UC_RHSRT</t>
  </si>
  <si>
    <t>UC_CAP</t>
  </si>
  <si>
    <t>FT-RSDHET</t>
  </si>
  <si>
    <t>RSDHET</t>
  </si>
  <si>
    <t>Sum of Pv</t>
  </si>
  <si>
    <t/>
  </si>
  <si>
    <t>Period</t>
  </si>
  <si>
    <t>Processset</t>
  </si>
  <si>
    <t>Process</t>
  </si>
  <si>
    <t>PWR-BIO</t>
  </si>
  <si>
    <t>P-RNW-FB-BIO01</t>
  </si>
  <si>
    <t>P-RNW-IGCC-BIO03</t>
  </si>
  <si>
    <t>P-RNW-ST-BIO02</t>
  </si>
  <si>
    <t>PWR-BIO-CCS</t>
  </si>
  <si>
    <t>P-RNW-ST-BIO-CCS05</t>
  </si>
  <si>
    <t>PWR-H2</t>
  </si>
  <si>
    <t>P-TH-CCGT-H2-02</t>
  </si>
  <si>
    <t>P-TH-OCGT-H2-01</t>
  </si>
  <si>
    <t>PWR-MSW</t>
  </si>
  <si>
    <t>P-RNW-ST-MSW04</t>
  </si>
  <si>
    <t>PWR-SOL</t>
  </si>
  <si>
    <t>P-RNW-SOL-PV01</t>
  </si>
  <si>
    <t>P-RNW-SOL-PV02</t>
  </si>
  <si>
    <t>P-RNW-SOL-PV03</t>
  </si>
  <si>
    <t>PWR-WIN-OF</t>
  </si>
  <si>
    <t>P-RNW-WIN-OF02</t>
  </si>
  <si>
    <t>PWR-WIN-ON</t>
  </si>
  <si>
    <t>P-RNW-WIN-ON01</t>
  </si>
  <si>
    <t>P-RNW-WIN-ON02</t>
  </si>
  <si>
    <t>P-RNW-WIN-ON03</t>
  </si>
  <si>
    <t>P-RNW-WIN-ON04</t>
  </si>
  <si>
    <t>SRV-CS_NRGSRV-WS</t>
  </si>
  <si>
    <t>S-SC-CS_ELC_N1</t>
  </si>
  <si>
    <t>S-SH-CS_ELC_N2</t>
  </si>
  <si>
    <t>S-SH-CS_ELC_N3</t>
  </si>
  <si>
    <t>S-SH-CS_ELC_N5</t>
  </si>
  <si>
    <t>S-SH-CS_ELC_N6</t>
  </si>
  <si>
    <t>S-SH-CS_ELC_N8</t>
  </si>
  <si>
    <t>S-SH-CS_GAS_N5</t>
  </si>
  <si>
    <t>S-SH-CS_HET_N1</t>
  </si>
  <si>
    <t>S-SH-CS_OIL_N1</t>
  </si>
  <si>
    <t>S-SH-CS-GAS_N4</t>
  </si>
  <si>
    <t>SRV-PU_NRGSRV-WS</t>
  </si>
  <si>
    <t>S-SC-PU_ELC_N1</t>
  </si>
  <si>
    <t>S-SH-PU_ELC_N2</t>
  </si>
  <si>
    <t>S-SH-PU_ELC_N3</t>
  </si>
  <si>
    <t>S-SH-PU_ELC_N5</t>
  </si>
  <si>
    <t>S-SH-PU_ELC_N6</t>
  </si>
  <si>
    <t>S-SH-PU_ELC_N8</t>
  </si>
  <si>
    <t>S-SH-PU_GAS_N4</t>
  </si>
  <si>
    <t>S-SH-PU_GAS_N5</t>
  </si>
  <si>
    <t>S-SH-PU_HET_N1</t>
  </si>
  <si>
    <t>S-SH-PU_OIL_N1</t>
  </si>
  <si>
    <t>SRV-HP</t>
  </si>
  <si>
    <t>SRV-DH</t>
  </si>
  <si>
    <t>UC - Each Region/All Periods</t>
  </si>
  <si>
    <t>P-TH-CCGT-H2*</t>
  </si>
  <si>
    <t>P-RNW-SOL-PV*</t>
  </si>
  <si>
    <t>P-RNW-WIN-ON*</t>
  </si>
  <si>
    <t>BEV_CARS_300</t>
  </si>
  <si>
    <t>T-CAR-BEV*</t>
  </si>
  <si>
    <t>HEV_CARS_300</t>
  </si>
  <si>
    <t>T-CAR-HEV*</t>
  </si>
  <si>
    <t>PHEV_CARS_300</t>
  </si>
  <si>
    <t>T-CAR-PHEV*</t>
  </si>
  <si>
    <t>BEV_TRUCKS_300</t>
  </si>
  <si>
    <t>T-*GT-BEV*</t>
  </si>
  <si>
    <t>HEV_TRUCKS_300</t>
  </si>
  <si>
    <t>T-*GT-HEV*</t>
  </si>
  <si>
    <t>FCV_TRUCKS_300</t>
  </si>
  <si>
    <t>T-*GT-FCV*</t>
  </si>
  <si>
    <t>BEV_BUS_300</t>
  </si>
  <si>
    <t>T-BUS-BEV*</t>
  </si>
  <si>
    <t>FCV_BUS_300</t>
  </si>
  <si>
    <t>T-BUS-FCV*</t>
  </si>
  <si>
    <t>S-SH-*</t>
  </si>
  <si>
    <t>SRVAHT</t>
  </si>
  <si>
    <t>FT-SRVHET</t>
  </si>
  <si>
    <t>SRVHET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</si>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</sst>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Te\x\t"/>
  </numFmts>
  <fonts count="13"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Aptos Narrow"/>
      <scheme val="minor"/>
    </font>
    <font>
      <sz val="8.25"/>
      <color rgb="FF000000"/>
      <name val="Microsoft Sans Serif"/>
    </font>
    <font>
      <sz val="11"/>
      <color indexed="8"/>
      <name val="Calibri"/>
      <family val="2"/>
    </font>
    <font>
      <b/>
      <sz val="11"/>
      <color indexed="8"/>
      <name val="Calibri"/>
      <family val="2"/>
    </font>
    <font>
      <b/>
      <sz val="10"/>
      <name val="Arial"/>
      <family val="2"/>
    </font>
    <font>
      <sz val="10"/>
      <name val="Arial"/>
      <family val="2"/>
    </font>
    <font>
      <sz val="10"/>
      <name val="Arial"/>
    </font>
    <font>
      <sz val="8.25"/>
      <color rgb="FF2B2C3C"/>
      <name val="Microsoft Sans Serif"/>
    </font>
    <font>
      <b/>
      <sz val="9"/>
      <color indexed="81"/>
      <name val="Tahoma"/>
      <family val="2"/>
    </font>
    <font>
      <sz val="9"/>
      <color indexed="81"/>
      <name val="Tahoma"/>
      <family val="2"/>
    </font>
  </fonts>
  <fills count="12">
    <fill>
      <patternFill patternType="none"/>
    </fill>
    <fill>
      <patternFill patternType="gray125"/>
    </fill>
    <fill>
      <patternFill patternType="solid">
        <fgColor rgb="FFEAF1FB"/>
        <bgColor rgb="FFEAF1FB"/>
      </patternFill>
    </fill>
    <fill>
      <patternFill patternType="solid">
        <fgColor theme="0" tint="-0.14999847407452621"/>
        <bgColor indexed="64"/>
      </patternFill>
    </fill>
    <fill>
      <patternFill patternType="solid">
        <fgColor indexed="51"/>
        <bgColor indexed="64"/>
      </patternFill>
    </fill>
    <fill>
      <patternFill patternType="solid">
        <fgColor rgb="FFFFFF00"/>
        <bgColor indexed="64"/>
      </patternFill>
    </fill>
    <fill>
      <patternFill patternType="solid">
        <fgColor theme="3" tint="0.749992370372631"/>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rgb="FFEFF6FF"/>
        <bgColor rgb="FFEFF6FF"/>
      </patternFill>
    </fill>
    <fill>
      <patternFill patternType="solid">
        <fgColor rgb="FFFFFFFF"/>
        <bgColor rgb="FFFFFFFF"/>
      </patternFill>
    </fill>
    <fill>
      <patternFill patternType="solid">
        <fgColor rgb="FFFF0000"/>
        <bgColor indexed="64"/>
      </patternFill>
    </fill>
  </fills>
  <borders count="12">
    <border>
      <left/>
      <right/>
      <top/>
      <bottom/>
      <diagonal/>
    </border>
    <border>
      <left style="thin">
        <color rgb="FF696969"/>
      </left>
      <right style="thin">
        <color rgb="FF696969"/>
      </right>
      <top style="thin">
        <color rgb="FF696969"/>
      </top>
      <bottom style="thin">
        <color rgb="FF696969"/>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thin">
        <color theme="0" tint="-0.499984740745262"/>
      </top>
      <bottom/>
      <diagonal/>
    </border>
    <border>
      <left/>
      <right style="thin">
        <color theme="0" tint="-0.499984740745262"/>
      </right>
      <top style="thin">
        <color theme="0" tint="-0.499984740745262"/>
      </top>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rgb="FF696969"/>
      </left>
      <right style="thin">
        <color rgb="FF696969"/>
      </right>
      <top/>
      <bottom/>
      <diagonal/>
    </border>
    <border>
      <left style="thin">
        <color theme="1" tint="0.499984740745262"/>
      </left>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s>
  <cellStyleXfs count="10">
    <xf numFmtId="0" fontId="0" fillId="0" borderId="0"/>
    <xf numFmtId="0" fontId="3" fillId="0" borderId="0"/>
    <xf numFmtId="0" fontId="1" fillId="0" borderId="0"/>
    <xf numFmtId="0" fontId="1" fillId="0" borderId="0"/>
    <xf numFmtId="0" fontId="1" fillId="0" borderId="0"/>
    <xf numFmtId="0" fontId="1" fillId="0" borderId="0"/>
    <xf numFmtId="0" fontId="5" fillId="0" borderId="0"/>
    <xf numFmtId="0" fontId="1" fillId="0" borderId="0"/>
    <xf numFmtId="0" fontId="9" fillId="0" borderId="0"/>
    <xf numFmtId="0" fontId="1" fillId="0" borderId="0"/>
  </cellStyleXfs>
  <cellXfs count="94">
    <xf numFmtId="0" fontId="0" fillId="0" borderId="0" xfId="0"/>
    <xf numFmtId="0" fontId="3" fillId="0" borderId="0" xfId="1"/>
    <xf numFmtId="0" fontId="1" fillId="0" borderId="0" xfId="2"/>
    <xf numFmtId="0" fontId="4" fillId="2" borderId="1" xfId="1" applyFont="1" applyFill="1" applyBorder="1" applyAlignment="1">
      <alignment horizontal="right" vertical="center"/>
    </xf>
    <xf numFmtId="0" fontId="1" fillId="0" borderId="0" xfId="3"/>
    <xf numFmtId="0" fontId="1" fillId="0" borderId="0" xfId="4"/>
    <xf numFmtId="49" fontId="4" fillId="2" borderId="1" xfId="1" applyNumberFormat="1" applyFont="1" applyFill="1" applyBorder="1" applyAlignment="1">
      <alignment horizontal="left" vertical="center"/>
    </xf>
    <xf numFmtId="0" fontId="1" fillId="0" borderId="0" xfId="5"/>
    <xf numFmtId="0" fontId="6" fillId="0" borderId="0" xfId="6" applyFont="1"/>
    <xf numFmtId="0" fontId="7" fillId="3" borderId="0" xfId="5" applyFont="1" applyFill="1"/>
    <xf numFmtId="0" fontId="7" fillId="4" borderId="0" xfId="5" applyFont="1" applyFill="1"/>
    <xf numFmtId="0" fontId="7" fillId="5" borderId="0" xfId="5" applyFont="1" applyFill="1"/>
    <xf numFmtId="0" fontId="7" fillId="0" borderId="0" xfId="5" applyFont="1" applyAlignment="1">
      <alignment horizontal="right"/>
    </xf>
    <xf numFmtId="0" fontId="7" fillId="0" borderId="0" xfId="5" applyFont="1"/>
    <xf numFmtId="0" fontId="8" fillId="0" borderId="0" xfId="5" applyFont="1"/>
    <xf numFmtId="2" fontId="1" fillId="0" borderId="0" xfId="5" applyNumberFormat="1"/>
    <xf numFmtId="0" fontId="2" fillId="5" borderId="2" xfId="7" applyFont="1" applyFill="1" applyBorder="1"/>
    <xf numFmtId="0" fontId="2" fillId="0" borderId="2" xfId="7" applyFont="1" applyBorder="1" applyAlignment="1">
      <alignment horizontal="center"/>
    </xf>
    <xf numFmtId="0" fontId="2" fillId="0" borderId="2" xfId="7" applyFont="1" applyBorder="1"/>
    <xf numFmtId="0" fontId="2" fillId="6" borderId="2" xfId="7" applyFont="1" applyFill="1" applyBorder="1"/>
    <xf numFmtId="0" fontId="1" fillId="0" borderId="2" xfId="7" applyBorder="1"/>
    <xf numFmtId="0" fontId="1" fillId="6" borderId="2" xfId="7" applyFill="1" applyBorder="1"/>
    <xf numFmtId="0" fontId="1" fillId="0" borderId="4" xfId="7" applyBorder="1"/>
    <xf numFmtId="0" fontId="1" fillId="6" borderId="5" xfId="7" applyFill="1" applyBorder="1"/>
    <xf numFmtId="0" fontId="1" fillId="0" borderId="6" xfId="7" applyBorder="1"/>
    <xf numFmtId="0" fontId="1" fillId="6" borderId="7" xfId="7" applyFill="1" applyBorder="1"/>
    <xf numFmtId="165" fontId="8" fillId="0" borderId="0" xfId="8" applyNumberFormat="1" applyFont="1"/>
    <xf numFmtId="49" fontId="10" fillId="9" borderId="1" xfId="1" applyNumberFormat="1" applyFont="1" applyFill="1" applyBorder="1" applyAlignment="1">
      <alignment horizontal="left" vertical="center"/>
    </xf>
    <xf numFmtId="0" fontId="4" fillId="10" borderId="1" xfId="1" applyFont="1" applyFill="1" applyBorder="1" applyAlignment="1">
      <alignment horizontal="right" vertical="center"/>
    </xf>
    <xf numFmtId="2" fontId="4" fillId="10" borderId="1" xfId="1" applyNumberFormat="1" applyFont="1" applyFill="1" applyBorder="1" applyAlignment="1">
      <alignment horizontal="right" vertical="center"/>
    </xf>
    <xf numFmtId="2" fontId="2" fillId="11" borderId="0" xfId="1" applyNumberFormat="1" applyFont="1" applyFill="1"/>
    <xf numFmtId="2" fontId="3" fillId="0" borderId="0" xfId="1" applyNumberFormat="1"/>
    <xf numFmtId="49" fontId="4" fillId="2" borderId="8" xfId="1" applyNumberFormat="1" applyFont="1" applyFill="1" applyBorder="1" applyAlignment="1">
      <alignment horizontal="left" vertical="center"/>
    </xf>
    <xf numFmtId="0" fontId="7" fillId="3" borderId="0" xfId="2" applyFont="1" applyFill="1"/>
    <xf numFmtId="0" fontId="7" fillId="4" borderId="0" xfId="2" applyFont="1" applyFill="1"/>
    <xf numFmtId="0" fontId="7" fillId="5" borderId="0" xfId="2" applyFont="1" applyFill="1"/>
    <xf numFmtId="0" fontId="7" fillId="0" borderId="0" xfId="2" applyFont="1" applyAlignment="1">
      <alignment horizontal="right"/>
    </xf>
    <xf numFmtId="0" fontId="7" fillId="0" borderId="0" xfId="2" applyFont="1"/>
    <xf numFmtId="0" fontId="8" fillId="0" borderId="0" xfId="2" applyFont="1"/>
    <xf numFmtId="49" fontId="1" fillId="0" borderId="0" xfId="2" applyNumberFormat="1"/>
    <xf numFmtId="2" fontId="1" fillId="0" borderId="0" xfId="2" applyNumberFormat="1"/>
    <xf numFmtId="0" fontId="2" fillId="5" borderId="2" xfId="3" applyFont="1" applyFill="1" applyBorder="1"/>
    <xf numFmtId="0" fontId="2" fillId="0" borderId="2" xfId="3" applyFont="1" applyBorder="1" applyAlignment="1">
      <alignment horizontal="center"/>
    </xf>
    <xf numFmtId="0" fontId="2" fillId="0" borderId="2" xfId="3" applyFont="1" applyBorder="1"/>
    <xf numFmtId="0" fontId="2" fillId="6" borderId="2" xfId="3" applyFont="1" applyFill="1" applyBorder="1"/>
    <xf numFmtId="0" fontId="1" fillId="0" borderId="2" xfId="3" applyBorder="1"/>
    <xf numFmtId="0" fontId="1" fillId="6" borderId="2" xfId="3" applyFill="1" applyBorder="1"/>
    <xf numFmtId="0" fontId="1" fillId="0" borderId="4" xfId="3" applyBorder="1"/>
    <xf numFmtId="0" fontId="1" fillId="6" borderId="5" xfId="3" applyFill="1" applyBorder="1"/>
    <xf numFmtId="0" fontId="1" fillId="0" borderId="6" xfId="3" applyBorder="1"/>
    <xf numFmtId="0" fontId="1" fillId="6" borderId="7" xfId="3" applyFill="1" applyBorder="1"/>
    <xf numFmtId="0" fontId="7" fillId="3" borderId="0" xfId="0" applyFont="1" applyFill="1"/>
    <xf numFmtId="0" fontId="7" fillId="4" borderId="0" xfId="0" applyFont="1" applyFill="1"/>
    <xf numFmtId="0" fontId="7" fillId="5" borderId="0" xfId="0" applyFont="1" applyFill="1"/>
    <xf numFmtId="0" fontId="7" fillId="0" borderId="0" xfId="0" applyFont="1" applyAlignment="1">
      <alignment horizontal="right"/>
    </xf>
    <xf numFmtId="0" fontId="7" fillId="0" borderId="0" xfId="0" applyFont="1"/>
    <xf numFmtId="0" fontId="8" fillId="0" borderId="0" xfId="0" applyFont="1"/>
    <xf numFmtId="0" fontId="2" fillId="5" borderId="2" xfId="0" applyFont="1" applyFill="1" applyBorder="1"/>
    <xf numFmtId="0" fontId="2" fillId="0" borderId="2" xfId="0" applyFont="1" applyBorder="1" applyAlignment="1">
      <alignment horizontal="center"/>
    </xf>
    <xf numFmtId="0" fontId="2" fillId="0" borderId="2" xfId="0" applyFont="1" applyBorder="1"/>
    <xf numFmtId="0" fontId="2" fillId="6" borderId="2" xfId="0" applyFont="1" applyFill="1" applyBorder="1"/>
    <xf numFmtId="0" fontId="0" fillId="0" borderId="2" xfId="0" applyBorder="1"/>
    <xf numFmtId="3" fontId="0" fillId="6" borderId="3" xfId="0" applyNumberFormat="1" applyFill="1" applyBorder="1"/>
    <xf numFmtId="0" fontId="0" fillId="6" borderId="2" xfId="0" applyFill="1" applyBorder="1"/>
    <xf numFmtId="0" fontId="0" fillId="0" borderId="3" xfId="0" applyBorder="1"/>
    <xf numFmtId="0" fontId="0" fillId="0" borderId="4" xfId="0" applyBorder="1"/>
    <xf numFmtId="0" fontId="0" fillId="6" borderId="5" xfId="0" applyFill="1" applyBorder="1"/>
    <xf numFmtId="0" fontId="0" fillId="0" borderId="6" xfId="0" applyBorder="1"/>
    <xf numFmtId="0" fontId="0" fillId="6" borderId="7" xfId="0" applyFill="1" applyBorder="1"/>
    <xf numFmtId="0" fontId="0" fillId="8" borderId="3" xfId="0" applyFill="1" applyBorder="1"/>
    <xf numFmtId="3" fontId="0" fillId="8" borderId="3" xfId="0" applyNumberFormat="1" applyFill="1" applyBorder="1"/>
    <xf numFmtId="164" fontId="0" fillId="6" borderId="3" xfId="0" applyNumberFormat="1" applyFill="1" applyBorder="1"/>
    <xf numFmtId="0" fontId="2" fillId="5" borderId="2" xfId="9" applyFont="1" applyFill="1" applyBorder="1"/>
    <xf numFmtId="0" fontId="2" fillId="0" borderId="2" xfId="9" applyFont="1" applyBorder="1" applyAlignment="1">
      <alignment horizontal="center"/>
    </xf>
    <xf numFmtId="0" fontId="2" fillId="0" borderId="2" xfId="9" applyFont="1" applyBorder="1"/>
    <xf numFmtId="0" fontId="2" fillId="6" borderId="2" xfId="9" applyFont="1" applyFill="1" applyBorder="1"/>
    <xf numFmtId="0" fontId="1" fillId="0" borderId="2" xfId="9" applyBorder="1"/>
    <xf numFmtId="0" fontId="1" fillId="6" borderId="2" xfId="9" applyFill="1" applyBorder="1"/>
    <xf numFmtId="0" fontId="1" fillId="0" borderId="4" xfId="9" applyBorder="1"/>
    <xf numFmtId="0" fontId="1" fillId="6" borderId="5" xfId="9" applyFill="1" applyBorder="1"/>
    <xf numFmtId="0" fontId="1" fillId="0" borderId="6" xfId="9" applyBorder="1"/>
    <xf numFmtId="0" fontId="1" fillId="6" borderId="7" xfId="9" applyFill="1" applyBorder="1"/>
    <xf numFmtId="0" fontId="0" fillId="0" borderId="0" xfId="5" applyFont="1"/>
    <xf numFmtId="0" fontId="0" fillId="0" borderId="0" xfId="2" applyFont="1"/>
    <xf numFmtId="0" fontId="0" fillId="0" borderId="3" xfId="0" applyBorder="1" applyAlignment="1">
      <alignment horizontal="center"/>
    </xf>
    <xf numFmtId="0" fontId="0" fillId="7" borderId="3" xfId="0" applyFill="1" applyBorder="1"/>
    <xf numFmtId="3" fontId="0" fillId="0" borderId="3" xfId="0" applyNumberFormat="1" applyBorder="1"/>
    <xf numFmtId="0" fontId="0" fillId="0" borderId="9" xfId="0" applyBorder="1" applyAlignment="1">
      <alignment horizontal="right"/>
    </xf>
    <xf numFmtId="0" fontId="0" fillId="0" borderId="0" xfId="0" applyAlignment="1">
      <alignment horizontal="right"/>
    </xf>
    <xf numFmtId="0" fontId="0" fillId="0" borderId="0" xfId="0" applyAlignment="1">
      <alignment horizontal="center"/>
    </xf>
    <xf numFmtId="0" fontId="0" fillId="0" borderId="10" xfId="0" applyBorder="1" applyAlignment="1">
      <alignment horizontal="right"/>
    </xf>
    <xf numFmtId="0" fontId="0" fillId="0" borderId="11" xfId="0" applyBorder="1" applyAlignment="1">
      <alignment horizontal="right"/>
    </xf>
    <xf numFmtId="0" fontId="0" fillId="0" borderId="11" xfId="0" applyBorder="1" applyAlignment="1">
      <alignment horizontal="center"/>
    </xf>
    <xf numFmtId="2" fontId="0" fillId="6" borderId="3" xfId="0" applyNumberFormat="1" applyFill="1" applyBorder="1"/>
  </cellXfs>
  <cellStyles count="10">
    <cellStyle name="Normal" xfId="0" builtinId="0"/>
    <cellStyle name="Normal 2" xfId="1" xr:uid="{D3053ABD-8128-4429-9205-7A2F6C05863E}"/>
    <cellStyle name="Normal 2 2" xfId="2" xr:uid="{29E9528F-8190-468D-8C70-7D3D242B9F24}"/>
    <cellStyle name="Normal 2 4" xfId="5" xr:uid="{B70CA749-9B65-4850-852E-15D1596A4DFC}"/>
    <cellStyle name="Normal 3 3" xfId="8" xr:uid="{992311DD-BFD0-4FB5-A7BA-1300D88D65CE}"/>
    <cellStyle name="Normal 4" xfId="9" xr:uid="{6DB553B4-4795-416D-A7B4-3C48A03C7C22}"/>
    <cellStyle name="Normal 6" xfId="3" xr:uid="{59E27EC0-5745-4E62-A122-1F92F878E1A0}"/>
    <cellStyle name="Normal 7" xfId="4" xr:uid="{CD8974CF-1B7B-4C47-AE3E-B04EF3446780}"/>
    <cellStyle name="Normal 9" xfId="7" xr:uid="{C1D227B5-AB9F-41FE-816E-309576A6ABD7}"/>
    <cellStyle name="Normale_Scen_UC_IND-StrucConst" xfId="6" xr:uid="{5EFB7B6C-DDD4-42BC-B584-50EAB356D43E}"/>
  </cellStyles>
  <dxfs count="6">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8C127-CC9C-4CCB-B658-AD78CDF73E68}">
  <dimension ref="A1:AR56"/>
  <sheetViews>
    <sheetView topLeftCell="A19" workbookViewId="0">
      <selection activeCell="C28" sqref="C28:AB44"/>
    </sheetView>
  </sheetViews>
  <sheetFormatPr defaultColWidth="9.28515625" defaultRowHeight="15" x14ac:dyDescent="0.25"/>
  <cols>
    <col min="1" max="2" width="9.28515625" style="1"/>
    <col min="3" max="3" width="29" style="1" customWidth="1"/>
    <col min="4" max="16384" width="9.28515625" style="1"/>
  </cols>
  <sheetData>
    <row r="1" spans="1:40" x14ac:dyDescent="0.25">
      <c r="K1" s="2"/>
      <c r="L1" s="2"/>
      <c r="M1" s="2"/>
      <c r="N1" s="2"/>
      <c r="O1" s="2"/>
    </row>
    <row r="2" spans="1:40" x14ac:dyDescent="0.25">
      <c r="D2" s="3">
        <v>2019</v>
      </c>
      <c r="E2" s="3">
        <v>2020</v>
      </c>
      <c r="F2" s="3">
        <v>2021</v>
      </c>
      <c r="G2" s="3">
        <v>2022</v>
      </c>
      <c r="H2" s="3">
        <v>2023</v>
      </c>
      <c r="I2" s="3">
        <v>2024</v>
      </c>
      <c r="J2" s="3">
        <v>2025</v>
      </c>
      <c r="K2" s="3">
        <v>2026</v>
      </c>
      <c r="L2" s="3">
        <v>2027</v>
      </c>
      <c r="M2" s="3">
        <v>2028</v>
      </c>
      <c r="N2" s="3">
        <v>2029</v>
      </c>
      <c r="O2" s="3">
        <v>2030</v>
      </c>
      <c r="P2" s="3">
        <v>2031</v>
      </c>
      <c r="Q2" s="3">
        <v>2032</v>
      </c>
      <c r="R2" s="3">
        <v>2033</v>
      </c>
      <c r="S2" s="3">
        <v>2034</v>
      </c>
      <c r="T2" s="3">
        <v>2035</v>
      </c>
      <c r="U2" s="3">
        <v>2036</v>
      </c>
      <c r="V2" s="3">
        <v>2037</v>
      </c>
      <c r="W2" s="3">
        <v>2038</v>
      </c>
      <c r="X2" s="3">
        <v>2039</v>
      </c>
      <c r="Y2" s="3">
        <v>2040</v>
      </c>
      <c r="Z2" s="3">
        <v>2041</v>
      </c>
      <c r="AA2" s="3">
        <v>2042</v>
      </c>
      <c r="AB2" s="3">
        <v>2043</v>
      </c>
      <c r="AC2" s="3">
        <v>2044</v>
      </c>
      <c r="AD2" s="3">
        <v>2045</v>
      </c>
      <c r="AE2" s="3">
        <v>2046</v>
      </c>
      <c r="AF2" s="3">
        <v>2047</v>
      </c>
      <c r="AG2" s="3">
        <v>2048</v>
      </c>
      <c r="AH2" s="3">
        <v>2049</v>
      </c>
      <c r="AI2" s="3">
        <v>2050</v>
      </c>
    </row>
    <row r="3" spans="1:40" x14ac:dyDescent="0.25">
      <c r="A3" s="4" t="s">
        <v>0</v>
      </c>
      <c r="B3" s="4" t="s">
        <v>1</v>
      </c>
      <c r="C3" s="4" t="s">
        <v>2</v>
      </c>
    </row>
    <row r="4" spans="1:40" x14ac:dyDescent="0.25">
      <c r="A4" s="4" t="s">
        <v>3</v>
      </c>
      <c r="B4" s="4" t="s">
        <v>4</v>
      </c>
      <c r="C4" s="4" t="s">
        <v>5</v>
      </c>
    </row>
    <row r="5" spans="1:40" x14ac:dyDescent="0.25">
      <c r="A5" s="4" t="s">
        <v>6</v>
      </c>
      <c r="B5" s="4" t="s">
        <v>7</v>
      </c>
      <c r="C5" s="4" t="s">
        <v>8</v>
      </c>
    </row>
    <row r="6" spans="1:40" x14ac:dyDescent="0.25">
      <c r="A6" s="4" t="s">
        <v>9</v>
      </c>
      <c r="B6" s="4" t="s">
        <v>10</v>
      </c>
      <c r="C6" s="4" t="s">
        <v>11</v>
      </c>
    </row>
    <row r="7" spans="1:40" x14ac:dyDescent="0.25">
      <c r="A7" s="4" t="s">
        <v>12</v>
      </c>
      <c r="B7" s="4" t="s">
        <v>7</v>
      </c>
      <c r="C7" s="5" t="s">
        <v>13</v>
      </c>
    </row>
    <row r="8" spans="1:40" x14ac:dyDescent="0.25">
      <c r="A8" s="4" t="s">
        <v>14</v>
      </c>
      <c r="B8" s="4" t="s">
        <v>15</v>
      </c>
      <c r="C8" s="4" t="s">
        <v>16</v>
      </c>
    </row>
    <row r="9" spans="1:40" x14ac:dyDescent="0.25">
      <c r="A9" s="6" t="s">
        <v>17</v>
      </c>
      <c r="B9" s="4" t="s">
        <v>7</v>
      </c>
      <c r="C9" s="1" t="s">
        <v>18</v>
      </c>
    </row>
    <row r="13" spans="1:40" x14ac:dyDescent="0.25">
      <c r="B13" s="7"/>
      <c r="C13" s="7"/>
      <c r="D13" s="7"/>
      <c r="E13" s="7"/>
      <c r="F13" s="7"/>
      <c r="G13" s="7"/>
      <c r="H13" s="7"/>
      <c r="I13" s="7"/>
      <c r="J13" s="7"/>
      <c r="K13" s="7"/>
      <c r="L13" s="7"/>
      <c r="M13" s="7"/>
      <c r="N13" s="7" t="s">
        <v>19</v>
      </c>
      <c r="O13" s="7">
        <v>0.98</v>
      </c>
      <c r="P13" s="7"/>
      <c r="Q13" s="7"/>
      <c r="R13" s="7"/>
      <c r="S13" s="7"/>
      <c r="T13" s="7"/>
      <c r="U13" s="7"/>
      <c r="V13" s="7"/>
      <c r="W13" s="7"/>
      <c r="X13" s="7"/>
      <c r="Y13" s="7"/>
      <c r="Z13" s="7"/>
      <c r="AA13" s="7"/>
      <c r="AB13" s="7"/>
      <c r="AC13" s="7"/>
      <c r="AD13" s="7"/>
      <c r="AE13" s="7"/>
      <c r="AF13" s="7"/>
      <c r="AG13" s="7"/>
      <c r="AH13" s="7"/>
      <c r="AI13" s="7"/>
      <c r="AJ13" s="7"/>
      <c r="AK13" s="7"/>
      <c r="AL13" s="7"/>
      <c r="AM13" s="7"/>
      <c r="AN13" s="7"/>
    </row>
    <row r="14" spans="1:40" x14ac:dyDescent="0.25">
      <c r="B14" s="8"/>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row>
    <row r="15" spans="1:40" x14ac:dyDescent="0.25">
      <c r="B15" s="8"/>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row>
    <row r="16" spans="1:40" x14ac:dyDescent="0.25">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row>
    <row r="17" spans="2:44" x14ac:dyDescent="0.25">
      <c r="B17" s="9" t="s">
        <v>20</v>
      </c>
      <c r="C17" s="10" t="s">
        <v>21</v>
      </c>
      <c r="D17" s="10" t="s">
        <v>22</v>
      </c>
      <c r="E17" s="10" t="s">
        <v>23</v>
      </c>
      <c r="F17" s="10" t="s">
        <v>24</v>
      </c>
      <c r="G17" s="11" t="s">
        <v>25</v>
      </c>
      <c r="H17" s="11" t="s">
        <v>26</v>
      </c>
      <c r="I17" s="11" t="s">
        <v>27</v>
      </c>
      <c r="J17" s="11" t="s">
        <v>28</v>
      </c>
      <c r="K17" s="12" t="s">
        <v>29</v>
      </c>
      <c r="L17" s="13" t="s">
        <v>30</v>
      </c>
      <c r="M17" s="14" t="s">
        <v>31</v>
      </c>
      <c r="N17" s="14" t="s">
        <v>32</v>
      </c>
      <c r="O17" s="9" t="s">
        <v>33</v>
      </c>
      <c r="P17" s="7">
        <v>2022</v>
      </c>
      <c r="Q17" s="7">
        <v>2023</v>
      </c>
      <c r="R17" s="7">
        <v>2024</v>
      </c>
      <c r="S17" s="7">
        <v>2025</v>
      </c>
      <c r="T17" s="7">
        <v>2026</v>
      </c>
      <c r="U17" s="7">
        <v>2027</v>
      </c>
      <c r="V17" s="7">
        <v>2028</v>
      </c>
      <c r="W17" s="7">
        <v>2029</v>
      </c>
      <c r="X17" s="7">
        <v>2030</v>
      </c>
      <c r="Y17" s="7">
        <v>2031</v>
      </c>
      <c r="Z17" s="7">
        <v>2032</v>
      </c>
      <c r="AA17" s="7">
        <v>2033</v>
      </c>
      <c r="AB17" s="7">
        <v>2034</v>
      </c>
      <c r="AC17" s="7">
        <v>2035</v>
      </c>
      <c r="AD17" s="7">
        <v>2036</v>
      </c>
      <c r="AE17" s="7">
        <v>2037</v>
      </c>
      <c r="AF17" s="7">
        <v>2038</v>
      </c>
      <c r="AG17" s="7">
        <v>2039</v>
      </c>
      <c r="AH17" s="7">
        <v>2040</v>
      </c>
      <c r="AI17" s="7">
        <v>2041</v>
      </c>
      <c r="AJ17" s="7">
        <v>2042</v>
      </c>
      <c r="AK17" s="7">
        <v>2043</v>
      </c>
      <c r="AL17" s="7">
        <v>2044</v>
      </c>
      <c r="AM17" s="7">
        <v>2045</v>
      </c>
      <c r="AN17" s="7">
        <v>2046</v>
      </c>
      <c r="AO17" s="7">
        <v>2047</v>
      </c>
      <c r="AP17" s="7">
        <v>2048</v>
      </c>
      <c r="AQ17" s="7">
        <v>2049</v>
      </c>
      <c r="AR17" s="7">
        <v>2050</v>
      </c>
    </row>
    <row r="18" spans="2:44" x14ac:dyDescent="0.25">
      <c r="B18" s="7" t="str">
        <f t="shared" ref="B18:B24" si="0">+A3</f>
        <v>RSD-SHALLOW</v>
      </c>
      <c r="D18" s="1" t="str">
        <f>+C3</f>
        <v>R-RTFT-Apt_B3, R-RTFT-Apt_C, R-RTFT-Apt_D, R-RTFT-Att_B3, R-RTFT-Att_C, R-RTFT-Att_D, R-RTFT-Det_B3, R-RTFT-Det_C, R-RTFT-Det_D</v>
      </c>
      <c r="J18" s="7" t="s">
        <v>34</v>
      </c>
      <c r="K18" s="7">
        <v>1</v>
      </c>
      <c r="L18" s="7"/>
      <c r="M18" s="7"/>
      <c r="N18" s="7">
        <v>5</v>
      </c>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row r="19" spans="2:44" x14ac:dyDescent="0.25">
      <c r="B19" s="7" t="str">
        <f t="shared" si="0"/>
        <v>RSD-DEEP</v>
      </c>
      <c r="D19" s="1" t="str">
        <f>+C4</f>
        <v>R-RTFT-Apt_E, R-RTFT-Apt_F, R-RTFT-Apt_G, R-RTFT-Att_E, R-RTFT-Att_F, R-RTFT-Att_G, R-RTFT-Det_E, R-RTFT-Det_F, R-RTFT-Det_G</v>
      </c>
      <c r="J19" s="7" t="s">
        <v>34</v>
      </c>
      <c r="K19" s="7">
        <v>1</v>
      </c>
      <c r="L19" s="7"/>
      <c r="M19" s="7"/>
      <c r="N19" s="7">
        <v>5</v>
      </c>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row>
    <row r="20" spans="2:44" x14ac:dyDescent="0.25">
      <c r="B20" s="7" t="str">
        <f t="shared" si="0"/>
        <v>RSD-APT-HP</v>
      </c>
      <c r="D20" s="1" t="str">
        <f>+C5</f>
        <v>R-HC_Apt_ELC_HPN1, R-HC_Apt_ELC_HPN2-AB, R-HC_Apt_ELC_HPN2-C, R-HC_Apt_ELC_HPN2-D, R-HC_Apt_ELC_HPN2-E, R-HC_Apt_ELC_HPN2-F, R-HC_Apt_ELC_HPN2-G, R-SH_Apt_ELC_HPN1, R-SH_Apt_ELC_HPN2-AB, R-SH_Apt_ELC_HPN2-C, R-SH_Apt_ELC_HPN2-D, R-SH_Apt_ELC_HPN2-E, R-SH_Apt_ELC_HPN2-F, R-SH_Apt_ELC_HPN2-G, R-SH_Apt_ELC_HPN3-AB, R-SH_Apt_ELC_HPN3-C, R-SH_Apt_ELC_HPN3-D, R-SH_Apt_ELC_HPN3-E, R-SH_Apt_ELC_HPN3-F, R-SH_Apt_ELC_HPN3-G, R-SW_Apt_ELC_HPN1-AB, R-SW_Apt_ELC_HPN1-C, R-SW_Apt_ELC_HPN1-D, R-SW_Apt_ELC_HPN1-E, R-SW_Apt_ELC_HPN1-F, R-SW_Apt_ELC_HPN1-G, R-SW_Apt_GAS_HHPN1, R-SW_Apt_GAS_HPN1, R-SW_Apt_GAS_HPN2</v>
      </c>
      <c r="J20" s="7" t="s">
        <v>34</v>
      </c>
      <c r="K20" s="7">
        <v>1</v>
      </c>
      <c r="N20" s="7">
        <v>5</v>
      </c>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row r="21" spans="2:44" x14ac:dyDescent="0.25">
      <c r="B21" s="7" t="str">
        <f t="shared" si="0"/>
        <v>RSD-BIOGAS</v>
      </c>
      <c r="D21" s="1" t="str">
        <f>+C6</f>
        <v>R-SH_Apt_GAS_N1,R-SH_Att_GAS_N1,R-SH_Det_GAS_N1,R-SW_Apt_GAS_HHPN1,R-SW_Apt_GAS_HPN1,R-SW_Apt_GAS_HPN2,R-SW_Apt_GAS_N1,R-SW_Att_GAS_HHPN1,R-SW_Att_GAS_HPN1,R-SW_Att_GAS_HPN2,R-SW_Att_GAS_N1,R-SW_Att_GAS_N2,R-SW_Att_GAS_N3,R-SW_Det_GAS_HHPN1,R-SW_Det_GAS_HPN1,R-SW_Det_GAS_HPN2,R-SW_Det_GAS_N1,R-SW_Det_GAS_N2,R-SW_Det_GAS_N3</v>
      </c>
      <c r="J21" s="7" t="s">
        <v>34</v>
      </c>
      <c r="K21" s="7">
        <v>1</v>
      </c>
      <c r="N21" s="7">
        <v>5</v>
      </c>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row>
    <row r="22" spans="2:44" x14ac:dyDescent="0.25">
      <c r="B22" s="7" t="str">
        <f t="shared" si="0"/>
        <v>RSD-ATT-HP</v>
      </c>
      <c r="D22" s="1" t="str">
        <f>+C7</f>
        <v>R-HC_Att_ELC_HPN1, R-HC_Att_ELC_HPN2-AB, R-HC_Att_ELC_HPN2-C, R-HC_Att_ELC_HPN2-D, R-HC_Att_ELC_HPN2-E, R-HC_Att_ELC_HPN2-F, R-HC_Att_ELC_HPN2-G, R-SH_Att_ELC_HPN1, R-SH_Att_ELC_HPN2-AB, R-SH_Att_ELC_HPN2-C, R-SH_Att_ELC_HPN2-D, R-SH_Att_ELC_HPN2-E, R-SH_Att_ELC_HPN2-F, R-SH_Att_ELC_HPN2-G, R-SH_Att_ELC_HPN3-AB, R-SH_Att_ELC_HPN3-C, R-SH_Att_ELC_HPN3-D, R-SH_Att_ELC_HPN3-E, R-SH_Att_ELC_HPN3-F, R-SH_Att_ELC_HPN3-G, R-SW_Att_ELC_HPN1-AB, R-SW_Att_ELC_HPN1-C, R-SW_Att_ELC_HPN1-D, R-SW_Att_ELC_HPN1-E, R-SW_Att_ELC_HPN1-F, R-SW_Att_ELC_HPN1-G, R-SW_Att_ELC_HPN2-AB, R-SW_Att_ELC_HPN2-C, R-SW_Att_ELC_HPN2-D, R-SW_Att_ELC_HPN2-E, R-SW_Att_ELC_HPN2-F, R-SW_Att_ELC_HPN2-G, R-SW_Att_GAS_HHPN1, R-SW_Att_GAS_HPN1, R-SW_Att_GAS_HPN2</v>
      </c>
      <c r="J22" s="7" t="s">
        <v>34</v>
      </c>
      <c r="K22" s="7">
        <v>1</v>
      </c>
      <c r="N22" s="7">
        <v>5</v>
      </c>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row>
    <row r="23" spans="2:44" x14ac:dyDescent="0.25">
      <c r="B23" s="7" t="str">
        <f t="shared" si="0"/>
        <v>RSD-DH</v>
      </c>
      <c r="D23" s="1" t="s">
        <v>35</v>
      </c>
      <c r="J23" s="7" t="s">
        <v>34</v>
      </c>
      <c r="K23" s="7">
        <v>1</v>
      </c>
      <c r="N23" s="7">
        <v>5</v>
      </c>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row>
    <row r="24" spans="2:44" x14ac:dyDescent="0.25">
      <c r="B24" s="7" t="str">
        <f t="shared" si="0"/>
        <v>RSD_BLD-DET-HP</v>
      </c>
      <c r="D24" s="1" t="s">
        <v>18</v>
      </c>
      <c r="J24" s="7" t="s">
        <v>34</v>
      </c>
      <c r="K24" s="7">
        <v>1</v>
      </c>
      <c r="N24" s="7">
        <v>5</v>
      </c>
    </row>
    <row r="25" spans="2:44" x14ac:dyDescent="0.25">
      <c r="B25" s="7"/>
    </row>
    <row r="27" spans="2:44" x14ac:dyDescent="0.25">
      <c r="C27" s="16" t="s">
        <v>36</v>
      </c>
      <c r="D27" s="16"/>
      <c r="E27" s="17" t="s">
        <v>37</v>
      </c>
      <c r="F27" s="18">
        <v>2018</v>
      </c>
      <c r="G27" s="18">
        <v>2019</v>
      </c>
      <c r="H27" s="18">
        <v>2020</v>
      </c>
      <c r="I27" s="18">
        <v>2021</v>
      </c>
      <c r="J27" s="18">
        <v>2022</v>
      </c>
      <c r="K27" s="18">
        <v>2023</v>
      </c>
      <c r="L27" s="18">
        <v>2024</v>
      </c>
      <c r="M27" s="19">
        <v>2025</v>
      </c>
      <c r="N27" s="18">
        <v>2026</v>
      </c>
      <c r="O27" s="18">
        <v>2027</v>
      </c>
      <c r="P27" s="18">
        <v>2028</v>
      </c>
      <c r="Q27" s="18">
        <v>2029</v>
      </c>
      <c r="R27" s="19">
        <v>2030</v>
      </c>
      <c r="S27" s="18">
        <v>2031</v>
      </c>
      <c r="T27" s="18">
        <v>2032</v>
      </c>
      <c r="U27" s="18">
        <v>2033</v>
      </c>
      <c r="V27" s="18">
        <v>2034</v>
      </c>
      <c r="W27" s="18">
        <v>2035</v>
      </c>
      <c r="X27" s="18">
        <v>2036</v>
      </c>
      <c r="Y27" s="18">
        <v>2037</v>
      </c>
      <c r="Z27" s="18">
        <v>2038</v>
      </c>
      <c r="AA27" s="18">
        <v>2039</v>
      </c>
      <c r="AB27" s="19">
        <v>2040</v>
      </c>
      <c r="AC27" s="18">
        <v>2041</v>
      </c>
      <c r="AD27" s="18">
        <v>2042</v>
      </c>
      <c r="AE27" s="18">
        <v>2043</v>
      </c>
      <c r="AF27" s="18">
        <v>2044</v>
      </c>
      <c r="AG27" s="18">
        <v>2045</v>
      </c>
      <c r="AH27" s="18">
        <v>2046</v>
      </c>
      <c r="AI27" s="18">
        <v>2047</v>
      </c>
      <c r="AJ27" s="18">
        <v>2048</v>
      </c>
      <c r="AK27" s="18">
        <v>2049</v>
      </c>
      <c r="AL27" s="19">
        <v>2050</v>
      </c>
    </row>
    <row r="28" spans="2:44" x14ac:dyDescent="0.25">
      <c r="C28" s="64" t="s">
        <v>38</v>
      </c>
      <c r="D28" s="64"/>
      <c r="E28" s="84" t="s">
        <v>39</v>
      </c>
      <c r="F28" s="62">
        <v>4528</v>
      </c>
      <c r="G28" s="62">
        <v>8473</v>
      </c>
      <c r="H28" s="62">
        <v>12576</v>
      </c>
      <c r="I28" s="62">
        <v>21085</v>
      </c>
      <c r="J28" s="62">
        <v>36002</v>
      </c>
      <c r="K28" s="62">
        <v>57730</v>
      </c>
      <c r="L28" s="62">
        <v>76458.133004706353</v>
      </c>
      <c r="M28" s="62">
        <v>98415.194404124166</v>
      </c>
      <c r="N28" s="62">
        <v>123756.24028758133</v>
      </c>
      <c r="O28" s="62">
        <v>152915.52917535801</v>
      </c>
      <c r="P28" s="62">
        <v>186737.48815921484</v>
      </c>
      <c r="Q28" s="62">
        <v>225545.84587663756</v>
      </c>
      <c r="R28" s="62">
        <v>270141.84587663756</v>
      </c>
      <c r="S28" s="62">
        <v>319101.38047990017</v>
      </c>
      <c r="T28" s="62">
        <v>372398.4319908793</v>
      </c>
      <c r="U28" s="62">
        <v>430244.41232910869</v>
      </c>
      <c r="V28" s="62">
        <v>491783.88087787427</v>
      </c>
      <c r="W28" s="62">
        <v>613980.88087787433</v>
      </c>
      <c r="X28" s="62">
        <v>734898.43145722908</v>
      </c>
      <c r="Y28" s="62">
        <v>853106.17047709145</v>
      </c>
      <c r="Z28" s="62">
        <v>969852.77933095349</v>
      </c>
      <c r="AA28" s="62">
        <v>1102703.0055037753</v>
      </c>
      <c r="AB28" s="62">
        <v>1247959.9441043576</v>
      </c>
      <c r="AC28" s="20"/>
      <c r="AD28" s="20"/>
      <c r="AE28" s="20"/>
      <c r="AF28" s="20"/>
      <c r="AG28" s="20"/>
      <c r="AH28" s="20"/>
      <c r="AI28" s="20"/>
      <c r="AJ28" s="20"/>
      <c r="AK28" s="20"/>
      <c r="AL28" s="21"/>
    </row>
    <row r="29" spans="2:44" x14ac:dyDescent="0.25">
      <c r="C29" s="64" t="s">
        <v>40</v>
      </c>
      <c r="D29" s="64"/>
      <c r="E29" s="84" t="s">
        <v>39</v>
      </c>
      <c r="F29" s="62">
        <v>2791</v>
      </c>
      <c r="G29" s="62">
        <v>6306</v>
      </c>
      <c r="H29" s="62">
        <v>12228</v>
      </c>
      <c r="I29" s="62">
        <v>23671</v>
      </c>
      <c r="J29" s="62">
        <v>33157</v>
      </c>
      <c r="K29" s="62">
        <v>46227</v>
      </c>
      <c r="L29" s="62">
        <v>65580.100332647708</v>
      </c>
      <c r="M29" s="62">
        <v>88429.861651536645</v>
      </c>
      <c r="N29" s="62">
        <v>115259.45447616215</v>
      </c>
      <c r="O29" s="62">
        <v>146809.32931771784</v>
      </c>
      <c r="P29" s="62">
        <v>183964.44466028124</v>
      </c>
      <c r="Q29" s="62">
        <v>227783.37094489671</v>
      </c>
      <c r="R29" s="62">
        <v>279410.37094489671</v>
      </c>
      <c r="S29" s="62">
        <v>332253.19836038561</v>
      </c>
      <c r="T29" s="62">
        <v>387035.05666471604</v>
      </c>
      <c r="U29" s="62">
        <v>443152.32676393108</v>
      </c>
      <c r="V29" s="62">
        <v>501365.82754287875</v>
      </c>
      <c r="W29" s="62">
        <v>533243.82754287869</v>
      </c>
      <c r="X29" s="62">
        <v>553529.32832182629</v>
      </c>
      <c r="Y29" s="62">
        <v>569780.54423927818</v>
      </c>
      <c r="Z29" s="62">
        <v>578053.04909329861</v>
      </c>
      <c r="AA29" s="62">
        <v>577463.83565678261</v>
      </c>
      <c r="AB29" s="62">
        <v>570364.07433789363</v>
      </c>
      <c r="AC29" s="20"/>
      <c r="AD29" s="20"/>
      <c r="AE29" s="20"/>
      <c r="AF29" s="20"/>
      <c r="AG29" s="20"/>
      <c r="AH29" s="20"/>
      <c r="AI29" s="20"/>
      <c r="AJ29" s="20"/>
      <c r="AK29" s="20"/>
      <c r="AL29" s="21"/>
    </row>
    <row r="30" spans="2:44" x14ac:dyDescent="0.25">
      <c r="C30" s="64" t="s">
        <v>41</v>
      </c>
      <c r="D30" s="64"/>
      <c r="E30" s="84" t="s">
        <v>39</v>
      </c>
      <c r="F30" s="64"/>
      <c r="G30" s="64"/>
      <c r="H30" s="64"/>
      <c r="I30" s="64"/>
      <c r="J30" s="64"/>
      <c r="K30" s="85">
        <v>61</v>
      </c>
      <c r="L30" s="85">
        <v>282</v>
      </c>
      <c r="M30" s="62">
        <v>282</v>
      </c>
      <c r="N30" s="62">
        <v>282</v>
      </c>
      <c r="O30" s="62">
        <v>282</v>
      </c>
      <c r="P30" s="62">
        <v>282</v>
      </c>
      <c r="Q30" s="62">
        <v>282</v>
      </c>
      <c r="R30" s="62">
        <v>282</v>
      </c>
      <c r="S30" s="62">
        <v>282</v>
      </c>
      <c r="T30" s="62">
        <v>282</v>
      </c>
      <c r="U30" s="62">
        <v>282</v>
      </c>
      <c r="V30" s="62">
        <v>282</v>
      </c>
      <c r="W30" s="62">
        <v>282</v>
      </c>
      <c r="X30" s="62">
        <v>282</v>
      </c>
      <c r="Y30" s="62">
        <v>282</v>
      </c>
      <c r="Z30" s="62">
        <v>282</v>
      </c>
      <c r="AA30" s="62">
        <v>282</v>
      </c>
      <c r="AB30" s="62">
        <v>282</v>
      </c>
      <c r="AC30" s="20"/>
      <c r="AD30" s="20"/>
      <c r="AE30" s="20"/>
      <c r="AF30" s="20"/>
      <c r="AG30" s="20"/>
      <c r="AH30" s="20"/>
      <c r="AI30" s="20"/>
      <c r="AJ30" s="20"/>
      <c r="AK30" s="20"/>
      <c r="AL30" s="21"/>
    </row>
    <row r="31" spans="2:44" x14ac:dyDescent="0.25">
      <c r="C31" s="64" t="s">
        <v>42</v>
      </c>
      <c r="D31" s="64"/>
      <c r="E31" s="84" t="s">
        <v>39</v>
      </c>
      <c r="F31" s="62">
        <v>10</v>
      </c>
      <c r="G31" s="62">
        <v>57</v>
      </c>
      <c r="H31" s="62">
        <v>103</v>
      </c>
      <c r="I31" s="62">
        <v>208</v>
      </c>
      <c r="J31" s="62">
        <v>379</v>
      </c>
      <c r="K31" s="62">
        <v>675</v>
      </c>
      <c r="L31" s="62">
        <v>937.5</v>
      </c>
      <c r="M31" s="62">
        <v>1200</v>
      </c>
      <c r="N31" s="62">
        <v>1860</v>
      </c>
      <c r="O31" s="62">
        <v>2520</v>
      </c>
      <c r="P31" s="62">
        <v>3180</v>
      </c>
      <c r="Q31" s="62">
        <v>3840</v>
      </c>
      <c r="R31" s="62">
        <v>4500</v>
      </c>
      <c r="S31" s="62">
        <v>6000</v>
      </c>
      <c r="T31" s="62">
        <v>7500</v>
      </c>
      <c r="U31" s="62">
        <v>9000</v>
      </c>
      <c r="V31" s="62">
        <v>10500</v>
      </c>
      <c r="W31" s="62">
        <v>12000</v>
      </c>
      <c r="X31" s="62">
        <v>11200</v>
      </c>
      <c r="Y31" s="62">
        <v>10400</v>
      </c>
      <c r="Z31" s="62">
        <v>9600</v>
      </c>
      <c r="AA31" s="62">
        <v>8800</v>
      </c>
      <c r="AB31" s="62">
        <v>8000</v>
      </c>
      <c r="AC31" s="20"/>
      <c r="AD31" s="20"/>
      <c r="AE31" s="20"/>
      <c r="AF31" s="20"/>
      <c r="AG31" s="20"/>
      <c r="AH31" s="20"/>
      <c r="AI31" s="20"/>
      <c r="AJ31" s="20"/>
      <c r="AK31" s="20"/>
      <c r="AL31" s="21"/>
    </row>
    <row r="32" spans="2:44" x14ac:dyDescent="0.25">
      <c r="C32" s="64" t="s">
        <v>43</v>
      </c>
      <c r="D32" s="64"/>
      <c r="E32" s="84" t="s">
        <v>39</v>
      </c>
      <c r="F32" s="86">
        <v>167</v>
      </c>
      <c r="G32" s="86">
        <v>454</v>
      </c>
      <c r="H32" s="86">
        <v>878</v>
      </c>
      <c r="I32" s="86">
        <v>1770</v>
      </c>
      <c r="J32" s="86">
        <v>2135</v>
      </c>
      <c r="K32" s="86">
        <v>2856</v>
      </c>
      <c r="L32" s="86">
        <v>3861.9285714285716</v>
      </c>
      <c r="M32" s="86">
        <v>4867.8571428571431</v>
      </c>
      <c r="N32" s="86">
        <v>6024.2857142857147</v>
      </c>
      <c r="O32" s="86">
        <v>7180.7142857142853</v>
      </c>
      <c r="P32" s="86">
        <v>8337.1428571428569</v>
      </c>
      <c r="Q32" s="86">
        <v>9493.5714285714294</v>
      </c>
      <c r="R32" s="86">
        <v>10650</v>
      </c>
      <c r="S32" s="86">
        <v>12310</v>
      </c>
      <c r="T32" s="86">
        <v>13970</v>
      </c>
      <c r="U32" s="86">
        <v>15630</v>
      </c>
      <c r="V32" s="86">
        <v>17290</v>
      </c>
      <c r="W32" s="86">
        <v>18950</v>
      </c>
      <c r="X32" s="86">
        <v>42754.874566279919</v>
      </c>
      <c r="Y32" s="86">
        <v>66559.749132559838</v>
      </c>
      <c r="Z32" s="86">
        <v>90364.623698839758</v>
      </c>
      <c r="AA32" s="86">
        <v>114169.49826511968</v>
      </c>
      <c r="AB32" s="86">
        <v>137974.37283139961</v>
      </c>
      <c r="AC32" s="20"/>
      <c r="AD32" s="20"/>
      <c r="AE32" s="20"/>
      <c r="AF32" s="20"/>
      <c r="AG32" s="20"/>
      <c r="AH32" s="20"/>
      <c r="AI32" s="20"/>
      <c r="AJ32" s="20"/>
      <c r="AK32" s="20"/>
      <c r="AL32" s="21"/>
    </row>
    <row r="33" spans="2:40" x14ac:dyDescent="0.25">
      <c r="C33" s="87" t="s">
        <v>44</v>
      </c>
      <c r="D33" s="88"/>
      <c r="E33" s="89" t="s">
        <v>39</v>
      </c>
      <c r="F33" s="62">
        <v>167</v>
      </c>
      <c r="G33" s="62">
        <v>454</v>
      </c>
      <c r="H33" s="62">
        <v>878</v>
      </c>
      <c r="I33" s="62">
        <v>1770</v>
      </c>
      <c r="J33" s="62">
        <v>2135</v>
      </c>
      <c r="K33" s="62">
        <v>2821</v>
      </c>
      <c r="L33" s="62">
        <v>3810.5</v>
      </c>
      <c r="M33" s="62">
        <v>4800</v>
      </c>
      <c r="N33" s="62">
        <v>5940</v>
      </c>
      <c r="O33" s="62">
        <v>7080</v>
      </c>
      <c r="P33" s="62">
        <v>8220</v>
      </c>
      <c r="Q33" s="62">
        <v>9360</v>
      </c>
      <c r="R33" s="62">
        <v>10500</v>
      </c>
      <c r="S33" s="62">
        <v>12000</v>
      </c>
      <c r="T33" s="62">
        <v>13500</v>
      </c>
      <c r="U33" s="62">
        <v>15000</v>
      </c>
      <c r="V33" s="62">
        <v>16500</v>
      </c>
      <c r="W33" s="62">
        <v>18000</v>
      </c>
      <c r="X33" s="62">
        <v>41644.874566279919</v>
      </c>
      <c r="Y33" s="62">
        <v>65289.749132559838</v>
      </c>
      <c r="Z33" s="62">
        <v>88934.623698839758</v>
      </c>
      <c r="AA33" s="62">
        <v>112579.49826511968</v>
      </c>
      <c r="AB33" s="62">
        <v>136224.37283139961</v>
      </c>
      <c r="AC33" s="22"/>
      <c r="AD33" s="22"/>
      <c r="AE33" s="22"/>
      <c r="AF33" s="22"/>
      <c r="AG33" s="22"/>
      <c r="AH33" s="22"/>
      <c r="AI33" s="22"/>
      <c r="AJ33" s="22"/>
      <c r="AK33" s="22"/>
      <c r="AL33" s="23"/>
    </row>
    <row r="34" spans="2:40" x14ac:dyDescent="0.25">
      <c r="C34" s="90" t="s">
        <v>45</v>
      </c>
      <c r="D34" s="91"/>
      <c r="E34" s="92" t="s">
        <v>39</v>
      </c>
      <c r="F34" s="62">
        <v>0</v>
      </c>
      <c r="G34" s="62">
        <v>0</v>
      </c>
      <c r="H34" s="62">
        <v>0</v>
      </c>
      <c r="I34" s="62">
        <v>0</v>
      </c>
      <c r="J34" s="62">
        <v>0</v>
      </c>
      <c r="K34" s="62">
        <v>35</v>
      </c>
      <c r="L34" s="62">
        <v>51.428571428571431</v>
      </c>
      <c r="M34" s="62">
        <v>67.857142857142861</v>
      </c>
      <c r="N34" s="62">
        <v>84.285714285714292</v>
      </c>
      <c r="O34" s="62">
        <v>100.71428571428572</v>
      </c>
      <c r="P34" s="62">
        <v>117.14285714285715</v>
      </c>
      <c r="Q34" s="62">
        <v>133.57142857142858</v>
      </c>
      <c r="R34" s="62">
        <v>150</v>
      </c>
      <c r="S34" s="62">
        <v>310</v>
      </c>
      <c r="T34" s="62">
        <v>470</v>
      </c>
      <c r="U34" s="62">
        <v>630</v>
      </c>
      <c r="V34" s="62">
        <v>790</v>
      </c>
      <c r="W34" s="62">
        <v>950</v>
      </c>
      <c r="X34" s="62">
        <v>1110</v>
      </c>
      <c r="Y34" s="62">
        <v>1270</v>
      </c>
      <c r="Z34" s="62">
        <v>1430</v>
      </c>
      <c r="AA34" s="62">
        <v>1590</v>
      </c>
      <c r="AB34" s="62">
        <v>1750</v>
      </c>
      <c r="AC34" s="24"/>
      <c r="AD34" s="24"/>
      <c r="AE34" s="24"/>
      <c r="AF34" s="24"/>
      <c r="AG34" s="24"/>
      <c r="AH34" s="24"/>
      <c r="AI34" s="24"/>
      <c r="AJ34" s="24"/>
      <c r="AK34" s="24"/>
      <c r="AL34" s="25"/>
    </row>
    <row r="35" spans="2:40" x14ac:dyDescent="0.25">
      <c r="C35" s="64" t="s">
        <v>46</v>
      </c>
      <c r="D35" s="64"/>
      <c r="E35" s="84" t="s">
        <v>47</v>
      </c>
      <c r="F35" s="64"/>
      <c r="G35" s="64"/>
      <c r="H35" s="64"/>
      <c r="I35" s="64"/>
      <c r="J35" s="64"/>
      <c r="K35" s="64"/>
      <c r="L35" s="62">
        <v>4740.55</v>
      </c>
      <c r="M35" s="62">
        <v>4959.90625</v>
      </c>
      <c r="N35" s="62">
        <v>5224.25</v>
      </c>
      <c r="O35" s="62">
        <v>5507.75</v>
      </c>
      <c r="P35" s="62">
        <v>5914.375</v>
      </c>
      <c r="Q35" s="62">
        <v>6252.5</v>
      </c>
      <c r="R35" s="62">
        <v>6655</v>
      </c>
      <c r="S35" s="62">
        <v>6917.5</v>
      </c>
      <c r="T35" s="62">
        <v>7105</v>
      </c>
      <c r="U35" s="62">
        <v>7230</v>
      </c>
      <c r="V35" s="62">
        <v>7430</v>
      </c>
      <c r="W35" s="62">
        <v>7630</v>
      </c>
      <c r="X35" s="62">
        <v>7830</v>
      </c>
      <c r="Y35" s="62">
        <v>8030</v>
      </c>
      <c r="Z35" s="62">
        <v>8230</v>
      </c>
      <c r="AA35" s="62">
        <v>8430</v>
      </c>
      <c r="AB35" s="62">
        <v>8630</v>
      </c>
      <c r="AC35" s="20"/>
      <c r="AD35" s="20"/>
      <c r="AE35" s="20"/>
      <c r="AF35" s="20"/>
      <c r="AG35" s="20"/>
      <c r="AH35" s="20"/>
      <c r="AI35" s="20"/>
      <c r="AJ35" s="20"/>
      <c r="AK35" s="20"/>
      <c r="AL35" s="21"/>
    </row>
    <row r="36" spans="2:40" x14ac:dyDescent="0.25">
      <c r="C36" s="64" t="s">
        <v>48</v>
      </c>
      <c r="D36" s="64"/>
      <c r="E36" s="84" t="s">
        <v>47</v>
      </c>
      <c r="F36" s="64"/>
      <c r="G36" s="64"/>
      <c r="H36" s="64"/>
      <c r="I36" s="64"/>
      <c r="J36" s="64"/>
      <c r="K36" s="64"/>
      <c r="L36" s="62">
        <v>25</v>
      </c>
      <c r="M36" s="62">
        <v>25</v>
      </c>
      <c r="N36" s="62">
        <v>25</v>
      </c>
      <c r="O36" s="62">
        <v>25</v>
      </c>
      <c r="P36" s="62">
        <v>25</v>
      </c>
      <c r="Q36" s="62">
        <v>25</v>
      </c>
      <c r="R36" s="62">
        <v>357.25</v>
      </c>
      <c r="S36" s="62">
        <v>1354</v>
      </c>
      <c r="T36" s="62">
        <v>1952</v>
      </c>
      <c r="U36" s="62">
        <v>2516</v>
      </c>
      <c r="V36" s="62">
        <v>3118</v>
      </c>
      <c r="W36" s="62">
        <v>3915.5</v>
      </c>
      <c r="X36" s="62">
        <v>4481</v>
      </c>
      <c r="Y36" s="62">
        <v>4831</v>
      </c>
      <c r="Z36" s="62">
        <v>5181</v>
      </c>
      <c r="AA36" s="62">
        <v>5531</v>
      </c>
      <c r="AB36" s="62">
        <v>5881</v>
      </c>
      <c r="AC36" s="20"/>
      <c r="AD36" s="20"/>
      <c r="AE36" s="20"/>
      <c r="AF36" s="20"/>
      <c r="AG36" s="20"/>
      <c r="AH36" s="20"/>
      <c r="AI36" s="20"/>
      <c r="AJ36" s="20"/>
      <c r="AK36" s="20"/>
      <c r="AL36" s="21"/>
    </row>
    <row r="37" spans="2:40" x14ac:dyDescent="0.25">
      <c r="C37" s="64" t="s">
        <v>49</v>
      </c>
      <c r="D37" s="64"/>
      <c r="E37" s="84" t="s">
        <v>47</v>
      </c>
      <c r="F37" s="64"/>
      <c r="G37" s="64"/>
      <c r="H37" s="64"/>
      <c r="I37" s="64"/>
      <c r="J37" s="64"/>
      <c r="K37" s="64"/>
      <c r="L37" s="62">
        <v>914.93749999999989</v>
      </c>
      <c r="M37" s="62">
        <v>1547.25</v>
      </c>
      <c r="N37" s="62">
        <v>2290.875</v>
      </c>
      <c r="O37" s="62">
        <v>2906.5</v>
      </c>
      <c r="P37" s="62">
        <v>3744.625</v>
      </c>
      <c r="Q37" s="62">
        <v>4373.375</v>
      </c>
      <c r="R37" s="62">
        <v>5177.5</v>
      </c>
      <c r="S37" s="62">
        <v>5806.5</v>
      </c>
      <c r="T37" s="62">
        <v>6177.5</v>
      </c>
      <c r="U37" s="62">
        <v>6593.75</v>
      </c>
      <c r="V37" s="62">
        <v>6825</v>
      </c>
      <c r="W37" s="62">
        <v>7025</v>
      </c>
      <c r="X37" s="62">
        <v>7225</v>
      </c>
      <c r="Y37" s="62">
        <v>7425</v>
      </c>
      <c r="Z37" s="62">
        <v>7625</v>
      </c>
      <c r="AA37" s="62">
        <v>7825</v>
      </c>
      <c r="AB37" s="62">
        <v>8025</v>
      </c>
      <c r="AC37" s="20"/>
      <c r="AD37" s="20"/>
      <c r="AE37" s="20"/>
      <c r="AF37" s="20"/>
      <c r="AG37" s="20"/>
      <c r="AH37" s="20"/>
      <c r="AI37" s="20"/>
      <c r="AJ37" s="20"/>
      <c r="AK37" s="20"/>
      <c r="AL37" s="21"/>
    </row>
    <row r="38" spans="2:40" x14ac:dyDescent="0.25">
      <c r="C38" s="64" t="s">
        <v>50</v>
      </c>
      <c r="D38" s="64"/>
      <c r="E38" s="84" t="s">
        <v>51</v>
      </c>
      <c r="F38" s="64"/>
      <c r="G38" s="64"/>
      <c r="H38" s="64"/>
      <c r="I38" s="64"/>
      <c r="J38" s="64"/>
      <c r="K38" s="64"/>
      <c r="L38" s="64"/>
      <c r="M38" s="62">
        <v>10</v>
      </c>
      <c r="N38" s="69">
        <v>10</v>
      </c>
      <c r="O38" s="69">
        <v>10</v>
      </c>
      <c r="P38" s="69">
        <v>10</v>
      </c>
      <c r="Q38" s="69">
        <v>10</v>
      </c>
      <c r="R38" s="62">
        <v>10</v>
      </c>
      <c r="S38" s="69">
        <v>10</v>
      </c>
      <c r="T38" s="69">
        <v>10</v>
      </c>
      <c r="U38" s="69">
        <v>10</v>
      </c>
      <c r="V38" s="69">
        <v>10</v>
      </c>
      <c r="W38" s="69">
        <v>10</v>
      </c>
      <c r="X38" s="69">
        <v>10</v>
      </c>
      <c r="Y38" s="69">
        <v>10</v>
      </c>
      <c r="Z38" s="69">
        <v>10</v>
      </c>
      <c r="AA38" s="69">
        <v>10</v>
      </c>
      <c r="AB38" s="69">
        <v>10</v>
      </c>
      <c r="AC38" s="20"/>
      <c r="AD38" s="20"/>
      <c r="AE38" s="20"/>
      <c r="AF38" s="20"/>
      <c r="AG38" s="20"/>
      <c r="AH38" s="20"/>
      <c r="AI38" s="20"/>
      <c r="AJ38" s="20"/>
      <c r="AK38" s="20"/>
      <c r="AL38" s="21"/>
    </row>
    <row r="39" spans="2:40" x14ac:dyDescent="0.25">
      <c r="C39" s="64" t="s">
        <v>52</v>
      </c>
      <c r="D39" s="64"/>
      <c r="E39" s="84" t="s">
        <v>51</v>
      </c>
      <c r="F39" s="64"/>
      <c r="G39" s="64"/>
      <c r="H39" s="64"/>
      <c r="I39" s="64"/>
      <c r="J39" s="64"/>
      <c r="K39" s="64"/>
      <c r="L39" s="64"/>
      <c r="M39" s="62">
        <v>12</v>
      </c>
      <c r="N39" s="69">
        <v>13.6</v>
      </c>
      <c r="O39" s="69">
        <v>15.2</v>
      </c>
      <c r="P39" s="69">
        <v>16.8</v>
      </c>
      <c r="Q39" s="69">
        <v>18.400000000000002</v>
      </c>
      <c r="R39" s="62">
        <v>20</v>
      </c>
      <c r="S39" s="69">
        <v>20</v>
      </c>
      <c r="T39" s="69">
        <v>20</v>
      </c>
      <c r="U39" s="69">
        <v>20</v>
      </c>
      <c r="V39" s="69">
        <v>20</v>
      </c>
      <c r="W39" s="69">
        <v>20</v>
      </c>
      <c r="X39" s="69">
        <v>20</v>
      </c>
      <c r="Y39" s="69">
        <v>20</v>
      </c>
      <c r="Z39" s="69">
        <v>20</v>
      </c>
      <c r="AA39" s="69">
        <v>20</v>
      </c>
      <c r="AB39" s="69">
        <v>20</v>
      </c>
      <c r="AC39" s="20"/>
      <c r="AD39" s="20"/>
      <c r="AE39" s="20"/>
      <c r="AF39" s="20"/>
      <c r="AG39" s="20"/>
      <c r="AH39" s="20"/>
      <c r="AI39" s="20"/>
      <c r="AJ39" s="20"/>
      <c r="AK39" s="20"/>
      <c r="AL39" s="21"/>
    </row>
    <row r="40" spans="2:40" x14ac:dyDescent="0.25">
      <c r="C40" s="64" t="s">
        <v>53</v>
      </c>
      <c r="D40" s="64"/>
      <c r="E40" s="84" t="s">
        <v>54</v>
      </c>
      <c r="F40" s="64"/>
      <c r="G40" s="64"/>
      <c r="H40" s="64"/>
      <c r="I40" s="64"/>
      <c r="J40" s="64"/>
      <c r="K40" s="64"/>
      <c r="L40" s="64"/>
      <c r="M40" s="93">
        <v>0.16666666666666666</v>
      </c>
      <c r="N40" s="93">
        <v>0.33333333333333331</v>
      </c>
      <c r="O40" s="93">
        <v>0.5</v>
      </c>
      <c r="P40" s="93">
        <v>0.66666666666666663</v>
      </c>
      <c r="Q40" s="93">
        <v>0.83333333333333326</v>
      </c>
      <c r="R40" s="93">
        <v>1</v>
      </c>
      <c r="S40" s="93">
        <v>1.1666666666666667</v>
      </c>
      <c r="T40" s="93">
        <v>1.3333333333333335</v>
      </c>
      <c r="U40" s="93">
        <v>1.5000000000000002</v>
      </c>
      <c r="V40" s="93">
        <v>1.666666666666667</v>
      </c>
      <c r="W40" s="93">
        <v>1.8333333333333337</v>
      </c>
      <c r="X40" s="93">
        <v>2.0000000000000004</v>
      </c>
      <c r="Y40" s="93">
        <v>2.166666666666667</v>
      </c>
      <c r="Z40" s="93">
        <v>2.3333333333333335</v>
      </c>
      <c r="AA40" s="93">
        <v>2.5</v>
      </c>
      <c r="AB40" s="93">
        <v>2.6666666666666665</v>
      </c>
      <c r="AC40" s="20"/>
      <c r="AD40" s="20"/>
      <c r="AE40" s="20"/>
      <c r="AF40" s="20"/>
      <c r="AG40" s="20"/>
      <c r="AH40" s="20"/>
      <c r="AI40" s="20"/>
      <c r="AJ40" s="20"/>
      <c r="AK40" s="20"/>
      <c r="AL40" s="21"/>
    </row>
    <row r="41" spans="2:40" x14ac:dyDescent="0.25">
      <c r="C41" s="64" t="s">
        <v>55</v>
      </c>
      <c r="D41" s="64" t="s">
        <v>56</v>
      </c>
      <c r="E41" s="84" t="s">
        <v>57</v>
      </c>
      <c r="F41" s="64"/>
      <c r="G41" s="64"/>
      <c r="H41" s="64"/>
      <c r="I41" s="64"/>
      <c r="J41" s="64"/>
      <c r="K41" s="64"/>
      <c r="L41" s="86">
        <v>30290</v>
      </c>
      <c r="M41" s="62">
        <v>9784</v>
      </c>
      <c r="N41" s="70">
        <v>17033.2</v>
      </c>
      <c r="O41" s="70">
        <v>24282.400000000001</v>
      </c>
      <c r="P41" s="70">
        <v>31531.600000000002</v>
      </c>
      <c r="Q41" s="70">
        <v>38780.800000000003</v>
      </c>
      <c r="R41" s="62">
        <v>46030</v>
      </c>
      <c r="S41" s="70">
        <v>51282.3</v>
      </c>
      <c r="T41" s="70">
        <v>56534.600000000006</v>
      </c>
      <c r="U41" s="70">
        <v>61786.900000000009</v>
      </c>
      <c r="V41" s="70">
        <v>67039.200000000012</v>
      </c>
      <c r="W41" s="70">
        <v>72291.500000000015</v>
      </c>
      <c r="X41" s="70">
        <v>77543.800000000017</v>
      </c>
      <c r="Y41" s="70">
        <v>82796.10000000002</v>
      </c>
      <c r="Z41" s="70">
        <v>88048.400000000023</v>
      </c>
      <c r="AA41" s="70">
        <v>93300.700000000026</v>
      </c>
      <c r="AB41" s="62">
        <v>98553</v>
      </c>
      <c r="AC41" s="20"/>
      <c r="AD41" s="20"/>
      <c r="AE41" s="20"/>
      <c r="AF41" s="20"/>
      <c r="AG41" s="20"/>
      <c r="AH41" s="20"/>
      <c r="AI41" s="20"/>
      <c r="AJ41" s="20"/>
      <c r="AK41" s="20"/>
      <c r="AL41" s="21"/>
    </row>
    <row r="42" spans="2:40" x14ac:dyDescent="0.25">
      <c r="C42" s="64" t="s">
        <v>58</v>
      </c>
      <c r="D42" s="64" t="s">
        <v>59</v>
      </c>
      <c r="E42" s="84" t="s">
        <v>60</v>
      </c>
      <c r="F42" s="64"/>
      <c r="G42" s="64"/>
      <c r="H42" s="64"/>
      <c r="I42" s="64"/>
      <c r="J42" s="64"/>
      <c r="K42" s="64"/>
      <c r="L42" s="62">
        <v>22594</v>
      </c>
      <c r="M42" s="62">
        <v>30753.640104178994</v>
      </c>
      <c r="N42" s="62">
        <v>38787.089185870005</v>
      </c>
      <c r="O42" s="62">
        <v>47979.990681859999</v>
      </c>
      <c r="P42" s="62">
        <v>58453.896772416992</v>
      </c>
      <c r="Q42" s="62">
        <v>69469.589697084986</v>
      </c>
      <c r="R42" s="62">
        <v>81294.661195221983</v>
      </c>
      <c r="S42" s="62">
        <v>87694.270859714001</v>
      </c>
      <c r="T42" s="62">
        <v>94079.009236094993</v>
      </c>
      <c r="U42" s="62">
        <v>100528.592055809</v>
      </c>
      <c r="V42" s="62">
        <v>106924.69278941599</v>
      </c>
      <c r="W42" s="62">
        <v>113142.96160799799</v>
      </c>
      <c r="X42" s="62">
        <v>119285.197212352</v>
      </c>
      <c r="Y42" s="62">
        <v>125231.603459933</v>
      </c>
      <c r="Z42" s="62">
        <v>131189.03544901701</v>
      </c>
      <c r="AA42" s="62">
        <v>135402.15358821102</v>
      </c>
      <c r="AB42" s="62">
        <v>138265.558034327</v>
      </c>
      <c r="AC42" s="20"/>
      <c r="AD42" s="20"/>
      <c r="AE42" s="20"/>
      <c r="AF42" s="20"/>
      <c r="AG42" s="20"/>
      <c r="AH42" s="20"/>
      <c r="AI42" s="20"/>
      <c r="AJ42" s="20"/>
      <c r="AK42" s="20"/>
      <c r="AL42" s="21"/>
    </row>
    <row r="43" spans="2:40" x14ac:dyDescent="0.25">
      <c r="C43" s="64" t="s">
        <v>61</v>
      </c>
      <c r="D43" s="64"/>
      <c r="E43" s="84" t="s">
        <v>54</v>
      </c>
      <c r="F43" s="64"/>
      <c r="G43" s="64"/>
      <c r="H43" s="64"/>
      <c r="I43" s="64"/>
      <c r="J43" s="71">
        <v>8.9999999999999998E-4</v>
      </c>
      <c r="K43" s="71">
        <v>8.9999999999999998E-4</v>
      </c>
      <c r="L43" s="71">
        <v>1.4000000000000002E-3</v>
      </c>
      <c r="M43" s="71">
        <v>1.4000000000000002E-3</v>
      </c>
      <c r="N43" s="71">
        <v>1.4000000000000002E-3</v>
      </c>
      <c r="O43" s="71">
        <v>1.4000000000000002E-3</v>
      </c>
      <c r="P43" s="71">
        <v>5.8473333333333346E-3</v>
      </c>
      <c r="Q43" s="71">
        <v>1.0294666666666667E-2</v>
      </c>
      <c r="R43" s="71">
        <v>1.4742000000000003E-2</v>
      </c>
      <c r="S43" s="71">
        <v>1.9491700000000004E-2</v>
      </c>
      <c r="T43" s="71">
        <v>2.4241400000000007E-2</v>
      </c>
      <c r="U43" s="71">
        <v>2.8991100000000006E-2</v>
      </c>
      <c r="V43" s="71">
        <v>3.3740800000000008E-2</v>
      </c>
      <c r="W43" s="71">
        <v>3.8490500000000011E-2</v>
      </c>
      <c r="X43" s="71">
        <v>4.3240200000000013E-2</v>
      </c>
      <c r="Y43" s="71">
        <v>4.7989900000000016E-2</v>
      </c>
      <c r="Z43" s="71">
        <v>5.2739600000000011E-2</v>
      </c>
      <c r="AA43" s="71">
        <v>5.7489300000000007E-2</v>
      </c>
      <c r="AB43" s="71">
        <v>6.2239000000000003E-2</v>
      </c>
      <c r="AC43" s="20"/>
      <c r="AD43" s="20"/>
      <c r="AE43" s="20"/>
      <c r="AF43" s="20"/>
      <c r="AG43" s="20"/>
      <c r="AH43" s="20"/>
      <c r="AI43" s="20"/>
      <c r="AJ43" s="20"/>
      <c r="AK43" s="20"/>
      <c r="AL43" s="21"/>
    </row>
    <row r="44" spans="2:40" x14ac:dyDescent="0.25">
      <c r="C44" s="64" t="s">
        <v>62</v>
      </c>
      <c r="D44" s="64" t="s">
        <v>63</v>
      </c>
      <c r="E44" s="84" t="s">
        <v>54</v>
      </c>
      <c r="F44" s="64"/>
      <c r="G44" s="64"/>
      <c r="H44" s="64"/>
      <c r="I44" s="64"/>
      <c r="J44" s="71">
        <v>3.5999999999999995E-3</v>
      </c>
      <c r="K44" s="71">
        <v>3.5999999999999995E-3</v>
      </c>
      <c r="L44" s="71">
        <v>5.5999999999999999E-3</v>
      </c>
      <c r="M44" s="71">
        <v>5.5999999999999999E-3</v>
      </c>
      <c r="N44" s="71">
        <v>5.5999999999999999E-3</v>
      </c>
      <c r="O44" s="71">
        <v>5.5999999999999999E-3</v>
      </c>
      <c r="P44" s="71">
        <v>2.3389333333333331E-2</v>
      </c>
      <c r="Q44" s="71">
        <v>4.1178666666666669E-2</v>
      </c>
      <c r="R44" s="71">
        <v>5.8968000000000007E-2</v>
      </c>
      <c r="S44" s="71">
        <v>7.7966800000000003E-2</v>
      </c>
      <c r="T44" s="71">
        <v>9.6965600000000027E-2</v>
      </c>
      <c r="U44" s="71">
        <v>0.11596440000000001</v>
      </c>
      <c r="V44" s="71">
        <v>0.13496320000000003</v>
      </c>
      <c r="W44" s="71">
        <v>0.15396200000000004</v>
      </c>
      <c r="X44" s="71">
        <v>0.17296080000000003</v>
      </c>
      <c r="Y44" s="71">
        <v>0.19195960000000004</v>
      </c>
      <c r="Z44" s="71">
        <v>0.21095840000000005</v>
      </c>
      <c r="AA44" s="71">
        <v>0.2299572</v>
      </c>
      <c r="AB44" s="71">
        <v>0.24895599999999998</v>
      </c>
      <c r="AC44" s="20"/>
      <c r="AD44" s="20"/>
      <c r="AE44" s="20"/>
      <c r="AF44" s="20"/>
      <c r="AG44" s="20"/>
      <c r="AH44" s="20"/>
      <c r="AI44" s="20"/>
      <c r="AJ44" s="20"/>
      <c r="AK44" s="20"/>
      <c r="AL44" s="21"/>
    </row>
    <row r="46" spans="2:40" x14ac:dyDescent="0.25">
      <c r="B46" s="8" t="s">
        <v>64</v>
      </c>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row>
    <row r="47" spans="2:40" x14ac:dyDescent="0.25">
      <c r="B47" s="8" t="s">
        <v>65</v>
      </c>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row>
    <row r="48" spans="2:40" x14ac:dyDescent="0.25">
      <c r="B48" s="7"/>
      <c r="C48" s="7"/>
      <c r="D48" s="7"/>
      <c r="E48" s="7"/>
      <c r="F48" s="7"/>
      <c r="G48" s="7"/>
      <c r="H48" s="7"/>
      <c r="I48" s="7"/>
      <c r="J48" s="7" t="s">
        <v>66</v>
      </c>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row>
    <row r="49" spans="2:44" x14ac:dyDescent="0.25">
      <c r="B49" s="9" t="s">
        <v>20</v>
      </c>
      <c r="C49" s="10" t="s">
        <v>21</v>
      </c>
      <c r="D49" s="10" t="s">
        <v>22</v>
      </c>
      <c r="E49" s="10" t="s">
        <v>23</v>
      </c>
      <c r="F49" s="10" t="s">
        <v>24</v>
      </c>
      <c r="G49" s="11" t="s">
        <v>25</v>
      </c>
      <c r="H49" s="11" t="s">
        <v>26</v>
      </c>
      <c r="I49" s="11" t="s">
        <v>27</v>
      </c>
      <c r="J49" s="11" t="s">
        <v>28</v>
      </c>
      <c r="K49" s="12" t="s">
        <v>67</v>
      </c>
      <c r="L49" s="13" t="s">
        <v>30</v>
      </c>
      <c r="M49" s="14" t="s">
        <v>31</v>
      </c>
      <c r="N49" s="14" t="s">
        <v>32</v>
      </c>
      <c r="O49" s="9" t="s">
        <v>33</v>
      </c>
      <c r="P49" s="7">
        <v>2019</v>
      </c>
      <c r="Q49" s="7">
        <v>2020</v>
      </c>
      <c r="R49" s="7">
        <v>2021</v>
      </c>
      <c r="S49" s="7">
        <v>2022</v>
      </c>
      <c r="T49" s="7">
        <v>2023</v>
      </c>
      <c r="U49" s="82" t="s">
        <v>145</v>
      </c>
      <c r="V49" s="7">
        <v>2025</v>
      </c>
      <c r="W49" s="7">
        <v>2026</v>
      </c>
      <c r="X49" s="7">
        <v>2027</v>
      </c>
      <c r="Y49" s="7">
        <v>2028</v>
      </c>
      <c r="Z49" s="7">
        <v>2029</v>
      </c>
      <c r="AA49" s="7">
        <v>2030</v>
      </c>
      <c r="AB49" s="7">
        <v>2031</v>
      </c>
      <c r="AC49" s="7">
        <v>2032</v>
      </c>
      <c r="AD49" s="7">
        <v>2033</v>
      </c>
      <c r="AE49" s="7">
        <v>2034</v>
      </c>
      <c r="AF49" s="7">
        <v>2035</v>
      </c>
      <c r="AG49" s="7">
        <v>2036</v>
      </c>
      <c r="AH49" s="7">
        <v>2037</v>
      </c>
      <c r="AI49" s="7">
        <v>2038</v>
      </c>
      <c r="AJ49" s="7">
        <v>2039</v>
      </c>
      <c r="AK49" s="7">
        <v>2040</v>
      </c>
      <c r="AL49" s="7">
        <v>2041</v>
      </c>
      <c r="AM49" s="7">
        <v>2042</v>
      </c>
      <c r="AN49" s="7">
        <v>2043</v>
      </c>
      <c r="AO49" s="7">
        <v>2044</v>
      </c>
      <c r="AP49" s="7">
        <v>2045</v>
      </c>
      <c r="AQ49" s="7">
        <v>2046</v>
      </c>
      <c r="AR49" s="7">
        <v>2047</v>
      </c>
    </row>
    <row r="50" spans="2:44" x14ac:dyDescent="0.25">
      <c r="B50" s="7" t="s">
        <v>0</v>
      </c>
      <c r="D50" s="1" t="str">
        <f>_xlfn.TEXTJOIN(",",TRUE,D18:D19)</f>
        <v>R-RTFT-Apt_B3, R-RTFT-Apt_C, R-RTFT-Apt_D, R-RTFT-Att_B3, R-RTFT-Att_C, R-RTFT-Att_D, R-RTFT-Det_B3, R-RTFT-Det_C, R-RTFT-Det_D,R-RTFT-Apt_E, R-RTFT-Apt_F, R-RTFT-Apt_G, R-RTFT-Att_E, R-RTFT-Att_F, R-RTFT-Att_G, R-RTFT-Det_E, R-RTFT-Det_F, R-RTFT-Det_G</v>
      </c>
      <c r="J50" s="7" t="s">
        <v>34</v>
      </c>
      <c r="K50" s="7">
        <v>1</v>
      </c>
      <c r="L50" s="7"/>
      <c r="M50" s="7"/>
      <c r="N50" s="7">
        <v>5</v>
      </c>
      <c r="P50" s="15"/>
      <c r="Q50" s="15"/>
      <c r="R50" s="15"/>
      <c r="S50" s="15"/>
      <c r="T50" s="15"/>
      <c r="U50" s="15">
        <f>L41/1000</f>
        <v>30.29</v>
      </c>
      <c r="V50" s="15">
        <f>M41/1000+U50</f>
        <v>40.073999999999998</v>
      </c>
      <c r="W50" s="15">
        <f>N41/1000+$V$50</f>
        <v>57.107199999999999</v>
      </c>
      <c r="X50" s="15">
        <f t="shared" ref="X50:AK50" si="1">O41/1000+$V$50</f>
        <v>64.356400000000008</v>
      </c>
      <c r="Y50" s="15">
        <f t="shared" si="1"/>
        <v>71.605599999999995</v>
      </c>
      <c r="Z50" s="15">
        <f t="shared" si="1"/>
        <v>78.854800000000012</v>
      </c>
      <c r="AA50" s="15">
        <f t="shared" si="1"/>
        <v>86.103999999999999</v>
      </c>
      <c r="AB50" s="15">
        <f t="shared" si="1"/>
        <v>91.356300000000005</v>
      </c>
      <c r="AC50" s="15">
        <f t="shared" si="1"/>
        <v>96.608599999999996</v>
      </c>
      <c r="AD50" s="15">
        <f t="shared" si="1"/>
        <v>101.86090000000002</v>
      </c>
      <c r="AE50" s="15">
        <f t="shared" si="1"/>
        <v>107.11320000000001</v>
      </c>
      <c r="AF50" s="15">
        <f t="shared" si="1"/>
        <v>112.36550000000001</v>
      </c>
      <c r="AG50" s="15">
        <f t="shared" si="1"/>
        <v>117.61780000000002</v>
      </c>
      <c r="AH50" s="15">
        <f t="shared" si="1"/>
        <v>122.87010000000002</v>
      </c>
      <c r="AI50" s="15">
        <f t="shared" si="1"/>
        <v>128.12240000000003</v>
      </c>
      <c r="AJ50" s="15">
        <f t="shared" si="1"/>
        <v>133.37470000000002</v>
      </c>
      <c r="AK50" s="15">
        <f t="shared" si="1"/>
        <v>138.62700000000001</v>
      </c>
      <c r="AL50" s="15"/>
      <c r="AM50" s="15"/>
      <c r="AN50" s="15"/>
      <c r="AO50" s="15"/>
      <c r="AP50" s="15"/>
      <c r="AQ50" s="15"/>
      <c r="AR50" s="15"/>
    </row>
    <row r="51" spans="2:44" x14ac:dyDescent="0.25">
      <c r="B51" s="7" t="s">
        <v>6</v>
      </c>
      <c r="D51" s="1" t="str">
        <f>_xlfn.TEXTJOIN(",",TRUE,D20,D22,D24)</f>
        <v>R-HC_Apt_ELC_HPN1, R-HC_Apt_ELC_HPN2-AB, R-HC_Apt_ELC_HPN2-C, R-HC_Apt_ELC_HPN2-D, R-HC_Apt_ELC_HPN2-E, R-HC_Apt_ELC_HPN2-F, R-HC_Apt_ELC_HPN2-G, R-SH_Apt_ELC_HPN1, R-SH_Apt_ELC_HPN2-AB, R-SH_Apt_ELC_HPN2-C, R-SH_Apt_ELC_HPN2-D, R-SH_Apt_ELC_HPN2-E, R-SH_Apt_ELC_HPN2-F, R-SH_Apt_ELC_HPN2-G, R-SH_Apt_ELC_HPN3-AB, R-SH_Apt_ELC_HPN3-C, R-SH_Apt_ELC_HPN3-D, R-SH_Apt_ELC_HPN3-E, R-SH_Apt_ELC_HPN3-F, R-SH_Apt_ELC_HPN3-G, R-SW_Apt_ELC_HPN1-AB, R-SW_Apt_ELC_HPN1-C, R-SW_Apt_ELC_HPN1-D, R-SW_Apt_ELC_HPN1-E, R-SW_Apt_ELC_HPN1-F, R-SW_Apt_ELC_HPN1-G, R-SW_Apt_GAS_HHPN1, R-SW_Apt_GAS_HPN1, R-SW_Apt_GAS_HPN2,R-HC_Att_ELC_HPN1, R-HC_Att_ELC_HPN2-AB, R-HC_Att_ELC_HPN2-C, R-HC_Att_ELC_HPN2-D, R-HC_Att_ELC_HPN2-E, R-HC_Att_ELC_HPN2-F, R-HC_Att_ELC_HPN2-G, R-SH_Att_ELC_HPN1, R-SH_Att_ELC_HPN2-AB, R-SH_Att_ELC_HPN2-C, R-SH_Att_ELC_HPN2-D, R-SH_Att_ELC_HPN2-E, R-SH_Att_ELC_HPN2-F, R-SH_Att_ELC_HPN2-G, R-SH_Att_ELC_HPN3-AB, R-SH_Att_ELC_HPN3-C, R-SH_Att_ELC_HPN3-D, R-SH_Att_ELC_HPN3-E, R-SH_Att_ELC_HPN3-F, R-SH_Att_ELC_HPN3-G, R-SW_Att_ELC_HPN1-AB, R-SW_Att_ELC_HPN1-C, R-SW_Att_ELC_HPN1-D, R-SW_Att_ELC_HPN1-E, R-SW_Att_ELC_HPN1-F, R-SW_Att_ELC_HPN1-G, R-SW_Att_ELC_HPN2-AB, R-SW_Att_ELC_HPN2-C, R-SW_Att_ELC_HPN2-D, R-SW_Att_ELC_HPN2-E, R-SW_Att_ELC_HPN2-F, R-SW_Att_ELC_HPN2-G, R-SW_Att_GAS_HHPN1, R-SW_Att_GAS_HPN1, R-SW_Att_GAS_HPN2,R-SH_Det_ELC_HPN2-AB, R-SH_Det_ELC_HPN2-C, R-SH_Det_ELC_HPN2-D, R-SH_Det_ELC_HPN2-E, R-SH_Det_ELC_HPN2-F, R-SH_Det_ELC_HPN2-G, R-SH_Det_ELC_HPN3-AB, R-SH_Det_ELC_HPN3-C, R-SH_Det_ELC_HPN3-D, R-SH_Det_ELC_HPN3-E, R-SH_Det_ELC_HPN3-F, R-SH_Det_ELC_HPN3-G, R-SW_Det_ELC_HPN1-AB, R-SW_Det_ELC_HPN1-C, R-SW_Det_ELC_HPN1-D, R-SW_Det_ELC_HPN1-E, R-SW_Det_ELC_HPN1-F, R-SW_Det_ELC_HPN1-G, R-SW_Det_ELC_HPN2-AB, R-SW_Det_ELC_HPN2-C, R-SW_Det_ELC_HPN2-D, R-SW_Det_ELC_HPN2-E, R-SW_Det_ELC_HPN2-F, R-SW_Det_ELC_HPN2-G, R-SW_Det_GAS_HHPN1, R-SW_Det_GAS_HPN1</v>
      </c>
      <c r="J51" s="7" t="s">
        <v>34</v>
      </c>
      <c r="K51" s="7">
        <v>1</v>
      </c>
      <c r="L51" s="7"/>
      <c r="M51" s="7"/>
      <c r="N51" s="7">
        <v>5</v>
      </c>
      <c r="P51" s="15"/>
      <c r="Q51" s="15"/>
      <c r="R51" s="15"/>
      <c r="S51" s="15"/>
      <c r="T51" s="15"/>
      <c r="U51" s="15">
        <f>L42/1000</f>
        <v>22.594000000000001</v>
      </c>
      <c r="V51" s="15">
        <f>M42/1000</f>
        <v>30.753640104178995</v>
      </c>
      <c r="W51" s="15">
        <f t="shared" ref="W51:AK51" si="2">N42/1000</f>
        <v>38.787089185870002</v>
      </c>
      <c r="X51" s="15">
        <f t="shared" si="2"/>
        <v>47.979990681860002</v>
      </c>
      <c r="Y51" s="15">
        <f t="shared" si="2"/>
        <v>58.453896772416989</v>
      </c>
      <c r="Z51" s="15">
        <f t="shared" si="2"/>
        <v>69.469589697084984</v>
      </c>
      <c r="AA51" s="15">
        <f t="shared" si="2"/>
        <v>81.294661195221977</v>
      </c>
      <c r="AB51" s="15">
        <f t="shared" si="2"/>
        <v>87.694270859713995</v>
      </c>
      <c r="AC51" s="15">
        <f t="shared" si="2"/>
        <v>94.07900923609499</v>
      </c>
      <c r="AD51" s="15">
        <f t="shared" si="2"/>
        <v>100.528592055809</v>
      </c>
      <c r="AE51" s="15">
        <f t="shared" si="2"/>
        <v>106.92469278941599</v>
      </c>
      <c r="AF51" s="15">
        <f t="shared" si="2"/>
        <v>113.14296160799799</v>
      </c>
      <c r="AG51" s="15">
        <f t="shared" si="2"/>
        <v>119.28519721235199</v>
      </c>
      <c r="AH51" s="15">
        <f t="shared" si="2"/>
        <v>125.231603459933</v>
      </c>
      <c r="AI51" s="15">
        <f t="shared" si="2"/>
        <v>131.18903544901701</v>
      </c>
      <c r="AJ51" s="15">
        <f t="shared" si="2"/>
        <v>135.40215358821101</v>
      </c>
      <c r="AK51" s="15">
        <f t="shared" si="2"/>
        <v>138.265558034327</v>
      </c>
      <c r="AL51" s="15"/>
      <c r="AM51" s="15"/>
      <c r="AN51" s="15"/>
      <c r="AO51" s="15"/>
      <c r="AP51" s="15"/>
      <c r="AQ51" s="15"/>
      <c r="AR51" s="15"/>
    </row>
    <row r="52" spans="2:44" x14ac:dyDescent="0.25">
      <c r="B52" s="7" t="s">
        <v>14</v>
      </c>
      <c r="D52" s="26" t="s">
        <v>68</v>
      </c>
      <c r="G52" s="26" t="s">
        <v>69</v>
      </c>
      <c r="J52" s="7" t="s">
        <v>34</v>
      </c>
      <c r="K52" s="7"/>
      <c r="L52" s="1">
        <v>1</v>
      </c>
      <c r="N52" s="7">
        <v>5</v>
      </c>
      <c r="P52" s="15"/>
      <c r="Q52" s="15"/>
      <c r="R52" s="15"/>
      <c r="S52" s="15"/>
      <c r="T52" s="15"/>
      <c r="U52" s="15">
        <f>L43*3.6</f>
        <v>5.0400000000000011E-3</v>
      </c>
      <c r="V52" s="15">
        <f t="shared" ref="V52:Z52" si="3">M43*3.6</f>
        <v>5.0400000000000011E-3</v>
      </c>
      <c r="W52" s="15">
        <f t="shared" si="3"/>
        <v>5.0400000000000011E-3</v>
      </c>
      <c r="X52" s="15">
        <f t="shared" si="3"/>
        <v>5.0400000000000011E-3</v>
      </c>
      <c r="Y52" s="15">
        <f t="shared" si="3"/>
        <v>2.1050400000000004E-2</v>
      </c>
      <c r="Z52" s="15">
        <f t="shared" si="3"/>
        <v>3.7060800000000005E-2</v>
      </c>
      <c r="AA52" s="15">
        <f>R43*3.6</f>
        <v>5.3071200000000013E-2</v>
      </c>
      <c r="AB52" s="15">
        <f t="shared" ref="AB52:AK52" si="4">S43*3.6</f>
        <v>7.0170120000000016E-2</v>
      </c>
      <c r="AC52" s="15">
        <f t="shared" si="4"/>
        <v>8.726904000000002E-2</v>
      </c>
      <c r="AD52" s="15">
        <f t="shared" si="4"/>
        <v>0.10436796000000002</v>
      </c>
      <c r="AE52" s="15">
        <f t="shared" si="4"/>
        <v>0.12146688000000003</v>
      </c>
      <c r="AF52" s="15">
        <f t="shared" si="4"/>
        <v>0.13856580000000004</v>
      </c>
      <c r="AG52" s="15">
        <f t="shared" si="4"/>
        <v>0.15566472000000006</v>
      </c>
      <c r="AH52" s="15">
        <f t="shared" si="4"/>
        <v>0.17276364000000005</v>
      </c>
      <c r="AI52" s="15">
        <f t="shared" si="4"/>
        <v>0.18986256000000004</v>
      </c>
      <c r="AJ52" s="15">
        <f t="shared" si="4"/>
        <v>0.20696148000000003</v>
      </c>
      <c r="AK52" s="15">
        <f t="shared" si="4"/>
        <v>0.22406040000000002</v>
      </c>
      <c r="AL52" s="15"/>
      <c r="AM52" s="15"/>
      <c r="AN52" s="15"/>
      <c r="AO52" s="15"/>
      <c r="AP52" s="15"/>
      <c r="AQ52" s="15"/>
      <c r="AR52" s="15"/>
    </row>
    <row r="53" spans="2:44" x14ac:dyDescent="0.25">
      <c r="B53" s="7"/>
      <c r="J53" s="7"/>
      <c r="K53" s="7"/>
      <c r="N53" s="7"/>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row>
    <row r="54" spans="2:44" x14ac:dyDescent="0.25">
      <c r="B54" s="7"/>
      <c r="J54" s="7"/>
      <c r="K54" s="7"/>
      <c r="N54" s="7"/>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row>
    <row r="55" spans="2:44" x14ac:dyDescent="0.25">
      <c r="B55" s="7"/>
      <c r="J55" s="7"/>
      <c r="K55" s="7"/>
      <c r="N55" s="7"/>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row>
    <row r="56" spans="2:44" x14ac:dyDescent="0.25">
      <c r="B56" s="7"/>
      <c r="J56" s="7"/>
      <c r="K56" s="7"/>
      <c r="N56" s="7"/>
    </row>
  </sheetData>
  <conditionalFormatting sqref="D3:AI9">
    <cfRule type="cellIs" dxfId="5" priority="1" operator="lessThan">
      <formula>0.001</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9659E-AA2F-4CEA-9791-256DF558D737}">
  <dimension ref="A1:AP83"/>
  <sheetViews>
    <sheetView tabSelected="1" topLeftCell="A51" workbookViewId="0">
      <selection activeCell="R60" sqref="R60"/>
    </sheetView>
  </sheetViews>
  <sheetFormatPr defaultColWidth="9.28515625" defaultRowHeight="15" x14ac:dyDescent="0.25"/>
  <cols>
    <col min="1" max="16384" width="9.28515625" style="1"/>
  </cols>
  <sheetData>
    <row r="1" spans="1:35" ht="18.75" customHeight="1" x14ac:dyDescent="0.25">
      <c r="A1" s="27" t="s">
        <v>70</v>
      </c>
      <c r="B1" s="1" t="s">
        <v>71</v>
      </c>
      <c r="C1" s="27" t="s">
        <v>72</v>
      </c>
    </row>
    <row r="2" spans="1:35" ht="18.75" customHeight="1" x14ac:dyDescent="0.25">
      <c r="A2" s="27" t="s">
        <v>73</v>
      </c>
      <c r="B2" s="27" t="s">
        <v>74</v>
      </c>
      <c r="C2" s="3">
        <v>2019</v>
      </c>
      <c r="D2" s="3">
        <v>2020</v>
      </c>
      <c r="E2" s="3">
        <v>2021</v>
      </c>
      <c r="F2" s="3">
        <v>2022</v>
      </c>
      <c r="G2" s="3">
        <v>2023</v>
      </c>
      <c r="H2" s="3">
        <v>2024</v>
      </c>
      <c r="I2" s="3">
        <v>2025</v>
      </c>
      <c r="J2" s="3">
        <v>2026</v>
      </c>
      <c r="K2" s="3">
        <v>2027</v>
      </c>
      <c r="L2" s="3">
        <v>2028</v>
      </c>
      <c r="M2" s="3">
        <v>2029</v>
      </c>
      <c r="N2" s="3">
        <v>2030</v>
      </c>
      <c r="O2" s="3">
        <v>2031</v>
      </c>
      <c r="P2" s="3">
        <v>2032</v>
      </c>
      <c r="Q2" s="3">
        <v>2033</v>
      </c>
      <c r="R2" s="3">
        <v>2034</v>
      </c>
      <c r="S2" s="3">
        <v>2035</v>
      </c>
      <c r="T2" s="3">
        <v>2036</v>
      </c>
      <c r="U2" s="3">
        <v>2037</v>
      </c>
      <c r="V2" s="3">
        <v>2038</v>
      </c>
      <c r="W2" s="3">
        <v>2039</v>
      </c>
      <c r="X2" s="3">
        <v>2040</v>
      </c>
      <c r="Y2" s="3">
        <v>2041</v>
      </c>
      <c r="Z2" s="3">
        <v>2042</v>
      </c>
      <c r="AA2" s="3">
        <v>2043</v>
      </c>
      <c r="AB2" s="3">
        <v>2044</v>
      </c>
      <c r="AC2" s="3">
        <v>2045</v>
      </c>
      <c r="AD2" s="3">
        <v>2046</v>
      </c>
      <c r="AE2" s="3">
        <v>2047</v>
      </c>
      <c r="AF2" s="3">
        <v>2048</v>
      </c>
      <c r="AG2" s="3">
        <v>2049</v>
      </c>
      <c r="AH2" s="3">
        <v>2050</v>
      </c>
      <c r="AI2" s="3">
        <v>2051</v>
      </c>
    </row>
    <row r="3" spans="1:35" ht="18.75" customHeight="1" x14ac:dyDescent="0.25">
      <c r="A3" s="6" t="s">
        <v>75</v>
      </c>
      <c r="B3" s="6" t="s">
        <v>76</v>
      </c>
      <c r="C3" s="28"/>
      <c r="D3" s="28"/>
      <c r="E3" s="28"/>
      <c r="F3" s="28"/>
      <c r="G3" s="28"/>
      <c r="H3" s="28"/>
      <c r="I3" s="28"/>
      <c r="J3" s="28"/>
      <c r="K3" s="28"/>
      <c r="L3" s="28"/>
      <c r="M3" s="28"/>
      <c r="N3" s="29"/>
      <c r="O3" s="28"/>
      <c r="P3" s="28"/>
      <c r="Q3" s="28"/>
      <c r="R3" s="28"/>
      <c r="S3" s="28"/>
      <c r="T3" s="28"/>
      <c r="U3" s="28"/>
      <c r="V3" s="28"/>
      <c r="W3" s="28"/>
      <c r="X3" s="28"/>
      <c r="Y3" s="28"/>
      <c r="Z3" s="28"/>
      <c r="AA3" s="28"/>
      <c r="AB3" s="28"/>
      <c r="AC3" s="28"/>
      <c r="AD3" s="28"/>
      <c r="AE3" s="28"/>
      <c r="AF3" s="28"/>
      <c r="AG3" s="28"/>
      <c r="AH3" s="28"/>
      <c r="AI3" s="28"/>
    </row>
    <row r="4" spans="1:35" ht="18.75" customHeight="1" x14ac:dyDescent="0.25">
      <c r="A4" s="6" t="s">
        <v>75</v>
      </c>
      <c r="B4" s="6" t="s">
        <v>77</v>
      </c>
      <c r="C4" s="28"/>
      <c r="D4" s="28"/>
      <c r="E4" s="28"/>
      <c r="F4" s="28"/>
      <c r="G4" s="28"/>
      <c r="H4" s="28"/>
      <c r="I4" s="28"/>
      <c r="J4" s="28"/>
      <c r="K4" s="28"/>
      <c r="L4" s="28"/>
      <c r="M4" s="28"/>
      <c r="N4" s="29"/>
      <c r="O4" s="28"/>
      <c r="P4" s="28"/>
      <c r="Q4" s="28"/>
      <c r="R4" s="28"/>
      <c r="S4" s="28"/>
      <c r="T4" s="28"/>
      <c r="U4" s="28"/>
      <c r="V4" s="28"/>
      <c r="W4" s="28"/>
      <c r="X4" s="28"/>
      <c r="Y4" s="28"/>
      <c r="Z4" s="28"/>
      <c r="AA4" s="28"/>
      <c r="AB4" s="28"/>
      <c r="AC4" s="28"/>
      <c r="AD4" s="28"/>
      <c r="AE4" s="28"/>
      <c r="AF4" s="28"/>
      <c r="AG4" s="28"/>
      <c r="AH4" s="28"/>
      <c r="AI4" s="28"/>
    </row>
    <row r="5" spans="1:35" ht="18.75" customHeight="1" x14ac:dyDescent="0.25">
      <c r="A5" s="6" t="s">
        <v>75</v>
      </c>
      <c r="B5" s="6" t="s">
        <v>78</v>
      </c>
      <c r="C5" s="28"/>
      <c r="D5" s="28"/>
      <c r="E5" s="28"/>
      <c r="F5" s="28"/>
      <c r="G5" s="28"/>
      <c r="H5" s="28"/>
      <c r="I5" s="28"/>
      <c r="J5" s="28"/>
      <c r="K5" s="28"/>
      <c r="L5" s="28"/>
      <c r="M5" s="28"/>
      <c r="N5" s="29"/>
      <c r="O5" s="28"/>
      <c r="P5" s="28"/>
      <c r="Q5" s="28"/>
      <c r="R5" s="28"/>
      <c r="S5" s="28"/>
      <c r="T5" s="28"/>
      <c r="U5" s="28"/>
      <c r="V5" s="28"/>
      <c r="W5" s="28"/>
      <c r="X5" s="28"/>
      <c r="Y5" s="28"/>
      <c r="Z5" s="28"/>
      <c r="AA5" s="28"/>
      <c r="AB5" s="28"/>
      <c r="AC5" s="28"/>
      <c r="AD5" s="28"/>
      <c r="AE5" s="28"/>
      <c r="AF5" s="28"/>
      <c r="AG5" s="28"/>
      <c r="AH5" s="28"/>
      <c r="AI5" s="28"/>
    </row>
    <row r="6" spans="1:35" ht="18.75" customHeight="1" x14ac:dyDescent="0.25">
      <c r="A6" s="6" t="s">
        <v>79</v>
      </c>
      <c r="B6" s="6" t="s">
        <v>80</v>
      </c>
      <c r="C6" s="28"/>
      <c r="D6" s="28"/>
      <c r="E6" s="28"/>
      <c r="F6" s="28"/>
      <c r="G6" s="28"/>
      <c r="H6" s="28"/>
      <c r="I6" s="28"/>
      <c r="J6" s="28"/>
      <c r="K6" s="28"/>
      <c r="L6" s="28"/>
      <c r="M6" s="28"/>
      <c r="N6" s="29"/>
      <c r="O6" s="28"/>
      <c r="P6" s="28"/>
      <c r="Q6" s="28"/>
      <c r="R6" s="28"/>
      <c r="S6" s="28"/>
      <c r="T6" s="28"/>
      <c r="U6" s="28"/>
      <c r="V6" s="28"/>
      <c r="W6" s="28"/>
      <c r="X6" s="28"/>
      <c r="Y6" s="28"/>
      <c r="Z6" s="28"/>
      <c r="AA6" s="28"/>
      <c r="AB6" s="28"/>
      <c r="AC6" s="28"/>
      <c r="AD6" s="28"/>
      <c r="AE6" s="28"/>
      <c r="AF6" s="28"/>
      <c r="AG6" s="28"/>
      <c r="AH6" s="28"/>
      <c r="AI6" s="28"/>
    </row>
    <row r="7" spans="1:35" ht="18.75" customHeight="1" x14ac:dyDescent="0.25">
      <c r="A7" s="6" t="s">
        <v>81</v>
      </c>
      <c r="B7" s="6" t="s">
        <v>82</v>
      </c>
      <c r="C7" s="28"/>
      <c r="D7" s="28"/>
      <c r="E7" s="28"/>
      <c r="F7" s="28"/>
      <c r="G7" s="28"/>
      <c r="H7" s="28"/>
      <c r="I7" s="28"/>
      <c r="J7" s="28"/>
      <c r="K7" s="28"/>
      <c r="L7" s="28"/>
      <c r="M7" s="28"/>
      <c r="N7" s="29"/>
      <c r="O7" s="28"/>
      <c r="P7" s="28"/>
      <c r="Q7" s="28"/>
      <c r="R7" s="28"/>
      <c r="S7" s="28"/>
      <c r="T7" s="28"/>
      <c r="U7" s="28"/>
      <c r="V7" s="28"/>
      <c r="W7" s="29"/>
      <c r="X7" s="29"/>
      <c r="Y7" s="29"/>
      <c r="Z7" s="29"/>
      <c r="AA7" s="29"/>
      <c r="AB7" s="29"/>
      <c r="AC7" s="29"/>
      <c r="AD7" s="29"/>
      <c r="AE7" s="29"/>
      <c r="AF7" s="29"/>
      <c r="AG7" s="29"/>
      <c r="AH7" s="28"/>
      <c r="AI7" s="28"/>
    </row>
    <row r="8" spans="1:35" ht="18.75" customHeight="1" x14ac:dyDescent="0.25">
      <c r="A8" s="6" t="s">
        <v>81</v>
      </c>
      <c r="B8" s="6" t="s">
        <v>83</v>
      </c>
      <c r="C8" s="28"/>
      <c r="D8" s="28"/>
      <c r="E8" s="28"/>
      <c r="F8" s="28"/>
      <c r="G8" s="28"/>
      <c r="H8" s="28"/>
      <c r="I8" s="28"/>
      <c r="J8" s="28"/>
      <c r="K8" s="28"/>
      <c r="L8" s="28"/>
      <c r="M8" s="28"/>
      <c r="N8" s="29"/>
      <c r="O8" s="28"/>
      <c r="P8" s="28"/>
      <c r="Q8" s="28"/>
      <c r="R8" s="28"/>
      <c r="S8" s="28"/>
      <c r="T8" s="28"/>
      <c r="U8" s="28"/>
      <c r="V8" s="28"/>
      <c r="W8" s="28"/>
      <c r="X8" s="28"/>
      <c r="Y8" s="28"/>
      <c r="Z8" s="28"/>
      <c r="AA8" s="28"/>
      <c r="AB8" s="28"/>
      <c r="AC8" s="28"/>
      <c r="AD8" s="28"/>
      <c r="AE8" s="28"/>
      <c r="AF8" s="28"/>
      <c r="AG8" s="28"/>
      <c r="AH8" s="28"/>
      <c r="AI8" s="28"/>
    </row>
    <row r="9" spans="1:35" ht="18.75" customHeight="1" x14ac:dyDescent="0.25">
      <c r="A9" s="6" t="s">
        <v>84</v>
      </c>
      <c r="B9" s="6" t="s">
        <v>85</v>
      </c>
      <c r="C9" s="28"/>
      <c r="D9" s="28"/>
      <c r="E9" s="28"/>
      <c r="F9" s="28"/>
      <c r="G9" s="28"/>
      <c r="H9" s="28"/>
      <c r="I9" s="28"/>
      <c r="J9" s="28"/>
      <c r="K9" s="28"/>
      <c r="L9" s="28"/>
      <c r="M9" s="29"/>
      <c r="N9" s="29"/>
      <c r="O9" s="29"/>
      <c r="P9" s="29"/>
      <c r="Q9" s="29"/>
      <c r="R9" s="29"/>
      <c r="S9" s="29"/>
      <c r="T9" s="29"/>
      <c r="U9" s="29"/>
      <c r="V9" s="29"/>
      <c r="W9" s="29"/>
      <c r="X9" s="29"/>
      <c r="Y9" s="29"/>
      <c r="Z9" s="29"/>
      <c r="AA9" s="29"/>
      <c r="AB9" s="29"/>
      <c r="AC9" s="29"/>
      <c r="AD9" s="29"/>
      <c r="AE9" s="29"/>
      <c r="AF9" s="29"/>
      <c r="AG9" s="29"/>
      <c r="AH9" s="29"/>
      <c r="AI9" s="28"/>
    </row>
    <row r="10" spans="1:35" ht="18.75" customHeight="1" x14ac:dyDescent="0.25">
      <c r="A10" s="6" t="s">
        <v>86</v>
      </c>
      <c r="B10" s="6" t="s">
        <v>87</v>
      </c>
      <c r="C10" s="28"/>
      <c r="D10" s="29"/>
      <c r="E10" s="28"/>
      <c r="F10" s="28"/>
      <c r="G10" s="28"/>
      <c r="H10" s="28"/>
      <c r="I10" s="28"/>
      <c r="J10" s="28"/>
      <c r="K10" s="28"/>
      <c r="L10" s="28"/>
      <c r="M10" s="28"/>
      <c r="N10" s="28"/>
      <c r="O10" s="28"/>
      <c r="P10" s="28"/>
      <c r="Q10" s="28"/>
      <c r="R10" s="28"/>
      <c r="S10" s="28"/>
      <c r="T10" s="28"/>
      <c r="U10" s="28"/>
      <c r="V10" s="28"/>
      <c r="W10" s="28"/>
      <c r="X10" s="28"/>
      <c r="Y10" s="28"/>
      <c r="Z10" s="28"/>
      <c r="AA10" s="28"/>
      <c r="AB10" s="29"/>
      <c r="AC10" s="29"/>
      <c r="AD10" s="29"/>
      <c r="AE10" s="29"/>
      <c r="AF10" s="29"/>
      <c r="AG10" s="29"/>
      <c r="AH10" s="29"/>
      <c r="AI10" s="29"/>
    </row>
    <row r="11" spans="1:35" ht="18.75" customHeight="1" x14ac:dyDescent="0.25">
      <c r="A11" s="6" t="s">
        <v>86</v>
      </c>
      <c r="B11" s="6" t="s">
        <v>88</v>
      </c>
      <c r="C11" s="29"/>
      <c r="D11" s="29"/>
      <c r="E11" s="29"/>
      <c r="F11" s="29"/>
      <c r="G11" s="29"/>
      <c r="H11" s="29"/>
      <c r="I11" s="29"/>
      <c r="J11" s="29"/>
      <c r="K11" s="29"/>
      <c r="L11" s="29"/>
      <c r="M11" s="29"/>
      <c r="N11" s="29"/>
      <c r="O11" s="29"/>
      <c r="P11" s="29"/>
      <c r="Q11" s="29"/>
      <c r="R11" s="29"/>
      <c r="S11" s="29"/>
      <c r="T11" s="29"/>
      <c r="U11" s="29"/>
      <c r="V11" s="29"/>
      <c r="W11" s="29"/>
      <c r="X11" s="29"/>
      <c r="Y11" s="28"/>
      <c r="Z11" s="28"/>
      <c r="AA11" s="28"/>
      <c r="AB11" s="29"/>
      <c r="AC11" s="29"/>
      <c r="AD11" s="29"/>
      <c r="AE11" s="29"/>
      <c r="AF11" s="29"/>
      <c r="AG11" s="29"/>
      <c r="AH11" s="29"/>
      <c r="AI11" s="29"/>
    </row>
    <row r="12" spans="1:35" ht="18.75" customHeight="1" x14ac:dyDescent="0.25">
      <c r="A12" s="6" t="s">
        <v>86</v>
      </c>
      <c r="B12" s="6" t="s">
        <v>89</v>
      </c>
      <c r="C12" s="29"/>
      <c r="D12" s="29"/>
      <c r="E12" s="28"/>
      <c r="F12" s="28"/>
      <c r="G12" s="28"/>
      <c r="H12" s="28"/>
      <c r="I12" s="28"/>
      <c r="J12" s="28"/>
      <c r="K12" s="28"/>
      <c r="L12" s="28"/>
      <c r="M12" s="28"/>
      <c r="N12" s="29"/>
      <c r="O12" s="29"/>
      <c r="P12" s="28"/>
      <c r="Q12" s="28"/>
      <c r="R12" s="28"/>
      <c r="S12" s="28"/>
      <c r="T12" s="28"/>
      <c r="U12" s="28"/>
      <c r="V12" s="29"/>
      <c r="W12" s="29"/>
      <c r="X12" s="29"/>
      <c r="Y12" s="28"/>
      <c r="Z12" s="28"/>
      <c r="AA12" s="28"/>
      <c r="AB12" s="29"/>
      <c r="AC12" s="29"/>
      <c r="AD12" s="29"/>
      <c r="AE12" s="29"/>
      <c r="AF12" s="29"/>
      <c r="AG12" s="29"/>
      <c r="AH12" s="29"/>
      <c r="AI12" s="29"/>
    </row>
    <row r="13" spans="1:35" ht="18.75" customHeight="1" x14ac:dyDescent="0.25">
      <c r="A13" s="6" t="s">
        <v>90</v>
      </c>
      <c r="B13" s="6" t="s">
        <v>91</v>
      </c>
      <c r="C13" s="28"/>
      <c r="D13" s="28"/>
      <c r="E13" s="28"/>
      <c r="F13" s="28"/>
      <c r="G13" s="28"/>
      <c r="H13" s="28"/>
      <c r="I13" s="29"/>
      <c r="J13" s="28"/>
      <c r="K13" s="28"/>
      <c r="L13" s="29"/>
      <c r="M13" s="29"/>
      <c r="N13" s="29"/>
      <c r="O13" s="29"/>
      <c r="P13" s="29"/>
      <c r="Q13" s="29"/>
      <c r="R13" s="29"/>
      <c r="S13" s="28"/>
      <c r="T13" s="29"/>
      <c r="U13" s="29"/>
      <c r="V13" s="29"/>
      <c r="W13" s="29"/>
      <c r="X13" s="29"/>
      <c r="Y13" s="29"/>
      <c r="Z13" s="29"/>
      <c r="AA13" s="29"/>
      <c r="AB13" s="29"/>
      <c r="AC13" s="29"/>
      <c r="AD13" s="29"/>
      <c r="AE13" s="29"/>
      <c r="AF13" s="29"/>
      <c r="AG13" s="29"/>
      <c r="AH13" s="29"/>
      <c r="AI13" s="29"/>
    </row>
    <row r="14" spans="1:35" ht="18.75" customHeight="1" x14ac:dyDescent="0.25">
      <c r="A14" s="6" t="s">
        <v>92</v>
      </c>
      <c r="B14" s="6" t="s">
        <v>93</v>
      </c>
      <c r="C14" s="29"/>
      <c r="D14" s="28"/>
      <c r="E14" s="28"/>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row>
    <row r="15" spans="1:35" ht="18.75" customHeight="1" x14ac:dyDescent="0.25">
      <c r="A15" s="6" t="s">
        <v>92</v>
      </c>
      <c r="B15" s="6" t="s">
        <v>94</v>
      </c>
      <c r="C15" s="29"/>
      <c r="D15" s="28"/>
      <c r="E15" s="28"/>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row>
    <row r="16" spans="1:35" ht="18.75" customHeight="1" x14ac:dyDescent="0.25">
      <c r="A16" s="6" t="s">
        <v>92</v>
      </c>
      <c r="B16" s="6" t="s">
        <v>95</v>
      </c>
      <c r="C16" s="29"/>
      <c r="D16" s="28"/>
      <c r="E16" s="28"/>
      <c r="F16" s="28"/>
      <c r="G16" s="28"/>
      <c r="H16" s="28"/>
      <c r="I16" s="28"/>
      <c r="J16" s="28"/>
      <c r="K16" s="28"/>
      <c r="L16" s="28"/>
      <c r="M16" s="28"/>
      <c r="N16" s="28"/>
      <c r="O16" s="28"/>
      <c r="P16" s="28"/>
      <c r="Q16" s="28"/>
      <c r="R16" s="28"/>
      <c r="S16" s="28"/>
      <c r="T16" s="28"/>
      <c r="U16" s="28"/>
      <c r="V16" s="28"/>
      <c r="W16" s="29"/>
      <c r="X16" s="29"/>
      <c r="Y16" s="29"/>
      <c r="Z16" s="28"/>
      <c r="AA16" s="28"/>
      <c r="AB16" s="28"/>
      <c r="AC16" s="29"/>
      <c r="AD16" s="29"/>
      <c r="AE16" s="29"/>
      <c r="AF16" s="29"/>
      <c r="AG16" s="29"/>
      <c r="AH16" s="29"/>
      <c r="AI16" s="29"/>
    </row>
    <row r="17" spans="1:35" ht="18.75" customHeight="1" x14ac:dyDescent="0.25">
      <c r="A17" s="6" t="s">
        <v>92</v>
      </c>
      <c r="B17" s="6" t="s">
        <v>96</v>
      </c>
      <c r="C17" s="29"/>
      <c r="D17" s="28"/>
      <c r="E17" s="28"/>
      <c r="F17" s="28"/>
      <c r="G17" s="28"/>
      <c r="H17" s="28"/>
      <c r="I17" s="28"/>
      <c r="J17" s="28"/>
      <c r="K17" s="28"/>
      <c r="L17" s="28"/>
      <c r="M17" s="28"/>
      <c r="N17" s="28"/>
      <c r="O17" s="28"/>
      <c r="P17" s="28"/>
      <c r="Q17" s="28"/>
      <c r="R17" s="28"/>
      <c r="S17" s="28"/>
      <c r="T17" s="28"/>
      <c r="U17" s="28"/>
      <c r="V17" s="28"/>
      <c r="W17" s="28"/>
      <c r="X17" s="29"/>
      <c r="Y17" s="28"/>
      <c r="Z17" s="28"/>
      <c r="AA17" s="28"/>
      <c r="AB17" s="28"/>
      <c r="AC17" s="28"/>
      <c r="AD17" s="28"/>
      <c r="AE17" s="28"/>
      <c r="AF17" s="28"/>
      <c r="AG17" s="28"/>
      <c r="AH17" s="28"/>
      <c r="AI17" s="29"/>
    </row>
    <row r="18" spans="1:35" ht="18.75" customHeight="1" x14ac:dyDescent="0.25">
      <c r="A18" s="6" t="s">
        <v>97</v>
      </c>
      <c r="B18" s="6" t="s">
        <v>98</v>
      </c>
      <c r="C18" s="28"/>
      <c r="D18" s="28"/>
      <c r="E18" s="28"/>
      <c r="F18" s="28"/>
      <c r="G18" s="28"/>
      <c r="H18" s="28"/>
      <c r="I18" s="28"/>
      <c r="J18" s="28"/>
      <c r="K18" s="28"/>
      <c r="L18" s="29"/>
      <c r="M18" s="29"/>
      <c r="N18" s="29"/>
      <c r="O18" s="29"/>
      <c r="P18" s="29"/>
      <c r="Q18" s="29"/>
      <c r="R18" s="29"/>
      <c r="S18" s="29"/>
      <c r="T18" s="29"/>
      <c r="U18" s="29"/>
      <c r="V18" s="29"/>
      <c r="W18" s="29"/>
      <c r="X18" s="29"/>
      <c r="Y18" s="29"/>
      <c r="Z18" s="29"/>
      <c r="AA18" s="29"/>
      <c r="AB18" s="29"/>
      <c r="AC18" s="29"/>
      <c r="AD18" s="29"/>
      <c r="AE18" s="29"/>
      <c r="AF18" s="29"/>
      <c r="AG18" s="29"/>
      <c r="AH18" s="29"/>
      <c r="AI18" s="29"/>
    </row>
    <row r="19" spans="1:35" ht="18.75" customHeight="1" x14ac:dyDescent="0.25">
      <c r="A19" s="6" t="s">
        <v>97</v>
      </c>
      <c r="B19" s="6" t="s">
        <v>99</v>
      </c>
      <c r="C19" s="28"/>
      <c r="D19" s="28"/>
      <c r="E19" s="28"/>
      <c r="F19" s="28"/>
      <c r="G19" s="28"/>
      <c r="H19" s="28"/>
      <c r="I19" s="28"/>
      <c r="J19" s="28"/>
      <c r="K19" s="28"/>
      <c r="L19" s="28"/>
      <c r="M19" s="28"/>
      <c r="N19" s="28"/>
      <c r="O19" s="28"/>
      <c r="P19" s="28"/>
      <c r="Q19" s="28"/>
      <c r="R19" s="28"/>
      <c r="S19" s="28"/>
      <c r="T19" s="28"/>
      <c r="U19" s="28"/>
      <c r="V19" s="28"/>
      <c r="W19" s="29"/>
      <c r="X19" s="29"/>
      <c r="Y19" s="29"/>
      <c r="Z19" s="29"/>
      <c r="AA19" s="29"/>
      <c r="AB19" s="29"/>
      <c r="AC19" s="29"/>
      <c r="AD19" s="29"/>
      <c r="AE19" s="29"/>
      <c r="AF19" s="29"/>
      <c r="AG19" s="29"/>
      <c r="AH19" s="29"/>
      <c r="AI19" s="29"/>
    </row>
    <row r="20" spans="1:35" ht="18.75" customHeight="1" x14ac:dyDescent="0.25">
      <c r="A20" s="6" t="s">
        <v>97</v>
      </c>
      <c r="B20" s="6" t="s">
        <v>100</v>
      </c>
      <c r="C20" s="28"/>
      <c r="D20" s="28"/>
      <c r="E20" s="28"/>
      <c r="F20" s="28"/>
      <c r="G20" s="28"/>
      <c r="H20" s="28"/>
      <c r="I20" s="28"/>
      <c r="J20" s="28"/>
      <c r="K20" s="28"/>
      <c r="L20" s="29"/>
      <c r="M20" s="29"/>
      <c r="N20" s="29"/>
      <c r="O20" s="29"/>
      <c r="P20" s="29"/>
      <c r="Q20" s="29"/>
      <c r="R20" s="29"/>
      <c r="S20" s="29"/>
      <c r="T20" s="29"/>
      <c r="U20" s="29"/>
      <c r="V20" s="29"/>
      <c r="W20" s="29"/>
      <c r="X20" s="29"/>
      <c r="Y20" s="29"/>
      <c r="Z20" s="29"/>
      <c r="AA20" s="29"/>
      <c r="AB20" s="29"/>
      <c r="AC20" s="29"/>
      <c r="AD20" s="29"/>
      <c r="AE20" s="29"/>
      <c r="AF20" s="29"/>
      <c r="AG20" s="29"/>
      <c r="AH20" s="29"/>
      <c r="AI20" s="28"/>
    </row>
    <row r="21" spans="1:35" ht="18.75" customHeight="1" x14ac:dyDescent="0.25">
      <c r="A21" s="6" t="s">
        <v>97</v>
      </c>
      <c r="B21" s="6" t="s">
        <v>101</v>
      </c>
      <c r="C21" s="28"/>
      <c r="D21" s="29"/>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row>
    <row r="22" spans="1:35" ht="18.75" customHeight="1" x14ac:dyDescent="0.25">
      <c r="A22" s="6" t="s">
        <v>97</v>
      </c>
      <c r="B22" s="6" t="s">
        <v>102</v>
      </c>
      <c r="C22" s="29"/>
      <c r="D22" s="29"/>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row>
    <row r="23" spans="1:35" ht="18.75" customHeight="1" x14ac:dyDescent="0.25">
      <c r="A23" s="6" t="s">
        <v>97</v>
      </c>
      <c r="B23" s="6" t="s">
        <v>103</v>
      </c>
      <c r="C23" s="29"/>
      <c r="D23" s="29"/>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row>
    <row r="24" spans="1:35" ht="18.75" customHeight="1" x14ac:dyDescent="0.25">
      <c r="A24" s="6" t="s">
        <v>97</v>
      </c>
      <c r="B24" s="6" t="s">
        <v>104</v>
      </c>
      <c r="C24" s="29"/>
      <c r="D24" s="29"/>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row>
    <row r="25" spans="1:35" ht="18.75" customHeight="1" x14ac:dyDescent="0.25">
      <c r="A25" s="6" t="s">
        <v>97</v>
      </c>
      <c r="B25" s="6" t="s">
        <v>105</v>
      </c>
      <c r="C25" s="28"/>
      <c r="D25" s="28"/>
      <c r="E25" s="28"/>
      <c r="F25" s="28"/>
      <c r="G25" s="29"/>
      <c r="H25" s="29"/>
      <c r="I25" s="29"/>
      <c r="J25" s="29"/>
      <c r="K25" s="28"/>
      <c r="L25" s="28"/>
      <c r="M25" s="28"/>
      <c r="N25" s="28"/>
      <c r="O25" s="28"/>
      <c r="P25" s="28"/>
      <c r="Q25" s="28"/>
      <c r="R25" s="28"/>
      <c r="S25" s="28"/>
      <c r="T25" s="28"/>
      <c r="U25" s="28"/>
      <c r="V25" s="28"/>
      <c r="W25" s="29"/>
      <c r="X25" s="29"/>
      <c r="Y25" s="29"/>
      <c r="Z25" s="29"/>
      <c r="AA25" s="29"/>
      <c r="AB25" s="29"/>
      <c r="AC25" s="29"/>
      <c r="AD25" s="29"/>
      <c r="AE25" s="29"/>
      <c r="AF25" s="29"/>
      <c r="AG25" s="28"/>
      <c r="AH25" s="28"/>
      <c r="AI25" s="28"/>
    </row>
    <row r="26" spans="1:35" ht="18.75" customHeight="1" x14ac:dyDescent="0.25">
      <c r="A26" s="6" t="s">
        <v>97</v>
      </c>
      <c r="B26" s="6" t="s">
        <v>106</v>
      </c>
      <c r="C26" s="29"/>
      <c r="D26" s="29"/>
      <c r="E26" s="29"/>
      <c r="F26" s="29"/>
      <c r="G26" s="29"/>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row>
    <row r="27" spans="1:35" ht="18.75" customHeight="1" x14ac:dyDescent="0.25">
      <c r="A27" s="6" t="s">
        <v>97</v>
      </c>
      <c r="B27" s="6" t="s">
        <v>107</v>
      </c>
      <c r="C27" s="28"/>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row>
    <row r="28" spans="1:35" ht="18.75" customHeight="1" x14ac:dyDescent="0.25">
      <c r="A28" s="6" t="s">
        <v>108</v>
      </c>
      <c r="B28" s="6" t="s">
        <v>109</v>
      </c>
      <c r="C28" s="28"/>
      <c r="D28" s="28"/>
      <c r="E28" s="28"/>
      <c r="F28" s="28"/>
      <c r="G28" s="28"/>
      <c r="H28" s="28"/>
      <c r="I28" s="28"/>
      <c r="J28" s="28"/>
      <c r="K28" s="28"/>
      <c r="L28" s="29"/>
      <c r="M28" s="29"/>
      <c r="N28" s="29"/>
      <c r="O28" s="29"/>
      <c r="P28" s="29"/>
      <c r="Q28" s="29"/>
      <c r="R28" s="29"/>
      <c r="S28" s="29"/>
      <c r="T28" s="29"/>
      <c r="U28" s="29"/>
      <c r="V28" s="29"/>
      <c r="W28" s="29"/>
      <c r="X28" s="29"/>
      <c r="Y28" s="29"/>
      <c r="Z28" s="29"/>
      <c r="AA28" s="29"/>
      <c r="AB28" s="29"/>
      <c r="AC28" s="29"/>
      <c r="AD28" s="29"/>
      <c r="AE28" s="29"/>
      <c r="AF28" s="29"/>
      <c r="AG28" s="29"/>
      <c r="AH28" s="29"/>
      <c r="AI28" s="29"/>
    </row>
    <row r="29" spans="1:35" ht="18.75" customHeight="1" x14ac:dyDescent="0.25">
      <c r="A29" s="6" t="s">
        <v>108</v>
      </c>
      <c r="B29" s="6" t="s">
        <v>110</v>
      </c>
      <c r="C29" s="28"/>
      <c r="D29" s="28"/>
      <c r="E29" s="28"/>
      <c r="F29" s="28"/>
      <c r="G29" s="28"/>
      <c r="H29" s="28"/>
      <c r="I29" s="28"/>
      <c r="J29" s="28"/>
      <c r="K29" s="28"/>
      <c r="L29" s="28"/>
      <c r="M29" s="28"/>
      <c r="N29" s="28"/>
      <c r="O29" s="28"/>
      <c r="P29" s="28"/>
      <c r="Q29" s="28"/>
      <c r="R29" s="28"/>
      <c r="S29" s="28"/>
      <c r="T29" s="28"/>
      <c r="U29" s="28"/>
      <c r="V29" s="28"/>
      <c r="W29" s="29"/>
      <c r="X29" s="29"/>
      <c r="Y29" s="29"/>
      <c r="Z29" s="29"/>
      <c r="AA29" s="29"/>
      <c r="AB29" s="29"/>
      <c r="AC29" s="29"/>
      <c r="AD29" s="29"/>
      <c r="AE29" s="29"/>
      <c r="AF29" s="29"/>
      <c r="AG29" s="29"/>
      <c r="AH29" s="29"/>
      <c r="AI29" s="29"/>
    </row>
    <row r="30" spans="1:35" ht="18.75" customHeight="1" x14ac:dyDescent="0.25">
      <c r="A30" s="6" t="s">
        <v>108</v>
      </c>
      <c r="B30" s="6" t="s">
        <v>111</v>
      </c>
      <c r="C30" s="28"/>
      <c r="D30" s="28"/>
      <c r="E30" s="28"/>
      <c r="F30" s="28"/>
      <c r="G30" s="28"/>
      <c r="H30" s="28"/>
      <c r="I30" s="28"/>
      <c r="J30" s="28"/>
      <c r="K30" s="28"/>
      <c r="L30" s="29"/>
      <c r="M30" s="29"/>
      <c r="N30" s="29"/>
      <c r="O30" s="29"/>
      <c r="P30" s="29"/>
      <c r="Q30" s="29"/>
      <c r="R30" s="29"/>
      <c r="S30" s="29"/>
      <c r="T30" s="29"/>
      <c r="U30" s="29"/>
      <c r="V30" s="29"/>
      <c r="W30" s="29"/>
      <c r="X30" s="29"/>
      <c r="Y30" s="29"/>
      <c r="Z30" s="29"/>
      <c r="AA30" s="29"/>
      <c r="AB30" s="29"/>
      <c r="AC30" s="29"/>
      <c r="AD30" s="29"/>
      <c r="AE30" s="29"/>
      <c r="AF30" s="29"/>
      <c r="AG30" s="29"/>
      <c r="AH30" s="29"/>
      <c r="AI30" s="28"/>
    </row>
    <row r="31" spans="1:35" ht="18.75" customHeight="1" x14ac:dyDescent="0.25">
      <c r="A31" s="6" t="s">
        <v>108</v>
      </c>
      <c r="B31" s="6" t="s">
        <v>112</v>
      </c>
      <c r="C31" s="28"/>
      <c r="D31" s="29"/>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row>
    <row r="32" spans="1:35" ht="18.75" customHeight="1" x14ac:dyDescent="0.25">
      <c r="A32" s="6" t="s">
        <v>108</v>
      </c>
      <c r="B32" s="6" t="s">
        <v>113</v>
      </c>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row>
    <row r="33" spans="1:35" ht="18.75" customHeight="1" x14ac:dyDescent="0.25">
      <c r="A33" s="6" t="s">
        <v>108</v>
      </c>
      <c r="B33" s="6" t="s">
        <v>114</v>
      </c>
      <c r="C33" s="29"/>
      <c r="D33" s="29"/>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row>
    <row r="34" spans="1:35" ht="18.75" customHeight="1" x14ac:dyDescent="0.25">
      <c r="A34" s="6" t="s">
        <v>108</v>
      </c>
      <c r="B34" s="6" t="s">
        <v>115</v>
      </c>
      <c r="C34" s="28"/>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row>
    <row r="35" spans="1:35" ht="18.75" customHeight="1" x14ac:dyDescent="0.25">
      <c r="A35" s="6" t="s">
        <v>108</v>
      </c>
      <c r="B35" s="6" t="s">
        <v>116</v>
      </c>
      <c r="C35" s="29"/>
      <c r="D35" s="29"/>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row>
    <row r="36" spans="1:35" ht="18.75" customHeight="1" x14ac:dyDescent="0.25">
      <c r="A36" s="6" t="s">
        <v>108</v>
      </c>
      <c r="B36" s="6" t="s">
        <v>117</v>
      </c>
      <c r="C36" s="28"/>
      <c r="D36" s="28"/>
      <c r="E36" s="28"/>
      <c r="F36" s="28"/>
      <c r="G36" s="29"/>
      <c r="H36" s="29"/>
      <c r="I36" s="29"/>
      <c r="J36" s="29"/>
      <c r="K36" s="28"/>
      <c r="L36" s="28"/>
      <c r="M36" s="28"/>
      <c r="N36" s="28"/>
      <c r="O36" s="28"/>
      <c r="P36" s="28"/>
      <c r="Q36" s="28"/>
      <c r="R36" s="28"/>
      <c r="S36" s="28"/>
      <c r="T36" s="28"/>
      <c r="U36" s="28"/>
      <c r="V36" s="28"/>
      <c r="W36" s="29"/>
      <c r="X36" s="29"/>
      <c r="Y36" s="29"/>
      <c r="Z36" s="29"/>
      <c r="AA36" s="29"/>
      <c r="AB36" s="29"/>
      <c r="AC36" s="29"/>
      <c r="AD36" s="29"/>
      <c r="AE36" s="29"/>
      <c r="AF36" s="29"/>
      <c r="AG36" s="28"/>
      <c r="AH36" s="28"/>
      <c r="AI36" s="28"/>
    </row>
    <row r="37" spans="1:35" ht="18.75" customHeight="1" x14ac:dyDescent="0.25">
      <c r="A37" s="6" t="s">
        <v>108</v>
      </c>
      <c r="B37" s="6" t="s">
        <v>118</v>
      </c>
      <c r="C37" s="29"/>
      <c r="D37" s="29"/>
      <c r="E37" s="29"/>
      <c r="F37" s="29"/>
      <c r="G37" s="29"/>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row>
    <row r="42" spans="1:35" x14ac:dyDescent="0.25">
      <c r="A42" s="6" t="s">
        <v>79</v>
      </c>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c r="AD42" s="31"/>
      <c r="AE42" s="31"/>
      <c r="AF42" s="31"/>
      <c r="AG42" s="31"/>
      <c r="AH42" s="31"/>
      <c r="AI42" s="31"/>
    </row>
    <row r="43" spans="1:35" x14ac:dyDescent="0.25">
      <c r="A43" s="6" t="s">
        <v>81</v>
      </c>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c r="AD43" s="31"/>
      <c r="AE43" s="31"/>
      <c r="AF43" s="31"/>
      <c r="AG43" s="31"/>
      <c r="AH43" s="31"/>
      <c r="AI43" s="31"/>
    </row>
    <row r="44" spans="1:35" x14ac:dyDescent="0.25">
      <c r="A44" s="6" t="s">
        <v>86</v>
      </c>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1"/>
      <c r="AE44" s="31"/>
      <c r="AF44" s="31"/>
      <c r="AG44" s="31"/>
      <c r="AH44" s="31"/>
      <c r="AI44" s="31"/>
    </row>
    <row r="45" spans="1:35" x14ac:dyDescent="0.25">
      <c r="A45" s="6" t="s">
        <v>90</v>
      </c>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1"/>
      <c r="AE45" s="31"/>
      <c r="AF45" s="31"/>
      <c r="AG45" s="31"/>
      <c r="AH45" s="31"/>
      <c r="AI45" s="31"/>
    </row>
    <row r="46" spans="1:35" x14ac:dyDescent="0.25">
      <c r="A46" s="6" t="s">
        <v>92</v>
      </c>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c r="AE46" s="31"/>
      <c r="AF46" s="31"/>
      <c r="AG46" s="31"/>
      <c r="AH46" s="31"/>
      <c r="AI46" s="31"/>
    </row>
    <row r="47" spans="1:35" x14ac:dyDescent="0.25">
      <c r="A47" s="32" t="s">
        <v>119</v>
      </c>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row>
    <row r="48" spans="1:35" x14ac:dyDescent="0.25">
      <c r="A48" s="32" t="s">
        <v>120</v>
      </c>
      <c r="B48" s="30"/>
    </row>
    <row r="52" spans="2:42" x14ac:dyDescent="0.25">
      <c r="B52" s="2" t="s">
        <v>121</v>
      </c>
      <c r="C52" s="2"/>
      <c r="D52" s="2"/>
      <c r="E52" s="2"/>
      <c r="F52" s="2"/>
      <c r="G52" s="2"/>
      <c r="H52" s="2"/>
      <c r="I52" s="2"/>
      <c r="J52" s="2"/>
      <c r="K52" s="2"/>
      <c r="L52" s="2"/>
      <c r="M52" s="2"/>
      <c r="N52" s="2"/>
      <c r="O52" s="2" t="s">
        <v>19</v>
      </c>
      <c r="P52" s="2">
        <v>0.98</v>
      </c>
      <c r="Q52" s="2"/>
      <c r="R52" s="2"/>
      <c r="S52" s="2"/>
      <c r="T52" s="2"/>
      <c r="U52" s="2"/>
      <c r="V52" s="2"/>
      <c r="W52" s="2"/>
      <c r="X52" s="2"/>
      <c r="Y52" s="2"/>
      <c r="Z52" s="2"/>
      <c r="AA52" s="2"/>
      <c r="AB52" s="2"/>
      <c r="AC52" s="2"/>
      <c r="AD52" s="2"/>
      <c r="AE52" s="2"/>
      <c r="AF52" s="2"/>
      <c r="AG52" s="2"/>
      <c r="AH52" s="2"/>
      <c r="AI52" s="2"/>
      <c r="AJ52" s="2"/>
      <c r="AK52" s="2"/>
      <c r="AL52" s="2"/>
      <c r="AM52" s="2"/>
      <c r="AN52" s="2"/>
      <c r="AO52" s="2"/>
    </row>
    <row r="53" spans="2:42" x14ac:dyDescent="0.25">
      <c r="B53" s="2"/>
      <c r="C53" s="8" t="s">
        <v>64</v>
      </c>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row>
    <row r="54" spans="2:42" x14ac:dyDescent="0.25">
      <c r="B54" s="2"/>
      <c r="C54" s="8" t="s">
        <v>65</v>
      </c>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row>
    <row r="55" spans="2:42" x14ac:dyDescent="0.25">
      <c r="B55" s="2"/>
      <c r="C55" s="2"/>
      <c r="D55" s="2"/>
      <c r="E55" s="2"/>
      <c r="F55" s="2"/>
      <c r="G55" s="2"/>
      <c r="H55" s="2"/>
      <c r="I55" s="2"/>
      <c r="J55" s="2"/>
      <c r="K55" s="2" t="s">
        <v>66</v>
      </c>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row>
    <row r="56" spans="2:42" x14ac:dyDescent="0.25">
      <c r="B56" s="2"/>
      <c r="C56" s="33" t="s">
        <v>20</v>
      </c>
      <c r="D56" s="34" t="s">
        <v>21</v>
      </c>
      <c r="E56" s="34" t="s">
        <v>22</v>
      </c>
      <c r="F56" s="34" t="s">
        <v>23</v>
      </c>
      <c r="G56" s="34" t="s">
        <v>24</v>
      </c>
      <c r="H56" s="35" t="s">
        <v>25</v>
      </c>
      <c r="I56" s="35" t="s">
        <v>26</v>
      </c>
      <c r="J56" s="35" t="s">
        <v>27</v>
      </c>
      <c r="K56" s="35" t="s">
        <v>28</v>
      </c>
      <c r="L56" s="36" t="s">
        <v>67</v>
      </c>
      <c r="M56" s="37" t="s">
        <v>30</v>
      </c>
      <c r="N56" s="38" t="s">
        <v>31</v>
      </c>
      <c r="O56" s="38" t="s">
        <v>32</v>
      </c>
      <c r="P56" s="33" t="s">
        <v>33</v>
      </c>
      <c r="Q56" s="83" t="s">
        <v>145</v>
      </c>
      <c r="R56" s="2">
        <v>2026</v>
      </c>
      <c r="S56" s="2">
        <v>2027</v>
      </c>
      <c r="T56" s="2">
        <v>2028</v>
      </c>
      <c r="U56" s="2">
        <v>2029</v>
      </c>
      <c r="V56" s="2">
        <v>2030</v>
      </c>
      <c r="W56" s="2">
        <v>2031</v>
      </c>
      <c r="X56" s="2">
        <v>2032</v>
      </c>
      <c r="Y56" s="2">
        <v>2033</v>
      </c>
      <c r="Z56" s="2">
        <v>2034</v>
      </c>
      <c r="AA56" s="2">
        <v>2035</v>
      </c>
      <c r="AB56" s="2">
        <v>2036</v>
      </c>
      <c r="AC56" s="2">
        <v>2037</v>
      </c>
      <c r="AD56" s="2">
        <v>2038</v>
      </c>
      <c r="AE56" s="2">
        <v>2039</v>
      </c>
      <c r="AF56" s="2">
        <v>2040</v>
      </c>
      <c r="AG56" s="2">
        <v>2041</v>
      </c>
      <c r="AH56" s="2">
        <v>2042</v>
      </c>
      <c r="AI56" s="2">
        <v>2043</v>
      </c>
      <c r="AJ56" s="2">
        <v>2044</v>
      </c>
      <c r="AK56" s="2">
        <v>2045</v>
      </c>
      <c r="AL56" s="2">
        <v>2046</v>
      </c>
      <c r="AM56" s="2">
        <v>2047</v>
      </c>
      <c r="AN56" s="2">
        <v>2048</v>
      </c>
      <c r="AO56" s="2">
        <v>2049</v>
      </c>
      <c r="AP56" s="2">
        <v>2050</v>
      </c>
    </row>
    <row r="57" spans="2:42" x14ac:dyDescent="0.25">
      <c r="B57" s="2"/>
      <c r="C57" s="2" t="str">
        <f>_xlfn.CONCAT("CAP-",A42)</f>
        <v>CAP-PWR-BIO-CCS</v>
      </c>
      <c r="D57" s="2"/>
      <c r="E57" s="39" t="str">
        <f>+B6</f>
        <v>P-RNW-ST-BIO-CCS05</v>
      </c>
      <c r="F57" s="2"/>
      <c r="G57" s="2"/>
      <c r="H57" s="2"/>
      <c r="I57" s="2"/>
      <c r="J57" s="2"/>
      <c r="K57" s="2" t="s">
        <v>34</v>
      </c>
      <c r="L57" s="2">
        <v>1</v>
      </c>
      <c r="M57" s="2"/>
      <c r="N57" s="2"/>
      <c r="O57" s="2">
        <v>1</v>
      </c>
      <c r="P57" s="2"/>
      <c r="Q57" s="40">
        <v>0</v>
      </c>
      <c r="R57" s="40">
        <v>0</v>
      </c>
      <c r="S57" s="40">
        <v>0</v>
      </c>
      <c r="T57" s="40">
        <v>0</v>
      </c>
      <c r="U57" s="40">
        <v>0</v>
      </c>
      <c r="V57" s="40">
        <v>0</v>
      </c>
      <c r="W57" s="40">
        <v>0</v>
      </c>
      <c r="X57" s="40">
        <v>0</v>
      </c>
      <c r="Y57" s="40">
        <v>0</v>
      </c>
      <c r="Z57" s="40">
        <v>0</v>
      </c>
      <c r="AA57" s="40">
        <v>0</v>
      </c>
      <c r="AB57" s="40">
        <v>0</v>
      </c>
      <c r="AC57" s="40">
        <v>0</v>
      </c>
      <c r="AD57" s="40">
        <v>0</v>
      </c>
      <c r="AE57" s="40">
        <v>0</v>
      </c>
      <c r="AF57" s="40">
        <v>0</v>
      </c>
      <c r="AG57" s="40"/>
      <c r="AH57" s="40"/>
      <c r="AI57" s="40"/>
      <c r="AJ57" s="40"/>
      <c r="AK57" s="40"/>
      <c r="AL57" s="40"/>
      <c r="AM57" s="40"/>
      <c r="AN57" s="40"/>
      <c r="AO57" s="40"/>
      <c r="AP57" s="40"/>
    </row>
    <row r="58" spans="2:42" x14ac:dyDescent="0.25">
      <c r="B58" s="2"/>
      <c r="C58" s="2" t="str">
        <f t="shared" ref="C58:C59" si="0">_xlfn.CONCAT("CAP-",A43)</f>
        <v>CAP-PWR-H2</v>
      </c>
      <c r="D58" s="2"/>
      <c r="E58" s="2" t="s">
        <v>122</v>
      </c>
      <c r="F58" s="2"/>
      <c r="G58" s="2"/>
      <c r="H58" s="2"/>
      <c r="I58" s="2"/>
      <c r="J58" s="2"/>
      <c r="K58" s="2" t="s">
        <v>34</v>
      </c>
      <c r="L58" s="2">
        <v>1</v>
      </c>
      <c r="M58" s="2"/>
      <c r="N58" s="2"/>
      <c r="O58" s="2">
        <v>1</v>
      </c>
      <c r="P58" s="2"/>
      <c r="Q58" s="40">
        <v>0</v>
      </c>
      <c r="R58" s="40">
        <v>0</v>
      </c>
      <c r="S58" s="40">
        <v>0</v>
      </c>
      <c r="T58" s="40">
        <v>0</v>
      </c>
      <c r="U58" s="40">
        <v>0</v>
      </c>
      <c r="V58" s="40">
        <v>0</v>
      </c>
      <c r="W58" s="40">
        <v>0</v>
      </c>
      <c r="X58" s="40">
        <v>0</v>
      </c>
      <c r="Y58" s="40">
        <v>0</v>
      </c>
      <c r="Z58" s="40">
        <v>0</v>
      </c>
      <c r="AA58" s="40">
        <v>0</v>
      </c>
      <c r="AB58" s="40">
        <v>0</v>
      </c>
      <c r="AC58" s="40">
        <v>0</v>
      </c>
      <c r="AD58" s="40">
        <v>0</v>
      </c>
      <c r="AE58" s="40">
        <v>0</v>
      </c>
      <c r="AF58" s="40">
        <v>0</v>
      </c>
      <c r="AG58" s="40"/>
      <c r="AH58" s="40"/>
      <c r="AI58" s="40"/>
      <c r="AJ58" s="40"/>
      <c r="AK58" s="40"/>
      <c r="AL58" s="40"/>
      <c r="AM58" s="40"/>
      <c r="AN58" s="40"/>
      <c r="AO58" s="40"/>
      <c r="AP58" s="40"/>
    </row>
    <row r="59" spans="2:42" x14ac:dyDescent="0.25">
      <c r="B59" s="2"/>
      <c r="C59" s="2" t="str">
        <f t="shared" si="0"/>
        <v>CAP-PWR-SOL</v>
      </c>
      <c r="D59" s="2"/>
      <c r="E59" s="2" t="s">
        <v>123</v>
      </c>
      <c r="F59" s="2"/>
      <c r="G59" s="2"/>
      <c r="H59" s="2"/>
      <c r="I59" s="2"/>
      <c r="J59" s="2"/>
      <c r="K59" s="2" t="s">
        <v>34</v>
      </c>
      <c r="L59" s="2">
        <v>1</v>
      </c>
      <c r="M59" s="2"/>
      <c r="N59" s="2"/>
      <c r="O59" s="2">
        <v>1</v>
      </c>
      <c r="P59" s="2"/>
      <c r="Q59" s="40">
        <f>+K76/1000</f>
        <v>1.54725</v>
      </c>
      <c r="R59" s="40">
        <f>+L76/1000+0.3</f>
        <v>2.590875</v>
      </c>
      <c r="S59" s="40">
        <f t="shared" ref="R59:AF59" si="1">+M76/1000</f>
        <v>2.9064999999999999</v>
      </c>
      <c r="T59" s="40">
        <f t="shared" si="1"/>
        <v>3.7446250000000001</v>
      </c>
      <c r="U59" s="40">
        <f t="shared" si="1"/>
        <v>4.3733750000000002</v>
      </c>
      <c r="V59" s="40">
        <f t="shared" si="1"/>
        <v>5.1775000000000002</v>
      </c>
      <c r="W59" s="40">
        <f t="shared" si="1"/>
        <v>5.8064999999999998</v>
      </c>
      <c r="X59" s="40">
        <f t="shared" si="1"/>
        <v>6.1775000000000002</v>
      </c>
      <c r="Y59" s="40">
        <f t="shared" si="1"/>
        <v>6.59375</v>
      </c>
      <c r="Z59" s="40">
        <f t="shared" si="1"/>
        <v>6.8250000000000002</v>
      </c>
      <c r="AA59" s="40">
        <f t="shared" si="1"/>
        <v>7.0250000000000004</v>
      </c>
      <c r="AB59" s="40">
        <f t="shared" si="1"/>
        <v>7.2249999999999996</v>
      </c>
      <c r="AC59" s="40">
        <f t="shared" si="1"/>
        <v>7.4249999999999998</v>
      </c>
      <c r="AD59" s="40">
        <f t="shared" si="1"/>
        <v>7.625</v>
      </c>
      <c r="AE59" s="40">
        <f t="shared" si="1"/>
        <v>7.8250000000000002</v>
      </c>
      <c r="AF59" s="40">
        <f t="shared" si="1"/>
        <v>8.0250000000000004</v>
      </c>
      <c r="AG59" s="40"/>
      <c r="AH59" s="40"/>
      <c r="AI59" s="40"/>
      <c r="AJ59" s="40"/>
      <c r="AK59" s="40"/>
      <c r="AL59" s="40"/>
      <c r="AM59" s="40"/>
      <c r="AN59" s="40"/>
      <c r="AO59" s="40"/>
      <c r="AP59" s="40"/>
    </row>
    <row r="60" spans="2:42" x14ac:dyDescent="0.25">
      <c r="C60" s="2" t="str">
        <f>_xlfn.CONCAT("CAP-",A46)</f>
        <v>CAP-PWR-WIN-ON</v>
      </c>
      <c r="E60" s="1" t="s">
        <v>124</v>
      </c>
      <c r="K60" s="2" t="s">
        <v>34</v>
      </c>
      <c r="L60" s="2">
        <v>1</v>
      </c>
      <c r="M60" s="2"/>
      <c r="N60" s="2"/>
      <c r="O60" s="2">
        <v>1</v>
      </c>
      <c r="Q60" s="40">
        <f>K74/1000</f>
        <v>4.9599062500000004</v>
      </c>
      <c r="R60" s="40">
        <f t="shared" ref="R60:AF61" si="2">L74/1000</f>
        <v>5.2242499999999996</v>
      </c>
      <c r="S60" s="40">
        <f t="shared" si="2"/>
        <v>5.5077499999999997</v>
      </c>
      <c r="T60" s="40">
        <f t="shared" si="2"/>
        <v>5.9143749999999997</v>
      </c>
      <c r="U60" s="40">
        <f t="shared" si="2"/>
        <v>6.2525000000000004</v>
      </c>
      <c r="V60" s="40">
        <f t="shared" si="2"/>
        <v>6.6550000000000002</v>
      </c>
      <c r="W60" s="40">
        <f t="shared" si="2"/>
        <v>6.9175000000000004</v>
      </c>
      <c r="X60" s="40">
        <f t="shared" si="2"/>
        <v>7.1050000000000004</v>
      </c>
      <c r="Y60" s="40">
        <f t="shared" si="2"/>
        <v>7.23</v>
      </c>
      <c r="Z60" s="40">
        <f t="shared" si="2"/>
        <v>7.43</v>
      </c>
      <c r="AA60" s="40">
        <f t="shared" si="2"/>
        <v>7.63</v>
      </c>
      <c r="AB60" s="40">
        <f t="shared" si="2"/>
        <v>7.83</v>
      </c>
      <c r="AC60" s="40">
        <f t="shared" si="2"/>
        <v>8.0299999999999994</v>
      </c>
      <c r="AD60" s="40">
        <f t="shared" si="2"/>
        <v>8.23</v>
      </c>
      <c r="AE60" s="40">
        <f t="shared" si="2"/>
        <v>8.43</v>
      </c>
      <c r="AF60" s="40">
        <f t="shared" si="2"/>
        <v>8.6300000000000008</v>
      </c>
      <c r="AG60" s="40"/>
      <c r="AH60" s="40"/>
      <c r="AI60" s="40"/>
      <c r="AJ60" s="40"/>
      <c r="AK60" s="40"/>
      <c r="AL60" s="40"/>
      <c r="AM60" s="40"/>
      <c r="AN60" s="40"/>
      <c r="AO60" s="40"/>
      <c r="AP60" s="40"/>
    </row>
    <row r="61" spans="2:42" x14ac:dyDescent="0.25">
      <c r="C61" s="2" t="str">
        <f>_xlfn.CONCAT("CAP-",A45)</f>
        <v>CAP-PWR-WIN-OF</v>
      </c>
      <c r="E61" s="2" t="s">
        <v>91</v>
      </c>
      <c r="K61" s="2" t="s">
        <v>34</v>
      </c>
      <c r="L61" s="2">
        <v>1</v>
      </c>
      <c r="M61" s="2"/>
      <c r="N61" s="2"/>
      <c r="O61" s="2">
        <v>1</v>
      </c>
      <c r="Q61" s="40">
        <f>K75/1000</f>
        <v>2.5000000000000001E-2</v>
      </c>
      <c r="R61" s="40">
        <f t="shared" si="2"/>
        <v>2.5000000000000001E-2</v>
      </c>
      <c r="S61" s="40">
        <f t="shared" si="2"/>
        <v>2.5000000000000001E-2</v>
      </c>
      <c r="T61" s="40">
        <f t="shared" si="2"/>
        <v>2.5000000000000001E-2</v>
      </c>
      <c r="U61" s="40">
        <f t="shared" si="2"/>
        <v>2.5000000000000001E-2</v>
      </c>
      <c r="V61" s="40">
        <f t="shared" si="2"/>
        <v>0.35725000000000001</v>
      </c>
      <c r="W61" s="40">
        <f t="shared" si="2"/>
        <v>1.3540000000000001</v>
      </c>
      <c r="X61" s="40">
        <f t="shared" si="2"/>
        <v>1.952</v>
      </c>
      <c r="Y61" s="40">
        <f t="shared" si="2"/>
        <v>2.516</v>
      </c>
      <c r="Z61" s="40">
        <f t="shared" si="2"/>
        <v>3.1179999999999999</v>
      </c>
      <c r="AA61" s="40">
        <f t="shared" si="2"/>
        <v>3.9155000000000002</v>
      </c>
      <c r="AB61" s="40">
        <f t="shared" si="2"/>
        <v>4.4809999999999999</v>
      </c>
      <c r="AC61" s="40">
        <f t="shared" si="2"/>
        <v>4.8310000000000004</v>
      </c>
      <c r="AD61" s="40">
        <f t="shared" si="2"/>
        <v>5.181</v>
      </c>
      <c r="AE61" s="40">
        <f t="shared" si="2"/>
        <v>5.5309999999999997</v>
      </c>
      <c r="AF61" s="40">
        <f t="shared" si="2"/>
        <v>5.8810000000000002</v>
      </c>
      <c r="AG61" s="40"/>
      <c r="AH61" s="40"/>
      <c r="AI61" s="40"/>
      <c r="AJ61" s="40"/>
      <c r="AK61" s="40"/>
      <c r="AL61" s="40"/>
      <c r="AM61" s="40"/>
      <c r="AN61" s="40"/>
      <c r="AO61" s="40"/>
      <c r="AP61" s="40"/>
    </row>
    <row r="62" spans="2:42" x14ac:dyDescent="0.25">
      <c r="K62" s="2"/>
      <c r="L62" s="2"/>
      <c r="M62" s="2"/>
      <c r="N62" s="2"/>
      <c r="O62" s="2"/>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row>
    <row r="63" spans="2:42" x14ac:dyDescent="0.25">
      <c r="C63" s="2"/>
      <c r="K63" s="2"/>
      <c r="L63" s="2"/>
      <c r="M63" s="2"/>
      <c r="N63" s="2"/>
      <c r="O63" s="2"/>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row>
    <row r="64" spans="2:42" x14ac:dyDescent="0.25">
      <c r="K64" s="2"/>
      <c r="L64" s="2"/>
      <c r="M64" s="2"/>
      <c r="N64" s="2"/>
      <c r="O64" s="2"/>
    </row>
    <row r="66" spans="1:36" x14ac:dyDescent="0.25">
      <c r="A66" s="41" t="s">
        <v>36</v>
      </c>
      <c r="B66" s="41"/>
      <c r="C66" s="42" t="s">
        <v>37</v>
      </c>
      <c r="D66" s="43">
        <v>2018</v>
      </c>
      <c r="E66" s="43">
        <v>2019</v>
      </c>
      <c r="F66" s="43">
        <v>2020</v>
      </c>
      <c r="G66" s="43">
        <v>2021</v>
      </c>
      <c r="H66" s="43">
        <v>2022</v>
      </c>
      <c r="I66" s="43">
        <v>2023</v>
      </c>
      <c r="J66" s="43">
        <v>2024</v>
      </c>
      <c r="K66" s="44">
        <v>2025</v>
      </c>
      <c r="L66" s="43">
        <v>2026</v>
      </c>
      <c r="M66" s="43">
        <v>2027</v>
      </c>
      <c r="N66" s="43">
        <v>2028</v>
      </c>
      <c r="O66" s="43">
        <v>2029</v>
      </c>
      <c r="P66" s="44">
        <v>2030</v>
      </c>
      <c r="Q66" s="43">
        <v>2031</v>
      </c>
      <c r="R66" s="43">
        <v>2032</v>
      </c>
      <c r="S66" s="43">
        <v>2033</v>
      </c>
      <c r="T66" s="43">
        <v>2034</v>
      </c>
      <c r="U66" s="43">
        <v>2035</v>
      </c>
      <c r="V66" s="43">
        <v>2036</v>
      </c>
      <c r="W66" s="43">
        <v>2037</v>
      </c>
      <c r="X66" s="43">
        <v>2038</v>
      </c>
      <c r="Y66" s="43">
        <v>2039</v>
      </c>
      <c r="Z66" s="44">
        <v>2040</v>
      </c>
      <c r="AA66" s="43">
        <v>2041</v>
      </c>
      <c r="AB66" s="43">
        <v>2042</v>
      </c>
      <c r="AC66" s="43">
        <v>2043</v>
      </c>
      <c r="AD66" s="43">
        <v>2044</v>
      </c>
      <c r="AE66" s="43">
        <v>2045</v>
      </c>
      <c r="AF66" s="43">
        <v>2046</v>
      </c>
      <c r="AG66" s="43">
        <v>2047</v>
      </c>
      <c r="AH66" s="43">
        <v>2048</v>
      </c>
      <c r="AI66" s="43">
        <v>2049</v>
      </c>
      <c r="AJ66" s="44">
        <v>2050</v>
      </c>
    </row>
    <row r="67" spans="1:36" x14ac:dyDescent="0.25">
      <c r="A67" s="64" t="s">
        <v>38</v>
      </c>
      <c r="B67" s="64"/>
      <c r="C67" s="84" t="s">
        <v>39</v>
      </c>
      <c r="D67" s="62">
        <v>4528</v>
      </c>
      <c r="E67" s="62">
        <v>8473</v>
      </c>
      <c r="F67" s="62">
        <v>12576</v>
      </c>
      <c r="G67" s="62">
        <v>21085</v>
      </c>
      <c r="H67" s="62">
        <v>36002</v>
      </c>
      <c r="I67" s="62">
        <v>57730</v>
      </c>
      <c r="J67" s="62">
        <v>76458.133004706353</v>
      </c>
      <c r="K67" s="62">
        <v>98415.194404124166</v>
      </c>
      <c r="L67" s="62">
        <v>123756.24028758133</v>
      </c>
      <c r="M67" s="62">
        <v>152915.52917535801</v>
      </c>
      <c r="N67" s="62">
        <v>186737.48815921484</v>
      </c>
      <c r="O67" s="62">
        <v>225545.84587663756</v>
      </c>
      <c r="P67" s="62">
        <v>270141.84587663756</v>
      </c>
      <c r="Q67" s="62">
        <v>319101.38047990017</v>
      </c>
      <c r="R67" s="62">
        <v>372398.4319908793</v>
      </c>
      <c r="S67" s="62">
        <v>430244.41232910869</v>
      </c>
      <c r="T67" s="62">
        <v>491783.88087787427</v>
      </c>
      <c r="U67" s="62">
        <v>613980.88087787433</v>
      </c>
      <c r="V67" s="62">
        <v>734898.43145722908</v>
      </c>
      <c r="W67" s="62">
        <v>853106.17047709145</v>
      </c>
      <c r="X67" s="62">
        <v>969852.77933095349</v>
      </c>
      <c r="Y67" s="62">
        <v>1102703.0055037753</v>
      </c>
      <c r="Z67" s="62">
        <v>1247959.9441043576</v>
      </c>
      <c r="AA67" s="45"/>
      <c r="AB67" s="45"/>
      <c r="AC67" s="45"/>
      <c r="AD67" s="45"/>
      <c r="AE67" s="45"/>
      <c r="AF67" s="45"/>
      <c r="AG67" s="45"/>
      <c r="AH67" s="45"/>
      <c r="AI67" s="45"/>
      <c r="AJ67" s="46"/>
    </row>
    <row r="68" spans="1:36" x14ac:dyDescent="0.25">
      <c r="A68" s="64" t="s">
        <v>40</v>
      </c>
      <c r="B68" s="64"/>
      <c r="C68" s="84" t="s">
        <v>39</v>
      </c>
      <c r="D68" s="62">
        <v>2791</v>
      </c>
      <c r="E68" s="62">
        <v>6306</v>
      </c>
      <c r="F68" s="62">
        <v>12228</v>
      </c>
      <c r="G68" s="62">
        <v>23671</v>
      </c>
      <c r="H68" s="62">
        <v>33157</v>
      </c>
      <c r="I68" s="62">
        <v>46227</v>
      </c>
      <c r="J68" s="62">
        <v>65580.100332647708</v>
      </c>
      <c r="K68" s="62">
        <v>88429.861651536645</v>
      </c>
      <c r="L68" s="62">
        <v>115259.45447616215</v>
      </c>
      <c r="M68" s="62">
        <v>146809.32931771784</v>
      </c>
      <c r="N68" s="62">
        <v>183964.44466028124</v>
      </c>
      <c r="O68" s="62">
        <v>227783.37094489671</v>
      </c>
      <c r="P68" s="62">
        <v>279410.37094489671</v>
      </c>
      <c r="Q68" s="62">
        <v>332253.19836038561</v>
      </c>
      <c r="R68" s="62">
        <v>387035.05666471604</v>
      </c>
      <c r="S68" s="62">
        <v>443152.32676393108</v>
      </c>
      <c r="T68" s="62">
        <v>501365.82754287875</v>
      </c>
      <c r="U68" s="62">
        <v>533243.82754287869</v>
      </c>
      <c r="V68" s="62">
        <v>553529.32832182629</v>
      </c>
      <c r="W68" s="62">
        <v>569780.54423927818</v>
      </c>
      <c r="X68" s="62">
        <v>578053.04909329861</v>
      </c>
      <c r="Y68" s="62">
        <v>577463.83565678261</v>
      </c>
      <c r="Z68" s="62">
        <v>570364.07433789363</v>
      </c>
      <c r="AA68" s="45"/>
      <c r="AB68" s="45"/>
      <c r="AC68" s="45"/>
      <c r="AD68" s="45"/>
      <c r="AE68" s="45"/>
      <c r="AF68" s="45"/>
      <c r="AG68" s="45"/>
      <c r="AH68" s="45"/>
      <c r="AI68" s="45"/>
      <c r="AJ68" s="46"/>
    </row>
    <row r="69" spans="1:36" x14ac:dyDescent="0.25">
      <c r="A69" s="64" t="s">
        <v>41</v>
      </c>
      <c r="B69" s="64"/>
      <c r="C69" s="84" t="s">
        <v>39</v>
      </c>
      <c r="D69" s="64"/>
      <c r="E69" s="64"/>
      <c r="F69" s="64"/>
      <c r="G69" s="64"/>
      <c r="H69" s="64"/>
      <c r="I69" s="85">
        <v>61</v>
      </c>
      <c r="J69" s="85">
        <v>282</v>
      </c>
      <c r="K69" s="62">
        <v>282</v>
      </c>
      <c r="L69" s="62">
        <v>282</v>
      </c>
      <c r="M69" s="62">
        <v>282</v>
      </c>
      <c r="N69" s="62">
        <v>282</v>
      </c>
      <c r="O69" s="62">
        <v>282</v>
      </c>
      <c r="P69" s="62">
        <v>282</v>
      </c>
      <c r="Q69" s="62">
        <v>282</v>
      </c>
      <c r="R69" s="62">
        <v>282</v>
      </c>
      <c r="S69" s="62">
        <v>282</v>
      </c>
      <c r="T69" s="62">
        <v>282</v>
      </c>
      <c r="U69" s="62">
        <v>282</v>
      </c>
      <c r="V69" s="62">
        <v>282</v>
      </c>
      <c r="W69" s="62">
        <v>282</v>
      </c>
      <c r="X69" s="62">
        <v>282</v>
      </c>
      <c r="Y69" s="62">
        <v>282</v>
      </c>
      <c r="Z69" s="62">
        <v>282</v>
      </c>
      <c r="AA69" s="45"/>
      <c r="AB69" s="45"/>
      <c r="AC69" s="45"/>
      <c r="AD69" s="45"/>
      <c r="AE69" s="45"/>
      <c r="AF69" s="45"/>
      <c r="AG69" s="45"/>
      <c r="AH69" s="45"/>
      <c r="AI69" s="45"/>
      <c r="AJ69" s="46"/>
    </row>
    <row r="70" spans="1:36" x14ac:dyDescent="0.25">
      <c r="A70" s="64" t="s">
        <v>42</v>
      </c>
      <c r="B70" s="64"/>
      <c r="C70" s="84" t="s">
        <v>39</v>
      </c>
      <c r="D70" s="62">
        <v>10</v>
      </c>
      <c r="E70" s="62">
        <v>57</v>
      </c>
      <c r="F70" s="62">
        <v>103</v>
      </c>
      <c r="G70" s="62">
        <v>208</v>
      </c>
      <c r="H70" s="62">
        <v>379</v>
      </c>
      <c r="I70" s="62">
        <v>675</v>
      </c>
      <c r="J70" s="62">
        <v>937.5</v>
      </c>
      <c r="K70" s="62">
        <v>1200</v>
      </c>
      <c r="L70" s="62">
        <v>1860</v>
      </c>
      <c r="M70" s="62">
        <v>2520</v>
      </c>
      <c r="N70" s="62">
        <v>3180</v>
      </c>
      <c r="O70" s="62">
        <v>3840</v>
      </c>
      <c r="P70" s="62">
        <v>4500</v>
      </c>
      <c r="Q70" s="62">
        <v>6000</v>
      </c>
      <c r="R70" s="62">
        <v>7500</v>
      </c>
      <c r="S70" s="62">
        <v>9000</v>
      </c>
      <c r="T70" s="62">
        <v>10500</v>
      </c>
      <c r="U70" s="62">
        <v>12000</v>
      </c>
      <c r="V70" s="62">
        <v>11200</v>
      </c>
      <c r="W70" s="62">
        <v>10400</v>
      </c>
      <c r="X70" s="62">
        <v>9600</v>
      </c>
      <c r="Y70" s="62">
        <v>8800</v>
      </c>
      <c r="Z70" s="62">
        <v>8000</v>
      </c>
      <c r="AA70" s="45"/>
      <c r="AB70" s="45"/>
      <c r="AC70" s="45"/>
      <c r="AD70" s="45"/>
      <c r="AE70" s="45"/>
      <c r="AF70" s="45"/>
      <c r="AG70" s="45"/>
      <c r="AH70" s="45"/>
      <c r="AI70" s="45"/>
      <c r="AJ70" s="46"/>
    </row>
    <row r="71" spans="1:36" x14ac:dyDescent="0.25">
      <c r="A71" s="64" t="s">
        <v>43</v>
      </c>
      <c r="B71" s="64"/>
      <c r="C71" s="84" t="s">
        <v>39</v>
      </c>
      <c r="D71" s="86">
        <v>167</v>
      </c>
      <c r="E71" s="86">
        <v>454</v>
      </c>
      <c r="F71" s="86">
        <v>878</v>
      </c>
      <c r="G71" s="86">
        <v>1770</v>
      </c>
      <c r="H71" s="86">
        <v>2135</v>
      </c>
      <c r="I71" s="86">
        <v>2856</v>
      </c>
      <c r="J71" s="86">
        <v>3861.9285714285716</v>
      </c>
      <c r="K71" s="86">
        <v>4867.8571428571431</v>
      </c>
      <c r="L71" s="86">
        <v>6024.2857142857147</v>
      </c>
      <c r="M71" s="86">
        <v>7180.7142857142853</v>
      </c>
      <c r="N71" s="86">
        <v>8337.1428571428569</v>
      </c>
      <c r="O71" s="86">
        <v>9493.5714285714294</v>
      </c>
      <c r="P71" s="86">
        <v>10650</v>
      </c>
      <c r="Q71" s="86">
        <v>12310</v>
      </c>
      <c r="R71" s="86">
        <v>13970</v>
      </c>
      <c r="S71" s="86">
        <v>15630</v>
      </c>
      <c r="T71" s="86">
        <v>17290</v>
      </c>
      <c r="U71" s="86">
        <v>18950</v>
      </c>
      <c r="V71" s="86">
        <v>42754.874566279919</v>
      </c>
      <c r="W71" s="86">
        <v>66559.749132559838</v>
      </c>
      <c r="X71" s="86">
        <v>90364.623698839758</v>
      </c>
      <c r="Y71" s="86">
        <v>114169.49826511968</v>
      </c>
      <c r="Z71" s="86">
        <v>137974.37283139961</v>
      </c>
      <c r="AA71" s="45"/>
      <c r="AB71" s="45"/>
      <c r="AC71" s="45"/>
      <c r="AD71" s="45"/>
      <c r="AE71" s="45"/>
      <c r="AF71" s="45"/>
      <c r="AG71" s="45"/>
      <c r="AH71" s="45"/>
      <c r="AI71" s="45"/>
      <c r="AJ71" s="46"/>
    </row>
    <row r="72" spans="1:36" x14ac:dyDescent="0.25">
      <c r="A72" s="87" t="s">
        <v>44</v>
      </c>
      <c r="B72" s="88"/>
      <c r="C72" s="89" t="s">
        <v>39</v>
      </c>
      <c r="D72" s="62">
        <v>167</v>
      </c>
      <c r="E72" s="62">
        <v>454</v>
      </c>
      <c r="F72" s="62">
        <v>878</v>
      </c>
      <c r="G72" s="62">
        <v>1770</v>
      </c>
      <c r="H72" s="62">
        <v>2135</v>
      </c>
      <c r="I72" s="62">
        <v>2821</v>
      </c>
      <c r="J72" s="62">
        <v>3810.5</v>
      </c>
      <c r="K72" s="62">
        <v>4800</v>
      </c>
      <c r="L72" s="62">
        <v>5940</v>
      </c>
      <c r="M72" s="62">
        <v>7080</v>
      </c>
      <c r="N72" s="62">
        <v>8220</v>
      </c>
      <c r="O72" s="62">
        <v>9360</v>
      </c>
      <c r="P72" s="62">
        <v>10500</v>
      </c>
      <c r="Q72" s="62">
        <v>12000</v>
      </c>
      <c r="R72" s="62">
        <v>13500</v>
      </c>
      <c r="S72" s="62">
        <v>15000</v>
      </c>
      <c r="T72" s="62">
        <v>16500</v>
      </c>
      <c r="U72" s="62">
        <v>18000</v>
      </c>
      <c r="V72" s="62">
        <v>41644.874566279919</v>
      </c>
      <c r="W72" s="62">
        <v>65289.749132559838</v>
      </c>
      <c r="X72" s="62">
        <v>88934.623698839758</v>
      </c>
      <c r="Y72" s="62">
        <v>112579.49826511968</v>
      </c>
      <c r="Z72" s="62">
        <v>136224.37283139961</v>
      </c>
      <c r="AA72" s="47"/>
      <c r="AB72" s="47"/>
      <c r="AC72" s="47"/>
      <c r="AD72" s="47"/>
      <c r="AE72" s="47"/>
      <c r="AF72" s="47"/>
      <c r="AG72" s="47"/>
      <c r="AH72" s="47"/>
      <c r="AI72" s="47"/>
      <c r="AJ72" s="48"/>
    </row>
    <row r="73" spans="1:36" x14ac:dyDescent="0.25">
      <c r="A73" s="90" t="s">
        <v>45</v>
      </c>
      <c r="B73" s="91"/>
      <c r="C73" s="92" t="s">
        <v>39</v>
      </c>
      <c r="D73" s="62">
        <v>0</v>
      </c>
      <c r="E73" s="62">
        <v>0</v>
      </c>
      <c r="F73" s="62">
        <v>0</v>
      </c>
      <c r="G73" s="62">
        <v>0</v>
      </c>
      <c r="H73" s="62">
        <v>0</v>
      </c>
      <c r="I73" s="62">
        <v>35</v>
      </c>
      <c r="J73" s="62">
        <v>51.428571428571431</v>
      </c>
      <c r="K73" s="62">
        <v>67.857142857142861</v>
      </c>
      <c r="L73" s="62">
        <v>84.285714285714292</v>
      </c>
      <c r="M73" s="62">
        <v>100.71428571428572</v>
      </c>
      <c r="N73" s="62">
        <v>117.14285714285715</v>
      </c>
      <c r="O73" s="62">
        <v>133.57142857142858</v>
      </c>
      <c r="P73" s="62">
        <v>150</v>
      </c>
      <c r="Q73" s="62">
        <v>310</v>
      </c>
      <c r="R73" s="62">
        <v>470</v>
      </c>
      <c r="S73" s="62">
        <v>630</v>
      </c>
      <c r="T73" s="62">
        <v>790</v>
      </c>
      <c r="U73" s="62">
        <v>950</v>
      </c>
      <c r="V73" s="62">
        <v>1110</v>
      </c>
      <c r="W73" s="62">
        <v>1270</v>
      </c>
      <c r="X73" s="62">
        <v>1430</v>
      </c>
      <c r="Y73" s="62">
        <v>1590</v>
      </c>
      <c r="Z73" s="62">
        <v>1750</v>
      </c>
      <c r="AA73" s="49"/>
      <c r="AB73" s="49"/>
      <c r="AC73" s="49"/>
      <c r="AD73" s="49"/>
      <c r="AE73" s="49"/>
      <c r="AF73" s="49"/>
      <c r="AG73" s="49"/>
      <c r="AH73" s="49"/>
      <c r="AI73" s="49"/>
      <c r="AJ73" s="50"/>
    </row>
    <row r="74" spans="1:36" x14ac:dyDescent="0.25">
      <c r="A74" s="64" t="s">
        <v>46</v>
      </c>
      <c r="B74" s="64"/>
      <c r="C74" s="84" t="s">
        <v>47</v>
      </c>
      <c r="D74" s="64"/>
      <c r="E74" s="64"/>
      <c r="F74" s="64"/>
      <c r="G74" s="64"/>
      <c r="H74" s="64"/>
      <c r="I74" s="64"/>
      <c r="J74" s="62">
        <v>4740.55</v>
      </c>
      <c r="K74" s="62">
        <v>4959.90625</v>
      </c>
      <c r="L74" s="62">
        <v>5224.25</v>
      </c>
      <c r="M74" s="62">
        <v>5507.75</v>
      </c>
      <c r="N74" s="62">
        <v>5914.375</v>
      </c>
      <c r="O74" s="62">
        <v>6252.5</v>
      </c>
      <c r="P74" s="62">
        <v>6655</v>
      </c>
      <c r="Q74" s="62">
        <v>6917.5</v>
      </c>
      <c r="R74" s="62">
        <v>7105</v>
      </c>
      <c r="S74" s="62">
        <v>7230</v>
      </c>
      <c r="T74" s="62">
        <v>7430</v>
      </c>
      <c r="U74" s="62">
        <v>7630</v>
      </c>
      <c r="V74" s="62">
        <v>7830</v>
      </c>
      <c r="W74" s="62">
        <v>8030</v>
      </c>
      <c r="X74" s="62">
        <v>8230</v>
      </c>
      <c r="Y74" s="62">
        <v>8430</v>
      </c>
      <c r="Z74" s="62">
        <v>8630</v>
      </c>
      <c r="AA74" s="45"/>
      <c r="AB74" s="45"/>
      <c r="AC74" s="45"/>
      <c r="AD74" s="45"/>
      <c r="AE74" s="45"/>
      <c r="AF74" s="45"/>
      <c r="AG74" s="45"/>
      <c r="AH74" s="45"/>
      <c r="AI74" s="45"/>
      <c r="AJ74" s="46"/>
    </row>
    <row r="75" spans="1:36" x14ac:dyDescent="0.25">
      <c r="A75" s="64" t="s">
        <v>48</v>
      </c>
      <c r="B75" s="64"/>
      <c r="C75" s="84" t="s">
        <v>47</v>
      </c>
      <c r="D75" s="64"/>
      <c r="E75" s="64"/>
      <c r="F75" s="64"/>
      <c r="G75" s="64"/>
      <c r="H75" s="64"/>
      <c r="I75" s="64"/>
      <c r="J75" s="62">
        <v>25</v>
      </c>
      <c r="K75" s="62">
        <v>25</v>
      </c>
      <c r="L75" s="62">
        <v>25</v>
      </c>
      <c r="M75" s="62">
        <v>25</v>
      </c>
      <c r="N75" s="62">
        <v>25</v>
      </c>
      <c r="O75" s="62">
        <v>25</v>
      </c>
      <c r="P75" s="62">
        <v>357.25</v>
      </c>
      <c r="Q75" s="62">
        <v>1354</v>
      </c>
      <c r="R75" s="62">
        <v>1952</v>
      </c>
      <c r="S75" s="62">
        <v>2516</v>
      </c>
      <c r="T75" s="62">
        <v>3118</v>
      </c>
      <c r="U75" s="62">
        <v>3915.5</v>
      </c>
      <c r="V75" s="62">
        <v>4481</v>
      </c>
      <c r="W75" s="62">
        <v>4831</v>
      </c>
      <c r="X75" s="62">
        <v>5181</v>
      </c>
      <c r="Y75" s="62">
        <v>5531</v>
      </c>
      <c r="Z75" s="62">
        <v>5881</v>
      </c>
      <c r="AA75" s="45"/>
      <c r="AB75" s="45"/>
      <c r="AC75" s="45"/>
      <c r="AD75" s="45"/>
      <c r="AE75" s="45"/>
      <c r="AF75" s="45"/>
      <c r="AG75" s="45"/>
      <c r="AH75" s="45"/>
      <c r="AI75" s="45"/>
      <c r="AJ75" s="46"/>
    </row>
    <row r="76" spans="1:36" x14ac:dyDescent="0.25">
      <c r="A76" s="64" t="s">
        <v>49</v>
      </c>
      <c r="B76" s="64"/>
      <c r="C76" s="84" t="s">
        <v>47</v>
      </c>
      <c r="D76" s="64"/>
      <c r="E76" s="64"/>
      <c r="F76" s="64"/>
      <c r="G76" s="64"/>
      <c r="H76" s="64"/>
      <c r="I76" s="64"/>
      <c r="J76" s="62">
        <v>914.93749999999989</v>
      </c>
      <c r="K76" s="62">
        <v>1547.25</v>
      </c>
      <c r="L76" s="62">
        <v>2290.875</v>
      </c>
      <c r="M76" s="62">
        <v>2906.5</v>
      </c>
      <c r="N76" s="62">
        <v>3744.625</v>
      </c>
      <c r="O76" s="62">
        <v>4373.375</v>
      </c>
      <c r="P76" s="62">
        <v>5177.5</v>
      </c>
      <c r="Q76" s="62">
        <v>5806.5</v>
      </c>
      <c r="R76" s="62">
        <v>6177.5</v>
      </c>
      <c r="S76" s="62">
        <v>6593.75</v>
      </c>
      <c r="T76" s="62">
        <v>6825</v>
      </c>
      <c r="U76" s="62">
        <v>7025</v>
      </c>
      <c r="V76" s="62">
        <v>7225</v>
      </c>
      <c r="W76" s="62">
        <v>7425</v>
      </c>
      <c r="X76" s="62">
        <v>7625</v>
      </c>
      <c r="Y76" s="62">
        <v>7825</v>
      </c>
      <c r="Z76" s="62">
        <v>8025</v>
      </c>
      <c r="AA76" s="45"/>
      <c r="AB76" s="45"/>
      <c r="AC76" s="45"/>
      <c r="AD76" s="45"/>
      <c r="AE76" s="45"/>
      <c r="AF76" s="45"/>
      <c r="AG76" s="45"/>
      <c r="AH76" s="45"/>
      <c r="AI76" s="45"/>
      <c r="AJ76" s="46"/>
    </row>
    <row r="77" spans="1:36" x14ac:dyDescent="0.25">
      <c r="A77" s="64" t="s">
        <v>50</v>
      </c>
      <c r="B77" s="64"/>
      <c r="C77" s="84" t="s">
        <v>51</v>
      </c>
      <c r="D77" s="64"/>
      <c r="E77" s="64"/>
      <c r="F77" s="64"/>
      <c r="G77" s="64"/>
      <c r="H77" s="64"/>
      <c r="I77" s="64"/>
      <c r="J77" s="64"/>
      <c r="K77" s="62">
        <v>10</v>
      </c>
      <c r="L77" s="69">
        <v>10</v>
      </c>
      <c r="M77" s="69">
        <v>10</v>
      </c>
      <c r="N77" s="69">
        <v>10</v>
      </c>
      <c r="O77" s="69">
        <v>10</v>
      </c>
      <c r="P77" s="62">
        <v>10</v>
      </c>
      <c r="Q77" s="69">
        <v>10</v>
      </c>
      <c r="R77" s="69">
        <v>10</v>
      </c>
      <c r="S77" s="69">
        <v>10</v>
      </c>
      <c r="T77" s="69">
        <v>10</v>
      </c>
      <c r="U77" s="69">
        <v>10</v>
      </c>
      <c r="V77" s="69">
        <v>10</v>
      </c>
      <c r="W77" s="69">
        <v>10</v>
      </c>
      <c r="X77" s="69">
        <v>10</v>
      </c>
      <c r="Y77" s="69">
        <v>10</v>
      </c>
      <c r="Z77" s="69">
        <v>10</v>
      </c>
      <c r="AA77" s="45"/>
      <c r="AB77" s="45"/>
      <c r="AC77" s="45"/>
      <c r="AD77" s="45"/>
      <c r="AE77" s="45"/>
      <c r="AF77" s="45"/>
      <c r="AG77" s="45"/>
      <c r="AH77" s="45"/>
      <c r="AI77" s="45"/>
      <c r="AJ77" s="46"/>
    </row>
    <row r="78" spans="1:36" x14ac:dyDescent="0.25">
      <c r="A78" s="64" t="s">
        <v>52</v>
      </c>
      <c r="B78" s="64"/>
      <c r="C78" s="84" t="s">
        <v>51</v>
      </c>
      <c r="D78" s="64"/>
      <c r="E78" s="64"/>
      <c r="F78" s="64"/>
      <c r="G78" s="64"/>
      <c r="H78" s="64"/>
      <c r="I78" s="64"/>
      <c r="J78" s="64"/>
      <c r="K78" s="62">
        <v>12</v>
      </c>
      <c r="L78" s="69">
        <v>13.6</v>
      </c>
      <c r="M78" s="69">
        <v>15.2</v>
      </c>
      <c r="N78" s="69">
        <v>16.8</v>
      </c>
      <c r="O78" s="69">
        <v>18.400000000000002</v>
      </c>
      <c r="P78" s="62">
        <v>20</v>
      </c>
      <c r="Q78" s="69">
        <v>20</v>
      </c>
      <c r="R78" s="69">
        <v>20</v>
      </c>
      <c r="S78" s="69">
        <v>20</v>
      </c>
      <c r="T78" s="69">
        <v>20</v>
      </c>
      <c r="U78" s="69">
        <v>20</v>
      </c>
      <c r="V78" s="69">
        <v>20</v>
      </c>
      <c r="W78" s="69">
        <v>20</v>
      </c>
      <c r="X78" s="69">
        <v>20</v>
      </c>
      <c r="Y78" s="69">
        <v>20</v>
      </c>
      <c r="Z78" s="69">
        <v>20</v>
      </c>
      <c r="AA78" s="45"/>
      <c r="AB78" s="45"/>
      <c r="AC78" s="45"/>
      <c r="AD78" s="45"/>
      <c r="AE78" s="45"/>
      <c r="AF78" s="45"/>
      <c r="AG78" s="45"/>
      <c r="AH78" s="45"/>
      <c r="AI78" s="45"/>
      <c r="AJ78" s="46"/>
    </row>
    <row r="79" spans="1:36" x14ac:dyDescent="0.25">
      <c r="A79" s="64" t="s">
        <v>53</v>
      </c>
      <c r="B79" s="64"/>
      <c r="C79" s="84" t="s">
        <v>54</v>
      </c>
      <c r="D79" s="64"/>
      <c r="E79" s="64"/>
      <c r="F79" s="64"/>
      <c r="G79" s="64"/>
      <c r="H79" s="64"/>
      <c r="I79" s="64"/>
      <c r="J79" s="64"/>
      <c r="K79" s="93">
        <v>0.16666666666666666</v>
      </c>
      <c r="L79" s="93">
        <v>0.33333333333333331</v>
      </c>
      <c r="M79" s="93">
        <v>0.5</v>
      </c>
      <c r="N79" s="93">
        <v>0.66666666666666663</v>
      </c>
      <c r="O79" s="93">
        <v>0.83333333333333326</v>
      </c>
      <c r="P79" s="93">
        <v>1</v>
      </c>
      <c r="Q79" s="93">
        <v>1.1666666666666667</v>
      </c>
      <c r="R79" s="93">
        <v>1.3333333333333335</v>
      </c>
      <c r="S79" s="93">
        <v>1.5000000000000002</v>
      </c>
      <c r="T79" s="93">
        <v>1.666666666666667</v>
      </c>
      <c r="U79" s="93">
        <v>1.8333333333333337</v>
      </c>
      <c r="V79" s="93">
        <v>2.0000000000000004</v>
      </c>
      <c r="W79" s="93">
        <v>2.166666666666667</v>
      </c>
      <c r="X79" s="93">
        <v>2.3333333333333335</v>
      </c>
      <c r="Y79" s="93">
        <v>2.5</v>
      </c>
      <c r="Z79" s="93">
        <v>2.6666666666666665</v>
      </c>
      <c r="AA79" s="45"/>
      <c r="AB79" s="45"/>
      <c r="AC79" s="45"/>
      <c r="AD79" s="45"/>
      <c r="AE79" s="45"/>
      <c r="AF79" s="45"/>
      <c r="AG79" s="45"/>
      <c r="AH79" s="45"/>
      <c r="AI79" s="45"/>
      <c r="AJ79" s="46"/>
    </row>
    <row r="80" spans="1:36" x14ac:dyDescent="0.25">
      <c r="A80" s="64" t="s">
        <v>55</v>
      </c>
      <c r="B80" s="64" t="s">
        <v>56</v>
      </c>
      <c r="C80" s="84" t="s">
        <v>57</v>
      </c>
      <c r="D80" s="64"/>
      <c r="E80" s="64"/>
      <c r="F80" s="64"/>
      <c r="G80" s="64"/>
      <c r="H80" s="64"/>
      <c r="I80" s="64"/>
      <c r="J80" s="86">
        <v>30290</v>
      </c>
      <c r="K80" s="62">
        <v>9784</v>
      </c>
      <c r="L80" s="70">
        <v>17033.2</v>
      </c>
      <c r="M80" s="70">
        <v>24282.400000000001</v>
      </c>
      <c r="N80" s="70">
        <v>31531.600000000002</v>
      </c>
      <c r="O80" s="70">
        <v>38780.800000000003</v>
      </c>
      <c r="P80" s="62">
        <v>46030</v>
      </c>
      <c r="Q80" s="70">
        <v>51282.3</v>
      </c>
      <c r="R80" s="70">
        <v>56534.600000000006</v>
      </c>
      <c r="S80" s="70">
        <v>61786.900000000009</v>
      </c>
      <c r="T80" s="70">
        <v>67039.200000000012</v>
      </c>
      <c r="U80" s="70">
        <v>72291.500000000015</v>
      </c>
      <c r="V80" s="70">
        <v>77543.800000000017</v>
      </c>
      <c r="W80" s="70">
        <v>82796.10000000002</v>
      </c>
      <c r="X80" s="70">
        <v>88048.400000000023</v>
      </c>
      <c r="Y80" s="70">
        <v>93300.700000000026</v>
      </c>
      <c r="Z80" s="62">
        <v>98553</v>
      </c>
      <c r="AA80" s="45"/>
      <c r="AB80" s="45"/>
      <c r="AC80" s="45"/>
      <c r="AD80" s="45"/>
      <c r="AE80" s="45"/>
      <c r="AF80" s="45"/>
      <c r="AG80" s="45"/>
      <c r="AH80" s="45"/>
      <c r="AI80" s="45"/>
      <c r="AJ80" s="46"/>
    </row>
    <row r="81" spans="1:36" x14ac:dyDescent="0.25">
      <c r="A81" s="64" t="s">
        <v>58</v>
      </c>
      <c r="B81" s="64" t="s">
        <v>59</v>
      </c>
      <c r="C81" s="84" t="s">
        <v>60</v>
      </c>
      <c r="D81" s="64"/>
      <c r="E81" s="64"/>
      <c r="F81" s="64"/>
      <c r="G81" s="64"/>
      <c r="H81" s="64"/>
      <c r="I81" s="64"/>
      <c r="J81" s="62">
        <v>22594</v>
      </c>
      <c r="K81" s="62">
        <v>30753.640104178994</v>
      </c>
      <c r="L81" s="62">
        <v>38787.089185870005</v>
      </c>
      <c r="M81" s="62">
        <v>47979.990681859999</v>
      </c>
      <c r="N81" s="62">
        <v>58453.896772416992</v>
      </c>
      <c r="O81" s="62">
        <v>69469.589697084986</v>
      </c>
      <c r="P81" s="62">
        <v>81294.661195221983</v>
      </c>
      <c r="Q81" s="62">
        <v>87694.270859714001</v>
      </c>
      <c r="R81" s="62">
        <v>94079.009236094993</v>
      </c>
      <c r="S81" s="62">
        <v>100528.592055809</v>
      </c>
      <c r="T81" s="62">
        <v>106924.69278941599</v>
      </c>
      <c r="U81" s="62">
        <v>113142.96160799799</v>
      </c>
      <c r="V81" s="62">
        <v>119285.197212352</v>
      </c>
      <c r="W81" s="62">
        <v>125231.603459933</v>
      </c>
      <c r="X81" s="62">
        <v>131189.03544901701</v>
      </c>
      <c r="Y81" s="62">
        <v>135402.15358821102</v>
      </c>
      <c r="Z81" s="62">
        <v>138265.558034327</v>
      </c>
      <c r="AA81" s="45"/>
      <c r="AB81" s="45"/>
      <c r="AC81" s="45"/>
      <c r="AD81" s="45"/>
      <c r="AE81" s="45"/>
      <c r="AF81" s="45"/>
      <c r="AG81" s="45"/>
      <c r="AH81" s="45"/>
      <c r="AI81" s="45"/>
      <c r="AJ81" s="46"/>
    </row>
    <row r="82" spans="1:36" x14ac:dyDescent="0.25">
      <c r="A82" s="64" t="s">
        <v>61</v>
      </c>
      <c r="B82" s="64"/>
      <c r="C82" s="84" t="s">
        <v>54</v>
      </c>
      <c r="D82" s="64"/>
      <c r="E82" s="64"/>
      <c r="F82" s="64"/>
      <c r="G82" s="64"/>
      <c r="H82" s="71">
        <v>8.9999999999999998E-4</v>
      </c>
      <c r="I82" s="71">
        <v>8.9999999999999998E-4</v>
      </c>
      <c r="J82" s="71">
        <v>1.4000000000000002E-3</v>
      </c>
      <c r="K82" s="71">
        <v>1.4000000000000002E-3</v>
      </c>
      <c r="L82" s="71">
        <v>1.4000000000000002E-3</v>
      </c>
      <c r="M82" s="71">
        <v>1.4000000000000002E-3</v>
      </c>
      <c r="N82" s="71">
        <v>5.8473333333333346E-3</v>
      </c>
      <c r="O82" s="71">
        <v>1.0294666666666667E-2</v>
      </c>
      <c r="P82" s="71">
        <v>1.4742000000000003E-2</v>
      </c>
      <c r="Q82" s="71">
        <v>1.9491700000000004E-2</v>
      </c>
      <c r="R82" s="71">
        <v>2.4241400000000007E-2</v>
      </c>
      <c r="S82" s="71">
        <v>2.8991100000000006E-2</v>
      </c>
      <c r="T82" s="71">
        <v>3.3740800000000008E-2</v>
      </c>
      <c r="U82" s="71">
        <v>3.8490500000000011E-2</v>
      </c>
      <c r="V82" s="71">
        <v>4.3240200000000013E-2</v>
      </c>
      <c r="W82" s="71">
        <v>4.7989900000000016E-2</v>
      </c>
      <c r="X82" s="71">
        <v>5.2739600000000011E-2</v>
      </c>
      <c r="Y82" s="71">
        <v>5.7489300000000007E-2</v>
      </c>
      <c r="Z82" s="71">
        <v>6.2239000000000003E-2</v>
      </c>
      <c r="AA82" s="45"/>
      <c r="AB82" s="45"/>
      <c r="AC82" s="45"/>
      <c r="AD82" s="45"/>
      <c r="AE82" s="45"/>
      <c r="AF82" s="45"/>
      <c r="AG82" s="45"/>
      <c r="AH82" s="45"/>
      <c r="AI82" s="45"/>
      <c r="AJ82" s="46"/>
    </row>
    <row r="83" spans="1:36" x14ac:dyDescent="0.25">
      <c r="A83" s="64" t="s">
        <v>62</v>
      </c>
      <c r="B83" s="64" t="s">
        <v>63</v>
      </c>
      <c r="C83" s="84" t="s">
        <v>54</v>
      </c>
      <c r="D83" s="64"/>
      <c r="E83" s="64"/>
      <c r="F83" s="64"/>
      <c r="G83" s="64"/>
      <c r="H83" s="71">
        <v>3.5999999999999995E-3</v>
      </c>
      <c r="I83" s="71">
        <v>3.5999999999999995E-3</v>
      </c>
      <c r="J83" s="71">
        <v>5.5999999999999999E-3</v>
      </c>
      <c r="K83" s="71">
        <v>5.5999999999999999E-3</v>
      </c>
      <c r="L83" s="71">
        <v>5.5999999999999999E-3</v>
      </c>
      <c r="M83" s="71">
        <v>5.5999999999999999E-3</v>
      </c>
      <c r="N83" s="71">
        <v>2.3389333333333331E-2</v>
      </c>
      <c r="O83" s="71">
        <v>4.1178666666666669E-2</v>
      </c>
      <c r="P83" s="71">
        <v>5.8968000000000007E-2</v>
      </c>
      <c r="Q83" s="71">
        <v>7.7966800000000003E-2</v>
      </c>
      <c r="R83" s="71">
        <v>9.6965600000000027E-2</v>
      </c>
      <c r="S83" s="71">
        <v>0.11596440000000001</v>
      </c>
      <c r="T83" s="71">
        <v>0.13496320000000003</v>
      </c>
      <c r="U83" s="71">
        <v>0.15396200000000004</v>
      </c>
      <c r="V83" s="71">
        <v>0.17296080000000003</v>
      </c>
      <c r="W83" s="71">
        <v>0.19195960000000004</v>
      </c>
      <c r="X83" s="71">
        <v>0.21095840000000005</v>
      </c>
      <c r="Y83" s="71">
        <v>0.2299572</v>
      </c>
      <c r="Z83" s="71">
        <v>0.24895599999999998</v>
      </c>
      <c r="AA83" s="45"/>
      <c r="AB83" s="45"/>
      <c r="AC83" s="45"/>
      <c r="AD83" s="45"/>
      <c r="AE83" s="45"/>
      <c r="AF83" s="45"/>
      <c r="AG83" s="45"/>
      <c r="AH83" s="45"/>
      <c r="AI83" s="45"/>
      <c r="AJ83" s="46"/>
    </row>
  </sheetData>
  <conditionalFormatting sqref="C42:AI48">
    <cfRule type="cellIs" dxfId="4" priority="1" operator="equal">
      <formula>0</formula>
    </cfRule>
    <cfRule type="cellIs" dxfId="3" priority="2" operator="lessThan">
      <formula>0.001</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4F9DE-E742-43D5-83BC-289BFAC5D3FA}">
  <dimension ref="A1:AO38"/>
  <sheetViews>
    <sheetView topLeftCell="A16" workbookViewId="0">
      <selection activeCell="B22" sqref="B22:AA38"/>
    </sheetView>
  </sheetViews>
  <sheetFormatPr defaultRowHeight="15" x14ac:dyDescent="0.25"/>
  <cols>
    <col min="13" max="13" width="10.5703125" bestFit="1" customWidth="1"/>
    <col min="14" max="14" width="12" bestFit="1" customWidth="1"/>
  </cols>
  <sheetData>
    <row r="1" spans="1:41" x14ac:dyDescent="0.25">
      <c r="A1" t="s">
        <v>121</v>
      </c>
      <c r="N1" t="s">
        <v>19</v>
      </c>
      <c r="O1">
        <v>0.98</v>
      </c>
    </row>
    <row r="2" spans="1:41" x14ac:dyDescent="0.25">
      <c r="B2" s="8" t="s">
        <v>64</v>
      </c>
    </row>
    <row r="3" spans="1:41" x14ac:dyDescent="0.25">
      <c r="B3" s="8" t="s">
        <v>65</v>
      </c>
    </row>
    <row r="4" spans="1:41" x14ac:dyDescent="0.25">
      <c r="J4" t="s">
        <v>66</v>
      </c>
    </row>
    <row r="5" spans="1:41" x14ac:dyDescent="0.25">
      <c r="B5" s="51" t="s">
        <v>20</v>
      </c>
      <c r="C5" s="52" t="s">
        <v>21</v>
      </c>
      <c r="D5" s="52" t="s">
        <v>22</v>
      </c>
      <c r="E5" s="52" t="s">
        <v>23</v>
      </c>
      <c r="F5" s="52" t="s">
        <v>24</v>
      </c>
      <c r="G5" s="53" t="s">
        <v>25</v>
      </c>
      <c r="H5" s="53" t="s">
        <v>26</v>
      </c>
      <c r="I5" s="53" t="s">
        <v>27</v>
      </c>
      <c r="J5" s="53" t="s">
        <v>28</v>
      </c>
      <c r="K5" s="54" t="s">
        <v>67</v>
      </c>
      <c r="L5" s="55" t="s">
        <v>30</v>
      </c>
      <c r="M5" s="56" t="s">
        <v>31</v>
      </c>
      <c r="N5" s="56" t="s">
        <v>32</v>
      </c>
      <c r="O5" s="51" t="s">
        <v>33</v>
      </c>
      <c r="P5">
        <v>2026</v>
      </c>
      <c r="Q5">
        <v>2027</v>
      </c>
      <c r="R5">
        <v>2028</v>
      </c>
      <c r="S5">
        <v>2029</v>
      </c>
      <c r="T5">
        <v>2030</v>
      </c>
      <c r="U5">
        <v>2031</v>
      </c>
      <c r="V5">
        <v>2032</v>
      </c>
      <c r="W5">
        <v>2033</v>
      </c>
      <c r="X5">
        <v>2034</v>
      </c>
      <c r="Y5">
        <v>2035</v>
      </c>
      <c r="Z5">
        <v>2036</v>
      </c>
      <c r="AA5">
        <v>2037</v>
      </c>
      <c r="AB5">
        <v>2038</v>
      </c>
      <c r="AC5">
        <v>2039</v>
      </c>
      <c r="AD5">
        <v>2040</v>
      </c>
      <c r="AE5">
        <v>2041</v>
      </c>
      <c r="AF5">
        <v>2042</v>
      </c>
      <c r="AG5">
        <v>2043</v>
      </c>
      <c r="AH5">
        <v>2044</v>
      </c>
      <c r="AI5">
        <v>2045</v>
      </c>
      <c r="AJ5">
        <v>2046</v>
      </c>
      <c r="AK5">
        <v>2047</v>
      </c>
      <c r="AL5">
        <v>2048</v>
      </c>
      <c r="AM5">
        <v>2049</v>
      </c>
      <c r="AN5">
        <v>2050</v>
      </c>
      <c r="AO5">
        <v>2051</v>
      </c>
    </row>
    <row r="6" spans="1:41" x14ac:dyDescent="0.25">
      <c r="B6" t="s">
        <v>125</v>
      </c>
      <c r="D6" t="s">
        <v>126</v>
      </c>
      <c r="J6" t="s">
        <v>34</v>
      </c>
      <c r="K6">
        <v>1</v>
      </c>
      <c r="N6">
        <v>1</v>
      </c>
      <c r="P6">
        <f>M22/1000</f>
        <v>123.75624028758133</v>
      </c>
      <c r="Q6">
        <f t="shared" ref="Q6:AD6" si="0">N22/1000</f>
        <v>152.91552917535802</v>
      </c>
      <c r="R6">
        <f t="shared" si="0"/>
        <v>186.73748815921485</v>
      </c>
      <c r="S6">
        <f t="shared" si="0"/>
        <v>225.54584587663754</v>
      </c>
      <c r="T6">
        <f t="shared" si="0"/>
        <v>270.14184587663755</v>
      </c>
      <c r="U6">
        <f t="shared" si="0"/>
        <v>319.10138047990017</v>
      </c>
      <c r="V6">
        <f t="shared" si="0"/>
        <v>372.39843199087932</v>
      </c>
      <c r="W6">
        <f t="shared" si="0"/>
        <v>430.24441232910868</v>
      </c>
      <c r="X6">
        <f t="shared" si="0"/>
        <v>491.78388087787425</v>
      </c>
      <c r="Y6">
        <f t="shared" si="0"/>
        <v>613.98088087787437</v>
      </c>
      <c r="Z6">
        <f t="shared" si="0"/>
        <v>734.89843145722909</v>
      </c>
      <c r="AA6">
        <f t="shared" si="0"/>
        <v>853.1061704770915</v>
      </c>
      <c r="AB6">
        <f t="shared" si="0"/>
        <v>969.85277933095347</v>
      </c>
      <c r="AC6">
        <f t="shared" si="0"/>
        <v>1102.7030055037753</v>
      </c>
      <c r="AD6">
        <f t="shared" si="0"/>
        <v>1247.9599441043576</v>
      </c>
    </row>
    <row r="7" spans="1:41" x14ac:dyDescent="0.25">
      <c r="B7" t="s">
        <v>127</v>
      </c>
      <c r="D7" t="s">
        <v>128</v>
      </c>
      <c r="J7" t="s">
        <v>34</v>
      </c>
      <c r="K7">
        <v>1</v>
      </c>
      <c r="N7">
        <v>1</v>
      </c>
    </row>
    <row r="8" spans="1:41" x14ac:dyDescent="0.25">
      <c r="B8" t="s">
        <v>129</v>
      </c>
      <c r="D8" t="s">
        <v>130</v>
      </c>
      <c r="J8" t="s">
        <v>34</v>
      </c>
      <c r="K8">
        <v>1</v>
      </c>
      <c r="N8">
        <v>1</v>
      </c>
      <c r="P8">
        <f>M23/1000</f>
        <v>115.25945447616215</v>
      </c>
      <c r="Q8">
        <f t="shared" ref="Q8:AD8" si="1">N23/1000</f>
        <v>146.80932931771784</v>
      </c>
      <c r="R8">
        <f t="shared" si="1"/>
        <v>183.96444466028123</v>
      </c>
      <c r="S8">
        <f t="shared" si="1"/>
        <v>227.78337094489672</v>
      </c>
      <c r="T8">
        <f t="shared" si="1"/>
        <v>279.41037094489673</v>
      </c>
      <c r="U8">
        <f t="shared" si="1"/>
        <v>332.25319836038562</v>
      </c>
      <c r="V8">
        <f t="shared" si="1"/>
        <v>387.03505666471602</v>
      </c>
      <c r="W8">
        <f t="shared" si="1"/>
        <v>443.15232676393106</v>
      </c>
      <c r="X8">
        <f t="shared" si="1"/>
        <v>501.36582754287872</v>
      </c>
      <c r="Y8">
        <f t="shared" si="1"/>
        <v>533.24382754287865</v>
      </c>
      <c r="Z8">
        <f t="shared" si="1"/>
        <v>553.52932832182626</v>
      </c>
      <c r="AA8">
        <f t="shared" si="1"/>
        <v>569.78054423927813</v>
      </c>
      <c r="AB8">
        <f t="shared" si="1"/>
        <v>578.05304909329857</v>
      </c>
      <c r="AC8">
        <f t="shared" si="1"/>
        <v>577.46383565678263</v>
      </c>
      <c r="AD8">
        <f t="shared" si="1"/>
        <v>570.36407433789361</v>
      </c>
    </row>
    <row r="9" spans="1:41" x14ac:dyDescent="0.25">
      <c r="B9" t="s">
        <v>131</v>
      </c>
      <c r="D9" t="s">
        <v>132</v>
      </c>
      <c r="J9" t="s">
        <v>34</v>
      </c>
      <c r="K9">
        <v>1</v>
      </c>
      <c r="N9">
        <v>1</v>
      </c>
      <c r="P9">
        <f>M26/1000</f>
        <v>6.0242857142857149</v>
      </c>
      <c r="Q9">
        <f t="shared" ref="Q9:AD9" si="2">N26/1000</f>
        <v>7.1807142857142852</v>
      </c>
      <c r="R9">
        <f t="shared" si="2"/>
        <v>8.3371428571428563</v>
      </c>
      <c r="S9">
        <f t="shared" si="2"/>
        <v>9.4935714285714301</v>
      </c>
      <c r="T9">
        <f t="shared" si="2"/>
        <v>10.65</v>
      </c>
      <c r="U9">
        <f t="shared" si="2"/>
        <v>12.31</v>
      </c>
      <c r="V9">
        <f t="shared" si="2"/>
        <v>13.97</v>
      </c>
      <c r="W9">
        <f t="shared" si="2"/>
        <v>15.63</v>
      </c>
      <c r="X9">
        <f t="shared" si="2"/>
        <v>17.29</v>
      </c>
      <c r="Y9">
        <f t="shared" si="2"/>
        <v>18.95</v>
      </c>
      <c r="Z9">
        <f t="shared" si="2"/>
        <v>42.754874566279916</v>
      </c>
      <c r="AA9">
        <f t="shared" si="2"/>
        <v>66.559749132559844</v>
      </c>
      <c r="AB9">
        <f t="shared" si="2"/>
        <v>90.364623698839765</v>
      </c>
      <c r="AC9">
        <f t="shared" si="2"/>
        <v>114.16949826511967</v>
      </c>
      <c r="AD9">
        <f t="shared" si="2"/>
        <v>137.97437283139962</v>
      </c>
    </row>
    <row r="10" spans="1:41" x14ac:dyDescent="0.25">
      <c r="B10" t="s">
        <v>133</v>
      </c>
      <c r="D10" t="s">
        <v>134</v>
      </c>
      <c r="J10" t="s">
        <v>34</v>
      </c>
      <c r="K10">
        <v>1</v>
      </c>
      <c r="N10">
        <v>1</v>
      </c>
    </row>
    <row r="11" spans="1:41" x14ac:dyDescent="0.25">
      <c r="B11" t="s">
        <v>135</v>
      </c>
      <c r="D11" t="s">
        <v>136</v>
      </c>
      <c r="J11" t="s">
        <v>34</v>
      </c>
      <c r="K11">
        <v>1</v>
      </c>
      <c r="N11">
        <v>1</v>
      </c>
      <c r="P11">
        <f>0/1000</f>
        <v>0</v>
      </c>
      <c r="Q11">
        <f t="shared" ref="Q11:AD11" si="3">0/1000</f>
        <v>0</v>
      </c>
      <c r="R11">
        <f t="shared" si="3"/>
        <v>0</v>
      </c>
      <c r="S11">
        <f t="shared" si="3"/>
        <v>0</v>
      </c>
      <c r="T11">
        <f t="shared" si="3"/>
        <v>0</v>
      </c>
      <c r="U11">
        <f t="shared" si="3"/>
        <v>0</v>
      </c>
      <c r="V11">
        <f t="shared" si="3"/>
        <v>0</v>
      </c>
      <c r="W11">
        <f t="shared" si="3"/>
        <v>0</v>
      </c>
      <c r="X11">
        <f t="shared" si="3"/>
        <v>0</v>
      </c>
      <c r="Y11">
        <f t="shared" si="3"/>
        <v>0</v>
      </c>
      <c r="Z11">
        <f t="shared" si="3"/>
        <v>0</v>
      </c>
      <c r="AA11">
        <f t="shared" si="3"/>
        <v>0</v>
      </c>
      <c r="AB11">
        <f t="shared" si="3"/>
        <v>0</v>
      </c>
      <c r="AC11">
        <f t="shared" si="3"/>
        <v>0</v>
      </c>
      <c r="AD11">
        <f t="shared" si="3"/>
        <v>0</v>
      </c>
    </row>
    <row r="12" spans="1:41" x14ac:dyDescent="0.25">
      <c r="B12" t="s">
        <v>137</v>
      </c>
      <c r="D12" t="s">
        <v>138</v>
      </c>
      <c r="J12" t="s">
        <v>34</v>
      </c>
      <c r="K12">
        <v>1</v>
      </c>
      <c r="N12">
        <v>1</v>
      </c>
      <c r="P12">
        <f>M24/1000</f>
        <v>0.28199999999999997</v>
      </c>
      <c r="Q12">
        <f t="shared" ref="Q12:AD12" si="4">N24/1000</f>
        <v>0.28199999999999997</v>
      </c>
      <c r="R12">
        <f t="shared" si="4"/>
        <v>0.28199999999999997</v>
      </c>
      <c r="S12">
        <f t="shared" si="4"/>
        <v>0.28199999999999997</v>
      </c>
      <c r="T12">
        <f t="shared" si="4"/>
        <v>0.28199999999999997</v>
      </c>
      <c r="U12">
        <f t="shared" si="4"/>
        <v>0.28199999999999997</v>
      </c>
      <c r="V12">
        <f t="shared" si="4"/>
        <v>0.28199999999999997</v>
      </c>
      <c r="W12">
        <f t="shared" si="4"/>
        <v>0.28199999999999997</v>
      </c>
      <c r="X12">
        <f t="shared" si="4"/>
        <v>0.28199999999999997</v>
      </c>
      <c r="Y12">
        <f t="shared" si="4"/>
        <v>0.28199999999999997</v>
      </c>
      <c r="Z12">
        <f t="shared" si="4"/>
        <v>0.28199999999999997</v>
      </c>
      <c r="AA12">
        <f t="shared" si="4"/>
        <v>0.28199999999999997</v>
      </c>
      <c r="AB12">
        <f t="shared" si="4"/>
        <v>0.28199999999999997</v>
      </c>
      <c r="AC12">
        <f t="shared" si="4"/>
        <v>0.28199999999999997</v>
      </c>
      <c r="AD12">
        <f t="shared" si="4"/>
        <v>0.28199999999999997</v>
      </c>
    </row>
    <row r="13" spans="1:41" x14ac:dyDescent="0.25">
      <c r="B13" t="s">
        <v>139</v>
      </c>
      <c r="D13" t="s">
        <v>140</v>
      </c>
      <c r="J13" t="s">
        <v>34</v>
      </c>
      <c r="K13">
        <v>1</v>
      </c>
      <c r="N13">
        <v>1</v>
      </c>
      <c r="P13">
        <v>0</v>
      </c>
      <c r="Q13">
        <v>0</v>
      </c>
      <c r="R13">
        <v>0</v>
      </c>
      <c r="S13">
        <v>0</v>
      </c>
      <c r="T13">
        <v>0</v>
      </c>
      <c r="U13">
        <v>0</v>
      </c>
      <c r="V13">
        <v>0</v>
      </c>
      <c r="W13">
        <v>0</v>
      </c>
      <c r="X13">
        <v>0</v>
      </c>
      <c r="Y13">
        <v>0</v>
      </c>
      <c r="Z13">
        <v>0</v>
      </c>
      <c r="AA13">
        <v>0</v>
      </c>
      <c r="AB13">
        <v>0</v>
      </c>
      <c r="AC13">
        <v>0</v>
      </c>
      <c r="AD13">
        <v>0</v>
      </c>
    </row>
    <row r="21" spans="2:37" x14ac:dyDescent="0.25">
      <c r="B21" s="57" t="s">
        <v>36</v>
      </c>
      <c r="C21" s="57"/>
      <c r="D21" s="58" t="s">
        <v>37</v>
      </c>
      <c r="E21" s="59">
        <v>2018</v>
      </c>
      <c r="F21" s="59">
        <v>2019</v>
      </c>
      <c r="G21" s="59">
        <v>2020</v>
      </c>
      <c r="H21" s="59">
        <v>2021</v>
      </c>
      <c r="I21" s="59">
        <v>2022</v>
      </c>
      <c r="J21" s="59">
        <v>2023</v>
      </c>
      <c r="K21" s="59">
        <v>2024</v>
      </c>
      <c r="L21" s="60">
        <v>2025</v>
      </c>
      <c r="M21" s="59">
        <v>2026</v>
      </c>
      <c r="N21" s="59">
        <v>2027</v>
      </c>
      <c r="O21" s="59">
        <v>2028</v>
      </c>
      <c r="P21" s="59">
        <v>2029</v>
      </c>
      <c r="Q21" s="60">
        <v>2030</v>
      </c>
      <c r="R21" s="59">
        <v>2031</v>
      </c>
      <c r="S21" s="59">
        <v>2032</v>
      </c>
      <c r="T21" s="59">
        <v>2033</v>
      </c>
      <c r="U21" s="59">
        <v>2034</v>
      </c>
      <c r="V21" s="59">
        <v>2035</v>
      </c>
      <c r="W21" s="59">
        <v>2036</v>
      </c>
      <c r="X21" s="59">
        <v>2037</v>
      </c>
      <c r="Y21" s="59">
        <v>2038</v>
      </c>
      <c r="Z21" s="59">
        <v>2039</v>
      </c>
      <c r="AA21" s="60">
        <v>2040</v>
      </c>
      <c r="AB21" s="59">
        <v>2041</v>
      </c>
      <c r="AC21" s="59">
        <v>2042</v>
      </c>
      <c r="AD21" s="59">
        <v>2043</v>
      </c>
      <c r="AE21" s="59">
        <v>2044</v>
      </c>
      <c r="AF21" s="59">
        <v>2045</v>
      </c>
      <c r="AG21" s="59">
        <v>2046</v>
      </c>
      <c r="AH21" s="59">
        <v>2047</v>
      </c>
      <c r="AI21" s="59">
        <v>2048</v>
      </c>
      <c r="AJ21" s="59">
        <v>2049</v>
      </c>
      <c r="AK21" s="60">
        <v>2050</v>
      </c>
    </row>
    <row r="22" spans="2:37" x14ac:dyDescent="0.25">
      <c r="B22" s="64" t="s">
        <v>38</v>
      </c>
      <c r="C22" s="64"/>
      <c r="D22" s="84" t="s">
        <v>39</v>
      </c>
      <c r="E22" s="62">
        <v>4528</v>
      </c>
      <c r="F22" s="62">
        <v>8473</v>
      </c>
      <c r="G22" s="62">
        <v>12576</v>
      </c>
      <c r="H22" s="62">
        <v>21085</v>
      </c>
      <c r="I22" s="62">
        <v>36002</v>
      </c>
      <c r="J22" s="62">
        <v>57730</v>
      </c>
      <c r="K22" s="62">
        <v>76458.133004706353</v>
      </c>
      <c r="L22" s="62">
        <v>98415.194404124166</v>
      </c>
      <c r="M22" s="62">
        <v>123756.24028758133</v>
      </c>
      <c r="N22" s="62">
        <v>152915.52917535801</v>
      </c>
      <c r="O22" s="62">
        <v>186737.48815921484</v>
      </c>
      <c r="P22" s="62">
        <v>225545.84587663756</v>
      </c>
      <c r="Q22" s="62">
        <v>270141.84587663756</v>
      </c>
      <c r="R22" s="62">
        <v>319101.38047990017</v>
      </c>
      <c r="S22" s="62">
        <v>372398.4319908793</v>
      </c>
      <c r="T22" s="62">
        <v>430244.41232910869</v>
      </c>
      <c r="U22" s="62">
        <v>491783.88087787427</v>
      </c>
      <c r="V22" s="62">
        <v>613980.88087787433</v>
      </c>
      <c r="W22" s="62">
        <v>734898.43145722908</v>
      </c>
      <c r="X22" s="62">
        <v>853106.17047709145</v>
      </c>
      <c r="Y22" s="62">
        <v>969852.77933095349</v>
      </c>
      <c r="Z22" s="62">
        <v>1102703.0055037753</v>
      </c>
      <c r="AA22" s="62">
        <v>1247959.9441043576</v>
      </c>
      <c r="AB22" s="61"/>
      <c r="AC22" s="61"/>
      <c r="AD22" s="61"/>
      <c r="AE22" s="61"/>
      <c r="AF22" s="61"/>
      <c r="AG22" s="61"/>
      <c r="AH22" s="61"/>
      <c r="AI22" s="61"/>
      <c r="AJ22" s="61"/>
      <c r="AK22" s="63"/>
    </row>
    <row r="23" spans="2:37" x14ac:dyDescent="0.25">
      <c r="B23" s="64" t="s">
        <v>40</v>
      </c>
      <c r="C23" s="64"/>
      <c r="D23" s="84" t="s">
        <v>39</v>
      </c>
      <c r="E23" s="62">
        <v>2791</v>
      </c>
      <c r="F23" s="62">
        <v>6306</v>
      </c>
      <c r="G23" s="62">
        <v>12228</v>
      </c>
      <c r="H23" s="62">
        <v>23671</v>
      </c>
      <c r="I23" s="62">
        <v>33157</v>
      </c>
      <c r="J23" s="62">
        <v>46227</v>
      </c>
      <c r="K23" s="62">
        <v>65580.100332647708</v>
      </c>
      <c r="L23" s="62">
        <v>88429.861651536645</v>
      </c>
      <c r="M23" s="62">
        <v>115259.45447616215</v>
      </c>
      <c r="N23" s="62">
        <v>146809.32931771784</v>
      </c>
      <c r="O23" s="62">
        <v>183964.44466028124</v>
      </c>
      <c r="P23" s="62">
        <v>227783.37094489671</v>
      </c>
      <c r="Q23" s="62">
        <v>279410.37094489671</v>
      </c>
      <c r="R23" s="62">
        <v>332253.19836038561</v>
      </c>
      <c r="S23" s="62">
        <v>387035.05666471604</v>
      </c>
      <c r="T23" s="62">
        <v>443152.32676393108</v>
      </c>
      <c r="U23" s="62">
        <v>501365.82754287875</v>
      </c>
      <c r="V23" s="62">
        <v>533243.82754287869</v>
      </c>
      <c r="W23" s="62">
        <v>553529.32832182629</v>
      </c>
      <c r="X23" s="62">
        <v>569780.54423927818</v>
      </c>
      <c r="Y23" s="62">
        <v>578053.04909329861</v>
      </c>
      <c r="Z23" s="62">
        <v>577463.83565678261</v>
      </c>
      <c r="AA23" s="62">
        <v>570364.07433789363</v>
      </c>
      <c r="AB23" s="61"/>
      <c r="AC23" s="61"/>
      <c r="AD23" s="61"/>
      <c r="AE23" s="61"/>
      <c r="AF23" s="61"/>
      <c r="AG23" s="61"/>
      <c r="AH23" s="61"/>
      <c r="AI23" s="61"/>
      <c r="AJ23" s="61"/>
      <c r="AK23" s="63"/>
    </row>
    <row r="24" spans="2:37" x14ac:dyDescent="0.25">
      <c r="B24" s="64" t="s">
        <v>41</v>
      </c>
      <c r="C24" s="64"/>
      <c r="D24" s="84" t="s">
        <v>39</v>
      </c>
      <c r="E24" s="64"/>
      <c r="F24" s="64"/>
      <c r="G24" s="64"/>
      <c r="H24" s="64"/>
      <c r="I24" s="64"/>
      <c r="J24" s="85">
        <v>61</v>
      </c>
      <c r="K24" s="85">
        <v>282</v>
      </c>
      <c r="L24" s="62">
        <v>282</v>
      </c>
      <c r="M24" s="62">
        <v>282</v>
      </c>
      <c r="N24" s="62">
        <v>282</v>
      </c>
      <c r="O24" s="62">
        <v>282</v>
      </c>
      <c r="P24" s="62">
        <v>282</v>
      </c>
      <c r="Q24" s="62">
        <v>282</v>
      </c>
      <c r="R24" s="62">
        <v>282</v>
      </c>
      <c r="S24" s="62">
        <v>282</v>
      </c>
      <c r="T24" s="62">
        <v>282</v>
      </c>
      <c r="U24" s="62">
        <v>282</v>
      </c>
      <c r="V24" s="62">
        <v>282</v>
      </c>
      <c r="W24" s="62">
        <v>282</v>
      </c>
      <c r="X24" s="62">
        <v>282</v>
      </c>
      <c r="Y24" s="62">
        <v>282</v>
      </c>
      <c r="Z24" s="62">
        <v>282</v>
      </c>
      <c r="AA24" s="62">
        <v>282</v>
      </c>
      <c r="AB24" s="61"/>
      <c r="AC24" s="61"/>
      <c r="AD24" s="61"/>
      <c r="AE24" s="61"/>
      <c r="AF24" s="61"/>
      <c r="AG24" s="61"/>
      <c r="AH24" s="61"/>
      <c r="AI24" s="61"/>
      <c r="AJ24" s="61"/>
      <c r="AK24" s="63"/>
    </row>
    <row r="25" spans="2:37" x14ac:dyDescent="0.25">
      <c r="B25" s="64" t="s">
        <v>42</v>
      </c>
      <c r="C25" s="64"/>
      <c r="D25" s="84" t="s">
        <v>39</v>
      </c>
      <c r="E25" s="62">
        <v>10</v>
      </c>
      <c r="F25" s="62">
        <v>57</v>
      </c>
      <c r="G25" s="62">
        <v>103</v>
      </c>
      <c r="H25" s="62">
        <v>208</v>
      </c>
      <c r="I25" s="62">
        <v>379</v>
      </c>
      <c r="J25" s="62">
        <v>675</v>
      </c>
      <c r="K25" s="62">
        <v>937.5</v>
      </c>
      <c r="L25" s="62">
        <v>1200</v>
      </c>
      <c r="M25" s="62">
        <v>1860</v>
      </c>
      <c r="N25" s="62">
        <v>2520</v>
      </c>
      <c r="O25" s="62">
        <v>3180</v>
      </c>
      <c r="P25" s="62">
        <v>3840</v>
      </c>
      <c r="Q25" s="62">
        <v>4500</v>
      </c>
      <c r="R25" s="62">
        <v>6000</v>
      </c>
      <c r="S25" s="62">
        <v>7500</v>
      </c>
      <c r="T25" s="62">
        <v>9000</v>
      </c>
      <c r="U25" s="62">
        <v>10500</v>
      </c>
      <c r="V25" s="62">
        <v>12000</v>
      </c>
      <c r="W25" s="62">
        <v>11200</v>
      </c>
      <c r="X25" s="62">
        <v>10400</v>
      </c>
      <c r="Y25" s="62">
        <v>9600</v>
      </c>
      <c r="Z25" s="62">
        <v>8800</v>
      </c>
      <c r="AA25" s="62">
        <v>8000</v>
      </c>
      <c r="AB25" s="61"/>
      <c r="AC25" s="61"/>
      <c r="AD25" s="61"/>
      <c r="AE25" s="61"/>
      <c r="AF25" s="61"/>
      <c r="AG25" s="61"/>
      <c r="AH25" s="61"/>
      <c r="AI25" s="61"/>
      <c r="AJ25" s="61"/>
      <c r="AK25" s="63"/>
    </row>
    <row r="26" spans="2:37" x14ac:dyDescent="0.25">
      <c r="B26" s="64" t="s">
        <v>43</v>
      </c>
      <c r="C26" s="64"/>
      <c r="D26" s="84" t="s">
        <v>39</v>
      </c>
      <c r="E26" s="86">
        <v>167</v>
      </c>
      <c r="F26" s="86">
        <v>454</v>
      </c>
      <c r="G26" s="86">
        <v>878</v>
      </c>
      <c r="H26" s="86">
        <v>1770</v>
      </c>
      <c r="I26" s="86">
        <v>2135</v>
      </c>
      <c r="J26" s="86">
        <v>2856</v>
      </c>
      <c r="K26" s="86">
        <v>3861.9285714285716</v>
      </c>
      <c r="L26" s="86">
        <v>4867.8571428571431</v>
      </c>
      <c r="M26" s="86">
        <v>6024.2857142857147</v>
      </c>
      <c r="N26" s="86">
        <v>7180.7142857142853</v>
      </c>
      <c r="O26" s="86">
        <v>8337.1428571428569</v>
      </c>
      <c r="P26" s="86">
        <v>9493.5714285714294</v>
      </c>
      <c r="Q26" s="86">
        <v>10650</v>
      </c>
      <c r="R26" s="86">
        <v>12310</v>
      </c>
      <c r="S26" s="86">
        <v>13970</v>
      </c>
      <c r="T26" s="86">
        <v>15630</v>
      </c>
      <c r="U26" s="86">
        <v>17290</v>
      </c>
      <c r="V26" s="86">
        <v>18950</v>
      </c>
      <c r="W26" s="86">
        <v>42754.874566279919</v>
      </c>
      <c r="X26" s="86">
        <v>66559.749132559838</v>
      </c>
      <c r="Y26" s="86">
        <v>90364.623698839758</v>
      </c>
      <c r="Z26" s="86">
        <v>114169.49826511968</v>
      </c>
      <c r="AA26" s="86">
        <v>137974.37283139961</v>
      </c>
      <c r="AB26" s="61"/>
      <c r="AC26" s="61"/>
      <c r="AD26" s="61"/>
      <c r="AE26" s="61"/>
      <c r="AF26" s="61"/>
      <c r="AG26" s="61"/>
      <c r="AH26" s="61"/>
      <c r="AI26" s="61"/>
      <c r="AJ26" s="61"/>
      <c r="AK26" s="63"/>
    </row>
    <row r="27" spans="2:37" x14ac:dyDescent="0.25">
      <c r="B27" s="87" t="s">
        <v>44</v>
      </c>
      <c r="C27" s="88"/>
      <c r="D27" s="89" t="s">
        <v>39</v>
      </c>
      <c r="E27" s="62">
        <v>167</v>
      </c>
      <c r="F27" s="62">
        <v>454</v>
      </c>
      <c r="G27" s="62">
        <v>878</v>
      </c>
      <c r="H27" s="62">
        <v>1770</v>
      </c>
      <c r="I27" s="62">
        <v>2135</v>
      </c>
      <c r="J27" s="62">
        <v>2821</v>
      </c>
      <c r="K27" s="62">
        <v>3810.5</v>
      </c>
      <c r="L27" s="62">
        <v>4800</v>
      </c>
      <c r="M27" s="62">
        <v>5940</v>
      </c>
      <c r="N27" s="62">
        <v>7080</v>
      </c>
      <c r="O27" s="62">
        <v>8220</v>
      </c>
      <c r="P27" s="62">
        <v>9360</v>
      </c>
      <c r="Q27" s="62">
        <v>10500</v>
      </c>
      <c r="R27" s="62">
        <v>12000</v>
      </c>
      <c r="S27" s="62">
        <v>13500</v>
      </c>
      <c r="T27" s="62">
        <v>15000</v>
      </c>
      <c r="U27" s="62">
        <v>16500</v>
      </c>
      <c r="V27" s="62">
        <v>18000</v>
      </c>
      <c r="W27" s="62">
        <v>41644.874566279919</v>
      </c>
      <c r="X27" s="62">
        <v>65289.749132559838</v>
      </c>
      <c r="Y27" s="62">
        <v>88934.623698839758</v>
      </c>
      <c r="Z27" s="62">
        <v>112579.49826511968</v>
      </c>
      <c r="AA27" s="62">
        <v>136224.37283139961</v>
      </c>
      <c r="AB27" s="65"/>
      <c r="AC27" s="65"/>
      <c r="AD27" s="65"/>
      <c r="AE27" s="65"/>
      <c r="AF27" s="65"/>
      <c r="AG27" s="65"/>
      <c r="AH27" s="65"/>
      <c r="AI27" s="65"/>
      <c r="AJ27" s="65"/>
      <c r="AK27" s="66"/>
    </row>
    <row r="28" spans="2:37" x14ac:dyDescent="0.25">
      <c r="B28" s="90" t="s">
        <v>45</v>
      </c>
      <c r="C28" s="91"/>
      <c r="D28" s="92" t="s">
        <v>39</v>
      </c>
      <c r="E28" s="62">
        <v>0</v>
      </c>
      <c r="F28" s="62">
        <v>0</v>
      </c>
      <c r="G28" s="62">
        <v>0</v>
      </c>
      <c r="H28" s="62">
        <v>0</v>
      </c>
      <c r="I28" s="62">
        <v>0</v>
      </c>
      <c r="J28" s="62">
        <v>35</v>
      </c>
      <c r="K28" s="62">
        <v>51.428571428571431</v>
      </c>
      <c r="L28" s="62">
        <v>67.857142857142861</v>
      </c>
      <c r="M28" s="62">
        <v>84.285714285714292</v>
      </c>
      <c r="N28" s="62">
        <v>100.71428571428572</v>
      </c>
      <c r="O28" s="62">
        <v>117.14285714285715</v>
      </c>
      <c r="P28" s="62">
        <v>133.57142857142858</v>
      </c>
      <c r="Q28" s="62">
        <v>150</v>
      </c>
      <c r="R28" s="62">
        <v>310</v>
      </c>
      <c r="S28" s="62">
        <v>470</v>
      </c>
      <c r="T28" s="62">
        <v>630</v>
      </c>
      <c r="U28" s="62">
        <v>790</v>
      </c>
      <c r="V28" s="62">
        <v>950</v>
      </c>
      <c r="W28" s="62">
        <v>1110</v>
      </c>
      <c r="X28" s="62">
        <v>1270</v>
      </c>
      <c r="Y28" s="62">
        <v>1430</v>
      </c>
      <c r="Z28" s="62">
        <v>1590</v>
      </c>
      <c r="AA28" s="62">
        <v>1750</v>
      </c>
      <c r="AB28" s="67"/>
      <c r="AC28" s="67"/>
      <c r="AD28" s="67"/>
      <c r="AE28" s="67"/>
      <c r="AF28" s="67"/>
      <c r="AG28" s="67"/>
      <c r="AH28" s="67"/>
      <c r="AI28" s="67"/>
      <c r="AJ28" s="67"/>
      <c r="AK28" s="68"/>
    </row>
    <row r="29" spans="2:37" x14ac:dyDescent="0.25">
      <c r="B29" s="64" t="s">
        <v>46</v>
      </c>
      <c r="C29" s="64"/>
      <c r="D29" s="84" t="s">
        <v>47</v>
      </c>
      <c r="E29" s="64"/>
      <c r="F29" s="64"/>
      <c r="G29" s="64"/>
      <c r="H29" s="64"/>
      <c r="I29" s="64"/>
      <c r="J29" s="64"/>
      <c r="K29" s="62">
        <v>4740.55</v>
      </c>
      <c r="L29" s="62">
        <v>4959.90625</v>
      </c>
      <c r="M29" s="62">
        <v>5224.25</v>
      </c>
      <c r="N29" s="62">
        <v>5507.75</v>
      </c>
      <c r="O29" s="62">
        <v>5914.375</v>
      </c>
      <c r="P29" s="62">
        <v>6252.5</v>
      </c>
      <c r="Q29" s="62">
        <v>6655</v>
      </c>
      <c r="R29" s="62">
        <v>6917.5</v>
      </c>
      <c r="S29" s="62">
        <v>7105</v>
      </c>
      <c r="T29" s="62">
        <v>7230</v>
      </c>
      <c r="U29" s="62">
        <v>7430</v>
      </c>
      <c r="V29" s="62">
        <v>7630</v>
      </c>
      <c r="W29" s="62">
        <v>7830</v>
      </c>
      <c r="X29" s="62">
        <v>8030</v>
      </c>
      <c r="Y29" s="62">
        <v>8230</v>
      </c>
      <c r="Z29" s="62">
        <v>8430</v>
      </c>
      <c r="AA29" s="62">
        <v>8630</v>
      </c>
      <c r="AB29" s="61"/>
      <c r="AC29" s="61"/>
      <c r="AD29" s="61"/>
      <c r="AE29" s="61"/>
      <c r="AF29" s="61"/>
      <c r="AG29" s="61"/>
      <c r="AH29" s="61"/>
      <c r="AI29" s="61"/>
      <c r="AJ29" s="61"/>
      <c r="AK29" s="63"/>
    </row>
    <row r="30" spans="2:37" x14ac:dyDescent="0.25">
      <c r="B30" s="64" t="s">
        <v>48</v>
      </c>
      <c r="C30" s="64"/>
      <c r="D30" s="84" t="s">
        <v>47</v>
      </c>
      <c r="E30" s="64"/>
      <c r="F30" s="64"/>
      <c r="G30" s="64"/>
      <c r="H30" s="64"/>
      <c r="I30" s="64"/>
      <c r="J30" s="64"/>
      <c r="K30" s="62">
        <v>25</v>
      </c>
      <c r="L30" s="62">
        <v>25</v>
      </c>
      <c r="M30" s="62">
        <v>25</v>
      </c>
      <c r="N30" s="62">
        <v>25</v>
      </c>
      <c r="O30" s="62">
        <v>25</v>
      </c>
      <c r="P30" s="62">
        <v>25</v>
      </c>
      <c r="Q30" s="62">
        <v>357.25</v>
      </c>
      <c r="R30" s="62">
        <v>1354</v>
      </c>
      <c r="S30" s="62">
        <v>1952</v>
      </c>
      <c r="T30" s="62">
        <v>2516</v>
      </c>
      <c r="U30" s="62">
        <v>3118</v>
      </c>
      <c r="V30" s="62">
        <v>3915.5</v>
      </c>
      <c r="W30" s="62">
        <v>4481</v>
      </c>
      <c r="X30" s="62">
        <v>4831</v>
      </c>
      <c r="Y30" s="62">
        <v>5181</v>
      </c>
      <c r="Z30" s="62">
        <v>5531</v>
      </c>
      <c r="AA30" s="62">
        <v>5881</v>
      </c>
      <c r="AB30" s="61"/>
      <c r="AC30" s="61"/>
      <c r="AD30" s="61"/>
      <c r="AE30" s="61"/>
      <c r="AF30" s="61"/>
      <c r="AG30" s="61"/>
      <c r="AH30" s="61"/>
      <c r="AI30" s="61"/>
      <c r="AJ30" s="61"/>
      <c r="AK30" s="63"/>
    </row>
    <row r="31" spans="2:37" x14ac:dyDescent="0.25">
      <c r="B31" s="64" t="s">
        <v>49</v>
      </c>
      <c r="C31" s="64"/>
      <c r="D31" s="84" t="s">
        <v>47</v>
      </c>
      <c r="E31" s="64"/>
      <c r="F31" s="64"/>
      <c r="G31" s="64"/>
      <c r="H31" s="64"/>
      <c r="I31" s="64"/>
      <c r="J31" s="64"/>
      <c r="K31" s="62">
        <v>914.93749999999989</v>
      </c>
      <c r="L31" s="62">
        <v>1547.25</v>
      </c>
      <c r="M31" s="62">
        <v>2290.875</v>
      </c>
      <c r="N31" s="62">
        <v>2906.5</v>
      </c>
      <c r="O31" s="62">
        <v>3744.625</v>
      </c>
      <c r="P31" s="62">
        <v>4373.375</v>
      </c>
      <c r="Q31" s="62">
        <v>5177.5</v>
      </c>
      <c r="R31" s="62">
        <v>5806.5</v>
      </c>
      <c r="S31" s="62">
        <v>6177.5</v>
      </c>
      <c r="T31" s="62">
        <v>6593.75</v>
      </c>
      <c r="U31" s="62">
        <v>6825</v>
      </c>
      <c r="V31" s="62">
        <v>7025</v>
      </c>
      <c r="W31" s="62">
        <v>7225</v>
      </c>
      <c r="X31" s="62">
        <v>7425</v>
      </c>
      <c r="Y31" s="62">
        <v>7625</v>
      </c>
      <c r="Z31" s="62">
        <v>7825</v>
      </c>
      <c r="AA31" s="62">
        <v>8025</v>
      </c>
      <c r="AB31" s="61"/>
      <c r="AC31" s="61"/>
      <c r="AD31" s="61"/>
      <c r="AE31" s="61"/>
      <c r="AF31" s="61"/>
      <c r="AG31" s="61"/>
      <c r="AH31" s="61"/>
      <c r="AI31" s="61"/>
      <c r="AJ31" s="61"/>
      <c r="AK31" s="63"/>
    </row>
    <row r="32" spans="2:37" x14ac:dyDescent="0.25">
      <c r="B32" s="64" t="s">
        <v>50</v>
      </c>
      <c r="C32" s="64"/>
      <c r="D32" s="84" t="s">
        <v>51</v>
      </c>
      <c r="E32" s="64"/>
      <c r="F32" s="64"/>
      <c r="G32" s="64"/>
      <c r="H32" s="64"/>
      <c r="I32" s="64"/>
      <c r="J32" s="64"/>
      <c r="K32" s="64"/>
      <c r="L32" s="62">
        <v>10</v>
      </c>
      <c r="M32" s="69">
        <v>10</v>
      </c>
      <c r="N32" s="69">
        <v>10</v>
      </c>
      <c r="O32" s="69">
        <v>10</v>
      </c>
      <c r="P32" s="69">
        <v>10</v>
      </c>
      <c r="Q32" s="62">
        <v>10</v>
      </c>
      <c r="R32" s="69">
        <v>10</v>
      </c>
      <c r="S32" s="69">
        <v>10</v>
      </c>
      <c r="T32" s="69">
        <v>10</v>
      </c>
      <c r="U32" s="69">
        <v>10</v>
      </c>
      <c r="V32" s="69">
        <v>10</v>
      </c>
      <c r="W32" s="69">
        <v>10</v>
      </c>
      <c r="X32" s="69">
        <v>10</v>
      </c>
      <c r="Y32" s="69">
        <v>10</v>
      </c>
      <c r="Z32" s="69">
        <v>10</v>
      </c>
      <c r="AA32" s="69">
        <v>10</v>
      </c>
      <c r="AB32" s="61"/>
      <c r="AC32" s="61"/>
      <c r="AD32" s="61"/>
      <c r="AE32" s="61"/>
      <c r="AF32" s="61"/>
      <c r="AG32" s="61"/>
      <c r="AH32" s="61"/>
      <c r="AI32" s="61"/>
      <c r="AJ32" s="61"/>
      <c r="AK32" s="63"/>
    </row>
    <row r="33" spans="2:37" x14ac:dyDescent="0.25">
      <c r="B33" s="64" t="s">
        <v>52</v>
      </c>
      <c r="C33" s="64"/>
      <c r="D33" s="84" t="s">
        <v>51</v>
      </c>
      <c r="E33" s="64"/>
      <c r="F33" s="64"/>
      <c r="G33" s="64"/>
      <c r="H33" s="64"/>
      <c r="I33" s="64"/>
      <c r="J33" s="64"/>
      <c r="K33" s="64"/>
      <c r="L33" s="62">
        <v>12</v>
      </c>
      <c r="M33" s="69">
        <v>13.6</v>
      </c>
      <c r="N33" s="69">
        <v>15.2</v>
      </c>
      <c r="O33" s="69">
        <v>16.8</v>
      </c>
      <c r="P33" s="69">
        <v>18.400000000000002</v>
      </c>
      <c r="Q33" s="62">
        <v>20</v>
      </c>
      <c r="R33" s="69">
        <v>20</v>
      </c>
      <c r="S33" s="69">
        <v>20</v>
      </c>
      <c r="T33" s="69">
        <v>20</v>
      </c>
      <c r="U33" s="69">
        <v>20</v>
      </c>
      <c r="V33" s="69">
        <v>20</v>
      </c>
      <c r="W33" s="69">
        <v>20</v>
      </c>
      <c r="X33" s="69">
        <v>20</v>
      </c>
      <c r="Y33" s="69">
        <v>20</v>
      </c>
      <c r="Z33" s="69">
        <v>20</v>
      </c>
      <c r="AA33" s="69">
        <v>20</v>
      </c>
      <c r="AB33" s="61"/>
      <c r="AC33" s="61"/>
      <c r="AD33" s="61"/>
      <c r="AE33" s="61"/>
      <c r="AF33" s="61"/>
      <c r="AG33" s="61"/>
      <c r="AH33" s="61"/>
      <c r="AI33" s="61"/>
      <c r="AJ33" s="61"/>
      <c r="AK33" s="63"/>
    </row>
    <row r="34" spans="2:37" x14ac:dyDescent="0.25">
      <c r="B34" s="64" t="s">
        <v>53</v>
      </c>
      <c r="C34" s="64"/>
      <c r="D34" s="84" t="s">
        <v>54</v>
      </c>
      <c r="E34" s="64"/>
      <c r="F34" s="64"/>
      <c r="G34" s="64"/>
      <c r="H34" s="64"/>
      <c r="I34" s="64"/>
      <c r="J34" s="64"/>
      <c r="K34" s="64"/>
      <c r="L34" s="93">
        <v>0.16666666666666666</v>
      </c>
      <c r="M34" s="93">
        <v>0.33333333333333331</v>
      </c>
      <c r="N34" s="93">
        <v>0.5</v>
      </c>
      <c r="O34" s="93">
        <v>0.66666666666666663</v>
      </c>
      <c r="P34" s="93">
        <v>0.83333333333333326</v>
      </c>
      <c r="Q34" s="93">
        <v>1</v>
      </c>
      <c r="R34" s="93">
        <v>1.1666666666666667</v>
      </c>
      <c r="S34" s="93">
        <v>1.3333333333333335</v>
      </c>
      <c r="T34" s="93">
        <v>1.5000000000000002</v>
      </c>
      <c r="U34" s="93">
        <v>1.666666666666667</v>
      </c>
      <c r="V34" s="93">
        <v>1.8333333333333337</v>
      </c>
      <c r="W34" s="93">
        <v>2.0000000000000004</v>
      </c>
      <c r="X34" s="93">
        <v>2.166666666666667</v>
      </c>
      <c r="Y34" s="93">
        <v>2.3333333333333335</v>
      </c>
      <c r="Z34" s="93">
        <v>2.5</v>
      </c>
      <c r="AA34" s="93">
        <v>2.6666666666666665</v>
      </c>
      <c r="AB34" s="61"/>
      <c r="AC34" s="61"/>
      <c r="AD34" s="61"/>
      <c r="AE34" s="61"/>
      <c r="AF34" s="61"/>
      <c r="AG34" s="61"/>
      <c r="AH34" s="61"/>
      <c r="AI34" s="61"/>
      <c r="AJ34" s="61"/>
      <c r="AK34" s="63"/>
    </row>
    <row r="35" spans="2:37" x14ac:dyDescent="0.25">
      <c r="B35" s="64" t="s">
        <v>55</v>
      </c>
      <c r="C35" s="64" t="s">
        <v>56</v>
      </c>
      <c r="D35" s="84" t="s">
        <v>57</v>
      </c>
      <c r="E35" s="64"/>
      <c r="F35" s="64"/>
      <c r="G35" s="64"/>
      <c r="H35" s="64"/>
      <c r="I35" s="64"/>
      <c r="J35" s="64"/>
      <c r="K35" s="86">
        <v>30290</v>
      </c>
      <c r="L35" s="62">
        <v>9784</v>
      </c>
      <c r="M35" s="70">
        <v>17033.2</v>
      </c>
      <c r="N35" s="70">
        <v>24282.400000000001</v>
      </c>
      <c r="O35" s="70">
        <v>31531.600000000002</v>
      </c>
      <c r="P35" s="70">
        <v>38780.800000000003</v>
      </c>
      <c r="Q35" s="62">
        <v>46030</v>
      </c>
      <c r="R35" s="70">
        <v>51282.3</v>
      </c>
      <c r="S35" s="70">
        <v>56534.600000000006</v>
      </c>
      <c r="T35" s="70">
        <v>61786.900000000009</v>
      </c>
      <c r="U35" s="70">
        <v>67039.200000000012</v>
      </c>
      <c r="V35" s="70">
        <v>72291.500000000015</v>
      </c>
      <c r="W35" s="70">
        <v>77543.800000000017</v>
      </c>
      <c r="X35" s="70">
        <v>82796.10000000002</v>
      </c>
      <c r="Y35" s="70">
        <v>88048.400000000023</v>
      </c>
      <c r="Z35" s="70">
        <v>93300.700000000026</v>
      </c>
      <c r="AA35" s="62">
        <v>98553</v>
      </c>
      <c r="AB35" s="61"/>
      <c r="AC35" s="61"/>
      <c r="AD35" s="61"/>
      <c r="AE35" s="61"/>
      <c r="AF35" s="61"/>
      <c r="AG35" s="61"/>
      <c r="AH35" s="61"/>
      <c r="AI35" s="61"/>
      <c r="AJ35" s="61"/>
      <c r="AK35" s="63"/>
    </row>
    <row r="36" spans="2:37" x14ac:dyDescent="0.25">
      <c r="B36" s="64" t="s">
        <v>58</v>
      </c>
      <c r="C36" s="64" t="s">
        <v>59</v>
      </c>
      <c r="D36" s="84" t="s">
        <v>60</v>
      </c>
      <c r="E36" s="64"/>
      <c r="F36" s="64"/>
      <c r="G36" s="64"/>
      <c r="H36" s="64"/>
      <c r="I36" s="64"/>
      <c r="J36" s="64"/>
      <c r="K36" s="62">
        <v>22594</v>
      </c>
      <c r="L36" s="62">
        <v>30753.640104178994</v>
      </c>
      <c r="M36" s="62">
        <v>38787.089185870005</v>
      </c>
      <c r="N36" s="62">
        <v>47979.990681859999</v>
      </c>
      <c r="O36" s="62">
        <v>58453.896772416992</v>
      </c>
      <c r="P36" s="62">
        <v>69469.589697084986</v>
      </c>
      <c r="Q36" s="62">
        <v>81294.661195221983</v>
      </c>
      <c r="R36" s="62">
        <v>87694.270859714001</v>
      </c>
      <c r="S36" s="62">
        <v>94079.009236094993</v>
      </c>
      <c r="T36" s="62">
        <v>100528.592055809</v>
      </c>
      <c r="U36" s="62">
        <v>106924.69278941599</v>
      </c>
      <c r="V36" s="62">
        <v>113142.96160799799</v>
      </c>
      <c r="W36" s="62">
        <v>119285.197212352</v>
      </c>
      <c r="X36" s="62">
        <v>125231.603459933</v>
      </c>
      <c r="Y36" s="62">
        <v>131189.03544901701</v>
      </c>
      <c r="Z36" s="62">
        <v>135402.15358821102</v>
      </c>
      <c r="AA36" s="62">
        <v>138265.558034327</v>
      </c>
      <c r="AB36" s="61"/>
      <c r="AC36" s="61"/>
      <c r="AD36" s="61"/>
      <c r="AE36" s="61"/>
      <c r="AF36" s="61"/>
      <c r="AG36" s="61"/>
      <c r="AH36" s="61"/>
      <c r="AI36" s="61"/>
      <c r="AJ36" s="61"/>
      <c r="AK36" s="63"/>
    </row>
    <row r="37" spans="2:37" x14ac:dyDescent="0.25">
      <c r="B37" s="64" t="s">
        <v>61</v>
      </c>
      <c r="C37" s="64"/>
      <c r="D37" s="84" t="s">
        <v>54</v>
      </c>
      <c r="E37" s="64"/>
      <c r="F37" s="64"/>
      <c r="G37" s="64"/>
      <c r="H37" s="64"/>
      <c r="I37" s="71">
        <v>8.9999999999999998E-4</v>
      </c>
      <c r="J37" s="71">
        <v>8.9999999999999998E-4</v>
      </c>
      <c r="K37" s="71">
        <v>1.4000000000000002E-3</v>
      </c>
      <c r="L37" s="71">
        <v>1.4000000000000002E-3</v>
      </c>
      <c r="M37" s="71">
        <v>1.4000000000000002E-3</v>
      </c>
      <c r="N37" s="71">
        <v>1.4000000000000002E-3</v>
      </c>
      <c r="O37" s="71">
        <v>5.8473333333333346E-3</v>
      </c>
      <c r="P37" s="71">
        <v>1.0294666666666667E-2</v>
      </c>
      <c r="Q37" s="71">
        <v>1.4742000000000003E-2</v>
      </c>
      <c r="R37" s="71">
        <v>1.9491700000000004E-2</v>
      </c>
      <c r="S37" s="71">
        <v>2.4241400000000007E-2</v>
      </c>
      <c r="T37" s="71">
        <v>2.8991100000000006E-2</v>
      </c>
      <c r="U37" s="71">
        <v>3.3740800000000008E-2</v>
      </c>
      <c r="V37" s="71">
        <v>3.8490500000000011E-2</v>
      </c>
      <c r="W37" s="71">
        <v>4.3240200000000013E-2</v>
      </c>
      <c r="X37" s="71">
        <v>4.7989900000000016E-2</v>
      </c>
      <c r="Y37" s="71">
        <v>5.2739600000000011E-2</v>
      </c>
      <c r="Z37" s="71">
        <v>5.7489300000000007E-2</v>
      </c>
      <c r="AA37" s="71">
        <v>6.2239000000000003E-2</v>
      </c>
      <c r="AB37" s="61"/>
      <c r="AC37" s="61"/>
      <c r="AD37" s="61"/>
      <c r="AE37" s="61"/>
      <c r="AF37" s="61"/>
      <c r="AG37" s="61"/>
      <c r="AH37" s="61"/>
      <c r="AI37" s="61"/>
      <c r="AJ37" s="61"/>
      <c r="AK37" s="63"/>
    </row>
    <row r="38" spans="2:37" x14ac:dyDescent="0.25">
      <c r="B38" s="64" t="s">
        <v>62</v>
      </c>
      <c r="C38" s="64" t="s">
        <v>63</v>
      </c>
      <c r="D38" s="84" t="s">
        <v>54</v>
      </c>
      <c r="E38" s="64"/>
      <c r="F38" s="64"/>
      <c r="G38" s="64"/>
      <c r="H38" s="64"/>
      <c r="I38" s="71">
        <v>3.5999999999999995E-3</v>
      </c>
      <c r="J38" s="71">
        <v>3.5999999999999995E-3</v>
      </c>
      <c r="K38" s="71">
        <v>5.5999999999999999E-3</v>
      </c>
      <c r="L38" s="71">
        <v>5.5999999999999999E-3</v>
      </c>
      <c r="M38" s="71">
        <v>5.5999999999999999E-3</v>
      </c>
      <c r="N38" s="71">
        <v>5.5999999999999999E-3</v>
      </c>
      <c r="O38" s="71">
        <v>2.3389333333333331E-2</v>
      </c>
      <c r="P38" s="71">
        <v>4.1178666666666669E-2</v>
      </c>
      <c r="Q38" s="71">
        <v>5.8968000000000007E-2</v>
      </c>
      <c r="R38" s="71">
        <v>7.7966800000000003E-2</v>
      </c>
      <c r="S38" s="71">
        <v>9.6965600000000027E-2</v>
      </c>
      <c r="T38" s="71">
        <v>0.11596440000000001</v>
      </c>
      <c r="U38" s="71">
        <v>0.13496320000000003</v>
      </c>
      <c r="V38" s="71">
        <v>0.15396200000000004</v>
      </c>
      <c r="W38" s="71">
        <v>0.17296080000000003</v>
      </c>
      <c r="X38" s="71">
        <v>0.19195960000000004</v>
      </c>
      <c r="Y38" s="71">
        <v>0.21095840000000005</v>
      </c>
      <c r="Z38" s="71">
        <v>0.2299572</v>
      </c>
      <c r="AA38" s="71">
        <v>0.24895599999999998</v>
      </c>
      <c r="AB38" s="61"/>
      <c r="AC38" s="61"/>
      <c r="AD38" s="61"/>
      <c r="AE38" s="61"/>
      <c r="AF38" s="61"/>
      <c r="AG38" s="61"/>
      <c r="AH38" s="61"/>
      <c r="AI38" s="61"/>
      <c r="AJ38" s="61"/>
      <c r="AK38" s="63"/>
    </row>
  </sheetData>
  <conditionalFormatting sqref="Q6:AO6 P6:P13 Q7:AN13">
    <cfRule type="cellIs" dxfId="2" priority="1" operator="between">
      <formula>0.000000000001</formula>
      <formula>0.001</formula>
    </cfRule>
  </conditionalFormatting>
  <pageMargins left="0.7" right="0.7" top="0.75" bottom="0.75" header="0.3" footer="0.3"/>
  <pageSetup orientation="portrait" verticalDpi="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7BC21-3735-4FDE-92FF-B1751B6A70BE}">
  <dimension ref="A1:AO85"/>
  <sheetViews>
    <sheetView topLeftCell="A54" workbookViewId="0">
      <selection activeCell="N63" sqref="N63"/>
    </sheetView>
  </sheetViews>
  <sheetFormatPr defaultColWidth="9.28515625" defaultRowHeight="15" x14ac:dyDescent="0.25"/>
  <cols>
    <col min="1" max="16384" width="9.28515625" style="1"/>
  </cols>
  <sheetData>
    <row r="1" spans="1:35" ht="18.75" customHeight="1" x14ac:dyDescent="0.25">
      <c r="A1" s="27" t="s">
        <v>70</v>
      </c>
      <c r="B1" s="1" t="s">
        <v>71</v>
      </c>
      <c r="C1" s="27" t="s">
        <v>72</v>
      </c>
    </row>
    <row r="2" spans="1:35" ht="18.75" customHeight="1" x14ac:dyDescent="0.25">
      <c r="A2" s="27" t="s">
        <v>73</v>
      </c>
      <c r="B2" s="27" t="s">
        <v>74</v>
      </c>
      <c r="C2" s="3">
        <v>2019</v>
      </c>
      <c r="D2" s="3">
        <v>2020</v>
      </c>
      <c r="E2" s="3">
        <v>2021</v>
      </c>
      <c r="F2" s="3">
        <v>2022</v>
      </c>
      <c r="G2" s="3">
        <v>2023</v>
      </c>
      <c r="H2" s="3">
        <v>2024</v>
      </c>
      <c r="I2" s="3">
        <v>2025</v>
      </c>
      <c r="J2" s="3">
        <v>2026</v>
      </c>
      <c r="K2" s="3">
        <v>2027</v>
      </c>
      <c r="L2" s="3">
        <v>2028</v>
      </c>
      <c r="M2" s="3">
        <v>2029</v>
      </c>
      <c r="N2" s="3">
        <v>2030</v>
      </c>
      <c r="O2" s="3">
        <v>2031</v>
      </c>
      <c r="P2" s="3">
        <v>2032</v>
      </c>
      <c r="Q2" s="3">
        <v>2033</v>
      </c>
      <c r="R2" s="3">
        <v>2034</v>
      </c>
      <c r="S2" s="3">
        <v>2035</v>
      </c>
      <c r="T2" s="3">
        <v>2036</v>
      </c>
      <c r="U2" s="3">
        <v>2037</v>
      </c>
      <c r="V2" s="3">
        <v>2038</v>
      </c>
      <c r="W2" s="3">
        <v>2039</v>
      </c>
      <c r="X2" s="3">
        <v>2040</v>
      </c>
      <c r="Y2" s="3">
        <v>2041</v>
      </c>
      <c r="Z2" s="3">
        <v>2042</v>
      </c>
      <c r="AA2" s="3">
        <v>2043</v>
      </c>
      <c r="AB2" s="3">
        <v>2044</v>
      </c>
      <c r="AC2" s="3">
        <v>2045</v>
      </c>
      <c r="AD2" s="3">
        <v>2046</v>
      </c>
      <c r="AE2" s="3">
        <v>2047</v>
      </c>
      <c r="AF2" s="3">
        <v>2048</v>
      </c>
      <c r="AG2" s="3">
        <v>2049</v>
      </c>
      <c r="AH2" s="3">
        <v>2050</v>
      </c>
      <c r="AI2" s="3">
        <v>2051</v>
      </c>
    </row>
    <row r="3" spans="1:35" ht="18.75" customHeight="1" x14ac:dyDescent="0.25">
      <c r="A3" s="6" t="s">
        <v>75</v>
      </c>
      <c r="B3" s="6" t="s">
        <v>76</v>
      </c>
      <c r="C3" s="28"/>
      <c r="D3" s="28"/>
      <c r="E3" s="28"/>
      <c r="F3" s="28"/>
      <c r="G3" s="28"/>
      <c r="H3" s="28"/>
      <c r="I3" s="28"/>
      <c r="J3" s="28"/>
      <c r="K3" s="28"/>
      <c r="L3" s="28"/>
      <c r="M3" s="28"/>
      <c r="N3" s="29"/>
      <c r="O3" s="28"/>
      <c r="P3" s="28"/>
      <c r="Q3" s="28"/>
      <c r="R3" s="28"/>
      <c r="S3" s="28"/>
      <c r="T3" s="28"/>
      <c r="U3" s="28"/>
      <c r="V3" s="28"/>
      <c r="W3" s="28"/>
      <c r="X3" s="28"/>
      <c r="Y3" s="28"/>
      <c r="Z3" s="28"/>
      <c r="AA3" s="28"/>
      <c r="AB3" s="28"/>
      <c r="AC3" s="28"/>
      <c r="AD3" s="28"/>
      <c r="AE3" s="28"/>
      <c r="AF3" s="28"/>
      <c r="AG3" s="28"/>
      <c r="AH3" s="28"/>
      <c r="AI3" s="28"/>
    </row>
    <row r="4" spans="1:35" ht="18.75" customHeight="1" x14ac:dyDescent="0.25">
      <c r="A4" s="6" t="s">
        <v>75</v>
      </c>
      <c r="B4" s="6" t="s">
        <v>77</v>
      </c>
      <c r="C4" s="28"/>
      <c r="D4" s="28"/>
      <c r="E4" s="28"/>
      <c r="F4" s="28"/>
      <c r="G4" s="28"/>
      <c r="H4" s="28"/>
      <c r="I4" s="28"/>
      <c r="J4" s="28"/>
      <c r="K4" s="28"/>
      <c r="L4" s="28"/>
      <c r="M4" s="28"/>
      <c r="N4" s="29"/>
      <c r="O4" s="28"/>
      <c r="P4" s="28"/>
      <c r="Q4" s="28"/>
      <c r="R4" s="28"/>
      <c r="S4" s="28"/>
      <c r="T4" s="28"/>
      <c r="U4" s="28"/>
      <c r="V4" s="28"/>
      <c r="W4" s="28"/>
      <c r="X4" s="28"/>
      <c r="Y4" s="28"/>
      <c r="Z4" s="28"/>
      <c r="AA4" s="28"/>
      <c r="AB4" s="28"/>
      <c r="AC4" s="28"/>
      <c r="AD4" s="28"/>
      <c r="AE4" s="28"/>
      <c r="AF4" s="28"/>
      <c r="AG4" s="28"/>
      <c r="AH4" s="28"/>
      <c r="AI4" s="28"/>
    </row>
    <row r="5" spans="1:35" ht="18.75" customHeight="1" x14ac:dyDescent="0.25">
      <c r="A5" s="6" t="s">
        <v>75</v>
      </c>
      <c r="B5" s="6" t="s">
        <v>78</v>
      </c>
      <c r="C5" s="28"/>
      <c r="D5" s="28"/>
      <c r="E5" s="28"/>
      <c r="F5" s="28"/>
      <c r="G5" s="28"/>
      <c r="H5" s="28"/>
      <c r="I5" s="28"/>
      <c r="J5" s="28"/>
      <c r="K5" s="28"/>
      <c r="L5" s="28"/>
      <c r="M5" s="28"/>
      <c r="N5" s="29"/>
      <c r="O5" s="28"/>
      <c r="P5" s="28"/>
      <c r="Q5" s="28"/>
      <c r="R5" s="28"/>
      <c r="S5" s="28"/>
      <c r="T5" s="28"/>
      <c r="U5" s="28"/>
      <c r="V5" s="28"/>
      <c r="W5" s="28"/>
      <c r="X5" s="28"/>
      <c r="Y5" s="28"/>
      <c r="Z5" s="28"/>
      <c r="AA5" s="28"/>
      <c r="AB5" s="28"/>
      <c r="AC5" s="28"/>
      <c r="AD5" s="28"/>
      <c r="AE5" s="28"/>
      <c r="AF5" s="28"/>
      <c r="AG5" s="28"/>
      <c r="AH5" s="28"/>
      <c r="AI5" s="28"/>
    </row>
    <row r="6" spans="1:35" ht="18.75" customHeight="1" x14ac:dyDescent="0.25">
      <c r="A6" s="6" t="s">
        <v>79</v>
      </c>
      <c r="B6" s="6" t="s">
        <v>80</v>
      </c>
      <c r="C6" s="28"/>
      <c r="D6" s="28"/>
      <c r="E6" s="28"/>
      <c r="F6" s="28"/>
      <c r="G6" s="28"/>
      <c r="H6" s="28"/>
      <c r="I6" s="28"/>
      <c r="J6" s="28"/>
      <c r="K6" s="28"/>
      <c r="L6" s="28"/>
      <c r="M6" s="28"/>
      <c r="N6" s="29"/>
      <c r="O6" s="28"/>
      <c r="P6" s="28"/>
      <c r="Q6" s="28"/>
      <c r="R6" s="28"/>
      <c r="S6" s="28"/>
      <c r="T6" s="28"/>
      <c r="U6" s="28"/>
      <c r="V6" s="28"/>
      <c r="W6" s="28"/>
      <c r="X6" s="28"/>
      <c r="Y6" s="28"/>
      <c r="Z6" s="28"/>
      <c r="AA6" s="28"/>
      <c r="AB6" s="28"/>
      <c r="AC6" s="28"/>
      <c r="AD6" s="28"/>
      <c r="AE6" s="28"/>
      <c r="AF6" s="28"/>
      <c r="AG6" s="28"/>
      <c r="AH6" s="28"/>
      <c r="AI6" s="28"/>
    </row>
    <row r="7" spans="1:35" ht="18.75" customHeight="1" x14ac:dyDescent="0.25">
      <c r="A7" s="6" t="s">
        <v>81</v>
      </c>
      <c r="B7" s="6" t="s">
        <v>82</v>
      </c>
      <c r="C7" s="28"/>
      <c r="D7" s="28"/>
      <c r="E7" s="28"/>
      <c r="F7" s="28"/>
      <c r="G7" s="28"/>
      <c r="H7" s="28"/>
      <c r="I7" s="28"/>
      <c r="J7" s="28"/>
      <c r="K7" s="28"/>
      <c r="L7" s="28"/>
      <c r="M7" s="28"/>
      <c r="N7" s="29"/>
      <c r="O7" s="28"/>
      <c r="P7" s="28"/>
      <c r="Q7" s="28"/>
      <c r="R7" s="28"/>
      <c r="S7" s="28"/>
      <c r="T7" s="28"/>
      <c r="U7" s="28"/>
      <c r="V7" s="28"/>
      <c r="W7" s="29"/>
      <c r="X7" s="29"/>
      <c r="Y7" s="29"/>
      <c r="Z7" s="29"/>
      <c r="AA7" s="29"/>
      <c r="AB7" s="29"/>
      <c r="AC7" s="29"/>
      <c r="AD7" s="29"/>
      <c r="AE7" s="29"/>
      <c r="AF7" s="29"/>
      <c r="AG7" s="29"/>
      <c r="AH7" s="28"/>
      <c r="AI7" s="28"/>
    </row>
    <row r="8" spans="1:35" ht="18.75" customHeight="1" x14ac:dyDescent="0.25">
      <c r="A8" s="6" t="s">
        <v>81</v>
      </c>
      <c r="B8" s="6" t="s">
        <v>83</v>
      </c>
      <c r="C8" s="28"/>
      <c r="D8" s="28"/>
      <c r="E8" s="28"/>
      <c r="F8" s="28"/>
      <c r="G8" s="28"/>
      <c r="H8" s="28"/>
      <c r="I8" s="28"/>
      <c r="J8" s="28"/>
      <c r="K8" s="28"/>
      <c r="L8" s="28"/>
      <c r="M8" s="28"/>
      <c r="N8" s="29"/>
      <c r="O8" s="28"/>
      <c r="P8" s="28"/>
      <c r="Q8" s="28"/>
      <c r="R8" s="28"/>
      <c r="S8" s="28"/>
      <c r="T8" s="28"/>
      <c r="U8" s="28"/>
      <c r="V8" s="28"/>
      <c r="W8" s="28"/>
      <c r="X8" s="28"/>
      <c r="Y8" s="28"/>
      <c r="Z8" s="28"/>
      <c r="AA8" s="28"/>
      <c r="AB8" s="28"/>
      <c r="AC8" s="28"/>
      <c r="AD8" s="28"/>
      <c r="AE8" s="28"/>
      <c r="AF8" s="28"/>
      <c r="AG8" s="28"/>
      <c r="AH8" s="28"/>
      <c r="AI8" s="28"/>
    </row>
    <row r="9" spans="1:35" ht="18.75" customHeight="1" x14ac:dyDescent="0.25">
      <c r="A9" s="6" t="s">
        <v>84</v>
      </c>
      <c r="B9" s="6" t="s">
        <v>85</v>
      </c>
      <c r="C9" s="28"/>
      <c r="D9" s="28"/>
      <c r="E9" s="28"/>
      <c r="F9" s="28"/>
      <c r="G9" s="28"/>
      <c r="H9" s="28"/>
      <c r="I9" s="28"/>
      <c r="J9" s="28"/>
      <c r="K9" s="28"/>
      <c r="L9" s="28"/>
      <c r="M9" s="29"/>
      <c r="N9" s="29"/>
      <c r="O9" s="29"/>
      <c r="P9" s="29"/>
      <c r="Q9" s="29"/>
      <c r="R9" s="29"/>
      <c r="S9" s="29"/>
      <c r="T9" s="29"/>
      <c r="U9" s="29"/>
      <c r="V9" s="29"/>
      <c r="W9" s="29"/>
      <c r="X9" s="29"/>
      <c r="Y9" s="29"/>
      <c r="Z9" s="29"/>
      <c r="AA9" s="29"/>
      <c r="AB9" s="29"/>
      <c r="AC9" s="29"/>
      <c r="AD9" s="29"/>
      <c r="AE9" s="29"/>
      <c r="AF9" s="29"/>
      <c r="AG9" s="29"/>
      <c r="AH9" s="29"/>
      <c r="AI9" s="28"/>
    </row>
    <row r="10" spans="1:35" ht="18.75" customHeight="1" x14ac:dyDescent="0.25">
      <c r="A10" s="6" t="s">
        <v>86</v>
      </c>
      <c r="B10" s="6" t="s">
        <v>87</v>
      </c>
      <c r="C10" s="28"/>
      <c r="D10" s="29"/>
      <c r="E10" s="28"/>
      <c r="F10" s="28"/>
      <c r="G10" s="28"/>
      <c r="H10" s="28"/>
      <c r="I10" s="28"/>
      <c r="J10" s="28"/>
      <c r="K10" s="28"/>
      <c r="L10" s="28"/>
      <c r="M10" s="28"/>
      <c r="N10" s="28"/>
      <c r="O10" s="28"/>
      <c r="P10" s="28"/>
      <c r="Q10" s="28"/>
      <c r="R10" s="28"/>
      <c r="S10" s="28"/>
      <c r="T10" s="28"/>
      <c r="U10" s="28"/>
      <c r="V10" s="28"/>
      <c r="W10" s="28"/>
      <c r="X10" s="28"/>
      <c r="Y10" s="28"/>
      <c r="Z10" s="28"/>
      <c r="AA10" s="28"/>
      <c r="AB10" s="29"/>
      <c r="AC10" s="29"/>
      <c r="AD10" s="29"/>
      <c r="AE10" s="29"/>
      <c r="AF10" s="29"/>
      <c r="AG10" s="29"/>
      <c r="AH10" s="29"/>
      <c r="AI10" s="29"/>
    </row>
    <row r="11" spans="1:35" ht="18.75" customHeight="1" x14ac:dyDescent="0.25">
      <c r="A11" s="6" t="s">
        <v>86</v>
      </c>
      <c r="B11" s="6" t="s">
        <v>88</v>
      </c>
      <c r="C11" s="29"/>
      <c r="D11" s="29"/>
      <c r="E11" s="29"/>
      <c r="F11" s="29"/>
      <c r="G11" s="29"/>
      <c r="H11" s="29"/>
      <c r="I11" s="29"/>
      <c r="J11" s="29"/>
      <c r="K11" s="29"/>
      <c r="L11" s="29"/>
      <c r="M11" s="29"/>
      <c r="N11" s="29"/>
      <c r="O11" s="29"/>
      <c r="P11" s="29"/>
      <c r="Q11" s="29"/>
      <c r="R11" s="29"/>
      <c r="S11" s="29"/>
      <c r="T11" s="29"/>
      <c r="U11" s="29"/>
      <c r="V11" s="29"/>
      <c r="W11" s="29"/>
      <c r="X11" s="29"/>
      <c r="Y11" s="28"/>
      <c r="Z11" s="28"/>
      <c r="AA11" s="28"/>
      <c r="AB11" s="29"/>
      <c r="AC11" s="29"/>
      <c r="AD11" s="29"/>
      <c r="AE11" s="29"/>
      <c r="AF11" s="29"/>
      <c r="AG11" s="29"/>
      <c r="AH11" s="29"/>
      <c r="AI11" s="29"/>
    </row>
    <row r="12" spans="1:35" ht="18.75" customHeight="1" x14ac:dyDescent="0.25">
      <c r="A12" s="6" t="s">
        <v>86</v>
      </c>
      <c r="B12" s="6" t="s">
        <v>89</v>
      </c>
      <c r="C12" s="29"/>
      <c r="D12" s="29"/>
      <c r="E12" s="28"/>
      <c r="F12" s="28"/>
      <c r="G12" s="28"/>
      <c r="H12" s="28"/>
      <c r="I12" s="28"/>
      <c r="J12" s="28"/>
      <c r="K12" s="28"/>
      <c r="L12" s="28"/>
      <c r="M12" s="28"/>
      <c r="N12" s="29"/>
      <c r="O12" s="29"/>
      <c r="P12" s="28"/>
      <c r="Q12" s="28"/>
      <c r="R12" s="28"/>
      <c r="S12" s="28"/>
      <c r="T12" s="28"/>
      <c r="U12" s="28"/>
      <c r="V12" s="29"/>
      <c r="W12" s="29"/>
      <c r="X12" s="29"/>
      <c r="Y12" s="28"/>
      <c r="Z12" s="28"/>
      <c r="AA12" s="28"/>
      <c r="AB12" s="29"/>
      <c r="AC12" s="29"/>
      <c r="AD12" s="29"/>
      <c r="AE12" s="29"/>
      <c r="AF12" s="29"/>
      <c r="AG12" s="29"/>
      <c r="AH12" s="29"/>
      <c r="AI12" s="29"/>
    </row>
    <row r="13" spans="1:35" ht="18.75" customHeight="1" x14ac:dyDescent="0.25">
      <c r="A13" s="6" t="s">
        <v>90</v>
      </c>
      <c r="B13" s="6" t="s">
        <v>91</v>
      </c>
      <c r="C13" s="28"/>
      <c r="D13" s="28"/>
      <c r="E13" s="28"/>
      <c r="F13" s="28"/>
      <c r="G13" s="28"/>
      <c r="H13" s="28"/>
      <c r="I13" s="29"/>
      <c r="J13" s="28"/>
      <c r="K13" s="28"/>
      <c r="L13" s="29"/>
      <c r="M13" s="29"/>
      <c r="N13" s="29"/>
      <c r="O13" s="29"/>
      <c r="P13" s="29"/>
      <c r="Q13" s="29"/>
      <c r="R13" s="29"/>
      <c r="S13" s="28"/>
      <c r="T13" s="29"/>
      <c r="U13" s="29"/>
      <c r="V13" s="29"/>
      <c r="W13" s="29"/>
      <c r="X13" s="29"/>
      <c r="Y13" s="29"/>
      <c r="Z13" s="29"/>
      <c r="AA13" s="29"/>
      <c r="AB13" s="29"/>
      <c r="AC13" s="29"/>
      <c r="AD13" s="29"/>
      <c r="AE13" s="29"/>
      <c r="AF13" s="29"/>
      <c r="AG13" s="29"/>
      <c r="AH13" s="29"/>
      <c r="AI13" s="29"/>
    </row>
    <row r="14" spans="1:35" ht="18.75" customHeight="1" x14ac:dyDescent="0.25">
      <c r="A14" s="6" t="s">
        <v>92</v>
      </c>
      <c r="B14" s="6" t="s">
        <v>93</v>
      </c>
      <c r="C14" s="29"/>
      <c r="D14" s="28"/>
      <c r="E14" s="28"/>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row>
    <row r="15" spans="1:35" ht="18.75" customHeight="1" x14ac:dyDescent="0.25">
      <c r="A15" s="6" t="s">
        <v>92</v>
      </c>
      <c r="B15" s="6" t="s">
        <v>94</v>
      </c>
      <c r="C15" s="29"/>
      <c r="D15" s="28"/>
      <c r="E15" s="28"/>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row>
    <row r="16" spans="1:35" ht="18.75" customHeight="1" x14ac:dyDescent="0.25">
      <c r="A16" s="6" t="s">
        <v>92</v>
      </c>
      <c r="B16" s="6" t="s">
        <v>95</v>
      </c>
      <c r="C16" s="29"/>
      <c r="D16" s="28"/>
      <c r="E16" s="28"/>
      <c r="F16" s="28"/>
      <c r="G16" s="28"/>
      <c r="H16" s="28"/>
      <c r="I16" s="28"/>
      <c r="J16" s="28"/>
      <c r="K16" s="28"/>
      <c r="L16" s="28"/>
      <c r="M16" s="28"/>
      <c r="N16" s="28"/>
      <c r="O16" s="28"/>
      <c r="P16" s="28"/>
      <c r="Q16" s="28"/>
      <c r="R16" s="28"/>
      <c r="S16" s="28"/>
      <c r="T16" s="28"/>
      <c r="U16" s="28"/>
      <c r="V16" s="28"/>
      <c r="W16" s="29"/>
      <c r="X16" s="29"/>
      <c r="Y16" s="29"/>
      <c r="Z16" s="28"/>
      <c r="AA16" s="28"/>
      <c r="AB16" s="28"/>
      <c r="AC16" s="29"/>
      <c r="AD16" s="29"/>
      <c r="AE16" s="29"/>
      <c r="AF16" s="29"/>
      <c r="AG16" s="29"/>
      <c r="AH16" s="29"/>
      <c r="AI16" s="29"/>
    </row>
    <row r="17" spans="1:35" ht="18.75" customHeight="1" x14ac:dyDescent="0.25">
      <c r="A17" s="6" t="s">
        <v>92</v>
      </c>
      <c r="B17" s="6" t="s">
        <v>96</v>
      </c>
      <c r="C17" s="29"/>
      <c r="D17" s="28"/>
      <c r="E17" s="28"/>
      <c r="F17" s="28"/>
      <c r="G17" s="28"/>
      <c r="H17" s="28"/>
      <c r="I17" s="28"/>
      <c r="J17" s="28"/>
      <c r="K17" s="28"/>
      <c r="L17" s="28"/>
      <c r="M17" s="28"/>
      <c r="N17" s="28"/>
      <c r="O17" s="28"/>
      <c r="P17" s="28"/>
      <c r="Q17" s="28"/>
      <c r="R17" s="28"/>
      <c r="S17" s="28"/>
      <c r="T17" s="28"/>
      <c r="U17" s="28"/>
      <c r="V17" s="28"/>
      <c r="W17" s="28"/>
      <c r="X17" s="29"/>
      <c r="Y17" s="28"/>
      <c r="Z17" s="28"/>
      <c r="AA17" s="28"/>
      <c r="AB17" s="28"/>
      <c r="AC17" s="28"/>
      <c r="AD17" s="28"/>
      <c r="AE17" s="28"/>
      <c r="AF17" s="28"/>
      <c r="AG17" s="28"/>
      <c r="AH17" s="28"/>
      <c r="AI17" s="29"/>
    </row>
    <row r="18" spans="1:35" ht="18.75" customHeight="1" x14ac:dyDescent="0.25">
      <c r="A18" s="6" t="s">
        <v>97</v>
      </c>
      <c r="B18" s="6" t="s">
        <v>98</v>
      </c>
      <c r="C18" s="28"/>
      <c r="D18" s="28"/>
      <c r="E18" s="28"/>
      <c r="F18" s="28"/>
      <c r="G18" s="28"/>
      <c r="H18" s="28"/>
      <c r="I18" s="28"/>
      <c r="J18" s="28"/>
      <c r="K18" s="28"/>
      <c r="L18" s="29"/>
      <c r="M18" s="29"/>
      <c r="N18" s="29"/>
      <c r="O18" s="29"/>
      <c r="P18" s="29"/>
      <c r="Q18" s="29"/>
      <c r="R18" s="29"/>
      <c r="S18" s="29"/>
      <c r="T18" s="29"/>
      <c r="U18" s="29"/>
      <c r="V18" s="29"/>
      <c r="W18" s="29"/>
      <c r="X18" s="29"/>
      <c r="Y18" s="29"/>
      <c r="Z18" s="29"/>
      <c r="AA18" s="29"/>
      <c r="AB18" s="29"/>
      <c r="AC18" s="29"/>
      <c r="AD18" s="29"/>
      <c r="AE18" s="29"/>
      <c r="AF18" s="29"/>
      <c r="AG18" s="29"/>
      <c r="AH18" s="29"/>
      <c r="AI18" s="29"/>
    </row>
    <row r="19" spans="1:35" ht="18.75" customHeight="1" x14ac:dyDescent="0.25">
      <c r="A19" s="6" t="s">
        <v>97</v>
      </c>
      <c r="B19" s="6" t="s">
        <v>99</v>
      </c>
      <c r="C19" s="28"/>
      <c r="D19" s="28"/>
      <c r="E19" s="28"/>
      <c r="F19" s="28"/>
      <c r="G19" s="28"/>
      <c r="H19" s="28"/>
      <c r="I19" s="28"/>
      <c r="J19" s="28"/>
      <c r="K19" s="28"/>
      <c r="L19" s="28"/>
      <c r="M19" s="28"/>
      <c r="N19" s="28"/>
      <c r="O19" s="28"/>
      <c r="P19" s="28"/>
      <c r="Q19" s="28"/>
      <c r="R19" s="28"/>
      <c r="S19" s="28"/>
      <c r="T19" s="28"/>
      <c r="U19" s="28"/>
      <c r="V19" s="28"/>
      <c r="W19" s="29"/>
      <c r="X19" s="29"/>
      <c r="Y19" s="29"/>
      <c r="Z19" s="29"/>
      <c r="AA19" s="29"/>
      <c r="AB19" s="29"/>
      <c r="AC19" s="29"/>
      <c r="AD19" s="29"/>
      <c r="AE19" s="29"/>
      <c r="AF19" s="29"/>
      <c r="AG19" s="29"/>
      <c r="AH19" s="29"/>
      <c r="AI19" s="29"/>
    </row>
    <row r="20" spans="1:35" ht="18.75" customHeight="1" x14ac:dyDescent="0.25">
      <c r="A20" s="6" t="s">
        <v>97</v>
      </c>
      <c r="B20" s="6" t="s">
        <v>100</v>
      </c>
      <c r="C20" s="28"/>
      <c r="D20" s="28"/>
      <c r="E20" s="28"/>
      <c r="F20" s="28"/>
      <c r="G20" s="28"/>
      <c r="H20" s="28"/>
      <c r="I20" s="28"/>
      <c r="J20" s="28"/>
      <c r="K20" s="28"/>
      <c r="L20" s="29"/>
      <c r="M20" s="29"/>
      <c r="N20" s="29"/>
      <c r="O20" s="29"/>
      <c r="P20" s="29"/>
      <c r="Q20" s="29"/>
      <c r="R20" s="29"/>
      <c r="S20" s="29"/>
      <c r="T20" s="29"/>
      <c r="U20" s="29"/>
      <c r="V20" s="29"/>
      <c r="W20" s="29"/>
      <c r="X20" s="29"/>
      <c r="Y20" s="29"/>
      <c r="Z20" s="29"/>
      <c r="AA20" s="29"/>
      <c r="AB20" s="29"/>
      <c r="AC20" s="29"/>
      <c r="AD20" s="29"/>
      <c r="AE20" s="29"/>
      <c r="AF20" s="29"/>
      <c r="AG20" s="29"/>
      <c r="AH20" s="29"/>
      <c r="AI20" s="28"/>
    </row>
    <row r="21" spans="1:35" ht="18.75" customHeight="1" x14ac:dyDescent="0.25">
      <c r="A21" s="6" t="s">
        <v>97</v>
      </c>
      <c r="B21" s="6" t="s">
        <v>101</v>
      </c>
      <c r="C21" s="28"/>
      <c r="D21" s="29"/>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row>
    <row r="22" spans="1:35" ht="18.75" customHeight="1" x14ac:dyDescent="0.25">
      <c r="A22" s="6" t="s">
        <v>97</v>
      </c>
      <c r="B22" s="6" t="s">
        <v>102</v>
      </c>
      <c r="C22" s="29"/>
      <c r="D22" s="29"/>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row>
    <row r="23" spans="1:35" ht="18.75" customHeight="1" x14ac:dyDescent="0.25">
      <c r="A23" s="6" t="s">
        <v>97</v>
      </c>
      <c r="B23" s="6" t="s">
        <v>103</v>
      </c>
      <c r="C23" s="29"/>
      <c r="D23" s="29"/>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row>
    <row r="24" spans="1:35" ht="18.75" customHeight="1" x14ac:dyDescent="0.25">
      <c r="A24" s="6" t="s">
        <v>97</v>
      </c>
      <c r="B24" s="6" t="s">
        <v>104</v>
      </c>
      <c r="C24" s="29"/>
      <c r="D24" s="29"/>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row>
    <row r="25" spans="1:35" ht="18.75" customHeight="1" x14ac:dyDescent="0.25">
      <c r="A25" s="6" t="s">
        <v>97</v>
      </c>
      <c r="B25" s="6" t="s">
        <v>105</v>
      </c>
      <c r="C25" s="28"/>
      <c r="D25" s="28"/>
      <c r="E25" s="28"/>
      <c r="F25" s="28"/>
      <c r="G25" s="29"/>
      <c r="H25" s="29"/>
      <c r="I25" s="29"/>
      <c r="J25" s="29"/>
      <c r="K25" s="28"/>
      <c r="L25" s="28"/>
      <c r="M25" s="28"/>
      <c r="N25" s="28"/>
      <c r="O25" s="28"/>
      <c r="P25" s="28"/>
      <c r="Q25" s="28"/>
      <c r="R25" s="28"/>
      <c r="S25" s="28"/>
      <c r="T25" s="28"/>
      <c r="U25" s="28"/>
      <c r="V25" s="28"/>
      <c r="W25" s="29"/>
      <c r="X25" s="29"/>
      <c r="Y25" s="29"/>
      <c r="Z25" s="29"/>
      <c r="AA25" s="29"/>
      <c r="AB25" s="29"/>
      <c r="AC25" s="29"/>
      <c r="AD25" s="29"/>
      <c r="AE25" s="29"/>
      <c r="AF25" s="29"/>
      <c r="AG25" s="28"/>
      <c r="AH25" s="28"/>
      <c r="AI25" s="28"/>
    </row>
    <row r="26" spans="1:35" ht="18.75" customHeight="1" x14ac:dyDescent="0.25">
      <c r="A26" s="6" t="s">
        <v>97</v>
      </c>
      <c r="B26" s="6" t="s">
        <v>106</v>
      </c>
      <c r="C26" s="29"/>
      <c r="D26" s="29"/>
      <c r="E26" s="29"/>
      <c r="F26" s="29"/>
      <c r="G26" s="29"/>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row>
    <row r="27" spans="1:35" ht="18.75" customHeight="1" x14ac:dyDescent="0.25">
      <c r="A27" s="6" t="s">
        <v>97</v>
      </c>
      <c r="B27" s="6" t="s">
        <v>107</v>
      </c>
      <c r="C27" s="28"/>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row>
    <row r="28" spans="1:35" ht="18.75" customHeight="1" x14ac:dyDescent="0.25">
      <c r="A28" s="6" t="s">
        <v>108</v>
      </c>
      <c r="B28" s="6" t="s">
        <v>109</v>
      </c>
      <c r="C28" s="28"/>
      <c r="D28" s="28"/>
      <c r="E28" s="28"/>
      <c r="F28" s="28"/>
      <c r="G28" s="28"/>
      <c r="H28" s="28"/>
      <c r="I28" s="28"/>
      <c r="J28" s="28"/>
      <c r="K28" s="28"/>
      <c r="L28" s="29"/>
      <c r="M28" s="29"/>
      <c r="N28" s="29"/>
      <c r="O28" s="29"/>
      <c r="P28" s="29"/>
      <c r="Q28" s="29"/>
      <c r="R28" s="29"/>
      <c r="S28" s="29"/>
      <c r="T28" s="29"/>
      <c r="U28" s="29"/>
      <c r="V28" s="29"/>
      <c r="W28" s="29"/>
      <c r="X28" s="29"/>
      <c r="Y28" s="29"/>
      <c r="Z28" s="29"/>
      <c r="AA28" s="29"/>
      <c r="AB28" s="29"/>
      <c r="AC28" s="29"/>
      <c r="AD28" s="29"/>
      <c r="AE28" s="29"/>
      <c r="AF28" s="29"/>
      <c r="AG28" s="29"/>
      <c r="AH28" s="29"/>
      <c r="AI28" s="29"/>
    </row>
    <row r="29" spans="1:35" ht="18.75" customHeight="1" x14ac:dyDescent="0.25">
      <c r="A29" s="6" t="s">
        <v>108</v>
      </c>
      <c r="B29" s="6" t="s">
        <v>110</v>
      </c>
      <c r="C29" s="28"/>
      <c r="D29" s="28"/>
      <c r="E29" s="28"/>
      <c r="F29" s="28"/>
      <c r="G29" s="28"/>
      <c r="H29" s="28"/>
      <c r="I29" s="28"/>
      <c r="J29" s="28"/>
      <c r="K29" s="28"/>
      <c r="L29" s="28"/>
      <c r="M29" s="28"/>
      <c r="N29" s="28"/>
      <c r="O29" s="28"/>
      <c r="P29" s="28"/>
      <c r="Q29" s="28"/>
      <c r="R29" s="28"/>
      <c r="S29" s="28"/>
      <c r="T29" s="28"/>
      <c r="U29" s="28"/>
      <c r="V29" s="28"/>
      <c r="W29" s="29"/>
      <c r="X29" s="29"/>
      <c r="Y29" s="29"/>
      <c r="Z29" s="29"/>
      <c r="AA29" s="29"/>
      <c r="AB29" s="29"/>
      <c r="AC29" s="29"/>
      <c r="AD29" s="29"/>
      <c r="AE29" s="29"/>
      <c r="AF29" s="29"/>
      <c r="AG29" s="29"/>
      <c r="AH29" s="29"/>
      <c r="AI29" s="29"/>
    </row>
    <row r="30" spans="1:35" ht="18.75" customHeight="1" x14ac:dyDescent="0.25">
      <c r="A30" s="6" t="s">
        <v>108</v>
      </c>
      <c r="B30" s="6" t="s">
        <v>111</v>
      </c>
      <c r="C30" s="28"/>
      <c r="D30" s="28"/>
      <c r="E30" s="28"/>
      <c r="F30" s="28"/>
      <c r="G30" s="28"/>
      <c r="H30" s="28"/>
      <c r="I30" s="28"/>
      <c r="J30" s="28"/>
      <c r="K30" s="28"/>
      <c r="L30" s="29"/>
      <c r="M30" s="29"/>
      <c r="N30" s="29"/>
      <c r="O30" s="29"/>
      <c r="P30" s="29"/>
      <c r="Q30" s="29"/>
      <c r="R30" s="29"/>
      <c r="S30" s="29"/>
      <c r="T30" s="29"/>
      <c r="U30" s="29"/>
      <c r="V30" s="29"/>
      <c r="W30" s="29"/>
      <c r="X30" s="29"/>
      <c r="Y30" s="29"/>
      <c r="Z30" s="29"/>
      <c r="AA30" s="29"/>
      <c r="AB30" s="29"/>
      <c r="AC30" s="29"/>
      <c r="AD30" s="29"/>
      <c r="AE30" s="29"/>
      <c r="AF30" s="29"/>
      <c r="AG30" s="29"/>
      <c r="AH30" s="29"/>
      <c r="AI30" s="28"/>
    </row>
    <row r="31" spans="1:35" ht="18.75" customHeight="1" x14ac:dyDescent="0.25">
      <c r="A31" s="6" t="s">
        <v>108</v>
      </c>
      <c r="B31" s="6" t="s">
        <v>112</v>
      </c>
      <c r="C31" s="28"/>
      <c r="D31" s="29"/>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row>
    <row r="32" spans="1:35" ht="18.75" customHeight="1" x14ac:dyDescent="0.25">
      <c r="A32" s="6" t="s">
        <v>108</v>
      </c>
      <c r="B32" s="6" t="s">
        <v>113</v>
      </c>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row>
    <row r="33" spans="1:35" ht="18.75" customHeight="1" x14ac:dyDescent="0.25">
      <c r="A33" s="6" t="s">
        <v>108</v>
      </c>
      <c r="B33" s="6" t="s">
        <v>114</v>
      </c>
      <c r="C33" s="29"/>
      <c r="D33" s="29"/>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row>
    <row r="34" spans="1:35" ht="18.75" customHeight="1" x14ac:dyDescent="0.25">
      <c r="A34" s="6" t="s">
        <v>108</v>
      </c>
      <c r="B34" s="6" t="s">
        <v>115</v>
      </c>
      <c r="C34" s="28"/>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row>
    <row r="35" spans="1:35" ht="18.75" customHeight="1" x14ac:dyDescent="0.25">
      <c r="A35" s="6" t="s">
        <v>108</v>
      </c>
      <c r="B35" s="6" t="s">
        <v>116</v>
      </c>
      <c r="C35" s="29"/>
      <c r="D35" s="29"/>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row>
    <row r="36" spans="1:35" ht="18.75" customHeight="1" x14ac:dyDescent="0.25">
      <c r="A36" s="6" t="s">
        <v>108</v>
      </c>
      <c r="B36" s="6" t="s">
        <v>117</v>
      </c>
      <c r="C36" s="28"/>
      <c r="D36" s="28"/>
      <c r="E36" s="28"/>
      <c r="F36" s="28"/>
      <c r="G36" s="29"/>
      <c r="H36" s="29"/>
      <c r="I36" s="29"/>
      <c r="J36" s="29"/>
      <c r="K36" s="28"/>
      <c r="L36" s="28"/>
      <c r="M36" s="28"/>
      <c r="N36" s="28"/>
      <c r="O36" s="28"/>
      <c r="P36" s="28"/>
      <c r="Q36" s="28"/>
      <c r="R36" s="28"/>
      <c r="S36" s="28"/>
      <c r="T36" s="28"/>
      <c r="U36" s="28"/>
      <c r="V36" s="28"/>
      <c r="W36" s="29"/>
      <c r="X36" s="29"/>
      <c r="Y36" s="29"/>
      <c r="Z36" s="29"/>
      <c r="AA36" s="29"/>
      <c r="AB36" s="29"/>
      <c r="AC36" s="29"/>
      <c r="AD36" s="29"/>
      <c r="AE36" s="29"/>
      <c r="AF36" s="29"/>
      <c r="AG36" s="28"/>
      <c r="AH36" s="28"/>
      <c r="AI36" s="28"/>
    </row>
    <row r="37" spans="1:35" ht="18.75" customHeight="1" x14ac:dyDescent="0.25">
      <c r="A37" s="6" t="s">
        <v>108</v>
      </c>
      <c r="B37" s="6" t="s">
        <v>118</v>
      </c>
      <c r="C37" s="29"/>
      <c r="D37" s="29"/>
      <c r="E37" s="29"/>
      <c r="F37" s="29"/>
      <c r="G37" s="29"/>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row>
    <row r="42" spans="1:35" x14ac:dyDescent="0.25">
      <c r="A42" s="6" t="s">
        <v>79</v>
      </c>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c r="AD42" s="31"/>
      <c r="AE42" s="31"/>
      <c r="AF42" s="31"/>
      <c r="AG42" s="31"/>
      <c r="AH42" s="31"/>
      <c r="AI42" s="31"/>
    </row>
    <row r="43" spans="1:35" x14ac:dyDescent="0.25">
      <c r="A43" s="6" t="s">
        <v>81</v>
      </c>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c r="AD43" s="31"/>
      <c r="AE43" s="31"/>
      <c r="AF43" s="31"/>
      <c r="AG43" s="31"/>
      <c r="AH43" s="31"/>
      <c r="AI43" s="31"/>
    </row>
    <row r="44" spans="1:35" x14ac:dyDescent="0.25">
      <c r="A44" s="6" t="s">
        <v>86</v>
      </c>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1"/>
      <c r="AE44" s="31"/>
      <c r="AF44" s="31"/>
      <c r="AG44" s="31"/>
      <c r="AH44" s="31"/>
      <c r="AI44" s="31"/>
    </row>
    <row r="45" spans="1:35" x14ac:dyDescent="0.25">
      <c r="A45" s="6" t="s">
        <v>90</v>
      </c>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1"/>
      <c r="AE45" s="31"/>
      <c r="AF45" s="31"/>
      <c r="AG45" s="31"/>
      <c r="AH45" s="31"/>
      <c r="AI45" s="31"/>
    </row>
    <row r="46" spans="1:35" x14ac:dyDescent="0.25">
      <c r="A46" s="6" t="s">
        <v>92</v>
      </c>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c r="AE46" s="31"/>
      <c r="AF46" s="31"/>
      <c r="AG46" s="31"/>
      <c r="AH46" s="31"/>
      <c r="AI46" s="31"/>
    </row>
    <row r="47" spans="1:35" x14ac:dyDescent="0.25">
      <c r="A47" s="32" t="s">
        <v>119</v>
      </c>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row>
    <row r="48" spans="1:35" x14ac:dyDescent="0.25">
      <c r="A48" s="32" t="s">
        <v>120</v>
      </c>
      <c r="B48" s="30"/>
    </row>
    <row r="52" spans="2:41" x14ac:dyDescent="0.25">
      <c r="B52" s="2" t="s">
        <v>121</v>
      </c>
      <c r="C52" s="2"/>
      <c r="D52" s="2"/>
      <c r="E52" s="2"/>
      <c r="F52" s="2"/>
      <c r="G52" s="2"/>
      <c r="H52" s="2"/>
      <c r="I52" s="2"/>
      <c r="J52" s="2"/>
      <c r="K52" s="2"/>
      <c r="L52" s="2"/>
      <c r="M52" s="2"/>
      <c r="N52" s="2"/>
      <c r="O52" s="2" t="s">
        <v>19</v>
      </c>
      <c r="P52" s="2">
        <v>0.98</v>
      </c>
      <c r="Q52" s="2"/>
      <c r="R52" s="2"/>
      <c r="S52" s="2"/>
      <c r="T52" s="2"/>
      <c r="U52" s="2"/>
      <c r="V52" s="2"/>
      <c r="W52" s="2"/>
      <c r="X52" s="2"/>
      <c r="Y52" s="2"/>
      <c r="Z52" s="2"/>
      <c r="AA52" s="2"/>
      <c r="AB52" s="2"/>
      <c r="AC52" s="2"/>
      <c r="AD52" s="2"/>
      <c r="AE52" s="2"/>
      <c r="AF52" s="2"/>
      <c r="AG52" s="2"/>
      <c r="AH52" s="2"/>
      <c r="AI52" s="2"/>
      <c r="AJ52" s="2"/>
      <c r="AK52" s="2"/>
      <c r="AL52" s="2"/>
      <c r="AM52" s="2"/>
      <c r="AN52" s="2"/>
      <c r="AO52" s="2"/>
    </row>
    <row r="53" spans="2:41" x14ac:dyDescent="0.25">
      <c r="B53" s="2"/>
      <c r="C53" s="8" t="s">
        <v>64</v>
      </c>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row>
    <row r="54" spans="2:41" x14ac:dyDescent="0.25">
      <c r="B54" s="2"/>
      <c r="C54" s="8" t="s">
        <v>65</v>
      </c>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row>
    <row r="55" spans="2:41" x14ac:dyDescent="0.25">
      <c r="B55" s="2"/>
      <c r="C55" s="2"/>
      <c r="D55" s="2"/>
      <c r="E55" s="2"/>
      <c r="F55" s="2"/>
      <c r="G55" s="2"/>
      <c r="H55" s="2"/>
      <c r="I55" s="2"/>
      <c r="J55" s="2"/>
      <c r="K55" s="2" t="s">
        <v>66</v>
      </c>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row>
    <row r="56" spans="2:41" x14ac:dyDescent="0.25">
      <c r="B56" s="2"/>
      <c r="C56" s="33" t="s">
        <v>20</v>
      </c>
      <c r="D56" s="34" t="s">
        <v>21</v>
      </c>
      <c r="E56" s="34" t="s">
        <v>22</v>
      </c>
      <c r="F56" s="34" t="s">
        <v>23</v>
      </c>
      <c r="G56" s="34" t="s">
        <v>24</v>
      </c>
      <c r="H56" s="35" t="s">
        <v>25</v>
      </c>
      <c r="I56" s="35" t="s">
        <v>26</v>
      </c>
      <c r="J56" s="35" t="s">
        <v>27</v>
      </c>
      <c r="K56" s="35" t="s">
        <v>28</v>
      </c>
      <c r="L56" s="36" t="s">
        <v>29</v>
      </c>
      <c r="M56" s="37" t="s">
        <v>30</v>
      </c>
      <c r="N56" s="38" t="s">
        <v>31</v>
      </c>
      <c r="O56" s="38" t="s">
        <v>32</v>
      </c>
      <c r="P56" s="33" t="s">
        <v>33</v>
      </c>
      <c r="Q56" s="83" t="s">
        <v>145</v>
      </c>
      <c r="R56" s="83" t="s">
        <v>145</v>
      </c>
      <c r="S56" s="83" t="s">
        <v>145</v>
      </c>
      <c r="T56" s="2">
        <v>2026</v>
      </c>
      <c r="U56" s="2">
        <v>2027</v>
      </c>
      <c r="V56" s="2">
        <v>2028</v>
      </c>
      <c r="W56" s="2">
        <v>2029</v>
      </c>
      <c r="X56" s="2">
        <v>2030</v>
      </c>
      <c r="Y56" s="2">
        <v>2031</v>
      </c>
      <c r="Z56" s="2">
        <v>2032</v>
      </c>
      <c r="AA56" s="2">
        <v>2033</v>
      </c>
      <c r="AB56" s="2">
        <v>2034</v>
      </c>
      <c r="AC56" s="2">
        <v>2035</v>
      </c>
      <c r="AD56" s="2">
        <v>2036</v>
      </c>
      <c r="AE56" s="2">
        <v>2037</v>
      </c>
      <c r="AF56" s="2">
        <v>2038</v>
      </c>
      <c r="AG56" s="2">
        <v>2039</v>
      </c>
      <c r="AH56" s="2">
        <v>2040</v>
      </c>
      <c r="AI56" s="2">
        <v>2041</v>
      </c>
      <c r="AJ56" s="2">
        <v>2042</v>
      </c>
      <c r="AK56" s="2">
        <v>2043</v>
      </c>
      <c r="AL56" s="2">
        <v>2044</v>
      </c>
      <c r="AM56" s="2">
        <v>2045</v>
      </c>
      <c r="AN56" s="2">
        <v>2046</v>
      </c>
      <c r="AO56" s="2">
        <v>2047</v>
      </c>
    </row>
    <row r="57" spans="2:41" x14ac:dyDescent="0.25">
      <c r="C57" s="2" t="str">
        <f>_xlfn.CONCAT("CAP-",A47)</f>
        <v>CAP-SRV-HP</v>
      </c>
      <c r="E57" s="1" t="s">
        <v>141</v>
      </c>
      <c r="F57" s="1" t="s">
        <v>142</v>
      </c>
      <c r="K57" s="2" t="s">
        <v>34</v>
      </c>
      <c r="L57" s="2">
        <v>1</v>
      </c>
      <c r="M57" s="2"/>
      <c r="N57" s="2"/>
      <c r="O57" s="2">
        <v>1</v>
      </c>
      <c r="Q57" s="1">
        <v>0</v>
      </c>
      <c r="R57" s="1">
        <v>0</v>
      </c>
      <c r="S57" s="1">
        <v>0</v>
      </c>
      <c r="X57" s="40"/>
      <c r="Y57" s="40"/>
      <c r="Z57" s="40"/>
      <c r="AA57" s="40"/>
      <c r="AB57" s="40"/>
      <c r="AC57" s="40"/>
      <c r="AD57" s="40"/>
      <c r="AE57" s="40"/>
      <c r="AF57" s="40"/>
      <c r="AG57" s="40"/>
      <c r="AH57" s="40"/>
      <c r="AI57" s="40"/>
      <c r="AJ57" s="40"/>
      <c r="AK57" s="40"/>
      <c r="AL57" s="40"/>
      <c r="AM57" s="40"/>
      <c r="AN57" s="40"/>
      <c r="AO57" s="40"/>
    </row>
    <row r="58" spans="2:41" x14ac:dyDescent="0.25">
      <c r="C58" s="2" t="str">
        <f>_xlfn.CONCAT("CAP-",A48)</f>
        <v>CAP-SRV-DH</v>
      </c>
      <c r="E58" s="1" t="s">
        <v>143</v>
      </c>
      <c r="H58" s="1" t="s">
        <v>144</v>
      </c>
      <c r="K58" s="2" t="s">
        <v>34</v>
      </c>
      <c r="L58" s="2"/>
      <c r="M58" s="2">
        <v>1</v>
      </c>
      <c r="N58" s="2"/>
      <c r="O58" s="2">
        <v>1</v>
      </c>
      <c r="Q58" s="40">
        <f>M85*3.6</f>
        <v>1.2959999999999998E-2</v>
      </c>
      <c r="R58" s="40">
        <f t="shared" ref="R58:AH58" si="0">N85*3.6</f>
        <v>2.0160000000000001E-2</v>
      </c>
      <c r="S58" s="40">
        <f t="shared" si="0"/>
        <v>2.0160000000000001E-2</v>
      </c>
      <c r="T58" s="40">
        <f t="shared" si="0"/>
        <v>2.0160000000000001E-2</v>
      </c>
      <c r="U58" s="40">
        <f t="shared" si="0"/>
        <v>2.0160000000000001E-2</v>
      </c>
      <c r="V58" s="40">
        <f t="shared" si="0"/>
        <v>8.4201600000000001E-2</v>
      </c>
      <c r="W58" s="40">
        <f t="shared" si="0"/>
        <v>0.14824320000000002</v>
      </c>
      <c r="X58" s="40">
        <f t="shared" si="0"/>
        <v>0.21228480000000002</v>
      </c>
      <c r="Y58" s="40">
        <f t="shared" si="0"/>
        <v>0.28068048000000001</v>
      </c>
      <c r="Z58" s="40">
        <f t="shared" si="0"/>
        <v>0.34907616000000008</v>
      </c>
      <c r="AA58" s="40">
        <f t="shared" si="0"/>
        <v>0.41747184000000004</v>
      </c>
      <c r="AB58" s="40">
        <f t="shared" si="0"/>
        <v>0.48586752000000011</v>
      </c>
      <c r="AC58" s="40">
        <f t="shared" si="0"/>
        <v>0.55426320000000018</v>
      </c>
      <c r="AD58" s="40">
        <f t="shared" si="0"/>
        <v>0.62265888000000014</v>
      </c>
      <c r="AE58" s="40">
        <f t="shared" si="0"/>
        <v>0.6910545600000001</v>
      </c>
      <c r="AF58" s="40">
        <f t="shared" si="0"/>
        <v>0.75945024000000017</v>
      </c>
      <c r="AG58" s="40">
        <f t="shared" si="0"/>
        <v>0.82784592000000001</v>
      </c>
      <c r="AH58" s="40">
        <f t="shared" si="0"/>
        <v>0.89624159999999997</v>
      </c>
      <c r="AI58" s="40"/>
      <c r="AJ58" s="40"/>
      <c r="AK58" s="40"/>
      <c r="AL58" s="40"/>
      <c r="AM58" s="40"/>
      <c r="AN58" s="40"/>
      <c r="AO58" s="40"/>
    </row>
    <row r="59" spans="2:41" x14ac:dyDescent="0.25">
      <c r="K59" s="2"/>
      <c r="L59" s="2"/>
      <c r="M59" s="2"/>
      <c r="N59" s="2"/>
      <c r="O59" s="2"/>
    </row>
    <row r="68" spans="5:40" x14ac:dyDescent="0.25">
      <c r="E68" s="72" t="s">
        <v>36</v>
      </c>
      <c r="F68" s="72"/>
      <c r="G68" s="73" t="s">
        <v>37</v>
      </c>
      <c r="H68" s="74">
        <v>2018</v>
      </c>
      <c r="I68" s="74">
        <v>2019</v>
      </c>
      <c r="J68" s="74">
        <v>2020</v>
      </c>
      <c r="K68" s="74">
        <v>2021</v>
      </c>
      <c r="L68" s="74">
        <v>2022</v>
      </c>
      <c r="M68" s="74">
        <v>2023</v>
      </c>
      <c r="N68" s="74">
        <v>2024</v>
      </c>
      <c r="O68" s="75">
        <v>2025</v>
      </c>
      <c r="P68" s="74">
        <v>2026</v>
      </c>
      <c r="Q68" s="74">
        <v>2027</v>
      </c>
      <c r="R68" s="74">
        <v>2028</v>
      </c>
      <c r="S68" s="74">
        <v>2029</v>
      </c>
      <c r="T68" s="75">
        <v>2030</v>
      </c>
      <c r="U68" s="74">
        <v>2031</v>
      </c>
      <c r="V68" s="74">
        <v>2032</v>
      </c>
      <c r="W68" s="74">
        <v>2033</v>
      </c>
      <c r="X68" s="74">
        <v>2034</v>
      </c>
      <c r="Y68" s="74">
        <v>2035</v>
      </c>
      <c r="Z68" s="74">
        <v>2036</v>
      </c>
      <c r="AA68" s="74">
        <v>2037</v>
      </c>
      <c r="AB68" s="74">
        <v>2038</v>
      </c>
      <c r="AC68" s="74">
        <v>2039</v>
      </c>
      <c r="AD68" s="75">
        <v>2040</v>
      </c>
      <c r="AE68" s="74">
        <v>2041</v>
      </c>
      <c r="AF68" s="74">
        <v>2042</v>
      </c>
      <c r="AG68" s="74">
        <v>2043</v>
      </c>
      <c r="AH68" s="74">
        <v>2044</v>
      </c>
      <c r="AI68" s="74">
        <v>2045</v>
      </c>
      <c r="AJ68" s="74">
        <v>2046</v>
      </c>
      <c r="AK68" s="74">
        <v>2047</v>
      </c>
      <c r="AL68" s="74">
        <v>2048</v>
      </c>
      <c r="AM68" s="74">
        <v>2049</v>
      </c>
      <c r="AN68" s="75">
        <v>2050</v>
      </c>
    </row>
    <row r="69" spans="5:40" x14ac:dyDescent="0.25">
      <c r="E69" s="64" t="s">
        <v>38</v>
      </c>
      <c r="F69" s="64"/>
      <c r="G69" s="84" t="s">
        <v>39</v>
      </c>
      <c r="H69" s="62">
        <v>4528</v>
      </c>
      <c r="I69" s="62">
        <v>8473</v>
      </c>
      <c r="J69" s="62">
        <v>12576</v>
      </c>
      <c r="K69" s="62">
        <v>21085</v>
      </c>
      <c r="L69" s="62">
        <v>36002</v>
      </c>
      <c r="M69" s="62">
        <v>57730</v>
      </c>
      <c r="N69" s="62">
        <v>76458.133004706353</v>
      </c>
      <c r="O69" s="62">
        <v>98415.194404124166</v>
      </c>
      <c r="P69" s="62">
        <v>123756.24028758133</v>
      </c>
      <c r="Q69" s="62">
        <v>152915.52917535801</v>
      </c>
      <c r="R69" s="62">
        <v>186737.48815921484</v>
      </c>
      <c r="S69" s="62">
        <v>225545.84587663756</v>
      </c>
      <c r="T69" s="62">
        <v>270141.84587663756</v>
      </c>
      <c r="U69" s="62">
        <v>319101.38047990017</v>
      </c>
      <c r="V69" s="62">
        <v>372398.4319908793</v>
      </c>
      <c r="W69" s="62">
        <v>430244.41232910869</v>
      </c>
      <c r="X69" s="62">
        <v>491783.88087787427</v>
      </c>
      <c r="Y69" s="62">
        <v>613980.88087787433</v>
      </c>
      <c r="Z69" s="62">
        <v>734898.43145722908</v>
      </c>
      <c r="AA69" s="62">
        <v>853106.17047709145</v>
      </c>
      <c r="AB69" s="62">
        <v>969852.77933095349</v>
      </c>
      <c r="AC69" s="62">
        <v>1102703.0055037753</v>
      </c>
      <c r="AD69" s="62">
        <v>1247959.9441043576</v>
      </c>
      <c r="AE69" s="76"/>
      <c r="AF69" s="76"/>
      <c r="AG69" s="76"/>
      <c r="AH69" s="76"/>
      <c r="AI69" s="76"/>
      <c r="AJ69" s="76"/>
      <c r="AK69" s="76"/>
      <c r="AL69" s="76"/>
      <c r="AM69" s="76"/>
      <c r="AN69" s="77"/>
    </row>
    <row r="70" spans="5:40" x14ac:dyDescent="0.25">
      <c r="E70" s="64" t="s">
        <v>40</v>
      </c>
      <c r="F70" s="64"/>
      <c r="G70" s="84" t="s">
        <v>39</v>
      </c>
      <c r="H70" s="62">
        <v>2791</v>
      </c>
      <c r="I70" s="62">
        <v>6306</v>
      </c>
      <c r="J70" s="62">
        <v>12228</v>
      </c>
      <c r="K70" s="62">
        <v>23671</v>
      </c>
      <c r="L70" s="62">
        <v>33157</v>
      </c>
      <c r="M70" s="62">
        <v>46227</v>
      </c>
      <c r="N70" s="62">
        <v>65580.100332647708</v>
      </c>
      <c r="O70" s="62">
        <v>88429.861651536645</v>
      </c>
      <c r="P70" s="62">
        <v>115259.45447616215</v>
      </c>
      <c r="Q70" s="62">
        <v>146809.32931771784</v>
      </c>
      <c r="R70" s="62">
        <v>183964.44466028124</v>
      </c>
      <c r="S70" s="62">
        <v>227783.37094489671</v>
      </c>
      <c r="T70" s="62">
        <v>279410.37094489671</v>
      </c>
      <c r="U70" s="62">
        <v>332253.19836038561</v>
      </c>
      <c r="V70" s="62">
        <v>387035.05666471604</v>
      </c>
      <c r="W70" s="62">
        <v>443152.32676393108</v>
      </c>
      <c r="X70" s="62">
        <v>501365.82754287875</v>
      </c>
      <c r="Y70" s="62">
        <v>533243.82754287869</v>
      </c>
      <c r="Z70" s="62">
        <v>553529.32832182629</v>
      </c>
      <c r="AA70" s="62">
        <v>569780.54423927818</v>
      </c>
      <c r="AB70" s="62">
        <v>578053.04909329861</v>
      </c>
      <c r="AC70" s="62">
        <v>577463.83565678261</v>
      </c>
      <c r="AD70" s="62">
        <v>570364.07433789363</v>
      </c>
      <c r="AE70" s="76"/>
      <c r="AF70" s="76"/>
      <c r="AG70" s="76"/>
      <c r="AH70" s="76"/>
      <c r="AI70" s="76"/>
      <c r="AJ70" s="76"/>
      <c r="AK70" s="76"/>
      <c r="AL70" s="76"/>
      <c r="AM70" s="76"/>
      <c r="AN70" s="77"/>
    </row>
    <row r="71" spans="5:40" x14ac:dyDescent="0.25">
      <c r="E71" s="64" t="s">
        <v>41</v>
      </c>
      <c r="F71" s="64"/>
      <c r="G71" s="84" t="s">
        <v>39</v>
      </c>
      <c r="H71" s="64"/>
      <c r="I71" s="64"/>
      <c r="J71" s="64"/>
      <c r="K71" s="64"/>
      <c r="L71" s="64"/>
      <c r="M71" s="85">
        <v>61</v>
      </c>
      <c r="N71" s="85">
        <v>282</v>
      </c>
      <c r="O71" s="62">
        <v>282</v>
      </c>
      <c r="P71" s="62">
        <v>282</v>
      </c>
      <c r="Q71" s="62">
        <v>282</v>
      </c>
      <c r="R71" s="62">
        <v>282</v>
      </c>
      <c r="S71" s="62">
        <v>282</v>
      </c>
      <c r="T71" s="62">
        <v>282</v>
      </c>
      <c r="U71" s="62">
        <v>282</v>
      </c>
      <c r="V71" s="62">
        <v>282</v>
      </c>
      <c r="W71" s="62">
        <v>282</v>
      </c>
      <c r="X71" s="62">
        <v>282</v>
      </c>
      <c r="Y71" s="62">
        <v>282</v>
      </c>
      <c r="Z71" s="62">
        <v>282</v>
      </c>
      <c r="AA71" s="62">
        <v>282</v>
      </c>
      <c r="AB71" s="62">
        <v>282</v>
      </c>
      <c r="AC71" s="62">
        <v>282</v>
      </c>
      <c r="AD71" s="62">
        <v>282</v>
      </c>
      <c r="AE71" s="76"/>
      <c r="AF71" s="76"/>
      <c r="AG71" s="76"/>
      <c r="AH71" s="76"/>
      <c r="AI71" s="76"/>
      <c r="AJ71" s="76"/>
      <c r="AK71" s="76"/>
      <c r="AL71" s="76"/>
      <c r="AM71" s="76"/>
      <c r="AN71" s="77"/>
    </row>
    <row r="72" spans="5:40" x14ac:dyDescent="0.25">
      <c r="E72" s="64" t="s">
        <v>42</v>
      </c>
      <c r="F72" s="64"/>
      <c r="G72" s="84" t="s">
        <v>39</v>
      </c>
      <c r="H72" s="62">
        <v>10</v>
      </c>
      <c r="I72" s="62">
        <v>57</v>
      </c>
      <c r="J72" s="62">
        <v>103</v>
      </c>
      <c r="K72" s="62">
        <v>208</v>
      </c>
      <c r="L72" s="62">
        <v>379</v>
      </c>
      <c r="M72" s="62">
        <v>675</v>
      </c>
      <c r="N72" s="62">
        <v>937.5</v>
      </c>
      <c r="O72" s="62">
        <v>1200</v>
      </c>
      <c r="P72" s="62">
        <v>1860</v>
      </c>
      <c r="Q72" s="62">
        <v>2520</v>
      </c>
      <c r="R72" s="62">
        <v>3180</v>
      </c>
      <c r="S72" s="62">
        <v>3840</v>
      </c>
      <c r="T72" s="62">
        <v>4500</v>
      </c>
      <c r="U72" s="62">
        <v>6000</v>
      </c>
      <c r="V72" s="62">
        <v>7500</v>
      </c>
      <c r="W72" s="62">
        <v>9000</v>
      </c>
      <c r="X72" s="62">
        <v>10500</v>
      </c>
      <c r="Y72" s="62">
        <v>12000</v>
      </c>
      <c r="Z72" s="62">
        <v>11200</v>
      </c>
      <c r="AA72" s="62">
        <v>10400</v>
      </c>
      <c r="AB72" s="62">
        <v>9600</v>
      </c>
      <c r="AC72" s="62">
        <v>8800</v>
      </c>
      <c r="AD72" s="62">
        <v>8000</v>
      </c>
      <c r="AE72" s="76"/>
      <c r="AF72" s="76"/>
      <c r="AG72" s="76"/>
      <c r="AH72" s="76"/>
      <c r="AI72" s="76"/>
      <c r="AJ72" s="76"/>
      <c r="AK72" s="76"/>
      <c r="AL72" s="76"/>
      <c r="AM72" s="76"/>
      <c r="AN72" s="77"/>
    </row>
    <row r="73" spans="5:40" x14ac:dyDescent="0.25">
      <c r="E73" s="64" t="s">
        <v>43</v>
      </c>
      <c r="F73" s="64"/>
      <c r="G73" s="84" t="s">
        <v>39</v>
      </c>
      <c r="H73" s="86">
        <v>167</v>
      </c>
      <c r="I73" s="86">
        <v>454</v>
      </c>
      <c r="J73" s="86">
        <v>878</v>
      </c>
      <c r="K73" s="86">
        <v>1770</v>
      </c>
      <c r="L73" s="86">
        <v>2135</v>
      </c>
      <c r="M73" s="86">
        <v>2856</v>
      </c>
      <c r="N73" s="86">
        <v>3861.9285714285716</v>
      </c>
      <c r="O73" s="86">
        <v>4867.8571428571431</v>
      </c>
      <c r="P73" s="86">
        <v>6024.2857142857147</v>
      </c>
      <c r="Q73" s="86">
        <v>7180.7142857142853</v>
      </c>
      <c r="R73" s="86">
        <v>8337.1428571428569</v>
      </c>
      <c r="S73" s="86">
        <v>9493.5714285714294</v>
      </c>
      <c r="T73" s="86">
        <v>10650</v>
      </c>
      <c r="U73" s="86">
        <v>12310</v>
      </c>
      <c r="V73" s="86">
        <v>13970</v>
      </c>
      <c r="W73" s="86">
        <v>15630</v>
      </c>
      <c r="X73" s="86">
        <v>17290</v>
      </c>
      <c r="Y73" s="86">
        <v>18950</v>
      </c>
      <c r="Z73" s="86">
        <v>42754.874566279919</v>
      </c>
      <c r="AA73" s="86">
        <v>66559.749132559838</v>
      </c>
      <c r="AB73" s="86">
        <v>90364.623698839758</v>
      </c>
      <c r="AC73" s="86">
        <v>114169.49826511968</v>
      </c>
      <c r="AD73" s="86">
        <v>137974.37283139961</v>
      </c>
      <c r="AE73" s="76"/>
      <c r="AF73" s="76"/>
      <c r="AG73" s="76"/>
      <c r="AH73" s="76"/>
      <c r="AI73" s="76"/>
      <c r="AJ73" s="76"/>
      <c r="AK73" s="76"/>
      <c r="AL73" s="76"/>
      <c r="AM73" s="76"/>
      <c r="AN73" s="77"/>
    </row>
    <row r="74" spans="5:40" x14ac:dyDescent="0.25">
      <c r="E74" s="87" t="s">
        <v>44</v>
      </c>
      <c r="F74" s="88"/>
      <c r="G74" s="89" t="s">
        <v>39</v>
      </c>
      <c r="H74" s="62">
        <v>167</v>
      </c>
      <c r="I74" s="62">
        <v>454</v>
      </c>
      <c r="J74" s="62">
        <v>878</v>
      </c>
      <c r="K74" s="62">
        <v>1770</v>
      </c>
      <c r="L74" s="62">
        <v>2135</v>
      </c>
      <c r="M74" s="62">
        <v>2821</v>
      </c>
      <c r="N74" s="62">
        <v>3810.5</v>
      </c>
      <c r="O74" s="62">
        <v>4800</v>
      </c>
      <c r="P74" s="62">
        <v>5940</v>
      </c>
      <c r="Q74" s="62">
        <v>7080</v>
      </c>
      <c r="R74" s="62">
        <v>8220</v>
      </c>
      <c r="S74" s="62">
        <v>9360</v>
      </c>
      <c r="T74" s="62">
        <v>10500</v>
      </c>
      <c r="U74" s="62">
        <v>12000</v>
      </c>
      <c r="V74" s="62">
        <v>13500</v>
      </c>
      <c r="W74" s="62">
        <v>15000</v>
      </c>
      <c r="X74" s="62">
        <v>16500</v>
      </c>
      <c r="Y74" s="62">
        <v>18000</v>
      </c>
      <c r="Z74" s="62">
        <v>41644.874566279919</v>
      </c>
      <c r="AA74" s="62">
        <v>65289.749132559838</v>
      </c>
      <c r="AB74" s="62">
        <v>88934.623698839758</v>
      </c>
      <c r="AC74" s="62">
        <v>112579.49826511968</v>
      </c>
      <c r="AD74" s="62">
        <v>136224.37283139961</v>
      </c>
      <c r="AE74" s="78"/>
      <c r="AF74" s="78"/>
      <c r="AG74" s="78"/>
      <c r="AH74" s="78"/>
      <c r="AI74" s="78"/>
      <c r="AJ74" s="78"/>
      <c r="AK74" s="78"/>
      <c r="AL74" s="78"/>
      <c r="AM74" s="78"/>
      <c r="AN74" s="79"/>
    </row>
    <row r="75" spans="5:40" x14ac:dyDescent="0.25">
      <c r="E75" s="90" t="s">
        <v>45</v>
      </c>
      <c r="F75" s="91"/>
      <c r="G75" s="92" t="s">
        <v>39</v>
      </c>
      <c r="H75" s="62">
        <v>0</v>
      </c>
      <c r="I75" s="62">
        <v>0</v>
      </c>
      <c r="J75" s="62">
        <v>0</v>
      </c>
      <c r="K75" s="62">
        <v>0</v>
      </c>
      <c r="L75" s="62">
        <v>0</v>
      </c>
      <c r="M75" s="62">
        <v>35</v>
      </c>
      <c r="N75" s="62">
        <v>51.428571428571431</v>
      </c>
      <c r="O75" s="62">
        <v>67.857142857142861</v>
      </c>
      <c r="P75" s="62">
        <v>84.285714285714292</v>
      </c>
      <c r="Q75" s="62">
        <v>100.71428571428572</v>
      </c>
      <c r="R75" s="62">
        <v>117.14285714285715</v>
      </c>
      <c r="S75" s="62">
        <v>133.57142857142858</v>
      </c>
      <c r="T75" s="62">
        <v>150</v>
      </c>
      <c r="U75" s="62">
        <v>310</v>
      </c>
      <c r="V75" s="62">
        <v>470</v>
      </c>
      <c r="W75" s="62">
        <v>630</v>
      </c>
      <c r="X75" s="62">
        <v>790</v>
      </c>
      <c r="Y75" s="62">
        <v>950</v>
      </c>
      <c r="Z75" s="62">
        <v>1110</v>
      </c>
      <c r="AA75" s="62">
        <v>1270</v>
      </c>
      <c r="AB75" s="62">
        <v>1430</v>
      </c>
      <c r="AC75" s="62">
        <v>1590</v>
      </c>
      <c r="AD75" s="62">
        <v>1750</v>
      </c>
      <c r="AE75" s="80"/>
      <c r="AF75" s="80"/>
      <c r="AG75" s="80"/>
      <c r="AH75" s="80"/>
      <c r="AI75" s="80"/>
      <c r="AJ75" s="80"/>
      <c r="AK75" s="80"/>
      <c r="AL75" s="80"/>
      <c r="AM75" s="80"/>
      <c r="AN75" s="81"/>
    </row>
    <row r="76" spans="5:40" x14ac:dyDescent="0.25">
      <c r="E76" s="64" t="s">
        <v>46</v>
      </c>
      <c r="F76" s="64"/>
      <c r="G76" s="84" t="s">
        <v>47</v>
      </c>
      <c r="H76" s="64"/>
      <c r="I76" s="64"/>
      <c r="J76" s="64"/>
      <c r="K76" s="64"/>
      <c r="L76" s="64"/>
      <c r="M76" s="64"/>
      <c r="N76" s="62">
        <v>4740.55</v>
      </c>
      <c r="O76" s="62">
        <v>4959.90625</v>
      </c>
      <c r="P76" s="62">
        <v>5224.25</v>
      </c>
      <c r="Q76" s="62">
        <v>5507.75</v>
      </c>
      <c r="R76" s="62">
        <v>5914.375</v>
      </c>
      <c r="S76" s="62">
        <v>6252.5</v>
      </c>
      <c r="T76" s="62">
        <v>6655</v>
      </c>
      <c r="U76" s="62">
        <v>6917.5</v>
      </c>
      <c r="V76" s="62">
        <v>7105</v>
      </c>
      <c r="W76" s="62">
        <v>7230</v>
      </c>
      <c r="X76" s="62">
        <v>7430</v>
      </c>
      <c r="Y76" s="62">
        <v>7630</v>
      </c>
      <c r="Z76" s="62">
        <v>7830</v>
      </c>
      <c r="AA76" s="62">
        <v>8030</v>
      </c>
      <c r="AB76" s="62">
        <v>8230</v>
      </c>
      <c r="AC76" s="62">
        <v>8430</v>
      </c>
      <c r="AD76" s="62">
        <v>8630</v>
      </c>
      <c r="AE76" s="76"/>
      <c r="AF76" s="76"/>
      <c r="AG76" s="76"/>
      <c r="AH76" s="76"/>
      <c r="AI76" s="76"/>
      <c r="AJ76" s="76"/>
      <c r="AK76" s="76"/>
      <c r="AL76" s="76"/>
      <c r="AM76" s="76"/>
      <c r="AN76" s="77"/>
    </row>
    <row r="77" spans="5:40" x14ac:dyDescent="0.25">
      <c r="E77" s="64" t="s">
        <v>48</v>
      </c>
      <c r="F77" s="64"/>
      <c r="G77" s="84" t="s">
        <v>47</v>
      </c>
      <c r="H77" s="64"/>
      <c r="I77" s="64"/>
      <c r="J77" s="64"/>
      <c r="K77" s="64"/>
      <c r="L77" s="64"/>
      <c r="M77" s="64"/>
      <c r="N77" s="62">
        <v>25</v>
      </c>
      <c r="O77" s="62">
        <v>25</v>
      </c>
      <c r="P77" s="62">
        <v>25</v>
      </c>
      <c r="Q77" s="62">
        <v>25</v>
      </c>
      <c r="R77" s="62">
        <v>25</v>
      </c>
      <c r="S77" s="62">
        <v>25</v>
      </c>
      <c r="T77" s="62">
        <v>357.25</v>
      </c>
      <c r="U77" s="62">
        <v>1354</v>
      </c>
      <c r="V77" s="62">
        <v>1952</v>
      </c>
      <c r="W77" s="62">
        <v>2516</v>
      </c>
      <c r="X77" s="62">
        <v>3118</v>
      </c>
      <c r="Y77" s="62">
        <v>3915.5</v>
      </c>
      <c r="Z77" s="62">
        <v>4481</v>
      </c>
      <c r="AA77" s="62">
        <v>4831</v>
      </c>
      <c r="AB77" s="62">
        <v>5181</v>
      </c>
      <c r="AC77" s="62">
        <v>5531</v>
      </c>
      <c r="AD77" s="62">
        <v>5881</v>
      </c>
      <c r="AE77" s="76"/>
      <c r="AF77" s="76"/>
      <c r="AG77" s="76"/>
      <c r="AH77" s="76"/>
      <c r="AI77" s="76"/>
      <c r="AJ77" s="76"/>
      <c r="AK77" s="76"/>
      <c r="AL77" s="76"/>
      <c r="AM77" s="76"/>
      <c r="AN77" s="77"/>
    </row>
    <row r="78" spans="5:40" x14ac:dyDescent="0.25">
      <c r="E78" s="64" t="s">
        <v>49</v>
      </c>
      <c r="F78" s="64"/>
      <c r="G78" s="84" t="s">
        <v>47</v>
      </c>
      <c r="H78" s="64"/>
      <c r="I78" s="64"/>
      <c r="J78" s="64"/>
      <c r="K78" s="64"/>
      <c r="L78" s="64"/>
      <c r="M78" s="64"/>
      <c r="N78" s="62">
        <v>914.93749999999989</v>
      </c>
      <c r="O78" s="62">
        <v>1547.25</v>
      </c>
      <c r="P78" s="62">
        <v>2290.875</v>
      </c>
      <c r="Q78" s="62">
        <v>2906.5</v>
      </c>
      <c r="R78" s="62">
        <v>3744.625</v>
      </c>
      <c r="S78" s="62">
        <v>4373.375</v>
      </c>
      <c r="T78" s="62">
        <v>5177.5</v>
      </c>
      <c r="U78" s="62">
        <v>5806.5</v>
      </c>
      <c r="V78" s="62">
        <v>6177.5</v>
      </c>
      <c r="W78" s="62">
        <v>6593.75</v>
      </c>
      <c r="X78" s="62">
        <v>6825</v>
      </c>
      <c r="Y78" s="62">
        <v>7025</v>
      </c>
      <c r="Z78" s="62">
        <v>7225</v>
      </c>
      <c r="AA78" s="62">
        <v>7425</v>
      </c>
      <c r="AB78" s="62">
        <v>7625</v>
      </c>
      <c r="AC78" s="62">
        <v>7825</v>
      </c>
      <c r="AD78" s="62">
        <v>8025</v>
      </c>
      <c r="AE78" s="76"/>
      <c r="AF78" s="76"/>
      <c r="AG78" s="76"/>
      <c r="AH78" s="76"/>
      <c r="AI78" s="76"/>
      <c r="AJ78" s="76"/>
      <c r="AK78" s="76"/>
      <c r="AL78" s="76"/>
      <c r="AM78" s="76"/>
      <c r="AN78" s="77"/>
    </row>
    <row r="79" spans="5:40" x14ac:dyDescent="0.25">
      <c r="E79" s="64" t="s">
        <v>50</v>
      </c>
      <c r="F79" s="64"/>
      <c r="G79" s="84" t="s">
        <v>51</v>
      </c>
      <c r="H79" s="64"/>
      <c r="I79" s="64"/>
      <c r="J79" s="64"/>
      <c r="K79" s="64"/>
      <c r="L79" s="64"/>
      <c r="M79" s="64"/>
      <c r="N79" s="64"/>
      <c r="O79" s="62">
        <v>10</v>
      </c>
      <c r="P79" s="69">
        <v>10</v>
      </c>
      <c r="Q79" s="69">
        <v>10</v>
      </c>
      <c r="R79" s="69">
        <v>10</v>
      </c>
      <c r="S79" s="69">
        <v>10</v>
      </c>
      <c r="T79" s="62">
        <v>10</v>
      </c>
      <c r="U79" s="69">
        <v>10</v>
      </c>
      <c r="V79" s="69">
        <v>10</v>
      </c>
      <c r="W79" s="69">
        <v>10</v>
      </c>
      <c r="X79" s="69">
        <v>10</v>
      </c>
      <c r="Y79" s="69">
        <v>10</v>
      </c>
      <c r="Z79" s="69">
        <v>10</v>
      </c>
      <c r="AA79" s="69">
        <v>10</v>
      </c>
      <c r="AB79" s="69">
        <v>10</v>
      </c>
      <c r="AC79" s="69">
        <v>10</v>
      </c>
      <c r="AD79" s="69">
        <v>10</v>
      </c>
      <c r="AE79" s="76"/>
      <c r="AF79" s="76"/>
      <c r="AG79" s="76"/>
      <c r="AH79" s="76"/>
      <c r="AI79" s="76"/>
      <c r="AJ79" s="76"/>
      <c r="AK79" s="76"/>
      <c r="AL79" s="76"/>
      <c r="AM79" s="76"/>
      <c r="AN79" s="77"/>
    </row>
    <row r="80" spans="5:40" x14ac:dyDescent="0.25">
      <c r="E80" s="64" t="s">
        <v>52</v>
      </c>
      <c r="F80" s="64"/>
      <c r="G80" s="84" t="s">
        <v>51</v>
      </c>
      <c r="H80" s="64"/>
      <c r="I80" s="64"/>
      <c r="J80" s="64"/>
      <c r="K80" s="64"/>
      <c r="L80" s="64"/>
      <c r="M80" s="64"/>
      <c r="N80" s="64"/>
      <c r="O80" s="62">
        <v>12</v>
      </c>
      <c r="P80" s="69">
        <v>13.6</v>
      </c>
      <c r="Q80" s="69">
        <v>15.2</v>
      </c>
      <c r="R80" s="69">
        <v>16.8</v>
      </c>
      <c r="S80" s="69">
        <v>18.400000000000002</v>
      </c>
      <c r="T80" s="62">
        <v>20</v>
      </c>
      <c r="U80" s="69">
        <v>20</v>
      </c>
      <c r="V80" s="69">
        <v>20</v>
      </c>
      <c r="W80" s="69">
        <v>20</v>
      </c>
      <c r="X80" s="69">
        <v>20</v>
      </c>
      <c r="Y80" s="69">
        <v>20</v>
      </c>
      <c r="Z80" s="69">
        <v>20</v>
      </c>
      <c r="AA80" s="69">
        <v>20</v>
      </c>
      <c r="AB80" s="69">
        <v>20</v>
      </c>
      <c r="AC80" s="69">
        <v>20</v>
      </c>
      <c r="AD80" s="69">
        <v>20</v>
      </c>
      <c r="AE80" s="76"/>
      <c r="AF80" s="76"/>
      <c r="AG80" s="76"/>
      <c r="AH80" s="76"/>
      <c r="AI80" s="76"/>
      <c r="AJ80" s="76"/>
      <c r="AK80" s="76"/>
      <c r="AL80" s="76"/>
      <c r="AM80" s="76"/>
      <c r="AN80" s="77"/>
    </row>
    <row r="81" spans="5:40" x14ac:dyDescent="0.25">
      <c r="E81" s="64" t="s">
        <v>53</v>
      </c>
      <c r="F81" s="64"/>
      <c r="G81" s="84" t="s">
        <v>54</v>
      </c>
      <c r="H81" s="64"/>
      <c r="I81" s="64"/>
      <c r="J81" s="64"/>
      <c r="K81" s="64"/>
      <c r="L81" s="64"/>
      <c r="M81" s="64"/>
      <c r="N81" s="64"/>
      <c r="O81" s="93">
        <v>0.16666666666666666</v>
      </c>
      <c r="P81" s="93">
        <v>0.33333333333333331</v>
      </c>
      <c r="Q81" s="93">
        <v>0.5</v>
      </c>
      <c r="R81" s="93">
        <v>0.66666666666666663</v>
      </c>
      <c r="S81" s="93">
        <v>0.83333333333333326</v>
      </c>
      <c r="T81" s="93">
        <v>1</v>
      </c>
      <c r="U81" s="93">
        <v>1.1666666666666667</v>
      </c>
      <c r="V81" s="93">
        <v>1.3333333333333335</v>
      </c>
      <c r="W81" s="93">
        <v>1.5000000000000002</v>
      </c>
      <c r="X81" s="93">
        <v>1.666666666666667</v>
      </c>
      <c r="Y81" s="93">
        <v>1.8333333333333337</v>
      </c>
      <c r="Z81" s="93">
        <v>2.0000000000000004</v>
      </c>
      <c r="AA81" s="93">
        <v>2.166666666666667</v>
      </c>
      <c r="AB81" s="93">
        <v>2.3333333333333335</v>
      </c>
      <c r="AC81" s="93">
        <v>2.5</v>
      </c>
      <c r="AD81" s="93">
        <v>2.6666666666666665</v>
      </c>
      <c r="AE81" s="76"/>
      <c r="AF81" s="76"/>
      <c r="AG81" s="76"/>
      <c r="AH81" s="76"/>
      <c r="AI81" s="76"/>
      <c r="AJ81" s="76"/>
      <c r="AK81" s="76"/>
      <c r="AL81" s="76"/>
      <c r="AM81" s="76"/>
      <c r="AN81" s="77"/>
    </row>
    <row r="82" spans="5:40" x14ac:dyDescent="0.25">
      <c r="E82" s="64" t="s">
        <v>55</v>
      </c>
      <c r="F82" s="64" t="s">
        <v>56</v>
      </c>
      <c r="G82" s="84" t="s">
        <v>57</v>
      </c>
      <c r="H82" s="64"/>
      <c r="I82" s="64"/>
      <c r="J82" s="64"/>
      <c r="K82" s="64"/>
      <c r="L82" s="64"/>
      <c r="M82" s="64"/>
      <c r="N82" s="86">
        <v>30290</v>
      </c>
      <c r="O82" s="62">
        <v>9784</v>
      </c>
      <c r="P82" s="70">
        <v>17033.2</v>
      </c>
      <c r="Q82" s="70">
        <v>24282.400000000001</v>
      </c>
      <c r="R82" s="70">
        <v>31531.600000000002</v>
      </c>
      <c r="S82" s="70">
        <v>38780.800000000003</v>
      </c>
      <c r="T82" s="62">
        <v>46030</v>
      </c>
      <c r="U82" s="70">
        <v>51282.3</v>
      </c>
      <c r="V82" s="70">
        <v>56534.600000000006</v>
      </c>
      <c r="W82" s="70">
        <v>61786.900000000009</v>
      </c>
      <c r="X82" s="70">
        <v>67039.200000000012</v>
      </c>
      <c r="Y82" s="70">
        <v>72291.500000000015</v>
      </c>
      <c r="Z82" s="70">
        <v>77543.800000000017</v>
      </c>
      <c r="AA82" s="70">
        <v>82796.10000000002</v>
      </c>
      <c r="AB82" s="70">
        <v>88048.400000000023</v>
      </c>
      <c r="AC82" s="70">
        <v>93300.700000000026</v>
      </c>
      <c r="AD82" s="62">
        <v>98553</v>
      </c>
      <c r="AE82" s="76"/>
      <c r="AF82" s="76"/>
      <c r="AG82" s="76"/>
      <c r="AH82" s="76"/>
      <c r="AI82" s="76"/>
      <c r="AJ82" s="76"/>
      <c r="AK82" s="76"/>
      <c r="AL82" s="76"/>
      <c r="AM82" s="76"/>
      <c r="AN82" s="77"/>
    </row>
    <row r="83" spans="5:40" x14ac:dyDescent="0.25">
      <c r="E83" s="64" t="s">
        <v>58</v>
      </c>
      <c r="F83" s="64" t="s">
        <v>59</v>
      </c>
      <c r="G83" s="84" t="s">
        <v>60</v>
      </c>
      <c r="H83" s="64"/>
      <c r="I83" s="64"/>
      <c r="J83" s="64"/>
      <c r="K83" s="64"/>
      <c r="L83" s="64"/>
      <c r="M83" s="64"/>
      <c r="N83" s="62">
        <v>22594</v>
      </c>
      <c r="O83" s="62">
        <v>30753.640104178994</v>
      </c>
      <c r="P83" s="62">
        <v>38787.089185870005</v>
      </c>
      <c r="Q83" s="62">
        <v>47979.990681859999</v>
      </c>
      <c r="R83" s="62">
        <v>58453.896772416992</v>
      </c>
      <c r="S83" s="62">
        <v>69469.589697084986</v>
      </c>
      <c r="T83" s="62">
        <v>81294.661195221983</v>
      </c>
      <c r="U83" s="62">
        <v>87694.270859714001</v>
      </c>
      <c r="V83" s="62">
        <v>94079.009236094993</v>
      </c>
      <c r="W83" s="62">
        <v>100528.592055809</v>
      </c>
      <c r="X83" s="62">
        <v>106924.69278941599</v>
      </c>
      <c r="Y83" s="62">
        <v>113142.96160799799</v>
      </c>
      <c r="Z83" s="62">
        <v>119285.197212352</v>
      </c>
      <c r="AA83" s="62">
        <v>125231.603459933</v>
      </c>
      <c r="AB83" s="62">
        <v>131189.03544901701</v>
      </c>
      <c r="AC83" s="62">
        <v>135402.15358821102</v>
      </c>
      <c r="AD83" s="62">
        <v>138265.558034327</v>
      </c>
      <c r="AE83" s="76"/>
      <c r="AF83" s="76"/>
      <c r="AG83" s="76"/>
      <c r="AH83" s="76"/>
      <c r="AI83" s="76"/>
      <c r="AJ83" s="76"/>
      <c r="AK83" s="76"/>
      <c r="AL83" s="76"/>
      <c r="AM83" s="76"/>
      <c r="AN83" s="77"/>
    </row>
    <row r="84" spans="5:40" x14ac:dyDescent="0.25">
      <c r="E84" s="64" t="s">
        <v>61</v>
      </c>
      <c r="F84" s="64"/>
      <c r="G84" s="84" t="s">
        <v>54</v>
      </c>
      <c r="H84" s="64"/>
      <c r="I84" s="64"/>
      <c r="J84" s="64"/>
      <c r="K84" s="64"/>
      <c r="L84" s="71">
        <v>8.9999999999999998E-4</v>
      </c>
      <c r="M84" s="71">
        <v>8.9999999999999998E-4</v>
      </c>
      <c r="N84" s="71">
        <v>1.4000000000000002E-3</v>
      </c>
      <c r="O84" s="71">
        <v>1.4000000000000002E-3</v>
      </c>
      <c r="P84" s="71">
        <v>1.4000000000000002E-3</v>
      </c>
      <c r="Q84" s="71">
        <v>1.4000000000000002E-3</v>
      </c>
      <c r="R84" s="71">
        <v>5.8473333333333346E-3</v>
      </c>
      <c r="S84" s="71">
        <v>1.0294666666666667E-2</v>
      </c>
      <c r="T84" s="71">
        <v>1.4742000000000003E-2</v>
      </c>
      <c r="U84" s="71">
        <v>1.9491700000000004E-2</v>
      </c>
      <c r="V84" s="71">
        <v>2.4241400000000007E-2</v>
      </c>
      <c r="W84" s="71">
        <v>2.8991100000000006E-2</v>
      </c>
      <c r="X84" s="71">
        <v>3.3740800000000008E-2</v>
      </c>
      <c r="Y84" s="71">
        <v>3.8490500000000011E-2</v>
      </c>
      <c r="Z84" s="71">
        <v>4.3240200000000013E-2</v>
      </c>
      <c r="AA84" s="71">
        <v>4.7989900000000016E-2</v>
      </c>
      <c r="AB84" s="71">
        <v>5.2739600000000011E-2</v>
      </c>
      <c r="AC84" s="71">
        <v>5.7489300000000007E-2</v>
      </c>
      <c r="AD84" s="71">
        <v>6.2239000000000003E-2</v>
      </c>
      <c r="AE84" s="76"/>
      <c r="AF84" s="76"/>
      <c r="AG84" s="76"/>
      <c r="AH84" s="76"/>
      <c r="AI84" s="76"/>
      <c r="AJ84" s="76"/>
      <c r="AK84" s="76"/>
      <c r="AL84" s="76"/>
      <c r="AM84" s="76"/>
      <c r="AN84" s="77"/>
    </row>
    <row r="85" spans="5:40" x14ac:dyDescent="0.25">
      <c r="E85" s="64" t="s">
        <v>62</v>
      </c>
      <c r="F85" s="64" t="s">
        <v>63</v>
      </c>
      <c r="G85" s="84" t="s">
        <v>54</v>
      </c>
      <c r="H85" s="64"/>
      <c r="I85" s="64"/>
      <c r="J85" s="64"/>
      <c r="K85" s="64"/>
      <c r="L85" s="71">
        <v>3.5999999999999995E-3</v>
      </c>
      <c r="M85" s="71">
        <v>3.5999999999999995E-3</v>
      </c>
      <c r="N85" s="71">
        <v>5.5999999999999999E-3</v>
      </c>
      <c r="O85" s="71">
        <v>5.5999999999999999E-3</v>
      </c>
      <c r="P85" s="71">
        <v>5.5999999999999999E-3</v>
      </c>
      <c r="Q85" s="71">
        <v>5.5999999999999999E-3</v>
      </c>
      <c r="R85" s="71">
        <v>2.3389333333333331E-2</v>
      </c>
      <c r="S85" s="71">
        <v>4.1178666666666669E-2</v>
      </c>
      <c r="T85" s="71">
        <v>5.8968000000000007E-2</v>
      </c>
      <c r="U85" s="71">
        <v>7.7966800000000003E-2</v>
      </c>
      <c r="V85" s="71">
        <v>9.6965600000000027E-2</v>
      </c>
      <c r="W85" s="71">
        <v>0.11596440000000001</v>
      </c>
      <c r="X85" s="71">
        <v>0.13496320000000003</v>
      </c>
      <c r="Y85" s="71">
        <v>0.15396200000000004</v>
      </c>
      <c r="Z85" s="71">
        <v>0.17296080000000003</v>
      </c>
      <c r="AA85" s="71">
        <v>0.19195960000000004</v>
      </c>
      <c r="AB85" s="71">
        <v>0.21095840000000005</v>
      </c>
      <c r="AC85" s="71">
        <v>0.2299572</v>
      </c>
      <c r="AD85" s="71">
        <v>0.24895599999999998</v>
      </c>
      <c r="AE85" s="76"/>
      <c r="AF85" s="76"/>
      <c r="AG85" s="76"/>
      <c r="AH85" s="76"/>
      <c r="AI85" s="76"/>
      <c r="AJ85" s="76"/>
      <c r="AK85" s="76"/>
      <c r="AL85" s="76"/>
      <c r="AM85" s="76"/>
      <c r="AN85" s="77"/>
    </row>
  </sheetData>
  <conditionalFormatting sqref="C42:AI48">
    <cfRule type="cellIs" dxfId="1" priority="1" operator="equal">
      <formula>0</formula>
    </cfRule>
    <cfRule type="cellIs" dxfId="0" priority="2" operator="lessThan">
      <formula>0.001</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rsd</vt:lpstr>
      <vt:lpstr>pwr</vt:lpstr>
      <vt:lpstr>tra</vt:lpstr>
      <vt:lpstr>srv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Bakytzhan Suleimenov</dc:creator>
  <cp:lastModifiedBy>Bakytzhan Suleimenov</cp:lastModifiedBy>
  <dcterms:created xsi:type="dcterms:W3CDTF">2026-09-30T13:55:28Z</dcterms:created>
  <dcterms:modified xsi:type="dcterms:W3CDTF">2026-10-01T01:49:58Z</dcterms:modified>
</cp:coreProperties>
</file>