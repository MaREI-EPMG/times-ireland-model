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B6F6B07D-A28D-44C6-9F3F-4A59DE7D6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T2" sheetId="12" r:id="rId1"/>
    <sheet name="numbers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2" l="1"/>
  <c r="R12" i="12"/>
  <c r="S12" i="12"/>
  <c r="T12" i="12"/>
  <c r="P12" i="12"/>
  <c r="P6" i="12"/>
  <c r="Q9" i="12"/>
  <c r="R9" i="12"/>
  <c r="S9" i="12"/>
  <c r="T9" i="12"/>
  <c r="P11" i="12"/>
  <c r="P10" i="12"/>
  <c r="P9" i="12"/>
  <c r="Q8" i="12"/>
  <c r="R8" i="12"/>
  <c r="S8" i="12"/>
  <c r="T8" i="12"/>
  <c r="P8" i="12"/>
  <c r="Q6" i="12"/>
  <c r="R6" i="12"/>
  <c r="S6" i="12"/>
  <c r="T6" i="12"/>
  <c r="AN6" i="12"/>
</calcChain>
</file>

<file path=xl/sharedStrings.xml><?xml version="1.0" encoding="utf-8"?>
<sst xmlns="http://schemas.openxmlformats.org/spreadsheetml/2006/main" count="258" uniqueCount="111">
  <si>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</si>
  <si>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</si>
  <si>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</si>
  <si>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</si>
  <si>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</si>
  <si>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</si>
  <si>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</si>
  <si>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</si>
  <si>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UC_FLO</t>
  </si>
  <si>
    <t>Attribute</t>
  </si>
  <si>
    <t>LimType</t>
  </si>
  <si>
    <t>UC_Desc</t>
  </si>
  <si>
    <t>AllRegions</t>
  </si>
  <si>
    <t>~UC_Sets: T_S:</t>
  </si>
  <si>
    <t>UC - Each Region/All Periods</t>
  </si>
  <si>
    <t>tableName</t>
  </si>
  <si>
    <t>seriesName</t>
  </si>
  <si>
    <t>TRA_F-HTRUCK-N_TYPE</t>
  </si>
  <si>
    <t>DMD_TRA-F-HTRUCK-BEV</t>
  </si>
  <si>
    <t>DMD_TRA-F-HTRUCK-FCV</t>
  </si>
  <si>
    <t>DMD_TRA-F-HTRUCK-HEV</t>
  </si>
  <si>
    <t>TRA_F-LTRUCK-N_TYPE</t>
  </si>
  <si>
    <t>DMD_TRA-F-LTRUCK-BEV</t>
  </si>
  <si>
    <t>DMD_TRA-F-LTRUCK-FCV</t>
  </si>
  <si>
    <t>DMD_TRA-F-LTRUCK-HEV</t>
  </si>
  <si>
    <t>TRA_F-MTRUCK-N_TYPE</t>
  </si>
  <si>
    <t>DMD_TRA-F-MTRUCK-FCV</t>
  </si>
  <si>
    <t>DMD_TRA-F-MTRUCK-HEV</t>
  </si>
  <si>
    <t>TRA_P-CAR-N_TYPE</t>
  </si>
  <si>
    <t>DMD_TRA-P-CAR-BEV</t>
  </si>
  <si>
    <t>DMD_TRA-P-CAR-HEV</t>
  </si>
  <si>
    <t>DMD_TRA-P-CAR-PHEV</t>
  </si>
  <si>
    <t>BEV_CARS_300</t>
  </si>
  <si>
    <t>HEV_CARS_300</t>
  </si>
  <si>
    <t>PHEV_CARS_300</t>
  </si>
  <si>
    <t>BEV_TRUCKS_300</t>
  </si>
  <si>
    <t>HEV_TRUCKS_300</t>
  </si>
  <si>
    <t>FCV_TRUCKS_300</t>
  </si>
  <si>
    <t>T-CAR-BEV*</t>
  </si>
  <si>
    <t>T-CAR-HEV*</t>
  </si>
  <si>
    <t>T-CAR-PHEV*</t>
  </si>
  <si>
    <t>T-*GT-HEV*</t>
  </si>
  <si>
    <t>T-*GT-BEV*</t>
  </si>
  <si>
    <t>T-*GT-FCV*</t>
  </si>
  <si>
    <t>~UC_T: UC_RHSRT</t>
  </si>
  <si>
    <t>UC_RHSRT~0</t>
  </si>
  <si>
    <t>Coefficient</t>
  </si>
  <si>
    <t>Processset</t>
  </si>
  <si>
    <t>Process</t>
  </si>
  <si>
    <t>VAR_Cap</t>
  </si>
  <si>
    <t>DMD_TRA-P-BUS</t>
  </si>
  <si>
    <t>T-BUS-BEV_ELC41</t>
  </si>
  <si>
    <t>T-BUS-FCV_HYD41</t>
  </si>
  <si>
    <t>T-BUS-ICE_B10041</t>
  </si>
  <si>
    <t>T-BUS-ICE_DST00</t>
  </si>
  <si>
    <t>T-BUS-ICE_DST41</t>
  </si>
  <si>
    <t>DMD_TRA-P-TAXI</t>
  </si>
  <si>
    <t>T-TAX-BEV100_ELC31</t>
  </si>
  <si>
    <t>T-TAX-BEV150_ELC31</t>
  </si>
  <si>
    <t>T-TAX-BEV250_ELC31</t>
  </si>
  <si>
    <t>T-TAX-FCV_HYD31</t>
  </si>
  <si>
    <t>T-TAX-HEV_DST31</t>
  </si>
  <si>
    <t>T-TAX-HEV_GSL00</t>
  </si>
  <si>
    <t>T-TAX-HEV_GSL31</t>
  </si>
  <si>
    <t>T-TAX-ICE_B10031</t>
  </si>
  <si>
    <t>T-TAX-ICE_DF31</t>
  </si>
  <si>
    <t>T-TAX-ICE_DST00</t>
  </si>
  <si>
    <t>T-TAX-ICE_DST31</t>
  </si>
  <si>
    <t>T-TAX-ICE_E8531</t>
  </si>
  <si>
    <t>T-TAX-ICE_GSL00</t>
  </si>
  <si>
    <t>T-TAX-ICE_GSL31</t>
  </si>
  <si>
    <t>T-TAX-ICE_HYD31</t>
  </si>
  <si>
    <t>T-TAX-ICE_NGB31</t>
  </si>
  <si>
    <t>T-TAX-PHEV10_DST31</t>
  </si>
  <si>
    <t>T-TAX-PHEV10_GSL31</t>
  </si>
  <si>
    <t>T-TAX-PHEV20_DST31</t>
  </si>
  <si>
    <t>T-TAX-PHEV20_GSL31</t>
  </si>
  <si>
    <t>T-TAX-PHEV40_DST31</t>
  </si>
  <si>
    <t>T-TAX-PHEV40_GSL31</t>
  </si>
  <si>
    <t>VAR_Ncap</t>
  </si>
  <si>
    <t>BEV_BUS_300</t>
  </si>
  <si>
    <t>FCV_BUS_300</t>
  </si>
  <si>
    <t>T-BUS-BEV*</t>
  </si>
  <si>
    <t>T-BUS-FCV*</t>
  </si>
  <si>
    <t>FX</t>
  </si>
  <si>
    <t>Units</t>
  </si>
  <si>
    <t>BEVs</t>
  </si>
  <si>
    <t># vehicles</t>
  </si>
  <si>
    <t>PHEVs</t>
  </si>
  <si>
    <t>Electric Buses</t>
  </si>
  <si>
    <t>PHEV LGV</t>
  </si>
  <si>
    <t>Battery Electric Trucks (LGV + HGV)</t>
  </si>
  <si>
    <t>LGV</t>
  </si>
  <si>
    <t>HGV</t>
  </si>
  <si>
    <t>Onshore wind</t>
  </si>
  <si>
    <t>MW</t>
  </si>
  <si>
    <t>Offshore wind</t>
  </si>
  <si>
    <t>Solar</t>
  </si>
  <si>
    <t>Biofuel Blending Ethanol (transport)</t>
  </si>
  <si>
    <t>% share</t>
  </si>
  <si>
    <t>Biofuel Blending Biodiesel (transport)</t>
  </si>
  <si>
    <t>Biomethane</t>
  </si>
  <si>
    <t>TWh</t>
  </si>
  <si>
    <t>Retrofits</t>
  </si>
  <si>
    <t># Homes B2 (total)</t>
  </si>
  <si>
    <t>Heat Pumps (Residential)</t>
  </si>
  <si>
    <t># Heat Pumps (total)</t>
  </si>
  <si>
    <t>District Heating (Residential)</t>
  </si>
  <si>
    <t>District Heating (Commercial)</t>
  </si>
  <si>
    <t>WAM</t>
  </si>
  <si>
    <t>UC_CAP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</si>
</sst>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0" formatCode="0.000"/>
  </numFmts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</fonts>
  <fills count="4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44">
    <xf numFmtId="0" fontId="0" fillId="0" borderId="0"/>
    <xf numFmtId="0" fontId="5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4" applyNumberFormat="0" applyAlignment="0" applyProtection="0"/>
    <xf numFmtId="0" fontId="15" fillId="9" borderId="5" applyNumberFormat="0" applyAlignment="0" applyProtection="0"/>
    <xf numFmtId="0" fontId="16" fillId="9" borderId="4" applyNumberFormat="0" applyAlignment="0" applyProtection="0"/>
    <xf numFmtId="0" fontId="17" fillId="0" borderId="6" applyNumberFormat="0" applyFill="0" applyAlignment="0" applyProtection="0"/>
    <xf numFmtId="0" fontId="18" fillId="10" borderId="7" applyNumberFormat="0" applyAlignment="0" applyProtection="0"/>
    <xf numFmtId="0" fontId="19" fillId="0" borderId="0" applyNumberFormat="0" applyFill="0" applyBorder="0" applyAlignment="0" applyProtection="0"/>
    <xf numFmtId="0" fontId="6" fillId="11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</cellStyleXfs>
  <cellXfs count="46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3" borderId="0" xfId="0" applyFont="1" applyFill="1"/>
    <xf numFmtId="0" fontId="4" fillId="4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2" fontId="0" fillId="0" borderId="0" xfId="0" applyNumberFormat="1"/>
    <xf numFmtId="2" fontId="0" fillId="0" borderId="0" xfId="0" quotePrefix="1" applyNumberFormat="1"/>
    <xf numFmtId="49" fontId="24" fillId="36" borderId="10" xfId="0" applyNumberFormat="1" applyFont="1" applyFill="1" applyBorder="1" applyAlignment="1">
      <alignment horizontal="left" vertical="center"/>
    </xf>
    <xf numFmtId="0" fontId="25" fillId="37" borderId="10" xfId="0" applyFont="1" applyFill="1" applyBorder="1" applyAlignment="1">
      <alignment horizontal="right" vertical="center"/>
    </xf>
    <xf numFmtId="49" fontId="25" fillId="37" borderId="10" xfId="0" applyNumberFormat="1" applyFont="1" applyFill="1" applyBorder="1" applyAlignment="1">
      <alignment horizontal="left" vertical="center"/>
    </xf>
    <xf numFmtId="0" fontId="25" fillId="38" borderId="10" xfId="0" applyFont="1" applyFill="1" applyBorder="1" applyAlignment="1">
      <alignment horizontal="right" vertical="center"/>
    </xf>
    <xf numFmtId="2" fontId="25" fillId="38" borderId="10" xfId="0" applyNumberFormat="1" applyFont="1" applyFill="1" applyBorder="1" applyAlignment="1">
      <alignment horizontal="right" vertical="center"/>
    </xf>
    <xf numFmtId="0" fontId="0" fillId="0" borderId="0" xfId="0"/>
    <xf numFmtId="0" fontId="21" fillId="0" borderId="11" xfId="0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39" borderId="11" xfId="0" applyFill="1" applyBorder="1"/>
    <xf numFmtId="0" fontId="0" fillId="40" borderId="11" xfId="0" applyFill="1" applyBorder="1"/>
    <xf numFmtId="0" fontId="0" fillId="41" borderId="11" xfId="0" applyFill="1" applyBorder="1"/>
    <xf numFmtId="0" fontId="0" fillId="42" borderId="11" xfId="0" applyFill="1" applyBorder="1"/>
    <xf numFmtId="3" fontId="0" fillId="40" borderId="11" xfId="0" applyNumberFormat="1" applyFill="1" applyBorder="1"/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40" borderId="13" xfId="0" applyFill="1" applyBorder="1"/>
    <xf numFmtId="0" fontId="0" fillId="41" borderId="13" xfId="0" applyFill="1" applyBorder="1"/>
    <xf numFmtId="0" fontId="0" fillId="39" borderId="13" xfId="0" applyFill="1" applyBorder="1"/>
    <xf numFmtId="0" fontId="0" fillId="39" borderId="14" xfId="0" applyFill="1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40" borderId="16" xfId="0" applyFill="1" applyBorder="1"/>
    <xf numFmtId="0" fontId="0" fillId="41" borderId="16" xfId="0" applyFill="1" applyBorder="1"/>
    <xf numFmtId="0" fontId="0" fillId="39" borderId="16" xfId="0" applyFill="1" applyBorder="1"/>
    <xf numFmtId="0" fontId="0" fillId="39" borderId="17" xfId="0" applyFill="1" applyBorder="1"/>
    <xf numFmtId="164" fontId="0" fillId="0" borderId="11" xfId="0" applyNumberFormat="1" applyBorder="1"/>
    <xf numFmtId="170" fontId="0" fillId="41" borderId="11" xfId="0" applyNumberFormat="1" applyFill="1" applyBorder="1"/>
    <xf numFmtId="170" fontId="0" fillId="40" borderId="11" xfId="0" applyNumberFormat="1" applyFill="1" applyBorder="1"/>
    <xf numFmtId="164" fontId="0" fillId="40" borderId="11" xfId="0" applyNumberFormat="1" applyFill="1" applyBorder="1"/>
    <xf numFmtId="0" fontId="21" fillId="0" borderId="11" xfId="0" applyFont="1" applyBorder="1" applyAlignment="1">
      <alignment horizontal="center"/>
    </xf>
    <xf numFmtId="0" fontId="21" fillId="39" borderId="11" xfId="0" applyFont="1" applyFill="1" applyBorder="1"/>
    <xf numFmtId="0" fontId="21" fillId="3" borderId="11" xfId="0" applyFont="1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8"/>
  <sheetViews>
    <sheetView tabSelected="1" workbookViewId="0">
      <selection activeCell="K5" sqref="K5"/>
    </sheetView>
  </sheetViews>
  <sheetFormatPr defaultRowHeight="15" x14ac:dyDescent="0.25"/>
  <cols>
    <col min="13" max="13" width="10.5703125" bestFit="1" customWidth="1"/>
    <col min="14" max="14" width="12" bestFit="1" customWidth="1"/>
  </cols>
  <sheetData>
    <row r="1" spans="1:41" x14ac:dyDescent="0.25">
      <c r="A1" t="s">
        <v>14</v>
      </c>
      <c r="N1" t="s">
        <v>46</v>
      </c>
      <c r="O1">
        <v>0.98</v>
      </c>
    </row>
    <row r="2" spans="1:41" x14ac:dyDescent="0.25">
      <c r="B2" s="1" t="s">
        <v>0</v>
      </c>
    </row>
    <row r="3" spans="1:41" x14ac:dyDescent="0.25">
      <c r="B3" s="7" t="s">
        <v>13</v>
      </c>
    </row>
    <row r="4" spans="1:41" x14ac:dyDescent="0.25">
      <c r="J4" t="s">
        <v>44</v>
      </c>
    </row>
    <row r="5" spans="1:41" x14ac:dyDescent="0.2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9</v>
      </c>
      <c r="I5" s="4" t="s">
        <v>3</v>
      </c>
      <c r="J5" s="4" t="s">
        <v>10</v>
      </c>
      <c r="K5" s="3" t="s">
        <v>110</v>
      </c>
      <c r="L5" s="6" t="s">
        <v>8</v>
      </c>
      <c r="M5" s="8" t="s">
        <v>12</v>
      </c>
      <c r="N5" s="8" t="s">
        <v>45</v>
      </c>
      <c r="O5" s="5" t="s">
        <v>11</v>
      </c>
      <c r="P5">
        <v>2026</v>
      </c>
      <c r="Q5">
        <v>2027</v>
      </c>
      <c r="R5">
        <v>2028</v>
      </c>
      <c r="S5">
        <v>2029</v>
      </c>
      <c r="T5">
        <v>2030</v>
      </c>
      <c r="U5">
        <v>2031</v>
      </c>
      <c r="V5">
        <v>2032</v>
      </c>
      <c r="W5">
        <v>2033</v>
      </c>
      <c r="X5">
        <v>2034</v>
      </c>
      <c r="Y5">
        <v>2035</v>
      </c>
      <c r="Z5">
        <v>2036</v>
      </c>
      <c r="AA5">
        <v>2037</v>
      </c>
      <c r="AB5">
        <v>2038</v>
      </c>
      <c r="AC5">
        <v>2039</v>
      </c>
      <c r="AD5">
        <v>2040</v>
      </c>
      <c r="AE5">
        <v>2041</v>
      </c>
      <c r="AF5">
        <v>2042</v>
      </c>
      <c r="AG5">
        <v>2043</v>
      </c>
      <c r="AH5">
        <v>2044</v>
      </c>
      <c r="AI5">
        <v>2045</v>
      </c>
      <c r="AJ5">
        <v>2046</v>
      </c>
      <c r="AK5">
        <v>2047</v>
      </c>
      <c r="AL5">
        <v>2048</v>
      </c>
      <c r="AM5">
        <v>2049</v>
      </c>
      <c r="AN5">
        <v>2050</v>
      </c>
      <c r="AO5">
        <v>2051</v>
      </c>
    </row>
    <row r="6" spans="1:41" x14ac:dyDescent="0.25">
      <c r="B6" t="s">
        <v>32</v>
      </c>
      <c r="D6" t="s">
        <v>38</v>
      </c>
      <c r="J6" t="s">
        <v>84</v>
      </c>
      <c r="K6">
        <v>1</v>
      </c>
      <c r="N6">
        <v>5</v>
      </c>
      <c r="P6">
        <f>M22/1000</f>
        <v>147.352</v>
      </c>
      <c r="Q6">
        <f t="shared" ref="Q6:AN6" si="0">N22/1000</f>
        <v>193.19900000000001</v>
      </c>
      <c r="R6">
        <f t="shared" si="0"/>
        <v>239.04599999999999</v>
      </c>
      <c r="S6">
        <f t="shared" si="0"/>
        <v>284.89299999999997</v>
      </c>
      <c r="T6">
        <f t="shared" si="0"/>
        <v>330.74</v>
      </c>
      <c r="AN6">
        <f t="shared" si="0"/>
        <v>0</v>
      </c>
    </row>
    <row r="7" spans="1:41" x14ac:dyDescent="0.25">
      <c r="B7" t="s">
        <v>33</v>
      </c>
      <c r="D7" t="s">
        <v>39</v>
      </c>
      <c r="J7" t="s">
        <v>84</v>
      </c>
      <c r="K7">
        <v>1</v>
      </c>
      <c r="N7">
        <v>5</v>
      </c>
      <c r="P7">
        <v>0</v>
      </c>
      <c r="AN7">
        <v>0</v>
      </c>
    </row>
    <row r="8" spans="1:41" x14ac:dyDescent="0.25">
      <c r="B8" t="s">
        <v>34</v>
      </c>
      <c r="D8" t="s">
        <v>40</v>
      </c>
      <c r="J8" t="s">
        <v>84</v>
      </c>
      <c r="K8">
        <v>1</v>
      </c>
      <c r="N8">
        <v>5</v>
      </c>
      <c r="P8">
        <f>M23/1000</f>
        <v>126.626</v>
      </c>
      <c r="Q8">
        <f t="shared" ref="Q8:T8" si="1">N23/1000</f>
        <v>164.822</v>
      </c>
      <c r="R8">
        <f t="shared" si="1"/>
        <v>203.018</v>
      </c>
      <c r="S8">
        <f t="shared" si="1"/>
        <v>241.214</v>
      </c>
      <c r="T8">
        <f t="shared" si="1"/>
        <v>279.41000000000003</v>
      </c>
      <c r="AN8">
        <v>0</v>
      </c>
    </row>
    <row r="9" spans="1:41" x14ac:dyDescent="0.25">
      <c r="B9" t="s">
        <v>35</v>
      </c>
      <c r="D9" t="s">
        <v>42</v>
      </c>
      <c r="J9" t="s">
        <v>84</v>
      </c>
      <c r="K9">
        <v>1</v>
      </c>
      <c r="N9">
        <v>5</v>
      </c>
      <c r="P9">
        <f>M26/1000</f>
        <v>8.7680000000000007</v>
      </c>
      <c r="Q9">
        <f t="shared" ref="Q9:T9" si="2">N26/1000</f>
        <v>12.726000000000001</v>
      </c>
      <c r="R9">
        <f t="shared" si="2"/>
        <v>16.684000000000001</v>
      </c>
      <c r="S9">
        <f t="shared" si="2"/>
        <v>20.641999999999999</v>
      </c>
      <c r="T9">
        <f t="shared" si="2"/>
        <v>24.6</v>
      </c>
    </row>
    <row r="10" spans="1:41" x14ac:dyDescent="0.25">
      <c r="B10" t="s">
        <v>36</v>
      </c>
      <c r="D10" t="s">
        <v>41</v>
      </c>
      <c r="J10" t="s">
        <v>84</v>
      </c>
      <c r="K10">
        <v>1</v>
      </c>
      <c r="N10">
        <v>5</v>
      </c>
      <c r="P10">
        <f>0/1000</f>
        <v>0</v>
      </c>
      <c r="U10">
        <v>0</v>
      </c>
    </row>
    <row r="11" spans="1:41" x14ac:dyDescent="0.25">
      <c r="B11" t="s">
        <v>37</v>
      </c>
      <c r="D11" t="s">
        <v>43</v>
      </c>
      <c r="J11" t="s">
        <v>84</v>
      </c>
      <c r="K11">
        <v>1</v>
      </c>
      <c r="N11">
        <v>5</v>
      </c>
      <c r="P11">
        <f>0/1000</f>
        <v>0</v>
      </c>
      <c r="U11">
        <v>0</v>
      </c>
    </row>
    <row r="12" spans="1:41" x14ac:dyDescent="0.25">
      <c r="B12" t="s">
        <v>80</v>
      </c>
      <c r="D12" t="s">
        <v>82</v>
      </c>
      <c r="J12" t="s">
        <v>84</v>
      </c>
      <c r="K12">
        <v>1</v>
      </c>
      <c r="N12">
        <v>5</v>
      </c>
      <c r="P12">
        <f>M24/1000</f>
        <v>0.63600000000000001</v>
      </c>
      <c r="Q12" s="16">
        <f t="shared" ref="Q12:T12" si="3">N24/1000</f>
        <v>0.81299999999999994</v>
      </c>
      <c r="R12" s="16">
        <f t="shared" si="3"/>
        <v>0.99</v>
      </c>
      <c r="S12" s="16">
        <f t="shared" si="3"/>
        <v>1.167</v>
      </c>
      <c r="T12" s="16">
        <f t="shared" si="3"/>
        <v>1.3440000000000001</v>
      </c>
      <c r="U12" s="16"/>
    </row>
    <row r="13" spans="1:41" x14ac:dyDescent="0.25">
      <c r="B13" t="s">
        <v>81</v>
      </c>
      <c r="D13" t="s">
        <v>83</v>
      </c>
      <c r="J13" t="s">
        <v>84</v>
      </c>
      <c r="K13">
        <v>1</v>
      </c>
      <c r="N13">
        <v>5</v>
      </c>
      <c r="P13">
        <v>0</v>
      </c>
      <c r="U13">
        <v>0</v>
      </c>
    </row>
    <row r="21" spans="3:37" x14ac:dyDescent="0.25">
      <c r="C21" s="45" t="s">
        <v>109</v>
      </c>
      <c r="D21" s="43" t="s">
        <v>85</v>
      </c>
      <c r="E21" s="17">
        <v>2018</v>
      </c>
      <c r="F21" s="17">
        <v>2019</v>
      </c>
      <c r="G21" s="17">
        <v>2020</v>
      </c>
      <c r="H21" s="17">
        <v>2021</v>
      </c>
      <c r="I21" s="17">
        <v>2022</v>
      </c>
      <c r="J21" s="17">
        <v>2023</v>
      </c>
      <c r="K21" s="17">
        <v>2024</v>
      </c>
      <c r="L21" s="44">
        <v>2025</v>
      </c>
      <c r="M21" s="17">
        <v>2026</v>
      </c>
      <c r="N21" s="17">
        <v>2027</v>
      </c>
      <c r="O21" s="17">
        <v>2028</v>
      </c>
      <c r="P21" s="17">
        <v>2029</v>
      </c>
      <c r="Q21" s="44">
        <v>2030</v>
      </c>
      <c r="R21" s="17">
        <v>2031</v>
      </c>
      <c r="S21" s="17">
        <v>2032</v>
      </c>
      <c r="T21" s="17">
        <v>2033</v>
      </c>
      <c r="U21" s="17">
        <v>2034</v>
      </c>
      <c r="V21" s="17">
        <v>2035</v>
      </c>
      <c r="W21" s="17">
        <v>2036</v>
      </c>
      <c r="X21" s="17">
        <v>2037</v>
      </c>
      <c r="Y21" s="17">
        <v>2038</v>
      </c>
      <c r="Z21" s="17">
        <v>2039</v>
      </c>
      <c r="AA21" s="44">
        <v>2040</v>
      </c>
      <c r="AB21" s="17">
        <v>2041</v>
      </c>
      <c r="AC21" s="17">
        <v>2042</v>
      </c>
      <c r="AD21" s="17">
        <v>2043</v>
      </c>
      <c r="AE21" s="17">
        <v>2044</v>
      </c>
      <c r="AF21" s="17">
        <v>2045</v>
      </c>
      <c r="AG21" s="17">
        <v>2046</v>
      </c>
      <c r="AH21" s="17">
        <v>2047</v>
      </c>
      <c r="AI21" s="17">
        <v>2048</v>
      </c>
      <c r="AJ21" s="17">
        <v>2049</v>
      </c>
      <c r="AK21" s="44">
        <v>2050</v>
      </c>
    </row>
    <row r="22" spans="3:37" x14ac:dyDescent="0.25">
      <c r="C22" s="19" t="s">
        <v>86</v>
      </c>
      <c r="D22" s="18" t="s">
        <v>87</v>
      </c>
      <c r="E22" s="19"/>
      <c r="F22" s="19"/>
      <c r="G22" s="19"/>
      <c r="H22" s="19"/>
      <c r="I22" s="19"/>
      <c r="J22" s="19"/>
      <c r="K22" s="19"/>
      <c r="L22" s="21">
        <v>101505</v>
      </c>
      <c r="M22" s="22">
        <v>147352</v>
      </c>
      <c r="N22" s="22">
        <v>193199</v>
      </c>
      <c r="O22" s="22">
        <v>239046</v>
      </c>
      <c r="P22" s="22">
        <v>284893</v>
      </c>
      <c r="Q22" s="21">
        <v>330740</v>
      </c>
      <c r="R22" s="19"/>
      <c r="S22" s="19"/>
      <c r="T22" s="19"/>
      <c r="U22" s="19"/>
      <c r="V22" s="19"/>
      <c r="W22" s="19"/>
      <c r="X22" s="19"/>
      <c r="Y22" s="19"/>
      <c r="Z22" s="19"/>
      <c r="AA22" s="20"/>
      <c r="AB22" s="19"/>
      <c r="AC22" s="19"/>
      <c r="AD22" s="19"/>
      <c r="AE22" s="19"/>
      <c r="AF22" s="19"/>
      <c r="AG22" s="19"/>
      <c r="AH22" s="19"/>
      <c r="AI22" s="19"/>
      <c r="AJ22" s="19"/>
      <c r="AK22" s="20"/>
    </row>
    <row r="23" spans="3:37" x14ac:dyDescent="0.25">
      <c r="C23" s="19" t="s">
        <v>88</v>
      </c>
      <c r="D23" s="18" t="s">
        <v>87</v>
      </c>
      <c r="E23" s="19"/>
      <c r="F23" s="19"/>
      <c r="G23" s="19"/>
      <c r="H23" s="19"/>
      <c r="I23" s="19"/>
      <c r="J23" s="19"/>
      <c r="K23" s="19"/>
      <c r="L23" s="21">
        <v>88430</v>
      </c>
      <c r="M23" s="22">
        <v>126626</v>
      </c>
      <c r="N23" s="22">
        <v>164822</v>
      </c>
      <c r="O23" s="22">
        <v>203018</v>
      </c>
      <c r="P23" s="22">
        <v>241214</v>
      </c>
      <c r="Q23" s="21">
        <v>279410</v>
      </c>
      <c r="R23" s="19"/>
      <c r="S23" s="19"/>
      <c r="T23" s="19"/>
      <c r="U23" s="19"/>
      <c r="V23" s="19"/>
      <c r="W23" s="19"/>
      <c r="X23" s="19"/>
      <c r="Y23" s="19"/>
      <c r="Z23" s="19"/>
      <c r="AA23" s="20"/>
      <c r="AB23" s="19"/>
      <c r="AC23" s="19"/>
      <c r="AD23" s="19"/>
      <c r="AE23" s="19"/>
      <c r="AF23" s="19"/>
      <c r="AG23" s="19"/>
      <c r="AH23" s="19"/>
      <c r="AI23" s="19"/>
      <c r="AJ23" s="19"/>
      <c r="AK23" s="20"/>
    </row>
    <row r="24" spans="3:37" x14ac:dyDescent="0.25">
      <c r="C24" s="19" t="s">
        <v>89</v>
      </c>
      <c r="D24" s="18" t="s">
        <v>87</v>
      </c>
      <c r="E24" s="19"/>
      <c r="F24" s="19"/>
      <c r="G24" s="19"/>
      <c r="H24" s="19"/>
      <c r="I24" s="19"/>
      <c r="J24" s="23">
        <v>61</v>
      </c>
      <c r="K24" s="23">
        <v>282</v>
      </c>
      <c r="L24" s="22">
        <v>459</v>
      </c>
      <c r="M24" s="22">
        <v>636</v>
      </c>
      <c r="N24" s="22">
        <v>813</v>
      </c>
      <c r="O24" s="22">
        <v>990</v>
      </c>
      <c r="P24" s="22">
        <v>1167</v>
      </c>
      <c r="Q24" s="24">
        <v>1344</v>
      </c>
      <c r="R24" s="19"/>
      <c r="S24" s="19"/>
      <c r="T24" s="19"/>
      <c r="U24" s="19"/>
      <c r="V24" s="19"/>
      <c r="W24" s="19"/>
      <c r="X24" s="19"/>
      <c r="Y24" s="19"/>
      <c r="Z24" s="19"/>
      <c r="AA24" s="20"/>
      <c r="AB24" s="19"/>
      <c r="AC24" s="19"/>
      <c r="AD24" s="19"/>
      <c r="AE24" s="19"/>
      <c r="AF24" s="19"/>
      <c r="AG24" s="19"/>
      <c r="AH24" s="19"/>
      <c r="AI24" s="19"/>
      <c r="AJ24" s="19"/>
      <c r="AK24" s="20"/>
    </row>
    <row r="25" spans="3:37" x14ac:dyDescent="0.25">
      <c r="C25" s="19" t="s">
        <v>90</v>
      </c>
      <c r="D25" s="18" t="s">
        <v>87</v>
      </c>
      <c r="E25" s="19"/>
      <c r="F25" s="19"/>
      <c r="G25" s="19"/>
      <c r="H25" s="19"/>
      <c r="I25" s="19"/>
      <c r="J25" s="19"/>
      <c r="K25" s="19"/>
      <c r="L25" s="21">
        <v>1200</v>
      </c>
      <c r="M25" s="22">
        <v>2160</v>
      </c>
      <c r="N25" s="22">
        <v>3120</v>
      </c>
      <c r="O25" s="22">
        <v>4080</v>
      </c>
      <c r="P25" s="22">
        <v>5040</v>
      </c>
      <c r="Q25" s="21">
        <v>6000</v>
      </c>
      <c r="R25" s="19"/>
      <c r="S25" s="19"/>
      <c r="T25" s="19"/>
      <c r="U25" s="19"/>
      <c r="V25" s="19"/>
      <c r="W25" s="19"/>
      <c r="X25" s="19"/>
      <c r="Y25" s="19"/>
      <c r="Z25" s="19"/>
      <c r="AA25" s="20"/>
      <c r="AB25" s="19"/>
      <c r="AC25" s="19"/>
      <c r="AD25" s="19"/>
      <c r="AE25" s="19"/>
      <c r="AF25" s="19"/>
      <c r="AG25" s="19"/>
      <c r="AH25" s="19"/>
      <c r="AI25" s="19"/>
      <c r="AJ25" s="19"/>
      <c r="AK25" s="20"/>
    </row>
    <row r="26" spans="3:37" x14ac:dyDescent="0.25">
      <c r="C26" s="19" t="s">
        <v>91</v>
      </c>
      <c r="D26" s="18" t="s">
        <v>87</v>
      </c>
      <c r="E26" s="19"/>
      <c r="F26" s="19"/>
      <c r="G26" s="19"/>
      <c r="H26" s="19"/>
      <c r="I26" s="19"/>
      <c r="J26" s="19"/>
      <c r="K26" s="19"/>
      <c r="L26" s="21">
        <v>4810</v>
      </c>
      <c r="M26" s="22">
        <v>8768</v>
      </c>
      <c r="N26" s="22">
        <v>12726</v>
      </c>
      <c r="O26" s="22">
        <v>16684</v>
      </c>
      <c r="P26" s="22">
        <v>20642</v>
      </c>
      <c r="Q26" s="21">
        <v>24600</v>
      </c>
      <c r="R26" s="19"/>
      <c r="S26" s="19"/>
      <c r="T26" s="19"/>
      <c r="U26" s="19"/>
      <c r="V26" s="19"/>
      <c r="W26" s="19"/>
      <c r="X26" s="19"/>
      <c r="Y26" s="19"/>
      <c r="Z26" s="19"/>
      <c r="AA26" s="20"/>
      <c r="AB26" s="19"/>
      <c r="AC26" s="19"/>
      <c r="AD26" s="19"/>
      <c r="AE26" s="19"/>
      <c r="AF26" s="19"/>
      <c r="AG26" s="19"/>
      <c r="AH26" s="19"/>
      <c r="AI26" s="19"/>
      <c r="AJ26" s="19"/>
      <c r="AK26" s="20"/>
    </row>
    <row r="27" spans="3:37" x14ac:dyDescent="0.25">
      <c r="C27" s="25" t="s">
        <v>92</v>
      </c>
      <c r="D27" s="26" t="s">
        <v>87</v>
      </c>
      <c r="E27" s="27"/>
      <c r="F27" s="27"/>
      <c r="G27" s="27"/>
      <c r="H27" s="27"/>
      <c r="I27" s="27"/>
      <c r="J27" s="27"/>
      <c r="K27" s="27"/>
      <c r="L27" s="28">
        <v>4800</v>
      </c>
      <c r="M27" s="29">
        <v>8640</v>
      </c>
      <c r="N27" s="29">
        <v>12480</v>
      </c>
      <c r="O27" s="29">
        <v>16320</v>
      </c>
      <c r="P27" s="29">
        <v>20160</v>
      </c>
      <c r="Q27" s="28">
        <v>24000</v>
      </c>
      <c r="R27" s="27"/>
      <c r="S27" s="27"/>
      <c r="T27" s="27"/>
      <c r="U27" s="27"/>
      <c r="V27" s="27"/>
      <c r="W27" s="27"/>
      <c r="X27" s="27"/>
      <c r="Y27" s="27"/>
      <c r="Z27" s="27"/>
      <c r="AA27" s="30"/>
      <c r="AB27" s="27"/>
      <c r="AC27" s="27"/>
      <c r="AD27" s="27"/>
      <c r="AE27" s="27"/>
      <c r="AF27" s="27"/>
      <c r="AG27" s="27"/>
      <c r="AH27" s="27"/>
      <c r="AI27" s="27"/>
      <c r="AJ27" s="27"/>
      <c r="AK27" s="31"/>
    </row>
    <row r="28" spans="3:37" x14ac:dyDescent="0.25">
      <c r="C28" s="32" t="s">
        <v>93</v>
      </c>
      <c r="D28" s="33" t="s">
        <v>87</v>
      </c>
      <c r="E28" s="34"/>
      <c r="F28" s="34"/>
      <c r="G28" s="34"/>
      <c r="H28" s="34"/>
      <c r="I28" s="34"/>
      <c r="J28" s="34"/>
      <c r="K28" s="34"/>
      <c r="L28" s="35">
        <v>10</v>
      </c>
      <c r="M28" s="36">
        <v>128</v>
      </c>
      <c r="N28" s="36">
        <v>246</v>
      </c>
      <c r="O28" s="36">
        <v>364</v>
      </c>
      <c r="P28" s="36">
        <v>482</v>
      </c>
      <c r="Q28" s="35">
        <v>600</v>
      </c>
      <c r="R28" s="34"/>
      <c r="S28" s="34"/>
      <c r="T28" s="34"/>
      <c r="U28" s="34"/>
      <c r="V28" s="34"/>
      <c r="W28" s="34"/>
      <c r="X28" s="34"/>
      <c r="Y28" s="34"/>
      <c r="Z28" s="34"/>
      <c r="AA28" s="37"/>
      <c r="AB28" s="34"/>
      <c r="AC28" s="34"/>
      <c r="AD28" s="34"/>
      <c r="AE28" s="34"/>
      <c r="AF28" s="34"/>
      <c r="AG28" s="34"/>
      <c r="AH28" s="34"/>
      <c r="AI28" s="34"/>
      <c r="AJ28" s="34"/>
      <c r="AK28" s="38"/>
    </row>
    <row r="29" spans="3:37" x14ac:dyDescent="0.25">
      <c r="C29" s="19" t="s">
        <v>94</v>
      </c>
      <c r="D29" s="18" t="s">
        <v>95</v>
      </c>
      <c r="E29" s="19"/>
      <c r="F29" s="19"/>
      <c r="G29" s="19"/>
      <c r="H29" s="19"/>
      <c r="I29" s="19"/>
      <c r="J29" s="19"/>
      <c r="K29" s="20">
        <v>5318</v>
      </c>
      <c r="L29" s="20">
        <v>5824</v>
      </c>
      <c r="M29" s="20">
        <v>6065</v>
      </c>
      <c r="N29" s="20">
        <v>6565</v>
      </c>
      <c r="O29" s="20">
        <v>6805</v>
      </c>
      <c r="P29" s="20">
        <v>7105</v>
      </c>
      <c r="Q29" s="20">
        <v>7155</v>
      </c>
      <c r="R29" s="20">
        <v>7355</v>
      </c>
      <c r="S29" s="20">
        <v>7555</v>
      </c>
      <c r="T29" s="20">
        <v>7755</v>
      </c>
      <c r="U29" s="20">
        <v>7955</v>
      </c>
      <c r="V29" s="20">
        <v>8155</v>
      </c>
      <c r="W29" s="20">
        <v>8355</v>
      </c>
      <c r="X29" s="20">
        <v>8555</v>
      </c>
      <c r="Y29" s="20">
        <v>8755</v>
      </c>
      <c r="Z29" s="20">
        <v>8955</v>
      </c>
      <c r="AA29" s="20">
        <v>9155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20"/>
    </row>
    <row r="30" spans="3:37" x14ac:dyDescent="0.25">
      <c r="C30" s="19" t="s">
        <v>96</v>
      </c>
      <c r="D30" s="18" t="s">
        <v>95</v>
      </c>
      <c r="E30" s="19"/>
      <c r="F30" s="19"/>
      <c r="G30" s="19"/>
      <c r="H30" s="19"/>
      <c r="I30" s="19"/>
      <c r="J30" s="19"/>
      <c r="K30" s="20">
        <v>25</v>
      </c>
      <c r="L30" s="20">
        <v>25</v>
      </c>
      <c r="M30" s="20">
        <v>25</v>
      </c>
      <c r="N30" s="20">
        <v>25</v>
      </c>
      <c r="O30" s="20">
        <v>850</v>
      </c>
      <c r="P30" s="20">
        <v>2650</v>
      </c>
      <c r="Q30" s="20">
        <v>4000</v>
      </c>
      <c r="R30" s="20">
        <v>5000</v>
      </c>
      <c r="S30" s="20">
        <v>5700</v>
      </c>
      <c r="T30" s="20">
        <v>6500</v>
      </c>
      <c r="U30" s="20">
        <v>7100</v>
      </c>
      <c r="V30" s="20">
        <v>7800</v>
      </c>
      <c r="W30" s="20">
        <v>8500</v>
      </c>
      <c r="X30" s="20">
        <v>9200</v>
      </c>
      <c r="Y30" s="20">
        <v>9900</v>
      </c>
      <c r="Z30" s="20">
        <v>10600</v>
      </c>
      <c r="AA30" s="20">
        <v>11300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20"/>
    </row>
    <row r="31" spans="3:37" x14ac:dyDescent="0.25">
      <c r="C31" s="19" t="s">
        <v>97</v>
      </c>
      <c r="D31" s="18" t="s">
        <v>95</v>
      </c>
      <c r="E31" s="19"/>
      <c r="F31" s="19"/>
      <c r="G31" s="19"/>
      <c r="H31" s="19"/>
      <c r="I31" s="19"/>
      <c r="J31" s="19"/>
      <c r="K31" s="20">
        <v>1194</v>
      </c>
      <c r="L31" s="20">
        <v>2249</v>
      </c>
      <c r="M31" s="20">
        <v>2687</v>
      </c>
      <c r="N31" s="20">
        <v>3575</v>
      </c>
      <c r="O31" s="20">
        <v>4192</v>
      </c>
      <c r="P31" s="20">
        <v>5324</v>
      </c>
      <c r="Q31" s="20">
        <v>6500</v>
      </c>
      <c r="R31" s="20">
        <v>6750</v>
      </c>
      <c r="S31" s="20">
        <v>7050</v>
      </c>
      <c r="T31" s="20">
        <v>7350</v>
      </c>
      <c r="U31" s="20">
        <v>7650</v>
      </c>
      <c r="V31" s="20">
        <v>7950</v>
      </c>
      <c r="W31" s="20">
        <v>8250</v>
      </c>
      <c r="X31" s="20">
        <v>8550</v>
      </c>
      <c r="Y31" s="20">
        <v>8850</v>
      </c>
      <c r="Z31" s="20">
        <v>9150</v>
      </c>
      <c r="AA31" s="20">
        <v>9450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20"/>
    </row>
    <row r="32" spans="3:37" x14ac:dyDescent="0.25">
      <c r="C32" s="19" t="s">
        <v>98</v>
      </c>
      <c r="D32" s="18" t="s">
        <v>99</v>
      </c>
      <c r="E32" s="19"/>
      <c r="F32" s="19"/>
      <c r="G32" s="19"/>
      <c r="H32" s="19"/>
      <c r="I32" s="19"/>
      <c r="J32" s="19"/>
      <c r="K32" s="19"/>
      <c r="L32" s="21">
        <v>10</v>
      </c>
      <c r="M32" s="22">
        <v>10</v>
      </c>
      <c r="N32" s="22">
        <v>10</v>
      </c>
      <c r="O32" s="22">
        <v>10</v>
      </c>
      <c r="P32" s="22">
        <v>10</v>
      </c>
      <c r="Q32" s="21">
        <v>10</v>
      </c>
      <c r="R32" s="19"/>
      <c r="S32" s="19"/>
      <c r="T32" s="19"/>
      <c r="U32" s="19"/>
      <c r="V32" s="19"/>
      <c r="W32" s="19"/>
      <c r="X32" s="19"/>
      <c r="Y32" s="19"/>
      <c r="Z32" s="19"/>
      <c r="AA32" s="20"/>
      <c r="AB32" s="19"/>
      <c r="AC32" s="19"/>
      <c r="AD32" s="19"/>
      <c r="AE32" s="19"/>
      <c r="AF32" s="19"/>
      <c r="AG32" s="19"/>
      <c r="AH32" s="19"/>
      <c r="AI32" s="19"/>
      <c r="AJ32" s="19"/>
      <c r="AK32" s="20"/>
    </row>
    <row r="33" spans="3:37" x14ac:dyDescent="0.25">
      <c r="C33" s="19" t="s">
        <v>100</v>
      </c>
      <c r="D33" s="18" t="s">
        <v>99</v>
      </c>
      <c r="E33" s="19"/>
      <c r="F33" s="19"/>
      <c r="G33" s="19"/>
      <c r="H33" s="19"/>
      <c r="I33" s="19"/>
      <c r="J33" s="19"/>
      <c r="K33" s="19"/>
      <c r="L33" s="21">
        <v>12</v>
      </c>
      <c r="M33" s="22">
        <v>13.6</v>
      </c>
      <c r="N33" s="22">
        <v>15.2</v>
      </c>
      <c r="O33" s="22">
        <v>16.8</v>
      </c>
      <c r="P33" s="22">
        <v>18.400000000000002</v>
      </c>
      <c r="Q33" s="21">
        <v>20</v>
      </c>
      <c r="R33" s="19"/>
      <c r="S33" s="19"/>
      <c r="T33" s="19"/>
      <c r="U33" s="19"/>
      <c r="V33" s="19"/>
      <c r="W33" s="19"/>
      <c r="X33" s="19"/>
      <c r="Y33" s="19"/>
      <c r="Z33" s="19"/>
      <c r="AA33" s="20"/>
      <c r="AB33" s="19"/>
      <c r="AC33" s="19"/>
      <c r="AD33" s="19"/>
      <c r="AE33" s="19"/>
      <c r="AF33" s="19"/>
      <c r="AG33" s="19"/>
      <c r="AH33" s="19"/>
      <c r="AI33" s="19"/>
      <c r="AJ33" s="19"/>
      <c r="AK33" s="20"/>
    </row>
    <row r="34" spans="3:37" x14ac:dyDescent="0.25">
      <c r="C34" s="19" t="s">
        <v>101</v>
      </c>
      <c r="D34" s="18" t="s">
        <v>102</v>
      </c>
      <c r="E34" s="19"/>
      <c r="F34" s="19"/>
      <c r="G34" s="19"/>
      <c r="H34" s="19"/>
      <c r="I34" s="19"/>
      <c r="J34" s="19"/>
      <c r="K34" s="19"/>
      <c r="L34" s="21">
        <v>0</v>
      </c>
      <c r="M34" s="22">
        <v>0.86</v>
      </c>
      <c r="N34" s="22">
        <v>1.72</v>
      </c>
      <c r="O34" s="22">
        <v>2.58</v>
      </c>
      <c r="P34" s="22">
        <v>3.44</v>
      </c>
      <c r="Q34" s="21">
        <v>4.3</v>
      </c>
      <c r="R34" s="19"/>
      <c r="S34" s="19"/>
      <c r="T34" s="19"/>
      <c r="U34" s="19"/>
      <c r="V34" s="19"/>
      <c r="W34" s="19"/>
      <c r="X34" s="19"/>
      <c r="Y34" s="19"/>
      <c r="Z34" s="19"/>
      <c r="AA34" s="20"/>
      <c r="AB34" s="19"/>
      <c r="AC34" s="19"/>
      <c r="AD34" s="19"/>
      <c r="AE34" s="19"/>
      <c r="AF34" s="19"/>
      <c r="AG34" s="19"/>
      <c r="AH34" s="19"/>
      <c r="AI34" s="19"/>
      <c r="AJ34" s="19"/>
      <c r="AK34" s="20"/>
    </row>
    <row r="35" spans="3:37" x14ac:dyDescent="0.25">
      <c r="C35" s="19" t="s">
        <v>103</v>
      </c>
      <c r="D35" s="18" t="s">
        <v>104</v>
      </c>
      <c r="E35" s="20">
        <v>2566</v>
      </c>
      <c r="F35" s="20">
        <v>4989</v>
      </c>
      <c r="G35" s="20">
        <v>8264</v>
      </c>
      <c r="H35" s="20">
        <v>12603</v>
      </c>
      <c r="I35" s="20">
        <v>21079</v>
      </c>
      <c r="J35" s="20">
        <v>38679</v>
      </c>
      <c r="K35" s="20">
        <v>60496</v>
      </c>
      <c r="L35" s="21">
        <v>120000</v>
      </c>
      <c r="M35" s="22">
        <v>106000</v>
      </c>
      <c r="N35" s="22">
        <v>92000</v>
      </c>
      <c r="O35" s="22">
        <v>78000</v>
      </c>
      <c r="P35" s="22">
        <v>64000</v>
      </c>
      <c r="Q35" s="21">
        <v>50000</v>
      </c>
      <c r="R35" s="19"/>
      <c r="S35" s="19"/>
      <c r="T35" s="19"/>
      <c r="U35" s="19"/>
      <c r="V35" s="19"/>
      <c r="W35" s="19"/>
      <c r="X35" s="19"/>
      <c r="Y35" s="19"/>
      <c r="Z35" s="19"/>
      <c r="AA35" s="20"/>
      <c r="AB35" s="19"/>
      <c r="AC35" s="19"/>
      <c r="AD35" s="19"/>
      <c r="AE35" s="19"/>
      <c r="AF35" s="19"/>
      <c r="AG35" s="19"/>
      <c r="AH35" s="19"/>
      <c r="AI35" s="19"/>
      <c r="AJ35" s="19"/>
      <c r="AK35" s="20"/>
    </row>
    <row r="36" spans="3:37" x14ac:dyDescent="0.25">
      <c r="C36" s="19" t="s">
        <v>105</v>
      </c>
      <c r="D36" s="18" t="s">
        <v>106</v>
      </c>
      <c r="E36" s="20">
        <v>229</v>
      </c>
      <c r="F36" s="20">
        <v>1358</v>
      </c>
      <c r="G36" s="20">
        <v>2813</v>
      </c>
      <c r="H36" s="20">
        <v>4784</v>
      </c>
      <c r="I36" s="20">
        <v>7056</v>
      </c>
      <c r="J36" s="20">
        <v>10823</v>
      </c>
      <c r="K36" s="20">
        <v>14423</v>
      </c>
      <c r="L36" s="20">
        <v>18770</v>
      </c>
      <c r="M36" s="22">
        <v>43616</v>
      </c>
      <c r="N36" s="22">
        <v>68462</v>
      </c>
      <c r="O36" s="22">
        <v>93308</v>
      </c>
      <c r="P36" s="22">
        <v>118154</v>
      </c>
      <c r="Q36" s="21">
        <v>143000</v>
      </c>
      <c r="R36" s="19"/>
      <c r="S36" s="19"/>
      <c r="T36" s="19"/>
      <c r="U36" s="19"/>
      <c r="V36" s="19"/>
      <c r="W36" s="19"/>
      <c r="X36" s="19"/>
      <c r="Y36" s="19"/>
      <c r="Z36" s="19"/>
      <c r="AA36" s="20"/>
      <c r="AB36" s="19"/>
      <c r="AC36" s="19"/>
      <c r="AD36" s="19"/>
      <c r="AE36" s="19"/>
      <c r="AF36" s="19"/>
      <c r="AG36" s="19"/>
      <c r="AH36" s="19"/>
      <c r="AI36" s="19"/>
      <c r="AJ36" s="19"/>
      <c r="AK36" s="20"/>
    </row>
    <row r="37" spans="3:37" x14ac:dyDescent="0.25">
      <c r="C37" s="19" t="s">
        <v>107</v>
      </c>
      <c r="D37" s="18" t="s">
        <v>102</v>
      </c>
      <c r="E37" s="19"/>
      <c r="F37" s="19"/>
      <c r="G37" s="19"/>
      <c r="H37" s="19"/>
      <c r="I37" s="39"/>
      <c r="J37" s="19"/>
      <c r="K37" s="19"/>
      <c r="L37" s="21">
        <v>0</v>
      </c>
      <c r="M37" s="40">
        <v>1.2800000000000001E-2</v>
      </c>
      <c r="N37" s="40">
        <v>2.5600000000000001E-2</v>
      </c>
      <c r="O37" s="40">
        <v>3.8400000000000004E-2</v>
      </c>
      <c r="P37" s="40">
        <v>5.1200000000000002E-2</v>
      </c>
      <c r="Q37" s="41">
        <v>6.4000000000000001E-2</v>
      </c>
      <c r="R37" s="19"/>
      <c r="S37" s="19"/>
      <c r="T37" s="19"/>
      <c r="U37" s="19"/>
      <c r="V37" s="19"/>
      <c r="W37" s="19"/>
      <c r="X37" s="19"/>
      <c r="Y37" s="19"/>
      <c r="Z37" s="19"/>
      <c r="AA37" s="20"/>
      <c r="AB37" s="19"/>
      <c r="AC37" s="19"/>
      <c r="AD37" s="19"/>
      <c r="AE37" s="19"/>
      <c r="AF37" s="19"/>
      <c r="AG37" s="19"/>
      <c r="AH37" s="19"/>
      <c r="AI37" s="19"/>
      <c r="AJ37" s="19"/>
      <c r="AK37" s="20"/>
    </row>
    <row r="38" spans="3:37" x14ac:dyDescent="0.25">
      <c r="C38" s="19" t="s">
        <v>108</v>
      </c>
      <c r="D38" s="18" t="s">
        <v>102</v>
      </c>
      <c r="E38" s="19"/>
      <c r="F38" s="19"/>
      <c r="G38" s="19"/>
      <c r="H38" s="19"/>
      <c r="I38" s="42">
        <v>4.4999999999999997E-3</v>
      </c>
      <c r="J38" s="22">
        <v>5.875E-3</v>
      </c>
      <c r="K38" s="22">
        <v>7.2500000000000004E-3</v>
      </c>
      <c r="L38" s="22">
        <v>8.6250000000000007E-3</v>
      </c>
      <c r="M38" s="21">
        <v>0.01</v>
      </c>
      <c r="N38" s="22">
        <v>4.4999999999999998E-2</v>
      </c>
      <c r="O38" s="22">
        <v>7.9999999999999988E-2</v>
      </c>
      <c r="P38" s="22">
        <v>0.11499999999999999</v>
      </c>
      <c r="Q38" s="21">
        <v>0.15</v>
      </c>
      <c r="R38" s="19"/>
      <c r="S38" s="19"/>
      <c r="T38" s="19"/>
      <c r="U38" s="19"/>
      <c r="V38" s="19"/>
      <c r="W38" s="19"/>
      <c r="X38" s="19"/>
      <c r="Y38" s="19"/>
      <c r="Z38" s="19"/>
      <c r="AA38" s="20"/>
      <c r="AB38" s="19"/>
      <c r="AC38" s="19"/>
      <c r="AD38" s="19"/>
      <c r="AE38" s="19"/>
      <c r="AF38" s="19"/>
      <c r="AG38" s="19"/>
      <c r="AH38" s="19"/>
      <c r="AI38" s="19"/>
      <c r="AJ38" s="19"/>
      <c r="AK38" s="20"/>
    </row>
  </sheetData>
  <phoneticPr fontId="23" type="noConversion"/>
  <conditionalFormatting sqref="P6:AO6 P7:AN13">
    <cfRule type="cellIs" dxfId="0" priority="1" operator="between">
      <formula>0.000000000001</formula>
      <formula>0.001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8A6B-6D9E-4684-8FAB-AE85D1E791FC}">
  <dimension ref="A1:AK73"/>
  <sheetViews>
    <sheetView workbookViewId="0">
      <selection activeCell="I12" sqref="I12"/>
    </sheetView>
  </sheetViews>
  <sheetFormatPr defaultRowHeight="15" x14ac:dyDescent="0.25"/>
  <cols>
    <col min="1" max="1" width="22.28515625" bestFit="1" customWidth="1"/>
    <col min="2" max="2" width="24.28515625" bestFit="1" customWidth="1"/>
  </cols>
  <sheetData>
    <row r="1" spans="1:37" x14ac:dyDescent="0.25">
      <c r="A1" t="s">
        <v>15</v>
      </c>
      <c r="B1" t="s">
        <v>16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</row>
    <row r="2" spans="1:37" x14ac:dyDescent="0.25">
      <c r="A2" t="s">
        <v>17</v>
      </c>
      <c r="B2" t="s">
        <v>18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0.37950000295428998</v>
      </c>
      <c r="K2" s="9">
        <v>0.76458191325089198</v>
      </c>
      <c r="L2" s="9">
        <v>1.54889229107007</v>
      </c>
      <c r="M2" s="9">
        <v>3.1230281521708401</v>
      </c>
      <c r="N2" s="9">
        <v>6.2703553290648397</v>
      </c>
      <c r="O2" s="9">
        <v>7.3838551355772504</v>
      </c>
      <c r="P2" s="9">
        <v>1.05615411035235</v>
      </c>
      <c r="Q2" s="9">
        <v>2.5883573519461098</v>
      </c>
      <c r="R2" s="9">
        <v>8.3907444446466997</v>
      </c>
      <c r="S2" s="9">
        <v>7.9471261691348198</v>
      </c>
      <c r="T2" s="9">
        <v>4.0044836144961904</v>
      </c>
      <c r="U2" s="9">
        <v>3.3236529606575198</v>
      </c>
      <c r="V2" s="9">
        <v>3.6901040603547002</v>
      </c>
      <c r="W2" s="9">
        <v>3.9794300965762202</v>
      </c>
      <c r="X2" s="9">
        <v>4.2221979727543104</v>
      </c>
      <c r="Y2" s="9">
        <v>4.4171929574308102</v>
      </c>
      <c r="Z2" s="9">
        <v>4.6133229181231403</v>
      </c>
      <c r="AA2" s="9">
        <v>4.8185764088366003</v>
      </c>
      <c r="AB2" s="9">
        <v>4.9198940213504496</v>
      </c>
      <c r="AC2" s="9">
        <v>4.8658997636921102</v>
      </c>
      <c r="AD2" s="9">
        <v>4.8143822442868798</v>
      </c>
      <c r="AE2" s="9">
        <v>5.0268424996160004</v>
      </c>
      <c r="AF2" s="9">
        <v>5.2532170228812403</v>
      </c>
      <c r="AG2" s="9">
        <v>5.4156829691675696</v>
      </c>
      <c r="AH2" s="9">
        <v>5.9113704788849502</v>
      </c>
      <c r="AI2" s="9">
        <v>6.2417891304924398</v>
      </c>
      <c r="AJ2" s="9">
        <v>5.30922217404426</v>
      </c>
      <c r="AK2" s="9"/>
    </row>
    <row r="3" spans="1:37" x14ac:dyDescent="0.25">
      <c r="A3" t="s">
        <v>17</v>
      </c>
      <c r="B3" t="s">
        <v>19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/>
    </row>
    <row r="4" spans="1:37" x14ac:dyDescent="0.25">
      <c r="A4" t="s">
        <v>17</v>
      </c>
      <c r="B4" t="s">
        <v>20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0.227700001444855</v>
      </c>
      <c r="K4" s="9">
        <v>0.34489914618853301</v>
      </c>
      <c r="L4" s="9">
        <v>0.52918579810482702</v>
      </c>
      <c r="M4" s="9">
        <v>0.80892483901863299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/>
    </row>
    <row r="5" spans="1:37" x14ac:dyDescent="0.25">
      <c r="A5" t="s">
        <v>21</v>
      </c>
      <c r="B5" t="s">
        <v>22</v>
      </c>
      <c r="C5" s="9">
        <v>0</v>
      </c>
      <c r="D5" s="9">
        <v>0.32700000000000001</v>
      </c>
      <c r="E5" s="9">
        <v>0.72699999999999998</v>
      </c>
      <c r="F5" s="9">
        <v>0.89400000000000002</v>
      </c>
      <c r="G5" s="9">
        <v>0.41099999999999998</v>
      </c>
      <c r="H5" s="9">
        <v>0.94399999999999995</v>
      </c>
      <c r="I5" s="9">
        <v>1.0019272727272699</v>
      </c>
      <c r="J5" s="9">
        <v>5.8381110834745398</v>
      </c>
      <c r="K5" s="9">
        <v>10.543643975474099</v>
      </c>
      <c r="L5" s="9">
        <v>14.3438334626059</v>
      </c>
      <c r="M5" s="9">
        <v>14.343833468958</v>
      </c>
      <c r="N5" s="9">
        <v>25.6594153622062</v>
      </c>
      <c r="O5" s="9">
        <v>34.256202130584398</v>
      </c>
      <c r="P5" s="9">
        <v>44.562261134049201</v>
      </c>
      <c r="Q5" s="9">
        <v>55.775087508858697</v>
      </c>
      <c r="R5" s="9">
        <v>65.122692811108493</v>
      </c>
      <c r="S5" s="9">
        <v>71.482885013254602</v>
      </c>
      <c r="T5" s="9">
        <v>73.658449631889098</v>
      </c>
      <c r="U5" s="9">
        <v>70.369952028042306</v>
      </c>
      <c r="V5" s="9">
        <v>64.300521896231203</v>
      </c>
      <c r="W5" s="9">
        <v>57.523150033866401</v>
      </c>
      <c r="X5" s="9">
        <v>58.634075744892897</v>
      </c>
      <c r="Y5" s="9">
        <v>55.781430677703</v>
      </c>
      <c r="Z5" s="9">
        <v>57.456367030631398</v>
      </c>
      <c r="AA5" s="9">
        <v>58.371960728828</v>
      </c>
      <c r="AB5" s="9">
        <v>63.626240798846197</v>
      </c>
      <c r="AC5" s="9">
        <v>67.653069411387705</v>
      </c>
      <c r="AD5" s="9">
        <v>64.891501450681702</v>
      </c>
      <c r="AE5" s="9">
        <v>66.614779428938405</v>
      </c>
      <c r="AF5" s="9">
        <v>67.405252878621198</v>
      </c>
      <c r="AG5" s="9">
        <v>67.398230547598303</v>
      </c>
      <c r="AH5" s="9">
        <v>70.045682130705899</v>
      </c>
      <c r="AI5" s="9">
        <v>72.031092773362403</v>
      </c>
      <c r="AJ5" s="9">
        <v>74.891983849659397</v>
      </c>
      <c r="AK5" s="9"/>
    </row>
    <row r="6" spans="1:37" x14ac:dyDescent="0.25">
      <c r="A6" t="s">
        <v>21</v>
      </c>
      <c r="B6" t="s">
        <v>23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/>
    </row>
    <row r="7" spans="1:37" x14ac:dyDescent="0.25">
      <c r="A7" t="s">
        <v>21</v>
      </c>
      <c r="B7" t="s">
        <v>24</v>
      </c>
      <c r="C7" s="9">
        <v>0</v>
      </c>
      <c r="D7" s="9">
        <v>5.0000000000000001E-3</v>
      </c>
      <c r="E7" s="9">
        <v>3.5000000000000003E-2</v>
      </c>
      <c r="F7" s="9">
        <v>0.184</v>
      </c>
      <c r="G7" s="9">
        <v>0.124</v>
      </c>
      <c r="H7" s="9">
        <v>6.6000000000000003E-2</v>
      </c>
      <c r="I7" s="9">
        <v>1.31405405405405</v>
      </c>
      <c r="J7" s="9">
        <v>6.0248724087526897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/>
    </row>
    <row r="8" spans="1:37" x14ac:dyDescent="0.25">
      <c r="A8" t="s">
        <v>25</v>
      </c>
      <c r="B8" t="s">
        <v>26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10">
        <v>1.0505003294022301E-6</v>
      </c>
      <c r="Q8" s="10">
        <v>1.4881867421544399E-6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/>
    </row>
    <row r="9" spans="1:37" x14ac:dyDescent="0.25">
      <c r="A9" t="s">
        <v>25</v>
      </c>
      <c r="B9" t="s">
        <v>27</v>
      </c>
      <c r="C9" s="9">
        <v>0</v>
      </c>
      <c r="D9" s="9">
        <v>7.9500001046294996E-2</v>
      </c>
      <c r="E9" s="9">
        <v>0.12041933439283101</v>
      </c>
      <c r="F9" s="9">
        <v>0.18476184195584899</v>
      </c>
      <c r="G9" s="9">
        <v>0.28243094082723103</v>
      </c>
      <c r="H9" s="9">
        <v>0.42873672126894802</v>
      </c>
      <c r="I9" s="9">
        <v>0.64875980136631595</v>
      </c>
      <c r="J9" s="9">
        <v>0.97885132723046897</v>
      </c>
      <c r="K9" s="9">
        <v>1.4747137299311399</v>
      </c>
      <c r="L9" s="9">
        <v>2.2194446105811498</v>
      </c>
      <c r="M9" s="9">
        <v>3.1380486219081002E-2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/>
    </row>
    <row r="10" spans="1:37" x14ac:dyDescent="0.25">
      <c r="A10" t="s">
        <v>25</v>
      </c>
      <c r="B10" t="s">
        <v>27</v>
      </c>
      <c r="C10" s="9">
        <v>0</v>
      </c>
      <c r="D10" s="9">
        <v>7.9500001046294996E-2</v>
      </c>
      <c r="E10" s="9">
        <v>0.12041933439283101</v>
      </c>
      <c r="F10" s="9">
        <v>0.18476184195584899</v>
      </c>
      <c r="G10" s="9">
        <v>0.28243094082723103</v>
      </c>
      <c r="H10" s="9">
        <v>0.42873672126894802</v>
      </c>
      <c r="I10" s="9">
        <v>0.64875980136631595</v>
      </c>
      <c r="J10" s="9">
        <v>0.97885132723046897</v>
      </c>
      <c r="K10" s="9">
        <v>1.4747137299311399</v>
      </c>
      <c r="L10" s="9">
        <v>2.2194446105811498</v>
      </c>
      <c r="M10" s="9">
        <v>3.1380486219081002E-2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/>
    </row>
    <row r="11" spans="1:37" x14ac:dyDescent="0.25">
      <c r="A11" t="s">
        <v>28</v>
      </c>
      <c r="B11" t="s">
        <v>29</v>
      </c>
      <c r="C11" s="9">
        <v>0</v>
      </c>
      <c r="D11" s="9">
        <v>3.4430000000000001</v>
      </c>
      <c r="E11" s="9">
        <v>3.94</v>
      </c>
      <c r="F11" s="9">
        <v>8.5540000000000003</v>
      </c>
      <c r="G11" s="9">
        <v>15.462</v>
      </c>
      <c r="H11" s="9">
        <v>22.597000000000001</v>
      </c>
      <c r="I11" s="9">
        <v>16.9599906339554</v>
      </c>
      <c r="J11" s="10">
        <v>84.308994124222906</v>
      </c>
      <c r="K11" s="9">
        <v>85.995179763699099</v>
      </c>
      <c r="L11" s="9">
        <v>87.681359851887606</v>
      </c>
      <c r="M11" s="10">
        <v>89.367539830270999</v>
      </c>
      <c r="N11" s="10">
        <v>175.760789779741</v>
      </c>
      <c r="O11" s="10">
        <v>293.303998022597</v>
      </c>
      <c r="P11" s="10">
        <v>298.636798703919</v>
      </c>
      <c r="Q11" s="10">
        <v>303.96959990754698</v>
      </c>
      <c r="R11" s="10">
        <v>309.30239997208798</v>
      </c>
      <c r="S11" s="10">
        <v>314.63519997412999</v>
      </c>
      <c r="T11" s="10">
        <v>319.96799995285801</v>
      </c>
      <c r="U11" s="9">
        <v>295.44825864569401</v>
      </c>
      <c r="V11" s="10">
        <v>232.26033315380101</v>
      </c>
      <c r="W11" s="10">
        <v>200.61610787103899</v>
      </c>
      <c r="X11" s="10">
        <v>179.111590450638</v>
      </c>
      <c r="Y11" s="10">
        <v>172.784382828209</v>
      </c>
      <c r="Z11" s="10">
        <v>166.62542812747901</v>
      </c>
      <c r="AA11" s="10">
        <v>171.98490471761801</v>
      </c>
      <c r="AB11" s="10">
        <v>178.032869820646</v>
      </c>
      <c r="AC11" s="10">
        <v>198.18675532235301</v>
      </c>
      <c r="AD11" s="10">
        <v>200.37284306215199</v>
      </c>
      <c r="AE11" s="10">
        <v>218.434782807853</v>
      </c>
      <c r="AF11" s="10">
        <v>237.44771894300101</v>
      </c>
      <c r="AG11" s="10">
        <v>248.426667191332</v>
      </c>
      <c r="AH11" s="9">
        <v>248.63315003077599</v>
      </c>
      <c r="AI11" s="10">
        <v>249.715863178154</v>
      </c>
      <c r="AJ11" s="10">
        <v>227.089423802472</v>
      </c>
      <c r="AK11" s="9"/>
    </row>
    <row r="12" spans="1:37" x14ac:dyDescent="0.25">
      <c r="A12" t="s">
        <v>28</v>
      </c>
      <c r="B12" t="s">
        <v>30</v>
      </c>
      <c r="C12" s="9">
        <v>0</v>
      </c>
      <c r="D12" s="9">
        <v>10.9</v>
      </c>
      <c r="E12" s="9">
        <v>12.654</v>
      </c>
      <c r="F12" s="9">
        <v>25.661000000000001</v>
      </c>
      <c r="G12" s="9">
        <v>27.355</v>
      </c>
      <c r="H12" s="9">
        <v>25.294</v>
      </c>
      <c r="I12" s="9">
        <v>26.689747791364699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/>
    </row>
    <row r="13" spans="1:37" x14ac:dyDescent="0.25">
      <c r="A13" t="s">
        <v>28</v>
      </c>
      <c r="B13" t="s">
        <v>31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10.382</v>
      </c>
      <c r="I13" s="9">
        <v>11.9174076143247</v>
      </c>
      <c r="J13" s="10">
        <v>5.8333956931110903E-6</v>
      </c>
      <c r="K13" s="9">
        <v>0</v>
      </c>
      <c r="L13" s="9">
        <v>0</v>
      </c>
      <c r="M13" s="9">
        <v>0</v>
      </c>
      <c r="N13" s="9">
        <v>0</v>
      </c>
      <c r="O13" s="10">
        <v>1.47839546399092E-6</v>
      </c>
      <c r="P13" s="10">
        <v>1.2605352550834801E-6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10">
        <v>1.20068318142091E-6</v>
      </c>
      <c r="AE13" s="9">
        <v>0</v>
      </c>
      <c r="AF13" s="9">
        <v>0</v>
      </c>
      <c r="AG13" s="10">
        <v>2.2836840756895799E-6</v>
      </c>
      <c r="AH13" s="10">
        <v>4.6006979078313399E-6</v>
      </c>
      <c r="AI13" s="10">
        <v>3.3844316507723001E-6</v>
      </c>
      <c r="AJ13" s="10">
        <v>3.77963947028763E-6</v>
      </c>
      <c r="AK13" s="9"/>
    </row>
    <row r="23" spans="1:37" x14ac:dyDescent="0.25">
      <c r="A23" s="11" t="s">
        <v>9</v>
      </c>
      <c r="B23" s="11" t="s">
        <v>47</v>
      </c>
      <c r="C23" s="11" t="s">
        <v>48</v>
      </c>
      <c r="D23" s="12">
        <v>2018</v>
      </c>
      <c r="E23" s="12">
        <v>2019</v>
      </c>
      <c r="F23" s="12">
        <v>2020</v>
      </c>
      <c r="G23" s="12">
        <v>2021</v>
      </c>
      <c r="H23" s="12">
        <v>2022</v>
      </c>
      <c r="I23" s="12">
        <v>2023</v>
      </c>
      <c r="J23" s="12">
        <v>2024</v>
      </c>
      <c r="K23" s="12">
        <v>2025</v>
      </c>
      <c r="L23" s="12">
        <v>2026</v>
      </c>
      <c r="M23" s="12">
        <v>2027</v>
      </c>
      <c r="N23" s="12">
        <v>2028</v>
      </c>
      <c r="O23" s="12">
        <v>2029</v>
      </c>
      <c r="P23" s="12">
        <v>2030</v>
      </c>
      <c r="Q23" s="12">
        <v>2031</v>
      </c>
      <c r="R23" s="12">
        <v>2032</v>
      </c>
      <c r="S23" s="12">
        <v>2033</v>
      </c>
      <c r="T23" s="12">
        <v>2034</v>
      </c>
      <c r="U23" s="12">
        <v>2035</v>
      </c>
      <c r="V23" s="12">
        <v>2036</v>
      </c>
      <c r="W23" s="12">
        <v>2037</v>
      </c>
      <c r="X23" s="12">
        <v>2038</v>
      </c>
      <c r="Y23" s="12">
        <v>2039</v>
      </c>
      <c r="Z23" s="12">
        <v>2040</v>
      </c>
      <c r="AA23" s="12">
        <v>2041</v>
      </c>
      <c r="AB23" s="12">
        <v>2042</v>
      </c>
      <c r="AC23" s="12">
        <v>2043</v>
      </c>
      <c r="AD23" s="12">
        <v>2044</v>
      </c>
      <c r="AE23" s="12">
        <v>2045</v>
      </c>
      <c r="AF23" s="12">
        <v>2046</v>
      </c>
      <c r="AG23" s="12">
        <v>2047</v>
      </c>
      <c r="AH23" s="12">
        <v>2048</v>
      </c>
      <c r="AI23" s="12">
        <v>2049</v>
      </c>
      <c r="AJ23" s="12">
        <v>2050</v>
      </c>
      <c r="AK23" s="12">
        <v>2051</v>
      </c>
    </row>
    <row r="24" spans="1:37" x14ac:dyDescent="0.25">
      <c r="A24" s="13" t="s">
        <v>49</v>
      </c>
      <c r="B24" s="13" t="s">
        <v>50</v>
      </c>
      <c r="C24" s="13" t="s">
        <v>51</v>
      </c>
      <c r="D24" s="14"/>
      <c r="E24" s="14"/>
      <c r="F24" s="14"/>
      <c r="G24" s="15">
        <v>1.79886483729199</v>
      </c>
      <c r="H24" s="15">
        <v>1.79886483729199</v>
      </c>
      <c r="I24" s="15">
        <v>1.79886483729199</v>
      </c>
      <c r="J24" s="15">
        <v>1.79886483729199</v>
      </c>
      <c r="K24" s="15">
        <v>1.79886483729199</v>
      </c>
      <c r="L24" s="15">
        <v>1.79886483729199</v>
      </c>
      <c r="M24" s="15">
        <v>1.79886483729199</v>
      </c>
      <c r="N24" s="15">
        <v>1.79886483729199</v>
      </c>
      <c r="O24" s="15">
        <v>1.79886483729199</v>
      </c>
      <c r="P24" s="15">
        <v>1.79886483729199</v>
      </c>
      <c r="Q24" s="15">
        <v>1.79886483729199</v>
      </c>
      <c r="R24" s="15">
        <v>1.79886483729199</v>
      </c>
      <c r="S24" s="15">
        <v>1.79886483729199</v>
      </c>
      <c r="T24" s="15">
        <v>1.79886483729199</v>
      </c>
      <c r="U24" s="15">
        <v>1.79886483729199</v>
      </c>
      <c r="V24" s="15">
        <v>2.5428827755630602E-7</v>
      </c>
      <c r="W24" s="15">
        <v>2.6612080981644402E-7</v>
      </c>
      <c r="X24" s="15">
        <v>2.7988088497421798E-7</v>
      </c>
      <c r="Y24" s="15">
        <v>2.9746138803293399E-7</v>
      </c>
      <c r="Z24" s="15">
        <v>0.21551319550504</v>
      </c>
      <c r="AA24" s="15">
        <v>0.43392134780015701</v>
      </c>
      <c r="AB24" s="15">
        <v>0.656430505403507</v>
      </c>
      <c r="AC24" s="15">
        <v>0.88339522708159701</v>
      </c>
      <c r="AD24" s="15">
        <v>1.11495956618507</v>
      </c>
      <c r="AE24" s="15">
        <v>1.35123401025422</v>
      </c>
      <c r="AF24" s="15">
        <v>1.5923207225233</v>
      </c>
      <c r="AG24" s="15">
        <v>1.83832420412513</v>
      </c>
      <c r="AH24" s="15">
        <v>2.6739538998359702</v>
      </c>
      <c r="AI24" s="15">
        <v>10.0834988975167</v>
      </c>
      <c r="AJ24" s="15">
        <v>11.0356947398781</v>
      </c>
      <c r="AK24" s="15">
        <v>13.4408483244348</v>
      </c>
    </row>
    <row r="25" spans="1:37" x14ac:dyDescent="0.25">
      <c r="A25" s="13" t="s">
        <v>49</v>
      </c>
      <c r="B25" s="13" t="s">
        <v>50</v>
      </c>
      <c r="C25" s="13" t="s">
        <v>52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>
        <v>1.2230388105341299E-8</v>
      </c>
      <c r="AJ25" s="15">
        <v>3.5462386273375497E-8</v>
      </c>
      <c r="AK25" s="15">
        <v>6.6598904819665097E-8</v>
      </c>
    </row>
    <row r="26" spans="1:37" x14ac:dyDescent="0.25">
      <c r="A26" s="13" t="s">
        <v>49</v>
      </c>
      <c r="B26" s="13" t="s">
        <v>50</v>
      </c>
      <c r="C26" s="13" t="s">
        <v>53</v>
      </c>
      <c r="D26" s="14"/>
      <c r="E26" s="15">
        <v>6.1650409325436897</v>
      </c>
      <c r="F26" s="15">
        <v>6.1650409325436897</v>
      </c>
      <c r="G26" s="15">
        <v>6.1650409325436897</v>
      </c>
      <c r="H26" s="15">
        <v>6.1650409325436897</v>
      </c>
      <c r="I26" s="15">
        <v>6.1650409325436897</v>
      </c>
      <c r="J26" s="15">
        <v>6.1650409325436897</v>
      </c>
      <c r="K26" s="15">
        <v>6.1650409325436897</v>
      </c>
      <c r="L26" s="15">
        <v>6.1650409325436897</v>
      </c>
      <c r="M26" s="15">
        <v>6.1650409325436897</v>
      </c>
      <c r="N26" s="15">
        <v>6.1650409325436897</v>
      </c>
      <c r="O26" s="15">
        <v>6.1650409325436897</v>
      </c>
      <c r="P26" s="15">
        <v>6.1650409325436897</v>
      </c>
      <c r="Q26" s="15">
        <v>6.1650409325436897</v>
      </c>
      <c r="R26" s="15">
        <v>6.1650409325436897</v>
      </c>
      <c r="S26" s="15">
        <v>6.7496435186987496</v>
      </c>
      <c r="T26" s="15">
        <v>7.7379875264527804</v>
      </c>
      <c r="U26" s="15">
        <v>8.4287785716461396</v>
      </c>
      <c r="V26" s="15">
        <v>10.6533386383134</v>
      </c>
      <c r="W26" s="15">
        <v>10.9357116732191</v>
      </c>
      <c r="X26" s="15">
        <v>11.1669120204112</v>
      </c>
      <c r="Y26" s="15">
        <v>11.3837063693834</v>
      </c>
      <c r="Z26" s="15">
        <v>11.383706397238001</v>
      </c>
      <c r="AA26" s="15">
        <v>11.383706397238001</v>
      </c>
      <c r="AB26" s="15">
        <v>11.383706397238001</v>
      </c>
      <c r="AC26" s="15">
        <v>11.383706397238001</v>
      </c>
      <c r="AD26" s="15">
        <v>11.383706397238001</v>
      </c>
      <c r="AE26" s="15">
        <v>11.383706397238001</v>
      </c>
      <c r="AF26" s="15">
        <v>11.383706397238001</v>
      </c>
      <c r="AG26" s="15">
        <v>11.383706397238001</v>
      </c>
      <c r="AH26" s="15">
        <v>10.799103811083</v>
      </c>
      <c r="AI26" s="15">
        <v>3.6457188707852599</v>
      </c>
      <c r="AJ26" s="15">
        <v>2.9549278255918998</v>
      </c>
      <c r="AK26" s="15">
        <v>0.73036775892461003</v>
      </c>
    </row>
    <row r="27" spans="1:37" x14ac:dyDescent="0.25">
      <c r="A27" s="13" t="s">
        <v>49</v>
      </c>
      <c r="B27" s="13" t="s">
        <v>50</v>
      </c>
      <c r="C27" s="13" t="s">
        <v>54</v>
      </c>
      <c r="D27" s="15">
        <v>10.695</v>
      </c>
      <c r="E27" s="15">
        <v>10.9505</v>
      </c>
      <c r="F27" s="15">
        <v>11.206</v>
      </c>
      <c r="G27" s="15">
        <v>9.7082431200042993</v>
      </c>
      <c r="H27" s="15">
        <v>8.7538942175003296</v>
      </c>
      <c r="I27" s="15">
        <v>7.9626697044229804</v>
      </c>
      <c r="J27" s="15">
        <v>7.3267614588282903</v>
      </c>
      <c r="K27" s="15">
        <v>6.8685605754815802</v>
      </c>
      <c r="L27" s="15">
        <v>6.5340864826029001</v>
      </c>
      <c r="M27" s="15">
        <v>6.2116931415786301</v>
      </c>
      <c r="N27" s="15">
        <v>5.8168079644948998</v>
      </c>
      <c r="O27" s="15">
        <v>5.3023123131193</v>
      </c>
      <c r="P27" s="15">
        <v>4.6390759226815801</v>
      </c>
      <c r="Q27" s="15">
        <v>3.7952812202254802</v>
      </c>
      <c r="R27" s="15">
        <v>2.7937442893386102</v>
      </c>
      <c r="S27" s="15">
        <v>1.75854143520798</v>
      </c>
      <c r="T27" s="15">
        <v>0.90263959268289296</v>
      </c>
      <c r="U27" s="15">
        <v>0.36966388942130601</v>
      </c>
      <c r="V27" s="15">
        <v>0.12492150389932501</v>
      </c>
      <c r="W27" s="15">
        <v>3.8013571194529298E-2</v>
      </c>
      <c r="X27" s="15">
        <v>1.0286768994511201E-2</v>
      </c>
      <c r="Y27" s="15">
        <v>2.4365838706025301E-3</v>
      </c>
      <c r="Z27" s="15">
        <v>4.9482650677760498E-4</v>
      </c>
      <c r="AA27" s="15">
        <v>8.3756752127611903E-5</v>
      </c>
      <c r="AB27" s="15">
        <v>1.13425653957331E-5</v>
      </c>
      <c r="AC27" s="14"/>
      <c r="AD27" s="14"/>
      <c r="AE27" s="14"/>
      <c r="AF27" s="14"/>
      <c r="AG27" s="14"/>
      <c r="AH27" s="14"/>
      <c r="AI27" s="14"/>
      <c r="AJ27" s="14"/>
      <c r="AK27" s="14"/>
    </row>
    <row r="28" spans="1:37" x14ac:dyDescent="0.25">
      <c r="A28" s="13" t="s">
        <v>49</v>
      </c>
      <c r="B28" s="13" t="s">
        <v>50</v>
      </c>
      <c r="C28" s="13" t="s">
        <v>55</v>
      </c>
      <c r="D28" s="14"/>
      <c r="E28" s="15">
        <v>3.4840580765659001E-8</v>
      </c>
      <c r="F28" s="15">
        <v>3.4840580765659001E-8</v>
      </c>
      <c r="G28" s="15">
        <v>3.4840580765659001E-8</v>
      </c>
      <c r="H28" s="15">
        <v>3.4840580765659001E-8</v>
      </c>
      <c r="I28" s="15">
        <v>3.4840580765659001E-8</v>
      </c>
      <c r="J28" s="15">
        <v>3.4840580765659001E-8</v>
      </c>
      <c r="K28" s="15">
        <v>3.4840580765659001E-8</v>
      </c>
      <c r="L28" s="15">
        <v>3.4840580765659001E-8</v>
      </c>
      <c r="M28" s="15">
        <v>3.4840580765659001E-8</v>
      </c>
      <c r="N28" s="15">
        <v>3.4840580765659001E-8</v>
      </c>
      <c r="O28" s="15">
        <v>3.4840580765659001E-8</v>
      </c>
      <c r="P28" s="15">
        <v>3.4840580765659001E-8</v>
      </c>
      <c r="Q28" s="15">
        <v>3.4840580765659001E-8</v>
      </c>
      <c r="R28" s="15">
        <v>3.4840580765659001E-8</v>
      </c>
      <c r="S28" s="15">
        <v>3.4840580765659001E-8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5">
        <v>1.52042140902721E-8</v>
      </c>
    </row>
    <row r="29" spans="1:37" x14ac:dyDescent="0.25">
      <c r="A29" s="13" t="s">
        <v>49</v>
      </c>
      <c r="B29" s="13" t="s">
        <v>56</v>
      </c>
      <c r="C29" s="13" t="s">
        <v>57</v>
      </c>
      <c r="D29" s="14"/>
      <c r="E29" s="15">
        <v>2.2444156709776799E-7</v>
      </c>
      <c r="F29" s="15">
        <v>2.2444156709776799E-7</v>
      </c>
      <c r="G29" s="15">
        <v>2.2444156709776799E-7</v>
      </c>
      <c r="H29" s="15">
        <v>2.2444156709776799E-7</v>
      </c>
      <c r="I29" s="15">
        <v>2.7615862291584298E-7</v>
      </c>
      <c r="J29" s="15">
        <v>3.7705091507208202E-7</v>
      </c>
      <c r="K29" s="15">
        <v>4.7733740485493102E-7</v>
      </c>
      <c r="L29" s="15">
        <v>0.982902349519297</v>
      </c>
      <c r="M29" s="15">
        <v>1.32230579634752</v>
      </c>
      <c r="N29" s="15">
        <v>1.6677824065306801</v>
      </c>
      <c r="O29" s="15">
        <v>2.0194484801782502</v>
      </c>
      <c r="P29" s="15">
        <v>2.0194484949037501</v>
      </c>
      <c r="Q29" s="15">
        <v>2.0194484949037501</v>
      </c>
      <c r="R29" s="15">
        <v>2.0194485053409399</v>
      </c>
      <c r="S29" s="15">
        <v>2.0194485276446299</v>
      </c>
      <c r="T29" s="15">
        <v>18.59000939277</v>
      </c>
      <c r="U29" s="15">
        <v>23.639906015709901</v>
      </c>
      <c r="V29" s="15">
        <v>24.038401678314401</v>
      </c>
      <c r="W29" s="15">
        <v>24.444118456269599</v>
      </c>
      <c r="X29" s="15">
        <v>24.8571975398539</v>
      </c>
      <c r="Y29" s="15">
        <v>25.277783007047098</v>
      </c>
      <c r="Z29" s="15">
        <v>25.706021930505599</v>
      </c>
      <c r="AA29" s="15">
        <v>26.142067834138199</v>
      </c>
      <c r="AB29" s="15">
        <v>26.586068046787499</v>
      </c>
      <c r="AC29" s="15">
        <v>27.0381827918007</v>
      </c>
      <c r="AD29" s="15">
        <v>27.498571876181099</v>
      </c>
      <c r="AE29" s="15">
        <v>27.967398297938399</v>
      </c>
      <c r="AF29" s="15">
        <v>28.4448288795674</v>
      </c>
      <c r="AG29" s="15">
        <v>28.9310345746355</v>
      </c>
      <c r="AH29" s="15">
        <v>29.426189057601999</v>
      </c>
      <c r="AI29" s="15">
        <v>29.930472062886501</v>
      </c>
      <c r="AJ29" s="15">
        <v>30.444060735198601</v>
      </c>
      <c r="AK29" s="15">
        <v>30.802704540059601</v>
      </c>
    </row>
    <row r="30" spans="1:37" x14ac:dyDescent="0.25">
      <c r="A30" s="13" t="s">
        <v>49</v>
      </c>
      <c r="B30" s="13" t="s">
        <v>56</v>
      </c>
      <c r="C30" s="13" t="s">
        <v>58</v>
      </c>
      <c r="D30" s="14"/>
      <c r="E30" s="15">
        <v>2.2246342181484899E-7</v>
      </c>
      <c r="F30" s="15">
        <v>2.2246342181484899E-7</v>
      </c>
      <c r="G30" s="15">
        <v>2.2246342181484899E-7</v>
      </c>
      <c r="H30" s="15">
        <v>2.2246342181484899E-7</v>
      </c>
      <c r="I30" s="15">
        <v>2.7605773145630297E-7</v>
      </c>
      <c r="J30" s="15">
        <v>3.7695342550119001E-7</v>
      </c>
      <c r="K30" s="15">
        <v>4.7866185510443596E-7</v>
      </c>
      <c r="L30" s="15">
        <v>4.6455676168402197E-6</v>
      </c>
      <c r="M30" s="15">
        <v>4.8674808003909898E-6</v>
      </c>
      <c r="N30" s="15">
        <v>4.9849498774479397E-6</v>
      </c>
      <c r="O30" s="15">
        <v>5.0666598123119398E-6</v>
      </c>
      <c r="P30" s="15">
        <v>5.0789131326990499E-6</v>
      </c>
      <c r="Q30" s="15">
        <v>5.0789131326990499E-6</v>
      </c>
      <c r="R30" s="15">
        <v>5.0789131326990499E-6</v>
      </c>
      <c r="S30" s="15">
        <v>5.0937201437374997E-6</v>
      </c>
      <c r="T30" s="15">
        <v>4.9089556933415296E-6</v>
      </c>
      <c r="U30" s="15">
        <v>4.9392829443299298E-6</v>
      </c>
      <c r="V30" s="15">
        <v>4.9748822562506798E-6</v>
      </c>
      <c r="W30" s="15">
        <v>5.0164549164018804E-6</v>
      </c>
      <c r="X30" s="15">
        <v>5.0194173566089197E-6</v>
      </c>
      <c r="Y30" s="15">
        <v>5.0036837274954101E-6</v>
      </c>
      <c r="Z30" s="15">
        <v>5.0670061970583998E-6</v>
      </c>
      <c r="AA30" s="15">
        <v>2.7088250047900902E-6</v>
      </c>
      <c r="AB30" s="15">
        <v>2.8390857075547799E-6</v>
      </c>
      <c r="AC30" s="15">
        <v>2.9387260527369801E-6</v>
      </c>
      <c r="AD30" s="15">
        <v>3.0216320153463998E-6</v>
      </c>
      <c r="AE30" s="15">
        <v>3.1338354285206201E-6</v>
      </c>
      <c r="AF30" s="15">
        <v>3.2510031400026599E-6</v>
      </c>
      <c r="AG30" s="15">
        <v>3.3735575654874699E-6</v>
      </c>
      <c r="AH30" s="15">
        <v>3.4968375361028399E-6</v>
      </c>
      <c r="AI30" s="15">
        <v>3.63045178799553E-6</v>
      </c>
      <c r="AJ30" s="15">
        <v>3.8315629090966497E-6</v>
      </c>
      <c r="AK30" s="15">
        <v>4.2137776007557798E-6</v>
      </c>
    </row>
    <row r="31" spans="1:37" x14ac:dyDescent="0.25">
      <c r="A31" s="13" t="s">
        <v>49</v>
      </c>
      <c r="B31" s="13" t="s">
        <v>56</v>
      </c>
      <c r="C31" s="13" t="s">
        <v>59</v>
      </c>
      <c r="D31" s="14"/>
      <c r="E31" s="15">
        <v>2.1983494376197799E-7</v>
      </c>
      <c r="F31" s="15">
        <v>2.1983494376197799E-7</v>
      </c>
      <c r="G31" s="15">
        <v>2.1983494376197799E-7</v>
      </c>
      <c r="H31" s="15">
        <v>2.1983494376197799E-7</v>
      </c>
      <c r="I31" s="15">
        <v>2.7591476207104399E-7</v>
      </c>
      <c r="J31" s="15">
        <v>3.7678308697353699E-7</v>
      </c>
      <c r="K31" s="15">
        <v>4.8047823183705502E-7</v>
      </c>
      <c r="L31" s="15">
        <v>3.1648817070961401E-6</v>
      </c>
      <c r="M31" s="15">
        <v>3.2361882664553501E-6</v>
      </c>
      <c r="N31" s="15">
        <v>3.2716185638269399E-6</v>
      </c>
      <c r="O31" s="15">
        <v>3.2952881429888601E-6</v>
      </c>
      <c r="P31" s="15">
        <v>3.2952881429888601E-6</v>
      </c>
      <c r="Q31" s="15">
        <v>3.2952881429888601E-6</v>
      </c>
      <c r="R31" s="15">
        <v>3.2952881429888601E-6</v>
      </c>
      <c r="S31" s="15">
        <v>3.3062177968628398E-6</v>
      </c>
      <c r="T31" s="15">
        <v>3.1068742480791298E-6</v>
      </c>
      <c r="U31" s="15">
        <v>3.1256688246543998E-6</v>
      </c>
      <c r="V31" s="15">
        <v>3.1479822195595802E-6</v>
      </c>
      <c r="W31" s="15">
        <v>3.17432422533437E-6</v>
      </c>
      <c r="X31" s="15">
        <v>3.1557176784358299E-6</v>
      </c>
      <c r="Y31" s="15">
        <v>3.11400710677547E-6</v>
      </c>
      <c r="Z31" s="15">
        <v>3.13191018552601E-6</v>
      </c>
      <c r="AA31" s="15">
        <v>2.5597351657039202E-6</v>
      </c>
      <c r="AB31" s="15">
        <v>2.7061924393544899E-6</v>
      </c>
      <c r="AC31" s="15">
        <v>2.82026802274464E-6</v>
      </c>
      <c r="AD31" s="15">
        <v>2.9235690728513599E-6</v>
      </c>
      <c r="AE31" s="15">
        <v>3.0280448547772501E-6</v>
      </c>
      <c r="AF31" s="15">
        <v>3.1324429984286399E-6</v>
      </c>
      <c r="AG31" s="15">
        <v>3.2472300498402902E-6</v>
      </c>
      <c r="AH31" s="15">
        <v>3.37153443409491E-6</v>
      </c>
      <c r="AI31" s="15">
        <v>3.5243715561074599E-6</v>
      </c>
      <c r="AJ31" s="15">
        <v>3.7513222553931299E-6</v>
      </c>
      <c r="AK31" s="15">
        <v>4.1592067038606399E-6</v>
      </c>
    </row>
    <row r="32" spans="1:37" x14ac:dyDescent="0.25">
      <c r="A32" s="13" t="s">
        <v>49</v>
      </c>
      <c r="B32" s="13" t="s">
        <v>56</v>
      </c>
      <c r="C32" s="13" t="s">
        <v>60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>
        <v>1.5724216001080898E-8</v>
      </c>
      <c r="Q32" s="15">
        <v>1.5724216001080898E-8</v>
      </c>
      <c r="R32" s="15">
        <v>2.7915889720465801E-8</v>
      </c>
      <c r="S32" s="15">
        <v>4.2319988956831301E-8</v>
      </c>
      <c r="T32" s="15">
        <v>5.8512992462626003E-8</v>
      </c>
      <c r="U32" s="15">
        <v>6.9275246187717995E-8</v>
      </c>
      <c r="V32" s="15">
        <v>7.9878576390212906E-8</v>
      </c>
      <c r="W32" s="15">
        <v>7.9878576390212906E-8</v>
      </c>
      <c r="X32" s="15">
        <v>9.09459814124703E-8</v>
      </c>
      <c r="Y32" s="15">
        <v>1.03657972014811E-7</v>
      </c>
      <c r="Z32" s="15">
        <v>1.17307891624813E-7</v>
      </c>
      <c r="AA32" s="15">
        <v>1.3136437167342799E-7</v>
      </c>
      <c r="AB32" s="15">
        <v>1.4535087312863699E-7</v>
      </c>
      <c r="AC32" s="15">
        <v>1.5877641420409199E-7</v>
      </c>
      <c r="AD32" s="15">
        <v>1.71087712882029E-7</v>
      </c>
      <c r="AE32" s="15">
        <v>1.7015302422988001E-7</v>
      </c>
      <c r="AF32" s="15">
        <v>1.8661269575397601E-7</v>
      </c>
      <c r="AG32" s="15">
        <v>1.93794723779687E-7</v>
      </c>
      <c r="AH32" s="15">
        <v>2.0258986715700299E-7</v>
      </c>
      <c r="AI32" s="15">
        <v>2.1493056396703E-7</v>
      </c>
      <c r="AJ32" s="15">
        <v>2.4177530533158201E-7</v>
      </c>
      <c r="AK32" s="15">
        <v>2.9366666657609102E-7</v>
      </c>
    </row>
    <row r="33" spans="1:37" x14ac:dyDescent="0.25">
      <c r="A33" s="13" t="s">
        <v>49</v>
      </c>
      <c r="B33" s="13" t="s">
        <v>56</v>
      </c>
      <c r="C33" s="13" t="s">
        <v>61</v>
      </c>
      <c r="D33" s="14"/>
      <c r="E33" s="15">
        <v>1.57236282862484E-7</v>
      </c>
      <c r="F33" s="15">
        <v>1.57236282862484E-7</v>
      </c>
      <c r="G33" s="15">
        <v>1.57236282862484E-7</v>
      </c>
      <c r="H33" s="15">
        <v>1.57236282862484E-7</v>
      </c>
      <c r="I33" s="15">
        <v>1.57236282862484E-7</v>
      </c>
      <c r="J33" s="15">
        <v>1.57236282862484E-7</v>
      </c>
      <c r="K33" s="15">
        <v>1.57236282862484E-7</v>
      </c>
      <c r="L33" s="15">
        <v>1.57236282862484E-7</v>
      </c>
      <c r="M33" s="15">
        <v>1.57236282862484E-7</v>
      </c>
      <c r="N33" s="15">
        <v>1.57236282862484E-7</v>
      </c>
      <c r="O33" s="15">
        <v>1.57236282862484E-7</v>
      </c>
      <c r="P33" s="15">
        <v>1.57236282862484E-7</v>
      </c>
      <c r="Q33" s="15">
        <v>1.57236282862484E-7</v>
      </c>
      <c r="R33" s="15">
        <v>1.57236282862484E-7</v>
      </c>
      <c r="S33" s="15">
        <v>1.57236282862484E-7</v>
      </c>
      <c r="T33" s="15">
        <v>2.7396128597042701E-8</v>
      </c>
      <c r="U33" s="15">
        <v>2.7396128597042701E-8</v>
      </c>
      <c r="V33" s="15">
        <v>2.7396128597042701E-8</v>
      </c>
      <c r="W33" s="15">
        <v>2.7396128597042701E-8</v>
      </c>
      <c r="X33" s="15">
        <v>2.7396128597042701E-8</v>
      </c>
      <c r="Y33" s="15">
        <v>2.7396128597042701E-8</v>
      </c>
      <c r="Z33" s="15">
        <v>2.7396128597042701E-8</v>
      </c>
      <c r="AA33" s="15">
        <v>2.7396128597042701E-8</v>
      </c>
      <c r="AB33" s="15">
        <v>2.7396128597042701E-8</v>
      </c>
      <c r="AC33" s="15">
        <v>2.7396128597042701E-8</v>
      </c>
      <c r="AD33" s="15">
        <v>2.7396128597042701E-8</v>
      </c>
      <c r="AE33" s="15">
        <v>2.7396128597042701E-8</v>
      </c>
      <c r="AF33" s="15">
        <v>2.7396128597042701E-8</v>
      </c>
      <c r="AG33" s="15">
        <v>3.8131783502021003E-8</v>
      </c>
      <c r="AH33" s="15">
        <v>5.2223443178367003E-8</v>
      </c>
      <c r="AI33" s="15">
        <v>4.5805080711056503E-8</v>
      </c>
      <c r="AJ33" s="15">
        <v>6.9848581687937099E-8</v>
      </c>
      <c r="AK33" s="15">
        <v>1.2349022973980301E-7</v>
      </c>
    </row>
    <row r="34" spans="1:37" x14ac:dyDescent="0.25">
      <c r="A34" s="13" t="s">
        <v>49</v>
      </c>
      <c r="B34" s="13" t="s">
        <v>56</v>
      </c>
      <c r="C34" s="13" t="s">
        <v>62</v>
      </c>
      <c r="D34" s="15">
        <v>1.35</v>
      </c>
      <c r="E34" s="15">
        <v>1.7410000000000001</v>
      </c>
      <c r="F34" s="15">
        <v>2.1320000000000001</v>
      </c>
      <c r="G34" s="15">
        <v>2.0549624684664498</v>
      </c>
      <c r="H34" s="15">
        <v>1.9774786633029</v>
      </c>
      <c r="I34" s="15">
        <v>1.90165845051233</v>
      </c>
      <c r="J34" s="15">
        <v>1.82815073387317</v>
      </c>
      <c r="K34" s="15">
        <v>1.74572005634959</v>
      </c>
      <c r="L34" s="15">
        <v>1.64283517188704</v>
      </c>
      <c r="M34" s="15">
        <v>1.51779784700725</v>
      </c>
      <c r="N34" s="15">
        <v>1.3766619579598101</v>
      </c>
      <c r="O34" s="15">
        <v>1.2199466098865399</v>
      </c>
      <c r="P34" s="15">
        <v>1.0445123364834501</v>
      </c>
      <c r="Q34" s="15">
        <v>0.84381814874140304</v>
      </c>
      <c r="R34" s="15">
        <v>0.61982214058683505</v>
      </c>
      <c r="S34" s="15">
        <v>0.39129123864634702</v>
      </c>
      <c r="T34" s="15">
        <v>0.20137601318999099</v>
      </c>
      <c r="U34" s="15">
        <v>8.23673879811678E-2</v>
      </c>
      <c r="V34" s="15">
        <v>2.7839461277319399E-2</v>
      </c>
      <c r="W34" s="15">
        <v>8.4720094101346007E-3</v>
      </c>
      <c r="X34" s="15">
        <v>2.2922539192113201E-3</v>
      </c>
      <c r="Y34" s="15">
        <v>5.4271924939192496E-4</v>
      </c>
      <c r="Z34" s="15">
        <v>1.1012651530310099E-4</v>
      </c>
      <c r="AA34" s="15">
        <v>1.8616472127557701E-5</v>
      </c>
      <c r="AB34" s="15">
        <v>2.5163817279128E-6</v>
      </c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x14ac:dyDescent="0.25">
      <c r="A35" s="13" t="s">
        <v>49</v>
      </c>
      <c r="B35" s="13" t="s">
        <v>56</v>
      </c>
      <c r="C35" s="13" t="s">
        <v>63</v>
      </c>
      <c r="D35" s="14"/>
      <c r="E35" s="15">
        <v>3.7741203211133499E-8</v>
      </c>
      <c r="F35" s="15">
        <v>3.7741203211133499E-8</v>
      </c>
      <c r="G35" s="15">
        <v>3.7741203211133499E-8</v>
      </c>
      <c r="H35" s="15">
        <v>3.7741203211133499E-8</v>
      </c>
      <c r="I35" s="15">
        <v>3.7741203211133499E-8</v>
      </c>
      <c r="J35" s="15">
        <v>3.7741203211133499E-8</v>
      </c>
      <c r="K35" s="15">
        <v>3.7741203211133499E-8</v>
      </c>
      <c r="L35" s="15">
        <v>3.7741203211133499E-8</v>
      </c>
      <c r="M35" s="15">
        <v>3.7741203211133499E-8</v>
      </c>
      <c r="N35" s="15">
        <v>3.7741203211133499E-8</v>
      </c>
      <c r="O35" s="15">
        <v>3.7741203211133499E-8</v>
      </c>
      <c r="P35" s="15">
        <v>3.7741203211133499E-8</v>
      </c>
      <c r="Q35" s="15">
        <v>3.7741203211133499E-8</v>
      </c>
      <c r="R35" s="15">
        <v>3.7741203211133499E-8</v>
      </c>
      <c r="S35" s="15">
        <v>3.7741203211133499E-8</v>
      </c>
      <c r="T35" s="15">
        <v>1.19111608397312E-8</v>
      </c>
      <c r="U35" s="15">
        <v>1.19111608397312E-8</v>
      </c>
      <c r="V35" s="15">
        <v>1.19111608397312E-8</v>
      </c>
      <c r="W35" s="15">
        <v>1.19111608397312E-8</v>
      </c>
      <c r="X35" s="15">
        <v>1.19111608397312E-8</v>
      </c>
      <c r="Y35" s="15">
        <v>1.19111608397312E-8</v>
      </c>
      <c r="Z35" s="15">
        <v>1.19111608397312E-8</v>
      </c>
      <c r="AA35" s="15">
        <v>1.19111608397312E-8</v>
      </c>
      <c r="AB35" s="15">
        <v>1.19111608397312E-8</v>
      </c>
      <c r="AC35" s="15">
        <v>1.19111608397312E-8</v>
      </c>
      <c r="AD35" s="15">
        <v>1.19111608397312E-8</v>
      </c>
      <c r="AE35" s="15">
        <v>1.19111608397312E-8</v>
      </c>
      <c r="AF35" s="15">
        <v>1.19111608397312E-8</v>
      </c>
      <c r="AG35" s="15">
        <v>1.19111608397312E-8</v>
      </c>
      <c r="AH35" s="15">
        <v>2.2472362367417499E-8</v>
      </c>
      <c r="AI35" s="15">
        <v>2.4601799571671499E-8</v>
      </c>
      <c r="AJ35" s="15">
        <v>4.3573151929696402E-8</v>
      </c>
      <c r="AK35" s="15">
        <v>9.0223927579122594E-8</v>
      </c>
    </row>
    <row r="36" spans="1:37" x14ac:dyDescent="0.25">
      <c r="A36" s="13" t="s">
        <v>49</v>
      </c>
      <c r="B36" s="13" t="s">
        <v>56</v>
      </c>
      <c r="C36" s="13" t="s">
        <v>64</v>
      </c>
      <c r="D36" s="14"/>
      <c r="E36" s="15">
        <v>3.6916081389913903E-8</v>
      </c>
      <c r="F36" s="15">
        <v>3.6916081389913903E-8</v>
      </c>
      <c r="G36" s="15">
        <v>3.6916081389913903E-8</v>
      </c>
      <c r="H36" s="15">
        <v>3.6916081389913903E-8</v>
      </c>
      <c r="I36" s="15">
        <v>3.6916081389913903E-8</v>
      </c>
      <c r="J36" s="15">
        <v>3.6916081389913903E-8</v>
      </c>
      <c r="K36" s="15">
        <v>3.6916081389913903E-8</v>
      </c>
      <c r="L36" s="15">
        <v>3.6916081389913903E-8</v>
      </c>
      <c r="M36" s="15">
        <v>3.6916081389913903E-8</v>
      </c>
      <c r="N36" s="15">
        <v>3.6916081389913903E-8</v>
      </c>
      <c r="O36" s="15">
        <v>5.7562337247091999E-8</v>
      </c>
      <c r="P36" s="15">
        <v>1.24075570975829E-7</v>
      </c>
      <c r="Q36" s="15">
        <v>1.24075570975829E-7</v>
      </c>
      <c r="R36" s="15">
        <v>1.3411154716475799E-7</v>
      </c>
      <c r="S36" s="15">
        <v>1.4831577792898601E-7</v>
      </c>
      <c r="T36" s="15">
        <v>1.28962264434642E-7</v>
      </c>
      <c r="U36" s="15">
        <v>1.28962264434642E-7</v>
      </c>
      <c r="V36" s="15">
        <v>1.28962264434642E-7</v>
      </c>
      <c r="W36" s="15">
        <v>1.28962264434642E-7</v>
      </c>
      <c r="X36" s="15">
        <v>1.28962264434642E-7</v>
      </c>
      <c r="Y36" s="15">
        <v>1.28962264434642E-7</v>
      </c>
      <c r="Z36" s="15">
        <v>1.28962264434642E-7</v>
      </c>
      <c r="AA36" s="15">
        <v>1.28962264434642E-7</v>
      </c>
      <c r="AB36" s="15">
        <v>1.28962264434642E-7</v>
      </c>
      <c r="AC36" s="15">
        <v>1.4020811288897999E-7</v>
      </c>
      <c r="AD36" s="15">
        <v>1.34615311853048E-7</v>
      </c>
      <c r="AE36" s="15">
        <v>9.2555139423397901E-8</v>
      </c>
      <c r="AF36" s="15">
        <v>1.0800787586658101E-7</v>
      </c>
      <c r="AG36" s="15">
        <v>1.1397428429583801E-7</v>
      </c>
      <c r="AH36" s="15">
        <v>1.1797972683340001E-7</v>
      </c>
      <c r="AI36" s="15">
        <v>1.2716036273138799E-7</v>
      </c>
      <c r="AJ36" s="15">
        <v>1.61245001310386E-7</v>
      </c>
      <c r="AK36" s="15">
        <v>2.1631214541954101E-7</v>
      </c>
    </row>
    <row r="37" spans="1:37" x14ac:dyDescent="0.25">
      <c r="A37" s="13" t="s">
        <v>49</v>
      </c>
      <c r="B37" s="13" t="s">
        <v>56</v>
      </c>
      <c r="C37" s="13" t="s">
        <v>65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5">
        <v>1.1456748029298101E-8</v>
      </c>
      <c r="AK37" s="15">
        <v>3.3714599422336698E-8</v>
      </c>
    </row>
    <row r="38" spans="1:37" x14ac:dyDescent="0.25">
      <c r="A38" s="13" t="s">
        <v>49</v>
      </c>
      <c r="B38" s="13" t="s">
        <v>56</v>
      </c>
      <c r="C38" s="13" t="s">
        <v>66</v>
      </c>
      <c r="D38" s="15">
        <v>17.463000000000001</v>
      </c>
      <c r="E38" s="15">
        <v>17.548500000000001</v>
      </c>
      <c r="F38" s="15">
        <v>17.634</v>
      </c>
      <c r="G38" s="15">
        <v>16.996814338150799</v>
      </c>
      <c r="H38" s="15">
        <v>16.355937499382399</v>
      </c>
      <c r="I38" s="15">
        <v>15.728820411038599</v>
      </c>
      <c r="J38" s="15">
        <v>15.1208302256658</v>
      </c>
      <c r="K38" s="15">
        <v>14.4390372765801</v>
      </c>
      <c r="L38" s="15">
        <v>13.588065394491601</v>
      </c>
      <c r="M38" s="15">
        <v>12.553868308689401</v>
      </c>
      <c r="N38" s="15">
        <v>11.3865182770466</v>
      </c>
      <c r="O38" s="15">
        <v>10.0903088737051</v>
      </c>
      <c r="P38" s="15">
        <v>8.6392732371243603</v>
      </c>
      <c r="Q38" s="15">
        <v>6.9793101477044504</v>
      </c>
      <c r="R38" s="15">
        <v>5.1266152097130604</v>
      </c>
      <c r="S38" s="15">
        <v>3.2364116802484499</v>
      </c>
      <c r="T38" s="15">
        <v>1.6656025406155199</v>
      </c>
      <c r="U38" s="15">
        <v>0.68126947451215403</v>
      </c>
      <c r="V38" s="15">
        <v>0.230263161427885</v>
      </c>
      <c r="W38" s="15">
        <v>7.0072895843486596E-2</v>
      </c>
      <c r="X38" s="15">
        <v>1.8959477303645601E-2</v>
      </c>
      <c r="Y38" s="15">
        <v>4.4888889511150096E-3</v>
      </c>
      <c r="Z38" s="15">
        <v>9.1086818520397705E-4</v>
      </c>
      <c r="AA38" s="15">
        <v>1.5397883184678799E-4</v>
      </c>
      <c r="AB38" s="15">
        <v>2.0813262378055499E-5</v>
      </c>
      <c r="AC38" s="14"/>
      <c r="AD38" s="14"/>
      <c r="AE38" s="14"/>
      <c r="AF38" s="14"/>
      <c r="AG38" s="14"/>
      <c r="AH38" s="14"/>
      <c r="AI38" s="14"/>
      <c r="AJ38" s="14"/>
      <c r="AK38" s="14"/>
    </row>
    <row r="39" spans="1:37" x14ac:dyDescent="0.25">
      <c r="A39" s="13" t="s">
        <v>49</v>
      </c>
      <c r="B39" s="13" t="s">
        <v>56</v>
      </c>
      <c r="C39" s="13" t="s">
        <v>67</v>
      </c>
      <c r="D39" s="14"/>
      <c r="E39" s="15">
        <v>4.6887219657814901E-8</v>
      </c>
      <c r="F39" s="15">
        <v>4.6887219657814901E-8</v>
      </c>
      <c r="G39" s="15">
        <v>4.6887219657814901E-8</v>
      </c>
      <c r="H39" s="15">
        <v>4.6887219657814901E-8</v>
      </c>
      <c r="I39" s="15">
        <v>4.6887219657814901E-8</v>
      </c>
      <c r="J39" s="15">
        <v>4.6887219657814901E-8</v>
      </c>
      <c r="K39" s="15">
        <v>4.6887219657814901E-8</v>
      </c>
      <c r="L39" s="15">
        <v>4.6887219657814901E-8</v>
      </c>
      <c r="M39" s="15">
        <v>4.6887219657814901E-8</v>
      </c>
      <c r="N39" s="15">
        <v>4.6887219657814901E-8</v>
      </c>
      <c r="O39" s="15">
        <v>4.6887219657814901E-8</v>
      </c>
      <c r="P39" s="15">
        <v>4.6887219657814901E-8</v>
      </c>
      <c r="Q39" s="15">
        <v>4.6887219657814901E-8</v>
      </c>
      <c r="R39" s="15">
        <v>4.6887219657814901E-8</v>
      </c>
      <c r="S39" s="15">
        <v>5.7384938461338401E-8</v>
      </c>
      <c r="T39" s="15">
        <v>2.48536453071316E-8</v>
      </c>
      <c r="U39" s="15">
        <v>2.48536453071316E-8</v>
      </c>
      <c r="V39" s="15">
        <v>2.48536453071316E-8</v>
      </c>
      <c r="W39" s="15">
        <v>2.48536453071316E-8</v>
      </c>
      <c r="X39" s="15">
        <v>2.48536453071316E-8</v>
      </c>
      <c r="Y39" s="15">
        <v>2.48536453071316E-8</v>
      </c>
      <c r="Z39" s="15">
        <v>2.48536453071316E-8</v>
      </c>
      <c r="AA39" s="15">
        <v>2.48536453071316E-8</v>
      </c>
      <c r="AB39" s="15">
        <v>2.48536453071316E-8</v>
      </c>
      <c r="AC39" s="15">
        <v>2.48536453071316E-8</v>
      </c>
      <c r="AD39" s="15">
        <v>2.48536453071316E-8</v>
      </c>
      <c r="AE39" s="15">
        <v>2.48536453071316E-8</v>
      </c>
      <c r="AF39" s="15">
        <v>2.48536453071316E-8</v>
      </c>
      <c r="AG39" s="15">
        <v>2.48536453071316E-8</v>
      </c>
      <c r="AH39" s="15">
        <v>2.59939178876555E-8</v>
      </c>
      <c r="AI39" s="15">
        <v>2.7190740535642101E-8</v>
      </c>
      <c r="AJ39" s="15">
        <v>4.78871591341472E-8</v>
      </c>
      <c r="AK39" s="15">
        <v>9.7871650898935796E-8</v>
      </c>
    </row>
    <row r="40" spans="1:37" x14ac:dyDescent="0.25">
      <c r="A40" s="13" t="s">
        <v>49</v>
      </c>
      <c r="B40" s="13" t="s">
        <v>56</v>
      </c>
      <c r="C40" s="13" t="s">
        <v>68</v>
      </c>
      <c r="D40" s="14"/>
      <c r="E40" s="14"/>
      <c r="F40" s="14"/>
      <c r="G40" s="14"/>
      <c r="H40" s="14"/>
      <c r="I40" s="14"/>
      <c r="J40" s="14"/>
      <c r="K40" s="14"/>
      <c r="L40" s="14"/>
      <c r="M40" s="15">
        <v>1.2062801260360701E-8</v>
      </c>
      <c r="N40" s="15">
        <v>4.8569601518664703E-8</v>
      </c>
      <c r="O40" s="15">
        <v>6.0821571367152194E-8</v>
      </c>
      <c r="P40" s="15">
        <v>6.0821571367152194E-8</v>
      </c>
      <c r="Q40" s="15">
        <v>6.0821571367152194E-8</v>
      </c>
      <c r="R40" s="15">
        <v>6.0821571367152194E-8</v>
      </c>
      <c r="S40" s="15">
        <v>6.0821571367152194E-8</v>
      </c>
      <c r="T40" s="15">
        <v>6.0821571367152194E-8</v>
      </c>
      <c r="U40" s="15">
        <v>6.0821571367152194E-8</v>
      </c>
      <c r="V40" s="15">
        <v>6.0821571367152194E-8</v>
      </c>
      <c r="W40" s="15">
        <v>6.0821571367152194E-8</v>
      </c>
      <c r="X40" s="15">
        <v>6.0821571367152194E-8</v>
      </c>
      <c r="Y40" s="15">
        <v>6.0821571367152194E-8</v>
      </c>
      <c r="Z40" s="15">
        <v>6.0821571367152194E-8</v>
      </c>
      <c r="AA40" s="15">
        <v>6.0821571367152194E-8</v>
      </c>
      <c r="AB40" s="15">
        <v>4.8758770106791498E-8</v>
      </c>
      <c r="AC40" s="15">
        <v>2.5407533925411899E-8</v>
      </c>
      <c r="AD40" s="15">
        <v>2.4988190272476499E-8</v>
      </c>
      <c r="AE40" s="15">
        <v>3.5279710810832403E-8</v>
      </c>
      <c r="AF40" s="15">
        <v>3.5279710810832403E-8</v>
      </c>
      <c r="AG40" s="15">
        <v>4.5600892374287803E-8</v>
      </c>
      <c r="AH40" s="15">
        <v>5.7139741305059003E-8</v>
      </c>
      <c r="AI40" s="15">
        <v>7.1120688132877697E-8</v>
      </c>
      <c r="AJ40" s="15">
        <v>9.0454721635146801E-8</v>
      </c>
      <c r="AK40" s="15">
        <v>1.29204405934922E-7</v>
      </c>
    </row>
    <row r="41" spans="1:37" x14ac:dyDescent="0.25">
      <c r="A41" s="13" t="s">
        <v>49</v>
      </c>
      <c r="B41" s="13" t="s">
        <v>56</v>
      </c>
      <c r="C41" s="13" t="s">
        <v>69</v>
      </c>
      <c r="D41" s="15">
        <v>2.5</v>
      </c>
      <c r="E41" s="15">
        <v>2.0954999999999999</v>
      </c>
      <c r="F41" s="15">
        <v>1.6910000000000001</v>
      </c>
      <c r="G41" s="15">
        <v>1.62989753010168</v>
      </c>
      <c r="H41" s="15">
        <v>1.5684410973945599</v>
      </c>
      <c r="I41" s="15">
        <v>1.5083041462553199</v>
      </c>
      <c r="J41" s="15">
        <v>1.45000135599415</v>
      </c>
      <c r="K41" s="15">
        <v>1.38462130172944</v>
      </c>
      <c r="L41" s="15">
        <v>1.3030179529366801</v>
      </c>
      <c r="M41" s="15">
        <v>1.2038443523870801</v>
      </c>
      <c r="N41" s="15">
        <v>1.0919021439540499</v>
      </c>
      <c r="O41" s="15">
        <v>0.96760305690344195</v>
      </c>
      <c r="P41" s="15">
        <v>0.82845701735155397</v>
      </c>
      <c r="Q41" s="15">
        <v>0.66927602698016497</v>
      </c>
      <c r="R41" s="15">
        <v>0.49161315184443599</v>
      </c>
      <c r="S41" s="15">
        <v>0.310353416768749</v>
      </c>
      <c r="T41" s="15">
        <v>0.159721781568609</v>
      </c>
      <c r="U41" s="15">
        <v>6.5329856039472195E-2</v>
      </c>
      <c r="V41" s="15">
        <v>2.2080923555322301E-2</v>
      </c>
      <c r="W41" s="15">
        <v>6.71959095334784E-3</v>
      </c>
      <c r="X41" s="15">
        <v>1.8181057117196799E-3</v>
      </c>
      <c r="Y41" s="15">
        <v>4.3045884180194401E-4</v>
      </c>
      <c r="Z41" s="15">
        <v>8.7347062559823399E-5</v>
      </c>
      <c r="AA41" s="15">
        <v>1.4765691542073201E-5</v>
      </c>
      <c r="AB41" s="15">
        <v>1.99587312471883E-6</v>
      </c>
      <c r="AC41" s="14"/>
      <c r="AD41" s="14"/>
      <c r="AE41" s="14"/>
      <c r="AF41" s="14"/>
      <c r="AG41" s="14"/>
      <c r="AH41" s="14"/>
      <c r="AI41" s="14"/>
      <c r="AJ41" s="14"/>
      <c r="AK41" s="14"/>
    </row>
    <row r="42" spans="1:37" x14ac:dyDescent="0.25">
      <c r="A42" s="13" t="s">
        <v>49</v>
      </c>
      <c r="B42" s="13" t="s">
        <v>56</v>
      </c>
      <c r="C42" s="13" t="s">
        <v>70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5">
        <v>1.1177927334295E-8</v>
      </c>
      <c r="AJ42" s="15">
        <v>2.6855105145885102E-8</v>
      </c>
      <c r="AK42" s="15">
        <v>6.7226475639796806E-8</v>
      </c>
    </row>
    <row r="43" spans="1:37" x14ac:dyDescent="0.25">
      <c r="A43" s="13" t="s">
        <v>49</v>
      </c>
      <c r="B43" s="13" t="s">
        <v>56</v>
      </c>
      <c r="C43" s="13" t="s">
        <v>71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5">
        <v>1.3825996723304401E-8</v>
      </c>
      <c r="S43" s="15">
        <v>2.8830140955210101E-8</v>
      </c>
      <c r="T43" s="15">
        <v>4.5785930631525301E-8</v>
      </c>
      <c r="U43" s="15">
        <v>5.7805642559049402E-8</v>
      </c>
      <c r="V43" s="15">
        <v>7.0441513233913704E-8</v>
      </c>
      <c r="W43" s="15">
        <v>8.15933354387737E-8</v>
      </c>
      <c r="X43" s="15">
        <v>9.4495631200988001E-8</v>
      </c>
      <c r="Y43" s="15">
        <v>1.08241740023008E-7</v>
      </c>
      <c r="Z43" s="15">
        <v>1.2246232281285401E-7</v>
      </c>
      <c r="AA43" s="15">
        <v>1.37053059204457E-7</v>
      </c>
      <c r="AB43" s="15">
        <v>1.5192029662058101E-7</v>
      </c>
      <c r="AC43" s="15">
        <v>1.67020167115047E-7</v>
      </c>
      <c r="AD43" s="15">
        <v>1.8228874031367201E-7</v>
      </c>
      <c r="AE43" s="15">
        <v>1.9763217823634299E-7</v>
      </c>
      <c r="AF43" s="15">
        <v>2.1425697619254099E-7</v>
      </c>
      <c r="AG43" s="15">
        <v>2.1967017116702099E-7</v>
      </c>
      <c r="AH43" s="15">
        <v>2.2703439217448801E-7</v>
      </c>
      <c r="AI43" s="15">
        <v>2.3671954429546101E-7</v>
      </c>
      <c r="AJ43" s="15">
        <v>2.5833929047791302E-7</v>
      </c>
      <c r="AK43" s="15">
        <v>2.9887533314216802E-7</v>
      </c>
    </row>
    <row r="44" spans="1:37" x14ac:dyDescent="0.25">
      <c r="A44" s="13" t="s">
        <v>49</v>
      </c>
      <c r="B44" s="13" t="s">
        <v>56</v>
      </c>
      <c r="C44" s="13" t="s">
        <v>72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5">
        <v>1.48687175087375E-8</v>
      </c>
    </row>
    <row r="45" spans="1:37" x14ac:dyDescent="0.25">
      <c r="A45" s="13" t="s">
        <v>49</v>
      </c>
      <c r="B45" s="13" t="s">
        <v>56</v>
      </c>
      <c r="C45" s="13" t="s">
        <v>73</v>
      </c>
      <c r="D45" s="14"/>
      <c r="E45" s="15">
        <v>1.21229428208702E-6</v>
      </c>
      <c r="F45" s="15">
        <v>1.21229428208702E-6</v>
      </c>
      <c r="G45" s="15">
        <v>1.21229428208702E-6</v>
      </c>
      <c r="H45" s="15">
        <v>1.21229428208702E-6</v>
      </c>
      <c r="I45" s="15">
        <v>1.21229428208702E-6</v>
      </c>
      <c r="J45" s="15">
        <v>1.21229428208702E-6</v>
      </c>
      <c r="K45" s="15">
        <v>1.21229428208702E-6</v>
      </c>
      <c r="L45" s="15">
        <v>1.2488927524490299E-6</v>
      </c>
      <c r="M45" s="15">
        <v>1.28829651724622E-6</v>
      </c>
      <c r="N45" s="15">
        <v>1.3616143024314801E-6</v>
      </c>
      <c r="O45" s="15">
        <v>1.9562122761453598E-6</v>
      </c>
      <c r="P45" s="15">
        <v>2.2172840565766398E-6</v>
      </c>
      <c r="Q45" s="15">
        <v>2.2288978354117701E-6</v>
      </c>
      <c r="R45" s="15">
        <v>2.2681599754054399E-6</v>
      </c>
      <c r="S45" s="15">
        <v>2.3837616407474699E-6</v>
      </c>
      <c r="T45" s="15">
        <v>2.3638526306970601E-6</v>
      </c>
      <c r="U45" s="15">
        <v>2.3895744889833402E-6</v>
      </c>
      <c r="V45" s="15">
        <v>2.4238658797566598E-6</v>
      </c>
      <c r="W45" s="15">
        <v>2.46481513210313E-6</v>
      </c>
      <c r="X45" s="15">
        <v>2.51686152120272E-6</v>
      </c>
      <c r="Y45" s="15">
        <v>2.57606252870731E-6</v>
      </c>
      <c r="Z45" s="15">
        <v>2.6454702211812301E-6</v>
      </c>
      <c r="AA45" s="15">
        <v>2.6953448879620898E-6</v>
      </c>
      <c r="AB45" s="15">
        <v>2.7702042220730799E-6</v>
      </c>
      <c r="AC45" s="15">
        <v>2.8643598901037002E-6</v>
      </c>
      <c r="AD45" s="15">
        <v>2.80608697868766E-6</v>
      </c>
      <c r="AE45" s="15">
        <v>2.84295200486717E-6</v>
      </c>
      <c r="AF45" s="15">
        <v>2.9921778565163001E-6</v>
      </c>
      <c r="AG45" s="15">
        <v>3.1213465742481898E-6</v>
      </c>
      <c r="AH45" s="15">
        <v>3.2512669876403898E-6</v>
      </c>
      <c r="AI45" s="15">
        <v>3.15082316270715E-6</v>
      </c>
      <c r="AJ45" s="15">
        <v>3.4042517554878899E-6</v>
      </c>
      <c r="AK45" s="15">
        <v>3.8892186315015997E-6</v>
      </c>
    </row>
    <row r="46" spans="1:37" x14ac:dyDescent="0.25">
      <c r="A46" s="13" t="s">
        <v>49</v>
      </c>
      <c r="B46" s="13" t="s">
        <v>56</v>
      </c>
      <c r="C46" s="13" t="s">
        <v>74</v>
      </c>
      <c r="D46" s="14"/>
      <c r="E46" s="15">
        <v>1.9453854528633799E-7</v>
      </c>
      <c r="F46" s="15">
        <v>1.9453854528633799E-7</v>
      </c>
      <c r="G46" s="15">
        <v>1.9453854528633799E-7</v>
      </c>
      <c r="H46" s="15">
        <v>2.4167146579975103E-7</v>
      </c>
      <c r="I46" s="15">
        <v>3.1018776411324199E-7</v>
      </c>
      <c r="J46" s="15">
        <v>4.1833458722674E-7</v>
      </c>
      <c r="K46" s="15">
        <v>5.2380543479134496E-7</v>
      </c>
      <c r="L46" s="15">
        <v>5.7701820175985896E-7</v>
      </c>
      <c r="M46" s="15">
        <v>6.2835202569596401E-7</v>
      </c>
      <c r="N46" s="15">
        <v>6.9101697614701495E-7</v>
      </c>
      <c r="O46" s="15">
        <v>8.55432467645606E-7</v>
      </c>
      <c r="P46" s="15">
        <v>1.157439086674E-6</v>
      </c>
      <c r="Q46" s="15">
        <v>1.2272580153832201E-6</v>
      </c>
      <c r="R46" s="15">
        <v>1.52542703149604E-6</v>
      </c>
      <c r="S46" s="15">
        <v>1.7482314729222E-6</v>
      </c>
      <c r="T46" s="15">
        <v>1.9079346818497802E-6</v>
      </c>
      <c r="U46" s="15">
        <v>1.93493111202658E-6</v>
      </c>
      <c r="V46" s="15">
        <v>1.9759613398782201E-6</v>
      </c>
      <c r="W46" s="15">
        <v>1.99434570645258E-6</v>
      </c>
      <c r="X46" s="15">
        <v>2.0419042756734601E-6</v>
      </c>
      <c r="Y46" s="15">
        <v>2.1011057525346402E-6</v>
      </c>
      <c r="Z46" s="15">
        <v>2.1793522325768999E-6</v>
      </c>
      <c r="AA46" s="15">
        <v>2.2933594944804902E-6</v>
      </c>
      <c r="AB46" s="15">
        <v>2.41176070017842E-6</v>
      </c>
      <c r="AC46" s="15">
        <v>2.5382935305587698E-6</v>
      </c>
      <c r="AD46" s="15">
        <v>2.6381619542860801E-6</v>
      </c>
      <c r="AE46" s="15">
        <v>2.7062391405224001E-6</v>
      </c>
      <c r="AF46" s="15">
        <v>2.8794655266018298E-6</v>
      </c>
      <c r="AG46" s="15">
        <v>2.9563087298452099E-6</v>
      </c>
      <c r="AH46" s="15">
        <v>3.0565259733685402E-6</v>
      </c>
      <c r="AI46" s="15">
        <v>3.0819309719022302E-6</v>
      </c>
      <c r="AJ46" s="15">
        <v>3.2947354748489101E-6</v>
      </c>
      <c r="AK46" s="15">
        <v>3.8021322144029702E-6</v>
      </c>
    </row>
    <row r="47" spans="1:37" x14ac:dyDescent="0.25">
      <c r="A47" s="13" t="s">
        <v>49</v>
      </c>
      <c r="B47" s="13" t="s">
        <v>56</v>
      </c>
      <c r="C47" s="13" t="s">
        <v>75</v>
      </c>
      <c r="D47" s="14"/>
      <c r="E47" s="15">
        <v>4.9878460166760602E-6</v>
      </c>
      <c r="F47" s="15">
        <v>4.9878460166760602E-6</v>
      </c>
      <c r="G47" s="15">
        <v>4.9878460166760602E-6</v>
      </c>
      <c r="H47" s="15">
        <v>4.9878460166760602E-6</v>
      </c>
      <c r="I47" s="15">
        <v>4.9878460166760602E-6</v>
      </c>
      <c r="J47" s="15">
        <v>4.9878460166760602E-6</v>
      </c>
      <c r="K47" s="15">
        <v>4.9878460166760602E-6</v>
      </c>
      <c r="L47" s="15">
        <v>4.9878460166760602E-6</v>
      </c>
      <c r="M47" s="15">
        <v>4.9878460166760602E-6</v>
      </c>
      <c r="N47" s="15">
        <v>4.9878460166760602E-6</v>
      </c>
      <c r="O47" s="15">
        <v>4.9878460166760602E-6</v>
      </c>
      <c r="P47" s="15">
        <v>4.9878460166760602E-6</v>
      </c>
      <c r="Q47" s="15">
        <v>4.9878460166760602E-6</v>
      </c>
      <c r="R47" s="15">
        <v>4.9878460166760602E-6</v>
      </c>
      <c r="S47" s="15">
        <v>5.0054658396571197E-6</v>
      </c>
      <c r="T47" s="15">
        <v>2.4927774691619002E-6</v>
      </c>
      <c r="U47" s="15">
        <v>2.5162674343463901E-6</v>
      </c>
      <c r="V47" s="15">
        <v>2.5442561397086301E-6</v>
      </c>
      <c r="W47" s="15">
        <v>2.5739802276572999E-6</v>
      </c>
      <c r="X47" s="15">
        <v>2.6106909383036001E-6</v>
      </c>
      <c r="Y47" s="15">
        <v>2.6547328879874801E-6</v>
      </c>
      <c r="Z47" s="15">
        <v>2.7058725256910001E-6</v>
      </c>
      <c r="AA47" s="15">
        <v>2.7643681305602398E-6</v>
      </c>
      <c r="AB47" s="15">
        <v>2.8305490750730198E-6</v>
      </c>
      <c r="AC47" s="15">
        <v>2.9027905045371398E-6</v>
      </c>
      <c r="AD47" s="15">
        <v>2.9808041260487699E-6</v>
      </c>
      <c r="AE47" s="15">
        <v>3.0663116728558499E-6</v>
      </c>
      <c r="AF47" s="15">
        <v>3.16466440967018E-6</v>
      </c>
      <c r="AG47" s="15">
        <v>3.2888020683996501E-6</v>
      </c>
      <c r="AH47" s="15">
        <v>3.46438537723356E-6</v>
      </c>
      <c r="AI47" s="15">
        <v>3.2679170536895399E-6</v>
      </c>
      <c r="AJ47" s="15">
        <v>3.5368371754801102E-6</v>
      </c>
      <c r="AK47" s="15">
        <v>4.0353338430170298E-6</v>
      </c>
    </row>
    <row r="48" spans="1:37" x14ac:dyDescent="0.25">
      <c r="A48" s="13" t="s">
        <v>49</v>
      </c>
      <c r="B48" s="13" t="s">
        <v>56</v>
      </c>
      <c r="C48" s="13" t="s">
        <v>76</v>
      </c>
      <c r="D48" s="14"/>
      <c r="E48" s="15">
        <v>1.5599039020369E-6</v>
      </c>
      <c r="F48" s="15">
        <v>1.5599039020369E-6</v>
      </c>
      <c r="G48" s="15">
        <v>1.5599039020369E-6</v>
      </c>
      <c r="H48" s="15">
        <v>1.5599039020369E-6</v>
      </c>
      <c r="I48" s="15">
        <v>1.5599039020369E-6</v>
      </c>
      <c r="J48" s="15">
        <v>1.5599039020369E-6</v>
      </c>
      <c r="K48" s="15">
        <v>1.5599039020369E-6</v>
      </c>
      <c r="L48" s="15">
        <v>1.5599039020369E-6</v>
      </c>
      <c r="M48" s="15">
        <v>1.57164079268483E-6</v>
      </c>
      <c r="N48" s="15">
        <v>1.5941422698626701E-6</v>
      </c>
      <c r="O48" s="15">
        <v>1.9828388115799098E-6</v>
      </c>
      <c r="P48" s="15">
        <v>2.3216694176754699E-6</v>
      </c>
      <c r="Q48" s="15">
        <v>2.3350356425941398E-6</v>
      </c>
      <c r="R48" s="15">
        <v>2.3869428349711001E-6</v>
      </c>
      <c r="S48" s="15">
        <v>2.5372206103527198E-6</v>
      </c>
      <c r="T48" s="15">
        <v>2.5017194495978501E-6</v>
      </c>
      <c r="U48" s="15">
        <v>2.5267332445215599E-6</v>
      </c>
      <c r="V48" s="15">
        <v>2.5596617429535801E-6</v>
      </c>
      <c r="W48" s="15">
        <v>2.6003312886471E-6</v>
      </c>
      <c r="X48" s="15">
        <v>2.6558133377910699E-6</v>
      </c>
      <c r="Y48" s="15">
        <v>2.7252374897161101E-6</v>
      </c>
      <c r="Z48" s="15">
        <v>2.8011357458042198E-6</v>
      </c>
      <c r="AA48" s="15">
        <v>2.8886515206397101E-6</v>
      </c>
      <c r="AB48" s="15">
        <v>2.9822201075600698E-6</v>
      </c>
      <c r="AC48" s="15">
        <v>3.1049578121322301E-6</v>
      </c>
      <c r="AD48" s="15">
        <v>3.0728542855033302E-6</v>
      </c>
      <c r="AE48" s="15">
        <v>3.0845563407871199E-6</v>
      </c>
      <c r="AF48" s="15">
        <v>3.2573573487505002E-6</v>
      </c>
      <c r="AG48" s="15">
        <v>3.4002903936625501E-6</v>
      </c>
      <c r="AH48" s="15">
        <v>3.5390262780519902E-6</v>
      </c>
      <c r="AI48" s="15">
        <v>3.4259544422122E-6</v>
      </c>
      <c r="AJ48" s="15">
        <v>3.71748727003595E-6</v>
      </c>
      <c r="AK48" s="15">
        <v>4.3033950169944801E-6</v>
      </c>
    </row>
    <row r="49" spans="1:37" x14ac:dyDescent="0.25">
      <c r="A49" s="13" t="s">
        <v>49</v>
      </c>
      <c r="B49" s="13" t="s">
        <v>56</v>
      </c>
      <c r="C49" s="13" t="s">
        <v>77</v>
      </c>
      <c r="D49" s="14"/>
      <c r="E49" s="15">
        <v>18.099148264848299</v>
      </c>
      <c r="F49" s="15">
        <v>18.099148264848299</v>
      </c>
      <c r="G49" s="15">
        <v>18.099148264848299</v>
      </c>
      <c r="H49" s="15">
        <v>18.099148264848299</v>
      </c>
      <c r="I49" s="15">
        <v>18.099148264848299</v>
      </c>
      <c r="J49" s="15">
        <v>18.099148264848299</v>
      </c>
      <c r="K49" s="15">
        <v>18.099148264848299</v>
      </c>
      <c r="L49" s="15">
        <v>18.099148264848299</v>
      </c>
      <c r="M49" s="15">
        <v>18.099148264848299</v>
      </c>
      <c r="N49" s="15">
        <v>18.099148264848299</v>
      </c>
      <c r="O49" s="15">
        <v>18.099148264848299</v>
      </c>
      <c r="P49" s="15">
        <v>18.099148264848299</v>
      </c>
      <c r="Q49" s="15">
        <v>18.099148264848299</v>
      </c>
      <c r="R49" s="15">
        <v>18.099148264848299</v>
      </c>
      <c r="S49" s="15">
        <v>18.099148276148298</v>
      </c>
      <c r="T49" s="15">
        <v>2.5134065396722101E-6</v>
      </c>
      <c r="U49" s="15">
        <v>2.5368873865382301E-6</v>
      </c>
      <c r="V49" s="15">
        <v>2.5649586637941498E-6</v>
      </c>
      <c r="W49" s="15">
        <v>2.5946349024598901E-6</v>
      </c>
      <c r="X49" s="15">
        <v>2.6311073696061E-6</v>
      </c>
      <c r="Y49" s="15">
        <v>2.67484910386748E-6</v>
      </c>
      <c r="Z49" s="15">
        <v>2.7256552091709902E-6</v>
      </c>
      <c r="AA49" s="15">
        <v>2.7837116406594401E-6</v>
      </c>
      <c r="AB49" s="15">
        <v>2.8494655809053301E-6</v>
      </c>
      <c r="AC49" s="15">
        <v>2.9213806227651502E-6</v>
      </c>
      <c r="AD49" s="15">
        <v>2.9992009044384199E-6</v>
      </c>
      <c r="AE49" s="15">
        <v>3.0839643588905202E-6</v>
      </c>
      <c r="AF49" s="15">
        <v>3.1805586189029601E-6</v>
      </c>
      <c r="AG49" s="15">
        <v>3.30230182258278E-6</v>
      </c>
      <c r="AH49" s="15">
        <v>3.48102613203637E-6</v>
      </c>
      <c r="AI49" s="15">
        <v>3.2793931833898899E-6</v>
      </c>
      <c r="AJ49" s="15">
        <v>3.5510970498874902E-6</v>
      </c>
      <c r="AK49" s="15">
        <v>4.04433599321733E-6</v>
      </c>
    </row>
    <row r="50" spans="1:37" x14ac:dyDescent="0.25">
      <c r="A50" s="13" t="s">
        <v>49</v>
      </c>
      <c r="B50" s="13" t="s">
        <v>56</v>
      </c>
      <c r="C50" s="13" t="s">
        <v>78</v>
      </c>
      <c r="D50" s="14"/>
      <c r="E50" s="15">
        <v>1.2744278251635499</v>
      </c>
      <c r="F50" s="15">
        <v>1.2744278251635499</v>
      </c>
      <c r="G50" s="15">
        <v>1.2744278251635499</v>
      </c>
      <c r="H50" s="15">
        <v>1.2744278251635499</v>
      </c>
      <c r="I50" s="15">
        <v>1.2744278251635499</v>
      </c>
      <c r="J50" s="15">
        <v>1.2744278251635499</v>
      </c>
      <c r="K50" s="15">
        <v>1.2744278251635499</v>
      </c>
      <c r="L50" s="15">
        <v>1.2744278251635499</v>
      </c>
      <c r="M50" s="15">
        <v>1.2744278251635499</v>
      </c>
      <c r="N50" s="15">
        <v>1.2744278251635499</v>
      </c>
      <c r="O50" s="15">
        <v>1.2744278251635499</v>
      </c>
      <c r="P50" s="15">
        <v>1.2744278251635499</v>
      </c>
      <c r="Q50" s="15">
        <v>1.2744278251635499</v>
      </c>
      <c r="R50" s="15">
        <v>1.2744278251635499</v>
      </c>
      <c r="S50" s="15">
        <v>1.27442783896036</v>
      </c>
      <c r="T50" s="15">
        <v>2.7579249958529601E-6</v>
      </c>
      <c r="U50" s="15">
        <v>2.7806836104358399E-6</v>
      </c>
      <c r="V50" s="15">
        <v>2.8069490244053901E-6</v>
      </c>
      <c r="W50" s="15">
        <v>2.8362007568562701E-6</v>
      </c>
      <c r="X50" s="15">
        <v>2.8718958965438802E-6</v>
      </c>
      <c r="Y50" s="15">
        <v>2.9143364128030399E-6</v>
      </c>
      <c r="Z50" s="15">
        <v>2.9648971101270601E-6</v>
      </c>
      <c r="AA50" s="15">
        <v>3.02988390913837E-6</v>
      </c>
      <c r="AB50" s="15">
        <v>3.1001209813317298E-6</v>
      </c>
      <c r="AC50" s="15">
        <v>3.1783007117964399E-6</v>
      </c>
      <c r="AD50" s="15">
        <v>3.2700175975184699E-6</v>
      </c>
      <c r="AE50" s="15">
        <v>3.3680295805477101E-6</v>
      </c>
      <c r="AF50" s="15">
        <v>3.4801608077334301E-6</v>
      </c>
      <c r="AG50" s="15">
        <v>3.62288416085024E-6</v>
      </c>
      <c r="AH50" s="15">
        <v>3.82874925370706E-6</v>
      </c>
      <c r="AI50" s="15">
        <v>3.6101371512190801E-6</v>
      </c>
      <c r="AJ50" s="15">
        <v>3.9393472562481002E-6</v>
      </c>
      <c r="AK50" s="15">
        <v>4.5554380066435304E-6</v>
      </c>
    </row>
    <row r="51" spans="1:37" x14ac:dyDescent="0.25">
      <c r="A51" s="13" t="s">
        <v>79</v>
      </c>
      <c r="B51" s="13" t="s">
        <v>50</v>
      </c>
      <c r="C51" s="13" t="s">
        <v>51</v>
      </c>
      <c r="D51" s="14"/>
      <c r="E51" s="14"/>
      <c r="F51" s="14"/>
      <c r="G51" s="15">
        <v>1.79886483729199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5">
        <v>2.5428827755630602E-7</v>
      </c>
      <c r="W51" s="15">
        <v>1.18325322601378E-8</v>
      </c>
      <c r="X51" s="15">
        <v>1.37600751577735E-8</v>
      </c>
      <c r="Y51" s="15">
        <v>1.75805030587165E-8</v>
      </c>
      <c r="Z51" s="15">
        <v>0.21551289804365201</v>
      </c>
      <c r="AA51" s="15">
        <v>0.21840815229511701</v>
      </c>
      <c r="AB51" s="15">
        <v>0.22250915760334999</v>
      </c>
      <c r="AC51" s="15">
        <v>0.22696472167809001</v>
      </c>
      <c r="AD51" s="15">
        <v>0.23156433910347299</v>
      </c>
      <c r="AE51" s="15">
        <v>0.23627444406914899</v>
      </c>
      <c r="AF51" s="15">
        <v>0.24108671226908299</v>
      </c>
      <c r="AG51" s="15">
        <v>0.246003481601824</v>
      </c>
      <c r="AH51" s="15">
        <v>0.835629695710844</v>
      </c>
      <c r="AI51" s="15">
        <v>7.4095449976806798</v>
      </c>
      <c r="AJ51" s="15">
        <v>0.95219584236148402</v>
      </c>
      <c r="AK51" s="15">
        <v>2.40515383884496</v>
      </c>
    </row>
    <row r="52" spans="1:37" x14ac:dyDescent="0.25">
      <c r="A52" s="13" t="s">
        <v>79</v>
      </c>
      <c r="B52" s="13" t="s">
        <v>50</v>
      </c>
      <c r="C52" s="13" t="s">
        <v>52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>
        <v>1.2230388105341299E-8</v>
      </c>
      <c r="AJ52" s="15">
        <v>2.3231998168034199E-8</v>
      </c>
      <c r="AK52" s="15">
        <v>3.1136518546289699E-8</v>
      </c>
    </row>
    <row r="53" spans="1:37" x14ac:dyDescent="0.25">
      <c r="A53" s="13" t="s">
        <v>79</v>
      </c>
      <c r="B53" s="13" t="s">
        <v>50</v>
      </c>
      <c r="C53" s="13" t="s">
        <v>53</v>
      </c>
      <c r="D53" s="14"/>
      <c r="E53" s="15">
        <v>6.1650409325436897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5">
        <v>0.584602586155065</v>
      </c>
      <c r="T53" s="15">
        <v>7.1533849402977197</v>
      </c>
      <c r="U53" s="15">
        <v>0.69079104519335799</v>
      </c>
      <c r="V53" s="15">
        <v>2.2245600666672898</v>
      </c>
      <c r="W53" s="15">
        <v>0.282373034905677</v>
      </c>
      <c r="X53" s="15">
        <v>0.23120034719206001</v>
      </c>
      <c r="Y53" s="15">
        <v>0.21679434897227501</v>
      </c>
      <c r="Z53" s="15">
        <v>2.7854598142802699E-8</v>
      </c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 x14ac:dyDescent="0.25">
      <c r="A54" s="13" t="s">
        <v>79</v>
      </c>
      <c r="B54" s="13" t="s">
        <v>50</v>
      </c>
      <c r="C54" s="13" t="s">
        <v>55</v>
      </c>
      <c r="D54" s="14"/>
      <c r="E54" s="15">
        <v>3.4840580765659001E-8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5">
        <v>1.52042140902721E-8</v>
      </c>
    </row>
    <row r="55" spans="1:37" x14ac:dyDescent="0.25">
      <c r="A55" s="13" t="s">
        <v>79</v>
      </c>
      <c r="B55" s="13" t="s">
        <v>56</v>
      </c>
      <c r="C55" s="13" t="s">
        <v>57</v>
      </c>
      <c r="D55" s="14"/>
      <c r="E55" s="15">
        <v>2.2444156709776799E-7</v>
      </c>
      <c r="F55" s="14"/>
      <c r="G55" s="14"/>
      <c r="H55" s="14"/>
      <c r="I55" s="15">
        <v>5.17170558180752E-8</v>
      </c>
      <c r="J55" s="15">
        <v>1.00892292156239E-7</v>
      </c>
      <c r="K55" s="15">
        <v>1.00286489782849E-7</v>
      </c>
      <c r="L55" s="15">
        <v>0.98290187218189196</v>
      </c>
      <c r="M55" s="15">
        <v>0.33940344682822499</v>
      </c>
      <c r="N55" s="15">
        <v>0.34547661018315501</v>
      </c>
      <c r="O55" s="15">
        <v>0.35166607364756902</v>
      </c>
      <c r="P55" s="15">
        <v>1.47255024679424E-8</v>
      </c>
      <c r="Q55" s="14"/>
      <c r="R55" s="15">
        <v>1.0437192566235101E-8</v>
      </c>
      <c r="S55" s="15">
        <v>2.2303685371509999E-8</v>
      </c>
      <c r="T55" s="15">
        <v>16.570561089567001</v>
      </c>
      <c r="U55" s="15">
        <v>5.0498966229398397</v>
      </c>
      <c r="V55" s="15">
        <v>0.39849566260449498</v>
      </c>
      <c r="W55" s="15">
        <v>0.40571677795522598</v>
      </c>
      <c r="X55" s="15">
        <v>0.41307913530139501</v>
      </c>
      <c r="Y55" s="15">
        <v>0.42058556808549402</v>
      </c>
      <c r="Z55" s="15">
        <v>0.42823902374494199</v>
      </c>
      <c r="AA55" s="15">
        <v>1.4189477758145099</v>
      </c>
      <c r="AB55" s="15">
        <v>0.78340365947749302</v>
      </c>
      <c r="AC55" s="15">
        <v>0.79759135519631696</v>
      </c>
      <c r="AD55" s="15">
        <v>0.81205515802805395</v>
      </c>
      <c r="AE55" s="15">
        <v>0.46882643648275601</v>
      </c>
      <c r="AF55" s="15">
        <v>0.47743058162899998</v>
      </c>
      <c r="AG55" s="15">
        <v>0.486205705505311</v>
      </c>
      <c r="AH55" s="15">
        <v>0.49515450527021398</v>
      </c>
      <c r="AI55" s="15">
        <v>17.0748440948515</v>
      </c>
      <c r="AJ55" s="15">
        <v>5.5634852952518701</v>
      </c>
      <c r="AK55" s="15">
        <v>0.75713946746556504</v>
      </c>
    </row>
    <row r="56" spans="1:37" x14ac:dyDescent="0.25">
      <c r="A56" s="13" t="s">
        <v>79</v>
      </c>
      <c r="B56" s="13" t="s">
        <v>56</v>
      </c>
      <c r="C56" s="13" t="s">
        <v>58</v>
      </c>
      <c r="D56" s="14"/>
      <c r="E56" s="15">
        <v>2.2246342181484899E-7</v>
      </c>
      <c r="F56" s="14"/>
      <c r="G56" s="14"/>
      <c r="H56" s="14"/>
      <c r="I56" s="15">
        <v>5.3594309641454199E-8</v>
      </c>
      <c r="J56" s="15">
        <v>1.00895694044887E-7</v>
      </c>
      <c r="K56" s="15">
        <v>1.01708429603245E-7</v>
      </c>
      <c r="L56" s="15">
        <v>4.1669057617357903E-6</v>
      </c>
      <c r="M56" s="15">
        <v>2.21913183550764E-7</v>
      </c>
      <c r="N56" s="15">
        <v>1.17469077056949E-7</v>
      </c>
      <c r="O56" s="15">
        <v>8.1709934864000401E-8</v>
      </c>
      <c r="P56" s="15">
        <v>1.2253320387113899E-8</v>
      </c>
      <c r="Q56" s="14"/>
      <c r="R56" s="14"/>
      <c r="S56" s="15">
        <v>1.48070110384467E-8</v>
      </c>
      <c r="T56" s="15">
        <v>3.7698971418885301E-8</v>
      </c>
      <c r="U56" s="15">
        <v>3.0327250988392103E-8</v>
      </c>
      <c r="V56" s="15">
        <v>3.5599311920751803E-8</v>
      </c>
      <c r="W56" s="15">
        <v>4.1572660151204403E-8</v>
      </c>
      <c r="X56" s="15">
        <v>5.6556749848495599E-8</v>
      </c>
      <c r="Y56" s="15">
        <v>8.5162064931372004E-8</v>
      </c>
      <c r="Z56" s="15">
        <v>1.6503089916624101E-7</v>
      </c>
      <c r="AA56" s="15">
        <v>1.8087245694674701E-6</v>
      </c>
      <c r="AB56" s="15">
        <v>3.5217388631545399E-7</v>
      </c>
      <c r="AC56" s="15">
        <v>2.1710942223914801E-7</v>
      </c>
      <c r="AD56" s="15">
        <v>1.6461589747342301E-7</v>
      </c>
      <c r="AE56" s="15">
        <v>1.2445673356133501E-7</v>
      </c>
      <c r="AF56" s="15">
        <v>1.17167711482039E-7</v>
      </c>
      <c r="AG56" s="15">
        <v>1.2255442548481001E-7</v>
      </c>
      <c r="AH56" s="15">
        <v>1.3808698165381999E-7</v>
      </c>
      <c r="AI56" s="15">
        <v>1.7131322331156999E-7</v>
      </c>
      <c r="AJ56" s="15">
        <v>2.3143837208950799E-7</v>
      </c>
      <c r="AK56" s="15">
        <v>4.17814003579881E-7</v>
      </c>
    </row>
    <row r="57" spans="1:37" x14ac:dyDescent="0.25">
      <c r="A57" s="13" t="s">
        <v>79</v>
      </c>
      <c r="B57" s="13" t="s">
        <v>56</v>
      </c>
      <c r="C57" s="13" t="s">
        <v>59</v>
      </c>
      <c r="D57" s="14"/>
      <c r="E57" s="15">
        <v>2.1983494376197799E-7</v>
      </c>
      <c r="F57" s="14"/>
      <c r="G57" s="14"/>
      <c r="H57" s="14"/>
      <c r="I57" s="15">
        <v>5.6079818309065698E-8</v>
      </c>
      <c r="J57" s="15">
        <v>1.00868324902493E-7</v>
      </c>
      <c r="K57" s="15">
        <v>1.03695144863519E-7</v>
      </c>
      <c r="L57" s="15">
        <v>2.6844034752590799E-6</v>
      </c>
      <c r="M57" s="15">
        <v>7.13065593592149E-8</v>
      </c>
      <c r="N57" s="15">
        <v>3.5430297371589799E-8</v>
      </c>
      <c r="O57" s="15">
        <v>2.36695791619178E-8</v>
      </c>
      <c r="P57" s="14"/>
      <c r="Q57" s="14"/>
      <c r="R57" s="14"/>
      <c r="S57" s="15">
        <v>1.0929653873981399E-8</v>
      </c>
      <c r="T57" s="15">
        <v>2.04913949782651E-8</v>
      </c>
      <c r="U57" s="15">
        <v>1.8794576575275E-8</v>
      </c>
      <c r="V57" s="15">
        <v>2.2313394905183601E-8</v>
      </c>
      <c r="W57" s="15">
        <v>2.6342005774786599E-8</v>
      </c>
      <c r="X57" s="15">
        <v>3.7473271410521702E-8</v>
      </c>
      <c r="Y57" s="15">
        <v>5.9157753242135601E-8</v>
      </c>
      <c r="Z57" s="15">
        <v>1.21598223614057E-7</v>
      </c>
      <c r="AA57" s="15">
        <v>2.1122284554369998E-6</v>
      </c>
      <c r="AB57" s="15">
        <v>2.17763833009777E-7</v>
      </c>
      <c r="AC57" s="15">
        <v>1.49505880761742E-7</v>
      </c>
      <c r="AD57" s="15">
        <v>1.26970629268644E-7</v>
      </c>
      <c r="AE57" s="15">
        <v>1.0447578192589E-7</v>
      </c>
      <c r="AF57" s="15">
        <v>1.04398143651382E-7</v>
      </c>
      <c r="AG57" s="15">
        <v>1.14787051411657E-7</v>
      </c>
      <c r="AH57" s="15">
        <v>1.35234038128601E-7</v>
      </c>
      <c r="AI57" s="15">
        <v>1.7332851699081199E-7</v>
      </c>
      <c r="AJ57" s="15">
        <v>2.4574527586094901E-7</v>
      </c>
      <c r="AK57" s="15">
        <v>4.3019784337269199E-7</v>
      </c>
    </row>
    <row r="58" spans="1:37" x14ac:dyDescent="0.25">
      <c r="A58" s="13" t="s">
        <v>79</v>
      </c>
      <c r="B58" s="13" t="s">
        <v>56</v>
      </c>
      <c r="C58" s="13" t="s">
        <v>60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5">
        <v>1.5724216001080898E-8</v>
      </c>
      <c r="Q58" s="14"/>
      <c r="R58" s="15">
        <v>1.2191673719384899E-8</v>
      </c>
      <c r="S58" s="15">
        <v>1.44040992363655E-8</v>
      </c>
      <c r="T58" s="15">
        <v>1.6193003505794699E-8</v>
      </c>
      <c r="U58" s="15">
        <v>1.0762253725092E-8</v>
      </c>
      <c r="V58" s="15">
        <v>1.0603330202494899E-8</v>
      </c>
      <c r="W58" s="14"/>
      <c r="X58" s="15">
        <v>1.10674050222574E-8</v>
      </c>
      <c r="Y58" s="15">
        <v>1.2711990602340299E-8</v>
      </c>
      <c r="Z58" s="15">
        <v>1.3649919610002901E-8</v>
      </c>
      <c r="AA58" s="15">
        <v>1.4056480048614499E-8</v>
      </c>
      <c r="AB58" s="15">
        <v>1.39865014552095E-8</v>
      </c>
      <c r="AC58" s="15">
        <v>1.34255410754541E-8</v>
      </c>
      <c r="AD58" s="15">
        <v>1.23112986779376E-8</v>
      </c>
      <c r="AE58" s="15">
        <v>1.47895273489313E-8</v>
      </c>
      <c r="AF58" s="15">
        <v>1.6459671524096498E-8</v>
      </c>
      <c r="AG58" s="15">
        <v>1.9373701745095999E-8</v>
      </c>
      <c r="AH58" s="15">
        <v>2.31992426136816E-8</v>
      </c>
      <c r="AI58" s="15">
        <v>2.8533700315821101E-8</v>
      </c>
      <c r="AJ58" s="15">
        <v>3.7606995089644397E-8</v>
      </c>
      <c r="AK58" s="15">
        <v>6.2494691447003396E-8</v>
      </c>
    </row>
    <row r="59" spans="1:37" x14ac:dyDescent="0.25">
      <c r="A59" s="13" t="s">
        <v>79</v>
      </c>
      <c r="B59" s="13" t="s">
        <v>56</v>
      </c>
      <c r="C59" s="13" t="s">
        <v>61</v>
      </c>
      <c r="D59" s="14"/>
      <c r="E59" s="15">
        <v>1.57236282862484E-7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5">
        <v>2.7396128597042701E-8</v>
      </c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>
        <v>1.0735654904978301E-8</v>
      </c>
      <c r="AH59" s="15">
        <v>1.4091659676346E-8</v>
      </c>
      <c r="AI59" s="15">
        <v>2.0977766129732201E-8</v>
      </c>
      <c r="AJ59" s="15">
        <v>2.40435009768806E-8</v>
      </c>
      <c r="AK59" s="15">
        <v>5.3641648051865699E-8</v>
      </c>
    </row>
    <row r="60" spans="1:37" x14ac:dyDescent="0.25">
      <c r="A60" s="13" t="s">
        <v>79</v>
      </c>
      <c r="B60" s="13" t="s">
        <v>56</v>
      </c>
      <c r="C60" s="13" t="s">
        <v>63</v>
      </c>
      <c r="D60" s="14"/>
      <c r="E60" s="15">
        <v>3.7741203211133499E-8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5">
        <v>1.19111608397312E-8</v>
      </c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5">
        <v>1.05612015276863E-8</v>
      </c>
      <c r="AI60" s="15">
        <v>1.4040598043985201E-8</v>
      </c>
      <c r="AJ60" s="15">
        <v>1.8971352358024999E-8</v>
      </c>
      <c r="AK60" s="15">
        <v>4.6650775649426199E-8</v>
      </c>
    </row>
    <row r="61" spans="1:37" x14ac:dyDescent="0.25">
      <c r="A61" s="13" t="s">
        <v>79</v>
      </c>
      <c r="B61" s="13" t="s">
        <v>56</v>
      </c>
      <c r="C61" s="13" t="s">
        <v>64</v>
      </c>
      <c r="D61" s="14"/>
      <c r="E61" s="15">
        <v>3.6916081389913903E-8</v>
      </c>
      <c r="F61" s="14"/>
      <c r="G61" s="14"/>
      <c r="H61" s="14"/>
      <c r="I61" s="14"/>
      <c r="J61" s="14"/>
      <c r="K61" s="14"/>
      <c r="L61" s="14"/>
      <c r="M61" s="14"/>
      <c r="N61" s="14"/>
      <c r="O61" s="15">
        <v>2.0646255857178099E-8</v>
      </c>
      <c r="P61" s="15">
        <v>6.6513233728736597E-8</v>
      </c>
      <c r="Q61" s="14"/>
      <c r="R61" s="15">
        <v>1.0035976188929099E-8</v>
      </c>
      <c r="S61" s="15">
        <v>1.4204230764228401E-8</v>
      </c>
      <c r="T61" s="15">
        <v>1.75625678955701E-8</v>
      </c>
      <c r="U61" s="14"/>
      <c r="V61" s="14"/>
      <c r="W61" s="14"/>
      <c r="X61" s="14"/>
      <c r="Y61" s="14"/>
      <c r="Z61" s="14"/>
      <c r="AA61" s="14"/>
      <c r="AB61" s="14"/>
      <c r="AC61" s="15">
        <v>1.12458484543376E-8</v>
      </c>
      <c r="AD61" s="15">
        <v>1.5053454821245798E-8</v>
      </c>
      <c r="AE61" s="15">
        <v>2.4453061299086801E-8</v>
      </c>
      <c r="AF61" s="15">
        <v>1.5452736443183501E-8</v>
      </c>
      <c r="AG61" s="15">
        <v>1.6002384618185999E-8</v>
      </c>
      <c r="AH61" s="15">
        <v>1.8209673301790299E-8</v>
      </c>
      <c r="AI61" s="15">
        <v>2.6743203793558399E-8</v>
      </c>
      <c r="AJ61" s="15">
        <v>3.40846385789973E-8</v>
      </c>
      <c r="AK61" s="15">
        <v>5.5067144109155798E-8</v>
      </c>
    </row>
    <row r="62" spans="1:37" x14ac:dyDescent="0.25">
      <c r="A62" s="13" t="s">
        <v>79</v>
      </c>
      <c r="B62" s="13" t="s">
        <v>56</v>
      </c>
      <c r="C62" s="13" t="s">
        <v>65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5">
        <v>1.1456748029298101E-8</v>
      </c>
      <c r="AK62" s="15">
        <v>2.2257851393038599E-8</v>
      </c>
    </row>
    <row r="63" spans="1:37" x14ac:dyDescent="0.25">
      <c r="A63" s="13" t="s">
        <v>79</v>
      </c>
      <c r="B63" s="13" t="s">
        <v>56</v>
      </c>
      <c r="C63" s="13" t="s">
        <v>67</v>
      </c>
      <c r="D63" s="14"/>
      <c r="E63" s="15">
        <v>4.6887219657814901E-8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5">
        <v>1.0497718803523399E-8</v>
      </c>
      <c r="T63" s="15">
        <v>1.4355926503608199E-8</v>
      </c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5">
        <v>1.16379913840472E-8</v>
      </c>
      <c r="AI63" s="15">
        <v>1.5552749151594899E-8</v>
      </c>
      <c r="AJ63" s="15">
        <v>2.0696418598505099E-8</v>
      </c>
      <c r="AK63" s="15">
        <v>4.9984491764788603E-8</v>
      </c>
    </row>
    <row r="64" spans="1:37" x14ac:dyDescent="0.25">
      <c r="A64" s="13" t="s">
        <v>79</v>
      </c>
      <c r="B64" s="13" t="s">
        <v>56</v>
      </c>
      <c r="C64" s="13" t="s">
        <v>68</v>
      </c>
      <c r="D64" s="14"/>
      <c r="E64" s="14"/>
      <c r="F64" s="14"/>
      <c r="G64" s="14"/>
      <c r="H64" s="14"/>
      <c r="I64" s="14"/>
      <c r="J64" s="14"/>
      <c r="K64" s="14"/>
      <c r="L64" s="14"/>
      <c r="M64" s="15">
        <v>1.2062801260360701E-8</v>
      </c>
      <c r="N64" s="15">
        <v>3.6506800258304001E-8</v>
      </c>
      <c r="O64" s="15">
        <v>1.2251969848487499E-8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5">
        <v>1.3155564076924399E-8</v>
      </c>
      <c r="AD64" s="15">
        <v>1.18326261955521E-8</v>
      </c>
      <c r="AE64" s="15">
        <v>1.02915205383559E-8</v>
      </c>
      <c r="AF64" s="14"/>
      <c r="AG64" s="15">
        <v>1.0321181563455401E-8</v>
      </c>
      <c r="AH64" s="15">
        <v>1.15388489307712E-8</v>
      </c>
      <c r="AI64" s="15">
        <v>1.39809468278187E-8</v>
      </c>
      <c r="AJ64" s="15">
        <v>1.9334033502269101E-8</v>
      </c>
      <c r="AK64" s="15">
        <v>3.8749684299775202E-8</v>
      </c>
    </row>
    <row r="65" spans="1:37" x14ac:dyDescent="0.25">
      <c r="A65" s="13" t="s">
        <v>79</v>
      </c>
      <c r="B65" s="13" t="s">
        <v>56</v>
      </c>
      <c r="C65" s="13" t="s">
        <v>70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>
        <v>1.1177927334295E-8</v>
      </c>
      <c r="AJ65" s="15">
        <v>1.5677177811590001E-8</v>
      </c>
      <c r="AK65" s="15">
        <v>4.0371370493911698E-8</v>
      </c>
    </row>
    <row r="66" spans="1:37" x14ac:dyDescent="0.25">
      <c r="A66" s="13" t="s">
        <v>79</v>
      </c>
      <c r="B66" s="13" t="s">
        <v>56</v>
      </c>
      <c r="C66" s="13" t="s">
        <v>71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5">
        <v>1.3825996723304401E-8</v>
      </c>
      <c r="S66" s="15">
        <v>1.5004144231905699E-8</v>
      </c>
      <c r="T66" s="15">
        <v>1.6955789676315199E-8</v>
      </c>
      <c r="U66" s="15">
        <v>1.2019711927524099E-8</v>
      </c>
      <c r="V66" s="15">
        <v>1.26358706748642E-8</v>
      </c>
      <c r="W66" s="15">
        <v>1.115182220486E-8</v>
      </c>
      <c r="X66" s="15">
        <v>1.29022957622144E-8</v>
      </c>
      <c r="Y66" s="15">
        <v>1.3746108822020399E-8</v>
      </c>
      <c r="Z66" s="15">
        <v>1.4220582789845301E-8</v>
      </c>
      <c r="AA66" s="15">
        <v>1.4590736391603799E-8</v>
      </c>
      <c r="AB66" s="15">
        <v>1.48672374161238E-8</v>
      </c>
      <c r="AC66" s="15">
        <v>1.5099870494465801E-8</v>
      </c>
      <c r="AD66" s="15">
        <v>1.5268573198624801E-8</v>
      </c>
      <c r="AE66" s="15">
        <v>1.5343437922670998E-8</v>
      </c>
      <c r="AF66" s="15">
        <v>1.6624797956197799E-8</v>
      </c>
      <c r="AG66" s="15">
        <v>1.92391916977845E-8</v>
      </c>
      <c r="AH66" s="15">
        <v>2.2368365239372599E-8</v>
      </c>
      <c r="AI66" s="15">
        <v>2.66409417972885E-8</v>
      </c>
      <c r="AJ66" s="15">
        <v>3.3639458109975901E-8</v>
      </c>
      <c r="AK66" s="15">
        <v>5.3171913339119603E-8</v>
      </c>
    </row>
    <row r="67" spans="1:37" x14ac:dyDescent="0.25">
      <c r="A67" s="13" t="s">
        <v>79</v>
      </c>
      <c r="B67" s="13" t="s">
        <v>56</v>
      </c>
      <c r="C67" s="13" t="s">
        <v>72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5">
        <v>1.48687175087375E-8</v>
      </c>
    </row>
    <row r="68" spans="1:37" x14ac:dyDescent="0.25">
      <c r="A68" s="13" t="s">
        <v>79</v>
      </c>
      <c r="B68" s="13" t="s">
        <v>56</v>
      </c>
      <c r="C68" s="13" t="s">
        <v>73</v>
      </c>
      <c r="D68" s="14"/>
      <c r="E68" s="15">
        <v>1.21229428208702E-6</v>
      </c>
      <c r="F68" s="14"/>
      <c r="G68" s="14"/>
      <c r="H68" s="14"/>
      <c r="I68" s="14"/>
      <c r="J68" s="14"/>
      <c r="K68" s="14"/>
      <c r="L68" s="15">
        <v>3.6598470362009499E-8</v>
      </c>
      <c r="M68" s="15">
        <v>3.9403764797194499E-8</v>
      </c>
      <c r="N68" s="15">
        <v>7.3317785185263003E-8</v>
      </c>
      <c r="O68" s="15">
        <v>5.9459797371387296E-7</v>
      </c>
      <c r="P68" s="15">
        <v>2.6107178043128699E-7</v>
      </c>
      <c r="Q68" s="15">
        <v>1.1613778835132101E-8</v>
      </c>
      <c r="R68" s="15">
        <v>3.9262139993669497E-8</v>
      </c>
      <c r="S68" s="15">
        <v>1.15601665342026E-7</v>
      </c>
      <c r="T68" s="15">
        <v>1.1923852720366E-6</v>
      </c>
      <c r="U68" s="15">
        <v>2.5721858286282599E-8</v>
      </c>
      <c r="V68" s="15">
        <v>3.4291390773315502E-8</v>
      </c>
      <c r="W68" s="15">
        <v>4.0949252346472301E-8</v>
      </c>
      <c r="X68" s="15">
        <v>5.2046389099590597E-8</v>
      </c>
      <c r="Y68" s="15">
        <v>5.9201007504586898E-8</v>
      </c>
      <c r="Z68" s="15">
        <v>6.94076924739271E-8</v>
      </c>
      <c r="AA68" s="15">
        <v>8.6473137142871499E-8</v>
      </c>
      <c r="AB68" s="15">
        <v>1.1426309890818E-7</v>
      </c>
      <c r="AC68" s="15">
        <v>1.67473453215882E-7</v>
      </c>
      <c r="AD68" s="15">
        <v>5.3632506229783099E-7</v>
      </c>
      <c r="AE68" s="15">
        <v>2.97936806610801E-7</v>
      </c>
      <c r="AF68" s="15">
        <v>1.6083963048426299E-7</v>
      </c>
      <c r="AG68" s="15">
        <v>1.6843085772556201E-7</v>
      </c>
      <c r="AH68" s="15">
        <v>2.45522078734224E-7</v>
      </c>
      <c r="AI68" s="15">
        <v>1.09194144710336E-6</v>
      </c>
      <c r="AJ68" s="15">
        <v>2.7915045106702598E-7</v>
      </c>
      <c r="AK68" s="15">
        <v>5.1925826678701999E-7</v>
      </c>
    </row>
    <row r="69" spans="1:37" x14ac:dyDescent="0.25">
      <c r="A69" s="13" t="s">
        <v>79</v>
      </c>
      <c r="B69" s="13" t="s">
        <v>56</v>
      </c>
      <c r="C69" s="13" t="s">
        <v>74</v>
      </c>
      <c r="D69" s="14"/>
      <c r="E69" s="15">
        <v>1.9453854528633799E-7</v>
      </c>
      <c r="F69" s="14"/>
      <c r="G69" s="14"/>
      <c r="H69" s="15">
        <v>4.7132920513413401E-8</v>
      </c>
      <c r="I69" s="15">
        <v>6.8516298313491194E-8</v>
      </c>
      <c r="J69" s="15">
        <v>1.08146823113498E-7</v>
      </c>
      <c r="K69" s="15">
        <v>1.05470847564604E-7</v>
      </c>
      <c r="L69" s="15">
        <v>5.3212766968514498E-8</v>
      </c>
      <c r="M69" s="15">
        <v>5.13338239361051E-8</v>
      </c>
      <c r="N69" s="15">
        <v>6.26649504510505E-8</v>
      </c>
      <c r="O69" s="15">
        <v>1.64415491498591E-7</v>
      </c>
      <c r="P69" s="15">
        <v>3.0200661902839297E-7</v>
      </c>
      <c r="Q69" s="15">
        <v>6.9818928709224897E-8</v>
      </c>
      <c r="R69" s="15">
        <v>2.9816901611281701E-7</v>
      </c>
      <c r="S69" s="15">
        <v>2.2280444142615601E-7</v>
      </c>
      <c r="T69" s="15">
        <v>3.5424175421392303E-7</v>
      </c>
      <c r="U69" s="15">
        <v>2.6996430176800301E-8</v>
      </c>
      <c r="V69" s="15">
        <v>4.1030227851639397E-8</v>
      </c>
      <c r="W69" s="15">
        <v>6.5517287087775099E-8</v>
      </c>
      <c r="X69" s="15">
        <v>1.1607486753437E-7</v>
      </c>
      <c r="Y69" s="15">
        <v>1.6734829997467999E-7</v>
      </c>
      <c r="Z69" s="15">
        <v>1.8371732760686001E-7</v>
      </c>
      <c r="AA69" s="15">
        <v>1.6722002887210899E-7</v>
      </c>
      <c r="AB69" s="15">
        <v>1.6973502963402799E-7</v>
      </c>
      <c r="AC69" s="15">
        <v>1.89197780831401E-7</v>
      </c>
      <c r="AD69" s="15">
        <v>2.6428391522590702E-7</v>
      </c>
      <c r="AE69" s="15">
        <v>3.7008380526471402E-7</v>
      </c>
      <c r="AF69" s="15">
        <v>2.43045314788654E-7</v>
      </c>
      <c r="AG69" s="15">
        <v>3.7501221935619702E-7</v>
      </c>
      <c r="AH69" s="15">
        <v>3.2302168494948202E-7</v>
      </c>
      <c r="AI69" s="15">
        <v>3.7964675274761501E-7</v>
      </c>
      <c r="AJ69" s="15">
        <v>2.3980093312347502E-7</v>
      </c>
      <c r="AK69" s="15">
        <v>5.4842696740570803E-7</v>
      </c>
    </row>
    <row r="70" spans="1:37" x14ac:dyDescent="0.25">
      <c r="A70" s="13" t="s">
        <v>79</v>
      </c>
      <c r="B70" s="13" t="s">
        <v>56</v>
      </c>
      <c r="C70" s="13" t="s">
        <v>75</v>
      </c>
      <c r="D70" s="14"/>
      <c r="E70" s="15">
        <v>4.9878460166760602E-6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5">
        <v>1.7619822981057201E-8</v>
      </c>
      <c r="T70" s="15">
        <v>2.4751576461808402E-6</v>
      </c>
      <c r="U70" s="15">
        <v>2.34899651844926E-8</v>
      </c>
      <c r="V70" s="15">
        <v>2.7988705362238602E-8</v>
      </c>
      <c r="W70" s="15">
        <v>2.9724087948675101E-8</v>
      </c>
      <c r="X70" s="15">
        <v>3.6710710646295599E-8</v>
      </c>
      <c r="Y70" s="15">
        <v>4.4041949683880199E-8</v>
      </c>
      <c r="Z70" s="15">
        <v>5.1139637703518401E-8</v>
      </c>
      <c r="AA70" s="15">
        <v>5.8495604869246402E-8</v>
      </c>
      <c r="AB70" s="15">
        <v>6.6180944512775903E-8</v>
      </c>
      <c r="AC70" s="15">
        <v>7.2241429464119606E-8</v>
      </c>
      <c r="AD70" s="15">
        <v>7.8013621511631407E-8</v>
      </c>
      <c r="AE70" s="15">
        <v>8.5507546807079099E-8</v>
      </c>
      <c r="AF70" s="15">
        <v>9.8352736814328002E-8</v>
      </c>
      <c r="AG70" s="15">
        <v>1.2413765872946999E-7</v>
      </c>
      <c r="AH70" s="15">
        <v>1.9320313181497001E-7</v>
      </c>
      <c r="AI70" s="15">
        <v>2.27868932263682E-6</v>
      </c>
      <c r="AJ70" s="15">
        <v>2.9241008697507199E-7</v>
      </c>
      <c r="AK70" s="15">
        <v>5.2648537289915305E-7</v>
      </c>
    </row>
    <row r="71" spans="1:37" x14ac:dyDescent="0.25">
      <c r="A71" s="13" t="s">
        <v>79</v>
      </c>
      <c r="B71" s="13" t="s">
        <v>56</v>
      </c>
      <c r="C71" s="13" t="s">
        <v>76</v>
      </c>
      <c r="D71" s="14"/>
      <c r="E71" s="15">
        <v>1.5599039020369E-6</v>
      </c>
      <c r="F71" s="14"/>
      <c r="G71" s="14"/>
      <c r="H71" s="14"/>
      <c r="I71" s="14"/>
      <c r="J71" s="14"/>
      <c r="K71" s="14"/>
      <c r="L71" s="14"/>
      <c r="M71" s="15">
        <v>1.17368906479328E-8</v>
      </c>
      <c r="N71" s="15">
        <v>2.2501477177843799E-8</v>
      </c>
      <c r="O71" s="15">
        <v>3.8869654171724E-7</v>
      </c>
      <c r="P71" s="15">
        <v>3.3883060609555098E-7</v>
      </c>
      <c r="Q71" s="15">
        <v>1.33662249186716E-8</v>
      </c>
      <c r="R71" s="15">
        <v>5.1907192376958803E-8</v>
      </c>
      <c r="S71" s="15">
        <v>1.5027777538162399E-7</v>
      </c>
      <c r="T71" s="15">
        <v>1.5244027412820201E-6</v>
      </c>
      <c r="U71" s="15">
        <v>2.5013794923711901E-8</v>
      </c>
      <c r="V71" s="15">
        <v>3.2928498432017603E-8</v>
      </c>
      <c r="W71" s="15">
        <v>4.0669545693522198E-8</v>
      </c>
      <c r="X71" s="15">
        <v>5.54820491439678E-8</v>
      </c>
      <c r="Y71" s="15">
        <v>6.94241519250438E-8</v>
      </c>
      <c r="Z71" s="15">
        <v>7.5898256088108895E-8</v>
      </c>
      <c r="AA71" s="15">
        <v>8.7515774835487096E-8</v>
      </c>
      <c r="AB71" s="15">
        <v>1.05305477568291E-7</v>
      </c>
      <c r="AC71" s="15">
        <v>1.4523918175000399E-7</v>
      </c>
      <c r="AD71" s="15">
        <v>3.56593015088349E-7</v>
      </c>
      <c r="AE71" s="15">
        <v>3.5053266137934002E-7</v>
      </c>
      <c r="AF71" s="15">
        <v>1.86167232882046E-7</v>
      </c>
      <c r="AG71" s="15">
        <v>1.94840237289015E-7</v>
      </c>
      <c r="AH71" s="15">
        <v>2.8901365977105902E-7</v>
      </c>
      <c r="AI71" s="15">
        <v>1.4113309054422301E-6</v>
      </c>
      <c r="AJ71" s="15">
        <v>3.1654662274746199E-7</v>
      </c>
      <c r="AK71" s="15">
        <v>6.1883624539054496E-7</v>
      </c>
    </row>
    <row r="72" spans="1:37" x14ac:dyDescent="0.25">
      <c r="A72" s="13" t="s">
        <v>79</v>
      </c>
      <c r="B72" s="13" t="s">
        <v>56</v>
      </c>
      <c r="C72" s="13" t="s">
        <v>77</v>
      </c>
      <c r="D72" s="14"/>
      <c r="E72" s="15">
        <v>18.099148264848299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5">
        <v>1.13000470304149E-8</v>
      </c>
      <c r="T72" s="15">
        <v>2.5021064926417998E-6</v>
      </c>
      <c r="U72" s="15">
        <v>2.3480846866014401E-8</v>
      </c>
      <c r="V72" s="15">
        <v>2.8071277255925102E-8</v>
      </c>
      <c r="W72" s="15">
        <v>2.96762386657352E-8</v>
      </c>
      <c r="X72" s="15">
        <v>3.6472467146208803E-8</v>
      </c>
      <c r="Y72" s="15">
        <v>4.3741734261386298E-8</v>
      </c>
      <c r="Z72" s="15">
        <v>5.0806105303504103E-8</v>
      </c>
      <c r="AA72" s="15">
        <v>5.8056431488456798E-8</v>
      </c>
      <c r="AB72" s="15">
        <v>6.5753940245882695E-8</v>
      </c>
      <c r="AC72" s="15">
        <v>7.1915041859819196E-8</v>
      </c>
      <c r="AD72" s="15">
        <v>7.7820281673275499E-8</v>
      </c>
      <c r="AE72" s="15">
        <v>8.47634544520963E-8</v>
      </c>
      <c r="AF72" s="15">
        <v>9.6594260012438204E-8</v>
      </c>
      <c r="AG72" s="15">
        <v>1.2174320367982499E-7</v>
      </c>
      <c r="AH72" s="15">
        <v>1.9002435648400101E-7</v>
      </c>
      <c r="AI72" s="15">
        <v>2.3004735439953201E-6</v>
      </c>
      <c r="AJ72" s="15">
        <v>2.95184713363621E-7</v>
      </c>
      <c r="AK72" s="15">
        <v>5.2131022058576003E-7</v>
      </c>
    </row>
    <row r="73" spans="1:37" x14ac:dyDescent="0.25">
      <c r="A73" s="13" t="s">
        <v>79</v>
      </c>
      <c r="B73" s="13" t="s">
        <v>56</v>
      </c>
      <c r="C73" s="13" t="s">
        <v>78</v>
      </c>
      <c r="D73" s="14"/>
      <c r="E73" s="15">
        <v>1.2744278251635499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5">
        <v>1.3796812215896801E-8</v>
      </c>
      <c r="T73" s="15">
        <v>2.7441281836370598E-6</v>
      </c>
      <c r="U73" s="15">
        <v>2.27586145828769E-8</v>
      </c>
      <c r="V73" s="15">
        <v>2.6265413969550598E-8</v>
      </c>
      <c r="W73" s="15">
        <v>2.9251732450878698E-8</v>
      </c>
      <c r="X73" s="15">
        <v>3.5695139687610002E-8</v>
      </c>
      <c r="Y73" s="15">
        <v>4.2440516259157202E-8</v>
      </c>
      <c r="Z73" s="15">
        <v>5.0560697324025702E-8</v>
      </c>
      <c r="AA73" s="15">
        <v>6.4986799011309303E-8</v>
      </c>
      <c r="AB73" s="15">
        <v>7.0237072193358701E-8</v>
      </c>
      <c r="AC73" s="15">
        <v>7.81797304647133E-8</v>
      </c>
      <c r="AD73" s="15">
        <v>9.1716885722027196E-8</v>
      </c>
      <c r="AE73" s="15">
        <v>9.8011983029243901E-8</v>
      </c>
      <c r="AF73" s="15">
        <v>1.1213122718571499E-7</v>
      </c>
      <c r="AG73" s="15">
        <v>1.4272335311681401E-7</v>
      </c>
      <c r="AH73" s="15">
        <v>2.1966190507271301E-7</v>
      </c>
      <c r="AI73" s="15">
        <v>2.5255160811490901E-6</v>
      </c>
      <c r="AJ73" s="15">
        <v>3.5196871961189401E-7</v>
      </c>
      <c r="AK73" s="15">
        <v>6.4235616436498004E-7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UCT2</vt:lpstr>
      <vt:lpstr>numbers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2026-02-26T09:37:39Z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