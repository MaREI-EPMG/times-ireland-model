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xr:revisionPtr revIDLastSave="0" documentId="13_ncr:1_{41277C3F-1897-40D4-B67F-BC76DE1EEB62}" xr6:coauthVersionLast="47" xr6:coauthVersionMax="47" xr10:uidLastSave="{00000000-0000-0000-0000-000000000000}"/>
  <bookViews>
    <workbookView xWindow="3550" yWindow="14290" windowWidth="19420" windowHeight="10300" activeTab="3" xr2:uid="{39DC52AD-7AD8-48BE-9D85-AA1C40791A2D}"/>
  </bookViews>
  <sheets>
    <sheet name="Cover" sheetId="6" r:id="rId1"/>
    <sheet name="Regions" sheetId="2" r:id="rId2"/>
    <sheet name="SUP" sheetId="7" r:id="rId3"/>
    <sheet name="PWR" sheetId="4" r:id="rId4"/>
    <sheet name="IND" sheetId="10" r:id="rId5"/>
    <sheet name="RSD" sheetId="8" r:id="rId6"/>
    <sheet name="SRV" sheetId="5" r:id="rId7"/>
    <sheet name="RSD-Retrofits" sheetId="9" r:id="rId8"/>
    <sheet name="TRA" sheetId="1" r:id="rId9"/>
  </sheets>
  <definedNames>
    <definedName name="__123Graph_AEUMILKPN" localSheetId="0" hidden="1">#REF!</definedName>
    <definedName name="__123Graph_AEUMILKPN" localSheetId="3" hidden="1">#REF!</definedName>
    <definedName name="__123Graph_AEUMILKPN" localSheetId="5" hidden="1">#REF!</definedName>
    <definedName name="__123Graph_AEUMILKPN" localSheetId="7" hidden="1">#REF!</definedName>
    <definedName name="__123Graph_AEUMILKPN" localSheetId="6" hidden="1">#REF!</definedName>
    <definedName name="__123Graph_AEUMILKPN" localSheetId="2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3" hidden="1">#REF!</definedName>
    <definedName name="_Regression_Y" localSheetId="5" hidden="1">#REF!</definedName>
    <definedName name="_Regression_Y" localSheetId="7" hidden="1">#REF!</definedName>
    <definedName name="_Regression_Y" localSheetId="6" hidden="1">#REF!</definedName>
    <definedName name="_Regression_Y" localSheetId="2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5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7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L29" i="7"/>
  <c r="B29" i="7"/>
  <c r="L32" i="7"/>
  <c r="J32" i="7"/>
  <c r="B32" i="7"/>
  <c r="L31" i="7"/>
  <c r="J31" i="7"/>
  <c r="B31" i="7"/>
  <c r="J29" i="7"/>
  <c r="B25" i="7"/>
  <c r="B7" i="10"/>
  <c r="J7" i="10"/>
  <c r="L7" i="10"/>
  <c r="N7" i="10"/>
  <c r="B8" i="10"/>
  <c r="J8" i="10"/>
  <c r="L8" i="10"/>
  <c r="N8" i="10"/>
  <c r="B9" i="10"/>
  <c r="J9" i="10"/>
  <c r="L9" i="10"/>
  <c r="N9" i="10"/>
  <c r="B10" i="10"/>
  <c r="J10" i="10"/>
  <c r="L10" i="10"/>
  <c r="N10" i="10"/>
  <c r="N6" i="10"/>
  <c r="L6" i="10"/>
  <c r="J6" i="10"/>
  <c r="B6" i="10"/>
  <c r="B2" i="10"/>
  <c r="H30" i="4"/>
  <c r="H29" i="4"/>
  <c r="H28" i="4"/>
  <c r="H27" i="4"/>
  <c r="G27" i="4"/>
  <c r="G28" i="4"/>
  <c r="G29" i="4"/>
  <c r="G30" i="4"/>
  <c r="G26" i="4"/>
  <c r="G31" i="4"/>
  <c r="H36" i="4"/>
  <c r="H35" i="4"/>
  <c r="H34" i="4"/>
  <c r="H33" i="4"/>
  <c r="J6" i="1"/>
  <c r="N3" i="4"/>
  <c r="B10" i="1"/>
  <c r="J10" i="1"/>
  <c r="N10" i="1"/>
  <c r="J9" i="1"/>
  <c r="N9" i="1"/>
  <c r="B9" i="1"/>
  <c r="G35" i="4"/>
  <c r="G36" i="4"/>
  <c r="G33" i="4"/>
  <c r="G34" i="4"/>
  <c r="B7" i="7"/>
  <c r="I7" i="7"/>
  <c r="K7" i="7"/>
  <c r="B8" i="7"/>
  <c r="I8" i="7"/>
  <c r="K8" i="7"/>
  <c r="B2" i="9"/>
  <c r="N6" i="9"/>
  <c r="L6" i="9"/>
  <c r="J6" i="9"/>
  <c r="B6" i="9"/>
  <c r="J7" i="8"/>
  <c r="L7" i="8"/>
  <c r="J8" i="8"/>
  <c r="L8" i="8"/>
  <c r="J6" i="8"/>
  <c r="L6" i="8"/>
  <c r="N6" i="8"/>
  <c r="B59" i="1" l="1"/>
  <c r="G21" i="7"/>
  <c r="F21" i="7"/>
  <c r="G36" i="8"/>
  <c r="F36" i="8"/>
  <c r="G23" i="5"/>
  <c r="F23" i="5"/>
  <c r="G22" i="7"/>
  <c r="H37" i="8"/>
  <c r="G37" i="8"/>
  <c r="H24" i="5"/>
  <c r="G24" i="5"/>
  <c r="L10" i="1" l="1"/>
  <c r="L9" i="1"/>
  <c r="J12" i="8"/>
  <c r="L12" i="8"/>
  <c r="N12" i="8"/>
  <c r="J13" i="8"/>
  <c r="L13" i="8"/>
  <c r="N13" i="8"/>
  <c r="J14" i="8"/>
  <c r="L14" i="8"/>
  <c r="N14" i="8"/>
  <c r="J15" i="8"/>
  <c r="L15" i="8"/>
  <c r="N15" i="8"/>
  <c r="J16" i="8"/>
  <c r="L16" i="8"/>
  <c r="N16" i="8"/>
  <c r="J17" i="8"/>
  <c r="L17" i="8"/>
  <c r="N17" i="8"/>
  <c r="B7" i="8"/>
  <c r="B8" i="8"/>
  <c r="B9" i="8"/>
  <c r="B10" i="8"/>
  <c r="B11" i="8"/>
  <c r="B12" i="8"/>
  <c r="B13" i="8"/>
  <c r="B14" i="8"/>
  <c r="B15" i="8"/>
  <c r="B16" i="8"/>
  <c r="B17" i="8"/>
  <c r="B6" i="8"/>
  <c r="N7" i="8"/>
  <c r="N11" i="8" l="1"/>
  <c r="L11" i="8"/>
  <c r="J11" i="8"/>
  <c r="N10" i="8"/>
  <c r="L10" i="8"/>
  <c r="J10" i="8"/>
  <c r="N9" i="8"/>
  <c r="L9" i="8"/>
  <c r="J9" i="8"/>
  <c r="N8" i="8"/>
  <c r="B2" i="8"/>
  <c r="B10" i="5"/>
  <c r="J10" i="5"/>
  <c r="L10" i="5"/>
  <c r="N10" i="5"/>
  <c r="B9" i="5" l="1"/>
  <c r="J9" i="5"/>
  <c r="L9" i="5"/>
  <c r="N9" i="5"/>
  <c r="B8" i="5" l="1"/>
  <c r="J8" i="5"/>
  <c r="L8" i="5"/>
  <c r="N8" i="5"/>
  <c r="K6" i="7"/>
  <c r="I6" i="7"/>
  <c r="B6" i="7"/>
  <c r="B2" i="7"/>
  <c r="G25" i="4"/>
  <c r="G32" i="4"/>
  <c r="G24" i="4"/>
  <c r="K9" i="4"/>
  <c r="B9" i="4"/>
  <c r="G9" i="4"/>
  <c r="I9" i="4"/>
  <c r="B10" i="4"/>
  <c r="G10" i="4"/>
  <c r="I10" i="4"/>
  <c r="K10" i="4"/>
  <c r="B11" i="4"/>
  <c r="G11" i="4"/>
  <c r="I11" i="4"/>
  <c r="K11" i="4"/>
  <c r="L11" i="1" l="1"/>
  <c r="L7" i="1"/>
  <c r="L8" i="1"/>
  <c r="N6" i="1"/>
  <c r="N7" i="1"/>
  <c r="N8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B6" i="1"/>
  <c r="B7" i="1"/>
  <c r="B8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N7" i="5"/>
  <c r="L7" i="5"/>
  <c r="J7" i="5"/>
  <c r="B7" i="5"/>
  <c r="N6" i="5"/>
  <c r="L6" i="5"/>
  <c r="J6" i="5"/>
  <c r="B6" i="5"/>
  <c r="B2" i="1" l="1"/>
  <c r="J7" i="1"/>
  <c r="J8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B2" i="5"/>
  <c r="K7" i="4"/>
  <c r="K8" i="4"/>
  <c r="K6" i="4"/>
  <c r="B8" i="4"/>
  <c r="B6" i="4"/>
  <c r="B7" i="4"/>
  <c r="I8" i="4"/>
  <c r="G8" i="4"/>
  <c r="I7" i="4"/>
  <c r="G7" i="4"/>
  <c r="I6" i="4"/>
  <c r="G6" i="4"/>
  <c r="P59" i="1"/>
  <c r="P58" i="1"/>
  <c r="P57" i="1"/>
  <c r="P56" i="1"/>
  <c r="B56" i="1"/>
  <c r="C56" i="1" s="1"/>
  <c r="D56" i="1" s="1"/>
  <c r="D7" i="2"/>
  <c r="C7" i="2"/>
  <c r="AA6" i="2"/>
  <c r="S6" i="2"/>
  <c r="K6" i="2"/>
  <c r="D6" i="2"/>
  <c r="C6" i="2"/>
  <c r="AD5" i="2"/>
  <c r="AD7" i="2" s="1"/>
  <c r="AC5" i="2"/>
  <c r="AC7" i="2" s="1"/>
  <c r="AB5" i="2"/>
  <c r="AB7" i="2" s="1"/>
  <c r="AA5" i="2"/>
  <c r="AA7" i="2" s="1"/>
  <c r="Z5" i="2"/>
  <c r="Z6" i="2" s="1"/>
  <c r="Y5" i="2"/>
  <c r="Y6" i="2" s="1"/>
  <c r="X5" i="2"/>
  <c r="X6" i="2" s="1"/>
  <c r="W5" i="2"/>
  <c r="W3" i="2" s="1" a="1"/>
  <c r="W3" i="2" s="1"/>
  <c r="V5" i="2"/>
  <c r="V7" i="2" s="1"/>
  <c r="U5" i="2"/>
  <c r="U7" i="2" s="1"/>
  <c r="T5" i="2"/>
  <c r="T7" i="2" s="1"/>
  <c r="S5" i="2"/>
  <c r="S7" i="2" s="1"/>
  <c r="R5" i="2"/>
  <c r="R6" i="2" s="1"/>
  <c r="Q5" i="2"/>
  <c r="Q6" i="2" s="1"/>
  <c r="P5" i="2"/>
  <c r="P6" i="2" s="1"/>
  <c r="O5" i="2"/>
  <c r="O3" i="2" s="1" a="1"/>
  <c r="O3" i="2" s="1"/>
  <c r="N5" i="2"/>
  <c r="N7" i="2" s="1"/>
  <c r="M5" i="2"/>
  <c r="M7" i="2" s="1"/>
  <c r="L5" i="2"/>
  <c r="L7" i="2" s="1"/>
  <c r="K5" i="2"/>
  <c r="K7" i="2" s="1"/>
  <c r="J5" i="2"/>
  <c r="J6" i="2" s="1"/>
  <c r="I5" i="2"/>
  <c r="I6" i="2" s="1"/>
  <c r="H5" i="2"/>
  <c r="H6" i="2" s="1"/>
  <c r="G5" i="2"/>
  <c r="G6" i="2" s="1"/>
  <c r="F5" i="2"/>
  <c r="F7" i="2" s="1"/>
  <c r="E5" i="2"/>
  <c r="E7" i="2" s="1"/>
  <c r="AD3" i="2" a="1"/>
  <c r="AD3" i="2" s="1"/>
  <c r="AC3" i="2" a="1"/>
  <c r="AC3" i="2" s="1"/>
  <c r="AB3" i="2" a="1"/>
  <c r="AB3" i="2" s="1"/>
  <c r="AA3" i="2" a="1"/>
  <c r="AA3" i="2" s="1"/>
  <c r="Z3" i="2" a="1"/>
  <c r="Z3" i="2" s="1"/>
  <c r="Y3" i="2" a="1"/>
  <c r="Y3" i="2" s="1"/>
  <c r="X3" i="2" a="1"/>
  <c r="X3" i="2" s="1"/>
  <c r="V3" i="2" a="1"/>
  <c r="V3" i="2" s="1"/>
  <c r="U3" i="2" a="1"/>
  <c r="U3" i="2" s="1"/>
  <c r="T3" i="2" a="1"/>
  <c r="T3" i="2" s="1"/>
  <c r="S3" i="2" a="1"/>
  <c r="S3" i="2" s="1"/>
  <c r="R3" i="2" a="1"/>
  <c r="R3" i="2" s="1"/>
  <c r="Q3" i="2" a="1"/>
  <c r="Q3" i="2" s="1"/>
  <c r="P3" i="2" a="1"/>
  <c r="P3" i="2" s="1"/>
  <c r="N3" i="2" a="1"/>
  <c r="N3" i="2" s="1"/>
  <c r="M3" i="2" a="1"/>
  <c r="M3" i="2" s="1"/>
  <c r="L3" i="2" a="1"/>
  <c r="L3" i="2" s="1"/>
  <c r="K3" i="2" a="1"/>
  <c r="K3" i="2" s="1"/>
  <c r="J3" i="2" a="1"/>
  <c r="J3" i="2" s="1"/>
  <c r="I3" i="2" a="1"/>
  <c r="I3" i="2" s="1"/>
  <c r="H3" i="2" a="1"/>
  <c r="H3" i="2" s="1"/>
  <c r="G3" i="2" a="1"/>
  <c r="G3" i="2" s="1"/>
  <c r="F3" i="2" a="1"/>
  <c r="F3" i="2" s="1"/>
  <c r="E3" i="2" a="1"/>
  <c r="E3" i="2" s="1"/>
  <c r="D3" i="2" a="1"/>
  <c r="D3" i="2" s="1"/>
  <c r="B2" i="4" s="1"/>
  <c r="C3" i="2" a="1"/>
  <c r="C3" i="2" s="1"/>
  <c r="L21" i="1" l="1"/>
  <c r="L22" i="1"/>
  <c r="L23" i="1"/>
  <c r="L24" i="1"/>
  <c r="L25" i="1"/>
  <c r="G7" i="2"/>
  <c r="O7" i="2"/>
  <c r="W7" i="2"/>
  <c r="L6" i="2"/>
  <c r="T6" i="2"/>
  <c r="AB6" i="2"/>
  <c r="H7" i="2"/>
  <c r="P7" i="2"/>
  <c r="X7" i="2"/>
  <c r="E6" i="2"/>
  <c r="M6" i="2"/>
  <c r="U6" i="2"/>
  <c r="AC6" i="2"/>
  <c r="I7" i="2"/>
  <c r="Q7" i="2"/>
  <c r="Y7" i="2"/>
  <c r="F6" i="2"/>
  <c r="N6" i="2"/>
  <c r="V6" i="2"/>
  <c r="AD6" i="2"/>
  <c r="J7" i="2"/>
  <c r="R7" i="2"/>
  <c r="Z7" i="2"/>
  <c r="O6" i="2"/>
  <c r="W6" i="2"/>
  <c r="C59" i="1" l="1"/>
  <c r="B58" i="1" l="1"/>
  <c r="B57" i="1"/>
  <c r="E56" i="1"/>
  <c r="F56" i="1" s="1"/>
  <c r="G56" i="1" s="1"/>
  <c r="H56" i="1" s="1"/>
  <c r="I56" i="1" s="1"/>
  <c r="J56" i="1" s="1"/>
  <c r="K56" i="1" s="1"/>
  <c r="L56" i="1" s="1"/>
  <c r="M56" i="1" s="1"/>
  <c r="N56" i="1" s="1"/>
  <c r="O56" i="1" s="1"/>
  <c r="E32" i="1"/>
  <c r="E33" i="1"/>
  <c r="E34" i="1"/>
  <c r="E35" i="1"/>
  <c r="E36" i="1"/>
  <c r="E37" i="1"/>
  <c r="E39" i="1"/>
  <c r="E40" i="1"/>
  <c r="E41" i="1"/>
  <c r="E38" i="1"/>
  <c r="C57" i="1" l="1"/>
  <c r="D57" i="1" s="1"/>
  <c r="E57" i="1" s="1"/>
  <c r="F57" i="1" s="1"/>
  <c r="G57" i="1" s="1"/>
  <c r="H57" i="1" s="1"/>
  <c r="I57" i="1" s="1"/>
  <c r="J57" i="1" s="1"/>
  <c r="L18" i="1"/>
  <c r="L19" i="1"/>
  <c r="L20" i="1"/>
  <c r="L16" i="1"/>
  <c r="L17" i="1"/>
  <c r="C58" i="1"/>
  <c r="D58" i="1" s="1"/>
  <c r="E58" i="1" s="1"/>
  <c r="F58" i="1" s="1"/>
  <c r="G58" i="1" s="1"/>
  <c r="H58" i="1" s="1"/>
  <c r="I58" i="1" s="1"/>
  <c r="J58" i="1" s="1"/>
  <c r="L15" i="1"/>
  <c r="L12" i="1"/>
  <c r="L13" i="1"/>
  <c r="L14" i="1"/>
  <c r="D59" i="1"/>
  <c r="E59" i="1" s="1"/>
  <c r="F59" i="1" s="1"/>
  <c r="G59" i="1" s="1"/>
  <c r="H59" i="1" s="1"/>
  <c r="I59" i="1" l="1"/>
  <c r="J59" i="1" s="1"/>
  <c r="K59" i="1" s="1"/>
  <c r="L59" i="1" s="1"/>
  <c r="M59" i="1" s="1"/>
  <c r="N59" i="1" s="1"/>
  <c r="O59" i="1" s="1"/>
  <c r="K57" i="1"/>
  <c r="L57" i="1" s="1"/>
  <c r="M57" i="1" s="1"/>
  <c r="N57" i="1" s="1"/>
  <c r="O57" i="1" s="1"/>
  <c r="K58" i="1"/>
  <c r="L58" i="1" s="1"/>
  <c r="M58" i="1" s="1"/>
  <c r="N58" i="1" s="1"/>
  <c r="O5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<sst xmlns="http://schemas.openxmlformats.org/spreadsheetml/2006/main" count="660" uniqueCount="280">
  <si>
    <t>~UC_Sets: T_E:</t>
  </si>
  <si>
    <t>UC_N</t>
  </si>
  <si>
    <t>UC_ATTR</t>
  </si>
  <si>
    <t>Pset_Set</t>
  </si>
  <si>
    <t>Pset_CI</t>
  </si>
  <si>
    <t>Pset_CO</t>
  </si>
  <si>
    <t>Pset_PN</t>
  </si>
  <si>
    <t>Year</t>
  </si>
  <si>
    <t>LimType</t>
  </si>
  <si>
    <t>UC_CAP</t>
  </si>
  <si>
    <t>UC_CAP~RHS</t>
  </si>
  <si>
    <t>UC_RHSRTS~0</t>
  </si>
  <si>
    <t>UC_Desc</t>
  </si>
  <si>
    <t>CAP, GROWTH</t>
  </si>
  <si>
    <t>DMD</t>
  </si>
  <si>
    <t>LO</t>
  </si>
  <si>
    <t>~UC_T</t>
  </si>
  <si>
    <t>Large PSVs</t>
  </si>
  <si>
    <t>Small PSVs</t>
  </si>
  <si>
    <t>Motor cycles</t>
  </si>
  <si>
    <t>Private cars</t>
  </si>
  <si>
    <t>Over 12.5 tonnes</t>
  </si>
  <si>
    <t>10 - 12.5 tonnes</t>
  </si>
  <si>
    <t>7.5 - 10 tonnes</t>
  </si>
  <si>
    <t>5 - 7.5 tonnes</t>
  </si>
  <si>
    <t>2 - 5 tonnes</t>
  </si>
  <si>
    <t>0 - 2 tonnes</t>
  </si>
  <si>
    <t>Freight</t>
  </si>
  <si>
    <t>CSO, Table THA17</t>
  </si>
  <si>
    <t>New registered vehicles and total number of vehicles in 2019</t>
  </si>
  <si>
    <t>New</t>
  </si>
  <si>
    <t>Total</t>
  </si>
  <si>
    <t>Proportion</t>
  </si>
  <si>
    <t>Growth rate</t>
  </si>
  <si>
    <t>New sales</t>
  </si>
  <si>
    <t>HGV</t>
  </si>
  <si>
    <t>MGV</t>
  </si>
  <si>
    <t>LGV</t>
  </si>
  <si>
    <t>PC</t>
  </si>
  <si>
    <t>T-LGT-BEV*</t>
  </si>
  <si>
    <t>T-MGT-BEV*</t>
  </si>
  <si>
    <t>T-HGT-BEV*</t>
  </si>
  <si>
    <t>T-CAR-BEV*</t>
  </si>
  <si>
    <t>UC_RHSRTS~2018</t>
  </si>
  <si>
    <t>T-CAR-PHEV*</t>
  </si>
  <si>
    <t>T-HGT-HEV*</t>
  </si>
  <si>
    <t>T-MGT-HEV*</t>
  </si>
  <si>
    <t>T-HGT-FCV*</t>
  </si>
  <si>
    <t>T-MGT-FCV*</t>
  </si>
  <si>
    <t>T-CAR-FCV*</t>
  </si>
  <si>
    <t>T-LGT-PHEV*</t>
  </si>
  <si>
    <t>T-LGT-FCV*</t>
  </si>
  <si>
    <t>Development</t>
  </si>
  <si>
    <t>IE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</si>
  <si>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</si>
  <si>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</si>
  <si>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</si>
  <si>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</si>
  <si>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</si>
  <si>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</si>
  <si>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</si>
  <si>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</si>
  <si>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</si>
  <si>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</si>
  <si>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</si>
  <si>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</si>
  <si>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</si>
  <si>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</si>
  <si>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</si>
  <si>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</si>
  <si>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</si>
  <si>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</si>
  <si>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</si>
  <si>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</si>
  <si>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</si>
  <si>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</si>
  <si>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</si>
  <si>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</si>
  <si>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</si>
  <si>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</si>
  <si>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</si>
  <si>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</si>
  <si>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</si>
  <si>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</si>
  <si>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</si>
  <si>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</si>
  <si>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</si>
  <si>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</si>
  <si>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</si>
  <si>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</si>
  <si>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</si>
  <si>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</si>
  <si>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</si>
  <si>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</si>
  <si>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</si>
  <si>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</si>
  <si>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</si>
  <si>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</si>
  <si>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</si>
  <si>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</si>
  <si>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</si>
  <si>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</si>
  <si>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</si>
  <si>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</si>
  <si>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</si>
  <si>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</si>
  <si>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</si>
  <si>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</si>
  <si>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</si>
  <si>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</si>
  <si>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</si>
  <si>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T-MGT-ICE_NG*</t>
  </si>
  <si>
    <t>T-MGT-ICE_LNG*</t>
  </si>
  <si>
    <t>T-HGT-ICE_NG*</t>
  </si>
  <si>
    <t>T-HGT-ICE_LNG*</t>
  </si>
  <si>
    <t>T-CAR-ICE_NG*</t>
  </si>
  <si>
    <t>T-LGT-ICE_NG*</t>
  </si>
  <si>
    <t>Max growth rate</t>
  </si>
  <si>
    <t>P*CCS*</t>
  </si>
  <si>
    <t>Starting value (GW)</t>
  </si>
  <si>
    <t>Seed value (% of 2018 sales)</t>
  </si>
  <si>
    <t>Total stock 2018</t>
  </si>
  <si>
    <t>P*OCE*TID*</t>
  </si>
  <si>
    <t>P*OCE*WAV*</t>
  </si>
  <si>
    <t>CCS</t>
  </si>
  <si>
    <t>Wave</t>
  </si>
  <si>
    <t>Tidal</t>
  </si>
  <si>
    <t>National</t>
  </si>
  <si>
    <t>PWR</t>
  </si>
  <si>
    <t>BEV</t>
  </si>
  <si>
    <t>PHEV</t>
  </si>
  <si>
    <t>FCV</t>
  </si>
  <si>
    <t>LGT</t>
  </si>
  <si>
    <t>MGT</t>
  </si>
  <si>
    <t>HEV</t>
  </si>
  <si>
    <t>HGT</t>
  </si>
  <si>
    <t>Playground</t>
  </si>
  <si>
    <t>Biomass</t>
  </si>
  <si>
    <t>Biogas</t>
  </si>
  <si>
    <t>SRV</t>
  </si>
  <si>
    <t>SRVBIO</t>
  </si>
  <si>
    <t>SRVBGS</t>
  </si>
  <si>
    <t>FT*</t>
  </si>
  <si>
    <t>P-TH*H2-*</t>
  </si>
  <si>
    <t>ACT, GROWTH</t>
  </si>
  <si>
    <t>UC_ACT</t>
  </si>
  <si>
    <t>UC_ACT~RHS</t>
  </si>
  <si>
    <t>CAR</t>
  </si>
  <si>
    <t>NG-ICE</t>
  </si>
  <si>
    <t>LNG-ICE</t>
  </si>
  <si>
    <t>Mode</t>
  </si>
  <si>
    <t>Type</t>
  </si>
  <si>
    <t>On/Off</t>
  </si>
  <si>
    <t>Seed Value</t>
  </si>
  <si>
    <t>P*WIN*ON*</t>
  </si>
  <si>
    <t>P*WIN*OF*</t>
  </si>
  <si>
    <t>PV</t>
  </si>
  <si>
    <t>CSP</t>
  </si>
  <si>
    <t>P*SOL*PV*</t>
  </si>
  <si>
    <t>P*SOL*CSP*</t>
  </si>
  <si>
    <t>H2GT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</si>
  <si>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</si>
  <si>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</si>
  <si>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</si>
  <si>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</si>
  <si>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</si>
  <si>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</si>
  <si>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</si>
  <si>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</si>
  <si>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</si>
  <si>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</si>
  <si>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</si>
  <si>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</si>
  <si>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</t>
  </si>
  <si>
    <t>Vahid Aryanpur (UCC, vahid.aryanpur@ucc.ie)</t>
  </si>
  <si>
    <t>Olexandr Balyk (UCC, olexandr.balyk@ucc.ie)</t>
  </si>
  <si>
    <t>Power (PWR), Transport (TRA) and Service (SRV) sectors</t>
  </si>
  <si>
    <t>Specify growth rates</t>
  </si>
  <si>
    <t>Hannah Daly (UCC, h.daly@ucc.ie)</t>
  </si>
  <si>
    <t>UC_PWR_MaxNCap_WON</t>
  </si>
  <si>
    <t>UC_PWR_MaxNCap_WOF</t>
  </si>
  <si>
    <t>UC_NCAP</t>
  </si>
  <si>
    <t>UC_RHSRTS</t>
  </si>
  <si>
    <t>PWR maximum new capacity of wind onshore</t>
  </si>
  <si>
    <t>PWR maximum new capacity of wind offshore</t>
  </si>
  <si>
    <t>UP</t>
  </si>
  <si>
    <t>SUP</t>
  </si>
  <si>
    <t>BIOGAS</t>
  </si>
  <si>
    <t>SBIORGAS*</t>
  </si>
  <si>
    <t>Starting value (PJ)</t>
  </si>
  <si>
    <t>AmbientHeat</t>
  </si>
  <si>
    <t>DistrictHeat</t>
  </si>
  <si>
    <t>SRVHET</t>
  </si>
  <si>
    <t>Gas</t>
  </si>
  <si>
    <t>SRVGAS</t>
  </si>
  <si>
    <t>RSD</t>
  </si>
  <si>
    <t>RSDBDL</t>
  </si>
  <si>
    <t>Biodiesel</t>
  </si>
  <si>
    <t>Coal</t>
  </si>
  <si>
    <t>Peat</t>
  </si>
  <si>
    <t>Electricity</t>
  </si>
  <si>
    <t>Ethanol</t>
  </si>
  <si>
    <t>LPG</t>
  </si>
  <si>
    <t>Kerosene</t>
  </si>
  <si>
    <t>Solar</t>
  </si>
  <si>
    <t>RSDWOO</t>
  </si>
  <si>
    <t>RSDCOA</t>
  </si>
  <si>
    <t>RSDPEA</t>
  </si>
  <si>
    <t>RSDELC</t>
  </si>
  <si>
    <t>RSDETH</t>
  </si>
  <si>
    <t>RSDGAS</t>
  </si>
  <si>
    <t>RSDHET</t>
  </si>
  <si>
    <t>RSDLPG</t>
  </si>
  <si>
    <t>RSDKER</t>
  </si>
  <si>
    <t>RSDSOL</t>
  </si>
  <si>
    <t>~TFM_INS</t>
  </si>
  <si>
    <t>TimeSlice</t>
  </si>
  <si>
    <t>Attribute</t>
  </si>
  <si>
    <t>Cset_CN</t>
  </si>
  <si>
    <t>COM_TAXNET</t>
  </si>
  <si>
    <t>SRVAHT,SRVAHT2</t>
  </si>
  <si>
    <t>RSDAHT,RSDAHT2</t>
  </si>
  <si>
    <t>BIOGAS1G,BIOGAS2G</t>
  </si>
  <si>
    <t>UC_NCAP~RHS</t>
  </si>
  <si>
    <t>NCAP, GROWTH</t>
  </si>
  <si>
    <t>R-RTFT*</t>
  </si>
  <si>
    <t>UC_RSD_MaxNCap_Retrofits</t>
  </si>
  <si>
    <t>RSD maximum new retrofits</t>
  </si>
  <si>
    <t>Starting value (kUnits)</t>
  </si>
  <si>
    <t>Retrofits</t>
  </si>
  <si>
    <t>BIODST</t>
  </si>
  <si>
    <t>BIOETH</t>
  </si>
  <si>
    <t>SBIORDST*</t>
  </si>
  <si>
    <t>SBIORETH*</t>
  </si>
  <si>
    <t>B100-ICE</t>
  </si>
  <si>
    <t>T-CAR-ICE_B100*</t>
  </si>
  <si>
    <t>E85-ICE</t>
  </si>
  <si>
    <t>T-CAR-ICE_E85*</t>
  </si>
  <si>
    <t>UC_PWRMSW_NODECAY</t>
  </si>
  <si>
    <t>PWRMSW</t>
  </si>
  <si>
    <t>Non-decay constraint for waste incineration</t>
  </si>
  <si>
    <t>TFM_INS</t>
  </si>
  <si>
    <t>Bakytzhan Suleimenov (UCC, bsuleimenov@ucc.ie)</t>
  </si>
  <si>
    <t>https://cms.eirgrid.ie/sites/default/files/publications/19035-EirGrid-Generation-Capacity-Statement-Combined-2023-V5-Jan-2024.pdf</t>
  </si>
  <si>
    <t>Installed Capacity (MW)</t>
  </si>
  <si>
    <t>Wind</t>
  </si>
  <si>
    <t>4,536 </t>
  </si>
  <si>
    <t>Solar PV (AC)</t>
  </si>
  <si>
    <t>201 </t>
  </si>
  <si>
    <t>237 </t>
  </si>
  <si>
    <t>Hydro</t>
  </si>
  <si>
    <t>IND</t>
  </si>
  <si>
    <t>Biofuels</t>
  </si>
  <si>
    <t>Hydrogen</t>
  </si>
  <si>
    <t>Energy Balance 2019</t>
  </si>
  <si>
    <t>Total (excluding electricity</t>
  </si>
  <si>
    <t>Bio waste</t>
  </si>
  <si>
    <t>Non-bio waste</t>
  </si>
  <si>
    <t>Solid Fuels</t>
  </si>
  <si>
    <t>Oil</t>
  </si>
  <si>
    <t>Bio fuel</t>
  </si>
  <si>
    <t>Cement</t>
  </si>
  <si>
    <t>Chemicals</t>
  </si>
  <si>
    <t>Food and Drink</t>
  </si>
  <si>
    <t>Lime</t>
  </si>
  <si>
    <t>Metals</t>
  </si>
  <si>
    <t>Other Industry</t>
  </si>
  <si>
    <t>Other Minerals</t>
  </si>
  <si>
    <t>Refining</t>
  </si>
  <si>
    <t>Wood Products</t>
  </si>
  <si>
    <t>NRG_BAL,PJ</t>
  </si>
  <si>
    <t>INDBGS</t>
  </si>
  <si>
    <t>INDELC</t>
  </si>
  <si>
    <t>INDH2G,INDH2L</t>
  </si>
  <si>
    <t>INDBIO</t>
  </si>
  <si>
    <t>INDWOO,INDBIO</t>
  </si>
  <si>
    <t>UC_RHSRTS~2019</t>
  </si>
  <si>
    <t>FLO, GROWTH</t>
  </si>
  <si>
    <t>MIN*MSW*</t>
  </si>
  <si>
    <t>MSW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</si>
</sst>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"/>
    <numFmt numFmtId="168" formatCode="0.0%"/>
    <numFmt numFmtId="169" formatCode="\Te\x\t"/>
    <numFmt numFmtId="170" formatCode="&quot;$&quot;#,##0_);\(&quot;$&quot;#,##0\)"/>
    <numFmt numFmtId="171" formatCode="_-&quot;$&quot;* #,##0.00_-;\-&quot;$&quot;* #,##0.00_-;_-&quot;$&quot;* &quot;-&quot;??_-;_-@_-"/>
    <numFmt numFmtId="172" formatCode="_([$€]* #,##0.00_);_([$€]* \(#,##0.00\);_([$€]* &quot;-&quot;??_);_(@_)"/>
    <numFmt numFmtId="173" formatCode="_([$€-2]* #,##0.00_);_([$€-2]* \(#,##0.00\);_([$€-2]* &quot;-&quot;??_)"/>
    <numFmt numFmtId="174" formatCode="General_)"/>
  </numFmts>
  <fonts count="67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  <font>
      <sz val="11"/>
      <color rgb="FF000000"/>
      <name val="Calibri"/>
    </font>
    <font>
      <sz val="10"/>
      <name val="Arial"/>
    </font>
    <font>
      <sz val="9"/>
      <name val="Times New Roman"/>
      <family val="1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</font>
    <font>
      <sz val="11"/>
      <color rgb="FF242424"/>
      <name val="Calibri"/>
      <family val="2"/>
    </font>
    <font>
      <b/>
      <sz val="11"/>
      <color rgb="FF242424"/>
      <name val="Calibri"/>
      <family val="2"/>
    </font>
    <font>
      <sz val="10"/>
      <name val="MS Sans Serif"/>
      <family val="2"/>
    </font>
    <font>
      <sz val="9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2"/>
      <color indexed="20"/>
      <name val="宋体"/>
      <charset val="134"/>
    </font>
    <font>
      <sz val="11"/>
      <name val="Arial"/>
      <family val="2"/>
    </font>
  </fonts>
  <fills count="59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1680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/>
    <xf numFmtId="43" fontId="4" fillId="0" borderId="0" applyFont="0" applyFill="0" applyBorder="0" applyAlignment="0" applyProtection="0"/>
    <xf numFmtId="0" fontId="22" fillId="0" borderId="0"/>
    <xf numFmtId="0" fontId="6" fillId="0" borderId="0"/>
    <xf numFmtId="0" fontId="23" fillId="0" borderId="0"/>
    <xf numFmtId="49" fontId="24" fillId="0" borderId="4" applyNumberFormat="0" applyFont="0" applyFill="0" applyBorder="0" applyProtection="0">
      <alignment horizontal="left" vertical="center" indent="2"/>
    </xf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" fillId="0" borderId="0" applyBorder="0"/>
    <xf numFmtId="0" fontId="2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9" applyNumberFormat="0" applyAlignment="0" applyProtection="0">
      <alignment vertical="center"/>
    </xf>
    <xf numFmtId="0" fontId="33" fillId="17" borderId="10" applyNumberFormat="0" applyAlignment="0" applyProtection="0">
      <alignment vertical="center"/>
    </xf>
    <xf numFmtId="0" fontId="34" fillId="17" borderId="9" applyNumberFormat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18" borderId="12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43" fontId="4" fillId="0" borderId="0" applyFont="0" applyFill="0" applyBorder="0" applyAlignment="0" applyProtection="0"/>
    <xf numFmtId="0" fontId="10" fillId="0" borderId="0"/>
    <xf numFmtId="0" fontId="46" fillId="0" borderId="0"/>
    <xf numFmtId="9" fontId="46" fillId="0" borderId="0" applyFont="0" applyFill="0" applyBorder="0" applyAlignment="0" applyProtection="0"/>
    <xf numFmtId="0" fontId="4" fillId="0" borderId="0"/>
    <xf numFmtId="0" fontId="4" fillId="0" borderId="0"/>
    <xf numFmtId="0" fontId="10" fillId="0" borderId="0"/>
    <xf numFmtId="0" fontId="10" fillId="0" borderId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3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4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7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9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7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2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0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4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49" fillId="56" borderId="0" applyNumberFormat="0" applyBorder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0" fillId="57" borderId="14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0" fontId="51" fillId="58" borderId="15" applyNumberFormat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0" fontId="4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0" fontId="4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171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173" fontId="10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3" fillId="47" borderId="0" applyNumberFormat="0" applyBorder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4" fillId="0" borderId="16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5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7" fillId="48" borderId="14" applyNumberFormat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8" fillId="0" borderId="19" applyNumberFormat="0" applyFill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59" fillId="48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170" fontId="6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170" fontId="60" fillId="0" borderId="0">
      <alignment vertical="center"/>
    </xf>
    <xf numFmtId="170" fontId="60" fillId="0" borderId="0">
      <alignment vertical="center"/>
    </xf>
    <xf numFmtId="170" fontId="60" fillId="0" borderId="0">
      <alignment vertical="center"/>
    </xf>
    <xf numFmtId="170" fontId="6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60" fillId="0" borderId="0">
      <alignment vertical="center"/>
    </xf>
    <xf numFmtId="170" fontId="60" fillId="0" borderId="0">
      <alignment vertical="center"/>
    </xf>
    <xf numFmtId="170" fontId="6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170" fontId="60" fillId="0" borderId="0">
      <alignment vertical="center"/>
    </xf>
    <xf numFmtId="170" fontId="60" fillId="0" borderId="0">
      <alignment vertical="center"/>
    </xf>
    <xf numFmtId="170" fontId="60" fillId="0" borderId="0">
      <alignment vertical="center"/>
    </xf>
    <xf numFmtId="170" fontId="60" fillId="0" borderId="0">
      <alignment vertical="center"/>
    </xf>
    <xf numFmtId="0" fontId="4" fillId="0" borderId="0"/>
    <xf numFmtId="168" fontId="6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6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4" fontId="6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1" fillId="0" borderId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10" fillId="45" borderId="20" applyNumberFormat="0" applyFon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0" fontId="62" fillId="57" borderId="21" applyNumberForma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64" fillId="0" borderId="22" applyNumberFormat="0" applyFill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0" fontId="66" fillId="0" borderId="0"/>
    <xf numFmtId="0" fontId="66" fillId="0" borderId="0"/>
    <xf numFmtId="0" fontId="10" fillId="0" borderId="0"/>
    <xf numFmtId="0" fontId="10" fillId="0" borderId="0"/>
    <xf numFmtId="43" fontId="4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3" fillId="2" borderId="1" xfId="0" applyFont="1" applyFill="1" applyBorder="1"/>
    <xf numFmtId="0" fontId="0" fillId="0" borderId="1" xfId="0" applyBorder="1"/>
    <xf numFmtId="165" fontId="6" fillId="0" borderId="0" xfId="1" applyNumberFormat="1" applyFont="1"/>
    <xf numFmtId="165" fontId="6" fillId="0" borderId="1" xfId="1" applyNumberFormat="1" applyFont="1" applyBorder="1"/>
    <xf numFmtId="0" fontId="3" fillId="2" borderId="1" xfId="0" applyFont="1" applyFill="1" applyBorder="1" applyAlignment="1">
      <alignment horizontal="right"/>
    </xf>
    <xf numFmtId="9" fontId="0" fillId="0" borderId="0" xfId="2" applyFont="1"/>
    <xf numFmtId="9" fontId="0" fillId="0" borderId="1" xfId="2" applyFont="1" applyBorder="1"/>
    <xf numFmtId="9" fontId="0" fillId="0" borderId="0" xfId="0" applyNumberFormat="1"/>
    <xf numFmtId="1" fontId="0" fillId="0" borderId="0" xfId="0" applyNumberFormat="1"/>
    <xf numFmtId="165" fontId="0" fillId="0" borderId="0" xfId="0" applyNumberFormat="1"/>
    <xf numFmtId="0" fontId="3" fillId="3" borderId="1" xfId="0" applyFont="1" applyFill="1" applyBorder="1"/>
    <xf numFmtId="0" fontId="3" fillId="4" borderId="1" xfId="0" applyFont="1" applyFill="1" applyBorder="1"/>
    <xf numFmtId="166" fontId="2" fillId="0" borderId="0" xfId="0" applyNumberFormat="1" applyFont="1"/>
    <xf numFmtId="1" fontId="8" fillId="0" borderId="0" xfId="0" applyNumberFormat="1" applyFont="1"/>
    <xf numFmtId="0" fontId="2" fillId="0" borderId="1" xfId="0" applyFont="1" applyBorder="1"/>
    <xf numFmtId="166" fontId="2" fillId="0" borderId="1" xfId="0" applyNumberFormat="1" applyFont="1" applyBorder="1"/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 applyProtection="1">
      <alignment horizontal="left" vertical="center"/>
      <protection locked="0"/>
    </xf>
    <xf numFmtId="0" fontId="5" fillId="6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2" fillId="0" borderId="0" xfId="0" applyNumberFormat="1" applyFont="1"/>
    <xf numFmtId="2" fontId="2" fillId="0" borderId="1" xfId="0" applyNumberFormat="1" applyFont="1" applyBorder="1"/>
    <xf numFmtId="165" fontId="0" fillId="0" borderId="0" xfId="1" applyNumberFormat="1" applyFont="1"/>
    <xf numFmtId="9" fontId="2" fillId="0" borderId="0" xfId="0" applyNumberFormat="1" applyFont="1"/>
    <xf numFmtId="0" fontId="4" fillId="7" borderId="0" xfId="4" applyFont="1" applyFill="1" applyAlignment="1">
      <alignment vertical="center"/>
    </xf>
    <xf numFmtId="0" fontId="4" fillId="8" borderId="0" xfId="4" applyFont="1" applyFill="1" applyAlignment="1">
      <alignment vertical="center"/>
    </xf>
    <xf numFmtId="0" fontId="11" fillId="8" borderId="0" xfId="4" applyFont="1" applyFill="1" applyAlignment="1">
      <alignment vertical="center"/>
    </xf>
    <xf numFmtId="0" fontId="9" fillId="8" borderId="0" xfId="4" applyFont="1" applyFill="1" applyAlignment="1">
      <alignment vertical="center"/>
    </xf>
    <xf numFmtId="0" fontId="4" fillId="9" borderId="0" xfId="4" applyFont="1" applyFill="1" applyAlignment="1">
      <alignment vertical="center"/>
    </xf>
    <xf numFmtId="0" fontId="12" fillId="8" borderId="0" xfId="4" applyFont="1" applyFill="1" applyAlignment="1">
      <alignment vertical="center"/>
    </xf>
    <xf numFmtId="0" fontId="13" fillId="8" borderId="0" xfId="4" applyFont="1" applyFill="1" applyAlignment="1">
      <alignment vertical="center"/>
    </xf>
    <xf numFmtId="0" fontId="14" fillId="7" borderId="0" xfId="4" applyFont="1" applyFill="1" applyAlignment="1">
      <alignment vertical="center"/>
    </xf>
    <xf numFmtId="0" fontId="15" fillId="8" borderId="0" xfId="4" applyFont="1" applyFill="1" applyAlignment="1">
      <alignment vertical="center"/>
    </xf>
    <xf numFmtId="0" fontId="16" fillId="8" borderId="0" xfId="4" applyFont="1" applyFill="1" applyAlignment="1">
      <alignment vertical="center"/>
    </xf>
    <xf numFmtId="0" fontId="15" fillId="7" borderId="0" xfId="4" applyFont="1" applyFill="1" applyAlignment="1">
      <alignment vertical="center"/>
    </xf>
    <xf numFmtId="167" fontId="15" fillId="7" borderId="0" xfId="4" applyNumberFormat="1" applyFont="1" applyFill="1" applyAlignment="1">
      <alignment horizontal="left" vertical="center"/>
    </xf>
    <xf numFmtId="0" fontId="17" fillId="8" borderId="0" xfId="4" applyFont="1" applyFill="1" applyAlignment="1">
      <alignment vertical="center"/>
    </xf>
    <xf numFmtId="0" fontId="18" fillId="7" borderId="0" xfId="4" applyFont="1" applyFill="1" applyAlignment="1">
      <alignment vertical="center"/>
    </xf>
    <xf numFmtId="0" fontId="9" fillId="7" borderId="0" xfId="3" applyFill="1" applyAlignment="1">
      <alignment vertical="center"/>
    </xf>
    <xf numFmtId="0" fontId="19" fillId="0" borderId="0" xfId="0" applyFont="1"/>
    <xf numFmtId="0" fontId="3" fillId="0" borderId="0" xfId="0" applyFont="1" applyAlignment="1">
      <alignment horizontal="center"/>
    </xf>
    <xf numFmtId="0" fontId="3" fillId="10" borderId="2" xfId="0" applyFont="1" applyFill="1" applyBorder="1"/>
    <xf numFmtId="0" fontId="3" fillId="11" borderId="2" xfId="0" applyFont="1" applyFill="1" applyBorder="1"/>
    <xf numFmtId="0" fontId="10" fillId="10" borderId="2" xfId="0" applyFont="1" applyFill="1" applyBorder="1"/>
    <xf numFmtId="0" fontId="2" fillId="0" borderId="0" xfId="2" applyNumberFormat="1" applyFont="1"/>
    <xf numFmtId="0" fontId="20" fillId="0" borderId="0" xfId="0" applyFont="1"/>
    <xf numFmtId="9" fontId="20" fillId="0" borderId="0" xfId="0" applyNumberFormat="1" applyFont="1"/>
    <xf numFmtId="0" fontId="21" fillId="0" borderId="0" xfId="0" applyFont="1"/>
    <xf numFmtId="2" fontId="21" fillId="0" borderId="0" xfId="0" applyNumberFormat="1" applyFont="1"/>
    <xf numFmtId="166" fontId="21" fillId="0" borderId="0" xfId="0" applyNumberFormat="1" applyFont="1"/>
    <xf numFmtId="9" fontId="0" fillId="12" borderId="0" xfId="0" applyNumberFormat="1" applyFill="1"/>
    <xf numFmtId="0" fontId="0" fillId="12" borderId="0" xfId="0" applyFill="1"/>
    <xf numFmtId="9" fontId="8" fillId="12" borderId="0" xfId="0" applyNumberFormat="1" applyFont="1" applyFill="1"/>
    <xf numFmtId="0" fontId="42" fillId="0" borderId="0" xfId="0" applyFont="1"/>
    <xf numFmtId="0" fontId="8" fillId="0" borderId="0" xfId="0" applyFont="1"/>
    <xf numFmtId="166" fontId="42" fillId="0" borderId="0" xfId="0" applyNumberFormat="1" applyFont="1"/>
    <xf numFmtId="0" fontId="42" fillId="0" borderId="1" xfId="0" applyFont="1" applyBorder="1"/>
    <xf numFmtId="166" fontId="42" fillId="0" borderId="1" xfId="0" applyNumberFormat="1" applyFont="1" applyBorder="1"/>
    <xf numFmtId="0" fontId="8" fillId="0" borderId="1" xfId="0" applyFont="1" applyBorder="1"/>
    <xf numFmtId="0" fontId="44" fillId="42" borderId="0" xfId="0" applyFont="1" applyFill="1" applyAlignment="1">
      <alignment vertical="center" wrapText="1"/>
    </xf>
    <xf numFmtId="0" fontId="43" fillId="42" borderId="0" xfId="0" applyFont="1" applyFill="1" applyAlignment="1">
      <alignment vertical="center" wrapText="1"/>
    </xf>
    <xf numFmtId="0" fontId="44" fillId="42" borderId="0" xfId="0" applyFont="1" applyFill="1" applyAlignment="1">
      <alignment horizontal="right" wrapText="1"/>
    </xf>
    <xf numFmtId="0" fontId="43" fillId="42" borderId="0" xfId="0" applyFont="1" applyFill="1" applyAlignment="1">
      <alignment horizontal="right" wrapText="1"/>
    </xf>
    <xf numFmtId="3" fontId="43" fillId="42" borderId="0" xfId="0" applyNumberFormat="1" applyFont="1" applyFill="1" applyAlignment="1">
      <alignment horizontal="right" wrapText="1"/>
    </xf>
    <xf numFmtId="169" fontId="10" fillId="0" borderId="0" xfId="0" applyNumberFormat="1" applyFont="1"/>
    <xf numFmtId="0" fontId="15" fillId="7" borderId="0" xfId="4" applyFont="1" applyFill="1" applyAlignment="1">
      <alignment vertical="center"/>
    </xf>
    <xf numFmtId="0" fontId="11" fillId="7" borderId="0" xfId="4" applyFont="1" applyFill="1" applyAlignment="1">
      <alignment horizontal="center" vertical="center"/>
    </xf>
    <xf numFmtId="0" fontId="9" fillId="7" borderId="0" xfId="3" applyFill="1" applyAlignment="1">
      <alignment vertical="center"/>
    </xf>
    <xf numFmtId="0" fontId="0" fillId="0" borderId="0" xfId="0" applyAlignment="1">
      <alignment horizontal="center" vertical="center"/>
    </xf>
  </cellXfs>
  <cellStyles count="1680">
    <cellStyle name="20% - Accent1 2" xfId="33" xr:uid="{FC694C30-76D8-4575-889F-99633FA30215}"/>
    <cellStyle name="20% - Accent1 2 10" xfId="64" xr:uid="{F0A87C0B-3296-44E0-8D2F-3ACC0F8B6883}"/>
    <cellStyle name="20% - Accent1 2 11" xfId="65" xr:uid="{BFD57474-1EE1-45F1-8CC7-6DCAB8C9A0DF}"/>
    <cellStyle name="20% - Accent1 2 12" xfId="66" xr:uid="{1279BFA8-FF2D-446B-B963-251DCA8840F3}"/>
    <cellStyle name="20% - Accent1 2 13" xfId="67" xr:uid="{B6766824-5DE0-4DEF-ABF2-0B6F1C227E88}"/>
    <cellStyle name="20% - Accent1 2 14" xfId="68" xr:uid="{E40B161B-A645-4133-8FBC-EEF5638361DC}"/>
    <cellStyle name="20% - Accent1 2 15" xfId="69" xr:uid="{F3EA7451-BD08-458C-9B7F-BB71DAB45771}"/>
    <cellStyle name="20% - Accent1 2 2" xfId="70" xr:uid="{A3DB3D06-8ED0-4B5E-A583-C506213F9598}"/>
    <cellStyle name="20% - Accent1 2 3" xfId="71" xr:uid="{3A579E92-E9A7-4F82-B56B-3934805AF473}"/>
    <cellStyle name="20% - Accent1 2 4" xfId="72" xr:uid="{2746711D-AAE0-41BC-ACEC-1FB08DDB2569}"/>
    <cellStyle name="20% - Accent1 2 5" xfId="73" xr:uid="{7F3CDA59-CBEA-4259-A61A-DD57C5DCC3CE}"/>
    <cellStyle name="20% - Accent1 2 6" xfId="74" xr:uid="{49C32E23-3E18-4EEC-AD8B-45C1360FF4AB}"/>
    <cellStyle name="20% - Accent1 2 7" xfId="75" xr:uid="{F3804BDD-D6BD-4FB6-AFEC-60FD4F3C99CA}"/>
    <cellStyle name="20% - Accent1 2 8" xfId="76" xr:uid="{7B1DC1F1-F209-4ED9-9C4C-713B29880BAA}"/>
    <cellStyle name="20% - Accent1 2 9" xfId="77" xr:uid="{15C5D559-6227-4679-B2E3-1043F99EEAA9}"/>
    <cellStyle name="20% - Accent1 3" xfId="78" xr:uid="{6D6A6A92-1E1A-495D-A197-BDD1D211459B}"/>
    <cellStyle name="20% - Accent1 4" xfId="79" xr:uid="{759CEE15-03AF-4713-AB79-62931CE841E4}"/>
    <cellStyle name="20% - Accent1 5" xfId="80" xr:uid="{BCA3235F-5914-469E-9E4C-BF1885824541}"/>
    <cellStyle name="20% - Accent1 6" xfId="81" xr:uid="{0FFBCBDE-BC3E-489C-ACA8-736C4219A483}"/>
    <cellStyle name="20% - Accent1 7" xfId="82" xr:uid="{FA3CF2E1-1497-4FA4-9FB8-2D49E7324C48}"/>
    <cellStyle name="20% - Accent1 8" xfId="83" xr:uid="{8D39C0BA-BF82-4146-9F04-7BAF163AD926}"/>
    <cellStyle name="20% - Accent2 2" xfId="37" xr:uid="{DEBC75F0-1B63-416C-8B7B-25A99EE11CE7}"/>
    <cellStyle name="20% - Accent2 2 10" xfId="84" xr:uid="{295BA1DD-0918-410F-86E5-356909150E76}"/>
    <cellStyle name="20% - Accent2 2 11" xfId="85" xr:uid="{6BB187F2-5719-4B2C-85A4-6310F0435C3D}"/>
    <cellStyle name="20% - Accent2 2 12" xfId="86" xr:uid="{A42E400D-59C2-44E5-981E-BA5D986216A8}"/>
    <cellStyle name="20% - Accent2 2 13" xfId="87" xr:uid="{FB7F504B-9376-44DA-BABA-8DF28C109C03}"/>
    <cellStyle name="20% - Accent2 2 14" xfId="88" xr:uid="{49E0AC8B-552B-4917-A784-BDD0CB2633A6}"/>
    <cellStyle name="20% - Accent2 2 15" xfId="89" xr:uid="{D2A90286-21BA-4B7F-BE0C-7A05F289B286}"/>
    <cellStyle name="20% - Accent2 2 2" xfId="90" xr:uid="{E2D1C425-4925-48EC-A571-AC767CC0C894}"/>
    <cellStyle name="20% - Accent2 2 3" xfId="91" xr:uid="{9C206C51-108C-4D94-8515-4CCFF75C17E0}"/>
    <cellStyle name="20% - Accent2 2 4" xfId="92" xr:uid="{8E125AF5-0A7F-4E5E-AA70-80EF3351BE42}"/>
    <cellStyle name="20% - Accent2 2 5" xfId="93" xr:uid="{7371AF0D-9C95-405A-B2B4-CF21670E1A03}"/>
    <cellStyle name="20% - Accent2 2 6" xfId="94" xr:uid="{8A24ABEC-35BB-4A30-8587-37409B6872EF}"/>
    <cellStyle name="20% - Accent2 2 7" xfId="95" xr:uid="{DA48F420-E081-4F89-8034-2A033B5C8CE7}"/>
    <cellStyle name="20% - Accent2 2 8" xfId="96" xr:uid="{55885A58-A7CC-498A-AD2C-4FB6A39348AE}"/>
    <cellStyle name="20% - Accent2 2 9" xfId="97" xr:uid="{7707C697-EB8F-430E-A228-715999D4D55F}"/>
    <cellStyle name="20% - Accent2 3" xfId="98" xr:uid="{BF5A923B-3CB0-463B-8E4A-18EF7228D0E9}"/>
    <cellStyle name="20% - Accent2 4" xfId="99" xr:uid="{27742022-E5F9-4610-8F44-669D1D30DC9A}"/>
    <cellStyle name="20% - Accent2 5" xfId="100" xr:uid="{30CC1043-6E85-418C-AD85-76166723104C}"/>
    <cellStyle name="20% - Accent2 6" xfId="101" xr:uid="{5D851B09-D851-47B9-A5CB-07C98FAEF0BA}"/>
    <cellStyle name="20% - Accent2 7" xfId="102" xr:uid="{EACB3F48-7EAE-44EB-ACDD-847F23563471}"/>
    <cellStyle name="20% - Accent2 8" xfId="103" xr:uid="{41206678-38E5-470C-A270-AE6D3D60B5DE}"/>
    <cellStyle name="20% - Accent3 2" xfId="41" xr:uid="{D6B9BA5A-4558-4ABD-BF2F-91F9632B2C08}"/>
    <cellStyle name="20% - Accent3 2 10" xfId="104" xr:uid="{1967C656-D7C2-40BD-A247-AAC1D315CCC5}"/>
    <cellStyle name="20% - Accent3 2 11" xfId="105" xr:uid="{68CC61C6-EC93-4B6F-9E28-0B9BAE393B59}"/>
    <cellStyle name="20% - Accent3 2 12" xfId="106" xr:uid="{CE033476-0411-4DFF-A359-0CD531F773AA}"/>
    <cellStyle name="20% - Accent3 2 13" xfId="107" xr:uid="{8B7BC8BA-F075-4D27-BF96-F94DD0589FC6}"/>
    <cellStyle name="20% - Accent3 2 14" xfId="108" xr:uid="{D1BA8CBB-001C-47E7-B8ED-8FB45B2FEA63}"/>
    <cellStyle name="20% - Accent3 2 15" xfId="109" xr:uid="{1883C370-A24B-4B4B-90F4-2E6248B5D935}"/>
    <cellStyle name="20% - Accent3 2 2" xfId="110" xr:uid="{A7194DB4-EC26-4992-9937-4E06BCF510A9}"/>
    <cellStyle name="20% - Accent3 2 3" xfId="111" xr:uid="{26403705-9D08-461A-A6F9-555C260D5854}"/>
    <cellStyle name="20% - Accent3 2 4" xfId="112" xr:uid="{3E180D87-9A6E-460E-8DD7-663289A9136B}"/>
    <cellStyle name="20% - Accent3 2 5" xfId="113" xr:uid="{57B86C96-ED48-4F66-8993-996509F98557}"/>
    <cellStyle name="20% - Accent3 2 6" xfId="114" xr:uid="{3CAA3E8F-F6A3-4E6D-9D71-31A2DF2A290B}"/>
    <cellStyle name="20% - Accent3 2 7" xfId="115" xr:uid="{D313DA08-CC50-4CA1-A8BC-EF01FE76C00F}"/>
    <cellStyle name="20% - Accent3 2 8" xfId="116" xr:uid="{BC593FFB-7F29-4DE8-8F62-22CB0F781CBF}"/>
    <cellStyle name="20% - Accent3 2 9" xfId="117" xr:uid="{EB938024-135A-4D15-9562-16A000945369}"/>
    <cellStyle name="20% - Accent3 3" xfId="118" xr:uid="{12373971-6317-480F-A443-638FA4E884CA}"/>
    <cellStyle name="20% - Accent3 4" xfId="119" xr:uid="{E196BF94-8712-4008-B149-B8A9CA15202E}"/>
    <cellStyle name="20% - Accent3 5" xfId="120" xr:uid="{4D584166-2C00-47BC-AC5B-606D55907C0E}"/>
    <cellStyle name="20% - Accent3 6" xfId="121" xr:uid="{96D45614-4F7C-4647-AA1F-E7961867EA83}"/>
    <cellStyle name="20% - Accent3 7" xfId="122" xr:uid="{C4686059-07EF-492E-B9F2-DD464DFD5A8E}"/>
    <cellStyle name="20% - Accent3 8" xfId="123" xr:uid="{298721FF-D38F-465D-A319-4CB2B07021CF}"/>
    <cellStyle name="20% - Accent4 2" xfId="45" xr:uid="{C9A05868-4814-4214-98D5-5480DB76A1B4}"/>
    <cellStyle name="20% - Accent4 2 10" xfId="124" xr:uid="{03C019D3-4188-4001-A77C-68A73C8CD5C4}"/>
    <cellStyle name="20% - Accent4 2 11" xfId="125" xr:uid="{50C7DAF8-CC1F-459F-89E0-F8EA73723A01}"/>
    <cellStyle name="20% - Accent4 2 12" xfId="126" xr:uid="{78B4F093-E31B-419F-952B-139CDFB02751}"/>
    <cellStyle name="20% - Accent4 2 13" xfId="127" xr:uid="{27074E29-449E-422A-B966-DA7F95694E3D}"/>
    <cellStyle name="20% - Accent4 2 14" xfId="128" xr:uid="{B3BA46EC-72CE-459D-BAE6-8AF8FFFB4656}"/>
    <cellStyle name="20% - Accent4 2 15" xfId="129" xr:uid="{82669275-F8AF-4950-8496-FA53692DF815}"/>
    <cellStyle name="20% - Accent4 2 2" xfId="130" xr:uid="{8733A057-9335-4E33-A8DC-6D91347A4E81}"/>
    <cellStyle name="20% - Accent4 2 3" xfId="131" xr:uid="{BF96A169-9CCD-4F5C-A227-C60CAD5B2CC6}"/>
    <cellStyle name="20% - Accent4 2 4" xfId="132" xr:uid="{9EFB04FA-83BB-4E72-86C2-EED97EF1930A}"/>
    <cellStyle name="20% - Accent4 2 5" xfId="133" xr:uid="{F1B351AC-EA25-436E-ABE7-11D9B9B28AC9}"/>
    <cellStyle name="20% - Accent4 2 6" xfId="134" xr:uid="{DD8C8D67-E941-4AA1-AD41-EAB63E689A67}"/>
    <cellStyle name="20% - Accent4 2 7" xfId="135" xr:uid="{FE00967F-D6AA-43D4-AB15-89543515441D}"/>
    <cellStyle name="20% - Accent4 2 8" xfId="136" xr:uid="{961524E9-14D2-49DF-A782-E19A94E72954}"/>
    <cellStyle name="20% - Accent4 2 9" xfId="137" xr:uid="{01A4E339-0E45-43CE-9E65-BDF8B517B332}"/>
    <cellStyle name="20% - Accent4 3" xfId="138" xr:uid="{4A8EF0D6-5E41-4A18-B79D-BAB4E8578780}"/>
    <cellStyle name="20% - Accent4 4" xfId="139" xr:uid="{288E7AF0-F825-41BE-83E4-41FE5C706D80}"/>
    <cellStyle name="20% - Accent4 5" xfId="140" xr:uid="{07408EEB-DBC5-42D4-9C71-8EAF2BD607FC}"/>
    <cellStyle name="20% - Accent4 6" xfId="141" xr:uid="{1491604E-8CA9-418F-B677-C81BD9B2F5DB}"/>
    <cellStyle name="20% - Accent4 7" xfId="142" xr:uid="{FD6E6E67-7752-44F5-B9C0-19262449916D}"/>
    <cellStyle name="20% - Accent4 8" xfId="143" xr:uid="{FA84D73D-F791-4ECF-BBF6-A0F3D99C960B}"/>
    <cellStyle name="20% - Accent5 2" xfId="49" xr:uid="{9DE3245B-B1C4-4B1F-8EF0-66247B1ABFBB}"/>
    <cellStyle name="20% - Accent5 2 10" xfId="144" xr:uid="{8316A7A3-5F31-421F-8C19-49E06FCCEAF6}"/>
    <cellStyle name="20% - Accent5 2 11" xfId="145" xr:uid="{4516D04F-5DE0-4D6F-83A8-FFF2B694ADAC}"/>
    <cellStyle name="20% - Accent5 2 12" xfId="146" xr:uid="{63295FF9-B06D-4DEB-B789-C42E4ADFB54C}"/>
    <cellStyle name="20% - Accent5 2 13" xfId="147" xr:uid="{3472E4F3-FEDC-4DB1-979A-ED1B7EB8E6BA}"/>
    <cellStyle name="20% - Accent5 2 14" xfId="148" xr:uid="{8FE8054C-1943-460F-B860-C612E26F9E2D}"/>
    <cellStyle name="20% - Accent5 2 15" xfId="149" xr:uid="{737081AF-EE75-45CE-B576-BB6CB5C45537}"/>
    <cellStyle name="20% - Accent5 2 2" xfId="150" xr:uid="{342B95C6-E9CA-4B90-BE03-8A0658C7DDDE}"/>
    <cellStyle name="20% - Accent5 2 3" xfId="151" xr:uid="{1125A182-C89A-4C33-BB6D-128B2AF65D83}"/>
    <cellStyle name="20% - Accent5 2 4" xfId="152" xr:uid="{779EEDDA-BF42-44B9-BDF4-2513D5502B1D}"/>
    <cellStyle name="20% - Accent5 2 5" xfId="153" xr:uid="{18A5FBCD-E249-4F4A-B14A-7F8951252F27}"/>
    <cellStyle name="20% - Accent5 2 6" xfId="154" xr:uid="{F3942337-0882-4841-A0EF-A3B08996A070}"/>
    <cellStyle name="20% - Accent5 2 7" xfId="155" xr:uid="{D19942D2-D5B8-4D90-B206-73B0D7F6EB46}"/>
    <cellStyle name="20% - Accent5 2 8" xfId="156" xr:uid="{0E2F7799-0E58-41FD-B143-BF9CA73E1F69}"/>
    <cellStyle name="20% - Accent5 2 9" xfId="157" xr:uid="{7386F5EF-4667-4A5C-930D-94E552C81D99}"/>
    <cellStyle name="20% - Accent5 3" xfId="158" xr:uid="{DA5FBFF3-4A65-4C4B-85F0-C5FFD719EB6F}"/>
    <cellStyle name="20% - Accent5 4" xfId="159" xr:uid="{FAF6378A-9B51-4423-B90B-405EE42A660E}"/>
    <cellStyle name="20% - Accent5 5" xfId="160" xr:uid="{C9697A27-5120-406D-920C-EF71421DACB5}"/>
    <cellStyle name="20% - Accent5 6" xfId="161" xr:uid="{B265EFDD-6FD5-4A39-928D-5163930C4DB5}"/>
    <cellStyle name="20% - Accent5 7" xfId="162" xr:uid="{122AD566-5330-4D5C-A45F-75AEFD37474B}"/>
    <cellStyle name="20% - Accent5 8" xfId="163" xr:uid="{90FD7A33-4B2E-4D0B-99D5-71F6466C75A6}"/>
    <cellStyle name="20% - Accent6 2" xfId="53" xr:uid="{BCA2D2E5-DB5A-40DF-9F9C-785A4803F597}"/>
    <cellStyle name="20% - Accent6 2 10" xfId="164" xr:uid="{56DCDC48-D184-4DCD-AB0F-C765A78D5602}"/>
    <cellStyle name="20% - Accent6 2 11" xfId="165" xr:uid="{FDFA70A3-1035-4D59-8818-C2BE07E78559}"/>
    <cellStyle name="20% - Accent6 2 12" xfId="166" xr:uid="{C6ED5B75-ACFD-4C33-AD4A-8603CE5FF2B5}"/>
    <cellStyle name="20% - Accent6 2 13" xfId="167" xr:uid="{7E6FA0C1-FB66-4A15-A8D4-9FBAAFDD47FA}"/>
    <cellStyle name="20% - Accent6 2 14" xfId="168" xr:uid="{0E76B1D0-4FB9-43F1-A5EA-EBA272C2C68D}"/>
    <cellStyle name="20% - Accent6 2 15" xfId="169" xr:uid="{E2871A78-7025-4043-9189-C2A8BCDDB2DC}"/>
    <cellStyle name="20% - Accent6 2 2" xfId="170" xr:uid="{5488F2FD-2CD8-414E-AC65-82C6139D8D8D}"/>
    <cellStyle name="20% - Accent6 2 3" xfId="171" xr:uid="{189F0FDD-8F62-4481-8101-9B5076D09C2C}"/>
    <cellStyle name="20% - Accent6 2 4" xfId="172" xr:uid="{7B83249B-760C-4DBC-B6C4-CD152275F653}"/>
    <cellStyle name="20% - Accent6 2 5" xfId="173" xr:uid="{7AE4E8E0-10F5-436F-AF14-AC1BD476BEF8}"/>
    <cellStyle name="20% - Accent6 2 6" xfId="174" xr:uid="{1F7EAAC7-AA91-47FE-9019-1E3899290023}"/>
    <cellStyle name="20% - Accent6 2 7" xfId="175" xr:uid="{B07F914D-62F8-478B-809B-551AE9EAA3DD}"/>
    <cellStyle name="20% - Accent6 2 8" xfId="176" xr:uid="{64C3D00D-E4F5-449B-84DA-48F1E8DF3A01}"/>
    <cellStyle name="20% - Accent6 2 9" xfId="177" xr:uid="{B4D1B938-7CD3-4719-80D1-7785CA1FB5EA}"/>
    <cellStyle name="20% - Accent6 3" xfId="178" xr:uid="{71B5957C-3373-4472-851A-036E49601EC8}"/>
    <cellStyle name="20% - Accent6 4" xfId="179" xr:uid="{65E5A50F-D3FE-4EB1-81D5-49A6F6C551EF}"/>
    <cellStyle name="20% - Accent6 5" xfId="180" xr:uid="{F4CF5096-7D85-4C26-8ABE-D3A6A180C5F1}"/>
    <cellStyle name="20% - Accent6 6" xfId="181" xr:uid="{8887F0CB-2C3C-4944-82CF-DFAC064AC648}"/>
    <cellStyle name="20% - Accent6 7" xfId="182" xr:uid="{FA497574-9A14-4ABE-BF19-21C9546F0374}"/>
    <cellStyle name="20% - Accent6 8" xfId="183" xr:uid="{BD633274-CB6B-444B-A375-DAFD7B413738}"/>
    <cellStyle name="2x indented GHG Textfiels" xfId="9" xr:uid="{D0C17221-34A3-4716-916B-72854470CFDB}"/>
    <cellStyle name="40% - Accent1 2" xfId="34" xr:uid="{33F8AE58-1D68-447A-8D18-B0B63C296934}"/>
    <cellStyle name="40% - Accent1 2 10" xfId="184" xr:uid="{A696CFEC-A84A-42E3-B0C1-4B76551F1DE6}"/>
    <cellStyle name="40% - Accent1 2 11" xfId="185" xr:uid="{A6842CC5-FC3D-43D4-B358-95A8444EB920}"/>
    <cellStyle name="40% - Accent1 2 12" xfId="186" xr:uid="{2E561106-70F9-41B0-B6DC-144D26E9B8D8}"/>
    <cellStyle name="40% - Accent1 2 13" xfId="187" xr:uid="{29D1EFA5-B156-4BEE-92DE-AA2902D1D592}"/>
    <cellStyle name="40% - Accent1 2 14" xfId="188" xr:uid="{EF9A03EB-DBDF-466E-8A69-E43E25687934}"/>
    <cellStyle name="40% - Accent1 2 15" xfId="189" xr:uid="{E382D263-EA2E-458D-A100-0D553556C405}"/>
    <cellStyle name="40% - Accent1 2 2" xfId="190" xr:uid="{969B5E6A-FE3B-4CD6-B84E-C96911A29947}"/>
    <cellStyle name="40% - Accent1 2 3" xfId="191" xr:uid="{10548D3B-1005-40FE-8BA8-B184A22459E6}"/>
    <cellStyle name="40% - Accent1 2 4" xfId="192" xr:uid="{E8EAA41C-DBBB-4588-952D-62C460D3895F}"/>
    <cellStyle name="40% - Accent1 2 5" xfId="193" xr:uid="{DCE55F6B-15D7-460C-810E-716EEA296F3D}"/>
    <cellStyle name="40% - Accent1 2 6" xfId="194" xr:uid="{E0EC9D8F-3F57-4DCF-A455-BD1A35963ACA}"/>
    <cellStyle name="40% - Accent1 2 7" xfId="195" xr:uid="{FCBE9446-4F3A-4931-A2E2-ABD89ED8A4C5}"/>
    <cellStyle name="40% - Accent1 2 8" xfId="196" xr:uid="{CAC63613-C648-4236-87DD-6A27B90021F9}"/>
    <cellStyle name="40% - Accent1 2 9" xfId="197" xr:uid="{4F698791-2F92-41C7-A055-E071C893CB8E}"/>
    <cellStyle name="40% - Accent1 3" xfId="198" xr:uid="{23F3E205-EC16-47F6-AC3F-13F24E02AD0A}"/>
    <cellStyle name="40% - Accent1 4" xfId="199" xr:uid="{D5D4FAE6-AE2E-4929-B541-1BFE720A71C1}"/>
    <cellStyle name="40% - Accent1 5" xfId="200" xr:uid="{B44D55C0-BBA1-4FB2-9189-3F652714A1F2}"/>
    <cellStyle name="40% - Accent1 6" xfId="201" xr:uid="{1899F3B1-9484-4EF3-AF41-18433E2EED91}"/>
    <cellStyle name="40% - Accent1 7" xfId="202" xr:uid="{AF1BBFC5-E95B-4B0E-9E11-34CFD27C081F}"/>
    <cellStyle name="40% - Accent1 8" xfId="203" xr:uid="{D9703EC8-D642-4D2C-B165-E3FCEB42E598}"/>
    <cellStyle name="40% - Accent2 2" xfId="38" xr:uid="{C3A6814A-FFAC-41D1-92D5-2BA462012800}"/>
    <cellStyle name="40% - Accent2 2 10" xfId="204" xr:uid="{6489C107-146B-42F7-97EA-3FB2A9FD81F1}"/>
    <cellStyle name="40% - Accent2 2 11" xfId="205" xr:uid="{B7F8434A-D6DC-493C-8F79-C4F17B967F56}"/>
    <cellStyle name="40% - Accent2 2 12" xfId="206" xr:uid="{33320C44-47B3-4057-A007-87BA60A0E775}"/>
    <cellStyle name="40% - Accent2 2 13" xfId="207" xr:uid="{CBFC6B52-9797-42B9-89F3-D38A6D0158F7}"/>
    <cellStyle name="40% - Accent2 2 14" xfId="208" xr:uid="{3E7E0457-6696-4F4C-89AF-215046A1295C}"/>
    <cellStyle name="40% - Accent2 2 15" xfId="209" xr:uid="{FC98D6D2-6B55-4B40-BD0D-B37F48F42476}"/>
    <cellStyle name="40% - Accent2 2 2" xfId="210" xr:uid="{6213FF5B-58B4-4662-A2DE-3552FF10E65B}"/>
    <cellStyle name="40% - Accent2 2 3" xfId="211" xr:uid="{FDD00B69-0CAF-4C68-ACD8-72DD015E6D40}"/>
    <cellStyle name="40% - Accent2 2 4" xfId="212" xr:uid="{3B2D5C3B-1C1C-46F2-B5D6-E498C6A581B4}"/>
    <cellStyle name="40% - Accent2 2 5" xfId="213" xr:uid="{E85382F7-EED5-4692-8017-53CB52738E69}"/>
    <cellStyle name="40% - Accent2 2 6" xfId="214" xr:uid="{5CED20CF-12B8-4D7F-977F-51FAD03A7E39}"/>
    <cellStyle name="40% - Accent2 2 7" xfId="215" xr:uid="{B5DAD4C0-01C5-4041-B1E6-8951967EFD64}"/>
    <cellStyle name="40% - Accent2 2 8" xfId="216" xr:uid="{EF2ADABA-E8B0-4CAA-9051-5A78F3F75194}"/>
    <cellStyle name="40% - Accent2 2 9" xfId="217" xr:uid="{5F2E96C4-E919-4578-AD79-9A1D30625ACF}"/>
    <cellStyle name="40% - Accent2 3" xfId="218" xr:uid="{E9865DE6-5CAE-4940-A86A-2DB1336D3952}"/>
    <cellStyle name="40% - Accent2 4" xfId="219" xr:uid="{EA2BC5E1-74BB-4FD7-8CF1-33DF5BC40071}"/>
    <cellStyle name="40% - Accent2 5" xfId="220" xr:uid="{8AD336D2-4FF7-4E70-A31D-C96F047426FF}"/>
    <cellStyle name="40% - Accent2 6" xfId="221" xr:uid="{F9BDB165-815F-49A4-9CAD-8867B481591C}"/>
    <cellStyle name="40% - Accent2 7" xfId="222" xr:uid="{8BF5BB9D-BB45-4840-B422-5B25AF835FF1}"/>
    <cellStyle name="40% - Accent2 8" xfId="223" xr:uid="{209CF814-CB61-4E3F-AD0E-35762B030FB8}"/>
    <cellStyle name="40% - Accent3 2" xfId="42" xr:uid="{8487459B-422C-48B3-A93F-B83BFD677A46}"/>
    <cellStyle name="40% - Accent3 2 10" xfId="224" xr:uid="{5ACAADFA-3F0E-45B2-8E88-F8A96271BB5D}"/>
    <cellStyle name="40% - Accent3 2 11" xfId="225" xr:uid="{DD84AF13-E605-4C25-A182-373BACE5AD52}"/>
    <cellStyle name="40% - Accent3 2 12" xfId="226" xr:uid="{5658A3A5-487C-4915-8440-965C90195DB2}"/>
    <cellStyle name="40% - Accent3 2 13" xfId="227" xr:uid="{3A826CDF-349C-48BB-BEC9-6A87FD4481E2}"/>
    <cellStyle name="40% - Accent3 2 14" xfId="228" xr:uid="{08D90099-DD56-4238-943F-504ABD678C5B}"/>
    <cellStyle name="40% - Accent3 2 15" xfId="229" xr:uid="{44AC1D66-882D-41A2-BE46-B3DB0321DB48}"/>
    <cellStyle name="40% - Accent3 2 2" xfId="230" xr:uid="{4BE56230-D51D-46DF-9015-DEBD8C2E4362}"/>
    <cellStyle name="40% - Accent3 2 3" xfId="231" xr:uid="{531FE7B4-DE5C-49E9-9EFE-BFB219E8D92B}"/>
    <cellStyle name="40% - Accent3 2 4" xfId="232" xr:uid="{7BB533B9-0DD1-4295-A856-11DBAA8CBDFE}"/>
    <cellStyle name="40% - Accent3 2 5" xfId="233" xr:uid="{B841AB03-B5FD-4483-9ED8-976F6AFCCAF1}"/>
    <cellStyle name="40% - Accent3 2 6" xfId="234" xr:uid="{D9181936-23CA-4E6D-89C3-1C85875A1D85}"/>
    <cellStyle name="40% - Accent3 2 7" xfId="235" xr:uid="{3607C934-2123-4F1B-ADE1-B859227732A1}"/>
    <cellStyle name="40% - Accent3 2 8" xfId="236" xr:uid="{867402A7-FF30-472D-8AEE-38A726AB4321}"/>
    <cellStyle name="40% - Accent3 2 9" xfId="237" xr:uid="{327C483D-DDC6-4B1C-97DD-98D9610FFACC}"/>
    <cellStyle name="40% - Accent3 3" xfId="238" xr:uid="{73F8FD71-8FFB-423E-B5C4-379C2A58CF5D}"/>
    <cellStyle name="40% - Accent3 4" xfId="239" xr:uid="{5E612A31-F75C-4CFF-9121-1C9EB92186EF}"/>
    <cellStyle name="40% - Accent3 5" xfId="240" xr:uid="{3F095143-D950-44C8-8B1E-C7A7DF5EB53E}"/>
    <cellStyle name="40% - Accent3 6" xfId="241" xr:uid="{4DB77247-47D4-4410-81F9-CB32CC6EAE4D}"/>
    <cellStyle name="40% - Accent3 7" xfId="242" xr:uid="{448720CF-2A01-4D51-9EF1-B9913DE514D0}"/>
    <cellStyle name="40% - Accent3 8" xfId="243" xr:uid="{27FDBF4A-0B6E-400E-B44B-E8A302F235B8}"/>
    <cellStyle name="40% - Accent4 2" xfId="46" xr:uid="{D033AE11-9A40-4574-97A5-5345B6EF802B}"/>
    <cellStyle name="40% - Accent4 2 10" xfId="244" xr:uid="{4FB98DA7-B1F2-4CE6-A99E-1283446083D1}"/>
    <cellStyle name="40% - Accent4 2 11" xfId="245" xr:uid="{E425832F-997B-4E65-8428-3C0252545E9F}"/>
    <cellStyle name="40% - Accent4 2 12" xfId="246" xr:uid="{12F9BEF4-6BBD-4DBF-BAC1-04656A0FB311}"/>
    <cellStyle name="40% - Accent4 2 13" xfId="247" xr:uid="{51579F3E-3B3E-4743-A20B-31C803A5799E}"/>
    <cellStyle name="40% - Accent4 2 14" xfId="248" xr:uid="{E6738C14-6700-4403-950D-35E6781ACD16}"/>
    <cellStyle name="40% - Accent4 2 15" xfId="249" xr:uid="{025E8F24-6843-410A-9307-2F625929B469}"/>
    <cellStyle name="40% - Accent4 2 2" xfId="250" xr:uid="{117C6514-0508-4A55-887F-4CFA728C0698}"/>
    <cellStyle name="40% - Accent4 2 3" xfId="251" xr:uid="{D144EE86-781B-489D-B7D7-8987E8AC7E3A}"/>
    <cellStyle name="40% - Accent4 2 4" xfId="252" xr:uid="{AB7652B6-61DC-43C1-866F-8EDFC62C4A67}"/>
    <cellStyle name="40% - Accent4 2 5" xfId="253" xr:uid="{3238E454-8500-4C34-A427-588B20AA78B0}"/>
    <cellStyle name="40% - Accent4 2 6" xfId="254" xr:uid="{151E7D7B-109D-4F66-AA5E-C3F50D6119EA}"/>
    <cellStyle name="40% - Accent4 2 7" xfId="255" xr:uid="{CBF4AFEC-D839-4A06-9DE9-609A908A6488}"/>
    <cellStyle name="40% - Accent4 2 8" xfId="256" xr:uid="{20D87457-6367-4F32-A57A-3B081E7630DE}"/>
    <cellStyle name="40% - Accent4 2 9" xfId="257" xr:uid="{0C0E372C-E8DC-4B2C-8D40-831CF66F8737}"/>
    <cellStyle name="40% - Accent4 3" xfId="258" xr:uid="{E41CD406-32F4-4E0A-B9C5-B13C0F0197E4}"/>
    <cellStyle name="40% - Accent4 4" xfId="259" xr:uid="{2C9B9810-96A6-4E8E-B341-5CC212DF11E3}"/>
    <cellStyle name="40% - Accent4 5" xfId="260" xr:uid="{FF4FA214-EA28-40E6-BC0B-E2D2725690B6}"/>
    <cellStyle name="40% - Accent4 6" xfId="261" xr:uid="{561E630F-6F8E-462A-98A4-C854376B46EE}"/>
    <cellStyle name="40% - Accent4 7" xfId="262" xr:uid="{19177DB7-D61D-4CFD-BD11-62272FF1AEE0}"/>
    <cellStyle name="40% - Accent4 8" xfId="263" xr:uid="{6927C969-7C7B-4CE2-8E69-BD84D6FC1767}"/>
    <cellStyle name="40% - Accent5 2" xfId="50" xr:uid="{3B1437A4-9326-4AE7-9A8A-C48B0434B60B}"/>
    <cellStyle name="40% - Accent5 2 10" xfId="264" xr:uid="{F883FD45-C6E6-4D6B-8EF0-56C5A5F9F028}"/>
    <cellStyle name="40% - Accent5 2 11" xfId="265" xr:uid="{DFBC1D8E-8DDC-435E-93A5-559FF64A4320}"/>
    <cellStyle name="40% - Accent5 2 12" xfId="266" xr:uid="{669C39CF-DA2C-4938-A645-93DB7258C17E}"/>
    <cellStyle name="40% - Accent5 2 13" xfId="267" xr:uid="{93BE575B-7B40-4B56-9300-4DBCC760CA04}"/>
    <cellStyle name="40% - Accent5 2 14" xfId="268" xr:uid="{A5144025-AFB2-4089-8E0A-F983CA77F04E}"/>
    <cellStyle name="40% - Accent5 2 15" xfId="269" xr:uid="{A314CABD-FB90-417E-B327-D4D2869B0367}"/>
    <cellStyle name="40% - Accent5 2 2" xfId="270" xr:uid="{CB6A4C65-AFA2-45E4-B40D-DEA574C9718E}"/>
    <cellStyle name="40% - Accent5 2 3" xfId="271" xr:uid="{ADA8C748-D7C6-495F-8073-948EBC9E5F53}"/>
    <cellStyle name="40% - Accent5 2 4" xfId="272" xr:uid="{0E2BE7BE-0C9B-442A-9CD7-782EACFDC6DB}"/>
    <cellStyle name="40% - Accent5 2 5" xfId="273" xr:uid="{D894B695-AE3D-490A-B90D-427D28330467}"/>
    <cellStyle name="40% - Accent5 2 6" xfId="274" xr:uid="{A607A8B9-FA01-4D80-B508-DA66006A3B19}"/>
    <cellStyle name="40% - Accent5 2 7" xfId="275" xr:uid="{C6872070-8460-44DB-9831-9DC4C2D341A4}"/>
    <cellStyle name="40% - Accent5 2 8" xfId="276" xr:uid="{F854B575-F789-4782-9C73-8F67DD61FC00}"/>
    <cellStyle name="40% - Accent5 2 9" xfId="277" xr:uid="{505371E2-5A89-4003-83D7-D40E7DA7D87D}"/>
    <cellStyle name="40% - Accent5 3" xfId="278" xr:uid="{EA5ACF6C-320B-4F21-83A5-E84BB2E36993}"/>
    <cellStyle name="40% - Accent5 4" xfId="279" xr:uid="{DEE5BEFE-D65C-44A8-BD88-CBC053CA6630}"/>
    <cellStyle name="40% - Accent5 5" xfId="280" xr:uid="{6DF8F8C2-A145-422F-B6CB-BB8E8E61B3A2}"/>
    <cellStyle name="40% - Accent5 6" xfId="281" xr:uid="{6D52A5F9-0519-4A83-B695-FF29FD81AA1E}"/>
    <cellStyle name="40% - Accent5 7" xfId="282" xr:uid="{00D97E1F-DB2C-4477-BE37-2491F6192178}"/>
    <cellStyle name="40% - Accent5 8" xfId="283" xr:uid="{ECB153CA-0FB0-4EA6-A2AB-54093947E6E9}"/>
    <cellStyle name="40% - Accent6 2" xfId="54" xr:uid="{1931FCB7-D830-4572-AF78-A0FDC87DADA5}"/>
    <cellStyle name="40% - Accent6 2 10" xfId="284" xr:uid="{ED97C7AF-CF31-4C42-8991-CAE2646B76FA}"/>
    <cellStyle name="40% - Accent6 2 11" xfId="285" xr:uid="{042B65ED-EEEC-4530-9B8C-3184B52405F7}"/>
    <cellStyle name="40% - Accent6 2 12" xfId="286" xr:uid="{55F306D9-8E69-490F-872C-BD55F44C3F67}"/>
    <cellStyle name="40% - Accent6 2 13" xfId="287" xr:uid="{1AD985DC-C3E3-43C5-8BCF-1EE164E08565}"/>
    <cellStyle name="40% - Accent6 2 14" xfId="288" xr:uid="{57B9E194-C4E4-4B50-BDE7-B692312E79F5}"/>
    <cellStyle name="40% - Accent6 2 15" xfId="289" xr:uid="{AAEFC2C9-84DC-4407-A958-11A863920075}"/>
    <cellStyle name="40% - Accent6 2 2" xfId="290" xr:uid="{A273C266-BE5C-4377-859B-B4C232E630AA}"/>
    <cellStyle name="40% - Accent6 2 3" xfId="291" xr:uid="{B4CB4D6D-47BD-4708-97BB-C5DC42A0A14B}"/>
    <cellStyle name="40% - Accent6 2 4" xfId="292" xr:uid="{117A461B-A71F-4659-8395-DCA78DD27099}"/>
    <cellStyle name="40% - Accent6 2 5" xfId="293" xr:uid="{55908289-B005-4625-AB0C-F575FF77D7C2}"/>
    <cellStyle name="40% - Accent6 2 6" xfId="294" xr:uid="{5AC230B6-E6ED-437F-9175-A341452F994E}"/>
    <cellStyle name="40% - Accent6 2 7" xfId="295" xr:uid="{C3116B12-7B9D-48E9-BABB-0AFAE85ECE22}"/>
    <cellStyle name="40% - Accent6 2 8" xfId="296" xr:uid="{7841B3C0-57A0-4997-B2EA-2F33F8EC4C06}"/>
    <cellStyle name="40% - Accent6 2 9" xfId="297" xr:uid="{C22CEB53-1376-427F-B677-583C6E439DC7}"/>
    <cellStyle name="40% - Accent6 3" xfId="298" xr:uid="{4B170755-0868-4795-BFBB-8FD41A5F5AC7}"/>
    <cellStyle name="40% - Accent6 4" xfId="299" xr:uid="{7646D61C-B010-422A-B144-263E13153E89}"/>
    <cellStyle name="40% - Accent6 5" xfId="300" xr:uid="{B1AA307D-DA0A-406C-8E29-3C285774AA28}"/>
    <cellStyle name="40% - Accent6 6" xfId="301" xr:uid="{EA1F0B54-4FB5-430E-98D7-71B38844372B}"/>
    <cellStyle name="40% - Accent6 7" xfId="302" xr:uid="{3937721E-0F16-49A1-AB6B-DBC92E4BC1A9}"/>
    <cellStyle name="40% - Accent6 8" xfId="303" xr:uid="{09239DD2-CC6C-49C5-ABB6-26BFFD59DA56}"/>
    <cellStyle name="60% - Accent1 2" xfId="35" xr:uid="{8B5E4987-D6E4-4DE9-886B-02DC92F01CFC}"/>
    <cellStyle name="60% - Accent1 2 10" xfId="304" xr:uid="{9945093F-653D-4763-9C87-D24D7DC68EA7}"/>
    <cellStyle name="60% - Accent1 2 2" xfId="305" xr:uid="{784EE448-FFFE-48F9-AF63-51450CA66688}"/>
    <cellStyle name="60% - Accent1 2 3" xfId="306" xr:uid="{542299A8-B7B0-425C-815D-48DFA3D6C48F}"/>
    <cellStyle name="60% - Accent1 2 4" xfId="307" xr:uid="{ED858ABC-7865-488A-8FD9-3F28108988CC}"/>
    <cellStyle name="60% - Accent1 2 5" xfId="308" xr:uid="{CA063D4F-E77D-42FF-8F7D-1E85117D2ADD}"/>
    <cellStyle name="60% - Accent1 2 6" xfId="309" xr:uid="{D7D39C05-E0B6-4C7B-A3E0-37A87CF755EF}"/>
    <cellStyle name="60% - Accent1 2 7" xfId="310" xr:uid="{24E9375C-6F0E-40EE-82E7-D10FCAD96317}"/>
    <cellStyle name="60% - Accent1 2 8" xfId="311" xr:uid="{66D2DB65-F961-4441-BF88-DB2CA70C540A}"/>
    <cellStyle name="60% - Accent1 2 9" xfId="312" xr:uid="{A59B491B-C6D5-4246-BBC7-591DF766FEF1}"/>
    <cellStyle name="60% - Accent1 3" xfId="313" xr:uid="{D90AF5E3-A3C1-4D1A-9465-77E0F331FDC3}"/>
    <cellStyle name="60% - Accent2 2" xfId="39" xr:uid="{0A554AD3-17AD-4D6B-AFA8-8A99F561451D}"/>
    <cellStyle name="60% - Accent2 2 10" xfId="314" xr:uid="{BC3F53A6-FFEB-4F6D-8887-9F5F557E2313}"/>
    <cellStyle name="60% - Accent2 2 2" xfId="315" xr:uid="{D317768C-77DE-46ED-B98E-2E0CBDC58C38}"/>
    <cellStyle name="60% - Accent2 2 3" xfId="316" xr:uid="{440794E4-9BE6-4788-8D86-750E4B0D950D}"/>
    <cellStyle name="60% - Accent2 2 4" xfId="317" xr:uid="{307730D7-3F74-4E2A-B9BA-81CFDB3923A5}"/>
    <cellStyle name="60% - Accent2 2 5" xfId="318" xr:uid="{6698CE1B-92AC-4831-9362-2A7861EED77D}"/>
    <cellStyle name="60% - Accent2 2 6" xfId="319" xr:uid="{B773CB33-F980-494B-BD9B-DE5293F7323B}"/>
    <cellStyle name="60% - Accent2 2 7" xfId="320" xr:uid="{D8679D75-19BF-4BF2-BC31-977CFDD0690F}"/>
    <cellStyle name="60% - Accent2 2 8" xfId="321" xr:uid="{E4C0D0E4-183D-44DB-A165-3DD47175D56F}"/>
    <cellStyle name="60% - Accent2 2 9" xfId="322" xr:uid="{396C686E-7A9A-4F92-B905-A6AC45DD3A0F}"/>
    <cellStyle name="60% - Accent2 3" xfId="323" xr:uid="{3DFA8FC7-AE51-4F53-B4E4-815A96C62C8C}"/>
    <cellStyle name="60% - Accent3 2" xfId="43" xr:uid="{7751A97A-FA3C-4369-ADA8-50478C61C136}"/>
    <cellStyle name="60% - Accent3 2 10" xfId="324" xr:uid="{ACBBE0FD-271F-4F43-A8FC-A708BF774B13}"/>
    <cellStyle name="60% - Accent3 2 2" xfId="325" xr:uid="{89F9A523-409E-4655-BA9C-3FDBF9ACFC76}"/>
    <cellStyle name="60% - Accent3 2 3" xfId="326" xr:uid="{CE6890F3-63D9-42A1-A298-4C33F425FDF8}"/>
    <cellStyle name="60% - Accent3 2 4" xfId="327" xr:uid="{B0E79C88-BE45-4A0F-A2CC-4FD076BA8710}"/>
    <cellStyle name="60% - Accent3 2 5" xfId="328" xr:uid="{0E776ADD-6C2F-4F7A-9A1C-2ECDF8F32485}"/>
    <cellStyle name="60% - Accent3 2 6" xfId="329" xr:uid="{B8AB3CB5-A88A-4A44-9A3B-D9DD9EDDF080}"/>
    <cellStyle name="60% - Accent3 2 7" xfId="330" xr:uid="{753D1495-F8FD-4967-B519-69EBF990DCAB}"/>
    <cellStyle name="60% - Accent3 2 8" xfId="331" xr:uid="{B0DE9FEF-D75E-42EC-ADC7-589ADC4641CC}"/>
    <cellStyle name="60% - Accent3 2 9" xfId="332" xr:uid="{CA257AFD-F08E-4F9B-87CF-7095D4C30B92}"/>
    <cellStyle name="60% - Accent3 3" xfId="333" xr:uid="{AEBA9989-D152-4A5F-8ED6-F248A30F15FD}"/>
    <cellStyle name="60% - Accent4 2" xfId="47" xr:uid="{C19FEA97-C799-481D-8E72-8FCF88F6A1AA}"/>
    <cellStyle name="60% - Accent4 2 10" xfId="334" xr:uid="{0BFCB462-9B1A-4466-8422-1C54358AC284}"/>
    <cellStyle name="60% - Accent4 2 2" xfId="335" xr:uid="{3732A805-D9BC-4ACC-B4A5-ACE18D1F1B27}"/>
    <cellStyle name="60% - Accent4 2 3" xfId="336" xr:uid="{041BFC88-9FD5-4FF8-AA17-005EB64B2FC2}"/>
    <cellStyle name="60% - Accent4 2 4" xfId="337" xr:uid="{B9F8640A-1B5A-4578-BDBA-527D1A38061A}"/>
    <cellStyle name="60% - Accent4 2 5" xfId="338" xr:uid="{F4A4CC16-9CEE-4EFF-8491-C038DD3EFBCA}"/>
    <cellStyle name="60% - Accent4 2 6" xfId="339" xr:uid="{00216075-4847-41E7-991F-E2F6CC205720}"/>
    <cellStyle name="60% - Accent4 2 7" xfId="340" xr:uid="{8256B0A1-E874-4807-ACB6-3A452CA467AA}"/>
    <cellStyle name="60% - Accent4 2 8" xfId="341" xr:uid="{C882EE61-02F0-4CBD-AC8A-B868526F86BE}"/>
    <cellStyle name="60% - Accent4 2 9" xfId="342" xr:uid="{C7D856EF-504D-4BC8-B276-5DEF161BBBEF}"/>
    <cellStyle name="60% - Accent4 3" xfId="343" xr:uid="{1555A6F3-967C-4BAF-A167-CAABD8A653AB}"/>
    <cellStyle name="60% - Accent5 2" xfId="51" xr:uid="{30353573-67F6-4FB1-BE4F-2FFA06DD0592}"/>
    <cellStyle name="60% - Accent5 2 10" xfId="344" xr:uid="{B21422AD-CF70-4148-B9B4-611784E00557}"/>
    <cellStyle name="60% - Accent5 2 2" xfId="345" xr:uid="{1CAD2C8C-C6AE-4906-8CFA-3E79C26467F4}"/>
    <cellStyle name="60% - Accent5 2 3" xfId="346" xr:uid="{C8DADD1B-82A6-4D2E-BE31-975F7A75E675}"/>
    <cellStyle name="60% - Accent5 2 4" xfId="347" xr:uid="{D3E4F0F4-2C0F-4D70-A941-43E324831119}"/>
    <cellStyle name="60% - Accent5 2 5" xfId="348" xr:uid="{5E46742B-7CB2-4428-84C1-EB510B94EED8}"/>
    <cellStyle name="60% - Accent5 2 6" xfId="349" xr:uid="{A08CF0BB-B365-4560-92E1-C2F97DE7B83F}"/>
    <cellStyle name="60% - Accent5 2 7" xfId="350" xr:uid="{F91889CD-966A-40B7-8987-E6C8DD7F3A20}"/>
    <cellStyle name="60% - Accent5 2 8" xfId="351" xr:uid="{977E2E35-9E5F-44E3-9661-DD033C669561}"/>
    <cellStyle name="60% - Accent5 2 9" xfId="352" xr:uid="{1AF7F6B1-52ED-4A4A-9725-34D50BB4875E}"/>
    <cellStyle name="60% - Accent5 3" xfId="353" xr:uid="{2509CE1F-7C51-4654-8612-84F4FDC6132F}"/>
    <cellStyle name="60% - Accent6 2" xfId="55" xr:uid="{10F7CCB2-2B77-4512-90B0-0E8E0E950128}"/>
    <cellStyle name="60% - Accent6 2 10" xfId="354" xr:uid="{70FD36E0-D324-45BF-B32D-AE899D250C5A}"/>
    <cellStyle name="60% - Accent6 2 2" xfId="355" xr:uid="{86B2A69D-0D86-44FD-867A-2CBCEDEE342A}"/>
    <cellStyle name="60% - Accent6 2 3" xfId="356" xr:uid="{9F4A5111-C368-47BE-A6ED-2FF383EB17D4}"/>
    <cellStyle name="60% - Accent6 2 4" xfId="357" xr:uid="{C45E1B71-94A0-4F75-B213-A4C7650612ED}"/>
    <cellStyle name="60% - Accent6 2 5" xfId="358" xr:uid="{F9EAD260-35C7-471E-8B15-27A394DC7B0F}"/>
    <cellStyle name="60% - Accent6 2 6" xfId="359" xr:uid="{5995C5BF-4D61-4B29-B4FE-011EA94353B4}"/>
    <cellStyle name="60% - Accent6 2 7" xfId="360" xr:uid="{CFCFEA78-A324-4E00-8B7D-813DB9419972}"/>
    <cellStyle name="60% - Accent6 2 8" xfId="361" xr:uid="{F3ACC9C4-1505-4C49-BF12-AF6D5E736371}"/>
    <cellStyle name="60% - Accent6 2 9" xfId="362" xr:uid="{3917044B-3395-4F82-B98F-8E035D5CFA46}"/>
    <cellStyle name="60% - Accent6 3" xfId="363" xr:uid="{8DCF7A78-1F14-40AF-9B61-7425DAB53ED5}"/>
    <cellStyle name="Accent1 2 10" xfId="364" xr:uid="{8D348E8F-C7A6-4919-816F-E3226C1A71E1}"/>
    <cellStyle name="Accent1 2 2" xfId="365" xr:uid="{31D0C217-2F0B-4429-89D8-DD43D03FCE12}"/>
    <cellStyle name="Accent1 2 3" xfId="366" xr:uid="{14596D63-9CCD-42EA-8F4B-3EA2A82F0B6C}"/>
    <cellStyle name="Accent1 2 4" xfId="367" xr:uid="{6244303C-76B9-4613-AF6D-DE05F6D3C303}"/>
    <cellStyle name="Accent1 2 5" xfId="368" xr:uid="{036C5340-23C2-404B-ACDB-B64CD4E0A1B7}"/>
    <cellStyle name="Accent1 2 6" xfId="369" xr:uid="{AA2BC8FE-9AA0-4164-B3BB-1D0821D013E9}"/>
    <cellStyle name="Accent1 2 7" xfId="370" xr:uid="{CDC9FDEA-3B4D-498F-BB4C-A90DC02843EA}"/>
    <cellStyle name="Accent1 2 8" xfId="371" xr:uid="{1D415557-4138-41B7-895D-0ED248559C6E}"/>
    <cellStyle name="Accent1 2 9" xfId="372" xr:uid="{D0A1EE3F-C816-4FFC-9D83-1341D2A01353}"/>
    <cellStyle name="Accent1 3" xfId="373" xr:uid="{5359C6DE-32F7-4E81-AD75-42C7A09C6942}"/>
    <cellStyle name="Accent2 2" xfId="36" xr:uid="{EECEA76A-133B-4F12-89F1-370E1CDB2B0B}"/>
    <cellStyle name="Accent2 2 10" xfId="374" xr:uid="{55932761-9BF6-40DF-828C-6A7E191AACD2}"/>
    <cellStyle name="Accent2 2 2" xfId="375" xr:uid="{10E5BBE7-2CE4-4518-9E33-DB221477F918}"/>
    <cellStyle name="Accent2 2 3" xfId="376" xr:uid="{26CF5458-23B5-4266-9D0A-30FCADB7EF98}"/>
    <cellStyle name="Accent2 2 4" xfId="377" xr:uid="{3D892F41-49B9-448F-971C-0A43E217936E}"/>
    <cellStyle name="Accent2 2 5" xfId="378" xr:uid="{64DE57B6-C57E-4A8E-81AD-EEFBA5D22EBB}"/>
    <cellStyle name="Accent2 2 6" xfId="379" xr:uid="{E08B42E2-660A-4A4C-9F28-5C2E868C848A}"/>
    <cellStyle name="Accent2 2 7" xfId="380" xr:uid="{1DB9B7A4-6807-44C1-B78E-6BBACD079248}"/>
    <cellStyle name="Accent2 2 8" xfId="381" xr:uid="{5C329D4F-549A-4B28-B3FE-13AEA362CE53}"/>
    <cellStyle name="Accent2 2 9" xfId="382" xr:uid="{D3786457-470C-439D-BB8C-2F74FE200099}"/>
    <cellStyle name="Accent2 3" xfId="383" xr:uid="{60899174-3A7E-42ED-A59B-07D8960B15C9}"/>
    <cellStyle name="Accent3 2" xfId="40" xr:uid="{ABB4FBD5-5682-4F7C-97B3-81015C8D8540}"/>
    <cellStyle name="Accent3 2 10" xfId="384" xr:uid="{03B7B2E5-E021-4FFC-A138-F5767364E333}"/>
    <cellStyle name="Accent3 2 2" xfId="385" xr:uid="{82CDF40E-BC52-4D94-AF29-C1F5AE7CF2A3}"/>
    <cellStyle name="Accent3 2 3" xfId="386" xr:uid="{EDB5C812-5586-41D6-8880-F4C2C06F22DA}"/>
    <cellStyle name="Accent3 2 4" xfId="387" xr:uid="{049B8C48-A099-4606-BADE-D117104EA19F}"/>
    <cellStyle name="Accent3 2 5" xfId="388" xr:uid="{0FF430C1-0BA2-4B91-8727-D1313DBCE83F}"/>
    <cellStyle name="Accent3 2 6" xfId="389" xr:uid="{A1F95A5A-0084-4561-8E31-71BA5917AFEB}"/>
    <cellStyle name="Accent3 2 7" xfId="390" xr:uid="{7EBF57E6-CD42-412B-B8BD-D05E97FDC9D6}"/>
    <cellStyle name="Accent3 2 8" xfId="391" xr:uid="{2932741D-17CB-4C37-8ADA-6302D844D320}"/>
    <cellStyle name="Accent3 2 9" xfId="392" xr:uid="{BDC78755-E23C-48A7-9460-FDCF0088F515}"/>
    <cellStyle name="Accent3 3" xfId="393" xr:uid="{75F9CD85-40A4-4CAE-B825-88E9BDEC8B8D}"/>
    <cellStyle name="Accent4 2" xfId="44" xr:uid="{CC7C30D0-3133-4CF9-91B4-BFEEEF18AE0C}"/>
    <cellStyle name="Accent4 2 10" xfId="394" xr:uid="{E6B19474-263A-4FEB-969B-8D990EC12030}"/>
    <cellStyle name="Accent4 2 2" xfId="395" xr:uid="{2998B221-7ED5-46F4-A3F5-B646F5CD1C35}"/>
    <cellStyle name="Accent4 2 3" xfId="396" xr:uid="{58F4D5E0-6587-4F24-830C-FC00C14D7D0B}"/>
    <cellStyle name="Accent4 2 4" xfId="397" xr:uid="{1908F380-AD17-491B-B099-2E980818B3AE}"/>
    <cellStyle name="Accent4 2 5" xfId="398" xr:uid="{31BAC0BC-24F0-4F30-94FA-F2B8BABE11C0}"/>
    <cellStyle name="Accent4 2 6" xfId="399" xr:uid="{518C2CAC-0ECD-459F-93E1-55BCDCE50D50}"/>
    <cellStyle name="Accent4 2 7" xfId="400" xr:uid="{96B56CB6-AE10-4956-839E-A0C1E60D9902}"/>
    <cellStyle name="Accent4 2 8" xfId="401" xr:uid="{01316C79-ADF8-4B53-AAE5-17C7865FF5F7}"/>
    <cellStyle name="Accent4 2 9" xfId="402" xr:uid="{02F686F6-885A-4B06-900E-0AA3CA7FAA30}"/>
    <cellStyle name="Accent4 3" xfId="403" xr:uid="{2BEAFE79-68B6-4595-83B4-6C2B4235971B}"/>
    <cellStyle name="Accent5 2" xfId="48" xr:uid="{03E3816F-13D8-4835-A983-08D87F391462}"/>
    <cellStyle name="Accent5 2 10" xfId="404" xr:uid="{83914245-4E24-414E-B4C5-05513285C61F}"/>
    <cellStyle name="Accent5 2 2" xfId="405" xr:uid="{B230902F-ADDD-4D80-9393-15E451EF4BD8}"/>
    <cellStyle name="Accent5 2 3" xfId="406" xr:uid="{47A4C01F-BCF4-49FF-AA9A-53269E468825}"/>
    <cellStyle name="Accent5 2 4" xfId="407" xr:uid="{517F31BB-BC60-4CB7-AA8E-A1AA1FFBED2B}"/>
    <cellStyle name="Accent5 2 5" xfId="408" xr:uid="{D464D1E8-8377-4ECD-B595-D1807F0F3E84}"/>
    <cellStyle name="Accent5 2 6" xfId="409" xr:uid="{7F314740-C8BC-4055-AF88-F0097FEF2FA2}"/>
    <cellStyle name="Accent5 2 7" xfId="410" xr:uid="{0AEF3FA9-EF29-4ACF-AFFD-63827F22959D}"/>
    <cellStyle name="Accent5 2 8" xfId="411" xr:uid="{BCCC83BF-72C3-4E77-BFA0-7186DB9928BE}"/>
    <cellStyle name="Accent5 2 9" xfId="412" xr:uid="{7C8F45C7-CA32-4744-985C-6DC408046041}"/>
    <cellStyle name="Accent5 3" xfId="413" xr:uid="{D7E48A37-FF88-478C-BB98-AD975EF874E5}"/>
    <cellStyle name="Accent6 2" xfId="52" xr:uid="{E9BC7EE5-A13A-43A5-9016-6D7E44C54211}"/>
    <cellStyle name="Accent6 2 10" xfId="414" xr:uid="{450AF985-3CBF-4356-9D71-2986CCFB197E}"/>
    <cellStyle name="Accent6 2 2" xfId="415" xr:uid="{2159FF00-E0EA-41D2-BC88-2F58BDB1E709}"/>
    <cellStyle name="Accent6 2 3" xfId="416" xr:uid="{578B612A-818B-4894-A496-289B167DE546}"/>
    <cellStyle name="Accent6 2 4" xfId="417" xr:uid="{B44A89CF-C273-454D-97D8-827F3427B0CD}"/>
    <cellStyle name="Accent6 2 5" xfId="418" xr:uid="{0F1BFFB6-C8C9-4BF9-8D94-927136C0E442}"/>
    <cellStyle name="Accent6 2 6" xfId="419" xr:uid="{36695500-A585-420E-A8E2-34852BDBBDE0}"/>
    <cellStyle name="Accent6 2 7" xfId="420" xr:uid="{D7CD0CA4-3788-4D2B-A3CA-FA950BBDF375}"/>
    <cellStyle name="Accent6 2 8" xfId="421" xr:uid="{62F8F0C5-6713-4A54-BC5E-D2B34B3A1D2D}"/>
    <cellStyle name="Accent6 2 9" xfId="422" xr:uid="{988B85A0-B866-490C-A953-29E04854AD75}"/>
    <cellStyle name="Accent6 3" xfId="423" xr:uid="{4EC87FF5-D0AD-49A5-940C-56CA89D26B4B}"/>
    <cellStyle name="Bad 2" xfId="23" xr:uid="{641428C3-66B8-4FC0-B397-B551A0D77520}"/>
    <cellStyle name="Bad 2 10" xfId="424" xr:uid="{609C2449-F61C-43EB-B457-34F93CC39F7F}"/>
    <cellStyle name="Bad 2 2" xfId="425" xr:uid="{5A982527-A48A-41AF-8308-C19EA17395D9}"/>
    <cellStyle name="Bad 2 3" xfId="426" xr:uid="{C6A4F9AB-9E83-4703-AED5-AE800DC7D02D}"/>
    <cellStyle name="Bad 2 4" xfId="427" xr:uid="{65D8411B-25F1-4109-B05F-D896D72DD889}"/>
    <cellStyle name="Bad 2 5" xfId="428" xr:uid="{8ADABBA9-5BE0-4644-93C0-DD3872F01F79}"/>
    <cellStyle name="Bad 2 6" xfId="429" xr:uid="{149CAB3E-251E-4931-9D35-71CFDBB8A541}"/>
    <cellStyle name="Bad 2 7" xfId="430" xr:uid="{8A3F32AF-1713-4D24-ACEC-59C01936375F}"/>
    <cellStyle name="Bad 2 8" xfId="431" xr:uid="{7F720FA7-31F0-43B2-947D-D67BD27A794E}"/>
    <cellStyle name="Bad 2 9" xfId="432" xr:uid="{8C84C36A-DAB0-4778-9165-1BCEB33A1FAB}"/>
    <cellStyle name="Bad 3" xfId="433" xr:uid="{8A1D186E-38A0-44DC-B075-65D9591321B7}"/>
    <cellStyle name="Calculation 2" xfId="27" xr:uid="{697A615C-D18E-4B88-8137-66883A105C6A}"/>
    <cellStyle name="Calculation 2 10" xfId="434" xr:uid="{0011C8A2-F1BC-4A0C-B1EB-02E6D7BF67A6}"/>
    <cellStyle name="Calculation 2 2" xfId="435" xr:uid="{9D7AF5F8-5376-4F64-8376-7F553FF47BA8}"/>
    <cellStyle name="Calculation 2 3" xfId="436" xr:uid="{7ED07CE9-39EB-4F1C-A076-EC9EB2D21897}"/>
    <cellStyle name="Calculation 2 4" xfId="437" xr:uid="{6D953F90-69E5-47F8-8878-1B3056A82845}"/>
    <cellStyle name="Calculation 2 5" xfId="438" xr:uid="{0D48668A-E86D-46EC-90FB-EA1BA1162D4F}"/>
    <cellStyle name="Calculation 2 6" xfId="439" xr:uid="{F3905C7C-AFAB-4565-AB2C-32022BC611FC}"/>
    <cellStyle name="Calculation 2 7" xfId="440" xr:uid="{9BF9CCFA-4FF5-4CF2-9C30-23AE7382DACB}"/>
    <cellStyle name="Calculation 2 8" xfId="441" xr:uid="{3ABE259A-3611-4694-8122-E890883CC088}"/>
    <cellStyle name="Calculation 2 9" xfId="442" xr:uid="{1CD79C00-1C4E-4135-840F-9B350EEE86D7}"/>
    <cellStyle name="Calculation 3" xfId="443" xr:uid="{15E65102-AFAF-4A1B-B858-C65587A089AC}"/>
    <cellStyle name="Check Cell 2" xfId="29" xr:uid="{746BDB71-C048-4601-9E6F-BB225D1970CE}"/>
    <cellStyle name="Check Cell 2 10" xfId="444" xr:uid="{D0386453-6C8C-40DB-A4BD-37C27E91D347}"/>
    <cellStyle name="Check Cell 2 2" xfId="445" xr:uid="{8D6106B5-FCB6-4B41-8851-3AAA19E7505D}"/>
    <cellStyle name="Check Cell 2 3" xfId="446" xr:uid="{4A1ECF92-5BD4-42DB-84D5-7C110AB01E3D}"/>
    <cellStyle name="Check Cell 2 4" xfId="447" xr:uid="{54E6E046-3F4F-4332-BEF8-039B7E0684E1}"/>
    <cellStyle name="Check Cell 2 5" xfId="448" xr:uid="{316EC853-46A9-4976-B978-9937E1991F02}"/>
    <cellStyle name="Check Cell 2 6" xfId="449" xr:uid="{94ECE74B-7909-4281-A056-A4641E0B30C5}"/>
    <cellStyle name="Check Cell 2 7" xfId="450" xr:uid="{A2C2BFC1-6107-433F-96F2-EE47D6B0C48C}"/>
    <cellStyle name="Check Cell 2 8" xfId="451" xr:uid="{F2EE8E56-C335-47A0-ADDE-6422518F91F1}"/>
    <cellStyle name="Check Cell 2 9" xfId="452" xr:uid="{2C4E2712-F628-4CFB-A0E4-68A78B847D6B}"/>
    <cellStyle name="Check Cell 3" xfId="453" xr:uid="{2BDB4358-6941-4820-9ABB-7ACAD1D5B559}"/>
    <cellStyle name="Comma" xfId="1" builtinId="3"/>
    <cellStyle name="Comma [0] 2 10" xfId="454" xr:uid="{869B8D95-2894-41F9-8BD8-4DEA9E86CF82}"/>
    <cellStyle name="Comma [0] 2 2" xfId="455" xr:uid="{3C0426CB-08A7-4555-B83B-18DB8D5D301A}"/>
    <cellStyle name="Comma [0] 2 3" xfId="456" xr:uid="{0A122CFD-8A13-4EF1-93DB-1863B1122217}"/>
    <cellStyle name="Comma [0] 2 4" xfId="457" xr:uid="{22469DFB-A5DC-446C-8C90-A7036A3B18B6}"/>
    <cellStyle name="Comma [0] 2 5" xfId="458" xr:uid="{86083E09-6BC8-49F4-9D6E-BDAB37BA9B3B}"/>
    <cellStyle name="Comma [0] 2 6" xfId="459" xr:uid="{7E90D10A-9689-4918-AF38-5EB80B05CC71}"/>
    <cellStyle name="Comma [0] 2 7" xfId="460" xr:uid="{DF56EE8A-354F-4E9D-90BF-D9D82FDFE79C}"/>
    <cellStyle name="Comma [0] 2 8" xfId="461" xr:uid="{E0144680-8D42-4DEF-9A72-0CDB6C87DE10}"/>
    <cellStyle name="Comma [0] 2 9" xfId="462" xr:uid="{AC10FB19-6925-4819-B2F0-93280946225E}"/>
    <cellStyle name="Comma 10 2" xfId="463" xr:uid="{E7E0AF1B-6146-46A0-BB49-111349134FD6}"/>
    <cellStyle name="Comma 10 2 10" xfId="464" xr:uid="{A690F2D6-344A-4A8B-AAF7-78FD467CAFCA}"/>
    <cellStyle name="Comma 10 2 11" xfId="465" xr:uid="{707859D4-C9C5-4BCB-B866-D00BCB72720E}"/>
    <cellStyle name="Comma 10 2 12" xfId="466" xr:uid="{019E1F61-BA20-40C5-81BC-2C6A559F7139}"/>
    <cellStyle name="Comma 10 2 13" xfId="467" xr:uid="{2D9456A5-4E22-424F-B654-4CEB7949E064}"/>
    <cellStyle name="Comma 10 2 14" xfId="468" xr:uid="{36CCFE74-7082-40C4-BF60-89FFAD847FA9}"/>
    <cellStyle name="Comma 10 2 15" xfId="469" xr:uid="{57BE5110-6487-4184-A72C-C6AE21090FC5}"/>
    <cellStyle name="Comma 10 2 16" xfId="470" xr:uid="{618012DF-BD00-4803-A2D8-F16683A52C15}"/>
    <cellStyle name="Comma 10 2 17" xfId="471" xr:uid="{EAE12D68-A85D-49D8-93B0-3AA236A940CB}"/>
    <cellStyle name="Comma 10 2 2" xfId="472" xr:uid="{302D46DD-40F6-4E29-B696-A7ABB8AD2D3F}"/>
    <cellStyle name="Comma 10 2 3" xfId="473" xr:uid="{2D318540-7E1B-409E-B4F2-159EB0B8CABB}"/>
    <cellStyle name="Comma 10 2 4" xfId="474" xr:uid="{35D1203E-BE34-489C-B193-2A36F429F75F}"/>
    <cellStyle name="Comma 10 2 5" xfId="475" xr:uid="{735EC934-3327-4141-ACC9-6B5CA00BEA4F}"/>
    <cellStyle name="Comma 10 2 6" xfId="476" xr:uid="{FF6A5164-85DB-484B-8117-8490A40793C5}"/>
    <cellStyle name="Comma 10 2 7" xfId="477" xr:uid="{E1EEA92F-356F-4BB9-B911-8E02E3895AC8}"/>
    <cellStyle name="Comma 10 2 8" xfId="478" xr:uid="{2A42ACC1-7A08-4DCF-88BA-A3A444D1189B}"/>
    <cellStyle name="Comma 10 2 9" xfId="479" xr:uid="{7281AAAE-40FA-4548-9F0C-FA671E6F37AB}"/>
    <cellStyle name="Comma 10 3" xfId="480" xr:uid="{ABC835B8-C3BE-4C32-99B2-C1A2357F7CEA}"/>
    <cellStyle name="Comma 10 3 10" xfId="481" xr:uid="{F2C7BB41-F56E-4CC6-B500-1F3A01132CFF}"/>
    <cellStyle name="Comma 10 3 11" xfId="482" xr:uid="{A5E9B18F-EBDA-42BF-93ED-A693355FE4BA}"/>
    <cellStyle name="Comma 10 3 12" xfId="483" xr:uid="{0D0F2548-E430-48EE-8FE9-A4A22D044960}"/>
    <cellStyle name="Comma 10 3 13" xfId="484" xr:uid="{E52AAF9F-B864-46CD-BF73-72EEB9A1AAF0}"/>
    <cellStyle name="Comma 10 3 14" xfId="485" xr:uid="{4AAA9C9F-CE58-4AC3-AC74-AD444F6E250E}"/>
    <cellStyle name="Comma 10 3 15" xfId="486" xr:uid="{309ACCCE-187A-4512-952D-AF12F84E10EE}"/>
    <cellStyle name="Comma 10 3 16" xfId="487" xr:uid="{3BBCE8C7-7024-47C2-9A1A-8A20A7E4E741}"/>
    <cellStyle name="Comma 10 3 17" xfId="488" xr:uid="{FB32C0C1-987D-40D7-B0C5-6E040202209F}"/>
    <cellStyle name="Comma 10 3 2" xfId="489" xr:uid="{69FC5061-2E06-40F8-9EBF-41335B3E8FA1}"/>
    <cellStyle name="Comma 10 3 3" xfId="490" xr:uid="{A4F60A9B-2FB9-4583-9F16-370AAC23DF9B}"/>
    <cellStyle name="Comma 10 3 4" xfId="491" xr:uid="{E2B457C2-DDBE-4625-ACBD-564065FD41B8}"/>
    <cellStyle name="Comma 10 3 5" xfId="492" xr:uid="{16AD8FA9-7941-4824-BC0A-DDF89E39B7F6}"/>
    <cellStyle name="Comma 10 3 6" xfId="493" xr:uid="{254EBB7F-23E0-4C2C-AD20-BEB642BA2BC5}"/>
    <cellStyle name="Comma 10 3 7" xfId="494" xr:uid="{097E8F36-274F-4D08-8DC9-42BA0999EEC9}"/>
    <cellStyle name="Comma 10 3 8" xfId="495" xr:uid="{22726E64-9173-4D93-BF43-42FE90BDC0AA}"/>
    <cellStyle name="Comma 10 3 9" xfId="496" xr:uid="{4B0EEAD4-3918-416D-B6B9-C4F7ED7FDCDE}"/>
    <cellStyle name="Comma 10 4" xfId="497" xr:uid="{C1626EFA-D318-47FB-B69C-8A798023FF79}"/>
    <cellStyle name="Comma 10 4 10" xfId="498" xr:uid="{72A50272-04B0-419E-8AFF-06ED3C77E812}"/>
    <cellStyle name="Comma 10 4 11" xfId="499" xr:uid="{1D603B16-604E-460F-895E-5815144ABB2D}"/>
    <cellStyle name="Comma 10 4 12" xfId="500" xr:uid="{94A6D1B7-DFBE-468D-9050-00CB8FE61759}"/>
    <cellStyle name="Comma 10 4 13" xfId="501" xr:uid="{12EC7C85-D699-45C9-8CB3-4E4C267D0386}"/>
    <cellStyle name="Comma 10 4 14" xfId="502" xr:uid="{621BDF35-CA56-43C4-8267-E572D805A97E}"/>
    <cellStyle name="Comma 10 4 15" xfId="503" xr:uid="{BF45422F-7898-49DB-95DF-8B2D56119A2C}"/>
    <cellStyle name="Comma 10 4 16" xfId="504" xr:uid="{135F8ED7-9B81-4074-B4FB-26C3751C14EE}"/>
    <cellStyle name="Comma 10 4 17" xfId="505" xr:uid="{F7CD1984-1E88-423B-B212-C38EB286A3B4}"/>
    <cellStyle name="Comma 10 4 2" xfId="506" xr:uid="{10268E2F-C2A5-4CFB-8068-7968FCA1AF56}"/>
    <cellStyle name="Comma 10 4 3" xfId="507" xr:uid="{3F7ED20A-3C68-4871-ABF2-5490353167A6}"/>
    <cellStyle name="Comma 10 4 4" xfId="508" xr:uid="{0E394880-D951-46BC-99E7-F7975AD19BC7}"/>
    <cellStyle name="Comma 10 4 5" xfId="509" xr:uid="{D25749E5-E331-4240-A221-27358DD3D1FE}"/>
    <cellStyle name="Comma 10 4 6" xfId="510" xr:uid="{6BB9B608-3B03-4138-8A20-23AC037F6E9D}"/>
    <cellStyle name="Comma 10 4 7" xfId="511" xr:uid="{99EE366C-7356-4563-A92B-5D78E54FF86B}"/>
    <cellStyle name="Comma 10 4 8" xfId="512" xr:uid="{01CD77E9-13B9-4B5A-8B1A-86F2F1C37047}"/>
    <cellStyle name="Comma 10 4 9" xfId="513" xr:uid="{135C5D3F-963C-4145-B4DD-1D1C47E4B00B}"/>
    <cellStyle name="Comma 10 5" xfId="514" xr:uid="{4DBB5E33-BE65-48DE-876F-7409CD109A19}"/>
    <cellStyle name="Comma 10 5 10" xfId="515" xr:uid="{8D1E52D3-9E68-4515-91E4-162DA3CEB271}"/>
    <cellStyle name="Comma 10 5 11" xfId="516" xr:uid="{6F77BF66-F3CD-4105-976F-0B2D5BFC1424}"/>
    <cellStyle name="Comma 10 5 12" xfId="517" xr:uid="{808FFF1A-8D80-46FE-95BA-A2A910C40B9C}"/>
    <cellStyle name="Comma 10 5 13" xfId="518" xr:uid="{21579BD6-5C31-40B4-B81B-EA2E627010DA}"/>
    <cellStyle name="Comma 10 5 14" xfId="519" xr:uid="{ADB7F0E9-8993-4A7F-9CCF-698E13BB8E64}"/>
    <cellStyle name="Comma 10 5 15" xfId="520" xr:uid="{D4CCA6F7-695F-40AD-A95F-7D319A2E50E7}"/>
    <cellStyle name="Comma 10 5 16" xfId="521" xr:uid="{7F6B294F-3863-4309-B4C3-B8D046C7FB5E}"/>
    <cellStyle name="Comma 10 5 17" xfId="522" xr:uid="{3888ECE0-9273-4C18-86C1-845CB8480EE3}"/>
    <cellStyle name="Comma 10 5 2" xfId="523" xr:uid="{277B332D-F594-41BE-9059-E23BE16A73A3}"/>
    <cellStyle name="Comma 10 5 3" xfId="524" xr:uid="{DBB1B359-90BC-4D9B-89B8-B06B3F7A3E72}"/>
    <cellStyle name="Comma 10 5 4" xfId="525" xr:uid="{CD6BF297-7651-4A49-8347-EC20DB4E07B1}"/>
    <cellStyle name="Comma 10 5 5" xfId="526" xr:uid="{F6295514-3CFB-4590-B007-93C126831441}"/>
    <cellStyle name="Comma 10 5 6" xfId="527" xr:uid="{CFEF7FF9-B5E2-44C8-96EC-734D9B35E9FD}"/>
    <cellStyle name="Comma 10 5 7" xfId="528" xr:uid="{68B3011B-D0AC-4B93-B5F0-04CE64E7BD64}"/>
    <cellStyle name="Comma 10 5 8" xfId="529" xr:uid="{396EF328-A454-4343-9AD9-8E51F025E65D}"/>
    <cellStyle name="Comma 10 5 9" xfId="530" xr:uid="{A429C89D-4EE8-4C5A-A9BE-29CAA8EBEEFA}"/>
    <cellStyle name="Comma 10 6" xfId="531" xr:uid="{A3FEE472-ED1C-4571-A07F-2F5861CD1081}"/>
    <cellStyle name="Comma 10 6 10" xfId="532" xr:uid="{EC116E88-3AEF-48EC-826D-C2D012B86C78}"/>
    <cellStyle name="Comma 10 6 11" xfId="533" xr:uid="{73D46B15-82F9-4B70-A5F7-0DC501562D0D}"/>
    <cellStyle name="Comma 10 6 12" xfId="534" xr:uid="{27CCB498-43B3-484B-A1D6-7719E20C4E4B}"/>
    <cellStyle name="Comma 10 6 13" xfId="535" xr:uid="{3240FC56-B689-4BBB-B9A1-7DE53F30AEED}"/>
    <cellStyle name="Comma 10 6 14" xfId="536" xr:uid="{809A0270-9899-4C09-AD3A-F86CE1AABEF4}"/>
    <cellStyle name="Comma 10 6 15" xfId="537" xr:uid="{31928931-E5DA-4609-83F3-5AD6CB783AFA}"/>
    <cellStyle name="Comma 10 6 16" xfId="538" xr:uid="{7DB6DC0C-73B4-41D8-BA88-60FBE65B43D0}"/>
    <cellStyle name="Comma 10 6 17" xfId="539" xr:uid="{D4BBEAC9-4E62-4F89-9D5A-FB7092F68195}"/>
    <cellStyle name="Comma 10 6 2" xfId="540" xr:uid="{93B1F53C-BD9F-4D0F-9724-5C364AE7B344}"/>
    <cellStyle name="Comma 10 6 3" xfId="541" xr:uid="{D5B49BDB-755B-450C-8B88-7B72FF57FC1E}"/>
    <cellStyle name="Comma 10 6 4" xfId="542" xr:uid="{3682F7AE-D761-4853-B60A-E7E64CF01EA1}"/>
    <cellStyle name="Comma 10 6 5" xfId="543" xr:uid="{7F337924-BCCE-466A-8D4F-FD0029737207}"/>
    <cellStyle name="Comma 10 6 6" xfId="544" xr:uid="{5C76C371-E51D-4442-883A-A86550E8B215}"/>
    <cellStyle name="Comma 10 6 7" xfId="545" xr:uid="{3E007F75-8246-438E-9E83-4A3A1DE9CE4D}"/>
    <cellStyle name="Comma 10 6 8" xfId="546" xr:uid="{CD416C35-9AEE-4B68-BF36-5514D718B8A2}"/>
    <cellStyle name="Comma 10 6 9" xfId="547" xr:uid="{D9161D5B-11E5-497F-86CD-A34A2D05520D}"/>
    <cellStyle name="Comma 10 7" xfId="548" xr:uid="{618BF1FE-8E63-48D8-BBB3-EB931E4AC979}"/>
    <cellStyle name="Comma 10 7 10" xfId="549" xr:uid="{9237A723-ABD6-43D3-A694-B07FA2827DDE}"/>
    <cellStyle name="Comma 10 7 11" xfId="550" xr:uid="{2A0CC53F-A73B-4442-BDD9-8963EE50C732}"/>
    <cellStyle name="Comma 10 7 12" xfId="551" xr:uid="{2B4E100F-A2D9-40B7-B363-6468FB1B657A}"/>
    <cellStyle name="Comma 10 7 13" xfId="552" xr:uid="{FC5464A1-1A39-4AFB-84BC-3D6ACC8CAD2A}"/>
    <cellStyle name="Comma 10 7 14" xfId="553" xr:uid="{FE9FDD1E-9FC2-4D51-B384-90E29E78062E}"/>
    <cellStyle name="Comma 10 7 15" xfId="554" xr:uid="{42C9A81E-018D-4459-B3CA-81E262A4A89F}"/>
    <cellStyle name="Comma 10 7 16" xfId="555" xr:uid="{96956C14-9E42-4F9E-8717-674E92B74119}"/>
    <cellStyle name="Comma 10 7 17" xfId="556" xr:uid="{455A0514-E189-49C9-814C-2B47A85DB1F9}"/>
    <cellStyle name="Comma 10 7 2" xfId="557" xr:uid="{A60D9182-17A2-40C9-B4E9-9B4CAA3BC00B}"/>
    <cellStyle name="Comma 10 7 3" xfId="558" xr:uid="{83175707-1812-495E-8AB1-2BCF2D86FF13}"/>
    <cellStyle name="Comma 10 7 4" xfId="559" xr:uid="{155803A9-A91A-4EEB-A7EE-8F5050AB4D3A}"/>
    <cellStyle name="Comma 10 7 5" xfId="560" xr:uid="{320CDADE-13EF-4FAF-A550-31CED708FE13}"/>
    <cellStyle name="Comma 10 7 6" xfId="561" xr:uid="{C80A81D3-642D-42E0-9B18-A1F2FCAAE7CF}"/>
    <cellStyle name="Comma 10 7 7" xfId="562" xr:uid="{897A5FC9-7AD5-4DE1-881F-7B388C3ABE2B}"/>
    <cellStyle name="Comma 10 7 8" xfId="563" xr:uid="{A9DB80B2-49E6-4116-B256-9FBB02D9367F}"/>
    <cellStyle name="Comma 10 7 9" xfId="564" xr:uid="{1431F268-865B-441D-BF2F-A69CEB0F0D8B}"/>
    <cellStyle name="Comma 10 8" xfId="565" xr:uid="{F602FD24-6172-41B2-B29D-E96B689F83A0}"/>
    <cellStyle name="Comma 10 8 10" xfId="566" xr:uid="{DA8F0FBE-B10F-46FD-B3E5-6FA12ADA4AC0}"/>
    <cellStyle name="Comma 10 8 11" xfId="567" xr:uid="{7587A6FF-A655-4A33-9978-35D7C31F4D69}"/>
    <cellStyle name="Comma 10 8 12" xfId="568" xr:uid="{D99BDD27-9257-41F0-AF4B-840BC71F9D25}"/>
    <cellStyle name="Comma 10 8 13" xfId="569" xr:uid="{94AAB079-AE50-48CA-AC9B-0E77DE4AB2E6}"/>
    <cellStyle name="Comma 10 8 14" xfId="570" xr:uid="{70B27AE3-1A86-4259-A35A-4095829052DF}"/>
    <cellStyle name="Comma 10 8 15" xfId="571" xr:uid="{408E5C96-FE47-402C-8467-93DD96C34FE5}"/>
    <cellStyle name="Comma 10 8 16" xfId="572" xr:uid="{08E0C6F6-19D4-4A95-8505-B644C0EC440A}"/>
    <cellStyle name="Comma 10 8 17" xfId="573" xr:uid="{B15630DB-E452-4CCF-A955-51C7B8D6087F}"/>
    <cellStyle name="Comma 10 8 2" xfId="574" xr:uid="{7853406A-A78D-4DFE-94AA-CC93406430C8}"/>
    <cellStyle name="Comma 10 8 3" xfId="575" xr:uid="{5083748A-14FD-4B8E-A15E-42E19AE71C37}"/>
    <cellStyle name="Comma 10 8 4" xfId="576" xr:uid="{009D47F4-3EA6-4EE3-B00E-943786AF585D}"/>
    <cellStyle name="Comma 10 8 5" xfId="577" xr:uid="{D026711B-95E8-414F-9213-4A09EC56E37A}"/>
    <cellStyle name="Comma 10 8 6" xfId="578" xr:uid="{F14695C4-C01B-4D99-9988-C6ADFCF11D9C}"/>
    <cellStyle name="Comma 10 8 7" xfId="579" xr:uid="{5A1C5A9B-FBB7-48DC-9829-6EAD0328F718}"/>
    <cellStyle name="Comma 10 8 8" xfId="580" xr:uid="{E9A5E036-E14A-4C2A-89F4-7D86FC5492B1}"/>
    <cellStyle name="Comma 10 8 9" xfId="581" xr:uid="{8E95A146-62D0-41CB-A919-B47E6B033345}"/>
    <cellStyle name="Comma 2" xfId="10" xr:uid="{0E115E46-B7D0-4FC1-A220-96B967F76E01}"/>
    <cellStyle name="Comma 2 10" xfId="582" xr:uid="{0D969307-4638-48A1-9A77-41C8D0D30EA5}"/>
    <cellStyle name="Comma 2 11" xfId="583" xr:uid="{30EDDC41-300D-469A-979E-31FA9EFD4E78}"/>
    <cellStyle name="Comma 2 12" xfId="584" xr:uid="{7159367D-3118-41CC-89CF-922BAB3C70BC}"/>
    <cellStyle name="Comma 2 13" xfId="585" xr:uid="{843A1433-2EAF-43F3-A223-B7B85441528C}"/>
    <cellStyle name="Comma 2 14" xfId="586" xr:uid="{D4CBAD61-27F4-4948-A382-42FB20DB3957}"/>
    <cellStyle name="Comma 2 15" xfId="587" xr:uid="{2DF88321-03A8-4637-978B-906D78153F1D}"/>
    <cellStyle name="Comma 2 16" xfId="588" xr:uid="{20AC85FB-69C2-430E-B0D0-6E8DAC62EEB6}"/>
    <cellStyle name="Comma 2 17" xfId="1679" xr:uid="{AA0F0E47-A82B-4877-AD22-A18DACC944CF}"/>
    <cellStyle name="Comma 2 2" xfId="14" xr:uid="{D2B70020-FAC1-46B9-B22D-5CAF548179AC}"/>
    <cellStyle name="Comma 2 2 2" xfId="589" xr:uid="{58281C50-6AF9-43BB-91F1-1FEA4A387AEF}"/>
    <cellStyle name="Comma 2 3" xfId="15" xr:uid="{1684DEA8-C01D-454C-82AF-7ADA96868629}"/>
    <cellStyle name="Comma 2 3 2" xfId="590" xr:uid="{F29C6B7E-10C6-481F-AAC3-BAB89CD4C0EF}"/>
    <cellStyle name="Comma 2 4" xfId="591" xr:uid="{A476C7EA-E55C-45A7-95DE-7A90DA59CE0B}"/>
    <cellStyle name="Comma 2 5" xfId="592" xr:uid="{91E91799-F512-42DA-9A00-7D80505B1124}"/>
    <cellStyle name="Comma 2 6" xfId="593" xr:uid="{34AA8FE4-573F-4789-BEB9-D5C07B5819B3}"/>
    <cellStyle name="Comma 2 7" xfId="594" xr:uid="{0F013B90-08CC-4B7C-B8CA-8ABEB0987EE4}"/>
    <cellStyle name="Comma 2 8" xfId="595" xr:uid="{E425FA52-09B2-42D7-BBA3-10999CDF491E}"/>
    <cellStyle name="Comma 2 9" xfId="596" xr:uid="{DDEFD89C-69AD-46F3-8C2D-AF948E9D21A4}"/>
    <cellStyle name="Comma 3" xfId="16" xr:uid="{89442CFC-4647-469E-9523-5BE836E6615D}"/>
    <cellStyle name="Comma 3 2" xfId="598" xr:uid="{76BBAC33-17E4-450D-9E52-3CFD523B072A}"/>
    <cellStyle name="Comma 3 3" xfId="599" xr:uid="{DB2C04CA-D8AC-43AD-A3CF-711229A39D73}"/>
    <cellStyle name="Comma 3 4" xfId="600" xr:uid="{50947EFD-8311-4075-B8B3-B50AB9E05AFF}"/>
    <cellStyle name="Comma 3 5" xfId="601" xr:uid="{6DE4BE7E-D71B-4079-9DB0-F744ACC7D4D1}"/>
    <cellStyle name="Comma 3 6" xfId="602" xr:uid="{CC88F2A0-8176-4DE5-8B1B-BB333A4E3E73}"/>
    <cellStyle name="Comma 3 7" xfId="603" xr:uid="{4AB2C6E9-79B9-4ED8-9090-7B625DD21080}"/>
    <cellStyle name="Comma 3 8" xfId="604" xr:uid="{B34757D7-552F-458D-925B-F69827148EE9}"/>
    <cellStyle name="Comma 3 9" xfId="597" xr:uid="{5D5DD3ED-DC41-46E6-95C8-C5AB41706458}"/>
    <cellStyle name="Comma 4" xfId="56" xr:uid="{EB76B039-3B36-4BA8-B399-79E3810E2A6A}"/>
    <cellStyle name="Comma 4 2" xfId="606" xr:uid="{00F2735A-6BB5-4DDB-A846-794FA3E1D164}"/>
    <cellStyle name="Comma 4 3" xfId="607" xr:uid="{3C8693B5-76E2-4768-AA11-1C2EDA29D95B}"/>
    <cellStyle name="Comma 4 4" xfId="608" xr:uid="{A24D206C-34AF-44B0-A4D7-BCE271A0F42C}"/>
    <cellStyle name="Comma 4 5" xfId="609" xr:uid="{5AE5C43B-DE21-439E-BDD2-AFE0C5FD33B1}"/>
    <cellStyle name="Comma 4 6" xfId="610" xr:uid="{D7FD5C89-96DA-483E-B65D-3B4645C01E98}"/>
    <cellStyle name="Comma 4 7" xfId="611" xr:uid="{BF5F7CEC-67F7-485E-8F79-411917270700}"/>
    <cellStyle name="Comma 4 8" xfId="612" xr:uid="{6B8DDC3B-41F3-41C6-9F20-D17316C182FC}"/>
    <cellStyle name="Comma 4 9" xfId="605" xr:uid="{6A576076-4DAB-4E7A-82A5-2125449E8E23}"/>
    <cellStyle name="Comma 5" xfId="5" xr:uid="{8ADFB719-C353-42CE-A437-E50CBCACC909}"/>
    <cellStyle name="Comma 5 2" xfId="614" xr:uid="{F102C79C-1179-4C3A-A098-8E43F868F512}"/>
    <cellStyle name="Comma 5 3" xfId="615" xr:uid="{F27042AC-2876-453C-9DA8-8B4B4750E8B7}"/>
    <cellStyle name="Comma 5 4" xfId="616" xr:uid="{DD8D9A61-A3F2-4708-B8CF-26960BBE4421}"/>
    <cellStyle name="Comma 5 5" xfId="617" xr:uid="{820D5510-9E1E-4D33-BD39-C192DB296AC6}"/>
    <cellStyle name="Comma 5 6" xfId="618" xr:uid="{5D7373E1-7028-4BCF-A4C4-6BF224BE9C83}"/>
    <cellStyle name="Comma 5 7" xfId="619" xr:uid="{CA6FAD6A-14E5-42F3-BD55-7959050ED5F7}"/>
    <cellStyle name="Comma 5 8" xfId="620" xr:uid="{3B67F6F2-A5EE-4155-843E-B92E82A544E9}"/>
    <cellStyle name="Comma 5 9" xfId="613" xr:uid="{73A62320-ED47-43F7-93CC-30786B2CBAAB}"/>
    <cellStyle name="Comma 6" xfId="621" xr:uid="{BF1768E5-52A9-4A35-96AF-32EEC1CF14BC}"/>
    <cellStyle name="Comma 6 2" xfId="622" xr:uid="{0B53EF61-B7D4-4635-8355-07F62EAAC64E}"/>
    <cellStyle name="Comma 6 3" xfId="623" xr:uid="{2B9B05BB-9F65-4821-906F-DFE93EBD46D2}"/>
    <cellStyle name="Comma 6 4" xfId="624" xr:uid="{44B9D396-D138-4C29-8C47-390C72BD0FA8}"/>
    <cellStyle name="Comma 6 5" xfId="625" xr:uid="{D97E3287-59F9-4960-BF80-B772F380DB2F}"/>
    <cellStyle name="Comma 6 6" xfId="626" xr:uid="{7C7B5664-5C61-42D4-B1B2-6693087D1AC0}"/>
    <cellStyle name="Comma 6 7" xfId="627" xr:uid="{1B7E0E82-327D-4F92-A645-22DA00A697B3}"/>
    <cellStyle name="Comma 6 8" xfId="628" xr:uid="{FFE8CA13-1CF2-489E-A351-4D2168F64119}"/>
    <cellStyle name="Comma 7" xfId="629" xr:uid="{2AA8C357-AF7E-477A-BF59-406FEB534B33}"/>
    <cellStyle name="Comma 7 10" xfId="630" xr:uid="{7CD5E28E-E782-4D01-8860-E012CDF3943D}"/>
    <cellStyle name="Comma 7 11" xfId="631" xr:uid="{66732DE7-A5C9-4D21-9DB3-CFA9902044A7}"/>
    <cellStyle name="Comma 7 12" xfId="632" xr:uid="{7D7897FC-7BE0-4E19-A3D1-C09193B0CC20}"/>
    <cellStyle name="Comma 7 13" xfId="633" xr:uid="{8739E615-E4F5-49F2-8142-EF34DA636623}"/>
    <cellStyle name="Comma 7 14" xfId="634" xr:uid="{3FADDA45-C059-40F4-8C60-4A096776C21F}"/>
    <cellStyle name="Comma 7 15" xfId="635" xr:uid="{1453B126-1DDA-40C8-8BCF-EF33B46B90B0}"/>
    <cellStyle name="Comma 7 16" xfId="636" xr:uid="{E1E8220E-68FC-41B4-B820-B71CDD5CB4BC}"/>
    <cellStyle name="Comma 7 17" xfId="637" xr:uid="{D2D5B42E-9835-489C-A6EA-29B818C18C8A}"/>
    <cellStyle name="Comma 7 18" xfId="638" xr:uid="{FE18CB22-00AA-4913-AEC2-CC43AC159A97}"/>
    <cellStyle name="Comma 7 19" xfId="639" xr:uid="{8AF1BDF2-699F-492B-848A-4D59C639C9A3}"/>
    <cellStyle name="Comma 7 2" xfId="640" xr:uid="{D70F33B5-CEBF-4F1D-BE96-16256160A473}"/>
    <cellStyle name="Comma 7 20" xfId="641" xr:uid="{7182A067-BD04-4277-9549-D2E5DA4EF1F5}"/>
    <cellStyle name="Comma 7 21" xfId="642" xr:uid="{EA69CA8A-793A-42E4-9545-12E1DBC19BF4}"/>
    <cellStyle name="Comma 7 3" xfId="643" xr:uid="{048220F7-552A-4B41-B9F3-79ECEE7846AC}"/>
    <cellStyle name="Comma 7 3 10" xfId="644" xr:uid="{68323501-7F3E-4DB4-B5CC-D0FCC0A32D8C}"/>
    <cellStyle name="Comma 7 3 11" xfId="645" xr:uid="{CE761B5A-DA6B-4588-BF86-CCA2F7D8D1BE}"/>
    <cellStyle name="Comma 7 3 12" xfId="646" xr:uid="{FD66E32B-3642-48C4-A3FE-3AF2A449B76F}"/>
    <cellStyle name="Comma 7 3 13" xfId="647" xr:uid="{2239FB53-4BF3-4011-97C0-9F0A16E312E4}"/>
    <cellStyle name="Comma 7 3 14" xfId="648" xr:uid="{FD252F23-CC7C-458B-97B2-BD046C80D691}"/>
    <cellStyle name="Comma 7 3 15" xfId="649" xr:uid="{CFFBC38C-CC80-4254-A191-21DA4E513F1F}"/>
    <cellStyle name="Comma 7 3 2" xfId="650" xr:uid="{663E2637-CC81-4506-A247-CF8D0882ED90}"/>
    <cellStyle name="Comma 7 3 3" xfId="651" xr:uid="{E29007AB-E360-406D-B9AB-00AE3CB790C8}"/>
    <cellStyle name="Comma 7 3 4" xfId="652" xr:uid="{1453F35C-3950-4743-AC8F-6B74D78FA0CC}"/>
    <cellStyle name="Comma 7 3 5" xfId="653" xr:uid="{340E9EE3-C432-4839-B8E5-87E54E673CC5}"/>
    <cellStyle name="Comma 7 3 6" xfId="654" xr:uid="{7678219C-15EA-4DB2-AFD8-8BFDFC78F933}"/>
    <cellStyle name="Comma 7 3 7" xfId="655" xr:uid="{74C1F940-EC6B-4ACF-9734-C64F79C05586}"/>
    <cellStyle name="Comma 7 3 8" xfId="656" xr:uid="{8A3F2FEA-B4F1-474B-A4E4-13BE83033462}"/>
    <cellStyle name="Comma 7 3 9" xfId="657" xr:uid="{F2E18287-0E24-4432-AA0F-C557587D74BB}"/>
    <cellStyle name="Comma 7 4" xfId="658" xr:uid="{B91814A3-192E-4955-8810-ABC843402EF6}"/>
    <cellStyle name="Comma 7 5" xfId="659" xr:uid="{67C935B5-CF17-4BAF-AEA2-9D24F1D9568C}"/>
    <cellStyle name="Comma 7 6" xfId="660" xr:uid="{D4195BF4-D397-4002-A4D8-B1E8DE6B68A3}"/>
    <cellStyle name="Comma 7 7" xfId="661" xr:uid="{27C0D874-C536-42F5-8BD4-D656AB03EC6D}"/>
    <cellStyle name="Comma 7 8" xfId="662" xr:uid="{9F551F1E-8B35-4AD8-A9E3-521386598C4D}"/>
    <cellStyle name="Comma 7 9" xfId="663" xr:uid="{A0F0CDA3-D061-4F8F-B84D-14B5B1F20E1D}"/>
    <cellStyle name="Comma 8" xfId="664" xr:uid="{DD6B5830-CE85-44B4-B3F2-341B4B3480D7}"/>
    <cellStyle name="Comma 8 2" xfId="665" xr:uid="{EC3A2B99-D182-465F-82C1-C66378AF7970}"/>
    <cellStyle name="Comma 8 3" xfId="666" xr:uid="{B964AA4B-56F7-401F-9DA9-67C149C54678}"/>
    <cellStyle name="Comma 8 4" xfId="667" xr:uid="{DC23E85D-166C-437A-8216-1BB05792BA41}"/>
    <cellStyle name="Comma 8 5" xfId="668" xr:uid="{73334502-43EB-4256-9939-2DA7D530291C}"/>
    <cellStyle name="Comma 8 6" xfId="669" xr:uid="{92217C00-8A9E-4AB5-9234-4B105DC9F8E9}"/>
    <cellStyle name="Comma 8 7" xfId="670" xr:uid="{0DF1573C-102A-4A6E-A417-BEF7BC62D932}"/>
    <cellStyle name="Comma 8 8" xfId="671" xr:uid="{56BE62AF-AC29-4BFF-8971-028F0D853216}"/>
    <cellStyle name="Comma 9 2" xfId="672" xr:uid="{CF3AF23B-3325-4ABC-88AA-AD88AD8F8950}"/>
    <cellStyle name="Comma 9 3" xfId="673" xr:uid="{F748DE35-6264-4CE0-92F8-F4B1B26314F2}"/>
    <cellStyle name="Comma 9 4" xfId="674" xr:uid="{ACABDB1C-EE4A-4AFF-9B9D-469C6D99211C}"/>
    <cellStyle name="Comma 9 5" xfId="675" xr:uid="{C9D16921-3566-40FA-A2D4-B0469DB050AC}"/>
    <cellStyle name="Comma 9 6" xfId="676" xr:uid="{FBA9B2A9-ABEC-4288-A1B1-1C2D0DD90BF0}"/>
    <cellStyle name="Comma 9 7" xfId="677" xr:uid="{C7A3E336-8AA0-48BB-9FD9-67731B4251DB}"/>
    <cellStyle name="Comma 9 8" xfId="678" xr:uid="{1740C91F-7BF6-42E0-91B3-4EB065CF35D9}"/>
    <cellStyle name="Comma 9 9" xfId="679" xr:uid="{2E2EDE0C-A2C4-47C7-9900-63E8397E9E5A}"/>
    <cellStyle name="Currency 2 2" xfId="680" xr:uid="{95A6084A-9763-4AD9-B0B7-001152C3C411}"/>
    <cellStyle name="Euro" xfId="681" xr:uid="{1B8646D8-7460-48C2-98C8-746C07153D88}"/>
    <cellStyle name="Euro 2" xfId="682" xr:uid="{F0065FF4-21D7-43BE-A414-312713BEB118}"/>
    <cellStyle name="Euro 2 2" xfId="683" xr:uid="{E118F510-4BD8-4DE2-B246-1F3FC8C1C501}"/>
    <cellStyle name="Euro 2 2 2" xfId="684" xr:uid="{000D22FF-85BC-4C63-9520-4A77D8C8D8A1}"/>
    <cellStyle name="Explanatory Text 2" xfId="31" xr:uid="{BD293568-0570-4A0B-8869-78722C1C0AA5}"/>
    <cellStyle name="Explanatory Text 2 10" xfId="685" xr:uid="{8DEFEA72-9419-47F9-8BA7-7992219C5529}"/>
    <cellStyle name="Explanatory Text 2 2" xfId="686" xr:uid="{7B6F94CA-C359-46FE-9967-312F8298B256}"/>
    <cellStyle name="Explanatory Text 2 3" xfId="687" xr:uid="{3E08B395-1C2B-464F-A44A-BBAFD84ED2DC}"/>
    <cellStyle name="Explanatory Text 2 4" xfId="688" xr:uid="{6AFCA3A3-4338-42A9-88C5-5065CD43AC73}"/>
    <cellStyle name="Explanatory Text 2 5" xfId="689" xr:uid="{361061E6-4CE3-4676-8C72-A6753742774A}"/>
    <cellStyle name="Explanatory Text 2 6" xfId="690" xr:uid="{B6CCF43A-60B7-493A-8CB2-D73B48A3458F}"/>
    <cellStyle name="Explanatory Text 2 7" xfId="691" xr:uid="{19AD8637-0E9D-44F0-9BE1-186CBE92C997}"/>
    <cellStyle name="Explanatory Text 2 8" xfId="692" xr:uid="{AD870658-5F1F-4B86-94E9-958B7449562B}"/>
    <cellStyle name="Explanatory Text 2 9" xfId="693" xr:uid="{FE1794F2-D9A7-436C-BA7C-B3C7252C489E}"/>
    <cellStyle name="Explanatory Text 3" xfId="694" xr:uid="{39A1D071-093C-482D-9756-53AC6EAD6E18}"/>
    <cellStyle name="Good 2" xfId="22" xr:uid="{2EFFD2A4-92C8-4708-8DC7-0A8BC4695734}"/>
    <cellStyle name="Good 2 10" xfId="695" xr:uid="{9B5418F7-2FEA-4615-BC13-5C03F7EF3C41}"/>
    <cellStyle name="Good 2 2" xfId="696" xr:uid="{FB89642E-C3D8-4BBA-B3A9-6F164C4231BA}"/>
    <cellStyle name="Good 2 3" xfId="697" xr:uid="{95947C66-6B46-4442-973F-13662EA3119B}"/>
    <cellStyle name="Good 2 4" xfId="698" xr:uid="{0F05D055-1B3B-4FCC-90ED-646D0B7837A0}"/>
    <cellStyle name="Good 2 5" xfId="699" xr:uid="{74404C00-96DD-4AB5-951C-4DFB7EB69E91}"/>
    <cellStyle name="Good 2 6" xfId="700" xr:uid="{EBB9335E-2AB1-4437-8430-244B4668D15A}"/>
    <cellStyle name="Good 2 7" xfId="701" xr:uid="{9AAB9CF7-7DC3-4859-9439-249755446C5D}"/>
    <cellStyle name="Good 2 8" xfId="702" xr:uid="{DC161760-0DC1-499E-8BA3-6C2DE06FE856}"/>
    <cellStyle name="Good 2 9" xfId="703" xr:uid="{90E0601F-12BF-44E5-A135-447975CAA658}"/>
    <cellStyle name="Good 3" xfId="704" xr:uid="{1460FB82-88FF-4531-92A4-E60A28547ABF}"/>
    <cellStyle name="Heading 1 2" xfId="18" xr:uid="{3DFEE4E3-57E5-4472-B82A-372C630BA3F8}"/>
    <cellStyle name="Heading 1 2 10" xfId="705" xr:uid="{33FF0CA1-8999-4DB8-947C-C66F6FB7CBAE}"/>
    <cellStyle name="Heading 1 2 2" xfId="706" xr:uid="{EA407430-CA14-4B81-A521-654CB48406AC}"/>
    <cellStyle name="Heading 1 2 3" xfId="707" xr:uid="{0505B280-FDDB-4C65-86A8-FF66528AF83C}"/>
    <cellStyle name="Heading 1 2 4" xfId="708" xr:uid="{01B263C7-70C1-4C50-85EF-6ED46E3BEAA3}"/>
    <cellStyle name="Heading 1 2 5" xfId="709" xr:uid="{CFDB872A-A1EA-4110-B8DB-F15BAA5C6D7E}"/>
    <cellStyle name="Heading 1 2 6" xfId="710" xr:uid="{4422EFF8-B2DE-480A-9CEB-DA83814A8200}"/>
    <cellStyle name="Heading 1 2 7" xfId="711" xr:uid="{5F8ABD85-AB71-4762-9A24-C200AD84D8E3}"/>
    <cellStyle name="Heading 1 2 8" xfId="712" xr:uid="{E80AD56B-BD2C-4D08-B44C-E79B7AF6B749}"/>
    <cellStyle name="Heading 1 2 9" xfId="713" xr:uid="{F950EB92-4781-4A09-9E68-102D89D3512E}"/>
    <cellStyle name="Heading 1 3" xfId="714" xr:uid="{10B2F0B1-A7CF-4DBB-A54E-7003BA48C3BF}"/>
    <cellStyle name="Heading 2 2" xfId="19" xr:uid="{0496AA8C-43E9-495A-A81D-900FBE359C69}"/>
    <cellStyle name="Heading 2 2 10" xfId="715" xr:uid="{F6C84EEC-E69A-4741-924E-BD7D1CEF4D9B}"/>
    <cellStyle name="Heading 2 2 2" xfId="716" xr:uid="{72540A1A-A392-49C1-A74C-05BB45387C83}"/>
    <cellStyle name="Heading 2 2 3" xfId="717" xr:uid="{B985ABB3-E37F-41E2-A151-7FFA1AA29447}"/>
    <cellStyle name="Heading 2 2 4" xfId="718" xr:uid="{F076356D-A5EE-4DFD-A445-77E520809DA5}"/>
    <cellStyle name="Heading 2 2 5" xfId="719" xr:uid="{98FEAD51-B51A-4631-8544-298D2F2E12DC}"/>
    <cellStyle name="Heading 2 2 6" xfId="720" xr:uid="{2A6C77B4-BC85-43E5-B5DD-1B2AF8F30B2D}"/>
    <cellStyle name="Heading 2 2 7" xfId="721" xr:uid="{B3E196F8-EFD9-4B4E-8EB7-9C98FF14194F}"/>
    <cellStyle name="Heading 2 2 8" xfId="722" xr:uid="{64A17A46-1E32-4E1E-AFFC-E75128F7D1CC}"/>
    <cellStyle name="Heading 2 2 9" xfId="723" xr:uid="{B1928CF0-0379-4478-8EDB-68CC8CB4534F}"/>
    <cellStyle name="Heading 2 3" xfId="724" xr:uid="{44DE50BB-8219-4FF2-A266-D7C360457CCB}"/>
    <cellStyle name="Heading 3 2" xfId="20" xr:uid="{3C781DE3-3599-4CC6-94D6-7EE6CE272477}"/>
    <cellStyle name="Heading 3 2 10" xfId="725" xr:uid="{D11F713F-4785-4054-9AB4-B797E9B623BC}"/>
    <cellStyle name="Heading 3 2 2" xfId="726" xr:uid="{22FF980F-9059-4FD1-8C62-108C25259CE5}"/>
    <cellStyle name="Heading 3 2 3" xfId="727" xr:uid="{17189E5C-6244-45D0-A27E-2518CD851B17}"/>
    <cellStyle name="Heading 3 2 4" xfId="728" xr:uid="{E78B0353-2549-410A-9B79-19060A39B308}"/>
    <cellStyle name="Heading 3 2 5" xfId="729" xr:uid="{1E80EFB0-27A6-4DC1-8665-B961F993FE5B}"/>
    <cellStyle name="Heading 3 2 6" xfId="730" xr:uid="{6D5FC17D-01C3-44AB-9485-5DE5C21FB25E}"/>
    <cellStyle name="Heading 3 2 7" xfId="731" xr:uid="{5B6C898F-4BF2-4F04-926D-B4BA0312FFC0}"/>
    <cellStyle name="Heading 3 2 8" xfId="732" xr:uid="{350870FB-692E-4CB6-9303-F4A209AD2DD6}"/>
    <cellStyle name="Heading 3 2 9" xfId="733" xr:uid="{2FB0FFA1-2141-430E-9625-BB5172924869}"/>
    <cellStyle name="Heading 3 3" xfId="734" xr:uid="{445DD77D-F495-423E-9D88-CD76AF4D0E01}"/>
    <cellStyle name="Heading 4 2" xfId="21" xr:uid="{1DD214B1-AEEA-4813-8225-60300C06E540}"/>
    <cellStyle name="Heading 4 2 10" xfId="735" xr:uid="{B9A3B780-E6D9-423C-8263-5CDD3F9A55F1}"/>
    <cellStyle name="Heading 4 2 2" xfId="736" xr:uid="{2AF2582B-7E00-41A5-B9D7-ABC19906DAE8}"/>
    <cellStyle name="Heading 4 2 3" xfId="737" xr:uid="{61FD029D-6A01-4F97-BC1E-959DD84B101E}"/>
    <cellStyle name="Heading 4 2 4" xfId="738" xr:uid="{B916E4BB-888D-45F7-A576-3EC0BA2F8C18}"/>
    <cellStyle name="Heading 4 2 5" xfId="739" xr:uid="{FBE37081-1C23-4C38-B674-D6C1EA6B7ECA}"/>
    <cellStyle name="Heading 4 2 6" xfId="740" xr:uid="{8629CE2C-04E8-4F82-BC6C-9FE0B758E13B}"/>
    <cellStyle name="Heading 4 2 7" xfId="741" xr:uid="{4C3B1472-C646-41CC-BD00-92AC47CE8204}"/>
    <cellStyle name="Heading 4 2 8" xfId="742" xr:uid="{D45FBFF6-B4C6-4612-8B5A-7218E0A429E9}"/>
    <cellStyle name="Heading 4 2 9" xfId="743" xr:uid="{0CA7FDCE-ACAB-4B79-BE3B-F7DE231A1F5F}"/>
    <cellStyle name="Heading 4 3" xfId="744" xr:uid="{AB1FE60D-2E21-40FF-9F08-8CE8CDB77463}"/>
    <cellStyle name="Hyperlink" xfId="3" builtinId="8"/>
    <cellStyle name="Input 2" xfId="25" xr:uid="{A4AB368D-791A-4BD8-9359-1EAED11788F9}"/>
    <cellStyle name="Input 2 10" xfId="745" xr:uid="{AC0A92BE-5C2E-429E-9D02-CEA9EAAABB00}"/>
    <cellStyle name="Input 2 2" xfId="746" xr:uid="{453FF799-601C-4C60-BB6F-5D526E5B354E}"/>
    <cellStyle name="Input 2 3" xfId="747" xr:uid="{FCD0AD14-95B5-460D-92F5-70127A0A172C}"/>
    <cellStyle name="Input 2 4" xfId="748" xr:uid="{B23C3A0F-9E39-4714-A961-D5EF375148FC}"/>
    <cellStyle name="Input 2 5" xfId="749" xr:uid="{AA00C324-4BBA-4074-BA44-28B5C17B184B}"/>
    <cellStyle name="Input 2 6" xfId="750" xr:uid="{787AC3C1-9662-47D7-AD85-1EE4CD86DD44}"/>
    <cellStyle name="Input 2 7" xfId="751" xr:uid="{FAB08B29-FB47-49BF-8161-3F6520188A69}"/>
    <cellStyle name="Input 2 8" xfId="752" xr:uid="{5744C10B-8931-4514-81FC-4E21BE7E7ECB}"/>
    <cellStyle name="Input 2 9" xfId="753" xr:uid="{39641C8E-94DE-4233-BD45-D7ED46072FA2}"/>
    <cellStyle name="Input 3" xfId="754" xr:uid="{D8CBB028-D357-4A41-8ED9-A45E40531CAC}"/>
    <cellStyle name="Linked Cell 2" xfId="28" xr:uid="{4435169C-F266-44A8-B7B3-0878139822A9}"/>
    <cellStyle name="Linked Cell 2 10" xfId="755" xr:uid="{325EDF2B-8E0F-49E1-813B-7B906FC4878F}"/>
    <cellStyle name="Linked Cell 2 2" xfId="756" xr:uid="{A38AD73D-4523-4FBF-92B3-F19C70589947}"/>
    <cellStyle name="Linked Cell 2 3" xfId="757" xr:uid="{F67267B2-7582-4C9A-9CF7-5867800DA912}"/>
    <cellStyle name="Linked Cell 2 4" xfId="758" xr:uid="{6847703D-A14F-47A6-9A39-D1A6725B4DE3}"/>
    <cellStyle name="Linked Cell 2 5" xfId="759" xr:uid="{FDFBDDF7-103A-4C92-A459-B810AFB19B74}"/>
    <cellStyle name="Linked Cell 2 6" xfId="760" xr:uid="{E2ED0F86-6A0E-4DFF-A87E-FA8BA633B3CC}"/>
    <cellStyle name="Linked Cell 2 7" xfId="761" xr:uid="{DF1BD1B7-587F-4C24-A7CE-46DFB5005DAD}"/>
    <cellStyle name="Linked Cell 2 8" xfId="762" xr:uid="{42B5AAA8-8F71-4BC3-A0F1-B979A7FF0974}"/>
    <cellStyle name="Linked Cell 2 9" xfId="763" xr:uid="{4F1282FC-2C19-4B6F-AE01-DDB5B148A66D}"/>
    <cellStyle name="Linked Cell 3" xfId="764" xr:uid="{C7CD427F-EC5D-4458-9AE0-4303E5B4497A}"/>
    <cellStyle name="Neutral 2" xfId="24" xr:uid="{4F864AD7-34C5-421E-8B85-30E268FDC5F6}"/>
    <cellStyle name="Neutral 2 10" xfId="765" xr:uid="{C1A06D21-DC56-4833-B1CF-1C07F3CACD03}"/>
    <cellStyle name="Neutral 2 2" xfId="766" xr:uid="{A040221B-759E-40BE-AFDC-212F918C0EED}"/>
    <cellStyle name="Neutral 2 3" xfId="767" xr:uid="{E502BBD1-AAAA-4235-8EB9-64EC80CFCF75}"/>
    <cellStyle name="Neutral 2 4" xfId="768" xr:uid="{36E3A2C1-F68E-44B8-BDF0-1DF242DFFE09}"/>
    <cellStyle name="Neutral 2 5" xfId="769" xr:uid="{E02FDDF4-529E-4D77-BEB9-B5E6B4DF116F}"/>
    <cellStyle name="Neutral 2 6" xfId="770" xr:uid="{C0ACF0AC-7BF0-4C60-8724-2574C773098C}"/>
    <cellStyle name="Neutral 2 7" xfId="771" xr:uid="{52E27D02-AEA6-4FBA-88FC-9DE4CD8EDF8B}"/>
    <cellStyle name="Neutral 2 8" xfId="772" xr:uid="{C1C466A5-859D-49F3-90FF-438E5271D595}"/>
    <cellStyle name="Neutral 2 9" xfId="773" xr:uid="{3E7A0532-3C85-4266-BEB4-BA3C681C9FA8}"/>
    <cellStyle name="Neutral 3" xfId="774" xr:uid="{734AE62B-33A5-478E-94F1-204D29814592}"/>
    <cellStyle name="Normal" xfId="0" builtinId="0"/>
    <cellStyle name="Normal 10" xfId="775" xr:uid="{15DB657D-8226-4F0C-8178-D8D62E02CBAF}"/>
    <cellStyle name="Normal 10 2" xfId="776" xr:uid="{CBD7AAD4-4F6C-4770-AB0F-EFCCC28A8DF7}"/>
    <cellStyle name="Normal 10 3" xfId="777" xr:uid="{36C0F47F-FE40-4746-B82D-DEAE519086E4}"/>
    <cellStyle name="Normal 10 4" xfId="778" xr:uid="{475F8F7A-A6B7-419C-8D13-E8C83AFDFD6E}"/>
    <cellStyle name="Normal 10 5" xfId="779" xr:uid="{98A103AA-C31C-4C0F-8A55-0FBB0C62E8DA}"/>
    <cellStyle name="Normal 10 6" xfId="780" xr:uid="{CA8158A3-7E52-40B5-BC54-C85254FA6152}"/>
    <cellStyle name="Normal 10 7" xfId="781" xr:uid="{0B886BE8-760C-4649-B660-6E88FA8C6634}"/>
    <cellStyle name="Normal 10 8" xfId="782" xr:uid="{84FB36B7-70E5-431A-9BAF-38365722947C}"/>
    <cellStyle name="Normal 11" xfId="783" xr:uid="{AB7E2ACD-7D0C-493B-96AA-E4A48D221543}"/>
    <cellStyle name="Normal 11 2" xfId="784" xr:uid="{351D71B3-F5F3-4754-91B1-800BF0DF8F7E}"/>
    <cellStyle name="Normal 11 3" xfId="785" xr:uid="{0CA4F68F-CFAE-4EB4-A795-81D4961AB252}"/>
    <cellStyle name="Normal 11 4" xfId="786" xr:uid="{5127FE08-EED4-4097-8819-D0736D38E76D}"/>
    <cellStyle name="Normal 11 5" xfId="787" xr:uid="{DFCDD37C-FFC8-4EED-8036-01241AACC444}"/>
    <cellStyle name="Normal 11 6" xfId="788" xr:uid="{907E6CCC-9B63-4B5A-B1D1-6B082A290442}"/>
    <cellStyle name="Normal 11 7" xfId="789" xr:uid="{B51C92B1-6471-452A-B23C-012BAD8BC5FF}"/>
    <cellStyle name="Normal 11 8" xfId="790" xr:uid="{7669B45F-1788-459A-A283-DFF1FDD4AA28}"/>
    <cellStyle name="Normal 12" xfId="791" xr:uid="{C6D5F056-B282-42B2-B794-DEC89B0A1350}"/>
    <cellStyle name="Normal 12 2" xfId="792" xr:uid="{ED26404D-233F-4F27-92AC-C90019549BA3}"/>
    <cellStyle name="Normal 12 3" xfId="793" xr:uid="{A2CA0802-B936-4C03-A46D-B445EBFB2719}"/>
    <cellStyle name="Normal 12 4" xfId="794" xr:uid="{830B0F87-56A1-4D4F-BC53-EC6FA4D50964}"/>
    <cellStyle name="Normal 12 5" xfId="795" xr:uid="{FD4E8E4D-FEF0-44A2-A630-8CA1F249DF7A}"/>
    <cellStyle name="Normal 12 6" xfId="796" xr:uid="{446E1905-6A9D-4B8A-A463-5932043434FF}"/>
    <cellStyle name="Normal 12 7" xfId="797" xr:uid="{0DDCDB4E-63DB-4EFB-B374-4850E88F6D3B}"/>
    <cellStyle name="Normal 12 8" xfId="798" xr:uid="{D195A9B3-D34E-4A0A-9DC6-05A52D771631}"/>
    <cellStyle name="Normal 13" xfId="799" xr:uid="{0665AEC8-54F3-421B-BB2E-B9ADC2E1ADB3}"/>
    <cellStyle name="Normal 13 10" xfId="800" xr:uid="{C0DDA0C9-6CDC-4121-ACBD-A3A2C8830716}"/>
    <cellStyle name="Normal 13 11" xfId="801" xr:uid="{542245BE-2E93-4227-95C6-C318BE86873A}"/>
    <cellStyle name="Normal 13 12" xfId="802" xr:uid="{6D5EC3DE-1D6C-44D3-B13B-F6122D8DDD75}"/>
    <cellStyle name="Normal 13 13" xfId="803" xr:uid="{1FCB87E6-4CAF-44D7-A1A4-DEFDBE980FEF}"/>
    <cellStyle name="Normal 13 14" xfId="804" xr:uid="{8B708F3E-8EF1-4B15-85DC-972BBA45D338}"/>
    <cellStyle name="Normal 13 15" xfId="805" xr:uid="{930A49B1-3185-4E95-B7AB-AC7D46D97D66}"/>
    <cellStyle name="Normal 13 16" xfId="806" xr:uid="{8712547D-7087-4293-9E5D-BE544C099261}"/>
    <cellStyle name="Normal 13 17" xfId="807" xr:uid="{3537C5BA-0116-43DF-8DCA-30234D50716C}"/>
    <cellStyle name="Normal 13 18" xfId="808" xr:uid="{7C058E12-B09D-46A1-83D9-3B9C0AED2426}"/>
    <cellStyle name="Normal 13 19" xfId="809" xr:uid="{19BC2A81-E61A-479F-AB8F-41FBF2CF398C}"/>
    <cellStyle name="Normal 13 2" xfId="810" xr:uid="{7D71241E-5788-4BC5-929D-C644EEFED524}"/>
    <cellStyle name="Normal 13 2 2" xfId="811" xr:uid="{E52CFA16-FC4E-4E09-9163-62EBB61DFE99}"/>
    <cellStyle name="Normal 13 2 3" xfId="812" xr:uid="{F9552DAE-8824-4698-BF83-59177BCB00CC}"/>
    <cellStyle name="Normal 13 2 4" xfId="813" xr:uid="{599E0523-2E3F-489C-BA7A-FA4B19CAFE81}"/>
    <cellStyle name="Normal 13 2 5" xfId="814" xr:uid="{6AD50570-FB70-4CA0-863A-0396298684EE}"/>
    <cellStyle name="Normal 13 2 6" xfId="815" xr:uid="{CB5AD9EE-A5F4-4BF9-AA6C-74BE88332788}"/>
    <cellStyle name="Normal 13 2 7" xfId="816" xr:uid="{A87537D1-56D2-4EFE-BF72-78D538B37C5E}"/>
    <cellStyle name="Normal 13 2 8" xfId="817" xr:uid="{73C710BA-9494-44AB-838F-16BFC1C8FD19}"/>
    <cellStyle name="Normal 13 20" xfId="818" xr:uid="{87EE7F78-A396-4FDB-A526-45590113EE6A}"/>
    <cellStyle name="Normal 13 21" xfId="819" xr:uid="{8D20A7D7-CF0E-428B-BFE6-EE0F24480BFA}"/>
    <cellStyle name="Normal 13 22" xfId="820" xr:uid="{CB6CD918-73E5-4A17-A999-BE609BE127E8}"/>
    <cellStyle name="Normal 13 23" xfId="821" xr:uid="{2C0C9896-70C6-4806-9375-4610770F705C}"/>
    <cellStyle name="Normal 13 24" xfId="822" xr:uid="{9B1B51D7-89C6-4143-AC2B-4B51FCA63957}"/>
    <cellStyle name="Normal 13 25" xfId="823" xr:uid="{38B31302-F861-42D4-8436-7DDCE7193EAA}"/>
    <cellStyle name="Normal 13 26" xfId="824" xr:uid="{B9C472EF-553E-471E-9738-16F4D45819F8}"/>
    <cellStyle name="Normal 13 27" xfId="825" xr:uid="{74FC5F42-25D8-4ADF-A6F2-286745122D1C}"/>
    <cellStyle name="Normal 13 28" xfId="826" xr:uid="{34245933-9883-4E6A-819B-300A41F2EDFD}"/>
    <cellStyle name="Normal 13 29" xfId="827" xr:uid="{3DE3EC03-A665-4B6F-9831-DA9601B1AB93}"/>
    <cellStyle name="Normal 13 3" xfId="828" xr:uid="{85206422-A01F-4B36-9495-E9CE92CB4381}"/>
    <cellStyle name="Normal 13 30" xfId="829" xr:uid="{5B80CD58-70D1-4568-B0F9-C5FF75578FA6}"/>
    <cellStyle name="Normal 13 31" xfId="830" xr:uid="{AEF86013-929E-494E-B707-7DBF960E27CB}"/>
    <cellStyle name="Normal 13 32" xfId="831" xr:uid="{43668B6A-0843-438A-BB5C-D4CE38E50DA7}"/>
    <cellStyle name="Normal 13 33" xfId="832" xr:uid="{10F1DC55-2674-435A-BA50-F0939BF64E6D}"/>
    <cellStyle name="Normal 13 34" xfId="833" xr:uid="{6473B24B-2A9C-4E35-88A1-3ADE7893E412}"/>
    <cellStyle name="Normal 13 35" xfId="834" xr:uid="{B2D1294A-B706-42CF-A42C-8B6B44128194}"/>
    <cellStyle name="Normal 13 36" xfId="835" xr:uid="{1B4562D5-E6D6-40F4-B4C7-AD6079E6B6C3}"/>
    <cellStyle name="Normal 13 37" xfId="836" xr:uid="{77FE44E7-78C6-470A-B169-497A67A6BFE6}"/>
    <cellStyle name="Normal 13 38" xfId="837" xr:uid="{1E3637D9-F716-4C25-AE7B-264B186C1D74}"/>
    <cellStyle name="Normal 13 4" xfId="838" xr:uid="{EE8228FB-46A0-43ED-81EE-21684381291E}"/>
    <cellStyle name="Normal 13 5" xfId="839" xr:uid="{2D2C0442-9C08-4846-B64A-410049A55972}"/>
    <cellStyle name="Normal 13 6" xfId="840" xr:uid="{091EE9A7-ADBF-4F48-802A-76F3CF92F830}"/>
    <cellStyle name="Normal 13 7" xfId="841" xr:uid="{DCA9BE69-F358-4713-9E02-B3E8F0D327D1}"/>
    <cellStyle name="Normal 13 8" xfId="842" xr:uid="{FBAF452E-4D6A-42BE-978F-D2B102BEF54D}"/>
    <cellStyle name="Normal 13 9" xfId="843" xr:uid="{CCB822EE-CDAD-443E-A088-AB9DDE3750A3}"/>
    <cellStyle name="Normal 14" xfId="844" xr:uid="{D922363C-8D09-4CB9-A2AB-C4C5A27793BF}"/>
    <cellStyle name="Normal 14 10" xfId="845" xr:uid="{3FFE25D5-CDC6-4ECA-80F6-739E92EE717A}"/>
    <cellStyle name="Normal 14 11" xfId="846" xr:uid="{8FD6D6C5-8AC4-4023-98DD-4306C0951C8D}"/>
    <cellStyle name="Normal 14 12" xfId="847" xr:uid="{6EDE8DA4-9727-4F54-8DFC-891F493B122F}"/>
    <cellStyle name="Normal 14 13" xfId="848" xr:uid="{B690BBAE-AD06-4F56-868F-D7E869D56387}"/>
    <cellStyle name="Normal 14 14" xfId="849" xr:uid="{5B624DF7-C64E-44C6-9A76-08979984A875}"/>
    <cellStyle name="Normal 14 15" xfId="850" xr:uid="{94859166-D937-45B7-99DE-E4A90DEDF8EB}"/>
    <cellStyle name="Normal 14 2" xfId="851" xr:uid="{A239275F-BDCD-448B-80EC-4F145606D45F}"/>
    <cellStyle name="Normal 14 2 2" xfId="852" xr:uid="{12C137B5-380D-4396-BAA1-8C55A611F6FE}"/>
    <cellStyle name="Normal 14 2 3" xfId="853" xr:uid="{D37E9E58-98BB-453A-B978-10897617586A}"/>
    <cellStyle name="Normal 14 2 4" xfId="854" xr:uid="{C71DF883-1594-40EA-98E4-0459902D3EC3}"/>
    <cellStyle name="Normal 14 2 5" xfId="855" xr:uid="{41591E9A-F28A-436D-9BE3-13C074BDB0C8}"/>
    <cellStyle name="Normal 14 2 6" xfId="856" xr:uid="{D4AE7BB4-99F9-4B87-A915-03047B6FEC4F}"/>
    <cellStyle name="Normal 14 2 7" xfId="857" xr:uid="{4E56EE2F-29F4-4768-A63E-A502948BF144}"/>
    <cellStyle name="Normal 14 3" xfId="858" xr:uid="{9A4812BC-D156-4E14-97A1-4E0875235C0B}"/>
    <cellStyle name="Normal 14 4" xfId="859" xr:uid="{9FFE8DB4-3242-46AE-8543-3CC3930F707E}"/>
    <cellStyle name="Normal 14 5" xfId="860" xr:uid="{E603C769-F4FC-4BC1-A2C6-C2E89D18A93B}"/>
    <cellStyle name="Normal 14 6" xfId="861" xr:uid="{013AC21C-6DEB-4309-A68B-0308A8D23BD6}"/>
    <cellStyle name="Normal 14 7" xfId="862" xr:uid="{15C9FAD4-A13E-4C4E-8A07-96111535796C}"/>
    <cellStyle name="Normal 14 8" xfId="863" xr:uid="{BEB2A963-F2D7-4730-9A09-F95C8490CF6F}"/>
    <cellStyle name="Normal 14 9" xfId="864" xr:uid="{65181956-C708-44F1-B3E7-69803818F567}"/>
    <cellStyle name="Normal 15" xfId="865" xr:uid="{38095CF0-4E68-44A6-B81E-41DB08A53D86}"/>
    <cellStyle name="Normal 15 2" xfId="866" xr:uid="{F9DEED0B-1A5B-4FDF-91FA-DE2987DAC86D}"/>
    <cellStyle name="Normal 15 3" xfId="867" xr:uid="{006D9C95-DE19-4010-91B1-ACA3D2C5C3C1}"/>
    <cellStyle name="Normal 15 4" xfId="868" xr:uid="{A71305E5-A562-4059-A408-B47D9DF18832}"/>
    <cellStyle name="Normal 15 5" xfId="869" xr:uid="{1971076E-58C6-4DBF-8869-19812B80ECDE}"/>
    <cellStyle name="Normal 15 6" xfId="870" xr:uid="{46605683-C3DF-4179-AA83-6B05461FD2DF}"/>
    <cellStyle name="Normal 16" xfId="871" xr:uid="{E5FEA59B-EA2B-4A64-A8DD-9DA4AB18883F}"/>
    <cellStyle name="Normal 16 2" xfId="872" xr:uid="{0EAE85CC-C759-4694-B0E9-09B9BC42FE0E}"/>
    <cellStyle name="Normal 16 3" xfId="873" xr:uid="{07F896A3-A813-4970-B58A-E8B983126CD2}"/>
    <cellStyle name="Normal 16 4" xfId="874" xr:uid="{145B384F-DD1C-4217-BF56-265865A1654D}"/>
    <cellStyle name="Normal 16 5" xfId="875" xr:uid="{691570C0-C11B-43CF-AE4E-38DA978B59DB}"/>
    <cellStyle name="Normal 16 6" xfId="876" xr:uid="{50C55731-DDD7-40FE-BB46-681ADC9DC4EE}"/>
    <cellStyle name="Normal 17" xfId="877" xr:uid="{6024F7FD-B080-4B15-9878-71FF1295FE92}"/>
    <cellStyle name="Normal 17 10" xfId="878" xr:uid="{7B065BC9-A766-43B7-8F59-7B0FD441784B}"/>
    <cellStyle name="Normal 17 11" xfId="879" xr:uid="{843B701F-E9D9-4EE0-AD76-487E46C351EA}"/>
    <cellStyle name="Normal 17 12" xfId="880" xr:uid="{BD74CF74-6A1E-4B54-9988-1CD37F83D44D}"/>
    <cellStyle name="Normal 17 13" xfId="881" xr:uid="{51D1B03A-E8E1-44C8-B7D1-B196CDF16C7E}"/>
    <cellStyle name="Normal 17 2" xfId="882" xr:uid="{121883B4-F0F7-4898-9FEA-C36FE8CC1A06}"/>
    <cellStyle name="Normal 17 3" xfId="883" xr:uid="{413BE14D-3FB6-47E8-AA5F-079AD4980B24}"/>
    <cellStyle name="Normal 17 4" xfId="884" xr:uid="{CBABA1E3-A17E-49E6-9E98-E8821FF1BD13}"/>
    <cellStyle name="Normal 17 5" xfId="885" xr:uid="{1BCADD59-3BE1-40B3-A833-13266332D047}"/>
    <cellStyle name="Normal 17 6" xfId="886" xr:uid="{DFC6C1AE-2404-4643-B3A8-66BD210F2FF3}"/>
    <cellStyle name="Normal 17 7" xfId="887" xr:uid="{3A43F335-2E11-45B8-B260-75970FB866B9}"/>
    <cellStyle name="Normal 17 8" xfId="888" xr:uid="{B33D9321-A3A0-4DC1-AE6C-13A0952E5909}"/>
    <cellStyle name="Normal 17 9" xfId="889" xr:uid="{D5910397-0AC0-41D5-9090-3D087DBCBFE1}"/>
    <cellStyle name="Normal 18" xfId="890" xr:uid="{197D963D-9D7C-49DA-9511-05E9C943DAAD}"/>
    <cellStyle name="Normal 19" xfId="62" xr:uid="{73D55226-A383-496F-90D9-B1541BE13465}"/>
    <cellStyle name="Normal 2" xfId="4" xr:uid="{8AFBBF0B-C464-4F31-9D17-7061E47C41A1}"/>
    <cellStyle name="Normal 2 10" xfId="63" xr:uid="{B485750F-C7FB-484C-9481-257D668BA645}"/>
    <cellStyle name="Normal 2 11" xfId="891" xr:uid="{50C24198-C079-4C9A-ABE6-2E915321F898}"/>
    <cellStyle name="Normal 2 12" xfId="892" xr:uid="{F7240B89-D200-4072-80B6-19A3A3A36542}"/>
    <cellStyle name="Normal 2 13" xfId="893" xr:uid="{92893F1F-5E70-48F2-A71C-DB14B79B9595}"/>
    <cellStyle name="Normal 2 14" xfId="894" xr:uid="{C9E3E1FF-5456-41AC-9C9F-91F7DD9BD4E6}"/>
    <cellStyle name="Normal 2 15" xfId="895" xr:uid="{C9CDFD54-6F27-4CBB-B90A-E0C93C6CD72C}"/>
    <cellStyle name="Normal 2 16" xfId="896" xr:uid="{47A9E5BC-8801-4E9B-AC0B-CDC86330D59D}"/>
    <cellStyle name="Normal 2 17" xfId="897" xr:uid="{59400895-5CDF-4B42-A3AA-C239416844DB}"/>
    <cellStyle name="Normal 2 18" xfId="1676" xr:uid="{4933AE79-0EB8-43A6-8DE8-A2B6BA298F55}"/>
    <cellStyle name="Normal 2 2" xfId="13" xr:uid="{E8C26CE0-3E6B-4F15-B642-AEE8ADA90C83}"/>
    <cellStyle name="Normal 2 2 10" xfId="899" xr:uid="{82A2EDC5-F84C-4237-8410-3206D93BC23A}"/>
    <cellStyle name="Normal 2 2 11" xfId="900" xr:uid="{5D65ECC7-464E-461C-AEC4-D97541C91306}"/>
    <cellStyle name="Normal 2 2 12" xfId="901" xr:uid="{27A1AC4D-4AAE-421B-BAB0-32771404F01D}"/>
    <cellStyle name="Normal 2 2 13" xfId="902" xr:uid="{CF75F5C2-DD0F-43DC-A2BF-CB431B9FB5A3}"/>
    <cellStyle name="Normal 2 2 14" xfId="898" xr:uid="{EEA785E5-0F82-457F-9331-14CF776FD371}"/>
    <cellStyle name="Normal 2 2 2" xfId="903" xr:uid="{6751F243-820A-4C0E-9FF7-04431A748079}"/>
    <cellStyle name="Normal 2 2 3" xfId="904" xr:uid="{EA995B66-686D-4750-9E09-4C660C6C05B0}"/>
    <cellStyle name="Normal 2 2 4" xfId="905" xr:uid="{601E8C35-0931-4B4C-8DB3-5064C9508AFA}"/>
    <cellStyle name="Normal 2 2 5" xfId="906" xr:uid="{EB6F2ADB-F8B3-470E-986A-C78EC8F2A797}"/>
    <cellStyle name="Normal 2 2 6" xfId="907" xr:uid="{CD220332-7405-4D10-B106-F29ADAC2EB54}"/>
    <cellStyle name="Normal 2 2 7" xfId="908" xr:uid="{13A12A7B-2947-40B8-AC64-81FB6E54F612}"/>
    <cellStyle name="Normal 2 2 8" xfId="909" xr:uid="{1DD56739-0DAA-4C02-9FAB-9D61BD0775F4}"/>
    <cellStyle name="Normal 2 2 9" xfId="910" xr:uid="{5B90BE36-4E48-46CE-84C8-67CF1E5EF64C}"/>
    <cellStyle name="Normal 2 3" xfId="911" xr:uid="{6632C2D5-3B1E-460C-8A4E-D89DCE938F5E}"/>
    <cellStyle name="Normal 2 3 10" xfId="912" xr:uid="{29179305-AB75-4291-B264-06858A21291D}"/>
    <cellStyle name="Normal 2 3 11" xfId="913" xr:uid="{24320F18-1DA0-4422-80B4-4F8F8FB98D12}"/>
    <cellStyle name="Normal 2 3 12" xfId="914" xr:uid="{17993274-5309-4039-B906-34C0ACB8D3E4}"/>
    <cellStyle name="Normal 2 3 13" xfId="915" xr:uid="{0C97278E-DDEE-41E0-9776-E6188FF82305}"/>
    <cellStyle name="Normal 2 3 2" xfId="916" xr:uid="{E2CBFBDA-625C-4291-A386-5BED1DB07436}"/>
    <cellStyle name="Normal 2 3 3" xfId="917" xr:uid="{BA81CBEE-0579-48BE-A874-1BEBD58AF220}"/>
    <cellStyle name="Normal 2 3 4" xfId="918" xr:uid="{A7CAF658-7982-447D-A498-4CED2467C1C3}"/>
    <cellStyle name="Normal 2 3 5" xfId="919" xr:uid="{7CA77337-C458-4CB5-BDBB-EAA338F45C7D}"/>
    <cellStyle name="Normal 2 3 6" xfId="920" xr:uid="{DA649AEA-D9DA-4267-AB49-82E535C308F6}"/>
    <cellStyle name="Normal 2 3 7" xfId="921" xr:uid="{1C24ADEF-05B6-4A39-AFBB-A1AFC67B788A}"/>
    <cellStyle name="Normal 2 3 8" xfId="922" xr:uid="{8221C05B-C75F-4600-9829-A3F78412280F}"/>
    <cellStyle name="Normal 2 3 9" xfId="923" xr:uid="{81F5A64A-C13C-4668-B953-E11489C872CC}"/>
    <cellStyle name="Normal 2 4" xfId="924" xr:uid="{4E07BEF2-34C1-4711-B95B-AAB5892E7ABA}"/>
    <cellStyle name="Normal 2 4 10" xfId="925" xr:uid="{AA34482E-1602-40F6-BB6E-F4C098CDD630}"/>
    <cellStyle name="Normal 2 4 11" xfId="926" xr:uid="{79B132F9-A9B1-4661-B8EF-72DE4DE63441}"/>
    <cellStyle name="Normal 2 4 12" xfId="927" xr:uid="{0FF09F88-C000-482B-B65C-3DEB9458DAF9}"/>
    <cellStyle name="Normal 2 4 13" xfId="928" xr:uid="{973FBF31-14A5-4661-A3D4-A6FAFDC489F5}"/>
    <cellStyle name="Normal 2 4 2" xfId="929" xr:uid="{4FD9BFDA-329F-4250-B283-8621822C9F44}"/>
    <cellStyle name="Normal 2 4 3" xfId="930" xr:uid="{41DDC5DD-118E-438A-BFAB-6011E7EEFBAF}"/>
    <cellStyle name="Normal 2 4 4" xfId="931" xr:uid="{1F87146F-4004-482D-95AC-83B0E7F5E59D}"/>
    <cellStyle name="Normal 2 4 5" xfId="932" xr:uid="{F2CC8728-5841-4E93-9D15-B299F923F735}"/>
    <cellStyle name="Normal 2 4 6" xfId="933" xr:uid="{FC58FA1D-D500-45E6-AC48-B4A16A331C4B}"/>
    <cellStyle name="Normal 2 4 7" xfId="934" xr:uid="{F7A3A1DA-468B-4E09-9C63-091AFDBE053B}"/>
    <cellStyle name="Normal 2 4 8" xfId="935" xr:uid="{58750348-359A-4D04-B1AF-79A804F1D2E4}"/>
    <cellStyle name="Normal 2 4 9" xfId="936" xr:uid="{C174C75F-07A2-4EFC-AA56-520B8D8F1A01}"/>
    <cellStyle name="Normal 2 5" xfId="937" xr:uid="{72F7F978-9B35-4FAC-8874-A4B5C43782BE}"/>
    <cellStyle name="Normal 2 6" xfId="938" xr:uid="{8FD6F38D-F0F4-4771-9284-A74F6C4D699B}"/>
    <cellStyle name="Normal 2 7" xfId="939" xr:uid="{05F0F1E1-27C6-4C05-9ABE-23DDAA83C24A}"/>
    <cellStyle name="Normal 2 8" xfId="940" xr:uid="{B9B4FD3E-9D10-4AAB-B128-5A667884A313}"/>
    <cellStyle name="Normal 2 9" xfId="941" xr:uid="{A83780FD-DD0A-4296-8DC1-BD94AAEA5755}"/>
    <cellStyle name="Normal 20" xfId="942" xr:uid="{064B3656-0A31-4CA0-BD98-13E2D0FC8BF0}"/>
    <cellStyle name="Normal 21" xfId="1675" xr:uid="{E44FD40D-30BA-469C-A18E-30CC73DC2EBC}"/>
    <cellStyle name="Normal 23" xfId="1678" xr:uid="{264D14C6-B757-4A4D-BFA0-AB10CCEDF4D4}"/>
    <cellStyle name="Normal 26" xfId="943" xr:uid="{2791E745-7F33-4111-A606-553A34A973A3}"/>
    <cellStyle name="Normal 29" xfId="61" xr:uid="{BCE48D7C-3FA9-4F77-8C94-F0B668B8A55E}"/>
    <cellStyle name="Normal 3" xfId="6" xr:uid="{76DF03FD-1A60-4746-A050-56687ACB560B}"/>
    <cellStyle name="Normal 3 10" xfId="944" xr:uid="{68E2893E-D67A-488F-8711-D76B657DD3C7}"/>
    <cellStyle name="Normal 3 11" xfId="945" xr:uid="{FD7706B1-029A-4D11-A6E6-E3A7ABFBAADD}"/>
    <cellStyle name="Normal 3 12" xfId="946" xr:uid="{0F3AAC61-E59D-4FE3-94ED-770D6F225B3B}"/>
    <cellStyle name="Normal 3 13" xfId="57" xr:uid="{E08C2CD5-4D71-4ED2-B42E-15622103BB24}"/>
    <cellStyle name="Normal 3 2" xfId="947" xr:uid="{E6898F48-0E40-465A-BA9E-9F3AA084CE90}"/>
    <cellStyle name="Normal 3 2 2" xfId="948" xr:uid="{6E392032-1FDE-48BF-86C0-8604D6B25527}"/>
    <cellStyle name="Normal 3 2 3" xfId="949" xr:uid="{36C4EDC6-DCBB-4DE2-818E-D865FDC602B0}"/>
    <cellStyle name="Normal 3 2 4" xfId="950" xr:uid="{C1789D62-8F92-4A04-82EB-DD8209F28B65}"/>
    <cellStyle name="Normal 3 2 5" xfId="951" xr:uid="{CAD7DD33-C5E3-4F0E-9CF5-E0BB98034138}"/>
    <cellStyle name="Normal 3 2 6" xfId="952" xr:uid="{EB568976-3390-4CDE-896E-5099876AAAC1}"/>
    <cellStyle name="Normal 3 2 7" xfId="953" xr:uid="{CA88B5B5-7778-4AB2-80CC-FEFC13A5F4A5}"/>
    <cellStyle name="Normal 3 2 8" xfId="954" xr:uid="{0CAE7B8F-2F97-4746-9B91-FD58E55AB76D}"/>
    <cellStyle name="Normal 3 3" xfId="955" xr:uid="{3111AAD4-C6DA-4F72-8C2B-57343D467D81}"/>
    <cellStyle name="Normal 3 3 2" xfId="956" xr:uid="{AF9EB28E-F0D9-454C-A5E4-6582A5A4D28F}"/>
    <cellStyle name="Normal 3 3 3" xfId="957" xr:uid="{097A7568-5A31-4A64-85C1-A6838D56C51C}"/>
    <cellStyle name="Normal 3 3 4" xfId="958" xr:uid="{E863AB79-A879-41A1-A7D4-5F27C003D799}"/>
    <cellStyle name="Normal 3 3 5" xfId="959" xr:uid="{3437EF82-A5CD-4790-B09D-5A9CFB3A1ACF}"/>
    <cellStyle name="Normal 3 3 6" xfId="960" xr:uid="{670DCDE3-FD98-4672-98B3-EDD06002D57A}"/>
    <cellStyle name="Normal 3 3 7" xfId="961" xr:uid="{2C89A0DD-9EB5-47E2-8737-3004F37E74F2}"/>
    <cellStyle name="Normal 3 3 8" xfId="962" xr:uid="{95001F66-EF40-44CF-8F9C-E90E4A6EC2E1}"/>
    <cellStyle name="Normal 3 4" xfId="963" xr:uid="{4EBB9FBD-A59A-4622-B5D0-0942E0D80F7B}"/>
    <cellStyle name="Normal 3 4 2" xfId="964" xr:uid="{26F3C09A-8699-421C-BC3F-9BFF45F75D5A}"/>
    <cellStyle name="Normal 3 4 3" xfId="965" xr:uid="{E340FD8E-313E-4F87-928B-D5C53FA40DAB}"/>
    <cellStyle name="Normal 3 4 4" xfId="966" xr:uid="{532AF279-04AE-42BB-A8D2-5147760DA985}"/>
    <cellStyle name="Normal 3 4 5" xfId="967" xr:uid="{FBEDB144-C46C-4F02-A908-79B8402CBA49}"/>
    <cellStyle name="Normal 3 4 6" xfId="968" xr:uid="{EAD6ABA2-2D5F-4E59-B5AF-DC4A40BE74E8}"/>
    <cellStyle name="Normal 3 4 7" xfId="969" xr:uid="{28413E44-F921-46E1-AB98-0DC77533896F}"/>
    <cellStyle name="Normal 3 4 8" xfId="970" xr:uid="{39D03C2D-CD61-4975-8A04-4CC4B0FE1202}"/>
    <cellStyle name="Normal 3 5" xfId="971" xr:uid="{E7F18E16-70E8-4E93-A5AB-E8D1499768F0}"/>
    <cellStyle name="Normal 3 5 2" xfId="972" xr:uid="{E11E70C0-8D98-4A49-AA44-89BFF13A6274}"/>
    <cellStyle name="Normal 3 5 3" xfId="973" xr:uid="{BA9F08E3-607B-40E6-9A17-773F7D0D1A59}"/>
    <cellStyle name="Normal 3 5 4" xfId="974" xr:uid="{43422450-B777-44D5-B4DB-25ACC256C62A}"/>
    <cellStyle name="Normal 3 5 5" xfId="975" xr:uid="{4FF5AD68-9FD2-47F0-8870-7416419030F6}"/>
    <cellStyle name="Normal 3 5 6" xfId="976" xr:uid="{E0E70A02-401F-4BC7-BD10-3BF97208B33D}"/>
    <cellStyle name="Normal 3 5 7" xfId="977" xr:uid="{18BD857E-D010-4531-AE5A-6BF39007D768}"/>
    <cellStyle name="Normal 3 5 8" xfId="978" xr:uid="{12D52743-AC71-45E3-A2DB-F222B0EF7771}"/>
    <cellStyle name="Normal 3 6" xfId="979" xr:uid="{17FC7905-F272-4076-BB1E-86CF1C2B6EA8}"/>
    <cellStyle name="Normal 3 7" xfId="980" xr:uid="{AB10BD80-A54C-4C3F-9789-81D2FAA89CD3}"/>
    <cellStyle name="Normal 3 8" xfId="981" xr:uid="{EBFD9A0F-B3C9-4EEE-B478-DD7A96EF3A6A}"/>
    <cellStyle name="Normal 3 9" xfId="982" xr:uid="{70F0FA0B-E272-4EAB-AF32-DEB93FF5BF24}"/>
    <cellStyle name="Normal 30" xfId="60" xr:uid="{21717CBF-8ED2-4A91-B234-6AE1C7489983}"/>
    <cellStyle name="Normal 4" xfId="7" xr:uid="{FA03B21F-34BA-459E-A9E4-C41E0051DA60}"/>
    <cellStyle name="Normal 4 10" xfId="983" xr:uid="{7D45E9AE-4806-445F-89A7-B37F5E5610D3}"/>
    <cellStyle name="Normal 4 11" xfId="984" xr:uid="{04758B9A-A6DB-4065-9B7C-E8DDACD5DD02}"/>
    <cellStyle name="Normal 4 12" xfId="985" xr:uid="{1FEF33B5-85C4-476E-8189-1F76ACA6F842}"/>
    <cellStyle name="Normal 4 13" xfId="58" xr:uid="{CAA1BF0B-3E8B-4E6F-A4F5-14D743D20E6A}"/>
    <cellStyle name="Normal 4 2" xfId="986" xr:uid="{07DE86CC-FCFA-4CFD-A894-187112585FA7}"/>
    <cellStyle name="Normal 4 2 2" xfId="987" xr:uid="{E6529123-263B-4262-BCC8-10BB173C62CC}"/>
    <cellStyle name="Normal 4 2 2 10" xfId="988" xr:uid="{ADE07474-F169-4884-96C8-1F125A1C8565}"/>
    <cellStyle name="Normal 4 2 2 11" xfId="989" xr:uid="{54E49D91-8877-4B04-98C2-10038C61B0FC}"/>
    <cellStyle name="Normal 4 2 2 12" xfId="990" xr:uid="{B8DF68E1-161B-4C51-87A6-CBBBA4AEEFA6}"/>
    <cellStyle name="Normal 4 2 2 13" xfId="991" xr:uid="{1238E1FC-26F2-496F-BCF3-A04A69567EE5}"/>
    <cellStyle name="Normal 4 2 2 2" xfId="992" xr:uid="{BED9C3C0-F705-44D3-A6A1-8F25B707FFE9}"/>
    <cellStyle name="Normal 4 2 2 2 10" xfId="993" xr:uid="{EBBF9F96-3CA5-4D3E-8346-B9B576B88ADA}"/>
    <cellStyle name="Normal 4 2 2 2 11" xfId="994" xr:uid="{E7C7EC92-2066-4436-B825-F96BB58578EB}"/>
    <cellStyle name="Normal 4 2 2 2 12" xfId="995" xr:uid="{841FB1BB-10AE-4F1F-BB67-087338CE3A23}"/>
    <cellStyle name="Normal 4 2 2 2 13" xfId="996" xr:uid="{87CC33E0-BA53-43F9-B1E0-2B86C4B1CD92}"/>
    <cellStyle name="Normal 4 2 2 2 2" xfId="997" xr:uid="{6D816195-E10F-4F01-A0BB-CC0CDFA8BAAA}"/>
    <cellStyle name="Normal 4 2 2 2 3" xfId="998" xr:uid="{638FAB57-2C7C-4B11-93D5-7A6E05F37249}"/>
    <cellStyle name="Normal 4 2 2 2 4" xfId="999" xr:uid="{625EC320-0234-48BA-840C-6208FBA4FF0E}"/>
    <cellStyle name="Normal 4 2 2 2 5" xfId="1000" xr:uid="{12FA3D1A-5FB9-48CC-AB8B-75BACC8F7444}"/>
    <cellStyle name="Normal 4 2 2 2 6" xfId="1001" xr:uid="{E324822F-8CFC-4CB4-8370-5278DCC6319C}"/>
    <cellStyle name="Normal 4 2 2 2 7" xfId="1002" xr:uid="{99EDD026-71AF-47E4-AF8C-2390FA8399E9}"/>
    <cellStyle name="Normal 4 2 2 2 8" xfId="1003" xr:uid="{CA83F25A-8521-4616-9B95-B5A8E34CACA1}"/>
    <cellStyle name="Normal 4 2 2 2 9" xfId="1004" xr:uid="{4D9AA2DE-B74C-406C-870E-087FB5AE1B53}"/>
    <cellStyle name="Normal 4 2 2 3" xfId="1005" xr:uid="{DF1D5A14-F48B-4776-B123-3820F137980B}"/>
    <cellStyle name="Normal 4 2 2 4" xfId="1006" xr:uid="{1550C33E-40C4-44D4-89BF-D28C526F3572}"/>
    <cellStyle name="Normal 4 2 2 5" xfId="1007" xr:uid="{0A61A54E-006C-4985-8E0C-DA7BF71A80AD}"/>
    <cellStyle name="Normal 4 2 2 6" xfId="1008" xr:uid="{CBE0BEBE-6FBD-4580-A99F-50D71297379E}"/>
    <cellStyle name="Normal 4 2 2 7" xfId="1009" xr:uid="{D34CC7FB-FE1E-4B9E-8FBB-06B298697A27}"/>
    <cellStyle name="Normal 4 2 2 8" xfId="1010" xr:uid="{50B68688-97B5-4621-B549-3C3A40B28506}"/>
    <cellStyle name="Normal 4 2 2 9" xfId="1011" xr:uid="{22222884-602D-4A5D-B603-F8FF1E60A77D}"/>
    <cellStyle name="Normal 4 2 3" xfId="1012" xr:uid="{D9F957FC-CDDA-47AE-B8C3-9EDCA2B7AE0A}"/>
    <cellStyle name="Normal 4 2 4" xfId="1013" xr:uid="{C0CE5B65-D22A-413F-9F64-AAA55C3E2B53}"/>
    <cellStyle name="Normal 4 2 5" xfId="1014" xr:uid="{7B824AB9-9008-4788-90BE-A3635AC03438}"/>
    <cellStyle name="Normal 4 2 6" xfId="1015" xr:uid="{E99C4105-50D0-484A-B132-5D4DD0C727D9}"/>
    <cellStyle name="Normal 4 2 7" xfId="1016" xr:uid="{4A7D23E2-017F-447A-8C33-5B8DB5C4E548}"/>
    <cellStyle name="Normal 4 2 8" xfId="1017" xr:uid="{200CF018-59FA-48F5-9031-4B6BCF12A3EA}"/>
    <cellStyle name="Normal 4 3" xfId="1018" xr:uid="{20388766-0BBF-4517-8F7E-996C48FEE45F}"/>
    <cellStyle name="Normal 4 3 2" xfId="1019" xr:uid="{D1AAFC69-FD93-4D66-AEE5-FD4CC4A489ED}"/>
    <cellStyle name="Normal 4 3 3" xfId="1020" xr:uid="{2889584C-9D69-445F-A145-A00379F167E6}"/>
    <cellStyle name="Normal 4 3 4" xfId="1021" xr:uid="{BBB957AA-B096-495E-96EA-90C9961FF5DC}"/>
    <cellStyle name="Normal 4 3 5" xfId="1022" xr:uid="{B3488E91-9ABB-4D6D-A4FB-4CD6DA654392}"/>
    <cellStyle name="Normal 4 3 6" xfId="1023" xr:uid="{E29A7A2A-B940-4EDF-AB22-CDF41D1E2D78}"/>
    <cellStyle name="Normal 4 3 7" xfId="1024" xr:uid="{5430FB9C-6D40-4248-806B-8828DC1705A6}"/>
    <cellStyle name="Normal 4 3 8" xfId="1025" xr:uid="{1A00654A-96AE-4C20-AD54-AE9AA08AA3CA}"/>
    <cellStyle name="Normal 4 4" xfId="1026" xr:uid="{64C753B6-7A8E-4C02-B8F1-6BBE6DD956B9}"/>
    <cellStyle name="Normal 4 4 2" xfId="1027" xr:uid="{2FE74429-AE53-480A-B301-498E6F86C9E8}"/>
    <cellStyle name="Normal 4 4 3" xfId="1028" xr:uid="{343E7B47-4F5F-4925-8591-A1196DF9B679}"/>
    <cellStyle name="Normal 4 4 4" xfId="1029" xr:uid="{2968359C-FC01-41E4-9764-243C74EC95CE}"/>
    <cellStyle name="Normal 4 4 5" xfId="1030" xr:uid="{F667F033-F6F9-480C-96B9-F68EB4A1A5C1}"/>
    <cellStyle name="Normal 4 4 6" xfId="1031" xr:uid="{8D16F6A0-EA71-4150-BD39-3274C024917C}"/>
    <cellStyle name="Normal 4 4 7" xfId="1032" xr:uid="{5C832252-CB8D-47C7-A3E7-3FD9AED0BFE5}"/>
    <cellStyle name="Normal 4 4 8" xfId="1033" xr:uid="{006B80CE-F000-494A-82A9-FA00C800B556}"/>
    <cellStyle name="Normal 4 5" xfId="1034" xr:uid="{5F64643A-B6FC-40D8-AABD-BE1712CA139E}"/>
    <cellStyle name="Normal 4 5 2" xfId="1035" xr:uid="{A0B5BD34-D730-45AA-B07A-05CBEF65E899}"/>
    <cellStyle name="Normal 4 5 3" xfId="1036" xr:uid="{B46D50F1-FDAA-4156-AA19-9157D06D49D7}"/>
    <cellStyle name="Normal 4 5 4" xfId="1037" xr:uid="{B47B244D-3EE6-4A26-AEA9-9EEFF234259E}"/>
    <cellStyle name="Normal 4 5 5" xfId="1038" xr:uid="{FEA14181-FF5A-4976-80FB-136DCF952002}"/>
    <cellStyle name="Normal 4 5 6" xfId="1039" xr:uid="{DB0D778B-2B1A-4330-90EC-8619FD3ABBE4}"/>
    <cellStyle name="Normal 4 5 7" xfId="1040" xr:uid="{F2E7326E-428C-4BBB-AF5F-2701FE91649D}"/>
    <cellStyle name="Normal 4 5 8" xfId="1041" xr:uid="{9EB4F91D-3B03-401E-8442-6DF6BE2288B0}"/>
    <cellStyle name="Normal 4 6" xfId="1042" xr:uid="{3E04EFA4-05AB-4BF3-85D9-6516ACC61580}"/>
    <cellStyle name="Normal 4 7" xfId="1043" xr:uid="{67E6AA10-82BC-4E5B-91EA-032480972075}"/>
    <cellStyle name="Normal 4 8" xfId="1044" xr:uid="{45D389C0-C671-4D57-941E-A2F89BD4D216}"/>
    <cellStyle name="Normal 4 9" xfId="1045" xr:uid="{4003510C-490F-4871-A3A2-36DC02D16ABF}"/>
    <cellStyle name="Normal 5" xfId="8" xr:uid="{19E0C309-8BBD-4287-9D1E-1E23847DEB84}"/>
    <cellStyle name="Normal 5 10" xfId="1047" xr:uid="{45641F09-35CC-4201-B7D4-4698A86C56B2}"/>
    <cellStyle name="Normal 5 11" xfId="1048" xr:uid="{0627D1E2-0E23-4CE4-A8CC-15BC6225145A}"/>
    <cellStyle name="Normal 5 12" xfId="1049" xr:uid="{58E4D7C1-C538-46E7-AA46-88A7D855BB4A}"/>
    <cellStyle name="Normal 5 13" xfId="1046" xr:uid="{80FEF3D2-7FEF-47FE-8514-7126F1A05F7D}"/>
    <cellStyle name="Normal 5 2" xfId="1050" xr:uid="{1A633A9B-E9E7-44A8-BEB1-03676F3A0A34}"/>
    <cellStyle name="Normal 5 2 2" xfId="1051" xr:uid="{AA115894-6E7A-4593-BC97-B496B5ADBBE0}"/>
    <cellStyle name="Normal 5 2 2 10" xfId="1052" xr:uid="{F26653A7-8835-4492-A1BD-2D35E1D900D0}"/>
    <cellStyle name="Normal 5 2 2 11" xfId="1053" xr:uid="{D09BF581-0BA2-4648-86F5-040C881F2496}"/>
    <cellStyle name="Normal 5 2 2 12" xfId="1054" xr:uid="{1079517C-C607-4593-B1DE-167C12CDC60B}"/>
    <cellStyle name="Normal 5 2 2 13" xfId="1055" xr:uid="{D7D9F5E7-95B7-4D6C-B97F-09860DC3B08E}"/>
    <cellStyle name="Normal 5 2 2 2" xfId="1056" xr:uid="{A4F5893A-FE4F-4607-AAB1-1D1C00DDEA57}"/>
    <cellStyle name="Normal 5 2 2 2 10" xfId="1057" xr:uid="{F46380DF-3B83-4EA5-AEC3-B77787AE033F}"/>
    <cellStyle name="Normal 5 2 2 2 11" xfId="1058" xr:uid="{F4EAFE14-32F8-4A2B-9145-B544A7192BDD}"/>
    <cellStyle name="Normal 5 2 2 2 12" xfId="1059" xr:uid="{A9EF5772-0490-4128-ACAD-C47F8A47FB18}"/>
    <cellStyle name="Normal 5 2 2 2 13" xfId="1060" xr:uid="{38A844BE-C533-4F48-A552-EC75AE18D8E8}"/>
    <cellStyle name="Normal 5 2 2 2 2" xfId="1061" xr:uid="{2B86936F-2CF6-4910-A5D1-7E116F7EFC25}"/>
    <cellStyle name="Normal 5 2 2 2 3" xfId="1062" xr:uid="{85098FB2-B695-449D-85EC-D7B1A02D19B3}"/>
    <cellStyle name="Normal 5 2 2 2 4" xfId="1063" xr:uid="{6E15A9B7-C97F-4D34-83EC-B53E4FD6DA29}"/>
    <cellStyle name="Normal 5 2 2 2 5" xfId="1064" xr:uid="{280EDB5F-DD5A-4B2C-BEF8-8F04D44F70C6}"/>
    <cellStyle name="Normal 5 2 2 2 6" xfId="1065" xr:uid="{2B1A8A0F-F6B9-4F9B-8FC6-01DCDC553490}"/>
    <cellStyle name="Normal 5 2 2 2 7" xfId="1066" xr:uid="{2496A698-74C9-430A-963A-95589D482CFB}"/>
    <cellStyle name="Normal 5 2 2 2 8" xfId="1067" xr:uid="{019B68FA-2C85-4D02-823A-A81CDEA71BFB}"/>
    <cellStyle name="Normal 5 2 2 2 9" xfId="1068" xr:uid="{CF5A6B9C-A5B9-437B-9CC7-E56BCD16B97F}"/>
    <cellStyle name="Normal 5 2 2 3" xfId="1069" xr:uid="{BF86E381-5580-4D85-BC45-BE6473599D8A}"/>
    <cellStyle name="Normal 5 2 2 4" xfId="1070" xr:uid="{551A1DD7-992C-43A7-9A28-F8AF54913251}"/>
    <cellStyle name="Normal 5 2 2 5" xfId="1071" xr:uid="{7FA91E32-7992-4013-A564-2B395E97C9D3}"/>
    <cellStyle name="Normal 5 2 2 6" xfId="1072" xr:uid="{D3BC6D79-E0FF-4FE9-9690-5525229A8699}"/>
    <cellStyle name="Normal 5 2 2 7" xfId="1073" xr:uid="{0E271348-0F08-4B55-9F9D-C3F9C098B2A0}"/>
    <cellStyle name="Normal 5 2 2 8" xfId="1074" xr:uid="{70A7F85B-5260-4D70-BCA0-AD2476670E30}"/>
    <cellStyle name="Normal 5 2 2 9" xfId="1075" xr:uid="{A9014A61-0BBD-4B94-BD48-BCF72DE18D7E}"/>
    <cellStyle name="Normal 5 2 3" xfId="1076" xr:uid="{77552EB1-D65E-41EA-B803-1A4CB4B3F35D}"/>
    <cellStyle name="Normal 5 2 4" xfId="1077" xr:uid="{9B1478D5-7A9A-42C7-BEA8-AD6E9F8EDC32}"/>
    <cellStyle name="Normal 5 2 5" xfId="1078" xr:uid="{E75E1508-0459-4098-BE5B-358A562D5464}"/>
    <cellStyle name="Normal 5 2 6" xfId="1079" xr:uid="{53D6D075-5231-4EF5-8C98-0FC5FE0FF1F7}"/>
    <cellStyle name="Normal 5 2 7" xfId="1080" xr:uid="{956C705D-EC31-474A-B5CD-5AEBBCEBEB4C}"/>
    <cellStyle name="Normal 5 2 8" xfId="1081" xr:uid="{18AAA1E6-ACEC-4490-B78A-700A6FCF4C24}"/>
    <cellStyle name="Normal 5 3" xfId="1082" xr:uid="{700F2FC3-8EBC-46E3-A6FB-CBD392B54255}"/>
    <cellStyle name="Normal 5 3 2" xfId="1083" xr:uid="{4EE2D360-5BB3-4BED-BD11-2DEA10E5C359}"/>
    <cellStyle name="Normal 5 3 3" xfId="1084" xr:uid="{E9A43162-4BE6-4679-8EC3-75E7056883CD}"/>
    <cellStyle name="Normal 5 3 4" xfId="1085" xr:uid="{C7476ECC-6F09-4FDA-A307-65BDC6727792}"/>
    <cellStyle name="Normal 5 3 5" xfId="1086" xr:uid="{F1E76ACF-700B-47B8-A412-C4C7D4F84B13}"/>
    <cellStyle name="Normal 5 3 6" xfId="1087" xr:uid="{3BD615CD-FB62-4734-9DC0-4722AC6459AC}"/>
    <cellStyle name="Normal 5 3 7" xfId="1088" xr:uid="{832C5A2B-C9DF-48ED-99BD-DA87A91FBD7A}"/>
    <cellStyle name="Normal 5 3 8" xfId="1089" xr:uid="{83E48C6A-0AB8-4FD5-B712-2CB40E33F7B4}"/>
    <cellStyle name="Normal 5 4" xfId="1090" xr:uid="{91FC321E-E3C5-47A3-B052-1A448DA689E9}"/>
    <cellStyle name="Normal 5 4 2" xfId="1091" xr:uid="{0015A074-3D0B-4E3A-B63B-9F8C1A08C68C}"/>
    <cellStyle name="Normal 5 4 3" xfId="1092" xr:uid="{19C6CFC6-8EBD-4BBC-ADE2-C24E40FA0332}"/>
    <cellStyle name="Normal 5 4 4" xfId="1093" xr:uid="{CDDAB39B-3420-4B69-A015-077C25949811}"/>
    <cellStyle name="Normal 5 4 5" xfId="1094" xr:uid="{F7583D95-E4E9-4628-B719-6D4315E30E2E}"/>
    <cellStyle name="Normal 5 4 6" xfId="1095" xr:uid="{9A65EF94-7D05-4400-98BC-5F9758F73CF9}"/>
    <cellStyle name="Normal 5 4 7" xfId="1096" xr:uid="{7E9BF0A4-C01F-4D09-A3B7-5379C4BAB01D}"/>
    <cellStyle name="Normal 5 4 8" xfId="1097" xr:uid="{25C7C12C-2745-4AB3-86CB-34B1A25CEFEB}"/>
    <cellStyle name="Normal 5 5" xfId="1098" xr:uid="{D2DA3657-88A4-4E9F-8FEC-7BD2D1E5A039}"/>
    <cellStyle name="Normal 5 5 2" xfId="1099" xr:uid="{F6F70B4E-E213-4A7D-8FA9-9D9F07B16272}"/>
    <cellStyle name="Normal 5 5 3" xfId="1100" xr:uid="{2BAC6B2E-F041-4E1C-9051-424EBAF24100}"/>
    <cellStyle name="Normal 5 5 4" xfId="1101" xr:uid="{1F5CEAB8-01F0-4819-8714-CD87573828EC}"/>
    <cellStyle name="Normal 5 5 5" xfId="1102" xr:uid="{C48CEE31-B86F-404E-BD11-D7CF939FC82F}"/>
    <cellStyle name="Normal 5 5 6" xfId="1103" xr:uid="{990D1232-8D4D-4953-BD41-60C86E201E26}"/>
    <cellStyle name="Normal 5 5 7" xfId="1104" xr:uid="{07BC454E-1CAC-4A88-9EC7-231F2178FE98}"/>
    <cellStyle name="Normal 5 5 8" xfId="1105" xr:uid="{F8F68DC1-8DF9-4B14-91FF-08866C9EBC1A}"/>
    <cellStyle name="Normal 5 6" xfId="1106" xr:uid="{EC4C8474-B04C-4B0B-B7E1-FCB0CF0BCE52}"/>
    <cellStyle name="Normal 5 7" xfId="1107" xr:uid="{79BF018E-3B85-4697-8B3D-3E3C2B749314}"/>
    <cellStyle name="Normal 5 8" xfId="1108" xr:uid="{F620A166-928D-4609-A955-CB4983409DF0}"/>
    <cellStyle name="Normal 5 9" xfId="1109" xr:uid="{A161BDB8-669B-4B2D-84EE-03919AD485F3}"/>
    <cellStyle name="Normal 6" xfId="12" xr:uid="{4ACF7875-9F66-4693-8A9D-A84D0D5C7168}"/>
    <cellStyle name="Normal 6 10" xfId="1111" xr:uid="{1F6A83E0-B2CD-4CF8-9CEC-638F572DC401}"/>
    <cellStyle name="Normal 6 11" xfId="1112" xr:uid="{22A9B4F4-3E51-456F-90B0-50412F9E6F01}"/>
    <cellStyle name="Normal 6 12" xfId="1113" xr:uid="{21BEBA55-388B-4B4C-B2A2-369B18DAE197}"/>
    <cellStyle name="Normal 6 13" xfId="1110" xr:uid="{FF7D50EA-D43F-4D92-B36B-BA179A7F6BDC}"/>
    <cellStyle name="Normal 6 2" xfId="1114" xr:uid="{A84C21D2-BFAD-4FA9-8188-37B2D7D7A90A}"/>
    <cellStyle name="Normal 6 2 2" xfId="1115" xr:uid="{5256047E-4401-417A-832C-72D8DF9A7B46}"/>
    <cellStyle name="Normal 6 2 2 10" xfId="1116" xr:uid="{A19DC178-8FC7-493F-9AE6-806D82C32642}"/>
    <cellStyle name="Normal 6 2 2 11" xfId="1117" xr:uid="{E6C38191-67BE-46D2-A9FE-D0C2FC72DA6D}"/>
    <cellStyle name="Normal 6 2 2 12" xfId="1118" xr:uid="{13F6643E-70A3-49E7-87EA-D608DDB50E73}"/>
    <cellStyle name="Normal 6 2 2 13" xfId="1119" xr:uid="{8C74B993-3EFC-44A2-BFAF-1723CE66EF3A}"/>
    <cellStyle name="Normal 6 2 2 2" xfId="1120" xr:uid="{85C8AB7A-6292-42E0-9582-84AA3D29B6F8}"/>
    <cellStyle name="Normal 6 2 2 3" xfId="1121" xr:uid="{071E4D7B-52D7-4DF0-BA47-629CDEEC2884}"/>
    <cellStyle name="Normal 6 2 2 4" xfId="1122" xr:uid="{02DE3B1B-E6A3-4A0A-A511-3E5C69AA405A}"/>
    <cellStyle name="Normal 6 2 2 5" xfId="1123" xr:uid="{F35EC4C5-4ACE-43B7-8348-C23A12DCC804}"/>
    <cellStyle name="Normal 6 2 2 6" xfId="1124" xr:uid="{4880D3E6-0A46-43C7-AED3-BFEDDF13AF65}"/>
    <cellStyle name="Normal 6 2 2 7" xfId="1125" xr:uid="{25847A8D-3565-46CB-A435-1C3647419B29}"/>
    <cellStyle name="Normal 6 2 2 8" xfId="1126" xr:uid="{566228F0-4285-4871-9359-3A3CA1AC6A9B}"/>
    <cellStyle name="Normal 6 2 2 9" xfId="1127" xr:uid="{461D1A3E-3BCA-4847-9A5E-F8B98327E1C4}"/>
    <cellStyle name="Normal 6 2 3" xfId="1128" xr:uid="{E0D6012D-5C86-4FC9-A6CB-828689B6BAAA}"/>
    <cellStyle name="Normal 6 2 4" xfId="1129" xr:uid="{3537B5FB-5ACC-4D22-B1F9-F00770D1F0A6}"/>
    <cellStyle name="Normal 6 2 5" xfId="1130" xr:uid="{85FD0D27-660E-4B0E-B73C-1758A163F468}"/>
    <cellStyle name="Normal 6 2 6" xfId="1131" xr:uid="{264A7B8F-FBC4-4D00-A983-EDBF58B958CB}"/>
    <cellStyle name="Normal 6 2 7" xfId="1132" xr:uid="{E95CB3BD-B175-4970-9A9C-EEFF0C21DCBF}"/>
    <cellStyle name="Normal 6 2 8" xfId="1133" xr:uid="{144841E4-4A8E-4861-BCDE-C5C205E0A3F1}"/>
    <cellStyle name="Normal 6 3" xfId="1134" xr:uid="{57164660-7307-4423-B129-B4512AA447ED}"/>
    <cellStyle name="Normal 6 3 2" xfId="1135" xr:uid="{67B6B306-A7D6-49E6-A33A-2834E5DC70AD}"/>
    <cellStyle name="Normal 6 3 3" xfId="1136" xr:uid="{8DC1F60A-FC71-4D02-BEA3-C057208DF4B6}"/>
    <cellStyle name="Normal 6 3 4" xfId="1137" xr:uid="{A79BFB2E-2677-4985-9C99-5AC1AC8D9A76}"/>
    <cellStyle name="Normal 6 3 5" xfId="1138" xr:uid="{E1EF9804-21E5-49A1-B06A-62D021532264}"/>
    <cellStyle name="Normal 6 3 6" xfId="1139" xr:uid="{2C77FC2B-1671-488D-9552-452C59A0422D}"/>
    <cellStyle name="Normal 6 3 7" xfId="1140" xr:uid="{88F29D3F-B2C7-45FE-90EC-5D4C6423269C}"/>
    <cellStyle name="Normal 6 3 8" xfId="1141" xr:uid="{703EAB6C-EBDB-4A5A-AFDD-BB72003EA803}"/>
    <cellStyle name="Normal 6 4" xfId="1142" xr:uid="{DC9E8AEF-05BC-40A9-8DAB-16FEA8008403}"/>
    <cellStyle name="Normal 6 4 2" xfId="1143" xr:uid="{2CD0F725-C82D-491C-ADD7-3A98391B56C8}"/>
    <cellStyle name="Normal 6 4 3" xfId="1144" xr:uid="{013DFF16-6F94-4A91-996B-4B5288D32F57}"/>
    <cellStyle name="Normal 6 4 4" xfId="1145" xr:uid="{0A962651-7CBB-44A4-9CA6-48874E088B1E}"/>
    <cellStyle name="Normal 6 4 5" xfId="1146" xr:uid="{E3F3C9C4-C201-4226-831C-D1EA636419D2}"/>
    <cellStyle name="Normal 6 4 6" xfId="1147" xr:uid="{0529C418-F384-4E9E-AC1F-BF5C63E29DF8}"/>
    <cellStyle name="Normal 6 4 7" xfId="1148" xr:uid="{A00245E1-2498-4612-8FF8-EFEFB6FE4F64}"/>
    <cellStyle name="Normal 6 4 8" xfId="1149" xr:uid="{56E4252F-3D0A-4845-B9F8-8EC5FA0B5415}"/>
    <cellStyle name="Normal 6 5" xfId="1150" xr:uid="{5B4C3610-A35B-4CE2-92D5-D1DD8DFEA6AC}"/>
    <cellStyle name="Normal 6 5 2" xfId="1151" xr:uid="{9B1246C3-2993-4EC5-96AB-811F34DCCF6D}"/>
    <cellStyle name="Normal 6 5 3" xfId="1152" xr:uid="{DCB0FE0B-44D1-4664-A7C1-A526EC13D91B}"/>
    <cellStyle name="Normal 6 5 4" xfId="1153" xr:uid="{59AAD19D-3A83-43BB-A691-A4CDCB634275}"/>
    <cellStyle name="Normal 6 5 5" xfId="1154" xr:uid="{949D8340-3FD6-46F3-ADF2-080590DEEC87}"/>
    <cellStyle name="Normal 6 5 6" xfId="1155" xr:uid="{D949FCB6-3210-41F6-9E12-8E7030D6BAA8}"/>
    <cellStyle name="Normal 6 5 7" xfId="1156" xr:uid="{5B89697C-EF97-4EE9-A753-8EDEC6F7D18C}"/>
    <cellStyle name="Normal 6 5 8" xfId="1157" xr:uid="{EDAAA9A4-A5C5-445E-A24C-DFBBD232B4C7}"/>
    <cellStyle name="Normal 6 6" xfId="1158" xr:uid="{FCE2BED7-84E3-4B46-8951-C237037A8D63}"/>
    <cellStyle name="Normal 6 7" xfId="1159" xr:uid="{436247B5-F579-41B6-9806-5387779EE8E9}"/>
    <cellStyle name="Normal 6 8" xfId="1160" xr:uid="{A1D5E312-B5FE-4952-897C-A4F34068B5C3}"/>
    <cellStyle name="Normal 6 9" xfId="1161" xr:uid="{802E1C60-9B3A-49DD-BA5B-8CFE98E7E401}"/>
    <cellStyle name="Normal 7" xfId="1162" xr:uid="{6006B928-72F4-40EE-9118-312F58D74724}"/>
    <cellStyle name="Normal 7 10" xfId="1163" xr:uid="{B15A0F9F-D627-40FD-94D2-9ABCC029D338}"/>
    <cellStyle name="Normal 7 11" xfId="1164" xr:uid="{5A1D693F-368F-41B1-AB14-62A5C5ACA53C}"/>
    <cellStyle name="Normal 7 12" xfId="1165" xr:uid="{CB8DDB28-2C2D-4FA8-B1C8-E285CA512405}"/>
    <cellStyle name="Normal 7 2" xfId="1166" xr:uid="{886F502A-6755-44BC-8B82-B61854A2D6DF}"/>
    <cellStyle name="Normal 7 2 2" xfId="1167" xr:uid="{D0CEA5D0-4BE4-48B7-AEAA-F298E8B64883}"/>
    <cellStyle name="Normal 7 2 3" xfId="1168" xr:uid="{7DADB265-262D-4457-BA4B-B0863F6C8824}"/>
    <cellStyle name="Normal 7 2 4" xfId="1169" xr:uid="{8E872CED-2256-4FBD-96DE-31367975D0A5}"/>
    <cellStyle name="Normal 7 2 5" xfId="1170" xr:uid="{16A88EBD-77C3-48A6-8EE3-3B55FCB1D92B}"/>
    <cellStyle name="Normal 7 2 6" xfId="1171" xr:uid="{695F8C24-0D92-4B22-A483-A15350CF47DD}"/>
    <cellStyle name="Normal 7 2 7" xfId="1172" xr:uid="{54D5732E-0E85-4E87-BA66-70052341FE52}"/>
    <cellStyle name="Normal 7 2 8" xfId="1173" xr:uid="{8B7B9386-7BE2-4B69-A20E-11D954DC7714}"/>
    <cellStyle name="Normal 7 3" xfId="1174" xr:uid="{0EA82430-838B-4322-8805-93ABA2FA018D}"/>
    <cellStyle name="Normal 7 3 2" xfId="1175" xr:uid="{5F33A2D8-7F05-4E86-AC26-2E1E1B0FC855}"/>
    <cellStyle name="Normal 7 3 3" xfId="1176" xr:uid="{65C3D053-C689-4D58-AE70-795F3F9337E0}"/>
    <cellStyle name="Normal 7 3 4" xfId="1177" xr:uid="{06B5D2C8-6D7C-4FFD-8C7D-958112F6DA8B}"/>
    <cellStyle name="Normal 7 3 5" xfId="1178" xr:uid="{ECDD43FA-8E56-444F-9529-3051AB371BEF}"/>
    <cellStyle name="Normal 7 3 6" xfId="1179" xr:uid="{38A3A12E-F507-43DA-9FE5-722D58B9F522}"/>
    <cellStyle name="Normal 7 3 7" xfId="1180" xr:uid="{BB77B5A2-D8BD-4E87-ACBB-02CE00353538}"/>
    <cellStyle name="Normal 7 3 8" xfId="1181" xr:uid="{4FF1B200-E1FA-4F28-80B4-AF0DA7DEE3AF}"/>
    <cellStyle name="Normal 7 4" xfId="1182" xr:uid="{822DED95-184A-43A1-80FA-2DCC6E0BEFF2}"/>
    <cellStyle name="Normal 7 4 2" xfId="1183" xr:uid="{45392863-F963-4270-887A-AF2D88A396DC}"/>
    <cellStyle name="Normal 7 4 3" xfId="1184" xr:uid="{537A73FA-36B0-4259-9F3C-3C588049A6A0}"/>
    <cellStyle name="Normal 7 4 4" xfId="1185" xr:uid="{8C60CF1F-2E5B-428F-AA48-9168A18BC4B5}"/>
    <cellStyle name="Normal 7 4 5" xfId="1186" xr:uid="{B07ED178-D9ED-4EB0-B5A1-52E8BA1801A6}"/>
    <cellStyle name="Normal 7 4 6" xfId="1187" xr:uid="{8D6139BE-319E-460A-A510-3780A6C215AA}"/>
    <cellStyle name="Normal 7 4 7" xfId="1188" xr:uid="{7AF94364-E455-492B-84EA-78079ED5C0D4}"/>
    <cellStyle name="Normal 7 4 8" xfId="1189" xr:uid="{6BD7E290-634A-4921-8B37-9D75CA26DCB2}"/>
    <cellStyle name="Normal 7 5" xfId="1190" xr:uid="{E0ECAE5E-FEF3-400F-B703-94F41BB11C64}"/>
    <cellStyle name="Normal 7 5 2" xfId="1191" xr:uid="{78D55506-262C-48BB-B5AF-22AF954E916B}"/>
    <cellStyle name="Normal 7 5 3" xfId="1192" xr:uid="{79652FE3-64CB-405F-85B9-0FDE8CD64245}"/>
    <cellStyle name="Normal 7 5 4" xfId="1193" xr:uid="{E6D8AED6-4D15-4275-A085-E57F4AF31229}"/>
    <cellStyle name="Normal 7 5 5" xfId="1194" xr:uid="{F1E63590-8B8F-423E-9444-7881F3093DD9}"/>
    <cellStyle name="Normal 7 5 6" xfId="1195" xr:uid="{30694A24-3CB7-4F67-B813-ECF6D657E161}"/>
    <cellStyle name="Normal 7 5 7" xfId="1196" xr:uid="{99F5E824-EA00-4856-99CA-9015084D5090}"/>
    <cellStyle name="Normal 7 5 8" xfId="1197" xr:uid="{88B2DBFF-8DD3-4691-962E-D89BEFB7C4A2}"/>
    <cellStyle name="Normal 7 6" xfId="1198" xr:uid="{557FE10A-FDFD-4CB1-8E99-126BE943A423}"/>
    <cellStyle name="Normal 7 7" xfId="1199" xr:uid="{54271A65-139F-401C-8391-0BEF22EAA87E}"/>
    <cellStyle name="Normal 7 8" xfId="1200" xr:uid="{2EB1255B-3BF2-44E5-97E6-248815A767CF}"/>
    <cellStyle name="Normal 7 9" xfId="1201" xr:uid="{3C45FCA4-7BE6-43B2-BCAF-F0949F18ABD1}"/>
    <cellStyle name="Normal 8" xfId="1202" xr:uid="{B19C07D1-C82A-429A-ADEB-3A40983A8A40}"/>
    <cellStyle name="Normal 8 10" xfId="1203" xr:uid="{1DDC823A-53C9-4249-BCC9-56F37569886E}"/>
    <cellStyle name="Normal 8 11" xfId="1204" xr:uid="{DD98D5FD-0E97-4B03-BDE0-2546A23A760D}"/>
    <cellStyle name="Normal 8 12" xfId="1205" xr:uid="{C6F3D96A-CB36-4C85-99AF-3E1BAE25F65E}"/>
    <cellStyle name="Normal 8 2" xfId="1206" xr:uid="{524085C0-2EBE-43E8-A2FC-D0ED5B216E26}"/>
    <cellStyle name="Normal 8 2 2" xfId="1207" xr:uid="{864AADA9-F294-4A3C-A1BB-2CE4A055D4CE}"/>
    <cellStyle name="Normal 8 2 3" xfId="1208" xr:uid="{85909805-4BD9-456B-8069-348915A503C0}"/>
    <cellStyle name="Normal 8 2 4" xfId="1209" xr:uid="{66F8328D-4F30-46CF-8733-765FC73A1BD4}"/>
    <cellStyle name="Normal 8 2 5" xfId="1210" xr:uid="{08DDB9E3-3366-45F1-A771-CBFE29C5FEC4}"/>
    <cellStyle name="Normal 8 2 6" xfId="1211" xr:uid="{AD63FBA2-EE7E-495D-8A2E-EC780BDA3437}"/>
    <cellStyle name="Normal 8 2 7" xfId="1212" xr:uid="{24287BBE-B010-4AE7-B86F-7F5402204AC0}"/>
    <cellStyle name="Normal 8 2 8" xfId="1213" xr:uid="{6C54669B-210E-4EAB-9A59-914240F7CE4B}"/>
    <cellStyle name="Normal 8 3" xfId="1214" xr:uid="{9A7F3364-0971-4FFD-8881-C64C7AC54B6B}"/>
    <cellStyle name="Normal 8 3 2" xfId="1215" xr:uid="{830D60BE-D59B-407F-A164-4E79C7F2320A}"/>
    <cellStyle name="Normal 8 3 3" xfId="1216" xr:uid="{F0EF51CF-4BF4-4E42-901D-A67B1D56EC5E}"/>
    <cellStyle name="Normal 8 3 4" xfId="1217" xr:uid="{5888EFA7-F522-4A19-A526-7B0D0D00E227}"/>
    <cellStyle name="Normal 8 3 5" xfId="1218" xr:uid="{6DB86E6F-1F3C-45E1-BE30-09941C983A80}"/>
    <cellStyle name="Normal 8 3 6" xfId="1219" xr:uid="{A7668E78-4685-4AEF-9A0A-EC930317ACAC}"/>
    <cellStyle name="Normal 8 3 7" xfId="1220" xr:uid="{B818FAE7-2BBF-4DE7-BE81-545DCA46E189}"/>
    <cellStyle name="Normal 8 3 8" xfId="1221" xr:uid="{D7160788-46B5-4305-8327-8AEC2F068097}"/>
    <cellStyle name="Normal 8 4" xfId="1222" xr:uid="{587EFCAE-05F9-4F99-AAF8-F91F2AFCB719}"/>
    <cellStyle name="Normal 8 4 2" xfId="1223" xr:uid="{3DB6B79C-271D-477F-8692-6B8B7DD59B45}"/>
    <cellStyle name="Normal 8 4 3" xfId="1224" xr:uid="{A96D5CEE-0D61-4529-8C0C-6E480164AC6E}"/>
    <cellStyle name="Normal 8 4 4" xfId="1225" xr:uid="{184BFFE0-840A-40B8-989A-79C464297987}"/>
    <cellStyle name="Normal 8 4 5" xfId="1226" xr:uid="{E725F395-4498-4D8C-B650-2F255F27D138}"/>
    <cellStyle name="Normal 8 4 6" xfId="1227" xr:uid="{420FEF3F-275C-4D1C-BF90-CBACEF46F0BD}"/>
    <cellStyle name="Normal 8 4 7" xfId="1228" xr:uid="{65A84255-F0C5-4251-AA55-79E67B6CEBCF}"/>
    <cellStyle name="Normal 8 4 8" xfId="1229" xr:uid="{DF6F3CA1-1A85-48EC-BBC9-792554798CDD}"/>
    <cellStyle name="Normal 8 5" xfId="1230" xr:uid="{539B4083-62B2-4589-B0A7-D1AD78779E44}"/>
    <cellStyle name="Normal 8 5 2" xfId="1231" xr:uid="{C89C72CE-67CA-415C-A298-8E68932FAD30}"/>
    <cellStyle name="Normal 8 5 3" xfId="1232" xr:uid="{7CF6EB57-7DF6-4F86-8C3D-C7647360B2E4}"/>
    <cellStyle name="Normal 8 5 4" xfId="1233" xr:uid="{236179C8-2D31-4900-AC9D-20C7693EA556}"/>
    <cellStyle name="Normal 8 5 5" xfId="1234" xr:uid="{EDC527DD-6758-4094-BA16-EEFCDB8617CF}"/>
    <cellStyle name="Normal 8 5 6" xfId="1235" xr:uid="{A8450F43-B1B4-44D3-919B-F30528DAFE73}"/>
    <cellStyle name="Normal 8 5 7" xfId="1236" xr:uid="{66F145CB-0619-4E6B-955B-B172D818ECD2}"/>
    <cellStyle name="Normal 8 5 8" xfId="1237" xr:uid="{1A0FF2E4-9B3B-4A17-B91B-9684F85C83EE}"/>
    <cellStyle name="Normal 8 6" xfId="1238" xr:uid="{9FDA0F3B-3D68-4020-AD96-C0598C27C270}"/>
    <cellStyle name="Normal 8 7" xfId="1239" xr:uid="{027557D6-E1CF-4988-8085-987D041D2C53}"/>
    <cellStyle name="Normal 8 8" xfId="1240" xr:uid="{389C4537-6665-4061-A09A-A5E75C8B1461}"/>
    <cellStyle name="Normal 8 9" xfId="1241" xr:uid="{F98FA45D-C911-4F46-8EAF-2D37FE32A5D6}"/>
    <cellStyle name="Normal 9" xfId="1242" xr:uid="{5651AE8E-52AB-41E5-94EC-8FD14BEBE78E}"/>
    <cellStyle name="Normal 9 2" xfId="1243" xr:uid="{9B669C08-3565-4E13-89CD-CA57BDDF09C1}"/>
    <cellStyle name="Normal 9 3" xfId="1244" xr:uid="{1A013944-FAA0-4217-99FD-F6687D05505B}"/>
    <cellStyle name="Normal 9 4" xfId="1245" xr:uid="{0CB38814-6428-4AEB-B5AF-E19C6CA0C24D}"/>
    <cellStyle name="Normal 9 5" xfId="1246" xr:uid="{4105025D-A2DF-4B86-9A04-DAE4551A40E0}"/>
    <cellStyle name="Normal 9 6" xfId="1247" xr:uid="{9E140E83-7BE2-4084-B0C6-153EA2C66414}"/>
    <cellStyle name="Normal 9 7" xfId="1248" xr:uid="{01A6DD10-19D3-48FD-AFEE-D73B051E1651}"/>
    <cellStyle name="Normal 9 8" xfId="1249" xr:uid="{43A17C71-8BDA-433F-A9D8-13F1C0CA58E3}"/>
    <cellStyle name="Normale 2" xfId="1677" xr:uid="{CE12ACE8-2ED9-416C-82C2-A2CDFD750CFF}"/>
    <cellStyle name="Normale_B2020" xfId="1250" xr:uid="{78945B6D-281E-4C69-A6EC-B7B31CB06A15}"/>
    <cellStyle name="Note 2 10" xfId="1251" xr:uid="{7A3359DF-2C79-4AA4-B533-A19D472CA75F}"/>
    <cellStyle name="Note 2 11" xfId="1252" xr:uid="{AE12CF7A-7175-4123-A429-6743E68F6A11}"/>
    <cellStyle name="Note 2 12" xfId="1253" xr:uid="{8DACAD5C-E965-407E-9DC0-3E2E0AB9BA44}"/>
    <cellStyle name="Note 2 13" xfId="1254" xr:uid="{17F79689-1905-4527-8238-3C239A02721D}"/>
    <cellStyle name="Note 2 14" xfId="1255" xr:uid="{8338C538-8AB8-4ECA-956A-8A15C9FC6209}"/>
    <cellStyle name="Note 2 15" xfId="1256" xr:uid="{C97DA355-B1E4-4238-960F-276925DD79B2}"/>
    <cellStyle name="Note 2 2" xfId="1257" xr:uid="{8E26B35F-BE95-4E57-A03F-3CCF4B40F18C}"/>
    <cellStyle name="Note 2 3" xfId="1258" xr:uid="{862317AE-AA61-4B83-8BA0-4D68FD4AB112}"/>
    <cellStyle name="Note 2 4" xfId="1259" xr:uid="{165E2A69-C2D5-418D-A2D6-654A73E038AF}"/>
    <cellStyle name="Note 2 5" xfId="1260" xr:uid="{C7B9973F-CBC7-4ACA-B41E-C67E6260D059}"/>
    <cellStyle name="Note 2 6" xfId="1261" xr:uid="{4D5500C5-5D6A-4D49-A586-170FB5FCBD79}"/>
    <cellStyle name="Note 2 7" xfId="1262" xr:uid="{2D48473C-F442-475A-BFB5-38506927C2BF}"/>
    <cellStyle name="Note 2 8" xfId="1263" xr:uid="{68D6161F-B398-4174-83AB-F0CE3659713F}"/>
    <cellStyle name="Note 2 9" xfId="1264" xr:uid="{B09341D3-32BA-4A44-8D83-73ACC237B9DD}"/>
    <cellStyle name="Note 3" xfId="1265" xr:uid="{F7ADC4DA-D7A2-4397-A304-BC9F5E177FE8}"/>
    <cellStyle name="Note 4" xfId="1266" xr:uid="{4BF242B0-3375-43AA-A5A7-2534090D79F0}"/>
    <cellStyle name="Note 5" xfId="1267" xr:uid="{2DBA1CFC-19B6-4BAA-9C2D-BFEFA5A63684}"/>
    <cellStyle name="Note 6" xfId="1268" xr:uid="{4BAD27DC-DC84-444B-B884-094AE501EE27}"/>
    <cellStyle name="Note 7" xfId="1269" xr:uid="{F8043975-8D20-4631-8049-E41091A86E58}"/>
    <cellStyle name="Note 8" xfId="1270" xr:uid="{6CCF4275-7D3B-496A-A90F-6A3EAAAE2CA6}"/>
    <cellStyle name="Output 2" xfId="26" xr:uid="{F31F95D1-C938-405F-91A1-FB179FB6B42E}"/>
    <cellStyle name="Output 2 10" xfId="1271" xr:uid="{B9E3F5CD-19BC-459C-BB07-1C09880480D2}"/>
    <cellStyle name="Output 2 2" xfId="1272" xr:uid="{057478C0-BDC1-4CAC-A48C-F59407FA94F6}"/>
    <cellStyle name="Output 2 3" xfId="1273" xr:uid="{62D0452D-AA50-426A-8EAE-616D6A201DA0}"/>
    <cellStyle name="Output 2 4" xfId="1274" xr:uid="{B7E6D6FF-FA73-489C-9E39-872984C5FEE8}"/>
    <cellStyle name="Output 2 5" xfId="1275" xr:uid="{4B3EE50B-32B3-49A0-A98B-EEEDDB2B7589}"/>
    <cellStyle name="Output 2 6" xfId="1276" xr:uid="{461A7E07-C26E-4939-8A2A-F1C54F8C1AFF}"/>
    <cellStyle name="Output 2 7" xfId="1277" xr:uid="{4CE734C7-E913-4E91-AFF4-3CDF2A06C54A}"/>
    <cellStyle name="Output 2 8" xfId="1278" xr:uid="{531B497D-1585-4198-A4F9-00DF05B2E4AD}"/>
    <cellStyle name="Output 2 9" xfId="1279" xr:uid="{04A11101-6836-4634-8611-315131F39C72}"/>
    <cellStyle name="Output 3" xfId="1280" xr:uid="{D324C841-CA7D-4682-A740-D66A6122E736}"/>
    <cellStyle name="Percent" xfId="2" builtinId="5"/>
    <cellStyle name="Percent 10" xfId="1281" xr:uid="{0E587FF9-167F-48C3-A512-7EE7F1D2E047}"/>
    <cellStyle name="Percent 10 2" xfId="1282" xr:uid="{3C760A58-AD5D-4FE6-9960-FB007C3C9761}"/>
    <cellStyle name="Percent 10 3" xfId="1283" xr:uid="{040A7FD9-E37A-4FE0-AD79-B0A04CE7857A}"/>
    <cellStyle name="Percent 10 4" xfId="1284" xr:uid="{70E1B48B-2381-4F5E-9026-8215341A17C3}"/>
    <cellStyle name="Percent 10 5" xfId="1285" xr:uid="{97F83A4C-8D09-4769-B354-779DC18DAA90}"/>
    <cellStyle name="Percent 10 6" xfId="1286" xr:uid="{0D84335A-DD45-41B6-949F-1B1F5273F5AD}"/>
    <cellStyle name="Percent 10 7" xfId="1287" xr:uid="{1AC690F6-A8E1-4AFF-8BD0-51A1183B73B9}"/>
    <cellStyle name="Percent 10 8" xfId="1288" xr:uid="{CBF7A4EE-B4FB-41FB-B37B-D46959C8B0F5}"/>
    <cellStyle name="Percent 11" xfId="1289" xr:uid="{2448F21C-1CF0-4588-BE92-32EEE6E1896B}"/>
    <cellStyle name="Percent 11 2" xfId="1290" xr:uid="{38546A9E-DCB9-48A7-8914-E5B5158E907B}"/>
    <cellStyle name="Percent 11 3" xfId="1291" xr:uid="{F04F9919-CF16-4E35-8B63-922CE595FA68}"/>
    <cellStyle name="Percent 11 4" xfId="1292" xr:uid="{579C02CB-01D9-4A67-A30C-6F78C7D917ED}"/>
    <cellStyle name="Percent 11 5" xfId="1293" xr:uid="{16C0F70A-BA07-4A28-8BEC-4E8B1BE4201F}"/>
    <cellStyle name="Percent 11 6" xfId="1294" xr:uid="{6E5663E5-4933-4022-A30E-507D34259625}"/>
    <cellStyle name="Percent 11 7" xfId="1295" xr:uid="{D3927B96-3FAD-44B2-8515-F68990FA9742}"/>
    <cellStyle name="Percent 11 8" xfId="1296" xr:uid="{D8D82A72-21AB-4F66-83F5-C0987ABFCA50}"/>
    <cellStyle name="Percent 12" xfId="1297" xr:uid="{9B7762A3-97A7-4999-84BA-DF2DE1B1242F}"/>
    <cellStyle name="Percent 12 2" xfId="1298" xr:uid="{D389D4B4-0FC6-464D-9649-D2CE4233B2DA}"/>
    <cellStyle name="Percent 12 3" xfId="1299" xr:uid="{5BF7720A-D6E5-4FED-BB53-3B2FDD63C53A}"/>
    <cellStyle name="Percent 12 4" xfId="1300" xr:uid="{0B6FCFBE-AC4D-48AE-925B-2C8BE6EB240D}"/>
    <cellStyle name="Percent 12 5" xfId="1301" xr:uid="{C0E850A7-FF9F-4D90-AAA2-0978321C3482}"/>
    <cellStyle name="Percent 12 6" xfId="1302" xr:uid="{8D9DEA2C-B903-406F-A37F-8BEA026B0579}"/>
    <cellStyle name="Percent 12 7" xfId="1303" xr:uid="{7C095D99-B01D-4DED-8380-E522E6506EC2}"/>
    <cellStyle name="Percent 12 8" xfId="1304" xr:uid="{8D75AC55-3F23-42A4-8668-9224046BD6FC}"/>
    <cellStyle name="Percent 13" xfId="1305" xr:uid="{EC096245-ABFC-4507-9D26-41386580E20B}"/>
    <cellStyle name="Percent 13 2" xfId="1306" xr:uid="{98C8895A-4114-4363-B375-F544AD6E04F7}"/>
    <cellStyle name="Percent 13 3" xfId="1307" xr:uid="{5337DC34-DBC2-415A-8534-287B0931B76C}"/>
    <cellStyle name="Percent 13 4" xfId="1308" xr:uid="{1804162A-6A12-464F-9416-24DBF8FC6A1C}"/>
    <cellStyle name="Percent 13 5" xfId="1309" xr:uid="{7CA26437-F24B-4CA5-908F-9844A3375FC9}"/>
    <cellStyle name="Percent 13 6" xfId="1310" xr:uid="{DBB4F50D-BB90-454E-903F-FFD3ADE14F15}"/>
    <cellStyle name="Percent 13 7" xfId="1311" xr:uid="{D80E7181-B0F6-4C53-B2D8-DD4F32629399}"/>
    <cellStyle name="Percent 13 8" xfId="1312" xr:uid="{2D761399-B2F2-4FB7-A637-2F6D92ECAA2D}"/>
    <cellStyle name="Percent 14" xfId="1313" xr:uid="{1F94D0D8-6ACE-4CD6-ACD5-CEE687389282}"/>
    <cellStyle name="Percent 14 2" xfId="1314" xr:uid="{4C121FB2-DEA8-4B94-91B1-D8EFB5A337D3}"/>
    <cellStyle name="Percent 14 3" xfId="1315" xr:uid="{8009886D-0C36-4FB8-AFAE-2DA14C356ADB}"/>
    <cellStyle name="Percent 14 4" xfId="1316" xr:uid="{701F13E7-4A40-46D6-9C19-1C8C78D13625}"/>
    <cellStyle name="Percent 14 5" xfId="1317" xr:uid="{477B19AE-76D0-4C7D-A0DB-ACA50FA861EF}"/>
    <cellStyle name="Percent 14 6" xfId="1318" xr:uid="{242430C7-1A86-4414-831C-1F817C68286B}"/>
    <cellStyle name="Percent 14 7" xfId="1319" xr:uid="{49552786-80C0-4975-B778-EEF50926D523}"/>
    <cellStyle name="Percent 14 8" xfId="1320" xr:uid="{F2D146D7-6A4B-46C3-AE97-B399FAD2B68B}"/>
    <cellStyle name="Percent 15" xfId="1321" xr:uid="{382130FF-772E-412B-861C-88278392ACC4}"/>
    <cellStyle name="Percent 15 10" xfId="1322" xr:uid="{0D1283DA-2F69-4393-AA35-0D42E66B365B}"/>
    <cellStyle name="Percent 15 11" xfId="1323" xr:uid="{573C8528-911F-47F8-9237-F38C1477CBB4}"/>
    <cellStyle name="Percent 15 12" xfId="1324" xr:uid="{7A78C141-070E-4D82-BD10-00AD52C16E01}"/>
    <cellStyle name="Percent 15 13" xfId="1325" xr:uid="{F8FF8E18-CC32-4764-BA7C-940D78C165DD}"/>
    <cellStyle name="Percent 15 14" xfId="1326" xr:uid="{FDE987E1-25D8-404A-8B25-B634FF3E848D}"/>
    <cellStyle name="Percent 15 2" xfId="1327" xr:uid="{ACB5DAE4-1B64-4417-9E54-7D48C4B10035}"/>
    <cellStyle name="Percent 15 2 2" xfId="1328" xr:uid="{0A2E337B-DE27-4D3E-9529-13B910178E42}"/>
    <cellStyle name="Percent 15 2 3" xfId="1329" xr:uid="{92D91760-9E0B-43C4-9C0F-A18EFD5ED9FD}"/>
    <cellStyle name="Percent 15 2 4" xfId="1330" xr:uid="{3805C182-7EBA-492C-8C8A-3DD8EC7B9BC5}"/>
    <cellStyle name="Percent 15 2 5" xfId="1331" xr:uid="{275F4214-BD05-44D5-AFF1-AB10BF3A4BD4}"/>
    <cellStyle name="Percent 15 2 6" xfId="1332" xr:uid="{FBB9BC67-0906-4BB0-BB6C-8D8A907171D3}"/>
    <cellStyle name="Percent 15 2 7" xfId="1333" xr:uid="{D5195C94-B53A-40EF-9AFD-E3D362B6AAC4}"/>
    <cellStyle name="Percent 15 3" xfId="1334" xr:uid="{C861CEC0-43A5-4C78-99B8-C294083BD0F2}"/>
    <cellStyle name="Percent 15 4" xfId="1335" xr:uid="{EFB58D24-F6BF-4CE0-A74D-BBEC9ECB2F71}"/>
    <cellStyle name="Percent 15 5" xfId="1336" xr:uid="{220E9DD0-E954-4AC4-8EA3-6ED3D04AF786}"/>
    <cellStyle name="Percent 15 6" xfId="1337" xr:uid="{51E42B1E-8687-42F6-8144-367E00A7E9A8}"/>
    <cellStyle name="Percent 15 7" xfId="1338" xr:uid="{56DA5C5B-2C11-4FAA-B2D5-43751A7C2FE1}"/>
    <cellStyle name="Percent 15 8" xfId="1339" xr:uid="{53E0FA2A-5119-4062-B11A-B3046F91BE0F}"/>
    <cellStyle name="Percent 15 9" xfId="1340" xr:uid="{B995E384-9D73-474F-8BB1-224B2362E88D}"/>
    <cellStyle name="Percent 16 2" xfId="1341" xr:uid="{1399D612-7EF9-4666-ACC7-EC62E7E6A209}"/>
    <cellStyle name="Percent 16 3" xfId="1342" xr:uid="{B3A2FB18-AAF8-4DEF-8AEC-146055B2BD93}"/>
    <cellStyle name="Percent 16 3 10" xfId="1343" xr:uid="{DC862F18-B195-4A10-BDDE-8D36210F91B0}"/>
    <cellStyle name="Percent 16 3 11" xfId="1344" xr:uid="{71F7F684-2675-42AC-B5A5-69E26800D862}"/>
    <cellStyle name="Percent 16 3 12" xfId="1345" xr:uid="{535244A5-67B5-473C-8826-C2497C6EFF66}"/>
    <cellStyle name="Percent 16 3 13" xfId="1346" xr:uid="{015830EC-1574-4C03-9C0D-3632616BDAC6}"/>
    <cellStyle name="Percent 16 3 14" xfId="1347" xr:uid="{BE2F5B60-F876-46D3-9AFC-21E76DE1EE83}"/>
    <cellStyle name="Percent 16 3 15" xfId="1348" xr:uid="{BC4B646C-4804-48A3-B701-94A38A4DD78A}"/>
    <cellStyle name="Percent 16 3 16" xfId="1349" xr:uid="{CB2BE668-78DE-45A6-B33A-6B634D71A01B}"/>
    <cellStyle name="Percent 16 3 17" xfId="1350" xr:uid="{F86FD455-62C7-4FF0-BC9B-A00E6AC7FE68}"/>
    <cellStyle name="Percent 16 3 2" xfId="1351" xr:uid="{CB5D63E6-9688-45C3-9177-17190299F1BB}"/>
    <cellStyle name="Percent 16 3 3" xfId="1352" xr:uid="{1A481AC7-210F-4231-AB1D-E359B6767B5D}"/>
    <cellStyle name="Percent 16 3 4" xfId="1353" xr:uid="{98FAA9F3-B437-4FBD-96F8-11759ABEF617}"/>
    <cellStyle name="Percent 16 3 5" xfId="1354" xr:uid="{75EAB930-981A-4F81-BBF0-1D125E57987D}"/>
    <cellStyle name="Percent 16 3 6" xfId="1355" xr:uid="{DFD22889-9A93-465C-A410-DB9E534189BC}"/>
    <cellStyle name="Percent 16 3 7" xfId="1356" xr:uid="{6A47E551-AE52-4601-89A3-3EDBD73466CD}"/>
    <cellStyle name="Percent 16 3 8" xfId="1357" xr:uid="{878F4264-881F-49C4-81DC-14A8AC8A4927}"/>
    <cellStyle name="Percent 16 3 9" xfId="1358" xr:uid="{23D7BD82-8AF0-4B91-9AC6-D2F588164465}"/>
    <cellStyle name="Percent 16 4" xfId="1359" xr:uid="{5C41664D-CBA8-4654-8033-C6A72E73C7F8}"/>
    <cellStyle name="Percent 16 4 10" xfId="1360" xr:uid="{495C3AB1-F8CE-4D50-BF31-6E9B4AE99340}"/>
    <cellStyle name="Percent 16 4 11" xfId="1361" xr:uid="{AAE0418A-F19B-4C9E-9FAF-15B0FA819936}"/>
    <cellStyle name="Percent 16 4 12" xfId="1362" xr:uid="{52B9CF33-61D8-4B1F-80DD-3E0427A369FB}"/>
    <cellStyle name="Percent 16 4 13" xfId="1363" xr:uid="{507192F1-3768-4F70-98EB-60F1E1C04A2E}"/>
    <cellStyle name="Percent 16 4 14" xfId="1364" xr:uid="{0A200089-42DD-4CD1-94DC-3CB4ACBB64BF}"/>
    <cellStyle name="Percent 16 4 15" xfId="1365" xr:uid="{B0E2A3AC-FF10-4C31-95F8-53168D01AA1E}"/>
    <cellStyle name="Percent 16 4 16" xfId="1366" xr:uid="{AD3AC599-60AF-462D-A9CE-F4357A051FF3}"/>
    <cellStyle name="Percent 16 4 17" xfId="1367" xr:uid="{D7BEF019-6CA4-4BE0-9BC9-54DB9F03F20C}"/>
    <cellStyle name="Percent 16 4 2" xfId="1368" xr:uid="{0EE1FEC3-58BE-4800-B751-F5BD223CABA0}"/>
    <cellStyle name="Percent 16 4 3" xfId="1369" xr:uid="{9F390279-8FE0-486B-92CB-45A4AEAABFED}"/>
    <cellStyle name="Percent 16 4 4" xfId="1370" xr:uid="{71596418-F931-4B46-AAA7-0E6D0980A83A}"/>
    <cellStyle name="Percent 16 4 5" xfId="1371" xr:uid="{DEAF2435-1885-4F51-A43B-50379472CA50}"/>
    <cellStyle name="Percent 16 4 6" xfId="1372" xr:uid="{7FD43C17-C7CF-4516-A6F0-B3784C50D138}"/>
    <cellStyle name="Percent 16 4 7" xfId="1373" xr:uid="{3D06C323-85FB-43AD-9F7F-5F6783397CBD}"/>
    <cellStyle name="Percent 16 4 8" xfId="1374" xr:uid="{C6D7C65B-F846-4DD4-9CF1-8C136AC8D489}"/>
    <cellStyle name="Percent 16 4 9" xfId="1375" xr:uid="{97CB928C-DCAA-4979-8084-342B47AE5D77}"/>
    <cellStyle name="Percent 16 5" xfId="1376" xr:uid="{4CC8034A-721D-45D3-A038-82197EB78EA2}"/>
    <cellStyle name="Percent 16 5 10" xfId="1377" xr:uid="{25EBF18F-A310-49ED-A517-A200786306BD}"/>
    <cellStyle name="Percent 16 5 11" xfId="1378" xr:uid="{C425C283-4B8F-43B5-A1F4-28CA4B641250}"/>
    <cellStyle name="Percent 16 5 12" xfId="1379" xr:uid="{41070746-F2FE-4C6C-973F-94DF884ACAA6}"/>
    <cellStyle name="Percent 16 5 13" xfId="1380" xr:uid="{E867F99C-A6CD-4786-BE91-8A746759B036}"/>
    <cellStyle name="Percent 16 5 14" xfId="1381" xr:uid="{02424A4E-9EF6-4270-93F8-B7E7A6E5A32B}"/>
    <cellStyle name="Percent 16 5 15" xfId="1382" xr:uid="{884E764E-2C8E-4478-8A98-325110FECA34}"/>
    <cellStyle name="Percent 16 5 16" xfId="1383" xr:uid="{D247EE0D-5B82-4C1A-A2CB-49C2A6AE4E8F}"/>
    <cellStyle name="Percent 16 5 17" xfId="1384" xr:uid="{ECBFE22C-3E30-4E2D-AD15-0CCDDE07E5E5}"/>
    <cellStyle name="Percent 16 5 2" xfId="1385" xr:uid="{3BD8EEC4-2B62-4040-9542-CE0D6186FC34}"/>
    <cellStyle name="Percent 16 5 3" xfId="1386" xr:uid="{B9ADA34A-C472-454A-8191-E408EB16EB18}"/>
    <cellStyle name="Percent 16 5 4" xfId="1387" xr:uid="{5A22103A-37A6-40A7-AAF7-A738851A3111}"/>
    <cellStyle name="Percent 16 5 5" xfId="1388" xr:uid="{6C5469D3-AF25-406E-AB31-AA0D55957AE0}"/>
    <cellStyle name="Percent 16 5 6" xfId="1389" xr:uid="{60D3B11F-0982-4956-BB70-FAD2EFC74339}"/>
    <cellStyle name="Percent 16 5 7" xfId="1390" xr:uid="{E67B355A-5ACB-46BD-9E0C-3FED2727B293}"/>
    <cellStyle name="Percent 16 5 8" xfId="1391" xr:uid="{4290ED5D-E850-429C-989B-4D3C94A4BDC0}"/>
    <cellStyle name="Percent 16 5 9" xfId="1392" xr:uid="{4D7AEBC6-9A31-49D1-B8B1-0B9804A2C4B9}"/>
    <cellStyle name="Percent 16 6" xfId="1393" xr:uid="{3C07CB12-21B4-49FE-9448-FB46591801CB}"/>
    <cellStyle name="Percent 16 6 10" xfId="1394" xr:uid="{2B103479-C24D-46B0-8B58-54B84560A874}"/>
    <cellStyle name="Percent 16 6 11" xfId="1395" xr:uid="{71E9CD73-BDA8-4295-AF25-4A61E421E7EB}"/>
    <cellStyle name="Percent 16 6 12" xfId="1396" xr:uid="{6F2C5C8F-876A-482F-B3E5-921DF8003AE7}"/>
    <cellStyle name="Percent 16 6 13" xfId="1397" xr:uid="{C061536B-9CC5-4017-BB60-E095FC97B4B8}"/>
    <cellStyle name="Percent 16 6 14" xfId="1398" xr:uid="{EA8EAF89-DF55-49DA-A634-679EF986989D}"/>
    <cellStyle name="Percent 16 6 15" xfId="1399" xr:uid="{3A536E74-3C3C-477E-B3D1-35BE6B6ABB85}"/>
    <cellStyle name="Percent 16 6 16" xfId="1400" xr:uid="{13A5CB3E-5426-4CC2-B81E-41D86E929D46}"/>
    <cellStyle name="Percent 16 6 17" xfId="1401" xr:uid="{85D9A43F-4290-4866-86C9-51869101647A}"/>
    <cellStyle name="Percent 16 6 2" xfId="1402" xr:uid="{DE63BBF0-FFD7-46E7-880B-6E55F13BADA2}"/>
    <cellStyle name="Percent 16 6 3" xfId="1403" xr:uid="{D6BD6B40-55CD-4031-AF81-8D1A0B0FA4FB}"/>
    <cellStyle name="Percent 16 6 4" xfId="1404" xr:uid="{B8C17F9C-D9AB-49E2-8ADC-259C1BD8AD77}"/>
    <cellStyle name="Percent 16 6 5" xfId="1405" xr:uid="{18CBC406-78A9-4F9D-8387-898B5759DD50}"/>
    <cellStyle name="Percent 16 6 6" xfId="1406" xr:uid="{D6CF45FA-0060-4719-9E3A-81E3843F23BD}"/>
    <cellStyle name="Percent 16 6 7" xfId="1407" xr:uid="{412F3E75-4A66-4852-843D-1CA1E1F4A278}"/>
    <cellStyle name="Percent 16 6 8" xfId="1408" xr:uid="{C794ED99-EED5-4DBD-BA12-C5273B83B5E4}"/>
    <cellStyle name="Percent 16 6 9" xfId="1409" xr:uid="{05D0E93D-8AFB-432B-81B8-903C42979A29}"/>
    <cellStyle name="Percent 16 7" xfId="1410" xr:uid="{685F3EDF-B520-4513-9C4D-63D1400F4D70}"/>
    <cellStyle name="Percent 16 7 10" xfId="1411" xr:uid="{CCEC881F-1275-425B-8707-82BEC7A1B622}"/>
    <cellStyle name="Percent 16 7 11" xfId="1412" xr:uid="{1E232F50-1274-4D86-AEEE-5472C8224D3E}"/>
    <cellStyle name="Percent 16 7 12" xfId="1413" xr:uid="{32A6BC23-FC15-4002-A9F6-42131C2A907B}"/>
    <cellStyle name="Percent 16 7 13" xfId="1414" xr:uid="{6610AA63-70C0-4E99-9A08-672F5E03CB0E}"/>
    <cellStyle name="Percent 16 7 14" xfId="1415" xr:uid="{7C426CE8-FC62-4242-B403-460B6D6AB964}"/>
    <cellStyle name="Percent 16 7 15" xfId="1416" xr:uid="{8BF89369-2B67-4169-B68A-755CE572C15B}"/>
    <cellStyle name="Percent 16 7 16" xfId="1417" xr:uid="{66A0AF01-7501-427F-8B04-A0D9158EF3DD}"/>
    <cellStyle name="Percent 16 7 17" xfId="1418" xr:uid="{92AF42C9-AFF1-4D2A-ADFE-5DE0BFA58B7F}"/>
    <cellStyle name="Percent 16 7 2" xfId="1419" xr:uid="{FAF0EDD2-4F0B-4675-B1A1-81635610FBA0}"/>
    <cellStyle name="Percent 16 7 3" xfId="1420" xr:uid="{18C7F0E4-2694-4083-A55E-837152A7BFA7}"/>
    <cellStyle name="Percent 16 7 4" xfId="1421" xr:uid="{5E3233D3-E77A-4F71-A365-88BB1D7D2F03}"/>
    <cellStyle name="Percent 16 7 5" xfId="1422" xr:uid="{EF95C215-91A6-4536-9FE6-34AE5418CC87}"/>
    <cellStyle name="Percent 16 7 6" xfId="1423" xr:uid="{56234CCF-1524-42D7-B466-7FCB31EDB263}"/>
    <cellStyle name="Percent 16 7 7" xfId="1424" xr:uid="{41E979B1-2D36-4D0C-9A2F-1195D7CEAC9A}"/>
    <cellStyle name="Percent 16 7 8" xfId="1425" xr:uid="{96A3A457-068E-4AFC-A460-39CB49853ACB}"/>
    <cellStyle name="Percent 16 7 9" xfId="1426" xr:uid="{2F02D8F0-FAB0-4C72-A52A-585B49822937}"/>
    <cellStyle name="Percent 16 8" xfId="1427" xr:uid="{F3077D15-579F-4A74-9D2F-47CED2E8EDBE}"/>
    <cellStyle name="Percent 16 8 10" xfId="1428" xr:uid="{D91EF646-929C-4EC6-A7B8-DCBB1F6BFF1A}"/>
    <cellStyle name="Percent 16 8 11" xfId="1429" xr:uid="{35CC5097-2619-4399-B280-4D1A1617CB73}"/>
    <cellStyle name="Percent 16 8 12" xfId="1430" xr:uid="{2D8EDD39-4A8F-4CDA-B4E7-093431E00B62}"/>
    <cellStyle name="Percent 16 8 13" xfId="1431" xr:uid="{5CF6D9C0-EB33-4D0B-B75E-061C4FFE1BB7}"/>
    <cellStyle name="Percent 16 8 14" xfId="1432" xr:uid="{46FB2B04-7E62-4644-9638-983FED2476D5}"/>
    <cellStyle name="Percent 16 8 15" xfId="1433" xr:uid="{9A865EF6-3EA3-4BDE-B097-38F737954001}"/>
    <cellStyle name="Percent 16 8 16" xfId="1434" xr:uid="{C5A8FAED-29D1-4370-B68F-7B853C646541}"/>
    <cellStyle name="Percent 16 8 17" xfId="1435" xr:uid="{EDA83388-16EA-46C8-B12B-CA1A954EBAFE}"/>
    <cellStyle name="Percent 16 8 2" xfId="1436" xr:uid="{3A2EECBA-DA63-4C8B-94B4-1CBAF77D59EA}"/>
    <cellStyle name="Percent 16 8 3" xfId="1437" xr:uid="{CC060641-C0C2-4ECD-B7F4-DC235CBC3651}"/>
    <cellStyle name="Percent 16 8 4" xfId="1438" xr:uid="{E8A1996A-D04D-475C-AA3E-0BCA4A6F7EFC}"/>
    <cellStyle name="Percent 16 8 5" xfId="1439" xr:uid="{8F88E197-115B-469D-BA09-F7DF6D00971C}"/>
    <cellStyle name="Percent 16 8 6" xfId="1440" xr:uid="{6D3DB08C-DB65-47AB-906E-D56169F274D9}"/>
    <cellStyle name="Percent 16 8 7" xfId="1441" xr:uid="{99EDC33C-4B72-45A3-B51C-078486E34FDB}"/>
    <cellStyle name="Percent 16 8 8" xfId="1442" xr:uid="{1FAA3D47-6D5C-4E98-BB92-5E3D3DBBEB21}"/>
    <cellStyle name="Percent 16 8 9" xfId="1443" xr:uid="{1B3C6A07-BFD6-4EA5-8E91-6D1BA88F117D}"/>
    <cellStyle name="Percent 16 9" xfId="1444" xr:uid="{F3ACFFD8-1FF3-4673-B239-36A3928FA347}"/>
    <cellStyle name="Percent 16 9 10" xfId="1445" xr:uid="{32CBE2EC-701E-40D0-B0A5-880E428D5032}"/>
    <cellStyle name="Percent 16 9 11" xfId="1446" xr:uid="{8CD6EBE7-493A-4134-89F1-0E1946844D43}"/>
    <cellStyle name="Percent 16 9 12" xfId="1447" xr:uid="{777B5154-93F9-4213-A616-97ED0A52B627}"/>
    <cellStyle name="Percent 16 9 13" xfId="1448" xr:uid="{AFA9BE15-05B7-4630-8FEA-8634FDEF424B}"/>
    <cellStyle name="Percent 16 9 14" xfId="1449" xr:uid="{69F1ACAA-2D06-46E0-BB4B-E14FD0AF197B}"/>
    <cellStyle name="Percent 16 9 15" xfId="1450" xr:uid="{EF9728EE-2808-42AF-A8FC-A3FB0292C2ED}"/>
    <cellStyle name="Percent 16 9 16" xfId="1451" xr:uid="{7E1255D6-134B-4180-B5A0-C856635006FF}"/>
    <cellStyle name="Percent 16 9 17" xfId="1452" xr:uid="{99FA582C-85D2-4D74-87AC-2C0E4D36A88F}"/>
    <cellStyle name="Percent 16 9 2" xfId="1453" xr:uid="{1B20C2EC-89BA-4D1E-B804-17C1EBD9796D}"/>
    <cellStyle name="Percent 16 9 3" xfId="1454" xr:uid="{43767ACE-D820-44F1-ACB7-A790DAAEE5B3}"/>
    <cellStyle name="Percent 16 9 4" xfId="1455" xr:uid="{DB085A4B-6243-451A-B2BF-7F2F583A9593}"/>
    <cellStyle name="Percent 16 9 5" xfId="1456" xr:uid="{26694D43-BC50-4957-BE97-A3B80A77EF6A}"/>
    <cellStyle name="Percent 16 9 6" xfId="1457" xr:uid="{E71DB0CB-0C0B-4894-8178-144CFC287998}"/>
    <cellStyle name="Percent 16 9 7" xfId="1458" xr:uid="{9984C6BF-37F4-4E6F-98DB-554156CA220B}"/>
    <cellStyle name="Percent 16 9 8" xfId="1459" xr:uid="{6A8C8204-C736-4923-90AB-E648C3184E2B}"/>
    <cellStyle name="Percent 16 9 9" xfId="1460" xr:uid="{6C5B96EE-3DCA-433B-B63E-700B77C8A33A}"/>
    <cellStyle name="Percent 2" xfId="11" xr:uid="{67AB85C4-D7BC-44F6-A4E4-A976CE9E6E19}"/>
    <cellStyle name="Percent 2 10" xfId="1461" xr:uid="{0FAD8293-5FA1-4D5E-9F91-766803E74808}"/>
    <cellStyle name="Percent 2 10 2" xfId="1462" xr:uid="{283130FA-AA6B-4346-8D18-B19E6E2F1140}"/>
    <cellStyle name="Percent 2 10 3" xfId="1463" xr:uid="{BB5D97FC-173B-4F92-95FE-EE8CC15B9475}"/>
    <cellStyle name="Percent 2 10 4" xfId="1464" xr:uid="{44DF4768-CB00-4317-BEB9-7CC46C9FC065}"/>
    <cellStyle name="Percent 2 10 5" xfId="1465" xr:uid="{637923CD-A730-4595-8A5C-E1147D249BAA}"/>
    <cellStyle name="Percent 2 10 6" xfId="1466" xr:uid="{6E7AADB6-7B86-4B9B-85A3-A40A02C5244B}"/>
    <cellStyle name="Percent 2 10 7" xfId="1467" xr:uid="{6EDDADEC-E33A-4788-9296-4E4EAEE3DB47}"/>
    <cellStyle name="Percent 2 10 8" xfId="1468" xr:uid="{5D270B64-E29E-4D90-85CE-DC3DD7B6E7D4}"/>
    <cellStyle name="Percent 2 11" xfId="1469" xr:uid="{E309CCD6-CD8D-4B7B-88B1-0F35FB490D39}"/>
    <cellStyle name="Percent 2 11 2" xfId="1470" xr:uid="{45F2775C-8293-4179-85F8-ADE9FFF41DF9}"/>
    <cellStyle name="Percent 2 11 3" xfId="1471" xr:uid="{03DA5E77-9248-4A1E-A5E6-8B886492C8E2}"/>
    <cellStyle name="Percent 2 11 4" xfId="1472" xr:uid="{39CAD033-A035-4BED-8D52-BF895738B6AE}"/>
    <cellStyle name="Percent 2 11 5" xfId="1473" xr:uid="{4D4463CA-5BF5-49EC-AC7C-3E1431C01C52}"/>
    <cellStyle name="Percent 2 11 6" xfId="1474" xr:uid="{F0093A36-CD7C-40CF-9D25-6EFE3EF0E8B8}"/>
    <cellStyle name="Percent 2 11 7" xfId="1475" xr:uid="{2048AEA6-515C-4B73-A1EE-431F3222C85A}"/>
    <cellStyle name="Percent 2 11 8" xfId="1476" xr:uid="{298B4743-9C2C-485D-8B1E-A8B30EEAB611}"/>
    <cellStyle name="Percent 2 12" xfId="1477" xr:uid="{E6B852AD-A907-4E7E-8040-0F958D952284}"/>
    <cellStyle name="Percent 2 13" xfId="1478" xr:uid="{D1FAEF72-37A1-40BC-8B24-41A20EA934B8}"/>
    <cellStyle name="Percent 2 14" xfId="1479" xr:uid="{1782AE4E-BF5C-471E-A6C4-AE03FB5862D9}"/>
    <cellStyle name="Percent 2 15" xfId="1480" xr:uid="{D0081A14-18E7-404C-8E65-246FFDD719F2}"/>
    <cellStyle name="Percent 2 16" xfId="1481" xr:uid="{13E5B508-572E-4908-A060-3102C8D81849}"/>
    <cellStyle name="Percent 2 17" xfId="1482" xr:uid="{08FEAF20-B3DC-4CD5-ABDA-AC1DB3F59DF7}"/>
    <cellStyle name="Percent 2 18" xfId="1483" xr:uid="{6CF12EFA-081B-4F87-9E4B-4BE95276BC7E}"/>
    <cellStyle name="Percent 2 19" xfId="59" xr:uid="{40762624-BFF2-4B07-AE97-A8A6BB6351E7}"/>
    <cellStyle name="Percent 2 2" xfId="1484" xr:uid="{5A4C3CBA-8789-4CA6-BF8B-B96940AECAFF}"/>
    <cellStyle name="Percent 2 2 2" xfId="1485" xr:uid="{AC6517E9-9334-48F6-9900-4FB45A9FFA60}"/>
    <cellStyle name="Percent 2 2 3" xfId="1486" xr:uid="{46B236D8-EE97-4651-AFC4-9F88CCDE6015}"/>
    <cellStyle name="Percent 2 2 4" xfId="1487" xr:uid="{C91C2828-5E78-495A-B46F-364077963C15}"/>
    <cellStyle name="Percent 2 2 5" xfId="1488" xr:uid="{4420BA17-E5C4-4AD5-91CF-29E982014377}"/>
    <cellStyle name="Percent 2 2 6" xfId="1489" xr:uid="{52D8AD50-B050-43EA-A15C-EBA832553038}"/>
    <cellStyle name="Percent 2 2 7" xfId="1490" xr:uid="{94C522BF-93BC-475E-97A8-742431A472FC}"/>
    <cellStyle name="Percent 2 2 8" xfId="1491" xr:uid="{ABEDF547-CC2D-45B0-BA95-76FFC408A725}"/>
    <cellStyle name="Percent 2 3" xfId="1492" xr:uid="{9E128673-4D08-4ED1-AEC8-856B300C77DF}"/>
    <cellStyle name="Percent 2 3 2" xfId="1493" xr:uid="{239ABC71-7117-4547-A27C-8F534C5D7750}"/>
    <cellStyle name="Percent 2 3 3" xfId="1494" xr:uid="{601EEFB9-98F9-4A28-BC34-B08DBF4998E8}"/>
    <cellStyle name="Percent 2 3 4" xfId="1495" xr:uid="{975F54E7-15F2-403C-903E-C235EE8C6249}"/>
    <cellStyle name="Percent 2 3 5" xfId="1496" xr:uid="{858761A2-0680-44BA-B477-234BE9345BBC}"/>
    <cellStyle name="Percent 2 3 6" xfId="1497" xr:uid="{4B604F33-AA9B-48C2-B2DB-7BA55CF5A47C}"/>
    <cellStyle name="Percent 2 3 7" xfId="1498" xr:uid="{8378035F-6E6E-48D1-B509-4DA43B896423}"/>
    <cellStyle name="Percent 2 3 8" xfId="1499" xr:uid="{D8EA4E3F-B55B-40C4-9E0B-1E1D6859870E}"/>
    <cellStyle name="Percent 2 4" xfId="1500" xr:uid="{512E0891-0472-4488-9535-367CC0C3CFAC}"/>
    <cellStyle name="Percent 2 4 2" xfId="1501" xr:uid="{AAF7163E-4A9D-4094-9E42-BCB280399C2D}"/>
    <cellStyle name="Percent 2 4 3" xfId="1502" xr:uid="{949B1E7A-2B97-46CA-B2A1-E4B3ED9D92DA}"/>
    <cellStyle name="Percent 2 4 4" xfId="1503" xr:uid="{FE0F87BC-47BB-4B92-82A8-F1671EFF6D37}"/>
    <cellStyle name="Percent 2 4 5" xfId="1504" xr:uid="{92E2ED77-A424-4418-9918-AE5BE3B8F0B8}"/>
    <cellStyle name="Percent 2 4 6" xfId="1505" xr:uid="{EBFC18AD-1018-47F9-91D2-BB762089F943}"/>
    <cellStyle name="Percent 2 4 7" xfId="1506" xr:uid="{CACB0AAF-A5C1-499A-B688-0844DBC44A7C}"/>
    <cellStyle name="Percent 2 4 8" xfId="1507" xr:uid="{E3D224B2-C607-41B8-A3B8-088E5B9F435A}"/>
    <cellStyle name="Percent 2 5" xfId="1508" xr:uid="{211AF843-DFC3-48BF-B1A2-A04B5BBB3336}"/>
    <cellStyle name="Percent 2 5 2" xfId="1509" xr:uid="{C3B564DF-2163-4805-A27C-0582336E8CF8}"/>
    <cellStyle name="Percent 2 5 3" xfId="1510" xr:uid="{6AA26BDC-52B0-495F-9C53-B5F5B6F0C26C}"/>
    <cellStyle name="Percent 2 5 4" xfId="1511" xr:uid="{5C7BAD1F-F838-44BE-9DEF-1223971A8447}"/>
    <cellStyle name="Percent 2 5 5" xfId="1512" xr:uid="{96E7B4DC-2B92-4FF5-8B05-EB753DC68201}"/>
    <cellStyle name="Percent 2 5 6" xfId="1513" xr:uid="{96D7915C-A069-49F9-B571-2610AD5839E9}"/>
    <cellStyle name="Percent 2 5 7" xfId="1514" xr:uid="{28CB06EB-811B-4520-88D0-53CCCA0E7B86}"/>
    <cellStyle name="Percent 2 5 8" xfId="1515" xr:uid="{018796C7-FBE3-4DCC-A9A6-F6D9B305B3FE}"/>
    <cellStyle name="Percent 2 6" xfId="1516" xr:uid="{3FAD6CDC-EBA9-4977-A8A2-EA6918716D16}"/>
    <cellStyle name="Percent 2 6 2" xfId="1517" xr:uid="{78D395A2-383E-4A3D-B96A-99FFB3791D80}"/>
    <cellStyle name="Percent 2 6 3" xfId="1518" xr:uid="{8FF830C3-16A7-489A-9177-D17987EF7FF0}"/>
    <cellStyle name="Percent 2 6 4" xfId="1519" xr:uid="{13F85A44-4D71-437A-BEA6-C4DD64117C1A}"/>
    <cellStyle name="Percent 2 6 5" xfId="1520" xr:uid="{35DD9429-6B7A-4FD8-835B-961038AC5BC8}"/>
    <cellStyle name="Percent 2 6 6" xfId="1521" xr:uid="{1AA38D4E-3499-458F-9CEA-82A9DADAC706}"/>
    <cellStyle name="Percent 2 6 7" xfId="1522" xr:uid="{FCD5011D-2399-4A04-B983-A040EFDBDBC3}"/>
    <cellStyle name="Percent 2 6 8" xfId="1523" xr:uid="{520825E0-2F13-4379-9D56-4CED71510E2E}"/>
    <cellStyle name="Percent 2 7" xfId="1524" xr:uid="{1497B64D-8537-46E5-A2E5-805C515C453C}"/>
    <cellStyle name="Percent 2 7 2" xfId="1525" xr:uid="{851EC845-2670-4E51-AA54-5CA66DB88DE5}"/>
    <cellStyle name="Percent 2 7 3" xfId="1526" xr:uid="{8971D2D4-60EE-4773-8845-0847F1DD5603}"/>
    <cellStyle name="Percent 2 7 4" xfId="1527" xr:uid="{445DE9D5-CE53-421A-976E-0EF4E997BCAF}"/>
    <cellStyle name="Percent 2 7 5" xfId="1528" xr:uid="{A3D816B5-2AC4-4F5C-A581-F7E03BE88363}"/>
    <cellStyle name="Percent 2 7 6" xfId="1529" xr:uid="{530D77DB-DF53-4DD9-89A3-ADD57B56DB34}"/>
    <cellStyle name="Percent 2 7 7" xfId="1530" xr:uid="{2CB52DE9-4C51-4A14-AA66-C82C591769E2}"/>
    <cellStyle name="Percent 2 7 8" xfId="1531" xr:uid="{E5C2B17F-AA49-4B8D-98F0-3AD40BBE9AED}"/>
    <cellStyle name="Percent 2 8" xfId="1532" xr:uid="{EE01A5BF-BBC3-42FB-8362-BF7585AB39DA}"/>
    <cellStyle name="Percent 2 8 2" xfId="1533" xr:uid="{3A9141AF-AF8D-456B-9791-A06589CA65A4}"/>
    <cellStyle name="Percent 2 8 3" xfId="1534" xr:uid="{C24821B0-DA20-43F6-A952-5BCCF3802CA3}"/>
    <cellStyle name="Percent 2 8 4" xfId="1535" xr:uid="{B62B2964-2CAA-41C4-9DE7-38CD9E72A87B}"/>
    <cellStyle name="Percent 2 8 5" xfId="1536" xr:uid="{6EA15BAE-8561-4AA1-A5E9-3573D4F2CAEE}"/>
    <cellStyle name="Percent 2 8 6" xfId="1537" xr:uid="{A5A3E51C-0DF2-4A0C-9610-9275391D95F4}"/>
    <cellStyle name="Percent 2 8 7" xfId="1538" xr:uid="{DD8E4395-EB3A-417D-847B-8EFECD8A8DBC}"/>
    <cellStyle name="Percent 2 8 8" xfId="1539" xr:uid="{F87C24D8-3B08-43B2-BC3D-E895E7C280DD}"/>
    <cellStyle name="Percent 2 9" xfId="1540" xr:uid="{15504918-9740-4DFD-AA0B-B83914B0FDEB}"/>
    <cellStyle name="Percent 2 9 2" xfId="1541" xr:uid="{7A493240-737A-48F2-88D6-1B1A8B4527E5}"/>
    <cellStyle name="Percent 2 9 3" xfId="1542" xr:uid="{C93BD288-12BE-4A9C-8C04-CEC4595502FF}"/>
    <cellStyle name="Percent 2 9 4" xfId="1543" xr:uid="{4D0D6CD4-31C0-449E-8B71-FFB2DC8F1AB6}"/>
    <cellStyle name="Percent 2 9 5" xfId="1544" xr:uid="{37B6EC6D-EFDF-48C2-B1D2-613BBAD139C9}"/>
    <cellStyle name="Percent 2 9 6" xfId="1545" xr:uid="{4686282C-CDB3-405A-A841-CA87C7C73088}"/>
    <cellStyle name="Percent 2 9 7" xfId="1546" xr:uid="{DC69842B-7474-4EC0-9976-A94E6814927B}"/>
    <cellStyle name="Percent 2 9 8" xfId="1547" xr:uid="{8619F253-D43E-4A79-B90E-68D2FC4C70FE}"/>
    <cellStyle name="Percent 3" xfId="1548" xr:uid="{64F99D1D-BCEB-460A-82B3-3E771AF90FA7}"/>
    <cellStyle name="Percent 3 2" xfId="1549" xr:uid="{2B5EB51E-964C-4921-B0A1-431DA8921F72}"/>
    <cellStyle name="Percent 3 3" xfId="1550" xr:uid="{C420D721-B815-4478-AA52-4C5686CB2965}"/>
    <cellStyle name="Percent 3 4" xfId="1551" xr:uid="{AE6A870E-9095-4B6E-8124-8A176A98D107}"/>
    <cellStyle name="Percent 3 5" xfId="1552" xr:uid="{843FC740-BBAE-4F24-AE8C-53D0EEDA2310}"/>
    <cellStyle name="Percent 3 6" xfId="1553" xr:uid="{BBF4D6C8-0355-46F4-8904-917F3C9AC1DA}"/>
    <cellStyle name="Percent 3 7" xfId="1554" xr:uid="{955CA139-CCA7-4361-90A6-6EBDF0054482}"/>
    <cellStyle name="Percent 3 8" xfId="1555" xr:uid="{9D16BC71-B7AE-4BE6-8E20-6DD67B7768A2}"/>
    <cellStyle name="Percent 4" xfId="1556" xr:uid="{22FE9C3D-5FCE-4763-9245-CB667FE1C9B3}"/>
    <cellStyle name="Percent 4 10" xfId="1557" xr:uid="{7DAB1EB3-8A0E-4048-B03D-6C84CB7A6840}"/>
    <cellStyle name="Percent 4 11" xfId="1558" xr:uid="{8BB19CCE-7D95-4F81-8B0E-BE7F39151945}"/>
    <cellStyle name="Percent 4 12" xfId="1559" xr:uid="{543F944B-5F0B-4676-BF1A-6595FD49CAB3}"/>
    <cellStyle name="Percent 4 13" xfId="1560" xr:uid="{F69CA43D-D34D-4B74-ACF5-02323C9E290C}"/>
    <cellStyle name="Percent 4 2" xfId="1561" xr:uid="{D5CF991E-86B5-46AE-8A76-4AD81818945C}"/>
    <cellStyle name="Percent 4 2 2" xfId="1562" xr:uid="{EE101765-AFCE-427B-86D0-70CEF81BBD8F}"/>
    <cellStyle name="Percent 4 2 3" xfId="1563" xr:uid="{71E3E6E3-043A-4BFC-AE28-5CA031463642}"/>
    <cellStyle name="Percent 4 2 4" xfId="1564" xr:uid="{DF18487F-9CB9-4315-AE7D-2E907358645D}"/>
    <cellStyle name="Percent 4 2 5" xfId="1565" xr:uid="{CD12620F-E2C7-4A09-8913-9578D4DD7564}"/>
    <cellStyle name="Percent 4 2 6" xfId="1566" xr:uid="{0C24751C-24BD-4E22-8328-52CBE90F6437}"/>
    <cellStyle name="Percent 4 2 7" xfId="1567" xr:uid="{356BE913-5D39-4A31-9F01-C4BEEC611BF5}"/>
    <cellStyle name="Percent 4 2 8" xfId="1568" xr:uid="{AC68D3DA-5195-4575-AE4F-A55C395F11FF}"/>
    <cellStyle name="Percent 4 3" xfId="1569" xr:uid="{9993F047-B100-4174-85F6-8023A8A26BA4}"/>
    <cellStyle name="Percent 4 3 2" xfId="1570" xr:uid="{62C2488F-8CDC-47E5-9116-8AC3A4F9D758}"/>
    <cellStyle name="Percent 4 3 3" xfId="1571" xr:uid="{2BFB1183-7696-49BA-A5AF-7C888FFF576B}"/>
    <cellStyle name="Percent 4 3 4" xfId="1572" xr:uid="{A9372910-2455-497B-9088-B05D39A32F37}"/>
    <cellStyle name="Percent 4 3 5" xfId="1573" xr:uid="{DB6266E9-E0C3-447F-AFD7-4E35765291FD}"/>
    <cellStyle name="Percent 4 3 6" xfId="1574" xr:uid="{4FE8D44E-852C-427C-AE93-F70FAEDB34B5}"/>
    <cellStyle name="Percent 4 3 7" xfId="1575" xr:uid="{7B805AF2-B5EE-40E2-A8FB-BE52C6935974}"/>
    <cellStyle name="Percent 4 3 8" xfId="1576" xr:uid="{A3C75BCC-0160-4A65-B4F6-30588547B1D7}"/>
    <cellStyle name="Percent 4 4" xfId="1577" xr:uid="{1D91C7F2-2F93-4DC8-A44D-9A06F72B0BC9}"/>
    <cellStyle name="Percent 4 4 2" xfId="1578" xr:uid="{214DA4E6-8D9C-4ACB-AF59-3E6D1C33D659}"/>
    <cellStyle name="Percent 4 4 3" xfId="1579" xr:uid="{8C496712-A8BB-4458-94A8-6B91DBA6A24E}"/>
    <cellStyle name="Percent 4 4 4" xfId="1580" xr:uid="{5745F52D-97FA-4137-96F2-350A585D6F90}"/>
    <cellStyle name="Percent 4 4 5" xfId="1581" xr:uid="{F8289EC5-621B-4DAB-893A-83C95E3FDBA3}"/>
    <cellStyle name="Percent 4 4 6" xfId="1582" xr:uid="{E6B80AA6-01F7-4BB2-A71A-CCC3CCBAB3C8}"/>
    <cellStyle name="Percent 4 4 7" xfId="1583" xr:uid="{5C703C56-5B68-4825-A289-15900D126415}"/>
    <cellStyle name="Percent 4 4 8" xfId="1584" xr:uid="{64D8BFB0-324D-4A77-95C9-8DCC28EDEB1C}"/>
    <cellStyle name="Percent 4 5" xfId="1585" xr:uid="{D0C61357-FD58-4D83-BC6B-D0C3F4200A8C}"/>
    <cellStyle name="Percent 4 5 2" xfId="1586" xr:uid="{0C7EC01C-0DD3-493E-941D-B44916643762}"/>
    <cellStyle name="Percent 4 5 3" xfId="1587" xr:uid="{F4EE4873-8363-4F83-9B8B-B1938CF25BA7}"/>
    <cellStyle name="Percent 4 5 4" xfId="1588" xr:uid="{B21EF836-80C0-4168-911C-69F3EF47EB23}"/>
    <cellStyle name="Percent 4 5 5" xfId="1589" xr:uid="{13C7BE99-861C-49EC-8180-08793EE5002C}"/>
    <cellStyle name="Percent 4 5 6" xfId="1590" xr:uid="{C0477EFD-BEEA-41A7-94DE-A41B5FFC2282}"/>
    <cellStyle name="Percent 4 5 7" xfId="1591" xr:uid="{ECCE5B84-6DCB-48CC-865A-CE6B664AC566}"/>
    <cellStyle name="Percent 4 5 8" xfId="1592" xr:uid="{C7186C59-FA69-4D99-8866-7699DE3B370B}"/>
    <cellStyle name="Percent 4 6" xfId="1593" xr:uid="{830ED2FA-1AE4-469B-9EBE-4CD7003F573D}"/>
    <cellStyle name="Percent 4 6 2" xfId="1594" xr:uid="{CCB02F9E-C89D-449D-8468-2D94EE0A0D44}"/>
    <cellStyle name="Percent 4 6 3" xfId="1595" xr:uid="{3F443DC3-9C88-491E-8B09-C33623A978C5}"/>
    <cellStyle name="Percent 4 6 4" xfId="1596" xr:uid="{3DCE6A89-081A-4070-8E3B-D7D26F0493FD}"/>
    <cellStyle name="Percent 4 6 5" xfId="1597" xr:uid="{3A5F71E8-288C-4E3B-B93B-ADB1912DAAB4}"/>
    <cellStyle name="Percent 4 6 6" xfId="1598" xr:uid="{D98177A0-0898-4AA0-A688-4601D7EF4B8B}"/>
    <cellStyle name="Percent 4 6 7" xfId="1599" xr:uid="{D0D3EDFD-EA4E-445E-A1F1-E19B3976B5DB}"/>
    <cellStyle name="Percent 4 6 8" xfId="1600" xr:uid="{0B895854-FC25-4D57-AAFB-35E358EFF3EC}"/>
    <cellStyle name="Percent 4 7" xfId="1601" xr:uid="{A11E982C-22E6-4180-94CB-787A8045F406}"/>
    <cellStyle name="Percent 4 8" xfId="1602" xr:uid="{C6DB8F0A-4414-4978-97B7-38FBDCECABE8}"/>
    <cellStyle name="Percent 4 9" xfId="1603" xr:uid="{3B10DBBA-89DB-4573-8D8F-95275C1E5B1D}"/>
    <cellStyle name="Percent 5" xfId="1604" xr:uid="{64B3FAE0-26E8-4B25-B807-FED7155767E5}"/>
    <cellStyle name="Percent 5 2" xfId="1605" xr:uid="{6306A052-F458-4411-922C-652291788959}"/>
    <cellStyle name="Percent 5 3" xfId="1606" xr:uid="{546765CD-876D-474B-9243-17C2AD5BA3FD}"/>
    <cellStyle name="Percent 5 4" xfId="1607" xr:uid="{275AFDFD-642A-4349-ABE7-32D40CA213E3}"/>
    <cellStyle name="Percent 5 5" xfId="1608" xr:uid="{583C6777-4056-49D0-BBF5-7EB8251BD20B}"/>
    <cellStyle name="Percent 5 6" xfId="1609" xr:uid="{3010E250-1554-482D-9CEF-70DBE6941FC7}"/>
    <cellStyle name="Percent 5 7" xfId="1610" xr:uid="{24E04C28-EFFF-43B0-8056-1C7B8D3928C5}"/>
    <cellStyle name="Percent 5 8" xfId="1611" xr:uid="{A41AFEA2-CBAE-411D-9734-EB343B2E9CEE}"/>
    <cellStyle name="Percent 6" xfId="1612" xr:uid="{ED4023B0-4021-41AD-8B98-3619E0E1FF72}"/>
    <cellStyle name="Percent 6 2" xfId="1613" xr:uid="{6E99CFA1-A879-480A-933F-8AF4C5375513}"/>
    <cellStyle name="Percent 6 3" xfId="1614" xr:uid="{137E07D1-EE22-4159-8DCF-F0D6170F9EC7}"/>
    <cellStyle name="Percent 6 4" xfId="1615" xr:uid="{13678BDE-17AB-4B16-B888-1688E75F95F0}"/>
    <cellStyle name="Percent 6 5" xfId="1616" xr:uid="{2A82BE31-1773-4A48-B6E6-7DE9C704461E}"/>
    <cellStyle name="Percent 6 6" xfId="1617" xr:uid="{BF893CF9-8571-4C9E-989A-DA22DBA6714B}"/>
    <cellStyle name="Percent 6 7" xfId="1618" xr:uid="{E3E34E3B-1E3C-463F-A2C0-CD4524E09D7D}"/>
    <cellStyle name="Percent 6 8" xfId="1619" xr:uid="{E21511E3-EA48-4811-B327-9104B6913115}"/>
    <cellStyle name="Percent 7" xfId="1620" xr:uid="{042294AE-700B-46A0-9707-E9784A36AFCE}"/>
    <cellStyle name="Percent 7 2" xfId="1621" xr:uid="{D6ED7A91-CBD3-4CB9-AE79-CD791FF23D9D}"/>
    <cellStyle name="Percent 7 3" xfId="1622" xr:uid="{D53B6415-6165-4B91-BA02-FCD048CEE65A}"/>
    <cellStyle name="Percent 7 4" xfId="1623" xr:uid="{D9840C2C-2B37-49E8-BB4D-C5E3126B670D}"/>
    <cellStyle name="Percent 7 5" xfId="1624" xr:uid="{38EC85A7-4972-4FE8-BA3F-1FD055F4A94A}"/>
    <cellStyle name="Percent 7 6" xfId="1625" xr:uid="{84A29FFD-7DB1-4152-AE74-3346E1416223}"/>
    <cellStyle name="Percent 7 7" xfId="1626" xr:uid="{E58E0465-DF4F-4CDA-92CC-0F1375518448}"/>
    <cellStyle name="Percent 7 8" xfId="1627" xr:uid="{5305EA32-98FB-47EB-8FB5-B3A857B40C41}"/>
    <cellStyle name="Percent 8" xfId="1628" xr:uid="{FD30B109-89B0-4115-99DC-D96C7A4D7C5D}"/>
    <cellStyle name="Percent 8 2" xfId="1629" xr:uid="{AF536242-639D-4806-9A21-26F9B4F0324A}"/>
    <cellStyle name="Percent 8 3" xfId="1630" xr:uid="{D2CAF9D4-EF1E-4CEA-B502-36EE7F537C6B}"/>
    <cellStyle name="Percent 8 4" xfId="1631" xr:uid="{EC30D1C8-BF0A-40B8-B9D8-059C6820B014}"/>
    <cellStyle name="Percent 8 5" xfId="1632" xr:uid="{0CC075B1-E9B2-4860-AE4A-8305DA4BB657}"/>
    <cellStyle name="Percent 8 6" xfId="1633" xr:uid="{79949E0B-108B-4E0D-9180-6E46D028E7DA}"/>
    <cellStyle name="Percent 8 7" xfId="1634" xr:uid="{758C71FA-38C0-46AC-B8ED-1E492949C0EC}"/>
    <cellStyle name="Percent 8 8" xfId="1635" xr:uid="{ED83D7B3-BD3A-4A2C-86D5-87139BD49309}"/>
    <cellStyle name="Percent 9" xfId="1636" xr:uid="{E27285DC-C3E7-4D26-9E11-53258CE72098}"/>
    <cellStyle name="Percent 9 2" xfId="1637" xr:uid="{BD91F76F-8524-4E5B-B01E-051D44B5A989}"/>
    <cellStyle name="Percent 9 3" xfId="1638" xr:uid="{2E4C5279-6F72-4397-97BB-16429BF806D3}"/>
    <cellStyle name="Percent 9 4" xfId="1639" xr:uid="{4CC9DD0A-FD7C-4DF3-A03D-E0C471339236}"/>
    <cellStyle name="Percent 9 5" xfId="1640" xr:uid="{9F16578B-921A-497F-9BB8-8F3AAB2C9170}"/>
    <cellStyle name="Percent 9 6" xfId="1641" xr:uid="{E86E5A0A-A505-44D6-B04D-05561863F924}"/>
    <cellStyle name="Percent 9 7" xfId="1642" xr:uid="{B4F80B92-B043-49EB-9F28-B1DC055C7BEF}"/>
    <cellStyle name="Percent 9 8" xfId="1643" xr:uid="{B2B84774-99CF-4AA8-B25A-276FD9FB3416}"/>
    <cellStyle name="Title 2" xfId="17" xr:uid="{9FA863B0-71E5-4049-BB14-64F4FD652F5D}"/>
    <cellStyle name="Title 2 10" xfId="1644" xr:uid="{DA68B318-66C0-4AF1-AFFC-6FC61351DE10}"/>
    <cellStyle name="Title 2 2" xfId="1645" xr:uid="{2879AA79-5947-4BD4-A9FA-966BF4D19A0F}"/>
    <cellStyle name="Title 2 3" xfId="1646" xr:uid="{A74F21B9-B2CA-43CB-940F-611D2E171974}"/>
    <cellStyle name="Title 2 4" xfId="1647" xr:uid="{CE694C8A-21DC-4D1E-B212-9AACF3C11ECE}"/>
    <cellStyle name="Title 2 5" xfId="1648" xr:uid="{7A462FDF-0900-4CCE-AF07-DBF6D98C3765}"/>
    <cellStyle name="Title 2 6" xfId="1649" xr:uid="{6B41AD28-FD1B-4B4C-97FA-4BF28F567082}"/>
    <cellStyle name="Title 2 7" xfId="1650" xr:uid="{8488801B-1344-45C9-8162-93F62D7BDCAC}"/>
    <cellStyle name="Title 2 8" xfId="1651" xr:uid="{689DFEE3-BE97-4C8F-9FB2-C9B5E91040A0}"/>
    <cellStyle name="Title 2 9" xfId="1652" xr:uid="{5D8B6755-3160-4D1A-8AD5-D0403DB2E1C1}"/>
    <cellStyle name="Title 3" xfId="1653" xr:uid="{62ED988A-0460-4DB7-AD0C-E4D6283560E0}"/>
    <cellStyle name="Total 2" xfId="32" xr:uid="{FF7C5B59-192B-45C3-81FE-4CB7C7DE7801}"/>
    <cellStyle name="Total 2 10" xfId="1654" xr:uid="{F00D82A3-7D89-4455-B142-18A710453135}"/>
    <cellStyle name="Total 2 2" xfId="1655" xr:uid="{0D87E255-8C50-4ACE-9926-7140FF790A38}"/>
    <cellStyle name="Total 2 3" xfId="1656" xr:uid="{ED4C8044-CCEA-420B-B161-7D4EB6DB4F87}"/>
    <cellStyle name="Total 2 4" xfId="1657" xr:uid="{F71BD202-FB2B-4B46-923E-15E4DE25EC43}"/>
    <cellStyle name="Total 2 5" xfId="1658" xr:uid="{35784E95-C2F9-4937-BA40-B4B155FCCF78}"/>
    <cellStyle name="Total 2 6" xfId="1659" xr:uid="{7B8C20F0-3C62-4960-8D19-650868702EE2}"/>
    <cellStyle name="Total 2 7" xfId="1660" xr:uid="{B6A514FA-D295-47D2-9F45-59D4F03323F2}"/>
    <cellStyle name="Total 2 8" xfId="1661" xr:uid="{159CED84-0D72-49BA-B898-B77D74585BDE}"/>
    <cellStyle name="Total 2 9" xfId="1662" xr:uid="{CCD7051C-9047-4A1D-A0CF-6135EB23A8FB}"/>
    <cellStyle name="Total 3" xfId="1663" xr:uid="{5C56CDC9-02B2-4AFC-B285-8BD534CD66EF}"/>
    <cellStyle name="Warning Text 2" xfId="30" xr:uid="{F7ADD804-1ECF-4E0B-BC4C-424DE0F567E6}"/>
    <cellStyle name="Warning Text 2 10" xfId="1664" xr:uid="{0F4B512E-DCE7-449C-A39C-247ED410481C}"/>
    <cellStyle name="Warning Text 2 2" xfId="1665" xr:uid="{10283F61-56B6-4792-B5DB-5CB3D38B591C}"/>
    <cellStyle name="Warning Text 2 3" xfId="1666" xr:uid="{5DE4C49C-D3FA-4FCD-9445-86F1579B12D5}"/>
    <cellStyle name="Warning Text 2 4" xfId="1667" xr:uid="{7A8A67E0-898C-43D3-A620-418B5CBE0BE1}"/>
    <cellStyle name="Warning Text 2 5" xfId="1668" xr:uid="{1204A843-0518-4FD7-AE6E-9699EFD0E22F}"/>
    <cellStyle name="Warning Text 2 6" xfId="1669" xr:uid="{F89250F9-230B-4591-B0D7-77414B1BF94F}"/>
    <cellStyle name="Warning Text 2 7" xfId="1670" xr:uid="{5945BE13-A658-481E-8BDF-6251BB1499A3}"/>
    <cellStyle name="Warning Text 2 8" xfId="1671" xr:uid="{564FF763-2E5F-4A7F-9A46-3B3F915981B1}"/>
    <cellStyle name="Warning Text 2 9" xfId="1672" xr:uid="{26CC743D-D419-40F6-B58C-526D2BCF3266}"/>
    <cellStyle name="Warning Text 3" xfId="1673" xr:uid="{A96A610C-B2F8-4CE0-9AC4-8DA2113BD8D2}"/>
    <cellStyle name="已访问的超链接" xfId="1674" xr:uid="{EC758E1B-3337-4473-937C-EAC18D4644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38100</xdr:colOff>
          <xdr:row>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38099</xdr:rowOff>
    </xdr:from>
    <xdr:to>
      <xdr:col>6</xdr:col>
      <xdr:colOff>0</xdr:colOff>
      <xdr:row>60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143" y="8180613"/>
          <a:ext cx="5568043" cy="2992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30EE-8DBF-4E65-B94E-3B7AE49D01AA}">
  <sheetPr codeName="Sheet5"/>
  <dimension ref="A1:Z99"/>
  <sheetViews>
    <sheetView showGridLines="0" topLeftCell="A15" zoomScaleNormal="100" workbookViewId="0">
      <selection activeCell="B26" sqref="B26:D26"/>
    </sheetView>
  </sheetViews>
  <sheetFormatPr defaultColWidth="8.7265625" defaultRowHeight="14.5"/>
  <cols>
    <col min="1" max="4" width="21.7265625" customWidth="1"/>
    <col min="5" max="6" width="14.26953125" customWidth="1"/>
    <col min="7" max="7" width="12.26953125" customWidth="1"/>
    <col min="8" max="10" width="8.26953125" customWidth="1"/>
    <col min="11" max="11" width="9.7265625" customWidth="1"/>
    <col min="12" max="12" width="8.26953125" customWidth="1"/>
    <col min="13" max="13" width="10" customWidth="1"/>
    <col min="14" max="14" width="11.453125" customWidth="1"/>
    <col min="15" max="15" width="13.453125" customWidth="1"/>
  </cols>
  <sheetData>
    <row r="1" spans="1:26">
      <c r="A1" s="30"/>
      <c r="B1" s="30"/>
      <c r="C1" s="30"/>
      <c r="D1" s="30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>
      <c r="A2" s="30"/>
      <c r="B2" s="30"/>
      <c r="C2" s="30"/>
      <c r="D2" s="30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>
      <c r="A3" s="30"/>
      <c r="B3" s="30"/>
      <c r="C3" s="30"/>
      <c r="D3" s="30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>
      <c r="A4" s="30"/>
      <c r="B4" s="30"/>
      <c r="C4" s="30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>
      <c r="A5" s="30"/>
      <c r="B5" s="30"/>
      <c r="C5" s="30"/>
      <c r="D5" s="30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>
      <c r="A6" s="30"/>
      <c r="B6" s="30"/>
      <c r="C6" s="30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>
      <c r="A7" s="30"/>
      <c r="B7" s="30"/>
      <c r="C7" s="30"/>
      <c r="D7" s="30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>
      <c r="A8" s="30"/>
      <c r="B8" s="30"/>
      <c r="C8" s="30"/>
      <c r="D8" s="30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>
      <c r="A9" s="30"/>
      <c r="B9" s="30"/>
      <c r="C9" s="30"/>
      <c r="D9" s="30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>
      <c r="A10" s="30"/>
      <c r="B10" s="30"/>
      <c r="C10" s="30"/>
      <c r="D10" s="30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>
      <c r="A11" s="30"/>
      <c r="B11" s="30"/>
      <c r="C11" s="30"/>
      <c r="D11" s="30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>
      <c r="A12" s="30"/>
      <c r="B12" s="30"/>
      <c r="C12" s="30"/>
      <c r="D12" s="30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>
      <c r="A13" s="30"/>
      <c r="B13" s="30"/>
      <c r="C13" s="30"/>
      <c r="D13" s="30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>
      <c r="A14" s="30"/>
      <c r="B14" s="30"/>
      <c r="C14" s="30"/>
      <c r="D14" s="30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>
      <c r="A15" s="30"/>
      <c r="B15" s="30"/>
      <c r="C15" s="30"/>
      <c r="D15" s="30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02.75" customHeight="1">
      <c r="A16" s="72" t="s">
        <v>161</v>
      </c>
      <c r="B16" s="72"/>
      <c r="C16" s="72"/>
      <c r="D16" s="72"/>
      <c r="E16" s="32"/>
      <c r="F16" s="32"/>
      <c r="G16" s="33"/>
      <c r="H16" s="33"/>
      <c r="I16" s="33"/>
      <c r="J16" s="33"/>
      <c r="K16" s="33"/>
      <c r="L16" s="33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7.25" customHeight="1">
      <c r="A17" s="34"/>
      <c r="B17" s="34"/>
      <c r="C17" s="34"/>
      <c r="D17" s="34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7.25" customHeight="1">
      <c r="A18" s="34"/>
      <c r="B18" s="34"/>
      <c r="C18" s="34"/>
      <c r="D18" s="34"/>
      <c r="E18" s="35"/>
      <c r="F18" s="35"/>
      <c r="G18" s="36"/>
      <c r="H18" s="36"/>
      <c r="I18" s="36"/>
      <c r="J18" s="36"/>
      <c r="K18" s="36"/>
      <c r="L18" s="36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7.25" customHeight="1">
      <c r="A19" s="37" t="s">
        <v>162</v>
      </c>
      <c r="B19" s="71" t="s">
        <v>173</v>
      </c>
      <c r="C19" s="71"/>
      <c r="D19" s="71"/>
      <c r="E19" s="38"/>
      <c r="F19" s="38"/>
      <c r="G19" s="39"/>
      <c r="H19" s="39"/>
      <c r="I19" s="39"/>
      <c r="J19" s="39"/>
      <c r="K19" s="39"/>
      <c r="L19" s="3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7.25" customHeight="1">
      <c r="A20" s="37" t="s">
        <v>163</v>
      </c>
      <c r="B20" s="71" t="s">
        <v>176</v>
      </c>
      <c r="C20" s="71"/>
      <c r="D20" s="71"/>
      <c r="E20" s="38"/>
      <c r="F20" s="38"/>
      <c r="G20" s="39"/>
      <c r="H20" s="39"/>
      <c r="I20" s="39"/>
      <c r="J20" s="39"/>
      <c r="K20" s="39"/>
      <c r="L20" s="39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7.25" customHeight="1">
      <c r="A21" s="37" t="s">
        <v>164</v>
      </c>
      <c r="B21" s="40" t="s">
        <v>177</v>
      </c>
      <c r="C21" s="40"/>
      <c r="D21" s="40"/>
      <c r="E21" s="38"/>
      <c r="F21" s="38"/>
      <c r="G21" s="39"/>
      <c r="H21" s="39"/>
      <c r="I21" s="39"/>
      <c r="J21" s="39"/>
      <c r="K21" s="39"/>
      <c r="L21" s="39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7.25" customHeight="1">
      <c r="A22" s="37"/>
      <c r="B22" s="40"/>
      <c r="C22" s="40"/>
      <c r="D22" s="40"/>
      <c r="E22" s="38"/>
      <c r="F22" s="38"/>
      <c r="G22" s="39"/>
      <c r="H22" s="39"/>
      <c r="I22" s="39"/>
      <c r="J22" s="39"/>
      <c r="K22" s="39"/>
      <c r="L22" s="39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7.25" customHeight="1">
      <c r="A23" s="37" t="s">
        <v>165</v>
      </c>
      <c r="B23" s="71" t="s">
        <v>178</v>
      </c>
      <c r="C23" s="71"/>
      <c r="D23" s="7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7.25" customHeight="1">
      <c r="A24" s="37"/>
      <c r="B24" s="71" t="s">
        <v>174</v>
      </c>
      <c r="C24" s="71"/>
      <c r="D24" s="7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7.25" customHeight="1">
      <c r="A25" s="37"/>
      <c r="B25" s="40" t="s">
        <v>175</v>
      </c>
      <c r="C25" s="40"/>
      <c r="D25" s="40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7.25" customHeight="1">
      <c r="A26" s="37" t="s">
        <v>166</v>
      </c>
      <c r="B26" s="71" t="s">
        <v>242</v>
      </c>
      <c r="C26" s="71"/>
      <c r="D26" s="7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7.25" customHeight="1">
      <c r="A27" s="37"/>
      <c r="B27" s="71" t="s">
        <v>174</v>
      </c>
      <c r="C27" s="71"/>
      <c r="D27" s="7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7.25" customHeight="1">
      <c r="A28" s="37"/>
      <c r="B28" s="40"/>
      <c r="C28" s="40"/>
      <c r="D28" s="40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7.25" customHeight="1">
      <c r="A29" s="37" t="s">
        <v>167</v>
      </c>
      <c r="B29" s="41">
        <v>1</v>
      </c>
      <c r="C29" s="40"/>
      <c r="D29" s="40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7.25" customHeight="1">
      <c r="A30" s="37" t="s">
        <v>168</v>
      </c>
      <c r="B30" s="73" t="s">
        <v>169</v>
      </c>
      <c r="C30" s="71"/>
      <c r="D30" s="71"/>
      <c r="E30" s="42"/>
      <c r="F30" s="42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7.25" customHeight="1">
      <c r="A31" s="37" t="s">
        <v>170</v>
      </c>
      <c r="B31" s="71" t="s">
        <v>171</v>
      </c>
      <c r="C31" s="71"/>
      <c r="D31" s="71"/>
      <c r="E31" s="42"/>
      <c r="F31" s="42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7.25" customHeight="1">
      <c r="A32" s="43"/>
      <c r="B32" s="44" t="s">
        <v>172</v>
      </c>
      <c r="C32" s="43"/>
      <c r="D32" s="43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>
      <c r="A33" s="30"/>
      <c r="B33" s="30"/>
      <c r="C33" s="30"/>
      <c r="D33" s="30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>
      <c r="A34" s="30"/>
      <c r="B34" s="30"/>
      <c r="C34" s="30"/>
      <c r="D34" s="30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>
      <c r="A35" s="30"/>
      <c r="B35" s="30"/>
      <c r="C35" s="30"/>
      <c r="D35" s="30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>
      <c r="A36" s="30"/>
      <c r="B36" s="30"/>
      <c r="C36" s="30"/>
      <c r="D36" s="30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>
      <c r="A37" s="30"/>
      <c r="B37" s="30"/>
      <c r="C37" s="30"/>
      <c r="D37" s="30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>
      <c r="A38" s="30"/>
      <c r="B38" s="30"/>
      <c r="C38" s="30"/>
      <c r="D38" s="30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>
      <c r="A39" s="30"/>
      <c r="B39" s="30"/>
      <c r="C39" s="30"/>
      <c r="D39" s="30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>
      <c r="A40" s="30"/>
      <c r="B40" s="30"/>
      <c r="C40" s="30"/>
      <c r="D40" s="30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>
      <c r="A41" s="30"/>
      <c r="B41" s="30"/>
      <c r="C41" s="30"/>
      <c r="D41" s="30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>
      <c r="A42" s="30"/>
      <c r="B42" s="30"/>
      <c r="C42" s="30"/>
      <c r="D42" s="30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</sheetData>
  <mergeCells count="9">
    <mergeCell ref="B31:D31"/>
    <mergeCell ref="A16:D16"/>
    <mergeCell ref="B19:D19"/>
    <mergeCell ref="B20:D20"/>
    <mergeCell ref="B23:D23"/>
    <mergeCell ref="B26:D26"/>
    <mergeCell ref="B30:D30"/>
    <mergeCell ref="B24:D24"/>
    <mergeCell ref="B27:D27"/>
  </mergeCells>
  <hyperlinks>
    <hyperlink ref="B30" r:id="rId1" xr:uid="{E3D83E1E-7C42-4532-9DF5-A3A399664E1F}"/>
    <hyperlink ref="B32" r:id="rId2" xr:uid="{C175474B-D142-4EE1-9EA1-68FBD55DEC89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C345-0D8E-4CDB-A3D4-9EEBCC27251E}">
  <sheetPr codeName="Sheet1"/>
  <dimension ref="A3:AD37"/>
  <sheetViews>
    <sheetView workbookViewId="0">
      <selection activeCell="D8" sqref="D8"/>
    </sheetView>
  </sheetViews>
  <sheetFormatPr defaultColWidth="9.26953125" defaultRowHeight="14.5"/>
  <cols>
    <col min="1" max="1" width="12.26953125" customWidth="1"/>
    <col min="2" max="2" width="11.7265625" customWidth="1"/>
    <col min="3" max="3" width="3.26953125" bestFit="1" customWidth="1"/>
    <col min="4" max="4" width="8.54296875" bestFit="1" customWidth="1"/>
    <col min="5" max="5" width="6.453125" bestFit="1" customWidth="1"/>
    <col min="6" max="6" width="4.7265625" bestFit="1" customWidth="1"/>
    <col min="7" max="8" width="5.7265625" bestFit="1" customWidth="1"/>
    <col min="9" max="9" width="5.453125" bestFit="1" customWidth="1"/>
    <col min="10" max="11" width="5.7265625" bestFit="1" customWidth="1"/>
    <col min="12" max="12" width="6.54296875" bestFit="1" customWidth="1"/>
    <col min="13" max="13" width="6.26953125" bestFit="1" customWidth="1"/>
    <col min="14" max="14" width="6.7265625" bestFit="1" customWidth="1"/>
    <col min="15" max="15" width="6.54296875" bestFit="1" customWidth="1"/>
    <col min="16" max="16" width="7.26953125" bestFit="1" customWidth="1"/>
    <col min="17" max="17" width="5.7265625" bestFit="1" customWidth="1"/>
    <col min="18" max="18" width="6.26953125" bestFit="1" customWidth="1"/>
    <col min="19" max="19" width="5.7265625" bestFit="1" customWidth="1"/>
    <col min="20" max="20" width="5.54296875" bestFit="1" customWidth="1"/>
    <col min="21" max="21" width="5.7265625" bestFit="1" customWidth="1"/>
    <col min="22" max="22" width="6.7265625" bestFit="1" customWidth="1"/>
    <col min="23" max="23" width="4.7265625" bestFit="1" customWidth="1"/>
    <col min="24" max="24" width="7.54296875" customWidth="1"/>
    <col min="25" max="25" width="6.7265625" bestFit="1" customWidth="1"/>
    <col min="26" max="26" width="6.26953125" bestFit="1" customWidth="1"/>
    <col min="27" max="28" width="6" bestFit="1" customWidth="1"/>
    <col min="29" max="29" width="5.7265625" bestFit="1" customWidth="1"/>
    <col min="30" max="30" width="6.7265625" bestFit="1" customWidth="1"/>
  </cols>
  <sheetData>
    <row r="3" spans="1:30">
      <c r="C3" s="20" t="str" cm="1">
        <f t="array" ref="C3">IF(LEFT(INDEX(C5:C7,$A$4),1)&lt;&gt;"*",INDEX(C5:C7,$A$4),"")</f>
        <v>IE</v>
      </c>
      <c r="D3" s="20" t="str" cm="1">
        <f t="array" ref="D3">IF(LEFT(INDEX(D5:D7,$A$4),1)&lt;&gt;"*",INDEX(D5:D7,$A$4),"")</f>
        <v>National</v>
      </c>
      <c r="E3" s="20" t="str" cm="1">
        <f t="array" ref="E3">IF(LEFT(INDEX(E5:E7,$A$4),1)&lt;&gt;"*",INDEX(E5:E7,$A$4),"")</f>
        <v>IE-CW</v>
      </c>
      <c r="F3" s="20" t="str" cm="1">
        <f t="array" ref="F3">IF(LEFT(INDEX(F5:F7,$A$4),1)&lt;&gt;"*",INDEX(F5:F7,$A$4),"")</f>
        <v>IE-D</v>
      </c>
      <c r="G3" s="20" t="str" cm="1">
        <f t="array" ref="G3">IF(LEFT(INDEX(G5:G7,$A$4),1)&lt;&gt;"*",INDEX(G5:G7,$A$4),"")</f>
        <v>IE-KE</v>
      </c>
      <c r="H3" s="20" t="str" cm="1">
        <f t="array" ref="H3">IF(LEFT(INDEX(H5:H7,$A$4),1)&lt;&gt;"*",INDEX(H5:H7,$A$4),"")</f>
        <v>IE-KK</v>
      </c>
      <c r="I3" s="20" t="str" cm="1">
        <f t="array" ref="I3">IF(LEFT(INDEX(I5:I7,$A$4),1)&lt;&gt;"*",INDEX(I5:I7,$A$4),"")</f>
        <v>IE-LS</v>
      </c>
      <c r="J3" s="20" t="str" cm="1">
        <f t="array" ref="J3">IF(LEFT(INDEX(J5:J7,$A$4),1)&lt;&gt;"*",INDEX(J5:J7,$A$4),"")</f>
        <v>IE-LD</v>
      </c>
      <c r="K3" s="20" t="str" cm="1">
        <f t="array" ref="K3">IF(LEFT(INDEX(K5:K7,$A$4),1)&lt;&gt;"*",INDEX(K5:K7,$A$4),"")</f>
        <v>IE-LH</v>
      </c>
      <c r="L3" s="20" t="str" cm="1">
        <f t="array" ref="L3">IF(LEFT(INDEX(L5:L7,$A$4),1)&lt;&gt;"*",INDEX(L5:L7,$A$4),"")</f>
        <v>IE-MH</v>
      </c>
      <c r="M3" s="20" t="str" cm="1">
        <f t="array" ref="M3">IF(LEFT(INDEX(M5:M7,$A$4),1)&lt;&gt;"*",INDEX(M5:M7,$A$4),"")</f>
        <v>IE-OY</v>
      </c>
      <c r="N3" s="20" t="str" cm="1">
        <f t="array" ref="N3">IF(LEFT(INDEX(N5:N7,$A$4),1)&lt;&gt;"*",INDEX(N5:N7,$A$4),"")</f>
        <v>IE-WH</v>
      </c>
      <c r="O3" s="20" t="str" cm="1">
        <f t="array" ref="O3">IF(LEFT(INDEX(O5:O7,$A$4),1)&lt;&gt;"*",INDEX(O5:O7,$A$4),"")</f>
        <v>IE-WX</v>
      </c>
      <c r="P3" s="20" t="str" cm="1">
        <f t="array" ref="P3">IF(LEFT(INDEX(P5:P7,$A$4),1)&lt;&gt;"*",INDEX(P5:P7,$A$4),"")</f>
        <v>IE-WW</v>
      </c>
      <c r="Q3" s="20" t="str" cm="1">
        <f t="array" ref="Q3">IF(LEFT(INDEX(Q5:Q7,$A$4),1)&lt;&gt;"*",INDEX(Q5:Q7,$A$4),"")</f>
        <v>IE-CE</v>
      </c>
      <c r="R3" s="20" t="str" cm="1">
        <f t="array" ref="R3">IF(LEFT(INDEX(R5:R7,$A$4),1)&lt;&gt;"*",INDEX(R5:R7,$A$4),"")</f>
        <v>IE-CO</v>
      </c>
      <c r="S3" s="20" t="str" cm="1">
        <f t="array" ref="S3">IF(LEFT(INDEX(S5:S7,$A$4),1)&lt;&gt;"*",INDEX(S5:S7,$A$4),"")</f>
        <v>IE-KY</v>
      </c>
      <c r="T3" s="20" t="str" cm="1">
        <f t="array" ref="T3">IF(LEFT(INDEX(T5:T7,$A$4),1)&lt;&gt;"*",INDEX(T5:T7,$A$4),"")</f>
        <v>IE-LK</v>
      </c>
      <c r="U3" s="20" t="str" cm="1">
        <f t="array" ref="U3">IF(LEFT(INDEX(U5:U7,$A$4),1)&lt;&gt;"*",INDEX(U5:U7,$A$4),"")</f>
        <v>IE-TA</v>
      </c>
      <c r="V3" s="20" t="str" cm="1">
        <f t="array" ref="V3">IF(LEFT(INDEX(V5:V7,$A$4),1)&lt;&gt;"*",INDEX(V5:V7,$A$4),"")</f>
        <v>IE-WD</v>
      </c>
      <c r="W3" s="20" t="str" cm="1">
        <f t="array" ref="W3">IF(LEFT(INDEX(W5:W7,$A$4),1)&lt;&gt;"*",INDEX(W5:W7,$A$4),"")</f>
        <v>IE-G</v>
      </c>
      <c r="X3" s="20" t="str" cm="1">
        <f t="array" ref="X3">IF(LEFT(INDEX(X5:X7,$A$4),1)&lt;&gt;"*",INDEX(X5:X7,$A$4),"")</f>
        <v>IE-LM</v>
      </c>
      <c r="Y3" s="20" t="str" cm="1">
        <f t="array" ref="Y3">IF(LEFT(INDEX(Y5:Y7,$A$4),1)&lt;&gt;"*",INDEX(Y5:Y7,$A$4),"")</f>
        <v>IE-MO</v>
      </c>
      <c r="Z3" s="20" t="str" cm="1">
        <f t="array" ref="Z3">IF(LEFT(INDEX(Z5:Z7,$A$4),1)&lt;&gt;"*",INDEX(Z5:Z7,$A$4),"")</f>
        <v>IE-RN</v>
      </c>
      <c r="AA3" s="20" t="str" cm="1">
        <f t="array" ref="AA3">IF(LEFT(INDEX(AA5:AA7,$A$4),1)&lt;&gt;"*",INDEX(AA5:AA7,$A$4),"")</f>
        <v>IE-SO</v>
      </c>
      <c r="AB3" s="20" t="str" cm="1">
        <f t="array" ref="AB3">IF(LEFT(INDEX(AB5:AB7,$A$4),1)&lt;&gt;"*",INDEX(AB5:AB7,$A$4),"")</f>
        <v>IE-CN</v>
      </c>
      <c r="AC3" s="20" t="str" cm="1">
        <f t="array" ref="AC3">IF(LEFT(INDEX(AC5:AC7,$A$4),1)&lt;&gt;"*",INDEX(AC5:AC7,$A$4),"")</f>
        <v>IE-DL</v>
      </c>
      <c r="AD3" s="20" t="str" cm="1">
        <f t="array" ref="AD3">IF(LEFT(INDEX(AD5:AD7,$A$4),1)&lt;&gt;"*",INDEX(AD5:AD7,$A$4),"")</f>
        <v>IE-MN</v>
      </c>
    </row>
    <row r="4" spans="1:30">
      <c r="A4">
        <v>1</v>
      </c>
    </row>
    <row r="5" spans="1:30">
      <c r="A5" t="s">
        <v>52</v>
      </c>
      <c r="C5" s="21" t="s">
        <v>53</v>
      </c>
      <c r="D5" s="21" t="s">
        <v>127</v>
      </c>
      <c r="E5" s="20" t="str">
        <f>Regions!A11</f>
        <v>IE-CW</v>
      </c>
      <c r="F5" s="20" t="str">
        <f>Regions!A16</f>
        <v>IE-D</v>
      </c>
      <c r="G5" s="20" t="str">
        <f>Regions!A19</f>
        <v>IE-KE</v>
      </c>
      <c r="H5" s="20" t="str">
        <f>Regions!A20</f>
        <v>IE-KK</v>
      </c>
      <c r="I5" s="20" t="str">
        <f>Regions!A21</f>
        <v>IE-LS</v>
      </c>
      <c r="J5" s="20" t="str">
        <f>Regions!A24</f>
        <v>IE-LD</v>
      </c>
      <c r="K5" s="20" t="str">
        <f>Regions!A25</f>
        <v>IE-LH</v>
      </c>
      <c r="L5" s="20" t="str">
        <f>Regions!A27</f>
        <v>IE-MH</v>
      </c>
      <c r="M5" s="20" t="str">
        <f>Regions!A29</f>
        <v>IE-OY</v>
      </c>
      <c r="N5" s="20" t="str">
        <f>Regions!A34</f>
        <v>IE-WH</v>
      </c>
      <c r="O5" s="20" t="str">
        <f>Regions!A35</f>
        <v>IE-WX</v>
      </c>
      <c r="P5" s="20" t="str">
        <f>Regions!A36</f>
        <v>IE-WW</v>
      </c>
      <c r="Q5" s="20" t="str">
        <f>Regions!A13</f>
        <v>IE-CE</v>
      </c>
      <c r="R5" s="20" t="str">
        <f>Regions!A14</f>
        <v>IE-CO</v>
      </c>
      <c r="S5" s="20" t="str">
        <f>Regions!A18</f>
        <v>IE-KY</v>
      </c>
      <c r="T5" s="20" t="str">
        <f>Regions!A23</f>
        <v>IE-LK</v>
      </c>
      <c r="U5" s="20" t="str">
        <f>Regions!A32</f>
        <v>IE-TA</v>
      </c>
      <c r="V5" s="20" t="str">
        <f>Regions!A33</f>
        <v>IE-WD</v>
      </c>
      <c r="W5" s="20" t="str">
        <f>Regions!A17</f>
        <v>IE-G</v>
      </c>
      <c r="X5" s="20" t="str">
        <f>Regions!A22</f>
        <v>IE-LM</v>
      </c>
      <c r="Y5" s="20" t="str">
        <f>Regions!A26</f>
        <v>IE-MO</v>
      </c>
      <c r="Z5" s="20" t="str">
        <f>Regions!A30</f>
        <v>IE-RN</v>
      </c>
      <c r="AA5" s="20" t="str">
        <f>Regions!A31</f>
        <v>IE-SO</v>
      </c>
      <c r="AB5" s="20" t="str">
        <f>Regions!A12</f>
        <v>IE-CN</v>
      </c>
      <c r="AC5" s="20" t="str">
        <f>Regions!A15</f>
        <v>IE-DL</v>
      </c>
      <c r="AD5" s="20" t="str">
        <f>Regions!A28</f>
        <v>IE-MN</v>
      </c>
    </row>
    <row r="6" spans="1:30">
      <c r="A6" t="s">
        <v>54</v>
      </c>
      <c r="C6" s="20" t="str">
        <f>C5</f>
        <v>IE</v>
      </c>
      <c r="D6" s="20" t="str">
        <f>IF(LEFT(D5,1)&lt;&gt;"*","*"&amp;D5,D5)</f>
        <v>*National</v>
      </c>
      <c r="E6" s="20" t="str">
        <f t="shared" ref="E6:AD6" si="0">IF(LEFT(E5,1)&lt;&gt;"*","*"&amp;E5,E5)</f>
        <v>*IE-CW</v>
      </c>
      <c r="F6" s="20" t="str">
        <f t="shared" si="0"/>
        <v>*IE-D</v>
      </c>
      <c r="G6" s="20" t="str">
        <f t="shared" si="0"/>
        <v>*IE-KE</v>
      </c>
      <c r="H6" s="20" t="str">
        <f t="shared" si="0"/>
        <v>*IE-KK</v>
      </c>
      <c r="I6" s="20" t="str">
        <f t="shared" si="0"/>
        <v>*IE-LS</v>
      </c>
      <c r="J6" s="20" t="str">
        <f t="shared" si="0"/>
        <v>*IE-LD</v>
      </c>
      <c r="K6" s="20" t="str">
        <f t="shared" si="0"/>
        <v>*IE-LH</v>
      </c>
      <c r="L6" s="20" t="str">
        <f t="shared" si="0"/>
        <v>*IE-MH</v>
      </c>
      <c r="M6" s="20" t="str">
        <f t="shared" si="0"/>
        <v>*IE-OY</v>
      </c>
      <c r="N6" s="20" t="str">
        <f t="shared" si="0"/>
        <v>*IE-WH</v>
      </c>
      <c r="O6" s="20" t="str">
        <f t="shared" si="0"/>
        <v>*IE-WX</v>
      </c>
      <c r="P6" s="20" t="str">
        <f t="shared" si="0"/>
        <v>*IE-WW</v>
      </c>
      <c r="Q6" s="20" t="str">
        <f t="shared" si="0"/>
        <v>*IE-CE</v>
      </c>
      <c r="R6" s="20" t="str">
        <f t="shared" si="0"/>
        <v>*IE-CO</v>
      </c>
      <c r="S6" s="20" t="str">
        <f t="shared" si="0"/>
        <v>*IE-KY</v>
      </c>
      <c r="T6" s="20" t="str">
        <f t="shared" si="0"/>
        <v>*IE-LK</v>
      </c>
      <c r="U6" s="20" t="str">
        <f t="shared" si="0"/>
        <v>*IE-TA</v>
      </c>
      <c r="V6" s="20" t="str">
        <f t="shared" si="0"/>
        <v>*IE-WD</v>
      </c>
      <c r="W6" s="20" t="str">
        <f t="shared" si="0"/>
        <v>*IE-G</v>
      </c>
      <c r="X6" s="20" t="str">
        <f t="shared" si="0"/>
        <v>*IE-LM</v>
      </c>
      <c r="Y6" s="20" t="str">
        <f t="shared" si="0"/>
        <v>*IE-MO</v>
      </c>
      <c r="Z6" s="20" t="str">
        <f t="shared" si="0"/>
        <v>*IE-RN</v>
      </c>
      <c r="AA6" s="20" t="str">
        <f t="shared" si="0"/>
        <v>*IE-SO</v>
      </c>
      <c r="AB6" s="20" t="str">
        <f t="shared" si="0"/>
        <v>*IE-CN</v>
      </c>
      <c r="AC6" s="20" t="str">
        <f t="shared" si="0"/>
        <v>*IE-DL</v>
      </c>
      <c r="AD6" s="20" t="str">
        <f t="shared" si="0"/>
        <v>*IE-MN</v>
      </c>
    </row>
    <row r="7" spans="1:30">
      <c r="A7" t="s">
        <v>55</v>
      </c>
      <c r="C7" s="20" t="str">
        <f>"*"&amp;C5</f>
        <v>*IE</v>
      </c>
      <c r="D7" s="20" t="str">
        <f>D5</f>
        <v>National</v>
      </c>
      <c r="E7" s="20" t="str">
        <f t="shared" ref="E7:AD7" si="1">E5</f>
        <v>IE-CW</v>
      </c>
      <c r="F7" s="20" t="str">
        <f t="shared" si="1"/>
        <v>IE-D</v>
      </c>
      <c r="G7" s="20" t="str">
        <f t="shared" si="1"/>
        <v>IE-KE</v>
      </c>
      <c r="H7" s="20" t="str">
        <f t="shared" si="1"/>
        <v>IE-KK</v>
      </c>
      <c r="I7" s="20" t="str">
        <f t="shared" si="1"/>
        <v>IE-LS</v>
      </c>
      <c r="J7" s="20" t="str">
        <f t="shared" si="1"/>
        <v>IE-LD</v>
      </c>
      <c r="K7" s="20" t="str">
        <f t="shared" si="1"/>
        <v>IE-LH</v>
      </c>
      <c r="L7" s="20" t="str">
        <f t="shared" si="1"/>
        <v>IE-MH</v>
      </c>
      <c r="M7" s="20" t="str">
        <f t="shared" si="1"/>
        <v>IE-OY</v>
      </c>
      <c r="N7" s="20" t="str">
        <f t="shared" si="1"/>
        <v>IE-WH</v>
      </c>
      <c r="O7" s="20" t="str">
        <f t="shared" si="1"/>
        <v>IE-WX</v>
      </c>
      <c r="P7" s="20" t="str">
        <f t="shared" si="1"/>
        <v>IE-WW</v>
      </c>
      <c r="Q7" s="20" t="str">
        <f t="shared" si="1"/>
        <v>IE-CE</v>
      </c>
      <c r="R7" s="20" t="str">
        <f t="shared" si="1"/>
        <v>IE-CO</v>
      </c>
      <c r="S7" s="20" t="str">
        <f t="shared" si="1"/>
        <v>IE-KY</v>
      </c>
      <c r="T7" s="20" t="str">
        <f t="shared" si="1"/>
        <v>IE-LK</v>
      </c>
      <c r="U7" s="20" t="str">
        <f t="shared" si="1"/>
        <v>IE-TA</v>
      </c>
      <c r="V7" s="20" t="str">
        <f t="shared" si="1"/>
        <v>IE-WD</v>
      </c>
      <c r="W7" s="20" t="str">
        <f t="shared" si="1"/>
        <v>IE-G</v>
      </c>
      <c r="X7" s="20" t="str">
        <f t="shared" si="1"/>
        <v>IE-LM</v>
      </c>
      <c r="Y7" s="20" t="str">
        <f t="shared" si="1"/>
        <v>IE-MO</v>
      </c>
      <c r="Z7" s="20" t="str">
        <f t="shared" si="1"/>
        <v>IE-RN</v>
      </c>
      <c r="AA7" s="20" t="str">
        <f t="shared" si="1"/>
        <v>IE-SO</v>
      </c>
      <c r="AB7" s="20" t="str">
        <f t="shared" si="1"/>
        <v>IE-CN</v>
      </c>
      <c r="AC7" s="20" t="str">
        <f t="shared" si="1"/>
        <v>IE-DL</v>
      </c>
      <c r="AD7" s="20" t="str">
        <f t="shared" si="1"/>
        <v>IE-MN</v>
      </c>
    </row>
    <row r="10" spans="1:30" ht="15" thickBot="1">
      <c r="A10" s="22" t="s">
        <v>56</v>
      </c>
      <c r="B10" s="22" t="s">
        <v>57</v>
      </c>
    </row>
    <row r="11" spans="1:30">
      <c r="A11" s="23" t="s">
        <v>58</v>
      </c>
      <c r="B11" s="23" t="s">
        <v>59</v>
      </c>
    </row>
    <row r="12" spans="1:30">
      <c r="A12" s="24" t="s">
        <v>60</v>
      </c>
      <c r="B12" s="24" t="s">
        <v>61</v>
      </c>
    </row>
    <row r="13" spans="1:30">
      <c r="A13" s="24" t="s">
        <v>62</v>
      </c>
      <c r="B13" s="24" t="s">
        <v>63</v>
      </c>
    </row>
    <row r="14" spans="1:30">
      <c r="A14" s="24" t="s">
        <v>64</v>
      </c>
      <c r="B14" s="24" t="s">
        <v>65</v>
      </c>
    </row>
    <row r="15" spans="1:30">
      <c r="A15" s="24" t="s">
        <v>66</v>
      </c>
      <c r="B15" s="24" t="s">
        <v>67</v>
      </c>
    </row>
    <row r="16" spans="1:30">
      <c r="A16" s="24" t="s">
        <v>68</v>
      </c>
      <c r="B16" s="24" t="s">
        <v>69</v>
      </c>
    </row>
    <row r="17" spans="1:2">
      <c r="A17" s="24" t="s">
        <v>70</v>
      </c>
      <c r="B17" s="24" t="s">
        <v>71</v>
      </c>
    </row>
    <row r="18" spans="1:2">
      <c r="A18" s="24" t="s">
        <v>72</v>
      </c>
      <c r="B18" s="24" t="s">
        <v>73</v>
      </c>
    </row>
    <row r="19" spans="1:2">
      <c r="A19" s="24" t="s">
        <v>74</v>
      </c>
      <c r="B19" s="24" t="s">
        <v>75</v>
      </c>
    </row>
    <row r="20" spans="1:2">
      <c r="A20" s="24" t="s">
        <v>76</v>
      </c>
      <c r="B20" s="24" t="s">
        <v>77</v>
      </c>
    </row>
    <row r="21" spans="1:2">
      <c r="A21" s="24" t="s">
        <v>78</v>
      </c>
      <c r="B21" s="24" t="s">
        <v>79</v>
      </c>
    </row>
    <row r="22" spans="1:2">
      <c r="A22" s="24" t="s">
        <v>80</v>
      </c>
      <c r="B22" s="24" t="s">
        <v>81</v>
      </c>
    </row>
    <row r="23" spans="1:2">
      <c r="A23" s="24" t="s">
        <v>82</v>
      </c>
      <c r="B23" s="24" t="s">
        <v>83</v>
      </c>
    </row>
    <row r="24" spans="1:2">
      <c r="A24" s="24" t="s">
        <v>84</v>
      </c>
      <c r="B24" s="24" t="s">
        <v>85</v>
      </c>
    </row>
    <row r="25" spans="1:2">
      <c r="A25" s="24" t="s">
        <v>86</v>
      </c>
      <c r="B25" s="24" t="s">
        <v>87</v>
      </c>
    </row>
    <row r="26" spans="1:2">
      <c r="A26" s="24" t="s">
        <v>88</v>
      </c>
      <c r="B26" s="24" t="s">
        <v>89</v>
      </c>
    </row>
    <row r="27" spans="1:2">
      <c r="A27" s="24" t="s">
        <v>90</v>
      </c>
      <c r="B27" s="24" t="s">
        <v>91</v>
      </c>
    </row>
    <row r="28" spans="1:2">
      <c r="A28" s="24" t="s">
        <v>92</v>
      </c>
      <c r="B28" s="24" t="s">
        <v>93</v>
      </c>
    </row>
    <row r="29" spans="1:2">
      <c r="A29" s="24" t="s">
        <v>94</v>
      </c>
      <c r="B29" s="24" t="s">
        <v>95</v>
      </c>
    </row>
    <row r="30" spans="1:2">
      <c r="A30" s="24" t="s">
        <v>96</v>
      </c>
      <c r="B30" s="24" t="s">
        <v>97</v>
      </c>
    </row>
    <row r="31" spans="1:2">
      <c r="A31" s="24" t="s">
        <v>98</v>
      </c>
      <c r="B31" s="24" t="s">
        <v>99</v>
      </c>
    </row>
    <row r="32" spans="1:2">
      <c r="A32" s="24" t="s">
        <v>100</v>
      </c>
      <c r="B32" s="24" t="s">
        <v>101</v>
      </c>
    </row>
    <row r="33" spans="1:2">
      <c r="A33" s="24" t="s">
        <v>102</v>
      </c>
      <c r="B33" s="24" t="s">
        <v>103</v>
      </c>
    </row>
    <row r="34" spans="1:2">
      <c r="A34" s="24" t="s">
        <v>104</v>
      </c>
      <c r="B34" s="24" t="s">
        <v>105</v>
      </c>
    </row>
    <row r="35" spans="1:2">
      <c r="A35" s="24" t="s">
        <v>106</v>
      </c>
      <c r="B35" s="24" t="s">
        <v>107</v>
      </c>
    </row>
    <row r="36" spans="1:2">
      <c r="A36" s="24" t="s">
        <v>108</v>
      </c>
      <c r="B36" s="24" t="s">
        <v>109</v>
      </c>
    </row>
    <row r="37" spans="1:2">
      <c r="A37" s="25" t="s">
        <v>110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38100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7C8F-9D07-4311-9372-0B0C534E50C4}">
  <dimension ref="A2:N32"/>
  <sheetViews>
    <sheetView topLeftCell="A8" zoomScaleNormal="100" workbookViewId="0">
      <selection activeCell="H30" sqref="H30"/>
    </sheetView>
  </sheetViews>
  <sheetFormatPr defaultRowHeight="14.5"/>
  <cols>
    <col min="2" max="2" width="27.453125" bestFit="1" customWidth="1"/>
    <col min="3" max="3" width="15.54296875" bestFit="1" customWidth="1"/>
    <col min="4" max="4" width="18.453125" bestFit="1" customWidth="1"/>
    <col min="7" max="7" width="13.26953125" bestFit="1" customWidth="1"/>
    <col min="9" max="9" width="14.453125" customWidth="1"/>
    <col min="11" max="11" width="33.54296875" bestFit="1" customWidth="1"/>
    <col min="14" max="14" width="39.453125" bestFit="1" customWidth="1"/>
  </cols>
  <sheetData>
    <row r="2" spans="1:14">
      <c r="B2" s="1" t="str">
        <f>"~UC_Sets: R_E: " &amp; _xlfn.TEXTJOIN(",",TRUE,Regions!C3:D3)</f>
        <v>~UC_Sets: R_E: IE,National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B4" s="2"/>
      <c r="C4" s="2"/>
      <c r="D4" s="2"/>
      <c r="E4" s="2"/>
      <c r="F4" s="2" t="s">
        <v>16</v>
      </c>
      <c r="G4" s="2"/>
      <c r="H4" s="2"/>
      <c r="I4" s="2"/>
      <c r="J4" s="2"/>
      <c r="K4" s="2"/>
    </row>
    <row r="5" spans="1:14">
      <c r="B5" s="4" t="s">
        <v>1</v>
      </c>
      <c r="C5" s="14" t="s">
        <v>2</v>
      </c>
      <c r="D5" s="14" t="s">
        <v>6</v>
      </c>
      <c r="E5" s="15" t="s">
        <v>7</v>
      </c>
      <c r="F5" s="15" t="s">
        <v>8</v>
      </c>
      <c r="G5" s="4" t="s">
        <v>145</v>
      </c>
      <c r="H5" s="4" t="s">
        <v>146</v>
      </c>
      <c r="I5" s="4" t="s">
        <v>43</v>
      </c>
      <c r="J5" s="4" t="s">
        <v>11</v>
      </c>
      <c r="K5" s="4" t="s">
        <v>12</v>
      </c>
    </row>
    <row r="6" spans="1:14">
      <c r="B6" s="2" t="str">
        <f t="shared" ref="B6" si="0">_xlfn.TEXTJOIN("_",TRUE,"UC",A15,"MaxGrowth",B15)</f>
        <v>UC_SUP_MaxGrowth_BIOGAS</v>
      </c>
      <c r="C6" s="2" t="s">
        <v>144</v>
      </c>
      <c r="D6" s="2" t="s">
        <v>188</v>
      </c>
      <c r="E6" s="2">
        <v>2022</v>
      </c>
      <c r="F6" s="2" t="s">
        <v>15</v>
      </c>
      <c r="G6" s="26">
        <v>1.2</v>
      </c>
      <c r="H6" s="2">
        <v>1</v>
      </c>
      <c r="I6" s="16">
        <f t="shared" ref="I6" si="1">-D15</f>
        <v>-0.2</v>
      </c>
      <c r="J6" s="2">
        <v>5</v>
      </c>
      <c r="K6" s="2" t="str">
        <f t="shared" ref="K6" si="2">_xlfn.TEXTJOIN(" ",TRUE,A15, "maximum growth rate of",B15)</f>
        <v>SUP maximum growth rate of BIOGAS</v>
      </c>
    </row>
    <row r="7" spans="1:14">
      <c r="B7" s="2" t="str">
        <f t="shared" ref="B7:B8" si="3">_xlfn.TEXTJOIN("_",TRUE,"UC",A16,"MaxGrowth",B16)</f>
        <v>UC_SUP_MaxGrowth_BIODST</v>
      </c>
      <c r="C7" s="2" t="s">
        <v>144</v>
      </c>
      <c r="D7" s="2" t="s">
        <v>232</v>
      </c>
      <c r="E7" s="2">
        <v>2022</v>
      </c>
      <c r="F7" s="2" t="s">
        <v>15</v>
      </c>
      <c r="G7" s="26">
        <v>1.2</v>
      </c>
      <c r="H7" s="2">
        <v>1</v>
      </c>
      <c r="I7" s="16">
        <f t="shared" ref="I7:I8" si="4">-D16</f>
        <v>-1</v>
      </c>
      <c r="J7" s="2">
        <v>5</v>
      </c>
      <c r="K7" s="2" t="str">
        <f t="shared" ref="K7:K8" si="5">_xlfn.TEXTJOIN(" ",TRUE,A16, "maximum growth rate of",B16)</f>
        <v>SUP maximum growth rate of BIODST</v>
      </c>
    </row>
    <row r="8" spans="1:14">
      <c r="B8" s="2" t="str">
        <f t="shared" si="3"/>
        <v>UC_SUP_MaxGrowth_BIOETH</v>
      </c>
      <c r="C8" s="2" t="s">
        <v>144</v>
      </c>
      <c r="D8" s="2" t="s">
        <v>233</v>
      </c>
      <c r="E8" s="2">
        <v>2022</v>
      </c>
      <c r="F8" s="2" t="s">
        <v>15</v>
      </c>
      <c r="G8" s="26">
        <v>1.2</v>
      </c>
      <c r="H8" s="2">
        <v>1</v>
      </c>
      <c r="I8" s="16">
        <f t="shared" si="4"/>
        <v>-1</v>
      </c>
      <c r="J8" s="2">
        <v>5</v>
      </c>
      <c r="K8" s="2" t="str">
        <f t="shared" si="5"/>
        <v>SUP maximum growth rate of BIOETH</v>
      </c>
    </row>
    <row r="9" spans="1:14">
      <c r="B9" s="2"/>
      <c r="C9" s="2"/>
      <c r="D9" s="2"/>
      <c r="E9" s="2"/>
      <c r="F9" s="2"/>
      <c r="G9" s="26"/>
      <c r="H9" s="2"/>
      <c r="I9" s="16"/>
      <c r="J9" s="2"/>
      <c r="K9" s="2"/>
    </row>
    <row r="10" spans="1:14">
      <c r="B10" s="2"/>
      <c r="C10" s="2"/>
      <c r="D10" s="2"/>
      <c r="E10" s="2"/>
      <c r="F10" s="2"/>
      <c r="G10" s="26"/>
      <c r="H10" s="2"/>
      <c r="I10" s="16"/>
      <c r="J10" s="2"/>
      <c r="K10" s="2"/>
    </row>
    <row r="11" spans="1:14">
      <c r="B11" s="2"/>
      <c r="C11" s="2"/>
      <c r="D11" s="2"/>
      <c r="E11" s="2"/>
      <c r="F11" s="2"/>
      <c r="G11" s="26"/>
      <c r="H11" s="2"/>
      <c r="I11" s="16"/>
      <c r="J11" s="2"/>
      <c r="K11" s="2"/>
    </row>
    <row r="12" spans="1:14">
      <c r="B12" s="2"/>
      <c r="C12" s="2"/>
      <c r="D12" s="2"/>
      <c r="E12" s="2"/>
      <c r="F12" s="2"/>
      <c r="G12" s="26"/>
      <c r="H12" s="2"/>
      <c r="I12" s="16"/>
      <c r="J12" s="2"/>
      <c r="K12" s="2"/>
    </row>
    <row r="14" spans="1:14">
      <c r="C14" t="s">
        <v>117</v>
      </c>
      <c r="D14" t="s">
        <v>189</v>
      </c>
    </row>
    <row r="15" spans="1:14">
      <c r="A15" t="s">
        <v>186</v>
      </c>
      <c r="B15" t="s">
        <v>187</v>
      </c>
      <c r="C15" s="11">
        <v>0.4</v>
      </c>
      <c r="D15">
        <v>0.2</v>
      </c>
    </row>
    <row r="16" spans="1:14">
      <c r="A16" t="s">
        <v>186</v>
      </c>
      <c r="B16" t="s">
        <v>230</v>
      </c>
      <c r="C16" s="11">
        <v>0.4</v>
      </c>
      <c r="D16">
        <v>1</v>
      </c>
    </row>
    <row r="17" spans="1:12">
      <c r="A17" t="s">
        <v>186</v>
      </c>
      <c r="B17" t="s">
        <v>231</v>
      </c>
      <c r="C17" s="11">
        <v>0.4</v>
      </c>
      <c r="D17">
        <v>1</v>
      </c>
    </row>
    <row r="18" spans="1:12">
      <c r="A18" t="s">
        <v>186</v>
      </c>
      <c r="B18" t="s">
        <v>279</v>
      </c>
      <c r="D18" s="2"/>
      <c r="F18" s="2"/>
      <c r="H18" s="16"/>
    </row>
    <row r="20" spans="1:12">
      <c r="B20" s="45" t="s">
        <v>215</v>
      </c>
      <c r="H20" s="46"/>
    </row>
    <row r="21" spans="1:12" ht="15" thickBot="1">
      <c r="B21" s="47" t="s">
        <v>216</v>
      </c>
      <c r="C21" s="47" t="s">
        <v>8</v>
      </c>
      <c r="D21" s="47" t="s">
        <v>217</v>
      </c>
      <c r="E21" s="47" t="s">
        <v>7</v>
      </c>
      <c r="F21" s="48" t="str">
        <f>IF(Regions!C$3&lt;&gt;"",Regions!C$3,"*")</f>
        <v>IE</v>
      </c>
      <c r="G21" s="48" t="str">
        <f>IF(Regions!C$3&lt;&gt;"",Regions!D$3,"*")</f>
        <v>National</v>
      </c>
      <c r="H21" s="49" t="s">
        <v>218</v>
      </c>
    </row>
    <row r="22" spans="1:12">
      <c r="D22" t="s">
        <v>219</v>
      </c>
      <c r="E22">
        <v>2018</v>
      </c>
      <c r="F22">
        <v>2222</v>
      </c>
      <c r="G22">
        <f>F22</f>
        <v>2222</v>
      </c>
      <c r="H22" t="s">
        <v>222</v>
      </c>
    </row>
    <row r="25" spans="1:12">
      <c r="B25" s="1" t="str">
        <f>"~UC_Sets: R_E: " &amp; _xlfn.TEXTJOIN(",",TRUE,Regions!C26:D26)</f>
        <v xml:space="preserve">~UC_Sets: R_E: 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B26" s="1" t="s">
        <v>0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B27" s="2"/>
      <c r="C27" s="2"/>
      <c r="D27" s="2"/>
      <c r="E27" s="2"/>
      <c r="F27" s="2"/>
      <c r="G27" s="2" t="s">
        <v>16</v>
      </c>
      <c r="H27" s="2"/>
      <c r="I27" s="2"/>
      <c r="J27" s="2"/>
      <c r="K27" s="2"/>
      <c r="L27" s="2"/>
    </row>
    <row r="28" spans="1:12">
      <c r="B28" s="4" t="s">
        <v>1</v>
      </c>
      <c r="C28" s="14" t="s">
        <v>2</v>
      </c>
      <c r="D28" s="14" t="s">
        <v>6</v>
      </c>
      <c r="E28" s="14" t="s">
        <v>218</v>
      </c>
      <c r="F28" s="15" t="s">
        <v>7</v>
      </c>
      <c r="G28" s="15" t="s">
        <v>8</v>
      </c>
      <c r="H28" s="4" t="s">
        <v>145</v>
      </c>
      <c r="I28" s="4" t="s">
        <v>146</v>
      </c>
      <c r="J28" s="4" t="s">
        <v>276</v>
      </c>
      <c r="K28" s="4" t="s">
        <v>11</v>
      </c>
      <c r="L28" s="4" t="s">
        <v>12</v>
      </c>
    </row>
    <row r="29" spans="1:12">
      <c r="B29" s="2" t="str">
        <f>_xlfn.TEXTJOIN("_",TRUE,"UC",A18,"MaxGrowth",B18)</f>
        <v>UC_SUP_MaxGrowth_MSW</v>
      </c>
      <c r="C29" s="2" t="s">
        <v>144</v>
      </c>
      <c r="D29" s="2" t="s">
        <v>278</v>
      </c>
      <c r="E29" s="2"/>
      <c r="F29" s="2">
        <v>2019</v>
      </c>
      <c r="G29" s="2" t="s">
        <v>15</v>
      </c>
      <c r="H29" s="26">
        <v>1.0069999999999999</v>
      </c>
      <c r="I29" s="2">
        <v>1</v>
      </c>
      <c r="J29" s="16">
        <f>-D39</f>
        <v>0</v>
      </c>
      <c r="K29" s="2">
        <v>5</v>
      </c>
      <c r="L29" s="2" t="str">
        <f>_xlfn.TEXTJOIN(" ",TRUE,A18, "maximum growth rate of",B18)</f>
        <v>SUP maximum growth rate of MSW</v>
      </c>
    </row>
    <row r="30" spans="1:12">
      <c r="B30" s="2"/>
      <c r="C30" s="2"/>
      <c r="D30" s="2"/>
      <c r="E30" s="2"/>
      <c r="F30" s="2"/>
      <c r="G30" s="2"/>
      <c r="H30" s="26"/>
      <c r="I30" s="2"/>
      <c r="J30" s="16"/>
      <c r="K30" s="2"/>
      <c r="L30" s="2"/>
    </row>
    <row r="31" spans="1:12">
      <c r="B31" s="2" t="str">
        <f t="shared" ref="B31:B32" si="6">_xlfn.TEXTJOIN("_",TRUE,"UC",A40,"MaxGrowth",B40)</f>
        <v>UC_MaxGrowth</v>
      </c>
      <c r="C31" s="2" t="s">
        <v>277</v>
      </c>
      <c r="D31" s="2" t="s">
        <v>232</v>
      </c>
      <c r="E31" s="2"/>
      <c r="F31" s="2">
        <v>2019</v>
      </c>
      <c r="G31" s="2" t="s">
        <v>15</v>
      </c>
      <c r="H31" s="26">
        <v>1.01</v>
      </c>
      <c r="I31" s="2">
        <v>1</v>
      </c>
      <c r="J31" s="16">
        <f t="shared" ref="J31:J32" si="7">-D40</f>
        <v>0</v>
      </c>
      <c r="K31" s="2">
        <v>5</v>
      </c>
      <c r="L31" s="2" t="str">
        <f t="shared" ref="L31:L32" si="8">_xlfn.TEXTJOIN(" ",TRUE,A40, "maximum growth rate of",B40)</f>
        <v>maximum growth rate of</v>
      </c>
    </row>
    <row r="32" spans="1:12">
      <c r="B32" s="2" t="str">
        <f t="shared" si="6"/>
        <v>UC_MaxGrowth</v>
      </c>
      <c r="C32" s="2" t="s">
        <v>277</v>
      </c>
      <c r="D32" s="2" t="s">
        <v>233</v>
      </c>
      <c r="E32" s="2"/>
      <c r="F32" s="2">
        <v>2019</v>
      </c>
      <c r="G32" s="2" t="s">
        <v>15</v>
      </c>
      <c r="H32" s="26">
        <v>1.01</v>
      </c>
      <c r="I32" s="2">
        <v>1</v>
      </c>
      <c r="J32" s="16">
        <f t="shared" si="7"/>
        <v>0</v>
      </c>
      <c r="K32" s="2">
        <v>5</v>
      </c>
      <c r="L32" s="2" t="str">
        <f t="shared" si="8"/>
        <v>maximum growth rate of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2B0C-7472-4C75-A119-CE0EE6C8A8E0}">
  <sheetPr codeName="Sheet2"/>
  <dimension ref="A2:Z66"/>
  <sheetViews>
    <sheetView tabSelected="1" topLeftCell="A19" zoomScaleNormal="100" workbookViewId="0">
      <selection activeCell="H31" sqref="H31"/>
    </sheetView>
  </sheetViews>
  <sheetFormatPr defaultRowHeight="14.5"/>
  <cols>
    <col min="2" max="2" width="26.453125" bestFit="1" customWidth="1"/>
    <col min="3" max="3" width="15.54296875" bestFit="1" customWidth="1"/>
    <col min="4" max="4" width="18.453125" bestFit="1" customWidth="1"/>
    <col min="7" max="7" width="13.26953125" bestFit="1" customWidth="1"/>
    <col min="8" max="8" width="12.26953125" customWidth="1"/>
    <col min="9" max="9" width="16.1796875" customWidth="1"/>
    <col min="10" max="10" width="14.453125" customWidth="1"/>
    <col min="11" max="11" width="33.54296875" bestFit="1" customWidth="1"/>
    <col min="14" max="14" width="39.453125" bestFit="1" customWidth="1"/>
  </cols>
  <sheetData>
    <row r="2" spans="1:26">
      <c r="B2" s="1" t="str">
        <f>"~UC_Sets: R_E: " &amp; _xlfn.TEXTJOIN(",",TRUE,Regions!C3:D3)</f>
        <v>~UC_Sets: R_E: IE,National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6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 t="str">
        <f>"~UC_Sets: R_E: " &amp; _xlfn.TEXTJOIN(",",TRUE,Regions!O4:P4)</f>
        <v xml:space="preserve">~UC_Sets: R_E: 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B4" s="2"/>
      <c r="C4" s="2"/>
      <c r="D4" s="2"/>
      <c r="E4" s="2"/>
      <c r="F4" s="2" t="s">
        <v>16</v>
      </c>
      <c r="G4" s="2"/>
      <c r="H4" s="2"/>
      <c r="I4" s="2"/>
      <c r="J4" s="2"/>
      <c r="K4" s="2"/>
      <c r="N4" s="1" t="s">
        <v>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B5" s="4" t="s">
        <v>1</v>
      </c>
      <c r="C5" s="14" t="s">
        <v>2</v>
      </c>
      <c r="D5" s="14" t="s">
        <v>6</v>
      </c>
      <c r="E5" s="15" t="s">
        <v>7</v>
      </c>
      <c r="F5" s="15" t="s">
        <v>8</v>
      </c>
      <c r="G5" s="4" t="s">
        <v>9</v>
      </c>
      <c r="H5" s="4" t="s">
        <v>10</v>
      </c>
      <c r="I5" s="4" t="s">
        <v>43</v>
      </c>
      <c r="J5" s="4" t="s">
        <v>11</v>
      </c>
      <c r="K5" s="4" t="s">
        <v>12</v>
      </c>
      <c r="N5" s="2"/>
      <c r="O5" s="2"/>
      <c r="P5" s="2"/>
      <c r="Q5" s="2"/>
      <c r="R5" s="2"/>
      <c r="S5" s="2"/>
      <c r="T5" s="2"/>
      <c r="U5" s="2" t="s">
        <v>16</v>
      </c>
      <c r="V5" s="2"/>
      <c r="W5" s="2"/>
      <c r="X5" s="2"/>
      <c r="Y5" s="2"/>
      <c r="Z5" s="2"/>
    </row>
    <row r="6" spans="1:26">
      <c r="B6" s="2" t="str">
        <f t="shared" ref="B6:B9" si="0">_xlfn.TEXTJOIN("_",TRUE,"UC",A14,"MaxGrowth",B14)</f>
        <v>UC_PWR_MaxGrowth_CCS</v>
      </c>
      <c r="C6" s="2" t="s">
        <v>13</v>
      </c>
      <c r="D6" s="2" t="s">
        <v>118</v>
      </c>
      <c r="E6" s="2">
        <v>2022</v>
      </c>
      <c r="F6" s="2" t="s">
        <v>15</v>
      </c>
      <c r="G6" s="26">
        <f t="shared" ref="G6:G9" si="1">1+$C14</f>
        <v>2</v>
      </c>
      <c r="H6" s="2">
        <v>1</v>
      </c>
      <c r="I6" s="16">
        <f t="shared" ref="I6:I11" si="2">-D14</f>
        <v>-0.8</v>
      </c>
      <c r="J6" s="2">
        <v>5</v>
      </c>
      <c r="K6" s="2" t="str">
        <f t="shared" ref="K6:K11" si="3">_xlfn.TEXTJOIN(" ",TRUE,A14, "maximum growth rate of",B14)</f>
        <v>PWR maximum growth rate of CCS</v>
      </c>
      <c r="N6" s="4" t="s">
        <v>1</v>
      </c>
      <c r="O6" s="14" t="s">
        <v>2</v>
      </c>
      <c r="P6" s="14" t="s">
        <v>3</v>
      </c>
      <c r="Q6" s="14" t="s">
        <v>4</v>
      </c>
      <c r="R6" s="14" t="s">
        <v>5</v>
      </c>
      <c r="S6" s="14" t="s">
        <v>6</v>
      </c>
      <c r="T6" s="15" t="s">
        <v>7</v>
      </c>
      <c r="U6" s="15" t="s">
        <v>8</v>
      </c>
      <c r="V6" s="4" t="s">
        <v>145</v>
      </c>
      <c r="W6" s="4" t="s">
        <v>146</v>
      </c>
      <c r="X6" s="4" t="s">
        <v>182</v>
      </c>
      <c r="Y6" s="4" t="s">
        <v>11</v>
      </c>
      <c r="Z6" s="4" t="s">
        <v>12</v>
      </c>
    </row>
    <row r="7" spans="1:26">
      <c r="B7" s="2" t="str">
        <f t="shared" si="0"/>
        <v>UC_PWR_MaxGrowth_Wave</v>
      </c>
      <c r="C7" s="2" t="s">
        <v>13</v>
      </c>
      <c r="D7" s="2" t="s">
        <v>123</v>
      </c>
      <c r="E7">
        <v>2035</v>
      </c>
      <c r="F7" s="2" t="s">
        <v>15</v>
      </c>
      <c r="G7" s="26">
        <f t="shared" si="1"/>
        <v>1.2</v>
      </c>
      <c r="H7" s="2">
        <v>1</v>
      </c>
      <c r="I7" s="16">
        <f t="shared" si="2"/>
        <v>-0.4</v>
      </c>
      <c r="J7" s="2">
        <v>5</v>
      </c>
      <c r="K7" s="2" t="str">
        <f t="shared" si="3"/>
        <v>PWR maximum growth rate of Wave</v>
      </c>
      <c r="N7" s="2" t="s">
        <v>238</v>
      </c>
      <c r="O7" s="2" t="s">
        <v>144</v>
      </c>
      <c r="P7" s="2"/>
      <c r="R7" s="2" t="s">
        <v>239</v>
      </c>
      <c r="S7" s="2" t="s">
        <v>142</v>
      </c>
      <c r="T7" s="2">
        <v>2022</v>
      </c>
      <c r="U7" s="2" t="s">
        <v>185</v>
      </c>
      <c r="V7" s="26">
        <v>1</v>
      </c>
      <c r="W7" s="2">
        <v>1</v>
      </c>
      <c r="X7" s="16">
        <v>0</v>
      </c>
      <c r="Y7" s="2">
        <v>5</v>
      </c>
      <c r="Z7" s="2" t="s">
        <v>240</v>
      </c>
    </row>
    <row r="8" spans="1:26">
      <c r="B8" s="2" t="str">
        <f t="shared" si="0"/>
        <v>UC_PWR_MaxGrowth_Tidal</v>
      </c>
      <c r="C8" s="2" t="s">
        <v>13</v>
      </c>
      <c r="D8" s="2" t="s">
        <v>122</v>
      </c>
      <c r="E8">
        <v>2035</v>
      </c>
      <c r="F8" s="2" t="s">
        <v>15</v>
      </c>
      <c r="G8" s="26">
        <f t="shared" si="1"/>
        <v>1.2</v>
      </c>
      <c r="H8" s="2">
        <v>1</v>
      </c>
      <c r="I8" s="16">
        <f t="shared" si="2"/>
        <v>-0.1</v>
      </c>
      <c r="J8" s="2">
        <v>5</v>
      </c>
      <c r="K8" s="2" t="str">
        <f t="shared" si="3"/>
        <v>PWR maximum growth rate of Tidal</v>
      </c>
    </row>
    <row r="9" spans="1:26">
      <c r="B9" s="2" t="str">
        <f t="shared" si="0"/>
        <v>UC_PWR_MaxGrowth_H2GT</v>
      </c>
      <c r="C9" s="2" t="s">
        <v>13</v>
      </c>
      <c r="D9" s="2" t="s">
        <v>143</v>
      </c>
      <c r="E9" s="2">
        <v>2022</v>
      </c>
      <c r="F9" s="2" t="s">
        <v>15</v>
      </c>
      <c r="G9" s="26">
        <f t="shared" si="1"/>
        <v>1.75</v>
      </c>
      <c r="H9" s="2">
        <v>1</v>
      </c>
      <c r="I9" s="16">
        <f t="shared" si="2"/>
        <v>-0.5</v>
      </c>
      <c r="J9" s="2">
        <v>5</v>
      </c>
      <c r="K9" s="2" t="str">
        <f t="shared" si="3"/>
        <v>PWR maximum growth rate of H2GT</v>
      </c>
    </row>
    <row r="10" spans="1:26">
      <c r="B10" s="2" t="str">
        <f t="shared" ref="B10:B11" si="4">_xlfn.TEXTJOIN("_",TRUE,"UC",A18,"MaxGrowth",B18)</f>
        <v>UC_PWR_MaxGrowth_PV</v>
      </c>
      <c r="C10" s="2" t="s">
        <v>13</v>
      </c>
      <c r="D10" s="2" t="s">
        <v>158</v>
      </c>
      <c r="E10" s="2">
        <v>2022</v>
      </c>
      <c r="F10" s="2" t="s">
        <v>15</v>
      </c>
      <c r="G10" s="26">
        <f t="shared" ref="G10:G11" si="5">1+$C18</f>
        <v>2</v>
      </c>
      <c r="H10" s="2">
        <v>1</v>
      </c>
      <c r="I10" s="16">
        <f t="shared" si="2"/>
        <v>-1</v>
      </c>
      <c r="J10" s="2">
        <v>5</v>
      </c>
      <c r="K10" s="2" t="str">
        <f t="shared" si="3"/>
        <v>PWR maximum growth rate of PV</v>
      </c>
    </row>
    <row r="11" spans="1:26">
      <c r="B11" s="2" t="str">
        <f t="shared" si="4"/>
        <v>UC_PWR_MaxGrowth_CSP</v>
      </c>
      <c r="C11" s="2" t="s">
        <v>13</v>
      </c>
      <c r="D11" s="2" t="s">
        <v>159</v>
      </c>
      <c r="E11" s="2">
        <v>2022</v>
      </c>
      <c r="F11" s="2" t="s">
        <v>15</v>
      </c>
      <c r="G11" s="26">
        <f t="shared" si="5"/>
        <v>2</v>
      </c>
      <c r="H11" s="2">
        <v>1</v>
      </c>
      <c r="I11" s="16">
        <f t="shared" si="2"/>
        <v>-0.5</v>
      </c>
      <c r="J11" s="2">
        <v>5</v>
      </c>
      <c r="K11" s="2" t="str">
        <f t="shared" si="3"/>
        <v>PWR maximum growth rate of CSP</v>
      </c>
    </row>
    <row r="13" spans="1:26">
      <c r="C13" t="s">
        <v>117</v>
      </c>
      <c r="D13" t="s">
        <v>119</v>
      </c>
    </row>
    <row r="14" spans="1:26">
      <c r="A14" t="s">
        <v>128</v>
      </c>
      <c r="B14" t="s">
        <v>124</v>
      </c>
      <c r="C14" s="56">
        <v>1</v>
      </c>
      <c r="D14" s="57">
        <v>0.8</v>
      </c>
    </row>
    <row r="15" spans="1:26">
      <c r="A15" t="s">
        <v>128</v>
      </c>
      <c r="B15" t="s">
        <v>125</v>
      </c>
      <c r="C15" s="11">
        <v>0.2</v>
      </c>
      <c r="D15">
        <v>0.4</v>
      </c>
    </row>
    <row r="16" spans="1:26">
      <c r="A16" t="s">
        <v>128</v>
      </c>
      <c r="B16" t="s">
        <v>126</v>
      </c>
      <c r="C16" s="11">
        <v>0.2</v>
      </c>
      <c r="D16">
        <v>0.1</v>
      </c>
    </row>
    <row r="17" spans="1:11">
      <c r="A17" t="s">
        <v>128</v>
      </c>
      <c r="B17" t="s">
        <v>160</v>
      </c>
      <c r="C17" s="56">
        <v>0.75</v>
      </c>
      <c r="D17">
        <v>0.5</v>
      </c>
    </row>
    <row r="18" spans="1:11">
      <c r="A18" t="s">
        <v>128</v>
      </c>
      <c r="B18" t="s">
        <v>156</v>
      </c>
      <c r="C18" s="58">
        <v>1</v>
      </c>
      <c r="D18" s="57">
        <v>1</v>
      </c>
    </row>
    <row r="19" spans="1:11">
      <c r="A19" t="s">
        <v>128</v>
      </c>
      <c r="B19" t="s">
        <v>157</v>
      </c>
      <c r="C19" s="56">
        <v>1</v>
      </c>
      <c r="D19">
        <v>0.5</v>
      </c>
    </row>
    <row r="22" spans="1:11">
      <c r="B22" s="2"/>
      <c r="C22" s="2"/>
      <c r="D22" s="2"/>
      <c r="E22" s="2"/>
      <c r="F22" s="2" t="s">
        <v>16</v>
      </c>
      <c r="G22" s="2"/>
      <c r="H22" s="2"/>
      <c r="I22" s="2"/>
      <c r="J22" s="2"/>
      <c r="K22" s="2"/>
    </row>
    <row r="23" spans="1:11">
      <c r="B23" s="4" t="s">
        <v>1</v>
      </c>
      <c r="C23" s="14" t="s">
        <v>2</v>
      </c>
      <c r="D23" s="14" t="s">
        <v>6</v>
      </c>
      <c r="E23" s="15" t="s">
        <v>7</v>
      </c>
      <c r="F23" s="15" t="s">
        <v>8</v>
      </c>
      <c r="G23" s="4" t="s">
        <v>181</v>
      </c>
      <c r="H23" s="4" t="s">
        <v>182</v>
      </c>
      <c r="I23" s="4" t="s">
        <v>11</v>
      </c>
      <c r="J23" s="4" t="s">
        <v>12</v>
      </c>
    </row>
    <row r="24" spans="1:11">
      <c r="B24" s="2" t="s">
        <v>179</v>
      </c>
      <c r="C24" s="2"/>
      <c r="D24" s="2" t="s">
        <v>154</v>
      </c>
      <c r="E24" s="2">
        <v>2019</v>
      </c>
      <c r="F24" s="2" t="s">
        <v>185</v>
      </c>
      <c r="G24" s="26">
        <f>1+$C35</f>
        <v>1</v>
      </c>
      <c r="H24" s="16">
        <v>0.6</v>
      </c>
      <c r="I24" s="2">
        <v>3</v>
      </c>
      <c r="J24" s="2" t="s">
        <v>183</v>
      </c>
    </row>
    <row r="25" spans="1:11">
      <c r="B25" s="2"/>
      <c r="C25" s="2"/>
      <c r="D25" s="2" t="s">
        <v>154</v>
      </c>
      <c r="E25" s="2">
        <v>2020</v>
      </c>
      <c r="F25" s="2" t="s">
        <v>185</v>
      </c>
      <c r="G25" s="26">
        <f>1+$C36</f>
        <v>1</v>
      </c>
      <c r="H25" s="16">
        <v>0.5</v>
      </c>
      <c r="I25" s="2"/>
      <c r="J25" s="2"/>
    </row>
    <row r="26" spans="1:11">
      <c r="B26" s="2"/>
      <c r="C26" s="2"/>
      <c r="D26" s="2" t="s">
        <v>154</v>
      </c>
      <c r="E26" s="59">
        <v>2024</v>
      </c>
      <c r="F26" s="2" t="s">
        <v>185</v>
      </c>
      <c r="G26" s="26">
        <f>1+$C37</f>
        <v>1</v>
      </c>
      <c r="H26" s="61">
        <v>0.70799999999999996</v>
      </c>
      <c r="I26" s="2"/>
      <c r="J26" s="2"/>
    </row>
    <row r="27" spans="1:11">
      <c r="B27" s="2"/>
      <c r="C27" s="2"/>
      <c r="D27" s="2" t="s">
        <v>154</v>
      </c>
      <c r="E27" s="59">
        <v>2025</v>
      </c>
      <c r="F27" s="2" t="s">
        <v>185</v>
      </c>
      <c r="G27" s="26">
        <f t="shared" ref="G27:G30" si="6">1+$C38</f>
        <v>1</v>
      </c>
      <c r="H27" s="61">
        <f>5.11-5.06</f>
        <v>5.0000000000000711E-2</v>
      </c>
      <c r="I27" s="2"/>
      <c r="J27" s="2"/>
    </row>
    <row r="28" spans="1:11">
      <c r="B28" s="2"/>
      <c r="C28" s="2"/>
      <c r="D28" s="2" t="s">
        <v>154</v>
      </c>
      <c r="E28" s="59">
        <v>2026</v>
      </c>
      <c r="F28" s="2" t="s">
        <v>185</v>
      </c>
      <c r="G28" s="26">
        <f t="shared" si="6"/>
        <v>1</v>
      </c>
      <c r="H28" s="61">
        <f>5.775-5.11</f>
        <v>0.66500000000000004</v>
      </c>
      <c r="I28" s="2"/>
      <c r="J28" s="2"/>
    </row>
    <row r="29" spans="1:11">
      <c r="B29" s="2"/>
      <c r="C29" s="2"/>
      <c r="D29" s="2" t="s">
        <v>154</v>
      </c>
      <c r="E29" s="59">
        <v>2027</v>
      </c>
      <c r="F29" s="2" t="s">
        <v>185</v>
      </c>
      <c r="G29" s="26">
        <f t="shared" si="6"/>
        <v>1</v>
      </c>
      <c r="H29" s="61">
        <f>6.4-5.755</f>
        <v>0.64500000000000046</v>
      </c>
      <c r="I29" s="2"/>
      <c r="J29" s="2"/>
    </row>
    <row r="30" spans="1:11">
      <c r="B30" s="2"/>
      <c r="C30" s="2"/>
      <c r="D30" s="2" t="s">
        <v>154</v>
      </c>
      <c r="E30" s="59">
        <v>2028</v>
      </c>
      <c r="F30" s="2" t="s">
        <v>185</v>
      </c>
      <c r="G30" s="26">
        <f t="shared" si="6"/>
        <v>1</v>
      </c>
      <c r="H30" s="61">
        <f>6.7-6.4</f>
        <v>0.29999999999999982</v>
      </c>
      <c r="I30" s="2"/>
      <c r="J30" s="2"/>
    </row>
    <row r="31" spans="1:11">
      <c r="B31" s="18"/>
      <c r="C31" s="18"/>
      <c r="D31" s="18" t="s">
        <v>154</v>
      </c>
      <c r="E31" s="62">
        <v>2029</v>
      </c>
      <c r="F31" s="18" t="s">
        <v>185</v>
      </c>
      <c r="G31" s="27">
        <f>1+$C38</f>
        <v>1</v>
      </c>
      <c r="H31" s="63">
        <v>2</v>
      </c>
      <c r="I31" s="18"/>
      <c r="J31" s="18"/>
    </row>
    <row r="32" spans="1:11">
      <c r="B32" s="2" t="s">
        <v>180</v>
      </c>
      <c r="C32" s="2"/>
      <c r="D32" s="2" t="s">
        <v>155</v>
      </c>
      <c r="E32" s="60">
        <v>2028</v>
      </c>
      <c r="F32" s="2" t="s">
        <v>185</v>
      </c>
      <c r="G32" s="26">
        <f>1+$C36</f>
        <v>1</v>
      </c>
      <c r="H32" s="61">
        <v>0.7</v>
      </c>
      <c r="I32" s="2">
        <v>3</v>
      </c>
      <c r="J32" s="2" t="s">
        <v>184</v>
      </c>
    </row>
    <row r="33" spans="2:10">
      <c r="D33" s="2" t="s">
        <v>155</v>
      </c>
      <c r="E33" s="60">
        <v>2029</v>
      </c>
      <c r="F33" s="2" t="s">
        <v>185</v>
      </c>
      <c r="G33" s="26">
        <f>1+$C37</f>
        <v>1</v>
      </c>
      <c r="H33" s="61">
        <f>2.865-0.725</f>
        <v>2.14</v>
      </c>
    </row>
    <row r="34" spans="2:10">
      <c r="D34" s="2" t="s">
        <v>155</v>
      </c>
      <c r="E34" s="60">
        <v>2030</v>
      </c>
      <c r="F34" s="2" t="s">
        <v>185</v>
      </c>
      <c r="G34" s="26">
        <f>1+$C38</f>
        <v>1</v>
      </c>
      <c r="H34" s="61">
        <f>5-2.865</f>
        <v>2.1349999999999998</v>
      </c>
    </row>
    <row r="35" spans="2:10">
      <c r="D35" s="2" t="s">
        <v>155</v>
      </c>
      <c r="E35" s="60">
        <v>2031</v>
      </c>
      <c r="F35" s="2" t="s">
        <v>185</v>
      </c>
      <c r="G35" s="26">
        <f>1+$C39</f>
        <v>1</v>
      </c>
      <c r="H35" s="61">
        <f>7.135-5</f>
        <v>2.1349999999999998</v>
      </c>
    </row>
    <row r="36" spans="2:10">
      <c r="B36" s="5"/>
      <c r="C36" s="5"/>
      <c r="D36" s="18" t="s">
        <v>155</v>
      </c>
      <c r="E36" s="64">
        <v>2032</v>
      </c>
      <c r="F36" s="18" t="s">
        <v>185</v>
      </c>
      <c r="G36" s="27">
        <f>1+$C40</f>
        <v>1</v>
      </c>
      <c r="H36" s="63">
        <f>9.27-7.135</f>
        <v>2.1349999999999998</v>
      </c>
      <c r="I36" s="5"/>
      <c r="J36" s="5"/>
    </row>
    <row r="44" spans="2:10">
      <c r="B44" t="s">
        <v>243</v>
      </c>
    </row>
    <row r="63" spans="2:4">
      <c r="B63" s="65" t="s">
        <v>244</v>
      </c>
      <c r="C63" s="67">
        <v>2022</v>
      </c>
      <c r="D63" s="67">
        <v>2023</v>
      </c>
    </row>
    <row r="64" spans="2:4">
      <c r="B64" s="66" t="s">
        <v>245</v>
      </c>
      <c r="C64" s="68" t="s">
        <v>246</v>
      </c>
      <c r="D64" s="69">
        <v>4739</v>
      </c>
    </row>
    <row r="65" spans="2:4">
      <c r="B65" s="66" t="s">
        <v>247</v>
      </c>
      <c r="C65" s="68" t="s">
        <v>248</v>
      </c>
      <c r="D65" s="68">
        <v>716</v>
      </c>
    </row>
    <row r="66" spans="2:4">
      <c r="B66" s="66" t="s">
        <v>250</v>
      </c>
      <c r="C66" s="68" t="s">
        <v>249</v>
      </c>
      <c r="D66" s="68">
        <v>237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1BC9-19B1-4D97-BFD3-7736E255AD14}">
  <dimension ref="B2:R31"/>
  <sheetViews>
    <sheetView topLeftCell="B1" workbookViewId="0">
      <selection activeCell="B7" sqref="B7"/>
    </sheetView>
  </sheetViews>
  <sheetFormatPr defaultRowHeight="14.5"/>
  <cols>
    <col min="2" max="2" width="27.54296875" bestFit="1" customWidth="1"/>
  </cols>
  <sheetData>
    <row r="2" spans="2:14">
      <c r="B2" s="1" t="str">
        <f>"~UC_Sets: R_E: " &amp; _xlfn.TEXTJOIN(",",TRUE,Regions!C3:D3)</f>
        <v>~UC_Sets: R_E: IE,National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>
      <c r="B4" s="2"/>
      <c r="C4" s="2"/>
      <c r="D4" s="2"/>
      <c r="E4" s="2"/>
      <c r="F4" s="2"/>
      <c r="G4" s="2"/>
      <c r="H4" s="2"/>
      <c r="I4" s="2" t="s">
        <v>16</v>
      </c>
      <c r="J4" s="2"/>
      <c r="K4" s="2"/>
      <c r="L4" s="2"/>
      <c r="M4" s="2"/>
      <c r="N4" s="2"/>
    </row>
    <row r="5" spans="2:14">
      <c r="B5" s="4" t="s">
        <v>1</v>
      </c>
      <c r="C5" s="14" t="s">
        <v>2</v>
      </c>
      <c r="D5" s="14" t="s">
        <v>3</v>
      </c>
      <c r="E5" s="14" t="s">
        <v>4</v>
      </c>
      <c r="F5" s="14" t="s">
        <v>5</v>
      </c>
      <c r="G5" s="14" t="s">
        <v>6</v>
      </c>
      <c r="H5" s="15" t="s">
        <v>7</v>
      </c>
      <c r="I5" s="15" t="s">
        <v>8</v>
      </c>
      <c r="J5" s="4" t="s">
        <v>145</v>
      </c>
      <c r="K5" s="4" t="s">
        <v>146</v>
      </c>
      <c r="L5" s="4" t="s">
        <v>182</v>
      </c>
      <c r="M5" s="4" t="s">
        <v>11</v>
      </c>
      <c r="N5" s="4" t="s">
        <v>12</v>
      </c>
    </row>
    <row r="6" spans="2:14">
      <c r="B6" s="2" t="str">
        <f>_xlfn.TEXTJOIN("_",TRUE,"UC",B14,"MaxGrowth",C14)</f>
        <v>UC_IND_MaxGrowth_Biogas</v>
      </c>
      <c r="C6" s="2" t="s">
        <v>144</v>
      </c>
      <c r="D6" s="2"/>
      <c r="F6" s="2" t="s">
        <v>271</v>
      </c>
      <c r="G6" s="2" t="s">
        <v>142</v>
      </c>
      <c r="H6" s="2">
        <v>2022</v>
      </c>
      <c r="I6" s="2" t="s">
        <v>15</v>
      </c>
      <c r="J6" s="29">
        <f>1+D14</f>
        <v>1.1499999999999999</v>
      </c>
      <c r="K6" s="2">
        <v>1</v>
      </c>
      <c r="L6" s="16">
        <f>-E14</f>
        <v>-2</v>
      </c>
      <c r="M6" s="2">
        <v>5</v>
      </c>
      <c r="N6" s="2" t="str">
        <f>_xlfn.TEXTJOIN(" ",TRUE,B14, "maximum growth rate of",C14)</f>
        <v>IND maximum growth rate of Biogas</v>
      </c>
    </row>
    <row r="7" spans="2:14">
      <c r="B7" s="2" t="str">
        <f t="shared" ref="B7:B10" si="0">_xlfn.TEXTJOIN("_",TRUE,"UC",B15,"MaxGrowth",C15)</f>
        <v>UC_IND_MaxGrowth_Biofuels</v>
      </c>
      <c r="C7" s="2" t="s">
        <v>144</v>
      </c>
      <c r="D7" s="2"/>
      <c r="F7" s="2" t="s">
        <v>274</v>
      </c>
      <c r="G7" s="2" t="s">
        <v>142</v>
      </c>
      <c r="H7" s="2">
        <v>2022</v>
      </c>
      <c r="I7" s="2" t="s">
        <v>15</v>
      </c>
      <c r="J7" s="29">
        <f t="shared" ref="J7:J10" si="1">1+D15</f>
        <v>1</v>
      </c>
      <c r="K7" s="2">
        <v>1</v>
      </c>
      <c r="L7" s="16">
        <f t="shared" ref="L7:L10" si="2">-E15</f>
        <v>-0.5</v>
      </c>
      <c r="M7" s="2">
        <v>5</v>
      </c>
      <c r="N7" s="2" t="str">
        <f t="shared" ref="N7:N10" si="3">_xlfn.TEXTJOIN(" ",TRUE,B15, "maximum growth rate of",C15)</f>
        <v>IND maximum growth rate of Biofuels</v>
      </c>
    </row>
    <row r="8" spans="2:14">
      <c r="B8" s="2" t="str">
        <f t="shared" si="0"/>
        <v>UC_IND_MaxGrowth_Biomass</v>
      </c>
      <c r="C8" s="2" t="s">
        <v>144</v>
      </c>
      <c r="D8" s="2"/>
      <c r="F8" s="2" t="s">
        <v>275</v>
      </c>
      <c r="G8" s="2" t="s">
        <v>142</v>
      </c>
      <c r="H8" s="2">
        <v>2022</v>
      </c>
      <c r="I8" s="2" t="s">
        <v>15</v>
      </c>
      <c r="J8" s="29">
        <f t="shared" si="1"/>
        <v>1.07</v>
      </c>
      <c r="K8" s="2">
        <v>1</v>
      </c>
      <c r="L8" s="16">
        <f t="shared" si="2"/>
        <v>0</v>
      </c>
      <c r="M8" s="2">
        <v>5</v>
      </c>
      <c r="N8" s="2" t="str">
        <f t="shared" si="3"/>
        <v>IND maximum growth rate of Biomass</v>
      </c>
    </row>
    <row r="9" spans="2:14">
      <c r="B9" s="2" t="str">
        <f t="shared" si="0"/>
        <v>UC_IND_MaxGrowth_Hydrogen</v>
      </c>
      <c r="C9" s="2" t="s">
        <v>144</v>
      </c>
      <c r="D9" s="2"/>
      <c r="F9" s="2" t="s">
        <v>273</v>
      </c>
      <c r="G9" s="2" t="s">
        <v>142</v>
      </c>
      <c r="H9" s="2">
        <v>2022</v>
      </c>
      <c r="I9" s="2" t="s">
        <v>15</v>
      </c>
      <c r="J9" s="29">
        <f t="shared" si="1"/>
        <v>1.1499999999999999</v>
      </c>
      <c r="K9" s="2">
        <v>1</v>
      </c>
      <c r="L9" s="16">
        <f t="shared" si="2"/>
        <v>-2</v>
      </c>
      <c r="M9" s="2">
        <v>5</v>
      </c>
      <c r="N9" s="2" t="str">
        <f t="shared" si="3"/>
        <v>IND maximum growth rate of Hydrogen</v>
      </c>
    </row>
    <row r="10" spans="2:14">
      <c r="B10" s="2" t="str">
        <f t="shared" si="0"/>
        <v>UC_IND_MaxGrowth_Electricity</v>
      </c>
      <c r="C10" s="2" t="s">
        <v>144</v>
      </c>
      <c r="D10" s="2"/>
      <c r="F10" s="2" t="s">
        <v>272</v>
      </c>
      <c r="G10" s="2" t="s">
        <v>142</v>
      </c>
      <c r="H10" s="2">
        <v>2022</v>
      </c>
      <c r="I10" s="2" t="s">
        <v>15</v>
      </c>
      <c r="J10" s="29">
        <f t="shared" si="1"/>
        <v>1.07</v>
      </c>
      <c r="K10" s="2">
        <v>1</v>
      </c>
      <c r="L10" s="16">
        <f t="shared" si="2"/>
        <v>0</v>
      </c>
      <c r="M10" s="2">
        <v>5</v>
      </c>
      <c r="N10" s="2" t="str">
        <f t="shared" si="3"/>
        <v>IND maximum growth rate of Electricity</v>
      </c>
    </row>
    <row r="12" spans="2:14">
      <c r="H12" s="70"/>
    </row>
    <row r="13" spans="2:14">
      <c r="D13" t="s">
        <v>117</v>
      </c>
      <c r="E13" t="s">
        <v>189</v>
      </c>
      <c r="F13" t="s">
        <v>270</v>
      </c>
      <c r="H13" s="70"/>
    </row>
    <row r="14" spans="2:14">
      <c r="B14" t="s">
        <v>251</v>
      </c>
      <c r="C14" t="s">
        <v>138</v>
      </c>
      <c r="D14" s="11">
        <v>0.15</v>
      </c>
      <c r="E14">
        <v>2</v>
      </c>
      <c r="F14">
        <v>0.2</v>
      </c>
    </row>
    <row r="15" spans="2:14">
      <c r="B15" t="s">
        <v>251</v>
      </c>
      <c r="C15" t="s">
        <v>252</v>
      </c>
      <c r="D15" s="11">
        <v>0</v>
      </c>
      <c r="E15">
        <v>0.5</v>
      </c>
      <c r="F15">
        <v>0</v>
      </c>
    </row>
    <row r="16" spans="2:14">
      <c r="B16" t="s">
        <v>251</v>
      </c>
      <c r="C16" t="s">
        <v>137</v>
      </c>
      <c r="D16" s="56">
        <v>7.0000000000000007E-2</v>
      </c>
      <c r="E16">
        <v>0</v>
      </c>
      <c r="F16">
        <v>6.1</v>
      </c>
    </row>
    <row r="17" spans="2:18">
      <c r="B17" t="s">
        <v>251</v>
      </c>
      <c r="C17" t="s">
        <v>253</v>
      </c>
      <c r="D17" s="56">
        <v>0.15</v>
      </c>
      <c r="E17">
        <v>2</v>
      </c>
      <c r="F17">
        <v>0</v>
      </c>
    </row>
    <row r="18" spans="2:18">
      <c r="B18" t="s">
        <v>251</v>
      </c>
      <c r="C18" t="s">
        <v>200</v>
      </c>
      <c r="D18" s="56">
        <v>7.0000000000000007E-2</v>
      </c>
      <c r="E18">
        <v>0</v>
      </c>
      <c r="F18">
        <v>34.1</v>
      </c>
    </row>
    <row r="20" spans="2:18">
      <c r="K20" t="s">
        <v>254</v>
      </c>
    </row>
    <row r="21" spans="2:18">
      <c r="K21" t="s">
        <v>255</v>
      </c>
      <c r="L21" t="s">
        <v>256</v>
      </c>
      <c r="M21" t="s">
        <v>257</v>
      </c>
      <c r="N21" t="s">
        <v>258</v>
      </c>
      <c r="O21" t="s">
        <v>259</v>
      </c>
      <c r="P21" t="s">
        <v>193</v>
      </c>
      <c r="Q21" t="s">
        <v>260</v>
      </c>
      <c r="R21" t="s">
        <v>200</v>
      </c>
    </row>
    <row r="22" spans="2:18">
      <c r="J22" t="s">
        <v>261</v>
      </c>
      <c r="K22">
        <v>14.8</v>
      </c>
      <c r="L22">
        <v>1.7</v>
      </c>
      <c r="M22">
        <v>2.4</v>
      </c>
      <c r="N22">
        <v>3.3</v>
      </c>
      <c r="O22">
        <v>6</v>
      </c>
      <c r="P22">
        <v>1.4</v>
      </c>
      <c r="Q22">
        <v>0</v>
      </c>
      <c r="R22">
        <v>2.8</v>
      </c>
    </row>
    <row r="23" spans="2:18">
      <c r="J23" t="s">
        <v>262</v>
      </c>
      <c r="K23">
        <v>6.7</v>
      </c>
      <c r="L23">
        <v>0</v>
      </c>
      <c r="M23">
        <v>0</v>
      </c>
      <c r="N23">
        <v>0</v>
      </c>
      <c r="O23">
        <v>1</v>
      </c>
      <c r="P23">
        <v>5.7</v>
      </c>
      <c r="Q23">
        <v>0</v>
      </c>
      <c r="R23">
        <v>4.5</v>
      </c>
    </row>
    <row r="24" spans="2:18">
      <c r="J24" t="s">
        <v>263</v>
      </c>
      <c r="K24">
        <v>16.5</v>
      </c>
      <c r="L24">
        <v>0</v>
      </c>
      <c r="M24">
        <v>0</v>
      </c>
      <c r="N24">
        <v>0</v>
      </c>
      <c r="O24">
        <v>2.8</v>
      </c>
      <c r="P24">
        <v>12.7</v>
      </c>
      <c r="Q24">
        <v>1</v>
      </c>
      <c r="R24">
        <v>4.0999999999999996</v>
      </c>
    </row>
    <row r="25" spans="2:18">
      <c r="J25" t="s">
        <v>264</v>
      </c>
      <c r="K25">
        <v>0</v>
      </c>
    </row>
    <row r="26" spans="2:18">
      <c r="J26" t="s">
        <v>265</v>
      </c>
      <c r="K26">
        <v>18.100000000000001</v>
      </c>
      <c r="L26">
        <v>0</v>
      </c>
      <c r="M26">
        <v>0</v>
      </c>
      <c r="N26">
        <v>0</v>
      </c>
      <c r="O26">
        <v>0.3</v>
      </c>
      <c r="P26">
        <v>17.899999999999999</v>
      </c>
      <c r="Q26">
        <v>0</v>
      </c>
      <c r="R26">
        <v>2.6</v>
      </c>
    </row>
    <row r="27" spans="2:18">
      <c r="J27" t="s">
        <v>266</v>
      </c>
      <c r="K27">
        <v>4.3</v>
      </c>
      <c r="L27">
        <v>0</v>
      </c>
      <c r="M27">
        <v>0</v>
      </c>
      <c r="N27">
        <v>0</v>
      </c>
      <c r="O27">
        <v>0.8</v>
      </c>
      <c r="P27">
        <v>3.6</v>
      </c>
      <c r="Q27">
        <v>0</v>
      </c>
      <c r="R27">
        <v>7.3</v>
      </c>
    </row>
    <row r="28" spans="2:18">
      <c r="J28" t="s">
        <v>267</v>
      </c>
      <c r="K28">
        <v>1.8</v>
      </c>
      <c r="L28">
        <v>0</v>
      </c>
      <c r="M28">
        <v>0</v>
      </c>
      <c r="N28">
        <v>0</v>
      </c>
      <c r="O28">
        <v>1.2</v>
      </c>
      <c r="P28">
        <v>0.6</v>
      </c>
      <c r="Q28">
        <v>0</v>
      </c>
      <c r="R28">
        <v>1.1000000000000001</v>
      </c>
    </row>
    <row r="29" spans="2:18">
      <c r="J29" t="s">
        <v>268</v>
      </c>
      <c r="K29">
        <v>6.1</v>
      </c>
      <c r="L29">
        <v>0</v>
      </c>
      <c r="M29">
        <v>0</v>
      </c>
      <c r="N29">
        <v>0</v>
      </c>
      <c r="O29">
        <v>3.4</v>
      </c>
      <c r="P29">
        <v>2.8</v>
      </c>
      <c r="Q29">
        <v>0</v>
      </c>
      <c r="R29">
        <v>10.7</v>
      </c>
    </row>
    <row r="30" spans="2:18">
      <c r="J30" t="s">
        <v>269</v>
      </c>
      <c r="K30">
        <v>5.6</v>
      </c>
      <c r="L30">
        <v>0</v>
      </c>
      <c r="M30">
        <v>0</v>
      </c>
      <c r="N30">
        <v>0</v>
      </c>
      <c r="O30">
        <v>0.1</v>
      </c>
      <c r="P30">
        <v>0.4</v>
      </c>
      <c r="Q30">
        <v>5.0999999999999996</v>
      </c>
      <c r="R30">
        <v>1</v>
      </c>
    </row>
    <row r="31" spans="2:18">
      <c r="K31">
        <v>74.099999999999994</v>
      </c>
      <c r="L31">
        <v>1.7</v>
      </c>
      <c r="M31">
        <v>2.4</v>
      </c>
      <c r="N31">
        <v>3.3</v>
      </c>
      <c r="O31">
        <v>15.5</v>
      </c>
      <c r="P31">
        <v>45.1</v>
      </c>
      <c r="Q31">
        <v>6.1</v>
      </c>
      <c r="R31">
        <v>34.1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FEB4-63EA-406B-A848-C3344FC12632}">
  <dimension ref="A2:N37"/>
  <sheetViews>
    <sheetView topLeftCell="B1" zoomScaleNormal="100" workbookViewId="0">
      <selection activeCell="C33" sqref="C33"/>
    </sheetView>
  </sheetViews>
  <sheetFormatPr defaultRowHeight="14.5"/>
  <cols>
    <col min="2" max="2" width="32.7265625" bestFit="1" customWidth="1"/>
    <col min="3" max="3" width="15.54296875" bestFit="1" customWidth="1"/>
    <col min="4" max="4" width="18.453125" bestFit="1" customWidth="1"/>
    <col min="6" max="6" width="18.7265625" customWidth="1"/>
    <col min="7" max="7" width="8.54296875" bestFit="1" customWidth="1"/>
    <col min="8" max="8" width="5.26953125" customWidth="1"/>
    <col min="9" max="9" width="8.7265625" bestFit="1" customWidth="1"/>
    <col min="10" max="10" width="8.26953125" bestFit="1" customWidth="1"/>
    <col min="11" max="11" width="13.453125" bestFit="1" customWidth="1"/>
    <col min="12" max="12" width="12.26953125" bestFit="1" customWidth="1"/>
    <col min="13" max="13" width="14.453125" bestFit="1" customWidth="1"/>
    <col min="14" max="14" width="38.54296875" bestFit="1" customWidth="1"/>
  </cols>
  <sheetData>
    <row r="2" spans="2:14">
      <c r="B2" s="1" t="str">
        <f>"~UC_Sets: R_E: " &amp; _xlfn.TEXTJOIN(",",TRUE,Regions!C3:D3)</f>
        <v>~UC_Sets: R_E: IE,National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>
      <c r="B4" s="2"/>
      <c r="C4" s="2"/>
      <c r="D4" s="2"/>
      <c r="E4" s="2"/>
      <c r="F4" s="2"/>
      <c r="G4" s="2"/>
      <c r="H4" s="2"/>
      <c r="I4" s="2" t="s">
        <v>16</v>
      </c>
      <c r="J4" s="2"/>
      <c r="K4" s="2"/>
      <c r="L4" s="2"/>
      <c r="M4" s="2"/>
      <c r="N4" s="2"/>
    </row>
    <row r="5" spans="2:14">
      <c r="B5" s="4" t="s">
        <v>1</v>
      </c>
      <c r="C5" s="14" t="s">
        <v>2</v>
      </c>
      <c r="D5" s="14" t="s">
        <v>3</v>
      </c>
      <c r="E5" s="14" t="s">
        <v>4</v>
      </c>
      <c r="F5" s="14" t="s">
        <v>5</v>
      </c>
      <c r="G5" s="14" t="s">
        <v>6</v>
      </c>
      <c r="H5" s="15" t="s">
        <v>7</v>
      </c>
      <c r="I5" s="15" t="s">
        <v>8</v>
      </c>
      <c r="J5" s="4" t="s">
        <v>145</v>
      </c>
      <c r="K5" s="4" t="s">
        <v>146</v>
      </c>
      <c r="L5" s="4" t="s">
        <v>182</v>
      </c>
      <c r="M5" s="4" t="s">
        <v>11</v>
      </c>
      <c r="N5" s="4" t="s">
        <v>12</v>
      </c>
    </row>
    <row r="6" spans="2:14">
      <c r="B6" s="2" t="str">
        <f>_xlfn.TEXTJOIN("_",TRUE,"UC",A21,"MaxGrowth",B21)</f>
        <v>UC_RSD_MaxGrowth_AmbientHeat</v>
      </c>
      <c r="C6" s="2" t="s">
        <v>144</v>
      </c>
      <c r="D6" s="2"/>
      <c r="F6" s="2" t="s">
        <v>221</v>
      </c>
      <c r="G6" s="2" t="s">
        <v>142</v>
      </c>
      <c r="H6" s="2">
        <v>2022</v>
      </c>
      <c r="I6" s="2" t="s">
        <v>15</v>
      </c>
      <c r="J6" s="29">
        <f>1+C21</f>
        <v>1.1499999999999999</v>
      </c>
      <c r="K6" s="2">
        <v>1</v>
      </c>
      <c r="L6" s="16">
        <f>-D21</f>
        <v>-3</v>
      </c>
      <c r="M6" s="2">
        <v>5</v>
      </c>
      <c r="N6" s="2" t="str">
        <f>_xlfn.TEXTJOIN(" ",TRUE,A22, "maximum growth rate of",B21)</f>
        <v>RSD maximum growth rate of AmbientHeat</v>
      </c>
    </row>
    <row r="7" spans="2:14">
      <c r="B7" s="2" t="str">
        <f t="shared" ref="B7:B17" si="0">_xlfn.TEXTJOIN("_",TRUE,"UC",A22,"MaxGrowth",B22)</f>
        <v>UC_RSD_MaxGrowth_Biodiesel</v>
      </c>
      <c r="C7" s="2" t="s">
        <v>144</v>
      </c>
      <c r="D7" s="2"/>
      <c r="F7" t="s">
        <v>196</v>
      </c>
      <c r="G7" s="2" t="s">
        <v>142</v>
      </c>
      <c r="H7" s="2">
        <v>2022</v>
      </c>
      <c r="I7" s="2" t="s">
        <v>15</v>
      </c>
      <c r="J7" s="29">
        <f t="shared" ref="J7:J8" si="1">1+C22</f>
        <v>1.03</v>
      </c>
      <c r="K7" s="2">
        <v>1</v>
      </c>
      <c r="L7" s="16">
        <f t="shared" ref="L7:L8" si="2">-D22</f>
        <v>-0.5</v>
      </c>
      <c r="M7" s="2">
        <v>5</v>
      </c>
      <c r="N7" s="2" t="str">
        <f>_xlfn.TEXTJOIN(" ",TRUE,A23, "maximum growth rate of",B23)</f>
        <v>RSD maximum growth rate of Biomass</v>
      </c>
    </row>
    <row r="8" spans="2:14">
      <c r="B8" s="2" t="str">
        <f t="shared" si="0"/>
        <v>UC_RSD_MaxGrowth_Biomass</v>
      </c>
      <c r="C8" s="2" t="s">
        <v>144</v>
      </c>
      <c r="D8" s="2"/>
      <c r="F8" t="s">
        <v>205</v>
      </c>
      <c r="G8" s="2" t="s">
        <v>142</v>
      </c>
      <c r="H8" s="2">
        <v>2022</v>
      </c>
      <c r="I8" s="2" t="s">
        <v>15</v>
      </c>
      <c r="J8" s="29">
        <f t="shared" si="1"/>
        <v>1.01</v>
      </c>
      <c r="K8" s="2">
        <v>1</v>
      </c>
      <c r="L8" s="16">
        <f t="shared" si="2"/>
        <v>-0.5</v>
      </c>
      <c r="M8" s="2">
        <v>5</v>
      </c>
      <c r="N8" s="2" t="str">
        <f>_xlfn.TEXTJOIN(" ",TRUE,A23, "maximum growth rate of",B23)</f>
        <v>RSD maximum growth rate of Biomass</v>
      </c>
    </row>
    <row r="9" spans="2:14">
      <c r="B9" s="2" t="str">
        <f t="shared" si="0"/>
        <v>UC_RSD_MaxGrowth_Coal</v>
      </c>
      <c r="C9" s="2" t="s">
        <v>144</v>
      </c>
      <c r="D9" s="2"/>
      <c r="F9" t="s">
        <v>206</v>
      </c>
      <c r="G9" s="2" t="s">
        <v>142</v>
      </c>
      <c r="H9" s="2">
        <v>2022</v>
      </c>
      <c r="I9" s="2" t="s">
        <v>15</v>
      </c>
      <c r="J9" s="29">
        <f>1+C24</f>
        <v>0.99</v>
      </c>
      <c r="K9" s="2">
        <v>1</v>
      </c>
      <c r="L9" s="16">
        <f>-D24</f>
        <v>0</v>
      </c>
      <c r="M9" s="2">
        <v>5</v>
      </c>
      <c r="N9" s="2" t="str">
        <f>_xlfn.TEXTJOIN(" ",TRUE,A24, "maximum growth rate of",B24)</f>
        <v>RSD maximum growth rate of Coal</v>
      </c>
    </row>
    <row r="10" spans="2:14">
      <c r="B10" s="2" t="str">
        <f t="shared" si="0"/>
        <v>UC_RSD_MaxGrowth_Peat</v>
      </c>
      <c r="C10" s="2" t="s">
        <v>144</v>
      </c>
      <c r="D10" s="2"/>
      <c r="F10" t="s">
        <v>207</v>
      </c>
      <c r="G10" s="2" t="s">
        <v>142</v>
      </c>
      <c r="H10" s="2">
        <v>2022</v>
      </c>
      <c r="I10" s="2" t="s">
        <v>15</v>
      </c>
      <c r="J10" s="29">
        <f>1+C25</f>
        <v>0.99</v>
      </c>
      <c r="K10" s="2">
        <v>1</v>
      </c>
      <c r="L10" s="16">
        <f>-D25</f>
        <v>0</v>
      </c>
      <c r="M10" s="2">
        <v>5</v>
      </c>
      <c r="N10" s="2" t="str">
        <f>_xlfn.TEXTJOIN(" ",TRUE,A25, "maximum growth rate of",B25)</f>
        <v>RSD maximum growth rate of Peat</v>
      </c>
    </row>
    <row r="11" spans="2:14">
      <c r="B11" s="2" t="str">
        <f t="shared" si="0"/>
        <v>UC_RSD_MaxGrowth_Electricity</v>
      </c>
      <c r="C11" s="2" t="s">
        <v>144</v>
      </c>
      <c r="D11" s="2"/>
      <c r="F11" t="s">
        <v>208</v>
      </c>
      <c r="G11" s="2" t="s">
        <v>142</v>
      </c>
      <c r="H11" s="2">
        <v>2022</v>
      </c>
      <c r="I11" s="2" t="s">
        <v>15</v>
      </c>
      <c r="J11" s="29">
        <f>1+C26</f>
        <v>1.07</v>
      </c>
      <c r="K11" s="2">
        <v>1</v>
      </c>
      <c r="L11" s="16">
        <f>-D26</f>
        <v>-32</v>
      </c>
      <c r="M11" s="2">
        <v>5</v>
      </c>
      <c r="N11" s="2" t="str">
        <f>_xlfn.TEXTJOIN(" ",TRUE,A26, "maximum growth rate of",B26)</f>
        <v>RSD maximum growth rate of Electricity</v>
      </c>
    </row>
    <row r="12" spans="2:14">
      <c r="B12" s="2" t="str">
        <f t="shared" si="0"/>
        <v>UC_RSD_MaxGrowth_Ethanol</v>
      </c>
      <c r="C12" s="2" t="s">
        <v>144</v>
      </c>
      <c r="D12" s="2"/>
      <c r="F12" t="s">
        <v>209</v>
      </c>
      <c r="G12" s="2" t="s">
        <v>142</v>
      </c>
      <c r="H12" s="2">
        <v>2022</v>
      </c>
      <c r="I12" s="2" t="s">
        <v>15</v>
      </c>
      <c r="J12" s="29">
        <f t="shared" ref="J12:J17" si="3">1+C27</f>
        <v>1.02</v>
      </c>
      <c r="K12" s="2">
        <v>1</v>
      </c>
      <c r="L12" s="16">
        <f t="shared" ref="L12:L17" si="4">-D27</f>
        <v>-0.5</v>
      </c>
      <c r="M12" s="2">
        <v>5</v>
      </c>
      <c r="N12" s="2" t="str">
        <f t="shared" ref="N12:N17" si="5">_xlfn.TEXTJOIN(" ",TRUE,A27, "maximum growth rate of",B27)</f>
        <v>RSD maximum growth rate of Ethanol</v>
      </c>
    </row>
    <row r="13" spans="2:14">
      <c r="B13" s="2" t="str">
        <f t="shared" si="0"/>
        <v>UC_RSD_MaxGrowth_Gas</v>
      </c>
      <c r="C13" s="2" t="s">
        <v>144</v>
      </c>
      <c r="D13" s="2"/>
      <c r="F13" t="s">
        <v>210</v>
      </c>
      <c r="G13" s="2" t="s">
        <v>142</v>
      </c>
      <c r="H13" s="2">
        <v>2022</v>
      </c>
      <c r="I13" s="2" t="s">
        <v>15</v>
      </c>
      <c r="J13" s="29">
        <f t="shared" si="3"/>
        <v>1.02</v>
      </c>
      <c r="K13" s="2">
        <v>1</v>
      </c>
      <c r="L13" s="16">
        <f t="shared" si="4"/>
        <v>-0.5</v>
      </c>
      <c r="M13" s="2">
        <v>5</v>
      </c>
      <c r="N13" s="2" t="str">
        <f t="shared" si="5"/>
        <v>RSD maximum growth rate of Gas</v>
      </c>
    </row>
    <row r="14" spans="2:14">
      <c r="B14" s="2" t="str">
        <f t="shared" si="0"/>
        <v>UC_RSD_MaxGrowth_DistrictHeat</v>
      </c>
      <c r="C14" s="2" t="s">
        <v>144</v>
      </c>
      <c r="D14" s="2"/>
      <c r="F14" t="s">
        <v>211</v>
      </c>
      <c r="G14" s="2" t="s">
        <v>142</v>
      </c>
      <c r="H14" s="2">
        <v>2022</v>
      </c>
      <c r="I14" s="2" t="s">
        <v>15</v>
      </c>
      <c r="J14" s="29">
        <f t="shared" si="3"/>
        <v>1.1499999999999999</v>
      </c>
      <c r="K14" s="2">
        <v>1</v>
      </c>
      <c r="L14" s="16">
        <f t="shared" si="4"/>
        <v>-1</v>
      </c>
      <c r="M14" s="2">
        <v>5</v>
      </c>
      <c r="N14" s="2" t="str">
        <f t="shared" si="5"/>
        <v>RSD maximum growth rate of DistrictHeat</v>
      </c>
    </row>
    <row r="15" spans="2:14">
      <c r="B15" s="2" t="str">
        <f t="shared" si="0"/>
        <v>UC_RSD_MaxGrowth_LPG</v>
      </c>
      <c r="C15" s="2" t="s">
        <v>144</v>
      </c>
      <c r="D15" s="2"/>
      <c r="F15" t="s">
        <v>212</v>
      </c>
      <c r="G15" s="2" t="s">
        <v>142</v>
      </c>
      <c r="H15" s="2">
        <v>2022</v>
      </c>
      <c r="I15" s="2" t="s">
        <v>15</v>
      </c>
      <c r="J15" s="29">
        <f t="shared" si="3"/>
        <v>1.01</v>
      </c>
      <c r="K15" s="2">
        <v>1</v>
      </c>
      <c r="L15" s="16">
        <f t="shared" si="4"/>
        <v>-0.5</v>
      </c>
      <c r="M15" s="2">
        <v>5</v>
      </c>
      <c r="N15" s="2" t="str">
        <f t="shared" si="5"/>
        <v>RSD maximum growth rate of LPG</v>
      </c>
    </row>
    <row r="16" spans="2:14">
      <c r="B16" s="2" t="str">
        <f t="shared" si="0"/>
        <v>UC_RSD_MaxGrowth_Kerosene</v>
      </c>
      <c r="C16" s="2" t="s">
        <v>144</v>
      </c>
      <c r="D16" s="2"/>
      <c r="F16" t="s">
        <v>213</v>
      </c>
      <c r="G16" s="2" t="s">
        <v>142</v>
      </c>
      <c r="H16" s="2">
        <v>2022</v>
      </c>
      <c r="I16" s="2" t="s">
        <v>15</v>
      </c>
      <c r="J16" s="29">
        <f t="shared" si="3"/>
        <v>1.01</v>
      </c>
      <c r="K16" s="2">
        <v>1</v>
      </c>
      <c r="L16" s="16">
        <f t="shared" si="4"/>
        <v>-0.5</v>
      </c>
      <c r="M16" s="2">
        <v>5</v>
      </c>
      <c r="N16" s="2" t="str">
        <f t="shared" si="5"/>
        <v>RSD maximum growth rate of Kerosene</v>
      </c>
    </row>
    <row r="17" spans="1:14">
      <c r="B17" s="2" t="str">
        <f t="shared" si="0"/>
        <v>UC_RSD_MaxGrowth_Solar</v>
      </c>
      <c r="C17" s="2" t="s">
        <v>144</v>
      </c>
      <c r="D17" s="2"/>
      <c r="F17" t="s">
        <v>214</v>
      </c>
      <c r="G17" s="2" t="s">
        <v>142</v>
      </c>
      <c r="H17" s="2">
        <v>2022</v>
      </c>
      <c r="I17" s="2" t="s">
        <v>15</v>
      </c>
      <c r="J17" s="29">
        <f t="shared" si="3"/>
        <v>1.2</v>
      </c>
      <c r="K17" s="2">
        <v>1</v>
      </c>
      <c r="L17" s="16">
        <f t="shared" si="4"/>
        <v>-0.5</v>
      </c>
      <c r="M17" s="2">
        <v>5</v>
      </c>
      <c r="N17" s="2" t="str">
        <f t="shared" si="5"/>
        <v>RSD maximum growth rate of Solar</v>
      </c>
    </row>
    <row r="18" spans="1:14">
      <c r="B18" s="2"/>
      <c r="C18" s="2"/>
      <c r="D18" s="2"/>
      <c r="F18" s="2"/>
      <c r="G18" s="2"/>
      <c r="I18" s="2"/>
      <c r="J18" s="29"/>
      <c r="K18" s="2"/>
      <c r="L18" s="16"/>
      <c r="M18" s="2"/>
      <c r="N18" s="2"/>
    </row>
    <row r="20" spans="1:14">
      <c r="C20" t="s">
        <v>117</v>
      </c>
      <c r="D20" t="s">
        <v>189</v>
      </c>
    </row>
    <row r="21" spans="1:14">
      <c r="A21" t="s">
        <v>195</v>
      </c>
      <c r="B21" t="s">
        <v>190</v>
      </c>
      <c r="C21" s="11">
        <v>0.15</v>
      </c>
      <c r="D21">
        <v>3</v>
      </c>
    </row>
    <row r="22" spans="1:14">
      <c r="A22" t="s">
        <v>195</v>
      </c>
      <c r="B22" t="s">
        <v>197</v>
      </c>
      <c r="C22" s="11">
        <v>0.03</v>
      </c>
      <c r="D22">
        <v>0.5</v>
      </c>
    </row>
    <row r="23" spans="1:14">
      <c r="A23" t="s">
        <v>195</v>
      </c>
      <c r="B23" t="s">
        <v>137</v>
      </c>
      <c r="C23" s="56">
        <v>0.01</v>
      </c>
      <c r="D23">
        <v>0.5</v>
      </c>
    </row>
    <row r="24" spans="1:14">
      <c r="A24" t="s">
        <v>195</v>
      </c>
      <c r="B24" t="s">
        <v>198</v>
      </c>
      <c r="C24" s="56">
        <v>-0.01</v>
      </c>
      <c r="D24">
        <v>0</v>
      </c>
    </row>
    <row r="25" spans="1:14">
      <c r="A25" t="s">
        <v>195</v>
      </c>
      <c r="B25" t="s">
        <v>199</v>
      </c>
      <c r="C25" s="56">
        <v>-0.01</v>
      </c>
      <c r="D25">
        <v>0</v>
      </c>
    </row>
    <row r="26" spans="1:14">
      <c r="A26" t="s">
        <v>195</v>
      </c>
      <c r="B26" t="s">
        <v>200</v>
      </c>
      <c r="C26" s="11">
        <v>7.0000000000000007E-2</v>
      </c>
      <c r="D26">
        <v>32</v>
      </c>
    </row>
    <row r="27" spans="1:14">
      <c r="A27" t="s">
        <v>195</v>
      </c>
      <c r="B27" t="s">
        <v>201</v>
      </c>
      <c r="C27" s="11">
        <v>0.02</v>
      </c>
      <c r="D27">
        <v>0.5</v>
      </c>
    </row>
    <row r="28" spans="1:14">
      <c r="A28" t="s">
        <v>195</v>
      </c>
      <c r="B28" t="s">
        <v>193</v>
      </c>
      <c r="C28" s="11">
        <v>0.02</v>
      </c>
      <c r="D28">
        <v>0.5</v>
      </c>
    </row>
    <row r="29" spans="1:14">
      <c r="A29" t="s">
        <v>195</v>
      </c>
      <c r="B29" t="s">
        <v>191</v>
      </c>
      <c r="C29" s="11">
        <v>0.15</v>
      </c>
      <c r="D29">
        <v>1</v>
      </c>
    </row>
    <row r="30" spans="1:14">
      <c r="A30" t="s">
        <v>195</v>
      </c>
      <c r="B30" t="s">
        <v>202</v>
      </c>
      <c r="C30" s="56">
        <v>0.01</v>
      </c>
      <c r="D30">
        <v>0.5</v>
      </c>
    </row>
    <row r="31" spans="1:14">
      <c r="A31" t="s">
        <v>195</v>
      </c>
      <c r="B31" t="s">
        <v>203</v>
      </c>
      <c r="C31" s="56">
        <v>0.01</v>
      </c>
      <c r="D31">
        <v>0.5</v>
      </c>
    </row>
    <row r="32" spans="1:14">
      <c r="A32" t="s">
        <v>195</v>
      </c>
      <c r="B32" t="s">
        <v>204</v>
      </c>
      <c r="C32" s="11">
        <v>0.2</v>
      </c>
      <c r="D32">
        <v>0.5</v>
      </c>
    </row>
    <row r="35" spans="2:8">
      <c r="B35" s="45" t="s">
        <v>241</v>
      </c>
      <c r="H35" s="46"/>
    </row>
    <row r="36" spans="2:8" ht="15" thickBot="1">
      <c r="B36" s="47" t="s">
        <v>216</v>
      </c>
      <c r="C36" s="47" t="s">
        <v>8</v>
      </c>
      <c r="D36" s="47" t="s">
        <v>217</v>
      </c>
      <c r="E36" s="47" t="s">
        <v>7</v>
      </c>
      <c r="F36" s="48" t="str">
        <f>IF(Regions!C$3&lt;&gt;"",Regions!C$3,"*")</f>
        <v>IE</v>
      </c>
      <c r="G36" s="48" t="str">
        <f>IF(Regions!C$3&lt;&gt;"",Regions!D$3,"*")</f>
        <v>National</v>
      </c>
      <c r="H36" s="49" t="s">
        <v>218</v>
      </c>
    </row>
    <row r="37" spans="2:8">
      <c r="D37" t="s">
        <v>219</v>
      </c>
      <c r="E37">
        <v>2018</v>
      </c>
      <c r="F37">
        <v>2222</v>
      </c>
      <c r="G37">
        <f>F37</f>
        <v>2222</v>
      </c>
      <c r="H37" t="str">
        <f xml:space="preserve"> _xlfn.TEXTJOIN(",",TRUE,F6:F17)</f>
        <v>RSDAHT,RSDAHT2,RSDBDL,RSDWOO,RSDCOA,RSDPEA,RSDELC,RSDETH,RSDGAS,RSDHET,RSDLPG,RSDKER,RSDSOL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46D0-BFBE-459D-AD94-C3EBC85EC70F}">
  <sheetPr codeName="Sheet4"/>
  <dimension ref="A2:N24"/>
  <sheetViews>
    <sheetView zoomScaleNormal="100" workbookViewId="0">
      <selection activeCell="C18" sqref="C18"/>
    </sheetView>
  </sheetViews>
  <sheetFormatPr defaultRowHeight="14.5"/>
  <cols>
    <col min="2" max="2" width="32.7265625" bestFit="1" customWidth="1"/>
    <col min="3" max="3" width="15.54296875" bestFit="1" customWidth="1"/>
    <col min="4" max="4" width="17" bestFit="1" customWidth="1"/>
    <col min="5" max="5" width="7.7265625" bestFit="1" customWidth="1"/>
    <col min="6" max="6" width="8.7265625" customWidth="1"/>
    <col min="7" max="7" width="8.54296875" bestFit="1" customWidth="1"/>
    <col min="9" max="9" width="8.7265625" bestFit="1" customWidth="1"/>
    <col min="10" max="10" width="8.26953125" bestFit="1" customWidth="1"/>
    <col min="11" max="11" width="13.453125" bestFit="1" customWidth="1"/>
    <col min="12" max="12" width="12.26953125" bestFit="1" customWidth="1"/>
    <col min="13" max="13" width="14.453125" bestFit="1" customWidth="1"/>
    <col min="14" max="14" width="40" bestFit="1" customWidth="1"/>
  </cols>
  <sheetData>
    <row r="2" spans="1:14">
      <c r="B2" s="1" t="str">
        <f>"~UC_Sets: R_E: " &amp; _xlfn.TEXTJOIN(",",TRUE,Regions!C3:D3)</f>
        <v>~UC_Sets: R_E: IE,National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B4" s="2"/>
      <c r="C4" s="2"/>
      <c r="D4" s="2"/>
      <c r="E4" s="2"/>
      <c r="F4" s="2"/>
      <c r="G4" s="2"/>
      <c r="H4" s="2"/>
      <c r="I4" s="2" t="s">
        <v>16</v>
      </c>
      <c r="J4" s="2"/>
      <c r="K4" s="2"/>
      <c r="L4" s="2"/>
      <c r="M4" s="2"/>
      <c r="N4" s="2"/>
    </row>
    <row r="5" spans="1:14">
      <c r="B5" s="4" t="s">
        <v>1</v>
      </c>
      <c r="C5" s="14" t="s">
        <v>2</v>
      </c>
      <c r="D5" s="14" t="s">
        <v>3</v>
      </c>
      <c r="E5" s="14" t="s">
        <v>4</v>
      </c>
      <c r="F5" s="14" t="s">
        <v>5</v>
      </c>
      <c r="G5" s="14" t="s">
        <v>6</v>
      </c>
      <c r="H5" s="15" t="s">
        <v>7</v>
      </c>
      <c r="I5" s="15" t="s">
        <v>8</v>
      </c>
      <c r="J5" s="4" t="s">
        <v>145</v>
      </c>
      <c r="K5" s="4" t="s">
        <v>146</v>
      </c>
      <c r="L5" s="4" t="s">
        <v>182</v>
      </c>
      <c r="M5" s="4" t="s">
        <v>11</v>
      </c>
      <c r="N5" s="4" t="s">
        <v>12</v>
      </c>
    </row>
    <row r="6" spans="1:14">
      <c r="B6" s="2" t="str">
        <f>_xlfn.TEXTJOIN("_",TRUE,"UC",A14,"MaxGrowth",B14)</f>
        <v>UC_SRV_MaxGrowth_Biomass</v>
      </c>
      <c r="C6" s="2" t="s">
        <v>144</v>
      </c>
      <c r="D6" s="2"/>
      <c r="F6" s="2" t="s">
        <v>140</v>
      </c>
      <c r="G6" s="2" t="s">
        <v>142</v>
      </c>
      <c r="H6" s="2">
        <v>2022</v>
      </c>
      <c r="I6" s="2" t="s">
        <v>15</v>
      </c>
      <c r="J6" s="29">
        <f>1+C14</f>
        <v>1.05</v>
      </c>
      <c r="K6" s="2">
        <v>1</v>
      </c>
      <c r="L6" s="16">
        <f>-D14</f>
        <v>-0.3</v>
      </c>
      <c r="M6" s="2">
        <v>5</v>
      </c>
      <c r="N6" s="2" t="str">
        <f>_xlfn.TEXTJOIN(" ",TRUE,A14, "maximum growth rate of",B14)</f>
        <v>SRV maximum growth rate of Biomass</v>
      </c>
    </row>
    <row r="7" spans="1:14">
      <c r="B7" s="2" t="str">
        <f>_xlfn.TEXTJOIN("_",TRUE,"UC",A15,"MaxGrowth",B15)</f>
        <v>UC_SRV_MaxGrowth_Biogas</v>
      </c>
      <c r="C7" s="2" t="s">
        <v>144</v>
      </c>
      <c r="D7" s="2"/>
      <c r="F7" s="2" t="s">
        <v>141</v>
      </c>
      <c r="G7" s="2" t="s">
        <v>142</v>
      </c>
      <c r="H7" s="2">
        <v>2022</v>
      </c>
      <c r="I7" s="2" t="s">
        <v>15</v>
      </c>
      <c r="J7" s="29">
        <f>1+C15</f>
        <v>1.05</v>
      </c>
      <c r="K7" s="2">
        <v>1</v>
      </c>
      <c r="L7" s="16">
        <f>-D15</f>
        <v>-0.3</v>
      </c>
      <c r="M7" s="2">
        <v>5</v>
      </c>
      <c r="N7" s="2" t="str">
        <f>_xlfn.TEXTJOIN(" ",TRUE,A15, "maximum growth rate of",B15)</f>
        <v>SRV maximum growth rate of Biogas</v>
      </c>
    </row>
    <row r="8" spans="1:14">
      <c r="B8" s="2" t="str">
        <f>_xlfn.TEXTJOIN("_",TRUE,"UC",A16,"MaxGrowth",B16)</f>
        <v>UC_SRV_MaxGrowth_AmbientHeat</v>
      </c>
      <c r="C8" s="2" t="s">
        <v>144</v>
      </c>
      <c r="D8" s="2"/>
      <c r="F8" s="2" t="s">
        <v>220</v>
      </c>
      <c r="G8" s="2" t="s">
        <v>142</v>
      </c>
      <c r="H8" s="2">
        <v>2022</v>
      </c>
      <c r="I8" s="2" t="s">
        <v>15</v>
      </c>
      <c r="J8" s="29">
        <f>1+C16</f>
        <v>1.2</v>
      </c>
      <c r="K8" s="2">
        <v>1</v>
      </c>
      <c r="L8" s="16">
        <f>-D16</f>
        <v>-0.8</v>
      </c>
      <c r="M8" s="2">
        <v>5</v>
      </c>
      <c r="N8" s="2" t="str">
        <f>_xlfn.TEXTJOIN(" ",TRUE,A16, "maximum growth rate of",B16)</f>
        <v>SRV maximum growth rate of AmbientHeat</v>
      </c>
    </row>
    <row r="9" spans="1:14">
      <c r="B9" s="2" t="str">
        <f>_xlfn.TEXTJOIN("_",TRUE,"UC",A17,"MaxGrowth",B17)</f>
        <v>UC_SRV_MaxGrowth_DistrictHeat</v>
      </c>
      <c r="C9" s="2" t="s">
        <v>144</v>
      </c>
      <c r="D9" s="2"/>
      <c r="F9" s="2" t="s">
        <v>192</v>
      </c>
      <c r="G9" s="2" t="s">
        <v>142</v>
      </c>
      <c r="H9" s="2">
        <v>2022</v>
      </c>
      <c r="I9" s="2" t="s">
        <v>15</v>
      </c>
      <c r="J9" s="29">
        <f>1+C17</f>
        <v>1.1000000000000001</v>
      </c>
      <c r="K9" s="2">
        <v>1</v>
      </c>
      <c r="L9" s="16">
        <f>-D17</f>
        <v>-1</v>
      </c>
      <c r="M9" s="2">
        <v>5</v>
      </c>
      <c r="N9" s="2" t="str">
        <f>_xlfn.TEXTJOIN(" ",TRUE,A17, "maximum growth rate of",B17)</f>
        <v>SRV maximum growth rate of DistrictHeat</v>
      </c>
    </row>
    <row r="10" spans="1:14">
      <c r="B10" s="2" t="str">
        <f>_xlfn.TEXTJOIN("_",TRUE,"UC",A18,"MaxGrowth",B18)</f>
        <v>UC_SRV_MaxGrowth_Gas</v>
      </c>
      <c r="C10" s="2" t="s">
        <v>144</v>
      </c>
      <c r="D10" s="2"/>
      <c r="F10" s="2" t="s">
        <v>194</v>
      </c>
      <c r="G10" s="2" t="s">
        <v>142</v>
      </c>
      <c r="H10" s="2">
        <v>2022</v>
      </c>
      <c r="I10" s="2" t="s">
        <v>15</v>
      </c>
      <c r="J10" s="29">
        <f>1+C18</f>
        <v>1.08</v>
      </c>
      <c r="K10" s="2">
        <v>1</v>
      </c>
      <c r="L10" s="16">
        <f>-D18</f>
        <v>-0.5</v>
      </c>
      <c r="M10" s="2">
        <v>5</v>
      </c>
      <c r="N10" s="2" t="str">
        <f>_xlfn.TEXTJOIN(" ",TRUE,A18, "maximum growth rate of",B18)</f>
        <v>SRV maximum growth rate of Gas</v>
      </c>
    </row>
    <row r="11" spans="1:14">
      <c r="B11" s="2"/>
      <c r="C11" s="2"/>
      <c r="D11" s="2"/>
      <c r="F11" s="2"/>
      <c r="G11" s="2"/>
      <c r="H11" s="2"/>
      <c r="I11" s="2"/>
      <c r="J11" s="29"/>
      <c r="K11" s="2"/>
      <c r="L11" s="16"/>
      <c r="M11" s="2"/>
      <c r="N11" s="2"/>
    </row>
    <row r="13" spans="1:14">
      <c r="C13" t="s">
        <v>117</v>
      </c>
      <c r="D13" t="s">
        <v>189</v>
      </c>
    </row>
    <row r="14" spans="1:14">
      <c r="A14" t="s">
        <v>139</v>
      </c>
      <c r="B14" t="s">
        <v>137</v>
      </c>
      <c r="C14" s="11">
        <v>0.05</v>
      </c>
      <c r="D14">
        <v>0.3</v>
      </c>
    </row>
    <row r="15" spans="1:14">
      <c r="A15" t="s">
        <v>139</v>
      </c>
      <c r="B15" t="s">
        <v>138</v>
      </c>
      <c r="C15" s="11">
        <v>0.05</v>
      </c>
      <c r="D15">
        <v>0.3</v>
      </c>
    </row>
    <row r="16" spans="1:14">
      <c r="A16" t="s">
        <v>139</v>
      </c>
      <c r="B16" t="s">
        <v>190</v>
      </c>
      <c r="C16" s="56">
        <v>0.2</v>
      </c>
      <c r="D16" s="57">
        <v>0.8</v>
      </c>
    </row>
    <row r="17" spans="1:8">
      <c r="A17" t="s">
        <v>139</v>
      </c>
      <c r="B17" t="s">
        <v>191</v>
      </c>
      <c r="C17" s="56">
        <v>0.1</v>
      </c>
      <c r="D17" s="57">
        <v>1</v>
      </c>
    </row>
    <row r="18" spans="1:8">
      <c r="A18" t="s">
        <v>139</v>
      </c>
      <c r="B18" t="s">
        <v>193</v>
      </c>
      <c r="C18" s="11">
        <v>0.08</v>
      </c>
      <c r="D18">
        <v>0.5</v>
      </c>
    </row>
    <row r="22" spans="1:8">
      <c r="B22" s="45"/>
      <c r="H22" s="46"/>
    </row>
    <row r="23" spans="1:8" ht="15" thickBot="1">
      <c r="B23" s="47" t="s">
        <v>216</v>
      </c>
      <c r="C23" s="47" t="s">
        <v>8</v>
      </c>
      <c r="D23" s="47" t="s">
        <v>217</v>
      </c>
      <c r="E23" s="47" t="s">
        <v>7</v>
      </c>
      <c r="F23" s="48" t="str">
        <f>IF(Regions!C$3&lt;&gt;"",Regions!C$3,"*")</f>
        <v>IE</v>
      </c>
      <c r="G23" s="48" t="str">
        <f>IF(Regions!C$3&lt;&gt;"",Regions!D$3,"*")</f>
        <v>National</v>
      </c>
      <c r="H23" s="49" t="s">
        <v>218</v>
      </c>
    </row>
    <row r="24" spans="1:8">
      <c r="D24" t="s">
        <v>219</v>
      </c>
      <c r="E24">
        <v>2018</v>
      </c>
      <c r="F24">
        <v>2222</v>
      </c>
      <c r="G24">
        <f>F24</f>
        <v>2222</v>
      </c>
      <c r="H24" t="str">
        <f xml:space="preserve"> _xlfn.TEXTJOIN(",",TRUE,F6:F10)</f>
        <v>SRVBIO,SRVBGS,SRVAHT,SRVAHT2,SRVHET,SRVGAS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3777E-BCE4-472D-B253-88326C1C4E47}">
  <dimension ref="A2:N10"/>
  <sheetViews>
    <sheetView zoomScaleNormal="100" workbookViewId="0">
      <selection activeCell="B7" sqref="B7"/>
    </sheetView>
  </sheetViews>
  <sheetFormatPr defaultRowHeight="14.5"/>
  <cols>
    <col min="2" max="2" width="32.7265625" bestFit="1" customWidth="1"/>
    <col min="3" max="3" width="15.54296875" bestFit="1" customWidth="1"/>
    <col min="4" max="4" width="18.453125" bestFit="1" customWidth="1"/>
    <col min="7" max="7" width="8.54296875" bestFit="1" customWidth="1"/>
    <col min="8" max="8" width="5.26953125" customWidth="1"/>
    <col min="9" max="9" width="8.7265625" bestFit="1" customWidth="1"/>
    <col min="10" max="10" width="9.7265625" bestFit="1" customWidth="1"/>
    <col min="11" max="11" width="14.7265625" bestFit="1" customWidth="1"/>
    <col min="12" max="12" width="12.26953125" bestFit="1" customWidth="1"/>
    <col min="13" max="13" width="14.453125" bestFit="1" customWidth="1"/>
    <col min="14" max="14" width="38.54296875" bestFit="1" customWidth="1"/>
  </cols>
  <sheetData>
    <row r="2" spans="1:14">
      <c r="B2" s="1" t="str">
        <f>"~UC_Sets: R_E: " &amp; _xlfn.TEXTJOIN(",",TRUE,Regions!C3:D3)</f>
        <v>~UC_Sets: R_E: IE,National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B4" s="2"/>
      <c r="C4" s="2"/>
      <c r="D4" s="2"/>
      <c r="E4" s="2"/>
      <c r="F4" s="2"/>
      <c r="G4" s="2"/>
      <c r="H4" s="2"/>
      <c r="I4" s="2" t="s">
        <v>16</v>
      </c>
      <c r="J4" s="2"/>
      <c r="K4" s="2"/>
      <c r="L4" s="2"/>
      <c r="M4" s="2"/>
      <c r="N4" s="2"/>
    </row>
    <row r="5" spans="1:14">
      <c r="B5" s="4" t="s">
        <v>1</v>
      </c>
      <c r="C5" s="14" t="s">
        <v>2</v>
      </c>
      <c r="D5" s="14" t="s">
        <v>3</v>
      </c>
      <c r="E5" s="14" t="s">
        <v>4</v>
      </c>
      <c r="F5" s="14" t="s">
        <v>5</v>
      </c>
      <c r="G5" s="14" t="s">
        <v>6</v>
      </c>
      <c r="H5" s="15" t="s">
        <v>7</v>
      </c>
      <c r="I5" s="15" t="s">
        <v>8</v>
      </c>
      <c r="J5" s="4" t="s">
        <v>181</v>
      </c>
      <c r="K5" s="4" t="s">
        <v>223</v>
      </c>
      <c r="L5" s="4" t="s">
        <v>182</v>
      </c>
      <c r="M5" s="4" t="s">
        <v>11</v>
      </c>
      <c r="N5" s="4" t="s">
        <v>12</v>
      </c>
    </row>
    <row r="6" spans="1:14">
      <c r="B6" s="2" t="str">
        <f>_xlfn.TEXTJOIN("_",TRUE,"UC",A10,"MaxGrowth",B10)</f>
        <v>UC_RSD_MaxGrowth_Retrofits</v>
      </c>
      <c r="C6" s="2" t="s">
        <v>224</v>
      </c>
      <c r="D6" s="2"/>
      <c r="F6" s="2"/>
      <c r="G6" s="2" t="s">
        <v>225</v>
      </c>
      <c r="H6" s="2">
        <v>2019</v>
      </c>
      <c r="I6" s="2" t="s">
        <v>15</v>
      </c>
      <c r="J6" s="29">
        <f>1+C10</f>
        <v>1.5</v>
      </c>
      <c r="K6" s="2">
        <v>1</v>
      </c>
      <c r="L6" s="16">
        <f>-D10</f>
        <v>-20</v>
      </c>
      <c r="M6" s="2">
        <v>5</v>
      </c>
      <c r="N6" s="2" t="str">
        <f>_xlfn.TEXTJOIN(" ",TRUE,A10, "maximum growth rate of",LOWER(B10))</f>
        <v>RSD maximum growth rate of retrofits</v>
      </c>
    </row>
    <row r="7" spans="1:14">
      <c r="B7" s="2" t="s">
        <v>226</v>
      </c>
      <c r="C7" s="2"/>
      <c r="D7" s="2"/>
      <c r="F7" s="2"/>
      <c r="G7" s="2" t="s">
        <v>225</v>
      </c>
      <c r="H7">
        <v>2019</v>
      </c>
      <c r="I7" s="2" t="s">
        <v>185</v>
      </c>
      <c r="J7" s="50">
        <v>1</v>
      </c>
      <c r="K7" s="2"/>
      <c r="L7" s="16">
        <v>60</v>
      </c>
      <c r="M7" s="2">
        <v>5</v>
      </c>
      <c r="N7" s="2" t="s">
        <v>227</v>
      </c>
    </row>
    <row r="9" spans="1:14">
      <c r="C9" t="s">
        <v>117</v>
      </c>
      <c r="D9" t="s">
        <v>228</v>
      </c>
    </row>
    <row r="10" spans="1:14">
      <c r="A10" t="s">
        <v>195</v>
      </c>
      <c r="B10" t="s">
        <v>229</v>
      </c>
      <c r="C10" s="11">
        <v>0.5</v>
      </c>
      <c r="D10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7AF2-8905-43A5-8387-D99F068F4BCD}">
  <sheetPr codeName="Sheet3"/>
  <dimension ref="A2:P68"/>
  <sheetViews>
    <sheetView zoomScale="70" zoomScaleNormal="70" workbookViewId="0">
      <selection activeCell="L48" sqref="L48"/>
    </sheetView>
  </sheetViews>
  <sheetFormatPr defaultRowHeight="14.5"/>
  <cols>
    <col min="2" max="2" width="29.7265625" customWidth="1"/>
    <col min="3" max="3" width="14.26953125" customWidth="1"/>
    <col min="4" max="4" width="11" customWidth="1"/>
    <col min="5" max="5" width="11.26953125" customWidth="1"/>
    <col min="6" max="6" width="10.26953125" bestFit="1" customWidth="1"/>
    <col min="7" max="7" width="15.26953125" customWidth="1"/>
    <col min="8" max="8" width="10.26953125" bestFit="1" customWidth="1"/>
    <col min="9" max="10" width="8.7265625" bestFit="1" customWidth="1"/>
    <col min="11" max="11" width="15.54296875" bestFit="1" customWidth="1"/>
    <col min="12" max="12" width="17.54296875" bestFit="1" customWidth="1"/>
    <col min="13" max="13" width="17.54296875" customWidth="1"/>
    <col min="14" max="14" width="13.54296875" customWidth="1"/>
    <col min="15" max="15" width="10.7265625" customWidth="1"/>
    <col min="16" max="16" width="11.26953125" customWidth="1"/>
  </cols>
  <sheetData>
    <row r="2" spans="2:15">
      <c r="B2" s="1" t="str">
        <f>"~UC_Sets: R_E: " &amp; _xlfn.TEXTJOIN(",",TRUE,Regions!C3,Regions!E3:AD3)</f>
        <v>~UC_Sets: R_E: IE,IE-CW,IE-D,IE-KE,IE-KK,IE-LS,IE-LD,IE-LH,IE-MH,IE-OY,IE-WH,IE-WX,IE-WW,IE-CE,IE-CO,IE-KY,IE-LK,IE-TA,IE-WD,IE-G,IE-LM,IE-MO,IE-RN,IE-SO,IE-CN,IE-DL,IE-MN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>
      <c r="B4" s="2"/>
      <c r="C4" s="2"/>
      <c r="D4" s="2"/>
      <c r="E4" s="2"/>
      <c r="F4" s="2"/>
      <c r="G4" s="2"/>
      <c r="H4" s="2"/>
      <c r="I4" s="2" t="s">
        <v>16</v>
      </c>
      <c r="J4" s="2"/>
      <c r="K4" s="2"/>
      <c r="L4" s="2"/>
      <c r="M4" s="2"/>
      <c r="N4" s="2"/>
      <c r="O4" s="2"/>
    </row>
    <row r="5" spans="2:15">
      <c r="B5" s="4" t="s">
        <v>1</v>
      </c>
      <c r="C5" s="14" t="s">
        <v>2</v>
      </c>
      <c r="D5" s="14" t="s">
        <v>3</v>
      </c>
      <c r="E5" s="14" t="s">
        <v>4</v>
      </c>
      <c r="F5" s="14" t="s">
        <v>5</v>
      </c>
      <c r="G5" s="14" t="s">
        <v>6</v>
      </c>
      <c r="H5" s="15" t="s">
        <v>7</v>
      </c>
      <c r="I5" s="15" t="s">
        <v>8</v>
      </c>
      <c r="J5" s="4" t="s">
        <v>9</v>
      </c>
      <c r="K5" s="4" t="s">
        <v>10</v>
      </c>
      <c r="L5" s="4" t="s">
        <v>43</v>
      </c>
      <c r="M5" s="4" t="s">
        <v>11</v>
      </c>
      <c r="N5" s="4" t="s">
        <v>12</v>
      </c>
    </row>
    <row r="6" spans="2:15">
      <c r="B6" s="2" t="str">
        <f>IF(H29="*","*",_xlfn.TEXTJOIN("",TRUE,"UC-",I29,"_MaxGrowth",J29))</f>
        <v>UC-CAR_MaxGrowthBEV</v>
      </c>
      <c r="C6" s="2" t="s">
        <v>13</v>
      </c>
      <c r="D6" s="2" t="s">
        <v>14</v>
      </c>
      <c r="E6" s="2"/>
      <c r="F6" s="2"/>
      <c r="G6" s="2" t="s">
        <v>42</v>
      </c>
      <c r="H6" s="2">
        <v>2018</v>
      </c>
      <c r="I6" s="2" t="s">
        <v>15</v>
      </c>
      <c r="J6" s="26">
        <f>1+$K29</f>
        <v>2</v>
      </c>
      <c r="K6" s="2">
        <v>1</v>
      </c>
      <c r="L6" s="16">
        <f>-$B$59*L29/1000</f>
        <v>-24.2242</v>
      </c>
      <c r="M6" s="2">
        <v>5</v>
      </c>
      <c r="N6" s="2" t="str">
        <f t="shared" ref="N6:N25" si="0">_xlfn.TEXTJOIN(" ", TRUE,I29&amp;"s","maximum growth rate of",J29&amp;"s")</f>
        <v>CARs maximum growth rate of BEVs</v>
      </c>
    </row>
    <row r="7" spans="2:15">
      <c r="B7" s="2" t="str">
        <f>IF(H30="*","*",_xlfn.TEXTJOIN("",TRUE,"UC-",I30,"_MaxGrowth",J30))</f>
        <v>UC-CAR_MaxGrowthPHEV</v>
      </c>
      <c r="C7" s="2" t="s">
        <v>13</v>
      </c>
      <c r="D7" s="2" t="s">
        <v>14</v>
      </c>
      <c r="E7" s="2"/>
      <c r="F7" s="2"/>
      <c r="G7" s="2" t="s">
        <v>44</v>
      </c>
      <c r="H7" s="2">
        <v>2018</v>
      </c>
      <c r="I7" s="2" t="s">
        <v>15</v>
      </c>
      <c r="J7" s="26">
        <f t="shared" ref="J7:J25" si="1">1+$K30</f>
        <v>1.8</v>
      </c>
      <c r="K7" s="2">
        <v>1</v>
      </c>
      <c r="L7" s="16">
        <f t="shared" ref="L7:L11" si="2">-$B$59*L30/1000</f>
        <v>-24.2242</v>
      </c>
      <c r="M7" s="2">
        <v>5</v>
      </c>
      <c r="N7" s="2" t="str">
        <f t="shared" si="0"/>
        <v>CARs maximum growth rate of PHEVs</v>
      </c>
    </row>
    <row r="8" spans="2:15">
      <c r="B8" s="2" t="str">
        <f>IF(H31="*","*",_xlfn.TEXTJOIN("",TRUE,"UC-",I31,"_MaxGrowth",J31))</f>
        <v>UC-CAR_MaxGrowthNG-ICE</v>
      </c>
      <c r="C8" s="2" t="s">
        <v>13</v>
      </c>
      <c r="D8" s="2" t="s">
        <v>14</v>
      </c>
      <c r="E8" s="2"/>
      <c r="F8" s="2"/>
      <c r="G8" s="2" t="s">
        <v>115</v>
      </c>
      <c r="H8" s="2">
        <v>2018</v>
      </c>
      <c r="I8" s="2" t="s">
        <v>15</v>
      </c>
      <c r="J8" s="26">
        <f t="shared" si="1"/>
        <v>1.5</v>
      </c>
      <c r="K8" s="2">
        <v>1</v>
      </c>
      <c r="L8" s="16">
        <f t="shared" si="2"/>
        <v>-24.2242</v>
      </c>
      <c r="M8" s="2">
        <v>5</v>
      </c>
      <c r="N8" s="2" t="str">
        <f t="shared" si="0"/>
        <v>CARs maximum growth rate of NG-ICEs</v>
      </c>
    </row>
    <row r="9" spans="2:15">
      <c r="B9" s="53" t="str">
        <f>IF(H32="*","*",_xlfn.TEXTJOIN("",TRUE,"UC-",I32,"_MaxGrowth",J32))</f>
        <v>UC-CAR_MaxGrowthB100-ICE</v>
      </c>
      <c r="C9" s="53" t="s">
        <v>13</v>
      </c>
      <c r="D9" s="53" t="s">
        <v>14</v>
      </c>
      <c r="E9" s="53"/>
      <c r="F9" s="53"/>
      <c r="G9" s="53" t="s">
        <v>235</v>
      </c>
      <c r="H9" s="53">
        <v>2018</v>
      </c>
      <c r="I9" s="53" t="s">
        <v>15</v>
      </c>
      <c r="J9" s="54">
        <f t="shared" si="1"/>
        <v>1.2</v>
      </c>
      <c r="K9" s="53">
        <v>1</v>
      </c>
      <c r="L9" s="55">
        <f t="shared" si="2"/>
        <v>-24.2242</v>
      </c>
      <c r="M9" s="53">
        <v>5</v>
      </c>
      <c r="N9" s="53" t="str">
        <f t="shared" si="0"/>
        <v>CARs maximum growth rate of B100-ICEs</v>
      </c>
    </row>
    <row r="10" spans="2:15">
      <c r="B10" s="53" t="str">
        <f>IF(H33="*","*",_xlfn.TEXTJOIN("",TRUE,"UC-",I33,"_MaxGrowth",J33))</f>
        <v>UC-CAR_MaxGrowthE85-ICE</v>
      </c>
      <c r="C10" s="53" t="s">
        <v>13</v>
      </c>
      <c r="D10" s="53" t="s">
        <v>14</v>
      </c>
      <c r="E10" s="53"/>
      <c r="F10" s="53"/>
      <c r="G10" s="53" t="s">
        <v>237</v>
      </c>
      <c r="H10" s="53">
        <v>2018</v>
      </c>
      <c r="I10" s="53" t="s">
        <v>15</v>
      </c>
      <c r="J10" s="54">
        <f t="shared" si="1"/>
        <v>1.2</v>
      </c>
      <c r="K10" s="53">
        <v>1</v>
      </c>
      <c r="L10" s="55">
        <f t="shared" si="2"/>
        <v>-24.2242</v>
      </c>
      <c r="M10" s="53">
        <v>5</v>
      </c>
      <c r="N10" s="53" t="str">
        <f t="shared" si="0"/>
        <v>CARs maximum growth rate of E85-ICEs</v>
      </c>
    </row>
    <row r="11" spans="2:15">
      <c r="B11" s="18" t="str">
        <f t="shared" ref="B11:B25" si="3">IF(H32="*","*",_xlfn.TEXTJOIN("",TRUE,"UC-",I34,"_MaxGrowth",J34))</f>
        <v>UC-CAR_MaxGrowthFCV</v>
      </c>
      <c r="C11" s="18" t="s">
        <v>13</v>
      </c>
      <c r="D11" s="18" t="s">
        <v>14</v>
      </c>
      <c r="E11" s="18"/>
      <c r="F11" s="18"/>
      <c r="G11" s="18" t="s">
        <v>49</v>
      </c>
      <c r="H11" s="18">
        <v>2018</v>
      </c>
      <c r="I11" s="18" t="s">
        <v>15</v>
      </c>
      <c r="J11" s="27">
        <f t="shared" si="1"/>
        <v>1.5</v>
      </c>
      <c r="K11" s="18">
        <v>1</v>
      </c>
      <c r="L11" s="19">
        <f t="shared" si="2"/>
        <v>-24.2242</v>
      </c>
      <c r="M11" s="18">
        <v>5</v>
      </c>
      <c r="N11" s="18" t="str">
        <f t="shared" si="0"/>
        <v>CARs maximum growth rate of FCVs</v>
      </c>
    </row>
    <row r="12" spans="2:15">
      <c r="B12" s="2" t="str">
        <f t="shared" si="3"/>
        <v>UC-LGT_MaxGrowthBEV</v>
      </c>
      <c r="C12" s="2" t="s">
        <v>13</v>
      </c>
      <c r="D12" s="2" t="s">
        <v>14</v>
      </c>
      <c r="E12" s="2"/>
      <c r="F12" s="2"/>
      <c r="G12" s="2" t="s">
        <v>39</v>
      </c>
      <c r="H12" s="2">
        <v>2018</v>
      </c>
      <c r="I12" s="2" t="s">
        <v>15</v>
      </c>
      <c r="J12" s="26">
        <f t="shared" si="1"/>
        <v>1.8</v>
      </c>
      <c r="K12" s="2">
        <v>1</v>
      </c>
      <c r="L12" s="16">
        <f>-$B$58*L35/1000</f>
        <v>-3.3078000000000003</v>
      </c>
      <c r="M12" s="2">
        <v>5</v>
      </c>
      <c r="N12" s="2" t="str">
        <f t="shared" si="0"/>
        <v>LGTs maximum growth rate of BEVs</v>
      </c>
    </row>
    <row r="13" spans="2:15">
      <c r="B13" s="2" t="str">
        <f t="shared" si="3"/>
        <v>UC-LGT_MaxGrowthPHEV</v>
      </c>
      <c r="C13" s="2" t="s">
        <v>13</v>
      </c>
      <c r="D13" s="2" t="s">
        <v>14</v>
      </c>
      <c r="E13" s="2"/>
      <c r="F13" s="2"/>
      <c r="G13" s="2" t="s">
        <v>50</v>
      </c>
      <c r="H13" s="2">
        <v>2018</v>
      </c>
      <c r="I13" s="2" t="s">
        <v>15</v>
      </c>
      <c r="J13" s="26">
        <f t="shared" si="1"/>
        <v>1.8</v>
      </c>
      <c r="K13" s="2">
        <v>1</v>
      </c>
      <c r="L13" s="16">
        <f>-$B$58*L36/1000</f>
        <v>-3.3078000000000003</v>
      </c>
      <c r="M13" s="2">
        <v>5</v>
      </c>
      <c r="N13" s="2" t="str">
        <f t="shared" si="0"/>
        <v>LGTs maximum growth rate of PHEVs</v>
      </c>
    </row>
    <row r="14" spans="2:15">
      <c r="B14" s="2" t="str">
        <f t="shared" si="3"/>
        <v>UC-LGT_MaxGrowthNG-ICE</v>
      </c>
      <c r="C14" s="2" t="s">
        <v>13</v>
      </c>
      <c r="D14" s="2" t="s">
        <v>14</v>
      </c>
      <c r="E14" s="2"/>
      <c r="F14" s="2"/>
      <c r="G14" s="2" t="s">
        <v>116</v>
      </c>
      <c r="H14" s="2">
        <v>2018</v>
      </c>
      <c r="I14" s="2" t="s">
        <v>15</v>
      </c>
      <c r="J14" s="26">
        <f t="shared" si="1"/>
        <v>1.3</v>
      </c>
      <c r="K14" s="2">
        <v>1</v>
      </c>
      <c r="L14" s="16">
        <f>-$B$58*L37/1000</f>
        <v>-3.3078000000000003</v>
      </c>
      <c r="M14" s="2">
        <v>5</v>
      </c>
      <c r="N14" s="2" t="str">
        <f t="shared" si="0"/>
        <v>LGTs maximum growth rate of NG-ICEs</v>
      </c>
    </row>
    <row r="15" spans="2:15">
      <c r="B15" s="18" t="str">
        <f t="shared" si="3"/>
        <v>UC-LGT_MaxGrowthFCV</v>
      </c>
      <c r="C15" s="18" t="s">
        <v>13</v>
      </c>
      <c r="D15" s="18" t="s">
        <v>14</v>
      </c>
      <c r="E15" s="18"/>
      <c r="F15" s="18"/>
      <c r="G15" s="18" t="s">
        <v>51</v>
      </c>
      <c r="H15" s="18">
        <v>2018</v>
      </c>
      <c r="I15" s="18" t="s">
        <v>15</v>
      </c>
      <c r="J15" s="27">
        <f t="shared" si="1"/>
        <v>1.3</v>
      </c>
      <c r="K15" s="18">
        <v>1</v>
      </c>
      <c r="L15" s="19">
        <f>-$B$58*L38/1000</f>
        <v>-3.3078000000000003</v>
      </c>
      <c r="M15" s="18">
        <v>5</v>
      </c>
      <c r="N15" s="18" t="str">
        <f t="shared" si="0"/>
        <v>LGTs maximum growth rate of FCVs</v>
      </c>
    </row>
    <row r="16" spans="2:15">
      <c r="B16" s="2" t="str">
        <f t="shared" si="3"/>
        <v>UC-MGT_MaxGrowthBEV</v>
      </c>
      <c r="C16" s="2" t="s">
        <v>13</v>
      </c>
      <c r="D16" s="2" t="s">
        <v>14</v>
      </c>
      <c r="E16" s="2"/>
      <c r="F16" s="2"/>
      <c r="G16" s="2" t="s">
        <v>40</v>
      </c>
      <c r="H16" s="2">
        <v>2018</v>
      </c>
      <c r="I16" s="2" t="s">
        <v>15</v>
      </c>
      <c r="J16" s="26">
        <f t="shared" si="1"/>
        <v>2</v>
      </c>
      <c r="K16" s="2">
        <v>1</v>
      </c>
      <c r="L16" s="16">
        <f>-$B$57*L39/1000</f>
        <v>-0.13250000000000001</v>
      </c>
      <c r="M16" s="2">
        <v>5</v>
      </c>
      <c r="N16" s="2" t="str">
        <f t="shared" si="0"/>
        <v>MGTs maximum growth rate of BEVs</v>
      </c>
    </row>
    <row r="17" spans="1:15">
      <c r="B17" s="2" t="str">
        <f t="shared" si="3"/>
        <v>UC-MGT_MaxGrowthNG-ICE</v>
      </c>
      <c r="C17" s="2" t="s">
        <v>13</v>
      </c>
      <c r="D17" s="2" t="s">
        <v>14</v>
      </c>
      <c r="E17" s="2"/>
      <c r="F17" s="2"/>
      <c r="G17" s="2" t="s">
        <v>111</v>
      </c>
      <c r="H17" s="2">
        <v>2018</v>
      </c>
      <c r="I17" s="2" t="s">
        <v>15</v>
      </c>
      <c r="J17" s="26">
        <f t="shared" si="1"/>
        <v>1.5</v>
      </c>
      <c r="K17" s="2">
        <v>1</v>
      </c>
      <c r="L17" s="16">
        <f>-$B$57*L40/1000</f>
        <v>-0.106</v>
      </c>
      <c r="M17" s="2">
        <v>5</v>
      </c>
      <c r="N17" s="2" t="str">
        <f t="shared" si="0"/>
        <v>MGTs maximum growth rate of NG-ICEs</v>
      </c>
    </row>
    <row r="18" spans="1:15">
      <c r="B18" s="2" t="str">
        <f t="shared" si="3"/>
        <v>UC-MGT_MaxGrowthLNG-ICE</v>
      </c>
      <c r="C18" s="2" t="s">
        <v>13</v>
      </c>
      <c r="D18" s="2" t="s">
        <v>14</v>
      </c>
      <c r="E18" s="2"/>
      <c r="F18" s="2"/>
      <c r="G18" s="2" t="s">
        <v>112</v>
      </c>
      <c r="H18" s="2">
        <v>2018</v>
      </c>
      <c r="I18" s="2" t="s">
        <v>15</v>
      </c>
      <c r="J18" s="26">
        <f t="shared" si="1"/>
        <v>1.5</v>
      </c>
      <c r="K18" s="2">
        <v>1</v>
      </c>
      <c r="L18" s="16">
        <f>-$B$57*L41/1000</f>
        <v>-0.106</v>
      </c>
      <c r="M18" s="2">
        <v>5</v>
      </c>
      <c r="N18" s="2" t="str">
        <f t="shared" si="0"/>
        <v>MGTs maximum growth rate of LNG-ICEs</v>
      </c>
    </row>
    <row r="19" spans="1:15">
      <c r="B19" s="2" t="str">
        <f t="shared" si="3"/>
        <v>UC-MGT_MaxGrowthHEV</v>
      </c>
      <c r="C19" s="2" t="s">
        <v>13</v>
      </c>
      <c r="D19" s="2" t="s">
        <v>14</v>
      </c>
      <c r="E19" s="2"/>
      <c r="F19" s="2"/>
      <c r="G19" s="2" t="s">
        <v>46</v>
      </c>
      <c r="H19" s="2">
        <v>2018</v>
      </c>
      <c r="I19" s="2" t="s">
        <v>15</v>
      </c>
      <c r="J19" s="26">
        <f t="shared" si="1"/>
        <v>1.5</v>
      </c>
      <c r="K19" s="2">
        <v>1</v>
      </c>
      <c r="L19" s="16">
        <f>-$B$57*L42/1000</f>
        <v>-0.106</v>
      </c>
      <c r="M19" s="2">
        <v>5</v>
      </c>
      <c r="N19" s="2" t="str">
        <f t="shared" si="0"/>
        <v>MGTs maximum growth rate of HEVs</v>
      </c>
    </row>
    <row r="20" spans="1:15">
      <c r="B20" s="18" t="str">
        <f t="shared" si="3"/>
        <v>UC-MGT_MaxGrowthFCV</v>
      </c>
      <c r="C20" s="18" t="s">
        <v>13</v>
      </c>
      <c r="D20" s="18" t="s">
        <v>14</v>
      </c>
      <c r="E20" s="18"/>
      <c r="F20" s="18"/>
      <c r="G20" s="18" t="s">
        <v>48</v>
      </c>
      <c r="H20" s="18">
        <v>2018</v>
      </c>
      <c r="I20" s="18" t="s">
        <v>15</v>
      </c>
      <c r="J20" s="27">
        <f t="shared" si="1"/>
        <v>1.5</v>
      </c>
      <c r="K20" s="18">
        <v>1</v>
      </c>
      <c r="L20" s="19">
        <f>-$B$57*L43/1000</f>
        <v>-0.106</v>
      </c>
      <c r="M20" s="18">
        <v>5</v>
      </c>
      <c r="N20" s="18" t="str">
        <f t="shared" si="0"/>
        <v>MGTs maximum growth rate of FCVs</v>
      </c>
    </row>
    <row r="21" spans="1:15">
      <c r="B21" s="2" t="str">
        <f t="shared" si="3"/>
        <v>UC-HGT_MaxGrowthBEV</v>
      </c>
      <c r="C21" s="2" t="s">
        <v>13</v>
      </c>
      <c r="D21" s="2" t="s">
        <v>14</v>
      </c>
      <c r="E21" s="2"/>
      <c r="F21" s="2"/>
      <c r="G21" s="2" t="s">
        <v>41</v>
      </c>
      <c r="H21" s="2">
        <v>2018</v>
      </c>
      <c r="I21" s="2" t="s">
        <v>15</v>
      </c>
      <c r="J21" s="26">
        <f t="shared" si="1"/>
        <v>2</v>
      </c>
      <c r="K21" s="2">
        <v>1</v>
      </c>
      <c r="L21" s="16">
        <f>-$B$56*L44/1000</f>
        <v>-0.3795</v>
      </c>
      <c r="M21" s="2">
        <v>5</v>
      </c>
      <c r="N21" s="2" t="str">
        <f t="shared" si="0"/>
        <v>HGTs maximum growth rate of BEVs</v>
      </c>
    </row>
    <row r="22" spans="1:15">
      <c r="B22" s="2" t="str">
        <f t="shared" si="3"/>
        <v>UC-HGT_MaxGrowthNG-ICE</v>
      </c>
      <c r="C22" s="2" t="s">
        <v>13</v>
      </c>
      <c r="D22" s="2" t="s">
        <v>14</v>
      </c>
      <c r="E22" s="2"/>
      <c r="F22" s="2"/>
      <c r="G22" s="2" t="s">
        <v>113</v>
      </c>
      <c r="H22" s="2">
        <v>2018</v>
      </c>
      <c r="I22" s="2" t="s">
        <v>15</v>
      </c>
      <c r="J22" s="26">
        <f t="shared" si="1"/>
        <v>1.5</v>
      </c>
      <c r="K22" s="2">
        <v>1</v>
      </c>
      <c r="L22" s="16">
        <f>-$B$56*L45/1000</f>
        <v>-0.30360000000000004</v>
      </c>
      <c r="M22" s="2">
        <v>5</v>
      </c>
      <c r="N22" s="2" t="str">
        <f t="shared" si="0"/>
        <v>HGTs maximum growth rate of NG-ICEs</v>
      </c>
    </row>
    <row r="23" spans="1:15">
      <c r="B23" s="2" t="str">
        <f t="shared" si="3"/>
        <v>UC-HGT_MaxGrowthLNG-ICE</v>
      </c>
      <c r="C23" s="2" t="s">
        <v>13</v>
      </c>
      <c r="D23" s="2" t="s">
        <v>14</v>
      </c>
      <c r="E23" s="2"/>
      <c r="F23" s="2"/>
      <c r="G23" s="2" t="s">
        <v>114</v>
      </c>
      <c r="H23" s="2">
        <v>2018</v>
      </c>
      <c r="I23" s="2" t="s">
        <v>15</v>
      </c>
      <c r="J23" s="26">
        <f t="shared" si="1"/>
        <v>1.5</v>
      </c>
      <c r="K23" s="2">
        <v>1</v>
      </c>
      <c r="L23" s="16">
        <f>-$B$56*L46/1000</f>
        <v>-0.30360000000000004</v>
      </c>
      <c r="M23" s="2">
        <v>5</v>
      </c>
      <c r="N23" s="2" t="str">
        <f t="shared" si="0"/>
        <v>HGTs maximum growth rate of LNG-ICEs</v>
      </c>
    </row>
    <row r="24" spans="1:15">
      <c r="B24" s="2" t="str">
        <f t="shared" si="3"/>
        <v>UC-HGT_MaxGrowthHEV</v>
      </c>
      <c r="C24" s="2" t="s">
        <v>13</v>
      </c>
      <c r="D24" s="2" t="s">
        <v>14</v>
      </c>
      <c r="E24" s="2"/>
      <c r="F24" s="2"/>
      <c r="G24" s="2" t="s">
        <v>45</v>
      </c>
      <c r="H24" s="2">
        <v>2018</v>
      </c>
      <c r="I24" s="2" t="s">
        <v>15</v>
      </c>
      <c r="J24" s="26">
        <f t="shared" si="1"/>
        <v>1.5</v>
      </c>
      <c r="K24" s="2">
        <v>1</v>
      </c>
      <c r="L24" s="16">
        <f>-$B$56*L47/1000</f>
        <v>-0.30360000000000004</v>
      </c>
      <c r="M24" s="2">
        <v>5</v>
      </c>
      <c r="N24" s="2" t="str">
        <f t="shared" si="0"/>
        <v>HGTs maximum growth rate of HEVs</v>
      </c>
      <c r="O24" s="2"/>
    </row>
    <row r="25" spans="1:15">
      <c r="B25" s="18" t="str">
        <f t="shared" si="3"/>
        <v>UC-HGT_MaxGrowthFCV</v>
      </c>
      <c r="C25" s="18" t="s">
        <v>13</v>
      </c>
      <c r="D25" s="18" t="s">
        <v>14</v>
      </c>
      <c r="E25" s="18"/>
      <c r="F25" s="18"/>
      <c r="G25" s="18" t="s">
        <v>47</v>
      </c>
      <c r="H25" s="18">
        <v>2018</v>
      </c>
      <c r="I25" s="18" t="s">
        <v>15</v>
      </c>
      <c r="J25" s="27">
        <f t="shared" si="1"/>
        <v>1.5</v>
      </c>
      <c r="K25" s="18">
        <v>1</v>
      </c>
      <c r="L25" s="19">
        <f>-$B$56*L48/1000</f>
        <v>-0.30360000000000004</v>
      </c>
      <c r="M25" s="18">
        <v>5</v>
      </c>
      <c r="N25" s="18" t="str">
        <f t="shared" si="0"/>
        <v>HGTs maximum growth rate of FCVs</v>
      </c>
    </row>
    <row r="28" spans="1:15">
      <c r="H28" t="s">
        <v>152</v>
      </c>
      <c r="I28" t="s">
        <v>150</v>
      </c>
      <c r="J28" t="s">
        <v>151</v>
      </c>
      <c r="K28" t="s">
        <v>117</v>
      </c>
      <c r="L28" t="s">
        <v>153</v>
      </c>
    </row>
    <row r="29" spans="1:15">
      <c r="I29" t="s">
        <v>147</v>
      </c>
      <c r="J29" t="s">
        <v>129</v>
      </c>
      <c r="K29" s="52">
        <v>1</v>
      </c>
      <c r="L29" s="11">
        <v>0.2</v>
      </c>
    </row>
    <row r="30" spans="1:15">
      <c r="A30" s="3" t="s">
        <v>29</v>
      </c>
      <c r="I30" t="s">
        <v>147</v>
      </c>
      <c r="J30" t="s">
        <v>130</v>
      </c>
      <c r="K30" s="11">
        <v>0.8</v>
      </c>
      <c r="L30" s="11">
        <v>0.2</v>
      </c>
    </row>
    <row r="31" spans="1:15">
      <c r="A31" s="4"/>
      <c r="B31" s="4"/>
      <c r="C31" s="8" t="s">
        <v>31</v>
      </c>
      <c r="D31" s="8" t="s">
        <v>30</v>
      </c>
      <c r="E31" s="8" t="s">
        <v>32</v>
      </c>
      <c r="I31" t="s">
        <v>147</v>
      </c>
      <c r="J31" t="s">
        <v>148</v>
      </c>
      <c r="K31" s="11">
        <v>0.5</v>
      </c>
      <c r="L31" s="11">
        <v>0.2</v>
      </c>
    </row>
    <row r="32" spans="1:15">
      <c r="A32" s="74" t="s">
        <v>27</v>
      </c>
      <c r="B32" t="s">
        <v>26</v>
      </c>
      <c r="C32" s="6">
        <v>228046</v>
      </c>
      <c r="D32" s="6">
        <v>9959</v>
      </c>
      <c r="E32" s="9">
        <f t="shared" ref="E32:E37" si="4">D32/C32</f>
        <v>4.3671013742841359E-2</v>
      </c>
      <c r="I32" s="51" t="s">
        <v>147</v>
      </c>
      <c r="J32" s="51" t="s">
        <v>234</v>
      </c>
      <c r="K32" s="52">
        <v>0.2</v>
      </c>
      <c r="L32" s="11">
        <v>0.2</v>
      </c>
    </row>
    <row r="33" spans="1:12">
      <c r="A33" s="74"/>
      <c r="B33" t="s">
        <v>25</v>
      </c>
      <c r="C33" s="6">
        <v>100649</v>
      </c>
      <c r="D33" s="6">
        <v>6580</v>
      </c>
      <c r="E33" s="9">
        <f t="shared" si="4"/>
        <v>6.5375711631511485E-2</v>
      </c>
      <c r="I33" s="51" t="s">
        <v>147</v>
      </c>
      <c r="J33" s="51" t="s">
        <v>236</v>
      </c>
      <c r="K33" s="52">
        <v>0.2</v>
      </c>
      <c r="L33" s="11">
        <v>0.2</v>
      </c>
    </row>
    <row r="34" spans="1:12">
      <c r="A34" s="74"/>
      <c r="B34" t="s">
        <v>24</v>
      </c>
      <c r="C34" s="6">
        <v>4546</v>
      </c>
      <c r="D34" s="6">
        <v>201</v>
      </c>
      <c r="E34" s="9">
        <f t="shared" si="4"/>
        <v>4.4214694236691596E-2</v>
      </c>
      <c r="I34" t="s">
        <v>147</v>
      </c>
      <c r="J34" t="s">
        <v>131</v>
      </c>
      <c r="K34" s="11">
        <v>0.5</v>
      </c>
      <c r="L34" s="11">
        <v>0.2</v>
      </c>
    </row>
    <row r="35" spans="1:12">
      <c r="A35" s="74"/>
      <c r="B35" t="s">
        <v>23</v>
      </c>
      <c r="C35" s="6">
        <v>6661</v>
      </c>
      <c r="D35" s="6">
        <v>329</v>
      </c>
      <c r="E35" s="9">
        <f t="shared" si="4"/>
        <v>4.9391983185707852E-2</v>
      </c>
      <c r="I35" t="s">
        <v>132</v>
      </c>
      <c r="J35" t="s">
        <v>129</v>
      </c>
      <c r="K35" s="11">
        <v>0.8</v>
      </c>
      <c r="L35" s="11">
        <v>0.2</v>
      </c>
    </row>
    <row r="36" spans="1:12">
      <c r="A36" s="74"/>
      <c r="B36" t="s">
        <v>22</v>
      </c>
      <c r="C36" s="6">
        <v>8424</v>
      </c>
      <c r="D36" s="6">
        <v>485</v>
      </c>
      <c r="E36" s="9">
        <f t="shared" si="4"/>
        <v>5.7573599240265907E-2</v>
      </c>
      <c r="I36" t="s">
        <v>132</v>
      </c>
      <c r="J36" t="s">
        <v>130</v>
      </c>
      <c r="K36" s="11">
        <v>0.8</v>
      </c>
      <c r="L36" s="11">
        <v>0.2</v>
      </c>
    </row>
    <row r="37" spans="1:12">
      <c r="A37" s="74"/>
      <c r="B37" t="s">
        <v>21</v>
      </c>
      <c r="C37" s="6">
        <v>14373</v>
      </c>
      <c r="D37" s="6">
        <v>1033</v>
      </c>
      <c r="E37" s="9">
        <f t="shared" si="4"/>
        <v>7.187086899046824E-2</v>
      </c>
      <c r="I37" t="s">
        <v>132</v>
      </c>
      <c r="J37" t="s">
        <v>148</v>
      </c>
      <c r="K37" s="11">
        <v>0.3</v>
      </c>
      <c r="L37" s="11">
        <v>0.2</v>
      </c>
    </row>
    <row r="38" spans="1:12">
      <c r="B38" t="s">
        <v>20</v>
      </c>
      <c r="C38" s="6">
        <v>2168099</v>
      </c>
      <c r="D38" s="6">
        <v>121121</v>
      </c>
      <c r="E38" s="9">
        <f>D38/C38</f>
        <v>5.5865068892149296E-2</v>
      </c>
      <c r="I38" t="s">
        <v>132</v>
      </c>
      <c r="J38" t="s">
        <v>131</v>
      </c>
      <c r="K38" s="11">
        <v>0.3</v>
      </c>
      <c r="L38" s="11">
        <v>0.2</v>
      </c>
    </row>
    <row r="39" spans="1:12">
      <c r="B39" t="s">
        <v>19</v>
      </c>
      <c r="C39" s="6">
        <v>41471</v>
      </c>
      <c r="D39" s="6">
        <v>2566</v>
      </c>
      <c r="E39" s="9">
        <f t="shared" ref="E39:E41" si="5">D39/C39</f>
        <v>6.1874562947601935E-2</v>
      </c>
      <c r="I39" t="s">
        <v>133</v>
      </c>
      <c r="J39" t="s">
        <v>129</v>
      </c>
      <c r="K39" s="11">
        <v>1</v>
      </c>
      <c r="L39" s="11">
        <v>0.25</v>
      </c>
    </row>
    <row r="40" spans="1:12">
      <c r="B40" t="s">
        <v>18</v>
      </c>
      <c r="C40" s="6">
        <v>21457</v>
      </c>
      <c r="D40" s="6">
        <v>1224</v>
      </c>
      <c r="E40" s="9">
        <f t="shared" si="5"/>
        <v>5.7044321200540614E-2</v>
      </c>
      <c r="I40" t="s">
        <v>133</v>
      </c>
      <c r="J40" t="s">
        <v>148</v>
      </c>
      <c r="K40" s="11">
        <v>0.5</v>
      </c>
      <c r="L40" s="11">
        <v>0.2</v>
      </c>
    </row>
    <row r="41" spans="1:12">
      <c r="A41" s="5"/>
      <c r="B41" s="5" t="s">
        <v>17</v>
      </c>
      <c r="C41" s="7">
        <v>11206</v>
      </c>
      <c r="D41" s="7">
        <v>551</v>
      </c>
      <c r="E41" s="10">
        <f t="shared" si="5"/>
        <v>4.9170087453150095E-2</v>
      </c>
      <c r="I41" t="s">
        <v>133</v>
      </c>
      <c r="J41" t="s">
        <v>149</v>
      </c>
      <c r="K41" s="11">
        <v>0.5</v>
      </c>
      <c r="L41" s="11">
        <v>0.2</v>
      </c>
    </row>
    <row r="42" spans="1:12">
      <c r="A42" t="s">
        <v>28</v>
      </c>
      <c r="I42" t="s">
        <v>133</v>
      </c>
      <c r="J42" t="s">
        <v>134</v>
      </c>
      <c r="K42" s="11">
        <v>0.5</v>
      </c>
      <c r="L42" s="11">
        <v>0.2</v>
      </c>
    </row>
    <row r="43" spans="1:12">
      <c r="I43" t="s">
        <v>133</v>
      </c>
      <c r="J43" t="s">
        <v>131</v>
      </c>
      <c r="K43" s="11">
        <v>0.5</v>
      </c>
      <c r="L43" s="11">
        <v>0.2</v>
      </c>
    </row>
    <row r="44" spans="1:12">
      <c r="I44" t="s">
        <v>135</v>
      </c>
      <c r="J44" t="s">
        <v>129</v>
      </c>
      <c r="K44" s="11">
        <v>1</v>
      </c>
      <c r="L44" s="11">
        <v>0.25</v>
      </c>
    </row>
    <row r="45" spans="1:12">
      <c r="I45" t="s">
        <v>135</v>
      </c>
      <c r="J45" t="s">
        <v>148</v>
      </c>
      <c r="K45" s="11">
        <v>0.5</v>
      </c>
      <c r="L45" s="11">
        <v>0.2</v>
      </c>
    </row>
    <row r="46" spans="1:12">
      <c r="I46" t="s">
        <v>135</v>
      </c>
      <c r="J46" t="s">
        <v>149</v>
      </c>
      <c r="K46" s="11">
        <v>0.5</v>
      </c>
      <c r="L46" s="11">
        <v>0.2</v>
      </c>
    </row>
    <row r="47" spans="1:12">
      <c r="I47" t="s">
        <v>135</v>
      </c>
      <c r="J47" t="s">
        <v>134</v>
      </c>
      <c r="K47" s="11">
        <v>0.5</v>
      </c>
      <c r="L47" s="11">
        <v>0.2</v>
      </c>
    </row>
    <row r="48" spans="1:12">
      <c r="I48" t="s">
        <v>135</v>
      </c>
      <c r="J48" t="s">
        <v>131</v>
      </c>
      <c r="K48" s="11">
        <v>0.5</v>
      </c>
      <c r="L48" s="11">
        <v>0.2</v>
      </c>
    </row>
    <row r="51" spans="1:16">
      <c r="A51" t="s">
        <v>136</v>
      </c>
    </row>
    <row r="52" spans="1:16">
      <c r="B52" t="s">
        <v>33</v>
      </c>
      <c r="C52" t="s">
        <v>120</v>
      </c>
    </row>
    <row r="53" spans="1:16">
      <c r="B53" s="11">
        <v>0.5</v>
      </c>
      <c r="C53" s="11">
        <v>0.2</v>
      </c>
    </row>
    <row r="54" spans="1:16">
      <c r="C54">
        <v>2018</v>
      </c>
      <c r="D54">
        <v>2019</v>
      </c>
      <c r="E54">
        <v>2020</v>
      </c>
      <c r="F54">
        <v>2021</v>
      </c>
      <c r="G54">
        <v>2022</v>
      </c>
      <c r="H54">
        <v>2023</v>
      </c>
      <c r="I54">
        <v>2024</v>
      </c>
      <c r="J54">
        <v>2025</v>
      </c>
      <c r="K54">
        <v>2026</v>
      </c>
      <c r="L54">
        <v>2027</v>
      </c>
      <c r="M54">
        <v>2028</v>
      </c>
      <c r="N54">
        <v>2029</v>
      </c>
      <c r="O54">
        <v>2030</v>
      </c>
      <c r="P54" t="s">
        <v>121</v>
      </c>
    </row>
    <row r="55" spans="1:16">
      <c r="B55" t="s">
        <v>34</v>
      </c>
      <c r="C55">
        <v>1</v>
      </c>
      <c r="D55">
        <v>2</v>
      </c>
      <c r="E55">
        <v>3</v>
      </c>
      <c r="F55">
        <v>4</v>
      </c>
      <c r="G55">
        <v>5</v>
      </c>
      <c r="H55">
        <v>6</v>
      </c>
      <c r="I55">
        <v>7</v>
      </c>
      <c r="J55" s="12">
        <v>8</v>
      </c>
      <c r="K55">
        <v>9</v>
      </c>
      <c r="L55">
        <v>10</v>
      </c>
      <c r="M55">
        <v>10</v>
      </c>
      <c r="N55">
        <v>10</v>
      </c>
      <c r="O55">
        <v>10</v>
      </c>
    </row>
    <row r="56" spans="1:16">
      <c r="A56" t="s">
        <v>35</v>
      </c>
      <c r="B56" s="13">
        <f>D37+D36</f>
        <v>1518</v>
      </c>
      <c r="C56" s="12">
        <f>B56*$C$53</f>
        <v>303.60000000000002</v>
      </c>
      <c r="D56" s="12">
        <f t="shared" ref="D56:O56" si="6">C56*(1+$B$53)</f>
        <v>455.40000000000003</v>
      </c>
      <c r="E56" s="17">
        <f t="shared" si="6"/>
        <v>683.1</v>
      </c>
      <c r="F56" s="12">
        <f t="shared" si="6"/>
        <v>1024.6500000000001</v>
      </c>
      <c r="G56" s="12">
        <f t="shared" si="6"/>
        <v>1536.9750000000001</v>
      </c>
      <c r="H56" s="12">
        <f t="shared" si="6"/>
        <v>2305.4625000000001</v>
      </c>
      <c r="I56" s="12">
        <f t="shared" si="6"/>
        <v>3458.1937500000004</v>
      </c>
      <c r="J56" s="12">
        <f t="shared" si="6"/>
        <v>5187.2906250000005</v>
      </c>
      <c r="K56" s="12">
        <f t="shared" si="6"/>
        <v>7780.9359375000004</v>
      </c>
      <c r="L56" s="12">
        <f t="shared" si="6"/>
        <v>11671.403906250001</v>
      </c>
      <c r="M56" s="12">
        <f t="shared" si="6"/>
        <v>17507.105859375002</v>
      </c>
      <c r="N56" s="12">
        <f t="shared" si="6"/>
        <v>26260.658789062501</v>
      </c>
      <c r="O56" s="28">
        <f t="shared" si="6"/>
        <v>39390.988183593756</v>
      </c>
      <c r="P56" s="13">
        <f>C37+C36</f>
        <v>22797</v>
      </c>
    </row>
    <row r="57" spans="1:16">
      <c r="A57" t="s">
        <v>36</v>
      </c>
      <c r="B57" s="13">
        <f>D35+D34</f>
        <v>530</v>
      </c>
      <c r="C57" s="12">
        <f>B57*$C$53</f>
        <v>106</v>
      </c>
      <c r="D57" s="12">
        <f t="shared" ref="D57:O57" si="7">C57*(1+$B$53)</f>
        <v>159</v>
      </c>
      <c r="E57" s="17">
        <f t="shared" si="7"/>
        <v>238.5</v>
      </c>
      <c r="F57" s="12">
        <f t="shared" si="7"/>
        <v>357.75</v>
      </c>
      <c r="G57" s="12">
        <f t="shared" si="7"/>
        <v>536.625</v>
      </c>
      <c r="H57" s="12">
        <f t="shared" si="7"/>
        <v>804.9375</v>
      </c>
      <c r="I57" s="12">
        <f t="shared" si="7"/>
        <v>1207.40625</v>
      </c>
      <c r="J57" s="12">
        <f t="shared" si="7"/>
        <v>1811.109375</v>
      </c>
      <c r="K57" s="12">
        <f t="shared" si="7"/>
        <v>2716.6640625</v>
      </c>
      <c r="L57" s="12">
        <f t="shared" si="7"/>
        <v>4074.99609375</v>
      </c>
      <c r="M57" s="12">
        <f t="shared" si="7"/>
        <v>6112.494140625</v>
      </c>
      <c r="N57" s="12">
        <f t="shared" si="7"/>
        <v>9168.7412109375</v>
      </c>
      <c r="O57" s="28">
        <f t="shared" si="7"/>
        <v>13753.11181640625</v>
      </c>
      <c r="P57" s="13">
        <f>C35+C34</f>
        <v>11207</v>
      </c>
    </row>
    <row r="58" spans="1:16">
      <c r="A58" t="s">
        <v>37</v>
      </c>
      <c r="B58" s="13">
        <f>D33+D32</f>
        <v>16539</v>
      </c>
      <c r="C58" s="12">
        <f>B58*$C$53</f>
        <v>3307.8</v>
      </c>
      <c r="D58" s="12">
        <f t="shared" ref="D58:O58" si="8">C58*(1+$B$53)</f>
        <v>4961.7000000000007</v>
      </c>
      <c r="E58" s="17">
        <f t="shared" si="8"/>
        <v>7442.5500000000011</v>
      </c>
      <c r="F58" s="12">
        <f t="shared" si="8"/>
        <v>11163.825000000001</v>
      </c>
      <c r="G58" s="12">
        <f t="shared" si="8"/>
        <v>16745.737500000003</v>
      </c>
      <c r="H58" s="12">
        <f t="shared" si="8"/>
        <v>25118.606250000004</v>
      </c>
      <c r="I58" s="12">
        <f t="shared" si="8"/>
        <v>37677.909375000003</v>
      </c>
      <c r="J58" s="12">
        <f t="shared" si="8"/>
        <v>56516.864062500004</v>
      </c>
      <c r="K58" s="12">
        <f t="shared" si="8"/>
        <v>84775.296093750003</v>
      </c>
      <c r="L58" s="12">
        <f t="shared" si="8"/>
        <v>127162.94414062501</v>
      </c>
      <c r="M58" s="12">
        <f t="shared" si="8"/>
        <v>190744.41621093752</v>
      </c>
      <c r="N58" s="12">
        <f t="shared" si="8"/>
        <v>286116.62431640626</v>
      </c>
      <c r="O58" s="28">
        <f t="shared" si="8"/>
        <v>429174.93647460942</v>
      </c>
      <c r="P58" s="13">
        <f>C33+C32</f>
        <v>328695</v>
      </c>
    </row>
    <row r="59" spans="1:16">
      <c r="A59" t="s">
        <v>38</v>
      </c>
      <c r="B59" s="13">
        <f>D38</f>
        <v>121121</v>
      </c>
      <c r="C59" s="12">
        <f>B59*$C$53</f>
        <v>24224.2</v>
      </c>
      <c r="D59" s="12">
        <f t="shared" ref="D59:O59" si="9">C59*(1+$B$53)</f>
        <v>36336.300000000003</v>
      </c>
      <c r="E59" s="17">
        <f t="shared" si="9"/>
        <v>54504.450000000004</v>
      </c>
      <c r="F59" s="12">
        <f t="shared" si="9"/>
        <v>81756.675000000003</v>
      </c>
      <c r="G59" s="12">
        <f t="shared" si="9"/>
        <v>122635.01250000001</v>
      </c>
      <c r="H59" s="12">
        <f t="shared" si="9"/>
        <v>183952.51875000002</v>
      </c>
      <c r="I59" s="12">
        <f t="shared" si="9"/>
        <v>275928.77812500001</v>
      </c>
      <c r="J59" s="12">
        <f t="shared" si="9"/>
        <v>413893.16718750005</v>
      </c>
      <c r="K59" s="12">
        <f t="shared" si="9"/>
        <v>620839.75078125007</v>
      </c>
      <c r="L59" s="12">
        <f t="shared" si="9"/>
        <v>931259.62617187505</v>
      </c>
      <c r="M59" s="12">
        <f t="shared" si="9"/>
        <v>1396889.4392578127</v>
      </c>
      <c r="N59" s="12">
        <f t="shared" si="9"/>
        <v>2095334.158886719</v>
      </c>
      <c r="O59" s="28">
        <f t="shared" si="9"/>
        <v>3143001.2383300783</v>
      </c>
      <c r="P59" s="13">
        <f>C38</f>
        <v>2168099</v>
      </c>
    </row>
    <row r="68" spans="13:14">
      <c r="M68" s="46"/>
      <c r="N68" s="46"/>
    </row>
  </sheetData>
  <mergeCells count="1">
    <mergeCell ref="A32:A37"/>
  </mergeCells>
  <phoneticPr fontId="7" type="noConversion"/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74FDAF7A4FB4D876E5EA45926113E" ma:contentTypeVersion="11" ma:contentTypeDescription="Create a new document." ma:contentTypeScope="" ma:versionID="7c45a71fd69a7f965f9452dfe567e395">
  <xsd:schema xmlns:xsd="http://www.w3.org/2001/XMLSchema" xmlns:xs="http://www.w3.org/2001/XMLSchema" xmlns:p="http://schemas.microsoft.com/office/2006/metadata/properties" xmlns:ns2="3a32fc56-8470-4d77-ad86-bef2a7229878" xmlns:ns3="af10b6eb-1b35-481e-9f8a-8ff8d968e3bf" targetNamespace="http://schemas.microsoft.com/office/2006/metadata/properties" ma:root="true" ma:fieldsID="e11456b9df302c9cdeb068d2abd9c51d" ns2:_="" ns3:_="">
    <xsd:import namespace="3a32fc56-8470-4d77-ad86-bef2a7229878"/>
    <xsd:import namespace="af10b6eb-1b35-481e-9f8a-8ff8d968e3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32fc56-8470-4d77-ad86-bef2a7229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10b6eb-1b35-481e-9f8a-8ff8d968e3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FA9C21-6103-4373-B43A-A6097DCED7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32fc56-8470-4d77-ad86-bef2a7229878"/>
    <ds:schemaRef ds:uri="af10b6eb-1b35-481e-9f8a-8ff8d968e3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3709B4-63F5-4DFC-B992-07B9DE433F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2402F5C-4915-4658-8F60-3A11655231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Regions</vt:lpstr>
      <vt:lpstr>SUP</vt:lpstr>
      <vt:lpstr>PWR</vt:lpstr>
      <vt:lpstr>IND</vt:lpstr>
      <vt:lpstr>RSD</vt:lpstr>
      <vt:lpstr>SRV</vt:lpstr>
      <vt:lpstr>RSD-Retrofits</vt:lpstr>
      <vt:lpstr>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Olex</dc:creator>
  <cp:lastModifiedBy>Vahid Aryanpur</cp:lastModifiedBy>
  <dcterms:created xsi:type="dcterms:W3CDTF">2021-03-04T10:02:17Z</dcterms:created>
  <dcterms:modified xsi:type="dcterms:W3CDTF">2025-08-19T13:59:53Z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0x01010087B74FDAF7A4FB4D876E5EA45926113E</vt:lpwstr>
  </property>
  <property fmtid="{D5CDD505-2E9C-101B-9397-08002B2CF9AE}" pid="3" name="SaveCode">
    <vt:r8>605419397354125</vt:r8>
  </property>
</Properties>
</file>