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57940FCC-66F0-4E95-A930-1F3949005CA1}" xr6:coauthVersionLast="47" xr6:coauthVersionMax="47" xr10:uidLastSave="{00000000-0000-0000-0000-000000000000}"/>
  <bookViews>
    <workbookView xWindow="-120" yWindow="-120" windowWidth="29040" windowHeight="15720" activeTab="2" xr2:uid="{2EA072F4-62CE-45F6-8797-FBD7616D2DDD}"/>
  </bookViews>
  <sheets>
    <sheet name="Cover" sheetId="3" r:id="rId1"/>
    <sheet name="Regions" sheetId="2" r:id="rId2"/>
    <sheet name="UC unit boilers" sheetId="1" r:id="rId3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2" hidden="1">'UC unit boilers'!$A$7:$I$25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6" i="1" l="1"/>
  <c r="B35" i="1"/>
  <c r="B34" i="1"/>
  <c r="G41" i="1" l="1"/>
  <c r="G36" i="1" l="1"/>
  <c r="G34" i="1"/>
  <c r="G35" i="1"/>
  <c r="F36" i="1"/>
  <c r="F35" i="1"/>
  <c r="A36" i="1"/>
  <c r="A35" i="1"/>
  <c r="A34" i="1"/>
  <c r="F34" i="1"/>
  <c r="F41" i="1" l="1"/>
  <c r="G10" i="1"/>
  <c r="F8" i="1" l="1"/>
  <c r="G25" i="1" l="1"/>
  <c r="G24" i="1"/>
  <c r="G23" i="1"/>
  <c r="G22" i="1"/>
  <c r="G21" i="1"/>
  <c r="G20" i="1"/>
  <c r="F25" i="1"/>
  <c r="F24" i="1"/>
  <c r="F23" i="1"/>
  <c r="F22" i="1"/>
  <c r="F21" i="1"/>
  <c r="F20" i="1"/>
  <c r="G19" i="1"/>
  <c r="G18" i="1"/>
  <c r="G17" i="1"/>
  <c r="G16" i="1"/>
  <c r="G15" i="1"/>
  <c r="G14" i="1"/>
  <c r="G8" i="1"/>
  <c r="F19" i="1"/>
  <c r="F18" i="1"/>
  <c r="F17" i="1"/>
  <c r="F16" i="1"/>
  <c r="F15" i="1"/>
  <c r="F14" i="1"/>
  <c r="B25" i="1"/>
  <c r="B24" i="1"/>
  <c r="B23" i="1"/>
  <c r="B22" i="1"/>
  <c r="B21" i="1"/>
  <c r="B20" i="1"/>
  <c r="A25" i="1"/>
  <c r="A24" i="1"/>
  <c r="A23" i="1"/>
  <c r="A22" i="1"/>
  <c r="A21" i="1"/>
  <c r="A20" i="1"/>
  <c r="B19" i="1"/>
  <c r="B18" i="1"/>
  <c r="B17" i="1"/>
  <c r="B16" i="1"/>
  <c r="B15" i="1"/>
  <c r="B14" i="1"/>
  <c r="A19" i="1"/>
  <c r="A18" i="1"/>
  <c r="A17" i="1"/>
  <c r="A16" i="1"/>
  <c r="A15" i="1"/>
  <c r="A14" i="1"/>
  <c r="G13" i="1"/>
  <c r="G12" i="1"/>
  <c r="G11" i="1"/>
  <c r="G9" i="1"/>
  <c r="F13" i="1"/>
  <c r="F12" i="1"/>
  <c r="F11" i="1"/>
  <c r="F10" i="1"/>
  <c r="F9" i="1"/>
  <c r="F30" i="1" s="1"/>
  <c r="B13" i="1"/>
  <c r="B9" i="1"/>
  <c r="B10" i="1"/>
  <c r="B11" i="1"/>
  <c r="B12" i="1"/>
  <c r="B8" i="1"/>
  <c r="A8" i="1"/>
  <c r="A13" i="1"/>
  <c r="A9" i="1"/>
  <c r="A10" i="1"/>
  <c r="A11" i="1"/>
  <c r="A12" i="1"/>
  <c r="H47" i="1"/>
  <c r="H48" i="1"/>
  <c r="H49" i="1"/>
  <c r="H50" i="1"/>
  <c r="H12" i="1" s="1"/>
  <c r="H51" i="1"/>
  <c r="H11" i="1" s="1"/>
  <c r="H52" i="1"/>
  <c r="H10" i="1" s="1"/>
  <c r="H53" i="1"/>
  <c r="H9" i="1" s="1"/>
  <c r="H54" i="1"/>
  <c r="H8" i="1" s="1"/>
  <c r="H46" i="1"/>
  <c r="G47" i="1"/>
  <c r="G48" i="1"/>
  <c r="G49" i="1"/>
  <c r="G50" i="1"/>
  <c r="H24" i="1" s="1"/>
  <c r="G51" i="1"/>
  <c r="H23" i="1" s="1"/>
  <c r="G52" i="1"/>
  <c r="H22" i="1" s="1"/>
  <c r="G53" i="1"/>
  <c r="H21" i="1" s="1"/>
  <c r="G54" i="1"/>
  <c r="H20" i="1" s="1"/>
  <c r="G46" i="1"/>
  <c r="F46" i="1"/>
  <c r="F47" i="1"/>
  <c r="F48" i="1"/>
  <c r="F49" i="1"/>
  <c r="F50" i="1"/>
  <c r="H18" i="1" s="1"/>
  <c r="F51" i="1"/>
  <c r="H17" i="1" s="1"/>
  <c r="F52" i="1"/>
  <c r="H16" i="1" s="1"/>
  <c r="F53" i="1"/>
  <c r="H15" i="1" s="1"/>
  <c r="F54" i="1"/>
  <c r="H14" i="1" s="1"/>
  <c r="G30" i="1" l="1"/>
  <c r="H25" i="1"/>
  <c r="H36" i="1"/>
  <c r="H13" i="1"/>
  <c r="H30" i="1" s="1"/>
  <c r="H34" i="1"/>
  <c r="H19" i="1"/>
  <c r="H35" i="1"/>
  <c r="A4" i="1"/>
  <c r="H41" i="1" l="1"/>
  <c r="C3" i="2" a="1"/>
  <c r="C3" i="2" s="1"/>
  <c r="D3" i="2" a="1"/>
  <c r="D3" i="2" s="1"/>
  <c r="J3" i="2" a="1"/>
  <c r="J3" i="2"/>
  <c r="K3" i="2" a="1"/>
  <c r="K3" i="2" s="1"/>
  <c r="N3" i="2" a="1"/>
  <c r="N3" i="2"/>
  <c r="O3" i="2" a="1"/>
  <c r="O3" i="2" s="1"/>
  <c r="P3" i="2" a="1"/>
  <c r="P3" i="2" s="1"/>
  <c r="R3" i="2" a="1"/>
  <c r="R3" i="2"/>
  <c r="S3" i="2" a="1"/>
  <c r="S3" i="2" s="1"/>
  <c r="V3" i="2" a="1"/>
  <c r="V3" i="2"/>
  <c r="W3" i="2" a="1"/>
  <c r="W3" i="2" s="1"/>
  <c r="X3" i="2" a="1"/>
  <c r="X3" i="2" s="1"/>
  <c r="Z3" i="2" a="1"/>
  <c r="Z3" i="2"/>
  <c r="AA3" i="2" a="1"/>
  <c r="AA3" i="2" s="1"/>
  <c r="AD3" i="2" a="1"/>
  <c r="AD3" i="2"/>
  <c r="E5" i="2"/>
  <c r="E7" i="2" s="1"/>
  <c r="F5" i="2"/>
  <c r="F6" i="2" s="1"/>
  <c r="G5" i="2"/>
  <c r="G3" i="2" s="1" a="1"/>
  <c r="G3" i="2" s="1"/>
  <c r="H5" i="2"/>
  <c r="H3" i="2" s="1" a="1"/>
  <c r="H3" i="2" s="1"/>
  <c r="I5" i="2"/>
  <c r="I3" i="2" s="1" a="1"/>
  <c r="I3" i="2" s="1"/>
  <c r="J5" i="2"/>
  <c r="K5" i="2"/>
  <c r="L5" i="2"/>
  <c r="L3" i="2" s="1" a="1"/>
  <c r="L3" i="2" s="1"/>
  <c r="M5" i="2"/>
  <c r="M3" i="2" s="1" a="1"/>
  <c r="M3" i="2" s="1"/>
  <c r="N5" i="2"/>
  <c r="N6" i="2" s="1"/>
  <c r="O5" i="2"/>
  <c r="O6" i="2" s="1"/>
  <c r="P5" i="2"/>
  <c r="Q5" i="2"/>
  <c r="Q3" i="2" s="1" a="1"/>
  <c r="Q3" i="2" s="1"/>
  <c r="R5" i="2"/>
  <c r="S5" i="2"/>
  <c r="T5" i="2"/>
  <c r="T3" i="2" s="1" a="1"/>
  <c r="T3" i="2" s="1"/>
  <c r="U5" i="2"/>
  <c r="U3" i="2" s="1" a="1"/>
  <c r="U3" i="2" s="1"/>
  <c r="V5" i="2"/>
  <c r="V6" i="2" s="1"/>
  <c r="W5" i="2"/>
  <c r="W6" i="2" s="1"/>
  <c r="X5" i="2"/>
  <c r="Y5" i="2"/>
  <c r="Y3" i="2" s="1" a="1"/>
  <c r="Y3" i="2" s="1"/>
  <c r="Z5" i="2"/>
  <c r="AA5" i="2"/>
  <c r="AB5" i="2"/>
  <c r="AB3" i="2" s="1" a="1"/>
  <c r="AB3" i="2" s="1"/>
  <c r="AC5" i="2"/>
  <c r="AC3" i="2" s="1" a="1"/>
  <c r="AC3" i="2" s="1"/>
  <c r="AD5" i="2"/>
  <c r="AD6" i="2" s="1"/>
  <c r="C6" i="2"/>
  <c r="D6" i="2"/>
  <c r="H6" i="2"/>
  <c r="I6" i="2"/>
  <c r="J6" i="2"/>
  <c r="K6" i="2"/>
  <c r="P6" i="2"/>
  <c r="Q6" i="2"/>
  <c r="R6" i="2"/>
  <c r="S6" i="2"/>
  <c r="X6" i="2"/>
  <c r="Y6" i="2"/>
  <c r="Z6" i="2"/>
  <c r="AA6" i="2"/>
  <c r="C7" i="2"/>
  <c r="D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F3" i="2" l="1" a="1"/>
  <c r="F3" i="2" s="1"/>
  <c r="E3" i="2" a="1"/>
  <c r="E3" i="2" s="1"/>
  <c r="G6" i="2"/>
  <c r="AC6" i="2"/>
  <c r="U6" i="2"/>
  <c r="M6" i="2"/>
  <c r="E6" i="2"/>
  <c r="AB6" i="2"/>
  <c r="T6" i="2"/>
  <c r="L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<sst xmlns="http://schemas.openxmlformats.org/spreadsheetml/2006/main" count="181" uniqueCount="137">
  <si>
    <t>~UC_Sets: T_E:</t>
  </si>
  <si>
    <t>UC_N</t>
  </si>
  <si>
    <t>LimType</t>
  </si>
  <si>
    <t>UC_CAP</t>
  </si>
  <si>
    <t>UC_RHSRT~0</t>
  </si>
  <si>
    <t>UC_Desc</t>
  </si>
  <si>
    <t>Att</t>
  </si>
  <si>
    <t>Apt</t>
  </si>
  <si>
    <t>Det</t>
  </si>
  <si>
    <t>PSet_PN</t>
  </si>
  <si>
    <t>Dwelling type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</si>
  <si>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</si>
  <si>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Wicklow</t>
  </si>
  <si>
    <t>IE-WW</t>
  </si>
  <si>
    <t>Wexford</t>
  </si>
  <si>
    <t>IE-WX</t>
  </si>
  <si>
    <t>Westmeath</t>
  </si>
  <si>
    <t>IE-WH</t>
  </si>
  <si>
    <t>Waterford</t>
  </si>
  <si>
    <t>IE-WD</t>
  </si>
  <si>
    <t>Tipperary</t>
  </si>
  <si>
    <t>IE-TA</t>
  </si>
  <si>
    <t>Sligo</t>
  </si>
  <si>
    <t>IE-SO</t>
  </si>
  <si>
    <t>Roscommon</t>
  </si>
  <si>
    <t>IE-RN</t>
  </si>
  <si>
    <t>Offaly</t>
  </si>
  <si>
    <t>IE-OY</t>
  </si>
  <si>
    <t>Monaghan</t>
  </si>
  <si>
    <t>IE-MN</t>
  </si>
  <si>
    <t>Meath</t>
  </si>
  <si>
    <t>IE-MH</t>
  </si>
  <si>
    <t>Mayo</t>
  </si>
  <si>
    <t>IE-MO</t>
  </si>
  <si>
    <t>Louth</t>
  </si>
  <si>
    <t>IE-LH</t>
  </si>
  <si>
    <t>Longford</t>
  </si>
  <si>
    <t>IE-LD</t>
  </si>
  <si>
    <t>Limerick</t>
  </si>
  <si>
    <t>IE-LK</t>
  </si>
  <si>
    <t>Leitrim</t>
  </si>
  <si>
    <t>IE-LM</t>
  </si>
  <si>
    <t>Laois</t>
  </si>
  <si>
    <t>IE-LS</t>
  </si>
  <si>
    <t>Kilkenny</t>
  </si>
  <si>
    <t>IE-KK</t>
  </si>
  <si>
    <t>Kildare</t>
  </si>
  <si>
    <t>IE-KE</t>
  </si>
  <si>
    <t>Kerry</t>
  </si>
  <si>
    <t>IE-KY</t>
  </si>
  <si>
    <t>Galway</t>
  </si>
  <si>
    <t>IE-G</t>
  </si>
  <si>
    <t>Dublin</t>
  </si>
  <si>
    <t>IE-D</t>
  </si>
  <si>
    <t>Donegal</t>
  </si>
  <si>
    <t>IE-DL</t>
  </si>
  <si>
    <t>Cork</t>
  </si>
  <si>
    <t>IE-CO</t>
  </si>
  <si>
    <t>Clare</t>
  </si>
  <si>
    <t>IE-CE</t>
  </si>
  <si>
    <t>Cavan</t>
  </si>
  <si>
    <t>IE-CN</t>
  </si>
  <si>
    <t>Carlow</t>
  </si>
  <si>
    <t>IE-CW</t>
  </si>
  <si>
    <t>County name</t>
  </si>
  <si>
    <t>Code</t>
  </si>
  <si>
    <t>Multi-region</t>
  </si>
  <si>
    <t>Single-region</t>
  </si>
  <si>
    <t>National</t>
  </si>
  <si>
    <t>IE</t>
  </si>
  <si>
    <t>Development</t>
  </si>
  <si>
    <t>UP</t>
  </si>
  <si>
    <t>~UC_T: UC_RHSRT</t>
  </si>
  <si>
    <t>Maximum retrofit</t>
  </si>
  <si>
    <r>
      <rPr>
        <u/>
        <sz val="10"/>
        <rFont val="Calibri"/>
        <family val="2"/>
        <scheme val="minor"/>
      </rPr>
      <t>Note:</t>
    </r>
    <r>
      <rPr>
        <sz val="10"/>
        <rFont val="Calibri"/>
        <family val="2"/>
        <scheme val="minor"/>
      </rPr>
      <t xml:space="preserve"> This UC controls the maximum amount of retrofitted dwellings</t>
    </r>
  </si>
  <si>
    <t>Attached</t>
  </si>
  <si>
    <t>Detached</t>
  </si>
  <si>
    <t>Apartment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</si>
  <si>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</si>
  <si>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</si>
  <si>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</si>
  <si>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</si>
  <si>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</si>
  <si>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</si>
  <si>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</si>
  <si>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</si>
  <si>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</si>
  <si>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</si>
  <si>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</si>
  <si>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</si>
  <si>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</si>
  <si>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Residential sector (RSD)</t>
  </si>
  <si>
    <t>Sets the maximum share of retrofits per selected years</t>
  </si>
  <si>
    <t xml:space="preserve">Jason Mc Guire ( MaREI, jason.mcguire@ucc.ie) </t>
  </si>
  <si>
    <t xml:space="preserve">Alessandro Chiodi ( E4SMA, alessandro.chiodi@e4sma.com) </t>
  </si>
  <si>
    <t xml:space="preserve">Olexandr Balyk ( MaREI, olexandr.balyk@ucc.ie) </t>
  </si>
  <si>
    <t>Max % retrofit by 2070:</t>
  </si>
  <si>
    <t>Max % retrofit by 2030:</t>
  </si>
  <si>
    <t>Max % retrofit by 2018:</t>
  </si>
  <si>
    <t>R-RTFT-Apt_G</t>
  </si>
  <si>
    <t>R-RTFT-Apt_F</t>
  </si>
  <si>
    <t>R-RTFT-Apt_E</t>
  </si>
  <si>
    <t>Final Dwelling Stock Table</t>
  </si>
  <si>
    <t>A</t>
  </si>
  <si>
    <t>B1</t>
  </si>
  <si>
    <t>B2</t>
  </si>
  <si>
    <t>B3</t>
  </si>
  <si>
    <t>C</t>
  </si>
  <si>
    <t>D</t>
  </si>
  <si>
    <t>E</t>
  </si>
  <si>
    <t>F</t>
  </si>
  <si>
    <t>G</t>
  </si>
  <si>
    <t>BER Rating</t>
  </si>
  <si>
    <t>2070 compared to 2018</t>
  </si>
  <si>
    <t>R-RTFT-Apt_D</t>
  </si>
  <si>
    <t>R-RTFT-Apt_C</t>
  </si>
  <si>
    <t>R-RTFT-Apt_B3</t>
  </si>
  <si>
    <t>R-RTFT-Att_G</t>
  </si>
  <si>
    <t>R-RTFT-Att_F</t>
  </si>
  <si>
    <t>R-RTFT-Att_E</t>
  </si>
  <si>
    <t>R-RTFT-Att_D</t>
  </si>
  <si>
    <t>R-RTFT-Att_C</t>
  </si>
  <si>
    <t>R-RTFT-Att_B3</t>
  </si>
  <si>
    <t>R-RTFT-Det_G</t>
  </si>
  <si>
    <t>R-RTFT-Det_F</t>
  </si>
  <si>
    <t>R-RTFT-Det_E</t>
  </si>
  <si>
    <t>R-RTFT-Det_D</t>
  </si>
  <si>
    <t>R-RTFT-Det_C</t>
  </si>
  <si>
    <t>R-RTFT-Det_B3</t>
  </si>
  <si>
    <t>LO</t>
  </si>
  <si>
    <t>Min % retrofit by 2070:</t>
  </si>
  <si>
    <t>Min % retrofit by 2030:</t>
  </si>
  <si>
    <t>Min % retrofit by 2018:</t>
  </si>
  <si>
    <t>R-RTFT-Apt_G,R-RTFT-Apt_F,R-RTFT-Apt_E,R-RTFT-Apt_D,R-RTFT-Apt_C,R-RTFT-Apt_B3</t>
  </si>
  <si>
    <t>R-RTFT-Att_G,R-RTFT-Att_F,R-RTFT-Att_E,R-RTFT-Att_D,R-RTFT-Att_C,R-RTFT-Att_B3</t>
  </si>
  <si>
    <t>R-RTFT-Det_G,R-RTFT-Det_F,R-RTFT-Det_E,R-RTFT-Det_D,R-RTFT-Det_C,R-RTFT-Det_B3</t>
  </si>
  <si>
    <t>UC_T: UC_RHSRT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</si>
</sst>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indexed="12"/>
      <name val="Calibri"/>
      <family val="2"/>
      <scheme val="minor"/>
    </font>
    <font>
      <u/>
      <sz val="1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</borders>
  <cellStyleXfs count="4">
    <xf numFmtId="0" fontId="0" fillId="0" borderId="0"/>
    <xf numFmtId="0" fontId="11" fillId="0" borderId="0"/>
    <xf numFmtId="0" fontId="3" fillId="0" borderId="0"/>
    <xf numFmtId="0" fontId="13" fillId="0" borderId="0" applyNumberFormat="0" applyFill="0" applyBorder="0" applyAlignment="0" applyProtection="0"/>
  </cellStyleXfs>
  <cellXfs count="78">
    <xf numFmtId="0" fontId="0" fillId="0" borderId="0" xfId="0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9" fillId="3" borderId="2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3" fillId="6" borderId="0" xfId="1" applyFont="1" applyFill="1" applyAlignment="1">
      <alignment vertical="center"/>
    </xf>
    <xf numFmtId="0" fontId="3" fillId="7" borderId="0" xfId="1" applyFont="1" applyFill="1" applyAlignment="1">
      <alignment vertical="center"/>
    </xf>
    <xf numFmtId="0" fontId="3" fillId="0" borderId="0" xfId="2"/>
    <xf numFmtId="0" fontId="12" fillId="7" borderId="0" xfId="1" applyFont="1" applyFill="1" applyAlignment="1">
      <alignment vertical="center"/>
    </xf>
    <xf numFmtId="0" fontId="13" fillId="7" borderId="0" xfId="1" applyFont="1" applyFill="1" applyAlignment="1">
      <alignment vertical="center"/>
    </xf>
    <xf numFmtId="0" fontId="3" fillId="8" borderId="0" xfId="1" applyFont="1" applyFill="1" applyAlignment="1">
      <alignment vertical="center"/>
    </xf>
    <xf numFmtId="0" fontId="10" fillId="7" borderId="0" xfId="1" applyFont="1" applyFill="1" applyAlignment="1">
      <alignment vertical="center"/>
    </xf>
    <xf numFmtId="0" fontId="14" fillId="7" borderId="0" xfId="1" applyFont="1" applyFill="1" applyAlignment="1">
      <alignment vertical="center"/>
    </xf>
    <xf numFmtId="0" fontId="15" fillId="6" borderId="0" xfId="1" applyFont="1" applyFill="1" applyAlignment="1">
      <alignment vertical="center"/>
    </xf>
    <xf numFmtId="0" fontId="16" fillId="7" borderId="0" xfId="1" applyFont="1" applyFill="1" applyAlignment="1">
      <alignment vertical="center"/>
    </xf>
    <xf numFmtId="0" fontId="17" fillId="7" borderId="0" xfId="1" applyFont="1" applyFill="1" applyAlignment="1">
      <alignment vertical="center"/>
    </xf>
    <xf numFmtId="0" fontId="16" fillId="6" borderId="0" xfId="1" applyFont="1" applyFill="1" applyAlignment="1">
      <alignment vertical="center"/>
    </xf>
    <xf numFmtId="164" fontId="16" fillId="6" borderId="0" xfId="1" applyNumberFormat="1" applyFont="1" applyFill="1" applyAlignment="1">
      <alignment horizontal="left" vertical="center"/>
    </xf>
    <xf numFmtId="0" fontId="18" fillId="7" borderId="0" xfId="1" applyFont="1" applyFill="1" applyAlignment="1">
      <alignment vertical="center"/>
    </xf>
    <xf numFmtId="0" fontId="19" fillId="6" borderId="0" xfId="1" applyFont="1" applyFill="1" applyAlignment="1">
      <alignment vertical="center"/>
    </xf>
    <xf numFmtId="0" fontId="13" fillId="6" borderId="0" xfId="3" applyFill="1" applyAlignment="1">
      <alignment vertical="center"/>
    </xf>
    <xf numFmtId="9" fontId="5" fillId="5" borderId="15" xfId="0" applyNumberFormat="1" applyFont="1" applyFill="1" applyBorder="1" applyAlignment="1">
      <alignment horizontal="left" vertical="center"/>
    </xf>
    <xf numFmtId="9" fontId="5" fillId="5" borderId="9" xfId="0" applyNumberFormat="1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 wrapText="1"/>
    </xf>
    <xf numFmtId="1" fontId="9" fillId="10" borderId="18" xfId="0" applyNumberFormat="1" applyFont="1" applyFill="1" applyBorder="1" applyAlignment="1">
      <alignment horizontal="right" vertical="center"/>
    </xf>
    <xf numFmtId="3" fontId="2" fillId="10" borderId="19" xfId="0" applyNumberFormat="1" applyFont="1" applyFill="1" applyBorder="1" applyAlignment="1">
      <alignment vertical="center"/>
    </xf>
    <xf numFmtId="1" fontId="9" fillId="11" borderId="21" xfId="0" quotePrefix="1" applyNumberFormat="1" applyFont="1" applyFill="1" applyBorder="1" applyAlignment="1">
      <alignment horizontal="right" vertical="top"/>
    </xf>
    <xf numFmtId="3" fontId="2" fillId="11" borderId="4" xfId="0" quotePrefix="1" applyNumberFormat="1" applyFont="1" applyFill="1" applyBorder="1" applyAlignment="1">
      <alignment horizontal="right" vertical="top"/>
    </xf>
    <xf numFmtId="1" fontId="9" fillId="10" borderId="21" xfId="0" applyNumberFormat="1" applyFont="1" applyFill="1" applyBorder="1" applyAlignment="1">
      <alignment horizontal="right" vertical="center"/>
    </xf>
    <xf numFmtId="3" fontId="2" fillId="10" borderId="4" xfId="0" applyNumberFormat="1" applyFont="1" applyFill="1" applyBorder="1" applyAlignment="1">
      <alignment vertical="center"/>
    </xf>
    <xf numFmtId="3" fontId="2" fillId="10" borderId="20" xfId="0" applyNumberFormat="1" applyFont="1" applyFill="1" applyBorder="1" applyAlignment="1">
      <alignment vertical="center"/>
    </xf>
    <xf numFmtId="3" fontId="2" fillId="11" borderId="22" xfId="0" quotePrefix="1" applyNumberFormat="1" applyFont="1" applyFill="1" applyBorder="1" applyAlignment="1">
      <alignment horizontal="right" vertical="top"/>
    </xf>
    <xf numFmtId="3" fontId="2" fillId="10" borderId="22" xfId="0" applyNumberFormat="1" applyFont="1" applyFill="1" applyBorder="1" applyAlignment="1">
      <alignment vertical="center"/>
    </xf>
    <xf numFmtId="1" fontId="9" fillId="10" borderId="23" xfId="0" applyNumberFormat="1" applyFont="1" applyFill="1" applyBorder="1" applyAlignment="1">
      <alignment horizontal="right" vertical="center"/>
    </xf>
    <xf numFmtId="3" fontId="2" fillId="10" borderId="24" xfId="0" applyNumberFormat="1" applyFont="1" applyFill="1" applyBorder="1" applyAlignment="1">
      <alignment vertical="center"/>
    </xf>
    <xf numFmtId="3" fontId="2" fillId="10" borderId="25" xfId="0" applyNumberFormat="1" applyFont="1" applyFill="1" applyBorder="1" applyAlignment="1">
      <alignment vertical="center"/>
    </xf>
    <xf numFmtId="0" fontId="9" fillId="9" borderId="7" xfId="0" applyFont="1" applyFill="1" applyBorder="1" applyAlignment="1">
      <alignment vertical="center"/>
    </xf>
    <xf numFmtId="0" fontId="9" fillId="9" borderId="26" xfId="0" applyFont="1" applyFill="1" applyBorder="1" applyAlignment="1">
      <alignment vertical="center"/>
    </xf>
    <xf numFmtId="0" fontId="9" fillId="9" borderId="27" xfId="0" applyFont="1" applyFill="1" applyBorder="1" applyAlignment="1">
      <alignment vertical="center"/>
    </xf>
    <xf numFmtId="0" fontId="4" fillId="2" borderId="28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6" xfId="0" applyNumberFormat="1" applyFont="1" applyBorder="1" applyAlignment="1">
      <alignment horizontal="left" vertical="center"/>
    </xf>
    <xf numFmtId="165" fontId="5" fillId="0" borderId="16" xfId="0" applyNumberFormat="1" applyFont="1" applyBorder="1" applyAlignment="1">
      <alignment horizontal="left" vertical="center"/>
    </xf>
    <xf numFmtId="3" fontId="1" fillId="10" borderId="19" xfId="0" applyNumberFormat="1" applyFont="1" applyFill="1" applyBorder="1" applyAlignment="1">
      <alignment vertical="center"/>
    </xf>
    <xf numFmtId="3" fontId="1" fillId="11" borderId="4" xfId="0" quotePrefix="1" applyNumberFormat="1" applyFont="1" applyFill="1" applyBorder="1" applyAlignment="1">
      <alignment horizontal="right" vertical="top"/>
    </xf>
    <xf numFmtId="3" fontId="1" fillId="10" borderId="4" xfId="0" applyNumberFormat="1" applyFont="1" applyFill="1" applyBorder="1" applyAlignment="1">
      <alignment vertical="center"/>
    </xf>
    <xf numFmtId="165" fontId="21" fillId="12" borderId="0" xfId="0" applyNumberFormat="1" applyFont="1" applyFill="1" applyAlignment="1">
      <alignment horizontal="left"/>
    </xf>
    <xf numFmtId="3" fontId="1" fillId="10" borderId="24" xfId="0" applyNumberFormat="1" applyFont="1" applyFill="1" applyBorder="1" applyAlignment="1">
      <alignment vertical="center"/>
    </xf>
    <xf numFmtId="0" fontId="16" fillId="6" borderId="0" xfId="1" applyFont="1" applyFill="1" applyAlignment="1">
      <alignment vertical="center"/>
    </xf>
    <xf numFmtId="0" fontId="12" fillId="6" borderId="0" xfId="1" applyFont="1" applyFill="1" applyAlignment="1">
      <alignment horizontal="center" vertical="center"/>
    </xf>
    <xf numFmtId="0" fontId="13" fillId="6" borderId="0" xfId="3" applyFill="1" applyAlignment="1">
      <alignment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4">
    <cellStyle name="Hyperlink 2" xfId="3" xr:uid="{DEE521D3-B0B4-4CE7-8A91-371CE4E0C484}"/>
    <cellStyle name="Normal" xfId="0" builtinId="0"/>
    <cellStyle name="Normal 2" xfId="1" xr:uid="{9A6E7584-26C7-42F9-941A-7C7F3F850534}"/>
    <cellStyle name="Normal 3" xfId="2" xr:uid="{7631B2E1-ECBB-4577-8720-546333DBA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71E9-3B76-4730-8127-32A866DD0615}">
  <sheetPr codeName="Sheet3"/>
  <dimension ref="A1:Z99"/>
  <sheetViews>
    <sheetView showGridLines="0" topLeftCell="A12" zoomScaleNormal="100" workbookViewId="0">
      <selection activeCell="B24" sqref="B24:D24"/>
    </sheetView>
  </sheetViews>
  <sheetFormatPr defaultColWidth="8.85546875" defaultRowHeight="15" x14ac:dyDescent="0.25"/>
  <cols>
    <col min="1" max="4" width="21.7109375" style="14" customWidth="1"/>
    <col min="5" max="6" width="14.140625" style="14" customWidth="1"/>
    <col min="7" max="7" width="12.140625" style="14" customWidth="1"/>
    <col min="8" max="10" width="8.140625" style="14" customWidth="1"/>
    <col min="11" max="11" width="9.7109375" style="14" customWidth="1"/>
    <col min="12" max="12" width="8.140625" style="14" customWidth="1"/>
    <col min="13" max="13" width="10" style="14" customWidth="1"/>
    <col min="14" max="14" width="11.42578125" style="14" customWidth="1"/>
    <col min="15" max="15" width="13.42578125" style="14" customWidth="1"/>
    <col min="16" max="16384" width="8.85546875" style="14"/>
  </cols>
  <sheetData>
    <row r="1" spans="1:26" x14ac:dyDescent="0.25">
      <c r="A1" s="12"/>
      <c r="B1" s="12"/>
      <c r="C1" s="12"/>
      <c r="D1" s="12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5">
      <c r="A2" s="12"/>
      <c r="B2" s="12"/>
      <c r="C2" s="12"/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25">
      <c r="A3" s="12"/>
      <c r="B3" s="12"/>
      <c r="C3" s="12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x14ac:dyDescent="0.25">
      <c r="A4" s="12"/>
      <c r="B4" s="12"/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x14ac:dyDescent="0.25">
      <c r="A5" s="12"/>
      <c r="B5" s="12"/>
      <c r="C5" s="12"/>
      <c r="D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x14ac:dyDescent="0.25">
      <c r="A6" s="12"/>
      <c r="B6" s="12"/>
      <c r="C6" s="12"/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x14ac:dyDescent="0.25">
      <c r="A7" s="12"/>
      <c r="B7" s="12"/>
      <c r="C7" s="12"/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2"/>
      <c r="B8" s="12"/>
      <c r="C8" s="12"/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x14ac:dyDescent="0.25">
      <c r="A9" s="12"/>
      <c r="B9" s="12"/>
      <c r="C9" s="12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x14ac:dyDescent="0.25">
      <c r="A10" s="12"/>
      <c r="B10" s="12"/>
      <c r="C10" s="12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x14ac:dyDescent="0.25">
      <c r="A11" s="12"/>
      <c r="B11" s="12"/>
      <c r="C11" s="12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25">
      <c r="A12" s="12"/>
      <c r="B12" s="12"/>
      <c r="C12" s="12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5">
      <c r="A13" s="12"/>
      <c r="B13" s="12"/>
      <c r="C13" s="12"/>
      <c r="D13" s="12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5">
      <c r="A14" s="12"/>
      <c r="B14" s="12"/>
      <c r="C14" s="12"/>
      <c r="D14" s="12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x14ac:dyDescent="0.25">
      <c r="A15" s="12"/>
      <c r="B15" s="12"/>
      <c r="C15" s="12"/>
      <c r="D15" s="12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02.75" customHeight="1" x14ac:dyDescent="0.25">
      <c r="A16" s="58" t="s">
        <v>78</v>
      </c>
      <c r="B16" s="58"/>
      <c r="C16" s="58"/>
      <c r="D16" s="58"/>
      <c r="E16" s="15"/>
      <c r="F16" s="15"/>
      <c r="G16" s="16"/>
      <c r="H16" s="16"/>
      <c r="I16" s="16"/>
      <c r="J16" s="16"/>
      <c r="K16" s="16"/>
      <c r="L16" s="16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7.25" customHeight="1" x14ac:dyDescent="0.25">
      <c r="A17" s="17"/>
      <c r="B17" s="17"/>
      <c r="C17" s="17"/>
      <c r="D17" s="17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7.25" customHeight="1" x14ac:dyDescent="0.25">
      <c r="A18" s="17"/>
      <c r="B18" s="17"/>
      <c r="C18" s="17"/>
      <c r="D18" s="17"/>
      <c r="E18" s="18"/>
      <c r="F18" s="18"/>
      <c r="G18" s="19"/>
      <c r="H18" s="19"/>
      <c r="I18" s="19"/>
      <c r="J18" s="19"/>
      <c r="K18" s="19"/>
      <c r="L18" s="19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7.25" customHeight="1" x14ac:dyDescent="0.25">
      <c r="A19" s="20" t="s">
        <v>79</v>
      </c>
      <c r="B19" s="57" t="s">
        <v>90</v>
      </c>
      <c r="C19" s="57"/>
      <c r="D19" s="57"/>
      <c r="E19" s="21"/>
      <c r="F19" s="21"/>
      <c r="G19" s="22"/>
      <c r="H19" s="22"/>
      <c r="I19" s="22"/>
      <c r="J19" s="22"/>
      <c r="K19" s="22"/>
      <c r="L19" s="2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7.25" customHeight="1" x14ac:dyDescent="0.25">
      <c r="A20" s="20" t="s">
        <v>80</v>
      </c>
      <c r="B20" s="57" t="s">
        <v>91</v>
      </c>
      <c r="C20" s="57"/>
      <c r="D20" s="57"/>
      <c r="E20" s="21"/>
      <c r="F20" s="21"/>
      <c r="G20" s="22"/>
      <c r="H20" s="22"/>
      <c r="I20" s="22"/>
      <c r="J20" s="22"/>
      <c r="K20" s="22"/>
      <c r="L20" s="2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7.25" customHeight="1" x14ac:dyDescent="0.25">
      <c r="A21" s="20" t="s">
        <v>81</v>
      </c>
      <c r="B21" s="23" t="s">
        <v>92</v>
      </c>
      <c r="C21" s="23"/>
      <c r="D21" s="23"/>
      <c r="E21" s="21"/>
      <c r="F21" s="21"/>
      <c r="G21" s="22"/>
      <c r="H21" s="22"/>
      <c r="I21" s="22"/>
      <c r="J21" s="22"/>
      <c r="K21" s="22"/>
      <c r="L21" s="2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7.25" customHeight="1" x14ac:dyDescent="0.25">
      <c r="A22" s="20"/>
      <c r="B22" s="23"/>
      <c r="C22" s="23"/>
      <c r="D22" s="23"/>
      <c r="E22" s="21"/>
      <c r="F22" s="21"/>
      <c r="G22" s="22"/>
      <c r="H22" s="22"/>
      <c r="I22" s="22"/>
      <c r="J22" s="22"/>
      <c r="K22" s="22"/>
      <c r="L22" s="2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7.25" customHeight="1" x14ac:dyDescent="0.25">
      <c r="A23" s="20" t="s">
        <v>82</v>
      </c>
      <c r="B23" s="57" t="s">
        <v>93</v>
      </c>
      <c r="C23" s="57"/>
      <c r="D23" s="57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7.25" customHeight="1" x14ac:dyDescent="0.25">
      <c r="A24" s="20"/>
      <c r="B24" s="57" t="s">
        <v>94</v>
      </c>
      <c r="C24" s="57"/>
      <c r="D24" s="57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7.25" customHeight="1" x14ac:dyDescent="0.25">
      <c r="A25" s="20"/>
      <c r="B25" s="23"/>
      <c r="C25" s="23"/>
      <c r="D25" s="2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7.25" customHeight="1" x14ac:dyDescent="0.25">
      <c r="A26" s="20" t="s">
        <v>83</v>
      </c>
      <c r="B26" s="57" t="s">
        <v>93</v>
      </c>
      <c r="C26" s="57"/>
      <c r="D26" s="57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7.25" customHeight="1" x14ac:dyDescent="0.25">
      <c r="A27" s="20"/>
      <c r="B27" s="57" t="s">
        <v>95</v>
      </c>
      <c r="C27" s="57"/>
      <c r="D27" s="57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7.25" customHeight="1" x14ac:dyDescent="0.25">
      <c r="A28" s="20"/>
      <c r="B28" s="23"/>
      <c r="C28" s="23"/>
      <c r="D28" s="2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7.25" customHeight="1" x14ac:dyDescent="0.25">
      <c r="A29" s="20" t="s">
        <v>84</v>
      </c>
      <c r="B29" s="24">
        <v>1</v>
      </c>
      <c r="C29" s="23"/>
      <c r="D29" s="2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7.25" customHeight="1" x14ac:dyDescent="0.25">
      <c r="A30" s="20" t="s">
        <v>85</v>
      </c>
      <c r="B30" s="59" t="s">
        <v>86</v>
      </c>
      <c r="C30" s="57"/>
      <c r="D30" s="57"/>
      <c r="E30" s="25"/>
      <c r="F30" s="25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7.25" customHeight="1" x14ac:dyDescent="0.25">
      <c r="A31" s="20" t="s">
        <v>87</v>
      </c>
      <c r="B31" s="57" t="s">
        <v>88</v>
      </c>
      <c r="C31" s="57"/>
      <c r="D31" s="57"/>
      <c r="E31" s="25"/>
      <c r="F31" s="25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7.25" customHeight="1" x14ac:dyDescent="0.25">
      <c r="A32" s="26"/>
      <c r="B32" s="27" t="s">
        <v>89</v>
      </c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x14ac:dyDescent="0.25">
      <c r="A33" s="12"/>
      <c r="B33" s="12"/>
      <c r="C33" s="12"/>
      <c r="D33" s="12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x14ac:dyDescent="0.25">
      <c r="A34" s="12"/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x14ac:dyDescent="0.25">
      <c r="A35" s="12"/>
      <c r="B35" s="12"/>
      <c r="C35" s="12"/>
      <c r="D35" s="12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x14ac:dyDescent="0.25">
      <c r="A36" s="12"/>
      <c r="B36" s="12"/>
      <c r="C36" s="12"/>
      <c r="D36" s="12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x14ac:dyDescent="0.25">
      <c r="A37" s="12"/>
      <c r="B37" s="12"/>
      <c r="C37" s="12"/>
      <c r="D37" s="12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x14ac:dyDescent="0.25">
      <c r="A38" s="12"/>
      <c r="B38" s="12"/>
      <c r="C38" s="12"/>
      <c r="D38" s="12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x14ac:dyDescent="0.25">
      <c r="A39" s="12"/>
      <c r="B39" s="12"/>
      <c r="C39" s="12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25">
      <c r="A40" s="12"/>
      <c r="B40" s="12"/>
      <c r="C40" s="12"/>
      <c r="D40" s="12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25">
      <c r="A41" s="12"/>
      <c r="B41" s="12"/>
      <c r="C41" s="12"/>
      <c r="D41" s="12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5">
      <c r="A42" s="12"/>
      <c r="B42" s="12"/>
      <c r="C42" s="12"/>
      <c r="D42" s="12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4:D24"/>
    <mergeCell ref="B27:D27"/>
  </mergeCells>
  <hyperlinks>
    <hyperlink ref="B30" r:id="rId1" xr:uid="{411EC5A7-5835-47B0-8EE8-516FC1E35A96}"/>
    <hyperlink ref="B32" r:id="rId2" xr:uid="{AF3A9950-79E4-4508-87EF-0F0F9FA576A6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416A-93FB-47DC-AE22-6A4361BED7B1}">
  <sheetPr codeName="Sheet1"/>
  <dimension ref="A3:AD37"/>
  <sheetViews>
    <sheetView zoomScaleNormal="100" workbookViewId="0">
      <selection activeCell="H18" sqref="H18"/>
    </sheetView>
  </sheetViews>
  <sheetFormatPr defaultColWidth="9.140625" defaultRowHeight="12.75" x14ac:dyDescent="0.2"/>
  <cols>
    <col min="1" max="1" width="12.140625" customWidth="1"/>
    <col min="2" max="2" width="11.7109375" customWidth="1"/>
    <col min="3" max="3" width="3.140625" bestFit="1" customWidth="1"/>
    <col min="4" max="4" width="8.5703125" bestFit="1" customWidth="1"/>
    <col min="5" max="5" width="6.42578125" bestFit="1" customWidth="1"/>
    <col min="6" max="6" width="4.85546875" bestFit="1" customWidth="1"/>
    <col min="7" max="7" width="5.7109375" bestFit="1" customWidth="1"/>
    <col min="8" max="8" width="5.85546875" bestFit="1" customWidth="1"/>
    <col min="9" max="9" width="5.42578125" bestFit="1" customWidth="1"/>
    <col min="10" max="11" width="5.7109375" bestFit="1" customWidth="1"/>
    <col min="12" max="12" width="6.5703125" bestFit="1" customWidth="1"/>
    <col min="13" max="13" width="6.140625" bestFit="1" customWidth="1"/>
    <col min="14" max="14" width="6.7109375" bestFit="1" customWidth="1"/>
    <col min="15" max="15" width="6.5703125" bestFit="1" customWidth="1"/>
    <col min="16" max="16" width="7.28515625" bestFit="1" customWidth="1"/>
    <col min="17" max="17" width="5.7109375" bestFit="1" customWidth="1"/>
    <col min="18" max="18" width="6.140625" bestFit="1" customWidth="1"/>
    <col min="19" max="19" width="5.7109375" bestFit="1" customWidth="1"/>
    <col min="20" max="20" width="5.5703125" bestFit="1" customWidth="1"/>
    <col min="21" max="21" width="5.85546875" bestFit="1" customWidth="1"/>
    <col min="22" max="22" width="6.7109375" bestFit="1" customWidth="1"/>
    <col min="23" max="23" width="4.85546875" bestFit="1" customWidth="1"/>
    <col min="24" max="24" width="7.5703125" customWidth="1"/>
    <col min="25" max="25" width="6.7109375" bestFit="1" customWidth="1"/>
    <col min="26" max="26" width="6.140625" bestFit="1" customWidth="1"/>
    <col min="27" max="28" width="6" bestFit="1" customWidth="1"/>
    <col min="29" max="29" width="5.7109375" bestFit="1" customWidth="1"/>
    <col min="30" max="30" width="6.7109375" bestFit="1" customWidth="1"/>
  </cols>
  <sheetData>
    <row r="3" spans="1:30" ht="15" x14ac:dyDescent="0.2">
      <c r="C3" s="9" t="str" cm="1">
        <f t="array" ref="C3">INDEX(C5:C7,$A$4)</f>
        <v>IE</v>
      </c>
      <c r="D3" s="9" t="str" cm="1">
        <f t="array" ref="D3">INDEX(D5:D7,$A$4)</f>
        <v>National</v>
      </c>
      <c r="E3" s="9" t="str" cm="1">
        <f t="array" ref="E3">INDEX(E5:E7,$A$4)</f>
        <v>IE-CW</v>
      </c>
      <c r="F3" s="9" t="str" cm="1">
        <f t="array" ref="F3">INDEX(F5:F7,$A$4)</f>
        <v>IE-D</v>
      </c>
      <c r="G3" s="9" t="str" cm="1">
        <f t="array" ref="G3">INDEX(G5:G7,$A$4)</f>
        <v>IE-KE</v>
      </c>
      <c r="H3" s="9" t="str" cm="1">
        <f t="array" ref="H3">INDEX(H5:H7,$A$4)</f>
        <v>IE-KK</v>
      </c>
      <c r="I3" s="9" t="str" cm="1">
        <f t="array" ref="I3">INDEX(I5:I7,$A$4)</f>
        <v>IE-LS</v>
      </c>
      <c r="J3" s="9" t="str" cm="1">
        <f t="array" ref="J3">INDEX(J5:J7,$A$4)</f>
        <v>IE-LD</v>
      </c>
      <c r="K3" s="9" t="str" cm="1">
        <f t="array" ref="K3">INDEX(K5:K7,$A$4)</f>
        <v>IE-LH</v>
      </c>
      <c r="L3" s="9" t="str" cm="1">
        <f t="array" ref="L3">INDEX(L5:L7,$A$4)</f>
        <v>IE-MH</v>
      </c>
      <c r="M3" s="9" t="str" cm="1">
        <f t="array" ref="M3">INDEX(M5:M7,$A$4)</f>
        <v>IE-OY</v>
      </c>
      <c r="N3" s="9" t="str" cm="1">
        <f t="array" ref="N3">INDEX(N5:N7,$A$4)</f>
        <v>IE-WH</v>
      </c>
      <c r="O3" s="9" t="str" cm="1">
        <f t="array" ref="O3">INDEX(O5:O7,$A$4)</f>
        <v>IE-WX</v>
      </c>
      <c r="P3" s="9" t="str" cm="1">
        <f t="array" ref="P3">INDEX(P5:P7,$A$4)</f>
        <v>IE-WW</v>
      </c>
      <c r="Q3" s="9" t="str" cm="1">
        <f t="array" ref="Q3">INDEX(Q5:Q7,$A$4)</f>
        <v>IE-CE</v>
      </c>
      <c r="R3" s="9" t="str" cm="1">
        <f t="array" ref="R3">INDEX(R5:R7,$A$4)</f>
        <v>IE-CO</v>
      </c>
      <c r="S3" s="9" t="str" cm="1">
        <f t="array" ref="S3">INDEX(S5:S7,$A$4)</f>
        <v>IE-KY</v>
      </c>
      <c r="T3" s="9" t="str" cm="1">
        <f t="array" ref="T3">INDEX(T5:T7,$A$4)</f>
        <v>IE-LK</v>
      </c>
      <c r="U3" s="9" t="str" cm="1">
        <f t="array" ref="U3">INDEX(U5:U7,$A$4)</f>
        <v>IE-TA</v>
      </c>
      <c r="V3" s="9" t="str" cm="1">
        <f t="array" ref="V3">INDEX(V5:V7,$A$4)</f>
        <v>IE-WD</v>
      </c>
      <c r="W3" s="9" t="str" cm="1">
        <f t="array" ref="W3">INDEX(W5:W7,$A$4)</f>
        <v>IE-G</v>
      </c>
      <c r="X3" s="9" t="str" cm="1">
        <f t="array" ref="X3">INDEX(X5:X7,$A$4)</f>
        <v>IE-LM</v>
      </c>
      <c r="Y3" s="9" t="str" cm="1">
        <f t="array" ref="Y3">INDEX(Y5:Y7,$A$4)</f>
        <v>IE-MO</v>
      </c>
      <c r="Z3" s="9" t="str" cm="1">
        <f t="array" ref="Z3">INDEX(Z5:Z7,$A$4)</f>
        <v>IE-RN</v>
      </c>
      <c r="AA3" s="9" t="str" cm="1">
        <f t="array" ref="AA3">INDEX(AA5:AA7,$A$4)</f>
        <v>IE-SO</v>
      </c>
      <c r="AB3" s="9" t="str" cm="1">
        <f t="array" ref="AB3">INDEX(AB5:AB7,$A$4)</f>
        <v>IE-CN</v>
      </c>
      <c r="AC3" s="9" t="str" cm="1">
        <f t="array" ref="AC3">INDEX(AC5:AC7,$A$4)</f>
        <v>IE-DL</v>
      </c>
      <c r="AD3" s="9" t="str" cm="1">
        <f t="array" ref="AD3">INDEX(AD5:AD7,$A$4)</f>
        <v>IE-MN</v>
      </c>
    </row>
    <row r="4" spans="1:30" x14ac:dyDescent="0.2">
      <c r="A4">
        <v>1</v>
      </c>
    </row>
    <row r="5" spans="1:30" ht="15" x14ac:dyDescent="0.2">
      <c r="A5" t="s">
        <v>70</v>
      </c>
      <c r="C5" s="10" t="s">
        <v>69</v>
      </c>
      <c r="D5" s="10" t="s">
        <v>68</v>
      </c>
      <c r="E5" s="9" t="str">
        <f>Regions!A11</f>
        <v>IE-CW</v>
      </c>
      <c r="F5" s="9" t="str">
        <f>Regions!A16</f>
        <v>IE-D</v>
      </c>
      <c r="G5" s="9" t="str">
        <f>Regions!A19</f>
        <v>IE-KE</v>
      </c>
      <c r="H5" s="9" t="str">
        <f>Regions!A20</f>
        <v>IE-KK</v>
      </c>
      <c r="I5" s="9" t="str">
        <f>Regions!A21</f>
        <v>IE-LS</v>
      </c>
      <c r="J5" s="9" t="str">
        <f>Regions!A24</f>
        <v>IE-LD</v>
      </c>
      <c r="K5" s="9" t="str">
        <f>Regions!A25</f>
        <v>IE-LH</v>
      </c>
      <c r="L5" s="9" t="str">
        <f>Regions!A27</f>
        <v>IE-MH</v>
      </c>
      <c r="M5" s="9" t="str">
        <f>Regions!A29</f>
        <v>IE-OY</v>
      </c>
      <c r="N5" s="9" t="str">
        <f>Regions!A34</f>
        <v>IE-WH</v>
      </c>
      <c r="O5" s="9" t="str">
        <f>Regions!A35</f>
        <v>IE-WX</v>
      </c>
      <c r="P5" s="9" t="str">
        <f>Regions!A36</f>
        <v>IE-WW</v>
      </c>
      <c r="Q5" s="9" t="str">
        <f>Regions!A13</f>
        <v>IE-CE</v>
      </c>
      <c r="R5" s="9" t="str">
        <f>Regions!A14</f>
        <v>IE-CO</v>
      </c>
      <c r="S5" s="9" t="str">
        <f>Regions!A18</f>
        <v>IE-KY</v>
      </c>
      <c r="T5" s="9" t="str">
        <f>Regions!A23</f>
        <v>IE-LK</v>
      </c>
      <c r="U5" s="9" t="str">
        <f>Regions!A32</f>
        <v>IE-TA</v>
      </c>
      <c r="V5" s="9" t="str">
        <f>Regions!A33</f>
        <v>IE-WD</v>
      </c>
      <c r="W5" s="9" t="str">
        <f>Regions!A17</f>
        <v>IE-G</v>
      </c>
      <c r="X5" s="9" t="str">
        <f>Regions!A22</f>
        <v>IE-LM</v>
      </c>
      <c r="Y5" s="9" t="str">
        <f>Regions!A26</f>
        <v>IE-MO</v>
      </c>
      <c r="Z5" s="9" t="str">
        <f>Regions!A30</f>
        <v>IE-RN</v>
      </c>
      <c r="AA5" s="9" t="str">
        <f>Regions!A31</f>
        <v>IE-SO</v>
      </c>
      <c r="AB5" s="9" t="str">
        <f>Regions!A12</f>
        <v>IE-CN</v>
      </c>
      <c r="AC5" s="9" t="str">
        <f>Regions!A15</f>
        <v>IE-DL</v>
      </c>
      <c r="AD5" s="9" t="str">
        <f>Regions!A28</f>
        <v>IE-MN</v>
      </c>
    </row>
    <row r="6" spans="1:30" ht="15" x14ac:dyDescent="0.2">
      <c r="A6" t="s">
        <v>67</v>
      </c>
      <c r="C6" s="9" t="str">
        <f>C5</f>
        <v>IE</v>
      </c>
      <c r="D6" s="9" t="str">
        <f t="shared" ref="D6:AD6" si="0">"*"&amp;D5</f>
        <v>*National</v>
      </c>
      <c r="E6" s="9" t="str">
        <f t="shared" si="0"/>
        <v>*IE-CW</v>
      </c>
      <c r="F6" s="9" t="str">
        <f t="shared" si="0"/>
        <v>*IE-D</v>
      </c>
      <c r="G6" s="9" t="str">
        <f t="shared" si="0"/>
        <v>*IE-KE</v>
      </c>
      <c r="H6" s="9" t="str">
        <f t="shared" si="0"/>
        <v>*IE-KK</v>
      </c>
      <c r="I6" s="9" t="str">
        <f t="shared" si="0"/>
        <v>*IE-LS</v>
      </c>
      <c r="J6" s="9" t="str">
        <f t="shared" si="0"/>
        <v>*IE-LD</v>
      </c>
      <c r="K6" s="9" t="str">
        <f t="shared" si="0"/>
        <v>*IE-LH</v>
      </c>
      <c r="L6" s="9" t="str">
        <f t="shared" si="0"/>
        <v>*IE-MH</v>
      </c>
      <c r="M6" s="9" t="str">
        <f t="shared" si="0"/>
        <v>*IE-OY</v>
      </c>
      <c r="N6" s="9" t="str">
        <f t="shared" si="0"/>
        <v>*IE-WH</v>
      </c>
      <c r="O6" s="9" t="str">
        <f t="shared" si="0"/>
        <v>*IE-WX</v>
      </c>
      <c r="P6" s="9" t="str">
        <f t="shared" si="0"/>
        <v>*IE-WW</v>
      </c>
      <c r="Q6" s="9" t="str">
        <f t="shared" si="0"/>
        <v>*IE-CE</v>
      </c>
      <c r="R6" s="9" t="str">
        <f t="shared" si="0"/>
        <v>*IE-CO</v>
      </c>
      <c r="S6" s="9" t="str">
        <f t="shared" si="0"/>
        <v>*IE-KY</v>
      </c>
      <c r="T6" s="9" t="str">
        <f t="shared" si="0"/>
        <v>*IE-LK</v>
      </c>
      <c r="U6" s="9" t="str">
        <f t="shared" si="0"/>
        <v>*IE-TA</v>
      </c>
      <c r="V6" s="9" t="str">
        <f t="shared" si="0"/>
        <v>*IE-WD</v>
      </c>
      <c r="W6" s="9" t="str">
        <f t="shared" si="0"/>
        <v>*IE-G</v>
      </c>
      <c r="X6" s="9" t="str">
        <f t="shared" si="0"/>
        <v>*IE-LM</v>
      </c>
      <c r="Y6" s="9" t="str">
        <f t="shared" si="0"/>
        <v>*IE-MO</v>
      </c>
      <c r="Z6" s="9" t="str">
        <f t="shared" si="0"/>
        <v>*IE-RN</v>
      </c>
      <c r="AA6" s="9" t="str">
        <f t="shared" si="0"/>
        <v>*IE-SO</v>
      </c>
      <c r="AB6" s="9" t="str">
        <f t="shared" si="0"/>
        <v>*IE-CN</v>
      </c>
      <c r="AC6" s="9" t="str">
        <f t="shared" si="0"/>
        <v>*IE-DL</v>
      </c>
      <c r="AD6" s="9" t="str">
        <f t="shared" si="0"/>
        <v>*IE-MN</v>
      </c>
    </row>
    <row r="7" spans="1:30" ht="15" x14ac:dyDescent="0.2">
      <c r="A7" t="s">
        <v>66</v>
      </c>
      <c r="C7" s="9" t="str">
        <f>"*"&amp;C5</f>
        <v>*IE</v>
      </c>
      <c r="D7" s="9" t="str">
        <f t="shared" ref="D7:AD7" si="1">D5</f>
        <v>National</v>
      </c>
      <c r="E7" s="9" t="str">
        <f t="shared" si="1"/>
        <v>IE-CW</v>
      </c>
      <c r="F7" s="9" t="str">
        <f t="shared" si="1"/>
        <v>IE-D</v>
      </c>
      <c r="G7" s="9" t="str">
        <f t="shared" si="1"/>
        <v>IE-KE</v>
      </c>
      <c r="H7" s="9" t="str">
        <f t="shared" si="1"/>
        <v>IE-KK</v>
      </c>
      <c r="I7" s="9" t="str">
        <f t="shared" si="1"/>
        <v>IE-LS</v>
      </c>
      <c r="J7" s="9" t="str">
        <f t="shared" si="1"/>
        <v>IE-LD</v>
      </c>
      <c r="K7" s="9" t="str">
        <f t="shared" si="1"/>
        <v>IE-LH</v>
      </c>
      <c r="L7" s="9" t="str">
        <f t="shared" si="1"/>
        <v>IE-MH</v>
      </c>
      <c r="M7" s="9" t="str">
        <f t="shared" si="1"/>
        <v>IE-OY</v>
      </c>
      <c r="N7" s="9" t="str">
        <f t="shared" si="1"/>
        <v>IE-WH</v>
      </c>
      <c r="O7" s="9" t="str">
        <f t="shared" si="1"/>
        <v>IE-WX</v>
      </c>
      <c r="P7" s="9" t="str">
        <f t="shared" si="1"/>
        <v>IE-WW</v>
      </c>
      <c r="Q7" s="9" t="str">
        <f t="shared" si="1"/>
        <v>IE-CE</v>
      </c>
      <c r="R7" s="9" t="str">
        <f t="shared" si="1"/>
        <v>IE-CO</v>
      </c>
      <c r="S7" s="9" t="str">
        <f t="shared" si="1"/>
        <v>IE-KY</v>
      </c>
      <c r="T7" s="9" t="str">
        <f t="shared" si="1"/>
        <v>IE-LK</v>
      </c>
      <c r="U7" s="9" t="str">
        <f t="shared" si="1"/>
        <v>IE-TA</v>
      </c>
      <c r="V7" s="9" t="str">
        <f t="shared" si="1"/>
        <v>IE-WD</v>
      </c>
      <c r="W7" s="9" t="str">
        <f t="shared" si="1"/>
        <v>IE-G</v>
      </c>
      <c r="X7" s="9" t="str">
        <f t="shared" si="1"/>
        <v>IE-LM</v>
      </c>
      <c r="Y7" s="9" t="str">
        <f t="shared" si="1"/>
        <v>IE-MO</v>
      </c>
      <c r="Z7" s="9" t="str">
        <f t="shared" si="1"/>
        <v>IE-RN</v>
      </c>
      <c r="AA7" s="9" t="str">
        <f t="shared" si="1"/>
        <v>IE-SO</v>
      </c>
      <c r="AB7" s="9" t="str">
        <f t="shared" si="1"/>
        <v>IE-CN</v>
      </c>
      <c r="AC7" s="9" t="str">
        <f t="shared" si="1"/>
        <v>IE-DL</v>
      </c>
      <c r="AD7" s="9" t="str">
        <f t="shared" si="1"/>
        <v>IE-MN</v>
      </c>
    </row>
    <row r="10" spans="1:30" ht="15.75" thickBot="1" x14ac:dyDescent="0.3">
      <c r="A10" s="8" t="s">
        <v>65</v>
      </c>
      <c r="B10" s="8" t="s">
        <v>64</v>
      </c>
    </row>
    <row r="11" spans="1:30" x14ac:dyDescent="0.2">
      <c r="A11" s="7" t="s">
        <v>63</v>
      </c>
      <c r="B11" s="7" t="s">
        <v>62</v>
      </c>
    </row>
    <row r="12" spans="1:30" x14ac:dyDescent="0.2">
      <c r="A12" s="6" t="s">
        <v>61</v>
      </c>
      <c r="B12" s="6" t="s">
        <v>60</v>
      </c>
    </row>
    <row r="13" spans="1:30" x14ac:dyDescent="0.2">
      <c r="A13" s="6" t="s">
        <v>59</v>
      </c>
      <c r="B13" s="6" t="s">
        <v>58</v>
      </c>
    </row>
    <row r="14" spans="1:30" x14ac:dyDescent="0.2">
      <c r="A14" s="6" t="s">
        <v>57</v>
      </c>
      <c r="B14" s="6" t="s">
        <v>56</v>
      </c>
    </row>
    <row r="15" spans="1:30" x14ac:dyDescent="0.2">
      <c r="A15" s="6" t="s">
        <v>55</v>
      </c>
      <c r="B15" s="6" t="s">
        <v>54</v>
      </c>
    </row>
    <row r="16" spans="1:30" x14ac:dyDescent="0.2">
      <c r="A16" s="6" t="s">
        <v>53</v>
      </c>
      <c r="B16" s="6" t="s">
        <v>52</v>
      </c>
    </row>
    <row r="17" spans="1:2" x14ac:dyDescent="0.2">
      <c r="A17" s="6" t="s">
        <v>51</v>
      </c>
      <c r="B17" s="6" t="s">
        <v>50</v>
      </c>
    </row>
    <row r="18" spans="1:2" x14ac:dyDescent="0.2">
      <c r="A18" s="6" t="s">
        <v>49</v>
      </c>
      <c r="B18" s="6" t="s">
        <v>48</v>
      </c>
    </row>
    <row r="19" spans="1:2" x14ac:dyDescent="0.2">
      <c r="A19" s="6" t="s">
        <v>47</v>
      </c>
      <c r="B19" s="6" t="s">
        <v>46</v>
      </c>
    </row>
    <row r="20" spans="1:2" x14ac:dyDescent="0.2">
      <c r="A20" s="6" t="s">
        <v>45</v>
      </c>
      <c r="B20" s="6" t="s">
        <v>44</v>
      </c>
    </row>
    <row r="21" spans="1:2" x14ac:dyDescent="0.2">
      <c r="A21" s="6" t="s">
        <v>43</v>
      </c>
      <c r="B21" s="6" t="s">
        <v>42</v>
      </c>
    </row>
    <row r="22" spans="1:2" x14ac:dyDescent="0.2">
      <c r="A22" s="6" t="s">
        <v>41</v>
      </c>
      <c r="B22" s="6" t="s">
        <v>40</v>
      </c>
    </row>
    <row r="23" spans="1:2" x14ac:dyDescent="0.2">
      <c r="A23" s="6" t="s">
        <v>39</v>
      </c>
      <c r="B23" s="6" t="s">
        <v>38</v>
      </c>
    </row>
    <row r="24" spans="1:2" x14ac:dyDescent="0.2">
      <c r="A24" s="6" t="s">
        <v>37</v>
      </c>
      <c r="B24" s="6" t="s">
        <v>36</v>
      </c>
    </row>
    <row r="25" spans="1:2" x14ac:dyDescent="0.2">
      <c r="A25" s="6" t="s">
        <v>35</v>
      </c>
      <c r="B25" s="6" t="s">
        <v>34</v>
      </c>
    </row>
    <row r="26" spans="1:2" x14ac:dyDescent="0.2">
      <c r="A26" s="6" t="s">
        <v>33</v>
      </c>
      <c r="B26" s="6" t="s">
        <v>32</v>
      </c>
    </row>
    <row r="27" spans="1:2" x14ac:dyDescent="0.2">
      <c r="A27" s="6" t="s">
        <v>31</v>
      </c>
      <c r="B27" s="6" t="s">
        <v>30</v>
      </c>
    </row>
    <row r="28" spans="1:2" x14ac:dyDescent="0.2">
      <c r="A28" s="6" t="s">
        <v>29</v>
      </c>
      <c r="B28" s="6" t="s">
        <v>28</v>
      </c>
    </row>
    <row r="29" spans="1:2" x14ac:dyDescent="0.2">
      <c r="A29" s="6" t="s">
        <v>27</v>
      </c>
      <c r="B29" s="6" t="s">
        <v>26</v>
      </c>
    </row>
    <row r="30" spans="1:2" x14ac:dyDescent="0.2">
      <c r="A30" s="6" t="s">
        <v>25</v>
      </c>
      <c r="B30" s="6" t="s">
        <v>24</v>
      </c>
    </row>
    <row r="31" spans="1:2" x14ac:dyDescent="0.2">
      <c r="A31" s="6" t="s">
        <v>23</v>
      </c>
      <c r="B31" s="6" t="s">
        <v>22</v>
      </c>
    </row>
    <row r="32" spans="1:2" x14ac:dyDescent="0.2">
      <c r="A32" s="6" t="s">
        <v>21</v>
      </c>
      <c r="B32" s="6" t="s">
        <v>20</v>
      </c>
    </row>
    <row r="33" spans="1:2" x14ac:dyDescent="0.2">
      <c r="A33" s="6" t="s">
        <v>19</v>
      </c>
      <c r="B33" s="6" t="s">
        <v>18</v>
      </c>
    </row>
    <row r="34" spans="1:2" x14ac:dyDescent="0.2">
      <c r="A34" s="6" t="s">
        <v>17</v>
      </c>
      <c r="B34" s="6" t="s">
        <v>16</v>
      </c>
    </row>
    <row r="35" spans="1:2" x14ac:dyDescent="0.2">
      <c r="A35" s="6" t="s">
        <v>15</v>
      </c>
      <c r="B35" s="6" t="s">
        <v>14</v>
      </c>
    </row>
    <row r="36" spans="1:2" x14ac:dyDescent="0.2">
      <c r="A36" s="6" t="s">
        <v>13</v>
      </c>
      <c r="B36" s="6" t="s">
        <v>12</v>
      </c>
    </row>
    <row r="37" spans="1:2" ht="15" x14ac:dyDescent="0.25">
      <c r="A37" s="5" t="s">
        <v>11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4644-E1CE-4A77-88F5-320229FB7B63}">
  <sheetPr codeName="Sheet2">
    <tabColor theme="9" tint="0.39997558519241921"/>
  </sheetPr>
  <dimension ref="A1:M54"/>
  <sheetViews>
    <sheetView tabSelected="1" zoomScale="80" zoomScaleNormal="80" workbookViewId="0">
      <selection activeCell="D6" sqref="D6"/>
    </sheetView>
  </sheetViews>
  <sheetFormatPr defaultRowHeight="12.75" x14ac:dyDescent="0.2"/>
  <cols>
    <col min="1" max="1" width="27.5703125" style="2" customWidth="1"/>
    <col min="2" max="2" width="45.28515625" style="2" customWidth="1"/>
    <col min="3" max="6" width="12.7109375" style="2" customWidth="1"/>
    <col min="7" max="7" width="12.7109375" style="11" customWidth="1"/>
    <col min="8" max="8" width="12.7109375" style="2" customWidth="1"/>
    <col min="9" max="9" width="11.85546875" style="2" customWidth="1"/>
    <col min="10" max="10" width="9.140625" style="2"/>
    <col min="11" max="11" width="20.85546875" style="2" customWidth="1"/>
    <col min="12" max="12" width="9.140625" style="2"/>
    <col min="13" max="13" width="12.85546875" style="2" customWidth="1"/>
    <col min="14" max="16384" width="9.140625" style="2"/>
  </cols>
  <sheetData>
    <row r="1" spans="1:11" ht="21" x14ac:dyDescent="0.2">
      <c r="A1" s="4" t="s">
        <v>73</v>
      </c>
    </row>
    <row r="2" spans="1:11" x14ac:dyDescent="0.2">
      <c r="A2" s="2" t="s">
        <v>74</v>
      </c>
    </row>
    <row r="4" spans="1:11" ht="15" x14ac:dyDescent="0.2">
      <c r="A4" s="1" t="str">
        <f>_xlfn.TEXTJOIN(" ",TRUE,"~UC_Sets: R_E:",_xlfn.TEXTJOIN(",",TRUE,IF(LEFT(Regions!$C$3,1)&lt;&gt;"*",Regions!$C$3,""),IF(LEFT(Regions!$D$3,1)&lt;&gt;"*",Regions!$D$3,"")))</f>
        <v>~UC_Sets: R_E: IE,National</v>
      </c>
      <c r="G4" s="2"/>
    </row>
    <row r="5" spans="1:11" ht="15" x14ac:dyDescent="0.2">
      <c r="A5" s="1" t="s">
        <v>0</v>
      </c>
      <c r="G5" s="2"/>
    </row>
    <row r="6" spans="1:11" ht="15" x14ac:dyDescent="0.2">
      <c r="D6" s="1" t="s">
        <v>72</v>
      </c>
      <c r="G6" s="2"/>
    </row>
    <row r="7" spans="1:11" ht="30.75" thickBot="1" x14ac:dyDescent="0.25">
      <c r="A7" s="46" t="s">
        <v>1</v>
      </c>
      <c r="B7" s="46" t="s">
        <v>5</v>
      </c>
      <c r="C7" s="46" t="s">
        <v>9</v>
      </c>
      <c r="D7" s="46" t="s">
        <v>2</v>
      </c>
      <c r="E7" s="46" t="s">
        <v>3</v>
      </c>
      <c r="F7" s="46">
        <v>2018</v>
      </c>
      <c r="G7" s="46">
        <v>2030</v>
      </c>
      <c r="H7" s="46">
        <v>2070</v>
      </c>
      <c r="I7" s="46" t="s">
        <v>4</v>
      </c>
      <c r="K7" s="3" t="s">
        <v>10</v>
      </c>
    </row>
    <row r="8" spans="1:11" x14ac:dyDescent="0.2">
      <c r="A8" s="2" t="str">
        <f>"UC_RSD_RTFT_"&amp;RIGHT(C8,5)</f>
        <v>UC_RSD_RTFT_Apt_G</v>
      </c>
      <c r="B8" s="2" t="str">
        <f>"Maximum number of deep retrofits from Apartment_" &amp;RIGHT(C8,1)</f>
        <v>Maximum number of deep retrofits from Apartment_G</v>
      </c>
      <c r="C8" s="2" t="s">
        <v>99</v>
      </c>
      <c r="D8" s="2" t="s">
        <v>71</v>
      </c>
      <c r="E8" s="2">
        <v>1</v>
      </c>
      <c r="F8" s="49">
        <f>($E$54*F$29)/1000</f>
        <v>3.042234442534121</v>
      </c>
      <c r="G8" s="49">
        <f>(E54*G$28)/1000</f>
        <v>11.408379159502955</v>
      </c>
      <c r="H8" s="49">
        <f>(H54*H$27)/1000</f>
        <v>12.041696314577493</v>
      </c>
      <c r="I8" s="2">
        <v>5</v>
      </c>
      <c r="K8" s="2" t="s">
        <v>7</v>
      </c>
    </row>
    <row r="9" spans="1:11" x14ac:dyDescent="0.2">
      <c r="A9" s="2" t="str">
        <f t="shared" ref="A9:A12" si="0">"UC_RSD_RTFT_"&amp;RIGHT(C9,5)</f>
        <v>UC_RSD_RTFT_Apt_F</v>
      </c>
      <c r="B9" s="2" t="str">
        <f t="shared" ref="B9:B12" si="1">"Maximum number of deep retrofits from Apartment_" &amp;RIGHT(C9,1)</f>
        <v>Maximum number of deep retrofits from Apartment_F</v>
      </c>
      <c r="C9" s="2" t="s">
        <v>100</v>
      </c>
      <c r="D9" s="2" t="s">
        <v>71</v>
      </c>
      <c r="E9" s="2">
        <v>1</v>
      </c>
      <c r="F9" s="49">
        <f>($E$53*F$29)/1000</f>
        <v>2.4662346453768067</v>
      </c>
      <c r="G9" s="49">
        <f>(E53*G$28)/1000</f>
        <v>9.2483799201630248</v>
      </c>
      <c r="H9" s="49">
        <f>(H53*H$27)/1000</f>
        <v>9.7617883174643403</v>
      </c>
      <c r="I9" s="2">
        <v>5</v>
      </c>
      <c r="K9" s="2" t="s">
        <v>7</v>
      </c>
    </row>
    <row r="10" spans="1:11" x14ac:dyDescent="0.2">
      <c r="A10" s="2" t="str">
        <f t="shared" si="0"/>
        <v>UC_RSD_RTFT_Apt_E</v>
      </c>
      <c r="B10" s="2" t="str">
        <f t="shared" si="1"/>
        <v>Maximum number of deep retrofits from Apartment_E</v>
      </c>
      <c r="C10" s="2" t="s">
        <v>101</v>
      </c>
      <c r="D10" s="2" t="s">
        <v>71</v>
      </c>
      <c r="E10" s="2">
        <v>1</v>
      </c>
      <c r="F10" s="49">
        <f>($E$52*F$29)/1000</f>
        <v>5.153575294552267</v>
      </c>
      <c r="G10" s="49">
        <f>(E52*G$28)/1000</f>
        <v>19.325907354571001</v>
      </c>
      <c r="H10" s="49">
        <f>(H52*H$27)/1000</f>
        <v>20.398752891514416</v>
      </c>
      <c r="I10" s="2">
        <v>5</v>
      </c>
      <c r="K10" s="2" t="s">
        <v>7</v>
      </c>
    </row>
    <row r="11" spans="1:11" x14ac:dyDescent="0.2">
      <c r="A11" s="2" t="str">
        <f t="shared" si="0"/>
        <v>UC_RSD_RTFT_Apt_D</v>
      </c>
      <c r="B11" s="2" t="str">
        <f t="shared" si="1"/>
        <v>Maximum number of deep retrofits from Apartment_D</v>
      </c>
      <c r="C11" s="2" t="s">
        <v>114</v>
      </c>
      <c r="D11" s="2" t="s">
        <v>71</v>
      </c>
      <c r="E11" s="2">
        <v>1</v>
      </c>
      <c r="F11" s="49">
        <f>($E$51*F$29)/1000</f>
        <v>8.7478683298212321</v>
      </c>
      <c r="G11" s="49">
        <f>(E51*G$28)/1000</f>
        <v>32.804506236829617</v>
      </c>
      <c r="H11" s="49">
        <f>(H51*H$27)/1000</f>
        <v>34.62559372639015</v>
      </c>
      <c r="I11" s="2">
        <v>5</v>
      </c>
      <c r="K11" s="2" t="s">
        <v>7</v>
      </c>
    </row>
    <row r="12" spans="1:11" x14ac:dyDescent="0.2">
      <c r="A12" s="2" t="str">
        <f t="shared" si="0"/>
        <v>UC_RSD_RTFT_Apt_C</v>
      </c>
      <c r="B12" s="2" t="str">
        <f t="shared" si="1"/>
        <v>Maximum number of deep retrofits from Apartment_C</v>
      </c>
      <c r="C12" s="2" t="s">
        <v>115</v>
      </c>
      <c r="D12" s="2" t="s">
        <v>71</v>
      </c>
      <c r="E12" s="2">
        <v>1</v>
      </c>
      <c r="F12" s="49">
        <f>($E$50*F$29)/1000</f>
        <v>11.78096068728674</v>
      </c>
      <c r="G12" s="49">
        <f>(E50*G$28)/1000</f>
        <v>44.178602577325279</v>
      </c>
      <c r="H12" s="49">
        <f>(H50*H$27)/1000</f>
        <v>46.6311040684012</v>
      </c>
      <c r="I12" s="2">
        <v>5</v>
      </c>
      <c r="K12" s="2" t="s">
        <v>7</v>
      </c>
    </row>
    <row r="13" spans="1:11" ht="13.5" thickBot="1" x14ac:dyDescent="0.25">
      <c r="A13" s="47" t="str">
        <f>"UC_RSD_RTFT_"&amp;RIGHT(C13,6)</f>
        <v>UC_RSD_RTFT_Apt_B3</v>
      </c>
      <c r="B13" s="47" t="str">
        <f>"Maximum number of deep retrofits from Apartment_" &amp;RIGHT(C13,2)</f>
        <v>Maximum number of deep retrofits from Apartment_B3</v>
      </c>
      <c r="C13" s="47" t="s">
        <v>116</v>
      </c>
      <c r="D13" s="47" t="s">
        <v>71</v>
      </c>
      <c r="E13" s="47">
        <v>1</v>
      </c>
      <c r="F13" s="50">
        <f>($E$49*F$29)/1000</f>
        <v>3.9848960750111653</v>
      </c>
      <c r="G13" s="50">
        <f>(E49*G$28)/1000</f>
        <v>14.943360281291868</v>
      </c>
      <c r="H13" s="50">
        <f>(H49*H$27)/1000</f>
        <v>15.772916021707317</v>
      </c>
      <c r="I13" s="47">
        <v>5</v>
      </c>
      <c r="K13" s="2" t="s">
        <v>7</v>
      </c>
    </row>
    <row r="14" spans="1:11" x14ac:dyDescent="0.2">
      <c r="A14" s="48" t="str">
        <f>"UC_RSD_RTFT_"&amp;RIGHT(C14,5)</f>
        <v>UC_RSD_RTFT_Att_G</v>
      </c>
      <c r="B14" s="48" t="str">
        <f>"Maximum number of deep retrofits from Attached_" &amp;RIGHT(C14,1)</f>
        <v>Maximum number of deep retrofits from Attached_G</v>
      </c>
      <c r="C14" s="48" t="s">
        <v>117</v>
      </c>
      <c r="D14" s="48" t="s">
        <v>71</v>
      </c>
      <c r="E14" s="48">
        <v>1</v>
      </c>
      <c r="F14" s="51">
        <f>($C$54*F$29)/1000</f>
        <v>10.541334878817622</v>
      </c>
      <c r="G14" s="51">
        <f>(C54*G$28)/1000</f>
        <v>39.530005795566083</v>
      </c>
      <c r="H14" s="51">
        <f>(F54*H$27)/1000</f>
        <v>41.724448183963943</v>
      </c>
      <c r="I14" s="48">
        <v>5</v>
      </c>
      <c r="K14" s="2" t="s">
        <v>6</v>
      </c>
    </row>
    <row r="15" spans="1:11" x14ac:dyDescent="0.2">
      <c r="A15" s="2" t="str">
        <f t="shared" ref="A15:A18" si="2">"UC_RSD_RTFT_"&amp;RIGHT(C15,5)</f>
        <v>UC_RSD_RTFT_Att_F</v>
      </c>
      <c r="B15" s="2" t="str">
        <f>"Maximum number of deep retrofits from Attached_" &amp;RIGHT(C15,1)</f>
        <v>Maximum number of deep retrofits from Attached_F</v>
      </c>
      <c r="C15" s="2" t="s">
        <v>118</v>
      </c>
      <c r="D15" s="2" t="s">
        <v>71</v>
      </c>
      <c r="E15" s="2">
        <v>1</v>
      </c>
      <c r="F15" s="49">
        <f>($C$53*F$29)/1000</f>
        <v>10.024761205464234</v>
      </c>
      <c r="G15" s="49">
        <f>(C53*G$28)/1000</f>
        <v>37.592854520490874</v>
      </c>
      <c r="H15" s="49">
        <f>(F53*H$27)/1000</f>
        <v>39.679759184438389</v>
      </c>
      <c r="I15" s="2">
        <v>5</v>
      </c>
      <c r="K15" s="2" t="s">
        <v>6</v>
      </c>
    </row>
    <row r="16" spans="1:11" x14ac:dyDescent="0.2">
      <c r="A16" s="2" t="str">
        <f t="shared" si="2"/>
        <v>UC_RSD_RTFT_Att_E</v>
      </c>
      <c r="B16" s="2" t="str">
        <f>"Maximum number of deep retrofits from Attached_" &amp;RIGHT(C16,1)</f>
        <v>Maximum number of deep retrofits from Attached_E</v>
      </c>
      <c r="C16" s="2" t="s">
        <v>119</v>
      </c>
      <c r="D16" s="2" t="s">
        <v>71</v>
      </c>
      <c r="E16" s="2">
        <v>1</v>
      </c>
      <c r="F16" s="49">
        <f>($C$52*F$29)/1000</f>
        <v>20.283779192369344</v>
      </c>
      <c r="G16" s="49">
        <f>(C52*G$28)/1000</f>
        <v>76.064171971385051</v>
      </c>
      <c r="H16" s="49">
        <f>(F52*H$27)/1000</f>
        <v>80.286747704756522</v>
      </c>
      <c r="I16" s="2">
        <v>5</v>
      </c>
      <c r="K16" s="2" t="s">
        <v>6</v>
      </c>
    </row>
    <row r="17" spans="1:11" x14ac:dyDescent="0.2">
      <c r="A17" s="2" t="str">
        <f t="shared" si="2"/>
        <v>UC_RSD_RTFT_Att_D</v>
      </c>
      <c r="B17" s="2" t="str">
        <f>"Maximum number of deep retrofits from Attached_" &amp;RIGHT(C17,1)</f>
        <v>Maximum number of deep retrofits from Attached_D</v>
      </c>
      <c r="C17" s="2" t="s">
        <v>120</v>
      </c>
      <c r="D17" s="2" t="s">
        <v>71</v>
      </c>
      <c r="E17" s="2">
        <v>1</v>
      </c>
      <c r="F17" s="49">
        <f>($C$51*F$29)/1000</f>
        <v>37.525404475322098</v>
      </c>
      <c r="G17" s="49">
        <f>(C51*G$28)/1000</f>
        <v>140.72026678245786</v>
      </c>
      <c r="H17" s="49">
        <f>(F51*H$27)/1000</f>
        <v>148.53211785910801</v>
      </c>
      <c r="I17" s="2">
        <v>5</v>
      </c>
      <c r="K17" s="2" t="s">
        <v>6</v>
      </c>
    </row>
    <row r="18" spans="1:11" x14ac:dyDescent="0.2">
      <c r="A18" s="2" t="str">
        <f t="shared" si="2"/>
        <v>UC_RSD_RTFT_Att_C</v>
      </c>
      <c r="B18" s="2" t="str">
        <f>"Maximum number of deep retrofits from Attached_" &amp;RIGHT(C18,1)</f>
        <v>Maximum number of deep retrofits from Attached_C</v>
      </c>
      <c r="C18" s="2" t="s">
        <v>121</v>
      </c>
      <c r="D18" s="2" t="s">
        <v>71</v>
      </c>
      <c r="E18" s="2">
        <v>1</v>
      </c>
      <c r="F18" s="49">
        <f>($C$50*F$29)/1000</f>
        <v>56.430305495129602</v>
      </c>
      <c r="G18" s="49">
        <f>(C50*G$28)/1000</f>
        <v>211.61364560673599</v>
      </c>
      <c r="H18" s="49">
        <f>(F50*H$27)/1000</f>
        <v>223.3610244531846</v>
      </c>
      <c r="I18" s="2">
        <v>5</v>
      </c>
      <c r="K18" s="2" t="s">
        <v>6</v>
      </c>
    </row>
    <row r="19" spans="1:11" ht="13.5" thickBot="1" x14ac:dyDescent="0.25">
      <c r="A19" s="47" t="str">
        <f>"UC_RSD_RTFT_"&amp;RIGHT(C19,6)</f>
        <v>UC_RSD_RTFT_Att_B3</v>
      </c>
      <c r="B19" s="47" t="str">
        <f>"Maximum number of deep retrofits from Attached_" &amp;RIGHT(C19,2)</f>
        <v>Maximum number of deep retrofits from Attached_B3</v>
      </c>
      <c r="C19" s="47" t="s">
        <v>122</v>
      </c>
      <c r="D19" s="47" t="s">
        <v>71</v>
      </c>
      <c r="E19" s="47">
        <v>1</v>
      </c>
      <c r="F19" s="50">
        <f>($C$49*F$29)/1000</f>
        <v>9.9537699371858963</v>
      </c>
      <c r="G19" s="50">
        <f>(C49*G$28)/1000</f>
        <v>37.326637264447108</v>
      </c>
      <c r="H19" s="50">
        <f>(F49*H$27)/1000</f>
        <v>39.398763321120782</v>
      </c>
      <c r="I19" s="47">
        <v>5</v>
      </c>
      <c r="K19" s="2" t="s">
        <v>6</v>
      </c>
    </row>
    <row r="20" spans="1:11" x14ac:dyDescent="0.2">
      <c r="A20" s="48" t="str">
        <f>"UC_RSD_RTFT_"&amp;RIGHT(C20,5)</f>
        <v>UC_RSD_RTFT_Det_G</v>
      </c>
      <c r="B20" s="48" t="str">
        <f>"Maximum number of deep retrofits from Detached_" &amp;RIGHT(C20,1)</f>
        <v>Maximum number of deep retrofits from Detached_G</v>
      </c>
      <c r="C20" s="48" t="s">
        <v>123</v>
      </c>
      <c r="D20" s="48" t="s">
        <v>71</v>
      </c>
      <c r="E20" s="48">
        <v>1</v>
      </c>
      <c r="F20" s="51">
        <f>($D$54*F$29)/1000</f>
        <v>15.687106688620966</v>
      </c>
      <c r="G20" s="51">
        <f>(D54*G$28)/1000</f>
        <v>58.826650082328619</v>
      </c>
      <c r="H20" s="51">
        <f>(G54*H$27)/1000</f>
        <v>62.092313517232284</v>
      </c>
      <c r="I20" s="48">
        <v>5</v>
      </c>
      <c r="K20" s="2" t="s">
        <v>8</v>
      </c>
    </row>
    <row r="21" spans="1:11" x14ac:dyDescent="0.2">
      <c r="A21" s="2" t="str">
        <f t="shared" ref="A21:A24" si="3">"UC_RSD_RTFT_"&amp;RIGHT(C21,5)</f>
        <v>UC_RSD_RTFT_Det_F</v>
      </c>
      <c r="B21" s="2" t="str">
        <f>"Maximum number of deep retrofits from Detached_" &amp;RIGHT(C21,1)</f>
        <v>Maximum number of deep retrofits from Detached_F</v>
      </c>
      <c r="C21" s="2" t="s">
        <v>124</v>
      </c>
      <c r="D21" s="2" t="s">
        <v>71</v>
      </c>
      <c r="E21" s="2">
        <v>1</v>
      </c>
      <c r="F21" s="49">
        <f>($D$53*F$29)/1000</f>
        <v>8.6482011525934226</v>
      </c>
      <c r="G21" s="49">
        <f>(D53*G$28)/1000</f>
        <v>32.43075432222534</v>
      </c>
      <c r="H21" s="49">
        <f>(G53*H$27)/1000</f>
        <v>34.23109359716647</v>
      </c>
      <c r="I21" s="2">
        <v>5</v>
      </c>
      <c r="K21" s="2" t="s">
        <v>8</v>
      </c>
    </row>
    <row r="22" spans="1:11" x14ac:dyDescent="0.2">
      <c r="A22" s="2" t="str">
        <f t="shared" si="3"/>
        <v>UC_RSD_RTFT_Det_E</v>
      </c>
      <c r="B22" s="2" t="str">
        <f>"Maximum number of deep retrofits from Detached_" &amp;RIGHT(C22,1)</f>
        <v>Maximum number of deep retrofits from Detached_E</v>
      </c>
      <c r="C22" s="2" t="s">
        <v>125</v>
      </c>
      <c r="D22" s="2" t="s">
        <v>71</v>
      </c>
      <c r="E22" s="2">
        <v>1</v>
      </c>
      <c r="F22" s="49">
        <f>($D$52*F$29)/1000</f>
        <v>16.279339597911104</v>
      </c>
      <c r="G22" s="49">
        <f>(D52*G$28)/1000</f>
        <v>61.047523492166633</v>
      </c>
      <c r="H22" s="49">
        <f>(G52*H$27)/1000</f>
        <v>64.436475012961779</v>
      </c>
      <c r="I22" s="2">
        <v>5</v>
      </c>
      <c r="K22" s="2" t="s">
        <v>8</v>
      </c>
    </row>
    <row r="23" spans="1:11" x14ac:dyDescent="0.2">
      <c r="A23" s="2" t="str">
        <f t="shared" si="3"/>
        <v>UC_RSD_RTFT_Det_D</v>
      </c>
      <c r="B23" s="2" t="str">
        <f>"Maximum number of deep retrofits from Detached_" &amp;RIGHT(C23,1)</f>
        <v>Maximum number of deep retrofits from Detached_D</v>
      </c>
      <c r="C23" s="2" t="s">
        <v>126</v>
      </c>
      <c r="D23" s="2" t="s">
        <v>71</v>
      </c>
      <c r="E23" s="2">
        <v>1</v>
      </c>
      <c r="F23" s="49">
        <f>($D$51*F$29)/1000</f>
        <v>33.333558282558243</v>
      </c>
      <c r="G23" s="49">
        <f>(D51*G$28)/1000</f>
        <v>125.00084355959343</v>
      </c>
      <c r="H23" s="49">
        <f>(G51*H$27)/1000</f>
        <v>131.94005705506501</v>
      </c>
      <c r="I23" s="2">
        <v>5</v>
      </c>
      <c r="K23" s="2" t="s">
        <v>8</v>
      </c>
    </row>
    <row r="24" spans="1:11" x14ac:dyDescent="0.2">
      <c r="A24" s="2" t="str">
        <f t="shared" si="3"/>
        <v>UC_RSD_RTFT_Det_C</v>
      </c>
      <c r="B24" s="2" t="str">
        <f>"Maximum number of deep retrofits from Detached_" &amp;RIGHT(C24,1)</f>
        <v>Maximum number of deep retrofits from Detached_C</v>
      </c>
      <c r="C24" s="2" t="s">
        <v>127</v>
      </c>
      <c r="D24" s="2" t="s">
        <v>71</v>
      </c>
      <c r="E24" s="2">
        <v>1</v>
      </c>
      <c r="F24" s="49">
        <f>($D$50*F$29)/1000</f>
        <v>50.263786722748698</v>
      </c>
      <c r="G24" s="49">
        <f>(D50*G$28)/1000</f>
        <v>188.48920021030762</v>
      </c>
      <c r="H24" s="49">
        <f>(G50*H$27)/1000</f>
        <v>198.9528640113158</v>
      </c>
      <c r="I24" s="2">
        <v>5</v>
      </c>
      <c r="K24" s="2" t="s">
        <v>8</v>
      </c>
    </row>
    <row r="25" spans="1:11" ht="13.5" thickBot="1" x14ac:dyDescent="0.25">
      <c r="A25" s="47" t="str">
        <f>"UC_RSD_RTFT_"&amp;RIGHT(C25,6)</f>
        <v>UC_RSD_RTFT_Det_B3</v>
      </c>
      <c r="B25" s="47" t="str">
        <f>"Maximum number of deep retrofits from Detached_" &amp;RIGHT(C25,2)</f>
        <v>Maximum number of deep retrofits from Detached_B3</v>
      </c>
      <c r="C25" s="47" t="s">
        <v>128</v>
      </c>
      <c r="D25" s="47" t="s">
        <v>71</v>
      </c>
      <c r="E25" s="47">
        <v>1</v>
      </c>
      <c r="F25" s="50">
        <f>($D$49*F$29)/1000</f>
        <v>10.693242008796334</v>
      </c>
      <c r="G25" s="50">
        <f>(D49*G$28)/1000</f>
        <v>40.099657532986257</v>
      </c>
      <c r="H25" s="50">
        <f>(G49*H$27)/1000</f>
        <v>42.32572318816743</v>
      </c>
      <c r="I25" s="47">
        <v>5</v>
      </c>
      <c r="K25" s="2" t="s">
        <v>8</v>
      </c>
    </row>
    <row r="26" spans="1:11" ht="13.5" thickBot="1" x14ac:dyDescent="0.25"/>
    <row r="27" spans="1:11" ht="20.100000000000001" customHeight="1" thickBot="1" x14ac:dyDescent="0.25">
      <c r="C27" s="60" t="s">
        <v>96</v>
      </c>
      <c r="D27" s="61"/>
      <c r="E27" s="62"/>
      <c r="G27" s="2"/>
      <c r="H27" s="28">
        <v>0.95</v>
      </c>
    </row>
    <row r="28" spans="1:11" ht="20.100000000000001" customHeight="1" thickBot="1" x14ac:dyDescent="0.25">
      <c r="C28" s="63" t="s">
        <v>97</v>
      </c>
      <c r="D28" s="64"/>
      <c r="E28" s="65"/>
      <c r="G28" s="28">
        <v>0.75</v>
      </c>
    </row>
    <row r="29" spans="1:11" ht="20.100000000000001" customHeight="1" thickBot="1" x14ac:dyDescent="0.25">
      <c r="C29" s="66" t="s">
        <v>98</v>
      </c>
      <c r="D29" s="67"/>
      <c r="E29" s="68"/>
      <c r="F29" s="29">
        <v>0.2</v>
      </c>
      <c r="G29" s="2"/>
    </row>
    <row r="30" spans="1:11" x14ac:dyDescent="0.2">
      <c r="F30" s="55">
        <f>SUM(F8:F25)</f>
        <v>314.84035911209992</v>
      </c>
      <c r="G30" s="55">
        <f>SUM(G8:G25)</f>
        <v>1180.6513466703743</v>
      </c>
      <c r="H30" s="55">
        <f>SUM(H8:H25)</f>
        <v>1246.1932384285358</v>
      </c>
    </row>
    <row r="32" spans="1:11" ht="15" x14ac:dyDescent="0.2">
      <c r="D32" s="1" t="s">
        <v>136</v>
      </c>
      <c r="G32" s="2"/>
    </row>
    <row r="33" spans="1:13" ht="30.75" thickBot="1" x14ac:dyDescent="0.25">
      <c r="A33" s="46" t="s">
        <v>1</v>
      </c>
      <c r="B33" s="46" t="s">
        <v>5</v>
      </c>
      <c r="C33" s="46" t="s">
        <v>9</v>
      </c>
      <c r="D33" s="46" t="s">
        <v>2</v>
      </c>
      <c r="E33" s="46" t="s">
        <v>3</v>
      </c>
      <c r="F33" s="46">
        <v>2018</v>
      </c>
      <c r="G33" s="46">
        <v>2030</v>
      </c>
      <c r="H33" s="46">
        <v>2070</v>
      </c>
      <c r="I33" s="46" t="s">
        <v>4</v>
      </c>
    </row>
    <row r="34" spans="1:13" x14ac:dyDescent="0.2">
      <c r="A34" s="2" t="str">
        <f>"UC_RSD_RTFT_Apt"</f>
        <v>UC_RSD_RTFT_Apt</v>
      </c>
      <c r="B34" s="2" t="str">
        <f>"Minimum number of deep retrofits from Apartments"</f>
        <v>Minimum number of deep retrofits from Apartments</v>
      </c>
      <c r="C34" s="2" t="s">
        <v>133</v>
      </c>
      <c r="D34" s="2" t="s">
        <v>129</v>
      </c>
      <c r="E34" s="2">
        <v>1</v>
      </c>
      <c r="F34" s="49">
        <f>(SUM($E$49:$E$54)*F$40)/1000</f>
        <v>0</v>
      </c>
      <c r="G34" s="49">
        <f>(SUM($E$49:$E$54)*G$39)/1000</f>
        <v>17.587884737291166</v>
      </c>
      <c r="H34" s="49">
        <f>(SUM($H$49:$H$54)*H$38)/1000</f>
        <v>36.639960878961823</v>
      </c>
      <c r="I34" s="2">
        <v>1</v>
      </c>
    </row>
    <row r="35" spans="1:13" x14ac:dyDescent="0.2">
      <c r="A35" s="2" t="str">
        <f>"UC_RSD_RTFT_Att"</f>
        <v>UC_RSD_RTFT_Att</v>
      </c>
      <c r="B35" s="2" t="str">
        <f>"Minimum number of deep retrofits from Attached"</f>
        <v>Minimum number of deep retrofits from Attached</v>
      </c>
      <c r="C35" s="2" t="s">
        <v>134</v>
      </c>
      <c r="D35" s="2" t="s">
        <v>129</v>
      </c>
      <c r="E35" s="2">
        <v>1</v>
      </c>
      <c r="F35" s="49">
        <f>(SUM($C$49:$C$54)*F$40)/1000</f>
        <v>0</v>
      </c>
      <c r="G35" s="49">
        <f>(SUM($C$49:$C$54)*G$39)/1000</f>
        <v>72.37967759214439</v>
      </c>
      <c r="H35" s="49">
        <f>(SUM($F$49:$F$54)*H$38)/1000</f>
        <v>150.78496334383479</v>
      </c>
      <c r="I35" s="2">
        <v>1</v>
      </c>
    </row>
    <row r="36" spans="1:13" x14ac:dyDescent="0.2">
      <c r="A36" s="2" t="str">
        <f>"UC_RSD_RTFT_Det"</f>
        <v>UC_RSD_RTFT_Det</v>
      </c>
      <c r="B36" s="2" t="str">
        <f>"Minimum number of deep retrofits from Detached"</f>
        <v>Minimum number of deep retrofits from Detached</v>
      </c>
      <c r="C36" s="2" t="s">
        <v>135</v>
      </c>
      <c r="D36" s="2" t="s">
        <v>129</v>
      </c>
      <c r="E36" s="2">
        <v>1</v>
      </c>
      <c r="F36" s="49">
        <f>(SUM($D$49:$D$54)*F$40)/1000</f>
        <v>0</v>
      </c>
      <c r="G36" s="49">
        <f>(SUM($D$49:$D$54)*G$39)/1000</f>
        <v>67.452617226614393</v>
      </c>
      <c r="H36" s="49">
        <f>(SUM($G$49:$G$54)*H$38)/1000</f>
        <v>140.52066483734444</v>
      </c>
      <c r="I36" s="2">
        <v>1</v>
      </c>
    </row>
    <row r="37" spans="1:13" ht="13.5" thickBot="1" x14ac:dyDescent="0.25">
      <c r="F37" s="49"/>
      <c r="G37" s="49"/>
      <c r="H37" s="49"/>
    </row>
    <row r="38" spans="1:13" ht="15.75" thickBot="1" x14ac:dyDescent="0.25">
      <c r="C38" s="60" t="s">
        <v>130</v>
      </c>
      <c r="D38" s="61"/>
      <c r="E38" s="62"/>
      <c r="G38" s="2"/>
      <c r="H38" s="28">
        <v>0.25</v>
      </c>
    </row>
    <row r="39" spans="1:13" ht="15.75" thickBot="1" x14ac:dyDescent="0.25">
      <c r="C39" s="63" t="s">
        <v>131</v>
      </c>
      <c r="D39" s="64"/>
      <c r="E39" s="65"/>
      <c r="G39" s="28">
        <v>0.1</v>
      </c>
    </row>
    <row r="40" spans="1:13" ht="15.75" thickBot="1" x14ac:dyDescent="0.25">
      <c r="C40" s="66" t="s">
        <v>132</v>
      </c>
      <c r="D40" s="67"/>
      <c r="E40" s="68"/>
      <c r="F40" s="29">
        <v>0</v>
      </c>
      <c r="G40" s="2"/>
    </row>
    <row r="41" spans="1:13" x14ac:dyDescent="0.2">
      <c r="F41" s="55">
        <f>SUM(F34:F37)</f>
        <v>0</v>
      </c>
      <c r="G41" s="55">
        <f>SUM(G34:G36)</f>
        <v>157.42017955604996</v>
      </c>
      <c r="H41" s="55">
        <f>SUM(H34:H37)</f>
        <v>327.94558906014106</v>
      </c>
    </row>
    <row r="42" spans="1:13" ht="13.5" thickBot="1" x14ac:dyDescent="0.25">
      <c r="G42" s="2"/>
    </row>
    <row r="43" spans="1:13" ht="15.75" thickBot="1" x14ac:dyDescent="0.25">
      <c r="B43" s="69" t="s">
        <v>102</v>
      </c>
      <c r="C43" s="70"/>
      <c r="D43" s="70"/>
      <c r="E43" s="70"/>
      <c r="F43" s="70"/>
      <c r="G43" s="70"/>
      <c r="H43" s="71"/>
      <c r="K43" s="72" t="s">
        <v>113</v>
      </c>
      <c r="L43" s="73"/>
      <c r="M43" s="74"/>
    </row>
    <row r="44" spans="1:13" ht="15.75" thickBot="1" x14ac:dyDescent="0.25">
      <c r="B44" s="30"/>
      <c r="C44" s="69">
        <v>2018</v>
      </c>
      <c r="D44" s="70"/>
      <c r="E44" s="71"/>
      <c r="F44" s="60">
        <v>2070</v>
      </c>
      <c r="G44" s="61"/>
      <c r="H44" s="62"/>
      <c r="K44" s="75">
        <v>0.83330000000000004</v>
      </c>
      <c r="L44" s="76"/>
      <c r="M44" s="77"/>
    </row>
    <row r="45" spans="1:13" ht="15.75" thickBot="1" x14ac:dyDescent="0.25">
      <c r="B45" s="43" t="s">
        <v>112</v>
      </c>
      <c r="C45" s="44" t="s">
        <v>75</v>
      </c>
      <c r="D45" s="44" t="s">
        <v>76</v>
      </c>
      <c r="E45" s="44" t="s">
        <v>77</v>
      </c>
      <c r="F45" s="44" t="s">
        <v>75</v>
      </c>
      <c r="G45" s="44" t="s">
        <v>76</v>
      </c>
      <c r="H45" s="45" t="s">
        <v>77</v>
      </c>
    </row>
    <row r="46" spans="1:13" ht="15" x14ac:dyDescent="0.2">
      <c r="B46" s="31" t="s">
        <v>103</v>
      </c>
      <c r="C46" s="52">
        <v>37224.073727176743</v>
      </c>
      <c r="D46" s="52">
        <v>31387.706337556119</v>
      </c>
      <c r="E46" s="52">
        <v>14540.898856806734</v>
      </c>
      <c r="F46" s="32">
        <f>C46*$K$44</f>
        <v>31018.820636856381</v>
      </c>
      <c r="G46" s="32">
        <f>D46*$K$44</f>
        <v>26155.375691085515</v>
      </c>
      <c r="H46" s="37">
        <f>E46*$K$44</f>
        <v>12116.931017377052</v>
      </c>
    </row>
    <row r="47" spans="1:13" ht="15" x14ac:dyDescent="0.2">
      <c r="B47" s="33" t="s">
        <v>104</v>
      </c>
      <c r="C47" s="53">
        <v>9537.7783975583752</v>
      </c>
      <c r="D47" s="53">
        <v>9433.9012004747347</v>
      </c>
      <c r="E47" s="53">
        <v>7459.2913438514906</v>
      </c>
      <c r="F47" s="34">
        <f t="shared" ref="F47:F54" si="4">C47*$K$44</f>
        <v>7947.8307386853949</v>
      </c>
      <c r="G47" s="34">
        <f t="shared" ref="G47:G54" si="5">D47*$K$44</f>
        <v>7861.269870355597</v>
      </c>
      <c r="H47" s="38">
        <f t="shared" ref="H47:H54" si="6">E47*$K$44</f>
        <v>6215.8274768314477</v>
      </c>
    </row>
    <row r="48" spans="1:13" ht="15" x14ac:dyDescent="0.2">
      <c r="B48" s="35" t="s">
        <v>105</v>
      </c>
      <c r="C48" s="54">
        <v>17545.09295382088</v>
      </c>
      <c r="D48" s="54">
        <v>20090.949195825138</v>
      </c>
      <c r="E48" s="54">
        <v>14041.847426430093</v>
      </c>
      <c r="F48" s="36">
        <f t="shared" si="4"/>
        <v>14620.32595841894</v>
      </c>
      <c r="G48" s="36">
        <f t="shared" si="5"/>
        <v>16741.787964881089</v>
      </c>
      <c r="H48" s="39">
        <f t="shared" si="6"/>
        <v>11701.071460444196</v>
      </c>
    </row>
    <row r="49" spans="2:8" ht="15" x14ac:dyDescent="0.2">
      <c r="B49" s="33" t="s">
        <v>106</v>
      </c>
      <c r="C49" s="53">
        <v>49768.849685929476</v>
      </c>
      <c r="D49" s="53">
        <v>53466.210043981671</v>
      </c>
      <c r="E49" s="53">
        <v>19924.480375055824</v>
      </c>
      <c r="F49" s="34">
        <f t="shared" si="4"/>
        <v>41472.382443285031</v>
      </c>
      <c r="G49" s="34">
        <f t="shared" si="5"/>
        <v>44553.392829649929</v>
      </c>
      <c r="H49" s="38">
        <f t="shared" si="6"/>
        <v>16603.069496534019</v>
      </c>
    </row>
    <row r="50" spans="2:8" ht="15" x14ac:dyDescent="0.2">
      <c r="B50" s="35" t="s">
        <v>107</v>
      </c>
      <c r="C50" s="54">
        <v>282151.52747564798</v>
      </c>
      <c r="D50" s="54">
        <v>251318.93361374349</v>
      </c>
      <c r="E50" s="54">
        <v>58904.8034364337</v>
      </c>
      <c r="F50" s="36">
        <f t="shared" si="4"/>
        <v>235116.86784545748</v>
      </c>
      <c r="G50" s="36">
        <f t="shared" si="5"/>
        <v>209424.06738033245</v>
      </c>
      <c r="H50" s="39">
        <f t="shared" si="6"/>
        <v>49085.372703580208</v>
      </c>
    </row>
    <row r="51" spans="2:8" ht="15" x14ac:dyDescent="0.2">
      <c r="B51" s="33" t="s">
        <v>108</v>
      </c>
      <c r="C51" s="53">
        <v>187627.02237661046</v>
      </c>
      <c r="D51" s="53">
        <v>166667.79141279124</v>
      </c>
      <c r="E51" s="53">
        <v>43739.341649106158</v>
      </c>
      <c r="F51" s="34">
        <f t="shared" si="4"/>
        <v>156349.5977464295</v>
      </c>
      <c r="G51" s="34">
        <f t="shared" si="5"/>
        <v>138884.27058427894</v>
      </c>
      <c r="H51" s="38">
        <f t="shared" si="6"/>
        <v>36447.99339620016</v>
      </c>
    </row>
    <row r="52" spans="2:8" ht="15" x14ac:dyDescent="0.2">
      <c r="B52" s="35" t="s">
        <v>109</v>
      </c>
      <c r="C52" s="54">
        <v>101418.89596184672</v>
      </c>
      <c r="D52" s="54">
        <v>81396.697989555512</v>
      </c>
      <c r="E52" s="54">
        <v>25767.876472761334</v>
      </c>
      <c r="F52" s="36">
        <f t="shared" si="4"/>
        <v>84512.366005006872</v>
      </c>
      <c r="G52" s="36">
        <f t="shared" si="5"/>
        <v>67827.868434696618</v>
      </c>
      <c r="H52" s="39">
        <f t="shared" si="6"/>
        <v>21472.371464752021</v>
      </c>
    </row>
    <row r="53" spans="2:8" ht="15" x14ac:dyDescent="0.2">
      <c r="B53" s="33" t="s">
        <v>110</v>
      </c>
      <c r="C53" s="53">
        <v>50123.806027321167</v>
      </c>
      <c r="D53" s="53">
        <v>43241.005762967114</v>
      </c>
      <c r="E53" s="53">
        <v>12331.173226884033</v>
      </c>
      <c r="F53" s="34">
        <f t="shared" si="4"/>
        <v>41768.167562566727</v>
      </c>
      <c r="G53" s="34">
        <f t="shared" si="5"/>
        <v>36032.730102280497</v>
      </c>
      <c r="H53" s="38">
        <f t="shared" si="6"/>
        <v>10275.566649962466</v>
      </c>
    </row>
    <row r="54" spans="2:8" ht="15.75" thickBot="1" x14ac:dyDescent="0.25">
      <c r="B54" s="40" t="s">
        <v>111</v>
      </c>
      <c r="C54" s="56">
        <v>52706.674394088106</v>
      </c>
      <c r="D54" s="56">
        <v>78435.533443104825</v>
      </c>
      <c r="E54" s="56">
        <v>15211.172212670604</v>
      </c>
      <c r="F54" s="41">
        <f t="shared" si="4"/>
        <v>43920.471772593621</v>
      </c>
      <c r="G54" s="41">
        <f t="shared" si="5"/>
        <v>65360.330018139255</v>
      </c>
      <c r="H54" s="42">
        <f t="shared" si="6"/>
        <v>12675.469804818415</v>
      </c>
    </row>
  </sheetData>
  <mergeCells count="11">
    <mergeCell ref="K43:M43"/>
    <mergeCell ref="K44:M44"/>
    <mergeCell ref="C38:E38"/>
    <mergeCell ref="C39:E39"/>
    <mergeCell ref="C40:E40"/>
    <mergeCell ref="C27:E27"/>
    <mergeCell ref="C28:E28"/>
    <mergeCell ref="C29:E29"/>
    <mergeCell ref="C44:E44"/>
    <mergeCell ref="F44:H44"/>
    <mergeCell ref="B43:H43"/>
  </mergeCells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Regions</vt:lpstr>
      <vt:lpstr>UC unit boilers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Chiodi</dc:creator>
  <cp:lastModifiedBy>Bakytzhan Suleimenov</cp:lastModifiedBy>
  <dcterms:created xsi:type="dcterms:W3CDTF">2021-02-15T14:16:00Z</dcterms:created>
  <dcterms:modified xsi:type="dcterms:W3CDTF">2025-10-21T20:48:31Z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22346138954162</vt:r8>
  </property>
</Properties>
</file>