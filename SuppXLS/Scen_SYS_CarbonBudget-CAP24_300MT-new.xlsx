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4C7E6F1F-0F72-4325-A74A-1229E4EAE511}" xr6:coauthVersionLast="47" xr6:coauthVersionMax="47" xr10:uidLastSave="{00000000-0000-0000-0000-000000000000}"/>
  <bookViews>
    <workbookView xWindow="3550" yWindow="14290" windowWidth="19420" windowHeight="103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1" l="1"/>
  <c r="C8" i="21"/>
  <c r="C9" i="21"/>
  <c r="C10" i="21"/>
  <c r="C11" i="21"/>
  <c r="C12" i="21"/>
  <c r="C13" i="21"/>
  <c r="C14" i="21"/>
  <c r="C7" i="22"/>
  <c r="C8" i="22"/>
  <c r="C9" i="22"/>
  <c r="C10" i="22"/>
  <c r="C11" i="22"/>
  <c r="C12" i="22"/>
  <c r="C13" i="22"/>
  <c r="C14" i="22"/>
  <c r="B9" i="21"/>
  <c r="D7" i="20"/>
  <c r="C7" i="20"/>
  <c r="D24" i="20"/>
  <c r="F24" i="20" s="1"/>
  <c r="E7" i="20" s="1"/>
  <c r="E24" i="20"/>
  <c r="D4" i="20" l="1"/>
  <c r="B9" i="22" s="1"/>
  <c r="K11" i="21"/>
  <c r="J14" i="22"/>
  <c r="F14" i="22"/>
  <c r="E14" i="22"/>
  <c r="D14" i="22"/>
  <c r="L13" i="22"/>
  <c r="K13" i="22"/>
  <c r="I13" i="22"/>
  <c r="H13" i="22"/>
  <c r="G13" i="22"/>
  <c r="F13" i="22"/>
  <c r="D13" i="22"/>
  <c r="B13" i="22"/>
  <c r="J12" i="22"/>
  <c r="F12" i="22"/>
  <c r="E12" i="22"/>
  <c r="D12" i="22"/>
  <c r="I11" i="22"/>
  <c r="H11" i="22"/>
  <c r="G11" i="22"/>
  <c r="F11" i="22"/>
  <c r="D11" i="22"/>
  <c r="J10" i="22"/>
  <c r="F10" i="22"/>
  <c r="E10" i="22"/>
  <c r="D10" i="22"/>
  <c r="K9" i="22"/>
  <c r="I9" i="22"/>
  <c r="H9" i="22"/>
  <c r="G9" i="22"/>
  <c r="F9" i="22"/>
  <c r="D9" i="22"/>
  <c r="J8" i="22"/>
  <c r="F8" i="22"/>
  <c r="E8" i="22"/>
  <c r="D8" i="22"/>
  <c r="K7" i="22"/>
  <c r="I7" i="22"/>
  <c r="H7" i="22"/>
  <c r="G7" i="22"/>
  <c r="F7" i="22"/>
  <c r="D7" i="22"/>
  <c r="J14" i="21"/>
  <c r="F14" i="21"/>
  <c r="E14" i="21"/>
  <c r="D14" i="21"/>
  <c r="L13" i="21"/>
  <c r="K13" i="21"/>
  <c r="I13" i="21"/>
  <c r="H13" i="21"/>
  <c r="G13" i="21"/>
  <c r="F13" i="21"/>
  <c r="D13" i="21"/>
  <c r="B13" i="21"/>
  <c r="J12" i="21"/>
  <c r="F12" i="21"/>
  <c r="E12" i="21"/>
  <c r="D12" i="21"/>
  <c r="I11" i="21"/>
  <c r="H11" i="21"/>
  <c r="G11" i="21"/>
  <c r="F11" i="21"/>
  <c r="D11" i="21"/>
  <c r="J10" i="21"/>
  <c r="F10" i="21"/>
  <c r="E10" i="21"/>
  <c r="D10" i="21"/>
  <c r="K9" i="21"/>
  <c r="I9" i="21"/>
  <c r="H9" i="21"/>
  <c r="G9" i="21"/>
  <c r="F9" i="21"/>
  <c r="D9" i="21"/>
  <c r="J8" i="21"/>
  <c r="F8" i="21"/>
  <c r="E8" i="21"/>
  <c r="D8" i="21"/>
  <c r="K7" i="21"/>
  <c r="I7" i="21"/>
  <c r="H7" i="21"/>
  <c r="G7" i="21"/>
  <c r="F7" i="21"/>
  <c r="D7" i="21"/>
  <c r="F4" i="20"/>
  <c r="F5" i="20"/>
  <c r="D5" i="20"/>
  <c r="L9" i="22" s="1"/>
  <c r="E5" i="20"/>
  <c r="L11" i="21" s="1"/>
  <c r="C5" i="20"/>
  <c r="L7" i="21" s="1"/>
  <c r="C4" i="20"/>
  <c r="B7" i="21" s="1"/>
  <c r="E4" i="20" l="1"/>
  <c r="K11" i="22"/>
  <c r="L11" i="22"/>
  <c r="L9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 s="1"/>
  <c r="F3" i="15" a="1"/>
  <c r="F3" i="15"/>
  <c r="Z3" i="15" a="1"/>
  <c r="Z3" i="15" s="1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 s="1"/>
  <c r="F6" i="15"/>
  <c r="N6" i="15"/>
  <c r="V6" i="15"/>
  <c r="AD6" i="15"/>
  <c r="J7" i="15"/>
  <c r="R7" i="15"/>
  <c r="Z7" i="15"/>
  <c r="G6" i="15"/>
  <c r="O6" i="15"/>
  <c r="W6" i="15"/>
  <c r="G3" i="23" l="1"/>
  <c r="B2" i="21"/>
  <c r="H4" i="21" s="1"/>
  <c r="B2" i="22"/>
  <c r="H4" i="22" s="1"/>
  <c r="H3" i="23"/>
  <c r="B11" i="22"/>
  <c r="B1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<sst xmlns="http://schemas.openxmlformats.org/spreadsheetml/2006/main" count="191" uniqueCount="124">
  <si>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</si>
  <si>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</si>
  <si>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</si>
  <si>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</si>
  <si>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</si>
  <si>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</si>
  <si>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</si>
  <si>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</si>
  <si>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</si>
  <si>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</si>
  <si>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</si>
  <si>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</si>
  <si>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</si>
  <si>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</si>
  <si>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</si>
  <si>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</si>
  <si>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</si>
  <si>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</si>
  <si>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</si>
  <si>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</si>
  <si>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</si>
  <si>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</si>
  <si>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</si>
  <si>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</si>
  <si>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</si>
  <si>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</si>
  <si>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</si>
  <si>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</si>
  <si>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</si>
  <si>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</si>
  <si>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</si>
  <si>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</si>
  <si>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</si>
  <si>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</si>
  <si>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</si>
  <si>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</si>
  <si>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</si>
  <si>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</si>
  <si>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</si>
  <si>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</si>
  <si>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</si>
  <si>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</si>
  <si>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</si>
  <si>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</si>
  <si>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</si>
  <si>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</si>
  <si>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</si>
  <si>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</si>
  <si>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</si>
  <si>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</si>
  <si>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</si>
  <si>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</si>
  <si>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</si>
  <si>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</si>
  <si>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</si>
  <si>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</si>
  <si>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</si>
  <si>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</si>
  <si>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</si>
  <si>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</si>
  <si>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</si>
  <si>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</si>
  <si>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</si>
  <si>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</si>
  <si>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</si>
  <si>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</si>
  <si>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</si>
  <si>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</si>
  <si>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</si>
  <si>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</si>
  <si>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</si>
  <si>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</si>
  <si>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</si>
  <si>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</si>
  <si>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</si>
  <si>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</si>
  <si>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</si>
  <si>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</si>
  <si>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</si>
  <si>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</si>
  <si>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</si>
  <si>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</si>
  <si>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</si>
  <si>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</si>
  <si>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</si>
  <si>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</si>
  <si>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</si>
  <si>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</si>
  <si>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</si>
  <si>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</si>
  <si>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</si>
  <si>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</si>
  <si>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</si>
  <si>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</si>
  <si>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</si>
  <si>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</si>
  <si>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</si>
  <si>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</si>
  <si>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</si>
  <si>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</si>
  <si>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</si>
  <si>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</si>
  <si>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</si>
  <si>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</si>
  <si>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</si>
  <si>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</si>
  <si>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</si>
  <si>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</si>
  <si>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</si>
  <si>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</si>
  <si>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</si>
  <si>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</si>
  <si>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</si>
  <si>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</si>
  <si>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</si>
  <si>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</si>
  <si>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</si>
  <si>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</si>
  <si>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</si>
  <si>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</si>
  <si>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UC_Sets: T_S:</t>
  </si>
  <si>
    <t>2021-2030</t>
  </si>
  <si>
    <t>2021-2050</t>
  </si>
  <si>
    <t>-T-NAV*,-T-A*INT*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</si>
</sst>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2030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45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  <xf numFmtId="0" fontId="0" fillId="0" borderId="0" xfId="0" quotePrefix="1"/>
  </cellXfs>
  <cellStyles count="2030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10 2" xfId="1793" xr:uid="{0C8663BE-B6EA-40B8-BFE1-C59D395D1B3E}"/>
    <cellStyle name="Comma [0] 2 2" xfId="425" xr:uid="{9B41DB7B-9578-41A0-9464-BAB21CF784D3}"/>
    <cellStyle name="Comma [0] 2 2 2" xfId="1794" xr:uid="{E8BA34B4-BCBD-4707-8C51-F97ED06E860C}"/>
    <cellStyle name="Comma [0] 2 3" xfId="426" xr:uid="{B20579F4-A28E-4668-8D3E-E350234A29E3}"/>
    <cellStyle name="Comma [0] 2 3 2" xfId="1795" xr:uid="{9E46C225-0C44-45CC-B431-905508A39FF7}"/>
    <cellStyle name="Comma [0] 2 4" xfId="427" xr:uid="{F99DB291-37CF-4D96-A1E4-A2937042304D}"/>
    <cellStyle name="Comma [0] 2 4 2" xfId="1796" xr:uid="{07A77A61-932C-4F28-AE7D-DE950A4D7B2C}"/>
    <cellStyle name="Comma [0] 2 5" xfId="428" xr:uid="{09062CA3-FF34-4758-A21B-FA43D38FACC0}"/>
    <cellStyle name="Comma [0] 2 5 2" xfId="1797" xr:uid="{D9762677-453B-4A1F-A595-BD1C80C8299D}"/>
    <cellStyle name="Comma [0] 2 6" xfId="429" xr:uid="{420C9EE9-9BD4-4453-A67D-4D7798AE5CE8}"/>
    <cellStyle name="Comma [0] 2 6 2" xfId="1798" xr:uid="{D9BBC3E9-0637-4B9B-8B83-11971A4FDA06}"/>
    <cellStyle name="Comma [0] 2 7" xfId="430" xr:uid="{86A3E8B6-3870-482B-BBD8-5DB3CE4A19EC}"/>
    <cellStyle name="Comma [0] 2 7 2" xfId="1799" xr:uid="{13FEA7B0-D522-4AF5-9799-175741E565E5}"/>
    <cellStyle name="Comma [0] 2 8" xfId="431" xr:uid="{F416ED8D-0A85-4108-B21A-7D67F7C7D9ED}"/>
    <cellStyle name="Comma [0] 2 8 2" xfId="1800" xr:uid="{0960CB2B-05A7-44BA-A987-44A36F9FBE5C}"/>
    <cellStyle name="Comma [0] 2 9" xfId="432" xr:uid="{71F496F2-3D6D-461A-A605-5FA1BE81E5E7}"/>
    <cellStyle name="Comma [0] 2 9 2" xfId="1801" xr:uid="{9B40E683-6282-467A-B047-F624730C20FC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0 2" xfId="1804" xr:uid="{FE99BE3D-4E5C-4F83-AFAA-2FBFE22E7E2A}"/>
    <cellStyle name="Comma 10 2 11" xfId="436" xr:uid="{6B881517-B3BB-4899-AC8C-11E211BF2C81}"/>
    <cellStyle name="Comma 10 2 11 2" xfId="1805" xr:uid="{BA4AEAE0-C29E-4C72-A09A-87CD91D33EA7}"/>
    <cellStyle name="Comma 10 2 12" xfId="437" xr:uid="{BD628869-ED55-4B53-B15A-5F8BA25EC1D8}"/>
    <cellStyle name="Comma 10 2 12 2" xfId="1806" xr:uid="{6FB903AD-56F2-42C2-B96C-69D6138F8616}"/>
    <cellStyle name="Comma 10 2 13" xfId="438" xr:uid="{30B28322-7CF6-4AEA-89BF-076A5C5CBEEF}"/>
    <cellStyle name="Comma 10 2 13 2" xfId="1807" xr:uid="{04F19ED1-15C9-4CFC-8427-6E5E1CE76D4E}"/>
    <cellStyle name="Comma 10 2 14" xfId="439" xr:uid="{C8A83EAC-16E4-4D63-B4A3-184913C2CC38}"/>
    <cellStyle name="Comma 10 2 14 2" xfId="1808" xr:uid="{96A9B5AE-C263-49DB-B6C9-C7A21826C2D4}"/>
    <cellStyle name="Comma 10 2 15" xfId="440" xr:uid="{A0D7E326-564C-4316-90D4-98F5E1B5460D}"/>
    <cellStyle name="Comma 10 2 15 2" xfId="1809" xr:uid="{8CB21913-F22A-4C1C-B182-2FC1B46F0592}"/>
    <cellStyle name="Comma 10 2 16" xfId="441" xr:uid="{97CA26C2-8674-4AF5-82AB-56AFD0E680F8}"/>
    <cellStyle name="Comma 10 2 16 2" xfId="1810" xr:uid="{19462A64-9A35-4440-B772-C5A0F5C0B623}"/>
    <cellStyle name="Comma 10 2 17" xfId="442" xr:uid="{C85ACC1E-FED0-4A2E-90C2-5B3458095745}"/>
    <cellStyle name="Comma 10 2 17 2" xfId="1811" xr:uid="{348B6257-53FC-4FA6-9CA0-AA549C43A25B}"/>
    <cellStyle name="Comma 10 2 18" xfId="1803" xr:uid="{CD4416FF-3BFB-454D-99D3-DB532436F3CC}"/>
    <cellStyle name="Comma 10 2 2" xfId="443" xr:uid="{C1925102-8075-4238-A456-3C73DA5A7BA0}"/>
    <cellStyle name="Comma 10 2 2 2" xfId="1812" xr:uid="{E215A261-9FAC-4CF7-A53C-3879D1BAC5B7}"/>
    <cellStyle name="Comma 10 2 3" xfId="444" xr:uid="{FD3F267A-69BE-4C3F-B406-26C0BD166197}"/>
    <cellStyle name="Comma 10 2 3 2" xfId="1813" xr:uid="{4CE7D740-BE0B-4967-8DA3-868CC92D57B9}"/>
    <cellStyle name="Comma 10 2 4" xfId="445" xr:uid="{24028179-7BBB-4941-ADBA-5FF9E670A5EA}"/>
    <cellStyle name="Comma 10 2 4 2" xfId="1814" xr:uid="{15D9C212-3789-403C-A9BA-8117C20986AC}"/>
    <cellStyle name="Comma 10 2 5" xfId="446" xr:uid="{96EF4079-2C09-4445-920C-1B210E2186E8}"/>
    <cellStyle name="Comma 10 2 5 2" xfId="1815" xr:uid="{67600E14-53C8-49E5-861D-D866A86B51EE}"/>
    <cellStyle name="Comma 10 2 6" xfId="447" xr:uid="{384F9C5F-979E-4446-B6E1-B27E928070CB}"/>
    <cellStyle name="Comma 10 2 6 2" xfId="1816" xr:uid="{74B717D6-F550-4AB7-994D-67A4EC879A7C}"/>
    <cellStyle name="Comma 10 2 7" xfId="448" xr:uid="{5667CD28-63D0-4438-AA32-096D0993FF97}"/>
    <cellStyle name="Comma 10 2 7 2" xfId="1817" xr:uid="{CA15882A-685C-41F9-9170-19C8C9CE4808}"/>
    <cellStyle name="Comma 10 2 8" xfId="449" xr:uid="{F8127A2E-74D8-4263-A49B-960FB64EA53D}"/>
    <cellStyle name="Comma 10 2 8 2" xfId="1818" xr:uid="{41C2F776-ED08-4605-8B08-98055143EE9D}"/>
    <cellStyle name="Comma 10 2 9" xfId="450" xr:uid="{667D6EB3-3197-493E-A960-C99F69E6403A}"/>
    <cellStyle name="Comma 10 2 9 2" xfId="1819" xr:uid="{202200D7-F161-4F23-B661-44EA9AA8CB73}"/>
    <cellStyle name="Comma 10 3" xfId="451" xr:uid="{2381A7A8-2023-4F4E-AB35-452793AEC217}"/>
    <cellStyle name="Comma 10 3 10" xfId="452" xr:uid="{09B9AFB5-D928-4B56-9EAE-370E0B1682E2}"/>
    <cellStyle name="Comma 10 3 10 2" xfId="1821" xr:uid="{6A55672D-3F24-47A1-9273-9D7515826EDB}"/>
    <cellStyle name="Comma 10 3 11" xfId="453" xr:uid="{39C178CB-E75C-47C7-AD57-E00DD6D7D487}"/>
    <cellStyle name="Comma 10 3 11 2" xfId="1822" xr:uid="{451FE340-2817-4EE9-812D-BC2DB9B3EFF9}"/>
    <cellStyle name="Comma 10 3 12" xfId="454" xr:uid="{91281440-DF20-4066-A3BE-72878614B717}"/>
    <cellStyle name="Comma 10 3 12 2" xfId="1823" xr:uid="{E432A48A-3E86-40BA-AE71-819CE1CC9211}"/>
    <cellStyle name="Comma 10 3 13" xfId="455" xr:uid="{6DCDE1A2-0500-42BD-8681-C32C54574268}"/>
    <cellStyle name="Comma 10 3 13 2" xfId="1824" xr:uid="{FE5C05AF-E92A-4374-94E1-5662D7411305}"/>
    <cellStyle name="Comma 10 3 14" xfId="456" xr:uid="{D1FC7552-9B5B-4176-A68E-1707BD3FE8FD}"/>
    <cellStyle name="Comma 10 3 14 2" xfId="1825" xr:uid="{75B7E18F-9F36-409B-AB6A-A574DD4C8B7F}"/>
    <cellStyle name="Comma 10 3 15" xfId="457" xr:uid="{262256C6-7761-4BA3-B36C-7BDF70310827}"/>
    <cellStyle name="Comma 10 3 15 2" xfId="1826" xr:uid="{EDF6651D-FE52-41B4-B78A-1C3A3E2658CC}"/>
    <cellStyle name="Comma 10 3 16" xfId="458" xr:uid="{2E87924F-A98C-486B-B33D-6DD404E94618}"/>
    <cellStyle name="Comma 10 3 16 2" xfId="1827" xr:uid="{0FEA1F82-EFF9-42F0-83D0-324BFE695D72}"/>
    <cellStyle name="Comma 10 3 17" xfId="459" xr:uid="{AE3306BD-7812-4A2B-B632-F0DE75835457}"/>
    <cellStyle name="Comma 10 3 17 2" xfId="1828" xr:uid="{1EC47D50-8EF6-4DFF-9CCD-3756AD2C0EFA}"/>
    <cellStyle name="Comma 10 3 18" xfId="1820" xr:uid="{EED9AC43-1ED2-4A90-B950-B6535234A59E}"/>
    <cellStyle name="Comma 10 3 2" xfId="460" xr:uid="{EF248761-FC48-42E2-88D1-F6B0D82541C0}"/>
    <cellStyle name="Comma 10 3 2 2" xfId="1829" xr:uid="{A2A17895-04BC-48A6-8471-79C45A8D67D1}"/>
    <cellStyle name="Comma 10 3 3" xfId="461" xr:uid="{9E703699-1895-4028-B214-75B2CF8DD812}"/>
    <cellStyle name="Comma 10 3 3 2" xfId="1830" xr:uid="{8EDE6FD6-204B-46B1-B511-EB11784268C1}"/>
    <cellStyle name="Comma 10 3 4" xfId="462" xr:uid="{D79785E9-6B06-4CE6-9069-1695AC4CCF66}"/>
    <cellStyle name="Comma 10 3 4 2" xfId="1831" xr:uid="{2716DEFC-3BFB-412F-98B9-490DD2917A0E}"/>
    <cellStyle name="Comma 10 3 5" xfId="463" xr:uid="{85119826-DC66-4F53-8B60-D1D61F5A6BB4}"/>
    <cellStyle name="Comma 10 3 5 2" xfId="1832" xr:uid="{76E1B998-51E3-4DB5-8DCF-4946BC5771AB}"/>
    <cellStyle name="Comma 10 3 6" xfId="464" xr:uid="{0AF73299-6D7D-4CD4-A022-AE8EBD765AB6}"/>
    <cellStyle name="Comma 10 3 6 2" xfId="1833" xr:uid="{D45266D8-D047-4D59-B771-BC71F3AC4F81}"/>
    <cellStyle name="Comma 10 3 7" xfId="465" xr:uid="{4F7ED5E2-D659-4222-A3F3-5273695C83A7}"/>
    <cellStyle name="Comma 10 3 7 2" xfId="1834" xr:uid="{840F65A0-3C3E-497E-8B05-A38034CA1065}"/>
    <cellStyle name="Comma 10 3 8" xfId="466" xr:uid="{075BA881-751A-46B2-861D-CD260E702453}"/>
    <cellStyle name="Comma 10 3 8 2" xfId="1835" xr:uid="{81B1185B-FF21-45B7-85F4-2CFCE866813A}"/>
    <cellStyle name="Comma 10 3 9" xfId="467" xr:uid="{1372429F-5912-4505-8DC9-F68CF550475B}"/>
    <cellStyle name="Comma 10 3 9 2" xfId="1836" xr:uid="{B42D59FD-3AD4-4F14-9E54-87D33EA6D25B}"/>
    <cellStyle name="Comma 10 4" xfId="468" xr:uid="{892B04F6-1C8D-4200-B6CB-B0148ABBC55A}"/>
    <cellStyle name="Comma 10 4 10" xfId="469" xr:uid="{D51D1FD0-3934-47D0-81E8-F9EC6EAEAF50}"/>
    <cellStyle name="Comma 10 4 10 2" xfId="1838" xr:uid="{B0BC8AC9-E232-437B-BD3B-5CE56D5F315C}"/>
    <cellStyle name="Comma 10 4 11" xfId="470" xr:uid="{B4BB2DBA-B643-4826-8260-58251C0AA8A2}"/>
    <cellStyle name="Comma 10 4 11 2" xfId="1839" xr:uid="{36453A91-4D18-404E-B098-130E6330F331}"/>
    <cellStyle name="Comma 10 4 12" xfId="471" xr:uid="{1DE4F001-9A27-41E7-AF74-FEC4BAB181D0}"/>
    <cellStyle name="Comma 10 4 12 2" xfId="1840" xr:uid="{072D4790-904E-45C9-97E7-9A68491540EA}"/>
    <cellStyle name="Comma 10 4 13" xfId="472" xr:uid="{56A5CC37-5114-42AD-84D7-741989675CE0}"/>
    <cellStyle name="Comma 10 4 13 2" xfId="1841" xr:uid="{2D4A23BC-4BA2-4610-A35C-C1C3C2BCD930}"/>
    <cellStyle name="Comma 10 4 14" xfId="473" xr:uid="{86DE866D-0C30-4A2B-89EF-4FAE0F4BA18A}"/>
    <cellStyle name="Comma 10 4 14 2" xfId="1842" xr:uid="{FF59B846-3EFE-4079-9E6D-5EE318E301BA}"/>
    <cellStyle name="Comma 10 4 15" xfId="474" xr:uid="{587C1285-C282-42FC-8727-669515C5C4E1}"/>
    <cellStyle name="Comma 10 4 15 2" xfId="1843" xr:uid="{3840C616-8E37-4D52-B258-4DBDC2B69D34}"/>
    <cellStyle name="Comma 10 4 16" xfId="475" xr:uid="{C9DB269C-B52F-4310-9FE0-E49C69A3DD92}"/>
    <cellStyle name="Comma 10 4 16 2" xfId="1844" xr:uid="{013C0163-B4DD-4FD1-8CF7-243980841936}"/>
    <cellStyle name="Comma 10 4 17" xfId="476" xr:uid="{5B0B247E-2D09-4373-9997-987D8E01404A}"/>
    <cellStyle name="Comma 10 4 17 2" xfId="1845" xr:uid="{3A5D561A-99F9-4E59-AB1C-497311C208BD}"/>
    <cellStyle name="Comma 10 4 18" xfId="1837" xr:uid="{994245D4-C50A-4C09-8378-C4424F965C8C}"/>
    <cellStyle name="Comma 10 4 2" xfId="477" xr:uid="{34BC0AC7-6F9F-4E67-864D-6997555F00F4}"/>
    <cellStyle name="Comma 10 4 2 2" xfId="1846" xr:uid="{51CAE8C2-337B-4A59-9A9E-26327F8F0286}"/>
    <cellStyle name="Comma 10 4 3" xfId="478" xr:uid="{125FA83B-21DB-49F6-949E-F150DF911BF4}"/>
    <cellStyle name="Comma 10 4 3 2" xfId="1847" xr:uid="{7D89A416-4251-4169-AF6B-7AFE3B8D99CD}"/>
    <cellStyle name="Comma 10 4 4" xfId="479" xr:uid="{944395A3-365A-4752-9911-008A867FB71B}"/>
    <cellStyle name="Comma 10 4 4 2" xfId="1848" xr:uid="{67F134AA-A9B3-4B9C-A8C8-192BCFA68E9D}"/>
    <cellStyle name="Comma 10 4 5" xfId="480" xr:uid="{4770F347-07A0-4D01-975C-486B70040E6F}"/>
    <cellStyle name="Comma 10 4 5 2" xfId="1849" xr:uid="{0719A03C-32EF-4FD2-A79A-B3FD51C4A521}"/>
    <cellStyle name="Comma 10 4 6" xfId="481" xr:uid="{CF87A2E2-A29A-4783-8F42-67DF147BA5B5}"/>
    <cellStyle name="Comma 10 4 6 2" xfId="1850" xr:uid="{6E39CCC4-114D-4E52-B0DE-7A3E07C1EF47}"/>
    <cellStyle name="Comma 10 4 7" xfId="482" xr:uid="{7BD8EC99-E45C-4F55-9C08-FCB6F7452BBE}"/>
    <cellStyle name="Comma 10 4 7 2" xfId="1851" xr:uid="{C222F11B-942E-48B6-ACF8-99C7FE029E71}"/>
    <cellStyle name="Comma 10 4 8" xfId="483" xr:uid="{E33ADC4E-0865-4F3D-9869-267A3CB3CE2D}"/>
    <cellStyle name="Comma 10 4 8 2" xfId="1852" xr:uid="{A80C260E-F0BC-4489-B28B-53AE72E91652}"/>
    <cellStyle name="Comma 10 4 9" xfId="484" xr:uid="{E77DD074-7DF6-44F2-8A20-96A039773276}"/>
    <cellStyle name="Comma 10 4 9 2" xfId="1853" xr:uid="{ECC498D2-36C4-4A00-9182-1FA1D6D3DBC5}"/>
    <cellStyle name="Comma 10 5" xfId="485" xr:uid="{EC48B89A-380D-4016-93DF-FACF735A6EEE}"/>
    <cellStyle name="Comma 10 5 10" xfId="486" xr:uid="{4619FB2C-D1A8-4ABC-B11D-24AEC8C3C9B2}"/>
    <cellStyle name="Comma 10 5 10 2" xfId="1855" xr:uid="{E4180A84-3F93-465E-A710-6B807C1E9503}"/>
    <cellStyle name="Comma 10 5 11" xfId="487" xr:uid="{F91B25A1-62EE-4434-AFDE-F23A51E98AB5}"/>
    <cellStyle name="Comma 10 5 11 2" xfId="1856" xr:uid="{BBE04D19-2122-49A6-9FDB-CCD8A163BB16}"/>
    <cellStyle name="Comma 10 5 12" xfId="488" xr:uid="{F76C0732-DBA2-4189-928C-11DCA3256D02}"/>
    <cellStyle name="Comma 10 5 12 2" xfId="1857" xr:uid="{CBF3A34E-2437-479F-B4A8-3450BB2692A9}"/>
    <cellStyle name="Comma 10 5 13" xfId="489" xr:uid="{B6BACA9E-DC74-48BD-95FC-D5E38906BCDE}"/>
    <cellStyle name="Comma 10 5 13 2" xfId="1858" xr:uid="{7034661A-7680-41D8-8F30-671C9C40C841}"/>
    <cellStyle name="Comma 10 5 14" xfId="490" xr:uid="{70912F5E-D243-4A25-B244-069C249198E5}"/>
    <cellStyle name="Comma 10 5 14 2" xfId="1859" xr:uid="{269E3709-3616-43AC-9FDF-2B3B8242D0DB}"/>
    <cellStyle name="Comma 10 5 15" xfId="491" xr:uid="{7069C481-AF24-4FE7-A871-7EEB2C3EB464}"/>
    <cellStyle name="Comma 10 5 15 2" xfId="1860" xr:uid="{60B268CA-9B98-4AAF-AEC2-BA99DF8F1573}"/>
    <cellStyle name="Comma 10 5 16" xfId="492" xr:uid="{91D3B5EC-E818-4D6D-B80A-66FF5509A57D}"/>
    <cellStyle name="Comma 10 5 16 2" xfId="1861" xr:uid="{2569BDDB-9B8C-437C-9444-F4D20D08202D}"/>
    <cellStyle name="Comma 10 5 17" xfId="493" xr:uid="{53B70FEB-E00A-4A73-9073-938DA9D8D21C}"/>
    <cellStyle name="Comma 10 5 17 2" xfId="1862" xr:uid="{8116C298-6A42-4ABF-8BB5-56618BB9DFB3}"/>
    <cellStyle name="Comma 10 5 18" xfId="1854" xr:uid="{BCF599D4-B278-4719-9902-DCA0954861C5}"/>
    <cellStyle name="Comma 10 5 2" xfId="494" xr:uid="{C4D056B1-1CC6-4277-821A-9FFDBA5755DE}"/>
    <cellStyle name="Comma 10 5 2 2" xfId="1863" xr:uid="{416B372E-D1E8-406B-A6EC-D11CFE556C6F}"/>
    <cellStyle name="Comma 10 5 3" xfId="495" xr:uid="{0D48A024-B61B-4D88-9BA4-56C2AD188725}"/>
    <cellStyle name="Comma 10 5 3 2" xfId="1864" xr:uid="{F07B7E82-D0AD-4221-8DF8-2F7ABB887FB1}"/>
    <cellStyle name="Comma 10 5 4" xfId="496" xr:uid="{369665A0-C3C5-4253-A704-389C6F23437D}"/>
    <cellStyle name="Comma 10 5 4 2" xfId="1865" xr:uid="{89D3BECC-6F7E-4A0A-A016-A7CA3B2814D9}"/>
    <cellStyle name="Comma 10 5 5" xfId="497" xr:uid="{18AE6F47-E6F5-480F-BBA9-4C3ABB78EB5A}"/>
    <cellStyle name="Comma 10 5 5 2" xfId="1866" xr:uid="{40C85722-37ED-4DB2-AE70-6C4059EE84D0}"/>
    <cellStyle name="Comma 10 5 6" xfId="498" xr:uid="{469C65DB-0103-45B0-9D7E-DC3754CED391}"/>
    <cellStyle name="Comma 10 5 6 2" xfId="1867" xr:uid="{FE44AF68-B41E-4D98-98E4-04EB7F1652C8}"/>
    <cellStyle name="Comma 10 5 7" xfId="499" xr:uid="{2E8C6864-4F56-4C44-A1B3-4BA229646584}"/>
    <cellStyle name="Comma 10 5 7 2" xfId="1868" xr:uid="{32BBCA47-2F75-489E-B895-57F9FF37F131}"/>
    <cellStyle name="Comma 10 5 8" xfId="500" xr:uid="{BD4A1BC6-78E9-4B4F-8367-7B4DFEA88346}"/>
    <cellStyle name="Comma 10 5 8 2" xfId="1869" xr:uid="{681BEABD-8062-4F2F-9D90-C193765A7B5A}"/>
    <cellStyle name="Comma 10 5 9" xfId="501" xr:uid="{5625D8E9-A685-426C-8DDB-5A7F7CC6B2E9}"/>
    <cellStyle name="Comma 10 5 9 2" xfId="1870" xr:uid="{38D73CDB-1025-4A2F-BA47-9ECBD88BF837}"/>
    <cellStyle name="Comma 10 6" xfId="502" xr:uid="{47BC3296-AB68-424D-9B90-35242DF2F3AD}"/>
    <cellStyle name="Comma 10 6 10" xfId="503" xr:uid="{6BDED176-D793-48C2-872C-7E12F90783F0}"/>
    <cellStyle name="Comma 10 6 10 2" xfId="1872" xr:uid="{9429F669-AE56-4941-82CC-A752D3F7DE47}"/>
    <cellStyle name="Comma 10 6 11" xfId="504" xr:uid="{1DB0BB9E-5D07-471B-BF33-00612DFB42C2}"/>
    <cellStyle name="Comma 10 6 11 2" xfId="1873" xr:uid="{14213AAA-8092-41ED-80F5-0902AE371A6C}"/>
    <cellStyle name="Comma 10 6 12" xfId="505" xr:uid="{DC954738-CF7E-47CB-908C-FB79353358D4}"/>
    <cellStyle name="Comma 10 6 12 2" xfId="1874" xr:uid="{23C51D76-BFCE-46E1-B812-4E09EE7AAAC8}"/>
    <cellStyle name="Comma 10 6 13" xfId="506" xr:uid="{B7BF1276-AE6A-4CDA-AA6F-75602CDDF224}"/>
    <cellStyle name="Comma 10 6 13 2" xfId="1875" xr:uid="{849E175C-7F78-4DA2-B02F-67864E7C9F16}"/>
    <cellStyle name="Comma 10 6 14" xfId="507" xr:uid="{D381F0BD-AE39-4EFE-B0A4-1ADD3B930716}"/>
    <cellStyle name="Comma 10 6 14 2" xfId="1876" xr:uid="{3A06497E-4161-4805-AA7C-84D7172CE07A}"/>
    <cellStyle name="Comma 10 6 15" xfId="508" xr:uid="{867C7129-0FFE-41DC-8776-3AD2B5A68EAE}"/>
    <cellStyle name="Comma 10 6 15 2" xfId="1877" xr:uid="{3E9B9744-2C85-43C4-923A-325B206200C0}"/>
    <cellStyle name="Comma 10 6 16" xfId="509" xr:uid="{5FA8BCF6-89CF-4FD2-961B-FA9F6A3622F5}"/>
    <cellStyle name="Comma 10 6 16 2" xfId="1878" xr:uid="{E1FB5549-66FC-448E-9166-6C8EF611D77F}"/>
    <cellStyle name="Comma 10 6 17" xfId="510" xr:uid="{709DDFD6-62EE-4D77-B413-5752179549C7}"/>
    <cellStyle name="Comma 10 6 17 2" xfId="1879" xr:uid="{3BD5CDA6-D872-42C8-8382-121E46676018}"/>
    <cellStyle name="Comma 10 6 18" xfId="1871" xr:uid="{BAB0A7E9-2016-4812-A0DF-17E3CEBAF20C}"/>
    <cellStyle name="Comma 10 6 2" xfId="511" xr:uid="{505EC601-2BC3-44CC-8673-1079F53DF5BB}"/>
    <cellStyle name="Comma 10 6 2 2" xfId="1880" xr:uid="{A2B7DCE4-1E5D-4464-A2DB-AEF213B66297}"/>
    <cellStyle name="Comma 10 6 3" xfId="512" xr:uid="{4B129687-FE89-455B-BBD0-8601E256F063}"/>
    <cellStyle name="Comma 10 6 3 2" xfId="1881" xr:uid="{84110B52-83AD-4CA5-BE68-D2227A0437CD}"/>
    <cellStyle name="Comma 10 6 4" xfId="513" xr:uid="{0019BDC9-A9C5-4070-ABB9-B035E3806585}"/>
    <cellStyle name="Comma 10 6 4 2" xfId="1882" xr:uid="{5DB8A854-B581-4A64-A3C1-57BA543E97D5}"/>
    <cellStyle name="Comma 10 6 5" xfId="514" xr:uid="{0FA8AB4D-22CC-461C-88E5-A11EFB95F973}"/>
    <cellStyle name="Comma 10 6 5 2" xfId="1883" xr:uid="{982E0603-3B75-4188-A2C3-0C9368998CCE}"/>
    <cellStyle name="Comma 10 6 6" xfId="515" xr:uid="{C0DCF806-D2B7-4235-9F11-5B69C28F3AEA}"/>
    <cellStyle name="Comma 10 6 6 2" xfId="1884" xr:uid="{D6953492-A5EA-4D08-87A1-81E08B02FC80}"/>
    <cellStyle name="Comma 10 6 7" xfId="516" xr:uid="{D4E14B77-9A21-498A-B8DD-EF6C85613129}"/>
    <cellStyle name="Comma 10 6 7 2" xfId="1885" xr:uid="{A4C633FA-C1F5-4A74-BFCA-C6B2A38DCD8A}"/>
    <cellStyle name="Comma 10 6 8" xfId="517" xr:uid="{E1EF985F-47A2-4327-9D17-ED91A7B4E469}"/>
    <cellStyle name="Comma 10 6 8 2" xfId="1886" xr:uid="{90B65336-7D3E-4136-8374-0922E2D47F76}"/>
    <cellStyle name="Comma 10 6 9" xfId="518" xr:uid="{B3EB464A-BDB6-4832-A37D-6B49E23D161A}"/>
    <cellStyle name="Comma 10 6 9 2" xfId="1887" xr:uid="{28D56520-6385-490C-BD85-DC2D10FA7CFD}"/>
    <cellStyle name="Comma 10 7" xfId="519" xr:uid="{C84A0D48-D814-4EAA-AEE6-0C9DB1841F52}"/>
    <cellStyle name="Comma 10 7 10" xfId="520" xr:uid="{1B147311-CC56-4301-8D28-8E62EE4270D1}"/>
    <cellStyle name="Comma 10 7 10 2" xfId="1889" xr:uid="{B81E8F84-574C-4018-9031-956E9B5464D9}"/>
    <cellStyle name="Comma 10 7 11" xfId="521" xr:uid="{0445B5FA-CF84-45C9-812B-0DD40099227E}"/>
    <cellStyle name="Comma 10 7 11 2" xfId="1890" xr:uid="{55984E8D-F775-421A-A033-90B8DB01C4BF}"/>
    <cellStyle name="Comma 10 7 12" xfId="522" xr:uid="{5FA176FE-C854-4310-B1AF-013CEA688E8E}"/>
    <cellStyle name="Comma 10 7 12 2" xfId="1891" xr:uid="{0566AA19-89F3-4928-B9EA-9B6240C33CD6}"/>
    <cellStyle name="Comma 10 7 13" xfId="523" xr:uid="{A3222861-B3B9-430A-815B-A6DC5D1C6FC1}"/>
    <cellStyle name="Comma 10 7 13 2" xfId="1892" xr:uid="{436A8448-F8DC-4A78-8838-AFADBFA85A06}"/>
    <cellStyle name="Comma 10 7 14" xfId="524" xr:uid="{871AFB75-7C34-4291-A50A-156EEB163390}"/>
    <cellStyle name="Comma 10 7 14 2" xfId="1893" xr:uid="{137B3B5E-2A48-4DE7-A914-ED5E75C4D48E}"/>
    <cellStyle name="Comma 10 7 15" xfId="525" xr:uid="{99966982-3099-48FA-9C5C-D6D05A27F5CB}"/>
    <cellStyle name="Comma 10 7 15 2" xfId="1894" xr:uid="{6091BC4A-2A39-400B-8C3F-7340A0EA5E3A}"/>
    <cellStyle name="Comma 10 7 16" xfId="526" xr:uid="{675F3E88-4A20-4A14-B79E-B3D7028717AB}"/>
    <cellStyle name="Comma 10 7 16 2" xfId="1895" xr:uid="{F7F0761A-226E-4094-A910-E25048709E66}"/>
    <cellStyle name="Comma 10 7 17" xfId="527" xr:uid="{5A58FFD6-3C01-4A57-ABC4-FD807E21D984}"/>
    <cellStyle name="Comma 10 7 17 2" xfId="1896" xr:uid="{7C5A64F6-4936-4623-B918-486CAFD84156}"/>
    <cellStyle name="Comma 10 7 18" xfId="1888" xr:uid="{86EF7E08-AE53-4356-943C-4E1BCF7A320F}"/>
    <cellStyle name="Comma 10 7 2" xfId="528" xr:uid="{A5CEDC17-3803-4BC7-8FB2-60F697DEDAF6}"/>
    <cellStyle name="Comma 10 7 2 2" xfId="1897" xr:uid="{40572B28-3588-4111-A0BC-9F02131C2FBD}"/>
    <cellStyle name="Comma 10 7 3" xfId="529" xr:uid="{3801C20C-6BEB-42E4-8D55-1AFA8A987727}"/>
    <cellStyle name="Comma 10 7 3 2" xfId="1898" xr:uid="{6E3C797A-E78C-470D-9185-7B851CA5584A}"/>
    <cellStyle name="Comma 10 7 4" xfId="530" xr:uid="{C9FF900A-7299-4E4E-A67D-88C8341D3ECB}"/>
    <cellStyle name="Comma 10 7 4 2" xfId="1899" xr:uid="{08CA6A84-F5E4-4177-A440-0DF869FD1B0E}"/>
    <cellStyle name="Comma 10 7 5" xfId="531" xr:uid="{E07E298A-2C94-4551-87E9-47133429E340}"/>
    <cellStyle name="Comma 10 7 5 2" xfId="1900" xr:uid="{365EAB7B-EB63-4366-9C3B-A1921DAC2F52}"/>
    <cellStyle name="Comma 10 7 6" xfId="532" xr:uid="{EC8A84AA-544F-428A-AE07-C72677A713F3}"/>
    <cellStyle name="Comma 10 7 6 2" xfId="1901" xr:uid="{314FC32E-D745-4258-AB02-DFF2F2A27550}"/>
    <cellStyle name="Comma 10 7 7" xfId="533" xr:uid="{4D06A793-5EE8-4674-B3F7-A23B1A99BBAA}"/>
    <cellStyle name="Comma 10 7 7 2" xfId="1902" xr:uid="{60246F68-A918-4C0F-86A8-2413A785D2B1}"/>
    <cellStyle name="Comma 10 7 8" xfId="534" xr:uid="{5B9FA7B5-C813-4989-8417-2096B8E0D841}"/>
    <cellStyle name="Comma 10 7 8 2" xfId="1903" xr:uid="{7D2B6AE4-AF23-42C7-A8EC-1F86D59618DC}"/>
    <cellStyle name="Comma 10 7 9" xfId="535" xr:uid="{132F81CF-EF4A-41FC-B5AF-03C75A93CBD2}"/>
    <cellStyle name="Comma 10 7 9 2" xfId="1904" xr:uid="{B46C007D-FCB5-401B-9568-79CAEB5DF4CC}"/>
    <cellStyle name="Comma 10 8" xfId="536" xr:uid="{47DB7BB0-E6C5-406E-8DF3-D913CEF61689}"/>
    <cellStyle name="Comma 10 8 10" xfId="537" xr:uid="{A47AA513-61BC-4932-8213-AB80AD83A0C5}"/>
    <cellStyle name="Comma 10 8 10 2" xfId="1906" xr:uid="{4A203D9C-EDE2-45C2-8683-706494E5F34B}"/>
    <cellStyle name="Comma 10 8 11" xfId="538" xr:uid="{60ECDBD6-5296-4944-BE87-88F59FE9C7F2}"/>
    <cellStyle name="Comma 10 8 11 2" xfId="1907" xr:uid="{780A924E-4EC2-427A-AF09-9131B5B8B117}"/>
    <cellStyle name="Comma 10 8 12" xfId="539" xr:uid="{9ED95E99-5896-4092-B973-DDA2A4ABD912}"/>
    <cellStyle name="Comma 10 8 12 2" xfId="1908" xr:uid="{EA73CC8B-1549-4660-B8B1-EBE16B565632}"/>
    <cellStyle name="Comma 10 8 13" xfId="540" xr:uid="{5B304128-A90F-4B3F-A05C-0A2987894E06}"/>
    <cellStyle name="Comma 10 8 13 2" xfId="1909" xr:uid="{C751046D-13E2-4C23-97E8-824031DE69D5}"/>
    <cellStyle name="Comma 10 8 14" xfId="541" xr:uid="{D91228C7-4137-41D7-A9DC-9EDCB333BFF8}"/>
    <cellStyle name="Comma 10 8 14 2" xfId="1910" xr:uid="{F8EEA8E0-6E31-4C07-A96E-7304E49C607B}"/>
    <cellStyle name="Comma 10 8 15" xfId="542" xr:uid="{C0700167-5FAA-4408-B46C-946EEE7200AE}"/>
    <cellStyle name="Comma 10 8 15 2" xfId="1911" xr:uid="{2C215522-DB83-4F3D-BE01-E476958C866F}"/>
    <cellStyle name="Comma 10 8 16" xfId="543" xr:uid="{D5A3CD1B-A42B-4F0C-ABF5-61F1F01FA17C}"/>
    <cellStyle name="Comma 10 8 16 2" xfId="1912" xr:uid="{6D398DAD-D117-4066-B81F-73441307E08A}"/>
    <cellStyle name="Comma 10 8 17" xfId="544" xr:uid="{6D15EC6A-4E21-493E-9CF5-93480FCB8718}"/>
    <cellStyle name="Comma 10 8 17 2" xfId="1913" xr:uid="{090FD55C-12B3-41A5-B95A-37D6C45E40EE}"/>
    <cellStyle name="Comma 10 8 18" xfId="1905" xr:uid="{3319CC26-569D-41E2-B0A6-1F73CB1998DF}"/>
    <cellStyle name="Comma 10 8 2" xfId="545" xr:uid="{096E6B6F-35BB-40E1-8E98-D80906051035}"/>
    <cellStyle name="Comma 10 8 2 2" xfId="1914" xr:uid="{90EBEFCA-E77A-473D-86A9-1326E904B352}"/>
    <cellStyle name="Comma 10 8 3" xfId="546" xr:uid="{A6F84871-59F4-45A5-BBC4-3204922871A8}"/>
    <cellStyle name="Comma 10 8 3 2" xfId="1915" xr:uid="{09A420B5-279D-4D55-BB9B-89D22A825B3A}"/>
    <cellStyle name="Comma 10 8 4" xfId="547" xr:uid="{09DB774A-ED2B-4468-8CD3-3E2DE8D1FCC9}"/>
    <cellStyle name="Comma 10 8 4 2" xfId="1916" xr:uid="{A4026B32-CA4D-4244-9E6B-E19ECF9B9E4D}"/>
    <cellStyle name="Comma 10 8 5" xfId="548" xr:uid="{7F0C0819-CD0C-4405-82C2-B640DE733873}"/>
    <cellStyle name="Comma 10 8 5 2" xfId="1917" xr:uid="{1B18A9F1-D55D-42D3-B9F1-F9987E3DB0B4}"/>
    <cellStyle name="Comma 10 8 6" xfId="549" xr:uid="{AA0D416C-19A6-4C23-B110-24C6343E1FF4}"/>
    <cellStyle name="Comma 10 8 6 2" xfId="1918" xr:uid="{2D608357-8298-4CDA-8E5C-C0F4D2B74D78}"/>
    <cellStyle name="Comma 10 8 7" xfId="550" xr:uid="{88BE2F73-E400-416E-9F6C-A659922A4498}"/>
    <cellStyle name="Comma 10 8 7 2" xfId="1919" xr:uid="{4F0CEEDE-9787-4FDC-9DA7-BA2A3E2967A7}"/>
    <cellStyle name="Comma 10 8 8" xfId="551" xr:uid="{8097CBFB-7025-41F2-A6A8-5195FC852A1F}"/>
    <cellStyle name="Comma 10 8 8 2" xfId="1920" xr:uid="{9823BDA6-9035-4210-8981-E4487A1E8087}"/>
    <cellStyle name="Comma 10 8 9" xfId="552" xr:uid="{ADF47313-4EEB-493B-ACC2-3437B72E0367}"/>
    <cellStyle name="Comma 10 8 9 2" xfId="1921" xr:uid="{493A99B2-3C3E-48D3-9B03-A769BC5C9CC6}"/>
    <cellStyle name="Comma 10 9" xfId="1802" xr:uid="{CA5EDF3B-CA32-4E3E-9F89-377B5EB1C066}"/>
    <cellStyle name="Comma 11" xfId="553" xr:uid="{6ED9277F-BCC7-4A98-9950-9A9AAFC0BB65}"/>
    <cellStyle name="Comma 11 2" xfId="1922" xr:uid="{719BED8C-A37A-4A39-938C-95045D1DB7F5}"/>
    <cellStyle name="Comma 12" xfId="554" xr:uid="{20291982-5470-4419-8C91-39BD97290E17}"/>
    <cellStyle name="Comma 12 2" xfId="1923" xr:uid="{8233463E-8183-410B-8BF1-957C4C8B7665}"/>
    <cellStyle name="Comma 13" xfId="555" xr:uid="{7B7B469D-149B-454B-B48A-5D949BD77C35}"/>
    <cellStyle name="Comma 13 2" xfId="1924" xr:uid="{324A4C00-5273-4568-939F-A97DD2F0851F}"/>
    <cellStyle name="Comma 14" xfId="556" xr:uid="{B41743E9-1E56-400A-8006-2D4A684636F3}"/>
    <cellStyle name="Comma 14 2" xfId="1925" xr:uid="{5CB398F3-93FA-4542-95FB-0D0732A0C80B}"/>
    <cellStyle name="Comma 15" xfId="557" xr:uid="{7C4969F5-5321-471E-AD41-7290D0C548E6}"/>
    <cellStyle name="Comma 15 2" xfId="1926" xr:uid="{535CDF40-085E-4527-AF34-54DA7AB68EA2}"/>
    <cellStyle name="Comma 16" xfId="558" xr:uid="{DF266CD4-77EA-492D-B0C2-BABF85179EBC}"/>
    <cellStyle name="Comma 16 2" xfId="1927" xr:uid="{017FC01A-DC39-453E-9794-990A49A7B014}"/>
    <cellStyle name="Comma 17" xfId="559" xr:uid="{252D2CEE-508B-4956-BD28-D57F91990CA3}"/>
    <cellStyle name="Comma 17 2" xfId="1928" xr:uid="{31EFA443-FB62-4A5C-8507-F098BD5C6F36}"/>
    <cellStyle name="Comma 18" xfId="560" xr:uid="{56849552-EE1C-48CE-9524-F664EA973A32}"/>
    <cellStyle name="Comma 18 2" xfId="1929" xr:uid="{5932DDB0-2F24-4217-A9FC-A4492303A5A0}"/>
    <cellStyle name="Comma 19" xfId="561" xr:uid="{B26C2ADC-EC02-4454-9ED2-7FF226137FDF}"/>
    <cellStyle name="Comma 19 2" xfId="1930" xr:uid="{93BEA1E6-8831-4E31-9EDB-DA26B6D32CE6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7 2" xfId="1932" xr:uid="{6C329394-7C98-4871-BEDC-48BFB957748F}"/>
    <cellStyle name="Comma 2 18" xfId="571" xr:uid="{E220744C-FEC4-4361-BA20-23B01900E887}"/>
    <cellStyle name="Comma 2 18 2" xfId="1933" xr:uid="{382F4929-446E-4BCF-886D-4670998D1CF3}"/>
    <cellStyle name="Comma 2 19" xfId="572" xr:uid="{4A8A1607-9003-4EA6-987D-E2FA4AAF12C0}"/>
    <cellStyle name="Comma 2 19 2" xfId="573" xr:uid="{AA79411B-CA8F-4194-9F4A-28EFE9D156E7}"/>
    <cellStyle name="Comma 2 19 2 2" xfId="1935" xr:uid="{2E09D1F5-4548-4A14-8667-1809D7382B86}"/>
    <cellStyle name="Comma 2 19 3" xfId="574" xr:uid="{905A7EEE-F2B0-4368-9D8C-F7FDA40A6A65}"/>
    <cellStyle name="Comma 2 19 3 2" xfId="1936" xr:uid="{369EFF10-2AC2-47F2-9F46-BD935C69A9F7}"/>
    <cellStyle name="Comma 2 19 4" xfId="1934" xr:uid="{242475EE-D70A-495E-BA8C-0BB5C23438FF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3 2" xfId="1938" xr:uid="{B9CB56FB-C426-4156-9D2E-AD8AEF0EAE5F}"/>
    <cellStyle name="Comma 2 2 4" xfId="578" xr:uid="{6FAC4DCD-0A25-4866-A24D-E31A4DC94ECB}"/>
    <cellStyle name="Comma 2 2 4 2" xfId="1939" xr:uid="{E5AE04A6-38DF-4695-B1A0-8CEA03E4C033}"/>
    <cellStyle name="Comma 2 2 5" xfId="579" xr:uid="{DD03CFA0-B2B2-493C-89D5-A085586CE85F}"/>
    <cellStyle name="Comma 2 2 5 2" xfId="1940" xr:uid="{E001041B-C2EA-4706-A92B-A69711D10300}"/>
    <cellStyle name="Comma 2 2 6" xfId="1937" xr:uid="{4A1CF966-A37E-4994-8D94-3097E27C5A4F}"/>
    <cellStyle name="Comma 2 20" xfId="580" xr:uid="{F276E7BA-3636-4F64-A7A7-0E94D9E3B088}"/>
    <cellStyle name="Comma 2 20 2" xfId="1941" xr:uid="{0ACEC015-ABC7-4386-8053-ABB8FE7B5871}"/>
    <cellStyle name="Comma 2 21" xfId="581" xr:uid="{105F14C6-90DC-47E4-A8FD-40400B14CAD6}"/>
    <cellStyle name="Comma 2 21 2" xfId="1942" xr:uid="{DBDA9BA9-BD5C-4E1B-B325-F0AF77E78398}"/>
    <cellStyle name="Comma 2 22" xfId="1931" xr:uid="{B6732CBE-4466-4549-B856-AF77634D215B}"/>
    <cellStyle name="Comma 2 3" xfId="582" xr:uid="{29F9D515-2DCF-4A8B-A787-9F7067EC5626}"/>
    <cellStyle name="Comma 2 3 2" xfId="583" xr:uid="{FB4ECDD0-B420-4702-BDB0-9E352928944E}"/>
    <cellStyle name="Comma 2 3 2 2" xfId="1943" xr:uid="{3349DD84-C705-411B-A179-990A882221B9}"/>
    <cellStyle name="Comma 2 3 3" xfId="584" xr:uid="{784271BA-BD5A-445C-902B-5624008F128A}"/>
    <cellStyle name="Comma 2 3 3 2" xfId="1944" xr:uid="{3789FE58-18FE-4BF6-8793-FA2BA06D2613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10 2" xfId="1946" xr:uid="{F99B8021-1338-49A7-8B25-1703A00FAF4B}"/>
    <cellStyle name="Comma 3 11" xfId="1945" xr:uid="{53FE909A-7002-47E9-AA4F-B46D16B2782C}"/>
    <cellStyle name="Comma 3 2" xfId="593" xr:uid="{5FAC27B3-C8FE-4168-AF27-ACADC521DF41}"/>
    <cellStyle name="Comma 3 2 2" xfId="1947" xr:uid="{63811C60-A881-40F2-A2D5-78273E56B9CC}"/>
    <cellStyle name="Comma 3 3" xfId="594" xr:uid="{F96616C1-F318-4096-A6FF-36BD670B3752}"/>
    <cellStyle name="Comma 3 3 2" xfId="1948" xr:uid="{3C90AB31-00A5-448A-B52D-8C55EA048806}"/>
    <cellStyle name="Comma 3 4" xfId="595" xr:uid="{8A05A387-8A4C-4A75-A1B8-EE6646BB7376}"/>
    <cellStyle name="Comma 3 4 2" xfId="1949" xr:uid="{A480CA8C-0FDD-4C1E-9180-F43B7C703434}"/>
    <cellStyle name="Comma 3 5" xfId="596" xr:uid="{FF1F7B80-E8E0-4BC5-91E6-29BB41F191D1}"/>
    <cellStyle name="Comma 3 5 2" xfId="1950" xr:uid="{1004CD46-3D8B-4CFC-B415-EBFF0F0702A0}"/>
    <cellStyle name="Comma 3 6" xfId="597" xr:uid="{9680860D-0AC4-49F7-AE4D-78BBE5C00956}"/>
    <cellStyle name="Comma 3 6 2" xfId="1951" xr:uid="{DF38F319-D8A8-4E8D-8E9F-88A35E49DE3B}"/>
    <cellStyle name="Comma 3 7" xfId="598" xr:uid="{6306D39D-E1A9-4475-8C22-AB853AFD14D8}"/>
    <cellStyle name="Comma 3 7 2" xfId="1952" xr:uid="{33122747-C50F-4B9A-98E9-995CD9915616}"/>
    <cellStyle name="Comma 3 8" xfId="599" xr:uid="{57ED7A54-59EF-423D-AEC5-1E3BA35EAAA6}"/>
    <cellStyle name="Comma 3 8 2" xfId="1953" xr:uid="{A923F81B-9A26-4E91-A0ED-D71E726E7BD5}"/>
    <cellStyle name="Comma 3 9" xfId="600" xr:uid="{8735F7C5-F78C-4F27-8F0C-52F08FF39F82}"/>
    <cellStyle name="Comma 3 9 2" xfId="1954" xr:uid="{8C9EFA69-02BC-4E24-AFF1-4BAE6D0C88FA}"/>
    <cellStyle name="Comma 4" xfId="601" xr:uid="{666EA9D4-D283-429B-9972-1AF34CCB33D2}"/>
    <cellStyle name="Comma 4 10" xfId="1955" xr:uid="{3A29FD6E-6C37-4E4D-B770-3FA39F242A3E}"/>
    <cellStyle name="Comma 4 2" xfId="602" xr:uid="{10483DF6-CD32-4ED0-8AA5-780EEFB60249}"/>
    <cellStyle name="Comma 4 2 2" xfId="1956" xr:uid="{39760CB5-DD4A-4ADE-904F-3A85BC736343}"/>
    <cellStyle name="Comma 4 3" xfId="603" xr:uid="{EEC669A4-B0AA-4FB6-8C03-B65A731EDC83}"/>
    <cellStyle name="Comma 4 3 2" xfId="1957" xr:uid="{00FEBF0E-6526-485D-B68D-611C0B5ABF5B}"/>
    <cellStyle name="Comma 4 4" xfId="604" xr:uid="{D3E40562-3486-4378-A09F-2E3C5E135CD2}"/>
    <cellStyle name="Comma 4 4 2" xfId="1958" xr:uid="{23E01AA7-B9C3-4F7F-A956-8F8C8C91342C}"/>
    <cellStyle name="Comma 4 5" xfId="605" xr:uid="{F57AEBE4-4526-496E-87D8-8202C753369E}"/>
    <cellStyle name="Comma 4 5 2" xfId="1959" xr:uid="{E469AD75-4739-4BB2-BCB1-3189A158F9E8}"/>
    <cellStyle name="Comma 4 6" xfId="606" xr:uid="{AE69E325-89E3-41AD-B763-9E79A4898F22}"/>
    <cellStyle name="Comma 4 6 2" xfId="1960" xr:uid="{9C7B4548-2E96-4D46-B6F2-7A0B4ED85C76}"/>
    <cellStyle name="Comma 4 7" xfId="607" xr:uid="{62701780-9F0B-4E6B-AE51-0E0D2412F5C5}"/>
    <cellStyle name="Comma 4 7 2" xfId="1961" xr:uid="{1AB6815B-D592-4480-AAE2-8636817A6C9A}"/>
    <cellStyle name="Comma 4 8" xfId="608" xr:uid="{4CB912CB-2AA9-4F05-9D9B-5A5079B2C25F}"/>
    <cellStyle name="Comma 4 8 2" xfId="1962" xr:uid="{9CFC5858-7B26-4639-9EDC-4D0EC1866A51}"/>
    <cellStyle name="Comma 4 9" xfId="609" xr:uid="{0AD6F7A0-7063-4F73-B076-9B9A51396E07}"/>
    <cellStyle name="Comma 4 9 2" xfId="1963" xr:uid="{DE4189F7-03D4-4323-B71D-295F8A6B180C}"/>
    <cellStyle name="Comma 5" xfId="610" xr:uid="{91E8D148-3BCC-4CCF-9736-F7A80A1B8A1A}"/>
    <cellStyle name="Comma 5 2" xfId="611" xr:uid="{9B12E61B-9B1B-43BF-9C33-C1D6B3ACB9D0}"/>
    <cellStyle name="Comma 5 2 2" xfId="1965" xr:uid="{DD629147-5687-42A3-A104-1C59B2804BEC}"/>
    <cellStyle name="Comma 5 3" xfId="612" xr:uid="{9D34FEE0-DD43-4B89-8C29-33ADA356C933}"/>
    <cellStyle name="Comma 5 3 2" xfId="1966" xr:uid="{0915999C-C933-4BBA-8EF3-9DAB1DC29509}"/>
    <cellStyle name="Comma 5 4" xfId="613" xr:uid="{77B6F1E2-FF9C-4FEA-B01C-E190725643E2}"/>
    <cellStyle name="Comma 5 4 2" xfId="1967" xr:uid="{87BD32AF-AA06-4B60-B73D-9A7802D94A1A}"/>
    <cellStyle name="Comma 5 5" xfId="614" xr:uid="{AB6FC711-D840-449B-884E-CE17DF7A5892}"/>
    <cellStyle name="Comma 5 5 2" xfId="1968" xr:uid="{B418F1D9-7CFE-4792-9455-E2F696CE1493}"/>
    <cellStyle name="Comma 5 6" xfId="615" xr:uid="{FAD05973-B586-441F-8EA4-DFBF3124F2F1}"/>
    <cellStyle name="Comma 5 6 2" xfId="1969" xr:uid="{9754DA85-2297-4B69-A135-E3F9E7F8C7FF}"/>
    <cellStyle name="Comma 5 7" xfId="616" xr:uid="{54BD4258-6A73-4A71-BA28-520B9DA62026}"/>
    <cellStyle name="Comma 5 7 2" xfId="1970" xr:uid="{06492092-963A-4A52-9F44-4AFEE05D21C0}"/>
    <cellStyle name="Comma 5 8" xfId="617" xr:uid="{618E9AE7-FB4F-4D66-BB74-10B9ABBDF81D}"/>
    <cellStyle name="Comma 5 8 2" xfId="1971" xr:uid="{8EA9DC35-A051-4C73-8637-0D333AB940BF}"/>
    <cellStyle name="Comma 5 9" xfId="1964" xr:uid="{E3B9318D-ED06-49EA-A960-883C9235ACBC}"/>
    <cellStyle name="Comma 6" xfId="618" xr:uid="{3100EA3B-12EE-4D41-94A0-CD3BFECE7C2D}"/>
    <cellStyle name="Comma 6 2" xfId="619" xr:uid="{6008823A-6A05-4BE2-9AB1-2ACCF0B200BF}"/>
    <cellStyle name="Comma 6 2 2" xfId="1973" xr:uid="{D6B36A54-3A1B-4553-8E1D-217B22EC06FE}"/>
    <cellStyle name="Comma 6 3" xfId="620" xr:uid="{739CCFF1-AEC8-4C20-A82B-E888B0C3327E}"/>
    <cellStyle name="Comma 6 3 2" xfId="1974" xr:uid="{EFA80B2F-233F-4D01-A2FE-51693FB622E2}"/>
    <cellStyle name="Comma 6 4" xfId="621" xr:uid="{6ECC49F5-6C67-41F9-AAA2-3C6B43421EA0}"/>
    <cellStyle name="Comma 6 4 2" xfId="1975" xr:uid="{C8C9084B-E938-4E39-9E0B-DAFFE955AAB4}"/>
    <cellStyle name="Comma 6 5" xfId="622" xr:uid="{91D105CA-B1BA-4E56-AECB-01F32114C9A3}"/>
    <cellStyle name="Comma 6 5 2" xfId="1976" xr:uid="{C222E964-17ED-4B26-B1B5-E03A9C4A7657}"/>
    <cellStyle name="Comma 6 6" xfId="623" xr:uid="{07D14574-438D-4E84-8B1F-AAAD56F44823}"/>
    <cellStyle name="Comma 6 6 2" xfId="1977" xr:uid="{6F849874-6623-4CFA-9769-415908A30089}"/>
    <cellStyle name="Comma 6 7" xfId="624" xr:uid="{DB04328A-7A68-4101-9694-1CEEC051CB0C}"/>
    <cellStyle name="Comma 6 7 2" xfId="1978" xr:uid="{D195A563-2D22-4C4B-8973-C8C72D40BEB3}"/>
    <cellStyle name="Comma 6 8" xfId="625" xr:uid="{CC367ED2-08DC-4BF3-9304-684617D67631}"/>
    <cellStyle name="Comma 6 8 2" xfId="1979" xr:uid="{F3D235F7-8CC1-4030-A00D-9B3DA929803E}"/>
    <cellStyle name="Comma 6 9" xfId="1972" xr:uid="{87CC11F2-118E-4017-9E7C-BD86950E93F4}"/>
    <cellStyle name="Comma 7" xfId="626" xr:uid="{320B562B-1DA9-4E2C-99CB-0F603F45105F}"/>
    <cellStyle name="Comma 7 10" xfId="627" xr:uid="{F4F0E5D0-FC7A-45E8-8CB2-590130A3F825}"/>
    <cellStyle name="Comma 7 10 2" xfId="1980" xr:uid="{47B0A762-0BEB-48CD-9744-9BCD288EFC65}"/>
    <cellStyle name="Comma 7 11" xfId="628" xr:uid="{7C89DA23-7816-41B9-A44B-DF274C7A6FDC}"/>
    <cellStyle name="Comma 7 11 2" xfId="1981" xr:uid="{C92C41AF-43C5-4F5B-B378-F772DCE1F310}"/>
    <cellStyle name="Comma 7 12" xfId="629" xr:uid="{A8988E15-C663-4014-8382-0F59A05E585A}"/>
    <cellStyle name="Comma 7 12 2" xfId="1982" xr:uid="{0D658E65-34EA-40FD-8D19-287BB9F01917}"/>
    <cellStyle name="Comma 7 13" xfId="630" xr:uid="{61DB1C80-C38D-47E4-A859-D993D429DFAC}"/>
    <cellStyle name="Comma 7 13 2" xfId="1983" xr:uid="{E97997D4-8A94-446F-9295-BD6E5070AE55}"/>
    <cellStyle name="Comma 7 14" xfId="631" xr:uid="{F0946BEC-713C-4CE6-BD40-FD4880E903F7}"/>
    <cellStyle name="Comma 7 14 2" xfId="1984" xr:uid="{1F3C61D6-698D-40FF-8AD8-1B7A41557A1E}"/>
    <cellStyle name="Comma 7 15" xfId="632" xr:uid="{816B57A7-809B-4179-BB01-73A197F2AB3E}"/>
    <cellStyle name="Comma 7 15 2" xfId="1985" xr:uid="{83E47D74-EFA3-4FC4-A685-CD8F111D5FBB}"/>
    <cellStyle name="Comma 7 16" xfId="633" xr:uid="{2AFEA77C-8FF3-4235-9412-FA37FDC94DFE}"/>
    <cellStyle name="Comma 7 16 2" xfId="1986" xr:uid="{080400CB-8141-4F9A-9537-AA524B362026}"/>
    <cellStyle name="Comma 7 17" xfId="634" xr:uid="{08029A13-BEAD-46CF-BCBF-D492593D323B}"/>
    <cellStyle name="Comma 7 17 2" xfId="1987" xr:uid="{BA99452B-92E9-461D-94E1-150DF0927424}"/>
    <cellStyle name="Comma 7 18" xfId="635" xr:uid="{C4490ABF-0F18-4800-BC9E-F665195DCA51}"/>
    <cellStyle name="Comma 7 18 2" xfId="1988" xr:uid="{334AAE5D-8D7D-4CA7-900C-4855262A644C}"/>
    <cellStyle name="Comma 7 19" xfId="636" xr:uid="{D546E899-420B-4F21-99F5-E5DDB8B041FE}"/>
    <cellStyle name="Comma 7 19 2" xfId="1989" xr:uid="{E7C52B2D-DAE7-4493-9EF3-95E406760101}"/>
    <cellStyle name="Comma 7 2" xfId="637" xr:uid="{B3627C25-2441-4CF1-B4D4-456EB8E56CE1}"/>
    <cellStyle name="Comma 7 2 2" xfId="1990" xr:uid="{DABF50F9-1FB9-43A6-82FD-386C91B96E11}"/>
    <cellStyle name="Comma 7 20" xfId="638" xr:uid="{783A5BA3-67BB-4476-BD48-AE4FD8A8F924}"/>
    <cellStyle name="Comma 7 20 2" xfId="1991" xr:uid="{E2CEAE14-3C1F-4774-B827-8AC08EE59E8D}"/>
    <cellStyle name="Comma 7 21" xfId="639" xr:uid="{0596DA76-A6D5-4908-AE2A-A86D868F6241}"/>
    <cellStyle name="Comma 7 21 2" xfId="1992" xr:uid="{BF71735C-E78E-4F2B-9FC0-96663B4D231A}"/>
    <cellStyle name="Comma 7 3" xfId="640" xr:uid="{94B28D04-0799-4F43-9231-44F2F443610B}"/>
    <cellStyle name="Comma 7 3 10" xfId="641" xr:uid="{AF3C24FE-0A88-443C-9F72-43B8E520F78A}"/>
    <cellStyle name="Comma 7 3 10 2" xfId="1994" xr:uid="{BDEA180A-1B78-4B52-B99C-6A265C4CAD7B}"/>
    <cellStyle name="Comma 7 3 11" xfId="642" xr:uid="{67025770-A3C7-4A76-BA4B-DF65EA1ABF45}"/>
    <cellStyle name="Comma 7 3 11 2" xfId="1995" xr:uid="{86F7F242-4B54-4BDD-99BC-97303967A06C}"/>
    <cellStyle name="Comma 7 3 12" xfId="643" xr:uid="{12D47653-899B-438E-8C5E-ED711EECBD09}"/>
    <cellStyle name="Comma 7 3 12 2" xfId="1996" xr:uid="{BDE77C1C-5807-4755-9914-934EC0808DF5}"/>
    <cellStyle name="Comma 7 3 13" xfId="644" xr:uid="{92E52E42-DB84-440D-91B3-783476CB5D8E}"/>
    <cellStyle name="Comma 7 3 13 2" xfId="1997" xr:uid="{E3324031-7FF5-4211-B14A-FAB52BF4750B}"/>
    <cellStyle name="Comma 7 3 14" xfId="645" xr:uid="{425A52B9-9755-4253-B823-8F5A173712B9}"/>
    <cellStyle name="Comma 7 3 14 2" xfId="1998" xr:uid="{B4E75DAE-8852-4705-A5F0-EC9A56F1ADB3}"/>
    <cellStyle name="Comma 7 3 15" xfId="646" xr:uid="{BB8907DD-ED6C-4EB2-AD61-0222490D6D0C}"/>
    <cellStyle name="Comma 7 3 15 2" xfId="1999" xr:uid="{9C62E160-C281-48AA-9529-20273C4A2702}"/>
    <cellStyle name="Comma 7 3 16" xfId="1993" xr:uid="{F243EBE1-66DA-454D-B460-7A791D1A8A0E}"/>
    <cellStyle name="Comma 7 3 2" xfId="647" xr:uid="{85037995-B299-4E27-90B6-668007B5B20E}"/>
    <cellStyle name="Comma 7 3 2 2" xfId="2000" xr:uid="{DAD522D9-2408-414E-B6CC-461E2C8834C5}"/>
    <cellStyle name="Comma 7 3 3" xfId="648" xr:uid="{ABD1E40A-C6CD-4232-8A0C-67FD92601224}"/>
    <cellStyle name="Comma 7 3 3 2" xfId="2001" xr:uid="{60A45F37-53B3-43AB-9676-CF428C0CF4D1}"/>
    <cellStyle name="Comma 7 3 4" xfId="649" xr:uid="{53DEEBAD-B467-4FF0-AE20-D0EFEC062D25}"/>
    <cellStyle name="Comma 7 3 4 2" xfId="2002" xr:uid="{9F3B5AAF-CF1F-4FDE-848A-B434816FACAA}"/>
    <cellStyle name="Comma 7 3 5" xfId="650" xr:uid="{23691EB2-F3C7-4F3C-AF31-41B45786FF5C}"/>
    <cellStyle name="Comma 7 3 5 2" xfId="2003" xr:uid="{B8FD11AE-3497-4565-84B1-66AEFC12417F}"/>
    <cellStyle name="Comma 7 3 6" xfId="651" xr:uid="{2F0BC24B-0D3A-4A3A-BDB2-63C3D7E4E16B}"/>
    <cellStyle name="Comma 7 3 6 2" xfId="2004" xr:uid="{EEC70BA7-3DF9-4960-B73E-D6E208742467}"/>
    <cellStyle name="Comma 7 3 7" xfId="652" xr:uid="{3440FC10-FBC4-49E3-8097-847A09171A82}"/>
    <cellStyle name="Comma 7 3 7 2" xfId="2005" xr:uid="{5E7C99D3-C683-4F07-85EF-FD3CEFAC9CDC}"/>
    <cellStyle name="Comma 7 3 8" xfId="653" xr:uid="{BB8B34A3-0EC0-4251-B9D3-E5C113CB5BF5}"/>
    <cellStyle name="Comma 7 3 8 2" xfId="2006" xr:uid="{DD512D92-66E4-43E3-A7B0-BC6C8E967852}"/>
    <cellStyle name="Comma 7 3 9" xfId="654" xr:uid="{A9F95220-1FF8-4A0F-A943-22D402FB0EB4}"/>
    <cellStyle name="Comma 7 3 9 2" xfId="2007" xr:uid="{BA33B1A9-31E6-467D-938E-91152956F12B}"/>
    <cellStyle name="Comma 7 4" xfId="655" xr:uid="{E8E02416-254C-4A7D-BE2E-7732A7155EEA}"/>
    <cellStyle name="Comma 7 4 2" xfId="2008" xr:uid="{C0439689-71E9-4E9C-A101-26BA57F6CC5F}"/>
    <cellStyle name="Comma 7 5" xfId="656" xr:uid="{528801A7-4324-4473-A78E-211B06744175}"/>
    <cellStyle name="Comma 7 5 2" xfId="2009" xr:uid="{5C794BAC-3F43-4C9B-B775-F1FE91D2199D}"/>
    <cellStyle name="Comma 7 6" xfId="657" xr:uid="{D9BEF22F-B3AD-4771-A34F-AF92D03A7136}"/>
    <cellStyle name="Comma 7 6 2" xfId="2010" xr:uid="{BF33F579-D6CF-4DB4-9CEB-387BE983CC64}"/>
    <cellStyle name="Comma 7 7" xfId="658" xr:uid="{FA3E466E-744F-4718-93B2-4C2BBF18B24B}"/>
    <cellStyle name="Comma 7 7 2" xfId="2011" xr:uid="{F33E023C-054C-439E-9318-D23879F33F41}"/>
    <cellStyle name="Comma 7 8" xfId="659" xr:uid="{CB36A185-E6B7-4E90-A181-87659FBD6E85}"/>
    <cellStyle name="Comma 7 8 2" xfId="2012" xr:uid="{A2AF437F-8663-402B-980B-4A53DE11A8FD}"/>
    <cellStyle name="Comma 7 9" xfId="660" xr:uid="{CF26CE83-D197-4359-AF80-C569183E0C05}"/>
    <cellStyle name="Comma 7 9 2" xfId="2013" xr:uid="{B0663777-E320-48D9-B1C8-0EB322131267}"/>
    <cellStyle name="Comma 8" xfId="661" xr:uid="{8970B9F4-F7F5-4049-93B4-24A268A0D706}"/>
    <cellStyle name="Comma 8 2" xfId="662" xr:uid="{04DE7D1D-D45B-4FDA-AF30-7AE0E78D22FF}"/>
    <cellStyle name="Comma 8 2 2" xfId="2014" xr:uid="{55F5E345-98B8-4B33-84C9-678B74BDC913}"/>
    <cellStyle name="Comma 8 3" xfId="663" xr:uid="{6863CE0C-1DB2-42C7-B2D4-5D1EF4B1B8B4}"/>
    <cellStyle name="Comma 8 3 2" xfId="2015" xr:uid="{4289105B-BB76-4B30-836E-FFFEC0150B5A}"/>
    <cellStyle name="Comma 8 4" xfId="664" xr:uid="{1DC1653F-72CC-4954-BF90-2F58EA6E5B01}"/>
    <cellStyle name="Comma 8 4 2" xfId="2016" xr:uid="{1684CB63-4A86-44B9-BE31-335EFCF37D94}"/>
    <cellStyle name="Comma 8 5" xfId="665" xr:uid="{0E6AEFF3-4C0F-412F-A614-07C03B783CC4}"/>
    <cellStyle name="Comma 8 5 2" xfId="2017" xr:uid="{B4BC853A-E5AA-47A4-B646-F450EFFD5A22}"/>
    <cellStyle name="Comma 8 6" xfId="666" xr:uid="{D1AB91A6-9D99-489A-B5D6-92ED720ED255}"/>
    <cellStyle name="Comma 8 6 2" xfId="2018" xr:uid="{DE888721-1C9D-40C2-9A10-1C05D83AC5DF}"/>
    <cellStyle name="Comma 8 7" xfId="667" xr:uid="{3DE6C0A7-1E52-4E4F-BEEB-FDCDCF1F61DA}"/>
    <cellStyle name="Comma 8 7 2" xfId="2019" xr:uid="{A25B0721-E4B3-4717-BCC2-F5CDAA9BB051}"/>
    <cellStyle name="Comma 8 8" xfId="668" xr:uid="{71C3166F-9739-44FD-AB6A-F3ED53C019C7}"/>
    <cellStyle name="Comma 8 8 2" xfId="2020" xr:uid="{32898252-2E2B-4016-8096-168643949D09}"/>
    <cellStyle name="Comma 9" xfId="669" xr:uid="{08D28D30-81E7-4AE6-A651-08D519D74478}"/>
    <cellStyle name="Comma 9 10" xfId="2021" xr:uid="{16FD5EA5-7319-4211-ABF4-2469D01F4EC3}"/>
    <cellStyle name="Comma 9 2" xfId="670" xr:uid="{182754A9-DB54-4DEC-9E4C-2979A5B06EC6}"/>
    <cellStyle name="Comma 9 2 2" xfId="2022" xr:uid="{FFEC37BC-B03E-421D-89CF-3A095B7D6CC4}"/>
    <cellStyle name="Comma 9 3" xfId="671" xr:uid="{23E77985-90FD-41F3-942E-BE4D865241F3}"/>
    <cellStyle name="Comma 9 3 2" xfId="2023" xr:uid="{1BCE3944-ABCD-415E-924F-62BFD3EE6406}"/>
    <cellStyle name="Comma 9 4" xfId="672" xr:uid="{B49F4E46-6F34-4E0B-9F2A-D7C042059602}"/>
    <cellStyle name="Comma 9 4 2" xfId="2024" xr:uid="{0F10FACB-7106-4864-9A08-AA45D3D68D21}"/>
    <cellStyle name="Comma 9 5" xfId="673" xr:uid="{EC4CB72B-ED1D-421F-A743-3AE8EC9437C9}"/>
    <cellStyle name="Comma 9 5 2" xfId="2025" xr:uid="{7A2C5EAB-1542-4466-A641-6688CECC1303}"/>
    <cellStyle name="Comma 9 6" xfId="674" xr:uid="{1E83BC5B-0519-41AA-917F-E130CE8215B1}"/>
    <cellStyle name="Comma 9 6 2" xfId="2026" xr:uid="{04DA0805-E469-412C-8A6B-5A08A893C8CD}"/>
    <cellStyle name="Comma 9 7" xfId="675" xr:uid="{ADEF4189-802E-4D97-950C-995745272A68}"/>
    <cellStyle name="Comma 9 7 2" xfId="2027" xr:uid="{4DE748F6-AA27-4161-89E4-2DD6A72FDEF7}"/>
    <cellStyle name="Comma 9 8" xfId="676" xr:uid="{819BF3DD-33AF-47CA-9891-02E3BB06066B}"/>
    <cellStyle name="Comma 9 8 2" xfId="2028" xr:uid="{6CD6FA38-C3ED-4D39-8356-A0140B427AE6}"/>
    <cellStyle name="Comma 9 9" xfId="677" xr:uid="{9B07FB7B-8DCB-4437-8630-0DD701359CB0}"/>
    <cellStyle name="Comma 9 9 2" xfId="2029" xr:uid="{ABB7504C-3175-473B-9B39-7A736F602B42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15" sqref="B15"/>
    </sheetView>
  </sheetViews>
  <sheetFormatPr defaultColWidth="8.81640625" defaultRowHeight="14.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26953125" customWidth="1"/>
    <col min="15" max="15" width="13.2695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90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91</v>
      </c>
      <c r="B19" s="41" t="s">
        <v>104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92</v>
      </c>
      <c r="B20" s="41" t="s">
        <v>102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93</v>
      </c>
      <c r="B21" s="28" t="s">
        <v>108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94</v>
      </c>
      <c r="B23" s="41" t="s">
        <v>103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95</v>
      </c>
      <c r="B26" s="41" t="s">
        <v>103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97</v>
      </c>
      <c r="B30" s="43" t="s">
        <v>98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99</v>
      </c>
      <c r="B31" s="41" t="s">
        <v>100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08984375" defaultRowHeight="14.5"/>
  <cols>
    <col min="1" max="1" width="12.08984375" customWidth="1"/>
    <col min="2" max="2" width="11.7265625" customWidth="1"/>
    <col min="3" max="3" width="3.08984375" bestFit="1" customWidth="1"/>
    <col min="4" max="4" width="8.54296875" bestFit="1" customWidth="1"/>
    <col min="5" max="5" width="6.269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26953125" bestFit="1" customWidth="1"/>
    <col min="10" max="11" width="5.7265625" bestFit="1" customWidth="1"/>
    <col min="12" max="12" width="6.54296875" bestFit="1" customWidth="1"/>
    <col min="13" max="13" width="6.089843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089843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089843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workbookViewId="0">
      <selection activeCell="D8" sqref="D8"/>
    </sheetView>
  </sheetViews>
  <sheetFormatPr defaultColWidth="9.08984375" defaultRowHeight="14.5"/>
  <cols>
    <col min="2" max="2" width="14" bestFit="1" customWidth="1"/>
    <col min="3" max="3" width="30.08984375" bestFit="1" customWidth="1"/>
    <col min="4" max="4" width="28" bestFit="1" customWidth="1"/>
    <col min="5" max="5" width="26" bestFit="1" customWidth="1"/>
    <col min="6" max="6" width="28" bestFit="1" customWidth="1"/>
    <col min="13" max="13" width="10.5429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UC_CB_300_Mt_2021-2050</v>
      </c>
      <c r="D4" t="str">
        <f t="shared" ref="D4:E4" si="0" xml:space="preserve"> _xlfn.TEXTJOIN("_",TRUE,"UC","CB",ROUND(D7,0),"Mt",D6)</f>
        <v>UC_CB_274_Mt_2021-2030</v>
      </c>
      <c r="E4" t="str">
        <f t="shared" si="0"/>
        <v>UC_CB_26_Mt_2031-2050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68</v>
      </c>
      <c r="C5" t="str">
        <f xml:space="preserve"> _xlfn.TEXTJOIN(" ",TRUE,"Carbon budget",ROUND(C7,0),"Mt",C6)</f>
        <v>Carbon budget 300 Mt 2021-2050</v>
      </c>
      <c r="D5" t="str">
        <f t="shared" ref="D5:F5" si="2" xml:space="preserve"> _xlfn.TEXTJOIN(" ",TRUE,"Carbon budget",ROUND(D7,0),"Mt",D6)</f>
        <v>Carbon budget 274 Mt 2021-2030</v>
      </c>
      <c r="E5" t="str">
        <f t="shared" si="2"/>
        <v>Carbon budget 26 Mt 2031-2050</v>
      </c>
      <c r="F5" t="str">
        <f t="shared" si="2"/>
        <v>Carbon budget 0 Mt 2051-2100</v>
      </c>
    </row>
    <row r="6" spans="2:6">
      <c r="B6" t="s">
        <v>74</v>
      </c>
      <c r="C6" t="s">
        <v>122</v>
      </c>
      <c r="D6" t="s">
        <v>121</v>
      </c>
      <c r="E6" t="s">
        <v>107</v>
      </c>
      <c r="F6" t="s">
        <v>83</v>
      </c>
    </row>
    <row r="7" spans="2:6">
      <c r="B7" t="s">
        <v>69</v>
      </c>
      <c r="C7" s="17">
        <f>D19</f>
        <v>300</v>
      </c>
      <c r="D7" s="17">
        <f>D24+E24</f>
        <v>274.2</v>
      </c>
      <c r="E7" s="17">
        <f t="shared" ref="E7" si="3">F24</f>
        <v>25.800000000000011</v>
      </c>
      <c r="F7">
        <v>0</v>
      </c>
    </row>
    <row r="8" spans="2:6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>
      <c r="B9" t="s">
        <v>62</v>
      </c>
      <c r="C9" t="s">
        <v>113</v>
      </c>
      <c r="D9" t="s">
        <v>113</v>
      </c>
      <c r="E9" t="s">
        <v>113</v>
      </c>
      <c r="F9" t="s">
        <v>113</v>
      </c>
    </row>
    <row r="10" spans="2:6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76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110</v>
      </c>
      <c r="D19" s="35">
        <v>300</v>
      </c>
    </row>
    <row r="22" spans="3:7">
      <c r="C22" s="33" t="s">
        <v>109</v>
      </c>
    </row>
    <row r="23" spans="3:7">
      <c r="C23" t="s">
        <v>74</v>
      </c>
      <c r="D23" s="34" t="s">
        <v>105</v>
      </c>
      <c r="E23" s="34" t="s">
        <v>106</v>
      </c>
      <c r="F23" s="34" t="s">
        <v>107</v>
      </c>
      <c r="G23" s="34" t="s">
        <v>83</v>
      </c>
    </row>
    <row r="24" spans="3:7">
      <c r="C24" t="s">
        <v>69</v>
      </c>
      <c r="D24" s="34">
        <f>40+54+29+7+30+5.2</f>
        <v>165.2</v>
      </c>
      <c r="E24" s="34">
        <f>20+37+23+5+24</f>
        <v>109</v>
      </c>
      <c r="F24" s="34">
        <f>D19-D24-E24</f>
        <v>25.800000000000011</v>
      </c>
      <c r="G24" s="34">
        <v>0</v>
      </c>
    </row>
    <row r="26" spans="3:7">
      <c r="C26" t="s">
        <v>111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14"/>
  <sheetViews>
    <sheetView tabSelected="1" workbookViewId="0">
      <selection activeCell="E13" sqref="E13"/>
    </sheetView>
  </sheetViews>
  <sheetFormatPr defaultColWidth="9.08984375" defaultRowHeight="14.5"/>
  <cols>
    <col min="2" max="2" width="28.54296875" bestFit="1" customWidth="1"/>
    <col min="3" max="3" width="12" bestFit="1" customWidth="1"/>
    <col min="4" max="4" width="8.26953125" bestFit="1" customWidth="1"/>
    <col min="5" max="5" width="20" customWidth="1"/>
    <col min="6" max="6" width="10.7265625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9.26953125" bestFit="1" customWidth="1"/>
    <col min="12" max="12" width="34.26953125" bestFit="1" customWidth="1"/>
  </cols>
  <sheetData>
    <row r="1" spans="1:12">
      <c r="A1" t="s">
        <v>64</v>
      </c>
    </row>
    <row r="2" spans="1:12">
      <c r="B2" s="9" t="str">
        <f>"~UC_Sets: R_E: "  &amp; _xlfn.TEXTJOIN(",",TRUE,Regions!C3)</f>
        <v>~UC_Sets: R_E: IE</v>
      </c>
    </row>
    <row r="3" spans="1:12">
      <c r="B3" s="9" t="s">
        <v>75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2">
      <c r="B7" t="str">
        <f>VLOOKUP($B$5, config!$B$4:$F$14,2,FALSE) &amp; "_Single"</f>
        <v>UC_CB_300_Mt_2021-2050_Single</v>
      </c>
      <c r="C7" t="str">
        <f>VLOOKUP(C$5, config!$B$4:$F$14,2,FALSE)</f>
        <v>TOTCO2</v>
      </c>
      <c r="D7" t="str">
        <f>VLOOKUP(D$5, config!$B$4:$F$14,2,FALSE)</f>
        <v>ENV</v>
      </c>
      <c r="E7" s="44" t="s">
        <v>123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300000</v>
      </c>
      <c r="L7" t="str">
        <f>VLOOKUP($L$5, config!$B$4:$F$14,2,FALSE) &amp; " - Single"</f>
        <v>Carbon budget 300 Mt 2021-2050 - Single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"\I:"&amp;VLOOKUP($B$5, config!$B$4:$F$14,3,FALSE) &amp; "_Single"</f>
        <v>\I:UC_CB_274_Mt_2021-2030_Single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274200</v>
      </c>
      <c r="L9" t="str">
        <f>VLOOKUP($L$5, config!$B$4:$F$14,3,FALSE) &amp; " - Single"</f>
        <v>Carbon budget 274 Mt 2021-2030 - Single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"\I:"&amp;VLOOKUP($B$5, config!$B$4:$F$14,4,FALSE) &amp; "_Single"</f>
        <v>\I:UC_CB_26_Mt_2031-2050_Single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25800.000000000011</v>
      </c>
      <c r="L11" t="str">
        <f>VLOOKUP($L$5, config!$B$4:$F$14,4,FALSE) &amp; " - Single"</f>
        <v>Carbon budget 26 Mt 2031-2050 - Single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</row>
    <row r="13" spans="1:12">
      <c r="B13" t="str">
        <f>VLOOKUP($B$5, config!$B$4:$F$14,5,FALSE) &amp; "_Single"</f>
        <v>UC_CB_0_Mt_2051-2100_Single</v>
      </c>
      <c r="C13" t="str">
        <f>VLOOKUP(C$5, config!$B$4:$F$14,5,FALSE)</f>
        <v>TOTCO2</v>
      </c>
      <c r="D13" t="str">
        <f>VLOOKUP(D$5, config!$B$4:$F$14,5,FALSE)</f>
        <v>ENV</v>
      </c>
      <c r="E13" s="44" t="s">
        <v>123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>
        <f>VLOOKUP("Value", config!$B$4:$F$14,5,FALSE)*1000</f>
        <v>0</v>
      </c>
      <c r="L13" t="str">
        <f>VLOOKUP($L$5, config!$B$4:$F$14,5,FALSE) &amp; " - Single"</f>
        <v>Carbon budget 0 Mt 2051-2100 - Single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C7" sqref="C7"/>
    </sheetView>
  </sheetViews>
  <sheetFormatPr defaultColWidth="9.08984375" defaultRowHeight="14.5"/>
  <cols>
    <col min="2" max="2" width="33.08984375" customWidth="1"/>
    <col min="3" max="3" width="12" bestFit="1" customWidth="1"/>
    <col min="4" max="4" width="8.26953125" bestFit="1" customWidth="1"/>
    <col min="5" max="5" width="14.26953125" bestFit="1" customWidth="1"/>
    <col min="6" max="6" width="9.26953125" bestFit="1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8.26953125" bestFit="1" customWidth="1"/>
    <col min="12" max="12" width="33.81640625" bestFit="1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120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UC_CB_300_Mt_2021-2050_Multi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300000</v>
      </c>
      <c r="L7" t="str">
        <f>VLOOKUP(L$5, config!$B$4:$F$14,2,FALSE) &amp; " - Multi"</f>
        <v>Carbon budget 300 Mt 2021-2050 - Multi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UC_CB_274_Mt_2021-2030_Multi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274200</v>
      </c>
      <c r="L9" t="str">
        <f>VLOOKUP(L$5, config!$B$4:$F$14,3,FALSE) &amp; " - Multi"</f>
        <v>Carbon budget 274 Mt 2021-2030 - Multi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"\I:"&amp;VLOOKUP(B$5, config!$B$4:$F$14,4,FALSE) &amp; "_Multi"</f>
        <v>\I:UC_CB_26_Mt_2031-2050_Multi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25800.000000000011</v>
      </c>
      <c r="L11" t="str">
        <f>VLOOKUP(L$5, config!$B$4:$F$14,4,FALSE) &amp; " - Multi"</f>
        <v>Carbon budget 26 Mt 2031-2050 - Multi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UC_CB_0_Mt_2051-2100_Multi</v>
      </c>
      <c r="C13" t="str">
        <f>VLOOKUP(C$5, config!$B$4:$F$14,5,FALSE)</f>
        <v>TOTCO2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2051-2100 - Multi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F16" sqref="F16"/>
    </sheetView>
  </sheetViews>
  <sheetFormatPr defaultRowHeight="14.5"/>
  <cols>
    <col min="2" max="2" width="10.08984375" bestFit="1" customWidth="1"/>
    <col min="4" max="4" width="13.7265625" bestFit="1" customWidth="1"/>
    <col min="5" max="5" width="5.08984375" bestFit="1" customWidth="1"/>
    <col min="6" max="6" width="10.08984375" bestFit="1" customWidth="1"/>
  </cols>
  <sheetData>
    <row r="2" spans="2:9">
      <c r="B2" s="14" t="s">
        <v>118</v>
      </c>
    </row>
    <row r="3" spans="2:9" ht="15" thickBot="1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  <row r="7" spans="2:9">
      <c r="B7" s="38" t="s">
        <v>84</v>
      </c>
      <c r="D7" s="36"/>
      <c r="E7" s="36"/>
      <c r="F7" s="36"/>
      <c r="G7" s="36"/>
      <c r="H7" s="36"/>
      <c r="I7" s="36"/>
    </row>
    <row r="8" spans="2:9" ht="15" thickBot="1">
      <c r="B8" s="39" t="s">
        <v>85</v>
      </c>
      <c r="C8" s="39" t="s">
        <v>0</v>
      </c>
      <c r="D8" s="39" t="s">
        <v>86</v>
      </c>
      <c r="E8" s="39" t="s">
        <v>74</v>
      </c>
      <c r="F8" s="39" t="s">
        <v>114</v>
      </c>
      <c r="G8" s="39" t="s">
        <v>115</v>
      </c>
      <c r="H8" s="39" t="s">
        <v>81</v>
      </c>
      <c r="I8" s="39" t="s">
        <v>62</v>
      </c>
    </row>
    <row r="9" spans="2:9">
      <c r="C9" s="36" t="s">
        <v>116</v>
      </c>
      <c r="D9" s="36" t="s">
        <v>88</v>
      </c>
      <c r="E9" s="36">
        <v>0</v>
      </c>
      <c r="F9" s="36">
        <v>3</v>
      </c>
      <c r="G9" s="36"/>
      <c r="H9" s="36"/>
      <c r="I9" s="37" t="s">
        <v>117</v>
      </c>
    </row>
    <row r="10" spans="2:9">
      <c r="C10" s="36" t="s">
        <v>116</v>
      </c>
      <c r="D10" s="36" t="s">
        <v>88</v>
      </c>
      <c r="E10" s="36"/>
      <c r="F10" s="40">
        <v>-9999999</v>
      </c>
      <c r="G10" s="36"/>
      <c r="H10" s="36"/>
      <c r="I10" s="37" t="s">
        <v>117</v>
      </c>
    </row>
    <row r="11" spans="2:9">
      <c r="C11" s="36" t="s">
        <v>116</v>
      </c>
      <c r="D11" s="36" t="s">
        <v>119</v>
      </c>
      <c r="E11" s="36">
        <v>0</v>
      </c>
      <c r="F11" s="36">
        <v>3</v>
      </c>
      <c r="G11" s="36"/>
      <c r="H11" s="36"/>
      <c r="I11" s="37" t="s">
        <v>117</v>
      </c>
    </row>
    <row r="12" spans="2:9">
      <c r="C12" s="36" t="s">
        <v>116</v>
      </c>
      <c r="D12" s="36" t="s">
        <v>119</v>
      </c>
      <c r="E12" s="36"/>
      <c r="F12" s="40">
        <v>-9999999</v>
      </c>
      <c r="G12" s="36"/>
      <c r="H12" s="36"/>
      <c r="I12" s="3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2025-11-07T13:59:42Z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