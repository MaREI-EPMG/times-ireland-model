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228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10" yWindow="10690" windowWidth="19420" windowHeight="10300" activeTab="3"/>
  </bookViews>
  <sheets>
    <sheet name="Cover" sheetId="5" r:id="rId4"/>
    <sheet name="BY-Demands" sheetId="4" r:id="rId5"/>
    <sheet name="REG_TRA_DEMANDS" sheetId="3" r:id="rId6"/>
    <sheet name="DEMANDS" sheetId="1" r:id="rId7"/>
    <sheet name="Regions" sheetId="2" r:id="rId8"/>
    <sheet name="TRA-2021" sheetId="6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7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8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9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20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20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20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<sst xmlns="http://schemas.openxmlformats.org/spreadsheetml/2006/main" count="804" uniqueCount="220">
  <si>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</si>
  <si>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</si>
  <si>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</si>
  <si>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</si>
  <si>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</si>
  <si>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</si>
  <si>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</si>
  <si>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</si>
  <si>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</si>
  <si>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</si>
  <si>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</si>
  <si>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</si>
  <si>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</si>
  <si>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</si>
  <si>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</si>
  <si>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</si>
  <si>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</si>
  <si>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</si>
  <si>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</si>
  <si>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</si>
  <si>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</si>
  <si>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</si>
  <si>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</si>
  <si>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</si>
  <si>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</si>
  <si>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</si>
  <si>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</si>
  <si>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</si>
  <si>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</si>
  <si>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</si>
  <si>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</si>
  <si>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</si>
  <si>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</si>
  <si>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</si>
  <si>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</si>
  <si>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</si>
  <si>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</si>
  <si>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</si>
  <si>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</si>
  <si>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</si>
  <si>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</si>
  <si>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</si>
  <si>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</si>
  <si>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</si>
  <si>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</si>
  <si>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</si>
  <si>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</si>
  <si>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</si>
  <si>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</si>
  <si>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</si>
  <si>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</si>
  <si>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</si>
  <si>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</si>
  <si>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</si>
  <si>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</si>
  <si>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</si>
  <si>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</si>
  <si>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</si>
  <si>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</si>
  <si>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</si>
  <si>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</si>
  <si>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</si>
  <si>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</si>
  <si>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</si>
  <si>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</si>
  <si>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</si>
  <si>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</si>
  <si>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</si>
  <si>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</si>
  <si>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</si>
  <si>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</si>
  <si>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</si>
  <si>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</si>
  <si>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</si>
  <si>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</si>
  <si>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</si>
  <si>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</si>
  <si>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</si>
  <si>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</si>
  <si>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</si>
  <si>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</si>
  <si>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</si>
  <si>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</si>
  <si>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</si>
  <si>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</si>
  <si>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</si>
  <si>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</si>
  <si>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</si>
  <si>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</si>
  <si>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</si>
  <si>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</si>
  <si>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</si>
  <si>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</si>
  <si>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</si>
  <si>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</si>
  <si>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</si>
  <si>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</si>
  <si>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</si>
  <si>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</si>
  <si>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</si>
  <si>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</si>
  <si>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</si>
  <si>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</si>
  <si>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</si>
  <si>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</si>
  <si>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</si>
  <si>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</si>
  <si>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</si>
  <si>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</si>
  <si>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</si>
  <si>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</si>
  <si>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</si>
  <si>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</si>
  <si>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</si>
  <si>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</si>
  <si>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</si>
  <si>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</si>
  <si>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</si>
  <si>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</si>
  <si>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</si>
  <si>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</si>
  <si>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</si>
  <si>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</si>
  <si>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</si>
  <si>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</si>
  <si>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</si>
  <si>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</si>
  <si>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</si>
  <si>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</si>
  <si>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</si>
  <si>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</si>
  <si>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</si>
  <si>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</si>
  <si>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</si>
  <si>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</si>
  <si>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</si>
  <si>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</si>
  <si>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</si>
  <si>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</si>
  <si>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</si>
  <si>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</si>
  <si>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</si>
  <si>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</si>
  <si>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</si>
  <si>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</si>
  <si>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</si>
  <si>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</si>
  <si>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</si>
  <si>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</si>
  <si>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</si>
  <si>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</si>
  <si>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</si>
  <si>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</si>
  <si>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</si>
  <si>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</si>
  <si>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</si>
  <si>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</si>
  <si>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</si>
  <si>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</si>
  <si>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</si>
  <si>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</si>
  <si>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</si>
  <si>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</si>
  <si>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</si>
  <si>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</si>
  <si>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</si>
  <si>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</si>
  <si>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</si>
  <si>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</si>
  <si>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</si>
  <si>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</si>
  <si>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</si>
  <si>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</si>
  <si>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</si>
  <si>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</si>
  <si>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</si>
  <si>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</si>
  <si>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</si>
  <si>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</si>
  <si>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</si>
  <si>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</si>
  <si>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</si>
  <si>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</si>
  <si>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</si>
  <si>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</si>
  <si>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</si>
  <si>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</si>
  <si>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</si>
  <si>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</si>
  <si>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</si>
  <si>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</si>
  <si>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</si>
  <si>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</si>
  <si>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</si>
  <si>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</si>
  <si>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</si>
  <si>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</si>
  <si>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</si>
  <si>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</si>
  <si>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</si>
  <si>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</si>
  <si>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</si>
  <si>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</si>
  <si>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</si>
  <si>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</si>
  <si>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</si>
  <si>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</si>
  <si>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</si>
  <si>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</si>
  <si>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</si>
  <si>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</si>
  <si>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</si>
  <si>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</si>
  <si>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</si>
  <si>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Transport Demand: Aviation international_Short</t>
  </si>
  <si>
    <t>Transport Demand: Aviation international_Medium</t>
  </si>
  <si>
    <t>Transport Demand: Aviation international_Long</t>
  </si>
  <si>
    <t>TAVIINTS</t>
  </si>
  <si>
    <t>TAVIINTM</t>
  </si>
  <si>
    <t>TAVIINTL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</si>
</sst>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  <numFmt numFmtId="172" formatCode="_-&quot;€&quot;* #,##0_-;\-&quot;€&quot;* #,##0_-;_-&quot;€&quot;* &quot;-&quot;_-;_-@_-"/>
    <numFmt numFmtId="173" formatCode="_-* #,##0_-;\-* #,##0_-;_-* &quot;-&quot;_-;_-@_-"/>
    <numFmt numFmtId="174" formatCode="_-&quot;€&quot;* #,##0.00_-;\-&quot;€&quot;* #,##0.00_-;_-&quot;€&quot;* &quot;-&quot;??_-;_-@_-"/>
    <numFmt numFmtId="175" formatCode="_-* #,##0.00_-;\-* #,##0.00_-;_-* &quot;-&quot;??_-;_-@_-"/>
  </numFmts>
  <fonts count="3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8849987983704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884998798370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  <font>
      <u val="single"/>
      <sz val="11"/>
      <color theme="10"/>
      <name val="Calibri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88599926233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40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5" fillId="0" borderId="0" applyBorder="0">
      <alignment/>
      <protection/>
    </xf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0" fontId="35" fillId="0" borderId="0" applyBorder="0">
      <alignment/>
      <protection/>
    </xf>
    <xf numFmtId="0" fontId="3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Border="0">
      <alignment/>
      <protection/>
    </xf>
    <xf numFmtId="0" fontId="35" fillId="0" borderId="0" applyBorder="0">
      <alignment/>
      <protection/>
    </xf>
    <xf numFmtId="43" fontId="3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29" fillId="0" borderId="1" xfId="0" applyFont="1" applyBorder="1" applyAlignment="1">
      <alignment horizontal="left"/>
    </xf>
    <xf numFmtId="0" fontId="31" fillId="0" borderId="1" xfId="0" applyFont="1" applyBorder="1" applyAlignment="1">
      <alignment horizontal="right"/>
    </xf>
    <xf numFmtId="0" fontId="30" fillId="0" borderId="1" xfId="0" applyFont="1" applyBorder="1" applyAlignment="1">
      <alignment horizontal="right"/>
    </xf>
    <xf numFmtId="0" fontId="12" fillId="9" borderId="0" xfId="20" applyFill="1" applyAlignment="1">
      <alignment vertical="center"/>
    </xf>
    <xf numFmtId="0" fontId="13" fillId="9" borderId="0" xfId="21" applyFont="1" applyFill="1" applyAlignment="1">
      <alignment horizontal="center" vertical="center"/>
      <protection/>
    </xf>
    <xf numFmtId="0" fontId="16" fillId="9" borderId="0" xfId="21" applyFont="1" applyFill="1" applyAlignment="1">
      <alignment vertical="center"/>
      <protection/>
    </xf>
    <xf numFmtId="0" fontId="29" fillId="0" borderId="1" xfId="0" applyFont="1" applyBorder="1" applyAlignment="1">
      <alignment horizontal="left"/>
    </xf>
    <xf numFmtId="0" fontId="12" fillId="9" borderId="0" xfId="20" applyFill="1" applyAlignment="1">
      <alignment vertical="center"/>
    </xf>
    <xf numFmtId="0" fontId="16" fillId="9" borderId="0" xfId="21" applyFont="1" applyFill="1" applyAlignment="1">
      <alignment vertical="center"/>
      <protection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 applyProtection="1">
      <alignment horizontal="left" vertical="center"/>
      <protection locked="0"/>
    </xf>
    <xf numFmtId="0" fontId="3" fillId="11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6" fillId="12" borderId="2" xfId="0" applyFont="1" applyFill="1" applyBorder="1"/>
    <xf numFmtId="0" fontId="7" fillId="13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14" borderId="2" xfId="0" applyFont="1" applyFill="1" applyBorder="1"/>
    <xf numFmtId="0" fontId="6" fillId="13" borderId="2" xfId="0" applyFont="1" applyFill="1" applyBorder="1"/>
    <xf numFmtId="0" fontId="5" fillId="13" borderId="2" xfId="0" applyFont="1" applyFill="1" applyBorder="1"/>
    <xf numFmtId="0" fontId="6" fillId="0" borderId="0" xfId="0" applyFont="1"/>
    <xf numFmtId="2" fontId="6" fillId="15" borderId="0" xfId="0" applyNumberFormat="1" applyFont="1" applyFill="1"/>
    <xf numFmtId="0" fontId="6" fillId="15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16" borderId="0" xfId="0" applyFill="1"/>
    <xf numFmtId="1" fontId="0" fillId="0" borderId="0" xfId="0" applyNumberFormat="1"/>
    <xf numFmtId="1" fontId="0" fillId="0" borderId="1" xfId="0" applyNumberFormat="1" applyBorder="1"/>
    <xf numFmtId="1" fontId="0" fillId="0" borderId="6" xfId="0" applyNumberFormat="1" applyBorder="1"/>
    <xf numFmtId="0" fontId="0" fillId="9" borderId="0" xfId="21" applyFont="1" applyFill="1" applyAlignment="1">
      <alignment vertical="center"/>
      <protection/>
    </xf>
    <xf numFmtId="0" fontId="0" fillId="17" borderId="0" xfId="21" applyFont="1" applyFill="1" applyAlignment="1">
      <alignment vertical="center"/>
      <protection/>
    </xf>
    <xf numFmtId="0" fontId="13" fillId="17" borderId="0" xfId="21" applyFont="1" applyFill="1" applyAlignment="1">
      <alignment vertical="center"/>
      <protection/>
    </xf>
    <xf numFmtId="0" fontId="12" fillId="17" borderId="0" xfId="21" applyFont="1" applyFill="1" applyAlignment="1">
      <alignment vertical="center"/>
      <protection/>
    </xf>
    <xf numFmtId="0" fontId="0" fillId="18" borderId="0" xfId="21" applyFont="1" applyFill="1" applyAlignment="1">
      <alignment vertical="center"/>
      <protection/>
    </xf>
    <xf numFmtId="0" fontId="7" fillId="17" borderId="0" xfId="21" applyFont="1" applyFill="1" applyAlignment="1">
      <alignment vertical="center"/>
      <protection/>
    </xf>
    <xf numFmtId="0" fontId="14" fillId="17" borderId="0" xfId="21" applyFont="1" applyFill="1" applyAlignment="1">
      <alignment vertical="center"/>
      <protection/>
    </xf>
    <xf numFmtId="0" fontId="15" fillId="9" borderId="0" xfId="21" applyFont="1" applyFill="1" applyAlignment="1">
      <alignment vertical="center"/>
      <protection/>
    </xf>
    <xf numFmtId="0" fontId="16" fillId="17" borderId="0" xfId="21" applyFont="1" applyFill="1" applyAlignment="1">
      <alignment vertical="center"/>
      <protection/>
    </xf>
    <xf numFmtId="0" fontId="17" fillId="17" borderId="0" xfId="21" applyFont="1" applyFill="1" applyAlignment="1">
      <alignment vertical="center"/>
      <protection/>
    </xf>
    <xf numFmtId="166" fontId="16" fillId="9" borderId="0" xfId="21" applyNumberFormat="1" applyFont="1" applyFill="1" applyAlignment="1">
      <alignment horizontal="left" vertical="center"/>
      <protection/>
    </xf>
    <xf numFmtId="0" fontId="18" fillId="17" borderId="0" xfId="21" applyFont="1" applyFill="1" applyAlignment="1">
      <alignment vertical="center"/>
      <protection/>
    </xf>
    <xf numFmtId="0" fontId="19" fillId="9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13" borderId="2" xfId="21" applyFont="1" applyFill="1" applyBorder="1" applyAlignment="1">
      <alignment vertical="center"/>
      <protection/>
    </xf>
    <xf numFmtId="0" fontId="3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1" xfId="0" applyFont="1" applyBorder="1"/>
    <xf numFmtId="3" fontId="29" fillId="0" borderId="1" xfId="0" applyNumberFormat="1" applyFont="1" applyBorder="1"/>
    <xf numFmtId="3" fontId="32" fillId="0" borderId="1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7" xfId="0" applyFont="1" applyBorder="1" applyAlignment="1">
      <alignment horizontal="right" wrapText="1"/>
    </xf>
    <xf numFmtId="0" fontId="29" fillId="0" borderId="1" xfId="0" applyFont="1" applyBorder="1" applyAlignment="1">
      <alignment horizontal="right" wrapText="1"/>
    </xf>
    <xf numFmtId="0" fontId="29" fillId="0" borderId="7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1" xfId="0" applyNumberFormat="1" applyBorder="1"/>
    <xf numFmtId="0" fontId="33" fillId="19" borderId="8" xfId="0" applyFont="1" applyFill="1" applyBorder="1" applyAlignment="1">
      <alignment horizontal="left" vertical="center"/>
    </xf>
    <xf numFmtId="171" fontId="5" fillId="0" borderId="0" xfId="0" applyNumberFormat="1" applyFont="1"/>
    <xf numFmtId="0" fontId="34" fillId="0" borderId="0" xfId="0" applyFont="1"/>
    <xf numFmtId="2" fontId="34" fillId="0" borderId="0" xfId="0" applyNumberFormat="1" applyFont="1"/>
  </cellXfs>
  <cellStyles count="38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Percent 4" xfId="372"/>
    <cellStyle name="Comma 7" xfId="373"/>
    <cellStyle name="Normal 3 3" xfId="374"/>
    <cellStyle name="Comma 4 3" xfId="375"/>
    <cellStyle name="Percent 3" xfId="376"/>
    <cellStyle name="Hyperlink 2" xfId="377"/>
    <cellStyle name="Comma 9" xfId="378"/>
    <cellStyle name="Comma 3 3" xfId="379"/>
    <cellStyle name="Normal 2 2 2" xfId="380"/>
    <cellStyle name="Comma 2 3" xfId="381"/>
    <cellStyle name="Normal 121" xfId="382"/>
    <cellStyle name="Hyperlink 3" xfId="383"/>
    <cellStyle name="Currency 2 3" xfId="384"/>
    <cellStyle name="Currency [0] 2" xfId="385"/>
    <cellStyle name="Comma 5 2" xfId="386"/>
    <cellStyle name="Comma [0] 2" xfId="387"/>
    <cellStyle name="Currency 3 2" xfId="388"/>
    <cellStyle name="Comma 6" xfId="389"/>
    <cellStyle name="Comma 8" xfId="390"/>
    <cellStyle name="Normal 122" xfId="391"/>
    <cellStyle name="Normal 123" xfId="392"/>
    <cellStyle name="Comma 10" xfId="393"/>
    <cellStyle name="Comma 4 4" xfId="394"/>
    <cellStyle name="Comma 3 4" xfId="395"/>
    <cellStyle name="Comma 2 4" xfId="396"/>
    <cellStyle name="Currency 2 4" xfId="397"/>
    <cellStyle name="Currency [0] 2 2" xfId="398"/>
    <cellStyle name="Comma 5 3" xfId="399"/>
    <cellStyle name="Comma [0] 2 2" xfId="400"/>
    <cellStyle name="Currency 3 3" xfId="401"/>
    <cellStyle name="Comma 6 2" xfId="40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microsoft.com/office/2017/10/relationships/person" Target="persons/person.xml" /><Relationship Id="rId9" Type="http://schemas.openxmlformats.org/officeDocument/2006/relationships/worksheet" Target="worksheets/sheet6.xml" /><Relationship Id="rId1" Type="http://schemas.openxmlformats.org/officeDocument/2006/relationships/theme" Target="theme/theme1.xml" /><Relationship Id="rId12" Type="http://schemas.openxmlformats.org/officeDocument/2006/relationships/sheetMetadata" Target="metadata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DEMANDS!$G$114:$CK$114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DEMANDS!$G$115:$CK$115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DEMANDS!$G$116:$CK$116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1.41052284974068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DEMANDS!$G$128:$CK$128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DEMANDS!$G$136:$CK$136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DEMANDS!$G$137:$CK$137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DEMANDS!$G$138:$CK$138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2971229"/>
        <c:axId val="30326004"/>
      </c:lineChart>
      <c:catAx>
        <c:axId val="29712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6004"/>
        <c:crosses val="autoZero"/>
        <c:auto val="1"/>
        <c:lblOffset val="100"/>
        <c:noMultiLvlLbl val="0"/>
      </c:catAx>
      <c:valAx>
        <c:axId val="30326004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29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493" t="8808" r="7621" b="12800"/>
        <a:stretch>
          <a:fillRect/>
        </a:stretch>
      </xdr:blipFill>
      <xdr:spPr>
        <a:xfrm>
          <a:off x="19050" y="8610600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610600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610600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43" t="6439" r="3886" b="6250"/>
        <a:stretch>
          <a:fillRect/>
        </a:stretch>
      </xdr:blipFill>
      <xdr:spPr>
        <a:xfrm>
          <a:off x="3629025" y="7810500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74" t="26074" r="3874" b="26072"/>
        <a:stretch>
          <a:fillRect/>
        </a:stretch>
      </xdr:blipFill>
      <xdr:spPr bwMode="auto">
        <a:xfrm>
          <a:off x="666750" y="7915275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110</xdr:row>
      <xdr:rowOff>11206</xdr:rowOff>
    </xdr:from>
    <xdr:to>
      <xdr:col>78</xdr:col>
      <xdr:colOff>78441</xdr:colOff>
      <xdr:row>145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376225" y="19954875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20" dT="2022-10-12T22:37:02.29" personId="{0A8A7407-B799-464F-972A-BE460CC4D111}" id="{005BD459-4167-434A-824B-E28EB95E63A1}">
    <text>Sum of Eurostat tables: 
1) ROAD_GO_TA_TOTT
2) RAIL_GO_TOTAL</text>
  </threadedComment>
  <threadedComment ref="I120" dT="2022-10-12T22:37:46.05" personId="{0A8A7407-B799-464F-972A-BE460CC4D111}" id="{B60F1593-6574-4356-A75A-A449B53F0694}">
    <text>Sum of Eurostat tables: 
1) ROAD_GO_TA_TOTT
2) RAIL_GO_TOTAL</text>
  </threadedComment>
  <threadedComment ref="J120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workbookViewId="0" topLeftCell="A18">
      <selection pane="topLeft" activeCell="B26" sqref="B26:D26"/>
    </sheetView>
  </sheetViews>
  <sheetFormatPr defaultColWidth="8.77428571428571" defaultRowHeight="14.4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4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4">
      <c r="A2" s="38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4">
      <c r="A3" s="38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">
      <c r="A4" s="38"/>
      <c r="B4" s="38"/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">
      <c r="A5" s="38"/>
      <c r="B5" s="38"/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4">
      <c r="A6" s="38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4">
      <c r="A7" s="38"/>
      <c r="B7" s="38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4">
      <c r="A8" s="38"/>
      <c r="B8" s="38"/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4">
      <c r="A9" s="38"/>
      <c r="B9" s="38"/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38"/>
      <c r="B10" s="38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4">
      <c r="A11" s="38"/>
      <c r="B11" s="38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4">
      <c r="A12" s="38"/>
      <c r="B12" s="38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4">
      <c r="A13" s="38"/>
      <c r="B13" s="38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4">
      <c r="A14" s="38"/>
      <c r="B14" s="38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4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2.75" customHeight="1">
      <c r="A16" s="5" t="s">
        <v>143</v>
      </c>
      <c r="B16" s="5"/>
      <c r="C16" s="5"/>
      <c r="D16" s="5"/>
      <c r="E16" s="40"/>
      <c r="F16" s="40"/>
      <c r="G16" s="41"/>
      <c r="H16" s="41"/>
      <c r="I16" s="41"/>
      <c r="J16" s="41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>
      <c r="A17" s="42"/>
      <c r="B17" s="42"/>
      <c r="C17" s="42"/>
      <c r="D17" s="4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>
      <c r="A18" s="42"/>
      <c r="B18" s="42"/>
      <c r="C18" s="42"/>
      <c r="D18" s="42"/>
      <c r="E18" s="43"/>
      <c r="F18" s="43"/>
      <c r="G18" s="44"/>
      <c r="H18" s="44"/>
      <c r="I18" s="44"/>
      <c r="J18" s="44"/>
      <c r="K18" s="44"/>
      <c r="L18" s="4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>
      <c r="A19" s="45" t="s">
        <v>144</v>
      </c>
      <c r="B19" s="6" t="s">
        <v>155</v>
      </c>
      <c r="C19" s="6"/>
      <c r="D19" s="6"/>
      <c r="E19" s="46"/>
      <c r="F19" s="46"/>
      <c r="G19" s="47"/>
      <c r="H19" s="47"/>
      <c r="I19" s="47"/>
      <c r="J19" s="47"/>
      <c r="K19" s="47"/>
      <c r="L19" s="47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>
      <c r="A20" s="45" t="s">
        <v>145</v>
      </c>
      <c r="B20" s="6" t="s">
        <v>156</v>
      </c>
      <c r="C20" s="6"/>
      <c r="D20" s="6"/>
      <c r="E20" s="46"/>
      <c r="F20" s="46"/>
      <c r="G20" s="47"/>
      <c r="H20" s="47"/>
      <c r="I20" s="47"/>
      <c r="J20" s="47"/>
      <c r="K20" s="47"/>
      <c r="L20" s="47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>
      <c r="A21" s="45" t="s">
        <v>146</v>
      </c>
      <c r="B21" s="9" t="s">
        <v>157</v>
      </c>
      <c r="C21" s="9"/>
      <c r="D21" s="9"/>
      <c r="E21" s="46"/>
      <c r="F21" s="46"/>
      <c r="G21" s="47"/>
      <c r="H21" s="47"/>
      <c r="I21" s="47"/>
      <c r="J21" s="47"/>
      <c r="K21" s="47"/>
      <c r="L21" s="47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>
      <c r="A22" s="45"/>
      <c r="B22" s="9"/>
      <c r="C22" s="9"/>
      <c r="D22" s="9"/>
      <c r="E22" s="46"/>
      <c r="F22" s="46"/>
      <c r="G22" s="47"/>
      <c r="H22" s="47"/>
      <c r="I22" s="47"/>
      <c r="J22" s="47"/>
      <c r="K22" s="47"/>
      <c r="L22" s="47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>
      <c r="A23" s="45" t="s">
        <v>147</v>
      </c>
      <c r="B23" s="6" t="s">
        <v>158</v>
      </c>
      <c r="C23" s="6"/>
      <c r="D23" s="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>
      <c r="A24" s="45"/>
      <c r="B24" s="6" t="s">
        <v>160</v>
      </c>
      <c r="C24" s="6"/>
      <c r="D24" s="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>
      <c r="A25" s="45"/>
      <c r="B25" s="9" t="s">
        <v>159</v>
      </c>
      <c r="C25" s="9"/>
      <c r="D25" s="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>
      <c r="A26" s="45" t="s">
        <v>148</v>
      </c>
      <c r="B26" s="6" t="s">
        <v>158</v>
      </c>
      <c r="C26" s="6"/>
      <c r="D26" s="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>
      <c r="A27" s="45"/>
      <c r="B27" s="6" t="s">
        <v>160</v>
      </c>
      <c r="C27" s="6"/>
      <c r="D27" s="6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>
      <c r="A28" s="45"/>
      <c r="B28" s="9" t="s">
        <v>159</v>
      </c>
      <c r="C28" s="9"/>
      <c r="D28" s="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>
      <c r="A29" s="45" t="s">
        <v>149</v>
      </c>
      <c r="B29" s="48">
        <v>1</v>
      </c>
      <c r="C29" s="9"/>
      <c r="D29" s="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>
      <c r="A30" s="45" t="s">
        <v>150</v>
      </c>
      <c r="B30" s="4" t="s">
        <v>151</v>
      </c>
      <c r="C30" s="6"/>
      <c r="D30" s="6"/>
      <c r="E30" s="49"/>
      <c r="F30" s="4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>
      <c r="A31" s="45" t="s">
        <v>152</v>
      </c>
      <c r="B31" s="6" t="s">
        <v>153</v>
      </c>
      <c r="C31" s="6"/>
      <c r="D31" s="6"/>
      <c r="E31" s="49"/>
      <c r="F31" s="4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50"/>
      <c r="B32" s="8" t="s">
        <v>154</v>
      </c>
      <c r="C32" s="50"/>
      <c r="D32" s="50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4">
      <c r="A33" s="38"/>
      <c r="B33" s="38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4">
      <c r="A34" s="38"/>
      <c r="B34" s="38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4">
      <c r="A35" s="38"/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4">
      <c r="A37" s="38"/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4">
      <c r="A38" s="38"/>
      <c r="B38" s="38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4">
      <c r="A39" s="38"/>
      <c r="B39" s="38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4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4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4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42">
      <selection pane="topLeft" activeCell="J14" sqref="J14"/>
    </sheetView>
  </sheetViews>
  <sheetFormatPr defaultColWidth="9.21428571428571" defaultRowHeight="14.4"/>
  <cols>
    <col min="7" max="7" width="10.5714285714286" bestFit="1" customWidth="1"/>
    <col min="9" max="9" width="11.5714285714286" bestFit="1" customWidth="1"/>
  </cols>
  <sheetData>
    <row r="1" spans="11:19" ht="14.4">
      <c r="K1" s="85"/>
      <c r="L1" s="85"/>
      <c r="M1" s="85"/>
      <c r="N1" s="85"/>
      <c r="O1" s="85"/>
      <c r="P1" s="85"/>
      <c r="Q1" s="85"/>
      <c r="R1" s="85"/>
      <c r="S1" s="85"/>
    </row>
    <row r="3" spans="10:36" ht="14.4"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3:3" ht="14.4">
      <c r="C4" s="23" t="s">
        <v>123</v>
      </c>
    </row>
    <row r="5" spans="3:37" ht="15" thickBot="1">
      <c r="C5" s="24" t="s">
        <v>124</v>
      </c>
      <c r="D5" s="25" t="s">
        <v>125</v>
      </c>
      <c r="E5" s="26" t="s">
        <v>121</v>
      </c>
      <c r="F5" s="26" t="s">
        <v>2</v>
      </c>
      <c r="G5" s="26" t="s">
        <v>3</v>
      </c>
      <c r="H5" s="26" t="s">
        <v>120</v>
      </c>
      <c r="I5" s="27" t="s">
        <v>5</v>
      </c>
      <c r="J5" s="21" t="str">
        <f>Regions!C$3</f>
        <v>IE</v>
      </c>
      <c r="K5" s="21" t="str">
        <f>Regions!D$3</f>
        <v>National</v>
      </c>
      <c r="L5" s="21" t="str">
        <f>Regions!E$3</f>
        <v>IE-CW</v>
      </c>
      <c r="M5" s="21" t="str">
        <f>Regions!F$3</f>
        <v>IE-D</v>
      </c>
      <c r="N5" s="21" t="str">
        <f>Regions!G$3</f>
        <v>IE-KE</v>
      </c>
      <c r="O5" s="21" t="str">
        <f>Regions!H$3</f>
        <v>IE-KK</v>
      </c>
      <c r="P5" s="21" t="str">
        <f>Regions!I$3</f>
        <v>IE-LS</v>
      </c>
      <c r="Q5" s="21" t="str">
        <f>Regions!J$3</f>
        <v>IE-LD</v>
      </c>
      <c r="R5" s="21" t="str">
        <f>Regions!K$3</f>
        <v>IE-LH</v>
      </c>
      <c r="S5" s="21" t="str">
        <f>Regions!L$3</f>
        <v>IE-MH</v>
      </c>
      <c r="T5" s="21" t="str">
        <f>Regions!M$3</f>
        <v>IE-OY</v>
      </c>
      <c r="U5" s="21" t="str">
        <f>Regions!N$3</f>
        <v>IE-WH</v>
      </c>
      <c r="V5" s="21" t="str">
        <f>Regions!O$3</f>
        <v>IE-WX</v>
      </c>
      <c r="W5" s="21" t="str">
        <f>Regions!P$3</f>
        <v>IE-WW</v>
      </c>
      <c r="X5" s="21" t="str">
        <f>Regions!Q$3</f>
        <v>IE-CE</v>
      </c>
      <c r="Y5" s="21" t="str">
        <f>Regions!R$3</f>
        <v>IE-CO</v>
      </c>
      <c r="Z5" s="21" t="str">
        <f>Regions!S$3</f>
        <v>IE-KY</v>
      </c>
      <c r="AA5" s="21" t="str">
        <f>Regions!T$3</f>
        <v>IE-LK</v>
      </c>
      <c r="AB5" s="21" t="str">
        <f>Regions!U$3</f>
        <v>IE-TA</v>
      </c>
      <c r="AC5" s="21" t="str">
        <f>Regions!V$3</f>
        <v>IE-WD</v>
      </c>
      <c r="AD5" s="21" t="str">
        <f>Regions!W$3</f>
        <v>IE-G</v>
      </c>
      <c r="AE5" s="21" t="str">
        <f>Regions!X$3</f>
        <v>IE-LM</v>
      </c>
      <c r="AF5" s="21" t="str">
        <f>Regions!Y$3</f>
        <v>IE-MO</v>
      </c>
      <c r="AG5" s="21" t="str">
        <f>Regions!Z$3</f>
        <v>IE-RN</v>
      </c>
      <c r="AH5" s="21" t="str">
        <f>Regions!AA$3</f>
        <v>IE-SO</v>
      </c>
      <c r="AI5" s="21" t="str">
        <f>Regions!AB$3</f>
        <v>IE-CN</v>
      </c>
      <c r="AJ5" s="21" t="str">
        <f>Regions!AC$3</f>
        <v>IE-DL</v>
      </c>
      <c r="AK5" s="21" t="str">
        <f>Regions!AD$3</f>
        <v>IE-MN</v>
      </c>
    </row>
    <row r="6" spans="3:37" ht="14.4">
      <c r="C6" t="s">
        <v>126</v>
      </c>
      <c r="D6" s="28" t="s">
        <v>127</v>
      </c>
      <c r="G6" t="s">
        <v>6</v>
      </c>
      <c r="H6">
        <v>2018</v>
      </c>
      <c r="I6" t="s">
        <v>35</v>
      </c>
      <c r="J6" s="29">
        <v>14.5565610923972</v>
      </c>
      <c r="K6" s="30"/>
      <c r="L6" s="29">
        <v>0.19075815329593299</v>
      </c>
      <c r="M6" s="29">
        <v>3.8137077787050999</v>
      </c>
      <c r="N6" s="29">
        <v>0.70334338163959498</v>
      </c>
      <c r="O6" s="29">
        <v>0.32630593319176299</v>
      </c>
      <c r="P6" s="29">
        <v>0.25725946218495199</v>
      </c>
      <c r="Q6" s="29">
        <v>0.129264106093787</v>
      </c>
      <c r="R6" s="29">
        <v>0.37066642356770202</v>
      </c>
      <c r="S6" s="29">
        <v>0.61012642539130302</v>
      </c>
      <c r="T6" s="29">
        <v>0.25256357827040099</v>
      </c>
      <c r="U6" s="29">
        <v>0.28627808516599801</v>
      </c>
      <c r="V6" s="29">
        <v>0.49824919039150301</v>
      </c>
      <c r="W6" s="29">
        <v>0.44072764898712002</v>
      </c>
      <c r="X6" s="29">
        <v>0.38789417997018399</v>
      </c>
      <c r="Y6" s="29">
        <v>1.6403528726431</v>
      </c>
      <c r="Z6" s="29">
        <v>0.50223766282260596</v>
      </c>
      <c r="AA6" s="29">
        <v>0.59887772521592197</v>
      </c>
      <c r="AB6" s="29">
        <v>0.54597893159747002</v>
      </c>
      <c r="AC6" s="29">
        <v>0.36254754715780002</v>
      </c>
      <c r="AD6" s="29">
        <v>0.81031808544859996</v>
      </c>
      <c r="AE6" s="29">
        <v>0.103998215898054</v>
      </c>
      <c r="AF6" s="29">
        <v>0.43396473286285803</v>
      </c>
      <c r="AG6" s="29">
        <v>0.22701130303233</v>
      </c>
      <c r="AH6" s="29">
        <v>0.20014421509334299</v>
      </c>
      <c r="AI6" s="29">
        <v>0.22324073939976699</v>
      </c>
      <c r="AJ6" s="29">
        <v>0.43304852577361902</v>
      </c>
      <c r="AK6" s="29">
        <v>0.20769618859639599</v>
      </c>
    </row>
    <row r="7" spans="3:37" ht="14.4">
      <c r="C7" t="s">
        <v>126</v>
      </c>
      <c r="D7" s="28" t="s">
        <v>127</v>
      </c>
      <c r="G7" t="s">
        <v>6</v>
      </c>
      <c r="H7">
        <v>2018</v>
      </c>
      <c r="I7" t="s">
        <v>37</v>
      </c>
      <c r="J7" s="29">
        <v>31.276118540281001</v>
      </c>
      <c r="K7" s="29"/>
      <c r="L7" s="29">
        <v>0.43519149385547101</v>
      </c>
      <c r="M7" s="29">
        <v>7.6211536449989303</v>
      </c>
      <c r="N7" s="29">
        <v>1.55190938276765</v>
      </c>
      <c r="O7" s="29">
        <v>0.73703191607760699</v>
      </c>
      <c r="P7" s="29">
        <v>0.55451713599955699</v>
      </c>
      <c r="Q7" s="29">
        <v>0.28568437258778701</v>
      </c>
      <c r="R7" s="29">
        <v>0.76950577172521395</v>
      </c>
      <c r="S7" s="29">
        <v>1.33594997982505</v>
      </c>
      <c r="T7" s="29">
        <v>0.56616320344762305</v>
      </c>
      <c r="U7" s="29">
        <v>0.63911185847442997</v>
      </c>
      <c r="V7" s="29">
        <v>1.1334816009734401</v>
      </c>
      <c r="W7" s="29">
        <v>0.96185938421931305</v>
      </c>
      <c r="X7" s="29">
        <v>0.87235861089184197</v>
      </c>
      <c r="Y7" s="29">
        <v>3.5254749048173299</v>
      </c>
      <c r="Z7" s="29">
        <v>1.15388698840036</v>
      </c>
      <c r="AA7" s="29">
        <v>1.29957366713114</v>
      </c>
      <c r="AB7" s="29">
        <v>1.2604324784412999</v>
      </c>
      <c r="AC7" s="29">
        <v>0.79517788054022298</v>
      </c>
      <c r="AD7" s="29">
        <v>1.7803554187858499</v>
      </c>
      <c r="AE7" s="29">
        <v>0.23333731031609201</v>
      </c>
      <c r="AF7" s="29">
        <v>0.98601597898071303</v>
      </c>
      <c r="AG7" s="29">
        <v>0.53090140271719199</v>
      </c>
      <c r="AH7" s="29">
        <v>0.43310682655274901</v>
      </c>
      <c r="AI7" s="29">
        <v>0.47060177269377002</v>
      </c>
      <c r="AJ7" s="29">
        <v>0.86668930093951202</v>
      </c>
      <c r="AK7" s="29">
        <v>0.47664625412085698</v>
      </c>
    </row>
    <row r="8" spans="3:37" ht="14.4">
      <c r="C8" t="s">
        <v>126</v>
      </c>
      <c r="D8" s="28" t="s">
        <v>127</v>
      </c>
      <c r="G8" t="s">
        <v>6</v>
      </c>
      <c r="H8">
        <v>2018</v>
      </c>
      <c r="I8" t="s">
        <v>39</v>
      </c>
      <c r="J8" s="29">
        <v>27.131577542973599</v>
      </c>
      <c r="K8" s="30"/>
      <c r="L8" s="29">
        <v>0.373897486374975</v>
      </c>
      <c r="M8" s="29">
        <v>6.66074493403499</v>
      </c>
      <c r="N8" s="29">
        <v>1.3457957919305099</v>
      </c>
      <c r="O8" s="29">
        <v>0.64805463087287196</v>
      </c>
      <c r="P8" s="29">
        <v>0.48149946813234101</v>
      </c>
      <c r="Q8" s="29">
        <v>0.247929982488685</v>
      </c>
      <c r="R8" s="29">
        <v>0.67368745787157902</v>
      </c>
      <c r="S8" s="29">
        <v>1.1456149031137799</v>
      </c>
      <c r="T8" s="29">
        <v>0.49378011021821799</v>
      </c>
      <c r="U8" s="29">
        <v>0.54722173482691405</v>
      </c>
      <c r="V8" s="29">
        <v>0.97262646758485305</v>
      </c>
      <c r="W8" s="29">
        <v>0.83286416374941896</v>
      </c>
      <c r="X8" s="29">
        <v>0.74674766413249005</v>
      </c>
      <c r="Y8" s="29">
        <v>3.0449422514531701</v>
      </c>
      <c r="Z8" s="29">
        <v>1.0126394376791299</v>
      </c>
      <c r="AA8" s="29">
        <v>1.1217784798314201</v>
      </c>
      <c r="AB8" s="29">
        <v>1.08524276473925</v>
      </c>
      <c r="AC8" s="29">
        <v>0.68342924139985906</v>
      </c>
      <c r="AD8" s="29">
        <v>1.55274051805081</v>
      </c>
      <c r="AE8" s="29">
        <v>0.20031586047476799</v>
      </c>
      <c r="AF8" s="29">
        <v>0.86102306186829503</v>
      </c>
      <c r="AG8" s="29">
        <v>0.451316097288886</v>
      </c>
      <c r="AH8" s="29">
        <v>0.37617525772313698</v>
      </c>
      <c r="AI8" s="29">
        <v>0.40231788404487301</v>
      </c>
      <c r="AJ8" s="29">
        <v>0.74109890371757103</v>
      </c>
      <c r="AK8" s="29">
        <v>0.42809298937083901</v>
      </c>
    </row>
    <row r="9" spans="3:37" ht="14.4">
      <c r="C9" t="s">
        <v>126</v>
      </c>
      <c r="D9" s="28" t="s">
        <v>127</v>
      </c>
      <c r="G9" t="s">
        <v>6</v>
      </c>
      <c r="H9">
        <v>2018</v>
      </c>
      <c r="I9" t="s">
        <v>41</v>
      </c>
      <c r="J9" s="29">
        <v>10.702591</v>
      </c>
      <c r="K9" s="30"/>
      <c r="L9" s="29">
        <v>0.17794099599204999</v>
      </c>
      <c r="M9" s="29">
        <v>2.6576907930321299</v>
      </c>
      <c r="N9" s="29">
        <v>0.48228404218784598</v>
      </c>
      <c r="O9" s="29">
        <v>0.31014966827589202</v>
      </c>
      <c r="P9" s="29">
        <v>0.22090468018989401</v>
      </c>
      <c r="Q9" s="29">
        <v>0.106603976450188</v>
      </c>
      <c r="R9" s="29">
        <v>0.27935990585939302</v>
      </c>
      <c r="S9" s="29">
        <v>0.43225128206324598</v>
      </c>
      <c r="T9" s="29">
        <v>0.20333600685129699</v>
      </c>
      <c r="U9" s="29">
        <v>0.23152778091853199</v>
      </c>
      <c r="V9" s="29">
        <v>0.46795618987426502</v>
      </c>
      <c r="W9" s="29">
        <v>0.30871042636808299</v>
      </c>
      <c r="X9" s="29">
        <v>0.30378726686741397</v>
      </c>
      <c r="Y9" s="29">
        <v>1.6254277052660899</v>
      </c>
      <c r="Z9" s="29">
        <v>0.44225677339931202</v>
      </c>
      <c r="AA9" s="29">
        <v>0.49831113834882401</v>
      </c>
      <c r="AB9" s="29">
        <v>0.40793968700183098</v>
      </c>
      <c r="AC9" s="29">
        <v>0.3789208277735</v>
      </c>
      <c r="AD9" s="29">
        <v>0.60506096800451603</v>
      </c>
      <c r="AE9" s="29">
        <v>0.080693470189707697</v>
      </c>
      <c r="AF9" s="29">
        <v>0.34078379979033402</v>
      </c>
      <c r="AG9" s="29">
        <v>0.15133440977952001</v>
      </c>
      <c r="AH9" s="29">
        <v>0.16503078794415499</v>
      </c>
      <c r="AI9" s="29">
        <v>0.19182704360164701</v>
      </c>
      <c r="AJ9" s="29">
        <v>0.40087863270627699</v>
      </c>
      <c r="AK9" s="29">
        <v>0.154582741264056</v>
      </c>
    </row>
    <row r="10" spans="3:37" ht="14.4">
      <c r="C10" t="s">
        <v>126</v>
      </c>
      <c r="D10" s="28" t="s">
        <v>127</v>
      </c>
      <c r="G10" t="s">
        <v>6</v>
      </c>
      <c r="H10">
        <v>2018</v>
      </c>
      <c r="I10" t="s">
        <v>43</v>
      </c>
      <c r="J10" s="29">
        <v>7.7105748259750104</v>
      </c>
      <c r="K10" s="30"/>
      <c r="L10" s="29">
        <v>0.092186243413538399</v>
      </c>
      <c r="M10" s="29">
        <v>2.1816898183696698</v>
      </c>
      <c r="N10" s="29">
        <v>0.360286094015421</v>
      </c>
      <c r="O10" s="29">
        <v>0.160679851514302</v>
      </c>
      <c r="P10" s="29">
        <v>0.13714428192223099</v>
      </c>
      <c r="Q10" s="29">
        <v>0.066182960848759104</v>
      </c>
      <c r="R10" s="29">
        <v>0.20869338502266699</v>
      </c>
      <c r="S10" s="29">
        <v>0.31582192194811698</v>
      </c>
      <c r="T10" s="29">
        <v>0.12623712012159899</v>
      </c>
      <c r="U10" s="29">
        <v>0.14373942295756001</v>
      </c>
      <c r="V10" s="29">
        <v>0.24243498799202201</v>
      </c>
      <c r="W10" s="29">
        <v>0.23061943578608199</v>
      </c>
      <c r="X10" s="29">
        <v>0.19239255398837901</v>
      </c>
      <c r="Y10" s="29">
        <v>0.879030450176013</v>
      </c>
      <c r="Z10" s="29">
        <v>0.23917223101039001</v>
      </c>
      <c r="AA10" s="29">
        <v>0.31558713298417801</v>
      </c>
      <c r="AB10" s="29">
        <v>0.25835367974707202</v>
      </c>
      <c r="AC10" s="29">
        <v>0.188116156376225</v>
      </c>
      <c r="AD10" s="29">
        <v>0.41785634797321203</v>
      </c>
      <c r="AE10" s="29">
        <v>0.051886741796237999</v>
      </c>
      <c r="AF10" s="29">
        <v>0.21132140218454701</v>
      </c>
      <c r="AG10" s="29">
        <v>0.104511854403208</v>
      </c>
      <c r="AH10" s="29">
        <v>0.106116515529162</v>
      </c>
      <c r="AI10" s="29">
        <v>0.123346787013801</v>
      </c>
      <c r="AJ10" s="29">
        <v>0.257769136188576</v>
      </c>
      <c r="AK10" s="29">
        <v>0.099398312692044299</v>
      </c>
    </row>
    <row r="11" spans="3:37" ht="14.4">
      <c r="C11" t="s">
        <v>126</v>
      </c>
      <c r="D11" s="28" t="s">
        <v>127</v>
      </c>
      <c r="G11" t="s">
        <v>6</v>
      </c>
      <c r="H11">
        <v>2018</v>
      </c>
      <c r="I11" t="s">
        <v>45</v>
      </c>
      <c r="J11" s="29">
        <v>3.5132998087277101</v>
      </c>
      <c r="K11" s="30"/>
      <c r="L11" s="29">
        <v>0.042004379525771102</v>
      </c>
      <c r="M11" s="29">
        <v>0.99408028513777102</v>
      </c>
      <c r="N11" s="29">
        <v>0.16416325549782501</v>
      </c>
      <c r="O11" s="29">
        <v>0.073213282321037701</v>
      </c>
      <c r="P11" s="29">
        <v>0.062489372105217399</v>
      </c>
      <c r="Q11" s="29">
        <v>0.030156063450376601</v>
      </c>
      <c r="R11" s="29">
        <v>0.095090501840783506</v>
      </c>
      <c r="S11" s="29">
        <v>0.143903291650118</v>
      </c>
      <c r="T11" s="29">
        <v>0.0575195572298293</v>
      </c>
      <c r="U11" s="29">
        <v>0.065494427922832596</v>
      </c>
      <c r="V11" s="29">
        <v>0.110464759912835</v>
      </c>
      <c r="W11" s="29">
        <v>0.105081039730871</v>
      </c>
      <c r="X11" s="29">
        <v>0.087663078095158206</v>
      </c>
      <c r="Y11" s="29">
        <v>0.40052753292342302</v>
      </c>
      <c r="Z11" s="29">
        <v>0.108978094685117</v>
      </c>
      <c r="AA11" s="29">
        <v>0.14379631077765201</v>
      </c>
      <c r="AB11" s="29">
        <v>0.117718063066032</v>
      </c>
      <c r="AC11" s="29">
        <v>0.085714550618035304</v>
      </c>
      <c r="AD11" s="29">
        <v>0.190394965426499</v>
      </c>
      <c r="AE11" s="29">
        <v>0.0236420350158753</v>
      </c>
      <c r="AF11" s="29">
        <v>0.096287949813282703</v>
      </c>
      <c r="AG11" s="29">
        <v>0.047620506430678201</v>
      </c>
      <c r="AH11" s="29">
        <v>0.048351665359049598</v>
      </c>
      <c r="AI11" s="29">
        <v>0.056202585799816303</v>
      </c>
      <c r="AJ11" s="29">
        <v>0.117451717583548</v>
      </c>
      <c r="AK11" s="29">
        <v>0.045290536808279797</v>
      </c>
    </row>
    <row r="12" spans="3:37" ht="14.4">
      <c r="C12" t="s">
        <v>126</v>
      </c>
      <c r="D12" s="28" t="s">
        <v>127</v>
      </c>
      <c r="G12" t="s">
        <v>6</v>
      </c>
      <c r="H12">
        <v>2018</v>
      </c>
      <c r="I12" t="s">
        <v>47</v>
      </c>
      <c r="J12" s="29">
        <v>20.831454920682301</v>
      </c>
      <c r="K12" s="30"/>
      <c r="L12" s="29">
        <v>0.24905712185126699</v>
      </c>
      <c r="M12" s="29">
        <v>5.8942133534813896</v>
      </c>
      <c r="N12" s="29">
        <v>0.97337535727524804</v>
      </c>
      <c r="O12" s="29">
        <v>0.434104481057138</v>
      </c>
      <c r="P12" s="29">
        <v>0.37051905869171597</v>
      </c>
      <c r="Q12" s="29">
        <v>0.17880474498396101</v>
      </c>
      <c r="R12" s="29">
        <v>0.56382136746783496</v>
      </c>
      <c r="S12" s="29">
        <v>0.85324768626358805</v>
      </c>
      <c r="T12" s="29">
        <v>0.34105146976474798</v>
      </c>
      <c r="U12" s="29">
        <v>0.38833697580863102</v>
      </c>
      <c r="V12" s="29">
        <v>0.654980158747549</v>
      </c>
      <c r="W12" s="29">
        <v>0.62305839562402099</v>
      </c>
      <c r="X12" s="29">
        <v>0.51978184583366205</v>
      </c>
      <c r="Y12" s="29">
        <v>2.3748531866991098</v>
      </c>
      <c r="Z12" s="29">
        <v>0.64616525499341604</v>
      </c>
      <c r="AA12" s="29">
        <v>0.85261336316465597</v>
      </c>
      <c r="AB12" s="29">
        <v>0.69798726485518303</v>
      </c>
      <c r="AC12" s="29">
        <v>0.50822841614896397</v>
      </c>
      <c r="AD12" s="29">
        <v>1.1289113811335301</v>
      </c>
      <c r="AE12" s="29">
        <v>0.140181030222055</v>
      </c>
      <c r="AF12" s="29">
        <v>0.57092141153381903</v>
      </c>
      <c r="AG12" s="29">
        <v>0.28235689722420099</v>
      </c>
      <c r="AH12" s="29">
        <v>0.28669216750725102</v>
      </c>
      <c r="AI12" s="29">
        <v>0.33324273368478402</v>
      </c>
      <c r="AJ12" s="29">
        <v>0.69640801907094396</v>
      </c>
      <c r="AK12" s="29">
        <v>0.268541777593654</v>
      </c>
    </row>
    <row r="13" spans="3:37" ht="14.4">
      <c r="C13" t="s">
        <v>126</v>
      </c>
      <c r="D13" s="28" t="s">
        <v>127</v>
      </c>
      <c r="G13" t="s">
        <v>6</v>
      </c>
      <c r="H13">
        <v>2018</v>
      </c>
      <c r="I13" t="s">
        <v>49</v>
      </c>
      <c r="J13" s="29">
        <v>0.23349320028657899</v>
      </c>
      <c r="K13" s="30"/>
      <c r="L13" s="29">
        <v>0</v>
      </c>
      <c r="M13" s="29">
        <v>0.13599128494106499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0.047489540821759602</v>
      </c>
      <c r="Y13" s="29">
        <v>0.00047056267691773199</v>
      </c>
      <c r="Z13" s="29">
        <v>0.047235778638893701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9.4112535383546506E-05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</row>
    <row r="14" spans="3:37" ht="14.4">
      <c r="C14" t="s">
        <v>126</v>
      </c>
      <c r="D14" s="28" t="s">
        <v>127</v>
      </c>
      <c r="G14" t="s">
        <v>6</v>
      </c>
      <c r="H14">
        <v>2018</v>
      </c>
      <c r="I14" s="16" t="s">
        <v>51</v>
      </c>
      <c r="J14" s="29">
        <v>45.9683637522608</v>
      </c>
      <c r="K14" s="30"/>
      <c r="L14" s="29">
        <v>0</v>
      </c>
      <c r="M14" s="29">
        <v>40.4401628128524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2.39450762427477</v>
      </c>
      <c r="Y14" s="29">
        <v>2.2140070109418901</v>
      </c>
      <c r="Z14" s="29">
        <v>0.24127325087308299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0.68881548910784596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</row>
    <row r="15" spans="3:37" ht="14.4">
      <c r="C15" t="s">
        <v>126</v>
      </c>
      <c r="D15" s="31" t="s">
        <v>127</v>
      </c>
      <c r="G15" t="s">
        <v>6</v>
      </c>
      <c r="H15">
        <v>2018</v>
      </c>
      <c r="I15" t="s">
        <v>128</v>
      </c>
      <c r="J15" s="30">
        <v>1.1544546193487999</v>
      </c>
      <c r="K15" s="30">
        <v>1.1544546193487999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3:37" ht="14.4">
      <c r="C16" t="s">
        <v>126</v>
      </c>
      <c r="D16" s="31" t="s">
        <v>127</v>
      </c>
      <c r="G16" t="s">
        <v>6</v>
      </c>
      <c r="H16">
        <v>2018</v>
      </c>
      <c r="I16" t="s">
        <v>129</v>
      </c>
      <c r="J16" s="30">
        <v>2.0006897535500099</v>
      </c>
      <c r="K16" s="30">
        <v>2.0006897535500099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14.4">
      <c r="C17" t="s">
        <v>126</v>
      </c>
      <c r="D17" s="31" t="s">
        <v>127</v>
      </c>
      <c r="G17" t="s">
        <v>6</v>
      </c>
      <c r="H17">
        <v>2018</v>
      </c>
      <c r="I17" t="s">
        <v>130</v>
      </c>
      <c r="J17" s="30">
        <v>0.78876799986757495</v>
      </c>
      <c r="K17" s="30">
        <v>0.78876799986757495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14.4">
      <c r="C18" t="s">
        <v>126</v>
      </c>
      <c r="D18" s="31" t="s">
        <v>127</v>
      </c>
      <c r="G18" t="s">
        <v>6</v>
      </c>
      <c r="H18">
        <v>2018</v>
      </c>
      <c r="I18" t="s">
        <v>131</v>
      </c>
      <c r="J18" s="30">
        <v>1.05169316530962</v>
      </c>
      <c r="K18" s="30">
        <v>1.05169316530962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14.4">
      <c r="C19" t="s">
        <v>126</v>
      </c>
      <c r="D19" s="31" t="s">
        <v>127</v>
      </c>
      <c r="G19" t="s">
        <v>6</v>
      </c>
      <c r="H19">
        <v>2018</v>
      </c>
      <c r="I19" t="s">
        <v>132</v>
      </c>
      <c r="J19" s="30">
        <v>0.84878652127122001</v>
      </c>
      <c r="K19" s="30">
        <v>0.84878652127122001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14.4">
      <c r="C20" t="s">
        <v>126</v>
      </c>
      <c r="D20" s="31" t="s">
        <v>127</v>
      </c>
      <c r="G20" t="s">
        <v>6</v>
      </c>
      <c r="H20">
        <v>2018</v>
      </c>
      <c r="I20" t="s">
        <v>133</v>
      </c>
      <c r="J20" s="30">
        <v>9.2169270601308995</v>
      </c>
      <c r="K20" s="30">
        <v>9.2169270601308995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14.4">
      <c r="C21" t="s">
        <v>126</v>
      </c>
      <c r="D21" s="31" t="s">
        <v>127</v>
      </c>
      <c r="G21" t="s">
        <v>6</v>
      </c>
      <c r="H21">
        <v>2018</v>
      </c>
      <c r="I21" t="s">
        <v>134</v>
      </c>
      <c r="J21" s="30">
        <v>0</v>
      </c>
      <c r="K21" s="30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3:37" ht="14.4">
      <c r="C22" t="s">
        <v>126</v>
      </c>
      <c r="D22" s="31" t="s">
        <v>127</v>
      </c>
      <c r="G22" t="s">
        <v>6</v>
      </c>
      <c r="H22">
        <v>2018</v>
      </c>
      <c r="I22" t="s">
        <v>53</v>
      </c>
      <c r="J22" s="30">
        <v>211.819885</v>
      </c>
      <c r="K22" s="30">
        <v>211.819885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14.4">
      <c r="C23" t="s">
        <v>126</v>
      </c>
      <c r="D23" s="31" t="s">
        <v>127</v>
      </c>
      <c r="G23" t="s">
        <v>6</v>
      </c>
      <c r="H23">
        <v>2018</v>
      </c>
      <c r="I23" t="s">
        <v>55</v>
      </c>
      <c r="J23" s="30">
        <v>788.06472099999996</v>
      </c>
      <c r="K23" s="30">
        <v>788.06472099999996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14.4">
      <c r="C24" t="s">
        <v>126</v>
      </c>
      <c r="D24" s="31" t="s">
        <v>127</v>
      </c>
      <c r="G24" t="s">
        <v>6</v>
      </c>
      <c r="H24">
        <v>2018</v>
      </c>
      <c r="I24" t="s">
        <v>57</v>
      </c>
      <c r="J24" s="30">
        <v>735.40672900000004</v>
      </c>
      <c r="K24" s="30">
        <v>735.40672900000004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14.4">
      <c r="C25" t="s">
        <v>126</v>
      </c>
      <c r="D25" s="28" t="s">
        <v>127</v>
      </c>
      <c r="G25" t="s">
        <v>6</v>
      </c>
      <c r="H25">
        <v>2018</v>
      </c>
      <c r="I25" t="s">
        <v>7</v>
      </c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14.4">
      <c r="C26" t="s">
        <v>126</v>
      </c>
      <c r="D26" s="28" t="s">
        <v>127</v>
      </c>
      <c r="G26" t="s">
        <v>6</v>
      </c>
      <c r="H26">
        <v>2018</v>
      </c>
      <c r="I26" t="s">
        <v>9</v>
      </c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ht="14.4">
      <c r="C27" t="s">
        <v>126</v>
      </c>
      <c r="D27" s="28" t="s">
        <v>127</v>
      </c>
      <c r="G27" t="s">
        <v>6</v>
      </c>
      <c r="H27">
        <v>2018</v>
      </c>
      <c r="I27" t="s">
        <v>11</v>
      </c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3:37" ht="14.4">
      <c r="C28" t="s">
        <v>126</v>
      </c>
      <c r="D28" s="28" t="s">
        <v>127</v>
      </c>
      <c r="G28" t="s">
        <v>6</v>
      </c>
      <c r="H28">
        <v>2018</v>
      </c>
      <c r="I28" t="s">
        <v>13</v>
      </c>
      <c r="J28" s="29">
        <v>5</v>
      </c>
      <c r="K28" s="29">
        <v>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3:37" ht="14.4">
      <c r="C29" t="s">
        <v>126</v>
      </c>
      <c r="D29" s="28" t="s">
        <v>127</v>
      </c>
      <c r="G29" t="s">
        <v>6</v>
      </c>
      <c r="H29">
        <v>2018</v>
      </c>
      <c r="I29" t="s">
        <v>15</v>
      </c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ht="14.4">
      <c r="C30" t="s">
        <v>126</v>
      </c>
      <c r="D30" s="28" t="s">
        <v>127</v>
      </c>
      <c r="G30" t="s">
        <v>6</v>
      </c>
      <c r="H30">
        <v>2018</v>
      </c>
      <c r="I30" t="s">
        <v>17</v>
      </c>
      <c r="J30" s="29">
        <v>5.7000000000000002</v>
      </c>
      <c r="K30" s="29">
        <v>5.7000000000000002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3:37" ht="14.4">
      <c r="C31" t="s">
        <v>126</v>
      </c>
      <c r="D31" s="28" t="s">
        <v>127</v>
      </c>
      <c r="G31" t="s">
        <v>6</v>
      </c>
      <c r="H31">
        <v>2018</v>
      </c>
      <c r="I31" t="s">
        <v>19</v>
      </c>
      <c r="J31" s="29"/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spans="3:37" ht="14.4">
      <c r="C32" t="s">
        <v>126</v>
      </c>
      <c r="D32" s="28" t="s">
        <v>127</v>
      </c>
      <c r="G32" t="s">
        <v>6</v>
      </c>
      <c r="H32">
        <v>2018</v>
      </c>
      <c r="I32" t="s">
        <v>21</v>
      </c>
      <c r="J32" s="29">
        <v>2.3999999999999999</v>
      </c>
      <c r="K32" s="29">
        <v>2.3999999999999999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3:37" ht="14.4">
      <c r="C33" t="s">
        <v>126</v>
      </c>
      <c r="D33" s="28" t="s">
        <v>127</v>
      </c>
      <c r="G33" t="s">
        <v>6</v>
      </c>
      <c r="H33">
        <v>2018</v>
      </c>
      <c r="I33" t="s">
        <v>23</v>
      </c>
      <c r="J33" s="29">
        <v>16.5</v>
      </c>
      <c r="K33" s="29">
        <v>16.5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3:37" ht="14.4">
      <c r="C34" t="s">
        <v>126</v>
      </c>
      <c r="D34" s="28" t="s">
        <v>127</v>
      </c>
      <c r="G34" t="s">
        <v>6</v>
      </c>
      <c r="H34">
        <v>2018</v>
      </c>
      <c r="I34" t="s">
        <v>25</v>
      </c>
      <c r="J34" s="29"/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3:37" ht="14.4">
      <c r="C35" t="s">
        <v>126</v>
      </c>
      <c r="D35" s="28" t="s">
        <v>127</v>
      </c>
      <c r="G35" t="s">
        <v>6</v>
      </c>
      <c r="H35">
        <v>2018</v>
      </c>
      <c r="I35" t="s">
        <v>27</v>
      </c>
      <c r="J35" s="29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3:37" ht="14.4">
      <c r="C36" t="s">
        <v>126</v>
      </c>
      <c r="D36" s="28" t="s">
        <v>127</v>
      </c>
      <c r="G36" t="s">
        <v>6</v>
      </c>
      <c r="H36">
        <v>2018</v>
      </c>
      <c r="I36" t="s">
        <v>29</v>
      </c>
      <c r="J36" s="29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3:37" ht="14.4">
      <c r="C37" t="s">
        <v>126</v>
      </c>
      <c r="D37" s="28" t="s">
        <v>127</v>
      </c>
      <c r="G37" t="s">
        <v>6</v>
      </c>
      <c r="H37">
        <v>2018</v>
      </c>
      <c r="I37" t="s">
        <v>31</v>
      </c>
      <c r="J37" s="29">
        <v>3.7999999999999998</v>
      </c>
      <c r="K37" s="29">
        <v>3.7999999999999998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3:37" ht="14.4">
      <c r="C38" t="s">
        <v>126</v>
      </c>
      <c r="D38" s="28" t="s">
        <v>127</v>
      </c>
      <c r="G38" t="s">
        <v>6</v>
      </c>
      <c r="H38">
        <v>2018</v>
      </c>
      <c r="I38" s="33" t="s">
        <v>33</v>
      </c>
    </row>
    <row r="39" spans="3:37" ht="14.4">
      <c r="C39" t="s">
        <v>126</v>
      </c>
      <c r="D39" s="28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4">
      <c r="C40" t="s">
        <v>126</v>
      </c>
      <c r="D40" s="28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4">
      <c r="C41" t="s">
        <v>126</v>
      </c>
      <c r="D41" s="28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4">
      <c r="C42" t="s">
        <v>126</v>
      </c>
      <c r="D42" s="28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4">
      <c r="C47" s="1" t="s">
        <v>191</v>
      </c>
      <c r="D47" s="1"/>
      <c r="E47" s="1"/>
      <c r="F47" s="1"/>
      <c r="G47" s="1"/>
    </row>
    <row r="48" spans="3:7" ht="14.4">
      <c r="C48" s="3"/>
      <c r="D48" s="2"/>
      <c r="E48" s="2"/>
      <c r="F48" s="71" t="s">
        <v>197</v>
      </c>
      <c r="G48" s="71" t="s">
        <v>192</v>
      </c>
    </row>
    <row r="49" spans="3:7" ht="31.8">
      <c r="C49" s="70" t="s">
        <v>120</v>
      </c>
      <c r="D49" s="69" t="s">
        <v>193</v>
      </c>
      <c r="E49" s="69" t="s">
        <v>194</v>
      </c>
      <c r="F49" s="68" t="s">
        <v>195</v>
      </c>
      <c r="G49" s="68" t="s">
        <v>196</v>
      </c>
    </row>
    <row r="50" spans="3:7" ht="14.4">
      <c r="C50" s="67">
        <v>2015</v>
      </c>
      <c r="D50" s="66">
        <v>1236</v>
      </c>
      <c r="E50" s="66">
        <v>23364</v>
      </c>
      <c r="F50" s="65">
        <v>24600</v>
      </c>
      <c r="G50" s="64">
        <v>5</v>
      </c>
    </row>
    <row r="51" spans="3:7" ht="14.4">
      <c r="C51" s="67">
        <v>2016</v>
      </c>
      <c r="D51" s="66">
        <v>1477</v>
      </c>
      <c r="E51" s="66">
        <v>23879</v>
      </c>
      <c r="F51" s="65">
        <v>25356</v>
      </c>
      <c r="G51" s="64">
        <v>6</v>
      </c>
    </row>
    <row r="52" spans="3:7" ht="14.4">
      <c r="C52" s="67">
        <v>2017</v>
      </c>
      <c r="D52" s="66">
        <v>1755</v>
      </c>
      <c r="E52" s="66">
        <v>23970</v>
      </c>
      <c r="F52" s="65">
        <v>25725</v>
      </c>
      <c r="G52" s="64">
        <v>7</v>
      </c>
    </row>
    <row r="53" spans="3:7" ht="14.4">
      <c r="C53" s="67">
        <v>2018</v>
      </c>
      <c r="D53" s="66">
        <v>2172</v>
      </c>
      <c r="E53" s="66">
        <v>24558</v>
      </c>
      <c r="F53" s="65">
        <v>26730</v>
      </c>
      <c r="G53" s="64">
        <v>8</v>
      </c>
    </row>
    <row r="54" spans="3:7" ht="14.4">
      <c r="C54" s="67">
        <v>2019</v>
      </c>
      <c r="D54" s="66">
        <v>2478</v>
      </c>
      <c r="E54" s="66">
        <v>24027</v>
      </c>
      <c r="F54" s="65">
        <v>26505</v>
      </c>
      <c r="G54" s="64">
        <v>9</v>
      </c>
    </row>
    <row r="55" spans="3:7" ht="14.4">
      <c r="C55" s="67">
        <v>2020</v>
      </c>
      <c r="D55" s="66">
        <v>3019</v>
      </c>
      <c r="E55" s="66">
        <v>24037</v>
      </c>
      <c r="F55" s="65">
        <v>27056</v>
      </c>
      <c r="G55" s="64">
        <v>11</v>
      </c>
    </row>
    <row r="56" spans="3:7" ht="14.4">
      <c r="C56" s="67">
        <v>2021</v>
      </c>
      <c r="D56" s="66">
        <v>4001</v>
      </c>
      <c r="E56" s="66">
        <v>24505</v>
      </c>
      <c r="F56" s="65">
        <v>28506</v>
      </c>
      <c r="G56" s="64">
        <v>14</v>
      </c>
    </row>
    <row r="57" spans="3:7" ht="14.4">
      <c r="C57" s="7">
        <v>2022</v>
      </c>
      <c r="D57" s="63">
        <v>5252</v>
      </c>
      <c r="E57" s="63">
        <v>24248</v>
      </c>
      <c r="F57" s="62">
        <v>29500</v>
      </c>
      <c r="G57" s="61">
        <v>18</v>
      </c>
    </row>
    <row r="59" spans="4:5" ht="14.4">
      <c r="D59" s="69" t="s">
        <v>193</v>
      </c>
      <c r="E59" s="16"/>
    </row>
    <row r="60" spans="3:5" ht="14.4">
      <c r="C60" s="70" t="s">
        <v>120</v>
      </c>
      <c r="D60" s="16" t="s">
        <v>197</v>
      </c>
      <c r="E60" s="16" t="s">
        <v>198</v>
      </c>
    </row>
    <row r="61" spans="3:5" ht="14.4">
      <c r="C61" s="67">
        <v>2015</v>
      </c>
      <c r="D61" s="66">
        <v>1236</v>
      </c>
      <c r="E61">
        <f>D61*3.6/1000</f>
        <v>4.4496000000000002</v>
      </c>
    </row>
    <row r="62" spans="3:5" ht="14.4">
      <c r="C62" s="67">
        <v>2016</v>
      </c>
      <c r="D62" s="66">
        <v>1477</v>
      </c>
      <c r="E62">
        <f t="shared" si="0" ref="E62:E68">D62*3.6/1000</f>
        <v>5.3171999999999997</v>
      </c>
    </row>
    <row r="63" spans="3:5" ht="14.4">
      <c r="C63" s="67">
        <v>2017</v>
      </c>
      <c r="D63" s="66">
        <v>1755</v>
      </c>
      <c r="E63">
        <f t="shared" si="0"/>
        <v>6.3179999999999996</v>
      </c>
    </row>
    <row r="64" spans="3:5" ht="14.4">
      <c r="C64" s="67">
        <v>2018</v>
      </c>
      <c r="D64" s="66">
        <v>2172</v>
      </c>
      <c r="E64">
        <f t="shared" si="0"/>
        <v>7.8191999999999995</v>
      </c>
    </row>
    <row r="65" spans="3:5" ht="14.4">
      <c r="C65" s="67">
        <v>2019</v>
      </c>
      <c r="D65" s="66">
        <v>2478</v>
      </c>
      <c r="E65">
        <f t="shared" si="0"/>
        <v>8.9208000000000016</v>
      </c>
    </row>
    <row r="66" spans="3:5" ht="14.4">
      <c r="C66" s="67">
        <v>2020</v>
      </c>
      <c r="D66" s="66">
        <v>3019</v>
      </c>
      <c r="E66">
        <f t="shared" si="0"/>
        <v>10.868399999999999</v>
      </c>
    </row>
    <row r="67" spans="3:5" ht="14.4">
      <c r="C67" s="67">
        <v>2021</v>
      </c>
      <c r="D67" s="66">
        <v>4001</v>
      </c>
      <c r="E67">
        <f t="shared" si="0"/>
        <v>14.403600000000001</v>
      </c>
    </row>
    <row r="68" spans="3:5" ht="14.4">
      <c r="C68" s="7">
        <v>2022</v>
      </c>
      <c r="D68" s="63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 topLeftCell="A135">
      <selection pane="topLeft" activeCell="I97" sqref="I97"/>
    </sheetView>
  </sheetViews>
  <sheetFormatPr defaultColWidth="9.21428571428571" defaultRowHeight="14.4"/>
  <cols>
    <col min="4" max="4" width="11.1428571428571" bestFit="1" customWidth="1"/>
    <col min="27" max="27" width="9.14285714285714" customWidth="1"/>
  </cols>
  <sheetData>
    <row r="2" spans="2:2" ht="14.4">
      <c r="B2" t="s">
        <v>122</v>
      </c>
    </row>
    <row r="3" spans="2:32" ht="15" thickBot="1">
      <c r="B3" s="22" t="s">
        <v>121</v>
      </c>
      <c r="C3" s="22" t="s">
        <v>2</v>
      </c>
      <c r="D3" s="22" t="s">
        <v>3</v>
      </c>
      <c r="E3" s="22" t="s">
        <v>5</v>
      </c>
      <c r="F3" s="22" t="s">
        <v>120</v>
      </c>
      <c r="G3" s="21" t="str">
        <f>Regions!E$3</f>
        <v>IE-CW</v>
      </c>
      <c r="H3" s="21" t="str">
        <f>Regions!F$3</f>
        <v>IE-D</v>
      </c>
      <c r="I3" s="21" t="str">
        <f>Regions!G$3</f>
        <v>IE-KE</v>
      </c>
      <c r="J3" s="21" t="str">
        <f>Regions!H$3</f>
        <v>IE-KK</v>
      </c>
      <c r="K3" s="21" t="str">
        <f>Regions!I$3</f>
        <v>IE-LS</v>
      </c>
      <c r="L3" s="21" t="str">
        <f>Regions!J$3</f>
        <v>IE-LD</v>
      </c>
      <c r="M3" s="21" t="str">
        <f>Regions!K$3</f>
        <v>IE-LH</v>
      </c>
      <c r="N3" s="21" t="str">
        <f>Regions!L$3</f>
        <v>IE-MH</v>
      </c>
      <c r="O3" s="21" t="str">
        <f>Regions!M$3</f>
        <v>IE-OY</v>
      </c>
      <c r="P3" s="21" t="str">
        <f>Regions!N$3</f>
        <v>IE-WH</v>
      </c>
      <c r="Q3" s="21" t="str">
        <f>Regions!O$3</f>
        <v>IE-WX</v>
      </c>
      <c r="R3" s="21" t="str">
        <f>Regions!P$3</f>
        <v>IE-WW</v>
      </c>
      <c r="S3" s="21" t="str">
        <f>Regions!Q$3</f>
        <v>IE-CE</v>
      </c>
      <c r="T3" s="21" t="str">
        <f>Regions!R$3</f>
        <v>IE-CO</v>
      </c>
      <c r="U3" s="21" t="str">
        <f>Regions!S$3</f>
        <v>IE-KY</v>
      </c>
      <c r="V3" s="21" t="str">
        <f>Regions!T$3</f>
        <v>IE-LK</v>
      </c>
      <c r="W3" s="21" t="str">
        <f>Regions!U$3</f>
        <v>IE-TA</v>
      </c>
      <c r="X3" s="21" t="str">
        <f>Regions!V$3</f>
        <v>IE-WD</v>
      </c>
      <c r="Y3" s="21" t="str">
        <f>Regions!W$3</f>
        <v>IE-G</v>
      </c>
      <c r="Z3" s="21" t="str">
        <f>Regions!X$3</f>
        <v>IE-LM</v>
      </c>
      <c r="AA3" s="21" t="str">
        <f>Regions!Y$3</f>
        <v>IE-MO</v>
      </c>
      <c r="AB3" s="21" t="str">
        <f>Regions!Z$3</f>
        <v>IE-RN</v>
      </c>
      <c r="AC3" s="21" t="str">
        <f>Regions!AA$3</f>
        <v>IE-SO</v>
      </c>
      <c r="AD3" s="21" t="str">
        <f>Regions!AB$3</f>
        <v>IE-CN</v>
      </c>
      <c r="AE3" s="21" t="str">
        <f>Regions!AC$3</f>
        <v>IE-DL</v>
      </c>
      <c r="AF3" s="21" t="str">
        <f>Regions!AD$3</f>
        <v>IE-MN</v>
      </c>
    </row>
    <row r="4" spans="4:32" ht="14.4">
      <c r="D4" t="s">
        <v>6</v>
      </c>
      <c r="E4" t="str">
        <f>DEMANDS!$E$17</f>
        <v>TRAPS</v>
      </c>
      <c r="F4">
        <v>2020</v>
      </c>
      <c r="G4" s="18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8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8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8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8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8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8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8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8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8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8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8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8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8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8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8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8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8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8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8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8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8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8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8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8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8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4">
      <c r="D5" t="s">
        <v>6</v>
      </c>
      <c r="E5" t="str">
        <f>DEMANDS!$E$17</f>
        <v>TRAPS</v>
      </c>
      <c r="F5">
        <v>2021</v>
      </c>
      <c r="G5" s="18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8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8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8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8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8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8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8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8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8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8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8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8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8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8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8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8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8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8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8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8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8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8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8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8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8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4">
      <c r="D6" t="s">
        <v>6</v>
      </c>
      <c r="E6" t="str">
        <f>DEMANDS!$E$17</f>
        <v>TRAPS</v>
      </c>
      <c r="F6">
        <v>2022</v>
      </c>
      <c r="G6" s="18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8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8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8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8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8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8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8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8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8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8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8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8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8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8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8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8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8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8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8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8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8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8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8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8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8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4">
      <c r="D7" t="s">
        <v>6</v>
      </c>
      <c r="E7" t="str">
        <f>DEMANDS!$E$17</f>
        <v>TRAPS</v>
      </c>
      <c r="F7">
        <v>2023</v>
      </c>
      <c r="G7" s="18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8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8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8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8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8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8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8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8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8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8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8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8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8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8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8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8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8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8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8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8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8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8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8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8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8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4">
      <c r="D8" t="s">
        <v>6</v>
      </c>
      <c r="E8" t="str">
        <f>DEMANDS!$E$17</f>
        <v>TRAPS</v>
      </c>
      <c r="F8">
        <v>2024</v>
      </c>
      <c r="G8" s="18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8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8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8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8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8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8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8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8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8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8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8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8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8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8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8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8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8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8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8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8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8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8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8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8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8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4">
      <c r="D9" t="s">
        <v>6</v>
      </c>
      <c r="E9" t="str">
        <f>DEMANDS!$E$17</f>
        <v>TRAPS</v>
      </c>
      <c r="F9">
        <v>2025</v>
      </c>
      <c r="G9" s="18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8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8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8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8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8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8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8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8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8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8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8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8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8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8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8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8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8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8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8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8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8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8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8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8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8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4">
      <c r="D10" t="s">
        <v>6</v>
      </c>
      <c r="E10" t="str">
        <f>DEMANDS!$E$17</f>
        <v>TRAPS</v>
      </c>
      <c r="F10">
        <v>2026</v>
      </c>
      <c r="G10" s="18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8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8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8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8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8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8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8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8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8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8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8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8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8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8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8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8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8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8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8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8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8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8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8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8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8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4">
      <c r="D11" t="s">
        <v>6</v>
      </c>
      <c r="E11" t="str">
        <f>DEMANDS!$E$17</f>
        <v>TRAPS</v>
      </c>
      <c r="F11">
        <v>2027</v>
      </c>
      <c r="G11" s="18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8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8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8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8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8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8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8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8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8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8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8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8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8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8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8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8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8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8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8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8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8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8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8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8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8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4">
      <c r="D12" t="s">
        <v>6</v>
      </c>
      <c r="E12" t="str">
        <f>DEMANDS!$E$17</f>
        <v>TRAPS</v>
      </c>
      <c r="F12">
        <v>2028</v>
      </c>
      <c r="G12" s="18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8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8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8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8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8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8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8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8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8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8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8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8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8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8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8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8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8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8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8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8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8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8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8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8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8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4">
      <c r="D13" t="s">
        <v>6</v>
      </c>
      <c r="E13" t="str">
        <f>DEMANDS!$E$17</f>
        <v>TRAPS</v>
      </c>
      <c r="F13">
        <v>2029</v>
      </c>
      <c r="G13" s="18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8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8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8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8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8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8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8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8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8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8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8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8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8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8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8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8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8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8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8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8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8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8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8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8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8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4">
      <c r="D14" t="s">
        <v>6</v>
      </c>
      <c r="E14" t="str">
        <f>DEMANDS!$E$17</f>
        <v>TRAPS</v>
      </c>
      <c r="F14">
        <v>2030</v>
      </c>
      <c r="G14" s="18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8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8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8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8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8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8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8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8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8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8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8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8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8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8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8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8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8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8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8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8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8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8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8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8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8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4">
      <c r="D15" t="s">
        <v>6</v>
      </c>
      <c r="E15" t="str">
        <f>DEMANDS!$E$17</f>
        <v>TRAPS</v>
      </c>
      <c r="F15">
        <v>2031</v>
      </c>
      <c r="G15" s="18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8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8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8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8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8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8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8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8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8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8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8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8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8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8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8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8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8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8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8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8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8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8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8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8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8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4">
      <c r="D16" t="s">
        <v>6</v>
      </c>
      <c r="E16" t="str">
        <f>DEMANDS!$E$17</f>
        <v>TRAPS</v>
      </c>
      <c r="F16">
        <v>2032</v>
      </c>
      <c r="G16" s="18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8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8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8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8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8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8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8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8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8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8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8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8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8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8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8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8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8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8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8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8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8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8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8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8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8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4">
      <c r="D17" t="s">
        <v>6</v>
      </c>
      <c r="E17" t="str">
        <f>DEMANDS!$E$17</f>
        <v>TRAPS</v>
      </c>
      <c r="F17">
        <v>2033</v>
      </c>
      <c r="G17" s="18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8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8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8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8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8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8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8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8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8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8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8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8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8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8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8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8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8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8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8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8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8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8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8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8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8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4">
      <c r="D18" t="s">
        <v>6</v>
      </c>
      <c r="E18" t="str">
        <f>DEMANDS!$E$17</f>
        <v>TRAPS</v>
      </c>
      <c r="F18">
        <v>2034</v>
      </c>
      <c r="G18" s="18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8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8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8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8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8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8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8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8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8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8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8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8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8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8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8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8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8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8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8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8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8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8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8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8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8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4">
      <c r="D19" t="s">
        <v>6</v>
      </c>
      <c r="E19" t="str">
        <f>DEMANDS!$E$17</f>
        <v>TRAPS</v>
      </c>
      <c r="F19">
        <v>2035</v>
      </c>
      <c r="G19" s="18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8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8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8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8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8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8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8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8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8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8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8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8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8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8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8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8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8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8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8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8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8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8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8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8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8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4">
      <c r="D20" t="s">
        <v>6</v>
      </c>
      <c r="E20" t="str">
        <f>DEMANDS!$E$17</f>
        <v>TRAPS</v>
      </c>
      <c r="F20">
        <v>2036</v>
      </c>
      <c r="G20" s="18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8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8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8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8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8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8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8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8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8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8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8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8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8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8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8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8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8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8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8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8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8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8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8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8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8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4">
      <c r="D21" t="s">
        <v>6</v>
      </c>
      <c r="E21" t="str">
        <f>DEMANDS!$E$17</f>
        <v>TRAPS</v>
      </c>
      <c r="F21">
        <v>2037</v>
      </c>
      <c r="G21" s="18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8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8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8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8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8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8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8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8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8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8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8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8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8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8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8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8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8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8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8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8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8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8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8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8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8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4">
      <c r="D22" t="s">
        <v>6</v>
      </c>
      <c r="E22" t="str">
        <f>DEMANDS!$E$17</f>
        <v>TRAPS</v>
      </c>
      <c r="F22">
        <v>2038</v>
      </c>
      <c r="G22" s="18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8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8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8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8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8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8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8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8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8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8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8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8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8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8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8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8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8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8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8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8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8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8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8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8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8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4">
      <c r="D23" t="s">
        <v>6</v>
      </c>
      <c r="E23" t="str">
        <f>DEMANDS!$E$17</f>
        <v>TRAPS</v>
      </c>
      <c r="F23">
        <v>2039</v>
      </c>
      <c r="G23" s="18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8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8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8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8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8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8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8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8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8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8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8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8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8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8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8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8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8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8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8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8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8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8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8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8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8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4">
      <c r="D24" t="s">
        <v>6</v>
      </c>
      <c r="E24" t="str">
        <f>DEMANDS!$E$17</f>
        <v>TRAPS</v>
      </c>
      <c r="F24">
        <v>2040</v>
      </c>
      <c r="G24" s="18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8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8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8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8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8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8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8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8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8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8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8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8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8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8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8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8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8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8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8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8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8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8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8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8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8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4">
      <c r="D25" t="s">
        <v>6</v>
      </c>
      <c r="E25" t="str">
        <f>DEMANDS!$E$17</f>
        <v>TRAPS</v>
      </c>
      <c r="F25">
        <v>2045</v>
      </c>
      <c r="G25" s="18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8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8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8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8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8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8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8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8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8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8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8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8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8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8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8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8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8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8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8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8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8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8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8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8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8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4">
      <c r="D26" t="s">
        <v>6</v>
      </c>
      <c r="E26" t="str">
        <f>DEMANDS!$E$17</f>
        <v>TRAPS</v>
      </c>
      <c r="F26">
        <v>2050</v>
      </c>
      <c r="G26" s="18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8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8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8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8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8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8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8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8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8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8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8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8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8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8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8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8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8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8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8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8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8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8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8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8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8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4">
      <c r="D27" t="s">
        <v>6</v>
      </c>
      <c r="E27" t="str">
        <f>DEMANDS!$E$17</f>
        <v>TRAPS</v>
      </c>
      <c r="F27">
        <v>2055</v>
      </c>
      <c r="G27" s="18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8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8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8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8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8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8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8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8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8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8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8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8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8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8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8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8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8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8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8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8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8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8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8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8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8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4">
      <c r="D28" t="s">
        <v>6</v>
      </c>
      <c r="E28" t="str">
        <f>DEMANDS!$E$17</f>
        <v>TRAPS</v>
      </c>
      <c r="F28">
        <v>2060</v>
      </c>
      <c r="G28" s="18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8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8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8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8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8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8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8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8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8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8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8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8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8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8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8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8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8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8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8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8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8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8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8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8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8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4">
      <c r="D29" t="s">
        <v>6</v>
      </c>
      <c r="E29" t="str">
        <f>DEMANDS!$E$17</f>
        <v>TRAPS</v>
      </c>
      <c r="F29">
        <v>2065</v>
      </c>
      <c r="G29" s="18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8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8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8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8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8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8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8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8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8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8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8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8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8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8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8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8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8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8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8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8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8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8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8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8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8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4">
      <c r="D30" t="s">
        <v>6</v>
      </c>
      <c r="E30" t="str">
        <f>DEMANDS!$E$17</f>
        <v>TRAPS</v>
      </c>
      <c r="F30">
        <v>2070</v>
      </c>
      <c r="G30" s="18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8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8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8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8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8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8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8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8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8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8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8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8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8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8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8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8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8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8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8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8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8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8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8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8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8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4">
      <c r="D31" s="19" t="s">
        <v>6</v>
      </c>
      <c r="E31" s="19" t="str">
        <f>DEMANDS!$E$18</f>
        <v>TRAPM</v>
      </c>
      <c r="F31" s="19">
        <v>2020</v>
      </c>
      <c r="G31" s="20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0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0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0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0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0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0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0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0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0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0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0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0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0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0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0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0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0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0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0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0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0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0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0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0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0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4">
      <c r="D32" t="s">
        <v>6</v>
      </c>
      <c r="E32" t="str">
        <f>DEMANDS!$E$18</f>
        <v>TRAPM</v>
      </c>
      <c r="F32">
        <v>2021</v>
      </c>
      <c r="G32" s="18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8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8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8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8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8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8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8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8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8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8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8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8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8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8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8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8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8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8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8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8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8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8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8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8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8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4">
      <c r="D33" t="s">
        <v>6</v>
      </c>
      <c r="E33" t="str">
        <f>DEMANDS!$E$18</f>
        <v>TRAPM</v>
      </c>
      <c r="F33">
        <v>2022</v>
      </c>
      <c r="G33" s="18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8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8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8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8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8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8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8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8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8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8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8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8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8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8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8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8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8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8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8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8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8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8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8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8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8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4">
      <c r="D34" t="s">
        <v>6</v>
      </c>
      <c r="E34" t="str">
        <f>DEMANDS!$E$18</f>
        <v>TRAPM</v>
      </c>
      <c r="F34">
        <v>2023</v>
      </c>
      <c r="G34" s="18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8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8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8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8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8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8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8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8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8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8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8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8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8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8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8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8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8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8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8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8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8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8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8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8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8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4">
      <c r="D35" t="s">
        <v>6</v>
      </c>
      <c r="E35" t="str">
        <f>DEMANDS!$E$18</f>
        <v>TRAPM</v>
      </c>
      <c r="F35">
        <v>2024</v>
      </c>
      <c r="G35" s="18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8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8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8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8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8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8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8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8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8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8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8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8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8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8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8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8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8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8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8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8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8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8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8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8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8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4">
      <c r="D36" t="s">
        <v>6</v>
      </c>
      <c r="E36" t="str">
        <f>DEMANDS!$E$18</f>
        <v>TRAPM</v>
      </c>
      <c r="F36">
        <v>2025</v>
      </c>
      <c r="G36" s="18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8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8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8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8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8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8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8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8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8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8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8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8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8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8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8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8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8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8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8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8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8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8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8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8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8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4">
      <c r="D37" t="s">
        <v>6</v>
      </c>
      <c r="E37" t="str">
        <f>DEMANDS!$E$18</f>
        <v>TRAPM</v>
      </c>
      <c r="F37">
        <v>2026</v>
      </c>
      <c r="G37" s="18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8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8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8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8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8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8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8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8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8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8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8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8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8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8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8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8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8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8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8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8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8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8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8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8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8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4">
      <c r="D38" t="s">
        <v>6</v>
      </c>
      <c r="E38" t="str">
        <f>DEMANDS!$E$18</f>
        <v>TRAPM</v>
      </c>
      <c r="F38">
        <v>2027</v>
      </c>
      <c r="G38" s="18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8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8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8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8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8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8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8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8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8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8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8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8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8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8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8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8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8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8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8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8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8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8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8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8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8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4">
      <c r="D39" t="s">
        <v>6</v>
      </c>
      <c r="E39" t="str">
        <f>DEMANDS!$E$18</f>
        <v>TRAPM</v>
      </c>
      <c r="F39">
        <v>2028</v>
      </c>
      <c r="G39" s="18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8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8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8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8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8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8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8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8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8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8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8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8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8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8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8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8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8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8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8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8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8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8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8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8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8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4">
      <c r="D40" t="s">
        <v>6</v>
      </c>
      <c r="E40" t="str">
        <f>DEMANDS!$E$18</f>
        <v>TRAPM</v>
      </c>
      <c r="F40">
        <v>2029</v>
      </c>
      <c r="G40" s="18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8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8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8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8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8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8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8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8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8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8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8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8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8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8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8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8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8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8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8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8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8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8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8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8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8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4">
      <c r="D41" t="s">
        <v>6</v>
      </c>
      <c r="E41" t="str">
        <f>DEMANDS!$E$18</f>
        <v>TRAPM</v>
      </c>
      <c r="F41">
        <v>2030</v>
      </c>
      <c r="G41" s="18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8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8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8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8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8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8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8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8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8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8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8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8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8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8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8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8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8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8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8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8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8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8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8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8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8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4">
      <c r="D42" t="s">
        <v>6</v>
      </c>
      <c r="E42" t="str">
        <f>DEMANDS!$E$18</f>
        <v>TRAPM</v>
      </c>
      <c r="F42">
        <v>2031</v>
      </c>
      <c r="G42" s="18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8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8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8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8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8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8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8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8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8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8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8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8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8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8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8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8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8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8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8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8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8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8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8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8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8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4">
      <c r="D43" t="s">
        <v>6</v>
      </c>
      <c r="E43" t="str">
        <f>DEMANDS!$E$18</f>
        <v>TRAPM</v>
      </c>
      <c r="F43">
        <v>2032</v>
      </c>
      <c r="G43" s="18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8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8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8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8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8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8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8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8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8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8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8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8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8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8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8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8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8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8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8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8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8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8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8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8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8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4">
      <c r="D44" t="s">
        <v>6</v>
      </c>
      <c r="E44" t="str">
        <f>DEMANDS!$E$18</f>
        <v>TRAPM</v>
      </c>
      <c r="F44">
        <v>2033</v>
      </c>
      <c r="G44" s="18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8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8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8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8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8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8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8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8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8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8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8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8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8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8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8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8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8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8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8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8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8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8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8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8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8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4">
      <c r="D45" t="s">
        <v>6</v>
      </c>
      <c r="E45" t="str">
        <f>DEMANDS!$E$18</f>
        <v>TRAPM</v>
      </c>
      <c r="F45">
        <v>2034</v>
      </c>
      <c r="G45" s="18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8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8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8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8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8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8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8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8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8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8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8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8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8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8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8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8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8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8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8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8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8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8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8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8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8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4">
      <c r="D46" t="s">
        <v>6</v>
      </c>
      <c r="E46" t="str">
        <f>DEMANDS!$E$18</f>
        <v>TRAPM</v>
      </c>
      <c r="F46">
        <v>2035</v>
      </c>
      <c r="G46" s="18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8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8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8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8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8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8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8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8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8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8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8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8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8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8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8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8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8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8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8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8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8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8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8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8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8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4">
      <c r="D47" t="s">
        <v>6</v>
      </c>
      <c r="E47" t="str">
        <f>DEMANDS!$E$18</f>
        <v>TRAPM</v>
      </c>
      <c r="F47">
        <v>2036</v>
      </c>
      <c r="G47" s="18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8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8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8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8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8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8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8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8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8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8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8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8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8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8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8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8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8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8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8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8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8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8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8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8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8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4">
      <c r="D48" t="s">
        <v>6</v>
      </c>
      <c r="E48" t="str">
        <f>DEMANDS!$E$18</f>
        <v>TRAPM</v>
      </c>
      <c r="F48">
        <v>2037</v>
      </c>
      <c r="G48" s="18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8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8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8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8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8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8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8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8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8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8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8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8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8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8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8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8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8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8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8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8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8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8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8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8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8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4">
      <c r="D49" t="s">
        <v>6</v>
      </c>
      <c r="E49" t="str">
        <f>DEMANDS!$E$18</f>
        <v>TRAPM</v>
      </c>
      <c r="F49">
        <v>2038</v>
      </c>
      <c r="G49" s="18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8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8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8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8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8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8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8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8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8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8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8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8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8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8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8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8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8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8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8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8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8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8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8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8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8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4">
      <c r="D50" t="s">
        <v>6</v>
      </c>
      <c r="E50" t="str">
        <f>DEMANDS!$E$18</f>
        <v>TRAPM</v>
      </c>
      <c r="F50">
        <v>2039</v>
      </c>
      <c r="G50" s="18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8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8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8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8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8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8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8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8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8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8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8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8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8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8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8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8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8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8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8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8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8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8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8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8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8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4">
      <c r="D51" t="s">
        <v>6</v>
      </c>
      <c r="E51" t="str">
        <f>DEMANDS!$E$18</f>
        <v>TRAPM</v>
      </c>
      <c r="F51">
        <v>2040</v>
      </c>
      <c r="G51" s="18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8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8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8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8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8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8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8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8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8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8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8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8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8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8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8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8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8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8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8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8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8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8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8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8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8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4">
      <c r="D52" t="s">
        <v>6</v>
      </c>
      <c r="E52" t="str">
        <f>DEMANDS!$E$18</f>
        <v>TRAPM</v>
      </c>
      <c r="F52">
        <v>2045</v>
      </c>
      <c r="G52" s="18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8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8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8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8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8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8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8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8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8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8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8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8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8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8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8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8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8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8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8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8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8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8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8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8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8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4">
      <c r="D53" t="s">
        <v>6</v>
      </c>
      <c r="E53" t="str">
        <f>DEMANDS!$E$18</f>
        <v>TRAPM</v>
      </c>
      <c r="F53">
        <v>2050</v>
      </c>
      <c r="G53" s="18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8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8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8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8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8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8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8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8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8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8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8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8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8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8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8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8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8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8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8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8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8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8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8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8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8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4">
      <c r="D54" t="s">
        <v>6</v>
      </c>
      <c r="E54" t="str">
        <f>DEMANDS!$E$18</f>
        <v>TRAPM</v>
      </c>
      <c r="F54">
        <v>2055</v>
      </c>
      <c r="G54" s="18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8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8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8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8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8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8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8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8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8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8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8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8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8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8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8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8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8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8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8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8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8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8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8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8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8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4">
      <c r="D55" t="s">
        <v>6</v>
      </c>
      <c r="E55" t="str">
        <f>DEMANDS!$E$18</f>
        <v>TRAPM</v>
      </c>
      <c r="F55">
        <v>2060</v>
      </c>
      <c r="G55" s="18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8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8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8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8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8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8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8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8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8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8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8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8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8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8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8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8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8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8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8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8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8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8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8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8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8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4">
      <c r="D56" t="s">
        <v>6</v>
      </c>
      <c r="E56" t="str">
        <f>DEMANDS!$E$18</f>
        <v>TRAPM</v>
      </c>
      <c r="F56">
        <v>2065</v>
      </c>
      <c r="G56" s="18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8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8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8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8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8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8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8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8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8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8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8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8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8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8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8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8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8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8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8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8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8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8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8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8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8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4">
      <c r="D57" t="s">
        <v>6</v>
      </c>
      <c r="E57" t="str">
        <f>DEMANDS!$E$18</f>
        <v>TRAPM</v>
      </c>
      <c r="F57">
        <v>2070</v>
      </c>
      <c r="G57" s="17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7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7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7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7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7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7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7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7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7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7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7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7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7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7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7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7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7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7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7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7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7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7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7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7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7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4">
      <c r="D58" s="19" t="s">
        <v>6</v>
      </c>
      <c r="E58" s="19" t="str">
        <f>DEMANDS!$E$19</f>
        <v>TRAPL</v>
      </c>
      <c r="F58" s="19">
        <v>2020</v>
      </c>
      <c r="G58" s="20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0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0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0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0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0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0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0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0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0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0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0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0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0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0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0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0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0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0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0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0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0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0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0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0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0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4">
      <c r="D59" t="s">
        <v>6</v>
      </c>
      <c r="E59" t="str">
        <f>DEMANDS!$E$19</f>
        <v>TRAPL</v>
      </c>
      <c r="F59">
        <v>2021</v>
      </c>
      <c r="G59" s="18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8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8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8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8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8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8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8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8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8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8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8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8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8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8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8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8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8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8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8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8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8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8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8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8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8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4">
      <c r="D60" t="s">
        <v>6</v>
      </c>
      <c r="E60" t="str">
        <f>DEMANDS!$E$19</f>
        <v>TRAPL</v>
      </c>
      <c r="F60">
        <v>2022</v>
      </c>
      <c r="G60" s="18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8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8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8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8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8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8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8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8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8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8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8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8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8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8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8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8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8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8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8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8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8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8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8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8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8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4">
      <c r="D61" t="s">
        <v>6</v>
      </c>
      <c r="E61" t="str">
        <f>DEMANDS!$E$19</f>
        <v>TRAPL</v>
      </c>
      <c r="F61">
        <v>2023</v>
      </c>
      <c r="G61" s="18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8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8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8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8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8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8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8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8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8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8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8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8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8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8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8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8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8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8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8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8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8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8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8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8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8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4">
      <c r="D62" t="s">
        <v>6</v>
      </c>
      <c r="E62" t="str">
        <f>DEMANDS!$E$19</f>
        <v>TRAPL</v>
      </c>
      <c r="F62">
        <v>2024</v>
      </c>
      <c r="G62" s="18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8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8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8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8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8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8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8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8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8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8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8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8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8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8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8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8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8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8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8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8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8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8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8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8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8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4">
      <c r="D63" t="s">
        <v>6</v>
      </c>
      <c r="E63" t="str">
        <f>DEMANDS!$E$19</f>
        <v>TRAPL</v>
      </c>
      <c r="F63">
        <v>2025</v>
      </c>
      <c r="G63" s="18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8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8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8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8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8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8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8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8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8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8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8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8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8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8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8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8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8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8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8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8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8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8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8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8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8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4">
      <c r="D64" t="s">
        <v>6</v>
      </c>
      <c r="E64" t="str">
        <f>DEMANDS!$E$19</f>
        <v>TRAPL</v>
      </c>
      <c r="F64">
        <v>2026</v>
      </c>
      <c r="G64" s="18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8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8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8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8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8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8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8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8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8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8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8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8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8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8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8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8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8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8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8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8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8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8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8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8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8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4">
      <c r="D65" t="s">
        <v>6</v>
      </c>
      <c r="E65" t="str">
        <f>DEMANDS!$E$19</f>
        <v>TRAPL</v>
      </c>
      <c r="F65">
        <v>2027</v>
      </c>
      <c r="G65" s="18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8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8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8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8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8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8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8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8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8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8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8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8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8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8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8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8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8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8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8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8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8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8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8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8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8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4">
      <c r="D66" t="s">
        <v>6</v>
      </c>
      <c r="E66" t="str">
        <f>DEMANDS!$E$19</f>
        <v>TRAPL</v>
      </c>
      <c r="F66">
        <v>2028</v>
      </c>
      <c r="G66" s="18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8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8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8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8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8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8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8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8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8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8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8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8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8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8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8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8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8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8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8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8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8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8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8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8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8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4">
      <c r="D67" t="s">
        <v>6</v>
      </c>
      <c r="E67" t="str">
        <f>DEMANDS!$E$19</f>
        <v>TRAPL</v>
      </c>
      <c r="F67">
        <v>2029</v>
      </c>
      <c r="G67" s="18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8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8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8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8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8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8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8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8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8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8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8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8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8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8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8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8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8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8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8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8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8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8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8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8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8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4">
      <c r="D68" t="s">
        <v>6</v>
      </c>
      <c r="E68" t="str">
        <f>DEMANDS!$E$19</f>
        <v>TRAPL</v>
      </c>
      <c r="F68">
        <v>2030</v>
      </c>
      <c r="G68" s="18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8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8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8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8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8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8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8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8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8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8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8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8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8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8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8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8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8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8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8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8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8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8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8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8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8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4">
      <c r="D69" t="s">
        <v>6</v>
      </c>
      <c r="E69" t="str">
        <f>DEMANDS!$E$19</f>
        <v>TRAPL</v>
      </c>
      <c r="F69">
        <v>2031</v>
      </c>
      <c r="G69" s="18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8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8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8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8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8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8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8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8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8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8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8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8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8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8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8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8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8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8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8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8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8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8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8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8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8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4">
      <c r="D70" t="s">
        <v>6</v>
      </c>
      <c r="E70" t="str">
        <f>DEMANDS!$E$19</f>
        <v>TRAPL</v>
      </c>
      <c r="F70">
        <v>2032</v>
      </c>
      <c r="G70" s="18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8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8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8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8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8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8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8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8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8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8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8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8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8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8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8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8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8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8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8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8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8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8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8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8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8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4">
      <c r="D71" t="s">
        <v>6</v>
      </c>
      <c r="E71" t="str">
        <f>DEMANDS!$E$19</f>
        <v>TRAPL</v>
      </c>
      <c r="F71">
        <v>2033</v>
      </c>
      <c r="G71" s="18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8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8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8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8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8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8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8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8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8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8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8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8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8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8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8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8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8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8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8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8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8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8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8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8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8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4">
      <c r="D72" t="s">
        <v>6</v>
      </c>
      <c r="E72" t="str">
        <f>DEMANDS!$E$19</f>
        <v>TRAPL</v>
      </c>
      <c r="F72">
        <v>2034</v>
      </c>
      <c r="G72" s="18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8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8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8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8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8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8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8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8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8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8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8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8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8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8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8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8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8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8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8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8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8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8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8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8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8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4">
      <c r="D73" t="s">
        <v>6</v>
      </c>
      <c r="E73" t="str">
        <f>DEMANDS!$E$19</f>
        <v>TRAPL</v>
      </c>
      <c r="F73">
        <v>2035</v>
      </c>
      <c r="G73" s="18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8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8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8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8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8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8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8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8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8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8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8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8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8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8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8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8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8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8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8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8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8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8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8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8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8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4">
      <c r="D74" t="s">
        <v>6</v>
      </c>
      <c r="E74" t="str">
        <f>DEMANDS!$E$19</f>
        <v>TRAPL</v>
      </c>
      <c r="F74">
        <v>2036</v>
      </c>
      <c r="G74" s="18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8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8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8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8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8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8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8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8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8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8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8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8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8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8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8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8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8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8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8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8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8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8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8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8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8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4">
      <c r="D75" t="s">
        <v>6</v>
      </c>
      <c r="E75" t="str">
        <f>DEMANDS!$E$19</f>
        <v>TRAPL</v>
      </c>
      <c r="F75">
        <v>2037</v>
      </c>
      <c r="G75" s="18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8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8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8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8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8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8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8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8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8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8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8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8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8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8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8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8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8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8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8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8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8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8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8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8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8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4">
      <c r="D76" t="s">
        <v>6</v>
      </c>
      <c r="E76" t="str">
        <f>DEMANDS!$E$19</f>
        <v>TRAPL</v>
      </c>
      <c r="F76">
        <v>2038</v>
      </c>
      <c r="G76" s="18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8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8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8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8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8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8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8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8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8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8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8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8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8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8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8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8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8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8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8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8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8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8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8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8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8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4">
      <c r="D77" t="s">
        <v>6</v>
      </c>
      <c r="E77" t="str">
        <f>DEMANDS!$E$19</f>
        <v>TRAPL</v>
      </c>
      <c r="F77">
        <v>2039</v>
      </c>
      <c r="G77" s="18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8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8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8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8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8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8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8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8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8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8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8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8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8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8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8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8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8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8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8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8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8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8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8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8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8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4">
      <c r="D78" t="s">
        <v>6</v>
      </c>
      <c r="E78" t="str">
        <f>DEMANDS!$E$19</f>
        <v>TRAPL</v>
      </c>
      <c r="F78">
        <v>2040</v>
      </c>
      <c r="G78" s="18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8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8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8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8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8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8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8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8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8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8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8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8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8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8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8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8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8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8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8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8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8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8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8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8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8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4">
      <c r="D79" t="s">
        <v>6</v>
      </c>
      <c r="E79" t="str">
        <f>DEMANDS!$E$19</f>
        <v>TRAPL</v>
      </c>
      <c r="F79">
        <v>2045</v>
      </c>
      <c r="G79" s="18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8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8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8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8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8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8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8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8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8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8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8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8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8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8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8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8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8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8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8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8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8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8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8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8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8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4">
      <c r="D80" t="s">
        <v>6</v>
      </c>
      <c r="E80" t="str">
        <f>DEMANDS!$E$19</f>
        <v>TRAPL</v>
      </c>
      <c r="F80">
        <v>2050</v>
      </c>
      <c r="G80" s="18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8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8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8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8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8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8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8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8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8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8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8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8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8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8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8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8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8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8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8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8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8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8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8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8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8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4">
      <c r="D81" t="s">
        <v>6</v>
      </c>
      <c r="E81" t="str">
        <f>DEMANDS!$E$19</f>
        <v>TRAPL</v>
      </c>
      <c r="F81">
        <v>2055</v>
      </c>
      <c r="G81" s="18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8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8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8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8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8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8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8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8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8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8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8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8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8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8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8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8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8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8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8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8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8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8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8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8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8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4">
      <c r="D82" t="s">
        <v>6</v>
      </c>
      <c r="E82" t="str">
        <f>DEMANDS!$E$19</f>
        <v>TRAPL</v>
      </c>
      <c r="F82">
        <v>2060</v>
      </c>
      <c r="G82" s="18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8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8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8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8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8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8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8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8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8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8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8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8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8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8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8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8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8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8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8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8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8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8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8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8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8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4">
      <c r="D83" t="s">
        <v>6</v>
      </c>
      <c r="E83" t="str">
        <f>DEMANDS!$E$19</f>
        <v>TRAPL</v>
      </c>
      <c r="F83">
        <v>2065</v>
      </c>
      <c r="G83" s="18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8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8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8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8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8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8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8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8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8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8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8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8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8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8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8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8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8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8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8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8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8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8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8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8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8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4">
      <c r="D84" t="s">
        <v>6</v>
      </c>
      <c r="E84" t="str">
        <f>DEMANDS!$E$19</f>
        <v>TRAPL</v>
      </c>
      <c r="F84">
        <v>2070</v>
      </c>
      <c r="G84" s="17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7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7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7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7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7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7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7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7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7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7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7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7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7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7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7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7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7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7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7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7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7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7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7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7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7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4">
      <c r="D85" s="19" t="s">
        <v>6</v>
      </c>
      <c r="E85" s="19" t="str">
        <f>DEMANDS!$E$20</f>
        <v>TRAF</v>
      </c>
      <c r="F85" s="19">
        <v>2020</v>
      </c>
      <c r="G85" s="20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0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0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0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0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0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0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0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0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0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0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0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0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0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0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0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0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0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0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0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0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0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0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0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0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0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4">
      <c r="D86" t="s">
        <v>6</v>
      </c>
      <c r="E86" t="str">
        <f>DEMANDS!$E$20</f>
        <v>TRAF</v>
      </c>
      <c r="F86">
        <v>2021</v>
      </c>
      <c r="G86" s="18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8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8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8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8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8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8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8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8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8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8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8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8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8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8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8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8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8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8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8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8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8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8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8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8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8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4">
      <c r="D87" t="s">
        <v>6</v>
      </c>
      <c r="E87" t="str">
        <f>DEMANDS!$E$20</f>
        <v>TRAF</v>
      </c>
      <c r="F87">
        <v>2022</v>
      </c>
      <c r="G87" s="18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8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8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8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8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8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8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8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8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8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8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8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8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8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8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8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8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8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8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8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8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8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8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8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8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8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4">
      <c r="D88" t="s">
        <v>6</v>
      </c>
      <c r="E88" t="str">
        <f>DEMANDS!$E$20</f>
        <v>TRAF</v>
      </c>
      <c r="F88">
        <v>2023</v>
      </c>
      <c r="G88" s="18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8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8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8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8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8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8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8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8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8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8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8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8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8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8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8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8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8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8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8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8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8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8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8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8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8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4">
      <c r="D89" t="s">
        <v>6</v>
      </c>
      <c r="E89" t="str">
        <f>DEMANDS!$E$20</f>
        <v>TRAF</v>
      </c>
      <c r="F89">
        <v>2024</v>
      </c>
      <c r="G89" s="18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8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8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8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8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8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8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8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8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8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8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8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8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8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8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8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8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8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8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8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8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8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8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8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8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8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4">
      <c r="D90" t="s">
        <v>6</v>
      </c>
      <c r="E90" t="str">
        <f>DEMANDS!$E$20</f>
        <v>TRAF</v>
      </c>
      <c r="F90">
        <v>2025</v>
      </c>
      <c r="G90" s="18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8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8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8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8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8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8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8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8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8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8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8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8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8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8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8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8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8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8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8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8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8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8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8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8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8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4">
      <c r="D91" t="s">
        <v>6</v>
      </c>
      <c r="E91" t="str">
        <f>DEMANDS!$E$20</f>
        <v>TRAF</v>
      </c>
      <c r="F91">
        <v>2026</v>
      </c>
      <c r="G91" s="18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8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8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8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8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8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8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8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8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8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8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8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8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8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8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8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8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8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8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8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8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8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8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8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8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8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4">
      <c r="D92" t="s">
        <v>6</v>
      </c>
      <c r="E92" t="str">
        <f>DEMANDS!$E$20</f>
        <v>TRAF</v>
      </c>
      <c r="F92">
        <v>2027</v>
      </c>
      <c r="G92" s="18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8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8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8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8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8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8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8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8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8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8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8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8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8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8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8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8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8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8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8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8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8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8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8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8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8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4">
      <c r="D93" t="s">
        <v>6</v>
      </c>
      <c r="E93" t="str">
        <f>DEMANDS!$E$20</f>
        <v>TRAF</v>
      </c>
      <c r="F93">
        <v>2028</v>
      </c>
      <c r="G93" s="18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8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8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8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8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8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8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8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8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8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8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8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8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8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8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8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8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8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8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8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8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8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8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8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8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8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4">
      <c r="D94" t="s">
        <v>6</v>
      </c>
      <c r="E94" t="str">
        <f>DEMANDS!$E$20</f>
        <v>TRAF</v>
      </c>
      <c r="F94">
        <v>2029</v>
      </c>
      <c r="G94" s="18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8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8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8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8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8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8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8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8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8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8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8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8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8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8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8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8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8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8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8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8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8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8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8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8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8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4">
      <c r="D95" t="s">
        <v>6</v>
      </c>
      <c r="E95" t="str">
        <f>DEMANDS!$E$20</f>
        <v>TRAF</v>
      </c>
      <c r="F95">
        <v>2030</v>
      </c>
      <c r="G95" s="18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8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8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8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8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8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8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8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8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8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8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8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8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8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8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8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8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8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8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8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8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8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8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8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8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8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4">
      <c r="D96" t="s">
        <v>6</v>
      </c>
      <c r="E96" t="str">
        <f>DEMANDS!$E$20</f>
        <v>TRAF</v>
      </c>
      <c r="F96">
        <v>2031</v>
      </c>
      <c r="G96" s="18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8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8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8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8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8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8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8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8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8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8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8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8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8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8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8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8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8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8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8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8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8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8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8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8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8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4">
      <c r="D97" t="s">
        <v>6</v>
      </c>
      <c r="E97" t="str">
        <f>DEMANDS!$E$20</f>
        <v>TRAF</v>
      </c>
      <c r="F97">
        <v>2032</v>
      </c>
      <c r="G97" s="18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8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8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8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8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8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8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8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8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8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8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8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8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8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8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8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8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8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8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8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8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8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8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8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8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8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4">
      <c r="D98" t="s">
        <v>6</v>
      </c>
      <c r="E98" t="str">
        <f>DEMANDS!$E$20</f>
        <v>TRAF</v>
      </c>
      <c r="F98">
        <v>2033</v>
      </c>
      <c r="G98" s="18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8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8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8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8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8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8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8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8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8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8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8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8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8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8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8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8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8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8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8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8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8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8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8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8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8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4">
      <c r="D99" t="s">
        <v>6</v>
      </c>
      <c r="E99" t="str">
        <f>DEMANDS!$E$20</f>
        <v>TRAF</v>
      </c>
      <c r="F99">
        <v>2034</v>
      </c>
      <c r="G99" s="18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8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8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8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8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8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8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8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8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8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8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8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8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8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8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8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8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8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8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8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8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8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8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8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8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8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4">
      <c r="D100" t="s">
        <v>6</v>
      </c>
      <c r="E100" t="str">
        <f>DEMANDS!$E$20</f>
        <v>TRAF</v>
      </c>
      <c r="F100">
        <v>2035</v>
      </c>
      <c r="G100" s="18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8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8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8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8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8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8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8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8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8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8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8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8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8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8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8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8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8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8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8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8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8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8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8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8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8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4">
      <c r="D101" t="s">
        <v>6</v>
      </c>
      <c r="E101" t="str">
        <f>DEMANDS!$E$20</f>
        <v>TRAF</v>
      </c>
      <c r="F101">
        <v>2036</v>
      </c>
      <c r="G101" s="18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8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8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8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8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8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8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8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8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8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8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8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8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8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8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8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8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8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8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8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8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8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8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8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8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8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4">
      <c r="D102" t="s">
        <v>6</v>
      </c>
      <c r="E102" t="str">
        <f>DEMANDS!$E$20</f>
        <v>TRAF</v>
      </c>
      <c r="F102">
        <v>2037</v>
      </c>
      <c r="G102" s="18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8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8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8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8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8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8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8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8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8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8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8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8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8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8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8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8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8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8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8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8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8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8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8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8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8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4">
      <c r="D103" t="s">
        <v>6</v>
      </c>
      <c r="E103" t="str">
        <f>DEMANDS!$E$20</f>
        <v>TRAF</v>
      </c>
      <c r="F103">
        <v>2038</v>
      </c>
      <c r="G103" s="18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8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8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8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8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8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8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8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8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8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8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8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8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8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8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8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8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8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8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8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8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8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8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8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8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8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4">
      <c r="D104" t="s">
        <v>6</v>
      </c>
      <c r="E104" t="str">
        <f>DEMANDS!$E$20</f>
        <v>TRAF</v>
      </c>
      <c r="F104">
        <v>2039</v>
      </c>
      <c r="G104" s="18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8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8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8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8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8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8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8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8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8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8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8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8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8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8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8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8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8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8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8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8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8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8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8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8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8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4">
      <c r="D105" t="s">
        <v>6</v>
      </c>
      <c r="E105" t="str">
        <f>DEMANDS!$E$20</f>
        <v>TRAF</v>
      </c>
      <c r="F105">
        <v>2040</v>
      </c>
      <c r="G105" s="18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8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8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8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8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8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8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8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8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8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8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8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8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8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8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8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8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8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8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8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8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8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8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8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8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8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4">
      <c r="D106" t="s">
        <v>6</v>
      </c>
      <c r="E106" t="str">
        <f>DEMANDS!$E$20</f>
        <v>TRAF</v>
      </c>
      <c r="F106">
        <v>2045</v>
      </c>
      <c r="G106" s="18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8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8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8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8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8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8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8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8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8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8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8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8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8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8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8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8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8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8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8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8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8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8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8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8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8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4">
      <c r="D107" t="s">
        <v>6</v>
      </c>
      <c r="E107" t="str">
        <f>DEMANDS!$E$20</f>
        <v>TRAF</v>
      </c>
      <c r="F107">
        <v>2050</v>
      </c>
      <c r="G107" s="18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8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8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8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8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8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8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8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8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8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8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8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8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8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8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8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8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8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8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8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8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8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8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8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8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8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4">
      <c r="D108" t="s">
        <v>6</v>
      </c>
      <c r="E108" t="str">
        <f>DEMANDS!$E$20</f>
        <v>TRAF</v>
      </c>
      <c r="F108">
        <v>2055</v>
      </c>
      <c r="G108" s="18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8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8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8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8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8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8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8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8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8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8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8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8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8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8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8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8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8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8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8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8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8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8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8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8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8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4">
      <c r="D109" t="s">
        <v>6</v>
      </c>
      <c r="E109" t="str">
        <f>DEMANDS!$E$20</f>
        <v>TRAF</v>
      </c>
      <c r="F109">
        <v>2060</v>
      </c>
      <c r="G109" s="18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8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8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8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8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8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8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8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8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8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8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8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8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8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8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8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8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8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8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8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8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8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8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8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8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8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4">
      <c r="D110" t="s">
        <v>6</v>
      </c>
      <c r="E110" t="str">
        <f>DEMANDS!$E$20</f>
        <v>TRAF</v>
      </c>
      <c r="F110">
        <v>2065</v>
      </c>
      <c r="G110" s="18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8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8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8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8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8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8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8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8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8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8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8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8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8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8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8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8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8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8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8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8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8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8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8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8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8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4">
      <c r="D111" t="s">
        <v>6</v>
      </c>
      <c r="E111" t="str">
        <f>DEMANDS!$E$20</f>
        <v>TRAF</v>
      </c>
      <c r="F111">
        <v>2070</v>
      </c>
      <c r="G111" s="17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7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7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7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7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7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7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7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7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7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7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7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7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7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7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7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7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7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7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7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7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7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7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7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7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7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4">
      <c r="D112" s="19" t="s">
        <v>6</v>
      </c>
      <c r="E112" s="19" t="str">
        <f>DEMANDS!$E$21</f>
        <v>TTURS</v>
      </c>
      <c r="F112" s="19">
        <v>2020</v>
      </c>
      <c r="G112" s="20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0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0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0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0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0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0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0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0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0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0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0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0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0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0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0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0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0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0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0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0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0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0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0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0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0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4">
      <c r="D113" t="s">
        <v>6</v>
      </c>
      <c r="E113" t="str">
        <f>DEMANDS!$E$21</f>
        <v>TTURS</v>
      </c>
      <c r="F113">
        <v>2021</v>
      </c>
      <c r="G113" s="18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8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8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8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8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8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8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8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8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8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8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8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8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8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8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8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8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8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8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8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8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8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8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8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8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8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4">
      <c r="D114" t="s">
        <v>6</v>
      </c>
      <c r="E114" t="str">
        <f>DEMANDS!$E$21</f>
        <v>TTURS</v>
      </c>
      <c r="F114">
        <v>2022</v>
      </c>
      <c r="G114" s="18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8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8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8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8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8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8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8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8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8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8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8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8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8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8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8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8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8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8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8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8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8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8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8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8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8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4">
      <c r="D115" t="s">
        <v>6</v>
      </c>
      <c r="E115" t="str">
        <f>DEMANDS!$E$21</f>
        <v>TTURS</v>
      </c>
      <c r="F115">
        <v>2023</v>
      </c>
      <c r="G115" s="18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8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8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8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8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8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8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8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8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8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8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8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8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8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8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8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8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8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8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8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8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8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8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8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8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8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4">
      <c r="D116" t="s">
        <v>6</v>
      </c>
      <c r="E116" t="str">
        <f>DEMANDS!$E$21</f>
        <v>TTURS</v>
      </c>
      <c r="F116">
        <v>2024</v>
      </c>
      <c r="G116" s="18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8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8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8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8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8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8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8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8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8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8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8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8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8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8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8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8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8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8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8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8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8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8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8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8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8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4">
      <c r="D117" t="s">
        <v>6</v>
      </c>
      <c r="E117" t="str">
        <f>DEMANDS!$E$21</f>
        <v>TTURS</v>
      </c>
      <c r="F117">
        <v>2025</v>
      </c>
      <c r="G117" s="18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8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8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8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8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8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8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8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8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8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8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8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8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8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8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8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8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8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8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8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8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8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8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8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8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8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4">
      <c r="D118" t="s">
        <v>6</v>
      </c>
      <c r="E118" t="str">
        <f>DEMANDS!$E$21</f>
        <v>TTURS</v>
      </c>
      <c r="F118">
        <v>2026</v>
      </c>
      <c r="G118" s="18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8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8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8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8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8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8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8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8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8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8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8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8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8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8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8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8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8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8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8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8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8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8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8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8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8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4">
      <c r="D119" t="s">
        <v>6</v>
      </c>
      <c r="E119" t="str">
        <f>DEMANDS!$E$21</f>
        <v>TTURS</v>
      </c>
      <c r="F119">
        <v>2027</v>
      </c>
      <c r="G119" s="18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8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8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8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8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8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8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8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8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8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8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8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8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8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8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8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8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8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8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8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8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8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8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8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8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8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4">
      <c r="D120" t="s">
        <v>6</v>
      </c>
      <c r="E120" t="str">
        <f>DEMANDS!$E$21</f>
        <v>TTURS</v>
      </c>
      <c r="F120">
        <v>2028</v>
      </c>
      <c r="G120" s="18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8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8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8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8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8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8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8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8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8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8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8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8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8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8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8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8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8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8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8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8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8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8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8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8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8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4">
      <c r="D121" t="s">
        <v>6</v>
      </c>
      <c r="E121" t="str">
        <f>DEMANDS!$E$21</f>
        <v>TTURS</v>
      </c>
      <c r="F121">
        <v>2029</v>
      </c>
      <c r="G121" s="18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8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8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8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8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8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8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8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8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8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8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8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8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8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8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8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8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8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8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8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8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8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8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8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8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8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4">
      <c r="D122" t="s">
        <v>6</v>
      </c>
      <c r="E122" t="str">
        <f>DEMANDS!$E$21</f>
        <v>TTURS</v>
      </c>
      <c r="F122">
        <v>2030</v>
      </c>
      <c r="G122" s="18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8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8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8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8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8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8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8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8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8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8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8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8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8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8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8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8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8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8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8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8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8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8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8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8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8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4">
      <c r="D123" t="s">
        <v>6</v>
      </c>
      <c r="E123" t="str">
        <f>DEMANDS!$E$21</f>
        <v>TTURS</v>
      </c>
      <c r="F123">
        <v>2031</v>
      </c>
      <c r="G123" s="18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8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8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8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8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8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8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8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8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8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8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8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8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8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8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8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8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8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8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8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8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8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8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8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8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8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4">
      <c r="D124" t="s">
        <v>6</v>
      </c>
      <c r="E124" t="str">
        <f>DEMANDS!$E$21</f>
        <v>TTURS</v>
      </c>
      <c r="F124">
        <v>2032</v>
      </c>
      <c r="G124" s="18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8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8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8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8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8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8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8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8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8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8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8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8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8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8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8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8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8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8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8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8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8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8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8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8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8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4">
      <c r="D125" t="s">
        <v>6</v>
      </c>
      <c r="E125" t="str">
        <f>DEMANDS!$E$21</f>
        <v>TTURS</v>
      </c>
      <c r="F125">
        <v>2033</v>
      </c>
      <c r="G125" s="18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8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8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8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8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8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8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8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8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8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8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8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8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8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8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8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8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8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8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8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8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8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8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8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8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8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4">
      <c r="D126" t="s">
        <v>6</v>
      </c>
      <c r="E126" t="str">
        <f>DEMANDS!$E$21</f>
        <v>TTURS</v>
      </c>
      <c r="F126">
        <v>2034</v>
      </c>
      <c r="G126" s="18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8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8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8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8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8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8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8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8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8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8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8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8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8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8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8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8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8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8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8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8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8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8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8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8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8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4">
      <c r="D127" t="s">
        <v>6</v>
      </c>
      <c r="E127" t="str">
        <f>DEMANDS!$E$21</f>
        <v>TTURS</v>
      </c>
      <c r="F127">
        <v>2035</v>
      </c>
      <c r="G127" s="18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8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8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8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8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8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8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8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8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8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8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8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8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8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8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8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8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8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8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8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8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8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8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8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8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8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4">
      <c r="D128" t="s">
        <v>6</v>
      </c>
      <c r="E128" t="str">
        <f>DEMANDS!$E$21</f>
        <v>TTURS</v>
      </c>
      <c r="F128">
        <v>2036</v>
      </c>
      <c r="G128" s="18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8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8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8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8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8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8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8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8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8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8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8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8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8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8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8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8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8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8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8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8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8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8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8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8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8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4">
      <c r="D129" t="s">
        <v>6</v>
      </c>
      <c r="E129" t="str">
        <f>DEMANDS!$E$21</f>
        <v>TTURS</v>
      </c>
      <c r="F129">
        <v>2037</v>
      </c>
      <c r="G129" s="18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8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8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8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8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8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8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8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8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8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8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8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8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8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8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8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8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8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8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8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8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8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8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8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8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8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4">
      <c r="D130" t="s">
        <v>6</v>
      </c>
      <c r="E130" t="str">
        <f>DEMANDS!$E$21</f>
        <v>TTURS</v>
      </c>
      <c r="F130">
        <v>2038</v>
      </c>
      <c r="G130" s="18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8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8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8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8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8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8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8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8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8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8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8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8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8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8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8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8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8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8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8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8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8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8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8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8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8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4">
      <c r="D131" t="s">
        <v>6</v>
      </c>
      <c r="E131" t="str">
        <f>DEMANDS!$E$21</f>
        <v>TTURS</v>
      </c>
      <c r="F131">
        <v>2039</v>
      </c>
      <c r="G131" s="18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8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8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8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8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8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8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8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8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8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8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8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8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8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8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8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8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8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8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8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8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8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8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8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8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8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4">
      <c r="D132" t="s">
        <v>6</v>
      </c>
      <c r="E132" t="str">
        <f>DEMANDS!$E$21</f>
        <v>TTURS</v>
      </c>
      <c r="F132">
        <v>2040</v>
      </c>
      <c r="G132" s="18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8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8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8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8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8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8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8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8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8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8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8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8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8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8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8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8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8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8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8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8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8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8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8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8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8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4">
      <c r="D133" t="s">
        <v>6</v>
      </c>
      <c r="E133" t="str">
        <f>DEMANDS!$E$21</f>
        <v>TTURS</v>
      </c>
      <c r="F133">
        <v>2045</v>
      </c>
      <c r="G133" s="18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8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8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8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8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8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8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8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8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8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8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8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8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8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8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8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8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8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8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8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8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8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8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8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8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8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4">
      <c r="D134" t="s">
        <v>6</v>
      </c>
      <c r="E134" t="str">
        <f>DEMANDS!$E$21</f>
        <v>TTURS</v>
      </c>
      <c r="F134">
        <v>2050</v>
      </c>
      <c r="G134" s="18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8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8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8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8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8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8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8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8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8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8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8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8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8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8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8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8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8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8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8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8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8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8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8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8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8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4">
      <c r="D135" t="s">
        <v>6</v>
      </c>
      <c r="E135" t="str">
        <f>DEMANDS!$E$21</f>
        <v>TTURS</v>
      </c>
      <c r="F135">
        <v>2055</v>
      </c>
      <c r="G135" s="18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8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8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8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8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8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8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8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8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8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8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8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8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8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8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8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8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8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8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8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8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8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8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8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8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8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4">
      <c r="D136" t="s">
        <v>6</v>
      </c>
      <c r="E136" t="str">
        <f>DEMANDS!$E$21</f>
        <v>TTURS</v>
      </c>
      <c r="F136">
        <v>2060</v>
      </c>
      <c r="G136" s="18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8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8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8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8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8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8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8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8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8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8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8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8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8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8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8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8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8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8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8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8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8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8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8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8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8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4">
      <c r="D137" t="s">
        <v>6</v>
      </c>
      <c r="E137" t="str">
        <f>DEMANDS!$E$21</f>
        <v>TTURS</v>
      </c>
      <c r="F137">
        <v>2065</v>
      </c>
      <c r="G137" s="18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8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8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8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8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8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8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8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8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8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8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8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8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8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8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8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8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8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8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8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8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8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8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8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8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8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4">
      <c r="D138" t="s">
        <v>6</v>
      </c>
      <c r="E138" t="str">
        <f>DEMANDS!$E$21</f>
        <v>TTURS</v>
      </c>
      <c r="F138">
        <v>2070</v>
      </c>
      <c r="G138" s="17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7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7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7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7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7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7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7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7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7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7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7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7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7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7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7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7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7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7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7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7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7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7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7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7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7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4">
      <c r="D139" s="19" t="s">
        <v>6</v>
      </c>
      <c r="E139" s="19" t="str">
        <f>DEMANDS!$E$22</f>
        <v>TNAV</v>
      </c>
      <c r="F139" s="19">
        <v>2020</v>
      </c>
      <c r="G139" s="20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0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0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0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0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0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0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0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0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0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0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0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0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0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0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0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0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0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0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0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0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0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0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0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0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0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4">
      <c r="D140" t="s">
        <v>6</v>
      </c>
      <c r="E140" t="str">
        <f>DEMANDS!$E$22</f>
        <v>TNAV</v>
      </c>
      <c r="F140">
        <v>2021</v>
      </c>
      <c r="G140" s="18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8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8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8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8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8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8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8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8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8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8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8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8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8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8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8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8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8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8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8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8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8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8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8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8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8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4">
      <c r="D141" t="s">
        <v>6</v>
      </c>
      <c r="E141" t="str">
        <f>DEMANDS!$E$22</f>
        <v>TNAV</v>
      </c>
      <c r="F141">
        <v>2022</v>
      </c>
      <c r="G141" s="18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8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8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8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8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8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8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8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8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8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8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8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8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8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8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8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8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8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8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8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8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8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8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8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8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8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4">
      <c r="D142" t="s">
        <v>6</v>
      </c>
      <c r="E142" t="str">
        <f>DEMANDS!$E$22</f>
        <v>TNAV</v>
      </c>
      <c r="F142">
        <v>2023</v>
      </c>
      <c r="G142" s="18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8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8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8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8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8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8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8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8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8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8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8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8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8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8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8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8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8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8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8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8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8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8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8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8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8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4">
      <c r="D143" t="s">
        <v>6</v>
      </c>
      <c r="E143" t="str">
        <f>DEMANDS!$E$22</f>
        <v>TNAV</v>
      </c>
      <c r="F143">
        <v>2024</v>
      </c>
      <c r="G143" s="18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0.059248137110279785</v>
      </c>
      <c r="H143" s="18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1.4021729566635579</v>
      </c>
      <c r="I143" s="18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0.23155602296749972</v>
      </c>
      <c r="J143" s="18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0.10326900761833914</v>
      </c>
      <c r="K143" s="18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0.088142687220357077</v>
      </c>
      <c r="L143" s="18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0.042535816554986006</v>
      </c>
      <c r="M143" s="18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0.13412732563973345</v>
      </c>
      <c r="N143" s="18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0.20297888102538883</v>
      </c>
      <c r="O143" s="18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0.08113264977964102</v>
      </c>
      <c r="P143" s="18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0.092381387115849478</v>
      </c>
      <c r="Q143" s="18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0.15581306794817221</v>
      </c>
      <c r="R143" s="18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0.14821920761490193</v>
      </c>
      <c r="S143" s="18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0.12365077473182244</v>
      </c>
      <c r="T143" s="18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0.56495323713875123</v>
      </c>
      <c r="U143" s="18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0.15371609267456104</v>
      </c>
      <c r="V143" s="18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0.20282798206029035</v>
      </c>
      <c r="W143" s="18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0.16604401778185271</v>
      </c>
      <c r="X143" s="18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0.12090233220199303</v>
      </c>
      <c r="Y143" s="18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0.26855644920966387</v>
      </c>
      <c r="Z143" s="18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0.033347630604261401</v>
      </c>
      <c r="AA143" s="18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0.13581635336631923</v>
      </c>
      <c r="AB143" s="18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0.067169812436694648</v>
      </c>
      <c r="AC143" s="18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0.06820112881195442</v>
      </c>
      <c r="AD143" s="18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0.079275031485152039</v>
      </c>
      <c r="AE143" s="18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0.16566833139288381</v>
      </c>
      <c r="AF143" s="18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0.063883337045100047</v>
      </c>
    </row>
    <row r="144" spans="4:32" ht="14.4">
      <c r="D144" t="s">
        <v>6</v>
      </c>
      <c r="E144" t="str">
        <f>DEMANDS!$E$22</f>
        <v>TNAV</v>
      </c>
      <c r="F144">
        <v>2025</v>
      </c>
      <c r="G144" s="18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8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8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8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8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8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8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8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8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8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8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8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8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8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8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8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8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8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8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8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8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8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8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8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8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8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4">
      <c r="D145" t="s">
        <v>6</v>
      </c>
      <c r="E145" t="str">
        <f>DEMANDS!$E$22</f>
        <v>TNAV</v>
      </c>
      <c r="F145">
        <v>2026</v>
      </c>
      <c r="G145" s="18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8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8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8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8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8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8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8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8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8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8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8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8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8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8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8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8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8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8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8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8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8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8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8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8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8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4">
      <c r="D146" t="s">
        <v>6</v>
      </c>
      <c r="E146" t="str">
        <f>DEMANDS!$E$22</f>
        <v>TNAV</v>
      </c>
      <c r="F146">
        <v>2027</v>
      </c>
      <c r="G146" s="18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8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8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8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8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8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8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8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8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8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8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8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8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8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8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8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8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8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8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8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8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8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8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8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8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8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4">
      <c r="D147" t="s">
        <v>6</v>
      </c>
      <c r="E147" t="str">
        <f>DEMANDS!$E$22</f>
        <v>TNAV</v>
      </c>
      <c r="F147">
        <v>2028</v>
      </c>
      <c r="G147" s="18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8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8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8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8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8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8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8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8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8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8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8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8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8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8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8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8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8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8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8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8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8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8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8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8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8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4">
      <c r="D148" t="s">
        <v>6</v>
      </c>
      <c r="E148" t="str">
        <f>DEMANDS!$E$22</f>
        <v>TNAV</v>
      </c>
      <c r="F148">
        <v>2029</v>
      </c>
      <c r="G148" s="18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8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8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8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8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8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8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8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8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8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8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8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8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8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8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8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8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8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8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8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8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8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8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8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8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8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4">
      <c r="D149" t="s">
        <v>6</v>
      </c>
      <c r="E149" t="str">
        <f>DEMANDS!$E$22</f>
        <v>TNAV</v>
      </c>
      <c r="F149">
        <v>2030</v>
      </c>
      <c r="G149" s="18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8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8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8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8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8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8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8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8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8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8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8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8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8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8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8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8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8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8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8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8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8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8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8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8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8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4">
      <c r="D150" t="s">
        <v>6</v>
      </c>
      <c r="E150" t="str">
        <f>DEMANDS!$E$22</f>
        <v>TNAV</v>
      </c>
      <c r="F150">
        <v>2031</v>
      </c>
      <c r="G150" s="18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8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8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8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8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8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8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8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8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8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8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8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8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8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8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8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8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8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8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8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8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8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8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8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8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8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4">
      <c r="D151" t="s">
        <v>6</v>
      </c>
      <c r="E151" t="str">
        <f>DEMANDS!$E$22</f>
        <v>TNAV</v>
      </c>
      <c r="F151">
        <v>2032</v>
      </c>
      <c r="G151" s="18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8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8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8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8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8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8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8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8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8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8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8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8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8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8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8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8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8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8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8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8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8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8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8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8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8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4">
      <c r="D152" t="s">
        <v>6</v>
      </c>
      <c r="E152" t="str">
        <f>DEMANDS!$E$22</f>
        <v>TNAV</v>
      </c>
      <c r="F152">
        <v>2033</v>
      </c>
      <c r="G152" s="18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8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8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8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8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8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8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8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8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8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8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8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8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8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8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8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8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8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8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8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8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8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8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8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8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8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4">
      <c r="D153" t="s">
        <v>6</v>
      </c>
      <c r="E153" t="str">
        <f>DEMANDS!$E$22</f>
        <v>TNAV</v>
      </c>
      <c r="F153">
        <v>2034</v>
      </c>
      <c r="G153" s="18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8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8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8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8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8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8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8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8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8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8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8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8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8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8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8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8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8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8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8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8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8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8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8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8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8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4">
      <c r="D154" t="s">
        <v>6</v>
      </c>
      <c r="E154" t="str">
        <f>DEMANDS!$E$22</f>
        <v>TNAV</v>
      </c>
      <c r="F154">
        <v>2035</v>
      </c>
      <c r="G154" s="18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8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8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8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8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8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8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8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8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8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8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8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8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8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8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8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8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8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8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8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8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8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8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8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8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8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4">
      <c r="D155" t="s">
        <v>6</v>
      </c>
      <c r="E155" t="str">
        <f>DEMANDS!$E$22</f>
        <v>TNAV</v>
      </c>
      <c r="F155">
        <v>2036</v>
      </c>
      <c r="G155" s="18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8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8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8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8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8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8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8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8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8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8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8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8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8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8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8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8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8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8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8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8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8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8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8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8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8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4">
      <c r="D156" t="s">
        <v>6</v>
      </c>
      <c r="E156" t="str">
        <f>DEMANDS!$E$22</f>
        <v>TNAV</v>
      </c>
      <c r="F156">
        <v>2037</v>
      </c>
      <c r="G156" s="18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8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8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8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8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8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8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8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8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8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8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8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8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8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8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8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8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8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8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8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8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8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8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8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8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8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4">
      <c r="D157" t="s">
        <v>6</v>
      </c>
      <c r="E157" t="str">
        <f>DEMANDS!$E$22</f>
        <v>TNAV</v>
      </c>
      <c r="F157">
        <v>2038</v>
      </c>
      <c r="G157" s="18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8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8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8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8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8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8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8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8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8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8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8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8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8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8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8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8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8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8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8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8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8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8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8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8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8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4">
      <c r="D158" t="s">
        <v>6</v>
      </c>
      <c r="E158" t="str">
        <f>DEMANDS!$E$22</f>
        <v>TNAV</v>
      </c>
      <c r="F158">
        <v>2039</v>
      </c>
      <c r="G158" s="18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8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8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8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8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8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8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8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8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8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8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8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8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8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8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8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8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8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8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8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8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8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8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8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8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8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4">
      <c r="D159" t="s">
        <v>6</v>
      </c>
      <c r="E159" t="str">
        <f>DEMANDS!$E$22</f>
        <v>TNAV</v>
      </c>
      <c r="F159">
        <v>2040</v>
      </c>
      <c r="G159" s="18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8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8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8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8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8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8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8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8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8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8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8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8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8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8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8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8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8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8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8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8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8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8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8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8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8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4">
      <c r="D160" t="s">
        <v>6</v>
      </c>
      <c r="E160" t="str">
        <f>DEMANDS!$E$22</f>
        <v>TNAV</v>
      </c>
      <c r="F160">
        <v>2045</v>
      </c>
      <c r="G160" s="18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8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8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8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8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8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8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8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8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8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8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8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8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8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8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8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8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8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8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8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8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8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8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8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8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8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4">
      <c r="D161" t="s">
        <v>6</v>
      </c>
      <c r="E161" t="str">
        <f>DEMANDS!$E$22</f>
        <v>TNAV</v>
      </c>
      <c r="F161">
        <v>2050</v>
      </c>
      <c r="G161" s="18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8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8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8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8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8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8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8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8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8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8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8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8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8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8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8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8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8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8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8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8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8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8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8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8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8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4">
      <c r="D162" t="s">
        <v>6</v>
      </c>
      <c r="E162" t="str">
        <f>DEMANDS!$E$22</f>
        <v>TNAV</v>
      </c>
      <c r="F162">
        <v>2055</v>
      </c>
      <c r="G162" s="18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8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8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8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8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8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8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8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8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8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8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8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8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8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8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8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8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8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8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8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8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8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8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8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8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8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4">
      <c r="D163" t="s">
        <v>6</v>
      </c>
      <c r="E163" t="str">
        <f>DEMANDS!$E$22</f>
        <v>TNAV</v>
      </c>
      <c r="F163">
        <v>2060</v>
      </c>
      <c r="G163" s="18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8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8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8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8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8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8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8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8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8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8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8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8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8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8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8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8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8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8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8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8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8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8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8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8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8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4">
      <c r="D164" t="s">
        <v>6</v>
      </c>
      <c r="E164" t="str">
        <f>DEMANDS!$E$22</f>
        <v>TNAV</v>
      </c>
      <c r="F164">
        <v>2065</v>
      </c>
      <c r="G164" s="18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8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8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8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8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8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8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8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8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8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8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8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8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8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8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8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8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8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8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8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8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8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8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8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8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8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4">
      <c r="D165" t="s">
        <v>6</v>
      </c>
      <c r="E165" t="str">
        <f>DEMANDS!$E$22</f>
        <v>TNAV</v>
      </c>
      <c r="F165">
        <v>2070</v>
      </c>
      <c r="G165" s="17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7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7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7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7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7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7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7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7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7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7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7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7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7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7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7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7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7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7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7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7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7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7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7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7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7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4">
      <c r="D166" s="19" t="s">
        <v>6</v>
      </c>
      <c r="E166" s="19" t="str">
        <f>DEMANDS!$E$23</f>
        <v>TOTH</v>
      </c>
      <c r="F166" s="19">
        <v>2020</v>
      </c>
      <c r="G166" s="20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0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0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0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0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0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0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0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0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0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0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0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0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0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0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0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0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0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0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0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0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0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0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0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0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0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4">
      <c r="D167" t="s">
        <v>6</v>
      </c>
      <c r="E167" t="str">
        <f>DEMANDS!$E$23</f>
        <v>TOTH</v>
      </c>
      <c r="F167">
        <v>2021</v>
      </c>
      <c r="G167" s="18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8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8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8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8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8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8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8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8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8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8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8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8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8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8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8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8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8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8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8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8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8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8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8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8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8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4">
      <c r="D168" t="s">
        <v>6</v>
      </c>
      <c r="E168" t="str">
        <f>DEMANDS!$E$23</f>
        <v>TOTH</v>
      </c>
      <c r="F168">
        <v>2022</v>
      </c>
      <c r="G168" s="18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8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8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8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8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8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8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8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8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8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8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8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8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8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8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8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8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8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8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8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8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8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8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8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8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8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4">
      <c r="D169" t="s">
        <v>6</v>
      </c>
      <c r="E169" t="str">
        <f>DEMANDS!$E$23</f>
        <v>TOTH</v>
      </c>
      <c r="F169">
        <v>2023</v>
      </c>
      <c r="G169" s="18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8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8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8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8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8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8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8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8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8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8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8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8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8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8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8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8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8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8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8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8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8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8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8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8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8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4">
      <c r="D170" t="s">
        <v>6</v>
      </c>
      <c r="E170" t="str">
        <f>DEMANDS!$E$23</f>
        <v>TOTH</v>
      </c>
      <c r="F170">
        <v>2024</v>
      </c>
      <c r="G170" s="18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8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8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8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8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8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8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8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8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8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8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8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8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8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8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8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8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8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8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8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8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8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8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8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8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8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4">
      <c r="D171" t="s">
        <v>6</v>
      </c>
      <c r="E171" t="str">
        <f>DEMANDS!$E$23</f>
        <v>TOTH</v>
      </c>
      <c r="F171">
        <v>2025</v>
      </c>
      <c r="G171" s="18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8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8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8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8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8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8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8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8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8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8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8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8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8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8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8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8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8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8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8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8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8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8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8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8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8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4">
      <c r="D172" t="s">
        <v>6</v>
      </c>
      <c r="E172" t="str">
        <f>DEMANDS!$E$23</f>
        <v>TOTH</v>
      </c>
      <c r="F172">
        <v>2026</v>
      </c>
      <c r="G172" s="18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8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8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8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8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8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8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8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8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8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8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8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8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8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8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8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8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8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8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8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8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8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8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8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8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8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4">
      <c r="D173" t="s">
        <v>6</v>
      </c>
      <c r="E173" t="str">
        <f>DEMANDS!$E$23</f>
        <v>TOTH</v>
      </c>
      <c r="F173">
        <v>2027</v>
      </c>
      <c r="G173" s="18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8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8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8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8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8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8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8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8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8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8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8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8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8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8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8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8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8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8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8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8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8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8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8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8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8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4">
      <c r="D174" t="s">
        <v>6</v>
      </c>
      <c r="E174" t="str">
        <f>DEMANDS!$E$23</f>
        <v>TOTH</v>
      </c>
      <c r="F174">
        <v>2028</v>
      </c>
      <c r="G174" s="18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8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8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8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8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8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8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8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8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8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8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8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8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8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8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8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8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8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8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8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8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8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8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8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8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8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4">
      <c r="D175" t="s">
        <v>6</v>
      </c>
      <c r="E175" t="str">
        <f>DEMANDS!$E$23</f>
        <v>TOTH</v>
      </c>
      <c r="F175">
        <v>2029</v>
      </c>
      <c r="G175" s="18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8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8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8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8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8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8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8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8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8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8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8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8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8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8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8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8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8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8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8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8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8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8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8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8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8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4">
      <c r="D176" t="s">
        <v>6</v>
      </c>
      <c r="E176" t="str">
        <f>DEMANDS!$E$23</f>
        <v>TOTH</v>
      </c>
      <c r="F176">
        <v>2030</v>
      </c>
      <c r="G176" s="18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8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8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8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8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8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8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8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8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8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8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8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8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8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8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8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8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8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8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8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8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8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8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8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8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8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4">
      <c r="D177" t="s">
        <v>6</v>
      </c>
      <c r="E177" t="str">
        <f>DEMANDS!$E$23</f>
        <v>TOTH</v>
      </c>
      <c r="F177">
        <v>2031</v>
      </c>
      <c r="G177" s="18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8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8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8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8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8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8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8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8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8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8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8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8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8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8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8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8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8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8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8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8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8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8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8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8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8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4">
      <c r="D178" t="s">
        <v>6</v>
      </c>
      <c r="E178" t="str">
        <f>DEMANDS!$E$23</f>
        <v>TOTH</v>
      </c>
      <c r="F178">
        <v>2032</v>
      </c>
      <c r="G178" s="18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8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8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8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8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8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8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8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8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8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8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8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8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8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8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8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8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8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8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8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8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8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8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8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8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8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4">
      <c r="D179" t="s">
        <v>6</v>
      </c>
      <c r="E179" t="str">
        <f>DEMANDS!$E$23</f>
        <v>TOTH</v>
      </c>
      <c r="F179">
        <v>2033</v>
      </c>
      <c r="G179" s="18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8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8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8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8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8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8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8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8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8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8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8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8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8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8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8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8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8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8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8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8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8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8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8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8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8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4">
      <c r="D180" t="s">
        <v>6</v>
      </c>
      <c r="E180" t="str">
        <f>DEMANDS!$E$23</f>
        <v>TOTH</v>
      </c>
      <c r="F180">
        <v>2034</v>
      </c>
      <c r="G180" s="18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8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8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8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8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8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8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8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8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8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8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8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8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8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8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8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8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8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8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8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8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8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8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8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8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4">
      <c r="D181" t="s">
        <v>6</v>
      </c>
      <c r="E181" t="str">
        <f>DEMANDS!$E$23</f>
        <v>TOTH</v>
      </c>
      <c r="F181">
        <v>2035</v>
      </c>
      <c r="G181" s="18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8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8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8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8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8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8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8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8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8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8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8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8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8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8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8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8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8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8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8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8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8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8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8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8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8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4">
      <c r="D182" t="s">
        <v>6</v>
      </c>
      <c r="E182" t="str">
        <f>DEMANDS!$E$23</f>
        <v>TOTH</v>
      </c>
      <c r="F182">
        <v>2036</v>
      </c>
      <c r="G182" s="18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8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8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8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8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8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8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8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8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8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8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8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8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8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8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8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8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8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8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8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8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8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8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8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8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8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4">
      <c r="D183" t="s">
        <v>6</v>
      </c>
      <c r="E183" t="str">
        <f>DEMANDS!$E$23</f>
        <v>TOTH</v>
      </c>
      <c r="F183">
        <v>2037</v>
      </c>
      <c r="G183" s="18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8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8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8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8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8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8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8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8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8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8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8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8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8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8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8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8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8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8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8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8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8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8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8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8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8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4">
      <c r="D184" t="s">
        <v>6</v>
      </c>
      <c r="E184" t="str">
        <f>DEMANDS!$E$23</f>
        <v>TOTH</v>
      </c>
      <c r="F184">
        <v>2038</v>
      </c>
      <c r="G184" s="18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8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8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8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8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8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8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8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8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8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8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8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8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8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8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8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8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8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8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8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8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8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8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8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8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8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4">
      <c r="D185" t="s">
        <v>6</v>
      </c>
      <c r="E185" t="str">
        <f>DEMANDS!$E$23</f>
        <v>TOTH</v>
      </c>
      <c r="F185">
        <v>2039</v>
      </c>
      <c r="G185" s="18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8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8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8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8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8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8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8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8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8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8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8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8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8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8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8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8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8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8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8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8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8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8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8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8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8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4">
      <c r="D186" t="s">
        <v>6</v>
      </c>
      <c r="E186" t="str">
        <f>DEMANDS!$E$23</f>
        <v>TOTH</v>
      </c>
      <c r="F186">
        <v>2040</v>
      </c>
      <c r="G186" s="18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8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8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8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8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8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8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8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8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8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8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8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8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8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8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8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8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8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8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8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8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8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8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8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8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8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4">
      <c r="D187" t="s">
        <v>6</v>
      </c>
      <c r="E187" t="str">
        <f>DEMANDS!$E$23</f>
        <v>TOTH</v>
      </c>
      <c r="F187">
        <v>2045</v>
      </c>
      <c r="G187" s="18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8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8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8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8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8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8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8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8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8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8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8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8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8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8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8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8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8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8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8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8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8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8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8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8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8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4">
      <c r="D188" t="s">
        <v>6</v>
      </c>
      <c r="E188" t="str">
        <f>DEMANDS!$E$23</f>
        <v>TOTH</v>
      </c>
      <c r="F188">
        <v>2050</v>
      </c>
      <c r="G188" s="18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8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8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8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8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8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8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8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8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8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8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8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8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8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8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8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8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8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8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8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8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8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8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8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8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8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4">
      <c r="D189" t="s">
        <v>6</v>
      </c>
      <c r="E189" t="str">
        <f>DEMANDS!$E$23</f>
        <v>TOTH</v>
      </c>
      <c r="F189">
        <v>2055</v>
      </c>
      <c r="G189" s="18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8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8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8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8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8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8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8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8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8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8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8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8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8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8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8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8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8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8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8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8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8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8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8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8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8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4">
      <c r="D190" t="s">
        <v>6</v>
      </c>
      <c r="E190" t="str">
        <f>DEMANDS!$E$23</f>
        <v>TOTH</v>
      </c>
      <c r="F190">
        <v>2060</v>
      </c>
      <c r="G190" s="18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8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8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8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8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8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8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8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8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8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8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8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8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8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8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8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8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8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8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8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8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8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8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8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8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8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4">
      <c r="D191" t="s">
        <v>6</v>
      </c>
      <c r="E191" t="str">
        <f>DEMANDS!$E$23</f>
        <v>TOTH</v>
      </c>
      <c r="F191">
        <v>2065</v>
      </c>
      <c r="G191" s="18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8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8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8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8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8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8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8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8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8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8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8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8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8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8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8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8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8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8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8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8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8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8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8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8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8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4">
      <c r="D192" t="s">
        <v>6</v>
      </c>
      <c r="E192" t="str">
        <f>DEMANDS!$E$23</f>
        <v>TOTH</v>
      </c>
      <c r="F192">
        <v>2070</v>
      </c>
      <c r="G192" s="17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7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7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7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7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7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7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7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7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7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7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7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7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7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7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7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7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7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7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7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7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7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7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7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7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7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4">
      <c r="D193" s="19" t="s">
        <v>6</v>
      </c>
      <c r="E193" s="19" t="str">
        <f>DEMANDS!$E$24</f>
        <v>TAVIDOM</v>
      </c>
      <c r="F193" s="19">
        <v>2020</v>
      </c>
      <c r="G193" s="19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0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19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9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9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9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9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9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9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9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9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9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0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0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0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19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9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9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9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9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7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19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9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9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9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9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4">
      <c r="D194" t="s">
        <v>6</v>
      </c>
      <c r="E194" t="str">
        <f>DEMANDS!$E$24</f>
        <v>TAVIDOM</v>
      </c>
      <c r="F194">
        <v>2021</v>
      </c>
      <c r="G194" s="35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8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5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5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5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5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5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5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5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5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5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5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8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8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8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5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5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5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5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5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5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5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5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5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5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5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4">
      <c r="D195" t="s">
        <v>6</v>
      </c>
      <c r="E195" t="str">
        <f>DEMANDS!$E$24</f>
        <v>TAVIDOM</v>
      </c>
      <c r="F195">
        <v>2022</v>
      </c>
      <c r="G195" s="35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8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5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5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5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5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5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5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5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5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5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5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8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8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8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5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5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5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5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5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5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5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5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5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5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5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4">
      <c r="D196" t="s">
        <v>6</v>
      </c>
      <c r="E196" t="str">
        <f>DEMANDS!$E$24</f>
        <v>TAVIDOM</v>
      </c>
      <c r="F196">
        <v>2023</v>
      </c>
      <c r="G196" s="35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8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5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5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5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5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5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5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5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5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5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5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8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8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8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5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5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5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5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5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5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5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5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5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5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5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4">
      <c r="D197" t="s">
        <v>6</v>
      </c>
      <c r="E197" t="str">
        <f>DEMANDS!$E$24</f>
        <v>TAVIDOM</v>
      </c>
      <c r="F197">
        <v>2024</v>
      </c>
      <c r="G197" s="35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8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5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5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5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5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5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5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5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5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5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5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8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8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8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5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5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5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5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5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5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5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5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5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5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5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4">
      <c r="D198" t="s">
        <v>6</v>
      </c>
      <c r="E198" t="str">
        <f>DEMANDS!$E$24</f>
        <v>TAVIDOM</v>
      </c>
      <c r="F198">
        <v>2025</v>
      </c>
      <c r="G198" s="35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8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5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5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5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5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5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5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5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5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5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5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8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8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8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5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5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5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5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5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5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5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5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5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5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5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4">
      <c r="D199" t="s">
        <v>6</v>
      </c>
      <c r="E199" t="str">
        <f>DEMANDS!$E$24</f>
        <v>TAVIDOM</v>
      </c>
      <c r="F199">
        <v>2026</v>
      </c>
      <c r="G199" s="35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8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5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5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5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5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5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5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5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5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5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5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8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8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8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5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5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5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5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5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5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5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5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5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5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5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4">
      <c r="D200" t="s">
        <v>6</v>
      </c>
      <c r="E200" t="str">
        <f>DEMANDS!$E$24</f>
        <v>TAVIDOM</v>
      </c>
      <c r="F200">
        <v>2027</v>
      </c>
      <c r="G200" s="35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8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5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5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5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5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5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5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5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5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5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5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8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8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8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5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5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5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5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5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5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5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5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5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5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5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4">
      <c r="D201" t="s">
        <v>6</v>
      </c>
      <c r="E201" t="str">
        <f>DEMANDS!$E$24</f>
        <v>TAVIDOM</v>
      </c>
      <c r="F201">
        <v>2028</v>
      </c>
      <c r="G201" s="35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8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5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5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5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5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5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5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5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5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5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5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8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8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8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5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5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5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5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5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5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5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5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5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5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5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4">
      <c r="D202" t="s">
        <v>6</v>
      </c>
      <c r="E202" t="str">
        <f>DEMANDS!$E$24</f>
        <v>TAVIDOM</v>
      </c>
      <c r="F202">
        <v>2029</v>
      </c>
      <c r="G202" s="35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8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5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5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5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5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5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5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5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5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5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5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8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8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8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5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5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5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5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5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5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5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5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5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5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5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4">
      <c r="D203" t="s">
        <v>6</v>
      </c>
      <c r="E203" t="str">
        <f>DEMANDS!$E$24</f>
        <v>TAVIDOM</v>
      </c>
      <c r="F203">
        <v>2030</v>
      </c>
      <c r="G203" s="35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8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5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5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5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5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5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5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5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5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5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5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8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8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8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5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5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5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5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5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5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5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5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5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5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5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4">
      <c r="D204" t="s">
        <v>6</v>
      </c>
      <c r="E204" t="str">
        <f>DEMANDS!$E$24</f>
        <v>TAVIDOM</v>
      </c>
      <c r="F204">
        <v>2031</v>
      </c>
      <c r="G204" s="35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8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5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5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5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5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5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5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5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5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5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5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8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8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8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5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5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5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5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5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5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5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5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5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5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5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4">
      <c r="D205" t="s">
        <v>6</v>
      </c>
      <c r="E205" t="str">
        <f>DEMANDS!$E$24</f>
        <v>TAVIDOM</v>
      </c>
      <c r="F205">
        <v>2032</v>
      </c>
      <c r="G205" s="35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8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5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5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5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5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5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5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5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5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5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5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8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8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8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5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5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5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5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5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5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5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5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5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5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5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4">
      <c r="D206" t="s">
        <v>6</v>
      </c>
      <c r="E206" t="str">
        <f>DEMANDS!$E$24</f>
        <v>TAVIDOM</v>
      </c>
      <c r="F206">
        <v>2033</v>
      </c>
      <c r="G206" s="35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8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5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5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5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5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5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5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5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5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5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5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8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8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8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5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5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5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5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5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5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5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5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5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5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5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4">
      <c r="D207" t="s">
        <v>6</v>
      </c>
      <c r="E207" t="str">
        <f>DEMANDS!$E$24</f>
        <v>TAVIDOM</v>
      </c>
      <c r="F207">
        <v>2034</v>
      </c>
      <c r="G207" s="35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8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5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5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5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5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5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5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5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5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5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5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8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8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8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5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5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5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5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5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5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5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5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5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5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5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4">
      <c r="D208" t="s">
        <v>6</v>
      </c>
      <c r="E208" t="str">
        <f>DEMANDS!$E$24</f>
        <v>TAVIDOM</v>
      </c>
      <c r="F208">
        <v>2035</v>
      </c>
      <c r="G208" s="35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8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5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5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5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5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5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5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5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5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5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5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8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8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8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5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5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5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5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5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5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5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5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5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5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5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4">
      <c r="D209" t="s">
        <v>6</v>
      </c>
      <c r="E209" t="str">
        <f>DEMANDS!$E$24</f>
        <v>TAVIDOM</v>
      </c>
      <c r="F209">
        <v>2036</v>
      </c>
      <c r="G209" s="35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8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5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5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5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5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5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5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5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5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5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5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8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8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8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5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5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5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5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5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5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5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5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5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5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5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4">
      <c r="D210" t="s">
        <v>6</v>
      </c>
      <c r="E210" t="str">
        <f>DEMANDS!$E$24</f>
        <v>TAVIDOM</v>
      </c>
      <c r="F210">
        <v>2037</v>
      </c>
      <c r="G210" s="35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8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5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5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5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5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5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5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5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5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5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5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8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8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8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5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5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5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5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5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5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5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5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5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5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5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4">
      <c r="D211" t="s">
        <v>6</v>
      </c>
      <c r="E211" t="str">
        <f>DEMANDS!$E$24</f>
        <v>TAVIDOM</v>
      </c>
      <c r="F211">
        <v>2038</v>
      </c>
      <c r="G211" s="35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8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5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5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5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5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5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5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5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5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5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5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8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8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8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5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5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5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5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5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5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5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5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5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5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5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4">
      <c r="D212" t="s">
        <v>6</v>
      </c>
      <c r="E212" t="str">
        <f>DEMANDS!$E$24</f>
        <v>TAVIDOM</v>
      </c>
      <c r="F212">
        <v>2039</v>
      </c>
      <c r="G212" s="35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8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5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5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5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5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5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5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5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5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5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5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8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8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8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5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5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5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5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5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5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5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5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5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5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5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4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8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5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5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5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5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5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5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5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5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5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5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8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8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8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5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5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5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5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5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5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5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5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5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5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5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4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8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5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5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5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5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5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5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5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5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5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5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8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8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8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5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5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5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5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5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5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5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5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5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5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5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4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8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5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5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5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5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5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5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5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5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5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5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8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8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8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5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5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5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5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5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5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5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5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5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5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5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4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8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5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5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5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5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5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5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5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5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5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5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8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8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8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5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5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5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5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5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5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5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5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5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5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5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4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8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5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5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5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5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5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5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5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5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5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5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8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8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8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5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5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5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5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5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5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5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5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5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5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5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4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8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5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5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5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5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5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5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5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5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5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5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8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8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8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5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5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5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5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5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5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5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5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5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5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5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4">
      <c r="D219" t="s">
        <v>6</v>
      </c>
      <c r="E219" t="str">
        <f>DEMANDS!$E$24</f>
        <v>TAVIDOM</v>
      </c>
      <c r="F219">
        <v>2070</v>
      </c>
      <c r="G219" s="16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7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6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6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6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6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6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6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6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6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6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6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7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7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7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6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6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6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6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6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6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6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6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6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6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6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4">
      <c r="D220" s="19" t="s">
        <v>6</v>
      </c>
      <c r="E220" s="19" t="str">
        <f>DEMANDS!$E$25</f>
        <v>TAVIINT</v>
      </c>
      <c r="F220" s="19">
        <v>2020</v>
      </c>
      <c r="G220" s="19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0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7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7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7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7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7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7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7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7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7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7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0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0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0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7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7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7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7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7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0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7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7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7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7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7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4">
      <c r="D221" t="s">
        <v>6</v>
      </c>
      <c r="E221" t="str">
        <f>DEMANDS!$E$25</f>
        <v>TAVIINT</v>
      </c>
      <c r="F221">
        <v>2021</v>
      </c>
      <c r="G221" s="35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8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5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5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5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5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5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5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5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5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5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5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8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8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8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5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5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5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5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5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8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5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5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5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5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5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4">
      <c r="D222" t="s">
        <v>6</v>
      </c>
      <c r="E222" t="str">
        <f>DEMANDS!$E$25</f>
        <v>TAVIINT</v>
      </c>
      <c r="F222">
        <v>2022</v>
      </c>
      <c r="G222" s="35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8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5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5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5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5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5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5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5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5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5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5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8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8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8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5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5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5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5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5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8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5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5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5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5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5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4">
      <c r="D223" t="s">
        <v>6</v>
      </c>
      <c r="E223" t="str">
        <f>DEMANDS!$E$25</f>
        <v>TAVIINT</v>
      </c>
      <c r="F223">
        <v>2023</v>
      </c>
      <c r="G223" s="35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8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5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5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5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5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5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5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5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5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5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5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8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8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8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5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5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5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5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5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8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5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5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5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5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5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4">
      <c r="D224" t="s">
        <v>6</v>
      </c>
      <c r="E224" t="str">
        <f>DEMANDS!$E$25</f>
        <v>TAVIINT</v>
      </c>
      <c r="F224">
        <v>2024</v>
      </c>
      <c r="G224" s="35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8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5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5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5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5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5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5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5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5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5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5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8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8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8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5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5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5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5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5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8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5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5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5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5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5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4">
      <c r="D225" t="s">
        <v>6</v>
      </c>
      <c r="E225" t="str">
        <f>DEMANDS!$E$25</f>
        <v>TAVIINT</v>
      </c>
      <c r="F225">
        <v>2025</v>
      </c>
      <c r="G225" s="35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8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I225" s="35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5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5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5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5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5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5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5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5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5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8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T225" s="18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U225" s="18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V225" s="35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5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5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5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5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8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B225" s="35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5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5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5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5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4">
      <c r="D226" t="s">
        <v>6</v>
      </c>
      <c r="E226" t="str">
        <f>DEMANDS!$E$25</f>
        <v>TAVIINT</v>
      </c>
      <c r="F226">
        <v>2026</v>
      </c>
      <c r="G226" s="35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8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I226" s="35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5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5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5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5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5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5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5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5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5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8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T226" s="18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U226" s="18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V226" s="35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5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5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5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5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8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B226" s="35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5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5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5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5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4">
      <c r="D227" t="s">
        <v>6</v>
      </c>
      <c r="E227" t="str">
        <f>DEMANDS!$E$25</f>
        <v>TAVIINT</v>
      </c>
      <c r="F227">
        <v>2027</v>
      </c>
      <c r="G227" s="35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8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I227" s="35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5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5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5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5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5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5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5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5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5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8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T227" s="18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U227" s="18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V227" s="35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5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5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5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5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8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B227" s="35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5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5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5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5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4">
      <c r="D228" t="s">
        <v>6</v>
      </c>
      <c r="E228" t="str">
        <f>DEMANDS!$E$25</f>
        <v>TAVIINT</v>
      </c>
      <c r="F228">
        <v>2028</v>
      </c>
      <c r="G228" s="35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8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I228" s="35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5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5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5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5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5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5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5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5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5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8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T228" s="18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U228" s="18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V228" s="35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5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5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5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5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8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B228" s="35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5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5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5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5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4">
      <c r="D229" t="s">
        <v>6</v>
      </c>
      <c r="E229" t="str">
        <f>DEMANDS!$E$25</f>
        <v>TAVIINT</v>
      </c>
      <c r="F229">
        <v>2029</v>
      </c>
      <c r="G229" s="35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8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I229" s="35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5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5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5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5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5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5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5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5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5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8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T229" s="18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U229" s="18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V229" s="35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5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5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5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5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8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B229" s="35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5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5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5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5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4">
      <c r="D230" t="s">
        <v>6</v>
      </c>
      <c r="E230" t="str">
        <f>DEMANDS!$E$25</f>
        <v>TAVIINT</v>
      </c>
      <c r="F230">
        <v>2030</v>
      </c>
      <c r="G230" s="35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8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I230" s="35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5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5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5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5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5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5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5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5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5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8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T230" s="18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U230" s="18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V230" s="35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5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5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5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5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8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B230" s="35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5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5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5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5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4">
      <c r="D231" t="s">
        <v>6</v>
      </c>
      <c r="E231" t="str">
        <f>DEMANDS!$E$25</f>
        <v>TAVIINT</v>
      </c>
      <c r="F231">
        <v>2031</v>
      </c>
      <c r="G231" s="35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8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I231" s="35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5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5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5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5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5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5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5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5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5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8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T231" s="18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U231" s="18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V231" s="35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5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5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5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5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8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B231" s="35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5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5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5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5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4">
      <c r="D232" t="s">
        <v>6</v>
      </c>
      <c r="E232" t="str">
        <f>DEMANDS!$E$25</f>
        <v>TAVIINT</v>
      </c>
      <c r="F232">
        <v>2032</v>
      </c>
      <c r="G232" s="35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8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I232" s="35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5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5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5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5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5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5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5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5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5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8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T232" s="18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U232" s="18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V232" s="35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5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5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5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5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8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B232" s="35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5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5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5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5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4">
      <c r="D233" t="s">
        <v>6</v>
      </c>
      <c r="E233" t="str">
        <f>DEMANDS!$E$25</f>
        <v>TAVIINT</v>
      </c>
      <c r="F233">
        <v>2033</v>
      </c>
      <c r="G233" s="35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8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I233" s="35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5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5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5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5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5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5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5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5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5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8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T233" s="18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U233" s="18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V233" s="35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5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5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5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5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8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B233" s="35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5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5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5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5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4">
      <c r="D234" t="s">
        <v>6</v>
      </c>
      <c r="E234" t="str">
        <f>DEMANDS!$E$25</f>
        <v>TAVIINT</v>
      </c>
      <c r="F234">
        <v>2034</v>
      </c>
      <c r="G234" s="35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8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I234" s="35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5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5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5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5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5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5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5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5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5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8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T234" s="18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U234" s="18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V234" s="35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5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5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5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5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8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B234" s="35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5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5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5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5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4">
      <c r="D235" t="s">
        <v>6</v>
      </c>
      <c r="E235" t="str">
        <f>DEMANDS!$E$25</f>
        <v>TAVIINT</v>
      </c>
      <c r="F235">
        <v>2035</v>
      </c>
      <c r="G235" s="35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8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I235" s="35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5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5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5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5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5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5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5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5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5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8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T235" s="18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U235" s="18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V235" s="35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5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5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5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5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8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B235" s="35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5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5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5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5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4">
      <c r="D236" t="s">
        <v>6</v>
      </c>
      <c r="E236" t="str">
        <f>DEMANDS!$E$25</f>
        <v>TAVIINT</v>
      </c>
      <c r="F236">
        <v>2036</v>
      </c>
      <c r="G236" s="35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8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I236" s="35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5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5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5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5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5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5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5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5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5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8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T236" s="18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U236" s="18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V236" s="35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5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5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5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5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8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B236" s="35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5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5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5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5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4">
      <c r="D237" t="s">
        <v>6</v>
      </c>
      <c r="E237" t="str">
        <f>DEMANDS!$E$25</f>
        <v>TAVIINT</v>
      </c>
      <c r="F237">
        <v>2037</v>
      </c>
      <c r="G237" s="35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8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I237" s="35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5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5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5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5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5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5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5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5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5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8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T237" s="18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U237" s="18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V237" s="35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5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5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5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5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8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B237" s="35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5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5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5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5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4">
      <c r="D238" t="s">
        <v>6</v>
      </c>
      <c r="E238" t="str">
        <f>DEMANDS!$E$25</f>
        <v>TAVIINT</v>
      </c>
      <c r="F238">
        <v>2038</v>
      </c>
      <c r="G238" s="35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8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I238" s="35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5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5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5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5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5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5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5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5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5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8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T238" s="18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U238" s="18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V238" s="35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5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5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5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5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8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B238" s="35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5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5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5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5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4">
      <c r="D239" t="s">
        <v>6</v>
      </c>
      <c r="E239" t="str">
        <f>DEMANDS!$E$25</f>
        <v>TAVIINT</v>
      </c>
      <c r="F239">
        <v>2039</v>
      </c>
      <c r="G239" s="35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8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I239" s="35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5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5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5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5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5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5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5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5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5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8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T239" s="18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U239" s="18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V239" s="35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5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5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5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5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8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B239" s="35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5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5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5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5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4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8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I240" s="35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5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5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5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5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5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5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5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5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5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8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T240" s="18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U240" s="18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8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4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8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I241" s="35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5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5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5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5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5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5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5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5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5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8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T241" s="18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U241" s="18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8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4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8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I242" s="35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5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5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5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5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5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5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5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5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5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8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T242" s="18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U242" s="18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8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4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8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I243" s="35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5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5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5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5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5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5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5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5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5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8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T243" s="18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U243" s="18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8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4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8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I244" s="35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5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5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5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5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5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5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5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5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5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8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T244" s="18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U244" s="18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8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4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8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I245" s="35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5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5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5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5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5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5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5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5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5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8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T245" s="18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U245" s="18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8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4">
      <c r="D246" s="16" t="s">
        <v>6</v>
      </c>
      <c r="E246" s="16" t="str">
        <f>DEMANDS!$E$25</f>
        <v>TAVIINT</v>
      </c>
      <c r="F246" s="16">
        <v>2070</v>
      </c>
      <c r="G246" s="16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7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I246" s="36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6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6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6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6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6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6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6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6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6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7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T246" s="17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U246" s="17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V246" s="16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6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6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6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6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7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B246" s="16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6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6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6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6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9"/>
  <sheetViews>
    <sheetView tabSelected="1" zoomScale="85" zoomScaleNormal="85" workbookViewId="0" topLeftCell="BO1">
      <selection pane="topLeft" activeCell="BH28" sqref="BH28"/>
    </sheetView>
  </sheetViews>
  <sheetFormatPr defaultRowHeight="14.4"/>
  <cols>
    <col min="2" max="2" width="9.57142857142857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4">
      <c r="B1" t="s">
        <v>0</v>
      </c>
      <c r="C1" t="s">
        <v>1</v>
      </c>
      <c r="G1" s="32"/>
      <c r="H1" s="32"/>
      <c r="I1" s="32"/>
      <c r="J1" s="32"/>
    </row>
    <row r="2" spans="2:89" ht="15" thickBot="1">
      <c r="B2" s="53" t="s">
        <v>2</v>
      </c>
      <c r="C2" s="53" t="s">
        <v>3</v>
      </c>
      <c r="D2" s="53" t="s">
        <v>4</v>
      </c>
      <c r="E2" s="53" t="s">
        <v>5</v>
      </c>
      <c r="F2" s="53" t="s">
        <v>59</v>
      </c>
      <c r="G2" s="53">
        <v>2018</v>
      </c>
      <c r="H2" s="53">
        <v>2019</v>
      </c>
      <c r="I2" s="53">
        <v>2020</v>
      </c>
      <c r="J2" s="53">
        <v>2021</v>
      </c>
      <c r="K2" s="53">
        <v>2022</v>
      </c>
      <c r="L2" s="53">
        <v>2023</v>
      </c>
      <c r="M2" s="53">
        <v>2024</v>
      </c>
      <c r="N2" s="53">
        <v>2025</v>
      </c>
      <c r="O2" s="53">
        <v>2026</v>
      </c>
      <c r="P2" s="53">
        <v>2027</v>
      </c>
      <c r="Q2" s="53">
        <v>2028</v>
      </c>
      <c r="R2" s="53">
        <v>2029</v>
      </c>
      <c r="S2" s="53">
        <v>2030</v>
      </c>
      <c r="T2" s="53">
        <v>2031</v>
      </c>
      <c r="U2" s="53">
        <v>2032</v>
      </c>
      <c r="V2" s="53">
        <v>2033</v>
      </c>
      <c r="W2" s="53">
        <v>2034</v>
      </c>
      <c r="X2" s="53">
        <v>2035</v>
      </c>
      <c r="Y2" s="53">
        <v>2036</v>
      </c>
      <c r="Z2" s="53">
        <v>2037</v>
      </c>
      <c r="AA2" s="53">
        <v>2038</v>
      </c>
      <c r="AB2" s="53">
        <v>2039</v>
      </c>
      <c r="AC2" s="53">
        <v>2040</v>
      </c>
      <c r="AD2" s="53">
        <v>2041</v>
      </c>
      <c r="AE2" s="53">
        <v>2042</v>
      </c>
      <c r="AF2" s="53">
        <v>2043</v>
      </c>
      <c r="AG2" s="53">
        <v>2044</v>
      </c>
      <c r="AH2" s="53">
        <v>2045</v>
      </c>
      <c r="AI2" s="53">
        <v>2046</v>
      </c>
      <c r="AJ2" s="53">
        <v>2047</v>
      </c>
      <c r="AK2" s="53">
        <v>2048</v>
      </c>
      <c r="AL2" s="53">
        <v>2049</v>
      </c>
      <c r="AM2" s="53">
        <v>2050</v>
      </c>
      <c r="AN2" s="53">
        <v>2051</v>
      </c>
      <c r="AO2" s="53">
        <v>2052</v>
      </c>
      <c r="AP2" s="53">
        <v>2053</v>
      </c>
      <c r="AQ2" s="53">
        <v>2054</v>
      </c>
      <c r="AR2" s="53">
        <v>2055</v>
      </c>
      <c r="AS2" s="53">
        <v>2056</v>
      </c>
      <c r="AT2" s="53">
        <v>2057</v>
      </c>
      <c r="AU2" s="53">
        <v>2058</v>
      </c>
      <c r="AV2" s="53">
        <v>2059</v>
      </c>
      <c r="AW2" s="53">
        <v>2060</v>
      </c>
      <c r="AX2" s="53">
        <v>2061</v>
      </c>
      <c r="AY2" s="53">
        <v>2062</v>
      </c>
      <c r="AZ2" s="53">
        <v>2063</v>
      </c>
      <c r="BA2" s="53">
        <v>2064</v>
      </c>
      <c r="BB2" s="53">
        <v>2065</v>
      </c>
      <c r="BC2" s="53">
        <v>2066</v>
      </c>
      <c r="BD2" s="53">
        <v>2067</v>
      </c>
      <c r="BE2" s="53">
        <v>2068</v>
      </c>
      <c r="BF2" s="53">
        <v>2069</v>
      </c>
      <c r="BG2" s="53">
        <v>2070</v>
      </c>
      <c r="BH2" s="53">
        <v>2071</v>
      </c>
      <c r="BI2" s="53">
        <v>2072</v>
      </c>
      <c r="BJ2" s="53">
        <v>2073</v>
      </c>
      <c r="BK2" s="53">
        <v>2074</v>
      </c>
      <c r="BL2" s="53">
        <v>2075</v>
      </c>
      <c r="BM2" s="53">
        <v>2076</v>
      </c>
      <c r="BN2" s="53">
        <v>2077</v>
      </c>
      <c r="BO2" s="53">
        <v>2078</v>
      </c>
      <c r="BP2" s="53">
        <v>2079</v>
      </c>
      <c r="BQ2" s="53">
        <v>2080</v>
      </c>
      <c r="BR2" s="53">
        <v>2081</v>
      </c>
      <c r="BS2" s="53">
        <v>2082</v>
      </c>
      <c r="BT2" s="53">
        <v>2083</v>
      </c>
      <c r="BU2" s="53">
        <v>2084</v>
      </c>
      <c r="BV2" s="53">
        <v>2085</v>
      </c>
      <c r="BW2" s="53">
        <v>2086</v>
      </c>
      <c r="BX2" s="53">
        <v>2087</v>
      </c>
      <c r="BY2" s="53">
        <v>2088</v>
      </c>
      <c r="BZ2" s="53">
        <v>2089</v>
      </c>
      <c r="CA2" s="53">
        <v>2090</v>
      </c>
      <c r="CB2" s="53">
        <v>2091</v>
      </c>
      <c r="CC2" s="53">
        <v>2092</v>
      </c>
      <c r="CD2" s="53">
        <v>2093</v>
      </c>
      <c r="CE2" s="53">
        <v>2094</v>
      </c>
      <c r="CF2" s="53">
        <v>2095</v>
      </c>
      <c r="CG2" s="53">
        <v>2096</v>
      </c>
      <c r="CH2" s="53">
        <v>2097</v>
      </c>
      <c r="CI2" s="53">
        <v>2098</v>
      </c>
      <c r="CJ2" s="53">
        <v>2099</v>
      </c>
      <c r="CK2" s="53">
        <v>2100</v>
      </c>
    </row>
    <row r="3" spans="3:89" ht="14.4">
      <c r="C3" t="s">
        <v>6</v>
      </c>
      <c r="D3" t="str">
        <f>_xlfn.TEXTJOIN(",",TRUE,Regions!$C$3,Regions!$D$3)</f>
        <v>IE,National</v>
      </c>
      <c r="E3" t="s">
        <v>211</v>
      </c>
      <c r="F3" s="34"/>
      <c r="G3" s="51">
        <f>+K58</f>
        <v>10.4</v>
      </c>
      <c r="H3" s="52">
        <f t="shared" si="0" ref="H3:H16">+G3</f>
        <v>10.4</v>
      </c>
      <c r="I3" s="52">
        <f t="shared" si="1" ref="I3:BT3">+H3</f>
        <v>10.4</v>
      </c>
      <c r="J3" s="52">
        <f t="shared" si="1"/>
        <v>10.4</v>
      </c>
      <c r="K3" s="52">
        <f>+J3*1.03</f>
        <v>10.712000000000002</v>
      </c>
      <c r="L3" s="52">
        <f>+$G3*S$78/$N78</f>
        <v>10.40620961334899</v>
      </c>
      <c r="M3" s="52">
        <f t="shared" si="2" ref="M3:AM3">+$G3*T$78/$N78</f>
        <v>10.817833634423922</v>
      </c>
      <c r="N3" s="52">
        <f>+$G3*U$78/$N78</f>
        <v>11.245739696801246</v>
      </c>
      <c r="O3" s="52">
        <f t="shared" si="2"/>
        <v>11.690571846638132</v>
      </c>
      <c r="P3" s="52">
        <f t="shared" si="2"/>
        <v>11.692322286773708</v>
      </c>
      <c r="Q3" s="52">
        <f t="shared" si="2"/>
        <v>11.694072989004301</v>
      </c>
      <c r="R3" s="52">
        <f t="shared" si="2"/>
        <v>11.69582395336916</v>
      </c>
      <c r="S3" s="52">
        <f t="shared" si="2"/>
        <v>11.697575179907535</v>
      </c>
      <c r="T3" s="52">
        <f t="shared" si="2"/>
        <v>11.699326668658676</v>
      </c>
      <c r="U3" s="52">
        <f t="shared" si="2"/>
        <v>11.802889918367837</v>
      </c>
      <c r="V3" s="52">
        <f t="shared" si="2"/>
        <v>11.907369917133938</v>
      </c>
      <c r="W3" s="52">
        <f t="shared" si="2"/>
        <v>12.012774780083102</v>
      </c>
      <c r="X3" s="52">
        <f t="shared" si="2"/>
        <v>12.119112694177117</v>
      </c>
      <c r="Y3" s="52">
        <f t="shared" si="2"/>
        <v>12.226391918849322</v>
      </c>
      <c r="Z3" s="52">
        <f t="shared" si="2"/>
        <v>12.308401113746877</v>
      </c>
      <c r="AA3" s="52">
        <f t="shared" si="2"/>
        <v>12.390960389820659</v>
      </c>
      <c r="AB3" s="52">
        <f t="shared" si="2"/>
        <v>12.474073436770356</v>
      </c>
      <c r="AC3" s="52">
        <f t="shared" si="2"/>
        <v>12.557743969044507</v>
      </c>
      <c r="AD3" s="52">
        <f t="shared" si="2"/>
        <v>12.641975726006534</v>
      </c>
      <c r="AE3" s="52">
        <f t="shared" si="2"/>
        <v>12.708121792971733</v>
      </c>
      <c r="AF3" s="52">
        <f t="shared" si="2"/>
        <v>12.774613953163959</v>
      </c>
      <c r="AG3" s="52">
        <f t="shared" si="2"/>
        <v>12.841454017431943</v>
      </c>
      <c r="AH3" s="52">
        <f t="shared" si="2"/>
        <v>12.908643806099251</v>
      </c>
      <c r="AI3" s="52">
        <f t="shared" si="2"/>
        <v>12.976185149013844</v>
      </c>
      <c r="AJ3" s="52">
        <f t="shared" si="2"/>
        <v>13.044284181769072</v>
      </c>
      <c r="AK3" s="52">
        <f t="shared" si="2"/>
        <v>13.112740598316913</v>
      </c>
      <c r="AL3" s="52">
        <f t="shared" si="2"/>
        <v>13.181556274207868</v>
      </c>
      <c r="AM3" s="52">
        <f t="shared" si="2"/>
        <v>13.250733094835338</v>
      </c>
      <c r="AN3" s="52">
        <f t="shared" si="1"/>
        <v>13.250733094835338</v>
      </c>
      <c r="AO3" s="52">
        <f t="shared" si="1"/>
        <v>13.250733094835338</v>
      </c>
      <c r="AP3" s="52">
        <f t="shared" si="1"/>
        <v>13.250733094835338</v>
      </c>
      <c r="AQ3" s="52">
        <f t="shared" si="1"/>
        <v>13.250733094835338</v>
      </c>
      <c r="AR3" s="52">
        <f t="shared" si="1"/>
        <v>13.250733094835338</v>
      </c>
      <c r="AS3" s="52">
        <f t="shared" si="1"/>
        <v>13.250733094835338</v>
      </c>
      <c r="AT3" s="52">
        <f t="shared" si="1"/>
        <v>13.250733094835338</v>
      </c>
      <c r="AU3" s="52">
        <f t="shared" si="1"/>
        <v>13.250733094835338</v>
      </c>
      <c r="AV3" s="52">
        <f t="shared" si="1"/>
        <v>13.250733094835338</v>
      </c>
      <c r="AW3" s="52">
        <f t="shared" si="1"/>
        <v>13.250733094835338</v>
      </c>
      <c r="AX3" s="52">
        <f t="shared" si="1"/>
        <v>13.250733094835338</v>
      </c>
      <c r="AY3" s="52">
        <f t="shared" si="1"/>
        <v>13.250733094835338</v>
      </c>
      <c r="AZ3" s="52">
        <f t="shared" si="1"/>
        <v>13.250733094835338</v>
      </c>
      <c r="BA3" s="52">
        <f t="shared" si="1"/>
        <v>13.250733094835338</v>
      </c>
      <c r="BB3" s="52">
        <f t="shared" si="1"/>
        <v>13.250733094835338</v>
      </c>
      <c r="BC3" s="52">
        <f t="shared" si="1"/>
        <v>13.250733094835338</v>
      </c>
      <c r="BD3" s="52">
        <f t="shared" si="1"/>
        <v>13.250733094835338</v>
      </c>
      <c r="BE3" s="52">
        <f t="shared" si="1"/>
        <v>13.250733094835338</v>
      </c>
      <c r="BF3" s="52">
        <f t="shared" si="1"/>
        <v>13.250733094835338</v>
      </c>
      <c r="BG3" s="52">
        <f t="shared" si="1"/>
        <v>13.250733094835338</v>
      </c>
      <c r="BH3" s="52">
        <f t="shared" si="1"/>
        <v>13.250733094835338</v>
      </c>
      <c r="BI3" s="52">
        <f t="shared" si="1"/>
        <v>13.250733094835338</v>
      </c>
      <c r="BJ3" s="52">
        <f t="shared" si="1"/>
        <v>13.250733094835338</v>
      </c>
      <c r="BK3" s="52">
        <f t="shared" si="1"/>
        <v>13.250733094835338</v>
      </c>
      <c r="BL3" s="52">
        <f t="shared" si="1"/>
        <v>13.250733094835338</v>
      </c>
      <c r="BM3" s="52">
        <f t="shared" si="1"/>
        <v>13.250733094835338</v>
      </c>
      <c r="BN3" s="52">
        <f t="shared" si="1"/>
        <v>13.250733094835338</v>
      </c>
      <c r="BO3" s="52">
        <f t="shared" si="1"/>
        <v>13.250733094835338</v>
      </c>
      <c r="BP3" s="52">
        <f t="shared" si="1"/>
        <v>13.250733094835338</v>
      </c>
      <c r="BQ3" s="52">
        <f t="shared" si="1"/>
        <v>13.250733094835338</v>
      </c>
      <c r="BR3" s="52">
        <f t="shared" si="1"/>
        <v>13.250733094835338</v>
      </c>
      <c r="BS3" s="52">
        <f t="shared" si="1"/>
        <v>13.250733094835338</v>
      </c>
      <c r="BT3" s="52">
        <f t="shared" si="1"/>
        <v>13.250733094835338</v>
      </c>
      <c r="BU3" s="52">
        <f t="shared" si="3" ref="BU3:CK3">+BT3</f>
        <v>13.250733094835338</v>
      </c>
      <c r="BV3" s="52">
        <f t="shared" si="3"/>
        <v>13.250733094835338</v>
      </c>
      <c r="BW3" s="52">
        <f t="shared" si="3"/>
        <v>13.250733094835338</v>
      </c>
      <c r="BX3" s="52">
        <f t="shared" si="3"/>
        <v>13.250733094835338</v>
      </c>
      <c r="BY3" s="52">
        <f t="shared" si="3"/>
        <v>13.250733094835338</v>
      </c>
      <c r="BZ3" s="52">
        <f t="shared" si="3"/>
        <v>13.250733094835338</v>
      </c>
      <c r="CA3" s="52">
        <f t="shared" si="3"/>
        <v>13.250733094835338</v>
      </c>
      <c r="CB3" s="52">
        <f t="shared" si="3"/>
        <v>13.250733094835338</v>
      </c>
      <c r="CC3" s="52">
        <f t="shared" si="3"/>
        <v>13.250733094835338</v>
      </c>
      <c r="CD3" s="52">
        <f t="shared" si="3"/>
        <v>13.250733094835338</v>
      </c>
      <c r="CE3" s="52">
        <f t="shared" si="3"/>
        <v>13.250733094835338</v>
      </c>
      <c r="CF3" s="52">
        <f t="shared" si="3"/>
        <v>13.250733094835338</v>
      </c>
      <c r="CG3" s="52">
        <f t="shared" si="3"/>
        <v>13.250733094835338</v>
      </c>
      <c r="CH3" s="52">
        <f t="shared" si="3"/>
        <v>13.250733094835338</v>
      </c>
      <c r="CI3" s="52">
        <f t="shared" si="3"/>
        <v>13.250733094835338</v>
      </c>
      <c r="CJ3" s="52">
        <f t="shared" si="3"/>
        <v>13.250733094835338</v>
      </c>
      <c r="CK3" s="52">
        <f t="shared" si="3"/>
        <v>13.250733094835338</v>
      </c>
    </row>
    <row r="4" spans="3:89" ht="14.4">
      <c r="C4" t="s">
        <v>6</v>
      </c>
      <c r="D4" t="str">
        <f>_xlfn.TEXTJOIN(",",TRUE,Regions!$C$3,Regions!$D$3)</f>
        <v>IE,National</v>
      </c>
      <c r="E4" t="s">
        <v>17</v>
      </c>
      <c r="F4" s="34"/>
      <c r="G4" s="51">
        <f t="shared" si="4" ref="G4:G12">+K59</f>
        <v>5.7000000000000002</v>
      </c>
      <c r="H4" s="52">
        <f t="shared" si="0"/>
        <v>5.7000000000000002</v>
      </c>
      <c r="I4" s="52">
        <f t="shared" si="5" ref="I4:BT4">+H4</f>
        <v>5.7000000000000002</v>
      </c>
      <c r="J4" s="52">
        <f t="shared" si="5"/>
        <v>5.7000000000000002</v>
      </c>
      <c r="K4" s="52">
        <f t="shared" si="6" ref="K4:K12">+J4*1.03</f>
        <v>5.8710000000000004</v>
      </c>
      <c r="L4" s="52">
        <f>+$G4*S$76/$N76</f>
        <v>6.3936770363908364</v>
      </c>
      <c r="M4" s="52">
        <f t="shared" si="7" ref="M4:AM4">+$G4*T$76/$N76</f>
        <v>6.4323970473592711</v>
      </c>
      <c r="N4" s="52">
        <f>+$G4*U$76/$N76</f>
        <v>6.4720732436360979</v>
      </c>
      <c r="O4" s="52">
        <f t="shared" si="7"/>
        <v>6.5127292515744379</v>
      </c>
      <c r="P4" s="52">
        <f t="shared" si="7"/>
        <v>6.5543892802450445</v>
      </c>
      <c r="Q4" s="52">
        <f t="shared" si="7"/>
        <v>6.5970781349621905</v>
      </c>
      <c r="R4" s="52">
        <f t="shared" si="7"/>
        <v>6.6408212331282721</v>
      </c>
      <c r="S4" s="52">
        <f t="shared" si="7"/>
        <v>6.6856446205101383</v>
      </c>
      <c r="T4" s="52">
        <f t="shared" si="7"/>
        <v>6.7315553927410718</v>
      </c>
      <c r="U4" s="52">
        <f t="shared" si="7"/>
        <v>6.7786028760099821</v>
      </c>
      <c r="V4" s="52">
        <f t="shared" si="7"/>
        <v>6.8268153740694038</v>
      </c>
      <c r="W4" s="52">
        <f t="shared" si="7"/>
        <v>6.8762219074585138</v>
      </c>
      <c r="X4" s="52">
        <f t="shared" si="7"/>
        <v>6.9268522297274915</v>
      </c>
      <c r="Y4" s="52">
        <f t="shared" si="7"/>
        <v>6.9787368503318046</v>
      </c>
      <c r="Z4" s="52">
        <f t="shared" si="7"/>
        <v>7.0319070549356111</v>
      </c>
      <c r="AA4" s="52">
        <f t="shared" si="7"/>
        <v>7.086394926707591</v>
      </c>
      <c r="AB4" s="52">
        <f t="shared" si="7"/>
        <v>7.1422333676447209</v>
      </c>
      <c r="AC4" s="52">
        <f t="shared" si="7"/>
        <v>7.1994561234297123</v>
      </c>
      <c r="AD4" s="52">
        <f t="shared" si="7"/>
        <v>7.2580978070794231</v>
      </c>
      <c r="AE4" s="52">
        <f t="shared" si="7"/>
        <v>7.3181939217597893</v>
      </c>
      <c r="AF4" s="52">
        <f t="shared" si="7"/>
        <v>7.3797808895858914</v>
      </c>
      <c r="AG4" s="52">
        <f t="shared" si="7"/>
        <v>7.4428960762258862</v>
      </c>
      <c r="AH4" s="52">
        <f t="shared" si="7"/>
        <v>7.5075778193169356</v>
      </c>
      <c r="AI4" s="52">
        <f t="shared" si="7"/>
        <v>7.5738654578562672</v>
      </c>
      <c r="AJ4" s="52">
        <f t="shared" si="7"/>
        <v>7.6417993599582958</v>
      </c>
      <c r="AK4" s="52">
        <f t="shared" si="7"/>
        <v>7.7114209578082695</v>
      </c>
      <c r="AL4" s="52">
        <f t="shared" si="7"/>
        <v>7.7827727770258717</v>
      </c>
      <c r="AM4" s="52">
        <f t="shared" si="7"/>
        <v>7.8558984718299651</v>
      </c>
      <c r="AN4" s="52">
        <f t="shared" si="5"/>
        <v>7.8558984718299651</v>
      </c>
      <c r="AO4" s="52">
        <f t="shared" si="5"/>
        <v>7.8558984718299651</v>
      </c>
      <c r="AP4" s="52">
        <f t="shared" si="5"/>
        <v>7.8558984718299651</v>
      </c>
      <c r="AQ4" s="52">
        <f t="shared" si="5"/>
        <v>7.8558984718299651</v>
      </c>
      <c r="AR4" s="52">
        <f t="shared" si="5"/>
        <v>7.8558984718299651</v>
      </c>
      <c r="AS4" s="52">
        <f t="shared" si="5"/>
        <v>7.8558984718299651</v>
      </c>
      <c r="AT4" s="52">
        <f t="shared" si="5"/>
        <v>7.8558984718299651</v>
      </c>
      <c r="AU4" s="52">
        <f t="shared" si="5"/>
        <v>7.8558984718299651</v>
      </c>
      <c r="AV4" s="52">
        <f t="shared" si="5"/>
        <v>7.8558984718299651</v>
      </c>
      <c r="AW4" s="52">
        <f t="shared" si="5"/>
        <v>7.8558984718299651</v>
      </c>
      <c r="AX4" s="52">
        <f t="shared" si="5"/>
        <v>7.8558984718299651</v>
      </c>
      <c r="AY4" s="52">
        <f t="shared" si="5"/>
        <v>7.8558984718299651</v>
      </c>
      <c r="AZ4" s="52">
        <f t="shared" si="5"/>
        <v>7.8558984718299651</v>
      </c>
      <c r="BA4" s="52">
        <f t="shared" si="5"/>
        <v>7.8558984718299651</v>
      </c>
      <c r="BB4" s="52">
        <f t="shared" si="5"/>
        <v>7.8558984718299651</v>
      </c>
      <c r="BC4" s="52">
        <f t="shared" si="5"/>
        <v>7.8558984718299651</v>
      </c>
      <c r="BD4" s="52">
        <f t="shared" si="5"/>
        <v>7.8558984718299651</v>
      </c>
      <c r="BE4" s="52">
        <f t="shared" si="5"/>
        <v>7.8558984718299651</v>
      </c>
      <c r="BF4" s="52">
        <f t="shared" si="5"/>
        <v>7.8558984718299651</v>
      </c>
      <c r="BG4" s="52">
        <f t="shared" si="5"/>
        <v>7.8558984718299651</v>
      </c>
      <c r="BH4" s="52">
        <f t="shared" si="5"/>
        <v>7.8558984718299651</v>
      </c>
      <c r="BI4" s="52">
        <f t="shared" si="5"/>
        <v>7.8558984718299651</v>
      </c>
      <c r="BJ4" s="52">
        <f t="shared" si="5"/>
        <v>7.8558984718299651</v>
      </c>
      <c r="BK4" s="52">
        <f t="shared" si="5"/>
        <v>7.8558984718299651</v>
      </c>
      <c r="BL4" s="52">
        <f t="shared" si="5"/>
        <v>7.8558984718299651</v>
      </c>
      <c r="BM4" s="52">
        <f t="shared" si="5"/>
        <v>7.8558984718299651</v>
      </c>
      <c r="BN4" s="52">
        <f t="shared" si="5"/>
        <v>7.8558984718299651</v>
      </c>
      <c r="BO4" s="52">
        <f t="shared" si="5"/>
        <v>7.8558984718299651</v>
      </c>
      <c r="BP4" s="52">
        <f t="shared" si="5"/>
        <v>7.8558984718299651</v>
      </c>
      <c r="BQ4" s="52">
        <f t="shared" si="5"/>
        <v>7.8558984718299651</v>
      </c>
      <c r="BR4" s="52">
        <f t="shared" si="5"/>
        <v>7.8558984718299651</v>
      </c>
      <c r="BS4" s="52">
        <f t="shared" si="5"/>
        <v>7.8558984718299651</v>
      </c>
      <c r="BT4" s="52">
        <f t="shared" si="5"/>
        <v>7.8558984718299651</v>
      </c>
      <c r="BU4" s="52">
        <f t="shared" si="8" ref="BU4:CK4">+BT4</f>
        <v>7.8558984718299651</v>
      </c>
      <c r="BV4" s="52">
        <f t="shared" si="8"/>
        <v>7.8558984718299651</v>
      </c>
      <c r="BW4" s="52">
        <f t="shared" si="8"/>
        <v>7.8558984718299651</v>
      </c>
      <c r="BX4" s="52">
        <f t="shared" si="8"/>
        <v>7.8558984718299651</v>
      </c>
      <c r="BY4" s="52">
        <f t="shared" si="8"/>
        <v>7.8558984718299651</v>
      </c>
      <c r="BZ4" s="52">
        <f t="shared" si="8"/>
        <v>7.8558984718299651</v>
      </c>
      <c r="CA4" s="52">
        <f t="shared" si="8"/>
        <v>7.8558984718299651</v>
      </c>
      <c r="CB4" s="52">
        <f t="shared" si="8"/>
        <v>7.8558984718299651</v>
      </c>
      <c r="CC4" s="52">
        <f t="shared" si="8"/>
        <v>7.8558984718299651</v>
      </c>
      <c r="CD4" s="52">
        <f t="shared" si="8"/>
        <v>7.8558984718299651</v>
      </c>
      <c r="CE4" s="52">
        <f t="shared" si="8"/>
        <v>7.8558984718299651</v>
      </c>
      <c r="CF4" s="52">
        <f t="shared" si="8"/>
        <v>7.8558984718299651</v>
      </c>
      <c r="CG4" s="52">
        <f t="shared" si="8"/>
        <v>7.8558984718299651</v>
      </c>
      <c r="CH4" s="52">
        <f t="shared" si="8"/>
        <v>7.8558984718299651</v>
      </c>
      <c r="CI4" s="52">
        <f t="shared" si="8"/>
        <v>7.8558984718299651</v>
      </c>
      <c r="CJ4" s="52">
        <f t="shared" si="8"/>
        <v>7.8558984718299651</v>
      </c>
      <c r="CK4" s="52">
        <f t="shared" si="8"/>
        <v>7.8558984718299651</v>
      </c>
    </row>
    <row r="5" spans="3:89" ht="14.4">
      <c r="C5" t="s">
        <v>6</v>
      </c>
      <c r="D5" t="str">
        <f>_xlfn.TEXTJOIN(",",TRUE,Regions!$C$3,Regions!$D$3)</f>
        <v>IE,National</v>
      </c>
      <c r="E5" t="s">
        <v>212</v>
      </c>
      <c r="F5" s="34"/>
      <c r="G5" s="51">
        <f t="shared" si="4"/>
        <v>13.4</v>
      </c>
      <c r="H5" s="52">
        <f t="shared" si="0"/>
        <v>13.4</v>
      </c>
      <c r="I5" s="52">
        <f t="shared" si="9" ref="I5:BT5">+H5</f>
        <v>13.4</v>
      </c>
      <c r="J5" s="52">
        <f t="shared" si="9"/>
        <v>13.4</v>
      </c>
      <c r="K5" s="52">
        <f t="shared" si="6"/>
        <v>13.802000000000001</v>
      </c>
      <c r="L5" s="52">
        <f>+$G5*S$72/$N72</f>
        <v>16.154874753824778</v>
      </c>
      <c r="M5" s="52">
        <f t="shared" si="10" ref="M5:AM5">+$G5*T$72/$N72</f>
        <v>16.4813505940878</v>
      </c>
      <c r="N5" s="52">
        <f t="shared" si="10"/>
        <v>16.795957256056894</v>
      </c>
      <c r="O5" s="52">
        <f t="shared" si="10"/>
        <v>17.10007113722984</v>
      </c>
      <c r="P5" s="52">
        <f t="shared" si="10"/>
        <v>17.394169521659336</v>
      </c>
      <c r="Q5" s="52">
        <f t="shared" si="10"/>
        <v>17.680273366578032</v>
      </c>
      <c r="R5" s="52">
        <f t="shared" si="10"/>
        <v>17.960412730849921</v>
      </c>
      <c r="S5" s="52">
        <f t="shared" si="10"/>
        <v>18.23449348095798</v>
      </c>
      <c r="T5" s="52">
        <f t="shared" si="10"/>
        <v>18.50362428672377</v>
      </c>
      <c r="U5" s="52">
        <f t="shared" si="10"/>
        <v>18.767668935942069</v>
      </c>
      <c r="V5" s="52">
        <f t="shared" si="10"/>
        <v>19.027385105557503</v>
      </c>
      <c r="W5" s="52">
        <f t="shared" si="10"/>
        <v>19.283206366935573</v>
      </c>
      <c r="X5" s="52">
        <f t="shared" si="10"/>
        <v>19.534669393872687</v>
      </c>
      <c r="Y5" s="52">
        <f t="shared" si="10"/>
        <v>19.781640978293307</v>
      </c>
      <c r="Z5" s="52">
        <f t="shared" si="10"/>
        <v>20.023960957238565</v>
      </c>
      <c r="AA5" s="52">
        <f t="shared" si="10"/>
        <v>20.261596403126173</v>
      </c>
      <c r="AB5" s="52">
        <f t="shared" si="10"/>
        <v>20.494086301282032</v>
      </c>
      <c r="AC5" s="52">
        <f t="shared" si="10"/>
        <v>20.721258588924979</v>
      </c>
      <c r="AD5" s="52">
        <f t="shared" si="10"/>
        <v>20.943135688242716</v>
      </c>
      <c r="AE5" s="52">
        <f t="shared" si="10"/>
        <v>21.159475244922891</v>
      </c>
      <c r="AF5" s="52">
        <f t="shared" si="10"/>
        <v>21.369924914959828</v>
      </c>
      <c r="AG5" s="52">
        <f t="shared" si="10"/>
        <v>21.573602166173426</v>
      </c>
      <c r="AH5" s="52">
        <f t="shared" si="10"/>
        <v>21.770438064342553</v>
      </c>
      <c r="AI5" s="52">
        <f t="shared" si="10"/>
        <v>21.960512133440826</v>
      </c>
      <c r="AJ5" s="52">
        <f t="shared" si="10"/>
        <v>22.14358845178867</v>
      </c>
      <c r="AK5" s="52">
        <f t="shared" si="10"/>
        <v>22.3195970124975</v>
      </c>
      <c r="AL5" s="52">
        <f t="shared" si="10"/>
        <v>22.487997816960728</v>
      </c>
      <c r="AM5" s="52">
        <f t="shared" si="10"/>
        <v>22.648977695245776</v>
      </c>
      <c r="AN5" s="52">
        <f t="shared" si="9"/>
        <v>22.648977695245776</v>
      </c>
      <c r="AO5" s="52">
        <f t="shared" si="9"/>
        <v>22.648977695245776</v>
      </c>
      <c r="AP5" s="52">
        <f t="shared" si="9"/>
        <v>22.648977695245776</v>
      </c>
      <c r="AQ5" s="52">
        <f t="shared" si="9"/>
        <v>22.648977695245776</v>
      </c>
      <c r="AR5" s="52">
        <f t="shared" si="9"/>
        <v>22.648977695245776</v>
      </c>
      <c r="AS5" s="52">
        <f t="shared" si="9"/>
        <v>22.648977695245776</v>
      </c>
      <c r="AT5" s="52">
        <f t="shared" si="9"/>
        <v>22.648977695245776</v>
      </c>
      <c r="AU5" s="52">
        <f t="shared" si="9"/>
        <v>22.648977695245776</v>
      </c>
      <c r="AV5" s="52">
        <f t="shared" si="9"/>
        <v>22.648977695245776</v>
      </c>
      <c r="AW5" s="52">
        <f t="shared" si="9"/>
        <v>22.648977695245776</v>
      </c>
      <c r="AX5" s="52">
        <f t="shared" si="9"/>
        <v>22.648977695245776</v>
      </c>
      <c r="AY5" s="52">
        <f t="shared" si="9"/>
        <v>22.648977695245776</v>
      </c>
      <c r="AZ5" s="52">
        <f t="shared" si="9"/>
        <v>22.648977695245776</v>
      </c>
      <c r="BA5" s="52">
        <f t="shared" si="9"/>
        <v>22.648977695245776</v>
      </c>
      <c r="BB5" s="52">
        <f t="shared" si="9"/>
        <v>22.648977695245776</v>
      </c>
      <c r="BC5" s="52">
        <f t="shared" si="9"/>
        <v>22.648977695245776</v>
      </c>
      <c r="BD5" s="52">
        <f t="shared" si="9"/>
        <v>22.648977695245776</v>
      </c>
      <c r="BE5" s="52">
        <f t="shared" si="9"/>
        <v>22.648977695245776</v>
      </c>
      <c r="BF5" s="52">
        <f t="shared" si="9"/>
        <v>22.648977695245776</v>
      </c>
      <c r="BG5" s="52">
        <f t="shared" si="9"/>
        <v>22.648977695245776</v>
      </c>
      <c r="BH5" s="52">
        <f t="shared" si="9"/>
        <v>22.648977695245776</v>
      </c>
      <c r="BI5" s="52">
        <f t="shared" si="9"/>
        <v>22.648977695245776</v>
      </c>
      <c r="BJ5" s="52">
        <f t="shared" si="9"/>
        <v>22.648977695245776</v>
      </c>
      <c r="BK5" s="52">
        <f t="shared" si="9"/>
        <v>22.648977695245776</v>
      </c>
      <c r="BL5" s="52">
        <f t="shared" si="9"/>
        <v>22.648977695245776</v>
      </c>
      <c r="BM5" s="52">
        <f t="shared" si="9"/>
        <v>22.648977695245776</v>
      </c>
      <c r="BN5" s="52">
        <f t="shared" si="9"/>
        <v>22.648977695245776</v>
      </c>
      <c r="BO5" s="52">
        <f t="shared" si="9"/>
        <v>22.648977695245776</v>
      </c>
      <c r="BP5" s="52">
        <f t="shared" si="9"/>
        <v>22.648977695245776</v>
      </c>
      <c r="BQ5" s="52">
        <f t="shared" si="9"/>
        <v>22.648977695245776</v>
      </c>
      <c r="BR5" s="52">
        <f t="shared" si="9"/>
        <v>22.648977695245776</v>
      </c>
      <c r="BS5" s="52">
        <f t="shared" si="9"/>
        <v>22.648977695245776</v>
      </c>
      <c r="BT5" s="52">
        <f t="shared" si="9"/>
        <v>22.648977695245776</v>
      </c>
      <c r="BU5" s="52">
        <f t="shared" si="11" ref="BU5:CK5">+BT5</f>
        <v>22.648977695245776</v>
      </c>
      <c r="BV5" s="52">
        <f t="shared" si="11"/>
        <v>22.648977695245776</v>
      </c>
      <c r="BW5" s="52">
        <f t="shared" si="11"/>
        <v>22.648977695245776</v>
      </c>
      <c r="BX5" s="52">
        <f t="shared" si="11"/>
        <v>22.648977695245776</v>
      </c>
      <c r="BY5" s="52">
        <f t="shared" si="11"/>
        <v>22.648977695245776</v>
      </c>
      <c r="BZ5" s="52">
        <f t="shared" si="11"/>
        <v>22.648977695245776</v>
      </c>
      <c r="CA5" s="52">
        <f t="shared" si="11"/>
        <v>22.648977695245776</v>
      </c>
      <c r="CB5" s="52">
        <f t="shared" si="11"/>
        <v>22.648977695245776</v>
      </c>
      <c r="CC5" s="52">
        <f t="shared" si="11"/>
        <v>22.648977695245776</v>
      </c>
      <c r="CD5" s="52">
        <f t="shared" si="11"/>
        <v>22.648977695245776</v>
      </c>
      <c r="CE5" s="52">
        <f t="shared" si="11"/>
        <v>22.648977695245776</v>
      </c>
      <c r="CF5" s="52">
        <f t="shared" si="11"/>
        <v>22.648977695245776</v>
      </c>
      <c r="CG5" s="52">
        <f t="shared" si="11"/>
        <v>22.648977695245776</v>
      </c>
      <c r="CH5" s="52">
        <f t="shared" si="11"/>
        <v>22.648977695245776</v>
      </c>
      <c r="CI5" s="52">
        <f t="shared" si="11"/>
        <v>22.648977695245776</v>
      </c>
      <c r="CJ5" s="52">
        <f t="shared" si="11"/>
        <v>22.648977695245776</v>
      </c>
      <c r="CK5" s="52">
        <f t="shared" si="11"/>
        <v>22.648977695245776</v>
      </c>
    </row>
    <row r="6" spans="3:89" ht="14.4">
      <c r="C6" t="s">
        <v>6</v>
      </c>
      <c r="D6" t="str">
        <f>_xlfn.TEXTJOIN(",",TRUE,Regions!$C$3,Regions!$D$3)</f>
        <v>IE,National</v>
      </c>
      <c r="E6" t="s">
        <v>213</v>
      </c>
      <c r="F6" s="34"/>
      <c r="G6" s="51">
        <f t="shared" si="4"/>
        <v>1.3</v>
      </c>
      <c r="H6" s="52">
        <f t="shared" si="0"/>
        <v>1.3</v>
      </c>
      <c r="I6" s="52">
        <f t="shared" si="12" ref="I6:BT6">+H6</f>
        <v>1.3</v>
      </c>
      <c r="J6" s="52">
        <f t="shared" si="12"/>
        <v>1.3</v>
      </c>
      <c r="K6" s="52">
        <f t="shared" si="6"/>
        <v>1.3390000000000002</v>
      </c>
      <c r="L6" s="52">
        <f>+$G6*S$78/$N78</f>
        <v>1.3007762016686237</v>
      </c>
      <c r="M6" s="52">
        <f t="shared" si="13" ref="M6:AM6">+$G6*T$78/$N78</f>
        <v>1.3522292043029902</v>
      </c>
      <c r="N6" s="52">
        <f t="shared" si="13"/>
        <v>1.4057174621001558</v>
      </c>
      <c r="O6" s="52">
        <f t="shared" si="13"/>
        <v>1.4613214808297665</v>
      </c>
      <c r="P6" s="52">
        <f t="shared" si="13"/>
        <v>1.4615402858467135</v>
      </c>
      <c r="Q6" s="52">
        <f t="shared" si="13"/>
        <v>1.4617591236255376</v>
      </c>
      <c r="R6" s="52">
        <f t="shared" si="13"/>
        <v>1.461977994171145</v>
      </c>
      <c r="S6" s="52">
        <f t="shared" si="13"/>
        <v>1.4621968974884418</v>
      </c>
      <c r="T6" s="52">
        <f t="shared" si="13"/>
        <v>1.4624158335823345</v>
      </c>
      <c r="U6" s="52">
        <f t="shared" si="13"/>
        <v>1.4753612397959797</v>
      </c>
      <c r="V6" s="52">
        <f t="shared" si="13"/>
        <v>1.4884212396417422</v>
      </c>
      <c r="W6" s="52">
        <f t="shared" si="13"/>
        <v>1.5015968475103878</v>
      </c>
      <c r="X6" s="52">
        <f t="shared" si="13"/>
        <v>1.5148890867721396</v>
      </c>
      <c r="Y6" s="52">
        <f t="shared" si="13"/>
        <v>1.5282989898561652</v>
      </c>
      <c r="Z6" s="52">
        <f t="shared" si="13"/>
        <v>1.5385501392183596</v>
      </c>
      <c r="AA6" s="52">
        <f t="shared" si="13"/>
        <v>1.5488700487275824</v>
      </c>
      <c r="AB6" s="52">
        <f t="shared" si="13"/>
        <v>1.5592591795962945</v>
      </c>
      <c r="AC6" s="52">
        <f t="shared" si="13"/>
        <v>1.5697179961305634</v>
      </c>
      <c r="AD6" s="52">
        <f t="shared" si="13"/>
        <v>1.5802469657508167</v>
      </c>
      <c r="AE6" s="52">
        <f t="shared" si="13"/>
        <v>1.5885152241214666</v>
      </c>
      <c r="AF6" s="52">
        <f t="shared" si="13"/>
        <v>1.5968267441454949</v>
      </c>
      <c r="AG6" s="52">
        <f t="shared" si="13"/>
        <v>1.6051817521789928</v>
      </c>
      <c r="AH6" s="52">
        <f t="shared" si="13"/>
        <v>1.6135804757624064</v>
      </c>
      <c r="AI6" s="52">
        <f t="shared" si="13"/>
        <v>1.6220231436267305</v>
      </c>
      <c r="AJ6" s="52">
        <f t="shared" si="13"/>
        <v>1.630535522721134</v>
      </c>
      <c r="AK6" s="52">
        <f t="shared" si="13"/>
        <v>1.6390925747896141</v>
      </c>
      <c r="AL6" s="52">
        <f t="shared" si="13"/>
        <v>1.6476945342759834</v>
      </c>
      <c r="AM6" s="52">
        <f t="shared" si="13"/>
        <v>1.6563416368544173</v>
      </c>
      <c r="AN6" s="52">
        <f t="shared" si="12"/>
        <v>1.6563416368544173</v>
      </c>
      <c r="AO6" s="52">
        <f t="shared" si="12"/>
        <v>1.6563416368544173</v>
      </c>
      <c r="AP6" s="52">
        <f t="shared" si="12"/>
        <v>1.6563416368544173</v>
      </c>
      <c r="AQ6" s="52">
        <f t="shared" si="12"/>
        <v>1.6563416368544173</v>
      </c>
      <c r="AR6" s="52">
        <f t="shared" si="12"/>
        <v>1.6563416368544173</v>
      </c>
      <c r="AS6" s="52">
        <f t="shared" si="12"/>
        <v>1.6563416368544173</v>
      </c>
      <c r="AT6" s="52">
        <f t="shared" si="12"/>
        <v>1.6563416368544173</v>
      </c>
      <c r="AU6" s="52">
        <f t="shared" si="12"/>
        <v>1.6563416368544173</v>
      </c>
      <c r="AV6" s="52">
        <f t="shared" si="12"/>
        <v>1.6563416368544173</v>
      </c>
      <c r="AW6" s="52">
        <f t="shared" si="12"/>
        <v>1.6563416368544173</v>
      </c>
      <c r="AX6" s="52">
        <f t="shared" si="12"/>
        <v>1.6563416368544173</v>
      </c>
      <c r="AY6" s="52">
        <f t="shared" si="12"/>
        <v>1.6563416368544173</v>
      </c>
      <c r="AZ6" s="52">
        <f t="shared" si="12"/>
        <v>1.6563416368544173</v>
      </c>
      <c r="BA6" s="52">
        <f t="shared" si="12"/>
        <v>1.6563416368544173</v>
      </c>
      <c r="BB6" s="52">
        <f t="shared" si="12"/>
        <v>1.6563416368544173</v>
      </c>
      <c r="BC6" s="52">
        <f t="shared" si="12"/>
        <v>1.6563416368544173</v>
      </c>
      <c r="BD6" s="52">
        <f t="shared" si="12"/>
        <v>1.6563416368544173</v>
      </c>
      <c r="BE6" s="52">
        <f t="shared" si="12"/>
        <v>1.6563416368544173</v>
      </c>
      <c r="BF6" s="52">
        <f t="shared" si="12"/>
        <v>1.6563416368544173</v>
      </c>
      <c r="BG6" s="52">
        <f t="shared" si="12"/>
        <v>1.6563416368544173</v>
      </c>
      <c r="BH6" s="52">
        <f t="shared" si="12"/>
        <v>1.6563416368544173</v>
      </c>
      <c r="BI6" s="52">
        <f t="shared" si="12"/>
        <v>1.6563416368544173</v>
      </c>
      <c r="BJ6" s="52">
        <f t="shared" si="12"/>
        <v>1.6563416368544173</v>
      </c>
      <c r="BK6" s="52">
        <f t="shared" si="12"/>
        <v>1.6563416368544173</v>
      </c>
      <c r="BL6" s="52">
        <f t="shared" si="12"/>
        <v>1.6563416368544173</v>
      </c>
      <c r="BM6" s="52">
        <f t="shared" si="12"/>
        <v>1.6563416368544173</v>
      </c>
      <c r="BN6" s="52">
        <f t="shared" si="12"/>
        <v>1.6563416368544173</v>
      </c>
      <c r="BO6" s="52">
        <f t="shared" si="12"/>
        <v>1.6563416368544173</v>
      </c>
      <c r="BP6" s="52">
        <f t="shared" si="12"/>
        <v>1.6563416368544173</v>
      </c>
      <c r="BQ6" s="52">
        <f t="shared" si="12"/>
        <v>1.6563416368544173</v>
      </c>
      <c r="BR6" s="52">
        <f t="shared" si="12"/>
        <v>1.6563416368544173</v>
      </c>
      <c r="BS6" s="52">
        <f t="shared" si="12"/>
        <v>1.6563416368544173</v>
      </c>
      <c r="BT6" s="52">
        <f t="shared" si="12"/>
        <v>1.6563416368544173</v>
      </c>
      <c r="BU6" s="52">
        <f t="shared" si="14" ref="BU6:CK6">+BT6</f>
        <v>1.6563416368544173</v>
      </c>
      <c r="BV6" s="52">
        <f t="shared" si="14"/>
        <v>1.6563416368544173</v>
      </c>
      <c r="BW6" s="52">
        <f t="shared" si="14"/>
        <v>1.6563416368544173</v>
      </c>
      <c r="BX6" s="52">
        <f t="shared" si="14"/>
        <v>1.6563416368544173</v>
      </c>
      <c r="BY6" s="52">
        <f t="shared" si="14"/>
        <v>1.6563416368544173</v>
      </c>
      <c r="BZ6" s="52">
        <f t="shared" si="14"/>
        <v>1.6563416368544173</v>
      </c>
      <c r="CA6" s="52">
        <f t="shared" si="14"/>
        <v>1.6563416368544173</v>
      </c>
      <c r="CB6" s="52">
        <f t="shared" si="14"/>
        <v>1.6563416368544173</v>
      </c>
      <c r="CC6" s="52">
        <f t="shared" si="14"/>
        <v>1.6563416368544173</v>
      </c>
      <c r="CD6" s="52">
        <f t="shared" si="14"/>
        <v>1.6563416368544173</v>
      </c>
      <c r="CE6" s="52">
        <f t="shared" si="14"/>
        <v>1.6563416368544173</v>
      </c>
      <c r="CF6" s="52">
        <f t="shared" si="14"/>
        <v>1.6563416368544173</v>
      </c>
      <c r="CG6" s="52">
        <f t="shared" si="14"/>
        <v>1.6563416368544173</v>
      </c>
      <c r="CH6" s="52">
        <f t="shared" si="14"/>
        <v>1.6563416368544173</v>
      </c>
      <c r="CI6" s="52">
        <f t="shared" si="14"/>
        <v>1.6563416368544173</v>
      </c>
      <c r="CJ6" s="52">
        <f t="shared" si="14"/>
        <v>1.6563416368544173</v>
      </c>
      <c r="CK6" s="52">
        <f t="shared" si="14"/>
        <v>1.6563416368544173</v>
      </c>
    </row>
    <row r="7" spans="3:89" ht="14.4">
      <c r="C7" t="s">
        <v>6</v>
      </c>
      <c r="D7" t="str">
        <f>_xlfn.TEXTJOIN(",",TRUE,Regions!$C$3,Regions!$D$3)</f>
        <v>IE,National</v>
      </c>
      <c r="E7" t="s">
        <v>23</v>
      </c>
      <c r="F7" s="34"/>
      <c r="G7" s="51">
        <f t="shared" si="4"/>
        <v>16.5</v>
      </c>
      <c r="H7" s="52">
        <f t="shared" si="0"/>
        <v>16.5</v>
      </c>
      <c r="I7" s="52">
        <f t="shared" si="15" ref="I7:BT7">+H7</f>
        <v>16.5</v>
      </c>
      <c r="J7" s="52">
        <f t="shared" si="15"/>
        <v>16.5</v>
      </c>
      <c r="K7" s="52">
        <f t="shared" si="6"/>
        <v>16.995000000000001</v>
      </c>
      <c r="L7" s="52">
        <f>+$G7*S$79/$N79</f>
        <v>14.770551619589172</v>
      </c>
      <c r="M7" s="52">
        <f t="shared" si="16" ref="M7:AM7">+$G7*T$79/$N79</f>
        <v>14.845813862178977</v>
      </c>
      <c r="N7" s="52">
        <f t="shared" si="16"/>
        <v>14.922975102461015</v>
      </c>
      <c r="O7" s="52">
        <f t="shared" si="16"/>
        <v>15.002084847728039</v>
      </c>
      <c r="P7" s="52">
        <f t="shared" si="16"/>
        <v>15.083193999847706</v>
      </c>
      <c r="Q7" s="52">
        <f t="shared" si="16"/>
        <v>15.166354893122131</v>
      </c>
      <c r="R7" s="52">
        <f t="shared" si="16"/>
        <v>15.251621372340695</v>
      </c>
      <c r="S7" s="52">
        <f t="shared" si="16"/>
        <v>15.33904885486659</v>
      </c>
      <c r="T7" s="52">
        <f t="shared" si="16"/>
        <v>15.42956524826554</v>
      </c>
      <c r="U7" s="52">
        <f t="shared" si="16"/>
        <v>15.522330748672248</v>
      </c>
      <c r="V7" s="52">
        <f t="shared" si="16"/>
        <v>15.61740339686316</v>
      </c>
      <c r="W7" s="52">
        <f t="shared" si="16"/>
        <v>15.714842924780468</v>
      </c>
      <c r="X7" s="52">
        <f t="shared" si="16"/>
        <v>15.81471081856823</v>
      </c>
      <c r="Y7" s="52">
        <f t="shared" si="16"/>
        <v>15.917070390942561</v>
      </c>
      <c r="Z7" s="52">
        <f t="shared" si="16"/>
        <v>16.021986874379483</v>
      </c>
      <c r="AA7" s="52">
        <f t="shared" si="16"/>
        <v>16.129527490525067</v>
      </c>
      <c r="AB7" s="52">
        <f t="shared" si="16"/>
        <v>16.239761556648215</v>
      </c>
      <c r="AC7" s="52">
        <f t="shared" si="16"/>
        <v>16.352760567750522</v>
      </c>
      <c r="AD7" s="52">
        <f t="shared" si="16"/>
        <v>16.468598321268065</v>
      </c>
      <c r="AE7" s="52">
        <f t="shared" si="16"/>
        <v>16.587351030576169</v>
      </c>
      <c r="AF7" s="52">
        <f t="shared" si="16"/>
        <v>16.709097436953339</v>
      </c>
      <c r="AG7" s="52">
        <f t="shared" si="16"/>
        <v>16.83391896804671</v>
      </c>
      <c r="AH7" s="52">
        <f t="shared" si="16"/>
        <v>16.961899876349431</v>
      </c>
      <c r="AI7" s="52">
        <f t="shared" si="16"/>
        <v>17.093127396904059</v>
      </c>
      <c r="AJ7" s="52">
        <f t="shared" si="16"/>
        <v>17.22769194307368</v>
      </c>
      <c r="AK7" s="52">
        <f t="shared" si="16"/>
        <v>17.365687286901764</v>
      </c>
      <c r="AL7" s="52">
        <f t="shared" si="16"/>
        <v>17.507210781890123</v>
      </c>
      <c r="AM7" s="52">
        <f t="shared" si="16"/>
        <v>17.652363592735284</v>
      </c>
      <c r="AN7" s="52">
        <f t="shared" si="15"/>
        <v>17.652363592735284</v>
      </c>
      <c r="AO7" s="52">
        <f t="shared" si="15"/>
        <v>17.652363592735284</v>
      </c>
      <c r="AP7" s="52">
        <f t="shared" si="15"/>
        <v>17.652363592735284</v>
      </c>
      <c r="AQ7" s="52">
        <f t="shared" si="15"/>
        <v>17.652363592735284</v>
      </c>
      <c r="AR7" s="52">
        <f t="shared" si="15"/>
        <v>17.652363592735284</v>
      </c>
      <c r="AS7" s="52">
        <f t="shared" si="15"/>
        <v>17.652363592735284</v>
      </c>
      <c r="AT7" s="52">
        <f t="shared" si="15"/>
        <v>17.652363592735284</v>
      </c>
      <c r="AU7" s="52">
        <f t="shared" si="15"/>
        <v>17.652363592735284</v>
      </c>
      <c r="AV7" s="52">
        <f t="shared" si="15"/>
        <v>17.652363592735284</v>
      </c>
      <c r="AW7" s="52">
        <f t="shared" si="15"/>
        <v>17.652363592735284</v>
      </c>
      <c r="AX7" s="52">
        <f t="shared" si="15"/>
        <v>17.652363592735284</v>
      </c>
      <c r="AY7" s="52">
        <f t="shared" si="15"/>
        <v>17.652363592735284</v>
      </c>
      <c r="AZ7" s="52">
        <f t="shared" si="15"/>
        <v>17.652363592735284</v>
      </c>
      <c r="BA7" s="52">
        <f t="shared" si="15"/>
        <v>17.652363592735284</v>
      </c>
      <c r="BB7" s="52">
        <f t="shared" si="15"/>
        <v>17.652363592735284</v>
      </c>
      <c r="BC7" s="52">
        <f t="shared" si="15"/>
        <v>17.652363592735284</v>
      </c>
      <c r="BD7" s="52">
        <f t="shared" si="15"/>
        <v>17.652363592735284</v>
      </c>
      <c r="BE7" s="52">
        <f t="shared" si="15"/>
        <v>17.652363592735284</v>
      </c>
      <c r="BF7" s="52">
        <f t="shared" si="15"/>
        <v>17.652363592735284</v>
      </c>
      <c r="BG7" s="52">
        <f t="shared" si="15"/>
        <v>17.652363592735284</v>
      </c>
      <c r="BH7" s="52">
        <f t="shared" si="15"/>
        <v>17.652363592735284</v>
      </c>
      <c r="BI7" s="52">
        <f t="shared" si="15"/>
        <v>17.652363592735284</v>
      </c>
      <c r="BJ7" s="52">
        <f t="shared" si="15"/>
        <v>17.652363592735284</v>
      </c>
      <c r="BK7" s="52">
        <f t="shared" si="15"/>
        <v>17.652363592735284</v>
      </c>
      <c r="BL7" s="52">
        <f t="shared" si="15"/>
        <v>17.652363592735284</v>
      </c>
      <c r="BM7" s="52">
        <f t="shared" si="15"/>
        <v>17.652363592735284</v>
      </c>
      <c r="BN7" s="52">
        <f t="shared" si="15"/>
        <v>17.652363592735284</v>
      </c>
      <c r="BO7" s="52">
        <f t="shared" si="15"/>
        <v>17.652363592735284</v>
      </c>
      <c r="BP7" s="52">
        <f t="shared" si="15"/>
        <v>17.652363592735284</v>
      </c>
      <c r="BQ7" s="52">
        <f t="shared" si="15"/>
        <v>17.652363592735284</v>
      </c>
      <c r="BR7" s="52">
        <f t="shared" si="15"/>
        <v>17.652363592735284</v>
      </c>
      <c r="BS7" s="52">
        <f t="shared" si="15"/>
        <v>17.652363592735284</v>
      </c>
      <c r="BT7" s="52">
        <f t="shared" si="15"/>
        <v>17.652363592735284</v>
      </c>
      <c r="BU7" s="52">
        <f t="shared" si="17" ref="BU7:CK7">+BT7</f>
        <v>17.652363592735284</v>
      </c>
      <c r="BV7" s="52">
        <f t="shared" si="17"/>
        <v>17.652363592735284</v>
      </c>
      <c r="BW7" s="52">
        <f t="shared" si="17"/>
        <v>17.652363592735284</v>
      </c>
      <c r="BX7" s="52">
        <f t="shared" si="17"/>
        <v>17.652363592735284</v>
      </c>
      <c r="BY7" s="52">
        <f t="shared" si="17"/>
        <v>17.652363592735284</v>
      </c>
      <c r="BZ7" s="52">
        <f t="shared" si="17"/>
        <v>17.652363592735284</v>
      </c>
      <c r="CA7" s="52">
        <f t="shared" si="17"/>
        <v>17.652363592735284</v>
      </c>
      <c r="CB7" s="52">
        <f t="shared" si="17"/>
        <v>17.652363592735284</v>
      </c>
      <c r="CC7" s="52">
        <f t="shared" si="17"/>
        <v>17.652363592735284</v>
      </c>
      <c r="CD7" s="52">
        <f t="shared" si="17"/>
        <v>17.652363592735284</v>
      </c>
      <c r="CE7" s="52">
        <f t="shared" si="17"/>
        <v>17.652363592735284</v>
      </c>
      <c r="CF7" s="52">
        <f t="shared" si="17"/>
        <v>17.652363592735284</v>
      </c>
      <c r="CG7" s="52">
        <f t="shared" si="17"/>
        <v>17.652363592735284</v>
      </c>
      <c r="CH7" s="52">
        <f t="shared" si="17"/>
        <v>17.652363592735284</v>
      </c>
      <c r="CI7" s="52">
        <f t="shared" si="17"/>
        <v>17.652363592735284</v>
      </c>
      <c r="CJ7" s="52">
        <f t="shared" si="17"/>
        <v>17.652363592735284</v>
      </c>
      <c r="CK7" s="52">
        <f t="shared" si="17"/>
        <v>17.652363592735284</v>
      </c>
    </row>
    <row r="8" spans="3:89" ht="14.4">
      <c r="C8" t="s">
        <v>6</v>
      </c>
      <c r="D8" t="str">
        <f>_xlfn.TEXTJOIN(",",TRUE,Regions!$C$3,Regions!$D$3)</f>
        <v>IE,National</v>
      </c>
      <c r="E8" t="s">
        <v>31</v>
      </c>
      <c r="F8" s="34"/>
      <c r="G8" s="51">
        <f t="shared" si="4"/>
        <v>3.7999999999999998</v>
      </c>
      <c r="H8" s="52">
        <f t="shared" si="0"/>
        <v>3.7999999999999998</v>
      </c>
      <c r="I8" s="52">
        <f t="shared" si="18" ref="I8:BT8">+H8</f>
        <v>3.7999999999999998</v>
      </c>
      <c r="J8" s="52">
        <f t="shared" si="18"/>
        <v>3.7999999999999998</v>
      </c>
      <c r="K8" s="52">
        <f t="shared" si="6"/>
        <v>3.9139999999999997</v>
      </c>
      <c r="L8" s="52">
        <f>+$G8*S$83/$N83</f>
        <v>3.8741569495470718</v>
      </c>
      <c r="M8" s="52">
        <f t="shared" si="19" ref="M8:AM8">+$G8*T$83/$N83</f>
        <v>3.949215299576593</v>
      </c>
      <c r="N8" s="52">
        <f t="shared" si="19"/>
        <v>4.0205717099064788</v>
      </c>
      <c r="O8" s="52">
        <f t="shared" si="19"/>
        <v>4.088561921611074</v>
      </c>
      <c r="P8" s="52">
        <f t="shared" si="19"/>
        <v>4.1531699075569453</v>
      </c>
      <c r="Q8" s="52">
        <f t="shared" si="19"/>
        <v>4.2150763355428671</v>
      </c>
      <c r="R8" s="52">
        <f t="shared" si="19"/>
        <v>4.2750254654769293</v>
      </c>
      <c r="S8" s="52">
        <f t="shared" si="19"/>
        <v>4.3328486515349294</v>
      </c>
      <c r="T8" s="52">
        <f t="shared" si="19"/>
        <v>4.3889178342427302</v>
      </c>
      <c r="U8" s="52">
        <f t="shared" si="19"/>
        <v>4.443074551265946</v>
      </c>
      <c r="V8" s="52">
        <f t="shared" si="19"/>
        <v>4.495570527168864</v>
      </c>
      <c r="W8" s="52">
        <f t="shared" si="19"/>
        <v>4.5465197561778847</v>
      </c>
      <c r="X8" s="52">
        <f t="shared" si="19"/>
        <v>4.5956010132042788</v>
      </c>
      <c r="Y8" s="52">
        <f t="shared" si="19"/>
        <v>4.6426417132385618</v>
      </c>
      <c r="Z8" s="52">
        <f t="shared" si="19"/>
        <v>4.6874482904284083</v>
      </c>
      <c r="AA8" s="52">
        <f t="shared" si="19"/>
        <v>4.7298854677501652</v>
      </c>
      <c r="AB8" s="52">
        <f t="shared" si="19"/>
        <v>4.7695872732224327</v>
      </c>
      <c r="AC8" s="52">
        <f t="shared" si="19"/>
        <v>4.8063246590653304</v>
      </c>
      <c r="AD8" s="52">
        <f t="shared" si="19"/>
        <v>4.839966929134766</v>
      </c>
      <c r="AE8" s="52">
        <f t="shared" si="19"/>
        <v>4.8702346391627147</v>
      </c>
      <c r="AF8" s="52">
        <f t="shared" si="19"/>
        <v>4.8967735789296691</v>
      </c>
      <c r="AG8" s="52">
        <f t="shared" si="19"/>
        <v>4.9189137615434291</v>
      </c>
      <c r="AH8" s="52">
        <f t="shared" si="19"/>
        <v>4.9364305151111871</v>
      </c>
      <c r="AI8" s="52">
        <f t="shared" si="19"/>
        <v>4.9491768372290306</v>
      </c>
      <c r="AJ8" s="52">
        <f t="shared" si="19"/>
        <v>4.9568240492187803</v>
      </c>
      <c r="AK8" s="52">
        <f t="shared" si="19"/>
        <v>4.9591266462623196</v>
      </c>
      <c r="AL8" s="52">
        <f t="shared" si="19"/>
        <v>4.9555621669056169</v>
      </c>
      <c r="AM8" s="52">
        <f t="shared" si="19"/>
        <v>4.9460325602273718</v>
      </c>
      <c r="AN8" s="52">
        <f t="shared" si="18"/>
        <v>4.9460325602273718</v>
      </c>
      <c r="AO8" s="52">
        <f t="shared" si="18"/>
        <v>4.9460325602273718</v>
      </c>
      <c r="AP8" s="52">
        <f t="shared" si="18"/>
        <v>4.9460325602273718</v>
      </c>
      <c r="AQ8" s="52">
        <f t="shared" si="18"/>
        <v>4.9460325602273718</v>
      </c>
      <c r="AR8" s="52">
        <f t="shared" si="18"/>
        <v>4.9460325602273718</v>
      </c>
      <c r="AS8" s="52">
        <f t="shared" si="18"/>
        <v>4.9460325602273718</v>
      </c>
      <c r="AT8" s="52">
        <f t="shared" si="18"/>
        <v>4.9460325602273718</v>
      </c>
      <c r="AU8" s="52">
        <f t="shared" si="18"/>
        <v>4.9460325602273718</v>
      </c>
      <c r="AV8" s="52">
        <f t="shared" si="18"/>
        <v>4.9460325602273718</v>
      </c>
      <c r="AW8" s="52">
        <f t="shared" si="18"/>
        <v>4.9460325602273718</v>
      </c>
      <c r="AX8" s="52">
        <f t="shared" si="18"/>
        <v>4.9460325602273718</v>
      </c>
      <c r="AY8" s="52">
        <f t="shared" si="18"/>
        <v>4.9460325602273718</v>
      </c>
      <c r="AZ8" s="52">
        <f t="shared" si="18"/>
        <v>4.9460325602273718</v>
      </c>
      <c r="BA8" s="52">
        <f t="shared" si="18"/>
        <v>4.9460325602273718</v>
      </c>
      <c r="BB8" s="52">
        <f t="shared" si="18"/>
        <v>4.9460325602273718</v>
      </c>
      <c r="BC8" s="52">
        <f t="shared" si="18"/>
        <v>4.9460325602273718</v>
      </c>
      <c r="BD8" s="52">
        <f t="shared" si="18"/>
        <v>4.9460325602273718</v>
      </c>
      <c r="BE8" s="52">
        <f t="shared" si="18"/>
        <v>4.9460325602273718</v>
      </c>
      <c r="BF8" s="52">
        <f t="shared" si="18"/>
        <v>4.9460325602273718</v>
      </c>
      <c r="BG8" s="52">
        <f t="shared" si="18"/>
        <v>4.9460325602273718</v>
      </c>
      <c r="BH8" s="52">
        <f t="shared" si="18"/>
        <v>4.9460325602273718</v>
      </c>
      <c r="BI8" s="52">
        <f t="shared" si="18"/>
        <v>4.9460325602273718</v>
      </c>
      <c r="BJ8" s="52">
        <f t="shared" si="18"/>
        <v>4.9460325602273718</v>
      </c>
      <c r="BK8" s="52">
        <f t="shared" si="18"/>
        <v>4.9460325602273718</v>
      </c>
      <c r="BL8" s="52">
        <f t="shared" si="18"/>
        <v>4.9460325602273718</v>
      </c>
      <c r="BM8" s="52">
        <f t="shared" si="18"/>
        <v>4.9460325602273718</v>
      </c>
      <c r="BN8" s="52">
        <f t="shared" si="18"/>
        <v>4.9460325602273718</v>
      </c>
      <c r="BO8" s="52">
        <f t="shared" si="18"/>
        <v>4.9460325602273718</v>
      </c>
      <c r="BP8" s="52">
        <f t="shared" si="18"/>
        <v>4.9460325602273718</v>
      </c>
      <c r="BQ8" s="52">
        <f t="shared" si="18"/>
        <v>4.9460325602273718</v>
      </c>
      <c r="BR8" s="52">
        <f t="shared" si="18"/>
        <v>4.9460325602273718</v>
      </c>
      <c r="BS8" s="52">
        <f t="shared" si="18"/>
        <v>4.9460325602273718</v>
      </c>
      <c r="BT8" s="52">
        <f t="shared" si="18"/>
        <v>4.9460325602273718</v>
      </c>
      <c r="BU8" s="52">
        <f t="shared" si="20" ref="BU8:CK8">+BT8</f>
        <v>4.9460325602273718</v>
      </c>
      <c r="BV8" s="52">
        <f t="shared" si="20"/>
        <v>4.9460325602273718</v>
      </c>
      <c r="BW8" s="52">
        <f t="shared" si="20"/>
        <v>4.9460325602273718</v>
      </c>
      <c r="BX8" s="52">
        <f t="shared" si="20"/>
        <v>4.9460325602273718</v>
      </c>
      <c r="BY8" s="52">
        <f t="shared" si="20"/>
        <v>4.9460325602273718</v>
      </c>
      <c r="BZ8" s="52">
        <f t="shared" si="20"/>
        <v>4.9460325602273718</v>
      </c>
      <c r="CA8" s="52">
        <f t="shared" si="20"/>
        <v>4.9460325602273718</v>
      </c>
      <c r="CB8" s="52">
        <f t="shared" si="20"/>
        <v>4.9460325602273718</v>
      </c>
      <c r="CC8" s="52">
        <f t="shared" si="20"/>
        <v>4.9460325602273718</v>
      </c>
      <c r="CD8" s="52">
        <f t="shared" si="20"/>
        <v>4.9460325602273718</v>
      </c>
      <c r="CE8" s="52">
        <f t="shared" si="20"/>
        <v>4.9460325602273718</v>
      </c>
      <c r="CF8" s="52">
        <f t="shared" si="20"/>
        <v>4.9460325602273718</v>
      </c>
      <c r="CG8" s="52">
        <f t="shared" si="20"/>
        <v>4.9460325602273718</v>
      </c>
      <c r="CH8" s="52">
        <f t="shared" si="20"/>
        <v>4.9460325602273718</v>
      </c>
      <c r="CI8" s="52">
        <f t="shared" si="20"/>
        <v>4.9460325602273718</v>
      </c>
      <c r="CJ8" s="52">
        <f t="shared" si="20"/>
        <v>4.9460325602273718</v>
      </c>
      <c r="CK8" s="52">
        <f t="shared" si="20"/>
        <v>4.9460325602273718</v>
      </c>
    </row>
    <row r="9" spans="3:89" ht="14.4">
      <c r="C9" t="s">
        <v>6</v>
      </c>
      <c r="D9" t="str">
        <f>_xlfn.TEXTJOIN(",",TRUE,Regions!$C$3,Regions!$D$3)</f>
        <v>IE,National</v>
      </c>
      <c r="E9" t="s">
        <v>21</v>
      </c>
      <c r="F9" s="34"/>
      <c r="G9" s="51">
        <f t="shared" si="4"/>
        <v>2.3999999999999999</v>
      </c>
      <c r="H9" s="52">
        <f t="shared" si="0"/>
        <v>2.3999999999999999</v>
      </c>
      <c r="I9" s="52">
        <f t="shared" si="21" ref="I9:BT9">+H9</f>
        <v>2.3999999999999999</v>
      </c>
      <c r="J9" s="52">
        <f t="shared" si="21"/>
        <v>2.3999999999999999</v>
      </c>
      <c r="K9" s="52">
        <f t="shared" si="6"/>
        <v>2.472</v>
      </c>
      <c r="L9" s="52">
        <f>+$G9*S$78/$N78</f>
        <v>2.4014329876959208</v>
      </c>
      <c r="M9" s="52">
        <f t="shared" si="22" ref="M9:AM9">+$G9*T$78/$N78</f>
        <v>2.4964231464055207</v>
      </c>
      <c r="N9" s="52">
        <f t="shared" si="22"/>
        <v>2.5951706992618258</v>
      </c>
      <c r="O9" s="52">
        <f t="shared" si="22"/>
        <v>2.6978242723011072</v>
      </c>
      <c r="P9" s="52">
        <f t="shared" si="22"/>
        <v>2.6982282200247019</v>
      </c>
      <c r="Q9" s="52">
        <f t="shared" si="22"/>
        <v>2.6986322282317614</v>
      </c>
      <c r="R9" s="52">
        <f t="shared" si="22"/>
        <v>2.6990362969313448</v>
      </c>
      <c r="S9" s="52">
        <f t="shared" si="22"/>
        <v>2.6994404261325076</v>
      </c>
      <c r="T9" s="52">
        <f t="shared" si="22"/>
        <v>2.6998446158443095</v>
      </c>
      <c r="U9" s="52">
        <f t="shared" si="22"/>
        <v>2.7237438273156545</v>
      </c>
      <c r="V9" s="52">
        <f t="shared" si="22"/>
        <v>2.7478545962616776</v>
      </c>
      <c r="W9" s="52">
        <f t="shared" si="22"/>
        <v>2.7721787954037924</v>
      </c>
      <c r="X9" s="52">
        <f t="shared" si="22"/>
        <v>2.7967183140408731</v>
      </c>
      <c r="Y9" s="52">
        <f t="shared" si="22"/>
        <v>2.8214750581959969</v>
      </c>
      <c r="Z9" s="52">
        <f t="shared" si="22"/>
        <v>2.8404002570185094</v>
      </c>
      <c r="AA9" s="52">
        <f t="shared" si="22"/>
        <v>2.8594523976509212</v>
      </c>
      <c r="AB9" s="52">
        <f t="shared" si="22"/>
        <v>2.8786323315623896</v>
      </c>
      <c r="AC9" s="52">
        <f t="shared" si="22"/>
        <v>2.8979409159333476</v>
      </c>
      <c r="AD9" s="52">
        <f t="shared" si="22"/>
        <v>2.9173790136938149</v>
      </c>
      <c r="AE9" s="52">
        <f t="shared" si="22"/>
        <v>2.9326434906857846</v>
      </c>
      <c r="AF9" s="52">
        <f t="shared" si="22"/>
        <v>2.9479878353455287</v>
      </c>
      <c r="AG9" s="52">
        <f t="shared" si="22"/>
        <v>2.9634124655612175</v>
      </c>
      <c r="AH9" s="52">
        <f t="shared" si="22"/>
        <v>2.9789178014075191</v>
      </c>
      <c r="AI9" s="52">
        <f t="shared" si="22"/>
        <v>2.9945042651570408</v>
      </c>
      <c r="AJ9" s="52">
        <f t="shared" si="22"/>
        <v>3.010219426562093</v>
      </c>
      <c r="AK9" s="52">
        <f t="shared" si="22"/>
        <v>3.0260170611500565</v>
      </c>
      <c r="AL9" s="52">
        <f t="shared" si="22"/>
        <v>3.0418976017402768</v>
      </c>
      <c r="AM9" s="52">
        <f t="shared" si="22"/>
        <v>3.0578614834235394</v>
      </c>
      <c r="AN9" s="52">
        <f t="shared" si="21"/>
        <v>3.0578614834235394</v>
      </c>
      <c r="AO9" s="52">
        <f t="shared" si="21"/>
        <v>3.0578614834235394</v>
      </c>
      <c r="AP9" s="52">
        <f t="shared" si="21"/>
        <v>3.0578614834235394</v>
      </c>
      <c r="AQ9" s="52">
        <f t="shared" si="21"/>
        <v>3.0578614834235394</v>
      </c>
      <c r="AR9" s="52">
        <f t="shared" si="21"/>
        <v>3.0578614834235394</v>
      </c>
      <c r="AS9" s="52">
        <f t="shared" si="21"/>
        <v>3.0578614834235394</v>
      </c>
      <c r="AT9" s="52">
        <f t="shared" si="21"/>
        <v>3.0578614834235394</v>
      </c>
      <c r="AU9" s="52">
        <f t="shared" si="21"/>
        <v>3.0578614834235394</v>
      </c>
      <c r="AV9" s="52">
        <f t="shared" si="21"/>
        <v>3.0578614834235394</v>
      </c>
      <c r="AW9" s="52">
        <f t="shared" si="21"/>
        <v>3.0578614834235394</v>
      </c>
      <c r="AX9" s="52">
        <f t="shared" si="21"/>
        <v>3.0578614834235394</v>
      </c>
      <c r="AY9" s="52">
        <f t="shared" si="21"/>
        <v>3.0578614834235394</v>
      </c>
      <c r="AZ9" s="52">
        <f t="shared" si="21"/>
        <v>3.0578614834235394</v>
      </c>
      <c r="BA9" s="52">
        <f t="shared" si="21"/>
        <v>3.0578614834235394</v>
      </c>
      <c r="BB9" s="52">
        <f t="shared" si="21"/>
        <v>3.0578614834235394</v>
      </c>
      <c r="BC9" s="52">
        <f t="shared" si="21"/>
        <v>3.0578614834235394</v>
      </c>
      <c r="BD9" s="52">
        <f t="shared" si="21"/>
        <v>3.0578614834235394</v>
      </c>
      <c r="BE9" s="52">
        <f t="shared" si="21"/>
        <v>3.0578614834235394</v>
      </c>
      <c r="BF9" s="52">
        <f t="shared" si="21"/>
        <v>3.0578614834235394</v>
      </c>
      <c r="BG9" s="52">
        <f t="shared" si="21"/>
        <v>3.0578614834235394</v>
      </c>
      <c r="BH9" s="52">
        <f t="shared" si="21"/>
        <v>3.0578614834235394</v>
      </c>
      <c r="BI9" s="52">
        <f t="shared" si="21"/>
        <v>3.0578614834235394</v>
      </c>
      <c r="BJ9" s="52">
        <f t="shared" si="21"/>
        <v>3.0578614834235394</v>
      </c>
      <c r="BK9" s="52">
        <f t="shared" si="21"/>
        <v>3.0578614834235394</v>
      </c>
      <c r="BL9" s="52">
        <f t="shared" si="21"/>
        <v>3.0578614834235394</v>
      </c>
      <c r="BM9" s="52">
        <f t="shared" si="21"/>
        <v>3.0578614834235394</v>
      </c>
      <c r="BN9" s="52">
        <f t="shared" si="21"/>
        <v>3.0578614834235394</v>
      </c>
      <c r="BO9" s="52">
        <f t="shared" si="21"/>
        <v>3.0578614834235394</v>
      </c>
      <c r="BP9" s="52">
        <f t="shared" si="21"/>
        <v>3.0578614834235394</v>
      </c>
      <c r="BQ9" s="52">
        <f t="shared" si="21"/>
        <v>3.0578614834235394</v>
      </c>
      <c r="BR9" s="52">
        <f t="shared" si="21"/>
        <v>3.0578614834235394</v>
      </c>
      <c r="BS9" s="52">
        <f t="shared" si="21"/>
        <v>3.0578614834235394</v>
      </c>
      <c r="BT9" s="52">
        <f t="shared" si="21"/>
        <v>3.0578614834235394</v>
      </c>
      <c r="BU9" s="52">
        <f t="shared" si="23" ref="BU9:CK9">+BT9</f>
        <v>3.0578614834235394</v>
      </c>
      <c r="BV9" s="52">
        <f t="shared" si="23"/>
        <v>3.0578614834235394</v>
      </c>
      <c r="BW9" s="52">
        <f t="shared" si="23"/>
        <v>3.0578614834235394</v>
      </c>
      <c r="BX9" s="52">
        <f t="shared" si="23"/>
        <v>3.0578614834235394</v>
      </c>
      <c r="BY9" s="52">
        <f t="shared" si="23"/>
        <v>3.0578614834235394</v>
      </c>
      <c r="BZ9" s="52">
        <f t="shared" si="23"/>
        <v>3.0578614834235394</v>
      </c>
      <c r="CA9" s="52">
        <f t="shared" si="23"/>
        <v>3.0578614834235394</v>
      </c>
      <c r="CB9" s="52">
        <f t="shared" si="23"/>
        <v>3.0578614834235394</v>
      </c>
      <c r="CC9" s="52">
        <f t="shared" si="23"/>
        <v>3.0578614834235394</v>
      </c>
      <c r="CD9" s="52">
        <f t="shared" si="23"/>
        <v>3.0578614834235394</v>
      </c>
      <c r="CE9" s="52">
        <f t="shared" si="23"/>
        <v>3.0578614834235394</v>
      </c>
      <c r="CF9" s="52">
        <f t="shared" si="23"/>
        <v>3.0578614834235394</v>
      </c>
      <c r="CG9" s="52">
        <f t="shared" si="23"/>
        <v>3.0578614834235394</v>
      </c>
      <c r="CH9" s="52">
        <f t="shared" si="23"/>
        <v>3.0578614834235394</v>
      </c>
      <c r="CI9" s="52">
        <f t="shared" si="23"/>
        <v>3.0578614834235394</v>
      </c>
      <c r="CJ9" s="52">
        <f t="shared" si="23"/>
        <v>3.0578614834235394</v>
      </c>
      <c r="CK9" s="52">
        <f t="shared" si="23"/>
        <v>3.0578614834235394</v>
      </c>
    </row>
    <row r="10" spans="3:89" ht="14.4">
      <c r="C10" t="s">
        <v>6</v>
      </c>
      <c r="D10" t="str">
        <f>_xlfn.TEXTJOIN(",",TRUE,Regions!$C$3,Regions!$D$3)</f>
        <v>IE,National</v>
      </c>
      <c r="E10" t="s">
        <v>13</v>
      </c>
      <c r="F10" s="34"/>
      <c r="G10" s="51">
        <f t="shared" si="4"/>
        <v>5</v>
      </c>
      <c r="H10" s="52">
        <f t="shared" si="0"/>
        <v>5</v>
      </c>
      <c r="I10" s="52">
        <f t="shared" si="24" ref="I10:BT10">+H10</f>
        <v>5</v>
      </c>
      <c r="J10" s="52">
        <f t="shared" si="24"/>
        <v>5</v>
      </c>
      <c r="K10" s="52">
        <f t="shared" si="6"/>
        <v>5.1500000000000004</v>
      </c>
      <c r="L10" s="52">
        <f>+$G10*S$74/$N74</f>
        <v>4.2303722533509482</v>
      </c>
      <c r="M10" s="52">
        <f t="shared" si="25" ref="M10:AM10">+$G10*T$74/$N74</f>
        <v>4.2645731618322751</v>
      </c>
      <c r="N10" s="52">
        <f t="shared" si="25"/>
        <v>4.2996166941216352</v>
      </c>
      <c r="O10" s="52">
        <f t="shared" si="25"/>
        <v>4.3355244485310855</v>
      </c>
      <c r="P10" s="52">
        <f t="shared" si="25"/>
        <v>4.3723180459540592</v>
      </c>
      <c r="Q10" s="52">
        <f t="shared" si="25"/>
        <v>4.4100202022366268</v>
      </c>
      <c r="R10" s="52">
        <f t="shared" si="25"/>
        <v>4.4486519581967618</v>
      </c>
      <c r="S10" s="52">
        <f t="shared" si="25"/>
        <v>4.4882380993210029</v>
      </c>
      <c r="T10" s="52">
        <f t="shared" si="25"/>
        <v>4.5288011255055558</v>
      </c>
      <c r="U10" s="52">
        <f t="shared" si="25"/>
        <v>4.5703660797006149</v>
      </c>
      <c r="V10" s="52">
        <f t="shared" si="25"/>
        <v>4.6129583289118976</v>
      </c>
      <c r="W10" s="52">
        <f t="shared" si="25"/>
        <v>4.6566040502661403</v>
      </c>
      <c r="X10" s="52">
        <f t="shared" si="25"/>
        <v>4.7013286281576416</v>
      </c>
      <c r="Y10" s="52">
        <f t="shared" si="25"/>
        <v>4.7471592241550091</v>
      </c>
      <c r="Z10" s="52">
        <f t="shared" si="25"/>
        <v>4.7941241761988289</v>
      </c>
      <c r="AA10" s="52">
        <f t="shared" si="25"/>
        <v>4.8422514162202042</v>
      </c>
      <c r="AB10" s="52">
        <f t="shared" si="25"/>
        <v>4.8915699622044899</v>
      </c>
      <c r="AC10" s="52">
        <f t="shared" si="25"/>
        <v>4.9421098508620753</v>
      </c>
      <c r="AD10" s="52">
        <f t="shared" si="25"/>
        <v>4.9939015799381545</v>
      </c>
      <c r="AE10" s="52">
        <f t="shared" si="25"/>
        <v>5.0469765523058294</v>
      </c>
      <c r="AF10" s="52">
        <f t="shared" si="25"/>
        <v>5.1013670136918599</v>
      </c>
      <c r="AG10" s="52">
        <f t="shared" si="25"/>
        <v>5.1571059921252713</v>
      </c>
      <c r="AH10" s="52">
        <f t="shared" si="25"/>
        <v>5.21422676232919</v>
      </c>
      <c r="AI10" s="52">
        <f t="shared" si="25"/>
        <v>5.2727646992774773</v>
      </c>
      <c r="AJ10" s="52">
        <f t="shared" si="25"/>
        <v>5.3327548199634851</v>
      </c>
      <c r="AK10" s="52">
        <f t="shared" si="25"/>
        <v>5.3942345601436008</v>
      </c>
      <c r="AL10" s="52">
        <f t="shared" si="25"/>
        <v>5.4572404154800118</v>
      </c>
      <c r="AM10" s="52">
        <f t="shared" si="25"/>
        <v>5.5218116117684151</v>
      </c>
      <c r="AN10" s="52">
        <f t="shared" si="24"/>
        <v>5.5218116117684151</v>
      </c>
      <c r="AO10" s="52">
        <f t="shared" si="24"/>
        <v>5.5218116117684151</v>
      </c>
      <c r="AP10" s="52">
        <f t="shared" si="24"/>
        <v>5.5218116117684151</v>
      </c>
      <c r="AQ10" s="52">
        <f t="shared" si="24"/>
        <v>5.5218116117684151</v>
      </c>
      <c r="AR10" s="52">
        <f t="shared" si="24"/>
        <v>5.5218116117684151</v>
      </c>
      <c r="AS10" s="52">
        <f t="shared" si="24"/>
        <v>5.5218116117684151</v>
      </c>
      <c r="AT10" s="52">
        <f t="shared" si="24"/>
        <v>5.5218116117684151</v>
      </c>
      <c r="AU10" s="52">
        <f t="shared" si="24"/>
        <v>5.5218116117684151</v>
      </c>
      <c r="AV10" s="52">
        <f t="shared" si="24"/>
        <v>5.5218116117684151</v>
      </c>
      <c r="AW10" s="52">
        <f t="shared" si="24"/>
        <v>5.5218116117684151</v>
      </c>
      <c r="AX10" s="52">
        <f t="shared" si="24"/>
        <v>5.5218116117684151</v>
      </c>
      <c r="AY10" s="52">
        <f t="shared" si="24"/>
        <v>5.5218116117684151</v>
      </c>
      <c r="AZ10" s="52">
        <f t="shared" si="24"/>
        <v>5.5218116117684151</v>
      </c>
      <c r="BA10" s="52">
        <f t="shared" si="24"/>
        <v>5.5218116117684151</v>
      </c>
      <c r="BB10" s="52">
        <f t="shared" si="24"/>
        <v>5.5218116117684151</v>
      </c>
      <c r="BC10" s="52">
        <f t="shared" si="24"/>
        <v>5.5218116117684151</v>
      </c>
      <c r="BD10" s="52">
        <f t="shared" si="24"/>
        <v>5.5218116117684151</v>
      </c>
      <c r="BE10" s="52">
        <f t="shared" si="24"/>
        <v>5.5218116117684151</v>
      </c>
      <c r="BF10" s="52">
        <f t="shared" si="24"/>
        <v>5.5218116117684151</v>
      </c>
      <c r="BG10" s="52">
        <f t="shared" si="24"/>
        <v>5.5218116117684151</v>
      </c>
      <c r="BH10" s="52">
        <f t="shared" si="24"/>
        <v>5.5218116117684151</v>
      </c>
      <c r="BI10" s="52">
        <f t="shared" si="24"/>
        <v>5.5218116117684151</v>
      </c>
      <c r="BJ10" s="52">
        <f t="shared" si="24"/>
        <v>5.5218116117684151</v>
      </c>
      <c r="BK10" s="52">
        <f t="shared" si="24"/>
        <v>5.5218116117684151</v>
      </c>
      <c r="BL10" s="52">
        <f t="shared" si="24"/>
        <v>5.5218116117684151</v>
      </c>
      <c r="BM10" s="52">
        <f t="shared" si="24"/>
        <v>5.5218116117684151</v>
      </c>
      <c r="BN10" s="52">
        <f t="shared" si="24"/>
        <v>5.5218116117684151</v>
      </c>
      <c r="BO10" s="52">
        <f t="shared" si="24"/>
        <v>5.5218116117684151</v>
      </c>
      <c r="BP10" s="52">
        <f t="shared" si="24"/>
        <v>5.5218116117684151</v>
      </c>
      <c r="BQ10" s="52">
        <f t="shared" si="24"/>
        <v>5.5218116117684151</v>
      </c>
      <c r="BR10" s="52">
        <f t="shared" si="24"/>
        <v>5.5218116117684151</v>
      </c>
      <c r="BS10" s="52">
        <f t="shared" si="24"/>
        <v>5.5218116117684151</v>
      </c>
      <c r="BT10" s="52">
        <f t="shared" si="24"/>
        <v>5.5218116117684151</v>
      </c>
      <c r="BU10" s="52">
        <f t="shared" si="26" ref="BU10:CK10">+BT10</f>
        <v>5.5218116117684151</v>
      </c>
      <c r="BV10" s="52">
        <f t="shared" si="26"/>
        <v>5.5218116117684151</v>
      </c>
      <c r="BW10" s="52">
        <f t="shared" si="26"/>
        <v>5.5218116117684151</v>
      </c>
      <c r="BX10" s="52">
        <f t="shared" si="26"/>
        <v>5.5218116117684151</v>
      </c>
      <c r="BY10" s="52">
        <f t="shared" si="26"/>
        <v>5.5218116117684151</v>
      </c>
      <c r="BZ10" s="52">
        <f t="shared" si="26"/>
        <v>5.5218116117684151</v>
      </c>
      <c r="CA10" s="52">
        <f t="shared" si="26"/>
        <v>5.5218116117684151</v>
      </c>
      <c r="CB10" s="52">
        <f t="shared" si="26"/>
        <v>5.5218116117684151</v>
      </c>
      <c r="CC10" s="52">
        <f t="shared" si="26"/>
        <v>5.5218116117684151</v>
      </c>
      <c r="CD10" s="52">
        <f t="shared" si="26"/>
        <v>5.5218116117684151</v>
      </c>
      <c r="CE10" s="52">
        <f t="shared" si="26"/>
        <v>5.5218116117684151</v>
      </c>
      <c r="CF10" s="52">
        <f t="shared" si="26"/>
        <v>5.5218116117684151</v>
      </c>
      <c r="CG10" s="52">
        <f t="shared" si="26"/>
        <v>5.5218116117684151</v>
      </c>
      <c r="CH10" s="52">
        <f t="shared" si="26"/>
        <v>5.5218116117684151</v>
      </c>
      <c r="CI10" s="52">
        <f t="shared" si="26"/>
        <v>5.5218116117684151</v>
      </c>
      <c r="CJ10" s="52">
        <f t="shared" si="26"/>
        <v>5.5218116117684151</v>
      </c>
      <c r="CK10" s="52">
        <f t="shared" si="26"/>
        <v>5.5218116117684151</v>
      </c>
    </row>
    <row r="11" spans="3:89" ht="14.4">
      <c r="C11" t="s">
        <v>6</v>
      </c>
      <c r="D11" t="str">
        <f>_xlfn.TEXTJOIN(",",TRUE,Regions!$C$3,Regions!$D$3)</f>
        <v>IE,National</v>
      </c>
      <c r="E11" s="89" t="s">
        <v>209</v>
      </c>
      <c r="F11" s="34"/>
      <c r="G11" s="51">
        <f t="shared" si="4"/>
        <v>23.439361110035826</v>
      </c>
      <c r="H11" s="52">
        <f t="shared" si="0"/>
        <v>23.439361110035826</v>
      </c>
      <c r="I11" s="52">
        <f t="shared" si="27" ref="I11:BT11">+H11</f>
        <v>23.439361110035826</v>
      </c>
      <c r="J11" s="52">
        <f t="shared" si="27"/>
        <v>23.439361110035826</v>
      </c>
      <c r="K11" s="52">
        <f t="shared" si="6"/>
        <v>24.142541943336902</v>
      </c>
      <c r="L11" s="52">
        <f>+$G11*S$83/$N83</f>
        <v>23.89677993089175</v>
      </c>
      <c r="M11" s="52">
        <f t="shared" si="28" ref="M11:AM11">+$G11*T$83/$N83</f>
        <v>24.359758817908968</v>
      </c>
      <c r="N11" s="52">
        <f t="shared" si="28"/>
        <v>24.799903204550571</v>
      </c>
      <c r="O11" s="52">
        <f t="shared" si="28"/>
        <v>25.21928402667999</v>
      </c>
      <c r="P11" s="52">
        <f t="shared" si="28"/>
        <v>25.617802424884566</v>
      </c>
      <c r="Q11" s="52">
        <f t="shared" si="28"/>
        <v>25.999656930304155</v>
      </c>
      <c r="R11" s="52">
        <f t="shared" si="28"/>
        <v>26.369438326292826</v>
      </c>
      <c r="S11" s="52">
        <f t="shared" si="28"/>
        <v>26.726106362752368</v>
      </c>
      <c r="T11" s="52">
        <f t="shared" si="28"/>
        <v>27.07195526291887</v>
      </c>
      <c r="U11" s="52">
        <f t="shared" si="28"/>
        <v>27.406007591034971</v>
      </c>
      <c r="V11" s="52">
        <f t="shared" si="28"/>
        <v>27.729816047880295</v>
      </c>
      <c r="W11" s="52">
        <f t="shared" si="28"/>
        <v>28.044083778675123</v>
      </c>
      <c r="X11" s="52">
        <f t="shared" si="28"/>
        <v>28.346829385826744</v>
      </c>
      <c r="Y11" s="52">
        <f t="shared" si="28"/>
        <v>28.636988321345804</v>
      </c>
      <c r="Z11" s="52">
        <f t="shared" si="28"/>
        <v>28.913366622097783</v>
      </c>
      <c r="AA11" s="52">
        <f t="shared" si="28"/>
        <v>29.175129865186012</v>
      </c>
      <c r="AB11" s="52">
        <f t="shared" si="28"/>
        <v>29.420020642866241</v>
      </c>
      <c r="AC11" s="52">
        <f t="shared" si="28"/>
        <v>29.646626130500554</v>
      </c>
      <c r="AD11" s="52">
        <f t="shared" si="28"/>
        <v>29.854140161216041</v>
      </c>
      <c r="AE11" s="52">
        <f t="shared" si="28"/>
        <v>30.040839052089453</v>
      </c>
      <c r="AF11" s="52">
        <f t="shared" si="28"/>
        <v>30.204537944898696</v>
      </c>
      <c r="AG11" s="52">
        <f t="shared" si="28"/>
        <v>30.341104191037129</v>
      </c>
      <c r="AH11" s="52">
        <f t="shared" si="28"/>
        <v>30.449151957445075</v>
      </c>
      <c r="AI11" s="52">
        <f t="shared" si="28"/>
        <v>30.527774496114802</v>
      </c>
      <c r="AJ11" s="52">
        <f t="shared" si="28"/>
        <v>30.57494443382868</v>
      </c>
      <c r="AK11" s="52">
        <f t="shared" si="28"/>
        <v>30.589147434774585</v>
      </c>
      <c r="AL11" s="52">
        <f t="shared" si="28"/>
        <v>30.567160824561149</v>
      </c>
      <c r="AM11" s="52">
        <f t="shared" si="28"/>
        <v>30.508379800306422</v>
      </c>
      <c r="AN11" s="52">
        <f t="shared" si="27"/>
        <v>30.508379800306422</v>
      </c>
      <c r="AO11" s="52">
        <f t="shared" si="27"/>
        <v>30.508379800306422</v>
      </c>
      <c r="AP11" s="52">
        <f t="shared" si="27"/>
        <v>30.508379800306422</v>
      </c>
      <c r="AQ11" s="52">
        <f t="shared" si="27"/>
        <v>30.508379800306422</v>
      </c>
      <c r="AR11" s="52">
        <f t="shared" si="27"/>
        <v>30.508379800306422</v>
      </c>
      <c r="AS11" s="52">
        <f t="shared" si="27"/>
        <v>30.508379800306422</v>
      </c>
      <c r="AT11" s="52">
        <f t="shared" si="27"/>
        <v>30.508379800306422</v>
      </c>
      <c r="AU11" s="52">
        <f t="shared" si="27"/>
        <v>30.508379800306422</v>
      </c>
      <c r="AV11" s="52">
        <f t="shared" si="27"/>
        <v>30.508379800306422</v>
      </c>
      <c r="AW11" s="52">
        <f t="shared" si="27"/>
        <v>30.508379800306422</v>
      </c>
      <c r="AX11" s="52">
        <f t="shared" si="27"/>
        <v>30.508379800306422</v>
      </c>
      <c r="AY11" s="52">
        <f t="shared" si="27"/>
        <v>30.508379800306422</v>
      </c>
      <c r="AZ11" s="52">
        <f t="shared" si="27"/>
        <v>30.508379800306422</v>
      </c>
      <c r="BA11" s="52">
        <f t="shared" si="27"/>
        <v>30.508379800306422</v>
      </c>
      <c r="BB11" s="52">
        <f t="shared" si="27"/>
        <v>30.508379800306422</v>
      </c>
      <c r="BC11" s="52">
        <f t="shared" si="27"/>
        <v>30.508379800306422</v>
      </c>
      <c r="BD11" s="52">
        <f t="shared" si="27"/>
        <v>30.508379800306422</v>
      </c>
      <c r="BE11" s="52">
        <f t="shared" si="27"/>
        <v>30.508379800306422</v>
      </c>
      <c r="BF11" s="52">
        <f t="shared" si="27"/>
        <v>30.508379800306422</v>
      </c>
      <c r="BG11" s="52">
        <f t="shared" si="27"/>
        <v>30.508379800306422</v>
      </c>
      <c r="BH11" s="52">
        <f t="shared" si="27"/>
        <v>30.508379800306422</v>
      </c>
      <c r="BI11" s="52">
        <f t="shared" si="27"/>
        <v>30.508379800306422</v>
      </c>
      <c r="BJ11" s="52">
        <f t="shared" si="27"/>
        <v>30.508379800306422</v>
      </c>
      <c r="BK11" s="52">
        <f t="shared" si="27"/>
        <v>30.508379800306422</v>
      </c>
      <c r="BL11" s="52">
        <f t="shared" si="27"/>
        <v>30.508379800306422</v>
      </c>
      <c r="BM11" s="52">
        <f t="shared" si="27"/>
        <v>30.508379800306422</v>
      </c>
      <c r="BN11" s="52">
        <f t="shared" si="27"/>
        <v>30.508379800306422</v>
      </c>
      <c r="BO11" s="52">
        <f t="shared" si="27"/>
        <v>30.508379800306422</v>
      </c>
      <c r="BP11" s="52">
        <f t="shared" si="27"/>
        <v>30.508379800306422</v>
      </c>
      <c r="BQ11" s="52">
        <f t="shared" si="27"/>
        <v>30.508379800306422</v>
      </c>
      <c r="BR11" s="52">
        <f t="shared" si="27"/>
        <v>30.508379800306422</v>
      </c>
      <c r="BS11" s="52">
        <f t="shared" si="27"/>
        <v>30.508379800306422</v>
      </c>
      <c r="BT11" s="52">
        <f t="shared" si="27"/>
        <v>30.508379800306422</v>
      </c>
      <c r="BU11" s="52">
        <f t="shared" si="29" ref="BU11:CK11">+BT11</f>
        <v>30.508379800306422</v>
      </c>
      <c r="BV11" s="52">
        <f t="shared" si="29"/>
        <v>30.508379800306422</v>
      </c>
      <c r="BW11" s="52">
        <f t="shared" si="29"/>
        <v>30.508379800306422</v>
      </c>
      <c r="BX11" s="52">
        <f t="shared" si="29"/>
        <v>30.508379800306422</v>
      </c>
      <c r="BY11" s="52">
        <f t="shared" si="29"/>
        <v>30.508379800306422</v>
      </c>
      <c r="BZ11" s="52">
        <f t="shared" si="29"/>
        <v>30.508379800306422</v>
      </c>
      <c r="CA11" s="52">
        <f t="shared" si="29"/>
        <v>30.508379800306422</v>
      </c>
      <c r="CB11" s="52">
        <f t="shared" si="29"/>
        <v>30.508379800306422</v>
      </c>
      <c r="CC11" s="52">
        <f t="shared" si="29"/>
        <v>30.508379800306422</v>
      </c>
      <c r="CD11" s="52">
        <f t="shared" si="29"/>
        <v>30.508379800306422</v>
      </c>
      <c r="CE11" s="52">
        <f t="shared" si="29"/>
        <v>30.508379800306422</v>
      </c>
      <c r="CF11" s="52">
        <f t="shared" si="29"/>
        <v>30.508379800306422</v>
      </c>
      <c r="CG11" s="52">
        <f t="shared" si="29"/>
        <v>30.508379800306422</v>
      </c>
      <c r="CH11" s="52">
        <f t="shared" si="29"/>
        <v>30.508379800306422</v>
      </c>
      <c r="CI11" s="52">
        <f t="shared" si="29"/>
        <v>30.508379800306422</v>
      </c>
      <c r="CJ11" s="52">
        <f t="shared" si="29"/>
        <v>30.508379800306422</v>
      </c>
      <c r="CK11" s="52">
        <f t="shared" si="29"/>
        <v>30.508379800306422</v>
      </c>
    </row>
    <row r="12" spans="3:89" ht="14.4">
      <c r="C12" t="s">
        <v>6</v>
      </c>
      <c r="D12" t="str">
        <f>_xlfn.TEXTJOIN(",",TRUE,Regions!$C$3,Regions!$D$3)</f>
        <v>IE,National</v>
      </c>
      <c r="E12" s="89" t="s">
        <v>210</v>
      </c>
      <c r="F12" s="34"/>
      <c r="G12" s="51">
        <f t="shared" si="4"/>
        <v>0</v>
      </c>
      <c r="H12" s="52">
        <f t="shared" si="0"/>
        <v>0</v>
      </c>
      <c r="I12" s="52">
        <f t="shared" si="30" ref="I12:BT12">+H12</f>
        <v>0</v>
      </c>
      <c r="J12" s="52">
        <f t="shared" si="30"/>
        <v>0</v>
      </c>
      <c r="K12" s="52">
        <f t="shared" si="6"/>
        <v>0</v>
      </c>
      <c r="L12" s="52">
        <f>+$G12*S$87/$N78</f>
        <v>0</v>
      </c>
      <c r="M12" s="52">
        <f t="shared" si="31" ref="M12:AM12">+$G12*T$87/$N78</f>
        <v>0</v>
      </c>
      <c r="N12" s="52">
        <f t="shared" si="31"/>
        <v>0</v>
      </c>
      <c r="O12" s="52">
        <f t="shared" si="31"/>
        <v>0</v>
      </c>
      <c r="P12" s="52">
        <f t="shared" si="31"/>
        <v>0</v>
      </c>
      <c r="Q12" s="52">
        <f t="shared" si="31"/>
        <v>0</v>
      </c>
      <c r="R12" s="52">
        <f t="shared" si="31"/>
        <v>0</v>
      </c>
      <c r="S12" s="52">
        <f t="shared" si="31"/>
        <v>0</v>
      </c>
      <c r="T12" s="52">
        <f t="shared" si="31"/>
        <v>0</v>
      </c>
      <c r="U12" s="52">
        <f t="shared" si="31"/>
        <v>0</v>
      </c>
      <c r="V12" s="52">
        <f t="shared" si="31"/>
        <v>0</v>
      </c>
      <c r="W12" s="52">
        <f t="shared" si="31"/>
        <v>0</v>
      </c>
      <c r="X12" s="52">
        <f t="shared" si="31"/>
        <v>0</v>
      </c>
      <c r="Y12" s="52">
        <f t="shared" si="31"/>
        <v>0</v>
      </c>
      <c r="Z12" s="52">
        <f t="shared" si="31"/>
        <v>0</v>
      </c>
      <c r="AA12" s="52">
        <f t="shared" si="31"/>
        <v>0</v>
      </c>
      <c r="AB12" s="52">
        <f t="shared" si="31"/>
        <v>0</v>
      </c>
      <c r="AC12" s="52">
        <f t="shared" si="31"/>
        <v>0</v>
      </c>
      <c r="AD12" s="52">
        <f t="shared" si="31"/>
        <v>0</v>
      </c>
      <c r="AE12" s="52">
        <f t="shared" si="31"/>
        <v>0</v>
      </c>
      <c r="AF12" s="52">
        <f t="shared" si="31"/>
        <v>0</v>
      </c>
      <c r="AG12" s="52">
        <f t="shared" si="31"/>
        <v>0</v>
      </c>
      <c r="AH12" s="52">
        <f t="shared" si="31"/>
        <v>0</v>
      </c>
      <c r="AI12" s="52">
        <f t="shared" si="31"/>
        <v>0</v>
      </c>
      <c r="AJ12" s="52">
        <f t="shared" si="31"/>
        <v>0</v>
      </c>
      <c r="AK12" s="52">
        <f t="shared" si="31"/>
        <v>0</v>
      </c>
      <c r="AL12" s="52">
        <f t="shared" si="31"/>
        <v>0</v>
      </c>
      <c r="AM12" s="52">
        <f t="shared" si="31"/>
        <v>0</v>
      </c>
      <c r="AN12" s="52">
        <f t="shared" si="30"/>
        <v>0</v>
      </c>
      <c r="AO12" s="52">
        <f t="shared" si="30"/>
        <v>0</v>
      </c>
      <c r="AP12" s="52">
        <f t="shared" si="30"/>
        <v>0</v>
      </c>
      <c r="AQ12" s="52">
        <f t="shared" si="30"/>
        <v>0</v>
      </c>
      <c r="AR12" s="52">
        <f t="shared" si="30"/>
        <v>0</v>
      </c>
      <c r="AS12" s="52">
        <f t="shared" si="30"/>
        <v>0</v>
      </c>
      <c r="AT12" s="52">
        <f t="shared" si="30"/>
        <v>0</v>
      </c>
      <c r="AU12" s="52">
        <f t="shared" si="30"/>
        <v>0</v>
      </c>
      <c r="AV12" s="52">
        <f t="shared" si="30"/>
        <v>0</v>
      </c>
      <c r="AW12" s="52">
        <f t="shared" si="30"/>
        <v>0</v>
      </c>
      <c r="AX12" s="52">
        <f t="shared" si="30"/>
        <v>0</v>
      </c>
      <c r="AY12" s="52">
        <f t="shared" si="30"/>
        <v>0</v>
      </c>
      <c r="AZ12" s="52">
        <f t="shared" si="30"/>
        <v>0</v>
      </c>
      <c r="BA12" s="52">
        <f t="shared" si="30"/>
        <v>0</v>
      </c>
      <c r="BB12" s="52">
        <f t="shared" si="30"/>
        <v>0</v>
      </c>
      <c r="BC12" s="52">
        <f t="shared" si="30"/>
        <v>0</v>
      </c>
      <c r="BD12" s="52">
        <f t="shared" si="30"/>
        <v>0</v>
      </c>
      <c r="BE12" s="52">
        <f t="shared" si="30"/>
        <v>0</v>
      </c>
      <c r="BF12" s="52">
        <f t="shared" si="30"/>
        <v>0</v>
      </c>
      <c r="BG12" s="52">
        <f t="shared" si="30"/>
        <v>0</v>
      </c>
      <c r="BH12" s="52">
        <f t="shared" si="30"/>
        <v>0</v>
      </c>
      <c r="BI12" s="52">
        <f t="shared" si="30"/>
        <v>0</v>
      </c>
      <c r="BJ12" s="52">
        <f t="shared" si="30"/>
        <v>0</v>
      </c>
      <c r="BK12" s="52">
        <f t="shared" si="30"/>
        <v>0</v>
      </c>
      <c r="BL12" s="52">
        <f t="shared" si="30"/>
        <v>0</v>
      </c>
      <c r="BM12" s="52">
        <f t="shared" si="30"/>
        <v>0</v>
      </c>
      <c r="BN12" s="52">
        <f t="shared" si="30"/>
        <v>0</v>
      </c>
      <c r="BO12" s="52">
        <f t="shared" si="30"/>
        <v>0</v>
      </c>
      <c r="BP12" s="52">
        <f t="shared" si="30"/>
        <v>0</v>
      </c>
      <c r="BQ12" s="52">
        <f t="shared" si="30"/>
        <v>0</v>
      </c>
      <c r="BR12" s="52">
        <f t="shared" si="30"/>
        <v>0</v>
      </c>
      <c r="BS12" s="52">
        <f t="shared" si="30"/>
        <v>0</v>
      </c>
      <c r="BT12" s="52">
        <f t="shared" si="30"/>
        <v>0</v>
      </c>
      <c r="BU12" s="52">
        <f t="shared" si="32" ref="BU12:CK12">+BT12</f>
        <v>0</v>
      </c>
      <c r="BV12" s="52">
        <f t="shared" si="32"/>
        <v>0</v>
      </c>
      <c r="BW12" s="52">
        <f t="shared" si="32"/>
        <v>0</v>
      </c>
      <c r="BX12" s="52">
        <f t="shared" si="32"/>
        <v>0</v>
      </c>
      <c r="BY12" s="52">
        <f t="shared" si="32"/>
        <v>0</v>
      </c>
      <c r="BZ12" s="52">
        <f t="shared" si="32"/>
        <v>0</v>
      </c>
      <c r="CA12" s="52">
        <f t="shared" si="32"/>
        <v>0</v>
      </c>
      <c r="CB12" s="52">
        <f t="shared" si="32"/>
        <v>0</v>
      </c>
      <c r="CC12" s="52">
        <f t="shared" si="32"/>
        <v>0</v>
      </c>
      <c r="CD12" s="52">
        <f t="shared" si="32"/>
        <v>0</v>
      </c>
      <c r="CE12" s="52">
        <f t="shared" si="32"/>
        <v>0</v>
      </c>
      <c r="CF12" s="52">
        <f t="shared" si="32"/>
        <v>0</v>
      </c>
      <c r="CG12" s="52">
        <f t="shared" si="32"/>
        <v>0</v>
      </c>
      <c r="CH12" s="52">
        <f t="shared" si="32"/>
        <v>0</v>
      </c>
      <c r="CI12" s="52">
        <f t="shared" si="32"/>
        <v>0</v>
      </c>
      <c r="CJ12" s="52">
        <f t="shared" si="32"/>
        <v>0</v>
      </c>
      <c r="CK12" s="52">
        <f t="shared" si="32"/>
        <v>0</v>
      </c>
    </row>
    <row r="13" spans="3:89" ht="14.4">
      <c r="C13" t="s">
        <v>6</v>
      </c>
      <c r="D13" t="str">
        <f>_xlfn.TEXTJOIN(",",TRUE,Regions!$C$3,Regions!$D$3)</f>
        <v>IE,National</v>
      </c>
      <c r="E13" t="s">
        <v>27</v>
      </c>
      <c r="F13" s="34" t="s">
        <v>28</v>
      </c>
      <c r="G13" s="51">
        <f>VLOOKUP(E13,'BY-Demands'!$I$6:$J$42,2,FALSE)</f>
        <v>0</v>
      </c>
      <c r="H13" s="52">
        <f t="shared" si="0"/>
        <v>0</v>
      </c>
      <c r="I13" s="52">
        <f t="shared" si="33" ref="I13:BT13">+H13</f>
        <v>0</v>
      </c>
      <c r="J13" s="52">
        <f t="shared" si="33"/>
        <v>0</v>
      </c>
      <c r="K13" s="52">
        <f t="shared" si="33"/>
        <v>0</v>
      </c>
      <c r="L13" s="52">
        <f t="shared" si="33"/>
        <v>0</v>
      </c>
      <c r="M13" s="52">
        <f t="shared" si="33"/>
        <v>0</v>
      </c>
      <c r="N13" s="52">
        <f t="shared" si="33"/>
        <v>0</v>
      </c>
      <c r="O13" s="52">
        <f t="shared" si="33"/>
        <v>0</v>
      </c>
      <c r="P13" s="52">
        <f t="shared" si="33"/>
        <v>0</v>
      </c>
      <c r="Q13" s="52">
        <f t="shared" si="33"/>
        <v>0</v>
      </c>
      <c r="R13" s="52">
        <f t="shared" si="33"/>
        <v>0</v>
      </c>
      <c r="S13" s="52">
        <f t="shared" si="33"/>
        <v>0</v>
      </c>
      <c r="T13" s="52">
        <f t="shared" si="33"/>
        <v>0</v>
      </c>
      <c r="U13" s="52">
        <f t="shared" si="33"/>
        <v>0</v>
      </c>
      <c r="V13" s="52">
        <f t="shared" si="33"/>
        <v>0</v>
      </c>
      <c r="W13" s="52">
        <f t="shared" si="33"/>
        <v>0</v>
      </c>
      <c r="X13" s="52">
        <f t="shared" si="33"/>
        <v>0</v>
      </c>
      <c r="Y13" s="52">
        <f t="shared" si="33"/>
        <v>0</v>
      </c>
      <c r="Z13" s="52">
        <f t="shared" si="33"/>
        <v>0</v>
      </c>
      <c r="AA13" s="52">
        <f t="shared" si="33"/>
        <v>0</v>
      </c>
      <c r="AB13" s="52">
        <f t="shared" si="33"/>
        <v>0</v>
      </c>
      <c r="AC13" s="52">
        <f t="shared" si="33"/>
        <v>0</v>
      </c>
      <c r="AD13" s="52">
        <f t="shared" si="33"/>
        <v>0</v>
      </c>
      <c r="AE13" s="52">
        <f t="shared" si="33"/>
        <v>0</v>
      </c>
      <c r="AF13" s="52">
        <f t="shared" si="33"/>
        <v>0</v>
      </c>
      <c r="AG13" s="52">
        <f t="shared" si="33"/>
        <v>0</v>
      </c>
      <c r="AH13" s="52">
        <f t="shared" si="33"/>
        <v>0</v>
      </c>
      <c r="AI13" s="52">
        <f t="shared" si="33"/>
        <v>0</v>
      </c>
      <c r="AJ13" s="52">
        <f t="shared" si="33"/>
        <v>0</v>
      </c>
      <c r="AK13" s="52">
        <f t="shared" si="33"/>
        <v>0</v>
      </c>
      <c r="AL13" s="52">
        <f t="shared" si="33"/>
        <v>0</v>
      </c>
      <c r="AM13" s="52">
        <f t="shared" si="33"/>
        <v>0</v>
      </c>
      <c r="AN13" s="52">
        <f t="shared" si="33"/>
        <v>0</v>
      </c>
      <c r="AO13" s="52">
        <f t="shared" si="33"/>
        <v>0</v>
      </c>
      <c r="AP13" s="52">
        <f t="shared" si="33"/>
        <v>0</v>
      </c>
      <c r="AQ13" s="52">
        <f t="shared" si="33"/>
        <v>0</v>
      </c>
      <c r="AR13" s="52">
        <f t="shared" si="33"/>
        <v>0</v>
      </c>
      <c r="AS13" s="52">
        <f t="shared" si="33"/>
        <v>0</v>
      </c>
      <c r="AT13" s="52">
        <f t="shared" si="33"/>
        <v>0</v>
      </c>
      <c r="AU13" s="52">
        <f t="shared" si="33"/>
        <v>0</v>
      </c>
      <c r="AV13" s="52">
        <f t="shared" si="33"/>
        <v>0</v>
      </c>
      <c r="AW13" s="52">
        <f t="shared" si="33"/>
        <v>0</v>
      </c>
      <c r="AX13" s="52">
        <f t="shared" si="33"/>
        <v>0</v>
      </c>
      <c r="AY13" s="52">
        <f t="shared" si="33"/>
        <v>0</v>
      </c>
      <c r="AZ13" s="52">
        <f t="shared" si="33"/>
        <v>0</v>
      </c>
      <c r="BA13" s="52">
        <f t="shared" si="33"/>
        <v>0</v>
      </c>
      <c r="BB13" s="52">
        <f t="shared" si="33"/>
        <v>0</v>
      </c>
      <c r="BC13" s="52">
        <f t="shared" si="33"/>
        <v>0</v>
      </c>
      <c r="BD13" s="52">
        <f t="shared" si="33"/>
        <v>0</v>
      </c>
      <c r="BE13" s="52">
        <f t="shared" si="33"/>
        <v>0</v>
      </c>
      <c r="BF13" s="52">
        <f t="shared" si="33"/>
        <v>0</v>
      </c>
      <c r="BG13" s="52">
        <f t="shared" si="33"/>
        <v>0</v>
      </c>
      <c r="BH13" s="52">
        <f t="shared" si="33"/>
        <v>0</v>
      </c>
      <c r="BI13" s="52">
        <f t="shared" si="33"/>
        <v>0</v>
      </c>
      <c r="BJ13" s="52">
        <f t="shared" si="33"/>
        <v>0</v>
      </c>
      <c r="BK13" s="52">
        <f t="shared" si="33"/>
        <v>0</v>
      </c>
      <c r="BL13" s="52">
        <f t="shared" si="33"/>
        <v>0</v>
      </c>
      <c r="BM13" s="52">
        <f t="shared" si="33"/>
        <v>0</v>
      </c>
      <c r="BN13" s="52">
        <f t="shared" si="33"/>
        <v>0</v>
      </c>
      <c r="BO13" s="52">
        <f t="shared" si="33"/>
        <v>0</v>
      </c>
      <c r="BP13" s="52">
        <f t="shared" si="33"/>
        <v>0</v>
      </c>
      <c r="BQ13" s="52">
        <f t="shared" si="33"/>
        <v>0</v>
      </c>
      <c r="BR13" s="52">
        <f t="shared" si="33"/>
        <v>0</v>
      </c>
      <c r="BS13" s="52">
        <f t="shared" si="33"/>
        <v>0</v>
      </c>
      <c r="BT13" s="52">
        <f t="shared" si="33"/>
        <v>0</v>
      </c>
      <c r="BU13" s="52">
        <f t="shared" si="34" ref="BU13:CK13">+BT13</f>
        <v>0</v>
      </c>
      <c r="BV13" s="52">
        <f t="shared" si="34"/>
        <v>0</v>
      </c>
      <c r="BW13" s="52">
        <f t="shared" si="34"/>
        <v>0</v>
      </c>
      <c r="BX13" s="52">
        <f t="shared" si="34"/>
        <v>0</v>
      </c>
      <c r="BY13" s="52">
        <f t="shared" si="34"/>
        <v>0</v>
      </c>
      <c r="BZ13" s="52">
        <f t="shared" si="34"/>
        <v>0</v>
      </c>
      <c r="CA13" s="52">
        <f t="shared" si="34"/>
        <v>0</v>
      </c>
      <c r="CB13" s="52">
        <f t="shared" si="34"/>
        <v>0</v>
      </c>
      <c r="CC13" s="52">
        <f t="shared" si="34"/>
        <v>0</v>
      </c>
      <c r="CD13" s="52">
        <f t="shared" si="34"/>
        <v>0</v>
      </c>
      <c r="CE13" s="52">
        <f t="shared" si="34"/>
        <v>0</v>
      </c>
      <c r="CF13" s="52">
        <f t="shared" si="34"/>
        <v>0</v>
      </c>
      <c r="CG13" s="52">
        <f t="shared" si="34"/>
        <v>0</v>
      </c>
      <c r="CH13" s="52">
        <f t="shared" si="34"/>
        <v>0</v>
      </c>
      <c r="CI13" s="52">
        <f t="shared" si="34"/>
        <v>0</v>
      </c>
      <c r="CJ13" s="52">
        <f t="shared" si="34"/>
        <v>0</v>
      </c>
      <c r="CK13" s="52">
        <f t="shared" si="34"/>
        <v>0</v>
      </c>
    </row>
    <row r="14" spans="3:89" ht="14.4">
      <c r="C14" t="s">
        <v>6</v>
      </c>
      <c r="D14" t="str">
        <f>_xlfn.TEXTJOIN(",",TRUE,Regions!$C$3,Regions!$D$3)</f>
        <v>IE,National</v>
      </c>
      <c r="E14" t="s">
        <v>29</v>
      </c>
      <c r="F14" s="34" t="s">
        <v>30</v>
      </c>
      <c r="G14" s="51">
        <f>VLOOKUP(E14,'BY-Demands'!$I$6:$J$42,2,FALSE)</f>
        <v>0</v>
      </c>
      <c r="H14" s="52">
        <f t="shared" si="0"/>
        <v>0</v>
      </c>
      <c r="I14" s="52">
        <f t="shared" si="35" ref="I14:BT14">+H14</f>
        <v>0</v>
      </c>
      <c r="J14" s="52">
        <f t="shared" si="35"/>
        <v>0</v>
      </c>
      <c r="K14" s="52">
        <f t="shared" si="35"/>
        <v>0</v>
      </c>
      <c r="L14" s="52">
        <f t="shared" si="35"/>
        <v>0</v>
      </c>
      <c r="M14" s="52">
        <f t="shared" si="35"/>
        <v>0</v>
      </c>
      <c r="N14" s="52">
        <f t="shared" si="35"/>
        <v>0</v>
      </c>
      <c r="O14" s="52">
        <f t="shared" si="35"/>
        <v>0</v>
      </c>
      <c r="P14" s="52">
        <f t="shared" si="35"/>
        <v>0</v>
      </c>
      <c r="Q14" s="52">
        <f t="shared" si="35"/>
        <v>0</v>
      </c>
      <c r="R14" s="52">
        <f t="shared" si="35"/>
        <v>0</v>
      </c>
      <c r="S14" s="52">
        <f t="shared" si="35"/>
        <v>0</v>
      </c>
      <c r="T14" s="52">
        <f t="shared" si="35"/>
        <v>0</v>
      </c>
      <c r="U14" s="52">
        <f t="shared" si="35"/>
        <v>0</v>
      </c>
      <c r="V14" s="52">
        <f t="shared" si="35"/>
        <v>0</v>
      </c>
      <c r="W14" s="52">
        <f t="shared" si="35"/>
        <v>0</v>
      </c>
      <c r="X14" s="52">
        <f t="shared" si="35"/>
        <v>0</v>
      </c>
      <c r="Y14" s="52">
        <f t="shared" si="35"/>
        <v>0</v>
      </c>
      <c r="Z14" s="52">
        <f t="shared" si="35"/>
        <v>0</v>
      </c>
      <c r="AA14" s="52">
        <f t="shared" si="35"/>
        <v>0</v>
      </c>
      <c r="AB14" s="52">
        <f t="shared" si="35"/>
        <v>0</v>
      </c>
      <c r="AC14" s="52">
        <f t="shared" si="35"/>
        <v>0</v>
      </c>
      <c r="AD14" s="52">
        <f t="shared" si="35"/>
        <v>0</v>
      </c>
      <c r="AE14" s="52">
        <f t="shared" si="35"/>
        <v>0</v>
      </c>
      <c r="AF14" s="52">
        <f t="shared" si="35"/>
        <v>0</v>
      </c>
      <c r="AG14" s="52">
        <f t="shared" si="35"/>
        <v>0</v>
      </c>
      <c r="AH14" s="52">
        <f t="shared" si="35"/>
        <v>0</v>
      </c>
      <c r="AI14" s="52">
        <f t="shared" si="35"/>
        <v>0</v>
      </c>
      <c r="AJ14" s="52">
        <f t="shared" si="35"/>
        <v>0</v>
      </c>
      <c r="AK14" s="52">
        <f t="shared" si="35"/>
        <v>0</v>
      </c>
      <c r="AL14" s="52">
        <f t="shared" si="35"/>
        <v>0</v>
      </c>
      <c r="AM14" s="52">
        <f t="shared" si="35"/>
        <v>0</v>
      </c>
      <c r="AN14" s="52">
        <f t="shared" si="35"/>
        <v>0</v>
      </c>
      <c r="AO14" s="52">
        <f t="shared" si="35"/>
        <v>0</v>
      </c>
      <c r="AP14" s="52">
        <f t="shared" si="35"/>
        <v>0</v>
      </c>
      <c r="AQ14" s="52">
        <f t="shared" si="35"/>
        <v>0</v>
      </c>
      <c r="AR14" s="52">
        <f t="shared" si="35"/>
        <v>0</v>
      </c>
      <c r="AS14" s="52">
        <f t="shared" si="35"/>
        <v>0</v>
      </c>
      <c r="AT14" s="52">
        <f t="shared" si="35"/>
        <v>0</v>
      </c>
      <c r="AU14" s="52">
        <f t="shared" si="35"/>
        <v>0</v>
      </c>
      <c r="AV14" s="52">
        <f t="shared" si="35"/>
        <v>0</v>
      </c>
      <c r="AW14" s="52">
        <f t="shared" si="35"/>
        <v>0</v>
      </c>
      <c r="AX14" s="52">
        <f t="shared" si="35"/>
        <v>0</v>
      </c>
      <c r="AY14" s="52">
        <f t="shared" si="35"/>
        <v>0</v>
      </c>
      <c r="AZ14" s="52">
        <f t="shared" si="35"/>
        <v>0</v>
      </c>
      <c r="BA14" s="52">
        <f t="shared" si="35"/>
        <v>0</v>
      </c>
      <c r="BB14" s="52">
        <f t="shared" si="35"/>
        <v>0</v>
      </c>
      <c r="BC14" s="52">
        <f t="shared" si="35"/>
        <v>0</v>
      </c>
      <c r="BD14" s="52">
        <f t="shared" si="35"/>
        <v>0</v>
      </c>
      <c r="BE14" s="52">
        <f t="shared" si="35"/>
        <v>0</v>
      </c>
      <c r="BF14" s="52">
        <f t="shared" si="35"/>
        <v>0</v>
      </c>
      <c r="BG14" s="52">
        <f t="shared" si="35"/>
        <v>0</v>
      </c>
      <c r="BH14" s="52">
        <f t="shared" si="35"/>
        <v>0</v>
      </c>
      <c r="BI14" s="52">
        <f t="shared" si="35"/>
        <v>0</v>
      </c>
      <c r="BJ14" s="52">
        <f t="shared" si="35"/>
        <v>0</v>
      </c>
      <c r="BK14" s="52">
        <f t="shared" si="35"/>
        <v>0</v>
      </c>
      <c r="BL14" s="52">
        <f t="shared" si="35"/>
        <v>0</v>
      </c>
      <c r="BM14" s="52">
        <f t="shared" si="35"/>
        <v>0</v>
      </c>
      <c r="BN14" s="52">
        <f t="shared" si="35"/>
        <v>0</v>
      </c>
      <c r="BO14" s="52">
        <f t="shared" si="35"/>
        <v>0</v>
      </c>
      <c r="BP14" s="52">
        <f t="shared" si="35"/>
        <v>0</v>
      </c>
      <c r="BQ14" s="52">
        <f t="shared" si="35"/>
        <v>0</v>
      </c>
      <c r="BR14" s="52">
        <f t="shared" si="35"/>
        <v>0</v>
      </c>
      <c r="BS14" s="52">
        <f t="shared" si="35"/>
        <v>0</v>
      </c>
      <c r="BT14" s="52">
        <f t="shared" si="35"/>
        <v>0</v>
      </c>
      <c r="BU14" s="52">
        <f t="shared" si="36" ref="BU14:CK14">+BT14</f>
        <v>0</v>
      </c>
      <c r="BV14" s="52">
        <f t="shared" si="36"/>
        <v>0</v>
      </c>
      <c r="BW14" s="52">
        <f t="shared" si="36"/>
        <v>0</v>
      </c>
      <c r="BX14" s="52">
        <f t="shared" si="36"/>
        <v>0</v>
      </c>
      <c r="BY14" s="52">
        <f t="shared" si="36"/>
        <v>0</v>
      </c>
      <c r="BZ14" s="52">
        <f t="shared" si="36"/>
        <v>0</v>
      </c>
      <c r="CA14" s="52">
        <f t="shared" si="36"/>
        <v>0</v>
      </c>
      <c r="CB14" s="52">
        <f t="shared" si="36"/>
        <v>0</v>
      </c>
      <c r="CC14" s="52">
        <f t="shared" si="36"/>
        <v>0</v>
      </c>
      <c r="CD14" s="52">
        <f t="shared" si="36"/>
        <v>0</v>
      </c>
      <c r="CE14" s="52">
        <f t="shared" si="36"/>
        <v>0</v>
      </c>
      <c r="CF14" s="52">
        <f t="shared" si="36"/>
        <v>0</v>
      </c>
      <c r="CG14" s="52">
        <f t="shared" si="36"/>
        <v>0</v>
      </c>
      <c r="CH14" s="52">
        <f t="shared" si="36"/>
        <v>0</v>
      </c>
      <c r="CI14" s="52">
        <f t="shared" si="36"/>
        <v>0</v>
      </c>
      <c r="CJ14" s="52">
        <f t="shared" si="36"/>
        <v>0</v>
      </c>
      <c r="CK14" s="52">
        <f t="shared" si="36"/>
        <v>0</v>
      </c>
    </row>
    <row r="15" spans="3:89" ht="14.4">
      <c r="C15" t="s">
        <v>6</v>
      </c>
      <c r="D15" t="str">
        <f>_xlfn.TEXTJOIN(",",TRUE,Regions!$C$3,Regions!$D$3)</f>
        <v>IE,National</v>
      </c>
      <c r="E15" t="s">
        <v>31</v>
      </c>
      <c r="F15" s="34" t="s">
        <v>32</v>
      </c>
      <c r="G15" s="51">
        <f>VLOOKUP(E15,'BY-Demands'!$I$6:$J$42,2,FALSE)</f>
        <v>3.7999999999999998</v>
      </c>
      <c r="H15" s="52">
        <f t="shared" si="0"/>
        <v>3.7999999999999998</v>
      </c>
      <c r="I15" s="52">
        <f t="shared" si="37" ref="I15:BT15">+H15</f>
        <v>3.7999999999999998</v>
      </c>
      <c r="J15" s="52">
        <f t="shared" si="37"/>
        <v>3.7999999999999998</v>
      </c>
      <c r="K15" s="52">
        <f t="shared" si="37"/>
        <v>3.7999999999999998</v>
      </c>
      <c r="L15" s="52">
        <f t="shared" si="37"/>
        <v>3.7999999999999998</v>
      </c>
      <c r="M15" s="52">
        <f t="shared" si="37"/>
        <v>3.7999999999999998</v>
      </c>
      <c r="N15" s="52">
        <f t="shared" si="37"/>
        <v>3.7999999999999998</v>
      </c>
      <c r="O15" s="52">
        <f t="shared" si="37"/>
        <v>3.7999999999999998</v>
      </c>
      <c r="P15" s="52">
        <f t="shared" si="37"/>
        <v>3.7999999999999998</v>
      </c>
      <c r="Q15" s="52">
        <f t="shared" si="37"/>
        <v>3.7999999999999998</v>
      </c>
      <c r="R15" s="52">
        <f t="shared" si="37"/>
        <v>3.7999999999999998</v>
      </c>
      <c r="S15" s="52">
        <f t="shared" si="37"/>
        <v>3.7999999999999998</v>
      </c>
      <c r="T15" s="52">
        <f t="shared" si="37"/>
        <v>3.7999999999999998</v>
      </c>
      <c r="U15" s="52">
        <f t="shared" si="37"/>
        <v>3.7999999999999998</v>
      </c>
      <c r="V15" s="52">
        <f t="shared" si="37"/>
        <v>3.7999999999999998</v>
      </c>
      <c r="W15" s="52">
        <f t="shared" si="37"/>
        <v>3.7999999999999998</v>
      </c>
      <c r="X15" s="52">
        <f t="shared" si="37"/>
        <v>3.7999999999999998</v>
      </c>
      <c r="Y15" s="52">
        <f t="shared" si="37"/>
        <v>3.7999999999999998</v>
      </c>
      <c r="Z15" s="52">
        <f t="shared" si="37"/>
        <v>3.7999999999999998</v>
      </c>
      <c r="AA15" s="52">
        <f t="shared" si="37"/>
        <v>3.7999999999999998</v>
      </c>
      <c r="AB15" s="52">
        <f t="shared" si="37"/>
        <v>3.7999999999999998</v>
      </c>
      <c r="AC15" s="52">
        <f t="shared" si="37"/>
        <v>3.7999999999999998</v>
      </c>
      <c r="AD15" s="52">
        <f t="shared" si="37"/>
        <v>3.7999999999999998</v>
      </c>
      <c r="AE15" s="52">
        <f t="shared" si="37"/>
        <v>3.7999999999999998</v>
      </c>
      <c r="AF15" s="52">
        <f t="shared" si="37"/>
        <v>3.7999999999999998</v>
      </c>
      <c r="AG15" s="52">
        <f t="shared" si="37"/>
        <v>3.7999999999999998</v>
      </c>
      <c r="AH15" s="52">
        <f t="shared" si="37"/>
        <v>3.7999999999999998</v>
      </c>
      <c r="AI15" s="52">
        <f t="shared" si="37"/>
        <v>3.7999999999999998</v>
      </c>
      <c r="AJ15" s="52">
        <f t="shared" si="37"/>
        <v>3.7999999999999998</v>
      </c>
      <c r="AK15" s="52">
        <f t="shared" si="37"/>
        <v>3.7999999999999998</v>
      </c>
      <c r="AL15" s="52">
        <f t="shared" si="37"/>
        <v>3.7999999999999998</v>
      </c>
      <c r="AM15" s="52">
        <f t="shared" si="37"/>
        <v>3.7999999999999998</v>
      </c>
      <c r="AN15" s="52">
        <f t="shared" si="37"/>
        <v>3.7999999999999998</v>
      </c>
      <c r="AO15" s="52">
        <f t="shared" si="37"/>
        <v>3.7999999999999998</v>
      </c>
      <c r="AP15" s="52">
        <f t="shared" si="37"/>
        <v>3.7999999999999998</v>
      </c>
      <c r="AQ15" s="52">
        <f t="shared" si="37"/>
        <v>3.7999999999999998</v>
      </c>
      <c r="AR15" s="52">
        <f t="shared" si="37"/>
        <v>3.7999999999999998</v>
      </c>
      <c r="AS15" s="52">
        <f t="shared" si="37"/>
        <v>3.7999999999999998</v>
      </c>
      <c r="AT15" s="52">
        <f t="shared" si="37"/>
        <v>3.7999999999999998</v>
      </c>
      <c r="AU15" s="52">
        <f t="shared" si="37"/>
        <v>3.7999999999999998</v>
      </c>
      <c r="AV15" s="52">
        <f t="shared" si="37"/>
        <v>3.7999999999999998</v>
      </c>
      <c r="AW15" s="52">
        <f t="shared" si="37"/>
        <v>3.7999999999999998</v>
      </c>
      <c r="AX15" s="52">
        <f t="shared" si="37"/>
        <v>3.7999999999999998</v>
      </c>
      <c r="AY15" s="52">
        <f t="shared" si="37"/>
        <v>3.7999999999999998</v>
      </c>
      <c r="AZ15" s="52">
        <f t="shared" si="37"/>
        <v>3.7999999999999998</v>
      </c>
      <c r="BA15" s="52">
        <f t="shared" si="37"/>
        <v>3.7999999999999998</v>
      </c>
      <c r="BB15" s="52">
        <f t="shared" si="37"/>
        <v>3.7999999999999998</v>
      </c>
      <c r="BC15" s="52">
        <f t="shared" si="37"/>
        <v>3.7999999999999998</v>
      </c>
      <c r="BD15" s="52">
        <f t="shared" si="37"/>
        <v>3.7999999999999998</v>
      </c>
      <c r="BE15" s="52">
        <f t="shared" si="37"/>
        <v>3.7999999999999998</v>
      </c>
      <c r="BF15" s="52">
        <f t="shared" si="37"/>
        <v>3.7999999999999998</v>
      </c>
      <c r="BG15" s="52">
        <f t="shared" si="37"/>
        <v>3.7999999999999998</v>
      </c>
      <c r="BH15" s="52">
        <f t="shared" si="37"/>
        <v>3.7999999999999998</v>
      </c>
      <c r="BI15" s="52">
        <f t="shared" si="37"/>
        <v>3.7999999999999998</v>
      </c>
      <c r="BJ15" s="52">
        <f t="shared" si="37"/>
        <v>3.7999999999999998</v>
      </c>
      <c r="BK15" s="52">
        <f t="shared" si="37"/>
        <v>3.7999999999999998</v>
      </c>
      <c r="BL15" s="52">
        <f t="shared" si="37"/>
        <v>3.7999999999999998</v>
      </c>
      <c r="BM15" s="52">
        <f t="shared" si="37"/>
        <v>3.7999999999999998</v>
      </c>
      <c r="BN15" s="52">
        <f t="shared" si="37"/>
        <v>3.7999999999999998</v>
      </c>
      <c r="BO15" s="52">
        <f t="shared" si="37"/>
        <v>3.7999999999999998</v>
      </c>
      <c r="BP15" s="52">
        <f t="shared" si="37"/>
        <v>3.7999999999999998</v>
      </c>
      <c r="BQ15" s="52">
        <f t="shared" si="37"/>
        <v>3.7999999999999998</v>
      </c>
      <c r="BR15" s="52">
        <f t="shared" si="37"/>
        <v>3.7999999999999998</v>
      </c>
      <c r="BS15" s="52">
        <f t="shared" si="37"/>
        <v>3.7999999999999998</v>
      </c>
      <c r="BT15" s="52">
        <f t="shared" si="37"/>
        <v>3.7999999999999998</v>
      </c>
      <c r="BU15" s="52">
        <f t="shared" si="38" ref="BU15:CK15">+BT15</f>
        <v>3.7999999999999998</v>
      </c>
      <c r="BV15" s="52">
        <f t="shared" si="38"/>
        <v>3.7999999999999998</v>
      </c>
      <c r="BW15" s="52">
        <f t="shared" si="38"/>
        <v>3.7999999999999998</v>
      </c>
      <c r="BX15" s="52">
        <f t="shared" si="38"/>
        <v>3.7999999999999998</v>
      </c>
      <c r="BY15" s="52">
        <f t="shared" si="38"/>
        <v>3.7999999999999998</v>
      </c>
      <c r="BZ15" s="52">
        <f t="shared" si="38"/>
        <v>3.7999999999999998</v>
      </c>
      <c r="CA15" s="52">
        <f t="shared" si="38"/>
        <v>3.7999999999999998</v>
      </c>
      <c r="CB15" s="52">
        <f t="shared" si="38"/>
        <v>3.7999999999999998</v>
      </c>
      <c r="CC15" s="52">
        <f t="shared" si="38"/>
        <v>3.7999999999999998</v>
      </c>
      <c r="CD15" s="52">
        <f t="shared" si="38"/>
        <v>3.7999999999999998</v>
      </c>
      <c r="CE15" s="52">
        <f t="shared" si="38"/>
        <v>3.7999999999999998</v>
      </c>
      <c r="CF15" s="52">
        <f t="shared" si="38"/>
        <v>3.7999999999999998</v>
      </c>
      <c r="CG15" s="52">
        <f t="shared" si="38"/>
        <v>3.7999999999999998</v>
      </c>
      <c r="CH15" s="52">
        <f t="shared" si="38"/>
        <v>3.7999999999999998</v>
      </c>
      <c r="CI15" s="52">
        <f t="shared" si="38"/>
        <v>3.7999999999999998</v>
      </c>
      <c r="CJ15" s="52">
        <f t="shared" si="38"/>
        <v>3.7999999999999998</v>
      </c>
      <c r="CK15" s="52">
        <f t="shared" si="38"/>
        <v>3.7999999999999998</v>
      </c>
    </row>
    <row r="16" spans="3:89" ht="14.4">
      <c r="C16" t="s">
        <v>6</v>
      </c>
      <c r="D16" t="str">
        <f>_xlfn.TEXTJOIN(",",TRUE,Regions!$C$3,Regions!$D$3)</f>
        <v>IE,National</v>
      </c>
      <c r="E16" t="s">
        <v>33</v>
      </c>
      <c r="F16" s="34" t="s">
        <v>34</v>
      </c>
      <c r="G16" s="51">
        <f>VLOOKUP(E16,'BY-Demands'!$I$6:$J$42,2,FALSE)</f>
        <v>0</v>
      </c>
      <c r="H16" s="52">
        <f t="shared" si="0"/>
        <v>0</v>
      </c>
      <c r="I16" s="52">
        <f t="shared" si="39" ref="I16:BT16">+H16</f>
        <v>0</v>
      </c>
      <c r="J16" s="52">
        <f t="shared" si="39"/>
        <v>0</v>
      </c>
      <c r="K16" s="52">
        <f t="shared" si="39"/>
        <v>0</v>
      </c>
      <c r="L16" s="52">
        <f t="shared" si="39"/>
        <v>0</v>
      </c>
      <c r="M16" s="52">
        <f t="shared" si="39"/>
        <v>0</v>
      </c>
      <c r="N16" s="52">
        <f t="shared" si="39"/>
        <v>0</v>
      </c>
      <c r="O16" s="52">
        <f t="shared" si="39"/>
        <v>0</v>
      </c>
      <c r="P16" s="52">
        <f t="shared" si="39"/>
        <v>0</v>
      </c>
      <c r="Q16" s="52">
        <f t="shared" si="39"/>
        <v>0</v>
      </c>
      <c r="R16" s="52">
        <f t="shared" si="39"/>
        <v>0</v>
      </c>
      <c r="S16" s="52">
        <f t="shared" si="39"/>
        <v>0</v>
      </c>
      <c r="T16" s="52">
        <f t="shared" si="39"/>
        <v>0</v>
      </c>
      <c r="U16" s="52">
        <f t="shared" si="39"/>
        <v>0</v>
      </c>
      <c r="V16" s="52">
        <f t="shared" si="39"/>
        <v>0</v>
      </c>
      <c r="W16" s="52">
        <f t="shared" si="39"/>
        <v>0</v>
      </c>
      <c r="X16" s="52">
        <f t="shared" si="39"/>
        <v>0</v>
      </c>
      <c r="Y16" s="52">
        <f t="shared" si="39"/>
        <v>0</v>
      </c>
      <c r="Z16" s="52">
        <f t="shared" si="39"/>
        <v>0</v>
      </c>
      <c r="AA16" s="52">
        <f t="shared" si="39"/>
        <v>0</v>
      </c>
      <c r="AB16" s="52">
        <f t="shared" si="39"/>
        <v>0</v>
      </c>
      <c r="AC16" s="52">
        <f t="shared" si="39"/>
        <v>0</v>
      </c>
      <c r="AD16" s="52">
        <f t="shared" si="39"/>
        <v>0</v>
      </c>
      <c r="AE16" s="52">
        <f t="shared" si="39"/>
        <v>0</v>
      </c>
      <c r="AF16" s="52">
        <f t="shared" si="39"/>
        <v>0</v>
      </c>
      <c r="AG16" s="52">
        <f t="shared" si="39"/>
        <v>0</v>
      </c>
      <c r="AH16" s="52">
        <f t="shared" si="39"/>
        <v>0</v>
      </c>
      <c r="AI16" s="52">
        <f t="shared" si="39"/>
        <v>0</v>
      </c>
      <c r="AJ16" s="52">
        <f t="shared" si="39"/>
        <v>0</v>
      </c>
      <c r="AK16" s="52">
        <f t="shared" si="39"/>
        <v>0</v>
      </c>
      <c r="AL16" s="52">
        <f t="shared" si="39"/>
        <v>0</v>
      </c>
      <c r="AM16" s="52">
        <f t="shared" si="39"/>
        <v>0</v>
      </c>
      <c r="AN16" s="52">
        <f t="shared" si="39"/>
        <v>0</v>
      </c>
      <c r="AO16" s="52">
        <f t="shared" si="39"/>
        <v>0</v>
      </c>
      <c r="AP16" s="52">
        <f t="shared" si="39"/>
        <v>0</v>
      </c>
      <c r="AQ16" s="52">
        <f t="shared" si="39"/>
        <v>0</v>
      </c>
      <c r="AR16" s="52">
        <f t="shared" si="39"/>
        <v>0</v>
      </c>
      <c r="AS16" s="52">
        <f t="shared" si="39"/>
        <v>0</v>
      </c>
      <c r="AT16" s="52">
        <f t="shared" si="39"/>
        <v>0</v>
      </c>
      <c r="AU16" s="52">
        <f t="shared" si="39"/>
        <v>0</v>
      </c>
      <c r="AV16" s="52">
        <f t="shared" si="39"/>
        <v>0</v>
      </c>
      <c r="AW16" s="52">
        <f t="shared" si="39"/>
        <v>0</v>
      </c>
      <c r="AX16" s="52">
        <f t="shared" si="39"/>
        <v>0</v>
      </c>
      <c r="AY16" s="52">
        <f t="shared" si="39"/>
        <v>0</v>
      </c>
      <c r="AZ16" s="52">
        <f t="shared" si="39"/>
        <v>0</v>
      </c>
      <c r="BA16" s="52">
        <f t="shared" si="39"/>
        <v>0</v>
      </c>
      <c r="BB16" s="52">
        <f t="shared" si="39"/>
        <v>0</v>
      </c>
      <c r="BC16" s="52">
        <f t="shared" si="39"/>
        <v>0</v>
      </c>
      <c r="BD16" s="52">
        <f t="shared" si="39"/>
        <v>0</v>
      </c>
      <c r="BE16" s="52">
        <f t="shared" si="39"/>
        <v>0</v>
      </c>
      <c r="BF16" s="52">
        <f t="shared" si="39"/>
        <v>0</v>
      </c>
      <c r="BG16" s="52">
        <f t="shared" si="39"/>
        <v>0</v>
      </c>
      <c r="BH16" s="52">
        <f t="shared" si="39"/>
        <v>0</v>
      </c>
      <c r="BI16" s="52">
        <f t="shared" si="39"/>
        <v>0</v>
      </c>
      <c r="BJ16" s="52">
        <f t="shared" si="39"/>
        <v>0</v>
      </c>
      <c r="BK16" s="52">
        <f t="shared" si="39"/>
        <v>0</v>
      </c>
      <c r="BL16" s="52">
        <f t="shared" si="39"/>
        <v>0</v>
      </c>
      <c r="BM16" s="52">
        <f t="shared" si="39"/>
        <v>0</v>
      </c>
      <c r="BN16" s="52">
        <f t="shared" si="39"/>
        <v>0</v>
      </c>
      <c r="BO16" s="52">
        <f t="shared" si="39"/>
        <v>0</v>
      </c>
      <c r="BP16" s="52">
        <f t="shared" si="39"/>
        <v>0</v>
      </c>
      <c r="BQ16" s="52">
        <f t="shared" si="39"/>
        <v>0</v>
      </c>
      <c r="BR16" s="52">
        <f t="shared" si="39"/>
        <v>0</v>
      </c>
      <c r="BS16" s="52">
        <f t="shared" si="39"/>
        <v>0</v>
      </c>
      <c r="BT16" s="52">
        <f t="shared" si="39"/>
        <v>0</v>
      </c>
      <c r="BU16" s="52">
        <f t="shared" si="40" ref="BU16:CK16">+BT16</f>
        <v>0</v>
      </c>
      <c r="BV16" s="52">
        <f t="shared" si="40"/>
        <v>0</v>
      </c>
      <c r="BW16" s="52">
        <f t="shared" si="40"/>
        <v>0</v>
      </c>
      <c r="BX16" s="52">
        <f t="shared" si="40"/>
        <v>0</v>
      </c>
      <c r="BY16" s="52">
        <f t="shared" si="40"/>
        <v>0</v>
      </c>
      <c r="BZ16" s="52">
        <f t="shared" si="40"/>
        <v>0</v>
      </c>
      <c r="CA16" s="52">
        <f t="shared" si="40"/>
        <v>0</v>
      </c>
      <c r="CB16" s="52">
        <f t="shared" si="40"/>
        <v>0</v>
      </c>
      <c r="CC16" s="52">
        <f t="shared" si="40"/>
        <v>0</v>
      </c>
      <c r="CD16" s="52">
        <f t="shared" si="40"/>
        <v>0</v>
      </c>
      <c r="CE16" s="52">
        <f t="shared" si="40"/>
        <v>0</v>
      </c>
      <c r="CF16" s="52">
        <f t="shared" si="40"/>
        <v>0</v>
      </c>
      <c r="CG16" s="52">
        <f t="shared" si="40"/>
        <v>0</v>
      </c>
      <c r="CH16" s="52">
        <f t="shared" si="40"/>
        <v>0</v>
      </c>
      <c r="CI16" s="52">
        <f t="shared" si="40"/>
        <v>0</v>
      </c>
      <c r="CJ16" s="52">
        <f t="shared" si="40"/>
        <v>0</v>
      </c>
      <c r="CK16" s="52">
        <f t="shared" si="40"/>
        <v>0</v>
      </c>
    </row>
    <row r="17" spans="3:89" ht="14.4">
      <c r="C17" t="s">
        <v>6</v>
      </c>
      <c r="D17" t="str">
        <f>_xlfn.TEXTJOIN(",",TRUE,Regions!$C$3)</f>
        <v>IE</v>
      </c>
      <c r="E17" t="s">
        <v>35</v>
      </c>
      <c r="F17" s="34" t="s">
        <v>36</v>
      </c>
      <c r="G17" s="51">
        <f>VLOOKUP(E17,'BY-Demands'!$I$6:$J$42,2,FALSE)</f>
        <v>14.5565610923972</v>
      </c>
      <c r="H17" s="52">
        <v>14.87639834</v>
      </c>
      <c r="I17" s="52">
        <v>10.76129175</v>
      </c>
      <c r="J17" s="51">
        <f>G17*'TRA-2021'!$C$13</f>
        <v>13.57251588540027</v>
      </c>
      <c r="K17" s="51">
        <f>G17*'TRA-2021'!$C$15</f>
        <v>14.05673907080137</v>
      </c>
      <c r="L17" s="51">
        <f>K17*'TRA-2021'!$C$8/'TRA-2021'!$C$7</f>
        <v>14.107943011361705</v>
      </c>
      <c r="M17" s="51">
        <f>L17*1.0125</f>
        <v>14.284292299003726</v>
      </c>
      <c r="N17" s="51">
        <f t="shared" si="41" ref="N17:X17">M17*1.0125</f>
        <v>14.462845952741272</v>
      </c>
      <c r="O17" s="51">
        <f t="shared" si="41"/>
        <v>14.643631527150538</v>
      </c>
      <c r="P17" s="51">
        <f t="shared" si="41"/>
        <v>14.826676921239919</v>
      </c>
      <c r="Q17" s="51">
        <f t="shared" si="41"/>
        <v>15.012010382755417</v>
      </c>
      <c r="R17" s="51">
        <f t="shared" si="41"/>
        <v>15.199660512539859</v>
      </c>
      <c r="S17" s="51">
        <f t="shared" si="41"/>
        <v>15.389656268946606</v>
      </c>
      <c r="T17" s="51">
        <f t="shared" si="41"/>
        <v>15.582026972308437</v>
      </c>
      <c r="U17" s="51">
        <f t="shared" si="41"/>
        <v>15.776802309462292</v>
      </c>
      <c r="V17" s="51">
        <f t="shared" si="41"/>
        <v>15.974012338330571</v>
      </c>
      <c r="W17" s="51">
        <f t="shared" si="41"/>
        <v>16.173687492559701</v>
      </c>
      <c r="X17" s="51">
        <f t="shared" si="41"/>
        <v>16.375858586216697</v>
      </c>
      <c r="Y17" s="51">
        <f t="shared" si="42" ref="Y17:AM17">X17*1.0125</f>
        <v>16.580556818544405</v>
      </c>
      <c r="Z17" s="51">
        <f t="shared" si="42"/>
        <v>16.787813778776208</v>
      </c>
      <c r="AA17" s="51">
        <f t="shared" si="42"/>
        <v>16.997661451010909</v>
      </c>
      <c r="AB17" s="51">
        <f t="shared" si="42"/>
        <v>17.210132219148544</v>
      </c>
      <c r="AC17" s="51">
        <f t="shared" si="42"/>
        <v>17.425258871887902</v>
      </c>
      <c r="AD17" s="51">
        <f t="shared" si="42"/>
        <v>17.643074607786499</v>
      </c>
      <c r="AE17" s="51">
        <f t="shared" si="42"/>
        <v>17.863613040383829</v>
      </c>
      <c r="AF17" s="51">
        <f t="shared" si="42"/>
        <v>18.086908203388624</v>
      </c>
      <c r="AG17" s="51">
        <f t="shared" si="42"/>
        <v>18.312994555930981</v>
      </c>
      <c r="AH17" s="51">
        <f t="shared" si="42"/>
        <v>18.541906987880118</v>
      </c>
      <c r="AI17" s="51">
        <f t="shared" si="42"/>
        <v>18.77368082522862</v>
      </c>
      <c r="AJ17" s="51">
        <f t="shared" si="42"/>
        <v>19.008351835543976</v>
      </c>
      <c r="AK17" s="51">
        <f t="shared" si="42"/>
        <v>19.245956233488275</v>
      </c>
      <c r="AL17" s="51">
        <f t="shared" si="42"/>
        <v>19.486530686406876</v>
      </c>
      <c r="AM17" s="51">
        <f t="shared" si="42"/>
        <v>19.730112319986961</v>
      </c>
      <c r="AN17" s="52"/>
      <c r="AO17" s="52"/>
      <c r="AP17" s="52"/>
      <c r="AQ17" s="52"/>
      <c r="AR17" s="52">
        <v>21.708902826056999</v>
      </c>
      <c r="AS17" s="52"/>
      <c r="AT17" s="52"/>
      <c r="AU17" s="52"/>
      <c r="AV17" s="52"/>
      <c r="AW17" s="52">
        <v>22.294296983465198</v>
      </c>
      <c r="AX17" s="52"/>
      <c r="AY17" s="52"/>
      <c r="AZ17" s="52"/>
      <c r="BA17" s="52"/>
      <c r="BB17" s="52">
        <v>22.633963522387901</v>
      </c>
      <c r="BC17" s="52"/>
      <c r="BD17" s="52"/>
      <c r="BE17" s="52"/>
      <c r="BF17" s="52"/>
      <c r="BG17" s="52">
        <v>22.998525615910701</v>
      </c>
      <c r="BH17" s="52"/>
      <c r="BI17" s="52"/>
      <c r="BJ17" s="52"/>
      <c r="BK17" s="52"/>
      <c r="BL17" s="52">
        <v>23.420163469983802</v>
      </c>
      <c r="BM17" s="52"/>
      <c r="BN17" s="52"/>
      <c r="BO17" s="52"/>
      <c r="BP17" s="52"/>
      <c r="BQ17" s="52">
        <v>23.915804444215802</v>
      </c>
      <c r="BR17" s="52"/>
      <c r="BS17" s="52"/>
      <c r="BT17" s="52"/>
      <c r="BU17" s="52"/>
      <c r="BV17" s="52">
        <v>24.479480525906901</v>
      </c>
      <c r="BW17" s="52"/>
      <c r="BX17" s="52"/>
      <c r="BY17" s="52"/>
      <c r="BZ17" s="52"/>
      <c r="CA17" s="52">
        <v>25.0796251155347</v>
      </c>
      <c r="CB17" s="52"/>
      <c r="CC17" s="52"/>
      <c r="CD17" s="52"/>
      <c r="CE17" s="52"/>
      <c r="CF17" s="52">
        <v>25.6801225927071</v>
      </c>
      <c r="CG17" s="52"/>
      <c r="CH17" s="52"/>
      <c r="CI17" s="52"/>
      <c r="CJ17" s="52"/>
      <c r="CK17" s="52">
        <v>26.281462653597</v>
      </c>
    </row>
    <row r="18" spans="3:89" ht="14.4">
      <c r="C18" t="s">
        <v>6</v>
      </c>
      <c r="D18" t="str">
        <f>_xlfn.TEXTJOIN(",",TRUE,Regions!$C$3)</f>
        <v>IE</v>
      </c>
      <c r="E18" t="s">
        <v>37</v>
      </c>
      <c r="F18" s="34" t="s">
        <v>38</v>
      </c>
      <c r="G18" s="51">
        <f>VLOOKUP(E18,'BY-Demands'!$I$6:$J$42,2,FALSE)</f>
        <v>31.276118540281001</v>
      </c>
      <c r="H18" s="52">
        <f>31.98425643</f>
        <v>31.984256429999999</v>
      </c>
      <c r="I18" s="52">
        <f>23.13677727</f>
        <v>23.13677727</v>
      </c>
      <c r="J18" s="51">
        <f>0.95*G18*'TRA-2021'!$C$13</f>
        <v>27.703716034013713</v>
      </c>
      <c r="K18" s="51">
        <f>G18*'TRA-2021'!$C$15</f>
        <v>30.202204674413409</v>
      </c>
      <c r="L18" s="51">
        <f>K18*'TRA-2021'!$C$8/'TRA-2021'!$C$7</f>
        <v>30.312221079011263</v>
      </c>
      <c r="M18" s="51">
        <f>L18*1.015</f>
        <v>30.766904395196427</v>
      </c>
      <c r="N18" s="51">
        <f t="shared" si="43" ref="N18:X18">M18*1.015</f>
        <v>31.228407961124372</v>
      </c>
      <c r="O18" s="51">
        <f t="shared" si="43"/>
        <v>31.696834080541233</v>
      </c>
      <c r="P18" s="51">
        <f t="shared" si="43"/>
        <v>32.172286591749348</v>
      </c>
      <c r="Q18" s="51">
        <f t="shared" si="43"/>
        <v>32.654870890625588</v>
      </c>
      <c r="R18" s="51">
        <f t="shared" si="43"/>
        <v>33.144693953984969</v>
      </c>
      <c r="S18" s="51">
        <f t="shared" si="43"/>
        <v>33.641864363294744</v>
      </c>
      <c r="T18" s="51">
        <f t="shared" si="43"/>
        <v>34.146492328744159</v>
      </c>
      <c r="U18" s="51">
        <f t="shared" si="43"/>
        <v>34.658689713675315</v>
      </c>
      <c r="V18" s="51">
        <f t="shared" si="43"/>
        <v>35.178570059380441</v>
      </c>
      <c r="W18" s="51">
        <f t="shared" si="43"/>
        <v>35.706248610271146</v>
      </c>
      <c r="X18" s="51">
        <f t="shared" si="43"/>
        <v>36.241842339425212</v>
      </c>
      <c r="Y18" s="51">
        <f t="shared" si="44" ref="Y18:AM18">X18*1.015</f>
        <v>36.785469974516587</v>
      </c>
      <c r="Z18" s="51">
        <f t="shared" si="44"/>
        <v>37.33725202413433</v>
      </c>
      <c r="AA18" s="51">
        <f t="shared" si="44"/>
        <v>37.897310804496342</v>
      </c>
      <c r="AB18" s="51">
        <f t="shared" si="44"/>
        <v>38.465770466563782</v>
      </c>
      <c r="AC18" s="51">
        <f t="shared" si="44"/>
        <v>39.042757023562238</v>
      </c>
      <c r="AD18" s="51">
        <f t="shared" si="44"/>
        <v>39.628398378915669</v>
      </c>
      <c r="AE18" s="51">
        <f t="shared" si="44"/>
        <v>40.222824354599403</v>
      </c>
      <c r="AF18" s="51">
        <f t="shared" si="44"/>
        <v>40.82616671991839</v>
      </c>
      <c r="AG18" s="51">
        <f t="shared" si="44"/>
        <v>41.43855922071716</v>
      </c>
      <c r="AH18" s="51">
        <f t="shared" si="44"/>
        <v>42.060137609027912</v>
      </c>
      <c r="AI18" s="51">
        <f t="shared" si="44"/>
        <v>42.691039673163324</v>
      </c>
      <c r="AJ18" s="51">
        <f t="shared" si="44"/>
        <v>43.331405268260767</v>
      </c>
      <c r="AK18" s="51">
        <f t="shared" si="44"/>
        <v>43.981376347284673</v>
      </c>
      <c r="AL18" s="51">
        <f t="shared" si="44"/>
        <v>44.641096992493942</v>
      </c>
      <c r="AM18" s="51">
        <f t="shared" si="44"/>
        <v>45.310713447381346</v>
      </c>
      <c r="AN18" s="52"/>
      <c r="AO18" s="52"/>
      <c r="AP18" s="52"/>
      <c r="AQ18" s="52"/>
      <c r="AR18" s="52">
        <v>46.674141076022501</v>
      </c>
      <c r="AS18" s="52"/>
      <c r="AT18" s="52"/>
      <c r="AU18" s="52"/>
      <c r="AV18" s="52"/>
      <c r="AW18" s="52">
        <v>47.932738514450101</v>
      </c>
      <c r="AX18" s="52"/>
      <c r="AY18" s="52"/>
      <c r="AZ18" s="52"/>
      <c r="BA18" s="52"/>
      <c r="BB18" s="52">
        <v>48.663021573133904</v>
      </c>
      <c r="BC18" s="52"/>
      <c r="BD18" s="52"/>
      <c r="BE18" s="52"/>
      <c r="BF18" s="52"/>
      <c r="BG18" s="52">
        <v>49.446830074208002</v>
      </c>
      <c r="BH18" s="52"/>
      <c r="BI18" s="52"/>
      <c r="BJ18" s="52"/>
      <c r="BK18" s="52"/>
      <c r="BL18" s="52">
        <v>50.353351460465198</v>
      </c>
      <c r="BM18" s="52"/>
      <c r="BN18" s="52"/>
      <c r="BO18" s="52"/>
      <c r="BP18" s="52"/>
      <c r="BQ18" s="52">
        <v>51.418979555063999</v>
      </c>
      <c r="BR18" s="52"/>
      <c r="BS18" s="52"/>
      <c r="BT18" s="52"/>
      <c r="BU18" s="52"/>
      <c r="BV18" s="52">
        <v>52.6308831306999</v>
      </c>
      <c r="BW18" s="52"/>
      <c r="BX18" s="52"/>
      <c r="BY18" s="52"/>
      <c r="BZ18" s="52"/>
      <c r="CA18" s="52">
        <v>53.921193998399701</v>
      </c>
      <c r="CB18" s="52"/>
      <c r="CC18" s="52"/>
      <c r="CD18" s="52"/>
      <c r="CE18" s="52"/>
      <c r="CF18" s="52">
        <v>55.212263574320303</v>
      </c>
      <c r="CG18" s="52"/>
      <c r="CH18" s="52"/>
      <c r="CI18" s="52"/>
      <c r="CJ18" s="52"/>
      <c r="CK18" s="52">
        <v>56.505144705233697</v>
      </c>
    </row>
    <row r="19" spans="3:89" ht="14.4">
      <c r="C19" t="s">
        <v>6</v>
      </c>
      <c r="D19" t="str">
        <f>_xlfn.TEXTJOIN(",",TRUE,Regions!$C$3)</f>
        <v>IE</v>
      </c>
      <c r="E19" t="s">
        <v>39</v>
      </c>
      <c r="F19" s="34" t="s">
        <v>40</v>
      </c>
      <c r="G19" s="51">
        <f>VLOOKUP(E19,'BY-Demands'!$I$6:$J$42,2,FALSE)</f>
        <v>27.131577542973599</v>
      </c>
      <c r="H19" s="51">
        <f>0.9*27.52133693</f>
        <v>24.769203236999999</v>
      </c>
      <c r="I19" s="51">
        <f>0.9*19.90838974</f>
        <v>17.917550766000002</v>
      </c>
      <c r="J19" s="51">
        <f>I19*'TRA-2021'!$C$14</f>
        <v>18.200537756613475</v>
      </c>
      <c r="K19" s="51">
        <f>J19*'TRA-2021'!$C$17</f>
        <v>18.849873697196202</v>
      </c>
      <c r="L19" s="51">
        <f>K19*'TRA-2021'!$C$8/'TRA-2021'!$C$7</f>
        <v>18.918537404155515</v>
      </c>
      <c r="M19" s="51">
        <f>L19*1.025</f>
        <v>19.3915008392594</v>
      </c>
      <c r="N19" s="51">
        <f t="shared" si="45" ref="N19:X19">M19*1.025</f>
        <v>19.876288360240885</v>
      </c>
      <c r="O19" s="51">
        <f t="shared" si="45"/>
        <v>20.373195569246906</v>
      </c>
      <c r="P19" s="51">
        <f t="shared" si="45"/>
        <v>20.882525458478078</v>
      </c>
      <c r="Q19" s="51">
        <f t="shared" si="45"/>
        <v>21.404588594940027</v>
      </c>
      <c r="R19" s="51">
        <f t="shared" si="45"/>
        <v>21.939703309813524</v>
      </c>
      <c r="S19" s="51">
        <f t="shared" si="45"/>
        <v>22.48819589255886</v>
      </c>
      <c r="T19" s="51">
        <f t="shared" si="45"/>
        <v>23.050400789872828</v>
      </c>
      <c r="U19" s="51">
        <f t="shared" si="45"/>
        <v>23.626660809619647</v>
      </c>
      <c r="V19" s="51">
        <f t="shared" si="45"/>
        <v>24.217327329860137</v>
      </c>
      <c r="W19" s="51">
        <f t="shared" si="45"/>
        <v>24.822760513106637</v>
      </c>
      <c r="X19" s="51">
        <f t="shared" si="45"/>
        <v>25.443329525934299</v>
      </c>
      <c r="Y19" s="51">
        <f t="shared" si="46" ref="Y19:AM19">X19*1.025</f>
        <v>26.079412764082655</v>
      </c>
      <c r="Z19" s="51">
        <f t="shared" si="46"/>
        <v>26.731398083184718</v>
      </c>
      <c r="AA19" s="51">
        <f t="shared" si="46"/>
        <v>27.399683035264335</v>
      </c>
      <c r="AB19" s="51">
        <f t="shared" si="46"/>
        <v>28.084675111145941</v>
      </c>
      <c r="AC19" s="51">
        <f t="shared" si="46"/>
        <v>28.786791988924588</v>
      </c>
      <c r="AD19" s="51">
        <f t="shared" si="46"/>
        <v>29.506461788647698</v>
      </c>
      <c r="AE19" s="51">
        <f t="shared" si="46"/>
        <v>30.244123333363888</v>
      </c>
      <c r="AF19" s="51">
        <f t="shared" si="46"/>
        <v>31.000226416697981</v>
      </c>
      <c r="AG19" s="51">
        <f t="shared" si="46"/>
        <v>31.775232077115426</v>
      </c>
      <c r="AH19" s="51">
        <f t="shared" si="46"/>
        <v>32.569612879043312</v>
      </c>
      <c r="AI19" s="51">
        <f t="shared" si="46"/>
        <v>33.383853201019392</v>
      </c>
      <c r="AJ19" s="51">
        <f t="shared" si="46"/>
        <v>34.218449531044875</v>
      </c>
      <c r="AK19" s="51">
        <f t="shared" si="46"/>
        <v>35.073910769320996</v>
      </c>
      <c r="AL19" s="51">
        <f t="shared" si="46"/>
        <v>35.95075853855402</v>
      </c>
      <c r="AM19" s="51">
        <f t="shared" si="46"/>
        <v>36.849527502017864</v>
      </c>
      <c r="AN19" s="52"/>
      <c r="AO19" s="52"/>
      <c r="AP19" s="52"/>
      <c r="AQ19" s="52"/>
      <c r="AR19" s="52">
        <v>40.161470228205403</v>
      </c>
      <c r="AS19" s="52"/>
      <c r="AT19" s="52"/>
      <c r="AU19" s="52"/>
      <c r="AV19" s="52"/>
      <c r="AW19" s="52">
        <v>41.2444494194106</v>
      </c>
      <c r="AX19" s="52"/>
      <c r="AY19" s="52"/>
      <c r="AZ19" s="52"/>
      <c r="BA19" s="52"/>
      <c r="BB19" s="52">
        <v>41.872832516417603</v>
      </c>
      <c r="BC19" s="52"/>
      <c r="BD19" s="52"/>
      <c r="BE19" s="52"/>
      <c r="BF19" s="52"/>
      <c r="BG19" s="52">
        <v>42.547272389434802</v>
      </c>
      <c r="BH19" s="52"/>
      <c r="BI19" s="52"/>
      <c r="BJ19" s="52"/>
      <c r="BK19" s="52"/>
      <c r="BL19" s="52">
        <v>43.327302419470001</v>
      </c>
      <c r="BM19" s="52"/>
      <c r="BN19" s="52"/>
      <c r="BO19" s="52"/>
      <c r="BP19" s="52"/>
      <c r="BQ19" s="52">
        <v>44.244238221799201</v>
      </c>
      <c r="BR19" s="52"/>
      <c r="BS19" s="52"/>
      <c r="BT19" s="52"/>
      <c r="BU19" s="52"/>
      <c r="BV19" s="52">
        <v>45.287038972927803</v>
      </c>
      <c r="BW19" s="52"/>
      <c r="BX19" s="52"/>
      <c r="BY19" s="52"/>
      <c r="BZ19" s="52"/>
      <c r="CA19" s="52">
        <v>46.397306463739199</v>
      </c>
      <c r="CB19" s="52"/>
      <c r="CC19" s="52"/>
      <c r="CD19" s="52"/>
      <c r="CE19" s="52"/>
      <c r="CF19" s="52">
        <v>47.508226796508197</v>
      </c>
      <c r="CG19" s="52"/>
      <c r="CH19" s="52"/>
      <c r="CI19" s="52"/>
      <c r="CJ19" s="52"/>
      <c r="CK19" s="52">
        <v>48.620705909154502</v>
      </c>
    </row>
    <row r="20" spans="3:89" ht="14.4">
      <c r="C20" t="s">
        <v>6</v>
      </c>
      <c r="D20" t="str">
        <f>_xlfn.TEXTJOIN(",",TRUE,Regions!$C$3)</f>
        <v>IE</v>
      </c>
      <c r="E20" t="s">
        <v>41</v>
      </c>
      <c r="F20" s="34" t="s">
        <v>42</v>
      </c>
      <c r="G20" s="51">
        <f>VLOOKUP(E20,'BY-Demands'!$I$6:$J$42,2,FALSE)</f>
        <v>10.702591</v>
      </c>
      <c r="H20" s="51">
        <f>0.85*(12444+72)/1000</f>
        <v>10.6386</v>
      </c>
      <c r="I20" s="51">
        <f>0.9*(11424+74)/1000</f>
        <v>10.3482</v>
      </c>
      <c r="J20" s="51">
        <f>0.85*(12493+70)/1000</f>
        <v>10.67855</v>
      </c>
      <c r="K20" s="51">
        <f>J20*'TRA-2021'!C16</f>
        <v>10.878188502532995</v>
      </c>
      <c r="L20" s="51">
        <f>0.9*13.592606346773</f>
        <v>12.2333457120957</v>
      </c>
      <c r="M20" s="51">
        <v>14.013977143522958</v>
      </c>
      <c r="N20" s="51">
        <v>14.448410434972168</v>
      </c>
      <c r="O20" s="51">
        <v>14.737378643671612</v>
      </c>
      <c r="P20" s="51">
        <v>15.032126216545043</v>
      </c>
      <c r="Q20" s="51">
        <v>15.332768740875943</v>
      </c>
      <c r="R20" s="51">
        <v>15.639424115693462</v>
      </c>
      <c r="S20" s="51">
        <v>15.952212598007332</v>
      </c>
      <c r="T20" s="51">
        <v>16.319113487761502</v>
      </c>
      <c r="U20" s="51">
        <v>16.694453097980016</v>
      </c>
      <c r="V20" s="51">
        <v>17.078425519233555</v>
      </c>
      <c r="W20" s="51">
        <v>17.471229306175925</v>
      </c>
      <c r="X20" s="51">
        <v>17.87306758021797</v>
      </c>
      <c r="Y20" s="51">
        <v>18.284148134562983</v>
      </c>
      <c r="Z20" s="51">
        <v>18.704683541657932</v>
      </c>
      <c r="AA20" s="51">
        <v>19.13489126311606</v>
      </c>
      <c r="AB20" s="51">
        <v>19.574993762167729</v>
      </c>
      <c r="AC20" s="51">
        <v>20.025218618697583</v>
      </c>
      <c r="AD20" s="51">
        <v>20.485798646927627</v>
      </c>
      <c r="AE20" s="51">
        <v>20.956972015806958</v>
      </c>
      <c r="AF20" s="51">
        <v>21.438982372170514</v>
      </c>
      <c r="AG20" s="51">
        <v>21.932078966730433</v>
      </c>
      <c r="AH20" s="51">
        <v>22.436516782965231</v>
      </c>
      <c r="AI20" s="51">
        <v>22.952556668973429</v>
      </c>
      <c r="AJ20" s="51">
        <v>23.480465472359818</v>
      </c>
      <c r="AK20" s="51">
        <v>24.020516178224089</v>
      </c>
      <c r="AL20" s="51">
        <v>24.572988050323243</v>
      </c>
      <c r="AM20" s="51">
        <v>25.138166775480673</v>
      </c>
      <c r="AN20" s="52">
        <v>25.716344611316728</v>
      </c>
      <c r="AO20" s="52">
        <v>26.307820537377012</v>
      </c>
      <c r="AP20" s="52">
        <v>26.912900409736679</v>
      </c>
      <c r="AQ20" s="52">
        <v>27.531897119160618</v>
      </c>
      <c r="AR20" s="52">
        <v>28.165130752901309</v>
      </c>
      <c r="AS20" s="52">
        <v>28.812928760218039</v>
      </c>
      <c r="AT20" s="52">
        <v>29.475626121703051</v>
      </c>
      <c r="AU20" s="52">
        <v>30.15356552250222</v>
      </c>
      <c r="AV20" s="52">
        <v>30.847097529519768</v>
      </c>
      <c r="AW20" s="52">
        <v>31.55658077269872</v>
      </c>
      <c r="AX20" s="52">
        <v>32.282382130470786</v>
      </c>
      <c r="AY20" s="52">
        <v>33.024876919471609</v>
      </c>
      <c r="AZ20" s="52">
        <v>33.784449088619454</v>
      </c>
      <c r="BA20" s="52">
        <v>34.561491417657699</v>
      </c>
      <c r="BB20" s="52">
        <v>35.356405720263822</v>
      </c>
      <c r="BC20" s="52">
        <v>36.169603051829888</v>
      </c>
      <c r="BD20" s="52">
        <v>37.001503922021968</v>
      </c>
      <c r="BE20" s="52">
        <v>37.85253851222847</v>
      </c>
      <c r="BF20" s="52">
        <v>38.723146898009716</v>
      </c>
      <c r="BG20" s="52">
        <v>39.613779276663941</v>
      </c>
      <c r="BH20" s="52">
        <v>40.524896200027207</v>
      </c>
      <c r="BI20" s="52">
        <v>41.456968812627828</v>
      </c>
      <c r="BJ20" s="52">
        <v>42.410479095318259</v>
      </c>
      <c r="BK20" s="52">
        <v>43.385920114510576</v>
      </c>
      <c r="BL20" s="52">
        <v>44.383796277144313</v>
      </c>
      <c r="BM20" s="52">
        <v>45.404623591518629</v>
      </c>
      <c r="BN20" s="52">
        <v>46.448929934123555</v>
      </c>
      <c r="BO20" s="52">
        <v>47.517255322608392</v>
      </c>
      <c r="BP20" s="52">
        <v>48.610152195028377</v>
      </c>
      <c r="BQ20" s="52">
        <v>49.728185695514021</v>
      </c>
      <c r="BR20" s="52">
        <v>50.871933966510845</v>
      </c>
      <c r="BS20" s="52">
        <v>52.041988447740586</v>
      </c>
      <c r="BT20" s="52">
        <v>53.238954182038611</v>
      </c>
      <c r="BU20" s="52">
        <v>54.463450128225503</v>
      </c>
      <c r="BV20" s="52">
        <v>55.716109481174684</v>
      </c>
      <c r="BW20" s="52">
        <v>56.997579999241694</v>
      </c>
      <c r="BX20" s="52">
        <v>58.308524339224249</v>
      </c>
      <c r="BY20" s="52">
        <v>59.649620399026404</v>
      </c>
      <c r="BZ20" s="52">
        <v>61.021561668204008</v>
      </c>
      <c r="CA20" s="52">
        <v>62.425057586572692</v>
      </c>
      <c r="CB20" s="52">
        <v>63.860833911063864</v>
      </c>
      <c r="CC20" s="52">
        <v>65.329633091018323</v>
      </c>
      <c r="CD20" s="52">
        <v>66.832214652111745</v>
      </c>
      <c r="CE20" s="52">
        <v>68.369355589110299</v>
      </c>
      <c r="CF20" s="52">
        <v>69.941850767659844</v>
      </c>
      <c r="CG20" s="52">
        <v>71.550513335316012</v>
      </c>
      <c r="CH20" s="52">
        <v>73.196175142028267</v>
      </c>
      <c r="CI20" s="52">
        <v>74.879687170294915</v>
      </c>
      <c r="CJ20" s="52">
        <v>76.601919975211686</v>
      </c>
      <c r="CK20" s="52">
        <v>78.363764134641542</v>
      </c>
    </row>
    <row r="21" spans="3:89" ht="14.4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1">
        <f>VLOOKUP(E21,'BY-Demands'!$I$6:$J$42,2,FALSE)</f>
        <v>7.7105748259750104</v>
      </c>
      <c r="H21" s="52">
        <v>10.277153740875089</v>
      </c>
      <c r="I21" s="52">
        <v>3.3705919303064187</v>
      </c>
      <c r="J21" s="52">
        <v>8.6157094085103783</v>
      </c>
      <c r="K21" s="52">
        <v>7.6814227047944605</v>
      </c>
      <c r="L21" s="52">
        <f t="shared" si="47" ref="L21:R21">K21-($H$21/11)</f>
        <v>6.7471360010785428</v>
      </c>
      <c r="M21" s="52">
        <f t="shared" si="47"/>
        <v>5.8128492973626251</v>
      </c>
      <c r="N21" s="52">
        <f t="shared" si="47"/>
        <v>4.8785625936467074</v>
      </c>
      <c r="O21" s="52">
        <f t="shared" si="47"/>
        <v>3.9442758899307901</v>
      </c>
      <c r="P21" s="52">
        <f t="shared" si="47"/>
        <v>3.0099891862148729</v>
      </c>
      <c r="Q21" s="52">
        <f t="shared" si="47"/>
        <v>2.0757024824989556</v>
      </c>
      <c r="R21" s="52">
        <f t="shared" si="47"/>
        <v>1.1414157787830383</v>
      </c>
      <c r="S21" s="52">
        <v>0</v>
      </c>
      <c r="T21" s="52"/>
      <c r="U21" s="52"/>
      <c r="V21" s="52"/>
      <c r="W21" s="52"/>
      <c r="X21" s="52">
        <v>0</v>
      </c>
      <c r="Y21" s="52"/>
      <c r="Z21" s="52"/>
      <c r="AA21" s="52"/>
      <c r="AB21" s="52"/>
      <c r="AC21" s="52">
        <v>0</v>
      </c>
      <c r="AD21" s="52"/>
      <c r="AE21" s="52"/>
      <c r="AF21" s="52"/>
      <c r="AG21" s="52"/>
      <c r="AH21" s="52">
        <v>0</v>
      </c>
      <c r="AI21" s="52"/>
      <c r="AJ21" s="52"/>
      <c r="AK21" s="52"/>
      <c r="AL21" s="52"/>
      <c r="AM21" s="52">
        <v>0</v>
      </c>
      <c r="AN21" s="52"/>
      <c r="AO21" s="52"/>
      <c r="AP21" s="52"/>
      <c r="AQ21" s="52"/>
      <c r="AR21" s="52">
        <v>0</v>
      </c>
      <c r="AS21" s="52"/>
      <c r="AT21" s="52"/>
      <c r="AU21" s="52"/>
      <c r="AV21" s="52"/>
      <c r="AW21" s="52">
        <v>0</v>
      </c>
      <c r="AX21" s="52"/>
      <c r="AY21" s="52"/>
      <c r="AZ21" s="52"/>
      <c r="BA21" s="52"/>
      <c r="BB21" s="52">
        <v>0</v>
      </c>
      <c r="BC21" s="52"/>
      <c r="BD21" s="52"/>
      <c r="BE21" s="52"/>
      <c r="BF21" s="52"/>
      <c r="BG21" s="52">
        <v>0</v>
      </c>
      <c r="BH21" s="52"/>
      <c r="BI21" s="52"/>
      <c r="BJ21" s="52"/>
      <c r="BK21" s="52"/>
      <c r="BL21" s="52">
        <v>0</v>
      </c>
      <c r="BM21" s="52"/>
      <c r="BN21" s="52"/>
      <c r="BO21" s="52"/>
      <c r="BP21" s="52"/>
      <c r="BQ21" s="52">
        <v>0</v>
      </c>
      <c r="BR21" s="52"/>
      <c r="BS21" s="52"/>
      <c r="BT21" s="52"/>
      <c r="BU21" s="52"/>
      <c r="BV21" s="52">
        <v>0</v>
      </c>
      <c r="BW21" s="52"/>
      <c r="BX21" s="52"/>
      <c r="BY21" s="52"/>
      <c r="BZ21" s="52"/>
      <c r="CA21" s="52">
        <v>0</v>
      </c>
      <c r="CB21" s="52"/>
      <c r="CC21" s="52"/>
      <c r="CD21" s="52"/>
      <c r="CE21" s="52"/>
      <c r="CF21" s="52">
        <v>0</v>
      </c>
      <c r="CG21" s="52"/>
      <c r="CH21" s="52"/>
      <c r="CI21" s="52"/>
      <c r="CJ21" s="52"/>
      <c r="CK21" s="52">
        <v>0</v>
      </c>
    </row>
    <row r="22" spans="3:89" ht="14.4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1">
        <f>VLOOKUP(E22,'BY-Demands'!$I$6:$J$42,2,FALSE)</f>
        <v>3.5132998087277101</v>
      </c>
      <c r="H22" s="52">
        <v>3.7418117054559139</v>
      </c>
      <c r="I22" s="52">
        <v>4.5759806863218264</v>
      </c>
      <c r="J22" s="52">
        <v>5.0500849492972852</v>
      </c>
      <c r="K22" s="52">
        <v>4.6611834502685596</v>
      </c>
      <c r="L22" s="52">
        <v>4.8042664418927696</v>
      </c>
      <c r="M22" s="52">
        <v>4.9555896582000001</v>
      </c>
      <c r="N22" s="52">
        <v>5.1129502074838999</v>
      </c>
      <c r="O22" s="52">
        <v>5.2752039056523996</v>
      </c>
      <c r="P22" s="52">
        <v>5.4414060135777298</v>
      </c>
      <c r="Q22" s="52">
        <v>5.6117259844700902</v>
      </c>
      <c r="R22" s="52">
        <v>5.7862882839617802</v>
      </c>
      <c r="S22" s="52">
        <v>5.9645530611175701</v>
      </c>
      <c r="T22" s="52">
        <v>6.1457480291828999</v>
      </c>
      <c r="U22" s="52">
        <v>6.3299271732513001</v>
      </c>
      <c r="V22" s="52">
        <v>6.5164111808959202</v>
      </c>
      <c r="W22" s="52">
        <v>6.7046092152599002</v>
      </c>
      <c r="X22" s="52">
        <v>6.8941328835870399</v>
      </c>
      <c r="Y22" s="52">
        <v>7.0848817136199704</v>
      </c>
      <c r="Z22" s="52">
        <v>7.2761374036976303</v>
      </c>
      <c r="AA22" s="52">
        <v>7.4682763498887699</v>
      </c>
      <c r="AB22" s="52">
        <v>7.6618204080974204</v>
      </c>
      <c r="AC22" s="52">
        <v>7.8573484184930402</v>
      </c>
      <c r="AD22" s="52">
        <v>8.0554527175184294</v>
      </c>
      <c r="AE22" s="52">
        <v>8.2566896515540797</v>
      </c>
      <c r="AF22" s="52">
        <v>8.4615630814728604</v>
      </c>
      <c r="AG22" s="52">
        <v>8.6705693702179794</v>
      </c>
      <c r="AH22" s="52">
        <v>8.8842603654121408</v>
      </c>
      <c r="AI22" s="52">
        <v>9.1033168790680801</v>
      </c>
      <c r="AJ22" s="52">
        <v>9.3273565167733494</v>
      </c>
      <c r="AK22" s="52">
        <v>9.5573045230475095</v>
      </c>
      <c r="AL22" s="52">
        <v>9.7942615939640305</v>
      </c>
      <c r="AM22" s="52">
        <v>10.039412402408599</v>
      </c>
      <c r="AN22" s="52">
        <v>10.293860643626401</v>
      </c>
      <c r="AO22" s="52">
        <v>10.5584100956768</v>
      </c>
      <c r="AP22" s="52">
        <v>10.833663592103999</v>
      </c>
      <c r="AQ22" s="52">
        <v>11.1201369904683</v>
      </c>
      <c r="AR22" s="52">
        <v>11.4183281532989</v>
      </c>
      <c r="AS22" s="52">
        <v>11.7286584642425</v>
      </c>
      <c r="AT22" s="52">
        <v>12.051195404665901</v>
      </c>
      <c r="AU22" s="52">
        <v>12.3857005404062</v>
      </c>
      <c r="AV22" s="52">
        <v>12.7317569865743</v>
      </c>
      <c r="AW22" s="52">
        <v>13.088970352070501</v>
      </c>
      <c r="AX22" s="52">
        <v>12.461582160250099</v>
      </c>
      <c r="AY22" s="52">
        <v>12.666563648039499</v>
      </c>
      <c r="AZ22" s="52">
        <v>12.871545135828899</v>
      </c>
      <c r="BA22" s="52">
        <v>13.0765266236182</v>
      </c>
      <c r="BB22" s="52">
        <v>13.281508111407501</v>
      </c>
      <c r="BC22" s="52">
        <v>13.486489599196901</v>
      </c>
      <c r="BD22" s="52">
        <v>13.6914710869862</v>
      </c>
      <c r="BE22" s="52">
        <v>13.8964525747756</v>
      </c>
      <c r="BF22" s="52">
        <v>14.101434062565</v>
      </c>
      <c r="BG22" s="52">
        <v>14.3064155503543</v>
      </c>
      <c r="BH22" s="52">
        <v>14.511397038143601</v>
      </c>
      <c r="BI22" s="52">
        <v>14.716378525933001</v>
      </c>
      <c r="BJ22" s="52">
        <v>14.921360013722399</v>
      </c>
      <c r="BK22" s="52">
        <v>15.1263415015117</v>
      </c>
      <c r="BL22" s="52">
        <v>15.3313229893011</v>
      </c>
      <c r="BM22" s="52">
        <v>15.5363044770905</v>
      </c>
      <c r="BN22" s="52">
        <v>15.7412859648798</v>
      </c>
      <c r="BO22" s="52">
        <v>15.946267452669099</v>
      </c>
      <c r="BP22" s="52">
        <v>16.151248940458501</v>
      </c>
      <c r="BQ22" s="52">
        <v>16.356230428247802</v>
      </c>
      <c r="BR22" s="52">
        <v>16.561211916037202</v>
      </c>
      <c r="BS22" s="52">
        <v>16.766193403826598</v>
      </c>
      <c r="BT22" s="52">
        <v>16.971174891615899</v>
      </c>
      <c r="BU22" s="52">
        <v>17.176156379405199</v>
      </c>
      <c r="BV22" s="52">
        <v>17.3811378671946</v>
      </c>
      <c r="BW22" s="52">
        <v>17.586119354984</v>
      </c>
      <c r="BX22" s="52">
        <v>17.7911008427733</v>
      </c>
      <c r="BY22" s="52">
        <v>17.9960823305627</v>
      </c>
      <c r="BZ22" s="52">
        <v>18.201063818352001</v>
      </c>
      <c r="CA22" s="52">
        <v>18.406045306141401</v>
      </c>
      <c r="CB22" s="52">
        <v>18.611026793930701</v>
      </c>
      <c r="CC22" s="52">
        <v>18.816008281720102</v>
      </c>
      <c r="CD22" s="52">
        <v>19.020989769509399</v>
      </c>
      <c r="CE22" s="52">
        <v>19.225971257298799</v>
      </c>
      <c r="CF22" s="52">
        <v>19.430952745088199</v>
      </c>
      <c r="CG22" s="52">
        <v>19.635934232877499</v>
      </c>
      <c r="CH22" s="52">
        <v>19.8409157206668</v>
      </c>
      <c r="CI22" s="52">
        <v>20.0458972084562</v>
      </c>
      <c r="CJ22" s="52">
        <v>20.2508786962456</v>
      </c>
      <c r="CK22" s="52">
        <v>20.455860184034901</v>
      </c>
    </row>
    <row r="23" spans="3:89" ht="14.4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1">
        <f>VLOOKUP(E23,'BY-Demands'!$I$6:$J$42,2,FALSE)</f>
        <v>20.831454920682301</v>
      </c>
      <c r="H23" s="52">
        <v>16.657128777768676</v>
      </c>
      <c r="I23" s="52">
        <v>22.750457116443403</v>
      </c>
      <c r="J23" s="52">
        <v>15.130660002348661</v>
      </c>
      <c r="K23" s="52">
        <v>13.161374650000001</v>
      </c>
      <c r="L23" s="52">
        <v>12.48596777</v>
      </c>
      <c r="M23" s="52">
        <v>11.082962500000001</v>
      </c>
      <c r="N23" s="52">
        <v>8.6768985000000001</v>
      </c>
      <c r="O23" s="52">
        <v>5.6468117209999997</v>
      </c>
      <c r="P23" s="52">
        <v>3.024291002</v>
      </c>
      <c r="Q23" s="52">
        <v>1.39538575</v>
      </c>
      <c r="R23" s="52">
        <v>0.58209679999999997</v>
      </c>
      <c r="S23" s="52">
        <v>0</v>
      </c>
      <c r="T23" s="52"/>
      <c r="U23" s="52"/>
      <c r="V23" s="52"/>
      <c r="W23" s="52"/>
      <c r="X23" s="52">
        <v>0</v>
      </c>
      <c r="Y23" s="52"/>
      <c r="Z23" s="52"/>
      <c r="AA23" s="52"/>
      <c r="AB23" s="52"/>
      <c r="AC23" s="52">
        <v>0</v>
      </c>
      <c r="AD23" s="52"/>
      <c r="AE23" s="52"/>
      <c r="AF23" s="52"/>
      <c r="AG23" s="52"/>
      <c r="AH23" s="52">
        <v>0</v>
      </c>
      <c r="AI23" s="52"/>
      <c r="AJ23" s="52"/>
      <c r="AK23" s="52"/>
      <c r="AL23" s="52"/>
      <c r="AM23" s="52">
        <v>0</v>
      </c>
      <c r="AN23" s="52"/>
      <c r="AO23" s="52"/>
      <c r="AP23" s="52"/>
      <c r="AQ23" s="52"/>
      <c r="AR23" s="52">
        <v>0</v>
      </c>
      <c r="AS23" s="52"/>
      <c r="AT23" s="52"/>
      <c r="AU23" s="52"/>
      <c r="AV23" s="52"/>
      <c r="AW23" s="52">
        <v>0</v>
      </c>
      <c r="AX23" s="52"/>
      <c r="AY23" s="52"/>
      <c r="AZ23" s="52"/>
      <c r="BA23" s="52"/>
      <c r="BB23" s="52">
        <v>0</v>
      </c>
      <c r="BC23" s="52"/>
      <c r="BD23" s="52"/>
      <c r="BE23" s="52"/>
      <c r="BF23" s="52"/>
      <c r="BG23" s="52">
        <v>0</v>
      </c>
      <c r="BH23" s="52"/>
      <c r="BI23" s="52"/>
      <c r="BJ23" s="52"/>
      <c r="BK23" s="52"/>
      <c r="BL23" s="52">
        <v>0</v>
      </c>
      <c r="BM23" s="52"/>
      <c r="BN23" s="52"/>
      <c r="BO23" s="52"/>
      <c r="BP23" s="52"/>
      <c r="BQ23" s="52">
        <v>0</v>
      </c>
      <c r="BR23" s="52"/>
      <c r="BS23" s="52"/>
      <c r="BT23" s="52"/>
      <c r="BU23" s="52"/>
      <c r="BV23" s="52">
        <v>0</v>
      </c>
      <c r="BW23" s="52"/>
      <c r="BX23" s="52"/>
      <c r="BY23" s="52"/>
      <c r="BZ23" s="52"/>
      <c r="CA23" s="52">
        <v>0</v>
      </c>
      <c r="CB23" s="52"/>
      <c r="CC23" s="52"/>
      <c r="CD23" s="52"/>
      <c r="CE23" s="52"/>
      <c r="CF23" s="52">
        <v>0</v>
      </c>
      <c r="CG23" s="52"/>
      <c r="CH23" s="52"/>
      <c r="CI23" s="52"/>
      <c r="CJ23" s="52"/>
      <c r="CK23" s="52">
        <v>0</v>
      </c>
    </row>
    <row r="24" spans="3:89" ht="14.4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1">
        <f>VLOOKUP(E24,'BY-Demands'!$I$6:$J$42,2,FALSE)</f>
        <v>0.23349320028657899</v>
      </c>
      <c r="H24" s="52">
        <v>0.25090920347352241</v>
      </c>
      <c r="I24" s="52">
        <v>0.11004689080374389</v>
      </c>
      <c r="J24" s="52">
        <v>0.12006442123265494</v>
      </c>
      <c r="K24" s="52">
        <v>0.23</v>
      </c>
      <c r="L24" s="52">
        <v>0.23</v>
      </c>
      <c r="M24" s="52">
        <v>0.23</v>
      </c>
      <c r="N24" s="52">
        <v>0.23</v>
      </c>
      <c r="O24" s="52">
        <v>0.23</v>
      </c>
      <c r="P24" s="52">
        <v>0.23</v>
      </c>
      <c r="Q24" s="52">
        <v>0.23</v>
      </c>
      <c r="R24" s="52">
        <v>0.23</v>
      </c>
      <c r="S24" s="52">
        <v>0.23</v>
      </c>
      <c r="T24" s="52">
        <v>0.23</v>
      </c>
      <c r="U24" s="52">
        <v>0.23</v>
      </c>
      <c r="V24" s="52">
        <v>0.23</v>
      </c>
      <c r="W24" s="52">
        <v>0.23</v>
      </c>
      <c r="X24" s="52">
        <v>0.23</v>
      </c>
      <c r="Y24" s="52">
        <v>0.23</v>
      </c>
      <c r="Z24" s="52">
        <v>0.23</v>
      </c>
      <c r="AA24" s="52">
        <v>0.23</v>
      </c>
      <c r="AB24" s="52">
        <v>0.23</v>
      </c>
      <c r="AC24" s="52">
        <v>0.23</v>
      </c>
      <c r="AD24" s="52">
        <v>0.23</v>
      </c>
      <c r="AE24" s="52">
        <v>0.23</v>
      </c>
      <c r="AF24" s="52">
        <v>0.23</v>
      </c>
      <c r="AG24" s="52">
        <v>0.23</v>
      </c>
      <c r="AH24" s="52">
        <v>0.23</v>
      </c>
      <c r="AI24" s="52">
        <v>0.23</v>
      </c>
      <c r="AJ24" s="52">
        <v>0.23</v>
      </c>
      <c r="AK24" s="52">
        <v>0.23</v>
      </c>
      <c r="AL24" s="52">
        <v>0.23</v>
      </c>
      <c r="AM24" s="52">
        <v>0.23</v>
      </c>
      <c r="AN24" s="52">
        <v>0.23</v>
      </c>
      <c r="AO24" s="52">
        <v>0.23</v>
      </c>
      <c r="AP24" s="52">
        <v>0.23</v>
      </c>
      <c r="AQ24" s="52">
        <v>0.23</v>
      </c>
      <c r="AR24" s="52">
        <v>0.23</v>
      </c>
      <c r="AS24" s="52">
        <v>0.23</v>
      </c>
      <c r="AT24" s="52">
        <v>0.23</v>
      </c>
      <c r="AU24" s="52">
        <v>0.23</v>
      </c>
      <c r="AV24" s="52">
        <v>0.23</v>
      </c>
      <c r="AW24" s="52">
        <v>0.23</v>
      </c>
      <c r="AX24" s="52">
        <v>0.23</v>
      </c>
      <c r="AY24" s="52">
        <v>0.23</v>
      </c>
      <c r="AZ24" s="52">
        <v>0.23</v>
      </c>
      <c r="BA24" s="52">
        <v>0.23</v>
      </c>
      <c r="BB24" s="52">
        <v>0.23</v>
      </c>
      <c r="BC24" s="52">
        <v>0.23</v>
      </c>
      <c r="BD24" s="52">
        <v>0.23</v>
      </c>
      <c r="BE24" s="52">
        <v>0.23</v>
      </c>
      <c r="BF24" s="52">
        <v>0.23</v>
      </c>
      <c r="BG24" s="52">
        <v>0.23</v>
      </c>
      <c r="BH24" s="52">
        <v>0.23</v>
      </c>
      <c r="BI24" s="52">
        <v>0.23</v>
      </c>
      <c r="BJ24" s="52">
        <v>0.23</v>
      </c>
      <c r="BK24" s="52">
        <v>0.23</v>
      </c>
      <c r="BL24" s="52">
        <v>0.23</v>
      </c>
      <c r="BM24" s="52">
        <v>0.23</v>
      </c>
      <c r="BN24" s="52">
        <v>0.23</v>
      </c>
      <c r="BO24" s="52">
        <v>0.23</v>
      </c>
      <c r="BP24" s="52">
        <v>0.23</v>
      </c>
      <c r="BQ24" s="52">
        <v>0.23</v>
      </c>
      <c r="BR24" s="52">
        <v>0.23</v>
      </c>
      <c r="BS24" s="52">
        <v>0.23</v>
      </c>
      <c r="BT24" s="52">
        <v>0.23</v>
      </c>
      <c r="BU24" s="52">
        <v>0.23</v>
      </c>
      <c r="BV24" s="52">
        <v>0.23</v>
      </c>
      <c r="BW24" s="52">
        <v>0.23</v>
      </c>
      <c r="BX24" s="52">
        <v>0.23</v>
      </c>
      <c r="BY24" s="52">
        <v>0.23</v>
      </c>
      <c r="BZ24" s="52">
        <v>0.23</v>
      </c>
      <c r="CA24" s="52">
        <v>0.23</v>
      </c>
      <c r="CB24" s="52">
        <v>0.23</v>
      </c>
      <c r="CC24" s="52">
        <v>0.23</v>
      </c>
      <c r="CD24" s="52">
        <v>0.23</v>
      </c>
      <c r="CE24" s="52">
        <v>0.23</v>
      </c>
      <c r="CF24" s="52">
        <v>0.23</v>
      </c>
      <c r="CG24" s="52">
        <v>0.23</v>
      </c>
      <c r="CH24" s="52">
        <v>0.23</v>
      </c>
      <c r="CI24" s="52">
        <v>0.23</v>
      </c>
      <c r="CJ24" s="52">
        <v>0.23</v>
      </c>
      <c r="CK24" s="52">
        <v>0.23</v>
      </c>
    </row>
    <row r="25" spans="3:89" ht="14.4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1">
        <f>VLOOKUP(E25,'BY-Demands'!$I$6:$J$42,2,FALSE)</f>
        <v>45.9683637522608</v>
      </c>
      <c r="H25" s="52">
        <v>46.490627829341264</v>
      </c>
      <c r="I25" s="52">
        <v>16.580491392971403</v>
      </c>
      <c r="J25" s="52">
        <v>18.575720244415919</v>
      </c>
      <c r="K25" s="52">
        <v>48.192396850000002</v>
      </c>
      <c r="L25" s="52">
        <v>48.860779260000001</v>
      </c>
      <c r="M25" s="52">
        <v>49.515792400000002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  <c r="AK25" s="91">
        <v>0</v>
      </c>
      <c r="AL25" s="91">
        <v>0</v>
      </c>
      <c r="AM25" s="91">
        <v>0</v>
      </c>
      <c r="AN25" s="91">
        <v>0</v>
      </c>
      <c r="AO25" s="91">
        <v>0</v>
      </c>
      <c r="AP25" s="91">
        <v>0</v>
      </c>
      <c r="AQ25" s="91">
        <v>0</v>
      </c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  <c r="AX25" s="91">
        <v>0</v>
      </c>
      <c r="AY25" s="91">
        <v>0</v>
      </c>
      <c r="AZ25" s="91">
        <v>0</v>
      </c>
      <c r="BA25" s="91">
        <v>0</v>
      </c>
      <c r="BB25" s="91">
        <v>0</v>
      </c>
      <c r="BC25" s="91">
        <v>0</v>
      </c>
      <c r="BD25" s="91">
        <v>0</v>
      </c>
      <c r="BE25" s="91">
        <v>0</v>
      </c>
      <c r="BF25" s="91">
        <v>0</v>
      </c>
      <c r="BG25" s="91">
        <v>0</v>
      </c>
      <c r="BH25" s="91">
        <v>0</v>
      </c>
      <c r="BI25" s="91">
        <v>0</v>
      </c>
      <c r="BJ25" s="91">
        <v>0</v>
      </c>
      <c r="BK25" s="91">
        <v>0</v>
      </c>
      <c r="BL25" s="91">
        <v>0</v>
      </c>
      <c r="BM25" s="91">
        <v>0</v>
      </c>
      <c r="BN25" s="91">
        <v>0</v>
      </c>
      <c r="BO25" s="91">
        <v>0</v>
      </c>
      <c r="BP25" s="91">
        <v>0</v>
      </c>
      <c r="BQ25" s="91">
        <v>0</v>
      </c>
      <c r="BR25" s="91">
        <v>0</v>
      </c>
      <c r="BS25" s="91">
        <v>0</v>
      </c>
      <c r="BT25" s="91">
        <v>0</v>
      </c>
      <c r="BU25" s="91">
        <v>0</v>
      </c>
      <c r="BV25" s="91">
        <v>0</v>
      </c>
      <c r="BW25" s="91">
        <v>0</v>
      </c>
      <c r="BX25" s="91">
        <v>0</v>
      </c>
      <c r="BY25" s="91">
        <v>0</v>
      </c>
      <c r="BZ25" s="91">
        <v>0</v>
      </c>
      <c r="CA25" s="91">
        <v>0</v>
      </c>
      <c r="CB25" s="91">
        <v>0</v>
      </c>
      <c r="CC25" s="91">
        <v>0</v>
      </c>
      <c r="CD25" s="91">
        <v>0</v>
      </c>
      <c r="CE25" s="91">
        <v>0</v>
      </c>
      <c r="CF25" s="91">
        <v>0</v>
      </c>
      <c r="CG25" s="91">
        <v>0</v>
      </c>
      <c r="CH25" s="91">
        <v>0</v>
      </c>
      <c r="CI25" s="91">
        <v>0</v>
      </c>
      <c r="CJ25" s="91">
        <v>0</v>
      </c>
      <c r="CK25" s="91">
        <v>0</v>
      </c>
    </row>
    <row r="26" spans="3:89" ht="14.4">
      <c r="C26" s="90" t="s">
        <v>6</v>
      </c>
      <c r="D26" s="90" t="str">
        <f>_xlfn.TEXTJOIN(",",TRUE,Regions!$C$3)</f>
        <v>IE</v>
      </c>
      <c r="E26" s="90" t="s">
        <v>217</v>
      </c>
      <c r="F26" s="90" t="s">
        <v>214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3</v>
      </c>
      <c r="O26" s="91">
        <v>3</v>
      </c>
      <c r="P26" s="91">
        <v>3.10</v>
      </c>
      <c r="Q26" s="91">
        <v>3.20</v>
      </c>
      <c r="R26" s="91">
        <v>3.20</v>
      </c>
      <c r="S26" s="91">
        <v>3.30</v>
      </c>
      <c r="T26" s="91">
        <v>3.30</v>
      </c>
      <c r="U26" s="91">
        <v>3.40</v>
      </c>
      <c r="V26" s="91">
        <v>3.50</v>
      </c>
      <c r="W26" s="91">
        <v>3.50</v>
      </c>
      <c r="X26" s="91">
        <v>3.60</v>
      </c>
      <c r="Y26" s="91">
        <v>3.70</v>
      </c>
      <c r="Z26" s="91">
        <v>3.70</v>
      </c>
      <c r="AA26" s="91">
        <v>3.80</v>
      </c>
      <c r="AB26" s="91">
        <v>3.80</v>
      </c>
      <c r="AC26" s="91">
        <v>3.90</v>
      </c>
      <c r="AD26" s="91">
        <v>4</v>
      </c>
      <c r="AE26" s="91">
        <v>4</v>
      </c>
      <c r="AF26" s="91">
        <v>4.0999999999999996</v>
      </c>
      <c r="AG26" s="91">
        <v>4.0999999999999996</v>
      </c>
      <c r="AH26" s="91">
        <v>4.20</v>
      </c>
      <c r="AI26" s="91">
        <v>4.30</v>
      </c>
      <c r="AJ26" s="91">
        <v>4.30</v>
      </c>
      <c r="AK26" s="91">
        <v>4.4000000000000004</v>
      </c>
      <c r="AL26" s="91">
        <v>4.50</v>
      </c>
      <c r="AM26" s="91">
        <v>4.50</v>
      </c>
      <c r="AN26" s="91">
        <v>4.5999999999999996</v>
      </c>
      <c r="AO26" s="91">
        <v>4.5999999999999996</v>
      </c>
      <c r="AP26" s="91">
        <v>4.70</v>
      </c>
      <c r="AQ26" s="91">
        <v>4.80</v>
      </c>
      <c r="AR26" s="91">
        <v>4.80</v>
      </c>
      <c r="AS26" s="91">
        <v>4.9000000000000004</v>
      </c>
      <c r="AT26" s="91">
        <v>4.9000000000000004</v>
      </c>
      <c r="AU26" s="91">
        <v>5</v>
      </c>
      <c r="AV26" s="91">
        <v>5.0999999999999996</v>
      </c>
      <c r="AW26" s="91">
        <v>5.0999999999999996</v>
      </c>
      <c r="AX26" s="91">
        <v>5.20</v>
      </c>
      <c r="AY26" s="91">
        <v>5.30</v>
      </c>
      <c r="AZ26" s="91">
        <v>5.30</v>
      </c>
      <c r="BA26" s="91">
        <v>5.40</v>
      </c>
      <c r="BB26" s="91">
        <v>5.40</v>
      </c>
      <c r="BC26" s="91">
        <v>5.50</v>
      </c>
      <c r="BD26" s="91">
        <v>5.60</v>
      </c>
      <c r="BE26" s="91">
        <v>5.60</v>
      </c>
      <c r="BF26" s="91">
        <v>5.70</v>
      </c>
      <c r="BG26" s="91">
        <v>5.70</v>
      </c>
      <c r="BH26" s="91">
        <f t="shared" si="48" ref="BH26:CK28">BG26</f>
        <v>5.7000000000000002</v>
      </c>
      <c r="BI26" s="91">
        <f t="shared" si="48"/>
        <v>5.7000000000000002</v>
      </c>
      <c r="BJ26" s="91">
        <f t="shared" si="48"/>
        <v>5.7000000000000002</v>
      </c>
      <c r="BK26" s="91">
        <f t="shared" si="48"/>
        <v>5.7000000000000002</v>
      </c>
      <c r="BL26" s="91">
        <f t="shared" si="48"/>
        <v>5.7000000000000002</v>
      </c>
      <c r="BM26" s="91">
        <f t="shared" si="48"/>
        <v>5.7000000000000002</v>
      </c>
      <c r="BN26" s="91">
        <f t="shared" si="48"/>
        <v>5.7000000000000002</v>
      </c>
      <c r="BO26" s="91">
        <f t="shared" si="48"/>
        <v>5.7000000000000002</v>
      </c>
      <c r="BP26" s="91">
        <f t="shared" si="48"/>
        <v>5.7000000000000002</v>
      </c>
      <c r="BQ26" s="91">
        <f t="shared" si="48"/>
        <v>5.7000000000000002</v>
      </c>
      <c r="BR26" s="91">
        <f t="shared" si="48"/>
        <v>5.7000000000000002</v>
      </c>
      <c r="BS26" s="91">
        <f t="shared" si="48"/>
        <v>5.7000000000000002</v>
      </c>
      <c r="BT26" s="91">
        <f t="shared" si="48"/>
        <v>5.7000000000000002</v>
      </c>
      <c r="BU26" s="91">
        <f t="shared" si="48"/>
        <v>5.7000000000000002</v>
      </c>
      <c r="BV26" s="91">
        <f t="shared" si="48"/>
        <v>5.7000000000000002</v>
      </c>
      <c r="BW26" s="91">
        <f t="shared" si="48"/>
        <v>5.7000000000000002</v>
      </c>
      <c r="BX26" s="91">
        <f t="shared" si="48"/>
        <v>5.7000000000000002</v>
      </c>
      <c r="BY26" s="91">
        <f t="shared" si="48"/>
        <v>5.7000000000000002</v>
      </c>
      <c r="BZ26" s="91">
        <f t="shared" si="48"/>
        <v>5.7000000000000002</v>
      </c>
      <c r="CA26" s="91">
        <f t="shared" si="48"/>
        <v>5.7000000000000002</v>
      </c>
      <c r="CB26" s="91">
        <f t="shared" si="48"/>
        <v>5.7000000000000002</v>
      </c>
      <c r="CC26" s="91">
        <f t="shared" si="48"/>
        <v>5.7000000000000002</v>
      </c>
      <c r="CD26" s="91">
        <f t="shared" si="48"/>
        <v>5.7000000000000002</v>
      </c>
      <c r="CE26" s="91">
        <f t="shared" si="48"/>
        <v>5.7000000000000002</v>
      </c>
      <c r="CF26" s="91">
        <f t="shared" si="48"/>
        <v>5.7000000000000002</v>
      </c>
      <c r="CG26" s="91">
        <f t="shared" si="48"/>
        <v>5.7000000000000002</v>
      </c>
      <c r="CH26" s="91">
        <f t="shared" si="48"/>
        <v>5.7000000000000002</v>
      </c>
      <c r="CI26" s="91">
        <f t="shared" si="48"/>
        <v>5.7000000000000002</v>
      </c>
      <c r="CJ26" s="91">
        <f t="shared" si="48"/>
        <v>5.7000000000000002</v>
      </c>
      <c r="CK26" s="91">
        <f t="shared" si="48"/>
        <v>5.7000000000000002</v>
      </c>
    </row>
    <row r="27" spans="3:89" ht="14.4">
      <c r="C27" s="90" t="s">
        <v>6</v>
      </c>
      <c r="D27" s="90" t="str">
        <f>_xlfn.TEXTJOIN(",",TRUE,Regions!$C$3)</f>
        <v>IE</v>
      </c>
      <c r="E27" s="90" t="s">
        <v>218</v>
      </c>
      <c r="F27" s="90" t="s">
        <v>215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16</v>
      </c>
      <c r="O27" s="91">
        <v>16.30</v>
      </c>
      <c r="P27" s="91">
        <v>16.50</v>
      </c>
      <c r="Q27" s="91">
        <v>16.70</v>
      </c>
      <c r="R27" s="91">
        <v>17</v>
      </c>
      <c r="S27" s="91">
        <v>17.20</v>
      </c>
      <c r="T27" s="91">
        <v>17.50</v>
      </c>
      <c r="U27" s="91">
        <v>17.70</v>
      </c>
      <c r="V27" s="91">
        <v>17.90</v>
      </c>
      <c r="W27" s="91">
        <v>18.20</v>
      </c>
      <c r="X27" s="91">
        <v>18.40</v>
      </c>
      <c r="Y27" s="91">
        <v>18.70</v>
      </c>
      <c r="Z27" s="91">
        <v>18.90</v>
      </c>
      <c r="AA27" s="91">
        <v>19.10</v>
      </c>
      <c r="AB27" s="91">
        <v>19.40</v>
      </c>
      <c r="AC27" s="91">
        <v>19.60</v>
      </c>
      <c r="AD27" s="91">
        <v>19.90</v>
      </c>
      <c r="AE27" s="91">
        <v>20.10</v>
      </c>
      <c r="AF27" s="91">
        <v>20.30</v>
      </c>
      <c r="AG27" s="91">
        <v>20.60</v>
      </c>
      <c r="AH27" s="91">
        <v>20.80</v>
      </c>
      <c r="AI27" s="91">
        <v>21.10</v>
      </c>
      <c r="AJ27" s="91">
        <v>21.30</v>
      </c>
      <c r="AK27" s="91">
        <v>21.50</v>
      </c>
      <c r="AL27" s="91">
        <v>21.80</v>
      </c>
      <c r="AM27" s="91">
        <v>22</v>
      </c>
      <c r="AN27" s="91">
        <v>22.30</v>
      </c>
      <c r="AO27" s="91">
        <v>22.50</v>
      </c>
      <c r="AP27" s="91">
        <v>22.70</v>
      </c>
      <c r="AQ27" s="91">
        <v>23</v>
      </c>
      <c r="AR27" s="91">
        <v>23.20</v>
      </c>
      <c r="AS27" s="91">
        <v>23.50</v>
      </c>
      <c r="AT27" s="91">
        <v>23.70</v>
      </c>
      <c r="AU27" s="91">
        <v>23.90</v>
      </c>
      <c r="AV27" s="91">
        <v>24.20</v>
      </c>
      <c r="AW27" s="91">
        <v>24.40</v>
      </c>
      <c r="AX27" s="91">
        <v>24.70</v>
      </c>
      <c r="AY27" s="91">
        <v>24.90</v>
      </c>
      <c r="AZ27" s="91">
        <v>25.10</v>
      </c>
      <c r="BA27" s="91">
        <v>25.40</v>
      </c>
      <c r="BB27" s="91">
        <v>25.60</v>
      </c>
      <c r="BC27" s="91">
        <v>25.90</v>
      </c>
      <c r="BD27" s="91">
        <v>26.10</v>
      </c>
      <c r="BE27" s="91">
        <v>26.30</v>
      </c>
      <c r="BF27" s="91">
        <v>26.60</v>
      </c>
      <c r="BG27" s="91">
        <v>26.80</v>
      </c>
      <c r="BH27" s="91">
        <f t="shared" si="48"/>
        <v>26.800000000000001</v>
      </c>
      <c r="BI27" s="91">
        <f t="shared" si="48"/>
        <v>26.800000000000001</v>
      </c>
      <c r="BJ27" s="91">
        <f t="shared" si="48"/>
        <v>26.800000000000001</v>
      </c>
      <c r="BK27" s="91">
        <f t="shared" si="48"/>
        <v>26.800000000000001</v>
      </c>
      <c r="BL27" s="91">
        <f t="shared" si="48"/>
        <v>26.800000000000001</v>
      </c>
      <c r="BM27" s="91">
        <f t="shared" si="48"/>
        <v>26.800000000000001</v>
      </c>
      <c r="BN27" s="91">
        <f t="shared" si="48"/>
        <v>26.800000000000001</v>
      </c>
      <c r="BO27" s="91">
        <f t="shared" si="48"/>
        <v>26.800000000000001</v>
      </c>
      <c r="BP27" s="91">
        <f t="shared" si="48"/>
        <v>26.800000000000001</v>
      </c>
      <c r="BQ27" s="91">
        <f t="shared" si="48"/>
        <v>26.800000000000001</v>
      </c>
      <c r="BR27" s="91">
        <f t="shared" si="48"/>
        <v>26.800000000000001</v>
      </c>
      <c r="BS27" s="91">
        <f t="shared" si="48"/>
        <v>26.800000000000001</v>
      </c>
      <c r="BT27" s="91">
        <f t="shared" si="48"/>
        <v>26.800000000000001</v>
      </c>
      <c r="BU27" s="91">
        <f t="shared" si="48"/>
        <v>26.800000000000001</v>
      </c>
      <c r="BV27" s="91">
        <f t="shared" si="48"/>
        <v>26.800000000000001</v>
      </c>
      <c r="BW27" s="91">
        <f t="shared" si="48"/>
        <v>26.800000000000001</v>
      </c>
      <c r="BX27" s="91">
        <f t="shared" si="48"/>
        <v>26.800000000000001</v>
      </c>
      <c r="BY27" s="91">
        <f t="shared" si="48"/>
        <v>26.800000000000001</v>
      </c>
      <c r="BZ27" s="91">
        <f t="shared" si="48"/>
        <v>26.800000000000001</v>
      </c>
      <c r="CA27" s="91">
        <f t="shared" si="48"/>
        <v>26.800000000000001</v>
      </c>
      <c r="CB27" s="91">
        <f t="shared" si="48"/>
        <v>26.800000000000001</v>
      </c>
      <c r="CC27" s="91">
        <f t="shared" si="48"/>
        <v>26.800000000000001</v>
      </c>
      <c r="CD27" s="91">
        <f t="shared" si="48"/>
        <v>26.800000000000001</v>
      </c>
      <c r="CE27" s="91">
        <f t="shared" si="48"/>
        <v>26.800000000000001</v>
      </c>
      <c r="CF27" s="91">
        <f t="shared" si="48"/>
        <v>26.800000000000001</v>
      </c>
      <c r="CG27" s="91">
        <f t="shared" si="48"/>
        <v>26.800000000000001</v>
      </c>
      <c r="CH27" s="91">
        <f t="shared" si="48"/>
        <v>26.800000000000001</v>
      </c>
      <c r="CI27" s="91">
        <f t="shared" si="48"/>
        <v>26.800000000000001</v>
      </c>
      <c r="CJ27" s="91">
        <f t="shared" si="48"/>
        <v>26.800000000000001</v>
      </c>
      <c r="CK27" s="91">
        <f t="shared" si="48"/>
        <v>26.800000000000001</v>
      </c>
    </row>
    <row r="28" spans="3:89" ht="14.4">
      <c r="C28" s="90" t="s">
        <v>6</v>
      </c>
      <c r="D28" s="90" t="str">
        <f>_xlfn.TEXTJOIN(",",TRUE,Regions!$C$3)</f>
        <v>IE</v>
      </c>
      <c r="E28" s="90" t="s">
        <v>219</v>
      </c>
      <c r="F28" s="90" t="s">
        <v>216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14</v>
      </c>
      <c r="O28" s="91">
        <v>14.20</v>
      </c>
      <c r="P28" s="91">
        <v>14.40</v>
      </c>
      <c r="Q28" s="91">
        <v>14.60</v>
      </c>
      <c r="R28" s="91">
        <v>14.80</v>
      </c>
      <c r="S28" s="91">
        <v>15</v>
      </c>
      <c r="T28" s="91">
        <v>15.20</v>
      </c>
      <c r="U28" s="91">
        <v>15.40</v>
      </c>
      <c r="V28" s="91">
        <v>15.60</v>
      </c>
      <c r="W28" s="91">
        <v>15.80</v>
      </c>
      <c r="X28" s="91">
        <v>16</v>
      </c>
      <c r="Y28" s="91">
        <v>16.20</v>
      </c>
      <c r="Z28" s="91">
        <v>16.40</v>
      </c>
      <c r="AA28" s="91">
        <v>16.70</v>
      </c>
      <c r="AB28" s="91">
        <v>16.90</v>
      </c>
      <c r="AC28" s="91">
        <v>17.10</v>
      </c>
      <c r="AD28" s="91">
        <v>17.30</v>
      </c>
      <c r="AE28" s="91">
        <v>17.50</v>
      </c>
      <c r="AF28" s="91">
        <v>17.70</v>
      </c>
      <c r="AG28" s="91">
        <v>17.90</v>
      </c>
      <c r="AH28" s="91">
        <v>18.10</v>
      </c>
      <c r="AI28" s="91">
        <v>18.30</v>
      </c>
      <c r="AJ28" s="91">
        <v>18.50</v>
      </c>
      <c r="AK28" s="91">
        <v>18.70</v>
      </c>
      <c r="AL28" s="91">
        <v>18.90</v>
      </c>
      <c r="AM28" s="91">
        <v>19.10</v>
      </c>
      <c r="AN28" s="91">
        <v>19.30</v>
      </c>
      <c r="AO28" s="91">
        <v>19.50</v>
      </c>
      <c r="AP28" s="91">
        <v>19.70</v>
      </c>
      <c r="AQ28" s="91">
        <v>20</v>
      </c>
      <c r="AR28" s="91">
        <v>20.20</v>
      </c>
      <c r="AS28" s="91">
        <v>20.40</v>
      </c>
      <c r="AT28" s="91">
        <v>20.60</v>
      </c>
      <c r="AU28" s="91">
        <v>20.80</v>
      </c>
      <c r="AV28" s="91">
        <v>21</v>
      </c>
      <c r="AW28" s="91">
        <v>21.20</v>
      </c>
      <c r="AX28" s="91">
        <v>21.40</v>
      </c>
      <c r="AY28" s="91">
        <v>21.60</v>
      </c>
      <c r="AZ28" s="91">
        <v>21.80</v>
      </c>
      <c r="BA28" s="91">
        <v>22</v>
      </c>
      <c r="BB28" s="91">
        <v>22.20</v>
      </c>
      <c r="BC28" s="91">
        <v>22.40</v>
      </c>
      <c r="BD28" s="91">
        <v>22.60</v>
      </c>
      <c r="BE28" s="91">
        <v>22.80</v>
      </c>
      <c r="BF28" s="91">
        <v>23</v>
      </c>
      <c r="BG28" s="91">
        <v>23.30</v>
      </c>
      <c r="BH28" s="91">
        <f t="shared" si="48"/>
        <v>23.300000000000001</v>
      </c>
      <c r="BI28" s="91">
        <f t="shared" si="48"/>
        <v>23.300000000000001</v>
      </c>
      <c r="BJ28" s="91">
        <f t="shared" si="48"/>
        <v>23.300000000000001</v>
      </c>
      <c r="BK28" s="91">
        <f t="shared" si="48"/>
        <v>23.300000000000001</v>
      </c>
      <c r="BL28" s="91">
        <f t="shared" si="48"/>
        <v>23.300000000000001</v>
      </c>
      <c r="BM28" s="91">
        <f t="shared" si="48"/>
        <v>23.300000000000001</v>
      </c>
      <c r="BN28" s="91">
        <f t="shared" si="48"/>
        <v>23.300000000000001</v>
      </c>
      <c r="BO28" s="91">
        <f t="shared" si="48"/>
        <v>23.300000000000001</v>
      </c>
      <c r="BP28" s="91">
        <f t="shared" si="48"/>
        <v>23.300000000000001</v>
      </c>
      <c r="BQ28" s="91">
        <f t="shared" si="48"/>
        <v>23.300000000000001</v>
      </c>
      <c r="BR28" s="91">
        <f t="shared" si="48"/>
        <v>23.300000000000001</v>
      </c>
      <c r="BS28" s="91">
        <f t="shared" si="48"/>
        <v>23.300000000000001</v>
      </c>
      <c r="BT28" s="91">
        <f t="shared" si="48"/>
        <v>23.300000000000001</v>
      </c>
      <c r="BU28" s="91">
        <f t="shared" si="48"/>
        <v>23.300000000000001</v>
      </c>
      <c r="BV28" s="91">
        <f t="shared" si="48"/>
        <v>23.300000000000001</v>
      </c>
      <c r="BW28" s="91">
        <f t="shared" si="48"/>
        <v>23.300000000000001</v>
      </c>
      <c r="BX28" s="91">
        <f t="shared" si="48"/>
        <v>23.300000000000001</v>
      </c>
      <c r="BY28" s="91">
        <f t="shared" si="48"/>
        <v>23.300000000000001</v>
      </c>
      <c r="BZ28" s="91">
        <f t="shared" si="48"/>
        <v>23.300000000000001</v>
      </c>
      <c r="CA28" s="91">
        <f t="shared" si="48"/>
        <v>23.300000000000001</v>
      </c>
      <c r="CB28" s="91">
        <f t="shared" si="48"/>
        <v>23.300000000000001</v>
      </c>
      <c r="CC28" s="91">
        <f t="shared" si="48"/>
        <v>23.300000000000001</v>
      </c>
      <c r="CD28" s="91">
        <f t="shared" si="48"/>
        <v>23.300000000000001</v>
      </c>
      <c r="CE28" s="91">
        <f t="shared" si="48"/>
        <v>23.300000000000001</v>
      </c>
      <c r="CF28" s="91">
        <f t="shared" si="48"/>
        <v>23.300000000000001</v>
      </c>
      <c r="CG28" s="91">
        <f t="shared" si="48"/>
        <v>23.300000000000001</v>
      </c>
      <c r="CH28" s="91">
        <f t="shared" si="48"/>
        <v>23.300000000000001</v>
      </c>
      <c r="CI28" s="91">
        <f t="shared" si="48"/>
        <v>23.300000000000001</v>
      </c>
      <c r="CJ28" s="91">
        <f t="shared" si="48"/>
        <v>23.300000000000001</v>
      </c>
      <c r="CK28" s="91">
        <f t="shared" si="48"/>
        <v>23.300000000000001</v>
      </c>
    </row>
    <row r="29" spans="3:89" ht="14.4">
      <c r="C29" t="s">
        <v>6</v>
      </c>
      <c r="D29" t="str">
        <f>_xlfn.TEXTJOIN(",",TRUE,Regions!$C$3,Regions!$D$3)</f>
        <v>IE,National</v>
      </c>
      <c r="E29" t="s">
        <v>53</v>
      </c>
      <c r="F29" s="34" t="s">
        <v>54</v>
      </c>
      <c r="G29" s="51">
        <f>VLOOKUP(E29,'BY-Demands'!$I$6:$J$42,2,FALSE)</f>
        <v>211.819885</v>
      </c>
      <c r="H29" s="52">
        <v>227.33367966704699</v>
      </c>
      <c r="I29" s="52">
        <v>234.01489904006499</v>
      </c>
      <c r="J29" s="52">
        <v>250.52243040236399</v>
      </c>
      <c r="K29" s="52">
        <v>265.47273899323898</v>
      </c>
      <c r="L29" s="52">
        <v>279.23643876610601</v>
      </c>
      <c r="M29" s="52">
        <v>291.97758934464099</v>
      </c>
      <c r="N29" s="52">
        <v>303.745747309416</v>
      </c>
      <c r="O29" s="52">
        <v>314.88867210903697</v>
      </c>
      <c r="P29" s="52">
        <v>325.448418136599</v>
      </c>
      <c r="Q29" s="52">
        <v>335.72138230120601</v>
      </c>
      <c r="R29" s="52">
        <v>345.60194314472</v>
      </c>
      <c r="S29" s="52">
        <v>355.09166996739799</v>
      </c>
      <c r="T29" s="52">
        <v>372.33998569365798</v>
      </c>
      <c r="U29" s="52">
        <v>385.16674421872602</v>
      </c>
      <c r="V29" s="52">
        <v>398.22461473825501</v>
      </c>
      <c r="W29" s="52">
        <v>411.45770972769901</v>
      </c>
      <c r="X29" s="52">
        <v>424.76161479887702</v>
      </c>
      <c r="Y29" s="52">
        <v>438.12862011422999</v>
      </c>
      <c r="Z29" s="52">
        <v>451.68804802308699</v>
      </c>
      <c r="AA29" s="52">
        <v>465.40875684082903</v>
      </c>
      <c r="AB29" s="52">
        <v>479.13103817121703</v>
      </c>
      <c r="AC29" s="52">
        <v>492.828423833106</v>
      </c>
      <c r="AD29" s="52">
        <v>496.36472594874499</v>
      </c>
      <c r="AE29" s="52">
        <v>514.52001380752995</v>
      </c>
      <c r="AF29" s="52">
        <v>530.17405404626902</v>
      </c>
      <c r="AG29" s="52">
        <v>544.19495314722303</v>
      </c>
      <c r="AH29" s="52">
        <v>558.26962802562196</v>
      </c>
      <c r="AI29" s="52">
        <v>572.38852326507094</v>
      </c>
      <c r="AJ29" s="52">
        <v>586.53294139438299</v>
      </c>
      <c r="AK29" s="52">
        <v>600.68795864299398</v>
      </c>
      <c r="AL29" s="52">
        <v>614.82387830734103</v>
      </c>
      <c r="AM29" s="52">
        <v>628.93152164032301</v>
      </c>
      <c r="AN29" s="52">
        <v>643.00410262211005</v>
      </c>
      <c r="AO29" s="52">
        <v>657.18423969818502</v>
      </c>
      <c r="AP29" s="52">
        <v>671.35750183642006</v>
      </c>
      <c r="AQ29" s="52">
        <v>685.53131059817395</v>
      </c>
      <c r="AR29" s="52">
        <v>699.71894911636105</v>
      </c>
      <c r="AS29" s="52">
        <v>713.92554497696096</v>
      </c>
      <c r="AT29" s="52">
        <v>728.15328995631603</v>
      </c>
      <c r="AU29" s="52">
        <v>742.41918629131999</v>
      </c>
      <c r="AV29" s="52">
        <v>756.73941793789504</v>
      </c>
      <c r="AW29" s="52">
        <v>771.13301065931898</v>
      </c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</row>
    <row r="30" spans="3:89" ht="14.4">
      <c r="C30" t="s">
        <v>6</v>
      </c>
      <c r="D30" t="str">
        <f>_xlfn.TEXTJOIN(",",TRUE,Regions!$C$3,Regions!$D$3)</f>
        <v>IE,National</v>
      </c>
      <c r="E30" t="s">
        <v>55</v>
      </c>
      <c r="F30" s="34" t="s">
        <v>56</v>
      </c>
      <c r="G30" s="51">
        <f>VLOOKUP(E30,'BY-Demands'!$I$6:$J$42,2,FALSE)</f>
        <v>788.06472099999996</v>
      </c>
      <c r="H30" s="52">
        <v>805.70916346620595</v>
      </c>
      <c r="I30" s="52">
        <v>818.79213614191099</v>
      </c>
      <c r="J30" s="52">
        <v>828.23348265178799</v>
      </c>
      <c r="K30" s="52">
        <v>837.71211748108306</v>
      </c>
      <c r="L30" s="52">
        <v>847.44596259241098</v>
      </c>
      <c r="M30" s="52">
        <v>857.22660991181897</v>
      </c>
      <c r="N30" s="52">
        <v>866.69288183161598</v>
      </c>
      <c r="O30" s="52">
        <v>876.45317782380505</v>
      </c>
      <c r="P30" s="52">
        <v>886.30184769788696</v>
      </c>
      <c r="Q30" s="52">
        <v>896.78868422421601</v>
      </c>
      <c r="R30" s="52">
        <v>907.41397234982298</v>
      </c>
      <c r="S30" s="52">
        <v>918.02415110284801</v>
      </c>
      <c r="T30" s="52">
        <v>926.06233489012698</v>
      </c>
      <c r="U30" s="52">
        <v>935.42249419952896</v>
      </c>
      <c r="V30" s="52">
        <v>944.78624082315798</v>
      </c>
      <c r="W30" s="52">
        <v>954.01952778809903</v>
      </c>
      <c r="X30" s="52">
        <v>962.89022086688499</v>
      </c>
      <c r="Y30" s="52">
        <v>971.40101477560995</v>
      </c>
      <c r="Z30" s="52">
        <v>979.85184308314797</v>
      </c>
      <c r="AA30" s="52">
        <v>988.17666058914301</v>
      </c>
      <c r="AB30" s="52">
        <v>996.04767237168198</v>
      </c>
      <c r="AC30" s="52">
        <v>1003.43540212397</v>
      </c>
      <c r="AD30" s="52">
        <f>+AC30/2+AE30/2</f>
        <v>1006.3092483082901</v>
      </c>
      <c r="AE30" s="52">
        <v>1009.1830944926101</v>
      </c>
      <c r="AF30" s="52">
        <v>1016.05596064786</v>
      </c>
      <c r="AG30" s="52">
        <v>1022.6819321704</v>
      </c>
      <c r="AH30" s="52">
        <v>1029.0480878439801</v>
      </c>
      <c r="AI30" s="52">
        <v>1035.14898193112</v>
      </c>
      <c r="AJ30" s="52">
        <v>1040.9634765099099</v>
      </c>
      <c r="AK30" s="52">
        <v>1046.47869262623</v>
      </c>
      <c r="AL30" s="52">
        <v>1051.6575592105</v>
      </c>
      <c r="AM30" s="52">
        <v>1056.50027926231</v>
      </c>
      <c r="AN30" s="52">
        <v>1061.0111593090801</v>
      </c>
      <c r="AO30" s="52">
        <v>1065.4365901041699</v>
      </c>
      <c r="AP30" s="52">
        <v>1069.59656124649</v>
      </c>
      <c r="AQ30" s="52">
        <v>1073.5142082482701</v>
      </c>
      <c r="AR30" s="52">
        <v>1077.2202537226899</v>
      </c>
      <c r="AS30" s="52">
        <v>1080.73113493408</v>
      </c>
      <c r="AT30" s="52">
        <v>1084.05792806455</v>
      </c>
      <c r="AU30" s="52">
        <v>1087.23276101281</v>
      </c>
      <c r="AV30" s="52">
        <v>1090.2845851591101</v>
      </c>
      <c r="AW30" s="52">
        <v>1093.2445905786401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</row>
    <row r="31" spans="3:89" ht="14.4">
      <c r="C31" t="s">
        <v>6</v>
      </c>
      <c r="D31" t="str">
        <f>_xlfn.TEXTJOIN(",",TRUE,Regions!$C$3,Regions!$D$3)</f>
        <v>IE,National</v>
      </c>
      <c r="E31" t="s">
        <v>57</v>
      </c>
      <c r="F31" s="34" t="s">
        <v>58</v>
      </c>
      <c r="G31" s="51">
        <f>VLOOKUP(E31,'BY-Demands'!$I$6:$J$42,2,FALSE)</f>
        <v>735.40672900000004</v>
      </c>
      <c r="H31" s="52">
        <v>756.93265686674704</v>
      </c>
      <c r="I31" s="52">
        <v>768.29446481802404</v>
      </c>
      <c r="J31" s="52">
        <v>772.86208694584798</v>
      </c>
      <c r="K31" s="52">
        <v>777.95194352567796</v>
      </c>
      <c r="L31" s="52">
        <v>783.67269864148204</v>
      </c>
      <c r="M31" s="52">
        <v>789.75930268250397</v>
      </c>
      <c r="N31" s="52">
        <v>795.82537085896797</v>
      </c>
      <c r="O31" s="52">
        <v>802.38775006715798</v>
      </c>
      <c r="P31" s="52">
        <v>809.22213416551403</v>
      </c>
      <c r="Q31" s="52">
        <v>816.80113347457802</v>
      </c>
      <c r="R31" s="52">
        <v>824.64428658311704</v>
      </c>
      <c r="S31" s="52">
        <v>832.59337892975498</v>
      </c>
      <c r="T31" s="52">
        <v>835.494721776652</v>
      </c>
      <c r="U31" s="52">
        <v>841.12386901591697</v>
      </c>
      <c r="V31" s="52">
        <v>846.68490394820003</v>
      </c>
      <c r="W31" s="52">
        <v>852.05750789504805</v>
      </c>
      <c r="X31" s="52">
        <v>857.03569133233998</v>
      </c>
      <c r="Y31" s="52">
        <v>861.62461714738197</v>
      </c>
      <c r="Z31" s="52">
        <v>866.09217418652202</v>
      </c>
      <c r="AA31" s="52">
        <v>870.38020137632998</v>
      </c>
      <c r="AB31" s="52">
        <v>874.20163295403097</v>
      </c>
      <c r="AC31" s="52">
        <v>877.53441615506995</v>
      </c>
      <c r="AD31" s="52">
        <v>877.71565965240802</v>
      </c>
      <c r="AE31" s="52">
        <v>877.87112006521807</v>
      </c>
      <c r="AF31" s="52">
        <v>878.89535131181003</v>
      </c>
      <c r="AG31" s="52">
        <v>881.34522505719599</v>
      </c>
      <c r="AH31" s="52">
        <v>883.51153419697505</v>
      </c>
      <c r="AI31" s="52">
        <v>885.39165384489604</v>
      </c>
      <c r="AJ31" s="52">
        <v>886.96968161539996</v>
      </c>
      <c r="AK31" s="52">
        <v>888.23702563617996</v>
      </c>
      <c r="AL31" s="52">
        <v>889.16483547498206</v>
      </c>
      <c r="AM31" s="52">
        <v>889.75617108824804</v>
      </c>
      <c r="AN31" s="52">
        <v>890.01756387450996</v>
      </c>
      <c r="AO31" s="52">
        <v>890.15777792928498</v>
      </c>
      <c r="AP31" s="52">
        <v>890.027472236378</v>
      </c>
      <c r="AQ31" s="52">
        <v>889.64810387578098</v>
      </c>
      <c r="AR31" s="52">
        <v>889.04710174709999</v>
      </c>
      <c r="AS31" s="52">
        <v>888.23975575464704</v>
      </c>
      <c r="AT31" s="52">
        <v>887.23676143058299</v>
      </c>
      <c r="AU31" s="52">
        <v>886.06583568271606</v>
      </c>
      <c r="AV31" s="52">
        <v>884.75168699987705</v>
      </c>
      <c r="AW31" s="52">
        <v>883.32044041935796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</row>
    <row r="32" spans="3:89" ht="14.4">
      <c r="C32" t="s">
        <v>6</v>
      </c>
      <c r="D32" t="str">
        <f>_xlfn.TEXTJOIN(",",TRUE,Regions!$C$3,Regions!$D$3)</f>
        <v>IE,National</v>
      </c>
      <c r="E32" t="s">
        <v>135</v>
      </c>
      <c r="F32" s="34" t="s">
        <v>136</v>
      </c>
      <c r="G32" s="51">
        <f>VLOOKUP(E32,'BY-Demands'!$I$6:$J$42,2,FALSE)</f>
        <v>28.901664567933999</v>
      </c>
      <c r="H32" s="52">
        <v>29.285472960899106</v>
      </c>
      <c r="I32" s="52">
        <v>29.618106901468909</v>
      </c>
      <c r="J32" s="52">
        <v>30.592051000616877</v>
      </c>
      <c r="K32" s="52">
        <v>31.598021694557701</v>
      </c>
      <c r="L32" s="52">
        <v>32.637072126664755</v>
      </c>
      <c r="M32" s="52">
        <v>33.710290071247677</v>
      </c>
      <c r="N32" s="52">
        <v>34.818799072335445</v>
      </c>
      <c r="O32" s="52">
        <v>35.963759619906362</v>
      </c>
      <c r="P32" s="52">
        <v>36.712499803959538</v>
      </c>
      <c r="Q32" s="52">
        <v>37.47682823209901</v>
      </c>
      <c r="R32" s="52">
        <v>38.25706944060434</v>
      </c>
      <c r="S32" s="52">
        <v>39.053554722372212</v>
      </c>
      <c r="T32" s="52">
        <v>39.866622267584432</v>
      </c>
      <c r="U32" s="52">
        <v>40.357314057686089</v>
      </c>
      <c r="V32" s="52">
        <v>40.854045447311805</v>
      </c>
      <c r="W32" s="52">
        <v>41.356890773883045</v>
      </c>
      <c r="X32" s="52">
        <v>41.865925289791257</v>
      </c>
      <c r="Y32" s="52">
        <v>42.381225173659615</v>
      </c>
      <c r="Z32" s="52">
        <v>42.776493751275368</v>
      </c>
      <c r="AA32" s="52">
        <v>43.175448802036009</v>
      </c>
      <c r="AB32" s="52">
        <v>43.578124707840381</v>
      </c>
      <c r="AC32" s="52">
        <v>43.984556171250162</v>
      </c>
      <c r="AD32" s="52">
        <v>44.394778218480539</v>
      </c>
      <c r="AE32" s="52">
        <v>44.717758131431516</v>
      </c>
      <c r="AF32" s="52">
        <v>45.043087780733387</v>
      </c>
      <c r="AG32" s="52">
        <v>45.370784261136308</v>
      </c>
      <c r="AH32" s="52">
        <v>45.700864791757795</v>
      </c>
      <c r="AI32" s="52">
        <v>46.033346716987502</v>
      </c>
      <c r="AJ32" s="52">
        <v>46.369255228359584</v>
      </c>
      <c r="AK32" s="52">
        <v>46.707614887346587</v>
      </c>
      <c r="AL32" s="52">
        <v>47.048443580142006</v>
      </c>
      <c r="AM32" s="52">
        <v>47.391759323456121</v>
      </c>
      <c r="AN32" s="52">
        <v>47.737580265468395</v>
      </c>
      <c r="AO32" s="52">
        <v>48.167218487857603</v>
      </c>
      <c r="AP32" s="52">
        <v>48.600723454248318</v>
      </c>
      <c r="AQ32" s="52">
        <v>49.038129965336545</v>
      </c>
      <c r="AR32" s="52">
        <v>49.47947313502457</v>
      </c>
      <c r="AS32" s="52">
        <v>49.924788393239787</v>
      </c>
      <c r="AT32" s="52">
        <v>50.374111488778937</v>
      </c>
      <c r="AU32" s="52">
        <v>50.827478492177939</v>
      </c>
      <c r="AV32" s="52">
        <v>51.284925798607532</v>
      </c>
      <c r="AW32" s="52">
        <v>51.746490130794996</v>
      </c>
      <c r="AX32" s="52">
        <v>52.212208541972146</v>
      </c>
      <c r="AY32" s="52">
        <v>52.682118418849889</v>
      </c>
      <c r="AZ32" s="52">
        <v>53.15625748461953</v>
      </c>
      <c r="BA32" s="52">
        <v>53.634663801981098</v>
      </c>
      <c r="BB32" s="52">
        <v>54.117375776198919</v>
      </c>
      <c r="BC32" s="52">
        <v>54.604432158184707</v>
      </c>
      <c r="BD32" s="52">
        <v>55.095872047608367</v>
      </c>
      <c r="BE32" s="52">
        <v>55.59173489603684</v>
      </c>
      <c r="BF32" s="52">
        <v>56.092060510101163</v>
      </c>
      <c r="BG32" s="52">
        <v>56.59688905469207</v>
      </c>
      <c r="BH32" s="52">
        <v>57.106261056184294</v>
      </c>
      <c r="BI32" s="52">
        <v>57.620217405689949</v>
      </c>
      <c r="BJ32" s="52">
        <v>58.138799362341153</v>
      </c>
      <c r="BK32" s="52">
        <v>58.662048556602215</v>
      </c>
      <c r="BL32" s="52">
        <v>59.190006993611632</v>
      </c>
      <c r="BM32" s="52">
        <v>59.722717056554131</v>
      </c>
      <c r="BN32" s="52">
        <v>60.260221510063111</v>
      </c>
      <c r="BO32" s="52">
        <v>60.802563503653673</v>
      </c>
      <c r="BP32" s="52">
        <v>61.349786575186549</v>
      </c>
      <c r="BQ32" s="52">
        <v>61.901934654363224</v>
      </c>
      <c r="BR32" s="52">
        <v>62.45905206625249</v>
      </c>
      <c r="BS32" s="52">
        <v>63.021183534848753</v>
      </c>
      <c r="BT32" s="52">
        <v>63.588374186662385</v>
      </c>
      <c r="BU32" s="52">
        <v>64.160669554342334</v>
      </c>
      <c r="BV32" s="52">
        <v>64.73811558033141</v>
      </c>
      <c r="BW32" s="52">
        <v>65.320758620554386</v>
      </c>
      <c r="BX32" s="52">
        <v>65.908645448139367</v>
      </c>
      <c r="BY32" s="52">
        <v>66.501823257172617</v>
      </c>
      <c r="BZ32" s="52">
        <v>67.100339666487159</v>
      </c>
      <c r="CA32" s="52">
        <v>67.704242723485535</v>
      </c>
      <c r="CB32" s="52">
        <v>68.313580907996894</v>
      </c>
      <c r="CC32" s="52">
        <v>68.928403136168853</v>
      </c>
      <c r="CD32" s="52">
        <v>69.548758764394364</v>
      </c>
      <c r="CE32" s="52">
        <v>70.174697593273905</v>
      </c>
      <c r="CF32" s="52">
        <v>70.806269871613367</v>
      </c>
      <c r="CG32" s="52">
        <v>71.443526300457876</v>
      </c>
      <c r="CH32" s="52">
        <v>72.086518037161994</v>
      </c>
      <c r="CI32" s="52">
        <v>72.735296699496445</v>
      </c>
      <c r="CJ32" s="52">
        <v>73.38991436979191</v>
      </c>
      <c r="CK32" s="52">
        <v>74.050423599120023</v>
      </c>
    </row>
    <row r="33" spans="3:89" ht="14.4">
      <c r="C33" t="s">
        <v>6</v>
      </c>
      <c r="D33" t="str">
        <f>_xlfn.TEXTJOIN(",",TRUE,Regions!$C$3,Regions!$D$3)</f>
        <v>IE,National</v>
      </c>
      <c r="E33" t="s">
        <v>137</v>
      </c>
      <c r="F33" s="34" t="s">
        <v>138</v>
      </c>
      <c r="G33" s="51">
        <f>VLOOKUP(E33,'BY-Demands'!$I$6:$J$42,2,FALSE)</f>
        <v>58.151541961987597</v>
      </c>
      <c r="H33" s="52">
        <v>58.923782945423504</v>
      </c>
      <c r="I33" s="52">
        <v>59.593058464401295</v>
      </c>
      <c r="J33" s="52">
        <v>61.552680928952022</v>
      </c>
      <c r="K33" s="52">
        <v>63.576742445676302</v>
      </c>
      <c r="L33" s="52">
        <v>65.667361989795339</v>
      </c>
      <c r="M33" s="52">
        <v>67.826728215642902</v>
      </c>
      <c r="N33" s="52">
        <v>70.057101747952018</v>
      </c>
      <c r="O33" s="52">
        <v>72.360817548486267</v>
      </c>
      <c r="P33" s="52">
        <v>73.867318882665543</v>
      </c>
      <c r="Q33" s="52">
        <v>75.405184515187131</v>
      </c>
      <c r="R33" s="52">
        <v>76.975067428685819</v>
      </c>
      <c r="S33" s="52">
        <v>78.577634200435639</v>
      </c>
      <c r="T33" s="52">
        <v>80.21356528538071</v>
      </c>
      <c r="U33" s="52">
        <v>81.200860814862352</v>
      </c>
      <c r="V33" s="52">
        <v>82.200308309651447</v>
      </c>
      <c r="W33" s="52">
        <v>83.212057340222501</v>
      </c>
      <c r="X33" s="52">
        <v>84.236259318013722</v>
      </c>
      <c r="Y33" s="52">
        <v>85.273067518086194</v>
      </c>
      <c r="Z33" s="52">
        <v>86.068366945337161</v>
      </c>
      <c r="AA33" s="52">
        <v>86.871083734217009</v>
      </c>
      <c r="AB33" s="52">
        <v>87.681287062763161</v>
      </c>
      <c r="AC33" s="52">
        <v>88.499046754202112</v>
      </c>
      <c r="AD33" s="52">
        <v>89.324433282966837</v>
      </c>
      <c r="AE33" s="52">
        <v>89.974284433121213</v>
      </c>
      <c r="AF33" s="52">
        <v>90.628863366053892</v>
      </c>
      <c r="AG33" s="52">
        <v>91.288204477226031</v>
      </c>
      <c r="AH33" s="52">
        <v>91.952342412331916</v>
      </c>
      <c r="AI33" s="52">
        <v>92.621312069119398</v>
      </c>
      <c r="AJ33" s="52">
        <v>93.297176182362023</v>
      </c>
      <c r="AK33" s="52">
        <v>93.977972122733462</v>
      </c>
      <c r="AL33" s="52">
        <v>94.663735878117009</v>
      </c>
      <c r="AM33" s="52">
        <v>95.354503699002038</v>
      </c>
      <c r="AN33" s="52">
        <v>96.05031210040022</v>
      </c>
      <c r="AO33" s="52">
        <v>96.914764909303813</v>
      </c>
      <c r="AP33" s="52">
        <v>97.786997793487544</v>
      </c>
      <c r="AQ33" s="52">
        <v>98.667080773628925</v>
      </c>
      <c r="AR33" s="52">
        <v>99.555084500591576</v>
      </c>
      <c r="AS33" s="52">
        <v>100.45108026109689</v>
      </c>
      <c r="AT33" s="52">
        <v>101.35513998344675</v>
      </c>
      <c r="AU33" s="52">
        <v>102.26733624329776</v>
      </c>
      <c r="AV33" s="52">
        <v>103.18774226948743</v>
      </c>
      <c r="AW33" s="52">
        <v>104.11643194991281</v>
      </c>
      <c r="AX33" s="52">
        <v>105.05347983746201</v>
      </c>
      <c r="AY33" s="52">
        <v>105.99896115599915</v>
      </c>
      <c r="AZ33" s="52">
        <v>106.95295180640314</v>
      </c>
      <c r="BA33" s="52">
        <v>107.91552837266076</v>
      </c>
      <c r="BB33" s="52">
        <v>108.88676812801469</v>
      </c>
      <c r="BC33" s="52">
        <v>109.86674904116681</v>
      </c>
      <c r="BD33" s="52">
        <v>110.85554978253731</v>
      </c>
      <c r="BE33" s="52">
        <v>111.85324973058013</v>
      </c>
      <c r="BF33" s="52">
        <v>112.85992897815534</v>
      </c>
      <c r="BG33" s="52">
        <v>113.87566833895872</v>
      </c>
      <c r="BH33" s="52">
        <v>114.90054935400933</v>
      </c>
      <c r="BI33" s="52">
        <v>115.9346542981954</v>
      </c>
      <c r="BJ33" s="52">
        <v>116.97806618687915</v>
      </c>
      <c r="BK33" s="52">
        <v>118.03086878256104</v>
      </c>
      <c r="BL33" s="52">
        <v>119.09314660160408</v>
      </c>
      <c r="BM33" s="52">
        <v>120.1649849210185</v>
      </c>
      <c r="BN33" s="52">
        <v>121.24646978530765</v>
      </c>
      <c r="BO33" s="52">
        <v>122.33768801337541</v>
      </c>
      <c r="BP33" s="52">
        <v>123.43872720549578</v>
      </c>
      <c r="BQ33" s="52">
        <v>124.54967575034523</v>
      </c>
      <c r="BR33" s="52">
        <v>125.67062283209833</v>
      </c>
      <c r="BS33" s="52">
        <v>126.80165843758721</v>
      </c>
      <c r="BT33" s="52">
        <v>127.94287336352548</v>
      </c>
      <c r="BU33" s="52">
        <v>129.0943592237972</v>
      </c>
      <c r="BV33" s="52">
        <v>130.25620845681135</v>
      </c>
      <c r="BW33" s="52">
        <v>131.42851433292265</v>
      </c>
      <c r="BX33" s="52">
        <v>132.61137096191894</v>
      </c>
      <c r="BY33" s="52">
        <v>133.80487330057619</v>
      </c>
      <c r="BZ33" s="52">
        <v>135.00911716028136</v>
      </c>
      <c r="CA33" s="52">
        <v>136.22419921472388</v>
      </c>
      <c r="CB33" s="52">
        <v>137.45021700765639</v>
      </c>
      <c r="CC33" s="52">
        <v>138.68726896072528</v>
      </c>
      <c r="CD33" s="52">
        <v>139.93545438137178</v>
      </c>
      <c r="CE33" s="52">
        <v>141.19487347080411</v>
      </c>
      <c r="CF33" s="52">
        <v>142.46562733204132</v>
      </c>
      <c r="CG33" s="52">
        <v>143.74781797802967</v>
      </c>
      <c r="CH33" s="52">
        <v>145.04154833983193</v>
      </c>
      <c r="CI33" s="52">
        <v>146.3469222748904</v>
      </c>
      <c r="CJ33" s="52">
        <v>147.66404457536441</v>
      </c>
      <c r="CK33" s="52">
        <v>148.99302097654268</v>
      </c>
    </row>
    <row r="34" spans="3:89" ht="14.4">
      <c r="C34" t="s">
        <v>6</v>
      </c>
      <c r="D34" t="str">
        <f>_xlfn.TEXTJOIN(",",TRUE,Regions!$C$3,Regions!$D$3)</f>
        <v>IE,National</v>
      </c>
      <c r="E34" t="s">
        <v>139</v>
      </c>
      <c r="F34" s="34" t="s">
        <v>140</v>
      </c>
      <c r="G34" s="51">
        <f>VLOOKUP(E34,'BY-Demands'!$I$6:$J$42,2,FALSE)</f>
        <v>5.6291760000000002</v>
      </c>
      <c r="H34" s="52"/>
      <c r="I34" s="52">
        <f>3.019*3.6</f>
        <v>10.868400000000001</v>
      </c>
      <c r="J34" s="52">
        <f>3.993*3.6</f>
        <v>14.3748</v>
      </c>
      <c r="K34" s="51">
        <f>'BY-Demands'!E68</f>
        <v>18.9072</v>
      </c>
      <c r="L34" s="52"/>
      <c r="M34" s="52"/>
      <c r="N34" s="52"/>
      <c r="O34" s="52"/>
      <c r="P34" s="52"/>
      <c r="Q34" s="52"/>
      <c r="R34" s="52"/>
      <c r="S34" s="51">
        <f>(T34-K34)/(T2-K2)*(S2-K2)+K34</f>
        <v>43.896512000000001</v>
      </c>
      <c r="T34" s="51">
        <f>1491*8760/10^6*3.6</f>
        <v>47.020175999999999</v>
      </c>
      <c r="U34" s="52"/>
      <c r="V34" s="52"/>
      <c r="W34" s="52"/>
      <c r="X34" s="52"/>
      <c r="Y34" s="52"/>
      <c r="Z34" s="52"/>
      <c r="AA34" s="52"/>
      <c r="AB34" s="52"/>
      <c r="AC34" s="52">
        <f>T34</f>
        <v>47.020175999999999</v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>
        <f>AC34</f>
        <v>47.020175999999999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>
        <f>AM34</f>
        <v>47.020175999999999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>
        <f>AW34</f>
        <v>47.020175999999999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>
        <f>BG34</f>
        <v>47.020175999999999</v>
      </c>
      <c r="BR34" s="52"/>
      <c r="BS34" s="52"/>
      <c r="BT34" s="52"/>
      <c r="BU34" s="52"/>
      <c r="BV34" s="52"/>
      <c r="BW34" s="52"/>
      <c r="BX34" s="52"/>
      <c r="BY34" s="52"/>
      <c r="BZ34" s="52"/>
      <c r="CA34" s="52">
        <f>BQ34</f>
        <v>47.020175999999999</v>
      </c>
      <c r="CB34" s="52"/>
      <c r="CC34" s="52"/>
      <c r="CD34" s="52"/>
      <c r="CE34" s="52"/>
      <c r="CF34" s="52"/>
      <c r="CG34" s="52"/>
      <c r="CH34" s="52"/>
      <c r="CI34" s="52"/>
      <c r="CJ34" s="52"/>
      <c r="CK34" s="52">
        <f>CA34</f>
        <v>47.020175999999999</v>
      </c>
    </row>
    <row r="35" spans="3:89" ht="14.4">
      <c r="C35" t="s">
        <v>6</v>
      </c>
      <c r="D35" t="str">
        <f>_xlfn.TEXTJOIN(",",TRUE,Regions!$C$3,Regions!$D$3)</f>
        <v>IE,National</v>
      </c>
      <c r="E35" t="s">
        <v>141</v>
      </c>
      <c r="F35" s="34" t="s">
        <v>142</v>
      </c>
      <c r="G35" s="51">
        <f>VLOOKUP(E35,'BY-Demands'!$I$6:$J$42,2,FALSE)</f>
        <v>0.47999999999999998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v>0.50</v>
      </c>
      <c r="T35" s="52"/>
      <c r="U35" s="52"/>
      <c r="V35" s="52"/>
      <c r="W35" s="52"/>
      <c r="X35" s="52"/>
      <c r="Y35" s="52"/>
      <c r="Z35" s="52"/>
      <c r="AA35" s="52"/>
      <c r="AB35" s="52"/>
      <c r="AC35" s="52">
        <v>0.54</v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>
        <v>0.57499999999999996</v>
      </c>
      <c r="AN35" s="52">
        <v>0.57499999999999996</v>
      </c>
      <c r="AO35" s="52">
        <v>0.57499999999999996</v>
      </c>
      <c r="AP35" s="52">
        <v>0.57499999999999996</v>
      </c>
      <c r="AQ35" s="52">
        <v>0.57499999999999996</v>
      </c>
      <c r="AR35" s="52">
        <v>0.57499999999999996</v>
      </c>
      <c r="AS35" s="52">
        <v>0.57499999999999996</v>
      </c>
      <c r="AT35" s="52">
        <v>0.57499999999999996</v>
      </c>
      <c r="AU35" s="52">
        <v>0.57499999999999996</v>
      </c>
      <c r="AV35" s="52">
        <v>0.57499999999999996</v>
      </c>
      <c r="AW35" s="52">
        <v>0.57499999999999996</v>
      </c>
      <c r="AX35" s="52">
        <v>0.57499999999999996</v>
      </c>
      <c r="AY35" s="52">
        <v>0.57499999999999996</v>
      </c>
      <c r="AZ35" s="52">
        <v>0.57499999999999996</v>
      </c>
      <c r="BA35" s="52">
        <v>0.57499999999999996</v>
      </c>
      <c r="BB35" s="52">
        <v>0.57499999999999996</v>
      </c>
      <c r="BC35" s="52">
        <v>0.57499999999999996</v>
      </c>
      <c r="BD35" s="52">
        <v>0.57499999999999996</v>
      </c>
      <c r="BE35" s="52">
        <v>0.57499999999999996</v>
      </c>
      <c r="BF35" s="52">
        <v>0.57499999999999996</v>
      </c>
      <c r="BG35" s="52">
        <v>0.57499999999999996</v>
      </c>
      <c r="BH35" s="52">
        <v>0.57499999999999996</v>
      </c>
      <c r="BI35" s="52">
        <v>0.57499999999999996</v>
      </c>
      <c r="BJ35" s="52">
        <v>0.57499999999999996</v>
      </c>
      <c r="BK35" s="52">
        <v>0.57499999999999996</v>
      </c>
      <c r="BL35" s="52">
        <v>0.57499999999999996</v>
      </c>
      <c r="BM35" s="52">
        <v>0.57499999999999996</v>
      </c>
      <c r="BN35" s="52">
        <v>0.57499999999999996</v>
      </c>
      <c r="BO35" s="52">
        <v>0.57499999999999996</v>
      </c>
      <c r="BP35" s="52">
        <v>0.57499999999999996</v>
      </c>
      <c r="BQ35" s="52">
        <v>0.57499999999999996</v>
      </c>
      <c r="BR35" s="52">
        <v>0.57499999999999996</v>
      </c>
      <c r="BS35" s="52">
        <v>0.57499999999999996</v>
      </c>
      <c r="BT35" s="52">
        <v>0.57499999999999996</v>
      </c>
      <c r="BU35" s="52">
        <v>0.57499999999999996</v>
      </c>
      <c r="BV35" s="52">
        <v>0.57499999999999996</v>
      </c>
      <c r="BW35" s="52">
        <v>0.57499999999999996</v>
      </c>
      <c r="BX35" s="52">
        <v>0.57499999999999996</v>
      </c>
      <c r="BY35" s="52">
        <v>0.57499999999999996</v>
      </c>
      <c r="BZ35" s="52">
        <v>0.57499999999999996</v>
      </c>
      <c r="CA35" s="52">
        <v>0.57499999999999996</v>
      </c>
      <c r="CB35" s="52">
        <v>0.57499999999999996</v>
      </c>
      <c r="CC35" s="52">
        <v>0.57499999999999996</v>
      </c>
      <c r="CD35" s="52">
        <v>0.57499999999999996</v>
      </c>
      <c r="CE35" s="52">
        <v>0.57499999999999996</v>
      </c>
      <c r="CF35" s="52">
        <v>0.57499999999999996</v>
      </c>
      <c r="CG35" s="52">
        <v>0.57499999999999996</v>
      </c>
      <c r="CH35" s="52">
        <v>0.57499999999999996</v>
      </c>
      <c r="CI35" s="52">
        <v>0.57499999999999996</v>
      </c>
      <c r="CJ35" s="52">
        <v>0.57499999999999996</v>
      </c>
      <c r="CK35" s="52">
        <v>0.57499999999999996</v>
      </c>
    </row>
    <row r="36" spans="3:89" ht="14.4">
      <c r="C36" t="s">
        <v>6</v>
      </c>
      <c r="D36" t="s">
        <v>161</v>
      </c>
      <c r="E36" t="s">
        <v>128</v>
      </c>
      <c r="F36" t="s">
        <v>162</v>
      </c>
      <c r="G36" s="51">
        <f>VLOOKUP(E36,'BY-Demands'!$I$6:$J$42,2,FALSE)</f>
        <v>1.1544546193487999</v>
      </c>
      <c r="H36" s="52">
        <f t="shared" si="49" ref="H36:H42">$G36*SUM(H$29:H$31)/SUM($G$29:$G$31)</f>
        <v>1.1908349006400001</v>
      </c>
      <c r="I36" s="52">
        <f t="shared" si="50" ref="I36:BT37">$G36*SUM(I$29:I$31)/SUM($G$29:$G$31)</f>
        <v>1.2115424059200002</v>
      </c>
      <c r="J36" s="52">
        <f t="shared" si="50"/>
        <v>1.2318444230400001</v>
      </c>
      <c r="K36" s="52">
        <f t="shared" si="50"/>
        <v>1.2514826903039997</v>
      </c>
      <c r="L36" s="52">
        <f t="shared" si="50"/>
        <v>1.2709210409279992</v>
      </c>
      <c r="M36" s="52">
        <f t="shared" si="50"/>
        <v>1.2899536385699539</v>
      </c>
      <c r="N36" s="52">
        <f t="shared" si="50"/>
        <v>1.3081161139199997</v>
      </c>
      <c r="O36" s="52">
        <f t="shared" si="50"/>
        <v>1.3263884282880001</v>
      </c>
      <c r="P36" s="52">
        <f t="shared" si="50"/>
        <v>1.3445125182720001</v>
      </c>
      <c r="Q36" s="52">
        <f t="shared" si="50"/>
        <v>1.3633657551360001</v>
      </c>
      <c r="R36" s="52">
        <f t="shared" si="50"/>
        <v>1.3822257792382255</v>
      </c>
      <c r="S36" s="52">
        <f t="shared" si="50"/>
        <v>1.4008862165760005</v>
      </c>
      <c r="T36" s="52">
        <f t="shared" si="50"/>
        <v>1.4196390243415515</v>
      </c>
      <c r="U36" s="52">
        <f t="shared" si="50"/>
        <v>1.4381444961138057</v>
      </c>
      <c r="V36" s="52">
        <f t="shared" si="50"/>
        <v>1.4567607948865551</v>
      </c>
      <c r="W36" s="52">
        <f t="shared" si="50"/>
        <v>1.4752815154269274</v>
      </c>
      <c r="X36" s="52">
        <f t="shared" si="50"/>
        <v>1.4933457179612972</v>
      </c>
      <c r="Y36" s="52">
        <f t="shared" si="50"/>
        <v>1.5109535007953232</v>
      </c>
      <c r="Z36" s="52">
        <f t="shared" si="50"/>
        <v>1.5285686603979654</v>
      </c>
      <c r="AA36" s="52">
        <f t="shared" si="50"/>
        <v>1.5460878468794566</v>
      </c>
      <c r="AB36" s="52">
        <f t="shared" si="50"/>
        <v>1.5629957549216376</v>
      </c>
      <c r="AC36" s="52">
        <f t="shared" si="50"/>
        <v>1.5792404945123684</v>
      </c>
      <c r="AD36" s="52">
        <f t="shared" si="50"/>
        <v>1.5836256156472743</v>
      </c>
      <c r="AE36" s="52">
        <f t="shared" si="50"/>
        <v>1.5977193026469054</v>
      </c>
      <c r="AF36" s="52">
        <f t="shared" si="50"/>
        <v>1.6133874034964311</v>
      </c>
      <c r="AG36" s="52">
        <f t="shared" si="50"/>
        <v>1.6287532055901592</v>
      </c>
      <c r="AH36" s="52">
        <f t="shared" si="50"/>
        <v>1.6437932834842923</v>
      </c>
      <c r="AI36" s="52">
        <f t="shared" si="50"/>
        <v>1.6584959109268544</v>
      </c>
      <c r="AJ36" s="52">
        <f t="shared" si="50"/>
        <v>1.672824006688461</v>
      </c>
      <c r="AK36" s="52">
        <f t="shared" si="50"/>
        <v>1.6867533581716272</v>
      </c>
      <c r="AL36" s="52">
        <f t="shared" si="50"/>
        <v>1.7002203524966655</v>
      </c>
      <c r="AM36" s="52">
        <f t="shared" si="50"/>
        <v>1.7132210540060933</v>
      </c>
      <c r="AN36" s="52">
        <f t="shared" si="50"/>
        <v>1.7257581583520163</v>
      </c>
      <c r="AO36" s="52">
        <f t="shared" si="50"/>
        <v>1.7382293521517052</v>
      </c>
      <c r="AP36" s="52">
        <f t="shared" si="50"/>
        <v>1.750339395817216</v>
      </c>
      <c r="AQ36" s="52">
        <f t="shared" si="50"/>
        <v>1.7621228933246418</v>
      </c>
      <c r="AR36" s="52">
        <f t="shared" si="50"/>
        <v>1.7736273687150745</v>
      </c>
      <c r="AS36" s="52">
        <f t="shared" si="50"/>
        <v>1.7848773407196687</v>
      </c>
      <c r="AT36" s="52">
        <f t="shared" si="50"/>
        <v>1.7958887517694602</v>
      </c>
      <c r="AU36" s="52">
        <f t="shared" si="50"/>
        <v>1.8067127266654888</v>
      </c>
      <c r="AV36" s="52">
        <f t="shared" si="50"/>
        <v>1.8173957311076536</v>
      </c>
      <c r="AW36" s="52">
        <f t="shared" si="50"/>
        <v>1.8279885531537796</v>
      </c>
      <c r="AX36" s="52">
        <f t="shared" si="50"/>
        <v>0</v>
      </c>
      <c r="AY36" s="52">
        <f t="shared" si="50"/>
        <v>0</v>
      </c>
      <c r="AZ36" s="52">
        <f t="shared" si="50"/>
        <v>0</v>
      </c>
      <c r="BA36" s="52">
        <f t="shared" si="50"/>
        <v>0</v>
      </c>
      <c r="BB36" s="52">
        <f t="shared" si="50"/>
        <v>0</v>
      </c>
      <c r="BC36" s="52">
        <f t="shared" si="50"/>
        <v>0</v>
      </c>
      <c r="BD36" s="52">
        <f t="shared" si="50"/>
        <v>0</v>
      </c>
      <c r="BE36" s="52">
        <f t="shared" si="50"/>
        <v>0</v>
      </c>
      <c r="BF36" s="52">
        <f t="shared" si="50"/>
        <v>0</v>
      </c>
      <c r="BG36" s="52">
        <f t="shared" si="50"/>
        <v>0</v>
      </c>
      <c r="BH36" s="52">
        <f t="shared" si="50"/>
        <v>0</v>
      </c>
      <c r="BI36" s="52">
        <f t="shared" si="50"/>
        <v>0</v>
      </c>
      <c r="BJ36" s="52">
        <f t="shared" si="50"/>
        <v>0</v>
      </c>
      <c r="BK36" s="52">
        <f t="shared" si="50"/>
        <v>0</v>
      </c>
      <c r="BL36" s="52">
        <f t="shared" si="50"/>
        <v>0</v>
      </c>
      <c r="BM36" s="52">
        <f t="shared" si="50"/>
        <v>0</v>
      </c>
      <c r="BN36" s="52">
        <f t="shared" si="50"/>
        <v>0</v>
      </c>
      <c r="BO36" s="52">
        <f t="shared" si="50"/>
        <v>0</v>
      </c>
      <c r="BP36" s="52">
        <f t="shared" si="50"/>
        <v>0</v>
      </c>
      <c r="BQ36" s="52">
        <f t="shared" si="50"/>
        <v>0</v>
      </c>
      <c r="BR36" s="52">
        <f t="shared" si="50"/>
        <v>0</v>
      </c>
      <c r="BS36" s="52">
        <f t="shared" si="50"/>
        <v>0</v>
      </c>
      <c r="BT36" s="52">
        <f t="shared" si="50"/>
        <v>0</v>
      </c>
      <c r="BU36" s="52">
        <f t="shared" si="51" ref="BU36:CK40">$G36*SUM(BU$29:BU$31)/SUM($G$29:$G$31)</f>
        <v>0</v>
      </c>
      <c r="BV36" s="52">
        <f t="shared" si="51"/>
        <v>0</v>
      </c>
      <c r="BW36" s="52">
        <f t="shared" si="51"/>
        <v>0</v>
      </c>
      <c r="BX36" s="52">
        <f t="shared" si="51"/>
        <v>0</v>
      </c>
      <c r="BY36" s="52">
        <f t="shared" si="51"/>
        <v>0</v>
      </c>
      <c r="BZ36" s="52">
        <f t="shared" si="51"/>
        <v>0</v>
      </c>
      <c r="CA36" s="52">
        <f t="shared" si="51"/>
        <v>0</v>
      </c>
      <c r="CB36" s="52">
        <f t="shared" si="51"/>
        <v>0</v>
      </c>
      <c r="CC36" s="52">
        <f t="shared" si="51"/>
        <v>0</v>
      </c>
      <c r="CD36" s="52">
        <f t="shared" si="51"/>
        <v>0</v>
      </c>
      <c r="CE36" s="52">
        <f t="shared" si="51"/>
        <v>0</v>
      </c>
      <c r="CF36" s="52">
        <f t="shared" si="51"/>
        <v>0</v>
      </c>
      <c r="CG36" s="52">
        <f t="shared" si="51"/>
        <v>0</v>
      </c>
      <c r="CH36" s="52">
        <f t="shared" si="51"/>
        <v>0</v>
      </c>
      <c r="CI36" s="52">
        <f t="shared" si="51"/>
        <v>0</v>
      </c>
      <c r="CJ36" s="52">
        <f t="shared" si="51"/>
        <v>0</v>
      </c>
      <c r="CK36" s="52">
        <f t="shared" si="51"/>
        <v>0</v>
      </c>
    </row>
    <row r="37" spans="3:89" ht="14.4">
      <c r="C37" t="s">
        <v>6</v>
      </c>
      <c r="D37" t="s">
        <v>161</v>
      </c>
      <c r="E37" t="s">
        <v>129</v>
      </c>
      <c r="F37" t="s">
        <v>163</v>
      </c>
      <c r="G37" s="51">
        <f>VLOOKUP(E37,'BY-Demands'!$I$6:$J$42,2,FALSE)</f>
        <v>2.0006897535500099</v>
      </c>
      <c r="H37" s="52">
        <f t="shared" si="49"/>
        <v>2.0637374080794082</v>
      </c>
      <c r="I37" s="52">
        <f t="shared" si="52" ref="I37:W37">$G37*SUM(I$29:I$31)/SUM($G$29:$G$31)</f>
        <v>2.099623871644904</v>
      </c>
      <c r="J37" s="52">
        <f t="shared" si="52"/>
        <v>2.1348076172401118</v>
      </c>
      <c r="K37" s="86">
        <f>$G37*SUM(K$29:K$31)/SUM($G$29:$G$31)</f>
        <v>2.1688410728944572</v>
      </c>
      <c r="L37" s="52">
        <f t="shared" si="52"/>
        <v>2.2025280695659109</v>
      </c>
      <c r="M37" s="52">
        <f t="shared" si="52"/>
        <v>2.2355118893259096</v>
      </c>
      <c r="N37" s="52">
        <f t="shared" si="52"/>
        <v>2.2669877721565737</v>
      </c>
      <c r="O37" s="52">
        <f t="shared" si="52"/>
        <v>2.2986540078985414</v>
      </c>
      <c r="P37" s="52">
        <f t="shared" si="52"/>
        <v>2.3300633682282363</v>
      </c>
      <c r="Q37" s="52">
        <f t="shared" si="52"/>
        <v>2.3627363526685712</v>
      </c>
      <c r="R37" s="52">
        <f t="shared" si="52"/>
        <v>2.3954210995097363</v>
      </c>
      <c r="S37" s="52">
        <f t="shared" si="52"/>
        <v>2.4277599590480241</v>
      </c>
      <c r="T37" s="52">
        <f t="shared" si="52"/>
        <v>2.4602588981297471</v>
      </c>
      <c r="U37" s="52">
        <f t="shared" si="52"/>
        <v>2.4923291996719961</v>
      </c>
      <c r="V37" s="52">
        <f t="shared" si="52"/>
        <v>2.5245915663163205</v>
      </c>
      <c r="W37" s="52">
        <f t="shared" si="52"/>
        <v>2.5566882942365465</v>
      </c>
      <c r="X37" s="52">
        <f t="shared" si="50"/>
        <v>2.5879938685838102</v>
      </c>
      <c r="Y37" s="52">
        <f t="shared" si="50"/>
        <v>2.6185084597235124</v>
      </c>
      <c r="Z37" s="52">
        <f t="shared" si="50"/>
        <v>2.6490358349303733</v>
      </c>
      <c r="AA37" s="52">
        <f t="shared" si="50"/>
        <v>2.6793968870640827</v>
      </c>
      <c r="AB37" s="52">
        <f t="shared" si="50"/>
        <v>2.708698583126453</v>
      </c>
      <c r="AC37" s="52">
        <f t="shared" si="50"/>
        <v>2.7368509968320662</v>
      </c>
      <c r="AD37" s="52">
        <f t="shared" si="50"/>
        <v>2.744450487340953</v>
      </c>
      <c r="AE37" s="52">
        <f t="shared" si="50"/>
        <v>2.768875089830575</v>
      </c>
      <c r="AF37" s="52">
        <f t="shared" si="50"/>
        <v>2.7960281786587151</v>
      </c>
      <c r="AG37" s="52">
        <f t="shared" si="50"/>
        <v>2.8226573785326261</v>
      </c>
      <c r="AH37" s="52">
        <f t="shared" si="50"/>
        <v>2.8487220927544459</v>
      </c>
      <c r="AI37" s="52">
        <f t="shared" si="50"/>
        <v>2.8742019995273855</v>
      </c>
      <c r="AJ37" s="52">
        <f t="shared" si="50"/>
        <v>2.8990328364417892</v>
      </c>
      <c r="AK37" s="52">
        <f t="shared" si="50"/>
        <v>2.9231726426488853</v>
      </c>
      <c r="AL37" s="52">
        <f t="shared" si="50"/>
        <v>2.9465111759317431</v>
      </c>
      <c r="AM37" s="52">
        <f t="shared" si="50"/>
        <v>2.9690416157281088</v>
      </c>
      <c r="AN37" s="52">
        <f t="shared" si="50"/>
        <v>2.9907686336495432</v>
      </c>
      <c r="AO37" s="52">
        <f t="shared" si="50"/>
        <v>3.0123814274583194</v>
      </c>
      <c r="AP37" s="52">
        <f t="shared" si="50"/>
        <v>3.0333683418597679</v>
      </c>
      <c r="AQ37" s="52">
        <f t="shared" si="50"/>
        <v>3.0537893461408956</v>
      </c>
      <c r="AR37" s="52">
        <f t="shared" si="50"/>
        <v>3.0737268002840392</v>
      </c>
      <c r="AS37" s="52">
        <f t="shared" si="50"/>
        <v>3.0932231956728953</v>
      </c>
      <c r="AT37" s="52">
        <f t="shared" si="50"/>
        <v>3.1123061608152343</v>
      </c>
      <c r="AU37" s="52">
        <f t="shared" si="50"/>
        <v>3.1310642958724464</v>
      </c>
      <c r="AV37" s="52">
        <f t="shared" si="50"/>
        <v>3.1495781267033407</v>
      </c>
      <c r="AW37" s="52">
        <f t="shared" si="50"/>
        <v>3.1679356698875134</v>
      </c>
      <c r="AX37" s="52">
        <f t="shared" si="50"/>
        <v>0</v>
      </c>
      <c r="AY37" s="52">
        <f t="shared" si="50"/>
        <v>0</v>
      </c>
      <c r="AZ37" s="52">
        <f t="shared" si="50"/>
        <v>0</v>
      </c>
      <c r="BA37" s="52">
        <f t="shared" si="50"/>
        <v>0</v>
      </c>
      <c r="BB37" s="52">
        <f t="shared" si="50"/>
        <v>0</v>
      </c>
      <c r="BC37" s="52">
        <f t="shared" si="50"/>
        <v>0</v>
      </c>
      <c r="BD37" s="52">
        <f t="shared" si="50"/>
        <v>0</v>
      </c>
      <c r="BE37" s="52">
        <f t="shared" si="50"/>
        <v>0</v>
      </c>
      <c r="BF37" s="52">
        <f t="shared" si="50"/>
        <v>0</v>
      </c>
      <c r="BG37" s="52">
        <f t="shared" si="50"/>
        <v>0</v>
      </c>
      <c r="BH37" s="52">
        <f t="shared" si="50"/>
        <v>0</v>
      </c>
      <c r="BI37" s="52">
        <f t="shared" si="50"/>
        <v>0</v>
      </c>
      <c r="BJ37" s="52">
        <f t="shared" si="50"/>
        <v>0</v>
      </c>
      <c r="BK37" s="52">
        <f t="shared" si="50"/>
        <v>0</v>
      </c>
      <c r="BL37" s="52">
        <f t="shared" si="50"/>
        <v>0</v>
      </c>
      <c r="BM37" s="52">
        <f t="shared" si="50"/>
        <v>0</v>
      </c>
      <c r="BN37" s="52">
        <f t="shared" si="50"/>
        <v>0</v>
      </c>
      <c r="BO37" s="52">
        <f t="shared" si="50"/>
        <v>0</v>
      </c>
      <c r="BP37" s="52">
        <f t="shared" si="50"/>
        <v>0</v>
      </c>
      <c r="BQ37" s="52">
        <f t="shared" si="50"/>
        <v>0</v>
      </c>
      <c r="BR37" s="52">
        <f t="shared" si="50"/>
        <v>0</v>
      </c>
      <c r="BS37" s="52">
        <f t="shared" si="50"/>
        <v>0</v>
      </c>
      <c r="BT37" s="52">
        <f t="shared" si="50"/>
        <v>0</v>
      </c>
      <c r="BU37" s="52">
        <f t="shared" si="51"/>
        <v>0</v>
      </c>
      <c r="BV37" s="52">
        <f t="shared" si="51"/>
        <v>0</v>
      </c>
      <c r="BW37" s="52">
        <f t="shared" si="51"/>
        <v>0</v>
      </c>
      <c r="BX37" s="52">
        <f t="shared" si="51"/>
        <v>0</v>
      </c>
      <c r="BY37" s="52">
        <f t="shared" si="51"/>
        <v>0</v>
      </c>
      <c r="BZ37" s="52">
        <f t="shared" si="51"/>
        <v>0</v>
      </c>
      <c r="CA37" s="52">
        <f t="shared" si="51"/>
        <v>0</v>
      </c>
      <c r="CB37" s="52">
        <f t="shared" si="51"/>
        <v>0</v>
      </c>
      <c r="CC37" s="52">
        <f t="shared" si="51"/>
        <v>0</v>
      </c>
      <c r="CD37" s="52">
        <f t="shared" si="51"/>
        <v>0</v>
      </c>
      <c r="CE37" s="52">
        <f t="shared" si="51"/>
        <v>0</v>
      </c>
      <c r="CF37" s="52">
        <f t="shared" si="51"/>
        <v>0</v>
      </c>
      <c r="CG37" s="52">
        <f t="shared" si="51"/>
        <v>0</v>
      </c>
      <c r="CH37" s="52">
        <f t="shared" si="51"/>
        <v>0</v>
      </c>
      <c r="CI37" s="52">
        <f t="shared" si="51"/>
        <v>0</v>
      </c>
      <c r="CJ37" s="52">
        <f t="shared" si="51"/>
        <v>0</v>
      </c>
      <c r="CK37" s="52">
        <f t="shared" si="51"/>
        <v>0</v>
      </c>
    </row>
    <row r="38" spans="3:89" ht="14.4">
      <c r="C38" t="s">
        <v>6</v>
      </c>
      <c r="D38" t="s">
        <v>161</v>
      </c>
      <c r="E38" t="s">
        <v>130</v>
      </c>
      <c r="F38" t="s">
        <v>164</v>
      </c>
      <c r="G38" s="51">
        <f>VLOOKUP(E38,'BY-Demands'!$I$6:$J$42,2,FALSE)</f>
        <v>0.78876799986757495</v>
      </c>
      <c r="H38" s="52">
        <f t="shared" si="49"/>
        <v>0.81362441364750004</v>
      </c>
      <c r="I38" s="52">
        <f t="shared" si="53" ref="I38:BT41">$G38*SUM(I$29:I$31)/SUM($G$29:$G$31)</f>
        <v>0.82777258131750009</v>
      </c>
      <c r="J38" s="52">
        <f t="shared" si="53"/>
        <v>0.84164370380999998</v>
      </c>
      <c r="K38" s="52">
        <f t="shared" si="53"/>
        <v>0.855061326756</v>
      </c>
      <c r="L38" s="52">
        <f t="shared" si="53"/>
        <v>0.86834235892949951</v>
      </c>
      <c r="M38" s="52">
        <f t="shared" si="53"/>
        <v>0.88134616498884644</v>
      </c>
      <c r="N38" s="52">
        <f t="shared" si="53"/>
        <v>0.89375546987999988</v>
      </c>
      <c r="O38" s="52">
        <f t="shared" si="53"/>
        <v>0.90623982103200007</v>
      </c>
      <c r="P38" s="52">
        <f t="shared" si="53"/>
        <v>0.91862289955800014</v>
      </c>
      <c r="Q38" s="52">
        <f t="shared" si="53"/>
        <v>0.93150415940400011</v>
      </c>
      <c r="R38" s="52">
        <f t="shared" si="53"/>
        <v>0.94439005655338992</v>
      </c>
      <c r="S38" s="52">
        <f t="shared" si="53"/>
        <v>0.95713958831400048</v>
      </c>
      <c r="T38" s="52">
        <f t="shared" si="53"/>
        <v>0.96995223111972484</v>
      </c>
      <c r="U38" s="52">
        <f t="shared" si="53"/>
        <v>0.98259588441866563</v>
      </c>
      <c r="V38" s="52">
        <f t="shared" si="53"/>
        <v>0.99531525900629703</v>
      </c>
      <c r="W38" s="52">
        <f t="shared" si="53"/>
        <v>1.0079693308527731</v>
      </c>
      <c r="X38" s="52">
        <f t="shared" si="53"/>
        <v>1.0203114919593521</v>
      </c>
      <c r="Y38" s="52">
        <f t="shared" si="53"/>
        <v>1.0323418094922592</v>
      </c>
      <c r="Z38" s="52">
        <f t="shared" si="53"/>
        <v>1.0443771671184963</v>
      </c>
      <c r="AA38" s="52">
        <f t="shared" si="53"/>
        <v>1.0563469522003104</v>
      </c>
      <c r="AB38" s="52">
        <f t="shared" si="53"/>
        <v>1.0678990882348121</v>
      </c>
      <c r="AC38" s="52">
        <f t="shared" si="53"/>
        <v>1.0789981219608653</v>
      </c>
      <c r="AD38" s="52">
        <f t="shared" si="53"/>
        <v>1.0819942061453678</v>
      </c>
      <c r="AE38" s="52">
        <f t="shared" si="53"/>
        <v>1.0916235576323317</v>
      </c>
      <c r="AF38" s="52">
        <f t="shared" si="53"/>
        <v>1.1023286094911695</v>
      </c>
      <c r="AG38" s="52">
        <f t="shared" si="53"/>
        <v>1.1128271191603221</v>
      </c>
      <c r="AH38" s="52">
        <f t="shared" si="53"/>
        <v>1.1231030814715124</v>
      </c>
      <c r="AI38" s="52">
        <f t="shared" si="53"/>
        <v>1.1331484845963309</v>
      </c>
      <c r="AJ38" s="52">
        <f t="shared" si="53"/>
        <v>1.1429379932061787</v>
      </c>
      <c r="AK38" s="52">
        <f t="shared" si="53"/>
        <v>1.1524550643189668</v>
      </c>
      <c r="AL38" s="52">
        <f t="shared" si="53"/>
        <v>1.161656235157523</v>
      </c>
      <c r="AM38" s="52">
        <f t="shared" si="53"/>
        <v>1.1705388167285951</v>
      </c>
      <c r="AN38" s="52">
        <f t="shared" si="53"/>
        <v>1.179104650805852</v>
      </c>
      <c r="AO38" s="52">
        <f t="shared" si="53"/>
        <v>1.1876254522513783</v>
      </c>
      <c r="AP38" s="52">
        <f t="shared" si="53"/>
        <v>1.1958995019717058</v>
      </c>
      <c r="AQ38" s="52">
        <f t="shared" si="53"/>
        <v>1.2039504427402739</v>
      </c>
      <c r="AR38" s="52">
        <f t="shared" si="53"/>
        <v>1.2118107448181121</v>
      </c>
      <c r="AS38" s="52">
        <f t="shared" si="53"/>
        <v>1.21949716034966</v>
      </c>
      <c r="AT38" s="52">
        <f t="shared" si="53"/>
        <v>1.227020581819759</v>
      </c>
      <c r="AU38" s="52">
        <f t="shared" si="53"/>
        <v>1.2344159396677559</v>
      </c>
      <c r="AV38" s="52">
        <f t="shared" si="53"/>
        <v>1.2417149810550872</v>
      </c>
      <c r="AW38" s="52">
        <f t="shared" si="53"/>
        <v>1.2489524063451252</v>
      </c>
      <c r="AX38" s="52">
        <f t="shared" si="53"/>
        <v>0</v>
      </c>
      <c r="AY38" s="52">
        <f t="shared" si="53"/>
        <v>0</v>
      </c>
      <c r="AZ38" s="52">
        <f t="shared" si="53"/>
        <v>0</v>
      </c>
      <c r="BA38" s="52">
        <f t="shared" si="53"/>
        <v>0</v>
      </c>
      <c r="BB38" s="52">
        <f t="shared" si="53"/>
        <v>0</v>
      </c>
      <c r="BC38" s="52">
        <f t="shared" si="53"/>
        <v>0</v>
      </c>
      <c r="BD38" s="52">
        <f t="shared" si="53"/>
        <v>0</v>
      </c>
      <c r="BE38" s="52">
        <f t="shared" si="53"/>
        <v>0</v>
      </c>
      <c r="BF38" s="52">
        <f t="shared" si="53"/>
        <v>0</v>
      </c>
      <c r="BG38" s="52">
        <f t="shared" si="53"/>
        <v>0</v>
      </c>
      <c r="BH38" s="52">
        <f t="shared" si="53"/>
        <v>0</v>
      </c>
      <c r="BI38" s="52">
        <f t="shared" si="53"/>
        <v>0</v>
      </c>
      <c r="BJ38" s="52">
        <f t="shared" si="53"/>
        <v>0</v>
      </c>
      <c r="BK38" s="52">
        <f t="shared" si="53"/>
        <v>0</v>
      </c>
      <c r="BL38" s="52">
        <f t="shared" si="53"/>
        <v>0</v>
      </c>
      <c r="BM38" s="52">
        <f t="shared" si="53"/>
        <v>0</v>
      </c>
      <c r="BN38" s="52">
        <f t="shared" si="53"/>
        <v>0</v>
      </c>
      <c r="BO38" s="52">
        <f t="shared" si="53"/>
        <v>0</v>
      </c>
      <c r="BP38" s="52">
        <f t="shared" si="53"/>
        <v>0</v>
      </c>
      <c r="BQ38" s="52">
        <f t="shared" si="53"/>
        <v>0</v>
      </c>
      <c r="BR38" s="52">
        <f t="shared" si="53"/>
        <v>0</v>
      </c>
      <c r="BS38" s="52">
        <f t="shared" si="53"/>
        <v>0</v>
      </c>
      <c r="BT38" s="52">
        <f t="shared" si="53"/>
        <v>0</v>
      </c>
      <c r="BU38" s="52">
        <f t="shared" si="51"/>
        <v>0</v>
      </c>
      <c r="BV38" s="52">
        <f t="shared" si="51"/>
        <v>0</v>
      </c>
      <c r="BW38" s="52">
        <f t="shared" si="51"/>
        <v>0</v>
      </c>
      <c r="BX38" s="52">
        <f t="shared" si="51"/>
        <v>0</v>
      </c>
      <c r="BY38" s="52">
        <f t="shared" si="51"/>
        <v>0</v>
      </c>
      <c r="BZ38" s="52">
        <f t="shared" si="51"/>
        <v>0</v>
      </c>
      <c r="CA38" s="52">
        <f t="shared" si="51"/>
        <v>0</v>
      </c>
      <c r="CB38" s="52">
        <f t="shared" si="51"/>
        <v>0</v>
      </c>
      <c r="CC38" s="52">
        <f t="shared" si="51"/>
        <v>0</v>
      </c>
      <c r="CD38" s="52">
        <f t="shared" si="51"/>
        <v>0</v>
      </c>
      <c r="CE38" s="52">
        <f t="shared" si="51"/>
        <v>0</v>
      </c>
      <c r="CF38" s="52">
        <f t="shared" si="51"/>
        <v>0</v>
      </c>
      <c r="CG38" s="52">
        <f t="shared" si="51"/>
        <v>0</v>
      </c>
      <c r="CH38" s="52">
        <f t="shared" si="51"/>
        <v>0</v>
      </c>
      <c r="CI38" s="52">
        <f t="shared" si="51"/>
        <v>0</v>
      </c>
      <c r="CJ38" s="52">
        <f t="shared" si="51"/>
        <v>0</v>
      </c>
      <c r="CK38" s="52">
        <f t="shared" si="51"/>
        <v>0</v>
      </c>
    </row>
    <row r="39" spans="3:89" ht="14.4">
      <c r="C39" t="s">
        <v>6</v>
      </c>
      <c r="D39" t="s">
        <v>161</v>
      </c>
      <c r="E39" t="s">
        <v>131</v>
      </c>
      <c r="F39" t="s">
        <v>165</v>
      </c>
      <c r="G39" s="51">
        <f>VLOOKUP(E39,'BY-Demands'!$I$6:$J$42,2,FALSE)</f>
        <v>1.05169316530962</v>
      </c>
      <c r="H39" s="52">
        <f t="shared" si="49"/>
        <v>1.0848351290947176</v>
      </c>
      <c r="I39" s="52">
        <f t="shared" si="53"/>
        <v>1.1036993974761575</v>
      </c>
      <c r="J39" s="52">
        <f t="shared" si="53"/>
        <v>1.1221942714099173</v>
      </c>
      <c r="K39" s="52">
        <f t="shared" si="53"/>
        <v>1.1400844778449895</v>
      </c>
      <c r="L39" s="52">
        <f t="shared" si="53"/>
        <v>1.1577925628173409</v>
      </c>
      <c r="M39" s="52">
        <f t="shared" si="53"/>
        <v>1.1751310120925686</v>
      </c>
      <c r="N39" s="52">
        <f t="shared" si="53"/>
        <v>1.1916767912601571</v>
      </c>
      <c r="O39" s="52">
        <f t="shared" si="53"/>
        <v>1.2083226323466214</v>
      </c>
      <c r="P39" s="52">
        <f t="shared" si="53"/>
        <v>1.2248334429442533</v>
      </c>
      <c r="Q39" s="52">
        <f t="shared" si="53"/>
        <v>1.2420084968801255</v>
      </c>
      <c r="R39" s="52">
        <f t="shared" si="53"/>
        <v>1.2591897339018747</v>
      </c>
      <c r="S39" s="52">
        <f t="shared" si="53"/>
        <v>1.2761891499732458</v>
      </c>
      <c r="T39" s="52">
        <f t="shared" si="53"/>
        <v>1.2932727143047045</v>
      </c>
      <c r="U39" s="52">
        <f t="shared" si="53"/>
        <v>1.310130958758426</v>
      </c>
      <c r="V39" s="52">
        <f t="shared" si="53"/>
        <v>1.3270901651702867</v>
      </c>
      <c r="W39" s="52">
        <f t="shared" si="53"/>
        <v>1.3439623010537276</v>
      </c>
      <c r="X39" s="52">
        <f t="shared" si="53"/>
        <v>1.3604185549625056</v>
      </c>
      <c r="Y39" s="52">
        <f t="shared" si="53"/>
        <v>1.3764590164517989</v>
      </c>
      <c r="Z39" s="52">
        <f t="shared" si="53"/>
        <v>1.3925061980814994</v>
      </c>
      <c r="AA39" s="52">
        <f t="shared" si="53"/>
        <v>1.4084659494442351</v>
      </c>
      <c r="AB39" s="52">
        <f t="shared" si="53"/>
        <v>1.4238688340874408</v>
      </c>
      <c r="AC39" s="52">
        <f t="shared" si="53"/>
        <v>1.4386675808839529</v>
      </c>
      <c r="AD39" s="52">
        <f t="shared" si="53"/>
        <v>1.4426623692882268</v>
      </c>
      <c r="AE39" s="52">
        <f t="shared" si="53"/>
        <v>1.4555015351099945</v>
      </c>
      <c r="AF39" s="52">
        <f t="shared" si="53"/>
        <v>1.4697749715020831</v>
      </c>
      <c r="AG39" s="52">
        <f t="shared" si="53"/>
        <v>1.4837730176535984</v>
      </c>
      <c r="AH39" s="52">
        <f t="shared" si="53"/>
        <v>1.4974743332894664</v>
      </c>
      <c r="AI39" s="52">
        <f t="shared" si="53"/>
        <v>1.5108682359464269</v>
      </c>
      <c r="AJ39" s="52">
        <f t="shared" si="53"/>
        <v>1.5239209451060849</v>
      </c>
      <c r="AK39" s="52">
        <f t="shared" si="53"/>
        <v>1.5366104034065804</v>
      </c>
      <c r="AL39" s="52">
        <f t="shared" si="53"/>
        <v>1.5488786603406601</v>
      </c>
      <c r="AM39" s="52">
        <f t="shared" si="53"/>
        <v>1.5607221305754697</v>
      </c>
      <c r="AN39" s="52">
        <f t="shared" si="53"/>
        <v>1.5721432698150684</v>
      </c>
      <c r="AO39" s="52">
        <f t="shared" si="53"/>
        <v>1.5835043654030292</v>
      </c>
      <c r="AP39" s="52">
        <f t="shared" si="53"/>
        <v>1.5945364579090151</v>
      </c>
      <c r="AQ39" s="52">
        <f t="shared" si="53"/>
        <v>1.6052710711058449</v>
      </c>
      <c r="AR39" s="52">
        <f t="shared" si="53"/>
        <v>1.6157514987777579</v>
      </c>
      <c r="AS39" s="52">
        <f t="shared" si="53"/>
        <v>1.6260000771704106</v>
      </c>
      <c r="AT39" s="52">
        <f t="shared" si="53"/>
        <v>1.6360313296314319</v>
      </c>
      <c r="AU39" s="52">
        <f t="shared" si="53"/>
        <v>1.6458918301906118</v>
      </c>
      <c r="AV39" s="52">
        <f t="shared" si="53"/>
        <v>1.6556239084971063</v>
      </c>
      <c r="AW39" s="52">
        <f t="shared" si="53"/>
        <v>1.6652738318120097</v>
      </c>
      <c r="AX39" s="52">
        <f t="shared" si="53"/>
        <v>0</v>
      </c>
      <c r="AY39" s="52">
        <f t="shared" si="53"/>
        <v>0</v>
      </c>
      <c r="AZ39" s="52">
        <f t="shared" si="53"/>
        <v>0</v>
      </c>
      <c r="BA39" s="52">
        <f t="shared" si="53"/>
        <v>0</v>
      </c>
      <c r="BB39" s="52">
        <f t="shared" si="53"/>
        <v>0</v>
      </c>
      <c r="BC39" s="52">
        <f t="shared" si="53"/>
        <v>0</v>
      </c>
      <c r="BD39" s="52">
        <f t="shared" si="53"/>
        <v>0</v>
      </c>
      <c r="BE39" s="52">
        <f t="shared" si="53"/>
        <v>0</v>
      </c>
      <c r="BF39" s="52">
        <f t="shared" si="53"/>
        <v>0</v>
      </c>
      <c r="BG39" s="52">
        <f t="shared" si="53"/>
        <v>0</v>
      </c>
      <c r="BH39" s="52">
        <f t="shared" si="53"/>
        <v>0</v>
      </c>
      <c r="BI39" s="52">
        <f t="shared" si="53"/>
        <v>0</v>
      </c>
      <c r="BJ39" s="52">
        <f t="shared" si="53"/>
        <v>0</v>
      </c>
      <c r="BK39" s="52">
        <f t="shared" si="53"/>
        <v>0</v>
      </c>
      <c r="BL39" s="52">
        <f t="shared" si="53"/>
        <v>0</v>
      </c>
      <c r="BM39" s="52">
        <f t="shared" si="53"/>
        <v>0</v>
      </c>
      <c r="BN39" s="52">
        <f t="shared" si="53"/>
        <v>0</v>
      </c>
      <c r="BO39" s="52">
        <f t="shared" si="53"/>
        <v>0</v>
      </c>
      <c r="BP39" s="52">
        <f t="shared" si="53"/>
        <v>0</v>
      </c>
      <c r="BQ39" s="52">
        <f t="shared" si="53"/>
        <v>0</v>
      </c>
      <c r="BR39" s="52">
        <f t="shared" si="53"/>
        <v>0</v>
      </c>
      <c r="BS39" s="52">
        <f t="shared" si="53"/>
        <v>0</v>
      </c>
      <c r="BT39" s="52">
        <f t="shared" si="53"/>
        <v>0</v>
      </c>
      <c r="BU39" s="52">
        <f t="shared" si="51"/>
        <v>0</v>
      </c>
      <c r="BV39" s="52">
        <f t="shared" si="51"/>
        <v>0</v>
      </c>
      <c r="BW39" s="52">
        <f t="shared" si="51"/>
        <v>0</v>
      </c>
      <c r="BX39" s="52">
        <f t="shared" si="51"/>
        <v>0</v>
      </c>
      <c r="BY39" s="52">
        <f t="shared" si="51"/>
        <v>0</v>
      </c>
      <c r="BZ39" s="52">
        <f t="shared" si="51"/>
        <v>0</v>
      </c>
      <c r="CA39" s="52">
        <f t="shared" si="51"/>
        <v>0</v>
      </c>
      <c r="CB39" s="52">
        <f t="shared" si="51"/>
        <v>0</v>
      </c>
      <c r="CC39" s="52">
        <f t="shared" si="51"/>
        <v>0</v>
      </c>
      <c r="CD39" s="52">
        <f t="shared" si="51"/>
        <v>0</v>
      </c>
      <c r="CE39" s="52">
        <f t="shared" si="51"/>
        <v>0</v>
      </c>
      <c r="CF39" s="52">
        <f t="shared" si="51"/>
        <v>0</v>
      </c>
      <c r="CG39" s="52">
        <f t="shared" si="51"/>
        <v>0</v>
      </c>
      <c r="CH39" s="52">
        <f t="shared" si="51"/>
        <v>0</v>
      </c>
      <c r="CI39" s="52">
        <f t="shared" si="51"/>
        <v>0</v>
      </c>
      <c r="CJ39" s="52">
        <f t="shared" si="51"/>
        <v>0</v>
      </c>
      <c r="CK39" s="52">
        <f t="shared" si="51"/>
        <v>0</v>
      </c>
    </row>
    <row r="40" spans="3:89" ht="14.4">
      <c r="C40" t="s">
        <v>6</v>
      </c>
      <c r="D40" t="s">
        <v>161</v>
      </c>
      <c r="E40" t="s">
        <v>132</v>
      </c>
      <c r="F40" t="s">
        <v>166</v>
      </c>
      <c r="G40" s="51">
        <f>VLOOKUP(E40,'BY-Demands'!$I$6:$J$42,2,FALSE)</f>
        <v>0.84878652127122001</v>
      </c>
      <c r="H40" s="52">
        <f t="shared" si="49"/>
        <v>0.8755342962660001</v>
      </c>
      <c r="I40" s="52">
        <f t="shared" si="53"/>
        <v>0.89075901889800024</v>
      </c>
      <c r="J40" s="52">
        <f t="shared" si="53"/>
        <v>0.90568561557600002</v>
      </c>
      <c r="K40" s="52">
        <f t="shared" si="53"/>
        <v>0.92012420525760008</v>
      </c>
      <c r="L40" s="52">
        <f t="shared" si="53"/>
        <v>0.93441581077319957</v>
      </c>
      <c r="M40" s="52">
        <f t="shared" si="53"/>
        <v>0.94840909563040932</v>
      </c>
      <c r="N40" s="52">
        <f t="shared" si="53"/>
        <v>0.96176264284799995</v>
      </c>
      <c r="O40" s="52">
        <f t="shared" si="53"/>
        <v>0.97519694670720014</v>
      </c>
      <c r="P40" s="52">
        <f t="shared" si="53"/>
        <v>0.9885222719568002</v>
      </c>
      <c r="Q40" s="52">
        <f t="shared" si="53"/>
        <v>1.0023836858784001</v>
      </c>
      <c r="R40" s="52">
        <f t="shared" si="53"/>
        <v>1.0162500899626501</v>
      </c>
      <c r="S40" s="52">
        <f t="shared" si="53"/>
        <v>1.0299697524144007</v>
      </c>
      <c r="T40" s="52">
        <f t="shared" si="53"/>
        <v>1.0437573281238453</v>
      </c>
      <c r="U40" s="52">
        <f t="shared" si="53"/>
        <v>1.0573630556654914</v>
      </c>
      <c r="V40" s="52">
        <f t="shared" si="53"/>
        <v>1.071050266240456</v>
      </c>
      <c r="W40" s="52">
        <f t="shared" si="53"/>
        <v>1.0846672050922981</v>
      </c>
      <c r="X40" s="52">
        <f t="shared" si="53"/>
        <v>1.0979484994556357</v>
      </c>
      <c r="Y40" s="52">
        <f t="shared" si="53"/>
        <v>1.1108942216074706</v>
      </c>
      <c r="Z40" s="52">
        <f t="shared" si="53"/>
        <v>1.1238453673607769</v>
      </c>
      <c r="AA40" s="52">
        <f t="shared" si="53"/>
        <v>1.1367259510579641</v>
      </c>
      <c r="AB40" s="52">
        <f t="shared" si="53"/>
        <v>1.1491571061753405</v>
      </c>
      <c r="AC40" s="52">
        <f t="shared" si="53"/>
        <v>1.1611006817607983</v>
      </c>
      <c r="AD40" s="52">
        <f t="shared" si="53"/>
        <v>1.1643247424133938</v>
      </c>
      <c r="AE40" s="52">
        <f t="shared" si="53"/>
        <v>1.1746868054688044</v>
      </c>
      <c r="AF40" s="52">
        <f t="shared" si="53"/>
        <v>1.1862064205252172</v>
      </c>
      <c r="AG40" s="52">
        <f t="shared" si="53"/>
        <v>1.197503777291856</v>
      </c>
      <c r="AH40" s="52">
        <f t="shared" si="53"/>
        <v>1.208561652743565</v>
      </c>
      <c r="AI40" s="52">
        <f t="shared" si="53"/>
        <v>1.2193714254200851</v>
      </c>
      <c r="AJ40" s="52">
        <f t="shared" si="53"/>
        <v>1.2299058321902663</v>
      </c>
      <c r="AK40" s="52">
        <f t="shared" si="53"/>
        <v>1.2401470712920941</v>
      </c>
      <c r="AL40" s="52">
        <f t="shared" si="53"/>
        <v>1.2500483728015257</v>
      </c>
      <c r="AM40" s="52">
        <f t="shared" si="53"/>
        <v>1.2596068431158438</v>
      </c>
      <c r="AN40" s="52">
        <f t="shared" si="53"/>
        <v>1.2688244641519939</v>
      </c>
      <c r="AO40" s="52">
        <f t="shared" si="53"/>
        <v>1.2779936259569924</v>
      </c>
      <c r="AP40" s="52">
        <f t="shared" si="53"/>
        <v>1.286897260333794</v>
      </c>
      <c r="AQ40" s="52">
        <f t="shared" si="53"/>
        <v>1.2955608090693673</v>
      </c>
      <c r="AR40" s="52">
        <f t="shared" si="53"/>
        <v>1.3040192131348334</v>
      </c>
      <c r="AS40" s="52">
        <f t="shared" si="53"/>
        <v>1.3122904993700293</v>
      </c>
      <c r="AT40" s="52">
        <f t="shared" si="53"/>
        <v>1.3203863890850462</v>
      </c>
      <c r="AU40" s="52">
        <f t="shared" si="53"/>
        <v>1.3283444706279219</v>
      </c>
      <c r="AV40" s="52">
        <f t="shared" si="53"/>
        <v>1.3361989068484683</v>
      </c>
      <c r="AW40" s="52">
        <f t="shared" si="53"/>
        <v>1.3439870385119268</v>
      </c>
      <c r="AX40" s="52">
        <f t="shared" si="53"/>
        <v>0</v>
      </c>
      <c r="AY40" s="52">
        <f t="shared" si="53"/>
        <v>0</v>
      </c>
      <c r="AZ40" s="52">
        <f t="shared" si="53"/>
        <v>0</v>
      </c>
      <c r="BA40" s="52">
        <f t="shared" si="53"/>
        <v>0</v>
      </c>
      <c r="BB40" s="52">
        <f t="shared" si="53"/>
        <v>0</v>
      </c>
      <c r="BC40" s="52">
        <f t="shared" si="53"/>
        <v>0</v>
      </c>
      <c r="BD40" s="52">
        <f t="shared" si="53"/>
        <v>0</v>
      </c>
      <c r="BE40" s="52">
        <f t="shared" si="53"/>
        <v>0</v>
      </c>
      <c r="BF40" s="52">
        <f t="shared" si="53"/>
        <v>0</v>
      </c>
      <c r="BG40" s="52">
        <f t="shared" si="53"/>
        <v>0</v>
      </c>
      <c r="BH40" s="52">
        <f t="shared" si="53"/>
        <v>0</v>
      </c>
      <c r="BI40" s="52">
        <f t="shared" si="53"/>
        <v>0</v>
      </c>
      <c r="BJ40" s="52">
        <f t="shared" si="53"/>
        <v>0</v>
      </c>
      <c r="BK40" s="52">
        <f t="shared" si="53"/>
        <v>0</v>
      </c>
      <c r="BL40" s="52">
        <f t="shared" si="53"/>
        <v>0</v>
      </c>
      <c r="BM40" s="52">
        <f t="shared" si="53"/>
        <v>0</v>
      </c>
      <c r="BN40" s="52">
        <f t="shared" si="53"/>
        <v>0</v>
      </c>
      <c r="BO40" s="52">
        <f t="shared" si="53"/>
        <v>0</v>
      </c>
      <c r="BP40" s="52">
        <f t="shared" si="53"/>
        <v>0</v>
      </c>
      <c r="BQ40" s="52">
        <f t="shared" si="53"/>
        <v>0</v>
      </c>
      <c r="BR40" s="52">
        <f t="shared" si="53"/>
        <v>0</v>
      </c>
      <c r="BS40" s="52">
        <f t="shared" si="53"/>
        <v>0</v>
      </c>
      <c r="BT40" s="52">
        <f t="shared" si="53"/>
        <v>0</v>
      </c>
      <c r="BU40" s="52">
        <f t="shared" si="51"/>
        <v>0</v>
      </c>
      <c r="BV40" s="52">
        <f t="shared" si="51"/>
        <v>0</v>
      </c>
      <c r="BW40" s="52">
        <f t="shared" si="51"/>
        <v>0</v>
      </c>
      <c r="BX40" s="52">
        <f t="shared" si="51"/>
        <v>0</v>
      </c>
      <c r="BY40" s="52">
        <f t="shared" si="51"/>
        <v>0</v>
      </c>
      <c r="BZ40" s="52">
        <f t="shared" si="51"/>
        <v>0</v>
      </c>
      <c r="CA40" s="52">
        <f t="shared" si="51"/>
        <v>0</v>
      </c>
      <c r="CB40" s="52">
        <f t="shared" si="51"/>
        <v>0</v>
      </c>
      <c r="CC40" s="52">
        <f t="shared" si="51"/>
        <v>0</v>
      </c>
      <c r="CD40" s="52">
        <f t="shared" si="51"/>
        <v>0</v>
      </c>
      <c r="CE40" s="52">
        <f t="shared" si="51"/>
        <v>0</v>
      </c>
      <c r="CF40" s="52">
        <f t="shared" si="51"/>
        <v>0</v>
      </c>
      <c r="CG40" s="52">
        <f t="shared" si="51"/>
        <v>0</v>
      </c>
      <c r="CH40" s="52">
        <f t="shared" si="51"/>
        <v>0</v>
      </c>
      <c r="CI40" s="52">
        <f t="shared" si="51"/>
        <v>0</v>
      </c>
      <c r="CJ40" s="52">
        <f t="shared" si="51"/>
        <v>0</v>
      </c>
      <c r="CK40" s="52">
        <f t="shared" si="51"/>
        <v>0</v>
      </c>
    </row>
    <row r="41" spans="3:89" ht="14.4">
      <c r="C41" t="s">
        <v>6</v>
      </c>
      <c r="D41" t="s">
        <v>161</v>
      </c>
      <c r="E41" t="s">
        <v>133</v>
      </c>
      <c r="F41" t="s">
        <v>167</v>
      </c>
      <c r="G41" s="51">
        <f>VLOOKUP(E41,'BY-Demands'!$I$6:$J$42,2,FALSE)</f>
        <v>9.2169270601308995</v>
      </c>
      <c r="H41" s="52">
        <f t="shared" si="49"/>
        <v>9.5073797063138894</v>
      </c>
      <c r="I41" s="52">
        <f t="shared" si="53"/>
        <v>9.6727041483181129</v>
      </c>
      <c r="J41" s="52">
        <f t="shared" si="53"/>
        <v>9.8347912566655307</v>
      </c>
      <c r="K41" s="52">
        <f t="shared" si="53"/>
        <v>9.9915791233568569</v>
      </c>
      <c r="L41" s="52">
        <f t="shared" si="53"/>
        <v>10.146770896916316</v>
      </c>
      <c r="M41" s="52">
        <f t="shared" si="53"/>
        <v>10.298723222534509</v>
      </c>
      <c r="N41" s="52">
        <f t="shared" si="53"/>
        <v>10.443728671624598</v>
      </c>
      <c r="O41" s="52">
        <f t="shared" si="53"/>
        <v>10.589611052730783</v>
      </c>
      <c r="P41" s="52">
        <f t="shared" si="53"/>
        <v>10.734310040992449</v>
      </c>
      <c r="Q41" s="52">
        <f t="shared" si="53"/>
        <v>10.884830387232544</v>
      </c>
      <c r="R41" s="52">
        <f t="shared" si="53"/>
        <v>11.03540492137974</v>
      </c>
      <c r="S41" s="52">
        <f t="shared" si="53"/>
        <v>11.18438599605328</v>
      </c>
      <c r="T41" s="52">
        <f t="shared" si="53"/>
        <v>11.334104537129614</v>
      </c>
      <c r="U41" s="52">
        <f t="shared" si="53"/>
        <v>11.481848398758745</v>
      </c>
      <c r="V41" s="52">
        <f t="shared" si="53"/>
        <v>11.630477080252367</v>
      </c>
      <c r="W41" s="52">
        <f t="shared" si="53"/>
        <v>11.7783426848943</v>
      </c>
      <c r="X41" s="52">
        <f t="shared" si="53"/>
        <v>11.922563544136592</v>
      </c>
      <c r="Y41" s="52">
        <f t="shared" si="53"/>
        <v>12.063140442831305</v>
      </c>
      <c r="Z41" s="52">
        <f t="shared" si="53"/>
        <v>12.203776236121907</v>
      </c>
      <c r="AA41" s="52">
        <f t="shared" si="53"/>
        <v>12.343645799850465</v>
      </c>
      <c r="AB41" s="52">
        <f t="shared" si="53"/>
        <v>12.478635042868166</v>
      </c>
      <c r="AC41" s="52">
        <f t="shared" si="53"/>
        <v>12.608329686043525</v>
      </c>
      <c r="AD41" s="52">
        <f t="shared" si="53"/>
        <v>12.643339586799144</v>
      </c>
      <c r="AE41" s="52">
        <f t="shared" si="53"/>
        <v>12.755860670700379</v>
      </c>
      <c r="AF41" s="52">
        <f t="shared" si="53"/>
        <v>12.880951549354677</v>
      </c>
      <c r="AG41" s="52">
        <f t="shared" si="53"/>
        <v>13.003628937226525</v>
      </c>
      <c r="AH41" s="52">
        <f t="shared" si="53"/>
        <v>13.123705810414579</v>
      </c>
      <c r="AI41" s="52">
        <f t="shared" si="53"/>
        <v>13.241088548946834</v>
      </c>
      <c r="AJ41" s="52">
        <f t="shared" si="53"/>
        <v>13.35548110395241</v>
      </c>
      <c r="AK41" s="52">
        <f t="shared" si="53"/>
        <v>13.466690167057626</v>
      </c>
      <c r="AL41" s="52">
        <f t="shared" si="53"/>
        <v>13.574207866179563</v>
      </c>
      <c r="AM41" s="52">
        <f t="shared" si="53"/>
        <v>13.678002779842364</v>
      </c>
      <c r="AN41" s="52">
        <f t="shared" si="53"/>
        <v>13.778096429575259</v>
      </c>
      <c r="AO41" s="52">
        <f t="shared" si="53"/>
        <v>13.877663863130445</v>
      </c>
      <c r="AP41" s="52">
        <f t="shared" si="53"/>
        <v>13.974347948662516</v>
      </c>
      <c r="AQ41" s="52">
        <f t="shared" si="53"/>
        <v>14.068424957164106</v>
      </c>
      <c r="AR41" s="52">
        <f t="shared" si="53"/>
        <v>14.160274310756282</v>
      </c>
      <c r="AS41" s="52">
        <f t="shared" si="53"/>
        <v>14.250091761920668</v>
      </c>
      <c r="AT41" s="52">
        <f t="shared" si="53"/>
        <v>14.338004591731417</v>
      </c>
      <c r="AU41" s="52">
        <f t="shared" si="53"/>
        <v>14.424420970032767</v>
      </c>
      <c r="AV41" s="52">
        <f t="shared" si="53"/>
        <v>14.509711869368445</v>
      </c>
      <c r="AW41" s="52">
        <f t="shared" si="53"/>
        <v>14.594282771094459</v>
      </c>
      <c r="AX41" s="52">
        <f t="shared" si="53"/>
        <v>0</v>
      </c>
      <c r="AY41" s="52">
        <f t="shared" si="53"/>
        <v>0</v>
      </c>
      <c r="AZ41" s="52">
        <f t="shared" si="53"/>
        <v>0</v>
      </c>
      <c r="BA41" s="52">
        <f t="shared" si="53"/>
        <v>0</v>
      </c>
      <c r="BB41" s="52">
        <f t="shared" si="53"/>
        <v>0</v>
      </c>
      <c r="BC41" s="52">
        <f t="shared" si="53"/>
        <v>0</v>
      </c>
      <c r="BD41" s="52">
        <f t="shared" si="53"/>
        <v>0</v>
      </c>
      <c r="BE41" s="52">
        <f t="shared" si="53"/>
        <v>0</v>
      </c>
      <c r="BF41" s="52">
        <f t="shared" si="53"/>
        <v>0</v>
      </c>
      <c r="BG41" s="52">
        <f t="shared" si="53"/>
        <v>0</v>
      </c>
      <c r="BH41" s="52">
        <f t="shared" si="53"/>
        <v>0</v>
      </c>
      <c r="BI41" s="52">
        <f t="shared" si="53"/>
        <v>0</v>
      </c>
      <c r="BJ41" s="52">
        <f t="shared" si="53"/>
        <v>0</v>
      </c>
      <c r="BK41" s="52">
        <f t="shared" si="53"/>
        <v>0</v>
      </c>
      <c r="BL41" s="52">
        <f t="shared" si="53"/>
        <v>0</v>
      </c>
      <c r="BM41" s="52">
        <f t="shared" si="53"/>
        <v>0</v>
      </c>
      <c r="BN41" s="52">
        <f t="shared" si="53"/>
        <v>0</v>
      </c>
      <c r="BO41" s="52">
        <f t="shared" si="53"/>
        <v>0</v>
      </c>
      <c r="BP41" s="52">
        <f t="shared" si="53"/>
        <v>0</v>
      </c>
      <c r="BQ41" s="52">
        <f t="shared" si="53"/>
        <v>0</v>
      </c>
      <c r="BR41" s="52">
        <f t="shared" si="53"/>
        <v>0</v>
      </c>
      <c r="BS41" s="52">
        <f t="shared" si="53"/>
        <v>0</v>
      </c>
      <c r="BT41" s="52">
        <f t="shared" si="54" ref="BT41:CK42">$G41*SUM(BT$29:BT$31)/SUM($G$29:$G$31)</f>
        <v>0</v>
      </c>
      <c r="BU41" s="52">
        <f t="shared" si="54"/>
        <v>0</v>
      </c>
      <c r="BV41" s="52">
        <f t="shared" si="54"/>
        <v>0</v>
      </c>
      <c r="BW41" s="52">
        <f t="shared" si="54"/>
        <v>0</v>
      </c>
      <c r="BX41" s="52">
        <f t="shared" si="54"/>
        <v>0</v>
      </c>
      <c r="BY41" s="52">
        <f t="shared" si="54"/>
        <v>0</v>
      </c>
      <c r="BZ41" s="52">
        <f t="shared" si="54"/>
        <v>0</v>
      </c>
      <c r="CA41" s="52">
        <f t="shared" si="54"/>
        <v>0</v>
      </c>
      <c r="CB41" s="52">
        <f t="shared" si="54"/>
        <v>0</v>
      </c>
      <c r="CC41" s="52">
        <f t="shared" si="54"/>
        <v>0</v>
      </c>
      <c r="CD41" s="52">
        <f t="shared" si="54"/>
        <v>0</v>
      </c>
      <c r="CE41" s="52">
        <f t="shared" si="54"/>
        <v>0</v>
      </c>
      <c r="CF41" s="52">
        <f t="shared" si="54"/>
        <v>0</v>
      </c>
      <c r="CG41" s="52">
        <f t="shared" si="54"/>
        <v>0</v>
      </c>
      <c r="CH41" s="52">
        <f t="shared" si="54"/>
        <v>0</v>
      </c>
      <c r="CI41" s="52">
        <f t="shared" si="54"/>
        <v>0</v>
      </c>
      <c r="CJ41" s="52">
        <f t="shared" si="54"/>
        <v>0</v>
      </c>
      <c r="CK41" s="52">
        <f t="shared" si="54"/>
        <v>0</v>
      </c>
    </row>
    <row r="42" spans="3:89" ht="14.4">
      <c r="C42" t="s">
        <v>6</v>
      </c>
      <c r="D42" t="s">
        <v>161</v>
      </c>
      <c r="E42" t="s">
        <v>134</v>
      </c>
      <c r="F42" t="s">
        <v>168</v>
      </c>
      <c r="G42" s="32">
        <f>VLOOKUP(E42,'BY-Demands'!$I$6:$J$42,2,FALSE)</f>
        <v>0</v>
      </c>
      <c r="H42">
        <f t="shared" si="49"/>
        <v>0</v>
      </c>
      <c r="I42">
        <f t="shared" si="55" ref="I42:BT42">$G42*SUM(I$29:I$31)/SUM($G$29:$G$31)</f>
        <v>0</v>
      </c>
      <c r="J42">
        <f t="shared" si="55"/>
        <v>0</v>
      </c>
      <c r="K42">
        <f t="shared" si="55"/>
        <v>0</v>
      </c>
      <c r="L42">
        <f t="shared" si="55"/>
        <v>0</v>
      </c>
      <c r="M42">
        <f t="shared" si="55"/>
        <v>0</v>
      </c>
      <c r="N42">
        <f t="shared" si="55"/>
        <v>0</v>
      </c>
      <c r="O42">
        <f t="shared" si="55"/>
        <v>0</v>
      </c>
      <c r="P42">
        <f t="shared" si="55"/>
        <v>0</v>
      </c>
      <c r="Q42">
        <f t="shared" si="55"/>
        <v>0</v>
      </c>
      <c r="R42">
        <f t="shared" si="55"/>
        <v>0</v>
      </c>
      <c r="S42">
        <f t="shared" si="55"/>
        <v>0</v>
      </c>
      <c r="T42">
        <f t="shared" si="55"/>
        <v>0</v>
      </c>
      <c r="U42">
        <f t="shared" si="55"/>
        <v>0</v>
      </c>
      <c r="V42">
        <f t="shared" si="55"/>
        <v>0</v>
      </c>
      <c r="W42">
        <f t="shared" si="55"/>
        <v>0</v>
      </c>
      <c r="X42">
        <f t="shared" si="55"/>
        <v>0</v>
      </c>
      <c r="Y42">
        <f t="shared" si="55"/>
        <v>0</v>
      </c>
      <c r="Z42">
        <f t="shared" si="55"/>
        <v>0</v>
      </c>
      <c r="AA42">
        <f t="shared" si="55"/>
        <v>0</v>
      </c>
      <c r="AB42">
        <f t="shared" si="55"/>
        <v>0</v>
      </c>
      <c r="AC42">
        <f t="shared" si="55"/>
        <v>0</v>
      </c>
      <c r="AD42">
        <f t="shared" si="55"/>
        <v>0</v>
      </c>
      <c r="AE42">
        <f t="shared" si="55"/>
        <v>0</v>
      </c>
      <c r="AF42">
        <f t="shared" si="55"/>
        <v>0</v>
      </c>
      <c r="AG42">
        <f t="shared" si="55"/>
        <v>0</v>
      </c>
      <c r="AH42">
        <f t="shared" si="55"/>
        <v>0</v>
      </c>
      <c r="AI42">
        <f t="shared" si="55"/>
        <v>0</v>
      </c>
      <c r="AJ42">
        <f t="shared" si="55"/>
        <v>0</v>
      </c>
      <c r="AK42">
        <f t="shared" si="55"/>
        <v>0</v>
      </c>
      <c r="AL42">
        <f t="shared" si="55"/>
        <v>0</v>
      </c>
      <c r="AM42">
        <f t="shared" si="55"/>
        <v>0</v>
      </c>
      <c r="AN42">
        <f t="shared" si="55"/>
        <v>0</v>
      </c>
      <c r="AO42">
        <f t="shared" si="55"/>
        <v>0</v>
      </c>
      <c r="AP42">
        <f t="shared" si="55"/>
        <v>0</v>
      </c>
      <c r="AQ42">
        <f t="shared" si="55"/>
        <v>0</v>
      </c>
      <c r="AR42">
        <f t="shared" si="55"/>
        <v>0</v>
      </c>
      <c r="AS42">
        <f t="shared" si="55"/>
        <v>0</v>
      </c>
      <c r="AT42">
        <f t="shared" si="55"/>
        <v>0</v>
      </c>
      <c r="AU42">
        <f t="shared" si="55"/>
        <v>0</v>
      </c>
      <c r="AV42">
        <f t="shared" si="55"/>
        <v>0</v>
      </c>
      <c r="AW42">
        <f t="shared" si="55"/>
        <v>0</v>
      </c>
      <c r="AX42">
        <f t="shared" si="55"/>
        <v>0</v>
      </c>
      <c r="AY42">
        <f t="shared" si="55"/>
        <v>0</v>
      </c>
      <c r="AZ42">
        <f t="shared" si="55"/>
        <v>0</v>
      </c>
      <c r="BA42">
        <f t="shared" si="55"/>
        <v>0</v>
      </c>
      <c r="BB42">
        <f t="shared" si="55"/>
        <v>0</v>
      </c>
      <c r="BC42">
        <f t="shared" si="55"/>
        <v>0</v>
      </c>
      <c r="BD42">
        <f t="shared" si="55"/>
        <v>0</v>
      </c>
      <c r="BE42">
        <f t="shared" si="55"/>
        <v>0</v>
      </c>
      <c r="BF42">
        <f t="shared" si="55"/>
        <v>0</v>
      </c>
      <c r="BG42">
        <f t="shared" si="55"/>
        <v>0</v>
      </c>
      <c r="BH42">
        <f t="shared" si="55"/>
        <v>0</v>
      </c>
      <c r="BI42">
        <f t="shared" si="55"/>
        <v>0</v>
      </c>
      <c r="BJ42">
        <f t="shared" si="55"/>
        <v>0</v>
      </c>
      <c r="BK42">
        <f t="shared" si="55"/>
        <v>0</v>
      </c>
      <c r="BL42">
        <f t="shared" si="55"/>
        <v>0</v>
      </c>
      <c r="BM42">
        <f t="shared" si="55"/>
        <v>0</v>
      </c>
      <c r="BN42">
        <f t="shared" si="55"/>
        <v>0</v>
      </c>
      <c r="BO42">
        <f t="shared" si="55"/>
        <v>0</v>
      </c>
      <c r="BP42">
        <f t="shared" si="55"/>
        <v>0</v>
      </c>
      <c r="BQ42">
        <f t="shared" si="55"/>
        <v>0</v>
      </c>
      <c r="BR42">
        <f t="shared" si="55"/>
        <v>0</v>
      </c>
      <c r="BS42">
        <f t="shared" si="55"/>
        <v>0</v>
      </c>
      <c r="BT42">
        <f t="shared" si="55"/>
        <v>0</v>
      </c>
      <c r="BU42">
        <f t="shared" si="54"/>
        <v>0</v>
      </c>
      <c r="BV42">
        <f t="shared" si="54"/>
        <v>0</v>
      </c>
      <c r="BW42">
        <f t="shared" si="54"/>
        <v>0</v>
      </c>
      <c r="BX42">
        <f t="shared" si="54"/>
        <v>0</v>
      </c>
      <c r="BY42">
        <f t="shared" si="54"/>
        <v>0</v>
      </c>
      <c r="BZ42">
        <f t="shared" si="54"/>
        <v>0</v>
      </c>
      <c r="CA42">
        <f t="shared" si="54"/>
        <v>0</v>
      </c>
      <c r="CB42">
        <f t="shared" si="54"/>
        <v>0</v>
      </c>
      <c r="CC42">
        <f t="shared" si="54"/>
        <v>0</v>
      </c>
      <c r="CD42">
        <f t="shared" si="54"/>
        <v>0</v>
      </c>
      <c r="CE42">
        <f t="shared" si="54"/>
        <v>0</v>
      </c>
      <c r="CF42">
        <f t="shared" si="54"/>
        <v>0</v>
      </c>
      <c r="CG42">
        <f t="shared" si="54"/>
        <v>0</v>
      </c>
      <c r="CH42">
        <f t="shared" si="54"/>
        <v>0</v>
      </c>
      <c r="CI42">
        <f t="shared" si="54"/>
        <v>0</v>
      </c>
      <c r="CJ42">
        <f t="shared" si="54"/>
        <v>0</v>
      </c>
      <c r="CK42">
        <f t="shared" si="54"/>
        <v>0</v>
      </c>
    </row>
    <row r="46" spans="6:20" ht="14.4">
      <c r="F46" t="s">
        <v>201</v>
      </c>
      <c r="G46" s="60">
        <v>44562</v>
      </c>
      <c r="H46" s="60">
        <v>44593</v>
      </c>
      <c r="I46" s="60">
        <v>44621</v>
      </c>
      <c r="J46" s="60">
        <v>44652</v>
      </c>
      <c r="K46" s="60">
        <v>44682</v>
      </c>
      <c r="L46" s="60">
        <v>44713</v>
      </c>
      <c r="M46" s="60">
        <v>44743</v>
      </c>
      <c r="N46" s="60">
        <v>44774</v>
      </c>
      <c r="O46" s="60">
        <v>44805</v>
      </c>
      <c r="P46" s="60">
        <v>44835</v>
      </c>
      <c r="Q46" s="60">
        <v>44866</v>
      </c>
      <c r="R46" s="60">
        <v>44896</v>
      </c>
      <c r="S46" t="s">
        <v>202</v>
      </c>
      <c r="T46" s="72" t="s">
        <v>198</v>
      </c>
    </row>
    <row r="47" spans="6:20" ht="14.4">
      <c r="F47" t="s">
        <v>199</v>
      </c>
      <c r="G47" s="73">
        <v>2980</v>
      </c>
      <c r="H47" s="73">
        <v>2761</v>
      </c>
      <c r="I47" s="73">
        <v>2739</v>
      </c>
      <c r="J47" s="73">
        <v>2493</v>
      </c>
      <c r="K47" s="73">
        <v>2501</v>
      </c>
      <c r="L47" s="73">
        <v>2404</v>
      </c>
      <c r="M47" s="73">
        <v>2484</v>
      </c>
      <c r="N47" s="73">
        <v>2556</v>
      </c>
      <c r="O47" s="73">
        <v>2472</v>
      </c>
      <c r="P47" s="73">
        <v>2676</v>
      </c>
      <c r="Q47" s="73">
        <v>2847</v>
      </c>
      <c r="R47" s="73">
        <v>2964</v>
      </c>
      <c r="S47">
        <f>SUM(G47:R47)</f>
        <v>31877</v>
      </c>
      <c r="T47" s="59">
        <f>S47*3.6/1000</f>
        <v>114.7572</v>
      </c>
    </row>
    <row r="48" spans="6:20" ht="14.4">
      <c r="F48" t="s">
        <v>200</v>
      </c>
      <c r="G48">
        <v>-42</v>
      </c>
      <c r="H48">
        <v>-59</v>
      </c>
      <c r="I48">
        <v>112</v>
      </c>
      <c r="J48">
        <v>120</v>
      </c>
      <c r="K48">
        <v>65</v>
      </c>
      <c r="L48">
        <v>47</v>
      </c>
      <c r="M48">
        <v>34</v>
      </c>
      <c r="N48">
        <v>-19</v>
      </c>
      <c r="O48">
        <v>13</v>
      </c>
      <c r="P48">
        <v>-2</v>
      </c>
      <c r="Q48">
        <v>-58</v>
      </c>
      <c r="R48">
        <v>41</v>
      </c>
      <c r="S48">
        <f>SUM(G48:R48)</f>
        <v>252</v>
      </c>
      <c r="T48" s="59">
        <f>S48*3.6/1000</f>
        <v>0.90720000000000001</v>
      </c>
    </row>
    <row r="49" spans="6:6" ht="14.4">
      <c r="F49" t="s">
        <v>205</v>
      </c>
    </row>
    <row r="50" spans="6:7" ht="14.4">
      <c r="F50" t="s">
        <v>203</v>
      </c>
      <c r="G50">
        <v>129.69999999999999</v>
      </c>
    </row>
    <row r="51" spans="6:7" ht="14.4">
      <c r="F51" t="s">
        <v>204</v>
      </c>
      <c r="G51" s="82">
        <f>1-(G50/T47)</f>
        <v>-0.13021230911873061</v>
      </c>
    </row>
    <row r="53" spans="7:13" ht="14.4">
      <c r="G53" s="51"/>
      <c r="H53" s="52"/>
      <c r="I53" s="52"/>
      <c r="J53" s="52"/>
      <c r="K53" s="52"/>
      <c r="L53" s="52"/>
      <c r="M53" s="52"/>
    </row>
    <row r="56" spans="7:7" ht="14.4">
      <c r="G56" t="s">
        <v>206</v>
      </c>
    </row>
    <row r="57" spans="6:11" ht="15" thickBot="1">
      <c r="F57" s="53" t="s">
        <v>59</v>
      </c>
      <c r="G57" s="53">
        <v>2022</v>
      </c>
      <c r="J57" s="88" t="s">
        <v>208</v>
      </c>
      <c r="K57" s="88" t="s">
        <v>61</v>
      </c>
    </row>
    <row r="58" spans="6:12" ht="14.4">
      <c r="F58" s="34" t="s">
        <v>8</v>
      </c>
      <c r="G58" s="52">
        <v>1.7028384806625201</v>
      </c>
      <c r="J58" t="s">
        <v>211</v>
      </c>
      <c r="K58" s="52">
        <v>10.40</v>
      </c>
      <c r="L58" s="82">
        <f t="shared" si="56" ref="L58:L66">+(AM3/G3-1)/(2050-2018)</f>
        <v>0.0085659047320773354</v>
      </c>
    </row>
    <row r="59" spans="6:12" ht="14.4">
      <c r="F59" s="34" t="s">
        <v>10</v>
      </c>
      <c r="G59" s="52">
        <v>23.738094411807602</v>
      </c>
      <c r="J59" t="s">
        <v>17</v>
      </c>
      <c r="K59" s="52">
        <v>5.70</v>
      </c>
      <c r="L59" s="82">
        <f t="shared" si="56"/>
        <v>0.011819618814857262</v>
      </c>
    </row>
    <row r="60" spans="6:12" ht="14.4">
      <c r="F60" s="34" t="s">
        <v>12</v>
      </c>
      <c r="G60" s="52">
        <v>1.5478463345837199</v>
      </c>
      <c r="J60" t="s">
        <v>212</v>
      </c>
      <c r="K60" s="52">
        <v>13.40</v>
      </c>
      <c r="L60" s="82">
        <f t="shared" si="56"/>
        <v>0.021569444251972422</v>
      </c>
    </row>
    <row r="61" spans="6:12" ht="14.4">
      <c r="F61" s="34" t="s">
        <v>14</v>
      </c>
      <c r="G61" s="52">
        <v>5.8166390635502099</v>
      </c>
      <c r="J61" t="s">
        <v>213</v>
      </c>
      <c r="K61" s="52">
        <v>1.30</v>
      </c>
      <c r="L61" s="82">
        <f t="shared" si="56"/>
        <v>0.0085659047320773354</v>
      </c>
    </row>
    <row r="62" spans="6:12" ht="14.4">
      <c r="F62" s="34" t="s">
        <v>16</v>
      </c>
      <c r="G62" s="52">
        <v>1.19927927754182</v>
      </c>
      <c r="J62" t="s">
        <v>23</v>
      </c>
      <c r="K62" s="52">
        <v>16.50</v>
      </c>
      <c r="L62" s="82">
        <f t="shared" si="56"/>
        <v>0.0021825068044228901</v>
      </c>
    </row>
    <row r="63" spans="6:12" ht="14.4">
      <c r="F63" s="34" t="s">
        <v>18</v>
      </c>
      <c r="G63" s="52">
        <v>10.6043548094603</v>
      </c>
      <c r="J63" t="s">
        <v>31</v>
      </c>
      <c r="K63" s="52">
        <v>3.80</v>
      </c>
      <c r="L63" s="82">
        <f t="shared" si="56"/>
        <v>0.0094246098702908884</v>
      </c>
    </row>
    <row r="64" spans="6:12" ht="14.4">
      <c r="F64" s="34" t="s">
        <v>20</v>
      </c>
      <c r="G64" s="52">
        <v>1.0410295169864401</v>
      </c>
      <c r="J64" t="s">
        <v>21</v>
      </c>
      <c r="K64" s="52">
        <v>2.40</v>
      </c>
      <c r="L64" s="82">
        <f t="shared" si="56"/>
        <v>0.0085659047320773354</v>
      </c>
    </row>
    <row r="65" spans="6:12" ht="14.4">
      <c r="F65" s="34" t="s">
        <v>22</v>
      </c>
      <c r="G65" s="52">
        <v>18.752348682008719</v>
      </c>
      <c r="J65" t="s">
        <v>13</v>
      </c>
      <c r="K65" s="52">
        <v>5</v>
      </c>
      <c r="L65" s="82">
        <f t="shared" si="56"/>
        <v>0.0032613225735525914</v>
      </c>
    </row>
    <row r="66" spans="6:12" ht="14.4">
      <c r="F66" s="34" t="s">
        <v>24</v>
      </c>
      <c r="G66" s="52">
        <v>18.095637208589601</v>
      </c>
      <c r="J66" s="89" t="s">
        <v>209</v>
      </c>
      <c r="K66" s="52">
        <v>23.439361110035826</v>
      </c>
      <c r="L66" s="82">
        <f t="shared" si="56"/>
        <v>0.0094246098702908954</v>
      </c>
    </row>
    <row r="67" spans="6:12" ht="14.4">
      <c r="F67" s="34" t="s">
        <v>26</v>
      </c>
      <c r="G67" s="52">
        <v>2.2584342466232901</v>
      </c>
      <c r="J67" s="89" t="s">
        <v>210</v>
      </c>
      <c r="K67" s="52">
        <v>0</v>
      </c>
      <c r="L67" s="82"/>
    </row>
    <row r="68" spans="6:7" ht="14.4">
      <c r="F68" s="34" t="s">
        <v>28</v>
      </c>
      <c r="G68" s="52">
        <v>6.2862087424890802</v>
      </c>
    </row>
    <row r="69" spans="6:7" ht="14.4">
      <c r="F69" s="34" t="s">
        <v>30</v>
      </c>
      <c r="G69" s="52">
        <v>0.187409320968947</v>
      </c>
    </row>
    <row r="70" spans="6:46" ht="15" thickBot="1">
      <c r="F70" s="34" t="s">
        <v>32</v>
      </c>
      <c r="G70" s="52">
        <v>4.6924479738735299</v>
      </c>
      <c r="J70" s="53" t="s">
        <v>3</v>
      </c>
      <c r="K70" s="53" t="s">
        <v>4</v>
      </c>
      <c r="L70" s="53" t="s">
        <v>5</v>
      </c>
      <c r="M70" s="53" t="s">
        <v>59</v>
      </c>
      <c r="N70" s="53">
        <v>2018</v>
      </c>
      <c r="O70" s="53">
        <v>2019</v>
      </c>
      <c r="P70" s="53">
        <v>2020</v>
      </c>
      <c r="Q70" s="53">
        <v>2021</v>
      </c>
      <c r="R70" s="53">
        <v>2022</v>
      </c>
      <c r="S70" s="53">
        <v>2023</v>
      </c>
      <c r="T70" s="53">
        <v>2024</v>
      </c>
      <c r="U70" s="53">
        <v>2025</v>
      </c>
      <c r="V70" s="53">
        <v>2026</v>
      </c>
      <c r="W70" s="53">
        <v>2027</v>
      </c>
      <c r="X70" s="53">
        <v>2028</v>
      </c>
      <c r="Y70" s="53">
        <v>2029</v>
      </c>
      <c r="Z70" s="53">
        <v>2030</v>
      </c>
      <c r="AA70" s="53">
        <v>2031</v>
      </c>
      <c r="AB70" s="53">
        <v>2032</v>
      </c>
      <c r="AC70" s="53">
        <v>2033</v>
      </c>
      <c r="AD70" s="53">
        <v>2034</v>
      </c>
      <c r="AE70" s="53">
        <v>2035</v>
      </c>
      <c r="AF70" s="53">
        <v>2036</v>
      </c>
      <c r="AG70" s="53">
        <v>2037</v>
      </c>
      <c r="AH70" s="53">
        <v>2038</v>
      </c>
      <c r="AI70" s="53">
        <v>2039</v>
      </c>
      <c r="AJ70" s="53">
        <v>2040</v>
      </c>
      <c r="AK70" s="53">
        <v>2041</v>
      </c>
      <c r="AL70" s="53">
        <v>2042</v>
      </c>
      <c r="AM70" s="53">
        <v>2043</v>
      </c>
      <c r="AN70" s="53">
        <v>2044</v>
      </c>
      <c r="AO70" s="53">
        <v>2045</v>
      </c>
      <c r="AP70" s="53">
        <v>2046</v>
      </c>
      <c r="AQ70" s="53">
        <v>2047</v>
      </c>
      <c r="AR70" s="53">
        <v>2048</v>
      </c>
      <c r="AS70" s="53">
        <v>2049</v>
      </c>
      <c r="AT70" s="53">
        <v>2050</v>
      </c>
    </row>
    <row r="71" spans="6:46" ht="14.4">
      <c r="F71" s="34" t="s">
        <v>34</v>
      </c>
      <c r="G71" s="52">
        <v>3.6347440465271599</v>
      </c>
      <c r="J71" t="s">
        <v>6</v>
      </c>
      <c r="K71" t="s">
        <v>161</v>
      </c>
      <c r="L71" t="s">
        <v>7</v>
      </c>
      <c r="M71" s="34" t="s">
        <v>8</v>
      </c>
      <c r="N71" s="51">
        <v>1.8983540603270901</v>
      </c>
      <c r="O71" s="52">
        <v>2.9169885814082672</v>
      </c>
      <c r="P71" s="52">
        <v>2.9233084199020065</v>
      </c>
      <c r="Q71" s="52">
        <v>2.9160581250770159</v>
      </c>
      <c r="R71" s="52">
        <v>1.7028384806625201</v>
      </c>
      <c r="S71" s="52">
        <v>1.6135753111997699</v>
      </c>
      <c r="T71" s="52">
        <v>1.5288879865599401</v>
      </c>
      <c r="U71" s="52">
        <v>1.4483402829919301</v>
      </c>
      <c r="V71" s="52">
        <v>1.37144186569114</v>
      </c>
      <c r="W71" s="52">
        <v>1.2980237760162101</v>
      </c>
      <c r="X71" s="52">
        <v>1.2273645374545299</v>
      </c>
      <c r="Y71" s="52">
        <v>1.1587398333279899</v>
      </c>
      <c r="Z71" s="52">
        <v>1.0921851641664599</v>
      </c>
      <c r="AA71" s="52">
        <v>1.0275875212951799</v>
      </c>
      <c r="AB71" s="52">
        <v>0.96469052754222095</v>
      </c>
      <c r="AC71" s="52">
        <v>0.90322534608371097</v>
      </c>
      <c r="AD71" s="52">
        <v>0.843039934608244</v>
      </c>
      <c r="AE71" s="52">
        <v>0.78430044562909396</v>
      </c>
      <c r="AF71" s="52">
        <v>0.72705781851404505</v>
      </c>
      <c r="AG71" s="52">
        <v>0.67137201355071097</v>
      </c>
      <c r="AH71" s="52">
        <v>0.617255006862235</v>
      </c>
      <c r="AI71" s="52">
        <v>0.56487434871240405</v>
      </c>
      <c r="AJ71" s="52">
        <v>0.51429446227126696</v>
      </c>
      <c r="AK71" s="52">
        <v>0.46550862914181301</v>
      </c>
      <c r="AL71" s="52">
        <v>0.41860592138873198</v>
      </c>
      <c r="AM71" s="52">
        <v>0.37371559292088302</v>
      </c>
      <c r="AN71" s="52">
        <v>0.33115411651416998</v>
      </c>
      <c r="AO71" s="52">
        <v>0.29094856023906202</v>
      </c>
      <c r="AP71" s="52">
        <v>0.253074162053473</v>
      </c>
      <c r="AQ71" s="52">
        <v>0.21761723332759</v>
      </c>
      <c r="AR71" s="52">
        <v>0.18460518744999099</v>
      </c>
      <c r="AS71" s="52">
        <v>0.15423321177072899</v>
      </c>
      <c r="AT71" s="52">
        <v>0.126438626203419</v>
      </c>
    </row>
    <row r="72" spans="6:46" ht="14.4">
      <c r="F72" s="34" t="s">
        <v>36</v>
      </c>
      <c r="G72" s="51">
        <v>14.05673907080137</v>
      </c>
      <c r="J72" t="s">
        <v>6</v>
      </c>
      <c r="K72" t="s">
        <v>161</v>
      </c>
      <c r="L72" t="s">
        <v>9</v>
      </c>
      <c r="M72" s="34" t="s">
        <v>10</v>
      </c>
      <c r="N72" s="51">
        <v>20.1128233846323</v>
      </c>
      <c r="O72" s="52">
        <v>20.829707214475608</v>
      </c>
      <c r="P72" s="52">
        <v>21.483394248547164</v>
      </c>
      <c r="Q72" s="52">
        <v>20.570384916097975</v>
      </c>
      <c r="R72" s="51">
        <v>22.551189691217221</v>
      </c>
      <c r="S72" s="52">
        <v>24.2477718451144</v>
      </c>
      <c r="T72" s="52">
        <v>24.737798032768101</v>
      </c>
      <c r="U72" s="52">
        <v>25.2100090945452</v>
      </c>
      <c r="V72" s="52">
        <v>25.666470943862102</v>
      </c>
      <c r="W72" s="52">
        <v>26.1078999635439</v>
      </c>
      <c r="X72" s="52">
        <v>26.537329523433002</v>
      </c>
      <c r="Y72" s="52">
        <v>26.957806654528799</v>
      </c>
      <c r="Z72" s="52">
        <v>27.3691900664729</v>
      </c>
      <c r="AA72" s="52">
        <v>27.7731438249603</v>
      </c>
      <c r="AB72" s="52">
        <v>28.169463481332301</v>
      </c>
      <c r="AC72" s="52">
        <v>28.559286276079199</v>
      </c>
      <c r="AD72" s="52">
        <v>28.943262981163599</v>
      </c>
      <c r="AE72" s="52">
        <v>29.320698163891301</v>
      </c>
      <c r="AF72" s="52">
        <v>29.691391884672999</v>
      </c>
      <c r="AG72" s="52">
        <v>30.0551037457994</v>
      </c>
      <c r="AH72" s="52">
        <v>30.411784324386399</v>
      </c>
      <c r="AI72" s="52">
        <v>30.760741657246101</v>
      </c>
      <c r="AJ72" s="52">
        <v>31.101717485548001</v>
      </c>
      <c r="AK72" s="52">
        <v>31.434745464031</v>
      </c>
      <c r="AL72" s="52">
        <v>31.759461829300999</v>
      </c>
      <c r="AM72" s="52">
        <v>32.075337728167199</v>
      </c>
      <c r="AN72" s="52">
        <v>32.381048517803499</v>
      </c>
      <c r="AO72" s="52">
        <v>32.676490730910302</v>
      </c>
      <c r="AP72" s="52">
        <v>32.96178372955</v>
      </c>
      <c r="AQ72" s="52">
        <v>33.236573405433496</v>
      </c>
      <c r="AR72" s="52">
        <v>33.500754681233502</v>
      </c>
      <c r="AS72" s="52">
        <v>33.753517042278197</v>
      </c>
      <c r="AT72" s="52">
        <v>33.995140912459298</v>
      </c>
    </row>
    <row r="73" spans="6:46" ht="14.4">
      <c r="F73" s="34" t="s">
        <v>38</v>
      </c>
      <c r="G73" s="51">
        <v>30.202204674413409</v>
      </c>
      <c r="J73" t="s">
        <v>6</v>
      </c>
      <c r="K73" t="s">
        <v>161</v>
      </c>
      <c r="L73" t="s">
        <v>11</v>
      </c>
      <c r="M73" s="34" t="s">
        <v>12</v>
      </c>
      <c r="N73" s="51">
        <v>0.42769784899188301</v>
      </c>
      <c r="O73" s="52">
        <v>0.74181807651109255</v>
      </c>
      <c r="P73" s="52">
        <v>0.7440570217426532</v>
      </c>
      <c r="Q73" s="52">
        <v>0.73064036372909791</v>
      </c>
      <c r="R73" s="52">
        <v>1.5478463345837199</v>
      </c>
      <c r="S73" s="52">
        <v>1.6648203937614301</v>
      </c>
      <c r="T73" s="52">
        <v>1.7809335626957301</v>
      </c>
      <c r="U73" s="52">
        <v>1.89639959071686</v>
      </c>
      <c r="V73" s="52">
        <v>2.0114820383474701</v>
      </c>
      <c r="W73" s="52">
        <v>2.1262543506531602</v>
      </c>
      <c r="X73" s="52">
        <v>2.2411440385340899</v>
      </c>
      <c r="Y73" s="52">
        <v>2.35659966296154</v>
      </c>
      <c r="Z73" s="52">
        <v>2.4726017482570901</v>
      </c>
      <c r="AA73" s="52">
        <v>2.5893767113569299</v>
      </c>
      <c r="AB73" s="52">
        <v>2.70693447698793</v>
      </c>
      <c r="AC73" s="52">
        <v>2.8254641527981499</v>
      </c>
      <c r="AD73" s="52">
        <v>2.9450841852782901</v>
      </c>
      <c r="AE73" s="52">
        <v>3.0657026736779498</v>
      </c>
      <c r="AF73" s="52">
        <v>3.1873040401010502</v>
      </c>
      <c r="AG73" s="52">
        <v>3.3098663768416698</v>
      </c>
      <c r="AH73" s="52">
        <v>3.4333973105618001</v>
      </c>
      <c r="AI73" s="52">
        <v>3.5578003130612501</v>
      </c>
      <c r="AJ73" s="52">
        <v>3.6830492322219301</v>
      </c>
      <c r="AK73" s="52">
        <v>3.8091633839816499</v>
      </c>
      <c r="AL73" s="52">
        <v>3.9361003581391798</v>
      </c>
      <c r="AM73" s="52">
        <v>4.0637848223187998</v>
      </c>
      <c r="AN73" s="52">
        <v>4.1920058269306999</v>
      </c>
      <c r="AO73" s="52">
        <v>4.3207594675386503</v>
      </c>
      <c r="AP73" s="52">
        <v>4.4500790205684</v>
      </c>
      <c r="AQ73" s="52">
        <v>4.5799183003671899</v>
      </c>
      <c r="AR73" s="52">
        <v>4.7102769387463397</v>
      </c>
      <c r="AS73" s="52">
        <v>4.8410287526926199</v>
      </c>
      <c r="AT73" s="52">
        <v>4.9722422779080198</v>
      </c>
    </row>
    <row r="74" spans="6:46" ht="14.4">
      <c r="F74" s="34" t="s">
        <v>40</v>
      </c>
      <c r="G74" s="51">
        <v>26.199972897443971</v>
      </c>
      <c r="J74" t="s">
        <v>6</v>
      </c>
      <c r="K74" t="s">
        <v>161</v>
      </c>
      <c r="L74" t="s">
        <v>13</v>
      </c>
      <c r="M74" s="34" t="s">
        <v>14</v>
      </c>
      <c r="N74" s="51">
        <v>6.9295287156334302</v>
      </c>
      <c r="O74" s="52">
        <v>6.5639975672352229</v>
      </c>
      <c r="P74" s="52">
        <v>5.780638065059601</v>
      </c>
      <c r="Q74" s="52">
        <v>6.5949264310858817</v>
      </c>
      <c r="R74" s="52">
        <v>5.8166390635502099</v>
      </c>
      <c r="S74" s="52">
        <v>5.86289720148286</v>
      </c>
      <c r="T74" s="52">
        <v>5.9102964369672799</v>
      </c>
      <c r="U74" s="52">
        <v>5.9588634696265501</v>
      </c>
      <c r="V74" s="52">
        <v>6.0086282326853899</v>
      </c>
      <c r="W74" s="52">
        <v>6.0596206906641799</v>
      </c>
      <c r="X74" s="52">
        <v>6.11187232558445</v>
      </c>
      <c r="Y74" s="52">
        <v>6.1654122980366699</v>
      </c>
      <c r="Z74" s="52">
        <v>6.2202749583689796</v>
      </c>
      <c r="AA74" s="52">
        <v>6.2764914893167498</v>
      </c>
      <c r="AB74" s="52">
        <v>6.3340965980484798</v>
      </c>
      <c r="AC74" s="52">
        <v>6.3931254408430798</v>
      </c>
      <c r="AD74" s="52">
        <v>6.4536142967308301</v>
      </c>
      <c r="AE74" s="52">
        <v>6.5155983460895799</v>
      </c>
      <c r="AF74" s="52">
        <v>6.5791152322932502</v>
      </c>
      <c r="AG74" s="52">
        <v>6.6442042290564496</v>
      </c>
      <c r="AH74" s="52">
        <v>6.7109040474029102</v>
      </c>
      <c r="AI74" s="52">
        <v>6.7792549035251897</v>
      </c>
      <c r="AJ74" s="52">
        <v>6.8492984254727203</v>
      </c>
      <c r="AK74" s="52">
        <v>6.9210768802457201</v>
      </c>
      <c r="AL74" s="52">
        <v>6.9946337892663699</v>
      </c>
      <c r="AM74" s="52">
        <v>7.07001384207258</v>
      </c>
      <c r="AN74" s="52">
        <v>7.1472628123994602</v>
      </c>
      <c r="AO74" s="52">
        <v>7.2264268158768896</v>
      </c>
      <c r="AP74" s="52">
        <v>7.3075548788843099</v>
      </c>
      <c r="AQ74" s="52">
        <v>7.3906955316739102</v>
      </c>
      <c r="AR74" s="52">
        <v>7.4759006566754698</v>
      </c>
      <c r="AS74" s="52">
        <v>7.5632208334368096</v>
      </c>
      <c r="AT74" s="52">
        <v>7.6527104252134697</v>
      </c>
    </row>
    <row r="75" spans="6:46" ht="14.4">
      <c r="F75" s="34" t="s">
        <v>42</v>
      </c>
      <c r="G75" s="51">
        <v>12.797868826509406</v>
      </c>
      <c r="J75" t="s">
        <v>6</v>
      </c>
      <c r="K75" t="s">
        <v>161</v>
      </c>
      <c r="L75" t="s">
        <v>15</v>
      </c>
      <c r="M75" s="34" t="s">
        <v>16</v>
      </c>
      <c r="N75" s="51">
        <v>1.09140526535876</v>
      </c>
      <c r="O75" s="52">
        <v>0.5707726774555677</v>
      </c>
      <c r="P75" s="52">
        <v>0.56119057639608538</v>
      </c>
      <c r="Q75" s="52">
        <v>0.55161044480654198</v>
      </c>
      <c r="R75" s="52">
        <v>1.19927927754182</v>
      </c>
      <c r="S75" s="52">
        <v>1.22725991510956</v>
      </c>
      <c r="T75" s="52">
        <v>1.2559337577197001</v>
      </c>
      <c r="U75" s="52">
        <v>1.2853176351257101</v>
      </c>
      <c r="V75" s="52">
        <v>1.3154284460035299</v>
      </c>
      <c r="W75" s="52">
        <v>1.34628589537239</v>
      </c>
      <c r="X75" s="52">
        <v>1.3779069025349999</v>
      </c>
      <c r="Y75" s="52">
        <v>1.41031202122664</v>
      </c>
      <c r="Z75" s="52">
        <v>1.44351990088433</v>
      </c>
      <c r="AA75" s="52">
        <v>1.4775615762333201</v>
      </c>
      <c r="AB75" s="52">
        <v>1.5124455456633801</v>
      </c>
      <c r="AC75" s="52">
        <v>1.54819453277112</v>
      </c>
      <c r="AD75" s="52">
        <v>1.5848284110095301</v>
      </c>
      <c r="AE75" s="52">
        <v>1.62237119004269</v>
      </c>
      <c r="AF75" s="52">
        <v>1.6608431415137901</v>
      </c>
      <c r="AG75" s="52">
        <v>1.70026940648485</v>
      </c>
      <c r="AH75" s="52">
        <v>1.74067305443197</v>
      </c>
      <c r="AI75" s="52">
        <v>1.7820793168514899</v>
      </c>
      <c r="AJ75" s="52">
        <v>1.8245113417944701</v>
      </c>
      <c r="AK75" s="52">
        <v>1.8679968256578099</v>
      </c>
      <c r="AL75" s="52">
        <v>1.9125604788494299</v>
      </c>
      <c r="AM75" s="52">
        <v>1.9582305876750901</v>
      </c>
      <c r="AN75" s="52">
        <v>2.0050340390722701</v>
      </c>
      <c r="AO75" s="52">
        <v>2.0530003298918298</v>
      </c>
      <c r="AP75" s="52">
        <v>2.1021574936170699</v>
      </c>
      <c r="AQ75" s="52">
        <v>2.1525360482102101</v>
      </c>
      <c r="AR75" s="52">
        <v>2.2041657659317799</v>
      </c>
      <c r="AS75" s="52">
        <v>2.25707952983301</v>
      </c>
      <c r="AT75" s="52">
        <v>2.3113093619058902</v>
      </c>
    </row>
    <row r="76" spans="6:46" ht="14.4">
      <c r="F76" t="s">
        <v>44</v>
      </c>
      <c r="G76" s="52">
        <v>7.6814227047944605</v>
      </c>
      <c r="J76" t="s">
        <v>6</v>
      </c>
      <c r="K76" t="s">
        <v>161</v>
      </c>
      <c r="L76" t="s">
        <v>17</v>
      </c>
      <c r="M76" s="34" t="s">
        <v>18</v>
      </c>
      <c r="N76" s="51">
        <v>9.5100483128062994</v>
      </c>
      <c r="O76" s="52">
        <v>9.7037603897089575</v>
      </c>
      <c r="P76" s="52">
        <v>9.435975307949354</v>
      </c>
      <c r="Q76" s="52">
        <v>9.2516395819175106</v>
      </c>
      <c r="R76" s="52">
        <v>10.6043548094603</v>
      </c>
      <c r="S76" s="52">
        <v>10.6673995636065</v>
      </c>
      <c r="T76" s="52">
        <v>10.732001173252501</v>
      </c>
      <c r="U76" s="52">
        <v>10.798198110701801</v>
      </c>
      <c r="V76" s="52">
        <v>10.8660297948596</v>
      </c>
      <c r="W76" s="52">
        <v>10.935536616854399</v>
      </c>
      <c r="X76" s="52">
        <v>11.006759962605001</v>
      </c>
      <c r="Y76" s="52">
        <v>11.079742239256101</v>
      </c>
      <c r="Z76" s="52">
        <v>11.154526902334201</v>
      </c>
      <c r="AA76" s="52">
        <v>11.2311257904034</v>
      </c>
      <c r="AB76" s="52">
        <v>11.309621200733799</v>
      </c>
      <c r="AC76" s="52">
        <v>11.3900603561419</v>
      </c>
      <c r="AD76" s="52">
        <v>11.472491675352201</v>
      </c>
      <c r="AE76" s="52">
        <v>11.5569648000664</v>
      </c>
      <c r="AF76" s="52">
        <v>11.6435306331609</v>
      </c>
      <c r="AG76" s="52">
        <v>11.732241372561599</v>
      </c>
      <c r="AH76" s="52">
        <v>11.8231505467745</v>
      </c>
      <c r="AI76" s="52">
        <v>11.9163130504629</v>
      </c>
      <c r="AJ76" s="52">
        <v>12.011785185920299</v>
      </c>
      <c r="AK76" s="52">
        <v>12.1096247025261</v>
      </c>
      <c r="AL76" s="52">
        <v>12.2098908348107</v>
      </c>
      <c r="AM76" s="52">
        <v>12.3126443505064</v>
      </c>
      <c r="AN76" s="52">
        <v>12.417947591597301</v>
      </c>
      <c r="AO76" s="52">
        <v>12.5258645217293</v>
      </c>
      <c r="AP76" s="52">
        <v>12.636460775247</v>
      </c>
      <c r="AQ76" s="52">
        <v>12.749803703504501</v>
      </c>
      <c r="AR76" s="52">
        <v>12.8659624331831</v>
      </c>
      <c r="AS76" s="52">
        <v>12.985007915282401</v>
      </c>
      <c r="AT76" s="52">
        <v>13.107012983790201</v>
      </c>
    </row>
    <row r="77" spans="6:46" ht="14.4">
      <c r="F77" t="s">
        <v>46</v>
      </c>
      <c r="G77" s="52">
        <v>4.6611834502685596</v>
      </c>
      <c r="J77" t="s">
        <v>6</v>
      </c>
      <c r="K77" t="s">
        <v>161</v>
      </c>
      <c r="L77" t="s">
        <v>19</v>
      </c>
      <c r="M77" s="34" t="s">
        <v>20</v>
      </c>
      <c r="N77" s="51">
        <v>1.9556249526505201</v>
      </c>
      <c r="O77" s="52">
        <v>1.5498072549825794</v>
      </c>
      <c r="P77" s="52">
        <v>1.5053268122598555</v>
      </c>
      <c r="Q77" s="52">
        <v>1.4894503267095116</v>
      </c>
      <c r="R77" s="52">
        <v>1.0410295169864401</v>
      </c>
      <c r="S77" s="52">
        <v>1.0268975005260801</v>
      </c>
      <c r="T77" s="52">
        <v>1.0136280587395301</v>
      </c>
      <c r="U77" s="52">
        <v>1.0011741174269699</v>
      </c>
      <c r="V77" s="52">
        <v>0.98946802719486804</v>
      </c>
      <c r="W77" s="52">
        <v>0.97851389260134602</v>
      </c>
      <c r="X77" s="52">
        <v>0.96817292950682998</v>
      </c>
      <c r="Y77" s="52">
        <v>0.95829301017512603</v>
      </c>
      <c r="Z77" s="52">
        <v>0.94891013502188304</v>
      </c>
      <c r="AA77" s="52">
        <v>0.93995901525115499</v>
      </c>
      <c r="AB77" s="52">
        <v>0.93146307008219298</v>
      </c>
      <c r="AC77" s="52">
        <v>0.92337177940257198</v>
      </c>
      <c r="AD77" s="52">
        <v>0.91566292726805898</v>
      </c>
      <c r="AE77" s="52">
        <v>0.90840413726139602</v>
      </c>
      <c r="AF77" s="52">
        <v>0.90163209297057001</v>
      </c>
      <c r="AG77" s="52">
        <v>0.89538795586229403</v>
      </c>
      <c r="AH77" s="52">
        <v>0.88970072339962902</v>
      </c>
      <c r="AI77" s="52">
        <v>0.88464782396222197</v>
      </c>
      <c r="AJ77" s="52">
        <v>0.88027755628668003</v>
      </c>
      <c r="AK77" s="52">
        <v>0.87661714743544505</v>
      </c>
      <c r="AL77" s="52">
        <v>0.87372587651921196</v>
      </c>
      <c r="AM77" s="52">
        <v>0.871678474453906</v>
      </c>
      <c r="AN77" s="52">
        <v>0.87061329234646201</v>
      </c>
      <c r="AO77" s="52">
        <v>0.87057814456459504</v>
      </c>
      <c r="AP77" s="52">
        <v>0.87160473874632205</v>
      </c>
      <c r="AQ77" s="52">
        <v>0.87376144176959103</v>
      </c>
      <c r="AR77" s="52">
        <v>0.87709870967996795</v>
      </c>
      <c r="AS77" s="52">
        <v>0.88172610377615801</v>
      </c>
      <c r="AT77" s="52">
        <v>0.88766424801056598</v>
      </c>
    </row>
    <row r="78" spans="6:46" ht="14.4">
      <c r="F78" t="s">
        <v>48</v>
      </c>
      <c r="G78" s="52">
        <v>13.161374650000001</v>
      </c>
      <c r="J78" t="s">
        <v>6</v>
      </c>
      <c r="K78" t="s">
        <v>161</v>
      </c>
      <c r="L78" t="s">
        <v>21</v>
      </c>
      <c r="M78" s="34" t="s">
        <v>22</v>
      </c>
      <c r="N78" s="51">
        <v>19.482476804508799</v>
      </c>
      <c r="O78" s="52">
        <v>17.613308735917627</v>
      </c>
      <c r="P78" s="52">
        <v>17.067480468046199</v>
      </c>
      <c r="Q78" s="52">
        <v>18.473544022536192</v>
      </c>
      <c r="R78" s="51">
        <v>17.814731247908266</v>
      </c>
      <c r="S78" s="52">
        <v>19.494109366820016</v>
      </c>
      <c r="T78" s="52">
        <v>20.265210851701845</v>
      </c>
      <c r="U78" s="52">
        <v>21.066813730045585</v>
      </c>
      <c r="V78" s="52">
        <v>21.900124503227982</v>
      </c>
      <c r="W78" s="52">
        <v>21.903403629125965</v>
      </c>
      <c r="X78" s="52">
        <v>21.906683246010498</v>
      </c>
      <c r="Y78" s="52">
        <v>21.909963353955103</v>
      </c>
      <c r="Z78" s="52">
        <v>21.913243953033305</v>
      </c>
      <c r="AA78" s="52">
        <v>21.916525043318639</v>
      </c>
      <c r="AB78" s="52">
        <v>22.110531640458859</v>
      </c>
      <c r="AC78" s="52">
        <v>22.306255597429594</v>
      </c>
      <c r="AD78" s="52">
        <v>22.503712116418974</v>
      </c>
      <c r="AE78" s="52">
        <v>22.702916534185945</v>
      </c>
      <c r="AF78" s="52">
        <v>22.903884323251511</v>
      </c>
      <c r="AG78" s="52">
        <v>23.057513384534978</v>
      </c>
      <c r="AH78" s="52">
        <v>23.212172921179643</v>
      </c>
      <c r="AI78" s="52">
        <v>23.367869845155557</v>
      </c>
      <c r="AJ78" s="52">
        <v>23.524611114795182</v>
      </c>
      <c r="AK78" s="52">
        <v>23.68240373510438</v>
      </c>
      <c r="AL78" s="52">
        <v>23.806316159658131</v>
      </c>
      <c r="AM78" s="52">
        <v>23.930876925872237</v>
      </c>
      <c r="AN78" s="52">
        <v>24.056089426036937</v>
      </c>
      <c r="AO78" s="52">
        <v>24.18195707019181</v>
      </c>
      <c r="AP78" s="52">
        <v>24.308483286218632</v>
      </c>
      <c r="AQ78" s="52">
        <v>24.436054231032401</v>
      </c>
      <c r="AR78" s="52">
        <v>24.564294668293275</v>
      </c>
      <c r="AS78" s="52">
        <v>24.69320811149829</v>
      </c>
      <c r="AT78" s="52">
        <v>24.822798092583323</v>
      </c>
    </row>
    <row r="79" spans="6:46" ht="14.4">
      <c r="F79" t="s">
        <v>50</v>
      </c>
      <c r="G79" s="52">
        <v>0.23</v>
      </c>
      <c r="J79" t="s">
        <v>6</v>
      </c>
      <c r="K79" t="s">
        <v>161</v>
      </c>
      <c r="L79" t="s">
        <v>23</v>
      </c>
      <c r="M79" s="34" t="s">
        <v>24</v>
      </c>
      <c r="N79" s="51">
        <v>20.3153817696899</v>
      </c>
      <c r="O79" s="52">
        <v>20.746846228178715</v>
      </c>
      <c r="P79" s="52">
        <v>18.66727780331064</v>
      </c>
      <c r="Q79" s="52">
        <v>19.411458005544933</v>
      </c>
      <c r="R79" s="51">
        <v>17.19085534816012</v>
      </c>
      <c r="S79" s="52">
        <v>18.186023945506999</v>
      </c>
      <c r="T79" s="52">
        <v>18.278689472237598</v>
      </c>
      <c r="U79" s="52">
        <v>18.373693111883199</v>
      </c>
      <c r="V79" s="52">
        <v>18.471095819568198</v>
      </c>
      <c r="W79" s="52">
        <v>18.570960267466798</v>
      </c>
      <c r="X79" s="52">
        <v>18.673350891417002</v>
      </c>
      <c r="Y79" s="52">
        <v>18.778333987021998</v>
      </c>
      <c r="Z79" s="52">
        <v>18.885977786093299</v>
      </c>
      <c r="AA79" s="52">
        <v>18.9974247611427</v>
      </c>
      <c r="AB79" s="52">
        <v>19.111640916040798</v>
      </c>
      <c r="AC79" s="52">
        <v>19.228697712637999</v>
      </c>
      <c r="AD79" s="52">
        <v>19.3486686950076</v>
      </c>
      <c r="AE79" s="52">
        <v>19.471629567058098</v>
      </c>
      <c r="AF79" s="52">
        <v>19.597658281637901</v>
      </c>
      <c r="AG79" s="52">
        <v>19.726835155271502</v>
      </c>
      <c r="AH79" s="52">
        <v>19.859242953619699</v>
      </c>
      <c r="AI79" s="52">
        <v>19.994967022548</v>
      </c>
      <c r="AJ79" s="52">
        <v>20.134095389223202</v>
      </c>
      <c r="AK79" s="52">
        <v>20.276718915650601</v>
      </c>
      <c r="AL79" s="52">
        <v>20.422931438425099</v>
      </c>
      <c r="AM79" s="52">
        <v>20.572829906585099</v>
      </c>
      <c r="AN79" s="52">
        <v>20.726514576720799</v>
      </c>
      <c r="AO79" s="52">
        <v>20.884089183472401</v>
      </c>
      <c r="AP79" s="52">
        <v>21.045661133700101</v>
      </c>
      <c r="AQ79" s="52">
        <v>21.211341747524401</v>
      </c>
      <c r="AR79" s="52">
        <v>21.3812464803915</v>
      </c>
      <c r="AS79" s="52">
        <v>21.555495197365399</v>
      </c>
      <c r="AT79" s="52">
        <v>21.7342124559874</v>
      </c>
    </row>
    <row r="80" spans="6:46" ht="14.4">
      <c r="F80" t="s">
        <v>52</v>
      </c>
      <c r="G80" s="52">
        <v>48.192396850000002</v>
      </c>
      <c r="J80" t="s">
        <v>6</v>
      </c>
      <c r="K80" t="s">
        <v>161</v>
      </c>
      <c r="L80" t="s">
        <v>25</v>
      </c>
      <c r="M80" s="34" t="s">
        <v>26</v>
      </c>
      <c r="N80" s="51">
        <v>1.4729468330623701</v>
      </c>
      <c r="O80" s="52">
        <v>1.4943226387301358</v>
      </c>
      <c r="P80" s="52">
        <v>1.4634791461847667</v>
      </c>
      <c r="Q80" s="52">
        <v>1.4446377495642824</v>
      </c>
      <c r="R80" s="52">
        <v>2.2584342466232901</v>
      </c>
      <c r="S80" s="52">
        <v>2.2440383485186102</v>
      </c>
      <c r="T80" s="52">
        <v>2.2292869402784299</v>
      </c>
      <c r="U80" s="52">
        <v>2.2141712863233001</v>
      </c>
      <c r="V80" s="52">
        <v>2.1986822220428399</v>
      </c>
      <c r="W80" s="52">
        <v>2.18281056279984</v>
      </c>
      <c r="X80" s="52">
        <v>2.1665466359489498</v>
      </c>
      <c r="Y80" s="52">
        <v>2.1498806864914299</v>
      </c>
      <c r="Z80" s="52">
        <v>2.1328027010175301</v>
      </c>
      <c r="AA80" s="52">
        <v>2.1153100593115699</v>
      </c>
      <c r="AB80" s="52">
        <v>2.0973839785641601</v>
      </c>
      <c r="AC80" s="52">
        <v>2.0790137032465301</v>
      </c>
      <c r="AD80" s="52">
        <v>2.0601879302496702</v>
      </c>
      <c r="AE80" s="52">
        <v>2.0408952907455502</v>
      </c>
      <c r="AF80" s="52">
        <v>2.0211240941678401</v>
      </c>
      <c r="AG80" s="52">
        <v>2.0008621733278402</v>
      </c>
      <c r="AH80" s="52">
        <v>1.98009726556077</v>
      </c>
      <c r="AI80" s="52">
        <v>1.9588167649709201</v>
      </c>
      <c r="AJ80" s="52">
        <v>1.9370068802203699</v>
      </c>
      <c r="AK80" s="52">
        <v>1.9146550132369899</v>
      </c>
      <c r="AL80" s="52">
        <v>1.8917470801090901</v>
      </c>
      <c r="AM80" s="52">
        <v>1.86826969597866</v>
      </c>
      <c r="AN80" s="52">
        <v>1.84420680235752</v>
      </c>
      <c r="AO80" s="52">
        <v>1.81954394783379</v>
      </c>
      <c r="AP80" s="52">
        <v>1.7942674117666799</v>
      </c>
      <c r="AQ80" s="52">
        <v>1.7683592712790901</v>
      </c>
      <c r="AR80" s="52">
        <v>1.74180408351433</v>
      </c>
      <c r="AS80" s="52">
        <v>1.71458476976422</v>
      </c>
      <c r="AT80" s="52">
        <v>1.6866850940022</v>
      </c>
    </row>
    <row r="81" spans="6:46" ht="14.4">
      <c r="F81" s="34" t="s">
        <v>54</v>
      </c>
      <c r="G81" s="52">
        <v>265.47273899323898</v>
      </c>
      <c r="J81" t="s">
        <v>6</v>
      </c>
      <c r="K81" t="s">
        <v>161</v>
      </c>
      <c r="L81" t="s">
        <v>27</v>
      </c>
      <c r="M81" s="34" t="s">
        <v>28</v>
      </c>
      <c r="N81" s="51">
        <v>4.65085642477431</v>
      </c>
      <c r="O81" s="52">
        <v>5.007589393109674</v>
      </c>
      <c r="P81" s="52">
        <v>4.7554316434518897</v>
      </c>
      <c r="Q81" s="52">
        <v>4.7269471440454405</v>
      </c>
      <c r="R81" s="52">
        <v>6.2862087424890802</v>
      </c>
      <c r="S81" s="52">
        <v>6.5400995969117703</v>
      </c>
      <c r="T81" s="52">
        <v>6.80026034650888</v>
      </c>
      <c r="U81" s="52">
        <v>7.06684505486934</v>
      </c>
      <c r="V81" s="52">
        <v>7.3400153521151399</v>
      </c>
      <c r="W81" s="52">
        <v>7.6199332215672202</v>
      </c>
      <c r="X81" s="52">
        <v>7.9067692532211096</v>
      </c>
      <c r="Y81" s="52">
        <v>8.20069548948406</v>
      </c>
      <c r="Z81" s="52">
        <v>8.5018885301861395</v>
      </c>
      <c r="AA81" s="52">
        <v>8.8103945863239996</v>
      </c>
      <c r="AB81" s="52">
        <v>9.1265449177806008</v>
      </c>
      <c r="AC81" s="52">
        <v>9.4505292126441294</v>
      </c>
      <c r="AD81" s="52">
        <v>9.7825468163104592</v>
      </c>
      <c r="AE81" s="52">
        <v>10.122798233217701</v>
      </c>
      <c r="AF81" s="52">
        <v>10.4714896420878</v>
      </c>
      <c r="AG81" s="52">
        <v>10.8288356275142</v>
      </c>
      <c r="AH81" s="52">
        <v>11.1950524579371</v>
      </c>
      <c r="AI81" s="52">
        <v>11.5703624551331</v>
      </c>
      <c r="AJ81" s="52">
        <v>11.9550088477313</v>
      </c>
      <c r="AK81" s="52">
        <v>12.349213819528501</v>
      </c>
      <c r="AL81" s="52">
        <v>12.753225759083101</v>
      </c>
      <c r="AM81" s="52">
        <v>13.1672807262091</v>
      </c>
      <c r="AN81" s="52">
        <v>13.5916619337538</v>
      </c>
      <c r="AO81" s="52">
        <v>14.0266242516308</v>
      </c>
      <c r="AP81" s="52">
        <v>14.4724096616316</v>
      </c>
      <c r="AQ81" s="52">
        <v>14.9293342575869</v>
      </c>
      <c r="AR81" s="52">
        <v>15.397670394861899</v>
      </c>
      <c r="AS81" s="52">
        <v>15.8777192792428</v>
      </c>
      <c r="AT81" s="52">
        <v>16.369767254702801</v>
      </c>
    </row>
    <row r="82" spans="6:46" ht="14.4">
      <c r="F82" s="34" t="s">
        <v>56</v>
      </c>
      <c r="G82" s="52">
        <v>837.71211748108306</v>
      </c>
      <c r="J82" t="s">
        <v>6</v>
      </c>
      <c r="K82" t="s">
        <v>161</v>
      </c>
      <c r="L82" t="s">
        <v>29</v>
      </c>
      <c r="M82" s="34" t="s">
        <v>30</v>
      </c>
      <c r="N82" s="51">
        <v>0.1947788154134</v>
      </c>
      <c r="O82" s="52">
        <v>0.26558264395501924</v>
      </c>
      <c r="P82" s="52">
        <v>0.2542796677646712</v>
      </c>
      <c r="Q82" s="52">
        <v>0.25565928356184919</v>
      </c>
      <c r="R82" s="52">
        <v>0.187409320968947</v>
      </c>
      <c r="S82" s="52">
        <v>0.183760340162684</v>
      </c>
      <c r="T82" s="52">
        <v>0.180020695810443</v>
      </c>
      <c r="U82" s="52">
        <v>0.176188162290734</v>
      </c>
      <c r="V82" s="52">
        <v>0.172260396740049</v>
      </c>
      <c r="W82" s="52">
        <v>0.16823499128140601</v>
      </c>
      <c r="X82" s="52">
        <v>0.16410947762331099</v>
      </c>
      <c r="Y82" s="52">
        <v>0.159881376453122</v>
      </c>
      <c r="Z82" s="52">
        <v>0.155548066302856</v>
      </c>
      <c r="AA82" s="52">
        <v>0.151102458553911</v>
      </c>
      <c r="AB82" s="52">
        <v>0.14654642303453499</v>
      </c>
      <c r="AC82" s="52">
        <v>0.141877166116048</v>
      </c>
      <c r="AD82" s="52">
        <v>0.137091861523011</v>
      </c>
      <c r="AE82" s="52">
        <v>0.132187568383999</v>
      </c>
      <c r="AF82" s="52">
        <v>0.12716128070673</v>
      </c>
      <c r="AG82" s="52">
        <v>0.122009932493332</v>
      </c>
      <c r="AH82" s="52">
        <v>0.116730402710794</v>
      </c>
      <c r="AI82" s="52">
        <v>0.111319395674383</v>
      </c>
      <c r="AJ82" s="52">
        <v>0.10577357413291499</v>
      </c>
      <c r="AK82" s="52">
        <v>0.10008956374365301</v>
      </c>
      <c r="AL82" s="52">
        <v>0.094263835909375995</v>
      </c>
      <c r="AM82" s="52">
        <v>0.088292756993632301</v>
      </c>
      <c r="AN82" s="52">
        <v>0.082172675242513593</v>
      </c>
      <c r="AO82" s="52">
        <v>0.075899726894954</v>
      </c>
      <c r="AP82" s="52">
        <v>0.069470043902089093</v>
      </c>
      <c r="AQ82" s="52">
        <v>0.062879562802237499</v>
      </c>
      <c r="AR82" s="52">
        <v>0.056124190249462698</v>
      </c>
      <c r="AS82" s="52">
        <v>0.049199654456357898</v>
      </c>
      <c r="AT82" s="52">
        <v>0.042101591794206403</v>
      </c>
    </row>
    <row r="83" spans="6:46" ht="14.4">
      <c r="F83" s="34" t="s">
        <v>58</v>
      </c>
      <c r="G83" s="52">
        <v>777.95194352567796</v>
      </c>
      <c r="J83" t="s">
        <v>6</v>
      </c>
      <c r="K83" t="s">
        <v>161</v>
      </c>
      <c r="L83" t="s">
        <v>31</v>
      </c>
      <c r="M83" s="34" t="s">
        <v>32</v>
      </c>
      <c r="N83" s="51">
        <v>4.6984287524850101</v>
      </c>
      <c r="O83" s="52">
        <v>4.3090308460490396</v>
      </c>
      <c r="P83" s="52">
        <v>4.2602225832464828</v>
      </c>
      <c r="Q83" s="52">
        <v>4.1432118323518896</v>
      </c>
      <c r="R83" s="52">
        <v>4.6924479738735299</v>
      </c>
      <c r="S83" s="52">
        <v>4.7901185272083104</v>
      </c>
      <c r="T83" s="52">
        <v>4.8829228192853602</v>
      </c>
      <c r="U83" s="52">
        <v>4.9711499271716901</v>
      </c>
      <c r="V83" s="52">
        <v>5.0552149707402201</v>
      </c>
      <c r="W83" s="52">
        <v>5.1350981335844903</v>
      </c>
      <c r="X83" s="52">
        <v>5.2116410128509898</v>
      </c>
      <c r="Y83" s="52">
        <v>5.28576383279011</v>
      </c>
      <c r="Z83" s="52">
        <v>5.3572580748783203</v>
      </c>
      <c r="AA83" s="52">
        <v>5.4265836170263899</v>
      </c>
      <c r="AB83" s="52">
        <v>5.4935445318690403</v>
      </c>
      <c r="AC83" s="52">
        <v>5.5584520588616799</v>
      </c>
      <c r="AD83" s="52">
        <v>5.6214471437282398</v>
      </c>
      <c r="AE83" s="52">
        <v>5.6821326145758499</v>
      </c>
      <c r="AF83" s="52">
        <v>5.7402950823595598</v>
      </c>
      <c r="AG83" s="52">
        <v>5.7956952167198796</v>
      </c>
      <c r="AH83" s="52">
        <v>5.8481657572732599</v>
      </c>
      <c r="AI83" s="52">
        <v>5.8972542057881201</v>
      </c>
      <c r="AJ83" s="52">
        <v>5.9426773610342796</v>
      </c>
      <c r="AK83" s="52">
        <v>5.9842736265587799</v>
      </c>
      <c r="AL83" s="52">
        <v>6.0216974894712001</v>
      </c>
      <c r="AM83" s="52">
        <v>6.0545109941189699</v>
      </c>
      <c r="AN83" s="52">
        <v>6.0818857495341696</v>
      </c>
      <c r="AO83" s="52">
        <v>6.1035439649586296</v>
      </c>
      <c r="AP83" s="52">
        <v>6.1193038824130799</v>
      </c>
      <c r="AQ83" s="52">
        <v>6.1287591141733397</v>
      </c>
      <c r="AR83" s="52">
        <v>6.1316061110561701</v>
      </c>
      <c r="AS83" s="52">
        <v>6.1271988867674398</v>
      </c>
      <c r="AT83" s="52">
        <v>6.1154162083419301</v>
      </c>
    </row>
    <row r="84" spans="6:46" ht="14.4">
      <c r="F84" s="34" t="s">
        <v>136</v>
      </c>
      <c r="G84" s="52">
        <v>31.598021694557708</v>
      </c>
      <c r="J84" t="s">
        <v>6</v>
      </c>
      <c r="K84" t="s">
        <v>161</v>
      </c>
      <c r="L84" t="s">
        <v>33</v>
      </c>
      <c r="M84" s="34" t="s">
        <v>34</v>
      </c>
      <c r="N84" s="51">
        <v>1.9571195447376</v>
      </c>
      <c r="O84" s="52">
        <v>2.1699504611733866</v>
      </c>
      <c r="P84" s="52">
        <v>1.9706387130131231</v>
      </c>
      <c r="Q84" s="52">
        <v>1.9076981609625141</v>
      </c>
      <c r="R84" s="52">
        <v>3.6347440465271599</v>
      </c>
      <c r="S84" s="52">
        <v>3.6916038137219598</v>
      </c>
      <c r="T84" s="52">
        <v>3.7498762646317298</v>
      </c>
      <c r="U84" s="52">
        <v>3.8095966725724399</v>
      </c>
      <c r="V84" s="52">
        <v>3.87080120517194</v>
      </c>
      <c r="W84" s="52">
        <v>3.9335269498690502</v>
      </c>
      <c r="X84" s="52">
        <v>3.99781193956562</v>
      </c>
      <c r="Y84" s="52">
        <v>4.0636951786608897</v>
      </c>
      <c r="Z84" s="52">
        <v>4.1312166725908099</v>
      </c>
      <c r="AA84" s="52">
        <v>4.2004619284425901</v>
      </c>
      <c r="AB84" s="52">
        <v>4.2714281477145999</v>
      </c>
      <c r="AC84" s="52">
        <v>4.34415864415723</v>
      </c>
      <c r="AD84" s="52">
        <v>4.4186978527861198</v>
      </c>
      <c r="AE84" s="52">
        <v>4.4950913648886699</v>
      </c>
      <c r="AF84" s="52">
        <v>4.5733859614187704</v>
      </c>
      <c r="AG84" s="52">
        <v>4.6536296502986696</v>
      </c>
      <c r="AH84" s="52">
        <v>4.7358717002425896</v>
      </c>
      <c r="AI84" s="52">
        <v>4.8201626793407</v>
      </c>
      <c r="AJ84" s="52">
        <v>4.9065544953786002</v>
      </c>
      <c r="AK84" s="52">
        <v>4.9951004377148998</v>
      </c>
      <c r="AL84" s="52">
        <v>5.0858552152583103</v>
      </c>
      <c r="AM84" s="52">
        <v>5.1788750090331401</v>
      </c>
      <c r="AN84" s="52">
        <v>5.2742175124200301</v>
      </c>
      <c r="AO84" s="52">
        <v>5.3719419803036397</v>
      </c>
      <c r="AP84" s="52">
        <v>5.47210928142293</v>
      </c>
      <c r="AQ84" s="52">
        <v>5.5747819561854302</v>
      </c>
      <c r="AR84" s="52">
        <v>5.68002426189347</v>
      </c>
      <c r="AS84" s="52">
        <v>5.7879022434721996</v>
      </c>
      <c r="AT84" s="52">
        <v>5.8984837835342203</v>
      </c>
    </row>
    <row r="85" spans="6:7" ht="14.4">
      <c r="F85" s="34" t="s">
        <v>138</v>
      </c>
      <c r="G85" s="52">
        <v>63.576742445676345</v>
      </c>
    </row>
    <row r="86" spans="6:7" ht="14.4">
      <c r="F86" s="34" t="s">
        <v>140</v>
      </c>
      <c r="G86" s="51">
        <v>18.9072</v>
      </c>
    </row>
    <row r="87" spans="6:7" ht="14.4">
      <c r="F87" s="34" t="s">
        <v>142</v>
      </c>
      <c r="G87" s="52"/>
    </row>
    <row r="88" spans="6:7" ht="14.4">
      <c r="F88" t="s">
        <v>162</v>
      </c>
      <c r="G88" s="52">
        <v>1.2514826903039997</v>
      </c>
    </row>
    <row r="89" spans="6:7" ht="14.4">
      <c r="F89" t="s">
        <v>163</v>
      </c>
      <c r="G89" s="52">
        <v>2.1688410728944572</v>
      </c>
    </row>
    <row r="90" spans="6:7" ht="14.4">
      <c r="F90" t="s">
        <v>164</v>
      </c>
      <c r="G90" s="52">
        <v>0.855061326756</v>
      </c>
    </row>
    <row r="91" spans="6:7" ht="14.4">
      <c r="F91" t="s">
        <v>165</v>
      </c>
      <c r="G91" s="52">
        <v>1.1400844778449895</v>
      </c>
    </row>
    <row r="92" spans="6:7" ht="14.4">
      <c r="F92" t="s">
        <v>166</v>
      </c>
      <c r="G92" s="52">
        <v>0.92012420525760008</v>
      </c>
    </row>
    <row r="93" spans="6:7" ht="14.4">
      <c r="F93" t="s">
        <v>167</v>
      </c>
      <c r="G93" s="52">
        <v>9.9915791233568569</v>
      </c>
    </row>
    <row r="94" spans="6:7" ht="14.4">
      <c r="F94" t="s">
        <v>168</v>
      </c>
      <c r="G94">
        <v>0</v>
      </c>
    </row>
    <row r="102" spans="7:89" ht="15" thickBot="1">
      <c r="G102" s="53">
        <v>2018</v>
      </c>
      <c r="H102" s="53">
        <v>2019</v>
      </c>
      <c r="I102" s="53">
        <v>2020</v>
      </c>
      <c r="J102" s="53">
        <v>2021</v>
      </c>
      <c r="K102" s="53">
        <v>2022</v>
      </c>
      <c r="L102" s="53">
        <v>2023</v>
      </c>
      <c r="M102" s="53">
        <v>2024</v>
      </c>
      <c r="N102" s="53">
        <v>2025</v>
      </c>
      <c r="O102" s="53">
        <v>2026</v>
      </c>
      <c r="P102" s="53">
        <v>2027</v>
      </c>
      <c r="Q102" s="53">
        <v>2028</v>
      </c>
      <c r="R102" s="53">
        <v>2029</v>
      </c>
      <c r="S102" s="53">
        <v>2030</v>
      </c>
      <c r="T102" s="53">
        <v>2031</v>
      </c>
      <c r="U102" s="53">
        <v>2032</v>
      </c>
      <c r="V102" s="53">
        <v>2033</v>
      </c>
      <c r="W102" s="53">
        <v>2034</v>
      </c>
      <c r="X102" s="53">
        <v>2035</v>
      </c>
      <c r="Y102" s="53">
        <v>2036</v>
      </c>
      <c r="Z102" s="53">
        <v>2037</v>
      </c>
      <c r="AA102" s="53">
        <v>2038</v>
      </c>
      <c r="AB102" s="53">
        <v>2039</v>
      </c>
      <c r="AC102" s="53">
        <v>2040</v>
      </c>
      <c r="AD102" s="53">
        <v>2041</v>
      </c>
      <c r="AE102" s="53">
        <v>2042</v>
      </c>
      <c r="AF102" s="53">
        <v>2043</v>
      </c>
      <c r="AG102" s="53">
        <v>2044</v>
      </c>
      <c r="AH102" s="53">
        <v>2045</v>
      </c>
      <c r="AI102" s="53">
        <v>2046</v>
      </c>
      <c r="AJ102" s="53">
        <v>2047</v>
      </c>
      <c r="AK102" s="53">
        <v>2048</v>
      </c>
      <c r="AL102" s="53">
        <v>2049</v>
      </c>
      <c r="AM102" s="53">
        <v>2050</v>
      </c>
      <c r="AN102" s="53">
        <v>2051</v>
      </c>
      <c r="AO102" s="53">
        <v>2052</v>
      </c>
      <c r="AP102" s="53">
        <v>2053</v>
      </c>
      <c r="AQ102" s="53">
        <v>2054</v>
      </c>
      <c r="AR102" s="53">
        <v>2055</v>
      </c>
      <c r="AS102" s="53">
        <v>2056</v>
      </c>
      <c r="AT102" s="53">
        <v>2057</v>
      </c>
      <c r="AU102" s="53">
        <v>2058</v>
      </c>
      <c r="AV102" s="53">
        <v>2059</v>
      </c>
      <c r="AW102" s="53">
        <v>2060</v>
      </c>
      <c r="AX102" s="53">
        <v>2061</v>
      </c>
      <c r="AY102" s="53">
        <v>2062</v>
      </c>
      <c r="AZ102" s="53">
        <v>2063</v>
      </c>
      <c r="BA102" s="53">
        <v>2064</v>
      </c>
      <c r="BB102" s="53">
        <v>2065</v>
      </c>
      <c r="BC102" s="53">
        <v>2066</v>
      </c>
      <c r="BD102" s="53">
        <v>2067</v>
      </c>
      <c r="BE102" s="53">
        <v>2068</v>
      </c>
      <c r="BF102" s="53">
        <v>2069</v>
      </c>
      <c r="BG102" s="53">
        <v>2070</v>
      </c>
      <c r="BH102" s="53">
        <v>2071</v>
      </c>
      <c r="BI102" s="53">
        <v>2072</v>
      </c>
      <c r="BJ102" s="53">
        <v>2073</v>
      </c>
      <c r="BK102" s="53">
        <v>2074</v>
      </c>
      <c r="BL102" s="53">
        <v>2075</v>
      </c>
      <c r="BM102" s="53">
        <v>2076</v>
      </c>
      <c r="BN102" s="53">
        <v>2077</v>
      </c>
      <c r="BO102" s="53">
        <v>2078</v>
      </c>
      <c r="BP102" s="53">
        <v>2079</v>
      </c>
      <c r="BQ102" s="53">
        <v>2080</v>
      </c>
      <c r="BR102" s="53">
        <v>2081</v>
      </c>
      <c r="BS102" s="53">
        <v>2082</v>
      </c>
      <c r="BT102" s="53">
        <v>2083</v>
      </c>
      <c r="BU102" s="53">
        <v>2084</v>
      </c>
      <c r="BV102" s="53">
        <v>2085</v>
      </c>
      <c r="BW102" s="53">
        <v>2086</v>
      </c>
      <c r="BX102" s="53">
        <v>2087</v>
      </c>
      <c r="BY102" s="53">
        <v>2088</v>
      </c>
      <c r="BZ102" s="53">
        <v>2089</v>
      </c>
      <c r="CA102" s="53">
        <v>2090</v>
      </c>
      <c r="CB102" s="53">
        <v>2091</v>
      </c>
      <c r="CC102" s="53">
        <v>2092</v>
      </c>
      <c r="CD102" s="53">
        <v>2093</v>
      </c>
      <c r="CE102" s="53">
        <v>2094</v>
      </c>
      <c r="CF102" s="53">
        <v>2095</v>
      </c>
      <c r="CG102" s="53">
        <v>2096</v>
      </c>
      <c r="CH102" s="53">
        <v>2097</v>
      </c>
      <c r="CI102" s="53">
        <v>2098</v>
      </c>
      <c r="CJ102" s="53">
        <v>2099</v>
      </c>
      <c r="CK102" s="53">
        <v>2100</v>
      </c>
    </row>
    <row r="103" spans="6:89" ht="14.4">
      <c r="F103" t="s">
        <v>211</v>
      </c>
      <c r="G103" s="51">
        <f>IF(G3="","",G3/$G3)</f>
        <v>1</v>
      </c>
      <c r="H103" s="51">
        <f t="shared" si="57" ref="H103:BS103">IF(H3="","",H3/$G3)</f>
        <v>1</v>
      </c>
      <c r="I103" s="51">
        <f t="shared" si="57"/>
        <v>1</v>
      </c>
      <c r="J103" s="51">
        <f t="shared" si="57"/>
        <v>1</v>
      </c>
      <c r="K103" s="51">
        <f t="shared" si="57"/>
        <v>1.03</v>
      </c>
      <c r="L103" s="51">
        <f t="shared" si="57"/>
        <v>1.0005970782066336</v>
      </c>
      <c r="M103" s="51">
        <f t="shared" si="57"/>
        <v>1.0401763110023001</v>
      </c>
      <c r="N103" s="51">
        <f t="shared" si="57"/>
        <v>1.0813211246924275</v>
      </c>
      <c r="O103" s="51">
        <f t="shared" si="57"/>
        <v>1.124093446792128</v>
      </c>
      <c r="P103" s="51">
        <f t="shared" si="57"/>
        <v>1.1242617583436256</v>
      </c>
      <c r="Q103" s="51">
        <f t="shared" si="57"/>
        <v>1.1244300950965673</v>
      </c>
      <c r="R103" s="51">
        <f t="shared" si="57"/>
        <v>1.1245984570547269</v>
      </c>
      <c r="S103" s="51">
        <f t="shared" si="57"/>
        <v>1.1247668442218783</v>
      </c>
      <c r="T103" s="51">
        <f t="shared" si="57"/>
        <v>1.1249352566017958</v>
      </c>
      <c r="U103" s="51">
        <f t="shared" si="57"/>
        <v>1.1348932613815228</v>
      </c>
      <c r="V103" s="51">
        <f t="shared" si="57"/>
        <v>1.1449394151090324</v>
      </c>
      <c r="W103" s="51">
        <f t="shared" si="57"/>
        <v>1.1550744980849137</v>
      </c>
      <c r="X103" s="51">
        <f t="shared" si="57"/>
        <v>1.1652992975170304</v>
      </c>
      <c r="Y103" s="51">
        <f t="shared" si="57"/>
        <v>1.1756146075816656</v>
      </c>
      <c r="Z103" s="51">
        <f t="shared" si="57"/>
        <v>1.1835001070910458</v>
      </c>
      <c r="AA103" s="51">
        <f t="shared" si="57"/>
        <v>1.1914384990212172</v>
      </c>
      <c r="AB103" s="51">
        <f t="shared" si="57"/>
        <v>1.1994301381509958</v>
      </c>
      <c r="AC103" s="51">
        <f t="shared" si="57"/>
        <v>1.2074753816388948</v>
      </c>
      <c r="AD103" s="51">
        <f t="shared" si="57"/>
        <v>1.2155745890390897</v>
      </c>
      <c r="AE103" s="51">
        <f t="shared" si="57"/>
        <v>1.2219347877857436</v>
      </c>
      <c r="AF103" s="51">
        <f t="shared" si="57"/>
        <v>1.2283282647273037</v>
      </c>
      <c r="AG103" s="51">
        <f t="shared" si="57"/>
        <v>1.2347551939838406</v>
      </c>
      <c r="AH103" s="51">
        <f t="shared" si="57"/>
        <v>1.2412157505864665</v>
      </c>
      <c r="AI103" s="51">
        <f t="shared" si="57"/>
        <v>1.2477101104821005</v>
      </c>
      <c r="AJ103" s="51">
        <f t="shared" si="57"/>
        <v>1.2542580944008723</v>
      </c>
      <c r="AK103" s="51">
        <f t="shared" si="57"/>
        <v>1.260840442145857</v>
      </c>
      <c r="AL103" s="51">
        <f t="shared" si="57"/>
        <v>1.2674573340584487</v>
      </c>
      <c r="AM103" s="51">
        <f t="shared" si="57"/>
        <v>1.2741089514264747</v>
      </c>
      <c r="AN103" s="51">
        <f t="shared" si="57"/>
        <v>1.2741089514264747</v>
      </c>
      <c r="AO103" s="51">
        <f t="shared" si="57"/>
        <v>1.2741089514264747</v>
      </c>
      <c r="AP103" s="51">
        <f t="shared" si="57"/>
        <v>1.2741089514264747</v>
      </c>
      <c r="AQ103" s="51">
        <f t="shared" si="57"/>
        <v>1.2741089514264747</v>
      </c>
      <c r="AR103" s="51">
        <f t="shared" si="57"/>
        <v>1.2741089514264747</v>
      </c>
      <c r="AS103" s="51">
        <f t="shared" si="57"/>
        <v>1.2741089514264747</v>
      </c>
      <c r="AT103" s="51">
        <f t="shared" si="57"/>
        <v>1.2741089514264747</v>
      </c>
      <c r="AU103" s="51">
        <f t="shared" si="57"/>
        <v>1.2741089514264747</v>
      </c>
      <c r="AV103" s="51">
        <f t="shared" si="57"/>
        <v>1.2741089514264747</v>
      </c>
      <c r="AW103" s="51">
        <f t="shared" si="57"/>
        <v>1.2741089514264747</v>
      </c>
      <c r="AX103" s="51">
        <f t="shared" si="57"/>
        <v>1.2741089514264747</v>
      </c>
      <c r="AY103" s="51">
        <f t="shared" si="57"/>
        <v>1.2741089514264747</v>
      </c>
      <c r="AZ103" s="51">
        <f t="shared" si="57"/>
        <v>1.2741089514264747</v>
      </c>
      <c r="BA103" s="51">
        <f t="shared" si="57"/>
        <v>1.2741089514264747</v>
      </c>
      <c r="BB103" s="51">
        <f t="shared" si="57"/>
        <v>1.2741089514264747</v>
      </c>
      <c r="BC103" s="51">
        <f t="shared" si="57"/>
        <v>1.2741089514264747</v>
      </c>
      <c r="BD103" s="51">
        <f t="shared" si="57"/>
        <v>1.2741089514264747</v>
      </c>
      <c r="BE103" s="51">
        <f t="shared" si="57"/>
        <v>1.2741089514264747</v>
      </c>
      <c r="BF103" s="51">
        <f t="shared" si="57"/>
        <v>1.2741089514264747</v>
      </c>
      <c r="BG103" s="51">
        <f t="shared" si="57"/>
        <v>1.2741089514264747</v>
      </c>
      <c r="BH103" s="51">
        <f t="shared" si="57"/>
        <v>1.2741089514264747</v>
      </c>
      <c r="BI103" s="51">
        <f t="shared" si="57"/>
        <v>1.2741089514264747</v>
      </c>
      <c r="BJ103" s="51">
        <f t="shared" si="57"/>
        <v>1.2741089514264747</v>
      </c>
      <c r="BK103" s="51">
        <f t="shared" si="57"/>
        <v>1.2741089514264747</v>
      </c>
      <c r="BL103" s="51">
        <f t="shared" si="57"/>
        <v>1.2741089514264747</v>
      </c>
      <c r="BM103" s="51">
        <f t="shared" si="57"/>
        <v>1.2741089514264747</v>
      </c>
      <c r="BN103" s="51">
        <f t="shared" si="57"/>
        <v>1.2741089514264747</v>
      </c>
      <c r="BO103" s="51">
        <f t="shared" si="57"/>
        <v>1.2741089514264747</v>
      </c>
      <c r="BP103" s="51">
        <f t="shared" si="57"/>
        <v>1.2741089514264747</v>
      </c>
      <c r="BQ103" s="51">
        <f t="shared" si="57"/>
        <v>1.2741089514264747</v>
      </c>
      <c r="BR103" s="51">
        <f t="shared" si="57"/>
        <v>1.2741089514264747</v>
      </c>
      <c r="BS103" s="51">
        <f t="shared" si="57"/>
        <v>1.2741089514264747</v>
      </c>
      <c r="BT103" s="51">
        <f t="shared" si="58" ref="BT103:CK103">IF(BT3="","",BT3/$G3)</f>
        <v>1.2741089514264747</v>
      </c>
      <c r="BU103" s="51">
        <f t="shared" si="58"/>
        <v>1.2741089514264747</v>
      </c>
      <c r="BV103" s="51">
        <f t="shared" si="58"/>
        <v>1.2741089514264747</v>
      </c>
      <c r="BW103" s="51">
        <f t="shared" si="58"/>
        <v>1.2741089514264747</v>
      </c>
      <c r="BX103" s="51">
        <f t="shared" si="58"/>
        <v>1.2741089514264747</v>
      </c>
      <c r="BY103" s="51">
        <f t="shared" si="58"/>
        <v>1.2741089514264747</v>
      </c>
      <c r="BZ103" s="51">
        <f t="shared" si="58"/>
        <v>1.2741089514264747</v>
      </c>
      <c r="CA103" s="51">
        <f t="shared" si="58"/>
        <v>1.2741089514264747</v>
      </c>
      <c r="CB103" s="51">
        <f t="shared" si="58"/>
        <v>1.2741089514264747</v>
      </c>
      <c r="CC103" s="51">
        <f t="shared" si="58"/>
        <v>1.2741089514264747</v>
      </c>
      <c r="CD103" s="51">
        <f t="shared" si="58"/>
        <v>1.2741089514264747</v>
      </c>
      <c r="CE103" s="51">
        <f t="shared" si="58"/>
        <v>1.2741089514264747</v>
      </c>
      <c r="CF103" s="51">
        <f t="shared" si="58"/>
        <v>1.2741089514264747</v>
      </c>
      <c r="CG103" s="51">
        <f t="shared" si="58"/>
        <v>1.2741089514264747</v>
      </c>
      <c r="CH103" s="51">
        <f t="shared" si="58"/>
        <v>1.2741089514264747</v>
      </c>
      <c r="CI103" s="51">
        <f t="shared" si="58"/>
        <v>1.2741089514264747</v>
      </c>
      <c r="CJ103" s="51">
        <f t="shared" si="58"/>
        <v>1.2741089514264747</v>
      </c>
      <c r="CK103" s="51">
        <f t="shared" si="58"/>
        <v>1.2741089514264747</v>
      </c>
    </row>
    <row r="104" spans="6:89" ht="14.4">
      <c r="F104" t="s">
        <v>17</v>
      </c>
      <c r="G104" s="51">
        <f t="shared" si="59" ref="G104:BR104">IF(G4="","",G4/$G4)</f>
        <v>1</v>
      </c>
      <c r="H104" s="51">
        <f t="shared" si="59"/>
        <v>1</v>
      </c>
      <c r="I104" s="51">
        <f t="shared" si="59"/>
        <v>1</v>
      </c>
      <c r="J104" s="51">
        <f t="shared" si="59"/>
        <v>1</v>
      </c>
      <c r="K104" s="51">
        <f t="shared" si="59"/>
        <v>1.03</v>
      </c>
      <c r="L104" s="51">
        <f t="shared" si="59"/>
        <v>1.1216977256826028</v>
      </c>
      <c r="M104" s="51">
        <f t="shared" si="59"/>
        <v>1.1284907100630299</v>
      </c>
      <c r="N104" s="51">
        <f t="shared" si="59"/>
        <v>1.1354514462519469</v>
      </c>
      <c r="O104" s="51">
        <f t="shared" si="59"/>
        <v>1.1425840792235855</v>
      </c>
      <c r="P104" s="51">
        <f t="shared" si="59"/>
        <v>1.149892856183341</v>
      </c>
      <c r="Q104" s="51">
        <f t="shared" si="59"/>
        <v>1.1573821289407351</v>
      </c>
      <c r="R104" s="51">
        <f t="shared" si="59"/>
        <v>1.1650563566891705</v>
      </c>
      <c r="S104" s="51">
        <f t="shared" si="59"/>
        <v>1.1729201088614278</v>
      </c>
      <c r="T104" s="51">
        <f t="shared" si="59"/>
        <v>1.1809746303054511</v>
      </c>
      <c r="U104" s="51">
        <f t="shared" si="59"/>
        <v>1.1892285747385933</v>
      </c>
      <c r="V104" s="51">
        <f t="shared" si="59"/>
        <v>1.1976869077314742</v>
      </c>
      <c r="W104" s="51">
        <f t="shared" si="59"/>
        <v>1.2063547206067569</v>
      </c>
      <c r="X104" s="51">
        <f t="shared" si="59"/>
        <v>1.2152372332855248</v>
      </c>
      <c r="Y104" s="51">
        <f t="shared" si="59"/>
        <v>1.2243397983038253</v>
      </c>
      <c r="Z104" s="51">
        <f t="shared" si="59"/>
        <v>1.2336679043746686</v>
      </c>
      <c r="AA104" s="51">
        <f t="shared" si="59"/>
        <v>1.2432271801241388</v>
      </c>
      <c r="AB104" s="51">
        <f t="shared" si="59"/>
        <v>1.2530233978324072</v>
      </c>
      <c r="AC104" s="51">
        <f t="shared" si="59"/>
        <v>1.2630624777946864</v>
      </c>
      <c r="AD104" s="51">
        <f t="shared" si="59"/>
        <v>1.2733504924700743</v>
      </c>
      <c r="AE104" s="51">
        <f t="shared" si="59"/>
        <v>1.2838936704841735</v>
      </c>
      <c r="AF104" s="51">
        <f t="shared" si="59"/>
        <v>1.2946984016817353</v>
      </c>
      <c r="AG104" s="51">
        <f t="shared" si="59"/>
        <v>1.3057712414431379</v>
      </c>
      <c r="AH104" s="51">
        <f t="shared" si="59"/>
        <v>1.3171189156696377</v>
      </c>
      <c r="AI104" s="51">
        <f t="shared" si="59"/>
        <v>1.3287483259396959</v>
      </c>
      <c r="AJ104" s="51">
        <f t="shared" si="59"/>
        <v>1.3406665543786485</v>
      </c>
      <c r="AK104" s="51">
        <f t="shared" si="59"/>
        <v>1.3528808697909245</v>
      </c>
      <c r="AL104" s="51">
        <f t="shared" si="59"/>
        <v>1.3653987328115564</v>
      </c>
      <c r="AM104" s="51">
        <f t="shared" si="59"/>
        <v>1.3782278020754324</v>
      </c>
      <c r="AN104" s="51">
        <f t="shared" si="59"/>
        <v>1.3782278020754324</v>
      </c>
      <c r="AO104" s="51">
        <f t="shared" si="59"/>
        <v>1.3782278020754324</v>
      </c>
      <c r="AP104" s="51">
        <f t="shared" si="59"/>
        <v>1.3782278020754324</v>
      </c>
      <c r="AQ104" s="51">
        <f t="shared" si="59"/>
        <v>1.3782278020754324</v>
      </c>
      <c r="AR104" s="51">
        <f t="shared" si="59"/>
        <v>1.3782278020754324</v>
      </c>
      <c r="AS104" s="51">
        <f t="shared" si="59"/>
        <v>1.3782278020754324</v>
      </c>
      <c r="AT104" s="51">
        <f t="shared" si="59"/>
        <v>1.3782278020754324</v>
      </c>
      <c r="AU104" s="51">
        <f t="shared" si="59"/>
        <v>1.3782278020754324</v>
      </c>
      <c r="AV104" s="51">
        <f t="shared" si="59"/>
        <v>1.3782278020754324</v>
      </c>
      <c r="AW104" s="51">
        <f t="shared" si="59"/>
        <v>1.3782278020754324</v>
      </c>
      <c r="AX104" s="51">
        <f t="shared" si="59"/>
        <v>1.3782278020754324</v>
      </c>
      <c r="AY104" s="51">
        <f t="shared" si="59"/>
        <v>1.3782278020754324</v>
      </c>
      <c r="AZ104" s="51">
        <f t="shared" si="59"/>
        <v>1.3782278020754324</v>
      </c>
      <c r="BA104" s="51">
        <f t="shared" si="59"/>
        <v>1.3782278020754324</v>
      </c>
      <c r="BB104" s="51">
        <f t="shared" si="59"/>
        <v>1.3782278020754324</v>
      </c>
      <c r="BC104" s="51">
        <f t="shared" si="59"/>
        <v>1.3782278020754324</v>
      </c>
      <c r="BD104" s="51">
        <f t="shared" si="59"/>
        <v>1.3782278020754324</v>
      </c>
      <c r="BE104" s="51">
        <f t="shared" si="59"/>
        <v>1.3782278020754324</v>
      </c>
      <c r="BF104" s="51">
        <f t="shared" si="59"/>
        <v>1.3782278020754324</v>
      </c>
      <c r="BG104" s="51">
        <f t="shared" si="59"/>
        <v>1.3782278020754324</v>
      </c>
      <c r="BH104" s="51">
        <f t="shared" si="59"/>
        <v>1.3782278020754324</v>
      </c>
      <c r="BI104" s="51">
        <f t="shared" si="59"/>
        <v>1.3782278020754324</v>
      </c>
      <c r="BJ104" s="51">
        <f t="shared" si="59"/>
        <v>1.3782278020754324</v>
      </c>
      <c r="BK104" s="51">
        <f t="shared" si="59"/>
        <v>1.3782278020754324</v>
      </c>
      <c r="BL104" s="51">
        <f t="shared" si="59"/>
        <v>1.3782278020754324</v>
      </c>
      <c r="BM104" s="51">
        <f t="shared" si="59"/>
        <v>1.3782278020754324</v>
      </c>
      <c r="BN104" s="51">
        <f t="shared" si="59"/>
        <v>1.3782278020754324</v>
      </c>
      <c r="BO104" s="51">
        <f t="shared" si="59"/>
        <v>1.3782278020754324</v>
      </c>
      <c r="BP104" s="51">
        <f t="shared" si="59"/>
        <v>1.3782278020754324</v>
      </c>
      <c r="BQ104" s="51">
        <f t="shared" si="59"/>
        <v>1.3782278020754324</v>
      </c>
      <c r="BR104" s="51">
        <f t="shared" si="59"/>
        <v>1.3782278020754324</v>
      </c>
      <c r="BS104" s="51">
        <f t="shared" si="60" ref="BS104:CK104">IF(BS4="","",BS4/$G4)</f>
        <v>1.3782278020754324</v>
      </c>
      <c r="BT104" s="51">
        <f t="shared" si="60"/>
        <v>1.3782278020754324</v>
      </c>
      <c r="BU104" s="51">
        <f t="shared" si="60"/>
        <v>1.3782278020754324</v>
      </c>
      <c r="BV104" s="51">
        <f t="shared" si="60"/>
        <v>1.3782278020754324</v>
      </c>
      <c r="BW104" s="51">
        <f t="shared" si="60"/>
        <v>1.3782278020754324</v>
      </c>
      <c r="BX104" s="51">
        <f t="shared" si="60"/>
        <v>1.3782278020754324</v>
      </c>
      <c r="BY104" s="51">
        <f t="shared" si="60"/>
        <v>1.3782278020754324</v>
      </c>
      <c r="BZ104" s="51">
        <f t="shared" si="60"/>
        <v>1.3782278020754324</v>
      </c>
      <c r="CA104" s="51">
        <f t="shared" si="60"/>
        <v>1.3782278020754324</v>
      </c>
      <c r="CB104" s="51">
        <f t="shared" si="60"/>
        <v>1.3782278020754324</v>
      </c>
      <c r="CC104" s="51">
        <f t="shared" si="60"/>
        <v>1.3782278020754324</v>
      </c>
      <c r="CD104" s="51">
        <f t="shared" si="60"/>
        <v>1.3782278020754324</v>
      </c>
      <c r="CE104" s="51">
        <f t="shared" si="60"/>
        <v>1.3782278020754324</v>
      </c>
      <c r="CF104" s="51">
        <f t="shared" si="60"/>
        <v>1.3782278020754324</v>
      </c>
      <c r="CG104" s="51">
        <f t="shared" si="60"/>
        <v>1.3782278020754324</v>
      </c>
      <c r="CH104" s="51">
        <f t="shared" si="60"/>
        <v>1.3782278020754324</v>
      </c>
      <c r="CI104" s="51">
        <f t="shared" si="60"/>
        <v>1.3782278020754324</v>
      </c>
      <c r="CJ104" s="51">
        <f t="shared" si="60"/>
        <v>1.3782278020754324</v>
      </c>
      <c r="CK104" s="51">
        <f t="shared" si="60"/>
        <v>1.3782278020754324</v>
      </c>
    </row>
    <row r="105" spans="6:89" ht="14.4">
      <c r="F105" t="s">
        <v>212</v>
      </c>
      <c r="G105" s="51">
        <f t="shared" si="61" ref="G105:BR105">IF(G5="","",G5/$G5)</f>
        <v>1</v>
      </c>
      <c r="H105" s="51">
        <f t="shared" si="61"/>
        <v>1</v>
      </c>
      <c r="I105" s="51">
        <f t="shared" si="61"/>
        <v>1</v>
      </c>
      <c r="J105" s="51">
        <f t="shared" si="61"/>
        <v>1</v>
      </c>
      <c r="K105" s="51">
        <f t="shared" si="61"/>
        <v>1.03</v>
      </c>
      <c r="L105" s="51">
        <f t="shared" si="61"/>
        <v>1.205587668195879</v>
      </c>
      <c r="M105" s="51">
        <f t="shared" si="61"/>
        <v>1.2299515368722238</v>
      </c>
      <c r="N105" s="51">
        <f t="shared" si="61"/>
        <v>1.253429645974395</v>
      </c>
      <c r="O105" s="51">
        <f t="shared" si="61"/>
        <v>1.2761247117335701</v>
      </c>
      <c r="P105" s="51">
        <f t="shared" si="61"/>
        <v>1.298072352362637</v>
      </c>
      <c r="Q105" s="51">
        <f t="shared" si="61"/>
        <v>1.3194233855655246</v>
      </c>
      <c r="R105" s="51">
        <f t="shared" si="61"/>
        <v>1.3403293082723822</v>
      </c>
      <c r="S105" s="51">
        <f t="shared" si="61"/>
        <v>1.3607830955938791</v>
      </c>
      <c r="T105" s="51">
        <f t="shared" si="61"/>
        <v>1.3808674840838635</v>
      </c>
      <c r="U105" s="51">
        <f t="shared" si="61"/>
        <v>1.4005723086523931</v>
      </c>
      <c r="V105" s="51">
        <f t="shared" si="61"/>
        <v>1.4199541123550374</v>
      </c>
      <c r="W105" s="51">
        <f t="shared" si="61"/>
        <v>1.4390452512638487</v>
      </c>
      <c r="X105" s="51">
        <f t="shared" si="61"/>
        <v>1.4578111487964691</v>
      </c>
      <c r="Y105" s="51">
        <f t="shared" si="61"/>
        <v>1.4762418640517394</v>
      </c>
      <c r="Z105" s="51">
        <f t="shared" si="61"/>
        <v>1.494325444570042</v>
      </c>
      <c r="AA105" s="51">
        <f t="shared" si="61"/>
        <v>1.5120594330691173</v>
      </c>
      <c r="AB105" s="51">
        <f t="shared" si="61"/>
        <v>1.5294094254688082</v>
      </c>
      <c r="AC105" s="51">
        <f t="shared" si="61"/>
        <v>1.5463625812630581</v>
      </c>
      <c r="AD105" s="51">
        <f t="shared" si="61"/>
        <v>1.5629205737494565</v>
      </c>
      <c r="AE105" s="51">
        <f t="shared" si="61"/>
        <v>1.5790653167852904</v>
      </c>
      <c r="AF105" s="51">
        <f t="shared" si="61"/>
        <v>1.5947705160417782</v>
      </c>
      <c r="AG105" s="51">
        <f t="shared" si="61"/>
        <v>1.6099703109084647</v>
      </c>
      <c r="AH105" s="51">
        <f t="shared" si="61"/>
        <v>1.6246595570404889</v>
      </c>
      <c r="AI105" s="51">
        <f t="shared" si="61"/>
        <v>1.6388441890627481</v>
      </c>
      <c r="AJ105" s="51">
        <f t="shared" si="61"/>
        <v>1.6525066008797515</v>
      </c>
      <c r="AK105" s="51">
        <f t="shared" si="61"/>
        <v>1.6656415680968284</v>
      </c>
      <c r="AL105" s="51">
        <f t="shared" si="61"/>
        <v>1.678208792310502</v>
      </c>
      <c r="AM105" s="51">
        <f t="shared" si="61"/>
        <v>1.6902222160631175</v>
      </c>
      <c r="AN105" s="51">
        <f t="shared" si="61"/>
        <v>1.6902222160631175</v>
      </c>
      <c r="AO105" s="51">
        <f t="shared" si="61"/>
        <v>1.6902222160631175</v>
      </c>
      <c r="AP105" s="51">
        <f t="shared" si="61"/>
        <v>1.6902222160631175</v>
      </c>
      <c r="AQ105" s="51">
        <f t="shared" si="61"/>
        <v>1.6902222160631175</v>
      </c>
      <c r="AR105" s="51">
        <f t="shared" si="61"/>
        <v>1.6902222160631175</v>
      </c>
      <c r="AS105" s="51">
        <f t="shared" si="61"/>
        <v>1.6902222160631175</v>
      </c>
      <c r="AT105" s="51">
        <f t="shared" si="61"/>
        <v>1.6902222160631175</v>
      </c>
      <c r="AU105" s="51">
        <f t="shared" si="61"/>
        <v>1.6902222160631175</v>
      </c>
      <c r="AV105" s="51">
        <f t="shared" si="61"/>
        <v>1.6902222160631175</v>
      </c>
      <c r="AW105" s="51">
        <f t="shared" si="61"/>
        <v>1.6902222160631175</v>
      </c>
      <c r="AX105" s="51">
        <f t="shared" si="61"/>
        <v>1.6902222160631175</v>
      </c>
      <c r="AY105" s="51">
        <f t="shared" si="61"/>
        <v>1.6902222160631175</v>
      </c>
      <c r="AZ105" s="51">
        <f t="shared" si="61"/>
        <v>1.6902222160631175</v>
      </c>
      <c r="BA105" s="51">
        <f t="shared" si="61"/>
        <v>1.6902222160631175</v>
      </c>
      <c r="BB105" s="51">
        <f t="shared" si="61"/>
        <v>1.6902222160631175</v>
      </c>
      <c r="BC105" s="51">
        <f t="shared" si="61"/>
        <v>1.6902222160631175</v>
      </c>
      <c r="BD105" s="51">
        <f t="shared" si="61"/>
        <v>1.6902222160631175</v>
      </c>
      <c r="BE105" s="51">
        <f t="shared" si="61"/>
        <v>1.6902222160631175</v>
      </c>
      <c r="BF105" s="51">
        <f t="shared" si="61"/>
        <v>1.6902222160631175</v>
      </c>
      <c r="BG105" s="51">
        <f t="shared" si="61"/>
        <v>1.6902222160631175</v>
      </c>
      <c r="BH105" s="51">
        <f t="shared" si="61"/>
        <v>1.6902222160631175</v>
      </c>
      <c r="BI105" s="51">
        <f t="shared" si="61"/>
        <v>1.6902222160631175</v>
      </c>
      <c r="BJ105" s="51">
        <f t="shared" si="61"/>
        <v>1.6902222160631175</v>
      </c>
      <c r="BK105" s="51">
        <f t="shared" si="61"/>
        <v>1.6902222160631175</v>
      </c>
      <c r="BL105" s="51">
        <f t="shared" si="61"/>
        <v>1.6902222160631175</v>
      </c>
      <c r="BM105" s="51">
        <f t="shared" si="61"/>
        <v>1.6902222160631175</v>
      </c>
      <c r="BN105" s="51">
        <f t="shared" si="61"/>
        <v>1.6902222160631175</v>
      </c>
      <c r="BO105" s="51">
        <f t="shared" si="61"/>
        <v>1.6902222160631175</v>
      </c>
      <c r="BP105" s="51">
        <f t="shared" si="61"/>
        <v>1.6902222160631175</v>
      </c>
      <c r="BQ105" s="51">
        <f t="shared" si="61"/>
        <v>1.6902222160631175</v>
      </c>
      <c r="BR105" s="51">
        <f t="shared" si="61"/>
        <v>1.6902222160631175</v>
      </c>
      <c r="BS105" s="51">
        <f t="shared" si="62" ref="BS105:CK105">IF(BS5="","",BS5/$G5)</f>
        <v>1.6902222160631175</v>
      </c>
      <c r="BT105" s="51">
        <f t="shared" si="62"/>
        <v>1.6902222160631175</v>
      </c>
      <c r="BU105" s="51">
        <f t="shared" si="62"/>
        <v>1.6902222160631175</v>
      </c>
      <c r="BV105" s="51">
        <f t="shared" si="62"/>
        <v>1.6902222160631175</v>
      </c>
      <c r="BW105" s="51">
        <f t="shared" si="62"/>
        <v>1.6902222160631175</v>
      </c>
      <c r="BX105" s="51">
        <f t="shared" si="62"/>
        <v>1.6902222160631175</v>
      </c>
      <c r="BY105" s="51">
        <f t="shared" si="62"/>
        <v>1.6902222160631175</v>
      </c>
      <c r="BZ105" s="51">
        <f t="shared" si="62"/>
        <v>1.6902222160631175</v>
      </c>
      <c r="CA105" s="51">
        <f t="shared" si="62"/>
        <v>1.6902222160631175</v>
      </c>
      <c r="CB105" s="51">
        <f t="shared" si="62"/>
        <v>1.6902222160631175</v>
      </c>
      <c r="CC105" s="51">
        <f t="shared" si="62"/>
        <v>1.6902222160631175</v>
      </c>
      <c r="CD105" s="51">
        <f t="shared" si="62"/>
        <v>1.6902222160631175</v>
      </c>
      <c r="CE105" s="51">
        <f t="shared" si="62"/>
        <v>1.6902222160631175</v>
      </c>
      <c r="CF105" s="51">
        <f t="shared" si="62"/>
        <v>1.6902222160631175</v>
      </c>
      <c r="CG105" s="51">
        <f t="shared" si="62"/>
        <v>1.6902222160631175</v>
      </c>
      <c r="CH105" s="51">
        <f t="shared" si="62"/>
        <v>1.6902222160631175</v>
      </c>
      <c r="CI105" s="51">
        <f t="shared" si="62"/>
        <v>1.6902222160631175</v>
      </c>
      <c r="CJ105" s="51">
        <f t="shared" si="62"/>
        <v>1.6902222160631175</v>
      </c>
      <c r="CK105" s="51">
        <f t="shared" si="62"/>
        <v>1.6902222160631175</v>
      </c>
    </row>
    <row r="106" spans="6:89" ht="14.4">
      <c r="F106" t="s">
        <v>213</v>
      </c>
      <c r="G106" s="51">
        <f t="shared" si="63" ref="G106:BR106">IF(G6="","",G6/$G6)</f>
        <v>1</v>
      </c>
      <c r="H106" s="51">
        <f t="shared" si="63"/>
        <v>1</v>
      </c>
      <c r="I106" s="51">
        <f t="shared" si="63"/>
        <v>1</v>
      </c>
      <c r="J106" s="51">
        <f t="shared" si="63"/>
        <v>1</v>
      </c>
      <c r="K106" s="51">
        <f t="shared" si="63"/>
        <v>1.03</v>
      </c>
      <c r="L106" s="51">
        <f t="shared" si="63"/>
        <v>1.0005970782066336</v>
      </c>
      <c r="M106" s="51">
        <f t="shared" si="63"/>
        <v>1.0401763110023001</v>
      </c>
      <c r="N106" s="51">
        <f t="shared" si="63"/>
        <v>1.0813211246924275</v>
      </c>
      <c r="O106" s="51">
        <f t="shared" si="63"/>
        <v>1.124093446792128</v>
      </c>
      <c r="P106" s="51">
        <f t="shared" si="63"/>
        <v>1.1242617583436256</v>
      </c>
      <c r="Q106" s="51">
        <f t="shared" si="63"/>
        <v>1.1244300950965673</v>
      </c>
      <c r="R106" s="51">
        <f t="shared" si="63"/>
        <v>1.1245984570547269</v>
      </c>
      <c r="S106" s="51">
        <f t="shared" si="63"/>
        <v>1.1247668442218783</v>
      </c>
      <c r="T106" s="51">
        <f t="shared" si="63"/>
        <v>1.1249352566017958</v>
      </c>
      <c r="U106" s="51">
        <f t="shared" si="63"/>
        <v>1.1348932613815228</v>
      </c>
      <c r="V106" s="51">
        <f t="shared" si="63"/>
        <v>1.1449394151090324</v>
      </c>
      <c r="W106" s="51">
        <f t="shared" si="63"/>
        <v>1.1550744980849137</v>
      </c>
      <c r="X106" s="51">
        <f t="shared" si="63"/>
        <v>1.1652992975170304</v>
      </c>
      <c r="Y106" s="51">
        <f t="shared" si="63"/>
        <v>1.1756146075816656</v>
      </c>
      <c r="Z106" s="51">
        <f t="shared" si="63"/>
        <v>1.1835001070910458</v>
      </c>
      <c r="AA106" s="51">
        <f t="shared" si="63"/>
        <v>1.1914384990212172</v>
      </c>
      <c r="AB106" s="51">
        <f t="shared" si="63"/>
        <v>1.1994301381509958</v>
      </c>
      <c r="AC106" s="51">
        <f t="shared" si="63"/>
        <v>1.2074753816388948</v>
      </c>
      <c r="AD106" s="51">
        <f t="shared" si="63"/>
        <v>1.2155745890390897</v>
      </c>
      <c r="AE106" s="51">
        <f t="shared" si="63"/>
        <v>1.2219347877857436</v>
      </c>
      <c r="AF106" s="51">
        <f t="shared" si="63"/>
        <v>1.2283282647273037</v>
      </c>
      <c r="AG106" s="51">
        <f t="shared" si="63"/>
        <v>1.2347551939838406</v>
      </c>
      <c r="AH106" s="51">
        <f t="shared" si="63"/>
        <v>1.2412157505864665</v>
      </c>
      <c r="AI106" s="51">
        <f t="shared" si="63"/>
        <v>1.2477101104821005</v>
      </c>
      <c r="AJ106" s="51">
        <f t="shared" si="63"/>
        <v>1.2542580944008723</v>
      </c>
      <c r="AK106" s="51">
        <f t="shared" si="63"/>
        <v>1.260840442145857</v>
      </c>
      <c r="AL106" s="51">
        <f t="shared" si="63"/>
        <v>1.2674573340584487</v>
      </c>
      <c r="AM106" s="51">
        <f t="shared" si="63"/>
        <v>1.2741089514264747</v>
      </c>
      <c r="AN106" s="51">
        <f t="shared" si="63"/>
        <v>1.2741089514264747</v>
      </c>
      <c r="AO106" s="51">
        <f t="shared" si="63"/>
        <v>1.2741089514264747</v>
      </c>
      <c r="AP106" s="51">
        <f t="shared" si="63"/>
        <v>1.2741089514264747</v>
      </c>
      <c r="AQ106" s="51">
        <f t="shared" si="63"/>
        <v>1.2741089514264747</v>
      </c>
      <c r="AR106" s="51">
        <f t="shared" si="63"/>
        <v>1.2741089514264747</v>
      </c>
      <c r="AS106" s="51">
        <f t="shared" si="63"/>
        <v>1.2741089514264747</v>
      </c>
      <c r="AT106" s="51">
        <f t="shared" si="63"/>
        <v>1.2741089514264747</v>
      </c>
      <c r="AU106" s="51">
        <f t="shared" si="63"/>
        <v>1.2741089514264747</v>
      </c>
      <c r="AV106" s="51">
        <f t="shared" si="63"/>
        <v>1.2741089514264747</v>
      </c>
      <c r="AW106" s="51">
        <f t="shared" si="63"/>
        <v>1.2741089514264747</v>
      </c>
      <c r="AX106" s="51">
        <f t="shared" si="63"/>
        <v>1.2741089514264747</v>
      </c>
      <c r="AY106" s="51">
        <f t="shared" si="63"/>
        <v>1.2741089514264747</v>
      </c>
      <c r="AZ106" s="51">
        <f t="shared" si="63"/>
        <v>1.2741089514264747</v>
      </c>
      <c r="BA106" s="51">
        <f t="shared" si="63"/>
        <v>1.2741089514264747</v>
      </c>
      <c r="BB106" s="51">
        <f t="shared" si="63"/>
        <v>1.2741089514264747</v>
      </c>
      <c r="BC106" s="51">
        <f t="shared" si="63"/>
        <v>1.2741089514264747</v>
      </c>
      <c r="BD106" s="51">
        <f t="shared" si="63"/>
        <v>1.2741089514264747</v>
      </c>
      <c r="BE106" s="51">
        <f t="shared" si="63"/>
        <v>1.2741089514264747</v>
      </c>
      <c r="BF106" s="51">
        <f t="shared" si="63"/>
        <v>1.2741089514264747</v>
      </c>
      <c r="BG106" s="51">
        <f t="shared" si="63"/>
        <v>1.2741089514264747</v>
      </c>
      <c r="BH106" s="51">
        <f t="shared" si="63"/>
        <v>1.2741089514264747</v>
      </c>
      <c r="BI106" s="51">
        <f t="shared" si="63"/>
        <v>1.2741089514264747</v>
      </c>
      <c r="BJ106" s="51">
        <f t="shared" si="63"/>
        <v>1.2741089514264747</v>
      </c>
      <c r="BK106" s="51">
        <f t="shared" si="63"/>
        <v>1.2741089514264747</v>
      </c>
      <c r="BL106" s="51">
        <f t="shared" si="63"/>
        <v>1.2741089514264747</v>
      </c>
      <c r="BM106" s="51">
        <f t="shared" si="63"/>
        <v>1.2741089514264747</v>
      </c>
      <c r="BN106" s="51">
        <f t="shared" si="63"/>
        <v>1.2741089514264747</v>
      </c>
      <c r="BO106" s="51">
        <f t="shared" si="63"/>
        <v>1.2741089514264747</v>
      </c>
      <c r="BP106" s="51">
        <f t="shared" si="63"/>
        <v>1.2741089514264747</v>
      </c>
      <c r="BQ106" s="51">
        <f t="shared" si="63"/>
        <v>1.2741089514264747</v>
      </c>
      <c r="BR106" s="51">
        <f t="shared" si="63"/>
        <v>1.2741089514264747</v>
      </c>
      <c r="BS106" s="51">
        <f t="shared" si="64" ref="BS106:CK106">IF(BS6="","",BS6/$G6)</f>
        <v>1.2741089514264747</v>
      </c>
      <c r="BT106" s="51">
        <f t="shared" si="64"/>
        <v>1.2741089514264747</v>
      </c>
      <c r="BU106" s="51">
        <f t="shared" si="64"/>
        <v>1.2741089514264747</v>
      </c>
      <c r="BV106" s="51">
        <f t="shared" si="64"/>
        <v>1.2741089514264747</v>
      </c>
      <c r="BW106" s="51">
        <f t="shared" si="64"/>
        <v>1.2741089514264747</v>
      </c>
      <c r="BX106" s="51">
        <f t="shared" si="64"/>
        <v>1.2741089514264747</v>
      </c>
      <c r="BY106" s="51">
        <f t="shared" si="64"/>
        <v>1.2741089514264747</v>
      </c>
      <c r="BZ106" s="51">
        <f t="shared" si="64"/>
        <v>1.2741089514264747</v>
      </c>
      <c r="CA106" s="51">
        <f t="shared" si="64"/>
        <v>1.2741089514264747</v>
      </c>
      <c r="CB106" s="51">
        <f t="shared" si="64"/>
        <v>1.2741089514264747</v>
      </c>
      <c r="CC106" s="51">
        <f t="shared" si="64"/>
        <v>1.2741089514264747</v>
      </c>
      <c r="CD106" s="51">
        <f t="shared" si="64"/>
        <v>1.2741089514264747</v>
      </c>
      <c r="CE106" s="51">
        <f t="shared" si="64"/>
        <v>1.2741089514264747</v>
      </c>
      <c r="CF106" s="51">
        <f t="shared" si="64"/>
        <v>1.2741089514264747</v>
      </c>
      <c r="CG106" s="51">
        <f t="shared" si="64"/>
        <v>1.2741089514264747</v>
      </c>
      <c r="CH106" s="51">
        <f t="shared" si="64"/>
        <v>1.2741089514264747</v>
      </c>
      <c r="CI106" s="51">
        <f t="shared" si="64"/>
        <v>1.2741089514264747</v>
      </c>
      <c r="CJ106" s="51">
        <f t="shared" si="64"/>
        <v>1.2741089514264747</v>
      </c>
      <c r="CK106" s="51">
        <f t="shared" si="64"/>
        <v>1.2741089514264747</v>
      </c>
    </row>
    <row r="107" spans="6:89" ht="14.4">
      <c r="F107" t="s">
        <v>23</v>
      </c>
      <c r="G107" s="51">
        <f t="shared" si="65" ref="G107:BR107">IF(G7="","",G7/$G7)</f>
        <v>1</v>
      </c>
      <c r="H107" s="51">
        <f t="shared" si="65"/>
        <v>1</v>
      </c>
      <c r="I107" s="51">
        <f t="shared" si="65"/>
        <v>1</v>
      </c>
      <c r="J107" s="51">
        <f t="shared" si="65"/>
        <v>1</v>
      </c>
      <c r="K107" s="51">
        <f t="shared" si="65"/>
        <v>1.03</v>
      </c>
      <c r="L107" s="51">
        <f t="shared" si="65"/>
        <v>0.89518494664176806</v>
      </c>
      <c r="M107" s="51">
        <f t="shared" si="65"/>
        <v>0.89974629467751377</v>
      </c>
      <c r="N107" s="51">
        <f t="shared" si="65"/>
        <v>0.9044227334824857</v>
      </c>
      <c r="O107" s="51">
        <f t="shared" si="65"/>
        <v>0.90921726349866905</v>
      </c>
      <c r="P107" s="51">
        <f t="shared" si="65"/>
        <v>0.91413296968773983</v>
      </c>
      <c r="Q107" s="51">
        <f t="shared" si="65"/>
        <v>0.91917302382558375</v>
      </c>
      <c r="R107" s="51">
        <f t="shared" si="65"/>
        <v>0.92434068923276946</v>
      </c>
      <c r="S107" s="51">
        <f t="shared" si="65"/>
        <v>0.92963932453736908</v>
      </c>
      <c r="T107" s="51">
        <f t="shared" si="65"/>
        <v>0.93512516656154787</v>
      </c>
      <c r="U107" s="51">
        <f t="shared" si="65"/>
        <v>0.94074731810134837</v>
      </c>
      <c r="V107" s="51">
        <f t="shared" si="65"/>
        <v>0.94650929677958551</v>
      </c>
      <c r="W107" s="51">
        <f t="shared" si="65"/>
        <v>0.95241472271396777</v>
      </c>
      <c r="X107" s="51">
        <f t="shared" si="65"/>
        <v>0.95846732233746845</v>
      </c>
      <c r="Y107" s="51">
        <f t="shared" si="65"/>
        <v>0.96467093278439764</v>
      </c>
      <c r="Z107" s="51">
        <f t="shared" si="65"/>
        <v>0.97102950753815043</v>
      </c>
      <c r="AA107" s="51">
        <f t="shared" si="65"/>
        <v>0.97754712063788285</v>
      </c>
      <c r="AB107" s="51">
        <f t="shared" si="65"/>
        <v>0.98422797313019483</v>
      </c>
      <c r="AC107" s="51">
        <f t="shared" si="65"/>
        <v>0.9910763980454862</v>
      </c>
      <c r="AD107" s="51">
        <f t="shared" si="65"/>
        <v>0.99809686795564023</v>
      </c>
      <c r="AE107" s="51">
        <f t="shared" si="65"/>
        <v>1.0052940018531011</v>
      </c>
      <c r="AF107" s="51">
        <f t="shared" si="65"/>
        <v>1.0126725719365659</v>
      </c>
      <c r="AG107" s="51">
        <f t="shared" si="65"/>
        <v>1.0202375132149522</v>
      </c>
      <c r="AH107" s="51">
        <f t="shared" si="65"/>
        <v>1.0279939318999656</v>
      </c>
      <c r="AI107" s="51">
        <f t="shared" si="65"/>
        <v>1.0359471149638824</v>
      </c>
      <c r="AJ107" s="51">
        <f t="shared" si="65"/>
        <v>1.0441025420044654</v>
      </c>
      <c r="AK107" s="51">
        <f t="shared" si="65"/>
        <v>1.0524658961758644</v>
      </c>
      <c r="AL107" s="51">
        <f t="shared" si="65"/>
        <v>1.0610430776903106</v>
      </c>
      <c r="AM107" s="51">
        <f t="shared" si="65"/>
        <v>1.0698402177415325</v>
      </c>
      <c r="AN107" s="51">
        <f t="shared" si="65"/>
        <v>1.0698402177415325</v>
      </c>
      <c r="AO107" s="51">
        <f t="shared" si="65"/>
        <v>1.0698402177415325</v>
      </c>
      <c r="AP107" s="51">
        <f t="shared" si="65"/>
        <v>1.0698402177415325</v>
      </c>
      <c r="AQ107" s="51">
        <f t="shared" si="65"/>
        <v>1.0698402177415325</v>
      </c>
      <c r="AR107" s="51">
        <f t="shared" si="65"/>
        <v>1.0698402177415325</v>
      </c>
      <c r="AS107" s="51">
        <f t="shared" si="65"/>
        <v>1.0698402177415325</v>
      </c>
      <c r="AT107" s="51">
        <f t="shared" si="65"/>
        <v>1.0698402177415325</v>
      </c>
      <c r="AU107" s="51">
        <f t="shared" si="65"/>
        <v>1.0698402177415325</v>
      </c>
      <c r="AV107" s="51">
        <f t="shared" si="65"/>
        <v>1.0698402177415325</v>
      </c>
      <c r="AW107" s="51">
        <f t="shared" si="65"/>
        <v>1.0698402177415325</v>
      </c>
      <c r="AX107" s="51">
        <f t="shared" si="65"/>
        <v>1.0698402177415325</v>
      </c>
      <c r="AY107" s="51">
        <f t="shared" si="65"/>
        <v>1.0698402177415325</v>
      </c>
      <c r="AZ107" s="51">
        <f t="shared" si="65"/>
        <v>1.0698402177415325</v>
      </c>
      <c r="BA107" s="51">
        <f t="shared" si="65"/>
        <v>1.0698402177415325</v>
      </c>
      <c r="BB107" s="51">
        <f t="shared" si="65"/>
        <v>1.0698402177415325</v>
      </c>
      <c r="BC107" s="51">
        <f t="shared" si="65"/>
        <v>1.0698402177415325</v>
      </c>
      <c r="BD107" s="51">
        <f t="shared" si="65"/>
        <v>1.0698402177415325</v>
      </c>
      <c r="BE107" s="51">
        <f t="shared" si="65"/>
        <v>1.0698402177415325</v>
      </c>
      <c r="BF107" s="51">
        <f t="shared" si="65"/>
        <v>1.0698402177415325</v>
      </c>
      <c r="BG107" s="51">
        <f t="shared" si="65"/>
        <v>1.0698402177415325</v>
      </c>
      <c r="BH107" s="51">
        <f t="shared" si="65"/>
        <v>1.0698402177415325</v>
      </c>
      <c r="BI107" s="51">
        <f t="shared" si="65"/>
        <v>1.0698402177415325</v>
      </c>
      <c r="BJ107" s="51">
        <f t="shared" si="65"/>
        <v>1.0698402177415325</v>
      </c>
      <c r="BK107" s="51">
        <f t="shared" si="65"/>
        <v>1.0698402177415325</v>
      </c>
      <c r="BL107" s="51">
        <f t="shared" si="65"/>
        <v>1.0698402177415325</v>
      </c>
      <c r="BM107" s="51">
        <f t="shared" si="65"/>
        <v>1.0698402177415325</v>
      </c>
      <c r="BN107" s="51">
        <f t="shared" si="65"/>
        <v>1.0698402177415325</v>
      </c>
      <c r="BO107" s="51">
        <f t="shared" si="65"/>
        <v>1.0698402177415325</v>
      </c>
      <c r="BP107" s="51">
        <f t="shared" si="65"/>
        <v>1.0698402177415325</v>
      </c>
      <c r="BQ107" s="51">
        <f t="shared" si="65"/>
        <v>1.0698402177415325</v>
      </c>
      <c r="BR107" s="51">
        <f t="shared" si="65"/>
        <v>1.0698402177415325</v>
      </c>
      <c r="BS107" s="51">
        <f t="shared" si="66" ref="BS107:CK107">IF(BS7="","",BS7/$G7)</f>
        <v>1.0698402177415325</v>
      </c>
      <c r="BT107" s="51">
        <f t="shared" si="66"/>
        <v>1.0698402177415325</v>
      </c>
      <c r="BU107" s="51">
        <f t="shared" si="66"/>
        <v>1.0698402177415325</v>
      </c>
      <c r="BV107" s="51">
        <f t="shared" si="66"/>
        <v>1.0698402177415325</v>
      </c>
      <c r="BW107" s="51">
        <f t="shared" si="66"/>
        <v>1.0698402177415325</v>
      </c>
      <c r="BX107" s="51">
        <f t="shared" si="66"/>
        <v>1.0698402177415325</v>
      </c>
      <c r="BY107" s="51">
        <f t="shared" si="66"/>
        <v>1.0698402177415325</v>
      </c>
      <c r="BZ107" s="51">
        <f t="shared" si="66"/>
        <v>1.0698402177415325</v>
      </c>
      <c r="CA107" s="51">
        <f t="shared" si="66"/>
        <v>1.0698402177415325</v>
      </c>
      <c r="CB107" s="51">
        <f t="shared" si="66"/>
        <v>1.0698402177415325</v>
      </c>
      <c r="CC107" s="51">
        <f t="shared" si="66"/>
        <v>1.0698402177415325</v>
      </c>
      <c r="CD107" s="51">
        <f t="shared" si="66"/>
        <v>1.0698402177415325</v>
      </c>
      <c r="CE107" s="51">
        <f t="shared" si="66"/>
        <v>1.0698402177415325</v>
      </c>
      <c r="CF107" s="51">
        <f t="shared" si="66"/>
        <v>1.0698402177415325</v>
      </c>
      <c r="CG107" s="51">
        <f t="shared" si="66"/>
        <v>1.0698402177415325</v>
      </c>
      <c r="CH107" s="51">
        <f t="shared" si="66"/>
        <v>1.0698402177415325</v>
      </c>
      <c r="CI107" s="51">
        <f t="shared" si="66"/>
        <v>1.0698402177415325</v>
      </c>
      <c r="CJ107" s="51">
        <f t="shared" si="66"/>
        <v>1.0698402177415325</v>
      </c>
      <c r="CK107" s="51">
        <f t="shared" si="66"/>
        <v>1.0698402177415325</v>
      </c>
    </row>
    <row r="108" spans="6:89" ht="14.4">
      <c r="F108" t="s">
        <v>31</v>
      </c>
      <c r="G108" s="51">
        <f t="shared" si="67" ref="G108:BR108">IF(G8="","",G8/$G8)</f>
        <v>1</v>
      </c>
      <c r="H108" s="51">
        <f t="shared" si="67"/>
        <v>1</v>
      </c>
      <c r="I108" s="51">
        <f t="shared" si="67"/>
        <v>1</v>
      </c>
      <c r="J108" s="51">
        <f t="shared" si="67"/>
        <v>1</v>
      </c>
      <c r="K108" s="51">
        <f t="shared" si="67"/>
        <v>1.03</v>
      </c>
      <c r="L108" s="51">
        <f t="shared" si="67"/>
        <v>1.0195149867229136</v>
      </c>
      <c r="M108" s="51">
        <f t="shared" si="67"/>
        <v>1.0392671840991035</v>
      </c>
      <c r="N108" s="51">
        <f t="shared" si="67"/>
        <v>1.0580451868174945</v>
      </c>
      <c r="O108" s="51">
        <f t="shared" si="67"/>
        <v>1.0759373477923879</v>
      </c>
      <c r="P108" s="51">
        <f t="shared" si="67"/>
        <v>1.092939449357091</v>
      </c>
      <c r="Q108" s="51">
        <f t="shared" si="67"/>
        <v>1.109230614616544</v>
      </c>
      <c r="R108" s="51">
        <f t="shared" si="67"/>
        <v>1.1250067014412972</v>
      </c>
      <c r="S108" s="51">
        <f t="shared" si="67"/>
        <v>1.1402233293512973</v>
      </c>
      <c r="T108" s="51">
        <f t="shared" si="67"/>
        <v>1.1549783774322975</v>
      </c>
      <c r="U108" s="51">
        <f t="shared" si="67"/>
        <v>1.1692301450699858</v>
      </c>
      <c r="V108" s="51">
        <f t="shared" si="67"/>
        <v>1.1830448755707537</v>
      </c>
      <c r="W108" s="51">
        <f t="shared" si="67"/>
        <v>1.1964525674152329</v>
      </c>
      <c r="X108" s="51">
        <f t="shared" si="67"/>
        <v>1.2093686876853367</v>
      </c>
      <c r="Y108" s="51">
        <f t="shared" si="67"/>
        <v>1.2217478192733058</v>
      </c>
      <c r="Z108" s="51">
        <f t="shared" si="67"/>
        <v>1.2335390237969497</v>
      </c>
      <c r="AA108" s="51">
        <f t="shared" si="67"/>
        <v>1.2447067020395173</v>
      </c>
      <c r="AB108" s="51">
        <f t="shared" si="67"/>
        <v>1.2551545455848507</v>
      </c>
      <c r="AC108" s="51">
        <f t="shared" si="67"/>
        <v>1.2648222787014027</v>
      </c>
      <c r="AD108" s="51">
        <f t="shared" si="67"/>
        <v>1.2736755076670438</v>
      </c>
      <c r="AE108" s="51">
        <f t="shared" si="67"/>
        <v>1.281640694516504</v>
      </c>
      <c r="AF108" s="51">
        <f t="shared" si="67"/>
        <v>1.2886246260341234</v>
      </c>
      <c r="AG108" s="51">
        <f t="shared" si="67"/>
        <v>1.2944509898798497</v>
      </c>
      <c r="AH108" s="51">
        <f t="shared" si="67"/>
        <v>1.2990606618713652</v>
      </c>
      <c r="AI108" s="51">
        <f t="shared" si="67"/>
        <v>1.3024149571655343</v>
      </c>
      <c r="AJ108" s="51">
        <f t="shared" si="67"/>
        <v>1.3044273813733633</v>
      </c>
      <c r="AK108" s="51">
        <f t="shared" si="67"/>
        <v>1.3050333279637685</v>
      </c>
      <c r="AL108" s="51">
        <f t="shared" si="67"/>
        <v>1.3040953070804255</v>
      </c>
      <c r="AM108" s="51">
        <f t="shared" si="67"/>
        <v>1.3015875158493084</v>
      </c>
      <c r="AN108" s="51">
        <f t="shared" si="67"/>
        <v>1.3015875158493084</v>
      </c>
      <c r="AO108" s="51">
        <f t="shared" si="67"/>
        <v>1.3015875158493084</v>
      </c>
      <c r="AP108" s="51">
        <f t="shared" si="67"/>
        <v>1.3015875158493084</v>
      </c>
      <c r="AQ108" s="51">
        <f t="shared" si="67"/>
        <v>1.3015875158493084</v>
      </c>
      <c r="AR108" s="51">
        <f t="shared" si="67"/>
        <v>1.3015875158493084</v>
      </c>
      <c r="AS108" s="51">
        <f t="shared" si="67"/>
        <v>1.3015875158493084</v>
      </c>
      <c r="AT108" s="51">
        <f t="shared" si="67"/>
        <v>1.3015875158493084</v>
      </c>
      <c r="AU108" s="51">
        <f t="shared" si="67"/>
        <v>1.3015875158493084</v>
      </c>
      <c r="AV108" s="51">
        <f t="shared" si="67"/>
        <v>1.3015875158493084</v>
      </c>
      <c r="AW108" s="51">
        <f t="shared" si="67"/>
        <v>1.3015875158493084</v>
      </c>
      <c r="AX108" s="51">
        <f t="shared" si="67"/>
        <v>1.3015875158493084</v>
      </c>
      <c r="AY108" s="51">
        <f t="shared" si="67"/>
        <v>1.3015875158493084</v>
      </c>
      <c r="AZ108" s="51">
        <f t="shared" si="67"/>
        <v>1.3015875158493084</v>
      </c>
      <c r="BA108" s="51">
        <f t="shared" si="67"/>
        <v>1.3015875158493084</v>
      </c>
      <c r="BB108" s="51">
        <f t="shared" si="67"/>
        <v>1.3015875158493084</v>
      </c>
      <c r="BC108" s="51">
        <f t="shared" si="67"/>
        <v>1.3015875158493084</v>
      </c>
      <c r="BD108" s="51">
        <f t="shared" si="67"/>
        <v>1.3015875158493084</v>
      </c>
      <c r="BE108" s="51">
        <f t="shared" si="67"/>
        <v>1.3015875158493084</v>
      </c>
      <c r="BF108" s="51">
        <f t="shared" si="67"/>
        <v>1.3015875158493084</v>
      </c>
      <c r="BG108" s="51">
        <f t="shared" si="67"/>
        <v>1.3015875158493084</v>
      </c>
      <c r="BH108" s="51">
        <f t="shared" si="67"/>
        <v>1.3015875158493084</v>
      </c>
      <c r="BI108" s="51">
        <f t="shared" si="67"/>
        <v>1.3015875158493084</v>
      </c>
      <c r="BJ108" s="51">
        <f t="shared" si="67"/>
        <v>1.3015875158493084</v>
      </c>
      <c r="BK108" s="51">
        <f t="shared" si="67"/>
        <v>1.3015875158493084</v>
      </c>
      <c r="BL108" s="51">
        <f t="shared" si="67"/>
        <v>1.3015875158493084</v>
      </c>
      <c r="BM108" s="51">
        <f t="shared" si="67"/>
        <v>1.3015875158493084</v>
      </c>
      <c r="BN108" s="51">
        <f t="shared" si="67"/>
        <v>1.3015875158493084</v>
      </c>
      <c r="BO108" s="51">
        <f t="shared" si="67"/>
        <v>1.3015875158493084</v>
      </c>
      <c r="BP108" s="51">
        <f t="shared" si="67"/>
        <v>1.3015875158493084</v>
      </c>
      <c r="BQ108" s="51">
        <f t="shared" si="67"/>
        <v>1.3015875158493084</v>
      </c>
      <c r="BR108" s="51">
        <f t="shared" si="67"/>
        <v>1.3015875158493084</v>
      </c>
      <c r="BS108" s="51">
        <f t="shared" si="68" ref="BS108:CK108">IF(BS8="","",BS8/$G8)</f>
        <v>1.3015875158493084</v>
      </c>
      <c r="BT108" s="51">
        <f t="shared" si="68"/>
        <v>1.3015875158493084</v>
      </c>
      <c r="BU108" s="51">
        <f t="shared" si="68"/>
        <v>1.3015875158493084</v>
      </c>
      <c r="BV108" s="51">
        <f t="shared" si="68"/>
        <v>1.3015875158493084</v>
      </c>
      <c r="BW108" s="51">
        <f t="shared" si="68"/>
        <v>1.3015875158493084</v>
      </c>
      <c r="BX108" s="51">
        <f t="shared" si="68"/>
        <v>1.3015875158493084</v>
      </c>
      <c r="BY108" s="51">
        <f t="shared" si="68"/>
        <v>1.3015875158493084</v>
      </c>
      <c r="BZ108" s="51">
        <f t="shared" si="68"/>
        <v>1.3015875158493084</v>
      </c>
      <c r="CA108" s="51">
        <f t="shared" si="68"/>
        <v>1.3015875158493084</v>
      </c>
      <c r="CB108" s="51">
        <f t="shared" si="68"/>
        <v>1.3015875158493084</v>
      </c>
      <c r="CC108" s="51">
        <f t="shared" si="68"/>
        <v>1.3015875158493084</v>
      </c>
      <c r="CD108" s="51">
        <f t="shared" si="68"/>
        <v>1.3015875158493084</v>
      </c>
      <c r="CE108" s="51">
        <f t="shared" si="68"/>
        <v>1.3015875158493084</v>
      </c>
      <c r="CF108" s="51">
        <f t="shared" si="68"/>
        <v>1.3015875158493084</v>
      </c>
      <c r="CG108" s="51">
        <f t="shared" si="68"/>
        <v>1.3015875158493084</v>
      </c>
      <c r="CH108" s="51">
        <f t="shared" si="68"/>
        <v>1.3015875158493084</v>
      </c>
      <c r="CI108" s="51">
        <f t="shared" si="68"/>
        <v>1.3015875158493084</v>
      </c>
      <c r="CJ108" s="51">
        <f t="shared" si="68"/>
        <v>1.3015875158493084</v>
      </c>
      <c r="CK108" s="51">
        <f t="shared" si="68"/>
        <v>1.3015875158493084</v>
      </c>
    </row>
    <row r="109" spans="6:89" ht="14.4">
      <c r="F109" t="s">
        <v>21</v>
      </c>
      <c r="G109" s="51">
        <f t="shared" si="69" ref="G109:BR109">IF(G9="","",G9/$G9)</f>
        <v>1</v>
      </c>
      <c r="H109" s="51">
        <f t="shared" si="69"/>
        <v>1</v>
      </c>
      <c r="I109" s="51">
        <f t="shared" si="69"/>
        <v>1</v>
      </c>
      <c r="J109" s="51">
        <f t="shared" si="69"/>
        <v>1</v>
      </c>
      <c r="K109" s="51">
        <f t="shared" si="69"/>
        <v>1.03</v>
      </c>
      <c r="L109" s="51">
        <f t="shared" si="69"/>
        <v>1.0005970782066338</v>
      </c>
      <c r="M109" s="51">
        <f t="shared" si="69"/>
        <v>1.0401763110023003</v>
      </c>
      <c r="N109" s="51">
        <f t="shared" si="69"/>
        <v>1.0813211246924275</v>
      </c>
      <c r="O109" s="51">
        <f t="shared" si="69"/>
        <v>1.124093446792128</v>
      </c>
      <c r="P109" s="51">
        <f t="shared" si="69"/>
        <v>1.1242617583436258</v>
      </c>
      <c r="Q109" s="51">
        <f t="shared" si="69"/>
        <v>1.1244300950965673</v>
      </c>
      <c r="R109" s="51">
        <f t="shared" si="69"/>
        <v>1.1245984570547272</v>
      </c>
      <c r="S109" s="51">
        <f t="shared" si="69"/>
        <v>1.1247668442218781</v>
      </c>
      <c r="T109" s="51">
        <f t="shared" si="69"/>
        <v>1.1249352566017956</v>
      </c>
      <c r="U109" s="51">
        <f t="shared" si="69"/>
        <v>1.1348932613815228</v>
      </c>
      <c r="V109" s="51">
        <f t="shared" si="69"/>
        <v>1.1449394151090324</v>
      </c>
      <c r="W109" s="51">
        <f t="shared" si="69"/>
        <v>1.1550744980849135</v>
      </c>
      <c r="X109" s="51">
        <f t="shared" si="69"/>
        <v>1.1652992975170304</v>
      </c>
      <c r="Y109" s="51">
        <f t="shared" si="69"/>
        <v>1.1756146075816654</v>
      </c>
      <c r="Z109" s="51">
        <f t="shared" si="69"/>
        <v>1.1835001070910456</v>
      </c>
      <c r="AA109" s="51">
        <f t="shared" si="69"/>
        <v>1.1914384990212172</v>
      </c>
      <c r="AB109" s="51">
        <f t="shared" si="69"/>
        <v>1.1994301381509958</v>
      </c>
      <c r="AC109" s="51">
        <f t="shared" si="69"/>
        <v>1.2074753816388948</v>
      </c>
      <c r="AD109" s="51">
        <f t="shared" si="69"/>
        <v>1.2155745890390897</v>
      </c>
      <c r="AE109" s="51">
        <f t="shared" si="69"/>
        <v>1.2219347877857436</v>
      </c>
      <c r="AF109" s="51">
        <f t="shared" si="69"/>
        <v>1.2283282647273037</v>
      </c>
      <c r="AG109" s="51">
        <f t="shared" si="69"/>
        <v>1.2347551939838406</v>
      </c>
      <c r="AH109" s="51">
        <f t="shared" si="69"/>
        <v>1.2412157505864663</v>
      </c>
      <c r="AI109" s="51">
        <f t="shared" si="69"/>
        <v>1.2477101104821005</v>
      </c>
      <c r="AJ109" s="51">
        <f t="shared" si="69"/>
        <v>1.2542580944008721</v>
      </c>
      <c r="AK109" s="51">
        <f t="shared" si="69"/>
        <v>1.260840442145857</v>
      </c>
      <c r="AL109" s="51">
        <f t="shared" si="69"/>
        <v>1.2674573340584487</v>
      </c>
      <c r="AM109" s="51">
        <f t="shared" si="69"/>
        <v>1.2741089514264747</v>
      </c>
      <c r="AN109" s="51">
        <f t="shared" si="69"/>
        <v>1.2741089514264747</v>
      </c>
      <c r="AO109" s="51">
        <f t="shared" si="69"/>
        <v>1.2741089514264747</v>
      </c>
      <c r="AP109" s="51">
        <f t="shared" si="69"/>
        <v>1.2741089514264747</v>
      </c>
      <c r="AQ109" s="51">
        <f t="shared" si="69"/>
        <v>1.2741089514264747</v>
      </c>
      <c r="AR109" s="51">
        <f t="shared" si="69"/>
        <v>1.2741089514264747</v>
      </c>
      <c r="AS109" s="51">
        <f t="shared" si="69"/>
        <v>1.2741089514264747</v>
      </c>
      <c r="AT109" s="51">
        <f t="shared" si="69"/>
        <v>1.2741089514264747</v>
      </c>
      <c r="AU109" s="51">
        <f t="shared" si="69"/>
        <v>1.2741089514264747</v>
      </c>
      <c r="AV109" s="51">
        <f t="shared" si="69"/>
        <v>1.2741089514264747</v>
      </c>
      <c r="AW109" s="51">
        <f t="shared" si="69"/>
        <v>1.2741089514264747</v>
      </c>
      <c r="AX109" s="51">
        <f t="shared" si="69"/>
        <v>1.2741089514264747</v>
      </c>
      <c r="AY109" s="51">
        <f t="shared" si="69"/>
        <v>1.2741089514264747</v>
      </c>
      <c r="AZ109" s="51">
        <f t="shared" si="69"/>
        <v>1.2741089514264747</v>
      </c>
      <c r="BA109" s="51">
        <f t="shared" si="69"/>
        <v>1.2741089514264747</v>
      </c>
      <c r="BB109" s="51">
        <f t="shared" si="69"/>
        <v>1.2741089514264747</v>
      </c>
      <c r="BC109" s="51">
        <f t="shared" si="69"/>
        <v>1.2741089514264747</v>
      </c>
      <c r="BD109" s="51">
        <f t="shared" si="69"/>
        <v>1.2741089514264747</v>
      </c>
      <c r="BE109" s="51">
        <f t="shared" si="69"/>
        <v>1.2741089514264747</v>
      </c>
      <c r="BF109" s="51">
        <f t="shared" si="69"/>
        <v>1.2741089514264747</v>
      </c>
      <c r="BG109" s="51">
        <f t="shared" si="69"/>
        <v>1.2741089514264747</v>
      </c>
      <c r="BH109" s="51">
        <f t="shared" si="69"/>
        <v>1.2741089514264747</v>
      </c>
      <c r="BI109" s="51">
        <f t="shared" si="69"/>
        <v>1.2741089514264747</v>
      </c>
      <c r="BJ109" s="51">
        <f t="shared" si="69"/>
        <v>1.2741089514264747</v>
      </c>
      <c r="BK109" s="51">
        <f t="shared" si="69"/>
        <v>1.2741089514264747</v>
      </c>
      <c r="BL109" s="51">
        <f t="shared" si="69"/>
        <v>1.2741089514264747</v>
      </c>
      <c r="BM109" s="51">
        <f t="shared" si="69"/>
        <v>1.2741089514264747</v>
      </c>
      <c r="BN109" s="51">
        <f t="shared" si="69"/>
        <v>1.2741089514264747</v>
      </c>
      <c r="BO109" s="51">
        <f t="shared" si="69"/>
        <v>1.2741089514264747</v>
      </c>
      <c r="BP109" s="51">
        <f t="shared" si="69"/>
        <v>1.2741089514264747</v>
      </c>
      <c r="BQ109" s="51">
        <f t="shared" si="69"/>
        <v>1.2741089514264747</v>
      </c>
      <c r="BR109" s="51">
        <f t="shared" si="69"/>
        <v>1.2741089514264747</v>
      </c>
      <c r="BS109" s="51">
        <f t="shared" si="70" ref="BS109:CK109">IF(BS9="","",BS9/$G9)</f>
        <v>1.2741089514264747</v>
      </c>
      <c r="BT109" s="51">
        <f t="shared" si="70"/>
        <v>1.2741089514264747</v>
      </c>
      <c r="BU109" s="51">
        <f t="shared" si="70"/>
        <v>1.2741089514264747</v>
      </c>
      <c r="BV109" s="51">
        <f t="shared" si="70"/>
        <v>1.2741089514264747</v>
      </c>
      <c r="BW109" s="51">
        <f t="shared" si="70"/>
        <v>1.2741089514264747</v>
      </c>
      <c r="BX109" s="51">
        <f t="shared" si="70"/>
        <v>1.2741089514264747</v>
      </c>
      <c r="BY109" s="51">
        <f t="shared" si="70"/>
        <v>1.2741089514264747</v>
      </c>
      <c r="BZ109" s="51">
        <f t="shared" si="70"/>
        <v>1.2741089514264747</v>
      </c>
      <c r="CA109" s="51">
        <f t="shared" si="70"/>
        <v>1.2741089514264747</v>
      </c>
      <c r="CB109" s="51">
        <f t="shared" si="70"/>
        <v>1.2741089514264747</v>
      </c>
      <c r="CC109" s="51">
        <f t="shared" si="70"/>
        <v>1.2741089514264747</v>
      </c>
      <c r="CD109" s="51">
        <f t="shared" si="70"/>
        <v>1.2741089514264747</v>
      </c>
      <c r="CE109" s="51">
        <f t="shared" si="70"/>
        <v>1.2741089514264747</v>
      </c>
      <c r="CF109" s="51">
        <f t="shared" si="70"/>
        <v>1.2741089514264747</v>
      </c>
      <c r="CG109" s="51">
        <f t="shared" si="70"/>
        <v>1.2741089514264747</v>
      </c>
      <c r="CH109" s="51">
        <f t="shared" si="70"/>
        <v>1.2741089514264747</v>
      </c>
      <c r="CI109" s="51">
        <f t="shared" si="70"/>
        <v>1.2741089514264747</v>
      </c>
      <c r="CJ109" s="51">
        <f t="shared" si="70"/>
        <v>1.2741089514264747</v>
      </c>
      <c r="CK109" s="51">
        <f t="shared" si="70"/>
        <v>1.2741089514264747</v>
      </c>
    </row>
    <row r="110" spans="6:89" ht="14.4">
      <c r="F110" t="s">
        <v>13</v>
      </c>
      <c r="G110" s="51">
        <f t="shared" si="71" ref="G110:BR110">IF(G10="","",G10/$G10)</f>
        <v>1</v>
      </c>
      <c r="H110" s="51">
        <f t="shared" si="71"/>
        <v>1</v>
      </c>
      <c r="I110" s="51">
        <f t="shared" si="71"/>
        <v>1</v>
      </c>
      <c r="J110" s="51">
        <f t="shared" si="71"/>
        <v>1</v>
      </c>
      <c r="K110" s="51">
        <f t="shared" si="71"/>
        <v>1.03</v>
      </c>
      <c r="L110" s="51">
        <f t="shared" si="71"/>
        <v>0.8460744506701896</v>
      </c>
      <c r="M110" s="51">
        <f t="shared" si="71"/>
        <v>0.85291463236645504</v>
      </c>
      <c r="N110" s="51">
        <f t="shared" si="71"/>
        <v>0.85992333882432703</v>
      </c>
      <c r="O110" s="51">
        <f t="shared" si="71"/>
        <v>0.86710488970621713</v>
      </c>
      <c r="P110" s="51">
        <f t="shared" si="71"/>
        <v>0.87446360919081179</v>
      </c>
      <c r="Q110" s="51">
        <f t="shared" si="71"/>
        <v>0.88200404044732539</v>
      </c>
      <c r="R110" s="51">
        <f t="shared" si="71"/>
        <v>0.88973039163935241</v>
      </c>
      <c r="S110" s="51">
        <f t="shared" si="71"/>
        <v>0.89764761986420061</v>
      </c>
      <c r="T110" s="51">
        <f t="shared" si="71"/>
        <v>0.9057602251011112</v>
      </c>
      <c r="U110" s="51">
        <f t="shared" si="71"/>
        <v>0.91407321594012303</v>
      </c>
      <c r="V110" s="51">
        <f t="shared" si="71"/>
        <v>0.9225916657823795</v>
      </c>
      <c r="W110" s="51">
        <f t="shared" si="71"/>
        <v>0.93132081005322809</v>
      </c>
      <c r="X110" s="51">
        <f t="shared" si="71"/>
        <v>0.94026572563152833</v>
      </c>
      <c r="Y110" s="51">
        <f t="shared" si="71"/>
        <v>0.94943184483100185</v>
      </c>
      <c r="Z110" s="51">
        <f t="shared" si="71"/>
        <v>0.9588248352397658</v>
      </c>
      <c r="AA110" s="51">
        <f t="shared" si="71"/>
        <v>0.96845028324404081</v>
      </c>
      <c r="AB110" s="51">
        <f t="shared" si="71"/>
        <v>0.97831399244089801</v>
      </c>
      <c r="AC110" s="51">
        <f t="shared" si="71"/>
        <v>0.98842197017241507</v>
      </c>
      <c r="AD110" s="51">
        <f t="shared" si="71"/>
        <v>0.99878031598763095</v>
      </c>
      <c r="AE110" s="51">
        <f t="shared" si="71"/>
        <v>1.0093953104611659</v>
      </c>
      <c r="AF110" s="51">
        <f t="shared" si="71"/>
        <v>1.020273402738372</v>
      </c>
      <c r="AG110" s="51">
        <f t="shared" si="71"/>
        <v>1.0314211984250543</v>
      </c>
      <c r="AH110" s="51">
        <f t="shared" si="71"/>
        <v>1.0428453524658381</v>
      </c>
      <c r="AI110" s="51">
        <f t="shared" si="71"/>
        <v>1.0545529398554954</v>
      </c>
      <c r="AJ110" s="51">
        <f t="shared" si="71"/>
        <v>1.0665509639926971</v>
      </c>
      <c r="AK110" s="51">
        <f t="shared" si="71"/>
        <v>1.0788469120287201</v>
      </c>
      <c r="AL110" s="51">
        <f t="shared" si="71"/>
        <v>1.0914480830960023</v>
      </c>
      <c r="AM110" s="51">
        <f t="shared" si="71"/>
        <v>1.1043623223536829</v>
      </c>
      <c r="AN110" s="51">
        <f t="shared" si="71"/>
        <v>1.1043623223536829</v>
      </c>
      <c r="AO110" s="51">
        <f t="shared" si="71"/>
        <v>1.1043623223536829</v>
      </c>
      <c r="AP110" s="51">
        <f t="shared" si="71"/>
        <v>1.1043623223536829</v>
      </c>
      <c r="AQ110" s="51">
        <f t="shared" si="71"/>
        <v>1.1043623223536829</v>
      </c>
      <c r="AR110" s="51">
        <f t="shared" si="71"/>
        <v>1.1043623223536829</v>
      </c>
      <c r="AS110" s="51">
        <f t="shared" si="71"/>
        <v>1.1043623223536829</v>
      </c>
      <c r="AT110" s="51">
        <f t="shared" si="71"/>
        <v>1.1043623223536829</v>
      </c>
      <c r="AU110" s="51">
        <f t="shared" si="71"/>
        <v>1.1043623223536829</v>
      </c>
      <c r="AV110" s="51">
        <f t="shared" si="71"/>
        <v>1.1043623223536829</v>
      </c>
      <c r="AW110" s="51">
        <f t="shared" si="71"/>
        <v>1.1043623223536829</v>
      </c>
      <c r="AX110" s="51">
        <f t="shared" si="71"/>
        <v>1.1043623223536829</v>
      </c>
      <c r="AY110" s="51">
        <f t="shared" si="71"/>
        <v>1.1043623223536829</v>
      </c>
      <c r="AZ110" s="51">
        <f t="shared" si="71"/>
        <v>1.1043623223536829</v>
      </c>
      <c r="BA110" s="51">
        <f t="shared" si="71"/>
        <v>1.1043623223536829</v>
      </c>
      <c r="BB110" s="51">
        <f t="shared" si="71"/>
        <v>1.1043623223536829</v>
      </c>
      <c r="BC110" s="51">
        <f t="shared" si="71"/>
        <v>1.1043623223536829</v>
      </c>
      <c r="BD110" s="51">
        <f t="shared" si="71"/>
        <v>1.1043623223536829</v>
      </c>
      <c r="BE110" s="51">
        <f t="shared" si="71"/>
        <v>1.1043623223536829</v>
      </c>
      <c r="BF110" s="51">
        <f t="shared" si="71"/>
        <v>1.1043623223536829</v>
      </c>
      <c r="BG110" s="51">
        <f t="shared" si="71"/>
        <v>1.1043623223536829</v>
      </c>
      <c r="BH110" s="51">
        <f t="shared" si="71"/>
        <v>1.1043623223536829</v>
      </c>
      <c r="BI110" s="51">
        <f t="shared" si="71"/>
        <v>1.1043623223536829</v>
      </c>
      <c r="BJ110" s="51">
        <f t="shared" si="71"/>
        <v>1.1043623223536829</v>
      </c>
      <c r="BK110" s="51">
        <f t="shared" si="71"/>
        <v>1.1043623223536829</v>
      </c>
      <c r="BL110" s="51">
        <f t="shared" si="71"/>
        <v>1.1043623223536829</v>
      </c>
      <c r="BM110" s="51">
        <f t="shared" si="71"/>
        <v>1.1043623223536829</v>
      </c>
      <c r="BN110" s="51">
        <f t="shared" si="71"/>
        <v>1.1043623223536829</v>
      </c>
      <c r="BO110" s="51">
        <f t="shared" si="71"/>
        <v>1.1043623223536829</v>
      </c>
      <c r="BP110" s="51">
        <f t="shared" si="71"/>
        <v>1.1043623223536829</v>
      </c>
      <c r="BQ110" s="51">
        <f t="shared" si="71"/>
        <v>1.1043623223536829</v>
      </c>
      <c r="BR110" s="51">
        <f t="shared" si="71"/>
        <v>1.1043623223536829</v>
      </c>
      <c r="BS110" s="51">
        <f t="shared" si="72" ref="BS110:CK110">IF(BS10="","",BS10/$G10)</f>
        <v>1.1043623223536829</v>
      </c>
      <c r="BT110" s="51">
        <f t="shared" si="72"/>
        <v>1.1043623223536829</v>
      </c>
      <c r="BU110" s="51">
        <f t="shared" si="72"/>
        <v>1.1043623223536829</v>
      </c>
      <c r="BV110" s="51">
        <f t="shared" si="72"/>
        <v>1.1043623223536829</v>
      </c>
      <c r="BW110" s="51">
        <f t="shared" si="72"/>
        <v>1.1043623223536829</v>
      </c>
      <c r="BX110" s="51">
        <f t="shared" si="72"/>
        <v>1.1043623223536829</v>
      </c>
      <c r="BY110" s="51">
        <f t="shared" si="72"/>
        <v>1.1043623223536829</v>
      </c>
      <c r="BZ110" s="51">
        <f t="shared" si="72"/>
        <v>1.1043623223536829</v>
      </c>
      <c r="CA110" s="51">
        <f t="shared" si="72"/>
        <v>1.1043623223536829</v>
      </c>
      <c r="CB110" s="51">
        <f t="shared" si="72"/>
        <v>1.1043623223536829</v>
      </c>
      <c r="CC110" s="51">
        <f t="shared" si="72"/>
        <v>1.1043623223536829</v>
      </c>
      <c r="CD110" s="51">
        <f t="shared" si="72"/>
        <v>1.1043623223536829</v>
      </c>
      <c r="CE110" s="51">
        <f t="shared" si="72"/>
        <v>1.1043623223536829</v>
      </c>
      <c r="CF110" s="51">
        <f t="shared" si="72"/>
        <v>1.1043623223536829</v>
      </c>
      <c r="CG110" s="51">
        <f t="shared" si="72"/>
        <v>1.1043623223536829</v>
      </c>
      <c r="CH110" s="51">
        <f t="shared" si="72"/>
        <v>1.1043623223536829</v>
      </c>
      <c r="CI110" s="51">
        <f t="shared" si="72"/>
        <v>1.1043623223536829</v>
      </c>
      <c r="CJ110" s="51">
        <f t="shared" si="72"/>
        <v>1.1043623223536829</v>
      </c>
      <c r="CK110" s="51">
        <f t="shared" si="72"/>
        <v>1.1043623223536829</v>
      </c>
    </row>
    <row r="111" spans="6:89" ht="14.4">
      <c r="F111" s="89" t="s">
        <v>209</v>
      </c>
      <c r="G111" s="51">
        <f t="shared" si="73" ref="G111:BR111">IF(G11="","",G11/$G11)</f>
        <v>1</v>
      </c>
      <c r="H111" s="51">
        <f t="shared" si="73"/>
        <v>1</v>
      </c>
      <c r="I111" s="51">
        <f t="shared" si="73"/>
        <v>1</v>
      </c>
      <c r="J111" s="51">
        <f t="shared" si="73"/>
        <v>1</v>
      </c>
      <c r="K111" s="51">
        <f t="shared" si="73"/>
        <v>1.03</v>
      </c>
      <c r="L111" s="51">
        <f t="shared" si="73"/>
        <v>1.0195149867229134</v>
      </c>
      <c r="M111" s="51">
        <f t="shared" si="73"/>
        <v>1.0392671840991035</v>
      </c>
      <c r="N111" s="51">
        <f t="shared" si="73"/>
        <v>1.0580451868174945</v>
      </c>
      <c r="O111" s="51">
        <f t="shared" si="73"/>
        <v>1.0759373477923879</v>
      </c>
      <c r="P111" s="51">
        <f t="shared" si="73"/>
        <v>1.092939449357091</v>
      </c>
      <c r="Q111" s="51">
        <f t="shared" si="73"/>
        <v>1.1092306146165438</v>
      </c>
      <c r="R111" s="51">
        <f t="shared" si="73"/>
        <v>1.1250067014412972</v>
      </c>
      <c r="S111" s="51">
        <f t="shared" si="73"/>
        <v>1.1402233293512973</v>
      </c>
      <c r="T111" s="51">
        <f t="shared" si="73"/>
        <v>1.1549783774322973</v>
      </c>
      <c r="U111" s="51">
        <f t="shared" si="73"/>
        <v>1.1692301450699858</v>
      </c>
      <c r="V111" s="51">
        <f t="shared" si="73"/>
        <v>1.1830448755707537</v>
      </c>
      <c r="W111" s="51">
        <f t="shared" si="73"/>
        <v>1.1964525674152326</v>
      </c>
      <c r="X111" s="51">
        <f t="shared" si="73"/>
        <v>1.2093686876853367</v>
      </c>
      <c r="Y111" s="51">
        <f t="shared" si="73"/>
        <v>1.2217478192733058</v>
      </c>
      <c r="Z111" s="51">
        <f t="shared" si="73"/>
        <v>1.2335390237969499</v>
      </c>
      <c r="AA111" s="51">
        <f t="shared" si="73"/>
        <v>1.2447067020395173</v>
      </c>
      <c r="AB111" s="51">
        <f t="shared" si="73"/>
        <v>1.2551545455848507</v>
      </c>
      <c r="AC111" s="51">
        <f t="shared" si="73"/>
        <v>1.2648222787014027</v>
      </c>
      <c r="AD111" s="51">
        <f t="shared" si="73"/>
        <v>1.2736755076670436</v>
      </c>
      <c r="AE111" s="51">
        <f t="shared" si="73"/>
        <v>1.2816406945165042</v>
      </c>
      <c r="AF111" s="51">
        <f t="shared" si="73"/>
        <v>1.2886246260341236</v>
      </c>
      <c r="AG111" s="51">
        <f t="shared" si="73"/>
        <v>1.2944509898798497</v>
      </c>
      <c r="AH111" s="51">
        <f t="shared" si="73"/>
        <v>1.2990606618713652</v>
      </c>
      <c r="AI111" s="51">
        <f t="shared" si="73"/>
        <v>1.3024149571655343</v>
      </c>
      <c r="AJ111" s="51">
        <f t="shared" si="73"/>
        <v>1.3044273813733631</v>
      </c>
      <c r="AK111" s="51">
        <f t="shared" si="73"/>
        <v>1.3050333279637685</v>
      </c>
      <c r="AL111" s="51">
        <f t="shared" si="73"/>
        <v>1.3040953070804253</v>
      </c>
      <c r="AM111" s="51">
        <f t="shared" si="73"/>
        <v>1.3015875158493087</v>
      </c>
      <c r="AN111" s="51">
        <f t="shared" si="73"/>
        <v>1.3015875158493087</v>
      </c>
      <c r="AO111" s="51">
        <f t="shared" si="73"/>
        <v>1.3015875158493087</v>
      </c>
      <c r="AP111" s="51">
        <f t="shared" si="73"/>
        <v>1.3015875158493087</v>
      </c>
      <c r="AQ111" s="51">
        <f t="shared" si="73"/>
        <v>1.3015875158493087</v>
      </c>
      <c r="AR111" s="51">
        <f t="shared" si="73"/>
        <v>1.3015875158493087</v>
      </c>
      <c r="AS111" s="51">
        <f t="shared" si="73"/>
        <v>1.3015875158493087</v>
      </c>
      <c r="AT111" s="51">
        <f t="shared" si="73"/>
        <v>1.3015875158493087</v>
      </c>
      <c r="AU111" s="51">
        <f t="shared" si="73"/>
        <v>1.3015875158493087</v>
      </c>
      <c r="AV111" s="51">
        <f t="shared" si="73"/>
        <v>1.3015875158493087</v>
      </c>
      <c r="AW111" s="51">
        <f t="shared" si="73"/>
        <v>1.3015875158493087</v>
      </c>
      <c r="AX111" s="51">
        <f t="shared" si="73"/>
        <v>1.3015875158493087</v>
      </c>
      <c r="AY111" s="51">
        <f t="shared" si="73"/>
        <v>1.3015875158493087</v>
      </c>
      <c r="AZ111" s="51">
        <f t="shared" si="73"/>
        <v>1.3015875158493087</v>
      </c>
      <c r="BA111" s="51">
        <f t="shared" si="73"/>
        <v>1.3015875158493087</v>
      </c>
      <c r="BB111" s="51">
        <f t="shared" si="73"/>
        <v>1.3015875158493087</v>
      </c>
      <c r="BC111" s="51">
        <f t="shared" si="73"/>
        <v>1.3015875158493087</v>
      </c>
      <c r="BD111" s="51">
        <f t="shared" si="73"/>
        <v>1.3015875158493087</v>
      </c>
      <c r="BE111" s="51">
        <f t="shared" si="73"/>
        <v>1.3015875158493087</v>
      </c>
      <c r="BF111" s="51">
        <f t="shared" si="73"/>
        <v>1.3015875158493087</v>
      </c>
      <c r="BG111" s="51">
        <f t="shared" si="73"/>
        <v>1.3015875158493087</v>
      </c>
      <c r="BH111" s="51">
        <f t="shared" si="73"/>
        <v>1.3015875158493087</v>
      </c>
      <c r="BI111" s="51">
        <f t="shared" si="73"/>
        <v>1.3015875158493087</v>
      </c>
      <c r="BJ111" s="51">
        <f t="shared" si="73"/>
        <v>1.3015875158493087</v>
      </c>
      <c r="BK111" s="51">
        <f t="shared" si="73"/>
        <v>1.3015875158493087</v>
      </c>
      <c r="BL111" s="51">
        <f t="shared" si="73"/>
        <v>1.3015875158493087</v>
      </c>
      <c r="BM111" s="51">
        <f t="shared" si="73"/>
        <v>1.3015875158493087</v>
      </c>
      <c r="BN111" s="51">
        <f t="shared" si="73"/>
        <v>1.3015875158493087</v>
      </c>
      <c r="BO111" s="51">
        <f t="shared" si="73"/>
        <v>1.3015875158493087</v>
      </c>
      <c r="BP111" s="51">
        <f t="shared" si="73"/>
        <v>1.3015875158493087</v>
      </c>
      <c r="BQ111" s="51">
        <f t="shared" si="73"/>
        <v>1.3015875158493087</v>
      </c>
      <c r="BR111" s="51">
        <f t="shared" si="73"/>
        <v>1.3015875158493087</v>
      </c>
      <c r="BS111" s="51">
        <f t="shared" si="74" ref="BS111:CK111">IF(BS11="","",BS11/$G11)</f>
        <v>1.3015875158493087</v>
      </c>
      <c r="BT111" s="51">
        <f t="shared" si="74"/>
        <v>1.3015875158493087</v>
      </c>
      <c r="BU111" s="51">
        <f t="shared" si="74"/>
        <v>1.3015875158493087</v>
      </c>
      <c r="BV111" s="51">
        <f t="shared" si="74"/>
        <v>1.3015875158493087</v>
      </c>
      <c r="BW111" s="51">
        <f t="shared" si="74"/>
        <v>1.3015875158493087</v>
      </c>
      <c r="BX111" s="51">
        <f t="shared" si="74"/>
        <v>1.3015875158493087</v>
      </c>
      <c r="BY111" s="51">
        <f t="shared" si="74"/>
        <v>1.3015875158493087</v>
      </c>
      <c r="BZ111" s="51">
        <f t="shared" si="74"/>
        <v>1.3015875158493087</v>
      </c>
      <c r="CA111" s="51">
        <f t="shared" si="74"/>
        <v>1.3015875158493087</v>
      </c>
      <c r="CB111" s="51">
        <f t="shared" si="74"/>
        <v>1.3015875158493087</v>
      </c>
      <c r="CC111" s="51">
        <f t="shared" si="74"/>
        <v>1.3015875158493087</v>
      </c>
      <c r="CD111" s="51">
        <f t="shared" si="74"/>
        <v>1.3015875158493087</v>
      </c>
      <c r="CE111" s="51">
        <f t="shared" si="74"/>
        <v>1.3015875158493087</v>
      </c>
      <c r="CF111" s="51">
        <f t="shared" si="74"/>
        <v>1.3015875158493087</v>
      </c>
      <c r="CG111" s="51">
        <f t="shared" si="74"/>
        <v>1.3015875158493087</v>
      </c>
      <c r="CH111" s="51">
        <f t="shared" si="74"/>
        <v>1.3015875158493087</v>
      </c>
      <c r="CI111" s="51">
        <f t="shared" si="74"/>
        <v>1.3015875158493087</v>
      </c>
      <c r="CJ111" s="51">
        <f t="shared" si="74"/>
        <v>1.3015875158493087</v>
      </c>
      <c r="CK111" s="51">
        <f t="shared" si="74"/>
        <v>1.3015875158493087</v>
      </c>
    </row>
    <row r="112" spans="6:89" ht="14.4">
      <c r="F112" s="89" t="s">
        <v>210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</row>
    <row r="113" spans="6:89" ht="14.4">
      <c r="F113" t="s">
        <v>27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</row>
    <row r="114" spans="6:89" ht="14.4">
      <c r="F114" t="s">
        <v>29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</row>
    <row r="115" spans="6:89" ht="14.4">
      <c r="F115" t="s">
        <v>31</v>
      </c>
      <c r="G115" s="51">
        <f t="shared" si="75" ref="G115:BR115">IF(G15="","",G15/$G15)</f>
        <v>1</v>
      </c>
      <c r="H115" s="51">
        <f t="shared" si="75"/>
        <v>1</v>
      </c>
      <c r="I115" s="51">
        <f t="shared" si="75"/>
        <v>1</v>
      </c>
      <c r="J115" s="51">
        <f t="shared" si="75"/>
        <v>1</v>
      </c>
      <c r="K115" s="51">
        <f t="shared" si="75"/>
        <v>1</v>
      </c>
      <c r="L115" s="51">
        <f t="shared" si="75"/>
        <v>1</v>
      </c>
      <c r="M115" s="51">
        <f t="shared" si="75"/>
        <v>1</v>
      </c>
      <c r="N115" s="51">
        <f t="shared" si="75"/>
        <v>1</v>
      </c>
      <c r="O115" s="51">
        <f t="shared" si="75"/>
        <v>1</v>
      </c>
      <c r="P115" s="51">
        <f t="shared" si="75"/>
        <v>1</v>
      </c>
      <c r="Q115" s="51">
        <f t="shared" si="75"/>
        <v>1</v>
      </c>
      <c r="R115" s="51">
        <f t="shared" si="75"/>
        <v>1</v>
      </c>
      <c r="S115" s="51">
        <f t="shared" si="75"/>
        <v>1</v>
      </c>
      <c r="T115" s="51">
        <f t="shared" si="75"/>
        <v>1</v>
      </c>
      <c r="U115" s="51">
        <f t="shared" si="75"/>
        <v>1</v>
      </c>
      <c r="V115" s="51">
        <f t="shared" si="75"/>
        <v>1</v>
      </c>
      <c r="W115" s="51">
        <f t="shared" si="75"/>
        <v>1</v>
      </c>
      <c r="X115" s="51">
        <f t="shared" si="75"/>
        <v>1</v>
      </c>
      <c r="Y115" s="51">
        <f t="shared" si="75"/>
        <v>1</v>
      </c>
      <c r="Z115" s="51">
        <f t="shared" si="75"/>
        <v>1</v>
      </c>
      <c r="AA115" s="51">
        <f t="shared" si="75"/>
        <v>1</v>
      </c>
      <c r="AB115" s="51">
        <f t="shared" si="75"/>
        <v>1</v>
      </c>
      <c r="AC115" s="51">
        <f t="shared" si="75"/>
        <v>1</v>
      </c>
      <c r="AD115" s="51">
        <f t="shared" si="75"/>
        <v>1</v>
      </c>
      <c r="AE115" s="51">
        <f t="shared" si="75"/>
        <v>1</v>
      </c>
      <c r="AF115" s="51">
        <f t="shared" si="75"/>
        <v>1</v>
      </c>
      <c r="AG115" s="51">
        <f t="shared" si="75"/>
        <v>1</v>
      </c>
      <c r="AH115" s="51">
        <f t="shared" si="75"/>
        <v>1</v>
      </c>
      <c r="AI115" s="51">
        <f t="shared" si="75"/>
        <v>1</v>
      </c>
      <c r="AJ115" s="51">
        <f t="shared" si="75"/>
        <v>1</v>
      </c>
      <c r="AK115" s="51">
        <f t="shared" si="75"/>
        <v>1</v>
      </c>
      <c r="AL115" s="51">
        <f t="shared" si="75"/>
        <v>1</v>
      </c>
      <c r="AM115" s="51">
        <f t="shared" si="75"/>
        <v>1</v>
      </c>
      <c r="AN115" s="51">
        <f t="shared" si="75"/>
        <v>1</v>
      </c>
      <c r="AO115" s="51">
        <f t="shared" si="75"/>
        <v>1</v>
      </c>
      <c r="AP115" s="51">
        <f t="shared" si="75"/>
        <v>1</v>
      </c>
      <c r="AQ115" s="51">
        <f t="shared" si="75"/>
        <v>1</v>
      </c>
      <c r="AR115" s="51">
        <f t="shared" si="75"/>
        <v>1</v>
      </c>
      <c r="AS115" s="51">
        <f t="shared" si="75"/>
        <v>1</v>
      </c>
      <c r="AT115" s="51">
        <f t="shared" si="75"/>
        <v>1</v>
      </c>
      <c r="AU115" s="51">
        <f t="shared" si="75"/>
        <v>1</v>
      </c>
      <c r="AV115" s="51">
        <f t="shared" si="75"/>
        <v>1</v>
      </c>
      <c r="AW115" s="51">
        <f t="shared" si="75"/>
        <v>1</v>
      </c>
      <c r="AX115" s="51">
        <f t="shared" si="75"/>
        <v>1</v>
      </c>
      <c r="AY115" s="51">
        <f t="shared" si="75"/>
        <v>1</v>
      </c>
      <c r="AZ115" s="51">
        <f t="shared" si="75"/>
        <v>1</v>
      </c>
      <c r="BA115" s="51">
        <f t="shared" si="75"/>
        <v>1</v>
      </c>
      <c r="BB115" s="51">
        <f t="shared" si="75"/>
        <v>1</v>
      </c>
      <c r="BC115" s="51">
        <f t="shared" si="75"/>
        <v>1</v>
      </c>
      <c r="BD115" s="51">
        <f t="shared" si="75"/>
        <v>1</v>
      </c>
      <c r="BE115" s="51">
        <f t="shared" si="75"/>
        <v>1</v>
      </c>
      <c r="BF115" s="51">
        <f t="shared" si="75"/>
        <v>1</v>
      </c>
      <c r="BG115" s="51">
        <f t="shared" si="75"/>
        <v>1</v>
      </c>
      <c r="BH115" s="51">
        <f t="shared" si="75"/>
        <v>1</v>
      </c>
      <c r="BI115" s="51">
        <f t="shared" si="75"/>
        <v>1</v>
      </c>
      <c r="BJ115" s="51">
        <f t="shared" si="75"/>
        <v>1</v>
      </c>
      <c r="BK115" s="51">
        <f t="shared" si="75"/>
        <v>1</v>
      </c>
      <c r="BL115" s="51">
        <f t="shared" si="75"/>
        <v>1</v>
      </c>
      <c r="BM115" s="51">
        <f t="shared" si="75"/>
        <v>1</v>
      </c>
      <c r="BN115" s="51">
        <f t="shared" si="75"/>
        <v>1</v>
      </c>
      <c r="BO115" s="51">
        <f t="shared" si="75"/>
        <v>1</v>
      </c>
      <c r="BP115" s="51">
        <f t="shared" si="75"/>
        <v>1</v>
      </c>
      <c r="BQ115" s="51">
        <f t="shared" si="75"/>
        <v>1</v>
      </c>
      <c r="BR115" s="51">
        <f t="shared" si="75"/>
        <v>1</v>
      </c>
      <c r="BS115" s="51">
        <f t="shared" si="76" ref="BS115:CK115">IF(BS15="","",BS15/$G15)</f>
        <v>1</v>
      </c>
      <c r="BT115" s="51">
        <f t="shared" si="76"/>
        <v>1</v>
      </c>
      <c r="BU115" s="51">
        <f t="shared" si="76"/>
        <v>1</v>
      </c>
      <c r="BV115" s="51">
        <f t="shared" si="76"/>
        <v>1</v>
      </c>
      <c r="BW115" s="51">
        <f t="shared" si="76"/>
        <v>1</v>
      </c>
      <c r="BX115" s="51">
        <f t="shared" si="76"/>
        <v>1</v>
      </c>
      <c r="BY115" s="51">
        <f t="shared" si="76"/>
        <v>1</v>
      </c>
      <c r="BZ115" s="51">
        <f t="shared" si="76"/>
        <v>1</v>
      </c>
      <c r="CA115" s="51">
        <f t="shared" si="76"/>
        <v>1</v>
      </c>
      <c r="CB115" s="51">
        <f t="shared" si="76"/>
        <v>1</v>
      </c>
      <c r="CC115" s="51">
        <f t="shared" si="76"/>
        <v>1</v>
      </c>
      <c r="CD115" s="51">
        <f t="shared" si="76"/>
        <v>1</v>
      </c>
      <c r="CE115" s="51">
        <f t="shared" si="76"/>
        <v>1</v>
      </c>
      <c r="CF115" s="51">
        <f t="shared" si="76"/>
        <v>1</v>
      </c>
      <c r="CG115" s="51">
        <f t="shared" si="76"/>
        <v>1</v>
      </c>
      <c r="CH115" s="51">
        <f t="shared" si="76"/>
        <v>1</v>
      </c>
      <c r="CI115" s="51">
        <f t="shared" si="76"/>
        <v>1</v>
      </c>
      <c r="CJ115" s="51">
        <f t="shared" si="76"/>
        <v>1</v>
      </c>
      <c r="CK115" s="51">
        <f t="shared" si="76"/>
        <v>1</v>
      </c>
    </row>
    <row r="116" spans="6:89" ht="14.4">
      <c r="F116" t="s">
        <v>33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</row>
    <row r="117" spans="6:89" ht="14.4">
      <c r="F117" t="s">
        <v>35</v>
      </c>
      <c r="G117" s="51">
        <f t="shared" si="77" ref="G117:BR117">IF(G17="","",G17/$G17)</f>
        <v>1</v>
      </c>
      <c r="H117" s="51">
        <f t="shared" si="77"/>
        <v>1.021972033474984</v>
      </c>
      <c r="I117" s="51">
        <f t="shared" si="77"/>
        <v>0.73927431635075913</v>
      </c>
      <c r="J117" s="51">
        <f t="shared" si="77"/>
        <v>0.93239851083296788</v>
      </c>
      <c r="K117" s="51">
        <f t="shared" si="77"/>
        <v>0.96566345454649427</v>
      </c>
      <c r="L117" s="51">
        <f t="shared" si="77"/>
        <v>0.96918103951971146</v>
      </c>
      <c r="M117" s="51">
        <f t="shared" si="77"/>
        <v>0.98129580251370785</v>
      </c>
      <c r="N117" s="51">
        <f t="shared" si="77"/>
        <v>0.99356200004512918</v>
      </c>
      <c r="O117" s="51">
        <f t="shared" si="77"/>
        <v>1.0059815250456932</v>
      </c>
      <c r="P117" s="51">
        <f t="shared" si="77"/>
        <v>1.0185562941087645</v>
      </c>
      <c r="Q117" s="51">
        <f t="shared" si="77"/>
        <v>1.031288247785124</v>
      </c>
      <c r="R117" s="51">
        <f t="shared" si="77"/>
        <v>1.044179350882438</v>
      </c>
      <c r="S117" s="51">
        <f t="shared" si="77"/>
        <v>1.0572315927684683</v>
      </c>
      <c r="T117" s="51">
        <f t="shared" si="77"/>
        <v>1.070446987678074</v>
      </c>
      <c r="U117" s="51">
        <f t="shared" si="77"/>
        <v>1.08382757502405</v>
      </c>
      <c r="V117" s="51">
        <f t="shared" si="77"/>
        <v>1.0973754197118506</v>
      </c>
      <c r="W117" s="51">
        <f t="shared" si="77"/>
        <v>1.1110926124582485</v>
      </c>
      <c r="X117" s="51">
        <f t="shared" si="77"/>
        <v>1.1249812701139768</v>
      </c>
      <c r="Y117" s="51">
        <f t="shared" si="77"/>
        <v>1.1390435359904014</v>
      </c>
      <c r="Z117" s="51">
        <f t="shared" si="77"/>
        <v>1.1532815801902812</v>
      </c>
      <c r="AA117" s="51">
        <f t="shared" si="77"/>
        <v>1.1676975999426595</v>
      </c>
      <c r="AB117" s="51">
        <f t="shared" si="77"/>
        <v>1.1822938199419428</v>
      </c>
      <c r="AC117" s="51">
        <f t="shared" si="77"/>
        <v>1.1970724926912171</v>
      </c>
      <c r="AD117" s="51">
        <f t="shared" si="77"/>
        <v>1.2120358988498572</v>
      </c>
      <c r="AE117" s="51">
        <f t="shared" si="77"/>
        <v>1.2271863475854803</v>
      </c>
      <c r="AF117" s="51">
        <f t="shared" si="77"/>
        <v>1.2425261769302987</v>
      </c>
      <c r="AG117" s="51">
        <f t="shared" si="77"/>
        <v>1.2580577541419273</v>
      </c>
      <c r="AH117" s="51">
        <f t="shared" si="77"/>
        <v>1.2737834760687015</v>
      </c>
      <c r="AI117" s="51">
        <f t="shared" si="77"/>
        <v>1.2897057695195602</v>
      </c>
      <c r="AJ117" s="51">
        <f t="shared" si="77"/>
        <v>1.3058270916385546</v>
      </c>
      <c r="AK117" s="51">
        <f t="shared" si="77"/>
        <v>1.3221499302840365</v>
      </c>
      <c r="AL117" s="51">
        <f t="shared" si="77"/>
        <v>1.3386768044125867</v>
      </c>
      <c r="AM117" s="51">
        <f t="shared" si="77"/>
        <v>1.3554102644677442</v>
      </c>
      <c r="AN117" s="51" t="str">
        <f t="shared" si="77"/>
        <v/>
      </c>
      <c r="AO117" s="51" t="str">
        <f t="shared" si="77"/>
        <v/>
      </c>
      <c r="AP117" s="51" t="str">
        <f t="shared" si="77"/>
        <v/>
      </c>
      <c r="AQ117" s="51" t="str">
        <f t="shared" si="77"/>
        <v/>
      </c>
      <c r="AR117" s="51">
        <f t="shared" si="77"/>
        <v>1.4913483128508576</v>
      </c>
      <c r="AS117" s="51" t="str">
        <f t="shared" si="77"/>
        <v/>
      </c>
      <c r="AT117" s="51" t="str">
        <f t="shared" si="77"/>
        <v/>
      </c>
      <c r="AU117" s="51" t="str">
        <f t="shared" si="77"/>
        <v/>
      </c>
      <c r="AV117" s="51" t="str">
        <f t="shared" si="77"/>
        <v/>
      </c>
      <c r="AW117" s="51">
        <f t="shared" si="77"/>
        <v>1.5315634538922362</v>
      </c>
      <c r="AX117" s="51" t="str">
        <f t="shared" si="77"/>
        <v/>
      </c>
      <c r="AY117" s="51" t="str">
        <f t="shared" si="77"/>
        <v/>
      </c>
      <c r="AZ117" s="51" t="str">
        <f t="shared" si="77"/>
        <v/>
      </c>
      <c r="BA117" s="51" t="str">
        <f t="shared" si="77"/>
        <v/>
      </c>
      <c r="BB117" s="51">
        <f t="shared" si="77"/>
        <v>1.554897710985425</v>
      </c>
      <c r="BC117" s="51" t="str">
        <f t="shared" si="77"/>
        <v/>
      </c>
      <c r="BD117" s="51" t="str">
        <f t="shared" si="77"/>
        <v/>
      </c>
      <c r="BE117" s="51" t="str">
        <f t="shared" si="77"/>
        <v/>
      </c>
      <c r="BF117" s="51" t="str">
        <f t="shared" si="77"/>
        <v/>
      </c>
      <c r="BG117" s="51">
        <f t="shared" si="77"/>
        <v>1.5799422315427705</v>
      </c>
      <c r="BH117" s="51" t="str">
        <f t="shared" si="77"/>
        <v/>
      </c>
      <c r="BI117" s="51" t="str">
        <f t="shared" si="77"/>
        <v/>
      </c>
      <c r="BJ117" s="51" t="str">
        <f t="shared" si="77"/>
        <v/>
      </c>
      <c r="BK117" s="51" t="str">
        <f t="shared" si="77"/>
        <v/>
      </c>
      <c r="BL117" s="51">
        <f t="shared" si="77"/>
        <v>1.6089077166870138</v>
      </c>
      <c r="BM117" s="51" t="str">
        <f t="shared" si="77"/>
        <v/>
      </c>
      <c r="BN117" s="51" t="str">
        <f t="shared" si="77"/>
        <v/>
      </c>
      <c r="BO117" s="51" t="str">
        <f t="shared" si="77"/>
        <v/>
      </c>
      <c r="BP117" s="51" t="str">
        <f t="shared" si="77"/>
        <v/>
      </c>
      <c r="BQ117" s="51">
        <f t="shared" si="77"/>
        <v>1.6429570344541662</v>
      </c>
      <c r="BR117" s="51" t="str">
        <f t="shared" si="77"/>
        <v/>
      </c>
      <c r="BS117" s="51" t="str">
        <f t="shared" si="78" ref="BS117:CK117">IF(BS17="","",BS17/$G17)</f>
        <v/>
      </c>
      <c r="BT117" s="51" t="str">
        <f t="shared" si="78"/>
        <v/>
      </c>
      <c r="BU117" s="51" t="str">
        <f t="shared" si="78"/>
        <v/>
      </c>
      <c r="BV117" s="51">
        <f t="shared" si="78"/>
        <v>1.6816801970276056</v>
      </c>
      <c r="BW117" s="51" t="str">
        <f t="shared" si="78"/>
        <v/>
      </c>
      <c r="BX117" s="51" t="str">
        <f t="shared" si="78"/>
        <v/>
      </c>
      <c r="BY117" s="51" t="str">
        <f t="shared" si="78"/>
        <v/>
      </c>
      <c r="BZ117" s="51" t="str">
        <f t="shared" si="78"/>
        <v/>
      </c>
      <c r="CA117" s="51">
        <f t="shared" si="78"/>
        <v>1.7229086565393272</v>
      </c>
      <c r="CB117" s="51" t="str">
        <f t="shared" si="78"/>
        <v/>
      </c>
      <c r="CC117" s="51" t="str">
        <f t="shared" si="78"/>
        <v/>
      </c>
      <c r="CD117" s="51" t="str">
        <f t="shared" si="78"/>
        <v/>
      </c>
      <c r="CE117" s="51" t="str">
        <f t="shared" si="78"/>
        <v/>
      </c>
      <c r="CF117" s="51">
        <f t="shared" si="78"/>
        <v>1.7641613585587648</v>
      </c>
      <c r="CG117" s="51" t="str">
        <f t="shared" si="78"/>
        <v/>
      </c>
      <c r="CH117" s="51" t="str">
        <f t="shared" si="78"/>
        <v/>
      </c>
      <c r="CI117" s="51" t="str">
        <f t="shared" si="78"/>
        <v/>
      </c>
      <c r="CJ117" s="51" t="str">
        <f t="shared" si="78"/>
        <v/>
      </c>
      <c r="CK117" s="51">
        <f t="shared" si="78"/>
        <v>1.8054719440104328</v>
      </c>
    </row>
    <row r="118" spans="6:89" ht="14.4">
      <c r="F118" t="s">
        <v>37</v>
      </c>
      <c r="G118" s="51">
        <f t="shared" si="79" ref="G118:BR118">IF(G18="","",G18/$G18)</f>
        <v>1</v>
      </c>
      <c r="H118" s="51">
        <f t="shared" si="79"/>
        <v>1.0226414888665605</v>
      </c>
      <c r="I118" s="51">
        <f t="shared" si="79"/>
        <v>0.73975858737719591</v>
      </c>
      <c r="J118" s="51">
        <f t="shared" si="79"/>
        <v>0.88577858529131948</v>
      </c>
      <c r="K118" s="51">
        <f t="shared" si="79"/>
        <v>0.96566345454649427</v>
      </c>
      <c r="L118" s="51">
        <f t="shared" si="79"/>
        <v>0.96918103951971146</v>
      </c>
      <c r="M118" s="51">
        <f t="shared" si="79"/>
        <v>0.98371875511250706</v>
      </c>
      <c r="N118" s="51">
        <f t="shared" si="79"/>
        <v>0.99847453643919459</v>
      </c>
      <c r="O118" s="51">
        <f t="shared" si="79"/>
        <v>1.0134516544857823</v>
      </c>
      <c r="P118" s="51">
        <f t="shared" si="79"/>
        <v>1.0286534293030689</v>
      </c>
      <c r="Q118" s="51">
        <f t="shared" si="79"/>
        <v>1.0440832307426151</v>
      </c>
      <c r="R118" s="51">
        <f t="shared" si="79"/>
        <v>1.0597444792037543</v>
      </c>
      <c r="S118" s="51">
        <f t="shared" si="79"/>
        <v>1.0756406463918105</v>
      </c>
      <c r="T118" s="51">
        <f t="shared" si="79"/>
        <v>1.0917752560876874</v>
      </c>
      <c r="U118" s="51">
        <f t="shared" si="79"/>
        <v>1.1081518849290026</v>
      </c>
      <c r="V118" s="51">
        <f t="shared" si="79"/>
        <v>1.1247741632029375</v>
      </c>
      <c r="W118" s="51">
        <f t="shared" si="79"/>
        <v>1.1416457756509815</v>
      </c>
      <c r="X118" s="51">
        <f t="shared" si="79"/>
        <v>1.1587704622857462</v>
      </c>
      <c r="Y118" s="51">
        <f t="shared" si="79"/>
        <v>1.1761520192200323</v>
      </c>
      <c r="Z118" s="51">
        <f t="shared" si="79"/>
        <v>1.1937942995083326</v>
      </c>
      <c r="AA118" s="51">
        <f t="shared" si="79"/>
        <v>1.2117012140009575</v>
      </c>
      <c r="AB118" s="51">
        <f t="shared" si="79"/>
        <v>1.2298767322109716</v>
      </c>
      <c r="AC118" s="51">
        <f t="shared" si="79"/>
        <v>1.2483248831941363</v>
      </c>
      <c r="AD118" s="51">
        <f t="shared" si="79"/>
        <v>1.2670497564420482</v>
      </c>
      <c r="AE118" s="51">
        <f t="shared" si="79"/>
        <v>1.2860555027886789</v>
      </c>
      <c r="AF118" s="51">
        <f t="shared" si="79"/>
        <v>1.305346335330509</v>
      </c>
      <c r="AG118" s="51">
        <f t="shared" si="79"/>
        <v>1.3249265303604663</v>
      </c>
      <c r="AH118" s="51">
        <f t="shared" si="79"/>
        <v>1.3448004283158732</v>
      </c>
      <c r="AI118" s="51">
        <f t="shared" si="79"/>
        <v>1.3649724347406111</v>
      </c>
      <c r="AJ118" s="51">
        <f t="shared" si="79"/>
        <v>1.38544702126172</v>
      </c>
      <c r="AK118" s="51">
        <f t="shared" si="79"/>
        <v>1.4062287265806457</v>
      </c>
      <c r="AL118" s="51">
        <f t="shared" si="79"/>
        <v>1.4273221574793553</v>
      </c>
      <c r="AM118" s="51">
        <f t="shared" si="79"/>
        <v>1.4487319898415454</v>
      </c>
      <c r="AN118" s="51" t="str">
        <f t="shared" si="79"/>
        <v/>
      </c>
      <c r="AO118" s="51" t="str">
        <f t="shared" si="79"/>
        <v/>
      </c>
      <c r="AP118" s="51" t="str">
        <f t="shared" si="79"/>
        <v/>
      </c>
      <c r="AQ118" s="51" t="str">
        <f t="shared" si="79"/>
        <v/>
      </c>
      <c r="AR118" s="51">
        <f t="shared" si="79"/>
        <v>1.4923252390129595</v>
      </c>
      <c r="AS118" s="51" t="str">
        <f t="shared" si="79"/>
        <v/>
      </c>
      <c r="AT118" s="51" t="str">
        <f t="shared" si="79"/>
        <v/>
      </c>
      <c r="AU118" s="51" t="str">
        <f t="shared" si="79"/>
        <v/>
      </c>
      <c r="AV118" s="51" t="str">
        <f t="shared" si="79"/>
        <v/>
      </c>
      <c r="AW118" s="51">
        <f t="shared" si="79"/>
        <v>1.5325667234799862</v>
      </c>
      <c r="AX118" s="51" t="str">
        <f t="shared" si="79"/>
        <v/>
      </c>
      <c r="AY118" s="51" t="str">
        <f t="shared" si="79"/>
        <v/>
      </c>
      <c r="AZ118" s="51" t="str">
        <f t="shared" si="79"/>
        <v/>
      </c>
      <c r="BA118" s="51" t="str">
        <f t="shared" si="79"/>
        <v/>
      </c>
      <c r="BB118" s="51">
        <f t="shared" si="79"/>
        <v>1.5559162659669563</v>
      </c>
      <c r="BC118" s="51" t="str">
        <f t="shared" si="79"/>
        <v/>
      </c>
      <c r="BD118" s="51" t="str">
        <f t="shared" si="79"/>
        <v/>
      </c>
      <c r="BE118" s="51" t="str">
        <f t="shared" si="79"/>
        <v/>
      </c>
      <c r="BF118" s="51" t="str">
        <f t="shared" si="79"/>
        <v/>
      </c>
      <c r="BG118" s="51">
        <f t="shared" si="79"/>
        <v>1.5809771922473264</v>
      </c>
      <c r="BH118" s="51" t="str">
        <f t="shared" si="79"/>
        <v/>
      </c>
      <c r="BI118" s="51" t="str">
        <f t="shared" si="79"/>
        <v/>
      </c>
      <c r="BJ118" s="51" t="str">
        <f t="shared" si="79"/>
        <v/>
      </c>
      <c r="BK118" s="51" t="str">
        <f t="shared" si="79"/>
        <v/>
      </c>
      <c r="BL118" s="51">
        <f t="shared" si="79"/>
        <v>1.6099616515909521</v>
      </c>
      <c r="BM118" s="51" t="str">
        <f t="shared" si="79"/>
        <v/>
      </c>
      <c r="BN118" s="51" t="str">
        <f t="shared" si="79"/>
        <v/>
      </c>
      <c r="BO118" s="51" t="str">
        <f t="shared" si="79"/>
        <v/>
      </c>
      <c r="BP118" s="51" t="str">
        <f t="shared" si="79"/>
        <v/>
      </c>
      <c r="BQ118" s="51">
        <f t="shared" si="79"/>
        <v>1.644033273784939</v>
      </c>
      <c r="BR118" s="51" t="str">
        <f t="shared" si="79"/>
        <v/>
      </c>
      <c r="BS118" s="51" t="str">
        <f t="shared" si="80" ref="BS118:CK118">IF(BS18="","",BS18/$G18)</f>
        <v/>
      </c>
      <c r="BT118" s="51" t="str">
        <f t="shared" si="80"/>
        <v/>
      </c>
      <c r="BU118" s="51" t="str">
        <f t="shared" si="80"/>
        <v/>
      </c>
      <c r="BV118" s="51">
        <f t="shared" si="80"/>
        <v>1.6827818024450754</v>
      </c>
      <c r="BW118" s="51" t="str">
        <f t="shared" si="80"/>
        <v/>
      </c>
      <c r="BX118" s="51" t="str">
        <f t="shared" si="80"/>
        <v/>
      </c>
      <c r="BY118" s="51" t="str">
        <f t="shared" si="80"/>
        <v/>
      </c>
      <c r="BZ118" s="51" t="str">
        <f t="shared" si="80"/>
        <v/>
      </c>
      <c r="CA118" s="51">
        <f t="shared" si="80"/>
        <v>1.7240372691692467</v>
      </c>
      <c r="CB118" s="51" t="str">
        <f t="shared" si="80"/>
        <v/>
      </c>
      <c r="CC118" s="51" t="str">
        <f t="shared" si="80"/>
        <v/>
      </c>
      <c r="CD118" s="51" t="str">
        <f t="shared" si="80"/>
        <v/>
      </c>
      <c r="CE118" s="51" t="str">
        <f t="shared" si="80"/>
        <v/>
      </c>
      <c r="CF118" s="51">
        <f t="shared" si="80"/>
        <v>1.7653169942814857</v>
      </c>
      <c r="CG118" s="51" t="str">
        <f t="shared" si="80"/>
        <v/>
      </c>
      <c r="CH118" s="51" t="str">
        <f t="shared" si="80"/>
        <v/>
      </c>
      <c r="CI118" s="51" t="str">
        <f t="shared" si="80"/>
        <v/>
      </c>
      <c r="CJ118" s="51" t="str">
        <f t="shared" si="80"/>
        <v/>
      </c>
      <c r="CK118" s="51">
        <f t="shared" si="80"/>
        <v>1.8066546407432189</v>
      </c>
    </row>
    <row r="119" spans="6:89" ht="14.4">
      <c r="F119" t="s">
        <v>39</v>
      </c>
      <c r="G119" s="51">
        <f t="shared" si="81" ref="G119:BR119">IF(G19="","",G19/$G19)</f>
        <v>1</v>
      </c>
      <c r="H119" s="51">
        <f t="shared" si="81"/>
        <v>0.91292897354634672</v>
      </c>
      <c r="I119" s="51">
        <f t="shared" si="81"/>
        <v>0.66039472778980368</v>
      </c>
      <c r="J119" s="51">
        <f t="shared" si="81"/>
        <v>0.67082489869178141</v>
      </c>
      <c r="K119" s="51">
        <f t="shared" si="81"/>
        <v>0.6947577474011587</v>
      </c>
      <c r="L119" s="51">
        <f t="shared" si="81"/>
        <v>0.6972885146169816</v>
      </c>
      <c r="M119" s="51">
        <f t="shared" si="81"/>
        <v>0.714720727482406</v>
      </c>
      <c r="N119" s="51">
        <f t="shared" si="81"/>
        <v>0.73258874566946619</v>
      </c>
      <c r="O119" s="51">
        <f t="shared" si="81"/>
        <v>0.75090346431120281</v>
      </c>
      <c r="P119" s="51">
        <f t="shared" si="81"/>
        <v>0.76967605091898283</v>
      </c>
      <c r="Q119" s="51">
        <f t="shared" si="81"/>
        <v>0.78891795219195726</v>
      </c>
      <c r="R119" s="51">
        <f t="shared" si="81"/>
        <v>0.80864090099675612</v>
      </c>
      <c r="S119" s="51">
        <f t="shared" si="81"/>
        <v>0.82885692352167484</v>
      </c>
      <c r="T119" s="51">
        <f t="shared" si="81"/>
        <v>0.84957834660971665</v>
      </c>
      <c r="U119" s="51">
        <f t="shared" si="81"/>
        <v>0.87081780527495944</v>
      </c>
      <c r="V119" s="51">
        <f t="shared" si="81"/>
        <v>0.89258825040683343</v>
      </c>
      <c r="W119" s="51">
        <f t="shared" si="81"/>
        <v>0.91490295666700416</v>
      </c>
      <c r="X119" s="51">
        <f t="shared" si="81"/>
        <v>0.93777553058367913</v>
      </c>
      <c r="Y119" s="51">
        <f t="shared" si="81"/>
        <v>0.96121991884827096</v>
      </c>
      <c r="Z119" s="51">
        <f t="shared" si="81"/>
        <v>0.98525041681947767</v>
      </c>
      <c r="AA119" s="51">
        <f t="shared" si="81"/>
        <v>1.0098816772399646</v>
      </c>
      <c r="AB119" s="51">
        <f t="shared" si="81"/>
        <v>1.0351287191709637</v>
      </c>
      <c r="AC119" s="51">
        <f t="shared" si="81"/>
        <v>1.0610069371502375</v>
      </c>
      <c r="AD119" s="51">
        <f t="shared" si="81"/>
        <v>1.0875321105789935</v>
      </c>
      <c r="AE119" s="51">
        <f t="shared" si="81"/>
        <v>1.1147204133434681</v>
      </c>
      <c r="AF119" s="51">
        <f t="shared" si="81"/>
        <v>1.1425884236770547</v>
      </c>
      <c r="AG119" s="51">
        <f t="shared" si="81"/>
        <v>1.1711531342689809</v>
      </c>
      <c r="AH119" s="51">
        <f t="shared" si="81"/>
        <v>1.2004319626257054</v>
      </c>
      <c r="AI119" s="51">
        <f t="shared" si="81"/>
        <v>1.230442761691348</v>
      </c>
      <c r="AJ119" s="51">
        <f t="shared" si="81"/>
        <v>1.2612038307336315</v>
      </c>
      <c r="AK119" s="51">
        <f t="shared" si="81"/>
        <v>1.2927339265019724</v>
      </c>
      <c r="AL119" s="51">
        <f t="shared" si="81"/>
        <v>1.3250522746645217</v>
      </c>
      <c r="AM119" s="51">
        <f t="shared" si="81"/>
        <v>1.3581785815311345</v>
      </c>
      <c r="AN119" s="51" t="str">
        <f t="shared" si="81"/>
        <v/>
      </c>
      <c r="AO119" s="51" t="str">
        <f t="shared" si="81"/>
        <v/>
      </c>
      <c r="AP119" s="51" t="str">
        <f t="shared" si="81"/>
        <v/>
      </c>
      <c r="AQ119" s="51" t="str">
        <f t="shared" si="81"/>
        <v/>
      </c>
      <c r="AR119" s="51">
        <f t="shared" si="81"/>
        <v>1.4802482518605418</v>
      </c>
      <c r="AS119" s="51" t="str">
        <f t="shared" si="81"/>
        <v/>
      </c>
      <c r="AT119" s="51" t="str">
        <f t="shared" si="81"/>
        <v/>
      </c>
      <c r="AU119" s="51" t="str">
        <f t="shared" si="81"/>
        <v/>
      </c>
      <c r="AV119" s="51" t="str">
        <f t="shared" si="81"/>
        <v/>
      </c>
      <c r="AW119" s="51">
        <f t="shared" si="81"/>
        <v>1.5201640728071812</v>
      </c>
      <c r="AX119" s="51" t="str">
        <f t="shared" si="81"/>
        <v/>
      </c>
      <c r="AY119" s="51" t="str">
        <f t="shared" si="81"/>
        <v/>
      </c>
      <c r="AZ119" s="51" t="str">
        <f t="shared" si="81"/>
        <v/>
      </c>
      <c r="BA119" s="51" t="str">
        <f t="shared" si="81"/>
        <v/>
      </c>
      <c r="BB119" s="51">
        <f t="shared" si="81"/>
        <v>1.5433246537211258</v>
      </c>
      <c r="BC119" s="51" t="str">
        <f t="shared" si="81"/>
        <v/>
      </c>
      <c r="BD119" s="51" t="str">
        <f t="shared" si="81"/>
        <v/>
      </c>
      <c r="BE119" s="51" t="str">
        <f t="shared" si="81"/>
        <v/>
      </c>
      <c r="BF119" s="51" t="str">
        <f t="shared" si="81"/>
        <v/>
      </c>
      <c r="BG119" s="51">
        <f t="shared" si="81"/>
        <v>1.5681827686592991</v>
      </c>
      <c r="BH119" s="51" t="str">
        <f t="shared" si="81"/>
        <v/>
      </c>
      <c r="BI119" s="51" t="str">
        <f t="shared" si="81"/>
        <v/>
      </c>
      <c r="BJ119" s="51" t="str">
        <f t="shared" si="81"/>
        <v/>
      </c>
      <c r="BK119" s="51" t="str">
        <f t="shared" si="81"/>
        <v/>
      </c>
      <c r="BL119" s="51">
        <f t="shared" si="81"/>
        <v>1.5969326645619504</v>
      </c>
      <c r="BM119" s="51" t="str">
        <f t="shared" si="81"/>
        <v/>
      </c>
      <c r="BN119" s="51" t="str">
        <f t="shared" si="81"/>
        <v/>
      </c>
      <c r="BO119" s="51" t="str">
        <f t="shared" si="81"/>
        <v/>
      </c>
      <c r="BP119" s="51" t="str">
        <f t="shared" si="81"/>
        <v/>
      </c>
      <c r="BQ119" s="51">
        <f t="shared" si="81"/>
        <v>1.6307285542730026</v>
      </c>
      <c r="BR119" s="51" t="str">
        <f t="shared" si="81"/>
        <v/>
      </c>
      <c r="BS119" s="51" t="str">
        <f t="shared" si="82" ref="BS119:CK119">IF(BS19="","",BS19/$G19)</f>
        <v/>
      </c>
      <c r="BT119" s="51" t="str">
        <f t="shared" si="82"/>
        <v/>
      </c>
      <c r="BU119" s="51" t="str">
        <f t="shared" si="82"/>
        <v/>
      </c>
      <c r="BV119" s="51">
        <f t="shared" si="82"/>
        <v>1.66916350150292</v>
      </c>
      <c r="BW119" s="51" t="str">
        <f t="shared" si="82"/>
        <v/>
      </c>
      <c r="BX119" s="51" t="str">
        <f t="shared" si="82"/>
        <v/>
      </c>
      <c r="BY119" s="51" t="str">
        <f t="shared" si="82"/>
        <v/>
      </c>
      <c r="BZ119" s="51" t="str">
        <f t="shared" si="82"/>
        <v/>
      </c>
      <c r="CA119" s="51">
        <f t="shared" si="82"/>
        <v>1.710085098820763</v>
      </c>
      <c r="CB119" s="51" t="str">
        <f t="shared" si="82"/>
        <v/>
      </c>
      <c r="CC119" s="51" t="str">
        <f t="shared" si="82"/>
        <v/>
      </c>
      <c r="CD119" s="51" t="str">
        <f t="shared" si="82"/>
        <v/>
      </c>
      <c r="CE119" s="51" t="str">
        <f t="shared" si="82"/>
        <v/>
      </c>
      <c r="CF119" s="51">
        <f t="shared" si="82"/>
        <v>1.7510307582100637</v>
      </c>
      <c r="CG119" s="51" t="str">
        <f t="shared" si="82"/>
        <v/>
      </c>
      <c r="CH119" s="51" t="str">
        <f t="shared" si="82"/>
        <v/>
      </c>
      <c r="CI119" s="51" t="str">
        <f t="shared" si="82"/>
        <v/>
      </c>
      <c r="CJ119" s="51" t="str">
        <f t="shared" si="82"/>
        <v/>
      </c>
      <c r="CK119" s="51">
        <f t="shared" si="82"/>
        <v>1.7920338702069336</v>
      </c>
    </row>
    <row r="120" spans="6:89" ht="14.4">
      <c r="F120" t="s">
        <v>41</v>
      </c>
      <c r="G120" s="51">
        <f t="shared" si="83" ref="G120:BR120">IF(G20="","",G20/$G20)</f>
        <v>1</v>
      </c>
      <c r="H120" s="51">
        <f t="shared" si="83"/>
        <v>0.99402098052705179</v>
      </c>
      <c r="I120" s="51">
        <f t="shared" si="83"/>
        <v>0.96688736400372588</v>
      </c>
      <c r="J120" s="51">
        <f t="shared" si="83"/>
        <v>0.99775372150538122</v>
      </c>
      <c r="K120" s="51">
        <f t="shared" si="83"/>
        <v>1.0164070085956751</v>
      </c>
      <c r="L120" s="51">
        <f t="shared" si="83"/>
        <v>1.1430265542330544</v>
      </c>
      <c r="M120" s="51">
        <f t="shared" si="83"/>
        <v>1.3094004193491986</v>
      </c>
      <c r="N120" s="51">
        <f t="shared" si="83"/>
        <v>1.3499918323490234</v>
      </c>
      <c r="O120" s="51">
        <f t="shared" si="83"/>
        <v>1.376991668996004</v>
      </c>
      <c r="P120" s="51">
        <f t="shared" si="83"/>
        <v>1.4045315023759239</v>
      </c>
      <c r="Q120" s="51">
        <f t="shared" si="83"/>
        <v>1.4326221324234425</v>
      </c>
      <c r="R120" s="51">
        <f t="shared" si="83"/>
        <v>1.4612745750719114</v>
      </c>
      <c r="S120" s="51">
        <f t="shared" si="83"/>
        <v>1.4905000665733497</v>
      </c>
      <c r="T120" s="51">
        <f t="shared" si="83"/>
        <v>1.5247815681045367</v>
      </c>
      <c r="U120" s="51">
        <f t="shared" si="83"/>
        <v>1.5598515441709411</v>
      </c>
      <c r="V120" s="51">
        <f t="shared" si="83"/>
        <v>1.5957281296868726</v>
      </c>
      <c r="W120" s="51">
        <f t="shared" si="83"/>
        <v>1.6324298766696705</v>
      </c>
      <c r="X120" s="51">
        <f t="shared" si="83"/>
        <v>1.6699757638330728</v>
      </c>
      <c r="Y120" s="51">
        <f t="shared" si="83"/>
        <v>1.7083852064012335</v>
      </c>
      <c r="Z120" s="51">
        <f t="shared" si="83"/>
        <v>1.7476780661484619</v>
      </c>
      <c r="AA120" s="51">
        <f t="shared" si="83"/>
        <v>1.787874661669876</v>
      </c>
      <c r="AB120" s="51">
        <f t="shared" si="83"/>
        <v>1.8289957788882831</v>
      </c>
      <c r="AC120" s="51">
        <f t="shared" si="83"/>
        <v>1.8710626818027132</v>
      </c>
      <c r="AD120" s="51">
        <f t="shared" si="83"/>
        <v>1.9140971234841757</v>
      </c>
      <c r="AE120" s="51">
        <f t="shared" si="83"/>
        <v>1.9581213573243113</v>
      </c>
      <c r="AF120" s="51">
        <f t="shared" si="83"/>
        <v>2.0031581485427701</v>
      </c>
      <c r="AG120" s="51">
        <f t="shared" si="83"/>
        <v>2.0492307859592533</v>
      </c>
      <c r="AH120" s="51">
        <f t="shared" si="83"/>
        <v>2.0963630940363163</v>
      </c>
      <c r="AI120" s="51">
        <f t="shared" si="83"/>
        <v>2.1445794451991511</v>
      </c>
      <c r="AJ120" s="51">
        <f t="shared" si="83"/>
        <v>2.1939047724387315</v>
      </c>
      <c r="AK120" s="51">
        <f t="shared" si="83"/>
        <v>2.2443645822048222</v>
      </c>
      <c r="AL120" s="51">
        <f t="shared" si="83"/>
        <v>2.2959849675955328</v>
      </c>
      <c r="AM120" s="51">
        <f t="shared" si="83"/>
        <v>2.34879262185023</v>
      </c>
      <c r="AN120" s="51">
        <f t="shared" si="83"/>
        <v>2.402814852152785</v>
      </c>
      <c r="AO120" s="51">
        <f t="shared" si="83"/>
        <v>2.458079593752299</v>
      </c>
      <c r="AP120" s="51">
        <f t="shared" si="83"/>
        <v>2.5146154244086016</v>
      </c>
      <c r="AQ120" s="51">
        <f t="shared" si="83"/>
        <v>2.5724515791699991</v>
      </c>
      <c r="AR120" s="51">
        <f t="shared" si="83"/>
        <v>2.6316179654909084</v>
      </c>
      <c r="AS120" s="51">
        <f t="shared" si="83"/>
        <v>2.6921451786971997</v>
      </c>
      <c r="AT120" s="51">
        <f t="shared" si="83"/>
        <v>2.7540645178072349</v>
      </c>
      <c r="AU120" s="51">
        <f t="shared" si="83"/>
        <v>2.8174080017168013</v>
      </c>
      <c r="AV120" s="51">
        <f t="shared" si="83"/>
        <v>2.8822083857562872</v>
      </c>
      <c r="AW120" s="51">
        <f t="shared" si="83"/>
        <v>2.9484991786286816</v>
      </c>
      <c r="AX120" s="51">
        <f t="shared" si="83"/>
        <v>3.0163146597371409</v>
      </c>
      <c r="AY120" s="51">
        <f t="shared" si="83"/>
        <v>3.0856898969110946</v>
      </c>
      <c r="AZ120" s="51">
        <f t="shared" si="83"/>
        <v>3.1566607645400495</v>
      </c>
      <c r="BA120" s="51">
        <f t="shared" si="83"/>
        <v>3.2292639621244703</v>
      </c>
      <c r="BB120" s="51">
        <f t="shared" si="83"/>
        <v>3.3035370332533329</v>
      </c>
      <c r="BC120" s="51">
        <f t="shared" si="83"/>
        <v>3.3795183850181596</v>
      </c>
      <c r="BD120" s="51">
        <f t="shared" si="83"/>
        <v>3.4572473078735766</v>
      </c>
      <c r="BE120" s="51">
        <f t="shared" si="83"/>
        <v>3.5367639959546686</v>
      </c>
      <c r="BF120" s="51">
        <f t="shared" si="83"/>
        <v>3.6181095678616249</v>
      </c>
      <c r="BG120" s="51">
        <f t="shared" si="83"/>
        <v>3.7013260879224426</v>
      </c>
      <c r="BH120" s="51">
        <f t="shared" si="83"/>
        <v>3.7864565879446581</v>
      </c>
      <c r="BI120" s="51">
        <f t="shared" si="83"/>
        <v>3.8735450894673851</v>
      </c>
      <c r="BJ120" s="51">
        <f t="shared" si="83"/>
        <v>3.9626366265251338</v>
      </c>
      <c r="BK120" s="51">
        <f t="shared" si="83"/>
        <v>4.0537772689352121</v>
      </c>
      <c r="BL120" s="51">
        <f t="shared" si="83"/>
        <v>4.1470141461207213</v>
      </c>
      <c r="BM120" s="51">
        <f t="shared" si="83"/>
        <v>4.2423954714814975</v>
      </c>
      <c r="BN120" s="51">
        <f t="shared" si="83"/>
        <v>4.3399705673255715</v>
      </c>
      <c r="BO120" s="51">
        <f t="shared" si="83"/>
        <v>4.4397898903740591</v>
      </c>
      <c r="BP120" s="51">
        <f t="shared" si="83"/>
        <v>4.5419050578526621</v>
      </c>
      <c r="BQ120" s="51">
        <f t="shared" si="83"/>
        <v>4.6463688741832723</v>
      </c>
      <c r="BR120" s="51">
        <f t="shared" si="83"/>
        <v>4.753235358289488</v>
      </c>
      <c r="BS120" s="51">
        <f t="shared" si="84" ref="BS120:CK120">IF(BS20="","",BS20/$G20)</f>
        <v>4.8625597715301447</v>
      </c>
      <c r="BT120" s="51">
        <f t="shared" si="84"/>
        <v>4.974398646275338</v>
      </c>
      <c r="BU120" s="51">
        <f t="shared" si="84"/>
        <v>5.0888098151396708</v>
      </c>
      <c r="BV120" s="51">
        <f t="shared" si="84"/>
        <v>5.2058524408878828</v>
      </c>
      <c r="BW120" s="51">
        <f t="shared" si="84"/>
        <v>5.3255870470283035</v>
      </c>
      <c r="BX120" s="51">
        <f t="shared" si="84"/>
        <v>5.4480755491099542</v>
      </c>
      <c r="BY120" s="51">
        <f t="shared" si="84"/>
        <v>5.5733812867394823</v>
      </c>
      <c r="BZ120" s="51">
        <f t="shared" si="84"/>
        <v>5.7015690563344901</v>
      </c>
      <c r="CA120" s="51">
        <f t="shared" si="84"/>
        <v>5.8327051446301823</v>
      </c>
      <c r="CB120" s="51">
        <f t="shared" si="84"/>
        <v>5.9668573629566772</v>
      </c>
      <c r="CC120" s="51">
        <f t="shared" si="84"/>
        <v>6.1040950823046796</v>
      </c>
      <c r="CD120" s="51">
        <f t="shared" si="84"/>
        <v>6.244489269197687</v>
      </c>
      <c r="CE120" s="51">
        <f t="shared" si="84"/>
        <v>6.3881125223892328</v>
      </c>
      <c r="CF120" s="51">
        <f t="shared" si="84"/>
        <v>6.5350391104041856</v>
      </c>
      <c r="CG120" s="51">
        <f t="shared" si="84"/>
        <v>6.6853450099434815</v>
      </c>
      <c r="CH120" s="51">
        <f t="shared" si="84"/>
        <v>6.8391079451721799</v>
      </c>
      <c r="CI120" s="51">
        <f t="shared" si="84"/>
        <v>6.9964074279111399</v>
      </c>
      <c r="CJ120" s="51">
        <f t="shared" si="84"/>
        <v>7.1573247987530948</v>
      </c>
      <c r="CK120" s="51">
        <f t="shared" si="84"/>
        <v>7.3219432691244153</v>
      </c>
    </row>
    <row r="121" spans="6:89" ht="14.4">
      <c r="F121" t="s">
        <v>43</v>
      </c>
      <c r="G121" s="51">
        <f t="shared" si="85" ref="G121:BR121">IF(G21="","",G21/$G21)</f>
        <v>1</v>
      </c>
      <c r="H121" s="51">
        <f t="shared" si="85"/>
        <v>1.3328647957936823</v>
      </c>
      <c r="I121" s="51">
        <f t="shared" si="85"/>
        <v>0.43713886530894325</v>
      </c>
      <c r="J121" s="51">
        <f t="shared" si="85"/>
        <v>1.1173887294999323</v>
      </c>
      <c r="K121" s="51">
        <f t="shared" si="85"/>
        <v>0.99621920260959751</v>
      </c>
      <c r="L121" s="51">
        <f t="shared" si="85"/>
        <v>0.87504967571926262</v>
      </c>
      <c r="M121" s="51">
        <f t="shared" si="85"/>
        <v>0.75388014882892784</v>
      </c>
      <c r="N121" s="51">
        <f t="shared" si="85"/>
        <v>0.63271062193859307</v>
      </c>
      <c r="O121" s="51">
        <f t="shared" si="85"/>
        <v>0.51154109504825829</v>
      </c>
      <c r="P121" s="51">
        <f t="shared" si="85"/>
        <v>0.39037156815792351</v>
      </c>
      <c r="Q121" s="51">
        <f t="shared" si="85"/>
        <v>0.26920204126758873</v>
      </c>
      <c r="R121" s="51">
        <f t="shared" si="85"/>
        <v>0.14803251437725398</v>
      </c>
      <c r="S121" s="51">
        <f t="shared" si="85"/>
        <v>0</v>
      </c>
      <c r="T121" s="51" t="str">
        <f t="shared" si="85"/>
        <v/>
      </c>
      <c r="U121" s="51" t="str">
        <f t="shared" si="85"/>
        <v/>
      </c>
      <c r="V121" s="51" t="str">
        <f t="shared" si="85"/>
        <v/>
      </c>
      <c r="W121" s="51" t="str">
        <f t="shared" si="85"/>
        <v/>
      </c>
      <c r="X121" s="51">
        <f t="shared" si="85"/>
        <v>0</v>
      </c>
      <c r="Y121" s="51" t="str">
        <f t="shared" si="85"/>
        <v/>
      </c>
      <c r="Z121" s="51" t="str">
        <f t="shared" si="85"/>
        <v/>
      </c>
      <c r="AA121" s="51" t="str">
        <f t="shared" si="85"/>
        <v/>
      </c>
      <c r="AB121" s="51" t="str">
        <f t="shared" si="85"/>
        <v/>
      </c>
      <c r="AC121" s="51">
        <f t="shared" si="85"/>
        <v>0</v>
      </c>
      <c r="AD121" s="51" t="str">
        <f t="shared" si="85"/>
        <v/>
      </c>
      <c r="AE121" s="51" t="str">
        <f t="shared" si="85"/>
        <v/>
      </c>
      <c r="AF121" s="51" t="str">
        <f t="shared" si="85"/>
        <v/>
      </c>
      <c r="AG121" s="51" t="str">
        <f t="shared" si="85"/>
        <v/>
      </c>
      <c r="AH121" s="51">
        <f t="shared" si="85"/>
        <v>0</v>
      </c>
      <c r="AI121" s="51" t="str">
        <f t="shared" si="85"/>
        <v/>
      </c>
      <c r="AJ121" s="51" t="str">
        <f t="shared" si="85"/>
        <v/>
      </c>
      <c r="AK121" s="51" t="str">
        <f t="shared" si="85"/>
        <v/>
      </c>
      <c r="AL121" s="51" t="str">
        <f t="shared" si="85"/>
        <v/>
      </c>
      <c r="AM121" s="51">
        <f t="shared" si="85"/>
        <v>0</v>
      </c>
      <c r="AN121" s="51" t="str">
        <f t="shared" si="85"/>
        <v/>
      </c>
      <c r="AO121" s="51" t="str">
        <f t="shared" si="85"/>
        <v/>
      </c>
      <c r="AP121" s="51" t="str">
        <f t="shared" si="85"/>
        <v/>
      </c>
      <c r="AQ121" s="51" t="str">
        <f t="shared" si="85"/>
        <v/>
      </c>
      <c r="AR121" s="51">
        <f t="shared" si="85"/>
        <v>0</v>
      </c>
      <c r="AS121" s="51" t="str">
        <f t="shared" si="85"/>
        <v/>
      </c>
      <c r="AT121" s="51" t="str">
        <f t="shared" si="85"/>
        <v/>
      </c>
      <c r="AU121" s="51" t="str">
        <f t="shared" si="85"/>
        <v/>
      </c>
      <c r="AV121" s="51" t="str">
        <f t="shared" si="85"/>
        <v/>
      </c>
      <c r="AW121" s="51">
        <f t="shared" si="85"/>
        <v>0</v>
      </c>
      <c r="AX121" s="51" t="str">
        <f t="shared" si="85"/>
        <v/>
      </c>
      <c r="AY121" s="51" t="str">
        <f t="shared" si="85"/>
        <v/>
      </c>
      <c r="AZ121" s="51" t="str">
        <f t="shared" si="85"/>
        <v/>
      </c>
      <c r="BA121" s="51" t="str">
        <f t="shared" si="85"/>
        <v/>
      </c>
      <c r="BB121" s="51">
        <f t="shared" si="85"/>
        <v>0</v>
      </c>
      <c r="BC121" s="51" t="str">
        <f t="shared" si="85"/>
        <v/>
      </c>
      <c r="BD121" s="51" t="str">
        <f t="shared" si="85"/>
        <v/>
      </c>
      <c r="BE121" s="51" t="str">
        <f t="shared" si="85"/>
        <v/>
      </c>
      <c r="BF121" s="51" t="str">
        <f t="shared" si="85"/>
        <v/>
      </c>
      <c r="BG121" s="51">
        <f t="shared" si="85"/>
        <v>0</v>
      </c>
      <c r="BH121" s="51" t="str">
        <f t="shared" si="85"/>
        <v/>
      </c>
      <c r="BI121" s="51" t="str">
        <f t="shared" si="85"/>
        <v/>
      </c>
      <c r="BJ121" s="51" t="str">
        <f t="shared" si="85"/>
        <v/>
      </c>
      <c r="BK121" s="51" t="str">
        <f t="shared" si="85"/>
        <v/>
      </c>
      <c r="BL121" s="51">
        <f t="shared" si="85"/>
        <v>0</v>
      </c>
      <c r="BM121" s="51" t="str">
        <f t="shared" si="85"/>
        <v/>
      </c>
      <c r="BN121" s="51" t="str">
        <f t="shared" si="85"/>
        <v/>
      </c>
      <c r="BO121" s="51" t="str">
        <f t="shared" si="85"/>
        <v/>
      </c>
      <c r="BP121" s="51" t="str">
        <f t="shared" si="85"/>
        <v/>
      </c>
      <c r="BQ121" s="51">
        <f t="shared" si="85"/>
        <v>0</v>
      </c>
      <c r="BR121" s="51" t="str">
        <f t="shared" si="85"/>
        <v/>
      </c>
      <c r="BS121" s="51" t="str">
        <f t="shared" si="86" ref="BS121:CK121">IF(BS21="","",BS21/$G21)</f>
        <v/>
      </c>
      <c r="BT121" s="51" t="str">
        <f t="shared" si="86"/>
        <v/>
      </c>
      <c r="BU121" s="51" t="str">
        <f t="shared" si="86"/>
        <v/>
      </c>
      <c r="BV121" s="51">
        <f t="shared" si="86"/>
        <v>0</v>
      </c>
      <c r="BW121" s="51" t="str">
        <f t="shared" si="86"/>
        <v/>
      </c>
      <c r="BX121" s="51" t="str">
        <f t="shared" si="86"/>
        <v/>
      </c>
      <c r="BY121" s="51" t="str">
        <f t="shared" si="86"/>
        <v/>
      </c>
      <c r="BZ121" s="51" t="str">
        <f t="shared" si="86"/>
        <v/>
      </c>
      <c r="CA121" s="51">
        <f t="shared" si="86"/>
        <v>0</v>
      </c>
      <c r="CB121" s="51" t="str">
        <f t="shared" si="86"/>
        <v/>
      </c>
      <c r="CC121" s="51" t="str">
        <f t="shared" si="86"/>
        <v/>
      </c>
      <c r="CD121" s="51" t="str">
        <f t="shared" si="86"/>
        <v/>
      </c>
      <c r="CE121" s="51" t="str">
        <f t="shared" si="86"/>
        <v/>
      </c>
      <c r="CF121" s="51">
        <f t="shared" si="86"/>
        <v>0</v>
      </c>
      <c r="CG121" s="51" t="str">
        <f t="shared" si="86"/>
        <v/>
      </c>
      <c r="CH121" s="51" t="str">
        <f t="shared" si="86"/>
        <v/>
      </c>
      <c r="CI121" s="51" t="str">
        <f t="shared" si="86"/>
        <v/>
      </c>
      <c r="CJ121" s="51" t="str">
        <f t="shared" si="86"/>
        <v/>
      </c>
      <c r="CK121" s="51">
        <f t="shared" si="86"/>
        <v>0</v>
      </c>
    </row>
    <row r="122" spans="6:89" ht="14.4">
      <c r="F122" t="s">
        <v>45</v>
      </c>
      <c r="G122" s="51">
        <f t="shared" si="87" ref="G122:BR122">IF(G22="","",G22/$G22)</f>
        <v>1</v>
      </c>
      <c r="H122" s="51">
        <f t="shared" si="87"/>
        <v>1.0650419574670333</v>
      </c>
      <c r="I122" s="51">
        <f t="shared" si="87"/>
        <v>1.3024737242617932</v>
      </c>
      <c r="J122" s="51">
        <f t="shared" si="87"/>
        <v>1.4374192993014447</v>
      </c>
      <c r="K122" s="51">
        <f t="shared" si="87"/>
        <v>1.3267252167575585</v>
      </c>
      <c r="L122" s="51">
        <f t="shared" si="87"/>
        <v>1.3674513145613281</v>
      </c>
      <c r="M122" s="51">
        <f t="shared" si="87"/>
        <v>1.4105228497406812</v>
      </c>
      <c r="N122" s="51">
        <f t="shared" si="87"/>
        <v>1.4553128072879951</v>
      </c>
      <c r="O122" s="51">
        <f t="shared" si="87"/>
        <v>1.5014955149992557</v>
      </c>
      <c r="P122" s="51">
        <f t="shared" si="87"/>
        <v>1.5488020692285454</v>
      </c>
      <c r="Q122" s="51">
        <f t="shared" si="87"/>
        <v>1.5972807019001019</v>
      </c>
      <c r="R122" s="51">
        <f t="shared" si="87"/>
        <v>1.646966840002533</v>
      </c>
      <c r="S122" s="51">
        <f t="shared" si="87"/>
        <v>1.6977068243081552</v>
      </c>
      <c r="T122" s="51">
        <f t="shared" si="87"/>
        <v>1.7492808367551451</v>
      </c>
      <c r="U122" s="51">
        <f t="shared" si="87"/>
        <v>1.8017042432662729</v>
      </c>
      <c r="V122" s="51">
        <f t="shared" si="87"/>
        <v>1.8547836893133647</v>
      </c>
      <c r="W122" s="51">
        <f t="shared" si="87"/>
        <v>1.9083510034083531</v>
      </c>
      <c r="X122" s="51">
        <f t="shared" si="87"/>
        <v>1.9622956362735375</v>
      </c>
      <c r="Y122" s="51">
        <f t="shared" si="87"/>
        <v>2.0165889902193279</v>
      </c>
      <c r="Z122" s="51">
        <f t="shared" si="87"/>
        <v>2.0710266131066613</v>
      </c>
      <c r="AA122" s="51">
        <f t="shared" si="87"/>
        <v>2.1257156395637344</v>
      </c>
      <c r="AB122" s="51">
        <f t="shared" si="87"/>
        <v>2.1808046068439677</v>
      </c>
      <c r="AC122" s="51">
        <f t="shared" si="87"/>
        <v>2.2364582717859376</v>
      </c>
      <c r="AD122" s="51">
        <f t="shared" si="87"/>
        <v>2.2928452327089026</v>
      </c>
      <c r="AE122" s="51">
        <f t="shared" si="87"/>
        <v>2.350123843983619</v>
      </c>
      <c r="AF122" s="51">
        <f t="shared" si="87"/>
        <v>2.408437520889255</v>
      </c>
      <c r="AG122" s="51">
        <f t="shared" si="87"/>
        <v>2.467927544549037</v>
      </c>
      <c r="AH122" s="51">
        <f t="shared" si="87"/>
        <v>2.5287509888401596</v>
      </c>
      <c r="AI122" s="51">
        <f t="shared" si="87"/>
        <v>2.5911016351219716</v>
      </c>
      <c r="AJ122" s="51">
        <f t="shared" si="87"/>
        <v>2.6548706414415326</v>
      </c>
      <c r="AK122" s="51">
        <f t="shared" si="87"/>
        <v>2.7203213626418483</v>
      </c>
      <c r="AL122" s="51">
        <f t="shared" si="87"/>
        <v>2.787767092814911</v>
      </c>
      <c r="AM122" s="51">
        <f t="shared" si="87"/>
        <v>2.8575450285992603</v>
      </c>
      <c r="AN122" s="51">
        <f t="shared" si="87"/>
        <v>2.9299693177492219</v>
      </c>
      <c r="AO122" s="51">
        <f t="shared" si="87"/>
        <v>3.0052687417816397</v>
      </c>
      <c r="AP122" s="51">
        <f t="shared" si="87"/>
        <v>3.0836148868340536</v>
      </c>
      <c r="AQ122" s="51">
        <f t="shared" si="87"/>
        <v>3.1651545828351306</v>
      </c>
      <c r="AR122" s="51">
        <f t="shared" si="87"/>
        <v>3.2500295377393025</v>
      </c>
      <c r="AS122" s="51">
        <f t="shared" si="87"/>
        <v>3.3383596911104099</v>
      </c>
      <c r="AT122" s="51">
        <f t="shared" si="87"/>
        <v>3.4301642503518832</v>
      </c>
      <c r="AU122" s="51">
        <f t="shared" si="87"/>
        <v>3.5253753493048743</v>
      </c>
      <c r="AV122" s="51">
        <f t="shared" si="87"/>
        <v>3.6238743288990527</v>
      </c>
      <c r="AW122" s="51">
        <f t="shared" si="87"/>
        <v>3.7255489325320288</v>
      </c>
      <c r="AX122" s="51">
        <f t="shared" si="87"/>
        <v>3.5469737394153329</v>
      </c>
      <c r="AY122" s="51">
        <f t="shared" si="87"/>
        <v>3.6053181731241177</v>
      </c>
      <c r="AZ122" s="51">
        <f t="shared" si="87"/>
        <v>3.6636626068329021</v>
      </c>
      <c r="BA122" s="51">
        <f t="shared" si="87"/>
        <v>3.722007040541659</v>
      </c>
      <c r="BB122" s="51">
        <f t="shared" si="87"/>
        <v>3.7803514742504154</v>
      </c>
      <c r="BC122" s="51">
        <f t="shared" si="87"/>
        <v>3.8386959079591998</v>
      </c>
      <c r="BD122" s="51">
        <f t="shared" si="87"/>
        <v>3.8970403416679558</v>
      </c>
      <c r="BE122" s="51">
        <f t="shared" si="87"/>
        <v>3.9553847753767406</v>
      </c>
      <c r="BF122" s="51">
        <f t="shared" si="87"/>
        <v>4.0137292090855254</v>
      </c>
      <c r="BG122" s="51">
        <f t="shared" si="87"/>
        <v>4.0720736427942823</v>
      </c>
      <c r="BH122" s="51">
        <f t="shared" si="87"/>
        <v>4.1304180765030383</v>
      </c>
      <c r="BI122" s="51">
        <f t="shared" si="87"/>
        <v>4.1887625102118236</v>
      </c>
      <c r="BJ122" s="51">
        <f t="shared" si="87"/>
        <v>4.2471069439206071</v>
      </c>
      <c r="BK122" s="51">
        <f t="shared" si="87"/>
        <v>4.3054513776293639</v>
      </c>
      <c r="BL122" s="51">
        <f t="shared" si="87"/>
        <v>4.3637958113381483</v>
      </c>
      <c r="BM122" s="51">
        <f t="shared" si="87"/>
        <v>4.4221402450469336</v>
      </c>
      <c r="BN122" s="51">
        <f t="shared" si="87"/>
        <v>4.4804846787556896</v>
      </c>
      <c r="BO122" s="51">
        <f t="shared" si="87"/>
        <v>4.5388291124644455</v>
      </c>
      <c r="BP122" s="51">
        <f t="shared" si="87"/>
        <v>4.5971735461732308</v>
      </c>
      <c r="BQ122" s="51">
        <f t="shared" si="87"/>
        <v>4.6555179798819877</v>
      </c>
      <c r="BR122" s="51">
        <f t="shared" si="87"/>
        <v>4.7138624135907721</v>
      </c>
      <c r="BS122" s="51">
        <f t="shared" si="88" ref="BS122:CK122">IF(BS22="","",BS22/$G22)</f>
        <v>4.7722068472995556</v>
      </c>
      <c r="BT122" s="51">
        <f t="shared" si="88"/>
        <v>4.8305512810083124</v>
      </c>
      <c r="BU122" s="51">
        <f t="shared" si="88"/>
        <v>4.8888957147170684</v>
      </c>
      <c r="BV122" s="51">
        <f t="shared" si="88"/>
        <v>4.9472401484258537</v>
      </c>
      <c r="BW122" s="51">
        <f t="shared" si="88"/>
        <v>5.0055845821346381</v>
      </c>
      <c r="BX122" s="51">
        <f t="shared" si="88"/>
        <v>5.0639290158433949</v>
      </c>
      <c r="BY122" s="51">
        <f t="shared" si="88"/>
        <v>5.1222734495521793</v>
      </c>
      <c r="BZ122" s="51">
        <f t="shared" si="88"/>
        <v>5.1806178832609362</v>
      </c>
      <c r="CA122" s="51">
        <f t="shared" si="88"/>
        <v>5.2389623169697206</v>
      </c>
      <c r="CB122" s="51">
        <f t="shared" si="88"/>
        <v>5.2973067506784774</v>
      </c>
      <c r="CC122" s="51">
        <f t="shared" si="88"/>
        <v>5.3556511843872618</v>
      </c>
      <c r="CD122" s="51">
        <f t="shared" si="88"/>
        <v>5.4139956180960178</v>
      </c>
      <c r="CE122" s="51">
        <f t="shared" si="88"/>
        <v>5.4723400518048022</v>
      </c>
      <c r="CF122" s="51">
        <f t="shared" si="88"/>
        <v>5.5306844855135866</v>
      </c>
      <c r="CG122" s="51">
        <f t="shared" si="88"/>
        <v>5.5890289192223435</v>
      </c>
      <c r="CH122" s="51">
        <f t="shared" si="88"/>
        <v>5.6473733529310994</v>
      </c>
      <c r="CI122" s="51">
        <f t="shared" si="88"/>
        <v>5.7057177866398847</v>
      </c>
      <c r="CJ122" s="51">
        <f t="shared" si="88"/>
        <v>5.7640622203486691</v>
      </c>
      <c r="CK122" s="51">
        <f t="shared" si="88"/>
        <v>5.822406654057426</v>
      </c>
    </row>
    <row r="123" spans="6:89" ht="14.4">
      <c r="F123" t="s">
        <v>47</v>
      </c>
      <c r="G123" s="51">
        <f t="shared" si="89" ref="G123:BR123">IF(G23="","",G23/$G23)</f>
        <v>1</v>
      </c>
      <c r="H123" s="51">
        <f t="shared" si="89"/>
        <v>0.79961427760049597</v>
      </c>
      <c r="I123" s="51">
        <f t="shared" si="89"/>
        <v>1.0921204113235432</v>
      </c>
      <c r="J123" s="51">
        <f t="shared" si="89"/>
        <v>0.726337169437279</v>
      </c>
      <c r="K123" s="51">
        <f t="shared" si="89"/>
        <v>0.63180294895930966</v>
      </c>
      <c r="L123" s="51">
        <f t="shared" si="89"/>
        <v>0.5993804953874553</v>
      </c>
      <c r="M123" s="51">
        <f t="shared" si="89"/>
        <v>0.53203016986568674</v>
      </c>
      <c r="N123" s="51">
        <f t="shared" si="89"/>
        <v>0.41652868381196112</v>
      </c>
      <c r="O123" s="51">
        <f t="shared" si="89"/>
        <v>0.27107140343777042</v>
      </c>
      <c r="P123" s="51">
        <f t="shared" si="89"/>
        <v>0.14517905799260153</v>
      </c>
      <c r="Q123" s="51">
        <f t="shared" si="89"/>
        <v>0.066984555582558239</v>
      </c>
      <c r="R123" s="51">
        <f t="shared" si="89"/>
        <v>0.027943165862220742</v>
      </c>
      <c r="S123" s="51">
        <f t="shared" si="89"/>
        <v>0</v>
      </c>
      <c r="T123" s="51" t="str">
        <f t="shared" si="89"/>
        <v/>
      </c>
      <c r="U123" s="51" t="str">
        <f t="shared" si="89"/>
        <v/>
      </c>
      <c r="V123" s="51" t="str">
        <f t="shared" si="89"/>
        <v/>
      </c>
      <c r="W123" s="51" t="str">
        <f t="shared" si="89"/>
        <v/>
      </c>
      <c r="X123" s="51">
        <f t="shared" si="89"/>
        <v>0</v>
      </c>
      <c r="Y123" s="51" t="str">
        <f t="shared" si="89"/>
        <v/>
      </c>
      <c r="Z123" s="51" t="str">
        <f t="shared" si="89"/>
        <v/>
      </c>
      <c r="AA123" s="51" t="str">
        <f t="shared" si="89"/>
        <v/>
      </c>
      <c r="AB123" s="51" t="str">
        <f t="shared" si="89"/>
        <v/>
      </c>
      <c r="AC123" s="51">
        <f t="shared" si="89"/>
        <v>0</v>
      </c>
      <c r="AD123" s="51" t="str">
        <f t="shared" si="89"/>
        <v/>
      </c>
      <c r="AE123" s="51" t="str">
        <f t="shared" si="89"/>
        <v/>
      </c>
      <c r="AF123" s="51" t="str">
        <f t="shared" si="89"/>
        <v/>
      </c>
      <c r="AG123" s="51" t="str">
        <f t="shared" si="89"/>
        <v/>
      </c>
      <c r="AH123" s="51">
        <f t="shared" si="89"/>
        <v>0</v>
      </c>
      <c r="AI123" s="51" t="str">
        <f t="shared" si="89"/>
        <v/>
      </c>
      <c r="AJ123" s="51" t="str">
        <f t="shared" si="89"/>
        <v/>
      </c>
      <c r="AK123" s="51" t="str">
        <f t="shared" si="89"/>
        <v/>
      </c>
      <c r="AL123" s="51" t="str">
        <f t="shared" si="89"/>
        <v/>
      </c>
      <c r="AM123" s="51">
        <f t="shared" si="89"/>
        <v>0</v>
      </c>
      <c r="AN123" s="51" t="str">
        <f t="shared" si="89"/>
        <v/>
      </c>
      <c r="AO123" s="51" t="str">
        <f t="shared" si="89"/>
        <v/>
      </c>
      <c r="AP123" s="51" t="str">
        <f t="shared" si="89"/>
        <v/>
      </c>
      <c r="AQ123" s="51" t="str">
        <f t="shared" si="89"/>
        <v/>
      </c>
      <c r="AR123" s="51">
        <f t="shared" si="89"/>
        <v>0</v>
      </c>
      <c r="AS123" s="51" t="str">
        <f t="shared" si="89"/>
        <v/>
      </c>
      <c r="AT123" s="51" t="str">
        <f t="shared" si="89"/>
        <v/>
      </c>
      <c r="AU123" s="51" t="str">
        <f t="shared" si="89"/>
        <v/>
      </c>
      <c r="AV123" s="51" t="str">
        <f t="shared" si="89"/>
        <v/>
      </c>
      <c r="AW123" s="51">
        <f t="shared" si="89"/>
        <v>0</v>
      </c>
      <c r="AX123" s="51" t="str">
        <f t="shared" si="89"/>
        <v/>
      </c>
      <c r="AY123" s="51" t="str">
        <f t="shared" si="89"/>
        <v/>
      </c>
      <c r="AZ123" s="51" t="str">
        <f t="shared" si="89"/>
        <v/>
      </c>
      <c r="BA123" s="51" t="str">
        <f t="shared" si="89"/>
        <v/>
      </c>
      <c r="BB123" s="51">
        <f t="shared" si="89"/>
        <v>0</v>
      </c>
      <c r="BC123" s="51" t="str">
        <f t="shared" si="89"/>
        <v/>
      </c>
      <c r="BD123" s="51" t="str">
        <f t="shared" si="89"/>
        <v/>
      </c>
      <c r="BE123" s="51" t="str">
        <f t="shared" si="89"/>
        <v/>
      </c>
      <c r="BF123" s="51" t="str">
        <f t="shared" si="89"/>
        <v/>
      </c>
      <c r="BG123" s="51">
        <f t="shared" si="89"/>
        <v>0</v>
      </c>
      <c r="BH123" s="51" t="str">
        <f t="shared" si="89"/>
        <v/>
      </c>
      <c r="BI123" s="51" t="str">
        <f t="shared" si="89"/>
        <v/>
      </c>
      <c r="BJ123" s="51" t="str">
        <f t="shared" si="89"/>
        <v/>
      </c>
      <c r="BK123" s="51" t="str">
        <f t="shared" si="89"/>
        <v/>
      </c>
      <c r="BL123" s="51">
        <f t="shared" si="89"/>
        <v>0</v>
      </c>
      <c r="BM123" s="51" t="str">
        <f t="shared" si="89"/>
        <v/>
      </c>
      <c r="BN123" s="51" t="str">
        <f t="shared" si="89"/>
        <v/>
      </c>
      <c r="BO123" s="51" t="str">
        <f t="shared" si="89"/>
        <v/>
      </c>
      <c r="BP123" s="51" t="str">
        <f t="shared" si="89"/>
        <v/>
      </c>
      <c r="BQ123" s="51">
        <f t="shared" si="89"/>
        <v>0</v>
      </c>
      <c r="BR123" s="51" t="str">
        <f t="shared" si="89"/>
        <v/>
      </c>
      <c r="BS123" s="51" t="str">
        <f t="shared" si="90" ref="BS123:CK123">IF(BS23="","",BS23/$G23)</f>
        <v/>
      </c>
      <c r="BT123" s="51" t="str">
        <f t="shared" si="90"/>
        <v/>
      </c>
      <c r="BU123" s="51" t="str">
        <f t="shared" si="90"/>
        <v/>
      </c>
      <c r="BV123" s="51">
        <f t="shared" si="90"/>
        <v>0</v>
      </c>
      <c r="BW123" s="51" t="str">
        <f t="shared" si="90"/>
        <v/>
      </c>
      <c r="BX123" s="51" t="str">
        <f t="shared" si="90"/>
        <v/>
      </c>
      <c r="BY123" s="51" t="str">
        <f t="shared" si="90"/>
        <v/>
      </c>
      <c r="BZ123" s="51" t="str">
        <f t="shared" si="90"/>
        <v/>
      </c>
      <c r="CA123" s="51">
        <f t="shared" si="90"/>
        <v>0</v>
      </c>
      <c r="CB123" s="51" t="str">
        <f t="shared" si="90"/>
        <v/>
      </c>
      <c r="CC123" s="51" t="str">
        <f t="shared" si="90"/>
        <v/>
      </c>
      <c r="CD123" s="51" t="str">
        <f t="shared" si="90"/>
        <v/>
      </c>
      <c r="CE123" s="51" t="str">
        <f t="shared" si="90"/>
        <v/>
      </c>
      <c r="CF123" s="51">
        <f t="shared" si="90"/>
        <v>0</v>
      </c>
      <c r="CG123" s="51" t="str">
        <f t="shared" si="90"/>
        <v/>
      </c>
      <c r="CH123" s="51" t="str">
        <f t="shared" si="90"/>
        <v/>
      </c>
      <c r="CI123" s="51" t="str">
        <f t="shared" si="90"/>
        <v/>
      </c>
      <c r="CJ123" s="51" t="str">
        <f t="shared" si="90"/>
        <v/>
      </c>
      <c r="CK123" s="51">
        <f t="shared" si="90"/>
        <v>0</v>
      </c>
    </row>
    <row r="124" spans="6:89" ht="14.4">
      <c r="F124" t="s">
        <v>49</v>
      </c>
      <c r="G124" s="51">
        <f t="shared" si="91" ref="G124:BR124">IF(G24="","",G24/$G24)</f>
        <v>1</v>
      </c>
      <c r="H124" s="51">
        <f t="shared" si="91"/>
        <v>1.0745889095081476</v>
      </c>
      <c r="I124" s="51">
        <f t="shared" si="91"/>
        <v>0.47130661907360605</v>
      </c>
      <c r="J124" s="51">
        <f t="shared" si="91"/>
        <v>0.51420949768684188</v>
      </c>
      <c r="K124" s="51">
        <f t="shared" si="91"/>
        <v>0.98503939180116773</v>
      </c>
      <c r="L124" s="51">
        <f t="shared" si="91"/>
        <v>0.98503939180116773</v>
      </c>
      <c r="M124" s="51">
        <f t="shared" si="91"/>
        <v>0.98503939180116773</v>
      </c>
      <c r="N124" s="51">
        <f t="shared" si="91"/>
        <v>0.98503939180116773</v>
      </c>
      <c r="O124" s="51">
        <f t="shared" si="91"/>
        <v>0.98503939180116773</v>
      </c>
      <c r="P124" s="51">
        <f t="shared" si="91"/>
        <v>0.98503939180116773</v>
      </c>
      <c r="Q124" s="51">
        <f t="shared" si="91"/>
        <v>0.98503939180116773</v>
      </c>
      <c r="R124" s="51">
        <f t="shared" si="91"/>
        <v>0.98503939180116773</v>
      </c>
      <c r="S124" s="51">
        <f t="shared" si="91"/>
        <v>0.98503939180116773</v>
      </c>
      <c r="T124" s="51">
        <f t="shared" si="91"/>
        <v>0.98503939180116773</v>
      </c>
      <c r="U124" s="51">
        <f t="shared" si="91"/>
        <v>0.98503939180116773</v>
      </c>
      <c r="V124" s="51">
        <f t="shared" si="91"/>
        <v>0.98503939180116773</v>
      </c>
      <c r="W124" s="51">
        <f t="shared" si="91"/>
        <v>0.98503939180116773</v>
      </c>
      <c r="X124" s="51">
        <f t="shared" si="91"/>
        <v>0.98503939180116773</v>
      </c>
      <c r="Y124" s="51">
        <f t="shared" si="91"/>
        <v>0.98503939180116773</v>
      </c>
      <c r="Z124" s="51">
        <f t="shared" si="91"/>
        <v>0.98503939180116773</v>
      </c>
      <c r="AA124" s="51">
        <f t="shared" si="91"/>
        <v>0.98503939180116773</v>
      </c>
      <c r="AB124" s="51">
        <f t="shared" si="91"/>
        <v>0.98503939180116773</v>
      </c>
      <c r="AC124" s="51">
        <f t="shared" si="91"/>
        <v>0.98503939180116773</v>
      </c>
      <c r="AD124" s="51">
        <f t="shared" si="91"/>
        <v>0.98503939180116773</v>
      </c>
      <c r="AE124" s="51">
        <f t="shared" si="91"/>
        <v>0.98503939180116773</v>
      </c>
      <c r="AF124" s="51">
        <f t="shared" si="91"/>
        <v>0.98503939180116773</v>
      </c>
      <c r="AG124" s="51">
        <f t="shared" si="91"/>
        <v>0.98503939180116773</v>
      </c>
      <c r="AH124" s="51">
        <f t="shared" si="91"/>
        <v>0.98503939180116773</v>
      </c>
      <c r="AI124" s="51">
        <f t="shared" si="91"/>
        <v>0.98503939180116773</v>
      </c>
      <c r="AJ124" s="51">
        <f t="shared" si="91"/>
        <v>0.98503939180116773</v>
      </c>
      <c r="AK124" s="51">
        <f t="shared" si="91"/>
        <v>0.98503939180116773</v>
      </c>
      <c r="AL124" s="51">
        <f t="shared" si="91"/>
        <v>0.98503939180116773</v>
      </c>
      <c r="AM124" s="51">
        <f t="shared" si="91"/>
        <v>0.98503939180116773</v>
      </c>
      <c r="AN124" s="51">
        <f t="shared" si="91"/>
        <v>0.98503939180116773</v>
      </c>
      <c r="AO124" s="51">
        <f t="shared" si="91"/>
        <v>0.98503939180116773</v>
      </c>
      <c r="AP124" s="51">
        <f t="shared" si="91"/>
        <v>0.98503939180116773</v>
      </c>
      <c r="AQ124" s="51">
        <f t="shared" si="91"/>
        <v>0.98503939180116773</v>
      </c>
      <c r="AR124" s="51">
        <f t="shared" si="91"/>
        <v>0.98503939180116773</v>
      </c>
      <c r="AS124" s="51">
        <f t="shared" si="91"/>
        <v>0.98503939180116773</v>
      </c>
      <c r="AT124" s="51">
        <f t="shared" si="91"/>
        <v>0.98503939180116773</v>
      </c>
      <c r="AU124" s="51">
        <f t="shared" si="91"/>
        <v>0.98503939180116773</v>
      </c>
      <c r="AV124" s="51">
        <f t="shared" si="91"/>
        <v>0.98503939180116773</v>
      </c>
      <c r="AW124" s="51">
        <f t="shared" si="91"/>
        <v>0.98503939180116773</v>
      </c>
      <c r="AX124" s="51">
        <f t="shared" si="91"/>
        <v>0.98503939180116773</v>
      </c>
      <c r="AY124" s="51">
        <f t="shared" si="91"/>
        <v>0.98503939180116773</v>
      </c>
      <c r="AZ124" s="51">
        <f t="shared" si="91"/>
        <v>0.98503939180116773</v>
      </c>
      <c r="BA124" s="51">
        <f t="shared" si="91"/>
        <v>0.98503939180116773</v>
      </c>
      <c r="BB124" s="51">
        <f t="shared" si="91"/>
        <v>0.98503939180116773</v>
      </c>
      <c r="BC124" s="51">
        <f t="shared" si="91"/>
        <v>0.98503939180116773</v>
      </c>
      <c r="BD124" s="51">
        <f t="shared" si="91"/>
        <v>0.98503939180116773</v>
      </c>
      <c r="BE124" s="51">
        <f t="shared" si="91"/>
        <v>0.98503939180116773</v>
      </c>
      <c r="BF124" s="51">
        <f t="shared" si="91"/>
        <v>0.98503939180116773</v>
      </c>
      <c r="BG124" s="51">
        <f t="shared" si="91"/>
        <v>0.98503939180116773</v>
      </c>
      <c r="BH124" s="51">
        <f t="shared" si="91"/>
        <v>0.98503939180116773</v>
      </c>
      <c r="BI124" s="51">
        <f t="shared" si="91"/>
        <v>0.98503939180116773</v>
      </c>
      <c r="BJ124" s="51">
        <f t="shared" si="91"/>
        <v>0.98503939180116773</v>
      </c>
      <c r="BK124" s="51">
        <f t="shared" si="91"/>
        <v>0.98503939180116773</v>
      </c>
      <c r="BL124" s="51">
        <f t="shared" si="91"/>
        <v>0.98503939180116773</v>
      </c>
      <c r="BM124" s="51">
        <f t="shared" si="91"/>
        <v>0.98503939180116773</v>
      </c>
      <c r="BN124" s="51">
        <f t="shared" si="91"/>
        <v>0.98503939180116773</v>
      </c>
      <c r="BO124" s="51">
        <f t="shared" si="91"/>
        <v>0.98503939180116773</v>
      </c>
      <c r="BP124" s="51">
        <f t="shared" si="91"/>
        <v>0.98503939180116773</v>
      </c>
      <c r="BQ124" s="51">
        <f t="shared" si="91"/>
        <v>0.98503939180116773</v>
      </c>
      <c r="BR124" s="51">
        <f t="shared" si="91"/>
        <v>0.98503939180116773</v>
      </c>
      <c r="BS124" s="51">
        <f t="shared" si="92" ref="BS124:CK124">IF(BS24="","",BS24/$G24)</f>
        <v>0.98503939180116773</v>
      </c>
      <c r="BT124" s="51">
        <f t="shared" si="92"/>
        <v>0.98503939180116773</v>
      </c>
      <c r="BU124" s="51">
        <f t="shared" si="92"/>
        <v>0.98503939180116773</v>
      </c>
      <c r="BV124" s="51">
        <f t="shared" si="92"/>
        <v>0.98503939180116773</v>
      </c>
      <c r="BW124" s="51">
        <f t="shared" si="92"/>
        <v>0.98503939180116773</v>
      </c>
      <c r="BX124" s="51">
        <f t="shared" si="92"/>
        <v>0.98503939180116773</v>
      </c>
      <c r="BY124" s="51">
        <f t="shared" si="92"/>
        <v>0.98503939180116773</v>
      </c>
      <c r="BZ124" s="51">
        <f t="shared" si="92"/>
        <v>0.98503939180116773</v>
      </c>
      <c r="CA124" s="51">
        <f t="shared" si="92"/>
        <v>0.98503939180116773</v>
      </c>
      <c r="CB124" s="51">
        <f t="shared" si="92"/>
        <v>0.98503939180116773</v>
      </c>
      <c r="CC124" s="51">
        <f t="shared" si="92"/>
        <v>0.98503939180116773</v>
      </c>
      <c r="CD124" s="51">
        <f t="shared" si="92"/>
        <v>0.98503939180116773</v>
      </c>
      <c r="CE124" s="51">
        <f t="shared" si="92"/>
        <v>0.98503939180116773</v>
      </c>
      <c r="CF124" s="51">
        <f t="shared" si="92"/>
        <v>0.98503939180116773</v>
      </c>
      <c r="CG124" s="51">
        <f t="shared" si="92"/>
        <v>0.98503939180116773</v>
      </c>
      <c r="CH124" s="51">
        <f t="shared" si="92"/>
        <v>0.98503939180116773</v>
      </c>
      <c r="CI124" s="51">
        <f t="shared" si="92"/>
        <v>0.98503939180116773</v>
      </c>
      <c r="CJ124" s="51">
        <f t="shared" si="92"/>
        <v>0.98503939180116773</v>
      </c>
      <c r="CK124" s="51">
        <f t="shared" si="92"/>
        <v>0.98503939180116773</v>
      </c>
    </row>
    <row r="125" spans="6:89" ht="14.4">
      <c r="F125" t="s">
        <v>51</v>
      </c>
      <c r="G125" s="51">
        <f t="shared" si="93" ref="G125:BR125">IF(G25="","",G25/$G25)</f>
        <v>1</v>
      </c>
      <c r="H125" s="51">
        <f t="shared" si="93"/>
        <v>1.0113613806202701</v>
      </c>
      <c r="I125" s="51">
        <f t="shared" si="93"/>
        <v>0.36069353006187754</v>
      </c>
      <c r="J125" s="51">
        <f t="shared" si="93"/>
        <v>0.40409792144281698</v>
      </c>
      <c r="K125" s="51">
        <f t="shared" si="93"/>
        <v>1.0483818199343635</v>
      </c>
      <c r="L125" s="51">
        <f t="shared" si="93"/>
        <v>1.0629218721668541</v>
      </c>
      <c r="M125" s="51">
        <f t="shared" si="93"/>
        <v>1.0771710880739089</v>
      </c>
      <c r="N125" s="51">
        <f t="shared" si="93"/>
        <v>0</v>
      </c>
      <c r="O125" s="51">
        <f t="shared" si="93"/>
        <v>0</v>
      </c>
      <c r="P125" s="51">
        <f t="shared" si="93"/>
        <v>0</v>
      </c>
      <c r="Q125" s="51">
        <f t="shared" si="93"/>
        <v>0</v>
      </c>
      <c r="R125" s="51">
        <f t="shared" si="93"/>
        <v>0</v>
      </c>
      <c r="S125" s="51">
        <f t="shared" si="93"/>
        <v>0</v>
      </c>
      <c r="T125" s="51">
        <f t="shared" si="93"/>
        <v>0</v>
      </c>
      <c r="U125" s="51">
        <f t="shared" si="93"/>
        <v>0</v>
      </c>
      <c r="V125" s="51">
        <f t="shared" si="93"/>
        <v>0</v>
      </c>
      <c r="W125" s="51">
        <f t="shared" si="93"/>
        <v>0</v>
      </c>
      <c r="X125" s="51">
        <f t="shared" si="93"/>
        <v>0</v>
      </c>
      <c r="Y125" s="51">
        <f t="shared" si="93"/>
        <v>0</v>
      </c>
      <c r="Z125" s="51">
        <f t="shared" si="93"/>
        <v>0</v>
      </c>
      <c r="AA125" s="51">
        <f t="shared" si="93"/>
        <v>0</v>
      </c>
      <c r="AB125" s="51">
        <f t="shared" si="93"/>
        <v>0</v>
      </c>
      <c r="AC125" s="51">
        <f t="shared" si="93"/>
        <v>0</v>
      </c>
      <c r="AD125" s="51">
        <f t="shared" si="93"/>
        <v>0</v>
      </c>
      <c r="AE125" s="51">
        <f t="shared" si="93"/>
        <v>0</v>
      </c>
      <c r="AF125" s="51">
        <f t="shared" si="93"/>
        <v>0</v>
      </c>
      <c r="AG125" s="51">
        <f t="shared" si="93"/>
        <v>0</v>
      </c>
      <c r="AH125" s="51">
        <f t="shared" si="93"/>
        <v>0</v>
      </c>
      <c r="AI125" s="51">
        <f t="shared" si="93"/>
        <v>0</v>
      </c>
      <c r="AJ125" s="51">
        <f t="shared" si="93"/>
        <v>0</v>
      </c>
      <c r="AK125" s="51">
        <f t="shared" si="93"/>
        <v>0</v>
      </c>
      <c r="AL125" s="51">
        <f t="shared" si="93"/>
        <v>0</v>
      </c>
      <c r="AM125" s="51">
        <f t="shared" si="93"/>
        <v>0</v>
      </c>
      <c r="AN125" s="51">
        <f t="shared" si="93"/>
        <v>0</v>
      </c>
      <c r="AO125" s="51">
        <f t="shared" si="93"/>
        <v>0</v>
      </c>
      <c r="AP125" s="51">
        <f t="shared" si="93"/>
        <v>0</v>
      </c>
      <c r="AQ125" s="51">
        <f t="shared" si="93"/>
        <v>0</v>
      </c>
      <c r="AR125" s="51">
        <f t="shared" si="93"/>
        <v>0</v>
      </c>
      <c r="AS125" s="51">
        <f t="shared" si="93"/>
        <v>0</v>
      </c>
      <c r="AT125" s="51">
        <f t="shared" si="93"/>
        <v>0</v>
      </c>
      <c r="AU125" s="51">
        <f t="shared" si="93"/>
        <v>0</v>
      </c>
      <c r="AV125" s="51">
        <f t="shared" si="93"/>
        <v>0</v>
      </c>
      <c r="AW125" s="51">
        <f t="shared" si="93"/>
        <v>0</v>
      </c>
      <c r="AX125" s="51">
        <f t="shared" si="93"/>
        <v>0</v>
      </c>
      <c r="AY125" s="51">
        <f t="shared" si="93"/>
        <v>0</v>
      </c>
      <c r="AZ125" s="51">
        <f t="shared" si="93"/>
        <v>0</v>
      </c>
      <c r="BA125" s="51">
        <f t="shared" si="93"/>
        <v>0</v>
      </c>
      <c r="BB125" s="51">
        <f t="shared" si="93"/>
        <v>0</v>
      </c>
      <c r="BC125" s="51">
        <f t="shared" si="93"/>
        <v>0</v>
      </c>
      <c r="BD125" s="51">
        <f t="shared" si="93"/>
        <v>0</v>
      </c>
      <c r="BE125" s="51">
        <f t="shared" si="93"/>
        <v>0</v>
      </c>
      <c r="BF125" s="51">
        <f t="shared" si="93"/>
        <v>0</v>
      </c>
      <c r="BG125" s="51">
        <f t="shared" si="93"/>
        <v>0</v>
      </c>
      <c r="BH125" s="51">
        <f t="shared" si="93"/>
        <v>0</v>
      </c>
      <c r="BI125" s="51">
        <f t="shared" si="93"/>
        <v>0</v>
      </c>
      <c r="BJ125" s="51">
        <f t="shared" si="93"/>
        <v>0</v>
      </c>
      <c r="BK125" s="51">
        <f t="shared" si="93"/>
        <v>0</v>
      </c>
      <c r="BL125" s="51">
        <f t="shared" si="93"/>
        <v>0</v>
      </c>
      <c r="BM125" s="51">
        <f t="shared" si="93"/>
        <v>0</v>
      </c>
      <c r="BN125" s="51">
        <f t="shared" si="93"/>
        <v>0</v>
      </c>
      <c r="BO125" s="51">
        <f t="shared" si="93"/>
        <v>0</v>
      </c>
      <c r="BP125" s="51">
        <f t="shared" si="93"/>
        <v>0</v>
      </c>
      <c r="BQ125" s="51">
        <f t="shared" si="93"/>
        <v>0</v>
      </c>
      <c r="BR125" s="51">
        <f t="shared" si="93"/>
        <v>0</v>
      </c>
      <c r="BS125" s="51">
        <f t="shared" si="94" ref="BS125:CK125">IF(BS25="","",BS25/$G25)</f>
        <v>0</v>
      </c>
      <c r="BT125" s="51">
        <f t="shared" si="94"/>
        <v>0</v>
      </c>
      <c r="BU125" s="51">
        <f t="shared" si="94"/>
        <v>0</v>
      </c>
      <c r="BV125" s="51">
        <f t="shared" si="94"/>
        <v>0</v>
      </c>
      <c r="BW125" s="51">
        <f t="shared" si="94"/>
        <v>0</v>
      </c>
      <c r="BX125" s="51">
        <f t="shared" si="94"/>
        <v>0</v>
      </c>
      <c r="BY125" s="51">
        <f t="shared" si="94"/>
        <v>0</v>
      </c>
      <c r="BZ125" s="51">
        <f t="shared" si="94"/>
        <v>0</v>
      </c>
      <c r="CA125" s="51">
        <f t="shared" si="94"/>
        <v>0</v>
      </c>
      <c r="CB125" s="51">
        <f t="shared" si="94"/>
        <v>0</v>
      </c>
      <c r="CC125" s="51">
        <f t="shared" si="94"/>
        <v>0</v>
      </c>
      <c r="CD125" s="51">
        <f t="shared" si="94"/>
        <v>0</v>
      </c>
      <c r="CE125" s="51">
        <f t="shared" si="94"/>
        <v>0</v>
      </c>
      <c r="CF125" s="51">
        <f t="shared" si="94"/>
        <v>0</v>
      </c>
      <c r="CG125" s="51">
        <f t="shared" si="94"/>
        <v>0</v>
      </c>
      <c r="CH125" s="51">
        <f t="shared" si="94"/>
        <v>0</v>
      </c>
      <c r="CI125" s="51">
        <f t="shared" si="94"/>
        <v>0</v>
      </c>
      <c r="CJ125" s="51">
        <f t="shared" si="94"/>
        <v>0</v>
      </c>
      <c r="CK125" s="51">
        <f t="shared" si="94"/>
        <v>0</v>
      </c>
    </row>
    <row r="126" spans="6:89" ht="14.4">
      <c r="F126" t="s">
        <v>53</v>
      </c>
      <c r="G126" s="51">
        <f t="shared" si="95" ref="G126:BR126">IF(G29="","",G29/$G29)</f>
        <v>1</v>
      </c>
      <c r="H126" s="51">
        <f t="shared" si="95"/>
        <v>1.0732405017925819</v>
      </c>
      <c r="I126" s="51">
        <f t="shared" si="95"/>
        <v>1.104782485554012</v>
      </c>
      <c r="J126" s="51">
        <f t="shared" si="95"/>
        <v>1.1827144104169633</v>
      </c>
      <c r="K126" s="51">
        <f t="shared" si="95"/>
        <v>1.2532946989053411</v>
      </c>
      <c r="L126" s="51">
        <f t="shared" si="95"/>
        <v>1.3182730165588845</v>
      </c>
      <c r="M126" s="51">
        <f t="shared" si="95"/>
        <v>1.3784238875620247</v>
      </c>
      <c r="N126" s="51">
        <f t="shared" si="95"/>
        <v>1.4339812681392778</v>
      </c>
      <c r="O126" s="51">
        <f t="shared" si="95"/>
        <v>1.4865869278941255</v>
      </c>
      <c r="P126" s="51">
        <f t="shared" si="95"/>
        <v>1.5364394052834038</v>
      </c>
      <c r="Q126" s="51">
        <f t="shared" si="95"/>
        <v>1.5849379877682683</v>
      </c>
      <c r="R126" s="51">
        <f t="shared" si="95"/>
        <v>1.6315840372811079</v>
      </c>
      <c r="S126" s="51">
        <f t="shared" si="95"/>
        <v>1.6763849624760112</v>
      </c>
      <c r="T126" s="51">
        <f t="shared" si="95"/>
        <v>1.7578141244560583</v>
      </c>
      <c r="U126" s="51">
        <f t="shared" si="95"/>
        <v>1.8183691498969798</v>
      </c>
      <c r="V126" s="51">
        <f t="shared" si="95"/>
        <v>1.8800152532339209</v>
      </c>
      <c r="W126" s="51">
        <f t="shared" si="95"/>
        <v>1.9424885899059903</v>
      </c>
      <c r="X126" s="51">
        <f t="shared" si="95"/>
        <v>2.0052962204132867</v>
      </c>
      <c r="Y126" s="51">
        <f t="shared" si="95"/>
        <v>2.0684017466737363</v>
      </c>
      <c r="Z126" s="51">
        <f t="shared" si="95"/>
        <v>2.1324156984746119</v>
      </c>
      <c r="AA126" s="51">
        <f t="shared" si="95"/>
        <v>2.1971910561693915</v>
      </c>
      <c r="AB126" s="51">
        <f t="shared" si="95"/>
        <v>2.261973837683922</v>
      </c>
      <c r="AC126" s="51">
        <f t="shared" si="95"/>
        <v>2.3266390869445801</v>
      </c>
      <c r="AD126" s="51">
        <f t="shared" si="95"/>
        <v>2.3433339412338223</v>
      </c>
      <c r="AE126" s="51">
        <f t="shared" si="95"/>
        <v>2.4290449114705637</v>
      </c>
      <c r="AF126" s="51">
        <f t="shared" si="95"/>
        <v>2.5029475114967088</v>
      </c>
      <c r="AG126" s="51">
        <f t="shared" si="95"/>
        <v>2.5691400651417737</v>
      </c>
      <c r="AH126" s="51">
        <f t="shared" si="95"/>
        <v>2.6355864938063864</v>
      </c>
      <c r="AI126" s="51">
        <f t="shared" si="95"/>
        <v>2.7022416864454013</v>
      </c>
      <c r="AJ126" s="51">
        <f t="shared" si="95"/>
        <v>2.7690173724453819</v>
      </c>
      <c r="AK126" s="51">
        <f t="shared" si="95"/>
        <v>2.8358430968036545</v>
      </c>
      <c r="AL126" s="51">
        <f t="shared" si="95"/>
        <v>2.9025786616178224</v>
      </c>
      <c r="AM126" s="51">
        <f t="shared" si="95"/>
        <v>2.9691807340954934</v>
      </c>
      <c r="AN126" s="51">
        <f t="shared" si="95"/>
        <v>3.0356172774907799</v>
      </c>
      <c r="AO126" s="51">
        <f t="shared" si="95"/>
        <v>3.1025615923556233</v>
      </c>
      <c r="AP126" s="51">
        <f t="shared" si="95"/>
        <v>3.1694734506933568</v>
      </c>
      <c r="AQ126" s="51">
        <f t="shared" si="95"/>
        <v>3.2363878896363953</v>
      </c>
      <c r="AR126" s="51">
        <f t="shared" si="95"/>
        <v>3.3033676187500576</v>
      </c>
      <c r="AS126" s="51">
        <f t="shared" si="95"/>
        <v>3.370436845327156</v>
      </c>
      <c r="AT126" s="51">
        <f t="shared" si="95"/>
        <v>3.437605916726449</v>
      </c>
      <c r="AU126" s="51">
        <f t="shared" si="95"/>
        <v>3.5049551003736972</v>
      </c>
      <c r="AV126" s="51">
        <f t="shared" si="95"/>
        <v>3.5725608005966722</v>
      </c>
      <c r="AW126" s="51">
        <f t="shared" si="95"/>
        <v>3.6405128378731724</v>
      </c>
      <c r="AX126" s="51" t="str">
        <f t="shared" si="95"/>
        <v/>
      </c>
      <c r="AY126" s="51" t="str">
        <f t="shared" si="95"/>
        <v/>
      </c>
      <c r="AZ126" s="51" t="str">
        <f t="shared" si="95"/>
        <v/>
      </c>
      <c r="BA126" s="51" t="str">
        <f t="shared" si="95"/>
        <v/>
      </c>
      <c r="BB126" s="51" t="str">
        <f t="shared" si="95"/>
        <v/>
      </c>
      <c r="BC126" s="51" t="str">
        <f t="shared" si="95"/>
        <v/>
      </c>
      <c r="BD126" s="51" t="str">
        <f t="shared" si="95"/>
        <v/>
      </c>
      <c r="BE126" s="51" t="str">
        <f t="shared" si="95"/>
        <v/>
      </c>
      <c r="BF126" s="51" t="str">
        <f t="shared" si="95"/>
        <v/>
      </c>
      <c r="BG126" s="51" t="str">
        <f t="shared" si="95"/>
        <v/>
      </c>
      <c r="BH126" s="51" t="str">
        <f t="shared" si="95"/>
        <v/>
      </c>
      <c r="BI126" s="51" t="str">
        <f t="shared" si="95"/>
        <v/>
      </c>
      <c r="BJ126" s="51" t="str">
        <f t="shared" si="95"/>
        <v/>
      </c>
      <c r="BK126" s="51" t="str">
        <f t="shared" si="95"/>
        <v/>
      </c>
      <c r="BL126" s="51" t="str">
        <f t="shared" si="95"/>
        <v/>
      </c>
      <c r="BM126" s="51" t="str">
        <f t="shared" si="95"/>
        <v/>
      </c>
      <c r="BN126" s="51" t="str">
        <f t="shared" si="95"/>
        <v/>
      </c>
      <c r="BO126" s="51" t="str">
        <f t="shared" si="95"/>
        <v/>
      </c>
      <c r="BP126" s="51" t="str">
        <f t="shared" si="95"/>
        <v/>
      </c>
      <c r="BQ126" s="51" t="str">
        <f t="shared" si="95"/>
        <v/>
      </c>
      <c r="BR126" s="51" t="str">
        <f t="shared" si="95"/>
        <v/>
      </c>
      <c r="BS126" s="51" t="str">
        <f t="shared" si="96" ref="BS126:CK126">IF(BS29="","",BS29/$G29)</f>
        <v/>
      </c>
      <c r="BT126" s="51" t="str">
        <f t="shared" si="96"/>
        <v/>
      </c>
      <c r="BU126" s="51" t="str">
        <f t="shared" si="96"/>
        <v/>
      </c>
      <c r="BV126" s="51" t="str">
        <f t="shared" si="96"/>
        <v/>
      </c>
      <c r="BW126" s="51" t="str">
        <f t="shared" si="96"/>
        <v/>
      </c>
      <c r="BX126" s="51" t="str">
        <f t="shared" si="96"/>
        <v/>
      </c>
      <c r="BY126" s="51" t="str">
        <f t="shared" si="96"/>
        <v/>
      </c>
      <c r="BZ126" s="51" t="str">
        <f t="shared" si="96"/>
        <v/>
      </c>
      <c r="CA126" s="51" t="str">
        <f t="shared" si="96"/>
        <v/>
      </c>
      <c r="CB126" s="51" t="str">
        <f t="shared" si="96"/>
        <v/>
      </c>
      <c r="CC126" s="51" t="str">
        <f t="shared" si="96"/>
        <v/>
      </c>
      <c r="CD126" s="51" t="str">
        <f t="shared" si="96"/>
        <v/>
      </c>
      <c r="CE126" s="51" t="str">
        <f t="shared" si="96"/>
        <v/>
      </c>
      <c r="CF126" s="51" t="str">
        <f t="shared" si="96"/>
        <v/>
      </c>
      <c r="CG126" s="51" t="str">
        <f t="shared" si="96"/>
        <v/>
      </c>
      <c r="CH126" s="51" t="str">
        <f t="shared" si="96"/>
        <v/>
      </c>
      <c r="CI126" s="51" t="str">
        <f t="shared" si="96"/>
        <v/>
      </c>
      <c r="CJ126" s="51" t="str">
        <f t="shared" si="96"/>
        <v/>
      </c>
      <c r="CK126" s="51" t="str">
        <f t="shared" si="96"/>
        <v/>
      </c>
    </row>
    <row r="127" spans="6:89" ht="14.4">
      <c r="F127" t="s">
        <v>55</v>
      </c>
      <c r="G127" s="51">
        <f t="shared" si="97" ref="G127:BR127">IF(G30="","",G30/$G30)</f>
        <v>1</v>
      </c>
      <c r="H127" s="51">
        <f t="shared" si="97"/>
        <v>1.0223895855201035</v>
      </c>
      <c r="I127" s="51">
        <f t="shared" si="97"/>
        <v>1.0389909791963787</v>
      </c>
      <c r="J127" s="51">
        <f t="shared" si="97"/>
        <v>1.0509713994058973</v>
      </c>
      <c r="K127" s="51">
        <f t="shared" si="97"/>
        <v>1.0629991359314803</v>
      </c>
      <c r="L127" s="51">
        <f t="shared" si="97"/>
        <v>1.0753507167749627</v>
      </c>
      <c r="M127" s="51">
        <f t="shared" si="97"/>
        <v>1.0877616864057273</v>
      </c>
      <c r="N127" s="51">
        <f t="shared" si="97"/>
        <v>1.0997737352483465</v>
      </c>
      <c r="O127" s="51">
        <f t="shared" si="97"/>
        <v>1.1121588804427716</v>
      </c>
      <c r="P127" s="51">
        <f t="shared" si="97"/>
        <v>1.124656166023053</v>
      </c>
      <c r="Q127" s="51">
        <f t="shared" si="97"/>
        <v>1.1379632412503542</v>
      </c>
      <c r="R127" s="51">
        <f t="shared" si="97"/>
        <v>1.1514460020471124</v>
      </c>
      <c r="S127" s="51">
        <f t="shared" si="97"/>
        <v>1.1649095900879036</v>
      </c>
      <c r="T127" s="51">
        <f t="shared" si="97"/>
        <v>1.1751094931835262</v>
      </c>
      <c r="U127" s="51">
        <f t="shared" si="97"/>
        <v>1.1869868924122655</v>
      </c>
      <c r="V127" s="51">
        <f t="shared" si="97"/>
        <v>1.1988688436963517</v>
      </c>
      <c r="W127" s="51">
        <f t="shared" si="97"/>
        <v>1.2105852506346355</v>
      </c>
      <c r="X127" s="51">
        <f t="shared" si="97"/>
        <v>1.2218415508374028</v>
      </c>
      <c r="Y127" s="51">
        <f t="shared" si="97"/>
        <v>1.2326411637142807</v>
      </c>
      <c r="Z127" s="51">
        <f t="shared" si="97"/>
        <v>1.2433646843621973</v>
      </c>
      <c r="AA127" s="51">
        <f t="shared" si="97"/>
        <v>1.253928305958443</v>
      </c>
      <c r="AB127" s="51">
        <f t="shared" si="97"/>
        <v>1.2639160792628377</v>
      </c>
      <c r="AC127" s="51">
        <f t="shared" si="97"/>
        <v>1.2732906008667402</v>
      </c>
      <c r="AD127" s="51">
        <f t="shared" si="97"/>
        <v>1.276937314274585</v>
      </c>
      <c r="AE127" s="51">
        <f t="shared" si="97"/>
        <v>1.2805840276824296</v>
      </c>
      <c r="AF127" s="51">
        <f t="shared" si="97"/>
        <v>1.2893052227468764</v>
      </c>
      <c r="AG127" s="51">
        <f t="shared" si="97"/>
        <v>1.2977131254812257</v>
      </c>
      <c r="AH127" s="51">
        <f t="shared" si="97"/>
        <v>1.3057913397495942</v>
      </c>
      <c r="AI127" s="51">
        <f t="shared" si="97"/>
        <v>1.3135329552851791</v>
      </c>
      <c r="AJ127" s="51">
        <f t="shared" si="97"/>
        <v>1.3209111495170076</v>
      </c>
      <c r="AK127" s="51">
        <f t="shared" si="97"/>
        <v>1.3279095799369378</v>
      </c>
      <c r="AL127" s="51">
        <f t="shared" si="97"/>
        <v>1.3344812059040263</v>
      </c>
      <c r="AM127" s="51">
        <f t="shared" si="97"/>
        <v>1.3406262850108095</v>
      </c>
      <c r="AN127" s="51">
        <f t="shared" si="97"/>
        <v>1.3463502819447746</v>
      </c>
      <c r="AO127" s="51">
        <f t="shared" si="97"/>
        <v>1.3519658496477347</v>
      </c>
      <c r="AP127" s="51">
        <f t="shared" si="97"/>
        <v>1.3572445672853435</v>
      </c>
      <c r="AQ127" s="51">
        <f t="shared" si="97"/>
        <v>1.3622157922334783</v>
      </c>
      <c r="AR127" s="51">
        <f t="shared" si="97"/>
        <v>1.3669185093779752</v>
      </c>
      <c r="AS127" s="51">
        <f t="shared" si="97"/>
        <v>1.3713735764782193</v>
      </c>
      <c r="AT127" s="51">
        <f t="shared" si="97"/>
        <v>1.3755950484485018</v>
      </c>
      <c r="AU127" s="51">
        <f t="shared" si="97"/>
        <v>1.3796236933854702</v>
      </c>
      <c r="AV127" s="51">
        <f t="shared" si="97"/>
        <v>1.3834962486020359</v>
      </c>
      <c r="AW127" s="51">
        <f t="shared" si="97"/>
        <v>1.3872522921612171</v>
      </c>
      <c r="AX127" s="51" t="str">
        <f t="shared" si="97"/>
        <v/>
      </c>
      <c r="AY127" s="51" t="str">
        <f t="shared" si="97"/>
        <v/>
      </c>
      <c r="AZ127" s="51" t="str">
        <f t="shared" si="97"/>
        <v/>
      </c>
      <c r="BA127" s="51" t="str">
        <f t="shared" si="97"/>
        <v/>
      </c>
      <c r="BB127" s="51" t="str">
        <f t="shared" si="97"/>
        <v/>
      </c>
      <c r="BC127" s="51" t="str">
        <f t="shared" si="97"/>
        <v/>
      </c>
      <c r="BD127" s="51" t="str">
        <f t="shared" si="97"/>
        <v/>
      </c>
      <c r="BE127" s="51" t="str">
        <f t="shared" si="97"/>
        <v/>
      </c>
      <c r="BF127" s="51" t="str">
        <f t="shared" si="97"/>
        <v/>
      </c>
      <c r="BG127" s="51" t="str">
        <f t="shared" si="97"/>
        <v/>
      </c>
      <c r="BH127" s="51" t="str">
        <f t="shared" si="97"/>
        <v/>
      </c>
      <c r="BI127" s="51" t="str">
        <f t="shared" si="97"/>
        <v/>
      </c>
      <c r="BJ127" s="51" t="str">
        <f t="shared" si="97"/>
        <v/>
      </c>
      <c r="BK127" s="51" t="str">
        <f t="shared" si="97"/>
        <v/>
      </c>
      <c r="BL127" s="51" t="str">
        <f t="shared" si="97"/>
        <v/>
      </c>
      <c r="BM127" s="51" t="str">
        <f t="shared" si="97"/>
        <v/>
      </c>
      <c r="BN127" s="51" t="str">
        <f t="shared" si="97"/>
        <v/>
      </c>
      <c r="BO127" s="51" t="str">
        <f t="shared" si="97"/>
        <v/>
      </c>
      <c r="BP127" s="51" t="str">
        <f t="shared" si="97"/>
        <v/>
      </c>
      <c r="BQ127" s="51" t="str">
        <f t="shared" si="97"/>
        <v/>
      </c>
      <c r="BR127" s="51" t="str">
        <f t="shared" si="97"/>
        <v/>
      </c>
      <c r="BS127" s="51" t="str">
        <f t="shared" si="98" ref="BS127:CK127">IF(BS30="","",BS30/$G30)</f>
        <v/>
      </c>
      <c r="BT127" s="51" t="str">
        <f t="shared" si="98"/>
        <v/>
      </c>
      <c r="BU127" s="51" t="str">
        <f t="shared" si="98"/>
        <v/>
      </c>
      <c r="BV127" s="51" t="str">
        <f t="shared" si="98"/>
        <v/>
      </c>
      <c r="BW127" s="51" t="str">
        <f t="shared" si="98"/>
        <v/>
      </c>
      <c r="BX127" s="51" t="str">
        <f t="shared" si="98"/>
        <v/>
      </c>
      <c r="BY127" s="51" t="str">
        <f t="shared" si="98"/>
        <v/>
      </c>
      <c r="BZ127" s="51" t="str">
        <f t="shared" si="98"/>
        <v/>
      </c>
      <c r="CA127" s="51" t="str">
        <f t="shared" si="98"/>
        <v/>
      </c>
      <c r="CB127" s="51" t="str">
        <f t="shared" si="98"/>
        <v/>
      </c>
      <c r="CC127" s="51" t="str">
        <f t="shared" si="98"/>
        <v/>
      </c>
      <c r="CD127" s="51" t="str">
        <f t="shared" si="98"/>
        <v/>
      </c>
      <c r="CE127" s="51" t="str">
        <f t="shared" si="98"/>
        <v/>
      </c>
      <c r="CF127" s="51" t="str">
        <f t="shared" si="98"/>
        <v/>
      </c>
      <c r="CG127" s="51" t="str">
        <f t="shared" si="98"/>
        <v/>
      </c>
      <c r="CH127" s="51" t="str">
        <f t="shared" si="98"/>
        <v/>
      </c>
      <c r="CI127" s="51" t="str">
        <f t="shared" si="98"/>
        <v/>
      </c>
      <c r="CJ127" s="51" t="str">
        <f t="shared" si="98"/>
        <v/>
      </c>
      <c r="CK127" s="51" t="str">
        <f t="shared" si="98"/>
        <v/>
      </c>
    </row>
    <row r="128" spans="6:89" ht="14.4">
      <c r="F128" t="s">
        <v>57</v>
      </c>
      <c r="G128" s="51">
        <f t="shared" si="99" ref="G128:BR128">IF(G31="","",G31/$G31)</f>
        <v>1</v>
      </c>
      <c r="H128" s="51">
        <f t="shared" si="99"/>
        <v>1.0292707790368165</v>
      </c>
      <c r="I128" s="51">
        <f t="shared" si="99"/>
        <v>1.0447204717078731</v>
      </c>
      <c r="J128" s="51">
        <f t="shared" si="99"/>
        <v>1.0509314865758428</v>
      </c>
      <c r="K128" s="51">
        <f t="shared" si="99"/>
        <v>1.0578526315410937</v>
      </c>
      <c r="L128" s="51">
        <f t="shared" si="99"/>
        <v>1.0656316671280852</v>
      </c>
      <c r="M128" s="51">
        <f t="shared" si="99"/>
        <v>1.0739081810638476</v>
      </c>
      <c r="N128" s="51">
        <f t="shared" si="99"/>
        <v>1.0821567705004884</v>
      </c>
      <c r="O128" s="51">
        <f t="shared" si="99"/>
        <v>1.0910802395814874</v>
      </c>
      <c r="P128" s="51">
        <f t="shared" si="99"/>
        <v>1.1003735786669882</v>
      </c>
      <c r="Q128" s="51">
        <f t="shared" si="99"/>
        <v>1.1106794393699082</v>
      </c>
      <c r="R128" s="51">
        <f t="shared" si="99"/>
        <v>1.1213444942290118</v>
      </c>
      <c r="S128" s="51">
        <f t="shared" si="99"/>
        <v>1.1321536043896532</v>
      </c>
      <c r="T128" s="51">
        <f t="shared" si="99"/>
        <v>1.1360988264449943</v>
      </c>
      <c r="U128" s="51">
        <f t="shared" si="99"/>
        <v>1.1437532943976052</v>
      </c>
      <c r="V128" s="51">
        <f t="shared" si="99"/>
        <v>1.1513151437973856</v>
      </c>
      <c r="W128" s="51">
        <f t="shared" si="99"/>
        <v>1.1586207662984929</v>
      </c>
      <c r="X128" s="51">
        <f t="shared" si="99"/>
        <v>1.1653900590462778</v>
      </c>
      <c r="Y128" s="51">
        <f t="shared" si="99"/>
        <v>1.1716300424922845</v>
      </c>
      <c r="Z128" s="51">
        <f t="shared" si="99"/>
        <v>1.1777049896786054</v>
      </c>
      <c r="AA128" s="51">
        <f t="shared" si="99"/>
        <v>1.1835358136576555</v>
      </c>
      <c r="AB128" s="51">
        <f t="shared" si="99"/>
        <v>1.1887321647746725</v>
      </c>
      <c r="AC128" s="51">
        <f t="shared" si="99"/>
        <v>1.1932640558624394</v>
      </c>
      <c r="AD128" s="51">
        <f t="shared" si="99"/>
        <v>1.1935105092741243</v>
      </c>
      <c r="AE128" s="51">
        <f t="shared" si="99"/>
        <v>1.1937219030602833</v>
      </c>
      <c r="AF128" s="51">
        <f t="shared" si="99"/>
        <v>1.1951146442553289</v>
      </c>
      <c r="AG128" s="51">
        <f t="shared" si="99"/>
        <v>1.19844596235289</v>
      </c>
      <c r="AH128" s="51">
        <f t="shared" si="99"/>
        <v>1.2013916916403073</v>
      </c>
      <c r="AI128" s="51">
        <f t="shared" si="99"/>
        <v>1.2039482628189224</v>
      </c>
      <c r="AJ128" s="51">
        <f t="shared" si="99"/>
        <v>1.2060940519561114</v>
      </c>
      <c r="AK128" s="51">
        <f t="shared" si="99"/>
        <v>1.2078173758948294</v>
      </c>
      <c r="AL128" s="51">
        <f t="shared" si="99"/>
        <v>1.2090790040554307</v>
      </c>
      <c r="AM128" s="51">
        <f t="shared" si="99"/>
        <v>1.2098830973414278</v>
      </c>
      <c r="AN128" s="51">
        <f t="shared" si="99"/>
        <v>1.210238537094634</v>
      </c>
      <c r="AO128" s="51">
        <f t="shared" si="99"/>
        <v>1.2104291990089813</v>
      </c>
      <c r="AP128" s="51">
        <f t="shared" si="99"/>
        <v>1.2102520104033179</v>
      </c>
      <c r="AQ128" s="51">
        <f t="shared" si="99"/>
        <v>1.2097361484379088</v>
      </c>
      <c r="AR128" s="51">
        <f t="shared" si="99"/>
        <v>1.2089189107040383</v>
      </c>
      <c r="AS128" s="51">
        <f t="shared" si="99"/>
        <v>1.2078210882873863</v>
      </c>
      <c r="AT128" s="51">
        <f t="shared" si="99"/>
        <v>1.2064572248843033</v>
      </c>
      <c r="AU128" s="51">
        <f t="shared" si="99"/>
        <v>1.20486500971725</v>
      </c>
      <c r="AV128" s="51">
        <f t="shared" si="99"/>
        <v>1.2030780411853927</v>
      </c>
      <c r="AW128" s="51">
        <f t="shared" si="99"/>
        <v>1.2011318438988039</v>
      </c>
      <c r="AX128" s="51" t="str">
        <f t="shared" si="99"/>
        <v/>
      </c>
      <c r="AY128" s="51" t="str">
        <f t="shared" si="99"/>
        <v/>
      </c>
      <c r="AZ128" s="51" t="str">
        <f t="shared" si="99"/>
        <v/>
      </c>
      <c r="BA128" s="51" t="str">
        <f t="shared" si="99"/>
        <v/>
      </c>
      <c r="BB128" s="51" t="str">
        <f t="shared" si="99"/>
        <v/>
      </c>
      <c r="BC128" s="51" t="str">
        <f t="shared" si="99"/>
        <v/>
      </c>
      <c r="BD128" s="51" t="str">
        <f t="shared" si="99"/>
        <v/>
      </c>
      <c r="BE128" s="51" t="str">
        <f t="shared" si="99"/>
        <v/>
      </c>
      <c r="BF128" s="51" t="str">
        <f t="shared" si="99"/>
        <v/>
      </c>
      <c r="BG128" s="51" t="str">
        <f t="shared" si="99"/>
        <v/>
      </c>
      <c r="BH128" s="51" t="str">
        <f t="shared" si="99"/>
        <v/>
      </c>
      <c r="BI128" s="51" t="str">
        <f t="shared" si="99"/>
        <v/>
      </c>
      <c r="BJ128" s="51" t="str">
        <f t="shared" si="99"/>
        <v/>
      </c>
      <c r="BK128" s="51" t="str">
        <f t="shared" si="99"/>
        <v/>
      </c>
      <c r="BL128" s="51" t="str">
        <f t="shared" si="99"/>
        <v/>
      </c>
      <c r="BM128" s="51" t="str">
        <f t="shared" si="99"/>
        <v/>
      </c>
      <c r="BN128" s="51" t="str">
        <f t="shared" si="99"/>
        <v/>
      </c>
      <c r="BO128" s="51" t="str">
        <f t="shared" si="99"/>
        <v/>
      </c>
      <c r="BP128" s="51" t="str">
        <f t="shared" si="99"/>
        <v/>
      </c>
      <c r="BQ128" s="51" t="str">
        <f t="shared" si="99"/>
        <v/>
      </c>
      <c r="BR128" s="51" t="str">
        <f t="shared" si="99"/>
        <v/>
      </c>
      <c r="BS128" s="51" t="str">
        <f t="shared" si="100" ref="BS128:CK128">IF(BS31="","",BS31/$G31)</f>
        <v/>
      </c>
      <c r="BT128" s="51" t="str">
        <f t="shared" si="100"/>
        <v/>
      </c>
      <c r="BU128" s="51" t="str">
        <f t="shared" si="100"/>
        <v/>
      </c>
      <c r="BV128" s="51" t="str">
        <f t="shared" si="100"/>
        <v/>
      </c>
      <c r="BW128" s="51" t="str">
        <f t="shared" si="100"/>
        <v/>
      </c>
      <c r="BX128" s="51" t="str">
        <f t="shared" si="100"/>
        <v/>
      </c>
      <c r="BY128" s="51" t="str">
        <f t="shared" si="100"/>
        <v/>
      </c>
      <c r="BZ128" s="51" t="str">
        <f t="shared" si="100"/>
        <v/>
      </c>
      <c r="CA128" s="51" t="str">
        <f t="shared" si="100"/>
        <v/>
      </c>
      <c r="CB128" s="51" t="str">
        <f t="shared" si="100"/>
        <v/>
      </c>
      <c r="CC128" s="51" t="str">
        <f t="shared" si="100"/>
        <v/>
      </c>
      <c r="CD128" s="51" t="str">
        <f t="shared" si="100"/>
        <v/>
      </c>
      <c r="CE128" s="51" t="str">
        <f t="shared" si="100"/>
        <v/>
      </c>
      <c r="CF128" s="51" t="str">
        <f t="shared" si="100"/>
        <v/>
      </c>
      <c r="CG128" s="51" t="str">
        <f t="shared" si="100"/>
        <v/>
      </c>
      <c r="CH128" s="51" t="str">
        <f t="shared" si="100"/>
        <v/>
      </c>
      <c r="CI128" s="51" t="str">
        <f t="shared" si="100"/>
        <v/>
      </c>
      <c r="CJ128" s="51" t="str">
        <f t="shared" si="100"/>
        <v/>
      </c>
      <c r="CK128" s="51" t="str">
        <f t="shared" si="100"/>
        <v/>
      </c>
    </row>
    <row r="129" spans="6:89" ht="14.4">
      <c r="F129" t="s">
        <v>135</v>
      </c>
      <c r="G129" s="51">
        <f t="shared" si="101" ref="G129:BR129">IF(G32="","",G32/$G32)</f>
        <v>1</v>
      </c>
      <c r="H129" s="51">
        <f t="shared" si="101"/>
        <v>1.0132798023471263</v>
      </c>
      <c r="I129" s="51">
        <f t="shared" si="101"/>
        <v>1.024788964381304</v>
      </c>
      <c r="J129" s="51">
        <f t="shared" si="101"/>
        <v>1.0584875112888252</v>
      </c>
      <c r="K129" s="51">
        <f t="shared" si="101"/>
        <v>1.0932941810422667</v>
      </c>
      <c r="L129" s="51">
        <f t="shared" si="101"/>
        <v>1.1292454124900175</v>
      </c>
      <c r="M129" s="51">
        <f t="shared" si="101"/>
        <v>1.166378842713744</v>
      </c>
      <c r="N129" s="51">
        <f t="shared" si="101"/>
        <v>1.2047333464303791</v>
      </c>
      <c r="O129" s="51">
        <f t="shared" si="101"/>
        <v>1.2443490766897787</v>
      </c>
      <c r="P129" s="51">
        <f t="shared" si="101"/>
        <v>1.2702555493876833</v>
      </c>
      <c r="Q129" s="51">
        <f t="shared" si="101"/>
        <v>1.2967013766286333</v>
      </c>
      <c r="R129" s="51">
        <f t="shared" si="101"/>
        <v>1.3236977873949183</v>
      </c>
      <c r="S129" s="51">
        <f t="shared" si="101"/>
        <v>1.351256244448342</v>
      </c>
      <c r="T129" s="51">
        <f t="shared" si="101"/>
        <v>1.3793884491973485</v>
      </c>
      <c r="U129" s="51">
        <f t="shared" si="101"/>
        <v>1.3963664259830202</v>
      </c>
      <c r="V129" s="51">
        <f t="shared" si="101"/>
        <v>1.4135533734149972</v>
      </c>
      <c r="W129" s="51">
        <f t="shared" si="101"/>
        <v>1.4309518635742506</v>
      </c>
      <c r="X129" s="51">
        <f t="shared" si="101"/>
        <v>1.4485645001997887</v>
      </c>
      <c r="Y129" s="51">
        <f t="shared" si="101"/>
        <v>1.4663939190783151</v>
      </c>
      <c r="Z129" s="51">
        <f t="shared" si="101"/>
        <v>1.4800702447683689</v>
      </c>
      <c r="AA129" s="51">
        <f t="shared" si="101"/>
        <v>1.4938741227361201</v>
      </c>
      <c r="AB129" s="51">
        <f t="shared" si="101"/>
        <v>1.507806742598131</v>
      </c>
      <c r="AC129" s="51">
        <f t="shared" si="101"/>
        <v>1.5218693050659242</v>
      </c>
      <c r="AD129" s="51">
        <f t="shared" si="101"/>
        <v>1.5360630220494613</v>
      </c>
      <c r="AE129" s="51">
        <f t="shared" si="101"/>
        <v>1.547238153924368</v>
      </c>
      <c r="AF129" s="51">
        <f t="shared" si="101"/>
        <v>1.5584945868726217</v>
      </c>
      <c r="AG129" s="51">
        <f t="shared" si="101"/>
        <v>1.5698329123740011</v>
      </c>
      <c r="AH129" s="51">
        <f t="shared" si="101"/>
        <v>1.5812537262114057</v>
      </c>
      <c r="AI129" s="51">
        <f t="shared" si="101"/>
        <v>1.5927576285021614</v>
      </c>
      <c r="AJ129" s="51">
        <f t="shared" si="101"/>
        <v>1.6043800909586929</v>
      </c>
      <c r="AK129" s="51">
        <f t="shared" si="101"/>
        <v>1.6160873633267492</v>
      </c>
      <c r="AL129" s="51">
        <f t="shared" si="101"/>
        <v>1.6278800644701139</v>
      </c>
      <c r="AM129" s="51">
        <f t="shared" si="101"/>
        <v>1.6397588177684628</v>
      </c>
      <c r="AN129" s="51">
        <f t="shared" si="101"/>
        <v>1.6517242511503156</v>
      </c>
      <c r="AO129" s="51">
        <f t="shared" si="101"/>
        <v>1.6665897694106682</v>
      </c>
      <c r="AP129" s="51">
        <f t="shared" si="101"/>
        <v>1.6815890773353641</v>
      </c>
      <c r="AQ129" s="51">
        <f t="shared" si="101"/>
        <v>1.696723379031382</v>
      </c>
      <c r="AR129" s="51">
        <f t="shared" si="101"/>
        <v>1.7119938894426645</v>
      </c>
      <c r="AS129" s="51">
        <f t="shared" si="101"/>
        <v>1.7274018344476483</v>
      </c>
      <c r="AT129" s="51">
        <f t="shared" si="101"/>
        <v>1.7429484509576767</v>
      </c>
      <c r="AU129" s="51">
        <f t="shared" si="101"/>
        <v>1.7586349870162956</v>
      </c>
      <c r="AV129" s="51">
        <f t="shared" si="101"/>
        <v>1.7744627018994419</v>
      </c>
      <c r="AW129" s="51">
        <f t="shared" si="101"/>
        <v>1.7904328662165367</v>
      </c>
      <c r="AX129" s="51">
        <f t="shared" si="101"/>
        <v>1.8065467620124855</v>
      </c>
      <c r="AY129" s="51">
        <f t="shared" si="101"/>
        <v>1.8228056828705976</v>
      </c>
      <c r="AZ129" s="51">
        <f t="shared" si="101"/>
        <v>1.8392109340164327</v>
      </c>
      <c r="BA129" s="51">
        <f t="shared" si="101"/>
        <v>1.8557638324225805</v>
      </c>
      <c r="BB129" s="51">
        <f t="shared" si="101"/>
        <v>1.8724657069143833</v>
      </c>
      <c r="BC129" s="51">
        <f t="shared" si="101"/>
        <v>1.8893178982766126</v>
      </c>
      <c r="BD129" s="51">
        <f t="shared" si="101"/>
        <v>1.9063217593611022</v>
      </c>
      <c r="BE129" s="51">
        <f t="shared" si="101"/>
        <v>1.923478655195352</v>
      </c>
      <c r="BF129" s="51">
        <f t="shared" si="101"/>
        <v>1.9407899630921097</v>
      </c>
      <c r="BG129" s="51">
        <f t="shared" si="101"/>
        <v>1.9582570727599387</v>
      </c>
      <c r="BH129" s="51">
        <f t="shared" si="101"/>
        <v>1.975881386414778</v>
      </c>
      <c r="BI129" s="51">
        <f t="shared" si="101"/>
        <v>1.9936643188925109</v>
      </c>
      <c r="BJ129" s="51">
        <f t="shared" si="101"/>
        <v>2.0116072977625432</v>
      </c>
      <c r="BK129" s="51">
        <f t="shared" si="101"/>
        <v>2.029711763442406</v>
      </c>
      <c r="BL129" s="51">
        <f t="shared" si="101"/>
        <v>2.0479791693133875</v>
      </c>
      <c r="BM129" s="51">
        <f t="shared" si="101"/>
        <v>2.0664109818372078</v>
      </c>
      <c r="BN129" s="51">
        <f t="shared" si="101"/>
        <v>2.0850086806737425</v>
      </c>
      <c r="BO129" s="51">
        <f t="shared" si="101"/>
        <v>2.1037737587998055</v>
      </c>
      <c r="BP129" s="51">
        <f t="shared" si="101"/>
        <v>2.1227077226290039</v>
      </c>
      <c r="BQ129" s="51">
        <f t="shared" si="101"/>
        <v>2.1418120921326649</v>
      </c>
      <c r="BR129" s="51">
        <f t="shared" si="101"/>
        <v>2.1610884009618587</v>
      </c>
      <c r="BS129" s="51">
        <f t="shared" si="102" ref="BS129:CK129">IF(BS32="","",BS32/$G32)</f>
        <v>2.1805381965705148</v>
      </c>
      <c r="BT129" s="51">
        <f t="shared" si="102"/>
        <v>2.2001630403396493</v>
      </c>
      <c r="BU129" s="51">
        <f t="shared" si="102"/>
        <v>2.2199645077027057</v>
      </c>
      <c r="BV129" s="51">
        <f t="shared" si="102"/>
        <v>2.2399441882720299</v>
      </c>
      <c r="BW129" s="51">
        <f t="shared" si="102"/>
        <v>2.2601036859664778</v>
      </c>
      <c r="BX129" s="51">
        <f t="shared" si="102"/>
        <v>2.2804446191401762</v>
      </c>
      <c r="BY129" s="51">
        <f t="shared" si="102"/>
        <v>2.3009686207124376</v>
      </c>
      <c r="BZ129" s="51">
        <f t="shared" si="102"/>
        <v>2.3216773382988491</v>
      </c>
      <c r="CA129" s="51">
        <f t="shared" si="102"/>
        <v>2.3425724343435381</v>
      </c>
      <c r="CB129" s="51">
        <f t="shared" si="102"/>
        <v>2.3636555862526296</v>
      </c>
      <c r="CC129" s="51">
        <f t="shared" si="102"/>
        <v>2.3849284865289029</v>
      </c>
      <c r="CD129" s="51">
        <f t="shared" si="102"/>
        <v>2.4063928429076626</v>
      </c>
      <c r="CE129" s="51">
        <f t="shared" si="102"/>
        <v>2.4280503784938317</v>
      </c>
      <c r="CF129" s="51">
        <f t="shared" si="102"/>
        <v>2.449902831900276</v>
      </c>
      <c r="CG129" s="51">
        <f t="shared" si="102"/>
        <v>2.4719519573873781</v>
      </c>
      <c r="CH129" s="51">
        <f t="shared" si="102"/>
        <v>2.4941995250038644</v>
      </c>
      <c r="CI129" s="51">
        <f t="shared" si="102"/>
        <v>2.5166473207288989</v>
      </c>
      <c r="CJ129" s="51">
        <f t="shared" si="102"/>
        <v>2.5392971466154588</v>
      </c>
      <c r="CK129" s="51">
        <f t="shared" si="102"/>
        <v>2.5621508209349972</v>
      </c>
    </row>
    <row r="130" spans="6:89" ht="14.4">
      <c r="F130" t="s">
        <v>137</v>
      </c>
      <c r="G130" s="51">
        <f t="shared" si="103" ref="G130:BR130">IF(G33="","",G33/$G33)</f>
        <v>1</v>
      </c>
      <c r="H130" s="51">
        <f t="shared" si="103"/>
        <v>1.0132798023471279</v>
      </c>
      <c r="I130" s="51">
        <f t="shared" si="103"/>
        <v>1.0247889643813055</v>
      </c>
      <c r="J130" s="51">
        <f t="shared" si="103"/>
        <v>1.0584875112888266</v>
      </c>
      <c r="K130" s="51">
        <f t="shared" si="103"/>
        <v>1.0932941810422678</v>
      </c>
      <c r="L130" s="51">
        <f t="shared" si="103"/>
        <v>1.1292454124900191</v>
      </c>
      <c r="M130" s="51">
        <f t="shared" si="103"/>
        <v>1.1663788427137456</v>
      </c>
      <c r="N130" s="51">
        <f t="shared" si="103"/>
        <v>1.2047333464303807</v>
      </c>
      <c r="O130" s="51">
        <f t="shared" si="103"/>
        <v>1.24434907668978</v>
      </c>
      <c r="P130" s="51">
        <f t="shared" si="103"/>
        <v>1.2702555493876846</v>
      </c>
      <c r="Q130" s="51">
        <f t="shared" si="103"/>
        <v>1.2967013766286346</v>
      </c>
      <c r="R130" s="51">
        <f t="shared" si="103"/>
        <v>1.3236977873949198</v>
      </c>
      <c r="S130" s="51">
        <f t="shared" si="103"/>
        <v>1.3512562444483438</v>
      </c>
      <c r="T130" s="51">
        <f t="shared" si="103"/>
        <v>1.3793884491973503</v>
      </c>
      <c r="U130" s="51">
        <f t="shared" si="103"/>
        <v>1.396366425983022</v>
      </c>
      <c r="V130" s="51">
        <f t="shared" si="103"/>
        <v>1.4135533734149992</v>
      </c>
      <c r="W130" s="51">
        <f t="shared" si="103"/>
        <v>1.4309518635742526</v>
      </c>
      <c r="X130" s="51">
        <f t="shared" si="103"/>
        <v>1.4485645001997907</v>
      </c>
      <c r="Y130" s="51">
        <f t="shared" si="103"/>
        <v>1.4663939190783171</v>
      </c>
      <c r="Z130" s="51">
        <f t="shared" si="103"/>
        <v>1.4800702447683707</v>
      </c>
      <c r="AA130" s="51">
        <f t="shared" si="103"/>
        <v>1.4938741227361221</v>
      </c>
      <c r="AB130" s="51">
        <f t="shared" si="103"/>
        <v>1.507806742598133</v>
      </c>
      <c r="AC130" s="51">
        <f t="shared" si="103"/>
        <v>1.5218693050659262</v>
      </c>
      <c r="AD130" s="51">
        <f t="shared" si="103"/>
        <v>1.5360630220494631</v>
      </c>
      <c r="AE130" s="51">
        <f t="shared" si="103"/>
        <v>1.5472381539243698</v>
      </c>
      <c r="AF130" s="51">
        <f t="shared" si="103"/>
        <v>1.5584945868726234</v>
      </c>
      <c r="AG130" s="51">
        <f t="shared" si="103"/>
        <v>1.5698329123740029</v>
      </c>
      <c r="AH130" s="51">
        <f t="shared" si="103"/>
        <v>1.5812537262114077</v>
      </c>
      <c r="AI130" s="51">
        <f t="shared" si="103"/>
        <v>1.5927576285021632</v>
      </c>
      <c r="AJ130" s="51">
        <f t="shared" si="103"/>
        <v>1.6043800909586949</v>
      </c>
      <c r="AK130" s="51">
        <f t="shared" si="103"/>
        <v>1.6160873633267512</v>
      </c>
      <c r="AL130" s="51">
        <f t="shared" si="103"/>
        <v>1.6278800644701157</v>
      </c>
      <c r="AM130" s="51">
        <f t="shared" si="103"/>
        <v>1.6397588177684645</v>
      </c>
      <c r="AN130" s="51">
        <f t="shared" si="103"/>
        <v>1.6517242511503174</v>
      </c>
      <c r="AO130" s="51">
        <f t="shared" si="103"/>
        <v>1.6665897694106699</v>
      </c>
      <c r="AP130" s="51">
        <f t="shared" si="103"/>
        <v>1.6815890773353661</v>
      </c>
      <c r="AQ130" s="51">
        <f t="shared" si="103"/>
        <v>1.6967233790313843</v>
      </c>
      <c r="AR130" s="51">
        <f t="shared" si="103"/>
        <v>1.7119938894426665</v>
      </c>
      <c r="AS130" s="51">
        <f t="shared" si="103"/>
        <v>1.7274018344476503</v>
      </c>
      <c r="AT130" s="51">
        <f t="shared" si="103"/>
        <v>1.7429484509576789</v>
      </c>
      <c r="AU130" s="51">
        <f t="shared" si="103"/>
        <v>1.7586349870162978</v>
      </c>
      <c r="AV130" s="51">
        <f t="shared" si="103"/>
        <v>1.7744627018994443</v>
      </c>
      <c r="AW130" s="51">
        <f t="shared" si="103"/>
        <v>1.7904328662165392</v>
      </c>
      <c r="AX130" s="51">
        <f t="shared" si="103"/>
        <v>1.8065467620124878</v>
      </c>
      <c r="AY130" s="51">
        <f t="shared" si="103"/>
        <v>1.8228056828706001</v>
      </c>
      <c r="AZ130" s="51">
        <f t="shared" si="103"/>
        <v>1.8392109340164353</v>
      </c>
      <c r="BA130" s="51">
        <f t="shared" si="103"/>
        <v>1.8557638324225831</v>
      </c>
      <c r="BB130" s="51">
        <f t="shared" si="103"/>
        <v>1.8724657069143862</v>
      </c>
      <c r="BC130" s="51">
        <f t="shared" si="103"/>
        <v>1.8893178982766154</v>
      </c>
      <c r="BD130" s="51">
        <f t="shared" si="103"/>
        <v>1.9063217593611048</v>
      </c>
      <c r="BE130" s="51">
        <f t="shared" si="103"/>
        <v>1.9234786551953544</v>
      </c>
      <c r="BF130" s="51">
        <f t="shared" si="103"/>
        <v>1.9407899630921124</v>
      </c>
      <c r="BG130" s="51">
        <f t="shared" si="103"/>
        <v>1.9582570727599411</v>
      </c>
      <c r="BH130" s="51">
        <f t="shared" si="103"/>
        <v>1.9758813864147804</v>
      </c>
      <c r="BI130" s="51">
        <f t="shared" si="103"/>
        <v>1.9936643188925132</v>
      </c>
      <c r="BJ130" s="51">
        <f t="shared" si="103"/>
        <v>2.0116072977625454</v>
      </c>
      <c r="BK130" s="51">
        <f t="shared" si="103"/>
        <v>2.0297117634424082</v>
      </c>
      <c r="BL130" s="51">
        <f t="shared" si="103"/>
        <v>2.0479791693133897</v>
      </c>
      <c r="BM130" s="51">
        <f t="shared" si="103"/>
        <v>2.0664109818372101</v>
      </c>
      <c r="BN130" s="51">
        <f t="shared" si="103"/>
        <v>2.0850086806737447</v>
      </c>
      <c r="BO130" s="51">
        <f t="shared" si="103"/>
        <v>2.1037737587998082</v>
      </c>
      <c r="BP130" s="51">
        <f t="shared" si="103"/>
        <v>2.1227077226290061</v>
      </c>
      <c r="BQ130" s="51">
        <f t="shared" si="103"/>
        <v>2.1418120921326671</v>
      </c>
      <c r="BR130" s="51">
        <f t="shared" si="103"/>
        <v>2.1610884009618609</v>
      </c>
      <c r="BS130" s="51">
        <f t="shared" si="104" ref="BS130:CK130">IF(BS33="","",BS33/$G33)</f>
        <v>2.1805381965705175</v>
      </c>
      <c r="BT130" s="51">
        <f t="shared" si="104"/>
        <v>2.2001630403396519</v>
      </c>
      <c r="BU130" s="51">
        <f t="shared" si="104"/>
        <v>2.2199645077027088</v>
      </c>
      <c r="BV130" s="51">
        <f t="shared" si="104"/>
        <v>2.2399441882720326</v>
      </c>
      <c r="BW130" s="51">
        <f t="shared" si="104"/>
        <v>2.2601036859664809</v>
      </c>
      <c r="BX130" s="51">
        <f t="shared" si="104"/>
        <v>2.2804446191401788</v>
      </c>
      <c r="BY130" s="51">
        <f t="shared" si="104"/>
        <v>2.3009686207124402</v>
      </c>
      <c r="BZ130" s="51">
        <f t="shared" si="104"/>
        <v>2.3216773382988518</v>
      </c>
      <c r="CA130" s="51">
        <f t="shared" si="104"/>
        <v>2.3425724343435412</v>
      </c>
      <c r="CB130" s="51">
        <f t="shared" si="104"/>
        <v>2.3636555862526332</v>
      </c>
      <c r="CC130" s="51">
        <f t="shared" si="104"/>
        <v>2.3849284865289064</v>
      </c>
      <c r="CD130" s="51">
        <f t="shared" si="104"/>
        <v>2.4063928429076662</v>
      </c>
      <c r="CE130" s="51">
        <f t="shared" si="104"/>
        <v>2.4280503784938348</v>
      </c>
      <c r="CF130" s="51">
        <f t="shared" si="104"/>
        <v>2.4499028319002791</v>
      </c>
      <c r="CG130" s="51">
        <f t="shared" si="104"/>
        <v>2.4719519573873812</v>
      </c>
      <c r="CH130" s="51">
        <f t="shared" si="104"/>
        <v>2.4941995250038675</v>
      </c>
      <c r="CI130" s="51">
        <f t="shared" si="104"/>
        <v>2.516647320728902</v>
      </c>
      <c r="CJ130" s="51">
        <f t="shared" si="104"/>
        <v>2.5392971466154619</v>
      </c>
      <c r="CK130" s="51">
        <f t="shared" si="104"/>
        <v>2.5621508209350008</v>
      </c>
    </row>
    <row r="131" spans="6:89" ht="14.4">
      <c r="F131" t="s">
        <v>139</v>
      </c>
      <c r="G131" s="51">
        <f t="shared" si="105" ref="G131:BR131">IF(G34="","",G34/$G34)</f>
        <v>1</v>
      </c>
      <c r="H131" s="51" t="str">
        <f t="shared" si="105"/>
        <v/>
      </c>
      <c r="I131" s="51">
        <f t="shared" si="105"/>
        <v>1.9307266285509639</v>
      </c>
      <c r="J131" s="51">
        <f t="shared" si="105"/>
        <v>2.5536241894017881</v>
      </c>
      <c r="K131" s="51">
        <f t="shared" si="105"/>
        <v>3.3587864369492086</v>
      </c>
      <c r="L131" s="51" t="str">
        <f t="shared" si="105"/>
        <v/>
      </c>
      <c r="M131" s="51" t="str">
        <f t="shared" si="105"/>
        <v/>
      </c>
      <c r="N131" s="51" t="str">
        <f t="shared" si="105"/>
        <v/>
      </c>
      <c r="O131" s="51" t="str">
        <f t="shared" si="105"/>
        <v/>
      </c>
      <c r="P131" s="51" t="str">
        <f t="shared" si="105"/>
        <v/>
      </c>
      <c r="Q131" s="51" t="str">
        <f t="shared" si="105"/>
        <v/>
      </c>
      <c r="R131" s="51" t="str">
        <f t="shared" si="105"/>
        <v/>
      </c>
      <c r="S131" s="51">
        <f t="shared" si="105"/>
        <v>7.7980350943015457</v>
      </c>
      <c r="T131" s="51">
        <f t="shared" si="105"/>
        <v>8.352941176470587</v>
      </c>
      <c r="U131" s="51" t="str">
        <f t="shared" si="105"/>
        <v/>
      </c>
      <c r="V131" s="51" t="str">
        <f t="shared" si="105"/>
        <v/>
      </c>
      <c r="W131" s="51" t="str">
        <f t="shared" si="105"/>
        <v/>
      </c>
      <c r="X131" s="51" t="str">
        <f t="shared" si="105"/>
        <v/>
      </c>
      <c r="Y131" s="51" t="str">
        <f t="shared" si="105"/>
        <v/>
      </c>
      <c r="Z131" s="51" t="str">
        <f t="shared" si="105"/>
        <v/>
      </c>
      <c r="AA131" s="51" t="str">
        <f t="shared" si="105"/>
        <v/>
      </c>
      <c r="AB131" s="51" t="str">
        <f t="shared" si="105"/>
        <v/>
      </c>
      <c r="AC131" s="51">
        <f t="shared" si="105"/>
        <v>8.352941176470587</v>
      </c>
      <c r="AD131" s="51" t="str">
        <f t="shared" si="105"/>
        <v/>
      </c>
      <c r="AE131" s="51" t="str">
        <f t="shared" si="105"/>
        <v/>
      </c>
      <c r="AF131" s="51" t="str">
        <f t="shared" si="105"/>
        <v/>
      </c>
      <c r="AG131" s="51" t="str">
        <f t="shared" si="105"/>
        <v/>
      </c>
      <c r="AH131" s="51" t="str">
        <f t="shared" si="105"/>
        <v/>
      </c>
      <c r="AI131" s="51" t="str">
        <f t="shared" si="105"/>
        <v/>
      </c>
      <c r="AJ131" s="51" t="str">
        <f t="shared" si="105"/>
        <v/>
      </c>
      <c r="AK131" s="51" t="str">
        <f t="shared" si="105"/>
        <v/>
      </c>
      <c r="AL131" s="51" t="str">
        <f t="shared" si="105"/>
        <v/>
      </c>
      <c r="AM131" s="51">
        <f t="shared" si="105"/>
        <v>8.352941176470587</v>
      </c>
      <c r="AN131" s="51" t="str">
        <f t="shared" si="105"/>
        <v/>
      </c>
      <c r="AO131" s="51" t="str">
        <f t="shared" si="105"/>
        <v/>
      </c>
      <c r="AP131" s="51" t="str">
        <f t="shared" si="105"/>
        <v/>
      </c>
      <c r="AQ131" s="51" t="str">
        <f t="shared" si="105"/>
        <v/>
      </c>
      <c r="AR131" s="51" t="str">
        <f t="shared" si="105"/>
        <v/>
      </c>
      <c r="AS131" s="51" t="str">
        <f t="shared" si="105"/>
        <v/>
      </c>
      <c r="AT131" s="51" t="str">
        <f t="shared" si="105"/>
        <v/>
      </c>
      <c r="AU131" s="51" t="str">
        <f t="shared" si="105"/>
        <v/>
      </c>
      <c r="AV131" s="51" t="str">
        <f t="shared" si="105"/>
        <v/>
      </c>
      <c r="AW131" s="51">
        <f t="shared" si="105"/>
        <v>8.352941176470587</v>
      </c>
      <c r="AX131" s="51" t="str">
        <f t="shared" si="105"/>
        <v/>
      </c>
      <c r="AY131" s="51" t="str">
        <f t="shared" si="105"/>
        <v/>
      </c>
      <c r="AZ131" s="51" t="str">
        <f t="shared" si="105"/>
        <v/>
      </c>
      <c r="BA131" s="51" t="str">
        <f t="shared" si="105"/>
        <v/>
      </c>
      <c r="BB131" s="51" t="str">
        <f t="shared" si="105"/>
        <v/>
      </c>
      <c r="BC131" s="51" t="str">
        <f t="shared" si="105"/>
        <v/>
      </c>
      <c r="BD131" s="51" t="str">
        <f t="shared" si="105"/>
        <v/>
      </c>
      <c r="BE131" s="51" t="str">
        <f t="shared" si="105"/>
        <v/>
      </c>
      <c r="BF131" s="51" t="str">
        <f t="shared" si="105"/>
        <v/>
      </c>
      <c r="BG131" s="51">
        <f t="shared" si="105"/>
        <v>8.352941176470587</v>
      </c>
      <c r="BH131" s="51" t="str">
        <f t="shared" si="105"/>
        <v/>
      </c>
      <c r="BI131" s="51" t="str">
        <f t="shared" si="105"/>
        <v/>
      </c>
      <c r="BJ131" s="51" t="str">
        <f t="shared" si="105"/>
        <v/>
      </c>
      <c r="BK131" s="51" t="str">
        <f t="shared" si="105"/>
        <v/>
      </c>
      <c r="BL131" s="51" t="str">
        <f t="shared" si="105"/>
        <v/>
      </c>
      <c r="BM131" s="51" t="str">
        <f t="shared" si="105"/>
        <v/>
      </c>
      <c r="BN131" s="51" t="str">
        <f t="shared" si="105"/>
        <v/>
      </c>
      <c r="BO131" s="51" t="str">
        <f t="shared" si="105"/>
        <v/>
      </c>
      <c r="BP131" s="51" t="str">
        <f t="shared" si="105"/>
        <v/>
      </c>
      <c r="BQ131" s="51">
        <f t="shared" si="105"/>
        <v>8.352941176470587</v>
      </c>
      <c r="BR131" s="51" t="str">
        <f t="shared" si="105"/>
        <v/>
      </c>
      <c r="BS131" s="51" t="str">
        <f t="shared" si="106" ref="BS131:CK131">IF(BS34="","",BS34/$G34)</f>
        <v/>
      </c>
      <c r="BT131" s="51" t="str">
        <f t="shared" si="106"/>
        <v/>
      </c>
      <c r="BU131" s="51" t="str">
        <f t="shared" si="106"/>
        <v/>
      </c>
      <c r="BV131" s="51" t="str">
        <f t="shared" si="106"/>
        <v/>
      </c>
      <c r="BW131" s="51" t="str">
        <f t="shared" si="106"/>
        <v/>
      </c>
      <c r="BX131" s="51" t="str">
        <f t="shared" si="106"/>
        <v/>
      </c>
      <c r="BY131" s="51" t="str">
        <f t="shared" si="106"/>
        <v/>
      </c>
      <c r="BZ131" s="51" t="str">
        <f t="shared" si="106"/>
        <v/>
      </c>
      <c r="CA131" s="51">
        <f t="shared" si="106"/>
        <v>8.352941176470587</v>
      </c>
      <c r="CB131" s="51" t="str">
        <f t="shared" si="106"/>
        <v/>
      </c>
      <c r="CC131" s="51" t="str">
        <f t="shared" si="106"/>
        <v/>
      </c>
      <c r="CD131" s="51" t="str">
        <f t="shared" si="106"/>
        <v/>
      </c>
      <c r="CE131" s="51" t="str">
        <f t="shared" si="106"/>
        <v/>
      </c>
      <c r="CF131" s="51" t="str">
        <f t="shared" si="106"/>
        <v/>
      </c>
      <c r="CG131" s="51" t="str">
        <f t="shared" si="106"/>
        <v/>
      </c>
      <c r="CH131" s="51" t="str">
        <f t="shared" si="106"/>
        <v/>
      </c>
      <c r="CI131" s="51" t="str">
        <f t="shared" si="106"/>
        <v/>
      </c>
      <c r="CJ131" s="51" t="str">
        <f t="shared" si="106"/>
        <v/>
      </c>
      <c r="CK131" s="51">
        <f t="shared" si="106"/>
        <v>8.352941176470587</v>
      </c>
    </row>
    <row r="132" spans="6:89" ht="14.4">
      <c r="F132" t="s">
        <v>141</v>
      </c>
      <c r="G132" s="51">
        <f t="shared" si="107" ref="G132:BR132">IF(G35="","",G35/$G35)</f>
        <v>1</v>
      </c>
      <c r="H132" s="51" t="str">
        <f t="shared" si="107"/>
        <v/>
      </c>
      <c r="I132" s="51" t="str">
        <f t="shared" si="107"/>
        <v/>
      </c>
      <c r="J132" s="51" t="str">
        <f t="shared" si="107"/>
        <v/>
      </c>
      <c r="K132" s="51" t="str">
        <f t="shared" si="107"/>
        <v/>
      </c>
      <c r="L132" s="51" t="str">
        <f t="shared" si="107"/>
        <v/>
      </c>
      <c r="M132" s="51" t="str">
        <f t="shared" si="107"/>
        <v/>
      </c>
      <c r="N132" s="51" t="str">
        <f t="shared" si="107"/>
        <v/>
      </c>
      <c r="O132" s="51" t="str">
        <f t="shared" si="107"/>
        <v/>
      </c>
      <c r="P132" s="51" t="str">
        <f t="shared" si="107"/>
        <v/>
      </c>
      <c r="Q132" s="51" t="str">
        <f t="shared" si="107"/>
        <v/>
      </c>
      <c r="R132" s="51" t="str">
        <f t="shared" si="107"/>
        <v/>
      </c>
      <c r="S132" s="51">
        <f t="shared" si="107"/>
        <v>1.0416666666666667</v>
      </c>
      <c r="T132" s="51" t="str">
        <f t="shared" si="107"/>
        <v/>
      </c>
      <c r="U132" s="51" t="str">
        <f t="shared" si="107"/>
        <v/>
      </c>
      <c r="V132" s="51" t="str">
        <f t="shared" si="107"/>
        <v/>
      </c>
      <c r="W132" s="51" t="str">
        <f t="shared" si="107"/>
        <v/>
      </c>
      <c r="X132" s="51" t="str">
        <f t="shared" si="107"/>
        <v/>
      </c>
      <c r="Y132" s="51" t="str">
        <f t="shared" si="107"/>
        <v/>
      </c>
      <c r="Z132" s="51" t="str">
        <f t="shared" si="107"/>
        <v/>
      </c>
      <c r="AA132" s="51" t="str">
        <f t="shared" si="107"/>
        <v/>
      </c>
      <c r="AB132" s="51" t="str">
        <f t="shared" si="107"/>
        <v/>
      </c>
      <c r="AC132" s="51">
        <f t="shared" si="107"/>
        <v>1.1250000000000002</v>
      </c>
      <c r="AD132" s="51" t="str">
        <f t="shared" si="107"/>
        <v/>
      </c>
      <c r="AE132" s="51" t="str">
        <f t="shared" si="107"/>
        <v/>
      </c>
      <c r="AF132" s="51" t="str">
        <f t="shared" si="107"/>
        <v/>
      </c>
      <c r="AG132" s="51" t="str">
        <f t="shared" si="107"/>
        <v/>
      </c>
      <c r="AH132" s="51" t="str">
        <f t="shared" si="107"/>
        <v/>
      </c>
      <c r="AI132" s="51" t="str">
        <f t="shared" si="107"/>
        <v/>
      </c>
      <c r="AJ132" s="51" t="str">
        <f t="shared" si="107"/>
        <v/>
      </c>
      <c r="AK132" s="51" t="str">
        <f t="shared" si="107"/>
        <v/>
      </c>
      <c r="AL132" s="51" t="str">
        <f t="shared" si="107"/>
        <v/>
      </c>
      <c r="AM132" s="51">
        <f t="shared" si="107"/>
        <v>1.1979166666666665</v>
      </c>
      <c r="AN132" s="51">
        <f t="shared" si="107"/>
        <v>1.1979166666666665</v>
      </c>
      <c r="AO132" s="51">
        <f t="shared" si="107"/>
        <v>1.1979166666666665</v>
      </c>
      <c r="AP132" s="51">
        <f t="shared" si="107"/>
        <v>1.1979166666666665</v>
      </c>
      <c r="AQ132" s="51">
        <f t="shared" si="107"/>
        <v>1.1979166666666665</v>
      </c>
      <c r="AR132" s="51">
        <f t="shared" si="107"/>
        <v>1.1979166666666665</v>
      </c>
      <c r="AS132" s="51">
        <f t="shared" si="107"/>
        <v>1.1979166666666665</v>
      </c>
      <c r="AT132" s="51">
        <f t="shared" si="107"/>
        <v>1.1979166666666665</v>
      </c>
      <c r="AU132" s="51">
        <f t="shared" si="107"/>
        <v>1.1979166666666665</v>
      </c>
      <c r="AV132" s="51">
        <f t="shared" si="107"/>
        <v>1.1979166666666665</v>
      </c>
      <c r="AW132" s="51">
        <f t="shared" si="107"/>
        <v>1.1979166666666665</v>
      </c>
      <c r="AX132" s="51">
        <f t="shared" si="107"/>
        <v>1.1979166666666665</v>
      </c>
      <c r="AY132" s="51">
        <f t="shared" si="107"/>
        <v>1.1979166666666665</v>
      </c>
      <c r="AZ132" s="51">
        <f t="shared" si="107"/>
        <v>1.1979166666666665</v>
      </c>
      <c r="BA132" s="51">
        <f t="shared" si="107"/>
        <v>1.1979166666666665</v>
      </c>
      <c r="BB132" s="51">
        <f t="shared" si="107"/>
        <v>1.1979166666666665</v>
      </c>
      <c r="BC132" s="51">
        <f t="shared" si="107"/>
        <v>1.1979166666666665</v>
      </c>
      <c r="BD132" s="51">
        <f t="shared" si="107"/>
        <v>1.1979166666666665</v>
      </c>
      <c r="BE132" s="51">
        <f t="shared" si="107"/>
        <v>1.1979166666666665</v>
      </c>
      <c r="BF132" s="51">
        <f t="shared" si="107"/>
        <v>1.1979166666666665</v>
      </c>
      <c r="BG132" s="51">
        <f t="shared" si="107"/>
        <v>1.1979166666666665</v>
      </c>
      <c r="BH132" s="51">
        <f t="shared" si="107"/>
        <v>1.1979166666666665</v>
      </c>
      <c r="BI132" s="51">
        <f t="shared" si="107"/>
        <v>1.1979166666666665</v>
      </c>
      <c r="BJ132" s="51">
        <f t="shared" si="107"/>
        <v>1.1979166666666665</v>
      </c>
      <c r="BK132" s="51">
        <f t="shared" si="107"/>
        <v>1.1979166666666665</v>
      </c>
      <c r="BL132" s="51">
        <f t="shared" si="107"/>
        <v>1.1979166666666665</v>
      </c>
      <c r="BM132" s="51">
        <f t="shared" si="107"/>
        <v>1.1979166666666665</v>
      </c>
      <c r="BN132" s="51">
        <f t="shared" si="107"/>
        <v>1.1979166666666665</v>
      </c>
      <c r="BO132" s="51">
        <f t="shared" si="107"/>
        <v>1.1979166666666665</v>
      </c>
      <c r="BP132" s="51">
        <f t="shared" si="107"/>
        <v>1.1979166666666665</v>
      </c>
      <c r="BQ132" s="51">
        <f t="shared" si="107"/>
        <v>1.1979166666666665</v>
      </c>
      <c r="BR132" s="51">
        <f t="shared" si="107"/>
        <v>1.1979166666666665</v>
      </c>
      <c r="BS132" s="51">
        <f t="shared" si="108" ref="BS132:CK132">IF(BS35="","",BS35/$G35)</f>
        <v>1.1979166666666665</v>
      </c>
      <c r="BT132" s="51">
        <f t="shared" si="108"/>
        <v>1.1979166666666665</v>
      </c>
      <c r="BU132" s="51">
        <f t="shared" si="108"/>
        <v>1.1979166666666665</v>
      </c>
      <c r="BV132" s="51">
        <f t="shared" si="108"/>
        <v>1.1979166666666665</v>
      </c>
      <c r="BW132" s="51">
        <f t="shared" si="108"/>
        <v>1.1979166666666665</v>
      </c>
      <c r="BX132" s="51">
        <f t="shared" si="108"/>
        <v>1.1979166666666665</v>
      </c>
      <c r="BY132" s="51">
        <f t="shared" si="108"/>
        <v>1.1979166666666665</v>
      </c>
      <c r="BZ132" s="51">
        <f t="shared" si="108"/>
        <v>1.1979166666666665</v>
      </c>
      <c r="CA132" s="51">
        <f t="shared" si="108"/>
        <v>1.1979166666666665</v>
      </c>
      <c r="CB132" s="51">
        <f t="shared" si="108"/>
        <v>1.1979166666666665</v>
      </c>
      <c r="CC132" s="51">
        <f t="shared" si="108"/>
        <v>1.1979166666666665</v>
      </c>
      <c r="CD132" s="51">
        <f t="shared" si="108"/>
        <v>1.1979166666666665</v>
      </c>
      <c r="CE132" s="51">
        <f t="shared" si="108"/>
        <v>1.1979166666666665</v>
      </c>
      <c r="CF132" s="51">
        <f t="shared" si="108"/>
        <v>1.1979166666666665</v>
      </c>
      <c r="CG132" s="51">
        <f t="shared" si="108"/>
        <v>1.1979166666666665</v>
      </c>
      <c r="CH132" s="51">
        <f t="shared" si="108"/>
        <v>1.1979166666666665</v>
      </c>
      <c r="CI132" s="51">
        <f t="shared" si="108"/>
        <v>1.1979166666666665</v>
      </c>
      <c r="CJ132" s="51">
        <f t="shared" si="108"/>
        <v>1.1979166666666665</v>
      </c>
      <c r="CK132" s="51">
        <f t="shared" si="108"/>
        <v>1.1979166666666665</v>
      </c>
    </row>
    <row r="133" spans="6:89" ht="14.4">
      <c r="F133" t="s">
        <v>128</v>
      </c>
      <c r="G133" s="51">
        <f t="shared" si="109" ref="G133:BR133">IF(G36="","",G36/$G36)</f>
        <v>1</v>
      </c>
      <c r="H133" s="51">
        <f t="shared" si="109"/>
        <v>1.0315129591769674</v>
      </c>
      <c r="I133" s="51">
        <f t="shared" si="109"/>
        <v>1.049450004889237</v>
      </c>
      <c r="J133" s="51">
        <f t="shared" si="109"/>
        <v>1.0670358127501398</v>
      </c>
      <c r="K133" s="51">
        <f t="shared" si="109"/>
        <v>1.0840466739263697</v>
      </c>
      <c r="L133" s="51">
        <f t="shared" si="109"/>
        <v>1.100884365333386</v>
      </c>
      <c r="M133" s="51">
        <f t="shared" si="109"/>
        <v>1.1173705894975636</v>
      </c>
      <c r="N133" s="51">
        <f t="shared" si="109"/>
        <v>1.1331031051336402</v>
      </c>
      <c r="O133" s="51">
        <f t="shared" si="109"/>
        <v>1.1489307644125362</v>
      </c>
      <c r="P133" s="51">
        <f t="shared" si="109"/>
        <v>1.1646300302652064</v>
      </c>
      <c r="Q133" s="51">
        <f t="shared" si="109"/>
        <v>1.1809608903510145</v>
      </c>
      <c r="R133" s="51">
        <f t="shared" si="109"/>
        <v>1.1972976296096471</v>
      </c>
      <c r="S133" s="51">
        <f t="shared" si="109"/>
        <v>1.2134614848405274</v>
      </c>
      <c r="T133" s="51">
        <f t="shared" si="109"/>
        <v>1.2297053522487837</v>
      </c>
      <c r="U133" s="51">
        <f t="shared" si="109"/>
        <v>1.2457349747753865</v>
      </c>
      <c r="V133" s="51">
        <f t="shared" si="109"/>
        <v>1.2618605967450491</v>
      </c>
      <c r="W133" s="51">
        <f t="shared" si="109"/>
        <v>1.2779034279052894</v>
      </c>
      <c r="X133" s="51">
        <f t="shared" si="109"/>
        <v>1.2935508186572615</v>
      </c>
      <c r="Y133" s="51">
        <f t="shared" si="109"/>
        <v>1.3088028541542982</v>
      </c>
      <c r="Z133" s="51">
        <f t="shared" si="109"/>
        <v>1.3240612794812101</v>
      </c>
      <c r="AA133" s="51">
        <f t="shared" si="109"/>
        <v>1.3392365719421415</v>
      </c>
      <c r="AB133" s="51">
        <f t="shared" si="109"/>
        <v>1.3538823689780772</v>
      </c>
      <c r="AC133" s="51">
        <f t="shared" si="109"/>
        <v>1.3679537229477066</v>
      </c>
      <c r="AD133" s="51">
        <f t="shared" si="109"/>
        <v>1.3717521582100469</v>
      </c>
      <c r="AE133" s="51">
        <f t="shared" si="109"/>
        <v>1.3839602491678196</v>
      </c>
      <c r="AF133" s="51">
        <f t="shared" si="109"/>
        <v>1.3975321129612734</v>
      </c>
      <c r="AG133" s="51">
        <f t="shared" si="109"/>
        <v>1.4108421225850347</v>
      </c>
      <c r="AH133" s="51">
        <f t="shared" si="109"/>
        <v>1.4238699866881876</v>
      </c>
      <c r="AI133" s="51">
        <f t="shared" si="109"/>
        <v>1.4366055478753874</v>
      </c>
      <c r="AJ133" s="51">
        <f t="shared" si="109"/>
        <v>1.4490166860192917</v>
      </c>
      <c r="AK133" s="51">
        <f t="shared" si="109"/>
        <v>1.4610824279286823</v>
      </c>
      <c r="AL133" s="51">
        <f t="shared" si="109"/>
        <v>1.4727476714985288</v>
      </c>
      <c r="AM133" s="51">
        <f t="shared" si="109"/>
        <v>1.4840090076234267</v>
      </c>
      <c r="AN133" s="51">
        <f t="shared" si="109"/>
        <v>1.4948687713038691</v>
      </c>
      <c r="AO133" s="51">
        <f t="shared" si="109"/>
        <v>1.5056714426178126</v>
      </c>
      <c r="AP133" s="51">
        <f t="shared" si="109"/>
        <v>1.5161612821165205</v>
      </c>
      <c r="AQ133" s="51">
        <f t="shared" si="109"/>
        <v>1.526368264106053</v>
      </c>
      <c r="AR133" s="51">
        <f t="shared" si="109"/>
        <v>1.5363335543804528</v>
      </c>
      <c r="AS133" s="51">
        <f t="shared" si="109"/>
        <v>1.5460783913069491</v>
      </c>
      <c r="AT133" s="51">
        <f t="shared" si="109"/>
        <v>1.555616584376853</v>
      </c>
      <c r="AU133" s="51">
        <f t="shared" si="109"/>
        <v>1.5649924183980588</v>
      </c>
      <c r="AV133" s="51">
        <f t="shared" si="109"/>
        <v>1.5742461424190091</v>
      </c>
      <c r="AW133" s="51">
        <f t="shared" si="109"/>
        <v>1.5834217495572966</v>
      </c>
      <c r="AX133" s="51">
        <f t="shared" si="109"/>
        <v>0</v>
      </c>
      <c r="AY133" s="51">
        <f t="shared" si="109"/>
        <v>0</v>
      </c>
      <c r="AZ133" s="51">
        <f t="shared" si="109"/>
        <v>0</v>
      </c>
      <c r="BA133" s="51">
        <f t="shared" si="109"/>
        <v>0</v>
      </c>
      <c r="BB133" s="51">
        <f t="shared" si="109"/>
        <v>0</v>
      </c>
      <c r="BC133" s="51">
        <f t="shared" si="109"/>
        <v>0</v>
      </c>
      <c r="BD133" s="51">
        <f t="shared" si="109"/>
        <v>0</v>
      </c>
      <c r="BE133" s="51">
        <f t="shared" si="109"/>
        <v>0</v>
      </c>
      <c r="BF133" s="51">
        <f t="shared" si="109"/>
        <v>0</v>
      </c>
      <c r="BG133" s="51">
        <f t="shared" si="109"/>
        <v>0</v>
      </c>
      <c r="BH133" s="51">
        <f t="shared" si="109"/>
        <v>0</v>
      </c>
      <c r="BI133" s="51">
        <f t="shared" si="109"/>
        <v>0</v>
      </c>
      <c r="BJ133" s="51">
        <f t="shared" si="109"/>
        <v>0</v>
      </c>
      <c r="BK133" s="51">
        <f t="shared" si="109"/>
        <v>0</v>
      </c>
      <c r="BL133" s="51">
        <f t="shared" si="109"/>
        <v>0</v>
      </c>
      <c r="BM133" s="51">
        <f t="shared" si="109"/>
        <v>0</v>
      </c>
      <c r="BN133" s="51">
        <f t="shared" si="109"/>
        <v>0</v>
      </c>
      <c r="BO133" s="51">
        <f t="shared" si="109"/>
        <v>0</v>
      </c>
      <c r="BP133" s="51">
        <f t="shared" si="109"/>
        <v>0</v>
      </c>
      <c r="BQ133" s="51">
        <f t="shared" si="109"/>
        <v>0</v>
      </c>
      <c r="BR133" s="51">
        <f t="shared" si="109"/>
        <v>0</v>
      </c>
      <c r="BS133" s="51">
        <f t="shared" si="110" ref="BS133:CK133">IF(BS36="","",BS36/$G36)</f>
        <v>0</v>
      </c>
      <c r="BT133" s="51">
        <f t="shared" si="110"/>
        <v>0</v>
      </c>
      <c r="BU133" s="51">
        <f t="shared" si="110"/>
        <v>0</v>
      </c>
      <c r="BV133" s="51">
        <f t="shared" si="110"/>
        <v>0</v>
      </c>
      <c r="BW133" s="51">
        <f t="shared" si="110"/>
        <v>0</v>
      </c>
      <c r="BX133" s="51">
        <f t="shared" si="110"/>
        <v>0</v>
      </c>
      <c r="BY133" s="51">
        <f t="shared" si="110"/>
        <v>0</v>
      </c>
      <c r="BZ133" s="51">
        <f t="shared" si="110"/>
        <v>0</v>
      </c>
      <c r="CA133" s="51">
        <f t="shared" si="110"/>
        <v>0</v>
      </c>
      <c r="CB133" s="51">
        <f t="shared" si="110"/>
        <v>0</v>
      </c>
      <c r="CC133" s="51">
        <f t="shared" si="110"/>
        <v>0</v>
      </c>
      <c r="CD133" s="51">
        <f t="shared" si="110"/>
        <v>0</v>
      </c>
      <c r="CE133" s="51">
        <f t="shared" si="110"/>
        <v>0</v>
      </c>
      <c r="CF133" s="51">
        <f t="shared" si="110"/>
        <v>0</v>
      </c>
      <c r="CG133" s="51">
        <f t="shared" si="110"/>
        <v>0</v>
      </c>
      <c r="CH133" s="51">
        <f t="shared" si="110"/>
        <v>0</v>
      </c>
      <c r="CI133" s="51">
        <f t="shared" si="110"/>
        <v>0</v>
      </c>
      <c r="CJ133" s="51">
        <f t="shared" si="110"/>
        <v>0</v>
      </c>
      <c r="CK133" s="51">
        <f t="shared" si="110"/>
        <v>0</v>
      </c>
    </row>
    <row r="134" spans="6:89" ht="14.4">
      <c r="F134" t="s">
        <v>129</v>
      </c>
      <c r="G134" s="51">
        <f t="shared" si="111" ref="G134:BR134">IF(G37="","",G37/$G37)</f>
        <v>1</v>
      </c>
      <c r="H134" s="51">
        <f t="shared" si="111"/>
        <v>1.0315129591769674</v>
      </c>
      <c r="I134" s="51">
        <f t="shared" si="111"/>
        <v>1.049450004889237</v>
      </c>
      <c r="J134" s="51">
        <f t="shared" si="111"/>
        <v>1.0670358127501398</v>
      </c>
      <c r="K134" s="51">
        <f t="shared" si="111"/>
        <v>1.0840466739263701</v>
      </c>
      <c r="L134" s="51">
        <f t="shared" si="111"/>
        <v>1.100884365333386</v>
      </c>
      <c r="M134" s="51">
        <f t="shared" si="111"/>
        <v>1.1173705894975634</v>
      </c>
      <c r="N134" s="51">
        <f t="shared" si="111"/>
        <v>1.1331031051336402</v>
      </c>
      <c r="O134" s="51">
        <f t="shared" si="111"/>
        <v>1.1489307644125362</v>
      </c>
      <c r="P134" s="51">
        <f t="shared" si="111"/>
        <v>1.1646300302652064</v>
      </c>
      <c r="Q134" s="51">
        <f t="shared" si="111"/>
        <v>1.1809608903510143</v>
      </c>
      <c r="R134" s="51">
        <f t="shared" si="111"/>
        <v>1.1972976296096474</v>
      </c>
      <c r="S134" s="51">
        <f t="shared" si="111"/>
        <v>1.2134614848405276</v>
      </c>
      <c r="T134" s="51">
        <f t="shared" si="111"/>
        <v>1.2297053522487837</v>
      </c>
      <c r="U134" s="51">
        <f t="shared" si="111"/>
        <v>1.2457349747753865</v>
      </c>
      <c r="V134" s="51">
        <f t="shared" si="111"/>
        <v>1.2618605967450489</v>
      </c>
      <c r="W134" s="51">
        <f t="shared" si="111"/>
        <v>1.2779034279052894</v>
      </c>
      <c r="X134" s="51">
        <f t="shared" si="111"/>
        <v>1.2935508186572615</v>
      </c>
      <c r="Y134" s="51">
        <f t="shared" si="111"/>
        <v>1.3088028541542982</v>
      </c>
      <c r="Z134" s="51">
        <f t="shared" si="111"/>
        <v>1.3240612794812103</v>
      </c>
      <c r="AA134" s="51">
        <f t="shared" si="111"/>
        <v>1.3392365719421413</v>
      </c>
      <c r="AB134" s="51">
        <f t="shared" si="111"/>
        <v>1.3538823689780772</v>
      </c>
      <c r="AC134" s="51">
        <f t="shared" si="111"/>
        <v>1.367953722947707</v>
      </c>
      <c r="AD134" s="51">
        <f t="shared" si="111"/>
        <v>1.3717521582100469</v>
      </c>
      <c r="AE134" s="51">
        <f t="shared" si="111"/>
        <v>1.3839602491678193</v>
      </c>
      <c r="AF134" s="51">
        <f t="shared" si="111"/>
        <v>1.3975321129612737</v>
      </c>
      <c r="AG134" s="51">
        <f t="shared" si="111"/>
        <v>1.4108421225850347</v>
      </c>
      <c r="AH134" s="51">
        <f t="shared" si="111"/>
        <v>1.4238699866881876</v>
      </c>
      <c r="AI134" s="51">
        <f t="shared" si="111"/>
        <v>1.4366055478753872</v>
      </c>
      <c r="AJ134" s="51">
        <f t="shared" si="111"/>
        <v>1.4490166860192919</v>
      </c>
      <c r="AK134" s="51">
        <f t="shared" si="111"/>
        <v>1.4610824279286823</v>
      </c>
      <c r="AL134" s="51">
        <f t="shared" si="111"/>
        <v>1.472747671498529</v>
      </c>
      <c r="AM134" s="51">
        <f t="shared" si="111"/>
        <v>1.4840090076234269</v>
      </c>
      <c r="AN134" s="51">
        <f t="shared" si="111"/>
        <v>1.4948687713038686</v>
      </c>
      <c r="AO134" s="51">
        <f t="shared" si="111"/>
        <v>1.5056714426178126</v>
      </c>
      <c r="AP134" s="51">
        <f t="shared" si="111"/>
        <v>1.5161612821165202</v>
      </c>
      <c r="AQ134" s="51">
        <f t="shared" si="111"/>
        <v>1.526368264106053</v>
      </c>
      <c r="AR134" s="51">
        <f t="shared" si="111"/>
        <v>1.536333554380453</v>
      </c>
      <c r="AS134" s="51">
        <f t="shared" si="111"/>
        <v>1.5460783913069489</v>
      </c>
      <c r="AT134" s="51">
        <f t="shared" si="111"/>
        <v>1.555616584376853</v>
      </c>
      <c r="AU134" s="51">
        <f t="shared" si="111"/>
        <v>1.5649924183980588</v>
      </c>
      <c r="AV134" s="51">
        <f t="shared" si="111"/>
        <v>1.5742461424190088</v>
      </c>
      <c r="AW134" s="51">
        <f t="shared" si="111"/>
        <v>1.5834217495572966</v>
      </c>
      <c r="AX134" s="51">
        <f t="shared" si="111"/>
        <v>0</v>
      </c>
      <c r="AY134" s="51">
        <f t="shared" si="111"/>
        <v>0</v>
      </c>
      <c r="AZ134" s="51">
        <f t="shared" si="111"/>
        <v>0</v>
      </c>
      <c r="BA134" s="51">
        <f t="shared" si="111"/>
        <v>0</v>
      </c>
      <c r="BB134" s="51">
        <f t="shared" si="111"/>
        <v>0</v>
      </c>
      <c r="BC134" s="51">
        <f t="shared" si="111"/>
        <v>0</v>
      </c>
      <c r="BD134" s="51">
        <f t="shared" si="111"/>
        <v>0</v>
      </c>
      <c r="BE134" s="51">
        <f t="shared" si="111"/>
        <v>0</v>
      </c>
      <c r="BF134" s="51">
        <f t="shared" si="111"/>
        <v>0</v>
      </c>
      <c r="BG134" s="51">
        <f t="shared" si="111"/>
        <v>0</v>
      </c>
      <c r="BH134" s="51">
        <f t="shared" si="111"/>
        <v>0</v>
      </c>
      <c r="BI134" s="51">
        <f t="shared" si="111"/>
        <v>0</v>
      </c>
      <c r="BJ134" s="51">
        <f t="shared" si="111"/>
        <v>0</v>
      </c>
      <c r="BK134" s="51">
        <f t="shared" si="111"/>
        <v>0</v>
      </c>
      <c r="BL134" s="51">
        <f t="shared" si="111"/>
        <v>0</v>
      </c>
      <c r="BM134" s="51">
        <f t="shared" si="111"/>
        <v>0</v>
      </c>
      <c r="BN134" s="51">
        <f t="shared" si="111"/>
        <v>0</v>
      </c>
      <c r="BO134" s="51">
        <f t="shared" si="111"/>
        <v>0</v>
      </c>
      <c r="BP134" s="51">
        <f t="shared" si="111"/>
        <v>0</v>
      </c>
      <c r="BQ134" s="51">
        <f t="shared" si="111"/>
        <v>0</v>
      </c>
      <c r="BR134" s="51">
        <f t="shared" si="111"/>
        <v>0</v>
      </c>
      <c r="BS134" s="51">
        <f t="shared" si="112" ref="BS134:CK134">IF(BS37="","",BS37/$G37)</f>
        <v>0</v>
      </c>
      <c r="BT134" s="51">
        <f t="shared" si="112"/>
        <v>0</v>
      </c>
      <c r="BU134" s="51">
        <f t="shared" si="112"/>
        <v>0</v>
      </c>
      <c r="BV134" s="51">
        <f t="shared" si="112"/>
        <v>0</v>
      </c>
      <c r="BW134" s="51">
        <f t="shared" si="112"/>
        <v>0</v>
      </c>
      <c r="BX134" s="51">
        <f t="shared" si="112"/>
        <v>0</v>
      </c>
      <c r="BY134" s="51">
        <f t="shared" si="112"/>
        <v>0</v>
      </c>
      <c r="BZ134" s="51">
        <f t="shared" si="112"/>
        <v>0</v>
      </c>
      <c r="CA134" s="51">
        <f t="shared" si="112"/>
        <v>0</v>
      </c>
      <c r="CB134" s="51">
        <f t="shared" si="112"/>
        <v>0</v>
      </c>
      <c r="CC134" s="51">
        <f t="shared" si="112"/>
        <v>0</v>
      </c>
      <c r="CD134" s="51">
        <f t="shared" si="112"/>
        <v>0</v>
      </c>
      <c r="CE134" s="51">
        <f t="shared" si="112"/>
        <v>0</v>
      </c>
      <c r="CF134" s="51">
        <f t="shared" si="112"/>
        <v>0</v>
      </c>
      <c r="CG134" s="51">
        <f t="shared" si="112"/>
        <v>0</v>
      </c>
      <c r="CH134" s="51">
        <f t="shared" si="112"/>
        <v>0</v>
      </c>
      <c r="CI134" s="51">
        <f t="shared" si="112"/>
        <v>0</v>
      </c>
      <c r="CJ134" s="51">
        <f t="shared" si="112"/>
        <v>0</v>
      </c>
      <c r="CK134" s="51">
        <f t="shared" si="112"/>
        <v>0</v>
      </c>
    </row>
    <row r="135" spans="6:89" ht="14.4">
      <c r="F135" t="s">
        <v>130</v>
      </c>
      <c r="G135" s="51">
        <f t="shared" si="113" ref="G135:BR135">IF(G38="","",G38/$G38)</f>
        <v>1</v>
      </c>
      <c r="H135" s="51">
        <f t="shared" si="113"/>
        <v>1.0315129591769674</v>
      </c>
      <c r="I135" s="51">
        <f t="shared" si="113"/>
        <v>1.0494500048892368</v>
      </c>
      <c r="J135" s="51">
        <f t="shared" si="113"/>
        <v>1.0670358127501398</v>
      </c>
      <c r="K135" s="51">
        <f t="shared" si="113"/>
        <v>1.0840466739263699</v>
      </c>
      <c r="L135" s="51">
        <f t="shared" si="113"/>
        <v>1.100884365333386</v>
      </c>
      <c r="M135" s="51">
        <f t="shared" si="113"/>
        <v>1.1173705894975636</v>
      </c>
      <c r="N135" s="51">
        <f t="shared" si="113"/>
        <v>1.1331031051336402</v>
      </c>
      <c r="O135" s="51">
        <f t="shared" si="113"/>
        <v>1.1489307644125362</v>
      </c>
      <c r="P135" s="51">
        <f t="shared" si="113"/>
        <v>1.1646300302652064</v>
      </c>
      <c r="Q135" s="51">
        <f t="shared" si="113"/>
        <v>1.1809608903510145</v>
      </c>
      <c r="R135" s="51">
        <f t="shared" si="113"/>
        <v>1.1972976296096471</v>
      </c>
      <c r="S135" s="51">
        <f t="shared" si="113"/>
        <v>1.2134614848405274</v>
      </c>
      <c r="T135" s="51">
        <f t="shared" si="113"/>
        <v>1.2297053522487837</v>
      </c>
      <c r="U135" s="51">
        <f t="shared" si="113"/>
        <v>1.2457349747753865</v>
      </c>
      <c r="V135" s="51">
        <f t="shared" si="113"/>
        <v>1.2618605967450491</v>
      </c>
      <c r="W135" s="51">
        <f t="shared" si="113"/>
        <v>1.2779034279052897</v>
      </c>
      <c r="X135" s="51">
        <f t="shared" si="113"/>
        <v>1.2935508186572613</v>
      </c>
      <c r="Y135" s="51">
        <f t="shared" si="113"/>
        <v>1.3088028541542982</v>
      </c>
      <c r="Z135" s="51">
        <f t="shared" si="113"/>
        <v>1.3240612794812101</v>
      </c>
      <c r="AA135" s="51">
        <f t="shared" si="113"/>
        <v>1.3392365719421413</v>
      </c>
      <c r="AB135" s="51">
        <f t="shared" si="113"/>
        <v>1.3538823689780772</v>
      </c>
      <c r="AC135" s="51">
        <f t="shared" si="113"/>
        <v>1.3679537229477066</v>
      </c>
      <c r="AD135" s="51">
        <f t="shared" si="113"/>
        <v>1.3717521582100467</v>
      </c>
      <c r="AE135" s="51">
        <f t="shared" si="113"/>
        <v>1.3839602491678196</v>
      </c>
      <c r="AF135" s="51">
        <f t="shared" si="113"/>
        <v>1.3975321129612734</v>
      </c>
      <c r="AG135" s="51">
        <f t="shared" si="113"/>
        <v>1.4108421225850349</v>
      </c>
      <c r="AH135" s="51">
        <f t="shared" si="113"/>
        <v>1.4238699866881876</v>
      </c>
      <c r="AI135" s="51">
        <f t="shared" si="113"/>
        <v>1.4366055478753872</v>
      </c>
      <c r="AJ135" s="51">
        <f t="shared" si="113"/>
        <v>1.4490166860192919</v>
      </c>
      <c r="AK135" s="51">
        <f t="shared" si="113"/>
        <v>1.461082427928682</v>
      </c>
      <c r="AL135" s="51">
        <f t="shared" si="113"/>
        <v>1.472747671498529</v>
      </c>
      <c r="AM135" s="51">
        <f t="shared" si="113"/>
        <v>1.4840090076234267</v>
      </c>
      <c r="AN135" s="51">
        <f t="shared" si="113"/>
        <v>1.4948687713038689</v>
      </c>
      <c r="AO135" s="51">
        <f t="shared" si="113"/>
        <v>1.5056714426178126</v>
      </c>
      <c r="AP135" s="51">
        <f t="shared" si="113"/>
        <v>1.5161612821165205</v>
      </c>
      <c r="AQ135" s="51">
        <f t="shared" si="113"/>
        <v>1.526368264106053</v>
      </c>
      <c r="AR135" s="51">
        <f t="shared" si="113"/>
        <v>1.536333554380453</v>
      </c>
      <c r="AS135" s="51">
        <f t="shared" si="113"/>
        <v>1.5460783913069489</v>
      </c>
      <c r="AT135" s="51">
        <f t="shared" si="113"/>
        <v>1.555616584376853</v>
      </c>
      <c r="AU135" s="51">
        <f t="shared" si="113"/>
        <v>1.5649924183980588</v>
      </c>
      <c r="AV135" s="51">
        <f t="shared" si="113"/>
        <v>1.5742461424190088</v>
      </c>
      <c r="AW135" s="51">
        <f t="shared" si="113"/>
        <v>1.5834217495572969</v>
      </c>
      <c r="AX135" s="51">
        <f t="shared" si="113"/>
        <v>0</v>
      </c>
      <c r="AY135" s="51">
        <f t="shared" si="113"/>
        <v>0</v>
      </c>
      <c r="AZ135" s="51">
        <f t="shared" si="113"/>
        <v>0</v>
      </c>
      <c r="BA135" s="51">
        <f t="shared" si="113"/>
        <v>0</v>
      </c>
      <c r="BB135" s="51">
        <f t="shared" si="113"/>
        <v>0</v>
      </c>
      <c r="BC135" s="51">
        <f t="shared" si="113"/>
        <v>0</v>
      </c>
      <c r="BD135" s="51">
        <f t="shared" si="113"/>
        <v>0</v>
      </c>
      <c r="BE135" s="51">
        <f t="shared" si="113"/>
        <v>0</v>
      </c>
      <c r="BF135" s="51">
        <f t="shared" si="113"/>
        <v>0</v>
      </c>
      <c r="BG135" s="51">
        <f t="shared" si="113"/>
        <v>0</v>
      </c>
      <c r="BH135" s="51">
        <f t="shared" si="113"/>
        <v>0</v>
      </c>
      <c r="BI135" s="51">
        <f t="shared" si="113"/>
        <v>0</v>
      </c>
      <c r="BJ135" s="51">
        <f t="shared" si="113"/>
        <v>0</v>
      </c>
      <c r="BK135" s="51">
        <f t="shared" si="113"/>
        <v>0</v>
      </c>
      <c r="BL135" s="51">
        <f t="shared" si="113"/>
        <v>0</v>
      </c>
      <c r="BM135" s="51">
        <f t="shared" si="113"/>
        <v>0</v>
      </c>
      <c r="BN135" s="51">
        <f t="shared" si="113"/>
        <v>0</v>
      </c>
      <c r="BO135" s="51">
        <f t="shared" si="113"/>
        <v>0</v>
      </c>
      <c r="BP135" s="51">
        <f t="shared" si="113"/>
        <v>0</v>
      </c>
      <c r="BQ135" s="51">
        <f t="shared" si="113"/>
        <v>0</v>
      </c>
      <c r="BR135" s="51">
        <f t="shared" si="113"/>
        <v>0</v>
      </c>
      <c r="BS135" s="51">
        <f t="shared" si="114" ref="BS135:CK135">IF(BS38="","",BS38/$G38)</f>
        <v>0</v>
      </c>
      <c r="BT135" s="51">
        <f t="shared" si="114"/>
        <v>0</v>
      </c>
      <c r="BU135" s="51">
        <f t="shared" si="114"/>
        <v>0</v>
      </c>
      <c r="BV135" s="51">
        <f t="shared" si="114"/>
        <v>0</v>
      </c>
      <c r="BW135" s="51">
        <f t="shared" si="114"/>
        <v>0</v>
      </c>
      <c r="BX135" s="51">
        <f t="shared" si="114"/>
        <v>0</v>
      </c>
      <c r="BY135" s="51">
        <f t="shared" si="114"/>
        <v>0</v>
      </c>
      <c r="BZ135" s="51">
        <f t="shared" si="114"/>
        <v>0</v>
      </c>
      <c r="CA135" s="51">
        <f t="shared" si="114"/>
        <v>0</v>
      </c>
      <c r="CB135" s="51">
        <f t="shared" si="114"/>
        <v>0</v>
      </c>
      <c r="CC135" s="51">
        <f t="shared" si="114"/>
        <v>0</v>
      </c>
      <c r="CD135" s="51">
        <f t="shared" si="114"/>
        <v>0</v>
      </c>
      <c r="CE135" s="51">
        <f t="shared" si="114"/>
        <v>0</v>
      </c>
      <c r="CF135" s="51">
        <f t="shared" si="114"/>
        <v>0</v>
      </c>
      <c r="CG135" s="51">
        <f t="shared" si="114"/>
        <v>0</v>
      </c>
      <c r="CH135" s="51">
        <f t="shared" si="114"/>
        <v>0</v>
      </c>
      <c r="CI135" s="51">
        <f t="shared" si="114"/>
        <v>0</v>
      </c>
      <c r="CJ135" s="51">
        <f t="shared" si="114"/>
        <v>0</v>
      </c>
      <c r="CK135" s="51">
        <f t="shared" si="114"/>
        <v>0</v>
      </c>
    </row>
    <row r="136" spans="6:89" ht="14.4">
      <c r="F136" t="s">
        <v>131</v>
      </c>
      <c r="G136" s="51">
        <f t="shared" si="115" ref="G136:BR136">IF(G39="","",G39/$G39)</f>
        <v>1</v>
      </c>
      <c r="H136" s="51">
        <f t="shared" si="115"/>
        <v>1.0315129591769674</v>
      </c>
      <c r="I136" s="51">
        <f t="shared" si="115"/>
        <v>1.0494500048892368</v>
      </c>
      <c r="J136" s="51">
        <f t="shared" si="115"/>
        <v>1.0670358127501396</v>
      </c>
      <c r="K136" s="51">
        <f t="shared" si="115"/>
        <v>1.0840466739263699</v>
      </c>
      <c r="L136" s="51">
        <f t="shared" si="115"/>
        <v>1.1008843653333862</v>
      </c>
      <c r="M136" s="51">
        <f t="shared" si="115"/>
        <v>1.1173705894975636</v>
      </c>
      <c r="N136" s="51">
        <f t="shared" si="115"/>
        <v>1.1331031051336402</v>
      </c>
      <c r="O136" s="51">
        <f t="shared" si="115"/>
        <v>1.1489307644125362</v>
      </c>
      <c r="P136" s="51">
        <f t="shared" si="115"/>
        <v>1.1646300302652064</v>
      </c>
      <c r="Q136" s="51">
        <f t="shared" si="115"/>
        <v>1.1809608903510145</v>
      </c>
      <c r="R136" s="51">
        <f t="shared" si="115"/>
        <v>1.1972976296096471</v>
      </c>
      <c r="S136" s="51">
        <f t="shared" si="115"/>
        <v>1.2134614848405276</v>
      </c>
      <c r="T136" s="51">
        <f t="shared" si="115"/>
        <v>1.2297053522487835</v>
      </c>
      <c r="U136" s="51">
        <f t="shared" si="115"/>
        <v>1.2457349747753867</v>
      </c>
      <c r="V136" s="51">
        <f t="shared" si="115"/>
        <v>1.2618605967450491</v>
      </c>
      <c r="W136" s="51">
        <f t="shared" si="115"/>
        <v>1.2779034279052894</v>
      </c>
      <c r="X136" s="51">
        <f t="shared" si="115"/>
        <v>1.2935508186572615</v>
      </c>
      <c r="Y136" s="51">
        <f t="shared" si="115"/>
        <v>1.3088028541542984</v>
      </c>
      <c r="Z136" s="51">
        <f t="shared" si="115"/>
        <v>1.3240612794812103</v>
      </c>
      <c r="AA136" s="51">
        <f t="shared" si="115"/>
        <v>1.3392365719421413</v>
      </c>
      <c r="AB136" s="51">
        <f t="shared" si="115"/>
        <v>1.3538823689780772</v>
      </c>
      <c r="AC136" s="51">
        <f t="shared" si="115"/>
        <v>1.367953722947707</v>
      </c>
      <c r="AD136" s="51">
        <f t="shared" si="115"/>
        <v>1.3717521582100469</v>
      </c>
      <c r="AE136" s="51">
        <f t="shared" si="115"/>
        <v>1.3839602491678196</v>
      </c>
      <c r="AF136" s="51">
        <f t="shared" si="115"/>
        <v>1.3975321129612734</v>
      </c>
      <c r="AG136" s="51">
        <f t="shared" si="115"/>
        <v>1.4108421225850349</v>
      </c>
      <c r="AH136" s="51">
        <f t="shared" si="115"/>
        <v>1.4238699866881876</v>
      </c>
      <c r="AI136" s="51">
        <f t="shared" si="115"/>
        <v>1.4366055478753874</v>
      </c>
      <c r="AJ136" s="51">
        <f t="shared" si="115"/>
        <v>1.4490166860192919</v>
      </c>
      <c r="AK136" s="51">
        <f t="shared" si="115"/>
        <v>1.461082427928682</v>
      </c>
      <c r="AL136" s="51">
        <f t="shared" si="115"/>
        <v>1.4727476714985288</v>
      </c>
      <c r="AM136" s="51">
        <f t="shared" si="115"/>
        <v>1.4840090076234269</v>
      </c>
      <c r="AN136" s="51">
        <f t="shared" si="115"/>
        <v>1.4948687713038689</v>
      </c>
      <c r="AO136" s="51">
        <f t="shared" si="115"/>
        <v>1.5056714426178126</v>
      </c>
      <c r="AP136" s="51">
        <f t="shared" si="115"/>
        <v>1.5161612821165205</v>
      </c>
      <c r="AQ136" s="51">
        <f t="shared" si="115"/>
        <v>1.526368264106053</v>
      </c>
      <c r="AR136" s="51">
        <f t="shared" si="115"/>
        <v>1.536333554380453</v>
      </c>
      <c r="AS136" s="51">
        <f t="shared" si="115"/>
        <v>1.5460783913069491</v>
      </c>
      <c r="AT136" s="51">
        <f t="shared" si="115"/>
        <v>1.5556165843768528</v>
      </c>
      <c r="AU136" s="51">
        <f t="shared" si="115"/>
        <v>1.564992418398059</v>
      </c>
      <c r="AV136" s="51">
        <f t="shared" si="115"/>
        <v>1.5742461424190088</v>
      </c>
      <c r="AW136" s="51">
        <f t="shared" si="115"/>
        <v>1.5834217495572966</v>
      </c>
      <c r="AX136" s="51">
        <f t="shared" si="115"/>
        <v>0</v>
      </c>
      <c r="AY136" s="51">
        <f t="shared" si="115"/>
        <v>0</v>
      </c>
      <c r="AZ136" s="51">
        <f t="shared" si="115"/>
        <v>0</v>
      </c>
      <c r="BA136" s="51">
        <f t="shared" si="115"/>
        <v>0</v>
      </c>
      <c r="BB136" s="51">
        <f t="shared" si="115"/>
        <v>0</v>
      </c>
      <c r="BC136" s="51">
        <f t="shared" si="115"/>
        <v>0</v>
      </c>
      <c r="BD136" s="51">
        <f t="shared" si="115"/>
        <v>0</v>
      </c>
      <c r="BE136" s="51">
        <f t="shared" si="115"/>
        <v>0</v>
      </c>
      <c r="BF136" s="51">
        <f t="shared" si="115"/>
        <v>0</v>
      </c>
      <c r="BG136" s="51">
        <f t="shared" si="115"/>
        <v>0</v>
      </c>
      <c r="BH136" s="51">
        <f t="shared" si="115"/>
        <v>0</v>
      </c>
      <c r="BI136" s="51">
        <f t="shared" si="115"/>
        <v>0</v>
      </c>
      <c r="BJ136" s="51">
        <f t="shared" si="115"/>
        <v>0</v>
      </c>
      <c r="BK136" s="51">
        <f t="shared" si="115"/>
        <v>0</v>
      </c>
      <c r="BL136" s="51">
        <f t="shared" si="115"/>
        <v>0</v>
      </c>
      <c r="BM136" s="51">
        <f t="shared" si="115"/>
        <v>0</v>
      </c>
      <c r="BN136" s="51">
        <f t="shared" si="115"/>
        <v>0</v>
      </c>
      <c r="BO136" s="51">
        <f t="shared" si="115"/>
        <v>0</v>
      </c>
      <c r="BP136" s="51">
        <f t="shared" si="115"/>
        <v>0</v>
      </c>
      <c r="BQ136" s="51">
        <f t="shared" si="115"/>
        <v>0</v>
      </c>
      <c r="BR136" s="51">
        <f t="shared" si="115"/>
        <v>0</v>
      </c>
      <c r="BS136" s="51">
        <f t="shared" si="116" ref="BS136:CK136">IF(BS39="","",BS39/$G39)</f>
        <v>0</v>
      </c>
      <c r="BT136" s="51">
        <f t="shared" si="116"/>
        <v>0</v>
      </c>
      <c r="BU136" s="51">
        <f t="shared" si="116"/>
        <v>0</v>
      </c>
      <c r="BV136" s="51">
        <f t="shared" si="116"/>
        <v>0</v>
      </c>
      <c r="BW136" s="51">
        <f t="shared" si="116"/>
        <v>0</v>
      </c>
      <c r="BX136" s="51">
        <f t="shared" si="116"/>
        <v>0</v>
      </c>
      <c r="BY136" s="51">
        <f t="shared" si="116"/>
        <v>0</v>
      </c>
      <c r="BZ136" s="51">
        <f t="shared" si="116"/>
        <v>0</v>
      </c>
      <c r="CA136" s="51">
        <f t="shared" si="116"/>
        <v>0</v>
      </c>
      <c r="CB136" s="51">
        <f t="shared" si="116"/>
        <v>0</v>
      </c>
      <c r="CC136" s="51">
        <f t="shared" si="116"/>
        <v>0</v>
      </c>
      <c r="CD136" s="51">
        <f t="shared" si="116"/>
        <v>0</v>
      </c>
      <c r="CE136" s="51">
        <f t="shared" si="116"/>
        <v>0</v>
      </c>
      <c r="CF136" s="51">
        <f t="shared" si="116"/>
        <v>0</v>
      </c>
      <c r="CG136" s="51">
        <f t="shared" si="116"/>
        <v>0</v>
      </c>
      <c r="CH136" s="51">
        <f t="shared" si="116"/>
        <v>0</v>
      </c>
      <c r="CI136" s="51">
        <f t="shared" si="116"/>
        <v>0</v>
      </c>
      <c r="CJ136" s="51">
        <f t="shared" si="116"/>
        <v>0</v>
      </c>
      <c r="CK136" s="51">
        <f t="shared" si="116"/>
        <v>0</v>
      </c>
    </row>
    <row r="137" spans="6:89" ht="14.4">
      <c r="F137" t="s">
        <v>132</v>
      </c>
      <c r="G137" s="51">
        <f t="shared" si="117" ref="G137:BR137">IF(G40="","",G40/$G40)</f>
        <v>1</v>
      </c>
      <c r="H137" s="51">
        <f t="shared" si="117"/>
        <v>1.0315129591769674</v>
      </c>
      <c r="I137" s="51">
        <f t="shared" si="117"/>
        <v>1.049450004889237</v>
      </c>
      <c r="J137" s="51">
        <f t="shared" si="117"/>
        <v>1.0670358127501398</v>
      </c>
      <c r="K137" s="51">
        <f t="shared" si="117"/>
        <v>1.0840466739263699</v>
      </c>
      <c r="L137" s="51">
        <f t="shared" si="117"/>
        <v>1.100884365333386</v>
      </c>
      <c r="M137" s="51">
        <f t="shared" si="117"/>
        <v>1.1173705894975634</v>
      </c>
      <c r="N137" s="51">
        <f t="shared" si="117"/>
        <v>1.1331031051336402</v>
      </c>
      <c r="O137" s="51">
        <f t="shared" si="117"/>
        <v>1.1489307644125362</v>
      </c>
      <c r="P137" s="51">
        <f t="shared" si="117"/>
        <v>1.1646300302652064</v>
      </c>
      <c r="Q137" s="51">
        <f t="shared" si="117"/>
        <v>1.1809608903510143</v>
      </c>
      <c r="R137" s="51">
        <f t="shared" si="117"/>
        <v>1.1972976296096471</v>
      </c>
      <c r="S137" s="51">
        <f t="shared" si="117"/>
        <v>1.2134614848405276</v>
      </c>
      <c r="T137" s="51">
        <f t="shared" si="117"/>
        <v>1.2297053522487835</v>
      </c>
      <c r="U137" s="51">
        <f t="shared" si="117"/>
        <v>1.2457349747753865</v>
      </c>
      <c r="V137" s="51">
        <f t="shared" si="117"/>
        <v>1.2618605967450491</v>
      </c>
      <c r="W137" s="51">
        <f t="shared" si="117"/>
        <v>1.2779034279052897</v>
      </c>
      <c r="X137" s="51">
        <f t="shared" si="117"/>
        <v>1.2935508186572615</v>
      </c>
      <c r="Y137" s="51">
        <f t="shared" si="117"/>
        <v>1.3088028541542982</v>
      </c>
      <c r="Z137" s="51">
        <f t="shared" si="117"/>
        <v>1.3240612794812101</v>
      </c>
      <c r="AA137" s="51">
        <f t="shared" si="117"/>
        <v>1.3392365719421413</v>
      </c>
      <c r="AB137" s="51">
        <f t="shared" si="117"/>
        <v>1.3538823689780772</v>
      </c>
      <c r="AC137" s="51">
        <f t="shared" si="117"/>
        <v>1.3679537229477068</v>
      </c>
      <c r="AD137" s="51">
        <f t="shared" si="117"/>
        <v>1.3717521582100467</v>
      </c>
      <c r="AE137" s="51">
        <f t="shared" si="117"/>
        <v>1.3839602491678196</v>
      </c>
      <c r="AF137" s="51">
        <f t="shared" si="117"/>
        <v>1.3975321129612737</v>
      </c>
      <c r="AG137" s="51">
        <f t="shared" si="117"/>
        <v>1.4108421225850349</v>
      </c>
      <c r="AH137" s="51">
        <f t="shared" si="117"/>
        <v>1.4238699866881874</v>
      </c>
      <c r="AI137" s="51">
        <f t="shared" si="117"/>
        <v>1.4366055478753874</v>
      </c>
      <c r="AJ137" s="51">
        <f t="shared" si="117"/>
        <v>1.4490166860192917</v>
      </c>
      <c r="AK137" s="51">
        <f t="shared" si="117"/>
        <v>1.461082427928682</v>
      </c>
      <c r="AL137" s="51">
        <f t="shared" si="117"/>
        <v>1.4727476714985288</v>
      </c>
      <c r="AM137" s="51">
        <f t="shared" si="117"/>
        <v>1.4840090076234267</v>
      </c>
      <c r="AN137" s="51">
        <f t="shared" si="117"/>
        <v>1.4948687713038691</v>
      </c>
      <c r="AO137" s="51">
        <f t="shared" si="117"/>
        <v>1.5056714426178124</v>
      </c>
      <c r="AP137" s="51">
        <f t="shared" si="117"/>
        <v>1.5161612821165202</v>
      </c>
      <c r="AQ137" s="51">
        <f t="shared" si="117"/>
        <v>1.5263682641060528</v>
      </c>
      <c r="AR137" s="51">
        <f t="shared" si="117"/>
        <v>1.536333554380453</v>
      </c>
      <c r="AS137" s="51">
        <f t="shared" si="117"/>
        <v>1.5460783913069489</v>
      </c>
      <c r="AT137" s="51">
        <f t="shared" si="117"/>
        <v>1.5556165843768528</v>
      </c>
      <c r="AU137" s="51">
        <f t="shared" si="117"/>
        <v>1.5649924183980588</v>
      </c>
      <c r="AV137" s="51">
        <f t="shared" si="117"/>
        <v>1.5742461424190091</v>
      </c>
      <c r="AW137" s="51">
        <f t="shared" si="117"/>
        <v>1.5834217495572966</v>
      </c>
      <c r="AX137" s="51">
        <f t="shared" si="117"/>
        <v>0</v>
      </c>
      <c r="AY137" s="51">
        <f t="shared" si="117"/>
        <v>0</v>
      </c>
      <c r="AZ137" s="51">
        <f t="shared" si="117"/>
        <v>0</v>
      </c>
      <c r="BA137" s="51">
        <f t="shared" si="117"/>
        <v>0</v>
      </c>
      <c r="BB137" s="51">
        <f t="shared" si="117"/>
        <v>0</v>
      </c>
      <c r="BC137" s="51">
        <f t="shared" si="117"/>
        <v>0</v>
      </c>
      <c r="BD137" s="51">
        <f t="shared" si="117"/>
        <v>0</v>
      </c>
      <c r="BE137" s="51">
        <f t="shared" si="117"/>
        <v>0</v>
      </c>
      <c r="BF137" s="51">
        <f t="shared" si="117"/>
        <v>0</v>
      </c>
      <c r="BG137" s="51">
        <f t="shared" si="117"/>
        <v>0</v>
      </c>
      <c r="BH137" s="51">
        <f t="shared" si="117"/>
        <v>0</v>
      </c>
      <c r="BI137" s="51">
        <f t="shared" si="117"/>
        <v>0</v>
      </c>
      <c r="BJ137" s="51">
        <f t="shared" si="117"/>
        <v>0</v>
      </c>
      <c r="BK137" s="51">
        <f t="shared" si="117"/>
        <v>0</v>
      </c>
      <c r="BL137" s="51">
        <f t="shared" si="117"/>
        <v>0</v>
      </c>
      <c r="BM137" s="51">
        <f t="shared" si="117"/>
        <v>0</v>
      </c>
      <c r="BN137" s="51">
        <f t="shared" si="117"/>
        <v>0</v>
      </c>
      <c r="BO137" s="51">
        <f t="shared" si="117"/>
        <v>0</v>
      </c>
      <c r="BP137" s="51">
        <f t="shared" si="117"/>
        <v>0</v>
      </c>
      <c r="BQ137" s="51">
        <f t="shared" si="117"/>
        <v>0</v>
      </c>
      <c r="BR137" s="51">
        <f t="shared" si="117"/>
        <v>0</v>
      </c>
      <c r="BS137" s="51">
        <f t="shared" si="118" ref="BS137:CK137">IF(BS40="","",BS40/$G40)</f>
        <v>0</v>
      </c>
      <c r="BT137" s="51">
        <f t="shared" si="118"/>
        <v>0</v>
      </c>
      <c r="BU137" s="51">
        <f t="shared" si="118"/>
        <v>0</v>
      </c>
      <c r="BV137" s="51">
        <f t="shared" si="118"/>
        <v>0</v>
      </c>
      <c r="BW137" s="51">
        <f t="shared" si="118"/>
        <v>0</v>
      </c>
      <c r="BX137" s="51">
        <f t="shared" si="118"/>
        <v>0</v>
      </c>
      <c r="BY137" s="51">
        <f t="shared" si="118"/>
        <v>0</v>
      </c>
      <c r="BZ137" s="51">
        <f t="shared" si="118"/>
        <v>0</v>
      </c>
      <c r="CA137" s="51">
        <f t="shared" si="118"/>
        <v>0</v>
      </c>
      <c r="CB137" s="51">
        <f t="shared" si="118"/>
        <v>0</v>
      </c>
      <c r="CC137" s="51">
        <f t="shared" si="118"/>
        <v>0</v>
      </c>
      <c r="CD137" s="51">
        <f t="shared" si="118"/>
        <v>0</v>
      </c>
      <c r="CE137" s="51">
        <f t="shared" si="118"/>
        <v>0</v>
      </c>
      <c r="CF137" s="51">
        <f t="shared" si="118"/>
        <v>0</v>
      </c>
      <c r="CG137" s="51">
        <f t="shared" si="118"/>
        <v>0</v>
      </c>
      <c r="CH137" s="51">
        <f t="shared" si="118"/>
        <v>0</v>
      </c>
      <c r="CI137" s="51">
        <f t="shared" si="118"/>
        <v>0</v>
      </c>
      <c r="CJ137" s="51">
        <f t="shared" si="118"/>
        <v>0</v>
      </c>
      <c r="CK137" s="51">
        <f t="shared" si="118"/>
        <v>0</v>
      </c>
    </row>
    <row r="138" spans="6:89" ht="14.4">
      <c r="F138" t="s">
        <v>133</v>
      </c>
      <c r="G138" s="51">
        <f t="shared" si="119" ref="G138:BR138">IF(G41="","",G41/$G41)</f>
        <v>1</v>
      </c>
      <c r="H138" s="51">
        <f t="shared" si="119"/>
        <v>1.0315129591769672</v>
      </c>
      <c r="I138" s="51">
        <f t="shared" si="119"/>
        <v>1.049450004889237</v>
      </c>
      <c r="J138" s="51">
        <f t="shared" si="119"/>
        <v>1.0670358127501398</v>
      </c>
      <c r="K138" s="51">
        <f t="shared" si="119"/>
        <v>1.0840466739263699</v>
      </c>
      <c r="L138" s="51">
        <f t="shared" si="119"/>
        <v>1.100884365333386</v>
      </c>
      <c r="M138" s="51">
        <f t="shared" si="119"/>
        <v>1.1173705894975636</v>
      </c>
      <c r="N138" s="51">
        <f t="shared" si="119"/>
        <v>1.1331031051336404</v>
      </c>
      <c r="O138" s="51">
        <f t="shared" si="119"/>
        <v>1.1489307644125359</v>
      </c>
      <c r="P138" s="51">
        <f t="shared" si="119"/>
        <v>1.1646300302652064</v>
      </c>
      <c r="Q138" s="51">
        <f t="shared" si="119"/>
        <v>1.1809608903510143</v>
      </c>
      <c r="R138" s="51">
        <f t="shared" si="119"/>
        <v>1.1972976296096471</v>
      </c>
      <c r="S138" s="51">
        <f t="shared" si="119"/>
        <v>1.2134614848405276</v>
      </c>
      <c r="T138" s="51">
        <f t="shared" si="119"/>
        <v>1.2297053522487837</v>
      </c>
      <c r="U138" s="51">
        <f t="shared" si="119"/>
        <v>1.2457349747753865</v>
      </c>
      <c r="V138" s="51">
        <f t="shared" si="119"/>
        <v>1.2618605967450491</v>
      </c>
      <c r="W138" s="51">
        <f t="shared" si="119"/>
        <v>1.2779034279052897</v>
      </c>
      <c r="X138" s="51">
        <f t="shared" si="119"/>
        <v>1.2935508186572615</v>
      </c>
      <c r="Y138" s="51">
        <f t="shared" si="119"/>
        <v>1.308802854154298</v>
      </c>
      <c r="Z138" s="51">
        <f t="shared" si="119"/>
        <v>1.3240612794812101</v>
      </c>
      <c r="AA138" s="51">
        <f t="shared" si="119"/>
        <v>1.3392365719421415</v>
      </c>
      <c r="AB138" s="51">
        <f t="shared" si="119"/>
        <v>1.3538823689780772</v>
      </c>
      <c r="AC138" s="51">
        <f t="shared" si="119"/>
        <v>1.3679537229477068</v>
      </c>
      <c r="AD138" s="51">
        <f t="shared" si="119"/>
        <v>1.3717521582100469</v>
      </c>
      <c r="AE138" s="51">
        <f t="shared" si="119"/>
        <v>1.3839602491678196</v>
      </c>
      <c r="AF138" s="51">
        <f t="shared" si="119"/>
        <v>1.3975321129612737</v>
      </c>
      <c r="AG138" s="51">
        <f t="shared" si="119"/>
        <v>1.4108421225850349</v>
      </c>
      <c r="AH138" s="51">
        <f t="shared" si="119"/>
        <v>1.4238699866881874</v>
      </c>
      <c r="AI138" s="51">
        <f t="shared" si="119"/>
        <v>1.4366055478753874</v>
      </c>
      <c r="AJ138" s="51">
        <f t="shared" si="119"/>
        <v>1.4490166860192919</v>
      </c>
      <c r="AK138" s="51">
        <f t="shared" si="119"/>
        <v>1.4610824279286823</v>
      </c>
      <c r="AL138" s="51">
        <f t="shared" si="119"/>
        <v>1.4727476714985288</v>
      </c>
      <c r="AM138" s="51">
        <f t="shared" si="119"/>
        <v>1.4840090076234267</v>
      </c>
      <c r="AN138" s="51">
        <f t="shared" si="119"/>
        <v>1.4948687713038689</v>
      </c>
      <c r="AO138" s="51">
        <f t="shared" si="119"/>
        <v>1.5056714426178126</v>
      </c>
      <c r="AP138" s="51">
        <f t="shared" si="119"/>
        <v>1.5161612821165205</v>
      </c>
      <c r="AQ138" s="51">
        <f t="shared" si="119"/>
        <v>1.526368264106053</v>
      </c>
      <c r="AR138" s="51">
        <f t="shared" si="119"/>
        <v>1.5363335543804528</v>
      </c>
      <c r="AS138" s="51">
        <f t="shared" si="119"/>
        <v>1.5460783913069491</v>
      </c>
      <c r="AT138" s="51">
        <f t="shared" si="119"/>
        <v>1.5556165843768528</v>
      </c>
      <c r="AU138" s="51">
        <f t="shared" si="119"/>
        <v>1.5649924183980588</v>
      </c>
      <c r="AV138" s="51">
        <f t="shared" si="119"/>
        <v>1.5742461424190088</v>
      </c>
      <c r="AW138" s="51">
        <f t="shared" si="119"/>
        <v>1.5834217495572966</v>
      </c>
      <c r="AX138" s="51">
        <f t="shared" si="119"/>
        <v>0</v>
      </c>
      <c r="AY138" s="51">
        <f t="shared" si="119"/>
        <v>0</v>
      </c>
      <c r="AZ138" s="51">
        <f t="shared" si="119"/>
        <v>0</v>
      </c>
      <c r="BA138" s="51">
        <f t="shared" si="119"/>
        <v>0</v>
      </c>
      <c r="BB138" s="51">
        <f t="shared" si="119"/>
        <v>0</v>
      </c>
      <c r="BC138" s="51">
        <f t="shared" si="119"/>
        <v>0</v>
      </c>
      <c r="BD138" s="51">
        <f t="shared" si="119"/>
        <v>0</v>
      </c>
      <c r="BE138" s="51">
        <f t="shared" si="119"/>
        <v>0</v>
      </c>
      <c r="BF138" s="51">
        <f t="shared" si="119"/>
        <v>0</v>
      </c>
      <c r="BG138" s="51">
        <f t="shared" si="119"/>
        <v>0</v>
      </c>
      <c r="BH138" s="51">
        <f t="shared" si="119"/>
        <v>0</v>
      </c>
      <c r="BI138" s="51">
        <f t="shared" si="119"/>
        <v>0</v>
      </c>
      <c r="BJ138" s="51">
        <f t="shared" si="119"/>
        <v>0</v>
      </c>
      <c r="BK138" s="51">
        <f t="shared" si="119"/>
        <v>0</v>
      </c>
      <c r="BL138" s="51">
        <f t="shared" si="119"/>
        <v>0</v>
      </c>
      <c r="BM138" s="51">
        <f t="shared" si="119"/>
        <v>0</v>
      </c>
      <c r="BN138" s="51">
        <f t="shared" si="119"/>
        <v>0</v>
      </c>
      <c r="BO138" s="51">
        <f t="shared" si="119"/>
        <v>0</v>
      </c>
      <c r="BP138" s="51">
        <f t="shared" si="119"/>
        <v>0</v>
      </c>
      <c r="BQ138" s="51">
        <f t="shared" si="119"/>
        <v>0</v>
      </c>
      <c r="BR138" s="51">
        <f t="shared" si="119"/>
        <v>0</v>
      </c>
      <c r="BS138" s="51">
        <f t="shared" si="120" ref="BS138:CK138">IF(BS41="","",BS41/$G41)</f>
        <v>0</v>
      </c>
      <c r="BT138" s="51">
        <f t="shared" si="120"/>
        <v>0</v>
      </c>
      <c r="BU138" s="51">
        <f t="shared" si="120"/>
        <v>0</v>
      </c>
      <c r="BV138" s="51">
        <f t="shared" si="120"/>
        <v>0</v>
      </c>
      <c r="BW138" s="51">
        <f t="shared" si="120"/>
        <v>0</v>
      </c>
      <c r="BX138" s="51">
        <f t="shared" si="120"/>
        <v>0</v>
      </c>
      <c r="BY138" s="51">
        <f t="shared" si="120"/>
        <v>0</v>
      </c>
      <c r="BZ138" s="51">
        <f t="shared" si="120"/>
        <v>0</v>
      </c>
      <c r="CA138" s="51">
        <f t="shared" si="120"/>
        <v>0</v>
      </c>
      <c r="CB138" s="51">
        <f t="shared" si="120"/>
        <v>0</v>
      </c>
      <c r="CC138" s="51">
        <f t="shared" si="120"/>
        <v>0</v>
      </c>
      <c r="CD138" s="51">
        <f t="shared" si="120"/>
        <v>0</v>
      </c>
      <c r="CE138" s="51">
        <f t="shared" si="120"/>
        <v>0</v>
      </c>
      <c r="CF138" s="51">
        <f t="shared" si="120"/>
        <v>0</v>
      </c>
      <c r="CG138" s="51">
        <f t="shared" si="120"/>
        <v>0</v>
      </c>
      <c r="CH138" s="51">
        <f t="shared" si="120"/>
        <v>0</v>
      </c>
      <c r="CI138" s="51">
        <f t="shared" si="120"/>
        <v>0</v>
      </c>
      <c r="CJ138" s="51">
        <f t="shared" si="120"/>
        <v>0</v>
      </c>
      <c r="CK138" s="51">
        <f t="shared" si="120"/>
        <v>0</v>
      </c>
    </row>
    <row r="139" spans="6:89" ht="14.4">
      <c r="F139" t="s">
        <v>134</v>
      </c>
      <c r="G139" s="51" t="e">
        <f t="shared" si="121" ref="G139:BR139">IF(G42="","",G42/$G42)</f>
        <v>#DIV/0!</v>
      </c>
      <c r="H139" s="51" t="e">
        <f t="shared" si="121"/>
        <v>#DIV/0!</v>
      </c>
      <c r="I139" s="51" t="e">
        <f t="shared" si="121"/>
        <v>#DIV/0!</v>
      </c>
      <c r="J139" s="51" t="e">
        <f t="shared" si="121"/>
        <v>#DIV/0!</v>
      </c>
      <c r="K139" s="51" t="e">
        <f t="shared" si="121"/>
        <v>#DIV/0!</v>
      </c>
      <c r="L139" s="51" t="e">
        <f t="shared" si="121"/>
        <v>#DIV/0!</v>
      </c>
      <c r="M139" s="51" t="e">
        <f t="shared" si="121"/>
        <v>#DIV/0!</v>
      </c>
      <c r="N139" s="51" t="e">
        <f t="shared" si="121"/>
        <v>#DIV/0!</v>
      </c>
      <c r="O139" s="51" t="e">
        <f t="shared" si="121"/>
        <v>#DIV/0!</v>
      </c>
      <c r="P139" s="51" t="e">
        <f t="shared" si="121"/>
        <v>#DIV/0!</v>
      </c>
      <c r="Q139" s="51" t="e">
        <f t="shared" si="121"/>
        <v>#DIV/0!</v>
      </c>
      <c r="R139" s="51" t="e">
        <f t="shared" si="121"/>
        <v>#DIV/0!</v>
      </c>
      <c r="S139" s="51" t="e">
        <f t="shared" si="121"/>
        <v>#DIV/0!</v>
      </c>
      <c r="T139" s="51" t="e">
        <f t="shared" si="121"/>
        <v>#DIV/0!</v>
      </c>
      <c r="U139" s="51" t="e">
        <f t="shared" si="121"/>
        <v>#DIV/0!</v>
      </c>
      <c r="V139" s="51" t="e">
        <f t="shared" si="121"/>
        <v>#DIV/0!</v>
      </c>
      <c r="W139" s="51" t="e">
        <f t="shared" si="121"/>
        <v>#DIV/0!</v>
      </c>
      <c r="X139" s="51" t="e">
        <f t="shared" si="121"/>
        <v>#DIV/0!</v>
      </c>
      <c r="Y139" s="51" t="e">
        <f t="shared" si="121"/>
        <v>#DIV/0!</v>
      </c>
      <c r="Z139" s="51" t="e">
        <f t="shared" si="121"/>
        <v>#DIV/0!</v>
      </c>
      <c r="AA139" s="51" t="e">
        <f t="shared" si="121"/>
        <v>#DIV/0!</v>
      </c>
      <c r="AB139" s="51" t="e">
        <f t="shared" si="121"/>
        <v>#DIV/0!</v>
      </c>
      <c r="AC139" s="51" t="e">
        <f t="shared" si="121"/>
        <v>#DIV/0!</v>
      </c>
      <c r="AD139" s="51" t="e">
        <f t="shared" si="121"/>
        <v>#DIV/0!</v>
      </c>
      <c r="AE139" s="51" t="e">
        <f t="shared" si="121"/>
        <v>#DIV/0!</v>
      </c>
      <c r="AF139" s="51" t="e">
        <f t="shared" si="121"/>
        <v>#DIV/0!</v>
      </c>
      <c r="AG139" s="51" t="e">
        <f t="shared" si="121"/>
        <v>#DIV/0!</v>
      </c>
      <c r="AH139" s="51" t="e">
        <f t="shared" si="121"/>
        <v>#DIV/0!</v>
      </c>
      <c r="AI139" s="51" t="e">
        <f t="shared" si="121"/>
        <v>#DIV/0!</v>
      </c>
      <c r="AJ139" s="51" t="e">
        <f t="shared" si="121"/>
        <v>#DIV/0!</v>
      </c>
      <c r="AK139" s="51" t="e">
        <f t="shared" si="121"/>
        <v>#DIV/0!</v>
      </c>
      <c r="AL139" s="51" t="e">
        <f t="shared" si="121"/>
        <v>#DIV/0!</v>
      </c>
      <c r="AM139" s="51" t="e">
        <f t="shared" si="121"/>
        <v>#DIV/0!</v>
      </c>
      <c r="AN139" s="51" t="e">
        <f t="shared" si="121"/>
        <v>#DIV/0!</v>
      </c>
      <c r="AO139" s="51" t="e">
        <f t="shared" si="121"/>
        <v>#DIV/0!</v>
      </c>
      <c r="AP139" s="51" t="e">
        <f t="shared" si="121"/>
        <v>#DIV/0!</v>
      </c>
      <c r="AQ139" s="51" t="e">
        <f t="shared" si="121"/>
        <v>#DIV/0!</v>
      </c>
      <c r="AR139" s="51" t="e">
        <f t="shared" si="121"/>
        <v>#DIV/0!</v>
      </c>
      <c r="AS139" s="51" t="e">
        <f t="shared" si="121"/>
        <v>#DIV/0!</v>
      </c>
      <c r="AT139" s="51" t="e">
        <f t="shared" si="121"/>
        <v>#DIV/0!</v>
      </c>
      <c r="AU139" s="51" t="e">
        <f t="shared" si="121"/>
        <v>#DIV/0!</v>
      </c>
      <c r="AV139" s="51" t="e">
        <f t="shared" si="121"/>
        <v>#DIV/0!</v>
      </c>
      <c r="AW139" s="51" t="e">
        <f t="shared" si="121"/>
        <v>#DIV/0!</v>
      </c>
      <c r="AX139" s="51" t="e">
        <f t="shared" si="121"/>
        <v>#DIV/0!</v>
      </c>
      <c r="AY139" s="51" t="e">
        <f t="shared" si="121"/>
        <v>#DIV/0!</v>
      </c>
      <c r="AZ139" s="51" t="e">
        <f t="shared" si="121"/>
        <v>#DIV/0!</v>
      </c>
      <c r="BA139" s="51" t="e">
        <f t="shared" si="121"/>
        <v>#DIV/0!</v>
      </c>
      <c r="BB139" s="51" t="e">
        <f t="shared" si="121"/>
        <v>#DIV/0!</v>
      </c>
      <c r="BC139" s="51" t="e">
        <f t="shared" si="121"/>
        <v>#DIV/0!</v>
      </c>
      <c r="BD139" s="51" t="e">
        <f t="shared" si="121"/>
        <v>#DIV/0!</v>
      </c>
      <c r="BE139" s="51" t="e">
        <f t="shared" si="121"/>
        <v>#DIV/0!</v>
      </c>
      <c r="BF139" s="51" t="e">
        <f t="shared" si="121"/>
        <v>#DIV/0!</v>
      </c>
      <c r="BG139" s="51" t="e">
        <f t="shared" si="121"/>
        <v>#DIV/0!</v>
      </c>
      <c r="BH139" s="51" t="e">
        <f t="shared" si="121"/>
        <v>#DIV/0!</v>
      </c>
      <c r="BI139" s="51" t="e">
        <f t="shared" si="121"/>
        <v>#DIV/0!</v>
      </c>
      <c r="BJ139" s="51" t="e">
        <f t="shared" si="121"/>
        <v>#DIV/0!</v>
      </c>
      <c r="BK139" s="51" t="e">
        <f t="shared" si="121"/>
        <v>#DIV/0!</v>
      </c>
      <c r="BL139" s="51" t="e">
        <f t="shared" si="121"/>
        <v>#DIV/0!</v>
      </c>
      <c r="BM139" s="51" t="e">
        <f t="shared" si="121"/>
        <v>#DIV/0!</v>
      </c>
      <c r="BN139" s="51" t="e">
        <f t="shared" si="121"/>
        <v>#DIV/0!</v>
      </c>
      <c r="BO139" s="51" t="e">
        <f t="shared" si="121"/>
        <v>#DIV/0!</v>
      </c>
      <c r="BP139" s="51" t="e">
        <f t="shared" si="121"/>
        <v>#DIV/0!</v>
      </c>
      <c r="BQ139" s="51" t="e">
        <f t="shared" si="121"/>
        <v>#DIV/0!</v>
      </c>
      <c r="BR139" s="51" t="e">
        <f t="shared" si="121"/>
        <v>#DIV/0!</v>
      </c>
      <c r="BS139" s="51" t="e">
        <f t="shared" si="122" ref="BS139:CK139">IF(BS42="","",BS42/$G42)</f>
        <v>#DIV/0!</v>
      </c>
      <c r="BT139" s="51" t="e">
        <f t="shared" si="122"/>
        <v>#DIV/0!</v>
      </c>
      <c r="BU139" s="51" t="e">
        <f t="shared" si="122"/>
        <v>#DIV/0!</v>
      </c>
      <c r="BV139" s="51" t="e">
        <f t="shared" si="122"/>
        <v>#DIV/0!</v>
      </c>
      <c r="BW139" s="51" t="e">
        <f t="shared" si="122"/>
        <v>#DIV/0!</v>
      </c>
      <c r="BX139" s="51" t="e">
        <f t="shared" si="122"/>
        <v>#DIV/0!</v>
      </c>
      <c r="BY139" s="51" t="e">
        <f t="shared" si="122"/>
        <v>#DIV/0!</v>
      </c>
      <c r="BZ139" s="51" t="e">
        <f t="shared" si="122"/>
        <v>#DIV/0!</v>
      </c>
      <c r="CA139" s="51" t="e">
        <f t="shared" si="122"/>
        <v>#DIV/0!</v>
      </c>
      <c r="CB139" s="51" t="e">
        <f t="shared" si="122"/>
        <v>#DIV/0!</v>
      </c>
      <c r="CC139" s="51" t="e">
        <f t="shared" si="122"/>
        <v>#DIV/0!</v>
      </c>
      <c r="CD139" s="51" t="e">
        <f t="shared" si="122"/>
        <v>#DIV/0!</v>
      </c>
      <c r="CE139" s="51" t="e">
        <f t="shared" si="122"/>
        <v>#DIV/0!</v>
      </c>
      <c r="CF139" s="51" t="e">
        <f t="shared" si="122"/>
        <v>#DIV/0!</v>
      </c>
      <c r="CG139" s="51" t="e">
        <f t="shared" si="122"/>
        <v>#DIV/0!</v>
      </c>
      <c r="CH139" s="51" t="e">
        <f t="shared" si="122"/>
        <v>#DIV/0!</v>
      </c>
      <c r="CI139" s="51" t="e">
        <f t="shared" si="122"/>
        <v>#DIV/0!</v>
      </c>
      <c r="CJ139" s="51" t="e">
        <f t="shared" si="122"/>
        <v>#DIV/0!</v>
      </c>
      <c r="CK139" s="51" t="e">
        <f t="shared" si="122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G31" sqref="G31"/>
    </sheetView>
  </sheetViews>
  <sheetFormatPr defaultColWidth="9.21428571428571" defaultRowHeight="14.4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4">
      <c r="C3" s="10" t="str" cm="1">
        <f t="array" ref="C3">INDEX(C5:C7,$A$4)</f>
        <v>IE</v>
      </c>
      <c r="D3" s="10" t="str" cm="1">
        <f t="array" ref="D3">INDEX(D5:D7,$A$4)</f>
        <v>National</v>
      </c>
      <c r="E3" s="10" t="str" cm="1">
        <f t="array" ref="E3">INDEX(E5:E7,$A$4)</f>
        <v>IE-CW</v>
      </c>
      <c r="F3" s="10" t="str" cm="1">
        <f t="array" ref="F3">INDEX(F5:F7,$A$4)</f>
        <v>IE-D</v>
      </c>
      <c r="G3" s="10" t="str" cm="1">
        <f t="array" ref="G3">INDEX(G5:G7,$A$4)</f>
        <v>IE-KE</v>
      </c>
      <c r="H3" s="10" t="str" cm="1">
        <f t="array" ref="H3">INDEX(H5:H7,$A$4)</f>
        <v>IE-KK</v>
      </c>
      <c r="I3" s="10" t="str" cm="1">
        <f t="array" ref="I3">INDEX(I5:I7,$A$4)</f>
        <v>IE-LS</v>
      </c>
      <c r="J3" s="10" t="str" cm="1">
        <f t="array" ref="J3">INDEX(J5:J7,$A$4)</f>
        <v>IE-LD</v>
      </c>
      <c r="K3" s="10" t="str" cm="1">
        <f t="array" ref="K3">INDEX(K5:K7,$A$4)</f>
        <v>IE-LH</v>
      </c>
      <c r="L3" s="10" t="str" cm="1">
        <f t="array" ref="L3">INDEX(L5:L7,$A$4)</f>
        <v>IE-MH</v>
      </c>
      <c r="M3" s="10" t="str" cm="1">
        <f t="array" ref="M3">INDEX(M5:M7,$A$4)</f>
        <v>IE-OY</v>
      </c>
      <c r="N3" s="10" t="str" cm="1">
        <f t="array" ref="N3">INDEX(N5:N7,$A$4)</f>
        <v>IE-WH</v>
      </c>
      <c r="O3" s="10" t="str" cm="1">
        <f t="array" ref="O3">INDEX(O5:O7,$A$4)</f>
        <v>IE-WX</v>
      </c>
      <c r="P3" s="10" t="str" cm="1">
        <f t="array" ref="P3">INDEX(P5:P7,$A$4)</f>
        <v>IE-WW</v>
      </c>
      <c r="Q3" s="10" t="str" cm="1">
        <f t="array" ref="Q3">INDEX(Q5:Q7,$A$4)</f>
        <v>IE-CE</v>
      </c>
      <c r="R3" s="10" t="str" cm="1">
        <f t="array" ref="R3">INDEX(R5:R7,$A$4)</f>
        <v>IE-CO</v>
      </c>
      <c r="S3" s="10" t="str" cm="1">
        <f t="array" ref="S3">INDEX(S5:S7,$A$4)</f>
        <v>IE-KY</v>
      </c>
      <c r="T3" s="10" t="str" cm="1">
        <f t="array" ref="T3">INDEX(T5:T7,$A$4)</f>
        <v>IE-LK</v>
      </c>
      <c r="U3" s="10" t="str" cm="1">
        <f t="array" ref="U3">INDEX(U5:U7,$A$4)</f>
        <v>IE-TA</v>
      </c>
      <c r="V3" s="10" t="str" cm="1">
        <f t="array" ref="V3">INDEX(V5:V7,$A$4)</f>
        <v>IE-WD</v>
      </c>
      <c r="W3" s="10" t="str" cm="1">
        <f t="array" ref="W3">INDEX(W5:W7,$A$4)</f>
        <v>IE-G</v>
      </c>
      <c r="X3" s="10" t="str" cm="1">
        <f t="array" ref="X3">INDEX(X5:X7,$A$4)</f>
        <v>IE-LM</v>
      </c>
      <c r="Y3" s="10" t="str" cm="1">
        <f t="array" ref="Y3">INDEX(Y5:Y7,$A$4)</f>
        <v>IE-MO</v>
      </c>
      <c r="Z3" s="10" t="str" cm="1">
        <f t="array" ref="Z3">INDEX(Z5:Z7,$A$4)</f>
        <v>IE-RN</v>
      </c>
      <c r="AA3" s="10" t="str" cm="1">
        <f t="array" ref="AA3">INDEX(AA5:AA7,$A$4)</f>
        <v>IE-SO</v>
      </c>
      <c r="AB3" s="10" t="str" cm="1">
        <f t="array" ref="AB3">INDEX(AB5:AB7,$A$4)</f>
        <v>IE-CN</v>
      </c>
      <c r="AC3" s="10" t="str" cm="1">
        <f t="array" ref="AC3">INDEX(AC5:AC7,$A$4)</f>
        <v>IE-DL</v>
      </c>
      <c r="AD3" s="10" t="str" cm="1">
        <f t="array" ref="AD3">INDEX(AD5:AD7,$A$4)</f>
        <v>IE-MN</v>
      </c>
    </row>
    <row r="4" spans="1:1" ht="14.4">
      <c r="A4">
        <v>1</v>
      </c>
    </row>
    <row r="5" spans="1:30" ht="14.4">
      <c r="A5" t="s">
        <v>60</v>
      </c>
      <c r="C5" s="11" t="s">
        <v>61</v>
      </c>
      <c r="D5" s="11" t="s">
        <v>62</v>
      </c>
      <c r="E5" s="10" t="str">
        <f>Regions!A11</f>
        <v>IE-CW</v>
      </c>
      <c r="F5" s="10" t="str">
        <f>Regions!A16</f>
        <v>IE-D</v>
      </c>
      <c r="G5" s="10" t="str">
        <f>Regions!A19</f>
        <v>IE-KE</v>
      </c>
      <c r="H5" s="10" t="str">
        <f>Regions!A20</f>
        <v>IE-KK</v>
      </c>
      <c r="I5" s="10" t="str">
        <f>Regions!A21</f>
        <v>IE-LS</v>
      </c>
      <c r="J5" s="10" t="str">
        <f>Regions!A24</f>
        <v>IE-LD</v>
      </c>
      <c r="K5" s="10" t="str">
        <f>Regions!A25</f>
        <v>IE-LH</v>
      </c>
      <c r="L5" s="10" t="str">
        <f>Regions!A27</f>
        <v>IE-MH</v>
      </c>
      <c r="M5" s="10" t="str">
        <f>Regions!A29</f>
        <v>IE-OY</v>
      </c>
      <c r="N5" s="10" t="str">
        <f>Regions!A34</f>
        <v>IE-WH</v>
      </c>
      <c r="O5" s="10" t="str">
        <f>Regions!A35</f>
        <v>IE-WX</v>
      </c>
      <c r="P5" s="10" t="str">
        <f>Regions!A36</f>
        <v>IE-WW</v>
      </c>
      <c r="Q5" s="10" t="str">
        <f>Regions!A13</f>
        <v>IE-CE</v>
      </c>
      <c r="R5" s="10" t="str">
        <f>Regions!A14</f>
        <v>IE-CO</v>
      </c>
      <c r="S5" s="10" t="str">
        <f>Regions!A18</f>
        <v>IE-KY</v>
      </c>
      <c r="T5" s="10" t="str">
        <f>Regions!A23</f>
        <v>IE-LK</v>
      </c>
      <c r="U5" s="10" t="str">
        <f>Regions!A32</f>
        <v>IE-TA</v>
      </c>
      <c r="V5" s="10" t="str">
        <f>Regions!A33</f>
        <v>IE-WD</v>
      </c>
      <c r="W5" s="10" t="str">
        <f>Regions!A17</f>
        <v>IE-G</v>
      </c>
      <c r="X5" s="10" t="str">
        <f>Regions!A22</f>
        <v>IE-LM</v>
      </c>
      <c r="Y5" s="10" t="str">
        <f>Regions!A26</f>
        <v>IE-MO</v>
      </c>
      <c r="Z5" s="10" t="str">
        <f>Regions!A30</f>
        <v>IE-RN</v>
      </c>
      <c r="AA5" s="10" t="str">
        <f>Regions!A31</f>
        <v>IE-SO</v>
      </c>
      <c r="AB5" s="10" t="str">
        <f>Regions!A12</f>
        <v>IE-CN</v>
      </c>
      <c r="AC5" s="10" t="str">
        <f>Regions!A15</f>
        <v>IE-DL</v>
      </c>
      <c r="AD5" s="10" t="str">
        <f>Regions!A28</f>
        <v>IE-MN</v>
      </c>
    </row>
    <row r="6" spans="1:30" ht="14.4">
      <c r="A6" t="s">
        <v>63</v>
      </c>
      <c r="C6" s="10" t="str">
        <f>C5</f>
        <v>IE</v>
      </c>
      <c r="D6" s="10" t="str">
        <f>"*"&amp;D5</f>
        <v>*National</v>
      </c>
      <c r="E6" s="10" t="str">
        <f t="shared" si="0" ref="E6:AD6">"*"&amp;E5</f>
        <v>*IE-CW</v>
      </c>
      <c r="F6" s="10" t="str">
        <f t="shared" si="0"/>
        <v>*IE-D</v>
      </c>
      <c r="G6" s="10" t="str">
        <f t="shared" si="0"/>
        <v>*IE-KE</v>
      </c>
      <c r="H6" s="10" t="str">
        <f t="shared" si="0"/>
        <v>*IE-KK</v>
      </c>
      <c r="I6" s="10" t="str">
        <f t="shared" si="0"/>
        <v>*IE-LS</v>
      </c>
      <c r="J6" s="10" t="str">
        <f t="shared" si="0"/>
        <v>*IE-LD</v>
      </c>
      <c r="K6" s="10" t="str">
        <f t="shared" si="0"/>
        <v>*IE-LH</v>
      </c>
      <c r="L6" s="10" t="str">
        <f t="shared" si="0"/>
        <v>*IE-MH</v>
      </c>
      <c r="M6" s="10" t="str">
        <f t="shared" si="0"/>
        <v>*IE-OY</v>
      </c>
      <c r="N6" s="10" t="str">
        <f t="shared" si="0"/>
        <v>*IE-WH</v>
      </c>
      <c r="O6" s="10" t="str">
        <f t="shared" si="0"/>
        <v>*IE-WX</v>
      </c>
      <c r="P6" s="10" t="str">
        <f t="shared" si="0"/>
        <v>*IE-WW</v>
      </c>
      <c r="Q6" s="10" t="str">
        <f t="shared" si="0"/>
        <v>*IE-CE</v>
      </c>
      <c r="R6" s="10" t="str">
        <f t="shared" si="0"/>
        <v>*IE-CO</v>
      </c>
      <c r="S6" s="10" t="str">
        <f t="shared" si="0"/>
        <v>*IE-KY</v>
      </c>
      <c r="T6" s="10" t="str">
        <f t="shared" si="0"/>
        <v>*IE-LK</v>
      </c>
      <c r="U6" s="10" t="str">
        <f t="shared" si="0"/>
        <v>*IE-TA</v>
      </c>
      <c r="V6" s="10" t="str">
        <f t="shared" si="0"/>
        <v>*IE-WD</v>
      </c>
      <c r="W6" s="10" t="str">
        <f t="shared" si="0"/>
        <v>*IE-G</v>
      </c>
      <c r="X6" s="10" t="str">
        <f t="shared" si="0"/>
        <v>*IE-LM</v>
      </c>
      <c r="Y6" s="10" t="str">
        <f t="shared" si="0"/>
        <v>*IE-MO</v>
      </c>
      <c r="Z6" s="10" t="str">
        <f t="shared" si="0"/>
        <v>*IE-RN</v>
      </c>
      <c r="AA6" s="10" t="str">
        <f t="shared" si="0"/>
        <v>*IE-SO</v>
      </c>
      <c r="AB6" s="10" t="str">
        <f t="shared" si="0"/>
        <v>*IE-CN</v>
      </c>
      <c r="AC6" s="10" t="str">
        <f t="shared" si="0"/>
        <v>*IE-DL</v>
      </c>
      <c r="AD6" s="10" t="str">
        <f t="shared" si="0"/>
        <v>*IE-MN</v>
      </c>
    </row>
    <row r="7" spans="1:30" ht="14.4">
      <c r="A7" t="s">
        <v>64</v>
      </c>
      <c r="C7" s="10" t="str">
        <f>"*"&amp;C5</f>
        <v>*IE</v>
      </c>
      <c r="D7" s="10" t="str">
        <f>D5</f>
        <v>National</v>
      </c>
      <c r="E7" s="10" t="str">
        <f t="shared" si="1" ref="E7:AD7">E5</f>
        <v>IE-CW</v>
      </c>
      <c r="F7" s="10" t="str">
        <f t="shared" si="1"/>
        <v>IE-D</v>
      </c>
      <c r="G7" s="10" t="str">
        <f t="shared" si="1"/>
        <v>IE-KE</v>
      </c>
      <c r="H7" s="10" t="str">
        <f t="shared" si="1"/>
        <v>IE-KK</v>
      </c>
      <c r="I7" s="10" t="str">
        <f t="shared" si="1"/>
        <v>IE-LS</v>
      </c>
      <c r="J7" s="10" t="str">
        <f t="shared" si="1"/>
        <v>IE-LD</v>
      </c>
      <c r="K7" s="10" t="str">
        <f t="shared" si="1"/>
        <v>IE-LH</v>
      </c>
      <c r="L7" s="10" t="str">
        <f t="shared" si="1"/>
        <v>IE-MH</v>
      </c>
      <c r="M7" s="10" t="str">
        <f t="shared" si="1"/>
        <v>IE-OY</v>
      </c>
      <c r="N7" s="10" t="str">
        <f t="shared" si="1"/>
        <v>IE-WH</v>
      </c>
      <c r="O7" s="10" t="str">
        <f t="shared" si="1"/>
        <v>IE-WX</v>
      </c>
      <c r="P7" s="10" t="str">
        <f t="shared" si="1"/>
        <v>IE-WW</v>
      </c>
      <c r="Q7" s="10" t="str">
        <f t="shared" si="1"/>
        <v>IE-CE</v>
      </c>
      <c r="R7" s="10" t="str">
        <f t="shared" si="1"/>
        <v>IE-CO</v>
      </c>
      <c r="S7" s="10" t="str">
        <f t="shared" si="1"/>
        <v>IE-KY</v>
      </c>
      <c r="T7" s="10" t="str">
        <f t="shared" si="1"/>
        <v>IE-LK</v>
      </c>
      <c r="U7" s="10" t="str">
        <f t="shared" si="1"/>
        <v>IE-TA</v>
      </c>
      <c r="V7" s="10" t="str">
        <f t="shared" si="1"/>
        <v>IE-WD</v>
      </c>
      <c r="W7" s="10" t="str">
        <f t="shared" si="1"/>
        <v>IE-G</v>
      </c>
      <c r="X7" s="10" t="str">
        <f t="shared" si="1"/>
        <v>IE-LM</v>
      </c>
      <c r="Y7" s="10" t="str">
        <f t="shared" si="1"/>
        <v>IE-MO</v>
      </c>
      <c r="Z7" s="10" t="str">
        <f t="shared" si="1"/>
        <v>IE-RN</v>
      </c>
      <c r="AA7" s="10" t="str">
        <f t="shared" si="1"/>
        <v>IE-SO</v>
      </c>
      <c r="AB7" s="10" t="str">
        <f t="shared" si="1"/>
        <v>IE-CN</v>
      </c>
      <c r="AC7" s="10" t="str">
        <f t="shared" si="1"/>
        <v>IE-DL</v>
      </c>
      <c r="AD7" s="10" t="str">
        <f t="shared" si="1"/>
        <v>IE-MN</v>
      </c>
    </row>
    <row r="10" spans="1:2" ht="15" thickBot="1">
      <c r="A10" s="12" t="s">
        <v>65</v>
      </c>
      <c r="B10" s="12" t="s">
        <v>66</v>
      </c>
    </row>
    <row r="11" spans="1:2" ht="14.4">
      <c r="A11" s="13" t="s">
        <v>67</v>
      </c>
      <c r="B11" s="13" t="s">
        <v>68</v>
      </c>
    </row>
    <row r="12" spans="1:2" ht="14.4">
      <c r="A12" s="14" t="s">
        <v>69</v>
      </c>
      <c r="B12" s="14" t="s">
        <v>70</v>
      </c>
    </row>
    <row r="13" spans="1:2" ht="14.4">
      <c r="A13" s="14" t="s">
        <v>71</v>
      </c>
      <c r="B13" s="14" t="s">
        <v>72</v>
      </c>
    </row>
    <row r="14" spans="1:2" ht="14.4">
      <c r="A14" s="14" t="s">
        <v>73</v>
      </c>
      <c r="B14" s="14" t="s">
        <v>74</v>
      </c>
    </row>
    <row r="15" spans="1:2" ht="14.4">
      <c r="A15" s="14" t="s">
        <v>75</v>
      </c>
      <c r="B15" s="14" t="s">
        <v>76</v>
      </c>
    </row>
    <row r="16" spans="1:2" ht="14.4">
      <c r="A16" s="14" t="s">
        <v>77</v>
      </c>
      <c r="B16" s="14" t="s">
        <v>78</v>
      </c>
    </row>
    <row r="17" spans="1:2" ht="14.4">
      <c r="A17" s="14" t="s">
        <v>79</v>
      </c>
      <c r="B17" s="14" t="s">
        <v>80</v>
      </c>
    </row>
    <row r="18" spans="1:2" ht="14.4">
      <c r="A18" s="14" t="s">
        <v>81</v>
      </c>
      <c r="B18" s="14" t="s">
        <v>82</v>
      </c>
    </row>
    <row r="19" spans="1:2" ht="14.4">
      <c r="A19" s="14" t="s">
        <v>83</v>
      </c>
      <c r="B19" s="14" t="s">
        <v>84</v>
      </c>
    </row>
    <row r="20" spans="1:2" ht="14.4">
      <c r="A20" s="14" t="s">
        <v>85</v>
      </c>
      <c r="B20" s="14" t="s">
        <v>86</v>
      </c>
    </row>
    <row r="21" spans="1:2" ht="14.4">
      <c r="A21" s="14" t="s">
        <v>87</v>
      </c>
      <c r="B21" s="14" t="s">
        <v>88</v>
      </c>
    </row>
    <row r="22" spans="1:2" ht="14.4">
      <c r="A22" s="14" t="s">
        <v>89</v>
      </c>
      <c r="B22" s="14" t="s">
        <v>90</v>
      </c>
    </row>
    <row r="23" spans="1:2" ht="14.4">
      <c r="A23" s="14" t="s">
        <v>91</v>
      </c>
      <c r="B23" s="14" t="s">
        <v>92</v>
      </c>
    </row>
    <row r="24" spans="1:2" ht="14.4">
      <c r="A24" s="14" t="s">
        <v>93</v>
      </c>
      <c r="B24" s="14" t="s">
        <v>94</v>
      </c>
    </row>
    <row r="25" spans="1:2" ht="14.4">
      <c r="A25" s="14" t="s">
        <v>95</v>
      </c>
      <c r="B25" s="14" t="s">
        <v>96</v>
      </c>
    </row>
    <row r="26" spans="1:2" ht="14.4">
      <c r="A26" s="14" t="s">
        <v>97</v>
      </c>
      <c r="B26" s="14" t="s">
        <v>98</v>
      </c>
    </row>
    <row r="27" spans="1:2" ht="14.4">
      <c r="A27" s="14" t="s">
        <v>99</v>
      </c>
      <c r="B27" s="14" t="s">
        <v>100</v>
      </c>
    </row>
    <row r="28" spans="1:2" ht="14.4">
      <c r="A28" s="14" t="s">
        <v>101</v>
      </c>
      <c r="B28" s="14" t="s">
        <v>102</v>
      </c>
    </row>
    <row r="29" spans="1:2" ht="14.4">
      <c r="A29" s="14" t="s">
        <v>103</v>
      </c>
      <c r="B29" s="14" t="s">
        <v>104</v>
      </c>
    </row>
    <row r="30" spans="1:2" ht="14.4">
      <c r="A30" s="14" t="s">
        <v>105</v>
      </c>
      <c r="B30" s="14" t="s">
        <v>106</v>
      </c>
    </row>
    <row r="31" spans="1:2" ht="14.4">
      <c r="A31" s="14" t="s">
        <v>107</v>
      </c>
      <c r="B31" s="14" t="s">
        <v>108</v>
      </c>
    </row>
    <row r="32" spans="1:2" ht="14.4">
      <c r="A32" s="14" t="s">
        <v>109</v>
      </c>
      <c r="B32" s="14" t="s">
        <v>110</v>
      </c>
    </row>
    <row r="33" spans="1:2" ht="14.4">
      <c r="A33" s="14" t="s">
        <v>111</v>
      </c>
      <c r="B33" s="14" t="s">
        <v>112</v>
      </c>
    </row>
    <row r="34" spans="1:2" ht="14.4">
      <c r="A34" s="14" t="s">
        <v>113</v>
      </c>
      <c r="B34" s="14" t="s">
        <v>114</v>
      </c>
    </row>
    <row r="35" spans="1:2" ht="14.4">
      <c r="A35" s="14" t="s">
        <v>115</v>
      </c>
      <c r="B35" s="14" t="s">
        <v>116</v>
      </c>
    </row>
    <row r="36" spans="1:2" ht="14.4">
      <c r="A36" s="14" t="s">
        <v>117</v>
      </c>
      <c r="B36" s="14" t="s">
        <v>118</v>
      </c>
    </row>
    <row r="37" spans="1:1" ht="14.4">
      <c r="A37" s="15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4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4">
      <c r="B2" s="54" t="s">
        <v>169</v>
      </c>
      <c r="C2" s="16"/>
      <c r="D2" s="16"/>
    </row>
    <row r="3" spans="2:3" ht="14.4">
      <c r="B3" s="55">
        <v>2018</v>
      </c>
      <c r="C3" s="79" t="s">
        <v>170</v>
      </c>
    </row>
    <row r="4" spans="2:13" ht="14.4">
      <c r="B4" s="55">
        <v>2019</v>
      </c>
      <c r="C4" s="79" t="s">
        <v>171</v>
      </c>
      <c r="L4" s="78" t="s">
        <v>186</v>
      </c>
      <c r="M4" s="77"/>
    </row>
    <row r="5" spans="2:13" ht="14.4">
      <c r="B5" s="55">
        <v>2020</v>
      </c>
      <c r="C5" s="79" t="s">
        <v>172</v>
      </c>
      <c r="M5" s="76">
        <v>2023</v>
      </c>
    </row>
    <row r="6" spans="2:13" ht="14.4">
      <c r="B6" s="55">
        <v>2021</v>
      </c>
      <c r="C6" s="79">
        <v>6229365131.5</v>
      </c>
      <c r="L6" s="80" t="s">
        <v>179</v>
      </c>
      <c r="M6" s="81">
        <v>518201145</v>
      </c>
    </row>
    <row r="7" spans="2:13" ht="14.4">
      <c r="B7" s="55">
        <v>2022</v>
      </c>
      <c r="C7" s="79">
        <v>6451608601.5</v>
      </c>
      <c r="L7" s="80" t="s">
        <v>180</v>
      </c>
      <c r="M7" s="81">
        <v>556859570</v>
      </c>
    </row>
    <row r="8" spans="2:13" ht="14.4">
      <c r="B8" s="56">
        <v>2023</v>
      </c>
      <c r="C8" s="87">
        <v>6475109627</v>
      </c>
      <c r="D8" s="16"/>
      <c r="L8" s="80" t="s">
        <v>181</v>
      </c>
      <c r="M8" s="81">
        <v>588864700</v>
      </c>
    </row>
    <row r="9" spans="2:13" ht="14.4">
      <c r="B9" s="55" t="s">
        <v>173</v>
      </c>
      <c r="L9" s="80" t="s">
        <v>182</v>
      </c>
      <c r="M9" s="81">
        <v>524796709</v>
      </c>
    </row>
    <row r="10" spans="12:13" ht="14.4">
      <c r="L10" s="80" t="s">
        <v>183</v>
      </c>
      <c r="M10" s="81">
        <v>579783045</v>
      </c>
    </row>
    <row r="11" spans="2:13" ht="14.4">
      <c r="B11" s="54" t="s">
        <v>174</v>
      </c>
      <c r="C11" s="16"/>
      <c r="D11" s="16"/>
      <c r="L11" s="80" t="s">
        <v>184</v>
      </c>
      <c r="M11" s="81">
        <v>471189517</v>
      </c>
    </row>
    <row r="12" spans="3:13" ht="14.4">
      <c r="C12" s="57" t="s">
        <v>175</v>
      </c>
      <c r="L12" s="80" t="s">
        <v>185</v>
      </c>
      <c r="M12" s="81">
        <v>486002182</v>
      </c>
    </row>
    <row r="13" spans="2:3" ht="14.4">
      <c r="B13" t="s">
        <v>176</v>
      </c>
      <c r="C13" s="58">
        <f>C6/C3</f>
        <v>0.93239851083296788</v>
      </c>
    </row>
    <row r="14" spans="2:12" ht="14.4">
      <c r="B14" t="s">
        <v>177</v>
      </c>
      <c r="C14" s="83">
        <f>C6/C5</f>
        <v>1.0157938433834641</v>
      </c>
      <c r="L14" s="75" t="s">
        <v>187</v>
      </c>
    </row>
    <row r="15" spans="2:14" ht="14.4">
      <c r="B15" t="s">
        <v>189</v>
      </c>
      <c r="C15" s="58">
        <f>C7/C3</f>
        <v>0.96566345454649427</v>
      </c>
      <c r="L15">
        <v>2023</v>
      </c>
      <c r="M15" s="74">
        <f>SUM(M6:M12)</f>
        <v>3725696868</v>
      </c>
      <c r="N15" t="s">
        <v>188</v>
      </c>
    </row>
    <row r="16" spans="2:14" ht="14.4">
      <c r="B16" t="s">
        <v>190</v>
      </c>
      <c r="C16" s="58">
        <f>1+N16</f>
        <v>1.0186952818999766</v>
      </c>
      <c r="L16">
        <v>2022</v>
      </c>
      <c r="M16" s="74">
        <v>3657322198.5</v>
      </c>
      <c r="N16" s="82">
        <f>(M15-M16)/M16</f>
        <v>0.018695281899976688</v>
      </c>
    </row>
    <row r="17" spans="2:14" ht="14.4">
      <c r="B17" t="s">
        <v>207</v>
      </c>
      <c r="C17" s="58">
        <f>C7/C6</f>
        <v>1.0356767447899597</v>
      </c>
      <c r="L17">
        <v>2021</v>
      </c>
      <c r="M17" s="74">
        <v>3460486912</v>
      </c>
      <c r="N17" s="82">
        <f>(M15-M17)/M17</f>
        <v>0.076639491130663179</v>
      </c>
    </row>
    <row r="19" spans="2:2" ht="14.4">
      <c r="B19" t="s">
        <v>178</v>
      </c>
    </row>
    <row r="20" spans="3:4" ht="14.4">
      <c r="C20">
        <v>2018</v>
      </c>
      <c r="D20">
        <v>2021</v>
      </c>
    </row>
    <row r="21" spans="2:4" ht="14.4">
      <c r="B21" t="s">
        <v>35</v>
      </c>
      <c r="C21" s="59">
        <v>14.5565610923972</v>
      </c>
      <c r="D21" s="59">
        <v>15.490769824884</v>
      </c>
    </row>
    <row r="22" spans="2:4" ht="14.4">
      <c r="B22" t="s">
        <v>37</v>
      </c>
      <c r="C22" s="59">
        <v>31.276118540281001</v>
      </c>
      <c r="D22" s="59">
        <v>33.305155123500498</v>
      </c>
    </row>
    <row r="23" spans="2:4" ht="14.4">
      <c r="B23" t="s">
        <v>39</v>
      </c>
      <c r="C23" s="59">
        <v>27.131577542973599</v>
      </c>
      <c r="D23" s="59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BY-Demands</vt:lpstr>
      <vt:lpstr>REG_TRA_DEMANDS</vt:lpstr>
      <vt:lpstr>DEMANDS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2021-02-23T14:14:01Z</dcterms:created>
  <dcterms:modified xsi:type="dcterms:W3CDTF">2026-08-12T08:26:16Z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