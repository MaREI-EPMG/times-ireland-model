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730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"/>
    </mc:Choice>
  </mc:AlternateContent>
  <bookViews>
    <workbookView xWindow="-120" yWindow="-120" windowWidth="29040" windowHeight="15720" activeTab="6"/>
  </bookViews>
  <sheets>
    <sheet name="Cover" sheetId="16" r:id="rId3"/>
    <sheet name="Sets-Comm" sheetId="5" r:id="rId4"/>
    <sheet name="Sets-Proc" sheetId="11" r:id="rId5"/>
    <sheet name="IND_Sets-Proc" sheetId="6" r:id="rId6"/>
    <sheet name="RSD_Sets-Proc" sheetId="9" r:id="rId7"/>
    <sheet name="TRA_Sets-Proc" sheetId="10" r:id="rId8"/>
    <sheet name="PWR_Sets-Proc" sheetId="8" r:id="rId9"/>
    <sheet name="AGR_Sets-Proc" sheetId="14" r:id="rId10"/>
    <sheet name="SUP_Sets-Proc" sheetId="12" r:id="rId11"/>
    <sheet name="SRV_Sets-Proc" sheetId="15" r:id="rId12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6" l="1"/>
</calcChain>
</file>

<file path=xl/sharedStrings.xml><?xml version="1.0" encoding="utf-8"?>
<sst xmlns="http://schemas.openxmlformats.org/spreadsheetml/2006/main" count="1956" uniqueCount="729">
  <si>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</si>
  <si>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</si>
  <si>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</si>
  <si>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</si>
  <si>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</si>
  <si>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</si>
  <si>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</si>
  <si>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</si>
  <si>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</si>
  <si>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</si>
  <si>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T_Pos_AndOr_forSets</t>
  </si>
  <si>
    <t>T_Neg_AndOr_forSets</t>
  </si>
  <si>
    <t>Comment</t>
  </si>
  <si>
    <t>DMD_TRA-F-HTRUCK</t>
  </si>
  <si>
    <t>Freight transport - heavy goods truck</t>
  </si>
  <si>
    <t>AND</t>
  </si>
  <si>
    <t>OR</t>
  </si>
  <si>
    <t>DMD_TRA-F-LAND</t>
  </si>
  <si>
    <t>Freight transport - land</t>
  </si>
  <si>
    <t>DMD_TRA-F-LTRUCK</t>
  </si>
  <si>
    <t>Freight transport - light goods truck</t>
  </si>
  <si>
    <t>DMD_TRA-F-TRAIN</t>
  </si>
  <si>
    <t>Freight transport - train</t>
  </si>
  <si>
    <t>DMD_TRA-P-ACTIVE</t>
  </si>
  <si>
    <t>Passenger transport - active modes</t>
  </si>
  <si>
    <t>DMD_TRA-P-BUS</t>
  </si>
  <si>
    <t>Passenger transport - bus</t>
  </si>
  <si>
    <t>DMD_TRA-P-CAR</t>
  </si>
  <si>
    <t>Passenger transport - private car</t>
  </si>
  <si>
    <t>DMD_TRA-P-HPT</t>
  </si>
  <si>
    <t>Passenger transport - heavy passenger train</t>
  </si>
  <si>
    <t>DMD_TRA-P-LAND</t>
  </si>
  <si>
    <t>Passenger transport - land</t>
  </si>
  <si>
    <t>DMD_TRA-P-LPT</t>
  </si>
  <si>
    <t>Passenger transport - light passenger train</t>
  </si>
  <si>
    <t>DMD_TRA-P-MOT</t>
  </si>
  <si>
    <t>Passenger transport - motorcycles</t>
  </si>
  <si>
    <t>DMD_TRA-P-TAXI</t>
  </si>
  <si>
    <t>Passenger transport - taxi</t>
  </si>
  <si>
    <t>Agriculture Sector Fuel Techs</t>
  </si>
  <si>
    <t>Industry Fuel Techs</t>
  </si>
  <si>
    <t>Power Sector Fuel Techs</t>
  </si>
  <si>
    <t>Residential Sector Fuel Techs</t>
  </si>
  <si>
    <t>Supply Sector Fuel Techs</t>
  </si>
  <si>
    <t>Transport Fuel Techs</t>
  </si>
  <si>
    <t>DMD</t>
  </si>
  <si>
    <t>T-HGT*</t>
  </si>
  <si>
    <t>T-*</t>
  </si>
  <si>
    <t>T-LGT*</t>
  </si>
  <si>
    <t>T-GTR*</t>
  </si>
  <si>
    <t>T-CYC*,T-WLK*</t>
  </si>
  <si>
    <t>TRAP*</t>
  </si>
  <si>
    <t>T-BUS*</t>
  </si>
  <si>
    <t>T-CAR*</t>
  </si>
  <si>
    <t>T-HPT*</t>
  </si>
  <si>
    <t>T-LPT*</t>
  </si>
  <si>
    <t>T-MOT*</t>
  </si>
  <si>
    <t>T-TAX*</t>
  </si>
  <si>
    <t>FT-PWR*</t>
  </si>
  <si>
    <t>FT-RSD*</t>
  </si>
  <si>
    <t>FT-SUP*</t>
  </si>
  <si>
    <t>FT-TRA*,-*WLK,-*CYC</t>
  </si>
  <si>
    <t>P*GAS*,-*CCS*</t>
  </si>
  <si>
    <t>P*GAS*CCS*</t>
  </si>
  <si>
    <t>P*H2-*</t>
  </si>
  <si>
    <t>P*OCE*</t>
  </si>
  <si>
    <t>P*HFO*,P*DIS*</t>
  </si>
  <si>
    <t>P*SOL*</t>
  </si>
  <si>
    <t>P*WIN*OF*</t>
  </si>
  <si>
    <t>P*WIN*ON*</t>
  </si>
  <si>
    <t>~TFM_Csets</t>
  </si>
  <si>
    <t>CSET_SET</t>
  </si>
  <si>
    <t>CSET_CN</t>
  </si>
  <si>
    <t>CSET_CD</t>
  </si>
  <si>
    <t>C_Pos_AndOr</t>
  </si>
  <si>
    <t>C_Neg_AndOr</t>
  </si>
  <si>
    <t>C_Pos_AndOr_forSets</t>
  </si>
  <si>
    <t>C_Neg_AndOr_forSets</t>
  </si>
  <si>
    <t>NOx Emissions</t>
  </si>
  <si>
    <t>NOx emissions from Agriculture</t>
  </si>
  <si>
    <t>NOx emissions from Industry</t>
  </si>
  <si>
    <t>NOx emissions from Electricity generation</t>
  </si>
  <si>
    <t>NOx emissions from Residential</t>
  </si>
  <si>
    <t>NOx emissions from Supply</t>
  </si>
  <si>
    <t>NOx emissions from Transport</t>
  </si>
  <si>
    <t>PM10 Emissions</t>
  </si>
  <si>
    <t>PM10 emissions from Agriculture</t>
  </si>
  <si>
    <t>PM10 emissions from Industry</t>
  </si>
  <si>
    <t>PM10 emissions from Electricity generation</t>
  </si>
  <si>
    <t>PM10 emissions from Residential</t>
  </si>
  <si>
    <t>PM10 emissions from Supply</t>
  </si>
  <si>
    <t>PM10 emissions from Transport</t>
  </si>
  <si>
    <t>PM2.5 Emissions</t>
  </si>
  <si>
    <t>PM2.5 emissions from Agriculture</t>
  </si>
  <si>
    <t>PM2.5 emissions from Industry</t>
  </si>
  <si>
    <t>PM2.5 emissions from Electricity generation</t>
  </si>
  <si>
    <t>PM2.5 emissions from Residential</t>
  </si>
  <si>
    <t>PM2.5 emissions from Supply</t>
  </si>
  <si>
    <t>PM2.5 emissions from Transport</t>
  </si>
  <si>
    <t>SO2 Emissions</t>
  </si>
  <si>
    <t>SO2 emissions from Agriculture</t>
  </si>
  <si>
    <t>SO2 emissions from Industry</t>
  </si>
  <si>
    <t>SO2 emissions from Electricity generation</t>
  </si>
  <si>
    <t>SO2 emissions from Residential</t>
  </si>
  <si>
    <t>SO2 emissions from Supply</t>
  </si>
  <si>
    <t>SO2 emissions from Transport</t>
  </si>
  <si>
    <t>VOC Emissions</t>
  </si>
  <si>
    <t>Transport energy carriers</t>
  </si>
  <si>
    <t>DEM_AGR</t>
  </si>
  <si>
    <t>Agriculture Demand</t>
  </si>
  <si>
    <t>DEM_IND</t>
  </si>
  <si>
    <t>Industrial Demand</t>
  </si>
  <si>
    <t>DEM_RSD</t>
  </si>
  <si>
    <t>Residential Demand</t>
  </si>
  <si>
    <t>DEM_TRA</t>
  </si>
  <si>
    <t>Transport Demand</t>
  </si>
  <si>
    <t>CH4 Emissions</t>
  </si>
  <si>
    <t>CH4 emissions from Agriculture</t>
  </si>
  <si>
    <t>CH4 emissions from Industry</t>
  </si>
  <si>
    <t>CH4 emissions from Electricity generation</t>
  </si>
  <si>
    <t>CH4 emissions from Residential</t>
  </si>
  <si>
    <t>CH4 emissions from Supply</t>
  </si>
  <si>
    <t>CH4 emissions from Transport</t>
  </si>
  <si>
    <t>CO2 Emissions</t>
  </si>
  <si>
    <t>CO2 emissions from Agriculture</t>
  </si>
  <si>
    <t>CO2 emissions from Industry</t>
  </si>
  <si>
    <t>CO2 emissions from Electricity generation</t>
  </si>
  <si>
    <t>CO2 emissions from Residential</t>
  </si>
  <si>
    <t>CO2 emissions from Supply</t>
  </si>
  <si>
    <t>CO2 emissions from Transport</t>
  </si>
  <si>
    <t>N2O Emissions</t>
  </si>
  <si>
    <t>N2O emissions from Agriculture</t>
  </si>
  <si>
    <t>N2O emissions from Industry</t>
  </si>
  <si>
    <t>N2O emissions from Electricity generation</t>
  </si>
  <si>
    <t>N2O emissions from Residential</t>
  </si>
  <si>
    <t>N2O emissions from Supply</t>
  </si>
  <si>
    <t>N2O emissions from Transport</t>
  </si>
  <si>
    <t>ENV</t>
  </si>
  <si>
    <t>*NOX*</t>
  </si>
  <si>
    <t>A*NOX*</t>
  </si>
  <si>
    <t>I*NOX*</t>
  </si>
  <si>
    <t>P*NOX*</t>
  </si>
  <si>
    <t>R*NOX*</t>
  </si>
  <si>
    <t>T*NOX*</t>
  </si>
  <si>
    <t>*PM10*</t>
  </si>
  <si>
    <t>A*PM10*</t>
  </si>
  <si>
    <t>I*PM10*</t>
  </si>
  <si>
    <t>P*PM10*</t>
  </si>
  <si>
    <t>R*PM10*</t>
  </si>
  <si>
    <t>T*PM10*</t>
  </si>
  <si>
    <t>*PM25*</t>
  </si>
  <si>
    <t>A*PM25*</t>
  </si>
  <si>
    <t>I*PM25*</t>
  </si>
  <si>
    <t>P*PM25*</t>
  </si>
  <si>
    <t>R*PM25*</t>
  </si>
  <si>
    <t>T*PM25*</t>
  </si>
  <si>
    <t>*SO2*</t>
  </si>
  <si>
    <t>A*SO2*</t>
  </si>
  <si>
    <t>I*SO2*</t>
  </si>
  <si>
    <t>P*SO2*</t>
  </si>
  <si>
    <t>R*SO2*</t>
  </si>
  <si>
    <t>T*SO2*</t>
  </si>
  <si>
    <t>*VOC*</t>
  </si>
  <si>
    <t>NRG</t>
  </si>
  <si>
    <t>TRA*,-*WLK,-*CYC</t>
  </si>
  <si>
    <t>DEM</t>
  </si>
  <si>
    <t>A*</t>
  </si>
  <si>
    <t>R*</t>
  </si>
  <si>
    <t>T*</t>
  </si>
  <si>
    <t>*CH4*</t>
  </si>
  <si>
    <t>A*CH4*</t>
  </si>
  <si>
    <t>I*CH4*</t>
  </si>
  <si>
    <t>P*CH4*</t>
  </si>
  <si>
    <t>R*CH4*</t>
  </si>
  <si>
    <t>T*CH4*</t>
  </si>
  <si>
    <t>*CO2*,-*CO2S*,-TOTCO2*,-*ETS*</t>
  </si>
  <si>
    <t>A*CO2*,-*CO2S</t>
  </si>
  <si>
    <t>I*CO2*,-*CO2S</t>
  </si>
  <si>
    <t>P*CO2*,-*CO2S</t>
  </si>
  <si>
    <t>R*CO2*,-*CO2S</t>
  </si>
  <si>
    <t>T*CO2*,-*CO2S,-TOTCO2*</t>
  </si>
  <si>
    <t>*N2O*</t>
  </si>
  <si>
    <t>A*N2O*</t>
  </si>
  <si>
    <t>I*N2O*</t>
  </si>
  <si>
    <t>P*N2O*</t>
  </si>
  <si>
    <t>R*N2O*</t>
  </si>
  <si>
    <t>T*N2O*</t>
  </si>
  <si>
    <t>AGR*</t>
  </si>
  <si>
    <t>IND*</t>
  </si>
  <si>
    <t>I*</t>
  </si>
  <si>
    <t>PRE</t>
  </si>
  <si>
    <t>IRE</t>
  </si>
  <si>
    <t>R-RSDRF*</t>
  </si>
  <si>
    <t>R-PF*</t>
  </si>
  <si>
    <t>R-RSDOE*</t>
  </si>
  <si>
    <t>R-RSDOA*</t>
  </si>
  <si>
    <t>R-LT*</t>
  </si>
  <si>
    <t>R-RSDDW*</t>
  </si>
  <si>
    <t>R-RSDCW*</t>
  </si>
  <si>
    <t>R-RSDCK*</t>
  </si>
  <si>
    <t>R-RSDCD*</t>
  </si>
  <si>
    <t>TRAF*</t>
  </si>
  <si>
    <t>T-MGT*</t>
  </si>
  <si>
    <t>DMD_TRA-F-MTRUCK</t>
  </si>
  <si>
    <t>Freight transport - medium goods truck</t>
  </si>
  <si>
    <t>I*CAF*</t>
  </si>
  <si>
    <t>DMD_IND-CAF</t>
  </si>
  <si>
    <t>Industry - Chemicals and man-made fibers</t>
  </si>
  <si>
    <t>I*EOE*</t>
  </si>
  <si>
    <t>DMD_IND-EOE</t>
  </si>
  <si>
    <t>Industry - Electrical and optical equipment</t>
  </si>
  <si>
    <t>I*FAB*</t>
  </si>
  <si>
    <t>DMD_IND-FAB</t>
  </si>
  <si>
    <t>Industry - Food and beverages</t>
  </si>
  <si>
    <t>I*MAE*</t>
  </si>
  <si>
    <t>DMD_IND-MAE</t>
  </si>
  <si>
    <t>Industry - Machinery and equipment n.e.c.</t>
  </si>
  <si>
    <t>I*MAP*</t>
  </si>
  <si>
    <t>DMD_IND-MAP</t>
  </si>
  <si>
    <t>Industry - Basic metals and fabricated metal prod.</t>
  </si>
  <si>
    <t>I*NEM*</t>
  </si>
  <si>
    <t>DMD_IND-NEM</t>
  </si>
  <si>
    <t>Industry - Non-energy mining</t>
  </si>
  <si>
    <t>I*OMA*</t>
  </si>
  <si>
    <t>DMD_IND-OMA</t>
  </si>
  <si>
    <t>Industry - Other manufacturing</t>
  </si>
  <si>
    <t>I*ONM*</t>
  </si>
  <si>
    <t>DMD_IND-ONM</t>
  </si>
  <si>
    <t>Industry - Other non-metalic mineral products</t>
  </si>
  <si>
    <t>I*PX4*</t>
  </si>
  <si>
    <t>DMD_IND-PX4</t>
  </si>
  <si>
    <t>Industry - Pulp, paper, publishing and printing</t>
  </si>
  <si>
    <t>I*RAP*</t>
  </si>
  <si>
    <t>DMD_IND-RAP</t>
  </si>
  <si>
    <t>Industry - Rubber and plastic products</t>
  </si>
  <si>
    <t>I*TAP*</t>
  </si>
  <si>
    <t>DMD_IND-TAP</t>
  </si>
  <si>
    <t>Industry - Textiles and textile products</t>
  </si>
  <si>
    <t>I*TEM*</t>
  </si>
  <si>
    <t>DMD_IND-TEM</t>
  </si>
  <si>
    <t>Industry - Transport equipment manufacture</t>
  </si>
  <si>
    <t>I*WAP*</t>
  </si>
  <si>
    <t>DMD_IND-WAP</t>
  </si>
  <si>
    <t>Industry - Wood and wood products</t>
  </si>
  <si>
    <t>FT-IND*</t>
  </si>
  <si>
    <t>ENV-CH4</t>
  </si>
  <si>
    <t>ENV-CH4_AGR</t>
  </si>
  <si>
    <t>ENV-CH4_IND</t>
  </si>
  <si>
    <t>ENV-CH4_PWR</t>
  </si>
  <si>
    <t>ENV-CH4_RSD</t>
  </si>
  <si>
    <t>ENV-CH4_SUP</t>
  </si>
  <si>
    <t>ENV-CH4_TRA</t>
  </si>
  <si>
    <t>ENV-CO2</t>
  </si>
  <si>
    <t>ENV-CO2_AGR</t>
  </si>
  <si>
    <t>ENV-CO2_IND</t>
  </si>
  <si>
    <t>ENV-CO2_PWR</t>
  </si>
  <si>
    <t>ENV-CO2_RSD</t>
  </si>
  <si>
    <t>ENV-CO2_SUP</t>
  </si>
  <si>
    <t>ENV-CO2_TRA</t>
  </si>
  <si>
    <t>ENV-N2O</t>
  </si>
  <si>
    <t>ENV-N2O_AGR</t>
  </si>
  <si>
    <t>ENV-N2O_IND</t>
  </si>
  <si>
    <t>ENV-N2O_PWR</t>
  </si>
  <si>
    <t>ENV-N2O_RSD</t>
  </si>
  <si>
    <t>ENV-N2O_SUP</t>
  </si>
  <si>
    <t>ENV-N2O_TRA</t>
  </si>
  <si>
    <t>ENV-NOX</t>
  </si>
  <si>
    <t>ENV-NOX_AGR</t>
  </si>
  <si>
    <t>ENV-NOX_IND</t>
  </si>
  <si>
    <t>ENV-NOX_PWR</t>
  </si>
  <si>
    <t>ENV-NOX_RSD</t>
  </si>
  <si>
    <t>ENV-NOX_SUP</t>
  </si>
  <si>
    <t>ENV-NOX_TRA</t>
  </si>
  <si>
    <t>ENV-PM10</t>
  </si>
  <si>
    <t>ENV-PM10_AGR</t>
  </si>
  <si>
    <t>ENV-PM10_IND</t>
  </si>
  <si>
    <t>ENV-PM10_PWR</t>
  </si>
  <si>
    <t>ENV-PM10_RSD</t>
  </si>
  <si>
    <t>ENV-PM10_SUP</t>
  </si>
  <si>
    <t>ENV-PM10_TRA</t>
  </si>
  <si>
    <t>ENV-PM25</t>
  </si>
  <si>
    <t>ENV-PM25_AGR</t>
  </si>
  <si>
    <t>ENV-PM25_IND</t>
  </si>
  <si>
    <t>ENV-PM25_PWR</t>
  </si>
  <si>
    <t>ENV-PM25_RSD</t>
  </si>
  <si>
    <t>ENV-PM25_SUP</t>
  </si>
  <si>
    <t>ENV-PM25_TRA</t>
  </si>
  <si>
    <t>ENV-SO2</t>
  </si>
  <si>
    <t>ENV-SO2_AGR</t>
  </si>
  <si>
    <t>ENV-SO2_IND</t>
  </si>
  <si>
    <t>ENV-SO2_PWR</t>
  </si>
  <si>
    <t>ENV-SO2_RSD</t>
  </si>
  <si>
    <t>ENV-SO2_SUP</t>
  </si>
  <si>
    <t>ENV-SO2_TRA</t>
  </si>
  <si>
    <t>ENV-VOC</t>
  </si>
  <si>
    <t>NGR-FUELS_TRA</t>
  </si>
  <si>
    <t>FT_AGR</t>
  </si>
  <si>
    <t>FT_IND</t>
  </si>
  <si>
    <t>FT_PWR</t>
  </si>
  <si>
    <t>FT_RSD</t>
  </si>
  <si>
    <t>FT_SUP</t>
  </si>
  <si>
    <t>FT_TRA</t>
  </si>
  <si>
    <t>PWR-BIO</t>
  </si>
  <si>
    <t>PWR-COA</t>
  </si>
  <si>
    <t>PWR-GAS</t>
  </si>
  <si>
    <t>PWR-GAS-CCS</t>
  </si>
  <si>
    <t>PWR-H2</t>
  </si>
  <si>
    <t>PWR-HYD</t>
  </si>
  <si>
    <t>PWR-OCE</t>
  </si>
  <si>
    <t>PWR-OIL</t>
  </si>
  <si>
    <t>PWR-SOL</t>
  </si>
  <si>
    <t>PWR-WIN-OF</t>
  </si>
  <si>
    <t>PWR-WIN-ON</t>
  </si>
  <si>
    <t>Electricity Generation - Solar</t>
  </si>
  <si>
    <t>Electricity Generation - Wind onshore</t>
  </si>
  <si>
    <t>Electricity Generation - Wind offshore</t>
  </si>
  <si>
    <t>Electricity Generation - Oil</t>
  </si>
  <si>
    <t>Electricity Generation - Wave and Tidal</t>
  </si>
  <si>
    <t>Electricity Generation - Hydro</t>
  </si>
  <si>
    <t>Electricity Generation - Hydrogen</t>
  </si>
  <si>
    <t>Electricity Generation - Gas with CCS</t>
  </si>
  <si>
    <t>Electricity Generation - Gas without CCS</t>
  </si>
  <si>
    <t>DMD_TRA-P-CAR-BEV</t>
  </si>
  <si>
    <t>Passenger transport - private car - battery electric vehicle</t>
  </si>
  <si>
    <t>RSDWH*,RSDSH*,RSDSC*</t>
  </si>
  <si>
    <t>-IRE</t>
  </si>
  <si>
    <t>DUMMY_IMPORT</t>
  </si>
  <si>
    <t>Dummy import processes</t>
  </si>
  <si>
    <t>IMP*Z</t>
  </si>
  <si>
    <t>NGR-FUELS_RSD</t>
  </si>
  <si>
    <t>Residential energy carriers</t>
  </si>
  <si>
    <t>NGR-FUELS_IND</t>
  </si>
  <si>
    <t>Industry energy carriers</t>
  </si>
  <si>
    <t>NGR-FUELS_AGR</t>
  </si>
  <si>
    <t>Agriculture energy carriers</t>
  </si>
  <si>
    <t>RSD*,-*_*t</t>
  </si>
  <si>
    <t>Residential - Buildings - Apartments</t>
  </si>
  <si>
    <t>Residential - Buildings - Attached</t>
  </si>
  <si>
    <t>Residential - Buildings - Detached</t>
  </si>
  <si>
    <t>DMD_RSD-BLD-APT</t>
  </si>
  <si>
    <t>DMD_RSD-BLD-ATT</t>
  </si>
  <si>
    <t>DMD_RSD-BLD-DET</t>
  </si>
  <si>
    <t>R*BLD*APT*</t>
  </si>
  <si>
    <t>R*BLD*ATT*</t>
  </si>
  <si>
    <t>R*BLD*DET*</t>
  </si>
  <si>
    <t>I*CON*</t>
  </si>
  <si>
    <t>DMD_IND-CON</t>
  </si>
  <si>
    <t>Industry - Construction</t>
  </si>
  <si>
    <t>FT-AGR*</t>
  </si>
  <si>
    <t>P-RNW*HYD*</t>
  </si>
  <si>
    <t>P*MSW*</t>
  </si>
  <si>
    <t>Electricity Generation - Municipal Solid Waste</t>
  </si>
  <si>
    <t>PWR-MSW</t>
  </si>
  <si>
    <t>Electricity Generation - Biomass without CCS</t>
  </si>
  <si>
    <t>PWR-BIO-CCS</t>
  </si>
  <si>
    <t>Electricity Generation - Biomass with CCS</t>
  </si>
  <si>
    <t>PWR-PEA</t>
  </si>
  <si>
    <t>Electricity Generation - Coal without CCS</t>
  </si>
  <si>
    <t>PWR-COA-CCS</t>
  </si>
  <si>
    <t>Electricity Generation - Coal with CCS</t>
  </si>
  <si>
    <t>P*BIO*,-*CCS*</t>
  </si>
  <si>
    <t>P*BIO*CCS*</t>
  </si>
  <si>
    <t>P*COA*,-*CCS*</t>
  </si>
  <si>
    <t>P*COA*CCS*</t>
  </si>
  <si>
    <t>P*PEA*CCS*</t>
  </si>
  <si>
    <t>P*PEA*,-*CCS*</t>
  </si>
  <si>
    <t>Electricity Generation - Peat without CCS</t>
  </si>
  <si>
    <t>Electricity Generation - Peat with CCS</t>
  </si>
  <si>
    <t>PWR-PEA-CCS</t>
  </si>
  <si>
    <t>P*GEO*</t>
  </si>
  <si>
    <t>PWR-GEO</t>
  </si>
  <si>
    <t>Electricity Generation - Geothermal</t>
  </si>
  <si>
    <t>PWR*</t>
  </si>
  <si>
    <t>Power sector energy carriers</t>
  </si>
  <si>
    <t>NGR-FUELS_PWR</t>
  </si>
  <si>
    <t>IRE-IMP</t>
  </si>
  <si>
    <t>Import processes</t>
  </si>
  <si>
    <t>EXP*</t>
  </si>
  <si>
    <t>IRE-EXP</t>
  </si>
  <si>
    <t>IRE-MIN</t>
  </si>
  <si>
    <t>Export processes</t>
  </si>
  <si>
    <t>Mining processes</t>
  </si>
  <si>
    <t>IMP*</t>
  </si>
  <si>
    <t>MIN*,-*WLK,-*CYC</t>
  </si>
  <si>
    <t>TAVIDOM</t>
  </si>
  <si>
    <t>DMD_TRA-R-AVIDOM</t>
  </si>
  <si>
    <t>Transport - domestic aviation</t>
  </si>
  <si>
    <t>TAVIINT</t>
  </si>
  <si>
    <t>DMD_TRA-R-AVIINT</t>
  </si>
  <si>
    <t>Transport - international aviation</t>
  </si>
  <si>
    <t>TOTH</t>
  </si>
  <si>
    <t>Transport - unspecified</t>
  </si>
  <si>
    <t>DMD_TRA-R-NAV</t>
  </si>
  <si>
    <t>TNAV</t>
  </si>
  <si>
    <t>Transport - navigation</t>
  </si>
  <si>
    <t>TTURS</t>
  </si>
  <si>
    <t>DMD_TRA-R-TURS</t>
  </si>
  <si>
    <t>Transport - tourism</t>
  </si>
  <si>
    <t>DMD_TRA-R-OTH</t>
  </si>
  <si>
    <t>T-CAR-BEV*</t>
  </si>
  <si>
    <t>T-CAR-FCV*</t>
  </si>
  <si>
    <t>Passenger transport - private car - fuel cell vehicle</t>
  </si>
  <si>
    <t>T-CAR-HEV*</t>
  </si>
  <si>
    <t>Passenger transport - private car - hybrid electric vehicle</t>
  </si>
  <si>
    <t>T-CAR-ICE*</t>
  </si>
  <si>
    <t>Passenger transport - private car - ICE vehicle</t>
  </si>
  <si>
    <t>T-CAR-PHEV*</t>
  </si>
  <si>
    <t>Passenger transport - private car - plugin hybrid electric vehicle</t>
  </si>
  <si>
    <t>DMD_TRA-P-CAR-FCV</t>
  </si>
  <si>
    <t>DMD_TRA-P-CAR-HEV</t>
  </si>
  <si>
    <t>DMD_TRA-P-CAR-ICE</t>
  </si>
  <si>
    <t>DMD_TRA-P-CAR-PHEV</t>
  </si>
  <si>
    <t>T-HGT-BEV*</t>
  </si>
  <si>
    <t>DMD_TRA-F-HTRUCK-BEV</t>
  </si>
  <si>
    <t>Freight transport - heavy goods truck - battery electric</t>
  </si>
  <si>
    <t>T-HGT-FCV*</t>
  </si>
  <si>
    <t>T-HGT-HEV*</t>
  </si>
  <si>
    <t>T-HGT-ICE*</t>
  </si>
  <si>
    <t>Freight transport - heavy goods truck - fuel cell</t>
  </si>
  <si>
    <t>Freight transport - heavy goods truck - hybrid electric</t>
  </si>
  <si>
    <t>Freight transport - heavy goods truck - ICE</t>
  </si>
  <si>
    <t>T-MGT-BEV*</t>
  </si>
  <si>
    <t>T-MGT-FCV*</t>
  </si>
  <si>
    <t>T-MGT-HEV*</t>
  </si>
  <si>
    <t>T-MGT-ICE*</t>
  </si>
  <si>
    <t>DMD_TRA-F-MTRUCK-BEV</t>
  </si>
  <si>
    <t>Freight transport - medium goods truck - battery electric</t>
  </si>
  <si>
    <t>Freight transport - medium goods truck - fuel cell</t>
  </si>
  <si>
    <t>Freight transport - medium goods truck - hybrid electric</t>
  </si>
  <si>
    <t>Freight transport - medium goods truck - ICE</t>
  </si>
  <si>
    <t>T-LGT-BEV*</t>
  </si>
  <si>
    <t>T-LGT-FCV*</t>
  </si>
  <si>
    <t>T-LGT-HEV*</t>
  </si>
  <si>
    <t>T-LGT-ICE*</t>
  </si>
  <si>
    <t>T-LGT-PHEV*</t>
  </si>
  <si>
    <t>DMD_TRA-F-LTRUCK-BEV</t>
  </si>
  <si>
    <t>DMD_TRA-F-HTRUCK-FCV</t>
  </si>
  <si>
    <t>DMD_TRA-F-HTRUCK-HEV</t>
  </si>
  <si>
    <t>DMD_TRA-F-HTRUCK-ICE</t>
  </si>
  <si>
    <t>DMD_TRA-F-MTRUCK-FCV</t>
  </si>
  <si>
    <t>DMD_TRA-F-MTRUCK-HEV</t>
  </si>
  <si>
    <t>DMD_TRA-F-MTRUCK-ICE</t>
  </si>
  <si>
    <t>DMD_TRA-F-LTRUCK-FCV</t>
  </si>
  <si>
    <t>DMD_TRA-F-LTRUCK-HEV</t>
  </si>
  <si>
    <t>DMD_TRA-F-LTRUCK-ICE</t>
  </si>
  <si>
    <t>DMD_TRA-F-LTRUCK-PHEV</t>
  </si>
  <si>
    <t>Freight transport - light goods truck - battery electric</t>
  </si>
  <si>
    <t>Passenger transport - light goods truck - fuel cell</t>
  </si>
  <si>
    <t>Passenger transport - light goods truck - hybrid electric</t>
  </si>
  <si>
    <t>Passenger transport - light goods truck - ICE</t>
  </si>
  <si>
    <t xml:space="preserve">Passenger transport - light goods truck - plugin hybrid electric </t>
  </si>
  <si>
    <t>SH2P*ELC*</t>
  </si>
  <si>
    <t>SUP-H2-Electrolysis</t>
  </si>
  <si>
    <t>Hydrogen Generation - Electrolysis</t>
  </si>
  <si>
    <t>ABIO*</t>
  </si>
  <si>
    <t>AGR-BIO</t>
  </si>
  <si>
    <t>AGR - processes producing primary biomass commodities</t>
  </si>
  <si>
    <t>FT_SRV</t>
  </si>
  <si>
    <t>Service Sector Fuel Techs</t>
  </si>
  <si>
    <t>DEM_SRV</t>
  </si>
  <si>
    <t>ENV-CH4_SRV</t>
  </si>
  <si>
    <t>ENV-CO2_SRV</t>
  </si>
  <si>
    <t>ENV-N2O_SRV</t>
  </si>
  <si>
    <t>ENV-NOX_SRV</t>
  </si>
  <si>
    <t>ENV-PM10_SRV</t>
  </si>
  <si>
    <t>ENV-PM25_SRV</t>
  </si>
  <si>
    <t>ENV-SO2_SRV</t>
  </si>
  <si>
    <t>NGR-FUELS_SRV</t>
  </si>
  <si>
    <t>Services Demand</t>
  </si>
  <si>
    <t>CH4 emissions from Services</t>
  </si>
  <si>
    <t>CO2 emissions from Services</t>
  </si>
  <si>
    <t>N2O emissions from Services</t>
  </si>
  <si>
    <t>NOx emissions from Services</t>
  </si>
  <si>
    <t>PM10 emissions from Services</t>
  </si>
  <si>
    <t>PM2.5 emissions from Services</t>
  </si>
  <si>
    <t>SO2 emissions from Services</t>
  </si>
  <si>
    <t>Services energy carriers</t>
  </si>
  <si>
    <t>RSD_BLD-XXX_NRGSRV-CD</t>
  </si>
  <si>
    <t>RSD_BLD-XXX_NRGSRV-CK</t>
  </si>
  <si>
    <t>RSD_BLD-XXX_NRGSRV-CW</t>
  </si>
  <si>
    <t>RSD_BLD-XXX_NRGSRV-DW</t>
  </si>
  <si>
    <t>RSD_BLD-XXX_NRGSRV-LT</t>
  </si>
  <si>
    <t>RSD_BLD-XXX_NRGSRV-OA</t>
  </si>
  <si>
    <t>RSD_BLD-XXX_NRGSRV-OE</t>
  </si>
  <si>
    <t>RSD_BLD-XXX_NRGSRV-PF</t>
  </si>
  <si>
    <t>RSD_BLD-XXX_NRGSRV-RF</t>
  </si>
  <si>
    <t>RSD_BLD-XXX_NRGSRV-WS</t>
  </si>
  <si>
    <t>Residential - All Buildings - Cloth Drying</t>
  </si>
  <si>
    <t>Residential  - All Buildings - Cooking</t>
  </si>
  <si>
    <t>Residential - All Buildings - Cloth Washing</t>
  </si>
  <si>
    <t>Residential - All Buildings - Dish Washing</t>
  </si>
  <si>
    <t>Residential - All Buildings - Lighting</t>
  </si>
  <si>
    <t>Residential - All Buildings - Other Applications</t>
  </si>
  <si>
    <t>Residential - All Buildings - Electric Appliances</t>
  </si>
  <si>
    <t>Residential - All Buildings - Pump and Fans</t>
  </si>
  <si>
    <t>Residential - All Buildings - Refrigeration</t>
  </si>
  <si>
    <t>Residential - All Buildings - Hot Water and Space Heating and Cooling</t>
  </si>
  <si>
    <t>Residential - Apartments - Hot Water and Space Heating and Cooling</t>
  </si>
  <si>
    <t>Residential - Attached - Hot Water and Space Heating and Cooling</t>
  </si>
  <si>
    <t>Residential - Detached - Hot Water and Space Heating and Cooling</t>
  </si>
  <si>
    <t>RSD_BLD-APT_NRGSRV-WS</t>
  </si>
  <si>
    <t>RSD_BLD-ATT_NRGSRV-WS</t>
  </si>
  <si>
    <t>RSD_BLD-DET_NRGSRV-WS</t>
  </si>
  <si>
    <t>R*,-R-RTFT*</t>
  </si>
  <si>
    <t>R-RTFT*</t>
  </si>
  <si>
    <t>RSD_BLD-XXX_RTFT</t>
  </si>
  <si>
    <t>Residential - All Buildings - Retrofits</t>
  </si>
  <si>
    <t>Residential - Apartments - Retrofits</t>
  </si>
  <si>
    <t>Residential - Attached - Retrofits</t>
  </si>
  <si>
    <t>Residential - Detached - Retrofits</t>
  </si>
  <si>
    <t>R*APT*</t>
  </si>
  <si>
    <t>R*ATT*</t>
  </si>
  <si>
    <t>R*DET*</t>
  </si>
  <si>
    <t>RSD_BLD-APT_RTFT</t>
  </si>
  <si>
    <t>RSD_BLD-ATT_RTFT</t>
  </si>
  <si>
    <t>RSD_BLD-DET_RTFT</t>
  </si>
  <si>
    <t>SEAI_COAL</t>
  </si>
  <si>
    <t>Coal - SEAI grouping</t>
  </si>
  <si>
    <t>SEAI_PEAT</t>
  </si>
  <si>
    <t>SEAI_OIL</t>
  </si>
  <si>
    <t>Oil - SEAI grouping</t>
  </si>
  <si>
    <t>Peat - SEAI grouping</t>
  </si>
  <si>
    <t>SEAI_NATGAS</t>
  </si>
  <si>
    <t>Natural gas - SEAI grouping</t>
  </si>
  <si>
    <t>SEAI_ELECTRICITY</t>
  </si>
  <si>
    <t>SEAI_HEAT</t>
  </si>
  <si>
    <t>Electricity - SEAI grouping</t>
  </si>
  <si>
    <t>Heat - SEAI grouping</t>
  </si>
  <si>
    <t>*COA*</t>
  </si>
  <si>
    <t>*PEA*</t>
  </si>
  <si>
    <t>*OIL*,*LPG,*HFO,*GSL,*DST,*KER,INDCOK</t>
  </si>
  <si>
    <t>*ELC*</t>
  </si>
  <si>
    <t>*HET*</t>
  </si>
  <si>
    <t>SUPH2*</t>
  </si>
  <si>
    <t>SEAI_HYDROGEN</t>
  </si>
  <si>
    <t>Hydrogen - SEAI grouping</t>
  </si>
  <si>
    <t>*NAT*,*GAS,*LNG</t>
  </si>
  <si>
    <t>BIO*</t>
  </si>
  <si>
    <t>Other renewables - SEAI grouping</t>
  </si>
  <si>
    <t>SEAI_OTHER_RENEWABLES</t>
  </si>
  <si>
    <t>SEAI_BIOENERGY</t>
  </si>
  <si>
    <t>Bioenergy - SEAI grouping</t>
  </si>
  <si>
    <t>*REN*</t>
  </si>
  <si>
    <t>FT-SRV*</t>
  </si>
  <si>
    <t>SRVCH4*</t>
  </si>
  <si>
    <t>SUPCH4*</t>
  </si>
  <si>
    <t>S*</t>
  </si>
  <si>
    <t>SRVCO2*,-*CO2S</t>
  </si>
  <si>
    <t>SUPCO2*,-*CO2S</t>
  </si>
  <si>
    <t>SRVN2O*</t>
  </si>
  <si>
    <t>SUPN2O*</t>
  </si>
  <si>
    <t>SRVNOX*</t>
  </si>
  <si>
    <t>SUPNOX*</t>
  </si>
  <si>
    <t>SRVPM10*</t>
  </si>
  <si>
    <t>SUPPM10*</t>
  </si>
  <si>
    <t>SRVPM25*</t>
  </si>
  <si>
    <t>SUPPM25*</t>
  </si>
  <si>
    <t>SRVSO2*</t>
  </si>
  <si>
    <t>SUPSO2*</t>
  </si>
  <si>
    <t>SRV*,-*-*</t>
  </si>
  <si>
    <t>SRV-PU_NRGSRV-WS</t>
  </si>
  <si>
    <t>SRV-PU_NRGSRV-LIG</t>
  </si>
  <si>
    <t>SRV-CS_NRGSRV-LIG</t>
  </si>
  <si>
    <t>SRVLIG-CS</t>
  </si>
  <si>
    <t>SRVLIG-PU</t>
  </si>
  <si>
    <t>SRVCK-PU</t>
  </si>
  <si>
    <t>SRVCK-CS</t>
  </si>
  <si>
    <t>SRV-PU_NRGSRV-CK</t>
  </si>
  <si>
    <t>SRV-CS_NRGSRV-CK</t>
  </si>
  <si>
    <t>SRVOEL-PU</t>
  </si>
  <si>
    <t>SRVOEL-CS</t>
  </si>
  <si>
    <t>SRV-PU_NRGSRV-OEL</t>
  </si>
  <si>
    <t>SRV-CS_NRGSRV-OEL</t>
  </si>
  <si>
    <t>SRVREF-PU</t>
  </si>
  <si>
    <t>SRV-PU_NRGSRV-REF</t>
  </si>
  <si>
    <t>SRVREF-CS</t>
  </si>
  <si>
    <t>SRV-CS_NRGSRV-REF</t>
  </si>
  <si>
    <t>SRV-CS_NRGSRV-WS</t>
  </si>
  <si>
    <t>SRVSC-PU,SRVSH-PU,SRVWH-PU</t>
  </si>
  <si>
    <t>SRVSC-CS,SRVSH-CS,SRVWH-CS</t>
  </si>
  <si>
    <t>Public Services - Refrigeration</t>
  </si>
  <si>
    <t>Commercial Services - Refrigeration</t>
  </si>
  <si>
    <t>Public Services - Cooking</t>
  </si>
  <si>
    <t>Commercial Services - Cooking</t>
  </si>
  <si>
    <t>Public Services - Other Appliances</t>
  </si>
  <si>
    <t>Commercial Services - Other Appliances</t>
  </si>
  <si>
    <t>Public Services - Building Lighting</t>
  </si>
  <si>
    <t>Commercial Services - Building Lighting</t>
  </si>
  <si>
    <t>Public Services - Water heating and space heating and cooling</t>
  </si>
  <si>
    <t>Commercial Services - Water heating and space heating and cooling</t>
  </si>
  <si>
    <t>SRVDCE-CS</t>
  </si>
  <si>
    <t>Commercial Services - Data Centres</t>
  </si>
  <si>
    <t>SRVPLIG-PU</t>
  </si>
  <si>
    <t>DMD_SRV-CS_DC</t>
  </si>
  <si>
    <t>DMD_SRV-PU_PLIG</t>
  </si>
  <si>
    <t>Public Services - Public Lighting</t>
  </si>
  <si>
    <t>SRVM2-CS</t>
  </si>
  <si>
    <t>SRVM2-PU</t>
  </si>
  <si>
    <t>DMD_SRV-CS_M2</t>
  </si>
  <si>
    <t>DMD_SRV-PU_M2</t>
  </si>
  <si>
    <t>Public Services - All Except Public Lighting</t>
  </si>
  <si>
    <t>Commercial Services - All Except Data Centers</t>
  </si>
  <si>
    <t>SRV_CS-DC-EH-HP</t>
  </si>
  <si>
    <t>SRVHET-LT</t>
  </si>
  <si>
    <t>Commercial Services - DC Excess Heat - Heat Pumps</t>
  </si>
  <si>
    <t>SRVAHT</t>
  </si>
  <si>
    <t>S*PU*</t>
  </si>
  <si>
    <t>SRV_PU-HP</t>
  </si>
  <si>
    <t>S*CS*</t>
  </si>
  <si>
    <t>SRV_CS-HP</t>
  </si>
  <si>
    <t>Public Services - Heat Pumps</t>
  </si>
  <si>
    <t>Commercial Services - Heat Pumps</t>
  </si>
  <si>
    <t>PRC_AGR</t>
  </si>
  <si>
    <t>PRC_SRV</t>
  </si>
  <si>
    <t>PRC_IND</t>
  </si>
  <si>
    <t>PRC_PWR</t>
  </si>
  <si>
    <t>PRC_RSD</t>
  </si>
  <si>
    <t>PRC_SUP</t>
  </si>
  <si>
    <t>PRC_TRA</t>
  </si>
  <si>
    <t>All AGR processes</t>
  </si>
  <si>
    <t>All SRV processes</t>
  </si>
  <si>
    <t>All IND processes</t>
  </si>
  <si>
    <t>All PWR processes</t>
  </si>
  <si>
    <t>All RSD processes</t>
  </si>
  <si>
    <t>All SUP processes</t>
  </si>
  <si>
    <t>All TRA processes</t>
  </si>
  <si>
    <t>R*,FT-RSD*</t>
  </si>
  <si>
    <t>P*,FT-PWR*,*GRID*</t>
  </si>
  <si>
    <t>S-*,FT-SRV*</t>
  </si>
  <si>
    <t>T*,FT-TRA*</t>
  </si>
  <si>
    <t>A*,*AGR*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</si>
  <si>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</si>
  <si>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</si>
  <si>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</si>
  <si>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</si>
  <si>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</si>
  <si>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</si>
  <si>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</si>
  <si>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</si>
  <si>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</si>
  <si>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</si>
  <si>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</si>
  <si>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</si>
  <si>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Set Rules</t>
  </si>
  <si>
    <t>All sectors</t>
  </si>
  <si>
    <t>Specifies aggrigation rules for user-defined sets</t>
  </si>
  <si>
    <t>Olexandr Balyk (UCC, olexandr.balyk@ucc.ie)</t>
  </si>
  <si>
    <t>And</t>
  </si>
  <si>
    <t>Or</t>
  </si>
  <si>
    <t>ICEM</t>
  </si>
  <si>
    <t>Cement</t>
  </si>
  <si>
    <t>ICAF</t>
  </si>
  <si>
    <t>Chemicals</t>
  </si>
  <si>
    <t>IFAP</t>
  </si>
  <si>
    <t>Food and Drink</t>
  </si>
  <si>
    <t>ILIM</t>
  </si>
  <si>
    <t>Lime</t>
  </si>
  <si>
    <t>IMAP</t>
  </si>
  <si>
    <t>Metals</t>
  </si>
  <si>
    <t>IOMA</t>
  </si>
  <si>
    <t>Other Industry</t>
  </si>
  <si>
    <t>IONM</t>
  </si>
  <si>
    <t>Other Minerals</t>
  </si>
  <si>
    <t>IWAP</t>
  </si>
  <si>
    <t>Wood Products</t>
  </si>
  <si>
    <t>IELC</t>
  </si>
  <si>
    <t>Electricity</t>
  </si>
  <si>
    <t>IOIL</t>
  </si>
  <si>
    <t>Oil use</t>
  </si>
  <si>
    <t>\I:</t>
  </si>
  <si>
    <t>*HTH</t>
  </si>
  <si>
    <t>*MTH</t>
  </si>
  <si>
    <t>*LTH</t>
  </si>
  <si>
    <t>IND_HIGHHEAT</t>
  </si>
  <si>
    <t>IND_MEDHEAT</t>
  </si>
  <si>
    <t>IND_LOWHEAT</t>
  </si>
  <si>
    <t>Industry high temperature heat</t>
  </si>
  <si>
    <t>Industry medium temperature heat</t>
  </si>
  <si>
    <t>Industry low/mediuum temperature heat</t>
  </si>
  <si>
    <t>*het,-RSD*,-SRV*,-AGR*</t>
  </si>
  <si>
    <t>IND_SPHEAT</t>
  </si>
  <si>
    <t>Industry low temperature heat</t>
  </si>
  <si>
    <t>I*,FT-IND*,-IMP*Z</t>
  </si>
  <si>
    <t>S*,FT-SUP*,IMP*,EXP*,MIN*,-S-*,,-IMP*Z</t>
  </si>
  <si>
    <t>RSD_BLD-ATT-HP</t>
  </si>
  <si>
    <t>RSD_BLD-ATT-ELC</t>
  </si>
  <si>
    <t>RSD_BLD-ATT-GAS</t>
  </si>
  <si>
    <t>RSD_BLD-ATT-OTH</t>
  </si>
  <si>
    <t>RSD_BLD-APT-HP</t>
  </si>
  <si>
    <t>RSD_BLD-APT-ELC</t>
  </si>
  <si>
    <t>RSD_BLD-APT-GAS</t>
  </si>
  <si>
    <t>RSD_BLD-APT-OTH</t>
  </si>
  <si>
    <t>RSD_BLD-DET-HP</t>
  </si>
  <si>
    <t>RSD_BLD-DET-ELC</t>
  </si>
  <si>
    <t>RSD_BLD-DET-GAS</t>
  </si>
  <si>
    <t>RSD_BLD-DET-OTH</t>
  </si>
  <si>
    <t>Residential - Attached - Heat pumps</t>
  </si>
  <si>
    <t>Residential - Detached - Heat pumps</t>
  </si>
  <si>
    <t>Residential - Attached - Electric</t>
  </si>
  <si>
    <t>Residential - Attached - Gas</t>
  </si>
  <si>
    <t>Residential - Attached - Other</t>
  </si>
  <si>
    <t>Residential - Apartments - Heat pumps</t>
  </si>
  <si>
    <t>Residential - Apartments - Electric</t>
  </si>
  <si>
    <t>Residential - Apartments - Gas</t>
  </si>
  <si>
    <t>Residential - Apartments - Other</t>
  </si>
  <si>
    <t>Residential - Detached - Electric</t>
  </si>
  <si>
    <t>Residential - Detached - Gas</t>
  </si>
  <si>
    <t>Residential - Detached - Other</t>
  </si>
  <si>
    <t>R*ATT*HPN*</t>
  </si>
  <si>
    <t>R*DET*HPN*</t>
  </si>
  <si>
    <t>R*SH*ATT*GAS*,R*SW*ATT*GAS*</t>
  </si>
  <si>
    <t>R*SH*DET*GAS*,R*SW*DET*GAS*</t>
  </si>
  <si>
    <t>R*SH*ATT*,R*SW*ATT*</t>
  </si>
  <si>
    <t>R*APT*HPN*</t>
  </si>
  <si>
    <t>R*SH*APT*GAS*,R*SW*APT*GAS*</t>
  </si>
  <si>
    <t>R*SH*APT*,R*SW*APT*</t>
  </si>
  <si>
    <t>R*SH*DET*,R*SW*DET*</t>
  </si>
  <si>
    <t>R*SH*ATT*ELC*,-R*HPN*</t>
  </si>
  <si>
    <t>R*SH*APT*ELC*,-R*HPN*</t>
  </si>
  <si>
    <t>R*SH*DET*ELC*,-R*HPN*</t>
  </si>
  <si>
    <t>P*STG*BA*</t>
  </si>
  <si>
    <t>P*STG*PS*</t>
  </si>
  <si>
    <t>STR-BAT</t>
  </si>
  <si>
    <t>STR-PH</t>
  </si>
  <si>
    <t>Electricity Storage -  Batteries</t>
  </si>
  <si>
    <t>Electricity Storage -  Pumped hydro</t>
  </si>
  <si>
    <t>*H2*STG*</t>
  </si>
  <si>
    <t>STR-H2</t>
  </si>
  <si>
    <t>Hydrogen Storage - underground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</si>
</sst>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"/>
    <numFmt numFmtId="165" formatCode="0.0%"/>
    <numFmt numFmtId="166" formatCode="&quot;$&quot;#,##0_);\(&quot;$&quot;#,##0\)"/>
    <numFmt numFmtId="167" formatCode="_-&quot;$&quot;* #,##0.00_-;\-&quot;$&quot;* #,##0.00_-;_-&quot;$&quot;* &quot;-&quot;??_-;_-@_-"/>
    <numFmt numFmtId="168" formatCode="_([$€]* #,##0.00_);_([$€]* \(#,##0.00\);_([$€]* &quot;-&quot;??_);_(@_)"/>
    <numFmt numFmtId="169" formatCode="_([$€-2]* #,##0.00_);_([$€-2]* \(#,##0.00\);_([$€-2]* &quot;-&quot;??_)"/>
    <numFmt numFmtId="170" formatCode="General_)"/>
  </numFmts>
  <fonts count="3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 val="single"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40007925034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40007925034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9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 val="single"/>
      <sz val="12"/>
      <color indexed="20"/>
      <name val="宋体"/>
      <family val="2"/>
      <charset val="134"/>
    </font>
    <font>
      <sz val="1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5999634265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thick">
        <color indexed="56"/>
      </bottom>
    </border>
    <border>
      <left/>
      <right/>
      <top/>
      <bottom style="thick">
        <color indexed="27"/>
      </bottom>
    </border>
    <border>
      <left/>
      <right/>
      <top/>
      <bottom style="medium">
        <color indexed="27"/>
      </bottom>
    </border>
    <border>
      <left/>
      <right/>
      <top/>
      <bottom style="double">
        <color indexed="10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 style="thin">
        <color indexed="56"/>
      </top>
      <bottom style="double">
        <color indexed="56"/>
      </bottom>
    </border>
  </borders>
  <cellStyleXfs count="164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>
      <alignment/>
      <protection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3" fillId="0" borderId="0">
      <alignment/>
      <protection/>
    </xf>
    <xf numFmtId="0" fontId="13" fillId="0" borderId="0">
      <alignment/>
      <protection/>
    </xf>
    <xf numFmtId="9" fontId="13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7" fillId="16" borderId="1" applyNumberFormat="0" applyAlignment="0" applyProtection="0"/>
    <xf numFmtId="0" fontId="17" fillId="16" borderId="1" applyNumberFormat="0" applyAlignment="0" applyProtection="0"/>
    <xf numFmtId="0" fontId="17" fillId="16" borderId="1" applyNumberFormat="0" applyAlignment="0" applyProtection="0"/>
    <xf numFmtId="0" fontId="17" fillId="16" borderId="1" applyNumberFormat="0" applyAlignment="0" applyProtection="0"/>
    <xf numFmtId="0" fontId="17" fillId="16" borderId="1" applyNumberFormat="0" applyAlignment="0" applyProtection="0"/>
    <xf numFmtId="0" fontId="17" fillId="16" borderId="1" applyNumberFormat="0" applyAlignment="0" applyProtection="0"/>
    <xf numFmtId="0" fontId="17" fillId="16" borderId="1" applyNumberFormat="0" applyAlignment="0" applyProtection="0"/>
    <xf numFmtId="0" fontId="17" fillId="16" borderId="1" applyNumberFormat="0" applyAlignment="0" applyProtection="0"/>
    <xf numFmtId="0" fontId="17" fillId="16" borderId="1" applyNumberFormat="0" applyAlignment="0" applyProtection="0"/>
    <xf numFmtId="0" fontId="17" fillId="16" borderId="1" applyNumberFormat="0" applyAlignment="0" applyProtection="0"/>
    <xf numFmtId="0" fontId="18" fillId="17" borderId="2" applyNumberFormat="0" applyAlignment="0" applyProtection="0"/>
    <xf numFmtId="0" fontId="18" fillId="17" borderId="2" applyNumberFormat="0" applyAlignment="0" applyProtection="0"/>
    <xf numFmtId="0" fontId="18" fillId="17" borderId="2" applyNumberFormat="0" applyAlignment="0" applyProtection="0"/>
    <xf numFmtId="0" fontId="18" fillId="17" borderId="2" applyNumberFormat="0" applyAlignment="0" applyProtection="0"/>
    <xf numFmtId="0" fontId="18" fillId="17" borderId="2" applyNumberFormat="0" applyAlignment="0" applyProtection="0"/>
    <xf numFmtId="0" fontId="18" fillId="17" borderId="2" applyNumberFormat="0" applyAlignment="0" applyProtection="0"/>
    <xf numFmtId="0" fontId="18" fillId="17" borderId="2" applyNumberFormat="0" applyAlignment="0" applyProtection="0"/>
    <xf numFmtId="0" fontId="18" fillId="17" borderId="2" applyNumberFormat="0" applyAlignment="0" applyProtection="0"/>
    <xf numFmtId="0" fontId="18" fillId="17" borderId="2" applyNumberFormat="0" applyAlignment="0" applyProtection="0"/>
    <xf numFmtId="0" fontId="18" fillId="17" borderId="2" applyNumberFormat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7" borderId="1" applyNumberFormat="0" applyAlignment="0" applyProtection="0"/>
    <xf numFmtId="0" fontId="24" fillId="7" borderId="1" applyNumberFormat="0" applyAlignment="0" applyProtection="0"/>
    <xf numFmtId="0" fontId="24" fillId="7" borderId="1" applyNumberFormat="0" applyAlignment="0" applyProtection="0"/>
    <xf numFmtId="0" fontId="24" fillId="7" borderId="1" applyNumberFormat="0" applyAlignment="0" applyProtection="0"/>
    <xf numFmtId="0" fontId="24" fillId="7" borderId="1" applyNumberFormat="0" applyAlignment="0" applyProtection="0"/>
    <xf numFmtId="0" fontId="24" fillId="7" borderId="1" applyNumberFormat="0" applyAlignment="0" applyProtection="0"/>
    <xf numFmtId="0" fontId="24" fillId="7" borderId="1" applyNumberFormat="0" applyAlignment="0" applyProtection="0"/>
    <xf numFmtId="0" fontId="24" fillId="7" borderId="1" applyNumberFormat="0" applyAlignment="0" applyProtection="0"/>
    <xf numFmtId="0" fontId="24" fillId="7" borderId="1" applyNumberFormat="0" applyAlignment="0" applyProtection="0"/>
    <xf numFmtId="0" fontId="24" fillId="7" borderId="1" applyNumberFormat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166" fontId="27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166" fontId="27" fillId="0" borderId="0">
      <alignment vertical="center"/>
      <protection/>
    </xf>
    <xf numFmtId="166" fontId="27" fillId="0" borderId="0">
      <alignment vertical="center"/>
      <protection/>
    </xf>
    <xf numFmtId="166" fontId="27" fillId="0" borderId="0">
      <alignment vertical="center"/>
      <protection/>
    </xf>
    <xf numFmtId="166" fontId="27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166" fontId="27" fillId="0" borderId="0">
      <alignment vertical="center"/>
      <protection/>
    </xf>
    <xf numFmtId="166" fontId="27" fillId="0" borderId="0">
      <alignment vertical="center"/>
      <protection/>
    </xf>
    <xf numFmtId="166" fontId="27" fillId="0" borderId="0">
      <alignment vertical="center"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166" fontId="27" fillId="0" borderId="0">
      <alignment vertical="center"/>
      <protection/>
    </xf>
    <xf numFmtId="166" fontId="27" fillId="0" borderId="0">
      <alignment vertical="center"/>
      <protection/>
    </xf>
    <xf numFmtId="166" fontId="27" fillId="0" borderId="0">
      <alignment vertical="center"/>
      <protection/>
    </xf>
    <xf numFmtId="166" fontId="27" fillId="0" borderId="0">
      <alignment vertical="center"/>
      <protection/>
    </xf>
    <xf numFmtId="0" fontId="0" fillId="0" borderId="0">
      <alignment/>
      <protection/>
    </xf>
    <xf numFmtId="165" fontId="27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165" fontId="27" fillId="0" borderId="0">
      <alignment vertical="center"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170" fontId="27" fillId="0" borderId="0">
      <alignment vertical="center"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28" fillId="0" borderId="0">
      <alignment/>
      <protection/>
    </xf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29" fillId="16" borderId="8" applyNumberFormat="0" applyAlignment="0" applyProtection="0"/>
    <xf numFmtId="0" fontId="29" fillId="16" borderId="8" applyNumberFormat="0" applyAlignment="0" applyProtection="0"/>
    <xf numFmtId="0" fontId="29" fillId="16" borderId="8" applyNumberFormat="0" applyAlignment="0" applyProtection="0"/>
    <xf numFmtId="0" fontId="29" fillId="16" borderId="8" applyNumberFormat="0" applyAlignment="0" applyProtection="0"/>
    <xf numFmtId="0" fontId="29" fillId="16" borderId="8" applyNumberFormat="0" applyAlignment="0" applyProtection="0"/>
    <xf numFmtId="0" fontId="29" fillId="16" borderId="8" applyNumberFormat="0" applyAlignment="0" applyProtection="0"/>
    <xf numFmtId="0" fontId="29" fillId="16" borderId="8" applyNumberFormat="0" applyAlignment="0" applyProtection="0"/>
    <xf numFmtId="0" fontId="29" fillId="16" borderId="8" applyNumberFormat="0" applyAlignment="0" applyProtection="0"/>
    <xf numFmtId="0" fontId="29" fillId="16" borderId="8" applyNumberFormat="0" applyAlignment="0" applyProtection="0"/>
    <xf numFmtId="0" fontId="29" fillId="16" borderId="8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 applyNumberFormat="0" applyFill="0" applyBorder="0" applyProtection="0">
      <alignment/>
    </xf>
    <xf numFmtId="0" fontId="33" fillId="0" borderId="0">
      <alignment/>
      <protection/>
    </xf>
    <xf numFmtId="0" fontId="3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</cellStyleXfs>
  <cellXfs count="20">
    <xf numFmtId="0" fontId="0" fillId="0" borderId="0" xfId="0"/>
    <xf numFmtId="0" fontId="2" fillId="18" borderId="0" xfId="20" applyFill="1" applyAlignment="1">
      <alignment vertical="center"/>
    </xf>
    <xf numFmtId="0" fontId="8" fillId="18" borderId="0" xfId="21" applyFont="1" applyFill="1" applyAlignment="1">
      <alignment vertical="center"/>
      <protection/>
    </xf>
    <xf numFmtId="0" fontId="0" fillId="0" borderId="0" xfId="0" quotePrefix="1"/>
    <xf numFmtId="0" fontId="0" fillId="18" borderId="0" xfId="21" applyFont="1" applyFill="1" applyAlignment="1">
      <alignment vertical="center"/>
      <protection/>
    </xf>
    <xf numFmtId="0" fontId="0" fillId="19" borderId="0" xfId="21" applyFont="1" applyFill="1" applyAlignment="1">
      <alignment vertical="center"/>
      <protection/>
    </xf>
    <xf numFmtId="0" fontId="4" fillId="19" borderId="0" xfId="21" applyFont="1" applyFill="1" applyAlignment="1">
      <alignment vertical="center"/>
      <protection/>
    </xf>
    <xf numFmtId="0" fontId="2" fillId="19" borderId="0" xfId="21" applyFont="1" applyFill="1" applyAlignment="1">
      <alignment vertical="center"/>
      <protection/>
    </xf>
    <xf numFmtId="0" fontId="0" fillId="16" borderId="0" xfId="21" applyFont="1" applyFill="1" applyAlignment="1">
      <alignment vertical="center"/>
      <protection/>
    </xf>
    <xf numFmtId="0" fontId="5" fillId="19" borderId="0" xfId="21" applyFont="1" applyFill="1" applyAlignment="1">
      <alignment vertical="center"/>
      <protection/>
    </xf>
    <xf numFmtId="0" fontId="6" fillId="19" borderId="0" xfId="21" applyFont="1" applyFill="1" applyAlignment="1">
      <alignment vertical="center"/>
      <protection/>
    </xf>
    <xf numFmtId="0" fontId="7" fillId="18" borderId="0" xfId="21" applyFont="1" applyFill="1" applyAlignment="1">
      <alignment vertical="center"/>
      <protection/>
    </xf>
    <xf numFmtId="0" fontId="8" fillId="19" borderId="0" xfId="21" applyFont="1" applyFill="1" applyAlignment="1">
      <alignment vertical="center"/>
      <protection/>
    </xf>
    <xf numFmtId="0" fontId="9" fillId="19" borderId="0" xfId="21" applyFont="1" applyFill="1" applyAlignment="1">
      <alignment vertical="center"/>
      <protection/>
    </xf>
    <xf numFmtId="164" fontId="8" fillId="18" borderId="0" xfId="21" applyNumberFormat="1" applyFont="1" applyFill="1" applyAlignment="1">
      <alignment horizontal="left" vertical="center"/>
      <protection/>
    </xf>
    <xf numFmtId="0" fontId="10" fillId="19" borderId="0" xfId="21" applyFont="1" applyFill="1" applyAlignment="1">
      <alignment vertical="center"/>
      <protection/>
    </xf>
    <xf numFmtId="0" fontId="11" fillId="18" borderId="0" xfId="21" applyFont="1" applyFill="1" applyAlignment="1">
      <alignment vertical="center"/>
      <protection/>
    </xf>
    <xf numFmtId="0" fontId="8" fillId="18" borderId="0" xfId="21" applyFont="1" applyFill="1" applyAlignment="1">
      <alignment vertical="center"/>
      <protection/>
    </xf>
    <xf numFmtId="0" fontId="4" fillId="18" borderId="0" xfId="21" applyFont="1" applyFill="1" applyAlignment="1">
      <alignment horizontal="center" vertical="center"/>
      <protection/>
    </xf>
    <xf numFmtId="0" fontId="2" fillId="18" borderId="0" xfId="20" applyFill="1" applyAlignment="1">
      <alignment vertical="center"/>
    </xf>
  </cellXfs>
  <cellStyles count="1632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  <cellStyle name="Normal 2" xfId="21"/>
    <cellStyle name="Comma 2" xfId="22"/>
    <cellStyle name="Percent 16" xfId="23"/>
    <cellStyle name="Normal 3" xfId="24"/>
    <cellStyle name="Normal 4" xfId="25"/>
    <cellStyle name="Percent 2" xfId="26"/>
    <cellStyle name="Normal 30" xfId="27"/>
    <cellStyle name="Normal 29" xfId="28"/>
    <cellStyle name="Normal 19" xfId="29"/>
    <cellStyle name="Normal 2 10" xfId="30"/>
    <cellStyle name="20% - Accent1 2 10" xfId="31"/>
    <cellStyle name="20% - Accent1 2 11" xfId="32"/>
    <cellStyle name="20% - Accent1 2 12" xfId="33"/>
    <cellStyle name="20% - Accent1 2 13" xfId="34"/>
    <cellStyle name="20% - Accent1 2 14" xfId="35"/>
    <cellStyle name="20% - Accent1 2 15" xfId="36"/>
    <cellStyle name="20% - Accent1 2 2" xfId="37"/>
    <cellStyle name="20% - Accent1 2 3" xfId="38"/>
    <cellStyle name="20% - Accent1 2 4" xfId="39"/>
    <cellStyle name="20% - Accent1 2 5" xfId="40"/>
    <cellStyle name="20% - Accent1 2 6" xfId="41"/>
    <cellStyle name="20% - Accent1 2 7" xfId="42"/>
    <cellStyle name="20% - Accent1 2 8" xfId="43"/>
    <cellStyle name="20% - Accent1 2 9" xfId="44"/>
    <cellStyle name="20% - Accent1 3" xfId="45"/>
    <cellStyle name="20% - Accent1 4" xfId="46"/>
    <cellStyle name="20% - Accent1 5" xfId="47"/>
    <cellStyle name="20% - Accent1 6" xfId="48"/>
    <cellStyle name="20% - Accent1 7" xfId="49"/>
    <cellStyle name="20% - Accent1 8" xfId="50"/>
    <cellStyle name="20% - Accent2 2 10" xfId="51"/>
    <cellStyle name="20% - Accent2 2 11" xfId="52"/>
    <cellStyle name="20% - Accent2 2 12" xfId="53"/>
    <cellStyle name="20% - Accent2 2 13" xfId="54"/>
    <cellStyle name="20% - Accent2 2 14" xfId="55"/>
    <cellStyle name="20% - Accent2 2 15" xfId="56"/>
    <cellStyle name="20% - Accent2 2 2" xfId="57"/>
    <cellStyle name="20% - Accent2 2 3" xfId="58"/>
    <cellStyle name="20% - Accent2 2 4" xfId="59"/>
    <cellStyle name="20% - Accent2 2 5" xfId="60"/>
    <cellStyle name="20% - Accent2 2 6" xfId="61"/>
    <cellStyle name="20% - Accent2 2 7" xfId="62"/>
    <cellStyle name="20% - Accent2 2 8" xfId="63"/>
    <cellStyle name="20% - Accent2 2 9" xfId="64"/>
    <cellStyle name="20% - Accent2 3" xfId="65"/>
    <cellStyle name="20% - Accent2 4" xfId="66"/>
    <cellStyle name="20% - Accent2 5" xfId="67"/>
    <cellStyle name="20% - Accent2 6" xfId="68"/>
    <cellStyle name="20% - Accent2 7" xfId="69"/>
    <cellStyle name="20% - Accent2 8" xfId="70"/>
    <cellStyle name="20% - Accent3 2 10" xfId="71"/>
    <cellStyle name="20% - Accent3 2 11" xfId="72"/>
    <cellStyle name="20% - Accent3 2 12" xfId="73"/>
    <cellStyle name="20% - Accent3 2 13" xfId="74"/>
    <cellStyle name="20% - Accent3 2 14" xfId="75"/>
    <cellStyle name="20% - Accent3 2 15" xfId="76"/>
    <cellStyle name="20% - Accent3 2 2" xfId="77"/>
    <cellStyle name="20% - Accent3 2 3" xfId="78"/>
    <cellStyle name="20% - Accent3 2 4" xfId="79"/>
    <cellStyle name="20% - Accent3 2 5" xfId="80"/>
    <cellStyle name="20% - Accent3 2 6" xfId="81"/>
    <cellStyle name="20% - Accent3 2 7" xfId="82"/>
    <cellStyle name="20% - Accent3 2 8" xfId="83"/>
    <cellStyle name="20% - Accent3 2 9" xfId="84"/>
    <cellStyle name="20% - Accent3 3" xfId="85"/>
    <cellStyle name="20% - Accent3 4" xfId="86"/>
    <cellStyle name="20% - Accent3 5" xfId="87"/>
    <cellStyle name="20% - Accent3 6" xfId="88"/>
    <cellStyle name="20% - Accent3 7" xfId="89"/>
    <cellStyle name="20% - Accent3 8" xfId="90"/>
    <cellStyle name="20% - Accent4 2 10" xfId="91"/>
    <cellStyle name="20% - Accent4 2 11" xfId="92"/>
    <cellStyle name="20% - Accent4 2 12" xfId="93"/>
    <cellStyle name="20% - Accent4 2 13" xfId="94"/>
    <cellStyle name="20% - Accent4 2 14" xfId="95"/>
    <cellStyle name="20% - Accent4 2 15" xfId="96"/>
    <cellStyle name="20% - Accent4 2 2" xfId="97"/>
    <cellStyle name="20% - Accent4 2 3" xfId="98"/>
    <cellStyle name="20% - Accent4 2 4" xfId="99"/>
    <cellStyle name="20% - Accent4 2 5" xfId="100"/>
    <cellStyle name="20% - Accent4 2 6" xfId="101"/>
    <cellStyle name="20% - Accent4 2 7" xfId="102"/>
    <cellStyle name="20% - Accent4 2 8" xfId="103"/>
    <cellStyle name="20% - Accent4 2 9" xfId="104"/>
    <cellStyle name="20% - Accent4 3" xfId="105"/>
    <cellStyle name="20% - Accent4 4" xfId="106"/>
    <cellStyle name="20% - Accent4 5" xfId="107"/>
    <cellStyle name="20% - Accent4 6" xfId="108"/>
    <cellStyle name="20% - Accent4 7" xfId="109"/>
    <cellStyle name="20% - Accent4 8" xfId="110"/>
    <cellStyle name="20% - Accent5 2 10" xfId="111"/>
    <cellStyle name="20% - Accent5 2 11" xfId="112"/>
    <cellStyle name="20% - Accent5 2 12" xfId="113"/>
    <cellStyle name="20% - Accent5 2 13" xfId="114"/>
    <cellStyle name="20% - Accent5 2 14" xfId="115"/>
    <cellStyle name="20% - Accent5 2 15" xfId="116"/>
    <cellStyle name="20% - Accent5 2 2" xfId="117"/>
    <cellStyle name="20% - Accent5 2 3" xfId="118"/>
    <cellStyle name="20% - Accent5 2 4" xfId="119"/>
    <cellStyle name="20% - Accent5 2 5" xfId="120"/>
    <cellStyle name="20% - Accent5 2 6" xfId="121"/>
    <cellStyle name="20% - Accent5 2 7" xfId="122"/>
    <cellStyle name="20% - Accent5 2 8" xfId="123"/>
    <cellStyle name="20% - Accent5 2 9" xfId="124"/>
    <cellStyle name="20% - Accent5 3" xfId="125"/>
    <cellStyle name="20% - Accent5 4" xfId="126"/>
    <cellStyle name="20% - Accent5 5" xfId="127"/>
    <cellStyle name="20% - Accent5 6" xfId="128"/>
    <cellStyle name="20% - Accent5 7" xfId="129"/>
    <cellStyle name="20% - Accent5 8" xfId="130"/>
    <cellStyle name="20% - Accent6 2 10" xfId="131"/>
    <cellStyle name="20% - Accent6 2 11" xfId="132"/>
    <cellStyle name="20% - Accent6 2 12" xfId="133"/>
    <cellStyle name="20% - Accent6 2 13" xfId="134"/>
    <cellStyle name="20% - Accent6 2 14" xfId="135"/>
    <cellStyle name="20% - Accent6 2 15" xfId="136"/>
    <cellStyle name="20% - Accent6 2 2" xfId="137"/>
    <cellStyle name="20% - Accent6 2 3" xfId="138"/>
    <cellStyle name="20% - Accent6 2 4" xfId="139"/>
    <cellStyle name="20% - Accent6 2 5" xfId="140"/>
    <cellStyle name="20% - Accent6 2 6" xfId="141"/>
    <cellStyle name="20% - Accent6 2 7" xfId="142"/>
    <cellStyle name="20% - Accent6 2 8" xfId="143"/>
    <cellStyle name="20% - Accent6 2 9" xfId="144"/>
    <cellStyle name="20% - Accent6 3" xfId="145"/>
    <cellStyle name="20% - Accent6 4" xfId="146"/>
    <cellStyle name="20% - Accent6 5" xfId="147"/>
    <cellStyle name="20% - Accent6 6" xfId="148"/>
    <cellStyle name="20% - Accent6 7" xfId="149"/>
    <cellStyle name="20% - Accent6 8" xfId="150"/>
    <cellStyle name="40% - Accent1 2 10" xfId="151"/>
    <cellStyle name="40% - Accent1 2 11" xfId="152"/>
    <cellStyle name="40% - Accent1 2 12" xfId="153"/>
    <cellStyle name="40% - Accent1 2 13" xfId="154"/>
    <cellStyle name="40% - Accent1 2 14" xfId="155"/>
    <cellStyle name="40% - Accent1 2 15" xfId="156"/>
    <cellStyle name="40% - Accent1 2 2" xfId="157"/>
    <cellStyle name="40% - Accent1 2 3" xfId="158"/>
    <cellStyle name="40% - Accent1 2 4" xfId="159"/>
    <cellStyle name="40% - Accent1 2 5" xfId="160"/>
    <cellStyle name="40% - Accent1 2 6" xfId="161"/>
    <cellStyle name="40% - Accent1 2 7" xfId="162"/>
    <cellStyle name="40% - Accent1 2 8" xfId="163"/>
    <cellStyle name="40% - Accent1 2 9" xfId="164"/>
    <cellStyle name="40% - Accent1 3" xfId="165"/>
    <cellStyle name="40% - Accent1 4" xfId="166"/>
    <cellStyle name="40% - Accent1 5" xfId="167"/>
    <cellStyle name="40% - Accent1 6" xfId="168"/>
    <cellStyle name="40% - Accent1 7" xfId="169"/>
    <cellStyle name="40% - Accent1 8" xfId="170"/>
    <cellStyle name="40% - Accent2 2 10" xfId="171"/>
    <cellStyle name="40% - Accent2 2 11" xfId="172"/>
    <cellStyle name="40% - Accent2 2 12" xfId="173"/>
    <cellStyle name="40% - Accent2 2 13" xfId="174"/>
    <cellStyle name="40% - Accent2 2 14" xfId="175"/>
    <cellStyle name="40% - Accent2 2 15" xfId="176"/>
    <cellStyle name="40% - Accent2 2 2" xfId="177"/>
    <cellStyle name="40% - Accent2 2 3" xfId="178"/>
    <cellStyle name="40% - Accent2 2 4" xfId="179"/>
    <cellStyle name="40% - Accent2 2 5" xfId="180"/>
    <cellStyle name="40% - Accent2 2 6" xfId="181"/>
    <cellStyle name="40% - Accent2 2 7" xfId="182"/>
    <cellStyle name="40% - Accent2 2 8" xfId="183"/>
    <cellStyle name="40% - Accent2 2 9" xfId="184"/>
    <cellStyle name="40% - Accent2 3" xfId="185"/>
    <cellStyle name="40% - Accent2 4" xfId="186"/>
    <cellStyle name="40% - Accent2 5" xfId="187"/>
    <cellStyle name="40% - Accent2 6" xfId="188"/>
    <cellStyle name="40% - Accent2 7" xfId="189"/>
    <cellStyle name="40% - Accent2 8" xfId="190"/>
    <cellStyle name="40% - Accent3 2 10" xfId="191"/>
    <cellStyle name="40% - Accent3 2 11" xfId="192"/>
    <cellStyle name="40% - Accent3 2 12" xfId="193"/>
    <cellStyle name="40% - Accent3 2 13" xfId="194"/>
    <cellStyle name="40% - Accent3 2 14" xfId="195"/>
    <cellStyle name="40% - Accent3 2 15" xfId="196"/>
    <cellStyle name="40% - Accent3 2 2" xfId="197"/>
    <cellStyle name="40% - Accent3 2 3" xfId="198"/>
    <cellStyle name="40% - Accent3 2 4" xfId="199"/>
    <cellStyle name="40% - Accent3 2 5" xfId="200"/>
    <cellStyle name="40% - Accent3 2 6" xfId="201"/>
    <cellStyle name="40% - Accent3 2 7" xfId="202"/>
    <cellStyle name="40% - Accent3 2 8" xfId="203"/>
    <cellStyle name="40% - Accent3 2 9" xfId="204"/>
    <cellStyle name="40% - Accent3 3" xfId="205"/>
    <cellStyle name="40% - Accent3 4" xfId="206"/>
    <cellStyle name="40% - Accent3 5" xfId="207"/>
    <cellStyle name="40% - Accent3 6" xfId="208"/>
    <cellStyle name="40% - Accent3 7" xfId="209"/>
    <cellStyle name="40% - Accent3 8" xfId="210"/>
    <cellStyle name="40% - Accent4 2 10" xfId="211"/>
    <cellStyle name="40% - Accent4 2 11" xfId="212"/>
    <cellStyle name="40% - Accent4 2 12" xfId="213"/>
    <cellStyle name="40% - Accent4 2 13" xfId="214"/>
    <cellStyle name="40% - Accent4 2 14" xfId="215"/>
    <cellStyle name="40% - Accent4 2 15" xfId="216"/>
    <cellStyle name="40% - Accent4 2 2" xfId="217"/>
    <cellStyle name="40% - Accent4 2 3" xfId="218"/>
    <cellStyle name="40% - Accent4 2 4" xfId="219"/>
    <cellStyle name="40% - Accent4 2 5" xfId="220"/>
    <cellStyle name="40% - Accent4 2 6" xfId="221"/>
    <cellStyle name="40% - Accent4 2 7" xfId="222"/>
    <cellStyle name="40% - Accent4 2 8" xfId="223"/>
    <cellStyle name="40% - Accent4 2 9" xfId="224"/>
    <cellStyle name="40% - Accent4 3" xfId="225"/>
    <cellStyle name="40% - Accent4 4" xfId="226"/>
    <cellStyle name="40% - Accent4 5" xfId="227"/>
    <cellStyle name="40% - Accent4 6" xfId="228"/>
    <cellStyle name="40% - Accent4 7" xfId="229"/>
    <cellStyle name="40% - Accent4 8" xfId="230"/>
    <cellStyle name="40% - Accent5 2 10" xfId="231"/>
    <cellStyle name="40% - Accent5 2 11" xfId="232"/>
    <cellStyle name="40% - Accent5 2 12" xfId="233"/>
    <cellStyle name="40% - Accent5 2 13" xfId="234"/>
    <cellStyle name="40% - Accent5 2 14" xfId="235"/>
    <cellStyle name="40% - Accent5 2 15" xfId="236"/>
    <cellStyle name="40% - Accent5 2 2" xfId="237"/>
    <cellStyle name="40% - Accent5 2 3" xfId="238"/>
    <cellStyle name="40% - Accent5 2 4" xfId="239"/>
    <cellStyle name="40% - Accent5 2 5" xfId="240"/>
    <cellStyle name="40% - Accent5 2 6" xfId="241"/>
    <cellStyle name="40% - Accent5 2 7" xfId="242"/>
    <cellStyle name="40% - Accent5 2 8" xfId="243"/>
    <cellStyle name="40% - Accent5 2 9" xfId="244"/>
    <cellStyle name="40% - Accent5 3" xfId="245"/>
    <cellStyle name="40% - Accent5 4" xfId="246"/>
    <cellStyle name="40% - Accent5 5" xfId="247"/>
    <cellStyle name="40% - Accent5 6" xfId="248"/>
    <cellStyle name="40% - Accent5 7" xfId="249"/>
    <cellStyle name="40% - Accent5 8" xfId="250"/>
    <cellStyle name="40% - Accent6 2 10" xfId="251"/>
    <cellStyle name="40% - Accent6 2 11" xfId="252"/>
    <cellStyle name="40% - Accent6 2 12" xfId="253"/>
    <cellStyle name="40% - Accent6 2 13" xfId="254"/>
    <cellStyle name="40% - Accent6 2 14" xfId="255"/>
    <cellStyle name="40% - Accent6 2 15" xfId="256"/>
    <cellStyle name="40% - Accent6 2 2" xfId="257"/>
    <cellStyle name="40% - Accent6 2 3" xfId="258"/>
    <cellStyle name="40% - Accent6 2 4" xfId="259"/>
    <cellStyle name="40% - Accent6 2 5" xfId="260"/>
    <cellStyle name="40% - Accent6 2 6" xfId="261"/>
    <cellStyle name="40% - Accent6 2 7" xfId="262"/>
    <cellStyle name="40% - Accent6 2 8" xfId="263"/>
    <cellStyle name="40% - Accent6 2 9" xfId="264"/>
    <cellStyle name="40% - Accent6 3" xfId="265"/>
    <cellStyle name="40% - Accent6 4" xfId="266"/>
    <cellStyle name="40% - Accent6 5" xfId="267"/>
    <cellStyle name="40% - Accent6 6" xfId="268"/>
    <cellStyle name="40% - Accent6 7" xfId="269"/>
    <cellStyle name="40% - Accent6 8" xfId="270"/>
    <cellStyle name="60% - Accent1 2 10" xfId="271"/>
    <cellStyle name="60% - Accent1 2 2" xfId="272"/>
    <cellStyle name="60% - Accent1 2 3" xfId="273"/>
    <cellStyle name="60% - Accent1 2 4" xfId="274"/>
    <cellStyle name="60% - Accent1 2 5" xfId="275"/>
    <cellStyle name="60% - Accent1 2 6" xfId="276"/>
    <cellStyle name="60% - Accent1 2 7" xfId="277"/>
    <cellStyle name="60% - Accent1 2 8" xfId="278"/>
    <cellStyle name="60% - Accent1 2 9" xfId="279"/>
    <cellStyle name="60% - Accent1 3" xfId="280"/>
    <cellStyle name="60% - Accent2 2 10" xfId="281"/>
    <cellStyle name="60% - Accent2 2 2" xfId="282"/>
    <cellStyle name="60% - Accent2 2 3" xfId="283"/>
    <cellStyle name="60% - Accent2 2 4" xfId="284"/>
    <cellStyle name="60% - Accent2 2 5" xfId="285"/>
    <cellStyle name="60% - Accent2 2 6" xfId="286"/>
    <cellStyle name="60% - Accent2 2 7" xfId="287"/>
    <cellStyle name="60% - Accent2 2 8" xfId="288"/>
    <cellStyle name="60% - Accent2 2 9" xfId="289"/>
    <cellStyle name="60% - Accent2 3" xfId="290"/>
    <cellStyle name="60% - Accent3 2 10" xfId="291"/>
    <cellStyle name="60% - Accent3 2 2" xfId="292"/>
    <cellStyle name="60% - Accent3 2 3" xfId="293"/>
    <cellStyle name="60% - Accent3 2 4" xfId="294"/>
    <cellStyle name="60% - Accent3 2 5" xfId="295"/>
    <cellStyle name="60% - Accent3 2 6" xfId="296"/>
    <cellStyle name="60% - Accent3 2 7" xfId="297"/>
    <cellStyle name="60% - Accent3 2 8" xfId="298"/>
    <cellStyle name="60% - Accent3 2 9" xfId="299"/>
    <cellStyle name="60% - Accent3 3" xfId="300"/>
    <cellStyle name="60% - Accent4 2 10" xfId="301"/>
    <cellStyle name="60% - Accent4 2 2" xfId="302"/>
    <cellStyle name="60% - Accent4 2 3" xfId="303"/>
    <cellStyle name="60% - Accent4 2 4" xfId="304"/>
    <cellStyle name="60% - Accent4 2 5" xfId="305"/>
    <cellStyle name="60% - Accent4 2 6" xfId="306"/>
    <cellStyle name="60% - Accent4 2 7" xfId="307"/>
    <cellStyle name="60% - Accent4 2 8" xfId="308"/>
    <cellStyle name="60% - Accent4 2 9" xfId="309"/>
    <cellStyle name="60% - Accent4 3" xfId="310"/>
    <cellStyle name="60% - Accent5 2 10" xfId="311"/>
    <cellStyle name="60% - Accent5 2 2" xfId="312"/>
    <cellStyle name="60% - Accent5 2 3" xfId="313"/>
    <cellStyle name="60% - Accent5 2 4" xfId="314"/>
    <cellStyle name="60% - Accent5 2 5" xfId="315"/>
    <cellStyle name="60% - Accent5 2 6" xfId="316"/>
    <cellStyle name="60% - Accent5 2 7" xfId="317"/>
    <cellStyle name="60% - Accent5 2 8" xfId="318"/>
    <cellStyle name="60% - Accent5 2 9" xfId="319"/>
    <cellStyle name="60% - Accent5 3" xfId="320"/>
    <cellStyle name="60% - Accent6 2 10" xfId="321"/>
    <cellStyle name="60% - Accent6 2 2" xfId="322"/>
    <cellStyle name="60% - Accent6 2 3" xfId="323"/>
    <cellStyle name="60% - Accent6 2 4" xfId="324"/>
    <cellStyle name="60% - Accent6 2 5" xfId="325"/>
    <cellStyle name="60% - Accent6 2 6" xfId="326"/>
    <cellStyle name="60% - Accent6 2 7" xfId="327"/>
    <cellStyle name="60% - Accent6 2 8" xfId="328"/>
    <cellStyle name="60% - Accent6 2 9" xfId="329"/>
    <cellStyle name="60% - Accent6 3" xfId="330"/>
    <cellStyle name="Accent1 2 10" xfId="331"/>
    <cellStyle name="Accent1 2 2" xfId="332"/>
    <cellStyle name="Accent1 2 3" xfId="333"/>
    <cellStyle name="Accent1 2 4" xfId="334"/>
    <cellStyle name="Accent1 2 5" xfId="335"/>
    <cellStyle name="Accent1 2 6" xfId="336"/>
    <cellStyle name="Accent1 2 7" xfId="337"/>
    <cellStyle name="Accent1 2 8" xfId="338"/>
    <cellStyle name="Accent1 2 9" xfId="339"/>
    <cellStyle name="Accent1 3" xfId="340"/>
    <cellStyle name="Accent2 2 10" xfId="341"/>
    <cellStyle name="Accent2 2 2" xfId="342"/>
    <cellStyle name="Accent2 2 3" xfId="343"/>
    <cellStyle name="Accent2 2 4" xfId="344"/>
    <cellStyle name="Accent2 2 5" xfId="345"/>
    <cellStyle name="Accent2 2 6" xfId="346"/>
    <cellStyle name="Accent2 2 7" xfId="347"/>
    <cellStyle name="Accent2 2 8" xfId="348"/>
    <cellStyle name="Accent2 2 9" xfId="349"/>
    <cellStyle name="Accent2 3" xfId="350"/>
    <cellStyle name="Accent3 2 10" xfId="351"/>
    <cellStyle name="Accent3 2 2" xfId="352"/>
    <cellStyle name="Accent3 2 3" xfId="353"/>
    <cellStyle name="Accent3 2 4" xfId="354"/>
    <cellStyle name="Accent3 2 5" xfId="355"/>
    <cellStyle name="Accent3 2 6" xfId="356"/>
    <cellStyle name="Accent3 2 7" xfId="357"/>
    <cellStyle name="Accent3 2 8" xfId="358"/>
    <cellStyle name="Accent3 2 9" xfId="359"/>
    <cellStyle name="Accent3 3" xfId="360"/>
    <cellStyle name="Accent4 2 10" xfId="361"/>
    <cellStyle name="Accent4 2 2" xfId="362"/>
    <cellStyle name="Accent4 2 3" xfId="363"/>
    <cellStyle name="Accent4 2 4" xfId="364"/>
    <cellStyle name="Accent4 2 5" xfId="365"/>
    <cellStyle name="Accent4 2 6" xfId="366"/>
    <cellStyle name="Accent4 2 7" xfId="367"/>
    <cellStyle name="Accent4 2 8" xfId="368"/>
    <cellStyle name="Accent4 2 9" xfId="369"/>
    <cellStyle name="Accent4 3" xfId="370"/>
    <cellStyle name="Accent5 2 10" xfId="371"/>
    <cellStyle name="Accent5 2 2" xfId="372"/>
    <cellStyle name="Accent5 2 3" xfId="373"/>
    <cellStyle name="Accent5 2 4" xfId="374"/>
    <cellStyle name="Accent5 2 5" xfId="375"/>
    <cellStyle name="Accent5 2 6" xfId="376"/>
    <cellStyle name="Accent5 2 7" xfId="377"/>
    <cellStyle name="Accent5 2 8" xfId="378"/>
    <cellStyle name="Accent5 2 9" xfId="379"/>
    <cellStyle name="Accent5 3" xfId="380"/>
    <cellStyle name="Accent6 2 10" xfId="381"/>
    <cellStyle name="Accent6 2 2" xfId="382"/>
    <cellStyle name="Accent6 2 3" xfId="383"/>
    <cellStyle name="Accent6 2 4" xfId="384"/>
    <cellStyle name="Accent6 2 5" xfId="385"/>
    <cellStyle name="Accent6 2 6" xfId="386"/>
    <cellStyle name="Accent6 2 7" xfId="387"/>
    <cellStyle name="Accent6 2 8" xfId="388"/>
    <cellStyle name="Accent6 2 9" xfId="389"/>
    <cellStyle name="Accent6 3" xfId="390"/>
    <cellStyle name="Bad 2 10" xfId="391"/>
    <cellStyle name="Bad 2 2" xfId="392"/>
    <cellStyle name="Bad 2 3" xfId="393"/>
    <cellStyle name="Bad 2 4" xfId="394"/>
    <cellStyle name="Bad 2 5" xfId="395"/>
    <cellStyle name="Bad 2 6" xfId="396"/>
    <cellStyle name="Bad 2 7" xfId="397"/>
    <cellStyle name="Bad 2 8" xfId="398"/>
    <cellStyle name="Bad 2 9" xfId="399"/>
    <cellStyle name="Bad 3" xfId="400"/>
    <cellStyle name="Calculation 2 10" xfId="401"/>
    <cellStyle name="Calculation 2 2" xfId="402"/>
    <cellStyle name="Calculation 2 3" xfId="403"/>
    <cellStyle name="Calculation 2 4" xfId="404"/>
    <cellStyle name="Calculation 2 5" xfId="405"/>
    <cellStyle name="Calculation 2 6" xfId="406"/>
    <cellStyle name="Calculation 2 7" xfId="407"/>
    <cellStyle name="Calculation 2 8" xfId="408"/>
    <cellStyle name="Calculation 2 9" xfId="409"/>
    <cellStyle name="Calculation 3" xfId="410"/>
    <cellStyle name="Check Cell 2 10" xfId="411"/>
    <cellStyle name="Check Cell 2 2" xfId="412"/>
    <cellStyle name="Check Cell 2 3" xfId="413"/>
    <cellStyle name="Check Cell 2 4" xfId="414"/>
    <cellStyle name="Check Cell 2 5" xfId="415"/>
    <cellStyle name="Check Cell 2 6" xfId="416"/>
    <cellStyle name="Check Cell 2 7" xfId="417"/>
    <cellStyle name="Check Cell 2 8" xfId="418"/>
    <cellStyle name="Check Cell 2 9" xfId="419"/>
    <cellStyle name="Check Cell 3" xfId="420"/>
    <cellStyle name="Comma [0] 2 10" xfId="421"/>
    <cellStyle name="Comma [0] 2 2" xfId="422"/>
    <cellStyle name="Comma [0] 2 3" xfId="423"/>
    <cellStyle name="Comma [0] 2 4" xfId="424"/>
    <cellStyle name="Comma [0] 2 5" xfId="425"/>
    <cellStyle name="Comma [0] 2 6" xfId="426"/>
    <cellStyle name="Comma [0] 2 7" xfId="427"/>
    <cellStyle name="Comma [0] 2 8" xfId="428"/>
    <cellStyle name="Comma [0] 2 9" xfId="429"/>
    <cellStyle name="Comma 10 2" xfId="430"/>
    <cellStyle name="Comma 10 2 10" xfId="431"/>
    <cellStyle name="Comma 10 2 11" xfId="432"/>
    <cellStyle name="Comma 10 2 12" xfId="433"/>
    <cellStyle name="Comma 10 2 13" xfId="434"/>
    <cellStyle name="Comma 10 2 14" xfId="435"/>
    <cellStyle name="Comma 10 2 15" xfId="436"/>
    <cellStyle name="Comma 10 2 16" xfId="437"/>
    <cellStyle name="Comma 10 2 17" xfId="438"/>
    <cellStyle name="Comma 10 2 2" xfId="439"/>
    <cellStyle name="Comma 10 2 3" xfId="440"/>
    <cellStyle name="Comma 10 2 4" xfId="441"/>
    <cellStyle name="Comma 10 2 5" xfId="442"/>
    <cellStyle name="Comma 10 2 6" xfId="443"/>
    <cellStyle name="Comma 10 2 7" xfId="444"/>
    <cellStyle name="Comma 10 2 8" xfId="445"/>
    <cellStyle name="Comma 10 2 9" xfId="446"/>
    <cellStyle name="Comma 10 3" xfId="447"/>
    <cellStyle name="Comma 10 3 10" xfId="448"/>
    <cellStyle name="Comma 10 3 11" xfId="449"/>
    <cellStyle name="Comma 10 3 12" xfId="450"/>
    <cellStyle name="Comma 10 3 13" xfId="451"/>
    <cellStyle name="Comma 10 3 14" xfId="452"/>
    <cellStyle name="Comma 10 3 15" xfId="453"/>
    <cellStyle name="Comma 10 3 16" xfId="454"/>
    <cellStyle name="Comma 10 3 17" xfId="455"/>
    <cellStyle name="Comma 10 3 2" xfId="456"/>
    <cellStyle name="Comma 10 3 3" xfId="457"/>
    <cellStyle name="Comma 10 3 4" xfId="458"/>
    <cellStyle name="Comma 10 3 5" xfId="459"/>
    <cellStyle name="Comma 10 3 6" xfId="460"/>
    <cellStyle name="Comma 10 3 7" xfId="461"/>
    <cellStyle name="Comma 10 3 8" xfId="462"/>
    <cellStyle name="Comma 10 3 9" xfId="463"/>
    <cellStyle name="Comma 10 4" xfId="464"/>
    <cellStyle name="Comma 10 4 10" xfId="465"/>
    <cellStyle name="Comma 10 4 11" xfId="466"/>
    <cellStyle name="Comma 10 4 12" xfId="467"/>
    <cellStyle name="Comma 10 4 13" xfId="468"/>
    <cellStyle name="Comma 10 4 14" xfId="469"/>
    <cellStyle name="Comma 10 4 15" xfId="470"/>
    <cellStyle name="Comma 10 4 16" xfId="471"/>
    <cellStyle name="Comma 10 4 17" xfId="472"/>
    <cellStyle name="Comma 10 4 2" xfId="473"/>
    <cellStyle name="Comma 10 4 3" xfId="474"/>
    <cellStyle name="Comma 10 4 4" xfId="475"/>
    <cellStyle name="Comma 10 4 5" xfId="476"/>
    <cellStyle name="Comma 10 4 6" xfId="477"/>
    <cellStyle name="Comma 10 4 7" xfId="478"/>
    <cellStyle name="Comma 10 4 8" xfId="479"/>
    <cellStyle name="Comma 10 4 9" xfId="480"/>
    <cellStyle name="Comma 10 5" xfId="481"/>
    <cellStyle name="Comma 10 5 10" xfId="482"/>
    <cellStyle name="Comma 10 5 11" xfId="483"/>
    <cellStyle name="Comma 10 5 12" xfId="484"/>
    <cellStyle name="Comma 10 5 13" xfId="485"/>
    <cellStyle name="Comma 10 5 14" xfId="486"/>
    <cellStyle name="Comma 10 5 15" xfId="487"/>
    <cellStyle name="Comma 10 5 16" xfId="488"/>
    <cellStyle name="Comma 10 5 17" xfId="489"/>
    <cellStyle name="Comma 10 5 2" xfId="490"/>
    <cellStyle name="Comma 10 5 3" xfId="491"/>
    <cellStyle name="Comma 10 5 4" xfId="492"/>
    <cellStyle name="Comma 10 5 5" xfId="493"/>
    <cellStyle name="Comma 10 5 6" xfId="494"/>
    <cellStyle name="Comma 10 5 7" xfId="495"/>
    <cellStyle name="Comma 10 5 8" xfId="496"/>
    <cellStyle name="Comma 10 5 9" xfId="497"/>
    <cellStyle name="Comma 10 6" xfId="498"/>
    <cellStyle name="Comma 10 6 10" xfId="499"/>
    <cellStyle name="Comma 10 6 11" xfId="500"/>
    <cellStyle name="Comma 10 6 12" xfId="501"/>
    <cellStyle name="Comma 10 6 13" xfId="502"/>
    <cellStyle name="Comma 10 6 14" xfId="503"/>
    <cellStyle name="Comma 10 6 15" xfId="504"/>
    <cellStyle name="Comma 10 6 16" xfId="505"/>
    <cellStyle name="Comma 10 6 17" xfId="506"/>
    <cellStyle name="Comma 10 6 2" xfId="507"/>
    <cellStyle name="Comma 10 6 3" xfId="508"/>
    <cellStyle name="Comma 10 6 4" xfId="509"/>
    <cellStyle name="Comma 10 6 5" xfId="510"/>
    <cellStyle name="Comma 10 6 6" xfId="511"/>
    <cellStyle name="Comma 10 6 7" xfId="512"/>
    <cellStyle name="Comma 10 6 8" xfId="513"/>
    <cellStyle name="Comma 10 6 9" xfId="514"/>
    <cellStyle name="Comma 10 7" xfId="515"/>
    <cellStyle name="Comma 10 7 10" xfId="516"/>
    <cellStyle name="Comma 10 7 11" xfId="517"/>
    <cellStyle name="Comma 10 7 12" xfId="518"/>
    <cellStyle name="Comma 10 7 13" xfId="519"/>
    <cellStyle name="Comma 10 7 14" xfId="520"/>
    <cellStyle name="Comma 10 7 15" xfId="521"/>
    <cellStyle name="Comma 10 7 16" xfId="522"/>
    <cellStyle name="Comma 10 7 17" xfId="523"/>
    <cellStyle name="Comma 10 7 2" xfId="524"/>
    <cellStyle name="Comma 10 7 3" xfId="525"/>
    <cellStyle name="Comma 10 7 4" xfId="526"/>
    <cellStyle name="Comma 10 7 5" xfId="527"/>
    <cellStyle name="Comma 10 7 6" xfId="528"/>
    <cellStyle name="Comma 10 7 7" xfId="529"/>
    <cellStyle name="Comma 10 7 8" xfId="530"/>
    <cellStyle name="Comma 10 7 9" xfId="531"/>
    <cellStyle name="Comma 10 8" xfId="532"/>
    <cellStyle name="Comma 10 8 10" xfId="533"/>
    <cellStyle name="Comma 10 8 11" xfId="534"/>
    <cellStyle name="Comma 10 8 12" xfId="535"/>
    <cellStyle name="Comma 10 8 13" xfId="536"/>
    <cellStyle name="Comma 10 8 14" xfId="537"/>
    <cellStyle name="Comma 10 8 15" xfId="538"/>
    <cellStyle name="Comma 10 8 16" xfId="539"/>
    <cellStyle name="Comma 10 8 17" xfId="540"/>
    <cellStyle name="Comma 10 8 2" xfId="541"/>
    <cellStyle name="Comma 10 8 3" xfId="542"/>
    <cellStyle name="Comma 10 8 4" xfId="543"/>
    <cellStyle name="Comma 10 8 5" xfId="544"/>
    <cellStyle name="Comma 10 8 6" xfId="545"/>
    <cellStyle name="Comma 10 8 7" xfId="546"/>
    <cellStyle name="Comma 10 8 8" xfId="547"/>
    <cellStyle name="Comma 10 8 9" xfId="548"/>
    <cellStyle name="Comma 2 10" xfId="549"/>
    <cellStyle name="Comma 2 11" xfId="550"/>
    <cellStyle name="Comma 2 12" xfId="551"/>
    <cellStyle name="Comma 2 13" xfId="552"/>
    <cellStyle name="Comma 2 14" xfId="553"/>
    <cellStyle name="Comma 2 15" xfId="554"/>
    <cellStyle name="Comma 2 16" xfId="555"/>
    <cellStyle name="Comma 2 2" xfId="556"/>
    <cellStyle name="Comma 2 3" xfId="557"/>
    <cellStyle name="Comma 2 4" xfId="558"/>
    <cellStyle name="Comma 2 5" xfId="559"/>
    <cellStyle name="Comma 2 6" xfId="560"/>
    <cellStyle name="Comma 2 7" xfId="561"/>
    <cellStyle name="Comma 2 8" xfId="562"/>
    <cellStyle name="Comma 2 9" xfId="563"/>
    <cellStyle name="Comma 3" xfId="564"/>
    <cellStyle name="Comma 3 2" xfId="565"/>
    <cellStyle name="Comma 3 3" xfId="566"/>
    <cellStyle name="Comma 3 4" xfId="567"/>
    <cellStyle name="Comma 3 5" xfId="568"/>
    <cellStyle name="Comma 3 6" xfId="569"/>
    <cellStyle name="Comma 3 7" xfId="570"/>
    <cellStyle name="Comma 3 8" xfId="571"/>
    <cellStyle name="Comma 4" xfId="572"/>
    <cellStyle name="Comma 4 2" xfId="573"/>
    <cellStyle name="Comma 4 3" xfId="574"/>
    <cellStyle name="Comma 4 4" xfId="575"/>
    <cellStyle name="Comma 4 5" xfId="576"/>
    <cellStyle name="Comma 4 6" xfId="577"/>
    <cellStyle name="Comma 4 7" xfId="578"/>
    <cellStyle name="Comma 4 8" xfId="579"/>
    <cellStyle name="Comma 5" xfId="580"/>
    <cellStyle name="Comma 5 2" xfId="581"/>
    <cellStyle name="Comma 5 3" xfId="582"/>
    <cellStyle name="Comma 5 4" xfId="583"/>
    <cellStyle name="Comma 5 5" xfId="584"/>
    <cellStyle name="Comma 5 6" xfId="585"/>
    <cellStyle name="Comma 5 7" xfId="586"/>
    <cellStyle name="Comma 5 8" xfId="587"/>
    <cellStyle name="Comma 6" xfId="588"/>
    <cellStyle name="Comma 6 2" xfId="589"/>
    <cellStyle name="Comma 6 3" xfId="590"/>
    <cellStyle name="Comma 6 4" xfId="591"/>
    <cellStyle name="Comma 6 5" xfId="592"/>
    <cellStyle name="Comma 6 6" xfId="593"/>
    <cellStyle name="Comma 6 7" xfId="594"/>
    <cellStyle name="Comma 6 8" xfId="595"/>
    <cellStyle name="Comma 7" xfId="596"/>
    <cellStyle name="Comma 7 10" xfId="597"/>
    <cellStyle name="Comma 7 11" xfId="598"/>
    <cellStyle name="Comma 7 12" xfId="599"/>
    <cellStyle name="Comma 7 13" xfId="600"/>
    <cellStyle name="Comma 7 14" xfId="601"/>
    <cellStyle name="Comma 7 15" xfId="602"/>
    <cellStyle name="Comma 7 16" xfId="603"/>
    <cellStyle name="Comma 7 17" xfId="604"/>
    <cellStyle name="Comma 7 18" xfId="605"/>
    <cellStyle name="Comma 7 19" xfId="606"/>
    <cellStyle name="Comma 7 2" xfId="607"/>
    <cellStyle name="Comma 7 20" xfId="608"/>
    <cellStyle name="Comma 7 21" xfId="609"/>
    <cellStyle name="Comma 7 3" xfId="610"/>
    <cellStyle name="Comma 7 3 10" xfId="611"/>
    <cellStyle name="Comma 7 3 11" xfId="612"/>
    <cellStyle name="Comma 7 3 12" xfId="613"/>
    <cellStyle name="Comma 7 3 13" xfId="614"/>
    <cellStyle name="Comma 7 3 14" xfId="615"/>
    <cellStyle name="Comma 7 3 15" xfId="616"/>
    <cellStyle name="Comma 7 3 2" xfId="617"/>
    <cellStyle name="Comma 7 3 3" xfId="618"/>
    <cellStyle name="Comma 7 3 4" xfId="619"/>
    <cellStyle name="Comma 7 3 5" xfId="620"/>
    <cellStyle name="Comma 7 3 6" xfId="621"/>
    <cellStyle name="Comma 7 3 7" xfId="622"/>
    <cellStyle name="Comma 7 3 8" xfId="623"/>
    <cellStyle name="Comma 7 3 9" xfId="624"/>
    <cellStyle name="Comma 7 4" xfId="625"/>
    <cellStyle name="Comma 7 5" xfId="626"/>
    <cellStyle name="Comma 7 6" xfId="627"/>
    <cellStyle name="Comma 7 7" xfId="628"/>
    <cellStyle name="Comma 7 8" xfId="629"/>
    <cellStyle name="Comma 7 9" xfId="630"/>
    <cellStyle name="Comma 8" xfId="631"/>
    <cellStyle name="Comma 8 2" xfId="632"/>
    <cellStyle name="Comma 8 3" xfId="633"/>
    <cellStyle name="Comma 8 4" xfId="634"/>
    <cellStyle name="Comma 8 5" xfId="635"/>
    <cellStyle name="Comma 8 6" xfId="636"/>
    <cellStyle name="Comma 8 7" xfId="637"/>
    <cellStyle name="Comma 8 8" xfId="638"/>
    <cellStyle name="Comma 9 2" xfId="639"/>
    <cellStyle name="Comma 9 3" xfId="640"/>
    <cellStyle name="Comma 9 4" xfId="641"/>
    <cellStyle name="Comma 9 5" xfId="642"/>
    <cellStyle name="Comma 9 6" xfId="643"/>
    <cellStyle name="Comma 9 7" xfId="644"/>
    <cellStyle name="Comma 9 8" xfId="645"/>
    <cellStyle name="Comma 9 9" xfId="646"/>
    <cellStyle name="Currency 2 2" xfId="647"/>
    <cellStyle name="Euro" xfId="648"/>
    <cellStyle name="Euro 2" xfId="649"/>
    <cellStyle name="Euro 2 2" xfId="650"/>
    <cellStyle name="Euro 2 2 2" xfId="651"/>
    <cellStyle name="Explanatory Text 2 10" xfId="652"/>
    <cellStyle name="Explanatory Text 2 2" xfId="653"/>
    <cellStyle name="Explanatory Text 2 3" xfId="654"/>
    <cellStyle name="Explanatory Text 2 4" xfId="655"/>
    <cellStyle name="Explanatory Text 2 5" xfId="656"/>
    <cellStyle name="Explanatory Text 2 6" xfId="657"/>
    <cellStyle name="Explanatory Text 2 7" xfId="658"/>
    <cellStyle name="Explanatory Text 2 8" xfId="659"/>
    <cellStyle name="Explanatory Text 2 9" xfId="660"/>
    <cellStyle name="Explanatory Text 3" xfId="661"/>
    <cellStyle name="Good 2 10" xfId="662"/>
    <cellStyle name="Good 2 2" xfId="663"/>
    <cellStyle name="Good 2 3" xfId="664"/>
    <cellStyle name="Good 2 4" xfId="665"/>
    <cellStyle name="Good 2 5" xfId="666"/>
    <cellStyle name="Good 2 6" xfId="667"/>
    <cellStyle name="Good 2 7" xfId="668"/>
    <cellStyle name="Good 2 8" xfId="669"/>
    <cellStyle name="Good 2 9" xfId="670"/>
    <cellStyle name="Good 3" xfId="671"/>
    <cellStyle name="Heading 1 2 10" xfId="672"/>
    <cellStyle name="Heading 1 2 2" xfId="673"/>
    <cellStyle name="Heading 1 2 3" xfId="674"/>
    <cellStyle name="Heading 1 2 4" xfId="675"/>
    <cellStyle name="Heading 1 2 5" xfId="676"/>
    <cellStyle name="Heading 1 2 6" xfId="677"/>
    <cellStyle name="Heading 1 2 7" xfId="678"/>
    <cellStyle name="Heading 1 2 8" xfId="679"/>
    <cellStyle name="Heading 1 2 9" xfId="680"/>
    <cellStyle name="Heading 1 3" xfId="681"/>
    <cellStyle name="Heading 2 2 10" xfId="682"/>
    <cellStyle name="Heading 2 2 2" xfId="683"/>
    <cellStyle name="Heading 2 2 3" xfId="684"/>
    <cellStyle name="Heading 2 2 4" xfId="685"/>
    <cellStyle name="Heading 2 2 5" xfId="686"/>
    <cellStyle name="Heading 2 2 6" xfId="687"/>
    <cellStyle name="Heading 2 2 7" xfId="688"/>
    <cellStyle name="Heading 2 2 8" xfId="689"/>
    <cellStyle name="Heading 2 2 9" xfId="690"/>
    <cellStyle name="Heading 2 3" xfId="691"/>
    <cellStyle name="Heading 3 2 10" xfId="692"/>
    <cellStyle name="Heading 3 2 2" xfId="693"/>
    <cellStyle name="Heading 3 2 3" xfId="694"/>
    <cellStyle name="Heading 3 2 4" xfId="695"/>
    <cellStyle name="Heading 3 2 5" xfId="696"/>
    <cellStyle name="Heading 3 2 6" xfId="697"/>
    <cellStyle name="Heading 3 2 7" xfId="698"/>
    <cellStyle name="Heading 3 2 8" xfId="699"/>
    <cellStyle name="Heading 3 2 9" xfId="700"/>
    <cellStyle name="Heading 3 3" xfId="701"/>
    <cellStyle name="Heading 4 2 10" xfId="702"/>
    <cellStyle name="Heading 4 2 2" xfId="703"/>
    <cellStyle name="Heading 4 2 3" xfId="704"/>
    <cellStyle name="Heading 4 2 4" xfId="705"/>
    <cellStyle name="Heading 4 2 5" xfId="706"/>
    <cellStyle name="Heading 4 2 6" xfId="707"/>
    <cellStyle name="Heading 4 2 7" xfId="708"/>
    <cellStyle name="Heading 4 2 8" xfId="709"/>
    <cellStyle name="Heading 4 2 9" xfId="710"/>
    <cellStyle name="Heading 4 3" xfId="711"/>
    <cellStyle name="Input 2 10" xfId="712"/>
    <cellStyle name="Input 2 2" xfId="713"/>
    <cellStyle name="Input 2 3" xfId="714"/>
    <cellStyle name="Input 2 4" xfId="715"/>
    <cellStyle name="Input 2 5" xfId="716"/>
    <cellStyle name="Input 2 6" xfId="717"/>
    <cellStyle name="Input 2 7" xfId="718"/>
    <cellStyle name="Input 2 8" xfId="719"/>
    <cellStyle name="Input 2 9" xfId="720"/>
    <cellStyle name="Input 3" xfId="721"/>
    <cellStyle name="Linked Cell 2 10" xfId="722"/>
    <cellStyle name="Linked Cell 2 2" xfId="723"/>
    <cellStyle name="Linked Cell 2 3" xfId="724"/>
    <cellStyle name="Linked Cell 2 4" xfId="725"/>
    <cellStyle name="Linked Cell 2 5" xfId="726"/>
    <cellStyle name="Linked Cell 2 6" xfId="727"/>
    <cellStyle name="Linked Cell 2 7" xfId="728"/>
    <cellStyle name="Linked Cell 2 8" xfId="729"/>
    <cellStyle name="Linked Cell 2 9" xfId="730"/>
    <cellStyle name="Linked Cell 3" xfId="731"/>
    <cellStyle name="Neutral 2 10" xfId="732"/>
    <cellStyle name="Neutral 2 2" xfId="733"/>
    <cellStyle name="Neutral 2 3" xfId="734"/>
    <cellStyle name="Neutral 2 4" xfId="735"/>
    <cellStyle name="Neutral 2 5" xfId="736"/>
    <cellStyle name="Neutral 2 6" xfId="737"/>
    <cellStyle name="Neutral 2 7" xfId="738"/>
    <cellStyle name="Neutral 2 8" xfId="739"/>
    <cellStyle name="Neutral 2 9" xfId="740"/>
    <cellStyle name="Neutral 3" xfId="741"/>
    <cellStyle name="Normal 10" xfId="742"/>
    <cellStyle name="Normal 10 2" xfId="743"/>
    <cellStyle name="Normal 10 3" xfId="744"/>
    <cellStyle name="Normal 10 4" xfId="745"/>
    <cellStyle name="Normal 10 5" xfId="746"/>
    <cellStyle name="Normal 10 6" xfId="747"/>
    <cellStyle name="Normal 10 7" xfId="748"/>
    <cellStyle name="Normal 10 8" xfId="749"/>
    <cellStyle name="Normal 11" xfId="750"/>
    <cellStyle name="Normal 11 2" xfId="751"/>
    <cellStyle name="Normal 11 3" xfId="752"/>
    <cellStyle name="Normal 11 4" xfId="753"/>
    <cellStyle name="Normal 11 5" xfId="754"/>
    <cellStyle name="Normal 11 6" xfId="755"/>
    <cellStyle name="Normal 11 7" xfId="756"/>
    <cellStyle name="Normal 11 8" xfId="757"/>
    <cellStyle name="Normal 12" xfId="758"/>
    <cellStyle name="Normal 12 2" xfId="759"/>
    <cellStyle name="Normal 12 3" xfId="760"/>
    <cellStyle name="Normal 12 4" xfId="761"/>
    <cellStyle name="Normal 12 5" xfId="762"/>
    <cellStyle name="Normal 12 6" xfId="763"/>
    <cellStyle name="Normal 12 7" xfId="764"/>
    <cellStyle name="Normal 12 8" xfId="765"/>
    <cellStyle name="Normal 13" xfId="766"/>
    <cellStyle name="Normal 13 10" xfId="767"/>
    <cellStyle name="Normal 13 11" xfId="768"/>
    <cellStyle name="Normal 13 12" xfId="769"/>
    <cellStyle name="Normal 13 13" xfId="770"/>
    <cellStyle name="Normal 13 14" xfId="771"/>
    <cellStyle name="Normal 13 15" xfId="772"/>
    <cellStyle name="Normal 13 16" xfId="773"/>
    <cellStyle name="Normal 13 17" xfId="774"/>
    <cellStyle name="Normal 13 18" xfId="775"/>
    <cellStyle name="Normal 13 19" xfId="776"/>
    <cellStyle name="Normal 13 2" xfId="777"/>
    <cellStyle name="Normal 13 2 2" xfId="778"/>
    <cellStyle name="Normal 13 2 3" xfId="779"/>
    <cellStyle name="Normal 13 2 4" xfId="780"/>
    <cellStyle name="Normal 13 2 5" xfId="781"/>
    <cellStyle name="Normal 13 2 6" xfId="782"/>
    <cellStyle name="Normal 13 2 7" xfId="783"/>
    <cellStyle name="Normal 13 2 8" xfId="784"/>
    <cellStyle name="Normal 13 20" xfId="785"/>
    <cellStyle name="Normal 13 21" xfId="786"/>
    <cellStyle name="Normal 13 22" xfId="787"/>
    <cellStyle name="Normal 13 23" xfId="788"/>
    <cellStyle name="Normal 13 24" xfId="789"/>
    <cellStyle name="Normal 13 25" xfId="790"/>
    <cellStyle name="Normal 13 26" xfId="791"/>
    <cellStyle name="Normal 13 27" xfId="792"/>
    <cellStyle name="Normal 13 28" xfId="793"/>
    <cellStyle name="Normal 13 29" xfId="794"/>
    <cellStyle name="Normal 13 3" xfId="795"/>
    <cellStyle name="Normal 13 30" xfId="796"/>
    <cellStyle name="Normal 13 31" xfId="797"/>
    <cellStyle name="Normal 13 32" xfId="798"/>
    <cellStyle name="Normal 13 33" xfId="799"/>
    <cellStyle name="Normal 13 34" xfId="800"/>
    <cellStyle name="Normal 13 35" xfId="801"/>
    <cellStyle name="Normal 13 36" xfId="802"/>
    <cellStyle name="Normal 13 37" xfId="803"/>
    <cellStyle name="Normal 13 38" xfId="804"/>
    <cellStyle name="Normal 13 4" xfId="805"/>
    <cellStyle name="Normal 13 5" xfId="806"/>
    <cellStyle name="Normal 13 6" xfId="807"/>
    <cellStyle name="Normal 13 7" xfId="808"/>
    <cellStyle name="Normal 13 8" xfId="809"/>
    <cellStyle name="Normal 13 9" xfId="810"/>
    <cellStyle name="Normal 14" xfId="811"/>
    <cellStyle name="Normal 14 10" xfId="812"/>
    <cellStyle name="Normal 14 11" xfId="813"/>
    <cellStyle name="Normal 14 12" xfId="814"/>
    <cellStyle name="Normal 14 13" xfId="815"/>
    <cellStyle name="Normal 14 14" xfId="816"/>
    <cellStyle name="Normal 14 15" xfId="817"/>
    <cellStyle name="Normal 14 2" xfId="818"/>
    <cellStyle name="Normal 14 2 2" xfId="819"/>
    <cellStyle name="Normal 14 2 3" xfId="820"/>
    <cellStyle name="Normal 14 2 4" xfId="821"/>
    <cellStyle name="Normal 14 2 5" xfId="822"/>
    <cellStyle name="Normal 14 2 6" xfId="823"/>
    <cellStyle name="Normal 14 2 7" xfId="824"/>
    <cellStyle name="Normal 14 3" xfId="825"/>
    <cellStyle name="Normal 14 4" xfId="826"/>
    <cellStyle name="Normal 14 5" xfId="827"/>
    <cellStyle name="Normal 14 6" xfId="828"/>
    <cellStyle name="Normal 14 7" xfId="829"/>
    <cellStyle name="Normal 14 8" xfId="830"/>
    <cellStyle name="Normal 14 9" xfId="831"/>
    <cellStyle name="Normal 15" xfId="832"/>
    <cellStyle name="Normal 15 2" xfId="833"/>
    <cellStyle name="Normal 15 3" xfId="834"/>
    <cellStyle name="Normal 15 4" xfId="835"/>
    <cellStyle name="Normal 15 5" xfId="836"/>
    <cellStyle name="Normal 15 6" xfId="837"/>
    <cellStyle name="Normal 16" xfId="838"/>
    <cellStyle name="Normal 16 2" xfId="839"/>
    <cellStyle name="Normal 16 3" xfId="840"/>
    <cellStyle name="Normal 16 4" xfId="841"/>
    <cellStyle name="Normal 16 5" xfId="842"/>
    <cellStyle name="Normal 16 6" xfId="843"/>
    <cellStyle name="Normal 17" xfId="844"/>
    <cellStyle name="Normal 17 10" xfId="845"/>
    <cellStyle name="Normal 17 11" xfId="846"/>
    <cellStyle name="Normal 17 12" xfId="847"/>
    <cellStyle name="Normal 17 13" xfId="848"/>
    <cellStyle name="Normal 17 2" xfId="849"/>
    <cellStyle name="Normal 17 3" xfId="850"/>
    <cellStyle name="Normal 17 4" xfId="851"/>
    <cellStyle name="Normal 17 5" xfId="852"/>
    <cellStyle name="Normal 17 6" xfId="853"/>
    <cellStyle name="Normal 17 7" xfId="854"/>
    <cellStyle name="Normal 17 8" xfId="855"/>
    <cellStyle name="Normal 17 9" xfId="856"/>
    <cellStyle name="Normal 18" xfId="857"/>
    <cellStyle name="Normal 2 11" xfId="858"/>
    <cellStyle name="Normal 2 12" xfId="859"/>
    <cellStyle name="Normal 2 13" xfId="860"/>
    <cellStyle name="Normal 2 14" xfId="861"/>
    <cellStyle name="Normal 2 15" xfId="862"/>
    <cellStyle name="Normal 2 16" xfId="863"/>
    <cellStyle name="Normal 2 17" xfId="864"/>
    <cellStyle name="Normal 2 2" xfId="865"/>
    <cellStyle name="Normal 2 2 10" xfId="866"/>
    <cellStyle name="Normal 2 2 11" xfId="867"/>
    <cellStyle name="Normal 2 2 12" xfId="868"/>
    <cellStyle name="Normal 2 2 13" xfId="869"/>
    <cellStyle name="Normal 2 2 2" xfId="870"/>
    <cellStyle name="Normal 2 2 3" xfId="871"/>
    <cellStyle name="Normal 2 2 4" xfId="872"/>
    <cellStyle name="Normal 2 2 5" xfId="873"/>
    <cellStyle name="Normal 2 2 6" xfId="874"/>
    <cellStyle name="Normal 2 2 7" xfId="875"/>
    <cellStyle name="Normal 2 2 8" xfId="876"/>
    <cellStyle name="Normal 2 2 9" xfId="877"/>
    <cellStyle name="Normal 2 3" xfId="878"/>
    <cellStyle name="Normal 2 3 10" xfId="879"/>
    <cellStyle name="Normal 2 3 11" xfId="880"/>
    <cellStyle name="Normal 2 3 12" xfId="881"/>
    <cellStyle name="Normal 2 3 13" xfId="882"/>
    <cellStyle name="Normal 2 3 2" xfId="883"/>
    <cellStyle name="Normal 2 3 3" xfId="884"/>
    <cellStyle name="Normal 2 3 4" xfId="885"/>
    <cellStyle name="Normal 2 3 5" xfId="886"/>
    <cellStyle name="Normal 2 3 6" xfId="887"/>
    <cellStyle name="Normal 2 3 7" xfId="888"/>
    <cellStyle name="Normal 2 3 8" xfId="889"/>
    <cellStyle name="Normal 2 3 9" xfId="890"/>
    <cellStyle name="Normal 2 4" xfId="891"/>
    <cellStyle name="Normal 2 4 10" xfId="892"/>
    <cellStyle name="Normal 2 4 11" xfId="893"/>
    <cellStyle name="Normal 2 4 12" xfId="894"/>
    <cellStyle name="Normal 2 4 13" xfId="895"/>
    <cellStyle name="Normal 2 4 2" xfId="896"/>
    <cellStyle name="Normal 2 4 3" xfId="897"/>
    <cellStyle name="Normal 2 4 4" xfId="898"/>
    <cellStyle name="Normal 2 4 5" xfId="899"/>
    <cellStyle name="Normal 2 4 6" xfId="900"/>
    <cellStyle name="Normal 2 4 7" xfId="901"/>
    <cellStyle name="Normal 2 4 8" xfId="902"/>
    <cellStyle name="Normal 2 4 9" xfId="903"/>
    <cellStyle name="Normal 2 5" xfId="904"/>
    <cellStyle name="Normal 2 6" xfId="905"/>
    <cellStyle name="Normal 2 7" xfId="906"/>
    <cellStyle name="Normal 2 8" xfId="907"/>
    <cellStyle name="Normal 2 9" xfId="908"/>
    <cellStyle name="Normal 20" xfId="909"/>
    <cellStyle name="Normal 26" xfId="910"/>
    <cellStyle name="Normal 3 10" xfId="911"/>
    <cellStyle name="Normal 3 11" xfId="912"/>
    <cellStyle name="Normal 3 12" xfId="913"/>
    <cellStyle name="Normal 3 2" xfId="914"/>
    <cellStyle name="Normal 3 2 2" xfId="915"/>
    <cellStyle name="Normal 3 2 3" xfId="916"/>
    <cellStyle name="Normal 3 2 4" xfId="917"/>
    <cellStyle name="Normal 3 2 5" xfId="918"/>
    <cellStyle name="Normal 3 2 6" xfId="919"/>
    <cellStyle name="Normal 3 2 7" xfId="920"/>
    <cellStyle name="Normal 3 2 8" xfId="921"/>
    <cellStyle name="Normal 3 3" xfId="922"/>
    <cellStyle name="Normal 3 3 2" xfId="923"/>
    <cellStyle name="Normal 3 3 3" xfId="924"/>
    <cellStyle name="Normal 3 3 4" xfId="925"/>
    <cellStyle name="Normal 3 3 5" xfId="926"/>
    <cellStyle name="Normal 3 3 6" xfId="927"/>
    <cellStyle name="Normal 3 3 7" xfId="928"/>
    <cellStyle name="Normal 3 3 8" xfId="929"/>
    <cellStyle name="Normal 3 4" xfId="930"/>
    <cellStyle name="Normal 3 4 2" xfId="931"/>
    <cellStyle name="Normal 3 4 3" xfId="932"/>
    <cellStyle name="Normal 3 4 4" xfId="933"/>
    <cellStyle name="Normal 3 4 5" xfId="934"/>
    <cellStyle name="Normal 3 4 6" xfId="935"/>
    <cellStyle name="Normal 3 4 7" xfId="936"/>
    <cellStyle name="Normal 3 4 8" xfId="937"/>
    <cellStyle name="Normal 3 5" xfId="938"/>
    <cellStyle name="Normal 3 5 2" xfId="939"/>
    <cellStyle name="Normal 3 5 3" xfId="940"/>
    <cellStyle name="Normal 3 5 4" xfId="941"/>
    <cellStyle name="Normal 3 5 5" xfId="942"/>
    <cellStyle name="Normal 3 5 6" xfId="943"/>
    <cellStyle name="Normal 3 5 7" xfId="944"/>
    <cellStyle name="Normal 3 5 8" xfId="945"/>
    <cellStyle name="Normal 3 6" xfId="946"/>
    <cellStyle name="Normal 3 7" xfId="947"/>
    <cellStyle name="Normal 3 8" xfId="948"/>
    <cellStyle name="Normal 3 9" xfId="949"/>
    <cellStyle name="Normal 4 10" xfId="950"/>
    <cellStyle name="Normal 4 11" xfId="951"/>
    <cellStyle name="Normal 4 12" xfId="952"/>
    <cellStyle name="Normal 4 2" xfId="953"/>
    <cellStyle name="Normal 4 2 2" xfId="954"/>
    <cellStyle name="Normal 4 2 2 10" xfId="955"/>
    <cellStyle name="Normal 4 2 2 11" xfId="956"/>
    <cellStyle name="Normal 4 2 2 12" xfId="957"/>
    <cellStyle name="Normal 4 2 2 13" xfId="958"/>
    <cellStyle name="Normal 4 2 2 2" xfId="959"/>
    <cellStyle name="Normal 4 2 2 2 10" xfId="960"/>
    <cellStyle name="Normal 4 2 2 2 11" xfId="961"/>
    <cellStyle name="Normal 4 2 2 2 12" xfId="962"/>
    <cellStyle name="Normal 4 2 2 2 13" xfId="963"/>
    <cellStyle name="Normal 4 2 2 2 2" xfId="964"/>
    <cellStyle name="Normal 4 2 2 2 3" xfId="965"/>
    <cellStyle name="Normal 4 2 2 2 4" xfId="966"/>
    <cellStyle name="Normal 4 2 2 2 5" xfId="967"/>
    <cellStyle name="Normal 4 2 2 2 6" xfId="968"/>
    <cellStyle name="Normal 4 2 2 2 7" xfId="969"/>
    <cellStyle name="Normal 4 2 2 2 8" xfId="970"/>
    <cellStyle name="Normal 4 2 2 2 9" xfId="971"/>
    <cellStyle name="Normal 4 2 2 3" xfId="972"/>
    <cellStyle name="Normal 4 2 2 4" xfId="973"/>
    <cellStyle name="Normal 4 2 2 5" xfId="974"/>
    <cellStyle name="Normal 4 2 2 6" xfId="975"/>
    <cellStyle name="Normal 4 2 2 7" xfId="976"/>
    <cellStyle name="Normal 4 2 2 8" xfId="977"/>
    <cellStyle name="Normal 4 2 2 9" xfId="978"/>
    <cellStyle name="Normal 4 2 3" xfId="979"/>
    <cellStyle name="Normal 4 2 4" xfId="980"/>
    <cellStyle name="Normal 4 2 5" xfId="981"/>
    <cellStyle name="Normal 4 2 6" xfId="982"/>
    <cellStyle name="Normal 4 2 7" xfId="983"/>
    <cellStyle name="Normal 4 2 8" xfId="984"/>
    <cellStyle name="Normal 4 3" xfId="985"/>
    <cellStyle name="Normal 4 3 2" xfId="986"/>
    <cellStyle name="Normal 4 3 3" xfId="987"/>
    <cellStyle name="Normal 4 3 4" xfId="988"/>
    <cellStyle name="Normal 4 3 5" xfId="989"/>
    <cellStyle name="Normal 4 3 6" xfId="990"/>
    <cellStyle name="Normal 4 3 7" xfId="991"/>
    <cellStyle name="Normal 4 3 8" xfId="992"/>
    <cellStyle name="Normal 4 4" xfId="993"/>
    <cellStyle name="Normal 4 4 2" xfId="994"/>
    <cellStyle name="Normal 4 4 3" xfId="995"/>
    <cellStyle name="Normal 4 4 4" xfId="996"/>
    <cellStyle name="Normal 4 4 5" xfId="997"/>
    <cellStyle name="Normal 4 4 6" xfId="998"/>
    <cellStyle name="Normal 4 4 7" xfId="999"/>
    <cellStyle name="Normal 4 4 8" xfId="1000"/>
    <cellStyle name="Normal 4 5" xfId="1001"/>
    <cellStyle name="Normal 4 5 2" xfId="1002"/>
    <cellStyle name="Normal 4 5 3" xfId="1003"/>
    <cellStyle name="Normal 4 5 4" xfId="1004"/>
    <cellStyle name="Normal 4 5 5" xfId="1005"/>
    <cellStyle name="Normal 4 5 6" xfId="1006"/>
    <cellStyle name="Normal 4 5 7" xfId="1007"/>
    <cellStyle name="Normal 4 5 8" xfId="1008"/>
    <cellStyle name="Normal 4 6" xfId="1009"/>
    <cellStyle name="Normal 4 7" xfId="1010"/>
    <cellStyle name="Normal 4 8" xfId="1011"/>
    <cellStyle name="Normal 4 9" xfId="1012"/>
    <cellStyle name="Normal 5" xfId="1013"/>
    <cellStyle name="Normal 5 10" xfId="1014"/>
    <cellStyle name="Normal 5 11" xfId="1015"/>
    <cellStyle name="Normal 5 12" xfId="1016"/>
    <cellStyle name="Normal 5 2" xfId="1017"/>
    <cellStyle name="Normal 5 2 2" xfId="1018"/>
    <cellStyle name="Normal 5 2 2 10" xfId="1019"/>
    <cellStyle name="Normal 5 2 2 11" xfId="1020"/>
    <cellStyle name="Normal 5 2 2 12" xfId="1021"/>
    <cellStyle name="Normal 5 2 2 13" xfId="1022"/>
    <cellStyle name="Normal 5 2 2 2" xfId="1023"/>
    <cellStyle name="Normal 5 2 2 2 10" xfId="1024"/>
    <cellStyle name="Normal 5 2 2 2 11" xfId="1025"/>
    <cellStyle name="Normal 5 2 2 2 12" xfId="1026"/>
    <cellStyle name="Normal 5 2 2 2 13" xfId="1027"/>
    <cellStyle name="Normal 5 2 2 2 2" xfId="1028"/>
    <cellStyle name="Normal 5 2 2 2 3" xfId="1029"/>
    <cellStyle name="Normal 5 2 2 2 4" xfId="1030"/>
    <cellStyle name="Normal 5 2 2 2 5" xfId="1031"/>
    <cellStyle name="Normal 5 2 2 2 6" xfId="1032"/>
    <cellStyle name="Normal 5 2 2 2 7" xfId="1033"/>
    <cellStyle name="Normal 5 2 2 2 8" xfId="1034"/>
    <cellStyle name="Normal 5 2 2 2 9" xfId="1035"/>
    <cellStyle name="Normal 5 2 2 3" xfId="1036"/>
    <cellStyle name="Normal 5 2 2 4" xfId="1037"/>
    <cellStyle name="Normal 5 2 2 5" xfId="1038"/>
    <cellStyle name="Normal 5 2 2 6" xfId="1039"/>
    <cellStyle name="Normal 5 2 2 7" xfId="1040"/>
    <cellStyle name="Normal 5 2 2 8" xfId="1041"/>
    <cellStyle name="Normal 5 2 2 9" xfId="1042"/>
    <cellStyle name="Normal 5 2 3" xfId="1043"/>
    <cellStyle name="Normal 5 2 4" xfId="1044"/>
    <cellStyle name="Normal 5 2 5" xfId="1045"/>
    <cellStyle name="Normal 5 2 6" xfId="1046"/>
    <cellStyle name="Normal 5 2 7" xfId="1047"/>
    <cellStyle name="Normal 5 2 8" xfId="1048"/>
    <cellStyle name="Normal 5 3" xfId="1049"/>
    <cellStyle name="Normal 5 3 2" xfId="1050"/>
    <cellStyle name="Normal 5 3 3" xfId="1051"/>
    <cellStyle name="Normal 5 3 4" xfId="1052"/>
    <cellStyle name="Normal 5 3 5" xfId="1053"/>
    <cellStyle name="Normal 5 3 6" xfId="1054"/>
    <cellStyle name="Normal 5 3 7" xfId="1055"/>
    <cellStyle name="Normal 5 3 8" xfId="1056"/>
    <cellStyle name="Normal 5 4" xfId="1057"/>
    <cellStyle name="Normal 5 4 2" xfId="1058"/>
    <cellStyle name="Normal 5 4 3" xfId="1059"/>
    <cellStyle name="Normal 5 4 4" xfId="1060"/>
    <cellStyle name="Normal 5 4 5" xfId="1061"/>
    <cellStyle name="Normal 5 4 6" xfId="1062"/>
    <cellStyle name="Normal 5 4 7" xfId="1063"/>
    <cellStyle name="Normal 5 4 8" xfId="1064"/>
    <cellStyle name="Normal 5 5" xfId="1065"/>
    <cellStyle name="Normal 5 5 2" xfId="1066"/>
    <cellStyle name="Normal 5 5 3" xfId="1067"/>
    <cellStyle name="Normal 5 5 4" xfId="1068"/>
    <cellStyle name="Normal 5 5 5" xfId="1069"/>
    <cellStyle name="Normal 5 5 6" xfId="1070"/>
    <cellStyle name="Normal 5 5 7" xfId="1071"/>
    <cellStyle name="Normal 5 5 8" xfId="1072"/>
    <cellStyle name="Normal 5 6" xfId="1073"/>
    <cellStyle name="Normal 5 7" xfId="1074"/>
    <cellStyle name="Normal 5 8" xfId="1075"/>
    <cellStyle name="Normal 5 9" xfId="1076"/>
    <cellStyle name="Normal 6" xfId="1077"/>
    <cellStyle name="Normal 6 10" xfId="1078"/>
    <cellStyle name="Normal 6 11" xfId="1079"/>
    <cellStyle name="Normal 6 12" xfId="1080"/>
    <cellStyle name="Normal 6 2" xfId="1081"/>
    <cellStyle name="Normal 6 2 2" xfId="1082"/>
    <cellStyle name="Normal 6 2 2 10" xfId="1083"/>
    <cellStyle name="Normal 6 2 2 11" xfId="1084"/>
    <cellStyle name="Normal 6 2 2 12" xfId="1085"/>
    <cellStyle name="Normal 6 2 2 13" xfId="1086"/>
    <cellStyle name="Normal 6 2 2 2" xfId="1087"/>
    <cellStyle name="Normal 6 2 2 3" xfId="1088"/>
    <cellStyle name="Normal 6 2 2 4" xfId="1089"/>
    <cellStyle name="Normal 6 2 2 5" xfId="1090"/>
    <cellStyle name="Normal 6 2 2 6" xfId="1091"/>
    <cellStyle name="Normal 6 2 2 7" xfId="1092"/>
    <cellStyle name="Normal 6 2 2 8" xfId="1093"/>
    <cellStyle name="Normal 6 2 2 9" xfId="1094"/>
    <cellStyle name="Normal 6 2 3" xfId="1095"/>
    <cellStyle name="Normal 6 2 4" xfId="1096"/>
    <cellStyle name="Normal 6 2 5" xfId="1097"/>
    <cellStyle name="Normal 6 2 6" xfId="1098"/>
    <cellStyle name="Normal 6 2 7" xfId="1099"/>
    <cellStyle name="Normal 6 2 8" xfId="1100"/>
    <cellStyle name="Normal 6 3" xfId="1101"/>
    <cellStyle name="Normal 6 3 2" xfId="1102"/>
    <cellStyle name="Normal 6 3 3" xfId="1103"/>
    <cellStyle name="Normal 6 3 4" xfId="1104"/>
    <cellStyle name="Normal 6 3 5" xfId="1105"/>
    <cellStyle name="Normal 6 3 6" xfId="1106"/>
    <cellStyle name="Normal 6 3 7" xfId="1107"/>
    <cellStyle name="Normal 6 3 8" xfId="1108"/>
    <cellStyle name="Normal 6 4" xfId="1109"/>
    <cellStyle name="Normal 6 4 2" xfId="1110"/>
    <cellStyle name="Normal 6 4 3" xfId="1111"/>
    <cellStyle name="Normal 6 4 4" xfId="1112"/>
    <cellStyle name="Normal 6 4 5" xfId="1113"/>
    <cellStyle name="Normal 6 4 6" xfId="1114"/>
    <cellStyle name="Normal 6 4 7" xfId="1115"/>
    <cellStyle name="Normal 6 4 8" xfId="1116"/>
    <cellStyle name="Normal 6 5" xfId="1117"/>
    <cellStyle name="Normal 6 5 2" xfId="1118"/>
    <cellStyle name="Normal 6 5 3" xfId="1119"/>
    <cellStyle name="Normal 6 5 4" xfId="1120"/>
    <cellStyle name="Normal 6 5 5" xfId="1121"/>
    <cellStyle name="Normal 6 5 6" xfId="1122"/>
    <cellStyle name="Normal 6 5 7" xfId="1123"/>
    <cellStyle name="Normal 6 5 8" xfId="1124"/>
    <cellStyle name="Normal 6 6" xfId="1125"/>
    <cellStyle name="Normal 6 7" xfId="1126"/>
    <cellStyle name="Normal 6 8" xfId="1127"/>
    <cellStyle name="Normal 6 9" xfId="1128"/>
    <cellStyle name="Normal 7" xfId="1129"/>
    <cellStyle name="Normal 7 10" xfId="1130"/>
    <cellStyle name="Normal 7 11" xfId="1131"/>
    <cellStyle name="Normal 7 12" xfId="1132"/>
    <cellStyle name="Normal 7 2" xfId="1133"/>
    <cellStyle name="Normal 7 2 2" xfId="1134"/>
    <cellStyle name="Normal 7 2 3" xfId="1135"/>
    <cellStyle name="Normal 7 2 4" xfId="1136"/>
    <cellStyle name="Normal 7 2 5" xfId="1137"/>
    <cellStyle name="Normal 7 2 6" xfId="1138"/>
    <cellStyle name="Normal 7 2 7" xfId="1139"/>
    <cellStyle name="Normal 7 2 8" xfId="1140"/>
    <cellStyle name="Normal 7 3" xfId="1141"/>
    <cellStyle name="Normal 7 3 2" xfId="1142"/>
    <cellStyle name="Normal 7 3 3" xfId="1143"/>
    <cellStyle name="Normal 7 3 4" xfId="1144"/>
    <cellStyle name="Normal 7 3 5" xfId="1145"/>
    <cellStyle name="Normal 7 3 6" xfId="1146"/>
    <cellStyle name="Normal 7 3 7" xfId="1147"/>
    <cellStyle name="Normal 7 3 8" xfId="1148"/>
    <cellStyle name="Normal 7 4" xfId="1149"/>
    <cellStyle name="Normal 7 4 2" xfId="1150"/>
    <cellStyle name="Normal 7 4 3" xfId="1151"/>
    <cellStyle name="Normal 7 4 4" xfId="1152"/>
    <cellStyle name="Normal 7 4 5" xfId="1153"/>
    <cellStyle name="Normal 7 4 6" xfId="1154"/>
    <cellStyle name="Normal 7 4 7" xfId="1155"/>
    <cellStyle name="Normal 7 4 8" xfId="1156"/>
    <cellStyle name="Normal 7 5" xfId="1157"/>
    <cellStyle name="Normal 7 5 2" xfId="1158"/>
    <cellStyle name="Normal 7 5 3" xfId="1159"/>
    <cellStyle name="Normal 7 5 4" xfId="1160"/>
    <cellStyle name="Normal 7 5 5" xfId="1161"/>
    <cellStyle name="Normal 7 5 6" xfId="1162"/>
    <cellStyle name="Normal 7 5 7" xfId="1163"/>
    <cellStyle name="Normal 7 5 8" xfId="1164"/>
    <cellStyle name="Normal 7 6" xfId="1165"/>
    <cellStyle name="Normal 7 7" xfId="1166"/>
    <cellStyle name="Normal 7 8" xfId="1167"/>
    <cellStyle name="Normal 7 9" xfId="1168"/>
    <cellStyle name="Normal 8" xfId="1169"/>
    <cellStyle name="Normal 8 10" xfId="1170"/>
    <cellStyle name="Normal 8 11" xfId="1171"/>
    <cellStyle name="Normal 8 12" xfId="1172"/>
    <cellStyle name="Normal 8 2" xfId="1173"/>
    <cellStyle name="Normal 8 2 2" xfId="1174"/>
    <cellStyle name="Normal 8 2 3" xfId="1175"/>
    <cellStyle name="Normal 8 2 4" xfId="1176"/>
    <cellStyle name="Normal 8 2 5" xfId="1177"/>
    <cellStyle name="Normal 8 2 6" xfId="1178"/>
    <cellStyle name="Normal 8 2 7" xfId="1179"/>
    <cellStyle name="Normal 8 2 8" xfId="1180"/>
    <cellStyle name="Normal 8 3" xfId="1181"/>
    <cellStyle name="Normal 8 3 2" xfId="1182"/>
    <cellStyle name="Normal 8 3 3" xfId="1183"/>
    <cellStyle name="Normal 8 3 4" xfId="1184"/>
    <cellStyle name="Normal 8 3 5" xfId="1185"/>
    <cellStyle name="Normal 8 3 6" xfId="1186"/>
    <cellStyle name="Normal 8 3 7" xfId="1187"/>
    <cellStyle name="Normal 8 3 8" xfId="1188"/>
    <cellStyle name="Normal 8 4" xfId="1189"/>
    <cellStyle name="Normal 8 4 2" xfId="1190"/>
    <cellStyle name="Normal 8 4 3" xfId="1191"/>
    <cellStyle name="Normal 8 4 4" xfId="1192"/>
    <cellStyle name="Normal 8 4 5" xfId="1193"/>
    <cellStyle name="Normal 8 4 6" xfId="1194"/>
    <cellStyle name="Normal 8 4 7" xfId="1195"/>
    <cellStyle name="Normal 8 4 8" xfId="1196"/>
    <cellStyle name="Normal 8 5" xfId="1197"/>
    <cellStyle name="Normal 8 5 2" xfId="1198"/>
    <cellStyle name="Normal 8 5 3" xfId="1199"/>
    <cellStyle name="Normal 8 5 4" xfId="1200"/>
    <cellStyle name="Normal 8 5 5" xfId="1201"/>
    <cellStyle name="Normal 8 5 6" xfId="1202"/>
    <cellStyle name="Normal 8 5 7" xfId="1203"/>
    <cellStyle name="Normal 8 5 8" xfId="1204"/>
    <cellStyle name="Normal 8 6" xfId="1205"/>
    <cellStyle name="Normal 8 7" xfId="1206"/>
    <cellStyle name="Normal 8 8" xfId="1207"/>
    <cellStyle name="Normal 8 9" xfId="1208"/>
    <cellStyle name="Normal 9" xfId="1209"/>
    <cellStyle name="Normal 9 2" xfId="1210"/>
    <cellStyle name="Normal 9 3" xfId="1211"/>
    <cellStyle name="Normal 9 4" xfId="1212"/>
    <cellStyle name="Normal 9 5" xfId="1213"/>
    <cellStyle name="Normal 9 6" xfId="1214"/>
    <cellStyle name="Normal 9 7" xfId="1215"/>
    <cellStyle name="Normal 9 8" xfId="1216"/>
    <cellStyle name="Normale_B2020" xfId="1217"/>
    <cellStyle name="Note 2 10" xfId="1218"/>
    <cellStyle name="Note 2 11" xfId="1219"/>
    <cellStyle name="Note 2 12" xfId="1220"/>
    <cellStyle name="Note 2 13" xfId="1221"/>
    <cellStyle name="Note 2 14" xfId="1222"/>
    <cellStyle name="Note 2 15" xfId="1223"/>
    <cellStyle name="Note 2 2" xfId="1224"/>
    <cellStyle name="Note 2 3" xfId="1225"/>
    <cellStyle name="Note 2 4" xfId="1226"/>
    <cellStyle name="Note 2 5" xfId="1227"/>
    <cellStyle name="Note 2 6" xfId="1228"/>
    <cellStyle name="Note 2 7" xfId="1229"/>
    <cellStyle name="Note 2 8" xfId="1230"/>
    <cellStyle name="Note 2 9" xfId="1231"/>
    <cellStyle name="Note 3" xfId="1232"/>
    <cellStyle name="Note 4" xfId="1233"/>
    <cellStyle name="Note 5" xfId="1234"/>
    <cellStyle name="Note 6" xfId="1235"/>
    <cellStyle name="Note 7" xfId="1236"/>
    <cellStyle name="Note 8" xfId="1237"/>
    <cellStyle name="Output 2 10" xfId="1238"/>
    <cellStyle name="Output 2 2" xfId="1239"/>
    <cellStyle name="Output 2 3" xfId="1240"/>
    <cellStyle name="Output 2 4" xfId="1241"/>
    <cellStyle name="Output 2 5" xfId="1242"/>
    <cellStyle name="Output 2 6" xfId="1243"/>
    <cellStyle name="Output 2 7" xfId="1244"/>
    <cellStyle name="Output 2 8" xfId="1245"/>
    <cellStyle name="Output 2 9" xfId="1246"/>
    <cellStyle name="Output 3" xfId="1247"/>
    <cellStyle name="Percent 10" xfId="1248"/>
    <cellStyle name="Percent 10 2" xfId="1249"/>
    <cellStyle name="Percent 10 3" xfId="1250"/>
    <cellStyle name="Percent 10 4" xfId="1251"/>
    <cellStyle name="Percent 10 5" xfId="1252"/>
    <cellStyle name="Percent 10 6" xfId="1253"/>
    <cellStyle name="Percent 10 7" xfId="1254"/>
    <cellStyle name="Percent 10 8" xfId="1255"/>
    <cellStyle name="Percent 11" xfId="1256"/>
    <cellStyle name="Percent 11 2" xfId="1257"/>
    <cellStyle name="Percent 11 3" xfId="1258"/>
    <cellStyle name="Percent 11 4" xfId="1259"/>
    <cellStyle name="Percent 11 5" xfId="1260"/>
    <cellStyle name="Percent 11 6" xfId="1261"/>
    <cellStyle name="Percent 11 7" xfId="1262"/>
    <cellStyle name="Percent 11 8" xfId="1263"/>
    <cellStyle name="Percent 12" xfId="1264"/>
    <cellStyle name="Percent 12 2" xfId="1265"/>
    <cellStyle name="Percent 12 3" xfId="1266"/>
    <cellStyle name="Percent 12 4" xfId="1267"/>
    <cellStyle name="Percent 12 5" xfId="1268"/>
    <cellStyle name="Percent 12 6" xfId="1269"/>
    <cellStyle name="Percent 12 7" xfId="1270"/>
    <cellStyle name="Percent 12 8" xfId="1271"/>
    <cellStyle name="Percent 13" xfId="1272"/>
    <cellStyle name="Percent 13 2" xfId="1273"/>
    <cellStyle name="Percent 13 3" xfId="1274"/>
    <cellStyle name="Percent 13 4" xfId="1275"/>
    <cellStyle name="Percent 13 5" xfId="1276"/>
    <cellStyle name="Percent 13 6" xfId="1277"/>
    <cellStyle name="Percent 13 7" xfId="1278"/>
    <cellStyle name="Percent 13 8" xfId="1279"/>
    <cellStyle name="Percent 14" xfId="1280"/>
    <cellStyle name="Percent 14 2" xfId="1281"/>
    <cellStyle name="Percent 14 3" xfId="1282"/>
    <cellStyle name="Percent 14 4" xfId="1283"/>
    <cellStyle name="Percent 14 5" xfId="1284"/>
    <cellStyle name="Percent 14 6" xfId="1285"/>
    <cellStyle name="Percent 14 7" xfId="1286"/>
    <cellStyle name="Percent 14 8" xfId="1287"/>
    <cellStyle name="Percent 15" xfId="1288"/>
    <cellStyle name="Percent 15 10" xfId="1289"/>
    <cellStyle name="Percent 15 11" xfId="1290"/>
    <cellStyle name="Percent 15 12" xfId="1291"/>
    <cellStyle name="Percent 15 13" xfId="1292"/>
    <cellStyle name="Percent 15 14" xfId="1293"/>
    <cellStyle name="Percent 15 2" xfId="1294"/>
    <cellStyle name="Percent 15 2 2" xfId="1295"/>
    <cellStyle name="Percent 15 2 3" xfId="1296"/>
    <cellStyle name="Percent 15 2 4" xfId="1297"/>
    <cellStyle name="Percent 15 2 5" xfId="1298"/>
    <cellStyle name="Percent 15 2 6" xfId="1299"/>
    <cellStyle name="Percent 15 2 7" xfId="1300"/>
    <cellStyle name="Percent 15 3" xfId="1301"/>
    <cellStyle name="Percent 15 4" xfId="1302"/>
    <cellStyle name="Percent 15 5" xfId="1303"/>
    <cellStyle name="Percent 15 6" xfId="1304"/>
    <cellStyle name="Percent 15 7" xfId="1305"/>
    <cellStyle name="Percent 15 8" xfId="1306"/>
    <cellStyle name="Percent 15 9" xfId="1307"/>
    <cellStyle name="Percent 16 2" xfId="1308"/>
    <cellStyle name="Percent 16 3" xfId="1309"/>
    <cellStyle name="Percent 16 3 10" xfId="1310"/>
    <cellStyle name="Percent 16 3 11" xfId="1311"/>
    <cellStyle name="Percent 16 3 12" xfId="1312"/>
    <cellStyle name="Percent 16 3 13" xfId="1313"/>
    <cellStyle name="Percent 16 3 14" xfId="1314"/>
    <cellStyle name="Percent 16 3 15" xfId="1315"/>
    <cellStyle name="Percent 16 3 16" xfId="1316"/>
    <cellStyle name="Percent 16 3 17" xfId="1317"/>
    <cellStyle name="Percent 16 3 2" xfId="1318"/>
    <cellStyle name="Percent 16 3 3" xfId="1319"/>
    <cellStyle name="Percent 16 3 4" xfId="1320"/>
    <cellStyle name="Percent 16 3 5" xfId="1321"/>
    <cellStyle name="Percent 16 3 6" xfId="1322"/>
    <cellStyle name="Percent 16 3 7" xfId="1323"/>
    <cellStyle name="Percent 16 3 8" xfId="1324"/>
    <cellStyle name="Percent 16 3 9" xfId="1325"/>
    <cellStyle name="Percent 16 4" xfId="1326"/>
    <cellStyle name="Percent 16 4 10" xfId="1327"/>
    <cellStyle name="Percent 16 4 11" xfId="1328"/>
    <cellStyle name="Percent 16 4 12" xfId="1329"/>
    <cellStyle name="Percent 16 4 13" xfId="1330"/>
    <cellStyle name="Percent 16 4 14" xfId="1331"/>
    <cellStyle name="Percent 16 4 15" xfId="1332"/>
    <cellStyle name="Percent 16 4 16" xfId="1333"/>
    <cellStyle name="Percent 16 4 17" xfId="1334"/>
    <cellStyle name="Percent 16 4 2" xfId="1335"/>
    <cellStyle name="Percent 16 4 3" xfId="1336"/>
    <cellStyle name="Percent 16 4 4" xfId="1337"/>
    <cellStyle name="Percent 16 4 5" xfId="1338"/>
    <cellStyle name="Percent 16 4 6" xfId="1339"/>
    <cellStyle name="Percent 16 4 7" xfId="1340"/>
    <cellStyle name="Percent 16 4 8" xfId="1341"/>
    <cellStyle name="Percent 16 4 9" xfId="1342"/>
    <cellStyle name="Percent 16 5" xfId="1343"/>
    <cellStyle name="Percent 16 5 10" xfId="1344"/>
    <cellStyle name="Percent 16 5 11" xfId="1345"/>
    <cellStyle name="Percent 16 5 12" xfId="1346"/>
    <cellStyle name="Percent 16 5 13" xfId="1347"/>
    <cellStyle name="Percent 16 5 14" xfId="1348"/>
    <cellStyle name="Percent 16 5 15" xfId="1349"/>
    <cellStyle name="Percent 16 5 16" xfId="1350"/>
    <cellStyle name="Percent 16 5 17" xfId="1351"/>
    <cellStyle name="Percent 16 5 2" xfId="1352"/>
    <cellStyle name="Percent 16 5 3" xfId="1353"/>
    <cellStyle name="Percent 16 5 4" xfId="1354"/>
    <cellStyle name="Percent 16 5 5" xfId="1355"/>
    <cellStyle name="Percent 16 5 6" xfId="1356"/>
    <cellStyle name="Percent 16 5 7" xfId="1357"/>
    <cellStyle name="Percent 16 5 8" xfId="1358"/>
    <cellStyle name="Percent 16 5 9" xfId="1359"/>
    <cellStyle name="Percent 16 6" xfId="1360"/>
    <cellStyle name="Percent 16 6 10" xfId="1361"/>
    <cellStyle name="Percent 16 6 11" xfId="1362"/>
    <cellStyle name="Percent 16 6 12" xfId="1363"/>
    <cellStyle name="Percent 16 6 13" xfId="1364"/>
    <cellStyle name="Percent 16 6 14" xfId="1365"/>
    <cellStyle name="Percent 16 6 15" xfId="1366"/>
    <cellStyle name="Percent 16 6 16" xfId="1367"/>
    <cellStyle name="Percent 16 6 17" xfId="1368"/>
    <cellStyle name="Percent 16 6 2" xfId="1369"/>
    <cellStyle name="Percent 16 6 3" xfId="1370"/>
    <cellStyle name="Percent 16 6 4" xfId="1371"/>
    <cellStyle name="Percent 16 6 5" xfId="1372"/>
    <cellStyle name="Percent 16 6 6" xfId="1373"/>
    <cellStyle name="Percent 16 6 7" xfId="1374"/>
    <cellStyle name="Percent 16 6 8" xfId="1375"/>
    <cellStyle name="Percent 16 6 9" xfId="1376"/>
    <cellStyle name="Percent 16 7" xfId="1377"/>
    <cellStyle name="Percent 16 7 10" xfId="1378"/>
    <cellStyle name="Percent 16 7 11" xfId="1379"/>
    <cellStyle name="Percent 16 7 12" xfId="1380"/>
    <cellStyle name="Percent 16 7 13" xfId="1381"/>
    <cellStyle name="Percent 16 7 14" xfId="1382"/>
    <cellStyle name="Percent 16 7 15" xfId="1383"/>
    <cellStyle name="Percent 16 7 16" xfId="1384"/>
    <cellStyle name="Percent 16 7 17" xfId="1385"/>
    <cellStyle name="Percent 16 7 2" xfId="1386"/>
    <cellStyle name="Percent 16 7 3" xfId="1387"/>
    <cellStyle name="Percent 16 7 4" xfId="1388"/>
    <cellStyle name="Percent 16 7 5" xfId="1389"/>
    <cellStyle name="Percent 16 7 6" xfId="1390"/>
    <cellStyle name="Percent 16 7 7" xfId="1391"/>
    <cellStyle name="Percent 16 7 8" xfId="1392"/>
    <cellStyle name="Percent 16 7 9" xfId="1393"/>
    <cellStyle name="Percent 16 8" xfId="1394"/>
    <cellStyle name="Percent 16 8 10" xfId="1395"/>
    <cellStyle name="Percent 16 8 11" xfId="1396"/>
    <cellStyle name="Percent 16 8 12" xfId="1397"/>
    <cellStyle name="Percent 16 8 13" xfId="1398"/>
    <cellStyle name="Percent 16 8 14" xfId="1399"/>
    <cellStyle name="Percent 16 8 15" xfId="1400"/>
    <cellStyle name="Percent 16 8 16" xfId="1401"/>
    <cellStyle name="Percent 16 8 17" xfId="1402"/>
    <cellStyle name="Percent 16 8 2" xfId="1403"/>
    <cellStyle name="Percent 16 8 3" xfId="1404"/>
    <cellStyle name="Percent 16 8 4" xfId="1405"/>
    <cellStyle name="Percent 16 8 5" xfId="1406"/>
    <cellStyle name="Percent 16 8 6" xfId="1407"/>
    <cellStyle name="Percent 16 8 7" xfId="1408"/>
    <cellStyle name="Percent 16 8 8" xfId="1409"/>
    <cellStyle name="Percent 16 8 9" xfId="1410"/>
    <cellStyle name="Percent 16 9" xfId="1411"/>
    <cellStyle name="Percent 16 9 10" xfId="1412"/>
    <cellStyle name="Percent 16 9 11" xfId="1413"/>
    <cellStyle name="Percent 16 9 12" xfId="1414"/>
    <cellStyle name="Percent 16 9 13" xfId="1415"/>
    <cellStyle name="Percent 16 9 14" xfId="1416"/>
    <cellStyle name="Percent 16 9 15" xfId="1417"/>
    <cellStyle name="Percent 16 9 16" xfId="1418"/>
    <cellStyle name="Percent 16 9 17" xfId="1419"/>
    <cellStyle name="Percent 16 9 2" xfId="1420"/>
    <cellStyle name="Percent 16 9 3" xfId="1421"/>
    <cellStyle name="Percent 16 9 4" xfId="1422"/>
    <cellStyle name="Percent 16 9 5" xfId="1423"/>
    <cellStyle name="Percent 16 9 6" xfId="1424"/>
    <cellStyle name="Percent 16 9 7" xfId="1425"/>
    <cellStyle name="Percent 16 9 8" xfId="1426"/>
    <cellStyle name="Percent 16 9 9" xfId="1427"/>
    <cellStyle name="Percent 2 10" xfId="1428"/>
    <cellStyle name="Percent 2 10 2" xfId="1429"/>
    <cellStyle name="Percent 2 10 3" xfId="1430"/>
    <cellStyle name="Percent 2 10 4" xfId="1431"/>
    <cellStyle name="Percent 2 10 5" xfId="1432"/>
    <cellStyle name="Percent 2 10 6" xfId="1433"/>
    <cellStyle name="Percent 2 10 7" xfId="1434"/>
    <cellStyle name="Percent 2 10 8" xfId="1435"/>
    <cellStyle name="Percent 2 11" xfId="1436"/>
    <cellStyle name="Percent 2 11 2" xfId="1437"/>
    <cellStyle name="Percent 2 11 3" xfId="1438"/>
    <cellStyle name="Percent 2 11 4" xfId="1439"/>
    <cellStyle name="Percent 2 11 5" xfId="1440"/>
    <cellStyle name="Percent 2 11 6" xfId="1441"/>
    <cellStyle name="Percent 2 11 7" xfId="1442"/>
    <cellStyle name="Percent 2 11 8" xfId="1443"/>
    <cellStyle name="Percent 2 12" xfId="1444"/>
    <cellStyle name="Percent 2 13" xfId="1445"/>
    <cellStyle name="Percent 2 14" xfId="1446"/>
    <cellStyle name="Percent 2 15" xfId="1447"/>
    <cellStyle name="Percent 2 16" xfId="1448"/>
    <cellStyle name="Percent 2 17" xfId="1449"/>
    <cellStyle name="Percent 2 18" xfId="1450"/>
    <cellStyle name="Percent 2 2" xfId="1451"/>
    <cellStyle name="Percent 2 2 2" xfId="1452"/>
    <cellStyle name="Percent 2 2 3" xfId="1453"/>
    <cellStyle name="Percent 2 2 4" xfId="1454"/>
    <cellStyle name="Percent 2 2 5" xfId="1455"/>
    <cellStyle name="Percent 2 2 6" xfId="1456"/>
    <cellStyle name="Percent 2 2 7" xfId="1457"/>
    <cellStyle name="Percent 2 2 8" xfId="1458"/>
    <cellStyle name="Percent 2 3" xfId="1459"/>
    <cellStyle name="Percent 2 3 2" xfId="1460"/>
    <cellStyle name="Percent 2 3 3" xfId="1461"/>
    <cellStyle name="Percent 2 3 4" xfId="1462"/>
    <cellStyle name="Percent 2 3 5" xfId="1463"/>
    <cellStyle name="Percent 2 3 6" xfId="1464"/>
    <cellStyle name="Percent 2 3 7" xfId="1465"/>
    <cellStyle name="Percent 2 3 8" xfId="1466"/>
    <cellStyle name="Percent 2 4" xfId="1467"/>
    <cellStyle name="Percent 2 4 2" xfId="1468"/>
    <cellStyle name="Percent 2 4 3" xfId="1469"/>
    <cellStyle name="Percent 2 4 4" xfId="1470"/>
    <cellStyle name="Percent 2 4 5" xfId="1471"/>
    <cellStyle name="Percent 2 4 6" xfId="1472"/>
    <cellStyle name="Percent 2 4 7" xfId="1473"/>
    <cellStyle name="Percent 2 4 8" xfId="1474"/>
    <cellStyle name="Percent 2 5" xfId="1475"/>
    <cellStyle name="Percent 2 5 2" xfId="1476"/>
    <cellStyle name="Percent 2 5 3" xfId="1477"/>
    <cellStyle name="Percent 2 5 4" xfId="1478"/>
    <cellStyle name="Percent 2 5 5" xfId="1479"/>
    <cellStyle name="Percent 2 5 6" xfId="1480"/>
    <cellStyle name="Percent 2 5 7" xfId="1481"/>
    <cellStyle name="Percent 2 5 8" xfId="1482"/>
    <cellStyle name="Percent 2 6" xfId="1483"/>
    <cellStyle name="Percent 2 6 2" xfId="1484"/>
    <cellStyle name="Percent 2 6 3" xfId="1485"/>
    <cellStyle name="Percent 2 6 4" xfId="1486"/>
    <cellStyle name="Percent 2 6 5" xfId="1487"/>
    <cellStyle name="Percent 2 6 6" xfId="1488"/>
    <cellStyle name="Percent 2 6 7" xfId="1489"/>
    <cellStyle name="Percent 2 6 8" xfId="1490"/>
    <cellStyle name="Percent 2 7" xfId="1491"/>
    <cellStyle name="Percent 2 7 2" xfId="1492"/>
    <cellStyle name="Percent 2 7 3" xfId="1493"/>
    <cellStyle name="Percent 2 7 4" xfId="1494"/>
    <cellStyle name="Percent 2 7 5" xfId="1495"/>
    <cellStyle name="Percent 2 7 6" xfId="1496"/>
    <cellStyle name="Percent 2 7 7" xfId="1497"/>
    <cellStyle name="Percent 2 7 8" xfId="1498"/>
    <cellStyle name="Percent 2 8" xfId="1499"/>
    <cellStyle name="Percent 2 8 2" xfId="1500"/>
    <cellStyle name="Percent 2 8 3" xfId="1501"/>
    <cellStyle name="Percent 2 8 4" xfId="1502"/>
    <cellStyle name="Percent 2 8 5" xfId="1503"/>
    <cellStyle name="Percent 2 8 6" xfId="1504"/>
    <cellStyle name="Percent 2 8 7" xfId="1505"/>
    <cellStyle name="Percent 2 8 8" xfId="1506"/>
    <cellStyle name="Percent 2 9" xfId="1507"/>
    <cellStyle name="Percent 2 9 2" xfId="1508"/>
    <cellStyle name="Percent 2 9 3" xfId="1509"/>
    <cellStyle name="Percent 2 9 4" xfId="1510"/>
    <cellStyle name="Percent 2 9 5" xfId="1511"/>
    <cellStyle name="Percent 2 9 6" xfId="1512"/>
    <cellStyle name="Percent 2 9 7" xfId="1513"/>
    <cellStyle name="Percent 2 9 8" xfId="1514"/>
    <cellStyle name="Percent 3" xfId="1515"/>
    <cellStyle name="Percent 3 2" xfId="1516"/>
    <cellStyle name="Percent 3 3" xfId="1517"/>
    <cellStyle name="Percent 3 4" xfId="1518"/>
    <cellStyle name="Percent 3 5" xfId="1519"/>
    <cellStyle name="Percent 3 6" xfId="1520"/>
    <cellStyle name="Percent 3 7" xfId="1521"/>
    <cellStyle name="Percent 3 8" xfId="1522"/>
    <cellStyle name="Percent 4" xfId="1523"/>
    <cellStyle name="Percent 4 10" xfId="1524"/>
    <cellStyle name="Percent 4 11" xfId="1525"/>
    <cellStyle name="Percent 4 12" xfId="1526"/>
    <cellStyle name="Percent 4 13" xfId="1527"/>
    <cellStyle name="Percent 4 2" xfId="1528"/>
    <cellStyle name="Percent 4 2 2" xfId="1529"/>
    <cellStyle name="Percent 4 2 3" xfId="1530"/>
    <cellStyle name="Percent 4 2 4" xfId="1531"/>
    <cellStyle name="Percent 4 2 5" xfId="1532"/>
    <cellStyle name="Percent 4 2 6" xfId="1533"/>
    <cellStyle name="Percent 4 2 7" xfId="1534"/>
    <cellStyle name="Percent 4 2 8" xfId="1535"/>
    <cellStyle name="Percent 4 3" xfId="1536"/>
    <cellStyle name="Percent 4 3 2" xfId="1537"/>
    <cellStyle name="Percent 4 3 3" xfId="1538"/>
    <cellStyle name="Percent 4 3 4" xfId="1539"/>
    <cellStyle name="Percent 4 3 5" xfId="1540"/>
    <cellStyle name="Percent 4 3 6" xfId="1541"/>
    <cellStyle name="Percent 4 3 7" xfId="1542"/>
    <cellStyle name="Percent 4 3 8" xfId="1543"/>
    <cellStyle name="Percent 4 4" xfId="1544"/>
    <cellStyle name="Percent 4 4 2" xfId="1545"/>
    <cellStyle name="Percent 4 4 3" xfId="1546"/>
    <cellStyle name="Percent 4 4 4" xfId="1547"/>
    <cellStyle name="Percent 4 4 5" xfId="1548"/>
    <cellStyle name="Percent 4 4 6" xfId="1549"/>
    <cellStyle name="Percent 4 4 7" xfId="1550"/>
    <cellStyle name="Percent 4 4 8" xfId="1551"/>
    <cellStyle name="Percent 4 5" xfId="1552"/>
    <cellStyle name="Percent 4 5 2" xfId="1553"/>
    <cellStyle name="Percent 4 5 3" xfId="1554"/>
    <cellStyle name="Percent 4 5 4" xfId="1555"/>
    <cellStyle name="Percent 4 5 5" xfId="1556"/>
    <cellStyle name="Percent 4 5 6" xfId="1557"/>
    <cellStyle name="Percent 4 5 7" xfId="1558"/>
    <cellStyle name="Percent 4 5 8" xfId="1559"/>
    <cellStyle name="Percent 4 6" xfId="1560"/>
    <cellStyle name="Percent 4 6 2" xfId="1561"/>
    <cellStyle name="Percent 4 6 3" xfId="1562"/>
    <cellStyle name="Percent 4 6 4" xfId="1563"/>
    <cellStyle name="Percent 4 6 5" xfId="1564"/>
    <cellStyle name="Percent 4 6 6" xfId="1565"/>
    <cellStyle name="Percent 4 6 7" xfId="1566"/>
    <cellStyle name="Percent 4 6 8" xfId="1567"/>
    <cellStyle name="Percent 4 7" xfId="1568"/>
    <cellStyle name="Percent 4 8" xfId="1569"/>
    <cellStyle name="Percent 4 9" xfId="1570"/>
    <cellStyle name="Percent 5" xfId="1571"/>
    <cellStyle name="Percent 5 2" xfId="1572"/>
    <cellStyle name="Percent 5 3" xfId="1573"/>
    <cellStyle name="Percent 5 4" xfId="1574"/>
    <cellStyle name="Percent 5 5" xfId="1575"/>
    <cellStyle name="Percent 5 6" xfId="1576"/>
    <cellStyle name="Percent 5 7" xfId="1577"/>
    <cellStyle name="Percent 5 8" xfId="1578"/>
    <cellStyle name="Percent 6" xfId="1579"/>
    <cellStyle name="Percent 6 2" xfId="1580"/>
    <cellStyle name="Percent 6 3" xfId="1581"/>
    <cellStyle name="Percent 6 4" xfId="1582"/>
    <cellStyle name="Percent 6 5" xfId="1583"/>
    <cellStyle name="Percent 6 6" xfId="1584"/>
    <cellStyle name="Percent 6 7" xfId="1585"/>
    <cellStyle name="Percent 6 8" xfId="1586"/>
    <cellStyle name="Percent 7" xfId="1587"/>
    <cellStyle name="Percent 7 2" xfId="1588"/>
    <cellStyle name="Percent 7 3" xfId="1589"/>
    <cellStyle name="Percent 7 4" xfId="1590"/>
    <cellStyle name="Percent 7 5" xfId="1591"/>
    <cellStyle name="Percent 7 6" xfId="1592"/>
    <cellStyle name="Percent 7 7" xfId="1593"/>
    <cellStyle name="Percent 7 8" xfId="1594"/>
    <cellStyle name="Percent 8" xfId="1595"/>
    <cellStyle name="Percent 8 2" xfId="1596"/>
    <cellStyle name="Percent 8 3" xfId="1597"/>
    <cellStyle name="Percent 8 4" xfId="1598"/>
    <cellStyle name="Percent 8 5" xfId="1599"/>
    <cellStyle name="Percent 8 6" xfId="1600"/>
    <cellStyle name="Percent 8 7" xfId="1601"/>
    <cellStyle name="Percent 8 8" xfId="1602"/>
    <cellStyle name="Percent 9" xfId="1603"/>
    <cellStyle name="Percent 9 2" xfId="1604"/>
    <cellStyle name="Percent 9 3" xfId="1605"/>
    <cellStyle name="Percent 9 4" xfId="1606"/>
    <cellStyle name="Percent 9 5" xfId="1607"/>
    <cellStyle name="Percent 9 6" xfId="1608"/>
    <cellStyle name="Percent 9 7" xfId="1609"/>
    <cellStyle name="Percent 9 8" xfId="1610"/>
    <cellStyle name="Title 2 10" xfId="1611"/>
    <cellStyle name="Title 2 2" xfId="1612"/>
    <cellStyle name="Title 2 3" xfId="1613"/>
    <cellStyle name="Title 2 4" xfId="1614"/>
    <cellStyle name="Title 2 5" xfId="1615"/>
    <cellStyle name="Title 2 6" xfId="1616"/>
    <cellStyle name="Title 2 7" xfId="1617"/>
    <cellStyle name="Title 2 8" xfId="1618"/>
    <cellStyle name="Title 2 9" xfId="1619"/>
    <cellStyle name="Title 3" xfId="1620"/>
    <cellStyle name="Total 2 10" xfId="1621"/>
    <cellStyle name="Total 2 2" xfId="1622"/>
    <cellStyle name="Total 2 3" xfId="1623"/>
    <cellStyle name="Total 2 4" xfId="1624"/>
    <cellStyle name="Total 2 5" xfId="1625"/>
    <cellStyle name="Total 2 6" xfId="1626"/>
    <cellStyle name="Total 2 7" xfId="1627"/>
    <cellStyle name="Total 2 8" xfId="1628"/>
    <cellStyle name="Total 2 9" xfId="1629"/>
    <cellStyle name="Total 3" xfId="1630"/>
    <cellStyle name="Warning Text 2 10" xfId="1631"/>
    <cellStyle name="Warning Text 2 2" xfId="1632"/>
    <cellStyle name="Warning Text 2 3" xfId="1633"/>
    <cellStyle name="Warning Text 2 4" xfId="1634"/>
    <cellStyle name="Warning Text 2 5" xfId="1635"/>
    <cellStyle name="Warning Text 2 6" xfId="1636"/>
    <cellStyle name="Warning Text 2 7" xfId="1637"/>
    <cellStyle name="Warning Text 2 8" xfId="1638"/>
    <cellStyle name="Warning Text 2 9" xfId="1639"/>
    <cellStyle name="Warning Text 3" xfId="1640"/>
    <cellStyle name="已访问的超链接" xfId="1641"/>
    <cellStyle name="Normal 21" xfId="1642"/>
    <cellStyle name="Normal 2 18" xfId="1643"/>
    <cellStyle name="Normale 2" xfId="1644"/>
    <cellStyle name="Normal 23" xfId="16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4" Type="http://schemas.openxmlformats.org/officeDocument/2006/relationships/calcChain" Target="calcChain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2.jpeg" /><Relationship Id="rId1" Type="http://schemas.openxmlformats.org/officeDocument/2006/relationships/image" Target="../media/image3.png" /><Relationship Id="rId6" Type="http://schemas.openxmlformats.org/officeDocument/2006/relationships/image" Target="../media/image3.jpeg" /><Relationship Id="rId5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793b0c-7e95-455c-b0cb-1a9b2502d62c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800725" cy="23241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4447ae-1fd0-4f28-a1a5-ee6260431f6b}"/>
            </a:ext>
          </a:extLst>
        </xdr:cNvPr>
        <xdr:cNvPicPr>
          <a:picLocks noChangeAspect="1"/>
        </xdr:cNvPicPr>
      </xdr:nvPicPr>
      <xdr:blipFill>
        <a:blip r:embed="rId2"/>
        <a:srcRect l="4615" t="8930" r="7743" b="12922"/>
        <a:stretch>
          <a:fillRect/>
        </a:stretch>
      </xdr:blipFill>
      <xdr:spPr>
        <a:xfrm>
          <a:off x="19050" y="8810625"/>
          <a:ext cx="1428750" cy="571500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1ea09e-8916-42b6-aff9-6ae648928f62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52625" y="8810625"/>
          <a:ext cx="1247775" cy="571500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9b1b57-e70b-46f9-901a-ce09a3b75f2c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33800" y="8810625"/>
          <a:ext cx="2019300" cy="571500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8091d1-74bf-4efb-aad8-850904c730d0}"/>
            </a:ext>
          </a:extLst>
        </xdr:cNvPr>
        <xdr:cNvPicPr>
          <a:picLocks noChangeAspect="1"/>
        </xdr:cNvPicPr>
      </xdr:nvPicPr>
      <xdr:blipFill>
        <a:blip r:embed="rId5"/>
        <a:srcRect l="1365" t="6561" r="4008" b="6333"/>
        <a:stretch>
          <a:fillRect/>
        </a:stretch>
      </xdr:blipFill>
      <xdr:spPr>
        <a:xfrm>
          <a:off x="3629025" y="7962900"/>
          <a:ext cx="1400175" cy="571500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b27dd0-3ae8-4401-aaf8-48085c11883c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996" t="26196" r="3996" b="26194"/>
        <a:stretch>
          <a:fillRect/>
        </a:stretch>
      </xdr:blipFill>
      <xdr:spPr bwMode="auto">
        <a:xfrm>
          <a:off x="666750" y="8077200"/>
          <a:ext cx="1676400" cy="428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A254A0F-7158-4F85-B7C3-36851FAE9E89}">
  <sheetPr codeName="Sheet10"/>
  <dimension ref="A1:Z99"/>
  <sheetViews>
    <sheetView showGridLines="0" workbookViewId="0" topLeftCell="A1">
      <selection pane="topLeft" activeCell="F1" sqref="F1"/>
    </sheetView>
  </sheetViews>
  <sheetFormatPr defaultColWidth="8.85428571428571" defaultRowHeight="15"/>
  <cols>
    <col min="1" max="4" width="21.7142857142857" customWidth="1"/>
    <col min="5" max="6" width="14.1428571428571" customWidth="1"/>
    <col min="7" max="7" width="12.1428571428571" customWidth="1"/>
    <col min="8" max="10" width="8.14285714285714" customWidth="1"/>
    <col min="11" max="11" width="9.71428571428571" customWidth="1"/>
    <col min="12" max="12" width="8.14285714285714" customWidth="1"/>
    <col min="13" max="13" width="10" customWidth="1"/>
    <col min="14" max="14" width="11.4285714285714" customWidth="1"/>
    <col min="15" max="15" width="13.4285714285714" customWidth="1"/>
  </cols>
  <sheetData>
    <row r="1" spans="1:26" ht="15">
      <c r="A1" s="4"/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>
      <c r="A2" s="4"/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>
      <c r="A3" s="4"/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>
      <c r="A5" s="4"/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>
      <c r="A6" s="4"/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>
      <c r="A7" s="4"/>
      <c r="B7" s="4"/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>
      <c r="A8" s="4"/>
      <c r="B8" s="4"/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>
      <c r="A9" s="4"/>
      <c r="B9" s="4"/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>
      <c r="A10" s="4"/>
      <c r="B10" s="4"/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>
      <c r="A11" s="4"/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>
      <c r="A12" s="4"/>
      <c r="B12" s="4"/>
      <c r="C12" s="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>
      <c r="A13" s="4"/>
      <c r="B13" s="4"/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>
      <c r="A14" s="4"/>
      <c r="B14" s="4"/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>
      <c r="A15" s="4"/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02.75" customHeight="1">
      <c r="A16" s="18" t="s">
        <v>631</v>
      </c>
      <c r="B16" s="18"/>
      <c r="C16" s="18"/>
      <c r="D16" s="18"/>
      <c r="E16" s="6"/>
      <c r="F16" s="6"/>
      <c r="G16" s="7"/>
      <c r="H16" s="7"/>
      <c r="I16" s="7"/>
      <c r="J16" s="7"/>
      <c r="K16" s="7"/>
      <c r="L16" s="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7.25" customHeight="1">
      <c r="A17" s="8"/>
      <c r="B17" s="8"/>
      <c r="C17" s="8"/>
      <c r="D17" s="8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7.25" customHeight="1">
      <c r="A18" s="8"/>
      <c r="B18" s="8"/>
      <c r="C18" s="8"/>
      <c r="D18" s="8"/>
      <c r="E18" s="9"/>
      <c r="F18" s="9"/>
      <c r="G18" s="10"/>
      <c r="H18" s="10"/>
      <c r="I18" s="10"/>
      <c r="J18" s="10"/>
      <c r="K18" s="10"/>
      <c r="L18" s="10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7.25" customHeight="1">
      <c r="A19" s="11" t="s">
        <v>632</v>
      </c>
      <c r="B19" s="17" t="s">
        <v>643</v>
      </c>
      <c r="C19" s="17"/>
      <c r="D19" s="17"/>
      <c r="E19" s="12"/>
      <c r="F19" s="12"/>
      <c r="G19" s="13"/>
      <c r="H19" s="13"/>
      <c r="I19" s="13"/>
      <c r="J19" s="13"/>
      <c r="K19" s="13"/>
      <c r="L19" s="1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7.25" customHeight="1">
      <c r="A20" s="11" t="s">
        <v>633</v>
      </c>
      <c r="B20" s="17" t="s">
        <v>644</v>
      </c>
      <c r="C20" s="17"/>
      <c r="D20" s="17"/>
      <c r="E20" s="12"/>
      <c r="F20" s="12"/>
      <c r="G20" s="13"/>
      <c r="H20" s="13"/>
      <c r="I20" s="13"/>
      <c r="J20" s="13"/>
      <c r="K20" s="13"/>
      <c r="L20" s="1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7.25" customHeight="1">
      <c r="A21" s="11" t="s">
        <v>634</v>
      </c>
      <c r="B21" s="2" t="s">
        <v>645</v>
      </c>
      <c r="C21" s="2"/>
      <c r="D21" s="2"/>
      <c r="E21" s="12"/>
      <c r="F21" s="12"/>
      <c r="G21" s="13"/>
      <c r="H21" s="13"/>
      <c r="I21" s="13"/>
      <c r="J21" s="13"/>
      <c r="K21" s="13"/>
      <c r="L21" s="1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7.25" customHeight="1">
      <c r="A22" s="11"/>
      <c r="B22" s="2"/>
      <c r="C22" s="2"/>
      <c r="D22" s="2"/>
      <c r="E22" s="12"/>
      <c r="F22" s="12"/>
      <c r="G22" s="13"/>
      <c r="H22" s="13"/>
      <c r="I22" s="13"/>
      <c r="J22" s="13"/>
      <c r="K22" s="13"/>
      <c r="L22" s="1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7.25" customHeight="1">
      <c r="A23" s="11" t="s">
        <v>635</v>
      </c>
      <c r="B23" s="17" t="s">
        <v>646</v>
      </c>
      <c r="C23" s="17"/>
      <c r="D23" s="1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7.25" customHeight="1">
      <c r="A24" s="11"/>
      <c r="B24" s="2"/>
      <c r="C24" s="2"/>
      <c r="D24" s="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7.25" customHeight="1">
      <c r="A25" s="11"/>
      <c r="B25" s="2"/>
      <c r="C25" s="2"/>
      <c r="D25" s="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7.25" customHeight="1">
      <c r="A26" s="11" t="s">
        <v>636</v>
      </c>
      <c r="B26" s="17" t="s">
        <v>646</v>
      </c>
      <c r="C26" s="17"/>
      <c r="D26" s="1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7.25" customHeight="1">
      <c r="A27" s="11"/>
      <c r="B27" s="2"/>
      <c r="C27" s="2"/>
      <c r="D27" s="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7.25" customHeight="1">
      <c r="A28" s="11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7.25" customHeight="1">
      <c r="A29" s="11" t="s">
        <v>637</v>
      </c>
      <c r="B29" s="14">
        <v>1</v>
      </c>
      <c r="C29" s="2"/>
      <c r="D29" s="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7.25" customHeight="1">
      <c r="A30" s="11" t="s">
        <v>638</v>
      </c>
      <c r="B30" s="19" t="s">
        <v>639</v>
      </c>
      <c r="C30" s="17"/>
      <c r="D30" s="17"/>
      <c r="E30" s="15"/>
      <c r="F30" s="1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7.25" customHeight="1">
      <c r="A31" s="11" t="s">
        <v>640</v>
      </c>
      <c r="B31" s="17" t="s">
        <v>641</v>
      </c>
      <c r="C31" s="17"/>
      <c r="D31" s="17"/>
      <c r="E31" s="15"/>
      <c r="F31" s="1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7.25" customHeight="1">
      <c r="A32" s="16"/>
      <c r="B32" s="1" t="s">
        <v>642</v>
      </c>
      <c r="C32" s="16"/>
      <c r="D32" s="1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>
      <c r="A33" s="4"/>
      <c r="B33" s="4"/>
      <c r="C33" s="4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>
      <c r="A34" s="4"/>
      <c r="B34" s="4"/>
      <c r="C34" s="4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>
      <c r="A35" s="4"/>
      <c r="B35" s="4"/>
      <c r="C35" s="4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>
      <c r="A36" s="4"/>
      <c r="B36" s="4"/>
      <c r="C36" s="4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>
      <c r="A37" s="4"/>
      <c r="B37" s="4"/>
      <c r="C37" s="4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>
      <c r="A38" s="4"/>
      <c r="B38" s="4"/>
      <c r="C38" s="4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>
      <c r="A39" s="4"/>
      <c r="B39" s="4"/>
      <c r="C39" s="4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>
      <c r="A40" s="4"/>
      <c r="B40" s="4"/>
      <c r="C40" s="4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>
      <c r="A41" s="4"/>
      <c r="B41" s="4"/>
      <c r="C41" s="4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>
      <c r="A42" s="4"/>
      <c r="B42" s="4"/>
      <c r="C42" s="4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FCDF15-1442-474A-ACC7-D199AB8A1E18}">
  <sheetPr codeName="Sheet1">
    <tabColor rgb="FF92D050"/>
  </sheetPr>
  <dimension ref="A1:J83"/>
  <sheetViews>
    <sheetView zoomScale="90" zoomScaleNormal="90" workbookViewId="0" topLeftCell="A46">
      <selection pane="topLeft" activeCell="E85" sqref="E85"/>
    </sheetView>
  </sheetViews>
  <sheetFormatPr defaultRowHeight="15"/>
  <cols>
    <col min="4" max="4" width="17.8571428571429" bestFit="1" customWidth="1"/>
    <col min="5" max="5" width="40.7142857142857" bestFit="1" customWidth="1"/>
  </cols>
  <sheetData>
    <row r="1" spans="1:1" ht="15">
      <c r="A1" t="s">
        <v>70</v>
      </c>
    </row>
    <row r="2" spans="1:10" ht="15">
      <c r="A2" t="s">
        <v>71</v>
      </c>
      <c r="B2" t="s">
        <v>72</v>
      </c>
      <c r="C2" t="s">
        <v>73</v>
      </c>
      <c r="D2" t="s">
        <v>6</v>
      </c>
      <c r="E2" t="s">
        <v>7</v>
      </c>
      <c r="F2" t="s">
        <v>74</v>
      </c>
      <c r="G2" t="s">
        <v>75</v>
      </c>
      <c r="H2" t="s">
        <v>76</v>
      </c>
      <c r="I2" t="s">
        <v>77</v>
      </c>
      <c r="J2" t="s">
        <v>12</v>
      </c>
    </row>
    <row r="3" spans="1:9" ht="15">
      <c r="A3" t="s">
        <v>165</v>
      </c>
      <c r="B3" t="s">
        <v>166</v>
      </c>
      <c r="D3" t="s">
        <v>108</v>
      </c>
      <c r="E3" t="s">
        <v>109</v>
      </c>
      <c r="F3" t="s">
        <v>15</v>
      </c>
      <c r="G3" t="s">
        <v>15</v>
      </c>
      <c r="H3" t="s">
        <v>15</v>
      </c>
      <c r="I3" t="s">
        <v>16</v>
      </c>
    </row>
    <row r="4" spans="1:9" ht="15">
      <c r="A4" t="s">
        <v>165</v>
      </c>
      <c r="B4" t="s">
        <v>546</v>
      </c>
      <c r="D4" t="s">
        <v>459</v>
      </c>
      <c r="E4" t="s">
        <v>468</v>
      </c>
      <c r="F4" t="s">
        <v>15</v>
      </c>
      <c r="G4" t="s">
        <v>15</v>
      </c>
      <c r="H4" t="s">
        <v>15</v>
      </c>
      <c r="I4" t="s">
        <v>16</v>
      </c>
    </row>
    <row r="5" spans="1:9" ht="15">
      <c r="A5" t="s">
        <v>165</v>
      </c>
      <c r="B5" t="s">
        <v>189</v>
      </c>
      <c r="D5" t="s">
        <v>110</v>
      </c>
      <c r="E5" t="s">
        <v>111</v>
      </c>
      <c r="F5" t="s">
        <v>15</v>
      </c>
      <c r="G5" t="s">
        <v>15</v>
      </c>
      <c r="H5" t="s">
        <v>15</v>
      </c>
      <c r="I5" t="s">
        <v>16</v>
      </c>
    </row>
    <row r="6" spans="1:9" ht="15">
      <c r="A6" t="s">
        <v>165</v>
      </c>
      <c r="B6" t="s">
        <v>167</v>
      </c>
      <c r="D6" t="s">
        <v>112</v>
      </c>
      <c r="E6" t="s">
        <v>113</v>
      </c>
      <c r="F6" t="s">
        <v>15</v>
      </c>
      <c r="G6" t="s">
        <v>15</v>
      </c>
      <c r="H6" t="s">
        <v>15</v>
      </c>
      <c r="I6" t="s">
        <v>16</v>
      </c>
    </row>
    <row r="7" spans="1:9" ht="15">
      <c r="A7" t="s">
        <v>165</v>
      </c>
      <c r="B7" t="s">
        <v>168</v>
      </c>
      <c r="D7" t="s">
        <v>114</v>
      </c>
      <c r="E7" t="s">
        <v>115</v>
      </c>
      <c r="F7" t="s">
        <v>15</v>
      </c>
      <c r="G7" t="s">
        <v>15</v>
      </c>
      <c r="H7" t="s">
        <v>15</v>
      </c>
      <c r="I7" t="s">
        <v>16</v>
      </c>
    </row>
    <row r="8" spans="1:9" ht="15">
      <c r="A8" t="s">
        <v>137</v>
      </c>
      <c r="B8" t="s">
        <v>169</v>
      </c>
      <c r="D8" t="s">
        <v>245</v>
      </c>
      <c r="E8" t="s">
        <v>116</v>
      </c>
      <c r="F8" t="s">
        <v>15</v>
      </c>
      <c r="G8" t="s">
        <v>15</v>
      </c>
      <c r="H8" t="s">
        <v>15</v>
      </c>
      <c r="I8" t="s">
        <v>16</v>
      </c>
    </row>
    <row r="9" spans="1:9" ht="15">
      <c r="A9" t="s">
        <v>137</v>
      </c>
      <c r="B9" t="s">
        <v>170</v>
      </c>
      <c r="D9" t="s">
        <v>246</v>
      </c>
      <c r="E9" t="s">
        <v>117</v>
      </c>
      <c r="F9" t="s">
        <v>15</v>
      </c>
      <c r="G9" t="s">
        <v>16</v>
      </c>
      <c r="H9" t="s">
        <v>15</v>
      </c>
      <c r="I9" t="s">
        <v>16</v>
      </c>
    </row>
    <row r="10" spans="1:9" ht="15">
      <c r="A10" t="s">
        <v>137</v>
      </c>
      <c r="B10" t="s">
        <v>544</v>
      </c>
      <c r="D10" t="s">
        <v>460</v>
      </c>
      <c r="E10" t="s">
        <v>469</v>
      </c>
      <c r="F10" t="s">
        <v>15</v>
      </c>
      <c r="G10" t="s">
        <v>16</v>
      </c>
      <c r="H10" t="s">
        <v>15</v>
      </c>
      <c r="I10" t="s">
        <v>16</v>
      </c>
    </row>
    <row r="11" spans="1:9" ht="15">
      <c r="A11" t="s">
        <v>137</v>
      </c>
      <c r="B11" t="s">
        <v>171</v>
      </c>
      <c r="D11" t="s">
        <v>247</v>
      </c>
      <c r="E11" t="s">
        <v>118</v>
      </c>
      <c r="F11" t="s">
        <v>15</v>
      </c>
      <c r="G11" t="s">
        <v>16</v>
      </c>
      <c r="H11" t="s">
        <v>15</v>
      </c>
      <c r="I11" t="s">
        <v>16</v>
      </c>
    </row>
    <row r="12" spans="1:9" ht="15">
      <c r="A12" t="s">
        <v>137</v>
      </c>
      <c r="B12" t="s">
        <v>172</v>
      </c>
      <c r="D12" t="s">
        <v>248</v>
      </c>
      <c r="E12" t="s">
        <v>119</v>
      </c>
      <c r="F12" t="s">
        <v>15</v>
      </c>
      <c r="G12" t="s">
        <v>16</v>
      </c>
      <c r="H12" t="s">
        <v>15</v>
      </c>
      <c r="I12" t="s">
        <v>16</v>
      </c>
    </row>
    <row r="13" spans="1:9" ht="15">
      <c r="A13" t="s">
        <v>137</v>
      </c>
      <c r="B13" t="s">
        <v>173</v>
      </c>
      <c r="D13" t="s">
        <v>249</v>
      </c>
      <c r="E13" t="s">
        <v>120</v>
      </c>
      <c r="F13" t="s">
        <v>15</v>
      </c>
      <c r="G13" t="s">
        <v>16</v>
      </c>
      <c r="H13" t="s">
        <v>15</v>
      </c>
      <c r="I13" t="s">
        <v>16</v>
      </c>
    </row>
    <row r="14" spans="1:9" ht="15">
      <c r="A14" t="s">
        <v>137</v>
      </c>
      <c r="B14" t="s">
        <v>545</v>
      </c>
      <c r="D14" t="s">
        <v>250</v>
      </c>
      <c r="E14" t="s">
        <v>121</v>
      </c>
      <c r="F14" t="s">
        <v>15</v>
      </c>
      <c r="G14" t="s">
        <v>16</v>
      </c>
      <c r="H14" t="s">
        <v>15</v>
      </c>
      <c r="I14" t="s">
        <v>16</v>
      </c>
    </row>
    <row r="15" spans="1:9" ht="15">
      <c r="A15" t="s">
        <v>137</v>
      </c>
      <c r="B15" t="s">
        <v>174</v>
      </c>
      <c r="D15" t="s">
        <v>251</v>
      </c>
      <c r="E15" t="s">
        <v>122</v>
      </c>
      <c r="F15" t="s">
        <v>15</v>
      </c>
      <c r="G15" t="s">
        <v>16</v>
      </c>
      <c r="H15" t="s">
        <v>15</v>
      </c>
      <c r="I15" t="s">
        <v>16</v>
      </c>
    </row>
    <row r="16" spans="1:9" ht="15">
      <c r="A16" t="s">
        <v>137</v>
      </c>
      <c r="B16" t="s">
        <v>175</v>
      </c>
      <c r="D16" t="s">
        <v>252</v>
      </c>
      <c r="E16" t="s">
        <v>123</v>
      </c>
      <c r="F16" t="s">
        <v>647</v>
      </c>
      <c r="G16" t="s">
        <v>647</v>
      </c>
      <c r="H16" t="s">
        <v>647</v>
      </c>
      <c r="I16" t="s">
        <v>648</v>
      </c>
    </row>
    <row r="17" spans="1:9" ht="15">
      <c r="A17" t="s">
        <v>137</v>
      </c>
      <c r="B17" t="s">
        <v>176</v>
      </c>
      <c r="D17" t="s">
        <v>253</v>
      </c>
      <c r="E17" t="s">
        <v>124</v>
      </c>
      <c r="F17" t="s">
        <v>15</v>
      </c>
      <c r="G17" t="s">
        <v>16</v>
      </c>
      <c r="H17" t="s">
        <v>15</v>
      </c>
      <c r="I17" t="s">
        <v>16</v>
      </c>
    </row>
    <row r="18" spans="1:9" ht="15">
      <c r="A18" t="s">
        <v>137</v>
      </c>
      <c r="B18" t="s">
        <v>547</v>
      </c>
      <c r="D18" t="s">
        <v>461</v>
      </c>
      <c r="E18" t="s">
        <v>470</v>
      </c>
      <c r="F18" t="s">
        <v>15</v>
      </c>
      <c r="G18" t="s">
        <v>16</v>
      </c>
      <c r="H18" t="s">
        <v>15</v>
      </c>
      <c r="I18" t="s">
        <v>16</v>
      </c>
    </row>
    <row r="19" spans="1:9" ht="15">
      <c r="A19" t="s">
        <v>137</v>
      </c>
      <c r="B19" t="s">
        <v>177</v>
      </c>
      <c r="D19" t="s">
        <v>254</v>
      </c>
      <c r="E19" t="s">
        <v>125</v>
      </c>
      <c r="F19" t="s">
        <v>15</v>
      </c>
      <c r="G19" t="s">
        <v>16</v>
      </c>
      <c r="H19" t="s">
        <v>15</v>
      </c>
      <c r="I19" t="s">
        <v>16</v>
      </c>
    </row>
    <row r="20" spans="1:9" ht="15">
      <c r="A20" t="s">
        <v>137</v>
      </c>
      <c r="B20" t="s">
        <v>178</v>
      </c>
      <c r="D20" t="s">
        <v>255</v>
      </c>
      <c r="E20" t="s">
        <v>126</v>
      </c>
      <c r="F20" t="s">
        <v>15</v>
      </c>
      <c r="G20" t="s">
        <v>16</v>
      </c>
      <c r="H20" t="s">
        <v>15</v>
      </c>
      <c r="I20" t="s">
        <v>16</v>
      </c>
    </row>
    <row r="21" spans="1:9" ht="15">
      <c r="A21" t="s">
        <v>137</v>
      </c>
      <c r="B21" t="s">
        <v>179</v>
      </c>
      <c r="D21" t="s">
        <v>256</v>
      </c>
      <c r="E21" t="s">
        <v>127</v>
      </c>
      <c r="F21" t="s">
        <v>15</v>
      </c>
      <c r="G21" t="s">
        <v>16</v>
      </c>
      <c r="H21" t="s">
        <v>15</v>
      </c>
      <c r="I21" t="s">
        <v>16</v>
      </c>
    </row>
    <row r="22" spans="1:9" ht="15">
      <c r="A22" t="s">
        <v>137</v>
      </c>
      <c r="B22" t="s">
        <v>548</v>
      </c>
      <c r="D22" t="s">
        <v>257</v>
      </c>
      <c r="E22" t="s">
        <v>128</v>
      </c>
      <c r="F22" t="s">
        <v>15</v>
      </c>
      <c r="G22" t="s">
        <v>16</v>
      </c>
      <c r="H22" t="s">
        <v>15</v>
      </c>
      <c r="I22" t="s">
        <v>16</v>
      </c>
    </row>
    <row r="23" spans="1:9" ht="15">
      <c r="A23" t="s">
        <v>137</v>
      </c>
      <c r="B23" t="s">
        <v>180</v>
      </c>
      <c r="D23" t="s">
        <v>258</v>
      </c>
      <c r="E23" t="s">
        <v>129</v>
      </c>
      <c r="F23" t="s">
        <v>647</v>
      </c>
      <c r="G23" t="s">
        <v>648</v>
      </c>
      <c r="H23" t="s">
        <v>647</v>
      </c>
      <c r="I23" t="s">
        <v>648</v>
      </c>
    </row>
    <row r="24" spans="1:9" ht="15">
      <c r="A24" t="s">
        <v>137</v>
      </c>
      <c r="B24" t="s">
        <v>181</v>
      </c>
      <c r="D24" t="s">
        <v>259</v>
      </c>
      <c r="E24" t="s">
        <v>130</v>
      </c>
      <c r="F24" t="s">
        <v>15</v>
      </c>
      <c r="G24" t="s">
        <v>15</v>
      </c>
      <c r="H24" t="s">
        <v>15</v>
      </c>
      <c r="I24" t="s">
        <v>16</v>
      </c>
    </row>
    <row r="25" spans="1:9" ht="15">
      <c r="A25" t="s">
        <v>137</v>
      </c>
      <c r="B25" t="s">
        <v>182</v>
      </c>
      <c r="D25" t="s">
        <v>260</v>
      </c>
      <c r="E25" t="s">
        <v>131</v>
      </c>
      <c r="F25" t="s">
        <v>15</v>
      </c>
      <c r="G25" t="s">
        <v>16</v>
      </c>
      <c r="H25" t="s">
        <v>15</v>
      </c>
      <c r="I25" t="s">
        <v>16</v>
      </c>
    </row>
    <row r="26" spans="1:9" ht="15">
      <c r="A26" t="s">
        <v>137</v>
      </c>
      <c r="B26" t="s">
        <v>549</v>
      </c>
      <c r="D26" t="s">
        <v>462</v>
      </c>
      <c r="E26" t="s">
        <v>471</v>
      </c>
      <c r="F26" t="s">
        <v>15</v>
      </c>
      <c r="G26" t="s">
        <v>16</v>
      </c>
      <c r="H26" t="s">
        <v>15</v>
      </c>
      <c r="I26" t="s">
        <v>16</v>
      </c>
    </row>
    <row r="27" spans="1:9" ht="15">
      <c r="A27" t="s">
        <v>137</v>
      </c>
      <c r="B27" t="s">
        <v>183</v>
      </c>
      <c r="D27" t="s">
        <v>261</v>
      </c>
      <c r="E27" t="s">
        <v>132</v>
      </c>
      <c r="F27" t="s">
        <v>15</v>
      </c>
      <c r="G27" t="s">
        <v>16</v>
      </c>
      <c r="H27" t="s">
        <v>15</v>
      </c>
      <c r="I27" t="s">
        <v>16</v>
      </c>
    </row>
    <row r="28" spans="1:9" ht="15">
      <c r="A28" t="s">
        <v>137</v>
      </c>
      <c r="B28" t="s">
        <v>184</v>
      </c>
      <c r="D28" t="s">
        <v>262</v>
      </c>
      <c r="E28" t="s">
        <v>133</v>
      </c>
      <c r="F28" t="s">
        <v>15</v>
      </c>
      <c r="G28" t="s">
        <v>16</v>
      </c>
      <c r="H28" t="s">
        <v>15</v>
      </c>
      <c r="I28" t="s">
        <v>16</v>
      </c>
    </row>
    <row r="29" spans="1:9" ht="15">
      <c r="A29" t="s">
        <v>137</v>
      </c>
      <c r="B29" t="s">
        <v>185</v>
      </c>
      <c r="D29" t="s">
        <v>263</v>
      </c>
      <c r="E29" t="s">
        <v>134</v>
      </c>
      <c r="F29" t="s">
        <v>15</v>
      </c>
      <c r="G29" t="s">
        <v>16</v>
      </c>
      <c r="H29" t="s">
        <v>15</v>
      </c>
      <c r="I29" t="s">
        <v>16</v>
      </c>
    </row>
    <row r="30" spans="1:9" ht="15">
      <c r="A30" t="s">
        <v>137</v>
      </c>
      <c r="B30" t="s">
        <v>550</v>
      </c>
      <c r="D30" t="s">
        <v>264</v>
      </c>
      <c r="E30" t="s">
        <v>135</v>
      </c>
      <c r="F30" t="s">
        <v>15</v>
      </c>
      <c r="G30" t="s">
        <v>16</v>
      </c>
      <c r="H30" t="s">
        <v>15</v>
      </c>
      <c r="I30" t="s">
        <v>16</v>
      </c>
    </row>
    <row r="31" spans="1:9" ht="15">
      <c r="A31" t="s">
        <v>137</v>
      </c>
      <c r="B31" t="s">
        <v>186</v>
      </c>
      <c r="D31" t="s">
        <v>265</v>
      </c>
      <c r="E31" t="s">
        <v>136</v>
      </c>
      <c r="F31" t="s">
        <v>15</v>
      </c>
      <c r="G31" t="s">
        <v>16</v>
      </c>
      <c r="H31" t="s">
        <v>15</v>
      </c>
      <c r="I31" t="s">
        <v>16</v>
      </c>
    </row>
    <row r="32" spans="1:9" ht="15">
      <c r="A32" t="s">
        <v>137</v>
      </c>
      <c r="B32" t="s">
        <v>138</v>
      </c>
      <c r="D32" t="s">
        <v>266</v>
      </c>
      <c r="E32" t="s">
        <v>78</v>
      </c>
      <c r="F32" t="s">
        <v>15</v>
      </c>
      <c r="G32" t="s">
        <v>15</v>
      </c>
      <c r="H32" t="s">
        <v>15</v>
      </c>
      <c r="I32" t="s">
        <v>16</v>
      </c>
    </row>
    <row r="33" spans="1:9" ht="15">
      <c r="A33" t="s">
        <v>137</v>
      </c>
      <c r="B33" t="s">
        <v>139</v>
      </c>
      <c r="D33" t="s">
        <v>267</v>
      </c>
      <c r="E33" t="s">
        <v>79</v>
      </c>
      <c r="F33" t="s">
        <v>15</v>
      </c>
      <c r="G33" t="s">
        <v>16</v>
      </c>
      <c r="H33" t="s">
        <v>15</v>
      </c>
      <c r="I33" t="s">
        <v>16</v>
      </c>
    </row>
    <row r="34" spans="1:9" ht="15">
      <c r="A34" t="s">
        <v>137</v>
      </c>
      <c r="B34" t="s">
        <v>551</v>
      </c>
      <c r="D34" t="s">
        <v>463</v>
      </c>
      <c r="E34" t="s">
        <v>472</v>
      </c>
      <c r="F34" t="s">
        <v>15</v>
      </c>
      <c r="G34" t="s">
        <v>16</v>
      </c>
      <c r="H34" t="s">
        <v>15</v>
      </c>
      <c r="I34" t="s">
        <v>16</v>
      </c>
    </row>
    <row r="35" spans="1:9" ht="15">
      <c r="A35" t="s">
        <v>137</v>
      </c>
      <c r="B35" t="s">
        <v>140</v>
      </c>
      <c r="D35" t="s">
        <v>268</v>
      </c>
      <c r="E35" t="s">
        <v>80</v>
      </c>
      <c r="F35" t="s">
        <v>15</v>
      </c>
      <c r="G35" t="s">
        <v>16</v>
      </c>
      <c r="H35" t="s">
        <v>15</v>
      </c>
      <c r="I35" t="s">
        <v>16</v>
      </c>
    </row>
    <row r="36" spans="1:9" ht="15">
      <c r="A36" t="s">
        <v>137</v>
      </c>
      <c r="B36" t="s">
        <v>141</v>
      </c>
      <c r="D36" t="s">
        <v>269</v>
      </c>
      <c r="E36" t="s">
        <v>81</v>
      </c>
      <c r="F36" t="s">
        <v>15</v>
      </c>
      <c r="G36" t="s">
        <v>16</v>
      </c>
      <c r="H36" t="s">
        <v>15</v>
      </c>
      <c r="I36" t="s">
        <v>16</v>
      </c>
    </row>
    <row r="37" spans="1:9" ht="15">
      <c r="A37" t="s">
        <v>137</v>
      </c>
      <c r="B37" t="s">
        <v>142</v>
      </c>
      <c r="D37" t="s">
        <v>270</v>
      </c>
      <c r="E37" t="s">
        <v>82</v>
      </c>
      <c r="F37" t="s">
        <v>15</v>
      </c>
      <c r="G37" t="s">
        <v>16</v>
      </c>
      <c r="H37" t="s">
        <v>15</v>
      </c>
      <c r="I37" t="s">
        <v>16</v>
      </c>
    </row>
    <row r="38" spans="1:9" ht="15">
      <c r="A38" t="s">
        <v>137</v>
      </c>
      <c r="B38" t="s">
        <v>552</v>
      </c>
      <c r="D38" t="s">
        <v>271</v>
      </c>
      <c r="E38" t="s">
        <v>83</v>
      </c>
      <c r="F38" t="s">
        <v>15</v>
      </c>
      <c r="G38" t="s">
        <v>16</v>
      </c>
      <c r="H38" t="s">
        <v>15</v>
      </c>
      <c r="I38" t="s">
        <v>16</v>
      </c>
    </row>
    <row r="39" spans="1:9" ht="15">
      <c r="A39" t="s">
        <v>137</v>
      </c>
      <c r="B39" t="s">
        <v>143</v>
      </c>
      <c r="D39" t="s">
        <v>272</v>
      </c>
      <c r="E39" t="s">
        <v>84</v>
      </c>
      <c r="F39" t="s">
        <v>15</v>
      </c>
      <c r="G39" t="s">
        <v>16</v>
      </c>
      <c r="H39" t="s">
        <v>15</v>
      </c>
      <c r="I39" t="s">
        <v>16</v>
      </c>
    </row>
    <row r="40" spans="1:9" ht="15">
      <c r="A40" t="s">
        <v>137</v>
      </c>
      <c r="B40" t="s">
        <v>144</v>
      </c>
      <c r="D40" t="s">
        <v>273</v>
      </c>
      <c r="E40" t="s">
        <v>85</v>
      </c>
      <c r="F40" t="s">
        <v>15</v>
      </c>
      <c r="G40" t="s">
        <v>15</v>
      </c>
      <c r="H40" t="s">
        <v>15</v>
      </c>
      <c r="I40" t="s">
        <v>16</v>
      </c>
    </row>
    <row r="41" spans="1:9" ht="15">
      <c r="A41" t="s">
        <v>137</v>
      </c>
      <c r="B41" t="s">
        <v>145</v>
      </c>
      <c r="D41" t="s">
        <v>274</v>
      </c>
      <c r="E41" t="s">
        <v>86</v>
      </c>
      <c r="F41" t="s">
        <v>15</v>
      </c>
      <c r="G41" t="s">
        <v>16</v>
      </c>
      <c r="H41" t="s">
        <v>15</v>
      </c>
      <c r="I41" t="s">
        <v>16</v>
      </c>
    </row>
    <row r="42" spans="1:9" ht="15">
      <c r="A42" t="s">
        <v>137</v>
      </c>
      <c r="B42" t="s">
        <v>553</v>
      </c>
      <c r="D42" t="s">
        <v>464</v>
      </c>
      <c r="E42" t="s">
        <v>473</v>
      </c>
      <c r="F42" t="s">
        <v>15</v>
      </c>
      <c r="G42" t="s">
        <v>16</v>
      </c>
      <c r="H42" t="s">
        <v>15</v>
      </c>
      <c r="I42" t="s">
        <v>16</v>
      </c>
    </row>
    <row r="43" spans="1:9" ht="15">
      <c r="A43" t="s">
        <v>137</v>
      </c>
      <c r="B43" t="s">
        <v>146</v>
      </c>
      <c r="D43" t="s">
        <v>275</v>
      </c>
      <c r="E43" t="s">
        <v>87</v>
      </c>
      <c r="F43" t="s">
        <v>15</v>
      </c>
      <c r="G43" t="s">
        <v>16</v>
      </c>
      <c r="H43" t="s">
        <v>15</v>
      </c>
      <c r="I43" t="s">
        <v>16</v>
      </c>
    </row>
    <row r="44" spans="1:9" ht="15">
      <c r="A44" t="s">
        <v>137</v>
      </c>
      <c r="B44" t="s">
        <v>147</v>
      </c>
      <c r="D44" t="s">
        <v>276</v>
      </c>
      <c r="E44" t="s">
        <v>88</v>
      </c>
      <c r="F44" t="s">
        <v>15</v>
      </c>
      <c r="G44" t="s">
        <v>16</v>
      </c>
      <c r="H44" t="s">
        <v>15</v>
      </c>
      <c r="I44" t="s">
        <v>16</v>
      </c>
    </row>
    <row r="45" spans="1:9" ht="15">
      <c r="A45" t="s">
        <v>137</v>
      </c>
      <c r="B45" t="s">
        <v>148</v>
      </c>
      <c r="D45" t="s">
        <v>277</v>
      </c>
      <c r="E45" t="s">
        <v>89</v>
      </c>
      <c r="F45" t="s">
        <v>15</v>
      </c>
      <c r="G45" t="s">
        <v>16</v>
      </c>
      <c r="H45" t="s">
        <v>15</v>
      </c>
      <c r="I45" t="s">
        <v>16</v>
      </c>
    </row>
    <row r="46" spans="1:9" ht="15">
      <c r="A46" t="s">
        <v>137</v>
      </c>
      <c r="B46" t="s">
        <v>554</v>
      </c>
      <c r="D46" t="s">
        <v>278</v>
      </c>
      <c r="E46" t="s">
        <v>90</v>
      </c>
      <c r="F46" t="s">
        <v>15</v>
      </c>
      <c r="G46" t="s">
        <v>16</v>
      </c>
      <c r="H46" t="s">
        <v>15</v>
      </c>
      <c r="I46" t="s">
        <v>16</v>
      </c>
    </row>
    <row r="47" spans="1:9" ht="15">
      <c r="A47" t="s">
        <v>137</v>
      </c>
      <c r="B47" t="s">
        <v>149</v>
      </c>
      <c r="D47" t="s">
        <v>279</v>
      </c>
      <c r="E47" t="s">
        <v>91</v>
      </c>
      <c r="F47" t="s">
        <v>15</v>
      </c>
      <c r="G47" t="s">
        <v>16</v>
      </c>
      <c r="H47" t="s">
        <v>15</v>
      </c>
      <c r="I47" t="s">
        <v>16</v>
      </c>
    </row>
    <row r="48" spans="1:9" ht="15">
      <c r="A48" t="s">
        <v>137</v>
      </c>
      <c r="B48" t="s">
        <v>150</v>
      </c>
      <c r="D48" t="s">
        <v>280</v>
      </c>
      <c r="E48" t="s">
        <v>92</v>
      </c>
      <c r="F48" t="s">
        <v>15</v>
      </c>
      <c r="G48" t="s">
        <v>15</v>
      </c>
      <c r="H48" t="s">
        <v>15</v>
      </c>
      <c r="I48" t="s">
        <v>16</v>
      </c>
    </row>
    <row r="49" spans="1:9" ht="15">
      <c r="A49" t="s">
        <v>137</v>
      </c>
      <c r="B49" t="s">
        <v>151</v>
      </c>
      <c r="D49" t="s">
        <v>281</v>
      </c>
      <c r="E49" t="s">
        <v>93</v>
      </c>
      <c r="F49" t="s">
        <v>15</v>
      </c>
      <c r="G49" t="s">
        <v>16</v>
      </c>
      <c r="H49" t="s">
        <v>15</v>
      </c>
      <c r="I49" t="s">
        <v>16</v>
      </c>
    </row>
    <row r="50" spans="1:9" ht="15">
      <c r="A50" t="s">
        <v>137</v>
      </c>
      <c r="B50" t="s">
        <v>555</v>
      </c>
      <c r="D50" t="s">
        <v>465</v>
      </c>
      <c r="E50" t="s">
        <v>474</v>
      </c>
      <c r="F50" t="s">
        <v>15</v>
      </c>
      <c r="G50" t="s">
        <v>16</v>
      </c>
      <c r="H50" t="s">
        <v>15</v>
      </c>
      <c r="I50" t="s">
        <v>16</v>
      </c>
    </row>
    <row r="51" spans="1:9" ht="15">
      <c r="A51" t="s">
        <v>137</v>
      </c>
      <c r="B51" t="s">
        <v>152</v>
      </c>
      <c r="D51" t="s">
        <v>282</v>
      </c>
      <c r="E51" t="s">
        <v>94</v>
      </c>
      <c r="F51" t="s">
        <v>15</v>
      </c>
      <c r="G51" t="s">
        <v>16</v>
      </c>
      <c r="H51" t="s">
        <v>15</v>
      </c>
      <c r="I51" t="s">
        <v>16</v>
      </c>
    </row>
    <row r="52" spans="1:9" ht="15">
      <c r="A52" t="s">
        <v>137</v>
      </c>
      <c r="B52" t="s">
        <v>153</v>
      </c>
      <c r="D52" t="s">
        <v>283</v>
      </c>
      <c r="E52" t="s">
        <v>95</v>
      </c>
      <c r="F52" t="s">
        <v>15</v>
      </c>
      <c r="G52" t="s">
        <v>16</v>
      </c>
      <c r="H52" t="s">
        <v>15</v>
      </c>
      <c r="I52" t="s">
        <v>16</v>
      </c>
    </row>
    <row r="53" spans="1:9" ht="15">
      <c r="A53" t="s">
        <v>137</v>
      </c>
      <c r="B53" t="s">
        <v>154</v>
      </c>
      <c r="D53" t="s">
        <v>284</v>
      </c>
      <c r="E53" t="s">
        <v>96</v>
      </c>
      <c r="F53" t="s">
        <v>15</v>
      </c>
      <c r="G53" t="s">
        <v>16</v>
      </c>
      <c r="H53" t="s">
        <v>15</v>
      </c>
      <c r="I53" t="s">
        <v>16</v>
      </c>
    </row>
    <row r="54" spans="1:9" ht="15">
      <c r="A54" t="s">
        <v>137</v>
      </c>
      <c r="B54" t="s">
        <v>556</v>
      </c>
      <c r="D54" t="s">
        <v>285</v>
      </c>
      <c r="E54" t="s">
        <v>97</v>
      </c>
      <c r="F54" t="s">
        <v>15</v>
      </c>
      <c r="G54" t="s">
        <v>16</v>
      </c>
      <c r="H54" t="s">
        <v>15</v>
      </c>
      <c r="I54" t="s">
        <v>16</v>
      </c>
    </row>
    <row r="55" spans="1:9" ht="15">
      <c r="A55" t="s">
        <v>137</v>
      </c>
      <c r="B55" t="s">
        <v>155</v>
      </c>
      <c r="D55" t="s">
        <v>286</v>
      </c>
      <c r="E55" t="s">
        <v>98</v>
      </c>
      <c r="F55" t="s">
        <v>15</v>
      </c>
      <c r="G55" t="s">
        <v>16</v>
      </c>
      <c r="H55" t="s">
        <v>15</v>
      </c>
      <c r="I55" t="s">
        <v>16</v>
      </c>
    </row>
    <row r="56" spans="1:9" ht="15">
      <c r="A56" t="s">
        <v>137</v>
      </c>
      <c r="B56" t="s">
        <v>156</v>
      </c>
      <c r="D56" t="s">
        <v>287</v>
      </c>
      <c r="E56" t="s">
        <v>99</v>
      </c>
      <c r="F56" t="s">
        <v>15</v>
      </c>
      <c r="G56" t="s">
        <v>15</v>
      </c>
      <c r="H56" t="s">
        <v>15</v>
      </c>
      <c r="I56" t="s">
        <v>16</v>
      </c>
    </row>
    <row r="57" spans="1:9" ht="15">
      <c r="A57" t="s">
        <v>137</v>
      </c>
      <c r="B57" t="s">
        <v>157</v>
      </c>
      <c r="D57" t="s">
        <v>288</v>
      </c>
      <c r="E57" t="s">
        <v>100</v>
      </c>
      <c r="F57" t="s">
        <v>15</v>
      </c>
      <c r="G57" t="s">
        <v>16</v>
      </c>
      <c r="H57" t="s">
        <v>15</v>
      </c>
      <c r="I57" t="s">
        <v>16</v>
      </c>
    </row>
    <row r="58" spans="1:9" ht="15">
      <c r="A58" t="s">
        <v>137</v>
      </c>
      <c r="B58" t="s">
        <v>557</v>
      </c>
      <c r="D58" t="s">
        <v>466</v>
      </c>
      <c r="E58" t="s">
        <v>475</v>
      </c>
      <c r="F58" t="s">
        <v>15</v>
      </c>
      <c r="G58" t="s">
        <v>16</v>
      </c>
      <c r="H58" t="s">
        <v>15</v>
      </c>
      <c r="I58" t="s">
        <v>16</v>
      </c>
    </row>
    <row r="59" spans="1:9" ht="15">
      <c r="A59" t="s">
        <v>137</v>
      </c>
      <c r="B59" t="s">
        <v>158</v>
      </c>
      <c r="D59" t="s">
        <v>289</v>
      </c>
      <c r="E59" t="s">
        <v>101</v>
      </c>
      <c r="F59" t="s">
        <v>15</v>
      </c>
      <c r="G59" t="s">
        <v>16</v>
      </c>
      <c r="H59" t="s">
        <v>15</v>
      </c>
      <c r="I59" t="s">
        <v>16</v>
      </c>
    </row>
    <row r="60" spans="1:9" ht="15">
      <c r="A60" t="s">
        <v>137</v>
      </c>
      <c r="B60" t="s">
        <v>159</v>
      </c>
      <c r="D60" t="s">
        <v>290</v>
      </c>
      <c r="E60" t="s">
        <v>102</v>
      </c>
      <c r="F60" t="s">
        <v>15</v>
      </c>
      <c r="G60" t="s">
        <v>16</v>
      </c>
      <c r="H60" t="s">
        <v>15</v>
      </c>
      <c r="I60" t="s">
        <v>16</v>
      </c>
    </row>
    <row r="61" spans="1:9" ht="15">
      <c r="A61" t="s">
        <v>137</v>
      </c>
      <c r="B61" t="s">
        <v>160</v>
      </c>
      <c r="D61" t="s">
        <v>291</v>
      </c>
      <c r="E61" t="s">
        <v>103</v>
      </c>
      <c r="F61" t="s">
        <v>15</v>
      </c>
      <c r="G61" t="s">
        <v>16</v>
      </c>
      <c r="H61" t="s">
        <v>15</v>
      </c>
      <c r="I61" t="s">
        <v>16</v>
      </c>
    </row>
    <row r="62" spans="1:9" ht="15">
      <c r="A62" t="s">
        <v>137</v>
      </c>
      <c r="B62" t="s">
        <v>558</v>
      </c>
      <c r="D62" t="s">
        <v>292</v>
      </c>
      <c r="E62" t="s">
        <v>104</v>
      </c>
      <c r="F62" t="s">
        <v>15</v>
      </c>
      <c r="G62" t="s">
        <v>16</v>
      </c>
      <c r="H62" t="s">
        <v>15</v>
      </c>
      <c r="I62" t="s">
        <v>16</v>
      </c>
    </row>
    <row r="63" spans="1:9" ht="15">
      <c r="A63" t="s">
        <v>137</v>
      </c>
      <c r="B63" t="s">
        <v>161</v>
      </c>
      <c r="D63" t="s">
        <v>293</v>
      </c>
      <c r="E63" t="s">
        <v>105</v>
      </c>
      <c r="F63" t="s">
        <v>15</v>
      </c>
      <c r="G63" t="s">
        <v>16</v>
      </c>
      <c r="H63" t="s">
        <v>15</v>
      </c>
      <c r="I63" t="s">
        <v>16</v>
      </c>
    </row>
    <row r="64" spans="1:9" ht="15">
      <c r="A64" t="s">
        <v>137</v>
      </c>
      <c r="B64" t="s">
        <v>162</v>
      </c>
      <c r="D64" t="s">
        <v>294</v>
      </c>
      <c r="E64" t="s">
        <v>106</v>
      </c>
      <c r="F64" t="s">
        <v>15</v>
      </c>
      <c r="G64" t="s">
        <v>15</v>
      </c>
      <c r="H64" t="s">
        <v>15</v>
      </c>
      <c r="I64" t="s">
        <v>16</v>
      </c>
    </row>
    <row r="65" spans="1:9" ht="15">
      <c r="A65" t="s">
        <v>163</v>
      </c>
      <c r="B65" t="s">
        <v>164</v>
      </c>
      <c r="D65" t="s">
        <v>295</v>
      </c>
      <c r="E65" t="s">
        <v>107</v>
      </c>
      <c r="F65" t="s">
        <v>15</v>
      </c>
      <c r="G65" t="s">
        <v>16</v>
      </c>
      <c r="H65" t="s">
        <v>15</v>
      </c>
      <c r="I65" t="s">
        <v>16</v>
      </c>
    </row>
    <row r="66" spans="1:9" ht="15">
      <c r="A66" t="s">
        <v>163</v>
      </c>
      <c r="B66" t="s">
        <v>335</v>
      </c>
      <c r="D66" t="s">
        <v>329</v>
      </c>
      <c r="E66" t="s">
        <v>330</v>
      </c>
      <c r="F66" t="s">
        <v>15</v>
      </c>
      <c r="G66" t="s">
        <v>16</v>
      </c>
      <c r="H66" t="s">
        <v>15</v>
      </c>
      <c r="I66" t="s">
        <v>16</v>
      </c>
    </row>
    <row r="67" spans="1:9" ht="15">
      <c r="A67" t="s">
        <v>163</v>
      </c>
      <c r="B67" t="s">
        <v>559</v>
      </c>
      <c r="D67" t="s">
        <v>467</v>
      </c>
      <c r="E67" t="s">
        <v>476</v>
      </c>
      <c r="F67" t="s">
        <v>15</v>
      </c>
      <c r="G67" t="s">
        <v>16</v>
      </c>
      <c r="H67" t="s">
        <v>15</v>
      </c>
      <c r="I67" t="s">
        <v>16</v>
      </c>
    </row>
    <row r="68" spans="1:9" ht="15">
      <c r="A68" t="s">
        <v>163</v>
      </c>
      <c r="B68" t="s">
        <v>188</v>
      </c>
      <c r="D68" t="s">
        <v>331</v>
      </c>
      <c r="E68" t="s">
        <v>332</v>
      </c>
      <c r="F68" t="s">
        <v>15</v>
      </c>
      <c r="G68" t="s">
        <v>16</v>
      </c>
      <c r="H68" t="s">
        <v>15</v>
      </c>
      <c r="I68" t="s">
        <v>16</v>
      </c>
    </row>
    <row r="69" spans="1:9" ht="15">
      <c r="A69" t="s">
        <v>163</v>
      </c>
      <c r="B69" t="s">
        <v>187</v>
      </c>
      <c r="D69" t="s">
        <v>333</v>
      </c>
      <c r="E69" t="s">
        <v>334</v>
      </c>
      <c r="F69" t="s">
        <v>15</v>
      </c>
      <c r="G69" t="s">
        <v>16</v>
      </c>
      <c r="H69" t="s">
        <v>15</v>
      </c>
      <c r="I69" t="s">
        <v>16</v>
      </c>
    </row>
    <row r="70" spans="1:9" ht="15">
      <c r="A70" t="s">
        <v>163</v>
      </c>
      <c r="B70" t="s">
        <v>372</v>
      </c>
      <c r="D70" t="s">
        <v>374</v>
      </c>
      <c r="E70" t="s">
        <v>373</v>
      </c>
      <c r="F70" t="s">
        <v>15</v>
      </c>
      <c r="G70" t="s">
        <v>16</v>
      </c>
      <c r="H70" t="s">
        <v>15</v>
      </c>
      <c r="I70" t="s">
        <v>16</v>
      </c>
    </row>
    <row r="71" spans="1:9" ht="15">
      <c r="A71" t="s">
        <v>163</v>
      </c>
      <c r="B71" t="s">
        <v>528</v>
      </c>
      <c r="D71" t="s">
        <v>516</v>
      </c>
      <c r="E71" t="s">
        <v>517</v>
      </c>
      <c r="F71" t="s">
        <v>15</v>
      </c>
      <c r="G71" t="s">
        <v>16</v>
      </c>
      <c r="H71" t="s">
        <v>15</v>
      </c>
      <c r="I71" t="s">
        <v>16</v>
      </c>
    </row>
    <row r="72" spans="1:9" ht="15">
      <c r="A72" t="s">
        <v>163</v>
      </c>
      <c r="B72" t="s">
        <v>529</v>
      </c>
      <c r="D72" t="s">
        <v>518</v>
      </c>
      <c r="E72" t="s">
        <v>521</v>
      </c>
      <c r="F72" t="s">
        <v>15</v>
      </c>
      <c r="G72" t="s">
        <v>16</v>
      </c>
      <c r="H72" t="s">
        <v>15</v>
      </c>
      <c r="I72" t="s">
        <v>16</v>
      </c>
    </row>
    <row r="73" spans="1:9" ht="15">
      <c r="A73" t="s">
        <v>163</v>
      </c>
      <c r="B73" t="s">
        <v>530</v>
      </c>
      <c r="D73" t="s">
        <v>519</v>
      </c>
      <c r="E73" t="s">
        <v>520</v>
      </c>
      <c r="F73" t="s">
        <v>15</v>
      </c>
      <c r="G73" t="s">
        <v>16</v>
      </c>
      <c r="H73" t="s">
        <v>15</v>
      </c>
      <c r="I73" t="s">
        <v>16</v>
      </c>
    </row>
    <row r="74" spans="1:9" ht="15">
      <c r="A74" t="s">
        <v>163</v>
      </c>
      <c r="B74" t="s">
        <v>536</v>
      </c>
      <c r="D74" t="s">
        <v>522</v>
      </c>
      <c r="E74" t="s">
        <v>523</v>
      </c>
      <c r="F74" t="s">
        <v>15</v>
      </c>
      <c r="G74" t="s">
        <v>16</v>
      </c>
      <c r="H74" t="s">
        <v>15</v>
      </c>
      <c r="I74" t="s">
        <v>16</v>
      </c>
    </row>
    <row r="75" spans="1:9" ht="15">
      <c r="A75" t="s">
        <v>163</v>
      </c>
      <c r="B75" t="s">
        <v>542</v>
      </c>
      <c r="D75" t="s">
        <v>539</v>
      </c>
      <c r="E75" t="s">
        <v>538</v>
      </c>
      <c r="F75" t="s">
        <v>15</v>
      </c>
      <c r="G75" t="s">
        <v>16</v>
      </c>
      <c r="H75" t="s">
        <v>15</v>
      </c>
      <c r="I75" t="s">
        <v>16</v>
      </c>
    </row>
    <row r="76" spans="1:9" ht="15">
      <c r="A76" t="s">
        <v>163</v>
      </c>
      <c r="B76" t="s">
        <v>537</v>
      </c>
      <c r="D76" t="s">
        <v>540</v>
      </c>
      <c r="E76" t="s">
        <v>541</v>
      </c>
      <c r="F76" t="s">
        <v>15</v>
      </c>
      <c r="G76" t="s">
        <v>16</v>
      </c>
      <c r="H76" t="s">
        <v>15</v>
      </c>
      <c r="I76" t="s">
        <v>16</v>
      </c>
    </row>
    <row r="77" spans="1:9" ht="15">
      <c r="A77" t="s">
        <v>163</v>
      </c>
      <c r="B77" t="s">
        <v>531</v>
      </c>
      <c r="D77" t="s">
        <v>524</v>
      </c>
      <c r="E77" t="s">
        <v>526</v>
      </c>
      <c r="F77" t="s">
        <v>15</v>
      </c>
      <c r="G77" t="s">
        <v>16</v>
      </c>
      <c r="H77" t="s">
        <v>15</v>
      </c>
      <c r="I77" t="s">
        <v>16</v>
      </c>
    </row>
    <row r="78" spans="1:9" ht="15">
      <c r="A78" t="s">
        <v>163</v>
      </c>
      <c r="B78" t="s">
        <v>532</v>
      </c>
      <c r="D78" t="s">
        <v>525</v>
      </c>
      <c r="E78" t="s">
        <v>527</v>
      </c>
      <c r="F78" t="s">
        <v>15</v>
      </c>
      <c r="G78" t="s">
        <v>16</v>
      </c>
      <c r="H78" t="s">
        <v>15</v>
      </c>
      <c r="I78" t="s">
        <v>16</v>
      </c>
    </row>
    <row r="79" spans="1:9" ht="15">
      <c r="A79" t="s">
        <v>163</v>
      </c>
      <c r="B79" t="s">
        <v>533</v>
      </c>
      <c r="D79" t="s">
        <v>534</v>
      </c>
      <c r="E79" t="s">
        <v>535</v>
      </c>
      <c r="F79" t="s">
        <v>15</v>
      </c>
      <c r="G79" t="s">
        <v>16</v>
      </c>
      <c r="H79" t="s">
        <v>15</v>
      </c>
      <c r="I79" t="s">
        <v>16</v>
      </c>
    </row>
    <row r="80" spans="1:9" ht="15">
      <c r="A80" t="s">
        <v>163</v>
      </c>
      <c r="B80" t="s">
        <v>670</v>
      </c>
      <c r="D80" t="s">
        <v>673</v>
      </c>
      <c r="E80" t="s">
        <v>676</v>
      </c>
      <c r="F80" t="s">
        <v>15</v>
      </c>
      <c r="G80" t="s">
        <v>16</v>
      </c>
      <c r="H80" t="s">
        <v>15</v>
      </c>
      <c r="I80" t="s">
        <v>16</v>
      </c>
    </row>
    <row r="81" spans="1:9" ht="15">
      <c r="A81" t="s">
        <v>163</v>
      </c>
      <c r="B81" t="s">
        <v>671</v>
      </c>
      <c r="D81" t="s">
        <v>674</v>
      </c>
      <c r="E81" t="s">
        <v>677</v>
      </c>
      <c r="F81" t="s">
        <v>15</v>
      </c>
      <c r="G81" t="s">
        <v>16</v>
      </c>
      <c r="H81" t="s">
        <v>15</v>
      </c>
      <c r="I81" t="s">
        <v>16</v>
      </c>
    </row>
    <row r="82" spans="1:9" ht="15">
      <c r="A82" t="s">
        <v>163</v>
      </c>
      <c r="B82" t="s">
        <v>672</v>
      </c>
      <c r="D82" t="s">
        <v>675</v>
      </c>
      <c r="E82" t="s">
        <v>678</v>
      </c>
      <c r="F82" t="s">
        <v>15</v>
      </c>
      <c r="G82" t="s">
        <v>16</v>
      </c>
      <c r="H82" t="s">
        <v>15</v>
      </c>
      <c r="I82" t="s">
        <v>16</v>
      </c>
    </row>
    <row r="83" spans="1:9" ht="15">
      <c r="A83" t="s">
        <v>163</v>
      </c>
      <c r="B83" t="s">
        <v>679</v>
      </c>
      <c r="D83" t="s">
        <v>680</v>
      </c>
      <c r="E83" t="s">
        <v>681</v>
      </c>
      <c r="F83" t="s">
        <v>15</v>
      </c>
      <c r="G83" t="s">
        <v>16</v>
      </c>
      <c r="H83" t="s">
        <v>15</v>
      </c>
      <c r="I8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D40ADC-D5CC-4772-80B1-A116F59E0A06}">
  <sheetPr codeName="Sheet2">
    <tabColor rgb="FF92D050"/>
  </sheetPr>
  <dimension ref="A1:L20"/>
  <sheetViews>
    <sheetView workbookViewId="0" topLeftCell="A1">
      <selection pane="topLeft" activeCell="B19" sqref="B19"/>
    </sheetView>
  </sheetViews>
  <sheetFormatPr defaultRowHeight="15"/>
  <cols>
    <col min="6" max="6" width="19.4285714285714" bestFit="1" customWidth="1"/>
    <col min="7" max="7" width="40.4285714285714" bestFit="1" customWidth="1"/>
  </cols>
  <sheetData>
    <row r="1" spans="1:1" ht="15">
      <c r="A1" t="s">
        <v>0</v>
      </c>
    </row>
    <row r="2" spans="1:12" ht="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1" ht="15">
      <c r="A3" t="s">
        <v>191</v>
      </c>
      <c r="B3" t="s">
        <v>328</v>
      </c>
      <c r="F3" t="s">
        <v>326</v>
      </c>
      <c r="G3" t="s">
        <v>327</v>
      </c>
      <c r="H3" t="s">
        <v>15</v>
      </c>
      <c r="I3" t="s">
        <v>16</v>
      </c>
      <c r="J3" t="s">
        <v>15</v>
      </c>
      <c r="K3" t="s">
        <v>16</v>
      </c>
    </row>
    <row r="4" spans="1:11" ht="15">
      <c r="A4" t="s">
        <v>191</v>
      </c>
      <c r="B4" t="s">
        <v>382</v>
      </c>
      <c r="F4" t="s">
        <v>375</v>
      </c>
      <c r="G4" t="s">
        <v>376</v>
      </c>
      <c r="H4" t="s">
        <v>15</v>
      </c>
      <c r="I4" t="s">
        <v>16</v>
      </c>
      <c r="J4" t="s">
        <v>15</v>
      </c>
      <c r="K4" t="s">
        <v>16</v>
      </c>
    </row>
    <row r="5" spans="1:11" ht="15">
      <c r="A5" t="s">
        <v>191</v>
      </c>
      <c r="B5" t="s">
        <v>377</v>
      </c>
      <c r="F5" t="s">
        <v>378</v>
      </c>
      <c r="G5" t="s">
        <v>380</v>
      </c>
      <c r="H5" t="s">
        <v>15</v>
      </c>
      <c r="I5" t="s">
        <v>16</v>
      </c>
      <c r="J5" t="s">
        <v>15</v>
      </c>
      <c r="K5" t="s">
        <v>16</v>
      </c>
    </row>
    <row r="6" spans="1:11" ht="15">
      <c r="A6" t="s">
        <v>191</v>
      </c>
      <c r="B6" t="s">
        <v>383</v>
      </c>
      <c r="F6" t="s">
        <v>379</v>
      </c>
      <c r="G6" t="s">
        <v>381</v>
      </c>
      <c r="H6" t="s">
        <v>15</v>
      </c>
      <c r="I6" t="s">
        <v>16</v>
      </c>
      <c r="J6" t="s">
        <v>15</v>
      </c>
      <c r="K6" t="s">
        <v>16</v>
      </c>
    </row>
    <row r="7" spans="2:11" ht="15">
      <c r="B7" t="s">
        <v>348</v>
      </c>
      <c r="F7" t="s">
        <v>296</v>
      </c>
      <c r="G7" t="s">
        <v>39</v>
      </c>
      <c r="H7" t="s">
        <v>15</v>
      </c>
      <c r="I7" t="s">
        <v>16</v>
      </c>
      <c r="J7" t="s">
        <v>15</v>
      </c>
      <c r="K7" t="s">
        <v>16</v>
      </c>
    </row>
    <row r="8" spans="2:11" ht="15">
      <c r="B8" t="s">
        <v>543</v>
      </c>
      <c r="F8" t="s">
        <v>457</v>
      </c>
      <c r="G8" t="s">
        <v>458</v>
      </c>
      <c r="H8" t="s">
        <v>15</v>
      </c>
      <c r="I8" t="s">
        <v>16</v>
      </c>
      <c r="J8" t="s">
        <v>15</v>
      </c>
      <c r="K8" t="s">
        <v>16</v>
      </c>
    </row>
    <row r="9" spans="2:11" ht="15">
      <c r="B9" t="s">
        <v>244</v>
      </c>
      <c r="F9" t="s">
        <v>297</v>
      </c>
      <c r="G9" t="s">
        <v>40</v>
      </c>
      <c r="H9" t="s">
        <v>15</v>
      </c>
      <c r="I9" t="s">
        <v>16</v>
      </c>
      <c r="J9" t="s">
        <v>15</v>
      </c>
      <c r="K9" t="s">
        <v>16</v>
      </c>
    </row>
    <row r="10" spans="2:11" ht="15">
      <c r="B10" t="s">
        <v>58</v>
      </c>
      <c r="F10" t="s">
        <v>298</v>
      </c>
      <c r="G10" t="s">
        <v>41</v>
      </c>
      <c r="H10" t="s">
        <v>15</v>
      </c>
      <c r="I10" t="s">
        <v>16</v>
      </c>
      <c r="J10" t="s">
        <v>15</v>
      </c>
      <c r="K10" t="s">
        <v>16</v>
      </c>
    </row>
    <row r="11" spans="2:11" ht="15">
      <c r="B11" t="s">
        <v>59</v>
      </c>
      <c r="F11" t="s">
        <v>299</v>
      </c>
      <c r="G11" t="s">
        <v>42</v>
      </c>
      <c r="H11" t="s">
        <v>15</v>
      </c>
      <c r="I11" t="s">
        <v>16</v>
      </c>
      <c r="J11" t="s">
        <v>15</v>
      </c>
      <c r="K11" t="s">
        <v>16</v>
      </c>
    </row>
    <row r="12" spans="2:11" ht="15">
      <c r="B12" t="s">
        <v>60</v>
      </c>
      <c r="F12" t="s">
        <v>300</v>
      </c>
      <c r="G12" t="s">
        <v>43</v>
      </c>
      <c r="H12" t="s">
        <v>15</v>
      </c>
      <c r="I12" t="s">
        <v>16</v>
      </c>
      <c r="J12" t="s">
        <v>15</v>
      </c>
      <c r="K12" t="s">
        <v>16</v>
      </c>
    </row>
    <row r="13" spans="2:11" ht="15">
      <c r="B13" t="s">
        <v>61</v>
      </c>
      <c r="F13" t="s">
        <v>301</v>
      </c>
      <c r="G13" t="s">
        <v>44</v>
      </c>
      <c r="H13" t="s">
        <v>15</v>
      </c>
      <c r="I13" t="s">
        <v>16</v>
      </c>
      <c r="J13" t="s">
        <v>15</v>
      </c>
      <c r="K13" t="s">
        <v>16</v>
      </c>
    </row>
    <row r="14" spans="2:11" ht="15">
      <c r="B14" t="s">
        <v>630</v>
      </c>
      <c r="F14" t="s">
        <v>612</v>
      </c>
      <c r="G14" t="s">
        <v>619</v>
      </c>
      <c r="H14" t="s">
        <v>15</v>
      </c>
      <c r="I14" t="s">
        <v>16</v>
      </c>
      <c r="J14" t="s">
        <v>15</v>
      </c>
      <c r="K14" t="s">
        <v>16</v>
      </c>
    </row>
    <row r="15" spans="2:11" ht="15">
      <c r="B15" t="s">
        <v>628</v>
      </c>
      <c r="F15" t="s">
        <v>613</v>
      </c>
      <c r="G15" t="s">
        <v>620</v>
      </c>
      <c r="H15" t="s">
        <v>15</v>
      </c>
      <c r="I15" t="s">
        <v>16</v>
      </c>
      <c r="J15" t="s">
        <v>15</v>
      </c>
      <c r="K15" t="s">
        <v>16</v>
      </c>
    </row>
    <row r="16" spans="1:11" ht="15">
      <c r="A16" s="3" t="s">
        <v>325</v>
      </c>
      <c r="B16" t="s">
        <v>682</v>
      </c>
      <c r="F16" t="s">
        <v>614</v>
      </c>
      <c r="G16" t="s">
        <v>621</v>
      </c>
      <c r="H16" t="s">
        <v>15</v>
      </c>
      <c r="I16" t="s">
        <v>16</v>
      </c>
      <c r="J16" t="s">
        <v>15</v>
      </c>
      <c r="K16" t="s">
        <v>16</v>
      </c>
    </row>
    <row r="17" spans="2:11" ht="15">
      <c r="B17" t="s">
        <v>627</v>
      </c>
      <c r="F17" t="s">
        <v>615</v>
      </c>
      <c r="G17" t="s">
        <v>622</v>
      </c>
      <c r="H17" t="s">
        <v>15</v>
      </c>
      <c r="I17" t="s">
        <v>16</v>
      </c>
      <c r="J17" t="s">
        <v>15</v>
      </c>
      <c r="K17" t="s">
        <v>16</v>
      </c>
    </row>
    <row r="18" spans="2:11" ht="15">
      <c r="B18" t="s">
        <v>626</v>
      </c>
      <c r="F18" t="s">
        <v>616</v>
      </c>
      <c r="G18" t="s">
        <v>623</v>
      </c>
      <c r="H18" t="s">
        <v>15</v>
      </c>
      <c r="I18" t="s">
        <v>16</v>
      </c>
      <c r="J18" t="s">
        <v>15</v>
      </c>
      <c r="K18" t="s">
        <v>16</v>
      </c>
    </row>
    <row r="19" spans="2:11" ht="15">
      <c r="B19" t="s">
        <v>683</v>
      </c>
      <c r="F19" t="s">
        <v>617</v>
      </c>
      <c r="G19" t="s">
        <v>624</v>
      </c>
      <c r="H19" t="s">
        <v>15</v>
      </c>
      <c r="I19" t="s">
        <v>16</v>
      </c>
      <c r="J19" t="s">
        <v>15</v>
      </c>
      <c r="K19" t="s">
        <v>16</v>
      </c>
    </row>
    <row r="20" spans="1:11" ht="15">
      <c r="A20" s="3" t="s">
        <v>325</v>
      </c>
      <c r="B20" t="s">
        <v>629</v>
      </c>
      <c r="F20" t="s">
        <v>618</v>
      </c>
      <c r="G20" t="s">
        <v>625</v>
      </c>
      <c r="H20" t="s">
        <v>15</v>
      </c>
      <c r="I20" t="s">
        <v>16</v>
      </c>
      <c r="J20" t="s">
        <v>15</v>
      </c>
      <c r="K20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231217-6A54-4B12-AA31-B59CB94B1CCE}">
  <sheetPr codeName="Sheet3">
    <tabColor rgb="FF92D050"/>
  </sheetPr>
  <dimension ref="A1:P36"/>
  <sheetViews>
    <sheetView workbookViewId="0" topLeftCell="A13">
      <selection pane="topLeft" activeCell="F17" sqref="F17"/>
    </sheetView>
  </sheetViews>
  <sheetFormatPr defaultRowHeight="15"/>
  <cols>
    <col min="6" max="6" width="19.4285714285714" bestFit="1" customWidth="1"/>
    <col min="7" max="7" width="40.4285714285714" bestFit="1" customWidth="1"/>
  </cols>
  <sheetData>
    <row r="1" spans="1:1" ht="15">
      <c r="A1" t="s">
        <v>0</v>
      </c>
    </row>
    <row r="2" spans="1:12" ht="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1" ht="15">
      <c r="A3" t="s">
        <v>669</v>
      </c>
      <c r="B3" t="s">
        <v>205</v>
      </c>
      <c r="F3" t="s">
        <v>206</v>
      </c>
      <c r="G3" t="s">
        <v>207</v>
      </c>
      <c r="H3" t="s">
        <v>15</v>
      </c>
      <c r="I3" t="s">
        <v>16</v>
      </c>
      <c r="J3" t="s">
        <v>15</v>
      </c>
      <c r="K3" t="s">
        <v>16</v>
      </c>
    </row>
    <row r="4" spans="1:11" ht="15">
      <c r="A4" t="s">
        <v>669</v>
      </c>
      <c r="B4" t="s">
        <v>208</v>
      </c>
      <c r="F4" t="s">
        <v>209</v>
      </c>
      <c r="G4" t="s">
        <v>210</v>
      </c>
      <c r="H4" t="s">
        <v>15</v>
      </c>
      <c r="I4" t="s">
        <v>16</v>
      </c>
      <c r="J4" t="s">
        <v>15</v>
      </c>
      <c r="K4" t="s">
        <v>16</v>
      </c>
    </row>
    <row r="5" spans="1:11" ht="15">
      <c r="A5" t="s">
        <v>669</v>
      </c>
      <c r="B5" t="s">
        <v>211</v>
      </c>
      <c r="F5" t="s">
        <v>212</v>
      </c>
      <c r="G5" t="s">
        <v>213</v>
      </c>
      <c r="H5" t="s">
        <v>15</v>
      </c>
      <c r="I5" t="s">
        <v>16</v>
      </c>
      <c r="J5" t="s">
        <v>15</v>
      </c>
      <c r="K5" t="s">
        <v>16</v>
      </c>
    </row>
    <row r="6" spans="1:11" ht="15">
      <c r="A6" t="s">
        <v>669</v>
      </c>
      <c r="B6" t="s">
        <v>214</v>
      </c>
      <c r="F6" t="s">
        <v>215</v>
      </c>
      <c r="G6" t="s">
        <v>216</v>
      </c>
      <c r="H6" t="s">
        <v>15</v>
      </c>
      <c r="I6" t="s">
        <v>16</v>
      </c>
      <c r="J6" t="s">
        <v>15</v>
      </c>
      <c r="K6" t="s">
        <v>16</v>
      </c>
    </row>
    <row r="7" spans="1:11" ht="15">
      <c r="A7" t="s">
        <v>669</v>
      </c>
      <c r="B7" t="s">
        <v>217</v>
      </c>
      <c r="F7" t="s">
        <v>218</v>
      </c>
      <c r="G7" t="s">
        <v>219</v>
      </c>
      <c r="H7" t="s">
        <v>15</v>
      </c>
      <c r="I7" t="s">
        <v>16</v>
      </c>
      <c r="J7" t="s">
        <v>15</v>
      </c>
      <c r="K7" t="s">
        <v>16</v>
      </c>
    </row>
    <row r="8" spans="1:11" ht="15">
      <c r="A8" t="s">
        <v>669</v>
      </c>
      <c r="B8" t="s">
        <v>220</v>
      </c>
      <c r="F8" t="s">
        <v>221</v>
      </c>
      <c r="G8" t="s">
        <v>222</v>
      </c>
      <c r="H8" t="s">
        <v>15</v>
      </c>
      <c r="I8" t="s">
        <v>16</v>
      </c>
      <c r="J8" t="s">
        <v>15</v>
      </c>
      <c r="K8" t="s">
        <v>16</v>
      </c>
    </row>
    <row r="9" spans="1:11" ht="15">
      <c r="A9" t="s">
        <v>669</v>
      </c>
      <c r="B9" t="s">
        <v>223</v>
      </c>
      <c r="F9" t="s">
        <v>224</v>
      </c>
      <c r="G9" t="s">
        <v>225</v>
      </c>
      <c r="H9" t="s">
        <v>15</v>
      </c>
      <c r="I9" t="s">
        <v>16</v>
      </c>
      <c r="J9" t="s">
        <v>15</v>
      </c>
      <c r="K9" t="s">
        <v>16</v>
      </c>
    </row>
    <row r="10" spans="1:11" ht="15">
      <c r="A10" t="s">
        <v>669</v>
      </c>
      <c r="B10" t="s">
        <v>226</v>
      </c>
      <c r="F10" t="s">
        <v>227</v>
      </c>
      <c r="G10" t="s">
        <v>228</v>
      </c>
      <c r="H10" t="s">
        <v>15</v>
      </c>
      <c r="I10" t="s">
        <v>16</v>
      </c>
      <c r="J10" t="s">
        <v>15</v>
      </c>
      <c r="K10" t="s">
        <v>16</v>
      </c>
    </row>
    <row r="11" spans="1:11" ht="15">
      <c r="A11" t="s">
        <v>669</v>
      </c>
      <c r="B11" t="s">
        <v>229</v>
      </c>
      <c r="F11" t="s">
        <v>230</v>
      </c>
      <c r="G11" t="s">
        <v>231</v>
      </c>
      <c r="H11" t="s">
        <v>15</v>
      </c>
      <c r="I11" t="s">
        <v>16</v>
      </c>
      <c r="J11" t="s">
        <v>15</v>
      </c>
      <c r="K11" t="s">
        <v>16</v>
      </c>
    </row>
    <row r="12" spans="1:11" ht="15">
      <c r="A12" t="s">
        <v>669</v>
      </c>
      <c r="B12" t="s">
        <v>232</v>
      </c>
      <c r="F12" t="s">
        <v>233</v>
      </c>
      <c r="G12" t="s">
        <v>234</v>
      </c>
      <c r="H12" t="s">
        <v>15</v>
      </c>
      <c r="I12" t="s">
        <v>16</v>
      </c>
      <c r="J12" t="s">
        <v>15</v>
      </c>
      <c r="K12" t="s">
        <v>16</v>
      </c>
    </row>
    <row r="13" spans="1:11" ht="15">
      <c r="A13" t="s">
        <v>669</v>
      </c>
      <c r="B13" t="s">
        <v>235</v>
      </c>
      <c r="F13" t="s">
        <v>236</v>
      </c>
      <c r="G13" t="s">
        <v>237</v>
      </c>
      <c r="H13" t="s">
        <v>15</v>
      </c>
      <c r="I13" t="s">
        <v>16</v>
      </c>
      <c r="J13" t="s">
        <v>15</v>
      </c>
      <c r="K13" t="s">
        <v>16</v>
      </c>
    </row>
    <row r="14" spans="1:11" ht="15">
      <c r="A14" t="s">
        <v>669</v>
      </c>
      <c r="B14" t="s">
        <v>238</v>
      </c>
      <c r="F14" t="s">
        <v>239</v>
      </c>
      <c r="G14" t="s">
        <v>240</v>
      </c>
      <c r="H14" t="s">
        <v>15</v>
      </c>
      <c r="I14" t="s">
        <v>16</v>
      </c>
      <c r="J14" t="s">
        <v>15</v>
      </c>
      <c r="K14" t="s">
        <v>16</v>
      </c>
    </row>
    <row r="15" spans="1:11" ht="15">
      <c r="A15" t="s">
        <v>669</v>
      </c>
      <c r="B15" t="s">
        <v>241</v>
      </c>
      <c r="F15" t="s">
        <v>242</v>
      </c>
      <c r="G15" t="s">
        <v>243</v>
      </c>
      <c r="H15" t="s">
        <v>15</v>
      </c>
      <c r="I15" t="s">
        <v>16</v>
      </c>
      <c r="J15" t="s">
        <v>15</v>
      </c>
      <c r="K15" t="s">
        <v>16</v>
      </c>
    </row>
    <row r="16" spans="1:11" ht="15">
      <c r="A16" t="s">
        <v>669</v>
      </c>
      <c r="B16" t="s">
        <v>345</v>
      </c>
      <c r="F16" t="s">
        <v>346</v>
      </c>
      <c r="G16" t="s">
        <v>347</v>
      </c>
      <c r="H16" t="s">
        <v>15</v>
      </c>
      <c r="I16" t="s">
        <v>16</v>
      </c>
      <c r="J16" t="s">
        <v>15</v>
      </c>
      <c r="K16" t="s">
        <v>16</v>
      </c>
    </row>
    <row r="17" spans="1:16" ht="15">
      <c r="A17" t="s">
        <v>45</v>
      </c>
      <c r="B17" t="str">
        <f>+LEFT(O17,1)&amp;"-DMD-"&amp;RIGHT(O17,3)&amp;"*"</f>
        <v>I-DMD-CEM*</v>
      </c>
      <c r="F17" t="str">
        <f>"DMD_IND-"&amp;RIGHT(O17,3)</f>
        <v>DMD_IND-CEM</v>
      </c>
      <c r="G17" t="str">
        <f>"Industry - "&amp;P17</f>
        <v>Industry - Cement</v>
      </c>
      <c r="H17" t="s">
        <v>15</v>
      </c>
      <c r="I17" t="s">
        <v>16</v>
      </c>
      <c r="J17" t="s">
        <v>15</v>
      </c>
      <c r="K17" t="s">
        <v>16</v>
      </c>
      <c r="O17" t="s">
        <v>649</v>
      </c>
      <c r="P17" t="s">
        <v>650</v>
      </c>
    </row>
    <row r="18" spans="1:16" ht="15">
      <c r="A18" t="s">
        <v>45</v>
      </c>
      <c r="B18" t="str">
        <f t="shared" si="0" ref="B18:B26">+LEFT(O18,1)&amp;"-DMD-"&amp;RIGHT(O18,3)&amp;"*"</f>
        <v>I-DMD-CAF*</v>
      </c>
      <c r="F18" t="str">
        <f t="shared" si="1" ref="F18:F26">"DMD_IND-"&amp;RIGHT(O18,3)</f>
        <v>DMD_IND-CAF</v>
      </c>
      <c r="G18" t="str">
        <f t="shared" si="2" ref="G18:G26">"Industry - "&amp;P18</f>
        <v>Industry - Chemicals</v>
      </c>
      <c r="H18" t="s">
        <v>15</v>
      </c>
      <c r="I18" t="s">
        <v>16</v>
      </c>
      <c r="J18" t="s">
        <v>15</v>
      </c>
      <c r="K18" t="s">
        <v>16</v>
      </c>
      <c r="O18" t="s">
        <v>651</v>
      </c>
      <c r="P18" t="s">
        <v>652</v>
      </c>
    </row>
    <row r="19" spans="1:16" ht="15">
      <c r="A19" t="s">
        <v>45</v>
      </c>
      <c r="B19" t="str">
        <f t="shared" si="0"/>
        <v>I-DMD-FAP*</v>
      </c>
      <c r="F19" t="str">
        <f t="shared" si="1"/>
        <v>DMD_IND-FAP</v>
      </c>
      <c r="G19" t="str">
        <f t="shared" si="2"/>
        <v>Industry - Food and Drink</v>
      </c>
      <c r="H19" t="s">
        <v>15</v>
      </c>
      <c r="I19" t="s">
        <v>16</v>
      </c>
      <c r="J19" t="s">
        <v>15</v>
      </c>
      <c r="K19" t="s">
        <v>16</v>
      </c>
      <c r="O19" t="s">
        <v>653</v>
      </c>
      <c r="P19" t="s">
        <v>654</v>
      </c>
    </row>
    <row r="20" spans="1:16" ht="15">
      <c r="A20" t="s">
        <v>45</v>
      </c>
      <c r="B20" t="str">
        <f t="shared" si="0"/>
        <v>I-DMD-LIM*</v>
      </c>
      <c r="F20" t="str">
        <f t="shared" si="1"/>
        <v>DMD_IND-LIM</v>
      </c>
      <c r="G20" t="str">
        <f t="shared" si="2"/>
        <v>Industry - Lime</v>
      </c>
      <c r="H20" t="s">
        <v>15</v>
      </c>
      <c r="I20" t="s">
        <v>16</v>
      </c>
      <c r="J20" t="s">
        <v>15</v>
      </c>
      <c r="K20" t="s">
        <v>16</v>
      </c>
      <c r="O20" t="s">
        <v>655</v>
      </c>
      <c r="P20" t="s">
        <v>656</v>
      </c>
    </row>
    <row r="21" spans="1:16" ht="15">
      <c r="A21" t="s">
        <v>45</v>
      </c>
      <c r="B21" t="str">
        <f t="shared" si="0"/>
        <v>I-DMD-MAP*</v>
      </c>
      <c r="F21" t="str">
        <f t="shared" si="1"/>
        <v>DMD_IND-MAP</v>
      </c>
      <c r="G21" t="str">
        <f t="shared" si="2"/>
        <v>Industry - Metals</v>
      </c>
      <c r="H21" t="s">
        <v>15</v>
      </c>
      <c r="I21" t="s">
        <v>16</v>
      </c>
      <c r="J21" t="s">
        <v>15</v>
      </c>
      <c r="K21" t="s">
        <v>16</v>
      </c>
      <c r="O21" t="s">
        <v>657</v>
      </c>
      <c r="P21" t="s">
        <v>658</v>
      </c>
    </row>
    <row r="22" spans="1:16" ht="15">
      <c r="A22" t="s">
        <v>45</v>
      </c>
      <c r="B22" t="str">
        <f t="shared" si="0"/>
        <v>I-DMD-OMA*</v>
      </c>
      <c r="F22" t="str">
        <f t="shared" si="1"/>
        <v>DMD_IND-OMA</v>
      </c>
      <c r="G22" t="str">
        <f t="shared" si="2"/>
        <v>Industry - Other Industry</v>
      </c>
      <c r="H22" t="s">
        <v>15</v>
      </c>
      <c r="I22" t="s">
        <v>16</v>
      </c>
      <c r="J22" t="s">
        <v>15</v>
      </c>
      <c r="K22" t="s">
        <v>16</v>
      </c>
      <c r="O22" t="s">
        <v>659</v>
      </c>
      <c r="P22" t="s">
        <v>660</v>
      </c>
    </row>
    <row r="23" spans="1:16" ht="15">
      <c r="A23" t="s">
        <v>45</v>
      </c>
      <c r="B23" t="str">
        <f t="shared" si="0"/>
        <v>I-DMD-ONM*</v>
      </c>
      <c r="F23" t="str">
        <f t="shared" si="1"/>
        <v>DMD_IND-ONM</v>
      </c>
      <c r="G23" t="str">
        <f t="shared" si="2"/>
        <v>Industry - Other Minerals</v>
      </c>
      <c r="H23" t="s">
        <v>15</v>
      </c>
      <c r="I23" t="s">
        <v>16</v>
      </c>
      <c r="J23" t="s">
        <v>15</v>
      </c>
      <c r="K23" t="s">
        <v>16</v>
      </c>
      <c r="O23" t="s">
        <v>661</v>
      </c>
      <c r="P23" t="s">
        <v>662</v>
      </c>
    </row>
    <row r="24" spans="1:16" ht="15">
      <c r="A24" t="s">
        <v>45</v>
      </c>
      <c r="B24" t="str">
        <f t="shared" si="0"/>
        <v>I-DMD-WAP*</v>
      </c>
      <c r="F24" t="str">
        <f t="shared" si="1"/>
        <v>DMD_IND-WAP</v>
      </c>
      <c r="G24" t="str">
        <f t="shared" si="2"/>
        <v>Industry - Wood Products</v>
      </c>
      <c r="H24" t="s">
        <v>15</v>
      </c>
      <c r="I24" t="s">
        <v>16</v>
      </c>
      <c r="J24" t="s">
        <v>15</v>
      </c>
      <c r="K24" t="s">
        <v>16</v>
      </c>
      <c r="O24" t="s">
        <v>663</v>
      </c>
      <c r="P24" t="s">
        <v>664</v>
      </c>
    </row>
    <row r="25" spans="1:16" ht="15">
      <c r="A25" t="s">
        <v>45</v>
      </c>
      <c r="B25" t="str">
        <f t="shared" si="0"/>
        <v>I-DMD-ELC*</v>
      </c>
      <c r="F25" t="str">
        <f t="shared" si="1"/>
        <v>DMD_IND-ELC</v>
      </c>
      <c r="G25" t="str">
        <f t="shared" si="2"/>
        <v>Industry - Electricity</v>
      </c>
      <c r="H25" t="s">
        <v>15</v>
      </c>
      <c r="I25" t="s">
        <v>16</v>
      </c>
      <c r="J25" t="s">
        <v>15</v>
      </c>
      <c r="K25" t="s">
        <v>16</v>
      </c>
      <c r="O25" t="s">
        <v>665</v>
      </c>
      <c r="P25" t="s">
        <v>666</v>
      </c>
    </row>
    <row r="26" spans="1:16" ht="15">
      <c r="A26" t="s">
        <v>45</v>
      </c>
      <c r="B26" t="str">
        <f t="shared" si="0"/>
        <v>I-DMD-OIL*</v>
      </c>
      <c r="F26" t="str">
        <f t="shared" si="1"/>
        <v>DMD_IND-OIL</v>
      </c>
      <c r="G26" t="str">
        <f t="shared" si="2"/>
        <v>Industry - Oil use</v>
      </c>
      <c r="H26" t="s">
        <v>15</v>
      </c>
      <c r="I26" t="s">
        <v>16</v>
      </c>
      <c r="J26" t="s">
        <v>15</v>
      </c>
      <c r="K26" t="s">
        <v>16</v>
      </c>
      <c r="O26" t="s">
        <v>667</v>
      </c>
      <c r="P26" t="s">
        <v>668</v>
      </c>
    </row>
    <row r="27" spans="1:11" ht="15">
      <c r="A27" t="s">
        <v>190</v>
      </c>
      <c r="B27" t="str">
        <f>+LEFT(O17,1)&amp;"-"&amp;RIGHT(O17,3)&amp;"*"</f>
        <v>I-CEM*</v>
      </c>
      <c r="F27" t="str">
        <f>"TECHS_IND-"&amp;RIGHT(O17,3)</f>
        <v>TECHS_IND-CEM</v>
      </c>
      <c r="G27" t="str">
        <f>+G17</f>
        <v>Industry - Cement</v>
      </c>
      <c r="H27" t="s">
        <v>15</v>
      </c>
      <c r="I27" t="s">
        <v>16</v>
      </c>
      <c r="J27" t="s">
        <v>15</v>
      </c>
      <c r="K27" t="s">
        <v>16</v>
      </c>
    </row>
    <row r="28" spans="1:11" ht="15">
      <c r="A28" t="s">
        <v>190</v>
      </c>
      <c r="B28" t="str">
        <f t="shared" si="3" ref="B28:B36">+LEFT(O18,1)&amp;"-"&amp;RIGHT(O18,3)&amp;"*"</f>
        <v>I-CAF*</v>
      </c>
      <c r="F28" t="str">
        <f t="shared" si="4" ref="F28:F34">"TECHS_IND-"&amp;RIGHT(O18,3)</f>
        <v>TECHS_IND-CAF</v>
      </c>
      <c r="G28" t="str">
        <f t="shared" si="5" ref="G28:G34">+G18</f>
        <v>Industry - Chemicals</v>
      </c>
      <c r="H28" t="s">
        <v>15</v>
      </c>
      <c r="I28" t="s">
        <v>16</v>
      </c>
      <c r="J28" t="s">
        <v>15</v>
      </c>
      <c r="K28" t="s">
        <v>16</v>
      </c>
    </row>
    <row r="29" spans="1:11" ht="15">
      <c r="A29" t="s">
        <v>190</v>
      </c>
      <c r="B29" t="str">
        <f t="shared" si="3"/>
        <v>I-FAP*</v>
      </c>
      <c r="F29" t="str">
        <f t="shared" si="4"/>
        <v>TECHS_IND-FAP</v>
      </c>
      <c r="G29" t="str">
        <f t="shared" si="5"/>
        <v>Industry - Food and Drink</v>
      </c>
      <c r="H29" t="s">
        <v>15</v>
      </c>
      <c r="I29" t="s">
        <v>16</v>
      </c>
      <c r="J29" t="s">
        <v>15</v>
      </c>
      <c r="K29" t="s">
        <v>16</v>
      </c>
    </row>
    <row r="30" spans="1:11" ht="15">
      <c r="A30" t="s">
        <v>190</v>
      </c>
      <c r="B30" t="str">
        <f t="shared" si="3"/>
        <v>I-LIM*</v>
      </c>
      <c r="F30" t="str">
        <f t="shared" si="4"/>
        <v>TECHS_IND-LIM</v>
      </c>
      <c r="G30" t="str">
        <f t="shared" si="5"/>
        <v>Industry - Lime</v>
      </c>
      <c r="H30" t="s">
        <v>15</v>
      </c>
      <c r="I30" t="s">
        <v>16</v>
      </c>
      <c r="J30" t="s">
        <v>15</v>
      </c>
      <c r="K30" t="s">
        <v>16</v>
      </c>
    </row>
    <row r="31" spans="1:11" ht="15">
      <c r="A31" t="s">
        <v>190</v>
      </c>
      <c r="B31" t="str">
        <f t="shared" si="3"/>
        <v>I-MAP*</v>
      </c>
      <c r="F31" t="str">
        <f t="shared" si="4"/>
        <v>TECHS_IND-MAP</v>
      </c>
      <c r="G31" t="str">
        <f t="shared" si="5"/>
        <v>Industry - Metals</v>
      </c>
      <c r="H31" t="s">
        <v>15</v>
      </c>
      <c r="I31" t="s">
        <v>16</v>
      </c>
      <c r="J31" t="s">
        <v>15</v>
      </c>
      <c r="K31" t="s">
        <v>16</v>
      </c>
    </row>
    <row r="32" spans="1:11" ht="15">
      <c r="A32" t="s">
        <v>190</v>
      </c>
      <c r="B32" t="str">
        <f t="shared" si="3"/>
        <v>I-OMA*</v>
      </c>
      <c r="F32" t="str">
        <f t="shared" si="4"/>
        <v>TECHS_IND-OMA</v>
      </c>
      <c r="G32" t="str">
        <f t="shared" si="5"/>
        <v>Industry - Other Industry</v>
      </c>
      <c r="H32" t="s">
        <v>15</v>
      </c>
      <c r="I32" t="s">
        <v>16</v>
      </c>
      <c r="J32" t="s">
        <v>15</v>
      </c>
      <c r="K32" t="s">
        <v>16</v>
      </c>
    </row>
    <row r="33" spans="1:11" ht="15">
      <c r="A33" t="s">
        <v>190</v>
      </c>
      <c r="B33" t="str">
        <f t="shared" si="3"/>
        <v>I-ONM*</v>
      </c>
      <c r="F33" t="str">
        <f t="shared" si="4"/>
        <v>TECHS_IND-ONM</v>
      </c>
      <c r="G33" t="str">
        <f t="shared" si="5"/>
        <v>Industry - Other Minerals</v>
      </c>
      <c r="H33" t="s">
        <v>15</v>
      </c>
      <c r="I33" t="s">
        <v>16</v>
      </c>
      <c r="J33" t="s">
        <v>15</v>
      </c>
      <c r="K33" t="s">
        <v>16</v>
      </c>
    </row>
    <row r="34" spans="1:11" ht="15">
      <c r="A34" t="s">
        <v>190</v>
      </c>
      <c r="B34" t="str">
        <f t="shared" si="3"/>
        <v>I-WAP*</v>
      </c>
      <c r="F34" t="str">
        <f t="shared" si="4"/>
        <v>TECHS_IND-WAP</v>
      </c>
      <c r="G34" t="str">
        <f t="shared" si="5"/>
        <v>Industry - Wood Products</v>
      </c>
      <c r="H34" t="s">
        <v>15</v>
      </c>
      <c r="I34" t="s">
        <v>16</v>
      </c>
      <c r="J34" t="s">
        <v>15</v>
      </c>
      <c r="K34" t="s">
        <v>16</v>
      </c>
    </row>
    <row r="35" spans="1:11" ht="15">
      <c r="A35" t="s">
        <v>190</v>
      </c>
      <c r="B35" t="str">
        <f t="shared" si="3"/>
        <v>I-ELC*</v>
      </c>
      <c r="F35" t="str">
        <f>"TECHS_IND-"&amp;RIGHT(O25,3)</f>
        <v>TECHS_IND-ELC</v>
      </c>
      <c r="G35" t="str">
        <f>+G25</f>
        <v>Industry - Electricity</v>
      </c>
      <c r="H35" t="s">
        <v>15</v>
      </c>
      <c r="I35" t="s">
        <v>16</v>
      </c>
      <c r="J35" t="s">
        <v>15</v>
      </c>
      <c r="K35" t="s">
        <v>16</v>
      </c>
    </row>
    <row r="36" spans="1:11" ht="15">
      <c r="A36" t="s">
        <v>190</v>
      </c>
      <c r="B36" t="str">
        <f t="shared" si="3"/>
        <v>I-OIL*</v>
      </c>
      <c r="F36" t="str">
        <f>"TECHS_IND-"&amp;RIGHT(O26,3)</f>
        <v>TECHS_IND-OIL</v>
      </c>
      <c r="G36" t="str">
        <f>+G26</f>
        <v>Industry - Oil use</v>
      </c>
      <c r="H36" t="s">
        <v>15</v>
      </c>
      <c r="I36" t="s">
        <v>16</v>
      </c>
      <c r="J36" t="s">
        <v>15</v>
      </c>
      <c r="K3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E260F6-B56C-4203-813B-A6591E1CBE42}">
  <sheetPr codeName="Sheet4">
    <tabColor rgb="FF92D050"/>
  </sheetPr>
  <dimension ref="A1:L34"/>
  <sheetViews>
    <sheetView zoomScale="85" zoomScaleNormal="85" workbookViewId="0" topLeftCell="A1">
      <selection pane="topLeft" activeCell="B33" sqref="B33"/>
    </sheetView>
  </sheetViews>
  <sheetFormatPr defaultRowHeight="15"/>
  <cols>
    <col min="1" max="1" width="49" customWidth="1"/>
    <col min="5" max="5" width="34.1428571428571" bestFit="1" customWidth="1"/>
    <col min="6" max="6" width="25.5714285714286" bestFit="1" customWidth="1"/>
    <col min="7" max="7" width="67.5714285714286" bestFit="1" customWidth="1"/>
  </cols>
  <sheetData>
    <row r="1" spans="1:1" ht="15">
      <c r="A1" t="s">
        <v>0</v>
      </c>
    </row>
    <row r="2" spans="1:12" ht="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2:11" ht="15">
      <c r="B3" t="s">
        <v>200</v>
      </c>
      <c r="F3" t="s">
        <v>477</v>
      </c>
      <c r="G3" t="s">
        <v>487</v>
      </c>
      <c r="H3" t="s">
        <v>15</v>
      </c>
      <c r="I3" t="s">
        <v>16</v>
      </c>
      <c r="J3" t="s">
        <v>15</v>
      </c>
      <c r="K3" t="s">
        <v>16</v>
      </c>
    </row>
    <row r="4" spans="2:11" ht="15">
      <c r="B4" t="s">
        <v>199</v>
      </c>
      <c r="F4" t="s">
        <v>478</v>
      </c>
      <c r="G4" t="s">
        <v>488</v>
      </c>
      <c r="H4" t="s">
        <v>15</v>
      </c>
      <c r="I4" t="s">
        <v>16</v>
      </c>
      <c r="J4" t="s">
        <v>15</v>
      </c>
      <c r="K4" t="s">
        <v>16</v>
      </c>
    </row>
    <row r="5" spans="2:11" ht="15">
      <c r="B5" t="s">
        <v>198</v>
      </c>
      <c r="F5" t="s">
        <v>479</v>
      </c>
      <c r="G5" t="s">
        <v>489</v>
      </c>
      <c r="H5" t="s">
        <v>15</v>
      </c>
      <c r="I5" t="s">
        <v>16</v>
      </c>
      <c r="J5" t="s">
        <v>15</v>
      </c>
      <c r="K5" t="s">
        <v>16</v>
      </c>
    </row>
    <row r="6" spans="2:11" ht="15">
      <c r="B6" t="s">
        <v>197</v>
      </c>
      <c r="F6" t="s">
        <v>480</v>
      </c>
      <c r="G6" t="s">
        <v>490</v>
      </c>
      <c r="H6" t="s">
        <v>15</v>
      </c>
      <c r="I6" t="s">
        <v>16</v>
      </c>
      <c r="J6" t="s">
        <v>15</v>
      </c>
      <c r="K6" t="s">
        <v>16</v>
      </c>
    </row>
    <row r="7" spans="2:11" ht="15">
      <c r="B7" t="s">
        <v>196</v>
      </c>
      <c r="F7" t="s">
        <v>481</v>
      </c>
      <c r="G7" t="s">
        <v>491</v>
      </c>
      <c r="H7" t="s">
        <v>15</v>
      </c>
      <c r="I7" t="s">
        <v>16</v>
      </c>
      <c r="J7" t="s">
        <v>15</v>
      </c>
      <c r="K7" t="s">
        <v>16</v>
      </c>
    </row>
    <row r="8" spans="2:11" ht="15">
      <c r="B8" t="s">
        <v>195</v>
      </c>
      <c r="F8" t="s">
        <v>482</v>
      </c>
      <c r="G8" t="s">
        <v>492</v>
      </c>
      <c r="H8" t="s">
        <v>15</v>
      </c>
      <c r="I8" t="s">
        <v>16</v>
      </c>
      <c r="J8" t="s">
        <v>15</v>
      </c>
      <c r="K8" t="s">
        <v>16</v>
      </c>
    </row>
    <row r="9" spans="2:11" ht="15">
      <c r="B9" t="s">
        <v>194</v>
      </c>
      <c r="F9" t="s">
        <v>483</v>
      </c>
      <c r="G9" t="s">
        <v>493</v>
      </c>
      <c r="H9" t="s">
        <v>15</v>
      </c>
      <c r="I9" t="s">
        <v>16</v>
      </c>
      <c r="J9" t="s">
        <v>15</v>
      </c>
      <c r="K9" t="s">
        <v>16</v>
      </c>
    </row>
    <row r="10" spans="2:11" ht="15">
      <c r="B10" t="s">
        <v>193</v>
      </c>
      <c r="F10" t="s">
        <v>484</v>
      </c>
      <c r="G10" t="s">
        <v>494</v>
      </c>
      <c r="H10" t="s">
        <v>15</v>
      </c>
      <c r="I10" t="s">
        <v>16</v>
      </c>
      <c r="J10" t="s">
        <v>15</v>
      </c>
      <c r="K10" t="s">
        <v>16</v>
      </c>
    </row>
    <row r="11" spans="2:11" ht="15">
      <c r="B11" t="s">
        <v>192</v>
      </c>
      <c r="F11" t="s">
        <v>485</v>
      </c>
      <c r="G11" t="s">
        <v>495</v>
      </c>
      <c r="H11" t="s">
        <v>15</v>
      </c>
      <c r="I11" t="s">
        <v>16</v>
      </c>
      <c r="J11" t="s">
        <v>15</v>
      </c>
      <c r="K11" t="s">
        <v>16</v>
      </c>
    </row>
    <row r="12" spans="1:11" ht="15">
      <c r="A12" s="3" t="s">
        <v>325</v>
      </c>
      <c r="B12" s="3" t="s">
        <v>503</v>
      </c>
      <c r="E12" t="s">
        <v>324</v>
      </c>
      <c r="F12" t="s">
        <v>486</v>
      </c>
      <c r="G12" t="s">
        <v>496</v>
      </c>
      <c r="H12" t="s">
        <v>15</v>
      </c>
      <c r="I12" t="s">
        <v>15</v>
      </c>
      <c r="J12" t="s">
        <v>15</v>
      </c>
      <c r="K12" t="s">
        <v>16</v>
      </c>
    </row>
    <row r="13" spans="1:11" ht="15">
      <c r="A13" s="3" t="str">
        <f>$F$12</f>
        <v>RSD_BLD-XXX_NRGSRV-WS</v>
      </c>
      <c r="B13" t="s">
        <v>510</v>
      </c>
      <c r="F13" t="s">
        <v>500</v>
      </c>
      <c r="G13" t="s">
        <v>497</v>
      </c>
      <c r="H13" t="s">
        <v>15</v>
      </c>
      <c r="I13" t="s">
        <v>15</v>
      </c>
      <c r="J13" t="s">
        <v>15</v>
      </c>
      <c r="K13" t="s">
        <v>16</v>
      </c>
    </row>
    <row r="14" spans="1:11" ht="15">
      <c r="A14" s="3" t="str">
        <f t="shared" si="0" ref="A14:A15">$F$12</f>
        <v>RSD_BLD-XXX_NRGSRV-WS</v>
      </c>
      <c r="B14" t="s">
        <v>511</v>
      </c>
      <c r="F14" t="s">
        <v>501</v>
      </c>
      <c r="G14" t="s">
        <v>498</v>
      </c>
      <c r="H14" t="s">
        <v>15</v>
      </c>
      <c r="I14" t="s">
        <v>15</v>
      </c>
      <c r="J14" t="s">
        <v>15</v>
      </c>
      <c r="K14" t="s">
        <v>16</v>
      </c>
    </row>
    <row r="15" spans="1:11" ht="15">
      <c r="A15" s="3" t="str">
        <f t="shared" si="0"/>
        <v>RSD_BLD-XXX_NRGSRV-WS</v>
      </c>
      <c r="B15" t="s">
        <v>512</v>
      </c>
      <c r="F15" t="s">
        <v>502</v>
      </c>
      <c r="G15" t="s">
        <v>499</v>
      </c>
      <c r="H15" t="s">
        <v>15</v>
      </c>
      <c r="I15" t="s">
        <v>15</v>
      </c>
      <c r="J15" t="s">
        <v>15</v>
      </c>
      <c r="K15" t="s">
        <v>16</v>
      </c>
    </row>
    <row r="16" spans="1:11" ht="15">
      <c r="A16" t="s">
        <v>45</v>
      </c>
      <c r="B16" t="s">
        <v>342</v>
      </c>
      <c r="F16" t="s">
        <v>339</v>
      </c>
      <c r="G16" t="s">
        <v>336</v>
      </c>
      <c r="H16" t="s">
        <v>15</v>
      </c>
      <c r="I16" t="s">
        <v>16</v>
      </c>
      <c r="J16" t="s">
        <v>15</v>
      </c>
      <c r="K16" t="s">
        <v>16</v>
      </c>
    </row>
    <row r="17" spans="1:11" ht="15">
      <c r="A17" t="s">
        <v>45</v>
      </c>
      <c r="B17" t="s">
        <v>343</v>
      </c>
      <c r="F17" t="s">
        <v>340</v>
      </c>
      <c r="G17" t="s">
        <v>337</v>
      </c>
      <c r="H17" t="s">
        <v>15</v>
      </c>
      <c r="I17" t="s">
        <v>16</v>
      </c>
      <c r="J17" t="s">
        <v>15</v>
      </c>
      <c r="K17" t="s">
        <v>16</v>
      </c>
    </row>
    <row r="18" spans="1:11" ht="15">
      <c r="A18" t="s">
        <v>45</v>
      </c>
      <c r="B18" t="s">
        <v>344</v>
      </c>
      <c r="F18" t="s">
        <v>341</v>
      </c>
      <c r="G18" t="s">
        <v>338</v>
      </c>
      <c r="H18" t="s">
        <v>15</v>
      </c>
      <c r="I18" t="s">
        <v>16</v>
      </c>
      <c r="J18" t="s">
        <v>15</v>
      </c>
      <c r="K18" t="s">
        <v>16</v>
      </c>
    </row>
    <row r="19" spans="1:11" ht="15">
      <c r="A19" s="3"/>
      <c r="B19" t="s">
        <v>504</v>
      </c>
      <c r="F19" t="s">
        <v>505</v>
      </c>
      <c r="G19" t="s">
        <v>506</v>
      </c>
      <c r="H19" t="s">
        <v>15</v>
      </c>
      <c r="I19" t="s">
        <v>16</v>
      </c>
      <c r="J19" t="s">
        <v>15</v>
      </c>
      <c r="K19" t="s">
        <v>16</v>
      </c>
    </row>
    <row r="20" spans="1:11" ht="15">
      <c r="A20" s="3" t="str">
        <f>$F$19</f>
        <v>RSD_BLD-XXX_RTFT</v>
      </c>
      <c r="B20" t="s">
        <v>510</v>
      </c>
      <c r="F20" t="s">
        <v>513</v>
      </c>
      <c r="G20" t="s">
        <v>507</v>
      </c>
      <c r="H20" t="s">
        <v>15</v>
      </c>
      <c r="I20" t="s">
        <v>15</v>
      </c>
      <c r="J20" t="s">
        <v>15</v>
      </c>
      <c r="K20" t="s">
        <v>16</v>
      </c>
    </row>
    <row r="21" spans="1:11" ht="15">
      <c r="A21" s="3" t="str">
        <f t="shared" si="1" ref="A21:A22">$F$19</f>
        <v>RSD_BLD-XXX_RTFT</v>
      </c>
      <c r="B21" t="s">
        <v>511</v>
      </c>
      <c r="F21" t="s">
        <v>514</v>
      </c>
      <c r="G21" t="s">
        <v>508</v>
      </c>
      <c r="H21" t="s">
        <v>15</v>
      </c>
      <c r="I21" t="s">
        <v>15</v>
      </c>
      <c r="J21" t="s">
        <v>15</v>
      </c>
      <c r="K21" t="s">
        <v>16</v>
      </c>
    </row>
    <row r="22" spans="1:11" ht="15">
      <c r="A22" s="3" t="str">
        <f t="shared" si="1"/>
        <v>RSD_BLD-XXX_RTFT</v>
      </c>
      <c r="B22" t="s">
        <v>512</v>
      </c>
      <c r="F22" t="s">
        <v>515</v>
      </c>
      <c r="G22" t="s">
        <v>509</v>
      </c>
      <c r="H22" t="s">
        <v>15</v>
      </c>
      <c r="I22" t="s">
        <v>15</v>
      </c>
      <c r="J22" t="s">
        <v>15</v>
      </c>
      <c r="K22" t="s">
        <v>16</v>
      </c>
    </row>
    <row r="23" spans="2:11" ht="15">
      <c r="B23" t="s">
        <v>708</v>
      </c>
      <c r="F23" t="s">
        <v>684</v>
      </c>
      <c r="G23" t="s">
        <v>696</v>
      </c>
      <c r="H23" t="s">
        <v>15</v>
      </c>
      <c r="I23" t="s">
        <v>16</v>
      </c>
      <c r="J23" t="s">
        <v>15</v>
      </c>
      <c r="K23" t="s">
        <v>16</v>
      </c>
    </row>
    <row r="24" spans="2:11" ht="15">
      <c r="B24" t="s">
        <v>717</v>
      </c>
      <c r="F24" t="s">
        <v>685</v>
      </c>
      <c r="G24" t="s">
        <v>698</v>
      </c>
      <c r="H24" t="s">
        <v>15</v>
      </c>
      <c r="I24" t="s">
        <v>16</v>
      </c>
      <c r="J24" t="s">
        <v>15</v>
      </c>
      <c r="K24" t="s">
        <v>16</v>
      </c>
    </row>
    <row r="25" spans="2:11" ht="15">
      <c r="B25" t="s">
        <v>710</v>
      </c>
      <c r="F25" t="s">
        <v>686</v>
      </c>
      <c r="G25" t="s">
        <v>699</v>
      </c>
      <c r="H25" t="s">
        <v>15</v>
      </c>
      <c r="I25" t="s">
        <v>16</v>
      </c>
      <c r="J25" t="s">
        <v>15</v>
      </c>
      <c r="K25" t="s">
        <v>16</v>
      </c>
    </row>
    <row r="26" spans="1:11" ht="15">
      <c r="A26" t="str">
        <f>"-"&amp;F23&amp;",-"&amp;F24&amp;",-"&amp;F25</f>
        <v>-RSD_BLD-ATT-HP,-RSD_BLD-ATT-ELC,-RSD_BLD-ATT-GAS</v>
      </c>
      <c r="B26" t="s">
        <v>712</v>
      </c>
      <c r="F26" t="s">
        <v>687</v>
      </c>
      <c r="G26" t="s">
        <v>700</v>
      </c>
      <c r="H26" t="s">
        <v>15</v>
      </c>
      <c r="I26" t="s">
        <v>16</v>
      </c>
      <c r="J26" t="s">
        <v>15</v>
      </c>
      <c r="K26" t="s">
        <v>16</v>
      </c>
    </row>
    <row r="27" spans="2:11" ht="15">
      <c r="B27" t="s">
        <v>713</v>
      </c>
      <c r="F27" t="s">
        <v>688</v>
      </c>
      <c r="G27" t="s">
        <v>701</v>
      </c>
      <c r="H27" t="s">
        <v>15</v>
      </c>
      <c r="I27" t="s">
        <v>16</v>
      </c>
      <c r="J27" t="s">
        <v>15</v>
      </c>
      <c r="K27" t="s">
        <v>16</v>
      </c>
    </row>
    <row r="28" spans="2:11" ht="15">
      <c r="B28" t="s">
        <v>718</v>
      </c>
      <c r="F28" t="s">
        <v>689</v>
      </c>
      <c r="G28" t="s">
        <v>702</v>
      </c>
      <c r="H28" t="s">
        <v>15</v>
      </c>
      <c r="I28" t="s">
        <v>16</v>
      </c>
      <c r="J28" t="s">
        <v>15</v>
      </c>
      <c r="K28" t="s">
        <v>16</v>
      </c>
    </row>
    <row r="29" spans="2:11" ht="15">
      <c r="B29" t="s">
        <v>714</v>
      </c>
      <c r="F29" t="s">
        <v>690</v>
      </c>
      <c r="G29" t="s">
        <v>703</v>
      </c>
      <c r="H29" t="s">
        <v>15</v>
      </c>
      <c r="I29" t="s">
        <v>16</v>
      </c>
      <c r="J29" t="s">
        <v>15</v>
      </c>
      <c r="K29" t="s">
        <v>16</v>
      </c>
    </row>
    <row r="30" spans="1:11" ht="15">
      <c r="A30" t="str">
        <f>"-"&amp;F27&amp;",-"&amp;F28&amp;",-"&amp;F29</f>
        <v>-RSD_BLD-APT-HP,-RSD_BLD-APT-ELC,-RSD_BLD-APT-GAS</v>
      </c>
      <c r="B30" t="s">
        <v>715</v>
      </c>
      <c r="F30" t="s">
        <v>691</v>
      </c>
      <c r="G30" t="s">
        <v>704</v>
      </c>
      <c r="H30" t="s">
        <v>15</v>
      </c>
      <c r="I30" t="s">
        <v>16</v>
      </c>
      <c r="J30" t="s">
        <v>15</v>
      </c>
      <c r="K30" t="s">
        <v>16</v>
      </c>
    </row>
    <row r="31" spans="2:11" ht="15">
      <c r="B31" t="s">
        <v>709</v>
      </c>
      <c r="F31" t="s">
        <v>692</v>
      </c>
      <c r="G31" t="s">
        <v>697</v>
      </c>
      <c r="H31" t="s">
        <v>15</v>
      </c>
      <c r="I31" t="s">
        <v>16</v>
      </c>
      <c r="J31" t="s">
        <v>15</v>
      </c>
      <c r="K31" t="s">
        <v>16</v>
      </c>
    </row>
    <row r="32" spans="2:11" ht="15">
      <c r="B32" t="s">
        <v>719</v>
      </c>
      <c r="F32" t="s">
        <v>693</v>
      </c>
      <c r="G32" t="s">
        <v>705</v>
      </c>
      <c r="H32" t="s">
        <v>15</v>
      </c>
      <c r="I32" t="s">
        <v>16</v>
      </c>
      <c r="J32" t="s">
        <v>15</v>
      </c>
      <c r="K32" t="s">
        <v>16</v>
      </c>
    </row>
    <row r="33" spans="2:11" ht="15">
      <c r="B33" t="s">
        <v>711</v>
      </c>
      <c r="F33" t="s">
        <v>694</v>
      </c>
      <c r="G33" t="s">
        <v>706</v>
      </c>
      <c r="H33" t="s">
        <v>15</v>
      </c>
      <c r="I33" t="s">
        <v>16</v>
      </c>
      <c r="J33" t="s">
        <v>15</v>
      </c>
      <c r="K33" t="s">
        <v>16</v>
      </c>
    </row>
    <row r="34" spans="1:11" ht="15">
      <c r="A34" t="str">
        <f>"-"&amp;F31&amp;",-"&amp;F32&amp;",-"&amp;F33</f>
        <v>-RSD_BLD-DET-HP,-RSD_BLD-DET-ELC,-RSD_BLD-DET-GAS</v>
      </c>
      <c r="B34" t="s">
        <v>716</v>
      </c>
      <c r="F34" t="s">
        <v>695</v>
      </c>
      <c r="G34" t="s">
        <v>707</v>
      </c>
      <c r="H34" t="s">
        <v>15</v>
      </c>
      <c r="I34" t="s">
        <v>16</v>
      </c>
      <c r="J34" t="s">
        <v>15</v>
      </c>
      <c r="K34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4F825B-1ED3-4C53-ABF7-18084792D4FD}">
  <sheetPr codeName="Sheet5">
    <tabColor rgb="FF92D050"/>
  </sheetPr>
  <dimension ref="A1:L38"/>
  <sheetViews>
    <sheetView workbookViewId="0" topLeftCell="A1">
      <selection pane="topLeft" activeCell="A3" sqref="A3:L3"/>
    </sheetView>
  </sheetViews>
  <sheetFormatPr defaultRowHeight="15"/>
  <cols>
    <col min="6" max="6" width="24.1428571428571" bestFit="1" customWidth="1"/>
    <col min="7" max="7" width="58.1428571428571" bestFit="1" customWidth="1"/>
  </cols>
  <sheetData>
    <row r="1" spans="1:1" ht="15">
      <c r="A1" t="s">
        <v>0</v>
      </c>
    </row>
    <row r="2" spans="1:12" ht="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1" ht="15">
      <c r="A3" t="s">
        <v>45</v>
      </c>
      <c r="B3" t="s">
        <v>46</v>
      </c>
      <c r="E3" t="s">
        <v>201</v>
      </c>
      <c r="F3" t="s">
        <v>13</v>
      </c>
      <c r="G3" t="s">
        <v>14</v>
      </c>
      <c r="H3" t="s">
        <v>15</v>
      </c>
      <c r="I3" t="s">
        <v>15</v>
      </c>
      <c r="J3" t="s">
        <v>15</v>
      </c>
      <c r="K3" t="s">
        <v>16</v>
      </c>
    </row>
    <row r="4" spans="1:11" ht="15">
      <c r="A4" t="s">
        <v>45</v>
      </c>
      <c r="B4" t="s">
        <v>47</v>
      </c>
      <c r="E4" t="s">
        <v>201</v>
      </c>
      <c r="F4" t="s">
        <v>17</v>
      </c>
      <c r="G4" t="s">
        <v>18</v>
      </c>
      <c r="H4" t="s">
        <v>15</v>
      </c>
      <c r="I4" t="s">
        <v>15</v>
      </c>
      <c r="J4" t="s">
        <v>15</v>
      </c>
      <c r="K4" t="s">
        <v>16</v>
      </c>
    </row>
    <row r="5" spans="1:11" ht="15">
      <c r="A5" t="s">
        <v>45</v>
      </c>
      <c r="B5" t="s">
        <v>48</v>
      </c>
      <c r="E5" t="s">
        <v>201</v>
      </c>
      <c r="F5" t="s">
        <v>19</v>
      </c>
      <c r="G5" t="s">
        <v>20</v>
      </c>
      <c r="H5" t="s">
        <v>15</v>
      </c>
      <c r="I5" t="s">
        <v>15</v>
      </c>
      <c r="J5" t="s">
        <v>15</v>
      </c>
      <c r="K5" t="s">
        <v>16</v>
      </c>
    </row>
    <row r="6" spans="1:11" ht="15">
      <c r="A6" t="s">
        <v>45</v>
      </c>
      <c r="B6" t="s">
        <v>202</v>
      </c>
      <c r="E6" t="s">
        <v>201</v>
      </c>
      <c r="F6" t="s">
        <v>203</v>
      </c>
      <c r="G6" t="s">
        <v>204</v>
      </c>
      <c r="H6" t="s">
        <v>15</v>
      </c>
      <c r="I6" t="s">
        <v>15</v>
      </c>
      <c r="J6" t="s">
        <v>15</v>
      </c>
      <c r="K6" t="s">
        <v>16</v>
      </c>
    </row>
    <row r="7" spans="1:11" ht="15">
      <c r="A7" t="s">
        <v>45</v>
      </c>
      <c r="B7" t="s">
        <v>49</v>
      </c>
      <c r="E7" t="s">
        <v>201</v>
      </c>
      <c r="F7" t="s">
        <v>21</v>
      </c>
      <c r="G7" t="s">
        <v>22</v>
      </c>
      <c r="H7" t="s">
        <v>15</v>
      </c>
      <c r="I7" t="s">
        <v>15</v>
      </c>
      <c r="J7" t="s">
        <v>15</v>
      </c>
      <c r="K7" t="s">
        <v>16</v>
      </c>
    </row>
    <row r="8" spans="1:11" ht="15">
      <c r="A8" t="s">
        <v>45</v>
      </c>
      <c r="B8" t="s">
        <v>50</v>
      </c>
      <c r="E8" t="s">
        <v>51</v>
      </c>
      <c r="F8" t="s">
        <v>23</v>
      </c>
      <c r="G8" t="s">
        <v>24</v>
      </c>
      <c r="H8" t="s">
        <v>15</v>
      </c>
      <c r="I8" t="s">
        <v>15</v>
      </c>
      <c r="J8" t="s">
        <v>15</v>
      </c>
      <c r="K8" t="s">
        <v>16</v>
      </c>
    </row>
    <row r="9" spans="1:11" ht="15">
      <c r="A9" t="s">
        <v>45</v>
      </c>
      <c r="B9" t="s">
        <v>52</v>
      </c>
      <c r="E9" t="s">
        <v>51</v>
      </c>
      <c r="F9" t="s">
        <v>25</v>
      </c>
      <c r="G9" t="s">
        <v>26</v>
      </c>
      <c r="H9" t="s">
        <v>15</v>
      </c>
      <c r="I9" t="s">
        <v>15</v>
      </c>
      <c r="J9" t="s">
        <v>15</v>
      </c>
      <c r="K9" t="s">
        <v>16</v>
      </c>
    </row>
    <row r="10" spans="1:11" ht="15">
      <c r="A10" t="s">
        <v>45</v>
      </c>
      <c r="B10" t="s">
        <v>53</v>
      </c>
      <c r="E10" t="s">
        <v>51</v>
      </c>
      <c r="F10" t="s">
        <v>27</v>
      </c>
      <c r="G10" t="s">
        <v>28</v>
      </c>
      <c r="H10" t="s">
        <v>15</v>
      </c>
      <c r="I10" t="s">
        <v>15</v>
      </c>
      <c r="J10" t="s">
        <v>15</v>
      </c>
      <c r="K10" t="s">
        <v>16</v>
      </c>
    </row>
    <row r="11" spans="1:11" ht="15">
      <c r="A11" t="s">
        <v>45</v>
      </c>
      <c r="B11" t="s">
        <v>54</v>
      </c>
      <c r="E11" t="s">
        <v>51</v>
      </c>
      <c r="F11" t="s">
        <v>29</v>
      </c>
      <c r="G11" t="s">
        <v>30</v>
      </c>
      <c r="H11" t="s">
        <v>15</v>
      </c>
      <c r="I11" t="s">
        <v>15</v>
      </c>
      <c r="J11" t="s">
        <v>15</v>
      </c>
      <c r="K11" t="s">
        <v>16</v>
      </c>
    </row>
    <row r="12" spans="1:11" ht="15">
      <c r="A12" t="s">
        <v>45</v>
      </c>
      <c r="B12" t="s">
        <v>47</v>
      </c>
      <c r="E12" t="s">
        <v>51</v>
      </c>
      <c r="F12" t="s">
        <v>31</v>
      </c>
      <c r="G12" t="s">
        <v>32</v>
      </c>
      <c r="H12" t="s">
        <v>15</v>
      </c>
      <c r="I12" t="s">
        <v>15</v>
      </c>
      <c r="J12" t="s">
        <v>15</v>
      </c>
      <c r="K12" t="s">
        <v>16</v>
      </c>
    </row>
    <row r="13" spans="1:11" ht="15">
      <c r="A13" t="s">
        <v>45</v>
      </c>
      <c r="B13" t="s">
        <v>55</v>
      </c>
      <c r="E13" t="s">
        <v>51</v>
      </c>
      <c r="F13" t="s">
        <v>33</v>
      </c>
      <c r="G13" t="s">
        <v>34</v>
      </c>
      <c r="H13" t="s">
        <v>15</v>
      </c>
      <c r="I13" t="s">
        <v>15</v>
      </c>
      <c r="J13" t="s">
        <v>15</v>
      </c>
      <c r="K13" t="s">
        <v>16</v>
      </c>
    </row>
    <row r="14" spans="1:11" ht="15">
      <c r="A14" t="s">
        <v>45</v>
      </c>
      <c r="B14" t="s">
        <v>56</v>
      </c>
      <c r="E14" t="s">
        <v>51</v>
      </c>
      <c r="F14" t="s">
        <v>35</v>
      </c>
      <c r="G14" t="s">
        <v>36</v>
      </c>
      <c r="H14" t="s">
        <v>15</v>
      </c>
      <c r="I14" t="s">
        <v>15</v>
      </c>
      <c r="J14" t="s">
        <v>15</v>
      </c>
      <c r="K14" t="s">
        <v>16</v>
      </c>
    </row>
    <row r="15" spans="1:11" ht="15">
      <c r="A15" t="s">
        <v>45</v>
      </c>
      <c r="B15" t="s">
        <v>57</v>
      </c>
      <c r="E15" t="s">
        <v>51</v>
      </c>
      <c r="F15" t="s">
        <v>37</v>
      </c>
      <c r="G15" t="s">
        <v>38</v>
      </c>
      <c r="H15" t="s">
        <v>15</v>
      </c>
      <c r="I15" t="s">
        <v>15</v>
      </c>
      <c r="J15" t="s">
        <v>15</v>
      </c>
      <c r="K15" t="s">
        <v>16</v>
      </c>
    </row>
    <row r="16" spans="1:11" ht="15">
      <c r="A16" t="s">
        <v>45</v>
      </c>
      <c r="B16" t="s">
        <v>47</v>
      </c>
      <c r="E16" t="s">
        <v>384</v>
      </c>
      <c r="F16" t="s">
        <v>385</v>
      </c>
      <c r="G16" t="s">
        <v>386</v>
      </c>
      <c r="H16" t="s">
        <v>15</v>
      </c>
      <c r="I16" t="s">
        <v>15</v>
      </c>
      <c r="J16" t="s">
        <v>15</v>
      </c>
      <c r="K16" t="s">
        <v>16</v>
      </c>
    </row>
    <row r="17" spans="1:11" ht="15">
      <c r="A17" t="s">
        <v>45</v>
      </c>
      <c r="B17" t="s">
        <v>47</v>
      </c>
      <c r="E17" t="s">
        <v>387</v>
      </c>
      <c r="F17" t="s">
        <v>388</v>
      </c>
      <c r="G17" t="s">
        <v>389</v>
      </c>
      <c r="H17" t="s">
        <v>15</v>
      </c>
      <c r="I17" t="s">
        <v>15</v>
      </c>
      <c r="J17" t="s">
        <v>15</v>
      </c>
      <c r="K17" t="s">
        <v>16</v>
      </c>
    </row>
    <row r="18" spans="1:11" ht="15">
      <c r="A18" t="s">
        <v>45</v>
      </c>
      <c r="B18" t="s">
        <v>47</v>
      </c>
      <c r="E18" t="s">
        <v>390</v>
      </c>
      <c r="F18" t="s">
        <v>398</v>
      </c>
      <c r="G18" t="s">
        <v>391</v>
      </c>
      <c r="H18" t="s">
        <v>15</v>
      </c>
      <c r="I18" t="s">
        <v>15</v>
      </c>
      <c r="J18" t="s">
        <v>15</v>
      </c>
      <c r="K18" t="s">
        <v>16</v>
      </c>
    </row>
    <row r="19" spans="1:11" ht="15">
      <c r="A19" t="s">
        <v>45</v>
      </c>
      <c r="B19" t="s">
        <v>47</v>
      </c>
      <c r="E19" t="s">
        <v>393</v>
      </c>
      <c r="F19" t="s">
        <v>392</v>
      </c>
      <c r="G19" t="s">
        <v>394</v>
      </c>
      <c r="H19" t="s">
        <v>15</v>
      </c>
      <c r="I19" t="s">
        <v>15</v>
      </c>
      <c r="J19" t="s">
        <v>15</v>
      </c>
      <c r="K19" t="s">
        <v>16</v>
      </c>
    </row>
    <row r="20" spans="1:11" ht="15">
      <c r="A20" t="s">
        <v>45</v>
      </c>
      <c r="B20" t="s">
        <v>47</v>
      </c>
      <c r="E20" t="s">
        <v>395</v>
      </c>
      <c r="F20" t="s">
        <v>396</v>
      </c>
      <c r="G20" t="s">
        <v>397</v>
      </c>
      <c r="H20" t="s">
        <v>15</v>
      </c>
      <c r="I20" t="s">
        <v>15</v>
      </c>
      <c r="J20" t="s">
        <v>15</v>
      </c>
      <c r="K20" t="s">
        <v>16</v>
      </c>
    </row>
    <row r="21" spans="1:11" ht="15">
      <c r="A21" t="s">
        <v>45</v>
      </c>
      <c r="B21" t="s">
        <v>399</v>
      </c>
      <c r="E21" t="s">
        <v>51</v>
      </c>
      <c r="F21" t="s">
        <v>322</v>
      </c>
      <c r="G21" t="s">
        <v>323</v>
      </c>
      <c r="H21" t="s">
        <v>15</v>
      </c>
      <c r="I21" t="s">
        <v>15</v>
      </c>
      <c r="J21" t="s">
        <v>15</v>
      </c>
      <c r="K21" t="s">
        <v>16</v>
      </c>
    </row>
    <row r="22" spans="1:11" ht="15">
      <c r="A22" t="s">
        <v>45</v>
      </c>
      <c r="B22" t="s">
        <v>400</v>
      </c>
      <c r="E22" t="s">
        <v>51</v>
      </c>
      <c r="F22" t="s">
        <v>408</v>
      </c>
      <c r="G22" t="s">
        <v>401</v>
      </c>
      <c r="H22" t="s">
        <v>15</v>
      </c>
      <c r="I22" t="s">
        <v>15</v>
      </c>
      <c r="J22" t="s">
        <v>15</v>
      </c>
      <c r="K22" t="s">
        <v>16</v>
      </c>
    </row>
    <row r="23" spans="1:11" ht="15">
      <c r="A23" t="s">
        <v>45</v>
      </c>
      <c r="B23" t="s">
        <v>402</v>
      </c>
      <c r="E23" t="s">
        <v>51</v>
      </c>
      <c r="F23" t="s">
        <v>409</v>
      </c>
      <c r="G23" t="s">
        <v>403</v>
      </c>
      <c r="H23" t="s">
        <v>15</v>
      </c>
      <c r="I23" t="s">
        <v>15</v>
      </c>
      <c r="J23" t="s">
        <v>15</v>
      </c>
      <c r="K23" t="s">
        <v>16</v>
      </c>
    </row>
    <row r="24" spans="1:11" ht="15">
      <c r="A24" t="s">
        <v>45</v>
      </c>
      <c r="B24" t="s">
        <v>404</v>
      </c>
      <c r="E24" t="s">
        <v>51</v>
      </c>
      <c r="F24" t="s">
        <v>410</v>
      </c>
      <c r="G24" t="s">
        <v>405</v>
      </c>
      <c r="H24" t="s">
        <v>15</v>
      </c>
      <c r="I24" t="s">
        <v>15</v>
      </c>
      <c r="J24" t="s">
        <v>15</v>
      </c>
      <c r="K24" t="s">
        <v>16</v>
      </c>
    </row>
    <row r="25" spans="1:11" ht="15">
      <c r="A25" t="s">
        <v>45</v>
      </c>
      <c r="B25" t="s">
        <v>406</v>
      </c>
      <c r="E25" t="s">
        <v>51</v>
      </c>
      <c r="F25" t="s">
        <v>411</v>
      </c>
      <c r="G25" t="s">
        <v>407</v>
      </c>
      <c r="H25" t="s">
        <v>15</v>
      </c>
      <c r="I25" t="s">
        <v>15</v>
      </c>
      <c r="J25" t="s">
        <v>15</v>
      </c>
      <c r="K25" t="s">
        <v>16</v>
      </c>
    </row>
    <row r="26" spans="1:11" ht="15">
      <c r="A26" t="s">
        <v>45</v>
      </c>
      <c r="B26" t="s">
        <v>412</v>
      </c>
      <c r="E26" t="s">
        <v>201</v>
      </c>
      <c r="F26" t="s">
        <v>413</v>
      </c>
      <c r="G26" t="s">
        <v>414</v>
      </c>
      <c r="H26" t="s">
        <v>15</v>
      </c>
      <c r="I26" t="s">
        <v>15</v>
      </c>
      <c r="J26" t="s">
        <v>15</v>
      </c>
      <c r="K26" t="s">
        <v>16</v>
      </c>
    </row>
    <row r="27" spans="1:11" ht="15">
      <c r="A27" t="s">
        <v>45</v>
      </c>
      <c r="B27" t="s">
        <v>415</v>
      </c>
      <c r="E27" t="s">
        <v>201</v>
      </c>
      <c r="F27" t="s">
        <v>436</v>
      </c>
      <c r="G27" t="s">
        <v>418</v>
      </c>
      <c r="H27" t="s">
        <v>15</v>
      </c>
      <c r="I27" t="s">
        <v>15</v>
      </c>
      <c r="J27" t="s">
        <v>15</v>
      </c>
      <c r="K27" t="s">
        <v>16</v>
      </c>
    </row>
    <row r="28" spans="1:11" ht="15">
      <c r="A28" t="s">
        <v>45</v>
      </c>
      <c r="B28" t="s">
        <v>416</v>
      </c>
      <c r="E28" t="s">
        <v>201</v>
      </c>
      <c r="F28" t="s">
        <v>437</v>
      </c>
      <c r="G28" t="s">
        <v>419</v>
      </c>
      <c r="H28" t="s">
        <v>15</v>
      </c>
      <c r="I28" t="s">
        <v>15</v>
      </c>
      <c r="J28" t="s">
        <v>15</v>
      </c>
      <c r="K28" t="s">
        <v>16</v>
      </c>
    </row>
    <row r="29" spans="1:11" ht="15">
      <c r="A29" t="s">
        <v>45</v>
      </c>
      <c r="B29" t="s">
        <v>417</v>
      </c>
      <c r="E29" t="s">
        <v>201</v>
      </c>
      <c r="F29" t="s">
        <v>438</v>
      </c>
      <c r="G29" t="s">
        <v>420</v>
      </c>
      <c r="H29" t="s">
        <v>15</v>
      </c>
      <c r="I29" t="s">
        <v>15</v>
      </c>
      <c r="J29" t="s">
        <v>15</v>
      </c>
      <c r="K29" t="s">
        <v>16</v>
      </c>
    </row>
    <row r="30" spans="1:11" ht="15">
      <c r="A30" t="s">
        <v>45</v>
      </c>
      <c r="B30" t="s">
        <v>421</v>
      </c>
      <c r="E30" t="s">
        <v>201</v>
      </c>
      <c r="F30" t="s">
        <v>425</v>
      </c>
      <c r="G30" t="s">
        <v>426</v>
      </c>
      <c r="H30" t="s">
        <v>15</v>
      </c>
      <c r="I30" t="s">
        <v>15</v>
      </c>
      <c r="J30" t="s">
        <v>15</v>
      </c>
      <c r="K30" t="s">
        <v>16</v>
      </c>
    </row>
    <row r="31" spans="1:11" ht="15">
      <c r="A31" t="s">
        <v>45</v>
      </c>
      <c r="B31" t="s">
        <v>422</v>
      </c>
      <c r="E31" t="s">
        <v>201</v>
      </c>
      <c r="F31" t="s">
        <v>439</v>
      </c>
      <c r="G31" t="s">
        <v>427</v>
      </c>
      <c r="H31" t="s">
        <v>15</v>
      </c>
      <c r="I31" t="s">
        <v>15</v>
      </c>
      <c r="J31" t="s">
        <v>15</v>
      </c>
      <c r="K31" t="s">
        <v>16</v>
      </c>
    </row>
    <row r="32" spans="1:11" ht="15">
      <c r="A32" t="s">
        <v>45</v>
      </c>
      <c r="B32" t="s">
        <v>423</v>
      </c>
      <c r="E32" t="s">
        <v>201</v>
      </c>
      <c r="F32" t="s">
        <v>440</v>
      </c>
      <c r="G32" t="s">
        <v>428</v>
      </c>
      <c r="H32" t="s">
        <v>15</v>
      </c>
      <c r="I32" t="s">
        <v>15</v>
      </c>
      <c r="J32" t="s">
        <v>15</v>
      </c>
      <c r="K32" t="s">
        <v>16</v>
      </c>
    </row>
    <row r="33" spans="1:11" ht="15">
      <c r="A33" t="s">
        <v>45</v>
      </c>
      <c r="B33" t="s">
        <v>424</v>
      </c>
      <c r="E33" t="s">
        <v>201</v>
      </c>
      <c r="F33" t="s">
        <v>441</v>
      </c>
      <c r="G33" t="s">
        <v>429</v>
      </c>
      <c r="H33" t="s">
        <v>15</v>
      </c>
      <c r="I33" t="s">
        <v>15</v>
      </c>
      <c r="J33" t="s">
        <v>15</v>
      </c>
      <c r="K33" t="s">
        <v>16</v>
      </c>
    </row>
    <row r="34" spans="1:11" ht="15">
      <c r="A34" t="s">
        <v>45</v>
      </c>
      <c r="B34" t="s">
        <v>430</v>
      </c>
      <c r="E34" t="s">
        <v>201</v>
      </c>
      <c r="F34" t="s">
        <v>435</v>
      </c>
      <c r="G34" t="s">
        <v>446</v>
      </c>
      <c r="H34" t="s">
        <v>15</v>
      </c>
      <c r="I34" t="s">
        <v>15</v>
      </c>
      <c r="J34" t="s">
        <v>15</v>
      </c>
      <c r="K34" t="s">
        <v>16</v>
      </c>
    </row>
    <row r="35" spans="1:11" ht="15">
      <c r="A35" t="s">
        <v>45</v>
      </c>
      <c r="B35" t="s">
        <v>431</v>
      </c>
      <c r="E35" t="s">
        <v>201</v>
      </c>
      <c r="F35" t="s">
        <v>442</v>
      </c>
      <c r="G35" t="s">
        <v>447</v>
      </c>
      <c r="H35" t="s">
        <v>15</v>
      </c>
      <c r="I35" t="s">
        <v>15</v>
      </c>
      <c r="J35" t="s">
        <v>15</v>
      </c>
      <c r="K35" t="s">
        <v>16</v>
      </c>
    </row>
    <row r="36" spans="1:11" ht="15">
      <c r="A36" t="s">
        <v>45</v>
      </c>
      <c r="B36" t="s">
        <v>432</v>
      </c>
      <c r="E36" t="s">
        <v>201</v>
      </c>
      <c r="F36" t="s">
        <v>443</v>
      </c>
      <c r="G36" t="s">
        <v>448</v>
      </c>
      <c r="H36" t="s">
        <v>15</v>
      </c>
      <c r="I36" t="s">
        <v>15</v>
      </c>
      <c r="J36" t="s">
        <v>15</v>
      </c>
      <c r="K36" t="s">
        <v>16</v>
      </c>
    </row>
    <row r="37" spans="1:11" ht="15">
      <c r="A37" t="s">
        <v>45</v>
      </c>
      <c r="B37" t="s">
        <v>433</v>
      </c>
      <c r="E37" t="s">
        <v>201</v>
      </c>
      <c r="F37" t="s">
        <v>444</v>
      </c>
      <c r="G37" t="s">
        <v>449</v>
      </c>
      <c r="H37" t="s">
        <v>15</v>
      </c>
      <c r="I37" t="s">
        <v>15</v>
      </c>
      <c r="J37" t="s">
        <v>15</v>
      </c>
      <c r="K37" t="s">
        <v>16</v>
      </c>
    </row>
    <row r="38" spans="1:11" ht="15">
      <c r="A38" t="s">
        <v>45</v>
      </c>
      <c r="B38" t="s">
        <v>434</v>
      </c>
      <c r="E38" t="s">
        <v>201</v>
      </c>
      <c r="F38" t="s">
        <v>445</v>
      </c>
      <c r="G38" t="s">
        <v>450</v>
      </c>
      <c r="H38" t="s">
        <v>15</v>
      </c>
      <c r="I38" t="s">
        <v>15</v>
      </c>
      <c r="J38" t="s">
        <v>15</v>
      </c>
      <c r="K3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DDC4F5-4EDB-49DB-9D6D-333A351F1738}">
  <sheetPr codeName="Sheet6">
    <tabColor rgb="FF92D050"/>
  </sheetPr>
  <dimension ref="A1:L22"/>
  <sheetViews>
    <sheetView tabSelected="1" workbookViewId="0" topLeftCell="A1">
      <selection pane="topLeft" activeCell="I25" sqref="I25"/>
    </sheetView>
  </sheetViews>
  <sheetFormatPr defaultRowHeight="15"/>
  <cols>
    <col min="6" max="6" width="19.4285714285714" bestFit="1" customWidth="1"/>
    <col min="7" max="7" width="53.2857142857143" bestFit="1" customWidth="1"/>
  </cols>
  <sheetData>
    <row r="1" spans="1:1" ht="15">
      <c r="A1" t="s">
        <v>0</v>
      </c>
    </row>
    <row r="2" spans="1:12" ht="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2:9" ht="15">
      <c r="B3" t="s">
        <v>360</v>
      </c>
      <c r="F3" t="s">
        <v>302</v>
      </c>
      <c r="G3" t="s">
        <v>353</v>
      </c>
      <c r="H3" t="s">
        <v>15</v>
      </c>
      <c r="I3" t="s">
        <v>16</v>
      </c>
    </row>
    <row r="4" spans="2:9" ht="15">
      <c r="B4" t="s">
        <v>361</v>
      </c>
      <c r="F4" t="s">
        <v>354</v>
      </c>
      <c r="G4" t="s">
        <v>355</v>
      </c>
      <c r="H4" t="s">
        <v>15</v>
      </c>
      <c r="I4" t="s">
        <v>16</v>
      </c>
    </row>
    <row r="5" spans="2:9" ht="15">
      <c r="B5" t="s">
        <v>350</v>
      </c>
      <c r="F5" t="s">
        <v>352</v>
      </c>
      <c r="G5" t="s">
        <v>351</v>
      </c>
      <c r="H5" t="s">
        <v>15</v>
      </c>
      <c r="I5" t="s">
        <v>16</v>
      </c>
    </row>
    <row r="6" spans="2:11" ht="15">
      <c r="B6" t="s">
        <v>362</v>
      </c>
      <c r="F6" t="s">
        <v>303</v>
      </c>
      <c r="G6" t="s">
        <v>357</v>
      </c>
      <c r="H6" t="s">
        <v>15</v>
      </c>
      <c r="I6" t="s">
        <v>16</v>
      </c>
      <c r="J6" t="s">
        <v>15</v>
      </c>
      <c r="K6" t="s">
        <v>16</v>
      </c>
    </row>
    <row r="7" spans="2:9" ht="15">
      <c r="B7" t="s">
        <v>363</v>
      </c>
      <c r="F7" t="s">
        <v>358</v>
      </c>
      <c r="G7" t="s">
        <v>359</v>
      </c>
      <c r="H7" t="s">
        <v>15</v>
      </c>
      <c r="I7" t="s">
        <v>16</v>
      </c>
    </row>
    <row r="8" spans="2:9" ht="15">
      <c r="B8" t="s">
        <v>365</v>
      </c>
      <c r="F8" t="s">
        <v>356</v>
      </c>
      <c r="G8" t="s">
        <v>366</v>
      </c>
      <c r="H8" t="s">
        <v>15</v>
      </c>
      <c r="I8" t="s">
        <v>16</v>
      </c>
    </row>
    <row r="9" spans="2:9" ht="15">
      <c r="B9" t="s">
        <v>364</v>
      </c>
      <c r="F9" t="s">
        <v>368</v>
      </c>
      <c r="G9" t="s">
        <v>367</v>
      </c>
      <c r="H9" t="s">
        <v>15</v>
      </c>
      <c r="I9" t="s">
        <v>16</v>
      </c>
    </row>
    <row r="10" spans="2:9" ht="15">
      <c r="B10" t="s">
        <v>62</v>
      </c>
      <c r="F10" t="s">
        <v>304</v>
      </c>
      <c r="G10" t="s">
        <v>321</v>
      </c>
      <c r="H10" t="s">
        <v>15</v>
      </c>
      <c r="I10" t="s">
        <v>16</v>
      </c>
    </row>
    <row r="11" spans="2:9" ht="15">
      <c r="B11" t="s">
        <v>63</v>
      </c>
      <c r="F11" t="s">
        <v>305</v>
      </c>
      <c r="G11" t="s">
        <v>320</v>
      </c>
      <c r="H11" t="s">
        <v>15</v>
      </c>
      <c r="I11" t="s">
        <v>16</v>
      </c>
    </row>
    <row r="12" spans="2:11" ht="15">
      <c r="B12" t="s">
        <v>64</v>
      </c>
      <c r="F12" t="s">
        <v>306</v>
      </c>
      <c r="G12" t="s">
        <v>319</v>
      </c>
      <c r="H12" t="s">
        <v>15</v>
      </c>
      <c r="I12" t="s">
        <v>16</v>
      </c>
      <c r="J12" t="s">
        <v>15</v>
      </c>
      <c r="K12" t="s">
        <v>16</v>
      </c>
    </row>
    <row r="13" spans="2:9" ht="15">
      <c r="B13" t="s">
        <v>349</v>
      </c>
      <c r="F13" t="s">
        <v>307</v>
      </c>
      <c r="G13" t="s">
        <v>318</v>
      </c>
      <c r="H13" t="s">
        <v>15</v>
      </c>
      <c r="I13" t="s">
        <v>16</v>
      </c>
    </row>
    <row r="14" spans="2:9" ht="15">
      <c r="B14" t="s">
        <v>65</v>
      </c>
      <c r="F14" t="s">
        <v>308</v>
      </c>
      <c r="G14" t="s">
        <v>317</v>
      </c>
      <c r="H14" t="s">
        <v>15</v>
      </c>
      <c r="I14" t="s">
        <v>16</v>
      </c>
    </row>
    <row r="15" spans="2:9" ht="15">
      <c r="B15" t="s">
        <v>66</v>
      </c>
      <c r="F15" t="s">
        <v>309</v>
      </c>
      <c r="G15" t="s">
        <v>316</v>
      </c>
      <c r="H15" t="s">
        <v>15</v>
      </c>
      <c r="I15" t="s">
        <v>16</v>
      </c>
    </row>
    <row r="16" spans="2:9" ht="15">
      <c r="B16" t="s">
        <v>67</v>
      </c>
      <c r="F16" t="s">
        <v>310</v>
      </c>
      <c r="G16" t="s">
        <v>313</v>
      </c>
      <c r="H16" t="s">
        <v>15</v>
      </c>
      <c r="I16" t="s">
        <v>16</v>
      </c>
    </row>
    <row r="17" spans="2:9" ht="15">
      <c r="B17" t="s">
        <v>68</v>
      </c>
      <c r="F17" t="s">
        <v>311</v>
      </c>
      <c r="G17" t="s">
        <v>315</v>
      </c>
      <c r="H17" t="s">
        <v>15</v>
      </c>
      <c r="I17" t="s">
        <v>16</v>
      </c>
    </row>
    <row r="18" spans="2:9" ht="15">
      <c r="B18" t="s">
        <v>69</v>
      </c>
      <c r="F18" t="s">
        <v>312</v>
      </c>
      <c r="G18" t="s">
        <v>314</v>
      </c>
      <c r="H18" t="s">
        <v>15</v>
      </c>
      <c r="I18" t="s">
        <v>16</v>
      </c>
    </row>
    <row r="19" spans="2:9" ht="15">
      <c r="B19" t="s">
        <v>369</v>
      </c>
      <c r="F19" t="s">
        <v>370</v>
      </c>
      <c r="G19" t="s">
        <v>371</v>
      </c>
      <c r="H19" t="s">
        <v>15</v>
      </c>
      <c r="I19" t="s">
        <v>16</v>
      </c>
    </row>
    <row r="20" spans="2:9" ht="15">
      <c r="B20" t="s">
        <v>720</v>
      </c>
      <c r="F20" t="s">
        <v>722</v>
      </c>
      <c r="G20" t="s">
        <v>724</v>
      </c>
      <c r="H20" t="s">
        <v>15</v>
      </c>
      <c r="I20" t="s">
        <v>16</v>
      </c>
    </row>
    <row r="21" spans="2:9" ht="15">
      <c r="B21" t="s">
        <v>721</v>
      </c>
      <c r="F21" t="s">
        <v>723</v>
      </c>
      <c r="G21" t="s">
        <v>725</v>
      </c>
      <c r="H21" t="s">
        <v>15</v>
      </c>
      <c r="I21" t="s">
        <v>16</v>
      </c>
    </row>
    <row r="22" spans="2:9" ht="15">
      <c r="B22" t="s">
        <v>726</v>
      </c>
      <c r="F22" t="s">
        <v>727</v>
      </c>
      <c r="G22" t="s">
        <v>728</v>
      </c>
      <c r="H22" t="s">
        <v>15</v>
      </c>
      <c r="I22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A73284-DF56-4361-8316-EB8159A9346F}">
  <sheetPr codeName="Sheet7">
    <tabColor rgb="FF92D050"/>
  </sheetPr>
  <dimension ref="A1:L3"/>
  <sheetViews>
    <sheetView workbookViewId="0" topLeftCell="A1">
      <selection pane="topLeft" activeCell="G12" sqref="G12"/>
    </sheetView>
  </sheetViews>
  <sheetFormatPr defaultRowHeight="15"/>
  <cols>
    <col min="6" max="6" width="19.4285714285714" bestFit="1" customWidth="1"/>
    <col min="7" max="7" width="53.2857142857143" bestFit="1" customWidth="1"/>
  </cols>
  <sheetData>
    <row r="1" spans="1:1" ht="15">
      <c r="A1" t="s">
        <v>0</v>
      </c>
    </row>
    <row r="2" spans="1:12" ht="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1" ht="15">
      <c r="A3" t="s">
        <v>190</v>
      </c>
      <c r="B3" t="s">
        <v>454</v>
      </c>
      <c r="F3" t="s">
        <v>455</v>
      </c>
      <c r="G3" t="s">
        <v>456</v>
      </c>
      <c r="H3" t="s">
        <v>15</v>
      </c>
      <c r="I3" t="s">
        <v>16</v>
      </c>
      <c r="J3" t="s">
        <v>15</v>
      </c>
      <c r="K3" t="s">
        <v>16</v>
      </c>
    </row>
  </sheetData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90B4BC-8607-4508-A698-E46A5EB98EA7}">
  <sheetPr codeName="Sheet8">
    <tabColor rgb="FF92D050"/>
  </sheetPr>
  <dimension ref="A1:L3"/>
  <sheetViews>
    <sheetView workbookViewId="0" topLeftCell="A1">
      <selection pane="topLeft" activeCell="H3" sqref="H3:K3"/>
    </sheetView>
  </sheetViews>
  <sheetFormatPr defaultRowHeight="15"/>
  <cols>
    <col min="6" max="6" width="19.4285714285714" bestFit="1" customWidth="1"/>
    <col min="7" max="7" width="53.2857142857143" bestFit="1" customWidth="1"/>
  </cols>
  <sheetData>
    <row r="1" spans="1:1" ht="15">
      <c r="A1" t="s">
        <v>0</v>
      </c>
    </row>
    <row r="2" spans="1:12" ht="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2:11" ht="15">
      <c r="B3" t="s">
        <v>451</v>
      </c>
      <c r="F3" t="s">
        <v>452</v>
      </c>
      <c r="G3" t="s">
        <v>453</v>
      </c>
      <c r="H3" t="s">
        <v>15</v>
      </c>
      <c r="I3" t="s">
        <v>16</v>
      </c>
      <c r="J3" t="s">
        <v>15</v>
      </c>
      <c r="K3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F4EBB5-8F5D-4492-A870-22D6545A1D24}">
  <sheetPr codeName="Sheet9">
    <tabColor rgb="FF92D050"/>
  </sheetPr>
  <dimension ref="A1:L19"/>
  <sheetViews>
    <sheetView workbookViewId="0" topLeftCell="A1">
      <selection pane="topLeft" activeCell="H31" sqref="H31"/>
    </sheetView>
  </sheetViews>
  <sheetFormatPr defaultRowHeight="15"/>
  <cols>
    <col min="4" max="4" width="10.2857142857143" bestFit="1" customWidth="1"/>
    <col min="5" max="5" width="29.1428571428571" bestFit="1" customWidth="1"/>
    <col min="6" max="6" width="20.8571428571429" bestFit="1" customWidth="1"/>
    <col min="7" max="7" width="57.8571428571429" bestFit="1" customWidth="1"/>
  </cols>
  <sheetData>
    <row r="1" spans="1:1" ht="15">
      <c r="A1" t="s">
        <v>0</v>
      </c>
    </row>
    <row r="2" spans="1:12" ht="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1" ht="15">
      <c r="A3" s="3"/>
      <c r="B3" t="s">
        <v>546</v>
      </c>
      <c r="E3" t="s">
        <v>578</v>
      </c>
      <c r="F3" t="s">
        <v>560</v>
      </c>
      <c r="G3" t="s">
        <v>588</v>
      </c>
      <c r="H3" t="s">
        <v>15</v>
      </c>
      <c r="I3" t="s">
        <v>16</v>
      </c>
      <c r="J3" t="s">
        <v>15</v>
      </c>
      <c r="K3" t="s">
        <v>16</v>
      </c>
    </row>
    <row r="4" spans="2:11" ht="15">
      <c r="B4" t="s">
        <v>546</v>
      </c>
      <c r="E4" t="s">
        <v>579</v>
      </c>
      <c r="F4" t="s">
        <v>577</v>
      </c>
      <c r="G4" t="s">
        <v>589</v>
      </c>
      <c r="H4" t="s">
        <v>15</v>
      </c>
      <c r="I4" t="s">
        <v>16</v>
      </c>
      <c r="J4" t="s">
        <v>15</v>
      </c>
      <c r="K4" t="s">
        <v>16</v>
      </c>
    </row>
    <row r="5" spans="2:11" ht="15">
      <c r="B5" t="s">
        <v>546</v>
      </c>
      <c r="E5" t="s">
        <v>564</v>
      </c>
      <c r="F5" t="s">
        <v>561</v>
      </c>
      <c r="G5" t="s">
        <v>586</v>
      </c>
      <c r="H5" t="s">
        <v>15</v>
      </c>
      <c r="I5" t="s">
        <v>16</v>
      </c>
      <c r="J5" t="s">
        <v>15</v>
      </c>
      <c r="K5" t="s">
        <v>16</v>
      </c>
    </row>
    <row r="6" spans="2:11" ht="15">
      <c r="B6" t="s">
        <v>546</v>
      </c>
      <c r="E6" t="s">
        <v>563</v>
      </c>
      <c r="F6" t="s">
        <v>562</v>
      </c>
      <c r="G6" t="s">
        <v>587</v>
      </c>
      <c r="H6" t="s">
        <v>15</v>
      </c>
      <c r="I6" t="s">
        <v>16</v>
      </c>
      <c r="J6" t="s">
        <v>15</v>
      </c>
      <c r="K6" t="s">
        <v>16</v>
      </c>
    </row>
    <row r="7" spans="2:11" ht="15">
      <c r="B7" t="s">
        <v>546</v>
      </c>
      <c r="E7" t="s">
        <v>565</v>
      </c>
      <c r="F7" t="s">
        <v>567</v>
      </c>
      <c r="G7" t="s">
        <v>582</v>
      </c>
      <c r="H7" t="s">
        <v>15</v>
      </c>
      <c r="I7" t="s">
        <v>16</v>
      </c>
      <c r="J7" t="s">
        <v>15</v>
      </c>
      <c r="K7" t="s">
        <v>16</v>
      </c>
    </row>
    <row r="8" spans="2:11" ht="15">
      <c r="B8" t="s">
        <v>546</v>
      </c>
      <c r="E8" t="s">
        <v>566</v>
      </c>
      <c r="F8" t="s">
        <v>568</v>
      </c>
      <c r="G8" t="s">
        <v>583</v>
      </c>
      <c r="H8" t="s">
        <v>15</v>
      </c>
      <c r="I8" t="s">
        <v>16</v>
      </c>
      <c r="J8" t="s">
        <v>15</v>
      </c>
      <c r="K8" t="s">
        <v>16</v>
      </c>
    </row>
    <row r="9" spans="2:11" ht="15">
      <c r="B9" t="s">
        <v>546</v>
      </c>
      <c r="E9" t="s">
        <v>569</v>
      </c>
      <c r="F9" t="s">
        <v>571</v>
      </c>
      <c r="G9" t="s">
        <v>584</v>
      </c>
      <c r="H9" t="s">
        <v>15</v>
      </c>
      <c r="I9" t="s">
        <v>16</v>
      </c>
      <c r="J9" t="s">
        <v>15</v>
      </c>
      <c r="K9" t="s">
        <v>16</v>
      </c>
    </row>
    <row r="10" spans="2:11" ht="15">
      <c r="B10" t="s">
        <v>546</v>
      </c>
      <c r="E10" t="s">
        <v>570</v>
      </c>
      <c r="F10" t="s">
        <v>572</v>
      </c>
      <c r="G10" t="s">
        <v>585</v>
      </c>
      <c r="H10" t="s">
        <v>15</v>
      </c>
      <c r="I10" t="s">
        <v>16</v>
      </c>
      <c r="J10" t="s">
        <v>15</v>
      </c>
      <c r="K10" t="s">
        <v>16</v>
      </c>
    </row>
    <row r="11" spans="2:11" ht="15">
      <c r="B11" t="s">
        <v>546</v>
      </c>
      <c r="E11" t="s">
        <v>573</v>
      </c>
      <c r="F11" t="s">
        <v>574</v>
      </c>
      <c r="G11" t="s">
        <v>580</v>
      </c>
      <c r="H11" t="s">
        <v>15</v>
      </c>
      <c r="I11" t="s">
        <v>16</v>
      </c>
      <c r="J11" t="s">
        <v>15</v>
      </c>
      <c r="K11" t="s">
        <v>16</v>
      </c>
    </row>
    <row r="12" spans="2:11" ht="15">
      <c r="B12" t="s">
        <v>546</v>
      </c>
      <c r="E12" t="s">
        <v>575</v>
      </c>
      <c r="F12" t="s">
        <v>576</v>
      </c>
      <c r="G12" t="s">
        <v>581</v>
      </c>
      <c r="H12" t="s">
        <v>15</v>
      </c>
      <c r="I12" t="s">
        <v>16</v>
      </c>
      <c r="J12" t="s">
        <v>15</v>
      </c>
      <c r="K12" t="s">
        <v>16</v>
      </c>
    </row>
    <row r="13" spans="1:11" ht="15">
      <c r="A13" t="s">
        <v>45</v>
      </c>
      <c r="B13" t="s">
        <v>546</v>
      </c>
      <c r="E13" t="s">
        <v>590</v>
      </c>
      <c r="F13" t="s">
        <v>593</v>
      </c>
      <c r="G13" t="s">
        <v>591</v>
      </c>
      <c r="H13" t="s">
        <v>15</v>
      </c>
      <c r="I13" t="s">
        <v>16</v>
      </c>
      <c r="J13" t="s">
        <v>15</v>
      </c>
      <c r="K13" t="s">
        <v>16</v>
      </c>
    </row>
    <row r="14" spans="1:11" ht="15">
      <c r="A14" t="s">
        <v>45</v>
      </c>
      <c r="B14" t="s">
        <v>546</v>
      </c>
      <c r="E14" t="s">
        <v>592</v>
      </c>
      <c r="F14" t="s">
        <v>594</v>
      </c>
      <c r="G14" t="s">
        <v>595</v>
      </c>
      <c r="H14" t="s">
        <v>15</v>
      </c>
      <c r="I14" t="s">
        <v>16</v>
      </c>
      <c r="J14" t="s">
        <v>15</v>
      </c>
      <c r="K14" t="s">
        <v>16</v>
      </c>
    </row>
    <row r="15" spans="1:11" ht="15">
      <c r="A15" t="s">
        <v>45</v>
      </c>
      <c r="B15" t="s">
        <v>546</v>
      </c>
      <c r="E15" t="s">
        <v>596</v>
      </c>
      <c r="F15" t="s">
        <v>598</v>
      </c>
      <c r="G15" t="s">
        <v>601</v>
      </c>
      <c r="H15" t="s">
        <v>15</v>
      </c>
      <c r="I15" t="s">
        <v>16</v>
      </c>
      <c r="J15" t="s">
        <v>15</v>
      </c>
      <c r="K15" t="s">
        <v>16</v>
      </c>
    </row>
    <row r="16" spans="1:11" ht="15">
      <c r="A16" t="s">
        <v>45</v>
      </c>
      <c r="B16" t="s">
        <v>546</v>
      </c>
      <c r="E16" t="s">
        <v>597</v>
      </c>
      <c r="F16" t="s">
        <v>599</v>
      </c>
      <c r="G16" t="s">
        <v>600</v>
      </c>
      <c r="H16" t="s">
        <v>15</v>
      </c>
      <c r="I16" t="s">
        <v>16</v>
      </c>
      <c r="J16" t="s">
        <v>15</v>
      </c>
      <c r="K16" t="s">
        <v>16</v>
      </c>
    </row>
    <row r="17" spans="2:11" ht="15">
      <c r="B17" t="s">
        <v>546</v>
      </c>
      <c r="D17" t="s">
        <v>603</v>
      </c>
      <c r="F17" t="s">
        <v>602</v>
      </c>
      <c r="G17" t="s">
        <v>604</v>
      </c>
      <c r="H17" t="s">
        <v>15</v>
      </c>
      <c r="I17" t="s">
        <v>16</v>
      </c>
      <c r="J17" t="s">
        <v>15</v>
      </c>
      <c r="K17" t="s">
        <v>16</v>
      </c>
    </row>
    <row r="18" spans="2:11" ht="15">
      <c r="B18" t="s">
        <v>606</v>
      </c>
      <c r="D18" t="s">
        <v>605</v>
      </c>
      <c r="F18" t="s">
        <v>607</v>
      </c>
      <c r="G18" t="s">
        <v>610</v>
      </c>
      <c r="H18" t="s">
        <v>15</v>
      </c>
      <c r="I18" t="s">
        <v>16</v>
      </c>
      <c r="J18" t="s">
        <v>15</v>
      </c>
      <c r="K18" t="s">
        <v>16</v>
      </c>
    </row>
    <row r="19" spans="2:11" ht="15">
      <c r="B19" t="s">
        <v>608</v>
      </c>
      <c r="D19" t="s">
        <v>605</v>
      </c>
      <c r="F19" t="s">
        <v>609</v>
      </c>
      <c r="G19" t="s">
        <v>611</v>
      </c>
      <c r="H19" t="s">
        <v>15</v>
      </c>
      <c r="I19" t="s">
        <v>16</v>
      </c>
      <c r="J19" t="s">
        <v>15</v>
      </c>
      <c r="K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Sets-Comm</vt:lpstr>
      <vt:lpstr>Sets-Proc</vt:lpstr>
      <vt:lpstr>IND_Sets-Proc</vt:lpstr>
      <vt:lpstr>RSD_Sets-Proc</vt:lpstr>
      <vt:lpstr>TRA_Sets-Proc</vt:lpstr>
      <vt:lpstr>PWR_Sets-Proc</vt:lpstr>
      <vt:lpstr>AGR_Sets-Proc</vt:lpstr>
      <vt:lpstr>SUP_Sets-Proc</vt:lpstr>
      <vt:lpstr>SRV_Sets-Proc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Olex</dc:creator>
  <cp:keywords/>
  <dc:description/>
  <cp:lastModifiedBy>Bakytzhan Suleimenov</cp:lastModifiedBy>
  <dcterms:created xsi:type="dcterms:W3CDTF">2020-12-08T01:27:03Z</dcterms:created>
  <dcterms:modified xsi:type="dcterms:W3CDTF">2025-05-06T22:05:45Z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403722643852233</vt:r8>
  </property>
</Properties>
</file>